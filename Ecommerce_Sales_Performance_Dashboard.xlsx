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arch Term" sheetId="1" r:id="rId4"/>
    <sheet state="visible" name="Monthly" sheetId="2" r:id="rId5"/>
    <sheet state="hidden" name="Qtr - Report " sheetId="3" r:id="rId6"/>
    <sheet state="hidden" name="B2B " sheetId="4" r:id="rId7"/>
    <sheet state="hidden" name="Portfolio Wise " sheetId="5" r:id="rId8"/>
    <sheet state="visible" name="Target Vs Achieved " sheetId="6" r:id="rId9"/>
    <sheet state="visible" name="Series wise Report" sheetId="7" r:id="rId10"/>
    <sheet state="hidden" name="Series Order " sheetId="8" r:id="rId11"/>
    <sheet state="visible" name="SKU Order Report " sheetId="9" r:id="rId12"/>
    <sheet state="hidden" name="SKU Insights " sheetId="10" r:id="rId13"/>
    <sheet state="visible" name="SKU Repoprt" sheetId="11" r:id="rId14"/>
    <sheet state="visible" name="Ad Type " sheetId="12" r:id="rId15"/>
    <sheet state="visible" name="Search Type Report " sheetId="13" r:id="rId16"/>
    <sheet state="hidden" name="Referanc " sheetId="14" r:id="rId17"/>
    <sheet state="visible" name="Graphic Comparison Report " sheetId="15" r:id="rId18"/>
    <sheet state="visible" name="Campaign - Dump" sheetId="16" r:id="rId19"/>
    <sheet state="visible" name="Business - Dump" sheetId="17" r:id="rId20"/>
    <sheet state="hidden" name="Placement Dump" sheetId="18" r:id="rId21"/>
  </sheets>
  <definedNames>
    <definedName hidden="1" localSheetId="1" name="_xlnm._FilterDatabase">Monthly!$A$1:$Z$14</definedName>
    <definedName hidden="1" localSheetId="4" name="_xlnm._FilterDatabase">'Portfolio Wise '!$A$1:$AD$415</definedName>
    <definedName hidden="1" localSheetId="10" name="_xlnm._FilterDatabase">'SKU Repoprt'!$A$1:$W$733</definedName>
    <definedName hidden="1" localSheetId="11" name="_xlnm._FilterDatabase">'Ad Type '!$A$1:$J$97</definedName>
    <definedName hidden="1" localSheetId="15" name="_xlnm._FilterDatabase">'Campaign - Dump'!$A$1:$AJ$1219</definedName>
  </definedNames>
  <calcPr/>
  <pivotCaches>
    <pivotCache cacheId="0" r:id="rId22"/>
  </pivotCaches>
  <extLst>
    <ext uri="GoogleSheetsCustomDataVersion2">
      <go:sheetsCustomData xmlns:go="http://customooxmlschemas.google.com/" r:id="rId23" roundtripDataChecksum="x0brk3JCYS/8r/WLO8YLtXESVyMQvoyKW36NRbKcsW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ID#AAACD9u2CLE
Rahul C    (2026-07-25 16:58:58)
2023</t>
      </text>
    </comment>
  </commentList>
  <extLst>
    <ext uri="GoogleSheetsCustomDataVersion2">
      <go:sheetsCustomData xmlns:go="http://customooxmlschemas.google.com/" r:id="rId1" roundtripDataSignature="AMtx7mia1FAXaJpgCE0pRRsC3Ih5xrjq2A=="/>
    </ext>
  </extLst>
</comments>
</file>

<file path=xl/sharedStrings.xml><?xml version="1.0" encoding="utf-8"?>
<sst xmlns="http://schemas.openxmlformats.org/spreadsheetml/2006/main" count="25204" uniqueCount="1382">
  <si>
    <t>Month</t>
  </si>
  <si>
    <t>Amt Spent</t>
  </si>
  <si>
    <t>Rank</t>
  </si>
  <si>
    <t>Q</t>
  </si>
  <si>
    <t>Imp</t>
  </si>
  <si>
    <t>CTR</t>
  </si>
  <si>
    <t>Clicks</t>
  </si>
  <si>
    <t>Share</t>
  </si>
  <si>
    <t>CPC</t>
  </si>
  <si>
    <t>Paid Orders</t>
  </si>
  <si>
    <t>CR</t>
  </si>
  <si>
    <t>Paid Revenue</t>
  </si>
  <si>
    <t>Impressions</t>
  </si>
  <si>
    <t>Paid ACOS</t>
  </si>
  <si>
    <t>Paid AOV</t>
  </si>
  <si>
    <t>ROAS</t>
  </si>
  <si>
    <t>Total Orders</t>
  </si>
  <si>
    <t>Total Sale</t>
  </si>
  <si>
    <t>Spend</t>
  </si>
  <si>
    <t>Total AOV</t>
  </si>
  <si>
    <t>TACOS</t>
  </si>
  <si>
    <t>Orders</t>
  </si>
  <si>
    <t>ROI</t>
  </si>
  <si>
    <t>Organic Orders</t>
  </si>
  <si>
    <t>Organic Sale</t>
  </si>
  <si>
    <t>Organic AOV</t>
  </si>
  <si>
    <t>Sales</t>
  </si>
  <si>
    <t xml:space="preserve">Sessions </t>
  </si>
  <si>
    <t>ACOS</t>
  </si>
  <si>
    <t>Session %</t>
  </si>
  <si>
    <t>Buy Box %</t>
  </si>
  <si>
    <t>Organic to Paid Orders</t>
  </si>
  <si>
    <t>Organic Orders Contribution</t>
  </si>
  <si>
    <t>Organic Sales Contribution</t>
  </si>
  <si>
    <t>Customer Search Term</t>
  </si>
  <si>
    <t>B2b Unit</t>
  </si>
  <si>
    <t>Nov</t>
  </si>
  <si>
    <t>Q1</t>
  </si>
  <si>
    <t>Order</t>
  </si>
  <si>
    <t>Orders Diff</t>
  </si>
  <si>
    <t>Order B2B</t>
  </si>
  <si>
    <t>march</t>
  </si>
  <si>
    <t>april</t>
  </si>
  <si>
    <t>Sales - B2B</t>
  </si>
  <si>
    <t>ergoyou height adjustable table desk</t>
  </si>
  <si>
    <t>Dec</t>
  </si>
  <si>
    <t>Jan</t>
  </si>
  <si>
    <t>Feb</t>
  </si>
  <si>
    <t>Mar</t>
  </si>
  <si>
    <t>height adjustable table</t>
  </si>
  <si>
    <t>Apr</t>
  </si>
  <si>
    <t>Q2</t>
  </si>
  <si>
    <t>standing desk</t>
  </si>
  <si>
    <t>ergo you height adjustable table</t>
  </si>
  <si>
    <t>May</t>
  </si>
  <si>
    <t>Q3</t>
  </si>
  <si>
    <t>June</t>
  </si>
  <si>
    <t>electric height adjustable table</t>
  </si>
  <si>
    <t>July</t>
  </si>
  <si>
    <t>height adjustable desk</t>
  </si>
  <si>
    <t>sit stand desk</t>
  </si>
  <si>
    <t>August</t>
  </si>
  <si>
    <t>b08lgjgzj1</t>
  </si>
  <si>
    <t>September</t>
  </si>
  <si>
    <t>adjustable table</t>
  </si>
  <si>
    <t xml:space="preserve">October </t>
  </si>
  <si>
    <t>b0cnxslf8j</t>
  </si>
  <si>
    <t>November</t>
  </si>
  <si>
    <t>ergoyou</t>
  </si>
  <si>
    <t>sit stand desk electric</t>
  </si>
  <si>
    <t>December</t>
  </si>
  <si>
    <t>cable management</t>
  </si>
  <si>
    <t>Total</t>
  </si>
  <si>
    <t>cable management tray</t>
  </si>
  <si>
    <t>ergo you</t>
  </si>
  <si>
    <t>standing desk adjustable height</t>
  </si>
  <si>
    <t>b0bsl7jb5f</t>
  </si>
  <si>
    <t>cable tray</t>
  </si>
  <si>
    <t>ergo you height adjustable table dual motor</t>
  </si>
  <si>
    <t>b07yy8sjdf</t>
  </si>
  <si>
    <t>b08wlzmw3t</t>
  </si>
  <si>
    <t>Portfolios</t>
  </si>
  <si>
    <t>b08x2lh5bl</t>
  </si>
  <si>
    <t>Organic Orders Cont</t>
  </si>
  <si>
    <t>b096ksd4dt</t>
  </si>
  <si>
    <t>Paid  Order Cont</t>
  </si>
  <si>
    <t>Paid  sales Cont</t>
  </si>
  <si>
    <t xml:space="preserve">Buy Box </t>
  </si>
  <si>
    <t>Spend in %</t>
  </si>
  <si>
    <t>Paid To Organic Orders</t>
  </si>
  <si>
    <t>Sales Day</t>
  </si>
  <si>
    <t>b0b4ksqvb6</t>
  </si>
  <si>
    <t>b0b96tvpcp</t>
  </si>
  <si>
    <t>Achieved</t>
  </si>
  <si>
    <t>Week 1 (1st-10th)</t>
  </si>
  <si>
    <t>Week 2 (11th-17th)</t>
  </si>
  <si>
    <t>Week 3 (18th-24th)</t>
  </si>
  <si>
    <t>b0bf4t7swk</t>
  </si>
  <si>
    <t>Week 4 (25th -31st)</t>
  </si>
  <si>
    <t>Nov 23'</t>
  </si>
  <si>
    <t>Targeted</t>
  </si>
  <si>
    <t>b0cb4dj627</t>
  </si>
  <si>
    <t>Total Budget</t>
  </si>
  <si>
    <t>b0cb4fdzf8</t>
  </si>
  <si>
    <t>b0cfk4f6kv</t>
  </si>
  <si>
    <t>b0cfk4tnsx</t>
  </si>
  <si>
    <t>b0ch1f22wp</t>
  </si>
  <si>
    <t>b0cljdj8g9</t>
  </si>
  <si>
    <t>Conversion Ratio</t>
  </si>
  <si>
    <t>b0cljdl2dp</t>
  </si>
  <si>
    <t>Standing Table</t>
  </si>
  <si>
    <t>b0cs3hnkyc</t>
  </si>
  <si>
    <t>Organic Revenue</t>
  </si>
  <si>
    <t>ergo desk</t>
  </si>
  <si>
    <t>Total Revenue</t>
  </si>
  <si>
    <t>ergo height adjustable table</t>
  </si>
  <si>
    <t>height adjustable desk for office work at home moveable</t>
  </si>
  <si>
    <t>height adjustable table desk</t>
  </si>
  <si>
    <t>Total ACOS</t>
  </si>
  <si>
    <t>TABLE TOP</t>
  </si>
  <si>
    <t>standing table for home office</t>
  </si>
  <si>
    <t>*</t>
  </si>
  <si>
    <t>ROI - Overall</t>
  </si>
  <si>
    <t>adjustable table for office work white</t>
  </si>
  <si>
    <t>artikel electric height adjustable table</t>
  </si>
  <si>
    <t>Dec 23'</t>
  </si>
  <si>
    <t>b07t72krvx</t>
  </si>
  <si>
    <t>b08sqkh3x1</t>
  </si>
  <si>
    <t>Brand</t>
  </si>
  <si>
    <t>b091pq6wjw</t>
  </si>
  <si>
    <t>b098b4697q</t>
  </si>
  <si>
    <t>b098b71q48</t>
  </si>
  <si>
    <t>b09dzwgtnc</t>
  </si>
  <si>
    <t>b09n3zgh3b</t>
  </si>
  <si>
    <t>Standing Table  - SM3</t>
  </si>
  <si>
    <t>b0b4nw12j5</t>
  </si>
  <si>
    <t>b0bf4vrjj1</t>
  </si>
  <si>
    <t>b0bymxmds1</t>
  </si>
  <si>
    <t>b0c392tv28</t>
  </si>
  <si>
    <t>b0c9m6b9xp</t>
  </si>
  <si>
    <t>Standing Table  - E2</t>
  </si>
  <si>
    <t>b0cb4cblqq</t>
  </si>
  <si>
    <t>b0cb4d1l4q</t>
  </si>
  <si>
    <t>Week 1 (1st-7th)</t>
  </si>
  <si>
    <t>Week 2 (8th-14th)</t>
  </si>
  <si>
    <t>Week 3 (15th-21th)</t>
  </si>
  <si>
    <t>Week 4 (22th -28th)</t>
  </si>
  <si>
    <t>Week 5 (29th -31st)</t>
  </si>
  <si>
    <t>Jan 23'</t>
  </si>
  <si>
    <t>b0cfk512dw</t>
  </si>
  <si>
    <t>b0cfk512dx</t>
  </si>
  <si>
    <t>b0cgnv8phq</t>
  </si>
  <si>
    <t>Standing Table  - M3</t>
  </si>
  <si>
    <t>b0cj6n37t9</t>
  </si>
  <si>
    <t>b0ckhys27t</t>
  </si>
  <si>
    <t>b0cljcqgwx</t>
  </si>
  <si>
    <t>b0cpbzgq9z</t>
  </si>
  <si>
    <t>b0cpvlr4lr</t>
  </si>
  <si>
    <t>Monitor Arm Stand</t>
  </si>
  <si>
    <t>b0cs3hm49d</t>
  </si>
  <si>
    <t>Organic Sales</t>
  </si>
  <si>
    <t>Total sales</t>
  </si>
  <si>
    <t>Org sales Cont</t>
  </si>
  <si>
    <t>Paid sales Cont</t>
  </si>
  <si>
    <t>cable management under desk</t>
  </si>
  <si>
    <t>Week 4 (25th -31th)</t>
  </si>
  <si>
    <t>March 24'</t>
  </si>
  <si>
    <t>desktop table adjustable height motorized 120 kg weight</t>
  </si>
  <si>
    <t>dual motor | premium height-adjustable standing desk (3 stage) with table-top | e3 series</t>
  </si>
  <si>
    <t>dual motor height adjustable desk</t>
  </si>
  <si>
    <t>Standing Desk Converter</t>
  </si>
  <si>
    <t>electric height adjustable table desk</t>
  </si>
  <si>
    <t>electric sit stand desk</t>
  </si>
  <si>
    <t>electric standing desk 60</t>
  </si>
  <si>
    <t>electronically adjustable table</t>
  </si>
  <si>
    <t>ergo adjustable table</t>
  </si>
  <si>
    <t>Standing Table - All Frames</t>
  </si>
  <si>
    <t>ergoyou cable tray</t>
  </si>
  <si>
    <t>ergoyou height adjustable table desk 3 stage</t>
  </si>
  <si>
    <t>ergoyou sit stand desk</t>
  </si>
  <si>
    <t>ergoyou standing desk</t>
  </si>
  <si>
    <t>height adjustable desk 120 cm</t>
  </si>
  <si>
    <t>Standing Table  - E1A</t>
  </si>
  <si>
    <t>height adjustable desk dual motor</t>
  </si>
  <si>
    <t>height adjustable desk electric</t>
  </si>
  <si>
    <t>height adjustable desk white</t>
  </si>
  <si>
    <t>Week 4 (22nd -28th )</t>
  </si>
  <si>
    <t>Remaing Day</t>
  </si>
  <si>
    <t>height adjustable desks motorized</t>
  </si>
  <si>
    <t>April 24'</t>
  </si>
  <si>
    <t>height adjustable table 1800 mm</t>
  </si>
  <si>
    <t>height adjustable table dual motor</t>
  </si>
  <si>
    <t>height adjustable table for office work</t>
  </si>
  <si>
    <t>height adjustable table frame only</t>
  </si>
  <si>
    <t>height adjustable work table for home office</t>
  </si>
  <si>
    <t>height-adjustable standing desk</t>
  </si>
  <si>
    <t>Standing Table - SB</t>
  </si>
  <si>
    <t>jin office height adjustable desk</t>
  </si>
  <si>
    <t>manual height adjustable table</t>
  </si>
  <si>
    <t>monitor</t>
  </si>
  <si>
    <t>monitor arm white</t>
  </si>
  <si>
    <t>Week 3 (15th-21st)</t>
  </si>
  <si>
    <t>Week 5 (29th -31st )</t>
  </si>
  <si>
    <t>motorised table</t>
  </si>
  <si>
    <t>July 24'</t>
  </si>
  <si>
    <t>Standing Table  - E3</t>
  </si>
  <si>
    <t>motorized computer table</t>
  </si>
  <si>
    <t>motorized desk</t>
  </si>
  <si>
    <t>motorized table for work</t>
  </si>
  <si>
    <t>office desk height adjustable</t>
  </si>
  <si>
    <t>power strip holder</t>
  </si>
  <si>
    <t>Desk Cable Tray</t>
  </si>
  <si>
    <t>single monitor arm</t>
  </si>
  <si>
    <t>sit and stand desk</t>
  </si>
  <si>
    <t>standing desk dual motor</t>
  </si>
  <si>
    <t>standing desk ergo you</t>
  </si>
  <si>
    <t>standing desk ergoyou</t>
  </si>
  <si>
    <t>Extension &amp; Holder</t>
  </si>
  <si>
    <t>standing desk for home office</t>
  </si>
  <si>
    <t>Week 1 (1st-4th)</t>
  </si>
  <si>
    <t>Week 2 (5th-11th)</t>
  </si>
  <si>
    <t>Week 3 (12th-18th)</t>
  </si>
  <si>
    <t>Week 4 (19th -25th )</t>
  </si>
  <si>
    <t>Week 5 (26th -31st )</t>
  </si>
  <si>
    <t>Aug 24'</t>
  </si>
  <si>
    <t>standing table for home office adjustable</t>
  </si>
  <si>
    <t>sunon height adjustable table</t>
  </si>
  <si>
    <t>table adjustable height</t>
  </si>
  <si>
    <t>under desk cable management</t>
  </si>
  <si>
    <t>vesa mount monitor arm</t>
  </si>
  <si>
    <t>Standing Table  - E4</t>
  </si>
  <si>
    <t>Grand Total</t>
  </si>
  <si>
    <t>Standing Table  - M8</t>
  </si>
  <si>
    <t>Week 1 (1st-6th)</t>
  </si>
  <si>
    <t>Week 2 (7th-13th)</t>
  </si>
  <si>
    <t>Week 3 (14th-20th)</t>
  </si>
  <si>
    <t>Week 4 (21st to 27th )</t>
  </si>
  <si>
    <t>Remaining  days (28th to 31st)</t>
  </si>
  <si>
    <t>Oct 24'</t>
  </si>
  <si>
    <t>Video Funnel</t>
  </si>
  <si>
    <t>Keyboard Tray</t>
  </si>
  <si>
    <t>Footrests</t>
  </si>
  <si>
    <t>Week 1 (1st-3th)</t>
  </si>
  <si>
    <t>Week 2 (4th-10th)</t>
  </si>
  <si>
    <t>Week 3 (11th-17th)</t>
  </si>
  <si>
    <t>Week 4 (18th -24th )</t>
  </si>
  <si>
    <t>Remaining Days</t>
  </si>
  <si>
    <t>Nov 24'</t>
  </si>
  <si>
    <t>Single Leg Gas</t>
  </si>
  <si>
    <t>Total Nov</t>
  </si>
  <si>
    <t>Week 1 (1st-8th)</t>
  </si>
  <si>
    <t>Week 2 (9th-15th)</t>
  </si>
  <si>
    <t>Week 3 (16th-22nd)</t>
  </si>
  <si>
    <t>Week 4 (23rd -29th )</t>
  </si>
  <si>
    <t>Dec 24'</t>
  </si>
  <si>
    <t>Category</t>
  </si>
  <si>
    <t>Values</t>
  </si>
  <si>
    <t>Session</t>
  </si>
  <si>
    <t>Week 1 (1st-5th)</t>
  </si>
  <si>
    <t>Week 2 (6th-12th)</t>
  </si>
  <si>
    <t>Page Views</t>
  </si>
  <si>
    <t>Week 3 (13th-19th)</t>
  </si>
  <si>
    <t>Week 4 (20th -26th )</t>
  </si>
  <si>
    <t>Jan25'</t>
  </si>
  <si>
    <t>Units Order</t>
  </si>
  <si>
    <t xml:space="preserve">Nov 25th </t>
  </si>
  <si>
    <t>Diff - Aug</t>
  </si>
  <si>
    <t>M8</t>
  </si>
  <si>
    <t>Total Order</t>
  </si>
  <si>
    <t>SM3</t>
  </si>
  <si>
    <t>Week 1 (1st-9th)</t>
  </si>
  <si>
    <t>Week 2 (10th-16th)</t>
  </si>
  <si>
    <t>Week 3 (17th-23th)</t>
  </si>
  <si>
    <t>Total Till</t>
  </si>
  <si>
    <t>Feb25'</t>
  </si>
  <si>
    <t>E2</t>
  </si>
  <si>
    <t>Extension Board Holder</t>
  </si>
  <si>
    <t>Week 1 (1st-2nd)</t>
  </si>
  <si>
    <t>Week 2 (3rd-9th)</t>
  </si>
  <si>
    <t>Week 3 (10th-16th)</t>
  </si>
  <si>
    <t>Week 4 (17th-23rd)</t>
  </si>
  <si>
    <t>Week 5 (24th-30th)</t>
  </si>
  <si>
    <t>AOV</t>
  </si>
  <si>
    <t>March25'</t>
  </si>
  <si>
    <t xml:space="preserve"> Monitor Stand</t>
  </si>
  <si>
    <t>Laptop Table</t>
  </si>
  <si>
    <t>M3</t>
  </si>
  <si>
    <t>SKU</t>
  </si>
  <si>
    <t>Footrest</t>
  </si>
  <si>
    <t>B08CRVBFNX</t>
  </si>
  <si>
    <t>Anti Fatigue Mat</t>
  </si>
  <si>
    <t>B0CB4CBLQQ</t>
  </si>
  <si>
    <t>E3</t>
  </si>
  <si>
    <t>B0CFK512DW</t>
  </si>
  <si>
    <t>M4</t>
  </si>
  <si>
    <t>Extension Board</t>
  </si>
  <si>
    <t>B0CB4FDZF8</t>
  </si>
  <si>
    <t>E1A</t>
  </si>
  <si>
    <t>B0CB4DDKVK</t>
  </si>
  <si>
    <t>E4</t>
  </si>
  <si>
    <t>EX Series</t>
  </si>
  <si>
    <t>B0CB4DJ627</t>
  </si>
  <si>
    <t>B08WRH8T6W</t>
  </si>
  <si>
    <t>Laptop Stand</t>
  </si>
  <si>
    <t>B0CB4D1L4Q</t>
  </si>
  <si>
    <t>Sm4</t>
  </si>
  <si>
    <t>B0CFK4TNSX</t>
  </si>
  <si>
    <t>B0C9M4J3V8</t>
  </si>
  <si>
    <t>B0C9M6B9XP</t>
  </si>
  <si>
    <t>B0CFK512DX</t>
  </si>
  <si>
    <t>Laptop Riser</t>
  </si>
  <si>
    <t>B0CFK4F6KV</t>
  </si>
  <si>
    <t>Total Dec</t>
  </si>
  <si>
    <t>B0CFK4Z51Q</t>
  </si>
  <si>
    <t>B0CFK7MC16</t>
  </si>
  <si>
    <t>B08WR6DXKJ</t>
  </si>
  <si>
    <t>B0B5LTY3ZQ</t>
  </si>
  <si>
    <t>B08CRTLZ5H</t>
  </si>
  <si>
    <t>Weekly</t>
  </si>
  <si>
    <t>B08CRVG6RG</t>
  </si>
  <si>
    <t>(Child) ASIN</t>
  </si>
  <si>
    <t>Cup and Headphone Holder</t>
  </si>
  <si>
    <t>B0DGLJFZQM</t>
  </si>
  <si>
    <t>B0B3MVCYTY</t>
  </si>
  <si>
    <t>B0B3MVJZJ8</t>
  </si>
  <si>
    <t>B0D96TBQH6</t>
  </si>
  <si>
    <t>B0CBV63Y68</t>
  </si>
  <si>
    <t>B0DM8BBHZJ</t>
  </si>
  <si>
    <t>B0CFK442SV</t>
  </si>
  <si>
    <t>B0DM8DMWYD</t>
  </si>
  <si>
    <t>B0CNXSLF8J</t>
  </si>
  <si>
    <t>B0B1ZVVG29</t>
  </si>
  <si>
    <t>B0C6DMNKRB</t>
  </si>
  <si>
    <t>B0B1ZY552J</t>
  </si>
  <si>
    <t>B0C6DP5K45</t>
  </si>
  <si>
    <t>B0C6DP9WLY</t>
  </si>
  <si>
    <t>B0CFK6Y877</t>
  </si>
  <si>
    <t>B0CFK7PM5Q</t>
  </si>
  <si>
    <t>B0CVV5ZKKF</t>
  </si>
  <si>
    <t>B0C6DLVZYJ</t>
  </si>
  <si>
    <t>B0DC3W5C9L</t>
  </si>
  <si>
    <t>Monitor Stand </t>
  </si>
  <si>
    <t>B0CDLFXWTP</t>
  </si>
  <si>
    <t>B0CFK58X9P</t>
  </si>
  <si>
    <t>B0CFK5WZT9</t>
  </si>
  <si>
    <t>B0CFK7RK5V</t>
  </si>
  <si>
    <t>B0C6DRTRW6</t>
  </si>
  <si>
    <t>B0C6H9FMHC</t>
  </si>
  <si>
    <t>B0BS1RSDG5</t>
  </si>
  <si>
    <t>B0D96V89C9</t>
  </si>
  <si>
    <t>B0B3MW4YQS</t>
  </si>
  <si>
    <t>B0D9Q2G57M</t>
  </si>
  <si>
    <t>B0CKFCNHL9</t>
  </si>
  <si>
    <t>B0D9Q2KQ7F</t>
  </si>
  <si>
    <t>B0CS3CRRH5</t>
  </si>
  <si>
    <t>B0D9Q3BF5Q</t>
  </si>
  <si>
    <t>Total Jan</t>
  </si>
  <si>
    <t>B0B3MS3N3Q</t>
  </si>
  <si>
    <t>B0CLJDJ8G9</t>
  </si>
  <si>
    <t>B0CS3HM49D</t>
  </si>
  <si>
    <t>B0CS6MHJPM</t>
  </si>
  <si>
    <t>B0CSBH58R9</t>
  </si>
  <si>
    <t>B0C6DPGGHT</t>
  </si>
  <si>
    <t>B0C6H8GT57</t>
  </si>
  <si>
    <t>B0CFK4F1C6</t>
  </si>
  <si>
    <t>B0CFK4SFV6</t>
  </si>
  <si>
    <t>B0CH1G1KP6</t>
  </si>
  <si>
    <t>B0CS3FD59Q</t>
  </si>
  <si>
    <t>B0CLJCQGWX</t>
  </si>
  <si>
    <t>B0CS3FPMNG</t>
  </si>
  <si>
    <t>B0CLJDL2DP</t>
  </si>
  <si>
    <t>B0CS3HRPPN</t>
  </si>
  <si>
    <t>B0CS3HXHTN</t>
  </si>
  <si>
    <t>B0CS6G45PS</t>
  </si>
  <si>
    <t>B0CS6K86XK</t>
  </si>
  <si>
    <t>B0CXR2Z3V4</t>
  </si>
  <si>
    <t>B0CH1F22WP</t>
  </si>
  <si>
    <t>B0CH1F2D22</t>
  </si>
  <si>
    <t>B0CSYMLT75</t>
  </si>
  <si>
    <t>B0CPPXLZ4L</t>
  </si>
  <si>
    <t>B0CXQ9NCDJ</t>
  </si>
  <si>
    <t>B0CFK57VNS</t>
  </si>
  <si>
    <t>B0CXQ9W6MH</t>
  </si>
  <si>
    <t>B0CLJDQVQT</t>
  </si>
  <si>
    <t>B0CXQJWPSH</t>
  </si>
  <si>
    <t>B0CXQT267X</t>
  </si>
  <si>
    <t>B0CPPWRYB3</t>
  </si>
  <si>
    <t>B0CS3HNKYC</t>
  </si>
  <si>
    <t>B0CXQBL7X2</t>
  </si>
  <si>
    <t>B0BB1NZ5R9</t>
  </si>
  <si>
    <t>B0CH19JL8V</t>
  </si>
  <si>
    <t>Total Feb</t>
  </si>
  <si>
    <t>B0CH19PJMB</t>
  </si>
  <si>
    <t>B0CH1B9J4W</t>
  </si>
  <si>
    <t>B0CH1BW7X9</t>
  </si>
  <si>
    <t>Standing Table  - M4</t>
  </si>
  <si>
    <t>B0CXQB2JC5</t>
  </si>
  <si>
    <t>B0CH1D7QK4</t>
  </si>
  <si>
    <t>B0CXQP3G8V</t>
  </si>
  <si>
    <t>B0CXQPMSCF</t>
  </si>
  <si>
    <t>B0CH1FC3HG</t>
  </si>
  <si>
    <t>B0CLJDF4SF</t>
  </si>
  <si>
    <t>B0CXQNXZ62</t>
  </si>
  <si>
    <t>B0BSCC3Y8K</t>
  </si>
  <si>
    <t>B0D7M4V9TV</t>
  </si>
  <si>
    <t>B0D7M4VWWR</t>
  </si>
  <si>
    <t>B0BB1QDD7P</t>
  </si>
  <si>
    <t>B0D7M51XKL</t>
  </si>
  <si>
    <t>B0BB1RFW8K</t>
  </si>
  <si>
    <t>B0D7M55SDF</t>
  </si>
  <si>
    <t>B0BB1PLXBM</t>
  </si>
  <si>
    <t>B08CRTD9MQ</t>
  </si>
  <si>
    <t>B0BB1P7NTN</t>
  </si>
  <si>
    <t>Standing Table  - SM4</t>
  </si>
  <si>
    <t>B0BS1SG8JS</t>
  </si>
  <si>
    <t>B0BS1T29GF</t>
  </si>
  <si>
    <t>B0BS1THZZH</t>
  </si>
  <si>
    <t>B0BS1TGV4X</t>
  </si>
  <si>
    <t>B0BS1TNVRP</t>
  </si>
  <si>
    <t>Total Mar</t>
  </si>
  <si>
    <t>B0CH19RX8W</t>
  </si>
  <si>
    <t>B0DJMD3JXW</t>
  </si>
  <si>
    <t>B0D7M57783</t>
  </si>
  <si>
    <t>B0DL62DQ5X</t>
  </si>
  <si>
    <t>B0DL62LWL3</t>
  </si>
  <si>
    <t>B0DC87R8QG</t>
  </si>
  <si>
    <t>B0DL6495LJ</t>
  </si>
  <si>
    <t>B0DL65FPXT</t>
  </si>
  <si>
    <t>B0DC8HYB4P</t>
  </si>
  <si>
    <t>Standing Table  - M14</t>
  </si>
  <si>
    <t>B0DL6B7ZDJ</t>
  </si>
  <si>
    <t>B0DC8NS3C5</t>
  </si>
  <si>
    <t>Total Apr</t>
  </si>
  <si>
    <t>B0DPMP2X41</t>
  </si>
  <si>
    <t>name</t>
  </si>
  <si>
    <t>B0DPN1V1HM</t>
  </si>
  <si>
    <t>B0DPN2D3PG</t>
  </si>
  <si>
    <t>B0DPN39HZ6</t>
  </si>
  <si>
    <t>B0DPN441CZ</t>
  </si>
  <si>
    <t>B0DPN4JQ6Y</t>
  </si>
  <si>
    <t>B0DPN4RZYW</t>
  </si>
  <si>
    <t>B0DPN55RGT</t>
  </si>
  <si>
    <t>B0DPN5QC7B</t>
  </si>
  <si>
    <t>B0DPN5Z9MX</t>
  </si>
  <si>
    <t>B0DS64HBC6</t>
  </si>
  <si>
    <t>B0C6DPT1DH</t>
  </si>
  <si>
    <t>B0CVQBBT88</t>
  </si>
  <si>
    <t>B0DXF2HC5C</t>
  </si>
  <si>
    <t>B0DL64G52T</t>
  </si>
  <si>
    <t>B0DZX24PYM</t>
  </si>
  <si>
    <t>B0DL656FLB</t>
  </si>
  <si>
    <t>B0DL65BKK2</t>
  </si>
  <si>
    <t>B0DL63Y3BJ</t>
  </si>
  <si>
    <t>B0DL64BSH2</t>
  </si>
  <si>
    <t>B0F1N6T25R</t>
  </si>
  <si>
    <t>B0CFK45YTL</t>
  </si>
  <si>
    <t>Total May</t>
  </si>
  <si>
    <t xml:space="preserve">Weeks </t>
  </si>
  <si>
    <t>Type</t>
  </si>
  <si>
    <t>SP Manual</t>
  </si>
  <si>
    <t>SP Auto</t>
  </si>
  <si>
    <t>SB</t>
  </si>
  <si>
    <t>SBV</t>
  </si>
  <si>
    <t>SD</t>
  </si>
  <si>
    <t>25_May</t>
  </si>
  <si>
    <t xml:space="preserve">Month </t>
  </si>
  <si>
    <t>Search Type</t>
  </si>
  <si>
    <t>Brand Ads</t>
  </si>
  <si>
    <t>Non Brand SB</t>
  </si>
  <si>
    <t>Non Brand SP</t>
  </si>
  <si>
    <t>Display Remarketing</t>
  </si>
  <si>
    <t>Non Brand Video</t>
  </si>
  <si>
    <t xml:space="preserve">Search Type </t>
  </si>
  <si>
    <t xml:space="preserve">Brand Ads </t>
  </si>
  <si>
    <t>March</t>
  </si>
  <si>
    <t>April</t>
  </si>
  <si>
    <t>Total June</t>
  </si>
  <si>
    <t>RAOS</t>
  </si>
  <si>
    <t>January</t>
  </si>
  <si>
    <t>ASIN</t>
  </si>
  <si>
    <t xml:space="preserve">Title </t>
  </si>
  <si>
    <t>Series</t>
  </si>
  <si>
    <t>ErgoYou - Clamp On Power Strip Extension Board Holder - Easy &amp; Quick Installation - No Drilling Required - Compatible with Power Strips 50 to 70 mm in height &amp; table top thickness 10 to 50 mm - Clean Work Desk - Desk Mount Wire &amp; Cable Management Solution - Compatible with most popular power strips</t>
  </si>
  <si>
    <t>EY HOR MH01-2 WHT V02</t>
  </si>
  <si>
    <t>ErgoYou - Clamp On Power Strip Extension Board Holder - Easy &amp; Quick Installation - No Drilling Required - Compatible with Power Strips between 40 to 70 mm in height and desk leg thickness between 38 to 90 mm - Clean Work Desk - Table Leg Mount Cable Management Solution - Compatible with most popular power strips</t>
  </si>
  <si>
    <t>EY VER MH02-4 WHT V02</t>
  </si>
  <si>
    <t xml:space="preserve">Extension &amp; Holder </t>
  </si>
  <si>
    <t>ErgoYou - Detachable Under Desk Cable Tray for Wire Management - Power Strip Tray and Charging Wires Organisor - Easy and Quick DIY Installation - 108 x 120 mm x 600 mm</t>
  </si>
  <si>
    <t>EY CT DETACH1 WHT V02</t>
  </si>
  <si>
    <t>ErgoYou - Electric Height Adjustable Standing Table - Single Motor 2 Stage - SM3 Series - Ergonomic Sit Stand Computer Desk - No Table Top, Only Frame | White Steel Frame</t>
  </si>
  <si>
    <t>EY HAT 1M 2S WHT SM3 V02</t>
  </si>
  <si>
    <t xml:space="preserve">Table Desk </t>
  </si>
  <si>
    <t>ErgoYou - Electric Height Adjustable Standing Table 47 x 23.5 inches - Single Motor 2 Stage - SM3 Series - Ergonomic Sit Stand Computer Desk – (Maple | 47 x 23.5 inches)</t>
  </si>
  <si>
    <t>EY HAT 1M 2S WHT SM3 V02 WG 600X1200</t>
  </si>
  <si>
    <t>ErgoYou - Electric Height Adjustable Standing Table 47 x 23.5 inches - Single Motor 2 Stage - SM3 Series - Ergonomic Sit Stand Computer Desk – (Walnut | 47 x 23.5 inches)</t>
  </si>
  <si>
    <t>EY HAT 1M 2S WHT SM3 V02 PW 600X1200</t>
  </si>
  <si>
    <t>ErgoYou - Electric Height Adjustable Standing Table 59 x 29.5 inches - Single Motor 2 Stage - SM3 Series - Ergonomic Sit Stand Computer Desk – (Maple | 59 x 29.5 inches)</t>
  </si>
  <si>
    <t>EY HAT 1M 2S WHT SM3 V02 WG 750x1500</t>
  </si>
  <si>
    <t>ErgoYou - Electric Height Adjustable Standing Table 59 x 29.5 inches - Single Motor 2 Stage - SM3 Series - Ergonomic Sit Stand Computer Desk – (Walnut | 59 x 29.5 inches)</t>
  </si>
  <si>
    <t>EY HAT 1M 2S WHT SM3 V02 PW 750x1500</t>
  </si>
  <si>
    <t>ErgoYou - Height Adjustable Table Desk Manual 2 Stage Ergonomic Sit-Stand Solution Imported (Engineered Wood, Maple: 47 x 23.5 inches)</t>
  </si>
  <si>
    <t>IS MT 2S WG 600X1200</t>
  </si>
  <si>
    <t>ErgoYou - Height Adjustable Table Desk Manual 2 Stage Ergonomic Sit-Stand Solution Imported (Engineered Wood, Maple: 59 x 29.5 inches)</t>
  </si>
  <si>
    <t>IS MT 2S WG 750X1500</t>
  </si>
  <si>
    <t>ErgoYou - Height Adjustable Table Desk Manual 2 Stage Ergonomic Sit-Stand Solution Imported (Engineered Wood, Walnut: 47 x 23.5 inches)</t>
  </si>
  <si>
    <t>IS MT 2S PW 600X1200</t>
  </si>
  <si>
    <t>ErgoYou - Height Adjustable Table Desk Manual 2 Stage Ergonomic Sit-Stand Solution Imported (Engineered Wood, Walnut: 59 x 29.5 inches)</t>
  </si>
  <si>
    <t>IS MT 2S PW 750X1500</t>
  </si>
  <si>
    <t>ErgoYou - Height Adjustable Table Desk Manual 2 Stage Ergonomic Sit-Stand Solution Imported (No Table Top, Only Frame)</t>
  </si>
  <si>
    <t>IS MT 2S OF</t>
  </si>
  <si>
    <t>ErgoYou - Pneumatic Height Adjustable Laptop Table - with Castor Wheels &amp; Levelers - Height Range 29.8 to 44.3 in - Table Top Size 22 x 31.5 in - Ergonomic Gas Lift Workstation - Smooth Hand Paddle</t>
  </si>
  <si>
    <t>EY HAT 1L 1T GL P76 WHT V02</t>
  </si>
  <si>
    <t>ErgoYou - Premium Electric Height Adjustable Standing Table - Heavy Duty Dual Motor 2 Stage - E2 Series - Ergonomic Sit Stand Computer Desk – (No Table Top, Only Frame)</t>
  </si>
  <si>
    <t>EY HAT 2M2S WHT E2 V03</t>
  </si>
  <si>
    <t>ErgoYou - Premium Electric Height Adjustable Standing Table 47 x 23.5 inches - Heavy Duty Dual Motor 2 Stage - E2 Series - Ergonomic Sit Stand Desk – Maple Laminate Table Top</t>
  </si>
  <si>
    <t>EY HAT 2M 2S WHT E2 V03 WG 600X1200</t>
  </si>
  <si>
    <t>ErgoYou - Premium Electric Height Adjustable Standing Table 47 x 23.5 inches - Heavy Duty Dual Motor 2 Stage - E2 Series - Ergonomic Sit Stand Desk – Walnut Laminate Table Top</t>
  </si>
  <si>
    <t>EY HAT 2M 2S WHT E2 V03 PW 600X1200</t>
  </si>
  <si>
    <t>ErgoYou - Premium Electric Height Adjustable Standing Table 59 x 29.5 inches - Heavy Duty Dual Motor 2 Stage - E2 Series - Ergonomic Sit Stand Desk</t>
  </si>
  <si>
    <t>EY HAT 2M 2S WHT E2 V03 WG 750X1500</t>
  </si>
  <si>
    <t>ErgoYou - Premium Electric Height Adjustable Standing Table 59 x 29.5 inches - Heavy Duty Dual Motor 2 Stage - E2 Series - Ergonomic Sit Stand Desk – Walnut Laminate Table Top</t>
  </si>
  <si>
    <t>EY HAT 2M 2S WHT E2 V03 PW 750X1500</t>
  </si>
  <si>
    <t>ErgoYou - Premium Gaming - Spring Adjustable LED LIT UP Monitor Arm Stand - 20 RGB Lighting Effects - Weight Capacity 9 kgs - Desktop Clamp or Grommet (Both Included) - 360 Degree Rotation</t>
  </si>
  <si>
    <t>EY SA MA GAM1 L 1S WHT V02</t>
  </si>
  <si>
    <t>ErgoYou - Premium Manual Height Adjustable Table 55 x 23.5 inches - 2 Stage with Smooth Hand Crank - Ergonomic Sit Stand Computer Desk - M4 Series - Imported (Black Table Top/Black Steel Frame)</t>
  </si>
  <si>
    <t>HAT MT 2S BLK M4 BLK 600X1400</t>
  </si>
  <si>
    <t>ErgoYou - Single Leg Gas Lift Sit Stand Desk - Portable - Angle &amp; Height Adjustable Table (0, -10, -20 and -30 Degrees) - Pneumatic Gas Spring - Space Saving &amp; Ergonomic - Castors &amp; Levellers Provided</t>
  </si>
  <si>
    <t>EY HAT 1L 1T GL TILT1 WHT V02</t>
  </si>
  <si>
    <t>EY HAT 1L 1T GL TILT1 BLK V02</t>
  </si>
  <si>
    <t>ErgoYou - Standing Desk Converter - Pneumatic Gas Spring Height Adjustable Sit Stand Desk - Locks at 6 Height Settings - 45, 215, 265, 305, 365 &amp; 405 mm - MDF Top with Water Resistant PVC Laminate</t>
  </si>
  <si>
    <t>EY DC 1T P2601 WHT V02</t>
  </si>
  <si>
    <t>ErgoYou - TABLE TOP 47 x 23.5 inches – Premium Engineered Wood - Rectangle Shape Desk Top suitable for Office Table, Study Table, Meeting/Conference Table, Standing Desk - 1200 x 600 x 25 mm – Maple Laminate</t>
  </si>
  <si>
    <t>WG 600 X 1200</t>
  </si>
  <si>
    <t>ErgoYou - TABLE TOP 47 x 23.5 inches – Premium Engineered Wood - Rectangle Shape Desk Top suitable for Office Table, Study Table, Meeting/Conference Table, Standing Desk - 1200 x 600 x 25 mm – Walnut Laminate</t>
  </si>
  <si>
    <t>PW 600 X 1200</t>
  </si>
  <si>
    <t>ErgoYou - TABLE TOP 59 x 29.5 inches – Premium Engineered Wood - Rectangle Shape Desk Top suitable for Office Table, Study Table, Meeting/Conference Table, Standing Desk - 1500 x 750 x 25 mm – Maple Laminate</t>
  </si>
  <si>
    <t>WG 750 X 1500</t>
  </si>
  <si>
    <t>ErgoYou - Table TOP 59 x 29.5 inches – Premium Engineered Wood - Rectangle Shape Desk Top Suitable for Office Table, Study Table, Standing Desk - 1500 x 750 x 25 mm – Walnut Laminate</t>
  </si>
  <si>
    <t>PW 750 X 1500</t>
  </si>
  <si>
    <t>ErgoYou Monitor Stand - Height Adjustable Computer Monitor Riser compatible with TV, Projector, PC Screen, Laptop, projector, LCD (27inches Max - Monitor Screen) - Ergonomic Design - Monitor Display Stand - Black</t>
  </si>
  <si>
    <t>MR-HTADJ-BLACK</t>
  </si>
  <si>
    <t>ErgoYou Economy Manual Height Adjustable Table - M3 Series, Sit-Standing Computer Desk (Maple: 55.1 x 23.6 inches | White Frame)</t>
  </si>
  <si>
    <t>EY HAT MT 2S WHT M3 WG 600X1400 V02</t>
  </si>
  <si>
    <t>ErgoYou - Single Leg Gas Lift Sit Stand Desk - Two Tier Height Adjustable Table - Gas Spring Operated - Pneumatic Sit Stand Desk - Black</t>
  </si>
  <si>
    <t>EY HAT 1L 2T GL P77 BLK V02</t>
  </si>
  <si>
    <t>ErgoYou - Tiltable Ergonomic Footrest - Comfortable &amp; Angle Adjustable for Home &amp; Office Use - Increase Blood Circulation &amp; Reduce Stress on Ankles, Knees, Thighs &amp; Back</t>
  </si>
  <si>
    <t>EY FR-11B BLK V02</t>
  </si>
  <si>
    <t>ErgoYou - Ergonomic Anti Fatigue Mat - 560 x 460 x 19 mm - Ideal for use at Height Adjustable Tables, Standing Desks, Kitchen, Receptionist &amp; Chefs - Imported High Durability Premium Polyurethane Foam</t>
  </si>
  <si>
    <t>EY AFM STM02-3 BLK V02</t>
  </si>
  <si>
    <t>ErgoYou - Premium Electric Height Adjustable Standing Table - Dual Motor 3 Stage - E3 Series - Ergonomic Sit Stand Computer Desk – (No Table Top, White Steel Frame)</t>
  </si>
  <si>
    <t>EY HAT 2M 3S WHT E3 V03</t>
  </si>
  <si>
    <t>ErgoYou - Premium Electric Height Adjustable Standing Table 47 x 23.5 inches - Dual Motor 3 Stage - E3 Series - Ergonomic Sit Stand Computer Desk – (Maple Laminate Table Top/White Steel Frame)</t>
  </si>
  <si>
    <t>EY HAT 2M 3S WHT E3 V03 WG 600X1200</t>
  </si>
  <si>
    <t>ErgoYou - Soft Cushioned Tiltable Ergonomic Footrest - Comfortable &amp; Angle Adjustable for Home &amp; Office Use - Increase Blood Circulation &amp; Reduce Stress on Ankles, Knees, Thighs &amp; Back - Removable &amp; Washable Cushion Cover</t>
  </si>
  <si>
    <t>EY FR-11 CUSHION BLK V02</t>
  </si>
  <si>
    <t>ErgoYou – Premium Power Console - Extension Board - 2 USB &amp; 3 Universal Sockets with Removable Desk Clamp on Table – Electrical Cable Management – 1.2m Extension Cord with 3 Pin Plug</t>
  </si>
  <si>
    <t>IS PDX CN NS4</t>
  </si>
  <si>
    <t>ErgoYou – Premium Power Console - Extension Board - 4 Universal Sockets with Removable Desk Clamp on Table – Electrical Cable Management – 1.2m Extension Cord with 3 Pin Plug</t>
  </si>
  <si>
    <t>IS PDX CN NS3</t>
  </si>
  <si>
    <t>Set of 2 - ErgoYou - Premium Gaming - Spring Adjustable LED LIT UP Monitor Arm Stand - 20 RGB Lighting Effects - Weight Capacity 9 kgs - Desktop Clamp or Grommet (Both Included) - 360 Degree Rotation</t>
  </si>
  <si>
    <t>QTY 2 - EY SA MA GAM1 L 1S WHT V02</t>
  </si>
  <si>
    <t>ErgoYou - Electric Height Adjustable Standing Table 47 x 23.5 inches - Dual Motor 3 Stage - E1A Series - Ergonomic Sit Stand Computer Desk – (Walnut | 47 x 23.5 inches | Black Steel Frame)</t>
  </si>
  <si>
    <t>EY HAT 2M 3S BLK E1 A V02 PW 600X1200</t>
  </si>
  <si>
    <t>ErgoYou Electric Height Adjustable Table Motorized Ergonomic Sit Stand Computer Desk - SM3 Series - 59 x 29.5 inches - Walnut Laminate Table Top</t>
  </si>
  <si>
    <t>EY HAT 1M 2S BLK SM3 V02 PW 750x1500</t>
  </si>
  <si>
    <t>ErgoYou - Electric Height Adjustable Standing Table - Dual Motor 3 Stage - E1A Series - Ergonomic Sit Stand Computer Desk – (Walnut | 59 x 29.5 inches | Black Steel Frame)</t>
  </si>
  <si>
    <t>EY HAT 2M 3S BLK E1 A V02 PW 750X1500</t>
  </si>
  <si>
    <t>ErgoYou - Electric Height Adjustable Standing Table 47 x 23.5 inches - Dual Motor 3 Stage - E1A Series - Ergonomic Sit Stand Computer Desk – (Walnut | White Steel Frame, 47 x 23.5 inches)</t>
  </si>
  <si>
    <t>EY HAT 2M 3S WHT E1A V02 PW 600X1200</t>
  </si>
  <si>
    <t>ErgoYou - Electric Height Adjustable Standing Table - Dual Motor 3 Stage - E1A Series - Ergonomic Sit Stand Computer Desk (No Table Top, Only White Steel Frame)</t>
  </si>
  <si>
    <t>EY HAT 2M 3S WHT E1-A V02</t>
  </si>
  <si>
    <t>ErgoYou - Premium Standing Desk Converter - Pneumatic Gas Spring Height Adjustable Sit Stand - Smooth Adjustment with max Height 17.5 inches - Ample Workspace - Engineered Wood, Melamine and Steel</t>
  </si>
  <si>
    <t>EY DC 2T Z25 BLK V02</t>
  </si>
  <si>
    <t>ErgoYou Premium Electric Height Adjustable Table Heavy Duty - Dual Motor 3 Stage - E3 Series - Ergonomic Sit Stand Computer Desk - 59 x 29.5 inches - Walnut Laminate Table Top</t>
  </si>
  <si>
    <t>EY HAT 2M 3S WHT E3 V03 PW 750X1500</t>
  </si>
  <si>
    <t>ErgoYou Premium Electric Height Adjustable Table Heavy Duty - Dual Motor 3 Stage - E3 Series - Ergonomic Sit Stand Computer Desk - 59 x 29.5 inches - Maple Laminate Table Top</t>
  </si>
  <si>
    <t>EY HAT 2M 3S WHT E3 V03 WG 750X1500</t>
  </si>
  <si>
    <t>EY HAT 2M 3S BLK E3 VO3 WG 7500 X 1500</t>
  </si>
  <si>
    <t>ErgoYou Electric Height Adjustable Table Motorized Ergonomic Sit Stand Computer Desk - SM3 Series - Black Steel Frame</t>
  </si>
  <si>
    <t>EY HAT 1M 2S BLK SM3 V02</t>
  </si>
  <si>
    <t>ErgoYou Electric Height Adjustable Table Motorized Ergonomic Sit Stand Computer Desk - SM3 Series - 47 x 23.5 inches - Walnut Laminate Table Top</t>
  </si>
  <si>
    <t>EY HAT 1M 2S BLK SM3 V02 PW 600X1200</t>
  </si>
  <si>
    <t>ErgoYou - Electric Height Adjustable Standing Table - Dual Motor 3 Stage - E1A Series - Ergonomic Sit Stand Computer Desk – (Carbon Fiber Colour | Black Steel Frame, 59 x 29.5 inches)</t>
  </si>
  <si>
    <t>EY HAT 2M 3S BLK E1 A V02 CF 750X1500</t>
  </si>
  <si>
    <t>ErgoYou - Electric Height Adjustable Standing Table 47 x 23.5 inches - Dual Motor 3 Stage - E1A Series - Ergonomic Sit Stand Computer Desk – (Maple | 47 x 23.5 inches | Black Steel Frame)</t>
  </si>
  <si>
    <t>EY HAT 2M 3S BLK E1 A V02 WG 600X1200</t>
  </si>
  <si>
    <t>ErgoYou - Clamp On Power Strip Extension Board Holder - No Drilling Required - Compatible with Power Strips 50 to 70 mm &amp; Tabletop Thickness 10 to 50 mm - Desk Mount Wire &amp; Cable Management Solution</t>
  </si>
  <si>
    <t>FBA EY HOR MH01-2 WHT V02</t>
  </si>
  <si>
    <t>ErgoYou - Electric Height Adjustable Standing Table 47 x 23.5 inches - Dual Motor 2 Stage - 100 Kg weight capacity - E4 Series - Ergonomic Sit Stand Computer Desk – (Maple, 47 x 23.5 inches)</t>
  </si>
  <si>
    <t>EY HAT 2M2S WHT E4 V02 WG 600X1200</t>
  </si>
  <si>
    <t>ErgoYou Premium Electric Height Adjustable Table Heavy Duty - Dual Motor 3 Stage - E3 Series - Ergonomic Sit Stand Computer Desk - Black Steel Frame</t>
  </si>
  <si>
    <t>EY HAT 2M 3S BLK E3 VO3</t>
  </si>
  <si>
    <t>ErgoYou Premium Electric Height Adjustable Table Heavy Duty - Dual Motor 3 Stage - E3 Series - Ergonomic Sit Stand Computer Desk - 47 x 23.5 inches - Walnut Laminate Table Top</t>
  </si>
  <si>
    <t>EY HAT 2M 3S BLK E3 VO3 PW 600 X 1200</t>
  </si>
  <si>
    <t>ErgoYou Electric Height Adjustable Table Motorized Ergonomic Sit Stand Computer Desk - SM3 Series - 47 x 23.5 inches - Carbon Fibre Laminate Table Top</t>
  </si>
  <si>
    <t>EY HAT 1M 2S BLK SM3 V02 CF 600X1200</t>
  </si>
  <si>
    <t>ErgoYou Premium Electric Height Adjustable Table Heavy Duty - DUAL MOTOR 3 STAGE - 120 kg weight capacity - E3 Series - Ergonomic Sit Stand Computer Desk - 47 x 23.5 inches - Walnut Laminate Table Top</t>
  </si>
  <si>
    <t>EY HAT 2M 3S WHT E3 V03 PW 600X1200</t>
  </si>
  <si>
    <t>ErgoYou Electric Height Adjustable Table Motorized Ergonomic Sit Stand Computer Desk - SM3 Series - 59 x 29.5 inches - Maple Laminate Table Top</t>
  </si>
  <si>
    <t>EY HAT 1M 2S BLK SM3 V02 WG 750x1500</t>
  </si>
  <si>
    <t>ErgoYou Electric Height Adjustable Table Motorized Ergonomic Sit Stand Computer Desk - SM3 Series - 59 x 29.5 inches - Carbon Fibre Laminate Table Top</t>
  </si>
  <si>
    <t>EY HAT 1M 2S BLK SM3 V02 CF 750x1500</t>
  </si>
  <si>
    <t>ErgoYou - Electric Height Adjustable Standing Table 47 x 23.5 inches - Dual Motor 3 Stage - E1A Series - Ergonomic Sit Stand Computer Desk - No Table Top, Only Steel Frame | Black</t>
  </si>
  <si>
    <t>EY HAT 2M 3S BLK E1 A V02</t>
  </si>
  <si>
    <t>ErgoYou - Electric Height Adjustable Standing Table - Dual Motor 3 Stage - E1A Series - Ergonomic Sit Stand Computer Desk – (Walnut | White Steel Frame, 59 x 29.5 inches)</t>
  </si>
  <si>
    <t>EY HAT 2M 3S WHT E1A V02 PW 750X1500</t>
  </si>
  <si>
    <t>ErgoYou - Electric Height Adjustable Standing Table 47 x 23.5 inches - Dual Motor 2 Stage - 100 Kg weight capacity - E4 Series - Ergonomic Sit Stand Computer Desk – (Walnut, 47 x 23.5 inches)</t>
  </si>
  <si>
    <t>EY HAT 2M2S WHT E4 V02 PW 600X1200</t>
  </si>
  <si>
    <t>ErgoYou - Manual Height Adjustable Table - 2 Stage with Smooth Hand Crank - Ergonomic Standing Computer Desk - M8 Series - Imported - White, Steel, Frame Only (Table Top Not Included)</t>
  </si>
  <si>
    <t>HAT MT 2S WHT M8 OF</t>
  </si>
  <si>
    <t>ErgoYou - Single Leg Gas Lift Sit Stand Desk - Two Tier Height Adjustable Table - Gas Spring Operated - Pneumatic Sit Stand Desk - White</t>
  </si>
  <si>
    <t>EY HAT 1L 2T GL P77 WHT V02</t>
  </si>
  <si>
    <t>ErgoYou - Electric Height Adjustable Standing Table - Dual Motor 3 Stage - E1A Series - Ergonomic Sit Stand Computer Desk – (Maple | 59 x 29.5 inches | Black Steel Frame)</t>
  </si>
  <si>
    <t>EY HAT 2M 3S BLK E1 A V02 WG 750X1500</t>
  </si>
  <si>
    <t>ErgoYou - Electric Height Adjustable Standing Table - Dual Motor 3 Stage - E1A Series - Ergonomic Sit Stand Computer Desk – (Maple | White Steel Frame, 59 x 29.5 inches)</t>
  </si>
  <si>
    <t>EY HAT 2M 3S WHT E1A V02 WG 750X1500</t>
  </si>
  <si>
    <t>ErgoYou - Electric Height Adjustable Standing Table 47 x 23.5 inches - Dual Motor 3 Stage -100 kg Weight Capacity - E1A Series - Ergonomic Sit Stand Computer Desk – (Maple, 47 x 23.5 inches)</t>
  </si>
  <si>
    <t>EY HAT 2M3S WHT E1A V02 WG 600X1200</t>
  </si>
  <si>
    <t>ErgoYou - Electric Height Adjustable Standing Table - Dual Motor 2 Stage - 100 Kg weight capacity - E4 Series - Ergonomic Sit Stand Computer Desk – (Maple, 59 x 29.5 inches)</t>
  </si>
  <si>
    <t>EY HAT 2M2S WHT E4 V02 WG 750X1500</t>
  </si>
  <si>
    <t>ErgoYou - Electric Height Adjustable Standing Table 47 x 23.5 inches - Dual Motor 3 Stage -100 kg Weight Capacity - E1A Series - Ergonomic Sit Stand Computer Desk – (Walnut, 47 x 23.5 inches)</t>
  </si>
  <si>
    <t>EY HAT 2M3S WHT E1A V02 PW 600X1200</t>
  </si>
  <si>
    <t>ErgoYou - Electric Height Adjustable Standing Table - Dual Motor 2 Stage - 100 Kg weight capacity - E4 Series - Ergonomic Sit Stand Computer Desk – (Walnut, 59 x 29.5 inches)</t>
  </si>
  <si>
    <t>EY HAT 2M2S WHT E4 V02 PW 750X1500</t>
  </si>
  <si>
    <t>ErgoYou - Electric Height Adjustable Standing Table - Dual Motor 3 Stage -100 kg Weight Capacity - E1A Series - Ergonomic Sit Stand Computer Desk (No Table Top, Only Steel Frame)</t>
  </si>
  <si>
    <t>EY HAT 2M3S WHT E1A V02</t>
  </si>
  <si>
    <t>ErgoYou - Electric Height Adjustable Standing Table - Dual Motor 3 Stage -100 kg Weight Capacity - E1A Series - Ergonomic Sit Stand Computer Desk – (Maple, 59 x 29.5 inches)</t>
  </si>
  <si>
    <t>EY HAT 2M3S WHT E1A V02 WG 750X1500</t>
  </si>
  <si>
    <t>ErgoYou Alloy Steel Economy - Manual Height Adjustable Table 55.1 X 23.6 Inches - 2 Stage With Smooth Hand Crank - M3 Series - Imported (Black Table Top/Black Steel Frame)</t>
  </si>
  <si>
    <t>HAT MT 2S BLK M3 BLK 600X1400</t>
  </si>
  <si>
    <t>ErgoYou Premium Electric Height Adjustable Table Heavy Duty - Dual Motor 3 Stage - E3 Series - Ergonomic Sit Stand Computer Desk - 47 x 23.5 inches - Maple Laminate Table Top</t>
  </si>
  <si>
    <t>EY HAT 2M 3S BLK E3 VO3 WG 600 X 1200</t>
  </si>
  <si>
    <t>EY HAT 2M 3S BLK E3 VO3 PW 7500 X 1500</t>
  </si>
  <si>
    <t>ErgoYou Electric Height Adjustable Table Motorized Ergonomic Sit Stand Computer Desk - SM3 Series - 47 x 23.5 inches - Maple Laminate Table Top</t>
  </si>
  <si>
    <t>EY HAT 1M 2S BLK SM3 V02 WG 600X1200</t>
  </si>
  <si>
    <t>ErgoYou - Electric Height Adjustable Standing Table - Dual Motor 3 Stage - E1A Series - Ergonomic Sit Stand Computer Desk – (Carbon Fiber Colour | Black Steel Frame, 47 x 23.5 inches)</t>
  </si>
  <si>
    <t>EY HAT 2M 3S BLK E1 A V02 CF 600X1200</t>
  </si>
  <si>
    <t>ErgoYou - Electric Height Adjustable Standing Table - Dual Motor 2 Stage - 100 Kg weight capacity - E4 Series - Ergonomic Sit Stand Computer Desk (No Table Top, Only Steel Frame)</t>
  </si>
  <si>
    <t>EY HAT 2M2S WHT E4 V02</t>
  </si>
  <si>
    <t>ErgoYou - Manual Height Adjustable Table 47 x 23.5 inches - 2 Stage with Smooth Hand Crank - Ergonomic Standing Computer Desk - M8 Series - Imported (Maple Laminate Table Top/White Steel Frame)</t>
  </si>
  <si>
    <t>HAT MT 2S WHT M8 WG 600X1200</t>
  </si>
  <si>
    <t>ErgoYou - Manual Height Adjustable Table 47 x 23.5 inches - 2 Stage with Smooth Hand Crank - Ergonomic Standing Desk - M8 Series - Imported (Walnut Laminate Table Top/White Steel Frame)</t>
  </si>
  <si>
    <t>HAT MT 2S WHT M8 PW 600X1200</t>
  </si>
  <si>
    <t>ErgoYou - Manual Height Adjustable Table 59 x 29.5 inches - 2 Stage with Smooth Hand Crank - Ergonomic Standing Desk - M8 Series - Imported (Walnut Laminate Table Top/White Steel Frame)</t>
  </si>
  <si>
    <t>HAT MT 2S WHT M8 PW 750X1500</t>
  </si>
  <si>
    <t>ErgoYou - Manual Height Adjustable Table 59 x 29.5 inches - 2 Stage with Smooth Hand Crank - Ergonomic Standing Computer Desk - M8 Series - Imported (Maple Laminate Table Top/White Steel Frame)</t>
  </si>
  <si>
    <t>HAT MT 2S WHT M8 WG 750X1500</t>
  </si>
  <si>
    <t>ErgoYou - Electric Height Adjustable Standing Table - Dual Motor 3 Stage -100 kg Weight Capacity - E1A Series - Ergonomic Sit Stand Computer Desk – (Walnut, 59 x 29.5 inches)</t>
  </si>
  <si>
    <t>EY HAT 2M3S WHT E1A V02 PW 750X1500</t>
  </si>
  <si>
    <t>ErgoYou - Manual Height Adjustable Table - 2 Stage with Smooth Hand Crank - Ergonomic Standing Computer Desk - M8 Series - Imported - Black, Steel, Frame Only (Table Top Not Included)</t>
  </si>
  <si>
    <t>HAT MT 2S BLK M8 OF</t>
  </si>
  <si>
    <t>ErgoYou - Manual Height Adjustable Table 59 x 29.5 inches - 2 Stage with Smooth Hand Crank - Ergonomic Standing Computer Desk - M8 Series - Imported (Walnut Laminate Table Top/Black Steel Frame)</t>
  </si>
  <si>
    <t>HAT MT 2S BLK M8 PW 750X1500</t>
  </si>
  <si>
    <t>ErgoYou - Manual Height Adjustable Table 59 x 29.5 inches - 2 Stage with Smooth Hand Crank - Ergonomic Standing Computer Desk - M8 Series - Imported (Maple Laminate Table Top/Black Steel Frame)</t>
  </si>
  <si>
    <t>HAT MT 2S BLK M8 WG 750X1500</t>
  </si>
  <si>
    <t>ErgoYou - Manual Height Adjustable Table 47 x 23.5 inches - 2 Stage with Smooth Hand Crank - Ergonomic Standing Computer Desk - M8 Series - Imported (Walnut Laminate Table Top/Black Steel Frame)</t>
  </si>
  <si>
    <t>HAT MT 2S BLK M8 PW 600X1200</t>
  </si>
  <si>
    <t>ErgoYou - Manual Height Adjustable Table 47 x 23.5 inches - 2 Stage with Smooth Hand Crank - Ergonomic Standing Computer Desk - M8 Series - Imported (Maple Laminate Table Top/Black Steel Frame)</t>
  </si>
  <si>
    <t>HAT MT 2S BLK M8 WG 600X1200</t>
  </si>
  <si>
    <t>ErgoYou - Electric Height Adjustable Standing Table - Dual Motor 3 Stage - E1A Series - Ergonomic Sit Stand Computer Desk – (Carbon Fibre Colour| White Frame | 47 x 23.5 inches)</t>
  </si>
  <si>
    <t>EY HAT 2M 3S WHT E1A V02 CF 600X1200</t>
  </si>
  <si>
    <t>ErgoYou EY EX Series - 2M2S - Black (Engineered Wood | Maple | Black Steel Frame, 59 x 29.5 inches)</t>
  </si>
  <si>
    <t>EY HAT 2M 2S BLK E2 VO3 WG 750 X 1500</t>
  </si>
  <si>
    <t>ErgoYou EY EX Series - 2M2S - Black (Engineered Wood | Maple | Black Steel Frame, 47 x 23.5 inches)</t>
  </si>
  <si>
    <t>EY HAT 2M 2S BLK E2 VO3 WG 600 X 1200</t>
  </si>
  <si>
    <t>ErgoYou - Clamp On Ergonomic Keyboard Tray with Tilt Funcitonality - 5 Angle Adjustment Options 15°/7.5°/0°/-7.5°/-15° - No Drilling Required - Compatible with Table top Thickness Upto 45 mm</t>
  </si>
  <si>
    <t>FBA EY KBT-08T BLK V02</t>
  </si>
  <si>
    <t xml:space="preserve"> Keyboard Tray</t>
  </si>
  <si>
    <t>ErgoYou - Electric Height Adjustable Standing Table - HEAVY DUTY - Dual Motor 2 Stage - 150 Kgs Max Weight Capacity - E2 Series - Ergonomic Sit Stand Desk (No Table Top, Only Black Steel Frame)</t>
  </si>
  <si>
    <t>EY HAT 2M 2S BLK E2 VO3</t>
  </si>
  <si>
    <t>ErgoYou - Electric Height Adjustable Standing Table - HEAVY DUTY - Dual Motor 2 Stage - 150 Kgs Max Weight Capacity - E2 Series - Ergonomic Sit Stand Desk (Walnut: 59 x 29.5 inches)</t>
  </si>
  <si>
    <t>EY HAT 2M 2S BLK E2 VO3 PW 750 X 1500</t>
  </si>
  <si>
    <t>ErgoYou - Electric Height Adjustable Standing Table - HEAVY DUTY - Dual Motor 2 Stage - 150 Kgs Max Weight Capacity - E2 Series - Ergonomic Sit Stand Desk (Walnut: 47 x 23.5 inches)</t>
  </si>
  <si>
    <t>EY HAT 2M 2S BLK E2 VO3 PW 600 X 1200</t>
  </si>
  <si>
    <t>ErgoYou - Electric Height Adjustable Standing Table - Dual Motor 2 Stage - 110 Kg max weight capacity - E4 Series - Ergonomic Sit Stand Computer Desk (Walnut, 47 x 23.5 inches)</t>
  </si>
  <si>
    <t>EY HAT 2M 2S BLK E4 V02 PW 600X1200</t>
  </si>
  <si>
    <t>ErgoYou - Electric Height Adjustable Standing Table - Dual Motor 2 Stage - 110 Kg max weight capacity - E4 Series - Ergonomic Sit Stand Computer Desk (No Table Top, Only Steel Frame)</t>
  </si>
  <si>
    <t>EY HAT 2M 2S BLK E4 V02</t>
  </si>
  <si>
    <t>ErgoYou - Electric Height Adjustable Standing Table - Dual Motor 2 Stage - 110 Kg max weight capacity - E4 Series - Ergonomic Sit Stand Computer Desk (Walnut, 59 x 29.5 inches)</t>
  </si>
  <si>
    <t>EY HAT 2M 2S BLK E4 V02 PW 750X1500</t>
  </si>
  <si>
    <t>ErgoYou - Electric Height Adjustable Standing Table - Dual Motor 2 Stage - 110 Kg max weight capacity - E4 Series - Ergonomic Sit Stand Computer Desk (Maple, 47 x 23.5 inches)</t>
  </si>
  <si>
    <t>EY HAT 2M 2S BLK E4 V02 WG 600X1200</t>
  </si>
  <si>
    <t>ErgoYou - Premium Spring Adjustable Monitor Arm Stand - VESA Mount - Weight Capacity 2-9 kgs - for most 17-32" screens - Clamp or Grommet Mount - 360 Degree Rotation</t>
  </si>
  <si>
    <t>Set of 2 - ErgoYou - Premium Spring Adjustable Monitor Arm Stand - VESA Mount - Weight Capacity 2-9 kgs - for most 17-32" screens - Clamp or Grommet Mount - 360 Degree Rotation</t>
  </si>
  <si>
    <t>2X EY MA G2 1S BLK WHT V02</t>
  </si>
  <si>
    <t>ErgoYou - Premium Gaming - Spring Adjustable LED LIT UP Monitor Arm Stand - 20 RGB Lighting Effects - Weight Capacity 9 kgs - Desktop Clamp or Grommet - 360 Degree Rotation - for 17-32 inches screens</t>
  </si>
  <si>
    <t>EY MA GAM1 L 1S WHT V02</t>
  </si>
  <si>
    <t>ErgoYou - Electric Height Adjustable Standing Table - Dual Motor 2 Stage - 110 Kg max weight capacity - E4 Series - Ergonomic Sit Stand Computer Desk (Maple, 59 x 29.5 inches)</t>
  </si>
  <si>
    <t>EY HAT 2M 2S BLK E4 V02 WG 750X1500</t>
  </si>
  <si>
    <t>ErgoYou - Clamp-on Under Desk Cable Tray for Wire Management - Power Strip Tray and Charging Wires Organisor - Easy and Quick DIY Installation - 105 x 207 x 600 mm</t>
  </si>
  <si>
    <t>EY CT CLAMP1 WHT V02</t>
  </si>
  <si>
    <t>ErgoYou - Premium Spring Adjustable Monitor Arm Stand - VESA Mount - Weight Capacity 2-9 kgs - for Most 17-32" Screens - Clamp or Grommet Mount - 360 Degree Rotation</t>
  </si>
  <si>
    <t>FBA EY MA G2 1S BLK WHT V02</t>
  </si>
  <si>
    <t>ErgoYou - Laptop Stand 3 - Height Adjustable Computer Laptop Riser - Z Fold</t>
  </si>
  <si>
    <t>EY LR FLAT SIL/BLK VPIY</t>
  </si>
  <si>
    <t>ErgoYou - Clamp On Cup, Can, Bag and Headphone Holder - Easy Installation - No Drilling Required - Compatible with Table Tops upto 54 mm thickness - Clean Work Desk - No Drink Spillage - Desk Mount</t>
  </si>
  <si>
    <t>EY CH HPS01-9 SIL V02</t>
  </si>
  <si>
    <t>ErgoYou - Electric Height Adjustable Standing Table - Dual Motor 2 Stage - E4 Series - Ergonomic Sit Stand Computer Desk (No Table Top, Only Steel Frame)</t>
  </si>
  <si>
    <t>ErgoYou - Clamp On Power Strip Extension Board Holder - Easy &amp; Quick Installation - No Drilling Required - Compatible with Power Strips 50 to 70 mm in Height &amp; Tabletop Thickness 10 to 50 mm (Black)</t>
  </si>
  <si>
    <t>EY HOR MH01-2 BLK V02</t>
  </si>
  <si>
    <t>ErgoYou - Table TOP 47 x 23.5 inches ? Premium Engineered Wood - Rectangle Shape Desk Top Suitable for Office Table, Study Table, Standing Desk - 1200 x 600 x 18 mm ? White Laminate</t>
  </si>
  <si>
    <t>WHT 18X600X1200 RC</t>
  </si>
  <si>
    <t>ErgoYou - Table TOP 59 x 29.5 inches ? Premium Engineered Wood - Rectangle Shape Desk Top Suitable for Office Table, Study Table, Standing Desk - 1500 x 750 x 25 mm ? Carbon Fibre Laminate</t>
  </si>
  <si>
    <t>CF 750 X 1500</t>
  </si>
  <si>
    <t>ErgoYou - Table TOP 47 x 23.5 inches ? Premium Engineered Wood - Rectangle Shape Desk Top Suitable for Office Table, Study Table, Standing Desk - 1200 x 600 x 25 mm ? Carbon Fibre Laminate</t>
  </si>
  <si>
    <t>CF 600 X 1200</t>
  </si>
  <si>
    <t>ErgoYou - Manual Height Adjustable Table - 2 Stage - M8 Series - Imported - Black Steel, Frame Only (Table Top Not Included) (Engineered Wood, Walnut: 47 x 23.5 inches | Black Frame)</t>
  </si>
  <si>
    <t>EY HAT MT 2S BLK M8 PW 600X1200</t>
  </si>
  <si>
    <t>ErgoYou Manual M3 (Frost White Table Top, 600 x 1200 mm)</t>
  </si>
  <si>
    <t>IS MT 2S FW 600X1200</t>
  </si>
  <si>
    <t>ErgoYou Electric Height Adjustable Table Motorized Ergonomic Sit Stand Desk - 80 Kgs Max Weight Capacity - SM4 Series - 59 x 29.5 inches - Maple Laminate Table Top</t>
  </si>
  <si>
    <t>EY HAT 1M 2S WHT SM4 V04 WG 750x1500</t>
  </si>
  <si>
    <t>ErgoYou Electric Height Adjustable Table Motorized Ergonomic Sit Stand Desk - 80 Kgs Max Weight Capacity - SM4 Series - 59 x 29.5 inches - Walnut Laminate Table Top</t>
  </si>
  <si>
    <t>EY HAT 1M 2S WHT SM4 V04 PW 750x1500</t>
  </si>
  <si>
    <t>ErgoYou Electric Height Adjustable Table Motorized Ergonomic Sit Stand Computer Desk - 80 Kgs Max Weight Capacity - SM4 Series - White Steel Frame</t>
  </si>
  <si>
    <t>EY HAT 1M 2S WHT SM4 V04</t>
  </si>
  <si>
    <t>ErgoYou Electric Height Adjustable Table Motorized Ergonomic Sit Stand Desk - 80 Kgs Max Weight Capacity - SM4 Series - 47 x 23.5 inches - Walnut Laminate Table Top</t>
  </si>
  <si>
    <t>EY HAT 1M 2S WHT SM4 V04 PW 600x1200</t>
  </si>
  <si>
    <t>ErgoYou Electric Height Adjustable Table Motorized Ergonomic Sit Stand Desk - 80 Kgs Max Weight Capacity - SM4 Series - 47 x 23.5 inches - Maple Laminate Table Top</t>
  </si>
  <si>
    <t>EY HAT 1M 2S WHT SM4 V04 WG 600x1200</t>
  </si>
  <si>
    <t>ErgoYou - Clamp-on Under Desk Cable Tray for Wire Management - Power Strip Tray and Charging Wires Organisor - Easy and Quick DIY Installation - 400 X 129 X 190 mm (CLAMP5)</t>
  </si>
  <si>
    <t>ErgoYou - Under Desk Cable Tray for Wire Management - Power Strip Tray and Charging Wires Organisor - Easy and Quick DIY Installation - 600 X 76 X 114 mm (UCT1)</t>
  </si>
  <si>
    <t>Cup and Headphone Holder for Desk in Office or Home, Anti-Spill Cup Holder for Desk, Cup Holder for Workstations or Gaming Desk</t>
  </si>
  <si>
    <t>ErgoYou - Manual Height Adjustable Table - 2 Stage - 60 Kgs Max Weight Capacity - M14 Series - Ergonomic Sit Stand Desk with Smooth Hand Crank - Imported - Black | Only Steel Frame</t>
  </si>
  <si>
    <t>ErgoYou - Manual Height Adjustable Standing Table - 2 Stage - 60 Kgs Max Weight Capacity - M14 Series - Imported - Ergonomic Sit Stand Desk - White Steel Frame| Walnut Table Top: 47 x 23.5 inches</t>
  </si>
  <si>
    <t>ErgoYou - Manual Height Adjustable Standing Table - 2 Stage - 60 Kgs Max Weight Capacity - M14 Series - Imported - Ergonomic Sit Stand Desk - White Steel Frame| Maple Table Top: 47 x 23.5 inches</t>
  </si>
  <si>
    <t>ErgoYou - Manual Height Adjustable Standing Table - 2 Stage - 60 Kgs Max Weight Capacity - M14 Series - Imported - Ergonomic Sit Stand Desk - Black Steel Frame| Walnut Table Top: 47 x 23.5 inches</t>
  </si>
  <si>
    <t>ErgoYou - Manual Height Adjustable Standing Table - 2 Stage - 60 Kgs Max Weight Capacity - M14 Series - Imported - Ergonomic Sit Stand Desk - White Steel Frame| Walnut Table Top: 59 x 29.5 inches</t>
  </si>
  <si>
    <t>ErgoYou - Manual Height Adjustable Table - 2 Stage - 60 Kgs Max Weight Capacity - M14 Series - Ergonomic Sit Stand Desk with Smooth Hand Crank - Imported - White | Only Steel Frame</t>
  </si>
  <si>
    <t>ErgoYou - Manual Height Adjustable Standing Table - 2 Stage - 60 Kgs Max Weight Capacity - M14 Series - Imported - Ergonomic Sit Stand Desk - Black Steel Frame| Maple Table Top: 59 x 29.5 inches</t>
  </si>
  <si>
    <t>ErgoYou - Manual Height Adjustable Standing Table - 2 Stage - 60 Kgs Max Weight Capacity - M14 Series - Imported - Ergonomic Sit Stand Desk - Black Steel Frame| Maple Table Top: 47 x 23.5 inches</t>
  </si>
  <si>
    <t>ErgoYou - Manual Height Adjustable Standing Table - 2 Stage - 60 Kgs Max Weight Capacity - M14 Series - Imported - Ergonomic Sit Stand Desk - White Steel Frame| Maple Table Top: 59 x 29.5 inches</t>
  </si>
  <si>
    <t>ErgoYou - Manual Height Adjustable Standing Table - 2 Stage - 60 Kgs Max Weight Capacity - M14 Series - Imported - Ergonomic Sit Stand Desk - Black Steel Frame| Walnut Table Top: 59 x 29.5 inches</t>
  </si>
  <si>
    <t>ErgoYou - Clamp On Ergonomic Keyboard Tray - Easy &amp; Quick Installation and Assembly - No Drilling Required - Compatible with Table top Thickness Upto 45 mm - Space Saving Solution</t>
  </si>
  <si>
    <t>ErgoYou - Detachable Under Desk Cable Tray for Wire Management - Power Strip Tray and Charging Wires Organisor - Easy and Quick DIY Installation - 108 x 120 x 600 mm - Black</t>
  </si>
  <si>
    <t>ErgoYou Height Adjustable Table Desk | Electric &amp; Motorized | 2 Stage | Dual Motor | Ergonomic Sit-Stand Solution | Imported (Carbon Fiber Laminate Engineered Wood, 47 x 23.5 inches)</t>
  </si>
  <si>
    <t>ErgoYou Electric Height Adjustable Table Motorized Ergonomic Sit Stand Desk - 80 Kgs Max Weight Capacity - SM4 Series - 750 x 1500 mm - Maple Laminate Table Top</t>
  </si>
  <si>
    <t>ErgoYou Electric Height Adjustable Table Motorized Ergonomic Sit Stand Desk - 80 Kgs Max Weight Capacity - SM4 Series - 750 x 1500 mm - Walnut Laminate Table Top</t>
  </si>
  <si>
    <t>ErgoYou Electric Height Adjustable Table Motorized Ergonomic Sit Stand Desk - 80 Kgs Max Weight Capacity - SM4 Series - 600 x 1200 mm - Walnut Laminate Table Top</t>
  </si>
  <si>
    <t>ErgoYou Electric Height Adjustable Table Motorized Ergonomic Sit Stand Desk - 80 Kgs Max Weight Capacity - SM4 Series - 600 x 1200 mm - Maple Laminate Table Top</t>
  </si>
  <si>
    <t>ErgoYou Electric Height Adjustable Table Motorized Ergonomic Sit Stand Computer Desk - 80 Kgs Max Weight Capacity - SM4 Series - Black Steel Frame</t>
  </si>
  <si>
    <t>ErgoYou - Premium Spring Adjustable Monitor Arm Stand - VESA Mount - Weight Capacity 2-9 kgs - for Most 13-32" Screens - Clamp or Grommet Mount - 360 Degree Rotation - G3 Series</t>
  </si>
  <si>
    <t>Weeks</t>
  </si>
  <si>
    <t>State</t>
  </si>
  <si>
    <t>Campaigns</t>
  </si>
  <si>
    <t>Status</t>
  </si>
  <si>
    <t>Targeting</t>
  </si>
  <si>
    <t>Campaign bidding strategy</t>
  </si>
  <si>
    <t>Start date</t>
  </si>
  <si>
    <t>End date</t>
  </si>
  <si>
    <t>Portfolio</t>
  </si>
  <si>
    <t>Budget(INR)</t>
  </si>
  <si>
    <t>Top-of-search IS</t>
  </si>
  <si>
    <t>Cost type</t>
  </si>
  <si>
    <t>Spend(INR)</t>
  </si>
  <si>
    <t>CPC(INR)</t>
  </si>
  <si>
    <t>DPV</t>
  </si>
  <si>
    <t>Sales(INR)</t>
  </si>
  <si>
    <t>NTB orders</t>
  </si>
  <si>
    <t>% of orders NTB</t>
  </si>
  <si>
    <t>NTB sales(INR)</t>
  </si>
  <si>
    <t>% of sales NTB</t>
  </si>
  <si>
    <t>Viewable impressions</t>
  </si>
  <si>
    <t>VCPM(INR)</t>
  </si>
  <si>
    <t>Video first quartile</t>
  </si>
  <si>
    <t>Video midpoint</t>
  </si>
  <si>
    <t>Video third quartile</t>
  </si>
  <si>
    <t>Video complete</t>
  </si>
  <si>
    <t>Video unmute</t>
  </si>
  <si>
    <t>VTR</t>
  </si>
  <si>
    <t>vCTR</t>
  </si>
  <si>
    <t>ENABLED</t>
  </si>
  <si>
    <t>EY/HAT/SM2S - Manual</t>
  </si>
  <si>
    <t>CAMPAIGN_STATUS_ENABLED</t>
  </si>
  <si>
    <t>MANUAL</t>
  </si>
  <si>
    <t>Dynamic bids - down only</t>
  </si>
  <si>
    <t>&lt;5%</t>
  </si>
  <si>
    <t>EY/HAT/Manual/2S - Automated</t>
  </si>
  <si>
    <t>AUTOMATIC</t>
  </si>
  <si>
    <t>PAUSED</t>
  </si>
  <si>
    <t>Cent_Diwali23_SD_Remarketing_highly_rated2023-09-26 f5441c</t>
  </si>
  <si>
    <t>CAMPAIGN_PAUSED</t>
  </si>
  <si>
    <t>EY/HAT/DM2S - Keyword</t>
  </si>
  <si>
    <t>Dynamic bids - up and down</t>
  </si>
  <si>
    <t>Cent_Diwali23_SD_PAT_Highly_rated_2023-09-26 b884b9</t>
  </si>
  <si>
    <t>EY/HAT/SM2S - Automated</t>
  </si>
  <si>
    <t>SD_PAT_Highly_rated_Diwali2023-09-25 4c3d81</t>
  </si>
  <si>
    <t>EY/SP/TableTop-May'23</t>
  </si>
  <si>
    <t>Height Adjustable Table SP KT 84d08c</t>
  </si>
  <si>
    <t>VM_SP_ST &amp; TD_BKW_Exact</t>
  </si>
  <si>
    <t>VM_SP_ST_Electric_Single Motor 2 Stage - SM3 Series_GKW_Broad</t>
  </si>
  <si>
    <t>VM_SP_ST_Electric_Single Motor 2 Stage - SM3 Series_GKW_Exact</t>
  </si>
  <si>
    <t>VM_SP_ST_(Premium)_Electric_Dual Motor 2 Stage - E2 Series_GKW_Broad</t>
  </si>
  <si>
    <t>VM_SP_ST_(Premium)_Electric_Dual Motor 2 Stage - E2 Series_GKW_Exact</t>
  </si>
  <si>
    <t>VM_SP_ST_Manual_2 Stage _GKW_Exact</t>
  </si>
  <si>
    <t>EY/monitorarm/Video/Sept'23</t>
  </si>
  <si>
    <t>SD_Remarketing_highly_rated_Diwali2023-09-25 280316</t>
  </si>
  <si>
    <t>6. Weekly Comparison Report:</t>
  </si>
  <si>
    <t>VM_SB_ST &amp; TD_BKW_Exact</t>
  </si>
  <si>
    <t>VM_SB_ST_(Premium)_Electric_Dual Motor 2 Stage - E2 Series_GKW_Exact</t>
  </si>
  <si>
    <t>VM_SP_ST_Manual_2 Stage _GKW_CT_Refined</t>
  </si>
  <si>
    <t>VM_SP_ST_Electric_Single Motor 2 Stage - SM3 Series_CT_Refined</t>
  </si>
  <si>
    <t>VM_SP_ST_(Premium)_Electric_Dual Motor 2 Stage - E2 Series_CT_Refined</t>
  </si>
  <si>
    <t>VM_SP_Cross Sale_ST_Electric_Single Motor 2 Stage-SM3 Series | (Premium)_Electric_Dual Motor 2 Stage | Self ASIN</t>
  </si>
  <si>
    <t>VM_SP_Cross Sale_TD_Manual 2 Stage | Electric_Single Motor 2 Stage-SM3 Series | Self ASIN</t>
  </si>
  <si>
    <t>VM_SP_Cross Sale_TD &amp; SD_Pneumatic Gas | Manual 2 Stage - TD - (TD &amp; SD) Self ASIN</t>
  </si>
  <si>
    <t>VM_SP_ST_Manual_Frame_ 2 Stage _ASIN_PT</t>
  </si>
  <si>
    <t>VM_SP_ST_Electric_Single Motor 2 Stage - SM3 Series_PT_Dec 20</t>
  </si>
  <si>
    <t>VM_SD_ST_Lookback_page Visit_Adv. Product</t>
  </si>
  <si>
    <t>VM_SD_ST_Electric_Single Motor 2 Stage - SM3 Series_PT_Page Visit_Dec 20</t>
  </si>
  <si>
    <t>VM_SP_Cross Sale_ (Premium)_Electric_Dual Motor 2 Stage | TD &amp; SD_Pneumatic Gas Self ASIN</t>
  </si>
  <si>
    <t>VM_SP_ST_Manual_ 2 Stage_M3 Series_(Maple)_CT_Refined</t>
  </si>
  <si>
    <t>VM_SD_ST_Lookback_page Visit_Similar Prod.</t>
  </si>
  <si>
    <t>VM_SD_TD_Lookback_page Visit_Similar Prod.</t>
  </si>
  <si>
    <t>VM_SD_TD_Lookback_page Visit_Adv. Product</t>
  </si>
  <si>
    <t>SP | Standing Table | SM3 | GKW | All Match</t>
  </si>
  <si>
    <t>VM | SP | Table Desk | M3 | GKW | Exact | 30 Nov</t>
  </si>
  <si>
    <t>Monthly</t>
  </si>
  <si>
    <t>VM | SB | Standing Table | Electric | E2 &amp; SM3 Series | GKW | Exact | 30 Nov</t>
  </si>
  <si>
    <t>Total July</t>
  </si>
  <si>
    <t>VM | SBV | Standing Table | Electric | SM3 Series | GKW | Exact | 12 Jan</t>
  </si>
  <si>
    <t>VM | SP | Standing Table | Electric | SM3 Series | B0CB4FDZF8 | ASIN | PT | 20 Dec</t>
  </si>
  <si>
    <t>VM | SBV | Standing Table | Electric | SM3 Series | Maple | BKW | Exact | 12 Jan</t>
  </si>
  <si>
    <t>VM | SP | Standing Table | Electric | E2 Series | B0CFK512DX | GKW | Exact | 30 Nov</t>
  </si>
  <si>
    <t>VM | SP | Standing Table | Electric | SM3 Series | B0CB4CBLQQ | GKW | Exact</t>
  </si>
  <si>
    <t>VM | SP | Standing Table | Electric | SM3 Series | B0CB4FDZF8 | CT. | Refined | 30 Nov</t>
  </si>
  <si>
    <t>VM | Standing Table | E2 Series | B0CFK512DW | CT. | Refined | 30 Nov</t>
  </si>
  <si>
    <t>VM | SP | Tables | Self ASIN | PT | 18 Jan</t>
  </si>
  <si>
    <t>VM | SP | Table Desk | M3 Series | GKW | Phrase | 10 Jan</t>
  </si>
  <si>
    <t>VM | SP | Table Desk | M3 Series | GKW | All study | Exact | 10 Jan</t>
  </si>
  <si>
    <t>VM | SP | Standing Table | Electric | E2 Series | B0CFK512DW | GKW | Broad | 30 Nov</t>
  </si>
  <si>
    <t>VM | SP | Standing Table | Electric | SM3 Series | B0CB4CBLQQ | GKW | Exact | Gaming |10 Jan</t>
  </si>
  <si>
    <t>VM | SD | Standing Table | Electric | SM3 Serie | Page Visit | PT | 20 Dec</t>
  </si>
  <si>
    <t>VM | SP | Table Top | Auto | 05 Jan</t>
  </si>
  <si>
    <t>VM | SP | Standing Table | Electric | SM3 Series | B0CB4D1L4Q | GKW | Broad | 30 Nov</t>
  </si>
  <si>
    <t>VM | SP | Table Desk | Manual | M3 | GKW | Adjustable | Exact | 10 Jan</t>
  </si>
  <si>
    <t>VM | SBV | Monitor Arm | GKW | Phrase | 13 Jan</t>
  </si>
  <si>
    <t>VM | SP | Standing Table | Manual | M3 | CT. | Refined | 5 Dec</t>
  </si>
  <si>
    <t>VM | SP | Table Desk | Manual | M3 | CT. | Refined | 30 Nov</t>
  </si>
  <si>
    <t>(Parent) ASIN</t>
  </si>
  <si>
    <t>Title</t>
  </si>
  <si>
    <t>VM | SP | Standing Table | Electric | All Products | GKW | Electric Exact | 10 Jan</t>
  </si>
  <si>
    <t>Sessions - Total</t>
  </si>
  <si>
    <t>Sessions – Total – B2B</t>
  </si>
  <si>
    <t>Session Percentage - Total</t>
  </si>
  <si>
    <t>Session Percentage – Total – B2B</t>
  </si>
  <si>
    <t>Page Views - Total</t>
  </si>
  <si>
    <t>VM | SP | Standing Table | Electric | SM3 Series | B0CB4FDZF8 | GKW | Exact | Hydraulic |10 Jan</t>
  </si>
  <si>
    <t>Page Views – Total – B2B</t>
  </si>
  <si>
    <t>Page Views Percentage - Total</t>
  </si>
  <si>
    <t>Page Views Percentage – Total – B2B</t>
  </si>
  <si>
    <t>Featured Offer (Buy Box) Percentage</t>
  </si>
  <si>
    <t>Featured Offer (Buy Box) Percentage – B2B</t>
  </si>
  <si>
    <t>Units Ordered</t>
  </si>
  <si>
    <t>Units Ordered - B2B</t>
  </si>
  <si>
    <t>Unit Session Percentage</t>
  </si>
  <si>
    <t>Unit Session Percentage - B2B</t>
  </si>
  <si>
    <t>VM | SP | Standing Table | Electric | SM3 Series | B0CB4FDZF8 | GKW | Exact | Automatic |10 Jan</t>
  </si>
  <si>
    <t>Ordered Product Sales</t>
  </si>
  <si>
    <t>Ordered Product Sales - B2B</t>
  </si>
  <si>
    <t>Total Order Items</t>
  </si>
  <si>
    <t>Total Order Items - B2B</t>
  </si>
  <si>
    <t>VM | SD | Tables | Self ASIN | PT | Conversion |18 Jan</t>
  </si>
  <si>
    <t>VM | SP | Standing Desk Converter |  Auto | 10 Jan</t>
  </si>
  <si>
    <t>VM | SP | Standing Table | Electric | SM3 Series | B0CB4FDZF8 | GKW | Exact | Sit &amp; Stand |10 Jan</t>
  </si>
  <si>
    <t>VM | SP | Standing Table | Electric | SM3 Series | B0CB4FDZF8 | GKW | Exact | 10 Jan</t>
  </si>
  <si>
    <t>VM | SP | Monitor arm stand | Auto | 10 Jan</t>
  </si>
  <si>
    <t>VM | SP | Standing Table | Electric | Frame Only | GKW | Exact | 10 Jan</t>
  </si>
  <si>
    <t>VM | SP |  Standing Desk Converter | Gas | GKW | Phrase | 10 Jan</t>
  </si>
  <si>
    <t>VM | SP | Monitor Arm Stand | GKW | Phrase |  10 Jan</t>
  </si>
  <si>
    <t>VM | SP | Standing Table | Electric | SM3 Series | B0CB4FDZF8 | GKW | Exact | Motor |10 Jan</t>
  </si>
  <si>
    <t>VM | SP | Table Top | GKW | Broad | 05 Jan</t>
  </si>
  <si>
    <t>VM | SP | Monitor arm stand | Broad | 10 Jan</t>
  </si>
  <si>
    <t>VM | SP | Standing Table | Electric | E1A Series | B0CS3HRPPN | ASIN | PT | Expand | 18 Jan</t>
  </si>
  <si>
    <t>Standing Table - E1A</t>
  </si>
  <si>
    <t>VM | SP | Standing Desk | E1A Series | B0CS3HRPPN | Auto | 18 Jan</t>
  </si>
  <si>
    <t>SP | Standing Table | SM3 | GKW | All Match | TOS</t>
  </si>
  <si>
    <t>VM | SB. | Standing Table | Electric | E2 &amp; SM3 Series | GKW | Exact | 30 Nov</t>
  </si>
  <si>
    <t>VM | SBV | Standing Tabel | Electric | SM3 | B0CB4CBLQQ | CT. | Price Refined | 16 Feb</t>
  </si>
  <si>
    <t>VM | SBV | Standing Table | Electric | B0CB4CBLQQ | SM3 Series | ASIN | PT | Green Soul | TOP ASIN |  16 Feb</t>
  </si>
  <si>
    <t>VM | SBV | Standing Table | Electric | B0CB4CBLQQ | SM3 Series | Theme match Type| 5 Feb</t>
  </si>
  <si>
    <t>VM | SBV | Standing Table | Electric | SM3 Series | B0CB4CBLQQ | ASIN | CT. | 5 Feb</t>
  </si>
  <si>
    <t>VM | SBV | Standing Table | Electric | SM3 | B0CB4CBLQQ | CT. | Brand Refined | 16 Feb</t>
  </si>
  <si>
    <t>VM | SBV | Standing Table | Electric | SM3 | B0CB4CBLQQ | GKW | Exact | 14 Feb</t>
  </si>
  <si>
    <t>VM | SBV | Standing table | Electric | SM3 Series | B0CB4FDZF8 | GKW | Exact | 05 Feb</t>
  </si>
  <si>
    <t>VM | SD | Standing Table | All | CT. | Brand refined | Page visit |27 Feb</t>
  </si>
  <si>
    <t>VM | SD | Standing Table | Electric | B0CB4CBLQQ | SM3 Series | CT. | Refined Price | 16 Feb</t>
  </si>
  <si>
    <t>VM | SD | Standing Table | M3 | Electric | ASIN | PT. | Comp. ASIN | Jin | 19 Feb</t>
  </si>
  <si>
    <t>VM | SD | Standing Table | Manual | M3. | ASIN | PT. | Exact | 29 Feb</t>
  </si>
  <si>
    <t>VM | SD | Standing Table | SM3 | Electric | ASIN | PT. | Comp. ASIN | Jin | page Visit |19 Feb</t>
  </si>
  <si>
    <t>VM | SDV | Standing Table | Electric | E1A | B0CS3HM49D | Self | Audiences | Views remarketing | 16 Feb</t>
  </si>
  <si>
    <t>VM | SDV | Standing Table | Electric | SM3 | B0CB4CBLQQ | Views remarketing | Brand Refined | Audiences | CT. | 16 Feb</t>
  </si>
  <si>
    <t>VM | SP |  Standing Desk Converter | Gas | ASIN | PT | 10 Jan</t>
  </si>
  <si>
    <t>VM | SP | Standing Table | E1 | CT. | TOS | Up Down | Brand Refined | 14 Feb</t>
  </si>
  <si>
    <t>VM | SP | Standing Table | Electric | All Products | GKW | Electric Exact | ROS | 10 Jan</t>
  </si>
  <si>
    <t>VM | SP | Standing Table | Electric | B0CB4CBLQQ | SM3 Series | ASIN | PT. | Green Soul | TOP ASIN | TOS | 16 Feb</t>
  </si>
  <si>
    <t>VM | SP | Standing Table | Electric | E1A Series | B0CS3HRPPN | ASIN | PT | Expand | ROS | 18 Jan</t>
  </si>
  <si>
    <t>VM | SP | Standing Table | Electric | E2 Series | GKW | Broad | 30 Nov</t>
  </si>
  <si>
    <t>VM | SP | Standing Table | Electric | E2 Series | GKW | Exact | 30 Nov</t>
  </si>
  <si>
    <t>VM | SP | Standing Table | Electric | SM3 Series | GKW | Exact | Automatic | PP |10 Jan</t>
  </si>
  <si>
    <t>VM | SP | Standing Table | Electric | SM3 Series | GKW | Exact | Gaming | TOS | 10 Jan</t>
  </si>
  <si>
    <t>VM | SP | Standing Table | Electric | SM3 Series | GKW | Exact | Hydraulic | PP | 10 Jan</t>
  </si>
  <si>
    <t>VM | SP | Standing Table | Electric | SM3 Series | GKW | Exact | Motor | TOS | 10 Jan</t>
  </si>
  <si>
    <t>VM | SP | Standing Table | Electric | SM3 Series | GKW | Exact | ROS</t>
  </si>
  <si>
    <t>VM | SP | Standing Table | Electric | SM3 Series | GKW | Exact | Sit &amp; Stand | TOS | 10 Jan</t>
  </si>
  <si>
    <t>VM | SP | Standing Table | Electric | SM3 Series | GKW | Exact | TOS | HSFR</t>
  </si>
  <si>
    <t>VM | SP | Standing Table | M3 | Electric | ASIN | PT. | Comp. ASIN | Jin | 19 Feb</t>
  </si>
  <si>
    <t>VM | SP | Standing Table | Manual | CT. | M4 &amp; M3 | 14 Feb</t>
  </si>
  <si>
    <t>VM | SP | Standing Table | Manual | M3 &amp; M4 | GKW | Exact | PP | 30 Nov</t>
  </si>
  <si>
    <t>VM | SP | Standing Table | Manual | M3 &amp; M4 | GKW | Manual KW | Exact | TOS | Feb 14</t>
  </si>
  <si>
    <t>VM | SP | Standing Table | SM3 | Electric | ASIN | PT. | Comp. ASIN | Jin | 19 Feb</t>
  </si>
  <si>
    <t>VM | SP | Table Desk | Manual | M3 &amp; M4 | CT. | Refined | 30 Nov</t>
  </si>
  <si>
    <t>VM | Standing Table | E2 Series | CT. | Refined | 30 Nov</t>
  </si>
  <si>
    <t>VM | SP | Standing Table | Manual | M3. | ASIN | PT. | Exact | 19 Feb</t>
  </si>
  <si>
    <t>VM | SD | Standing Table | Audiences | CR | Adv. Product | 4th Feb |</t>
  </si>
  <si>
    <t>VM | SP | Standing Table | Electric | E3 Series | GKW | Height | Exact | ROS | 5th March</t>
  </si>
  <si>
    <t>VM | SP | Standing Table | Electric | E3 Series | GKW | Exact | Sit &amp; Stand | TOS | 5th March</t>
  </si>
  <si>
    <t>VM | SD | Standing Table | Audiences | View | CT. | Brand Refined | 4th Feb |</t>
  </si>
  <si>
    <t>VM | SBV | Standing table | Electric | Vertical | Theme | GKW | 21 Feb</t>
  </si>
  <si>
    <t>VM | SP | Standing Table | E2 | ASIN | PT. | Exact |  1st March</t>
  </si>
  <si>
    <t>VM | SP | Standing Table | Electric | E3 Series | GKW | Exact | Gaming | TOS | 10 Jan</t>
  </si>
  <si>
    <t>VM | SP | Standing Table | Electric | E3 Series | GKW | Exact | Motor | TOS | 5th March</t>
  </si>
  <si>
    <t>VM | SP | Standing Table | Electric | E2 | GKW | Exact | Sit &amp; Stand | TOS | 10 Jan</t>
  </si>
  <si>
    <t>VM | SP | Standing Table | Manual | M3. | GKW | Exact | Height Adju. | 6th March</t>
  </si>
  <si>
    <t>VM | SP | Extension &amp; Holder | Desk Cable Tray | Auto | 5th March</t>
  </si>
  <si>
    <t>VM | SP | Standing Table | E1A | Electric | ASIN | PT. | Exact | 1st March</t>
  </si>
  <si>
    <t>VM | SP | Standing Table | Electric | E2 | GKW | Exact | Motor | TOS | 1st March</t>
  </si>
  <si>
    <t>VM | SD |  Standing Desk Converter | Gas | ASIN | PT | Contextual targeting | 07 March</t>
  </si>
  <si>
    <t>VM | SD | Standing Table | E1A | Electric | ASIN | PT. | Page Visit | 1st March</t>
  </si>
  <si>
    <t>VM | SP | Extension &amp; Holder | Extension Board Holder | Auto | 5 March</t>
  </si>
  <si>
    <t>VM | SD | Standing Table | E2 | ASIN | PT. | page Visit | 1st March</t>
  </si>
  <si>
    <t>OUT_OF_BUDGET</t>
  </si>
  <si>
    <t>VM | SP | Standing Table | E3 &amp; E1A | Cross Sell | Self ASIN | PT. | E2 &amp; E4 targeting | 23rd Apr</t>
  </si>
  <si>
    <t>VM | SP | Standing Table | Electric | E4 | CT. | GKW | Refined | 14th March</t>
  </si>
  <si>
    <t>VM | SP | Standing Table | Electric | E4 | GKW | Phrase | 10th Apr</t>
  </si>
  <si>
    <t>VM | SP | Standing Desk | Electric | E3 | CT. | Refined | 10th Apr</t>
  </si>
  <si>
    <t>VM | SP | Standing Table | Electric | E4 | GKW | Exact | 10th Apr</t>
  </si>
  <si>
    <t>VM | SP | Standing Table | SM3 Carbon | Cross Sell | Self ASIN | PT. | SM3 targeting | 23rd Apr</t>
  </si>
  <si>
    <t>VM | SP | Standing Table | E2 &amp; E4 | Cross Sell | Self ASIN | PT. | SM3 Carbon targeting | 23rd Apr</t>
  </si>
  <si>
    <t>VM | SD | standing Table | Electric | E3 | Audience | CR | Adv Prod. |</t>
  </si>
  <si>
    <t>VM | SD | Standing Table | Electric | E3 | Page Visit | Contextual | CT. | 10th Apr</t>
  </si>
  <si>
    <t>VM | SD | Standing Table | Electric | E4 | Contextual | Page Visit | CT. | Refined | 10th Apr</t>
  </si>
  <si>
    <t>VM | SD | Standing Table | Electric | E4 | Audiences | CR. | Adv. Prod | 10th Apr</t>
  </si>
  <si>
    <t>VM | SD | Standing Table | Electric | SM3 | B0CB4CBLQQ | Page Visit | Funnel | Contextual | CT. | Refined | 19th Apr</t>
  </si>
  <si>
    <t>VM | SP | standing Table | Electric | Exact | Modifier | GKW | 15th May</t>
  </si>
  <si>
    <t>VM | SP | Standing Table | Manual | M8 | CT. | Refined | 3rd May</t>
  </si>
  <si>
    <t>VM | SP | Standing Table | Manual | M8 | CT. | Refined | 15 May</t>
  </si>
  <si>
    <t>VM | SP | Extension &amp; Holder | Extension Board Holder | Auto | 24th May</t>
  </si>
  <si>
    <t>VM | SP | Auto | Standing Table | Manual | M8 | 3rd May</t>
  </si>
  <si>
    <t>VM | SDV | Standing Table | Electric | SM3 | B0CB4CBLQQ | Page Visit | Funnel | Audience | Adv. product | Refined | 19th Apr</t>
  </si>
  <si>
    <t>VM | SDV | Standing Table | All Products | Electric | Lookback | Audience | Self | 22nd May</t>
  </si>
  <si>
    <t>VM | SBV | Standing Table | Electric | Electronic CT. | Consideration | 24th May</t>
  </si>
  <si>
    <t>VM | SB. | standing Table | Store | GKW | Exact | 2nd May</t>
  </si>
  <si>
    <t>VM | SP | Standing Table | Manual | GKW | Phrase | 13th June</t>
  </si>
  <si>
    <t>VM | SP | Standing Table | Electric | SM3 | GKW | Electric Exact | 14th June</t>
  </si>
  <si>
    <t>VM | SD | Standing Table | Electric | SM3 | In Market | Page Visit | 11th June</t>
  </si>
  <si>
    <t>VM | SD | Standing Table | Audiences | Page Visit | View marketing | CT. | Refined | 18th June</t>
  </si>
  <si>
    <t>VM | SP | Standing Table | Electric | E2. Series | GKW | Broad | 30 Nov</t>
  </si>
  <si>
    <t>VM | SP | Footrest | Cushioned &amp; Angle | Auto | 11th June</t>
  </si>
  <si>
    <t>VM | SP | Standing Table | Electric | E2. | GKW | Exact | Motor | TOS | 1st March</t>
  </si>
  <si>
    <t>VM | SP | Standing Table | E2. | ASIN | PT. | Exact |  1st March</t>
  </si>
  <si>
    <t>VM | SP | standing Table | Manual | ASIN | PT. | Manual ASIN | 3rd June</t>
  </si>
  <si>
    <t>VM | SD | Standing Table | All Products | ASIN | PT. | page Visit | Best Seller | 03rd June</t>
  </si>
  <si>
    <t>VM | SP | Standing Table | Electric | E2. | GKW | Exact | Sit &amp; Stand | TOS | 10 Jan</t>
  </si>
  <si>
    <t>VM | SP | Standing Table | Manual | M8. | ASIN | PT. | 17th June</t>
  </si>
  <si>
    <t>SP | Standing Table | All Products | GKW | All Match | TOS</t>
  </si>
  <si>
    <t>VM | SP | Standing Table | Manual | M8. | GKW | Exact | Height Adju. | 6th March</t>
  </si>
  <si>
    <t>VM | SP | Standing Table | Manual | All Product | GKW | Sit and Stand | Exact | 03rd June</t>
  </si>
  <si>
    <t>ruleBased</t>
  </si>
  <si>
    <t>VM | Standing Table | Electric | E3 | GKW | Exact | 4th July</t>
  </si>
  <si>
    <t>VM | SP | Sales Day | Standing Table | CT. | Jin | Refined | 15th July</t>
  </si>
  <si>
    <t>VM | SP | Sales Day | Standing Table | Phrase | Modifier | GKW | 15th July</t>
  </si>
  <si>
    <t>VM | SP | Sales Day | Standing Table | CT. | Green soul | Refined | 15th July</t>
  </si>
  <si>
    <t>VM | Standing Desk | Electric | All products | CR. | CT. | Ajay | 4th July</t>
  </si>
  <si>
    <t>VM | SP | Brand | standing Table | Manual | M8 | BKW | Exact | 10th July</t>
  </si>
  <si>
    <t>SP | Table | Broad | Comp. KW | 17th July</t>
  </si>
  <si>
    <t>VM | SP | Brand | Standing table | Frame | BKW | Exact | Frame KW | 9th July</t>
  </si>
  <si>
    <t>&gt;95%</t>
  </si>
  <si>
    <t>VM | SP | Brand | Standing Table | BKW | 3 stage | Exact | 10th July</t>
  </si>
  <si>
    <t>VM | SP | Standing Table | Ergosmart | ASIN | PT.  | 20th  july</t>
  </si>
  <si>
    <t>SP | Sales | Auto | 17th July</t>
  </si>
  <si>
    <t>VM | Standing Desk | Electric | SM3 | CBK | Green soul | Phrase | 30th July</t>
  </si>
  <si>
    <t>VM | SP | Extension &amp; Holder | Desk Cable Tray | GKW | Exact | 5th March</t>
  </si>
  <si>
    <t>VM | Monitor Arm Stand | VESA Mount | GKW | Broad | 20th Aug</t>
  </si>
  <si>
    <t>VM | SBV | Standing Table | E2 | Electric | CT. | Refined | 1st Aug</t>
  </si>
  <si>
    <t>ErgoYou Manual Height Adjustable Table Ergonomic Sit Stand Computer Desk - M3 Series - 55.1 x 23.6 inches - Maple Laminate Table Top</t>
  </si>
  <si>
    <t>VM | SBV | Standing Table | Electric | SM3 | B0CB4CBLQQ | CKW | Green Soul | Phrase | 1st Aug</t>
  </si>
  <si>
    <t>VM | SBV | Standing Table | Electric | SM3 | B0CB4CBLQQ | CKW | Jin | Phrase | 1st Aug</t>
  </si>
  <si>
    <t>VM | SBV | VCPM | Standing Table | SM3 | CBK | Phrase | 1st Aug</t>
  </si>
  <si>
    <t>VCPM</t>
  </si>
  <si>
    <t>VM | SD | Accessories | Re-target | Purchased | Lookback  | 21st Aug</t>
  </si>
  <si>
    <t>ErgoYou Premium Electric Height Adjustable Table Heavy Duty - Dual Motor 2 Stage - E2 Series - Ergonomic Sit Stand Computer Desk - 59 x 29.5 inches - Maple Laminate Table Top</t>
  </si>
  <si>
    <t>VM | SDV | Standing Table | Contextual | CT. | Brand Refined | New Brand | 9th Aug</t>
  </si>
  <si>
    <t>VM | SDV | Standing Table | SM3 | CT. | Brand Refined | 1st Aug</t>
  </si>
  <si>
    <t>VM | SDV | Standing Table | SM3 | Sim. Adv. prod | 1st Aug</t>
  </si>
  <si>
    <t>VM | SDV | Standing Table | Sm3 | Audiences | Lookback | 1st Aug</t>
  </si>
  <si>
    <t>VM | SDV | VCMP | Standing Table | Sm3 | CR. | Contextual | ASIN | PT. | 9th Aug</t>
  </si>
  <si>
    <t>VM | SDV | VCPM | In-market | Audience | 21st Aug</t>
  </si>
  <si>
    <t>VM | SP | Auto | Keyboard Tray | 21st Aug</t>
  </si>
  <si>
    <t>VM | SP | Auto | Monitor Arm Stand | VESA Mount | 20th Aug</t>
  </si>
  <si>
    <t>ErgoYou Electric Height Adjustable Table Motorized Ergonomic Sit Stand Computer Desk - SM3 Series - White Steel Frame</t>
  </si>
  <si>
    <t>VM | SP | Extension &amp; Holder | Board Holder | Auto</t>
  </si>
  <si>
    <t>VM | SP | Extension &amp; Holder | Board Holder | GKW | Phrase | 30th Aug</t>
  </si>
  <si>
    <t>ErgoYou Premium Electric Height Adjustable Table Heavy Duty - Dual Motor 3 Stage - E2 Series - Ergonomic Sit Stand Computer Desk - Only Frame</t>
  </si>
  <si>
    <t>VM | SP | Extension &amp; Holder | Desk Cable Tray | BKW | Exact | 31st July</t>
  </si>
  <si>
    <t>ErgoYou Premium Electric Height Adjustable Table Heavy Duty - Dual Motor 2 Stage - E2 Series - Ergonomic Sit Stand Computer Desk - 59 x 29.5 inches - Walnut Laminate Table Top</t>
  </si>
  <si>
    <t>VM | SP | Footrest | Cushion | CT. | 31st July</t>
  </si>
  <si>
    <t>VM | SP | Footrest | Cushion | GKW | Exact | 31st July</t>
  </si>
  <si>
    <t>VM | SP | Keyboard Tray | ASIN | PT. | 21st Aug</t>
  </si>
  <si>
    <t>VM | SP | Keyboard Tray | GKW | Broad | 21st Aug</t>
  </si>
  <si>
    <t>VM | SP | Keyboard Tray | GKW | Exact | 21st Aug</t>
  </si>
  <si>
    <t>VM | SP | Monitor Arm Stand | Premium | GKW | Phrase | 10 Jan</t>
  </si>
  <si>
    <t>VM | SP | Monitor Arm Stand | VESA Mount | ASIN | PT. | 20th Aug</t>
  </si>
  <si>
    <t>VM | SP | Monitor arm stand | Premium | Broad | 10 Jan</t>
  </si>
  <si>
    <t>VM | SP | Sanding Table | Electric | E1A | GKW | Phrase | 6th Aug</t>
  </si>
  <si>
    <t>ErgoYou - Single Leg Gas Lift Sit Stand Desk - Portable - Angle &amp; Height Adjustable Table (0, -10, -20 and -30 Degrees) - Pneumatic - Space Saving &amp; Ergonomic - Castors &amp; Levellers Provided</t>
  </si>
  <si>
    <t>ErgoYou Premium Electric Height Adjustable Table Heavy Duty - Dual Motor 2 Stage - E2 Series - Ergonomic Sit Stand Computer Desk - 47 x 23.5 inches - Walnut Laminate Table Top</t>
  </si>
  <si>
    <t>ErgoYou Premium Electric Height Adjustable Table Heavy Duty - Dual Motor 2 Stage - E2 Series - Ergonomic Sit Stand Computer Desk - 47 x 23.5 inches - Maple Laminate Table Top</t>
  </si>
  <si>
    <t>VM | SP | Standing Table | Electric | E1A | CT. | Refined | 6th Aug</t>
  </si>
  <si>
    <t>VM | SP | Standing Table | Electric | E1A | CT. | Refined | Green Soul | 6th Aug</t>
  </si>
  <si>
    <t>VM | SP | Standing Table | SM3 | GKW | Big Size | Exact | 6th Aug</t>
  </si>
  <si>
    <t>VM | SP | Standing Table | SM3 | Mapple | Phrase | 8th Aug</t>
  </si>
  <si>
    <t>ErgoYou Premium Electric Height Adjustable Table Heavy Duty - Dual Motor 3 Stage - E3 Series - Ergonomic Sit Stand Computer Desk - White Steel Frame</t>
  </si>
  <si>
    <t>VM | SP | Standing Table | Electric | E4 | GKW | Exact | 4th Sept</t>
  </si>
  <si>
    <t>VM | SP | Standing Table | Electric | SM3 Series | Black | CT. | 6th Sept</t>
  </si>
  <si>
    <t>VM | SP | Standing Desk | Electric | SM3 | CBK | Green soul | Phrase | 30th July</t>
  </si>
  <si>
    <t>ErgoYou Electric Height Adjustable Table Motorized Ergonomic Sit Stand Computer Desk - SM3 Series - 47 x 23.5 inches - Maple Laminate Table Top, Laminated</t>
  </si>
  <si>
    <t>VM | SP | Standing Table | All Frames | ASIN | PT. | 3rd Sept</t>
  </si>
  <si>
    <t>ErgoYou Electric Height Adjustable Table Motorized Ergonomic Sit Stand Computer Desk - 59 X 29.5 Inches - Maple Laminate Table Top - 3 Years Warranty, Laminated</t>
  </si>
  <si>
    <t>ErgoYou Manual Height Adjustable Table Ergonomic Sit Stand Computer Desk - 55.1 X 23.6 Inches - Maple Laminate Table Top - 3 Years Warranty, Laminated</t>
  </si>
  <si>
    <t>VM | SP | Monitor Arm Stand | VESA Mount | GKW | Broad | 20th Aug</t>
  </si>
  <si>
    <t>VM | SP | Standing Table | Electric | B0CB4CBLQQ | SM3 Series | ASIN | PT. | C. Brands | TOP ASIN | 2nd Sept</t>
  </si>
  <si>
    <t>ErgoYou - Electric Height Adjustable Standing Table - Heavy Duty - Dual Motor 2 Stage - 120 Kg Weight Capacity - E2 Series - Ergonomic Sit Stand Computer Desk (Maple: 59 x 29.5 inches)</t>
  </si>
  <si>
    <t>ErgoYou - Electric Height Adjustable Standing Table - Heavy Duty - Dual Motor 2 Stage - 120 Kg Weight Capacity - E2 Series - Ergonomic Sit Stand Computer Desk (Walnut: 59 x 29.5 inches)</t>
  </si>
  <si>
    <t>ErgoYou - Electric Height Adjustable Standing Table - Heavy Duty - Dual Motor 2 Stage - 120 Kg Weight Capacity - E2 Series - Ergonomic Sit Stand Computer Desk (Walnut: 47 x 23.5 inches)</t>
  </si>
  <si>
    <t>ErgoYou - Electric Height Adjustable Standing Table - Heavy Duty - Dual Motor 2 Stage - 120 Kg Weight Capacity - E2 Series - Ergonomic Sit Stand Computer Desk (No Table Top, Only White Steel Frame)</t>
  </si>
  <si>
    <t>VM | Single Leg Gas | All | ASIN | PT. | 3rd Sept</t>
  </si>
  <si>
    <t>ErgoYou Premium Electric Height Adjustable Table Heavy Duty - Dual Motor 3 Stage - 120 kg Weight Capacity - E3 Series - Ergonomic Sit Stand Computer Desk - 59 x 29.5 inches - Maple Laminate Table Top</t>
  </si>
  <si>
    <t>VM | SP | Monitor Arm Stand | VESA Mount | Phrase | Vesa | GKW | 6th Sept</t>
  </si>
  <si>
    <t>ErgoYou - Electric Height Adjustable Standing Table - Heavy Duty - Dual Motor 2 Stage - 120 Kg Weight Capacity - E2 Series - Ergonomic Sit Stand Computer Desk (Maple: 47 x 23.5 inches)</t>
  </si>
  <si>
    <t>VM | SP | Standing Table | Electric | SM3 Series | Black | GKW | Phrase | Exact | 3rd</t>
  </si>
  <si>
    <t>VM | SBV | VCPM | Standing Table | SM3 | CBK | Jin | Phrase | 6th Sept</t>
  </si>
  <si>
    <t>VM | SP | Footrest | Tiltable | GKW | Exact | 31st July</t>
  </si>
  <si>
    <t>c</t>
  </si>
  <si>
    <t>VM | SP | Footrest | Tiltable | Auto | 11th June</t>
  </si>
  <si>
    <t>VM | SP | Monitor Arm Stand | VESA Mount | Phrase | Single Arm | GKW | 6th Sept</t>
  </si>
  <si>
    <t>VM | SP | Extension &amp; Holder | Board Holder | CT. | 06th Sept</t>
  </si>
  <si>
    <t>VM | SBV | VCPM | Standing Table | SM3 | CBK | Brands  | Phrase | 6th Sept</t>
  </si>
  <si>
    <t>VM | SBV | VCPM | Standing Table | SM3 | CBK | artikel | Phrase | 6th Sept</t>
  </si>
  <si>
    <t>VM | SP | Standing Table | Manual | ASIN | PT. | 16th Oct</t>
  </si>
  <si>
    <t>VM | SP | Auto | Anti Fatigue Mat | 21st Oct</t>
  </si>
  <si>
    <t>VM | SP | Standing Table | Electric | E4 | CT. | Refined | 14th March</t>
  </si>
  <si>
    <t>VM | SP | Standing Table | Electric | E1A Series | B0CS3HRPPN | ASIN | PT. | Expand | ROS | 18 Jan</t>
  </si>
  <si>
    <t>VM | SD |  Standing Desk Converter | Gas | ASIN | PT. | Contextual targeting | 07 March</t>
  </si>
  <si>
    <t>VM | SP | Standing Table | Manual | M8 | GKW | Phrase | 22nd oct</t>
  </si>
  <si>
    <t>VM | SD | Standing Table | Electric | SM3 Serie | Page Visit | PT. | 20 Dec</t>
  </si>
  <si>
    <t>ErgoYou Premium Electric Height Adjustable Table Heavy Duty - Dual Motor 3 Stage - 120 kg Weight Capacity - E3 Series - Ergonomic Sit Stand Computer Desk - White Steel Frame</t>
  </si>
  <si>
    <t>VM | SP | Standing table | All | GKW | Electric | Exact | 15th Oct</t>
  </si>
  <si>
    <t>VM | SP | Single Leg Gas | All | ASIN | PT. | 3rd Sept</t>
  </si>
  <si>
    <t>VM | SP | Standing Table | All | Phrase | 8th Aug</t>
  </si>
  <si>
    <t>VM | SP |  Standing Desk Converter | Gas | ASIN | PT. | 10 Jan</t>
  </si>
  <si>
    <t>VM | SP | Standing table | ASIN | PT. | TOS | 15th oct</t>
  </si>
  <si>
    <t>VM | SP | Tables | Self ASIN | PT. | 18 Jan</t>
  </si>
  <si>
    <t>SP manual</t>
  </si>
  <si>
    <t>VM | SP | Standing Table | Electric | SM4 | GKW | Exact | Sit &amp; Stand | 19th Nov</t>
  </si>
  <si>
    <t>VM | SP | Standing Table | Electric | SM4 | ASIN | PT. | Best Seller | 19th Nov</t>
  </si>
  <si>
    <t>VM | SP | Desk Cable Tray | Clamp | Auto | 5th March</t>
  </si>
  <si>
    <t>VM | SP | Standing Table | Electric | SM4 | GKW | Exact | Height KW | 19th Nov</t>
  </si>
  <si>
    <t>VM | SBV | Standing Table | Electric | SM4 | GKW | Exact | 14 Feb</t>
  </si>
  <si>
    <t>VM | SP | Desk Cable Tray | Clamp | GKW | Exact | 5th March</t>
  </si>
  <si>
    <t>VM | SBV | Standing Table | Electric | SM4 | Low Price | ASIN. | PT. | Best Seller | 21st Nov</t>
  </si>
  <si>
    <t>VM | SP | Cable Tray | Detachable | CT. | Refined | 21st Nov</t>
  </si>
  <si>
    <t>VM | SP | Desk Cable Tray | Detachable | ASIN | PT. | 4th Nov</t>
  </si>
  <si>
    <t>VM | SP | Desk Cable Tray | Detachable | GKW | Broad | 21th Nov</t>
  </si>
  <si>
    <t>VM | SP | Brand | Cable Tray | All | Exact | BKW | 21th Nov</t>
  </si>
  <si>
    <t>VM | SP | Standing Table  - SM3 | All | GKW | Exact | Electric Height Adj | Exact | 30th Dec</t>
  </si>
  <si>
    <t>SP | Standing Table - Sm3 | All | auto | 30th Dec</t>
  </si>
  <si>
    <t>VM | Standing Table - SM4 | All | GKW | Exact | Height Adj | 30th Dec</t>
  </si>
  <si>
    <t>VM | SP | Standing Table  - SM3 | All | GKW | Height Adj | Exact | 30th Dec</t>
  </si>
  <si>
    <t>VM | SP | Standing Table - M14 | GKW | Manual | Phrase | 30th Dec</t>
  </si>
  <si>
    <t>VM | SP | Standing Table | All | Phrase | 30th Dec</t>
  </si>
  <si>
    <t>VM | SP | Standing Table | SM3 | GKW | Phrase | 23rd Dec</t>
  </si>
  <si>
    <t>VM | SB | Cable Tray | All | GKW | Exact | 27th Dec</t>
  </si>
  <si>
    <t>VM | SD | Standing Table | All | Re-Targeting | Brand refined | CT. | 30th Dec</t>
  </si>
  <si>
    <t>VM | SP | Cable Tray | UCT1 | GKW | Phrase | 6th Oct</t>
  </si>
  <si>
    <t>VM | SP | Sales Day | Standing Table | All | GKW | Phrase | 30th Dec</t>
  </si>
  <si>
    <t>VM | SD | Standing Table | E2 | Contextual | Page Visit | CT. | Refined | 6th Dec.</t>
  </si>
  <si>
    <t>VM | SP | Brand | Standing Table | E4 | Targeted - Sm3 | ASIN | PT. | 6th Dec</t>
  </si>
  <si>
    <t>VM | SP | Standing Table | M14 | Manual | GKW | Phrase | 12th Dec</t>
  </si>
  <si>
    <t>VM | VCPM | SD | Standing Table | Sm4 | All | ASIN | PT. | Reach | ErgoSmart | 2nd Dec</t>
  </si>
  <si>
    <t>VM | SD | Cable Tray | All | Page Visit | Remarketing | 27th Dec</t>
  </si>
  <si>
    <t>VM | SP | Standing Table | Sm4 | CT. | Refined | 2nd Dec</t>
  </si>
  <si>
    <t>VM | SP | Brand | desk cable tray | All | Sef | ASIN | PT. |  6th Ded</t>
  </si>
  <si>
    <t>VM | SBV | Standing Table | SM3 | GKW | Phrase | 23rd Dec</t>
  </si>
  <si>
    <t>Total September</t>
  </si>
  <si>
    <t>VM | SD | Standing Table | Sm4 | All | ASIN | PT. | page Visit | ErgoSmart | 2nd Dec</t>
  </si>
  <si>
    <t>VM | SP | Standing Table | E2 | Sit &amp; Stand | GKW | Phrase | 6th Dec</t>
  </si>
  <si>
    <t>VM | SP | Brand | Standing Table | Sm3 | Targeted  - Sm4 | ASIN | PT. | 6th Dec</t>
  </si>
  <si>
    <t>ErgoYou Premium Electric Height Adjustable Table Heavy Duty - DUAL MOTOR 3 STAGE - 120 kg weight capacity - E3 Series - Ergonomic Sit Stand Computer Desk - 59 x 29.5 inches - Walnut Laminate Table Top</t>
  </si>
  <si>
    <t>VM | SP | Desk Cable Tray | Detachable | GKW | Phrase | 2nd Dec</t>
  </si>
  <si>
    <t>VM | SP | Standing Table | Sm4 | GKW | Phrase | 2nd  Dec</t>
  </si>
  <si>
    <t>VM | SP | Brand | Standing Table | E2 | Targeted - Sm3 | ASIN | PT. | 6th Dec</t>
  </si>
  <si>
    <t>VM | SP | Cable Tray | Clamp | CLAMP5 | Auto | 6tyh Dec</t>
  </si>
  <si>
    <t>VM | SD | Standing Table | E2 | Contextual | Page Visit | Brand | Refined | 6th Dec</t>
  </si>
  <si>
    <t>VM | SD | Standing Table | SM4 | Page Visit | Refined | Brand | 6th Dec</t>
  </si>
  <si>
    <t>VM | SD | Standing Table | SM4 | Page Visit | Re- targeting | CT. | Refined | 6th Dec</t>
  </si>
  <si>
    <t>########</t>
  </si>
  <si>
    <t>ErgoYou Monitor Stand - Height Adjustable Computer Monitor Riser compatible with TV, Projector, PC Screen, Laptop, projector, LCD (27inches Max - Monitor Screen) - Ergonomic Design - Monitor Display Stand</t>
  </si>
  <si>
    <t>VM | standing Table - E4 | Refined | CT. | Jin Office | 6th Jan</t>
  </si>
  <si>
    <t>VM | SB. | Cable Tray | All | GKW | Exact | 27th Dec</t>
  </si>
  <si>
    <t>VM | SP | Standing Table - E4 | CT. | Refined | Green Soul | 6th Jan</t>
  </si>
  <si>
    <t>VM | SBV | Standing Table - SM3 | All | GKW | Exact | Electric Height Adj | Exact | 30th Dec</t>
  </si>
  <si>
    <t>VM | SP | Standing Table - E4 | CT. | Refined | ARTIKEL | 6th Jan</t>
  </si>
  <si>
    <t>VM | SP | Standing Table | Electric | SM3 Series | Exact | Experiment |17 Jan 2025</t>
  </si>
  <si>
    <t>VM | SP | Standing Table - M14 | All | ASIN | PT. | 8th Jan</t>
  </si>
  <si>
    <t>VM | SP | Standing Table - M14 | All | GKW | Exact | Heigh KW | 22nd Jan</t>
  </si>
  <si>
    <t>VM | SP | Standing Table | Electric | E4 Series | Exact | Experiment |17 Jan 2025</t>
  </si>
  <si>
    <t>VM | SP | Standing Table - E4 | CT. | Refined | EUREKA | 6th Jan</t>
  </si>
  <si>
    <t>VM | SP | Desk Cable Tray | DETACH1 | ASIN | PT. | 4th Nov</t>
  </si>
  <si>
    <t>VM | SP | Standing Table - E4 | CT. | Refined | White Mulberry | 6th Jan</t>
  </si>
  <si>
    <t>VM | SP | Desk Cable Tray | CLAMP1 | GKW | Exact | 5th March</t>
  </si>
  <si>
    <t>ErgoYou Electric Height Adjustable Table Motorized Ergonomic Sit Stand Computer Desk - SM3 Series - 59 X 29.5 Inches - Maple Laminate Table Top</t>
  </si>
  <si>
    <t>VM | SP | Desk Cable Tray | DETACH1 | GKW | Phrase | 2nd Dec</t>
  </si>
  <si>
    <t>VM | SP | Desk Cable Tray | CLAMP1 | Auto | 5th March</t>
  </si>
  <si>
    <t>ErgoYou Premium Electric Height Adjustable Table Heavy Duty - Dual Motor 3 Stage - 150 Kgs Max Weight Capacity - E3 Series - Ergonomic Sit Stand Desk - 59 x 29.5 inches - Maple Laminate Table Top</t>
  </si>
  <si>
    <t>ErgoYou - Electric Height Adjustable Standing Table - Heavy Duty - Dual Motor 2 Stage - 150 Kgs Max Weight Capacity - E2 Series - Ergonomic Sit Stand Desk (Walnut: 47 x 23.5 inches)</t>
  </si>
  <si>
    <t>VM | SBV | Monitor Arm | Vesa Mount | GKW | Phrase | 13 Jan</t>
  </si>
  <si>
    <t>ErgoYou - Electric Height Adjustable Standing Table - Heavy Duty - Dual Motor 2 Stage - 150 Kgs Max Weight Capacity - E2 Series - Ergonomic Sit Stand Desk (Maple: 59 x 29.5 inches)</t>
  </si>
  <si>
    <t>VM | SP | Monitor Arm Stand | Premium | ASIN | PT. | 22nd Jan</t>
  </si>
  <si>
    <t>VM | SP | Desk Cable Tray | CLAMP1 | GKW | Broad | 21th Nov</t>
  </si>
  <si>
    <t>ErgoYou Premium Electric Height Adjustable Table Heavy Duty - Dual Motor 3 Stage - 150 Kgs Max Weight Capacity - E3 Series - Ergonomic Sit Stand Desk - 59 x 29.5 inches - Walnut Laminate Table Top</t>
  </si>
  <si>
    <t>VM | SP | Standing Table - E4 | CT. | Refined | Ergologic | 6th Jan</t>
  </si>
  <si>
    <t>ErgoYou - Electric Height Adjustable Standing Table - Heavy Duty - Dual Motor 2 Stage - 150 Kgs Max Weight Capacity - E2 Series - Ergonomic Sit Stand Desk (Walnut: 59 x 29.5 inches)</t>
  </si>
  <si>
    <t>ErgoYou - Electric Height Adjustable Standing Table - Heavy Duty - Dual Motor 2 Stage - 150 Kgs Max Weight Capacity - E2 Series - Ergonomic Sit Stand Desk (Maple: 47 x 23.5 inches)</t>
  </si>
  <si>
    <t>VM | SP | Standing Table - E4 | CT. | Refined | Sunon | 6th Jan</t>
  </si>
  <si>
    <t>VM | SP | Standing Table - E4 | CT. | Refined | SAVYA | 6th Jan</t>
  </si>
  <si>
    <t>VM | SP | Auto | Cup and Headphone Holder | SP01 BLK | 27th Jan</t>
  </si>
  <si>
    <t>VM | SP | Auto | Cable Tray | UCT1 | 29th Jan</t>
  </si>
  <si>
    <t>VM | SB. | Arm stand | Collection | GKW | Exact | 31st Jan</t>
  </si>
  <si>
    <t>VM | SD | Monitor Arm Stand | VESA Mount | ASIN | PT. | 20th Aug</t>
  </si>
  <si>
    <t>ErgoYou - Electric Height Adjustable Standing Table - Heavy Duty - Dual Motor 2 Stage - 150 Kgs Max Weight Capacity - E2 Series - Ergonomic Sit Stand Desk (No Table Top, Only White Steel Frame)</t>
  </si>
  <si>
    <t>VM | SP | Monitor Arm Stand | VESA Mount | Exact | GKW | Single Arm KW | 6th Sept</t>
  </si>
  <si>
    <t>VM | SP | Cup and Headphone Holder | SP01 BLK | GKW | Broad | 27th Jan</t>
  </si>
  <si>
    <t>ErgoYou Premium Electric Height Adjustable Table Heavy Duty - Dual Motor 3 Stage - 150 Kgs Max Weight Capacity - E3 Series - Ergonomic Sit Stand Desk - 47 x 23.5 inches - Walnut Laminate Table Top</t>
  </si>
  <si>
    <t>VM | SP | Cable Tray | UCT1 | CT. | 29th Jan</t>
  </si>
  <si>
    <t>VM | SD | Cable Tray | All | Cross Sales | ASIN | PT. | 27th Dec</t>
  </si>
  <si>
    <t>VM | SD | Tables | Self ASIN | CT. | Conversion |18 Jan</t>
  </si>
  <si>
    <t>VM | SP | Desk Cable Tray | CLAMP1 | ASIN | PT. | 4th Feb</t>
  </si>
  <si>
    <t>VM | SP | Brand | desk cable tray | All | Sef | ASIN | PT. |  6th Dec</t>
  </si>
  <si>
    <t>Ergoyou-Standing Desk Converter-Pneumatic Gas Spring Height Adjustable Sit Stand Desk-Locks At 6 Height Settings-45,215,265,305,365 &amp; 405 Mm-Mdf Top With Water Resistant Pvc Laminate-Laminated</t>
  </si>
  <si>
    <t>ErgoYou - Premium Gaming - Spring Adjustable LED LIT UP Monitor Arm Stand - 20 RGB Lighting Effects - Weight Capacity 9 kgs - Desktop Clamp or Grommet - 360 Degree Rotation - for 17-32 inches Screens</t>
  </si>
  <si>
    <t>VM | SP | Arm stand | Vesa Mount | G2 1S BLK WHT | CT. | 31st Jan</t>
  </si>
  <si>
    <t>ErgoYou - Pneumatic Height Adjustable Laptop Table - with Castor Wheels &amp; Levelers - Height Range 29.8 to 44.3 in - Table Top Size 22 x 31.5 in - Ergonomic Gas Lift Workstation</t>
  </si>
  <si>
    <t>ErgoYou Premium Electric Height Adjustable Table Heavy Duty - Dual Motor 3 Stage - 150 Kgs Max Weight Capacity - E3 Series - Ergonomic Sit Stand Desk - White Steel Frame</t>
  </si>
  <si>
    <t>ErgoYou Premium Electric Height Adjustable Table Heavy Duty - Dual Motor 3 Stage - 150 Kgs Max Weight Capacity - E3 Series - Ergonomic Sit Stand Desk - 47 x 23.5 inches - Maple Laminate Table Top</t>
  </si>
  <si>
    <t>VM | SP | Brand | Standing Table | Sm3 | Targeted - E2 | ASIN | PT. | 4th Jan</t>
  </si>
  <si>
    <t>VM | SP | Standing Table | SM3 Series | 600 x 1200 | CT. | Refined | Greensoul | 14th Feb</t>
  </si>
  <si>
    <t>ErgoYou Premium Electric Height Adjustable Table Heavy Duty - Dual Motor 3 Stage - 150 Kgs Max Weight Capacity - E3 Series - Ergonomic Sit Stand Desk - Black Steel Frame</t>
  </si>
  <si>
    <t>VM | SP | Standing Table | All | ASIN | PT.  | 20th  july</t>
  </si>
  <si>
    <t>Set of 2 - ErgoYou - Premium Gaming - Spring Adjustable LED LIT UP Monitor Arm Stand - 20 RGB Lighting Effects - Weight Capacity 9 kgs - Desktop Clamp or Grommet (Both Included) - 360 Degree Rotation - For 17-32 inches screens</t>
  </si>
  <si>
    <t>ErgoYou Electric Height Adjustable Table Motorized Ergonomic Sit Stand Computer Desk - 90 Kgs Max Weight Capacity - SM3 Series - 47 x 23.5 inches - Maple Laminate Table Top</t>
  </si>
  <si>
    <t>ErgoYou Electric Height Adjustable Table Motorized Ergonomic Sit Stand Computer Desk - 90 Kgs Max Weight Capacity - SM3 Series - 47 x 23.5 inches - Walnut Laminate Table Top</t>
  </si>
  <si>
    <t>ErgoYou Electric Height Adjustable Table Motorized Ergonomic Sit Stand Computer Desk - 90 Kgs Max Weight Capacity - SM3 Series - 59 X 29.5 Inches - Maple Laminate Table Top</t>
  </si>
  <si>
    <t>ErgoYou - Electric Height Adjustable Standing Table - HEAVY DUTY - Dual Motor 2 Stage - 150 Kgs Max Weight Capacity - E2 Series - Ergonomic Sit Stand Desk (Maple: 47 x 23.5 inches)</t>
  </si>
  <si>
    <t>VM | Brand | Table | Frame | Self | ASIN | PT. | 4th Jan</t>
  </si>
  <si>
    <t>ErgoYou Electric Height Adjustable Table Motorized Ergonomic Sit Stand Computer Desk - 90 Kgs Max Weight Capacity - SM3 Series - 59 x 29.5 inches - Walnut Laminate Table Top</t>
  </si>
  <si>
    <t>VM | SP | Standing Table | SM3 Series | 600X1200 | Exact | Height Adj | TOS | 14th Feb</t>
  </si>
  <si>
    <t>VM | SP | Standing Table | E1A | 600 x 1200 | Exact | Standing table. | TOS | 18th Feb</t>
  </si>
  <si>
    <t>ErgoYou Electric Height Adjustable Table Motorized Ergonomic Sit Stand Computer Desk - 90 Kgs Max Weight Capacity - SM3 Series - White Steel Frame</t>
  </si>
  <si>
    <t>VM | SP | Standing Table - M14 | All | CT. | Refined | Brands | 18th Feb</t>
  </si>
  <si>
    <t>ErgoYou - Electric Height Adjustable Standing Table - HEAVY DUTY - Dual Motor 2 Stage - 150 Kgs Max Weight Capacity - E2 Series - Ergonomic Sit Stand Desk (No Table Top, Only White Steel Frame)</t>
  </si>
  <si>
    <t>VM | SP | Standing Table | M14 | All | Exact | Standing table. | ROS | 18th Feb</t>
  </si>
  <si>
    <t>ErgoYou - Manual Height Adjustable Table 59 x 29.5 inches - 2 Stage with Smooth Hand Crank - Ergonomic Standing Computer Desk - 80 Kg Max weight capacity - M8 Series - Imported - Maple Table Top</t>
  </si>
  <si>
    <t>ErgoYou - Manual Height Adjustable Table 47 x 23.5 inches - 2 Stage with Smooth Hand Crank - Ergonomic Standing Computer Desk- 80 Kg Max weight capacity - M8 Series - Imported - Maple Table Top</t>
  </si>
  <si>
    <t>ErgoYou Premium Electric Height Adjustable Table Heavy Duty - DUAL MOTOR 3 STAGE - 150 Kgs Max Weight Capacity - E3 Series - Ergonomic Sit Stand Desk - 59 x 29.5 inches - Maple Laminate Table Top</t>
  </si>
  <si>
    <t>ErgoYou - Manual Height Adjustable Table 55.1 x 23.6 inches - 2 Stage with Smooth Hand Crank - M3 Series - Imported (Black Table Top and Steel Frame)</t>
  </si>
  <si>
    <t>ErgoYou - Electric Height Adjustable Standing Table - Dual Motor 2 Stage - 110 Kg max weight capacity - E4 Series - Ergonomic Sit Stand Computer Desk – (Walnut, 59 x 29.5 inches)</t>
  </si>
  <si>
    <t>ErgoYou - Manual Height Adjustable Table 59 x 29.5 inches - 2 Stage with Smooth Hand Crank - Ergonomic Standing Desk - 80 Kg Max weight capacity - M8 Series - Imported - Walnut Table Top</t>
  </si>
  <si>
    <t>ErgoYou - Electric Height Adjustable Standing Table - Dual Motor 2 Stage - 110 Kg max weight capacity - E4 Series - Ergonomic Sit Stand Computer Desk – (Maple, 59 x 29.5 inches)</t>
  </si>
  <si>
    <t>ErgoYou - Electric Height Adjustable Standing Table - Dual Motor 3 Stage -125 kg weight capacity - E1A Series - Ergonomic Sit Stand Computer Desk – (Maple, 59 x 29.5 inches)</t>
  </si>
  <si>
    <t>ErgoYou - Manual Height Adjustable Table 47 x 23.5 inches - 2 Stage with Smooth Hand Crank - Ergonomic Standing Computer Desk - 80 Kg Max weight capacity - M8 Series - Imported Walnut Table Top</t>
  </si>
  <si>
    <t>ErgoYou Premium Electric Height Adjustable Table Heavy Duty - DUAL MOTOR 3 STAGE - 150 Kgs Max Weight Capacity - E3 Series - Ergonomic Sit Stand Desk - 59 x 29.5 inches - Walnut Laminate Table Top</t>
  </si>
  <si>
    <t>ErgoYou - Electric Height Adjustable Standing Table - HEAVY DUTY - Dual Motor 2 Stage - 150 Kgs Max Weight Capacity - E2 Series - Ergonomic Sit Stand Desk (Maple: 59 x 29.5 inches)</t>
  </si>
  <si>
    <t>ErgoYou Premium Electric Height Adjustable Table Heavy Duty - DUAL MOTOR 3 STAGE - 150 Kgs Max Weight Capacity - E3 Series - Ergonomic Sit Stand Desk - 47 x 23.5 inches - Maple Laminate Table Top</t>
  </si>
  <si>
    <t>ErgoYou Electric Height Adjustable Table Motorized Ergonomic Sit Stand Computer Desk - 90 Kgs Max Weight Capacity - SM3 Series - Black Steel Frame</t>
  </si>
  <si>
    <t>ErgoYou - Electric Height Adjustable Standing Table 47 x 23.5 inches - Dual Motor 3 Stage -125 kg static weight capacity - E1A Series - Ergonomic Sit Stand Computer Desk – (Walnut, Black Steel Frame)</t>
  </si>
  <si>
    <t xml:space="preserve">Total October </t>
  </si>
  <si>
    <t>ErgoYou - Manual Height Adjustable Table - 2 Stage with Smooth Hand Crank - Ergonomic Standing Computer Desk - 80 Kg Max weight capacity - M8 Series - Imported - Frame Only (Table Top Not Included)</t>
  </si>
  <si>
    <t>ErgoYou - Manual Height Adjustable Table 47 x 23.5 inches - 2 Stage with Smooth Hand Crank - Ergonomic Standing Computer Desk- 80 Kg Max weight capacity - M8 Series - Imported Walnut Table Top</t>
  </si>
  <si>
    <t>ErgoYou - Manual Height Adjustable Table 59 x 29.5 inches - 2 Stage with Smooth Hand Crank - Ergonomic Standing Computer Desk- 80 Kg Max weight capacity - M8 Series - Imported Maple Laminate Table Top</t>
  </si>
  <si>
    <t>ErgoYou - Manual Height Adjustable Table 47 x 23.5 inches - 2 Stage with Smooth Hand Crank - Ergonomic Standing Computer Desk - 80 Kg Max weight capacity- M8 Series - Imported Maple Table Top</t>
  </si>
  <si>
    <t>ErgoYou - Electric Height Adjustable Standing Table 47 x 23.5 inches - Dual Motor 3 Stage -125 kg weight capacity - E1A Series - Ergonomic Sit Stand Computer Desk – (Maple, 47 x 23.5 inches)</t>
  </si>
  <si>
    <t>ErgoYou - Electric Height Adjustable Standing Table - Dual Motor 3 Stage - 125 kg weight capacity - E1A Series - Ergonomic Sit Stand Computer Desk (No Table Top, Only Steel Frame)</t>
  </si>
  <si>
    <t>ErgoYou Monitor Stand - Height Adjustable Computer Monitor Riser compatible with TV, Projector, PC Screen, Laptop, projector, LCD (27inches Max - Monitor Screen) - Ergonomic Design</t>
  </si>
  <si>
    <t>VM | SP | Standing Table - M14 | All | GKW | Exact | Heigh KW | ROS | 22nd Jan</t>
  </si>
  <si>
    <t>ErgoYou - Manual Height Adjustable Table 59 x 29.5 inches - 2 Stage with Smooth Hand Crank - Ergonomic Standing Computer Desk- 80 Kg Max weight capacity - M8 Series - Imported - Walnut Table Top</t>
  </si>
  <si>
    <t>VM | SP | Arm stand | All | BKW | Phrase | 31st Jan</t>
  </si>
  <si>
    <t>ErgoYou - Standing Desk Converter - Pneumatic Gas Spring Height Adjustable Sit Stand Desk - Locks at 6 Height settings - 45, 215, 265, 305, 365 &amp; 405 mm - MDF Top with Water resistant PVC Laminate</t>
  </si>
  <si>
    <t>VM | Standing Table | SM3 | ASIN | PT. | Green Soul | 4th Feb</t>
  </si>
  <si>
    <t>ErgoYou Premium Electric Height Adjustable Table Heavy Duty - DUAL MOTOR 3 STAGE - 150 Kgs Max Weight Capacity - E3 Series - Ergonomic Sit Stand Desk - 47 x 23.5 inches - Walnut Laminate Table Top</t>
  </si>
  <si>
    <t>VM | Frames | All | GKW | phrase | 4th Jan</t>
  </si>
  <si>
    <t>VM | SP | Brand | Table | Sm3 | Cross Sell | Self | PT. | M14 | Targeting | 4th Jan</t>
  </si>
  <si>
    <t>VM | SP | Desk Cable Tray | CLAMP1 | CT. | Desk | Refined | 4th Feb</t>
  </si>
  <si>
    <t>VM | SP | Standing Table - E4 | PT. | Refined | Intellidesk | 12th Feb</t>
  </si>
  <si>
    <t>VM | SM | Standing Table - M14 | All | CT. | Refined | 12th Feb</t>
  </si>
  <si>
    <t>VM | SP | Standing Table | SM3 Series | 600 x 1200 | CT. | Refined | Ergosmart | 14th Feb</t>
  </si>
  <si>
    <t>ErgoYou Electric Height Adjustable Table Motorized Ergonomic Sit Stand Computer Desk - 90 Kgs Max Weight Capacity - SM3 Series - 59 x 29.5 inches - Maple Laminate Table Top</t>
  </si>
  <si>
    <t>VM | SP | Standing Table | SM3 Series | 600X1200 | Exact | Height Adj | PP | 14th Feb</t>
  </si>
  <si>
    <t>VM | SP | Standing Table | SM3 Series | 750 x 1500 | Exact | Standing table. | ROS | 14th Feb</t>
  </si>
  <si>
    <t>ErgoYou Electric Height Adjustable Table Motorized Ergonomic Sit Stand Computer Desk - 90 Kgs Max Weight Capacity - SM3 Series - 47 x 23.5 inches - Carbon Fibre Laminate Table Top</t>
  </si>
  <si>
    <t>VM | SP | Standing Table | SM3 Series | 600 x 1200 | CT. | Refined | Artikle | 14th Feb</t>
  </si>
  <si>
    <t>ErgoYou - Electric Height Adjustable Standing Table - Dual Motor 3 Stage -125 kg static weight capacity - E1A Series - Ergonomic Sit Stand Computer Desk – (Walnut, Black Steel Frame)</t>
  </si>
  <si>
    <t>VM | SP | Standing Table | SM3 Series | 600 x 1200 | Exact | ROS | Motor | 14th Feb</t>
  </si>
  <si>
    <t>ErgoYou - Electric Height Adjustable Standing Table 47 x 23.5 inches - Dual Motor 3 Stage -125 kg static weight capacity - E1A Series - Ergonomic Sit Stand Computer Desk - No Table Top, Black Frame</t>
  </si>
  <si>
    <t>VM | SP | Standing Table | SM3 Series | 600 x 1200 | CT. | Refined | Jin | 14th Feb</t>
  </si>
  <si>
    <t>ErgoYou - Electric Height Adjustable Standing Table - Dual Motor 3 Stage -125 kg static weight capacity - E1A Series - Ergonomic Sit Stand Computer Desk – (Carbon Fiber Colour, 47 x 23.5 inches)</t>
  </si>
  <si>
    <t>VM | SP | Auto | Standing Table | SM3 Series | 600 x 1200 | ASIN. | 14th Feb</t>
  </si>
  <si>
    <t>VM | SP | Auto | Standing Table | SM3 Series | 750 x 1500 | ASIN. | 14th Feb</t>
  </si>
  <si>
    <t>ErgoYou - Electric Height Adjustable Standing Table - Dual Motor 3 Stage -125 kg weight capacity - E1A Series - Ergonomic Sit Stand Computer Desk – (Walnut, 59 x 29.5 inches)</t>
  </si>
  <si>
    <t>VM | SP | Standing Table | SM3 Series | 600 x 1200 | Exact | Standing table. | ROS | 14th Feb</t>
  </si>
  <si>
    <t>ErgoYou - Electric Height Adjustable Standing Table - Dual Motor 2 Stage - 110 Kg max weight capacity - E4 Series - Ergonomic Sit Stand Computer Desk – (Walnut, 47 x 23.5 inches)</t>
  </si>
  <si>
    <t>ErgoYou - TABLE TOP 59 x 29.5 inches – Premium Engineered Wood - Rectangle Shape Desk Top suitable for Office Table, Study Table, Standing Desk - 1500 x 750 x 25 mm – Walnut Laminate</t>
  </si>
  <si>
    <t>VM | SP | Standing Table | SM3 Series | 600 x 1200 | Exact | Standing table. | TOS | 14th Feb</t>
  </si>
  <si>
    <t>VM | SP | Standing Table | SM3 Series | 600X1200 | Exact | Height Adj | ROS | 14th Feb</t>
  </si>
  <si>
    <t>VM | SP | Standing Table | SM3 Series | 750 x 1500 | Exact | Height Adj | ROS | 14th Feb</t>
  </si>
  <si>
    <t>VM | SP | Standing Table | SM3 Series | 750 x 1500 | Exact | ROS | Motor | 14th Feb</t>
  </si>
  <si>
    <t>VM | SP | Standing Table | E1A | 600 x 1200 | Exact | Standing table. | ROS | 18th Feb</t>
  </si>
  <si>
    <t>VM | SP | Standing Table - M14 | All | GKW | Exact | Heigh KW | PP | 18th Feb</t>
  </si>
  <si>
    <t>ErgoYou Premium Electric Height Adjustable Table Heavy Duty - DUAL MOTOR 3 STAGE - 150 Kgs Max Weight Capacity - E3 Series - Ergonomic Sit Stand Desk - White Steel Frame</t>
  </si>
  <si>
    <t>VM | SP | Standing Table | E1A | 600X1200 | Exact | Height Adj | ROS | 18th Feb</t>
  </si>
  <si>
    <t>VM | SP | Standing Table | M14 | All | Exact | Standing table. | TOS | 18th Feb</t>
  </si>
  <si>
    <t>VM | SP | Standing Table | 600X1200 | E1A | CT. | Refined | Jin | 20th Feb</t>
  </si>
  <si>
    <t>VM | SP | Standing Table - M14 | All | GKW | Exact | Heigh KW | TOS | 22nd Jan</t>
  </si>
  <si>
    <t>VM | SP | Standing Table | E1A | 600X1200 | Exact | Height Adj | TOS | 18th Feb</t>
  </si>
  <si>
    <t>Set of 2 - ErgoYou - Premium Gaming - Spring Adjustable LED LIT UP Monitor Stand - 20 RGB Lighting Effects - Weight Capacity 9 kgs - Desktop Clamp or Grommet - 360 Degree Rotation - For 17-32 inches screens</t>
  </si>
  <si>
    <t>ErgoYou - Electric Height Adjustable Standing Table - Dual Motor 3 Stage -125 kg static weight capacity - E1A Series - Ergonomic Sit Stand Computer Desk – (Maple, Black Steel Frame)</t>
  </si>
  <si>
    <t>VM | SD | Standing Table - E4 | PT. | Refined | Intellidesk | 12th Feb</t>
  </si>
  <si>
    <t>ErgoYou - Electric Height Adjustable Standing Table 47 x 23.5 inches - Dual Motor 3 Stage -125 kg static weight capacity - E1A Series - Ergonomic Sit Stand Computer Desk – (Maple, Black Steel Frame)</t>
  </si>
  <si>
    <t>VM | SD | Standing Table | All | CT. | Refined | 14th Feb</t>
  </si>
  <si>
    <t>ErgoYou - Electric Height Adjustable Standing Table - Dual Motor 3 Stage -125 kg weight capacity - E1A Series - Ergonomic Sit Stand Computer Desk – (Carbon Fibre Colour, 47 x 23.5 inches)</t>
  </si>
  <si>
    <t>VM | SDV | Standing Table | Sm3 | All | Re- Targeting | 14th Feb</t>
  </si>
  <si>
    <t>ErgoYou - Electric Height Adjustable Standing Table 47 x 23.5 inches - Dual Motor 3 Stage -125 kg weight capacity - E1A Series - Ergonomic Sit Stand Computer Desk – (Walnut, 47 x 23.5 inches)</t>
  </si>
  <si>
    <t>ErgoYou - Electric Height Adjustable Standing Table - Dual Motor 2 Stage - 110 Kg max weight capacity - E4 Series - Ergonomic Sit Stand Computer Desk – (Maple, 47 x 23.5 inches)</t>
  </si>
  <si>
    <t>VM | SB. | Standing Table | All | Phrase | GKW | 14th Feb</t>
  </si>
  <si>
    <t>ErgoYou - Detachable Under Desk Cable Tray for Wire Management - Power Strip Tray and Charging Wires Organisor - Easy and Quick DIY Installation - 108 x 120 x 600 mm</t>
  </si>
  <si>
    <t>VM | SBV | Standing Table | E1A | 600X1200 | Exact | Height Adj | TOS | 20th Feb</t>
  </si>
  <si>
    <t>VM | SP | Auto | Monitor Arm Stand | Sub | 18th Mar</t>
  </si>
  <si>
    <t>Anti Fatigue mat</t>
  </si>
  <si>
    <t>ErgoYou - Electric Height Adjustable Standing Table - HEAVY DUTY - Dual Motor 2 Stage - 150 Kgs Max Weight Capacity - E2 Series - Ergonomic Sit Stand Desk (Maple: 47 x 23.5 inches) Laminated</t>
  </si>
  <si>
    <t>VM | SP | Desk Cable Tray | CLAMP1 | ASIN | PT. | Competitor | 5th march 2025</t>
  </si>
  <si>
    <t>VM | SP | Standing Table | E2 | All | Phrase | 30th Dec</t>
  </si>
  <si>
    <t>VM | SP | Auto | Standing Table | SM3 Series | 750 x 1500 | ASIN. | PT. |14th Feb</t>
  </si>
  <si>
    <t>ErgoYou - Clamp On Power Strip Extension Board Holder - No Drilling Required - Compatible with Power Strips 50 to 70 mm &amp; tabletop thickness 10 to 50 mm - Desk Mount Wire &amp; Cable Management Solution</t>
  </si>
  <si>
    <t>VM | SP | Arm stand | Vesa Mount | G3 1S BLK WHT | GKW | Phrase | 12th Mar</t>
  </si>
  <si>
    <t>VM | SP | Monitor Arm | All | BKW | Exact | 11th March</t>
  </si>
  <si>
    <t>VM | SP | Standing Table - M3 | GKW | Phrase | 12th Mar</t>
  </si>
  <si>
    <t>VM | SP | Standing Table - M3 | CT. | Refined | 12th Mar</t>
  </si>
  <si>
    <t>VM | SP | Standing Table - Sm4 | All | CKW | Jin | Phrase | 28th March</t>
  </si>
  <si>
    <t>VM | SP | Standing Table - Sm4 | All | CKW | Jin | Phrase | Table | 28th March</t>
  </si>
  <si>
    <t>VM | SP | Sales day | All | CKW | Artikel | Phrase | Table | 28th March</t>
  </si>
  <si>
    <t>VM | SP | Standing Table - Sm4 | All | CKW | Green Soul | Phrase | Table | 28th March</t>
  </si>
  <si>
    <t>Paused -</t>
  </si>
  <si>
    <t>VM | SB. | Table | Manual | Phrase | GKW | 12th</t>
  </si>
  <si>
    <t>VM | SB. | Standing Table | Premium | GKW | Phrase | 12th Mar</t>
  </si>
  <si>
    <t>VM | SB. | Standing Table - Sm3 | Black | Broad | GKW | 10th Mar</t>
  </si>
  <si>
    <t>VM | SP | Auto | Monitor Arm Stand | Loose | VESA Mount | 20th Aug</t>
  </si>
  <si>
    <t>Set of 2 - ErgoYou - Premium Gaming - Spring Adjustable LED LIT UP Monitor Stand - 20 RGB Lighting - Weight Capacity 9 kgs - Desktop Clamp or Grommet - 360 Degree Rotation - For 17-32 inches screens</t>
  </si>
  <si>
    <t>VM | Standing Table - Frames | SM4 | Broad | GKW | 12th Mar</t>
  </si>
  <si>
    <t>VM | SP | Monitor Arm Stand | G2 | GKW | Exact | 11th Mar</t>
  </si>
  <si>
    <t>ErgoYou Electric Height Laminated Adjustable Table Motorized Ergonomic Sit Stand Computer Desk - 90 Kgs Max Weight Capacity - Sm3 Series - 47 X 23.5 Inches - Maple Laminate Table Top</t>
  </si>
  <si>
    <t>ErgoYou - Clamp On Power Strip Extension Board Holder - Easy &amp; Quick Installation - No Drilling Required - Compatible with Power Strips 50 to 70 mm in Height &amp; Table top Thickness 10 to 50 mm</t>
  </si>
  <si>
    <t>VM | SP | Standing Table | Electric | SM4 | GKW | TOS | Exact | Height KW | 19th Nov</t>
  </si>
  <si>
    <t>VM | SP | Standing Table | Electric | SM4 | ASIN | PT. | PP | Best Seller | 19th Nov</t>
  </si>
  <si>
    <t>ErgoYou Electric Laminated Height Adjustable Table Motorized Ergonomic Sit Stand Computer Desk - 90 Kgs Max Weight Capacity - Sm3 Series - 59 X 29.5 Inches - Maple Laminate Table Top</t>
  </si>
  <si>
    <t>VM | SP | Standing Table - SM4 | Black | Phrase | Modifier | GKW | 12th Mar</t>
  </si>
  <si>
    <t>VM | SP | Standing Table | Black | SM4 | GKW | ROS | Exact | Height KW | 19th Nov</t>
  </si>
  <si>
    <t>ErgoYou - Electric Height Adjustable Standing Table - Dual Motor 3 Stage -125 kg Weight Capacity - E1A Series - Ergonomic Sit Stand Computer Desk – (Walnut, 59 x 29.5 inches)</t>
  </si>
  <si>
    <t>ErgoYou - Electric Height Adjustable Standing Table - Dual Motor 2 Stage - E4 Series - Ergonomic Sit Stand Computer Desk – (Maple, 59 x 29.5 inches)</t>
  </si>
  <si>
    <t>ErgoYou - Electric Height Adjustable Standing Table - Dual Motor 2 Stage - E4 Series - Ergonomic Sit Stand Computer Desk – (Walnut, 47 x 23.5 inches)</t>
  </si>
  <si>
    <t>ErgoYou - Electric Height Adjustable Standing Table - Dual Motor 2 Stage - E4 Series - Ergonomic Sit Stand Computer Desk – (Walnut, 59 x 29.5 inches)</t>
  </si>
  <si>
    <t>ErgoYou - Premium Gaming - Spring Adjustable LED LIT UP Monitor Arm Stand - 20 RGB Lighting Effects - Weight Capacity 9 kgs - Desktop Clamp or Grommet - 360 Degree Rotation - For 17-32 inches screens</t>
  </si>
  <si>
    <t>ErgoYou Monitor Stand - Height Adjustable Computer Monitor Riser Compatible with TV, Projector, PC Screen, Laptop, Projector, LCD (27inches Max - Monitor Screen) - Ergonomic Design</t>
  </si>
  <si>
    <t>Cup &amp; Headphone Holder</t>
  </si>
  <si>
    <t>ErgoYou - Electric Height Adjustable Standing Table - Dual Motor 2 Stage - E4 Series - Ergonomic Sit Stand Computer Desk – (Maple, 47 x 23.5 inches)</t>
  </si>
  <si>
    <t>VM | SP | Standing Table | All | CKW | Jin | Phrase | Table | 28th March</t>
  </si>
  <si>
    <t>Total November</t>
  </si>
  <si>
    <t>VM | SP | Standing Table - Sm4 | All | GKW | Broad | 7th Apr</t>
  </si>
  <si>
    <t>ErgoYou - Electric Height Adjustable Standing Table - Dual Motor 3 Stage -125 kg Weight Capacity - E1A Series - Ergonomic Sit Stand Computer Desk – (Maple, 59 x 29.5 inches)</t>
  </si>
  <si>
    <t>VM | SD | Standing Table | Electric | SM4 | Re-Targeting | Page Visit | 18th April</t>
  </si>
  <si>
    <t>ErgoYou - Manual Height Adjustable Table - 2 Stage with Smooth Hand Crank - Ergonomic Standing Computer Desk - 80 Kg Max Weight Capacity - M8 Series - Imported - Frame Only (Table Top Not Included)</t>
  </si>
  <si>
    <t>VM | SP | Auto | Arm stand | G3 1S BLK WHT | 3rd Apr</t>
  </si>
  <si>
    <t>ErgoYou - Manual Height Adjustable Table 59 x 29.5 inches - 2 Stage with Smooth Hand Crank - Ergonomic Standing Computer Desk- 80 Kg Max Weight Capacity - M8 Series - Imported - Walnut Table Top</t>
  </si>
  <si>
    <t>ErgoYou - Manual Height Adjustable Table 47 x 23.5 inches - 2 Stage with Smooth Hand Crank - Ergonomic Standing Computer Desk - 80 Kg Max Weight Capacity - M8 Series - Imported Walnut Table Top</t>
  </si>
  <si>
    <t>ErgoYou - Manual Height Adjustable Table 47 x 23.5 inches - 2 Stage with Smooth Hand Crank - Ergonomic Standing Computer Desk - 80 Kg Max Weight Capacity- M8 Series - Imported Maple Table Top</t>
  </si>
  <si>
    <t>VM | SP | Standing Table | All | CKW | Jin | Phrase | 28th March</t>
  </si>
  <si>
    <t>VM | SDV | Standing Table | Electric | SM4 | In-market audiences | Electronic | Page Visit | 18th April</t>
  </si>
  <si>
    <t>VM | SDV | Standing Table | Electric | SM4 | Re-Targeting | Page Visit | 18th April</t>
  </si>
  <si>
    <t>VM | SBV | Standing Table - SM4 | Broad | GKW | Computer Table | 1 phrase | 18th April</t>
  </si>
  <si>
    <t xml:space="preserve"> </t>
  </si>
  <si>
    <t>VM | SBV | Standing Table - SM4 | Broad | GKW | Desk | 1 phrase | 18th April</t>
  </si>
  <si>
    <t>ErgoYou - Electric Height Adjustable Standing Table 47 x 23.5 inches - Dual Motor 3 Stage -125 kg Weight Capacity - E1A Series - Ergonomic Sit Stand Computer Desk – (Maple, 47 x 23.5 inches)</t>
  </si>
  <si>
    <t>VM | SP | Auto | Standing Table | SM3 Series | 750 x 1500 | Sub |14th Feb</t>
  </si>
  <si>
    <t>ErgoYou - Electric Height Adjustable Standing Table 47 x 23.5 inches - Dual Motor 3 Stage -125 kg Weight Capacity - E1A Series - Ergonomic Sit Stand Computer Desk – (Walnut, 47 x 23.5 inches)</t>
  </si>
  <si>
    <t>ErgoYou - Electric Height Adjustable Standing Table - Dual Motor 3 Stage - 125 kg Weight Capacity - E1A Series - Ergonomic Sit Stand Computer Desk (No Table Top, Only Steel Frame)</t>
  </si>
  <si>
    <t>ErgoYou - Electric Height Adjustable Standing Table - Dual Motor 2 Stage - E4 Series - Ergonomic Sit Stand Computer Desk (Maple, 59 x 29.5 inches)</t>
  </si>
  <si>
    <t>ErgoYou - Electric Height Adjustable Standing Table - Dual Motor 2 Stage - E4 Series - Ergonomic Sit Stand Computer Desk (Walnut, 47 x 23.5 inches)</t>
  </si>
  <si>
    <t>ErgoYou - Electric Height Adjustable Standing Table - Dual Motor 2 Stage - E4 Series - Ergonomic Sit Stand Computer Desk (Walnut, 59 x 29.5 inches)</t>
  </si>
  <si>
    <t>ErgoYou - Electric Height Adjustable Standing Table - Dual Motor 2 Stage - E4 Series - Ergonomic Sit Stand Computer Desk (Maple, 47 x 23.5 inches)</t>
  </si>
  <si>
    <t>VM | SP | Standing Table | All | CKW | Green Soul | Phrase | Table | 28th March</t>
  </si>
  <si>
    <t>VM | SDV | Standing Table | Electric | SM4 | In-market audiences | Mobile | Page Visit | 18th April</t>
  </si>
  <si>
    <t>ErgoYou Electric Height Adjustable Table Motorized Ergonomic Sit Stand Desk - 90 Kgs Max Weight Capacity - SM3 Series - 47 x 23.5 inches - Maple Laminate Table Top</t>
  </si>
  <si>
    <t>VM | SDV | Standing Table | Electric | SM4 | In-market audiences | Page Visit | Monitor | 18th April</t>
  </si>
  <si>
    <t>VM | SDV | Standing Table | Electric | SM4 | In-market audiences | Office Chair | Page Visit | 18th April</t>
  </si>
  <si>
    <t>ErgoYou Electric Height Adjustable Table Motorized Ergonomic Sit Stand Desk - 90 Kgs Max Weight Capacity - SM3 Series - 59 X 29.5 Inches - Maple Laminate Table Top</t>
  </si>
  <si>
    <t>VM | SDV | Standing Table | Electric | SM4 | In-market audiences | Laptop | Page Visit | 18th April</t>
  </si>
  <si>
    <t>VM | SBV | Standing Table - SM4 | Broad | GKW | Office Table | 1 phrase | 18th April</t>
  </si>
  <si>
    <t>VM | SBV | Standing Table - Sm4 | Broad | GKW | Gaming | 1 Phrase | 18th April</t>
  </si>
  <si>
    <t>ErgoYou - Electric Height Adjustable Laminated Standing Table - Heavy Duty - Dual Motor 2 Stage - 150 Kgs Max Weight Capacity - E2 Series - Ergonomic Sit Stand Desk (Maple: 59 X 29.5 Inches)</t>
  </si>
  <si>
    <t>VM | SP | Auto | Board Holder | All | Close | 18th April</t>
  </si>
  <si>
    <t>VM | SBV | Standing Table - Sm4 | Broad | GKW | Table | 1 phrase | 18th April</t>
  </si>
  <si>
    <t>VM | SDV | Standing Table | Electric | SM4 | In-market audiences | Table | Page Visit | 18th April</t>
  </si>
  <si>
    <t>ErgoYou Electric Height Adjustable Standing Table - Dual Motor 2 Stage - 110 Kg Max Weight Capacity - E4 Series - Ergonomic Sit Stand Computer Desk (Maple, 59 X 29.5 Inches, Laminated)</t>
  </si>
  <si>
    <t>ErgoYou Premium Electric Laminated Height Adjustable Table Heavy Duty-Dual Motor 3 Stage-150 Kgs Max Weight Capacity-E3 Series-Ergonomic Sit Stand Desk-59 X 29.5 Inches-Maple Laminate Table Top</t>
  </si>
  <si>
    <t>VM | SDV | Standing Table | Electric | SM4 | In-market audiences | Page Visit | 18th April</t>
  </si>
  <si>
    <t>ErgoYou Alloy Steel-Electric Height Adjustable Standing Table 47 X 23.5 Inches-Dual Motor 3 Stage -125 Kg Static Weight Capacity-E1A Series-Ergonomic Sit Stand Computer Desk-No Table Top,Black Frame</t>
  </si>
  <si>
    <t>ErgoYou - Electric Height Adjustable Standing Table 47 x 23.5 inches - Dual Motor 3 Stage -125 kg Static Weight Capacity - E1A Series - Ergonomic Sit Stand Computer Desk – (Walnut, Black Steel Frame)</t>
  </si>
  <si>
    <t>VM | SP | Standing Table | All | Intellidesk | ASIN | PT. | 22nd April</t>
  </si>
  <si>
    <t>VM | SP | Arm stand | Vesa Mount | G3 1S BLK WHT | GKW | Exact | 3rd Apr</t>
  </si>
  <si>
    <t>VM | SP | Extension &amp; Holder | Board Holder | CT. | Desk | 18th April</t>
  </si>
  <si>
    <t>ErgoYou Electric Height Adjustable Standing Table - Dual Motor 2 Stage - 110 Kg Max Weight Capacity - E4 Series - Ergonomic Sit Stand Computer Desk (Maple, 47 X 23.5 Inches, Laminated)</t>
  </si>
  <si>
    <t>SP | AUTO | CPC | Audio Video Cables 72f598</t>
  </si>
  <si>
    <t>SP | Auto | Mid selling | CPC | Desk- large d17b75</t>
  </si>
  <si>
    <t>Start Date</t>
  </si>
  <si>
    <t>End Date</t>
  </si>
  <si>
    <t>Portfolio name</t>
  </si>
  <si>
    <t>Currency</t>
  </si>
  <si>
    <t>Campaign Name</t>
  </si>
  <si>
    <t>Bidding strategy</t>
  </si>
  <si>
    <t>Placement</t>
  </si>
  <si>
    <t>Cost Per Click (CPC)</t>
  </si>
  <si>
    <t>7 Day Total Sales (₹)</t>
  </si>
  <si>
    <t>Total Advertising Cost of Sales (ACOS)</t>
  </si>
  <si>
    <t>Total Return on Advertising Spend (ROAS)</t>
  </si>
  <si>
    <t>7 Day Total Orders (#)</t>
  </si>
  <si>
    <t>7 Day Total Units (#)</t>
  </si>
  <si>
    <t>ErgoYou Electric Height Adjustable Standing Table - Dual Motor 3 Stage -125 Kg Weight Capacity - E1A Series - Ergonomic Sit Stand Computer Desk (Maple, 59 X 29.5 Inches, Laminated)</t>
  </si>
  <si>
    <t>INR</t>
  </si>
  <si>
    <t>Product pages on Amazon</t>
  </si>
  <si>
    <t>Rest of search on Amazon</t>
  </si>
  <si>
    <t>ErgoYou Plastic - Pneumatic Height Adjustable Laptop Table - With Castor Wheels &amp; Levelers - Height Range 29.8 To 44.3 In - Table Top Size 22 X 31.5 In - Ergonomic Gas Lift Workstation, White</t>
  </si>
  <si>
    <t>First page Top of Search on Amazon</t>
  </si>
  <si>
    <t>ErgoYou Premium Laminated Electric Height Adjustable Table Heavy Duty-Dual Motor 3 Stage-150 Kgs Max Weight Capacity-E3 Series-Ergonomic Sit Stand Desk-47 X 23.5 Inches-Maple Laminate Table Top</t>
  </si>
  <si>
    <t>Table Desk</t>
  </si>
  <si>
    <t>ErgoYou - Electric Height Adjustable Standing Table - Dual Motor 3 Stage -125 kg Static Weight Capacity - E1A Series - Ergonomic Sit Stand Computer Desk – (Carbon Fiber Colour, 47 x 23.5 inches)</t>
  </si>
  <si>
    <t>ErgoYou - Electric Height Adjustable Standing Table 47 x 23.5 inches - Dual Motor 3 Stage -125 kg Static Weight Capacity - E1A Series - Ergonomic Sit Stand Computer Desk – (Maple, Black Steel Frame)</t>
  </si>
  <si>
    <t>ErgoYou - Table TOP 47 x 23.5 inches - Premium Engineered Wood - Rectangle Shape Desk Top Suitable for Office Table, Study Table, Standing Desk - 1200 x 600 x 18 mm - White Laminate</t>
  </si>
  <si>
    <t>ErgoYou - Manual Height Adjustable Table - 2 Stage with Smooth Hand Crank - Ergonomic Standing Computer Desk - 80 Kg Max Weight Capacity - M8 Series - 47 x 23.5 inches Maple Table Topb - White Frame</t>
  </si>
  <si>
    <t>ErgoYou - Manual Height Adjustable Table - 2 Stage with Smooth Hand Crank - Ergonomic Standing Computer Desk - 80 Kg Max Weight Capacity - M8 Series - 47 x 23.5 inches Walnut Table Top - White Frame</t>
  </si>
  <si>
    <t>ErgoYou - Manual Height Adjustable Table - 2 Stage with Smooth Hand Crank - Ergonomic Standing Computer Desk - 80 Kg Max Weight Capacity - M8 Series - 59 x 29.5 inches Maple Table Top - White Frame</t>
  </si>
  <si>
    <t>ErgoYou Manual M3 (Engineered Wood, M8 | Only Frame | White Frame)</t>
  </si>
  <si>
    <t>ErgoYou - Manual Height Adjustable Table - 2 Stage with Smooth Hand Crank - Ergonomic Standing Computer Desk - 80 Kg Max Weight Capacity - M8 Series - 59 x 29.5 inches Walnut Table Top - White Frame</t>
  </si>
  <si>
    <t>ErgoYou - Electric Height Adjustable Standing Table 47 x 23.5 inches - Dual Motor 3 Stage -125 kg Static Weight Capacity - E1A Series - Ergonomic Sit Stand Computer Desk - No Table Top, Black Frame</t>
  </si>
  <si>
    <t>ErgoYou Electric Height Adjustable Laminated Table Motorized Ergonomic Sit Stand Computer Desk-90 Kgs Max Weight Capacity-Sm3 Series-47 X 23.5 Inches-Maple Laminate Table Top</t>
  </si>
  <si>
    <t>ErgoYou Manual M3 (Engineered Wood, M3 | Maple: 55.1 x 23.6 inches | White Frame)</t>
  </si>
  <si>
    <t>ErgoYou - Electric Height Adjustable Standing Table - Heavy Duty - Dual Motor 2 Stage - 150 Kgs Max Weight Capacity - E2 Series - Ergonomic Sit Stand Desk (No Table Top, Only Black Steel Frame)</t>
  </si>
  <si>
    <t>ErgoYou - Electric Height Adjustable Standing Table - Dual Motor 3 Stage -125 kg Static Weight Capacity - E1A Series - Ergonomic Sit Stand Computer Desk – (Maple, Black Steel Frame)</t>
  </si>
  <si>
    <t>ErgoYou - Electric Height Adjustable Standing Table - Dual Motor 3 Stage -125 kg Static Weight Capacity - E1A Series - Ergonomic Sit Stand Computer Desk – (Walnut, Black Steel Frame)</t>
  </si>
  <si>
    <t>ErgoYou - Electric Height Adjustable Standing Table - Dual Motor 3 Stage -125 kg Weight Capacity - E1A Series - Ergonomic Sit Stand Computer Desk – (Carbon Fibre Colour, 47 x 23.5 inches)</t>
  </si>
  <si>
    <t>ErgoYou - Manual Height Adjustable Table - 2 Stage - M8 Series - Imported - Black Steel Frame (Engineered Wood, Walnut: 47 x 23.5 inches | Black Frame)</t>
  </si>
  <si>
    <t>ErgoYou - Detachable Under Desk Cable Tray for Wire Management - Power Strip Tray and Charging Wires Organisor - Easy and Quick DIY Installation - 108 x 120 x 600 mm - White</t>
  </si>
  <si>
    <t>ErgoYou - Clamp On Power Strip Extension Board Holder - No Drilling Required - Compatible with Power Strips 50 to 70 mm in height &amp; table top thickness 10 to 50 mm - Desk Mount Wire &amp; Cable Management</t>
  </si>
  <si>
    <t>Total Jan 2025</t>
  </si>
  <si>
    <t>ErgoYou - Clamp-on Under Desk Cable Tray for Wire Management - Power Strip Tray and Charging Wires Organisor - Easy and Quick DIY Installation - 108 x 120 mm x 600 mm</t>
  </si>
  <si>
    <t>ErgoYou Electric Height Adjustable Table Motorized Ergonomic Sit Stand Desk - 90 Kgs Max Weight Capacity - SM3 Series - 47 x 23.5 inches - Maple Laminated Table Top</t>
  </si>
  <si>
    <t>ErgoYou Electric Height Adjustable Table Motorized Ergonomic Sit Stand Desk - 90 Kgs Max Weight Capacity - SM3 Series - 59 X 29.5 Inches - Maple Laminate Table Top, laminated</t>
  </si>
  <si>
    <t>ErgoYou Electric Height Laminated Adjustable Table Motorized Ergonomic Sit Stand Desk - 80 Kgs Max Weight Capacity - Sm4 Series - 600 X 1200 Mm - Maple Laminate Table Top</t>
  </si>
  <si>
    <t>ErgoYou Cup Holder for Desk, Anti-Spill, Black Steel</t>
  </si>
  <si>
    <t>Total  2025</t>
  </si>
  <si>
    <t>ErgoYou - Premium Spring Adjustable Monitor Arm Stand - VESA Mount - Weight Capacity 2-9 kgs - for Most 13-32" Screens - Clamp or Grommet Mount - 360 Degree Rotation (Single Monitor Arm | G3 Series)</t>
  </si>
  <si>
    <t>ErgoYou - Pneumatic Height Adjustable Laptop Table - with Castor Wheels &amp; Levelers - Height Range 29.8 to 44.3 in - Top Size 22 x 31.5 in - Ergonomic Gas Lift Desk Workstation - Smooth Hand Paddle</t>
  </si>
  <si>
    <t>Standing Table - E4</t>
  </si>
  <si>
    <t>#N/A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</si>
</sst>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₹&quot;\ #,##0"/>
    <numFmt numFmtId="165" formatCode="&quot;₹&quot;\ #,##0;[Red]&quot;₹&quot;\ \-#,##0"/>
    <numFmt numFmtId="166" formatCode="&quot;₹&quot;\ #,##0.00;[Red]&quot;₹&quot;\ \-#,##0.00"/>
    <numFmt numFmtId="167" formatCode="0.000%"/>
    <numFmt numFmtId="168" formatCode="[$₹]#,##0;\([$₹]#,##0\)"/>
    <numFmt numFmtId="169" formatCode="[$₹-409]#,##0.00"/>
    <numFmt numFmtId="170" formatCode="[$₹-409]#,##0"/>
    <numFmt numFmtId="171" formatCode="#,##0.00%"/>
    <numFmt numFmtId="172" formatCode="mmmm\,\ yyyy"/>
    <numFmt numFmtId="173" formatCode="mmm\ dd\,\ yyyy"/>
    <numFmt numFmtId="174" formatCode="[$₹]#,##0.00;\([$₹]#,##0.00\)"/>
    <numFmt numFmtId="175" formatCode="0.0000%"/>
  </numFmts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/>
    <font>
      <sz val="10.0"/>
      <color theme="1"/>
      <name val="Arial"/>
    </font>
    <font>
      <b/>
      <sz val="10.0"/>
      <color rgb="FF222222"/>
      <name val="Calibri"/>
    </font>
    <font>
      <b/>
      <sz val="10.0"/>
      <color rgb="FF000000"/>
      <name val="Calibri"/>
    </font>
    <font>
      <sz val="10.0"/>
      <color rgb="FF222222"/>
      <name val="Calibri"/>
    </font>
    <font>
      <sz val="10.0"/>
      <color rgb="FF000000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theme="1"/>
      <name val="Arial"/>
    </font>
    <font>
      <sz val="10.0"/>
      <color rgb="FF222222"/>
      <name val="Arial"/>
    </font>
    <font>
      <sz val="11.0"/>
      <color rgb="FF000000"/>
      <name val="Calibri"/>
    </font>
    <font>
      <b/>
      <sz val="11.0"/>
      <color theme="0"/>
      <name val="Calibri"/>
    </font>
    <font>
      <b/>
      <sz val="10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8497B0"/>
        <bgColor rgb="FF8497B0"/>
      </patternFill>
    </fill>
    <fill>
      <patternFill patternType="solid">
        <fgColor rgb="FFF4B084"/>
        <bgColor rgb="FFF4B084"/>
      </patternFill>
    </fill>
    <fill>
      <patternFill patternType="solid">
        <fgColor rgb="FFFFD966"/>
        <bgColor rgb="FFFFD966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9CB9C"/>
        <bgColor rgb="FFF9CB9C"/>
      </patternFill>
    </fill>
    <fill>
      <patternFill patternType="solid">
        <fgColor rgb="FFC6E0B4"/>
        <bgColor rgb="FFC6E0B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C9DAF8"/>
        <bgColor rgb="FFC9DAF8"/>
      </patternFill>
    </fill>
    <fill>
      <patternFill patternType="solid">
        <fgColor rgb="FFD6DCE4"/>
        <bgColor rgb="FFD6DCE4"/>
      </patternFill>
    </fill>
    <fill>
      <patternFill patternType="solid">
        <fgColor rgb="FFFFE598"/>
        <bgColor rgb="FFFFE598"/>
      </patternFill>
    </fill>
    <fill>
      <patternFill patternType="solid">
        <fgColor rgb="FFD9E1F2"/>
        <bgColor rgb="FFD9E1F2"/>
      </patternFill>
    </fill>
    <fill>
      <patternFill patternType="solid">
        <fgColor rgb="FFD9D2E9"/>
        <bgColor rgb="FFD9D2E9"/>
      </patternFill>
    </fill>
    <fill>
      <patternFill patternType="solid">
        <fgColor rgb="FF4285F4"/>
        <bgColor rgb="FF4285F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5" fontId="2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2" fontId="1" numFmtId="0" xfId="0" applyBorder="1" applyFill="1" applyFont="1"/>
    <xf borderId="1" fillId="0" fontId="3" numFmtId="0" xfId="0" applyBorder="1" applyFont="1"/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2" xfId="0" applyAlignment="1" applyBorder="1" applyFont="1" applyNumberFormat="1">
      <alignment horizontal="center" vertical="center"/>
    </xf>
    <xf borderId="1" fillId="7" fontId="1" numFmtId="10" xfId="0" applyAlignment="1" applyBorder="1" applyFill="1" applyFont="1" applyNumberFormat="1">
      <alignment horizontal="center" vertical="center"/>
    </xf>
    <xf borderId="1" fillId="7" fontId="3" numFmtId="10" xfId="0" applyAlignment="1" applyBorder="1" applyFill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/>
    </xf>
    <xf borderId="1" fillId="7" fontId="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0" fillId="0" fontId="3" numFmtId="10" xfId="0" applyFont="1" applyNumberFormat="1"/>
    <xf borderId="0" fillId="0" fontId="3" numFmtId="1" xfId="0" applyFont="1" applyNumberFormat="1"/>
    <xf borderId="1" fillId="3" fontId="2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8" fontId="3" numFmtId="0" xfId="0" applyBorder="1" applyFill="1" applyFont="1"/>
    <xf borderId="1" fillId="9" fontId="5" numFmtId="0" xfId="0" applyAlignment="1" applyBorder="1" applyFill="1" applyFont="1">
      <alignment horizontal="left" vertical="center"/>
    </xf>
    <xf borderId="1" fillId="10" fontId="6" numFmtId="0" xfId="0" applyAlignment="1" applyBorder="1" applyFill="1" applyFont="1">
      <alignment horizontal="center" shrinkToFit="0" vertical="center" wrapText="1"/>
    </xf>
    <xf borderId="2" fillId="11" fontId="7" numFmtId="0" xfId="0" applyAlignment="1" applyBorder="1" applyFill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/>
    </xf>
    <xf borderId="2" fillId="11" fontId="7" numFmtId="0" xfId="0" applyAlignment="1" applyBorder="1" applyFill="1" applyFont="1">
      <alignment horizontal="center" vertical="center"/>
    </xf>
    <xf borderId="1" fillId="0" fontId="3" numFmtId="2" xfId="0" applyAlignment="1" applyBorder="1" applyFont="1" applyNumberFormat="1">
      <alignment horizontal="center"/>
    </xf>
    <xf borderId="1" fillId="11" fontId="6" numFmtId="0" xfId="0" applyAlignment="1" applyBorder="1" applyFill="1" applyFont="1">
      <alignment horizontal="center"/>
    </xf>
    <xf borderId="1" fillId="11" fontId="7" numFmtId="0" xfId="0" applyAlignment="1" applyBorder="1" applyFill="1" applyFont="1">
      <alignment horizontal="center"/>
    </xf>
    <xf borderId="1" fillId="0" fontId="3" numFmtId="1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top"/>
    </xf>
    <xf borderId="1" fillId="9" fontId="9" numFmtId="1" xfId="0" applyAlignment="1" applyBorder="1" applyFill="1" applyFont="1" applyNumberFormat="1">
      <alignment horizontal="center"/>
    </xf>
    <xf borderId="1" fillId="9" fontId="9" numFmtId="0" xfId="0" applyAlignment="1" applyBorder="1" applyFill="1" applyFont="1">
      <alignment horizontal="center" shrinkToFit="0" wrapText="1"/>
    </xf>
    <xf borderId="1" fillId="9" fontId="9" numFmtId="0" xfId="0" applyAlignment="1" applyBorder="1" applyFill="1" applyFont="1">
      <alignment horizontal="center"/>
    </xf>
    <xf borderId="1" fillId="9" fontId="9" numFmtId="2" xfId="0" applyAlignment="1" applyBorder="1" applyFill="1" applyFont="1" applyNumberFormat="1">
      <alignment horizontal="center"/>
    </xf>
    <xf borderId="1" fillId="8" fontId="3" numFmtId="10" xfId="0" applyAlignment="1" applyBorder="1" applyFill="1" applyFont="1" applyNumberFormat="1">
      <alignment horizontal="center" vertical="center"/>
    </xf>
    <xf borderId="1" fillId="0" fontId="3" numFmtId="10" xfId="0" applyBorder="1" applyFont="1" applyNumberFormat="1"/>
    <xf borderId="1" fillId="0" fontId="3" numFmtId="9" xfId="0" applyAlignment="1" applyBorder="1" applyFont="1" applyNumberFormat="1">
      <alignment horizontal="center"/>
    </xf>
    <xf borderId="1" fillId="9" fontId="9" numFmtId="10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left" vertical="center"/>
    </xf>
    <xf borderId="1" fillId="12" fontId="9" numFmtId="0" xfId="0" applyAlignment="1" applyBorder="1" applyFill="1" applyFont="1">
      <alignment horizontal="center" shrinkToFit="0" wrapText="1"/>
    </xf>
    <xf borderId="1" fillId="12" fontId="9" numFmtId="1" xfId="0" applyAlignment="1" applyBorder="1" applyFill="1" applyFont="1" applyNumberFormat="1">
      <alignment horizontal="center"/>
    </xf>
    <xf borderId="1" fillId="9" fontId="9" numFmtId="9" xfId="0" applyAlignment="1" applyBorder="1" applyFill="1" applyFont="1" applyNumberFormat="1">
      <alignment horizontal="center"/>
    </xf>
    <xf borderId="1" fillId="12" fontId="9" numFmtId="2" xfId="0" applyAlignment="1" applyBorder="1" applyFill="1" applyFont="1" applyNumberFormat="1">
      <alignment horizontal="center"/>
    </xf>
    <xf borderId="1" fillId="10" fontId="7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shrinkToFit="0" wrapText="1"/>
    </xf>
    <xf borderId="5" fillId="11" fontId="7" numFmtId="0" xfId="0" applyAlignment="1" applyBorder="1" applyFill="1" applyFont="1">
      <alignment horizontal="center" shrinkToFit="0" wrapText="1"/>
    </xf>
    <xf borderId="6" fillId="0" fontId="9" numFmtId="0" xfId="0" applyAlignment="1" applyBorder="1" applyFont="1">
      <alignment shrinkToFit="0" vertical="top" wrapText="1"/>
    </xf>
    <xf borderId="7" fillId="0" fontId="9" numFmtId="0" xfId="0" applyAlignment="1" applyBorder="1" applyFont="1">
      <alignment horizontal="center" shrinkToFit="0" wrapText="1"/>
    </xf>
    <xf borderId="1" fillId="9" fontId="9" numFmtId="3" xfId="0" applyAlignment="1" applyBorder="1" applyFill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7" fillId="0" fontId="9" numFmtId="1" xfId="0" applyAlignment="1" applyBorder="1" applyFont="1" applyNumberFormat="1">
      <alignment horizontal="center" shrinkToFit="0" wrapText="1"/>
    </xf>
    <xf borderId="7" fillId="0" fontId="9" numFmtId="2" xfId="0" applyAlignment="1" applyBorder="1" applyFont="1" applyNumberFormat="1">
      <alignment horizontal="center" shrinkToFit="0" wrapText="1"/>
    </xf>
    <xf borderId="1" fillId="0" fontId="3" numFmtId="17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vertical="top"/>
    </xf>
    <xf borderId="7" fillId="0" fontId="9" numFmtId="10" xfId="0" applyAlignment="1" applyBorder="1" applyFont="1" applyNumberFormat="1">
      <alignment horizontal="center"/>
    </xf>
    <xf borderId="0" fillId="0" fontId="10" numFmtId="0" xfId="0" applyFont="1"/>
    <xf borderId="7" fillId="0" fontId="9" numFmtId="1" xfId="0" applyAlignment="1" applyBorder="1" applyFont="1" applyNumberFormat="1">
      <alignment horizontal="center"/>
    </xf>
    <xf borderId="1" fillId="7" fontId="3" numFmtId="1" xfId="0" applyAlignment="1" applyBorder="1" applyFill="1" applyFont="1" applyNumberFormat="1">
      <alignment horizontal="center" vertical="center"/>
    </xf>
    <xf borderId="7" fillId="0" fontId="9" numFmtId="10" xfId="0" applyAlignment="1" applyBorder="1" applyFont="1" applyNumberFormat="1">
      <alignment horizontal="center" shrinkToFit="0" wrapText="1"/>
    </xf>
    <xf borderId="1" fillId="0" fontId="1" numFmtId="10" xfId="0" applyAlignment="1" applyBorder="1" applyFont="1" applyNumberFormat="1">
      <alignment horizontal="center" vertical="center"/>
    </xf>
    <xf borderId="1" fillId="13" fontId="3" numFmtId="164" xfId="0" applyAlignment="1" applyBorder="1" applyFill="1" applyFont="1" applyNumberFormat="1">
      <alignment horizontal="center" vertical="center"/>
    </xf>
    <xf borderId="5" fillId="12" fontId="9" numFmtId="2" xfId="0" applyAlignment="1" applyBorder="1" applyFill="1" applyFont="1" applyNumberFormat="1">
      <alignment horizontal="center" shrinkToFit="0" wrapText="1"/>
    </xf>
    <xf borderId="1" fillId="10" fontId="11" numFmtId="0" xfId="0" applyAlignment="1" applyBorder="1" applyFill="1" applyFont="1">
      <alignment horizontal="center" vertical="center"/>
    </xf>
    <xf borderId="4" fillId="11" fontId="11" numFmtId="0" xfId="0" applyAlignment="1" applyBorder="1" applyFill="1" applyFont="1">
      <alignment horizontal="center"/>
    </xf>
    <xf borderId="5" fillId="11" fontId="7" numFmtId="0" xfId="0" applyAlignment="1" applyBorder="1" applyFill="1" applyFont="1">
      <alignment horizontal="center"/>
    </xf>
    <xf borderId="6" fillId="0" fontId="12" numFmtId="0" xfId="0" applyAlignment="1" applyBorder="1" applyFont="1">
      <alignment vertical="top"/>
    </xf>
    <xf borderId="7" fillId="0" fontId="9" numFmtId="0" xfId="0" applyAlignment="1" applyBorder="1" applyFont="1">
      <alignment horizontal="center"/>
    </xf>
    <xf borderId="7" fillId="0" fontId="9" numFmtId="2" xfId="0" applyAlignment="1" applyBorder="1" applyFont="1" applyNumberFormat="1">
      <alignment horizontal="center"/>
    </xf>
    <xf borderId="7" fillId="0" fontId="9" numFmtId="3" xfId="0" applyAlignment="1" applyBorder="1" applyFont="1" applyNumberFormat="1">
      <alignment horizontal="center"/>
    </xf>
    <xf borderId="5" fillId="12" fontId="9" numFmtId="0" xfId="0" applyAlignment="1" applyBorder="1" applyFill="1" applyFont="1">
      <alignment horizontal="center"/>
    </xf>
    <xf borderId="5" fillId="12" fontId="9" numFmtId="4" xfId="0" applyAlignment="1" applyBorder="1" applyFill="1" applyFont="1" applyNumberFormat="1">
      <alignment horizontal="center"/>
    </xf>
    <xf borderId="1" fillId="0" fontId="1" numFmtId="17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1" fillId="14" fontId="1" numFmtId="1" xfId="0" applyAlignment="1" applyBorder="1" applyFill="1" applyFont="1" applyNumberFormat="1">
      <alignment horizontal="center" vertical="center"/>
    </xf>
    <xf borderId="1" fillId="15" fontId="1" numFmtId="0" xfId="0" applyAlignment="1" applyBorder="1" applyFill="1" applyFont="1">
      <alignment horizontal="center" shrinkToFit="0" vertical="center" wrapText="1"/>
    </xf>
    <xf borderId="0" fillId="0" fontId="3" numFmtId="1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9" fontId="9" numFmtId="1" xfId="0" applyAlignment="1" applyBorder="1" applyFill="1" applyFont="1" applyNumberFormat="1">
      <alignment horizontal="center" shrinkToFit="0" wrapText="1"/>
    </xf>
    <xf borderId="0" fillId="0" fontId="3" numFmtId="9" xfId="0" applyAlignment="1" applyFont="1" applyNumberFormat="1">
      <alignment horizontal="center" vertical="center"/>
    </xf>
    <xf borderId="1" fillId="12" fontId="9" numFmtId="1" xfId="0" applyAlignment="1" applyBorder="1" applyFill="1" applyFont="1" applyNumberFormat="1">
      <alignment horizontal="center" shrinkToFit="0" wrapText="1"/>
    </xf>
    <xf borderId="1" fillId="0" fontId="3" numFmtId="0" xfId="0" applyAlignment="1" applyBorder="1" applyFont="1">
      <alignment horizontal="left"/>
    </xf>
    <xf borderId="8" fillId="0" fontId="4" numFmtId="0" xfId="0" applyBorder="1" applyFont="1"/>
    <xf borderId="1" fillId="9" fontId="9" numFmtId="165" xfId="0" applyAlignment="1" applyBorder="1" applyFill="1" applyFont="1" applyNumberFormat="1">
      <alignment horizontal="center"/>
    </xf>
    <xf borderId="1" fillId="9" fontId="9" numFmtId="165" xfId="0" applyAlignment="1" applyBorder="1" applyFill="1" applyFont="1" applyNumberFormat="1">
      <alignment horizontal="center" shrinkToFit="0" wrapText="1"/>
    </xf>
    <xf borderId="1" fillId="12" fontId="9" numFmtId="165" xfId="0" applyAlignment="1" applyBorder="1" applyFill="1" applyFont="1" applyNumberFormat="1">
      <alignment horizontal="center" shrinkToFit="0" wrapText="1"/>
    </xf>
    <xf borderId="0" fillId="0" fontId="3" numFmtId="10" xfId="0" applyAlignment="1" applyFont="1" applyNumberFormat="1">
      <alignment horizontal="left" vertical="center"/>
    </xf>
    <xf borderId="1" fillId="12" fontId="9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1" fillId="16" fontId="13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vertical="center"/>
    </xf>
    <xf borderId="1" fillId="9" fontId="13" numFmtId="0" xfId="0" applyAlignment="1" applyBorder="1" applyFill="1" applyFont="1">
      <alignment horizontal="center" shrinkToFit="0" wrapText="1"/>
    </xf>
    <xf borderId="1" fillId="2" fontId="1" numFmtId="10" xfId="0" applyAlignment="1" applyBorder="1" applyFill="1" applyFont="1" applyNumberFormat="1">
      <alignment horizontal="center" vertical="center"/>
    </xf>
    <xf borderId="1" fillId="9" fontId="14" numFmtId="165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1" fillId="2" fontId="1" numFmtId="2" xfId="0" applyAlignment="1" applyBorder="1" applyFill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9" fontId="5" numFmtId="10" xfId="0" applyAlignment="1" applyBorder="1" applyFill="1" applyFont="1" applyNumberFormat="1">
      <alignment horizontal="center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0" fillId="0" fontId="3" numFmtId="165" xfId="0" applyFont="1" applyNumberFormat="1"/>
    <xf borderId="1" fillId="9" fontId="9" numFmtId="4" xfId="0" applyAlignment="1" applyBorder="1" applyFill="1" applyFont="1" applyNumberFormat="1">
      <alignment horizontal="center" shrinkToFit="0" wrapText="1"/>
    </xf>
    <xf borderId="1" fillId="9" fontId="9" numFmtId="166" xfId="0" applyAlignment="1" applyBorder="1" applyFill="1" applyFont="1" applyNumberFormat="1">
      <alignment horizontal="center"/>
    </xf>
    <xf borderId="1" fillId="8" fontId="1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10" xfId="0" applyBorder="1" applyFont="1" applyNumberFormat="1"/>
    <xf borderId="1" fillId="0" fontId="1" numFmtId="9" xfId="0" applyAlignment="1" applyBorder="1" applyFont="1" applyNumberForma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2" fontId="1" numFmtId="17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6" fillId="0" fontId="3" numFmtId="0" xfId="0" applyBorder="1" applyFont="1"/>
    <xf borderId="1" fillId="0" fontId="3" numFmtId="0" xfId="0" applyAlignment="1" applyBorder="1" applyFont="1">
      <alignment vertical="center"/>
    </xf>
    <xf borderId="1" fillId="17" fontId="1" numFmtId="0" xfId="0" applyAlignment="1" applyBorder="1" applyFill="1" applyFont="1">
      <alignment horizontal="left" vertical="center"/>
    </xf>
    <xf borderId="1" fillId="17" fontId="1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" fillId="13" fontId="16" numFmtId="0" xfId="0" applyAlignment="1" applyBorder="1" applyFill="1" applyFont="1">
      <alignment horizontal="center" vertical="center"/>
    </xf>
    <xf borderId="2" fillId="10" fontId="6" numFmtId="0" xfId="0" applyAlignment="1" applyBorder="1" applyFill="1" applyFont="1">
      <alignment horizontal="center" shrinkToFit="0" vertical="center" wrapText="1"/>
    </xf>
    <xf borderId="9" fillId="11" fontId="7" numFmtId="0" xfId="0" applyAlignment="1" applyBorder="1" applyFill="1" applyFont="1">
      <alignment shrinkToFit="0" vertical="center" wrapText="1"/>
    </xf>
    <xf borderId="10" fillId="11" fontId="7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17" fontId="1" numFmtId="0" xfId="0" applyBorder="1" applyFill="1" applyFont="1"/>
    <xf borderId="11" fillId="17" fontId="1" numFmtId="0" xfId="0" applyAlignment="1" applyBorder="1" applyFill="1" applyFont="1">
      <alignment horizontal="center" vertical="center"/>
    </xf>
    <xf borderId="1" fillId="13" fontId="16" numFmtId="0" xfId="0" applyAlignment="1" applyBorder="1" applyFill="1" applyFont="1">
      <alignment horizontal="center"/>
    </xf>
    <xf borderId="0" fillId="0" fontId="3" numFmtId="0" xfId="0" applyAlignment="1" applyFont="1">
      <alignment horizontal="left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1" fillId="18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ill="1" applyFont="1" applyNumberFormat="1">
      <alignment horizontal="center"/>
    </xf>
    <xf borderId="1" fillId="2" fontId="1" numFmtId="2" xfId="0" applyAlignment="1" applyBorder="1" applyFill="1" applyFont="1" applyNumberFormat="1">
      <alignment horizontal="center"/>
    </xf>
    <xf borderId="1" fillId="2" fontId="1" numFmtId="10" xfId="0" applyAlignment="1" applyBorder="1" applyFill="1" applyFont="1" applyNumberFormat="1">
      <alignment horizontal="center"/>
    </xf>
    <xf borderId="0" fillId="0" fontId="10" numFmtId="17" xfId="0" applyFont="1" applyNumberFormat="1"/>
    <xf borderId="0" fillId="0" fontId="3" numFmtId="167" xfId="0" applyFont="1" applyNumberFormat="1"/>
    <xf borderId="0" fillId="0" fontId="3" numFmtId="9" xfId="0" applyFont="1" applyNumberFormat="1"/>
    <xf borderId="0" fillId="0" fontId="3" numFmtId="0" xfId="0" applyAlignment="1" applyFont="1">
      <alignment shrinkToFit="0" wrapText="1"/>
    </xf>
    <xf borderId="1" fillId="0" fontId="3" numFmtId="168" xfId="0" applyAlignment="1" applyBorder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vertical="center"/>
    </xf>
    <xf borderId="1" fillId="0" fontId="3" numFmtId="170" xfId="0" applyAlignment="1" applyBorder="1" applyFont="1" applyNumberFormat="1">
      <alignment horizontal="center" vertical="center"/>
    </xf>
    <xf borderId="1" fillId="0" fontId="3" numFmtId="171" xfId="0" applyAlignment="1" applyBorder="1" applyFont="1" applyNumberFormat="1">
      <alignment horizontal="center" vertical="center"/>
    </xf>
    <xf borderId="1" fillId="2" fontId="3" numFmtId="17" xfId="0" applyAlignment="1" applyBorder="1" applyFill="1" applyFont="1" applyNumberFormat="1">
      <alignment horizontal="center" shrinkToFit="0" vertical="center" wrapText="1"/>
    </xf>
    <xf borderId="1" fillId="20" fontId="1" numFmtId="0" xfId="0" applyAlignment="1" applyBorder="1" applyFill="1" applyFont="1">
      <alignment horizontal="center" shrinkToFit="0" wrapText="1"/>
    </xf>
    <xf borderId="1" fillId="20" fontId="1" numFmtId="0" xfId="0" applyAlignment="1" applyBorder="1" applyFill="1" applyFont="1">
      <alignment horizontal="left" shrinkToFit="0" wrapText="1"/>
    </xf>
    <xf borderId="1" fillId="21" fontId="17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left" shrinkToFit="0" wrapText="1"/>
    </xf>
    <xf borderId="12" fillId="0" fontId="3" numFmtId="0" xfId="0" applyBorder="1" applyFont="1"/>
    <xf borderId="1" fillId="0" fontId="3" numFmtId="0" xfId="0" applyAlignment="1" applyBorder="1" applyFont="1">
      <alignment shrinkToFit="0" wrapText="1"/>
    </xf>
    <xf borderId="0" fillId="0" fontId="15" numFmtId="0" xfId="0" applyFont="1"/>
    <xf borderId="13" fillId="8" fontId="3" numFmtId="0" xfId="0" applyAlignment="1" applyBorder="1" applyFill="1" applyFont="1">
      <alignment horizontal="left"/>
    </xf>
    <xf borderId="0" fillId="0" fontId="3" numFmtId="14" xfId="0" applyFont="1" applyNumberFormat="1"/>
    <xf borderId="1" fillId="0" fontId="18" numFmtId="0" xfId="0" applyAlignment="1" applyBorder="1" applyFont="1">
      <alignment vertical="center"/>
    </xf>
    <xf borderId="1" fillId="0" fontId="5" numFmtId="0" xfId="0" applyBorder="1" applyFont="1"/>
    <xf borderId="1" fillId="0" fontId="19" numFmtId="0" xfId="0" applyBorder="1" applyFont="1"/>
    <xf borderId="1" fillId="0" fontId="19" numFmtId="1" xfId="0" applyAlignment="1" applyBorder="1" applyFont="1" applyNumberFormat="1">
      <alignment horizontal="center" vertical="center"/>
    </xf>
    <xf borderId="0" fillId="0" fontId="3" numFmtId="172" xfId="0" applyFont="1" applyNumberFormat="1"/>
    <xf borderId="1" fillId="9" fontId="9" numFmtId="0" xfId="0" applyAlignment="1" applyBorder="1" applyFill="1" applyFont="1">
      <alignment horizontal="center" shrinkToFit="0" vertical="center" wrapText="1"/>
    </xf>
    <xf borderId="0" fillId="0" fontId="3" numFmtId="17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3" numFmtId="3" xfId="0" applyBorder="1" applyFont="1" applyNumberFormat="1"/>
    <xf borderId="1" fillId="0" fontId="3" numFmtId="4" xfId="0" applyBorder="1" applyFont="1" applyNumberFormat="1"/>
    <xf borderId="1" fillId="0" fontId="3" numFmtId="2" xfId="0" applyBorder="1" applyFont="1" applyNumberFormat="1"/>
    <xf borderId="1" fillId="0" fontId="3" numFmtId="166" xfId="0" applyBorder="1" applyFont="1" applyNumberFormat="1"/>
    <xf borderId="0" fillId="0" fontId="15" numFmtId="10" xfId="0" applyFont="1" applyNumberFormat="1"/>
    <xf borderId="0" fillId="0" fontId="3" numFmtId="3" xfId="0" applyFont="1" applyNumberFormat="1"/>
    <xf borderId="0" fillId="0" fontId="3" numFmtId="166" xfId="0" applyFont="1" applyNumberFormat="1"/>
    <xf borderId="1" fillId="7" fontId="1" numFmtId="0" xfId="0" applyAlignment="1" applyBorder="1" applyFill="1" applyFont="1">
      <alignment horizontal="center"/>
    </xf>
    <xf borderId="1" fillId="7" fontId="1" numFmtId="1" xfId="0" applyAlignment="1" applyBorder="1" applyFill="1" applyFont="1" applyNumberFormat="1">
      <alignment horizontal="center"/>
    </xf>
    <xf borderId="0" fillId="0" fontId="3" numFmtId="16" xfId="0" applyAlignment="1" applyFont="1" applyNumberFormat="1">
      <alignment horizontal="left"/>
    </xf>
    <xf borderId="1" fillId="7" fontId="3" numFmtId="10" xfId="0" applyAlignment="1" applyBorder="1" applyFill="1" applyFont="1" applyNumberFormat="1">
      <alignment horizontal="center"/>
    </xf>
    <xf borderId="0" fillId="0" fontId="3" numFmtId="173" xfId="0" applyFont="1" applyNumberFormat="1"/>
    <xf borderId="0" fillId="0" fontId="3" numFmtId="174" xfId="0" applyFont="1" applyNumberFormat="1"/>
    <xf borderId="0" fillId="0" fontId="3" numFmtId="2" xfId="0" applyFont="1" applyNumberFormat="1"/>
    <xf borderId="0" fillId="0" fontId="3" numFmtId="175" xfId="0" applyFont="1" applyNumberFormat="1"/>
    <xf borderId="1" fillId="7" fontId="3" numFmtId="0" xfId="0" applyAlignment="1" applyBorder="1" applyFill="1" applyFont="1">
      <alignment horizontal="center"/>
    </xf>
    <xf borderId="0" fillId="0" fontId="15" numFmtId="3" xfId="0" applyFont="1" applyNumberFormat="1"/>
    <xf borderId="0" fillId="0" fontId="15" numFmtId="2" xfId="0" applyFont="1" applyNumberFormat="1"/>
    <xf borderId="0" fillId="0" fontId="3" numFmtId="164" xfId="0" applyAlignment="1" applyFont="1" applyNumberFormat="1">
      <alignment horizontal="center"/>
    </xf>
    <xf borderId="0" fillId="0" fontId="1" numFmtId="16" xfId="0" applyAlignment="1" applyFont="1" applyNumberFormat="1">
      <alignment horizontal="left"/>
    </xf>
    <xf borderId="0" fillId="0" fontId="3" numFmtId="16" xfId="0" applyFont="1" applyNumberFormat="1"/>
    <xf borderId="0" fillId="0" fontId="1" numFmtId="16" xfId="0" applyFont="1" applyNumberFormat="1"/>
  </cellXfs>
  <cellStyles count="1">
    <cellStyle xfId="0" name="Normal" builtinId="0"/>
  </cellStyles>
  <dxfs count="1">
    <dxf>
      <font>
        <b/>
      </font>
      <fill>
        <patternFill patternType="solid">
          <fgColor rgb="FFFFC000"/>
          <bgColor rgb="FFFFC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Spends Vs Total Sales</a:t>
            </a:r>
          </a:p>
        </c:rich>
      </c:tx>
      <c:overlay val="0"/>
    </c:title>
    <c:plotArea>
      <c:layout>
        <c:manualLayout>
          <c:xMode val="edge"/>
          <c:yMode val="edge"/>
          <c:x val="0.12991426071741033"/>
          <c:y val="0.17634259259259263"/>
          <c:w val="0.8395301837270341"/>
          <c:h val="0.6149843248760571"/>
        </c:manualLayout>
      </c:layout>
      <c:barChart>
        <c:barDir val="col"/>
        <c:ser>
          <c:idx val="0"/>
          <c:order val="0"/>
          <c:tx>
            <c:v>Spend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'Graphic Comparison Report '!$A$23:$A$26</c:f>
            </c:strRef>
          </c:cat>
          <c:val>
            <c:numRef>
              <c:f>'Graphic Comparison Report '!$B$23:$B$26</c:f>
              <c:numCache/>
            </c:numRef>
          </c:val>
        </c:ser>
        <c:ser>
          <c:idx val="1"/>
          <c:order val="1"/>
          <c:tx>
            <c:v>Sales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'Graphic Comparison Report '!$A$23:$A$26</c:f>
            </c:strRef>
          </c:cat>
          <c:val>
            <c:numRef>
              <c:f>'Graphic Comparison Report '!$C$23:$C$26</c:f>
              <c:numCache/>
            </c:numRef>
          </c:val>
        </c:ser>
        <c:axId val="351837120"/>
        <c:axId val="1197045996"/>
      </c:barChart>
      <c:catAx>
        <c:axId val="35183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7045996"/>
      </c:catAx>
      <c:valAx>
        <c:axId val="1197045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18371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14</xdr:row>
      <xdr:rowOff>38100</xdr:rowOff>
    </xdr:from>
    <xdr:ext cx="8334375" cy="2400300"/>
    <xdr:graphicFrame>
      <xdr:nvGraphicFramePr>
        <xdr:cNvPr id="15697752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832" sheet="Business - Dump"/>
  </cacheSource>
  <cacheFields>
    <cacheField name="Weekly" numFmtId="0">
      <sharedItems>
        <s v="Nov"/>
        <s v="Dec"/>
        <s v="Jan"/>
        <s v="Feb"/>
        <s v="Mar"/>
        <s v="Apr"/>
        <s v="May"/>
        <s v="June"/>
        <s v="July"/>
        <s v="August"/>
        <s v="September"/>
        <s v="October "/>
        <s v="November"/>
      </sharedItems>
    </cacheField>
    <cacheField name="Category" numFmtId="0">
      <sharedItems>
        <s v="Standing Table  - M8"/>
        <s v="Standing Table  - SM3"/>
        <s v="Standing Table  - E2"/>
        <s v="Standing Table - All Frames"/>
        <s v="Extension &amp; Holder"/>
        <s v="Desk Cable Tray"/>
        <s v="Monitor Stand "/>
        <s v="TABLE TOP"/>
        <s v="Standing Desk Converter"/>
        <s v="Laptop Table"/>
        <s v="Standing Table  - M3"/>
        <s v="Single Leg Gas"/>
        <s v="Footrests"/>
        <s v="Monitor Arm Stand"/>
        <s v="Standing Table  - E3"/>
        <s v="Standing Table  - M4"/>
        <s v="Standing Table  - E1A"/>
        <s v="Standing Table  - E4"/>
        <s v="Keyboard Tray"/>
        <s v="Laptop Riser"/>
        <s v="Standing Table  - SM4"/>
        <s v="Cup and Headphone Holder"/>
      </sharedItems>
    </cacheField>
    <cacheField name="(Parent) ASIN" numFmtId="0">
      <sharedItems>
        <s v="B08CRVBFNX"/>
        <s v="B0CB4CBLQQ"/>
        <s v="B0CFK512DW"/>
        <s v="B0CB4FDZF8"/>
        <s v="B0CB4DDKVK"/>
        <s v="B0CB4DJ627"/>
        <s v="B08WRH8T6W"/>
        <s v="B0CB4D1L4Q"/>
        <s v="B0CFK4TNSX"/>
        <s v="B0C9M4J3V8"/>
        <s v="B0C9M6B9XP"/>
        <s v="B0CFK512DX"/>
        <s v="B0CFK4F6KV"/>
        <s v="B0CFK4Z51Q"/>
        <s v="B0CFK7MC16"/>
        <s v="B08WR6DXKJ"/>
        <s v="B0B5LTY3ZQ"/>
        <s v="B08CRTLZ5H"/>
        <s v="B08CRVG6RG"/>
        <s v="B0B3MVCYTY"/>
        <s v="B0B3MVJZJ8"/>
        <s v="B0CBV63Y68"/>
        <s v="B0CFK442SV"/>
        <s v="B0CNXSLF8J"/>
        <s v="B0C6DMNKRB"/>
        <s v="B0C6DP5K45"/>
        <s v="B0C6DP9WLY"/>
        <s v="B0CFK7PM5Q"/>
        <s v="B0C6DLVZYJ"/>
        <s v="B0CDLFXWTP"/>
        <s v="B0CFK58X9P"/>
        <s v="B0CFK5WZT9"/>
        <s v="B0CFK7RK5V"/>
        <s v="B0BS1RSDG5"/>
        <s v="B0B1ZVVG29"/>
        <s v="B0B1ZY552J"/>
        <s v="B0B3MW4YQS"/>
        <s v="B0CKFCNHL9"/>
        <s v="B0CS3CRRH5"/>
        <s v="B0B3MS3N3Q"/>
        <s v="B0CLJDJ8G9"/>
        <s v="B0CS3HM49D"/>
        <s v="B0CS6MHJPM"/>
        <s v="B0CSBH58R9"/>
        <s v="B0C6H8GT57"/>
        <s v="B0CFK4F1C6"/>
        <s v="B0CFK4SFV6"/>
        <s v="B0CH1G1KP6"/>
        <s v="B0CLJCQGWX"/>
        <s v="B0CLJDL2DP"/>
        <s v="B0CS3FPMNG"/>
        <s v="B0CS3HXHTN"/>
        <s v="B0CVV5ZKKF"/>
        <s v="B0CXR2Z3V4"/>
        <s v="B0CH1F22WP"/>
        <s v="B0CH1F2D22"/>
        <s v="B0CPPXLZ4L"/>
        <s v="B0CFK57VNS"/>
        <s v="B0CLJDQVQT"/>
        <s v="B0CPPWRYB3"/>
        <s v="B0CS3HNKYC"/>
        <s v="B0CS6K86XK"/>
        <s v="B0CXQBL7X2"/>
        <s v="B0BB1NZ5R9"/>
        <s v="B0C6DPGGHT"/>
        <s v="B0CS3FD59Q"/>
        <s v="B0CS6G45PS"/>
        <s v="B0CXQ9W6MH"/>
        <s v="B0CXQB2JC5"/>
        <s v="B0CXQJWPSH"/>
        <s v="B0CXQP3G8V"/>
        <s v="B0CXQPMSCF"/>
        <s v="B0CXQT267X"/>
        <s v="B0CLJDF4SF"/>
        <s v="B0CXQNXZ62"/>
        <s v="B0BSCC3Y8K"/>
        <s v="B0CH1D7QK4"/>
        <s v="B0CH1FC3HG"/>
        <s v="B0CS3HRPPN"/>
        <s v="B0BB1QDD7P"/>
        <s v="B0BB1RFW8K"/>
        <s v="B0BB1PLXBM"/>
        <s v="B0BB1P7NTN"/>
        <s v="B0CXQ9NCDJ"/>
        <s v="B0BS1SG8JS"/>
        <s v="B0BS1T29GF"/>
        <s v="B0BS1THZZH"/>
        <s v="B0BS1TGV4X"/>
        <s v="B0BS1TNVRP"/>
        <s v="B0CH19JL8V"/>
        <s v="B0CH1B9J4W"/>
        <s v="B0CSYMLT75"/>
        <s v="B0C6DRTRW6"/>
        <s v="B0CH19RX8W"/>
        <s v="B0CH19PJMB"/>
        <s v="B0CH1BW7X9"/>
        <s v="B0D7M4VWWR"/>
        <s v="B0D96TBQH6"/>
        <s v="B0D7M57783"/>
        <s v="B0D9Q2KQ7F"/>
        <s v="B0D7M4V9TV"/>
        <s v="B0D7M51XKL"/>
        <s v="B0D7M55SDF"/>
        <s v="B0D96V89C9"/>
        <s v="B0D9Q2G57M"/>
        <s v="B0D9Q3BF5Q"/>
        <s v="B0C6H9FMHC"/>
        <s v="B0CFK6Y877"/>
        <s v="B0DC3W5C9L"/>
        <s v="B0DC87R8QG"/>
        <s v="B0DC8HYB4P"/>
        <s v="B0DC8NS3C5"/>
        <s v="B0DJMD3JXW"/>
        <s v="B08CRTD9MQ"/>
        <s v="B0DL62DQ5X"/>
        <s v="B0DL62LWL3"/>
        <s v="B0DL6495LJ"/>
        <s v="B0DL65FPXT"/>
        <s v="B0DL6B7ZDJ"/>
        <s v="B0DGLJFZQM"/>
        <s v="B0DM8BBHZJ"/>
        <s v="B0DM8DMWYD"/>
      </sharedItems>
    </cacheField>
    <cacheField name="(Child) ASIN" numFmtId="0">
      <sharedItems>
        <s v="B08CRVBFNX"/>
        <s v="B0CB4CBLQQ"/>
        <s v="B0CFK512DW"/>
        <s v="B0CB4FDZF8"/>
        <s v="B0CB4DDKVK"/>
        <s v="B0CB4DJ627"/>
        <s v="B08WRH8T6W"/>
        <s v="B0CB4D1L4Q"/>
        <s v="B0CFK4TNSX"/>
        <s v="B0C9M4J3V8"/>
        <s v="B0C9M6B9XP"/>
        <s v="B0CFK512DX"/>
        <s v="B0CFK4F6KV"/>
        <s v="B0CFK4Z51Q"/>
        <s v="B0CFK7MC16"/>
        <s v="B08WR6DXKJ"/>
        <s v="B0B5LTY3ZQ"/>
        <s v="B08CRTLZ5H"/>
        <s v="B08CRVG6RG"/>
        <s v="B0B3MVCYTY"/>
        <s v="B0B3MVJZJ8"/>
        <s v="B0CBV63Y68"/>
        <s v="B0CFK442SV"/>
        <s v="B0CNXSLF8J"/>
        <s v="B0C6DMNKRB"/>
        <s v="B0C6DP5K45"/>
        <s v="B0C6DP9WLY"/>
        <s v="B0CFK7PM5Q"/>
        <s v="B0C6DLVZYJ"/>
        <s v="B0CDLFXWTP"/>
        <s v="B0CFK58X9P"/>
        <s v="B0CFK5WZT9"/>
        <s v="B0CFK7RK5V"/>
        <s v="B0BS1RSDG5"/>
        <s v="B0B1ZVVG29"/>
        <s v="B0B1ZY552J"/>
        <s v="B0B3MW4YQS"/>
        <s v="B0CKFCNHL9"/>
        <s v="B0CS3CRRH5"/>
        <s v="B0B3MS3N3Q"/>
        <s v="B0CLJDJ8G9"/>
        <s v="B0CS3HM49D"/>
        <s v="B0CS6MHJPM"/>
        <s v="B0CSBH58R9"/>
        <s v="B0C6H8GT57"/>
        <s v="B0CFK4F1C6"/>
        <s v="B0CFK4SFV6"/>
        <s v="B0CH1G1KP6"/>
        <s v="B0CLJCQGWX"/>
        <s v="B0CLJDL2DP"/>
        <s v="B0CS3FPMNG"/>
        <s v="B0CS3HXHTN"/>
        <s v="B0CVV5ZKKF"/>
        <s v="B0CXR2Z3V4"/>
        <s v="B0CH1F22WP"/>
        <s v="B0CH1F2D22"/>
        <s v="B0CPPXLZ4L"/>
        <s v="B0CFK57VNS"/>
        <s v="B0CLJDQVQT"/>
        <s v="B0CPPWRYB3"/>
        <s v="B0CS3HNKYC"/>
        <s v="B0CS6K86XK"/>
        <s v="B0CXQBL7X2"/>
        <s v="B0BB1NZ5R9"/>
        <s v="B0C6DPGGHT"/>
        <s v="B0CS3FD59Q"/>
        <s v="B0CS6G45PS"/>
        <s v="B0CXQ9W6MH"/>
        <s v="B0CXQB2JC5"/>
        <s v="B0CXQJWPSH"/>
        <s v="B0CXQP3G8V"/>
        <s v="B0CXQPMSCF"/>
        <s v="B0CXQT267X"/>
        <s v="B0CLJDF4SF"/>
        <s v="B0CXQNXZ62"/>
        <s v="B0BSCC3Y8K"/>
        <s v="B0CH1D7QK4"/>
        <s v="B0CH1FC3HG"/>
        <s v="B0CS3HRPPN"/>
        <s v="B0BB1QDD7P"/>
        <s v="B0BB1RFW8K"/>
        <s v="B0BB1PLXBM"/>
        <s v="B0BB1P7NTN"/>
        <s v="B0CXQ9NCDJ"/>
        <s v="B0BS1SG8JS"/>
        <s v="B0BS1T29GF"/>
        <s v="B0BS1THZZH"/>
        <s v="B0BS1TGV4X"/>
        <s v="B0BS1TNVRP"/>
        <s v="B0CH19JL8V"/>
        <s v="B0CH1B9J4W"/>
        <s v="B0CSYMLT75"/>
        <s v="B0C6DRTRW6"/>
        <s v="B0CH19RX8W"/>
        <s v="B0CH19PJMB"/>
        <s v="B0CH1BW7X9"/>
        <s v="B0D7M4VWWR"/>
        <s v="B0D96TBQH6"/>
        <s v="B0D7M57783"/>
        <s v="B0D9Q2KQ7F"/>
        <s v="B0D7M4V9TV"/>
        <s v="B0D7M51XKL"/>
        <s v="B0D7M55SDF"/>
        <s v="B0D96V89C9"/>
        <s v="B0D9Q2G57M"/>
        <s v="B0D9Q3BF5Q"/>
        <s v="B0C6H9FMHC"/>
        <s v="B0CFK6Y877"/>
        <s v="B0DC3W5C9L"/>
        <s v="B0DC87R8QG"/>
        <s v="B0DC8HYB4P"/>
        <s v="B0DC8NS3C5"/>
        <s v="B0DJMD3JXW"/>
        <s v="B08CRTD9MQ"/>
        <s v="B0DL62DQ5X"/>
        <s v="B0DL62LWL3"/>
        <s v="B0DL6495LJ"/>
        <s v="B0DL65FPXT"/>
        <s v="B0DL6B7ZDJ"/>
        <s v="B0DGLJFZQM"/>
        <s v="B0DM8BBHZJ"/>
        <s v="B0DM8DMWYD"/>
      </sharedItems>
    </cacheField>
    <cacheField name="Title" numFmtId="0">
      <sharedItems>
        <s v="ErgoYou - Height Adjustable Table Desk Manual 2 Stage Ergonomic Sit-Stand Solution Imported (No Table Top, Only Frame)"/>
        <s v="ErgoYou - Electric Height Adjustable Standing Table 47 x 23.5 inches - Single Motor 2 Stage - SM3 Series - Ergonomic Sit Stand Computer Desk – (Maple | 47 x 23.5 inches)"/>
        <s v="ErgoYou - Premium Electric Height Adjustable Standing Table 47 x 23.5 inches - Heavy Duty Dual Motor 2 Stage - E2 Series - Ergonomic Sit Stand Desk – Maple Laminate Table Top"/>
        <s v="ErgoYou - Electric Height Adjustable Standing Table 59 x 29.5 inches - Single Motor 2 Stage - SM3 Series - Ergonomic Sit Stand Computer Desk – (Walnut | 59 x 29.5 inches)"/>
        <s v="ErgoYou - Electric Height Adjustable Standing Table - Single Motor 2 Stage - SM3 Series - Ergonomic Sit Stand Computer Desk - No Table Top, Only Frame | White Steel Frame"/>
        <s v="ErgoYou - Electric Height Adjustable Standing Table 59 x 29.5 inches - Single Motor 2 Stage - SM3 Series - Ergonomic Sit Stand Computer Desk – (Maple | 59 x 29.5 inches)"/>
        <s v="ErgoYou - Height Adjustable Table Desk Manual 2 Stage Ergonomic Sit-Stand Solution Imported (Engineered Wood, Walnut: 47 x 23.5 inches)"/>
        <s v="ErgoYou - Electric Height Adjustable Standing Table 47 x 23.5 inches - Single Motor 2 Stage - SM3 Series - Ergonomic Sit Stand Computer Desk – (Walnut | 47 x 23.5 inches)"/>
        <s v="ErgoYou - Premium Electric Height Adjustable Standing Table - Heavy Duty Dual Motor 2 Stage - E2 Series - Ergonomic Sit Stand Computer Desk – (No Table Top, Only Frame)"/>
        <s v="ErgoYou - Clamp On Power Strip Extension Board Holder - Easy &amp; Quick Installation - No Drilling Required - Compatible with Power Strips 50 to 70 mm in height &amp; table top thickness 10 to 50 mm - Clean Work Desk - Desk Mount Wire &amp; Cable Management Solution"/>
        <s v="ErgoYou - Clamp On Power Strip Extension Board Holder - Easy &amp; Quick Installation - No Drilling Required - Compatible with Power Strips between 40 to 70 mm in height and desk leg thickness between 38 to 90 mm - Clean Work Desk - Table Leg Mount Cable Mana"/>
        <s v="ErgoYou - Premium Electric Height Adjustable Standing Table 59 x 29.5 inches - Heavy Duty Dual Motor 2 Stage - E2 Series - Ergonomic Sit Stand Desk"/>
        <s v="ErgoYou - Premium Electric Height Adjustable Standing Table 59 x 29.5 inches - Heavy Duty Dual Motor 2 Stage - E2 Series - Ergonomic Sit Stand Desk – Walnut Laminate Table Top"/>
        <s v="ErgoYou - Premium Electric Height Adjustable Standing Table 47 x 23.5 inches - Heavy Duty Dual Motor 2 Stage - E2 Series - Ergonomic Sit Stand Desk – Walnut Laminate Table Top"/>
        <s v="ErgoYou - Detachable Under Desk Cable Tray for Wire Management - Power Strip Tray and Charging Wires Organisor - Easy and Quick DIY Installation - 108 x 120 mm x 600 mm"/>
        <s v="ErgoYou - Height Adjustable Table Desk Manual 2 Stage Ergonomic Sit-Stand Solution Imported (Engineered Wood, Walnut: 59 x 29.5 inches)"/>
        <s v="ErgoYou Monitor Stand - Height Adjustable Computer Monitor Riser compatible with TV, Projector, PC Screen, Laptop, projector, LCD (27inches Max - Monitor Screen) - Ergonomic Design - Monitor Display Stand - Black"/>
        <s v="ErgoYou - Height Adjustable Table Desk Manual 2 Stage Ergonomic Sit-Stand Solution Imported (Engineered Wood, Maple: 47 x 23.5 inches)"/>
        <s v="ErgoYou - Height Adjustable Table Desk Manual 2 Stage Ergonomic Sit-Stand Solution Imported (Engineered Wood, Maple: 59 x 29.5 inches)"/>
        <s v="ErgoYou - Table TOP 59 x 29.5 inches – Premium Engineered Wood - Rectangle Shape Desk Top Suitable for Office Table, Study Table, Standing Desk - 1500 x 750 x 25 mm – Walnut Laminate"/>
        <s v="ErgoYou - TABLE TOP 47 x 23.5 inches – Premium Engineered Wood - Rectangle Shape Desk Top suitable for Office Table, Study Table, Meeting/Conference Table, Standing Desk - 1200 x 600 x 25 mm – Walnut Laminate"/>
        <s v="ErgoYou - Standing Desk Converter - Pneumatic Gas Spring Height Adjustable Sit Stand Desk - Locks at 6 Height Settings - 45, 215, 265, 305, 365 &amp; 405 mm - MDF Top with Water Resistant PVC Laminate"/>
        <s v="ErgoYou - Pneumatic Height Adjustable Laptop Table - with Castor Wheels &amp; Levelers - Height Range 29.8 to 44.3 in - Table Top Size 22 x 31.5 in - Ergonomic Gas Lift Workstation - Smooth Hand Paddle"/>
        <s v="ErgoYou Economy Manual Height Adjustable Table - M3 Series, Sit-Standing Computer Desk (Maple: 55.1 x 23.6 inches | White Frame)"/>
        <s v="ErgoYou - Single Leg Gas Lift Sit Stand Desk - Portable - Angle &amp; Height Adjustable Table (0, -10, -20 and -30 Degrees) - Pneumatic Gas Spring - Space Saving &amp; Ergonomic - Castors &amp; Levellers Provided"/>
        <s v="ErgoYou - Single Leg Gas Lift Sit Stand Desk - Two Tier Height Adjustable Table - Gas Spring Operated - Pneumatic Sit Stand Desk - Black"/>
        <s v="ErgoYou - Tiltable Ergonomic Footrest - Comfortable &amp; Angle Adjustable for Home &amp; Office Use - Increase Blood Circulation &amp; Reduce Stress on Ankles, Knees, Thighs &amp; Back"/>
        <s v="ErgoYou - Ergonomic Anti Fatigue Mat - 560 x 460 x 19 mm - Ideal for use at Height Adjustable Tables, Standing Desks, Kitchen, Receptionist &amp; Chefs - Imported High Durability Premium Polyurethane Foam"/>
        <s v="ErgoYou - Premium Gaming - Spring Adjustable LED LIT UP Monitor Arm Stand - 20 RGB Lighting Effects - Weight Capacity 9 kgs - Desktop Clamp or Grommet (Both Included) - 360 Degree Rotation"/>
        <s v="ErgoYou - Premium Electric Height Adjustable Standing Table - Dual Motor 3 Stage - E3 Series - Ergonomic Sit Stand Computer Desk – (No Table Top, White Steel Frame)"/>
        <s v="ErgoYou - Premium Electric Height Adjustable Standing Table 47 x 23.5 inches - Dual Motor 3 Stage - E3 Series - Ergonomic Sit Stand Computer Desk – (Maple Laminate Table Top/White Steel Frame)"/>
        <s v="ErgoYou - Soft Cushioned Tiltable Ergonomic Footrest - Comfortable &amp; Angle Adjustable for Home &amp; Office Use - Increase Blood Circulation &amp; Reduce Stress on Ankles, Knees, Thighs &amp; Back - Removable &amp; Washable Cushion Cover"/>
        <s v="ErgoYou - Premium Manual Height Adjustable Table 55 x 23.5 inches - 2 Stage with Smooth Hand Crank - Ergonomic Sit Stand Computer Desk - M4 Series - Imported (Black Table Top/Black Steel Frame)"/>
        <s v="ErgoYou – Premium Power Console - Extension Board - 2 USB &amp; 3 Universal Sockets with Removable Desk Clamp on Table – Electrical Cable Management – 1.2m Extension Cord with 3 Pin Plug"/>
        <s v="ErgoYou – Premium Power Console - Extension Board - 4 Universal Sockets with Removable Desk Clamp on Table – Electrical Cable Management – 1.2m Extension Cord with 3 Pin Plug"/>
        <s v="ErgoYou - TABLE TOP 47 x 23.5 inches – Premium Engineered Wood - Rectangle Shape Desk Top suitable for Office Table, Study Table, Meeting/Conference Table, Standing Desk - 1200 x 600 x 25 mm – Maple Laminate"/>
        <s v="Set of 2 - ErgoYou - Premium Gaming - Spring Adjustable LED LIT UP Monitor Arm Stand - 20 RGB Lighting Effects - Weight Capacity 9 kgs - Desktop Clamp or Grommet (Both Included) - 360 Degree Rotation"/>
        <s v="ErgoYou - Electric Height Adjustable Standing Table 47 x 23.5 inches - Dual Motor 3 Stage - E1A Series - Ergonomic Sit Stand Computer Desk – (Walnut | 47 x 23.5 inches | Black Steel Frame)"/>
        <s v="ErgoYou Electric Height Adjustable Table Motorized Ergonomic Sit Stand Computer Desk - SM3 Series - 47 x 23.5 inches - Maple Laminate Table Top"/>
        <s v="ErgoYou Manual Height Adjustable Table Ergonomic Sit Stand Computer Desk - M3 Series - 55.1 x 23.6 inches - Maple Laminate Table Top"/>
        <s v="ErgoYou Electric Height Adjustable Table Motorized Ergonomic Sit Stand Computer Desk - SM3 Series - 47 x 23.5 inches - Walnut Laminate Table Top"/>
        <s v="ErgoYou Electric Height Adjustable Table Motorized Ergonomic Sit Stand Computer Desk - SM3 Series - 59 x 29.5 inches - Maple Laminate Table Top"/>
        <s v="ErgoYou Premium Electric Height Adjustable Table Heavy Duty - Dual Motor 2 Stage - E2 Series - Ergonomic Sit Stand Computer Desk - 59 x 29.5 inches - Maple Laminate Table Top"/>
        <s v="ErgoYou Electric Height Adjustable Table Motorized Ergonomic Sit Stand Computer Desk - SM3 Series - 59 x 29.5 inches - Walnut Laminate Table Top"/>
        <s v="ErgoYou Electric Height Adjustable Table Motorized Ergonomic Sit Stand Computer Desk - SM3 Series - White Steel Frame"/>
        <s v="ErgoYou Premium Electric Height Adjustable Table Heavy Duty - Dual Motor 3 Stage - E2 Series - Ergonomic Sit Stand Computer Desk - Only Frame"/>
        <s v="ErgoYou Premium Electric Height Adjustable Table Heavy Duty - Dual Motor 2 Stage - E2 Series - Ergonomic Sit Stand Computer Desk - 59 x 29.5 inches - Walnut Laminate Table Top"/>
        <s v="ErgoYou - TABLE TOP 59 x 29.5 inches – Premium Engineered Wood - Rectangle Shape Desk Top suitable for Office Table, Study Table, Meeting/Conference Table, Standing Desk - 1500 x 750 x 25 mm – Maple Laminate"/>
        <s v="ErgoYou - Single Leg Gas Lift Sit Stand Desk - Portable - Angle &amp; Height Adjustable Table (0, -10, -20 and -30 Degrees) - Pneumatic - Space Saving &amp; Ergonomic - Castors &amp; Levellers Provided"/>
        <s v="ErgoYou Premium Electric Height Adjustable Table Heavy Duty - Dual Motor 2 Stage - E2 Series - Ergonomic Sit Stand Computer Desk - 47 x 23.5 inches - Walnut Laminate Table Top"/>
        <s v="ErgoYou Premium Electric Height Adjustable Table Heavy Duty - Dual Motor 2 Stage - E2 Series - Ergonomic Sit Stand Computer Desk - 47 x 23.5 inches - Maple Laminate Table Top"/>
        <s v="ErgoYou - Electric Height Adjustable Standing Table - Dual Motor 3 Stage - E1A Series - Ergonomic Sit Stand Computer Desk – (Walnut | 59 x 29.5 inches | Black Steel Frame)"/>
        <s v="ErgoYou - Electric Height Adjustable Standing Table 47 x 23.5 inches - Dual Motor 3 Stage - E1A Series - Ergonomic Sit Stand Computer Desk – (Walnut | White Steel Frame, 47 x 23.5 inches)"/>
        <s v="ErgoYou - Electric Height Adjustable Standing Table - Dual Motor 3 Stage - E1A Series - Ergonomic Sit Stand Computer Desk (No Table Top, Only White Steel Frame)"/>
        <s v="ErgoYou - Premium Standing Desk Converter - Pneumatic Gas Spring Height Adjustable Sit Stand - Smooth Adjustment with max Height 17.5 inches - Ample Workspace - Engineered Wood, Melamine and Steel"/>
        <s v="ErgoYou Premium Electric Height Adjustable Table Heavy Duty - Dual Motor 3 Stage - E3 Series - Ergonomic Sit Stand Computer Desk - 59 x 29.5 inches - Walnut Laminate Table Top"/>
        <s v="ErgoYou Premium Electric Height Adjustable Table Heavy Duty - Dual Motor 3 Stage - E3 Series - Ergonomic Sit Stand Computer Desk - 59 x 29.5 inches - Maple Laminate Table Top"/>
        <s v="ErgoYou Premium Electric Height Adjustable Table Heavy Duty - Dual Motor 3 Stage - E3 Series - Ergonomic Sit Stand Computer Desk - White Steel Frame"/>
        <s v="ErgoYou Electric Height Adjustable Table Motorized Ergonomic Sit Stand Computer Desk - SM3 Series - Black Steel Frame"/>
        <s v="ErgoYou - Electric Height Adjustable Standing Table - Dual Motor 3 Stage - E1A Series - Ergonomic Sit Stand Computer Desk – (Carbon Fiber Colour | Black Steel Frame, 59 x 29.5 inches)"/>
        <s v="ErgoYou - Electric Height Adjustable Standing Table 47 x 23.5 inches - Dual Motor 3 Stage - E1A Series - Ergonomic Sit Stand Computer Desk – (Maple | 47 x 23.5 inches | Black Steel Frame)"/>
        <s v="ErgoYou Electric Height Adjustable Table Motorized Ergonomic Sit Stand Computer Desk - SM3 Series - 47 x 23.5 inches - Maple Laminate Table Top, Laminated"/>
        <s v="ErgoYou Electric Height Adjustable Table Motorized Ergonomic Sit Stand Computer Desk - 59 X 29.5 Inches - Maple Laminate Table Top - 3 Years Warranty, Laminated"/>
        <s v="ErgoYou Manual Height Adjustable Table Ergonomic Sit Stand Computer Desk - 55.1 X 23.6 Inches - Maple Laminate Table Top - 3 Years Warranty, Laminated"/>
        <s v="ErgoYou - Clamp On Power Strip Extension Board Holder - No Drilling Required - Compatible with Power Strips 50 to 70 mm &amp; Tabletop Thickness 10 to 50 mm - Desk Mount Wire &amp; Cable Management Solution"/>
        <s v="ErgoYou - Electric Height Adjustable Standing Table - Heavy Duty - Dual Motor 2 Stage - 120 Kg Weight Capacity - E2 Series - Ergonomic Sit Stand Computer Desk (Maple: 59 x 29.5 inches)"/>
        <s v="ErgoYou - Electric Height Adjustable Standing Table - Heavy Duty - Dual Motor 2 Stage - 120 Kg Weight Capacity - E2 Series - Ergonomic Sit Stand Computer Desk (Walnut: 59 x 29.5 inches)"/>
        <s v="ErgoYou - Electric Height Adjustable Standing Table - Heavy Duty - Dual Motor 2 Stage - 120 Kg Weight Capacity - E2 Series - Ergonomic Sit Stand Computer Desk (Walnut: 47 x 23.5 inches)"/>
        <s v="ErgoYou - Electric Height Adjustable Standing Table - Heavy Duty - Dual Motor 2 Stage - 120 Kg Weight Capacity - E2 Series - Ergonomic Sit Stand Computer Desk (No Table Top, Only White Steel Frame)"/>
        <s v="ErgoYou Premium Electric Height Adjustable Table Heavy Duty - Dual Motor 3 Stage - 120 kg Weight Capacity - E3 Series - Ergonomic Sit Stand Computer Desk - 59 x 29.5 inches - Maple Laminate Table Top"/>
        <s v="ErgoYou - Electric Height Adjustable Standing Table 47 x 23.5 inches - Dual Motor 2 Stage - 100 Kg weight capacity - E4 Series - Ergonomic Sit Stand Computer Desk – (Maple, 47 x 23.5 inches)"/>
        <s v="ErgoYou - Electric Height Adjustable Standing Table - Heavy Duty - Dual Motor 2 Stage - 120 Kg Weight Capacity - E2 Series - Ergonomic Sit Stand Computer Desk (Maple: 47 x 23.5 inches)"/>
        <s v="ErgoYou Premium Electric Height Adjustable Table Heavy Duty - Dual Motor 3 Stage - E3 Series - Ergonomic Sit Stand Computer Desk - Black Steel Frame"/>
        <s v="ErgoYou Premium Electric Height Adjustable Table Heavy Duty - Dual Motor 3 Stage - E3 Series - Ergonomic Sit Stand Computer Desk - 47 x 23.5 inches - Walnut Laminate Table Top"/>
        <s v="ErgoYou Electric Height Adjustable Table Motorized Ergonomic Sit Stand Computer Desk - SM3 Series - 47 x 23.5 inches - Carbon Fibre Laminate Table Top"/>
        <s v="ErgoYou Premium Electric Height Adjustable Table Heavy Duty - DUAL MOTOR 3 STAGE - 120 kg weight capacity - E3 Series - Ergonomic Sit Stand Computer Desk - 47 x 23.5 inches - Walnut Laminate Table Top"/>
        <s v="ErgoYou Premium Electric Height Adjustable Table Heavy Duty - Dual Motor 3 Stage - 120 kg Weight Capacity - E3 Series - Ergonomic Sit Stand Computer Desk - White Steel Frame"/>
        <s v="ErgoYou Electric Height Adjustable Table Motorized Ergonomic Sit Stand Computer Desk - SM3 Series - 59 x 29.5 inches - Carbon Fibre Laminate Table Top"/>
        <s v="ErgoYou - Electric Height Adjustable Standing Table 47 x 23.5 inches - Dual Motor 3 Stage - E1A Series - Ergonomic Sit Stand Computer Desk - No Table Top, Only Steel Frame | Black"/>
        <s v="ErgoYou - Electric Height Adjustable Standing Table - Dual Motor 3 Stage - E1A Series - Ergonomic Sit Stand Computer Desk – (Walnut | White Steel Frame, 59 x 29.5 inches)"/>
        <s v="ErgoYou - Electric Height Adjustable Standing Table 47 x 23.5 inches - Dual Motor 2 Stage - 100 Kg weight capacity - E4 Series - Ergonomic Sit Stand Computer Desk – (Walnut, 47 x 23.5 inches)"/>
        <s v="ErgoYou - Manual Height Adjustable Table - 2 Stage with Smooth Hand Crank - Ergonomic Standing Computer Desk - M8 Series - Imported - White, Steel, Frame Only (Table Top Not Included)"/>
        <s v="ErgoYou - Single Leg Gas Lift Sit Stand Desk - Two Tier Height Adjustable Table - Gas Spring Operated - Pneumatic Sit Stand Desk - White"/>
        <s v="ErgoYou - Electric Height Adjustable Standing Table - Dual Motor 3 Stage - E1A Series - Ergonomic Sit Stand Computer Desk – (Maple | 59 x 29.5 inches | Black Steel Frame)"/>
        <s v="ErgoYou - Electric Height Adjustable Standing Table - Dual Motor 3 Stage - E1A Series - Ergonomic Sit Stand Computer Desk – (Maple | White Steel Frame, 59 x 29.5 inches)"/>
        <s v="ErgoYou - Electric Height Adjustable Standing Table 47 x 23.5 inches - Dual Motor 3 Stage -100 kg Weight Capacity - E1A Series - Ergonomic Sit Stand Computer Desk – (Maple, 47 x 23.5 inches)"/>
        <s v="ErgoYou - Electric Height Adjustable Standing Table - Dual Motor 2 Stage - 100 Kg weight capacity - E4 Series - Ergonomic Sit Stand Computer Desk – (Maple, 59 x 29.5 inches)"/>
        <s v="ErgoYou - Electric Height Adjustable Standing Table 47 x 23.5 inches - Dual Motor 3 Stage -100 kg Weight Capacity - E1A Series - Ergonomic Sit Stand Computer Desk – (Walnut, 47 x 23.5 inches)"/>
        <s v="ErgoYou - Electric Height Adjustable Standing Table - Dual Motor 2 Stage - 100 Kg weight capacity - E4 Series - Ergonomic Sit Stand Computer Desk – (Walnut, 59 x 29.5 inches)"/>
        <s v="ErgoYou - Electric Height Adjustable Standing Table - Dual Motor 3 Stage -100 kg Weight Capacity - E1A Series - Ergonomic Sit Stand Computer Desk (No Table Top, Only Steel Frame)"/>
        <s v="ErgoYou - Electric Height Adjustable Standing Table - Dual Motor 3 Stage -100 kg Weight Capacity - E1A Series - Ergonomic Sit Stand Computer Desk – (Maple, 59 x 29.5 inches)"/>
        <s v="ErgoYou Premium Electric Height Adjustable Table Heavy Duty - DUAL MOTOR 3 STAGE - 120 kg weight capacity - E3 Series - Ergonomic Sit Stand Computer Desk - 59 x 29.5 inches - Walnut Laminate Table Top"/>
        <s v="ErgoYou - Electric Height Adjustable Standing Table - Dual Motor 2 Stage - 100 Kg weight capacity - E4 Series - Ergonomic Sit Stand Computer Desk (No Table Top, Only Steel Frame)"/>
        <s v="ErgoYou Monitor Stand - Height Adjustable Computer Monitor Riser compatible with TV, Projector, PC Screen, Laptop, projector, LCD (27inches Max - Monitor Screen) - Ergonomic Design - Monitor Display Stand"/>
        <s v="ErgoYou Alloy Steel Economy - Manual Height Adjustable Table 55.1 X 23.6 Inches - 2 Stage With Smooth Hand Crank - M3 Series - Imported (Black Table Top/Black Steel Frame)"/>
        <s v="ErgoYou Premium Electric Height Adjustable Table Heavy Duty - Dual Motor 3 Stage - E3 Series - Ergonomic Sit Stand Computer Desk - 47 x 23.5 inches - Maple Laminate Table Top"/>
        <s v="ErgoYou - Electric Height Adjustable Standing Table - Dual Motor 3 Stage - E1A Series - Ergonomic Sit Stand Computer Desk – (Carbon Fiber Colour | Black Steel Frame, 47 x 23.5 inches)"/>
        <s v="ErgoYou Premium Electric Height Adjustable Table Heavy Duty - Dual Motor 3 Stage - 150 Kgs Max Weight Capacity - E3 Series - Ergonomic Sit Stand Desk - 59 x 29.5 inches - Maple Laminate Table Top"/>
        <s v="ErgoYou - Manual Height Adjustable Table 47 x 23.5 inches - 2 Stage with Smooth Hand Crank - Ergonomic Standing Computer Desk - M8 Series - Imported (Maple Laminate Table Top/White Steel Frame)"/>
        <s v="ErgoYou - Manual Height Adjustable Table 47 x 23.5 inches - 2 Stage with Smooth Hand Crank - Ergonomic Standing Desk - M8 Series - Imported (Walnut Laminate Table Top/White Steel Frame)"/>
        <s v="ErgoYou - Electric Height Adjustable Standing Table - Heavy Duty - Dual Motor 2 Stage - 150 Kgs Max Weight Capacity - E2 Series - Ergonomic Sit Stand Desk (Walnut: 47 x 23.5 inches)"/>
        <s v="ErgoYou - Electric Height Adjustable Standing Table - Heavy Duty - Dual Motor 2 Stage - 150 Kgs Max Weight Capacity - E2 Series - Ergonomic Sit Stand Desk (Maple: 59 x 29.5 inches)"/>
        <s v="ErgoYou - Manual Height Adjustable Table 59 x 29.5 inches - 2 Stage with Smooth Hand Crank - Ergonomic Standing Computer Desk - M8 Series - Imported (Maple Laminate Table Top/White Steel Frame)"/>
        <s v="ErgoYou Premium Electric Height Adjustable Table Heavy Duty - Dual Motor 3 Stage - 150 Kgs Max Weight Capacity - E3 Series - Ergonomic Sit Stand Desk - 59 x 29.5 inches - Walnut Laminate Table Top"/>
        <s v="ErgoYou - Electric Height Adjustable Standing Table - Heavy Duty - Dual Motor 2 Stage - 150 Kgs Max Weight Capacity - E2 Series - Ergonomic Sit Stand Desk (Walnut: 59 x 29.5 inches)"/>
        <s v="ErgoYou - Electric Height Adjustable Standing Table - Heavy Duty - Dual Motor 2 Stage - 150 Kgs Max Weight Capacity - E2 Series - Ergonomic Sit Stand Desk (Maple: 47 x 23.5 inches)"/>
        <s v="ErgoYou - Manual Height Adjustable Table 59 x 29.5 inches - 2 Stage with Smooth Hand Crank - Ergonomic Standing Desk - M8 Series - Imported (Walnut Laminate Table Top/White Steel Frame)"/>
        <s v="ErgoYou - Electric Height Adjustable Standing Table - Dual Motor 3 Stage -100 kg Weight Capacity - E1A Series - Ergonomic Sit Stand Computer Desk – (Walnut, 59 x 29.5 inches)"/>
        <s v="ErgoYou - Electric Height Adjustable Standing Table - Heavy Duty - Dual Motor 2 Stage - 150 Kgs Max Weight Capacity - E2 Series - Ergonomic Sit Stand Desk (No Table Top, Only White Steel Frame)"/>
        <s v="ErgoYou Premium Electric Height Adjustable Table Heavy Duty - Dual Motor 3 Stage - 150 Kgs Max Weight Capacity - E3 Series - Ergonomic Sit Stand Desk - 47 x 23.5 inches - Walnut Laminate Table Top"/>
        <s v="ErgoYou - Manual Height Adjustable Table - 2 Stage with Smooth Hand Crank - Ergonomic Standing Computer Desk - M8 Series - Imported - Black, Steel, Frame Only (Table Top Not Included)"/>
        <s v="ErgoYou - Manual Height Adjustable Table 59 x 29.5 inches - 2 Stage with Smooth Hand Crank - Ergonomic Standing Computer Desk - M8 Series - Imported (Walnut Laminate Table Top/Black Steel Frame)"/>
        <s v="ErgoYou - Manual Height Adjustable Table 59 x 29.5 inches - 2 Stage with Smooth Hand Crank - Ergonomic Standing Computer Desk - M8 Series - Imported (Maple Laminate Table Top/Black Steel Frame)"/>
        <s v="Ergoyou-Standing Desk Converter-Pneumatic Gas Spring Height Adjustable Sit Stand Desk-Locks At 6 Height Settings-45,215,265,305,365 &amp; 405 Mm-Mdf Top With Water Resistant Pvc Laminate-Laminated"/>
        <s v="ErgoYou - Premium Gaming - Spring Adjustable LED LIT UP Monitor Arm Stand - 20 RGB Lighting Effects - Weight Capacity 9 kgs - Desktop Clamp or Grommet - 360 Degree Rotation - for 17-32 inches Screens"/>
        <s v="ErgoYou - Pneumatic Height Adjustable Laptop Table - with Castor Wheels &amp; Levelers - Height Range 29.8 to 44.3 in - Table Top Size 22 x 31.5 in - Ergonomic Gas Lift Workstation"/>
        <s v="ErgoYou Premium Electric Height Adjustable Table Heavy Duty - Dual Motor 3 Stage - 150 Kgs Max Weight Capacity - E3 Series - Ergonomic Sit Stand Desk - White Steel Frame"/>
        <s v="ErgoYou Premium Electric Height Adjustable Table Heavy Duty - Dual Motor 3 Stage - 150 Kgs Max Weight Capacity - E3 Series - Ergonomic Sit Stand Desk - 47 x 23.5 inches - Maple Laminate Table Top"/>
        <s v="ErgoYou - Manual Height Adjustable Table 47 x 23.5 inches - 2 Stage with Smooth Hand Crank - Ergonomic Standing Computer Desk - M8 Series - Imported (Walnut Laminate Table Top/Black Steel Frame)"/>
        <s v="ErgoYou - Manual Height Adjustable Table 47 x 23.5 inches - 2 Stage with Smooth Hand Crank - Ergonomic Standing Computer Desk - M8 Series - Imported (Maple Laminate Table Top/Black Steel Frame)"/>
        <s v="ErgoYou EY EX Series - 2M2S - Black (Engineered Wood | Maple | Black Steel Frame, 59 x 29.5 inches)"/>
        <s v="ErgoYou EY EX Series - 2M2S - Black (Engineered Wood | Maple | Black Steel Frame, 47 x 23.5 inches)"/>
        <s v="ErgoYou Premium Electric Height Adjustable Table Heavy Duty - Dual Motor 3 Stage - 150 Kgs Max Weight Capacity - E3 Series - Ergonomic Sit Stand Desk - Black Steel Frame"/>
        <s v="Set of 2 - ErgoYou - Premium Gaming - Spring Adjustable LED LIT UP Monitor Arm Stand - 20 RGB Lighting Effects - Weight Capacity 9 kgs - Desktop Clamp or Grommet (Both Included) - 360 Degree Rotation - For 17-32 inches screens"/>
        <s v="ErgoYou - Electric Height Adjustable Standing Table - Dual Motor 3 Stage - E1A Series - Ergonomic Sit Stand Computer Desk – (Carbon Fibre Colour| White Frame | 47 x 23.5 inches)"/>
        <s v="ErgoYou Electric Height Adjustable Table Motorized Ergonomic Sit Stand Computer Desk - 90 Kgs Max Weight Capacity - SM3 Series - 47 x 23.5 inches - Maple Laminate Table Top"/>
        <s v="ErgoYou Electric Height Adjustable Table Motorized Ergonomic Sit Stand Computer Desk - 90 Kgs Max Weight Capacity - SM3 Series - 47 x 23.5 inches - Walnut Laminate Table Top"/>
        <s v="ErgoYou Electric Height Adjustable Table Motorized Ergonomic Sit Stand Computer Desk - 90 Kgs Max Weight Capacity - SM3 Series - 59 X 29.5 Inches - Maple Laminate Table Top"/>
        <s v="ErgoYou Electric Height Adjustable Table Motorized Ergonomic Sit Stand Computer Desk - 90 Kgs Max Weight Capacity - SM3 Series - 59 x 29.5 inches - Walnut Laminate Table Top"/>
        <s v="ErgoYou Electric Height Adjustable Table Motorized Ergonomic Sit Stand Computer Desk - 90 Kgs Max Weight Capacity - SM3 Series - White Steel Frame"/>
        <s v="ErgoYou - Manual Height Adjustable Table 59 x 29.5 inches - 2 Stage with Smooth Hand Crank - Ergonomic Standing Computer Desk - 80 Kg Max weight capacity - M8 Series - Imported - Maple Table Top"/>
        <s v="ErgoYou - Manual Height Adjustable Table 47 x 23.5 inches - 2 Stage with Smooth Hand Crank - Ergonomic Standing Computer Desk- 80 Kg Max weight capacity - M8 Series - Imported - Maple Table Top"/>
        <s v="ErgoYou - Manual Height Adjustable Table 55.1 x 23.6 inches - 2 Stage with Smooth Hand Crank - M3 Series - Imported (Black Table Top and Steel Frame)"/>
        <s v="ErgoYou - Electric Height Adjustable Standing Table - Dual Motor 2 Stage - 110 Kg max weight capacity - E4 Series - Ergonomic Sit Stand Computer Desk – (Walnut, 59 x 29.5 inches)"/>
        <s v="ErgoYou - Clamp On Ergonomic Keyboard Tray with Tilt Funcitonality - 5 Angle Adjustment Options 15°/7.5°/0°/-7.5°/-15° - No Drilling Required - Compatible with Table top Thickness Upto 45 mm"/>
        <s v="ErgoYou - Manual Height Adjustable Table 59 x 29.5 inches - 2 Stage with Smooth Hand Crank - Ergonomic Standing Desk - 80 Kg Max weight capacity - M8 Series - Imported - Walnut Table Top"/>
        <s v="ErgoYou - Electric Height Adjustable Standing Table - Dual Motor 2 Stage - 110 Kg max weight capacity - E4 Series - Ergonomic Sit Stand Computer Desk – (Maple, 59 x 29.5 inches)"/>
        <s v="ErgoYou - Electric Height Adjustable Standing Table - Dual Motor 2 Stage - 110 Kg max weight capacity - E4 Series - Ergonomic Sit Stand Computer Desk (No Table Top, Only Steel Frame)"/>
        <s v="ErgoYou - Electric Height Adjustable Standing Table - Dual Motor 3 Stage -125 kg weight capacity - E1A Series - Ergonomic Sit Stand Computer Desk – (Maple, 59 x 29.5 inches)"/>
        <s v="ErgoYou - Manual Height Adjustable Table 47 x 23.5 inches - 2 Stage with Smooth Hand Crank - Ergonomic Standing Computer Desk - 80 Kg Max weight capacity - M8 Series - Imported Walnut Table Top"/>
        <s v="ErgoYou Electric Height Adjustable Table Motorized Ergonomic Sit Stand Computer Desk - 90 Kgs Max Weight Capacity - SM3 Series - Black Steel Frame"/>
        <s v="ErgoYou - Electric Height Adjustable Standing Table 47 x 23.5 inches - Dual Motor 3 Stage -125 kg static weight capacity - E1A Series - Ergonomic Sit Stand Computer Desk – (Walnut, Black Steel Frame)"/>
        <s v="ErgoYou - Manual Height Adjustable Table - 2 Stage with Smooth Hand Crank - Ergonomic Standing Computer Desk - 80 Kg Max weight capacity - M8 Series - Imported - Frame Only (Table Top Not Included)"/>
        <s v="ErgoYou - Manual Height Adjustable Table 47 x 23.5 inches - 2 Stage with Smooth Hand Crank - Ergonomic Standing Computer Desk- 80 Kg Max weight capacity - M8 Series - Imported Walnut Table Top"/>
        <s v="ErgoYou - Manual Height Adjustable Table 59 x 29.5 inches - 2 Stage with Smooth Hand Crank - Ergonomic Standing Computer Desk- 80 Kg Max weight capacity - M8 Series - Imported Maple Laminate Table Top"/>
        <s v="ErgoYou - Manual Height Adjustable Table 47 x 23.5 inches - 2 Stage with Smooth Hand Crank - Ergonomic Standing Computer Desk - 80 Kg Max weight capacity- M8 Series - Imported Maple Table Top"/>
        <s v="ErgoYou - Electric Height Adjustable Standing Table 47 x 23.5 inches - Dual Motor 3 Stage -125 kg weight capacity - E1A Series - Ergonomic Sit Stand Computer Desk – (Maple, 47 x 23.5 inches)"/>
        <s v="ErgoYou - Electric Height Adjustable Standing Table - Dual Motor 3 Stage - 125 kg weight capacity - E1A Series - Ergonomic Sit Stand Computer Desk (No Table Top, Only Steel Frame)"/>
        <s v="ErgoYou Monitor Stand - Height Adjustable Computer Monitor Riser compatible with TV, Projector, PC Screen, Laptop, projector, LCD (27inches Max - Monitor Screen) - Ergonomic Design"/>
        <s v="ErgoYou - Manual Height Adjustable Table 59 x 29.5 inches - 2 Stage with Smooth Hand Crank - Ergonomic Standing Computer Desk- 80 Kg Max weight capacity - M8 Series - Imported - Walnut Table Top"/>
        <s v="ErgoYou - Electric Height Adjustable Standing Table - HEAVY DUTY - Dual Motor 2 Stage - 150 Kgs Max Weight Capacity - E2 Series - Ergonomic Sit Stand Desk (No Table Top, Only Black Steel Frame)"/>
        <s v="ErgoYou Electric Height Adjustable Table Motorized Ergonomic Sit Stand Computer Desk - 90 Kgs Max Weight Capacity - SM3 Series - 47 x 23.5 inches - Carbon Fibre Laminate Table Top"/>
        <s v="ErgoYou - Electric Height Adjustable Standing Table - Dual Motor 3 Stage -125 kg static weight capacity - E1A Series - Ergonomic Sit Stand Computer Desk – (Walnut, Black Steel Frame)"/>
        <s v="ErgoYou - Electric Height Adjustable Standing Table 47 x 23.5 inches - Dual Motor 3 Stage -125 kg static weight capacity - E1A Series - Ergonomic Sit Stand Computer Desk - No Table Top, Black Frame"/>
        <s v="ErgoYou - Electric Height Adjustable Standing Table - Dual Motor 3 Stage -125 kg static weight capacity - E1A Series - Ergonomic Sit Stand Computer Desk – (Carbon Fiber Colour, 47 x 23.5 inches)"/>
        <s v="ErgoYou - Electric Height Adjustable Standing Table - Dual Motor 3 Stage -125 kg weight capacity - E1A Series - Ergonomic Sit Stand Computer Desk – (Walnut, 59 x 29.5 inches)"/>
        <s v="ErgoYou - Electric Height Adjustable Standing Table - Dual Motor 2 Stage - 110 Kg max weight capacity - E4 Series - Ergonomic Sit Stand Computer Desk – (Walnut, 47 x 23.5 inches)"/>
        <s v="Set of 2 - ErgoYou - Premium Gaming - Spring Adjustable LED LIT UP Monitor Stand - 20 RGB Lighting Effects - Weight Capacity 9 kgs - Desktop Clamp or Grommet - 360 Degree Rotation - For 17-32 inches screens"/>
        <s v="ErgoYou - Electric Height Adjustable Standing Table - Dual Motor 3 Stage -125 kg static weight capacity - E1A Series - Ergonomic Sit Stand Computer Desk – (Maple, Black Steel Frame)"/>
        <s v="ErgoYou - Electric Height Adjustable Standing Table 47 x 23.5 inches - Dual Motor 3 Stage -125 kg static weight capacity - E1A Series - Ergonomic Sit Stand Computer Desk – (Maple, Black Steel Frame)"/>
        <s v="ErgoYou - Electric Height Adjustable Standing Table - Dual Motor 3 Stage -125 kg weight capacity - E1A Series - Ergonomic Sit Stand Computer Desk – (Carbon Fibre Colour, 47 x 23.5 inches)"/>
        <s v="ErgoYou - Electric Height Adjustable Standing Table 47 x 23.5 inches - Dual Motor 3 Stage -125 kg weight capacity - E1A Series - Ergonomic Sit Stand Computer Desk – (Walnut, 47 x 23.5 inches)"/>
        <s v="ErgoYou - Electric Height Adjustable Standing Table - Dual Motor 2 Stage - 110 Kg max weight capacity - E4 Series - Ergonomic Sit Stand Computer Desk – (Maple, 47 x 23.5 inches)"/>
        <s v="ErgoYou - Electric Height Adjustable Standing Table - Dual Motor 2 Stage - 110 Kg max weight capacity - E4 Series - Ergonomic Sit Stand Computer Desk (Walnut, 47 x 23.5 inches)"/>
        <s v="ErgoYou - Detachable Under Desk Cable Tray for Wire Management - Power Strip Tray and Charging Wires Organisor - Easy and Quick DIY Installation - 108 x 120 x 600 mm"/>
        <s v="ErgoYou - Clamp-on Under Desk Cable Tray for Wire Management - Power Strip Tray and Charging Wires Organisor - Easy and Quick DIY Installation - 105 x 207 x 600 mm"/>
        <s v="ErgoYou - Electric Height Adjustable Standing Table - HEAVY DUTY - Dual Motor 2 Stage - 150 Kgs Max Weight Capacity - E2 Series - Ergonomic Sit Stand Desk (Maple: 47 x 23.5 inches) Laminated"/>
        <s v="ErgoYou - Premium Spring Adjustable Monitor Arm Stand - VESA Mount - Weight Capacity 2-9 kgs - for most 17-32&quot; screens - Clamp or Grommet Mount - 360 Degree Rotation"/>
        <s v="Set of 2 - ErgoYou - Premium Gaming - Spring Adjustable LED LIT UP Monitor Stand - 20 RGB Lighting - Weight Capacity 9 kgs - Desktop Clamp or Grommet - 360 Degree Rotation - For 17-32 inches screens"/>
        <s v="ErgoYou - Electric Height Adjustable Standing Table - Dual Motor 2 Stage - 110 Kg max weight capacity - E4 Series - Ergonomic Sit Stand Computer Desk (Maple, 59 x 29.5 inches)"/>
        <s v="ErgoYou - Electric Height Adjustable Standing Table - Dual Motor 2 Stage - 110 Kg max weight capacity - E4 Series - Ergonomic Sit Stand Computer Desk (Walnut, 59 x 29.5 inches)"/>
        <s v="ErgoYou - Electric Height Adjustable Standing Table - Dual Motor 2 Stage - 110 Kg max weight capacity - E4 Series - Ergonomic Sit Stand Computer Desk (Maple, 47 x 23.5 inches)"/>
        <s v="Set of 2 - ErgoYou - Premium Spring Adjustable Monitor Arm Stand - VESA Mount - Weight Capacity 2-9 kgs - for most 17-32&quot; screens - Clamp or Grommet Mount - 360 Degree Rotation"/>
        <s v="ErgoYou Electric Height Laminated Adjustable Table Motorized Ergonomic Sit Stand Computer Desk - 90 Kgs Max Weight Capacity - Sm3 Series - 47 X 23.5 Inches - Maple Laminate Table Top"/>
        <s v="ErgoYou - Clamp On Power Strip Extension Board Holder - Easy &amp; Quick Installation - No Drilling Required - Compatible with Power Strips 50 to 70 mm in Height &amp; Table top Thickness 10 to 50 mm"/>
        <s v="ErgoYou Electric Laminated Height Adjustable Table Motorized Ergonomic Sit Stand Computer Desk - 90 Kgs Max Weight Capacity - Sm3 Series - 59 X 29.5 Inches - Maple Laminate Table Top"/>
        <s v="ErgoYou - Electric Height Adjustable Standing Table - Dual Motor 2 Stage - E4 Series - Ergonomic Sit Stand Computer Desk (No Table Top, Only Steel Frame)"/>
        <s v="ErgoYou - Electric Height Adjustable Standing Table - Dual Motor 2 Stage - E4 Series - Ergonomic Sit Stand Computer Desk – (Maple, 59 x 29.5 inches)"/>
        <s v="ErgoYou - Electric Height Adjustable Standing Table - Dual Motor 2 Stage - E4 Series - Ergonomic Sit Stand Computer Desk – (Walnut, 47 x 23.5 inches)"/>
        <s v="ErgoYou - Electric Height Adjustable Standing Table - Dual Motor 2 Stage - E4 Series - Ergonomic Sit Stand Computer Desk – (Walnut, 59 x 29.5 inches)"/>
        <s v="ErgoYou - Electric Height Adjustable Standing Table - Dual Motor 2 Stage - E4 Series - Ergonomic Sit Stand Computer Desk – (Maple, 47 x 23.5 inches)"/>
        <s v="ErgoYou - Laptop Stand 3 - Height Adjustable Computer Laptop Riser - Z Fold"/>
        <s v="ErgoYou - Clamp On Cup, Can, Bag and Headphone Holder - Easy Installation - No Drilling Required - Compatible with Table Tops upto 54 mm thickness - Clean Work Desk - No Drink Spillage - Desk Mount"/>
        <s v=" "/>
        <s v="ErgoYou - Electric Height Adjustable Standing Table - Dual Motor 2 Stage - E4 Series - Ergonomic Sit Stand Computer Desk (Maple, 59 x 29.5 inches)"/>
        <s v="ErgoYou - Electric Height Adjustable Standing Table - Dual Motor 2 Stage - E4 Series - Ergonomic Sit Stand Computer Desk (Walnut, 47 x 23.5 inches)"/>
        <s v="ErgoYou - Electric Height Adjustable Standing Table - Dual Motor 2 Stage - E4 Series - Ergonomic Sit Stand Computer Desk (Walnut, 59 x 29.5 inches)"/>
        <s v="ErgoYou - Electric Height Adjustable Standing Table - Dual Motor 2 Stage - E4 Series - Ergonomic Sit Stand Computer Desk (Maple, 47 x 23.5 inches)"/>
        <s v="ErgoYou - Clamp On Power Strip Extension Board Holder - Easy &amp; Quick Installation - No Drilling Required - Compatible with Power Strips 50 to 70 mm in Height &amp; Tabletop Thickness 10 to 50 mm (Black)"/>
        <s v="ErgoYou - Table TOP 47 x 23.5 inches ? Premium Engineered Wood - Rectangle Shape Desk Top Suitable for Office Table, Study Table, Standing Desk - 1200 x 600 x 18 mm ? White Laminate"/>
        <s v="ErgoYou - Table TOP 59 x 29.5 inches ? Premium Engineered Wood - Rectangle Shape Desk Top Suitable for Office Table, Study Table, Standing Desk - 1500 x 750 x 25 mm ? Carbon Fibre Laminate"/>
        <s v="ErgoYou - Table TOP 47 x 23.5 inches ? Premium Engineered Wood - Rectangle Shape Desk Top Suitable for Office Table, Study Table, Standing Desk - 1200 x 600 x 25 mm ? Carbon Fibre Laminate"/>
        <s v="ErgoYou Electric Height Adjustable Table Motorized Ergonomic Sit Stand Desk - 90 Kgs Max Weight Capacity - SM3 Series - 47 x 23.5 inches - Maple Laminate Table Top"/>
        <s v="ErgoYou Electric Height Adjustable Table Motorized Ergonomic Sit Stand Desk - 90 Kgs Max Weight Capacity - SM3 Series - 59 X 29.5 Inches - Maple Laminate Table Top"/>
        <s v="ErgoYou - Electric Height Adjustable Laminated Standing Table - Heavy Duty - Dual Motor 2 Stage - 150 Kgs Max Weight Capacity - E2 Series - Ergonomic Sit Stand Desk (Maple: 59 X 29.5 Inches)"/>
        <s v="ErgoYou Electric Height Adjustable Standing Table - Dual Motor 2 Stage - 110 Kg Max Weight Capacity - E4 Series - Ergonomic Sit Stand Computer Desk (Maple, 59 X 29.5 Inches, Laminated)"/>
        <s v="ErgoYou Premium Electric Laminated Height Adjustable Table Heavy Duty-Dual Motor 3 Stage-150 Kgs Max Weight Capacity-E3 Series-Ergonomic Sit Stand Desk-59 X 29.5 Inches-Maple Laminate Table Top"/>
        <s v="ErgoYou Alloy Steel-Electric Height Adjustable Standing Table 47 X 23.5 Inches-Dual Motor 3 Stage -125 Kg Static Weight Capacity-E1A Series-Ergonomic Sit Stand Computer Desk-No Table Top,Black Frame"/>
        <s v="ErgoYou Electric Height Adjustable Standing Table - Dual Motor 2 Stage - 110 Kg Max Weight Capacity - E4 Series - Ergonomic Sit Stand Computer Desk (Maple, 47 X 23.5 Inches, Laminated)"/>
        <s v="ErgoYou Electric Height Adjustable Standing Table - Dual Motor 3 Stage -125 Kg Weight Capacity - E1A Series - Ergonomic Sit Stand Computer Desk (Maple, 59 X 29.5 Inches, Laminated)"/>
        <s v="ErgoYou Plastic - Pneumatic Height Adjustable Laptop Table - With Castor Wheels &amp; Levelers - Height Range 29.8 To 44.3 In - Table Top Size 22 X 31.5 In - Ergonomic Gas Lift Workstation, White"/>
        <s v="ErgoYou Premium Laminated Electric Height Adjustable Table Heavy Duty-Dual Motor 3 Stage-150 Kgs Max Weight Capacity-E3 Series-Ergonomic Sit Stand Desk-47 X 23.5 Inches-Maple Laminate Table Top"/>
        <s v="ErgoYou - Table TOP 47 x 23.5 inches - Premium Engineered Wood - Rectangle Shape Desk Top Suitable for Office Table, Study Table, Standing Desk - 1200 x 600 x 18 mm - White Laminate"/>
        <s v="ErgoYou - Manual Height Adjustable Table - 2 Stage with Smooth Hand Crank - Ergonomic Standing Computer Desk - 80 Kg Max Weight Capacity - M8 Series - 47 x 23.5 inches Maple Table Topb - White Frame"/>
        <s v="ErgoYou - Manual Height Adjustable Table - 2 Stage with Smooth Hand Crank - Ergonomic Standing Computer Desk - 80 Kg Max Weight Capacity - M8 Series - 47 x 23.5 inches Walnut Table Top - White Frame"/>
        <s v="ErgoYou - Manual Height Adjustable Table - 2 Stage with Smooth Hand Crank - Ergonomic Standing Computer Desk - 80 Kg Max Weight Capacity - M8 Series - 59 x 29.5 inches Maple Table Top - White Frame"/>
        <s v="ErgoYou Manual M3 (Engineered Wood, M8 | Only Frame | White Frame)"/>
        <s v="ErgoYou - Manual Height Adjustable Table - 2 Stage with Smooth Hand Crank - Ergonomic Standing Computer Desk - 80 Kg Max Weight Capacity - M8 Series - 59 x 29.5 inches Walnut Table Top - White Frame"/>
        <s v="ErgoYou Electric Height Adjustable Laminated Table Motorized Ergonomic Sit Stand Computer Desk-90 Kgs Max Weight Capacity-Sm3 Series-47 X 23.5 Inches-Maple Laminate Table Top"/>
        <s v="ErgoYou Manual M3 (Engineered Wood, M3 | Maple: 55.1 x 23.6 inches | White Frame)"/>
        <s v="ErgoYou - Manual Height Adjustable Table - 2 Stage - M8 Series - Imported - Black Steel, Frame Only (Table Top Not Included) (Engineered Wood, Walnut: 47 x 23.5 inches | Black Frame)"/>
        <s v="ErgoYou Manual M3 (Frost White Table Top, 600 x 1200 mm)"/>
        <s v="ErgoYou Electric Height Adjustable Table Motorized Ergonomic Sit Stand Desk - 80 Kgs Max Weight Capacity - SM4 Series - 59 x 29.5 inches - Maple Laminate Table Top"/>
        <s v="ErgoYou Electric Height Adjustable Table Motorized Ergonomic Sit Stand Desk - 80 Kgs Max Weight Capacity - SM4 Series - 59 x 29.5 inches - Walnut Laminate Table Top"/>
        <s v="ErgoYou Electric Height Adjustable Table Motorized Ergonomic Sit Stand Computer Desk - 80 Kgs Max Weight Capacity - SM4 Series - White Steel Frame"/>
        <s v="ErgoYou Electric Height Adjustable Table Motorized Ergonomic Sit Stand Desk - 80 Kgs Max Weight Capacity - SM4 Series - 47 x 23.5 inches - Walnut Laminate Table Top"/>
        <s v="ErgoYou Electric Height Adjustable Table Motorized Ergonomic Sit Stand Desk - 80 Kgs Max Weight Capacity - SM4 Series - 47 x 23.5 inches - Maple Laminate Table Top"/>
        <s v="ErgoYou Electric Height Adjustable Table Motorized Ergonomic Sit Stand Desk - 80 Kgs Max Weight Capacity - SM4 Series - 600 x 1200 mm - Walnut Laminate Table Top"/>
        <s v="ErgoYou Electric Height Adjustable Table Motorized Ergonomic Sit Stand Desk - 80 Kgs Max Weight Capacity - SM4 Series - 600 x 1200 mm - Maple Laminate Table Top"/>
        <s v="Cup and Headphone Holder for Desk in Office or Home, Anti-Spill Cup Holder for Desk, Cup Holder for Workstations or Gaming Desk"/>
        <s v="ErgoYou - Manual Height Adjustable Table - 2 Stage - M8 Series - Imported - Black Steel Frame (Engineered Wood, Walnut: 47 x 23.5 inches | Black Frame)"/>
        <s v="ErgoYou Electric Height Adjustable Table Motorized Ergonomic Sit Stand Desk - 80 Kgs Max Weight Capacity - SM4 Series - 750 x 1500 mm - Maple Laminate Table Top"/>
        <s v="ErgoYou Electric Height Adjustable Table Motorized Ergonomic Sit Stand Desk - 80 Kgs Max Weight Capacity - SM4 Series - 750 x 1500 mm - Walnut Laminate Table Top"/>
        <s v="ErgoYou - Clamp-on Under Desk Cable Tray for Wire Management - Power Strip Tray and Charging Wires Organisor - Easy and Quick DIY Installation - 400 X 129 X 190 mm (CLAMP5)"/>
        <s v="ErgoYou - Under Desk Cable Tray for Wire Management - Power Strip Tray and Charging Wires Organisor - Easy and Quick DIY Installation - 600 X 76 X 114 mm (UCT1)"/>
      </sharedItems>
    </cacheField>
    <cacheField name="Series" numFmtId="0">
      <sharedItems containsBlank="1">
        <s v="M8"/>
        <s v="SM3"/>
        <s v="E2"/>
        <s v="Extension Board Holder"/>
        <s v="Desk Cable Tray"/>
        <s v=" Monitor Stand"/>
        <s v="TABLE TOP"/>
        <s v="Standing Desk Converter"/>
        <s v="Laptop Table"/>
        <s v="M3"/>
        <s v="Single Leg Gas"/>
        <s v="Footrest"/>
        <s v="Anti Fatigue Mat"/>
        <s v="Monitor Arm Stand"/>
        <s v="E3"/>
        <s v="M4"/>
        <s v="Extension Board"/>
        <s v="E1A"/>
        <s v="E4"/>
        <s v="EX Series"/>
        <s v="Keyboard Tray"/>
        <s v="Laptop Stand"/>
        <s v="Extension &amp; Holder"/>
        <s v="Sm4"/>
        <m/>
      </sharedItems>
    </cacheField>
    <cacheField name="Sessions - Total" numFmtId="3">
      <sharedItems containsSemiMixedTypes="0" containsString="0" containsNumber="1" containsInteger="1">
        <n v="2947.0"/>
        <n v="2377.0"/>
        <n v="2422.0"/>
        <n v="1444.0"/>
        <n v="1784.0"/>
        <n v="2433.0"/>
        <n v="423.0"/>
        <n v="1372.0"/>
        <n v="1743.0"/>
        <n v="146.0"/>
        <n v="156.0"/>
        <n v="503.0"/>
        <n v="610.0"/>
        <n v="352.0"/>
        <n v="133.0"/>
        <n v="720.0"/>
        <n v="1280.0"/>
        <n v="680.0"/>
        <n v="1006.0"/>
        <n v="1229.0"/>
        <n v="408.0"/>
        <n v="92.0"/>
        <n v="41.0"/>
        <n v="3578.0"/>
        <n v="2194.0"/>
        <n v="3004.0"/>
        <n v="2254.0"/>
        <n v="1644.0"/>
        <n v="2026.0"/>
        <n v="1136.0"/>
        <n v="1213.0"/>
        <n v="1447.0"/>
        <n v="2372.0"/>
        <n v="1329.0"/>
        <n v="1632.0"/>
        <n v="166.0"/>
        <n v="906.0"/>
        <n v="1809.0"/>
        <n v="1446.0"/>
        <n v="173.0"/>
        <n v="150.0"/>
        <n v="402.0"/>
        <n v="154.0"/>
        <n v="79.0"/>
        <n v="138.0"/>
        <n v="666.0"/>
        <n v="26.0"/>
        <n v="509.0"/>
        <n v="44.0"/>
        <n v="168.0"/>
        <n v="112.0"/>
        <n v="515.0"/>
        <n v="129.0"/>
        <n v="25.0"/>
        <n v="4310.0"/>
        <n v="1401.0"/>
        <n v="299.0"/>
        <n v="1802.0"/>
        <n v="2685.0"/>
        <n v="1882.0"/>
        <n v="2621.0"/>
        <n v="1983.0"/>
        <n v="835.0"/>
        <n v="1620.0"/>
        <n v="791.0"/>
        <n v="569.0"/>
        <n v="434.0"/>
        <n v="199.0"/>
        <n v="705.0"/>
        <n v="312.0"/>
        <n v="348.0"/>
        <n v="1038.0"/>
        <n v="200.0"/>
        <n v="206.0"/>
        <n v="177.0"/>
        <n v="55.0"/>
        <n v="603.0"/>
        <n v="456.0"/>
        <n v="155.0"/>
        <n v="673.0"/>
        <n v="196.0"/>
        <n v="57.0"/>
        <n v="5128.0"/>
        <n v="2816.0"/>
        <n v="477.0"/>
        <n v="2879.0"/>
        <n v="2494.0"/>
        <n v="753.0"/>
        <n v="2940.0"/>
        <n v="275.0"/>
        <n v="242.0"/>
        <n v="1885.0"/>
        <n v="1947.0"/>
        <n v="1138.0"/>
        <n v="525.0"/>
        <n v="1588.0"/>
        <n v="261.0"/>
        <n v="174.0"/>
        <n v="506.0"/>
        <n v="1305.0"/>
        <n v="463.0"/>
        <n v="1015.0"/>
        <n v="235.0"/>
        <n v="433.0"/>
        <n v="120.0"/>
        <n v="191.0"/>
        <n v="207.0"/>
        <n v="65.0"/>
        <n v="67.0"/>
        <n v="153.0"/>
        <n v="371.0"/>
        <n v="71.0"/>
        <n v="93.0"/>
        <n v="119.0"/>
        <n v="307.0"/>
        <n v="104.0"/>
        <n v="73.0"/>
        <n v="1234.0"/>
        <n v="6170.0"/>
        <n v="3743.0"/>
        <n v="5836.0"/>
        <n v="4086.0"/>
        <n v="2682.0"/>
        <n v="2032.0"/>
        <n v="142.0"/>
        <n v="774.0"/>
        <n v="979.0"/>
        <n v="1161.0"/>
        <n v="523.0"/>
        <n v="1627.0"/>
        <n v="847.0"/>
        <n v="484.0"/>
        <n v="226.0"/>
        <n v="1137.0"/>
        <n v="157.0"/>
        <n v="863.0"/>
        <n v="114.0"/>
        <n v="368.0"/>
        <n v="249.0"/>
        <n v="530.0"/>
        <n v="210.0"/>
        <n v="182.0"/>
        <n v="335.0"/>
        <n v="203.0"/>
        <n v="1029.0"/>
        <n v="135.0"/>
        <n v="381.0"/>
        <n v="110.0"/>
        <n v="370.0"/>
        <n v="211.0"/>
        <n v="220.0"/>
        <n v="143.0"/>
        <n v="250.0"/>
        <n v="103.0"/>
        <n v="77.0"/>
        <n v="76.0"/>
        <n v="75.0"/>
        <n v="48.0"/>
        <n v="132.0"/>
        <n v="121.0"/>
        <n v="147.0"/>
        <n v="256.0"/>
        <n v="151.0"/>
        <n v="194.0"/>
        <n v="136.0"/>
        <n v="101.0"/>
        <n v="208.0"/>
        <n v="116.0"/>
        <n v="96.0"/>
        <n v="1328.0"/>
        <n v="4627.0"/>
        <n v="6934.0"/>
        <n v="5894.0"/>
        <n v="2545.0"/>
        <n v="1064.0"/>
        <n v="2517.0"/>
        <n v="939.0"/>
        <n v="2097.0"/>
        <n v="1805.0"/>
        <n v="552.0"/>
        <n v="458.0"/>
        <n v="1747.0"/>
        <n v="1270.0"/>
        <n v="762.0"/>
        <n v="531.0"/>
        <n v="803.0"/>
        <n v="70.0"/>
        <n v="1017.0"/>
        <n v="612.0"/>
        <n v="532.0"/>
        <n v="355.0"/>
        <n v="602.0"/>
        <n v="126.0"/>
        <n v="379.0"/>
        <n v="232.0"/>
        <n v="148.0"/>
        <n v="507.0"/>
        <n v="403.0"/>
        <n v="519.0"/>
        <n v="131.0"/>
        <n v="125.0"/>
        <n v="89.0"/>
        <n v="665.0"/>
        <n v="401.0"/>
        <n v="272.0"/>
        <n v="61.0"/>
        <n v="442.0"/>
        <n v="305.0"/>
        <n v="100.0"/>
        <n v="63.0"/>
        <n v="193.0"/>
        <n v="10771.0"/>
        <n v="1612.0"/>
        <n v="4301.0"/>
        <n v="10483.0"/>
        <n v="2824.0"/>
        <n v="1200.0"/>
        <n v="3293.0"/>
        <n v="2049.0"/>
        <n v="1059.0"/>
        <n v="281.0"/>
        <n v="741.0"/>
        <n v="3017.0"/>
        <n v="1215.0"/>
        <n v="958.0"/>
        <n v="1217.0"/>
        <n v="596.0"/>
        <n v="640.0"/>
        <n v="323.0"/>
        <n v="714.0"/>
        <n v="383.0"/>
        <n v="698.0"/>
        <n v="487.0"/>
        <n v="558.0"/>
        <n v="1025.0"/>
        <n v="891.0"/>
        <n v="752.0"/>
        <n v="1105.0"/>
        <n v="615.0"/>
        <n v="488.0"/>
        <n v="139.0"/>
        <n v="300.0"/>
        <n v="251.0"/>
        <n v="265.0"/>
        <n v="282.0"/>
        <n v="520.0"/>
        <n v="259.0"/>
        <n v="736.0"/>
        <n v="31.0"/>
        <n v="40.0"/>
        <n v="130.0"/>
        <n v="1537.0"/>
        <n v="426.0"/>
        <n v="450.0"/>
        <n v="427.0"/>
        <n v="443.0"/>
        <n v="246.0"/>
        <n v="1115.0"/>
        <n v="294.0"/>
        <n v="417.0"/>
        <n v="367.0"/>
        <n v="94.0"/>
        <n v="149.0"/>
        <n v="1.0"/>
        <n v="542.0"/>
        <n v="243.0"/>
        <n v="584.0"/>
        <n v="795.0"/>
        <n v="331.0"/>
        <n v="198.0"/>
        <n v="2202.0"/>
        <n v="5865.0"/>
        <n v="7493.0"/>
        <n v="5404.0"/>
        <n v="2335.0"/>
        <n v="1392.0"/>
        <n v="3311.0"/>
        <n v="2150.0"/>
        <n v="1804.0"/>
        <n v="1727.0"/>
        <n v="932.0"/>
        <n v="1028.0"/>
        <n v="1155.0"/>
        <n v="856.0"/>
        <n v="43.0"/>
        <n v="875.0"/>
        <n v="296.0"/>
        <n v="393.0"/>
        <n v="464.0"/>
        <n v="3292.0"/>
        <n v="633.0"/>
        <n v="942.0"/>
        <n v="231.0"/>
        <n v="349.0"/>
        <n v="118.0"/>
        <n v="611.0"/>
        <n v="303.0"/>
        <n v="868.0"/>
        <n v="1348.0"/>
        <n v="270.0"/>
        <n v="395.0"/>
        <n v="357.0"/>
        <n v="289.0"/>
        <n v="500.0"/>
        <n v="222.0"/>
        <n v="108.0"/>
        <n v="78.0"/>
        <n v="122.0"/>
        <n v="245.0"/>
        <n v="14.0"/>
        <n v="444.0"/>
        <n v="760.0"/>
        <n v="388.0"/>
        <n v="195.0"/>
        <n v="229.0"/>
        <n v="218.0"/>
        <n v="292.0"/>
        <n v="212.0"/>
        <n v="309.0"/>
        <n v="81.0"/>
        <n v="337.0"/>
        <n v="5.0"/>
        <n v="3.0"/>
        <n v="27.0"/>
        <n v="6.0"/>
        <n v="187.0"/>
        <n v="787.0"/>
        <n v="663.0"/>
        <n v="2713.0"/>
        <n v="5770.0"/>
        <n v="8643.0"/>
        <n v="2719.0"/>
        <n v="1946.0"/>
        <n v="410.0"/>
        <n v="2664.0"/>
        <n v="1797.0"/>
        <n v="1499.0"/>
        <n v="1586.0"/>
        <n v="5697.0"/>
        <n v="2272.0"/>
        <n v="536.0"/>
        <n v="2152.0"/>
        <n v="914.0"/>
        <n v="258.0"/>
        <n v="1816.0"/>
        <n v="1247.0"/>
        <n v="170.0"/>
        <n v="1264.0"/>
        <n v="396.0"/>
        <n v="549.0"/>
        <n v="709.0"/>
        <n v="298.0"/>
        <n v="418.0"/>
        <n v="389.0"/>
        <n v="770.0"/>
        <n v="699.0"/>
        <n v="394.0"/>
        <n v="439.0"/>
        <n v="578.0"/>
        <n v="409.0"/>
        <n v="66.0"/>
        <n v="221.0"/>
        <n v="342.0"/>
        <n v="202.0"/>
        <n v="713.0"/>
        <n v="416.0"/>
        <n v="83.0"/>
        <n v="21.0"/>
        <n v="86.0"/>
        <n v="372.0"/>
        <n v="764.0"/>
        <n v="59.0"/>
        <n v="15.0"/>
        <n v="373.0"/>
        <n v="316.0"/>
        <n v="11.0"/>
        <n v="64.0"/>
        <n v="16.0"/>
        <n v="205.0"/>
        <n v="123.0"/>
        <n v="262.0"/>
        <n v="356.0"/>
        <n v="219.0"/>
        <n v="20.0"/>
        <n v="28.0"/>
        <n v="10.0"/>
        <n v="33.0"/>
        <n v="2215.0"/>
        <n v="7778.0"/>
        <n v="10386.0"/>
        <n v="2508.0"/>
        <n v="836.0"/>
        <n v="3152.0"/>
        <n v="1508.0"/>
        <n v="965.0"/>
        <n v="1237.0"/>
        <n v="839.0"/>
        <n v="2300.0"/>
        <n v="2159.0"/>
        <n v="923.0"/>
        <n v="3126.0"/>
        <n v="1858.0"/>
        <n v="2800.0"/>
        <n v="2002.0"/>
        <n v="1834.0"/>
        <n v="325.0"/>
        <n v="646.0"/>
        <n v="1097.0"/>
        <n v="1398.0"/>
        <n v="535.0"/>
        <n v="375.0"/>
        <n v="319.0"/>
        <n v="481.0"/>
        <n v="428.0"/>
        <n v="686.0"/>
        <n v="304.0"/>
        <n v="425.0"/>
        <n v="557.0"/>
        <n v="471.0"/>
        <n v="560.0"/>
        <n v="627.0"/>
        <n v="508.0"/>
        <n v="1102.0"/>
        <n v="314.0"/>
        <n v="339.0"/>
        <n v="38.0"/>
        <n v="386.0"/>
        <n v="180.0"/>
        <n v="230.0"/>
        <n v="46.0"/>
        <n v="80.0"/>
        <n v="276.0"/>
        <n v="457.0"/>
        <n v="468.0"/>
        <n v="590.0"/>
        <n v="1065.0"/>
        <n v="213.0"/>
        <n v="13.0"/>
        <n v="4.0"/>
        <n v="24.0"/>
        <n v="106.0"/>
        <n v="317.0"/>
        <n v="933.0"/>
        <n v="399.0"/>
        <n v="2.0"/>
        <n v="2608.0"/>
        <n v="12603.0"/>
        <n v="10420.0"/>
        <n v="2638.0"/>
        <n v="1474.0"/>
        <n v="3427.0"/>
        <n v="3272.0"/>
        <n v="501.0"/>
        <n v="2473.0"/>
        <n v="3084.0"/>
        <n v="2893.0"/>
        <n v="2267.0"/>
        <n v="1945.0"/>
        <n v="2054.0"/>
        <n v="1488.0"/>
        <n v="1344.0"/>
        <n v="3364.0"/>
        <n v="1921.0"/>
        <n v="1254.0"/>
        <n v="812.0"/>
        <n v="695.0"/>
        <n v="619.0"/>
        <n v="485.0"/>
        <n v="1281.0"/>
        <n v="1132.0"/>
        <n v="2013.0"/>
        <n v="716.0"/>
        <n v="782.0"/>
        <n v="432.0"/>
        <n v="1370.0"/>
        <n v="570.0"/>
        <n v="674.0"/>
        <n v="564.0"/>
        <n v="581.0"/>
        <n v="1014.0"/>
        <n v="784.0"/>
        <n v="1259.0"/>
        <n v="128.0"/>
        <n v="404.0"/>
        <n v="538.0"/>
        <n v="731.0"/>
        <n v="691.0"/>
        <n v="353.0"/>
        <n v="172.0"/>
        <n v="124.0"/>
        <n v="411.0"/>
        <n v="311.0"/>
        <n v="278.0"/>
        <n v="808.0"/>
        <n v="253.0"/>
        <n v="17.0"/>
        <n v="739.0"/>
        <n v="184.0"/>
        <n v="12.0"/>
        <n v="22.0"/>
        <n v="167.0"/>
        <n v="1485.0"/>
        <n v="8.0"/>
        <n v="7.0"/>
        <n v="3378.0"/>
        <n v="816.0"/>
        <n v="9230.0"/>
        <n v="8790.0"/>
        <n v="3089.0"/>
        <n v="2350.0"/>
        <n v="2516.0"/>
        <n v="2426.0"/>
        <n v="1919.0"/>
        <n v="1937.0"/>
        <n v="962.0"/>
        <n v="3790.0"/>
        <n v="1211.0"/>
        <n v="574.0"/>
        <n v="810.0"/>
        <n v="850.0"/>
        <n v="1762.0"/>
        <n v="607.0"/>
        <n v="1890.0"/>
        <n v="620.0"/>
        <n v="2010.0"/>
        <n v="598.0"/>
        <n v="496.0"/>
        <n v="1619.0"/>
        <n v="1265.0"/>
        <n v="668.0"/>
        <n v="1188.0"/>
        <n v="522.0"/>
        <n v="390.0"/>
        <n v="465.0"/>
        <n v="852.0"/>
        <n v="359.0"/>
        <n v="1166.0"/>
        <n v="470.0"/>
        <n v="140.0"/>
        <n v="263.0"/>
        <n v="190.0"/>
        <n v="254.0"/>
        <n v="526.0"/>
        <n v="341.0"/>
        <n v="293.0"/>
        <n v="241.0"/>
        <n v="626.0"/>
        <n v="9.0"/>
        <n v="302.0"/>
        <n v="68.0"/>
        <n v="37.0"/>
        <n v="91.0"/>
        <n v="723.0"/>
        <n v="8747.0"/>
        <n v="4674.0"/>
        <n v="5547.0"/>
        <n v="6337.0"/>
        <n v="2461.0"/>
        <n v="2065.0"/>
        <n v="1345.0"/>
        <n v="1481.0"/>
        <n v="1001.0"/>
        <n v="697.0"/>
        <n v="1587.0"/>
        <n v="650.0"/>
        <n v="1424.0"/>
        <n v="568.0"/>
        <n v="291.0"/>
        <n v="801.0"/>
        <n v="237.0"/>
        <n v="179.0"/>
        <n v="1902.0"/>
        <n v="448.0"/>
        <n v="1463.0"/>
        <n v="420.0"/>
        <n v="351.0"/>
        <n v="497.0"/>
        <n v="710.0"/>
        <n v="1915.0"/>
        <n v="1565.0"/>
        <n v="1300.0"/>
        <n v="301.0"/>
        <n v="109.0"/>
        <n v="269.0"/>
        <n v="514.0"/>
        <n v="60.0"/>
        <n v="189.0"/>
        <n v="216.0"/>
        <n v="580.0"/>
        <n v="74.0"/>
        <n v="176.0"/>
        <n v="365.0"/>
        <n v="266.0"/>
        <n v="287.0"/>
        <n v="236.0"/>
        <n v="58.0"/>
        <n v="164.0"/>
        <n v="165.0"/>
        <n v="85.0"/>
        <n v="18.0"/>
        <n v="30.0"/>
        <n v="49.0"/>
        <n v="188.0"/>
        <n v="53.0"/>
        <n v="134.0"/>
        <n v="163.0"/>
        <n v="50.0"/>
        <n v="102.0"/>
        <n v="29.0"/>
      </sharedItems>
    </cacheField>
    <cacheField name="Sessions – Total – B2B" numFmtId="0">
      <sharedItems containsSemiMixedTypes="0" containsString="0" containsNumber="1" containsInteger="1">
        <n v="132.0"/>
        <n v="133.0"/>
        <n v="120.0"/>
        <n v="75.0"/>
        <n v="89.0"/>
        <n v="127.0"/>
        <n v="22.0"/>
        <n v="64.0"/>
        <n v="62.0"/>
        <n v="13.0"/>
        <n v="15.0"/>
        <n v="17.0"/>
        <n v="14.0"/>
        <n v="16.0"/>
        <n v="6.0"/>
        <n v="30.0"/>
        <n v="43.0"/>
        <n v="26.0"/>
        <n v="34.0"/>
        <n v="12.0"/>
        <n v="5.0"/>
        <n v="142.0"/>
        <n v="110.0"/>
        <n v="155.0"/>
        <n v="146.0"/>
        <n v="70.0"/>
        <n v="103.0"/>
        <n v="51.0"/>
        <n v="68.0"/>
        <n v="125.0"/>
        <n v="61.0"/>
        <n v="90.0"/>
        <n v="71.0"/>
        <n v="8.0"/>
        <n v="9.0"/>
        <n v="4.0"/>
        <n v="32.0"/>
        <n v="2.0"/>
        <n v="23.0"/>
        <n v="29.0"/>
        <n v="0.0"/>
        <n v="201.0"/>
        <n v="11.0"/>
        <n v="96.0"/>
        <n v="98.0"/>
        <n v="93.0"/>
        <n v="135.0"/>
        <n v="81.0"/>
        <n v="72.0"/>
        <n v="47.0"/>
        <n v="39.0"/>
        <n v="19.0"/>
        <n v="50.0"/>
        <n v="3.0"/>
        <n v="33.0"/>
        <n v="49.0"/>
        <n v="197.0"/>
        <n v="130.0"/>
        <n v="123.0"/>
        <n v="117.0"/>
        <n v="20.0"/>
        <n v="79.0"/>
        <n v="27.0"/>
        <n v="10.0"/>
        <n v="25.0"/>
        <n v="56.0"/>
        <n v="24.0"/>
        <n v="7.0"/>
        <n v="73.0"/>
        <n v="217.0"/>
        <n v="174.0"/>
        <n v="221.0"/>
        <n v="147.0"/>
        <n v="101.0"/>
        <n v="37.0"/>
        <n v="35.0"/>
        <n v="36.0"/>
        <n v="28.0"/>
        <n v="18.0"/>
        <n v="31.0"/>
        <n v="38.0"/>
        <n v="173.0"/>
        <n v="244.0"/>
        <n v="189.0"/>
        <n v="94.0"/>
        <n v="55.0"/>
        <n v="100.0"/>
        <n v="121.0"/>
        <n v="69.0"/>
        <n v="339.0"/>
        <n v="97.0"/>
        <n v="378.0"/>
        <n v="154.0"/>
        <n v="44.0"/>
        <n v="53.0"/>
        <n v="46.0"/>
        <n v="21.0"/>
        <n v="1.0"/>
        <n v="66.0"/>
        <n v="114.0"/>
        <n v="227.0"/>
        <n v="171.0"/>
        <n v="60.0"/>
        <n v="41.0"/>
        <n v="86.0"/>
        <n v="87.0"/>
        <n v="76.0"/>
        <n v="145.0"/>
        <n v="199.0"/>
        <n v="280.0"/>
        <n v="105.0"/>
        <n v="42.0"/>
        <n v="67.0"/>
        <n v="288.0"/>
        <n v="369.0"/>
        <n v="84.0"/>
        <n v="112.0"/>
        <n v="102.0"/>
        <n v="113.0"/>
        <n v="57.0"/>
        <n v="40.0"/>
        <n v="104.0"/>
        <n v="386.0"/>
        <n v="319.0"/>
        <n v="152.0"/>
        <n v="116.0"/>
        <n v="85.0"/>
        <n v="88.0"/>
        <n v="65.0"/>
        <n v="48.0"/>
        <n v="59.0"/>
        <n v="54.0"/>
        <n v="45.0"/>
        <n v="296.0"/>
        <n v="239.0"/>
        <n v="180.0"/>
        <n v="170.0"/>
        <n v="91.0"/>
        <n v="63.0"/>
        <n v="381.0"/>
        <n v="253.0"/>
        <n v="166.0"/>
        <n v="78.0"/>
      </sharedItems>
    </cacheField>
    <cacheField name="Session Percentage - Total" numFmtId="10">
      <sharedItems containsSemiMixedTypes="0" containsString="0" containsNumber="1">
        <n v="0.1213"/>
        <n v="0.0978"/>
        <n v="0.0997"/>
        <n v="0.0594"/>
        <n v="0.0734"/>
        <n v="0.1001"/>
        <n v="0.0174"/>
        <n v="0.0565"/>
        <n v="0.0717"/>
        <n v="0.006"/>
        <n v="0.0064"/>
        <n v="0.0207"/>
        <n v="0.0251"/>
        <n v="0.0145"/>
        <n v="0.0055"/>
        <n v="0.0296"/>
        <n v="0.0527"/>
        <n v="0.028"/>
        <n v="0.0414"/>
        <n v="0.0506"/>
        <n v="0.0168"/>
        <n v="0.0038"/>
        <n v="0.0017"/>
        <n v="0.1135"/>
        <n v="0.0696"/>
        <n v="0.0953"/>
        <n v="0.0715"/>
        <n v="0.0521"/>
        <n v="0.0643"/>
        <n v="0.036"/>
        <n v="0.0385"/>
        <n v="0.0459"/>
        <n v="0.0752"/>
        <n v="0.0422"/>
        <n v="0.0518"/>
        <n v="0.0053"/>
        <n v="0.0287"/>
        <n v="0.0574"/>
        <n v="0.0048"/>
        <n v="0.0128"/>
        <n v="0.0049"/>
        <n v="0.0025"/>
        <n v="0.0044"/>
        <n v="0.0211"/>
        <n v="8.0E-4"/>
        <n v="0.0161"/>
        <n v="0.0014"/>
        <n v="0.0036"/>
        <n v="0.0163"/>
        <n v="0.0041"/>
        <n v="0.162"/>
        <n v="0.0526"/>
        <n v="0.0112"/>
        <n v="0.0677"/>
        <n v="0.1009"/>
        <n v="0.0707"/>
        <n v="0.0985"/>
        <n v="0.0745"/>
        <n v="0.0314"/>
        <n v="0.0609"/>
        <n v="0.0297"/>
        <n v="0.0214"/>
        <n v="0.0075"/>
        <n v="0.0265"/>
        <n v="0.0117"/>
        <n v="0.0131"/>
        <n v="0.039"/>
        <n v="0.0077"/>
        <n v="0.0067"/>
        <n v="0.0021"/>
        <n v="0.0227"/>
        <n v="0.0171"/>
        <n v="0.0058"/>
        <n v="0.0253"/>
        <n v="0.0074"/>
        <n v="0.1617"/>
        <n v="0.0888"/>
        <n v="0.015"/>
        <n v="0.0908"/>
        <n v="0.0786"/>
        <n v="0.0237"/>
        <n v="0.0927"/>
        <n v="0.0087"/>
        <n v="0.0076"/>
        <n v="0.0614"/>
        <n v="0.0359"/>
        <n v="0.0166"/>
        <n v="0.0501"/>
        <n v="0.0082"/>
        <n v="0.016"/>
        <n v="0.0411"/>
        <n v="0.0146"/>
        <n v="0.032"/>
        <n v="0.0137"/>
        <n v="0.0065"/>
        <n v="0.002"/>
        <n v="0.0052"/>
        <n v="0.0022"/>
        <n v="0.0029"/>
        <n v="0.0097"/>
        <n v="0.0033"/>
        <n v="0.0042"/>
        <n v="0.0023"/>
        <n v="0.0278"/>
        <n v="0.139"/>
        <n v="0.0843"/>
        <n v="0.1315"/>
        <n v="0.0921"/>
        <n v="0.0604"/>
        <n v="0.0458"/>
        <n v="0.0032"/>
        <n v="0.0221"/>
        <n v="0.0262"/>
        <n v="0.0118"/>
        <n v="0.0367"/>
        <n v="0.0191"/>
        <n v="0.0109"/>
        <n v="0.0051"/>
        <n v="0.0256"/>
        <n v="0.0035"/>
        <n v="0.0194"/>
        <n v="0.0026"/>
        <n v="0.0083"/>
        <n v="0.0056"/>
        <n v="0.0119"/>
        <n v="0.0047"/>
        <n v="0.0046"/>
        <n v="0.004"/>
        <n v="0.0232"/>
        <n v="0.003"/>
        <n v="0.0086"/>
        <n v="0.005"/>
        <n v="0.0059"/>
        <n v="0.0011"/>
        <n v="0.0027"/>
        <n v="0.0034"/>
        <n v="0.0031"/>
        <n v="0.0045"/>
        <n v="0.0079"/>
        <n v="0.0283"/>
        <n v="0.1476"/>
        <n v="0.1254"/>
        <n v="0.0542"/>
        <n v="0.0226"/>
        <n v="0.0536"/>
        <n v="0.02"/>
        <n v="0.0446"/>
        <n v="0.0384"/>
        <n v="0.0024"/>
        <n v="0.0372"/>
        <n v="0.027"/>
        <n v="0.0162"/>
        <n v="0.0113"/>
        <n v="0.0015"/>
        <n v="0.0216"/>
        <n v="0.013"/>
        <n v="0.0081"/>
        <n v="0.0108"/>
        <n v="0.011"/>
        <n v="0.0028"/>
        <n v="0.0019"/>
        <n v="0.0142"/>
        <n v="0.0085"/>
        <n v="0.0013"/>
        <n v="0.0094"/>
        <n v="0.1525"/>
        <n v="0.0228"/>
        <n v="0.1484"/>
        <n v="0.04"/>
        <n v="0.017"/>
        <n v="0.0466"/>
        <n v="0.029"/>
        <n v="0.0105"/>
        <n v="0.0427"/>
        <n v="0.0172"/>
        <n v="0.0136"/>
        <n v="0.0084"/>
        <n v="0.0091"/>
        <n v="0.0095"/>
        <n v="0.0101"/>
        <n v="0.0054"/>
        <n v="0.0099"/>
        <n v="0.0069"/>
        <n v="0.0016"/>
        <n v="0.0126"/>
        <n v="0.0106"/>
        <n v="0.0156"/>
        <n v="0.0061"/>
        <n v="0.0037"/>
        <n v="0.0104"/>
        <n v="0.001"/>
        <n v="4.0E-4"/>
        <n v="6.0E-4"/>
        <n v="0.0018"/>
        <n v="0.0218"/>
        <n v="0.0063"/>
        <n v="0.0158"/>
        <n v="0.0"/>
        <n v="0.0957"/>
        <n v="0.1223"/>
        <n v="0.0882"/>
        <n v="0.0381"/>
        <n v="0.054"/>
        <n v="0.0351"/>
        <n v="0.0294"/>
        <n v="0.0282"/>
        <n v="0.0167"/>
        <n v="0.0152"/>
        <n v="0.0189"/>
        <n v="0.014"/>
        <n v="0.0057"/>
        <n v="7.0E-4"/>
        <n v="0.0143"/>
        <n v="0.0537"/>
        <n v="0.0103"/>
        <n v="0.0154"/>
        <n v="0.01"/>
        <n v="0.022"/>
        <n v="2.0E-4"/>
        <n v="0.0072"/>
        <n v="0.0124"/>
        <n v="1.0E-4"/>
        <n v="0.0412"/>
        <n v="0.0877"/>
        <n v="0.1313"/>
        <n v="0.0413"/>
        <n v="0.0062"/>
        <n v="0.0405"/>
        <n v="0.0273"/>
        <n v="0.0241"/>
        <n v="0.0866"/>
        <n v="0.0345"/>
        <n v="0.0327"/>
        <n v="0.0139"/>
        <n v="0.0039"/>
        <n v="0.0276"/>
        <n v="0.019"/>
        <n v="0.012"/>
        <n v="0.0192"/>
        <n v="0.0088"/>
        <n v="3.0E-4"/>
        <n v="0.0116"/>
        <n v="9.0E-4"/>
        <n v="5.0E-4"/>
        <n v="0.0318"/>
        <n v="0.1117"/>
        <n v="0.1492"/>
        <n v="0.0453"/>
        <n v="0.0217"/>
        <n v="0.0178"/>
        <n v="0.0121"/>
        <n v="0.033"/>
        <n v="0.031"/>
        <n v="0.0133"/>
        <n v="0.0449"/>
        <n v="0.0267"/>
        <n v="0.0402"/>
        <n v="0.0288"/>
        <n v="0.0263"/>
        <n v="0.0093"/>
        <n v="0.0201"/>
        <n v="0.008"/>
        <n v="0.0068"/>
        <n v="0.009"/>
        <n v="0.0073"/>
        <n v="0.0066"/>
        <n v="0.0153"/>
        <n v="0.0134"/>
        <n v="0.1368"/>
        <n v="0.1131"/>
        <n v="0.0286"/>
        <n v="0.0355"/>
        <n v="0.0268"/>
        <n v="0.0335"/>
        <n v="0.0246"/>
        <n v="0.0223"/>
        <n v="0.0365"/>
        <n v="0.0209"/>
        <n v="0.0307"/>
        <n v="0.0078"/>
        <n v="0.0123"/>
        <n v="0.0219"/>
        <n v="0.0149"/>
        <n v="0.0465"/>
        <n v="0.1271"/>
        <n v="0.121"/>
        <n v="0.0425"/>
        <n v="0.0324"/>
        <n v="0.0346"/>
        <n v="0.0334"/>
        <n v="0.0264"/>
        <n v="0.0132"/>
        <n v="0.0522"/>
        <n v="0.0243"/>
        <n v="0.026"/>
        <n v="0.0277"/>
        <n v="0.0092"/>
        <n v="0.0164"/>
        <n v="0.0071"/>
        <n v="0.0012"/>
        <n v="0.1433"/>
        <n v="0.0766"/>
        <n v="0.0909"/>
        <n v="0.1038"/>
        <n v="0.0403"/>
        <n v="0.0338"/>
        <n v="0.0114"/>
        <n v="0.0233"/>
        <n v="0.0312"/>
        <n v="0.024"/>
        <n v="0.0213"/>
      </sharedItems>
    </cacheField>
    <cacheField name="Session Percentage – Total – B2B" numFmtId="10">
      <sharedItems containsSemiMixedTypes="0" containsString="0" containsNumber="1">
        <n v="0.1215"/>
        <n v="0.1225"/>
        <n v="0.1105"/>
        <n v="0.0691"/>
        <n v="0.082"/>
        <n v="0.1169"/>
        <n v="0.0203"/>
        <n v="0.0589"/>
        <n v="0.0571"/>
        <n v="0.012"/>
        <n v="0.0138"/>
        <n v="0.0157"/>
        <n v="0.0129"/>
        <n v="0.0147"/>
        <n v="0.0055"/>
        <n v="0.0276"/>
        <n v="0.0396"/>
        <n v="0.0239"/>
        <n v="0.0313"/>
        <n v="0.011"/>
        <n v="0.0046"/>
        <n v="0.0931"/>
        <n v="0.0721"/>
        <n v="0.1016"/>
        <n v="0.0957"/>
        <n v="0.0459"/>
        <n v="0.0675"/>
        <n v="0.0334"/>
        <n v="0.0446"/>
        <n v="0.042"/>
        <n v="0.04"/>
        <n v="0.0033"/>
        <n v="0.0282"/>
        <n v="0.059"/>
        <n v="0.0466"/>
        <n v="0.0052"/>
        <n v="0.0079"/>
        <n v="0.0092"/>
        <n v="0.0059"/>
        <n v="0.0039"/>
        <n v="0.0026"/>
        <n v="0.021"/>
        <n v="0.0013"/>
        <n v="0.0151"/>
        <n v="0.019"/>
        <n v="0.0"/>
        <n v="0.1563"/>
        <n v="0.0552"/>
        <n v="0.0086"/>
        <n v="0.0747"/>
        <n v="0.0762"/>
        <n v="0.0723"/>
        <n v="0.105"/>
        <n v="0.063"/>
        <n v="0.056"/>
        <n v="0.0365"/>
        <n v="0.0132"/>
        <n v="0.0093"/>
        <n v="0.0303"/>
        <n v="0.0148"/>
        <n v="0.0389"/>
        <n v="0.0202"/>
        <n v="0.007"/>
        <n v="0.0023"/>
        <n v="0.0257"/>
        <n v="0.0179"/>
        <n v="0.0381"/>
        <n v="0.0117"/>
        <n v="0.0031"/>
        <n v="0.1335"/>
        <n v="0.0176"/>
        <n v="0.0881"/>
        <n v="0.0833"/>
        <n v="0.0332"/>
        <n v="0.0793"/>
        <n v="0.0136"/>
        <n v="0.0745"/>
        <n v="0.0535"/>
        <n v="0.0461"/>
        <n v="0.0183"/>
        <n v="0.0488"/>
        <n v="0.0088"/>
        <n v="0.0068"/>
        <n v="0.0169"/>
        <n v="0.0379"/>
        <n v="0.0413"/>
        <n v="0.0163"/>
        <n v="0.0108"/>
        <n v="0.0041"/>
        <n v="0.0054"/>
        <n v="0.002"/>
        <n v="0.0034"/>
        <n v="0.0115"/>
        <n v="0.0047"/>
        <n v="0.0373"/>
        <n v="0.1108"/>
        <n v="0.0888"/>
        <n v="0.1128"/>
        <n v="0.075"/>
        <n v="0.0526"/>
        <n v="0.0516"/>
        <n v="0.0097"/>
        <n v="0.0189"/>
        <n v="0.0219"/>
        <n v="0.0112"/>
        <n v="0.0362"/>
        <n v="0.0102"/>
        <n v="0.0061"/>
        <n v="0.0184"/>
        <n v="0.0051"/>
        <n v="0.0143"/>
        <n v="0.0082"/>
        <n v="0.0128"/>
        <n v="0.0056"/>
        <n v="0.0066"/>
        <n v="0.0286"/>
        <n v="0.0015"/>
        <n v="0.0036"/>
        <n v="0.0158"/>
        <n v="0.001"/>
        <n v="0.0194"/>
        <n v="0.0374"/>
        <n v="0.0887"/>
        <n v="0.1251"/>
        <n v="0.0969"/>
        <n v="0.0482"/>
        <n v="0.0513"/>
        <n v="0.0159"/>
        <n v="0.0621"/>
        <n v="0.0354"/>
        <n v="0.0241"/>
        <n v="0.0195"/>
        <n v="0.0123"/>
        <n v="0.0144"/>
        <n v="0.0328"/>
        <n v="0.0087"/>
        <n v="0.0118"/>
        <n v="0.0113"/>
        <n v="0.0103"/>
        <n v="0.0021"/>
        <n v="0.1198"/>
        <n v="0.0343"/>
        <n v="0.0502"/>
        <n v="0.1336"/>
        <n v="0.0544"/>
        <n v="0.0155"/>
        <n v="0.0279"/>
        <n v="0.0134"/>
        <n v="0.0064"/>
        <n v="0.0435"/>
        <n v="0.0173"/>
        <n v="0.0254"/>
        <n v="0.0071"/>
        <n v="0.0095"/>
        <n v="0.0085"/>
        <n v="0.0057"/>
        <n v="0.0078"/>
        <n v="0.0081"/>
        <n v="7.0E-4"/>
        <n v="0.0187"/>
        <n v="0.0106"/>
        <n v="0.0018"/>
        <n v="0.0053"/>
        <n v="0.0067"/>
        <n v="0.0028"/>
        <n v="0.0152"/>
        <n v="0.0049"/>
        <n v="0.0099"/>
        <n v="0.0124"/>
        <n v="0.0074"/>
        <n v="4.0E-4"/>
        <n v="0.0011"/>
        <n v="0.0035"/>
        <n v="0.0233"/>
        <n v="0.0025"/>
        <n v="0.0014"/>
        <n v="0.0032"/>
        <n v="0.006"/>
        <n v="0.0574"/>
        <n v="0.0664"/>
        <n v="0.1142"/>
        <n v="0.0861"/>
        <n v="0.0302"/>
        <n v="0.0206"/>
        <n v="0.0433"/>
        <n v="0.0438"/>
        <n v="0.0342"/>
        <n v="0.0216"/>
        <n v="0.0146"/>
        <n v="0.0186"/>
        <n v="0.0126"/>
        <n v="0.0196"/>
        <n v="0.0101"/>
        <n v="0.0075"/>
        <n v="0.0065"/>
        <n v="0.0382"/>
        <n v="0.0116"/>
        <n v="0.0111"/>
        <n v="0.0131"/>
        <n v="0.004"/>
        <n v="0.0096"/>
        <n v="0.0045"/>
        <n v="0.005"/>
        <n v="0.003"/>
        <n v="0.0091"/>
        <n v="0.0654"/>
        <n v="0.0897"/>
        <n v="0.1262"/>
        <n v="0.0473"/>
        <n v="0.0298"/>
        <n v="0.0275"/>
        <n v="0.0225"/>
        <n v="0.0311"/>
        <n v="0.0852"/>
        <n v="0.0356"/>
        <n v="0.0149"/>
        <n v="0.0077"/>
        <n v="0.0198"/>
        <n v="0.0207"/>
        <n v="0.0171"/>
        <n v="0.009"/>
        <n v="0.0072"/>
        <n v="5.0E-4"/>
        <n v="0.0027"/>
        <n v="9.0E-4"/>
        <n v="0.1003"/>
        <n v="0.1285"/>
        <n v="0.0293"/>
        <n v="0.015"/>
        <n v="0.046"/>
        <n v="0.0178"/>
        <n v="0.0185"/>
        <n v="0.0122"/>
        <n v="0.039"/>
        <n v="0.0355"/>
        <n v="0.0408"/>
        <n v="0.0352"/>
        <n v="0.0394"/>
        <n v="0.0244"/>
        <n v="0.0042"/>
        <n v="0.0073"/>
        <n v="0.0199"/>
        <n v="0.0094"/>
        <n v="0.0024"/>
        <n v="0.0063"/>
        <n v="0.0139"/>
        <n v="3.0E-4"/>
        <n v="0.0017"/>
        <n v="0.0084"/>
        <n v="0.0098"/>
        <n v="0.0317"/>
        <n v="0.1176"/>
        <n v="0.0972"/>
        <n v="0.0442"/>
        <n v="0.0344"/>
        <n v="0.0448"/>
        <n v="0.0463"/>
        <n v="0.0353"/>
        <n v="0.0265"/>
        <n v="0.0259"/>
        <n v="0.0161"/>
        <n v="0.0268"/>
        <n v="0.0058"/>
        <n v="0.0076"/>
        <n v="0.018"/>
        <n v="0.0165"/>
        <n v="0.0137"/>
        <n v="0.0201"/>
        <n v="0.0043"/>
        <n v="0.0012"/>
        <n v="0.0037"/>
        <n v="6.0E-4"/>
        <n v="0.0537"/>
        <n v="0.0119"/>
        <n v="0.093"/>
        <n v="0.0751"/>
        <n v="0.0566"/>
        <n v="0.0456"/>
        <n v="0.0534"/>
        <n v="0.0346"/>
        <n v="0.0236"/>
        <n v="0.0387"/>
        <n v="0.016"/>
        <n v="0.0217"/>
        <n v="0.022"/>
        <n v="0.0145"/>
        <n v="0.0069"/>
        <n v="0.0044"/>
        <n v="0.0038"/>
        <n v="0.0022"/>
        <n v="0.0019"/>
        <n v="0.0016"/>
        <n v="0.1471"/>
        <n v="0.0977"/>
        <n v="0.0641"/>
        <n v="0.0853"/>
        <n v="0.0587"/>
        <n v="0.0212"/>
        <n v="0.0089"/>
        <n v="0.0228"/>
        <n v="0.0371"/>
        <n v="0.0301"/>
        <n v="0.0166"/>
        <n v="0.0174"/>
        <n v="0.0062"/>
        <n v="8.0E-4"/>
      </sharedItems>
    </cacheField>
    <cacheField name="Page Views - Total" numFmtId="3">
      <sharedItems containsSemiMixedTypes="0" containsString="0" containsNumber="1" containsInteger="1">
        <n v="3903.0"/>
        <n v="3305.0"/>
        <n v="3227.0"/>
        <n v="1968.0"/>
        <n v="2415.0"/>
        <n v="3343.0"/>
        <n v="552.0"/>
        <n v="1813.0"/>
        <n v="2288.0"/>
        <n v="199.0"/>
        <n v="224.0"/>
        <n v="675.0"/>
        <n v="800.0"/>
        <n v="471.0"/>
        <n v="196.0"/>
        <n v="874.0"/>
        <n v="1534.0"/>
        <n v="867.0"/>
        <n v="1248.0"/>
        <n v="1487.0"/>
        <n v="537.0"/>
        <n v="136.0"/>
        <n v="66.0"/>
        <n v="5325.0"/>
        <n v="3238.0"/>
        <n v="4410.0"/>
        <n v="3459.0"/>
        <n v="2327.0"/>
        <n v="2907.0"/>
        <n v="1830.0"/>
        <n v="1863.0"/>
        <n v="2135.0"/>
        <n v="3588.0"/>
        <n v="1999.0"/>
        <n v="2460.0"/>
        <n v="244.0"/>
        <n v="1365.0"/>
        <n v="2528.0"/>
        <n v="2012.0"/>
        <n v="216.0"/>
        <n v="583.0"/>
        <n v="236.0"/>
        <n v="118.0"/>
        <n v="188.0"/>
        <n v="876.0"/>
        <n v="43.0"/>
        <n v="748.0"/>
        <n v="62.0"/>
        <n v="160.0"/>
        <n v="739.0"/>
        <n v="183.0"/>
        <n v="30.0"/>
        <n v="6096.0"/>
        <n v="1969.0"/>
        <n v="468.0"/>
        <n v="3966.0"/>
        <n v="2609.0"/>
        <n v="3687.0"/>
        <n v="2643.0"/>
        <n v="1200.0"/>
        <n v="2148.0"/>
        <n v="1181.0"/>
        <n v="805.0"/>
        <n v="597.0"/>
        <n v="261.0"/>
        <n v="934.0"/>
        <n v="426.0"/>
        <n v="483.0"/>
        <n v="1463.0"/>
        <n v="291.0"/>
        <n v="283.0"/>
        <n v="249.0"/>
        <n v="72.0"/>
        <n v="787.0"/>
        <n v="589.0"/>
        <n v="853.0"/>
        <n v="246.0"/>
        <n v="79.0"/>
        <n v="7060.0"/>
        <n v="4291.0"/>
        <n v="706.0"/>
        <n v="3986.0"/>
        <n v="3537.0"/>
        <n v="1084.0"/>
        <n v="4026.0"/>
        <n v="424.0"/>
        <n v="333.0"/>
        <n v="2498.0"/>
        <n v="2696.0"/>
        <n v="1621.0"/>
        <n v="735.0"/>
        <n v="2291.0"/>
        <n v="325.0"/>
        <n v="230.0"/>
        <n v="622.0"/>
        <n v="1646.0"/>
        <n v="615.0"/>
        <n v="1330.0"/>
        <n v="300.0"/>
        <n v="564.0"/>
        <n v="147.0"/>
        <n v="266.0"/>
        <n v="287.0"/>
        <n v="87.0"/>
        <n v="214.0"/>
        <n v="225.0"/>
        <n v="530.0"/>
        <n v="84.0"/>
        <n v="128.0"/>
        <n v="154.0"/>
        <n v="385.0"/>
        <n v="144.0"/>
        <n v="164.0"/>
        <n v="86.0"/>
        <n v="1768.0"/>
        <n v="8235.0"/>
        <n v="5169.0"/>
        <n v="8097.0"/>
        <n v="6419.0"/>
        <n v="3539.0"/>
        <n v="2634.0"/>
        <n v="212.0"/>
        <n v="1028.0"/>
        <n v="1301.0"/>
        <n v="1647.0"/>
        <n v="699.0"/>
        <n v="2254.0"/>
        <n v="1161.0"/>
        <n v="693.0"/>
        <n v="328.0"/>
        <n v="1551.0"/>
        <n v="217.0"/>
        <n v="1194.0"/>
        <n v="481.0"/>
        <n v="352.0"/>
        <n v="764.0"/>
        <n v="271.0"/>
        <n v="462.0"/>
        <n v="285.0"/>
        <n v="234.0"/>
        <n v="1294.0"/>
        <n v="181.0"/>
        <n v="532.0"/>
        <n v="139.0"/>
        <n v="499.0"/>
        <n v="274.0"/>
        <n v="371.0"/>
        <n v="192.0"/>
        <n v="292.0"/>
        <n v="112.0"/>
        <n v="90.0"/>
        <n v="109.0"/>
        <n v="93.0"/>
        <n v="53.0"/>
        <n v="190.0"/>
        <n v="167.0"/>
        <n v="189.0"/>
        <n v="389.0"/>
        <n v="174.0"/>
        <n v="238.0"/>
        <n v="187.0"/>
        <n v="273.0"/>
        <n v="168.0"/>
        <n v="263.0"/>
        <n v="510.0"/>
        <n v="125.0"/>
        <n v="1949.0"/>
        <n v="7111.0"/>
        <n v="10125.0"/>
        <n v="8237.0"/>
        <n v="3567.0"/>
        <n v="1413.0"/>
        <n v="3388.0"/>
        <n v="1369.0"/>
        <n v="3132.0"/>
        <n v="2303.0"/>
        <n v="153.0"/>
        <n v="690.0"/>
        <n v="601.0"/>
        <n v="2398.0"/>
        <n v="1691.0"/>
        <n v="1048.0"/>
        <n v="762.0"/>
        <n v="1055.0"/>
        <n v="104.0"/>
        <n v="1373.0"/>
        <n v="842.0"/>
        <n v="722.0"/>
        <n v="210.0"/>
        <n v="555.0"/>
        <n v="526.0"/>
        <n v="317.0"/>
        <n v="209.0"/>
        <n v="698.0"/>
        <n v="177.0"/>
        <n v="557.0"/>
        <n v="738.0"/>
        <n v="191.0"/>
        <n v="117.0"/>
        <n v="889.0"/>
        <n v="520.0"/>
        <n v="372.0"/>
        <n v="76.0"/>
        <n v="169.0"/>
        <n v="286.0"/>
        <n v="607.0"/>
        <n v="423.0"/>
        <n v="114.0"/>
        <n v="347.0"/>
        <n v="145.0"/>
        <n v="89.0"/>
        <n v="242.0"/>
        <n v="17570.0"/>
        <n v="8060.0"/>
        <n v="16296.0"/>
        <n v="4118.0"/>
        <n v="2029.0"/>
        <n v="5043.0"/>
        <n v="3368.0"/>
        <n v="1726.0"/>
        <n v="369.0"/>
        <n v="1083.0"/>
        <n v="4082.0"/>
        <n v="1922.0"/>
        <n v="2167.0"/>
        <n v="884.0"/>
        <n v="1003.0"/>
        <n v="1094.0"/>
        <n v="998.0"/>
        <n v="619.0"/>
        <n v="1012.0"/>
        <n v="733.0"/>
        <n v="166.0"/>
        <n v="1817.0"/>
        <n v="1525.0"/>
        <n v="1240.0"/>
        <n v="1756.0"/>
        <n v="941.0"/>
        <n v="654.0"/>
        <n v="475.0"/>
        <n v="550.0"/>
        <n v="822.0"/>
        <n v="408.0"/>
        <n v="419.0"/>
        <n v="1701.0"/>
        <n v="405.0"/>
        <n v="711.0"/>
        <n v="1040.0"/>
        <n v="965.0"/>
        <n v="141.0"/>
        <n v="80.0"/>
        <n v="42.0"/>
        <n v="59.0"/>
        <n v="162.0"/>
        <n v="2468.0"/>
        <n v="721.0"/>
        <n v="102.0"/>
        <n v="645.0"/>
        <n v="650.0"/>
        <n v="1025.0"/>
        <n v="350.0"/>
        <n v="1638.0"/>
        <n v="366.0"/>
        <n v="593.0"/>
        <n v="560.0"/>
        <n v="198.0"/>
        <n v="237.0"/>
        <n v="205.0"/>
        <n v="92.0"/>
        <n v="1.0"/>
        <n v="888.0"/>
        <n v="415.0"/>
        <n v="811.0"/>
        <n v="1022.0"/>
        <n v="146.0"/>
        <n v="282.0"/>
        <n v="3265.0"/>
        <n v="7763.0"/>
        <n v="10009.0"/>
        <n v="7201.0"/>
        <n v="2841.0"/>
        <n v="1828.0"/>
        <n v="3931.0"/>
        <n v="2767.0"/>
        <n v="2346.0"/>
        <n v="2487.0"/>
        <n v="1346.0"/>
        <n v="1272.0"/>
        <n v="1387.0"/>
        <n v="1546.0"/>
        <n v="1354.0"/>
        <n v="486.0"/>
        <n v="1059.0"/>
        <n v="392.0"/>
        <n v="406.0"/>
        <n v="503.0"/>
        <n v="605.0"/>
        <n v="4085.0"/>
        <n v="899.0"/>
        <n v="1226.0"/>
        <n v="294.0"/>
        <n v="420.0"/>
        <n v="194.0"/>
        <n v="808.0"/>
        <n v="877.0"/>
        <n v="390.0"/>
        <n v="1146.0"/>
        <n v="1775.0"/>
        <n v="337.0"/>
        <n v="498.0"/>
        <n v="299.0"/>
        <n v="445.0"/>
        <n v="364.0"/>
        <n v="641.0"/>
        <n v="245.0"/>
        <n v="142.0"/>
        <n v="101.0"/>
        <n v="228.0"/>
        <n v="193.0"/>
        <n v="265.0"/>
        <n v="27.0"/>
        <n v="113.0"/>
        <n v="439.0"/>
        <n v="568.0"/>
        <n v="563.0"/>
        <n v="958.0"/>
        <n v="494.0"/>
        <n v="477.0"/>
        <n v="270.0"/>
        <n v="357.0"/>
        <n v="407.0"/>
        <n v="105.0"/>
        <n v="438.0"/>
        <n v="8.0"/>
        <n v="4.0"/>
        <n v="41.0"/>
        <n v="6.0"/>
        <n v="108.0"/>
        <n v="247.0"/>
        <n v="859.0"/>
        <n v="789.0"/>
        <n v="276.0"/>
        <n v="2.0"/>
        <n v="3978.0"/>
        <n v="8065.0"/>
        <n v="12312.0"/>
        <n v="3533.0"/>
        <n v="2566.0"/>
        <n v="691.0"/>
        <n v="3412.0"/>
        <n v="2141.0"/>
        <n v="2197.0"/>
        <n v="7723.0"/>
        <n v="3004.0"/>
        <n v="747.0"/>
        <n v="2866.0"/>
        <n v="1239.0"/>
        <n v="450.0"/>
        <n v="2481.0"/>
        <n v="1710.0"/>
        <n v="2435.0"/>
        <n v="278.0"/>
        <n v="1187.0"/>
        <n v="639.0"/>
        <n v="784.0"/>
        <n v="959.0"/>
        <n v="367.0"/>
        <n v="441.0"/>
        <n v="588.0"/>
        <n v="1037.0"/>
        <n v="1002.0"/>
        <n v="570.0"/>
        <n v="549.0"/>
        <n v="728.0"/>
        <n v="661.0"/>
        <n v="243.0"/>
        <n v="505.0"/>
        <n v="165.0"/>
        <n v="517.0"/>
        <n v="110.0"/>
        <n v="275.0"/>
        <n v="269.0"/>
        <n v="315.0"/>
        <n v="908.0"/>
        <n v="103.0"/>
        <n v="50.0"/>
        <n v="48.0"/>
        <n v="497.0"/>
        <n v="990.0"/>
        <n v="229.0"/>
        <n v="127.0"/>
        <n v="19.0"/>
        <n v="431.0"/>
        <n v="378.0"/>
        <n v="15.0"/>
        <n v="20.0"/>
        <n v="143.0"/>
        <n v="259.0"/>
        <n v="235.0"/>
        <n v="427.0"/>
        <n v="267.0"/>
        <n v="318.0"/>
        <n v="111.0"/>
        <n v="26.0"/>
        <n v="24.0"/>
        <n v="35.0"/>
        <n v="29.0"/>
        <n v="10.0"/>
        <n v="52.0"/>
        <n v="3394.0"/>
        <n v="10395.0"/>
        <n v="14306.0"/>
        <n v="3230.0"/>
        <n v="1179.0"/>
        <n v="4131.0"/>
        <n v="2030.0"/>
        <n v="1216.0"/>
        <n v="1759.0"/>
        <n v="1223.0"/>
        <n v="2998.0"/>
        <n v="2932.0"/>
        <n v="1378.0"/>
        <n v="4247.0"/>
        <n v="2537.0"/>
        <n v="3476.0"/>
        <n v="2686.0"/>
        <n v="921.0"/>
        <n v="433.0"/>
        <n v="816.0"/>
        <n v="1455.0"/>
        <n v="1812.0"/>
        <n v="700.0"/>
        <n v="444.0"/>
        <n v="638.0"/>
        <n v="890.0"/>
        <n v="456.0"/>
        <n v="586.0"/>
        <n v="342.0"/>
        <n v="820.0"/>
        <n v="562.0"/>
        <n v="492.0"/>
        <n v="660.0"/>
        <n v="730.0"/>
        <n v="1347.0"/>
        <n v="435.0"/>
        <n v="51.0"/>
        <n v="213.0"/>
        <n v="277.0"/>
        <n v="288.0"/>
        <n v="394.0"/>
        <n v="592.0"/>
        <n v="309.0"/>
        <n v="608.0"/>
        <n v="724.0"/>
        <n v="1273.0"/>
        <n v="3.0"/>
        <n v="22.0"/>
        <n v="32.0"/>
        <n v="28.0"/>
        <n v="54.0"/>
        <n v="116.0"/>
        <n v="203.0"/>
        <n v="380.0"/>
        <n v="1087.0"/>
        <n v="156.0"/>
        <n v="316.0"/>
        <n v="536.0"/>
        <n v="5.0"/>
        <n v="75.0"/>
        <n v="85.0"/>
        <n v="3952.0"/>
        <n v="17340.0"/>
        <n v="14205.0"/>
        <n v="3909.0"/>
        <n v="2114.0"/>
        <n v="4606.0"/>
        <n v="4404.0"/>
        <n v="783.0"/>
        <n v="3253.0"/>
        <n v="4024.0"/>
        <n v="4046.0"/>
        <n v="3088.0"/>
        <n v="2796.0"/>
        <n v="2853.0"/>
        <n v="1989.0"/>
        <n v="1909.0"/>
        <n v="5801.0"/>
        <n v="2672.0"/>
        <n v="4034.0"/>
        <n v="1870.0"/>
        <n v="1118.0"/>
        <n v="1044.0"/>
        <n v="1047.0"/>
        <n v="718.0"/>
        <n v="679.0"/>
        <n v="1789.0"/>
        <n v="1528.0"/>
        <n v="2476.0"/>
        <n v="923.0"/>
        <n v="1162.0"/>
        <n v="628.0"/>
        <n v="795.0"/>
        <n v="1805.0"/>
        <n v="827.0"/>
        <n v="880.0"/>
        <n v="813.0"/>
        <n v="746.0"/>
        <n v="1375.0"/>
        <n v="975.0"/>
        <n v="1596.0"/>
        <n v="163.0"/>
        <n v="919.0"/>
        <n v="979.0"/>
        <n v="935.0"/>
        <n v="515.0"/>
        <n v="447.0"/>
        <n v="377.0"/>
        <n v="999.0"/>
        <n v="21.0"/>
        <n v="912.0"/>
        <n v="18.0"/>
        <n v="23.0"/>
        <n v="36.0"/>
        <n v="14.0"/>
        <n v="16.0"/>
        <n v="239.0"/>
        <n v="254.0"/>
        <n v="223.0"/>
        <n v="172.0"/>
        <n v="2041.0"/>
        <n v="12.0"/>
        <n v="7.0"/>
        <n v="81.0"/>
        <n v="5120.0"/>
        <n v="1270.0"/>
        <n v="12630.0"/>
        <n v="12317.0"/>
        <n v="4204.0"/>
        <n v="3414.0"/>
        <n v="3329.0"/>
        <n v="3463.0"/>
        <n v="2489.0"/>
        <n v="2706.0"/>
        <n v="1415.0"/>
        <n v="5194.0"/>
        <n v="939.0"/>
        <n v="1362.0"/>
        <n v="1165.0"/>
        <n v="2175.0"/>
        <n v="2631.0"/>
        <n v="953.0"/>
        <n v="2865.0"/>
        <n v="881.0"/>
        <n v="1211.0"/>
        <n v="2272.0"/>
        <n v="1584.0"/>
        <n v="946.0"/>
        <n v="1579.0"/>
        <n v="704.0"/>
        <n v="644.0"/>
        <n v="732.0"/>
        <n v="258.0"/>
        <n v="1251.0"/>
        <n v="535.0"/>
        <n v="1582.0"/>
        <n v="446.0"/>
        <n v="313.0"/>
        <n v="255.0"/>
        <n v="464.0"/>
        <n v="360.0"/>
        <n v="97.0"/>
        <n v="240.0"/>
        <n v="201.0"/>
        <n v="418.0"/>
        <n v="413.0"/>
        <n v="548.0"/>
        <n v="310.0"/>
        <n v="179.0"/>
        <n v="9.0"/>
        <n v="155.0"/>
        <n v="17.0"/>
        <n v="178.0"/>
        <n v="98.0"/>
        <n v="47.0"/>
        <n v="898.0"/>
        <n v="11.0"/>
        <n v="12391.0"/>
        <n v="6083.0"/>
        <n v="7364.0"/>
        <n v="8405.0"/>
        <n v="3206.0"/>
        <n v="3090.0"/>
        <n v="1748.0"/>
        <n v="2022.0"/>
        <n v="1555.0"/>
        <n v="911.0"/>
        <n v="2106.0"/>
        <n v="1971.0"/>
        <n v="253.0"/>
        <n v="211.0"/>
        <n v="478.0"/>
        <n v="989.0"/>
        <n v="248.0"/>
        <n v="2418.0"/>
        <n v="614.0"/>
        <n v="2000.0"/>
        <n v="496.0"/>
        <n v="466.0"/>
        <n v="665.0"/>
        <n v="91.0"/>
        <n v="926.0"/>
        <n v="2365.0"/>
        <n v="2261.0"/>
        <n v="1876.0"/>
        <n v="158.0"/>
        <n v="69.0"/>
        <n v="290.0"/>
        <n v="361.0"/>
        <n v="710.0"/>
        <n v="74.0"/>
        <n v="180.0"/>
        <n v="215.0"/>
        <n v="346.0"/>
        <n v="810.0"/>
        <n v="57.0"/>
        <n v="252.0"/>
        <n v="556.0"/>
        <n v="636.0"/>
        <n v="708.0"/>
        <n v="410.0"/>
        <n v="40.0"/>
        <n v="256.0"/>
        <n v="78.0"/>
        <n v="71.0"/>
        <n v="171.0"/>
        <n v="219.0"/>
        <n v="67.0"/>
        <n v="359.0"/>
        <n v="129.0"/>
        <n v="33.0"/>
        <n v="60.0"/>
      </sharedItems>
    </cacheField>
    <cacheField name="Page Views – Total – B2B" numFmtId="0">
      <sharedItems containsSemiMixedTypes="0" containsString="0" containsNumber="1" containsInteger="1">
        <n v="186.0"/>
        <n v="176.0"/>
        <n v="168.0"/>
        <n v="96.0"/>
        <n v="118.0"/>
        <n v="179.0"/>
        <n v="36.0"/>
        <n v="76.0"/>
        <n v="100.0"/>
        <n v="15.0"/>
        <n v="20.0"/>
        <n v="18.0"/>
        <n v="17.0"/>
        <n v="7.0"/>
        <n v="40.0"/>
        <n v="52.0"/>
        <n v="38.0"/>
        <n v="46.0"/>
        <n v="33.0"/>
        <n v="13.0"/>
        <n v="6.0"/>
        <n v="5.0"/>
        <n v="220.0"/>
        <n v="154.0"/>
        <n v="217.0"/>
        <n v="277.0"/>
        <n v="97.0"/>
        <n v="139.0"/>
        <n v="78.0"/>
        <n v="102.0"/>
        <n v="91.0"/>
        <n v="200.0"/>
        <n v="88.0"/>
        <n v="149.0"/>
        <n v="103.0"/>
        <n v="9.0"/>
        <n v="19.0"/>
        <n v="12.0"/>
        <n v="11.0"/>
        <n v="8.0"/>
        <n v="39.0"/>
        <n v="2.0"/>
        <n v="34.0"/>
        <n v="10.0"/>
        <n v="45.0"/>
        <n v="0.0"/>
        <n v="313.0"/>
        <n v="92.0"/>
        <n v="23.0"/>
        <n v="145.0"/>
        <n v="121.0"/>
        <n v="202.0"/>
        <n v="130.0"/>
        <n v="67.0"/>
        <n v="86.0"/>
        <n v="69.0"/>
        <n v="53.0"/>
        <n v="14.0"/>
        <n v="4.0"/>
        <n v="50.0"/>
        <n v="30.0"/>
        <n v="71.0"/>
        <n v="268.0"/>
        <n v="144.0"/>
        <n v="35.0"/>
        <n v="173.0"/>
        <n v="172.0"/>
        <n v="83.0"/>
        <n v="170.0"/>
        <n v="160.0"/>
        <n v="129.0"/>
        <n v="93.0"/>
        <n v="105.0"/>
        <n v="26.0"/>
        <n v="64.0"/>
        <n v="24.0"/>
        <n v="27.0"/>
        <n v="3.0"/>
        <n v="115.0"/>
        <n v="288.0"/>
        <n v="252.0"/>
        <n v="303.0"/>
        <n v="278.0"/>
        <n v="146.0"/>
        <n v="134.0"/>
        <n v="25.0"/>
        <n v="55.0"/>
        <n v="112.0"/>
        <n v="43.0"/>
        <n v="32.0"/>
        <n v="51.0"/>
        <n v="16.0"/>
        <n v="29.0"/>
        <n v="22.0"/>
        <n v="41.0"/>
        <n v="110.0"/>
        <n v="250.0"/>
        <n v="373.0"/>
        <n v="263.0"/>
        <n v="133.0"/>
        <n v="79.0"/>
        <n v="59.0"/>
        <n v="189.0"/>
        <n v="98.0"/>
        <n v="31.0"/>
        <n v="28.0"/>
        <n v="539.0"/>
        <n v="143.0"/>
        <n v="219.0"/>
        <n v="572.0"/>
        <n v="258.0"/>
        <n v="75.0"/>
        <n v="222.0"/>
        <n v="142.0"/>
        <n v="65.0"/>
        <n v="57.0"/>
        <n v="181.0"/>
        <n v="62.0"/>
        <n v="37.0"/>
        <n v="138.0"/>
        <n v="81.0"/>
        <n v="84.0"/>
        <n v="44.0"/>
        <n v="66.0"/>
        <n v="1.0"/>
        <n v="21.0"/>
        <n v="169.0"/>
        <n v="185.0"/>
        <n v="326.0"/>
        <n v="230.0"/>
        <n v="56.0"/>
        <n v="109.0"/>
        <n v="107.0"/>
        <n v="47.0"/>
        <n v="42.0"/>
        <n v="89.0"/>
        <n v="198.0"/>
        <n v="366.0"/>
        <n v="137.0"/>
        <n v="60.0"/>
        <n v="61.0"/>
        <n v="262.0"/>
        <n v="48.0"/>
        <n v="63.0"/>
        <n v="122.0"/>
        <n v="411.0"/>
        <n v="483.0"/>
        <n v="120.0"/>
        <n v="178.0"/>
        <n v="77.0"/>
        <n v="158.0"/>
        <n v="80.0"/>
        <n v="156.0"/>
        <n v="148.0"/>
        <n v="95.0"/>
        <n v="72.0"/>
        <n v="58.0"/>
        <n v="49.0"/>
        <n v="136.0"/>
        <n v="511.0"/>
        <n v="410.0"/>
        <n v="227.0"/>
        <n v="99.0"/>
        <n v="206.0"/>
        <n v="201.0"/>
        <n v="155.0"/>
        <n v="211.0"/>
        <n v="127.0"/>
        <n v="123.0"/>
        <n v="94.0"/>
        <n v="54.0"/>
        <n v="90.0"/>
        <n v="228.0"/>
        <n v="391.0"/>
        <n v="289.0"/>
        <n v="267.0"/>
        <n v="207.0"/>
        <n v="232.0"/>
        <n v="165.0"/>
        <n v="70.0"/>
        <n v="132.0"/>
        <n v="531.0"/>
        <n v="308.0"/>
      </sharedItems>
    </cacheField>
    <cacheField name="Page Views Percentage - Total" numFmtId="10">
      <sharedItems containsSemiMixedTypes="0" containsString="0" containsNumber="1">
        <n v="0.1215"/>
        <n v="0.1029"/>
        <n v="0.1004"/>
        <n v="0.0613"/>
        <n v="0.0752"/>
        <n v="0.1041"/>
        <n v="0.0172"/>
        <n v="0.0564"/>
        <n v="0.0712"/>
        <n v="0.0062"/>
        <n v="0.007"/>
        <n v="0.021"/>
        <n v="0.0249"/>
        <n v="0.0147"/>
        <n v="0.0061"/>
        <n v="0.0272"/>
        <n v="0.0477"/>
        <n v="0.027"/>
        <n v="0.0388"/>
        <n v="0.0463"/>
        <n v="0.0167"/>
        <n v="0.0042"/>
        <n v="0.0021"/>
        <n v="0.1146"/>
        <n v="0.0697"/>
        <n v="0.0949"/>
        <n v="0.0744"/>
        <n v="0.0501"/>
        <n v="0.0626"/>
        <n v="0.0394"/>
        <n v="0.0401"/>
        <n v="0.0459"/>
        <n v="0.0772"/>
        <n v="0.043"/>
        <n v="0.0529"/>
        <n v="0.0053"/>
        <n v="0.0294"/>
        <n v="0.0544"/>
        <n v="0.0433"/>
        <n v="0.0046"/>
        <n v="0.0125"/>
        <n v="0.0051"/>
        <n v="0.0025"/>
        <n v="0.004"/>
        <n v="0.0189"/>
        <n v="9.0E-4"/>
        <n v="0.0161"/>
        <n v="0.0013"/>
        <n v="0.0034"/>
        <n v="0.0159"/>
        <n v="0.0039"/>
        <n v="6.0E-4"/>
        <n v="0.1648"/>
        <n v="0.0532"/>
        <n v="0.0126"/>
        <n v="0.0653"/>
        <n v="0.1072"/>
        <n v="0.0705"/>
        <n v="0.0997"/>
        <n v="0.0714"/>
        <n v="0.0324"/>
        <n v="0.0581"/>
        <n v="0.0319"/>
        <n v="0.0218"/>
        <n v="0.0071"/>
        <n v="0.0252"/>
        <n v="0.0115"/>
        <n v="0.0131"/>
        <n v="0.0395"/>
        <n v="0.0079"/>
        <n v="0.0076"/>
        <n v="0.0067"/>
        <n v="0.0019"/>
        <n v="0.0213"/>
        <n v="0.0054"/>
        <n v="0.0231"/>
        <n v="0.0066"/>
        <n v="0.1608"/>
        <n v="0.0977"/>
        <n v="0.0908"/>
        <n v="0.0806"/>
        <n v="0.0247"/>
        <n v="0.0917"/>
        <n v="0.0097"/>
        <n v="0.0569"/>
        <n v="0.0614"/>
        <n v="0.0369"/>
        <n v="0.0522"/>
        <n v="0.0074"/>
        <n v="0.0052"/>
        <n v="0.0142"/>
        <n v="0.0375"/>
        <n v="0.014"/>
        <n v="0.0303"/>
        <n v="0.0068"/>
        <n v="0.0128"/>
        <n v="0.0033"/>
        <n v="0.0065"/>
        <n v="0.002"/>
        <n v="0.0049"/>
        <n v="0.0121"/>
        <n v="0.0029"/>
        <n v="0.0035"/>
        <n v="0.0088"/>
        <n v="0.0037"/>
        <n v="0.0289"/>
        <n v="0.1346"/>
        <n v="0.0845"/>
        <n v="0.1324"/>
        <n v="0.1049"/>
        <n v="0.0579"/>
        <n v="0.0431"/>
        <n v="0.0168"/>
        <n v="0.0269"/>
        <n v="0.0114"/>
        <n v="0.0368"/>
        <n v="0.019"/>
        <n v="0.0113"/>
        <n v="0.0254"/>
        <n v="0.0195"/>
        <n v="0.0024"/>
        <n v="0.0058"/>
        <n v="0.0044"/>
        <n v="0.0041"/>
        <n v="0.0047"/>
        <n v="0.0038"/>
        <n v="0.0212"/>
        <n v="0.003"/>
        <n v="0.0087"/>
        <n v="0.0023"/>
        <n v="0.0082"/>
        <n v="0.0045"/>
        <n v="0.0043"/>
        <n v="0.0031"/>
        <n v="0.0048"/>
        <n v="0.0018"/>
        <n v="0.0015"/>
        <n v="0.0027"/>
        <n v="0.0064"/>
        <n v="0.0028"/>
        <n v="0.0083"/>
        <n v="0.0295"/>
        <n v="0.1076"/>
        <n v="0.1531"/>
        <n v="0.1246"/>
        <n v="0.0539"/>
        <n v="0.0214"/>
        <n v="0.0512"/>
        <n v="0.0207"/>
        <n v="0.0474"/>
        <n v="0.0348"/>
        <n v="0.0104"/>
        <n v="0.0091"/>
        <n v="0.0363"/>
        <n v="0.0256"/>
        <n v="0.016"/>
        <n v="0.0016"/>
        <n v="0.0208"/>
        <n v="0.0127"/>
        <n v="0.0109"/>
        <n v="0.0032"/>
        <n v="0.0084"/>
        <n v="0.0116"/>
        <n v="0.008"/>
        <n v="0.0106"/>
        <n v="0.0112"/>
        <n v="0.0134"/>
        <n v="0.0056"/>
        <n v="0.0011"/>
        <n v="0.0026"/>
        <n v="0.0092"/>
        <n v="0.0017"/>
        <n v="0.0022"/>
        <n v="0.1581"/>
        <n v="0.0216"/>
        <n v="0.0725"/>
        <n v="0.1466"/>
        <n v="0.0371"/>
        <n v="0.0183"/>
        <n v="0.0454"/>
        <n v="0.0155"/>
        <n v="0.0367"/>
        <n v="0.0173"/>
        <n v="0.009"/>
        <n v="0.0098"/>
        <n v="0.0163"/>
        <n v="0.0137"/>
        <n v="0.0158"/>
        <n v="0.0085"/>
        <n v="0.0059"/>
        <n v="0.0153"/>
        <n v="0.0036"/>
        <n v="0.0094"/>
        <n v="7.0E-4"/>
        <n v="4.0E-4"/>
        <n v="8.0E-4"/>
        <n v="5.0E-4"/>
        <n v="0.0222"/>
        <n v="0.0014"/>
        <n v="0.0063"/>
        <n v="0.005"/>
        <n v="0.0012"/>
        <n v="0.0"/>
        <n v="0.0073"/>
        <n v="0.0407"/>
        <n v="0.0967"/>
        <n v="0.0897"/>
        <n v="0.0354"/>
        <n v="0.0228"/>
        <n v="0.0489"/>
        <n v="0.0345"/>
        <n v="0.0292"/>
        <n v="0.031"/>
        <n v="0.0192"/>
        <n v="0.0169"/>
        <n v="0.001"/>
        <n v="0.0132"/>
        <n v="0.0075"/>
        <n v="0.0509"/>
        <n v="0.0101"/>
        <n v="0.0143"/>
        <n v="0.0221"/>
        <n v="0.0055"/>
        <n v="3.0E-4"/>
        <n v="0.0119"/>
        <n v="1.0E-4"/>
        <n v="0.0107"/>
        <n v="0.0442"/>
        <n v="0.1369"/>
        <n v="0.0393"/>
        <n v="0.0285"/>
        <n v="0.0077"/>
        <n v="0.0379"/>
        <n v="0.0276"/>
        <n v="0.0238"/>
        <n v="0.0244"/>
        <n v="0.0859"/>
        <n v="0.0334"/>
        <n v="0.0138"/>
        <n v="0.0271"/>
        <n v="0.0111"/>
        <n v="0.0096"/>
        <n v="0.0081"/>
        <n v="0.0057"/>
        <n v="0.011"/>
        <n v="2.0E-4"/>
        <n v="0.0365"/>
        <n v="0.1119"/>
        <n v="0.1541"/>
        <n v="0.0445"/>
        <n v="0.0219"/>
        <n v="0.0323"/>
        <n v="0.0316"/>
        <n v="0.0148"/>
        <n v="0.0457"/>
        <n v="0.0273"/>
        <n v="0.0374"/>
        <n v="0.0099"/>
        <n v="0.0265"/>
        <n v="0.0157"/>
        <n v="0.0069"/>
        <n v="0.006"/>
        <n v="0.0145"/>
        <n v="0.0078"/>
        <n v="0.0117"/>
        <n v="0.0309"/>
        <n v="0.1355"/>
        <n v="0.111"/>
        <n v="0.0306"/>
        <n v="0.0165"/>
        <n v="0.036"/>
        <n v="0.0344"/>
        <n v="0.0315"/>
        <n v="0.0241"/>
        <n v="0.0223"/>
        <n v="0.0149"/>
        <n v="0.0453"/>
        <n v="0.0209"/>
        <n v="0.0146"/>
        <n v="0.0194"/>
        <n v="0.0072"/>
        <n v="0.0141"/>
        <n v="0.0503"/>
        <n v="0.1241"/>
        <n v="0.121"/>
        <n v="0.0413"/>
        <n v="0.0335"/>
        <n v="0.0327"/>
        <n v="0.034"/>
        <n v="0.0245"/>
        <n v="0.0266"/>
        <n v="0.0139"/>
        <n v="0.051"/>
        <n v="0.01"/>
        <n v="0.0258"/>
        <n v="0.0281"/>
        <n v="0.0156"/>
        <n v="0.0093"/>
        <n v="0.0123"/>
        <n v="0.1492"/>
        <n v="0.0733"/>
        <n v="0.0887"/>
        <n v="0.1012"/>
        <n v="0.0386"/>
        <n v="0.0372"/>
        <n v="0.0211"/>
        <n v="0.0187"/>
        <n v="0.0237"/>
        <n v="0.0291"/>
        <n v="0.0226"/>
        <n v="0.0086"/>
      </sharedItems>
    </cacheField>
    <cacheField name="Page Views Percentage – Total – B2B" numFmtId="10">
      <sharedItems containsSemiMixedTypes="0" containsString="0" containsNumber="1">
        <n v="0.1272"/>
        <n v="0.1204"/>
        <n v="0.1149"/>
        <n v="0.0657"/>
        <n v="0.0807"/>
        <n v="0.1224"/>
        <n v="0.0246"/>
        <n v="0.052"/>
        <n v="0.0684"/>
        <n v="0.0103"/>
        <n v="0.0137"/>
        <n v="0.0123"/>
        <n v="0.0116"/>
        <n v="0.0048"/>
        <n v="0.0274"/>
        <n v="0.0356"/>
        <n v="0.026"/>
        <n v="0.0315"/>
        <n v="0.0226"/>
        <n v="0.0089"/>
        <n v="0.0041"/>
        <n v="0.0034"/>
        <n v="0.0939"/>
        <n v="0.0926"/>
        <n v="0.1182"/>
        <n v="0.0414"/>
        <n v="0.0593"/>
        <n v="0.0333"/>
        <n v="0.0435"/>
        <n v="0.0388"/>
        <n v="0.0854"/>
        <n v="0.0376"/>
        <n v="0.0021"/>
        <n v="0.0636"/>
        <n v="0.044"/>
        <n v="0.0038"/>
        <n v="0.0064"/>
        <n v="0.0081"/>
        <n v="0.0051"/>
        <n v="0.0047"/>
        <n v="0.0166"/>
        <n v="9.0E-4"/>
        <n v="0.0145"/>
        <n v="0.003"/>
        <n v="0.0043"/>
        <n v="0.0192"/>
        <n v="0.0"/>
        <n v="0.1686"/>
        <n v="0.0496"/>
        <n v="0.0124"/>
        <n v="0.0781"/>
        <n v="0.0803"/>
        <n v="0.0652"/>
        <n v="0.1088"/>
        <n v="0.07"/>
        <n v="0.0361"/>
        <n v="0.0463"/>
        <n v="0.0372"/>
        <n v="0.0108"/>
        <n v="0.0065"/>
        <n v="0.0059"/>
        <n v="0.0286"/>
        <n v="0.007"/>
        <n v="0.0248"/>
        <n v="0.0075"/>
        <n v="0.0022"/>
        <n v="0.0269"/>
        <n v="0.0162"/>
        <n v="0.0032"/>
        <n v="0.0383"/>
        <n v="0.0097"/>
        <n v="0.1282"/>
        <n v="0.0689"/>
        <n v="0.0167"/>
        <n v="0.0827"/>
        <n v="0.0823"/>
        <n v="0.0397"/>
        <n v="0.0813"/>
        <n v="0.022"/>
        <n v="0.0172"/>
        <n v="0.0765"/>
        <n v="0.0617"/>
        <n v="0.0445"/>
        <n v="0.0158"/>
        <n v="0.0502"/>
        <n v="0.0072"/>
        <n v="0.0062"/>
        <n v="0.0306"/>
        <n v="0.0115"/>
        <n v="0.034"/>
        <n v="0.0029"/>
        <n v="0.0096"/>
        <n v="0.0129"/>
        <n v="0.0014"/>
        <n v="0.0053"/>
        <n v="0.0024"/>
        <n v="0.0057"/>
        <n v="0.0415"/>
        <n v="0.1039"/>
        <n v="0.0909"/>
        <n v="0.1093"/>
        <n v="0.1003"/>
        <n v="0.0527"/>
        <n v="0.0484"/>
        <n v="0.0018"/>
        <n v="0.009"/>
        <n v="0.018"/>
        <n v="0.0198"/>
        <n v="0.0083"/>
        <n v="0.0404"/>
        <n v="0.0155"/>
        <n v="0.0054"/>
        <n v="0.004"/>
        <n v="0.0184"/>
        <n v="0.0058"/>
        <n v="0.0105"/>
        <n v="0.0126"/>
        <n v="0.0079"/>
        <n v="0.0061"/>
        <n v="0.0256"/>
        <n v="0.0011"/>
        <n v="0.0025"/>
        <n v="0.0148"/>
        <n v="7.0E-4"/>
        <n v="0.0036"/>
        <n v="0.0391"/>
        <n v="0.089"/>
        <n v="0.1327"/>
        <n v="0.0936"/>
        <n v="0.0473"/>
        <n v="0.0281"/>
        <n v="0.0637"/>
        <n v="0.021"/>
        <n v="0.0673"/>
        <n v="0.0349"/>
        <n v="0.0125"/>
        <n v="0.0078"/>
        <n v="0.0342"/>
        <n v="0.0196"/>
        <n v="0.0178"/>
        <n v="0.011"/>
        <n v="0.0114"/>
        <n v="0.0331"/>
        <n v="0.0085"/>
        <n v="0.0253"/>
        <n v="0.01"/>
        <n v="0.0135"/>
        <n v="0.0046"/>
        <n v="0.005"/>
        <n v="0.0139"/>
        <n v="0.0068"/>
        <n v="0.0071"/>
        <n v="0.1218"/>
        <n v="0.0323"/>
        <n v="0.0495"/>
        <n v="0.1292"/>
        <n v="0.0583"/>
        <n v="0.0169"/>
        <n v="0.0321"/>
        <n v="0.0147"/>
        <n v="0.0045"/>
        <n v="0.0409"/>
        <n v="0.014"/>
        <n v="0.0303"/>
        <n v="0.0077"/>
        <n v="0.0113"/>
        <n v="0.0066"/>
        <n v="0.0084"/>
        <n v="0.0312"/>
        <n v="0.0183"/>
        <n v="0.0104"/>
        <n v="0.0088"/>
        <n v="0.0056"/>
        <n v="0.019"/>
        <n v="0.0099"/>
        <n v="0.0149"/>
        <n v="0.0117"/>
        <n v="5.0E-4"/>
        <n v="2.0E-4"/>
        <n v="0.0151"/>
        <n v="0.0027"/>
        <n v="0.002"/>
        <n v="0.0063"/>
        <n v="0.0626"/>
        <n v="0.0686"/>
        <n v="0.1208"/>
        <n v="0.0852"/>
        <n v="0.0278"/>
        <n v="0.0208"/>
        <n v="0.0308"/>
        <n v="0.023"/>
        <n v="0.0174"/>
        <n v="0.0204"/>
        <n v="0.0156"/>
        <n v="0.0015"/>
        <n v="0.0074"/>
        <n v="0.033"/>
        <n v="0.017"/>
        <n v="0.0133"/>
        <n v="0.0019"/>
        <n v="0.0037"/>
        <n v="0.0119"/>
        <n v="0.0033"/>
        <n v="0.0111"/>
        <n v="0.0082"/>
        <n v="0.0052"/>
        <n v="0.0093"/>
        <n v="0.0044"/>
        <n v="0.0675"/>
        <n v="0.0879"/>
        <n v="0.1247"/>
        <n v="0.0467"/>
        <n v="0.0283"/>
        <n v="0.0095"/>
        <n v="0.0266"/>
        <n v="0.0893"/>
        <n v="0.0314"/>
        <n v="0.0164"/>
        <n v="0.0112"/>
        <n v="0.0228"/>
        <n v="0.0215"/>
        <n v="0.0235"/>
        <n v="0.0031"/>
        <n v="0.0191"/>
        <n v="0.001"/>
        <n v="0.0092"/>
        <n v="3.0E-4"/>
        <n v="0.0055"/>
        <n v="0.0313"/>
        <n v="0.1053"/>
        <n v="0.1238"/>
        <n v="0.0307"/>
        <n v="0.0141"/>
        <n v="0.0456"/>
        <n v="0.0197"/>
        <n v="0.0177"/>
        <n v="0.0405"/>
        <n v="0.0205"/>
        <n v="0.04"/>
        <n v="0.0351"/>
        <n v="0.0379"/>
        <n v="0.0243"/>
        <n v="0.0102"/>
        <n v="0.0087"/>
        <n v="0.0067"/>
        <n v="0.0128"/>
        <n v="0.012"/>
        <n v="0.0026"/>
        <n v="8.0E-4"/>
        <n v="0.0028"/>
        <n v="0.0013"/>
        <n v="0.0293"/>
        <n v="0.1101"/>
        <n v="0.0883"/>
        <n v="0.0489"/>
        <n v="0.0213"/>
        <n v="0.0366"/>
        <n v="0.0444"/>
        <n v="0.0086"/>
        <n v="0.0433"/>
        <n v="0.0334"/>
        <n v="0.0454"/>
        <n v="0.0153"/>
        <n v="0.0265"/>
        <n v="0.0202"/>
        <n v="0.0121"/>
        <n v="0.0073"/>
        <n v="0.0194"/>
        <n v="0.0039"/>
        <n v="6.0E-4"/>
        <n v="4.0E-4"/>
        <n v="0.0504"/>
        <n v="0.0144"/>
        <n v="0.0864"/>
        <n v="0.0639"/>
        <n v="0.059"/>
        <n v="0.0458"/>
        <n v="0.0513"/>
        <n v="0.0365"/>
        <n v="0.0241"/>
        <n v="0.0203"/>
        <n v="0.0354"/>
        <n v="0.0292"/>
        <n v="0.0042"/>
        <n v="0.0219"/>
        <n v="0.0254"/>
        <n v="0.0232"/>
        <n v="0.0157"/>
        <n v="0.0146"/>
        <n v="0.0091"/>
        <n v="0.0199"/>
        <n v="0.0049"/>
        <n v="0.006"/>
        <n v="0.0035"/>
        <n v="0.1523"/>
        <n v="0.0884"/>
        <n v="0.0622"/>
        <n v="0.0795"/>
        <n v="0.0542"/>
        <n v="0.0295"/>
        <n v="0.0138"/>
        <n v="0.0186"/>
        <n v="0.0017"/>
        <n v="0.0338"/>
        <n v="0.0023"/>
        <n v="0.0152"/>
        <n v="0.0109"/>
        <n v="0.0069"/>
        <n v="0.008"/>
      </sharedItems>
    </cacheField>
    <cacheField name="Featured Offer (Buy Box) Percentage" numFmtId="10">
      <sharedItems containsSemiMixedTypes="0" containsString="0" containsNumber="1">
        <n v="0.7945"/>
        <n v="0.9056"/>
        <n v="0.8318"/>
        <n v="0.9439"/>
        <n v="0.9401"/>
        <n v="0.9358"/>
        <n v="0.8569"/>
        <n v="0.9158"/>
        <n v="0.835"/>
        <n v="0.858"/>
        <n v="0.9052"/>
        <n v="0.9004"/>
        <n v="0.8691"/>
        <n v="0.7321"/>
        <n v="0.9"/>
        <n v="0.8398"/>
        <n v="0.6375"/>
        <n v="0.8489"/>
        <n v="0.853"/>
        <n v="0.6749"/>
        <n v="0.7569"/>
        <n v="0.771"/>
        <n v="0.7692"/>
        <n v="0.9208"/>
        <n v="0.9331"/>
        <n v="0.9369"/>
        <n v="0.8834"/>
        <n v="0.9291"/>
        <n v="0.8706"/>
        <n v="0.9247"/>
        <n v="0.8829"/>
        <n v="0.9065"/>
        <n v="0.8256"/>
        <n v="0.8989"/>
        <n v="0.8698"/>
        <n v="0.9185"/>
        <n v="0.889"/>
        <n v="0.8282"/>
        <n v="0.8553"/>
        <n v="0.8733"/>
        <n v="0.9026"/>
        <n v="0.8157"/>
        <n v="0.9206"/>
        <n v="0.8807"/>
        <n v="0.8049"/>
        <n v="0.9174"/>
        <n v="0.8311"/>
        <n v="0.75"/>
        <n v="0.7723"/>
        <n v="0.931"/>
        <n v="0.8785"/>
        <n v="0.8593"/>
        <n v="0.8417"/>
        <n v="0.8607"/>
        <n v="0.8077"/>
        <n v="0.88"/>
        <n v="0.8581"/>
        <n v="0.9068"/>
        <n v="0.8844"/>
        <n v="0.9168"/>
        <n v="0.8966"/>
        <n v="0.9193"/>
        <n v="0.8496"/>
        <n v="0.9299"/>
        <n v="0.9034"/>
        <n v="0.9113"/>
        <n v="0.9597"/>
        <n v="0.9379"/>
        <n v="0.8661"/>
        <n v="0.836"/>
        <n v="0.8822"/>
        <n v="0.8761"/>
        <n v="0.8841"/>
        <n v="0.8686"/>
        <n v="0.8498"/>
        <n v="0.9132"/>
        <n v="0.8906"/>
        <n v="0.8476"/>
        <n v="0.8401"/>
        <n v="0.8156"/>
        <n v="0.8025"/>
        <n v="0.877"/>
        <n v="0.8871"/>
        <n v="0.8141"/>
        <n v="0.9013"/>
        <n v="0.9175"/>
        <n v="0.8144"/>
        <n v="0.9103"/>
        <n v="0.9327"/>
        <n v="0.8456"/>
        <n v="0.8911"/>
        <n v="0.8896"/>
        <n v="0.8507"/>
        <n v="0.8784"/>
        <n v="0.9475"/>
        <n v="0.964"/>
        <n v="0.9095"/>
        <n v="0.814"/>
        <n v="0.892"/>
        <n v="0.7036"/>
        <n v="0.7759"/>
        <n v="0.8934"/>
        <n v="0.9363"/>
        <n v="0.8211"/>
        <n v="0.9618"/>
        <n v="0.9556"/>
        <n v="0.8346"/>
        <n v="0.9487"/>
        <n v="0.9268"/>
        <n v="0.8432"/>
        <n v="0.8364"/>
        <n v="0.8439"/>
        <n v="0.878"/>
        <n v="0.9474"/>
        <n v="0.8873"/>
        <n v="0.9783"/>
        <n v="0.8926"/>
        <n v="0.9078"/>
        <n v="0.8052"/>
        <n v="0.9836"/>
        <n v="0.9062"/>
        <n v="0.7684"/>
        <n v="0.9002"/>
        <n v="0.8431"/>
        <n v="0.8297"/>
        <n v="1.0"/>
        <n v="0.8933"/>
        <n v="0.9477"/>
        <n v="0.9244"/>
        <n v="0.8262"/>
        <n v="0.8794"/>
        <n v="0.9109"/>
        <n v="0.9426"/>
        <n v="0.8969"/>
        <n v="0.8098"/>
        <n v="0.8776"/>
        <n v="0.9328"/>
        <n v="0.9864"/>
        <n v="0.8711"/>
        <n v="0.9139"/>
        <n v="0.9151"/>
        <n v="0.8099"/>
        <n v="0.7841"/>
        <n v="0.9019"/>
        <n v="0.8894"/>
        <n v="0.9472"/>
        <n v="0.8571"/>
        <n v="0.8939"/>
        <n v="0.8955"/>
        <n v="0.9775"/>
        <n v="0.9302"/>
        <n v="0.932"/>
        <n v="0.9585"/>
        <n v="0.8013"/>
        <n v="0.9638"/>
        <n v="0.7713"/>
        <n v="0.8837"/>
        <n v="0.8681"/>
        <n v="0.8875"/>
        <n v="0.86"/>
        <n v="0.9732"/>
        <n v="0.9764"/>
        <n v="0.9177"/>
        <n v="0.6933"/>
        <n v="0.787"/>
        <n v="0.9133"/>
        <n v="0.9263"/>
        <n v="0.9355"/>
        <n v="0.9444"/>
        <n v="0.9586"/>
        <n v="0.9067"/>
        <n v="0.8434"/>
        <n v="0.9678"/>
        <n v="0.8929"/>
        <n v="0.7964"/>
        <n v="0.7681"/>
        <n v="0.8819"/>
        <n v="0.8378"/>
        <n v="0.8008"/>
        <n v="0.9323"/>
        <n v="0.8015"/>
        <n v="0.9191"/>
        <n v="0.9721"/>
        <n v="0.8032"/>
        <n v="0.8559"/>
        <n v="0.8466"/>
        <n v="0.8772"/>
        <n v="0.8964"/>
        <n v="0.7578"/>
        <n v="0.8511"/>
        <n v="0.9267"/>
        <n v="0.8234"/>
        <n v="0.8889"/>
        <n v="0.893"/>
        <n v="0.7714"/>
        <n v="0.755"/>
        <n v="0.875"/>
        <n v="0.8007"/>
        <n v="0.8589"/>
        <n v="0.8625"/>
        <n v="0.9535"/>
        <n v="0.9032"/>
        <n v="0.8324"/>
        <n v="0.8923"/>
        <n v="0.8924"/>
        <n v="0.98"/>
        <n v="0.9054"/>
        <n v="0.7846"/>
        <n v="0.8251"/>
        <n v="0.87"/>
        <n v="0.9531"/>
        <n v="0.9936"/>
        <n v="0.808"/>
        <n v="0.9194"/>
        <n v="0.9525"/>
        <n v="0.8764"/>
        <n v="0.9196"/>
        <n v="0.8718"/>
        <n v="0.7741"/>
        <n v="0.9399"/>
        <n v="0.9149"/>
        <n v="0.7854"/>
        <n v="0.8294"/>
        <n v="0.8842"/>
        <n v="0.8702"/>
        <n v="0.8738"/>
        <n v="0.9968"/>
        <n v="0.9297"/>
        <n v="0.8332"/>
        <n v="0.93"/>
        <n v="0.9148"/>
        <n v="0.9082"/>
        <n v="0.8859"/>
        <n v="0.8182"/>
        <n v="0.9396"/>
        <n v="0.8983"/>
        <n v="0.8918"/>
        <n v="0.9346"/>
        <n v="0.9006"/>
        <n v="0.9218"/>
        <n v="0.9173"/>
        <n v="0.927"/>
        <n v="0.9114"/>
        <n v="0.8181"/>
        <n v="0.9086"/>
        <n v="0.8945"/>
        <n v="0.9671"/>
        <n v="0.9257"/>
        <n v="0.7939"/>
        <n v="0.8486"/>
        <n v="0.8199"/>
        <n v="0.8501"/>
        <n v="0.871"/>
        <n v="0.9385"/>
        <n v="0.9448"/>
        <n v="0.8667"/>
        <n v="0.8519"/>
        <n v="0.9053"/>
        <n v="0.9825"/>
        <n v="0.9111"/>
        <n v="0.8903"/>
        <n v="0.9689"/>
        <n v="0.9301"/>
        <n v="0.9046"/>
        <n v="0.8319"/>
        <n v="0.9853"/>
        <n v="0.8851"/>
        <n v="0.8376"/>
        <n v="0.9211"/>
        <n v="0.7703"/>
        <n v="0.744"/>
        <n v="0.8198"/>
        <n v="0.8803"/>
        <n v="0.9735"/>
        <n v="0.9492"/>
        <n v="0.9097"/>
        <n v="0.9506"/>
        <n v="0.0"/>
        <n v="0.6423"/>
        <n v="0.7467"/>
        <n v="0.8838"/>
        <n v="0.7439"/>
        <n v="0.8433"/>
        <n v="0.8125"/>
        <n v="0.9941"/>
        <n v="0.829"/>
        <n v="0.8515"/>
        <n v="0.7218"/>
        <n v="0.8117"/>
        <n v="0.8913"/>
        <n v="0.8909"/>
        <n v="0.8543"/>
        <n v="0.8241"/>
        <n v="0.8951"/>
        <n v="0.8267"/>
        <n v="0.9293"/>
        <n v="0.9306"/>
        <n v="0.9123"/>
        <n v="0.9679"/>
        <n v="0.8292"/>
        <n v="0.9861"/>
        <n v="0.8359"/>
        <n v="0.861"/>
        <n v="0.8657"/>
        <n v="0.9076"/>
        <n v="0.8901"/>
        <n v="0.9984"/>
        <n v="0.935"/>
        <n v="0.8205"/>
        <n v="0.9277"/>
        <n v="0.8477"/>
        <n v="0.9256"/>
        <n v="0.9415"/>
        <n v="0.921"/>
        <n v="0.9462"/>
        <n v="0.9171"/>
        <n v="0.8257"/>
        <n v="0.928"/>
        <n v="0.7875"/>
        <n v="0.7178"/>
        <n v="0.8578"/>
        <n v="0.9549"/>
        <n v="0.8469"/>
        <n v="0.9596"/>
        <n v="0.9507"/>
        <n v="0.9167"/>
        <n v="0.7441"/>
        <n v="0.9127"/>
        <n v="0.9278"/>
        <n v="0.801"/>
        <n v="0.8535"/>
        <n v="0.9069"/>
        <n v="0.9479"/>
        <n v="0.8537"/>
        <n v="0.7785"/>
        <n v="0.8009"/>
        <n v="0.8441"/>
        <n v="0.9709"/>
        <n v="0.901"/>
        <n v="0.8852"/>
        <n v="0.9091"/>
        <n v="0.8654"/>
        <n v="0.7709"/>
        <n v="0.7658"/>
        <n v="0.8712"/>
        <n v="0.839"/>
        <n v="0.9447"/>
        <n v="0.8379"/>
        <n v="0.837"/>
        <n v="0.8687"/>
        <n v="0.9037"/>
        <n v="0.8087"/>
        <n v="0.8786"/>
        <n v="0.8751"/>
        <n v="0.8399"/>
        <n v="0.7808"/>
        <n v="0.8633"/>
        <n v="0.8879"/>
        <n v="0.8217"/>
        <n v="0.817"/>
        <n v="0.8908"/>
        <n v="0.8665"/>
        <n v="0.9615"/>
        <n v="0.8817"/>
        <n v="0.8174"/>
        <n v="0.8603"/>
        <n v="0.8774"/>
        <n v="0.8186"/>
        <n v="0.8295"/>
        <n v="0.8509"/>
        <n v="0.8768"/>
        <n v="0.9143"/>
        <n v="0.8048"/>
        <n v="0.8992"/>
        <n v="0.8107"/>
        <n v="0.8614"/>
        <n v="0.8312"/>
        <n v="0.9289"/>
        <n v="0.8095"/>
        <n v="0.8958"/>
        <n v="0.8747"/>
        <n v="0.9892"/>
        <n v="0.872"/>
        <n v="0.8497"/>
        <n v="0.7909"/>
        <n v="0.8616"/>
        <n v="0.775"/>
        <n v="0.9791"/>
        <n v="0.778"/>
        <n v="0.8848"/>
        <n v="0.9085"/>
        <n v="0.7708"/>
        <n v="0.6744"/>
        <n v="0.6136"/>
        <n v="0.8046"/>
        <n v="0.8047"/>
        <n v="0.9583"/>
        <n v="0.8824"/>
        <n v="0.809"/>
        <n v="0.7705"/>
        <n v="0.8967"/>
        <n v="0.9912"/>
        <n v="0.9914"/>
        <n v="0.6667"/>
        <n v="0.7407"/>
        <n v="0.4737"/>
        <n v="0.8062"/>
        <n v="0.7826"/>
        <n v="0.8106"/>
        <n v="0.9154"/>
        <n v="0.9003"/>
        <n v="0.8884"/>
        <n v="0.7923"/>
        <n v="0.9412"/>
        <n v="0.96"/>
        <n v="0.9524"/>
        <n v="0.5"/>
        <n v="0.7872"/>
        <n v="0.8079"/>
        <n v="0.77"/>
        <n v="0.8366"/>
        <n v="0.9284"/>
        <n v="0.8173"/>
        <n v="0.8598"/>
        <n v="0.9963"/>
        <n v="0.9956"/>
        <n v="0.8938"/>
        <n v="0.8804"/>
        <n v="0.9389"/>
        <n v="0.8088"/>
        <n v="0.8734"/>
        <n v="0.8971"/>
        <n v="0.904"/>
        <n v="0.8685"/>
        <n v="0.9639"/>
        <n v="0.8864"/>
        <n v="0.9311"/>
        <n v="0.8459"/>
        <n v="0.8663"/>
        <n v="0.8504"/>
        <n v="0.9344"/>
        <n v="0.8857"/>
        <n v="0.8878"/>
        <n v="0.8505"/>
        <n v="0.887"/>
        <n v="0.8281"/>
        <n v="0.8591"/>
        <n v="0.8948"/>
        <n v="0.8781"/>
        <n v="0.6833"/>
        <n v="0.944"/>
        <n v="0.8814"/>
        <n v="0.8367"/>
        <n v="0.9074"/>
        <n v="0.8462"/>
        <n v="0.8943"/>
        <n v="0.84"/>
        <n v="0.907"/>
        <n v="0.8853"/>
        <n v="0.753"/>
        <n v="0.8289"/>
        <n v="0.726"/>
        <n v="0.6992"/>
        <n v="0.6996"/>
        <n v="0.8407"/>
        <n v="0.7143"/>
        <n v="0.72"/>
        <n v="0.8302"/>
        <n v="0.827"/>
        <n v="0.8283"/>
        <n v="0.7257"/>
        <n v="0.9614"/>
        <n v="0.7778"/>
        <n v="0.9118"/>
        <n v="0.3016"/>
        <n v="0.9657"/>
        <n v="0.789"/>
        <n v="0.7822"/>
        <n v="0.9921"/>
        <n v="0.8898"/>
        <n v="0.8353"/>
        <n v="0.934"/>
        <n v="0.9996"/>
        <n v="0.9322"/>
        <n v="0.862"/>
        <n v="0.848"/>
        <n v="0.8493"/>
        <n v="0.8631"/>
        <n v="0.9351"/>
        <n v="0.7777"/>
        <n v="0.8872"/>
        <n v="0.8502"/>
        <n v="0.9454"/>
        <n v="0.9348"/>
        <n v="0.8757"/>
        <n v="0.937"/>
        <n v="0.9367"/>
        <n v="0.89"/>
        <n v="0.9186"/>
        <n v="0.8798"/>
        <n v="0.9517"/>
        <n v="0.8783"/>
        <n v="0.8203"/>
        <n v="0.9035"/>
        <n v="0.9761"/>
        <n v="0.9326"/>
        <n v="0.9116"/>
        <n v="0.9007"/>
        <n v="0.8333"/>
        <n v="0.8762"/>
        <n v="0.8722"/>
        <n v="0.9674"/>
        <n v="0.9584"/>
        <n v="0.9393"/>
        <n v="0.9187"/>
        <n v="0.9509"/>
        <n v="0.7941"/>
        <n v="0.8428"/>
        <n v="0.9249"/>
        <n v="0.9513"/>
        <n v="0.926"/>
        <n v="0.8054"/>
        <n v="0.9378"/>
        <n v="0.9315"/>
        <n v="0.7224"/>
        <n v="0.8732"/>
        <n v="0.8438"/>
        <n v="0.7333"/>
        <n v="0.7895"/>
        <n v="0.9045"/>
        <n v="0.9198"/>
        <n v="0.9693"/>
        <n v="0.8997"/>
        <n v="0.6895"/>
        <n v="0.9286"/>
        <n v="0.76"/>
        <n v="0.8699"/>
        <n v="0.7857"/>
        <n v="0.7858"/>
        <n v="0.8308"/>
        <n v="0.8816"/>
        <n v="0.9993"/>
        <n v="0.8636"/>
        <n v="0.7912"/>
        <n v="0.9179"/>
        <n v="0.857"/>
        <n v="0.9213"/>
        <n v="0.9089"/>
        <n v="0.8682"/>
        <n v="0.9386"/>
        <n v="0.8671"/>
        <n v="0.8726"/>
        <n v="0.8392"/>
        <n v="0.7979"/>
        <n v="0.943"/>
        <n v="0.8677"/>
        <n v="0.8328"/>
        <n v="0.913"/>
        <n v="0.958"/>
        <n v="0.6814"/>
        <n v="0.8825"/>
        <n v="0.945"/>
        <n v="0.9497"/>
        <n v="0.9012"/>
        <n v="0.8778"/>
        <n v="0.9432"/>
        <n v="0.9356"/>
        <n v="0.9308"/>
        <n v="0.9235"/>
        <n v="0.968"/>
        <n v="0.9039"/>
        <n v="0.8263"/>
        <n v="0.9027"/>
        <n v="0.8056"/>
        <n v="0.899"/>
        <n v="0.9318"/>
        <n v="0.8811"/>
        <n v="0.8609"/>
        <n v="0.9341"/>
        <n v="0.9394"/>
        <n v="0.9974"/>
        <n v="0.9459"/>
        <n v="0.9305"/>
        <n v="0.9172"/>
        <n v="0.942"/>
        <n v="0.8737"/>
        <n v="0.9667"/>
        <n v="0.7241"/>
        <n v="0.8384"/>
        <n v="0.9841"/>
        <n v="0.8413"/>
        <n v="0.9384"/>
        <n v="0.9464"/>
        <n v="0.9466"/>
        <n v="0.975"/>
        <n v="0.7"/>
        <n v="0.9371"/>
        <n v="0.9748"/>
        <n v="0.7669"/>
        <n v="0.7486"/>
        <n v="0.885"/>
        <n v="0.8675"/>
        <n v="0.9604"/>
        <n v="0.7354"/>
        <n v="0.7279"/>
        <n v="0.9574"/>
        <n v="0.9353"/>
        <n v="0.8584"/>
        <n v="0.9501"/>
        <n v="0.8134"/>
        <n v="0.895"/>
        <n v="0.8752"/>
        <n v="0.8897"/>
        <n v="0.9307"/>
        <n v="0.8452"/>
        <n v="0.9207"/>
        <n v="0.7475"/>
        <n v="0.8917"/>
        <n v="0.8395"/>
        <n v="0.9105"/>
        <n v="0.8299"/>
        <n v="0.8527"/>
        <n v="0.951"/>
        <n v="0.9688"/>
        <n v="0.883"/>
        <n v="0.9461"/>
        <n v="0.9312"/>
        <n v="0.8808"/>
        <n v="0.898"/>
        <n v="0.9612"/>
        <n v="0.9541"/>
        <n v="0.8645"/>
        <n v="0.8254"/>
        <n v="0.9512"/>
        <n v="0.9468"/>
        <n v="0.7802"/>
        <n v="0.9404"/>
        <n v="0.8912"/>
        <n v="0.9063"/>
        <n v="0.8968"/>
        <n v="0.9833"/>
        <n v="0.914"/>
        <n v="0.9625"/>
        <n v="0.9894"/>
        <n v="0.9722"/>
        <n v="0.9701"/>
        <n v="0.8987"/>
        <n v="0.8826"/>
        <n v="0.9153"/>
        <n v="0.882"/>
        <n v="0.8957"/>
        <n v="0.83"/>
        <n v="0.963"/>
        <n v="0.6875"/>
      </sharedItems>
    </cacheField>
    <cacheField name="Featured Offer (Buy Box) Percentage – B2B" numFmtId="10">
      <sharedItems containsSemiMixedTypes="0" containsString="0" containsNumber="1">
        <n v="0.8315"/>
        <n v="0.7949"/>
        <n v="0.8151"/>
        <n v="0.764"/>
        <n v="0.8224"/>
        <n v="0.7006"/>
        <n v="0.8125"/>
        <n v="0.75"/>
        <n v="0.7097"/>
        <n v="0.8421"/>
        <n v="0.8"/>
        <n v="0.7273"/>
        <n v="0.8571"/>
        <n v="0.7059"/>
        <n v="0.7451"/>
        <n v="0.575"/>
        <n v="0.8333"/>
        <n v="0.6"/>
        <n v="0.807"/>
        <n v="0.8138"/>
        <n v="0.8396"/>
        <n v="0.7611"/>
        <n v="0.7813"/>
        <n v="0.7436"/>
        <n v="0.7792"/>
        <n v="0.8361"/>
        <n v="0.7"/>
        <n v="0.8169"/>
        <n v="0.9167"/>
        <n v="0.811"/>
        <n v="0.6744"/>
        <n v="0.625"/>
        <n v="0.6154"/>
        <n v="1.0"/>
        <n v="0.5769"/>
        <n v="0.5"/>
        <n v="0.8889"/>
        <n v="0.8095"/>
        <n v="0.0"/>
        <n v="0.8304"/>
        <n v="0.7089"/>
        <n v="0.8372"/>
        <n v="0.8248"/>
        <n v="0.8641"/>
        <n v="0.8757"/>
        <n v="0.8926"/>
        <n v="0.7759"/>
        <n v="0.8514"/>
        <n v="0.7593"/>
        <n v="0.8235"/>
        <n v="0.7647"/>
        <n v="0.8462"/>
        <n v="0.907"/>
        <n v="0.9"/>
        <n v="0.8222"/>
        <n v="0.96"/>
        <n v="0.8358"/>
        <n v="0.772"/>
        <n v="0.8239"/>
        <n v="0.6857"/>
        <n v="0.8662"/>
        <n v="0.8322"/>
        <n v="0.7231"/>
        <n v="0.7532"/>
        <n v="0.8387"/>
        <n v="0.741"/>
        <n v="0.8448"/>
        <n v="0.7821"/>
        <n v="0.7128"/>
        <n v="0.7143"/>
        <n v="0.3158"/>
        <n v="0.72"/>
        <n v="0.6818"/>
        <n v="0.831"/>
        <n v="0.8824"/>
        <n v="0.95"/>
        <n v="0.7692"/>
        <n v="0.9091"/>
        <n v="0.76"/>
        <n v="0.8114"/>
        <n v="0.8466"/>
        <n v="0.8228"/>
        <n v="0.845"/>
        <n v="0.8065"/>
        <n v="0.8261"/>
        <n v="0.9367"/>
        <n v="0.8919"/>
        <n v="0.6667"/>
        <n v="0.9459"/>
        <n v="0.913"/>
        <n v="0.9048"/>
        <n v="0.8621"/>
        <n v="0.9286"/>
        <n v="0.8929"/>
        <n v="0.9259"/>
        <n v="0.5714"/>
        <n v="0.9444"/>
        <n v="0.25"/>
        <n v="0.878"/>
        <n v="0.9863"/>
        <n v="0.8728"/>
        <n v="0.869"/>
        <n v="0.7976"/>
        <n v="0.8696"/>
        <n v="0.8431"/>
        <n v="0.8878"/>
        <n v="0.8846"/>
        <n v="0.7627"/>
        <n v="0.6765"/>
        <n v="0.7826"/>
        <n v="0.8182"/>
        <n v="0.7843"/>
        <n v="0.9412"/>
        <n v="0.963"/>
        <n v="0.7961"/>
        <n v="0.8556"/>
        <n v="0.888"/>
        <n v="0.8264"/>
        <n v="0.9463"/>
        <n v="0.8214"/>
        <n v="0.9316"/>
        <n v="0.8519"/>
        <n v="0.9429"/>
        <n v="0.8796"/>
        <n v="0.8478"/>
        <n v="0.7333"/>
        <n v="0.6875"/>
        <n v="0.6429"/>
        <n v="0.6364"/>
        <n v="0.8308"/>
        <n v="0.9231"/>
        <n v="0.35"/>
        <n v="0.85"/>
        <n v="0.8974"/>
        <n v="0.875"/>
        <n v="0.9737"/>
        <n v="0.84"/>
        <n v="0.2"/>
        <n v="0.9588"/>
        <n v="0.7319"/>
        <n v="0.92"/>
        <n v="0.7368"/>
        <n v="0.9219"/>
        <n v="0.8406"/>
        <n v="0.7805"/>
        <n v="0.9545"/>
        <n v="0.6757"/>
        <n v="0.9032"/>
        <n v="0.5385"/>
        <n v="0.9655"/>
        <n v="0.3333"/>
        <n v="0.8947"/>
        <n v="0.7895"/>
        <n v="0.1667"/>
        <n v="0.7778"/>
        <n v="0.9344"/>
        <n v="0.809"/>
        <n v="0.8189"/>
        <n v="0.8375"/>
        <n v="0.7174"/>
        <n v="0.898"/>
        <n v="0.8113"/>
        <n v="0.7037"/>
        <n v="0.8205"/>
        <n v="0.775"/>
        <n v="0.9677"/>
        <n v="0.7966"/>
        <n v="0.7636"/>
        <n v="0.8049"/>
        <n v="0.4444"/>
        <n v="0.8667"/>
        <n v="0.4615"/>
        <n v="0.5625"/>
        <n v="0.9333"/>
        <n v="0.4"/>
        <n v="0.954"/>
        <n v="0.7837"/>
        <n v="0.7885"/>
        <n v="0.7945"/>
        <n v="0.8537"/>
        <n v="0.8476"/>
        <n v="0.835"/>
        <n v="0.8652"/>
        <n v="0.8036"/>
        <n v="0.8636"/>
        <n v="0.7111"/>
        <n v="0.9688"/>
        <n v="0.9375"/>
        <n v="0.7857"/>
        <n v="0.8721"/>
        <n v="0.7729"/>
        <n v="0.7851"/>
        <n v="0.9578"/>
        <n v="0.7625"/>
        <n v="0.8148"/>
        <n v="0.7222"/>
        <n v="0.7573"/>
        <n v="0.9785"/>
        <n v="0.7579"/>
        <n v="0.7442"/>
        <n v="0.8026"/>
        <n v="0.8136"/>
        <n v="0.9348"/>
        <n v="0.4762"/>
        <n v="0.7941"/>
        <n v="0.9623"/>
        <n v="0.9104"/>
        <n v="0.7763"/>
        <n v="0.747"/>
        <n v="0.9213"/>
        <n v="0.8933"/>
        <n v="0.7727"/>
        <n v="0.7283"/>
        <n v="0.9756"/>
        <n v="0.88"/>
        <n v="0.9492"/>
        <n v="0.7703"/>
        <n v="0.918"/>
        <n v="0.7963"/>
        <n v="0.8077"/>
        <n v="0.9245"/>
        <n v="0.9118"/>
        <n v="0.9249"/>
        <n v="0.9615"/>
        <n v="0.8116"/>
        <n v="0.674"/>
        <n v="0.8594"/>
        <n v="0.9403"/>
        <n v="0.7541"/>
        <n v="0.9565"/>
        <n v="0.8485"/>
        <n v="0.6833"/>
        <n v="0.7568"/>
        <n v="0.7917"/>
        <n v="0.7576"/>
        <n v="0.7297"/>
        <n v="0.7083"/>
        <n v="0.6923"/>
        <n v="0.4706"/>
        <n v="0.5455"/>
      </sharedItems>
    </cacheField>
    <cacheField name="Units Ordered" numFmtId="0">
      <sharedItems containsSemiMixedTypes="0" containsString="0" containsNumber="1" containsInteger="1">
        <n v="10.0"/>
        <n v="9.0"/>
        <n v="8.0"/>
        <n v="7.0"/>
        <n v="5.0"/>
        <n v="4.0"/>
        <n v="3.0"/>
        <n v="2.0"/>
        <n v="1.0"/>
        <n v="22.0"/>
        <n v="17.0"/>
        <n v="16.0"/>
        <n v="14.0"/>
        <n v="13.0"/>
        <n v="11.0"/>
        <n v="18.0"/>
        <n v="15.0"/>
        <n v="12.0"/>
        <n v="6.0"/>
        <n v="28.0"/>
        <n v="27.0"/>
        <n v="25.0"/>
        <n v="48.0"/>
        <n v="33.0"/>
        <n v="23.0"/>
        <n v="43.0"/>
        <n v="21.0"/>
        <n v="20.0"/>
        <n v="38.0"/>
        <n v="42.0"/>
        <n v="0.0"/>
        <n v="63.0"/>
        <n v="19.0"/>
        <n v="59.0"/>
        <n v="40.0"/>
        <n v="32.0"/>
        <n v="61.0"/>
        <n v="30.0"/>
        <n v="74.0"/>
        <n v="54.0"/>
        <n v="39.0"/>
        <n v="36.0"/>
        <n v="34.0"/>
        <n v="110.0"/>
        <n v="26.0"/>
        <n v="24.0"/>
        <n v="107.0"/>
        <n v="66.0"/>
      </sharedItems>
    </cacheField>
    <cacheField name="Units Ordered - B2B" numFmtId="0">
      <sharedItems containsSemiMixedTypes="0" containsString="0" containsNumber="1" containsInteger="1">
        <n v="2.0"/>
        <n v="0.0"/>
        <n v="1.0"/>
        <n v="3.0"/>
        <n v="4.0"/>
        <n v="5.0"/>
        <n v="10.0"/>
        <n v="15.0"/>
        <n v="7.0"/>
        <n v="11.0"/>
      </sharedItems>
    </cacheField>
    <cacheField name="Unit Session Percentage" numFmtId="10">
      <sharedItems containsSemiMixedTypes="0" containsString="0" containsNumber="1">
        <n v="0.0034"/>
        <n v="0.0042"/>
        <n v="0.0041"/>
        <n v="0.0062"/>
        <n v="0.0045"/>
        <n v="0.0033"/>
        <n v="0.0165"/>
        <n v="0.0051"/>
        <n v="0.004"/>
        <n v="0.0342"/>
        <n v="0.0256"/>
        <n v="0.008"/>
        <n v="0.0049"/>
        <n v="0.0085"/>
        <n v="0.0301"/>
        <n v="0.0028"/>
        <n v="0.0016"/>
        <n v="0.0015"/>
        <n v="0.001"/>
        <n v="8.0E-4"/>
        <n v="0.0025"/>
        <n v="0.0109"/>
        <n v="0.0244"/>
        <n v="0.0061"/>
        <n v="0.0077"/>
        <n v="0.0053"/>
        <n v="0.0079"/>
        <n v="0.0069"/>
        <n v="0.0097"/>
        <n v="0.0091"/>
        <n v="0.0076"/>
        <n v="0.0075"/>
        <n v="0.0542"/>
        <n v="0.0099"/>
        <n v="0.0039"/>
        <n v="0.0289"/>
        <n v="0.02"/>
        <n v="0.005"/>
        <n v="0.013"/>
        <n v="0.0253"/>
        <n v="0.0145"/>
        <n v="0.003"/>
        <n v="0.0769"/>
        <n v="0.002"/>
        <n v="0.0227"/>
        <n v="0.006"/>
        <n v="0.0089"/>
        <n v="0.0019"/>
        <n v="0.0078"/>
        <n v="0.04"/>
        <n v="0.0121"/>
        <n v="0.0736"/>
        <n v="0.0083"/>
        <n v="0.0048"/>
        <n v="0.0064"/>
        <n v="0.0038"/>
        <n v="0.0084"/>
        <n v="0.0037"/>
        <n v="0.0063"/>
        <n v="0.007"/>
        <n v="0.0201"/>
        <n v="0.0057"/>
        <n v="0.01"/>
        <n v="0.0056"/>
        <n v="0.0182"/>
        <n v="0.0017"/>
        <n v="0.0022"/>
        <n v="0.0065"/>
        <n v="0.0175"/>
        <n v="0.0055"/>
        <n v="0.0096"/>
        <n v="0.0524"/>
        <n v="0.0212"/>
        <n v="0.0413"/>
        <n v="0.0036"/>
        <n v="0.0095"/>
        <n v="0.0115"/>
        <n v="0.0172"/>
        <n v="0.0059"/>
        <n v="0.0023"/>
        <n v="0.0043"/>
        <n v="0.0046"/>
        <n v="0.0167"/>
        <n v="0.0105"/>
        <n v="0.0154"/>
        <n v="0.0149"/>
        <n v="0.0027"/>
        <n v="0.0141"/>
        <n v="0.0108"/>
        <n v="0.0137"/>
        <n v="0.0389"/>
        <n v="0.0067"/>
        <n v="0.0054"/>
        <n v="0.1127"/>
        <n v="0.0116"/>
        <n v="0.0072"/>
        <n v="0.0134"/>
        <n v="0.0071"/>
        <n v="0.0103"/>
        <n v="0.0221"/>
        <n v="0.0035"/>
        <n v="0.0191"/>
        <n v="0.0351"/>
        <n v="0.0082"/>
        <n v="0.012"/>
        <n v="0.0143"/>
        <n v="0.0275"/>
        <n v="0.0282"/>
        <n v="0.0148"/>
        <n v="0.0052"/>
        <n v="0.014"/>
        <n v="0.0128"/>
        <n v="0.0132"/>
        <n v="0.0133"/>
        <n v="0.0208"/>
        <n v="0.0068"/>
        <n v="0.0066"/>
        <n v="0.0074"/>
        <n v="0.0086"/>
        <n v="0.0104"/>
        <n v="0.0044"/>
        <n v="0.0324"/>
        <n v="0.0106"/>
        <n v="0.0536"/>
        <n v="0.0131"/>
        <n v="0.0029"/>
        <n v="0.0571"/>
        <n v="0.021"/>
        <n v="0.0238"/>
        <n v="0.0135"/>
        <n v="0.0155"/>
        <n v="0.0153"/>
        <n v="0.0112"/>
        <n v="0.0164"/>
        <n v="0.0159"/>
        <n v="0.0261"/>
        <n v="0.0142"/>
        <n v="0.0641"/>
        <n v="0.0094"/>
        <n v="0.0101"/>
        <n v="0.0186"/>
        <n v="0.0446"/>
        <n v="0.0216"/>
        <n v="0.0081"/>
        <n v="0.0323"/>
        <n v="0.025"/>
        <n v="7.0E-4"/>
        <n v="0.0127"/>
        <n v="9.0E-4"/>
        <n v="0.0"/>
        <n v="0.0286"/>
        <n v="0.0093"/>
        <n v="0.0047"/>
        <n v="0.1163"/>
        <n v="0.0102"/>
        <n v="0.0032"/>
        <n v="0.0254"/>
        <n v="0.0714"/>
        <n v="0.0013"/>
        <n v="0.0026"/>
        <n v="0.0031"/>
        <n v="0.0217"/>
        <n v="0.0092"/>
        <n v="0.0415"/>
        <n v="0.0187"/>
        <n v="0.0098"/>
        <n v="0.031"/>
        <n v="0.0412"/>
        <n v="0.0126"/>
        <n v="0.0168"/>
        <n v="0.0058"/>
        <n v="0.0113"/>
        <n v="0.0303"/>
        <n v="0.009"/>
        <n v="0.0014"/>
        <n v="0.0024"/>
        <n v="0.0476"/>
        <n v="0.0385"/>
        <n v="0.0169"/>
        <n v="0.0107"/>
        <n v="0.0125"/>
        <n v="0.0117"/>
        <n v="0.0144"/>
        <n v="0.016"/>
        <n v="0.0018"/>
        <n v="0.0263"/>
        <n v="0.0021"/>
        <n v="0.0284"/>
        <n v="0.0419"/>
        <n v="0.0073"/>
        <n v="0.0088"/>
        <n v="0.0123"/>
        <n v="0.0129"/>
        <n v="0.0111"/>
        <n v="0.0087"/>
        <n v="0.0313"/>
        <n v="0.0122"/>
        <n v="0.0012"/>
        <n v="0.0588"/>
        <n v="0.0326"/>
        <n v="0.0441"/>
        <n v="0.0177"/>
        <n v="0.0181"/>
        <n v="0.0194"/>
        <n v="0.0482"/>
        <n v="0.0241"/>
        <n v="0.0136"/>
        <n v="0.0308"/>
        <n v="0.0455"/>
        <n v="0.035"/>
        <n v="0.0267"/>
        <n v="0.0429"/>
        <n v="0.0183"/>
        <n v="0.0328"/>
        <n v="0.0488"/>
        <n v="0.25"/>
      </sharedItems>
    </cacheField>
    <cacheField name="Unit Session Percentage - B2B" numFmtId="10">
      <sharedItems containsSemiMixedTypes="0" containsString="0" containsNumber="1">
        <n v="0.0152"/>
        <n v="0.0"/>
        <n v="0.0167"/>
        <n v="0.0133"/>
        <n v="0.0079"/>
        <n v="0.0323"/>
        <n v="0.0182"/>
        <n v="0.0194"/>
        <n v="0.0205"/>
        <n v="0.0286"/>
        <n v="0.0147"/>
        <n v="0.008"/>
        <n v="0.0196"/>
        <n v="0.0233"/>
        <n v="0.0222"/>
        <n v="0.01"/>
        <n v="0.2727"/>
        <n v="0.0417"/>
        <n v="0.0108"/>
        <n v="0.0247"/>
        <n v="0.0256"/>
        <n v="0.0909"/>
        <n v="0.0385"/>
        <n v="0.25"/>
        <n v="0.0102"/>
        <n v="0.0231"/>
        <n v="0.0163"/>
        <n v="0.0612"/>
        <n v="0.0091"/>
        <n v="0.125"/>
        <n v="0.0625"/>
        <n v="0.1"/>
        <n v="0.0685"/>
        <n v="0.0461"/>
        <n v="0.0045"/>
        <n v="0.0068"/>
        <n v="0.0097"/>
        <n v="0.0297"/>
        <n v="0.75"/>
        <n v="0.0541"/>
        <n v="0.0465"/>
        <n v="0.0141"/>
        <n v="0.0714"/>
        <n v="0.1667"/>
        <n v="0.0556"/>
        <n v="0.3125"/>
        <n v="0.0278"/>
        <n v="0.2"/>
        <n v="0.0058"/>
        <n v="0.0053"/>
        <n v="0.0106"/>
        <n v="0.0364"/>
        <n v="0.15"/>
        <n v="0.0083"/>
        <n v="0.0145"/>
        <n v="0.0156"/>
        <n v="0.1176"/>
        <n v="0.1429"/>
        <n v="0.0357"/>
        <n v="0.1111"/>
        <n v="0.0118"/>
        <n v="0.0206"/>
        <n v="0.0026"/>
        <n v="0.026"/>
        <n v="0.0682"/>
        <n v="0.0253"/>
        <n v="0.0294"/>
        <n v="0.0081"/>
        <n v="0.0513"/>
        <n v="0.05"/>
        <n v="0.0741"/>
        <n v="0.0435"/>
        <n v="0.0189"/>
        <n v="0.0476"/>
        <n v="0.0088"/>
        <n v="0.0227"/>
        <n v="0.0132"/>
        <n v="0.0175"/>
        <n v="0.0115"/>
        <n v="0.0667"/>
        <n v="0.037"/>
        <n v="0.0244"/>
        <n v="0.0526"/>
        <n v="0.0769"/>
        <n v="0.0276"/>
        <n v="0.0201"/>
        <n v="0.0164"/>
        <n v="0.029"/>
        <n v="0.0127"/>
        <n v="0.0149"/>
        <n v="0.0303"/>
        <n v="0.1765"/>
        <n v="0.0217"/>
        <n v="0.04"/>
        <n v="0.0833"/>
        <n v="0.5"/>
        <n v="0.3333"/>
        <n v="0.0035"/>
        <n v="0.0027"/>
        <n v="0.0119"/>
        <n v="0.0392"/>
        <n v="0.0179"/>
        <n v="0.0089"/>
        <n v="0.0085"/>
        <n v="0.0099"/>
        <n v="0.0263"/>
        <n v="0.0588"/>
        <n v="0.0571"/>
        <n v="0.069"/>
        <n v="0.0052"/>
        <n v="0.0157"/>
        <n v="0.0138"/>
        <n v="0.0645"/>
        <n v="0.0136"/>
        <n v="0.0066"/>
        <n v="0.0265"/>
        <n v="0.0345"/>
        <n v="0.023"/>
        <n v="0.0353"/>
        <n v="0.0313"/>
        <n v="0.0238"/>
        <n v="0.1875"/>
        <n v="0.0952"/>
        <n v="0.0333"/>
        <n v="0.0185"/>
        <n v="0.0234"/>
        <n v="0.0789"/>
        <n v="0.0034"/>
        <n v="0.0069"/>
        <n v="0.0235"/>
        <n v="0.022"/>
        <n v="0.0317"/>
        <n v="0.02"/>
        <n v="0.0208"/>
        <n v="0.0455"/>
        <n v="0.0184"/>
        <n v="0.012"/>
        <n v="0.0498"/>
        <n v="0.0197"/>
        <n v="0.2222"/>
      </sharedItems>
    </cacheField>
    <cacheField name="Ordered Product Sales" numFmtId="4">
      <sharedItems containsSemiMixedTypes="0" containsString="0" containsNumber="1">
        <n v="158990.0"/>
        <n v="209000.0"/>
        <n v="299000.0"/>
        <n v="220500.0"/>
        <n v="143200.0"/>
        <n v="196000.0"/>
        <n v="132293.0"/>
        <n v="146300.0"/>
        <n v="187500.0"/>
        <n v="3950.0"/>
        <n v="5400.0"/>
        <n v="139960.0"/>
        <n v="101700.0"/>
        <n v="92700.0"/>
        <n v="4880.0"/>
        <n v="46600.0"/>
        <n v="6600.0"/>
        <n v="18899.0"/>
        <n v="23300.0"/>
        <n v="7350.0"/>
        <n v="4450.0"/>
        <n v="6500.0"/>
        <n v="14900.0"/>
        <n v="459800.0"/>
        <n v="416500.0"/>
        <n v="392000.0"/>
        <n v="250600.0"/>
        <n v="271700.0"/>
        <n v="418600.0"/>
        <n v="175989.0"/>
        <n v="208989.0"/>
        <n v="372900.0"/>
        <n v="155000.0"/>
        <n v="189990.0"/>
        <n v="159990.0"/>
        <n v="10980.0"/>
        <n v="137700.0"/>
        <n v="185500.0"/>
        <n v="135600.0"/>
        <n v="19500.0"/>
        <n v="14700.0"/>
        <n v="21800.0"/>
        <n v="26800.0"/>
        <n v="29800.0"/>
        <n v="59800.0"/>
        <n v="3980.0"/>
        <n v="2900.0"/>
        <n v="1350.0"/>
        <n v="12950.0"/>
        <n v="43300.0"/>
        <n v="47990.0"/>
        <n v="3100.0"/>
        <n v="387750.0"/>
        <n v="355300.0"/>
        <n v="26418.3"/>
        <n v="268500.0"/>
        <n v="197160.0"/>
        <n v="294000.0"/>
        <n v="245000.0"/>
        <n v="206088.0"/>
        <n v="234000.0"/>
        <n v="172012.0"/>
        <n v="167513.0"/>
        <n v="80996.0"/>
        <n v="52997.0"/>
        <n v="31000.0"/>
        <n v="37998.0"/>
        <n v="31998.0"/>
        <n v="33000.0"/>
        <n v="1580.0"/>
        <n v="4306.0"/>
        <n v="3627.0"/>
        <n v="10900.0"/>
        <n v="25200.0"/>
        <n v="28999.0"/>
        <n v="585200.0"/>
        <n v="406953.86"/>
        <n v="25574.4"/>
        <n v="376200.0"/>
        <n v="528400.0"/>
        <n v="343000.0"/>
        <n v="8690.0"/>
        <n v="13500.0"/>
        <n v="179000.0"/>
        <n v="200400.0"/>
        <n v="32500.0"/>
        <n v="66000.0"/>
        <n v="22050.0"/>
        <n v="32700.0"/>
        <n v="89700.0"/>
        <n v="8900.0"/>
        <n v="19647.46"/>
        <n v="49000.0"/>
        <n v="65800.0"/>
        <n v="53000.0"/>
        <n v="13400.0"/>
        <n v="11900.0"/>
        <n v="40500.0"/>
        <n v="34500.0"/>
        <n v="2800.0"/>
        <n v="17900.0"/>
        <n v="20900.0"/>
        <n v="29900.0"/>
        <n v="40000.0"/>
        <n v="57421.44"/>
        <n v="698379.68"/>
        <n v="618825.44"/>
        <n v="486379.68"/>
        <n v="325978.0"/>
        <n v="446008.48"/>
        <n v="236371.2"/>
        <n v="15064.77"/>
        <n v="302100.0"/>
        <n v="41300.0"/>
        <n v="237300.0"/>
        <n v="214300.0"/>
        <n v="163000.0"/>
        <n v="126716.96"/>
        <n v="204847.46"/>
        <n v="125000.0"/>
        <n v="123600.0"/>
        <n v="10881.0"/>
        <n v="65010.0"/>
        <n v="140000.0"/>
        <n v="116923.73"/>
        <n v="54254.24"/>
        <n v="74308.48"/>
        <n v="65854.24"/>
        <n v="20904.8"/>
        <n v="6750.0"/>
        <n v="17800.0"/>
        <n v="78000.0"/>
        <n v="71000.0"/>
        <n v="1998.0"/>
        <n v="5554.24"/>
        <n v="82000.0"/>
        <n v="49600.0"/>
        <n v="51000.0"/>
        <n v="53738.98"/>
        <n v="66138.98"/>
        <n v="50000.0"/>
        <n v="790.0"/>
        <n v="30300.0"/>
        <n v="33238.98"/>
        <n v="26838.98"/>
        <n v="27500.0"/>
        <n v="26500.0"/>
        <n v="32900.0"/>
        <n v="25000.0"/>
        <n v="47829.44"/>
        <n v="414372.0"/>
        <n v="445016.96"/>
        <n v="423954.24"/>
        <n v="495954.24"/>
        <n v="88500.0"/>
        <n v="619954.24"/>
        <n v="249816.96"/>
        <n v="271200.0"/>
        <n v="127308.48"/>
        <n v="8100.0"/>
        <n v="5739.0"/>
        <n v="149908.48"/>
        <n v="137500.0"/>
        <n v="154500.0"/>
        <n v="84800.0"/>
        <n v="110862.72"/>
        <n v="3160.0"/>
        <n v="26700.0"/>
        <n v="123000.0"/>
        <n v="76500.0"/>
        <n v="80700.0"/>
        <n v="82408.48"/>
        <n v="89800.0"/>
        <n v="23800.0"/>
        <n v="70000.0"/>
        <n v="42400.0"/>
        <n v="66600.0"/>
        <n v="43954.24"/>
        <n v="53200.0"/>
        <n v="2600.0"/>
        <n v="20499.0"/>
        <n v="41000.0"/>
        <n v="39000.0"/>
        <n v="35431.36"/>
        <n v="1199.0"/>
        <n v="2159.0"/>
        <n v="24800.0"/>
        <n v="33300.0"/>
        <n v="32238.98"/>
        <n v="30000.0"/>
        <n v="792684.8"/>
        <n v="58536.99"/>
        <n v="406287.64"/>
        <n v="439233.92"/>
        <n v="389450.89"/>
        <n v="553780.19"/>
        <n v="420142.4"/>
        <n v="349595.75"/>
        <n v="410743.74"/>
        <n v="17982.0"/>
        <n v="229200.0"/>
        <n v="246879.68"/>
        <n v="249498.31"/>
        <n v="230400.0"/>
        <n v="326994.08"/>
        <n v="95994.0"/>
        <n v="180000.0"/>
        <n v="149876.44"/>
        <n v="69950.0"/>
        <n v="163500.0"/>
        <n v="174544.08"/>
        <n v="79996.0"/>
        <n v="4944.0"/>
        <n v="163462.72"/>
        <n v="132150.0"/>
        <n v="118650.0"/>
        <n v="72000.0"/>
        <n v="131875.44"/>
        <n v="59997.0"/>
        <n v="8958.0"/>
        <n v="91062.72"/>
        <n v="104644.08"/>
        <n v="11000.0"/>
        <n v="22169.49"/>
        <n v="52000.0"/>
        <n v="77731.36"/>
        <n v="67281.36"/>
        <n v="53931.36"/>
        <n v="60762.72"/>
        <n v="60650.0"/>
        <n v="13990.0"/>
        <n v="19999.0"/>
        <n v="1499.0"/>
        <n v="6175.0"/>
        <n v="7900.0"/>
        <n v="12200.0"/>
        <n v="34000.0"/>
        <n v="38900.0"/>
        <n v="2250.0"/>
        <n v="38000.0"/>
        <n v="18200.0"/>
        <n v="31381.36"/>
        <n v="26631.36"/>
        <n v="0.0"/>
        <n v="81039.0"/>
        <n v="445200.0"/>
        <n v="664050.0"/>
        <n v="335400.0"/>
        <n v="395850.0"/>
        <n v="182000.0"/>
        <n v="255600.0"/>
        <n v="138150.0"/>
        <n v="243600.0"/>
        <n v="142547.24"/>
        <n v="120004.48"/>
        <n v="286300.0"/>
        <n v="95765.19"/>
        <n v="166500.0"/>
        <n v="16450.0"/>
        <n v="111000.0"/>
        <n v="89000.0"/>
        <n v="139800.0"/>
        <n v="50698.0"/>
        <n v="23700.0"/>
        <n v="122700.0"/>
        <n v="104850.0"/>
        <n v="116700.0"/>
        <n v="9897.0"/>
        <n v="106200.0"/>
        <n v="54600.0"/>
        <n v="77400.0"/>
        <n v="91350.0"/>
        <n v="28488.48"/>
        <n v="42707.48"/>
        <n v="34899.0"/>
        <n v="22200.0"/>
        <n v="60900.0"/>
        <n v="61800.0"/>
        <n v="8400.0"/>
        <n v="1800.0"/>
        <n v="7000.0"/>
        <n v="24400.0"/>
        <n v="28400.0"/>
        <n v="21200.0"/>
        <n v="25800.0"/>
        <n v="35450.0"/>
        <n v="28000.0"/>
        <n v="31450.0"/>
        <n v="34950.0"/>
        <n v="25250.0"/>
        <n v="92841.0"/>
        <n v="823610.57"/>
        <n v="670100.0"/>
        <n v="340679.68"/>
        <n v="459507.48"/>
        <n v="34451.11"/>
        <n v="348125.44"/>
        <n v="424696.61"/>
        <n v="476650.0"/>
        <n v="183956.08"/>
        <n v="368700.0"/>
        <n v="330200.0"/>
        <n v="210354.24"/>
        <n v="249626.61"/>
        <n v="222096.2"/>
        <n v="98880.0"/>
        <n v="325456.8"/>
        <n v="126900.0"/>
        <n v="125700.0"/>
        <n v="23030.0"/>
        <n v="94340.0"/>
        <n v="246194.08"/>
        <n v="131790.08"/>
        <n v="139250.0"/>
        <n v="167875.44"/>
        <n v="15697.0"/>
        <n v="82306.48"/>
        <n v="132544.08"/>
        <n v="102000.0"/>
        <n v="61955.0"/>
        <n v="47997.0"/>
        <n v="55508.48"/>
        <n v="119731.36"/>
        <n v="99612.72"/>
        <n v="83750.0"/>
        <n v="77791.08"/>
        <n v="37980.0"/>
        <n v="31980.0"/>
        <n v="16900.0"/>
        <n v="13131.0"/>
        <n v="68662.72"/>
        <n v="77281.36"/>
        <n v="2998.0"/>
        <n v="59331.36"/>
        <n v="50500.0"/>
        <n v="45000.0"/>
        <n v="21299.0"/>
        <n v="17500.0"/>
        <n v="13570.0"/>
        <n v="20230.0"/>
        <n v="34881.36"/>
        <n v="30381.36"/>
        <n v="35400.0"/>
        <n v="24179.24"/>
        <n v="32400.0"/>
        <n v="23000.0"/>
        <n v="3200.0"/>
        <n v="135589.0"/>
        <n v="797225.44"/>
        <n v="618314.92"/>
        <n v="491425.0"/>
        <n v="68077.0"/>
        <n v="230950.0"/>
        <n v="172518.76"/>
        <n v="13987.0"/>
        <n v="37687.0"/>
        <n v="277906.61"/>
        <n v="345250.0"/>
        <n v="244400.0"/>
        <n v="311239.83"/>
        <n v="362877.46"/>
        <n v="197050.0"/>
        <n v="109459.88"/>
        <n v="245092.38"/>
        <n v="159116.61"/>
        <n v="17298.0"/>
        <n v="84975.0"/>
        <n v="72808.0"/>
        <n v="126016.61"/>
        <n v="161520.0"/>
        <n v="73800.0"/>
        <n v="82398.0"/>
        <n v="133025.08"/>
        <n v="97658.48"/>
        <n v="61856.0"/>
        <n v="36590.0"/>
        <n v="103047.46"/>
        <n v="46650.0"/>
        <n v="77997.0"/>
        <n v="84750.0"/>
        <n v="80258.48"/>
        <n v="87004.24"/>
        <n v="24250.0"/>
        <n v="3600.0"/>
        <n v="6800.0"/>
        <n v="68800.0"/>
        <n v="44900.0"/>
        <n v="55450.0"/>
        <n v="11600.0"/>
        <n v="8450.0"/>
        <n v="37900.0"/>
        <n v="3000.0"/>
        <n v="35150.0"/>
        <n v="32320.0"/>
        <n v="33320.0"/>
        <n v="170905.58"/>
        <n v="1102629.43"/>
        <n v="852229.29"/>
        <n v="122479.0"/>
        <n v="59529.0"/>
        <n v="769706.46"/>
        <n v="522242.29"/>
        <n v="69090.0"/>
        <n v="25478.0"/>
        <n v="480428.5"/>
        <n v="324899.16"/>
        <n v="693045.49"/>
        <n v="262599.32"/>
        <n v="456295.55"/>
        <n v="446053.05"/>
        <n v="359745.78"/>
        <n v="414846.09"/>
        <n v="555199.68"/>
        <n v="428880.63"/>
        <n v="183016.96"/>
        <n v="204626.78"/>
        <n v="156690.17"/>
        <n v="239119.24"/>
        <n v="259755.4"/>
        <n v="202075.4"/>
        <n v="180564.24"/>
        <n v="174847.28"/>
        <n v="237089.84"/>
        <n v="182635.24"/>
        <n v="99177.88"/>
        <n v="101126.88"/>
        <n v="45200.0"/>
        <n v="160145.08"/>
        <n v="169887.3"/>
        <n v="100924.78"/>
        <n v="165422.38"/>
        <n v="83675.78"/>
        <n v="104100.0"/>
        <n v="92986.52"/>
        <n v="25996.0"/>
        <n v="3996.0"/>
        <n v="35100.0"/>
        <n v="34800.0"/>
        <n v="115792.38"/>
        <n v="74261.39"/>
        <n v="98480.16"/>
        <n v="98495.24"/>
        <n v="47600.0"/>
        <n v="56045.08"/>
        <n v="8000.0"/>
        <n v="5900.0"/>
        <n v="3400.0"/>
        <n v="37837.46"/>
        <n v="39400.0"/>
        <n v="16500.0"/>
        <n v="31335.08"/>
        <n v="29245.08"/>
        <n v="31295.08"/>
        <n v="31900.0"/>
        <n v="174652.0"/>
        <n v="79494.0"/>
        <n v="552950.51"/>
        <n v="522612.46"/>
        <n v="439760.68"/>
        <n v="83499.0"/>
        <n v="38474.0"/>
        <n v="440180.34"/>
        <n v="642960.64"/>
        <n v="445673.73"/>
        <n v="266300.16"/>
        <n v="247530.16"/>
        <n v="470180.32"/>
        <n v="420310.64"/>
        <n v="407630.64"/>
        <n v="424884.76"/>
        <n v="324335.24"/>
        <n v="217140.34"/>
        <n v="386162.22"/>
        <n v="202100.34"/>
        <n v="289145.56"/>
        <n v="135390.08"/>
        <n v="176110.32"/>
        <n v="173161.52"/>
        <n v="156785.08"/>
        <n v="165650.0"/>
        <n v="148367.28"/>
        <n v="135555.76"/>
        <n v="67450.0"/>
        <n v="96740.76"/>
        <n v="193174.92"/>
        <n v="13160.0"/>
        <n v="146817.46"/>
        <n v="131234.92"/>
        <n v="146754.92"/>
        <n v="93806.78"/>
        <n v="83625.17"/>
        <n v="108955.76"/>
        <n v="35700.0"/>
        <n v="75570.0"/>
        <n v="22800.0"/>
        <n v="65680.0"/>
        <n v="39763.39"/>
        <n v="56545.08"/>
        <n v="61690.16"/>
        <n v="62780.0"/>
        <n v="54411.52"/>
        <n v="19341.44"/>
        <n v="18770.0"/>
        <n v="13900.0"/>
        <n v="7500.0"/>
        <n v="23533.39"/>
        <n v="31390.0"/>
        <n v="28050.0"/>
        <n v="27250.0"/>
        <n v="15500.0"/>
        <n v="240318.0"/>
        <n v="108846.0"/>
        <n v="456383.9"/>
        <n v="499870.5"/>
        <n v="19481.0"/>
        <n v="271984.0"/>
        <n v="247500.0"/>
        <n v="198000.0"/>
        <n v="135992.0"/>
        <n v="198385.4"/>
        <n v="210630.48"/>
        <n v="148500.0"/>
        <n v="141067.28"/>
        <n v="14995.0"/>
        <n v="23299.0"/>
        <n v="75379.32"/>
        <n v="9000.0"/>
        <n v="163314.92"/>
        <n v="117600.0"/>
        <n v="106819.04"/>
        <n v="54563.39"/>
        <n v="122454.92"/>
        <n v="54490.17"/>
        <n v="63523.78"/>
        <n v="81811.52"/>
        <n v="66252.76"/>
        <n v="30340.0"/>
        <n v="37506.44"/>
        <n v="70210.16"/>
        <n v="59365.08"/>
        <n v="70494.92"/>
        <n v="69672.92"/>
        <n v="50611.52"/>
        <n v="53409.52"/>
        <n v="24204.76"/>
        <n v="21360.0"/>
        <n v="18736.44"/>
        <n v="15170.0"/>
        <n v="18836.44"/>
        <n v="2999.0"/>
        <n v="12150.0"/>
        <n v="33055.08"/>
        <n v="2200.0"/>
        <n v="35105.08"/>
        <n v="29710.0"/>
        <n v="23033.39"/>
        <n v="33295.08"/>
        <n v="36499.0"/>
        <n v="29444.08"/>
        <n v="28755.08"/>
      </sharedItems>
    </cacheField>
    <cacheField name="Ordered Product Sales - B2B" numFmtId="4">
      <sharedItems containsSemiMixedTypes="0" containsString="0" containsNumber="1">
        <n v="31798.0"/>
        <n v="0.0"/>
        <n v="59800.0"/>
        <n v="24500.0"/>
        <n v="55000.0"/>
        <n v="49000.0"/>
        <n v="73500.0"/>
        <n v="53700.0"/>
        <n v="41800.0"/>
        <n v="18999.0"/>
        <n v="15500.0"/>
        <n v="15999.0"/>
        <n v="15300.0"/>
        <n v="53000.0"/>
        <n v="3596.4"/>
        <n v="71600.0"/>
        <n v="10900.0"/>
        <n v="28999.0"/>
        <n v="14968.49"/>
        <n v="1198.8"/>
        <n v="62700.0"/>
        <n v="98700.0"/>
        <n v="17900.0"/>
        <n v="26500.0"/>
        <n v="4306.0"/>
        <n v="11900.0"/>
        <n v="40500.0"/>
        <n v="5864.44"/>
        <n v="212000.0"/>
        <n v="20854.24"/>
        <n v="14799.0"/>
        <n v="24800.0"/>
        <n v="54508.48"/>
        <n v="2740.77"/>
        <n v="11800.0"/>
        <n v="67800.0"/>
        <n v="27500.0"/>
        <n v="82000.0"/>
        <n v="32010.0"/>
        <n v="70000.0"/>
        <n v="21500.0"/>
        <n v="20904.8"/>
        <n v="35500.0"/>
        <n v="26900.0"/>
        <n v="18899.0"/>
        <n v="21200.0"/>
        <n v="372000.0"/>
        <n v="25000.0"/>
        <n v="33900.0"/>
        <n v="18154.24"/>
        <n v="8900.0"/>
        <n v="25500.0"/>
        <n v="33300.0"/>
        <n v="2600.0"/>
        <n v="41000.0"/>
        <n v="32238.98"/>
        <n v="84662.72"/>
        <n v="3398.0"/>
        <n v="21154.24"/>
        <n v="69508.49"/>
        <n v="83207.29"/>
        <n v="24000.0"/>
        <n v="44457.29"/>
        <n v="2997.0"/>
        <n v="20400.0"/>
        <n v="23954.24"/>
        <n v="51600.0"/>
        <n v="81800.0"/>
        <n v="30900.0"/>
        <n v="49707.29"/>
        <n v="34950.0"/>
        <n v="40831.36"/>
        <n v="19999.0"/>
        <n v="69762.72"/>
        <n v="11100.0"/>
        <n v="38831.36"/>
        <n v="28000.0"/>
        <n v="30381.36"/>
        <n v="1699.0"/>
        <n v="63600.0"/>
        <n v="104850.0"/>
        <n v="18200.0"/>
        <n v="56800.0"/>
        <n v="41252.24"/>
        <n v="15922.73"/>
        <n v="27750.0"/>
        <n v="22250.0"/>
        <n v="35400.0"/>
        <n v="8400.0"/>
        <n v="24400.0"/>
        <n v="31450.0"/>
        <n v="5896.0"/>
        <n v="84007.48"/>
        <n v="54600.0"/>
        <n v="24754.24"/>
        <n v="69000.0"/>
        <n v="30450.0"/>
        <n v="29700.0"/>
        <n v="24179.24"/>
        <n v="38100.0"/>
        <n v="40900.0"/>
        <n v="18700.0"/>
        <n v="17480.0"/>
        <n v="81231.36"/>
        <n v="25750.0"/>
        <n v="38900.0"/>
        <n v="2998.0"/>
        <n v="28881.36"/>
        <n v="7900.0"/>
        <n v="4199.0"/>
        <n v="28731.0"/>
        <n v="999.0"/>
        <n v="2899.0"/>
        <n v="26980.0"/>
        <n v="35150.0"/>
        <n v="40797.46"/>
        <n v="24750.0"/>
        <n v="30990.0"/>
        <n v="17899.0"/>
        <n v="50654.24"/>
        <n v="27254.24"/>
        <n v="13990.0"/>
        <n v="33320.0"/>
        <n v="9700.0"/>
        <n v="40923.39"/>
        <n v="104965.0"/>
        <n v="6499.0"/>
        <n v="7109.0"/>
        <n v="34223.39"/>
        <n v="1499.0"/>
        <n v="50515.44"/>
        <n v="134585.08"/>
        <n v="27690.0"/>
        <n v="79205.08"/>
        <n v="27250.0"/>
        <n v="56650.0"/>
        <n v="27915.0"/>
        <n v="25190.0"/>
        <n v="26480.0"/>
        <n v="38597.46"/>
        <n v="28300.0"/>
        <n v="13980.0"/>
        <n v="33837.46"/>
        <n v="22060.0"/>
        <n v="27300.0"/>
        <n v="11600.0"/>
        <n v="31335.08"/>
        <n v="6456.0"/>
        <n v="6599.0"/>
        <n v="19760.0"/>
        <n v="52383.39"/>
        <n v="3500.0"/>
        <n v="5996.0"/>
        <n v="64230.16"/>
        <n v="27995.08"/>
        <n v="62725.08"/>
        <n v="38660.0"/>
        <n v="13490.0"/>
        <n v="6990.0"/>
        <n v="20345.0"/>
        <n v="32840.0"/>
        <n v="30845.08"/>
        <n v="13900.0"/>
        <n v="15995.0"/>
        <n v="5298.0"/>
        <n v="43500.0"/>
        <n v="239213.39"/>
        <n v="33055.08"/>
        <n v="2250.0"/>
        <n v="40860.0"/>
        <n v="26704.76"/>
        <n v="17800.0"/>
        <n v="29710.0"/>
        <n v="34836.46"/>
        <n v="26355.76"/>
        <n v="2999.0"/>
      </sharedItems>
    </cacheField>
    <cacheField name="Total Order Items" numFmtId="0">
      <sharedItems containsSemiMixedTypes="0" containsString="0" containsNumber="1" containsInteger="1">
        <n v="10.0"/>
        <n v="9.0"/>
        <n v="8.0"/>
        <n v="7.0"/>
        <n v="4.0"/>
        <n v="3.0"/>
        <n v="2.0"/>
        <n v="1.0"/>
        <n v="22.0"/>
        <n v="17.0"/>
        <n v="16.0"/>
        <n v="14.0"/>
        <n v="13.0"/>
        <n v="11.0"/>
        <n v="18.0"/>
        <n v="12.0"/>
        <n v="6.0"/>
        <n v="5.0"/>
        <n v="27.0"/>
        <n v="21.0"/>
        <n v="42.0"/>
        <n v="26.0"/>
        <n v="25.0"/>
        <n v="23.0"/>
        <n v="39.0"/>
        <n v="28.0"/>
        <n v="20.0"/>
        <n v="15.0"/>
        <n v="38.0"/>
        <n v="37.0"/>
        <n v="0.0"/>
        <n v="60.0"/>
        <n v="19.0"/>
        <n v="43.0"/>
        <n v="40.0"/>
        <n v="32.0"/>
        <n v="58.0"/>
        <n v="30.0"/>
        <n v="67.0"/>
        <n v="54.0"/>
        <n v="35.0"/>
        <n v="34.0"/>
        <n v="98.0"/>
        <n v="24.0"/>
        <n v="101.0"/>
      </sharedItems>
    </cacheField>
    <cacheField name="Total Order Items - B2B" numFmtId="0">
      <sharedItems containsSemiMixedTypes="0" containsString="0" containsNumber="1" containsInteger="1">
        <n v="2.0"/>
        <n v="0.0"/>
        <n v="1.0"/>
        <n v="3.0"/>
        <n v="4.0"/>
        <n v="5.0"/>
        <n v="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KU Insights " cacheId="0" dataOnRows="1" dataCaption="" compact="0" compactData="0">
  <location ref="A3:Q742" firstHeaderRow="0" firstDataRow="3" firstDataCol="1"/>
  <pivotFields>
    <pivotField name="Weekly" axis="axisCol" compact="0" outline="0" multipleItemSelectionAllowed="1" showAll="0" sortType="ascending">
      <items>
        <item x="5"/>
        <item x="9"/>
        <item x="1"/>
        <item x="3"/>
        <item x="2"/>
        <item x="8"/>
        <item x="7"/>
        <item x="4"/>
        <item x="6"/>
        <item x="0"/>
        <item x="12"/>
        <item x="11"/>
        <item x="10"/>
        <item t="default"/>
      </items>
    </pivotField>
    <pivotField name="Category" axis="axisRow" compact="0" outline="0" multipleItemSelectionAllowed="1" showAll="0" sortType="ascending" defaultSubtotal="0">
      <items>
        <item x="21"/>
        <item x="5"/>
        <item x="4"/>
        <item x="12"/>
        <item x="18"/>
        <item x="19"/>
        <item x="9"/>
        <item x="13"/>
        <item x="6"/>
        <item x="11"/>
        <item x="8"/>
        <item x="16"/>
        <item x="2"/>
        <item x="14"/>
        <item x="17"/>
        <item x="10"/>
        <item x="15"/>
        <item x="0"/>
        <item x="1"/>
        <item x="20"/>
        <item x="3"/>
        <item x="7"/>
      </items>
    </pivotField>
    <pivotField name="(Parent) A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(Child) ASIN" axis="axisRow" compact="0" outline="0" multipleItemSelectionAllowed="1" showAll="0" sortType="ascending">
      <items>
        <item x="113"/>
        <item x="17"/>
        <item x="0"/>
        <item x="18"/>
        <item x="15"/>
        <item x="6"/>
        <item x="34"/>
        <item x="35"/>
        <item x="39"/>
        <item x="19"/>
        <item x="20"/>
        <item x="36"/>
        <item x="16"/>
        <item x="63"/>
        <item x="82"/>
        <item x="81"/>
        <item x="79"/>
        <item x="80"/>
        <item x="33"/>
        <item x="84"/>
        <item x="85"/>
        <item x="87"/>
        <item x="86"/>
        <item x="88"/>
        <item x="75"/>
        <item x="28"/>
        <item x="24"/>
        <item x="25"/>
        <item x="26"/>
        <item x="64"/>
        <item x="92"/>
        <item x="44"/>
        <item x="106"/>
        <item x="9"/>
        <item x="10"/>
        <item x="1"/>
        <item x="7"/>
        <item x="4"/>
        <item x="5"/>
        <item x="3"/>
        <item x="21"/>
        <item x="29"/>
        <item x="22"/>
        <item x="45"/>
        <item x="12"/>
        <item x="46"/>
        <item x="8"/>
        <item x="13"/>
        <item x="2"/>
        <item x="11"/>
        <item x="57"/>
        <item x="30"/>
        <item x="31"/>
        <item x="107"/>
        <item x="14"/>
        <item x="27"/>
        <item x="32"/>
        <item x="89"/>
        <item x="94"/>
        <item x="93"/>
        <item x="90"/>
        <item x="95"/>
        <item x="76"/>
        <item x="54"/>
        <item x="55"/>
        <item x="77"/>
        <item x="47"/>
        <item x="37"/>
        <item x="48"/>
        <item x="73"/>
        <item x="40"/>
        <item x="49"/>
        <item x="58"/>
        <item x="23"/>
        <item x="59"/>
        <item x="56"/>
        <item x="38"/>
        <item x="65"/>
        <item x="50"/>
        <item x="41"/>
        <item x="60"/>
        <item x="78"/>
        <item x="51"/>
        <item x="66"/>
        <item x="61"/>
        <item x="42"/>
        <item x="43"/>
        <item x="91"/>
        <item x="52"/>
        <item x="83"/>
        <item x="67"/>
        <item x="68"/>
        <item x="62"/>
        <item x="69"/>
        <item x="74"/>
        <item x="70"/>
        <item x="71"/>
        <item x="72"/>
        <item x="53"/>
        <item x="100"/>
        <item x="96"/>
        <item x="101"/>
        <item x="102"/>
        <item x="98"/>
        <item x="97"/>
        <item x="103"/>
        <item x="104"/>
        <item x="99"/>
        <item x="105"/>
        <item x="108"/>
        <item x="109"/>
        <item x="110"/>
        <item x="111"/>
        <item x="119"/>
        <item x="112"/>
        <item x="114"/>
        <item x="115"/>
        <item x="116"/>
        <item x="117"/>
        <item x="118"/>
        <item x="120"/>
        <item x="121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Se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essions - Total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t="default"/>
      </items>
    </pivotField>
    <pivotField name="Sessions – Total –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Session Percentage - Total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Session Percentage – Total – B2B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name="Page Views - Total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t="default"/>
      </items>
    </pivotField>
    <pivotField name="Page Views – Total –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Page Views Percentage - Tot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Page Views Percentage – Total – B2B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Featured Offer (Buy Box) 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Featured Offer (Buy Box) Percentage – B2B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Units Ord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Units Ordered - B2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Session 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Unit Session Percentage - B2B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Ordered Product 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t="default"/>
      </items>
    </pivotField>
    <pivotField name="Ordered Product Sales - B2B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otal Order 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tal Order Items - B2B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3"/>
    <field x="-2"/>
  </rowFields>
  <colFields>
    <field x="0"/>
  </colFields>
  <dataFields>
    <dataField name="Session" fld="6" baseField="0"/>
    <dataField name="Page Views" fld="10" baseField="0"/>
    <dataField name="Units Order" fld="16" baseField="0"/>
    <dataField name="Total Order" fld="22" baseField="0"/>
    <dataField name="Sales" fld="20" baseField="0"/>
    <dataField name="Session %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6.29"/>
    <col customWidth="1" min="2" max="2" width="8.71"/>
    <col customWidth="1" min="3" max="3" width="7.14"/>
    <col customWidth="1" min="4" max="4" width="7.29"/>
    <col customWidth="1" min="5" max="27" width="8.71"/>
  </cols>
  <sheetData>
    <row r="1">
      <c r="A1" s="1"/>
      <c r="B1" s="3"/>
      <c r="C1" s="5" t="s">
        <v>2</v>
      </c>
      <c r="D1" s="6"/>
      <c r="E1" s="5" t="s">
        <v>7</v>
      </c>
      <c r="F1" s="6"/>
      <c r="G1" s="5" t="s">
        <v>6</v>
      </c>
      <c r="H1" s="6"/>
      <c r="I1" s="5" t="s">
        <v>12</v>
      </c>
      <c r="J1" s="6"/>
      <c r="K1" s="5" t="s">
        <v>5</v>
      </c>
      <c r="L1" s="6"/>
      <c r="M1" s="5" t="s">
        <v>8</v>
      </c>
      <c r="N1" s="6"/>
      <c r="O1" s="5" t="s">
        <v>18</v>
      </c>
      <c r="P1" s="6"/>
      <c r="Q1" s="5" t="s">
        <v>21</v>
      </c>
      <c r="R1" s="6"/>
      <c r="S1" s="5" t="s">
        <v>10</v>
      </c>
      <c r="T1" s="6"/>
      <c r="U1" s="5" t="s">
        <v>26</v>
      </c>
      <c r="V1" s="6"/>
      <c r="W1" s="5" t="s">
        <v>28</v>
      </c>
      <c r="X1" s="6"/>
      <c r="Y1" s="5" t="s">
        <v>15</v>
      </c>
      <c r="Z1" s="6"/>
      <c r="AA1" s="3"/>
    </row>
    <row r="2">
      <c r="A2" s="12" t="s">
        <v>34</v>
      </c>
      <c r="B2" s="12" t="s">
        <v>39</v>
      </c>
      <c r="C2" s="12" t="s">
        <v>41</v>
      </c>
      <c r="D2" s="12" t="s">
        <v>42</v>
      </c>
      <c r="E2" s="12" t="s">
        <v>41</v>
      </c>
      <c r="F2" s="12" t="s">
        <v>42</v>
      </c>
      <c r="G2" s="12" t="s">
        <v>41</v>
      </c>
      <c r="H2" s="12" t="s">
        <v>42</v>
      </c>
      <c r="I2" s="12" t="s">
        <v>41</v>
      </c>
      <c r="J2" s="12" t="s">
        <v>42</v>
      </c>
      <c r="K2" s="12" t="s">
        <v>41</v>
      </c>
      <c r="L2" s="12" t="s">
        <v>42</v>
      </c>
      <c r="M2" s="12" t="s">
        <v>41</v>
      </c>
      <c r="N2" s="12" t="s">
        <v>42</v>
      </c>
      <c r="O2" s="12" t="s">
        <v>41</v>
      </c>
      <c r="P2" s="12" t="s">
        <v>42</v>
      </c>
      <c r="Q2" s="12" t="s">
        <v>41</v>
      </c>
      <c r="R2" s="12" t="s">
        <v>42</v>
      </c>
      <c r="S2" s="12" t="s">
        <v>41</v>
      </c>
      <c r="T2" s="12" t="s">
        <v>42</v>
      </c>
      <c r="U2" s="12" t="s">
        <v>41</v>
      </c>
      <c r="V2" s="12" t="s">
        <v>42</v>
      </c>
      <c r="W2" s="12" t="s">
        <v>41</v>
      </c>
      <c r="X2" s="12" t="s">
        <v>42</v>
      </c>
      <c r="Y2" s="12" t="s">
        <v>41</v>
      </c>
      <c r="Z2" s="12" t="s">
        <v>42</v>
      </c>
      <c r="AA2" s="12" t="s">
        <v>38</v>
      </c>
    </row>
    <row r="3">
      <c r="A3" s="19" t="s">
        <v>44</v>
      </c>
      <c r="B3" s="3">
        <f t="shared" ref="B3:B113" si="1">R3-Q3</f>
        <v>7</v>
      </c>
      <c r="C3" s="16">
        <v>1.0</v>
      </c>
      <c r="D3" s="16">
        <v>1.0</v>
      </c>
      <c r="E3" s="17">
        <v>0.7167</v>
      </c>
      <c r="F3" s="17">
        <v>0.9352</v>
      </c>
      <c r="G3" s="3">
        <v>225.0</v>
      </c>
      <c r="H3" s="3">
        <v>239.0</v>
      </c>
      <c r="I3" s="3">
        <v>82822.0</v>
      </c>
      <c r="J3" s="3">
        <v>78901.0</v>
      </c>
      <c r="K3" s="17">
        <v>0.002716669483953539</v>
      </c>
      <c r="L3" s="17">
        <v>0.003029112432035082</v>
      </c>
      <c r="M3" s="20">
        <v>30.880177777777778</v>
      </c>
      <c r="N3" s="20">
        <v>40.5473640167364</v>
      </c>
      <c r="O3" s="16">
        <v>6948.04</v>
      </c>
      <c r="P3" s="16">
        <v>9690.82</v>
      </c>
      <c r="Q3" s="3">
        <v>8.0</v>
      </c>
      <c r="R3" s="3">
        <v>15.0</v>
      </c>
      <c r="S3" s="17">
        <v>0.035555555555555556</v>
      </c>
      <c r="T3" s="17">
        <v>0.06276150627615062</v>
      </c>
      <c r="U3" s="16">
        <v>174788.11000000002</v>
      </c>
      <c r="V3" s="16">
        <v>301906.76999999996</v>
      </c>
      <c r="W3" s="17">
        <v>0.039751216487208425</v>
      </c>
      <c r="X3" s="17">
        <v>0.03209871709733439</v>
      </c>
      <c r="Y3" s="20">
        <v>25.156462829805243</v>
      </c>
      <c r="Z3" s="20">
        <v>31.15389306580867</v>
      </c>
      <c r="AA3" s="3">
        <v>23.0</v>
      </c>
    </row>
    <row r="4">
      <c r="A4" s="19" t="s">
        <v>49</v>
      </c>
      <c r="B4" s="14">
        <f t="shared" si="1"/>
        <v>-5</v>
      </c>
      <c r="C4" s="16">
        <v>3.590909090909091</v>
      </c>
      <c r="D4" s="16">
        <v>3.0</v>
      </c>
      <c r="E4" s="17">
        <v>0.08900909090909088</v>
      </c>
      <c r="F4" s="17">
        <v>0.08825909090909091</v>
      </c>
      <c r="G4" s="3">
        <v>1899.0</v>
      </c>
      <c r="H4" s="3">
        <v>1871.0</v>
      </c>
      <c r="I4" s="3">
        <v>376351.0</v>
      </c>
      <c r="J4" s="3">
        <v>382541.0</v>
      </c>
      <c r="K4" s="17">
        <v>0.005045821586763421</v>
      </c>
      <c r="L4" s="17">
        <v>0.004890979006171888</v>
      </c>
      <c r="M4" s="20">
        <v>32.63301737756714</v>
      </c>
      <c r="N4" s="20">
        <v>33.55218065205773</v>
      </c>
      <c r="O4" s="16">
        <v>61970.1</v>
      </c>
      <c r="P4" s="16">
        <v>62776.13000000001</v>
      </c>
      <c r="Q4" s="3">
        <v>13.0</v>
      </c>
      <c r="R4" s="3">
        <v>8.0</v>
      </c>
      <c r="S4" s="17">
        <v>0.006845708267509215</v>
      </c>
      <c r="T4" s="21">
        <v>0.00427578834847675</v>
      </c>
      <c r="U4" s="16">
        <v>277203.39</v>
      </c>
      <c r="V4" s="16">
        <v>161271.17</v>
      </c>
      <c r="W4" s="17">
        <v>0.2235546253601011</v>
      </c>
      <c r="X4" s="17">
        <v>0.389258228857644</v>
      </c>
      <c r="Y4" s="20">
        <v>4.473179646313303</v>
      </c>
      <c r="Z4" s="20">
        <v>2.5689887223057553</v>
      </c>
      <c r="AA4" s="3">
        <v>21.0</v>
      </c>
    </row>
    <row r="5">
      <c r="A5" s="19" t="s">
        <v>52</v>
      </c>
      <c r="B5" s="14">
        <f t="shared" si="1"/>
        <v>-2</v>
      </c>
      <c r="C5" s="16">
        <v>2.5714285714285716</v>
      </c>
      <c r="D5" s="16">
        <v>2.0</v>
      </c>
      <c r="E5" s="17">
        <v>0.08822857142857143</v>
      </c>
      <c r="F5" s="17">
        <v>0.10296249999999998</v>
      </c>
      <c r="G5" s="3">
        <v>896.0</v>
      </c>
      <c r="H5" s="3">
        <v>1002.0</v>
      </c>
      <c r="I5" s="3">
        <v>75450.0</v>
      </c>
      <c r="J5" s="3">
        <v>76373.0</v>
      </c>
      <c r="K5" s="17">
        <v>0.011875414181577204</v>
      </c>
      <c r="L5" s="17">
        <v>0.013119819831615885</v>
      </c>
      <c r="M5" s="20">
        <v>35.397991071428564</v>
      </c>
      <c r="N5" s="20">
        <v>39.378463073852295</v>
      </c>
      <c r="O5" s="16">
        <v>31716.599999999995</v>
      </c>
      <c r="P5" s="16">
        <v>39457.22</v>
      </c>
      <c r="Q5" s="3">
        <v>10.0</v>
      </c>
      <c r="R5" s="3">
        <v>8.0</v>
      </c>
      <c r="S5" s="17">
        <v>0.011160714285714286</v>
      </c>
      <c r="T5" s="22">
        <v>0.007984031936127744</v>
      </c>
      <c r="U5" s="16">
        <v>197033.9</v>
      </c>
      <c r="V5" s="16">
        <v>181779.65000000002</v>
      </c>
      <c r="W5" s="17">
        <v>0.1609702695830514</v>
      </c>
      <c r="X5" s="17">
        <v>0.217060710591092</v>
      </c>
      <c r="Y5" s="20">
        <v>6.212327298638568</v>
      </c>
      <c r="Z5" s="20">
        <v>4.60700601816347</v>
      </c>
      <c r="AA5" s="3">
        <v>18.0</v>
      </c>
    </row>
    <row r="6">
      <c r="A6" s="19" t="s">
        <v>53</v>
      </c>
      <c r="B6" s="3">
        <f t="shared" si="1"/>
        <v>2</v>
      </c>
      <c r="C6" s="16">
        <v>1.0</v>
      </c>
      <c r="D6" s="16">
        <v>1.0</v>
      </c>
      <c r="E6" s="17">
        <v>0.7718000000000002</v>
      </c>
      <c r="F6" s="17">
        <v>0.9792000000000001</v>
      </c>
      <c r="G6" s="3">
        <v>137.0</v>
      </c>
      <c r="H6" s="3">
        <v>188.0</v>
      </c>
      <c r="I6" s="3">
        <v>42720.0</v>
      </c>
      <c r="J6" s="3">
        <v>57695.0</v>
      </c>
      <c r="K6" s="17">
        <v>0.0032069288389513107</v>
      </c>
      <c r="L6" s="17">
        <v>0.0032585146026518764</v>
      </c>
      <c r="M6" s="20">
        <v>42.78854014598541</v>
      </c>
      <c r="N6" s="20">
        <v>48.15063829787234</v>
      </c>
      <c r="O6" s="16">
        <v>5862.030000000001</v>
      </c>
      <c r="P6" s="16">
        <v>9052.32</v>
      </c>
      <c r="Q6" s="3">
        <v>6.0</v>
      </c>
      <c r="R6" s="3">
        <v>8.0</v>
      </c>
      <c r="S6" s="17">
        <v>0.043795620437956206</v>
      </c>
      <c r="T6" s="17">
        <v>0.0425531914893617</v>
      </c>
      <c r="U6" s="16">
        <v>124490.67000000001</v>
      </c>
      <c r="V6" s="16">
        <v>182456.77000000002</v>
      </c>
      <c r="W6" s="17">
        <v>0.0470881070846514</v>
      </c>
      <c r="X6" s="17">
        <v>0.04961350570877693</v>
      </c>
      <c r="Y6" s="20">
        <v>21.236784868040594</v>
      </c>
      <c r="Z6" s="20">
        <v>20.155802048535627</v>
      </c>
      <c r="AA6" s="3">
        <v>14.0</v>
      </c>
    </row>
    <row r="7">
      <c r="A7" s="19" t="s">
        <v>57</v>
      </c>
      <c r="B7" s="14">
        <f t="shared" si="1"/>
        <v>-7</v>
      </c>
      <c r="C7" s="16">
        <v>2.0</v>
      </c>
      <c r="D7" s="16">
        <v>1.8888888888888888</v>
      </c>
      <c r="E7" s="17">
        <v>0.3606</v>
      </c>
      <c r="F7" s="17">
        <v>0.4667333333333335</v>
      </c>
      <c r="G7" s="3">
        <v>240.0</v>
      </c>
      <c r="H7" s="3">
        <v>167.0</v>
      </c>
      <c r="I7" s="3">
        <v>146492.0</v>
      </c>
      <c r="J7" s="3">
        <v>111057.0</v>
      </c>
      <c r="K7" s="17">
        <v>0.0016383147202577615</v>
      </c>
      <c r="L7" s="17">
        <v>0.0015037323176386901</v>
      </c>
      <c r="M7" s="20">
        <v>51.77158333333333</v>
      </c>
      <c r="N7" s="20">
        <v>60.21994011976049</v>
      </c>
      <c r="O7" s="16">
        <v>12425.18</v>
      </c>
      <c r="P7" s="16">
        <v>10056.730000000001</v>
      </c>
      <c r="Q7" s="3">
        <v>8.0</v>
      </c>
      <c r="R7" s="24">
        <v>1.0</v>
      </c>
      <c r="S7" s="17">
        <v>0.03333333333333333</v>
      </c>
      <c r="T7" s="17">
        <v>0.005988023952095809</v>
      </c>
      <c r="U7" s="16">
        <v>172988.98</v>
      </c>
      <c r="V7" s="16">
        <v>26186.44</v>
      </c>
      <c r="W7" s="17">
        <v>0.0718264250127378</v>
      </c>
      <c r="X7" s="17">
        <v>0.38404342094610805</v>
      </c>
      <c r="Y7" s="20">
        <v>13.922452632476954</v>
      </c>
      <c r="Z7" s="20">
        <v>2.6038722328231936</v>
      </c>
      <c r="AA7" s="3">
        <v>9.0</v>
      </c>
    </row>
    <row r="8">
      <c r="A8" s="19" t="s">
        <v>59</v>
      </c>
      <c r="B8" s="3">
        <f t="shared" si="1"/>
        <v>5</v>
      </c>
      <c r="C8" s="16">
        <v>4.285714285714286</v>
      </c>
      <c r="D8" s="16">
        <v>3.1818181818181817</v>
      </c>
      <c r="E8" s="17">
        <v>0.07527142857142856</v>
      </c>
      <c r="F8" s="17">
        <v>0.09446818181818183</v>
      </c>
      <c r="G8" s="3">
        <v>474.0</v>
      </c>
      <c r="H8" s="3">
        <v>562.0</v>
      </c>
      <c r="I8" s="3">
        <v>46858.0</v>
      </c>
      <c r="J8" s="3">
        <v>93202.0</v>
      </c>
      <c r="K8" s="17">
        <v>0.010115668615818004</v>
      </c>
      <c r="L8" s="17">
        <v>0.006029913521169074</v>
      </c>
      <c r="M8" s="20">
        <v>31.184135021097045</v>
      </c>
      <c r="N8" s="20">
        <v>34.8070640569395</v>
      </c>
      <c r="O8" s="16">
        <v>14781.279999999999</v>
      </c>
      <c r="P8" s="16">
        <v>19561.57</v>
      </c>
      <c r="Q8" s="3">
        <v>2.0</v>
      </c>
      <c r="R8" s="3">
        <v>7.0</v>
      </c>
      <c r="S8" s="17">
        <v>0.004219409282700422</v>
      </c>
      <c r="T8" s="17">
        <v>0.012455516014234875</v>
      </c>
      <c r="U8" s="16">
        <v>38983.05</v>
      </c>
      <c r="V8" s="16">
        <v>142710.99</v>
      </c>
      <c r="W8" s="17">
        <v>0.3791719734602602</v>
      </c>
      <c r="X8" s="17">
        <v>0.13707122345658174</v>
      </c>
      <c r="Y8" s="20">
        <v>2.63732572551227</v>
      </c>
      <c r="Z8" s="20">
        <v>7.295477305758178</v>
      </c>
      <c r="AA8" s="3">
        <v>9.0</v>
      </c>
    </row>
    <row r="9">
      <c r="A9" s="19" t="s">
        <v>60</v>
      </c>
      <c r="B9" s="14">
        <f t="shared" si="1"/>
        <v>-3</v>
      </c>
      <c r="C9" s="16">
        <v>4.0</v>
      </c>
      <c r="D9" s="16">
        <v>4.0</v>
      </c>
      <c r="E9" s="17">
        <v>0.0532</v>
      </c>
      <c r="F9" s="17">
        <v>0.058433333333333344</v>
      </c>
      <c r="G9" s="3">
        <v>387.0</v>
      </c>
      <c r="H9" s="3">
        <v>357.0</v>
      </c>
      <c r="I9" s="3">
        <v>123296.0</v>
      </c>
      <c r="J9" s="3">
        <v>160508.0</v>
      </c>
      <c r="K9" s="17">
        <v>0.0031387879574357644</v>
      </c>
      <c r="L9" s="17">
        <v>0.0022241882024571983</v>
      </c>
      <c r="M9" s="20">
        <v>43.605917312661504</v>
      </c>
      <c r="N9" s="20">
        <v>50.88560224089637</v>
      </c>
      <c r="O9" s="16">
        <v>16875.49</v>
      </c>
      <c r="P9" s="16">
        <v>18166.160000000003</v>
      </c>
      <c r="Q9" s="3">
        <v>6.0</v>
      </c>
      <c r="R9" s="3">
        <v>3.0</v>
      </c>
      <c r="S9" s="17">
        <v>0.015503875968992248</v>
      </c>
      <c r="T9" s="17">
        <v>0.008403361344537815</v>
      </c>
      <c r="U9" s="16">
        <v>106864.41</v>
      </c>
      <c r="V9" s="16">
        <v>63220.34</v>
      </c>
      <c r="W9" s="17">
        <v>0.15791496907155525</v>
      </c>
      <c r="X9" s="17">
        <v>0.2873467621338323</v>
      </c>
      <c r="Y9" s="20">
        <v>6.332521900104826</v>
      </c>
      <c r="Z9" s="20">
        <v>3.4801157757060373</v>
      </c>
      <c r="AA9" s="3">
        <v>9.0</v>
      </c>
    </row>
    <row r="10">
      <c r="A10" s="19" t="s">
        <v>62</v>
      </c>
      <c r="B10" s="3">
        <f t="shared" si="1"/>
        <v>7</v>
      </c>
      <c r="C10" s="16">
        <v>2.0</v>
      </c>
      <c r="D10" s="16">
        <v>2.0</v>
      </c>
      <c r="E10" s="17">
        <v>0.1384</v>
      </c>
      <c r="F10" s="17">
        <v>0.3433</v>
      </c>
      <c r="G10" s="3">
        <v>119.0</v>
      </c>
      <c r="H10" s="3">
        <v>408.0</v>
      </c>
      <c r="I10" s="3">
        <v>10353.0</v>
      </c>
      <c r="J10" s="3">
        <v>23914.0</v>
      </c>
      <c r="K10" s="17">
        <v>0.011494252873563218</v>
      </c>
      <c r="L10" s="17">
        <v>0.017061135736388726</v>
      </c>
      <c r="M10" s="20">
        <v>28.93361344537815</v>
      </c>
      <c r="N10" s="20">
        <v>42.711495098039215</v>
      </c>
      <c r="O10" s="16">
        <v>3443.1</v>
      </c>
      <c r="P10" s="16">
        <v>17426.29</v>
      </c>
      <c r="Q10" s="3">
        <v>0.0</v>
      </c>
      <c r="R10" s="3">
        <v>7.0</v>
      </c>
      <c r="S10" s="17">
        <v>0.0</v>
      </c>
      <c r="T10" s="17">
        <v>0.01715686274509804</v>
      </c>
      <c r="U10" s="16">
        <v>0.0</v>
      </c>
      <c r="V10" s="16">
        <v>98045.78</v>
      </c>
      <c r="W10" s="17">
        <v>0.0</v>
      </c>
      <c r="X10" s="17">
        <v>0.17773625749114344</v>
      </c>
      <c r="Y10" s="20">
        <v>0.0</v>
      </c>
      <c r="Z10" s="20">
        <v>5.626314034714216</v>
      </c>
      <c r="AA10" s="3">
        <v>7.0</v>
      </c>
    </row>
    <row r="11">
      <c r="A11" s="19" t="s">
        <v>64</v>
      </c>
      <c r="B11" s="14">
        <f t="shared" si="1"/>
        <v>-3</v>
      </c>
      <c r="C11" s="16">
        <v>16.0</v>
      </c>
      <c r="D11" s="16">
        <v>9.88888888888889</v>
      </c>
      <c r="E11" s="17">
        <v>0.20725555555555558</v>
      </c>
      <c r="F11" s="17">
        <v>0.24098888888888892</v>
      </c>
      <c r="G11" s="3">
        <v>867.0</v>
      </c>
      <c r="H11" s="3">
        <v>653.0</v>
      </c>
      <c r="I11" s="3">
        <v>29737.0</v>
      </c>
      <c r="J11" s="3">
        <v>18291.0</v>
      </c>
      <c r="K11" s="17">
        <v>0.02915559740390759</v>
      </c>
      <c r="L11" s="17">
        <v>0.03570061779017003</v>
      </c>
      <c r="M11" s="20">
        <v>10.977612456747405</v>
      </c>
      <c r="N11" s="20">
        <v>9.966569678407351</v>
      </c>
      <c r="O11" s="16">
        <v>9517.59</v>
      </c>
      <c r="P11" s="16">
        <v>6508.17</v>
      </c>
      <c r="Q11" s="3">
        <v>4.0</v>
      </c>
      <c r="R11" s="3">
        <v>1.0</v>
      </c>
      <c r="S11" s="17">
        <v>0.00461361014994233</v>
      </c>
      <c r="T11" s="17">
        <v>0.0015313935681470138</v>
      </c>
      <c r="U11" s="16">
        <v>72118.64</v>
      </c>
      <c r="V11" s="16">
        <v>25338.98</v>
      </c>
      <c r="W11" s="17">
        <v>0.13197129063997878</v>
      </c>
      <c r="X11" s="17">
        <v>0.2568441981484653</v>
      </c>
      <c r="Y11" s="20">
        <v>7.577405624743238</v>
      </c>
      <c r="Z11" s="20">
        <v>3.8934108973797548</v>
      </c>
      <c r="AA11" s="3">
        <v>5.0</v>
      </c>
    </row>
    <row r="12">
      <c r="A12" s="19" t="s">
        <v>66</v>
      </c>
      <c r="B12" s="14">
        <f t="shared" si="1"/>
        <v>-3</v>
      </c>
      <c r="C12" s="16">
        <v>1.0</v>
      </c>
      <c r="D12" s="16">
        <v>1.0</v>
      </c>
      <c r="E12" s="17">
        <v>0.9794</v>
      </c>
      <c r="F12" s="17">
        <v>0.9909</v>
      </c>
      <c r="G12" s="3">
        <v>168.0</v>
      </c>
      <c r="H12" s="3">
        <v>103.0</v>
      </c>
      <c r="I12" s="3">
        <v>37374.0</v>
      </c>
      <c r="J12" s="3">
        <v>31738.0</v>
      </c>
      <c r="K12" s="17">
        <v>0.004495103547921014</v>
      </c>
      <c r="L12" s="17">
        <v>0.0032453210662297563</v>
      </c>
      <c r="M12" s="20">
        <v>41.00071428571429</v>
      </c>
      <c r="N12" s="20">
        <v>75.61999999999999</v>
      </c>
      <c r="O12" s="16">
        <v>6888.12</v>
      </c>
      <c r="P12" s="16">
        <v>7788.86</v>
      </c>
      <c r="Q12" s="3">
        <v>4.0</v>
      </c>
      <c r="R12" s="3">
        <v>1.0</v>
      </c>
      <c r="S12" s="17">
        <v>0.023809523809523808</v>
      </c>
      <c r="T12" s="17">
        <v>0.009708737864077669</v>
      </c>
      <c r="U12" s="16">
        <v>74150.86</v>
      </c>
      <c r="V12" s="16">
        <v>12541.52</v>
      </c>
      <c r="W12" s="17">
        <v>0.09289332584949116</v>
      </c>
      <c r="X12" s="17">
        <v>0.6210459338262029</v>
      </c>
      <c r="Y12" s="20">
        <v>10.765036033054011</v>
      </c>
      <c r="Z12" s="20">
        <v>1.610186856613163</v>
      </c>
      <c r="AA12" s="3">
        <v>5.0</v>
      </c>
    </row>
    <row r="13">
      <c r="A13" s="19" t="s">
        <v>68</v>
      </c>
      <c r="B13" s="14">
        <f t="shared" si="1"/>
        <v>-5</v>
      </c>
      <c r="C13" s="16">
        <v>1.0</v>
      </c>
      <c r="D13" s="16">
        <v>1.2</v>
      </c>
      <c r="E13" s="17">
        <v>0.9035000000000001</v>
      </c>
      <c r="F13" s="17">
        <v>0.7988600000000001</v>
      </c>
      <c r="G13" s="3">
        <v>59.0</v>
      </c>
      <c r="H13" s="3">
        <v>38.0</v>
      </c>
      <c r="I13" s="3">
        <v>1637.0</v>
      </c>
      <c r="J13" s="3">
        <v>944.0</v>
      </c>
      <c r="K13" s="17">
        <v>0.03604153940134392</v>
      </c>
      <c r="L13" s="17">
        <v>0.04025423728813559</v>
      </c>
      <c r="M13" s="20">
        <v>14.088983050847459</v>
      </c>
      <c r="N13" s="20">
        <v>11.913684210526316</v>
      </c>
      <c r="O13" s="16">
        <v>831.25</v>
      </c>
      <c r="P13" s="16">
        <v>452.72</v>
      </c>
      <c r="Q13" s="3">
        <v>5.0</v>
      </c>
      <c r="R13" s="3">
        <v>0.0</v>
      </c>
      <c r="S13" s="17">
        <v>0.0847457627118644</v>
      </c>
      <c r="T13" s="17">
        <v>0.0</v>
      </c>
      <c r="U13" s="16">
        <v>64829.66</v>
      </c>
      <c r="V13" s="16">
        <v>0.0</v>
      </c>
      <c r="W13" s="17">
        <v>0.012822063234636739</v>
      </c>
      <c r="X13" s="17">
        <v>0.0</v>
      </c>
      <c r="Y13" s="20">
        <v>77.99056842105263</v>
      </c>
      <c r="Z13" s="20">
        <v>0.0</v>
      </c>
      <c r="AA13" s="3">
        <v>5.0</v>
      </c>
    </row>
    <row r="14">
      <c r="A14" s="19" t="s">
        <v>69</v>
      </c>
      <c r="B14" s="14">
        <f t="shared" si="1"/>
        <v>-5</v>
      </c>
      <c r="C14" s="16">
        <v>2.2</v>
      </c>
      <c r="D14" s="16">
        <v>1.6666666666666667</v>
      </c>
      <c r="E14" s="17">
        <v>0.32510000000000006</v>
      </c>
      <c r="F14" s="17">
        <v>0.302</v>
      </c>
      <c r="G14" s="3">
        <v>178.0</v>
      </c>
      <c r="H14" s="3">
        <v>112.0</v>
      </c>
      <c r="I14" s="3">
        <v>65959.0</v>
      </c>
      <c r="J14" s="3">
        <v>25303.0</v>
      </c>
      <c r="K14" s="17">
        <v>0.00269864612865568</v>
      </c>
      <c r="L14" s="17">
        <v>0.004426352606410307</v>
      </c>
      <c r="M14" s="20">
        <v>51.34533707865169</v>
      </c>
      <c r="N14" s="20">
        <v>53.620357142857145</v>
      </c>
      <c r="O14" s="16">
        <v>9139.470000000001</v>
      </c>
      <c r="P14" s="16">
        <v>6005.4800000000005</v>
      </c>
      <c r="Q14" s="3">
        <v>5.0</v>
      </c>
      <c r="R14" s="3">
        <v>0.0</v>
      </c>
      <c r="S14" s="17">
        <v>0.028089887640449437</v>
      </c>
      <c r="T14" s="17">
        <v>0.0</v>
      </c>
      <c r="U14" s="16">
        <v>98389.83</v>
      </c>
      <c r="V14" s="16">
        <v>0.0</v>
      </c>
      <c r="W14" s="17">
        <v>0.0928903932449116</v>
      </c>
      <c r="X14" s="17">
        <v>0.0</v>
      </c>
      <c r="Y14" s="20">
        <v>10.76537589159984</v>
      </c>
      <c r="Z14" s="20">
        <v>0.0</v>
      </c>
      <c r="AA14" s="3">
        <v>5.0</v>
      </c>
    </row>
    <row r="15">
      <c r="A15" s="19" t="s">
        <v>71</v>
      </c>
      <c r="B15" s="3">
        <f t="shared" si="1"/>
        <v>4</v>
      </c>
      <c r="C15" s="16">
        <v>60.0</v>
      </c>
      <c r="D15" s="16">
        <v>23.0</v>
      </c>
      <c r="E15" s="17">
        <v>0.0012</v>
      </c>
      <c r="F15" s="17">
        <v>0.0074</v>
      </c>
      <c r="G15" s="3">
        <v>8.0</v>
      </c>
      <c r="H15" s="3">
        <v>24.0</v>
      </c>
      <c r="I15" s="3">
        <v>395.0</v>
      </c>
      <c r="J15" s="3">
        <v>2131.0</v>
      </c>
      <c r="K15" s="17">
        <v>0.020253164556962026</v>
      </c>
      <c r="L15" s="17">
        <v>0.011262318160488035</v>
      </c>
      <c r="M15" s="20">
        <v>4.35125</v>
      </c>
      <c r="N15" s="20">
        <v>4.449583333333333</v>
      </c>
      <c r="O15" s="16">
        <v>34.81</v>
      </c>
      <c r="P15" s="16">
        <v>106.78999999999999</v>
      </c>
      <c r="Q15" s="3">
        <v>0.0</v>
      </c>
      <c r="R15" s="3">
        <v>4.0</v>
      </c>
      <c r="S15" s="17">
        <v>0.0</v>
      </c>
      <c r="T15" s="17">
        <v>0.16666666666666666</v>
      </c>
      <c r="U15" s="16">
        <v>0.0</v>
      </c>
      <c r="V15" s="16">
        <v>4064.4</v>
      </c>
      <c r="W15" s="17">
        <v>0.0</v>
      </c>
      <c r="X15" s="17">
        <v>0.026274480858183246</v>
      </c>
      <c r="Y15" s="20">
        <v>0.0</v>
      </c>
      <c r="Z15" s="20">
        <v>38.0597434216687</v>
      </c>
      <c r="AA15" s="3">
        <v>4.0</v>
      </c>
    </row>
    <row r="16">
      <c r="A16" s="19" t="s">
        <v>73</v>
      </c>
      <c r="B16" s="14">
        <f t="shared" si="1"/>
        <v>-2</v>
      </c>
      <c r="C16" s="16">
        <v>6.0</v>
      </c>
      <c r="D16" s="16">
        <v>7.0</v>
      </c>
      <c r="E16" s="17">
        <v>0.0427</v>
      </c>
      <c r="F16" s="17">
        <v>0.0153</v>
      </c>
      <c r="G16" s="3">
        <v>57.0</v>
      </c>
      <c r="H16" s="3">
        <v>23.0</v>
      </c>
      <c r="I16" s="3">
        <v>1853.0</v>
      </c>
      <c r="J16" s="3">
        <v>390.0</v>
      </c>
      <c r="K16" s="17">
        <v>0.03076092822450081</v>
      </c>
      <c r="L16" s="17">
        <v>0.05897435897435897</v>
      </c>
      <c r="M16" s="20">
        <v>3.2742105263157892</v>
      </c>
      <c r="N16" s="20">
        <v>4.137391304347826</v>
      </c>
      <c r="O16" s="16">
        <v>186.63</v>
      </c>
      <c r="P16" s="16">
        <v>95.16</v>
      </c>
      <c r="Q16" s="3">
        <v>3.0</v>
      </c>
      <c r="R16" s="3">
        <v>1.0</v>
      </c>
      <c r="S16" s="17">
        <v>0.05263157894736842</v>
      </c>
      <c r="T16" s="17">
        <v>0.043478260869565216</v>
      </c>
      <c r="U16" s="16">
        <v>3048.3</v>
      </c>
      <c r="V16" s="16">
        <v>1016.1</v>
      </c>
      <c r="W16" s="17">
        <v>0.06122428894793819</v>
      </c>
      <c r="X16" s="17">
        <v>0.09365219958665486</v>
      </c>
      <c r="Y16" s="20">
        <v>16.333386915286933</v>
      </c>
      <c r="Z16" s="20">
        <v>10.677805800756621</v>
      </c>
      <c r="AA16" s="3">
        <v>4.0</v>
      </c>
    </row>
    <row r="17">
      <c r="A17" s="19" t="s">
        <v>74</v>
      </c>
      <c r="B17" s="14">
        <f t="shared" si="1"/>
        <v>-2</v>
      </c>
      <c r="C17" s="16">
        <v>1.0</v>
      </c>
      <c r="D17" s="16">
        <v>1.0</v>
      </c>
      <c r="E17" s="17">
        <v>0.907225</v>
      </c>
      <c r="F17" s="17">
        <v>1.0</v>
      </c>
      <c r="G17" s="3">
        <v>25.0</v>
      </c>
      <c r="H17" s="3">
        <v>21.0</v>
      </c>
      <c r="I17" s="3">
        <v>416.0</v>
      </c>
      <c r="J17" s="3">
        <v>353.0</v>
      </c>
      <c r="K17" s="17">
        <v>0.06009615384615385</v>
      </c>
      <c r="L17" s="17">
        <v>0.059490084985835696</v>
      </c>
      <c r="M17" s="20">
        <v>8.476399999999998</v>
      </c>
      <c r="N17" s="20">
        <v>11.840000000000002</v>
      </c>
      <c r="O17" s="16">
        <v>211.90999999999997</v>
      </c>
      <c r="P17" s="16">
        <v>248.64000000000004</v>
      </c>
      <c r="Q17" s="3">
        <v>3.0</v>
      </c>
      <c r="R17" s="3">
        <v>1.0</v>
      </c>
      <c r="S17" s="17">
        <v>0.12</v>
      </c>
      <c r="T17" s="17">
        <v>0.047619047619047616</v>
      </c>
      <c r="U17" s="16">
        <v>40427.12</v>
      </c>
      <c r="V17" s="16">
        <v>21016.94</v>
      </c>
      <c r="W17" s="17">
        <v>0.005241778291404383</v>
      </c>
      <c r="X17" s="17">
        <v>0.011830456764876335</v>
      </c>
      <c r="Y17" s="20">
        <v>190.77495163040916</v>
      </c>
      <c r="Z17" s="20">
        <v>84.52759009009007</v>
      </c>
      <c r="AA17" s="3">
        <v>4.0</v>
      </c>
    </row>
    <row r="18">
      <c r="A18" s="19" t="s">
        <v>75</v>
      </c>
      <c r="B18" s="3">
        <f t="shared" si="1"/>
        <v>2</v>
      </c>
      <c r="C18" s="16">
        <v>7.0</v>
      </c>
      <c r="D18" s="16">
        <v>3.142857142857143</v>
      </c>
      <c r="E18" s="17">
        <v>0.08147499999999999</v>
      </c>
      <c r="F18" s="17">
        <v>0.17752857142857145</v>
      </c>
      <c r="G18" s="3">
        <v>205.0</v>
      </c>
      <c r="H18" s="3">
        <v>330.0</v>
      </c>
      <c r="I18" s="3">
        <v>12885.0</v>
      </c>
      <c r="J18" s="3">
        <v>19523.0</v>
      </c>
      <c r="K18" s="17">
        <v>0.01590997283663174</v>
      </c>
      <c r="L18" s="17">
        <v>0.016903139886287968</v>
      </c>
      <c r="M18" s="20">
        <v>30.344780487804876</v>
      </c>
      <c r="N18" s="20">
        <v>35.05527272727273</v>
      </c>
      <c r="O18" s="16">
        <v>6220.679999999999</v>
      </c>
      <c r="P18" s="16">
        <v>11568.24</v>
      </c>
      <c r="Q18" s="3">
        <v>1.0</v>
      </c>
      <c r="R18" s="3">
        <v>3.0</v>
      </c>
      <c r="S18" s="17">
        <v>0.004878048780487805</v>
      </c>
      <c r="T18" s="17">
        <v>0.00909090909090909</v>
      </c>
      <c r="U18" s="16">
        <v>17966.1</v>
      </c>
      <c r="V18" s="16">
        <v>53898.299999999996</v>
      </c>
      <c r="W18" s="17">
        <v>0.3462454288910782</v>
      </c>
      <c r="X18" s="17">
        <v>0.21463088817272533</v>
      </c>
      <c r="Y18" s="20">
        <v>2.8881247709253652</v>
      </c>
      <c r="Z18" s="20">
        <v>4.659161635650713</v>
      </c>
      <c r="AA18" s="3">
        <v>4.0</v>
      </c>
    </row>
    <row r="19">
      <c r="A19" s="19" t="s">
        <v>76</v>
      </c>
      <c r="B19" s="14">
        <f t="shared" si="1"/>
        <v>-1</v>
      </c>
      <c r="C19" s="16">
        <v>5.0</v>
      </c>
      <c r="D19" s="16">
        <v>4.0</v>
      </c>
      <c r="E19" s="17">
        <v>0.0474</v>
      </c>
      <c r="F19" s="17">
        <v>0.1289</v>
      </c>
      <c r="G19" s="3">
        <v>27.0</v>
      </c>
      <c r="H19" s="3">
        <v>50.0</v>
      </c>
      <c r="I19" s="3">
        <v>1697.0</v>
      </c>
      <c r="J19" s="3">
        <v>4251.0</v>
      </c>
      <c r="K19" s="17">
        <v>0.015910430170889805</v>
      </c>
      <c r="L19" s="17">
        <v>0.011761938367442954</v>
      </c>
      <c r="M19" s="20">
        <v>4.315555555555555</v>
      </c>
      <c r="N19" s="20">
        <v>4.721</v>
      </c>
      <c r="O19" s="16">
        <v>116.52</v>
      </c>
      <c r="P19" s="16">
        <v>236.05</v>
      </c>
      <c r="Q19" s="3">
        <v>2.0</v>
      </c>
      <c r="R19" s="3">
        <v>1.0</v>
      </c>
      <c r="S19" s="17">
        <v>0.07407407407407407</v>
      </c>
      <c r="T19" s="17">
        <v>0.02</v>
      </c>
      <c r="U19" s="16">
        <v>1819.49</v>
      </c>
      <c r="V19" s="16">
        <v>1016.1</v>
      </c>
      <c r="W19" s="17">
        <v>0.06403992327520348</v>
      </c>
      <c r="X19" s="17">
        <v>0.23230981202637535</v>
      </c>
      <c r="Y19" s="20">
        <v>15.615259182972881</v>
      </c>
      <c r="Z19" s="20">
        <v>4.304596483795806</v>
      </c>
      <c r="AA19" s="3">
        <v>3.0</v>
      </c>
    </row>
    <row r="20">
      <c r="A20" s="19" t="s">
        <v>77</v>
      </c>
      <c r="B20" s="3">
        <f t="shared" si="1"/>
        <v>1</v>
      </c>
      <c r="C20" s="16">
        <v>4.0</v>
      </c>
      <c r="D20" s="16">
        <v>1.0</v>
      </c>
      <c r="E20" s="17">
        <v>0.0678</v>
      </c>
      <c r="F20" s="17">
        <v>0.1814</v>
      </c>
      <c r="G20" s="3">
        <v>15.0</v>
      </c>
      <c r="H20" s="3">
        <v>10.0</v>
      </c>
      <c r="I20" s="3">
        <v>272.0</v>
      </c>
      <c r="J20" s="3">
        <v>164.0</v>
      </c>
      <c r="K20" s="17">
        <v>0.05514705882352941</v>
      </c>
      <c r="L20" s="17">
        <v>0.06097560975609756</v>
      </c>
      <c r="M20" s="20">
        <v>3.226</v>
      </c>
      <c r="N20" s="20">
        <v>3.846</v>
      </c>
      <c r="O20" s="16">
        <v>48.39</v>
      </c>
      <c r="P20" s="16">
        <v>38.46</v>
      </c>
      <c r="Q20" s="3">
        <v>1.0</v>
      </c>
      <c r="R20" s="3">
        <v>2.0</v>
      </c>
      <c r="S20" s="17">
        <v>0.06666666666666667</v>
      </c>
      <c r="T20" s="17">
        <v>0.2</v>
      </c>
      <c r="U20" s="16">
        <v>1016.1</v>
      </c>
      <c r="V20" s="16">
        <v>3048.3</v>
      </c>
      <c r="W20" s="17">
        <v>0.047623265426631235</v>
      </c>
      <c r="X20" s="17">
        <v>0.012616868418462749</v>
      </c>
      <c r="Y20" s="20">
        <v>20.998140111593305</v>
      </c>
      <c r="Z20" s="20">
        <v>79.25897035881435</v>
      </c>
      <c r="AA20" s="3">
        <v>3.0</v>
      </c>
    </row>
    <row r="21" ht="15.75" customHeight="1">
      <c r="A21" s="19" t="s">
        <v>78</v>
      </c>
      <c r="B21" s="14">
        <f t="shared" si="1"/>
        <v>-1</v>
      </c>
      <c r="C21" s="16">
        <v>1.0</v>
      </c>
      <c r="D21" s="16">
        <v>1.0</v>
      </c>
      <c r="E21" s="17">
        <v>0.9059666666666667</v>
      </c>
      <c r="F21" s="17">
        <v>1.0</v>
      </c>
      <c r="G21" s="3">
        <v>43.0</v>
      </c>
      <c r="H21" s="3">
        <v>6.0</v>
      </c>
      <c r="I21" s="3">
        <v>1252.0</v>
      </c>
      <c r="J21" s="3">
        <v>211.0</v>
      </c>
      <c r="K21" s="17">
        <v>0.034345047923322686</v>
      </c>
      <c r="L21" s="17">
        <v>0.02843601895734597</v>
      </c>
      <c r="M21" s="20">
        <v>25.523255813953487</v>
      </c>
      <c r="N21" s="20">
        <v>23.67833333333333</v>
      </c>
      <c r="O21" s="16">
        <v>1097.5</v>
      </c>
      <c r="P21" s="16">
        <v>142.07</v>
      </c>
      <c r="Q21" s="3">
        <v>2.0</v>
      </c>
      <c r="R21" s="3">
        <v>1.0</v>
      </c>
      <c r="S21" s="17">
        <v>0.046511627906976744</v>
      </c>
      <c r="T21" s="17">
        <v>0.16666666666666666</v>
      </c>
      <c r="U21" s="16">
        <v>54915.259999999995</v>
      </c>
      <c r="V21" s="16">
        <v>10084.75</v>
      </c>
      <c r="W21" s="17">
        <v>0.019985337408946077</v>
      </c>
      <c r="X21" s="17">
        <v>0.014087607526215325</v>
      </c>
      <c r="Y21" s="20">
        <v>50.0366833712984</v>
      </c>
      <c r="Z21" s="20">
        <v>70.98437390019005</v>
      </c>
      <c r="AA21" s="3">
        <v>3.0</v>
      </c>
    </row>
    <row r="22" ht="15.75" customHeight="1">
      <c r="A22" s="19" t="s">
        <v>79</v>
      </c>
      <c r="B22" s="3">
        <f t="shared" si="1"/>
        <v>0</v>
      </c>
      <c r="C22" s="16">
        <v>2.0</v>
      </c>
      <c r="D22" s="16">
        <v>1.0</v>
      </c>
      <c r="E22" s="17">
        <v>0.1169</v>
      </c>
      <c r="F22" s="17">
        <v>0.6233</v>
      </c>
      <c r="G22" s="3">
        <v>78.0</v>
      </c>
      <c r="H22" s="3">
        <v>43.0</v>
      </c>
      <c r="I22" s="3">
        <v>21479.0</v>
      </c>
      <c r="J22" s="3">
        <v>11068.0</v>
      </c>
      <c r="K22" s="17">
        <v>0.0036314539783043904</v>
      </c>
      <c r="L22" s="17">
        <v>0.0038850740874593424</v>
      </c>
      <c r="M22" s="20">
        <v>24.760897435897434</v>
      </c>
      <c r="N22" s="20">
        <v>22.290232558139536</v>
      </c>
      <c r="O22" s="16">
        <v>1931.35</v>
      </c>
      <c r="P22" s="16">
        <v>958.48</v>
      </c>
      <c r="Q22" s="3">
        <v>1.0</v>
      </c>
      <c r="R22" s="3">
        <v>1.0</v>
      </c>
      <c r="S22" s="17">
        <v>0.01282051282051282</v>
      </c>
      <c r="T22" s="17">
        <v>0.023255813953488372</v>
      </c>
      <c r="U22" s="16">
        <v>5000.0</v>
      </c>
      <c r="V22" s="16">
        <v>5000.0</v>
      </c>
      <c r="W22" s="17">
        <v>0.38627</v>
      </c>
      <c r="X22" s="17">
        <v>0.191696</v>
      </c>
      <c r="Y22" s="20">
        <v>2.5888627126103505</v>
      </c>
      <c r="Z22" s="20">
        <v>5.216592938819798</v>
      </c>
      <c r="AA22" s="3">
        <v>2.0</v>
      </c>
    </row>
    <row r="23" ht="15.75" customHeight="1">
      <c r="A23" s="19" t="s">
        <v>80</v>
      </c>
      <c r="B23" s="3">
        <f t="shared" si="1"/>
        <v>0</v>
      </c>
      <c r="C23" s="16">
        <v>2.0</v>
      </c>
      <c r="D23" s="16">
        <v>2.0</v>
      </c>
      <c r="E23" s="17">
        <v>0.1989</v>
      </c>
      <c r="F23" s="17">
        <v>0.1445</v>
      </c>
      <c r="G23" s="3">
        <v>226.0</v>
      </c>
      <c r="H23" s="3">
        <v>124.0</v>
      </c>
      <c r="I23" s="3">
        <v>21636.0</v>
      </c>
      <c r="J23" s="3">
        <v>11664.0</v>
      </c>
      <c r="K23" s="17">
        <v>0.010445553706784988</v>
      </c>
      <c r="L23" s="17">
        <v>0.010631001371742112</v>
      </c>
      <c r="M23" s="20">
        <v>28.99778761061947</v>
      </c>
      <c r="N23" s="20">
        <v>25.593064516129033</v>
      </c>
      <c r="O23" s="16">
        <v>6553.5</v>
      </c>
      <c r="P23" s="16">
        <v>3173.54</v>
      </c>
      <c r="Q23" s="3">
        <v>1.0</v>
      </c>
      <c r="R23" s="3">
        <v>1.0</v>
      </c>
      <c r="S23" s="17">
        <v>0.004424778761061947</v>
      </c>
      <c r="T23" s="17">
        <v>0.008064516129032258</v>
      </c>
      <c r="U23" s="16">
        <v>12541.53</v>
      </c>
      <c r="V23" s="16">
        <v>12541.53</v>
      </c>
      <c r="W23" s="17">
        <v>0.5225439001461544</v>
      </c>
      <c r="X23" s="17">
        <v>0.2530424916258224</v>
      </c>
      <c r="Y23" s="20">
        <v>1.9137148088807507</v>
      </c>
      <c r="Z23" s="20">
        <v>3.9519054431329055</v>
      </c>
      <c r="AA23" s="3">
        <v>2.0</v>
      </c>
    </row>
    <row r="24" ht="15.75" customHeight="1">
      <c r="A24" s="19" t="s">
        <v>82</v>
      </c>
      <c r="B24" s="14">
        <f t="shared" si="1"/>
        <v>-2</v>
      </c>
      <c r="C24" s="16">
        <v>2.0</v>
      </c>
      <c r="D24" s="16">
        <v>2.0</v>
      </c>
      <c r="E24" s="17">
        <v>0.213</v>
      </c>
      <c r="F24" s="17">
        <v>0.2916</v>
      </c>
      <c r="G24" s="3">
        <v>23.0</v>
      </c>
      <c r="H24" s="3">
        <v>25.0</v>
      </c>
      <c r="I24" s="3">
        <v>588.0</v>
      </c>
      <c r="J24" s="3">
        <v>520.0</v>
      </c>
      <c r="K24" s="17">
        <v>0.0391156462585034</v>
      </c>
      <c r="L24" s="17">
        <v>0.04807692307692308</v>
      </c>
      <c r="M24" s="20">
        <v>33.94347826086956</v>
      </c>
      <c r="N24" s="20">
        <v>36.346399999999996</v>
      </c>
      <c r="O24" s="16">
        <v>780.6999999999999</v>
      </c>
      <c r="P24" s="16">
        <v>908.66</v>
      </c>
      <c r="Q24" s="3">
        <v>2.0</v>
      </c>
      <c r="R24" s="3">
        <v>0.0</v>
      </c>
      <c r="S24" s="17">
        <v>0.08695652173913043</v>
      </c>
      <c r="T24" s="17">
        <v>0.0</v>
      </c>
      <c r="U24" s="16">
        <v>25083.05</v>
      </c>
      <c r="V24" s="16">
        <v>0.0</v>
      </c>
      <c r="W24" s="17">
        <v>0.03112460406529509</v>
      </c>
      <c r="X24" s="17">
        <v>0.0</v>
      </c>
      <c r="Y24" s="20">
        <v>32.12892276162419</v>
      </c>
      <c r="Z24" s="20">
        <v>0.0</v>
      </c>
      <c r="AA24" s="3">
        <v>2.0</v>
      </c>
    </row>
    <row r="25" ht="15.75" customHeight="1">
      <c r="A25" s="19" t="s">
        <v>84</v>
      </c>
      <c r="B25" s="14">
        <f t="shared" si="1"/>
        <v>-2</v>
      </c>
      <c r="C25" s="16">
        <v>1.0</v>
      </c>
      <c r="D25" s="16">
        <v>1.0</v>
      </c>
      <c r="E25" s="17">
        <v>0.4041</v>
      </c>
      <c r="F25" s="17">
        <v>0.5941</v>
      </c>
      <c r="G25" s="3">
        <v>81.0</v>
      </c>
      <c r="H25" s="3">
        <v>39.0</v>
      </c>
      <c r="I25" s="3">
        <v>16032.0</v>
      </c>
      <c r="J25" s="3">
        <v>17711.0</v>
      </c>
      <c r="K25" s="17">
        <v>0.005052395209580838</v>
      </c>
      <c r="L25" s="17">
        <v>0.002202021342668398</v>
      </c>
      <c r="M25" s="20">
        <v>39.22839506172839</v>
      </c>
      <c r="N25" s="20">
        <v>49.62692307692308</v>
      </c>
      <c r="O25" s="16">
        <v>3177.5</v>
      </c>
      <c r="P25" s="16">
        <v>1935.45</v>
      </c>
      <c r="Q25" s="3">
        <v>2.0</v>
      </c>
      <c r="R25" s="3">
        <v>0.0</v>
      </c>
      <c r="S25" s="17">
        <v>0.024691358024691357</v>
      </c>
      <c r="T25" s="17">
        <v>0.0</v>
      </c>
      <c r="U25" s="16">
        <v>30507.63</v>
      </c>
      <c r="V25" s="16">
        <v>0.0</v>
      </c>
      <c r="W25" s="17">
        <v>0.10415427222632502</v>
      </c>
      <c r="X25" s="17">
        <v>0.0</v>
      </c>
      <c r="Y25" s="20">
        <v>9.601142407553109</v>
      </c>
      <c r="Z25" s="20">
        <v>0.0</v>
      </c>
      <c r="AA25" s="3">
        <v>2.0</v>
      </c>
    </row>
    <row r="26" ht="15.75" customHeight="1">
      <c r="A26" s="19" t="s">
        <v>91</v>
      </c>
      <c r="B26" s="3">
        <f t="shared" si="1"/>
        <v>2</v>
      </c>
      <c r="C26" s="16">
        <v>4.0</v>
      </c>
      <c r="D26" s="16">
        <v>1.0</v>
      </c>
      <c r="E26" s="17">
        <v>0.0349</v>
      </c>
      <c r="F26" s="17">
        <v>0.9954</v>
      </c>
      <c r="G26" s="3">
        <v>1.0</v>
      </c>
      <c r="H26" s="3">
        <v>100.0</v>
      </c>
      <c r="I26" s="3">
        <v>32.0</v>
      </c>
      <c r="J26" s="3">
        <v>4969.0</v>
      </c>
      <c r="K26" s="17">
        <v>0.03125</v>
      </c>
      <c r="L26" s="17">
        <v>0.02012477359629704</v>
      </c>
      <c r="M26" s="20">
        <v>10.21</v>
      </c>
      <c r="N26" s="20">
        <v>29.8803</v>
      </c>
      <c r="O26" s="16">
        <v>10.21</v>
      </c>
      <c r="P26" s="16">
        <v>2988.0299999999997</v>
      </c>
      <c r="Q26" s="3">
        <v>0.0</v>
      </c>
      <c r="R26" s="3">
        <v>2.0</v>
      </c>
      <c r="S26" s="17">
        <v>0.0</v>
      </c>
      <c r="T26" s="17">
        <v>0.02</v>
      </c>
      <c r="U26" s="16">
        <v>0.0</v>
      </c>
      <c r="V26" s="16">
        <v>63474.58</v>
      </c>
      <c r="W26" s="17">
        <v>0.0</v>
      </c>
      <c r="X26" s="17">
        <v>0.04707443515183558</v>
      </c>
      <c r="Y26" s="20">
        <v>0.0</v>
      </c>
      <c r="Z26" s="20">
        <v>21.24295271466485</v>
      </c>
      <c r="AA26" s="3">
        <v>2.0</v>
      </c>
    </row>
    <row r="27" ht="15.75" customHeight="1">
      <c r="A27" s="19" t="s">
        <v>92</v>
      </c>
      <c r="B27" s="3">
        <f t="shared" si="1"/>
        <v>0</v>
      </c>
      <c r="C27" s="16">
        <v>7.0</v>
      </c>
      <c r="D27" s="16">
        <v>3.0</v>
      </c>
      <c r="E27" s="17">
        <v>0.0176</v>
      </c>
      <c r="F27" s="17">
        <v>0.0817</v>
      </c>
      <c r="G27" s="3">
        <v>8.0</v>
      </c>
      <c r="H27" s="3">
        <v>21.0</v>
      </c>
      <c r="I27" s="3">
        <v>499.0</v>
      </c>
      <c r="J27" s="3">
        <v>2469.0</v>
      </c>
      <c r="K27" s="17">
        <v>0.01603206412825651</v>
      </c>
      <c r="L27" s="17">
        <v>0.00850546780072904</v>
      </c>
      <c r="M27" s="20">
        <v>4.52625</v>
      </c>
      <c r="N27" s="20">
        <v>4.450952380952381</v>
      </c>
      <c r="O27" s="16">
        <v>36.21</v>
      </c>
      <c r="P27" s="16">
        <v>93.47</v>
      </c>
      <c r="Q27" s="3">
        <v>1.0</v>
      </c>
      <c r="R27" s="3">
        <v>1.0</v>
      </c>
      <c r="S27" s="17">
        <v>0.125</v>
      </c>
      <c r="T27" s="17">
        <v>0.047619047619047616</v>
      </c>
      <c r="U27" s="16">
        <v>1016.1</v>
      </c>
      <c r="V27" s="16">
        <v>1016.1</v>
      </c>
      <c r="W27" s="17">
        <v>0.03563625627398878</v>
      </c>
      <c r="X27" s="17">
        <v>0.09198897746284815</v>
      </c>
      <c r="Y27" s="20">
        <v>28.061309030654517</v>
      </c>
      <c r="Z27" s="20">
        <v>10.87086765807211</v>
      </c>
      <c r="AA27" s="3">
        <v>2.0</v>
      </c>
    </row>
    <row r="28" ht="15.75" customHeight="1">
      <c r="A28" s="19" t="s">
        <v>97</v>
      </c>
      <c r="B28" s="14">
        <f t="shared" si="1"/>
        <v>-2</v>
      </c>
      <c r="C28" s="16">
        <v>1.0</v>
      </c>
      <c r="D28" s="16">
        <v>1.0</v>
      </c>
      <c r="E28" s="17">
        <v>0.8768</v>
      </c>
      <c r="F28" s="17">
        <v>0.9626</v>
      </c>
      <c r="G28" s="3">
        <v>91.0</v>
      </c>
      <c r="H28" s="3">
        <v>74.0</v>
      </c>
      <c r="I28" s="3">
        <v>6880.0</v>
      </c>
      <c r="J28" s="3">
        <v>4834.0</v>
      </c>
      <c r="K28" s="17">
        <v>0.013226744186046512</v>
      </c>
      <c r="L28" s="17">
        <v>0.015308233347124535</v>
      </c>
      <c r="M28" s="20">
        <v>24.214065934065935</v>
      </c>
      <c r="N28" s="20">
        <v>39.00418918918919</v>
      </c>
      <c r="O28" s="16">
        <v>2203.48</v>
      </c>
      <c r="P28" s="16">
        <v>2886.31</v>
      </c>
      <c r="Q28" s="3">
        <v>2.0</v>
      </c>
      <c r="R28" s="3">
        <v>0.0</v>
      </c>
      <c r="S28" s="17">
        <v>0.02197802197802198</v>
      </c>
      <c r="T28" s="17">
        <v>0.0</v>
      </c>
      <c r="U28" s="16">
        <v>30507.63</v>
      </c>
      <c r="V28" s="16">
        <v>0.0</v>
      </c>
      <c r="W28" s="17">
        <v>0.07222717726680178</v>
      </c>
      <c r="X28" s="17">
        <v>0.0</v>
      </c>
      <c r="Y28" s="20">
        <v>13.845203950115273</v>
      </c>
      <c r="Z28" s="20">
        <v>0.0</v>
      </c>
      <c r="AA28" s="3">
        <v>2.0</v>
      </c>
    </row>
    <row r="29" ht="15.75" customHeight="1">
      <c r="A29" s="19" t="s">
        <v>101</v>
      </c>
      <c r="B29" s="3">
        <f t="shared" si="1"/>
        <v>0</v>
      </c>
      <c r="C29" s="16">
        <v>1.0</v>
      </c>
      <c r="D29" s="16">
        <v>1.0</v>
      </c>
      <c r="E29" s="17">
        <v>0.6064</v>
      </c>
      <c r="F29" s="17">
        <v>0.7168</v>
      </c>
      <c r="G29" s="3">
        <v>28.0</v>
      </c>
      <c r="H29" s="3">
        <v>26.0</v>
      </c>
      <c r="I29" s="3">
        <v>7172.0</v>
      </c>
      <c r="J29" s="3">
        <v>6296.0</v>
      </c>
      <c r="K29" s="17">
        <v>0.0039040713887339654</v>
      </c>
      <c r="L29" s="17">
        <v>0.004129606099110546</v>
      </c>
      <c r="M29" s="20">
        <v>46.528571428571425</v>
      </c>
      <c r="N29" s="20">
        <v>52.785000000000004</v>
      </c>
      <c r="O29" s="16">
        <v>1302.8</v>
      </c>
      <c r="P29" s="16">
        <v>1372.41</v>
      </c>
      <c r="Q29" s="3">
        <v>1.0</v>
      </c>
      <c r="R29" s="3">
        <v>1.0</v>
      </c>
      <c r="S29" s="17">
        <v>0.03571428571428571</v>
      </c>
      <c r="T29" s="17">
        <v>0.038461538461538464</v>
      </c>
      <c r="U29" s="16">
        <v>21016.95</v>
      </c>
      <c r="V29" s="16">
        <v>26186.44</v>
      </c>
      <c r="W29" s="17">
        <v>0.0619880620166104</v>
      </c>
      <c r="X29" s="17">
        <v>0.05240918582289155</v>
      </c>
      <c r="Y29" s="20">
        <v>16.13213847098557</v>
      </c>
      <c r="Z29" s="20">
        <v>19.080624594691088</v>
      </c>
      <c r="AA29" s="3">
        <v>2.0</v>
      </c>
    </row>
    <row r="30" ht="15.75" customHeight="1">
      <c r="A30" s="19" t="s">
        <v>103</v>
      </c>
      <c r="B30" s="3">
        <f t="shared" si="1"/>
        <v>2</v>
      </c>
      <c r="C30" s="16">
        <v>1.0</v>
      </c>
      <c r="D30" s="16">
        <v>1.0</v>
      </c>
      <c r="E30" s="17">
        <v>0.9649</v>
      </c>
      <c r="F30" s="17">
        <v>0.9887</v>
      </c>
      <c r="G30" s="3">
        <v>31.0</v>
      </c>
      <c r="H30" s="3">
        <v>51.0</v>
      </c>
      <c r="I30" s="3">
        <v>6248.0</v>
      </c>
      <c r="J30" s="3">
        <v>13270.0</v>
      </c>
      <c r="K30" s="17">
        <v>0.004961587708066581</v>
      </c>
      <c r="L30" s="17">
        <v>0.0038432554634513943</v>
      </c>
      <c r="M30" s="20">
        <v>62.66129032258065</v>
      </c>
      <c r="N30" s="20">
        <v>69.21176470588236</v>
      </c>
      <c r="O30" s="16">
        <v>1942.5</v>
      </c>
      <c r="P30" s="16">
        <v>3529.8</v>
      </c>
      <c r="Q30" s="3">
        <v>0.0</v>
      </c>
      <c r="R30" s="3">
        <v>2.0</v>
      </c>
      <c r="S30" s="17">
        <v>0.0</v>
      </c>
      <c r="T30" s="17">
        <v>0.0392156862745098</v>
      </c>
      <c r="U30" s="16">
        <v>0.0</v>
      </c>
      <c r="V30" s="16">
        <v>42033.89</v>
      </c>
      <c r="W30" s="17">
        <v>0.0</v>
      </c>
      <c r="X30" s="17">
        <v>0.08397509723701518</v>
      </c>
      <c r="Y30" s="20">
        <v>0.0</v>
      </c>
      <c r="Z30" s="20">
        <v>11.908292254518669</v>
      </c>
      <c r="AA30" s="3">
        <v>2.0</v>
      </c>
    </row>
    <row r="31" ht="15.75" customHeight="1">
      <c r="A31" s="19" t="s">
        <v>104</v>
      </c>
      <c r="B31" s="3">
        <f t="shared" si="1"/>
        <v>2</v>
      </c>
      <c r="C31" s="16">
        <v>1.0</v>
      </c>
      <c r="D31" s="16">
        <v>1.0</v>
      </c>
      <c r="E31" s="17">
        <v>0.9997</v>
      </c>
      <c r="F31" s="17">
        <v>0.9985</v>
      </c>
      <c r="G31" s="3">
        <v>21.0</v>
      </c>
      <c r="H31" s="3">
        <v>36.0</v>
      </c>
      <c r="I31" s="3">
        <v>3388.0</v>
      </c>
      <c r="J31" s="3">
        <v>5927.0</v>
      </c>
      <c r="K31" s="17">
        <v>0.006198347107438017</v>
      </c>
      <c r="L31" s="17">
        <v>0.006073899105787076</v>
      </c>
      <c r="M31" s="20">
        <v>30.875714285714285</v>
      </c>
      <c r="N31" s="20">
        <v>37.497499999999995</v>
      </c>
      <c r="O31" s="16">
        <v>648.39</v>
      </c>
      <c r="P31" s="16">
        <v>1349.9099999999999</v>
      </c>
      <c r="Q31" s="3">
        <v>0.0</v>
      </c>
      <c r="R31" s="3">
        <v>2.0</v>
      </c>
      <c r="S31" s="17">
        <v>0.0</v>
      </c>
      <c r="T31" s="17">
        <v>0.05555555555555555</v>
      </c>
      <c r="U31" s="16">
        <v>0.0</v>
      </c>
      <c r="V31" s="16">
        <v>40762.71</v>
      </c>
      <c r="W31" s="17">
        <v>0.0</v>
      </c>
      <c r="X31" s="17">
        <v>0.03311629673296991</v>
      </c>
      <c r="Y31" s="20">
        <v>0.0</v>
      </c>
      <c r="Z31" s="20">
        <v>30.196613107540504</v>
      </c>
      <c r="AA31" s="3">
        <v>2.0</v>
      </c>
    </row>
    <row r="32" ht="15.75" customHeight="1">
      <c r="A32" s="19" t="s">
        <v>105</v>
      </c>
      <c r="B32" s="14">
        <f t="shared" si="1"/>
        <v>-2</v>
      </c>
      <c r="C32" s="16">
        <v>1.0</v>
      </c>
      <c r="D32" s="16">
        <v>1.0</v>
      </c>
      <c r="E32" s="17">
        <v>0.9891</v>
      </c>
      <c r="F32" s="17">
        <v>0.9212</v>
      </c>
      <c r="G32" s="3">
        <v>30.0</v>
      </c>
      <c r="H32" s="3">
        <v>7.0</v>
      </c>
      <c r="I32" s="3">
        <v>6992.0</v>
      </c>
      <c r="J32" s="3">
        <v>1111.0</v>
      </c>
      <c r="K32" s="17">
        <v>0.004290617848970252</v>
      </c>
      <c r="L32" s="17">
        <v>0.0063006300630063005</v>
      </c>
      <c r="M32" s="20">
        <v>26.080666666666666</v>
      </c>
      <c r="N32" s="20">
        <v>45.79857142857143</v>
      </c>
      <c r="O32" s="16">
        <v>782.42</v>
      </c>
      <c r="P32" s="16">
        <v>320.59</v>
      </c>
      <c r="Q32" s="3">
        <v>2.0</v>
      </c>
      <c r="R32" s="3">
        <v>0.0</v>
      </c>
      <c r="S32" s="17">
        <v>0.06666666666666667</v>
      </c>
      <c r="T32" s="17">
        <v>0.0</v>
      </c>
      <c r="U32" s="16">
        <v>25870.33</v>
      </c>
      <c r="V32" s="16">
        <v>0.0</v>
      </c>
      <c r="W32" s="17">
        <v>0.030243912621137802</v>
      </c>
      <c r="X32" s="17">
        <v>0.0</v>
      </c>
      <c r="Y32" s="20">
        <v>33.06450499731602</v>
      </c>
      <c r="Z32" s="20">
        <v>0.0</v>
      </c>
      <c r="AA32" s="3">
        <v>2.0</v>
      </c>
    </row>
    <row r="33" ht="15.75" customHeight="1">
      <c r="A33" s="19" t="s">
        <v>106</v>
      </c>
      <c r="B33" s="3">
        <f t="shared" si="1"/>
        <v>0</v>
      </c>
      <c r="C33" s="16">
        <v>1.0</v>
      </c>
      <c r="D33" s="16">
        <v>1.0</v>
      </c>
      <c r="E33" s="17">
        <v>0.9361</v>
      </c>
      <c r="F33" s="17">
        <v>0.9643</v>
      </c>
      <c r="G33" s="3">
        <v>13.0</v>
      </c>
      <c r="H33" s="3">
        <v>11.0</v>
      </c>
      <c r="I33" s="3">
        <v>498.0</v>
      </c>
      <c r="J33" s="3">
        <v>513.0</v>
      </c>
      <c r="K33" s="17">
        <v>0.02610441767068273</v>
      </c>
      <c r="L33" s="17">
        <v>0.021442495126705652</v>
      </c>
      <c r="M33" s="20">
        <v>26.95923076923077</v>
      </c>
      <c r="N33" s="20">
        <v>21.66090909090909</v>
      </c>
      <c r="O33" s="16">
        <v>350.47</v>
      </c>
      <c r="P33" s="16">
        <v>238.27</v>
      </c>
      <c r="Q33" s="3">
        <v>1.0</v>
      </c>
      <c r="R33" s="3">
        <v>1.0</v>
      </c>
      <c r="S33" s="17">
        <v>0.07692307692307693</v>
      </c>
      <c r="T33" s="17">
        <v>0.09090909090909091</v>
      </c>
      <c r="U33" s="16">
        <v>28220.34</v>
      </c>
      <c r="V33" s="16">
        <v>27881.36</v>
      </c>
      <c r="W33" s="17">
        <v>0.012419056609523487</v>
      </c>
      <c r="X33" s="17">
        <v>0.008545852856532107</v>
      </c>
      <c r="Y33" s="20">
        <v>80.52141410106428</v>
      </c>
      <c r="Z33" s="20">
        <v>117.0158223863684</v>
      </c>
      <c r="AA33" s="3">
        <v>2.0</v>
      </c>
    </row>
    <row r="34" ht="15.75" customHeight="1">
      <c r="A34" s="19" t="s">
        <v>107</v>
      </c>
      <c r="B34" s="3">
        <f t="shared" si="1"/>
        <v>0</v>
      </c>
      <c r="C34" s="16">
        <v>1.0</v>
      </c>
      <c r="D34" s="16">
        <v>1.0</v>
      </c>
      <c r="E34" s="17">
        <v>0.9759</v>
      </c>
      <c r="F34" s="17">
        <v>0.9863</v>
      </c>
      <c r="G34" s="3">
        <v>34.0</v>
      </c>
      <c r="H34" s="3">
        <v>17.0</v>
      </c>
      <c r="I34" s="3">
        <v>3079.0</v>
      </c>
      <c r="J34" s="3">
        <v>1155.0</v>
      </c>
      <c r="K34" s="17">
        <v>0.01104254628126015</v>
      </c>
      <c r="L34" s="17">
        <v>0.01471861471861472</v>
      </c>
      <c r="M34" s="20">
        <v>29.593529411764706</v>
      </c>
      <c r="N34" s="20">
        <v>29.980588235294118</v>
      </c>
      <c r="O34" s="16">
        <v>1006.18</v>
      </c>
      <c r="P34" s="16">
        <v>509.67</v>
      </c>
      <c r="Q34" s="3">
        <v>1.0</v>
      </c>
      <c r="R34" s="3">
        <v>1.0</v>
      </c>
      <c r="S34" s="17">
        <v>0.029411764705882353</v>
      </c>
      <c r="T34" s="17">
        <v>0.058823529411764705</v>
      </c>
      <c r="U34" s="16">
        <v>23305.08</v>
      </c>
      <c r="V34" s="16">
        <v>21016.95</v>
      </c>
      <c r="W34" s="17">
        <v>0.043174277882762034</v>
      </c>
      <c r="X34" s="17">
        <v>0.024250426441515063</v>
      </c>
      <c r="Y34" s="20">
        <v>23.1619392156473</v>
      </c>
      <c r="Z34" s="20">
        <v>41.23638825122138</v>
      </c>
      <c r="AA34" s="3">
        <v>2.0</v>
      </c>
    </row>
    <row r="35" ht="15.75" customHeight="1">
      <c r="A35" s="19" t="s">
        <v>109</v>
      </c>
      <c r="B35" s="3">
        <f t="shared" si="1"/>
        <v>0</v>
      </c>
      <c r="C35" s="16">
        <v>1.0</v>
      </c>
      <c r="D35" s="16">
        <v>1.0</v>
      </c>
      <c r="E35" s="17">
        <v>0.9366</v>
      </c>
      <c r="F35" s="17">
        <v>0.9675</v>
      </c>
      <c r="G35" s="3">
        <v>25.0</v>
      </c>
      <c r="H35" s="3">
        <v>22.0</v>
      </c>
      <c r="I35" s="3">
        <v>4901.0</v>
      </c>
      <c r="J35" s="3">
        <v>1963.0</v>
      </c>
      <c r="K35" s="17">
        <v>0.005100999795960008</v>
      </c>
      <c r="L35" s="17">
        <v>0.011207335710646969</v>
      </c>
      <c r="M35" s="20">
        <v>35.664</v>
      </c>
      <c r="N35" s="20">
        <v>32.54409090909091</v>
      </c>
      <c r="O35" s="16">
        <v>891.6</v>
      </c>
      <c r="P35" s="16">
        <v>715.97</v>
      </c>
      <c r="Q35" s="3">
        <v>1.0</v>
      </c>
      <c r="R35" s="3">
        <v>1.0</v>
      </c>
      <c r="S35" s="17">
        <v>0.04</v>
      </c>
      <c r="T35" s="17">
        <v>0.045454545454545456</v>
      </c>
      <c r="U35" s="16">
        <v>17711.86</v>
      </c>
      <c r="V35" s="16">
        <v>21186.44</v>
      </c>
      <c r="W35" s="17">
        <v>0.050339151280554384</v>
      </c>
      <c r="X35" s="17">
        <v>0.03379378508140113</v>
      </c>
      <c r="Y35" s="20">
        <v>19.865253476895468</v>
      </c>
      <c r="Z35" s="20">
        <v>29.59123985641856</v>
      </c>
      <c r="AA35" s="3">
        <v>2.0</v>
      </c>
    </row>
    <row r="36" ht="15.75" customHeight="1">
      <c r="A36" s="19" t="s">
        <v>111</v>
      </c>
      <c r="B36" s="3">
        <f t="shared" si="1"/>
        <v>0</v>
      </c>
      <c r="C36" s="16">
        <v>1.0</v>
      </c>
      <c r="D36" s="16">
        <v>1.0</v>
      </c>
      <c r="E36" s="17">
        <v>0.9919</v>
      </c>
      <c r="F36" s="17">
        <v>0.9713</v>
      </c>
      <c r="G36" s="3">
        <v>12.0</v>
      </c>
      <c r="H36" s="3">
        <v>19.0</v>
      </c>
      <c r="I36" s="3">
        <v>613.0</v>
      </c>
      <c r="J36" s="3">
        <v>1559.0</v>
      </c>
      <c r="K36" s="17">
        <v>0.01957585644371941</v>
      </c>
      <c r="L36" s="17">
        <v>0.012187299550994226</v>
      </c>
      <c r="M36" s="20">
        <v>29.589166666666667</v>
      </c>
      <c r="N36" s="20">
        <v>34.8678947368421</v>
      </c>
      <c r="O36" s="16">
        <v>355.07</v>
      </c>
      <c r="P36" s="16">
        <v>662.49</v>
      </c>
      <c r="Q36" s="3">
        <v>1.0</v>
      </c>
      <c r="R36" s="3">
        <v>1.0</v>
      </c>
      <c r="S36" s="17">
        <v>0.08333333333333333</v>
      </c>
      <c r="T36" s="17">
        <v>0.05263157894736842</v>
      </c>
      <c r="U36" s="16">
        <v>21610.17</v>
      </c>
      <c r="V36" s="16">
        <v>28220.34</v>
      </c>
      <c r="W36" s="17">
        <v>0.016430689809473965</v>
      </c>
      <c r="X36" s="17">
        <v>0.023475620775653305</v>
      </c>
      <c r="Y36" s="20">
        <v>60.86171740783507</v>
      </c>
      <c r="Z36" s="20">
        <v>42.59738260200154</v>
      </c>
      <c r="AA36" s="3">
        <v>2.0</v>
      </c>
    </row>
    <row r="37" ht="15.75" customHeight="1">
      <c r="A37" s="19" t="s">
        <v>113</v>
      </c>
      <c r="B37" s="14">
        <f t="shared" si="1"/>
        <v>-2</v>
      </c>
      <c r="C37" s="16">
        <v>1.0</v>
      </c>
      <c r="D37" s="16">
        <v>1.0</v>
      </c>
      <c r="E37" s="17">
        <v>0.89474</v>
      </c>
      <c r="F37" s="17">
        <v>0.9815000000000002</v>
      </c>
      <c r="G37" s="3">
        <v>33.0</v>
      </c>
      <c r="H37" s="3">
        <v>57.0</v>
      </c>
      <c r="I37" s="3">
        <v>4173.0</v>
      </c>
      <c r="J37" s="3">
        <v>4851.0</v>
      </c>
      <c r="K37" s="17">
        <v>0.007907979870596693</v>
      </c>
      <c r="L37" s="17">
        <v>0.011750154607297465</v>
      </c>
      <c r="M37" s="20">
        <v>34.30909090909091</v>
      </c>
      <c r="N37" s="20">
        <v>29.191578947368424</v>
      </c>
      <c r="O37" s="16">
        <v>1132.2</v>
      </c>
      <c r="P37" s="16">
        <v>1663.92</v>
      </c>
      <c r="Q37" s="3">
        <v>2.0</v>
      </c>
      <c r="R37" s="3">
        <v>0.0</v>
      </c>
      <c r="S37" s="17">
        <v>0.06060606060606061</v>
      </c>
      <c r="T37" s="17">
        <v>0.0</v>
      </c>
      <c r="U37" s="16">
        <v>47372.88</v>
      </c>
      <c r="V37" s="16">
        <v>0.0</v>
      </c>
      <c r="W37" s="17">
        <v>0.023899750236844375</v>
      </c>
      <c r="X37" s="17">
        <v>0.0</v>
      </c>
      <c r="Y37" s="20">
        <v>41.84144144144144</v>
      </c>
      <c r="Z37" s="20">
        <v>0.0</v>
      </c>
      <c r="AA37" s="3">
        <v>2.0</v>
      </c>
    </row>
    <row r="38" ht="15.75" customHeight="1">
      <c r="A38" s="19" t="s">
        <v>115</v>
      </c>
      <c r="B38" s="3">
        <f t="shared" si="1"/>
        <v>0</v>
      </c>
      <c r="C38" s="16">
        <v>1.0</v>
      </c>
      <c r="D38" s="16">
        <v>1.0</v>
      </c>
      <c r="E38" s="17">
        <v>0.74715</v>
      </c>
      <c r="F38" s="17">
        <v>0.9439</v>
      </c>
      <c r="G38" s="3">
        <v>36.0</v>
      </c>
      <c r="H38" s="3">
        <v>25.0</v>
      </c>
      <c r="I38" s="3">
        <v>1734.0</v>
      </c>
      <c r="J38" s="3">
        <v>754.0</v>
      </c>
      <c r="K38" s="17">
        <v>0.020761245674740483</v>
      </c>
      <c r="L38" s="17">
        <v>0.033156498673740056</v>
      </c>
      <c r="M38" s="20">
        <v>28.536666666666672</v>
      </c>
      <c r="N38" s="20">
        <v>34.6696</v>
      </c>
      <c r="O38" s="16">
        <v>1027.3200000000002</v>
      </c>
      <c r="P38" s="16">
        <v>866.74</v>
      </c>
      <c r="Q38" s="3">
        <v>1.0</v>
      </c>
      <c r="R38" s="3">
        <v>1.0</v>
      </c>
      <c r="S38" s="17">
        <v>0.027777777777777776</v>
      </c>
      <c r="T38" s="17">
        <v>0.04</v>
      </c>
      <c r="U38" s="16">
        <v>13983.05</v>
      </c>
      <c r="V38" s="16">
        <v>23305.08</v>
      </c>
      <c r="W38" s="17">
        <v>0.0734689499072091</v>
      </c>
      <c r="X38" s="17">
        <v>0.037191033027992176</v>
      </c>
      <c r="Y38" s="20">
        <v>13.611192228322233</v>
      </c>
      <c r="Z38" s="20">
        <v>26.88820176754275</v>
      </c>
      <c r="AA38" s="3">
        <v>2.0</v>
      </c>
    </row>
    <row r="39" ht="15.75" customHeight="1">
      <c r="A39" s="19" t="s">
        <v>116</v>
      </c>
      <c r="B39" s="3">
        <f t="shared" si="1"/>
        <v>2</v>
      </c>
      <c r="C39" s="16">
        <v>0.0</v>
      </c>
      <c r="D39" s="16">
        <v>1.0</v>
      </c>
      <c r="E39" s="17">
        <v>0.0</v>
      </c>
      <c r="F39" s="17">
        <v>0.75</v>
      </c>
      <c r="G39" s="3">
        <v>0.0</v>
      </c>
      <c r="H39" s="3">
        <v>2.0</v>
      </c>
      <c r="I39" s="3">
        <v>0.0</v>
      </c>
      <c r="J39" s="3">
        <v>6.0</v>
      </c>
      <c r="K39" s="17">
        <v>0.0</v>
      </c>
      <c r="L39" s="17">
        <v>0.3333333333333333</v>
      </c>
      <c r="M39" s="20">
        <v>0.0</v>
      </c>
      <c r="N39" s="20">
        <v>12.62</v>
      </c>
      <c r="O39" s="16">
        <v>0.0</v>
      </c>
      <c r="P39" s="16">
        <v>25.24</v>
      </c>
      <c r="Q39" s="3">
        <v>0.0</v>
      </c>
      <c r="R39" s="3">
        <v>2.0</v>
      </c>
      <c r="S39" s="17">
        <v>0.0</v>
      </c>
      <c r="T39" s="17">
        <v>1.0</v>
      </c>
      <c r="U39" s="16">
        <v>0.0</v>
      </c>
      <c r="V39" s="16">
        <v>42033.9</v>
      </c>
      <c r="W39" s="17">
        <v>0.0</v>
      </c>
      <c r="X39" s="17">
        <v>6.004677177230759E-4</v>
      </c>
      <c r="Y39" s="20">
        <v>0.0</v>
      </c>
      <c r="Z39" s="20">
        <v>1665.3684627575278</v>
      </c>
      <c r="AA39" s="3">
        <v>2.0</v>
      </c>
    </row>
    <row r="40" ht="15.75" customHeight="1">
      <c r="A40" s="19" t="s">
        <v>117</v>
      </c>
      <c r="B40" s="14">
        <f t="shared" si="1"/>
        <v>-2</v>
      </c>
      <c r="C40" s="16">
        <v>1.4444444444444444</v>
      </c>
      <c r="D40" s="16">
        <v>1.5</v>
      </c>
      <c r="E40" s="17">
        <v>0.5282333333333333</v>
      </c>
      <c r="F40" s="17">
        <v>0.35764999999999997</v>
      </c>
      <c r="G40" s="3">
        <v>130.0</v>
      </c>
      <c r="H40" s="3">
        <v>104.0</v>
      </c>
      <c r="I40" s="3">
        <v>4524.0</v>
      </c>
      <c r="J40" s="3">
        <v>3679.0</v>
      </c>
      <c r="K40" s="17">
        <v>0.028735632183908046</v>
      </c>
      <c r="L40" s="17">
        <v>0.028268551236749116</v>
      </c>
      <c r="M40" s="20">
        <v>27.301692307692306</v>
      </c>
      <c r="N40" s="20">
        <v>39.12192307692308</v>
      </c>
      <c r="O40" s="16">
        <v>3549.22</v>
      </c>
      <c r="P40" s="16">
        <v>4068.6800000000007</v>
      </c>
      <c r="Q40" s="3">
        <v>2.0</v>
      </c>
      <c r="R40" s="3">
        <v>0.0</v>
      </c>
      <c r="S40" s="17">
        <v>0.015384615384615385</v>
      </c>
      <c r="T40" s="17">
        <v>0.0</v>
      </c>
      <c r="U40" s="16">
        <v>24194.91</v>
      </c>
      <c r="V40" s="16">
        <v>0.0</v>
      </c>
      <c r="W40" s="17">
        <v>0.14669283746044104</v>
      </c>
      <c r="X40" s="17">
        <v>0.0</v>
      </c>
      <c r="Y40" s="20">
        <v>6.81696541775376</v>
      </c>
      <c r="Z40" s="20">
        <v>0.0</v>
      </c>
      <c r="AA40" s="3">
        <v>2.0</v>
      </c>
    </row>
    <row r="41" ht="15.75" customHeight="1">
      <c r="A41" s="19" t="s">
        <v>120</v>
      </c>
      <c r="B41" s="3">
        <f t="shared" si="1"/>
        <v>2</v>
      </c>
      <c r="C41" s="16">
        <v>4.333333333333333</v>
      </c>
      <c r="D41" s="16">
        <v>5.333333333333333</v>
      </c>
      <c r="E41" s="17">
        <v>0.1791666666666667</v>
      </c>
      <c r="F41" s="17">
        <v>0.2563333333333333</v>
      </c>
      <c r="G41" s="3">
        <v>88.0</v>
      </c>
      <c r="H41" s="3">
        <v>103.0</v>
      </c>
      <c r="I41" s="3">
        <v>1939.0</v>
      </c>
      <c r="J41" s="3">
        <v>1708.0</v>
      </c>
      <c r="K41" s="17">
        <v>0.04538421866941723</v>
      </c>
      <c r="L41" s="17">
        <v>0.06030444964871194</v>
      </c>
      <c r="M41" s="20">
        <v>18.356250000000003</v>
      </c>
      <c r="N41" s="20">
        <v>8.746504854368931</v>
      </c>
      <c r="O41" s="16">
        <v>1615.3500000000001</v>
      </c>
      <c r="P41" s="16">
        <v>900.8899999999999</v>
      </c>
      <c r="Q41" s="3">
        <v>0.0</v>
      </c>
      <c r="R41" s="3">
        <v>2.0</v>
      </c>
      <c r="S41" s="17">
        <v>0.0</v>
      </c>
      <c r="T41" s="17">
        <v>0.019417475728155338</v>
      </c>
      <c r="U41" s="16">
        <v>0.0</v>
      </c>
      <c r="V41" s="16">
        <v>35932.2</v>
      </c>
      <c r="W41" s="17">
        <v>0.0</v>
      </c>
      <c r="X41" s="17">
        <v>0.02507194104452274</v>
      </c>
      <c r="Y41" s="20">
        <v>0.0</v>
      </c>
      <c r="Z41" s="20">
        <v>39.8852246112178</v>
      </c>
      <c r="AA41" s="3">
        <v>2.0</v>
      </c>
    </row>
    <row r="42" ht="15.75" customHeight="1">
      <c r="A42" s="19" t="s">
        <v>121</v>
      </c>
      <c r="B42" s="3">
        <f t="shared" si="1"/>
        <v>1</v>
      </c>
      <c r="C42" s="16">
        <v>1414.0</v>
      </c>
      <c r="D42" s="16">
        <v>303.0</v>
      </c>
      <c r="E42" s="17">
        <v>0.0</v>
      </c>
      <c r="F42" s="17">
        <v>6.0E-4</v>
      </c>
      <c r="G42" s="3">
        <v>6.0</v>
      </c>
      <c r="H42" s="3">
        <v>266.0</v>
      </c>
      <c r="I42" s="3">
        <v>23.0</v>
      </c>
      <c r="J42" s="3">
        <v>32554.0</v>
      </c>
      <c r="K42" s="17">
        <v>0.2608695652173913</v>
      </c>
      <c r="L42" s="17">
        <v>0.008171038889230202</v>
      </c>
      <c r="M42" s="20">
        <v>17.87</v>
      </c>
      <c r="N42" s="20">
        <v>34.538947368421056</v>
      </c>
      <c r="O42" s="16">
        <v>107.22</v>
      </c>
      <c r="P42" s="16">
        <v>9187.36</v>
      </c>
      <c r="Q42" s="3">
        <v>0.0</v>
      </c>
      <c r="R42" s="3">
        <v>1.0</v>
      </c>
      <c r="S42" s="17">
        <v>0.0</v>
      </c>
      <c r="T42" s="17">
        <v>0.0037593984962406013</v>
      </c>
      <c r="U42" s="16">
        <v>0.0</v>
      </c>
      <c r="V42" s="16">
        <v>21610.17</v>
      </c>
      <c r="W42" s="17">
        <v>0.0</v>
      </c>
      <c r="X42" s="17">
        <v>0.4251405703888494</v>
      </c>
      <c r="Y42" s="20">
        <v>0.0</v>
      </c>
      <c r="Z42" s="20">
        <v>2.3521631894254713</v>
      </c>
      <c r="AA42" s="3">
        <v>1.0</v>
      </c>
    </row>
    <row r="43" ht="15.75" customHeight="1">
      <c r="A43" s="19" t="s">
        <v>123</v>
      </c>
      <c r="B43" s="14">
        <f t="shared" si="1"/>
        <v>-1</v>
      </c>
      <c r="C43" s="16">
        <v>1.0</v>
      </c>
      <c r="D43" s="16">
        <v>0.0</v>
      </c>
      <c r="E43" s="17">
        <v>0.5</v>
      </c>
      <c r="F43" s="17">
        <v>0.0</v>
      </c>
      <c r="G43" s="3">
        <v>1.0</v>
      </c>
      <c r="H43" s="3">
        <v>0.0</v>
      </c>
      <c r="I43" s="3">
        <v>2.0</v>
      </c>
      <c r="J43" s="3">
        <v>0.0</v>
      </c>
      <c r="K43" s="17">
        <v>0.5</v>
      </c>
      <c r="L43" s="17">
        <v>0.0</v>
      </c>
      <c r="M43" s="20">
        <v>12.39</v>
      </c>
      <c r="N43" s="20">
        <v>0.0</v>
      </c>
      <c r="O43" s="16">
        <v>12.39</v>
      </c>
      <c r="P43" s="16">
        <v>0.0</v>
      </c>
      <c r="Q43" s="3">
        <v>1.0</v>
      </c>
      <c r="R43" s="3">
        <v>0.0</v>
      </c>
      <c r="S43" s="17">
        <v>1.0</v>
      </c>
      <c r="T43" s="17">
        <v>0.0</v>
      </c>
      <c r="U43" s="16">
        <v>17966.1</v>
      </c>
      <c r="V43" s="16">
        <v>0.0</v>
      </c>
      <c r="W43" s="17">
        <v>6.896321405313341E-4</v>
      </c>
      <c r="X43" s="17">
        <v>0.0</v>
      </c>
      <c r="Y43" s="20">
        <v>1450.0484261501208</v>
      </c>
      <c r="Z43" s="20">
        <v>0.0</v>
      </c>
      <c r="AA43" s="3">
        <v>1.0</v>
      </c>
    </row>
    <row r="44" ht="15.75" customHeight="1">
      <c r="A44" s="19" t="s">
        <v>124</v>
      </c>
      <c r="B44" s="14">
        <f t="shared" si="1"/>
        <v>-1</v>
      </c>
      <c r="C44" s="16">
        <v>1.0</v>
      </c>
      <c r="D44" s="16">
        <v>0.0</v>
      </c>
      <c r="E44" s="17">
        <v>0.625</v>
      </c>
      <c r="F44" s="17">
        <v>0.0</v>
      </c>
      <c r="G44" s="3">
        <v>2.0</v>
      </c>
      <c r="H44" s="3">
        <v>0.0</v>
      </c>
      <c r="I44" s="3">
        <v>5.0</v>
      </c>
      <c r="J44" s="3">
        <v>0.0</v>
      </c>
      <c r="K44" s="17">
        <v>0.4</v>
      </c>
      <c r="L44" s="17">
        <v>0.0</v>
      </c>
      <c r="M44" s="20">
        <v>24.145</v>
      </c>
      <c r="N44" s="20">
        <v>0.0</v>
      </c>
      <c r="O44" s="16">
        <v>48.29</v>
      </c>
      <c r="P44" s="16">
        <v>0.0</v>
      </c>
      <c r="Q44" s="3">
        <v>1.0</v>
      </c>
      <c r="R44" s="3">
        <v>0.0</v>
      </c>
      <c r="S44" s="17">
        <v>0.5</v>
      </c>
      <c r="T44" s="17">
        <v>0.0</v>
      </c>
      <c r="U44" s="16">
        <v>21016.95</v>
      </c>
      <c r="V44" s="16">
        <v>0.0</v>
      </c>
      <c r="W44" s="17">
        <v>0.0022976692621907552</v>
      </c>
      <c r="X44" s="17">
        <v>0.0</v>
      </c>
      <c r="Y44" s="20">
        <v>435.2236487885691</v>
      </c>
      <c r="Z44" s="20">
        <v>0.0</v>
      </c>
      <c r="AA44" s="3">
        <v>1.0</v>
      </c>
    </row>
    <row r="45" ht="15.75" customHeight="1">
      <c r="A45" s="19" t="s">
        <v>126</v>
      </c>
      <c r="B45" s="3">
        <f t="shared" si="1"/>
        <v>1</v>
      </c>
      <c r="C45" s="16">
        <v>0.0</v>
      </c>
      <c r="D45" s="16">
        <v>19.0</v>
      </c>
      <c r="E45" s="17">
        <v>0.0</v>
      </c>
      <c r="F45" s="17">
        <v>0.0063</v>
      </c>
      <c r="G45" s="3">
        <v>0.0</v>
      </c>
      <c r="H45" s="3">
        <v>1.0</v>
      </c>
      <c r="I45" s="3">
        <v>0.0</v>
      </c>
      <c r="J45" s="3">
        <v>8.0</v>
      </c>
      <c r="K45" s="17">
        <v>0.0</v>
      </c>
      <c r="L45" s="17">
        <v>0.125</v>
      </c>
      <c r="M45" s="20">
        <v>0.0</v>
      </c>
      <c r="N45" s="20">
        <v>4.63</v>
      </c>
      <c r="O45" s="16">
        <v>0.0</v>
      </c>
      <c r="P45" s="16">
        <v>4.63</v>
      </c>
      <c r="Q45" s="3">
        <v>0.0</v>
      </c>
      <c r="R45" s="3">
        <v>1.0</v>
      </c>
      <c r="S45" s="17">
        <v>0.0</v>
      </c>
      <c r="T45" s="17">
        <v>1.0</v>
      </c>
      <c r="U45" s="16">
        <v>0.0</v>
      </c>
      <c r="V45" s="16">
        <v>1016.1</v>
      </c>
      <c r="W45" s="17">
        <v>0.0</v>
      </c>
      <c r="X45" s="17">
        <v>0.004556638126168684</v>
      </c>
      <c r="Y45" s="20">
        <v>0.0</v>
      </c>
      <c r="Z45" s="20">
        <v>219.4600431965443</v>
      </c>
      <c r="AA45" s="3">
        <v>1.0</v>
      </c>
    </row>
    <row r="46" ht="15.75" customHeight="1">
      <c r="A46" s="19" t="s">
        <v>127</v>
      </c>
      <c r="B46" s="3">
        <f t="shared" si="1"/>
        <v>1</v>
      </c>
      <c r="C46" s="16">
        <v>1.0</v>
      </c>
      <c r="D46" s="16">
        <v>1.0</v>
      </c>
      <c r="E46" s="17">
        <v>0.9167</v>
      </c>
      <c r="F46" s="17">
        <v>0.7751</v>
      </c>
      <c r="G46" s="3">
        <v>6.0</v>
      </c>
      <c r="H46" s="3">
        <v>5.0</v>
      </c>
      <c r="I46" s="3">
        <v>99.0</v>
      </c>
      <c r="J46" s="3">
        <v>131.0</v>
      </c>
      <c r="K46" s="17">
        <v>0.06060606060606061</v>
      </c>
      <c r="L46" s="17">
        <v>0.03816793893129771</v>
      </c>
      <c r="M46" s="20">
        <v>21.56833333333333</v>
      </c>
      <c r="N46" s="20">
        <v>38.222</v>
      </c>
      <c r="O46" s="16">
        <v>129.41</v>
      </c>
      <c r="P46" s="16">
        <v>191.11</v>
      </c>
      <c r="Q46" s="3">
        <v>0.0</v>
      </c>
      <c r="R46" s="3">
        <v>1.0</v>
      </c>
      <c r="S46" s="17">
        <v>0.0</v>
      </c>
      <c r="T46" s="17">
        <v>0.2</v>
      </c>
      <c r="U46" s="16">
        <v>0.0</v>
      </c>
      <c r="V46" s="16">
        <v>5000.0</v>
      </c>
      <c r="W46" s="17">
        <v>0.0</v>
      </c>
      <c r="X46" s="17">
        <v>0.038222000000000006</v>
      </c>
      <c r="Y46" s="20">
        <v>0.0</v>
      </c>
      <c r="Z46" s="20">
        <v>26.16294280780702</v>
      </c>
      <c r="AA46" s="3">
        <v>1.0</v>
      </c>
    </row>
    <row r="47" ht="15.75" customHeight="1">
      <c r="A47" s="19" t="s">
        <v>129</v>
      </c>
      <c r="B47" s="14">
        <f t="shared" si="1"/>
        <v>-1</v>
      </c>
      <c r="C47" s="16">
        <v>3.0</v>
      </c>
      <c r="D47" s="16">
        <v>6.0</v>
      </c>
      <c r="E47" s="17">
        <v>0.0897</v>
      </c>
      <c r="F47" s="17">
        <v>0.0352</v>
      </c>
      <c r="G47" s="3">
        <v>3.0</v>
      </c>
      <c r="H47" s="3">
        <v>1.0</v>
      </c>
      <c r="I47" s="3">
        <v>33.0</v>
      </c>
      <c r="J47" s="3">
        <v>10.0</v>
      </c>
      <c r="K47" s="17">
        <v>0.09090909090909091</v>
      </c>
      <c r="L47" s="17">
        <v>0.1</v>
      </c>
      <c r="M47" s="20">
        <v>4.366666666666666</v>
      </c>
      <c r="N47" s="20">
        <v>4.63</v>
      </c>
      <c r="O47" s="16">
        <v>13.1</v>
      </c>
      <c r="P47" s="16">
        <v>4.63</v>
      </c>
      <c r="Q47" s="3">
        <v>1.0</v>
      </c>
      <c r="R47" s="3">
        <v>0.0</v>
      </c>
      <c r="S47" s="17">
        <v>0.3333333333333333</v>
      </c>
      <c r="T47" s="17">
        <v>0.0</v>
      </c>
      <c r="U47" s="16">
        <v>1016.1</v>
      </c>
      <c r="V47" s="16">
        <v>0.0</v>
      </c>
      <c r="W47" s="17">
        <v>0.012892431847259127</v>
      </c>
      <c r="X47" s="17">
        <v>0.0</v>
      </c>
      <c r="Y47" s="20">
        <v>77.56488549618321</v>
      </c>
      <c r="Z47" s="20">
        <v>0.0</v>
      </c>
      <c r="AA47" s="3">
        <v>1.0</v>
      </c>
    </row>
    <row r="48" ht="15.75" customHeight="1">
      <c r="A48" s="19" t="s">
        <v>130</v>
      </c>
      <c r="B48" s="3">
        <f t="shared" si="1"/>
        <v>1</v>
      </c>
      <c r="C48" s="16">
        <v>1.0</v>
      </c>
      <c r="D48" s="16">
        <v>1.0</v>
      </c>
      <c r="E48" s="17">
        <v>0.8366</v>
      </c>
      <c r="F48" s="17">
        <v>0.6897</v>
      </c>
      <c r="G48" s="3">
        <v>22.0</v>
      </c>
      <c r="H48" s="3">
        <v>5.0</v>
      </c>
      <c r="I48" s="3">
        <v>466.0</v>
      </c>
      <c r="J48" s="3">
        <v>60.0</v>
      </c>
      <c r="K48" s="17">
        <v>0.04721030042918455</v>
      </c>
      <c r="L48" s="17">
        <v>0.08333333333333333</v>
      </c>
      <c r="M48" s="20">
        <v>29.335</v>
      </c>
      <c r="N48" s="20">
        <v>21.178</v>
      </c>
      <c r="O48" s="16">
        <v>645.37</v>
      </c>
      <c r="P48" s="16">
        <v>105.89</v>
      </c>
      <c r="Q48" s="3">
        <v>0.0</v>
      </c>
      <c r="R48" s="3">
        <v>1.0</v>
      </c>
      <c r="S48" s="17">
        <v>0.0</v>
      </c>
      <c r="T48" s="17">
        <v>0.2</v>
      </c>
      <c r="U48" s="16">
        <v>0.0</v>
      </c>
      <c r="V48" s="16">
        <v>12541.53</v>
      </c>
      <c r="W48" s="17">
        <v>0.0</v>
      </c>
      <c r="X48" s="17">
        <v>0.008443148483478491</v>
      </c>
      <c r="Y48" s="20">
        <v>0.0</v>
      </c>
      <c r="Z48" s="20">
        <v>118.43922938898858</v>
      </c>
      <c r="AA48" s="3">
        <v>1.0</v>
      </c>
    </row>
    <row r="49" ht="15.75" customHeight="1">
      <c r="A49" s="19" t="s">
        <v>131</v>
      </c>
      <c r="B49" s="14">
        <f t="shared" si="1"/>
        <v>-1</v>
      </c>
      <c r="C49" s="16">
        <v>1.0</v>
      </c>
      <c r="D49" s="16">
        <v>1.0</v>
      </c>
      <c r="E49" s="17">
        <v>0.9787</v>
      </c>
      <c r="F49" s="17">
        <v>0.9883</v>
      </c>
      <c r="G49" s="3">
        <v>10.0</v>
      </c>
      <c r="H49" s="3">
        <v>24.0</v>
      </c>
      <c r="I49" s="3">
        <v>460.0</v>
      </c>
      <c r="J49" s="3">
        <v>676.0</v>
      </c>
      <c r="K49" s="17">
        <v>0.021739130434782608</v>
      </c>
      <c r="L49" s="17">
        <v>0.03550295857988166</v>
      </c>
      <c r="M49" s="20">
        <v>39.910000000000004</v>
      </c>
      <c r="N49" s="20">
        <v>43.937083333333334</v>
      </c>
      <c r="O49" s="16">
        <v>399.1</v>
      </c>
      <c r="P49" s="16">
        <v>1054.49</v>
      </c>
      <c r="Q49" s="3">
        <v>1.0</v>
      </c>
      <c r="R49" s="3">
        <v>0.0</v>
      </c>
      <c r="S49" s="17">
        <v>0.1</v>
      </c>
      <c r="T49" s="17">
        <v>0.0</v>
      </c>
      <c r="U49" s="16">
        <v>12541.53</v>
      </c>
      <c r="V49" s="16">
        <v>0.0</v>
      </c>
      <c r="W49" s="17">
        <v>0.03182227367793244</v>
      </c>
      <c r="X49" s="17">
        <v>0.0</v>
      </c>
      <c r="Y49" s="20">
        <v>31.424530192934103</v>
      </c>
      <c r="Z49" s="20">
        <v>0.0</v>
      </c>
      <c r="AA49" s="3">
        <v>1.0</v>
      </c>
    </row>
    <row r="50" ht="15.75" customHeight="1">
      <c r="A50" s="19" t="s">
        <v>132</v>
      </c>
      <c r="B50" s="3">
        <f t="shared" si="1"/>
        <v>1</v>
      </c>
      <c r="C50" s="16">
        <v>1.0</v>
      </c>
      <c r="D50" s="16">
        <v>1.0</v>
      </c>
      <c r="E50" s="17">
        <v>0.4824</v>
      </c>
      <c r="F50" s="17">
        <v>0.8847</v>
      </c>
      <c r="G50" s="3">
        <v>5.0</v>
      </c>
      <c r="H50" s="3">
        <v>29.0</v>
      </c>
      <c r="I50" s="3">
        <v>123.0</v>
      </c>
      <c r="J50" s="3">
        <v>1427.0</v>
      </c>
      <c r="K50" s="17">
        <v>0.04065040650406504</v>
      </c>
      <c r="L50" s="17">
        <v>0.020322354590049056</v>
      </c>
      <c r="M50" s="20">
        <v>33.432</v>
      </c>
      <c r="N50" s="20">
        <v>29.842758620689654</v>
      </c>
      <c r="O50" s="16">
        <v>167.16</v>
      </c>
      <c r="P50" s="16">
        <v>865.4399999999999</v>
      </c>
      <c r="Q50" s="3">
        <v>0.0</v>
      </c>
      <c r="R50" s="3">
        <v>1.0</v>
      </c>
      <c r="S50" s="17">
        <v>0.0</v>
      </c>
      <c r="T50" s="17">
        <v>0.034482758620689655</v>
      </c>
      <c r="U50" s="16">
        <v>0.0</v>
      </c>
      <c r="V50" s="16">
        <v>23305.08</v>
      </c>
      <c r="W50" s="17">
        <v>0.0</v>
      </c>
      <c r="X50" s="17">
        <v>0.037135251198451145</v>
      </c>
      <c r="Y50" s="20">
        <v>0.0</v>
      </c>
      <c r="Z50" s="20">
        <v>26.928591236827515</v>
      </c>
      <c r="AA50" s="3">
        <v>1.0</v>
      </c>
    </row>
    <row r="51" ht="15.75" customHeight="1">
      <c r="A51" s="19" t="s">
        <v>133</v>
      </c>
      <c r="B51" s="3">
        <f t="shared" si="1"/>
        <v>1</v>
      </c>
      <c r="C51" s="16">
        <v>13.0</v>
      </c>
      <c r="D51" s="16">
        <v>14.0</v>
      </c>
      <c r="E51" s="17">
        <v>0.0206</v>
      </c>
      <c r="F51" s="17">
        <v>0.0104</v>
      </c>
      <c r="G51" s="3">
        <v>3.0</v>
      </c>
      <c r="H51" s="3">
        <v>5.0</v>
      </c>
      <c r="I51" s="3">
        <v>34.0</v>
      </c>
      <c r="J51" s="3">
        <v>23.0</v>
      </c>
      <c r="K51" s="17">
        <v>0.08823529411764706</v>
      </c>
      <c r="L51" s="17">
        <v>0.21739130434782608</v>
      </c>
      <c r="M51" s="20">
        <v>4.3</v>
      </c>
      <c r="N51" s="20">
        <v>4.836</v>
      </c>
      <c r="O51" s="16">
        <v>12.9</v>
      </c>
      <c r="P51" s="16">
        <v>24.18</v>
      </c>
      <c r="Q51" s="3">
        <v>0.0</v>
      </c>
      <c r="R51" s="3">
        <v>1.0</v>
      </c>
      <c r="S51" s="17">
        <v>0.0</v>
      </c>
      <c r="T51" s="17">
        <v>0.2</v>
      </c>
      <c r="U51" s="16">
        <v>0.0</v>
      </c>
      <c r="V51" s="16">
        <v>803.39</v>
      </c>
      <c r="W51" s="17">
        <v>0.0</v>
      </c>
      <c r="X51" s="17">
        <v>0.03009746200475485</v>
      </c>
      <c r="Y51" s="20">
        <v>0.0</v>
      </c>
      <c r="Z51" s="20">
        <v>33.22539288668321</v>
      </c>
      <c r="AA51" s="3">
        <v>1.0</v>
      </c>
    </row>
    <row r="52" ht="15.75" customHeight="1">
      <c r="A52" s="19" t="s">
        <v>135</v>
      </c>
      <c r="B52" s="3">
        <f t="shared" si="1"/>
        <v>1</v>
      </c>
      <c r="C52" s="16">
        <v>0.0</v>
      </c>
      <c r="D52" s="16">
        <v>14.0</v>
      </c>
      <c r="E52" s="17">
        <v>0.0</v>
      </c>
      <c r="F52" s="17">
        <v>0.0108</v>
      </c>
      <c r="G52" s="3">
        <v>0.0</v>
      </c>
      <c r="H52" s="3">
        <v>3.0</v>
      </c>
      <c r="I52" s="3">
        <v>0.0</v>
      </c>
      <c r="J52" s="3">
        <v>106.0</v>
      </c>
      <c r="K52" s="17">
        <v>0.0</v>
      </c>
      <c r="L52" s="17">
        <v>0.02830188679245283</v>
      </c>
      <c r="M52" s="20">
        <v>0.0</v>
      </c>
      <c r="N52" s="20">
        <v>5.926666666666667</v>
      </c>
      <c r="O52" s="16">
        <v>0.0</v>
      </c>
      <c r="P52" s="16">
        <v>17.78</v>
      </c>
      <c r="Q52" s="3">
        <v>0.0</v>
      </c>
      <c r="R52" s="3">
        <v>1.0</v>
      </c>
      <c r="S52" s="17">
        <v>0.0</v>
      </c>
      <c r="T52" s="17">
        <v>0.3333333333333333</v>
      </c>
      <c r="U52" s="16">
        <v>0.0</v>
      </c>
      <c r="V52" s="16">
        <v>803.39</v>
      </c>
      <c r="W52" s="17">
        <v>0.0</v>
      </c>
      <c r="X52" s="17">
        <v>0.022131218959658448</v>
      </c>
      <c r="Y52" s="20">
        <v>0.0</v>
      </c>
      <c r="Z52" s="20">
        <v>45.185039370078734</v>
      </c>
      <c r="AA52" s="3">
        <v>1.0</v>
      </c>
    </row>
    <row r="53" ht="15.75" customHeight="1">
      <c r="A53" s="19" t="s">
        <v>136</v>
      </c>
      <c r="B53" s="14">
        <f t="shared" si="1"/>
        <v>-1</v>
      </c>
      <c r="C53" s="16">
        <v>3.0</v>
      </c>
      <c r="D53" s="16">
        <v>1.0</v>
      </c>
      <c r="E53" s="17">
        <v>0.076</v>
      </c>
      <c r="F53" s="17">
        <v>0.9652</v>
      </c>
      <c r="G53" s="3">
        <v>22.0</v>
      </c>
      <c r="H53" s="3">
        <v>5.0</v>
      </c>
      <c r="I53" s="3">
        <v>1742.0</v>
      </c>
      <c r="J53" s="3">
        <v>277.0</v>
      </c>
      <c r="K53" s="17">
        <v>0.012629161882893225</v>
      </c>
      <c r="L53" s="17">
        <v>0.018050541516245487</v>
      </c>
      <c r="M53" s="20">
        <v>32.765</v>
      </c>
      <c r="N53" s="20">
        <v>28.444</v>
      </c>
      <c r="O53" s="16">
        <v>720.83</v>
      </c>
      <c r="P53" s="16">
        <v>142.22</v>
      </c>
      <c r="Q53" s="3">
        <v>1.0</v>
      </c>
      <c r="R53" s="3">
        <v>0.0</v>
      </c>
      <c r="S53" s="17">
        <v>0.045454545454545456</v>
      </c>
      <c r="T53" s="17">
        <v>0.0</v>
      </c>
      <c r="U53" s="16">
        <v>12541.53</v>
      </c>
      <c r="V53" s="16">
        <v>0.0</v>
      </c>
      <c r="W53" s="17">
        <v>0.057475443586229115</v>
      </c>
      <c r="X53" s="17">
        <v>0.0</v>
      </c>
      <c r="Y53" s="20">
        <v>17.39873479183719</v>
      </c>
      <c r="Z53" s="20">
        <v>0.0</v>
      </c>
      <c r="AA53" s="3">
        <v>1.0</v>
      </c>
    </row>
    <row r="54" ht="15.75" customHeight="1">
      <c r="A54" s="19" t="s">
        <v>137</v>
      </c>
      <c r="B54" s="3">
        <f t="shared" si="1"/>
        <v>1</v>
      </c>
      <c r="C54" s="16">
        <v>0.0</v>
      </c>
      <c r="D54" s="16">
        <v>4.0</v>
      </c>
      <c r="E54" s="17">
        <v>0.0</v>
      </c>
      <c r="F54" s="17">
        <v>0.1314</v>
      </c>
      <c r="G54" s="3">
        <v>0.0</v>
      </c>
      <c r="H54" s="3">
        <v>18.0</v>
      </c>
      <c r="I54" s="3">
        <v>0.0</v>
      </c>
      <c r="J54" s="3">
        <v>846.0</v>
      </c>
      <c r="K54" s="17">
        <v>0.0</v>
      </c>
      <c r="L54" s="17">
        <v>0.02127659574468085</v>
      </c>
      <c r="M54" s="20">
        <v>0.0</v>
      </c>
      <c r="N54" s="20">
        <v>4.306666666666667</v>
      </c>
      <c r="O54" s="16">
        <v>0.0</v>
      </c>
      <c r="P54" s="16">
        <v>77.52</v>
      </c>
      <c r="Q54" s="3">
        <v>0.0</v>
      </c>
      <c r="R54" s="3">
        <v>1.0</v>
      </c>
      <c r="S54" s="17">
        <v>0.0</v>
      </c>
      <c r="T54" s="17">
        <v>0.05555555555555555</v>
      </c>
      <c r="U54" s="16">
        <v>0.0</v>
      </c>
      <c r="V54" s="16">
        <v>1016.1</v>
      </c>
      <c r="W54" s="17">
        <v>0.0</v>
      </c>
      <c r="X54" s="17">
        <v>0.07629170357248302</v>
      </c>
      <c r="Y54" s="20">
        <v>0.0</v>
      </c>
      <c r="Z54" s="20">
        <v>13.107585139318886</v>
      </c>
      <c r="AA54" s="3">
        <v>1.0</v>
      </c>
    </row>
    <row r="55" ht="15.75" customHeight="1">
      <c r="A55" s="19" t="s">
        <v>138</v>
      </c>
      <c r="B55" s="14">
        <f t="shared" si="1"/>
        <v>-1</v>
      </c>
      <c r="C55" s="16">
        <v>1.0</v>
      </c>
      <c r="D55" s="16">
        <v>4.0</v>
      </c>
      <c r="E55" s="17">
        <v>0.464</v>
      </c>
      <c r="F55" s="17">
        <v>0.1691</v>
      </c>
      <c r="G55" s="3">
        <v>151.0</v>
      </c>
      <c r="H55" s="3">
        <v>37.0</v>
      </c>
      <c r="I55" s="3">
        <v>12159.0</v>
      </c>
      <c r="J55" s="3">
        <v>2939.0</v>
      </c>
      <c r="K55" s="17">
        <v>0.012418784439509828</v>
      </c>
      <c r="L55" s="17">
        <v>0.012589316093909493</v>
      </c>
      <c r="M55" s="20">
        <v>49.7905298013245</v>
      </c>
      <c r="N55" s="20">
        <v>57.90405405405405</v>
      </c>
      <c r="O55" s="16">
        <v>7518.37</v>
      </c>
      <c r="P55" s="16">
        <v>2142.45</v>
      </c>
      <c r="Q55" s="3">
        <v>1.0</v>
      </c>
      <c r="R55" s="3">
        <v>0.0</v>
      </c>
      <c r="S55" s="17">
        <v>0.006622516556291391</v>
      </c>
      <c r="T55" s="17">
        <v>0.0</v>
      </c>
      <c r="U55" s="16">
        <v>21186.44</v>
      </c>
      <c r="V55" s="16">
        <v>0.0</v>
      </c>
      <c r="W55" s="17">
        <v>0.3548670753557464</v>
      </c>
      <c r="X55" s="17">
        <v>0.0</v>
      </c>
      <c r="Y55" s="20">
        <v>2.817956551752574</v>
      </c>
      <c r="Z55" s="20">
        <v>0.0</v>
      </c>
      <c r="AA55" s="3">
        <v>1.0</v>
      </c>
    </row>
    <row r="56" ht="15.75" customHeight="1">
      <c r="A56" s="19" t="s">
        <v>139</v>
      </c>
      <c r="B56" s="3">
        <f t="shared" si="1"/>
        <v>1</v>
      </c>
      <c r="C56" s="16">
        <v>1.0</v>
      </c>
      <c r="D56" s="16">
        <v>1.0</v>
      </c>
      <c r="E56" s="17">
        <v>0.2214</v>
      </c>
      <c r="F56" s="17">
        <v>0.8352</v>
      </c>
      <c r="G56" s="3">
        <v>3.0</v>
      </c>
      <c r="H56" s="3">
        <v>7.0</v>
      </c>
      <c r="I56" s="3">
        <v>29.0</v>
      </c>
      <c r="J56" s="3">
        <v>147.0</v>
      </c>
      <c r="K56" s="17">
        <v>0.10344827586206896</v>
      </c>
      <c r="L56" s="17">
        <v>0.047619047619047616</v>
      </c>
      <c r="M56" s="20">
        <v>4.323333333333333</v>
      </c>
      <c r="N56" s="20">
        <v>5.072857142857143</v>
      </c>
      <c r="O56" s="16">
        <v>12.97</v>
      </c>
      <c r="P56" s="16">
        <v>35.51</v>
      </c>
      <c r="Q56" s="3">
        <v>0.0</v>
      </c>
      <c r="R56" s="3">
        <v>1.0</v>
      </c>
      <c r="S56" s="17">
        <v>0.0</v>
      </c>
      <c r="T56" s="17">
        <v>0.14285714285714285</v>
      </c>
      <c r="U56" s="16">
        <v>0.0</v>
      </c>
      <c r="V56" s="16">
        <v>1016.1</v>
      </c>
      <c r="W56" s="17">
        <v>0.0</v>
      </c>
      <c r="X56" s="17">
        <v>0.03494734770199783</v>
      </c>
      <c r="Y56" s="20">
        <v>0.0</v>
      </c>
      <c r="Z56" s="20">
        <v>28.614474795832162</v>
      </c>
      <c r="AA56" s="3">
        <v>1.0</v>
      </c>
    </row>
    <row r="57" ht="15.75" customHeight="1">
      <c r="A57" s="19" t="s">
        <v>141</v>
      </c>
      <c r="B57" s="3">
        <f t="shared" si="1"/>
        <v>1</v>
      </c>
      <c r="C57" s="16">
        <v>1.0</v>
      </c>
      <c r="D57" s="16">
        <v>1.0</v>
      </c>
      <c r="E57" s="17">
        <v>0.7327</v>
      </c>
      <c r="F57" s="17">
        <v>0.8253</v>
      </c>
      <c r="G57" s="3">
        <v>48.0</v>
      </c>
      <c r="H57" s="3">
        <v>62.0</v>
      </c>
      <c r="I57" s="3">
        <v>13799.0</v>
      </c>
      <c r="J57" s="3">
        <v>24048.0</v>
      </c>
      <c r="K57" s="17">
        <v>0.00347851293571998</v>
      </c>
      <c r="L57" s="17">
        <v>0.002578176979374584</v>
      </c>
      <c r="M57" s="20">
        <v>36.23229166666666</v>
      </c>
      <c r="N57" s="20">
        <v>50.48370967741935</v>
      </c>
      <c r="O57" s="16">
        <v>1739.1499999999999</v>
      </c>
      <c r="P57" s="16">
        <v>3129.99</v>
      </c>
      <c r="Q57" s="3">
        <v>0.0</v>
      </c>
      <c r="R57" s="3">
        <v>1.0</v>
      </c>
      <c r="S57" s="17">
        <v>0.0</v>
      </c>
      <c r="T57" s="17">
        <v>0.016129032258064516</v>
      </c>
      <c r="U57" s="16">
        <v>0.0</v>
      </c>
      <c r="V57" s="16">
        <v>21186.44</v>
      </c>
      <c r="W57" s="17">
        <v>0.0</v>
      </c>
      <c r="X57" s="17">
        <v>0.14773553272753703</v>
      </c>
      <c r="Y57" s="20">
        <v>0.0</v>
      </c>
      <c r="Z57" s="20">
        <v>6.768852296652705</v>
      </c>
      <c r="AA57" s="3">
        <v>1.0</v>
      </c>
    </row>
    <row r="58" ht="15.75" customHeight="1">
      <c r="A58" s="19" t="s">
        <v>142</v>
      </c>
      <c r="B58" s="14">
        <f t="shared" si="1"/>
        <v>-1</v>
      </c>
      <c r="C58" s="16">
        <v>2.0</v>
      </c>
      <c r="D58" s="16">
        <v>1.0</v>
      </c>
      <c r="E58" s="17">
        <v>0.3433</v>
      </c>
      <c r="F58" s="17">
        <v>0.8041</v>
      </c>
      <c r="G58" s="3">
        <v>31.0</v>
      </c>
      <c r="H58" s="3">
        <v>111.0</v>
      </c>
      <c r="I58" s="3">
        <v>11545.0</v>
      </c>
      <c r="J58" s="3">
        <v>40595.0</v>
      </c>
      <c r="K58" s="17">
        <v>0.002685145084452144</v>
      </c>
      <c r="L58" s="17">
        <v>0.0027343268875477276</v>
      </c>
      <c r="M58" s="20">
        <v>46.88548387096775</v>
      </c>
      <c r="N58" s="20">
        <v>60.49684684684684</v>
      </c>
      <c r="O58" s="16">
        <v>1453.45</v>
      </c>
      <c r="P58" s="16">
        <v>6715.15</v>
      </c>
      <c r="Q58" s="3">
        <v>1.0</v>
      </c>
      <c r="R58" s="3">
        <v>0.0</v>
      </c>
      <c r="S58" s="17">
        <v>0.03225806451612903</v>
      </c>
      <c r="T58" s="17">
        <v>0.0</v>
      </c>
      <c r="U58" s="16">
        <v>25677.97</v>
      </c>
      <c r="V58" s="16">
        <v>0.0</v>
      </c>
      <c r="W58" s="17">
        <v>0.05660299470713612</v>
      </c>
      <c r="X58" s="17">
        <v>0.0</v>
      </c>
      <c r="Y58" s="20">
        <v>17.666909766417835</v>
      </c>
      <c r="Z58" s="20">
        <v>0.0</v>
      </c>
      <c r="AA58" s="3">
        <v>1.0</v>
      </c>
    </row>
    <row r="59" ht="15.75" customHeight="1">
      <c r="A59" s="19" t="s">
        <v>149</v>
      </c>
      <c r="B59" s="3">
        <f t="shared" si="1"/>
        <v>1</v>
      </c>
      <c r="C59" s="16">
        <v>1.0</v>
      </c>
      <c r="D59" s="16">
        <v>1.0</v>
      </c>
      <c r="E59" s="17">
        <v>0.9933</v>
      </c>
      <c r="F59" s="17">
        <v>0.9966</v>
      </c>
      <c r="G59" s="3">
        <v>21.0</v>
      </c>
      <c r="H59" s="3">
        <v>12.0</v>
      </c>
      <c r="I59" s="3">
        <v>3107.0</v>
      </c>
      <c r="J59" s="3">
        <v>1176.0</v>
      </c>
      <c r="K59" s="17">
        <v>0.0067589314451239136</v>
      </c>
      <c r="L59" s="17">
        <v>0.01020408163265306</v>
      </c>
      <c r="M59" s="20">
        <v>40.38666666666667</v>
      </c>
      <c r="N59" s="20">
        <v>48.85916666666666</v>
      </c>
      <c r="O59" s="16">
        <v>848.12</v>
      </c>
      <c r="P59" s="16">
        <v>586.31</v>
      </c>
      <c r="Q59" s="3">
        <v>0.0</v>
      </c>
      <c r="R59" s="3">
        <v>1.0</v>
      </c>
      <c r="S59" s="17">
        <v>0.0</v>
      </c>
      <c r="T59" s="17">
        <v>0.08333333333333333</v>
      </c>
      <c r="U59" s="16">
        <v>0.0</v>
      </c>
      <c r="V59" s="16">
        <v>26186.44</v>
      </c>
      <c r="W59" s="17">
        <v>0.0</v>
      </c>
      <c r="X59" s="17">
        <v>0.022389832294882388</v>
      </c>
      <c r="Y59" s="20">
        <v>0.0</v>
      </c>
      <c r="Z59" s="20">
        <v>44.66313042588392</v>
      </c>
      <c r="AA59" s="3">
        <v>1.0</v>
      </c>
    </row>
    <row r="60" ht="15.75" customHeight="1">
      <c r="A60" s="19" t="s">
        <v>150</v>
      </c>
      <c r="B60" s="14">
        <f t="shared" si="1"/>
        <v>-1</v>
      </c>
      <c r="C60" s="16">
        <v>1.0</v>
      </c>
      <c r="D60" s="16">
        <v>1.0</v>
      </c>
      <c r="E60" s="17">
        <v>0.9993</v>
      </c>
      <c r="F60" s="17">
        <v>0.9833</v>
      </c>
      <c r="G60" s="3">
        <v>20.0</v>
      </c>
      <c r="H60" s="3">
        <v>16.0</v>
      </c>
      <c r="I60" s="3">
        <v>2952.0</v>
      </c>
      <c r="J60" s="3">
        <v>999.0</v>
      </c>
      <c r="K60" s="17">
        <v>0.006775067750677507</v>
      </c>
      <c r="L60" s="17">
        <v>0.016016016016016016</v>
      </c>
      <c r="M60" s="20">
        <v>38.032</v>
      </c>
      <c r="N60" s="20">
        <v>53.17125</v>
      </c>
      <c r="O60" s="16">
        <v>760.64</v>
      </c>
      <c r="P60" s="16">
        <v>850.74</v>
      </c>
      <c r="Q60" s="3">
        <v>1.0</v>
      </c>
      <c r="R60" s="3">
        <v>0.0</v>
      </c>
      <c r="S60" s="17">
        <v>0.05</v>
      </c>
      <c r="T60" s="17">
        <v>0.0</v>
      </c>
      <c r="U60" s="16">
        <v>28728.81</v>
      </c>
      <c r="V60" s="16">
        <v>0.0</v>
      </c>
      <c r="W60" s="17">
        <v>0.026476557852552887</v>
      </c>
      <c r="X60" s="17">
        <v>0.0</v>
      </c>
      <c r="Y60" s="20">
        <v>37.769260096760625</v>
      </c>
      <c r="Z60" s="20">
        <v>0.0</v>
      </c>
      <c r="AA60" s="3">
        <v>1.0</v>
      </c>
    </row>
    <row r="61" ht="15.75" customHeight="1">
      <c r="A61" s="19" t="s">
        <v>151</v>
      </c>
      <c r="B61" s="3">
        <f t="shared" si="1"/>
        <v>1</v>
      </c>
      <c r="C61" s="16">
        <v>9.0</v>
      </c>
      <c r="D61" s="16">
        <v>4.0</v>
      </c>
      <c r="E61" s="17">
        <v>0.0162</v>
      </c>
      <c r="F61" s="17">
        <v>0.0463</v>
      </c>
      <c r="G61" s="3">
        <v>3.0</v>
      </c>
      <c r="H61" s="3">
        <v>2.0</v>
      </c>
      <c r="I61" s="3">
        <v>35.0</v>
      </c>
      <c r="J61" s="3">
        <v>5.0</v>
      </c>
      <c r="K61" s="17">
        <v>0.08571428571428572</v>
      </c>
      <c r="L61" s="17">
        <v>0.4</v>
      </c>
      <c r="M61" s="20">
        <v>5.87</v>
      </c>
      <c r="N61" s="20">
        <v>6.245</v>
      </c>
      <c r="O61" s="16">
        <v>17.61</v>
      </c>
      <c r="P61" s="16">
        <v>12.49</v>
      </c>
      <c r="Q61" s="3">
        <v>0.0</v>
      </c>
      <c r="R61" s="3">
        <v>1.0</v>
      </c>
      <c r="S61" s="17">
        <v>0.0</v>
      </c>
      <c r="T61" s="17">
        <v>0.5</v>
      </c>
      <c r="U61" s="16">
        <v>0.0</v>
      </c>
      <c r="V61" s="16">
        <v>1016.1</v>
      </c>
      <c r="W61" s="17">
        <v>0.0</v>
      </c>
      <c r="X61" s="17">
        <v>0.01229209723452416</v>
      </c>
      <c r="Y61" s="20">
        <v>0.0</v>
      </c>
      <c r="Z61" s="20">
        <v>81.35308246597278</v>
      </c>
      <c r="AA61" s="3">
        <v>1.0</v>
      </c>
    </row>
    <row r="62" ht="15.75" customHeight="1">
      <c r="A62" s="19" t="s">
        <v>153</v>
      </c>
      <c r="B62" s="3">
        <f t="shared" si="1"/>
        <v>1</v>
      </c>
      <c r="C62" s="16">
        <v>0.0</v>
      </c>
      <c r="D62" s="16">
        <v>1.0</v>
      </c>
      <c r="E62" s="17">
        <v>0.0</v>
      </c>
      <c r="F62" s="17">
        <v>0.9333</v>
      </c>
      <c r="G62" s="3">
        <v>0.0</v>
      </c>
      <c r="H62" s="3">
        <v>3.0</v>
      </c>
      <c r="I62" s="3">
        <v>0.0</v>
      </c>
      <c r="J62" s="3">
        <v>14.0</v>
      </c>
      <c r="K62" s="17">
        <v>0.0</v>
      </c>
      <c r="L62" s="17">
        <v>0.21428571428571427</v>
      </c>
      <c r="M62" s="20">
        <v>0.0</v>
      </c>
      <c r="N62" s="20">
        <v>25.41333333333333</v>
      </c>
      <c r="O62" s="16">
        <v>0.0</v>
      </c>
      <c r="P62" s="16">
        <v>76.24</v>
      </c>
      <c r="Q62" s="3">
        <v>0.0</v>
      </c>
      <c r="R62" s="3">
        <v>1.0</v>
      </c>
      <c r="S62" s="17">
        <v>0.0</v>
      </c>
      <c r="T62" s="17">
        <v>0.3333333333333333</v>
      </c>
      <c r="U62" s="16">
        <v>0.0</v>
      </c>
      <c r="V62" s="16">
        <v>23305.08</v>
      </c>
      <c r="W62" s="17">
        <v>0.0</v>
      </c>
      <c r="X62" s="17">
        <v>0.0032713897570830048</v>
      </c>
      <c r="Y62" s="20">
        <v>0.0</v>
      </c>
      <c r="Z62" s="20">
        <v>305.680482686254</v>
      </c>
      <c r="AA62" s="3">
        <v>1.0</v>
      </c>
    </row>
    <row r="63" ht="15.75" customHeight="1">
      <c r="A63" s="19" t="s">
        <v>154</v>
      </c>
      <c r="B63" s="3">
        <f t="shared" si="1"/>
        <v>1</v>
      </c>
      <c r="C63" s="16">
        <v>2.0</v>
      </c>
      <c r="D63" s="16">
        <v>1.0</v>
      </c>
      <c r="E63" s="17">
        <v>0.19465</v>
      </c>
      <c r="F63" s="17">
        <v>0.9983</v>
      </c>
      <c r="G63" s="3">
        <v>5.0</v>
      </c>
      <c r="H63" s="3">
        <v>16.0</v>
      </c>
      <c r="I63" s="3">
        <v>132.0</v>
      </c>
      <c r="J63" s="3">
        <v>1199.0</v>
      </c>
      <c r="K63" s="17">
        <v>0.03787878787878788</v>
      </c>
      <c r="L63" s="17">
        <v>0.013344453711426188</v>
      </c>
      <c r="M63" s="20">
        <v>29.122000000000003</v>
      </c>
      <c r="N63" s="20">
        <v>44.0375</v>
      </c>
      <c r="O63" s="16">
        <v>145.61</v>
      </c>
      <c r="P63" s="16">
        <v>704.6</v>
      </c>
      <c r="Q63" s="3">
        <v>0.0</v>
      </c>
      <c r="R63" s="3">
        <v>1.0</v>
      </c>
      <c r="S63" s="17">
        <v>0.0</v>
      </c>
      <c r="T63" s="17">
        <v>0.0625</v>
      </c>
      <c r="U63" s="16">
        <v>0.0</v>
      </c>
      <c r="V63" s="16">
        <v>26186.44</v>
      </c>
      <c r="W63" s="17">
        <v>0.0</v>
      </c>
      <c r="X63" s="17">
        <v>0.026907055712804034</v>
      </c>
      <c r="Y63" s="20">
        <v>0.0</v>
      </c>
      <c r="Z63" s="20">
        <v>37.16497303434573</v>
      </c>
      <c r="AA63" s="3">
        <v>1.0</v>
      </c>
    </row>
    <row r="64" ht="15.75" customHeight="1">
      <c r="A64" s="19" t="s">
        <v>155</v>
      </c>
      <c r="B64" s="14">
        <f t="shared" si="1"/>
        <v>-1</v>
      </c>
      <c r="C64" s="16">
        <v>1.0</v>
      </c>
      <c r="D64" s="16">
        <v>1.0</v>
      </c>
      <c r="E64" s="17">
        <v>0.9947</v>
      </c>
      <c r="F64" s="17">
        <v>0.9053</v>
      </c>
      <c r="G64" s="3">
        <v>17.0</v>
      </c>
      <c r="H64" s="3">
        <v>7.0</v>
      </c>
      <c r="I64" s="3">
        <v>753.0</v>
      </c>
      <c r="J64" s="3">
        <v>373.0</v>
      </c>
      <c r="K64" s="17">
        <v>0.02257636122177955</v>
      </c>
      <c r="L64" s="17">
        <v>0.01876675603217158</v>
      </c>
      <c r="M64" s="20">
        <v>51.24764705882353</v>
      </c>
      <c r="N64" s="20">
        <v>31.11285714285714</v>
      </c>
      <c r="O64" s="16">
        <v>871.21</v>
      </c>
      <c r="P64" s="16">
        <v>217.79</v>
      </c>
      <c r="Q64" s="3">
        <v>1.0</v>
      </c>
      <c r="R64" s="3">
        <v>0.0</v>
      </c>
      <c r="S64" s="17">
        <v>0.058823529411764705</v>
      </c>
      <c r="T64" s="17">
        <v>0.0</v>
      </c>
      <c r="U64" s="16">
        <v>15423.73</v>
      </c>
      <c r="V64" s="16">
        <v>0.0</v>
      </c>
      <c r="W64" s="17">
        <v>0.05648503961104091</v>
      </c>
      <c r="X64" s="17">
        <v>0.0</v>
      </c>
      <c r="Y64" s="20">
        <v>17.703802757084972</v>
      </c>
      <c r="Z64" s="20">
        <v>0.0</v>
      </c>
      <c r="AA64" s="3">
        <v>1.0</v>
      </c>
    </row>
    <row r="65" ht="15.75" customHeight="1">
      <c r="A65" s="19" t="s">
        <v>156</v>
      </c>
      <c r="B65" s="14">
        <f t="shared" si="1"/>
        <v>-1</v>
      </c>
      <c r="C65" s="16">
        <v>8.0</v>
      </c>
      <c r="D65" s="16">
        <v>9.0</v>
      </c>
      <c r="E65" s="17">
        <v>0.0156</v>
      </c>
      <c r="F65" s="17">
        <v>0.0105</v>
      </c>
      <c r="G65" s="3">
        <v>2.0</v>
      </c>
      <c r="H65" s="3">
        <v>2.0</v>
      </c>
      <c r="I65" s="3">
        <v>14.0</v>
      </c>
      <c r="J65" s="3">
        <v>6.0</v>
      </c>
      <c r="K65" s="17">
        <v>0.14285714285714285</v>
      </c>
      <c r="L65" s="17">
        <v>0.3333333333333333</v>
      </c>
      <c r="M65" s="20">
        <v>4.63</v>
      </c>
      <c r="N65" s="20">
        <v>4.63</v>
      </c>
      <c r="O65" s="16">
        <v>9.26</v>
      </c>
      <c r="P65" s="16">
        <v>9.26</v>
      </c>
      <c r="Q65" s="3">
        <v>1.0</v>
      </c>
      <c r="R65" s="3">
        <v>0.0</v>
      </c>
      <c r="S65" s="17">
        <v>0.5</v>
      </c>
      <c r="T65" s="17">
        <v>0.0</v>
      </c>
      <c r="U65" s="16">
        <v>1016.1</v>
      </c>
      <c r="V65" s="16">
        <v>0.0</v>
      </c>
      <c r="W65" s="17">
        <v>0.009113276252337368</v>
      </c>
      <c r="X65" s="17">
        <v>0.0</v>
      </c>
      <c r="Y65" s="20">
        <v>109.73002159827215</v>
      </c>
      <c r="Z65" s="20">
        <v>0.0</v>
      </c>
      <c r="AA65" s="3">
        <v>1.0</v>
      </c>
    </row>
    <row r="66" ht="15.75" customHeight="1">
      <c r="A66" s="19" t="s">
        <v>157</v>
      </c>
      <c r="B66" s="3">
        <f t="shared" si="1"/>
        <v>1</v>
      </c>
      <c r="C66" s="16">
        <v>4.0</v>
      </c>
      <c r="D66" s="16">
        <v>2.0</v>
      </c>
      <c r="E66" s="17">
        <v>0.0747</v>
      </c>
      <c r="F66" s="17">
        <v>0.2033</v>
      </c>
      <c r="G66" s="3">
        <v>10.0</v>
      </c>
      <c r="H66" s="3">
        <v>19.0</v>
      </c>
      <c r="I66" s="3">
        <v>615.0</v>
      </c>
      <c r="J66" s="3">
        <v>1600.0</v>
      </c>
      <c r="K66" s="17">
        <v>0.016260162601626018</v>
      </c>
      <c r="L66" s="17">
        <v>0.011875</v>
      </c>
      <c r="M66" s="20">
        <v>4.5969999999999995</v>
      </c>
      <c r="N66" s="20">
        <v>5.040526315789474</v>
      </c>
      <c r="O66" s="16">
        <v>45.97</v>
      </c>
      <c r="P66" s="16">
        <v>95.77000000000001</v>
      </c>
      <c r="Q66" s="3">
        <v>0.0</v>
      </c>
      <c r="R66" s="3">
        <v>1.0</v>
      </c>
      <c r="S66" s="17">
        <v>0.0</v>
      </c>
      <c r="T66" s="17">
        <v>0.05263157894736842</v>
      </c>
      <c r="U66" s="16">
        <v>0.0</v>
      </c>
      <c r="V66" s="16">
        <v>803.39</v>
      </c>
      <c r="W66" s="17">
        <v>0.0</v>
      </c>
      <c r="X66" s="17">
        <v>0.11920735881701293</v>
      </c>
      <c r="Y66" s="20">
        <v>0.0</v>
      </c>
      <c r="Z66" s="20">
        <v>8.388743865511119</v>
      </c>
      <c r="AA66" s="3">
        <v>1.0</v>
      </c>
    </row>
    <row r="67" ht="15.75" customHeight="1">
      <c r="A67" s="19" t="s">
        <v>159</v>
      </c>
      <c r="B67" s="14">
        <f t="shared" si="1"/>
        <v>-1</v>
      </c>
      <c r="C67" s="16">
        <v>1.0</v>
      </c>
      <c r="D67" s="16">
        <v>1.0</v>
      </c>
      <c r="E67" s="17">
        <v>0.9993</v>
      </c>
      <c r="F67" s="17">
        <v>0.9779</v>
      </c>
      <c r="G67" s="3">
        <v>24.0</v>
      </c>
      <c r="H67" s="3">
        <v>4.0</v>
      </c>
      <c r="I67" s="3">
        <v>1532.0</v>
      </c>
      <c r="J67" s="3">
        <v>221.0</v>
      </c>
      <c r="K67" s="17">
        <v>0.015665796344647518</v>
      </c>
      <c r="L67" s="17">
        <v>0.01809954751131222</v>
      </c>
      <c r="M67" s="20">
        <v>27.594166666666666</v>
      </c>
      <c r="N67" s="20">
        <v>29.4775</v>
      </c>
      <c r="O67" s="16">
        <v>662.26</v>
      </c>
      <c r="P67" s="16">
        <v>117.91</v>
      </c>
      <c r="Q67" s="3">
        <v>1.0</v>
      </c>
      <c r="R67" s="3">
        <v>0.0</v>
      </c>
      <c r="S67" s="17">
        <v>0.041666666666666664</v>
      </c>
      <c r="T67" s="17">
        <v>0.0</v>
      </c>
      <c r="U67" s="16">
        <v>26186.44</v>
      </c>
      <c r="V67" s="16">
        <v>0.0</v>
      </c>
      <c r="W67" s="17">
        <v>0.02529018835702753</v>
      </c>
      <c r="X67" s="17">
        <v>0.0</v>
      </c>
      <c r="Y67" s="20">
        <v>39.541026183070095</v>
      </c>
      <c r="Z67" s="20">
        <v>0.0</v>
      </c>
      <c r="AA67" s="3">
        <v>1.0</v>
      </c>
    </row>
    <row r="68" ht="15.75" customHeight="1">
      <c r="A68" s="19" t="s">
        <v>164</v>
      </c>
      <c r="B68" s="3">
        <f t="shared" si="1"/>
        <v>1</v>
      </c>
      <c r="C68" s="16">
        <v>15.0</v>
      </c>
      <c r="D68" s="16">
        <v>2.0</v>
      </c>
      <c r="E68" s="17">
        <v>0.0047</v>
      </c>
      <c r="F68" s="17">
        <v>0.0754</v>
      </c>
      <c r="G68" s="3">
        <v>2.0</v>
      </c>
      <c r="H68" s="3">
        <v>24.0</v>
      </c>
      <c r="I68" s="3">
        <v>11.0</v>
      </c>
      <c r="J68" s="3">
        <v>193.0</v>
      </c>
      <c r="K68" s="17">
        <v>0.18181818181818182</v>
      </c>
      <c r="L68" s="17">
        <v>0.12435233160621761</v>
      </c>
      <c r="M68" s="20">
        <v>3.295</v>
      </c>
      <c r="N68" s="20">
        <v>3.9404166666666662</v>
      </c>
      <c r="O68" s="16">
        <v>6.59</v>
      </c>
      <c r="P68" s="16">
        <v>94.57</v>
      </c>
      <c r="Q68" s="3">
        <v>0.0</v>
      </c>
      <c r="R68" s="3">
        <v>1.0</v>
      </c>
      <c r="S68" s="17">
        <v>0.0</v>
      </c>
      <c r="T68" s="17">
        <v>0.041666666666666664</v>
      </c>
      <c r="U68" s="16">
        <v>0.0</v>
      </c>
      <c r="V68" s="16">
        <v>1016.1</v>
      </c>
      <c r="W68" s="17">
        <v>0.0</v>
      </c>
      <c r="X68" s="17">
        <v>0.09307154807597677</v>
      </c>
      <c r="Y68" s="20">
        <v>0.0</v>
      </c>
      <c r="Z68" s="20">
        <v>10.74442212118008</v>
      </c>
      <c r="AA68" s="3">
        <v>1.0</v>
      </c>
    </row>
    <row r="69" ht="15.75" customHeight="1">
      <c r="A69" s="19" t="s">
        <v>167</v>
      </c>
      <c r="B69" s="3">
        <f t="shared" si="1"/>
        <v>1</v>
      </c>
      <c r="C69" s="16">
        <v>0.0</v>
      </c>
      <c r="D69" s="16">
        <v>1.0</v>
      </c>
      <c r="E69" s="17">
        <v>0.0</v>
      </c>
      <c r="F69" s="17">
        <v>1.0</v>
      </c>
      <c r="G69" s="3">
        <v>0.0</v>
      </c>
      <c r="H69" s="3">
        <v>1.0</v>
      </c>
      <c r="I69" s="3">
        <v>0.0</v>
      </c>
      <c r="J69" s="3">
        <v>1.0</v>
      </c>
      <c r="K69" s="17">
        <v>0.0</v>
      </c>
      <c r="L69" s="17">
        <v>1.0</v>
      </c>
      <c r="M69" s="20">
        <v>0.0</v>
      </c>
      <c r="N69" s="20">
        <v>17.94</v>
      </c>
      <c r="O69" s="16">
        <v>0.0</v>
      </c>
      <c r="P69" s="16">
        <v>17.94</v>
      </c>
      <c r="Q69" s="3">
        <v>0.0</v>
      </c>
      <c r="R69" s="3">
        <v>1.0</v>
      </c>
      <c r="S69" s="17">
        <v>0.0</v>
      </c>
      <c r="T69" s="17">
        <v>1.0</v>
      </c>
      <c r="U69" s="16">
        <v>0.0</v>
      </c>
      <c r="V69" s="16">
        <v>28728.82</v>
      </c>
      <c r="W69" s="17">
        <v>0.0</v>
      </c>
      <c r="X69" s="17">
        <v>6.244600369942101E-4</v>
      </c>
      <c r="Y69" s="20">
        <v>0.0</v>
      </c>
      <c r="Z69" s="20">
        <v>1601.3835005574135</v>
      </c>
      <c r="AA69" s="3">
        <v>1.0</v>
      </c>
    </row>
    <row r="70" ht="15.75" customHeight="1">
      <c r="A70" s="19" t="s">
        <v>168</v>
      </c>
      <c r="B70" s="14">
        <f t="shared" si="1"/>
        <v>-1</v>
      </c>
      <c r="C70" s="16">
        <v>1.0</v>
      </c>
      <c r="D70" s="16">
        <v>0.0</v>
      </c>
      <c r="E70" s="17">
        <v>0.7778</v>
      </c>
      <c r="F70" s="17">
        <v>0.0</v>
      </c>
      <c r="G70" s="3">
        <v>4.0</v>
      </c>
      <c r="H70" s="3">
        <v>0.0</v>
      </c>
      <c r="I70" s="3">
        <v>12.0</v>
      </c>
      <c r="J70" s="3">
        <v>0.0</v>
      </c>
      <c r="K70" s="17">
        <v>0.3333333333333333</v>
      </c>
      <c r="L70" s="17">
        <v>0.0</v>
      </c>
      <c r="M70" s="20">
        <v>9.467500000000001</v>
      </c>
      <c r="N70" s="20">
        <v>0.0</v>
      </c>
      <c r="O70" s="16">
        <v>37.870000000000005</v>
      </c>
      <c r="P70" s="16">
        <v>0.0</v>
      </c>
      <c r="Q70" s="3">
        <v>1.0</v>
      </c>
      <c r="R70" s="3">
        <v>0.0</v>
      </c>
      <c r="S70" s="17">
        <v>0.25</v>
      </c>
      <c r="T70" s="17">
        <v>0.0</v>
      </c>
      <c r="U70" s="16">
        <v>34745.76</v>
      </c>
      <c r="V70" s="16">
        <v>0.0</v>
      </c>
      <c r="W70" s="17">
        <v>0.0010899171582374368</v>
      </c>
      <c r="X70" s="17">
        <v>0.0</v>
      </c>
      <c r="Y70" s="20">
        <v>917.5009242144176</v>
      </c>
      <c r="Z70" s="20">
        <v>0.0</v>
      </c>
      <c r="AA70" s="3">
        <v>1.0</v>
      </c>
    </row>
    <row r="71" ht="15.75" customHeight="1">
      <c r="A71" s="19" t="s">
        <v>169</v>
      </c>
      <c r="B71" s="14">
        <f t="shared" si="1"/>
        <v>-1</v>
      </c>
      <c r="C71" s="16">
        <v>1.6</v>
      </c>
      <c r="D71" s="16">
        <v>2.0</v>
      </c>
      <c r="E71" s="17">
        <v>0.41208</v>
      </c>
      <c r="F71" s="17">
        <v>0.3819000000000001</v>
      </c>
      <c r="G71" s="3">
        <v>34.0</v>
      </c>
      <c r="H71" s="3">
        <v>31.0</v>
      </c>
      <c r="I71" s="3">
        <v>9804.0</v>
      </c>
      <c r="J71" s="3">
        <v>7949.0</v>
      </c>
      <c r="K71" s="17">
        <v>0.00346797225622195</v>
      </c>
      <c r="L71" s="17">
        <v>0.0038998616178135613</v>
      </c>
      <c r="M71" s="20">
        <v>60.98617647058824</v>
      </c>
      <c r="N71" s="20">
        <v>81.80709677419355</v>
      </c>
      <c r="O71" s="16">
        <v>2073.53</v>
      </c>
      <c r="P71" s="16">
        <v>2536.02</v>
      </c>
      <c r="Q71" s="3">
        <v>1.0</v>
      </c>
      <c r="R71" s="3">
        <v>0.0</v>
      </c>
      <c r="S71" s="17">
        <v>0.029411764705882353</v>
      </c>
      <c r="T71" s="17">
        <v>0.0</v>
      </c>
      <c r="U71" s="16">
        <v>34745.76</v>
      </c>
      <c r="V71" s="16">
        <v>0.0</v>
      </c>
      <c r="W71" s="17">
        <v>0.05967720953578221</v>
      </c>
      <c r="X71" s="17">
        <v>0.0</v>
      </c>
      <c r="Y71" s="20">
        <v>16.75681567182534</v>
      </c>
      <c r="Z71" s="20">
        <v>0.0</v>
      </c>
      <c r="AA71" s="3">
        <v>1.0</v>
      </c>
    </row>
    <row r="72" ht="15.75" customHeight="1">
      <c r="A72" s="19" t="s">
        <v>171</v>
      </c>
      <c r="B72" s="14">
        <f t="shared" si="1"/>
        <v>-1</v>
      </c>
      <c r="C72" s="16">
        <v>1.5</v>
      </c>
      <c r="D72" s="16">
        <v>1.0</v>
      </c>
      <c r="E72" s="17">
        <v>0.72955</v>
      </c>
      <c r="F72" s="17">
        <v>0.8474</v>
      </c>
      <c r="G72" s="3">
        <v>10.0</v>
      </c>
      <c r="H72" s="3">
        <v>3.0</v>
      </c>
      <c r="I72" s="3">
        <v>121.0</v>
      </c>
      <c r="J72" s="3">
        <v>683.0</v>
      </c>
      <c r="K72" s="17">
        <v>0.08264462809917356</v>
      </c>
      <c r="L72" s="17">
        <v>0.004392386530014641</v>
      </c>
      <c r="M72" s="20">
        <v>27.793</v>
      </c>
      <c r="N72" s="20">
        <v>108.97333333333334</v>
      </c>
      <c r="O72" s="16">
        <v>277.93</v>
      </c>
      <c r="P72" s="16">
        <v>326.92</v>
      </c>
      <c r="Q72" s="3">
        <v>1.0</v>
      </c>
      <c r="R72" s="3">
        <v>0.0</v>
      </c>
      <c r="S72" s="17">
        <v>0.1</v>
      </c>
      <c r="T72" s="17">
        <v>0.0</v>
      </c>
      <c r="U72" s="16">
        <v>25338.98</v>
      </c>
      <c r="V72" s="16">
        <v>0.0</v>
      </c>
      <c r="W72" s="17">
        <v>0.010968476237007172</v>
      </c>
      <c r="X72" s="17">
        <v>0.0</v>
      </c>
      <c r="Y72" s="20">
        <v>91.17036663908178</v>
      </c>
      <c r="Z72" s="20">
        <v>0.0</v>
      </c>
      <c r="AA72" s="3">
        <v>1.0</v>
      </c>
    </row>
    <row r="73" ht="15.75" customHeight="1">
      <c r="A73" s="19" t="s">
        <v>172</v>
      </c>
      <c r="B73" s="3">
        <f t="shared" si="1"/>
        <v>1</v>
      </c>
      <c r="C73" s="16">
        <v>1.0</v>
      </c>
      <c r="D73" s="16">
        <v>1.5</v>
      </c>
      <c r="E73" s="17">
        <v>0.8571</v>
      </c>
      <c r="F73" s="17">
        <v>0.4253</v>
      </c>
      <c r="G73" s="3">
        <v>1.0</v>
      </c>
      <c r="H73" s="3">
        <v>4.0</v>
      </c>
      <c r="I73" s="3">
        <v>12.0</v>
      </c>
      <c r="J73" s="3">
        <v>36.0</v>
      </c>
      <c r="K73" s="17">
        <v>0.08333333333333333</v>
      </c>
      <c r="L73" s="17">
        <v>0.1111111111111111</v>
      </c>
      <c r="M73" s="20">
        <v>32.38</v>
      </c>
      <c r="N73" s="20">
        <v>39.5875</v>
      </c>
      <c r="O73" s="16">
        <v>32.38</v>
      </c>
      <c r="P73" s="16">
        <v>158.35</v>
      </c>
      <c r="Q73" s="3">
        <v>0.0</v>
      </c>
      <c r="R73" s="3">
        <v>1.0</v>
      </c>
      <c r="S73" s="17">
        <v>0.0</v>
      </c>
      <c r="T73" s="17">
        <v>0.25</v>
      </c>
      <c r="U73" s="16">
        <v>0.0</v>
      </c>
      <c r="V73" s="16">
        <v>23305.08</v>
      </c>
      <c r="W73" s="17">
        <v>0.0</v>
      </c>
      <c r="X73" s="17">
        <v>0.0067946559290935704</v>
      </c>
      <c r="Y73" s="20">
        <v>0.0</v>
      </c>
      <c r="Z73" s="20">
        <v>147.1744868961162</v>
      </c>
      <c r="AA73" s="3">
        <v>1.0</v>
      </c>
    </row>
    <row r="74" ht="15.75" customHeight="1">
      <c r="A74" s="19" t="s">
        <v>173</v>
      </c>
      <c r="B74" s="3">
        <f t="shared" si="1"/>
        <v>1</v>
      </c>
      <c r="C74" s="16">
        <v>0.0</v>
      </c>
      <c r="D74" s="16">
        <v>1.0</v>
      </c>
      <c r="E74" s="17">
        <v>0.0</v>
      </c>
      <c r="F74" s="17">
        <v>1.0</v>
      </c>
      <c r="G74" s="3">
        <v>0.0</v>
      </c>
      <c r="H74" s="3">
        <v>1.0</v>
      </c>
      <c r="I74" s="3">
        <v>0.0</v>
      </c>
      <c r="J74" s="3">
        <v>3.0</v>
      </c>
      <c r="K74" s="17">
        <v>0.0</v>
      </c>
      <c r="L74" s="17">
        <v>0.3333333333333333</v>
      </c>
      <c r="M74" s="20">
        <v>0.0</v>
      </c>
      <c r="N74" s="20">
        <v>17.36</v>
      </c>
      <c r="O74" s="16">
        <v>0.0</v>
      </c>
      <c r="P74" s="16">
        <v>17.36</v>
      </c>
      <c r="Q74" s="3">
        <v>0.0</v>
      </c>
      <c r="R74" s="3">
        <v>1.0</v>
      </c>
      <c r="S74" s="17">
        <v>0.0</v>
      </c>
      <c r="T74" s="17">
        <v>1.0</v>
      </c>
      <c r="U74" s="16">
        <v>0.0</v>
      </c>
      <c r="V74" s="16">
        <v>28728.82</v>
      </c>
      <c r="W74" s="17">
        <v>0.0</v>
      </c>
      <c r="X74" s="17">
        <v>6.042712509598375E-4</v>
      </c>
      <c r="Y74" s="20">
        <v>0.0</v>
      </c>
      <c r="Z74" s="20">
        <v>1654.8859447004609</v>
      </c>
      <c r="AA74" s="3">
        <v>1.0</v>
      </c>
    </row>
    <row r="75" ht="15.75" customHeight="1">
      <c r="A75" s="19" t="s">
        <v>174</v>
      </c>
      <c r="B75" s="14">
        <f t="shared" si="1"/>
        <v>-1</v>
      </c>
      <c r="C75" s="16">
        <v>1.0</v>
      </c>
      <c r="D75" s="16">
        <v>2.0</v>
      </c>
      <c r="E75" s="17">
        <v>0.9934</v>
      </c>
      <c r="F75" s="17">
        <v>0.225</v>
      </c>
      <c r="G75" s="3">
        <v>14.0</v>
      </c>
      <c r="H75" s="3">
        <v>2.0</v>
      </c>
      <c r="I75" s="3">
        <v>598.0</v>
      </c>
      <c r="J75" s="3">
        <v>2.0</v>
      </c>
      <c r="K75" s="17">
        <v>0.023411371237458192</v>
      </c>
      <c r="L75" s="17">
        <v>1.0</v>
      </c>
      <c r="M75" s="20">
        <v>51.36142857142857</v>
      </c>
      <c r="N75" s="20">
        <v>7.975</v>
      </c>
      <c r="O75" s="16">
        <v>719.06</v>
      </c>
      <c r="P75" s="16">
        <v>15.95</v>
      </c>
      <c r="Q75" s="3">
        <v>1.0</v>
      </c>
      <c r="R75" s="3">
        <v>0.0</v>
      </c>
      <c r="S75" s="17">
        <v>0.07142857142857142</v>
      </c>
      <c r="T75" s="17">
        <v>0.0</v>
      </c>
      <c r="U75" s="16">
        <v>25338.98</v>
      </c>
      <c r="V75" s="16">
        <v>0.0</v>
      </c>
      <c r="W75" s="17">
        <v>0.028377622145800658</v>
      </c>
      <c r="X75" s="17">
        <v>0.0</v>
      </c>
      <c r="Y75" s="20">
        <v>35.23903429477373</v>
      </c>
      <c r="Z75" s="20">
        <v>0.0</v>
      </c>
      <c r="AA75" s="3">
        <v>1.0</v>
      </c>
    </row>
    <row r="76" ht="15.75" customHeight="1">
      <c r="A76" s="19" t="s">
        <v>175</v>
      </c>
      <c r="B76" s="3">
        <f t="shared" si="1"/>
        <v>1</v>
      </c>
      <c r="C76" s="16">
        <v>0.0</v>
      </c>
      <c r="D76" s="16">
        <v>1.0</v>
      </c>
      <c r="E76" s="17">
        <v>0.0</v>
      </c>
      <c r="F76" s="17">
        <v>1.0</v>
      </c>
      <c r="G76" s="3">
        <v>0.0</v>
      </c>
      <c r="H76" s="3">
        <v>4.0</v>
      </c>
      <c r="I76" s="3">
        <v>0.0</v>
      </c>
      <c r="J76" s="3">
        <v>10.0</v>
      </c>
      <c r="K76" s="17">
        <v>0.0</v>
      </c>
      <c r="L76" s="17">
        <v>0.4</v>
      </c>
      <c r="M76" s="20">
        <v>0.0</v>
      </c>
      <c r="N76" s="20">
        <v>18.065</v>
      </c>
      <c r="O76" s="16">
        <v>0.0</v>
      </c>
      <c r="P76" s="16">
        <v>72.26</v>
      </c>
      <c r="Q76" s="3">
        <v>0.0</v>
      </c>
      <c r="R76" s="3">
        <v>1.0</v>
      </c>
      <c r="S76" s="17">
        <v>0.0</v>
      </c>
      <c r="T76" s="17">
        <v>0.25</v>
      </c>
      <c r="U76" s="16">
        <v>0.0</v>
      </c>
      <c r="V76" s="16">
        <v>17966.1</v>
      </c>
      <c r="W76" s="17">
        <v>0.0</v>
      </c>
      <c r="X76" s="17">
        <v>0.004022019247360307</v>
      </c>
      <c r="Y76" s="20">
        <v>0.0</v>
      </c>
      <c r="Z76" s="20">
        <v>248.63133130362576</v>
      </c>
      <c r="AA76" s="3">
        <v>1.0</v>
      </c>
    </row>
    <row r="77" ht="15.75" customHeight="1">
      <c r="A77" s="19" t="s">
        <v>177</v>
      </c>
      <c r="B77" s="3">
        <f t="shared" si="1"/>
        <v>1</v>
      </c>
      <c r="C77" s="16">
        <v>0.0</v>
      </c>
      <c r="D77" s="16">
        <v>1.0</v>
      </c>
      <c r="E77" s="17">
        <v>0.0</v>
      </c>
      <c r="F77" s="17">
        <v>1.0</v>
      </c>
      <c r="G77" s="3">
        <v>0.0</v>
      </c>
      <c r="H77" s="3">
        <v>1.0</v>
      </c>
      <c r="I77" s="3">
        <v>0.0</v>
      </c>
      <c r="J77" s="3">
        <v>1.0</v>
      </c>
      <c r="K77" s="17">
        <v>0.0</v>
      </c>
      <c r="L77" s="17">
        <v>1.0</v>
      </c>
      <c r="M77" s="20">
        <v>0.0</v>
      </c>
      <c r="N77" s="20">
        <v>1.6</v>
      </c>
      <c r="O77" s="16">
        <v>0.0</v>
      </c>
      <c r="P77" s="16">
        <v>1.6</v>
      </c>
      <c r="Q77" s="3">
        <v>0.0</v>
      </c>
      <c r="R77" s="3">
        <v>1.0</v>
      </c>
      <c r="S77" s="17">
        <v>0.0</v>
      </c>
      <c r="T77" s="17">
        <v>1.0</v>
      </c>
      <c r="U77" s="16">
        <v>0.0</v>
      </c>
      <c r="V77" s="16">
        <v>1016.1</v>
      </c>
      <c r="W77" s="17">
        <v>0.0</v>
      </c>
      <c r="X77" s="17">
        <v>0.0015746481645507332</v>
      </c>
      <c r="Y77" s="20">
        <v>0.0</v>
      </c>
      <c r="Z77" s="20">
        <v>635.0625</v>
      </c>
      <c r="AA77" s="3">
        <v>1.0</v>
      </c>
    </row>
    <row r="78" ht="15.75" customHeight="1">
      <c r="A78" s="19" t="s">
        <v>178</v>
      </c>
      <c r="B78" s="14">
        <f t="shared" si="1"/>
        <v>-1</v>
      </c>
      <c r="C78" s="16">
        <v>1.0</v>
      </c>
      <c r="D78" s="16">
        <v>1.0</v>
      </c>
      <c r="E78" s="17">
        <v>1.0</v>
      </c>
      <c r="F78" s="17">
        <v>1.0</v>
      </c>
      <c r="G78" s="3">
        <v>9.0</v>
      </c>
      <c r="H78" s="3">
        <v>13.0</v>
      </c>
      <c r="I78" s="3">
        <v>237.0</v>
      </c>
      <c r="J78" s="3">
        <v>1881.0</v>
      </c>
      <c r="K78" s="17">
        <v>0.0379746835443038</v>
      </c>
      <c r="L78" s="17">
        <v>0.006911217437533227</v>
      </c>
      <c r="M78" s="20">
        <v>35.47444444444445</v>
      </c>
      <c r="N78" s="20">
        <v>51.98461538461538</v>
      </c>
      <c r="O78" s="16">
        <v>319.27000000000004</v>
      </c>
      <c r="P78" s="16">
        <v>675.8</v>
      </c>
      <c r="Q78" s="3">
        <v>1.0</v>
      </c>
      <c r="R78" s="3">
        <v>0.0</v>
      </c>
      <c r="S78" s="17">
        <v>0.1111111111111111</v>
      </c>
      <c r="T78" s="17">
        <v>0.0</v>
      </c>
      <c r="U78" s="16">
        <v>30084.75</v>
      </c>
      <c r="V78" s="16">
        <v>0.0</v>
      </c>
      <c r="W78" s="17">
        <v>0.010612353434879799</v>
      </c>
      <c r="X78" s="17">
        <v>0.0</v>
      </c>
      <c r="Y78" s="20">
        <v>94.22980549378268</v>
      </c>
      <c r="Z78" s="20">
        <v>0.0</v>
      </c>
      <c r="AA78" s="3">
        <v>1.0</v>
      </c>
    </row>
    <row r="79" ht="15.75" customHeight="1">
      <c r="A79" s="19" t="s">
        <v>179</v>
      </c>
      <c r="B79" s="3">
        <f t="shared" si="1"/>
        <v>1</v>
      </c>
      <c r="C79" s="16">
        <v>1.3333333333333333</v>
      </c>
      <c r="D79" s="16">
        <v>1.0</v>
      </c>
      <c r="E79" s="17">
        <v>0.8140666666666666</v>
      </c>
      <c r="F79" s="17">
        <v>0.8862333333333333</v>
      </c>
      <c r="G79" s="3">
        <v>37.0</v>
      </c>
      <c r="H79" s="3">
        <v>37.0</v>
      </c>
      <c r="I79" s="3">
        <v>2679.0</v>
      </c>
      <c r="J79" s="3">
        <v>3727.0</v>
      </c>
      <c r="K79" s="17">
        <v>0.013811123553564763</v>
      </c>
      <c r="L79" s="17">
        <v>0.009927555674805473</v>
      </c>
      <c r="M79" s="20">
        <v>31.970270270270273</v>
      </c>
      <c r="N79" s="20">
        <v>30.13054054054054</v>
      </c>
      <c r="O79" s="16">
        <v>1182.9</v>
      </c>
      <c r="P79" s="16">
        <v>1114.83</v>
      </c>
      <c r="Q79" s="3">
        <v>0.0</v>
      </c>
      <c r="R79" s="3">
        <v>1.0</v>
      </c>
      <c r="S79" s="17">
        <v>0.0</v>
      </c>
      <c r="T79" s="17">
        <v>0.02702702702702703</v>
      </c>
      <c r="U79" s="16">
        <v>0.0</v>
      </c>
      <c r="V79" s="16">
        <v>26186.44</v>
      </c>
      <c r="W79" s="17">
        <v>0.0</v>
      </c>
      <c r="X79" s="17">
        <v>0.042572797218713196</v>
      </c>
      <c r="Y79" s="20">
        <v>0.0</v>
      </c>
      <c r="Z79" s="20">
        <v>23.489177722163916</v>
      </c>
      <c r="AA79" s="3">
        <v>1.0</v>
      </c>
    </row>
    <row r="80" ht="15.75" customHeight="1">
      <c r="A80" s="19" t="s">
        <v>180</v>
      </c>
      <c r="B80" s="14">
        <f t="shared" si="1"/>
        <v>-1</v>
      </c>
      <c r="C80" s="16">
        <v>1.0</v>
      </c>
      <c r="D80" s="16">
        <v>1.0</v>
      </c>
      <c r="E80" s="17">
        <v>0.8664400000000001</v>
      </c>
      <c r="F80" s="17">
        <v>0.9712</v>
      </c>
      <c r="G80" s="3">
        <v>49.0</v>
      </c>
      <c r="H80" s="3">
        <v>21.0</v>
      </c>
      <c r="I80" s="3">
        <v>5395.0</v>
      </c>
      <c r="J80" s="3">
        <v>3431.0</v>
      </c>
      <c r="K80" s="17">
        <v>0.009082483781278962</v>
      </c>
      <c r="L80" s="17">
        <v>0.0061206645292917515</v>
      </c>
      <c r="M80" s="20">
        <v>25.90265306122449</v>
      </c>
      <c r="N80" s="20">
        <v>27.585238095238093</v>
      </c>
      <c r="O80" s="16">
        <v>1269.23</v>
      </c>
      <c r="P80" s="16">
        <v>579.29</v>
      </c>
      <c r="Q80" s="3">
        <v>1.0</v>
      </c>
      <c r="R80" s="3">
        <v>0.0</v>
      </c>
      <c r="S80" s="17">
        <v>0.02040816326530612</v>
      </c>
      <c r="T80" s="17">
        <v>0.0</v>
      </c>
      <c r="U80" s="16">
        <v>17966.1</v>
      </c>
      <c r="V80" s="16">
        <v>0.0</v>
      </c>
      <c r="W80" s="17">
        <v>0.07064582741941769</v>
      </c>
      <c r="X80" s="17">
        <v>0.0</v>
      </c>
      <c r="Y80" s="20">
        <v>14.155117669768284</v>
      </c>
      <c r="Z80" s="20">
        <v>0.0</v>
      </c>
      <c r="AA80" s="3">
        <v>1.0</v>
      </c>
    </row>
    <row r="81" ht="15.75" customHeight="1">
      <c r="A81" s="19" t="s">
        <v>181</v>
      </c>
      <c r="B81" s="14">
        <f t="shared" si="1"/>
        <v>-1</v>
      </c>
      <c r="C81" s="16">
        <v>1.0</v>
      </c>
      <c r="D81" s="16">
        <v>0.0</v>
      </c>
      <c r="E81" s="17">
        <v>1.0</v>
      </c>
      <c r="F81" s="17">
        <v>0.0</v>
      </c>
      <c r="G81" s="3">
        <v>1.0</v>
      </c>
      <c r="H81" s="3">
        <v>0.0</v>
      </c>
      <c r="I81" s="3">
        <v>1.0</v>
      </c>
      <c r="J81" s="3">
        <v>0.0</v>
      </c>
      <c r="K81" s="17">
        <v>1.0</v>
      </c>
      <c r="L81" s="17">
        <v>0.0</v>
      </c>
      <c r="M81" s="20">
        <v>65.11</v>
      </c>
      <c r="N81" s="20">
        <v>0.0</v>
      </c>
      <c r="O81" s="16">
        <v>65.11</v>
      </c>
      <c r="P81" s="16">
        <v>0.0</v>
      </c>
      <c r="Q81" s="3">
        <v>1.0</v>
      </c>
      <c r="R81" s="3">
        <v>0.0</v>
      </c>
      <c r="S81" s="17">
        <v>1.0</v>
      </c>
      <c r="T81" s="17">
        <v>0.0</v>
      </c>
      <c r="U81" s="16">
        <v>33050.85</v>
      </c>
      <c r="V81" s="16">
        <v>0.0</v>
      </c>
      <c r="W81" s="17">
        <v>0.0019699947202568165</v>
      </c>
      <c r="X81" s="17">
        <v>0.0</v>
      </c>
      <c r="Y81" s="20">
        <v>507.6155736446014</v>
      </c>
      <c r="Z81" s="20">
        <v>0.0</v>
      </c>
      <c r="AA81" s="3">
        <v>1.0</v>
      </c>
    </row>
    <row r="82" ht="15.75" customHeight="1">
      <c r="A82" s="19" t="s">
        <v>183</v>
      </c>
      <c r="B82" s="14">
        <f t="shared" si="1"/>
        <v>-1</v>
      </c>
      <c r="C82" s="16">
        <v>1.0</v>
      </c>
      <c r="D82" s="16">
        <v>2.0</v>
      </c>
      <c r="E82" s="17">
        <v>0.5385</v>
      </c>
      <c r="F82" s="17">
        <v>0.2647</v>
      </c>
      <c r="G82" s="3">
        <v>10.0</v>
      </c>
      <c r="H82" s="3">
        <v>21.0</v>
      </c>
      <c r="I82" s="3">
        <v>679.0</v>
      </c>
      <c r="J82" s="3">
        <v>2166.0</v>
      </c>
      <c r="K82" s="17">
        <v>0.014727540500736377</v>
      </c>
      <c r="L82" s="17">
        <v>0.009695290858725761</v>
      </c>
      <c r="M82" s="20">
        <v>88.535</v>
      </c>
      <c r="N82" s="20">
        <v>75.47761904761906</v>
      </c>
      <c r="O82" s="16">
        <v>885.35</v>
      </c>
      <c r="P82" s="16">
        <v>1585.0300000000002</v>
      </c>
      <c r="Q82" s="3">
        <v>1.0</v>
      </c>
      <c r="R82" s="3">
        <v>0.0</v>
      </c>
      <c r="S82" s="17">
        <v>0.1</v>
      </c>
      <c r="T82" s="17">
        <v>0.0</v>
      </c>
      <c r="U82" s="16">
        <v>21186.44</v>
      </c>
      <c r="V82" s="16">
        <v>0.0</v>
      </c>
      <c r="W82" s="17">
        <v>0.04178852133723269</v>
      </c>
      <c r="X82" s="17">
        <v>0.0</v>
      </c>
      <c r="Y82" s="20">
        <v>23.93001637770373</v>
      </c>
      <c r="Z82" s="20">
        <v>0.0</v>
      </c>
      <c r="AA82" s="3">
        <v>1.0</v>
      </c>
    </row>
    <row r="83" ht="15.75" customHeight="1">
      <c r="A83" s="19" t="s">
        <v>184</v>
      </c>
      <c r="B83" s="3">
        <f t="shared" si="1"/>
        <v>1</v>
      </c>
      <c r="C83" s="16">
        <v>2.0</v>
      </c>
      <c r="D83" s="16">
        <v>1.5</v>
      </c>
      <c r="E83" s="17">
        <v>0.3406</v>
      </c>
      <c r="F83" s="17">
        <v>0.346875</v>
      </c>
      <c r="G83" s="3">
        <v>22.0</v>
      </c>
      <c r="H83" s="3">
        <v>9.0</v>
      </c>
      <c r="I83" s="3">
        <v>7034.0</v>
      </c>
      <c r="J83" s="3">
        <v>1011.0</v>
      </c>
      <c r="K83" s="17">
        <v>0.0031276656241114587</v>
      </c>
      <c r="L83" s="17">
        <v>0.008902077151335312</v>
      </c>
      <c r="M83" s="20">
        <v>47.16545454545455</v>
      </c>
      <c r="N83" s="20">
        <v>42.31888888888889</v>
      </c>
      <c r="O83" s="16">
        <v>1037.64</v>
      </c>
      <c r="P83" s="16">
        <v>380.87000000000006</v>
      </c>
      <c r="Q83" s="3">
        <v>0.0</v>
      </c>
      <c r="R83" s="3">
        <v>1.0</v>
      </c>
      <c r="S83" s="17">
        <v>0.0</v>
      </c>
      <c r="T83" s="17">
        <v>0.1111111111111111</v>
      </c>
      <c r="U83" s="16">
        <v>0.0</v>
      </c>
      <c r="V83" s="16">
        <v>17966.1</v>
      </c>
      <c r="W83" s="17">
        <v>0.0</v>
      </c>
      <c r="X83" s="17">
        <v>0.021199369924468865</v>
      </c>
      <c r="Y83" s="20">
        <v>0.0</v>
      </c>
      <c r="Z83" s="20">
        <v>47.17121327487068</v>
      </c>
      <c r="AA83" s="3">
        <v>1.0</v>
      </c>
    </row>
    <row r="84" ht="15.75" customHeight="1">
      <c r="A84" s="19" t="s">
        <v>185</v>
      </c>
      <c r="B84" s="14">
        <f t="shared" si="1"/>
        <v>-1</v>
      </c>
      <c r="C84" s="16">
        <v>2.0</v>
      </c>
      <c r="D84" s="16">
        <v>1.0</v>
      </c>
      <c r="E84" s="17">
        <v>0.0441</v>
      </c>
      <c r="F84" s="17">
        <v>1.0</v>
      </c>
      <c r="G84" s="3">
        <v>2.0</v>
      </c>
      <c r="H84" s="3">
        <v>1.0</v>
      </c>
      <c r="I84" s="3">
        <v>3.0</v>
      </c>
      <c r="J84" s="3">
        <v>1.0</v>
      </c>
      <c r="K84" s="17">
        <v>0.6666666666666666</v>
      </c>
      <c r="L84" s="17">
        <v>1.0</v>
      </c>
      <c r="M84" s="20">
        <v>53.61</v>
      </c>
      <c r="N84" s="20">
        <v>6.47</v>
      </c>
      <c r="O84" s="16">
        <v>107.22</v>
      </c>
      <c r="P84" s="16">
        <v>6.47</v>
      </c>
      <c r="Q84" s="3">
        <v>1.0</v>
      </c>
      <c r="R84" s="3">
        <v>0.0</v>
      </c>
      <c r="S84" s="17">
        <v>0.5</v>
      </c>
      <c r="T84" s="17">
        <v>0.0</v>
      </c>
      <c r="U84" s="16">
        <v>17966.1</v>
      </c>
      <c r="V84" s="16">
        <v>0.0</v>
      </c>
      <c r="W84" s="17">
        <v>0.00596790622338738</v>
      </c>
      <c r="X84" s="17">
        <v>0.0</v>
      </c>
      <c r="Y84" s="20">
        <v>167.5629546726357</v>
      </c>
      <c r="Z84" s="20">
        <v>0.0</v>
      </c>
      <c r="AA84" s="3">
        <v>1.0</v>
      </c>
    </row>
    <row r="85" ht="15.75" customHeight="1">
      <c r="A85" s="19" t="s">
        <v>188</v>
      </c>
      <c r="B85" s="14">
        <f t="shared" si="1"/>
        <v>-1</v>
      </c>
      <c r="C85" s="16">
        <v>1.0</v>
      </c>
      <c r="D85" s="16">
        <v>0.0</v>
      </c>
      <c r="E85" s="17">
        <v>1.0</v>
      </c>
      <c r="F85" s="17">
        <v>0.0</v>
      </c>
      <c r="G85" s="3">
        <v>1.0</v>
      </c>
      <c r="H85" s="3">
        <v>0.0</v>
      </c>
      <c r="I85" s="3">
        <v>1.0</v>
      </c>
      <c r="J85" s="3">
        <v>0.0</v>
      </c>
      <c r="K85" s="17">
        <v>1.0</v>
      </c>
      <c r="L85" s="17">
        <v>0.0</v>
      </c>
      <c r="M85" s="20">
        <v>38.0</v>
      </c>
      <c r="N85" s="20">
        <v>0.0</v>
      </c>
      <c r="O85" s="16">
        <v>38.0</v>
      </c>
      <c r="P85" s="16">
        <v>0.0</v>
      </c>
      <c r="Q85" s="3">
        <v>1.0</v>
      </c>
      <c r="R85" s="3">
        <v>0.0</v>
      </c>
      <c r="S85" s="17">
        <v>1.0</v>
      </c>
      <c r="T85" s="17">
        <v>0.0</v>
      </c>
      <c r="U85" s="16">
        <v>21016.94</v>
      </c>
      <c r="V85" s="16">
        <v>0.0</v>
      </c>
      <c r="W85" s="17">
        <v>0.0018080653035123097</v>
      </c>
      <c r="X85" s="17">
        <v>0.0</v>
      </c>
      <c r="Y85" s="20">
        <v>553.0773684210526</v>
      </c>
      <c r="Z85" s="20">
        <v>0.0</v>
      </c>
      <c r="AA85" s="3">
        <v>1.0</v>
      </c>
    </row>
    <row r="86" ht="15.75" customHeight="1">
      <c r="A86" s="19" t="s">
        <v>190</v>
      </c>
      <c r="B86" s="3">
        <f t="shared" si="1"/>
        <v>1</v>
      </c>
      <c r="C86" s="16">
        <v>0.0</v>
      </c>
      <c r="D86" s="16">
        <v>2.0</v>
      </c>
      <c r="E86" s="17">
        <v>0.0</v>
      </c>
      <c r="F86" s="17">
        <v>0.25</v>
      </c>
      <c r="G86" s="3">
        <v>0.0</v>
      </c>
      <c r="H86" s="3">
        <v>1.0</v>
      </c>
      <c r="I86" s="3">
        <v>0.0</v>
      </c>
      <c r="J86" s="3">
        <v>1.0</v>
      </c>
      <c r="K86" s="17">
        <v>0.0</v>
      </c>
      <c r="L86" s="17">
        <v>1.0</v>
      </c>
      <c r="M86" s="20">
        <v>0.0</v>
      </c>
      <c r="N86" s="20">
        <v>45.4</v>
      </c>
      <c r="O86" s="16">
        <v>0.0</v>
      </c>
      <c r="P86" s="16">
        <v>45.4</v>
      </c>
      <c r="Q86" s="3">
        <v>0.0</v>
      </c>
      <c r="R86" s="3">
        <v>1.0</v>
      </c>
      <c r="S86" s="17">
        <v>0.0</v>
      </c>
      <c r="T86" s="17">
        <v>1.0</v>
      </c>
      <c r="U86" s="16">
        <v>0.0</v>
      </c>
      <c r="V86" s="16">
        <v>23305.08</v>
      </c>
      <c r="W86" s="17">
        <v>0.0</v>
      </c>
      <c r="X86" s="17">
        <v>0.001948073123971254</v>
      </c>
      <c r="Y86" s="20">
        <v>0.0</v>
      </c>
      <c r="Z86" s="20">
        <v>513.3277533039649</v>
      </c>
      <c r="AA86" s="3">
        <v>1.0</v>
      </c>
    </row>
    <row r="87" ht="15.75" customHeight="1">
      <c r="A87" s="19" t="s">
        <v>191</v>
      </c>
      <c r="B87" s="3">
        <f t="shared" si="1"/>
        <v>1</v>
      </c>
      <c r="C87" s="16">
        <v>1.5</v>
      </c>
      <c r="D87" s="16">
        <v>1.5</v>
      </c>
      <c r="E87" s="17">
        <v>0.33825</v>
      </c>
      <c r="F87" s="17">
        <v>0.601925</v>
      </c>
      <c r="G87" s="3">
        <v>4.0</v>
      </c>
      <c r="H87" s="3">
        <v>7.0</v>
      </c>
      <c r="I87" s="3">
        <v>14.0</v>
      </c>
      <c r="J87" s="3">
        <v>444.0</v>
      </c>
      <c r="K87" s="17">
        <v>0.2857142857142857</v>
      </c>
      <c r="L87" s="17">
        <v>0.015765765765765764</v>
      </c>
      <c r="M87" s="20">
        <v>29.932499999999997</v>
      </c>
      <c r="N87" s="20">
        <v>38.04</v>
      </c>
      <c r="O87" s="16">
        <v>119.72999999999999</v>
      </c>
      <c r="P87" s="16">
        <v>266.28</v>
      </c>
      <c r="Q87" s="3">
        <v>0.0</v>
      </c>
      <c r="R87" s="3">
        <v>1.0</v>
      </c>
      <c r="S87" s="17">
        <v>0.0</v>
      </c>
      <c r="T87" s="17">
        <v>0.14285714285714285</v>
      </c>
      <c r="U87" s="16">
        <v>0.0</v>
      </c>
      <c r="V87" s="16">
        <v>17966.1</v>
      </c>
      <c r="W87" s="17">
        <v>0.0</v>
      </c>
      <c r="X87" s="17">
        <v>0.014821246681249687</v>
      </c>
      <c r="Y87" s="20">
        <v>0.0</v>
      </c>
      <c r="Z87" s="20">
        <v>67.47070752591257</v>
      </c>
      <c r="AA87" s="3">
        <v>1.0</v>
      </c>
    </row>
    <row r="88" ht="15.75" customHeight="1">
      <c r="A88" s="19" t="s">
        <v>192</v>
      </c>
      <c r="B88" s="14">
        <f t="shared" si="1"/>
        <v>-1</v>
      </c>
      <c r="C88" s="16">
        <v>3.769230769230769</v>
      </c>
      <c r="D88" s="16">
        <v>9.692307692307692</v>
      </c>
      <c r="E88" s="17">
        <v>0.18732307692307693</v>
      </c>
      <c r="F88" s="17">
        <v>0.036653846153846155</v>
      </c>
      <c r="G88" s="3">
        <v>87.0</v>
      </c>
      <c r="H88" s="3">
        <v>45.0</v>
      </c>
      <c r="I88" s="3">
        <v>19776.0</v>
      </c>
      <c r="J88" s="3">
        <v>2920.0</v>
      </c>
      <c r="K88" s="17">
        <v>0.004399271844660194</v>
      </c>
      <c r="L88" s="17">
        <v>0.015410958904109588</v>
      </c>
      <c r="M88" s="20">
        <v>26.294367816091956</v>
      </c>
      <c r="N88" s="20">
        <v>27.22533333333333</v>
      </c>
      <c r="O88" s="16">
        <v>2287.61</v>
      </c>
      <c r="P88" s="16">
        <v>1225.1399999999999</v>
      </c>
      <c r="Q88" s="3">
        <v>1.0</v>
      </c>
      <c r="R88" s="3">
        <v>0.0</v>
      </c>
      <c r="S88" s="17">
        <v>0.011494252873563218</v>
      </c>
      <c r="T88" s="17">
        <v>0.0</v>
      </c>
      <c r="U88" s="16">
        <v>1016.1</v>
      </c>
      <c r="V88" s="16">
        <v>0.0</v>
      </c>
      <c r="W88" s="17">
        <v>2.2513630548174395</v>
      </c>
      <c r="X88" s="17">
        <v>0.0</v>
      </c>
      <c r="Y88" s="20">
        <v>0.44417536205909225</v>
      </c>
      <c r="Z88" s="20">
        <v>0.0</v>
      </c>
      <c r="AA88" s="3">
        <v>1.0</v>
      </c>
    </row>
    <row r="89" ht="15.75" customHeight="1">
      <c r="A89" s="19" t="s">
        <v>193</v>
      </c>
      <c r="B89" s="14">
        <f t="shared" si="1"/>
        <v>-1</v>
      </c>
      <c r="C89" s="16">
        <v>1.0</v>
      </c>
      <c r="D89" s="16">
        <v>3.0</v>
      </c>
      <c r="E89" s="17">
        <v>0.66855</v>
      </c>
      <c r="F89" s="17">
        <v>0.0588</v>
      </c>
      <c r="G89" s="3">
        <v>3.0</v>
      </c>
      <c r="H89" s="3">
        <v>1.0</v>
      </c>
      <c r="I89" s="3">
        <v>33.0</v>
      </c>
      <c r="J89" s="3">
        <v>1.0</v>
      </c>
      <c r="K89" s="17">
        <v>0.09090909090909091</v>
      </c>
      <c r="L89" s="17">
        <v>1.0</v>
      </c>
      <c r="M89" s="20">
        <v>22.99</v>
      </c>
      <c r="N89" s="20">
        <v>5.35</v>
      </c>
      <c r="O89" s="16">
        <v>68.97</v>
      </c>
      <c r="P89" s="16">
        <v>5.35</v>
      </c>
      <c r="Q89" s="3">
        <v>1.0</v>
      </c>
      <c r="R89" s="3">
        <v>0.0</v>
      </c>
      <c r="S89" s="17">
        <v>0.3333333333333333</v>
      </c>
      <c r="T89" s="17">
        <v>0.0</v>
      </c>
      <c r="U89" s="16">
        <v>15423.73</v>
      </c>
      <c r="V89" s="16">
        <v>0.0</v>
      </c>
      <c r="W89" s="17">
        <v>0.004471680974705859</v>
      </c>
      <c r="X89" s="17">
        <v>0.0</v>
      </c>
      <c r="Y89" s="20">
        <v>223.62954907930984</v>
      </c>
      <c r="Z89" s="20">
        <v>0.0</v>
      </c>
      <c r="AA89" s="3">
        <v>1.0</v>
      </c>
    </row>
    <row r="90" ht="15.75" customHeight="1">
      <c r="A90" s="19" t="s">
        <v>194</v>
      </c>
      <c r="B90" s="14">
        <f t="shared" si="1"/>
        <v>-1</v>
      </c>
      <c r="C90" s="16">
        <v>1.0</v>
      </c>
      <c r="D90" s="16">
        <v>1.0</v>
      </c>
      <c r="E90" s="17">
        <v>1.0</v>
      </c>
      <c r="F90" s="17">
        <v>0.8333333333333334</v>
      </c>
      <c r="G90" s="3">
        <v>2.0</v>
      </c>
      <c r="H90" s="3">
        <v>6.0</v>
      </c>
      <c r="I90" s="3">
        <v>4.0</v>
      </c>
      <c r="J90" s="3">
        <v>37.0</v>
      </c>
      <c r="K90" s="17">
        <v>0.5</v>
      </c>
      <c r="L90" s="17">
        <v>0.16216216216216217</v>
      </c>
      <c r="M90" s="20">
        <v>8.375</v>
      </c>
      <c r="N90" s="20">
        <v>14.956666666666665</v>
      </c>
      <c r="O90" s="16">
        <v>16.75</v>
      </c>
      <c r="P90" s="16">
        <v>89.74</v>
      </c>
      <c r="Q90" s="3">
        <v>1.0</v>
      </c>
      <c r="R90" s="3">
        <v>0.0</v>
      </c>
      <c r="S90" s="17">
        <v>0.5</v>
      </c>
      <c r="T90" s="17">
        <v>0.0</v>
      </c>
      <c r="U90" s="16">
        <v>17966.1</v>
      </c>
      <c r="V90" s="16">
        <v>0.0</v>
      </c>
      <c r="W90" s="17">
        <v>9.323114087086235E-4</v>
      </c>
      <c r="X90" s="17">
        <v>0.0</v>
      </c>
      <c r="Y90" s="20">
        <v>1072.6029850746268</v>
      </c>
      <c r="Z90" s="20">
        <v>0.0</v>
      </c>
      <c r="AA90" s="3">
        <v>1.0</v>
      </c>
    </row>
    <row r="91" ht="15.75" customHeight="1">
      <c r="A91" s="19" t="s">
        <v>195</v>
      </c>
      <c r="B91" s="3">
        <f t="shared" si="1"/>
        <v>1</v>
      </c>
      <c r="C91" s="16">
        <v>1.8333333333333333</v>
      </c>
      <c r="D91" s="16">
        <v>2.75</v>
      </c>
      <c r="E91" s="17">
        <v>0.25151666666666667</v>
      </c>
      <c r="F91" s="17">
        <v>0.26810000000000006</v>
      </c>
      <c r="G91" s="3">
        <v>28.0</v>
      </c>
      <c r="H91" s="3">
        <v>78.0</v>
      </c>
      <c r="I91" s="3">
        <v>817.0</v>
      </c>
      <c r="J91" s="3">
        <v>2099.0</v>
      </c>
      <c r="K91" s="17">
        <v>0.03427172582619339</v>
      </c>
      <c r="L91" s="17">
        <v>0.037160552644116246</v>
      </c>
      <c r="M91" s="20">
        <v>33.82714285714286</v>
      </c>
      <c r="N91" s="20">
        <v>33.182948717948726</v>
      </c>
      <c r="O91" s="16">
        <v>947.1600000000001</v>
      </c>
      <c r="P91" s="16">
        <v>2588.2700000000004</v>
      </c>
      <c r="Q91" s="3">
        <v>0.0</v>
      </c>
      <c r="R91" s="3">
        <v>1.0</v>
      </c>
      <c r="S91" s="17">
        <v>0.0</v>
      </c>
      <c r="T91" s="17">
        <v>0.01282051282051282</v>
      </c>
      <c r="U91" s="16">
        <v>0.0</v>
      </c>
      <c r="V91" s="16">
        <v>17966.1</v>
      </c>
      <c r="W91" s="17">
        <v>0.0</v>
      </c>
      <c r="X91" s="17">
        <v>0.1440640984966131</v>
      </c>
      <c r="Y91" s="20">
        <v>0.0</v>
      </c>
      <c r="Z91" s="20">
        <v>6.941354650017192</v>
      </c>
      <c r="AA91" s="3">
        <v>1.0</v>
      </c>
    </row>
    <row r="92" ht="15.75" customHeight="1">
      <c r="A92" s="19" t="s">
        <v>197</v>
      </c>
      <c r="B92" s="14">
        <f t="shared" si="1"/>
        <v>-1</v>
      </c>
      <c r="C92" s="16">
        <v>5.0</v>
      </c>
      <c r="D92" s="16">
        <v>10.75</v>
      </c>
      <c r="E92" s="17">
        <v>0.013949999999999999</v>
      </c>
      <c r="F92" s="17">
        <v>0.00325</v>
      </c>
      <c r="G92" s="3">
        <v>71.0</v>
      </c>
      <c r="H92" s="3">
        <v>11.0</v>
      </c>
      <c r="I92" s="3">
        <v>36776.0</v>
      </c>
      <c r="J92" s="3">
        <v>177.0</v>
      </c>
      <c r="K92" s="17">
        <v>0.001930606917554927</v>
      </c>
      <c r="L92" s="17">
        <v>0.062146892655367235</v>
      </c>
      <c r="M92" s="20">
        <v>31.398028169014083</v>
      </c>
      <c r="N92" s="20">
        <v>31.381818181818186</v>
      </c>
      <c r="O92" s="16">
        <v>2229.2599999999998</v>
      </c>
      <c r="P92" s="16">
        <v>345.20000000000005</v>
      </c>
      <c r="Q92" s="3">
        <v>1.0</v>
      </c>
      <c r="R92" s="3">
        <v>0.0</v>
      </c>
      <c r="S92" s="17">
        <v>0.014084507042253521</v>
      </c>
      <c r="T92" s="17">
        <v>0.0</v>
      </c>
      <c r="U92" s="16">
        <v>17966.1</v>
      </c>
      <c r="V92" s="16">
        <v>0.0</v>
      </c>
      <c r="W92" s="17">
        <v>0.12408146453598722</v>
      </c>
      <c r="X92" s="17">
        <v>0.0</v>
      </c>
      <c r="Y92" s="20">
        <v>8.059221445681526</v>
      </c>
      <c r="Z92" s="20">
        <v>0.0</v>
      </c>
      <c r="AA92" s="3">
        <v>1.0</v>
      </c>
    </row>
    <row r="93" ht="15.75" customHeight="1">
      <c r="A93" s="19" t="s">
        <v>198</v>
      </c>
      <c r="B93" s="14">
        <f t="shared" si="1"/>
        <v>-1</v>
      </c>
      <c r="C93" s="16">
        <v>1.7142857142857142</v>
      </c>
      <c r="D93" s="16">
        <v>4.75</v>
      </c>
      <c r="E93" s="17">
        <v>0.40945714285714285</v>
      </c>
      <c r="F93" s="17">
        <v>0.111375</v>
      </c>
      <c r="G93" s="3">
        <v>90.0</v>
      </c>
      <c r="H93" s="3">
        <v>40.0</v>
      </c>
      <c r="I93" s="3">
        <v>27754.0</v>
      </c>
      <c r="J93" s="3">
        <v>3291.0</v>
      </c>
      <c r="K93" s="17">
        <v>0.0032427758160985805</v>
      </c>
      <c r="L93" s="17">
        <v>0.012154360376785172</v>
      </c>
      <c r="M93" s="20">
        <v>32.743</v>
      </c>
      <c r="N93" s="20">
        <v>23.588</v>
      </c>
      <c r="O93" s="16">
        <v>2946.8700000000003</v>
      </c>
      <c r="P93" s="16">
        <v>943.52</v>
      </c>
      <c r="Q93" s="3">
        <v>1.0</v>
      </c>
      <c r="R93" s="3">
        <v>0.0</v>
      </c>
      <c r="S93" s="17">
        <v>0.011111111111111112</v>
      </c>
      <c r="T93" s="17">
        <v>0.0</v>
      </c>
      <c r="U93" s="16">
        <v>21016.95</v>
      </c>
      <c r="V93" s="16">
        <v>0.0</v>
      </c>
      <c r="W93" s="17">
        <v>0.14021397015266251</v>
      </c>
      <c r="X93" s="17">
        <v>0.0</v>
      </c>
      <c r="Y93" s="20">
        <v>7.1319569577212425</v>
      </c>
      <c r="Z93" s="20">
        <v>0.0</v>
      </c>
      <c r="AA93" s="3">
        <v>1.0</v>
      </c>
    </row>
    <row r="94" ht="15.75" customHeight="1">
      <c r="A94" s="19" t="s">
        <v>199</v>
      </c>
      <c r="B94" s="14">
        <f t="shared" si="1"/>
        <v>-1</v>
      </c>
      <c r="C94" s="16">
        <v>86.0</v>
      </c>
      <c r="D94" s="16">
        <v>77.0</v>
      </c>
      <c r="E94" s="17">
        <v>0.0</v>
      </c>
      <c r="F94" s="17">
        <v>1.0E-4</v>
      </c>
      <c r="G94" s="3">
        <v>5.0</v>
      </c>
      <c r="H94" s="3">
        <v>11.0</v>
      </c>
      <c r="I94" s="3">
        <v>508.0</v>
      </c>
      <c r="J94" s="3">
        <v>1159.0</v>
      </c>
      <c r="K94" s="17">
        <v>0.00984251968503937</v>
      </c>
      <c r="L94" s="17">
        <v>0.009490940465918895</v>
      </c>
      <c r="M94" s="20">
        <v>8.831999999999999</v>
      </c>
      <c r="N94" s="20">
        <v>8.421818181818182</v>
      </c>
      <c r="O94" s="16">
        <v>44.16</v>
      </c>
      <c r="P94" s="16">
        <v>92.64</v>
      </c>
      <c r="Q94" s="3">
        <v>1.0</v>
      </c>
      <c r="R94" s="3">
        <v>0.0</v>
      </c>
      <c r="S94" s="17">
        <v>0.2</v>
      </c>
      <c r="T94" s="17">
        <v>0.0</v>
      </c>
      <c r="U94" s="16">
        <v>2372.88</v>
      </c>
      <c r="V94" s="16">
        <v>0.0</v>
      </c>
      <c r="W94" s="17">
        <v>0.018610296348740767</v>
      </c>
      <c r="X94" s="17">
        <v>0.0</v>
      </c>
      <c r="Y94" s="20">
        <v>53.73369565217392</v>
      </c>
      <c r="Z94" s="20">
        <v>0.0</v>
      </c>
      <c r="AA94" s="3">
        <v>1.0</v>
      </c>
    </row>
    <row r="95" ht="15.75" customHeight="1">
      <c r="A95" s="19" t="s">
        <v>200</v>
      </c>
      <c r="B95" s="14">
        <f t="shared" si="1"/>
        <v>-1</v>
      </c>
      <c r="C95" s="16">
        <v>3.0</v>
      </c>
      <c r="D95" s="16">
        <v>3.0</v>
      </c>
      <c r="E95" s="17">
        <v>0.0046</v>
      </c>
      <c r="F95" s="17">
        <v>0.0506</v>
      </c>
      <c r="G95" s="3">
        <v>3.0</v>
      </c>
      <c r="H95" s="3">
        <v>1.0</v>
      </c>
      <c r="I95" s="3">
        <v>8.0</v>
      </c>
      <c r="J95" s="3">
        <v>28.0</v>
      </c>
      <c r="K95" s="17">
        <v>0.375</v>
      </c>
      <c r="L95" s="17">
        <v>0.03571428571428571</v>
      </c>
      <c r="M95" s="20">
        <v>11.86</v>
      </c>
      <c r="N95" s="20">
        <v>14.59</v>
      </c>
      <c r="O95" s="16">
        <v>35.58</v>
      </c>
      <c r="P95" s="16">
        <v>14.59</v>
      </c>
      <c r="Q95" s="3">
        <v>1.0</v>
      </c>
      <c r="R95" s="3">
        <v>0.0</v>
      </c>
      <c r="S95" s="17">
        <v>0.3333333333333333</v>
      </c>
      <c r="T95" s="17">
        <v>0.0</v>
      </c>
      <c r="U95" s="16">
        <v>7542.37</v>
      </c>
      <c r="V95" s="16">
        <v>0.0</v>
      </c>
      <c r="W95" s="17">
        <v>0.0047173501167404935</v>
      </c>
      <c r="X95" s="17">
        <v>0.0</v>
      </c>
      <c r="Y95" s="20">
        <v>211.98341765036537</v>
      </c>
      <c r="Z95" s="20">
        <v>0.0</v>
      </c>
      <c r="AA95" s="3">
        <v>1.0</v>
      </c>
    </row>
    <row r="96" ht="15.75" customHeight="1">
      <c r="A96" s="19" t="s">
        <v>203</v>
      </c>
      <c r="B96" s="3">
        <f t="shared" si="1"/>
        <v>1</v>
      </c>
      <c r="C96" s="16">
        <v>2.0</v>
      </c>
      <c r="D96" s="16">
        <v>2.3333333333333335</v>
      </c>
      <c r="E96" s="17">
        <v>0.27626</v>
      </c>
      <c r="F96" s="17">
        <v>0.2962666666666666</v>
      </c>
      <c r="G96" s="3">
        <v>16.0</v>
      </c>
      <c r="H96" s="3">
        <v>8.0</v>
      </c>
      <c r="I96" s="3">
        <v>188.0</v>
      </c>
      <c r="J96" s="3">
        <v>59.0</v>
      </c>
      <c r="K96" s="17">
        <v>0.0851063829787234</v>
      </c>
      <c r="L96" s="17">
        <v>0.13559322033898305</v>
      </c>
      <c r="M96" s="20">
        <v>27.96</v>
      </c>
      <c r="N96" s="20">
        <v>32.025</v>
      </c>
      <c r="O96" s="16">
        <v>447.36</v>
      </c>
      <c r="P96" s="16">
        <v>256.2</v>
      </c>
      <c r="Q96" s="3">
        <v>0.0</v>
      </c>
      <c r="R96" s="3">
        <v>1.0</v>
      </c>
      <c r="S96" s="17">
        <v>0.0</v>
      </c>
      <c r="T96" s="17">
        <v>0.125</v>
      </c>
      <c r="U96" s="16">
        <v>0.0</v>
      </c>
      <c r="V96" s="16">
        <v>33050.85</v>
      </c>
      <c r="W96" s="17">
        <v>0.0</v>
      </c>
      <c r="X96" s="17">
        <v>0.00775169171140833</v>
      </c>
      <c r="Y96" s="20">
        <v>0.0</v>
      </c>
      <c r="Z96" s="20">
        <v>129.00409836065575</v>
      </c>
      <c r="AA96" s="3">
        <v>1.0</v>
      </c>
    </row>
    <row r="97" ht="15.75" customHeight="1">
      <c r="A97" s="19" t="s">
        <v>206</v>
      </c>
      <c r="B97" s="14">
        <f t="shared" si="1"/>
        <v>-1</v>
      </c>
      <c r="C97" s="16">
        <v>1.0</v>
      </c>
      <c r="D97" s="16">
        <v>1.0</v>
      </c>
      <c r="E97" s="17">
        <v>0.6872000000000001</v>
      </c>
      <c r="F97" s="17">
        <v>0.9911</v>
      </c>
      <c r="G97" s="3">
        <v>12.0</v>
      </c>
      <c r="H97" s="3">
        <v>8.0</v>
      </c>
      <c r="I97" s="3">
        <v>5190.0</v>
      </c>
      <c r="J97" s="3">
        <v>3799.0</v>
      </c>
      <c r="K97" s="17">
        <v>0.0023121387283236996</v>
      </c>
      <c r="L97" s="17">
        <v>0.0021058173203474598</v>
      </c>
      <c r="M97" s="20">
        <v>37.45916666666667</v>
      </c>
      <c r="N97" s="20">
        <v>51.32625</v>
      </c>
      <c r="O97" s="16">
        <v>449.51</v>
      </c>
      <c r="P97" s="16">
        <v>410.61</v>
      </c>
      <c r="Q97" s="3">
        <v>1.0</v>
      </c>
      <c r="R97" s="3">
        <v>0.0</v>
      </c>
      <c r="S97" s="17">
        <v>0.08333333333333333</v>
      </c>
      <c r="T97" s="17">
        <v>0.0</v>
      </c>
      <c r="U97" s="16">
        <v>22457.63</v>
      </c>
      <c r="V97" s="16">
        <v>0.0</v>
      </c>
      <c r="W97" s="17">
        <v>0.02001591441305249</v>
      </c>
      <c r="X97" s="17">
        <v>0.0</v>
      </c>
      <c r="Y97" s="20">
        <v>49.96024560076528</v>
      </c>
      <c r="Z97" s="20">
        <v>0.0</v>
      </c>
      <c r="AA97" s="3">
        <v>1.0</v>
      </c>
    </row>
    <row r="98" ht="15.75" customHeight="1">
      <c r="A98" s="19" t="s">
        <v>207</v>
      </c>
      <c r="B98" s="3">
        <f t="shared" si="1"/>
        <v>1</v>
      </c>
      <c r="C98" s="16">
        <v>1.4</v>
      </c>
      <c r="D98" s="16">
        <v>1.5</v>
      </c>
      <c r="E98" s="17">
        <v>0.4775199999999999</v>
      </c>
      <c r="F98" s="17">
        <v>0.41305</v>
      </c>
      <c r="G98" s="3">
        <v>11.0</v>
      </c>
      <c r="H98" s="3">
        <v>22.0</v>
      </c>
      <c r="I98" s="3">
        <v>933.0</v>
      </c>
      <c r="J98" s="3">
        <v>3550.0</v>
      </c>
      <c r="K98" s="17">
        <v>0.011789924973204717</v>
      </c>
      <c r="L98" s="17">
        <v>0.006197183098591549</v>
      </c>
      <c r="M98" s="20">
        <v>39.548181818181824</v>
      </c>
      <c r="N98" s="20">
        <v>77.13863636363637</v>
      </c>
      <c r="O98" s="16">
        <v>435.03000000000003</v>
      </c>
      <c r="P98" s="16">
        <v>1697.05</v>
      </c>
      <c r="Q98" s="3">
        <v>0.0</v>
      </c>
      <c r="R98" s="3">
        <v>1.0</v>
      </c>
      <c r="S98" s="17">
        <v>0.0</v>
      </c>
      <c r="T98" s="17">
        <v>0.045454545454545456</v>
      </c>
      <c r="U98" s="16">
        <v>0.0</v>
      </c>
      <c r="V98" s="16">
        <v>21016.95</v>
      </c>
      <c r="W98" s="17">
        <v>0.0</v>
      </c>
      <c r="X98" s="17">
        <v>0.08074673061505118</v>
      </c>
      <c r="Y98" s="20">
        <v>0.0</v>
      </c>
      <c r="Z98" s="20">
        <v>12.384402345246164</v>
      </c>
      <c r="AA98" s="3">
        <v>1.0</v>
      </c>
    </row>
    <row r="99" ht="15.75" customHeight="1">
      <c r="A99" s="19" t="s">
        <v>208</v>
      </c>
      <c r="B99" s="3">
        <f t="shared" si="1"/>
        <v>1</v>
      </c>
      <c r="C99" s="16">
        <v>1.0</v>
      </c>
      <c r="D99" s="16">
        <v>1.8</v>
      </c>
      <c r="E99" s="17">
        <v>0.8106</v>
      </c>
      <c r="F99" s="17">
        <v>0.3465</v>
      </c>
      <c r="G99" s="3">
        <v>9.0</v>
      </c>
      <c r="H99" s="3">
        <v>14.0</v>
      </c>
      <c r="I99" s="3">
        <v>582.0</v>
      </c>
      <c r="J99" s="3">
        <v>171.0</v>
      </c>
      <c r="K99" s="17">
        <v>0.015463917525773196</v>
      </c>
      <c r="L99" s="17">
        <v>0.08187134502923976</v>
      </c>
      <c r="M99" s="20">
        <v>40.583333333333336</v>
      </c>
      <c r="N99" s="20">
        <v>38.46714285714286</v>
      </c>
      <c r="O99" s="16">
        <v>365.25</v>
      </c>
      <c r="P99" s="16">
        <v>538.5400000000001</v>
      </c>
      <c r="Q99" s="3">
        <v>0.0</v>
      </c>
      <c r="R99" s="3">
        <v>1.0</v>
      </c>
      <c r="S99" s="17">
        <v>0.0</v>
      </c>
      <c r="T99" s="17">
        <v>0.07142857142857142</v>
      </c>
      <c r="U99" s="16">
        <v>0.0</v>
      </c>
      <c r="V99" s="16">
        <v>28728.81</v>
      </c>
      <c r="W99" s="17">
        <v>0.0</v>
      </c>
      <c r="X99" s="17">
        <v>0.018745642440463076</v>
      </c>
      <c r="Y99" s="20">
        <v>0.0</v>
      </c>
      <c r="Z99" s="20">
        <v>53.34573105061833</v>
      </c>
      <c r="AA99" s="3">
        <v>1.0</v>
      </c>
    </row>
    <row r="100" ht="15.75" customHeight="1">
      <c r="A100" s="19" t="s">
        <v>209</v>
      </c>
      <c r="B100" s="3">
        <f t="shared" si="1"/>
        <v>1</v>
      </c>
      <c r="C100" s="16">
        <v>1.6</v>
      </c>
      <c r="D100" s="16">
        <v>2.5</v>
      </c>
      <c r="E100" s="17">
        <v>0.33039999999999997</v>
      </c>
      <c r="F100" s="17">
        <v>0.23605</v>
      </c>
      <c r="G100" s="3">
        <v>5.0</v>
      </c>
      <c r="H100" s="3">
        <v>3.0</v>
      </c>
      <c r="I100" s="3">
        <v>89.0</v>
      </c>
      <c r="J100" s="3">
        <v>21.0</v>
      </c>
      <c r="K100" s="17">
        <v>0.056179775280898875</v>
      </c>
      <c r="L100" s="17">
        <v>0.14285714285714285</v>
      </c>
      <c r="M100" s="20">
        <v>14.937999999999999</v>
      </c>
      <c r="N100" s="20">
        <v>21.113333333333333</v>
      </c>
      <c r="O100" s="16">
        <v>74.69</v>
      </c>
      <c r="P100" s="16">
        <v>63.34</v>
      </c>
      <c r="Q100" s="3">
        <v>0.0</v>
      </c>
      <c r="R100" s="3">
        <v>1.0</v>
      </c>
      <c r="S100" s="17">
        <v>0.0</v>
      </c>
      <c r="T100" s="17">
        <v>0.3333333333333333</v>
      </c>
      <c r="U100" s="16">
        <v>0.0</v>
      </c>
      <c r="V100" s="16">
        <v>12541.53</v>
      </c>
      <c r="W100" s="17">
        <v>0.0</v>
      </c>
      <c r="X100" s="17">
        <v>0.005050420482987323</v>
      </c>
      <c r="Y100" s="20">
        <v>0.0</v>
      </c>
      <c r="Z100" s="20">
        <v>198.00331544047995</v>
      </c>
      <c r="AA100" s="3">
        <v>1.0</v>
      </c>
    </row>
    <row r="101" ht="15.75" customHeight="1">
      <c r="A101" s="19" t="s">
        <v>210</v>
      </c>
      <c r="B101" s="3">
        <f t="shared" si="1"/>
        <v>1</v>
      </c>
      <c r="C101" s="16">
        <v>0.0</v>
      </c>
      <c r="D101" s="16">
        <v>14.0</v>
      </c>
      <c r="E101" s="17">
        <v>0.0</v>
      </c>
      <c r="F101" s="17">
        <v>6.0E-4</v>
      </c>
      <c r="G101" s="3">
        <v>0.0</v>
      </c>
      <c r="H101" s="3">
        <v>2.0</v>
      </c>
      <c r="I101" s="3">
        <v>0.0</v>
      </c>
      <c r="J101" s="3">
        <v>5.0</v>
      </c>
      <c r="K101" s="17">
        <v>0.0</v>
      </c>
      <c r="L101" s="17">
        <v>0.4</v>
      </c>
      <c r="M101" s="20">
        <v>0.0</v>
      </c>
      <c r="N101" s="20">
        <v>4.565</v>
      </c>
      <c r="O101" s="16">
        <v>0.0</v>
      </c>
      <c r="P101" s="16">
        <v>9.13</v>
      </c>
      <c r="Q101" s="3">
        <v>0.0</v>
      </c>
      <c r="R101" s="3">
        <v>1.0</v>
      </c>
      <c r="S101" s="17">
        <v>0.0</v>
      </c>
      <c r="T101" s="17">
        <v>0.5</v>
      </c>
      <c r="U101" s="16">
        <v>0.0</v>
      </c>
      <c r="V101" s="16">
        <v>1144.07</v>
      </c>
      <c r="W101" s="17">
        <v>0.0</v>
      </c>
      <c r="X101" s="17">
        <v>0.007980280926866364</v>
      </c>
      <c r="Y101" s="20">
        <v>0.0</v>
      </c>
      <c r="Z101" s="20">
        <v>125.30887185104051</v>
      </c>
      <c r="AA101" s="3">
        <v>1.0</v>
      </c>
    </row>
    <row r="102" ht="15.75" customHeight="1">
      <c r="A102" s="19" t="s">
        <v>212</v>
      </c>
      <c r="B102" s="3">
        <f t="shared" si="1"/>
        <v>1</v>
      </c>
      <c r="C102" s="16">
        <v>6.0</v>
      </c>
      <c r="D102" s="16">
        <v>6.0</v>
      </c>
      <c r="E102" s="17">
        <v>0.0285</v>
      </c>
      <c r="F102" s="17">
        <v>0.0091</v>
      </c>
      <c r="G102" s="3">
        <v>5.0</v>
      </c>
      <c r="H102" s="3">
        <v>6.0</v>
      </c>
      <c r="I102" s="3">
        <v>804.0</v>
      </c>
      <c r="J102" s="3">
        <v>452.0</v>
      </c>
      <c r="K102" s="17">
        <v>0.006218905472636816</v>
      </c>
      <c r="L102" s="17">
        <v>0.01327433628318584</v>
      </c>
      <c r="M102" s="20">
        <v>10.254</v>
      </c>
      <c r="N102" s="20">
        <v>12.098333333333334</v>
      </c>
      <c r="O102" s="16">
        <v>51.269999999999996</v>
      </c>
      <c r="P102" s="16">
        <v>72.59</v>
      </c>
      <c r="Q102" s="3">
        <v>0.0</v>
      </c>
      <c r="R102" s="3">
        <v>1.0</v>
      </c>
      <c r="S102" s="17">
        <v>0.0</v>
      </c>
      <c r="T102" s="17">
        <v>0.16666666666666666</v>
      </c>
      <c r="U102" s="16">
        <v>0.0</v>
      </c>
      <c r="V102" s="16">
        <v>7542.37</v>
      </c>
      <c r="W102" s="17">
        <v>0.0</v>
      </c>
      <c r="X102" s="17">
        <v>0.009624295811528738</v>
      </c>
      <c r="Y102" s="20">
        <v>0.0</v>
      </c>
      <c r="Z102" s="20">
        <v>103.90370574459291</v>
      </c>
      <c r="AA102" s="3">
        <v>1.0</v>
      </c>
    </row>
    <row r="103" ht="15.75" customHeight="1">
      <c r="A103" s="19" t="s">
        <v>213</v>
      </c>
      <c r="B103" s="3">
        <f t="shared" si="1"/>
        <v>1</v>
      </c>
      <c r="C103" s="16">
        <v>3.1</v>
      </c>
      <c r="D103" s="16">
        <v>2.875</v>
      </c>
      <c r="E103" s="17">
        <v>0.18535</v>
      </c>
      <c r="F103" s="17">
        <v>0.268225</v>
      </c>
      <c r="G103" s="3">
        <v>62.0</v>
      </c>
      <c r="H103" s="3">
        <v>59.0</v>
      </c>
      <c r="I103" s="3">
        <v>2196.0</v>
      </c>
      <c r="J103" s="3">
        <v>3404.0</v>
      </c>
      <c r="K103" s="17">
        <v>0.028233151183970857</v>
      </c>
      <c r="L103" s="17">
        <v>0.017332549941245595</v>
      </c>
      <c r="M103" s="20">
        <v>43.40758064516129</v>
      </c>
      <c r="N103" s="20">
        <v>50.545593220338986</v>
      </c>
      <c r="O103" s="16">
        <v>2691.27</v>
      </c>
      <c r="P103" s="16">
        <v>2982.19</v>
      </c>
      <c r="Q103" s="3">
        <v>0.0</v>
      </c>
      <c r="R103" s="3">
        <v>1.0</v>
      </c>
      <c r="S103" s="17">
        <v>0.0</v>
      </c>
      <c r="T103" s="17">
        <v>0.01694915254237288</v>
      </c>
      <c r="U103" s="16">
        <v>0.0</v>
      </c>
      <c r="V103" s="16">
        <v>17966.1</v>
      </c>
      <c r="W103" s="17">
        <v>0.0</v>
      </c>
      <c r="X103" s="17">
        <v>0.16598983641413553</v>
      </c>
      <c r="Y103" s="20">
        <v>0.0</v>
      </c>
      <c r="Z103" s="20">
        <v>6.024465241986593</v>
      </c>
      <c r="AA103" s="3">
        <v>1.0</v>
      </c>
    </row>
    <row r="104" ht="15.75" customHeight="1">
      <c r="A104" s="19" t="s">
        <v>214</v>
      </c>
      <c r="B104" s="14">
        <f t="shared" si="1"/>
        <v>-1</v>
      </c>
      <c r="C104" s="16">
        <v>1.5</v>
      </c>
      <c r="D104" s="16">
        <v>1.0</v>
      </c>
      <c r="E104" s="17">
        <v>0.46559999999999996</v>
      </c>
      <c r="F104" s="17">
        <v>0.8773</v>
      </c>
      <c r="G104" s="3">
        <v>7.0</v>
      </c>
      <c r="H104" s="3">
        <v>6.0</v>
      </c>
      <c r="I104" s="3">
        <v>116.0</v>
      </c>
      <c r="J104" s="3">
        <v>565.0</v>
      </c>
      <c r="K104" s="17">
        <v>0.0603448275862069</v>
      </c>
      <c r="L104" s="17">
        <v>0.010619469026548672</v>
      </c>
      <c r="M104" s="20">
        <v>44.37714285714286</v>
      </c>
      <c r="N104" s="20">
        <v>73.21</v>
      </c>
      <c r="O104" s="16">
        <v>310.64</v>
      </c>
      <c r="P104" s="16">
        <v>439.26</v>
      </c>
      <c r="Q104" s="3">
        <v>1.0</v>
      </c>
      <c r="R104" s="3">
        <v>0.0</v>
      </c>
      <c r="S104" s="17">
        <v>0.14285714285714285</v>
      </c>
      <c r="T104" s="17">
        <v>0.0</v>
      </c>
      <c r="U104" s="16">
        <v>28728.81</v>
      </c>
      <c r="V104" s="16">
        <v>0.0</v>
      </c>
      <c r="W104" s="17">
        <v>0.010812839097755876</v>
      </c>
      <c r="X104" s="17">
        <v>0.0</v>
      </c>
      <c r="Y104" s="20">
        <v>92.48264872521247</v>
      </c>
      <c r="Z104" s="20">
        <v>0.0</v>
      </c>
      <c r="AA104" s="3">
        <v>1.0</v>
      </c>
    </row>
    <row r="105" ht="15.75" customHeight="1">
      <c r="A105" s="19" t="s">
        <v>215</v>
      </c>
      <c r="B105" s="14">
        <f t="shared" si="1"/>
        <v>-1</v>
      </c>
      <c r="C105" s="16">
        <v>1.0</v>
      </c>
      <c r="D105" s="16">
        <v>1.0</v>
      </c>
      <c r="E105" s="17">
        <v>1.0</v>
      </c>
      <c r="F105" s="17">
        <v>1.0</v>
      </c>
      <c r="G105" s="3">
        <v>1.0</v>
      </c>
      <c r="H105" s="3">
        <v>1.0</v>
      </c>
      <c r="I105" s="3">
        <v>20.0</v>
      </c>
      <c r="J105" s="3">
        <v>5.0</v>
      </c>
      <c r="K105" s="17">
        <v>0.05</v>
      </c>
      <c r="L105" s="17">
        <v>0.2</v>
      </c>
      <c r="M105" s="20">
        <v>11.41</v>
      </c>
      <c r="N105" s="20">
        <v>21.91</v>
      </c>
      <c r="O105" s="16">
        <v>11.41</v>
      </c>
      <c r="P105" s="16">
        <v>21.91</v>
      </c>
      <c r="Q105" s="3">
        <v>1.0</v>
      </c>
      <c r="R105" s="3">
        <v>0.0</v>
      </c>
      <c r="S105" s="17">
        <v>1.0</v>
      </c>
      <c r="T105" s="17">
        <v>0.0</v>
      </c>
      <c r="U105" s="16">
        <v>21016.95</v>
      </c>
      <c r="V105" s="16">
        <v>0.0</v>
      </c>
      <c r="W105" s="17">
        <v>5.428951393993895E-4</v>
      </c>
      <c r="X105" s="17">
        <v>0.0</v>
      </c>
      <c r="Y105" s="20">
        <v>1841.9763365468887</v>
      </c>
      <c r="Z105" s="20">
        <v>0.0</v>
      </c>
      <c r="AA105" s="3">
        <v>1.0</v>
      </c>
    </row>
    <row r="106" ht="15.75" customHeight="1">
      <c r="A106" s="19" t="s">
        <v>216</v>
      </c>
      <c r="B106" s="14">
        <f t="shared" si="1"/>
        <v>-1</v>
      </c>
      <c r="C106" s="16">
        <v>1.0</v>
      </c>
      <c r="D106" s="16">
        <v>1.0</v>
      </c>
      <c r="E106" s="17">
        <v>1.0</v>
      </c>
      <c r="F106" s="17">
        <v>1.0</v>
      </c>
      <c r="G106" s="3">
        <v>1.0</v>
      </c>
      <c r="H106" s="3">
        <v>1.0</v>
      </c>
      <c r="I106" s="3">
        <v>8.0</v>
      </c>
      <c r="J106" s="3">
        <v>2.0</v>
      </c>
      <c r="K106" s="17">
        <v>0.125</v>
      </c>
      <c r="L106" s="17">
        <v>0.5</v>
      </c>
      <c r="M106" s="20">
        <v>12.19</v>
      </c>
      <c r="N106" s="20">
        <v>24.02</v>
      </c>
      <c r="O106" s="16">
        <v>12.19</v>
      </c>
      <c r="P106" s="16">
        <v>24.02</v>
      </c>
      <c r="Q106" s="3">
        <v>1.0</v>
      </c>
      <c r="R106" s="3">
        <v>0.0</v>
      </c>
      <c r="S106" s="17">
        <v>1.0</v>
      </c>
      <c r="T106" s="17">
        <v>0.0</v>
      </c>
      <c r="U106" s="16">
        <v>1016.1</v>
      </c>
      <c r="V106" s="16">
        <v>0.0</v>
      </c>
      <c r="W106" s="17">
        <v>0.011996850703670897</v>
      </c>
      <c r="X106" s="17">
        <v>0.0</v>
      </c>
      <c r="Y106" s="20">
        <v>83.3552091878589</v>
      </c>
      <c r="Z106" s="20">
        <v>0.0</v>
      </c>
      <c r="AA106" s="3">
        <v>1.0</v>
      </c>
    </row>
    <row r="107" ht="15.75" customHeight="1">
      <c r="A107" s="19" t="s">
        <v>218</v>
      </c>
      <c r="B107" s="14">
        <f t="shared" si="1"/>
        <v>-1</v>
      </c>
      <c r="C107" s="16">
        <v>3.0</v>
      </c>
      <c r="D107" s="16">
        <v>2.5</v>
      </c>
      <c r="E107" s="17">
        <v>0.36546666666666666</v>
      </c>
      <c r="F107" s="17">
        <v>0.25175000000000003</v>
      </c>
      <c r="G107" s="3">
        <v>8.0</v>
      </c>
      <c r="H107" s="3">
        <v>7.0</v>
      </c>
      <c r="I107" s="3">
        <v>29.0</v>
      </c>
      <c r="J107" s="3">
        <v>43.0</v>
      </c>
      <c r="K107" s="17">
        <v>0.27586206896551724</v>
      </c>
      <c r="L107" s="17">
        <v>0.16279069767441862</v>
      </c>
      <c r="M107" s="20">
        <v>27.557499999999997</v>
      </c>
      <c r="N107" s="20">
        <v>18.795714285714286</v>
      </c>
      <c r="O107" s="16">
        <v>220.45999999999998</v>
      </c>
      <c r="P107" s="16">
        <v>131.57</v>
      </c>
      <c r="Q107" s="3">
        <v>1.0</v>
      </c>
      <c r="R107" s="3">
        <v>0.0</v>
      </c>
      <c r="S107" s="17">
        <v>0.125</v>
      </c>
      <c r="T107" s="17">
        <v>0.0</v>
      </c>
      <c r="U107" s="16">
        <v>17966.1</v>
      </c>
      <c r="V107" s="16">
        <v>0.0</v>
      </c>
      <c r="W107" s="17">
        <v>0.012270887950083768</v>
      </c>
      <c r="X107" s="17">
        <v>0.0</v>
      </c>
      <c r="Y107" s="20">
        <v>81.49369500136079</v>
      </c>
      <c r="Z107" s="20">
        <v>0.0</v>
      </c>
      <c r="AA107" s="3">
        <v>1.0</v>
      </c>
    </row>
    <row r="108" ht="15.75" customHeight="1">
      <c r="A108" s="19" t="s">
        <v>225</v>
      </c>
      <c r="B108" s="3">
        <f t="shared" si="1"/>
        <v>1</v>
      </c>
      <c r="C108" s="16">
        <v>1.0</v>
      </c>
      <c r="D108" s="16">
        <v>2.0</v>
      </c>
      <c r="E108" s="17">
        <v>0.4348</v>
      </c>
      <c r="F108" s="17">
        <v>0.25</v>
      </c>
      <c r="G108" s="3">
        <v>1.0</v>
      </c>
      <c r="H108" s="3">
        <v>1.0</v>
      </c>
      <c r="I108" s="3">
        <v>10.0</v>
      </c>
      <c r="J108" s="3">
        <v>1.0</v>
      </c>
      <c r="K108" s="17">
        <v>0.1</v>
      </c>
      <c r="L108" s="17">
        <v>1.0</v>
      </c>
      <c r="M108" s="20">
        <v>24.04</v>
      </c>
      <c r="N108" s="20">
        <v>22.98</v>
      </c>
      <c r="O108" s="16">
        <v>24.04</v>
      </c>
      <c r="P108" s="16">
        <v>22.98</v>
      </c>
      <c r="Q108" s="3">
        <v>0.0</v>
      </c>
      <c r="R108" s="3">
        <v>1.0</v>
      </c>
      <c r="S108" s="17">
        <v>0.0</v>
      </c>
      <c r="T108" s="17">
        <v>1.0</v>
      </c>
      <c r="U108" s="16">
        <v>0.0</v>
      </c>
      <c r="V108" s="16">
        <v>17966.1</v>
      </c>
      <c r="W108" s="17">
        <v>0.0</v>
      </c>
      <c r="X108" s="17">
        <v>0.001279075592365622</v>
      </c>
      <c r="Y108" s="20">
        <v>0.0</v>
      </c>
      <c r="Z108" s="20">
        <v>781.8146214099216</v>
      </c>
      <c r="AA108" s="3">
        <v>1.0</v>
      </c>
    </row>
    <row r="109" ht="15.75" customHeight="1">
      <c r="A109" s="19" t="s">
        <v>226</v>
      </c>
      <c r="B109" s="14">
        <f t="shared" si="1"/>
        <v>-1</v>
      </c>
      <c r="C109" s="16">
        <v>5.666666666666667</v>
      </c>
      <c r="D109" s="16">
        <v>1.0</v>
      </c>
      <c r="E109" s="17">
        <v>0.19393333333333332</v>
      </c>
      <c r="F109" s="17">
        <v>0.5918</v>
      </c>
      <c r="G109" s="3">
        <v>9.0</v>
      </c>
      <c r="H109" s="3">
        <v>8.0</v>
      </c>
      <c r="I109" s="3">
        <v>29.0</v>
      </c>
      <c r="J109" s="3">
        <v>29.0</v>
      </c>
      <c r="K109" s="17">
        <v>0.3103448275862069</v>
      </c>
      <c r="L109" s="17">
        <v>0.27586206896551724</v>
      </c>
      <c r="M109" s="20">
        <v>19.216666666666665</v>
      </c>
      <c r="N109" s="20">
        <v>7.1725</v>
      </c>
      <c r="O109" s="16">
        <v>172.95</v>
      </c>
      <c r="P109" s="16">
        <v>57.38</v>
      </c>
      <c r="Q109" s="3">
        <v>1.0</v>
      </c>
      <c r="R109" s="3">
        <v>0.0</v>
      </c>
      <c r="S109" s="17">
        <v>0.1111111111111111</v>
      </c>
      <c r="T109" s="17">
        <v>0.0</v>
      </c>
      <c r="U109" s="16">
        <v>20762.71</v>
      </c>
      <c r="V109" s="16">
        <v>0.0</v>
      </c>
      <c r="W109" s="17">
        <v>0.008329837482679283</v>
      </c>
      <c r="X109" s="17">
        <v>0.0</v>
      </c>
      <c r="Y109" s="20">
        <v>120.05036137612026</v>
      </c>
      <c r="Z109" s="20">
        <v>0.0</v>
      </c>
      <c r="AA109" s="3">
        <v>1.0</v>
      </c>
    </row>
    <row r="110" ht="15.75" customHeight="1">
      <c r="A110" s="19" t="s">
        <v>227</v>
      </c>
      <c r="B110" s="14">
        <f t="shared" si="1"/>
        <v>-1</v>
      </c>
      <c r="C110" s="16">
        <v>3.25</v>
      </c>
      <c r="D110" s="16">
        <v>1.4285714285714286</v>
      </c>
      <c r="E110" s="17">
        <v>0.399575</v>
      </c>
      <c r="F110" s="17">
        <v>0.6417857142857144</v>
      </c>
      <c r="G110" s="3">
        <v>21.0</v>
      </c>
      <c r="H110" s="3">
        <v>39.0</v>
      </c>
      <c r="I110" s="3">
        <v>278.0</v>
      </c>
      <c r="J110" s="3">
        <v>923.0</v>
      </c>
      <c r="K110" s="17">
        <v>0.07553956834532374</v>
      </c>
      <c r="L110" s="17">
        <v>0.04225352112676056</v>
      </c>
      <c r="M110" s="20">
        <v>21.38952380952381</v>
      </c>
      <c r="N110" s="20">
        <v>13.610000000000001</v>
      </c>
      <c r="O110" s="16">
        <v>449.17999999999995</v>
      </c>
      <c r="P110" s="16">
        <v>530.7900000000001</v>
      </c>
      <c r="Q110" s="3">
        <v>1.0</v>
      </c>
      <c r="R110" s="3">
        <v>0.0</v>
      </c>
      <c r="S110" s="17">
        <v>0.047619047619047616</v>
      </c>
      <c r="T110" s="17">
        <v>0.0</v>
      </c>
      <c r="U110" s="16">
        <v>17966.1</v>
      </c>
      <c r="V110" s="16">
        <v>0.0</v>
      </c>
      <c r="W110" s="17">
        <v>0.02500153066052176</v>
      </c>
      <c r="X110" s="17">
        <v>0.0</v>
      </c>
      <c r="Y110" s="20">
        <v>39.99755109310299</v>
      </c>
      <c r="Z110" s="20">
        <v>0.0</v>
      </c>
      <c r="AA110" s="3">
        <v>1.0</v>
      </c>
    </row>
    <row r="111" ht="15.75" customHeight="1">
      <c r="A111" s="19" t="s">
        <v>228</v>
      </c>
      <c r="B111" s="3">
        <f t="shared" si="1"/>
        <v>1</v>
      </c>
      <c r="C111" s="16">
        <v>9.0</v>
      </c>
      <c r="D111" s="16">
        <v>3.0</v>
      </c>
      <c r="E111" s="17">
        <v>0.023</v>
      </c>
      <c r="F111" s="17">
        <v>0.1265</v>
      </c>
      <c r="G111" s="3">
        <v>4.0</v>
      </c>
      <c r="H111" s="3">
        <v>18.0</v>
      </c>
      <c r="I111" s="3">
        <v>35.0</v>
      </c>
      <c r="J111" s="3">
        <v>185.0</v>
      </c>
      <c r="K111" s="17">
        <v>0.11428571428571428</v>
      </c>
      <c r="L111" s="17">
        <v>0.0972972972972973</v>
      </c>
      <c r="M111" s="20">
        <v>3.58</v>
      </c>
      <c r="N111" s="20">
        <v>4.596111111111111</v>
      </c>
      <c r="O111" s="16">
        <v>14.32</v>
      </c>
      <c r="P111" s="16">
        <v>82.73</v>
      </c>
      <c r="Q111" s="3">
        <v>0.0</v>
      </c>
      <c r="R111" s="3">
        <v>1.0</v>
      </c>
      <c r="S111" s="17">
        <v>0.0</v>
      </c>
      <c r="T111" s="17">
        <v>0.05555555555555555</v>
      </c>
      <c r="U111" s="16">
        <v>0.0</v>
      </c>
      <c r="V111" s="16">
        <v>1016.1</v>
      </c>
      <c r="W111" s="17">
        <v>0.0</v>
      </c>
      <c r="X111" s="17">
        <v>0.08141915165830135</v>
      </c>
      <c r="Y111" s="20">
        <v>0.0</v>
      </c>
      <c r="Z111" s="20">
        <v>12.282122567387889</v>
      </c>
      <c r="AA111" s="3">
        <v>1.0</v>
      </c>
    </row>
    <row r="112" ht="15.75" customHeight="1">
      <c r="A112" s="19" t="s">
        <v>229</v>
      </c>
      <c r="B112" s="3">
        <f t="shared" si="1"/>
        <v>1</v>
      </c>
      <c r="C112" s="16">
        <v>0.0</v>
      </c>
      <c r="D112" s="16">
        <v>4.0</v>
      </c>
      <c r="E112" s="17">
        <v>0.0</v>
      </c>
      <c r="F112" s="17">
        <v>0.0308</v>
      </c>
      <c r="G112" s="3">
        <v>0.0</v>
      </c>
      <c r="H112" s="3">
        <v>1.0</v>
      </c>
      <c r="I112" s="3">
        <v>0.0</v>
      </c>
      <c r="J112" s="3">
        <v>6.0</v>
      </c>
      <c r="K112" s="17">
        <v>0.0</v>
      </c>
      <c r="L112" s="17">
        <v>0.16666666666666666</v>
      </c>
      <c r="M112" s="20">
        <v>0.0</v>
      </c>
      <c r="N112" s="20">
        <v>15.14</v>
      </c>
      <c r="O112" s="16">
        <v>0.0</v>
      </c>
      <c r="P112" s="16">
        <v>15.14</v>
      </c>
      <c r="Q112" s="3">
        <v>0.0</v>
      </c>
      <c r="R112" s="3">
        <v>1.0</v>
      </c>
      <c r="S112" s="17">
        <v>0.0</v>
      </c>
      <c r="T112" s="17">
        <v>1.0</v>
      </c>
      <c r="U112" s="16">
        <v>0.0</v>
      </c>
      <c r="V112" s="16">
        <v>7542.37</v>
      </c>
      <c r="W112" s="17">
        <v>0.0</v>
      </c>
      <c r="X112" s="17">
        <v>0.0020073266095405025</v>
      </c>
      <c r="Y112" s="20">
        <v>0.0</v>
      </c>
      <c r="Z112" s="20">
        <v>498.175033025099</v>
      </c>
      <c r="AA112" s="3">
        <v>1.0</v>
      </c>
    </row>
    <row r="113" ht="15.75" customHeight="1">
      <c r="A113" s="1" t="s">
        <v>231</v>
      </c>
      <c r="B113" s="11">
        <f t="shared" si="1"/>
        <v>-12</v>
      </c>
      <c r="C113" s="109">
        <v>9.26036608143444</v>
      </c>
      <c r="D113" s="109">
        <v>11.132871744147709</v>
      </c>
      <c r="E113" s="111">
        <v>0.3995709002614865</v>
      </c>
      <c r="F113" s="111">
        <v>0.36391615562149726</v>
      </c>
      <c r="G113" s="11">
        <v>13981.0</v>
      </c>
      <c r="H113" s="11">
        <v>14792.0</v>
      </c>
      <c r="I113" s="11">
        <v>1790080.0</v>
      </c>
      <c r="J113" s="11">
        <v>1776198.0</v>
      </c>
      <c r="K113" s="111">
        <v>0.007810265462996067</v>
      </c>
      <c r="L113" s="111">
        <v>0.0083279003804756</v>
      </c>
      <c r="M113" s="116">
        <v>26.885124096988804</v>
      </c>
      <c r="N113" s="116">
        <v>28.301501487290555</v>
      </c>
      <c r="O113" s="109">
        <v>375880.92000000045</v>
      </c>
      <c r="P113" s="109">
        <v>418635.81000000186</v>
      </c>
      <c r="Q113" s="11">
        <v>139.0</v>
      </c>
      <c r="R113" s="11">
        <v>127.0</v>
      </c>
      <c r="S113" s="111">
        <v>0.009942064230026465</v>
      </c>
      <c r="T113" s="111">
        <v>0.008585722011898323</v>
      </c>
      <c r="U113" s="109">
        <v>2506936.3700000006</v>
      </c>
      <c r="V113" s="109">
        <v>2198656.6600000006</v>
      </c>
      <c r="W113" s="111">
        <v>0.1499363623656712</v>
      </c>
      <c r="X113" s="111">
        <v>0.19040526773289002</v>
      </c>
      <c r="Y113" s="116">
        <v>6.669496206404937</v>
      </c>
      <c r="Z113" s="116">
        <v>5.251955536245193</v>
      </c>
      <c r="AA113" s="11">
        <v>266.0</v>
      </c>
    </row>
    <row r="114" ht="15.75" customHeight="1">
      <c r="A114" s="107"/>
    </row>
    <row r="115" ht="15.75" customHeight="1">
      <c r="A115" s="107"/>
    </row>
    <row r="116" ht="15.75" customHeight="1">
      <c r="A116" s="107"/>
    </row>
    <row r="117" ht="15.75" customHeight="1">
      <c r="A117" s="107"/>
    </row>
    <row r="118" ht="15.75" customHeight="1">
      <c r="A118" s="107"/>
    </row>
    <row r="119" ht="15.75" customHeight="1">
      <c r="A119" s="107"/>
    </row>
    <row r="120" ht="15.75" customHeight="1">
      <c r="A120" s="107"/>
    </row>
    <row r="121" ht="15.75" customHeight="1">
      <c r="A121" s="107"/>
    </row>
    <row r="122" ht="15.75" customHeight="1">
      <c r="A122" s="107"/>
    </row>
    <row r="123" ht="15.75" customHeight="1">
      <c r="A123" s="107"/>
    </row>
    <row r="124" ht="15.75" customHeight="1">
      <c r="A124" s="107"/>
    </row>
    <row r="125" ht="15.75" customHeight="1">
      <c r="A125" s="107"/>
    </row>
    <row r="126" ht="15.75" customHeight="1">
      <c r="A126" s="107"/>
    </row>
    <row r="127" ht="15.75" customHeight="1">
      <c r="A127" s="107"/>
    </row>
    <row r="128" ht="15.75" customHeight="1">
      <c r="A128" s="107"/>
    </row>
    <row r="129" ht="15.75" customHeight="1">
      <c r="A129" s="107"/>
    </row>
    <row r="130" ht="15.75" customHeight="1">
      <c r="A130" s="107"/>
    </row>
    <row r="131" ht="15.75" customHeight="1">
      <c r="A131" s="107"/>
    </row>
    <row r="132" ht="15.75" customHeight="1">
      <c r="A132" s="107"/>
    </row>
    <row r="133" ht="15.75" customHeight="1">
      <c r="A133" s="107"/>
    </row>
    <row r="134" ht="15.75" customHeight="1">
      <c r="A134" s="107"/>
    </row>
    <row r="135" ht="15.75" customHeight="1">
      <c r="A135" s="107"/>
    </row>
    <row r="136" ht="15.75" customHeight="1">
      <c r="A136" s="107"/>
    </row>
    <row r="137" ht="15.75" customHeight="1">
      <c r="A137" s="107"/>
    </row>
    <row r="138" ht="15.75" customHeight="1">
      <c r="A138" s="107"/>
    </row>
    <row r="139" ht="15.75" customHeight="1">
      <c r="A139" s="107"/>
    </row>
    <row r="140" ht="15.75" customHeight="1">
      <c r="A140" s="107"/>
    </row>
    <row r="141" ht="15.75" customHeight="1">
      <c r="A141" s="107"/>
    </row>
    <row r="142" ht="15.75" customHeight="1">
      <c r="A142" s="107"/>
    </row>
    <row r="143" ht="15.75" customHeight="1">
      <c r="A143" s="107"/>
    </row>
    <row r="144" ht="15.75" customHeight="1">
      <c r="A144" s="107"/>
    </row>
    <row r="145" ht="15.75" customHeight="1">
      <c r="A145" s="107"/>
    </row>
    <row r="146" ht="15.75" customHeight="1">
      <c r="A146" s="107"/>
    </row>
    <row r="147" ht="15.75" customHeight="1">
      <c r="A147" s="107"/>
    </row>
    <row r="148" ht="15.75" customHeight="1">
      <c r="A148" s="107"/>
    </row>
    <row r="149" ht="15.75" customHeight="1">
      <c r="A149" s="107"/>
    </row>
    <row r="150" ht="15.75" customHeight="1">
      <c r="A150" s="107"/>
    </row>
    <row r="151" ht="15.75" customHeight="1">
      <c r="A151" s="107"/>
    </row>
    <row r="152" ht="15.75" customHeight="1">
      <c r="A152" s="107"/>
    </row>
    <row r="153" ht="15.75" customHeight="1">
      <c r="A153" s="107"/>
    </row>
    <row r="154" ht="15.75" customHeight="1">
      <c r="A154" s="107"/>
    </row>
    <row r="155" ht="15.75" customHeight="1">
      <c r="A155" s="107"/>
    </row>
    <row r="156" ht="15.75" customHeight="1">
      <c r="A156" s="107"/>
    </row>
    <row r="157" ht="15.75" customHeight="1">
      <c r="A157" s="107"/>
    </row>
    <row r="158" ht="15.75" customHeight="1">
      <c r="A158" s="107"/>
    </row>
    <row r="159" ht="15.75" customHeight="1">
      <c r="A159" s="107"/>
    </row>
    <row r="160" ht="15.75" customHeight="1">
      <c r="A160" s="107"/>
    </row>
    <row r="161" ht="15.75" customHeight="1">
      <c r="A161" s="107"/>
    </row>
    <row r="162" ht="15.75" customHeight="1">
      <c r="A162" s="107"/>
    </row>
    <row r="163" ht="15.75" customHeight="1">
      <c r="A163" s="107"/>
    </row>
    <row r="164" ht="15.75" customHeight="1">
      <c r="A164" s="107"/>
    </row>
    <row r="165" ht="15.75" customHeight="1">
      <c r="A165" s="107"/>
    </row>
    <row r="166" ht="15.75" customHeight="1">
      <c r="A166" s="107"/>
    </row>
    <row r="167" ht="15.75" customHeight="1">
      <c r="A167" s="107"/>
    </row>
    <row r="168" ht="15.75" customHeight="1">
      <c r="A168" s="107"/>
    </row>
    <row r="169" ht="15.75" customHeight="1">
      <c r="A169" s="107"/>
    </row>
    <row r="170" ht="15.75" customHeight="1">
      <c r="A170" s="107"/>
    </row>
    <row r="171" ht="15.75" customHeight="1">
      <c r="A171" s="107"/>
    </row>
    <row r="172" ht="15.75" customHeight="1">
      <c r="A172" s="107"/>
    </row>
    <row r="173" ht="15.75" customHeight="1">
      <c r="A173" s="107"/>
    </row>
    <row r="174" ht="15.75" customHeight="1">
      <c r="A174" s="107"/>
    </row>
    <row r="175" ht="15.75" customHeight="1">
      <c r="A175" s="107"/>
    </row>
    <row r="176" ht="15.75" customHeight="1">
      <c r="A176" s="107"/>
    </row>
    <row r="177" ht="15.75" customHeight="1">
      <c r="A177" s="107"/>
    </row>
    <row r="178" ht="15.75" customHeight="1">
      <c r="A178" s="107"/>
    </row>
    <row r="179" ht="15.75" customHeight="1">
      <c r="A179" s="107"/>
    </row>
    <row r="180" ht="15.75" customHeight="1">
      <c r="A180" s="107"/>
    </row>
    <row r="181" ht="15.75" customHeight="1">
      <c r="A181" s="107"/>
    </row>
    <row r="182" ht="15.75" customHeight="1">
      <c r="A182" s="107"/>
    </row>
    <row r="183" ht="15.75" customHeight="1">
      <c r="A183" s="107"/>
    </row>
    <row r="184" ht="15.75" customHeight="1">
      <c r="A184" s="107"/>
    </row>
    <row r="185" ht="15.75" customHeight="1">
      <c r="A185" s="107"/>
    </row>
    <row r="186" ht="15.75" customHeight="1">
      <c r="A186" s="107"/>
    </row>
    <row r="187" ht="15.75" customHeight="1">
      <c r="A187" s="107"/>
    </row>
    <row r="188" ht="15.75" customHeight="1">
      <c r="A188" s="107"/>
    </row>
    <row r="189" ht="15.75" customHeight="1">
      <c r="A189" s="107"/>
    </row>
    <row r="190" ht="15.75" customHeight="1">
      <c r="A190" s="107"/>
    </row>
    <row r="191" ht="15.75" customHeight="1">
      <c r="A191" s="107"/>
    </row>
    <row r="192" ht="15.75" customHeight="1">
      <c r="A192" s="107"/>
    </row>
    <row r="193" ht="15.75" customHeight="1">
      <c r="A193" s="107"/>
    </row>
    <row r="194" ht="15.75" customHeight="1">
      <c r="A194" s="107"/>
    </row>
    <row r="195" ht="15.75" customHeight="1">
      <c r="A195" s="107"/>
    </row>
    <row r="196" ht="15.75" customHeight="1">
      <c r="A196" s="107"/>
    </row>
    <row r="197" ht="15.75" customHeight="1">
      <c r="A197" s="107"/>
    </row>
    <row r="198" ht="15.75" customHeight="1">
      <c r="A198" s="107"/>
    </row>
    <row r="199" ht="15.75" customHeight="1">
      <c r="A199" s="107"/>
    </row>
    <row r="200" ht="15.75" customHeight="1">
      <c r="A200" s="107"/>
    </row>
    <row r="201" ht="15.75" customHeight="1">
      <c r="A201" s="107"/>
    </row>
    <row r="202" ht="15.75" customHeight="1">
      <c r="A202" s="107"/>
    </row>
    <row r="203" ht="15.75" customHeight="1">
      <c r="A203" s="107"/>
    </row>
    <row r="204" ht="15.75" customHeight="1">
      <c r="A204" s="107"/>
    </row>
    <row r="205" ht="15.75" customHeight="1">
      <c r="A205" s="107"/>
    </row>
    <row r="206" ht="15.75" customHeight="1">
      <c r="A206" s="107"/>
    </row>
    <row r="207" ht="15.75" customHeight="1">
      <c r="A207" s="107"/>
    </row>
    <row r="208" ht="15.75" customHeight="1">
      <c r="A208" s="107"/>
    </row>
    <row r="209" ht="15.75" customHeight="1">
      <c r="A209" s="107"/>
    </row>
    <row r="210" ht="15.75" customHeight="1">
      <c r="A210" s="107"/>
    </row>
    <row r="211" ht="15.75" customHeight="1">
      <c r="A211" s="107"/>
    </row>
    <row r="212" ht="15.75" customHeight="1">
      <c r="A212" s="107"/>
    </row>
    <row r="213" ht="15.75" customHeight="1">
      <c r="A213" s="107"/>
    </row>
    <row r="214" ht="15.75" customHeight="1">
      <c r="A214" s="107"/>
    </row>
    <row r="215" ht="15.75" customHeight="1">
      <c r="A215" s="107"/>
    </row>
    <row r="216" ht="15.75" customHeight="1">
      <c r="A216" s="107"/>
    </row>
    <row r="217" ht="15.75" customHeight="1">
      <c r="A217" s="107"/>
    </row>
    <row r="218" ht="15.75" customHeight="1">
      <c r="A218" s="107"/>
    </row>
    <row r="219" ht="15.75" customHeight="1">
      <c r="A219" s="107"/>
    </row>
    <row r="220" ht="15.75" customHeight="1">
      <c r="A220" s="107"/>
    </row>
    <row r="221" ht="15.75" customHeight="1">
      <c r="A221" s="107"/>
    </row>
    <row r="222" ht="15.75" customHeight="1">
      <c r="A222" s="107"/>
    </row>
    <row r="223" ht="15.75" customHeight="1">
      <c r="A223" s="107"/>
    </row>
    <row r="224" ht="15.75" customHeight="1">
      <c r="A224" s="107"/>
    </row>
    <row r="225" ht="15.75" customHeight="1">
      <c r="A225" s="107"/>
    </row>
    <row r="226" ht="15.75" customHeight="1">
      <c r="A226" s="107"/>
    </row>
    <row r="227" ht="15.75" customHeight="1">
      <c r="A227" s="107"/>
    </row>
    <row r="228" ht="15.75" customHeight="1">
      <c r="A228" s="107"/>
    </row>
    <row r="229" ht="15.75" customHeight="1">
      <c r="A229" s="107"/>
    </row>
    <row r="230" ht="15.75" customHeight="1">
      <c r="A230" s="107"/>
    </row>
    <row r="231" ht="15.75" customHeight="1">
      <c r="A231" s="107"/>
    </row>
    <row r="232" ht="15.75" customHeight="1">
      <c r="A232" s="107"/>
    </row>
    <row r="233" ht="15.75" customHeight="1">
      <c r="A233" s="107"/>
    </row>
    <row r="234" ht="15.75" customHeight="1">
      <c r="A234" s="107"/>
    </row>
    <row r="235" ht="15.75" customHeight="1">
      <c r="A235" s="107"/>
    </row>
    <row r="236" ht="15.75" customHeight="1">
      <c r="A236" s="107"/>
    </row>
    <row r="237" ht="15.75" customHeight="1">
      <c r="A237" s="107"/>
    </row>
    <row r="238" ht="15.75" customHeight="1">
      <c r="A238" s="107"/>
    </row>
    <row r="239" ht="15.75" customHeight="1">
      <c r="A239" s="107"/>
    </row>
    <row r="240" ht="15.75" customHeight="1">
      <c r="A240" s="107"/>
    </row>
    <row r="241" ht="15.75" customHeight="1">
      <c r="A241" s="107"/>
    </row>
    <row r="242" ht="15.75" customHeight="1">
      <c r="A242" s="107"/>
    </row>
    <row r="243" ht="15.75" customHeight="1">
      <c r="A243" s="107"/>
    </row>
    <row r="244" ht="15.75" customHeight="1">
      <c r="A244" s="107"/>
    </row>
    <row r="245" ht="15.75" customHeight="1">
      <c r="A245" s="107"/>
    </row>
    <row r="246" ht="15.75" customHeight="1">
      <c r="A246" s="107"/>
    </row>
    <row r="247" ht="15.75" customHeight="1">
      <c r="A247" s="107"/>
    </row>
    <row r="248" ht="15.75" customHeight="1">
      <c r="A248" s="107"/>
    </row>
    <row r="249" ht="15.75" customHeight="1">
      <c r="A249" s="107"/>
    </row>
    <row r="250" ht="15.75" customHeight="1">
      <c r="A250" s="107"/>
    </row>
    <row r="251" ht="15.75" customHeight="1">
      <c r="A251" s="107"/>
    </row>
    <row r="252" ht="15.75" customHeight="1">
      <c r="A252" s="107"/>
    </row>
    <row r="253" ht="15.75" customHeight="1">
      <c r="A253" s="107"/>
    </row>
    <row r="254" ht="15.75" customHeight="1">
      <c r="A254" s="107"/>
    </row>
    <row r="255" ht="15.75" customHeight="1">
      <c r="A255" s="107"/>
    </row>
    <row r="256" ht="15.75" customHeight="1">
      <c r="A256" s="107"/>
    </row>
    <row r="257" ht="15.75" customHeight="1">
      <c r="A257" s="107"/>
    </row>
    <row r="258" ht="15.75" customHeight="1">
      <c r="A258" s="107"/>
    </row>
    <row r="259" ht="15.75" customHeight="1">
      <c r="A259" s="107"/>
    </row>
    <row r="260" ht="15.75" customHeight="1">
      <c r="A260" s="107"/>
    </row>
    <row r="261" ht="15.75" customHeight="1">
      <c r="A261" s="107"/>
    </row>
    <row r="262" ht="15.75" customHeight="1">
      <c r="A262" s="107"/>
    </row>
    <row r="263" ht="15.75" customHeight="1">
      <c r="A263" s="107"/>
    </row>
    <row r="264" ht="15.75" customHeight="1">
      <c r="A264" s="107"/>
    </row>
    <row r="265" ht="15.75" customHeight="1">
      <c r="A265" s="107"/>
    </row>
    <row r="266" ht="15.75" customHeight="1">
      <c r="A266" s="107"/>
    </row>
    <row r="267" ht="15.75" customHeight="1">
      <c r="A267" s="107"/>
    </row>
    <row r="268" ht="15.75" customHeight="1">
      <c r="A268" s="107"/>
    </row>
    <row r="269" ht="15.75" customHeight="1">
      <c r="A269" s="107"/>
    </row>
    <row r="270" ht="15.75" customHeight="1">
      <c r="A270" s="107"/>
    </row>
    <row r="271" ht="15.75" customHeight="1">
      <c r="A271" s="107"/>
    </row>
    <row r="272" ht="15.75" customHeight="1">
      <c r="A272" s="107"/>
    </row>
    <row r="273" ht="15.75" customHeight="1">
      <c r="A273" s="107"/>
    </row>
    <row r="274" ht="15.75" customHeight="1">
      <c r="A274" s="107"/>
    </row>
    <row r="275" ht="15.75" customHeight="1">
      <c r="A275" s="107"/>
    </row>
    <row r="276" ht="15.75" customHeight="1">
      <c r="A276" s="107"/>
    </row>
    <row r="277" ht="15.75" customHeight="1">
      <c r="A277" s="107"/>
    </row>
    <row r="278" ht="15.75" customHeight="1">
      <c r="A278" s="107"/>
    </row>
    <row r="279" ht="15.75" customHeight="1">
      <c r="A279" s="107"/>
    </row>
    <row r="280" ht="15.75" customHeight="1">
      <c r="A280" s="107"/>
    </row>
    <row r="281" ht="15.75" customHeight="1">
      <c r="A281" s="107"/>
    </row>
    <row r="282" ht="15.75" customHeight="1">
      <c r="A282" s="107"/>
    </row>
    <row r="283" ht="15.75" customHeight="1">
      <c r="A283" s="107"/>
    </row>
    <row r="284" ht="15.75" customHeight="1">
      <c r="A284" s="107"/>
    </row>
    <row r="285" ht="15.75" customHeight="1">
      <c r="A285" s="107"/>
    </row>
    <row r="286" ht="15.75" customHeight="1">
      <c r="A286" s="107"/>
    </row>
    <row r="287" ht="15.75" customHeight="1">
      <c r="A287" s="107"/>
    </row>
    <row r="288" ht="15.75" customHeight="1">
      <c r="A288" s="107"/>
    </row>
    <row r="289" ht="15.75" customHeight="1">
      <c r="A289" s="107"/>
    </row>
    <row r="290" ht="15.75" customHeight="1">
      <c r="A290" s="107"/>
    </row>
    <row r="291" ht="15.75" customHeight="1">
      <c r="A291" s="107"/>
    </row>
    <row r="292" ht="15.75" customHeight="1">
      <c r="A292" s="107"/>
    </row>
    <row r="293" ht="15.75" customHeight="1">
      <c r="A293" s="107"/>
    </row>
    <row r="294" ht="15.75" customHeight="1">
      <c r="A294" s="107"/>
    </row>
    <row r="295" ht="15.75" customHeight="1">
      <c r="A295" s="107"/>
    </row>
    <row r="296" ht="15.75" customHeight="1">
      <c r="A296" s="107"/>
    </row>
    <row r="297" ht="15.75" customHeight="1">
      <c r="A297" s="107"/>
    </row>
    <row r="298" ht="15.75" customHeight="1">
      <c r="A298" s="107"/>
    </row>
    <row r="299" ht="15.75" customHeight="1">
      <c r="A299" s="107"/>
    </row>
    <row r="300" ht="15.75" customHeight="1">
      <c r="A300" s="107"/>
    </row>
    <row r="301" ht="15.75" customHeight="1">
      <c r="A301" s="107"/>
    </row>
    <row r="302" ht="15.75" customHeight="1">
      <c r="A302" s="107"/>
    </row>
    <row r="303" ht="15.75" customHeight="1">
      <c r="A303" s="107"/>
    </row>
    <row r="304" ht="15.75" customHeight="1">
      <c r="A304" s="107"/>
    </row>
    <row r="305" ht="15.75" customHeight="1">
      <c r="A305" s="107"/>
    </row>
    <row r="306" ht="15.75" customHeight="1">
      <c r="A306" s="107"/>
    </row>
    <row r="307" ht="15.75" customHeight="1">
      <c r="A307" s="107"/>
    </row>
    <row r="308" ht="15.75" customHeight="1">
      <c r="A308" s="107"/>
    </row>
    <row r="309" ht="15.75" customHeight="1">
      <c r="A309" s="107"/>
    </row>
    <row r="310" ht="15.75" customHeight="1">
      <c r="A310" s="107"/>
    </row>
    <row r="311" ht="15.75" customHeight="1">
      <c r="A311" s="107"/>
    </row>
    <row r="312" ht="15.75" customHeight="1">
      <c r="A312" s="107"/>
    </row>
    <row r="313" ht="15.75" customHeight="1">
      <c r="A313" s="107"/>
    </row>
    <row r="314" ht="15.75" customHeight="1">
      <c r="A314" s="107"/>
    </row>
    <row r="315" ht="15.75" customHeight="1">
      <c r="A315" s="107"/>
    </row>
    <row r="316" ht="15.75" customHeight="1">
      <c r="A316" s="107"/>
    </row>
    <row r="317" ht="15.75" customHeight="1">
      <c r="A317" s="107"/>
    </row>
    <row r="318" ht="15.75" customHeight="1">
      <c r="A318" s="107"/>
    </row>
    <row r="319" ht="15.75" customHeight="1">
      <c r="A319" s="107"/>
    </row>
    <row r="320" ht="15.75" customHeight="1">
      <c r="A320" s="107"/>
    </row>
    <row r="321" ht="15.75" customHeight="1">
      <c r="A321" s="107"/>
    </row>
    <row r="322" ht="15.75" customHeight="1">
      <c r="A322" s="107"/>
    </row>
    <row r="323" ht="15.75" customHeight="1">
      <c r="A323" s="107"/>
    </row>
    <row r="324" ht="15.75" customHeight="1">
      <c r="A324" s="107"/>
    </row>
    <row r="325" ht="15.75" customHeight="1">
      <c r="A325" s="107"/>
    </row>
    <row r="326" ht="15.75" customHeight="1">
      <c r="A326" s="107"/>
    </row>
    <row r="327" ht="15.75" customHeight="1">
      <c r="A327" s="107"/>
    </row>
    <row r="328" ht="15.75" customHeight="1">
      <c r="A328" s="107"/>
    </row>
    <row r="329" ht="15.75" customHeight="1">
      <c r="A329" s="107"/>
    </row>
    <row r="330" ht="15.75" customHeight="1">
      <c r="A330" s="107"/>
    </row>
    <row r="331" ht="15.75" customHeight="1">
      <c r="A331" s="107"/>
    </row>
    <row r="332" ht="15.75" customHeight="1">
      <c r="A332" s="107"/>
    </row>
    <row r="333" ht="15.75" customHeight="1">
      <c r="A333" s="107"/>
    </row>
    <row r="334" ht="15.75" customHeight="1">
      <c r="A334" s="107"/>
    </row>
    <row r="335" ht="15.75" customHeight="1">
      <c r="A335" s="107"/>
    </row>
    <row r="336" ht="15.75" customHeight="1">
      <c r="A336" s="107"/>
    </row>
    <row r="337" ht="15.75" customHeight="1">
      <c r="A337" s="107"/>
    </row>
    <row r="338" ht="15.75" customHeight="1">
      <c r="A338" s="107"/>
    </row>
    <row r="339" ht="15.75" customHeight="1">
      <c r="A339" s="107"/>
    </row>
    <row r="340" ht="15.75" customHeight="1">
      <c r="A340" s="107"/>
    </row>
    <row r="341" ht="15.75" customHeight="1">
      <c r="A341" s="107"/>
    </row>
    <row r="342" ht="15.75" customHeight="1">
      <c r="A342" s="107"/>
    </row>
    <row r="343" ht="15.75" customHeight="1">
      <c r="A343" s="107"/>
    </row>
    <row r="344" ht="15.75" customHeight="1">
      <c r="A344" s="107"/>
    </row>
    <row r="345" ht="15.75" customHeight="1">
      <c r="A345" s="107"/>
    </row>
    <row r="346" ht="15.75" customHeight="1">
      <c r="A346" s="107"/>
    </row>
    <row r="347" ht="15.75" customHeight="1">
      <c r="A347" s="107"/>
    </row>
    <row r="348" ht="15.75" customHeight="1">
      <c r="A348" s="107"/>
    </row>
    <row r="349" ht="15.75" customHeight="1">
      <c r="A349" s="107"/>
    </row>
    <row r="350" ht="15.75" customHeight="1">
      <c r="A350" s="107"/>
    </row>
    <row r="351" ht="15.75" customHeight="1">
      <c r="A351" s="107"/>
    </row>
    <row r="352" ht="15.75" customHeight="1">
      <c r="A352" s="107"/>
    </row>
    <row r="353" ht="15.75" customHeight="1">
      <c r="A353" s="107"/>
    </row>
    <row r="354" ht="15.75" customHeight="1">
      <c r="A354" s="107"/>
    </row>
    <row r="355" ht="15.75" customHeight="1">
      <c r="A355" s="107"/>
    </row>
    <row r="356" ht="15.75" customHeight="1">
      <c r="A356" s="107"/>
    </row>
    <row r="357" ht="15.75" customHeight="1">
      <c r="A357" s="107"/>
    </row>
    <row r="358" ht="15.75" customHeight="1">
      <c r="A358" s="107"/>
    </row>
    <row r="359" ht="15.75" customHeight="1">
      <c r="A359" s="107"/>
    </row>
    <row r="360" ht="15.75" customHeight="1">
      <c r="A360" s="107"/>
    </row>
    <row r="361" ht="15.75" customHeight="1">
      <c r="A361" s="107"/>
    </row>
    <row r="362" ht="15.75" customHeight="1">
      <c r="A362" s="107"/>
    </row>
    <row r="363" ht="15.75" customHeight="1">
      <c r="A363" s="107"/>
    </row>
    <row r="364" ht="15.75" customHeight="1">
      <c r="A364" s="107"/>
    </row>
    <row r="365" ht="15.75" customHeight="1">
      <c r="A365" s="107"/>
    </row>
    <row r="366" ht="15.75" customHeight="1">
      <c r="A366" s="107"/>
    </row>
    <row r="367" ht="15.75" customHeight="1">
      <c r="A367" s="107"/>
    </row>
    <row r="368" ht="15.75" customHeight="1">
      <c r="A368" s="107"/>
    </row>
    <row r="369" ht="15.75" customHeight="1">
      <c r="A369" s="107"/>
    </row>
    <row r="370" ht="15.75" customHeight="1">
      <c r="A370" s="107"/>
    </row>
    <row r="371" ht="15.75" customHeight="1">
      <c r="A371" s="107"/>
    </row>
    <row r="372" ht="15.75" customHeight="1">
      <c r="A372" s="107"/>
    </row>
    <row r="373" ht="15.75" customHeight="1">
      <c r="A373" s="107"/>
    </row>
    <row r="374" ht="15.75" customHeight="1">
      <c r="A374" s="107"/>
    </row>
    <row r="375" ht="15.75" customHeight="1">
      <c r="A375" s="107"/>
    </row>
    <row r="376" ht="15.75" customHeight="1">
      <c r="A376" s="107"/>
    </row>
    <row r="377" ht="15.75" customHeight="1">
      <c r="A377" s="107"/>
    </row>
    <row r="378" ht="15.75" customHeight="1">
      <c r="A378" s="107"/>
    </row>
    <row r="379" ht="15.75" customHeight="1">
      <c r="A379" s="107"/>
    </row>
    <row r="380" ht="15.75" customHeight="1">
      <c r="A380" s="107"/>
    </row>
    <row r="381" ht="15.75" customHeight="1">
      <c r="A381" s="107"/>
    </row>
    <row r="382" ht="15.75" customHeight="1">
      <c r="A382" s="107"/>
    </row>
    <row r="383" ht="15.75" customHeight="1">
      <c r="A383" s="107"/>
    </row>
    <row r="384" ht="15.75" customHeight="1">
      <c r="A384" s="107"/>
    </row>
    <row r="385" ht="15.75" customHeight="1">
      <c r="A385" s="107"/>
    </row>
    <row r="386" ht="15.75" customHeight="1">
      <c r="A386" s="107"/>
    </row>
    <row r="387" ht="15.75" customHeight="1">
      <c r="A387" s="107"/>
    </row>
    <row r="388" ht="15.75" customHeight="1">
      <c r="A388" s="107"/>
    </row>
    <row r="389" ht="15.75" customHeight="1">
      <c r="A389" s="107"/>
    </row>
    <row r="390" ht="15.75" customHeight="1">
      <c r="A390" s="107"/>
    </row>
    <row r="391" ht="15.75" customHeight="1">
      <c r="A391" s="107"/>
    </row>
    <row r="392" ht="15.75" customHeight="1">
      <c r="A392" s="107"/>
    </row>
    <row r="393" ht="15.75" customHeight="1">
      <c r="A393" s="107"/>
    </row>
    <row r="394" ht="15.75" customHeight="1">
      <c r="A394" s="107"/>
    </row>
    <row r="395" ht="15.75" customHeight="1">
      <c r="A395" s="107"/>
    </row>
    <row r="396" ht="15.75" customHeight="1">
      <c r="A396" s="107"/>
    </row>
    <row r="397" ht="15.75" customHeight="1">
      <c r="A397" s="107"/>
    </row>
    <row r="398" ht="15.75" customHeight="1">
      <c r="A398" s="107"/>
    </row>
    <row r="399" ht="15.75" customHeight="1">
      <c r="A399" s="107"/>
    </row>
    <row r="400" ht="15.75" customHeight="1">
      <c r="A400" s="107"/>
    </row>
    <row r="401" ht="15.75" customHeight="1">
      <c r="A401" s="107"/>
    </row>
    <row r="402" ht="15.75" customHeight="1">
      <c r="A402" s="107"/>
    </row>
    <row r="403" ht="15.75" customHeight="1">
      <c r="A403" s="107"/>
    </row>
    <row r="404" ht="15.75" customHeight="1">
      <c r="A404" s="107"/>
    </row>
    <row r="405" ht="15.75" customHeight="1">
      <c r="A405" s="107"/>
    </row>
    <row r="406" ht="15.75" customHeight="1">
      <c r="A406" s="107"/>
    </row>
    <row r="407" ht="15.75" customHeight="1">
      <c r="A407" s="107"/>
    </row>
    <row r="408" ht="15.75" customHeight="1">
      <c r="A408" s="107"/>
    </row>
    <row r="409" ht="15.75" customHeight="1">
      <c r="A409" s="107"/>
    </row>
    <row r="410" ht="15.75" customHeight="1">
      <c r="A410" s="107"/>
    </row>
    <row r="411" ht="15.75" customHeight="1">
      <c r="A411" s="107"/>
    </row>
    <row r="412" ht="15.75" customHeight="1">
      <c r="A412" s="107"/>
    </row>
    <row r="413" ht="15.75" customHeight="1">
      <c r="A413" s="107"/>
    </row>
    <row r="414" ht="15.75" customHeight="1">
      <c r="A414" s="107"/>
    </row>
    <row r="415" ht="15.75" customHeight="1">
      <c r="A415" s="107"/>
    </row>
    <row r="416" ht="15.75" customHeight="1">
      <c r="A416" s="107"/>
    </row>
    <row r="417" ht="15.75" customHeight="1">
      <c r="A417" s="107"/>
    </row>
    <row r="418" ht="15.75" customHeight="1">
      <c r="A418" s="107"/>
    </row>
    <row r="419" ht="15.75" customHeight="1">
      <c r="A419" s="107"/>
    </row>
    <row r="420" ht="15.75" customHeight="1">
      <c r="A420" s="107"/>
    </row>
    <row r="421" ht="15.75" customHeight="1">
      <c r="A421" s="107"/>
    </row>
    <row r="422" ht="15.75" customHeight="1">
      <c r="A422" s="107"/>
    </row>
    <row r="423" ht="15.75" customHeight="1">
      <c r="A423" s="107"/>
    </row>
    <row r="424" ht="15.75" customHeight="1">
      <c r="A424" s="107"/>
    </row>
    <row r="425" ht="15.75" customHeight="1">
      <c r="A425" s="107"/>
    </row>
    <row r="426" ht="15.75" customHeight="1">
      <c r="A426" s="107"/>
    </row>
    <row r="427" ht="15.75" customHeight="1">
      <c r="A427" s="107"/>
    </row>
    <row r="428" ht="15.75" customHeight="1">
      <c r="A428" s="107"/>
    </row>
    <row r="429" ht="15.75" customHeight="1">
      <c r="A429" s="107"/>
    </row>
    <row r="430" ht="15.75" customHeight="1">
      <c r="A430" s="107"/>
    </row>
    <row r="431" ht="15.75" customHeight="1">
      <c r="A431" s="107"/>
    </row>
    <row r="432" ht="15.75" customHeight="1">
      <c r="A432" s="107"/>
    </row>
    <row r="433" ht="15.75" customHeight="1">
      <c r="A433" s="107"/>
    </row>
    <row r="434" ht="15.75" customHeight="1">
      <c r="A434" s="107"/>
    </row>
    <row r="435" ht="15.75" customHeight="1">
      <c r="A435" s="107"/>
    </row>
    <row r="436" ht="15.75" customHeight="1">
      <c r="A436" s="107"/>
    </row>
    <row r="437" ht="15.75" customHeight="1">
      <c r="A437" s="107"/>
    </row>
    <row r="438" ht="15.75" customHeight="1">
      <c r="A438" s="107"/>
    </row>
    <row r="439" ht="15.75" customHeight="1">
      <c r="A439" s="107"/>
    </row>
    <row r="440" ht="15.75" customHeight="1">
      <c r="A440" s="107"/>
    </row>
    <row r="441" ht="15.75" customHeight="1">
      <c r="A441" s="107"/>
    </row>
    <row r="442" ht="15.75" customHeight="1">
      <c r="A442" s="107"/>
    </row>
    <row r="443" ht="15.75" customHeight="1">
      <c r="A443" s="107"/>
    </row>
    <row r="444" ht="15.75" customHeight="1">
      <c r="A444" s="107"/>
    </row>
    <row r="445" ht="15.75" customHeight="1">
      <c r="A445" s="107"/>
    </row>
    <row r="446" ht="15.75" customHeight="1">
      <c r="A446" s="107"/>
    </row>
    <row r="447" ht="15.75" customHeight="1">
      <c r="A447" s="107"/>
    </row>
    <row r="448" ht="15.75" customHeight="1">
      <c r="A448" s="107"/>
    </row>
    <row r="449" ht="15.75" customHeight="1">
      <c r="A449" s="107"/>
    </row>
    <row r="450" ht="15.75" customHeight="1">
      <c r="A450" s="107"/>
    </row>
    <row r="451" ht="15.75" customHeight="1">
      <c r="A451" s="107"/>
    </row>
    <row r="452" ht="15.75" customHeight="1">
      <c r="A452" s="107"/>
    </row>
    <row r="453" ht="15.75" customHeight="1">
      <c r="A453" s="107"/>
    </row>
    <row r="454" ht="15.75" customHeight="1">
      <c r="A454" s="107"/>
    </row>
    <row r="455" ht="15.75" customHeight="1">
      <c r="A455" s="107"/>
    </row>
    <row r="456" ht="15.75" customHeight="1">
      <c r="A456" s="107"/>
    </row>
    <row r="457" ht="15.75" customHeight="1">
      <c r="A457" s="107"/>
    </row>
    <row r="458" ht="15.75" customHeight="1">
      <c r="A458" s="107"/>
    </row>
    <row r="459" ht="15.75" customHeight="1">
      <c r="A459" s="107"/>
    </row>
    <row r="460" ht="15.75" customHeight="1">
      <c r="A460" s="107"/>
    </row>
    <row r="461" ht="15.75" customHeight="1">
      <c r="A461" s="107"/>
    </row>
    <row r="462" ht="15.75" customHeight="1">
      <c r="A462" s="107"/>
    </row>
    <row r="463" ht="15.75" customHeight="1">
      <c r="A463" s="107"/>
    </row>
    <row r="464" ht="15.75" customHeight="1">
      <c r="A464" s="107"/>
    </row>
    <row r="465" ht="15.75" customHeight="1">
      <c r="A465" s="107"/>
    </row>
    <row r="466" ht="15.75" customHeight="1">
      <c r="A466" s="107"/>
    </row>
    <row r="467" ht="15.75" customHeight="1">
      <c r="A467" s="107"/>
    </row>
    <row r="468" ht="15.75" customHeight="1">
      <c r="A468" s="107"/>
    </row>
    <row r="469" ht="15.75" customHeight="1">
      <c r="A469" s="107"/>
    </row>
    <row r="470" ht="15.75" customHeight="1">
      <c r="A470" s="107"/>
    </row>
    <row r="471" ht="15.75" customHeight="1">
      <c r="A471" s="107"/>
    </row>
    <row r="472" ht="15.75" customHeight="1">
      <c r="A472" s="107"/>
    </row>
    <row r="473" ht="15.75" customHeight="1">
      <c r="A473" s="107"/>
    </row>
    <row r="474" ht="15.75" customHeight="1">
      <c r="A474" s="107"/>
    </row>
    <row r="475" ht="15.75" customHeight="1">
      <c r="A475" s="107"/>
    </row>
    <row r="476" ht="15.75" customHeight="1">
      <c r="A476" s="107"/>
    </row>
    <row r="477" ht="15.75" customHeight="1">
      <c r="A477" s="107"/>
    </row>
    <row r="478" ht="15.75" customHeight="1">
      <c r="A478" s="107"/>
    </row>
    <row r="479" ht="15.75" customHeight="1">
      <c r="A479" s="107"/>
    </row>
    <row r="480" ht="15.75" customHeight="1">
      <c r="A480" s="107"/>
    </row>
    <row r="481" ht="15.75" customHeight="1">
      <c r="A481" s="107"/>
    </row>
    <row r="482" ht="15.75" customHeight="1">
      <c r="A482" s="107"/>
    </row>
    <row r="483" ht="15.75" customHeight="1">
      <c r="A483" s="107"/>
    </row>
    <row r="484" ht="15.75" customHeight="1">
      <c r="A484" s="107"/>
    </row>
    <row r="485" ht="15.75" customHeight="1">
      <c r="A485" s="107"/>
    </row>
    <row r="486" ht="15.75" customHeight="1">
      <c r="A486" s="107"/>
    </row>
    <row r="487" ht="15.75" customHeight="1">
      <c r="A487" s="107"/>
    </row>
    <row r="488" ht="15.75" customHeight="1">
      <c r="A488" s="107"/>
    </row>
    <row r="489" ht="15.75" customHeight="1">
      <c r="A489" s="107"/>
    </row>
    <row r="490" ht="15.75" customHeight="1">
      <c r="A490" s="107"/>
    </row>
    <row r="491" ht="15.75" customHeight="1">
      <c r="A491" s="107"/>
    </row>
    <row r="492" ht="15.75" customHeight="1">
      <c r="A492" s="107"/>
    </row>
    <row r="493" ht="15.75" customHeight="1">
      <c r="A493" s="107"/>
    </row>
    <row r="494" ht="15.75" customHeight="1">
      <c r="A494" s="107"/>
    </row>
    <row r="495" ht="15.75" customHeight="1">
      <c r="A495" s="107"/>
    </row>
    <row r="496" ht="15.75" customHeight="1">
      <c r="A496" s="107"/>
    </row>
    <row r="497" ht="15.75" customHeight="1">
      <c r="A497" s="107"/>
    </row>
    <row r="498" ht="15.75" customHeight="1">
      <c r="A498" s="107"/>
    </row>
    <row r="499" ht="15.75" customHeight="1">
      <c r="A499" s="107"/>
    </row>
    <row r="500" ht="15.75" customHeight="1">
      <c r="A500" s="107"/>
    </row>
    <row r="501" ht="15.75" customHeight="1">
      <c r="A501" s="107"/>
    </row>
    <row r="502" ht="15.75" customHeight="1">
      <c r="A502" s="107"/>
    </row>
    <row r="503" ht="15.75" customHeight="1">
      <c r="A503" s="107"/>
    </row>
    <row r="504" ht="15.75" customHeight="1">
      <c r="A504" s="107"/>
    </row>
    <row r="505" ht="15.75" customHeight="1">
      <c r="A505" s="107"/>
    </row>
    <row r="506" ht="15.75" customHeight="1">
      <c r="A506" s="107"/>
    </row>
    <row r="507" ht="15.75" customHeight="1">
      <c r="A507" s="107"/>
    </row>
    <row r="508" ht="15.75" customHeight="1">
      <c r="A508" s="107"/>
    </row>
    <row r="509" ht="15.75" customHeight="1">
      <c r="A509" s="107"/>
    </row>
    <row r="510" ht="15.75" customHeight="1">
      <c r="A510" s="107"/>
    </row>
    <row r="511" ht="15.75" customHeight="1">
      <c r="A511" s="107"/>
    </row>
    <row r="512" ht="15.75" customHeight="1">
      <c r="A512" s="107"/>
    </row>
    <row r="513" ht="15.75" customHeight="1">
      <c r="A513" s="107"/>
    </row>
    <row r="514" ht="15.75" customHeight="1">
      <c r="A514" s="107"/>
    </row>
    <row r="515" ht="15.75" customHeight="1">
      <c r="A515" s="107"/>
    </row>
    <row r="516" ht="15.75" customHeight="1">
      <c r="A516" s="107"/>
    </row>
    <row r="517" ht="15.75" customHeight="1">
      <c r="A517" s="107"/>
    </row>
    <row r="518" ht="15.75" customHeight="1">
      <c r="A518" s="107"/>
    </row>
    <row r="519" ht="15.75" customHeight="1">
      <c r="A519" s="107"/>
    </row>
    <row r="520" ht="15.75" customHeight="1">
      <c r="A520" s="107"/>
    </row>
    <row r="521" ht="15.75" customHeight="1">
      <c r="A521" s="107"/>
    </row>
    <row r="522" ht="15.75" customHeight="1">
      <c r="A522" s="107"/>
    </row>
    <row r="523" ht="15.75" customHeight="1">
      <c r="A523" s="107"/>
    </row>
    <row r="524" ht="15.75" customHeight="1">
      <c r="A524" s="107"/>
    </row>
    <row r="525" ht="15.75" customHeight="1">
      <c r="A525" s="107"/>
    </row>
    <row r="526" ht="15.75" customHeight="1">
      <c r="A526" s="107"/>
    </row>
    <row r="527" ht="15.75" customHeight="1">
      <c r="A527" s="107"/>
    </row>
    <row r="528" ht="15.75" customHeight="1">
      <c r="A528" s="107"/>
    </row>
    <row r="529" ht="15.75" customHeight="1">
      <c r="A529" s="107"/>
    </row>
    <row r="530" ht="15.75" customHeight="1">
      <c r="A530" s="107"/>
    </row>
    <row r="531" ht="15.75" customHeight="1">
      <c r="A531" s="107"/>
    </row>
    <row r="532" ht="15.75" customHeight="1">
      <c r="A532" s="107"/>
    </row>
    <row r="533" ht="15.75" customHeight="1">
      <c r="A533" s="107"/>
    </row>
    <row r="534" ht="15.75" customHeight="1">
      <c r="A534" s="107"/>
    </row>
    <row r="535" ht="15.75" customHeight="1">
      <c r="A535" s="107"/>
    </row>
    <row r="536" ht="15.75" customHeight="1">
      <c r="A536" s="107"/>
    </row>
    <row r="537" ht="15.75" customHeight="1">
      <c r="A537" s="107"/>
    </row>
    <row r="538" ht="15.75" customHeight="1">
      <c r="A538" s="107"/>
    </row>
    <row r="539" ht="15.75" customHeight="1">
      <c r="A539" s="107"/>
    </row>
    <row r="540" ht="15.75" customHeight="1">
      <c r="A540" s="107"/>
    </row>
    <row r="541" ht="15.75" customHeight="1">
      <c r="A541" s="107"/>
    </row>
    <row r="542" ht="15.75" customHeight="1">
      <c r="A542" s="107"/>
    </row>
    <row r="543" ht="15.75" customHeight="1">
      <c r="A543" s="107"/>
    </row>
    <row r="544" ht="15.75" customHeight="1">
      <c r="A544" s="107"/>
    </row>
    <row r="545" ht="15.75" customHeight="1">
      <c r="A545" s="107"/>
    </row>
    <row r="546" ht="15.75" customHeight="1">
      <c r="A546" s="107"/>
    </row>
    <row r="547" ht="15.75" customHeight="1">
      <c r="A547" s="107"/>
    </row>
    <row r="548" ht="15.75" customHeight="1">
      <c r="A548" s="107"/>
    </row>
    <row r="549" ht="15.75" customHeight="1">
      <c r="A549" s="107"/>
    </row>
    <row r="550" ht="15.75" customHeight="1">
      <c r="A550" s="107"/>
    </row>
    <row r="551" ht="15.75" customHeight="1">
      <c r="A551" s="107"/>
    </row>
    <row r="552" ht="15.75" customHeight="1">
      <c r="A552" s="107"/>
    </row>
    <row r="553" ht="15.75" customHeight="1">
      <c r="A553" s="107"/>
    </row>
    <row r="554" ht="15.75" customHeight="1">
      <c r="A554" s="107"/>
    </row>
    <row r="555" ht="15.75" customHeight="1">
      <c r="A555" s="107"/>
    </row>
    <row r="556" ht="15.75" customHeight="1">
      <c r="A556" s="107"/>
    </row>
    <row r="557" ht="15.75" customHeight="1">
      <c r="A557" s="107"/>
    </row>
    <row r="558" ht="15.75" customHeight="1">
      <c r="A558" s="107"/>
    </row>
    <row r="559" ht="15.75" customHeight="1">
      <c r="A559" s="107"/>
    </row>
    <row r="560" ht="15.75" customHeight="1">
      <c r="A560" s="107"/>
    </row>
    <row r="561" ht="15.75" customHeight="1">
      <c r="A561" s="107"/>
    </row>
    <row r="562" ht="15.75" customHeight="1">
      <c r="A562" s="107"/>
    </row>
    <row r="563" ht="15.75" customHeight="1">
      <c r="A563" s="107"/>
    </row>
    <row r="564" ht="15.75" customHeight="1">
      <c r="A564" s="107"/>
    </row>
    <row r="565" ht="15.75" customHeight="1">
      <c r="A565" s="107"/>
    </row>
    <row r="566" ht="15.75" customHeight="1">
      <c r="A566" s="107"/>
    </row>
    <row r="567" ht="15.75" customHeight="1">
      <c r="A567" s="107"/>
    </row>
    <row r="568" ht="15.75" customHeight="1">
      <c r="A568" s="107"/>
    </row>
    <row r="569" ht="15.75" customHeight="1">
      <c r="A569" s="107"/>
    </row>
    <row r="570" ht="15.75" customHeight="1">
      <c r="A570" s="107"/>
    </row>
    <row r="571" ht="15.75" customHeight="1">
      <c r="A571" s="107"/>
    </row>
    <row r="572" ht="15.75" customHeight="1">
      <c r="A572" s="107"/>
    </row>
    <row r="573" ht="15.75" customHeight="1">
      <c r="A573" s="107"/>
    </row>
    <row r="574" ht="15.75" customHeight="1">
      <c r="A574" s="107"/>
    </row>
    <row r="575" ht="15.75" customHeight="1">
      <c r="A575" s="107"/>
    </row>
    <row r="576" ht="15.75" customHeight="1">
      <c r="A576" s="107"/>
    </row>
    <row r="577" ht="15.75" customHeight="1">
      <c r="A577" s="107"/>
    </row>
    <row r="578" ht="15.75" customHeight="1">
      <c r="A578" s="107"/>
    </row>
    <row r="579" ht="15.75" customHeight="1">
      <c r="A579" s="107"/>
    </row>
    <row r="580" ht="15.75" customHeight="1">
      <c r="A580" s="107"/>
    </row>
    <row r="581" ht="15.75" customHeight="1">
      <c r="A581" s="107"/>
    </row>
    <row r="582" ht="15.75" customHeight="1">
      <c r="A582" s="107"/>
    </row>
    <row r="583" ht="15.75" customHeight="1">
      <c r="A583" s="107"/>
    </row>
    <row r="584" ht="15.75" customHeight="1">
      <c r="A584" s="107"/>
    </row>
    <row r="585" ht="15.75" customHeight="1">
      <c r="A585" s="107"/>
    </row>
    <row r="586" ht="15.75" customHeight="1">
      <c r="A586" s="107"/>
    </row>
    <row r="587" ht="15.75" customHeight="1">
      <c r="A587" s="107"/>
    </row>
    <row r="588" ht="15.75" customHeight="1">
      <c r="A588" s="107"/>
    </row>
    <row r="589" ht="15.75" customHeight="1">
      <c r="A589" s="107"/>
    </row>
    <row r="590" ht="15.75" customHeight="1">
      <c r="A590" s="107"/>
    </row>
    <row r="591" ht="15.75" customHeight="1">
      <c r="A591" s="107"/>
    </row>
    <row r="592" ht="15.75" customHeight="1">
      <c r="A592" s="107"/>
    </row>
    <row r="593" ht="15.75" customHeight="1">
      <c r="A593" s="107"/>
    </row>
    <row r="594" ht="15.75" customHeight="1">
      <c r="A594" s="107"/>
    </row>
    <row r="595" ht="15.75" customHeight="1">
      <c r="A595" s="107"/>
    </row>
    <row r="596" ht="15.75" customHeight="1">
      <c r="A596" s="107"/>
    </row>
    <row r="597" ht="15.75" customHeight="1">
      <c r="A597" s="107"/>
    </row>
    <row r="598" ht="15.75" customHeight="1">
      <c r="A598" s="107"/>
    </row>
    <row r="599" ht="15.75" customHeight="1">
      <c r="A599" s="107"/>
    </row>
    <row r="600" ht="15.75" customHeight="1">
      <c r="A600" s="107"/>
    </row>
    <row r="601" ht="15.75" customHeight="1">
      <c r="A601" s="107"/>
    </row>
    <row r="602" ht="15.75" customHeight="1">
      <c r="A602" s="107"/>
    </row>
    <row r="603" ht="15.75" customHeight="1">
      <c r="A603" s="107"/>
    </row>
    <row r="604" ht="15.75" customHeight="1">
      <c r="A604" s="107"/>
    </row>
    <row r="605" ht="15.75" customHeight="1">
      <c r="A605" s="107"/>
    </row>
    <row r="606" ht="15.75" customHeight="1">
      <c r="A606" s="107"/>
    </row>
    <row r="607" ht="15.75" customHeight="1">
      <c r="A607" s="107"/>
    </row>
    <row r="608" ht="15.75" customHeight="1">
      <c r="A608" s="107"/>
    </row>
    <row r="609" ht="15.75" customHeight="1">
      <c r="A609" s="107"/>
    </row>
    <row r="610" ht="15.75" customHeight="1">
      <c r="A610" s="107"/>
    </row>
    <row r="611" ht="15.75" customHeight="1">
      <c r="A611" s="107"/>
    </row>
    <row r="612" ht="15.75" customHeight="1">
      <c r="A612" s="107"/>
    </row>
    <row r="613" ht="15.75" customHeight="1">
      <c r="A613" s="107"/>
    </row>
    <row r="614" ht="15.75" customHeight="1">
      <c r="A614" s="107"/>
    </row>
    <row r="615" ht="15.75" customHeight="1">
      <c r="A615" s="107"/>
    </row>
    <row r="616" ht="15.75" customHeight="1">
      <c r="A616" s="107"/>
    </row>
    <row r="617" ht="15.75" customHeight="1">
      <c r="A617" s="107"/>
    </row>
    <row r="618" ht="15.75" customHeight="1">
      <c r="A618" s="107"/>
    </row>
    <row r="619" ht="15.75" customHeight="1">
      <c r="A619" s="107"/>
    </row>
    <row r="620" ht="15.75" customHeight="1">
      <c r="A620" s="107"/>
    </row>
    <row r="621" ht="15.75" customHeight="1">
      <c r="A621" s="107"/>
    </row>
    <row r="622" ht="15.75" customHeight="1">
      <c r="A622" s="107"/>
    </row>
    <row r="623" ht="15.75" customHeight="1">
      <c r="A623" s="107"/>
    </row>
    <row r="624" ht="15.75" customHeight="1">
      <c r="A624" s="107"/>
    </row>
    <row r="625" ht="15.75" customHeight="1">
      <c r="A625" s="107"/>
    </row>
    <row r="626" ht="15.75" customHeight="1">
      <c r="A626" s="107"/>
    </row>
    <row r="627" ht="15.75" customHeight="1">
      <c r="A627" s="107"/>
    </row>
    <row r="628" ht="15.75" customHeight="1">
      <c r="A628" s="107"/>
    </row>
    <row r="629" ht="15.75" customHeight="1">
      <c r="A629" s="107"/>
    </row>
    <row r="630" ht="15.75" customHeight="1">
      <c r="A630" s="107"/>
    </row>
    <row r="631" ht="15.75" customHeight="1">
      <c r="A631" s="107"/>
    </row>
    <row r="632" ht="15.75" customHeight="1">
      <c r="A632" s="107"/>
    </row>
    <row r="633" ht="15.75" customHeight="1">
      <c r="A633" s="107"/>
    </row>
    <row r="634" ht="15.75" customHeight="1">
      <c r="A634" s="107"/>
    </row>
    <row r="635" ht="15.75" customHeight="1">
      <c r="A635" s="107"/>
    </row>
    <row r="636" ht="15.75" customHeight="1">
      <c r="A636" s="107"/>
    </row>
    <row r="637" ht="15.75" customHeight="1">
      <c r="A637" s="107"/>
    </row>
    <row r="638" ht="15.75" customHeight="1">
      <c r="A638" s="107"/>
    </row>
    <row r="639" ht="15.75" customHeight="1">
      <c r="A639" s="107"/>
    </row>
    <row r="640" ht="15.75" customHeight="1">
      <c r="A640" s="107"/>
    </row>
    <row r="641" ht="15.75" customHeight="1">
      <c r="A641" s="107"/>
    </row>
    <row r="642" ht="15.75" customHeight="1">
      <c r="A642" s="107"/>
    </row>
    <row r="643" ht="15.75" customHeight="1">
      <c r="A643" s="107"/>
    </row>
    <row r="644" ht="15.75" customHeight="1">
      <c r="A644" s="107"/>
    </row>
    <row r="645" ht="15.75" customHeight="1">
      <c r="A645" s="107"/>
    </row>
    <row r="646" ht="15.75" customHeight="1">
      <c r="A646" s="107"/>
    </row>
    <row r="647" ht="15.75" customHeight="1">
      <c r="A647" s="107"/>
    </row>
    <row r="648" ht="15.75" customHeight="1">
      <c r="A648" s="107"/>
    </row>
    <row r="649" ht="15.75" customHeight="1">
      <c r="A649" s="107"/>
    </row>
    <row r="650" ht="15.75" customHeight="1">
      <c r="A650" s="107"/>
    </row>
    <row r="651" ht="15.75" customHeight="1">
      <c r="A651" s="107"/>
    </row>
    <row r="652" ht="15.75" customHeight="1">
      <c r="A652" s="107"/>
    </row>
    <row r="653" ht="15.75" customHeight="1">
      <c r="A653" s="107"/>
    </row>
    <row r="654" ht="15.75" customHeight="1">
      <c r="A654" s="107"/>
    </row>
    <row r="655" ht="15.75" customHeight="1">
      <c r="A655" s="107"/>
    </row>
    <row r="656" ht="15.75" customHeight="1">
      <c r="A656" s="107"/>
    </row>
    <row r="657" ht="15.75" customHeight="1">
      <c r="A657" s="107"/>
    </row>
    <row r="658" ht="15.75" customHeight="1">
      <c r="A658" s="107"/>
    </row>
    <row r="659" ht="15.75" customHeight="1">
      <c r="A659" s="107"/>
    </row>
    <row r="660" ht="15.75" customHeight="1">
      <c r="A660" s="107"/>
    </row>
    <row r="661" ht="15.75" customHeight="1">
      <c r="A661" s="107"/>
    </row>
    <row r="662" ht="15.75" customHeight="1">
      <c r="A662" s="107"/>
    </row>
    <row r="663" ht="15.75" customHeight="1">
      <c r="A663" s="107"/>
    </row>
    <row r="664" ht="15.75" customHeight="1">
      <c r="A664" s="107"/>
    </row>
    <row r="665" ht="15.75" customHeight="1">
      <c r="A665" s="107"/>
    </row>
    <row r="666" ht="15.75" customHeight="1">
      <c r="A666" s="107"/>
    </row>
    <row r="667" ht="15.75" customHeight="1">
      <c r="A667" s="107"/>
    </row>
    <row r="668" ht="15.75" customHeight="1">
      <c r="A668" s="107"/>
    </row>
    <row r="669" ht="15.75" customHeight="1">
      <c r="A669" s="107"/>
    </row>
    <row r="670" ht="15.75" customHeight="1">
      <c r="A670" s="107"/>
    </row>
    <row r="671" ht="15.75" customHeight="1">
      <c r="A671" s="107"/>
    </row>
    <row r="672" ht="15.75" customHeight="1">
      <c r="A672" s="107"/>
    </row>
    <row r="673" ht="15.75" customHeight="1">
      <c r="A673" s="107"/>
    </row>
    <row r="674" ht="15.75" customHeight="1">
      <c r="A674" s="107"/>
    </row>
    <row r="675" ht="15.75" customHeight="1">
      <c r="A675" s="107"/>
    </row>
    <row r="676" ht="15.75" customHeight="1">
      <c r="A676" s="107"/>
    </row>
    <row r="677" ht="15.75" customHeight="1">
      <c r="A677" s="107"/>
    </row>
    <row r="678" ht="15.75" customHeight="1">
      <c r="A678" s="107"/>
    </row>
    <row r="679" ht="15.75" customHeight="1">
      <c r="A679" s="107"/>
    </row>
    <row r="680" ht="15.75" customHeight="1">
      <c r="A680" s="107"/>
    </row>
    <row r="681" ht="15.75" customHeight="1">
      <c r="A681" s="107"/>
    </row>
    <row r="682" ht="15.75" customHeight="1">
      <c r="A682" s="107"/>
    </row>
    <row r="683" ht="15.75" customHeight="1">
      <c r="A683" s="107"/>
    </row>
    <row r="684" ht="15.75" customHeight="1">
      <c r="A684" s="107"/>
    </row>
    <row r="685" ht="15.75" customHeight="1">
      <c r="A685" s="107"/>
    </row>
    <row r="686" ht="15.75" customHeight="1">
      <c r="A686" s="107"/>
    </row>
    <row r="687" ht="15.75" customHeight="1">
      <c r="A687" s="107"/>
    </row>
    <row r="688" ht="15.75" customHeight="1">
      <c r="A688" s="107"/>
    </row>
    <row r="689" ht="15.75" customHeight="1">
      <c r="A689" s="107"/>
    </row>
    <row r="690" ht="15.75" customHeight="1">
      <c r="A690" s="107"/>
    </row>
    <row r="691" ht="15.75" customHeight="1">
      <c r="A691" s="107"/>
    </row>
    <row r="692" ht="15.75" customHeight="1">
      <c r="A692" s="107"/>
    </row>
    <row r="693" ht="15.75" customHeight="1">
      <c r="A693" s="107"/>
    </row>
    <row r="694" ht="15.75" customHeight="1">
      <c r="A694" s="107"/>
    </row>
    <row r="695" ht="15.75" customHeight="1">
      <c r="A695" s="107"/>
    </row>
    <row r="696" ht="15.75" customHeight="1">
      <c r="A696" s="107"/>
    </row>
    <row r="697" ht="15.75" customHeight="1">
      <c r="A697" s="107"/>
    </row>
    <row r="698" ht="15.75" customHeight="1">
      <c r="A698" s="107"/>
    </row>
    <row r="699" ht="15.75" customHeight="1">
      <c r="A699" s="107"/>
    </row>
    <row r="700" ht="15.75" customHeight="1">
      <c r="A700" s="107"/>
    </row>
    <row r="701" ht="15.75" customHeight="1">
      <c r="A701" s="107"/>
    </row>
    <row r="702" ht="15.75" customHeight="1">
      <c r="A702" s="107"/>
    </row>
    <row r="703" ht="15.75" customHeight="1">
      <c r="A703" s="107"/>
    </row>
    <row r="704" ht="15.75" customHeight="1">
      <c r="A704" s="107"/>
    </row>
    <row r="705" ht="15.75" customHeight="1">
      <c r="A705" s="107"/>
    </row>
    <row r="706" ht="15.75" customHeight="1">
      <c r="A706" s="107"/>
    </row>
    <row r="707" ht="15.75" customHeight="1">
      <c r="A707" s="107"/>
    </row>
    <row r="708" ht="15.75" customHeight="1">
      <c r="A708" s="107"/>
    </row>
    <row r="709" ht="15.75" customHeight="1">
      <c r="A709" s="107"/>
    </row>
    <row r="710" ht="15.75" customHeight="1">
      <c r="A710" s="107"/>
    </row>
    <row r="711" ht="15.75" customHeight="1">
      <c r="A711" s="107"/>
    </row>
    <row r="712" ht="15.75" customHeight="1">
      <c r="A712" s="107"/>
    </row>
    <row r="713" ht="15.75" customHeight="1">
      <c r="A713" s="107"/>
    </row>
    <row r="714" ht="15.75" customHeight="1">
      <c r="A714" s="107"/>
    </row>
    <row r="715" ht="15.75" customHeight="1">
      <c r="A715" s="107"/>
    </row>
    <row r="716" ht="15.75" customHeight="1">
      <c r="A716" s="107"/>
    </row>
    <row r="717" ht="15.75" customHeight="1">
      <c r="A717" s="107"/>
    </row>
    <row r="718" ht="15.75" customHeight="1">
      <c r="A718" s="107"/>
    </row>
    <row r="719" ht="15.75" customHeight="1">
      <c r="A719" s="107"/>
    </row>
    <row r="720" ht="15.75" customHeight="1">
      <c r="A720" s="107"/>
    </row>
    <row r="721" ht="15.75" customHeight="1">
      <c r="A721" s="107"/>
    </row>
    <row r="722" ht="15.75" customHeight="1">
      <c r="A722" s="107"/>
    </row>
    <row r="723" ht="15.75" customHeight="1">
      <c r="A723" s="107"/>
    </row>
    <row r="724" ht="15.75" customHeight="1">
      <c r="A724" s="107"/>
    </row>
    <row r="725" ht="15.75" customHeight="1">
      <c r="A725" s="107"/>
    </row>
    <row r="726" ht="15.75" customHeight="1">
      <c r="A726" s="107"/>
    </row>
    <row r="727" ht="15.75" customHeight="1">
      <c r="A727" s="107"/>
    </row>
    <row r="728" ht="15.75" customHeight="1">
      <c r="A728" s="107"/>
    </row>
    <row r="729" ht="15.75" customHeight="1">
      <c r="A729" s="107"/>
    </row>
    <row r="730" ht="15.75" customHeight="1">
      <c r="A730" s="107"/>
    </row>
    <row r="731" ht="15.75" customHeight="1">
      <c r="A731" s="107"/>
    </row>
    <row r="732" ht="15.75" customHeight="1">
      <c r="A732" s="107"/>
    </row>
    <row r="733" ht="15.75" customHeight="1">
      <c r="A733" s="107"/>
    </row>
    <row r="734" ht="15.75" customHeight="1">
      <c r="A734" s="107"/>
    </row>
    <row r="735" ht="15.75" customHeight="1">
      <c r="A735" s="107"/>
    </row>
    <row r="736" ht="15.75" customHeight="1">
      <c r="A736" s="107"/>
    </row>
    <row r="737" ht="15.75" customHeight="1">
      <c r="A737" s="107"/>
    </row>
    <row r="738" ht="15.75" customHeight="1">
      <c r="A738" s="107"/>
    </row>
    <row r="739" ht="15.75" customHeight="1">
      <c r="A739" s="107"/>
    </row>
    <row r="740" ht="15.75" customHeight="1">
      <c r="A740" s="107"/>
    </row>
    <row r="741" ht="15.75" customHeight="1">
      <c r="A741" s="107"/>
    </row>
    <row r="742" ht="15.75" customHeight="1">
      <c r="A742" s="107"/>
    </row>
    <row r="743" ht="15.75" customHeight="1">
      <c r="A743" s="107"/>
    </row>
    <row r="744" ht="15.75" customHeight="1">
      <c r="A744" s="107"/>
    </row>
    <row r="745" ht="15.75" customHeight="1">
      <c r="A745" s="107"/>
    </row>
    <row r="746" ht="15.75" customHeight="1">
      <c r="A746" s="107"/>
    </row>
    <row r="747" ht="15.75" customHeight="1">
      <c r="A747" s="107"/>
    </row>
    <row r="748" ht="15.75" customHeight="1">
      <c r="A748" s="107"/>
    </row>
    <row r="749" ht="15.75" customHeight="1">
      <c r="A749" s="107"/>
    </row>
    <row r="750" ht="15.75" customHeight="1">
      <c r="A750" s="107"/>
    </row>
    <row r="751" ht="15.75" customHeight="1">
      <c r="A751" s="107"/>
    </row>
    <row r="752" ht="15.75" customHeight="1">
      <c r="A752" s="107"/>
    </row>
    <row r="753" ht="15.75" customHeight="1">
      <c r="A753" s="107"/>
    </row>
    <row r="754" ht="15.75" customHeight="1">
      <c r="A754" s="107"/>
    </row>
    <row r="755" ht="15.75" customHeight="1">
      <c r="A755" s="107"/>
    </row>
    <row r="756" ht="15.75" customHeight="1">
      <c r="A756" s="107"/>
    </row>
    <row r="757" ht="15.75" customHeight="1">
      <c r="A757" s="107"/>
    </row>
    <row r="758" ht="15.75" customHeight="1">
      <c r="A758" s="107"/>
    </row>
    <row r="759" ht="15.75" customHeight="1">
      <c r="A759" s="107"/>
    </row>
    <row r="760" ht="15.75" customHeight="1">
      <c r="A760" s="107"/>
    </row>
    <row r="761" ht="15.75" customHeight="1">
      <c r="A761" s="107"/>
    </row>
    <row r="762" ht="15.75" customHeight="1">
      <c r="A762" s="107"/>
    </row>
    <row r="763" ht="15.75" customHeight="1">
      <c r="A763" s="107"/>
    </row>
    <row r="764" ht="15.75" customHeight="1">
      <c r="A764" s="107"/>
    </row>
    <row r="765" ht="15.75" customHeight="1">
      <c r="A765" s="107"/>
    </row>
    <row r="766" ht="15.75" customHeight="1">
      <c r="A766" s="107"/>
    </row>
    <row r="767" ht="15.75" customHeight="1">
      <c r="A767" s="107"/>
    </row>
    <row r="768" ht="15.75" customHeight="1">
      <c r="A768" s="107"/>
    </row>
    <row r="769" ht="15.75" customHeight="1">
      <c r="A769" s="107"/>
    </row>
    <row r="770" ht="15.75" customHeight="1">
      <c r="A770" s="107"/>
    </row>
    <row r="771" ht="15.75" customHeight="1">
      <c r="A771" s="107"/>
    </row>
    <row r="772" ht="15.75" customHeight="1">
      <c r="A772" s="107"/>
    </row>
    <row r="773" ht="15.75" customHeight="1">
      <c r="A773" s="107"/>
    </row>
    <row r="774" ht="15.75" customHeight="1">
      <c r="A774" s="107"/>
    </row>
    <row r="775" ht="15.75" customHeight="1">
      <c r="A775" s="107"/>
    </row>
    <row r="776" ht="15.75" customHeight="1">
      <c r="A776" s="107"/>
    </row>
    <row r="777" ht="15.75" customHeight="1">
      <c r="A777" s="107"/>
    </row>
    <row r="778" ht="15.75" customHeight="1">
      <c r="A778" s="107"/>
    </row>
    <row r="779" ht="15.75" customHeight="1">
      <c r="A779" s="107"/>
    </row>
    <row r="780" ht="15.75" customHeight="1">
      <c r="A780" s="107"/>
    </row>
    <row r="781" ht="15.75" customHeight="1">
      <c r="A781" s="107"/>
    </row>
    <row r="782" ht="15.75" customHeight="1">
      <c r="A782" s="107"/>
    </row>
    <row r="783" ht="15.75" customHeight="1">
      <c r="A783" s="107"/>
    </row>
    <row r="784" ht="15.75" customHeight="1">
      <c r="A784" s="107"/>
    </row>
    <row r="785" ht="15.75" customHeight="1">
      <c r="A785" s="107"/>
    </row>
    <row r="786" ht="15.75" customHeight="1">
      <c r="A786" s="107"/>
    </row>
    <row r="787" ht="15.75" customHeight="1">
      <c r="A787" s="107"/>
    </row>
    <row r="788" ht="15.75" customHeight="1">
      <c r="A788" s="107"/>
    </row>
    <row r="789" ht="15.75" customHeight="1">
      <c r="A789" s="107"/>
    </row>
    <row r="790" ht="15.75" customHeight="1">
      <c r="A790" s="107"/>
    </row>
    <row r="791" ht="15.75" customHeight="1">
      <c r="A791" s="107"/>
    </row>
    <row r="792" ht="15.75" customHeight="1">
      <c r="A792" s="107"/>
    </row>
    <row r="793" ht="15.75" customHeight="1">
      <c r="A793" s="107"/>
    </row>
    <row r="794" ht="15.75" customHeight="1">
      <c r="A794" s="107"/>
    </row>
    <row r="795" ht="15.75" customHeight="1">
      <c r="A795" s="107"/>
    </row>
    <row r="796" ht="15.75" customHeight="1">
      <c r="A796" s="107"/>
    </row>
    <row r="797" ht="15.75" customHeight="1">
      <c r="A797" s="107"/>
    </row>
    <row r="798" ht="15.75" customHeight="1">
      <c r="A798" s="107"/>
    </row>
    <row r="799" ht="15.75" customHeight="1">
      <c r="A799" s="107"/>
    </row>
    <row r="800" ht="15.75" customHeight="1">
      <c r="A800" s="107"/>
    </row>
    <row r="801" ht="15.75" customHeight="1">
      <c r="A801" s="107"/>
    </row>
    <row r="802" ht="15.75" customHeight="1">
      <c r="A802" s="107"/>
    </row>
    <row r="803" ht="15.75" customHeight="1">
      <c r="A803" s="107"/>
    </row>
    <row r="804" ht="15.75" customHeight="1">
      <c r="A804" s="107"/>
    </row>
    <row r="805" ht="15.75" customHeight="1">
      <c r="A805" s="107"/>
    </row>
    <row r="806" ht="15.75" customHeight="1">
      <c r="A806" s="107"/>
    </row>
    <row r="807" ht="15.75" customHeight="1">
      <c r="A807" s="107"/>
    </row>
    <row r="808" ht="15.75" customHeight="1">
      <c r="A808" s="107"/>
    </row>
    <row r="809" ht="15.75" customHeight="1">
      <c r="A809" s="107"/>
    </row>
    <row r="810" ht="15.75" customHeight="1">
      <c r="A810" s="107"/>
    </row>
    <row r="811" ht="15.75" customHeight="1">
      <c r="A811" s="107"/>
    </row>
    <row r="812" ht="15.75" customHeight="1">
      <c r="A812" s="107"/>
    </row>
    <row r="813" ht="15.75" customHeight="1">
      <c r="A813" s="107"/>
    </row>
    <row r="814" ht="15.75" customHeight="1">
      <c r="A814" s="107"/>
    </row>
    <row r="815" ht="15.75" customHeight="1">
      <c r="A815" s="107"/>
    </row>
    <row r="816" ht="15.75" customHeight="1">
      <c r="A816" s="107"/>
    </row>
    <row r="817" ht="15.75" customHeight="1">
      <c r="A817" s="107"/>
    </row>
    <row r="818" ht="15.75" customHeight="1">
      <c r="A818" s="107"/>
    </row>
    <row r="819" ht="15.75" customHeight="1">
      <c r="A819" s="107"/>
    </row>
    <row r="820" ht="15.75" customHeight="1">
      <c r="A820" s="107"/>
    </row>
    <row r="821" ht="15.75" customHeight="1">
      <c r="A821" s="107"/>
    </row>
    <row r="822" ht="15.75" customHeight="1">
      <c r="A822" s="107"/>
    </row>
    <row r="823" ht="15.75" customHeight="1">
      <c r="A823" s="107"/>
    </row>
    <row r="824" ht="15.75" customHeight="1">
      <c r="A824" s="107"/>
    </row>
    <row r="825" ht="15.75" customHeight="1">
      <c r="A825" s="107"/>
    </row>
    <row r="826" ht="15.75" customHeight="1">
      <c r="A826" s="107"/>
    </row>
    <row r="827" ht="15.75" customHeight="1">
      <c r="A827" s="107"/>
    </row>
    <row r="828" ht="15.75" customHeight="1">
      <c r="A828" s="107"/>
    </row>
    <row r="829" ht="15.75" customHeight="1">
      <c r="A829" s="107"/>
    </row>
    <row r="830" ht="15.75" customHeight="1">
      <c r="A830" s="107"/>
    </row>
    <row r="831" ht="15.75" customHeight="1">
      <c r="A831" s="107"/>
    </row>
    <row r="832" ht="15.75" customHeight="1">
      <c r="A832" s="107"/>
    </row>
    <row r="833" ht="15.75" customHeight="1">
      <c r="A833" s="107"/>
    </row>
    <row r="834" ht="15.75" customHeight="1">
      <c r="A834" s="107"/>
    </row>
    <row r="835" ht="15.75" customHeight="1">
      <c r="A835" s="107"/>
    </row>
    <row r="836" ht="15.75" customHeight="1">
      <c r="A836" s="107"/>
    </row>
    <row r="837" ht="15.75" customHeight="1">
      <c r="A837" s="107"/>
    </row>
    <row r="838" ht="15.75" customHeight="1">
      <c r="A838" s="107"/>
    </row>
    <row r="839" ht="15.75" customHeight="1">
      <c r="A839" s="107"/>
    </row>
    <row r="840" ht="15.75" customHeight="1">
      <c r="A840" s="107"/>
    </row>
    <row r="841" ht="15.75" customHeight="1">
      <c r="A841" s="107"/>
    </row>
    <row r="842" ht="15.75" customHeight="1">
      <c r="A842" s="107"/>
    </row>
    <row r="843" ht="15.75" customHeight="1">
      <c r="A843" s="107"/>
    </row>
    <row r="844" ht="15.75" customHeight="1">
      <c r="A844" s="107"/>
    </row>
    <row r="845" ht="15.75" customHeight="1">
      <c r="A845" s="107"/>
    </row>
    <row r="846" ht="15.75" customHeight="1">
      <c r="A846" s="107"/>
    </row>
    <row r="847" ht="15.75" customHeight="1">
      <c r="A847" s="107"/>
    </row>
    <row r="848" ht="15.75" customHeight="1">
      <c r="A848" s="107"/>
    </row>
    <row r="849" ht="15.75" customHeight="1">
      <c r="A849" s="107"/>
    </row>
    <row r="850" ht="15.75" customHeight="1">
      <c r="A850" s="107"/>
    </row>
    <row r="851" ht="15.75" customHeight="1">
      <c r="A851" s="107"/>
    </row>
    <row r="852" ht="15.75" customHeight="1">
      <c r="A852" s="107"/>
    </row>
    <row r="853" ht="15.75" customHeight="1">
      <c r="A853" s="107"/>
    </row>
    <row r="854" ht="15.75" customHeight="1">
      <c r="A854" s="107"/>
    </row>
    <row r="855" ht="15.75" customHeight="1">
      <c r="A855" s="107"/>
    </row>
    <row r="856" ht="15.75" customHeight="1">
      <c r="A856" s="107"/>
    </row>
    <row r="857" ht="15.75" customHeight="1">
      <c r="A857" s="107"/>
    </row>
    <row r="858" ht="15.75" customHeight="1">
      <c r="A858" s="107"/>
    </row>
    <row r="859" ht="15.75" customHeight="1">
      <c r="A859" s="107"/>
    </row>
    <row r="860" ht="15.75" customHeight="1">
      <c r="A860" s="107"/>
    </row>
    <row r="861" ht="15.75" customHeight="1">
      <c r="A861" s="107"/>
    </row>
    <row r="862" ht="15.75" customHeight="1">
      <c r="A862" s="107"/>
    </row>
    <row r="863" ht="15.75" customHeight="1">
      <c r="A863" s="107"/>
    </row>
    <row r="864" ht="15.75" customHeight="1">
      <c r="A864" s="107"/>
    </row>
    <row r="865" ht="15.75" customHeight="1">
      <c r="A865" s="107"/>
    </row>
    <row r="866" ht="15.75" customHeight="1">
      <c r="A866" s="107"/>
    </row>
    <row r="867" ht="15.75" customHeight="1">
      <c r="A867" s="107"/>
    </row>
    <row r="868" ht="15.75" customHeight="1">
      <c r="A868" s="107"/>
    </row>
    <row r="869" ht="15.75" customHeight="1">
      <c r="A869" s="107"/>
    </row>
    <row r="870" ht="15.75" customHeight="1">
      <c r="A870" s="107"/>
    </row>
    <row r="871" ht="15.75" customHeight="1">
      <c r="A871" s="107"/>
    </row>
    <row r="872" ht="15.75" customHeight="1">
      <c r="A872" s="107"/>
    </row>
    <row r="873" ht="15.75" customHeight="1">
      <c r="A873" s="107"/>
    </row>
    <row r="874" ht="15.75" customHeight="1">
      <c r="A874" s="107"/>
    </row>
    <row r="875" ht="15.75" customHeight="1">
      <c r="A875" s="107"/>
    </row>
    <row r="876" ht="15.75" customHeight="1">
      <c r="A876" s="107"/>
    </row>
    <row r="877" ht="15.75" customHeight="1">
      <c r="A877" s="107"/>
    </row>
    <row r="878" ht="15.75" customHeight="1">
      <c r="A878" s="107"/>
    </row>
    <row r="879" ht="15.75" customHeight="1">
      <c r="A879" s="107"/>
    </row>
    <row r="880" ht="15.75" customHeight="1">
      <c r="A880" s="107"/>
    </row>
    <row r="881" ht="15.75" customHeight="1">
      <c r="A881" s="107"/>
    </row>
    <row r="882" ht="15.75" customHeight="1">
      <c r="A882" s="107"/>
    </row>
    <row r="883" ht="15.75" customHeight="1">
      <c r="A883" s="107"/>
    </row>
    <row r="884" ht="15.75" customHeight="1">
      <c r="A884" s="107"/>
    </row>
    <row r="885" ht="15.75" customHeight="1">
      <c r="A885" s="107"/>
    </row>
    <row r="886" ht="15.75" customHeight="1">
      <c r="A886" s="107"/>
    </row>
    <row r="887" ht="15.75" customHeight="1">
      <c r="A887" s="107"/>
    </row>
    <row r="888" ht="15.75" customHeight="1">
      <c r="A888" s="107"/>
    </row>
    <row r="889" ht="15.75" customHeight="1">
      <c r="A889" s="107"/>
    </row>
    <row r="890" ht="15.75" customHeight="1">
      <c r="A890" s="107"/>
    </row>
    <row r="891" ht="15.75" customHeight="1">
      <c r="A891" s="107"/>
    </row>
    <row r="892" ht="15.75" customHeight="1">
      <c r="A892" s="107"/>
    </row>
    <row r="893" ht="15.75" customHeight="1">
      <c r="A893" s="107"/>
    </row>
    <row r="894" ht="15.75" customHeight="1">
      <c r="A894" s="107"/>
    </row>
    <row r="895" ht="15.75" customHeight="1">
      <c r="A895" s="107"/>
    </row>
    <row r="896" ht="15.75" customHeight="1">
      <c r="A896" s="107"/>
    </row>
    <row r="897" ht="15.75" customHeight="1">
      <c r="A897" s="107"/>
    </row>
    <row r="898" ht="15.75" customHeight="1">
      <c r="A898" s="107"/>
    </row>
    <row r="899" ht="15.75" customHeight="1">
      <c r="A899" s="107"/>
    </row>
    <row r="900" ht="15.75" customHeight="1">
      <c r="A900" s="107"/>
    </row>
    <row r="901" ht="15.75" customHeight="1">
      <c r="A901" s="107"/>
    </row>
    <row r="902" ht="15.75" customHeight="1">
      <c r="A902" s="107"/>
    </row>
    <row r="903" ht="15.75" customHeight="1">
      <c r="A903" s="107"/>
    </row>
    <row r="904" ht="15.75" customHeight="1">
      <c r="A904" s="107"/>
    </row>
    <row r="905" ht="15.75" customHeight="1">
      <c r="A905" s="107"/>
    </row>
    <row r="906" ht="15.75" customHeight="1">
      <c r="A906" s="107"/>
    </row>
    <row r="907" ht="15.75" customHeight="1">
      <c r="A907" s="107"/>
    </row>
    <row r="908" ht="15.75" customHeight="1">
      <c r="A908" s="107"/>
    </row>
    <row r="909" ht="15.75" customHeight="1">
      <c r="A909" s="107"/>
    </row>
    <row r="910" ht="15.75" customHeight="1">
      <c r="A910" s="107"/>
    </row>
    <row r="911" ht="15.75" customHeight="1">
      <c r="A911" s="107"/>
    </row>
    <row r="912" ht="15.75" customHeight="1">
      <c r="A912" s="107"/>
    </row>
    <row r="913" ht="15.75" customHeight="1">
      <c r="A913" s="107"/>
    </row>
    <row r="914" ht="15.75" customHeight="1">
      <c r="A914" s="107"/>
    </row>
    <row r="915" ht="15.75" customHeight="1">
      <c r="A915" s="107"/>
    </row>
    <row r="916" ht="15.75" customHeight="1">
      <c r="A916" s="107"/>
    </row>
    <row r="917" ht="15.75" customHeight="1">
      <c r="A917" s="107"/>
    </row>
    <row r="918" ht="15.75" customHeight="1">
      <c r="A918" s="107"/>
    </row>
    <row r="919" ht="15.75" customHeight="1">
      <c r="A919" s="107"/>
    </row>
    <row r="920" ht="15.75" customHeight="1">
      <c r="A920" s="107"/>
    </row>
    <row r="921" ht="15.75" customHeight="1">
      <c r="A921" s="107"/>
    </row>
    <row r="922" ht="15.75" customHeight="1">
      <c r="A922" s="107"/>
    </row>
    <row r="923" ht="15.75" customHeight="1">
      <c r="A923" s="107"/>
    </row>
    <row r="924" ht="15.75" customHeight="1">
      <c r="A924" s="107"/>
    </row>
    <row r="925" ht="15.75" customHeight="1">
      <c r="A925" s="107"/>
    </row>
    <row r="926" ht="15.75" customHeight="1">
      <c r="A926" s="107"/>
    </row>
    <row r="927" ht="15.75" customHeight="1">
      <c r="A927" s="107"/>
    </row>
    <row r="928" ht="15.75" customHeight="1">
      <c r="A928" s="107"/>
    </row>
    <row r="929" ht="15.75" customHeight="1">
      <c r="A929" s="107"/>
    </row>
    <row r="930" ht="15.75" customHeight="1">
      <c r="A930" s="107"/>
    </row>
    <row r="931" ht="15.75" customHeight="1">
      <c r="A931" s="107"/>
    </row>
    <row r="932" ht="15.75" customHeight="1">
      <c r="A932" s="107"/>
    </row>
    <row r="933" ht="15.75" customHeight="1">
      <c r="A933" s="107"/>
    </row>
    <row r="934" ht="15.75" customHeight="1">
      <c r="A934" s="107"/>
    </row>
    <row r="935" ht="15.75" customHeight="1">
      <c r="A935" s="107"/>
    </row>
    <row r="936" ht="15.75" customHeight="1">
      <c r="A936" s="107"/>
    </row>
    <row r="937" ht="15.75" customHeight="1">
      <c r="A937" s="107"/>
    </row>
    <row r="938" ht="15.75" customHeight="1">
      <c r="A938" s="107"/>
    </row>
    <row r="939" ht="15.75" customHeight="1">
      <c r="A939" s="107"/>
    </row>
    <row r="940" ht="15.75" customHeight="1">
      <c r="A940" s="107"/>
    </row>
    <row r="941" ht="15.75" customHeight="1">
      <c r="A941" s="107"/>
    </row>
    <row r="942" ht="15.75" customHeight="1">
      <c r="A942" s="107"/>
    </row>
    <row r="943" ht="15.75" customHeight="1">
      <c r="A943" s="107"/>
    </row>
    <row r="944" ht="15.75" customHeight="1">
      <c r="A944" s="107"/>
    </row>
    <row r="945" ht="15.75" customHeight="1">
      <c r="A945" s="107"/>
    </row>
    <row r="946" ht="15.75" customHeight="1">
      <c r="A946" s="107"/>
    </row>
    <row r="947" ht="15.75" customHeight="1">
      <c r="A947" s="107"/>
    </row>
    <row r="948" ht="15.75" customHeight="1">
      <c r="A948" s="107"/>
    </row>
    <row r="949" ht="15.75" customHeight="1">
      <c r="A949" s="107"/>
    </row>
    <row r="950" ht="15.75" customHeight="1">
      <c r="A950" s="107"/>
    </row>
    <row r="951" ht="15.75" customHeight="1">
      <c r="A951" s="107"/>
    </row>
    <row r="952" ht="15.75" customHeight="1">
      <c r="A952" s="107"/>
    </row>
    <row r="953" ht="15.75" customHeight="1">
      <c r="A953" s="107"/>
    </row>
    <row r="954" ht="15.75" customHeight="1">
      <c r="A954" s="107"/>
    </row>
    <row r="955" ht="15.75" customHeight="1">
      <c r="A955" s="107"/>
    </row>
    <row r="956" ht="15.75" customHeight="1">
      <c r="A956" s="107"/>
    </row>
    <row r="957" ht="15.75" customHeight="1">
      <c r="A957" s="107"/>
    </row>
    <row r="958" ht="15.75" customHeight="1">
      <c r="A958" s="107"/>
    </row>
    <row r="959" ht="15.75" customHeight="1">
      <c r="A959" s="107"/>
    </row>
    <row r="960" ht="15.75" customHeight="1">
      <c r="A960" s="107"/>
    </row>
    <row r="961" ht="15.75" customHeight="1">
      <c r="A961" s="107"/>
    </row>
    <row r="962" ht="15.75" customHeight="1">
      <c r="A962" s="107"/>
    </row>
    <row r="963" ht="15.75" customHeight="1">
      <c r="A963" s="107"/>
    </row>
    <row r="964" ht="15.75" customHeight="1">
      <c r="A964" s="107"/>
    </row>
    <row r="965" ht="15.75" customHeight="1">
      <c r="A965" s="107"/>
    </row>
    <row r="966" ht="15.75" customHeight="1">
      <c r="A966" s="107"/>
    </row>
    <row r="967" ht="15.75" customHeight="1">
      <c r="A967" s="107"/>
    </row>
    <row r="968" ht="15.75" customHeight="1">
      <c r="A968" s="107"/>
    </row>
    <row r="969" ht="15.75" customHeight="1">
      <c r="A969" s="107"/>
    </row>
    <row r="970" ht="15.75" customHeight="1">
      <c r="A970" s="107"/>
    </row>
    <row r="971" ht="15.75" customHeight="1">
      <c r="A971" s="107"/>
    </row>
    <row r="972" ht="15.75" customHeight="1">
      <c r="A972" s="107"/>
    </row>
    <row r="973" ht="15.75" customHeight="1">
      <c r="A973" s="107"/>
    </row>
    <row r="974" ht="15.75" customHeight="1">
      <c r="A974" s="107"/>
    </row>
    <row r="975" ht="15.75" customHeight="1">
      <c r="A975" s="107"/>
    </row>
    <row r="976" ht="15.75" customHeight="1">
      <c r="A976" s="107"/>
    </row>
    <row r="977" ht="15.75" customHeight="1">
      <c r="A977" s="107"/>
    </row>
    <row r="978" ht="15.75" customHeight="1">
      <c r="A978" s="107"/>
    </row>
    <row r="979" ht="15.75" customHeight="1">
      <c r="A979" s="107"/>
    </row>
    <row r="980" ht="15.75" customHeight="1">
      <c r="A980" s="107"/>
    </row>
    <row r="981" ht="15.75" customHeight="1">
      <c r="A981" s="107"/>
    </row>
    <row r="982" ht="15.75" customHeight="1">
      <c r="A982" s="107"/>
    </row>
    <row r="983" ht="15.75" customHeight="1">
      <c r="A983" s="107"/>
    </row>
    <row r="984" ht="15.75" customHeight="1">
      <c r="A984" s="107"/>
    </row>
    <row r="985" ht="15.75" customHeight="1">
      <c r="A985" s="107"/>
    </row>
    <row r="986" ht="15.75" customHeight="1">
      <c r="A986" s="107"/>
    </row>
    <row r="987" ht="15.75" customHeight="1">
      <c r="A987" s="107"/>
    </row>
    <row r="988" ht="15.75" customHeight="1">
      <c r="A988" s="107"/>
    </row>
    <row r="989" ht="15.75" customHeight="1">
      <c r="A989" s="107"/>
    </row>
    <row r="990" ht="15.75" customHeight="1">
      <c r="A990" s="107"/>
    </row>
    <row r="991" ht="15.75" customHeight="1">
      <c r="A991" s="107"/>
    </row>
    <row r="992" ht="15.75" customHeight="1">
      <c r="A992" s="107"/>
    </row>
    <row r="993" ht="15.75" customHeight="1">
      <c r="A993" s="107"/>
    </row>
    <row r="994" ht="15.75" customHeight="1">
      <c r="A994" s="107"/>
    </row>
    <row r="995" ht="15.75" customHeight="1">
      <c r="A995" s="107"/>
    </row>
    <row r="996" ht="15.75" customHeight="1">
      <c r="A996" s="107"/>
    </row>
    <row r="997" ht="15.75" customHeight="1">
      <c r="A997" s="107"/>
    </row>
    <row r="998" ht="15.75" customHeight="1">
      <c r="A998" s="107"/>
    </row>
    <row r="999" ht="15.75" customHeight="1">
      <c r="A999" s="107"/>
    </row>
    <row r="1000" ht="15.75" customHeight="1">
      <c r="A1000" s="107"/>
    </row>
  </sheetData>
  <mergeCells count="12"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71"/>
    <col customWidth="1" min="2" max="2" width="12.86"/>
    <col customWidth="1" min="3" max="4" width="10.43"/>
    <col customWidth="1" min="5" max="8" width="8.71"/>
    <col customWidth="1" min="9" max="9" width="12.86"/>
    <col customWidth="1" min="10" max="10" width="11.0"/>
    <col customWidth="1" min="11" max="11" width="10.57"/>
    <col customWidth="1" min="12" max="13" width="8.71"/>
    <col customWidth="1" min="14" max="14" width="14.43"/>
    <col customWidth="1" min="15" max="18" width="8.71"/>
    <col customWidth="1" min="19" max="19" width="12.86"/>
    <col customWidth="1" min="20" max="21" width="8.71"/>
    <col customWidth="1" min="22" max="23" width="13.29"/>
    <col customWidth="1" min="24" max="24" width="11.86"/>
    <col customWidth="1" min="25" max="25" width="12.43"/>
    <col customWidth="1" min="26" max="26" width="8.29"/>
    <col customWidth="1" min="27" max="27" width="8.71"/>
    <col customWidth="1" min="28" max="28" width="12.29"/>
  </cols>
  <sheetData>
    <row r="1" ht="50.25" customHeight="1">
      <c r="A1" s="2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13</v>
      </c>
      <c r="K1" s="4" t="s">
        <v>14</v>
      </c>
      <c r="L1" s="4" t="s">
        <v>15</v>
      </c>
      <c r="M1" s="7" t="s">
        <v>16</v>
      </c>
      <c r="N1" s="7" t="s">
        <v>17</v>
      </c>
      <c r="O1" s="7" t="s">
        <v>19</v>
      </c>
      <c r="P1" s="7" t="s">
        <v>20</v>
      </c>
      <c r="Q1" s="7" t="s">
        <v>22</v>
      </c>
      <c r="R1" s="2" t="s">
        <v>23</v>
      </c>
      <c r="S1" s="2" t="s">
        <v>24</v>
      </c>
      <c r="T1" s="2" t="s">
        <v>25</v>
      </c>
      <c r="U1" s="8" t="s">
        <v>27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35</v>
      </c>
      <c r="AB1" s="8" t="s">
        <v>35</v>
      </c>
    </row>
    <row r="2">
      <c r="A2" s="13" t="s">
        <v>36</v>
      </c>
      <c r="B2" s="15">
        <f>SUMIFS('Campaign - Dump'!$Q:$Q,'Campaign - Dump'!$A:$A,Monthly!$A2)</f>
        <v>163075.05</v>
      </c>
      <c r="C2" s="16">
        <f>SUMIFS('Campaign - Dump'!$N:$N,'Campaign - Dump'!$A:$A,Monthly!$A2)</f>
        <v>4056219</v>
      </c>
      <c r="D2" s="17">
        <f t="shared" ref="D2:D19" si="2">IFERROR(E2/C2,0)</f>
        <v>0.003194847221</v>
      </c>
      <c r="E2" s="16">
        <f>SUMIFS('Campaign - Dump'!$O:$O,'Campaign - Dump'!$A:$A,Monthly!$A2)</f>
        <v>12959</v>
      </c>
      <c r="F2" s="20">
        <f t="shared" ref="F2:F19" si="3">IFERROR(B2/E2,0)</f>
        <v>12.58392237</v>
      </c>
      <c r="G2" s="16">
        <f>SUMIFS('Campaign - Dump'!$T:$T,'Campaign - Dump'!$A:$A,Monthly!$A2)</f>
        <v>49</v>
      </c>
      <c r="H2" s="17">
        <f t="shared" ref="H2:H19" si="4">IFERROR(G2/E2,0)</f>
        <v>0.003781155953</v>
      </c>
      <c r="I2" s="15">
        <f>SUMIFS('Campaign - Dump'!$U:$U,'Campaign - Dump'!$A:$A,Monthly!$A2)</f>
        <v>843788.92</v>
      </c>
      <c r="J2" s="17">
        <f t="shared" ref="J2:J19" si="5">IFERROR(B2/I2,0)</f>
        <v>0.1932652185</v>
      </c>
      <c r="K2" s="16">
        <f t="shared" ref="K2:K19" si="6">IFERROR(I2/G2,0)</f>
        <v>17220.18204</v>
      </c>
      <c r="L2" s="20">
        <f t="shared" ref="L2:L19" si="7">IFERROR(I2/B2,0)</f>
        <v>5.17423677</v>
      </c>
      <c r="M2" s="3">
        <f>SUMIFS('Business - Dump'!$W:$W,'Business - Dump'!$A:$A,Monthly!$A2)</f>
        <v>107</v>
      </c>
      <c r="N2" s="15">
        <f>SUMIFS('Business - Dump'!$U:$U,'Business - Dump'!$A:$A,Monthly!$A2)/1.18</f>
        <v>1838959.322</v>
      </c>
      <c r="O2" s="16">
        <f t="shared" ref="O2:O19" si="8">IFERROR(N2/M2,0)</f>
        <v>17186.53572</v>
      </c>
      <c r="P2" s="17">
        <f t="shared" ref="P2:P19" si="9">IFERROR(B2/N2,0)</f>
        <v>0.08867789953</v>
      </c>
      <c r="Q2" s="20">
        <f t="shared" ref="Q2:Q19" si="10">IFERROR(N2/B2,0)</f>
        <v>11.27676688</v>
      </c>
      <c r="R2" s="3">
        <f t="shared" ref="R2:R19" si="11">IFERROR(M2-G2,0)</f>
        <v>58</v>
      </c>
      <c r="S2" s="15">
        <f t="shared" ref="S2:S19" si="12">IFERROR(N2-I2,0)</f>
        <v>995170.402</v>
      </c>
      <c r="T2" s="16">
        <f t="shared" ref="T2:T19" si="13">IFERROR(S2/R2,0)</f>
        <v>17158.11038</v>
      </c>
      <c r="U2" s="16">
        <f>SUMIFS('Business - Dump'!$G:$G,'Business - Dump'!$A:$A,Monthly!$A2)</f>
        <v>24301</v>
      </c>
      <c r="V2" s="23">
        <f t="shared" ref="V2:V19" si="14">IFERROR(M2/U2,0)</f>
        <v>0.004403110983</v>
      </c>
      <c r="W2" s="23">
        <f>AVERAGEIFS('Business - Dump'!$O:$O,'Business - Dump'!$A:$A,Monthly!$A2)</f>
        <v>0.8380608696</v>
      </c>
      <c r="X2" s="17">
        <f t="shared" ref="X2:X20" si="15">R2/G2</f>
        <v>1.183673469</v>
      </c>
      <c r="Y2" s="17">
        <f t="shared" ref="Y2:Z2" si="1">IFERROR(R2/M2,0)</f>
        <v>0.5420560748</v>
      </c>
      <c r="Z2" s="17">
        <f t="shared" si="1"/>
        <v>0.5411595516</v>
      </c>
      <c r="AA2" s="16">
        <f>SUMIFS('Business - Dump'!$R:$R,'Business - Dump'!$A:$A,Monthly!$A2)</f>
        <v>8</v>
      </c>
      <c r="AB2" s="15">
        <f>SUMIFS('Business - Dump'!$V:$V,'Business - Dump'!$A:$A,Monthly!$A2)</f>
        <v>195598</v>
      </c>
    </row>
    <row r="3">
      <c r="A3" s="3" t="s">
        <v>45</v>
      </c>
      <c r="B3" s="15">
        <f>SUMIFS('Campaign - Dump'!$Q:$Q,'Campaign - Dump'!$A:$A,Monthly!$A3)</f>
        <v>260856.05</v>
      </c>
      <c r="C3" s="16">
        <f>SUMIFS('Campaign - Dump'!$N:$N,'Campaign - Dump'!$A:$A,Monthly!$A3)</f>
        <v>4473747</v>
      </c>
      <c r="D3" s="17">
        <f t="shared" si="2"/>
        <v>0.003818722874</v>
      </c>
      <c r="E3" s="16">
        <f>SUMIFS('Campaign - Dump'!$O:$O,'Campaign - Dump'!$A:$A,Monthly!$A3)</f>
        <v>17084</v>
      </c>
      <c r="F3" s="20">
        <f t="shared" si="3"/>
        <v>15.26902657</v>
      </c>
      <c r="G3" s="16">
        <f>SUMIFS('Campaign - Dump'!$T:$T,'Campaign - Dump'!$A:$A,Monthly!$A3)</f>
        <v>140</v>
      </c>
      <c r="H3" s="17">
        <f t="shared" si="4"/>
        <v>0.008194802154</v>
      </c>
      <c r="I3" s="15">
        <f>SUMIFS('Campaign - Dump'!$U:$U,'Campaign - Dump'!$A:$A,Monthly!$A3)</f>
        <v>2470927.7</v>
      </c>
      <c r="J3" s="17">
        <f t="shared" si="5"/>
        <v>0.1055700861</v>
      </c>
      <c r="K3" s="16">
        <f t="shared" si="6"/>
        <v>17649.48357</v>
      </c>
      <c r="L3" s="20">
        <f t="shared" si="7"/>
        <v>9.472380265</v>
      </c>
      <c r="M3" s="3">
        <f>SUMIFS('Business - Dump'!$W:$W,'Business - Dump'!$A:$A,Monthly!$A3)</f>
        <v>214</v>
      </c>
      <c r="N3" s="15">
        <f>SUMIFS('Business - Dump'!$U:$U,'Business - Dump'!$A:$A,Monthly!$A3)/1.18</f>
        <v>3610176.271</v>
      </c>
      <c r="O3" s="16">
        <f t="shared" si="8"/>
        <v>16869.98258</v>
      </c>
      <c r="P3" s="17">
        <f t="shared" si="9"/>
        <v>0.07225576548</v>
      </c>
      <c r="Q3" s="20">
        <f t="shared" si="10"/>
        <v>13.83972605</v>
      </c>
      <c r="R3" s="3">
        <f t="shared" si="11"/>
        <v>74</v>
      </c>
      <c r="S3" s="15">
        <f t="shared" si="12"/>
        <v>1139248.571</v>
      </c>
      <c r="T3" s="16">
        <f t="shared" si="13"/>
        <v>15395.25096</v>
      </c>
      <c r="U3" s="16">
        <f>SUMIFS('Business - Dump'!$G:$G,'Business - Dump'!$A:$A,Monthly!$A3)</f>
        <v>31525</v>
      </c>
      <c r="V3" s="23">
        <f t="shared" si="14"/>
        <v>0.006788263283</v>
      </c>
      <c r="W3" s="23">
        <f>AVERAGEIFS('Business - Dump'!$O:$O,'Business - Dump'!$A:$A,Monthly!$A3)</f>
        <v>0.872525</v>
      </c>
      <c r="X3" s="17">
        <f t="shared" si="15"/>
        <v>0.5285714286</v>
      </c>
      <c r="Y3" s="17">
        <f t="shared" ref="Y3:Z3" si="16">IFERROR(R3/M3,0)</f>
        <v>0.3457943925</v>
      </c>
      <c r="Z3" s="17">
        <f t="shared" si="16"/>
        <v>0.315565913</v>
      </c>
      <c r="AA3" s="16">
        <f>SUMIFS('Business - Dump'!$R:$R,'Business - Dump'!$A:$A,Monthly!$A3)</f>
        <v>18</v>
      </c>
      <c r="AB3" s="15">
        <f>SUMIFS('Business - Dump'!$V:$V,'Business - Dump'!$A:$A,Monthly!$A3)</f>
        <v>396598</v>
      </c>
    </row>
    <row r="4">
      <c r="A4" s="3" t="s">
        <v>46</v>
      </c>
      <c r="B4" s="15">
        <f>SUMIFS('Campaign - Dump'!$Q:$Q,'Campaign - Dump'!$A:$A,Monthly!$A4)</f>
        <v>269951.38</v>
      </c>
      <c r="C4" s="16">
        <f>SUMIFS('Campaign - Dump'!$N:$N,'Campaign - Dump'!$A:$A,Monthly!$A4)</f>
        <v>3237665</v>
      </c>
      <c r="D4" s="17">
        <f t="shared" si="2"/>
        <v>0.004144653632</v>
      </c>
      <c r="E4" s="16">
        <f>SUMIFS('Campaign - Dump'!$O:$O,'Campaign - Dump'!$A:$A,Monthly!$A4)</f>
        <v>13419</v>
      </c>
      <c r="F4" s="20">
        <f t="shared" si="3"/>
        <v>20.11710113</v>
      </c>
      <c r="G4" s="16">
        <f>SUMIFS('Campaign - Dump'!$T:$T,'Campaign - Dump'!$A:$A,Monthly!$A4)</f>
        <v>82</v>
      </c>
      <c r="H4" s="17">
        <f t="shared" si="4"/>
        <v>0.006110738505</v>
      </c>
      <c r="I4" s="15">
        <f>SUMIFS('Campaign - Dump'!$U:$U,'Campaign - Dump'!$A:$A,Monthly!$A4)</f>
        <v>1526284.98</v>
      </c>
      <c r="J4" s="17">
        <f t="shared" si="5"/>
        <v>0.1768682674</v>
      </c>
      <c r="K4" s="16">
        <f t="shared" si="6"/>
        <v>18613.23146</v>
      </c>
      <c r="L4" s="20">
        <f t="shared" si="7"/>
        <v>5.653925459</v>
      </c>
      <c r="M4" s="3">
        <f>SUMIFS('Business - Dump'!$W:$W,'Business - Dump'!$A:$A,Monthly!$A4)</f>
        <v>156</v>
      </c>
      <c r="N4" s="15">
        <f>SUMIFS('Business - Dump'!$U:$U,'Business - Dump'!$A:$A,Monthly!$A4)/1.18</f>
        <v>2496815.508</v>
      </c>
      <c r="O4" s="16">
        <f t="shared" si="8"/>
        <v>16005.22762</v>
      </c>
      <c r="P4" s="17">
        <f t="shared" si="9"/>
        <v>0.1081182727</v>
      </c>
      <c r="Q4" s="20">
        <f t="shared" si="10"/>
        <v>9.249130375</v>
      </c>
      <c r="R4" s="3">
        <f t="shared" si="11"/>
        <v>74</v>
      </c>
      <c r="S4" s="15">
        <f t="shared" si="12"/>
        <v>970530.5285</v>
      </c>
      <c r="T4" s="16">
        <f t="shared" si="13"/>
        <v>13115.27741</v>
      </c>
      <c r="U4" s="16">
        <f>SUMIFS('Business - Dump'!$G:$G,'Business - Dump'!$A:$A,Monthly!$A4)</f>
        <v>26612</v>
      </c>
      <c r="V4" s="23">
        <f t="shared" si="14"/>
        <v>0.005862017135</v>
      </c>
      <c r="W4" s="23">
        <f>AVERAGEIFS('Business - Dump'!$O:$O,'Business - Dump'!$A:$A,Monthly!$A4)</f>
        <v>0.8818</v>
      </c>
      <c r="X4" s="17">
        <f t="shared" si="15"/>
        <v>0.9024390244</v>
      </c>
      <c r="Y4" s="17">
        <f t="shared" ref="Y4:Z4" si="17">IFERROR(R4/M4,0)</f>
        <v>0.4743589744</v>
      </c>
      <c r="Z4" s="17">
        <f t="shared" si="17"/>
        <v>0.3887073455</v>
      </c>
      <c r="AA4" s="16">
        <f>SUMIFS('Business - Dump'!$R:$R,'Business - Dump'!$A:$A,Monthly!$A4)</f>
        <v>16</v>
      </c>
      <c r="AB4" s="15">
        <f>SUMIFS('Business - Dump'!$V:$V,'Business - Dump'!$A:$A,Monthly!$A4)</f>
        <v>265894.4</v>
      </c>
    </row>
    <row r="5">
      <c r="A5" s="3" t="s">
        <v>47</v>
      </c>
      <c r="B5" s="15">
        <f>SUMIFS('Campaign - Dump'!$Q:$Q,'Campaign - Dump'!$A:$A,Monthly!$A5)</f>
        <v>363205.24</v>
      </c>
      <c r="C5" s="16">
        <f>SUMIFS('Campaign - Dump'!$N:$N,'Campaign - Dump'!$A:$A,Monthly!$A5)</f>
        <v>3415714</v>
      </c>
      <c r="D5" s="17">
        <f t="shared" si="2"/>
        <v>0.004677499346</v>
      </c>
      <c r="E5" s="16">
        <f>SUMIFS('Campaign - Dump'!$O:$O,'Campaign - Dump'!$A:$A,Monthly!$A5)</f>
        <v>15977</v>
      </c>
      <c r="F5" s="20">
        <f t="shared" si="3"/>
        <v>22.7330062</v>
      </c>
      <c r="G5" s="16">
        <f>SUMIFS('Campaign - Dump'!$T:$T,'Campaign - Dump'!$A:$A,Monthly!$A5)</f>
        <v>123</v>
      </c>
      <c r="H5" s="17">
        <f t="shared" si="4"/>
        <v>0.00769856669</v>
      </c>
      <c r="I5" s="15">
        <f>SUMIFS('Campaign - Dump'!$U:$U,'Campaign - Dump'!$A:$A,Monthly!$A5)</f>
        <v>2203105.72</v>
      </c>
      <c r="J5" s="17">
        <f t="shared" si="5"/>
        <v>0.1648605588</v>
      </c>
      <c r="K5" s="16">
        <f t="shared" si="6"/>
        <v>17911.42862</v>
      </c>
      <c r="L5" s="20">
        <f t="shared" si="7"/>
        <v>6.065732201</v>
      </c>
      <c r="M5" s="3">
        <f>SUMIFS('Business - Dump'!$W:$W,'Business - Dump'!$A:$A,Monthly!$A5)</f>
        <v>228</v>
      </c>
      <c r="N5" s="15">
        <f>SUMIFS('Business - Dump'!$U:$U,'Business - Dump'!$A:$A,Monthly!$A5)/1.18</f>
        <v>3525611.627</v>
      </c>
      <c r="O5" s="16">
        <f t="shared" si="8"/>
        <v>15463.20889</v>
      </c>
      <c r="P5" s="17">
        <f t="shared" si="9"/>
        <v>0.1030190726</v>
      </c>
      <c r="Q5" s="20">
        <f t="shared" si="10"/>
        <v>9.706940426</v>
      </c>
      <c r="R5" s="3">
        <f t="shared" si="11"/>
        <v>105</v>
      </c>
      <c r="S5" s="15">
        <f t="shared" si="12"/>
        <v>1322505.907</v>
      </c>
      <c r="T5" s="16">
        <f t="shared" si="13"/>
        <v>12595.29435</v>
      </c>
      <c r="U5" s="16">
        <f>SUMIFS('Business - Dump'!$G:$G,'Business - Dump'!$A:$A,Monthly!$A5)</f>
        <v>31719</v>
      </c>
      <c r="V5" s="23">
        <f t="shared" si="14"/>
        <v>0.007188120685</v>
      </c>
      <c r="W5" s="23">
        <f>AVERAGEIFS('Business - Dump'!$O:$O,'Business - Dump'!$A:$A,Monthly!$A5)</f>
        <v>0.8821945946</v>
      </c>
      <c r="X5" s="17">
        <f t="shared" si="15"/>
        <v>0.8536585366</v>
      </c>
      <c r="Y5" s="17">
        <f t="shared" ref="Y5:Z5" si="18">IFERROR(R5/M5,0)</f>
        <v>0.4605263158</v>
      </c>
      <c r="Z5" s="17">
        <f t="shared" si="18"/>
        <v>0.3751138943</v>
      </c>
      <c r="AA5" s="16">
        <f>SUMIFS('Business - Dump'!$R:$R,'Business - Dump'!$A:$A,Monthly!$A5)</f>
        <v>17</v>
      </c>
      <c r="AB5" s="15">
        <f>SUMIFS('Business - Dump'!$V:$V,'Business - Dump'!$A:$A,Monthly!$A5)</f>
        <v>369473.29</v>
      </c>
    </row>
    <row r="6">
      <c r="A6" s="3" t="s">
        <v>48</v>
      </c>
      <c r="B6" s="15">
        <f>SUMIFS('Campaign - Dump'!$Q:$Q,'Campaign - Dump'!$A:$A,Monthly!$A6)</f>
        <v>554591.97</v>
      </c>
      <c r="C6" s="16">
        <f>SUMIFS('Campaign - Dump'!$N:$N,'Campaign - Dump'!$A:$A,Monthly!$A6)</f>
        <v>5184404</v>
      </c>
      <c r="D6" s="17">
        <f t="shared" si="2"/>
        <v>0.004716260538</v>
      </c>
      <c r="E6" s="16">
        <f>SUMIFS('Campaign - Dump'!$O:$O,'Campaign - Dump'!$A:$A,Monthly!$A6)</f>
        <v>24451</v>
      </c>
      <c r="F6" s="20">
        <f t="shared" si="3"/>
        <v>22.68177048</v>
      </c>
      <c r="G6" s="16">
        <f>SUMIFS('Campaign - Dump'!$T:$T,'Campaign - Dump'!$A:$A,Monthly!$A6)</f>
        <v>196</v>
      </c>
      <c r="H6" s="17">
        <f t="shared" si="4"/>
        <v>0.008016032064</v>
      </c>
      <c r="I6" s="15">
        <f>SUMIFS('Campaign - Dump'!$U:$U,'Campaign - Dump'!$A:$A,Monthly!$A6)</f>
        <v>3582316.38</v>
      </c>
      <c r="J6" s="17">
        <f t="shared" si="5"/>
        <v>0.1548137884</v>
      </c>
      <c r="K6" s="16">
        <f t="shared" si="6"/>
        <v>18277.12439</v>
      </c>
      <c r="L6" s="20">
        <f t="shared" si="7"/>
        <v>6.459372969</v>
      </c>
      <c r="M6" s="3">
        <f>SUMIFS('Business - Dump'!$W:$W,'Business - Dump'!$A:$A,Monthly!$A6)</f>
        <v>307</v>
      </c>
      <c r="N6" s="15">
        <f>SUMIFS('Business - Dump'!$U:$U,'Business - Dump'!$A:$A,Monthly!$A6)/1.18</f>
        <v>5105004</v>
      </c>
      <c r="O6" s="16">
        <f t="shared" si="8"/>
        <v>16628.67752</v>
      </c>
      <c r="P6" s="17">
        <f t="shared" si="9"/>
        <v>0.1086369315</v>
      </c>
      <c r="Q6" s="20">
        <f t="shared" si="10"/>
        <v>9.204972802</v>
      </c>
      <c r="R6" s="3">
        <f t="shared" si="11"/>
        <v>111</v>
      </c>
      <c r="S6" s="15">
        <f t="shared" si="12"/>
        <v>1522687.62</v>
      </c>
      <c r="T6" s="16">
        <f t="shared" si="13"/>
        <v>13717.90649</v>
      </c>
      <c r="U6" s="16">
        <f>SUMIFS('Business - Dump'!$G:$G,'Business - Dump'!$A:$A,Monthly!$A6)</f>
        <v>44385</v>
      </c>
      <c r="V6" s="23">
        <f t="shared" si="14"/>
        <v>0.006916751155</v>
      </c>
      <c r="W6" s="23">
        <f>AVERAGEIFS('Business - Dump'!$O:$O,'Business - Dump'!$A:$A,Monthly!$A6)</f>
        <v>0.8942372881</v>
      </c>
      <c r="X6" s="17">
        <f t="shared" si="15"/>
        <v>0.5663265306</v>
      </c>
      <c r="Y6" s="17">
        <f t="shared" ref="Y6:Z6" si="19">IFERROR(R6/M6,0)</f>
        <v>0.3615635179</v>
      </c>
      <c r="Z6" s="17">
        <f t="shared" si="19"/>
        <v>0.298273541</v>
      </c>
      <c r="AA6" s="16">
        <f>SUMIFS('Business - Dump'!$R:$R,'Business - Dump'!$A:$A,Monthly!$A6)</f>
        <v>44</v>
      </c>
      <c r="AB6" s="15">
        <f>SUMIFS('Business - Dump'!$V:$V,'Business - Dump'!$A:$A,Monthly!$A6)</f>
        <v>750380.73</v>
      </c>
    </row>
    <row r="7">
      <c r="A7" s="3" t="s">
        <v>50</v>
      </c>
      <c r="B7" s="15">
        <f>SUMIFS('Campaign - Dump'!$Q:$Q,'Campaign - Dump'!$A:$A,Monthly!$A7)</f>
        <v>636539.97</v>
      </c>
      <c r="C7" s="16">
        <f>SUMIFS('Campaign - Dump'!$N:$N,'Campaign - Dump'!$A:$A,Monthly!$A7)</f>
        <v>5671901</v>
      </c>
      <c r="D7" s="17">
        <f t="shared" si="2"/>
        <v>0.004456706843</v>
      </c>
      <c r="E7" s="16">
        <f>SUMIFS('Campaign - Dump'!$O:$O,'Campaign - Dump'!$A:$A,Monthly!$A7)</f>
        <v>25278</v>
      </c>
      <c r="F7" s="20">
        <f t="shared" si="3"/>
        <v>25.18157963</v>
      </c>
      <c r="G7" s="16">
        <f>SUMIFS('Campaign - Dump'!$T:$T,'Campaign - Dump'!$A:$A,Monthly!$A7)</f>
        <v>192</v>
      </c>
      <c r="H7" s="17">
        <f t="shared" si="4"/>
        <v>0.007595537622</v>
      </c>
      <c r="I7" s="15">
        <f>SUMIFS('Campaign - Dump'!$U:$U,'Campaign - Dump'!$A:$A,Monthly!$A7)</f>
        <v>3539615.96</v>
      </c>
      <c r="J7" s="17">
        <f t="shared" si="5"/>
        <v>0.1798330602</v>
      </c>
      <c r="K7" s="16">
        <f t="shared" si="6"/>
        <v>18435.49979</v>
      </c>
      <c r="L7" s="20">
        <f t="shared" si="7"/>
        <v>5.560712802</v>
      </c>
      <c r="M7" s="3">
        <f>SUMIFS('Business - Dump'!$W:$W,'Business - Dump'!$A:$A,Monthly!$A7)</f>
        <v>280</v>
      </c>
      <c r="N7" s="15">
        <f>SUMIFS('Business - Dump'!$U:$U,'Business - Dump'!$A:$A,Monthly!$A7)/1.18</f>
        <v>4575649.847</v>
      </c>
      <c r="O7" s="16">
        <f t="shared" si="8"/>
        <v>16341.6066</v>
      </c>
      <c r="P7" s="17">
        <f t="shared" si="9"/>
        <v>0.1391146594</v>
      </c>
      <c r="Q7" s="20">
        <f t="shared" si="10"/>
        <v>7.188315052</v>
      </c>
      <c r="R7" s="3">
        <f t="shared" si="11"/>
        <v>88</v>
      </c>
      <c r="S7" s="15">
        <f t="shared" si="12"/>
        <v>1036033.887</v>
      </c>
      <c r="T7" s="16">
        <f t="shared" si="13"/>
        <v>11773.11236</v>
      </c>
      <c r="U7" s="16">
        <f>SUMIFS('Business - Dump'!$G:$G,'Business - Dump'!$A:$A,Monthly!$A7)</f>
        <v>46985</v>
      </c>
      <c r="V7" s="23">
        <f t="shared" si="14"/>
        <v>0.005959348728</v>
      </c>
      <c r="W7" s="23">
        <f>AVERAGEIFS('Business - Dump'!$O:$O,'Business - Dump'!$A:$A,Monthly!$A7)</f>
        <v>0.8732471698</v>
      </c>
      <c r="X7" s="17">
        <f t="shared" si="15"/>
        <v>0.4583333333</v>
      </c>
      <c r="Y7" s="17">
        <f t="shared" ref="Y7:Z7" si="20">IFERROR(R7/M7,0)</f>
        <v>0.3142857143</v>
      </c>
      <c r="Z7" s="17">
        <f t="shared" si="20"/>
        <v>0.2264233326</v>
      </c>
      <c r="AA7" s="16">
        <f>SUMIFS('Business - Dump'!$R:$R,'Business - Dump'!$A:$A,Monthly!$A7)</f>
        <v>40</v>
      </c>
      <c r="AB7" s="15">
        <f>SUMIFS('Business - Dump'!$V:$V,'Business - Dump'!$A:$A,Monthly!$A7)</f>
        <v>838656.66</v>
      </c>
    </row>
    <row r="8">
      <c r="A8" s="3" t="s">
        <v>54</v>
      </c>
      <c r="B8" s="15">
        <f>SUMIFS('Campaign - Dump'!$Q:$Q,'Campaign - Dump'!$A:$A,Monthly!$A8)</f>
        <v>915205.63</v>
      </c>
      <c r="C8" s="16">
        <f>SUMIFS('Campaign - Dump'!$N:$N,'Campaign - Dump'!$A:$A,Monthly!$A8)</f>
        <v>6851490</v>
      </c>
      <c r="D8" s="17">
        <f t="shared" si="2"/>
        <v>0.004201275927</v>
      </c>
      <c r="E8" s="16">
        <f>SUMIFS('Campaign - Dump'!$O:$O,'Campaign - Dump'!$A:$A,Monthly!$A8)</f>
        <v>28785</v>
      </c>
      <c r="F8" s="20">
        <f t="shared" si="3"/>
        <v>31.79453292</v>
      </c>
      <c r="G8" s="16">
        <f>SUMIFS('Campaign - Dump'!$T:$T,'Campaign - Dump'!$A:$A,Monthly!$A8)</f>
        <v>286</v>
      </c>
      <c r="H8" s="17">
        <f t="shared" si="4"/>
        <v>0.009935730415</v>
      </c>
      <c r="I8" s="15">
        <f>SUMIFS('Campaign - Dump'!$U:$U,'Campaign - Dump'!$A:$A,Monthly!$A8)</f>
        <v>5240245.73</v>
      </c>
      <c r="J8" s="17">
        <f t="shared" si="5"/>
        <v>0.1746493728</v>
      </c>
      <c r="K8" s="16">
        <f t="shared" si="6"/>
        <v>18322.53752</v>
      </c>
      <c r="L8" s="20">
        <f t="shared" si="7"/>
        <v>5.725757751</v>
      </c>
      <c r="M8" s="3">
        <f>SUMIFS('Business - Dump'!$W:$W,'Business - Dump'!$A:$A,Monthly!$A8)</f>
        <v>390</v>
      </c>
      <c r="N8" s="15">
        <f>SUMIFS('Business - Dump'!$U:$U,'Business - Dump'!$A:$A,Monthly!$A8)/1.18</f>
        <v>6681635.059</v>
      </c>
      <c r="O8" s="16">
        <f t="shared" si="8"/>
        <v>17132.39759</v>
      </c>
      <c r="P8" s="17">
        <f t="shared" si="9"/>
        <v>0.136973304</v>
      </c>
      <c r="Q8" s="20">
        <f t="shared" si="10"/>
        <v>7.300692697</v>
      </c>
      <c r="R8" s="3">
        <f t="shared" si="11"/>
        <v>104</v>
      </c>
      <c r="S8" s="15">
        <f t="shared" si="12"/>
        <v>1441389.329</v>
      </c>
      <c r="T8" s="16">
        <f t="shared" si="13"/>
        <v>13859.51278</v>
      </c>
      <c r="U8" s="16">
        <f>SUMIFS('Business - Dump'!$G:$G,'Business - Dump'!$A:$A,Monthly!$A8)</f>
        <v>70627</v>
      </c>
      <c r="V8" s="23">
        <f t="shared" si="14"/>
        <v>0.00552196752</v>
      </c>
      <c r="W8" s="23">
        <f>AVERAGEIFS('Business - Dump'!$O:$O,'Business - Dump'!$A:$A,Monthly!$A8)</f>
        <v>0.8763142857</v>
      </c>
      <c r="X8" s="17">
        <f t="shared" si="15"/>
        <v>0.3636363636</v>
      </c>
      <c r="Y8" s="17">
        <f t="shared" ref="Y8:Z8" si="21">IFERROR(R8/M8,0)</f>
        <v>0.2666666667</v>
      </c>
      <c r="Z8" s="17">
        <f t="shared" si="21"/>
        <v>0.2157240431</v>
      </c>
      <c r="AA8" s="16">
        <f>SUMIFS('Business - Dump'!$R:$R,'Business - Dump'!$A:$A,Monthly!$A8)</f>
        <v>39</v>
      </c>
      <c r="AB8" s="15">
        <f>SUMIFS('Business - Dump'!$V:$V,'Business - Dump'!$A:$A,Monthly!$A8)</f>
        <v>881601.36</v>
      </c>
    </row>
    <row r="9">
      <c r="A9" s="3" t="s">
        <v>56</v>
      </c>
      <c r="B9" s="15">
        <f>SUMIFS('Campaign - Dump'!$Q:$Q,'Campaign - Dump'!$A:$A,Monthly!$A9)</f>
        <v>712488.04</v>
      </c>
      <c r="C9" s="16">
        <f>SUMIFS('Campaign - Dump'!$N:$N,'Campaign - Dump'!$A:$A,Monthly!$A9)</f>
        <v>7449125</v>
      </c>
      <c r="D9" s="17">
        <f t="shared" si="2"/>
        <v>0.003504572685</v>
      </c>
      <c r="E9" s="16">
        <f>SUMIFS('Campaign - Dump'!$O:$O,'Campaign - Dump'!$A:$A,Monthly!$A9)</f>
        <v>26106</v>
      </c>
      <c r="F9" s="20">
        <f t="shared" si="3"/>
        <v>27.29211829</v>
      </c>
      <c r="G9" s="16">
        <f>SUMIFS('Campaign - Dump'!$T:$T,'Campaign - Dump'!$A:$A,Monthly!$A9)</f>
        <v>220</v>
      </c>
      <c r="H9" s="17">
        <f t="shared" si="4"/>
        <v>0.008427181491</v>
      </c>
      <c r="I9" s="15">
        <f>SUMIFS('Campaign - Dump'!$U:$U,'Campaign - Dump'!$A:$A,Monthly!$A9)</f>
        <v>3790348.04</v>
      </c>
      <c r="J9" s="17">
        <f t="shared" si="5"/>
        <v>0.1879743054</v>
      </c>
      <c r="K9" s="16">
        <f t="shared" si="6"/>
        <v>17228.85473</v>
      </c>
      <c r="L9" s="20">
        <f t="shared" si="7"/>
        <v>5.319876022</v>
      </c>
      <c r="M9" s="3">
        <f>SUMIFS('Business - Dump'!$W:$W,'Business - Dump'!$A:$A,Monthly!$A9)</f>
        <v>313</v>
      </c>
      <c r="N9" s="15">
        <f>SUMIFS('Business - Dump'!$U:$U,'Business - Dump'!$A:$A,Monthly!$A9)/1.18</f>
        <v>5290499.042</v>
      </c>
      <c r="O9" s="16">
        <f t="shared" si="8"/>
        <v>16902.55285</v>
      </c>
      <c r="P9" s="17">
        <f t="shared" si="9"/>
        <v>0.1346731252</v>
      </c>
      <c r="Q9" s="20">
        <f t="shared" si="10"/>
        <v>7.425386456</v>
      </c>
      <c r="R9" s="3">
        <f t="shared" si="11"/>
        <v>93</v>
      </c>
      <c r="S9" s="15">
        <f t="shared" si="12"/>
        <v>1500151.002</v>
      </c>
      <c r="T9" s="16">
        <f t="shared" si="13"/>
        <v>16130.65594</v>
      </c>
      <c r="U9" s="16">
        <f>SUMIFS('Business - Dump'!$G:$G,'Business - Dump'!$A:$A,Monthly!$A9)</f>
        <v>61268</v>
      </c>
      <c r="V9" s="23">
        <f t="shared" si="14"/>
        <v>0.005108702749</v>
      </c>
      <c r="W9" s="23">
        <f>AVERAGEIFS('Business - Dump'!$O:$O,'Business - Dump'!$A:$A,Monthly!$A9)</f>
        <v>0.8909538462</v>
      </c>
      <c r="X9" s="17">
        <f t="shared" si="15"/>
        <v>0.4227272727</v>
      </c>
      <c r="Y9" s="17">
        <f t="shared" ref="Y9:Z9" si="22">IFERROR(R9/M9,0)</f>
        <v>0.2971246006</v>
      </c>
      <c r="Z9" s="17">
        <f t="shared" si="22"/>
        <v>0.2835556703</v>
      </c>
      <c r="AA9" s="16">
        <f>SUMIFS('Business - Dump'!$R:$R,'Business - Dump'!$A:$A,Monthly!$A9)</f>
        <v>33</v>
      </c>
      <c r="AB9" s="15">
        <f>SUMIFS('Business - Dump'!$V:$V,'Business - Dump'!$A:$A,Monthly!$A9)</f>
        <v>745221.97</v>
      </c>
    </row>
    <row r="10">
      <c r="A10" s="3" t="s">
        <v>58</v>
      </c>
      <c r="B10" s="15">
        <f>SUMIFS('Campaign - Dump'!$Q:$Q,'Campaign - Dump'!$A:$A,Monthly!$A10)</f>
        <v>868070.3</v>
      </c>
      <c r="C10" s="16">
        <f>SUMIFS('Campaign - Dump'!$N:$N,'Campaign - Dump'!$A:$A,Monthly!$A10)</f>
        <v>8194079</v>
      </c>
      <c r="D10" s="17">
        <f t="shared" si="2"/>
        <v>0.003599672398</v>
      </c>
      <c r="E10" s="16">
        <f>SUMIFS('Campaign - Dump'!$O:$O,'Campaign - Dump'!$A:$A,Monthly!$A10)</f>
        <v>29496</v>
      </c>
      <c r="F10" s="20">
        <f t="shared" si="3"/>
        <v>29.43010239</v>
      </c>
      <c r="G10" s="16">
        <f>SUMIFS('Campaign - Dump'!$T:$T,'Campaign - Dump'!$A:$A,Monthly!$A10)</f>
        <v>279</v>
      </c>
      <c r="H10" s="17">
        <f t="shared" si="4"/>
        <v>0.009458909683</v>
      </c>
      <c r="I10" s="15">
        <f>SUMIFS('Campaign - Dump'!$U:$U,'Campaign - Dump'!$A:$A,Monthly!$A10)</f>
        <v>5182218.64</v>
      </c>
      <c r="J10" s="17">
        <f t="shared" si="5"/>
        <v>0.1675093932</v>
      </c>
      <c r="K10" s="16">
        <f t="shared" si="6"/>
        <v>18574.26036</v>
      </c>
      <c r="L10" s="20">
        <f t="shared" si="7"/>
        <v>5.969814472</v>
      </c>
      <c r="M10" s="3">
        <f>SUMIFS('Business - Dump'!$W:$W,'Business - Dump'!$A:$A,Monthly!$A10)</f>
        <v>411</v>
      </c>
      <c r="N10" s="15">
        <f>SUMIFS('Business - Dump'!$U:$U,'Business - Dump'!$A:$A,Monthly!$A10)/1.18</f>
        <v>7060713.034</v>
      </c>
      <c r="O10" s="16">
        <f t="shared" si="8"/>
        <v>17179.35045</v>
      </c>
      <c r="P10" s="47">
        <f t="shared" si="9"/>
        <v>0.1229437163</v>
      </c>
      <c r="Q10" s="20">
        <f t="shared" si="10"/>
        <v>8.133803258</v>
      </c>
      <c r="R10" s="3">
        <f t="shared" si="11"/>
        <v>132</v>
      </c>
      <c r="S10" s="15">
        <f t="shared" si="12"/>
        <v>1878494.394</v>
      </c>
      <c r="T10" s="16">
        <f t="shared" si="13"/>
        <v>14231.01814</v>
      </c>
      <c r="U10" s="16">
        <f>SUMIFS('Business - Dump'!$G:$G,'Business - Dump'!$A:$A,Monthly!$A10)</f>
        <v>65802</v>
      </c>
      <c r="V10" s="23">
        <f t="shared" si="14"/>
        <v>0.00624601076</v>
      </c>
      <c r="W10" s="23">
        <f>AVERAGEIFS('Business - Dump'!$O:$O,'Business - Dump'!$A:$A,Monthly!$A10)</f>
        <v>0.8393840909</v>
      </c>
      <c r="X10" s="17">
        <f t="shared" si="15"/>
        <v>0.4731182796</v>
      </c>
      <c r="Y10" s="17">
        <f t="shared" ref="Y10:Z10" si="23">IFERROR(R10/M10,0)</f>
        <v>0.3211678832</v>
      </c>
      <c r="Z10" s="17">
        <f t="shared" si="23"/>
        <v>0.2660488232</v>
      </c>
      <c r="AA10" s="16">
        <f>SUMIFS('Business - Dump'!$R:$R,'Business - Dump'!$A:$A,Monthly!$A10)</f>
        <v>31</v>
      </c>
      <c r="AB10" s="15">
        <f>SUMIFS('Business - Dump'!$V:$V,'Business - Dump'!$A:$A,Monthly!$A10)</f>
        <v>623427.68</v>
      </c>
    </row>
    <row r="11">
      <c r="A11" s="3" t="s">
        <v>61</v>
      </c>
      <c r="B11" s="15">
        <f>SUMIFS('Campaign - Dump'!$Q:$Q,'Campaign - Dump'!$A:$A,Monthly!$A11)</f>
        <v>831575.61</v>
      </c>
      <c r="C11" s="16">
        <f>SUMIFS('Campaign - Dump'!$N:$N,'Campaign - Dump'!$A:$A,Monthly!$A11)</f>
        <v>7860313</v>
      </c>
      <c r="D11" s="17">
        <f t="shared" si="2"/>
        <v>0.004012562859</v>
      </c>
      <c r="E11" s="16">
        <f>SUMIFS('Campaign - Dump'!$O:$O,'Campaign - Dump'!$A:$A,Monthly!$A11)</f>
        <v>31540</v>
      </c>
      <c r="F11" s="20">
        <f t="shared" si="3"/>
        <v>26.3657454</v>
      </c>
      <c r="G11" s="16">
        <f>SUMIFS('Campaign - Dump'!$T:$T,'Campaign - Dump'!$A:$A,Monthly!$A11)</f>
        <v>228</v>
      </c>
      <c r="H11" s="17">
        <f t="shared" si="4"/>
        <v>0.007228915663</v>
      </c>
      <c r="I11" s="15">
        <f>SUMIFS('Campaign - Dump'!$U:$U,'Campaign - Dump'!$A:$A,Monthly!$A11)</f>
        <v>3896020.54</v>
      </c>
      <c r="J11" s="17">
        <f t="shared" si="5"/>
        <v>0.2134423064</v>
      </c>
      <c r="K11" s="16">
        <f t="shared" si="6"/>
        <v>17087.80939</v>
      </c>
      <c r="L11" s="20">
        <f t="shared" si="7"/>
        <v>4.685106794</v>
      </c>
      <c r="M11" s="3">
        <f>SUMIFS('Business - Dump'!$W:$W,'Business - Dump'!$A:$A,Monthly!$A11)</f>
        <v>386</v>
      </c>
      <c r="N11" s="15">
        <f>SUMIFS('Business - Dump'!$U:$U,'Business - Dump'!$A:$A,Monthly!$A11)/1.18</f>
        <v>5948601.051</v>
      </c>
      <c r="O11" s="16">
        <f t="shared" si="8"/>
        <v>15410.88355</v>
      </c>
      <c r="P11" s="47">
        <f t="shared" si="9"/>
        <v>0.1397934746</v>
      </c>
      <c r="Q11" s="20">
        <f t="shared" si="10"/>
        <v>7.153409719</v>
      </c>
      <c r="R11" s="3">
        <f t="shared" si="11"/>
        <v>158</v>
      </c>
      <c r="S11" s="15">
        <f t="shared" si="12"/>
        <v>2052580.511</v>
      </c>
      <c r="T11" s="16">
        <f t="shared" si="13"/>
        <v>12991.01589</v>
      </c>
      <c r="U11" s="16">
        <f>SUMIFS('Business - Dump'!$G:$G,'Business - Dump'!$A:$A,Monthly!$A11)</f>
        <v>69611</v>
      </c>
      <c r="V11" s="23">
        <f t="shared" si="14"/>
        <v>0.005545100631</v>
      </c>
      <c r="W11" s="23">
        <f>AVERAGEIFS('Business - Dump'!$O:$O,'Business - Dump'!$A:$A,Monthly!$A11)</f>
        <v>0.8519788889</v>
      </c>
      <c r="X11" s="17">
        <f t="shared" si="15"/>
        <v>0.6929824561</v>
      </c>
      <c r="Y11" s="17">
        <f t="shared" ref="Y11:Z11" si="24">IFERROR(R11/M11,0)</f>
        <v>0.4093264249</v>
      </c>
      <c r="Z11" s="17">
        <f t="shared" si="24"/>
        <v>0.3450526423</v>
      </c>
      <c r="AA11" s="16">
        <f>SUMIFS('Business - Dump'!$R:$R,'Business - Dump'!$A:$A,Monthly!$A11)</f>
        <v>25</v>
      </c>
      <c r="AB11" s="15">
        <f>SUMIFS('Business - Dump'!$V:$V,'Business - Dump'!$A:$A,Monthly!$A11)</f>
        <v>522851.94</v>
      </c>
    </row>
    <row r="12">
      <c r="A12" s="3" t="s">
        <v>63</v>
      </c>
      <c r="B12" s="15">
        <f>SUMIFS('Campaign - Dump'!$Q:$Q,'Campaign - Dump'!$A:$A,Monthly!$A12)</f>
        <v>1390822.22</v>
      </c>
      <c r="C12" s="16">
        <f>SUMIFS('Campaign - Dump'!$N:$N,'Campaign - Dump'!$A:$A,Monthly!$A12)</f>
        <v>14814452</v>
      </c>
      <c r="D12" s="17">
        <f t="shared" si="2"/>
        <v>0.003743101669</v>
      </c>
      <c r="E12" s="16">
        <f>SUMIFS('Campaign - Dump'!$O:$O,'Campaign - Dump'!$A:$A,Monthly!$A12)</f>
        <v>55452</v>
      </c>
      <c r="F12" s="20">
        <f t="shared" si="3"/>
        <v>25.08155197</v>
      </c>
      <c r="G12" s="16">
        <f>SUMIFS('Campaign - Dump'!$T:$T,'Campaign - Dump'!$A:$A,Monthly!$A12)</f>
        <v>480</v>
      </c>
      <c r="H12" s="17">
        <f t="shared" si="4"/>
        <v>0.008656135036</v>
      </c>
      <c r="I12" s="15">
        <f>SUMIFS('Campaign - Dump'!$U:$U,'Campaign - Dump'!$A:$A,Monthly!$A12)</f>
        <v>7678468.09</v>
      </c>
      <c r="J12" s="17">
        <f t="shared" si="5"/>
        <v>0.1811327733</v>
      </c>
      <c r="K12" s="16">
        <f t="shared" si="6"/>
        <v>15996.80852</v>
      </c>
      <c r="L12" s="20">
        <f t="shared" si="7"/>
        <v>5.520812063</v>
      </c>
      <c r="M12" s="3">
        <f>SUMIFS('Business - Dump'!$W:$W,'Business - Dump'!$A:$A,Monthly!$A12)</f>
        <v>683</v>
      </c>
      <c r="N12" s="15">
        <f>SUMIFS('Business - Dump'!$U:$U,'Business - Dump'!$A:$A,Monthly!$A12)/1.18</f>
        <v>10270913.9</v>
      </c>
      <c r="O12" s="16">
        <f t="shared" si="8"/>
        <v>15037.94129</v>
      </c>
      <c r="P12" s="17">
        <f t="shared" si="9"/>
        <v>0.1354136773</v>
      </c>
      <c r="Q12" s="20">
        <f t="shared" si="10"/>
        <v>7.384778407</v>
      </c>
      <c r="R12" s="3">
        <f t="shared" si="11"/>
        <v>203</v>
      </c>
      <c r="S12" s="15">
        <f t="shared" si="12"/>
        <v>2592445.808</v>
      </c>
      <c r="T12" s="16">
        <f t="shared" si="13"/>
        <v>12770.66901</v>
      </c>
      <c r="U12" s="16">
        <f>SUMIFS('Business - Dump'!$G:$G,'Business - Dump'!$A:$A,Monthly!$A12)</f>
        <v>92124</v>
      </c>
      <c r="V12" s="23">
        <f t="shared" si="14"/>
        <v>0.007413920368</v>
      </c>
      <c r="W12" s="23">
        <f>AVERAGEIFS('Business - Dump'!$O:$O,'Business - Dump'!$A:$A,Monthly!$A12)</f>
        <v>0.8922012346</v>
      </c>
      <c r="X12" s="17">
        <f t="shared" si="15"/>
        <v>0.4229166667</v>
      </c>
      <c r="Y12" s="17">
        <f t="shared" ref="Y12:Z12" si="25">IFERROR(R12/M12,0)</f>
        <v>0.2972181552</v>
      </c>
      <c r="Z12" s="17">
        <f t="shared" si="25"/>
        <v>0.2524065369</v>
      </c>
      <c r="AA12" s="16">
        <f>SUMIFS('Business - Dump'!$R:$R,'Business - Dump'!$A:$A,Monthly!$A12)</f>
        <v>54</v>
      </c>
      <c r="AB12" s="15">
        <f>SUMIFS('Business - Dump'!$V:$V,'Business - Dump'!$A:$A,Monthly!$A12)</f>
        <v>940608.38</v>
      </c>
    </row>
    <row r="13">
      <c r="A13" s="3" t="s">
        <v>65</v>
      </c>
      <c r="B13" s="15">
        <f>SUMIFS('Campaign - Dump'!$Q:$Q,'Campaign - Dump'!$A:$A,Monthly!$A13)</f>
        <v>1281599.89</v>
      </c>
      <c r="C13" s="16">
        <f>SUMIFS('Campaign - Dump'!$N:$N,'Campaign - Dump'!$A:$A,Monthly!$A13)</f>
        <v>8094986</v>
      </c>
      <c r="D13" s="17">
        <f t="shared" si="2"/>
        <v>0.003636695604</v>
      </c>
      <c r="E13" s="16">
        <f>SUMIFS('Campaign - Dump'!$O:$O,'Campaign - Dump'!$A:$A,Monthly!$A13)</f>
        <v>29439</v>
      </c>
      <c r="F13" s="20">
        <f t="shared" si="3"/>
        <v>43.5340837</v>
      </c>
      <c r="G13" s="16">
        <f>SUMIFS('Campaign - Dump'!$T:$T,'Campaign - Dump'!$A:$A,Monthly!$A13)</f>
        <v>348</v>
      </c>
      <c r="H13" s="17">
        <f t="shared" si="4"/>
        <v>0.0118210537</v>
      </c>
      <c r="I13" s="15">
        <f>SUMIFS('Campaign - Dump'!$U:$U,'Campaign - Dump'!$A:$A,Monthly!$A13)</f>
        <v>5884150.94</v>
      </c>
      <c r="J13" s="17">
        <f t="shared" si="5"/>
        <v>0.2178054069</v>
      </c>
      <c r="K13" s="16">
        <f t="shared" si="6"/>
        <v>16908.47971</v>
      </c>
      <c r="L13" s="20">
        <f t="shared" si="7"/>
        <v>4.591254249</v>
      </c>
      <c r="M13" s="3">
        <f>SUMIFS('Business - Dump'!$W:$W,'Business - Dump'!$A:$A,Monthly!$A13)</f>
        <v>590</v>
      </c>
      <c r="N13" s="15">
        <f>SUMIFS('Business - Dump'!$U:$U,'Business - Dump'!$A:$A,Monthly!$A13)/1.18</f>
        <v>8563706.449</v>
      </c>
      <c r="O13" s="16">
        <f t="shared" si="8"/>
        <v>14514.75669</v>
      </c>
      <c r="P13" s="47">
        <f t="shared" si="9"/>
        <v>0.1496548133</v>
      </c>
      <c r="Q13" s="20">
        <f t="shared" si="10"/>
        <v>6.682043683</v>
      </c>
      <c r="R13" s="3">
        <f t="shared" si="11"/>
        <v>242</v>
      </c>
      <c r="S13" s="15">
        <f t="shared" si="12"/>
        <v>2679555.509</v>
      </c>
      <c r="T13" s="16">
        <f t="shared" si="13"/>
        <v>11072.54343</v>
      </c>
      <c r="U13" s="16">
        <f>SUMIFS('Business - Dump'!$G:$G,'Business - Dump'!$A:$A,Monthly!$A13)</f>
        <v>72627</v>
      </c>
      <c r="V13" s="23">
        <f t="shared" si="14"/>
        <v>0.008123700552</v>
      </c>
      <c r="W13" s="23">
        <f>AVERAGEIFS('Business - Dump'!$O:$O,'Business - Dump'!$A:$A,Monthly!$A13)</f>
        <v>0.8602893617</v>
      </c>
      <c r="X13" s="17">
        <f t="shared" si="15"/>
        <v>0.6954022989</v>
      </c>
      <c r="Y13" s="17">
        <f t="shared" ref="Y13:Z13" si="26">IFERROR(R13/M13,0)</f>
        <v>0.4101694915</v>
      </c>
      <c r="Z13" s="17">
        <f t="shared" si="26"/>
        <v>0.3128967025</v>
      </c>
      <c r="AA13" s="16">
        <f>SUMIFS('Business - Dump'!$R:$R,'Business - Dump'!$A:$A,Monthly!$A13)</f>
        <v>34</v>
      </c>
      <c r="AB13" s="15">
        <f>SUMIFS('Business - Dump'!$V:$V,'Business - Dump'!$A:$A,Monthly!$A13)</f>
        <v>548954.95</v>
      </c>
    </row>
    <row r="14">
      <c r="A14" s="3" t="s">
        <v>67</v>
      </c>
      <c r="B14" s="15">
        <f>SUMIFS('Campaign - Dump'!$Q:$Q,'Campaign - Dump'!$A:$A,Monthly!$A14)</f>
        <v>685448.05</v>
      </c>
      <c r="C14" s="16">
        <f>SUMIFS('Campaign - Dump'!$N:$N,'Campaign - Dump'!$A:$A,Monthly!$A14)</f>
        <v>6784067</v>
      </c>
      <c r="D14" s="17">
        <f t="shared" si="2"/>
        <v>0.003750110369</v>
      </c>
      <c r="E14" s="16">
        <f>SUMIFS('Campaign - Dump'!$O:$O,'Campaign - Dump'!$A:$A,Monthly!$A14)</f>
        <v>25441</v>
      </c>
      <c r="F14" s="20">
        <f t="shared" si="3"/>
        <v>26.94265359</v>
      </c>
      <c r="G14" s="16">
        <f>SUMIFS('Campaign - Dump'!$T:$T,'Campaign - Dump'!$A:$A,Monthly!$A14)</f>
        <v>237</v>
      </c>
      <c r="H14" s="17">
        <f t="shared" si="4"/>
        <v>0.009315671554</v>
      </c>
      <c r="I14" s="15">
        <f>SUMIFS('Campaign - Dump'!$U:$U,'Campaign - Dump'!$A:$A,Monthly!$A14)</f>
        <v>3064021.13</v>
      </c>
      <c r="J14" s="17">
        <f t="shared" si="5"/>
        <v>0.2237086563</v>
      </c>
      <c r="K14" s="16">
        <f t="shared" si="6"/>
        <v>12928.3592</v>
      </c>
      <c r="L14" s="20">
        <f t="shared" si="7"/>
        <v>4.470099711</v>
      </c>
      <c r="M14" s="3">
        <f>SUMIFS('Business - Dump'!$W:$W,'Business - Dump'!$A:$A,Monthly!$A14)</f>
        <v>379</v>
      </c>
      <c r="N14" s="15">
        <f>SUMIFS('Business - Dump'!$U:$U,'Business - Dump'!$A:$A,Monthly!$A14)/1.18</f>
        <v>4187281.195</v>
      </c>
      <c r="O14" s="16">
        <f t="shared" si="8"/>
        <v>11048.23534</v>
      </c>
      <c r="P14" s="17">
        <f t="shared" si="9"/>
        <v>0.1636976401</v>
      </c>
      <c r="Q14" s="20">
        <f t="shared" si="10"/>
        <v>6.108823557</v>
      </c>
      <c r="R14" s="3">
        <f t="shared" si="11"/>
        <v>142</v>
      </c>
      <c r="S14" s="15">
        <f t="shared" si="12"/>
        <v>1123260.065</v>
      </c>
      <c r="T14" s="16">
        <f t="shared" si="13"/>
        <v>7910.282147</v>
      </c>
      <c r="U14" s="16">
        <f>SUMIFS('Business - Dump'!$G:$G,'Business - Dump'!$A:$A,Monthly!$A14)</f>
        <v>61052</v>
      </c>
      <c r="V14" s="62">
        <f t="shared" si="14"/>
        <v>0.00620782284</v>
      </c>
      <c r="W14" s="23">
        <f>AVERAGEIFS('Business - Dump'!$O:$O,'Business - Dump'!$A:$A,Monthly!$A14)</f>
        <v>0.8859263736</v>
      </c>
      <c r="X14" s="17">
        <f t="shared" si="15"/>
        <v>0.5991561181</v>
      </c>
      <c r="Y14" s="17">
        <f t="shared" ref="Y14:Z14" si="27">IFERROR(R14/M14,0)</f>
        <v>0.3746701847</v>
      </c>
      <c r="Z14" s="17">
        <f t="shared" si="27"/>
        <v>0.2682552264</v>
      </c>
      <c r="AA14" s="16">
        <f>SUMIFS('Business - Dump'!$R:$R,'Business - Dump'!$A:$A,Monthly!$A14)</f>
        <v>37</v>
      </c>
      <c r="AB14" s="15">
        <f>SUMIFS('Business - Dump'!$V:$V,'Business - Dump'!$A:$A,Monthly!$A14)</f>
        <v>562434.45</v>
      </c>
    </row>
    <row r="15">
      <c r="A15" s="3" t="s">
        <v>70</v>
      </c>
      <c r="B15" s="15">
        <f>SUMIFS('Campaign - Dump'!$Q:$Q,'Campaign - Dump'!$A:$A,Monthly!$A15)</f>
        <v>660076.26</v>
      </c>
      <c r="C15" s="16">
        <f>SUMIFS('Campaign - Dump'!$N:$N,'Campaign - Dump'!$A:$A,Monthly!$A15)</f>
        <v>7845997</v>
      </c>
      <c r="D15" s="17">
        <f t="shared" si="2"/>
        <v>0.004674740508</v>
      </c>
      <c r="E15" s="16">
        <f>SUMIFS('Campaign - Dump'!$O:$O,'Campaign - Dump'!$A:$A,Monthly!$A15)</f>
        <v>36678</v>
      </c>
      <c r="F15" s="20">
        <f t="shared" si="3"/>
        <v>17.99651726</v>
      </c>
      <c r="G15" s="16">
        <f>SUMIFS('Campaign - Dump'!$T:$T,'Campaign - Dump'!$A:$A,Monthly!$A15)</f>
        <v>301</v>
      </c>
      <c r="H15" s="17">
        <f t="shared" si="4"/>
        <v>0.008206554338</v>
      </c>
      <c r="I15" s="15">
        <f>SUMIFS('Campaign - Dump'!$U:$U,'Campaign - Dump'!$A:$A,Monthly!$A15)</f>
        <v>2744575.44</v>
      </c>
      <c r="J15" s="17">
        <f t="shared" si="5"/>
        <v>0.2405021376</v>
      </c>
      <c r="K15" s="16">
        <f t="shared" si="6"/>
        <v>9118.190831</v>
      </c>
      <c r="L15" s="20">
        <f t="shared" si="7"/>
        <v>4.157967202</v>
      </c>
      <c r="M15" s="3">
        <f>SUMIFS('Business - Dump'!$W:$W,'Business - Dump'!$A:$A,Monthly!$A15)</f>
        <v>471</v>
      </c>
      <c r="N15" s="15">
        <f>SUMIFS('Business - Dump'!$U:$U,'Business - Dump'!$A:$A,Monthly!$A15)/1.18</f>
        <v>4159256</v>
      </c>
      <c r="O15" s="16">
        <f t="shared" si="8"/>
        <v>8830.692144</v>
      </c>
      <c r="P15" s="17">
        <f t="shared" si="9"/>
        <v>0.1587005609</v>
      </c>
      <c r="Q15" s="20">
        <f t="shared" si="10"/>
        <v>6.301174958</v>
      </c>
      <c r="R15" s="3">
        <f t="shared" si="11"/>
        <v>170</v>
      </c>
      <c r="S15" s="15">
        <f t="shared" si="12"/>
        <v>1414680.56</v>
      </c>
      <c r="T15" s="16">
        <f t="shared" si="13"/>
        <v>8321.650353</v>
      </c>
      <c r="U15" s="16">
        <f>SUMIFS('Business - Dump'!$G:$G,'Business - Dump'!$A:$A,Monthly!$A15)</f>
        <v>68314</v>
      </c>
      <c r="V15" s="62">
        <f t="shared" si="14"/>
        <v>0.006894633604</v>
      </c>
      <c r="W15" s="23">
        <f>AVERAGEIFS('Business - Dump'!$O:$O,'Business - Dump'!$A:$A,Monthly!$A15)</f>
        <v>0.8849168421</v>
      </c>
      <c r="X15" s="17">
        <f t="shared" si="15"/>
        <v>0.5647840532</v>
      </c>
      <c r="Y15" s="17">
        <f t="shared" ref="Y15:Z15" si="28">IFERROR(R15/M15,0)</f>
        <v>0.3609341826</v>
      </c>
      <c r="Z15" s="17">
        <f t="shared" si="28"/>
        <v>0.3401282729</v>
      </c>
      <c r="AA15" s="16">
        <f>SUMIFS('Business - Dump'!$R:$R,'Business - Dump'!$A:$A,Monthly!$A15)</f>
        <v>35</v>
      </c>
      <c r="AB15" s="15">
        <f>SUMIFS('Business - Dump'!$V:$V,'Business - Dump'!$A:$A,Monthly!$A15)</f>
        <v>473397.68</v>
      </c>
    </row>
    <row r="16">
      <c r="A16" s="65">
        <v>45658.0</v>
      </c>
      <c r="B16" s="15">
        <f>SUMIFS('Campaign - Dump'!$Q:$Q,'Campaign - Dump'!$A:$A,Monthly!$A16)</f>
        <v>743314.92</v>
      </c>
      <c r="C16" s="16">
        <f>SUMIFS('Campaign - Dump'!$N:$N,'Campaign - Dump'!$A:$A,Monthly!$A16)</f>
        <v>6106324</v>
      </c>
      <c r="D16" s="17">
        <f t="shared" si="2"/>
        <v>0.00518855534</v>
      </c>
      <c r="E16" s="16">
        <f>SUMIFS('Campaign - Dump'!$O:$O,'Campaign - Dump'!$A:$A,Monthly!$A16)</f>
        <v>31683</v>
      </c>
      <c r="F16" s="20">
        <f t="shared" si="3"/>
        <v>23.4610018</v>
      </c>
      <c r="G16" s="16">
        <f>SUMIFS('Campaign - Dump'!$T:$T,'Campaign - Dump'!$A:$A,Monthly!$A16)</f>
        <v>292</v>
      </c>
      <c r="H16" s="17">
        <f t="shared" si="4"/>
        <v>0.009216298962</v>
      </c>
      <c r="I16" s="15">
        <f>SUMIFS('Campaign - Dump'!$U:$U,'Campaign - Dump'!$A:$A,Monthly!$A16)</f>
        <v>3410399.18</v>
      </c>
      <c r="J16" s="17">
        <f t="shared" si="5"/>
        <v>0.2179554008</v>
      </c>
      <c r="K16" s="16">
        <f t="shared" si="6"/>
        <v>11679.44925</v>
      </c>
      <c r="L16" s="20">
        <f t="shared" si="7"/>
        <v>4.588094613</v>
      </c>
      <c r="M16" s="3">
        <f>SUMIFS('Business - Dump'!$W:$W,'Business - Dump'!$A:$A,Monthly!$A16)</f>
        <v>428</v>
      </c>
      <c r="N16" s="15">
        <f>SUMIFS('Business - Dump'!$U:$U,'Business - Dump'!$A:$A,Monthly!$A16)/1.18</f>
        <v>5082627.788</v>
      </c>
      <c r="O16" s="16">
        <f t="shared" si="8"/>
        <v>11875.29857</v>
      </c>
      <c r="P16" s="17">
        <f t="shared" si="9"/>
        <v>0.1462461843</v>
      </c>
      <c r="Q16" s="20">
        <f t="shared" si="10"/>
        <v>6.837785239</v>
      </c>
      <c r="R16" s="3">
        <f t="shared" si="11"/>
        <v>136</v>
      </c>
      <c r="S16" s="15">
        <f t="shared" si="12"/>
        <v>1672228.608</v>
      </c>
      <c r="T16" s="16">
        <f t="shared" si="13"/>
        <v>12295.79859</v>
      </c>
      <c r="U16" s="16">
        <f>SUMIFS('Business - Dump'!$G:$G,'Business - Dump'!$A:$A,Monthly!$A16)</f>
        <v>59954</v>
      </c>
      <c r="V16" s="62">
        <f t="shared" si="14"/>
        <v>0.007138806418</v>
      </c>
      <c r="W16" s="23">
        <f>AVERAGEIFS('Business - Dump'!$O:$O,'Business - Dump'!$A:$A,Monthly!$A16)</f>
        <v>0.8870134831</v>
      </c>
      <c r="X16" s="17">
        <f t="shared" si="15"/>
        <v>0.4657534247</v>
      </c>
      <c r="Y16" s="17">
        <f t="shared" ref="Y16:Z16" si="29">IFERROR(R16/M16,0)</f>
        <v>0.3177570093</v>
      </c>
      <c r="Z16" s="17">
        <f t="shared" si="29"/>
        <v>0.3290086699</v>
      </c>
      <c r="AA16" s="16">
        <f>SUMIFS('Business - Dump'!$R:$R,'Business - Dump'!$A:$A,Monthly!$A16)</f>
        <v>50</v>
      </c>
      <c r="AB16" s="15">
        <f>SUMIFS('Business - Dump'!$V:$V,'Business - Dump'!$A:$A,Monthly!$A16)</f>
        <v>563631.61</v>
      </c>
    </row>
    <row r="17">
      <c r="A17" s="65">
        <v>45689.0</v>
      </c>
      <c r="B17" s="15">
        <f>SUMIFS('Campaign - Dump'!$Q:$Q,'Campaign - Dump'!$A:$A,Monthly!$A17)</f>
        <v>645642.5</v>
      </c>
      <c r="C17" s="16">
        <f>SUMIFS('Campaign - Dump'!$N:$N,'Campaign - Dump'!$A:$A,Monthly!$A17)</f>
        <v>6128191</v>
      </c>
      <c r="D17" s="17">
        <f t="shared" si="2"/>
        <v>0.00519892412</v>
      </c>
      <c r="E17" s="16">
        <f>SUMIFS('Campaign - Dump'!$O:$O,'Campaign - Dump'!$A:$A,Monthly!$A17)</f>
        <v>31860</v>
      </c>
      <c r="F17" s="20">
        <f t="shared" si="3"/>
        <v>20.26498745</v>
      </c>
      <c r="G17" s="16">
        <f>SUMIFS('Campaign - Dump'!$T:$T,'Campaign - Dump'!$A:$A,Monthly!$A17)</f>
        <v>345</v>
      </c>
      <c r="H17" s="17">
        <f t="shared" si="4"/>
        <v>0.01082862524</v>
      </c>
      <c r="I17" s="15">
        <f>SUMIFS('Campaign - Dump'!$U:$U,'Campaign - Dump'!$A:$A,Monthly!$A17)</f>
        <v>2448692.48</v>
      </c>
      <c r="J17" s="17">
        <f t="shared" si="5"/>
        <v>0.2636682659</v>
      </c>
      <c r="K17" s="70">
        <f t="shared" si="6"/>
        <v>7097.659362</v>
      </c>
      <c r="L17" s="20">
        <f t="shared" si="7"/>
        <v>3.792644505</v>
      </c>
      <c r="M17" s="3">
        <f>SUMIFS('Business - Dump'!$W:$W,'Business - Dump'!$A:$A,Monthly!$A17)</f>
        <v>478</v>
      </c>
      <c r="N17" s="15">
        <f>SUMIFS('Business - Dump'!$U:$U,'Business - Dump'!$A:$A,Monthly!$A17)/1.18</f>
        <v>3545812.966</v>
      </c>
      <c r="O17" s="70">
        <f t="shared" si="8"/>
        <v>7418.018758</v>
      </c>
      <c r="P17" s="72">
        <f t="shared" si="9"/>
        <v>0.1820858873</v>
      </c>
      <c r="Q17" s="20">
        <f t="shared" si="10"/>
        <v>5.491913816</v>
      </c>
      <c r="R17" s="3">
        <f t="shared" si="11"/>
        <v>133</v>
      </c>
      <c r="S17" s="73">
        <f t="shared" si="12"/>
        <v>1097120.486</v>
      </c>
      <c r="T17" s="16">
        <f t="shared" si="13"/>
        <v>8249.026211</v>
      </c>
      <c r="U17" s="16">
        <f>SUMIFS('Business - Dump'!$G:$G,'Business - Dump'!$A:$A,Monthly!$A17)</f>
        <v>59264</v>
      </c>
      <c r="V17" s="62">
        <f t="shared" si="14"/>
        <v>0.008065604752</v>
      </c>
      <c r="W17" s="23">
        <f>AVERAGEIFS('Business - Dump'!$O:$O,'Business - Dump'!$A:$A,Monthly!$A17)</f>
        <v>0.8953670455</v>
      </c>
      <c r="X17" s="17">
        <f t="shared" si="15"/>
        <v>0.3855072464</v>
      </c>
      <c r="Y17" s="17">
        <f t="shared" ref="Y17:Z17" si="30">IFERROR(R17/M17,0)</f>
        <v>0.2782426778</v>
      </c>
      <c r="Z17" s="17">
        <f t="shared" si="30"/>
        <v>0.3094129602</v>
      </c>
      <c r="AA17" s="16">
        <f>SUMIFS('Business - Dump'!$R:$R,'Business - Dump'!$A:$A,Monthly!$A17)</f>
        <v>54</v>
      </c>
      <c r="AB17" s="15">
        <f>SUMIFS('Business - Dump'!$V:$V,'Business - Dump'!$A:$A,Monthly!$A17)</f>
        <v>541480.81</v>
      </c>
    </row>
    <row r="18">
      <c r="A18" s="65">
        <v>45717.0</v>
      </c>
      <c r="B18" s="15">
        <f>SUMIFS('Campaign - Dump'!$Q:$Q,'Campaign - Dump'!$A:$A,Monthly!$A18)</f>
        <v>845513.7</v>
      </c>
      <c r="C18" s="16">
        <f>SUMIFS('Campaign - Dump'!$N:$N,'Campaign - Dump'!$A:$A,Monthly!$A18)</f>
        <v>11643879</v>
      </c>
      <c r="D18" s="17">
        <f t="shared" si="2"/>
        <v>0.00440488947</v>
      </c>
      <c r="E18" s="16">
        <f>SUMIFS('Campaign - Dump'!$O:$O,'Campaign - Dump'!$A:$A,Monthly!$A18)</f>
        <v>51290</v>
      </c>
      <c r="F18" s="20">
        <f t="shared" si="3"/>
        <v>16.48496198</v>
      </c>
      <c r="G18" s="16">
        <f>SUMIFS('Campaign - Dump'!$T:$T,'Campaign - Dump'!$A:$A,Monthly!$A18)</f>
        <v>458</v>
      </c>
      <c r="H18" s="17">
        <f t="shared" si="4"/>
        <v>0.00892961591</v>
      </c>
      <c r="I18" s="15">
        <f>SUMIFS('Campaign - Dump'!$U:$U,'Campaign - Dump'!$A:$A,Monthly!$A18)</f>
        <v>3495437.8</v>
      </c>
      <c r="J18" s="17">
        <f t="shared" si="5"/>
        <v>0.2418906439</v>
      </c>
      <c r="K18" s="70">
        <f t="shared" si="6"/>
        <v>7631.960262</v>
      </c>
      <c r="L18" s="20">
        <f t="shared" si="7"/>
        <v>4.134099542</v>
      </c>
      <c r="M18" s="3">
        <f>SUMIFS('Business - Dump'!$W:$W,'Business - Dump'!$A:$A,Monthly!$A18)</f>
        <v>626</v>
      </c>
      <c r="N18" s="15">
        <f>SUMIFS('Business - Dump'!$U:$U,'Business - Dump'!$A:$A,Monthly!$A18)/1.18</f>
        <v>5083935.093</v>
      </c>
      <c r="O18" s="70">
        <f t="shared" si="8"/>
        <v>8121.302066</v>
      </c>
      <c r="P18" s="72">
        <f t="shared" si="9"/>
        <v>0.1663108762</v>
      </c>
      <c r="Q18" s="20">
        <f t="shared" si="10"/>
        <v>6.012835857</v>
      </c>
      <c r="R18" s="3">
        <f t="shared" si="11"/>
        <v>168</v>
      </c>
      <c r="S18" s="15">
        <f t="shared" si="12"/>
        <v>1588497.293</v>
      </c>
      <c r="T18" s="16">
        <f t="shared" si="13"/>
        <v>9455.341031</v>
      </c>
      <c r="U18" s="16">
        <f>SUMIFS('Business - Dump'!$G:$G,'Business - Dump'!$A:$A,Monthly!$A18)</f>
        <v>76596</v>
      </c>
      <c r="V18" s="62">
        <f t="shared" si="14"/>
        <v>0.008172750535</v>
      </c>
      <c r="W18" s="23">
        <f>AVERAGEIFS('Business - Dump'!$O:$O,'Business - Dump'!$A:$A,Monthly!$A18)</f>
        <v>0.8850914894</v>
      </c>
      <c r="X18" s="17">
        <f t="shared" si="15"/>
        <v>0.3668122271</v>
      </c>
      <c r="Y18" s="17">
        <f t="shared" ref="Y18:Z18" si="31">IFERROR(R18/M18,0)</f>
        <v>0.268370607</v>
      </c>
      <c r="Z18" s="17">
        <f t="shared" si="31"/>
        <v>0.3124542828</v>
      </c>
      <c r="AA18" s="16">
        <f>SUMIFS('Business - Dump'!$R:$R,'Business - Dump'!$A:$A,Monthly!$A18)</f>
        <v>49</v>
      </c>
      <c r="AB18" s="15">
        <f>SUMIFS('Business - Dump'!$V:$V,'Business - Dump'!$A:$A,Monthly!$A18)</f>
        <v>571076.99</v>
      </c>
    </row>
    <row r="19">
      <c r="A19" s="65">
        <v>45772.0</v>
      </c>
      <c r="B19" s="15">
        <f>SUMIFS('Campaign - Dump'!$Q:$Q,'Campaign - Dump'!$A:$A,Monthly!$A19)</f>
        <v>733459.69</v>
      </c>
      <c r="C19" s="16">
        <f>SUMIFS('Campaign - Dump'!$N:$N,'Campaign - Dump'!$A:$A,Monthly!$A19)</f>
        <v>9553651</v>
      </c>
      <c r="D19" s="17">
        <f t="shared" si="2"/>
        <v>0.004356345025</v>
      </c>
      <c r="E19" s="16">
        <f>SUMIFS('Campaign - Dump'!$O:$O,'Campaign - Dump'!$A:$A,Monthly!$A19)</f>
        <v>41619</v>
      </c>
      <c r="F19" s="20">
        <f t="shared" si="3"/>
        <v>17.62319349</v>
      </c>
      <c r="G19" s="16">
        <f>SUMIFS('Campaign - Dump'!$T:$T,'Campaign - Dump'!$A:$A,Monthly!$A19)</f>
        <v>285</v>
      </c>
      <c r="H19" s="17">
        <f t="shared" si="4"/>
        <v>0.006847833922</v>
      </c>
      <c r="I19" s="15">
        <f>SUMIFS('Campaign - Dump'!$U:$U,'Campaign - Dump'!$A:$A,Monthly!$A19)</f>
        <v>2820948.56</v>
      </c>
      <c r="J19" s="17">
        <f t="shared" si="5"/>
        <v>0.2600046312</v>
      </c>
      <c r="K19" s="70">
        <f t="shared" si="6"/>
        <v>9898.065123</v>
      </c>
      <c r="L19" s="20">
        <f t="shared" si="7"/>
        <v>3.846085338</v>
      </c>
      <c r="M19" s="3">
        <f>SUMIFS('Business - Dump'!$W:$W,'Business - Dump'!$A:$A,Monthly!$A19)</f>
        <v>433</v>
      </c>
      <c r="N19" s="15">
        <f>SUMIFS('Business - Dump'!$U:$U,'Business - Dump'!$A:$A,Monthly!$A19)/1.18</f>
        <v>4434956.314</v>
      </c>
      <c r="O19" s="70">
        <f t="shared" si="8"/>
        <v>10242.39333</v>
      </c>
      <c r="P19" s="72">
        <f t="shared" si="9"/>
        <v>0.1653814915</v>
      </c>
      <c r="Q19" s="20">
        <f t="shared" si="10"/>
        <v>6.046625839</v>
      </c>
      <c r="R19" s="3">
        <f t="shared" si="11"/>
        <v>148</v>
      </c>
      <c r="S19" s="15">
        <f t="shared" si="12"/>
        <v>1614007.754</v>
      </c>
      <c r="T19" s="16">
        <f t="shared" si="13"/>
        <v>10905.45779</v>
      </c>
      <c r="U19" s="16">
        <f>SUMIFS('Business - Dump'!$G:$G,'Business - Dump'!$A:$A,Monthly!$A19)</f>
        <v>65083</v>
      </c>
      <c r="V19" s="62">
        <f t="shared" si="14"/>
        <v>0.006653043037</v>
      </c>
      <c r="W19" s="23">
        <f>AVERAGEIFS('Business - Dump'!$O:$O,'Business - Dump'!$A:$A,Monthly!$A19)</f>
        <v>0.889956044</v>
      </c>
      <c r="X19" s="17">
        <f t="shared" si="15"/>
        <v>0.5192982456</v>
      </c>
      <c r="Y19" s="17">
        <f t="shared" ref="Y19:Z19" si="32">IFERROR(R19/M19,0)</f>
        <v>0.3418013857</v>
      </c>
      <c r="Z19" s="17">
        <f t="shared" si="32"/>
        <v>0.3639286702</v>
      </c>
      <c r="AA19" s="16">
        <f>SUMIFS('Business - Dump'!$R:$R,'Business - Dump'!$A:$A,Monthly!$A19)</f>
        <v>41</v>
      </c>
      <c r="AB19" s="15">
        <f>SUMIFS('Business - Dump'!$V:$V,'Business - Dump'!$A:$A,Monthly!$A19)</f>
        <v>633049.26</v>
      </c>
    </row>
    <row r="20">
      <c r="A20" s="84" t="str">
        <f>'Portfolio Wise '!A470</f>
        <v>25_May</v>
      </c>
      <c r="B20" s="85">
        <f>'Portfolio Wise '!F470</f>
        <v>900000</v>
      </c>
      <c r="C20" s="86">
        <f>'Portfolio Wise '!C470</f>
        <v>11739457.16</v>
      </c>
      <c r="D20" s="72">
        <f>'Portfolio Wise '!E470</f>
        <v>0.004213345122</v>
      </c>
      <c r="E20" s="86">
        <f>'Portfolio Wise '!D470</f>
        <v>49462.38457</v>
      </c>
      <c r="F20" s="87">
        <f>'Portfolio Wise '!G470</f>
        <v>18.19564519</v>
      </c>
      <c r="G20" s="86">
        <f>'Portfolio Wise '!H470</f>
        <v>351.2868334</v>
      </c>
      <c r="H20" s="72">
        <f>'Portfolio Wise '!I470</f>
        <v>0.007102100645</v>
      </c>
      <c r="I20" s="85">
        <f>'Portfolio Wise '!J470</f>
        <v>3484490.186</v>
      </c>
      <c r="J20" s="72">
        <f>'Portfolio Wise '!K470</f>
        <v>0.2582874257</v>
      </c>
      <c r="K20" s="89">
        <f>'Portfolio Wise '!M470</f>
        <v>9919.216592</v>
      </c>
      <c r="L20" s="87">
        <f>'Portfolio Wise '!L470</f>
        <v>3.871655763</v>
      </c>
      <c r="M20" s="86">
        <f>'Portfolio Wise '!Q470</f>
        <v>457.7631466</v>
      </c>
      <c r="N20" s="85">
        <f>'Portfolio Wise '!R470</f>
        <v>2786957.681</v>
      </c>
      <c r="O20" s="89">
        <f>'Portfolio Wise '!S470</f>
        <v>6088.208938</v>
      </c>
      <c r="P20" s="72">
        <f>'Portfolio Wise '!T470</f>
        <v>0.322932783</v>
      </c>
      <c r="Q20" s="87">
        <f>'Portfolio Wise '!U470</f>
        <v>3.096619645</v>
      </c>
      <c r="R20" s="86">
        <f>'Portfolio Wise '!N470</f>
        <v>106.4763132</v>
      </c>
      <c r="S20" s="85">
        <f>'Portfolio Wise '!O470</f>
        <v>955427.9436</v>
      </c>
      <c r="T20" s="86">
        <f>'Portfolio Wise '!P470</f>
        <v>8973.150127</v>
      </c>
      <c r="U20" s="91"/>
      <c r="V20" s="92"/>
      <c r="W20" s="92"/>
      <c r="X20" s="93">
        <f t="shared" si="15"/>
        <v>0.3031036267</v>
      </c>
      <c r="Y20" s="93">
        <f t="shared" ref="Y20:Z20" si="33">IFERROR(R20/M20,0)</f>
        <v>0.2326013224</v>
      </c>
      <c r="Z20" s="93">
        <f t="shared" si="33"/>
        <v>0.3428211165</v>
      </c>
    </row>
    <row r="21" ht="15.75" customHeight="1">
      <c r="A21" s="94"/>
      <c r="B21" s="93"/>
      <c r="C21" s="91"/>
      <c r="D21" s="93"/>
      <c r="E21" s="91"/>
      <c r="F21" s="95"/>
      <c r="G21" s="91"/>
      <c r="H21" s="93"/>
      <c r="I21" s="96"/>
      <c r="J21" s="93"/>
      <c r="K21" s="91"/>
      <c r="L21" s="95"/>
      <c r="M21" s="94"/>
      <c r="N21" s="93"/>
      <c r="O21" s="91"/>
      <c r="P21" s="93"/>
      <c r="Q21" s="95"/>
      <c r="R21" s="94"/>
      <c r="S21" s="96"/>
      <c r="T21" s="91"/>
      <c r="U21" s="91"/>
      <c r="V21" s="92"/>
      <c r="W21" s="92"/>
      <c r="X21" s="93"/>
      <c r="Y21" s="93"/>
      <c r="Z21" s="93"/>
    </row>
    <row r="22" ht="15.75" customHeight="1">
      <c r="A22" s="94"/>
      <c r="B22" s="93"/>
      <c r="C22" s="91"/>
      <c r="D22" s="93"/>
      <c r="E22" s="91"/>
      <c r="F22" s="95"/>
      <c r="G22" s="91"/>
      <c r="H22" s="93"/>
      <c r="I22" s="96"/>
      <c r="J22" s="93"/>
      <c r="K22" s="91"/>
      <c r="L22" s="95"/>
      <c r="M22" s="94"/>
      <c r="N22" s="93"/>
      <c r="O22" s="91"/>
      <c r="P22" s="93"/>
      <c r="Q22" s="95"/>
      <c r="R22" s="94"/>
      <c r="S22" s="96"/>
      <c r="T22" s="91"/>
    </row>
    <row r="23" ht="15.75" customHeight="1">
      <c r="A23" s="94"/>
      <c r="B23" s="93"/>
      <c r="C23" s="91"/>
      <c r="D23" s="93"/>
      <c r="E23" s="91"/>
      <c r="F23" s="95"/>
      <c r="G23" s="91"/>
      <c r="H23" s="93"/>
      <c r="I23" s="96"/>
      <c r="J23" s="93"/>
      <c r="K23" s="91"/>
      <c r="L23" s="95"/>
      <c r="M23" s="94"/>
      <c r="N23" s="93"/>
      <c r="O23" s="91"/>
      <c r="P23" s="93"/>
      <c r="Q23" s="95"/>
      <c r="R23" s="94"/>
      <c r="S23" s="96"/>
      <c r="T23" s="91"/>
      <c r="U23" s="91"/>
      <c r="V23" s="92"/>
      <c r="W23" s="92"/>
      <c r="X23" s="93"/>
      <c r="Y23" s="93"/>
      <c r="Z23" s="93"/>
    </row>
    <row r="24" ht="15.75" customHeight="1">
      <c r="A24" s="94"/>
      <c r="B24" s="93"/>
      <c r="C24" s="91"/>
      <c r="D24" s="93"/>
      <c r="E24" s="91"/>
      <c r="F24" s="95"/>
      <c r="G24" s="91"/>
      <c r="H24" s="93"/>
      <c r="I24" s="98"/>
      <c r="J24" s="93"/>
      <c r="K24" s="91"/>
      <c r="L24" s="95"/>
      <c r="M24" s="94"/>
      <c r="N24" s="93"/>
      <c r="O24" s="91"/>
      <c r="P24" s="93"/>
      <c r="Q24" s="95"/>
      <c r="R24" s="94"/>
      <c r="S24" s="96"/>
      <c r="T24" s="91"/>
      <c r="U24" s="91"/>
      <c r="V24" s="92"/>
      <c r="W24" s="92"/>
      <c r="X24" s="93"/>
      <c r="Y24" s="93"/>
      <c r="Z24" s="93"/>
    </row>
    <row r="25" ht="15.75" customHeight="1">
      <c r="A25" s="94"/>
      <c r="B25" s="93"/>
      <c r="C25" s="91"/>
      <c r="D25" s="93"/>
      <c r="E25" s="91"/>
      <c r="F25" s="95"/>
      <c r="G25" s="91"/>
      <c r="H25" s="93"/>
      <c r="I25" s="96"/>
      <c r="J25" s="93"/>
      <c r="K25" s="91"/>
      <c r="L25" s="95"/>
      <c r="M25" s="94"/>
      <c r="N25" s="93"/>
      <c r="O25" s="91"/>
      <c r="P25" s="93"/>
      <c r="Q25" s="95"/>
      <c r="R25" s="94"/>
      <c r="S25" s="96"/>
      <c r="T25" s="91"/>
      <c r="U25" s="91"/>
      <c r="V25" s="92"/>
      <c r="W25" s="92"/>
      <c r="X25" s="93"/>
      <c r="Y25" s="93"/>
      <c r="Z25" s="93"/>
    </row>
    <row r="26" ht="15.75" customHeight="1">
      <c r="A26" s="94"/>
      <c r="B26" s="93"/>
      <c r="C26" s="91"/>
      <c r="D26" s="93"/>
      <c r="E26" s="91"/>
      <c r="F26" s="95"/>
      <c r="G26" s="91"/>
      <c r="H26" s="93"/>
      <c r="I26" s="96"/>
      <c r="J26" s="93"/>
      <c r="K26" s="91"/>
      <c r="L26" s="95"/>
      <c r="M26" s="94"/>
      <c r="N26" s="93"/>
      <c r="O26" s="91"/>
      <c r="P26" s="93"/>
      <c r="Q26" s="95"/>
      <c r="R26" s="94"/>
      <c r="S26" s="96"/>
      <c r="T26" s="91"/>
      <c r="U26" s="91"/>
      <c r="V26" s="92"/>
      <c r="W26" s="92"/>
      <c r="X26" s="93"/>
      <c r="Y26" s="93"/>
      <c r="Z26" s="93"/>
    </row>
    <row r="27" ht="15.75" customHeight="1">
      <c r="A27" s="94"/>
      <c r="B27" s="93"/>
      <c r="C27" s="91"/>
      <c r="D27" s="93"/>
      <c r="E27" s="91"/>
      <c r="F27" s="95"/>
      <c r="G27" s="91"/>
      <c r="H27" s="93"/>
      <c r="I27" s="96"/>
      <c r="J27" s="93"/>
      <c r="K27" s="91"/>
      <c r="L27" s="95"/>
      <c r="M27" s="94"/>
      <c r="N27" s="93"/>
      <c r="O27" s="91"/>
      <c r="P27" s="93"/>
      <c r="Q27" s="95"/>
      <c r="R27" s="94"/>
      <c r="S27" s="96"/>
      <c r="T27" s="91"/>
      <c r="U27" s="91"/>
      <c r="V27" s="92"/>
      <c r="W27" s="92"/>
      <c r="X27" s="93"/>
      <c r="Y27" s="93"/>
      <c r="Z27" s="93"/>
    </row>
    <row r="28" ht="15.75" customHeight="1">
      <c r="A28" s="94"/>
      <c r="B28" s="93"/>
      <c r="C28" s="91"/>
      <c r="D28" s="93"/>
      <c r="E28" s="91"/>
      <c r="F28" s="95"/>
      <c r="G28" s="91"/>
      <c r="H28" s="93"/>
      <c r="I28" s="96"/>
      <c r="J28" s="93"/>
      <c r="K28" s="91"/>
      <c r="L28" s="95"/>
      <c r="M28" s="94"/>
      <c r="N28" s="93"/>
      <c r="O28" s="91"/>
      <c r="P28" s="93"/>
      <c r="Q28" s="95"/>
      <c r="R28" s="94"/>
      <c r="S28" s="96"/>
      <c r="T28" s="91"/>
      <c r="U28" s="91"/>
      <c r="V28" s="92"/>
      <c r="W28" s="92"/>
      <c r="X28" s="93"/>
      <c r="Y28" s="93"/>
      <c r="Z28" s="93"/>
    </row>
    <row r="29" ht="15.75" customHeight="1">
      <c r="A29" s="94"/>
      <c r="B29" s="93"/>
      <c r="C29" s="91"/>
      <c r="D29" s="93"/>
      <c r="E29" s="91"/>
      <c r="F29" s="95"/>
      <c r="G29" s="91"/>
      <c r="H29" s="93"/>
      <c r="I29" s="96"/>
      <c r="J29" s="93"/>
      <c r="K29" s="91"/>
      <c r="L29" s="95"/>
      <c r="M29" s="94"/>
      <c r="N29" s="93"/>
      <c r="O29" s="91"/>
      <c r="P29" s="93"/>
      <c r="Q29" s="95"/>
      <c r="R29" s="94"/>
      <c r="S29" s="96"/>
      <c r="T29" s="91"/>
      <c r="U29" s="91"/>
      <c r="V29" s="92"/>
      <c r="W29" s="92"/>
      <c r="X29" s="93"/>
      <c r="Y29" s="93"/>
      <c r="Z29" s="93"/>
    </row>
    <row r="30" ht="15.75" customHeight="1">
      <c r="A30" s="94"/>
      <c r="B30" s="93"/>
      <c r="C30" s="91"/>
      <c r="D30" s="93"/>
      <c r="E30" s="91"/>
      <c r="F30" s="95"/>
      <c r="G30" s="91"/>
      <c r="H30" s="93"/>
      <c r="I30" s="96"/>
      <c r="J30" s="93"/>
      <c r="K30" s="91"/>
      <c r="L30" s="95"/>
      <c r="M30" s="94"/>
      <c r="N30" s="93"/>
      <c r="O30" s="91"/>
      <c r="P30" s="93"/>
      <c r="Q30" s="95"/>
      <c r="R30" s="94"/>
      <c r="S30" s="96"/>
      <c r="T30" s="91"/>
      <c r="U30" s="91"/>
      <c r="V30" s="92"/>
      <c r="W30" s="92"/>
      <c r="X30" s="93"/>
      <c r="Y30" s="93"/>
      <c r="Z30" s="93"/>
    </row>
    <row r="31" ht="15.75" customHeight="1">
      <c r="A31" s="94"/>
      <c r="B31" s="93"/>
      <c r="C31" s="91"/>
      <c r="D31" s="93"/>
      <c r="E31" s="91"/>
      <c r="F31" s="95"/>
      <c r="G31" s="91"/>
      <c r="H31" s="93"/>
      <c r="I31" s="96"/>
      <c r="J31" s="93"/>
      <c r="K31" s="91"/>
      <c r="L31" s="95"/>
      <c r="M31" s="94"/>
      <c r="N31" s="93"/>
      <c r="O31" s="91"/>
      <c r="P31" s="93"/>
      <c r="Q31" s="95"/>
      <c r="R31" s="94"/>
      <c r="S31" s="96"/>
      <c r="T31" s="91"/>
      <c r="U31" s="91"/>
      <c r="V31" s="92"/>
      <c r="W31" s="92"/>
      <c r="X31" s="93"/>
      <c r="Y31" s="93"/>
      <c r="Z31" s="93"/>
    </row>
    <row r="32" ht="15.75" customHeight="1">
      <c r="A32" s="94"/>
      <c r="B32" s="93"/>
      <c r="C32" s="91"/>
      <c r="D32" s="93"/>
      <c r="E32" s="91"/>
      <c r="F32" s="95"/>
      <c r="G32" s="91"/>
      <c r="H32" s="93"/>
      <c r="I32" s="96"/>
      <c r="J32" s="93"/>
      <c r="K32" s="91"/>
      <c r="L32" s="95"/>
      <c r="M32" s="94"/>
      <c r="N32" s="93"/>
      <c r="O32" s="91"/>
      <c r="P32" s="93"/>
      <c r="Q32" s="95"/>
      <c r="R32" s="94"/>
      <c r="S32" s="96"/>
      <c r="T32" s="91"/>
      <c r="U32" s="91"/>
      <c r="V32" s="92"/>
      <c r="W32" s="92"/>
      <c r="X32" s="93"/>
      <c r="Y32" s="93"/>
      <c r="Z32" s="93"/>
    </row>
    <row r="33" ht="15.75" customHeight="1">
      <c r="A33" s="94"/>
      <c r="B33" s="93"/>
      <c r="C33" s="91"/>
      <c r="D33" s="93"/>
      <c r="E33" s="91"/>
      <c r="F33" s="95"/>
      <c r="G33" s="91"/>
      <c r="H33" s="93"/>
      <c r="I33" s="96"/>
      <c r="J33" s="93"/>
      <c r="K33" s="91"/>
      <c r="L33" s="95"/>
      <c r="M33" s="94"/>
      <c r="N33" s="93"/>
      <c r="O33" s="91"/>
      <c r="P33" s="93"/>
      <c r="Q33" s="95"/>
      <c r="R33" s="94"/>
      <c r="S33" s="96"/>
      <c r="T33" s="91"/>
      <c r="U33" s="91"/>
      <c r="V33" s="92"/>
      <c r="W33" s="92"/>
      <c r="X33" s="93"/>
      <c r="Y33" s="93"/>
      <c r="Z33" s="93"/>
    </row>
    <row r="34" ht="15.75" customHeight="1">
      <c r="A34" s="94"/>
      <c r="B34" s="93"/>
      <c r="C34" s="91"/>
      <c r="D34" s="93"/>
      <c r="E34" s="91"/>
      <c r="F34" s="95"/>
      <c r="G34" s="91"/>
      <c r="H34" s="93"/>
      <c r="I34" s="96"/>
      <c r="J34" s="93"/>
      <c r="K34" s="91"/>
      <c r="L34" s="95"/>
      <c r="M34" s="94"/>
      <c r="N34" s="93"/>
      <c r="O34" s="91"/>
      <c r="P34" s="93"/>
      <c r="Q34" s="95"/>
      <c r="R34" s="94"/>
      <c r="S34" s="96"/>
      <c r="T34" s="91"/>
      <c r="U34" s="91"/>
      <c r="V34" s="92"/>
      <c r="W34" s="92"/>
      <c r="X34" s="93"/>
      <c r="Y34" s="93"/>
      <c r="Z34" s="93"/>
    </row>
    <row r="35" ht="15.75" customHeight="1">
      <c r="A35" s="94"/>
      <c r="B35" s="93"/>
      <c r="C35" s="91"/>
      <c r="D35" s="93"/>
      <c r="E35" s="91"/>
      <c r="F35" s="95"/>
      <c r="G35" s="91"/>
      <c r="H35" s="93"/>
      <c r="I35" s="96"/>
      <c r="J35" s="93"/>
      <c r="K35" s="91"/>
      <c r="L35" s="95"/>
      <c r="M35" s="94"/>
      <c r="N35" s="93"/>
      <c r="O35" s="91"/>
      <c r="P35" s="93"/>
      <c r="Q35" s="95"/>
      <c r="R35" s="94"/>
      <c r="S35" s="96"/>
      <c r="T35" s="91"/>
      <c r="U35" s="91"/>
      <c r="V35" s="92"/>
      <c r="W35" s="92"/>
      <c r="X35" s="93"/>
      <c r="Y35" s="93"/>
      <c r="Z35" s="93"/>
    </row>
    <row r="36" ht="15.75" customHeight="1">
      <c r="A36" s="94"/>
      <c r="B36" s="93"/>
      <c r="C36" s="91"/>
      <c r="D36" s="93"/>
      <c r="E36" s="91"/>
      <c r="F36" s="95"/>
      <c r="G36" s="91"/>
      <c r="H36" s="93"/>
      <c r="I36" s="96"/>
      <c r="J36" s="93"/>
      <c r="K36" s="91"/>
      <c r="L36" s="95"/>
      <c r="M36" s="94"/>
      <c r="N36" s="93"/>
      <c r="O36" s="91"/>
      <c r="P36" s="93"/>
      <c r="Q36" s="95"/>
      <c r="R36" s="94"/>
      <c r="S36" s="96"/>
      <c r="T36" s="91"/>
      <c r="U36" s="91"/>
      <c r="V36" s="92"/>
      <c r="W36" s="92"/>
      <c r="X36" s="93"/>
      <c r="Y36" s="93"/>
      <c r="Z36" s="93"/>
    </row>
    <row r="37" ht="15.75" customHeight="1">
      <c r="A37" s="94"/>
      <c r="B37" s="93"/>
      <c r="C37" s="91"/>
      <c r="D37" s="93"/>
      <c r="E37" s="91"/>
      <c r="F37" s="95"/>
      <c r="G37" s="91"/>
      <c r="H37" s="93"/>
      <c r="I37" s="96"/>
      <c r="J37" s="93"/>
      <c r="K37" s="91"/>
      <c r="L37" s="95"/>
      <c r="M37" s="94"/>
      <c r="N37" s="93"/>
      <c r="O37" s="91"/>
      <c r="P37" s="93"/>
      <c r="Q37" s="95"/>
      <c r="R37" s="94"/>
      <c r="S37" s="96"/>
      <c r="T37" s="91"/>
      <c r="U37" s="91"/>
      <c r="V37" s="92"/>
      <c r="W37" s="92"/>
      <c r="X37" s="93"/>
      <c r="Y37" s="93"/>
      <c r="Z37" s="93"/>
    </row>
    <row r="38" ht="15.75" customHeight="1">
      <c r="A38" s="94"/>
      <c r="B38" s="93"/>
      <c r="C38" s="91"/>
      <c r="D38" s="93"/>
      <c r="E38" s="91"/>
      <c r="F38" s="95"/>
      <c r="G38" s="91"/>
      <c r="H38" s="93"/>
      <c r="I38" s="96"/>
      <c r="J38" s="93"/>
      <c r="K38" s="91"/>
      <c r="L38" s="95"/>
      <c r="M38" s="94"/>
      <c r="N38" s="93"/>
      <c r="O38" s="91"/>
      <c r="P38" s="93"/>
      <c r="Q38" s="95"/>
      <c r="R38" s="94"/>
      <c r="S38" s="96"/>
      <c r="T38" s="91"/>
      <c r="U38" s="91"/>
      <c r="V38" s="92"/>
      <c r="W38" s="92"/>
      <c r="X38" s="93"/>
      <c r="Y38" s="93"/>
      <c r="Z38" s="93"/>
    </row>
    <row r="39" ht="15.75" customHeight="1">
      <c r="A39" s="94"/>
      <c r="B39" s="93"/>
      <c r="C39" s="91"/>
      <c r="D39" s="93"/>
      <c r="E39" s="91"/>
      <c r="F39" s="95"/>
      <c r="G39" s="91"/>
      <c r="H39" s="93"/>
      <c r="I39" s="96"/>
      <c r="J39" s="93"/>
      <c r="K39" s="91"/>
      <c r="L39" s="95"/>
      <c r="M39" s="94"/>
      <c r="N39" s="93"/>
      <c r="O39" s="91"/>
      <c r="P39" s="93"/>
      <c r="Q39" s="95"/>
      <c r="R39" s="94"/>
      <c r="S39" s="96"/>
      <c r="T39" s="91"/>
      <c r="U39" s="91"/>
      <c r="V39" s="92"/>
      <c r="W39" s="92"/>
      <c r="X39" s="93"/>
      <c r="Y39" s="93"/>
      <c r="Z39" s="93"/>
    </row>
    <row r="40" ht="15.75" customHeight="1">
      <c r="A40" s="94"/>
      <c r="B40" s="93"/>
      <c r="C40" s="91"/>
      <c r="D40" s="93"/>
      <c r="E40" s="91"/>
      <c r="F40" s="95"/>
      <c r="G40" s="91"/>
      <c r="H40" s="93"/>
      <c r="I40" s="96"/>
      <c r="J40" s="93"/>
      <c r="K40" s="91"/>
      <c r="L40" s="95"/>
      <c r="M40" s="94"/>
      <c r="N40" s="93"/>
      <c r="O40" s="91"/>
      <c r="P40" s="93"/>
      <c r="Q40" s="95"/>
      <c r="R40" s="94"/>
      <c r="S40" s="96"/>
      <c r="T40" s="91"/>
      <c r="U40" s="91"/>
      <c r="V40" s="92"/>
      <c r="W40" s="92"/>
      <c r="X40" s="93"/>
      <c r="Y40" s="93"/>
      <c r="Z40" s="93"/>
    </row>
    <row r="41" ht="15.75" customHeight="1">
      <c r="A41" s="94"/>
      <c r="B41" s="93"/>
      <c r="C41" s="91"/>
      <c r="D41" s="93"/>
      <c r="E41" s="91"/>
      <c r="F41" s="95"/>
      <c r="G41" s="91"/>
      <c r="H41" s="93"/>
      <c r="I41" s="96"/>
      <c r="J41" s="93"/>
      <c r="K41" s="91"/>
      <c r="L41" s="95"/>
      <c r="M41" s="94"/>
      <c r="N41" s="93"/>
      <c r="O41" s="91"/>
      <c r="P41" s="93"/>
      <c r="Q41" s="95"/>
      <c r="R41" s="94"/>
      <c r="S41" s="96"/>
      <c r="T41" s="91"/>
      <c r="U41" s="91"/>
      <c r="V41" s="92"/>
      <c r="W41" s="92"/>
      <c r="X41" s="93"/>
      <c r="Y41" s="93"/>
      <c r="Z41" s="93"/>
    </row>
    <row r="42" ht="15.75" customHeight="1">
      <c r="A42" s="94"/>
      <c r="B42" s="93"/>
      <c r="C42" s="91"/>
      <c r="D42" s="93"/>
      <c r="E42" s="91"/>
      <c r="F42" s="95"/>
      <c r="G42" s="91"/>
      <c r="H42" s="93"/>
      <c r="I42" s="96"/>
      <c r="J42" s="93"/>
      <c r="K42" s="91"/>
      <c r="L42" s="95"/>
      <c r="M42" s="94"/>
      <c r="N42" s="93"/>
      <c r="O42" s="91"/>
      <c r="P42" s="93"/>
      <c r="Q42" s="95"/>
      <c r="R42" s="94"/>
      <c r="S42" s="96"/>
      <c r="T42" s="91"/>
      <c r="U42" s="91"/>
      <c r="V42" s="92"/>
      <c r="W42" s="92"/>
      <c r="X42" s="93"/>
      <c r="Y42" s="93"/>
      <c r="Z42" s="93"/>
    </row>
    <row r="43" ht="15.75" customHeight="1">
      <c r="A43" s="94"/>
      <c r="B43" s="93"/>
      <c r="C43" s="91"/>
      <c r="D43" s="93"/>
      <c r="E43" s="91"/>
      <c r="F43" s="95"/>
      <c r="G43" s="91"/>
      <c r="H43" s="93"/>
      <c r="I43" s="96"/>
      <c r="J43" s="93"/>
      <c r="K43" s="91"/>
      <c r="L43" s="95"/>
      <c r="M43" s="94"/>
      <c r="N43" s="93"/>
      <c r="O43" s="91"/>
      <c r="P43" s="93"/>
      <c r="Q43" s="95"/>
      <c r="R43" s="94"/>
      <c r="S43" s="96"/>
      <c r="T43" s="91"/>
      <c r="U43" s="91"/>
      <c r="V43" s="92"/>
      <c r="W43" s="92"/>
      <c r="X43" s="93"/>
      <c r="Y43" s="93"/>
      <c r="Z43" s="93"/>
    </row>
    <row r="44" ht="15.75" customHeight="1">
      <c r="A44" s="94"/>
      <c r="B44" s="93"/>
      <c r="C44" s="91"/>
      <c r="D44" s="93"/>
      <c r="E44" s="91"/>
      <c r="F44" s="95"/>
      <c r="G44" s="91"/>
      <c r="H44" s="93"/>
      <c r="I44" s="96"/>
      <c r="J44" s="93"/>
      <c r="K44" s="91"/>
      <c r="L44" s="95"/>
      <c r="M44" s="94"/>
      <c r="N44" s="93"/>
      <c r="O44" s="91"/>
      <c r="P44" s="93"/>
      <c r="Q44" s="95"/>
      <c r="R44" s="94"/>
      <c r="S44" s="96"/>
      <c r="T44" s="91"/>
      <c r="U44" s="91"/>
      <c r="V44" s="92"/>
      <c r="W44" s="92"/>
      <c r="X44" s="93"/>
      <c r="Y44" s="93"/>
      <c r="Z44" s="93"/>
    </row>
    <row r="45" ht="15.75" customHeight="1">
      <c r="A45" s="94"/>
      <c r="B45" s="93"/>
      <c r="C45" s="91"/>
      <c r="D45" s="93"/>
      <c r="E45" s="91"/>
      <c r="F45" s="95"/>
      <c r="G45" s="91"/>
      <c r="H45" s="93"/>
      <c r="I45" s="96"/>
      <c r="J45" s="93"/>
      <c r="K45" s="91"/>
      <c r="L45" s="95"/>
      <c r="M45" s="94"/>
      <c r="N45" s="93"/>
      <c r="O45" s="91"/>
      <c r="P45" s="93"/>
      <c r="Q45" s="95"/>
      <c r="R45" s="94"/>
      <c r="S45" s="96"/>
      <c r="T45" s="91"/>
      <c r="U45" s="91"/>
      <c r="V45" s="92"/>
      <c r="W45" s="92"/>
      <c r="X45" s="93"/>
      <c r="Y45" s="93"/>
      <c r="Z45" s="93"/>
    </row>
    <row r="46" ht="15.75" customHeight="1">
      <c r="A46" s="94"/>
      <c r="B46" s="93"/>
      <c r="C46" s="91"/>
      <c r="D46" s="93"/>
      <c r="E46" s="91"/>
      <c r="F46" s="95"/>
      <c r="G46" s="91"/>
      <c r="H46" s="93"/>
      <c r="I46" s="96"/>
      <c r="J46" s="93"/>
      <c r="K46" s="91"/>
      <c r="L46" s="95"/>
      <c r="M46" s="94"/>
      <c r="N46" s="93"/>
      <c r="O46" s="91"/>
      <c r="P46" s="93"/>
      <c r="Q46" s="95"/>
      <c r="R46" s="94"/>
      <c r="S46" s="96"/>
      <c r="T46" s="91"/>
      <c r="U46" s="91"/>
      <c r="V46" s="92"/>
      <c r="W46" s="92"/>
      <c r="X46" s="93"/>
      <c r="Y46" s="93"/>
      <c r="Z46" s="93"/>
    </row>
    <row r="47" ht="15.75" customHeight="1">
      <c r="A47" s="94"/>
      <c r="B47" s="93"/>
      <c r="C47" s="91"/>
      <c r="D47" s="93"/>
      <c r="E47" s="91"/>
      <c r="F47" s="95"/>
      <c r="G47" s="91"/>
      <c r="H47" s="93"/>
      <c r="I47" s="96"/>
      <c r="J47" s="93"/>
      <c r="K47" s="91"/>
      <c r="L47" s="95"/>
      <c r="M47" s="94"/>
      <c r="N47" s="93"/>
      <c r="O47" s="91"/>
      <c r="P47" s="93"/>
      <c r="Q47" s="95"/>
      <c r="R47" s="94"/>
      <c r="S47" s="96"/>
      <c r="T47" s="91"/>
      <c r="U47" s="91"/>
      <c r="V47" s="92"/>
      <c r="W47" s="92"/>
      <c r="X47" s="93"/>
      <c r="Y47" s="93"/>
      <c r="Z47" s="93"/>
    </row>
    <row r="48" ht="15.75" customHeight="1">
      <c r="A48" s="94"/>
      <c r="B48" s="93"/>
      <c r="C48" s="91"/>
      <c r="D48" s="93"/>
      <c r="E48" s="91"/>
      <c r="F48" s="95"/>
      <c r="G48" s="91"/>
      <c r="H48" s="93"/>
      <c r="I48" s="96"/>
      <c r="J48" s="93"/>
      <c r="K48" s="91"/>
      <c r="L48" s="95"/>
      <c r="M48" s="94"/>
      <c r="N48" s="93"/>
      <c r="O48" s="91"/>
      <c r="P48" s="93"/>
      <c r="Q48" s="95"/>
      <c r="R48" s="94"/>
      <c r="S48" s="96"/>
      <c r="T48" s="91"/>
      <c r="U48" s="91"/>
      <c r="V48" s="92"/>
      <c r="W48" s="92"/>
      <c r="X48" s="93"/>
      <c r="Y48" s="93"/>
      <c r="Z48" s="93"/>
    </row>
    <row r="49" ht="15.75" customHeight="1">
      <c r="A49" s="94"/>
      <c r="B49" s="93"/>
      <c r="C49" s="91"/>
      <c r="D49" s="93"/>
      <c r="E49" s="91"/>
      <c r="F49" s="95"/>
      <c r="G49" s="91"/>
      <c r="H49" s="93"/>
      <c r="I49" s="96"/>
      <c r="J49" s="93"/>
      <c r="K49" s="91"/>
      <c r="L49" s="95"/>
      <c r="M49" s="94"/>
      <c r="N49" s="93"/>
      <c r="O49" s="91"/>
      <c r="P49" s="93"/>
      <c r="Q49" s="95"/>
      <c r="R49" s="94"/>
      <c r="S49" s="96"/>
      <c r="T49" s="91"/>
      <c r="U49" s="91"/>
      <c r="V49" s="92"/>
      <c r="W49" s="92"/>
      <c r="X49" s="93"/>
      <c r="Y49" s="93"/>
      <c r="Z49" s="93"/>
    </row>
    <row r="50" ht="15.75" customHeight="1">
      <c r="A50" s="94"/>
      <c r="B50" s="93"/>
      <c r="C50" s="91"/>
      <c r="D50" s="93"/>
      <c r="E50" s="91"/>
      <c r="F50" s="95"/>
      <c r="G50" s="91"/>
      <c r="H50" s="93"/>
      <c r="I50" s="96"/>
      <c r="J50" s="93"/>
      <c r="K50" s="91"/>
      <c r="L50" s="95"/>
      <c r="M50" s="94"/>
      <c r="N50" s="93"/>
      <c r="O50" s="91"/>
      <c r="P50" s="93"/>
      <c r="Q50" s="95"/>
      <c r="R50" s="94"/>
      <c r="S50" s="96"/>
      <c r="T50" s="91"/>
      <c r="U50" s="91"/>
      <c r="V50" s="92"/>
      <c r="W50" s="92"/>
      <c r="X50" s="93"/>
      <c r="Y50" s="93"/>
      <c r="Z50" s="93"/>
    </row>
    <row r="51" ht="15.75" customHeight="1">
      <c r="A51" s="94"/>
      <c r="B51" s="93"/>
      <c r="C51" s="91"/>
      <c r="D51" s="93"/>
      <c r="E51" s="91"/>
      <c r="F51" s="95"/>
      <c r="G51" s="91"/>
      <c r="H51" s="93"/>
      <c r="I51" s="96"/>
      <c r="J51" s="93"/>
      <c r="K51" s="91"/>
      <c r="L51" s="95"/>
      <c r="M51" s="94"/>
      <c r="N51" s="93"/>
      <c r="O51" s="91"/>
      <c r="P51" s="93"/>
      <c r="Q51" s="95"/>
      <c r="R51" s="94"/>
      <c r="S51" s="96"/>
      <c r="T51" s="91"/>
      <c r="U51" s="91"/>
      <c r="V51" s="92"/>
      <c r="W51" s="92"/>
      <c r="X51" s="93"/>
      <c r="Y51" s="93"/>
      <c r="Z51" s="93"/>
    </row>
    <row r="52" ht="15.75" customHeight="1">
      <c r="A52" s="94"/>
      <c r="B52" s="93"/>
      <c r="C52" s="91"/>
      <c r="D52" s="93"/>
      <c r="E52" s="91"/>
      <c r="F52" s="95"/>
      <c r="G52" s="91"/>
      <c r="H52" s="93"/>
      <c r="I52" s="96"/>
      <c r="J52" s="93"/>
      <c r="K52" s="91"/>
      <c r="L52" s="95"/>
      <c r="M52" s="94"/>
      <c r="N52" s="93"/>
      <c r="O52" s="91"/>
      <c r="P52" s="93"/>
      <c r="Q52" s="95"/>
      <c r="R52" s="94"/>
      <c r="S52" s="96"/>
      <c r="T52" s="91"/>
      <c r="U52" s="91"/>
      <c r="V52" s="92"/>
      <c r="W52" s="92"/>
      <c r="X52" s="93"/>
      <c r="Y52" s="93"/>
      <c r="Z52" s="93"/>
    </row>
    <row r="53" ht="15.75" customHeight="1">
      <c r="A53" s="94"/>
      <c r="B53" s="93"/>
      <c r="C53" s="91"/>
      <c r="D53" s="93"/>
      <c r="E53" s="91"/>
      <c r="F53" s="95"/>
      <c r="G53" s="91"/>
      <c r="H53" s="93"/>
      <c r="I53" s="96"/>
      <c r="J53" s="93"/>
      <c r="K53" s="91"/>
      <c r="L53" s="95"/>
      <c r="M53" s="94"/>
      <c r="N53" s="93"/>
      <c r="O53" s="91"/>
      <c r="P53" s="93"/>
      <c r="Q53" s="95"/>
      <c r="R53" s="94"/>
      <c r="S53" s="96"/>
      <c r="T53" s="91"/>
      <c r="U53" s="91"/>
      <c r="V53" s="92"/>
      <c r="W53" s="92"/>
      <c r="X53" s="93"/>
      <c r="Y53" s="93"/>
      <c r="Z53" s="93"/>
    </row>
    <row r="54" ht="15.75" customHeight="1">
      <c r="A54" s="94"/>
      <c r="B54" s="93"/>
      <c r="C54" s="91"/>
      <c r="D54" s="93"/>
      <c r="E54" s="91"/>
      <c r="F54" s="95"/>
      <c r="G54" s="91"/>
      <c r="H54" s="93"/>
      <c r="I54" s="96"/>
      <c r="J54" s="93"/>
      <c r="K54" s="91"/>
      <c r="L54" s="95"/>
      <c r="M54" s="94"/>
      <c r="N54" s="93"/>
      <c r="O54" s="91"/>
      <c r="P54" s="93"/>
      <c r="Q54" s="95"/>
      <c r="R54" s="94"/>
      <c r="S54" s="96"/>
      <c r="T54" s="91"/>
      <c r="U54" s="91"/>
      <c r="V54" s="92"/>
      <c r="W54" s="92"/>
      <c r="X54" s="93"/>
      <c r="Y54" s="93"/>
      <c r="Z54" s="93"/>
    </row>
    <row r="55" ht="15.75" customHeight="1">
      <c r="A55" s="94"/>
      <c r="B55" s="93"/>
      <c r="C55" s="91"/>
      <c r="D55" s="93"/>
      <c r="E55" s="91"/>
      <c r="F55" s="95"/>
      <c r="G55" s="91"/>
      <c r="H55" s="93"/>
      <c r="I55" s="96"/>
      <c r="J55" s="93"/>
      <c r="K55" s="91"/>
      <c r="L55" s="95"/>
      <c r="M55" s="94"/>
      <c r="N55" s="93"/>
      <c r="O55" s="91"/>
      <c r="P55" s="93"/>
      <c r="Q55" s="95"/>
      <c r="R55" s="94"/>
      <c r="S55" s="96"/>
      <c r="T55" s="91"/>
      <c r="U55" s="91"/>
      <c r="V55" s="92"/>
      <c r="W55" s="92"/>
      <c r="X55" s="93"/>
      <c r="Y55" s="93"/>
      <c r="Z55" s="93"/>
    </row>
    <row r="56" ht="15.75" customHeight="1">
      <c r="A56" s="94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/>
      <c r="N57" s="7"/>
      <c r="O57" s="7"/>
      <c r="P57" s="7"/>
      <c r="Q57" s="7"/>
      <c r="R57" s="2"/>
      <c r="S57" s="2"/>
      <c r="T57" s="2"/>
      <c r="U57" s="8"/>
      <c r="V57" s="8"/>
      <c r="W57" s="8"/>
      <c r="X57" s="8"/>
      <c r="Y57" s="8"/>
      <c r="Z57" s="8"/>
    </row>
    <row r="58" ht="15.75" customHeight="1">
      <c r="A58" s="3"/>
      <c r="B58" s="15"/>
      <c r="C58" s="16"/>
      <c r="D58" s="17"/>
      <c r="E58" s="16"/>
      <c r="F58" s="20"/>
      <c r="G58" s="16"/>
      <c r="H58" s="17"/>
      <c r="I58" s="15"/>
      <c r="J58" s="17"/>
      <c r="K58" s="16"/>
      <c r="L58" s="20"/>
      <c r="M58" s="3"/>
      <c r="N58" s="15"/>
      <c r="O58" s="16"/>
      <c r="P58" s="17"/>
      <c r="Q58" s="20"/>
      <c r="R58" s="3"/>
      <c r="S58" s="15"/>
      <c r="T58" s="16"/>
      <c r="U58" s="16"/>
      <c r="V58" s="23"/>
      <c r="W58" s="23"/>
      <c r="X58" s="17"/>
      <c r="Y58" s="17"/>
      <c r="Z58" s="17"/>
    </row>
    <row r="59" ht="15.75" customHeight="1">
      <c r="A59" s="3"/>
      <c r="B59" s="15"/>
      <c r="C59" s="16"/>
      <c r="D59" s="17"/>
      <c r="E59" s="16"/>
      <c r="F59" s="20"/>
      <c r="G59" s="16"/>
      <c r="H59" s="17"/>
      <c r="I59" s="15"/>
      <c r="J59" s="17"/>
      <c r="K59" s="16"/>
      <c r="L59" s="20"/>
      <c r="M59" s="3"/>
      <c r="N59" s="15"/>
      <c r="O59" s="16"/>
      <c r="P59" s="17"/>
      <c r="Q59" s="20"/>
      <c r="R59" s="3"/>
      <c r="S59" s="15"/>
      <c r="T59" s="16"/>
      <c r="U59" s="16"/>
      <c r="V59" s="23"/>
      <c r="W59" s="23"/>
      <c r="X59" s="17"/>
      <c r="Y59" s="17"/>
      <c r="Z59" s="17"/>
    </row>
    <row r="60" ht="15.75" customHeight="1">
      <c r="A60" s="94"/>
      <c r="B60" s="96"/>
      <c r="C60" s="91"/>
      <c r="D60" s="93"/>
      <c r="E60" s="91"/>
      <c r="F60" s="95"/>
      <c r="G60" s="91"/>
      <c r="H60" s="93"/>
      <c r="I60" s="96"/>
      <c r="J60" s="93"/>
      <c r="K60" s="91"/>
      <c r="L60" s="95"/>
      <c r="M60" s="94"/>
      <c r="N60" s="96"/>
      <c r="O60" s="91"/>
      <c r="P60" s="93"/>
      <c r="Q60" s="95"/>
      <c r="R60" s="94"/>
      <c r="S60" s="96"/>
      <c r="T60" s="91"/>
      <c r="U60" s="91"/>
      <c r="V60" s="92"/>
      <c r="W60" s="92"/>
      <c r="X60" s="93"/>
      <c r="Y60" s="93"/>
      <c r="Z60" s="93"/>
    </row>
    <row r="61" ht="15.75" customHeight="1">
      <c r="A61" s="94"/>
      <c r="B61" s="96"/>
      <c r="C61" s="91"/>
      <c r="D61" s="93"/>
      <c r="E61" s="91"/>
      <c r="F61" s="95"/>
      <c r="G61" s="91"/>
      <c r="H61" s="93"/>
      <c r="I61" s="96"/>
      <c r="J61" s="93"/>
      <c r="K61" s="91"/>
      <c r="L61" s="95"/>
      <c r="M61" s="94"/>
      <c r="N61" s="96"/>
      <c r="O61" s="91"/>
      <c r="P61" s="93"/>
      <c r="Q61" s="95"/>
      <c r="R61" s="94"/>
      <c r="S61" s="96"/>
      <c r="T61" s="91"/>
      <c r="U61" s="91"/>
      <c r="V61" s="92"/>
      <c r="W61" s="92"/>
      <c r="X61" s="93"/>
      <c r="Y61" s="93"/>
      <c r="Z61" s="93"/>
    </row>
    <row r="62" ht="15.75" customHeight="1">
      <c r="A62" s="94"/>
      <c r="B62" s="96"/>
      <c r="C62" s="91"/>
      <c r="D62" s="93"/>
      <c r="E62" s="91"/>
      <c r="F62" s="95"/>
      <c r="G62" s="91"/>
      <c r="H62" s="93"/>
      <c r="I62" s="96"/>
      <c r="J62" s="93"/>
      <c r="K62" s="91"/>
      <c r="L62" s="95"/>
      <c r="M62" s="94"/>
      <c r="N62" s="96"/>
      <c r="O62" s="91"/>
      <c r="P62" s="93"/>
      <c r="Q62" s="95"/>
      <c r="R62" s="94"/>
      <c r="S62" s="96"/>
      <c r="T62" s="91"/>
      <c r="U62" s="91"/>
      <c r="V62" s="92"/>
      <c r="W62" s="92"/>
      <c r="X62" s="93"/>
      <c r="Y62" s="93"/>
      <c r="Z62" s="93"/>
    </row>
    <row r="63" ht="15.75" customHeight="1">
      <c r="A63" s="94"/>
      <c r="B63" s="96"/>
      <c r="C63" s="91"/>
      <c r="D63" s="93"/>
      <c r="E63" s="91"/>
      <c r="F63" s="95"/>
      <c r="G63" s="91"/>
      <c r="H63" s="93"/>
      <c r="I63" s="96"/>
      <c r="J63" s="93"/>
      <c r="K63" s="91"/>
      <c r="L63" s="95"/>
      <c r="M63" s="94"/>
      <c r="N63" s="96"/>
      <c r="O63" s="91"/>
      <c r="P63" s="93"/>
      <c r="Q63" s="95"/>
      <c r="R63" s="94"/>
      <c r="S63" s="96"/>
      <c r="T63" s="91"/>
      <c r="U63" s="91"/>
      <c r="V63" s="92"/>
      <c r="W63" s="92"/>
      <c r="X63" s="93"/>
      <c r="Y63" s="93"/>
      <c r="Z63" s="93"/>
    </row>
    <row r="64" ht="15.75" customHeight="1">
      <c r="A64" s="94"/>
      <c r="B64" s="96"/>
      <c r="C64" s="91"/>
      <c r="D64" s="93"/>
      <c r="E64" s="91"/>
      <c r="F64" s="95"/>
      <c r="G64" s="91"/>
      <c r="H64" s="93"/>
      <c r="I64" s="96"/>
      <c r="J64" s="93"/>
      <c r="K64" s="91"/>
      <c r="L64" s="95"/>
      <c r="M64" s="94"/>
      <c r="N64" s="96"/>
      <c r="O64" s="91"/>
      <c r="P64" s="93"/>
      <c r="Q64" s="95"/>
      <c r="R64" s="94"/>
      <c r="S64" s="96"/>
      <c r="T64" s="91"/>
      <c r="U64" s="91"/>
      <c r="V64" s="92"/>
      <c r="W64" s="92"/>
      <c r="X64" s="93"/>
      <c r="Y64" s="93"/>
      <c r="Z64" s="93"/>
    </row>
    <row r="65" ht="15.75" customHeight="1">
      <c r="A65" s="94"/>
      <c r="B65" s="96"/>
      <c r="C65" s="91"/>
      <c r="D65" s="93"/>
      <c r="E65" s="91"/>
      <c r="F65" s="95"/>
      <c r="G65" s="91"/>
      <c r="H65" s="93"/>
      <c r="I65" s="96"/>
      <c r="J65" s="93"/>
      <c r="K65" s="91"/>
      <c r="L65" s="95"/>
      <c r="M65" s="94"/>
      <c r="N65" s="96"/>
      <c r="O65" s="91"/>
      <c r="P65" s="93"/>
      <c r="Q65" s="95"/>
      <c r="R65" s="94"/>
      <c r="S65" s="96"/>
      <c r="T65" s="91"/>
      <c r="U65" s="91"/>
      <c r="V65" s="92"/>
      <c r="W65" s="92"/>
      <c r="X65" s="93"/>
      <c r="Y65" s="93"/>
      <c r="Z65" s="93"/>
    </row>
    <row r="66" ht="15.75" customHeight="1">
      <c r="A66" s="94"/>
      <c r="B66" s="96"/>
      <c r="C66" s="91"/>
      <c r="D66" s="93"/>
      <c r="E66" s="91"/>
      <c r="F66" s="95"/>
      <c r="G66" s="91"/>
      <c r="H66" s="93"/>
      <c r="I66" s="96"/>
      <c r="J66" s="93"/>
      <c r="K66" s="91"/>
      <c r="L66" s="95"/>
      <c r="M66" s="94"/>
      <c r="N66" s="96"/>
      <c r="O66" s="91"/>
      <c r="P66" s="93"/>
      <c r="Q66" s="95"/>
      <c r="R66" s="94"/>
      <c r="S66" s="96"/>
      <c r="T66" s="91"/>
      <c r="U66" s="91"/>
      <c r="V66" s="92"/>
      <c r="W66" s="92"/>
      <c r="X66" s="93"/>
      <c r="Y66" s="93"/>
      <c r="Z66" s="93"/>
    </row>
    <row r="67" ht="15.75" customHeight="1">
      <c r="A67" s="94"/>
      <c r="B67" s="96"/>
      <c r="C67" s="91"/>
      <c r="D67" s="93"/>
      <c r="E67" s="91"/>
      <c r="F67" s="95"/>
      <c r="G67" s="91"/>
      <c r="H67" s="93"/>
      <c r="I67" s="96"/>
      <c r="J67" s="93"/>
      <c r="K67" s="91"/>
      <c r="L67" s="95"/>
      <c r="M67" s="94"/>
      <c r="N67" s="96"/>
      <c r="O67" s="91"/>
      <c r="P67" s="93"/>
      <c r="Q67" s="95"/>
      <c r="R67" s="94"/>
      <c r="S67" s="96"/>
      <c r="T67" s="91"/>
      <c r="U67" s="91"/>
      <c r="V67" s="92"/>
      <c r="W67" s="92"/>
      <c r="X67" s="93"/>
      <c r="Y67" s="93"/>
      <c r="Z67" s="93"/>
    </row>
    <row r="68" ht="15.75" customHeight="1">
      <c r="A68" s="94"/>
      <c r="B68" s="96"/>
      <c r="C68" s="91"/>
      <c r="D68" s="93"/>
      <c r="E68" s="91"/>
      <c r="F68" s="95"/>
      <c r="G68" s="91"/>
      <c r="H68" s="93"/>
      <c r="I68" s="96"/>
      <c r="J68" s="93"/>
      <c r="K68" s="91"/>
      <c r="L68" s="95"/>
      <c r="M68" s="94"/>
      <c r="N68" s="96"/>
      <c r="O68" s="91"/>
      <c r="P68" s="93"/>
      <c r="Q68" s="95"/>
      <c r="R68" s="94"/>
      <c r="S68" s="96"/>
      <c r="T68" s="91"/>
      <c r="U68" s="91"/>
      <c r="V68" s="92"/>
      <c r="W68" s="92"/>
      <c r="X68" s="93"/>
      <c r="Y68" s="93"/>
      <c r="Z68" s="93"/>
    </row>
    <row r="69" ht="15.75" customHeight="1">
      <c r="A69" s="94"/>
      <c r="B69" s="96"/>
      <c r="C69" s="91"/>
      <c r="D69" s="93"/>
      <c r="E69" s="91"/>
      <c r="F69" s="95"/>
      <c r="G69" s="91"/>
      <c r="H69" s="93"/>
      <c r="I69" s="96"/>
      <c r="J69" s="93"/>
      <c r="K69" s="91"/>
      <c r="L69" s="95"/>
      <c r="M69" s="94"/>
      <c r="N69" s="96"/>
      <c r="O69" s="91"/>
      <c r="P69" s="93"/>
      <c r="Q69" s="95"/>
      <c r="R69" s="94"/>
      <c r="S69" s="96"/>
      <c r="T69" s="91"/>
      <c r="U69" s="91"/>
      <c r="V69" s="92"/>
      <c r="W69" s="92"/>
      <c r="X69" s="93"/>
      <c r="Y69" s="93"/>
      <c r="Z69" s="93"/>
    </row>
    <row r="70" ht="15.75" customHeight="1">
      <c r="A70" s="94"/>
      <c r="B70" s="96"/>
      <c r="C70" s="91"/>
      <c r="D70" s="93"/>
      <c r="E70" s="91"/>
      <c r="F70" s="95"/>
      <c r="G70" s="91"/>
      <c r="H70" s="93"/>
      <c r="I70" s="96"/>
      <c r="J70" s="93"/>
      <c r="K70" s="91"/>
      <c r="L70" s="95"/>
      <c r="M70" s="94"/>
      <c r="N70" s="96"/>
      <c r="O70" s="91"/>
      <c r="P70" s="93"/>
      <c r="Q70" s="95"/>
      <c r="R70" s="94"/>
      <c r="S70" s="96"/>
      <c r="T70" s="91"/>
      <c r="U70" s="91"/>
      <c r="V70" s="92"/>
      <c r="W70" s="92"/>
      <c r="X70" s="93"/>
      <c r="Y70" s="93"/>
      <c r="Z70" s="93"/>
    </row>
    <row r="71" ht="15.75" customHeight="1">
      <c r="A71" s="94"/>
      <c r="B71" s="96"/>
      <c r="C71" s="91"/>
      <c r="D71" s="93"/>
      <c r="E71" s="91"/>
      <c r="F71" s="95"/>
      <c r="G71" s="91"/>
      <c r="H71" s="93"/>
      <c r="I71" s="96"/>
      <c r="J71" s="93"/>
      <c r="K71" s="91"/>
      <c r="L71" s="95"/>
      <c r="M71" s="94"/>
      <c r="N71" s="96"/>
      <c r="O71" s="91"/>
      <c r="P71" s="93"/>
      <c r="Q71" s="95"/>
      <c r="R71" s="94"/>
      <c r="S71" s="96"/>
      <c r="T71" s="91"/>
      <c r="U71" s="91"/>
      <c r="V71" s="92"/>
      <c r="W71" s="92"/>
      <c r="X71" s="93"/>
      <c r="Y71" s="93"/>
      <c r="Z71" s="93"/>
    </row>
    <row r="72" ht="15.75" customHeight="1">
      <c r="A72" s="94"/>
      <c r="B72" s="96"/>
      <c r="C72" s="91"/>
      <c r="D72" s="93"/>
      <c r="E72" s="91"/>
      <c r="F72" s="95"/>
      <c r="G72" s="91"/>
      <c r="H72" s="93"/>
      <c r="I72" s="96"/>
      <c r="J72" s="93"/>
      <c r="K72" s="91"/>
      <c r="L72" s="95"/>
      <c r="M72" s="94"/>
      <c r="N72" s="96"/>
      <c r="O72" s="91"/>
      <c r="P72" s="93"/>
      <c r="Q72" s="95"/>
      <c r="R72" s="94"/>
      <c r="S72" s="96"/>
      <c r="T72" s="91"/>
      <c r="U72" s="91"/>
      <c r="V72" s="92"/>
      <c r="W72" s="92"/>
      <c r="X72" s="93"/>
      <c r="Y72" s="93"/>
      <c r="Z72" s="93"/>
    </row>
    <row r="73" ht="15.75" customHeight="1">
      <c r="A73" s="94"/>
      <c r="B73" s="96"/>
      <c r="C73" s="91"/>
      <c r="D73" s="93"/>
      <c r="E73" s="91"/>
      <c r="F73" s="95"/>
      <c r="G73" s="91"/>
      <c r="H73" s="93"/>
      <c r="I73" s="96"/>
      <c r="J73" s="93"/>
      <c r="K73" s="91"/>
      <c r="L73" s="95"/>
      <c r="M73" s="94"/>
      <c r="N73" s="96"/>
      <c r="O73" s="91"/>
      <c r="P73" s="93"/>
      <c r="Q73" s="95"/>
      <c r="R73" s="94"/>
      <c r="S73" s="96"/>
      <c r="T73" s="91"/>
      <c r="U73" s="91"/>
      <c r="V73" s="92"/>
      <c r="W73" s="92"/>
      <c r="X73" s="93"/>
      <c r="Y73" s="93"/>
      <c r="Z73" s="93"/>
    </row>
    <row r="74" ht="15.75" customHeight="1">
      <c r="A74" s="94"/>
      <c r="B74" s="96"/>
      <c r="C74" s="91"/>
      <c r="D74" s="93"/>
      <c r="E74" s="91"/>
      <c r="F74" s="95"/>
      <c r="G74" s="91"/>
      <c r="H74" s="93"/>
      <c r="I74" s="96"/>
      <c r="J74" s="93"/>
      <c r="K74" s="91"/>
      <c r="L74" s="95"/>
      <c r="M74" s="94"/>
      <c r="N74" s="96"/>
      <c r="O74" s="91"/>
      <c r="P74" s="93"/>
      <c r="Q74" s="95"/>
      <c r="R74" s="94"/>
      <c r="S74" s="96"/>
      <c r="T74" s="91"/>
      <c r="U74" s="91"/>
      <c r="V74" s="92"/>
      <c r="W74" s="92"/>
      <c r="X74" s="93"/>
      <c r="Y74" s="93"/>
      <c r="Z74" s="93"/>
    </row>
    <row r="75" ht="15.75" customHeight="1">
      <c r="A75" s="94"/>
      <c r="B75" s="96"/>
      <c r="C75" s="91"/>
      <c r="D75" s="93"/>
      <c r="E75" s="91"/>
      <c r="F75" s="95"/>
      <c r="G75" s="91"/>
      <c r="H75" s="93"/>
      <c r="I75" s="96"/>
      <c r="J75" s="93"/>
      <c r="K75" s="91"/>
      <c r="L75" s="95"/>
      <c r="M75" s="94"/>
      <c r="N75" s="96"/>
      <c r="O75" s="91"/>
      <c r="P75" s="93"/>
      <c r="Q75" s="95"/>
      <c r="R75" s="94"/>
      <c r="S75" s="96"/>
      <c r="T75" s="91"/>
      <c r="U75" s="91"/>
      <c r="V75" s="92"/>
      <c r="W75" s="92"/>
      <c r="X75" s="93"/>
      <c r="Y75" s="93"/>
      <c r="Z75" s="93"/>
    </row>
    <row r="76" ht="15.75" customHeight="1">
      <c r="A76" s="94"/>
      <c r="B76" s="96"/>
      <c r="C76" s="91"/>
      <c r="D76" s="93"/>
      <c r="E76" s="91"/>
      <c r="F76" s="95"/>
      <c r="G76" s="91"/>
      <c r="H76" s="93"/>
      <c r="I76" s="96"/>
      <c r="J76" s="93"/>
      <c r="K76" s="91"/>
      <c r="L76" s="95"/>
      <c r="M76" s="94"/>
      <c r="N76" s="96"/>
      <c r="O76" s="91"/>
      <c r="P76" s="93"/>
      <c r="Q76" s="95"/>
      <c r="R76" s="94"/>
      <c r="S76" s="96"/>
      <c r="T76" s="91"/>
      <c r="U76" s="91"/>
      <c r="V76" s="92"/>
      <c r="W76" s="92"/>
      <c r="X76" s="93"/>
      <c r="Y76" s="93"/>
      <c r="Z76" s="93"/>
    </row>
    <row r="77" ht="15.75" customHeight="1">
      <c r="A77" s="94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X77" s="91"/>
      <c r="Y77" s="91"/>
      <c r="Z77" s="91"/>
    </row>
    <row r="78" ht="15.75" customHeight="1">
      <c r="A78" s="94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X78" s="93"/>
      <c r="Y78" s="93"/>
      <c r="Z78" s="93"/>
    </row>
    <row r="79" ht="15.75" customHeight="1">
      <c r="A79" s="94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X79" s="93"/>
      <c r="Y79" s="93"/>
      <c r="Z79" s="93"/>
    </row>
    <row r="80" ht="15.75" customHeight="1">
      <c r="A80" s="94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X80" s="93"/>
      <c r="Y80" s="93"/>
      <c r="Z80" s="93"/>
    </row>
    <row r="81" ht="15.75" customHeight="1">
      <c r="A81" s="94"/>
      <c r="B81" s="93"/>
      <c r="C81" s="93"/>
      <c r="D81" s="93"/>
      <c r="E81" s="93"/>
      <c r="F81" s="93"/>
      <c r="G81" s="105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X81" s="93"/>
      <c r="Y81" s="93"/>
      <c r="Z81" s="93"/>
    </row>
    <row r="82" ht="15.75" customHeight="1">
      <c r="A82" s="94"/>
      <c r="B82" s="93"/>
      <c r="C82" s="93"/>
      <c r="D82" s="93"/>
      <c r="E82" s="93"/>
      <c r="F82" s="93"/>
      <c r="G82" s="105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X82" s="93"/>
      <c r="Y82" s="93"/>
      <c r="Z82" s="93"/>
    </row>
    <row r="83" ht="15.75" customHeight="1">
      <c r="A83" s="94"/>
      <c r="B83" s="93"/>
      <c r="C83" s="93"/>
      <c r="D83" s="93"/>
      <c r="E83" s="93"/>
      <c r="F83" s="93"/>
      <c r="G83" s="105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X83" s="93"/>
      <c r="Y83" s="93"/>
      <c r="Z83" s="93"/>
    </row>
    <row r="84" ht="15.75" customHeight="1">
      <c r="A84" s="94"/>
      <c r="B84" s="93"/>
      <c r="C84" s="93"/>
      <c r="D84" s="93"/>
      <c r="E84" s="93"/>
      <c r="F84" s="93"/>
      <c r="G84" s="105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X84" s="93"/>
      <c r="Y84" s="93"/>
      <c r="Z84" s="93"/>
    </row>
    <row r="85" ht="15.75" customHeight="1">
      <c r="A85" s="94"/>
      <c r="B85" s="93"/>
      <c r="C85" s="93"/>
      <c r="D85" s="93"/>
      <c r="E85" s="93"/>
      <c r="F85" s="93"/>
      <c r="G85" s="105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X85" s="93"/>
      <c r="Y85" s="93"/>
      <c r="Z85" s="93"/>
    </row>
    <row r="86" ht="15.75" customHeight="1">
      <c r="A86" s="94"/>
      <c r="B86" s="93"/>
      <c r="C86" s="93"/>
      <c r="D86" s="93"/>
      <c r="E86" s="93"/>
      <c r="F86" s="93"/>
      <c r="G86" s="105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X86" s="93"/>
      <c r="Y86" s="93"/>
      <c r="Z86" s="93"/>
    </row>
    <row r="87" ht="15.75" customHeight="1">
      <c r="A87" s="94"/>
      <c r="B87" s="93"/>
      <c r="C87" s="93"/>
      <c r="D87" s="93"/>
      <c r="E87" s="93"/>
      <c r="F87" s="93"/>
      <c r="G87" s="105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X87" s="93"/>
      <c r="Y87" s="93"/>
      <c r="Z87" s="93"/>
    </row>
    <row r="88" ht="15.75" customHeight="1">
      <c r="A88" s="94"/>
      <c r="B88" s="93"/>
      <c r="C88" s="95"/>
      <c r="D88" s="95"/>
      <c r="E88" s="93"/>
      <c r="F88" s="93"/>
      <c r="G88" s="105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X88" s="93"/>
      <c r="Y88" s="93"/>
      <c r="Z88" s="93"/>
    </row>
    <row r="89" ht="15.75" customHeight="1">
      <c r="A89" s="94"/>
      <c r="B89" s="93"/>
      <c r="C89" s="93"/>
      <c r="D89" s="93"/>
      <c r="E89" s="93"/>
      <c r="F89" s="93"/>
      <c r="G89" s="19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X89" s="93"/>
      <c r="Y89" s="93"/>
      <c r="Z89" s="93"/>
    </row>
    <row r="90" ht="15.75" customHeight="1">
      <c r="A90" s="94"/>
      <c r="B90" s="93"/>
      <c r="C90" s="93"/>
      <c r="D90" s="93"/>
      <c r="E90" s="93"/>
      <c r="F90" s="93"/>
      <c r="G90" s="105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X90" s="93"/>
      <c r="Y90" s="93"/>
      <c r="Z90" s="93"/>
    </row>
    <row r="91" ht="15.75" customHeight="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/>
      <c r="N91" s="7"/>
      <c r="O91" s="7"/>
      <c r="P91" s="7"/>
      <c r="Q91" s="7"/>
      <c r="R91" s="2"/>
      <c r="S91" s="2"/>
      <c r="T91" s="2"/>
      <c r="U91" s="8"/>
      <c r="V91" s="8"/>
      <c r="W91" s="8"/>
      <c r="X91" s="8"/>
      <c r="Y91" s="8"/>
      <c r="Z91" s="8"/>
    </row>
    <row r="92" ht="15.75" customHeight="1">
      <c r="A92" s="3"/>
      <c r="B92" s="15"/>
      <c r="C92" s="16"/>
      <c r="D92" s="17"/>
      <c r="E92" s="16"/>
      <c r="F92" s="20"/>
      <c r="G92" s="16"/>
      <c r="H92" s="17"/>
      <c r="I92" s="15"/>
      <c r="J92" s="17"/>
      <c r="K92" s="16"/>
      <c r="L92" s="20"/>
      <c r="M92" s="3"/>
      <c r="N92" s="15"/>
      <c r="O92" s="16"/>
      <c r="P92" s="17"/>
      <c r="Q92" s="20"/>
      <c r="R92" s="3"/>
      <c r="S92" s="15"/>
      <c r="T92" s="16"/>
      <c r="U92" s="16"/>
      <c r="V92" s="23"/>
      <c r="W92" s="23"/>
      <c r="X92" s="17"/>
      <c r="Y92" s="17"/>
      <c r="Z92" s="17"/>
      <c r="AA92" s="28"/>
    </row>
    <row r="93" ht="15.75" customHeight="1">
      <c r="A93" s="3"/>
      <c r="B93" s="15"/>
      <c r="C93" s="16"/>
      <c r="D93" s="17"/>
      <c r="E93" s="16"/>
      <c r="F93" s="20"/>
      <c r="G93" s="16"/>
      <c r="H93" s="17"/>
      <c r="I93" s="15"/>
      <c r="J93" s="17"/>
      <c r="K93" s="16"/>
      <c r="L93" s="20"/>
      <c r="M93" s="3"/>
      <c r="N93" s="15"/>
      <c r="O93" s="16"/>
      <c r="P93" s="17"/>
      <c r="Q93" s="20"/>
      <c r="R93" s="3"/>
      <c r="S93" s="15"/>
      <c r="T93" s="16"/>
      <c r="U93" s="16"/>
      <c r="V93" s="23"/>
      <c r="W93" s="23"/>
      <c r="X93" s="17"/>
      <c r="Y93" s="17"/>
      <c r="Z93" s="17"/>
    </row>
    <row r="94" ht="15.75" customHeight="1">
      <c r="A94" s="107"/>
    </row>
    <row r="95" ht="15.75" customHeight="1">
      <c r="A95" s="107"/>
    </row>
    <row r="96" ht="15.75" customHeight="1">
      <c r="A96" s="107"/>
    </row>
    <row r="97" ht="15.75" customHeight="1">
      <c r="A97" s="107"/>
    </row>
    <row r="98" ht="15.75" customHeight="1">
      <c r="A98" s="107"/>
    </row>
    <row r="99" ht="15.75" customHeight="1">
      <c r="A99" s="107"/>
    </row>
    <row r="100" ht="15.75" customHeight="1">
      <c r="A100" s="107"/>
    </row>
    <row r="101" ht="15.75" customHeight="1">
      <c r="A101" s="107"/>
    </row>
    <row r="102" ht="15.75" customHeight="1">
      <c r="A102" s="107"/>
    </row>
    <row r="103" ht="15.75" customHeight="1">
      <c r="A103" s="107"/>
    </row>
    <row r="104" ht="15.75" customHeight="1">
      <c r="A104" s="107"/>
    </row>
    <row r="105" ht="15.75" customHeight="1">
      <c r="A105" s="107"/>
    </row>
    <row r="106" ht="15.75" customHeight="1">
      <c r="A106" s="107"/>
    </row>
    <row r="107" ht="15.75" customHeight="1">
      <c r="A107" s="107"/>
    </row>
    <row r="108" ht="15.75" customHeight="1">
      <c r="A108" s="107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</row>
    <row r="109" ht="15.75" customHeight="1">
      <c r="A109" s="107"/>
      <c r="B109" s="110"/>
      <c r="C109" s="112"/>
      <c r="D109" s="113"/>
      <c r="E109" s="114"/>
      <c r="F109" s="113"/>
      <c r="G109" s="115"/>
      <c r="H109" s="113"/>
      <c r="I109" s="117"/>
      <c r="J109" s="118"/>
      <c r="K109" s="117"/>
      <c r="L109" s="114"/>
      <c r="M109" s="119"/>
      <c r="N109" s="119"/>
      <c r="O109" s="118"/>
      <c r="P109" s="120"/>
      <c r="Q109" s="121"/>
      <c r="R109" s="114"/>
      <c r="S109" s="118"/>
      <c r="T109" s="120"/>
    </row>
    <row r="110" ht="15.75" customHeight="1">
      <c r="A110" s="107"/>
    </row>
    <row r="111" ht="15.75" customHeight="1">
      <c r="A111" s="107"/>
      <c r="K111" s="122"/>
    </row>
    <row r="112" ht="15.75" customHeight="1">
      <c r="A112" s="107"/>
    </row>
    <row r="113" ht="15.75" customHeight="1">
      <c r="A113" s="107"/>
    </row>
    <row r="114" ht="15.75" customHeight="1">
      <c r="A114" s="107"/>
    </row>
    <row r="115" ht="15.75" customHeight="1">
      <c r="A115" s="107"/>
    </row>
    <row r="116" ht="15.75" customHeight="1">
      <c r="A116" s="107"/>
    </row>
    <row r="117" ht="15.75" customHeight="1">
      <c r="A117" s="107"/>
    </row>
    <row r="118" ht="15.75" customHeight="1">
      <c r="A118" s="107"/>
    </row>
    <row r="119" ht="15.75" customHeight="1">
      <c r="A119" s="107"/>
    </row>
    <row r="120" ht="15.75" customHeight="1">
      <c r="A120" s="107"/>
    </row>
    <row r="121" ht="15.75" customHeight="1">
      <c r="A121" s="107"/>
    </row>
    <row r="122" ht="15.75" customHeight="1">
      <c r="A122" s="107"/>
    </row>
    <row r="123" ht="15.75" customHeight="1">
      <c r="A123" s="107"/>
    </row>
    <row r="124" ht="15.75" customHeight="1">
      <c r="A124" s="107"/>
    </row>
    <row r="125" ht="15.75" customHeight="1">
      <c r="A125" s="107"/>
    </row>
    <row r="126" ht="15.75" customHeight="1">
      <c r="A126" s="107"/>
    </row>
    <row r="127" ht="15.75" customHeight="1">
      <c r="A127" s="107"/>
    </row>
    <row r="128" ht="15.75" customHeight="1">
      <c r="A128" s="107"/>
    </row>
    <row r="129" ht="15.75" customHeight="1">
      <c r="A129" s="107"/>
    </row>
    <row r="130" ht="15.75" customHeight="1">
      <c r="A130" s="107"/>
    </row>
    <row r="131" ht="15.75" customHeight="1">
      <c r="A131" s="107"/>
    </row>
    <row r="132" ht="15.75" customHeight="1">
      <c r="A132" s="107"/>
    </row>
    <row r="133" ht="15.75" customHeight="1">
      <c r="A133" s="107"/>
    </row>
    <row r="134" ht="15.75" customHeight="1">
      <c r="A134" s="107"/>
    </row>
    <row r="135" ht="15.75" customHeight="1">
      <c r="A135" s="107"/>
    </row>
    <row r="136" ht="15.75" customHeight="1">
      <c r="A136" s="107"/>
    </row>
    <row r="137" ht="15.75" customHeight="1">
      <c r="A137" s="107"/>
    </row>
    <row r="138" ht="15.75" customHeight="1">
      <c r="A138" s="107"/>
    </row>
    <row r="139" ht="15.75" customHeight="1">
      <c r="A139" s="107"/>
    </row>
    <row r="140" ht="15.75" customHeight="1">
      <c r="A140" s="107"/>
    </row>
    <row r="141" ht="15.75" customHeight="1">
      <c r="A141" s="107"/>
    </row>
    <row r="142" ht="15.75" customHeight="1">
      <c r="A142" s="107"/>
    </row>
    <row r="143" ht="15.75" customHeight="1">
      <c r="A143" s="107"/>
    </row>
    <row r="144" ht="15.75" customHeight="1">
      <c r="A144" s="107"/>
    </row>
    <row r="145" ht="15.75" customHeight="1">
      <c r="A145" s="107"/>
    </row>
    <row r="146" ht="15.75" customHeight="1">
      <c r="A146" s="107"/>
    </row>
    <row r="147" ht="15.75" customHeight="1">
      <c r="A147" s="107"/>
    </row>
    <row r="148" ht="15.75" customHeight="1">
      <c r="A148" s="107"/>
    </row>
    <row r="149" ht="15.75" customHeight="1">
      <c r="A149" s="107"/>
    </row>
    <row r="150" ht="15.75" customHeight="1">
      <c r="A150" s="107"/>
    </row>
    <row r="151" ht="15.75" customHeight="1">
      <c r="A151" s="107"/>
    </row>
    <row r="152" ht="15.75" customHeight="1">
      <c r="A152" s="107"/>
    </row>
    <row r="153" ht="15.75" customHeight="1">
      <c r="A153" s="107"/>
    </row>
    <row r="154" ht="15.75" customHeight="1">
      <c r="A154" s="107"/>
    </row>
    <row r="155" ht="15.75" customHeight="1">
      <c r="A155" s="107"/>
    </row>
    <row r="156" ht="15.75" customHeight="1">
      <c r="A156" s="107"/>
    </row>
    <row r="157" ht="15.75" customHeight="1">
      <c r="A157" s="107"/>
    </row>
    <row r="158" ht="15.75" customHeight="1">
      <c r="A158" s="107"/>
    </row>
    <row r="159" ht="15.75" customHeight="1">
      <c r="A159" s="107"/>
    </row>
    <row r="160" ht="15.75" customHeight="1">
      <c r="A160" s="107"/>
    </row>
    <row r="161" ht="15.75" customHeight="1">
      <c r="A161" s="107"/>
    </row>
    <row r="162" ht="15.75" customHeight="1">
      <c r="A162" s="107"/>
    </row>
    <row r="163" ht="15.75" customHeight="1">
      <c r="A163" s="107"/>
    </row>
    <row r="164" ht="15.75" customHeight="1">
      <c r="A164" s="107"/>
    </row>
    <row r="165" ht="15.75" customHeight="1">
      <c r="A165" s="107"/>
    </row>
    <row r="166" ht="15.75" customHeight="1">
      <c r="A166" s="107"/>
    </row>
    <row r="167" ht="15.75" customHeight="1">
      <c r="A167" s="107"/>
    </row>
    <row r="168" ht="15.75" customHeight="1">
      <c r="A168" s="107"/>
    </row>
    <row r="169" ht="15.75" customHeight="1">
      <c r="A169" s="107"/>
    </row>
    <row r="170" ht="15.75" customHeight="1">
      <c r="A170" s="107"/>
    </row>
    <row r="171" ht="15.75" customHeight="1">
      <c r="A171" s="107"/>
    </row>
    <row r="172" ht="15.75" customHeight="1">
      <c r="A172" s="107"/>
    </row>
    <row r="173" ht="15.75" customHeight="1">
      <c r="A173" s="107"/>
    </row>
    <row r="174" ht="15.75" customHeight="1">
      <c r="A174" s="107"/>
    </row>
    <row r="175" ht="15.75" customHeight="1">
      <c r="A175" s="107"/>
    </row>
    <row r="176" ht="15.75" customHeight="1">
      <c r="A176" s="107"/>
    </row>
    <row r="177" ht="15.75" customHeight="1">
      <c r="A177" s="107"/>
    </row>
    <row r="178" ht="15.75" customHeight="1">
      <c r="A178" s="107"/>
    </row>
    <row r="179" ht="15.75" customHeight="1">
      <c r="A179" s="107"/>
    </row>
    <row r="180" ht="15.75" customHeight="1">
      <c r="A180" s="107"/>
    </row>
    <row r="181" ht="15.75" customHeight="1">
      <c r="A181" s="107"/>
    </row>
    <row r="182" ht="15.75" customHeight="1">
      <c r="A182" s="107"/>
    </row>
    <row r="183" ht="15.75" customHeight="1">
      <c r="A183" s="107"/>
    </row>
    <row r="184" ht="15.75" customHeight="1">
      <c r="A184" s="107"/>
    </row>
    <row r="185" ht="15.75" customHeight="1">
      <c r="A185" s="107"/>
    </row>
    <row r="186" ht="15.75" customHeight="1">
      <c r="A186" s="107"/>
    </row>
    <row r="187" ht="15.75" customHeight="1">
      <c r="A187" s="107"/>
    </row>
    <row r="188" ht="15.75" customHeight="1">
      <c r="A188" s="107"/>
    </row>
    <row r="189" ht="15.75" customHeight="1">
      <c r="A189" s="107"/>
    </row>
    <row r="190" ht="15.75" customHeight="1">
      <c r="A190" s="107"/>
    </row>
    <row r="191" ht="15.75" customHeight="1">
      <c r="A191" s="107"/>
    </row>
    <row r="192" ht="15.75" customHeight="1">
      <c r="A192" s="107"/>
    </row>
    <row r="193" ht="15.75" customHeight="1">
      <c r="A193" s="107"/>
    </row>
    <row r="194" ht="15.75" customHeight="1">
      <c r="A194" s="107"/>
    </row>
    <row r="195" ht="15.75" customHeight="1">
      <c r="A195" s="107"/>
    </row>
    <row r="196" ht="15.75" customHeight="1">
      <c r="A196" s="107"/>
    </row>
    <row r="197" ht="15.75" customHeight="1">
      <c r="A197" s="107"/>
    </row>
    <row r="198" ht="15.75" customHeight="1">
      <c r="A198" s="107"/>
    </row>
    <row r="199" ht="15.75" customHeight="1">
      <c r="A199" s="107"/>
    </row>
    <row r="200" ht="15.75" customHeight="1">
      <c r="A200" s="107"/>
    </row>
    <row r="201" ht="15.75" customHeight="1">
      <c r="A201" s="107"/>
    </row>
    <row r="202" ht="15.75" customHeight="1">
      <c r="A202" s="107"/>
    </row>
    <row r="203" ht="15.75" customHeight="1">
      <c r="A203" s="107"/>
    </row>
    <row r="204" ht="15.75" customHeight="1">
      <c r="A204" s="107"/>
    </row>
    <row r="205" ht="15.75" customHeight="1">
      <c r="A205" s="107"/>
    </row>
    <row r="206" ht="15.75" customHeight="1">
      <c r="A206" s="107"/>
    </row>
    <row r="207" ht="15.75" customHeight="1">
      <c r="A207" s="107"/>
    </row>
    <row r="208" ht="15.75" customHeight="1">
      <c r="A208" s="107"/>
    </row>
    <row r="209" ht="15.75" customHeight="1">
      <c r="A209" s="107"/>
    </row>
    <row r="210" ht="15.75" customHeight="1">
      <c r="A210" s="107"/>
    </row>
    <row r="211" ht="15.75" customHeight="1">
      <c r="A211" s="107"/>
    </row>
    <row r="212" ht="15.75" customHeight="1">
      <c r="A212" s="107"/>
    </row>
    <row r="213" ht="15.75" customHeight="1">
      <c r="A213" s="107"/>
    </row>
    <row r="214" ht="15.75" customHeight="1">
      <c r="A214" s="107"/>
    </row>
    <row r="215" ht="15.75" customHeight="1">
      <c r="A215" s="107"/>
    </row>
    <row r="216" ht="15.75" customHeight="1">
      <c r="A216" s="107"/>
    </row>
    <row r="217" ht="15.75" customHeight="1">
      <c r="A217" s="107"/>
    </row>
    <row r="218" ht="15.75" customHeight="1">
      <c r="A218" s="107"/>
    </row>
    <row r="219" ht="15.75" customHeight="1">
      <c r="A219" s="107"/>
    </row>
    <row r="220" ht="15.75" customHeight="1">
      <c r="A220" s="107"/>
    </row>
    <row r="221" ht="15.75" customHeight="1">
      <c r="A221" s="107"/>
    </row>
    <row r="222" ht="15.75" customHeight="1">
      <c r="A222" s="107"/>
    </row>
    <row r="223" ht="15.75" customHeight="1">
      <c r="A223" s="107"/>
    </row>
    <row r="224" ht="15.75" customHeight="1">
      <c r="A224" s="107"/>
    </row>
    <row r="225" ht="15.75" customHeight="1">
      <c r="A225" s="107"/>
    </row>
    <row r="226" ht="15.75" customHeight="1">
      <c r="A226" s="107"/>
    </row>
    <row r="227" ht="15.75" customHeight="1">
      <c r="A227" s="107"/>
    </row>
    <row r="228" ht="15.75" customHeight="1">
      <c r="A228" s="107"/>
    </row>
    <row r="229" ht="15.75" customHeight="1">
      <c r="A229" s="107"/>
    </row>
    <row r="230" ht="15.75" customHeight="1">
      <c r="A230" s="107"/>
    </row>
    <row r="231" ht="15.75" customHeight="1">
      <c r="A231" s="107"/>
    </row>
    <row r="232" ht="15.75" customHeight="1">
      <c r="A232" s="107"/>
    </row>
    <row r="233" ht="15.75" customHeight="1">
      <c r="A233" s="107"/>
    </row>
    <row r="234" ht="15.75" customHeight="1">
      <c r="A234" s="107"/>
    </row>
    <row r="235" ht="15.75" customHeight="1">
      <c r="A235" s="107"/>
    </row>
    <row r="236" ht="15.75" customHeight="1">
      <c r="A236" s="107"/>
    </row>
    <row r="237" ht="15.75" customHeight="1">
      <c r="A237" s="107"/>
    </row>
    <row r="238" ht="15.75" customHeight="1">
      <c r="A238" s="107"/>
    </row>
    <row r="239" ht="15.75" customHeight="1">
      <c r="A239" s="107"/>
    </row>
    <row r="240" ht="15.75" customHeight="1">
      <c r="A240" s="107"/>
    </row>
    <row r="241" ht="15.75" customHeight="1">
      <c r="A241" s="107"/>
    </row>
    <row r="242" ht="15.75" customHeight="1">
      <c r="A242" s="107"/>
    </row>
    <row r="243" ht="15.75" customHeight="1">
      <c r="A243" s="107"/>
    </row>
    <row r="244" ht="15.75" customHeight="1">
      <c r="A244" s="107"/>
    </row>
    <row r="245" ht="15.75" customHeight="1">
      <c r="A245" s="107"/>
    </row>
    <row r="246" ht="15.75" customHeight="1">
      <c r="A246" s="107"/>
    </row>
    <row r="247" ht="15.75" customHeight="1">
      <c r="A247" s="107"/>
    </row>
    <row r="248" ht="15.75" customHeight="1">
      <c r="A248" s="107"/>
    </row>
    <row r="249" ht="15.75" customHeight="1">
      <c r="A249" s="107"/>
    </row>
    <row r="250" ht="15.75" customHeight="1">
      <c r="A250" s="107"/>
    </row>
    <row r="251" ht="15.75" customHeight="1">
      <c r="A251" s="107"/>
    </row>
    <row r="252" ht="15.75" customHeight="1">
      <c r="A252" s="107"/>
    </row>
    <row r="253" ht="15.75" customHeight="1">
      <c r="A253" s="107"/>
    </row>
    <row r="254" ht="15.75" customHeight="1">
      <c r="A254" s="107"/>
    </row>
    <row r="255" ht="15.75" customHeight="1">
      <c r="A255" s="107"/>
    </row>
    <row r="256" ht="15.75" customHeight="1">
      <c r="A256" s="107"/>
    </row>
    <row r="257" ht="15.75" customHeight="1">
      <c r="A257" s="107"/>
    </row>
    <row r="258" ht="15.75" customHeight="1">
      <c r="A258" s="107"/>
    </row>
    <row r="259" ht="15.75" customHeight="1">
      <c r="A259" s="107"/>
    </row>
    <row r="260" ht="15.75" customHeight="1">
      <c r="A260" s="107"/>
    </row>
    <row r="261" ht="15.75" customHeight="1">
      <c r="A261" s="107"/>
    </row>
    <row r="262" ht="15.75" customHeight="1">
      <c r="A262" s="107"/>
    </row>
    <row r="263" ht="15.75" customHeight="1">
      <c r="A263" s="107"/>
    </row>
    <row r="264" ht="15.75" customHeight="1">
      <c r="A264" s="107"/>
    </row>
    <row r="265" ht="15.75" customHeight="1">
      <c r="A265" s="107"/>
    </row>
    <row r="266" ht="15.75" customHeight="1">
      <c r="A266" s="107"/>
    </row>
    <row r="267" ht="15.75" customHeight="1">
      <c r="A267" s="107"/>
    </row>
    <row r="268" ht="15.75" customHeight="1">
      <c r="A268" s="107"/>
    </row>
    <row r="269" ht="15.75" customHeight="1">
      <c r="A269" s="107"/>
    </row>
    <row r="270" ht="15.75" customHeight="1">
      <c r="A270" s="107"/>
    </row>
    <row r="271" ht="15.75" customHeight="1">
      <c r="A271" s="107"/>
    </row>
    <row r="272" ht="15.75" customHeight="1">
      <c r="A272" s="107"/>
    </row>
    <row r="273" ht="15.75" customHeight="1">
      <c r="A273" s="107"/>
    </row>
    <row r="274" ht="15.75" customHeight="1">
      <c r="A274" s="107"/>
    </row>
    <row r="275" ht="15.75" customHeight="1">
      <c r="A275" s="107"/>
    </row>
    <row r="276" ht="15.75" customHeight="1">
      <c r="A276" s="107"/>
    </row>
    <row r="277" ht="15.75" customHeight="1">
      <c r="A277" s="107"/>
    </row>
    <row r="278" ht="15.75" customHeight="1">
      <c r="A278" s="107"/>
    </row>
    <row r="279" ht="15.75" customHeight="1">
      <c r="A279" s="107"/>
    </row>
    <row r="280" ht="15.75" customHeight="1">
      <c r="A280" s="107"/>
    </row>
    <row r="281" ht="15.75" customHeight="1">
      <c r="A281" s="107"/>
    </row>
    <row r="282" ht="15.75" customHeight="1">
      <c r="A282" s="107"/>
    </row>
    <row r="283" ht="15.75" customHeight="1">
      <c r="A283" s="107"/>
    </row>
    <row r="284" ht="15.75" customHeight="1">
      <c r="A284" s="107"/>
    </row>
    <row r="285" ht="15.75" customHeight="1">
      <c r="A285" s="107"/>
    </row>
    <row r="286" ht="15.75" customHeight="1">
      <c r="A286" s="107"/>
    </row>
    <row r="287" ht="15.75" customHeight="1">
      <c r="A287" s="107"/>
    </row>
    <row r="288" ht="15.75" customHeight="1">
      <c r="A288" s="107"/>
    </row>
    <row r="289" ht="15.75" customHeight="1">
      <c r="A289" s="107"/>
    </row>
    <row r="290" ht="15.75" customHeight="1">
      <c r="A290" s="107"/>
    </row>
    <row r="291" ht="15.75" customHeight="1">
      <c r="A291" s="107"/>
    </row>
    <row r="292" ht="15.75" customHeight="1">
      <c r="A292" s="107"/>
    </row>
    <row r="293" ht="15.75" customHeight="1">
      <c r="A293" s="107"/>
    </row>
    <row r="294" ht="15.75" customHeight="1">
      <c r="A294" s="107"/>
    </row>
    <row r="295" ht="15.75" customHeight="1">
      <c r="A295" s="107"/>
    </row>
    <row r="296" ht="15.75" customHeight="1">
      <c r="A296" s="107"/>
    </row>
    <row r="297" ht="15.75" customHeight="1">
      <c r="A297" s="107"/>
    </row>
    <row r="298" ht="15.75" customHeight="1">
      <c r="A298" s="107"/>
    </row>
    <row r="299" ht="15.75" customHeight="1">
      <c r="A299" s="107"/>
    </row>
    <row r="300" ht="15.75" customHeight="1">
      <c r="A300" s="107"/>
    </row>
    <row r="301" ht="15.75" customHeight="1">
      <c r="A301" s="107"/>
    </row>
    <row r="302" ht="15.75" customHeight="1">
      <c r="A302" s="107"/>
    </row>
    <row r="303" ht="15.75" customHeight="1">
      <c r="A303" s="107"/>
    </row>
    <row r="304" ht="15.75" customHeight="1">
      <c r="A304" s="107"/>
    </row>
    <row r="305" ht="15.75" customHeight="1">
      <c r="A305" s="107"/>
    </row>
    <row r="306" ht="15.75" customHeight="1">
      <c r="A306" s="107"/>
    </row>
    <row r="307" ht="15.75" customHeight="1">
      <c r="A307" s="107"/>
    </row>
    <row r="308" ht="15.75" customHeight="1">
      <c r="A308" s="107"/>
    </row>
    <row r="309" ht="15.75" customHeight="1">
      <c r="A309" s="107"/>
    </row>
    <row r="310" ht="15.75" customHeight="1">
      <c r="A310" s="107"/>
    </row>
    <row r="311" ht="15.75" customHeight="1">
      <c r="A311" s="107"/>
    </row>
    <row r="312" ht="15.75" customHeight="1">
      <c r="A312" s="107"/>
    </row>
    <row r="313" ht="15.75" customHeight="1">
      <c r="A313" s="107"/>
    </row>
    <row r="314" ht="15.75" customHeight="1">
      <c r="A314" s="107"/>
    </row>
    <row r="315" ht="15.75" customHeight="1">
      <c r="A315" s="107"/>
    </row>
    <row r="316" ht="15.75" customHeight="1">
      <c r="A316" s="107"/>
    </row>
    <row r="317" ht="15.75" customHeight="1">
      <c r="A317" s="107"/>
    </row>
    <row r="318" ht="15.75" customHeight="1">
      <c r="A318" s="107"/>
    </row>
    <row r="319" ht="15.75" customHeight="1">
      <c r="A319" s="107"/>
    </row>
    <row r="320" ht="15.75" customHeight="1">
      <c r="A320" s="107"/>
    </row>
    <row r="321" ht="15.75" customHeight="1">
      <c r="A321" s="107"/>
    </row>
    <row r="322" ht="15.75" customHeight="1">
      <c r="A322" s="107"/>
    </row>
    <row r="323" ht="15.75" customHeight="1">
      <c r="A323" s="107"/>
    </row>
    <row r="324" ht="15.75" customHeight="1">
      <c r="A324" s="107"/>
    </row>
    <row r="325" ht="15.75" customHeight="1">
      <c r="A325" s="107"/>
    </row>
    <row r="326" ht="15.75" customHeight="1">
      <c r="A326" s="107"/>
    </row>
    <row r="327" ht="15.75" customHeight="1">
      <c r="A327" s="107"/>
    </row>
    <row r="328" ht="15.75" customHeight="1">
      <c r="A328" s="107"/>
    </row>
    <row r="329" ht="15.75" customHeight="1">
      <c r="A329" s="107"/>
    </row>
    <row r="330" ht="15.75" customHeight="1">
      <c r="A330" s="107"/>
    </row>
    <row r="331" ht="15.75" customHeight="1">
      <c r="A331" s="107"/>
    </row>
    <row r="332" ht="15.75" customHeight="1">
      <c r="A332" s="107"/>
    </row>
    <row r="333" ht="15.75" customHeight="1">
      <c r="A333" s="107"/>
    </row>
    <row r="334" ht="15.75" customHeight="1">
      <c r="A334" s="107"/>
    </row>
    <row r="335" ht="15.75" customHeight="1">
      <c r="A335" s="107"/>
    </row>
    <row r="336" ht="15.75" customHeight="1">
      <c r="A336" s="107"/>
    </row>
    <row r="337" ht="15.75" customHeight="1">
      <c r="A337" s="107"/>
    </row>
    <row r="338" ht="15.75" customHeight="1">
      <c r="A338" s="107"/>
    </row>
    <row r="339" ht="15.75" customHeight="1">
      <c r="A339" s="107"/>
    </row>
    <row r="340" ht="15.75" customHeight="1">
      <c r="A340" s="107"/>
    </row>
    <row r="341" ht="15.75" customHeight="1">
      <c r="A341" s="107"/>
    </row>
    <row r="342" ht="15.75" customHeight="1">
      <c r="A342" s="107"/>
    </row>
    <row r="343" ht="15.75" customHeight="1">
      <c r="A343" s="107"/>
    </row>
    <row r="344" ht="15.75" customHeight="1">
      <c r="A344" s="107"/>
    </row>
    <row r="345" ht="15.75" customHeight="1">
      <c r="A345" s="107"/>
    </row>
    <row r="346" ht="15.75" customHeight="1">
      <c r="A346" s="107"/>
    </row>
    <row r="347" ht="15.75" customHeight="1">
      <c r="A347" s="107"/>
    </row>
    <row r="348" ht="15.75" customHeight="1">
      <c r="A348" s="107"/>
    </row>
    <row r="349" ht="15.75" customHeight="1">
      <c r="A349" s="107"/>
    </row>
    <row r="350" ht="15.75" customHeight="1">
      <c r="A350" s="107"/>
    </row>
    <row r="351" ht="15.75" customHeight="1">
      <c r="A351" s="107"/>
    </row>
    <row r="352" ht="15.75" customHeight="1">
      <c r="A352" s="107"/>
    </row>
    <row r="353" ht="15.75" customHeight="1">
      <c r="A353" s="107"/>
    </row>
    <row r="354" ht="15.75" customHeight="1">
      <c r="A354" s="107"/>
    </row>
    <row r="355" ht="15.75" customHeight="1">
      <c r="A355" s="107"/>
    </row>
    <row r="356" ht="15.75" customHeight="1">
      <c r="A356" s="107"/>
    </row>
    <row r="357" ht="15.75" customHeight="1">
      <c r="A357" s="107"/>
    </row>
    <row r="358" ht="15.75" customHeight="1">
      <c r="A358" s="107"/>
    </row>
    <row r="359" ht="15.75" customHeight="1">
      <c r="A359" s="107"/>
    </row>
    <row r="360" ht="15.75" customHeight="1">
      <c r="A360" s="107"/>
    </row>
    <row r="361" ht="15.75" customHeight="1">
      <c r="A361" s="107"/>
    </row>
    <row r="362" ht="15.75" customHeight="1">
      <c r="A362" s="107"/>
    </row>
    <row r="363" ht="15.75" customHeight="1">
      <c r="A363" s="107"/>
    </row>
    <row r="364" ht="15.75" customHeight="1">
      <c r="A364" s="107"/>
    </row>
    <row r="365" ht="15.75" customHeight="1">
      <c r="A365" s="107"/>
    </row>
    <row r="366" ht="15.75" customHeight="1">
      <c r="A366" s="107"/>
    </row>
    <row r="367" ht="15.75" customHeight="1">
      <c r="A367" s="107"/>
    </row>
    <row r="368" ht="15.75" customHeight="1">
      <c r="A368" s="107"/>
    </row>
    <row r="369" ht="15.75" customHeight="1">
      <c r="A369" s="107"/>
    </row>
    <row r="370" ht="15.75" customHeight="1">
      <c r="A370" s="107"/>
    </row>
    <row r="371" ht="15.75" customHeight="1">
      <c r="A371" s="107"/>
    </row>
    <row r="372" ht="15.75" customHeight="1">
      <c r="A372" s="107"/>
    </row>
    <row r="373" ht="15.75" customHeight="1">
      <c r="A373" s="107"/>
    </row>
    <row r="374" ht="15.75" customHeight="1">
      <c r="A374" s="107"/>
    </row>
    <row r="375" ht="15.75" customHeight="1">
      <c r="A375" s="107"/>
    </row>
    <row r="376" ht="15.75" customHeight="1">
      <c r="A376" s="107"/>
    </row>
    <row r="377" ht="15.75" customHeight="1">
      <c r="A377" s="107"/>
    </row>
    <row r="378" ht="15.75" customHeight="1">
      <c r="A378" s="107"/>
    </row>
    <row r="379" ht="15.75" customHeight="1">
      <c r="A379" s="107"/>
    </row>
    <row r="380" ht="15.75" customHeight="1">
      <c r="A380" s="107"/>
    </row>
    <row r="381" ht="15.75" customHeight="1">
      <c r="A381" s="107"/>
    </row>
    <row r="382" ht="15.75" customHeight="1">
      <c r="A382" s="107"/>
    </row>
    <row r="383" ht="15.75" customHeight="1">
      <c r="A383" s="107"/>
    </row>
    <row r="384" ht="15.75" customHeight="1">
      <c r="A384" s="107"/>
    </row>
    <row r="385" ht="15.75" customHeight="1">
      <c r="A385" s="107"/>
    </row>
    <row r="386" ht="15.75" customHeight="1">
      <c r="A386" s="107"/>
    </row>
    <row r="387" ht="15.75" customHeight="1">
      <c r="A387" s="107"/>
    </row>
    <row r="388" ht="15.75" customHeight="1">
      <c r="A388" s="107"/>
    </row>
    <row r="389" ht="15.75" customHeight="1">
      <c r="A389" s="107"/>
    </row>
    <row r="390" ht="15.75" customHeight="1">
      <c r="A390" s="107"/>
    </row>
    <row r="391" ht="15.75" customHeight="1">
      <c r="A391" s="107"/>
    </row>
    <row r="392" ht="15.75" customHeight="1">
      <c r="A392" s="107"/>
    </row>
    <row r="393" ht="15.75" customHeight="1">
      <c r="A393" s="107"/>
    </row>
    <row r="394" ht="15.75" customHeight="1">
      <c r="A394" s="107"/>
    </row>
    <row r="395" ht="15.75" customHeight="1">
      <c r="A395" s="107"/>
    </row>
    <row r="396" ht="15.75" customHeight="1">
      <c r="A396" s="107"/>
    </row>
    <row r="397" ht="15.75" customHeight="1">
      <c r="A397" s="107"/>
    </row>
    <row r="398" ht="15.75" customHeight="1">
      <c r="A398" s="107"/>
    </row>
    <row r="399" ht="15.75" customHeight="1">
      <c r="A399" s="107"/>
    </row>
    <row r="400" ht="15.75" customHeight="1">
      <c r="A400" s="107"/>
    </row>
    <row r="401" ht="15.75" customHeight="1">
      <c r="A401" s="107"/>
    </row>
    <row r="402" ht="15.75" customHeight="1">
      <c r="A402" s="107"/>
    </row>
    <row r="403" ht="15.75" customHeight="1">
      <c r="A403" s="107"/>
    </row>
    <row r="404" ht="15.75" customHeight="1">
      <c r="A404" s="107"/>
    </row>
    <row r="405" ht="15.75" customHeight="1">
      <c r="A405" s="107"/>
    </row>
    <row r="406" ht="15.75" customHeight="1">
      <c r="A406" s="107"/>
    </row>
    <row r="407" ht="15.75" customHeight="1">
      <c r="A407" s="107"/>
    </row>
    <row r="408" ht="15.75" customHeight="1">
      <c r="A408" s="107"/>
    </row>
    <row r="409" ht="15.75" customHeight="1">
      <c r="A409" s="107"/>
    </row>
    <row r="410" ht="15.75" customHeight="1">
      <c r="A410" s="107"/>
    </row>
    <row r="411" ht="15.75" customHeight="1">
      <c r="A411" s="107"/>
    </row>
    <row r="412" ht="15.75" customHeight="1">
      <c r="A412" s="107"/>
    </row>
    <row r="413" ht="15.75" customHeight="1">
      <c r="A413" s="107"/>
    </row>
    <row r="414" ht="15.75" customHeight="1">
      <c r="A414" s="107"/>
    </row>
    <row r="415" ht="15.75" customHeight="1">
      <c r="A415" s="107"/>
    </row>
    <row r="416" ht="15.75" customHeight="1">
      <c r="A416" s="107"/>
    </row>
    <row r="417" ht="15.75" customHeight="1">
      <c r="A417" s="107"/>
    </row>
    <row r="418" ht="15.75" customHeight="1">
      <c r="A418" s="107"/>
    </row>
    <row r="419" ht="15.75" customHeight="1">
      <c r="A419" s="107"/>
    </row>
    <row r="420" ht="15.75" customHeight="1">
      <c r="A420" s="107"/>
    </row>
    <row r="421" ht="15.75" customHeight="1">
      <c r="A421" s="107"/>
    </row>
    <row r="422" ht="15.75" customHeight="1">
      <c r="A422" s="107"/>
    </row>
    <row r="423" ht="15.75" customHeight="1">
      <c r="A423" s="107"/>
    </row>
    <row r="424" ht="15.75" customHeight="1">
      <c r="A424" s="107"/>
    </row>
    <row r="425" ht="15.75" customHeight="1">
      <c r="A425" s="107"/>
    </row>
    <row r="426" ht="15.75" customHeight="1">
      <c r="A426" s="107"/>
    </row>
    <row r="427" ht="15.75" customHeight="1">
      <c r="A427" s="107"/>
    </row>
    <row r="428" ht="15.75" customHeight="1">
      <c r="A428" s="107"/>
    </row>
    <row r="429" ht="15.75" customHeight="1">
      <c r="A429" s="107"/>
    </row>
    <row r="430" ht="15.75" customHeight="1">
      <c r="A430" s="107"/>
    </row>
    <row r="431" ht="15.75" customHeight="1">
      <c r="A431" s="107"/>
    </row>
    <row r="432" ht="15.75" customHeight="1">
      <c r="A432" s="107"/>
    </row>
    <row r="433" ht="15.75" customHeight="1">
      <c r="A433" s="107"/>
    </row>
    <row r="434" ht="15.75" customHeight="1">
      <c r="A434" s="107"/>
    </row>
    <row r="435" ht="15.75" customHeight="1">
      <c r="A435" s="107"/>
    </row>
    <row r="436" ht="15.75" customHeight="1">
      <c r="A436" s="107"/>
    </row>
    <row r="437" ht="15.75" customHeight="1">
      <c r="A437" s="107"/>
    </row>
    <row r="438" ht="15.75" customHeight="1">
      <c r="A438" s="107"/>
    </row>
    <row r="439" ht="15.75" customHeight="1">
      <c r="A439" s="107"/>
    </row>
    <row r="440" ht="15.75" customHeight="1">
      <c r="A440" s="107"/>
    </row>
    <row r="441" ht="15.75" customHeight="1">
      <c r="A441" s="107"/>
    </row>
    <row r="442" ht="15.75" customHeight="1">
      <c r="A442" s="107"/>
    </row>
    <row r="443" ht="15.75" customHeight="1">
      <c r="A443" s="107"/>
    </row>
    <row r="444" ht="15.75" customHeight="1">
      <c r="A444" s="107"/>
    </row>
    <row r="445" ht="15.75" customHeight="1">
      <c r="A445" s="107"/>
    </row>
    <row r="446" ht="15.75" customHeight="1">
      <c r="A446" s="107"/>
    </row>
    <row r="447" ht="15.75" customHeight="1">
      <c r="A447" s="107"/>
    </row>
    <row r="448" ht="15.75" customHeight="1">
      <c r="A448" s="107"/>
    </row>
    <row r="449" ht="15.75" customHeight="1">
      <c r="A449" s="107"/>
    </row>
    <row r="450" ht="15.75" customHeight="1">
      <c r="A450" s="107"/>
    </row>
    <row r="451" ht="15.75" customHeight="1">
      <c r="A451" s="107"/>
    </row>
    <row r="452" ht="15.75" customHeight="1">
      <c r="A452" s="107"/>
    </row>
    <row r="453" ht="15.75" customHeight="1">
      <c r="A453" s="107"/>
    </row>
    <row r="454" ht="15.75" customHeight="1">
      <c r="A454" s="107"/>
    </row>
    <row r="455" ht="15.75" customHeight="1">
      <c r="A455" s="107"/>
    </row>
    <row r="456" ht="15.75" customHeight="1">
      <c r="A456" s="107"/>
    </row>
    <row r="457" ht="15.75" customHeight="1">
      <c r="A457" s="107"/>
    </row>
    <row r="458" ht="15.75" customHeight="1">
      <c r="A458" s="107"/>
    </row>
    <row r="459" ht="15.75" customHeight="1">
      <c r="A459" s="107"/>
    </row>
    <row r="460" ht="15.75" customHeight="1">
      <c r="A460" s="107"/>
    </row>
    <row r="461" ht="15.75" customHeight="1">
      <c r="A461" s="107"/>
    </row>
    <row r="462" ht="15.75" customHeight="1">
      <c r="A462" s="107"/>
    </row>
    <row r="463" ht="15.75" customHeight="1">
      <c r="A463" s="107"/>
    </row>
    <row r="464" ht="15.75" customHeight="1">
      <c r="A464" s="107"/>
    </row>
    <row r="465" ht="15.75" customHeight="1">
      <c r="A465" s="107"/>
    </row>
    <row r="466" ht="15.75" customHeight="1">
      <c r="A466" s="107"/>
    </row>
    <row r="467" ht="15.75" customHeight="1">
      <c r="A467" s="107"/>
    </row>
    <row r="468" ht="15.75" customHeight="1">
      <c r="A468" s="107"/>
    </row>
    <row r="469" ht="15.75" customHeight="1">
      <c r="A469" s="107"/>
    </row>
    <row r="470" ht="15.75" customHeight="1">
      <c r="A470" s="107"/>
    </row>
    <row r="471" ht="15.75" customHeight="1">
      <c r="A471" s="107"/>
    </row>
    <row r="472" ht="15.75" customHeight="1">
      <c r="A472" s="107"/>
    </row>
    <row r="473" ht="15.75" customHeight="1">
      <c r="A473" s="107"/>
    </row>
    <row r="474" ht="15.75" customHeight="1">
      <c r="A474" s="107"/>
    </row>
    <row r="475" ht="15.75" customHeight="1">
      <c r="A475" s="107"/>
    </row>
    <row r="476" ht="15.75" customHeight="1">
      <c r="A476" s="107"/>
    </row>
    <row r="477" ht="15.75" customHeight="1">
      <c r="A477" s="107"/>
    </row>
    <row r="478" ht="15.75" customHeight="1">
      <c r="A478" s="107"/>
    </row>
    <row r="479" ht="15.75" customHeight="1">
      <c r="A479" s="107"/>
    </row>
    <row r="480" ht="15.75" customHeight="1">
      <c r="A480" s="107"/>
    </row>
    <row r="481" ht="15.75" customHeight="1">
      <c r="A481" s="107"/>
    </row>
    <row r="482" ht="15.75" customHeight="1">
      <c r="A482" s="107"/>
    </row>
    <row r="483" ht="15.75" customHeight="1">
      <c r="A483" s="107"/>
    </row>
    <row r="484" ht="15.75" customHeight="1">
      <c r="A484" s="107"/>
    </row>
    <row r="485" ht="15.75" customHeight="1">
      <c r="A485" s="107"/>
    </row>
    <row r="486" ht="15.75" customHeight="1">
      <c r="A486" s="107"/>
    </row>
    <row r="487" ht="15.75" customHeight="1">
      <c r="A487" s="107"/>
    </row>
    <row r="488" ht="15.75" customHeight="1">
      <c r="A488" s="107"/>
    </row>
    <row r="489" ht="15.75" customHeight="1">
      <c r="A489" s="107"/>
    </row>
    <row r="490" ht="15.75" customHeight="1">
      <c r="A490" s="107"/>
    </row>
    <row r="491" ht="15.75" customHeight="1">
      <c r="A491" s="107"/>
    </row>
    <row r="492" ht="15.75" customHeight="1">
      <c r="A492" s="107"/>
    </row>
    <row r="493" ht="15.75" customHeight="1">
      <c r="A493" s="107"/>
    </row>
    <row r="494" ht="15.75" customHeight="1">
      <c r="A494" s="107"/>
    </row>
    <row r="495" ht="15.75" customHeight="1">
      <c r="A495" s="107"/>
    </row>
    <row r="496" ht="15.75" customHeight="1">
      <c r="A496" s="107"/>
    </row>
    <row r="497" ht="15.75" customHeight="1">
      <c r="A497" s="107"/>
    </row>
    <row r="498" ht="15.75" customHeight="1">
      <c r="A498" s="107"/>
    </row>
    <row r="499" ht="15.75" customHeight="1">
      <c r="A499" s="107"/>
    </row>
    <row r="500" ht="15.75" customHeight="1">
      <c r="A500" s="107"/>
    </row>
    <row r="501" ht="15.75" customHeight="1">
      <c r="A501" s="107"/>
    </row>
    <row r="502" ht="15.75" customHeight="1">
      <c r="A502" s="107"/>
    </row>
    <row r="503" ht="15.75" customHeight="1">
      <c r="A503" s="107"/>
    </row>
    <row r="504" ht="15.75" customHeight="1">
      <c r="A504" s="107"/>
    </row>
    <row r="505" ht="15.75" customHeight="1">
      <c r="A505" s="107"/>
    </row>
    <row r="506" ht="15.75" customHeight="1">
      <c r="A506" s="107"/>
    </row>
    <row r="507" ht="15.75" customHeight="1">
      <c r="A507" s="107"/>
    </row>
    <row r="508" ht="15.75" customHeight="1">
      <c r="A508" s="107"/>
    </row>
    <row r="509" ht="15.75" customHeight="1">
      <c r="A509" s="107"/>
    </row>
    <row r="510" ht="15.75" customHeight="1">
      <c r="A510" s="107"/>
    </row>
    <row r="511" ht="15.75" customHeight="1">
      <c r="A511" s="107"/>
    </row>
    <row r="512" ht="15.75" customHeight="1">
      <c r="A512" s="107"/>
    </row>
    <row r="513" ht="15.75" customHeight="1">
      <c r="A513" s="107"/>
    </row>
    <row r="514" ht="15.75" customHeight="1">
      <c r="A514" s="107"/>
    </row>
    <row r="515" ht="15.75" customHeight="1">
      <c r="A515" s="107"/>
    </row>
    <row r="516" ht="15.75" customHeight="1">
      <c r="A516" s="107"/>
    </row>
    <row r="517" ht="15.75" customHeight="1">
      <c r="A517" s="107"/>
    </row>
    <row r="518" ht="15.75" customHeight="1">
      <c r="A518" s="107"/>
    </row>
    <row r="519" ht="15.75" customHeight="1">
      <c r="A519" s="107"/>
    </row>
    <row r="520" ht="15.75" customHeight="1">
      <c r="A520" s="107"/>
    </row>
    <row r="521" ht="15.75" customHeight="1">
      <c r="A521" s="107"/>
    </row>
    <row r="522" ht="15.75" customHeight="1">
      <c r="A522" s="107"/>
    </row>
    <row r="523" ht="15.75" customHeight="1">
      <c r="A523" s="107"/>
    </row>
    <row r="524" ht="15.75" customHeight="1">
      <c r="A524" s="107"/>
    </row>
    <row r="525" ht="15.75" customHeight="1">
      <c r="A525" s="107"/>
    </row>
    <row r="526" ht="15.75" customHeight="1">
      <c r="A526" s="107"/>
    </row>
    <row r="527" ht="15.75" customHeight="1">
      <c r="A527" s="107"/>
    </row>
    <row r="528" ht="15.75" customHeight="1">
      <c r="A528" s="107"/>
    </row>
    <row r="529" ht="15.75" customHeight="1">
      <c r="A529" s="107"/>
    </row>
    <row r="530" ht="15.75" customHeight="1">
      <c r="A530" s="107"/>
    </row>
    <row r="531" ht="15.75" customHeight="1">
      <c r="A531" s="107"/>
    </row>
    <row r="532" ht="15.75" customHeight="1">
      <c r="A532" s="107"/>
    </row>
    <row r="533" ht="15.75" customHeight="1">
      <c r="A533" s="107"/>
    </row>
    <row r="534" ht="15.75" customHeight="1">
      <c r="A534" s="107"/>
    </row>
    <row r="535" ht="15.75" customHeight="1">
      <c r="A535" s="107"/>
    </row>
    <row r="536" ht="15.75" customHeight="1">
      <c r="A536" s="107"/>
    </row>
    <row r="537" ht="15.75" customHeight="1">
      <c r="A537" s="107"/>
    </row>
    <row r="538" ht="15.75" customHeight="1">
      <c r="A538" s="107"/>
    </row>
    <row r="539" ht="15.75" customHeight="1">
      <c r="A539" s="107"/>
    </row>
    <row r="540" ht="15.75" customHeight="1">
      <c r="A540" s="107"/>
    </row>
    <row r="541" ht="15.75" customHeight="1">
      <c r="A541" s="107"/>
    </row>
    <row r="542" ht="15.75" customHeight="1">
      <c r="A542" s="107"/>
    </row>
    <row r="543" ht="15.75" customHeight="1">
      <c r="A543" s="107"/>
    </row>
    <row r="544" ht="15.75" customHeight="1">
      <c r="A544" s="107"/>
    </row>
    <row r="545" ht="15.75" customHeight="1">
      <c r="A545" s="107"/>
    </row>
    <row r="546" ht="15.75" customHeight="1">
      <c r="A546" s="107"/>
    </row>
    <row r="547" ht="15.75" customHeight="1">
      <c r="A547" s="107"/>
    </row>
    <row r="548" ht="15.75" customHeight="1">
      <c r="A548" s="107"/>
    </row>
    <row r="549" ht="15.75" customHeight="1">
      <c r="A549" s="107"/>
    </row>
    <row r="550" ht="15.75" customHeight="1">
      <c r="A550" s="107"/>
    </row>
    <row r="551" ht="15.75" customHeight="1">
      <c r="A551" s="107"/>
    </row>
    <row r="552" ht="15.75" customHeight="1">
      <c r="A552" s="107"/>
    </row>
    <row r="553" ht="15.75" customHeight="1">
      <c r="A553" s="107"/>
    </row>
    <row r="554" ht="15.75" customHeight="1">
      <c r="A554" s="107"/>
    </row>
    <row r="555" ht="15.75" customHeight="1">
      <c r="A555" s="107"/>
    </row>
    <row r="556" ht="15.75" customHeight="1">
      <c r="A556" s="107"/>
    </row>
    <row r="557" ht="15.75" customHeight="1">
      <c r="A557" s="107"/>
    </row>
    <row r="558" ht="15.75" customHeight="1">
      <c r="A558" s="107"/>
    </row>
    <row r="559" ht="15.75" customHeight="1">
      <c r="A559" s="107"/>
    </row>
    <row r="560" ht="15.75" customHeight="1">
      <c r="A560" s="107"/>
    </row>
    <row r="561" ht="15.75" customHeight="1">
      <c r="A561" s="107"/>
    </row>
    <row r="562" ht="15.75" customHeight="1">
      <c r="A562" s="107"/>
    </row>
    <row r="563" ht="15.75" customHeight="1">
      <c r="A563" s="107"/>
    </row>
    <row r="564" ht="15.75" customHeight="1">
      <c r="A564" s="107"/>
    </row>
    <row r="565" ht="15.75" customHeight="1">
      <c r="A565" s="107"/>
    </row>
    <row r="566" ht="15.75" customHeight="1">
      <c r="A566" s="107"/>
    </row>
    <row r="567" ht="15.75" customHeight="1">
      <c r="A567" s="107"/>
    </row>
    <row r="568" ht="15.75" customHeight="1">
      <c r="A568" s="107"/>
    </row>
    <row r="569" ht="15.75" customHeight="1">
      <c r="A569" s="107"/>
    </row>
    <row r="570" ht="15.75" customHeight="1">
      <c r="A570" s="107"/>
    </row>
    <row r="571" ht="15.75" customHeight="1">
      <c r="A571" s="107"/>
    </row>
    <row r="572" ht="15.75" customHeight="1">
      <c r="A572" s="107"/>
    </row>
    <row r="573" ht="15.75" customHeight="1">
      <c r="A573" s="107"/>
    </row>
    <row r="574" ht="15.75" customHeight="1">
      <c r="A574" s="107"/>
    </row>
    <row r="575" ht="15.75" customHeight="1">
      <c r="A575" s="107"/>
    </row>
    <row r="576" ht="15.75" customHeight="1">
      <c r="A576" s="107"/>
    </row>
    <row r="577" ht="15.75" customHeight="1">
      <c r="A577" s="107"/>
    </row>
    <row r="578" ht="15.75" customHeight="1">
      <c r="A578" s="107"/>
    </row>
    <row r="579" ht="15.75" customHeight="1">
      <c r="A579" s="107"/>
    </row>
    <row r="580" ht="15.75" customHeight="1">
      <c r="A580" s="107"/>
    </row>
    <row r="581" ht="15.75" customHeight="1">
      <c r="A581" s="107"/>
    </row>
    <row r="582" ht="15.75" customHeight="1">
      <c r="A582" s="107"/>
    </row>
    <row r="583" ht="15.75" customHeight="1">
      <c r="A583" s="107"/>
    </row>
    <row r="584" ht="15.75" customHeight="1">
      <c r="A584" s="107"/>
    </row>
    <row r="585" ht="15.75" customHeight="1">
      <c r="A585" s="107"/>
    </row>
    <row r="586" ht="15.75" customHeight="1">
      <c r="A586" s="107"/>
    </row>
    <row r="587" ht="15.75" customHeight="1">
      <c r="A587" s="107"/>
    </row>
    <row r="588" ht="15.75" customHeight="1">
      <c r="A588" s="107"/>
    </row>
    <row r="589" ht="15.75" customHeight="1">
      <c r="A589" s="107"/>
    </row>
    <row r="590" ht="15.75" customHeight="1">
      <c r="A590" s="107"/>
    </row>
    <row r="591" ht="15.75" customHeight="1">
      <c r="A591" s="107"/>
    </row>
    <row r="592" ht="15.75" customHeight="1">
      <c r="A592" s="107"/>
    </row>
    <row r="593" ht="15.75" customHeight="1">
      <c r="A593" s="107"/>
    </row>
    <row r="594" ht="15.75" customHeight="1">
      <c r="A594" s="107"/>
    </row>
    <row r="595" ht="15.75" customHeight="1">
      <c r="A595" s="107"/>
    </row>
    <row r="596" ht="15.75" customHeight="1">
      <c r="A596" s="107"/>
    </row>
    <row r="597" ht="15.75" customHeight="1">
      <c r="A597" s="107"/>
    </row>
    <row r="598" ht="15.75" customHeight="1">
      <c r="A598" s="107"/>
    </row>
    <row r="599" ht="15.75" customHeight="1">
      <c r="A599" s="107"/>
    </row>
    <row r="600" ht="15.75" customHeight="1">
      <c r="A600" s="107"/>
    </row>
    <row r="601" ht="15.75" customHeight="1">
      <c r="A601" s="107"/>
    </row>
    <row r="602" ht="15.75" customHeight="1">
      <c r="A602" s="107"/>
    </row>
    <row r="603" ht="15.75" customHeight="1">
      <c r="A603" s="107"/>
    </row>
    <row r="604" ht="15.75" customHeight="1">
      <c r="A604" s="107"/>
    </row>
    <row r="605" ht="15.75" customHeight="1">
      <c r="A605" s="107"/>
    </row>
    <row r="606" ht="15.75" customHeight="1">
      <c r="A606" s="107"/>
    </row>
    <row r="607" ht="15.75" customHeight="1">
      <c r="A607" s="107"/>
    </row>
    <row r="608" ht="15.75" customHeight="1">
      <c r="A608" s="107"/>
    </row>
    <row r="609" ht="15.75" customHeight="1">
      <c r="A609" s="107"/>
    </row>
    <row r="610" ht="15.75" customHeight="1">
      <c r="A610" s="107"/>
    </row>
    <row r="611" ht="15.75" customHeight="1">
      <c r="A611" s="107"/>
    </row>
    <row r="612" ht="15.75" customHeight="1">
      <c r="A612" s="107"/>
    </row>
    <row r="613" ht="15.75" customHeight="1">
      <c r="A613" s="107"/>
    </row>
    <row r="614" ht="15.75" customHeight="1">
      <c r="A614" s="107"/>
    </row>
    <row r="615" ht="15.75" customHeight="1">
      <c r="A615" s="107"/>
    </row>
    <row r="616" ht="15.75" customHeight="1">
      <c r="A616" s="107"/>
    </row>
    <row r="617" ht="15.75" customHeight="1">
      <c r="A617" s="107"/>
    </row>
    <row r="618" ht="15.75" customHeight="1">
      <c r="A618" s="107"/>
    </row>
    <row r="619" ht="15.75" customHeight="1">
      <c r="A619" s="107"/>
    </row>
    <row r="620" ht="15.75" customHeight="1">
      <c r="A620" s="107"/>
    </row>
    <row r="621" ht="15.75" customHeight="1">
      <c r="A621" s="107"/>
    </row>
    <row r="622" ht="15.75" customHeight="1">
      <c r="A622" s="107"/>
    </row>
    <row r="623" ht="15.75" customHeight="1">
      <c r="A623" s="107"/>
    </row>
    <row r="624" ht="15.75" customHeight="1">
      <c r="A624" s="107"/>
    </row>
    <row r="625" ht="15.75" customHeight="1">
      <c r="A625" s="107"/>
    </row>
    <row r="626" ht="15.75" customHeight="1">
      <c r="A626" s="107"/>
    </row>
    <row r="627" ht="15.75" customHeight="1">
      <c r="A627" s="107"/>
    </row>
    <row r="628" ht="15.75" customHeight="1">
      <c r="A628" s="107"/>
    </row>
    <row r="629" ht="15.75" customHeight="1">
      <c r="A629" s="107"/>
    </row>
    <row r="630" ht="15.75" customHeight="1">
      <c r="A630" s="107"/>
    </row>
    <row r="631" ht="15.75" customHeight="1">
      <c r="A631" s="107"/>
    </row>
    <row r="632" ht="15.75" customHeight="1">
      <c r="A632" s="107"/>
    </row>
    <row r="633" ht="15.75" customHeight="1">
      <c r="A633" s="107"/>
    </row>
    <row r="634" ht="15.75" customHeight="1">
      <c r="A634" s="107"/>
    </row>
    <row r="635" ht="15.75" customHeight="1">
      <c r="A635" s="107"/>
    </row>
    <row r="636" ht="15.75" customHeight="1">
      <c r="A636" s="107"/>
    </row>
    <row r="637" ht="15.75" customHeight="1">
      <c r="A637" s="107"/>
    </row>
    <row r="638" ht="15.75" customHeight="1">
      <c r="A638" s="107"/>
    </row>
    <row r="639" ht="15.75" customHeight="1">
      <c r="A639" s="107"/>
    </row>
    <row r="640" ht="15.75" customHeight="1">
      <c r="A640" s="107"/>
    </row>
    <row r="641" ht="15.75" customHeight="1">
      <c r="A641" s="107"/>
    </row>
    <row r="642" ht="15.75" customHeight="1">
      <c r="A642" s="107"/>
    </row>
    <row r="643" ht="15.75" customHeight="1">
      <c r="A643" s="107"/>
    </row>
    <row r="644" ht="15.75" customHeight="1">
      <c r="A644" s="107"/>
    </row>
    <row r="645" ht="15.75" customHeight="1">
      <c r="A645" s="107"/>
    </row>
    <row r="646" ht="15.75" customHeight="1">
      <c r="A646" s="107"/>
    </row>
    <row r="647" ht="15.75" customHeight="1">
      <c r="A647" s="107"/>
    </row>
    <row r="648" ht="15.75" customHeight="1">
      <c r="A648" s="107"/>
    </row>
    <row r="649" ht="15.75" customHeight="1">
      <c r="A649" s="107"/>
    </row>
    <row r="650" ht="15.75" customHeight="1">
      <c r="A650" s="107"/>
    </row>
    <row r="651" ht="15.75" customHeight="1">
      <c r="A651" s="107"/>
    </row>
    <row r="652" ht="15.75" customHeight="1">
      <c r="A652" s="107"/>
    </row>
    <row r="653" ht="15.75" customHeight="1">
      <c r="A653" s="107"/>
    </row>
    <row r="654" ht="15.75" customHeight="1">
      <c r="A654" s="107"/>
    </row>
    <row r="655" ht="15.75" customHeight="1">
      <c r="A655" s="107"/>
    </row>
    <row r="656" ht="15.75" customHeight="1">
      <c r="A656" s="107"/>
    </row>
    <row r="657" ht="15.75" customHeight="1">
      <c r="A657" s="107"/>
    </row>
    <row r="658" ht="15.75" customHeight="1">
      <c r="A658" s="107"/>
    </row>
    <row r="659" ht="15.75" customHeight="1">
      <c r="A659" s="107"/>
    </row>
    <row r="660" ht="15.75" customHeight="1">
      <c r="A660" s="107"/>
    </row>
    <row r="661" ht="15.75" customHeight="1">
      <c r="A661" s="107"/>
    </row>
    <row r="662" ht="15.75" customHeight="1">
      <c r="A662" s="107"/>
    </row>
    <row r="663" ht="15.75" customHeight="1">
      <c r="A663" s="107"/>
    </row>
    <row r="664" ht="15.75" customHeight="1">
      <c r="A664" s="107"/>
    </row>
    <row r="665" ht="15.75" customHeight="1">
      <c r="A665" s="107"/>
    </row>
    <row r="666" ht="15.75" customHeight="1">
      <c r="A666" s="107"/>
    </row>
    <row r="667" ht="15.75" customHeight="1">
      <c r="A667" s="107"/>
    </row>
    <row r="668" ht="15.75" customHeight="1">
      <c r="A668" s="107"/>
    </row>
    <row r="669" ht="15.75" customHeight="1">
      <c r="A669" s="107"/>
    </row>
    <row r="670" ht="15.75" customHeight="1">
      <c r="A670" s="107"/>
    </row>
    <row r="671" ht="15.75" customHeight="1">
      <c r="A671" s="107"/>
    </row>
    <row r="672" ht="15.75" customHeight="1">
      <c r="A672" s="107"/>
    </row>
    <row r="673" ht="15.75" customHeight="1">
      <c r="A673" s="107"/>
    </row>
    <row r="674" ht="15.75" customHeight="1">
      <c r="A674" s="107"/>
    </row>
    <row r="675" ht="15.75" customHeight="1">
      <c r="A675" s="107"/>
    </row>
    <row r="676" ht="15.75" customHeight="1">
      <c r="A676" s="107"/>
    </row>
    <row r="677" ht="15.75" customHeight="1">
      <c r="A677" s="107"/>
    </row>
    <row r="678" ht="15.75" customHeight="1">
      <c r="A678" s="107"/>
    </row>
    <row r="679" ht="15.75" customHeight="1">
      <c r="A679" s="107"/>
    </row>
    <row r="680" ht="15.75" customHeight="1">
      <c r="A680" s="107"/>
    </row>
    <row r="681" ht="15.75" customHeight="1">
      <c r="A681" s="107"/>
    </row>
    <row r="682" ht="15.75" customHeight="1">
      <c r="A682" s="107"/>
    </row>
    <row r="683" ht="15.75" customHeight="1">
      <c r="A683" s="107"/>
    </row>
    <row r="684" ht="15.75" customHeight="1">
      <c r="A684" s="107"/>
    </row>
    <row r="685" ht="15.75" customHeight="1">
      <c r="A685" s="107"/>
    </row>
    <row r="686" ht="15.75" customHeight="1">
      <c r="A686" s="107"/>
    </row>
    <row r="687" ht="15.75" customHeight="1">
      <c r="A687" s="107"/>
    </row>
    <row r="688" ht="15.75" customHeight="1">
      <c r="A688" s="107"/>
    </row>
    <row r="689" ht="15.75" customHeight="1">
      <c r="A689" s="107"/>
    </row>
    <row r="690" ht="15.75" customHeight="1">
      <c r="A690" s="107"/>
    </row>
    <row r="691" ht="15.75" customHeight="1">
      <c r="A691" s="107"/>
    </row>
    <row r="692" ht="15.75" customHeight="1">
      <c r="A692" s="107"/>
    </row>
    <row r="693" ht="15.75" customHeight="1">
      <c r="A693" s="107"/>
    </row>
    <row r="694" ht="15.75" customHeight="1">
      <c r="A694" s="107"/>
    </row>
    <row r="695" ht="15.75" customHeight="1">
      <c r="A695" s="107"/>
    </row>
    <row r="696" ht="15.75" customHeight="1">
      <c r="A696" s="107"/>
    </row>
    <row r="697" ht="15.75" customHeight="1">
      <c r="A697" s="107"/>
    </row>
    <row r="698" ht="15.75" customHeight="1">
      <c r="A698" s="107"/>
    </row>
    <row r="699" ht="15.75" customHeight="1">
      <c r="A699" s="107"/>
    </row>
    <row r="700" ht="15.75" customHeight="1">
      <c r="A700" s="107"/>
    </row>
    <row r="701" ht="15.75" customHeight="1">
      <c r="A701" s="107"/>
    </row>
    <row r="702" ht="15.75" customHeight="1">
      <c r="A702" s="107"/>
    </row>
    <row r="703" ht="15.75" customHeight="1">
      <c r="A703" s="107"/>
    </row>
    <row r="704" ht="15.75" customHeight="1">
      <c r="A704" s="107"/>
    </row>
    <row r="705" ht="15.75" customHeight="1">
      <c r="A705" s="107"/>
    </row>
    <row r="706" ht="15.75" customHeight="1">
      <c r="A706" s="107"/>
    </row>
    <row r="707" ht="15.75" customHeight="1">
      <c r="A707" s="107"/>
    </row>
    <row r="708" ht="15.75" customHeight="1">
      <c r="A708" s="107"/>
    </row>
    <row r="709" ht="15.75" customHeight="1">
      <c r="A709" s="107"/>
    </row>
    <row r="710" ht="15.75" customHeight="1">
      <c r="A710" s="107"/>
    </row>
    <row r="711" ht="15.75" customHeight="1">
      <c r="A711" s="107"/>
    </row>
    <row r="712" ht="15.75" customHeight="1">
      <c r="A712" s="107"/>
    </row>
    <row r="713" ht="15.75" customHeight="1">
      <c r="A713" s="107"/>
    </row>
    <row r="714" ht="15.75" customHeight="1">
      <c r="A714" s="107"/>
    </row>
    <row r="715" ht="15.75" customHeight="1">
      <c r="A715" s="107"/>
    </row>
    <row r="716" ht="15.75" customHeight="1">
      <c r="A716" s="107"/>
    </row>
    <row r="717" ht="15.75" customHeight="1">
      <c r="A717" s="107"/>
    </row>
    <row r="718" ht="15.75" customHeight="1">
      <c r="A718" s="107"/>
    </row>
    <row r="719" ht="15.75" customHeight="1">
      <c r="A719" s="107"/>
    </row>
    <row r="720" ht="15.75" customHeight="1">
      <c r="A720" s="107"/>
    </row>
    <row r="721" ht="15.75" customHeight="1">
      <c r="A721" s="107"/>
    </row>
    <row r="722" ht="15.75" customHeight="1">
      <c r="A722" s="107"/>
    </row>
    <row r="723" ht="15.75" customHeight="1">
      <c r="A723" s="107"/>
    </row>
    <row r="724" ht="15.75" customHeight="1">
      <c r="A724" s="107"/>
    </row>
    <row r="725" ht="15.75" customHeight="1">
      <c r="A725" s="107"/>
    </row>
    <row r="726" ht="15.75" customHeight="1">
      <c r="A726" s="107"/>
    </row>
    <row r="727" ht="15.75" customHeight="1">
      <c r="A727" s="107"/>
    </row>
    <row r="728" ht="15.75" customHeight="1">
      <c r="A728" s="107"/>
    </row>
    <row r="729" ht="15.75" customHeight="1">
      <c r="A729" s="107"/>
    </row>
    <row r="730" ht="15.75" customHeight="1">
      <c r="A730" s="107"/>
    </row>
    <row r="731" ht="15.75" customHeight="1">
      <c r="A731" s="107"/>
    </row>
    <row r="732" ht="15.75" customHeight="1">
      <c r="A732" s="107"/>
    </row>
    <row r="733" ht="15.75" customHeight="1">
      <c r="A733" s="107"/>
    </row>
    <row r="734" ht="15.75" customHeight="1">
      <c r="A734" s="107"/>
    </row>
    <row r="735" ht="15.75" customHeight="1">
      <c r="A735" s="107"/>
    </row>
    <row r="736" ht="15.75" customHeight="1">
      <c r="A736" s="107"/>
    </row>
    <row r="737" ht="15.75" customHeight="1">
      <c r="A737" s="107"/>
    </row>
    <row r="738" ht="15.75" customHeight="1">
      <c r="A738" s="107"/>
    </row>
    <row r="739" ht="15.75" customHeight="1">
      <c r="A739" s="107"/>
    </row>
    <row r="740" ht="15.75" customHeight="1">
      <c r="A740" s="107"/>
    </row>
    <row r="741" ht="15.75" customHeight="1">
      <c r="A741" s="107"/>
    </row>
    <row r="742" ht="15.75" customHeight="1">
      <c r="A742" s="107"/>
    </row>
    <row r="743" ht="15.75" customHeight="1">
      <c r="A743" s="107"/>
    </row>
    <row r="744" ht="15.75" customHeight="1">
      <c r="A744" s="107"/>
    </row>
    <row r="745" ht="15.75" customHeight="1">
      <c r="A745" s="107"/>
    </row>
    <row r="746" ht="15.75" customHeight="1">
      <c r="A746" s="107"/>
    </row>
    <row r="747" ht="15.75" customHeight="1">
      <c r="A747" s="107"/>
    </row>
    <row r="748" ht="15.75" customHeight="1">
      <c r="A748" s="107"/>
    </row>
    <row r="749" ht="15.75" customHeight="1">
      <c r="A749" s="107"/>
    </row>
    <row r="750" ht="15.75" customHeight="1">
      <c r="A750" s="107"/>
    </row>
    <row r="751" ht="15.75" customHeight="1">
      <c r="A751" s="107"/>
    </row>
    <row r="752" ht="15.75" customHeight="1">
      <c r="A752" s="107"/>
    </row>
    <row r="753" ht="15.75" customHeight="1">
      <c r="A753" s="107"/>
    </row>
    <row r="754" ht="15.75" customHeight="1">
      <c r="A754" s="107"/>
    </row>
    <row r="755" ht="15.75" customHeight="1">
      <c r="A755" s="107"/>
    </row>
    <row r="756" ht="15.75" customHeight="1">
      <c r="A756" s="107"/>
    </row>
    <row r="757" ht="15.75" customHeight="1">
      <c r="A757" s="107"/>
    </row>
    <row r="758" ht="15.75" customHeight="1">
      <c r="A758" s="107"/>
    </row>
    <row r="759" ht="15.75" customHeight="1">
      <c r="A759" s="107"/>
    </row>
    <row r="760" ht="15.75" customHeight="1">
      <c r="A760" s="107"/>
    </row>
    <row r="761" ht="15.75" customHeight="1">
      <c r="A761" s="107"/>
    </row>
    <row r="762" ht="15.75" customHeight="1">
      <c r="A762" s="107"/>
    </row>
    <row r="763" ht="15.75" customHeight="1">
      <c r="A763" s="107"/>
    </row>
    <row r="764" ht="15.75" customHeight="1">
      <c r="A764" s="107"/>
    </row>
    <row r="765" ht="15.75" customHeight="1">
      <c r="A765" s="107"/>
    </row>
    <row r="766" ht="15.75" customHeight="1">
      <c r="A766" s="107"/>
    </row>
    <row r="767" ht="15.75" customHeight="1">
      <c r="A767" s="107"/>
    </row>
    <row r="768" ht="15.75" customHeight="1">
      <c r="A768" s="107"/>
    </row>
    <row r="769" ht="15.75" customHeight="1">
      <c r="A769" s="107"/>
    </row>
    <row r="770" ht="15.75" customHeight="1">
      <c r="A770" s="107"/>
    </row>
    <row r="771" ht="15.75" customHeight="1">
      <c r="A771" s="107"/>
    </row>
    <row r="772" ht="15.75" customHeight="1">
      <c r="A772" s="107"/>
    </row>
    <row r="773" ht="15.75" customHeight="1">
      <c r="A773" s="107"/>
    </row>
    <row r="774" ht="15.75" customHeight="1">
      <c r="A774" s="107"/>
    </row>
    <row r="775" ht="15.75" customHeight="1">
      <c r="A775" s="107"/>
    </row>
    <row r="776" ht="15.75" customHeight="1">
      <c r="A776" s="107"/>
    </row>
    <row r="777" ht="15.75" customHeight="1">
      <c r="A777" s="107"/>
    </row>
    <row r="778" ht="15.75" customHeight="1">
      <c r="A778" s="107"/>
    </row>
    <row r="779" ht="15.75" customHeight="1">
      <c r="A779" s="107"/>
    </row>
    <row r="780" ht="15.75" customHeight="1">
      <c r="A780" s="107"/>
    </row>
    <row r="781" ht="15.75" customHeight="1">
      <c r="A781" s="107"/>
    </row>
    <row r="782" ht="15.75" customHeight="1">
      <c r="A782" s="107"/>
    </row>
    <row r="783" ht="15.75" customHeight="1">
      <c r="A783" s="107"/>
    </row>
    <row r="784" ht="15.75" customHeight="1">
      <c r="A784" s="107"/>
    </row>
    <row r="785" ht="15.75" customHeight="1">
      <c r="A785" s="107"/>
    </row>
    <row r="786" ht="15.75" customHeight="1">
      <c r="A786" s="107"/>
    </row>
    <row r="787" ht="15.75" customHeight="1">
      <c r="A787" s="107"/>
    </row>
    <row r="788" ht="15.75" customHeight="1">
      <c r="A788" s="107"/>
    </row>
    <row r="789" ht="15.75" customHeight="1">
      <c r="A789" s="107"/>
    </row>
    <row r="790" ht="15.75" customHeight="1">
      <c r="A790" s="107"/>
    </row>
    <row r="791" ht="15.75" customHeight="1">
      <c r="A791" s="107"/>
    </row>
    <row r="792" ht="15.75" customHeight="1">
      <c r="A792" s="107"/>
    </row>
    <row r="793" ht="15.75" customHeight="1">
      <c r="A793" s="107"/>
    </row>
    <row r="794" ht="15.75" customHeight="1">
      <c r="A794" s="107"/>
    </row>
    <row r="795" ht="15.75" customHeight="1">
      <c r="A795" s="107"/>
    </row>
    <row r="796" ht="15.75" customHeight="1">
      <c r="A796" s="107"/>
    </row>
    <row r="797" ht="15.75" customHeight="1">
      <c r="A797" s="107"/>
    </row>
    <row r="798" ht="15.75" customHeight="1">
      <c r="A798" s="107"/>
    </row>
    <row r="799" ht="15.75" customHeight="1">
      <c r="A799" s="107"/>
    </row>
    <row r="800" ht="15.75" customHeight="1">
      <c r="A800" s="107"/>
    </row>
    <row r="801" ht="15.75" customHeight="1">
      <c r="A801" s="107"/>
    </row>
    <row r="802" ht="15.75" customHeight="1">
      <c r="A802" s="107"/>
    </row>
    <row r="803" ht="15.75" customHeight="1">
      <c r="A803" s="107"/>
    </row>
    <row r="804" ht="15.75" customHeight="1">
      <c r="A804" s="107"/>
    </row>
    <row r="805" ht="15.75" customHeight="1">
      <c r="A805" s="107"/>
    </row>
    <row r="806" ht="15.75" customHeight="1">
      <c r="A806" s="107"/>
    </row>
    <row r="807" ht="15.75" customHeight="1">
      <c r="A807" s="107"/>
    </row>
    <row r="808" ht="15.75" customHeight="1">
      <c r="A808" s="107"/>
    </row>
    <row r="809" ht="15.75" customHeight="1">
      <c r="A809" s="107"/>
    </row>
    <row r="810" ht="15.75" customHeight="1">
      <c r="A810" s="107"/>
    </row>
    <row r="811" ht="15.75" customHeight="1">
      <c r="A811" s="107"/>
    </row>
    <row r="812" ht="15.75" customHeight="1">
      <c r="A812" s="107"/>
    </row>
    <row r="813" ht="15.75" customHeight="1">
      <c r="A813" s="107"/>
    </row>
    <row r="814" ht="15.75" customHeight="1">
      <c r="A814" s="107"/>
    </row>
    <row r="815" ht="15.75" customHeight="1">
      <c r="A815" s="107"/>
    </row>
    <row r="816" ht="15.75" customHeight="1">
      <c r="A816" s="107"/>
    </row>
    <row r="817" ht="15.75" customHeight="1">
      <c r="A817" s="107"/>
    </row>
    <row r="818" ht="15.75" customHeight="1">
      <c r="A818" s="107"/>
    </row>
    <row r="819" ht="15.75" customHeight="1">
      <c r="A819" s="107"/>
    </row>
    <row r="820" ht="15.75" customHeight="1">
      <c r="A820" s="107"/>
    </row>
    <row r="821" ht="15.75" customHeight="1">
      <c r="A821" s="107"/>
    </row>
    <row r="822" ht="15.75" customHeight="1">
      <c r="A822" s="107"/>
    </row>
    <row r="823" ht="15.75" customHeight="1">
      <c r="A823" s="107"/>
    </row>
    <row r="824" ht="15.75" customHeight="1">
      <c r="A824" s="107"/>
    </row>
    <row r="825" ht="15.75" customHeight="1">
      <c r="A825" s="107"/>
    </row>
    <row r="826" ht="15.75" customHeight="1">
      <c r="A826" s="107"/>
    </row>
    <row r="827" ht="15.75" customHeight="1">
      <c r="A827" s="107"/>
    </row>
    <row r="828" ht="15.75" customHeight="1">
      <c r="A828" s="107"/>
    </row>
    <row r="829" ht="15.75" customHeight="1">
      <c r="A829" s="107"/>
    </row>
    <row r="830" ht="15.75" customHeight="1">
      <c r="A830" s="107"/>
    </row>
    <row r="831" ht="15.75" customHeight="1">
      <c r="A831" s="107"/>
    </row>
    <row r="832" ht="15.75" customHeight="1">
      <c r="A832" s="107"/>
    </row>
    <row r="833" ht="15.75" customHeight="1">
      <c r="A833" s="107"/>
    </row>
    <row r="834" ht="15.75" customHeight="1">
      <c r="A834" s="107"/>
    </row>
    <row r="835" ht="15.75" customHeight="1">
      <c r="A835" s="107"/>
    </row>
    <row r="836" ht="15.75" customHeight="1">
      <c r="A836" s="107"/>
    </row>
    <row r="837" ht="15.75" customHeight="1">
      <c r="A837" s="107"/>
    </row>
    <row r="838" ht="15.75" customHeight="1">
      <c r="A838" s="107"/>
    </row>
    <row r="839" ht="15.75" customHeight="1">
      <c r="A839" s="107"/>
    </row>
    <row r="840" ht="15.75" customHeight="1">
      <c r="A840" s="107"/>
    </row>
    <row r="841" ht="15.75" customHeight="1">
      <c r="A841" s="107"/>
    </row>
    <row r="842" ht="15.75" customHeight="1">
      <c r="A842" s="107"/>
    </row>
    <row r="843" ht="15.75" customHeight="1">
      <c r="A843" s="107"/>
    </row>
    <row r="844" ht="15.75" customHeight="1">
      <c r="A844" s="107"/>
    </row>
    <row r="845" ht="15.75" customHeight="1">
      <c r="A845" s="107"/>
    </row>
    <row r="846" ht="15.75" customHeight="1">
      <c r="A846" s="107"/>
    </row>
    <row r="847" ht="15.75" customHeight="1">
      <c r="A847" s="107"/>
    </row>
    <row r="848" ht="15.75" customHeight="1">
      <c r="A848" s="107"/>
    </row>
    <row r="849" ht="15.75" customHeight="1">
      <c r="A849" s="107"/>
    </row>
    <row r="850" ht="15.75" customHeight="1">
      <c r="A850" s="107"/>
    </row>
    <row r="851" ht="15.75" customHeight="1">
      <c r="A851" s="107"/>
    </row>
    <row r="852" ht="15.75" customHeight="1">
      <c r="A852" s="107"/>
    </row>
    <row r="853" ht="15.75" customHeight="1">
      <c r="A853" s="107"/>
    </row>
    <row r="854" ht="15.75" customHeight="1">
      <c r="A854" s="107"/>
    </row>
    <row r="855" ht="15.75" customHeight="1">
      <c r="A855" s="107"/>
    </row>
    <row r="856" ht="15.75" customHeight="1">
      <c r="A856" s="107"/>
    </row>
    <row r="857" ht="15.75" customHeight="1">
      <c r="A857" s="107"/>
    </row>
    <row r="858" ht="15.75" customHeight="1">
      <c r="A858" s="107"/>
    </row>
    <row r="859" ht="15.75" customHeight="1">
      <c r="A859" s="107"/>
    </row>
    <row r="860" ht="15.75" customHeight="1">
      <c r="A860" s="107"/>
    </row>
    <row r="861" ht="15.75" customHeight="1">
      <c r="A861" s="107"/>
    </row>
    <row r="862" ht="15.75" customHeight="1">
      <c r="A862" s="107"/>
    </row>
    <row r="863" ht="15.75" customHeight="1">
      <c r="A863" s="107"/>
    </row>
    <row r="864" ht="15.75" customHeight="1">
      <c r="A864" s="107"/>
    </row>
    <row r="865" ht="15.75" customHeight="1">
      <c r="A865" s="107"/>
    </row>
    <row r="866" ht="15.75" customHeight="1">
      <c r="A866" s="107"/>
    </row>
    <row r="867" ht="15.75" customHeight="1">
      <c r="A867" s="107"/>
    </row>
    <row r="868" ht="15.75" customHeight="1">
      <c r="A868" s="107"/>
    </row>
    <row r="869" ht="15.75" customHeight="1">
      <c r="A869" s="107"/>
    </row>
    <row r="870" ht="15.75" customHeight="1">
      <c r="A870" s="107"/>
    </row>
    <row r="871" ht="15.75" customHeight="1">
      <c r="A871" s="107"/>
    </row>
    <row r="872" ht="15.75" customHeight="1">
      <c r="A872" s="107"/>
    </row>
    <row r="873" ht="15.75" customHeight="1">
      <c r="A873" s="107"/>
    </row>
    <row r="874" ht="15.75" customHeight="1">
      <c r="A874" s="107"/>
    </row>
    <row r="875" ht="15.75" customHeight="1">
      <c r="A875" s="107"/>
    </row>
    <row r="876" ht="15.75" customHeight="1">
      <c r="A876" s="107"/>
    </row>
    <row r="877" ht="15.75" customHeight="1">
      <c r="A877" s="107"/>
    </row>
    <row r="878" ht="15.75" customHeight="1">
      <c r="A878" s="107"/>
    </row>
    <row r="879" ht="15.75" customHeight="1">
      <c r="A879" s="107"/>
    </row>
    <row r="880" ht="15.75" customHeight="1">
      <c r="A880" s="107"/>
    </row>
    <row r="881" ht="15.75" customHeight="1">
      <c r="A881" s="107"/>
    </row>
    <row r="882" ht="15.75" customHeight="1">
      <c r="A882" s="107"/>
    </row>
    <row r="883" ht="15.75" customHeight="1">
      <c r="A883" s="107"/>
    </row>
    <row r="884" ht="15.75" customHeight="1">
      <c r="A884" s="107"/>
    </row>
    <row r="885" ht="15.75" customHeight="1">
      <c r="A885" s="107"/>
    </row>
    <row r="886" ht="15.75" customHeight="1">
      <c r="A886" s="107"/>
    </row>
    <row r="887" ht="15.75" customHeight="1">
      <c r="A887" s="107"/>
    </row>
    <row r="888" ht="15.75" customHeight="1">
      <c r="A888" s="107"/>
    </row>
    <row r="889" ht="15.75" customHeight="1">
      <c r="A889" s="107"/>
    </row>
    <row r="890" ht="15.75" customHeight="1">
      <c r="A890" s="107"/>
    </row>
    <row r="891" ht="15.75" customHeight="1">
      <c r="A891" s="107"/>
    </row>
    <row r="892" ht="15.75" customHeight="1">
      <c r="A892" s="107"/>
    </row>
    <row r="893" ht="15.75" customHeight="1">
      <c r="A893" s="107"/>
    </row>
    <row r="894" ht="15.75" customHeight="1">
      <c r="A894" s="107"/>
    </row>
    <row r="895" ht="15.75" customHeight="1">
      <c r="A895" s="107"/>
    </row>
    <row r="896" ht="15.75" customHeight="1">
      <c r="A896" s="107"/>
    </row>
    <row r="897" ht="15.75" customHeight="1">
      <c r="A897" s="107"/>
    </row>
    <row r="898" ht="15.75" customHeight="1">
      <c r="A898" s="107"/>
    </row>
    <row r="899" ht="15.75" customHeight="1">
      <c r="A899" s="107"/>
    </row>
    <row r="900" ht="15.75" customHeight="1">
      <c r="A900" s="107"/>
    </row>
    <row r="901" ht="15.75" customHeight="1">
      <c r="A901" s="107"/>
    </row>
    <row r="902" ht="15.75" customHeight="1">
      <c r="A902" s="107"/>
    </row>
    <row r="903" ht="15.75" customHeight="1">
      <c r="A903" s="107"/>
    </row>
    <row r="904" ht="15.75" customHeight="1">
      <c r="A904" s="107"/>
    </row>
    <row r="905" ht="15.75" customHeight="1">
      <c r="A905" s="107"/>
    </row>
    <row r="906" ht="15.75" customHeight="1">
      <c r="A906" s="107"/>
    </row>
    <row r="907" ht="15.75" customHeight="1">
      <c r="A907" s="107"/>
    </row>
    <row r="908" ht="15.75" customHeight="1">
      <c r="A908" s="107"/>
    </row>
    <row r="909" ht="15.75" customHeight="1">
      <c r="A909" s="107"/>
    </row>
    <row r="910" ht="15.75" customHeight="1">
      <c r="A910" s="107"/>
    </row>
    <row r="911" ht="15.75" customHeight="1">
      <c r="A911" s="107"/>
    </row>
    <row r="912" ht="15.75" customHeight="1">
      <c r="A912" s="107"/>
    </row>
    <row r="913" ht="15.75" customHeight="1">
      <c r="A913" s="107"/>
    </row>
    <row r="914" ht="15.75" customHeight="1">
      <c r="A914" s="107"/>
    </row>
    <row r="915" ht="15.75" customHeight="1">
      <c r="A915" s="107"/>
    </row>
    <row r="916" ht="15.75" customHeight="1">
      <c r="A916" s="107"/>
    </row>
    <row r="917" ht="15.75" customHeight="1">
      <c r="A917" s="107"/>
    </row>
    <row r="918" ht="15.75" customHeight="1">
      <c r="A918" s="107"/>
    </row>
    <row r="919" ht="15.75" customHeight="1">
      <c r="A919" s="107"/>
    </row>
    <row r="920" ht="15.75" customHeight="1">
      <c r="A920" s="107"/>
    </row>
    <row r="921" ht="15.75" customHeight="1">
      <c r="A921" s="107"/>
    </row>
    <row r="922" ht="15.75" customHeight="1">
      <c r="A922" s="107"/>
    </row>
    <row r="923" ht="15.75" customHeight="1">
      <c r="A923" s="107"/>
    </row>
    <row r="924" ht="15.75" customHeight="1">
      <c r="A924" s="107"/>
    </row>
    <row r="925" ht="15.75" customHeight="1">
      <c r="A925" s="107"/>
    </row>
    <row r="926" ht="15.75" customHeight="1">
      <c r="A926" s="107"/>
    </row>
    <row r="927" ht="15.75" customHeight="1">
      <c r="A927" s="107"/>
    </row>
    <row r="928" ht="15.75" customHeight="1">
      <c r="A928" s="107"/>
    </row>
    <row r="929" ht="15.75" customHeight="1">
      <c r="A929" s="107"/>
    </row>
    <row r="930" ht="15.75" customHeight="1">
      <c r="A930" s="107"/>
    </row>
    <row r="931" ht="15.75" customHeight="1">
      <c r="A931" s="107"/>
    </row>
    <row r="932" ht="15.75" customHeight="1">
      <c r="A932" s="107"/>
    </row>
    <row r="933" ht="15.75" customHeight="1">
      <c r="A933" s="107"/>
    </row>
    <row r="934" ht="15.75" customHeight="1">
      <c r="A934" s="107"/>
    </row>
    <row r="935" ht="15.75" customHeight="1">
      <c r="A935" s="107"/>
    </row>
    <row r="936" ht="15.75" customHeight="1">
      <c r="A936" s="107"/>
    </row>
    <row r="937" ht="15.75" customHeight="1">
      <c r="A937" s="107"/>
    </row>
    <row r="938" ht="15.75" customHeight="1">
      <c r="A938" s="107"/>
    </row>
    <row r="939" ht="15.75" customHeight="1">
      <c r="A939" s="107"/>
    </row>
    <row r="940" ht="15.75" customHeight="1">
      <c r="A940" s="107"/>
    </row>
    <row r="941" ht="15.75" customHeight="1">
      <c r="A941" s="107"/>
    </row>
    <row r="942" ht="15.75" customHeight="1">
      <c r="A942" s="107"/>
    </row>
    <row r="943" ht="15.75" customHeight="1">
      <c r="A943" s="107"/>
    </row>
    <row r="944" ht="15.75" customHeight="1">
      <c r="A944" s="107"/>
    </row>
    <row r="945" ht="15.75" customHeight="1">
      <c r="A945" s="107"/>
    </row>
    <row r="946" ht="15.75" customHeight="1">
      <c r="A946" s="107"/>
    </row>
    <row r="947" ht="15.75" customHeight="1">
      <c r="A947" s="107"/>
    </row>
    <row r="948" ht="15.75" customHeight="1">
      <c r="A948" s="107"/>
    </row>
    <row r="949" ht="15.75" customHeight="1">
      <c r="A949" s="107"/>
    </row>
    <row r="950" ht="15.75" customHeight="1">
      <c r="A950" s="107"/>
    </row>
    <row r="951" ht="15.75" customHeight="1">
      <c r="A951" s="107"/>
    </row>
    <row r="952" ht="15.75" customHeight="1">
      <c r="A952" s="107"/>
    </row>
    <row r="953" ht="15.75" customHeight="1">
      <c r="A953" s="107"/>
    </row>
    <row r="954" ht="15.75" customHeight="1">
      <c r="A954" s="107"/>
    </row>
    <row r="955" ht="15.75" customHeight="1">
      <c r="A955" s="107"/>
    </row>
    <row r="956" ht="15.75" customHeight="1">
      <c r="A956" s="107"/>
    </row>
    <row r="957" ht="15.75" customHeight="1">
      <c r="A957" s="107"/>
    </row>
    <row r="958" ht="15.75" customHeight="1">
      <c r="A958" s="107"/>
    </row>
    <row r="959" ht="15.75" customHeight="1">
      <c r="A959" s="107"/>
    </row>
    <row r="960" ht="15.75" customHeight="1">
      <c r="A960" s="107"/>
    </row>
    <row r="961" ht="15.75" customHeight="1">
      <c r="A961" s="107"/>
    </row>
    <row r="962" ht="15.75" customHeight="1">
      <c r="A962" s="107"/>
    </row>
    <row r="963" ht="15.75" customHeight="1">
      <c r="A963" s="107"/>
    </row>
    <row r="964" ht="15.75" customHeight="1">
      <c r="A964" s="107"/>
    </row>
    <row r="965" ht="15.75" customHeight="1">
      <c r="A965" s="107"/>
    </row>
    <row r="966" ht="15.75" customHeight="1">
      <c r="A966" s="107"/>
    </row>
    <row r="967" ht="15.75" customHeight="1">
      <c r="A967" s="107"/>
    </row>
    <row r="968" ht="15.75" customHeight="1">
      <c r="A968" s="107"/>
    </row>
    <row r="969" ht="15.75" customHeight="1">
      <c r="A969" s="107"/>
    </row>
    <row r="970" ht="15.75" customHeight="1">
      <c r="A970" s="107"/>
    </row>
    <row r="971" ht="15.75" customHeight="1">
      <c r="A971" s="107"/>
    </row>
    <row r="972" ht="15.75" customHeight="1">
      <c r="A972" s="107"/>
    </row>
    <row r="973" ht="15.75" customHeight="1">
      <c r="A973" s="107"/>
    </row>
    <row r="974" ht="15.75" customHeight="1">
      <c r="A974" s="107"/>
    </row>
    <row r="975" ht="15.75" customHeight="1">
      <c r="A975" s="107"/>
    </row>
    <row r="976" ht="15.75" customHeight="1">
      <c r="A976" s="107"/>
    </row>
    <row r="977" ht="15.75" customHeight="1">
      <c r="A977" s="107"/>
    </row>
    <row r="978" ht="15.75" customHeight="1">
      <c r="A978" s="107"/>
    </row>
    <row r="979" ht="15.75" customHeight="1">
      <c r="A979" s="107"/>
    </row>
    <row r="980" ht="15.75" customHeight="1">
      <c r="A980" s="107"/>
    </row>
    <row r="981" ht="15.75" customHeight="1">
      <c r="A981" s="107"/>
    </row>
    <row r="982" ht="15.75" customHeight="1">
      <c r="A982" s="107"/>
    </row>
    <row r="983" ht="15.75" customHeight="1">
      <c r="A983" s="107"/>
    </row>
    <row r="984" ht="15.75" customHeight="1">
      <c r="A984" s="107"/>
    </row>
    <row r="985" ht="15.75" customHeight="1">
      <c r="A985" s="107"/>
    </row>
    <row r="986" ht="15.75" customHeight="1">
      <c r="A986" s="107"/>
    </row>
    <row r="987" ht="15.75" customHeight="1">
      <c r="A987" s="107"/>
    </row>
    <row r="988" ht="15.75" customHeight="1">
      <c r="A988" s="107"/>
    </row>
    <row r="989" ht="15.75" customHeight="1">
      <c r="A989" s="107"/>
    </row>
    <row r="990" ht="15.75" customHeight="1">
      <c r="A990" s="107"/>
    </row>
    <row r="991" ht="15.75" customHeight="1">
      <c r="A991" s="107"/>
    </row>
    <row r="992" ht="15.75" customHeight="1">
      <c r="A992" s="107"/>
    </row>
    <row r="993" ht="15.75" customHeight="1">
      <c r="A993" s="107"/>
    </row>
    <row r="994" ht="15.75" customHeight="1">
      <c r="A994" s="107"/>
    </row>
    <row r="995" ht="15.75" customHeight="1">
      <c r="A995" s="107"/>
    </row>
    <row r="996" ht="15.75" customHeight="1">
      <c r="A996" s="107"/>
    </row>
    <row r="997" ht="15.75" customHeight="1">
      <c r="A997" s="107"/>
    </row>
    <row r="998" ht="15.75" customHeight="1">
      <c r="A998" s="107"/>
    </row>
    <row r="999" ht="15.75" customHeight="1">
      <c r="A999" s="107"/>
    </row>
    <row r="1000" ht="15.75" customHeight="1">
      <c r="A1000" s="107"/>
    </row>
  </sheetData>
  <autoFilter ref="$A$1:$Z$14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6" width="8.71"/>
    <col customWidth="1" min="7" max="8" width="6.43"/>
    <col customWidth="1" min="9" max="9" width="14.43"/>
    <col customWidth="1" min="10" max="10" width="8.71"/>
    <col customWidth="1" min="11" max="13" width="7.71"/>
    <col customWidth="1" min="14" max="14" width="11.71"/>
    <col customWidth="1" min="15" max="18" width="8.71"/>
    <col customWidth="1" min="19" max="19" width="12.57"/>
    <col customWidth="1" min="20" max="20" width="8.71"/>
    <col customWidth="1" min="21" max="21" width="7.71"/>
    <col customWidth="1" min="22" max="26" width="8.71"/>
  </cols>
  <sheetData>
    <row r="1" ht="50.25" customHeight="1">
      <c r="A1" s="2" t="s">
        <v>3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13</v>
      </c>
      <c r="K1" s="4" t="s">
        <v>14</v>
      </c>
      <c r="L1" s="4" t="s">
        <v>15</v>
      </c>
      <c r="M1" s="7" t="s">
        <v>16</v>
      </c>
      <c r="N1" s="7" t="s">
        <v>17</v>
      </c>
      <c r="O1" s="7" t="s">
        <v>19</v>
      </c>
      <c r="P1" s="7" t="s">
        <v>20</v>
      </c>
      <c r="Q1" s="7" t="s">
        <v>22</v>
      </c>
      <c r="R1" s="2" t="s">
        <v>23</v>
      </c>
      <c r="S1" s="2" t="s">
        <v>24</v>
      </c>
      <c r="T1" s="2" t="s">
        <v>25</v>
      </c>
      <c r="U1" s="8" t="s">
        <v>27</v>
      </c>
      <c r="V1" s="8" t="s">
        <v>29</v>
      </c>
    </row>
    <row r="2">
      <c r="A2" s="10" t="s">
        <v>37</v>
      </c>
      <c r="B2" s="15">
        <f>SUM(Monthly!B4:B6)</f>
        <v>1187748.59</v>
      </c>
      <c r="C2" s="16">
        <f>SUM(Monthly!C4:C6)</f>
        <v>11837783</v>
      </c>
      <c r="D2" s="17">
        <f t="shared" ref="D2:D4" si="1">IFERROR(E2/C2,0)</f>
        <v>0.00454874025</v>
      </c>
      <c r="E2" s="16">
        <f>SUM(Monthly!E4:E6)</f>
        <v>53847</v>
      </c>
      <c r="F2" s="3">
        <f t="shared" ref="F2:F4" si="2">IFERROR(B2/E2,0)</f>
        <v>22.05784148</v>
      </c>
      <c r="G2" s="16">
        <f>SUM(Monthly!G4:G6)</f>
        <v>401</v>
      </c>
      <c r="H2" s="18">
        <f t="shared" ref="H2:H4" si="3">IFERROR(G2/E2,0)</f>
        <v>0.007447025832</v>
      </c>
      <c r="I2" s="15">
        <f>SUM(Monthly!I4:I6)</f>
        <v>7311707.08</v>
      </c>
      <c r="J2" s="17">
        <f t="shared" ref="J2:J4" si="4">IFERROR(B2/I2,0)</f>
        <v>0.1624447721</v>
      </c>
      <c r="K2" s="16">
        <f t="shared" ref="K2:K4" si="5">IFERROR(I2/G2,0)</f>
        <v>18233.68349</v>
      </c>
      <c r="L2" s="20">
        <f t="shared" ref="L2:L4" si="6">IFERROR(I2/B2,0)</f>
        <v>6.155938337</v>
      </c>
      <c r="M2" s="16">
        <f>SUM(Monthly!M4:M6)</f>
        <v>691</v>
      </c>
      <c r="N2" s="15">
        <f>SUM(Monthly!N4:N6)</f>
        <v>11127431.14</v>
      </c>
      <c r="O2" s="16">
        <f t="shared" ref="O2:O4" si="7">IFERROR(N2/M2,0)</f>
        <v>16103.37357</v>
      </c>
      <c r="P2" s="17">
        <f t="shared" ref="P2:P4" si="8">IFERROR(B2/N2,0)</f>
        <v>0.1067405923</v>
      </c>
      <c r="Q2" s="20">
        <f t="shared" ref="Q2:Q4" si="9">IFERROR(N2/B2,0)</f>
        <v>9.368507131</v>
      </c>
      <c r="R2" s="3">
        <f t="shared" ref="R2:R4" si="10">IFERROR(M2-G2,0)</f>
        <v>290</v>
      </c>
      <c r="S2" s="15">
        <f t="shared" ref="S2:S4" si="11">IFERROR(N2-I2,0)</f>
        <v>3815724.056</v>
      </c>
      <c r="T2" s="16">
        <f t="shared" ref="T2:T4" si="12">IFERROR(S2/R2,0)</f>
        <v>13157.66916</v>
      </c>
      <c r="U2" s="16">
        <f>SUM(Monthly!U4:U6)</f>
        <v>102716</v>
      </c>
      <c r="V2" s="17">
        <f t="shared" ref="V2:V4" si="13">IFERROR(M2/U2,0)</f>
        <v>0.006727286888</v>
      </c>
    </row>
    <row r="3">
      <c r="A3" s="10" t="s">
        <v>51</v>
      </c>
      <c r="B3" s="15">
        <f>SUM(Monthly!B6:B8)</f>
        <v>2106337.57</v>
      </c>
      <c r="C3" s="16">
        <f>SUM(Monthly!C6:C8)</f>
        <v>17707795</v>
      </c>
      <c r="D3" s="17">
        <f t="shared" si="1"/>
        <v>0.004527328219</v>
      </c>
      <c r="E3" s="16">
        <f>SUM(Monthly!E7:E9)</f>
        <v>80169</v>
      </c>
      <c r="F3" s="3">
        <f t="shared" si="2"/>
        <v>26.2737164</v>
      </c>
      <c r="G3" s="16">
        <f>SUM(Monthly!G7:G9)</f>
        <v>698</v>
      </c>
      <c r="H3" s="18">
        <f t="shared" si="3"/>
        <v>0.008706607292</v>
      </c>
      <c r="I3" s="15">
        <f>SUM(Monthly!I6:I8)</f>
        <v>12362178.07</v>
      </c>
      <c r="J3" s="17">
        <f t="shared" si="4"/>
        <v>0.1703856358</v>
      </c>
      <c r="K3" s="16">
        <f t="shared" si="5"/>
        <v>17710.85683</v>
      </c>
      <c r="L3" s="20">
        <f t="shared" si="6"/>
        <v>5.869039344</v>
      </c>
      <c r="M3" s="3">
        <f>SUM(Monthly!M7:M9)</f>
        <v>983</v>
      </c>
      <c r="N3" s="15">
        <f>SUM(Monthly!N7:N9)</f>
        <v>16547783.95</v>
      </c>
      <c r="O3" s="16">
        <f t="shared" si="7"/>
        <v>16833.96129</v>
      </c>
      <c r="P3" s="17">
        <f t="shared" si="8"/>
        <v>0.1272881962</v>
      </c>
      <c r="Q3" s="20">
        <f t="shared" si="9"/>
        <v>7.856188004</v>
      </c>
      <c r="R3" s="3">
        <f t="shared" si="10"/>
        <v>285</v>
      </c>
      <c r="S3" s="15">
        <f t="shared" si="11"/>
        <v>4185605.879</v>
      </c>
      <c r="T3" s="16">
        <f t="shared" si="12"/>
        <v>14686.33642</v>
      </c>
      <c r="U3" s="16">
        <f>SUM(Monthly!U6:U8)</f>
        <v>161997</v>
      </c>
      <c r="V3" s="17">
        <f t="shared" si="13"/>
        <v>0.006068013605</v>
      </c>
    </row>
    <row r="4">
      <c r="A4" s="10" t="s">
        <v>55</v>
      </c>
      <c r="B4" s="15">
        <f>SUM(Monthly!B10:B12)</f>
        <v>3090468.13</v>
      </c>
      <c r="C4" s="16">
        <f>SUM(Monthly!C7:C9)</f>
        <v>19972516</v>
      </c>
      <c r="D4" s="17">
        <f t="shared" si="1"/>
        <v>0.005832414905</v>
      </c>
      <c r="E4" s="16">
        <f>SUM(Monthly!E10:E12)</f>
        <v>116488</v>
      </c>
      <c r="F4" s="3">
        <f t="shared" si="2"/>
        <v>26.53035617</v>
      </c>
      <c r="G4" s="16">
        <f>SUM(Monthly!G10:G12)</f>
        <v>987</v>
      </c>
      <c r="H4" s="18">
        <f t="shared" si="3"/>
        <v>0.008472975757</v>
      </c>
      <c r="I4" s="15">
        <f>SUM(Monthly!I7:I9)</f>
        <v>12570209.73</v>
      </c>
      <c r="J4" s="17">
        <f t="shared" si="4"/>
        <v>0.2458565288</v>
      </c>
      <c r="K4" s="16">
        <f t="shared" si="5"/>
        <v>12735.7748</v>
      </c>
      <c r="L4" s="20">
        <f t="shared" si="6"/>
        <v>4.067412832</v>
      </c>
      <c r="M4" s="3">
        <f>SUM(Monthly!M10:M12)</f>
        <v>1480</v>
      </c>
      <c r="N4" s="15">
        <f>SUM(Monthly!N10:N12)</f>
        <v>23280227.98</v>
      </c>
      <c r="O4" s="16">
        <f t="shared" si="7"/>
        <v>15729.88377</v>
      </c>
      <c r="P4" s="17">
        <f t="shared" si="8"/>
        <v>0.1327507674</v>
      </c>
      <c r="Q4" s="20">
        <f t="shared" si="9"/>
        <v>7.532913139</v>
      </c>
      <c r="R4" s="3">
        <f t="shared" si="10"/>
        <v>493</v>
      </c>
      <c r="S4" s="15">
        <f t="shared" si="11"/>
        <v>10710018.25</v>
      </c>
      <c r="T4" s="16">
        <f t="shared" si="12"/>
        <v>21724.17496</v>
      </c>
      <c r="U4" s="16">
        <f>SUM(Monthly!U7:U9)</f>
        <v>178880</v>
      </c>
      <c r="V4" s="17">
        <f t="shared" si="13"/>
        <v>0.008273703041</v>
      </c>
    </row>
    <row r="8">
      <c r="A8" s="2" t="s">
        <v>0</v>
      </c>
      <c r="B8" s="4" t="s">
        <v>1</v>
      </c>
      <c r="C8" s="4" t="s">
        <v>4</v>
      </c>
      <c r="D8" s="4" t="s">
        <v>5</v>
      </c>
      <c r="E8" s="4" t="s">
        <v>6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13</v>
      </c>
      <c r="K8" s="4" t="s">
        <v>14</v>
      </c>
      <c r="L8" s="4" t="s">
        <v>15</v>
      </c>
      <c r="M8" s="7" t="s">
        <v>16</v>
      </c>
      <c r="N8" s="7" t="s">
        <v>17</v>
      </c>
      <c r="O8" s="7" t="s">
        <v>19</v>
      </c>
      <c r="P8" s="7" t="s">
        <v>20</v>
      </c>
      <c r="Q8" s="7" t="s">
        <v>22</v>
      </c>
      <c r="R8" s="2" t="s">
        <v>23</v>
      </c>
      <c r="S8" s="2" t="s">
        <v>24</v>
      </c>
      <c r="T8" s="2" t="s">
        <v>25</v>
      </c>
      <c r="U8" s="8" t="s">
        <v>27</v>
      </c>
      <c r="V8" s="8" t="s">
        <v>29</v>
      </c>
    </row>
    <row r="9">
      <c r="A9" s="3" t="s">
        <v>46</v>
      </c>
      <c r="B9" s="15">
        <v>269951.37999999983</v>
      </c>
      <c r="C9" s="16">
        <v>3237665.0</v>
      </c>
      <c r="D9" s="17">
        <v>0.0041446536315523684</v>
      </c>
      <c r="E9" s="16">
        <v>13419.0</v>
      </c>
      <c r="F9" s="20">
        <v>20.11710112527013</v>
      </c>
      <c r="G9" s="16">
        <v>82.0</v>
      </c>
      <c r="H9" s="17">
        <v>0.006110738505104702</v>
      </c>
      <c r="I9" s="15">
        <v>1526284.9800000002</v>
      </c>
      <c r="J9" s="17">
        <v>0.1768682674188406</v>
      </c>
      <c r="K9" s="16">
        <v>18613.231463414635</v>
      </c>
      <c r="L9" s="20">
        <v>5.653925458725201</v>
      </c>
      <c r="M9" s="3">
        <v>156.0</v>
      </c>
      <c r="N9" s="15">
        <v>2496815.5084745763</v>
      </c>
      <c r="O9" s="16">
        <v>16005.22761842677</v>
      </c>
      <c r="P9" s="17">
        <v>0.10811827268924888</v>
      </c>
      <c r="Q9" s="20">
        <v>9.24913037479037</v>
      </c>
      <c r="R9" s="3">
        <v>74.0</v>
      </c>
      <c r="S9" s="15">
        <v>970530.5284745761</v>
      </c>
      <c r="T9" s="16">
        <v>13115.277411818595</v>
      </c>
      <c r="U9" s="3">
        <v>26612.0</v>
      </c>
      <c r="V9" s="23">
        <v>0.00586201713512701</v>
      </c>
    </row>
    <row r="10">
      <c r="A10" s="3" t="s">
        <v>47</v>
      </c>
      <c r="B10" s="15">
        <v>363205.24000000005</v>
      </c>
      <c r="C10" s="16">
        <v>3415714.0</v>
      </c>
      <c r="D10" s="17">
        <v>0.004677499345671213</v>
      </c>
      <c r="E10" s="16">
        <v>15977.0</v>
      </c>
      <c r="F10" s="20">
        <v>22.733006196407338</v>
      </c>
      <c r="G10" s="16">
        <v>123.0</v>
      </c>
      <c r="H10" s="17">
        <v>0.007698566689616324</v>
      </c>
      <c r="I10" s="15">
        <v>2203105.72</v>
      </c>
      <c r="J10" s="17">
        <v>0.164860558757026</v>
      </c>
      <c r="K10" s="16">
        <v>17911.42861788618</v>
      </c>
      <c r="L10" s="20">
        <v>6.065732201440706</v>
      </c>
      <c r="M10" s="3">
        <v>228.0</v>
      </c>
      <c r="N10" s="15">
        <v>3525611.627118644</v>
      </c>
      <c r="O10" s="16">
        <v>15463.208890871245</v>
      </c>
      <c r="P10" s="17">
        <v>0.10301907255077744</v>
      </c>
      <c r="Q10" s="20">
        <v>9.70694042607602</v>
      </c>
      <c r="R10" s="3">
        <v>105.0</v>
      </c>
      <c r="S10" s="15">
        <v>1322505.9071186436</v>
      </c>
      <c r="T10" s="16">
        <v>12595.294353510892</v>
      </c>
      <c r="U10" s="3">
        <v>31719.0</v>
      </c>
      <c r="V10" s="23">
        <v>0.007188120684763075</v>
      </c>
    </row>
    <row r="11">
      <c r="A11" s="3" t="s">
        <v>48</v>
      </c>
      <c r="B11" s="15">
        <v>554591.9700000001</v>
      </c>
      <c r="C11" s="16">
        <v>5184404.0</v>
      </c>
      <c r="D11" s="17">
        <v>0.0047162605383376755</v>
      </c>
      <c r="E11" s="16">
        <v>24451.0</v>
      </c>
      <c r="F11" s="20">
        <v>22.681770479734983</v>
      </c>
      <c r="G11" s="16">
        <v>196.0</v>
      </c>
      <c r="H11" s="17">
        <v>0.008016032064128256</v>
      </c>
      <c r="I11" s="15">
        <v>3582316.380000001</v>
      </c>
      <c r="J11" s="17">
        <v>0.1548137883901812</v>
      </c>
      <c r="K11" s="16">
        <v>18277.124387755106</v>
      </c>
      <c r="L11" s="20">
        <v>6.459372969284067</v>
      </c>
      <c r="M11" s="3">
        <v>307.0</v>
      </c>
      <c r="N11" s="15">
        <v>5105004.000000004</v>
      </c>
      <c r="O11" s="16">
        <v>16628.67752442998</v>
      </c>
      <c r="P11" s="17">
        <v>0.10863693152835917</v>
      </c>
      <c r="Q11" s="20">
        <v>9.204972801896146</v>
      </c>
      <c r="R11" s="3">
        <v>111.0</v>
      </c>
      <c r="S11" s="15">
        <v>1522687.620000003</v>
      </c>
      <c r="T11" s="16">
        <v>13717.906486486512</v>
      </c>
      <c r="U11" s="3">
        <v>44385.0</v>
      </c>
      <c r="V11" s="23">
        <v>0.006916751154669371</v>
      </c>
    </row>
    <row r="12">
      <c r="A12" s="3" t="s">
        <v>50</v>
      </c>
      <c r="B12" s="15">
        <v>636539.9700000002</v>
      </c>
      <c r="C12" s="16">
        <v>5671901.0</v>
      </c>
      <c r="D12" s="17">
        <v>0.004456706843084884</v>
      </c>
      <c r="E12" s="16">
        <v>25278.0</v>
      </c>
      <c r="F12" s="20">
        <v>25.18157963446476</v>
      </c>
      <c r="G12" s="16">
        <v>192.0</v>
      </c>
      <c r="H12" s="17">
        <v>0.0075955376216472826</v>
      </c>
      <c r="I12" s="15">
        <v>3539615.96</v>
      </c>
      <c r="J12" s="17">
        <v>0.17983306019447381</v>
      </c>
      <c r="K12" s="16">
        <v>18435.499791666665</v>
      </c>
      <c r="L12" s="20">
        <v>5.560712801742833</v>
      </c>
      <c r="M12" s="3">
        <v>280.0</v>
      </c>
      <c r="N12" s="15">
        <v>4575649.847457629</v>
      </c>
      <c r="O12" s="16">
        <v>16341.60659806296</v>
      </c>
      <c r="P12" s="17">
        <v>0.13911465938629053</v>
      </c>
      <c r="Q12" s="20">
        <v>7.188315051853896</v>
      </c>
      <c r="R12" s="3">
        <v>88.0</v>
      </c>
      <c r="S12" s="15">
        <v>1036033.8874576287</v>
      </c>
      <c r="T12" s="16">
        <v>11773.112357473054</v>
      </c>
      <c r="U12" s="3">
        <v>46985.0</v>
      </c>
      <c r="V12" s="23">
        <v>0.005959348728317548</v>
      </c>
    </row>
    <row r="13">
      <c r="A13" s="3" t="s">
        <v>54</v>
      </c>
      <c r="B13" s="15">
        <v>915205.6300000001</v>
      </c>
      <c r="C13" s="16">
        <v>6851490.0</v>
      </c>
      <c r="D13" s="17">
        <v>0.004201275926842191</v>
      </c>
      <c r="E13" s="16">
        <v>28785.0</v>
      </c>
      <c r="F13" s="20">
        <v>31.794532916449544</v>
      </c>
      <c r="G13" s="16">
        <v>286.0</v>
      </c>
      <c r="H13" s="17">
        <v>0.009935730415146778</v>
      </c>
      <c r="I13" s="15">
        <v>5240245.7299999995</v>
      </c>
      <c r="J13" s="17">
        <v>0.17464937278809636</v>
      </c>
      <c r="K13" s="16">
        <v>18322.537517482517</v>
      </c>
      <c r="L13" s="20">
        <v>5.7257577512935525</v>
      </c>
      <c r="M13" s="3">
        <v>390.0</v>
      </c>
      <c r="N13" s="15">
        <v>6681635.059322036</v>
      </c>
      <c r="O13" s="16">
        <v>17132.39758800522</v>
      </c>
      <c r="P13" s="17">
        <v>0.13697330397043012</v>
      </c>
      <c r="Q13" s="20">
        <v>7.300692697139587</v>
      </c>
      <c r="R13" s="25">
        <v>104.0</v>
      </c>
      <c r="S13" s="15">
        <v>1441389.3293220364</v>
      </c>
      <c r="T13" s="16">
        <v>13859.512781942658</v>
      </c>
      <c r="U13" s="3">
        <v>70627.0</v>
      </c>
      <c r="V13" s="23">
        <v>0.005521967519503872</v>
      </c>
    </row>
    <row r="14">
      <c r="A14" s="3" t="s">
        <v>56</v>
      </c>
      <c r="B14" s="15">
        <v>712488.0399999999</v>
      </c>
      <c r="C14" s="16">
        <v>7449125.0</v>
      </c>
      <c r="D14" s="17">
        <v>0.0035045726847112916</v>
      </c>
      <c r="E14" s="16">
        <v>26106.0</v>
      </c>
      <c r="F14" s="20">
        <v>27.292118286983833</v>
      </c>
      <c r="G14" s="16">
        <v>220.0</v>
      </c>
      <c r="H14" s="17">
        <v>0.008427181490845016</v>
      </c>
      <c r="I14" s="15">
        <v>3790348.04</v>
      </c>
      <c r="J14" s="17">
        <v>0.18797430538858903</v>
      </c>
      <c r="K14" s="16">
        <v>17228.854727272726</v>
      </c>
      <c r="L14" s="20">
        <v>5.319876022059262</v>
      </c>
      <c r="M14" s="3">
        <v>313.0</v>
      </c>
      <c r="N14" s="15">
        <v>5290499.042372882</v>
      </c>
      <c r="O14" s="16">
        <v>16902.552851031574</v>
      </c>
      <c r="P14" s="17">
        <v>0.13467312521815267</v>
      </c>
      <c r="Q14" s="20">
        <v>7.42538645613319</v>
      </c>
      <c r="R14" s="3">
        <v>93.0</v>
      </c>
      <c r="S14" s="15">
        <v>1500151.0023728823</v>
      </c>
      <c r="T14" s="16">
        <v>16130.65593949336</v>
      </c>
      <c r="U14" s="3">
        <v>61268.0</v>
      </c>
      <c r="V14" s="23">
        <v>0.005108702748580009</v>
      </c>
    </row>
    <row r="15">
      <c r="A15" s="3" t="s">
        <v>58</v>
      </c>
      <c r="B15" s="15">
        <v>868070.2999999998</v>
      </c>
      <c r="C15" s="16">
        <v>8194079.0</v>
      </c>
      <c r="D15" s="17">
        <v>0.003599672397593433</v>
      </c>
      <c r="E15" s="16">
        <v>29496.0</v>
      </c>
      <c r="F15" s="20">
        <v>29.4301023867643</v>
      </c>
      <c r="G15" s="16">
        <v>279.0</v>
      </c>
      <c r="H15" s="17">
        <v>0.009458909682668836</v>
      </c>
      <c r="I15" s="15">
        <v>5182218.639999998</v>
      </c>
      <c r="J15" s="17">
        <v>0.1675093932354811</v>
      </c>
      <c r="K15" s="16">
        <v>18574.260358422933</v>
      </c>
      <c r="L15" s="20">
        <v>5.969814472399296</v>
      </c>
      <c r="M15" s="3">
        <v>411.0</v>
      </c>
      <c r="N15" s="15">
        <v>7060713.033898308</v>
      </c>
      <c r="O15" s="16">
        <v>17179.35044744114</v>
      </c>
      <c r="P15" s="17">
        <v>0.12294371628366935</v>
      </c>
      <c r="Q15" s="20">
        <v>8.133803257522242</v>
      </c>
      <c r="R15" s="3">
        <v>132.0</v>
      </c>
      <c r="S15" s="15">
        <v>1878494.3938983101</v>
      </c>
      <c r="T15" s="16">
        <v>14231.018135593258</v>
      </c>
      <c r="U15" s="3">
        <v>65802.0</v>
      </c>
      <c r="V15" s="23">
        <v>0.006246010759551382</v>
      </c>
    </row>
    <row r="16">
      <c r="A16" s="3" t="s">
        <v>61</v>
      </c>
      <c r="B16" s="15">
        <v>831575.61</v>
      </c>
      <c r="C16" s="16">
        <v>7860313.0</v>
      </c>
      <c r="D16" s="17">
        <v>0.004012562858501945</v>
      </c>
      <c r="E16" s="16">
        <v>31540.0</v>
      </c>
      <c r="F16" s="20">
        <v>26.365745402663283</v>
      </c>
      <c r="G16" s="16">
        <v>228.0</v>
      </c>
      <c r="H16" s="17">
        <v>0.007228915662650603</v>
      </c>
      <c r="I16" s="15">
        <v>3896020.54</v>
      </c>
      <c r="J16" s="17">
        <v>0.21344230644122836</v>
      </c>
      <c r="K16" s="16">
        <v>17087.809385964913</v>
      </c>
      <c r="L16" s="20">
        <v>4.685106793836823</v>
      </c>
      <c r="M16" s="3">
        <v>386.0</v>
      </c>
      <c r="N16" s="15">
        <v>5948601.05084746</v>
      </c>
      <c r="O16" s="16">
        <v>15410.883551418288</v>
      </c>
      <c r="P16" s="17">
        <v>0.13979347461560407</v>
      </c>
      <c r="Q16" s="20">
        <v>7.15340971922861</v>
      </c>
      <c r="R16" s="3">
        <v>158.0</v>
      </c>
      <c r="S16" s="15">
        <v>2052580.5108474595</v>
      </c>
      <c r="T16" s="16">
        <v>12991.015891439618</v>
      </c>
      <c r="U16" s="3">
        <v>69611.0</v>
      </c>
      <c r="V16" s="23">
        <v>0.005545100630647455</v>
      </c>
    </row>
    <row r="17">
      <c r="A17" s="3" t="s">
        <v>63</v>
      </c>
      <c r="B17" s="15">
        <v>1390822.2199999997</v>
      </c>
      <c r="C17" s="16">
        <v>1.4814452E7</v>
      </c>
      <c r="D17" s="17">
        <v>0.003743101668559863</v>
      </c>
      <c r="E17" s="16">
        <v>55452.0</v>
      </c>
      <c r="F17" s="20">
        <v>25.08155197287744</v>
      </c>
      <c r="G17" s="16">
        <v>480.0</v>
      </c>
      <c r="H17" s="17">
        <v>0.008656135035706556</v>
      </c>
      <c r="I17" s="15">
        <v>7678468.089999999</v>
      </c>
      <c r="J17" s="17">
        <v>0.1811327733211951</v>
      </c>
      <c r="K17" s="16">
        <v>15996.80852083333</v>
      </c>
      <c r="L17" s="20">
        <v>5.520812063241268</v>
      </c>
      <c r="M17" s="3">
        <v>683.0</v>
      </c>
      <c r="N17" s="15">
        <v>1.0270913898305088E7</v>
      </c>
      <c r="O17" s="16">
        <v>15037.941285951812</v>
      </c>
      <c r="P17" s="17">
        <v>0.13541367728041356</v>
      </c>
      <c r="Q17" s="20">
        <v>7.384778407052693</v>
      </c>
      <c r="R17" s="3">
        <v>203.0</v>
      </c>
      <c r="S17" s="15">
        <v>2592445.8083050894</v>
      </c>
      <c r="T17" s="16">
        <v>12770.669006429012</v>
      </c>
      <c r="U17" s="3">
        <v>92124.0</v>
      </c>
      <c r="V17" s="23">
        <v>0.007413920368199383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8.71"/>
    <col customWidth="1" min="3" max="3" width="14.71"/>
    <col customWidth="1" min="4" max="4" width="12.0"/>
    <col customWidth="1" min="5" max="5" width="13.29"/>
    <col customWidth="1" min="6" max="26" width="8.71"/>
  </cols>
  <sheetData>
    <row r="1">
      <c r="A1" s="9" t="s">
        <v>0</v>
      </c>
      <c r="B1" s="11" t="s">
        <v>38</v>
      </c>
      <c r="C1" s="11" t="s">
        <v>38</v>
      </c>
      <c r="D1" s="14" t="s">
        <v>40</v>
      </c>
      <c r="E1" s="14" t="s">
        <v>43</v>
      </c>
    </row>
    <row r="2">
      <c r="A2" s="10" t="s">
        <v>36</v>
      </c>
      <c r="B2" s="3">
        <v>107.0</v>
      </c>
      <c r="C2" s="15">
        <v>2169972.0</v>
      </c>
      <c r="D2" s="3">
        <f>SUMIFS('Business - Dump'!$R:$R,'Business - Dump'!$A:$A,'B2B '!$A2)</f>
        <v>8</v>
      </c>
      <c r="E2" s="15">
        <v>195598.0</v>
      </c>
    </row>
    <row r="3">
      <c r="A3" s="10" t="s">
        <v>45</v>
      </c>
      <c r="B3" s="3">
        <v>214.0</v>
      </c>
      <c r="C3" s="15">
        <v>4260008.0</v>
      </c>
      <c r="D3" s="3">
        <f>SUMIFS('Business - Dump'!$R:$R,'Business - Dump'!$A:$A,'B2B '!$A3)</f>
        <v>18</v>
      </c>
      <c r="E3" s="15">
        <v>396598.0</v>
      </c>
    </row>
    <row r="4">
      <c r="A4" s="10" t="s">
        <v>46</v>
      </c>
      <c r="B4" s="3">
        <v>156.0</v>
      </c>
      <c r="C4" s="15">
        <v>2946242.3</v>
      </c>
      <c r="D4" s="3">
        <f>SUMIFS('Business - Dump'!$R:$R,'Business - Dump'!$A:$A,'B2B '!$A4)</f>
        <v>16</v>
      </c>
      <c r="E4" s="15">
        <v>265894.4</v>
      </c>
    </row>
    <row r="5">
      <c r="A5" s="10" t="s">
        <v>47</v>
      </c>
      <c r="B5" s="3">
        <v>228.0</v>
      </c>
      <c r="C5" s="15">
        <v>4160221.7199999997</v>
      </c>
      <c r="D5" s="3">
        <f>SUMIFS('Business - Dump'!$R:$R,'Business - Dump'!$A:$A,'B2B '!$A5)</f>
        <v>17</v>
      </c>
      <c r="E5" s="15">
        <v>369473.29000000004</v>
      </c>
    </row>
    <row r="6">
      <c r="A6" s="10" t="s">
        <v>48</v>
      </c>
      <c r="B6" s="3">
        <v>307.0</v>
      </c>
      <c r="C6" s="15">
        <v>6023904.720000004</v>
      </c>
      <c r="D6" s="3">
        <f>SUMIFS('Business - Dump'!$R:$R,'Business - Dump'!$A:$A,'B2B '!$A6)</f>
        <v>44</v>
      </c>
      <c r="E6" s="15">
        <v>750380.73</v>
      </c>
    </row>
    <row r="7">
      <c r="A7" s="10" t="s">
        <v>50</v>
      </c>
      <c r="B7" s="3">
        <f>SUMIFS('Business - Dump'!$W:$W,'Business - Dump'!$A:$A,'B2B '!$A7)-D7</f>
        <v>255</v>
      </c>
      <c r="C7" s="15">
        <f>SUMIFS('Business - Dump'!$U:$U,'Business - Dump'!$A:$A,'B2B '!$A7)-E7</f>
        <v>4560610.16</v>
      </c>
      <c r="D7" s="3">
        <f>SUMIFS('Business - Dump'!$X:$X,'Business - Dump'!$A:$A,'B2B '!$A7)</f>
        <v>25</v>
      </c>
      <c r="E7" s="15">
        <f>SUMIFS('Business - Dump'!$V:$V,'Business - Dump'!$A:$A,'B2B '!$A7)</f>
        <v>838656.66</v>
      </c>
    </row>
    <row r="8">
      <c r="A8" s="10" t="s">
        <v>54</v>
      </c>
      <c r="B8" s="3">
        <f>SUMIFS('Business - Dump'!$W:$W,'Business - Dump'!$A:$A,'B2B '!$A8)-D8</f>
        <v>354</v>
      </c>
      <c r="C8" s="15">
        <f>SUMIFS('Business - Dump'!$U:$U,'Business - Dump'!$A:$A,'B2B '!$A8)-E8</f>
        <v>7002728.01</v>
      </c>
      <c r="D8" s="3">
        <f>SUMIFS('Business - Dump'!$X:$X,'Business - Dump'!$A:$A,'B2B '!$A8)</f>
        <v>36</v>
      </c>
      <c r="E8" s="15">
        <f>SUMIFS('Business - Dump'!$V:$V,'Business - Dump'!$A:$A,'B2B '!$A8)</f>
        <v>881601.36</v>
      </c>
    </row>
    <row r="9">
      <c r="A9" s="10" t="s">
        <v>56</v>
      </c>
      <c r="B9" s="3">
        <f>SUMIFS('Business - Dump'!$W:$W,'Business - Dump'!$A:$A,'B2B '!$A9)-D9</f>
        <v>282</v>
      </c>
      <c r="C9" s="15">
        <f>SUMIFS('Business - Dump'!$U:$U,'Business - Dump'!$A:$A,'B2B '!$A9)-E9</f>
        <v>5497566.9</v>
      </c>
      <c r="D9" s="3">
        <f>SUMIFS('Business - Dump'!$X:$X,'Business - Dump'!$A:$A,'B2B '!$A9)</f>
        <v>31</v>
      </c>
      <c r="E9" s="15">
        <f>SUMIFS('Business - Dump'!$V:$V,'Business - Dump'!$A:$A,'B2B '!$A9)</f>
        <v>745221.97</v>
      </c>
    </row>
    <row r="10">
      <c r="A10" s="10" t="s">
        <v>58</v>
      </c>
      <c r="B10" s="3">
        <f>SUMIFS('Business - Dump'!$W:$W,'Business - Dump'!$A:$A,'B2B '!$A10)-D10</f>
        <v>380</v>
      </c>
      <c r="C10" s="15">
        <f>SUMIFS('Business - Dump'!$U:$U,'Business - Dump'!$A:$A,'B2B '!$A10)-E10</f>
        <v>7708213.7</v>
      </c>
      <c r="D10" s="3">
        <f>SUMIFS('Business - Dump'!$X:$X,'Business - Dump'!$A:$A,'B2B '!$A10)</f>
        <v>31</v>
      </c>
      <c r="E10" s="15">
        <f>SUMIFS('Business - Dump'!$V:$V,'Business - Dump'!$A:$A,'B2B '!$A10)</f>
        <v>623427.68</v>
      </c>
    </row>
    <row r="11">
      <c r="A11" s="10" t="s">
        <v>61</v>
      </c>
      <c r="B11" s="3">
        <f>SUMIFS('Business - Dump'!$W:$W,'Business - Dump'!$A:$A,'B2B '!$A11)-D11</f>
        <v>361</v>
      </c>
      <c r="C11" s="15">
        <f>SUMIFS('Business - Dump'!$U:$U,'Business - Dump'!$A:$A,'B2B '!$A11)-E11</f>
        <v>6496497.3</v>
      </c>
      <c r="D11" s="3">
        <f>SUMIFS('Business - Dump'!$X:$X,'Business - Dump'!$A:$A,'B2B '!$A11)</f>
        <v>25</v>
      </c>
      <c r="E11" s="15">
        <f>SUMIFS('Business - Dump'!$V:$V,'Business - Dump'!$A:$A,'B2B '!$A11)</f>
        <v>522851.94</v>
      </c>
    </row>
    <row r="12">
      <c r="A12" s="3" t="s">
        <v>63</v>
      </c>
      <c r="B12" s="3">
        <f>SUMIFS('Business - Dump'!$W:$W,'Business - Dump'!$A:$A,'B2B '!$A12)-D12</f>
        <v>631</v>
      </c>
      <c r="C12" s="15">
        <f>SUMIFS('Business - Dump'!$U:$U,'Business - Dump'!$A:$A,'B2B '!$A12)-E12</f>
        <v>11179070.02</v>
      </c>
      <c r="D12" s="3">
        <f>SUMIFS('Business - Dump'!$X:$X,'Business - Dump'!$A:$A,'B2B '!$A12)</f>
        <v>52</v>
      </c>
      <c r="E12" s="15">
        <f>SUMIFS('Business - Dump'!$V:$V,'Business - Dump'!$A:$A,'B2B '!$A12)</f>
        <v>940608.38</v>
      </c>
    </row>
    <row r="13">
      <c r="A13" s="3" t="s">
        <v>65</v>
      </c>
      <c r="B13" s="3">
        <f>SUMIFS('Business - Dump'!$W:$W,'Business - Dump'!$A:$A,'B2B '!$A13)-D13</f>
        <v>558</v>
      </c>
      <c r="C13" s="15">
        <f>SUMIFS('Business - Dump'!$U:$U,'Business - Dump'!$A:$A,'B2B '!$A13)-E13</f>
        <v>9556218.66</v>
      </c>
      <c r="D13" s="3">
        <f>SUMIFS('Business - Dump'!$X:$X,'Business - Dump'!$A:$A,'B2B '!$A13)</f>
        <v>32</v>
      </c>
      <c r="E13" s="15">
        <f>SUMIFS('Business - Dump'!$V:$V,'Business - Dump'!$A:$A,'B2B '!$A13)</f>
        <v>548954.95</v>
      </c>
    </row>
    <row r="14">
      <c r="A14" s="3" t="s">
        <v>67</v>
      </c>
      <c r="B14" s="3">
        <f>SUMIFS('Business - Dump'!$W:$W,'Business - Dump'!$A:$A,'B2B '!$A14)-D14</f>
        <v>349</v>
      </c>
      <c r="C14" s="15">
        <f>SUMIFS('Business - Dump'!$U:$U,'Business - Dump'!$A:$A,'B2B '!$A14)-E14</f>
        <v>4378557.36</v>
      </c>
      <c r="D14" s="3">
        <f>SUMIFS('Business - Dump'!$X:$X,'Business - Dump'!$A:$A,'B2B '!$A14)</f>
        <v>30</v>
      </c>
      <c r="E14" s="15">
        <f>SUMIFS('Business - Dump'!$V:$V,'Business - Dump'!$A:$A,'B2B '!$A14)</f>
        <v>562434.45</v>
      </c>
    </row>
    <row r="15">
      <c r="A15" s="3" t="s">
        <v>70</v>
      </c>
      <c r="B15" s="3">
        <f>SUMIFS('Business - Dump'!$W:$W,'Business - Dump'!$A:$A,'B2B '!$A15)-D15</f>
        <v>441</v>
      </c>
      <c r="C15" s="15">
        <f>SUMIFS('Business - Dump'!$U:$U,'Business - Dump'!$A:$A,'B2B '!$A15)-E15</f>
        <v>4434524.4</v>
      </c>
      <c r="D15" s="3">
        <f>SUMIFS('Business - Dump'!$X:$X,'Business - Dump'!$A:$A,'B2B '!$A15)</f>
        <v>30</v>
      </c>
      <c r="E15" s="15">
        <f>SUMIFS('Business - Dump'!$V:$V,'Business - Dump'!$A:$A,'B2B '!$A15)</f>
        <v>473397.68</v>
      </c>
    </row>
    <row r="16">
      <c r="A16" s="9" t="s">
        <v>72</v>
      </c>
      <c r="B16" s="11">
        <f t="shared" ref="B16:E16" si="1">SUM(B2:B11)</f>
        <v>2644</v>
      </c>
      <c r="C16" s="26">
        <f t="shared" si="1"/>
        <v>50825964.81</v>
      </c>
      <c r="D16" s="11">
        <f t="shared" si="1"/>
        <v>251</v>
      </c>
      <c r="E16" s="26">
        <f t="shared" si="1"/>
        <v>5589704.03</v>
      </c>
    </row>
    <row r="18">
      <c r="B18" s="27"/>
      <c r="C18" s="27"/>
      <c r="D18" s="27"/>
      <c r="E18" s="27"/>
    </row>
    <row r="19">
      <c r="B19" s="28"/>
      <c r="C19" s="28"/>
      <c r="D19" s="28"/>
      <c r="E19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86"/>
    <col customWidth="1" min="2" max="2" width="26.0"/>
    <col customWidth="1" min="3" max="3" width="11.71"/>
    <col customWidth="1" min="4" max="4" width="10.86"/>
    <col customWidth="1" min="5" max="5" width="11.71"/>
    <col customWidth="1" min="6" max="6" width="11.29"/>
    <col customWidth="1" min="7" max="7" width="11.71"/>
    <col customWidth="1" min="8" max="8" width="10.0"/>
    <col customWidth="1" min="9" max="9" width="11.71"/>
    <col customWidth="1" min="10" max="10" width="11.29"/>
    <col customWidth="1" min="11" max="13" width="11.71"/>
    <col customWidth="1" min="14" max="14" width="10.86"/>
    <col customWidth="1" min="15" max="21" width="11.71"/>
    <col customWidth="1" min="22" max="22" width="9.14"/>
    <col customWidth="1" min="23" max="23" width="8.86"/>
    <col customWidth="1" min="24" max="27" width="11.71"/>
    <col customWidth="1" min="28" max="28" width="8.86"/>
    <col customWidth="1" min="29" max="30" width="11.71"/>
    <col customWidth="1" min="31" max="31" width="8.71"/>
  </cols>
  <sheetData>
    <row r="1">
      <c r="A1" s="29" t="s">
        <v>0</v>
      </c>
      <c r="B1" s="2" t="s">
        <v>81</v>
      </c>
      <c r="C1" s="2" t="s">
        <v>12</v>
      </c>
      <c r="D1" s="2" t="s">
        <v>6</v>
      </c>
      <c r="E1" s="2" t="s">
        <v>5</v>
      </c>
      <c r="F1" s="2" t="s">
        <v>18</v>
      </c>
      <c r="G1" s="2" t="s">
        <v>8</v>
      </c>
      <c r="H1" s="2" t="s">
        <v>21</v>
      </c>
      <c r="I1" s="2" t="s">
        <v>10</v>
      </c>
      <c r="J1" s="2" t="s">
        <v>26</v>
      </c>
      <c r="K1" s="2" t="s">
        <v>28</v>
      </c>
      <c r="L1" s="2" t="s">
        <v>15</v>
      </c>
      <c r="M1" s="2" t="s">
        <v>14</v>
      </c>
      <c r="N1" s="8" t="s">
        <v>23</v>
      </c>
      <c r="O1" s="8" t="s">
        <v>24</v>
      </c>
      <c r="P1" s="8" t="s">
        <v>25</v>
      </c>
      <c r="Q1" s="30" t="s">
        <v>16</v>
      </c>
      <c r="R1" s="30" t="s">
        <v>17</v>
      </c>
      <c r="S1" s="30" t="s">
        <v>19</v>
      </c>
      <c r="T1" s="30" t="s">
        <v>20</v>
      </c>
      <c r="U1" s="30" t="s">
        <v>22</v>
      </c>
      <c r="V1" s="8" t="s">
        <v>27</v>
      </c>
      <c r="W1" s="8" t="s">
        <v>29</v>
      </c>
      <c r="X1" s="8" t="s">
        <v>83</v>
      </c>
      <c r="Y1" s="8" t="s">
        <v>33</v>
      </c>
      <c r="Z1" s="8" t="s">
        <v>85</v>
      </c>
      <c r="AA1" s="8" t="s">
        <v>86</v>
      </c>
      <c r="AB1" s="8" t="s">
        <v>87</v>
      </c>
      <c r="AC1" s="2" t="s">
        <v>88</v>
      </c>
      <c r="AD1" s="8" t="s">
        <v>89</v>
      </c>
      <c r="AE1" s="31"/>
    </row>
    <row r="2">
      <c r="A2" s="32" t="s">
        <v>36</v>
      </c>
      <c r="B2" s="33" t="s">
        <v>90</v>
      </c>
      <c r="C2" s="13">
        <f>SUMIFS('Campaign - Dump'!$N:$N,'Campaign - Dump'!$J:$J,'Portfolio Wise '!$B2,'Campaign - Dump'!$A:$A,'Portfolio Wise '!$A2)</f>
        <v>4053615</v>
      </c>
      <c r="D2" s="13">
        <f>SUMIFS('Campaign - Dump'!$O:$O,'Campaign - Dump'!$J:$J,'Portfolio Wise '!$B2,'Campaign - Dump'!$A:$A,'Portfolio Wise '!$A2)</f>
        <v>12939</v>
      </c>
      <c r="E2" s="23">
        <f t="shared" ref="E2:E415" si="2">IFERROR(D2/C2,0)</f>
        <v>0.00319196569</v>
      </c>
      <c r="F2" s="36">
        <f>SUMIFS('Campaign - Dump'!$Q:$Q,'Campaign - Dump'!$J:$J,'Portfolio Wise '!$B2,'Campaign - Dump'!$A:$A,'Portfolio Wise '!$A2)</f>
        <v>162935.35</v>
      </c>
      <c r="G2" s="38">
        <f t="shared" ref="G2:G415" si="3">IFERROR(F2/D2,0)</f>
        <v>12.59257671</v>
      </c>
      <c r="H2" s="41">
        <f>SUMIFS('Campaign - Dump'!$T:$T,'Campaign - Dump'!$J:$J,'Portfolio Wise '!$B2,'Campaign - Dump'!$A:$A,'Portfolio Wise '!$A2)</f>
        <v>49</v>
      </c>
      <c r="I2" s="23">
        <f t="shared" ref="I2:I415" si="4">IFERROR(H2/D2,0)</f>
        <v>0.003787000541</v>
      </c>
      <c r="J2" s="36">
        <f>SUMIFS('Campaign - Dump'!$U:$U,'Campaign - Dump'!$J:$J,'Portfolio Wise '!$B2,'Campaign - Dump'!$A:$A,'Portfolio Wise '!$A2)</f>
        <v>843788.92</v>
      </c>
      <c r="K2" s="23">
        <f t="shared" ref="K2:K415" si="5">IFERROR(F2/J2,0)</f>
        <v>0.1930996558</v>
      </c>
      <c r="L2" s="38">
        <f t="shared" ref="L2:L415" si="6">IFERROR(J2/F2,0)</f>
        <v>5.178673136</v>
      </c>
      <c r="M2" s="41">
        <f t="shared" ref="M2:M415" si="7">IFERROR(J2/H2,0)</f>
        <v>17220.18204</v>
      </c>
      <c r="N2" s="13">
        <v>0.0</v>
      </c>
      <c r="O2" s="36">
        <v>0.0</v>
      </c>
      <c r="P2" s="41">
        <f t="shared" ref="P2:P415" si="8">IFERROR(O2/N2,0)</f>
        <v>0</v>
      </c>
      <c r="Q2" s="13">
        <f>SUMIFS('Business - Dump'!$W:$W,'Business - Dump'!$B:$B,'Portfolio Wise '!$B2,'Business - Dump'!$A:$A,'Portfolio Wise '!$A2)</f>
        <v>0</v>
      </c>
      <c r="R2" s="36">
        <f>SUMIFS('Business - Dump'!$U:$U,'Business - Dump'!$B:$B,'Portfolio Wise '!$B2,'Business - Dump'!$A:$A,'Portfolio Wise '!$A2)/1.18</f>
        <v>0</v>
      </c>
      <c r="S2" s="41">
        <f t="shared" ref="S2:S415" si="9">IFERROR(R2/Q2,0)</f>
        <v>0</v>
      </c>
      <c r="T2" s="23">
        <f t="shared" ref="T2:T415" si="10">IFERROR(F2/R2,0)</f>
        <v>0</v>
      </c>
      <c r="U2" s="38">
        <f t="shared" ref="U2:U415" si="11">IFERROR(R2/F2,0)</f>
        <v>0</v>
      </c>
      <c r="V2" s="41">
        <f>SUMIFS('Business - Dump'!$G:$G,'Business - Dump'!$B:$B,'Portfolio Wise '!$B2,'Business - Dump'!$A:$A,'Portfolio Wise '!$A2)</f>
        <v>0</v>
      </c>
      <c r="W2" s="48">
        <f t="shared" ref="W2:W415" si="12">IFERROR(Q2/V2,0)</f>
        <v>0</v>
      </c>
      <c r="X2" s="23">
        <f t="shared" ref="X2:Y2" si="1">IFERROR(N2/Q2,0)</f>
        <v>0</v>
      </c>
      <c r="Y2" s="49">
        <f t="shared" si="1"/>
        <v>0</v>
      </c>
      <c r="Z2" s="49">
        <f t="shared" ref="Z2:Z415" si="14">IFERROR(H2/Q2,0)</f>
        <v>0</v>
      </c>
      <c r="AA2" s="23">
        <f t="shared" ref="AA2:AA415" si="15">IFERROR(O2/R2,0)</f>
        <v>0</v>
      </c>
      <c r="AB2" s="23">
        <f>IFERROR(AVERAGEIFS('Business - Dump'!$O:$O,'Business - Dump'!$B:$B,'Portfolio Wise '!$B2,'Business - Dump'!$A:$A,'Portfolio Wise '!$A2),0)</f>
        <v>0</v>
      </c>
      <c r="AC2" s="49">
        <f>F2/SUMIFS('Campaign - Dump'!$Q:$Q,'Campaign - Dump'!$A:$A,'Portfolio Wise '!$A2)</f>
        <v>0.9991433392</v>
      </c>
      <c r="AD2" s="49">
        <f t="shared" ref="AD2:AD415" si="16">IFERROR(N2/H2,0)</f>
        <v>0</v>
      </c>
    </row>
    <row r="3">
      <c r="A3" s="32" t="s">
        <v>36</v>
      </c>
      <c r="B3" s="51" t="s">
        <v>110</v>
      </c>
      <c r="C3" s="13">
        <f>SUMIFS('Campaign - Dump'!$N:$N,'Campaign - Dump'!$J:$J,'Portfolio Wise '!$B3,'Campaign - Dump'!$A:$A,'Portfolio Wise '!$A3)</f>
        <v>0</v>
      </c>
      <c r="D3" s="13">
        <f>SUMIFS('Campaign - Dump'!$O:$O,'Campaign - Dump'!$J:$J,'Portfolio Wise '!$B3,'Campaign - Dump'!$A:$A,'Portfolio Wise '!$A3)</f>
        <v>0</v>
      </c>
      <c r="E3" s="23">
        <f t="shared" si="2"/>
        <v>0</v>
      </c>
      <c r="F3" s="36">
        <f>SUMIFS('Campaign - Dump'!$Q:$Q,'Campaign - Dump'!$J:$J,'Portfolio Wise '!$B3,'Campaign - Dump'!$A:$A,'Portfolio Wise '!$A3)</f>
        <v>0</v>
      </c>
      <c r="G3" s="38">
        <f t="shared" si="3"/>
        <v>0</v>
      </c>
      <c r="H3" s="41">
        <f>SUMIFS('Campaign - Dump'!$T:$T,'Campaign - Dump'!$J:$J,'Portfolio Wise '!$B3,'Campaign - Dump'!$A:$A,'Portfolio Wise '!$A3)</f>
        <v>0</v>
      </c>
      <c r="I3" s="23">
        <f t="shared" si="4"/>
        <v>0</v>
      </c>
      <c r="J3" s="36">
        <f>SUMIFS('Campaign - Dump'!$U:$U,'Campaign - Dump'!$J:$J,'Portfolio Wise '!$B3,'Campaign - Dump'!$A:$A,'Portfolio Wise '!$A3)</f>
        <v>0</v>
      </c>
      <c r="K3" s="23">
        <f t="shared" si="5"/>
        <v>0</v>
      </c>
      <c r="L3" s="38">
        <f t="shared" si="6"/>
        <v>0</v>
      </c>
      <c r="M3" s="41">
        <f t="shared" si="7"/>
        <v>0</v>
      </c>
      <c r="N3" s="13">
        <f t="shared" ref="N3:N4" si="17">IFERROR(Q3-H3,0)</f>
        <v>0</v>
      </c>
      <c r="O3" s="36">
        <f t="shared" ref="O3:O4" si="18">IFERROR(R3-J3,0)</f>
        <v>0</v>
      </c>
      <c r="P3" s="41">
        <f t="shared" si="8"/>
        <v>0</v>
      </c>
      <c r="Q3" s="13">
        <f>SUMIFS('Business - Dump'!$W:$W,'Business - Dump'!$B:$B,'Portfolio Wise '!$B3,'Business - Dump'!$A:$A,'Portfolio Wise '!$A3)</f>
        <v>0</v>
      </c>
      <c r="R3" s="36">
        <f>SUMIFS('Business - Dump'!$U:$U,'Business - Dump'!$B:$B,'Portfolio Wise '!$B3,'Business - Dump'!$A:$A,'Portfolio Wise '!$A3)/1.18</f>
        <v>0</v>
      </c>
      <c r="S3" s="41">
        <f t="shared" si="9"/>
        <v>0</v>
      </c>
      <c r="T3" s="23">
        <f t="shared" si="10"/>
        <v>0</v>
      </c>
      <c r="U3" s="38">
        <f t="shared" si="11"/>
        <v>0</v>
      </c>
      <c r="V3" s="41">
        <f>SUMIFS('Business - Dump'!$G:$G,'Business - Dump'!$B:$B,'Portfolio Wise '!$B3,'Business - Dump'!$A:$A,'Portfolio Wise '!$A3)</f>
        <v>0</v>
      </c>
      <c r="W3" s="48">
        <f t="shared" si="12"/>
        <v>0</v>
      </c>
      <c r="X3" s="23">
        <f t="shared" ref="X3:Y3" si="13">IFERROR(N3/Q3,0)</f>
        <v>0</v>
      </c>
      <c r="Y3" s="49">
        <f t="shared" si="13"/>
        <v>0</v>
      </c>
      <c r="Z3" s="49">
        <f t="shared" si="14"/>
        <v>0</v>
      </c>
      <c r="AA3" s="23">
        <f t="shared" si="15"/>
        <v>0</v>
      </c>
      <c r="AB3" s="23">
        <f>IFERROR(AVERAGEIFS('Business - Dump'!$O:$O,'Business - Dump'!$B:$B,'Portfolio Wise '!$B3,'Business - Dump'!$A:$A,'Portfolio Wise '!$A3),0)</f>
        <v>0</v>
      </c>
      <c r="AC3" s="49">
        <f>F3/SUMIFS('Campaign - Dump'!$Q:$Q,'Campaign - Dump'!$A:$A,'Portfolio Wise '!$A3)</f>
        <v>0</v>
      </c>
      <c r="AD3" s="49">
        <f t="shared" si="16"/>
        <v>0</v>
      </c>
    </row>
    <row r="4">
      <c r="A4" s="32" t="s">
        <v>36</v>
      </c>
      <c r="B4" s="51" t="s">
        <v>119</v>
      </c>
      <c r="C4" s="13">
        <f>SUMIFS('Campaign - Dump'!$N:$N,'Campaign - Dump'!$J:$J,'Portfolio Wise '!$B4,'Campaign - Dump'!$A:$A,'Portfolio Wise '!$A4)</f>
        <v>1245</v>
      </c>
      <c r="D4" s="13">
        <f>SUMIFS('Campaign - Dump'!$O:$O,'Campaign - Dump'!$J:$J,'Portfolio Wise '!$B4,'Campaign - Dump'!$A:$A,'Portfolio Wise '!$A4)</f>
        <v>14</v>
      </c>
      <c r="E4" s="23">
        <f t="shared" si="2"/>
        <v>0.01124497992</v>
      </c>
      <c r="F4" s="36">
        <f>SUMIFS('Campaign - Dump'!$Q:$Q,'Campaign - Dump'!$J:$J,'Portfolio Wise '!$B4,'Campaign - Dump'!$A:$A,'Portfolio Wise '!$A4)</f>
        <v>88.59</v>
      </c>
      <c r="G4" s="38">
        <f t="shared" si="3"/>
        <v>6.327857143</v>
      </c>
      <c r="H4" s="41">
        <f>SUMIFS('Campaign - Dump'!$T:$T,'Campaign - Dump'!$J:$J,'Portfolio Wise '!$B4,'Campaign - Dump'!$A:$A,'Portfolio Wise '!$A4)</f>
        <v>0</v>
      </c>
      <c r="I4" s="23">
        <f t="shared" si="4"/>
        <v>0</v>
      </c>
      <c r="J4" s="36">
        <f>SUMIFS('Campaign - Dump'!$U:$U,'Campaign - Dump'!$J:$J,'Portfolio Wise '!$B4,'Campaign - Dump'!$A:$A,'Portfolio Wise '!$A4)</f>
        <v>0</v>
      </c>
      <c r="K4" s="23">
        <f t="shared" si="5"/>
        <v>0</v>
      </c>
      <c r="L4" s="38">
        <f t="shared" si="6"/>
        <v>0</v>
      </c>
      <c r="M4" s="41">
        <f t="shared" si="7"/>
        <v>0</v>
      </c>
      <c r="N4" s="13">
        <f t="shared" si="17"/>
        <v>2</v>
      </c>
      <c r="O4" s="36">
        <f t="shared" si="18"/>
        <v>10000</v>
      </c>
      <c r="P4" s="41">
        <f t="shared" si="8"/>
        <v>5000</v>
      </c>
      <c r="Q4" s="13">
        <f>SUMIFS('Business - Dump'!$W:$W,'Business - Dump'!$B:$B,'Portfolio Wise '!$B4,'Business - Dump'!$A:$A,'Portfolio Wise '!$A4)</f>
        <v>2</v>
      </c>
      <c r="R4" s="36">
        <f>SUMIFS('Business - Dump'!$U:$U,'Business - Dump'!$B:$B,'Portfolio Wise '!$B4,'Business - Dump'!$A:$A,'Portfolio Wise '!$A4)/1.18</f>
        <v>10000</v>
      </c>
      <c r="S4" s="41">
        <f t="shared" si="9"/>
        <v>5000</v>
      </c>
      <c r="T4" s="23">
        <f t="shared" si="10"/>
        <v>0.008859</v>
      </c>
      <c r="U4" s="38">
        <f t="shared" si="11"/>
        <v>112.8795575</v>
      </c>
      <c r="V4" s="41">
        <f>SUMIFS('Business - Dump'!$G:$G,'Business - Dump'!$B:$B,'Portfolio Wise '!$B4,'Business - Dump'!$A:$A,'Portfolio Wise '!$A4)</f>
        <v>1637</v>
      </c>
      <c r="W4" s="48">
        <f t="shared" si="12"/>
        <v>0.001221747098</v>
      </c>
      <c r="X4" s="23">
        <f t="shared" ref="X4:Y4" si="19">IFERROR(N4/Q4,0)</f>
        <v>1</v>
      </c>
      <c r="Y4" s="49">
        <f t="shared" si="19"/>
        <v>1</v>
      </c>
      <c r="Z4" s="49">
        <f t="shared" si="14"/>
        <v>0</v>
      </c>
      <c r="AA4" s="23">
        <f t="shared" si="15"/>
        <v>1</v>
      </c>
      <c r="AB4" s="23">
        <f>IFERROR(AVERAGEIFS('Business - Dump'!$O:$O,'Business - Dump'!$B:$B,'Portfolio Wise '!$B4,'Business - Dump'!$A:$A,'Portfolio Wise '!$A4),0)</f>
        <v>0.7159</v>
      </c>
      <c r="AC4" s="49">
        <f>F4/SUMIFS('Campaign - Dump'!$Q:$Q,'Campaign - Dump'!$A:$A,'Portfolio Wise '!$A4)</f>
        <v>0.0005432468057</v>
      </c>
      <c r="AD4" s="49">
        <f t="shared" si="16"/>
        <v>0</v>
      </c>
    </row>
    <row r="5">
      <c r="A5" s="32" t="s">
        <v>36</v>
      </c>
      <c r="B5" s="19" t="s">
        <v>128</v>
      </c>
      <c r="C5" s="13">
        <f>SUMIFS('Campaign - Dump'!$N:$N,'Campaign - Dump'!$J:$J,'Portfolio Wise '!$B5,'Campaign - Dump'!$A:$A,'Portfolio Wise '!$A5)</f>
        <v>563</v>
      </c>
      <c r="D5" s="13">
        <f>SUMIFS('Campaign - Dump'!$O:$O,'Campaign - Dump'!$J:$J,'Portfolio Wise '!$B5,'Campaign - Dump'!$A:$A,'Portfolio Wise '!$A5)</f>
        <v>2</v>
      </c>
      <c r="E5" s="23">
        <f t="shared" si="2"/>
        <v>0.003552397869</v>
      </c>
      <c r="F5" s="36">
        <f>SUMIFS('Campaign - Dump'!$Q:$Q,'Campaign - Dump'!$J:$J,'Portfolio Wise '!$B5,'Campaign - Dump'!$A:$A,'Portfolio Wise '!$A5)</f>
        <v>20.01</v>
      </c>
      <c r="G5" s="38">
        <f t="shared" si="3"/>
        <v>10.005</v>
      </c>
      <c r="H5" s="41">
        <f>SUMIFS('Campaign - Dump'!$T:$T,'Campaign - Dump'!$J:$J,'Portfolio Wise '!$B5,'Campaign - Dump'!$A:$A,'Portfolio Wise '!$A5)</f>
        <v>0</v>
      </c>
      <c r="I5" s="23">
        <f t="shared" si="4"/>
        <v>0</v>
      </c>
      <c r="J5" s="36">
        <f>SUMIFS('Campaign - Dump'!$U:$U,'Campaign - Dump'!$J:$J,'Portfolio Wise '!$B5,'Campaign - Dump'!$A:$A,'Portfolio Wise '!$A5)</f>
        <v>0</v>
      </c>
      <c r="K5" s="23">
        <f t="shared" si="5"/>
        <v>0</v>
      </c>
      <c r="L5" s="38">
        <f t="shared" si="6"/>
        <v>0</v>
      </c>
      <c r="M5" s="41">
        <f t="shared" si="7"/>
        <v>0</v>
      </c>
      <c r="N5" s="13">
        <v>0.0</v>
      </c>
      <c r="O5" s="36">
        <v>0.0</v>
      </c>
      <c r="P5" s="41">
        <f t="shared" si="8"/>
        <v>0</v>
      </c>
      <c r="Q5" s="13">
        <f>SUMIFS('Business - Dump'!$W:$W,'Business - Dump'!$B:$B,'Portfolio Wise '!$B5,'Business - Dump'!$A:$A,'Portfolio Wise '!$A5)</f>
        <v>0</v>
      </c>
      <c r="R5" s="36">
        <f>SUMIFS('Business - Dump'!$U:$U,'Business - Dump'!$B:$B,'Portfolio Wise '!$B5,'Business - Dump'!$A:$A,'Portfolio Wise '!$A5)/1.18</f>
        <v>0</v>
      </c>
      <c r="S5" s="41">
        <f t="shared" si="9"/>
        <v>0</v>
      </c>
      <c r="T5" s="23">
        <f t="shared" si="10"/>
        <v>0</v>
      </c>
      <c r="U5" s="38">
        <f t="shared" si="11"/>
        <v>0</v>
      </c>
      <c r="V5" s="41">
        <f>SUMIFS('Business - Dump'!$G:$G,'Business - Dump'!$B:$B,'Portfolio Wise '!$B5,'Business - Dump'!$A:$A,'Portfolio Wise '!$A5)</f>
        <v>0</v>
      </c>
      <c r="W5" s="48">
        <f t="shared" si="12"/>
        <v>0</v>
      </c>
      <c r="X5" s="23">
        <f t="shared" ref="X5:Y5" si="20">IFERROR(N5/Q5,0)</f>
        <v>0</v>
      </c>
      <c r="Y5" s="49">
        <f t="shared" si="20"/>
        <v>0</v>
      </c>
      <c r="Z5" s="49">
        <f t="shared" si="14"/>
        <v>0</v>
      </c>
      <c r="AA5" s="23">
        <f t="shared" si="15"/>
        <v>0</v>
      </c>
      <c r="AB5" s="23">
        <f>IFERROR(AVERAGEIFS('Business - Dump'!$O:$O,'Business - Dump'!$B:$B,'Portfolio Wise '!$B5,'Business - Dump'!$A:$A,'Portfolio Wise '!$A5),0)</f>
        <v>0</v>
      </c>
      <c r="AC5" s="49">
        <f>F5/SUMIFS('Campaign - Dump'!$Q:$Q,'Campaign - Dump'!$A:$A,'Portfolio Wise '!$A5)</f>
        <v>0.0001227042396</v>
      </c>
      <c r="AD5" s="49">
        <f t="shared" si="16"/>
        <v>0</v>
      </c>
    </row>
    <row r="6">
      <c r="A6" s="32" t="s">
        <v>36</v>
      </c>
      <c r="B6" s="19" t="s">
        <v>134</v>
      </c>
      <c r="C6" s="13">
        <f>SUMIFS('Campaign - Dump'!$N:$N,'Campaign - Dump'!$J:$J,'Portfolio Wise '!$B6,'Campaign - Dump'!$A:$A,'Portfolio Wise '!$A6)</f>
        <v>67</v>
      </c>
      <c r="D6" s="13">
        <f>SUMIFS('Campaign - Dump'!$O:$O,'Campaign - Dump'!$J:$J,'Portfolio Wise '!$B6,'Campaign - Dump'!$A:$A,'Portfolio Wise '!$A6)</f>
        <v>0</v>
      </c>
      <c r="E6" s="23">
        <f t="shared" si="2"/>
        <v>0</v>
      </c>
      <c r="F6" s="36">
        <f>SUMIFS('Campaign - Dump'!$Q:$Q,'Campaign - Dump'!$J:$J,'Portfolio Wise '!$B6,'Campaign - Dump'!$A:$A,'Portfolio Wise '!$A6)</f>
        <v>0</v>
      </c>
      <c r="G6" s="38">
        <f t="shared" si="3"/>
        <v>0</v>
      </c>
      <c r="H6" s="41">
        <f>SUMIFS('Campaign - Dump'!$T:$T,'Campaign - Dump'!$J:$J,'Portfolio Wise '!$B6,'Campaign - Dump'!$A:$A,'Portfolio Wise '!$A6)</f>
        <v>0</v>
      </c>
      <c r="I6" s="23">
        <f t="shared" si="4"/>
        <v>0</v>
      </c>
      <c r="J6" s="36">
        <f>SUMIFS('Campaign - Dump'!$U:$U,'Campaign - Dump'!$J:$J,'Portfolio Wise '!$B6,'Campaign - Dump'!$A:$A,'Portfolio Wise '!$A6)</f>
        <v>0</v>
      </c>
      <c r="K6" s="23">
        <f t="shared" si="5"/>
        <v>0</v>
      </c>
      <c r="L6" s="38">
        <f t="shared" si="6"/>
        <v>0</v>
      </c>
      <c r="M6" s="41">
        <f t="shared" si="7"/>
        <v>0</v>
      </c>
      <c r="N6" s="13">
        <f t="shared" ref="N6:N13" si="22">IFERROR(Q6-H6,0)</f>
        <v>34</v>
      </c>
      <c r="O6" s="36">
        <f t="shared" ref="O6:O13" si="23">IFERROR(R6-J6,0)</f>
        <v>654067.7966</v>
      </c>
      <c r="P6" s="41">
        <f t="shared" si="8"/>
        <v>19237.28814</v>
      </c>
      <c r="Q6" s="13">
        <f>SUMIFS('Business - Dump'!$W:$W,'Business - Dump'!$B:$B,'Portfolio Wise '!$B6,'Business - Dump'!$A:$A,'Portfolio Wise '!$A6)</f>
        <v>34</v>
      </c>
      <c r="R6" s="36">
        <f>SUMIFS('Business - Dump'!$U:$U,'Business - Dump'!$B:$B,'Portfolio Wise '!$B6,'Business - Dump'!$A:$A,'Portfolio Wise '!$A6)/1.18</f>
        <v>654067.7966</v>
      </c>
      <c r="S6" s="41">
        <f t="shared" si="9"/>
        <v>19237.28814</v>
      </c>
      <c r="T6" s="23">
        <f t="shared" si="10"/>
        <v>0</v>
      </c>
      <c r="U6" s="38">
        <f t="shared" si="11"/>
        <v>0</v>
      </c>
      <c r="V6" s="41">
        <f>SUMIFS('Business - Dump'!$G:$G,'Business - Dump'!$B:$B,'Portfolio Wise '!$B6,'Business - Dump'!$A:$A,'Portfolio Wise '!$A6)</f>
        <v>7626</v>
      </c>
      <c r="W6" s="23">
        <f t="shared" si="12"/>
        <v>0.004458431681</v>
      </c>
      <c r="X6" s="23">
        <f t="shared" ref="X6:Y6" si="21">IFERROR(N6/Q6,0)</f>
        <v>1</v>
      </c>
      <c r="Y6" s="49">
        <f t="shared" si="21"/>
        <v>1</v>
      </c>
      <c r="Z6" s="49">
        <f t="shared" si="14"/>
        <v>0</v>
      </c>
      <c r="AA6" s="23">
        <f t="shared" si="15"/>
        <v>1</v>
      </c>
      <c r="AB6" s="23">
        <f>IFERROR(AVERAGEIFS('Business - Dump'!$O:$O,'Business - Dump'!$B:$B,'Portfolio Wise '!$B6,'Business - Dump'!$A:$A,'Portfolio Wise '!$A6),0)</f>
        <v>0.925275</v>
      </c>
      <c r="AC6" s="49">
        <f>F6/SUMIFS('Campaign - Dump'!$Q:$Q,'Campaign - Dump'!$A:$A,'Portfolio Wise '!$A6)</f>
        <v>0</v>
      </c>
      <c r="AD6" s="49">
        <f t="shared" si="16"/>
        <v>0</v>
      </c>
    </row>
    <row r="7">
      <c r="A7" s="32" t="s">
        <v>36</v>
      </c>
      <c r="B7" s="19" t="s">
        <v>140</v>
      </c>
      <c r="C7" s="13">
        <f>SUMIFS('Campaign - Dump'!$N:$N,'Campaign - Dump'!$J:$J,'Portfolio Wise '!$B7,'Campaign - Dump'!$A:$A,'Portfolio Wise '!$A7)</f>
        <v>729</v>
      </c>
      <c r="D7" s="13">
        <f>SUMIFS('Campaign - Dump'!$O:$O,'Campaign - Dump'!$J:$J,'Portfolio Wise '!$B7,'Campaign - Dump'!$A:$A,'Portfolio Wise '!$A7)</f>
        <v>4</v>
      </c>
      <c r="E7" s="23">
        <f t="shared" si="2"/>
        <v>0.00548696845</v>
      </c>
      <c r="F7" s="36">
        <f>SUMIFS('Campaign - Dump'!$Q:$Q,'Campaign - Dump'!$J:$J,'Portfolio Wise '!$B7,'Campaign - Dump'!$A:$A,'Portfolio Wise '!$A7)</f>
        <v>31.1</v>
      </c>
      <c r="G7" s="38">
        <f t="shared" si="3"/>
        <v>7.775</v>
      </c>
      <c r="H7" s="41">
        <f>SUMIFS('Campaign - Dump'!$T:$T,'Campaign - Dump'!$J:$J,'Portfolio Wise '!$B7,'Campaign - Dump'!$A:$A,'Portfolio Wise '!$A7)</f>
        <v>0</v>
      </c>
      <c r="I7" s="23">
        <f t="shared" si="4"/>
        <v>0</v>
      </c>
      <c r="J7" s="36">
        <f>SUMIFS('Campaign - Dump'!$U:$U,'Campaign - Dump'!$J:$J,'Portfolio Wise '!$B7,'Campaign - Dump'!$A:$A,'Portfolio Wise '!$A7)</f>
        <v>0</v>
      </c>
      <c r="K7" s="23">
        <f t="shared" si="5"/>
        <v>0</v>
      </c>
      <c r="L7" s="38">
        <f t="shared" si="6"/>
        <v>0</v>
      </c>
      <c r="M7" s="41">
        <f t="shared" si="7"/>
        <v>0</v>
      </c>
      <c r="N7" s="13">
        <f t="shared" si="22"/>
        <v>20</v>
      </c>
      <c r="O7" s="36">
        <f t="shared" si="23"/>
        <v>536745.7627</v>
      </c>
      <c r="P7" s="41">
        <f t="shared" si="8"/>
        <v>26837.28814</v>
      </c>
      <c r="Q7" s="13">
        <f>SUMIFS('Business - Dump'!$W:$W,'Business - Dump'!$B:$B,'Portfolio Wise '!$B7,'Business - Dump'!$A:$A,'Portfolio Wise '!$A7)</f>
        <v>20</v>
      </c>
      <c r="R7" s="36">
        <f>SUMIFS('Business - Dump'!$U:$U,'Business - Dump'!$B:$B,'Portfolio Wise '!$B7,'Business - Dump'!$A:$A,'Portfolio Wise '!$A7)/1.18</f>
        <v>536745.7627</v>
      </c>
      <c r="S7" s="41">
        <f t="shared" si="9"/>
        <v>26837.28814</v>
      </c>
      <c r="T7" s="23">
        <f t="shared" si="10"/>
        <v>0.00005794177087</v>
      </c>
      <c r="U7" s="38">
        <f t="shared" si="11"/>
        <v>17258.7062</v>
      </c>
      <c r="V7" s="41">
        <f>SUMIFS('Business - Dump'!$G:$G,'Business - Dump'!$B:$B,'Portfolio Wise '!$B7,'Business - Dump'!$A:$A,'Portfolio Wise '!$A7)</f>
        <v>3887</v>
      </c>
      <c r="W7" s="23">
        <f t="shared" si="12"/>
        <v>0.005145356316</v>
      </c>
      <c r="X7" s="23">
        <f t="shared" ref="X7:Y7" si="24">IFERROR(N7/Q7,0)</f>
        <v>1</v>
      </c>
      <c r="Y7" s="49">
        <f t="shared" si="24"/>
        <v>1</v>
      </c>
      <c r="Z7" s="49">
        <f t="shared" si="14"/>
        <v>0</v>
      </c>
      <c r="AA7" s="23">
        <f t="shared" si="15"/>
        <v>1</v>
      </c>
      <c r="AB7" s="23">
        <f>IFERROR(AVERAGEIFS('Business - Dump'!$O:$O,'Business - Dump'!$B:$B,'Portfolio Wise '!$B7,'Business - Dump'!$A:$A,'Portfolio Wise '!$A7),0)</f>
        <v>0.83335</v>
      </c>
      <c r="AC7" s="49">
        <f>F7/SUMIFS('Campaign - Dump'!$Q:$Q,'Campaign - Dump'!$A:$A,'Portfolio Wise '!$A7)</f>
        <v>0.0001907097376</v>
      </c>
      <c r="AD7" s="49">
        <f t="shared" si="16"/>
        <v>0</v>
      </c>
    </row>
    <row r="8">
      <c r="A8" s="32" t="s">
        <v>36</v>
      </c>
      <c r="B8" s="10" t="s">
        <v>152</v>
      </c>
      <c r="C8" s="13">
        <f>SUMIFS('Campaign - Dump'!$N:$N,'Campaign - Dump'!$J:$J,'Portfolio Wise '!$B8,'Campaign - Dump'!$A:$A,'Portfolio Wise '!$A8)</f>
        <v>0</v>
      </c>
      <c r="D8" s="13">
        <f>SUMIFS('Campaign - Dump'!$O:$O,'Campaign - Dump'!$J:$J,'Portfolio Wise '!$B8,'Campaign - Dump'!$A:$A,'Portfolio Wise '!$A8)</f>
        <v>0</v>
      </c>
      <c r="E8" s="23">
        <f t="shared" si="2"/>
        <v>0</v>
      </c>
      <c r="F8" s="36">
        <f>SUMIFS('Campaign - Dump'!$Q:$Q,'Campaign - Dump'!$J:$J,'Portfolio Wise '!$B8,'Campaign - Dump'!$A:$A,'Portfolio Wise '!$A8)</f>
        <v>0</v>
      </c>
      <c r="G8" s="38">
        <f t="shared" si="3"/>
        <v>0</v>
      </c>
      <c r="H8" s="41">
        <f>SUMIFS('Campaign - Dump'!$T:$T,'Campaign - Dump'!$J:$J,'Portfolio Wise '!$B8,'Campaign - Dump'!$A:$A,'Portfolio Wise '!$A8)</f>
        <v>0</v>
      </c>
      <c r="I8" s="23">
        <f t="shared" si="4"/>
        <v>0</v>
      </c>
      <c r="J8" s="36">
        <f>SUMIFS('Campaign - Dump'!$U:$U,'Campaign - Dump'!$J:$J,'Portfolio Wise '!$B8,'Campaign - Dump'!$A:$A,'Portfolio Wise '!$A8)</f>
        <v>0</v>
      </c>
      <c r="K8" s="23">
        <f t="shared" si="5"/>
        <v>0</v>
      </c>
      <c r="L8" s="38">
        <f t="shared" si="6"/>
        <v>0</v>
      </c>
      <c r="M8" s="41">
        <f t="shared" si="7"/>
        <v>0</v>
      </c>
      <c r="N8" s="13">
        <f t="shared" si="22"/>
        <v>0</v>
      </c>
      <c r="O8" s="36">
        <f t="shared" si="23"/>
        <v>0</v>
      </c>
      <c r="P8" s="41">
        <f t="shared" si="8"/>
        <v>0</v>
      </c>
      <c r="Q8" s="13">
        <f>SUMIFS('Business - Dump'!$W:$W,'Business - Dump'!$B:$B,'Portfolio Wise '!$B8,'Business - Dump'!$A:$A,'Portfolio Wise '!$A8)</f>
        <v>0</v>
      </c>
      <c r="R8" s="36">
        <f>SUMIFS('Business - Dump'!$U:$U,'Business - Dump'!$B:$B,'Portfolio Wise '!$B8,'Business - Dump'!$A:$A,'Portfolio Wise '!$A8)/1.18</f>
        <v>0</v>
      </c>
      <c r="S8" s="41">
        <f t="shared" si="9"/>
        <v>0</v>
      </c>
      <c r="T8" s="23">
        <f t="shared" si="10"/>
        <v>0</v>
      </c>
      <c r="U8" s="38">
        <f t="shared" si="11"/>
        <v>0</v>
      </c>
      <c r="V8" s="41">
        <f>SUMIFS('Business - Dump'!$G:$G,'Business - Dump'!$B:$B,'Portfolio Wise '!$B8,'Business - Dump'!$A:$A,'Portfolio Wise '!$A8)</f>
        <v>0</v>
      </c>
      <c r="W8" s="48">
        <f t="shared" si="12"/>
        <v>0</v>
      </c>
      <c r="X8" s="23">
        <f t="shared" ref="X8:Y8" si="25">IFERROR(N8/Q8,0)</f>
        <v>0</v>
      </c>
      <c r="Y8" s="49">
        <f t="shared" si="25"/>
        <v>0</v>
      </c>
      <c r="Z8" s="49">
        <f t="shared" si="14"/>
        <v>0</v>
      </c>
      <c r="AA8" s="23">
        <f t="shared" si="15"/>
        <v>0</v>
      </c>
      <c r="AB8" s="23">
        <f>IFERROR(AVERAGEIFS('Business - Dump'!$O:$O,'Business - Dump'!$B:$B,'Portfolio Wise '!$B8,'Business - Dump'!$A:$A,'Portfolio Wise '!$A8),0)</f>
        <v>0</v>
      </c>
      <c r="AC8" s="49">
        <f>F8/SUMIFS('Campaign - Dump'!$Q:$Q,'Campaign - Dump'!$A:$A,'Portfolio Wise '!$A8)</f>
        <v>0</v>
      </c>
      <c r="AD8" s="49">
        <f t="shared" si="16"/>
        <v>0</v>
      </c>
    </row>
    <row r="9">
      <c r="A9" s="32" t="s">
        <v>36</v>
      </c>
      <c r="B9" s="19" t="s">
        <v>158</v>
      </c>
      <c r="C9" s="13">
        <f>SUMIFS('Campaign - Dump'!$N:$N,'Campaign - Dump'!$J:$J,'Portfolio Wise '!$B9,'Campaign - Dump'!$A:$A,'Portfolio Wise '!$A9)</f>
        <v>0</v>
      </c>
      <c r="D9" s="13">
        <f>SUMIFS('Campaign - Dump'!$O:$O,'Campaign - Dump'!$J:$J,'Portfolio Wise '!$B9,'Campaign - Dump'!$A:$A,'Portfolio Wise '!$A9)</f>
        <v>0</v>
      </c>
      <c r="E9" s="23">
        <f t="shared" si="2"/>
        <v>0</v>
      </c>
      <c r="F9" s="36">
        <f>SUMIFS('Campaign - Dump'!$Q:$Q,'Campaign - Dump'!$J:$J,'Portfolio Wise '!$B9,'Campaign - Dump'!$A:$A,'Portfolio Wise '!$A9)</f>
        <v>0</v>
      </c>
      <c r="G9" s="38">
        <f t="shared" si="3"/>
        <v>0</v>
      </c>
      <c r="H9" s="41">
        <f>SUMIFS('Campaign - Dump'!$T:$T,'Campaign - Dump'!$J:$J,'Portfolio Wise '!$B9,'Campaign - Dump'!$A:$A,'Portfolio Wise '!$A9)</f>
        <v>0</v>
      </c>
      <c r="I9" s="23">
        <f t="shared" si="4"/>
        <v>0</v>
      </c>
      <c r="J9" s="36">
        <f>SUMIFS('Campaign - Dump'!$U:$U,'Campaign - Dump'!$J:$J,'Portfolio Wise '!$B9,'Campaign - Dump'!$A:$A,'Portfolio Wise '!$A9)</f>
        <v>0</v>
      </c>
      <c r="K9" s="23">
        <f t="shared" si="5"/>
        <v>0</v>
      </c>
      <c r="L9" s="38">
        <f t="shared" si="6"/>
        <v>0</v>
      </c>
      <c r="M9" s="41">
        <f t="shared" si="7"/>
        <v>0</v>
      </c>
      <c r="N9" s="13">
        <f t="shared" si="22"/>
        <v>0</v>
      </c>
      <c r="O9" s="36">
        <f t="shared" si="23"/>
        <v>0</v>
      </c>
      <c r="P9" s="41">
        <f t="shared" si="8"/>
        <v>0</v>
      </c>
      <c r="Q9" s="13">
        <f>SUMIFS('Business - Dump'!$W:$W,'Business - Dump'!$B:$B,'Portfolio Wise '!$B9,'Business - Dump'!$A:$A,'Portfolio Wise '!$A9)</f>
        <v>0</v>
      </c>
      <c r="R9" s="36">
        <f>SUMIFS('Business - Dump'!$U:$U,'Business - Dump'!$B:$B,'Portfolio Wise '!$B9,'Business - Dump'!$A:$A,'Portfolio Wise '!$A9)/1.18</f>
        <v>0</v>
      </c>
      <c r="S9" s="41">
        <f t="shared" si="9"/>
        <v>0</v>
      </c>
      <c r="T9" s="23">
        <f t="shared" si="10"/>
        <v>0</v>
      </c>
      <c r="U9" s="38">
        <f t="shared" si="11"/>
        <v>0</v>
      </c>
      <c r="V9" s="41">
        <f>SUMIFS('Business - Dump'!$G:$G,'Business - Dump'!$B:$B,'Portfolio Wise '!$B9,'Business - Dump'!$A:$A,'Portfolio Wise '!$A9)</f>
        <v>0</v>
      </c>
      <c r="W9" s="48">
        <f t="shared" si="12"/>
        <v>0</v>
      </c>
      <c r="X9" s="23">
        <f t="shared" ref="X9:Y9" si="26">IFERROR(N9/Q9,0)</f>
        <v>0</v>
      </c>
      <c r="Y9" s="49">
        <f t="shared" si="26"/>
        <v>0</v>
      </c>
      <c r="Z9" s="49">
        <f t="shared" si="14"/>
        <v>0</v>
      </c>
      <c r="AA9" s="23">
        <f t="shared" si="15"/>
        <v>0</v>
      </c>
      <c r="AB9" s="23">
        <f>IFERROR(AVERAGEIFS('Business - Dump'!$O:$O,'Business - Dump'!$B:$B,'Portfolio Wise '!$B9,'Business - Dump'!$A:$A,'Portfolio Wise '!$A9),0)</f>
        <v>0</v>
      </c>
      <c r="AC9" s="49">
        <f>F9/SUMIFS('Campaign - Dump'!$Q:$Q,'Campaign - Dump'!$A:$A,'Portfolio Wise '!$A9)</f>
        <v>0</v>
      </c>
      <c r="AD9" s="49">
        <f t="shared" si="16"/>
        <v>0</v>
      </c>
    </row>
    <row r="10">
      <c r="A10" s="32" t="s">
        <v>36</v>
      </c>
      <c r="B10" s="33" t="s">
        <v>170</v>
      </c>
      <c r="C10" s="13">
        <f>SUMIFS('Campaign - Dump'!$N:$N,'Campaign - Dump'!$J:$J,'Portfolio Wise '!$B10,'Campaign - Dump'!$A:$A,'Portfolio Wise '!$A10)</f>
        <v>0</v>
      </c>
      <c r="D10" s="13">
        <f>SUMIFS('Campaign - Dump'!$O:$O,'Campaign - Dump'!$J:$J,'Portfolio Wise '!$B10,'Campaign - Dump'!$A:$A,'Portfolio Wise '!$A10)</f>
        <v>0</v>
      </c>
      <c r="E10" s="23">
        <f t="shared" si="2"/>
        <v>0</v>
      </c>
      <c r="F10" s="36">
        <f>SUMIFS('Campaign - Dump'!$Q:$Q,'Campaign - Dump'!$J:$J,'Portfolio Wise '!$B10,'Campaign - Dump'!$A:$A,'Portfolio Wise '!$A10)</f>
        <v>0</v>
      </c>
      <c r="G10" s="38">
        <f t="shared" si="3"/>
        <v>0</v>
      </c>
      <c r="H10" s="41">
        <f>SUMIFS('Campaign - Dump'!$T:$T,'Campaign - Dump'!$J:$J,'Portfolio Wise '!$B10,'Campaign - Dump'!$A:$A,'Portfolio Wise '!$A10)</f>
        <v>0</v>
      </c>
      <c r="I10" s="23">
        <f t="shared" si="4"/>
        <v>0</v>
      </c>
      <c r="J10" s="36">
        <f>SUMIFS('Campaign - Dump'!$U:$U,'Campaign - Dump'!$J:$J,'Portfolio Wise '!$B10,'Campaign - Dump'!$A:$A,'Portfolio Wise '!$A10)</f>
        <v>0</v>
      </c>
      <c r="K10" s="23">
        <f t="shared" si="5"/>
        <v>0</v>
      </c>
      <c r="L10" s="38">
        <f t="shared" si="6"/>
        <v>0</v>
      </c>
      <c r="M10" s="41">
        <f t="shared" si="7"/>
        <v>0</v>
      </c>
      <c r="N10" s="13">
        <f t="shared" si="22"/>
        <v>1</v>
      </c>
      <c r="O10" s="36">
        <f t="shared" si="23"/>
        <v>5508.474576</v>
      </c>
      <c r="P10" s="41">
        <f t="shared" si="8"/>
        <v>5508.474576</v>
      </c>
      <c r="Q10" s="13">
        <f>SUMIFS('Business - Dump'!$W:$W,'Business - Dump'!$B:$B,'Portfolio Wise '!$B10,'Business - Dump'!$A:$A,'Portfolio Wise '!$A10)</f>
        <v>1</v>
      </c>
      <c r="R10" s="36">
        <f>SUMIFS('Business - Dump'!$U:$U,'Business - Dump'!$B:$B,'Portfolio Wise '!$B10,'Business - Dump'!$A:$A,'Portfolio Wise '!$A10)/1.18</f>
        <v>5508.474576</v>
      </c>
      <c r="S10" s="41">
        <f t="shared" si="9"/>
        <v>5508.474576</v>
      </c>
      <c r="T10" s="23">
        <f t="shared" si="10"/>
        <v>0</v>
      </c>
      <c r="U10" s="38">
        <f t="shared" si="11"/>
        <v>0</v>
      </c>
      <c r="V10" s="41">
        <f>SUMIFS('Business - Dump'!$G:$G,'Business - Dump'!$B:$B,'Portfolio Wise '!$B10,'Business - Dump'!$A:$A,'Portfolio Wise '!$A10)</f>
        <v>92</v>
      </c>
      <c r="W10" s="48">
        <f t="shared" si="12"/>
        <v>0.01086956522</v>
      </c>
      <c r="X10" s="23">
        <f t="shared" ref="X10:Y10" si="27">IFERROR(N10/Q10,0)</f>
        <v>1</v>
      </c>
      <c r="Y10" s="49">
        <f t="shared" si="27"/>
        <v>1</v>
      </c>
      <c r="Z10" s="49">
        <f t="shared" si="14"/>
        <v>0</v>
      </c>
      <c r="AA10" s="23">
        <f t="shared" si="15"/>
        <v>1</v>
      </c>
      <c r="AB10" s="23">
        <f>IFERROR(AVERAGEIFS('Business - Dump'!$O:$O,'Business - Dump'!$B:$B,'Portfolio Wise '!$B10,'Business - Dump'!$A:$A,'Portfolio Wise '!$A10),0)</f>
        <v>0.771</v>
      </c>
      <c r="AC10" s="49">
        <f>F10/SUMIFS('Campaign - Dump'!$Q:$Q,'Campaign - Dump'!$A:$A,'Portfolio Wise '!$A10)</f>
        <v>0</v>
      </c>
      <c r="AD10" s="49">
        <f t="shared" si="16"/>
        <v>0</v>
      </c>
    </row>
    <row r="11">
      <c r="A11" s="32" t="s">
        <v>36</v>
      </c>
      <c r="B11" s="51" t="s">
        <v>176</v>
      </c>
      <c r="C11" s="13">
        <f>SUMIFS('Campaign - Dump'!$N:$N,'Campaign - Dump'!$J:$J,'Portfolio Wise '!$B11,'Campaign - Dump'!$A:$A,'Portfolio Wise '!$A11)</f>
        <v>0</v>
      </c>
      <c r="D11" s="13">
        <f>SUMIFS('Campaign - Dump'!$O:$O,'Campaign - Dump'!$J:$J,'Portfolio Wise '!$B11,'Campaign - Dump'!$A:$A,'Portfolio Wise '!$A11)</f>
        <v>0</v>
      </c>
      <c r="E11" s="23">
        <f t="shared" si="2"/>
        <v>0</v>
      </c>
      <c r="F11" s="36">
        <f>SUMIFS('Campaign - Dump'!$Q:$Q,'Campaign - Dump'!$J:$J,'Portfolio Wise '!$B11,'Campaign - Dump'!$A:$A,'Portfolio Wise '!$A11)</f>
        <v>0</v>
      </c>
      <c r="G11" s="38">
        <f t="shared" si="3"/>
        <v>0</v>
      </c>
      <c r="H11" s="41">
        <f>SUMIFS('Campaign - Dump'!$T:$T,'Campaign - Dump'!$J:$J,'Portfolio Wise '!$B11,'Campaign - Dump'!$A:$A,'Portfolio Wise '!$A11)</f>
        <v>0</v>
      </c>
      <c r="I11" s="23">
        <f t="shared" si="4"/>
        <v>0</v>
      </c>
      <c r="J11" s="36">
        <f>SUMIFS('Campaign - Dump'!$U:$U,'Campaign - Dump'!$J:$J,'Portfolio Wise '!$B11,'Campaign - Dump'!$A:$A,'Portfolio Wise '!$A11)</f>
        <v>0</v>
      </c>
      <c r="K11" s="23">
        <f t="shared" si="5"/>
        <v>0</v>
      </c>
      <c r="L11" s="38">
        <f t="shared" si="6"/>
        <v>0</v>
      </c>
      <c r="M11" s="41">
        <f t="shared" si="7"/>
        <v>0</v>
      </c>
      <c r="N11" s="13">
        <f t="shared" si="22"/>
        <v>15</v>
      </c>
      <c r="O11" s="36">
        <f t="shared" si="23"/>
        <v>280254.2373</v>
      </c>
      <c r="P11" s="41">
        <f t="shared" si="8"/>
        <v>18683.61582</v>
      </c>
      <c r="Q11" s="13">
        <f>SUMIFS('Business - Dump'!$W:$W,'Business - Dump'!$B:$B,'Portfolio Wise '!$B11,'Business - Dump'!$A:$A,'Portfolio Wise '!$A11)</f>
        <v>15</v>
      </c>
      <c r="R11" s="36">
        <f>SUMIFS('Business - Dump'!$U:$U,'Business - Dump'!$B:$B,'Portfolio Wise '!$B11,'Business - Dump'!$A:$A,'Portfolio Wise '!$A11)/1.18</f>
        <v>280254.2373</v>
      </c>
      <c r="S11" s="41">
        <f t="shared" si="9"/>
        <v>18683.61582</v>
      </c>
      <c r="T11" s="23">
        <f t="shared" si="10"/>
        <v>0</v>
      </c>
      <c r="U11" s="38">
        <f t="shared" si="11"/>
        <v>0</v>
      </c>
      <c r="V11" s="41">
        <f>SUMIFS('Business - Dump'!$G:$G,'Business - Dump'!$B:$B,'Portfolio Wise '!$B11,'Business - Dump'!$A:$A,'Portfolio Wise '!$A11)</f>
        <v>3527</v>
      </c>
      <c r="W11" s="48">
        <f t="shared" si="12"/>
        <v>0.004252906153</v>
      </c>
      <c r="X11" s="23">
        <f t="shared" ref="X11:Y11" si="28">IFERROR(N11/Q11,0)</f>
        <v>1</v>
      </c>
      <c r="Y11" s="49">
        <f t="shared" si="28"/>
        <v>1</v>
      </c>
      <c r="Z11" s="49">
        <f t="shared" si="14"/>
        <v>0</v>
      </c>
      <c r="AA11" s="23">
        <f t="shared" si="15"/>
        <v>1</v>
      </c>
      <c r="AB11" s="23">
        <f>IFERROR(AVERAGEIFS('Business - Dump'!$O:$O,'Business - Dump'!$B:$B,'Portfolio Wise '!$B11,'Business - Dump'!$A:$A,'Portfolio Wise '!$A11),0)</f>
        <v>0.88755</v>
      </c>
      <c r="AC11" s="49">
        <f>F11/SUMIFS('Campaign - Dump'!$Q:$Q,'Campaign - Dump'!$A:$A,'Portfolio Wise '!$A11)</f>
        <v>0</v>
      </c>
      <c r="AD11" s="49">
        <f t="shared" si="16"/>
        <v>0</v>
      </c>
    </row>
    <row r="12">
      <c r="A12" s="32" t="s">
        <v>36</v>
      </c>
      <c r="B12" s="100" t="s">
        <v>182</v>
      </c>
      <c r="C12" s="13">
        <f>SUMIFS('Campaign - Dump'!$N:$N,'Campaign - Dump'!$J:$J,'Portfolio Wise '!$B12,'Campaign - Dump'!$A:$A,'Portfolio Wise '!$A12)</f>
        <v>0</v>
      </c>
      <c r="D12" s="13">
        <f>SUMIFS('Campaign - Dump'!$O:$O,'Campaign - Dump'!$J:$J,'Portfolio Wise '!$B12,'Campaign - Dump'!$A:$A,'Portfolio Wise '!$A12)</f>
        <v>0</v>
      </c>
      <c r="E12" s="23">
        <f t="shared" si="2"/>
        <v>0</v>
      </c>
      <c r="F12" s="36">
        <f>SUMIFS('Campaign - Dump'!$Q:$Q,'Campaign - Dump'!$J:$J,'Portfolio Wise '!$B12,'Campaign - Dump'!$A:$A,'Portfolio Wise '!$A12)</f>
        <v>0</v>
      </c>
      <c r="G12" s="38">
        <f t="shared" si="3"/>
        <v>0</v>
      </c>
      <c r="H12" s="41">
        <f>SUMIFS('Campaign - Dump'!$T:$T,'Campaign - Dump'!$J:$J,'Portfolio Wise '!$B12,'Campaign - Dump'!$A:$A,'Portfolio Wise '!$A12)</f>
        <v>0</v>
      </c>
      <c r="I12" s="23">
        <f t="shared" si="4"/>
        <v>0</v>
      </c>
      <c r="J12" s="36">
        <f>SUMIFS('Campaign - Dump'!$U:$U,'Campaign - Dump'!$J:$J,'Portfolio Wise '!$B12,'Campaign - Dump'!$A:$A,'Portfolio Wise '!$A12)</f>
        <v>0</v>
      </c>
      <c r="K12" s="23">
        <f t="shared" si="5"/>
        <v>0</v>
      </c>
      <c r="L12" s="38">
        <f t="shared" si="6"/>
        <v>0</v>
      </c>
      <c r="M12" s="41">
        <f t="shared" si="7"/>
        <v>0</v>
      </c>
      <c r="N12" s="13">
        <f t="shared" si="22"/>
        <v>0</v>
      </c>
      <c r="O12" s="36">
        <f t="shared" si="23"/>
        <v>0</v>
      </c>
      <c r="P12" s="41">
        <f t="shared" si="8"/>
        <v>0</v>
      </c>
      <c r="Q12" s="13">
        <f>SUMIFS('Business - Dump'!$W:$W,'Business - Dump'!$B:$B,'Portfolio Wise '!$B12,'Business - Dump'!$A:$A,'Portfolio Wise '!$A12)</f>
        <v>0</v>
      </c>
      <c r="R12" s="36">
        <f>SUMIFS('Business - Dump'!$U:$U,'Business - Dump'!$B:$B,'Portfolio Wise '!$B12,'Business - Dump'!$A:$A,'Portfolio Wise '!$A12)/1.18</f>
        <v>0</v>
      </c>
      <c r="S12" s="41">
        <f t="shared" si="9"/>
        <v>0</v>
      </c>
      <c r="T12" s="23">
        <f t="shared" si="10"/>
        <v>0</v>
      </c>
      <c r="U12" s="38">
        <f t="shared" si="11"/>
        <v>0</v>
      </c>
      <c r="V12" s="41">
        <f>SUMIFS('Business - Dump'!$G:$G,'Business - Dump'!$B:$B,'Portfolio Wise '!$B12,'Business - Dump'!$A:$A,'Portfolio Wise '!$A12)</f>
        <v>0</v>
      </c>
      <c r="W12" s="23">
        <f t="shared" si="12"/>
        <v>0</v>
      </c>
      <c r="X12" s="23">
        <f t="shared" ref="X12:Y12" si="29">IFERROR(N12/Q12,0)</f>
        <v>0</v>
      </c>
      <c r="Y12" s="49">
        <f t="shared" si="29"/>
        <v>0</v>
      </c>
      <c r="Z12" s="49">
        <f t="shared" si="14"/>
        <v>0</v>
      </c>
      <c r="AA12" s="23">
        <f t="shared" si="15"/>
        <v>0</v>
      </c>
      <c r="AB12" s="23">
        <f>IFERROR(AVERAGEIFS('Business - Dump'!$O:$O,'Business - Dump'!$B:$B,'Portfolio Wise '!$B12,'Business - Dump'!$A:$A,'Portfolio Wise '!$A12),0)</f>
        <v>0</v>
      </c>
      <c r="AC12" s="49">
        <f>F12/SUMIFS('Campaign - Dump'!$Q:$Q,'Campaign - Dump'!$A:$A,'Portfolio Wise '!$A12)</f>
        <v>0</v>
      </c>
      <c r="AD12" s="49">
        <f t="shared" si="16"/>
        <v>0</v>
      </c>
    </row>
    <row r="13">
      <c r="A13" s="32" t="s">
        <v>36</v>
      </c>
      <c r="B13" s="100" t="s">
        <v>182</v>
      </c>
      <c r="C13" s="13">
        <f>SUMIFS('Campaign - Dump'!$N:$N,'Campaign - Dump'!$J:$J,'Portfolio Wise '!$B13,'Campaign - Dump'!$A:$A,'Portfolio Wise '!$A13)</f>
        <v>0</v>
      </c>
      <c r="D13" s="13">
        <f>SUMIFS('Campaign - Dump'!$O:$O,'Campaign - Dump'!$J:$J,'Portfolio Wise '!$B13,'Campaign - Dump'!$A:$A,'Portfolio Wise '!$A13)</f>
        <v>0</v>
      </c>
      <c r="E13" s="23">
        <f t="shared" si="2"/>
        <v>0</v>
      </c>
      <c r="F13" s="36">
        <f>SUMIFS('Campaign - Dump'!$Q:$Q,'Campaign - Dump'!$J:$J,'Portfolio Wise '!$B13,'Campaign - Dump'!$A:$A,'Portfolio Wise '!$A13)</f>
        <v>0</v>
      </c>
      <c r="G13" s="38">
        <f t="shared" si="3"/>
        <v>0</v>
      </c>
      <c r="H13" s="41">
        <f>SUMIFS('Campaign - Dump'!$T:$T,'Campaign - Dump'!$J:$J,'Portfolio Wise '!$B13,'Campaign - Dump'!$A:$A,'Portfolio Wise '!$A13)</f>
        <v>0</v>
      </c>
      <c r="I13" s="23">
        <f t="shared" si="4"/>
        <v>0</v>
      </c>
      <c r="J13" s="36">
        <f>SUMIFS('Campaign - Dump'!$U:$U,'Campaign - Dump'!$J:$J,'Portfolio Wise '!$B13,'Campaign - Dump'!$A:$A,'Portfolio Wise '!$A13)</f>
        <v>0</v>
      </c>
      <c r="K13" s="23">
        <f t="shared" si="5"/>
        <v>0</v>
      </c>
      <c r="L13" s="38">
        <f t="shared" si="6"/>
        <v>0</v>
      </c>
      <c r="M13" s="41">
        <f t="shared" si="7"/>
        <v>0</v>
      </c>
      <c r="N13" s="13">
        <f t="shared" si="22"/>
        <v>0</v>
      </c>
      <c r="O13" s="36">
        <f t="shared" si="23"/>
        <v>0</v>
      </c>
      <c r="P13" s="41">
        <f t="shared" si="8"/>
        <v>0</v>
      </c>
      <c r="Q13" s="13">
        <f>SUMIFS('Business - Dump'!$W:$W,'Business - Dump'!$B:$B,'Portfolio Wise '!$B13,'Business - Dump'!$A:$A,'Portfolio Wise '!$A13)</f>
        <v>0</v>
      </c>
      <c r="R13" s="36">
        <f>SUMIFS('Business - Dump'!$U:$U,'Business - Dump'!$B:$B,'Portfolio Wise '!$B13,'Business - Dump'!$A:$A,'Portfolio Wise '!$A13)/1.18</f>
        <v>0</v>
      </c>
      <c r="S13" s="41">
        <f t="shared" si="9"/>
        <v>0</v>
      </c>
      <c r="T13" s="23">
        <f t="shared" si="10"/>
        <v>0</v>
      </c>
      <c r="U13" s="38">
        <f t="shared" si="11"/>
        <v>0</v>
      </c>
      <c r="V13" s="41">
        <f>SUMIFS('Business - Dump'!$G:$G,'Business - Dump'!$B:$B,'Portfolio Wise '!$B13,'Business - Dump'!$A:$A,'Portfolio Wise '!$A13)</f>
        <v>0</v>
      </c>
      <c r="W13" s="23">
        <f t="shared" si="12"/>
        <v>0</v>
      </c>
      <c r="X13" s="23">
        <f t="shared" ref="X13:Y13" si="30">IFERROR(N13/Q13,0)</f>
        <v>0</v>
      </c>
      <c r="Y13" s="49">
        <f t="shared" si="30"/>
        <v>0</v>
      </c>
      <c r="Z13" s="49">
        <f t="shared" si="14"/>
        <v>0</v>
      </c>
      <c r="AA13" s="23">
        <f t="shared" si="15"/>
        <v>0</v>
      </c>
      <c r="AB13" s="23">
        <f>IFERROR(AVERAGEIFS('Business - Dump'!$O:$O,'Business - Dump'!$B:$B,'Portfolio Wise '!$B13,'Business - Dump'!$A:$A,'Portfolio Wise '!$A13),0)</f>
        <v>0</v>
      </c>
      <c r="AC13" s="49">
        <f>F13/SUMIFS('Campaign - Dump'!$Q:$Q,'Campaign - Dump'!$A:$A,'Portfolio Wise '!$A13)</f>
        <v>0</v>
      </c>
      <c r="AD13" s="49">
        <f t="shared" si="16"/>
        <v>0</v>
      </c>
    </row>
    <row r="14">
      <c r="A14" s="32" t="s">
        <v>36</v>
      </c>
      <c r="B14" s="19" t="s">
        <v>196</v>
      </c>
      <c r="C14" s="13">
        <f>SUMIFS('Campaign - Dump'!$N:$N,'Campaign - Dump'!$J:$J,'Portfolio Wise '!$B14,'Campaign - Dump'!$A:$A,'Portfolio Wise '!$A14)</f>
        <v>0</v>
      </c>
      <c r="D14" s="13">
        <f>SUMIFS('Campaign - Dump'!$O:$O,'Campaign - Dump'!$J:$J,'Portfolio Wise '!$B14,'Campaign - Dump'!$A:$A,'Portfolio Wise '!$A14)</f>
        <v>0</v>
      </c>
      <c r="E14" s="23">
        <f t="shared" si="2"/>
        <v>0</v>
      </c>
      <c r="F14" s="36">
        <f>SUMIFS('Campaign - Dump'!$Q:$Q,'Campaign - Dump'!$J:$J,'Portfolio Wise '!$B14,'Campaign - Dump'!$A:$A,'Portfolio Wise '!$A14)</f>
        <v>0</v>
      </c>
      <c r="G14" s="38">
        <f t="shared" si="3"/>
        <v>0</v>
      </c>
      <c r="H14" s="41">
        <f>SUMIFS('Campaign - Dump'!$T:$T,'Campaign - Dump'!$J:$J,'Portfolio Wise '!$B14,'Campaign - Dump'!$A:$A,'Portfolio Wise '!$A14)</f>
        <v>0</v>
      </c>
      <c r="I14" s="23">
        <f t="shared" si="4"/>
        <v>0</v>
      </c>
      <c r="J14" s="36">
        <f>SUMIFS('Campaign - Dump'!$U:$U,'Campaign - Dump'!$J:$J,'Portfolio Wise '!$B14,'Campaign - Dump'!$A:$A,'Portfolio Wise '!$A14)</f>
        <v>0</v>
      </c>
      <c r="K14" s="23">
        <f t="shared" si="5"/>
        <v>0</v>
      </c>
      <c r="L14" s="38">
        <f t="shared" si="6"/>
        <v>0</v>
      </c>
      <c r="M14" s="41">
        <f t="shared" si="7"/>
        <v>0</v>
      </c>
      <c r="N14" s="13">
        <v>0.0</v>
      </c>
      <c r="O14" s="36">
        <v>0.0</v>
      </c>
      <c r="P14" s="41">
        <f t="shared" si="8"/>
        <v>0</v>
      </c>
      <c r="Q14" s="13">
        <f>SUMIFS('Business - Dump'!$W:$W,'Business - Dump'!$B:$B,'Portfolio Wise '!$B14,'Business - Dump'!$A:$A,'Portfolio Wise '!$A14)</f>
        <v>0</v>
      </c>
      <c r="R14" s="36">
        <f>SUMIFS('Business - Dump'!$U:$U,'Business - Dump'!$B:$B,'Portfolio Wise '!$B14,'Business - Dump'!$A:$A,'Portfolio Wise '!$A14)/1.18</f>
        <v>0</v>
      </c>
      <c r="S14" s="41">
        <f t="shared" si="9"/>
        <v>0</v>
      </c>
      <c r="T14" s="23">
        <f t="shared" si="10"/>
        <v>0</v>
      </c>
      <c r="U14" s="38">
        <f t="shared" si="11"/>
        <v>0</v>
      </c>
      <c r="V14" s="41">
        <f>SUMIFS('Business - Dump'!$G:$G,'Business - Dump'!$B:$B,'Portfolio Wise '!$B14,'Business - Dump'!$A:$A,'Portfolio Wise '!$A14)</f>
        <v>0</v>
      </c>
      <c r="W14" s="48">
        <f t="shared" si="12"/>
        <v>0</v>
      </c>
      <c r="X14" s="23">
        <f t="shared" ref="X14:Y14" si="31">IFERROR(N14/Q14,0)</f>
        <v>0</v>
      </c>
      <c r="Y14" s="49">
        <f t="shared" si="31"/>
        <v>0</v>
      </c>
      <c r="Z14" s="49">
        <f t="shared" si="14"/>
        <v>0</v>
      </c>
      <c r="AA14" s="23">
        <f t="shared" si="15"/>
        <v>0</v>
      </c>
      <c r="AB14" s="23">
        <f>IFERROR(AVERAGEIFS('Business - Dump'!$O:$O,'Business - Dump'!$B:$B,'Portfolio Wise '!$B14,'Business - Dump'!$A:$A,'Portfolio Wise '!$A14),0)</f>
        <v>0</v>
      </c>
      <c r="AC14" s="49">
        <f>F14/SUMIFS('Campaign - Dump'!$Q:$Q,'Campaign - Dump'!$A:$A,'Portfolio Wise '!$A14)</f>
        <v>0</v>
      </c>
      <c r="AD14" s="49">
        <f t="shared" si="16"/>
        <v>0</v>
      </c>
    </row>
    <row r="15">
      <c r="A15" s="32" t="s">
        <v>36</v>
      </c>
      <c r="B15" s="19" t="s">
        <v>205</v>
      </c>
      <c r="C15" s="13">
        <f>SUMIFS('Campaign - Dump'!$N:$N,'Campaign - Dump'!$J:$J,'Portfolio Wise '!$B15,'Campaign - Dump'!$A:$A,'Portfolio Wise '!$A15)</f>
        <v>0</v>
      </c>
      <c r="D15" s="13">
        <f>SUMIFS('Campaign - Dump'!$O:$O,'Campaign - Dump'!$J:$J,'Portfolio Wise '!$B15,'Campaign - Dump'!$A:$A,'Portfolio Wise '!$A15)</f>
        <v>0</v>
      </c>
      <c r="E15" s="23">
        <f t="shared" si="2"/>
        <v>0</v>
      </c>
      <c r="F15" s="36">
        <f>SUMIFS('Campaign - Dump'!$Q:$Q,'Campaign - Dump'!$J:$J,'Portfolio Wise '!$B15,'Campaign - Dump'!$A:$A,'Portfolio Wise '!$A15)</f>
        <v>0</v>
      </c>
      <c r="G15" s="38">
        <f t="shared" si="3"/>
        <v>0</v>
      </c>
      <c r="H15" s="41">
        <f>SUMIFS('Campaign - Dump'!$T:$T,'Campaign - Dump'!$J:$J,'Portfolio Wise '!$B15,'Campaign - Dump'!$A:$A,'Portfolio Wise '!$A15)</f>
        <v>0</v>
      </c>
      <c r="I15" s="23">
        <f t="shared" si="4"/>
        <v>0</v>
      </c>
      <c r="J15" s="36">
        <f>SUMIFS('Campaign - Dump'!$U:$U,'Campaign - Dump'!$J:$J,'Portfolio Wise '!$B15,'Campaign - Dump'!$A:$A,'Portfolio Wise '!$A15)</f>
        <v>0</v>
      </c>
      <c r="K15" s="23">
        <f t="shared" si="5"/>
        <v>0</v>
      </c>
      <c r="L15" s="38">
        <f t="shared" si="6"/>
        <v>0</v>
      </c>
      <c r="M15" s="41">
        <f t="shared" si="7"/>
        <v>0</v>
      </c>
      <c r="N15" s="13">
        <f t="shared" ref="N15:N24" si="33">IFERROR(Q15-H15,0)</f>
        <v>0</v>
      </c>
      <c r="O15" s="36">
        <f t="shared" ref="O15:O24" si="34">IFERROR(R15-J15,0)</f>
        <v>0</v>
      </c>
      <c r="P15" s="41">
        <f t="shared" si="8"/>
        <v>0</v>
      </c>
      <c r="Q15" s="13">
        <f>SUMIFS('Business - Dump'!$W:$W,'Business - Dump'!$B:$B,'Portfolio Wise '!$B15,'Business - Dump'!$A:$A,'Portfolio Wise '!$A15)</f>
        <v>0</v>
      </c>
      <c r="R15" s="36">
        <f>SUMIFS('Business - Dump'!$U:$U,'Business - Dump'!$B:$B,'Portfolio Wise '!$B15,'Business - Dump'!$A:$A,'Portfolio Wise '!$A15)/1.18</f>
        <v>0</v>
      </c>
      <c r="S15" s="41">
        <f t="shared" si="9"/>
        <v>0</v>
      </c>
      <c r="T15" s="23">
        <f t="shared" si="10"/>
        <v>0</v>
      </c>
      <c r="U15" s="38">
        <f t="shared" si="11"/>
        <v>0</v>
      </c>
      <c r="V15" s="41">
        <f>SUMIFS('Business - Dump'!$G:$G,'Business - Dump'!$B:$B,'Portfolio Wise '!$B15,'Business - Dump'!$A:$A,'Portfolio Wise '!$A15)</f>
        <v>0</v>
      </c>
      <c r="W15" s="48">
        <f t="shared" si="12"/>
        <v>0</v>
      </c>
      <c r="X15" s="23">
        <f t="shared" ref="X15:Y15" si="32">IFERROR(N15/Q15,0)</f>
        <v>0</v>
      </c>
      <c r="Y15" s="49">
        <f t="shared" si="32"/>
        <v>0</v>
      </c>
      <c r="Z15" s="49">
        <f t="shared" si="14"/>
        <v>0</v>
      </c>
      <c r="AA15" s="23">
        <f t="shared" si="15"/>
        <v>0</v>
      </c>
      <c r="AB15" s="23">
        <f>IFERROR(AVERAGEIFS('Business - Dump'!$O:$O,'Business - Dump'!$B:$B,'Portfolio Wise '!$B15,'Business - Dump'!$A:$A,'Portfolio Wise '!$A15),0)</f>
        <v>0</v>
      </c>
      <c r="AC15" s="49">
        <f>F15/SUMIFS('Campaign - Dump'!$Q:$Q,'Campaign - Dump'!$A:$A,'Portfolio Wise '!$A15)</f>
        <v>0</v>
      </c>
      <c r="AD15" s="49">
        <f t="shared" si="16"/>
        <v>0</v>
      </c>
    </row>
    <row r="16">
      <c r="A16" s="32" t="s">
        <v>36</v>
      </c>
      <c r="B16" s="10" t="s">
        <v>211</v>
      </c>
      <c r="C16" s="13">
        <f>SUMIFS('Campaign - Dump'!$N:$N,'Campaign - Dump'!$J:$J,'Portfolio Wise '!$B16,'Campaign - Dump'!$A:$A,'Portfolio Wise '!$A16)</f>
        <v>0</v>
      </c>
      <c r="D16" s="13">
        <f>SUMIFS('Campaign - Dump'!$O:$O,'Campaign - Dump'!$J:$J,'Portfolio Wise '!$B16,'Campaign - Dump'!$A:$A,'Portfolio Wise '!$A16)</f>
        <v>0</v>
      </c>
      <c r="E16" s="23">
        <f t="shared" si="2"/>
        <v>0</v>
      </c>
      <c r="F16" s="36">
        <f>SUMIFS('Campaign - Dump'!$Q:$Q,'Campaign - Dump'!$J:$J,'Portfolio Wise '!$B16,'Campaign - Dump'!$A:$A,'Portfolio Wise '!$A16)</f>
        <v>0</v>
      </c>
      <c r="G16" s="38">
        <f t="shared" si="3"/>
        <v>0</v>
      </c>
      <c r="H16" s="41">
        <f>SUMIFS('Campaign - Dump'!$T:$T,'Campaign - Dump'!$J:$J,'Portfolio Wise '!$B16,'Campaign - Dump'!$A:$A,'Portfolio Wise '!$A16)</f>
        <v>0</v>
      </c>
      <c r="I16" s="23">
        <f t="shared" si="4"/>
        <v>0</v>
      </c>
      <c r="J16" s="36">
        <f>SUMIFS('Campaign - Dump'!$U:$U,'Campaign - Dump'!$J:$J,'Portfolio Wise '!$B16,'Campaign - Dump'!$A:$A,'Portfolio Wise '!$A16)</f>
        <v>0</v>
      </c>
      <c r="K16" s="23">
        <f t="shared" si="5"/>
        <v>0</v>
      </c>
      <c r="L16" s="38">
        <f t="shared" si="6"/>
        <v>0</v>
      </c>
      <c r="M16" s="41">
        <f t="shared" si="7"/>
        <v>0</v>
      </c>
      <c r="N16" s="13">
        <f t="shared" si="33"/>
        <v>3</v>
      </c>
      <c r="O16" s="36">
        <f t="shared" si="34"/>
        <v>4135.59322</v>
      </c>
      <c r="P16" s="41">
        <f t="shared" si="8"/>
        <v>1378.531073</v>
      </c>
      <c r="Q16" s="13">
        <f>SUMIFS('Business - Dump'!$W:$W,'Business - Dump'!$B:$B,'Portfolio Wise '!$B16,'Business - Dump'!$A:$A,'Portfolio Wise '!$A16)</f>
        <v>3</v>
      </c>
      <c r="R16" s="36">
        <f>SUMIFS('Business - Dump'!$U:$U,'Business - Dump'!$B:$B,'Portfolio Wise '!$B16,'Business - Dump'!$A:$A,'Portfolio Wise '!$A16)/1.18</f>
        <v>4135.59322</v>
      </c>
      <c r="S16" s="41">
        <f t="shared" si="9"/>
        <v>1378.531073</v>
      </c>
      <c r="T16" s="23">
        <f t="shared" si="10"/>
        <v>0</v>
      </c>
      <c r="U16" s="38">
        <f t="shared" si="11"/>
        <v>0</v>
      </c>
      <c r="V16" s="41">
        <f>SUMIFS('Business - Dump'!$G:$G,'Business - Dump'!$B:$B,'Portfolio Wise '!$B16,'Business - Dump'!$A:$A,'Portfolio Wise '!$A16)</f>
        <v>133</v>
      </c>
      <c r="W16" s="48">
        <f t="shared" si="12"/>
        <v>0.02255639098</v>
      </c>
      <c r="X16" s="23">
        <f t="shared" ref="X16:Y16" si="35">IFERROR(N16/Q16,0)</f>
        <v>1</v>
      </c>
      <c r="Y16" s="49">
        <f t="shared" si="35"/>
        <v>1</v>
      </c>
      <c r="Z16" s="49">
        <f t="shared" si="14"/>
        <v>0</v>
      </c>
      <c r="AA16" s="23">
        <f t="shared" si="15"/>
        <v>1</v>
      </c>
      <c r="AB16" s="23">
        <f>IFERROR(AVERAGEIFS('Business - Dump'!$O:$O,'Business - Dump'!$B:$B,'Portfolio Wise '!$B16,'Business - Dump'!$A:$A,'Portfolio Wise '!$A16),0)</f>
        <v>0.9</v>
      </c>
      <c r="AC16" s="49">
        <f>F16/SUMIFS('Campaign - Dump'!$Q:$Q,'Campaign - Dump'!$A:$A,'Portfolio Wise '!$A16)</f>
        <v>0</v>
      </c>
      <c r="AD16" s="49">
        <f t="shared" si="16"/>
        <v>0</v>
      </c>
    </row>
    <row r="17">
      <c r="A17" s="32" t="s">
        <v>36</v>
      </c>
      <c r="B17" s="19" t="s">
        <v>217</v>
      </c>
      <c r="C17" s="13">
        <f>SUMIFS('Campaign - Dump'!$N:$N,'Campaign - Dump'!$J:$J,'Portfolio Wise '!$B17,'Campaign - Dump'!$A:$A,'Portfolio Wise '!$A17)</f>
        <v>0</v>
      </c>
      <c r="D17" s="13">
        <f>SUMIFS('Campaign - Dump'!$O:$O,'Campaign - Dump'!$J:$J,'Portfolio Wise '!$B17,'Campaign - Dump'!$A:$A,'Portfolio Wise '!$A17)</f>
        <v>0</v>
      </c>
      <c r="E17" s="23">
        <f t="shared" si="2"/>
        <v>0</v>
      </c>
      <c r="F17" s="36">
        <f>SUMIFS('Campaign - Dump'!$Q:$Q,'Campaign - Dump'!$J:$J,'Portfolio Wise '!$B17,'Campaign - Dump'!$A:$A,'Portfolio Wise '!$A17)</f>
        <v>0</v>
      </c>
      <c r="G17" s="38">
        <f t="shared" si="3"/>
        <v>0</v>
      </c>
      <c r="H17" s="41">
        <f>SUMIFS('Campaign - Dump'!$T:$T,'Campaign - Dump'!$J:$J,'Portfolio Wise '!$B17,'Campaign - Dump'!$A:$A,'Portfolio Wise '!$A17)</f>
        <v>0</v>
      </c>
      <c r="I17" s="23">
        <f t="shared" si="4"/>
        <v>0</v>
      </c>
      <c r="J17" s="36">
        <f>SUMIFS('Campaign - Dump'!$U:$U,'Campaign - Dump'!$J:$J,'Portfolio Wise '!$B17,'Campaign - Dump'!$A:$A,'Portfolio Wise '!$A17)</f>
        <v>0</v>
      </c>
      <c r="K17" s="23">
        <f t="shared" si="5"/>
        <v>0</v>
      </c>
      <c r="L17" s="38">
        <f t="shared" si="6"/>
        <v>0</v>
      </c>
      <c r="M17" s="41">
        <f t="shared" si="7"/>
        <v>0</v>
      </c>
      <c r="N17" s="13">
        <f t="shared" si="33"/>
        <v>8</v>
      </c>
      <c r="O17" s="36">
        <f t="shared" si="34"/>
        <v>7923.728814</v>
      </c>
      <c r="P17" s="41">
        <f t="shared" si="8"/>
        <v>990.4661017</v>
      </c>
      <c r="Q17" s="13">
        <f>SUMIFS('Business - Dump'!$W:$W,'Business - Dump'!$B:$B,'Portfolio Wise '!$B17,'Business - Dump'!$A:$A,'Portfolio Wise '!$A17)</f>
        <v>8</v>
      </c>
      <c r="R17" s="36">
        <f>SUMIFS('Business - Dump'!$U:$U,'Business - Dump'!$B:$B,'Portfolio Wise '!$B17,'Business - Dump'!$A:$A,'Portfolio Wise '!$A17)/1.18</f>
        <v>7923.728814</v>
      </c>
      <c r="S17" s="41">
        <f t="shared" si="9"/>
        <v>990.4661017</v>
      </c>
      <c r="T17" s="23">
        <f t="shared" si="10"/>
        <v>0</v>
      </c>
      <c r="U17" s="38">
        <f t="shared" si="11"/>
        <v>0</v>
      </c>
      <c r="V17" s="41">
        <f>SUMIFS('Business - Dump'!$G:$G,'Business - Dump'!$B:$B,'Portfolio Wise '!$B17,'Business - Dump'!$A:$A,'Portfolio Wise '!$A17)</f>
        <v>302</v>
      </c>
      <c r="W17" s="48">
        <f t="shared" si="12"/>
        <v>0.02649006623</v>
      </c>
      <c r="X17" s="23">
        <f t="shared" ref="X17:Y17" si="36">IFERROR(N17/Q17,0)</f>
        <v>1</v>
      </c>
      <c r="Y17" s="49">
        <f t="shared" si="36"/>
        <v>1</v>
      </c>
      <c r="Z17" s="49">
        <f t="shared" si="14"/>
        <v>0</v>
      </c>
      <c r="AA17" s="23">
        <f t="shared" si="15"/>
        <v>1</v>
      </c>
      <c r="AB17" s="23">
        <f>IFERROR(AVERAGEIFS('Business - Dump'!$O:$O,'Business - Dump'!$B:$B,'Portfolio Wise '!$B17,'Business - Dump'!$A:$A,'Portfolio Wise '!$A17),0)</f>
        <v>0.8816</v>
      </c>
      <c r="AC17" s="49">
        <f>F17/SUMIFS('Campaign - Dump'!$Q:$Q,'Campaign - Dump'!$A:$A,'Portfolio Wise '!$A17)</f>
        <v>0</v>
      </c>
      <c r="AD17" s="49">
        <f t="shared" si="16"/>
        <v>0</v>
      </c>
    </row>
    <row r="18">
      <c r="A18" s="32" t="s">
        <v>36</v>
      </c>
      <c r="B18" s="33" t="s">
        <v>230</v>
      </c>
      <c r="C18" s="13">
        <f>SUMIFS('Campaign - Dump'!$N:$N,'Campaign - Dump'!$J:$J,'Portfolio Wise '!$B18,'Campaign - Dump'!$A:$A,'Portfolio Wise '!$A18)</f>
        <v>0</v>
      </c>
      <c r="D18" s="13">
        <f>SUMIFS('Campaign - Dump'!$O:$O,'Campaign - Dump'!$J:$J,'Portfolio Wise '!$B18,'Campaign - Dump'!$A:$A,'Portfolio Wise '!$A18)</f>
        <v>0</v>
      </c>
      <c r="E18" s="23">
        <f t="shared" si="2"/>
        <v>0</v>
      </c>
      <c r="F18" s="36">
        <f>SUMIFS('Campaign - Dump'!$Q:$Q,'Campaign - Dump'!$J:$J,'Portfolio Wise '!$B18,'Campaign - Dump'!$A:$A,'Portfolio Wise '!$A18)</f>
        <v>0</v>
      </c>
      <c r="G18" s="38">
        <f t="shared" si="3"/>
        <v>0</v>
      </c>
      <c r="H18" s="41">
        <f>SUMIFS('Campaign - Dump'!$T:$T,'Campaign - Dump'!$J:$J,'Portfolio Wise '!$B18,'Campaign - Dump'!$A:$A,'Portfolio Wise '!$A18)</f>
        <v>0</v>
      </c>
      <c r="I18" s="23">
        <f t="shared" si="4"/>
        <v>0</v>
      </c>
      <c r="J18" s="36">
        <f>SUMIFS('Campaign - Dump'!$U:$U,'Campaign - Dump'!$J:$J,'Portfolio Wise '!$B18,'Campaign - Dump'!$A:$A,'Portfolio Wise '!$A18)</f>
        <v>0</v>
      </c>
      <c r="K18" s="23">
        <f t="shared" si="5"/>
        <v>0</v>
      </c>
      <c r="L18" s="38">
        <f t="shared" si="6"/>
        <v>0</v>
      </c>
      <c r="M18" s="41">
        <f t="shared" si="7"/>
        <v>0</v>
      </c>
      <c r="N18" s="13">
        <f t="shared" si="33"/>
        <v>0</v>
      </c>
      <c r="O18" s="36">
        <f t="shared" si="34"/>
        <v>0</v>
      </c>
      <c r="P18" s="41">
        <f t="shared" si="8"/>
        <v>0</v>
      </c>
      <c r="Q18" s="13">
        <f>SUMIFS('Business - Dump'!$W:$W,'Business - Dump'!$B:$B,'Portfolio Wise '!$B18,'Business - Dump'!$A:$A,'Portfolio Wise '!$A18)</f>
        <v>0</v>
      </c>
      <c r="R18" s="36">
        <f>SUMIFS('Business - Dump'!$U:$U,'Business - Dump'!$B:$B,'Portfolio Wise '!$B18,'Business - Dump'!$A:$A,'Portfolio Wise '!$A18)/1.18</f>
        <v>0</v>
      </c>
      <c r="S18" s="41">
        <f t="shared" si="9"/>
        <v>0</v>
      </c>
      <c r="T18" s="23">
        <f t="shared" si="10"/>
        <v>0</v>
      </c>
      <c r="U18" s="38">
        <f t="shared" si="11"/>
        <v>0</v>
      </c>
      <c r="V18" s="41">
        <f>SUMIFS('Business - Dump'!$G:$G,'Business - Dump'!$B:$B,'Portfolio Wise '!$B18,'Business - Dump'!$A:$A,'Portfolio Wise '!$A18)</f>
        <v>0</v>
      </c>
      <c r="W18" s="23">
        <f t="shared" si="12"/>
        <v>0</v>
      </c>
      <c r="X18" s="23">
        <f t="shared" ref="X18:Y18" si="37">IFERROR(N18/Q18,0)</f>
        <v>0</v>
      </c>
      <c r="Y18" s="49">
        <f t="shared" si="37"/>
        <v>0</v>
      </c>
      <c r="Z18" s="49">
        <f t="shared" si="14"/>
        <v>0</v>
      </c>
      <c r="AA18" s="23">
        <f t="shared" si="15"/>
        <v>0</v>
      </c>
      <c r="AB18" s="23">
        <f>IFERROR(AVERAGEIFS('Business - Dump'!$O:$O,'Business - Dump'!$B:$B,'Portfolio Wise '!$B18,'Business - Dump'!$A:$A,'Portfolio Wise '!$A18),0)</f>
        <v>0</v>
      </c>
      <c r="AC18" s="49">
        <f>F18/SUMIFS('Campaign - Dump'!$Q:$Q,'Campaign - Dump'!$A:$A,'Portfolio Wise '!$A18)</f>
        <v>0</v>
      </c>
      <c r="AD18" s="49">
        <f t="shared" si="16"/>
        <v>0</v>
      </c>
    </row>
    <row r="19">
      <c r="A19" s="32" t="s">
        <v>36</v>
      </c>
      <c r="B19" s="33" t="s">
        <v>230</v>
      </c>
      <c r="C19" s="13">
        <f>SUMIFS('Campaign - Dump'!$N:$N,'Campaign - Dump'!$J:$J,'Portfolio Wise '!$B19,'Campaign - Dump'!$A:$A,'Portfolio Wise '!$A19)</f>
        <v>0</v>
      </c>
      <c r="D19" s="13">
        <f>SUMIFS('Campaign - Dump'!$O:$O,'Campaign - Dump'!$J:$J,'Portfolio Wise '!$B19,'Campaign - Dump'!$A:$A,'Portfolio Wise '!$A19)</f>
        <v>0</v>
      </c>
      <c r="E19" s="23">
        <f t="shared" si="2"/>
        <v>0</v>
      </c>
      <c r="F19" s="36">
        <f>SUMIFS('Campaign - Dump'!$Q:$Q,'Campaign - Dump'!$J:$J,'Portfolio Wise '!$B19,'Campaign - Dump'!$A:$A,'Portfolio Wise '!$A19)</f>
        <v>0</v>
      </c>
      <c r="G19" s="38">
        <f t="shared" si="3"/>
        <v>0</v>
      </c>
      <c r="H19" s="41">
        <f>SUMIFS('Campaign - Dump'!$T:$T,'Campaign - Dump'!$J:$J,'Portfolio Wise '!$B19,'Campaign - Dump'!$A:$A,'Portfolio Wise '!$A19)</f>
        <v>0</v>
      </c>
      <c r="I19" s="23">
        <f t="shared" si="4"/>
        <v>0</v>
      </c>
      <c r="J19" s="36">
        <f>SUMIFS('Campaign - Dump'!$U:$U,'Campaign - Dump'!$J:$J,'Portfolio Wise '!$B19,'Campaign - Dump'!$A:$A,'Portfolio Wise '!$A19)</f>
        <v>0</v>
      </c>
      <c r="K19" s="23">
        <f t="shared" si="5"/>
        <v>0</v>
      </c>
      <c r="L19" s="38">
        <f t="shared" si="6"/>
        <v>0</v>
      </c>
      <c r="M19" s="41">
        <f t="shared" si="7"/>
        <v>0</v>
      </c>
      <c r="N19" s="13">
        <f t="shared" si="33"/>
        <v>0</v>
      </c>
      <c r="O19" s="36">
        <f t="shared" si="34"/>
        <v>0</v>
      </c>
      <c r="P19" s="41">
        <f t="shared" si="8"/>
        <v>0</v>
      </c>
      <c r="Q19" s="13">
        <f>SUMIFS('Business - Dump'!$W:$W,'Business - Dump'!$B:$B,'Portfolio Wise '!$B19,'Business - Dump'!$A:$A,'Portfolio Wise '!$A19)</f>
        <v>0</v>
      </c>
      <c r="R19" s="36">
        <f>SUMIFS('Business - Dump'!$U:$U,'Business - Dump'!$B:$B,'Portfolio Wise '!$B19,'Business - Dump'!$A:$A,'Portfolio Wise '!$A19)/1.18</f>
        <v>0</v>
      </c>
      <c r="S19" s="41">
        <f t="shared" si="9"/>
        <v>0</v>
      </c>
      <c r="T19" s="23">
        <f t="shared" si="10"/>
        <v>0</v>
      </c>
      <c r="U19" s="38">
        <f t="shared" si="11"/>
        <v>0</v>
      </c>
      <c r="V19" s="41">
        <f>SUMIFS('Business - Dump'!$G:$G,'Business - Dump'!$B:$B,'Portfolio Wise '!$B19,'Business - Dump'!$A:$A,'Portfolio Wise '!$A19)</f>
        <v>0</v>
      </c>
      <c r="W19" s="23">
        <f t="shared" si="12"/>
        <v>0</v>
      </c>
      <c r="X19" s="23">
        <f t="shared" ref="X19:Y19" si="38">IFERROR(N19/Q19,0)</f>
        <v>0</v>
      </c>
      <c r="Y19" s="49">
        <f t="shared" si="38"/>
        <v>0</v>
      </c>
      <c r="Z19" s="49">
        <f t="shared" si="14"/>
        <v>0</v>
      </c>
      <c r="AA19" s="23">
        <f t="shared" si="15"/>
        <v>0</v>
      </c>
      <c r="AB19" s="23">
        <f>IFERROR(AVERAGEIFS('Business - Dump'!$O:$O,'Business - Dump'!$B:$B,'Portfolio Wise '!$B19,'Business - Dump'!$A:$A,'Portfolio Wise '!$A19),0)</f>
        <v>0</v>
      </c>
      <c r="AC19" s="49">
        <f>F19/SUMIFS('Campaign - Dump'!$Q:$Q,'Campaign - Dump'!$A:$A,'Portfolio Wise '!$A19)</f>
        <v>0</v>
      </c>
      <c r="AD19" s="49">
        <f t="shared" si="16"/>
        <v>0</v>
      </c>
    </row>
    <row r="20">
      <c r="A20" s="32" t="s">
        <v>36</v>
      </c>
      <c r="B20" s="19" t="s">
        <v>232</v>
      </c>
      <c r="C20" s="13">
        <f>SUMIFS('Campaign - Dump'!$N:$N,'Campaign - Dump'!$J:$J,'Portfolio Wise '!$B20,'Campaign - Dump'!$A:$A,'Portfolio Wise '!$A20)</f>
        <v>0</v>
      </c>
      <c r="D20" s="13">
        <f>SUMIFS('Campaign - Dump'!$O:$O,'Campaign - Dump'!$J:$J,'Portfolio Wise '!$B20,'Campaign - Dump'!$A:$A,'Portfolio Wise '!$A20)</f>
        <v>0</v>
      </c>
      <c r="E20" s="23">
        <f t="shared" si="2"/>
        <v>0</v>
      </c>
      <c r="F20" s="36">
        <f>SUMIFS('Campaign - Dump'!$Q:$Q,'Campaign - Dump'!$J:$J,'Portfolio Wise '!$B20,'Campaign - Dump'!$A:$A,'Portfolio Wise '!$A20)</f>
        <v>0</v>
      </c>
      <c r="G20" s="38">
        <f t="shared" si="3"/>
        <v>0</v>
      </c>
      <c r="H20" s="41">
        <f>SUMIFS('Campaign - Dump'!$T:$T,'Campaign - Dump'!$J:$J,'Portfolio Wise '!$B20,'Campaign - Dump'!$A:$A,'Portfolio Wise '!$A20)</f>
        <v>0</v>
      </c>
      <c r="I20" s="23">
        <f t="shared" si="4"/>
        <v>0</v>
      </c>
      <c r="J20" s="36">
        <f>SUMIFS('Campaign - Dump'!$U:$U,'Campaign - Dump'!$J:$J,'Portfolio Wise '!$B20,'Campaign - Dump'!$A:$A,'Portfolio Wise '!$A20)</f>
        <v>0</v>
      </c>
      <c r="K20" s="23">
        <f t="shared" si="5"/>
        <v>0</v>
      </c>
      <c r="L20" s="38">
        <f t="shared" si="6"/>
        <v>0</v>
      </c>
      <c r="M20" s="41">
        <f t="shared" si="7"/>
        <v>0</v>
      </c>
      <c r="N20" s="13">
        <f t="shared" si="33"/>
        <v>21</v>
      </c>
      <c r="O20" s="36">
        <f t="shared" si="34"/>
        <v>322103.3898</v>
      </c>
      <c r="P20" s="41">
        <f t="shared" si="8"/>
        <v>15338.25666</v>
      </c>
      <c r="Q20" s="13">
        <f>SUMIFS('Business - Dump'!$W:$W,'Business - Dump'!$B:$B,'Portfolio Wise '!$B20,'Business - Dump'!$A:$A,'Portfolio Wise '!$A20)</f>
        <v>21</v>
      </c>
      <c r="R20" s="36">
        <f>SUMIFS('Business - Dump'!$U:$U,'Business - Dump'!$B:$B,'Portfolio Wise '!$B20,'Business - Dump'!$A:$A,'Portfolio Wise '!$A20)/1.18</f>
        <v>322103.3898</v>
      </c>
      <c r="S20" s="41">
        <f t="shared" si="9"/>
        <v>15338.25666</v>
      </c>
      <c r="T20" s="23">
        <f t="shared" si="10"/>
        <v>0</v>
      </c>
      <c r="U20" s="38">
        <f t="shared" si="11"/>
        <v>0</v>
      </c>
      <c r="V20" s="41">
        <f>SUMIFS('Business - Dump'!$G:$G,'Business - Dump'!$B:$B,'Portfolio Wise '!$B20,'Business - Dump'!$A:$A,'Portfolio Wise '!$A20)</f>
        <v>5776</v>
      </c>
      <c r="W20" s="48">
        <f t="shared" si="12"/>
        <v>0.003635734072</v>
      </c>
      <c r="X20" s="23">
        <f t="shared" ref="X20:Y20" si="39">IFERROR(N20/Q20,0)</f>
        <v>1</v>
      </c>
      <c r="Y20" s="49">
        <f t="shared" si="39"/>
        <v>1</v>
      </c>
      <c r="Z20" s="49">
        <f t="shared" si="14"/>
        <v>0</v>
      </c>
      <c r="AA20" s="23">
        <f t="shared" si="15"/>
        <v>1</v>
      </c>
      <c r="AB20" s="23">
        <f>IFERROR(AVERAGEIFS('Business - Dump'!$O:$O,'Business - Dump'!$B:$B,'Portfolio Wise '!$B20,'Business - Dump'!$A:$A,'Portfolio Wise '!$A20),0)</f>
        <v>0.83862</v>
      </c>
      <c r="AC20" s="49">
        <f>F20/SUMIFS('Campaign - Dump'!$Q:$Q,'Campaign - Dump'!$A:$A,'Portfolio Wise '!$A20)</f>
        <v>0</v>
      </c>
      <c r="AD20" s="49">
        <f t="shared" si="16"/>
        <v>0</v>
      </c>
    </row>
    <row r="21" ht="15.75" customHeight="1">
      <c r="A21" s="32" t="s">
        <v>36</v>
      </c>
      <c r="B21" s="51" t="s">
        <v>239</v>
      </c>
      <c r="C21" s="13">
        <f>SUMIFS('Campaign - Dump'!$N:$N,'Campaign - Dump'!$J:$J,'Portfolio Wise '!$B21,'Campaign - Dump'!$A:$A,'Portfolio Wise '!$A21)</f>
        <v>0</v>
      </c>
      <c r="D21" s="13">
        <f>SUMIFS('Campaign - Dump'!$O:$O,'Campaign - Dump'!$J:$J,'Portfolio Wise '!$B21,'Campaign - Dump'!$A:$A,'Portfolio Wise '!$A21)</f>
        <v>0</v>
      </c>
      <c r="E21" s="23">
        <f t="shared" si="2"/>
        <v>0</v>
      </c>
      <c r="F21" s="36">
        <f>SUMIFS('Campaign - Dump'!$Q:$Q,'Campaign - Dump'!$J:$J,'Portfolio Wise '!$B21,'Campaign - Dump'!$A:$A,'Portfolio Wise '!$A21)</f>
        <v>0</v>
      </c>
      <c r="G21" s="38">
        <f t="shared" si="3"/>
        <v>0</v>
      </c>
      <c r="H21" s="41">
        <f>SUMIFS('Campaign - Dump'!$T:$T,'Campaign - Dump'!$J:$J,'Portfolio Wise '!$B21,'Campaign - Dump'!$A:$A,'Portfolio Wise '!$A21)</f>
        <v>0</v>
      </c>
      <c r="I21" s="23">
        <f t="shared" si="4"/>
        <v>0</v>
      </c>
      <c r="J21" s="36">
        <f>SUMIFS('Campaign - Dump'!$U:$U,'Campaign - Dump'!$J:$J,'Portfolio Wise '!$B21,'Campaign - Dump'!$A:$A,'Portfolio Wise '!$A21)</f>
        <v>0</v>
      </c>
      <c r="K21" s="23">
        <f t="shared" si="5"/>
        <v>0</v>
      </c>
      <c r="L21" s="38">
        <f t="shared" si="6"/>
        <v>0</v>
      </c>
      <c r="M21" s="41">
        <f t="shared" si="7"/>
        <v>0</v>
      </c>
      <c r="N21" s="13">
        <f t="shared" si="33"/>
        <v>0</v>
      </c>
      <c r="O21" s="36">
        <f t="shared" si="34"/>
        <v>0</v>
      </c>
      <c r="P21" s="41">
        <f t="shared" si="8"/>
        <v>0</v>
      </c>
      <c r="Q21" s="13">
        <f>SUMIFS('Business - Dump'!$W:$W,'Business - Dump'!$B:$B,'Portfolio Wise '!$B21,'Business - Dump'!$A:$A,'Portfolio Wise '!$A21)</f>
        <v>0</v>
      </c>
      <c r="R21" s="36">
        <f>SUMIFS('Business - Dump'!$U:$U,'Business - Dump'!$B:$B,'Portfolio Wise '!$B21,'Business - Dump'!$A:$A,'Portfolio Wise '!$A21)/1.18</f>
        <v>0</v>
      </c>
      <c r="S21" s="41">
        <f t="shared" si="9"/>
        <v>0</v>
      </c>
      <c r="T21" s="23">
        <f t="shared" si="10"/>
        <v>0</v>
      </c>
      <c r="U21" s="38">
        <f t="shared" si="11"/>
        <v>0</v>
      </c>
      <c r="V21" s="41">
        <f>SUMIFS('Business - Dump'!$G:$G,'Business - Dump'!$B:$B,'Portfolio Wise '!$B21,'Business - Dump'!$A:$A,'Portfolio Wise '!$A21)</f>
        <v>0</v>
      </c>
      <c r="W21" s="48">
        <f t="shared" si="12"/>
        <v>0</v>
      </c>
      <c r="X21" s="23">
        <f t="shared" ref="X21:Y21" si="40">IFERROR(N21/Q21,0)</f>
        <v>0</v>
      </c>
      <c r="Y21" s="49">
        <f t="shared" si="40"/>
        <v>0</v>
      </c>
      <c r="Z21" s="49">
        <f t="shared" si="14"/>
        <v>0</v>
      </c>
      <c r="AA21" s="23">
        <f t="shared" si="15"/>
        <v>0</v>
      </c>
      <c r="AB21" s="23">
        <f>IFERROR(AVERAGEIFS('Business - Dump'!$O:$O,'Business - Dump'!$B:$B,'Portfolio Wise '!$B21,'Business - Dump'!$A:$A,'Portfolio Wise '!$A21),0)</f>
        <v>0</v>
      </c>
      <c r="AC21" s="49">
        <f>F21/SUMIFS('Campaign - Dump'!$Q:$Q,'Campaign - Dump'!$A:$A,'Portfolio Wise '!$A21)</f>
        <v>0</v>
      </c>
      <c r="AD21" s="49">
        <f t="shared" si="16"/>
        <v>0</v>
      </c>
    </row>
    <row r="22" ht="15.75" customHeight="1">
      <c r="A22" s="32" t="s">
        <v>36</v>
      </c>
      <c r="B22" s="19" t="s">
        <v>240</v>
      </c>
      <c r="C22" s="13">
        <f>SUMIFS('Campaign - Dump'!$N:$N,'Campaign - Dump'!$J:$J,'Portfolio Wise '!$B22,'Campaign - Dump'!$A:$A,'Portfolio Wise '!$A22)</f>
        <v>0</v>
      </c>
      <c r="D22" s="13">
        <f>SUMIFS('Campaign - Dump'!$O:$O,'Campaign - Dump'!$J:$J,'Portfolio Wise '!$B22,'Campaign - Dump'!$A:$A,'Portfolio Wise '!$A22)</f>
        <v>0</v>
      </c>
      <c r="E22" s="23">
        <f t="shared" si="2"/>
        <v>0</v>
      </c>
      <c r="F22" s="36">
        <f>SUMIFS('Campaign - Dump'!$Q:$Q,'Campaign - Dump'!$J:$J,'Portfolio Wise '!$B22,'Campaign - Dump'!$A:$A,'Portfolio Wise '!$A22)</f>
        <v>0</v>
      </c>
      <c r="G22" s="38">
        <f t="shared" si="3"/>
        <v>0</v>
      </c>
      <c r="H22" s="41">
        <f>SUMIFS('Campaign - Dump'!$T:$T,'Campaign - Dump'!$J:$J,'Portfolio Wise '!$B22,'Campaign - Dump'!$A:$A,'Portfolio Wise '!$A22)</f>
        <v>0</v>
      </c>
      <c r="I22" s="23">
        <f t="shared" si="4"/>
        <v>0</v>
      </c>
      <c r="J22" s="36">
        <f>SUMIFS('Campaign - Dump'!$U:$U,'Campaign - Dump'!$J:$J,'Portfolio Wise '!$B22,'Campaign - Dump'!$A:$A,'Portfolio Wise '!$A22)</f>
        <v>0</v>
      </c>
      <c r="K22" s="23">
        <f t="shared" si="5"/>
        <v>0</v>
      </c>
      <c r="L22" s="38">
        <f t="shared" si="6"/>
        <v>0</v>
      </c>
      <c r="M22" s="41">
        <f t="shared" si="7"/>
        <v>0</v>
      </c>
      <c r="N22" s="13">
        <f t="shared" si="33"/>
        <v>0</v>
      </c>
      <c r="O22" s="36">
        <f t="shared" si="34"/>
        <v>0</v>
      </c>
      <c r="P22" s="41">
        <f t="shared" si="8"/>
        <v>0</v>
      </c>
      <c r="Q22" s="13">
        <f>SUMIFS('Business - Dump'!$W:$W,'Business - Dump'!$B:$B,'Portfolio Wise '!$B22,'Business - Dump'!$A:$A,'Portfolio Wise '!$A22)</f>
        <v>0</v>
      </c>
      <c r="R22" s="36">
        <f>SUMIFS('Business - Dump'!$U:$U,'Business - Dump'!$B:$B,'Portfolio Wise '!$B22,'Business - Dump'!$A:$A,'Portfolio Wise '!$A22)/1.18</f>
        <v>0</v>
      </c>
      <c r="S22" s="41">
        <f t="shared" si="9"/>
        <v>0</v>
      </c>
      <c r="T22" s="23">
        <f t="shared" si="10"/>
        <v>0</v>
      </c>
      <c r="U22" s="38">
        <f t="shared" si="11"/>
        <v>0</v>
      </c>
      <c r="V22" s="41">
        <f>SUMIFS('Business - Dump'!$G:$G,'Business - Dump'!$B:$B,'Portfolio Wise '!$B22,'Business - Dump'!$A:$A,'Portfolio Wise '!$A22)</f>
        <v>0</v>
      </c>
      <c r="W22" s="48">
        <f t="shared" si="12"/>
        <v>0</v>
      </c>
      <c r="X22" s="23">
        <f t="shared" ref="X22:Y22" si="41">IFERROR(N22/Q22,0)</f>
        <v>0</v>
      </c>
      <c r="Y22" s="49">
        <f t="shared" si="41"/>
        <v>0</v>
      </c>
      <c r="Z22" s="49">
        <f t="shared" si="14"/>
        <v>0</v>
      </c>
      <c r="AA22" s="23">
        <f t="shared" si="15"/>
        <v>0</v>
      </c>
      <c r="AB22" s="23">
        <f>IFERROR(AVERAGEIFS('Business - Dump'!$O:$O,'Business - Dump'!$B:$B,'Portfolio Wise '!$B22,'Business - Dump'!$A:$A,'Portfolio Wise '!$A22),0)</f>
        <v>0</v>
      </c>
      <c r="AC22" s="49">
        <f>F22/SUMIFS('Campaign - Dump'!$Q:$Q,'Campaign - Dump'!$A:$A,'Portfolio Wise '!$A22)</f>
        <v>0</v>
      </c>
      <c r="AD22" s="49">
        <f t="shared" si="16"/>
        <v>0</v>
      </c>
    </row>
    <row r="23" ht="15.75" customHeight="1">
      <c r="A23" s="32" t="s">
        <v>36</v>
      </c>
      <c r="B23" s="10" t="s">
        <v>241</v>
      </c>
      <c r="C23" s="13">
        <f>SUMIFS('Campaign - Dump'!$N:$N,'Campaign - Dump'!$J:$J,'Portfolio Wise '!$B23,'Campaign - Dump'!$A:$A,'Portfolio Wise '!$A23)</f>
        <v>0</v>
      </c>
      <c r="D23" s="13">
        <f>SUMIFS('Campaign - Dump'!$O:$O,'Campaign - Dump'!$J:$J,'Portfolio Wise '!$B23,'Campaign - Dump'!$A:$A,'Portfolio Wise '!$A23)</f>
        <v>0</v>
      </c>
      <c r="E23" s="23">
        <f t="shared" si="2"/>
        <v>0</v>
      </c>
      <c r="F23" s="36">
        <f>SUMIFS('Campaign - Dump'!$Q:$Q,'Campaign - Dump'!$J:$J,'Portfolio Wise '!$B23,'Campaign - Dump'!$A:$A,'Portfolio Wise '!$A23)</f>
        <v>0</v>
      </c>
      <c r="G23" s="38">
        <f t="shared" si="3"/>
        <v>0</v>
      </c>
      <c r="H23" s="41">
        <f>SUMIFS('Campaign - Dump'!$T:$T,'Campaign - Dump'!$J:$J,'Portfolio Wise '!$B23,'Campaign - Dump'!$A:$A,'Portfolio Wise '!$A23)</f>
        <v>0</v>
      </c>
      <c r="I23" s="23">
        <f t="shared" si="4"/>
        <v>0</v>
      </c>
      <c r="J23" s="36">
        <f>SUMIFS('Campaign - Dump'!$U:$U,'Campaign - Dump'!$J:$J,'Portfolio Wise '!$B23,'Campaign - Dump'!$A:$A,'Portfolio Wise '!$A23)</f>
        <v>0</v>
      </c>
      <c r="K23" s="23">
        <f t="shared" si="5"/>
        <v>0</v>
      </c>
      <c r="L23" s="38">
        <f t="shared" si="6"/>
        <v>0</v>
      </c>
      <c r="M23" s="41">
        <f t="shared" si="7"/>
        <v>0</v>
      </c>
      <c r="N23" s="13">
        <f t="shared" si="33"/>
        <v>0</v>
      </c>
      <c r="O23" s="36">
        <f t="shared" si="34"/>
        <v>0</v>
      </c>
      <c r="P23" s="41">
        <f t="shared" si="8"/>
        <v>0</v>
      </c>
      <c r="Q23" s="13">
        <f>SUMIFS('Business - Dump'!$W:$W,'Business - Dump'!$B:$B,'Portfolio Wise '!$B23,'Business - Dump'!$A:$A,'Portfolio Wise '!$A23)</f>
        <v>0</v>
      </c>
      <c r="R23" s="36">
        <f>SUMIFS('Business - Dump'!$U:$U,'Business - Dump'!$B:$B,'Portfolio Wise '!$B23,'Business - Dump'!$A:$A,'Portfolio Wise '!$A23)/1.18</f>
        <v>0</v>
      </c>
      <c r="S23" s="41">
        <f t="shared" si="9"/>
        <v>0</v>
      </c>
      <c r="T23" s="23">
        <f t="shared" si="10"/>
        <v>0</v>
      </c>
      <c r="U23" s="38">
        <f t="shared" si="11"/>
        <v>0</v>
      </c>
      <c r="V23" s="41">
        <f>SUMIFS('Business - Dump'!$G:$G,'Business - Dump'!$B:$B,'Portfolio Wise '!$B23,'Business - Dump'!$A:$A,'Portfolio Wise '!$A23)</f>
        <v>0</v>
      </c>
      <c r="W23" s="48">
        <f t="shared" si="12"/>
        <v>0</v>
      </c>
      <c r="X23" s="23">
        <f t="shared" ref="X23:Y23" si="42">IFERROR(N23/Q23,0)</f>
        <v>0</v>
      </c>
      <c r="Y23" s="49">
        <f t="shared" si="42"/>
        <v>0</v>
      </c>
      <c r="Z23" s="49">
        <f t="shared" si="14"/>
        <v>0</v>
      </c>
      <c r="AA23" s="23">
        <f t="shared" si="15"/>
        <v>0</v>
      </c>
      <c r="AB23" s="23">
        <f>IFERROR(AVERAGEIFS('Business - Dump'!$O:$O,'Business - Dump'!$B:$B,'Portfolio Wise '!$B23,'Business - Dump'!$A:$A,'Portfolio Wise '!$A23),0)</f>
        <v>0</v>
      </c>
      <c r="AC23" s="49">
        <f>F23/SUMIFS('Campaign - Dump'!$Q:$Q,'Campaign - Dump'!$A:$A,'Portfolio Wise '!$A23)</f>
        <v>0</v>
      </c>
      <c r="AD23" s="49">
        <f t="shared" si="16"/>
        <v>0</v>
      </c>
    </row>
    <row r="24" ht="15.75" customHeight="1">
      <c r="A24" s="32" t="s">
        <v>36</v>
      </c>
      <c r="B24" s="19" t="s">
        <v>248</v>
      </c>
      <c r="C24" s="13">
        <f>SUMIFS('Campaign - Dump'!$N:$N,'Campaign - Dump'!$J:$J,'Portfolio Wise '!$B24,'Campaign - Dump'!$A:$A,'Portfolio Wise '!$A24)</f>
        <v>0</v>
      </c>
      <c r="D24" s="13">
        <f>SUMIFS('Campaign - Dump'!$O:$O,'Campaign - Dump'!$J:$J,'Portfolio Wise '!$B24,'Campaign - Dump'!$A:$A,'Portfolio Wise '!$A24)</f>
        <v>0</v>
      </c>
      <c r="E24" s="23">
        <f t="shared" si="2"/>
        <v>0</v>
      </c>
      <c r="F24" s="36">
        <f>SUMIFS('Campaign - Dump'!$Q:$Q,'Campaign - Dump'!$J:$J,'Portfolio Wise '!$B24,'Campaign - Dump'!$A:$A,'Portfolio Wise '!$A24)</f>
        <v>0</v>
      </c>
      <c r="G24" s="38">
        <f t="shared" si="3"/>
        <v>0</v>
      </c>
      <c r="H24" s="41">
        <f>SUMIFS('Campaign - Dump'!$T:$T,'Campaign - Dump'!$J:$J,'Portfolio Wise '!$B24,'Campaign - Dump'!$A:$A,'Portfolio Wise '!$A24)</f>
        <v>0</v>
      </c>
      <c r="I24" s="23">
        <f t="shared" si="4"/>
        <v>0</v>
      </c>
      <c r="J24" s="36">
        <f>SUMIFS('Campaign - Dump'!$U:$U,'Campaign - Dump'!$J:$J,'Portfolio Wise '!$B24,'Campaign - Dump'!$A:$A,'Portfolio Wise '!$A24)</f>
        <v>0</v>
      </c>
      <c r="K24" s="23">
        <f t="shared" si="5"/>
        <v>0</v>
      </c>
      <c r="L24" s="38">
        <f t="shared" si="6"/>
        <v>0</v>
      </c>
      <c r="M24" s="41">
        <f t="shared" si="7"/>
        <v>0</v>
      </c>
      <c r="N24" s="13">
        <f t="shared" si="33"/>
        <v>0</v>
      </c>
      <c r="O24" s="36">
        <f t="shared" si="34"/>
        <v>0</v>
      </c>
      <c r="P24" s="41">
        <f t="shared" si="8"/>
        <v>0</v>
      </c>
      <c r="Q24" s="13">
        <f>SUMIFS('Business - Dump'!$W:$W,'Business - Dump'!$B:$B,'Portfolio Wise '!$B24,'Business - Dump'!$A:$A,'Portfolio Wise '!$A24)</f>
        <v>0</v>
      </c>
      <c r="R24" s="36">
        <f>SUMIFS('Business - Dump'!$U:$U,'Business - Dump'!$B:$B,'Portfolio Wise '!$B24,'Business - Dump'!$A:$A,'Portfolio Wise '!$A24)/1.18</f>
        <v>0</v>
      </c>
      <c r="S24" s="41">
        <f t="shared" si="9"/>
        <v>0</v>
      </c>
      <c r="T24" s="23">
        <f t="shared" si="10"/>
        <v>0</v>
      </c>
      <c r="U24" s="38">
        <f t="shared" si="11"/>
        <v>0</v>
      </c>
      <c r="V24" s="41">
        <f>SUMIFS('Business - Dump'!$G:$G,'Business - Dump'!$B:$B,'Portfolio Wise '!$B24,'Business - Dump'!$A:$A,'Portfolio Wise '!$A24)</f>
        <v>0</v>
      </c>
      <c r="W24" s="48">
        <f t="shared" si="12"/>
        <v>0</v>
      </c>
      <c r="X24" s="23">
        <f t="shared" ref="X24:Y24" si="43">IFERROR(N24/Q24,0)</f>
        <v>0</v>
      </c>
      <c r="Y24" s="49">
        <f t="shared" si="43"/>
        <v>0</v>
      </c>
      <c r="Z24" s="49">
        <f t="shared" si="14"/>
        <v>0</v>
      </c>
      <c r="AA24" s="23">
        <f t="shared" si="15"/>
        <v>0</v>
      </c>
      <c r="AB24" s="23">
        <f>IFERROR(AVERAGEIFS('Business - Dump'!$O:$O,'Business - Dump'!$B:$B,'Portfolio Wise '!$B24,'Business - Dump'!$A:$A,'Portfolio Wise '!$A24),0)</f>
        <v>0</v>
      </c>
      <c r="AC24" s="49">
        <f>F24/SUMIFS('Campaign - Dump'!$Q:$Q,'Campaign - Dump'!$A:$A,'Portfolio Wise '!$A24)</f>
        <v>0</v>
      </c>
      <c r="AD24" s="49">
        <f t="shared" si="16"/>
        <v>0</v>
      </c>
    </row>
    <row r="25" ht="15.75" customHeight="1">
      <c r="A25" s="125" t="s">
        <v>36</v>
      </c>
      <c r="B25" s="126" t="s">
        <v>249</v>
      </c>
      <c r="C25" s="127">
        <f t="shared" ref="C25:D25" si="44">SUM(C2:C24)</f>
        <v>4056219</v>
      </c>
      <c r="D25" s="127">
        <f t="shared" si="44"/>
        <v>12959</v>
      </c>
      <c r="E25" s="62">
        <f t="shared" si="2"/>
        <v>0.003194847221</v>
      </c>
      <c r="F25" s="128">
        <f>SUM(F2:F24)</f>
        <v>163075.05</v>
      </c>
      <c r="G25" s="129">
        <f t="shared" si="3"/>
        <v>12.58392237</v>
      </c>
      <c r="H25" s="130">
        <f>SUM(H2:H24)</f>
        <v>49</v>
      </c>
      <c r="I25" s="62">
        <f t="shared" si="4"/>
        <v>0.003781155953</v>
      </c>
      <c r="J25" s="128">
        <f>SUM(J2:J24)</f>
        <v>843788.92</v>
      </c>
      <c r="K25" s="62">
        <f t="shared" si="5"/>
        <v>0.1932652185</v>
      </c>
      <c r="L25" s="129">
        <f t="shared" si="6"/>
        <v>5.17423677</v>
      </c>
      <c r="M25" s="130">
        <f t="shared" si="7"/>
        <v>17220.18204</v>
      </c>
      <c r="N25" s="127">
        <f t="shared" ref="N25:O25" si="45">SUM(N2:N24)</f>
        <v>104</v>
      </c>
      <c r="O25" s="128">
        <f t="shared" si="45"/>
        <v>1820738.983</v>
      </c>
      <c r="P25" s="130">
        <f t="shared" si="8"/>
        <v>17507.10561</v>
      </c>
      <c r="Q25" s="127">
        <f t="shared" ref="Q25:R25" si="46">SUM(Q2:Q24)</f>
        <v>104</v>
      </c>
      <c r="R25" s="128">
        <f t="shared" si="46"/>
        <v>1820738.983</v>
      </c>
      <c r="S25" s="130">
        <f t="shared" si="9"/>
        <v>17507.10561</v>
      </c>
      <c r="T25" s="62">
        <f t="shared" si="10"/>
        <v>0.08956530921</v>
      </c>
      <c r="U25" s="129">
        <f t="shared" si="11"/>
        <v>11.1650371</v>
      </c>
      <c r="V25" s="130">
        <f>SUM(V2:V24)</f>
        <v>22980</v>
      </c>
      <c r="W25" s="131">
        <f t="shared" si="12"/>
        <v>0.0045256745</v>
      </c>
      <c r="X25" s="62">
        <f t="shared" ref="X25:Y25" si="47">IFERROR(N25/Q25,0)</f>
        <v>1</v>
      </c>
      <c r="Y25" s="132">
        <f t="shared" si="47"/>
        <v>1</v>
      </c>
      <c r="Z25" s="132">
        <f t="shared" si="14"/>
        <v>0.4711538462</v>
      </c>
      <c r="AA25" s="62">
        <f t="shared" si="15"/>
        <v>1</v>
      </c>
      <c r="AB25" s="62">
        <f>IFERROR(AVERAGEIFS('Business - Dump'!$O:$O,'Business - Dump'!$B:$B,'Portfolio Wise '!$B25,'Business - Dump'!$A:$A,'Portfolio Wise '!$A25),0)</f>
        <v>0</v>
      </c>
      <c r="AC25" s="132">
        <f>F25/SUMIFS('Campaign - Dump'!$Q:$Q,'Campaign - Dump'!$A:$A,'Portfolio Wise '!$A25)</f>
        <v>1</v>
      </c>
      <c r="AD25" s="132">
        <f t="shared" si="16"/>
        <v>2.12244898</v>
      </c>
      <c r="AE25" s="31"/>
    </row>
    <row r="26" ht="15.75" customHeight="1">
      <c r="A26" s="32" t="s">
        <v>45</v>
      </c>
      <c r="B26" s="33" t="s">
        <v>90</v>
      </c>
      <c r="C26" s="13">
        <f>SUMIFS('Campaign - Dump'!$N:$N,'Campaign - Dump'!$J:$J,'Portfolio Wise '!$B26,'Campaign - Dump'!$A:$A,'Portfolio Wise '!$A26)</f>
        <v>3160468</v>
      </c>
      <c r="D26" s="13">
        <f>SUMIFS('Campaign - Dump'!$O:$O,'Campaign - Dump'!$J:$J,'Portfolio Wise '!$B26,'Campaign - Dump'!$A:$A,'Portfolio Wise '!$A26)</f>
        <v>11230</v>
      </c>
      <c r="E26" s="23">
        <f t="shared" si="2"/>
        <v>0.003553271224</v>
      </c>
      <c r="F26" s="36">
        <f>SUMIFS('Campaign - Dump'!$Q:$Q,'Campaign - Dump'!$J:$J,'Portfolio Wise '!$B26,'Campaign - Dump'!$A:$A,'Portfolio Wise '!$A26)</f>
        <v>126298.03</v>
      </c>
      <c r="G26" s="38">
        <f t="shared" si="3"/>
        <v>11.24648531</v>
      </c>
      <c r="H26" s="41">
        <f>SUMIFS('Campaign - Dump'!$T:$T,'Campaign - Dump'!$J:$J,'Portfolio Wise '!$B26,'Campaign - Dump'!$A:$A,'Portfolio Wise '!$A26)</f>
        <v>62</v>
      </c>
      <c r="I26" s="23">
        <f t="shared" si="4"/>
        <v>0.005520926091</v>
      </c>
      <c r="J26" s="36">
        <f>SUMIFS('Campaign - Dump'!$U:$U,'Campaign - Dump'!$J:$J,'Portfolio Wise '!$B26,'Campaign - Dump'!$A:$A,'Portfolio Wise '!$A26)</f>
        <v>1026813.41</v>
      </c>
      <c r="K26" s="23">
        <f t="shared" si="5"/>
        <v>0.1229999811</v>
      </c>
      <c r="L26" s="38">
        <f t="shared" si="6"/>
        <v>8.130082552</v>
      </c>
      <c r="M26" s="41">
        <f t="shared" si="7"/>
        <v>16561.50661</v>
      </c>
      <c r="N26" s="13">
        <v>0.0</v>
      </c>
      <c r="O26" s="36">
        <v>0.0</v>
      </c>
      <c r="P26" s="41">
        <f t="shared" si="8"/>
        <v>0</v>
      </c>
      <c r="Q26" s="13">
        <f>SUMIFS('Business - Dump'!$W:$W,'Business - Dump'!$B:$B,'Portfolio Wise '!$B26,'Business - Dump'!$A:$A,'Portfolio Wise '!$A26)</f>
        <v>0</v>
      </c>
      <c r="R26" s="36">
        <f>SUMIFS('Business - Dump'!$U:$U,'Business - Dump'!$B:$B,'Portfolio Wise '!$B26,'Business - Dump'!$A:$A,'Portfolio Wise '!$A26)/1.18</f>
        <v>0</v>
      </c>
      <c r="S26" s="41">
        <f t="shared" si="9"/>
        <v>0</v>
      </c>
      <c r="T26" s="23">
        <f t="shared" si="10"/>
        <v>0</v>
      </c>
      <c r="U26" s="38">
        <f t="shared" si="11"/>
        <v>0</v>
      </c>
      <c r="V26" s="41">
        <f>SUMIFS('Business - Dump'!$G:$G,'Business - Dump'!$B:$B,'Portfolio Wise '!$B26,'Business - Dump'!$A:$A,'Portfolio Wise '!$A26)</f>
        <v>0</v>
      </c>
      <c r="W26" s="48">
        <f t="shared" si="12"/>
        <v>0</v>
      </c>
      <c r="X26" s="23">
        <f t="shared" ref="X26:Y26" si="48">IFERROR(N26/Q26,0)</f>
        <v>0</v>
      </c>
      <c r="Y26" s="49">
        <f t="shared" si="48"/>
        <v>0</v>
      </c>
      <c r="Z26" s="49">
        <f t="shared" si="14"/>
        <v>0</v>
      </c>
      <c r="AA26" s="23">
        <f t="shared" si="15"/>
        <v>0</v>
      </c>
      <c r="AB26" s="23">
        <f>IFERROR(AVERAGEIFS('Business - Dump'!$O:$O,'Business - Dump'!$B:$B,'Portfolio Wise '!$B26,'Business - Dump'!$A:$A,'Portfolio Wise '!$A26),0)</f>
        <v>0</v>
      </c>
      <c r="AC26" s="49">
        <f>F26/SUMIFS('Campaign - Dump'!$Q:$Q,'Campaign - Dump'!$A:$A,'Portfolio Wise '!$A26)</f>
        <v>0.4841675322</v>
      </c>
      <c r="AD26" s="49">
        <f t="shared" si="16"/>
        <v>0</v>
      </c>
    </row>
    <row r="27" ht="15.75" customHeight="1">
      <c r="A27" s="32" t="s">
        <v>45</v>
      </c>
      <c r="B27" s="51" t="s">
        <v>110</v>
      </c>
      <c r="C27" s="13">
        <f>SUMIFS('Campaign - Dump'!$N:$N,'Campaign - Dump'!$J:$J,'Portfolio Wise '!$B27,'Campaign - Dump'!$A:$A,'Portfolio Wise '!$A27)</f>
        <v>0</v>
      </c>
      <c r="D27" s="13">
        <f>SUMIFS('Campaign - Dump'!$O:$O,'Campaign - Dump'!$J:$J,'Portfolio Wise '!$B27,'Campaign - Dump'!$A:$A,'Portfolio Wise '!$A27)</f>
        <v>0</v>
      </c>
      <c r="E27" s="23">
        <f t="shared" si="2"/>
        <v>0</v>
      </c>
      <c r="F27" s="36">
        <f>SUMIFS('Campaign - Dump'!$Q:$Q,'Campaign - Dump'!$J:$J,'Portfolio Wise '!$B27,'Campaign - Dump'!$A:$A,'Portfolio Wise '!$A27)</f>
        <v>0</v>
      </c>
      <c r="G27" s="38">
        <f t="shared" si="3"/>
        <v>0</v>
      </c>
      <c r="H27" s="41">
        <f>SUMIFS('Campaign - Dump'!$T:$T,'Campaign - Dump'!$J:$J,'Portfolio Wise '!$B27,'Campaign - Dump'!$A:$A,'Portfolio Wise '!$A27)</f>
        <v>0</v>
      </c>
      <c r="I27" s="23">
        <f t="shared" si="4"/>
        <v>0</v>
      </c>
      <c r="J27" s="36">
        <f>SUMIFS('Campaign - Dump'!$U:$U,'Campaign - Dump'!$J:$J,'Portfolio Wise '!$B27,'Campaign - Dump'!$A:$A,'Portfolio Wise '!$A27)</f>
        <v>0</v>
      </c>
      <c r="K27" s="23">
        <f t="shared" si="5"/>
        <v>0</v>
      </c>
      <c r="L27" s="38">
        <f t="shared" si="6"/>
        <v>0</v>
      </c>
      <c r="M27" s="41">
        <f t="shared" si="7"/>
        <v>0</v>
      </c>
      <c r="N27" s="13">
        <f t="shared" ref="N27:N28" si="50">IFERROR(Q27-H27,0)</f>
        <v>0</v>
      </c>
      <c r="O27" s="36">
        <f t="shared" ref="O27:O28" si="51">IFERROR(R27-J27,0)</f>
        <v>0</v>
      </c>
      <c r="P27" s="41">
        <f t="shared" si="8"/>
        <v>0</v>
      </c>
      <c r="Q27" s="13">
        <f>SUMIFS('Business - Dump'!$W:$W,'Business - Dump'!$B:$B,'Portfolio Wise '!$B27,'Business - Dump'!$A:$A,'Portfolio Wise '!$A27)</f>
        <v>0</v>
      </c>
      <c r="R27" s="36">
        <f>SUMIFS('Business - Dump'!$U:$U,'Business - Dump'!$B:$B,'Portfolio Wise '!$B27,'Business - Dump'!$A:$A,'Portfolio Wise '!$A27)/1.18</f>
        <v>0</v>
      </c>
      <c r="S27" s="41">
        <f t="shared" si="9"/>
        <v>0</v>
      </c>
      <c r="T27" s="23">
        <f t="shared" si="10"/>
        <v>0</v>
      </c>
      <c r="U27" s="38">
        <f t="shared" si="11"/>
        <v>0</v>
      </c>
      <c r="V27" s="41">
        <f>SUMIFS('Business - Dump'!$G:$G,'Business - Dump'!$B:$B,'Portfolio Wise '!$B27,'Business - Dump'!$A:$A,'Portfolio Wise '!$A27)</f>
        <v>0</v>
      </c>
      <c r="W27" s="48">
        <f t="shared" si="12"/>
        <v>0</v>
      </c>
      <c r="X27" s="23">
        <f t="shared" ref="X27:Y27" si="49">IFERROR(N27/Q27,0)</f>
        <v>0</v>
      </c>
      <c r="Y27" s="49">
        <f t="shared" si="49"/>
        <v>0</v>
      </c>
      <c r="Z27" s="49">
        <f t="shared" si="14"/>
        <v>0</v>
      </c>
      <c r="AA27" s="23">
        <f t="shared" si="15"/>
        <v>0</v>
      </c>
      <c r="AB27" s="23">
        <f>IFERROR(AVERAGEIFS('Business - Dump'!$O:$O,'Business - Dump'!$B:$B,'Portfolio Wise '!$B27,'Business - Dump'!$A:$A,'Portfolio Wise '!$A27),0)</f>
        <v>0</v>
      </c>
      <c r="AC27" s="49">
        <f>F27/SUMIFS('Campaign - Dump'!$Q:$Q,'Campaign - Dump'!$A:$A,'Portfolio Wise '!$A27)</f>
        <v>0</v>
      </c>
      <c r="AD27" s="49">
        <f t="shared" si="16"/>
        <v>0</v>
      </c>
    </row>
    <row r="28" ht="15.75" customHeight="1">
      <c r="A28" s="32" t="s">
        <v>45</v>
      </c>
      <c r="B28" s="51" t="s">
        <v>119</v>
      </c>
      <c r="C28" s="13">
        <f>SUMIFS('Campaign - Dump'!$N:$N,'Campaign - Dump'!$J:$J,'Portfolio Wise '!$B28,'Campaign - Dump'!$A:$A,'Portfolio Wise '!$A28)</f>
        <v>103</v>
      </c>
      <c r="D28" s="13">
        <f>SUMIFS('Campaign - Dump'!$O:$O,'Campaign - Dump'!$J:$J,'Portfolio Wise '!$B28,'Campaign - Dump'!$A:$A,'Portfolio Wise '!$A28)</f>
        <v>1</v>
      </c>
      <c r="E28" s="23">
        <f t="shared" si="2"/>
        <v>0.009708737864</v>
      </c>
      <c r="F28" s="36">
        <f>SUMIFS('Campaign - Dump'!$Q:$Q,'Campaign - Dump'!$J:$J,'Portfolio Wise '!$B28,'Campaign - Dump'!$A:$A,'Portfolio Wise '!$A28)</f>
        <v>3.59</v>
      </c>
      <c r="G28" s="38">
        <f t="shared" si="3"/>
        <v>3.59</v>
      </c>
      <c r="H28" s="41">
        <f>SUMIFS('Campaign - Dump'!$T:$T,'Campaign - Dump'!$J:$J,'Portfolio Wise '!$B28,'Campaign - Dump'!$A:$A,'Portfolio Wise '!$A28)</f>
        <v>0</v>
      </c>
      <c r="I28" s="23">
        <f t="shared" si="4"/>
        <v>0</v>
      </c>
      <c r="J28" s="36">
        <f>SUMIFS('Campaign - Dump'!$U:$U,'Campaign - Dump'!$J:$J,'Portfolio Wise '!$B28,'Campaign - Dump'!$A:$A,'Portfolio Wise '!$A28)</f>
        <v>0</v>
      </c>
      <c r="K28" s="23">
        <f t="shared" si="5"/>
        <v>0</v>
      </c>
      <c r="L28" s="38">
        <f t="shared" si="6"/>
        <v>0</v>
      </c>
      <c r="M28" s="41">
        <f t="shared" si="7"/>
        <v>0</v>
      </c>
      <c r="N28" s="13">
        <f t="shared" si="50"/>
        <v>3</v>
      </c>
      <c r="O28" s="36">
        <f t="shared" si="51"/>
        <v>16228.81356</v>
      </c>
      <c r="P28" s="41">
        <f t="shared" si="8"/>
        <v>5409.60452</v>
      </c>
      <c r="Q28" s="13">
        <f>SUMIFS('Business - Dump'!$W:$W,'Business - Dump'!$B:$B,'Portfolio Wise '!$B28,'Business - Dump'!$A:$A,'Portfolio Wise '!$A28)</f>
        <v>3</v>
      </c>
      <c r="R28" s="36">
        <f>SUMIFS('Business - Dump'!$U:$U,'Business - Dump'!$B:$B,'Portfolio Wise '!$B28,'Business - Dump'!$A:$A,'Portfolio Wise '!$A28)/1.18</f>
        <v>16228.81356</v>
      </c>
      <c r="S28" s="41">
        <f t="shared" si="9"/>
        <v>5409.60452</v>
      </c>
      <c r="T28" s="23">
        <f t="shared" si="10"/>
        <v>0.0002212114883</v>
      </c>
      <c r="U28" s="38">
        <f t="shared" si="11"/>
        <v>4520.56088</v>
      </c>
      <c r="V28" s="41">
        <f>SUMIFS('Business - Dump'!$G:$G,'Business - Dump'!$B:$B,'Portfolio Wise '!$B28,'Business - Dump'!$A:$A,'Portfolio Wise '!$A28)</f>
        <v>911</v>
      </c>
      <c r="W28" s="48">
        <f t="shared" si="12"/>
        <v>0.003293084523</v>
      </c>
      <c r="X28" s="23">
        <f t="shared" ref="X28:Y28" si="52">IFERROR(N28/Q28,0)</f>
        <v>1</v>
      </c>
      <c r="Y28" s="49">
        <f t="shared" si="52"/>
        <v>1</v>
      </c>
      <c r="Z28" s="49">
        <f t="shared" si="14"/>
        <v>0</v>
      </c>
      <c r="AA28" s="23">
        <f t="shared" si="15"/>
        <v>1</v>
      </c>
      <c r="AB28" s="23">
        <f>IFERROR(AVERAGEIFS('Business - Dump'!$O:$O,'Business - Dump'!$B:$B,'Portfolio Wise '!$B28,'Business - Dump'!$A:$A,'Portfolio Wise '!$A28),0)</f>
        <v>0.794</v>
      </c>
      <c r="AC28" s="49">
        <f>F28/SUMIFS('Campaign - Dump'!$Q:$Q,'Campaign - Dump'!$A:$A,'Portfolio Wise '!$A28)</f>
        <v>0.00001376237967</v>
      </c>
      <c r="AD28" s="49">
        <f t="shared" si="16"/>
        <v>0</v>
      </c>
    </row>
    <row r="29" ht="15.75" customHeight="1">
      <c r="A29" s="32" t="s">
        <v>45</v>
      </c>
      <c r="B29" s="19" t="s">
        <v>128</v>
      </c>
      <c r="C29" s="13">
        <f>SUMIFS('Campaign - Dump'!$N:$N,'Campaign - Dump'!$J:$J,'Portfolio Wise '!$B29,'Campaign - Dump'!$A:$A,'Portfolio Wise '!$A29)</f>
        <v>216178</v>
      </c>
      <c r="D29" s="13">
        <f>SUMIFS('Campaign - Dump'!$O:$O,'Campaign - Dump'!$J:$J,'Portfolio Wise '!$B29,'Campaign - Dump'!$A:$A,'Portfolio Wise '!$A29)</f>
        <v>947</v>
      </c>
      <c r="E29" s="23">
        <f t="shared" si="2"/>
        <v>0.00438064928</v>
      </c>
      <c r="F29" s="36">
        <f>SUMIFS('Campaign - Dump'!$Q:$Q,'Campaign - Dump'!$J:$J,'Portfolio Wise '!$B29,'Campaign - Dump'!$A:$A,'Portfolio Wise '!$A29)</f>
        <v>21127.47</v>
      </c>
      <c r="G29" s="38">
        <f t="shared" si="3"/>
        <v>22.3098944</v>
      </c>
      <c r="H29" s="41">
        <f>SUMIFS('Campaign - Dump'!$T:$T,'Campaign - Dump'!$J:$J,'Portfolio Wise '!$B29,'Campaign - Dump'!$A:$A,'Portfolio Wise '!$A29)</f>
        <v>30</v>
      </c>
      <c r="I29" s="23">
        <f t="shared" si="4"/>
        <v>0.03167898627</v>
      </c>
      <c r="J29" s="36">
        <f>SUMIFS('Campaign - Dump'!$U:$U,'Campaign - Dump'!$J:$J,'Portfolio Wise '!$B29,'Campaign - Dump'!$A:$A,'Portfolio Wise '!$A29)</f>
        <v>477509.29</v>
      </c>
      <c r="K29" s="23">
        <f t="shared" si="5"/>
        <v>0.04424514966</v>
      </c>
      <c r="L29" s="38">
        <f t="shared" si="6"/>
        <v>22.60134744</v>
      </c>
      <c r="M29" s="41">
        <f t="shared" si="7"/>
        <v>15916.97633</v>
      </c>
      <c r="N29" s="13">
        <v>0.0</v>
      </c>
      <c r="O29" s="36">
        <v>0.0</v>
      </c>
      <c r="P29" s="41">
        <f t="shared" si="8"/>
        <v>0</v>
      </c>
      <c r="Q29" s="13">
        <f>SUMIFS('Business - Dump'!$W:$W,'Business - Dump'!$B:$B,'Portfolio Wise '!$B29,'Business - Dump'!$A:$A,'Portfolio Wise '!$A29)</f>
        <v>0</v>
      </c>
      <c r="R29" s="36">
        <f>SUMIFS('Business - Dump'!$U:$U,'Business - Dump'!$B:$B,'Portfolio Wise '!$B29,'Business - Dump'!$A:$A,'Portfolio Wise '!$A29)/1.18</f>
        <v>0</v>
      </c>
      <c r="S29" s="41">
        <f t="shared" si="9"/>
        <v>0</v>
      </c>
      <c r="T29" s="23">
        <f t="shared" si="10"/>
        <v>0</v>
      </c>
      <c r="U29" s="38">
        <f t="shared" si="11"/>
        <v>0</v>
      </c>
      <c r="V29" s="41">
        <f>SUMIFS('Business - Dump'!$G:$G,'Business - Dump'!$B:$B,'Portfolio Wise '!$B29,'Business - Dump'!$A:$A,'Portfolio Wise '!$A29)</f>
        <v>0</v>
      </c>
      <c r="W29" s="48">
        <f t="shared" si="12"/>
        <v>0</v>
      </c>
      <c r="X29" s="23">
        <f t="shared" ref="X29:Y29" si="53">IFERROR(N29/Q29,0)</f>
        <v>0</v>
      </c>
      <c r="Y29" s="49">
        <f t="shared" si="53"/>
        <v>0</v>
      </c>
      <c r="Z29" s="49">
        <f t="shared" si="14"/>
        <v>0</v>
      </c>
      <c r="AA29" s="23">
        <f t="shared" si="15"/>
        <v>0</v>
      </c>
      <c r="AB29" s="23">
        <f>IFERROR(AVERAGEIFS('Business - Dump'!$O:$O,'Business - Dump'!$B:$B,'Portfolio Wise '!$B29,'Business - Dump'!$A:$A,'Portfolio Wise '!$A29),0)</f>
        <v>0</v>
      </c>
      <c r="AC29" s="49">
        <f>F29/SUMIFS('Campaign - Dump'!$Q:$Q,'Campaign - Dump'!$A:$A,'Portfolio Wise '!$A29)</f>
        <v>0.0809928311</v>
      </c>
      <c r="AD29" s="49">
        <f t="shared" si="16"/>
        <v>0</v>
      </c>
    </row>
    <row r="30" ht="15.75" customHeight="1">
      <c r="A30" s="32" t="s">
        <v>45</v>
      </c>
      <c r="B30" s="19" t="s">
        <v>134</v>
      </c>
      <c r="C30" s="13">
        <f>SUMIFS('Campaign - Dump'!$N:$N,'Campaign - Dump'!$J:$J,'Portfolio Wise '!$B30,'Campaign - Dump'!$A:$A,'Portfolio Wise '!$A30)</f>
        <v>500612</v>
      </c>
      <c r="D30" s="13">
        <f>SUMIFS('Campaign - Dump'!$O:$O,'Campaign - Dump'!$J:$J,'Portfolio Wise '!$B30,'Campaign - Dump'!$A:$A,'Portfolio Wise '!$A30)</f>
        <v>2642</v>
      </c>
      <c r="E30" s="23">
        <f t="shared" si="2"/>
        <v>0.005277540291</v>
      </c>
      <c r="F30" s="36">
        <f>SUMIFS('Campaign - Dump'!$Q:$Q,'Campaign - Dump'!$J:$J,'Portfolio Wise '!$B30,'Campaign - Dump'!$A:$A,'Portfolio Wise '!$A30)</f>
        <v>50766.91</v>
      </c>
      <c r="G30" s="38">
        <f t="shared" si="3"/>
        <v>19.21533308</v>
      </c>
      <c r="H30" s="41">
        <f>SUMIFS('Campaign - Dump'!$T:$T,'Campaign - Dump'!$J:$J,'Portfolio Wise '!$B30,'Campaign - Dump'!$A:$A,'Portfolio Wise '!$A30)</f>
        <v>26</v>
      </c>
      <c r="I30" s="23">
        <f t="shared" si="4"/>
        <v>0.009841029523</v>
      </c>
      <c r="J30" s="36">
        <f>SUMIFS('Campaign - Dump'!$U:$U,'Campaign - Dump'!$J:$J,'Portfolio Wise '!$B30,'Campaign - Dump'!$A:$A,'Portfolio Wise '!$A30)</f>
        <v>523557.57</v>
      </c>
      <c r="K30" s="23">
        <f t="shared" si="5"/>
        <v>0.09696528693</v>
      </c>
      <c r="L30" s="38">
        <f t="shared" si="6"/>
        <v>10.31296902</v>
      </c>
      <c r="M30" s="41">
        <f t="shared" si="7"/>
        <v>20136.82962</v>
      </c>
      <c r="N30" s="13">
        <f t="shared" ref="N30:N37" si="55">IFERROR(Q30-H30,0)</f>
        <v>42</v>
      </c>
      <c r="O30" s="36">
        <f t="shared" ref="O30:O37" si="56">IFERROR(R30-J30,0)</f>
        <v>781527.1758</v>
      </c>
      <c r="P30" s="41">
        <f t="shared" si="8"/>
        <v>18607.7899</v>
      </c>
      <c r="Q30" s="13">
        <f>SUMIFS('Business - Dump'!$W:$W,'Business - Dump'!$B:$B,'Portfolio Wise '!$B30,'Business - Dump'!$A:$A,'Portfolio Wise '!$A30)</f>
        <v>68</v>
      </c>
      <c r="R30" s="36">
        <f>SUMIFS('Business - Dump'!$U:$U,'Business - Dump'!$B:$B,'Portfolio Wise '!$B30,'Business - Dump'!$A:$A,'Portfolio Wise '!$A30)/1.18</f>
        <v>1305084.746</v>
      </c>
      <c r="S30" s="41">
        <f t="shared" si="9"/>
        <v>19192.42273</v>
      </c>
      <c r="T30" s="23">
        <f t="shared" si="10"/>
        <v>0.03889932065</v>
      </c>
      <c r="U30" s="38">
        <f t="shared" si="11"/>
        <v>25.70738983</v>
      </c>
      <c r="V30" s="41">
        <f>SUMIFS('Business - Dump'!$G:$G,'Business - Dump'!$B:$B,'Portfolio Wise '!$B30,'Business - Dump'!$A:$A,'Portfolio Wise '!$A30)</f>
        <v>10420</v>
      </c>
      <c r="W30" s="23">
        <f t="shared" si="12"/>
        <v>0.006525911708</v>
      </c>
      <c r="X30" s="23">
        <f t="shared" ref="X30:Y30" si="54">IFERROR(N30/Q30,0)</f>
        <v>0.6176470588</v>
      </c>
      <c r="Y30" s="49">
        <f t="shared" si="54"/>
        <v>0.5988325113</v>
      </c>
      <c r="Z30" s="49">
        <f t="shared" si="14"/>
        <v>0.3823529412</v>
      </c>
      <c r="AA30" s="23">
        <f t="shared" si="15"/>
        <v>0.5988325113</v>
      </c>
      <c r="AB30" s="23">
        <f>IFERROR(AVERAGEIFS('Business - Dump'!$O:$O,'Business - Dump'!$B:$B,'Portfolio Wise '!$B30,'Business - Dump'!$A:$A,'Portfolio Wise '!$A30),0)</f>
        <v>0.929975</v>
      </c>
      <c r="AC30" s="49">
        <f>F30/SUMIFS('Campaign - Dump'!$Q:$Q,'Campaign - Dump'!$A:$A,'Portfolio Wise '!$A30)</f>
        <v>0.1946165711</v>
      </c>
      <c r="AD30" s="49">
        <f t="shared" si="16"/>
        <v>1.615384615</v>
      </c>
    </row>
    <row r="31" ht="15.75" customHeight="1">
      <c r="A31" s="32" t="s">
        <v>45</v>
      </c>
      <c r="B31" s="19" t="s">
        <v>140</v>
      </c>
      <c r="C31" s="13">
        <f>SUMIFS('Campaign - Dump'!$N:$N,'Campaign - Dump'!$J:$J,'Portfolio Wise '!$B31,'Campaign - Dump'!$A:$A,'Portfolio Wise '!$A31)</f>
        <v>558377</v>
      </c>
      <c r="D31" s="13">
        <f>SUMIFS('Campaign - Dump'!$O:$O,'Campaign - Dump'!$J:$J,'Portfolio Wise '!$B31,'Campaign - Dump'!$A:$A,'Portfolio Wise '!$A31)</f>
        <v>1946</v>
      </c>
      <c r="E31" s="23">
        <f t="shared" si="2"/>
        <v>0.003485100568</v>
      </c>
      <c r="F31" s="36">
        <f>SUMIFS('Campaign - Dump'!$Q:$Q,'Campaign - Dump'!$J:$J,'Portfolio Wise '!$B31,'Campaign - Dump'!$A:$A,'Portfolio Wise '!$A31)</f>
        <v>56521.85</v>
      </c>
      <c r="G31" s="38">
        <f t="shared" si="3"/>
        <v>29.04514388</v>
      </c>
      <c r="H31" s="41">
        <f>SUMIFS('Campaign - Dump'!$T:$T,'Campaign - Dump'!$J:$J,'Portfolio Wise '!$B31,'Campaign - Dump'!$A:$A,'Portfolio Wise '!$A31)</f>
        <v>19</v>
      </c>
      <c r="I31" s="23">
        <f t="shared" si="4"/>
        <v>0.009763617677</v>
      </c>
      <c r="J31" s="36">
        <f>SUMIFS('Campaign - Dump'!$U:$U,'Campaign - Dump'!$J:$J,'Portfolio Wise '!$B31,'Campaign - Dump'!$A:$A,'Portfolio Wise '!$A31)</f>
        <v>401183.87</v>
      </c>
      <c r="K31" s="23">
        <f t="shared" si="5"/>
        <v>0.1408876434</v>
      </c>
      <c r="L31" s="38">
        <f t="shared" si="6"/>
        <v>7.097854547</v>
      </c>
      <c r="M31" s="41">
        <f t="shared" si="7"/>
        <v>21114.94053</v>
      </c>
      <c r="N31" s="13">
        <f t="shared" si="55"/>
        <v>11</v>
      </c>
      <c r="O31" s="36">
        <f t="shared" si="56"/>
        <v>435172.0622</v>
      </c>
      <c r="P31" s="41">
        <f t="shared" si="8"/>
        <v>39561.09656</v>
      </c>
      <c r="Q31" s="13">
        <f>SUMIFS('Business - Dump'!$W:$W,'Business - Dump'!$B:$B,'Portfolio Wise '!$B31,'Business - Dump'!$A:$A,'Portfolio Wise '!$A31)</f>
        <v>30</v>
      </c>
      <c r="R31" s="36">
        <f>SUMIFS('Business - Dump'!$U:$U,'Business - Dump'!$B:$B,'Portfolio Wise '!$B31,'Business - Dump'!$A:$A,'Portfolio Wise '!$A31)/1.18</f>
        <v>836355.9322</v>
      </c>
      <c r="S31" s="41">
        <f t="shared" si="9"/>
        <v>27878.53107</v>
      </c>
      <c r="T31" s="23">
        <f t="shared" si="10"/>
        <v>0.06758109535</v>
      </c>
      <c r="U31" s="38">
        <f t="shared" si="11"/>
        <v>14.79703747</v>
      </c>
      <c r="V31" s="41">
        <f>SUMIFS('Business - Dump'!$G:$G,'Business - Dump'!$B:$B,'Portfolio Wise '!$B31,'Business - Dump'!$A:$A,'Portfolio Wise '!$A31)</f>
        <v>5585</v>
      </c>
      <c r="W31" s="23">
        <f t="shared" si="12"/>
        <v>0.005371530886</v>
      </c>
      <c r="X31" s="23">
        <f t="shared" ref="X31:Y31" si="57">IFERROR(N31/Q31,0)</f>
        <v>0.3666666667</v>
      </c>
      <c r="Y31" s="49">
        <f t="shared" si="57"/>
        <v>0.5203192151</v>
      </c>
      <c r="Z31" s="49">
        <f t="shared" si="14"/>
        <v>0.6333333333</v>
      </c>
      <c r="AA31" s="23">
        <f t="shared" si="15"/>
        <v>0.5203192151</v>
      </c>
      <c r="AB31" s="23">
        <f>IFERROR(AVERAGEIFS('Business - Dump'!$O:$O,'Business - Dump'!$B:$B,'Portfolio Wise '!$B31,'Business - Dump'!$A:$A,'Portfolio Wise '!$A31),0)</f>
        <v>0.865875</v>
      </c>
      <c r="AC31" s="49">
        <f>F31/SUMIFS('Campaign - Dump'!$Q:$Q,'Campaign - Dump'!$A:$A,'Portfolio Wise '!$A31)</f>
        <v>0.2166783174</v>
      </c>
      <c r="AD31" s="49">
        <f t="shared" si="16"/>
        <v>0.5789473684</v>
      </c>
    </row>
    <row r="32" ht="15.75" customHeight="1">
      <c r="A32" s="32" t="s">
        <v>45</v>
      </c>
      <c r="B32" s="10" t="s">
        <v>152</v>
      </c>
      <c r="C32" s="13">
        <f>SUMIFS('Campaign - Dump'!$N:$N,'Campaign - Dump'!$J:$J,'Portfolio Wise '!$B32,'Campaign - Dump'!$A:$A,'Portfolio Wise '!$A32)</f>
        <v>27667</v>
      </c>
      <c r="D32" s="13">
        <f>SUMIFS('Campaign - Dump'!$O:$O,'Campaign - Dump'!$J:$J,'Portfolio Wise '!$B32,'Campaign - Dump'!$A:$A,'Portfolio Wise '!$A32)</f>
        <v>193</v>
      </c>
      <c r="E32" s="23">
        <f t="shared" si="2"/>
        <v>0.006975819568</v>
      </c>
      <c r="F32" s="36">
        <f>SUMIFS('Campaign - Dump'!$Q:$Q,'Campaign - Dump'!$J:$J,'Portfolio Wise '!$B32,'Campaign - Dump'!$A:$A,'Portfolio Wise '!$A32)</f>
        <v>3382.32</v>
      </c>
      <c r="G32" s="38">
        <f t="shared" si="3"/>
        <v>17.52497409</v>
      </c>
      <c r="H32" s="41">
        <f>SUMIFS('Campaign - Dump'!$T:$T,'Campaign - Dump'!$J:$J,'Portfolio Wise '!$B32,'Campaign - Dump'!$A:$A,'Portfolio Wise '!$A32)</f>
        <v>1</v>
      </c>
      <c r="I32" s="23">
        <f t="shared" si="4"/>
        <v>0.00518134715</v>
      </c>
      <c r="J32" s="36">
        <f>SUMIFS('Campaign - Dump'!$U:$U,'Campaign - Dump'!$J:$J,'Portfolio Wise '!$B32,'Campaign - Dump'!$A:$A,'Portfolio Wise '!$A32)</f>
        <v>13558.48</v>
      </c>
      <c r="K32" s="23">
        <f t="shared" si="5"/>
        <v>0.2494615916</v>
      </c>
      <c r="L32" s="38">
        <f t="shared" si="6"/>
        <v>4.008633128</v>
      </c>
      <c r="M32" s="41">
        <f t="shared" si="7"/>
        <v>13558.48</v>
      </c>
      <c r="N32" s="13">
        <f t="shared" si="55"/>
        <v>8</v>
      </c>
      <c r="O32" s="36">
        <f t="shared" si="56"/>
        <v>103136.4353</v>
      </c>
      <c r="P32" s="41">
        <f t="shared" si="8"/>
        <v>12892.05441</v>
      </c>
      <c r="Q32" s="13">
        <f>SUMIFS('Business - Dump'!$W:$W,'Business - Dump'!$B:$B,'Portfolio Wise '!$B32,'Business - Dump'!$A:$A,'Portfolio Wise '!$A32)</f>
        <v>9</v>
      </c>
      <c r="R32" s="36">
        <f>SUMIFS('Business - Dump'!$U:$U,'Business - Dump'!$B:$B,'Portfolio Wise '!$B32,'Business - Dump'!$A:$A,'Portfolio Wise '!$A32)/1.18</f>
        <v>116694.9153</v>
      </c>
      <c r="S32" s="41">
        <f t="shared" si="9"/>
        <v>12966.10169</v>
      </c>
      <c r="T32" s="23">
        <f t="shared" si="10"/>
        <v>0.0289842963</v>
      </c>
      <c r="U32" s="38">
        <f t="shared" si="11"/>
        <v>34.50144139</v>
      </c>
      <c r="V32" s="41">
        <f>SUMIFS('Business - Dump'!$G:$G,'Business - Dump'!$B:$B,'Portfolio Wise '!$B32,'Business - Dump'!$A:$A,'Portfolio Wise '!$A32)</f>
        <v>906</v>
      </c>
      <c r="W32" s="48">
        <f t="shared" si="12"/>
        <v>0.009933774834</v>
      </c>
      <c r="X32" s="23">
        <f t="shared" ref="X32:Y32" si="58">IFERROR(N32/Q32,0)</f>
        <v>0.8888888889</v>
      </c>
      <c r="Y32" s="49">
        <f t="shared" si="58"/>
        <v>0.8838125897</v>
      </c>
      <c r="Z32" s="49">
        <f t="shared" si="14"/>
        <v>0.1111111111</v>
      </c>
      <c r="AA32" s="23">
        <f t="shared" si="15"/>
        <v>0.8838125897</v>
      </c>
      <c r="AB32" s="23">
        <f>IFERROR(AVERAGEIFS('Business - Dump'!$O:$O,'Business - Dump'!$B:$B,'Portfolio Wise '!$B32,'Business - Dump'!$A:$A,'Portfolio Wise '!$A32),0)</f>
        <v>0.889</v>
      </c>
      <c r="AC32" s="49">
        <f>F32/SUMIFS('Campaign - Dump'!$Q:$Q,'Campaign - Dump'!$A:$A,'Portfolio Wise '!$A32)</f>
        <v>0.01296623176</v>
      </c>
      <c r="AD32" s="49">
        <f t="shared" si="16"/>
        <v>8</v>
      </c>
    </row>
    <row r="33" ht="15.75" customHeight="1">
      <c r="A33" s="32" t="s">
        <v>45</v>
      </c>
      <c r="B33" s="19" t="s">
        <v>158</v>
      </c>
      <c r="C33" s="13">
        <f>SUMIFS('Campaign - Dump'!$N:$N,'Campaign - Dump'!$J:$J,'Portfolio Wise '!$B33,'Campaign - Dump'!$A:$A,'Portfolio Wise '!$A33)</f>
        <v>0</v>
      </c>
      <c r="D33" s="13">
        <f>SUMIFS('Campaign - Dump'!$O:$O,'Campaign - Dump'!$J:$J,'Portfolio Wise '!$B33,'Campaign - Dump'!$A:$A,'Portfolio Wise '!$A33)</f>
        <v>0</v>
      </c>
      <c r="E33" s="23">
        <f t="shared" si="2"/>
        <v>0</v>
      </c>
      <c r="F33" s="36">
        <f>SUMIFS('Campaign - Dump'!$Q:$Q,'Campaign - Dump'!$J:$J,'Portfolio Wise '!$B33,'Campaign - Dump'!$A:$A,'Portfolio Wise '!$A33)</f>
        <v>0</v>
      </c>
      <c r="G33" s="38">
        <f t="shared" si="3"/>
        <v>0</v>
      </c>
      <c r="H33" s="41">
        <f>SUMIFS('Campaign - Dump'!$T:$T,'Campaign - Dump'!$J:$J,'Portfolio Wise '!$B33,'Campaign - Dump'!$A:$A,'Portfolio Wise '!$A33)</f>
        <v>0</v>
      </c>
      <c r="I33" s="23">
        <f t="shared" si="4"/>
        <v>0</v>
      </c>
      <c r="J33" s="36">
        <f>SUMIFS('Campaign - Dump'!$U:$U,'Campaign - Dump'!$J:$J,'Portfolio Wise '!$B33,'Campaign - Dump'!$A:$A,'Portfolio Wise '!$A33)</f>
        <v>0</v>
      </c>
      <c r="K33" s="23">
        <f t="shared" si="5"/>
        <v>0</v>
      </c>
      <c r="L33" s="38">
        <f t="shared" si="6"/>
        <v>0</v>
      </c>
      <c r="M33" s="41">
        <f t="shared" si="7"/>
        <v>0</v>
      </c>
      <c r="N33" s="13">
        <f t="shared" si="55"/>
        <v>1</v>
      </c>
      <c r="O33" s="36">
        <f t="shared" si="56"/>
        <v>10974.57627</v>
      </c>
      <c r="P33" s="41">
        <f t="shared" si="8"/>
        <v>10974.57627</v>
      </c>
      <c r="Q33" s="13">
        <f>SUMIFS('Business - Dump'!$W:$W,'Business - Dump'!$B:$B,'Portfolio Wise '!$B33,'Business - Dump'!$A:$A,'Portfolio Wise '!$A33)</f>
        <v>1</v>
      </c>
      <c r="R33" s="36">
        <f>SUMIFS('Business - Dump'!$U:$U,'Business - Dump'!$B:$B,'Portfolio Wise '!$B33,'Business - Dump'!$A:$A,'Portfolio Wise '!$A33)/1.18</f>
        <v>10974.57627</v>
      </c>
      <c r="S33" s="41">
        <f t="shared" si="9"/>
        <v>10974.57627</v>
      </c>
      <c r="T33" s="23">
        <f t="shared" si="10"/>
        <v>0</v>
      </c>
      <c r="U33" s="38">
        <f t="shared" si="11"/>
        <v>0</v>
      </c>
      <c r="V33" s="41">
        <f>SUMIFS('Business - Dump'!$G:$G,'Business - Dump'!$B:$B,'Portfolio Wise '!$B33,'Business - Dump'!$A:$A,'Portfolio Wise '!$A33)</f>
        <v>112</v>
      </c>
      <c r="W33" s="48">
        <f t="shared" si="12"/>
        <v>0.008928571429</v>
      </c>
      <c r="X33" s="23">
        <f t="shared" ref="X33:Y33" si="59">IFERROR(N33/Q33,0)</f>
        <v>1</v>
      </c>
      <c r="Y33" s="49">
        <f t="shared" si="59"/>
        <v>1</v>
      </c>
      <c r="Z33" s="49">
        <f t="shared" si="14"/>
        <v>0</v>
      </c>
      <c r="AA33" s="23">
        <f t="shared" si="15"/>
        <v>1</v>
      </c>
      <c r="AB33" s="23">
        <f>IFERROR(AVERAGEIFS('Business - Dump'!$O:$O,'Business - Dump'!$B:$B,'Portfolio Wise '!$B33,'Business - Dump'!$A:$A,'Portfolio Wise '!$A33),0)</f>
        <v>0.8593</v>
      </c>
      <c r="AC33" s="49">
        <f>F33/SUMIFS('Campaign - Dump'!$Q:$Q,'Campaign - Dump'!$A:$A,'Portfolio Wise '!$A33)</f>
        <v>0</v>
      </c>
      <c r="AD33" s="49">
        <f t="shared" si="16"/>
        <v>0</v>
      </c>
    </row>
    <row r="34" ht="15.75" customHeight="1">
      <c r="A34" s="32" t="s">
        <v>45</v>
      </c>
      <c r="B34" s="33" t="s">
        <v>170</v>
      </c>
      <c r="C34" s="13">
        <f>SUMIFS('Campaign - Dump'!$N:$N,'Campaign - Dump'!$J:$J,'Portfolio Wise '!$B34,'Campaign - Dump'!$A:$A,'Portfolio Wise '!$A34)</f>
        <v>0</v>
      </c>
      <c r="D34" s="13">
        <f>SUMIFS('Campaign - Dump'!$O:$O,'Campaign - Dump'!$J:$J,'Portfolio Wise '!$B34,'Campaign - Dump'!$A:$A,'Portfolio Wise '!$A34)</f>
        <v>0</v>
      </c>
      <c r="E34" s="23">
        <f t="shared" si="2"/>
        <v>0</v>
      </c>
      <c r="F34" s="36">
        <f>SUMIFS('Campaign - Dump'!$Q:$Q,'Campaign - Dump'!$J:$J,'Portfolio Wise '!$B34,'Campaign - Dump'!$A:$A,'Portfolio Wise '!$A34)</f>
        <v>0</v>
      </c>
      <c r="G34" s="38">
        <f t="shared" si="3"/>
        <v>0</v>
      </c>
      <c r="H34" s="41">
        <f>SUMIFS('Campaign - Dump'!$T:$T,'Campaign - Dump'!$J:$J,'Portfolio Wise '!$B34,'Campaign - Dump'!$A:$A,'Portfolio Wise '!$A34)</f>
        <v>0</v>
      </c>
      <c r="I34" s="23">
        <f t="shared" si="4"/>
        <v>0</v>
      </c>
      <c r="J34" s="36">
        <f>SUMIFS('Campaign - Dump'!$U:$U,'Campaign - Dump'!$J:$J,'Portfolio Wise '!$B34,'Campaign - Dump'!$A:$A,'Portfolio Wise '!$A34)</f>
        <v>0</v>
      </c>
      <c r="K34" s="23">
        <f t="shared" si="5"/>
        <v>0</v>
      </c>
      <c r="L34" s="38">
        <f t="shared" si="6"/>
        <v>0</v>
      </c>
      <c r="M34" s="41">
        <f t="shared" si="7"/>
        <v>0</v>
      </c>
      <c r="N34" s="13">
        <f t="shared" si="55"/>
        <v>3</v>
      </c>
      <c r="O34" s="36">
        <f t="shared" si="56"/>
        <v>16525.42373</v>
      </c>
      <c r="P34" s="41">
        <f t="shared" si="8"/>
        <v>5508.474576</v>
      </c>
      <c r="Q34" s="13">
        <f>SUMIFS('Business - Dump'!$W:$W,'Business - Dump'!$B:$B,'Portfolio Wise '!$B34,'Business - Dump'!$A:$A,'Portfolio Wise '!$A34)</f>
        <v>3</v>
      </c>
      <c r="R34" s="36">
        <f>SUMIFS('Business - Dump'!$U:$U,'Business - Dump'!$B:$B,'Portfolio Wise '!$B34,'Business - Dump'!$A:$A,'Portfolio Wise '!$A34)/1.18</f>
        <v>16525.42373</v>
      </c>
      <c r="S34" s="41">
        <f t="shared" si="9"/>
        <v>5508.474576</v>
      </c>
      <c r="T34" s="23">
        <f t="shared" si="10"/>
        <v>0</v>
      </c>
      <c r="U34" s="38">
        <f t="shared" si="11"/>
        <v>0</v>
      </c>
      <c r="V34" s="41">
        <f>SUMIFS('Business - Dump'!$G:$G,'Business - Dump'!$B:$B,'Portfolio Wise '!$B34,'Business - Dump'!$A:$A,'Portfolio Wise '!$A34)</f>
        <v>150</v>
      </c>
      <c r="W34" s="48">
        <f t="shared" si="12"/>
        <v>0.02</v>
      </c>
      <c r="X34" s="23">
        <f t="shared" ref="X34:Y34" si="60">IFERROR(N34/Q34,0)</f>
        <v>1</v>
      </c>
      <c r="Y34" s="49">
        <f t="shared" si="60"/>
        <v>1</v>
      </c>
      <c r="Z34" s="49">
        <f t="shared" si="14"/>
        <v>0</v>
      </c>
      <c r="AA34" s="23">
        <f t="shared" si="15"/>
        <v>1</v>
      </c>
      <c r="AB34" s="23">
        <f>IFERROR(AVERAGEIFS('Business - Dump'!$O:$O,'Business - Dump'!$B:$B,'Portfolio Wise '!$B34,'Business - Dump'!$A:$A,'Portfolio Wise '!$A34),0)</f>
        <v>0.9026</v>
      </c>
      <c r="AC34" s="49">
        <f>F34/SUMIFS('Campaign - Dump'!$Q:$Q,'Campaign - Dump'!$A:$A,'Portfolio Wise '!$A34)</f>
        <v>0</v>
      </c>
      <c r="AD34" s="49">
        <f t="shared" si="16"/>
        <v>0</v>
      </c>
    </row>
    <row r="35" ht="15.75" customHeight="1">
      <c r="A35" s="32" t="s">
        <v>45</v>
      </c>
      <c r="B35" s="51" t="s">
        <v>176</v>
      </c>
      <c r="C35" s="13">
        <f>SUMIFS('Campaign - Dump'!$N:$N,'Campaign - Dump'!$J:$J,'Portfolio Wise '!$B35,'Campaign - Dump'!$A:$A,'Portfolio Wise '!$A35)</f>
        <v>10342</v>
      </c>
      <c r="D35" s="13">
        <f>SUMIFS('Campaign - Dump'!$O:$O,'Campaign - Dump'!$J:$J,'Portfolio Wise '!$B35,'Campaign - Dump'!$A:$A,'Portfolio Wise '!$A35)</f>
        <v>125</v>
      </c>
      <c r="E35" s="23">
        <f t="shared" si="2"/>
        <v>0.01208663701</v>
      </c>
      <c r="F35" s="36">
        <f>SUMIFS('Campaign - Dump'!$Q:$Q,'Campaign - Dump'!$J:$J,'Portfolio Wise '!$B35,'Campaign - Dump'!$A:$A,'Portfolio Wise '!$A35)</f>
        <v>2755.88</v>
      </c>
      <c r="G35" s="38">
        <f t="shared" si="3"/>
        <v>22.04704</v>
      </c>
      <c r="H35" s="41">
        <f>SUMIFS('Campaign - Dump'!$T:$T,'Campaign - Dump'!$J:$J,'Portfolio Wise '!$B35,'Campaign - Dump'!$A:$A,'Portfolio Wise '!$A35)</f>
        <v>2</v>
      </c>
      <c r="I35" s="23">
        <f t="shared" si="4"/>
        <v>0.016</v>
      </c>
      <c r="J35" s="36">
        <f>SUMIFS('Campaign - Dump'!$U:$U,'Campaign - Dump'!$J:$J,'Portfolio Wise '!$B35,'Campaign - Dump'!$A:$A,'Portfolio Wise '!$A35)</f>
        <v>28305.08</v>
      </c>
      <c r="K35" s="23">
        <f t="shared" si="5"/>
        <v>0.09736344147</v>
      </c>
      <c r="L35" s="38">
        <f t="shared" si="6"/>
        <v>10.27079554</v>
      </c>
      <c r="M35" s="41">
        <f t="shared" si="7"/>
        <v>14152.54</v>
      </c>
      <c r="N35" s="13">
        <f t="shared" si="55"/>
        <v>20</v>
      </c>
      <c r="O35" s="36">
        <f t="shared" si="56"/>
        <v>377966.1064</v>
      </c>
      <c r="P35" s="41">
        <f t="shared" si="8"/>
        <v>18898.30532</v>
      </c>
      <c r="Q35" s="13">
        <f>SUMIFS('Business - Dump'!$W:$W,'Business - Dump'!$B:$B,'Portfolio Wise '!$B35,'Business - Dump'!$A:$A,'Portfolio Wise '!$A35)</f>
        <v>22</v>
      </c>
      <c r="R35" s="36">
        <f>SUMIFS('Business - Dump'!$U:$U,'Business - Dump'!$B:$B,'Portfolio Wise '!$B35,'Business - Dump'!$A:$A,'Portfolio Wise '!$A35)/1.18</f>
        <v>406271.1864</v>
      </c>
      <c r="S35" s="41">
        <f t="shared" si="9"/>
        <v>18466.87211</v>
      </c>
      <c r="T35" s="23">
        <f t="shared" si="10"/>
        <v>0.006783350855</v>
      </c>
      <c r="U35" s="38">
        <f t="shared" si="11"/>
        <v>147.4197666</v>
      </c>
      <c r="V35" s="41">
        <f>SUMIFS('Business - Dump'!$G:$G,'Business - Dump'!$B:$B,'Portfolio Wise '!$B35,'Business - Dump'!$A:$A,'Portfolio Wise '!$A35)</f>
        <v>4578</v>
      </c>
      <c r="W35" s="48">
        <f t="shared" si="12"/>
        <v>0.004805591962</v>
      </c>
      <c r="X35" s="23">
        <f t="shared" ref="X35:Y35" si="61">IFERROR(N35/Q35,0)</f>
        <v>0.9090909091</v>
      </c>
      <c r="Y35" s="49">
        <f t="shared" si="61"/>
        <v>0.9303295903</v>
      </c>
      <c r="Z35" s="49">
        <f t="shared" si="14"/>
        <v>0.09090909091</v>
      </c>
      <c r="AA35" s="23">
        <f t="shared" si="15"/>
        <v>0.9303295903</v>
      </c>
      <c r="AB35" s="23">
        <f>IFERROR(AVERAGEIFS('Business - Dump'!$O:$O,'Business - Dump'!$B:$B,'Portfolio Wise '!$B35,'Business - Dump'!$A:$A,'Portfolio Wise '!$A35),0)</f>
        <v>0.8511</v>
      </c>
      <c r="AC35" s="49">
        <f>F35/SUMIFS('Campaign - Dump'!$Q:$Q,'Campaign - Dump'!$A:$A,'Portfolio Wise '!$A35)</f>
        <v>0.01056475401</v>
      </c>
      <c r="AD35" s="49">
        <f t="shared" si="16"/>
        <v>10</v>
      </c>
    </row>
    <row r="36" ht="15.75" customHeight="1">
      <c r="A36" s="32" t="s">
        <v>45</v>
      </c>
      <c r="B36" s="100" t="s">
        <v>182</v>
      </c>
      <c r="C36" s="13">
        <f>SUMIFS('Campaign - Dump'!$N:$N,'Campaign - Dump'!$J:$J,'Portfolio Wise '!$B36,'Campaign - Dump'!$A:$A,'Portfolio Wise '!$A36)</f>
        <v>0</v>
      </c>
      <c r="D36" s="13">
        <f>SUMIFS('Campaign - Dump'!$O:$O,'Campaign - Dump'!$J:$J,'Portfolio Wise '!$B36,'Campaign - Dump'!$A:$A,'Portfolio Wise '!$A36)</f>
        <v>0</v>
      </c>
      <c r="E36" s="23">
        <f t="shared" si="2"/>
        <v>0</v>
      </c>
      <c r="F36" s="36">
        <f>SUMIFS('Campaign - Dump'!$Q:$Q,'Campaign - Dump'!$J:$J,'Portfolio Wise '!$B36,'Campaign - Dump'!$A:$A,'Portfolio Wise '!$A36)</f>
        <v>0</v>
      </c>
      <c r="G36" s="38">
        <f t="shared" si="3"/>
        <v>0</v>
      </c>
      <c r="H36" s="41">
        <f>SUMIFS('Campaign - Dump'!$T:$T,'Campaign - Dump'!$J:$J,'Portfolio Wise '!$B36,'Campaign - Dump'!$A:$A,'Portfolio Wise '!$A36)</f>
        <v>0</v>
      </c>
      <c r="I36" s="23">
        <f t="shared" si="4"/>
        <v>0</v>
      </c>
      <c r="J36" s="36">
        <f>SUMIFS('Campaign - Dump'!$U:$U,'Campaign - Dump'!$J:$J,'Portfolio Wise '!$B36,'Campaign - Dump'!$A:$A,'Portfolio Wise '!$A36)</f>
        <v>0</v>
      </c>
      <c r="K36" s="23">
        <f t="shared" si="5"/>
        <v>0</v>
      </c>
      <c r="L36" s="38">
        <f t="shared" si="6"/>
        <v>0</v>
      </c>
      <c r="M36" s="41">
        <f t="shared" si="7"/>
        <v>0</v>
      </c>
      <c r="N36" s="13">
        <f t="shared" si="55"/>
        <v>0</v>
      </c>
      <c r="O36" s="36">
        <f t="shared" si="56"/>
        <v>0</v>
      </c>
      <c r="P36" s="41">
        <f t="shared" si="8"/>
        <v>0</v>
      </c>
      <c r="Q36" s="13">
        <f>SUMIFS('Business - Dump'!$W:$W,'Business - Dump'!$B:$B,'Portfolio Wise '!$B36,'Business - Dump'!$A:$A,'Portfolio Wise '!$A36)</f>
        <v>0</v>
      </c>
      <c r="R36" s="36">
        <f>SUMIFS('Business - Dump'!$U:$U,'Business - Dump'!$B:$B,'Portfolio Wise '!$B36,'Business - Dump'!$A:$A,'Portfolio Wise '!$A36)/1.18</f>
        <v>0</v>
      </c>
      <c r="S36" s="41">
        <f t="shared" si="9"/>
        <v>0</v>
      </c>
      <c r="T36" s="23">
        <f t="shared" si="10"/>
        <v>0</v>
      </c>
      <c r="U36" s="38">
        <f t="shared" si="11"/>
        <v>0</v>
      </c>
      <c r="V36" s="41">
        <f>SUMIFS('Business - Dump'!$G:$G,'Business - Dump'!$B:$B,'Portfolio Wise '!$B36,'Business - Dump'!$A:$A,'Portfolio Wise '!$A36)</f>
        <v>0</v>
      </c>
      <c r="W36" s="23">
        <f t="shared" si="12"/>
        <v>0</v>
      </c>
      <c r="X36" s="23">
        <f t="shared" ref="X36:Y36" si="62">IFERROR(N36/Q36,0)</f>
        <v>0</v>
      </c>
      <c r="Y36" s="49">
        <f t="shared" si="62"/>
        <v>0</v>
      </c>
      <c r="Z36" s="49">
        <f t="shared" si="14"/>
        <v>0</v>
      </c>
      <c r="AA36" s="23">
        <f t="shared" si="15"/>
        <v>0</v>
      </c>
      <c r="AB36" s="23">
        <f>IFERROR(AVERAGEIFS('Business - Dump'!$O:$O,'Business - Dump'!$B:$B,'Portfolio Wise '!$B36,'Business - Dump'!$A:$A,'Portfolio Wise '!$A36),0)</f>
        <v>0</v>
      </c>
      <c r="AC36" s="49">
        <f>F36/SUMIFS('Campaign - Dump'!$Q:$Q,'Campaign - Dump'!$A:$A,'Portfolio Wise '!$A36)</f>
        <v>0</v>
      </c>
      <c r="AD36" s="49">
        <f t="shared" si="16"/>
        <v>0</v>
      </c>
    </row>
    <row r="37" ht="15.75" customHeight="1">
      <c r="A37" s="32" t="s">
        <v>45</v>
      </c>
      <c r="B37" s="100" t="s">
        <v>182</v>
      </c>
      <c r="C37" s="13">
        <f>SUMIFS('Campaign - Dump'!$N:$N,'Campaign - Dump'!$J:$J,'Portfolio Wise '!$B37,'Campaign - Dump'!$A:$A,'Portfolio Wise '!$A37)</f>
        <v>0</v>
      </c>
      <c r="D37" s="13">
        <f>SUMIFS('Campaign - Dump'!$O:$O,'Campaign - Dump'!$J:$J,'Portfolio Wise '!$B37,'Campaign - Dump'!$A:$A,'Portfolio Wise '!$A37)</f>
        <v>0</v>
      </c>
      <c r="E37" s="23">
        <f t="shared" si="2"/>
        <v>0</v>
      </c>
      <c r="F37" s="36">
        <f>SUMIFS('Campaign - Dump'!$Q:$Q,'Campaign - Dump'!$J:$J,'Portfolio Wise '!$B37,'Campaign - Dump'!$A:$A,'Portfolio Wise '!$A37)</f>
        <v>0</v>
      </c>
      <c r="G37" s="38">
        <f t="shared" si="3"/>
        <v>0</v>
      </c>
      <c r="H37" s="41">
        <f>SUMIFS('Campaign - Dump'!$T:$T,'Campaign - Dump'!$J:$J,'Portfolio Wise '!$B37,'Campaign - Dump'!$A:$A,'Portfolio Wise '!$A37)</f>
        <v>0</v>
      </c>
      <c r="I37" s="23">
        <f t="shared" si="4"/>
        <v>0</v>
      </c>
      <c r="J37" s="36">
        <f>SUMIFS('Campaign - Dump'!$U:$U,'Campaign - Dump'!$J:$J,'Portfolio Wise '!$B37,'Campaign - Dump'!$A:$A,'Portfolio Wise '!$A37)</f>
        <v>0</v>
      </c>
      <c r="K37" s="23">
        <f t="shared" si="5"/>
        <v>0</v>
      </c>
      <c r="L37" s="38">
        <f t="shared" si="6"/>
        <v>0</v>
      </c>
      <c r="M37" s="41">
        <f t="shared" si="7"/>
        <v>0</v>
      </c>
      <c r="N37" s="13">
        <f t="shared" si="55"/>
        <v>0</v>
      </c>
      <c r="O37" s="36">
        <f t="shared" si="56"/>
        <v>0</v>
      </c>
      <c r="P37" s="41">
        <f t="shared" si="8"/>
        <v>0</v>
      </c>
      <c r="Q37" s="13">
        <f>SUMIFS('Business - Dump'!$W:$W,'Business - Dump'!$B:$B,'Portfolio Wise '!$B37,'Business - Dump'!$A:$A,'Portfolio Wise '!$A37)</f>
        <v>0</v>
      </c>
      <c r="R37" s="36">
        <f>SUMIFS('Business - Dump'!$U:$U,'Business - Dump'!$B:$B,'Portfolio Wise '!$B37,'Business - Dump'!$A:$A,'Portfolio Wise '!$A37)/1.18</f>
        <v>0</v>
      </c>
      <c r="S37" s="41">
        <f t="shared" si="9"/>
        <v>0</v>
      </c>
      <c r="T37" s="23">
        <f t="shared" si="10"/>
        <v>0</v>
      </c>
      <c r="U37" s="38">
        <f t="shared" si="11"/>
        <v>0</v>
      </c>
      <c r="V37" s="41">
        <f>SUMIFS('Business - Dump'!$G:$G,'Business - Dump'!$B:$B,'Portfolio Wise '!$B37,'Business - Dump'!$A:$A,'Portfolio Wise '!$A37)</f>
        <v>0</v>
      </c>
      <c r="W37" s="23">
        <f t="shared" si="12"/>
        <v>0</v>
      </c>
      <c r="X37" s="23">
        <f t="shared" ref="X37:Y37" si="63">IFERROR(N37/Q37,0)</f>
        <v>0</v>
      </c>
      <c r="Y37" s="49">
        <f t="shared" si="63"/>
        <v>0</v>
      </c>
      <c r="Z37" s="49">
        <f t="shared" si="14"/>
        <v>0</v>
      </c>
      <c r="AA37" s="23">
        <f t="shared" si="15"/>
        <v>0</v>
      </c>
      <c r="AB37" s="23">
        <f>IFERROR(AVERAGEIFS('Business - Dump'!$O:$O,'Business - Dump'!$B:$B,'Portfolio Wise '!$B37,'Business - Dump'!$A:$A,'Portfolio Wise '!$A37),0)</f>
        <v>0</v>
      </c>
      <c r="AC37" s="49">
        <f>F37/SUMIFS('Campaign - Dump'!$Q:$Q,'Campaign - Dump'!$A:$A,'Portfolio Wise '!$A37)</f>
        <v>0</v>
      </c>
      <c r="AD37" s="49">
        <f t="shared" si="16"/>
        <v>0</v>
      </c>
    </row>
    <row r="38" ht="15.75" customHeight="1">
      <c r="A38" s="32" t="s">
        <v>45</v>
      </c>
      <c r="B38" s="19" t="s">
        <v>196</v>
      </c>
      <c r="C38" s="13">
        <f>SUMIFS('Campaign - Dump'!$N:$N,'Campaign - Dump'!$J:$J,'Portfolio Wise '!$B38,'Campaign - Dump'!$A:$A,'Portfolio Wise '!$A38)</f>
        <v>0</v>
      </c>
      <c r="D38" s="13">
        <f>SUMIFS('Campaign - Dump'!$O:$O,'Campaign - Dump'!$J:$J,'Portfolio Wise '!$B38,'Campaign - Dump'!$A:$A,'Portfolio Wise '!$A38)</f>
        <v>0</v>
      </c>
      <c r="E38" s="23">
        <f t="shared" si="2"/>
        <v>0</v>
      </c>
      <c r="F38" s="36">
        <f>SUMIFS('Campaign - Dump'!$Q:$Q,'Campaign - Dump'!$J:$J,'Portfolio Wise '!$B38,'Campaign - Dump'!$A:$A,'Portfolio Wise '!$A38)</f>
        <v>0</v>
      </c>
      <c r="G38" s="38">
        <f t="shared" si="3"/>
        <v>0</v>
      </c>
      <c r="H38" s="41">
        <f>SUMIFS('Campaign - Dump'!$T:$T,'Campaign - Dump'!$J:$J,'Portfolio Wise '!$B38,'Campaign - Dump'!$A:$A,'Portfolio Wise '!$A38)</f>
        <v>0</v>
      </c>
      <c r="I38" s="23">
        <f t="shared" si="4"/>
        <v>0</v>
      </c>
      <c r="J38" s="36">
        <f>SUMIFS('Campaign - Dump'!$U:$U,'Campaign - Dump'!$J:$J,'Portfolio Wise '!$B38,'Campaign - Dump'!$A:$A,'Portfolio Wise '!$A38)</f>
        <v>0</v>
      </c>
      <c r="K38" s="23">
        <f t="shared" si="5"/>
        <v>0</v>
      </c>
      <c r="L38" s="38">
        <f t="shared" si="6"/>
        <v>0</v>
      </c>
      <c r="M38" s="41">
        <f t="shared" si="7"/>
        <v>0</v>
      </c>
      <c r="N38" s="13">
        <v>0.0</v>
      </c>
      <c r="O38" s="36">
        <v>0.0</v>
      </c>
      <c r="P38" s="41">
        <f t="shared" si="8"/>
        <v>0</v>
      </c>
      <c r="Q38" s="13">
        <f>SUMIFS('Business - Dump'!$W:$W,'Business - Dump'!$B:$B,'Portfolio Wise '!$B38,'Business - Dump'!$A:$A,'Portfolio Wise '!$A38)</f>
        <v>0</v>
      </c>
      <c r="R38" s="36">
        <f>SUMIFS('Business - Dump'!$U:$U,'Business - Dump'!$B:$B,'Portfolio Wise '!$B38,'Business - Dump'!$A:$A,'Portfolio Wise '!$A38)/1.18</f>
        <v>0</v>
      </c>
      <c r="S38" s="41">
        <f t="shared" si="9"/>
        <v>0</v>
      </c>
      <c r="T38" s="23">
        <f t="shared" si="10"/>
        <v>0</v>
      </c>
      <c r="U38" s="38">
        <f t="shared" si="11"/>
        <v>0</v>
      </c>
      <c r="V38" s="41">
        <f>SUMIFS('Business - Dump'!$G:$G,'Business - Dump'!$B:$B,'Portfolio Wise '!$B38,'Business - Dump'!$A:$A,'Portfolio Wise '!$A38)</f>
        <v>0</v>
      </c>
      <c r="W38" s="48">
        <f t="shared" si="12"/>
        <v>0</v>
      </c>
      <c r="X38" s="23">
        <f t="shared" ref="X38:Y38" si="64">IFERROR(N38/Q38,0)</f>
        <v>0</v>
      </c>
      <c r="Y38" s="49">
        <f t="shared" si="64"/>
        <v>0</v>
      </c>
      <c r="Z38" s="49">
        <f t="shared" si="14"/>
        <v>0</v>
      </c>
      <c r="AA38" s="23">
        <f t="shared" si="15"/>
        <v>0</v>
      </c>
      <c r="AB38" s="23">
        <f>IFERROR(AVERAGEIFS('Business - Dump'!$O:$O,'Business - Dump'!$B:$B,'Portfolio Wise '!$B38,'Business - Dump'!$A:$A,'Portfolio Wise '!$A38),0)</f>
        <v>0</v>
      </c>
      <c r="AC38" s="49">
        <f>F38/SUMIFS('Campaign - Dump'!$Q:$Q,'Campaign - Dump'!$A:$A,'Portfolio Wise '!$A38)</f>
        <v>0</v>
      </c>
      <c r="AD38" s="49">
        <f t="shared" si="16"/>
        <v>0</v>
      </c>
    </row>
    <row r="39" ht="15.75" customHeight="1">
      <c r="A39" s="32" t="s">
        <v>45</v>
      </c>
      <c r="B39" s="19" t="s">
        <v>205</v>
      </c>
      <c r="C39" s="13">
        <f>SUMIFS('Campaign - Dump'!$N:$N,'Campaign - Dump'!$J:$J,'Portfolio Wise '!$B39,'Campaign - Dump'!$A:$A,'Portfolio Wise '!$A39)</f>
        <v>0</v>
      </c>
      <c r="D39" s="13">
        <f>SUMIFS('Campaign - Dump'!$O:$O,'Campaign - Dump'!$J:$J,'Portfolio Wise '!$B39,'Campaign - Dump'!$A:$A,'Portfolio Wise '!$A39)</f>
        <v>0</v>
      </c>
      <c r="E39" s="23">
        <f t="shared" si="2"/>
        <v>0</v>
      </c>
      <c r="F39" s="36">
        <f>SUMIFS('Campaign - Dump'!$Q:$Q,'Campaign - Dump'!$J:$J,'Portfolio Wise '!$B39,'Campaign - Dump'!$A:$A,'Portfolio Wise '!$A39)</f>
        <v>0</v>
      </c>
      <c r="G39" s="38">
        <f t="shared" si="3"/>
        <v>0</v>
      </c>
      <c r="H39" s="41">
        <f>SUMIFS('Campaign - Dump'!$T:$T,'Campaign - Dump'!$J:$J,'Portfolio Wise '!$B39,'Campaign - Dump'!$A:$A,'Portfolio Wise '!$A39)</f>
        <v>0</v>
      </c>
      <c r="I39" s="23">
        <f t="shared" si="4"/>
        <v>0</v>
      </c>
      <c r="J39" s="36">
        <f>SUMIFS('Campaign - Dump'!$U:$U,'Campaign - Dump'!$J:$J,'Portfolio Wise '!$B39,'Campaign - Dump'!$A:$A,'Portfolio Wise '!$A39)</f>
        <v>0</v>
      </c>
      <c r="K39" s="23">
        <f t="shared" si="5"/>
        <v>0</v>
      </c>
      <c r="L39" s="38">
        <f t="shared" si="6"/>
        <v>0</v>
      </c>
      <c r="M39" s="41">
        <f t="shared" si="7"/>
        <v>0</v>
      </c>
      <c r="N39" s="13">
        <f t="shared" ref="N39:N48" si="66">IFERROR(Q39-H39,0)</f>
        <v>1</v>
      </c>
      <c r="O39" s="36">
        <f t="shared" ref="O39:O48" si="67">IFERROR(R39-J39,0)</f>
        <v>40669.49153</v>
      </c>
      <c r="P39" s="41">
        <f t="shared" si="8"/>
        <v>40669.49153</v>
      </c>
      <c r="Q39" s="13">
        <f>SUMIFS('Business - Dump'!$W:$W,'Business - Dump'!$B:$B,'Portfolio Wise '!$B39,'Business - Dump'!$A:$A,'Portfolio Wise '!$A39)</f>
        <v>1</v>
      </c>
      <c r="R39" s="36">
        <f>SUMIFS('Business - Dump'!$U:$U,'Business - Dump'!$B:$B,'Portfolio Wise '!$B39,'Business - Dump'!$A:$A,'Portfolio Wise '!$A39)/1.18</f>
        <v>40669.49153</v>
      </c>
      <c r="S39" s="41">
        <f t="shared" si="9"/>
        <v>40669.49153</v>
      </c>
      <c r="T39" s="23">
        <f t="shared" si="10"/>
        <v>0</v>
      </c>
      <c r="U39" s="38">
        <f t="shared" si="11"/>
        <v>0</v>
      </c>
      <c r="V39" s="41">
        <f>SUMIFS('Business - Dump'!$G:$G,'Business - Dump'!$B:$B,'Portfolio Wise '!$B39,'Business - Dump'!$A:$A,'Portfolio Wise '!$A39)</f>
        <v>129</v>
      </c>
      <c r="W39" s="48">
        <f t="shared" si="12"/>
        <v>0.007751937984</v>
      </c>
      <c r="X39" s="23">
        <f t="shared" ref="X39:Y39" si="65">IFERROR(N39/Q39,0)</f>
        <v>1</v>
      </c>
      <c r="Y39" s="49">
        <f t="shared" si="65"/>
        <v>1</v>
      </c>
      <c r="Z39" s="49">
        <f t="shared" si="14"/>
        <v>0</v>
      </c>
      <c r="AA39" s="23">
        <f t="shared" si="15"/>
        <v>1</v>
      </c>
      <c r="AB39" s="23">
        <f>IFERROR(AVERAGEIFS('Business - Dump'!$O:$O,'Business - Dump'!$B:$B,'Portfolio Wise '!$B39,'Business - Dump'!$A:$A,'Portfolio Wise '!$A39),0)</f>
        <v>0.8607</v>
      </c>
      <c r="AC39" s="49">
        <f>F39/SUMIFS('Campaign - Dump'!$Q:$Q,'Campaign - Dump'!$A:$A,'Portfolio Wise '!$A39)</f>
        <v>0</v>
      </c>
      <c r="AD39" s="49">
        <f t="shared" si="16"/>
        <v>0</v>
      </c>
    </row>
    <row r="40" ht="15.75" customHeight="1">
      <c r="A40" s="32" t="s">
        <v>45</v>
      </c>
      <c r="B40" s="10" t="s">
        <v>211</v>
      </c>
      <c r="C40" s="13">
        <f>SUMIFS('Campaign - Dump'!$N:$N,'Campaign - Dump'!$J:$J,'Portfolio Wise '!$B40,'Campaign - Dump'!$A:$A,'Portfolio Wise '!$A40)</f>
        <v>0</v>
      </c>
      <c r="D40" s="13">
        <f>SUMIFS('Campaign - Dump'!$O:$O,'Campaign - Dump'!$J:$J,'Portfolio Wise '!$B40,'Campaign - Dump'!$A:$A,'Portfolio Wise '!$A40)</f>
        <v>0</v>
      </c>
      <c r="E40" s="23">
        <f t="shared" si="2"/>
        <v>0</v>
      </c>
      <c r="F40" s="36">
        <f>SUMIFS('Campaign - Dump'!$Q:$Q,'Campaign - Dump'!$J:$J,'Portfolio Wise '!$B40,'Campaign - Dump'!$A:$A,'Portfolio Wise '!$A40)</f>
        <v>0</v>
      </c>
      <c r="G40" s="38">
        <f t="shared" si="3"/>
        <v>0</v>
      </c>
      <c r="H40" s="41">
        <f>SUMIFS('Campaign - Dump'!$T:$T,'Campaign - Dump'!$J:$J,'Portfolio Wise '!$B40,'Campaign - Dump'!$A:$A,'Portfolio Wise '!$A40)</f>
        <v>0</v>
      </c>
      <c r="I40" s="23">
        <f t="shared" si="4"/>
        <v>0</v>
      </c>
      <c r="J40" s="36">
        <f>SUMIFS('Campaign - Dump'!$U:$U,'Campaign - Dump'!$J:$J,'Portfolio Wise '!$B40,'Campaign - Dump'!$A:$A,'Portfolio Wise '!$A40)</f>
        <v>0</v>
      </c>
      <c r="K40" s="23">
        <f t="shared" si="5"/>
        <v>0</v>
      </c>
      <c r="L40" s="38">
        <f t="shared" si="6"/>
        <v>0</v>
      </c>
      <c r="M40" s="41">
        <f t="shared" si="7"/>
        <v>0</v>
      </c>
      <c r="N40" s="13">
        <f t="shared" si="66"/>
        <v>9</v>
      </c>
      <c r="O40" s="36">
        <f t="shared" si="67"/>
        <v>9305.084746</v>
      </c>
      <c r="P40" s="41">
        <f t="shared" si="8"/>
        <v>1033.898305</v>
      </c>
      <c r="Q40" s="13">
        <f>SUMIFS('Business - Dump'!$W:$W,'Business - Dump'!$B:$B,'Portfolio Wise '!$B40,'Business - Dump'!$A:$A,'Portfolio Wise '!$A40)</f>
        <v>9</v>
      </c>
      <c r="R40" s="36">
        <f>SUMIFS('Business - Dump'!$U:$U,'Business - Dump'!$B:$B,'Portfolio Wise '!$B40,'Business - Dump'!$A:$A,'Portfolio Wise '!$A40)/1.18</f>
        <v>9305.084746</v>
      </c>
      <c r="S40" s="41">
        <f t="shared" si="9"/>
        <v>1033.898305</v>
      </c>
      <c r="T40" s="23">
        <f t="shared" si="10"/>
        <v>0</v>
      </c>
      <c r="U40" s="38">
        <f t="shared" si="11"/>
        <v>0</v>
      </c>
      <c r="V40" s="41">
        <f>SUMIFS('Business - Dump'!$G:$G,'Business - Dump'!$B:$B,'Portfolio Wise '!$B40,'Business - Dump'!$A:$A,'Portfolio Wise '!$A40)</f>
        <v>166</v>
      </c>
      <c r="W40" s="48">
        <f t="shared" si="12"/>
        <v>0.05421686747</v>
      </c>
      <c r="X40" s="23">
        <f t="shared" ref="X40:Y40" si="68">IFERROR(N40/Q40,0)</f>
        <v>1</v>
      </c>
      <c r="Y40" s="49">
        <f t="shared" si="68"/>
        <v>1</v>
      </c>
      <c r="Z40" s="49">
        <f t="shared" si="14"/>
        <v>0</v>
      </c>
      <c r="AA40" s="23">
        <f t="shared" si="15"/>
        <v>1</v>
      </c>
      <c r="AB40" s="23">
        <f>IFERROR(AVERAGEIFS('Business - Dump'!$O:$O,'Business - Dump'!$B:$B,'Portfolio Wise '!$B40,'Business - Dump'!$A:$A,'Portfolio Wise '!$A40),0)</f>
        <v>0.9185</v>
      </c>
      <c r="AC40" s="49">
        <f>F40/SUMIFS('Campaign - Dump'!$Q:$Q,'Campaign - Dump'!$A:$A,'Portfolio Wise '!$A40)</f>
        <v>0</v>
      </c>
      <c r="AD40" s="49">
        <f t="shared" si="16"/>
        <v>0</v>
      </c>
    </row>
    <row r="41" ht="15.75" customHeight="1">
      <c r="A41" s="32" t="s">
        <v>45</v>
      </c>
      <c r="B41" s="19" t="s">
        <v>217</v>
      </c>
      <c r="C41" s="13">
        <f>SUMIFS('Campaign - Dump'!$N:$N,'Campaign - Dump'!$J:$J,'Portfolio Wise '!$B41,'Campaign - Dump'!$A:$A,'Portfolio Wise '!$A41)</f>
        <v>0</v>
      </c>
      <c r="D41" s="13">
        <f>SUMIFS('Campaign - Dump'!$O:$O,'Campaign - Dump'!$J:$J,'Portfolio Wise '!$B41,'Campaign - Dump'!$A:$A,'Portfolio Wise '!$A41)</f>
        <v>0</v>
      </c>
      <c r="E41" s="23">
        <f t="shared" si="2"/>
        <v>0</v>
      </c>
      <c r="F41" s="36">
        <f>SUMIFS('Campaign - Dump'!$Q:$Q,'Campaign - Dump'!$J:$J,'Portfolio Wise '!$B41,'Campaign - Dump'!$A:$A,'Portfolio Wise '!$A41)</f>
        <v>0</v>
      </c>
      <c r="G41" s="38">
        <f t="shared" si="3"/>
        <v>0</v>
      </c>
      <c r="H41" s="41">
        <f>SUMIFS('Campaign - Dump'!$T:$T,'Campaign - Dump'!$J:$J,'Portfolio Wise '!$B41,'Campaign - Dump'!$A:$A,'Portfolio Wise '!$A41)</f>
        <v>0</v>
      </c>
      <c r="I41" s="23">
        <f t="shared" si="4"/>
        <v>0</v>
      </c>
      <c r="J41" s="36">
        <f>SUMIFS('Campaign - Dump'!$U:$U,'Campaign - Dump'!$J:$J,'Portfolio Wise '!$B41,'Campaign - Dump'!$A:$A,'Portfolio Wise '!$A41)</f>
        <v>0</v>
      </c>
      <c r="K41" s="23">
        <f t="shared" si="5"/>
        <v>0</v>
      </c>
      <c r="L41" s="38">
        <f t="shared" si="6"/>
        <v>0</v>
      </c>
      <c r="M41" s="41">
        <f t="shared" si="7"/>
        <v>0</v>
      </c>
      <c r="N41" s="13">
        <f t="shared" si="66"/>
        <v>4</v>
      </c>
      <c r="O41" s="36">
        <f t="shared" si="67"/>
        <v>4491.525424</v>
      </c>
      <c r="P41" s="41">
        <f t="shared" si="8"/>
        <v>1122.881356</v>
      </c>
      <c r="Q41" s="13">
        <f>SUMIFS('Business - Dump'!$W:$W,'Business - Dump'!$B:$B,'Portfolio Wise '!$B41,'Business - Dump'!$A:$A,'Portfolio Wise '!$A41)</f>
        <v>4</v>
      </c>
      <c r="R41" s="36">
        <f>SUMIFS('Business - Dump'!$U:$U,'Business - Dump'!$B:$B,'Portfolio Wise '!$B41,'Business - Dump'!$A:$A,'Portfolio Wise '!$A41)/1.18</f>
        <v>4491.525424</v>
      </c>
      <c r="S41" s="41">
        <f t="shared" si="9"/>
        <v>1122.881356</v>
      </c>
      <c r="T41" s="23">
        <f t="shared" si="10"/>
        <v>0</v>
      </c>
      <c r="U41" s="38">
        <f t="shared" si="11"/>
        <v>0</v>
      </c>
      <c r="V41" s="41">
        <f>SUMIFS('Business - Dump'!$G:$G,'Business - Dump'!$B:$B,'Portfolio Wise '!$B41,'Business - Dump'!$A:$A,'Portfolio Wise '!$A41)</f>
        <v>341</v>
      </c>
      <c r="W41" s="48">
        <f t="shared" si="12"/>
        <v>0.01173020528</v>
      </c>
      <c r="X41" s="23">
        <f t="shared" ref="X41:Y41" si="69">IFERROR(N41/Q41,0)</f>
        <v>1</v>
      </c>
      <c r="Y41" s="49">
        <f t="shared" si="69"/>
        <v>1</v>
      </c>
      <c r="Z41" s="49">
        <f t="shared" si="14"/>
        <v>0</v>
      </c>
      <c r="AA41" s="23">
        <f t="shared" si="15"/>
        <v>1</v>
      </c>
      <c r="AB41" s="23">
        <f>IFERROR(AVERAGEIFS('Business - Dump'!$O:$O,'Business - Dump'!$B:$B,'Portfolio Wise '!$B41,'Business - Dump'!$A:$A,'Portfolio Wise '!$A41),0)</f>
        <v>0.8759</v>
      </c>
      <c r="AC41" s="49">
        <f>F41/SUMIFS('Campaign - Dump'!$Q:$Q,'Campaign - Dump'!$A:$A,'Portfolio Wise '!$A41)</f>
        <v>0</v>
      </c>
      <c r="AD41" s="49">
        <f t="shared" si="16"/>
        <v>0</v>
      </c>
    </row>
    <row r="42" ht="15.75" customHeight="1">
      <c r="A42" s="32" t="s">
        <v>45</v>
      </c>
      <c r="B42" s="33" t="s">
        <v>230</v>
      </c>
      <c r="C42" s="13">
        <f>SUMIFS('Campaign - Dump'!$N:$N,'Campaign - Dump'!$J:$J,'Portfolio Wise '!$B42,'Campaign - Dump'!$A:$A,'Portfolio Wise '!$A42)</f>
        <v>0</v>
      </c>
      <c r="D42" s="13">
        <f>SUMIFS('Campaign - Dump'!$O:$O,'Campaign - Dump'!$J:$J,'Portfolio Wise '!$B42,'Campaign - Dump'!$A:$A,'Portfolio Wise '!$A42)</f>
        <v>0</v>
      </c>
      <c r="E42" s="23">
        <f t="shared" si="2"/>
        <v>0</v>
      </c>
      <c r="F42" s="36">
        <f>SUMIFS('Campaign - Dump'!$Q:$Q,'Campaign - Dump'!$J:$J,'Portfolio Wise '!$B42,'Campaign - Dump'!$A:$A,'Portfolio Wise '!$A42)</f>
        <v>0</v>
      </c>
      <c r="G42" s="38">
        <f t="shared" si="3"/>
        <v>0</v>
      </c>
      <c r="H42" s="41">
        <f>SUMIFS('Campaign - Dump'!$T:$T,'Campaign - Dump'!$J:$J,'Portfolio Wise '!$B42,'Campaign - Dump'!$A:$A,'Portfolio Wise '!$A42)</f>
        <v>0</v>
      </c>
      <c r="I42" s="23">
        <f t="shared" si="4"/>
        <v>0</v>
      </c>
      <c r="J42" s="36">
        <f>SUMIFS('Campaign - Dump'!$U:$U,'Campaign - Dump'!$J:$J,'Portfolio Wise '!$B42,'Campaign - Dump'!$A:$A,'Portfolio Wise '!$A42)</f>
        <v>0</v>
      </c>
      <c r="K42" s="23">
        <f t="shared" si="5"/>
        <v>0</v>
      </c>
      <c r="L42" s="38">
        <f t="shared" si="6"/>
        <v>0</v>
      </c>
      <c r="M42" s="41">
        <f t="shared" si="7"/>
        <v>0</v>
      </c>
      <c r="N42" s="13">
        <f t="shared" si="66"/>
        <v>0</v>
      </c>
      <c r="O42" s="36">
        <f t="shared" si="67"/>
        <v>0</v>
      </c>
      <c r="P42" s="41">
        <f t="shared" si="8"/>
        <v>0</v>
      </c>
      <c r="Q42" s="13">
        <f>SUMIFS('Business - Dump'!$W:$W,'Business - Dump'!$B:$B,'Portfolio Wise '!$B42,'Business - Dump'!$A:$A,'Portfolio Wise '!$A42)</f>
        <v>0</v>
      </c>
      <c r="R42" s="36">
        <f>SUMIFS('Business - Dump'!$U:$U,'Business - Dump'!$B:$B,'Portfolio Wise '!$B42,'Business - Dump'!$A:$A,'Portfolio Wise '!$A42)/1.18</f>
        <v>0</v>
      </c>
      <c r="S42" s="41">
        <f t="shared" si="9"/>
        <v>0</v>
      </c>
      <c r="T42" s="23">
        <f t="shared" si="10"/>
        <v>0</v>
      </c>
      <c r="U42" s="38">
        <f t="shared" si="11"/>
        <v>0</v>
      </c>
      <c r="V42" s="41">
        <f>SUMIFS('Business - Dump'!$G:$G,'Business - Dump'!$B:$B,'Portfolio Wise '!$B42,'Business - Dump'!$A:$A,'Portfolio Wise '!$A42)</f>
        <v>0</v>
      </c>
      <c r="W42" s="23">
        <f t="shared" si="12"/>
        <v>0</v>
      </c>
      <c r="X42" s="23">
        <f t="shared" ref="X42:Y42" si="70">IFERROR(N42/Q42,0)</f>
        <v>0</v>
      </c>
      <c r="Y42" s="49">
        <f t="shared" si="70"/>
        <v>0</v>
      </c>
      <c r="Z42" s="49">
        <f t="shared" si="14"/>
        <v>0</v>
      </c>
      <c r="AA42" s="23">
        <f t="shared" si="15"/>
        <v>0</v>
      </c>
      <c r="AB42" s="23">
        <f>IFERROR(AVERAGEIFS('Business - Dump'!$O:$O,'Business - Dump'!$B:$B,'Portfolio Wise '!$B42,'Business - Dump'!$A:$A,'Portfolio Wise '!$A42),0)</f>
        <v>0</v>
      </c>
      <c r="AC42" s="49">
        <f>F42/SUMIFS('Campaign - Dump'!$Q:$Q,'Campaign - Dump'!$A:$A,'Portfolio Wise '!$A42)</f>
        <v>0</v>
      </c>
      <c r="AD42" s="49">
        <f t="shared" si="16"/>
        <v>0</v>
      </c>
    </row>
    <row r="43" ht="15.75" customHeight="1">
      <c r="A43" s="32" t="s">
        <v>45</v>
      </c>
      <c r="B43" s="33" t="s">
        <v>230</v>
      </c>
      <c r="C43" s="13">
        <f>SUMIFS('Campaign - Dump'!$N:$N,'Campaign - Dump'!$J:$J,'Portfolio Wise '!$B43,'Campaign - Dump'!$A:$A,'Portfolio Wise '!$A43)</f>
        <v>0</v>
      </c>
      <c r="D43" s="13">
        <f>SUMIFS('Campaign - Dump'!$O:$O,'Campaign - Dump'!$J:$J,'Portfolio Wise '!$B43,'Campaign - Dump'!$A:$A,'Portfolio Wise '!$A43)</f>
        <v>0</v>
      </c>
      <c r="E43" s="23">
        <f t="shared" si="2"/>
        <v>0</v>
      </c>
      <c r="F43" s="36">
        <f>SUMIFS('Campaign - Dump'!$Q:$Q,'Campaign - Dump'!$J:$J,'Portfolio Wise '!$B43,'Campaign - Dump'!$A:$A,'Portfolio Wise '!$A43)</f>
        <v>0</v>
      </c>
      <c r="G43" s="38">
        <f t="shared" si="3"/>
        <v>0</v>
      </c>
      <c r="H43" s="41">
        <f>SUMIFS('Campaign - Dump'!$T:$T,'Campaign - Dump'!$J:$J,'Portfolio Wise '!$B43,'Campaign - Dump'!$A:$A,'Portfolio Wise '!$A43)</f>
        <v>0</v>
      </c>
      <c r="I43" s="23">
        <f t="shared" si="4"/>
        <v>0</v>
      </c>
      <c r="J43" s="36">
        <f>SUMIFS('Campaign - Dump'!$U:$U,'Campaign - Dump'!$J:$J,'Portfolio Wise '!$B43,'Campaign - Dump'!$A:$A,'Portfolio Wise '!$A43)</f>
        <v>0</v>
      </c>
      <c r="K43" s="23">
        <f t="shared" si="5"/>
        <v>0</v>
      </c>
      <c r="L43" s="38">
        <f t="shared" si="6"/>
        <v>0</v>
      </c>
      <c r="M43" s="41">
        <f t="shared" si="7"/>
        <v>0</v>
      </c>
      <c r="N43" s="13">
        <f t="shared" si="66"/>
        <v>0</v>
      </c>
      <c r="O43" s="36">
        <f t="shared" si="67"/>
        <v>0</v>
      </c>
      <c r="P43" s="41">
        <f t="shared" si="8"/>
        <v>0</v>
      </c>
      <c r="Q43" s="13">
        <f>SUMIFS('Business - Dump'!$W:$W,'Business - Dump'!$B:$B,'Portfolio Wise '!$B43,'Business - Dump'!$A:$A,'Portfolio Wise '!$A43)</f>
        <v>0</v>
      </c>
      <c r="R43" s="36">
        <f>SUMIFS('Business - Dump'!$U:$U,'Business - Dump'!$B:$B,'Portfolio Wise '!$B43,'Business - Dump'!$A:$A,'Portfolio Wise '!$A43)/1.18</f>
        <v>0</v>
      </c>
      <c r="S43" s="41">
        <f t="shared" si="9"/>
        <v>0</v>
      </c>
      <c r="T43" s="23">
        <f t="shared" si="10"/>
        <v>0</v>
      </c>
      <c r="U43" s="38">
        <f t="shared" si="11"/>
        <v>0</v>
      </c>
      <c r="V43" s="41">
        <f>SUMIFS('Business - Dump'!$G:$G,'Business - Dump'!$B:$B,'Portfolio Wise '!$B43,'Business - Dump'!$A:$A,'Portfolio Wise '!$A43)</f>
        <v>0</v>
      </c>
      <c r="W43" s="23">
        <f t="shared" si="12"/>
        <v>0</v>
      </c>
      <c r="X43" s="23">
        <f t="shared" ref="X43:Y43" si="71">IFERROR(N43/Q43,0)</f>
        <v>0</v>
      </c>
      <c r="Y43" s="49">
        <f t="shared" si="71"/>
        <v>0</v>
      </c>
      <c r="Z43" s="49">
        <f t="shared" si="14"/>
        <v>0</v>
      </c>
      <c r="AA43" s="23">
        <f t="shared" si="15"/>
        <v>0</v>
      </c>
      <c r="AB43" s="23">
        <f>IFERROR(AVERAGEIFS('Business - Dump'!$O:$O,'Business - Dump'!$B:$B,'Portfolio Wise '!$B43,'Business - Dump'!$A:$A,'Portfolio Wise '!$A43),0)</f>
        <v>0</v>
      </c>
      <c r="AC43" s="49">
        <f>F43/SUMIFS('Campaign - Dump'!$Q:$Q,'Campaign - Dump'!$A:$A,'Portfolio Wise '!$A43)</f>
        <v>0</v>
      </c>
      <c r="AD43" s="49">
        <f t="shared" si="16"/>
        <v>0</v>
      </c>
    </row>
    <row r="44" ht="15.75" customHeight="1">
      <c r="A44" s="32" t="s">
        <v>45</v>
      </c>
      <c r="B44" s="19" t="s">
        <v>232</v>
      </c>
      <c r="C44" s="13">
        <f>SUMIFS('Campaign - Dump'!$N:$N,'Campaign - Dump'!$J:$J,'Portfolio Wise '!$B44,'Campaign - Dump'!$A:$A,'Portfolio Wise '!$A44)</f>
        <v>0</v>
      </c>
      <c r="D44" s="13">
        <f>SUMIFS('Campaign - Dump'!$O:$O,'Campaign - Dump'!$J:$J,'Portfolio Wise '!$B44,'Campaign - Dump'!$A:$A,'Portfolio Wise '!$A44)</f>
        <v>0</v>
      </c>
      <c r="E44" s="23">
        <f t="shared" si="2"/>
        <v>0</v>
      </c>
      <c r="F44" s="36">
        <f>SUMIFS('Campaign - Dump'!$Q:$Q,'Campaign - Dump'!$J:$J,'Portfolio Wise '!$B44,'Campaign - Dump'!$A:$A,'Portfolio Wise '!$A44)</f>
        <v>0</v>
      </c>
      <c r="G44" s="38">
        <f t="shared" si="3"/>
        <v>0</v>
      </c>
      <c r="H44" s="41">
        <f>SUMIFS('Campaign - Dump'!$T:$T,'Campaign - Dump'!$J:$J,'Portfolio Wise '!$B44,'Campaign - Dump'!$A:$A,'Portfolio Wise '!$A44)</f>
        <v>0</v>
      </c>
      <c r="I44" s="23">
        <f t="shared" si="4"/>
        <v>0</v>
      </c>
      <c r="J44" s="36">
        <f>SUMIFS('Campaign - Dump'!$U:$U,'Campaign - Dump'!$J:$J,'Portfolio Wise '!$B44,'Campaign - Dump'!$A:$A,'Portfolio Wise '!$A44)</f>
        <v>0</v>
      </c>
      <c r="K44" s="23">
        <f t="shared" si="5"/>
        <v>0</v>
      </c>
      <c r="L44" s="38">
        <f t="shared" si="6"/>
        <v>0</v>
      </c>
      <c r="M44" s="41">
        <f t="shared" si="7"/>
        <v>0</v>
      </c>
      <c r="N44" s="13">
        <f t="shared" si="66"/>
        <v>52</v>
      </c>
      <c r="O44" s="36">
        <f t="shared" si="67"/>
        <v>754201.6949</v>
      </c>
      <c r="P44" s="41">
        <f t="shared" si="8"/>
        <v>14503.87875</v>
      </c>
      <c r="Q44" s="13">
        <f>SUMIFS('Business - Dump'!$W:$W,'Business - Dump'!$B:$B,'Portfolio Wise '!$B44,'Business - Dump'!$A:$A,'Portfolio Wise '!$A44)</f>
        <v>52</v>
      </c>
      <c r="R44" s="36">
        <f>SUMIFS('Business - Dump'!$U:$U,'Business - Dump'!$B:$B,'Portfolio Wise '!$B44,'Business - Dump'!$A:$A,'Portfolio Wise '!$A44)/1.18</f>
        <v>754201.6949</v>
      </c>
      <c r="S44" s="41">
        <f t="shared" si="9"/>
        <v>14503.87875</v>
      </c>
      <c r="T44" s="23">
        <f t="shared" si="10"/>
        <v>0</v>
      </c>
      <c r="U44" s="38">
        <f t="shared" si="11"/>
        <v>0</v>
      </c>
      <c r="V44" s="41">
        <f>SUMIFS('Business - Dump'!$G:$G,'Business - Dump'!$B:$B,'Portfolio Wise '!$B44,'Business - Dump'!$A:$A,'Portfolio Wise '!$A44)</f>
        <v>7682</v>
      </c>
      <c r="W44" s="48">
        <f t="shared" si="12"/>
        <v>0.006769070555</v>
      </c>
      <c r="X44" s="23">
        <f t="shared" ref="X44:Y44" si="72">IFERROR(N44/Q44,0)</f>
        <v>1</v>
      </c>
      <c r="Y44" s="49">
        <f t="shared" si="72"/>
        <v>1</v>
      </c>
      <c r="Z44" s="49">
        <f t="shared" si="14"/>
        <v>0</v>
      </c>
      <c r="AA44" s="23">
        <f t="shared" si="15"/>
        <v>1</v>
      </c>
      <c r="AB44" s="23">
        <f>IFERROR(AVERAGEIFS('Business - Dump'!$O:$O,'Business - Dump'!$B:$B,'Portfolio Wise '!$B44,'Business - Dump'!$A:$A,'Portfolio Wise '!$A44),0)</f>
        <v>0.88038</v>
      </c>
      <c r="AC44" s="49">
        <f>F44/SUMIFS('Campaign - Dump'!$Q:$Q,'Campaign - Dump'!$A:$A,'Portfolio Wise '!$A44)</f>
        <v>0</v>
      </c>
      <c r="AD44" s="49">
        <f t="shared" si="16"/>
        <v>0</v>
      </c>
    </row>
    <row r="45" ht="15.75" customHeight="1">
      <c r="A45" s="32" t="s">
        <v>45</v>
      </c>
      <c r="B45" s="51" t="s">
        <v>239</v>
      </c>
      <c r="C45" s="13">
        <f>SUMIFS('Campaign - Dump'!$N:$N,'Campaign - Dump'!$J:$J,'Portfolio Wise '!$B45,'Campaign - Dump'!$A:$A,'Portfolio Wise '!$A45)</f>
        <v>0</v>
      </c>
      <c r="D45" s="13">
        <f>SUMIFS('Campaign - Dump'!$O:$O,'Campaign - Dump'!$J:$J,'Portfolio Wise '!$B45,'Campaign - Dump'!$A:$A,'Portfolio Wise '!$A45)</f>
        <v>0</v>
      </c>
      <c r="E45" s="23">
        <f t="shared" si="2"/>
        <v>0</v>
      </c>
      <c r="F45" s="36">
        <f>SUMIFS('Campaign - Dump'!$Q:$Q,'Campaign - Dump'!$J:$J,'Portfolio Wise '!$B45,'Campaign - Dump'!$A:$A,'Portfolio Wise '!$A45)</f>
        <v>0</v>
      </c>
      <c r="G45" s="38">
        <f t="shared" si="3"/>
        <v>0</v>
      </c>
      <c r="H45" s="41">
        <f>SUMIFS('Campaign - Dump'!$T:$T,'Campaign - Dump'!$J:$J,'Portfolio Wise '!$B45,'Campaign - Dump'!$A:$A,'Portfolio Wise '!$A45)</f>
        <v>0</v>
      </c>
      <c r="I45" s="23">
        <f t="shared" si="4"/>
        <v>0</v>
      </c>
      <c r="J45" s="36">
        <f>SUMIFS('Campaign - Dump'!$U:$U,'Campaign - Dump'!$J:$J,'Portfolio Wise '!$B45,'Campaign - Dump'!$A:$A,'Portfolio Wise '!$A45)</f>
        <v>0</v>
      </c>
      <c r="K45" s="23">
        <f t="shared" si="5"/>
        <v>0</v>
      </c>
      <c r="L45" s="38">
        <f t="shared" si="6"/>
        <v>0</v>
      </c>
      <c r="M45" s="41">
        <f t="shared" si="7"/>
        <v>0</v>
      </c>
      <c r="N45" s="13">
        <f t="shared" si="66"/>
        <v>0</v>
      </c>
      <c r="O45" s="36">
        <f t="shared" si="67"/>
        <v>0</v>
      </c>
      <c r="P45" s="41">
        <f t="shared" si="8"/>
        <v>0</v>
      </c>
      <c r="Q45" s="13">
        <f>SUMIFS('Business - Dump'!$W:$W,'Business - Dump'!$B:$B,'Portfolio Wise '!$B45,'Business - Dump'!$A:$A,'Portfolio Wise '!$A45)</f>
        <v>0</v>
      </c>
      <c r="R45" s="36">
        <f>SUMIFS('Business - Dump'!$U:$U,'Business - Dump'!$B:$B,'Portfolio Wise '!$B45,'Business - Dump'!$A:$A,'Portfolio Wise '!$A45)/1.18</f>
        <v>0</v>
      </c>
      <c r="S45" s="41">
        <f t="shared" si="9"/>
        <v>0</v>
      </c>
      <c r="T45" s="23">
        <f t="shared" si="10"/>
        <v>0</v>
      </c>
      <c r="U45" s="38">
        <f t="shared" si="11"/>
        <v>0</v>
      </c>
      <c r="V45" s="41">
        <f>SUMIFS('Business - Dump'!$G:$G,'Business - Dump'!$B:$B,'Portfolio Wise '!$B45,'Business - Dump'!$A:$A,'Portfolio Wise '!$A45)</f>
        <v>0</v>
      </c>
      <c r="W45" s="48">
        <f t="shared" si="12"/>
        <v>0</v>
      </c>
      <c r="X45" s="23">
        <f t="shared" ref="X45:Y45" si="73">IFERROR(N45/Q45,0)</f>
        <v>0</v>
      </c>
      <c r="Y45" s="49">
        <f t="shared" si="73"/>
        <v>0</v>
      </c>
      <c r="Z45" s="49">
        <f t="shared" si="14"/>
        <v>0</v>
      </c>
      <c r="AA45" s="23">
        <f t="shared" si="15"/>
        <v>0</v>
      </c>
      <c r="AB45" s="23">
        <f>IFERROR(AVERAGEIFS('Business - Dump'!$O:$O,'Business - Dump'!$B:$B,'Portfolio Wise '!$B45,'Business - Dump'!$A:$A,'Portfolio Wise '!$A45),0)</f>
        <v>0</v>
      </c>
      <c r="AC45" s="49">
        <f>F45/SUMIFS('Campaign - Dump'!$Q:$Q,'Campaign - Dump'!$A:$A,'Portfolio Wise '!$A45)</f>
        <v>0</v>
      </c>
      <c r="AD45" s="49">
        <f t="shared" si="16"/>
        <v>0</v>
      </c>
    </row>
    <row r="46" ht="15.75" customHeight="1">
      <c r="A46" s="32" t="s">
        <v>45</v>
      </c>
      <c r="B46" s="19" t="s">
        <v>240</v>
      </c>
      <c r="C46" s="13">
        <f>SUMIFS('Campaign - Dump'!$N:$N,'Campaign - Dump'!$J:$J,'Portfolio Wise '!$B46,'Campaign - Dump'!$A:$A,'Portfolio Wise '!$A46)</f>
        <v>0</v>
      </c>
      <c r="D46" s="13">
        <f>SUMIFS('Campaign - Dump'!$O:$O,'Campaign - Dump'!$J:$J,'Portfolio Wise '!$B46,'Campaign - Dump'!$A:$A,'Portfolio Wise '!$A46)</f>
        <v>0</v>
      </c>
      <c r="E46" s="23">
        <f t="shared" si="2"/>
        <v>0</v>
      </c>
      <c r="F46" s="36">
        <f>SUMIFS('Campaign - Dump'!$Q:$Q,'Campaign - Dump'!$J:$J,'Portfolio Wise '!$B46,'Campaign - Dump'!$A:$A,'Portfolio Wise '!$A46)</f>
        <v>0</v>
      </c>
      <c r="G46" s="38">
        <f t="shared" si="3"/>
        <v>0</v>
      </c>
      <c r="H46" s="41">
        <f>SUMIFS('Campaign - Dump'!$T:$T,'Campaign - Dump'!$J:$J,'Portfolio Wise '!$B46,'Campaign - Dump'!$A:$A,'Portfolio Wise '!$A46)</f>
        <v>0</v>
      </c>
      <c r="I46" s="23">
        <f t="shared" si="4"/>
        <v>0</v>
      </c>
      <c r="J46" s="36">
        <f>SUMIFS('Campaign - Dump'!$U:$U,'Campaign - Dump'!$J:$J,'Portfolio Wise '!$B46,'Campaign - Dump'!$A:$A,'Portfolio Wise '!$A46)</f>
        <v>0</v>
      </c>
      <c r="K46" s="23">
        <f t="shared" si="5"/>
        <v>0</v>
      </c>
      <c r="L46" s="38">
        <f t="shared" si="6"/>
        <v>0</v>
      </c>
      <c r="M46" s="41">
        <f t="shared" si="7"/>
        <v>0</v>
      </c>
      <c r="N46" s="13">
        <f t="shared" si="66"/>
        <v>0</v>
      </c>
      <c r="O46" s="36">
        <f t="shared" si="67"/>
        <v>0</v>
      </c>
      <c r="P46" s="41">
        <f t="shared" si="8"/>
        <v>0</v>
      </c>
      <c r="Q46" s="13">
        <f>SUMIFS('Business - Dump'!$W:$W,'Business - Dump'!$B:$B,'Portfolio Wise '!$B46,'Business - Dump'!$A:$A,'Portfolio Wise '!$A46)</f>
        <v>0</v>
      </c>
      <c r="R46" s="36">
        <f>SUMIFS('Business - Dump'!$U:$U,'Business - Dump'!$B:$B,'Portfolio Wise '!$B46,'Business - Dump'!$A:$A,'Portfolio Wise '!$A46)/1.18</f>
        <v>0</v>
      </c>
      <c r="S46" s="41">
        <f t="shared" si="9"/>
        <v>0</v>
      </c>
      <c r="T46" s="23">
        <f t="shared" si="10"/>
        <v>0</v>
      </c>
      <c r="U46" s="38">
        <f t="shared" si="11"/>
        <v>0</v>
      </c>
      <c r="V46" s="41">
        <f>SUMIFS('Business - Dump'!$G:$G,'Business - Dump'!$B:$B,'Portfolio Wise '!$B46,'Business - Dump'!$A:$A,'Portfolio Wise '!$A46)</f>
        <v>0</v>
      </c>
      <c r="W46" s="48">
        <f t="shared" si="12"/>
        <v>0</v>
      </c>
      <c r="X46" s="23">
        <f t="shared" ref="X46:Y46" si="74">IFERROR(N46/Q46,0)</f>
        <v>0</v>
      </c>
      <c r="Y46" s="49">
        <f t="shared" si="74"/>
        <v>0</v>
      </c>
      <c r="Z46" s="49">
        <f t="shared" si="14"/>
        <v>0</v>
      </c>
      <c r="AA46" s="23">
        <f t="shared" si="15"/>
        <v>0</v>
      </c>
      <c r="AB46" s="23">
        <f>IFERROR(AVERAGEIFS('Business - Dump'!$O:$O,'Business - Dump'!$B:$B,'Portfolio Wise '!$B46,'Business - Dump'!$A:$A,'Portfolio Wise '!$A46),0)</f>
        <v>0</v>
      </c>
      <c r="AC46" s="49">
        <f>F46/SUMIFS('Campaign - Dump'!$Q:$Q,'Campaign - Dump'!$A:$A,'Portfolio Wise '!$A46)</f>
        <v>0</v>
      </c>
      <c r="AD46" s="49">
        <f t="shared" si="16"/>
        <v>0</v>
      </c>
    </row>
    <row r="47" ht="15.75" customHeight="1">
      <c r="A47" s="32" t="s">
        <v>45</v>
      </c>
      <c r="B47" s="10" t="s">
        <v>241</v>
      </c>
      <c r="C47" s="13">
        <f>SUMIFS('Campaign - Dump'!$N:$N,'Campaign - Dump'!$J:$J,'Portfolio Wise '!$B47,'Campaign - Dump'!$A:$A,'Portfolio Wise '!$A47)</f>
        <v>0</v>
      </c>
      <c r="D47" s="13">
        <f>SUMIFS('Campaign - Dump'!$O:$O,'Campaign - Dump'!$J:$J,'Portfolio Wise '!$B47,'Campaign - Dump'!$A:$A,'Portfolio Wise '!$A47)</f>
        <v>0</v>
      </c>
      <c r="E47" s="23">
        <f t="shared" si="2"/>
        <v>0</v>
      </c>
      <c r="F47" s="36">
        <f>SUMIFS('Campaign - Dump'!$Q:$Q,'Campaign - Dump'!$J:$J,'Portfolio Wise '!$B47,'Campaign - Dump'!$A:$A,'Portfolio Wise '!$A47)</f>
        <v>0</v>
      </c>
      <c r="G47" s="38">
        <f t="shared" si="3"/>
        <v>0</v>
      </c>
      <c r="H47" s="41">
        <f>SUMIFS('Campaign - Dump'!$T:$T,'Campaign - Dump'!$J:$J,'Portfolio Wise '!$B47,'Campaign - Dump'!$A:$A,'Portfolio Wise '!$A47)</f>
        <v>0</v>
      </c>
      <c r="I47" s="23">
        <f t="shared" si="4"/>
        <v>0</v>
      </c>
      <c r="J47" s="36">
        <f>SUMIFS('Campaign - Dump'!$U:$U,'Campaign - Dump'!$J:$J,'Portfolio Wise '!$B47,'Campaign - Dump'!$A:$A,'Portfolio Wise '!$A47)</f>
        <v>0</v>
      </c>
      <c r="K47" s="23">
        <f t="shared" si="5"/>
        <v>0</v>
      </c>
      <c r="L47" s="38">
        <f t="shared" si="6"/>
        <v>0</v>
      </c>
      <c r="M47" s="41">
        <f t="shared" si="7"/>
        <v>0</v>
      </c>
      <c r="N47" s="13">
        <f t="shared" si="66"/>
        <v>4</v>
      </c>
      <c r="O47" s="36">
        <f t="shared" si="67"/>
        <v>8457.627119</v>
      </c>
      <c r="P47" s="41">
        <f t="shared" si="8"/>
        <v>2114.40678</v>
      </c>
      <c r="Q47" s="13">
        <f>SUMIFS('Business - Dump'!$W:$W,'Business - Dump'!$B:$B,'Portfolio Wise '!$B47,'Business - Dump'!$A:$A,'Portfolio Wise '!$A47)</f>
        <v>4</v>
      </c>
      <c r="R47" s="36">
        <f>SUMIFS('Business - Dump'!$U:$U,'Business - Dump'!$B:$B,'Portfolio Wise '!$B47,'Business - Dump'!$A:$A,'Portfolio Wise '!$A47)/1.18</f>
        <v>8457.627119</v>
      </c>
      <c r="S47" s="41">
        <f t="shared" si="9"/>
        <v>2114.40678</v>
      </c>
      <c r="T47" s="23">
        <f t="shared" si="10"/>
        <v>0</v>
      </c>
      <c r="U47" s="38">
        <f t="shared" si="11"/>
        <v>0</v>
      </c>
      <c r="V47" s="41">
        <f>SUMIFS('Business - Dump'!$G:$G,'Business - Dump'!$B:$B,'Portfolio Wise '!$B47,'Business - Dump'!$A:$A,'Portfolio Wise '!$A47)</f>
        <v>95</v>
      </c>
      <c r="W47" s="48">
        <f t="shared" si="12"/>
        <v>0.04210526316</v>
      </c>
      <c r="X47" s="23">
        <f t="shared" ref="X47:Y47" si="75">IFERROR(N47/Q47,0)</f>
        <v>1</v>
      </c>
      <c r="Y47" s="49">
        <f t="shared" si="75"/>
        <v>1</v>
      </c>
      <c r="Z47" s="49">
        <f t="shared" si="14"/>
        <v>0</v>
      </c>
      <c r="AA47" s="23">
        <f t="shared" si="15"/>
        <v>1</v>
      </c>
      <c r="AB47" s="23">
        <f>IFERROR(AVERAGEIFS('Business - Dump'!$O:$O,'Business - Dump'!$B:$B,'Portfolio Wise '!$B47,'Business - Dump'!$A:$A,'Portfolio Wise '!$A47),0)</f>
        <v>0.8295666667</v>
      </c>
      <c r="AC47" s="49">
        <f>F47/SUMIFS('Campaign - Dump'!$Q:$Q,'Campaign - Dump'!$A:$A,'Portfolio Wise '!$A47)</f>
        <v>0</v>
      </c>
      <c r="AD47" s="49">
        <f t="shared" si="16"/>
        <v>0</v>
      </c>
    </row>
    <row r="48" ht="15.75" customHeight="1">
      <c r="A48" s="32" t="s">
        <v>45</v>
      </c>
      <c r="B48" s="19" t="s">
        <v>248</v>
      </c>
      <c r="C48" s="13">
        <f>SUMIFS('Campaign - Dump'!$N:$N,'Campaign - Dump'!$J:$J,'Portfolio Wise '!$B48,'Campaign - Dump'!$A:$A,'Portfolio Wise '!$A48)</f>
        <v>0</v>
      </c>
      <c r="D48" s="13">
        <f>SUMIFS('Campaign - Dump'!$O:$O,'Campaign - Dump'!$J:$J,'Portfolio Wise '!$B48,'Campaign - Dump'!$A:$A,'Portfolio Wise '!$A48)</f>
        <v>0</v>
      </c>
      <c r="E48" s="23">
        <f t="shared" si="2"/>
        <v>0</v>
      </c>
      <c r="F48" s="36">
        <f>SUMIFS('Campaign - Dump'!$Q:$Q,'Campaign - Dump'!$J:$J,'Portfolio Wise '!$B48,'Campaign - Dump'!$A:$A,'Portfolio Wise '!$A48)</f>
        <v>0</v>
      </c>
      <c r="G48" s="38">
        <f t="shared" si="3"/>
        <v>0</v>
      </c>
      <c r="H48" s="41">
        <f>SUMIFS('Campaign - Dump'!$T:$T,'Campaign - Dump'!$J:$J,'Portfolio Wise '!$B48,'Campaign - Dump'!$A:$A,'Portfolio Wise '!$A48)</f>
        <v>0</v>
      </c>
      <c r="I48" s="23">
        <f t="shared" si="4"/>
        <v>0</v>
      </c>
      <c r="J48" s="36">
        <f>SUMIFS('Campaign - Dump'!$U:$U,'Campaign - Dump'!$J:$J,'Portfolio Wise '!$B48,'Campaign - Dump'!$A:$A,'Portfolio Wise '!$A48)</f>
        <v>0</v>
      </c>
      <c r="K48" s="23">
        <f t="shared" si="5"/>
        <v>0</v>
      </c>
      <c r="L48" s="38">
        <f t="shared" si="6"/>
        <v>0</v>
      </c>
      <c r="M48" s="41">
        <f t="shared" si="7"/>
        <v>0</v>
      </c>
      <c r="N48" s="13">
        <f t="shared" si="66"/>
        <v>6</v>
      </c>
      <c r="O48" s="36">
        <f t="shared" si="67"/>
        <v>59661.01695</v>
      </c>
      <c r="P48" s="41">
        <f t="shared" si="8"/>
        <v>9943.502825</v>
      </c>
      <c r="Q48" s="13">
        <f>SUMIFS('Business - Dump'!$W:$W,'Business - Dump'!$B:$B,'Portfolio Wise '!$B48,'Business - Dump'!$A:$A,'Portfolio Wise '!$A48)</f>
        <v>6</v>
      </c>
      <c r="R48" s="36">
        <f>SUMIFS('Business - Dump'!$U:$U,'Business - Dump'!$B:$B,'Portfolio Wise '!$B48,'Business - Dump'!$A:$A,'Portfolio Wise '!$A48)/1.18</f>
        <v>59661.01695</v>
      </c>
      <c r="S48" s="41">
        <f t="shared" si="9"/>
        <v>9943.502825</v>
      </c>
      <c r="T48" s="23">
        <f t="shared" si="10"/>
        <v>0</v>
      </c>
      <c r="U48" s="38">
        <f t="shared" si="11"/>
        <v>0</v>
      </c>
      <c r="V48" s="41">
        <f>SUMIFS('Business - Dump'!$G:$G,'Business - Dump'!$B:$B,'Portfolio Wise '!$B48,'Business - Dump'!$A:$A,'Portfolio Wise '!$A48)</f>
        <v>371</v>
      </c>
      <c r="W48" s="48">
        <f t="shared" si="12"/>
        <v>0.01617250674</v>
      </c>
      <c r="X48" s="23">
        <f t="shared" ref="X48:Y48" si="76">IFERROR(N48/Q48,0)</f>
        <v>1</v>
      </c>
      <c r="Y48" s="49">
        <f t="shared" si="76"/>
        <v>1</v>
      </c>
      <c r="Z48" s="49">
        <f t="shared" si="14"/>
        <v>0</v>
      </c>
      <c r="AA48" s="23">
        <f t="shared" si="15"/>
        <v>1</v>
      </c>
      <c r="AB48" s="23">
        <f>IFERROR(AVERAGEIFS('Business - Dump'!$O:$O,'Business - Dump'!$B:$B,'Portfolio Wise '!$B48,'Business - Dump'!$A:$A,'Portfolio Wise '!$A48),0)</f>
        <v>0.8687333333</v>
      </c>
      <c r="AC48" s="49">
        <f>F48/SUMIFS('Campaign - Dump'!$Q:$Q,'Campaign - Dump'!$A:$A,'Portfolio Wise '!$A48)</f>
        <v>0</v>
      </c>
      <c r="AD48" s="49">
        <f t="shared" si="16"/>
        <v>0</v>
      </c>
    </row>
    <row r="49" ht="15.75" customHeight="1">
      <c r="A49" s="126" t="s">
        <v>45</v>
      </c>
      <c r="B49" s="126" t="s">
        <v>312</v>
      </c>
      <c r="C49" s="127">
        <f t="shared" ref="C49:D49" si="77">SUM(C26:C48)</f>
        <v>4473747</v>
      </c>
      <c r="D49" s="127">
        <f t="shared" si="77"/>
        <v>17084</v>
      </c>
      <c r="E49" s="62">
        <f t="shared" si="2"/>
        <v>0.003818722874</v>
      </c>
      <c r="F49" s="128">
        <f>SUM(F26:F48)</f>
        <v>260856.05</v>
      </c>
      <c r="G49" s="129">
        <f t="shared" si="3"/>
        <v>15.26902657</v>
      </c>
      <c r="H49" s="130">
        <f>SUM(H26:H48)</f>
        <v>140</v>
      </c>
      <c r="I49" s="62">
        <f t="shared" si="4"/>
        <v>0.008194802154</v>
      </c>
      <c r="J49" s="128">
        <f>SUM(J26:J48)</f>
        <v>2470927.7</v>
      </c>
      <c r="K49" s="62">
        <f t="shared" si="5"/>
        <v>0.1055700861</v>
      </c>
      <c r="L49" s="129">
        <f t="shared" si="6"/>
        <v>9.472380265</v>
      </c>
      <c r="M49" s="130">
        <f t="shared" si="7"/>
        <v>17649.48357</v>
      </c>
      <c r="N49" s="127">
        <f t="shared" ref="N49:O49" si="78">SUM(N26:N48)</f>
        <v>164</v>
      </c>
      <c r="O49" s="128">
        <f t="shared" si="78"/>
        <v>2618317.034</v>
      </c>
      <c r="P49" s="130">
        <f t="shared" si="8"/>
        <v>15965.34777</v>
      </c>
      <c r="Q49" s="127">
        <f t="shared" ref="Q49:R49" si="79">SUM(Q26:Q48)</f>
        <v>212</v>
      </c>
      <c r="R49" s="128">
        <f t="shared" si="79"/>
        <v>3584922.034</v>
      </c>
      <c r="S49" s="130">
        <f t="shared" si="9"/>
        <v>16910.00959</v>
      </c>
      <c r="T49" s="62">
        <f t="shared" si="10"/>
        <v>0.07276477634</v>
      </c>
      <c r="U49" s="129">
        <f t="shared" si="11"/>
        <v>13.74291313</v>
      </c>
      <c r="V49" s="130">
        <f>SUM(V26:V48)</f>
        <v>31446</v>
      </c>
      <c r="W49" s="131">
        <f t="shared" si="12"/>
        <v>0.006741715958</v>
      </c>
      <c r="X49" s="62">
        <f t="shared" ref="X49:Y49" si="80">IFERROR(N49/Q49,0)</f>
        <v>0.7735849057</v>
      </c>
      <c r="Y49" s="132">
        <f t="shared" si="80"/>
        <v>0.7303693104</v>
      </c>
      <c r="Z49" s="132">
        <f t="shared" si="14"/>
        <v>0.6603773585</v>
      </c>
      <c r="AA49" s="62">
        <f t="shared" si="15"/>
        <v>0.7303693104</v>
      </c>
      <c r="AB49" s="62">
        <f>IFERROR(AVERAGEIFS('Business - Dump'!$O:$O,'Business - Dump'!$B:$B,'Portfolio Wise '!$B49,'Business - Dump'!$A:$A,'Portfolio Wise '!$A49),0)</f>
        <v>0</v>
      </c>
      <c r="AC49" s="132">
        <f>F49/SUMIFS('Campaign - Dump'!$Q:$Q,'Campaign - Dump'!$A:$A,'Portfolio Wise '!$A49)</f>
        <v>1</v>
      </c>
      <c r="AD49" s="132">
        <f t="shared" si="16"/>
        <v>1.171428571</v>
      </c>
    </row>
    <row r="50" ht="15.75" customHeight="1">
      <c r="A50" s="10" t="s">
        <v>46</v>
      </c>
      <c r="B50" s="33" t="s">
        <v>90</v>
      </c>
      <c r="C50" s="13">
        <f>SUMIFS('Campaign - Dump'!$N:$N,'Campaign - Dump'!$J:$J,'Portfolio Wise '!$B50,'Campaign - Dump'!$A:$A,'Portfolio Wise '!$A50)</f>
        <v>686769</v>
      </c>
      <c r="D50" s="13">
        <f>SUMIFS('Campaign - Dump'!$O:$O,'Campaign - Dump'!$J:$J,'Portfolio Wise '!$B50,'Campaign - Dump'!$A:$A,'Portfolio Wise '!$A50)</f>
        <v>2881</v>
      </c>
      <c r="E50" s="23">
        <f t="shared" si="2"/>
        <v>0.00419500589</v>
      </c>
      <c r="F50" s="36">
        <f>SUMIFS('Campaign - Dump'!$Q:$Q,'Campaign - Dump'!$J:$J,'Portfolio Wise '!$B50,'Campaign - Dump'!$A:$A,'Portfolio Wise '!$A50)</f>
        <v>21351.63</v>
      </c>
      <c r="G50" s="38">
        <f t="shared" si="3"/>
        <v>7.411187088</v>
      </c>
      <c r="H50" s="41">
        <f>SUMIFS('Campaign - Dump'!$T:$T,'Campaign - Dump'!$J:$J,'Portfolio Wise '!$B50,'Campaign - Dump'!$A:$A,'Portfolio Wise '!$A50)</f>
        <v>3</v>
      </c>
      <c r="I50" s="23">
        <f t="shared" si="4"/>
        <v>0.001041305102</v>
      </c>
      <c r="J50" s="36">
        <f>SUMIFS('Campaign - Dump'!$U:$U,'Campaign - Dump'!$J:$J,'Portfolio Wise '!$B50,'Campaign - Dump'!$A:$A,'Portfolio Wise '!$A50)</f>
        <v>49583.9</v>
      </c>
      <c r="K50" s="23">
        <f t="shared" si="5"/>
        <v>0.4306161879</v>
      </c>
      <c r="L50" s="38">
        <f t="shared" si="6"/>
        <v>2.322253617</v>
      </c>
      <c r="M50" s="41">
        <f t="shared" si="7"/>
        <v>16527.96667</v>
      </c>
      <c r="N50" s="13">
        <v>0.0</v>
      </c>
      <c r="O50" s="36">
        <v>0.0</v>
      </c>
      <c r="P50" s="41">
        <f t="shared" si="8"/>
        <v>0</v>
      </c>
      <c r="Q50" s="13">
        <f>SUMIFS('Business - Dump'!$W:$W,'Business - Dump'!$B:$B,'Portfolio Wise '!$B50,'Business - Dump'!$A:$A,'Portfolio Wise '!$A50)</f>
        <v>0</v>
      </c>
      <c r="R50" s="36">
        <f>SUMIFS('Business - Dump'!$U:$U,'Business - Dump'!$B:$B,'Portfolio Wise '!$B50,'Business - Dump'!$A:$A,'Portfolio Wise '!$A50)/1.18</f>
        <v>0</v>
      </c>
      <c r="S50" s="41">
        <f t="shared" si="9"/>
        <v>0</v>
      </c>
      <c r="T50" s="23">
        <f t="shared" si="10"/>
        <v>0</v>
      </c>
      <c r="U50" s="38">
        <f t="shared" si="11"/>
        <v>0</v>
      </c>
      <c r="V50" s="41">
        <f>SUMIFS('Business - Dump'!$G:$G,'Business - Dump'!$B:$B,'Portfolio Wise '!$B50,'Business - Dump'!$A:$A,'Portfolio Wise '!$A50)</f>
        <v>0</v>
      </c>
      <c r="W50" s="48">
        <f t="shared" si="12"/>
        <v>0</v>
      </c>
      <c r="X50" s="23">
        <f t="shared" ref="X50:Y50" si="81">IFERROR(N50/Q50,0)</f>
        <v>0</v>
      </c>
      <c r="Y50" s="49">
        <f t="shared" si="81"/>
        <v>0</v>
      </c>
      <c r="Z50" s="49">
        <f t="shared" si="14"/>
        <v>0</v>
      </c>
      <c r="AA50" s="23">
        <f t="shared" si="15"/>
        <v>0</v>
      </c>
      <c r="AB50" s="23">
        <f>IFERROR(AVERAGEIFS('Business - Dump'!$O:$O,'Business - Dump'!$B:$B,'Portfolio Wise '!$B50,'Business - Dump'!$A:$A,'Portfolio Wise '!$A50),0)</f>
        <v>0</v>
      </c>
      <c r="AC50" s="49">
        <f>F50/SUMIFS('Campaign - Dump'!$Q:$Q,'Campaign - Dump'!$A:$A,'Portfolio Wise '!$A50)</f>
        <v>0.07909435395</v>
      </c>
      <c r="AD50" s="49">
        <f t="shared" si="16"/>
        <v>0</v>
      </c>
    </row>
    <row r="51" ht="15.75" customHeight="1">
      <c r="A51" s="10" t="s">
        <v>46</v>
      </c>
      <c r="B51" s="51" t="s">
        <v>110</v>
      </c>
      <c r="C51" s="13">
        <f>SUMIFS('Campaign - Dump'!$N:$N,'Campaign - Dump'!$J:$J,'Portfolio Wise '!$B51,'Campaign - Dump'!$A:$A,'Portfolio Wise '!$A51)</f>
        <v>0</v>
      </c>
      <c r="D51" s="13">
        <f>SUMIFS('Campaign - Dump'!$O:$O,'Campaign - Dump'!$J:$J,'Portfolio Wise '!$B51,'Campaign - Dump'!$A:$A,'Portfolio Wise '!$A51)</f>
        <v>0</v>
      </c>
      <c r="E51" s="23">
        <f t="shared" si="2"/>
        <v>0</v>
      </c>
      <c r="F51" s="36">
        <f>SUMIFS('Campaign - Dump'!$Q:$Q,'Campaign - Dump'!$J:$J,'Portfolio Wise '!$B51,'Campaign - Dump'!$A:$A,'Portfolio Wise '!$A51)</f>
        <v>0</v>
      </c>
      <c r="G51" s="38">
        <f t="shared" si="3"/>
        <v>0</v>
      </c>
      <c r="H51" s="41">
        <f>SUMIFS('Campaign - Dump'!$T:$T,'Campaign - Dump'!$J:$J,'Portfolio Wise '!$B51,'Campaign - Dump'!$A:$A,'Portfolio Wise '!$A51)</f>
        <v>0</v>
      </c>
      <c r="I51" s="23">
        <f t="shared" si="4"/>
        <v>0</v>
      </c>
      <c r="J51" s="36">
        <f>SUMIFS('Campaign - Dump'!$U:$U,'Campaign - Dump'!$J:$J,'Portfolio Wise '!$B51,'Campaign - Dump'!$A:$A,'Portfolio Wise '!$A51)</f>
        <v>0</v>
      </c>
      <c r="K51" s="23">
        <f t="shared" si="5"/>
        <v>0</v>
      </c>
      <c r="L51" s="38">
        <f t="shared" si="6"/>
        <v>0</v>
      </c>
      <c r="M51" s="41">
        <f t="shared" si="7"/>
        <v>0</v>
      </c>
      <c r="N51" s="13">
        <f t="shared" ref="N51:N52" si="83">IFERROR(Q51-H51,0)</f>
        <v>0</v>
      </c>
      <c r="O51" s="36">
        <f t="shared" ref="O51:O52" si="84">IFERROR(R51-J51,0)</f>
        <v>0</v>
      </c>
      <c r="P51" s="41">
        <f t="shared" si="8"/>
        <v>0</v>
      </c>
      <c r="Q51" s="13">
        <f>SUMIFS('Business - Dump'!$W:$W,'Business - Dump'!$B:$B,'Portfolio Wise '!$B51,'Business - Dump'!$A:$A,'Portfolio Wise '!$A51)</f>
        <v>0</v>
      </c>
      <c r="R51" s="36">
        <f>SUMIFS('Business - Dump'!$U:$U,'Business - Dump'!$B:$B,'Portfolio Wise '!$B51,'Business - Dump'!$A:$A,'Portfolio Wise '!$A51)/1.18</f>
        <v>0</v>
      </c>
      <c r="S51" s="41">
        <f t="shared" si="9"/>
        <v>0</v>
      </c>
      <c r="T51" s="23">
        <f t="shared" si="10"/>
        <v>0</v>
      </c>
      <c r="U51" s="38">
        <f t="shared" si="11"/>
        <v>0</v>
      </c>
      <c r="V51" s="41">
        <f>SUMIFS('Business - Dump'!$G:$G,'Business - Dump'!$B:$B,'Portfolio Wise '!$B51,'Business - Dump'!$A:$A,'Portfolio Wise '!$A51)</f>
        <v>0</v>
      </c>
      <c r="W51" s="48">
        <f t="shared" si="12"/>
        <v>0</v>
      </c>
      <c r="X51" s="23">
        <f t="shared" ref="X51:Y51" si="82">IFERROR(N51/Q51,0)</f>
        <v>0</v>
      </c>
      <c r="Y51" s="49">
        <f t="shared" si="82"/>
        <v>0</v>
      </c>
      <c r="Z51" s="49">
        <f t="shared" si="14"/>
        <v>0</v>
      </c>
      <c r="AA51" s="23">
        <f t="shared" si="15"/>
        <v>0</v>
      </c>
      <c r="AB51" s="23">
        <f>IFERROR(AVERAGEIFS('Business - Dump'!$O:$O,'Business - Dump'!$B:$B,'Portfolio Wise '!$B51,'Business - Dump'!$A:$A,'Portfolio Wise '!$A51),0)</f>
        <v>0</v>
      </c>
      <c r="AC51" s="49">
        <f>F51/SUMIFS('Campaign - Dump'!$Q:$Q,'Campaign - Dump'!$A:$A,'Portfolio Wise '!$A51)</f>
        <v>0</v>
      </c>
      <c r="AD51" s="49">
        <f t="shared" si="16"/>
        <v>0</v>
      </c>
    </row>
    <row r="52" ht="15.75" customHeight="1">
      <c r="A52" s="10" t="s">
        <v>46</v>
      </c>
      <c r="B52" s="51" t="s">
        <v>119</v>
      </c>
      <c r="C52" s="13">
        <f>SUMIFS('Campaign - Dump'!$N:$N,'Campaign - Dump'!$J:$J,'Portfolio Wise '!$B52,'Campaign - Dump'!$A:$A,'Portfolio Wise '!$A52)</f>
        <v>160352</v>
      </c>
      <c r="D52" s="13">
        <f>SUMIFS('Campaign - Dump'!$O:$O,'Campaign - Dump'!$J:$J,'Portfolio Wise '!$B52,'Campaign - Dump'!$A:$A,'Portfolio Wise '!$A52)</f>
        <v>498</v>
      </c>
      <c r="E52" s="23">
        <f t="shared" si="2"/>
        <v>0.003105667531</v>
      </c>
      <c r="F52" s="36">
        <f>SUMIFS('Campaign - Dump'!$Q:$Q,'Campaign - Dump'!$J:$J,'Portfolio Wise '!$B52,'Campaign - Dump'!$A:$A,'Portfolio Wise '!$A52)</f>
        <v>5723.43</v>
      </c>
      <c r="G52" s="38">
        <f t="shared" si="3"/>
        <v>11.49283133</v>
      </c>
      <c r="H52" s="41">
        <f>SUMIFS('Campaign - Dump'!$T:$T,'Campaign - Dump'!$J:$J,'Portfolio Wise '!$B52,'Campaign - Dump'!$A:$A,'Portfolio Wise '!$A52)</f>
        <v>1</v>
      </c>
      <c r="I52" s="23">
        <f t="shared" si="4"/>
        <v>0.002008032129</v>
      </c>
      <c r="J52" s="36">
        <f>SUMIFS('Campaign - Dump'!$U:$U,'Campaign - Dump'!$J:$J,'Portfolio Wise '!$B52,'Campaign - Dump'!$A:$A,'Portfolio Wise '!$A52)</f>
        <v>3771.18</v>
      </c>
      <c r="K52" s="23">
        <f t="shared" si="5"/>
        <v>1.517676165</v>
      </c>
      <c r="L52" s="38">
        <f t="shared" si="6"/>
        <v>0.6589020919</v>
      </c>
      <c r="M52" s="41">
        <f t="shared" si="7"/>
        <v>3771.18</v>
      </c>
      <c r="N52" s="13">
        <f t="shared" si="83"/>
        <v>1</v>
      </c>
      <c r="O52" s="36">
        <f t="shared" si="84"/>
        <v>6228.82</v>
      </c>
      <c r="P52" s="41">
        <f t="shared" si="8"/>
        <v>6228.82</v>
      </c>
      <c r="Q52" s="13">
        <f>SUMIFS('Business - Dump'!$W:$W,'Business - Dump'!$B:$B,'Portfolio Wise '!$B52,'Business - Dump'!$A:$A,'Portfolio Wise '!$A52)</f>
        <v>2</v>
      </c>
      <c r="R52" s="36">
        <f>SUMIFS('Business - Dump'!$U:$U,'Business - Dump'!$B:$B,'Portfolio Wise '!$B52,'Business - Dump'!$A:$A,'Portfolio Wise '!$A52)/1.18</f>
        <v>10000</v>
      </c>
      <c r="S52" s="41">
        <f t="shared" si="9"/>
        <v>5000</v>
      </c>
      <c r="T52" s="23">
        <f t="shared" si="10"/>
        <v>0.572343</v>
      </c>
      <c r="U52" s="38">
        <f t="shared" si="11"/>
        <v>1.747204037</v>
      </c>
      <c r="V52" s="41">
        <f>SUMIFS('Business - Dump'!$G:$G,'Business - Dump'!$B:$B,'Portfolio Wise '!$B52,'Business - Dump'!$A:$A,'Portfolio Wise '!$A52)</f>
        <v>1059</v>
      </c>
      <c r="W52" s="48">
        <f t="shared" si="12"/>
        <v>0.001888574127</v>
      </c>
      <c r="X52" s="23">
        <f t="shared" ref="X52:Y52" si="85">IFERROR(N52/Q52,0)</f>
        <v>0.5</v>
      </c>
      <c r="Y52" s="49">
        <f t="shared" si="85"/>
        <v>0.622882</v>
      </c>
      <c r="Z52" s="49">
        <f t="shared" si="14"/>
        <v>0.5</v>
      </c>
      <c r="AA52" s="23">
        <f t="shared" si="15"/>
        <v>0.622882</v>
      </c>
      <c r="AB52" s="23">
        <f>IFERROR(AVERAGEIFS('Business - Dump'!$O:$O,'Business - Dump'!$B:$B,'Portfolio Wise '!$B52,'Business - Dump'!$A:$A,'Portfolio Wise '!$A52),0)</f>
        <v>0.84385</v>
      </c>
      <c r="AC52" s="49">
        <f>F52/SUMIFS('Campaign - Dump'!$Q:$Q,'Campaign - Dump'!$A:$A,'Portfolio Wise '!$A52)</f>
        <v>0.02120170677</v>
      </c>
      <c r="AD52" s="49">
        <f t="shared" si="16"/>
        <v>1</v>
      </c>
    </row>
    <row r="53" ht="15.75" customHeight="1">
      <c r="A53" s="10" t="s">
        <v>46</v>
      </c>
      <c r="B53" s="19" t="s">
        <v>128</v>
      </c>
      <c r="C53" s="13">
        <f>SUMIFS('Campaign - Dump'!$N:$N,'Campaign - Dump'!$J:$J,'Portfolio Wise '!$B53,'Campaign - Dump'!$A:$A,'Portfolio Wise '!$A53)</f>
        <v>439464</v>
      </c>
      <c r="D53" s="13">
        <f>SUMIFS('Campaign - Dump'!$O:$O,'Campaign - Dump'!$J:$J,'Portfolio Wise '!$B53,'Campaign - Dump'!$A:$A,'Portfolio Wise '!$A53)</f>
        <v>2063</v>
      </c>
      <c r="E53" s="23">
        <f t="shared" si="2"/>
        <v>0.004694354941</v>
      </c>
      <c r="F53" s="36">
        <f>SUMIFS('Campaign - Dump'!$Q:$Q,'Campaign - Dump'!$J:$J,'Portfolio Wise '!$B53,'Campaign - Dump'!$A:$A,'Portfolio Wise '!$A53)</f>
        <v>61844.96</v>
      </c>
      <c r="G53" s="38">
        <f t="shared" si="3"/>
        <v>29.97816772</v>
      </c>
      <c r="H53" s="41">
        <f>SUMIFS('Campaign - Dump'!$T:$T,'Campaign - Dump'!$J:$J,'Portfolio Wise '!$B53,'Campaign - Dump'!$A:$A,'Portfolio Wise '!$A53)</f>
        <v>38</v>
      </c>
      <c r="I53" s="23">
        <f t="shared" si="4"/>
        <v>0.01841977702</v>
      </c>
      <c r="J53" s="36">
        <f>SUMIFS('Campaign - Dump'!$U:$U,'Campaign - Dump'!$J:$J,'Portfolio Wise '!$B53,'Campaign - Dump'!$A:$A,'Portfolio Wise '!$A53)</f>
        <v>723105.38</v>
      </c>
      <c r="K53" s="23">
        <f t="shared" si="5"/>
        <v>0.08552689789</v>
      </c>
      <c r="L53" s="38">
        <f t="shared" si="6"/>
        <v>11.69222811</v>
      </c>
      <c r="M53" s="41">
        <f t="shared" si="7"/>
        <v>19029.08895</v>
      </c>
      <c r="N53" s="13">
        <v>0.0</v>
      </c>
      <c r="O53" s="36">
        <v>0.0</v>
      </c>
      <c r="P53" s="41">
        <f t="shared" si="8"/>
        <v>0</v>
      </c>
      <c r="Q53" s="13">
        <f>SUMIFS('Business - Dump'!$W:$W,'Business - Dump'!$B:$B,'Portfolio Wise '!$B53,'Business - Dump'!$A:$A,'Portfolio Wise '!$A53)</f>
        <v>0</v>
      </c>
      <c r="R53" s="36">
        <f>SUMIFS('Business - Dump'!$U:$U,'Business - Dump'!$B:$B,'Portfolio Wise '!$B53,'Business - Dump'!$A:$A,'Portfolio Wise '!$A53)/1.18</f>
        <v>0</v>
      </c>
      <c r="S53" s="41">
        <f t="shared" si="9"/>
        <v>0</v>
      </c>
      <c r="T53" s="23">
        <f t="shared" si="10"/>
        <v>0</v>
      </c>
      <c r="U53" s="38">
        <f t="shared" si="11"/>
        <v>0</v>
      </c>
      <c r="V53" s="41">
        <f>SUMIFS('Business - Dump'!$G:$G,'Business - Dump'!$B:$B,'Portfolio Wise '!$B53,'Business - Dump'!$A:$A,'Portfolio Wise '!$A53)</f>
        <v>0</v>
      </c>
      <c r="W53" s="48">
        <f t="shared" si="12"/>
        <v>0</v>
      </c>
      <c r="X53" s="23">
        <f t="shared" ref="X53:Y53" si="86">IFERROR(N53/Q53,0)</f>
        <v>0</v>
      </c>
      <c r="Y53" s="49">
        <f t="shared" si="86"/>
        <v>0</v>
      </c>
      <c r="Z53" s="49">
        <f t="shared" si="14"/>
        <v>0</v>
      </c>
      <c r="AA53" s="23">
        <f t="shared" si="15"/>
        <v>0</v>
      </c>
      <c r="AB53" s="23">
        <f>IFERROR(AVERAGEIFS('Business - Dump'!$O:$O,'Business - Dump'!$B:$B,'Portfolio Wise '!$B53,'Business - Dump'!$A:$A,'Portfolio Wise '!$A53),0)</f>
        <v>0</v>
      </c>
      <c r="AC53" s="49">
        <f>F53/SUMIFS('Campaign - Dump'!$Q:$Q,'Campaign - Dump'!$A:$A,'Portfolio Wise '!$A53)</f>
        <v>0.2290966618</v>
      </c>
      <c r="AD53" s="49">
        <f t="shared" si="16"/>
        <v>0</v>
      </c>
    </row>
    <row r="54" ht="15.75" customHeight="1">
      <c r="A54" s="10" t="s">
        <v>46</v>
      </c>
      <c r="B54" s="19" t="s">
        <v>134</v>
      </c>
      <c r="C54" s="13">
        <f>SUMIFS('Campaign - Dump'!$N:$N,'Campaign - Dump'!$J:$J,'Portfolio Wise '!$B54,'Campaign - Dump'!$A:$A,'Portfolio Wise '!$A54)</f>
        <v>846519</v>
      </c>
      <c r="D54" s="13">
        <f>SUMIFS('Campaign - Dump'!$O:$O,'Campaign - Dump'!$J:$J,'Portfolio Wise '!$B54,'Campaign - Dump'!$A:$A,'Portfolio Wise '!$A54)</f>
        <v>4794</v>
      </c>
      <c r="E54" s="23">
        <f t="shared" si="2"/>
        <v>0.005663192439</v>
      </c>
      <c r="F54" s="36">
        <f>SUMIFS('Campaign - Dump'!$Q:$Q,'Campaign - Dump'!$J:$J,'Portfolio Wise '!$B54,'Campaign - Dump'!$A:$A,'Portfolio Wise '!$A54)</f>
        <v>108220.77</v>
      </c>
      <c r="G54" s="38">
        <f t="shared" si="3"/>
        <v>22.57421151</v>
      </c>
      <c r="H54" s="41">
        <f>SUMIFS('Campaign - Dump'!$T:$T,'Campaign - Dump'!$J:$J,'Portfolio Wise '!$B54,'Campaign - Dump'!$A:$A,'Portfolio Wise '!$A54)</f>
        <v>30</v>
      </c>
      <c r="I54" s="23">
        <f t="shared" si="4"/>
        <v>0.006257822278</v>
      </c>
      <c r="J54" s="36">
        <f>SUMIFS('Campaign - Dump'!$U:$U,'Campaign - Dump'!$J:$J,'Portfolio Wise '!$B54,'Campaign - Dump'!$A:$A,'Portfolio Wise '!$A54)</f>
        <v>608388.08</v>
      </c>
      <c r="K54" s="23">
        <f t="shared" si="5"/>
        <v>0.1778811478</v>
      </c>
      <c r="L54" s="38">
        <f t="shared" si="6"/>
        <v>5.621731207</v>
      </c>
      <c r="M54" s="41">
        <f t="shared" si="7"/>
        <v>20279.60267</v>
      </c>
      <c r="N54" s="13">
        <f t="shared" ref="N54:N61" si="88">IFERROR(Q54-H54,0)</f>
        <v>27</v>
      </c>
      <c r="O54" s="36">
        <f t="shared" ref="O54:O61" si="89">IFERROR(R54-J54,0)</f>
        <v>478094.9708</v>
      </c>
      <c r="P54" s="41">
        <f t="shared" si="8"/>
        <v>17707.22114</v>
      </c>
      <c r="Q54" s="13">
        <f>SUMIFS('Business - Dump'!$W:$W,'Business - Dump'!$B:$B,'Portfolio Wise '!$B54,'Business - Dump'!$A:$A,'Portfolio Wise '!$A54)</f>
        <v>57</v>
      </c>
      <c r="R54" s="36">
        <f>SUMIFS('Business - Dump'!$U:$U,'Business - Dump'!$B:$B,'Portfolio Wise '!$B54,'Business - Dump'!$A:$A,'Portfolio Wise '!$A54)/1.18</f>
        <v>1086483.051</v>
      </c>
      <c r="S54" s="41">
        <f t="shared" si="9"/>
        <v>19061.10616</v>
      </c>
      <c r="T54" s="23">
        <f t="shared" si="10"/>
        <v>0.09960649631</v>
      </c>
      <c r="U54" s="38">
        <f t="shared" si="11"/>
        <v>10.03950583</v>
      </c>
      <c r="V54" s="41">
        <f>SUMIFS('Business - Dump'!$G:$G,'Business - Dump'!$B:$B,'Portfolio Wise '!$B54,'Business - Dump'!$A:$A,'Portfolio Wise '!$A54)</f>
        <v>10214</v>
      </c>
      <c r="W54" s="23">
        <f t="shared" si="12"/>
        <v>0.00558057568</v>
      </c>
      <c r="X54" s="23">
        <f t="shared" ref="X54:Y54" si="87">IFERROR(N54/Q54,0)</f>
        <v>0.4736842105</v>
      </c>
      <c r="Y54" s="49">
        <f t="shared" si="87"/>
        <v>0.4400390512</v>
      </c>
      <c r="Z54" s="49">
        <f t="shared" si="14"/>
        <v>0.5263157895</v>
      </c>
      <c r="AA54" s="23">
        <f t="shared" si="15"/>
        <v>0.4400390512</v>
      </c>
      <c r="AB54" s="23">
        <f>IFERROR(AVERAGEIFS('Business - Dump'!$O:$O,'Business - Dump'!$B:$B,'Portfolio Wise '!$B54,'Business - Dump'!$A:$A,'Portfolio Wise '!$A54),0)</f>
        <v>0.8885</v>
      </c>
      <c r="AC54" s="49">
        <f>F54/SUMIFS('Campaign - Dump'!$Q:$Q,'Campaign - Dump'!$A:$A,'Portfolio Wise '!$A54)</f>
        <v>0.4008898565</v>
      </c>
      <c r="AD54" s="49">
        <f t="shared" si="16"/>
        <v>0.9</v>
      </c>
    </row>
    <row r="55" ht="15.75" customHeight="1">
      <c r="A55" s="10" t="s">
        <v>46</v>
      </c>
      <c r="B55" s="19" t="s">
        <v>140</v>
      </c>
      <c r="C55" s="13">
        <f>SUMIFS('Campaign - Dump'!$N:$N,'Campaign - Dump'!$J:$J,'Portfolio Wise '!$B55,'Campaign - Dump'!$A:$A,'Portfolio Wise '!$A55)</f>
        <v>305268</v>
      </c>
      <c r="D55" s="13">
        <f>SUMIFS('Campaign - Dump'!$O:$O,'Campaign - Dump'!$J:$J,'Portfolio Wise '!$B55,'Campaign - Dump'!$A:$A,'Portfolio Wise '!$A55)</f>
        <v>781</v>
      </c>
      <c r="E55" s="23">
        <f t="shared" si="2"/>
        <v>0.002558407694</v>
      </c>
      <c r="F55" s="36">
        <f>SUMIFS('Campaign - Dump'!$Q:$Q,'Campaign - Dump'!$J:$J,'Portfolio Wise '!$B55,'Campaign - Dump'!$A:$A,'Portfolio Wise '!$A55)</f>
        <v>23776.97</v>
      </c>
      <c r="G55" s="38">
        <f t="shared" si="3"/>
        <v>30.44426376</v>
      </c>
      <c r="H55" s="41">
        <f>SUMIFS('Campaign - Dump'!$T:$T,'Campaign - Dump'!$J:$J,'Portfolio Wise '!$B55,'Campaign - Dump'!$A:$A,'Portfolio Wise '!$A55)</f>
        <v>1</v>
      </c>
      <c r="I55" s="23">
        <f t="shared" si="4"/>
        <v>0.001280409731</v>
      </c>
      <c r="J55" s="36">
        <f>SUMIFS('Campaign - Dump'!$U:$U,'Campaign - Dump'!$J:$J,'Portfolio Wise '!$B55,'Campaign - Dump'!$A:$A,'Portfolio Wise '!$A55)</f>
        <v>28728.81</v>
      </c>
      <c r="K55" s="23">
        <f t="shared" si="5"/>
        <v>0.8276350465</v>
      </c>
      <c r="L55" s="38">
        <f t="shared" si="6"/>
        <v>1.208262028</v>
      </c>
      <c r="M55" s="41">
        <f t="shared" si="7"/>
        <v>28728.81</v>
      </c>
      <c r="N55" s="13">
        <f t="shared" si="88"/>
        <v>17</v>
      </c>
      <c r="O55" s="36">
        <f t="shared" si="89"/>
        <v>457309.3256</v>
      </c>
      <c r="P55" s="41">
        <f t="shared" si="8"/>
        <v>26900.54856</v>
      </c>
      <c r="Q55" s="13">
        <f>SUMIFS('Business - Dump'!$W:$W,'Business - Dump'!$B:$B,'Portfolio Wise '!$B55,'Business - Dump'!$A:$A,'Portfolio Wise '!$A55)</f>
        <v>18</v>
      </c>
      <c r="R55" s="36">
        <f>SUMIFS('Business - Dump'!$U:$U,'Business - Dump'!$B:$B,'Portfolio Wise '!$B55,'Business - Dump'!$A:$A,'Portfolio Wise '!$A55)/1.18</f>
        <v>486038.1356</v>
      </c>
      <c r="S55" s="41">
        <f t="shared" si="9"/>
        <v>27002.11864</v>
      </c>
      <c r="T55" s="23">
        <f t="shared" si="10"/>
        <v>0.04891996792</v>
      </c>
      <c r="U55" s="38">
        <f t="shared" si="11"/>
        <v>20.44155061</v>
      </c>
      <c r="V55" s="41">
        <f>SUMIFS('Business - Dump'!$G:$G,'Business - Dump'!$B:$B,'Portfolio Wise '!$B55,'Business - Dump'!$A:$A,'Portfolio Wise '!$A55)</f>
        <v>3246</v>
      </c>
      <c r="W55" s="23">
        <f t="shared" si="12"/>
        <v>0.005545286506</v>
      </c>
      <c r="X55" s="23">
        <f t="shared" ref="X55:Y55" si="90">IFERROR(N55/Q55,0)</f>
        <v>0.9444444444</v>
      </c>
      <c r="Y55" s="49">
        <f t="shared" si="90"/>
        <v>0.9408918603</v>
      </c>
      <c r="Z55" s="49">
        <f t="shared" si="14"/>
        <v>0.05555555556</v>
      </c>
      <c r="AA55" s="23">
        <f t="shared" si="15"/>
        <v>0.9408918603</v>
      </c>
      <c r="AB55" s="23">
        <f>IFERROR(AVERAGEIFS('Business - Dump'!$O:$O,'Business - Dump'!$B:$B,'Portfolio Wise '!$B55,'Business - Dump'!$A:$A,'Portfolio Wise '!$A55),0)</f>
        <v>0.9148666667</v>
      </c>
      <c r="AC55" s="49">
        <f>F55/SUMIFS('Campaign - Dump'!$Q:$Q,'Campaign - Dump'!$A:$A,'Portfolio Wise '!$A55)</f>
        <v>0.08807871254</v>
      </c>
      <c r="AD55" s="49">
        <f t="shared" si="16"/>
        <v>17</v>
      </c>
    </row>
    <row r="56" ht="15.75" customHeight="1">
      <c r="A56" s="10" t="s">
        <v>46</v>
      </c>
      <c r="B56" s="10" t="s">
        <v>152</v>
      </c>
      <c r="C56" s="13">
        <f>SUMIFS('Campaign - Dump'!$N:$N,'Campaign - Dump'!$J:$J,'Portfolio Wise '!$B56,'Campaign - Dump'!$A:$A,'Portfolio Wise '!$A56)</f>
        <v>550182</v>
      </c>
      <c r="D56" s="13">
        <f>SUMIFS('Campaign - Dump'!$O:$O,'Campaign - Dump'!$J:$J,'Portfolio Wise '!$B56,'Campaign - Dump'!$A:$A,'Portfolio Wise '!$A56)</f>
        <v>1459</v>
      </c>
      <c r="E56" s="23">
        <f t="shared" si="2"/>
        <v>0.002651849752</v>
      </c>
      <c r="F56" s="36">
        <f>SUMIFS('Campaign - Dump'!$Q:$Q,'Campaign - Dump'!$J:$J,'Portfolio Wise '!$B56,'Campaign - Dump'!$A:$A,'Portfolio Wise '!$A56)</f>
        <v>38921.76</v>
      </c>
      <c r="G56" s="38">
        <f t="shared" si="3"/>
        <v>26.67701165</v>
      </c>
      <c r="H56" s="41">
        <f>SUMIFS('Campaign - Dump'!$T:$T,'Campaign - Dump'!$J:$J,'Portfolio Wise '!$B56,'Campaign - Dump'!$A:$A,'Portfolio Wise '!$A56)</f>
        <v>7</v>
      </c>
      <c r="I56" s="23">
        <f t="shared" si="4"/>
        <v>0.004797806717</v>
      </c>
      <c r="J56" s="36">
        <f>SUMIFS('Campaign - Dump'!$U:$U,'Campaign - Dump'!$J:$J,'Portfolio Wise '!$B56,'Campaign - Dump'!$A:$A,'Portfolio Wise '!$A56)</f>
        <v>102800.84</v>
      </c>
      <c r="K56" s="23">
        <f t="shared" si="5"/>
        <v>0.3786132487</v>
      </c>
      <c r="L56" s="38">
        <f t="shared" si="6"/>
        <v>2.641217663</v>
      </c>
      <c r="M56" s="41">
        <f t="shared" si="7"/>
        <v>14685.83429</v>
      </c>
      <c r="N56" s="13">
        <f t="shared" si="88"/>
        <v>6</v>
      </c>
      <c r="O56" s="36">
        <f t="shared" si="89"/>
        <v>64283.90576</v>
      </c>
      <c r="P56" s="41">
        <f t="shared" si="8"/>
        <v>10713.98429</v>
      </c>
      <c r="Q56" s="13">
        <f>SUMIFS('Business - Dump'!$W:$W,'Business - Dump'!$B:$B,'Portfolio Wise '!$B56,'Business - Dump'!$A:$A,'Portfolio Wise '!$A56)</f>
        <v>13</v>
      </c>
      <c r="R56" s="36">
        <f>SUMIFS('Business - Dump'!$U:$U,'Business - Dump'!$B:$B,'Portfolio Wise '!$B56,'Business - Dump'!$A:$A,'Portfolio Wise '!$A56)/1.18</f>
        <v>167084.7458</v>
      </c>
      <c r="S56" s="41">
        <f t="shared" si="9"/>
        <v>12852.67275</v>
      </c>
      <c r="T56" s="23">
        <f t="shared" si="10"/>
        <v>0.2329462203</v>
      </c>
      <c r="U56" s="38">
        <f t="shared" si="11"/>
        <v>4.29283634</v>
      </c>
      <c r="V56" s="41">
        <f>SUMIFS('Business - Dump'!$G:$G,'Business - Dump'!$B:$B,'Portfolio Wise '!$B56,'Business - Dump'!$A:$A,'Portfolio Wise '!$A56)</f>
        <v>2685</v>
      </c>
      <c r="W56" s="48">
        <f t="shared" si="12"/>
        <v>0.004841713222</v>
      </c>
      <c r="X56" s="23">
        <f t="shared" ref="X56:Y56" si="91">IFERROR(N56/Q56,0)</f>
        <v>0.4615384615</v>
      </c>
      <c r="Y56" s="49">
        <f t="shared" si="91"/>
        <v>0.3847383283</v>
      </c>
      <c r="Z56" s="49">
        <f t="shared" si="14"/>
        <v>0.5384615385</v>
      </c>
      <c r="AA56" s="23">
        <f t="shared" si="15"/>
        <v>0.3847383283</v>
      </c>
      <c r="AB56" s="23">
        <f>IFERROR(AVERAGEIFS('Business - Dump'!$O:$O,'Business - Dump'!$B:$B,'Portfolio Wise '!$B56,'Business - Dump'!$A:$A,'Portfolio Wise '!$A56),0)</f>
        <v>0.9168</v>
      </c>
      <c r="AC56" s="49">
        <f>F56/SUMIFS('Campaign - Dump'!$Q:$Q,'Campaign - Dump'!$A:$A,'Portfolio Wise '!$A56)</f>
        <v>0.1441806299</v>
      </c>
      <c r="AD56" s="49">
        <f t="shared" si="16"/>
        <v>0.8571428571</v>
      </c>
    </row>
    <row r="57" ht="15.75" customHeight="1">
      <c r="A57" s="10" t="s">
        <v>46</v>
      </c>
      <c r="B57" s="19" t="s">
        <v>158</v>
      </c>
      <c r="C57" s="13">
        <f>SUMIFS('Campaign - Dump'!$N:$N,'Campaign - Dump'!$J:$J,'Portfolio Wise '!$B57,'Campaign - Dump'!$A:$A,'Portfolio Wise '!$A57)</f>
        <v>115711</v>
      </c>
      <c r="D57" s="13">
        <f>SUMIFS('Campaign - Dump'!$O:$O,'Campaign - Dump'!$J:$J,'Portfolio Wise '!$B57,'Campaign - Dump'!$A:$A,'Portfolio Wise '!$A57)</f>
        <v>532</v>
      </c>
      <c r="E57" s="23">
        <f t="shared" si="2"/>
        <v>0.004597661415</v>
      </c>
      <c r="F57" s="36">
        <f>SUMIFS('Campaign - Dump'!$Q:$Q,'Campaign - Dump'!$J:$J,'Portfolio Wise '!$B57,'Campaign - Dump'!$A:$A,'Portfolio Wise '!$A57)</f>
        <v>5368.75</v>
      </c>
      <c r="G57" s="38">
        <f t="shared" si="3"/>
        <v>10.09163534</v>
      </c>
      <c r="H57" s="41">
        <f>SUMIFS('Campaign - Dump'!$T:$T,'Campaign - Dump'!$J:$J,'Portfolio Wise '!$B57,'Campaign - Dump'!$A:$A,'Portfolio Wise '!$A57)</f>
        <v>1</v>
      </c>
      <c r="I57" s="23">
        <f t="shared" si="4"/>
        <v>0.001879699248</v>
      </c>
      <c r="J57" s="36">
        <f>SUMIFS('Campaign - Dump'!$U:$U,'Campaign - Dump'!$J:$J,'Portfolio Wise '!$B57,'Campaign - Dump'!$A:$A,'Portfolio Wise '!$A57)</f>
        <v>9237.29</v>
      </c>
      <c r="K57" s="23">
        <f t="shared" si="5"/>
        <v>0.5812040111</v>
      </c>
      <c r="L57" s="38">
        <f t="shared" si="6"/>
        <v>1.72056624</v>
      </c>
      <c r="M57" s="41">
        <f t="shared" si="7"/>
        <v>9237.29</v>
      </c>
      <c r="N57" s="13">
        <f t="shared" si="88"/>
        <v>0</v>
      </c>
      <c r="O57" s="36">
        <f t="shared" si="89"/>
        <v>-0.00186440678</v>
      </c>
      <c r="P57" s="41">
        <f t="shared" si="8"/>
        <v>0</v>
      </c>
      <c r="Q57" s="13">
        <f>SUMIFS('Business - Dump'!$W:$W,'Business - Dump'!$B:$B,'Portfolio Wise '!$B57,'Business - Dump'!$A:$A,'Portfolio Wise '!$A57)</f>
        <v>1</v>
      </c>
      <c r="R57" s="36">
        <f>SUMIFS('Business - Dump'!$U:$U,'Business - Dump'!$B:$B,'Portfolio Wise '!$B57,'Business - Dump'!$A:$A,'Portfolio Wise '!$A57)/1.18</f>
        <v>9237.288136</v>
      </c>
      <c r="S57" s="41">
        <f t="shared" si="9"/>
        <v>9237.288136</v>
      </c>
      <c r="T57" s="23">
        <f t="shared" si="10"/>
        <v>0.5812041284</v>
      </c>
      <c r="U57" s="38">
        <f t="shared" si="11"/>
        <v>1.720565893</v>
      </c>
      <c r="V57" s="41">
        <f>SUMIFS('Business - Dump'!$G:$G,'Business - Dump'!$B:$B,'Portfolio Wise '!$B57,'Business - Dump'!$A:$A,'Portfolio Wise '!$A57)</f>
        <v>673</v>
      </c>
      <c r="W57" s="48">
        <f t="shared" si="12"/>
        <v>0.001485884101</v>
      </c>
      <c r="X57" s="23">
        <f t="shared" ref="X57:Y57" si="92">IFERROR(N57/Q57,0)</f>
        <v>0</v>
      </c>
      <c r="Y57" s="49">
        <f t="shared" si="92"/>
        <v>-0.0000002018348625</v>
      </c>
      <c r="Z57" s="49">
        <f t="shared" si="14"/>
        <v>1</v>
      </c>
      <c r="AA57" s="23">
        <f t="shared" si="15"/>
        <v>-0.0000002018348625</v>
      </c>
      <c r="AB57" s="23">
        <f>IFERROR(AVERAGEIFS('Business - Dump'!$O:$O,'Business - Dump'!$B:$B,'Portfolio Wise '!$B57,'Business - Dump'!$A:$A,'Portfolio Wise '!$A57),0)</f>
        <v>0.8025</v>
      </c>
      <c r="AC57" s="49">
        <f>F57/SUMIFS('Campaign - Dump'!$Q:$Q,'Campaign - Dump'!$A:$A,'Portfolio Wise '!$A57)</f>
        <v>0.01988784054</v>
      </c>
      <c r="AD57" s="49">
        <f t="shared" si="16"/>
        <v>0</v>
      </c>
    </row>
    <row r="58" ht="15.75" customHeight="1">
      <c r="A58" s="10" t="s">
        <v>46</v>
      </c>
      <c r="B58" s="33" t="s">
        <v>170</v>
      </c>
      <c r="C58" s="13">
        <f>SUMIFS('Campaign - Dump'!$N:$N,'Campaign - Dump'!$J:$J,'Portfolio Wise '!$B58,'Campaign - Dump'!$A:$A,'Portfolio Wise '!$A58)</f>
        <v>84944</v>
      </c>
      <c r="D58" s="13">
        <f>SUMIFS('Campaign - Dump'!$O:$O,'Campaign - Dump'!$J:$J,'Portfolio Wise '!$B58,'Campaign - Dump'!$A:$A,'Portfolio Wise '!$A58)</f>
        <v>227</v>
      </c>
      <c r="E58" s="23">
        <f t="shared" si="2"/>
        <v>0.002672348842</v>
      </c>
      <c r="F58" s="36">
        <f>SUMIFS('Campaign - Dump'!$Q:$Q,'Campaign - Dump'!$J:$J,'Portfolio Wise '!$B58,'Campaign - Dump'!$A:$A,'Portfolio Wise '!$A58)</f>
        <v>1613.67</v>
      </c>
      <c r="G58" s="38">
        <f t="shared" si="3"/>
        <v>7.108678414</v>
      </c>
      <c r="H58" s="41">
        <f>SUMIFS('Campaign - Dump'!$T:$T,'Campaign - Dump'!$J:$J,'Portfolio Wise '!$B58,'Campaign - Dump'!$A:$A,'Portfolio Wise '!$A58)</f>
        <v>1</v>
      </c>
      <c r="I58" s="23">
        <f t="shared" si="4"/>
        <v>0.004405286344</v>
      </c>
      <c r="J58" s="36">
        <f>SUMIFS('Campaign - Dump'!$U:$U,'Campaign - Dump'!$J:$J,'Portfolio Wise '!$B58,'Campaign - Dump'!$A:$A,'Portfolio Wise '!$A58)</f>
        <v>669.5</v>
      </c>
      <c r="K58" s="23">
        <f t="shared" si="5"/>
        <v>2.410261389</v>
      </c>
      <c r="L58" s="38">
        <f t="shared" si="6"/>
        <v>0.41489276</v>
      </c>
      <c r="M58" s="41">
        <f t="shared" si="7"/>
        <v>669.5</v>
      </c>
      <c r="N58" s="13">
        <f t="shared" si="88"/>
        <v>-1</v>
      </c>
      <c r="O58" s="36">
        <f t="shared" si="89"/>
        <v>-669.5</v>
      </c>
      <c r="P58" s="41">
        <f t="shared" si="8"/>
        <v>669.5</v>
      </c>
      <c r="Q58" s="13">
        <f>SUMIFS('Business - Dump'!$W:$W,'Business - Dump'!$B:$B,'Portfolio Wise '!$B58,'Business - Dump'!$A:$A,'Portfolio Wise '!$A58)</f>
        <v>0</v>
      </c>
      <c r="R58" s="36">
        <f>SUMIFS('Business - Dump'!$U:$U,'Business - Dump'!$B:$B,'Portfolio Wise '!$B58,'Business - Dump'!$A:$A,'Portfolio Wise '!$A58)/1.18</f>
        <v>0</v>
      </c>
      <c r="S58" s="41">
        <f t="shared" si="9"/>
        <v>0</v>
      </c>
      <c r="T58" s="23">
        <f t="shared" si="10"/>
        <v>0</v>
      </c>
      <c r="U58" s="38">
        <f t="shared" si="11"/>
        <v>0</v>
      </c>
      <c r="V58" s="41">
        <f>SUMIFS('Business - Dump'!$G:$G,'Business - Dump'!$B:$B,'Portfolio Wise '!$B58,'Business - Dump'!$A:$A,'Portfolio Wise '!$A58)</f>
        <v>0</v>
      </c>
      <c r="W58" s="48">
        <f t="shared" si="12"/>
        <v>0</v>
      </c>
      <c r="X58" s="23">
        <f t="shared" ref="X58:Y58" si="93">IFERROR(N58/Q58,0)</f>
        <v>0</v>
      </c>
      <c r="Y58" s="49">
        <f t="shared" si="93"/>
        <v>0</v>
      </c>
      <c r="Z58" s="49">
        <f t="shared" si="14"/>
        <v>0</v>
      </c>
      <c r="AA58" s="23">
        <f t="shared" si="15"/>
        <v>0</v>
      </c>
      <c r="AB58" s="23">
        <f>IFERROR(AVERAGEIFS('Business - Dump'!$O:$O,'Business - Dump'!$B:$B,'Portfolio Wise '!$B58,'Business - Dump'!$A:$A,'Portfolio Wise '!$A58),0)</f>
        <v>0</v>
      </c>
      <c r="AC58" s="49">
        <f>F58/SUMIFS('Campaign - Dump'!$Q:$Q,'Campaign - Dump'!$A:$A,'Portfolio Wise '!$A58)</f>
        <v>0.005977631972</v>
      </c>
      <c r="AD58" s="49">
        <f t="shared" si="16"/>
        <v>-1</v>
      </c>
    </row>
    <row r="59" ht="15.75" customHeight="1">
      <c r="A59" s="10" t="s">
        <v>46</v>
      </c>
      <c r="B59" s="51" t="s">
        <v>176</v>
      </c>
      <c r="C59" s="13">
        <f>SUMIFS('Campaign - Dump'!$N:$N,'Campaign - Dump'!$J:$J,'Portfolio Wise '!$B59,'Campaign - Dump'!$A:$A,'Portfolio Wise '!$A59)</f>
        <v>27798</v>
      </c>
      <c r="D59" s="13">
        <f>SUMIFS('Campaign - Dump'!$O:$O,'Campaign - Dump'!$J:$J,'Portfolio Wise '!$B59,'Campaign - Dump'!$A:$A,'Portfolio Wise '!$A59)</f>
        <v>68</v>
      </c>
      <c r="E59" s="23">
        <f t="shared" si="2"/>
        <v>0.002446219152</v>
      </c>
      <c r="F59" s="36">
        <f>SUMIFS('Campaign - Dump'!$Q:$Q,'Campaign - Dump'!$J:$J,'Portfolio Wise '!$B59,'Campaign - Dump'!$A:$A,'Portfolio Wise '!$A59)</f>
        <v>1746.28</v>
      </c>
      <c r="G59" s="38">
        <f t="shared" si="3"/>
        <v>25.68058824</v>
      </c>
      <c r="H59" s="41">
        <f>SUMIFS('Campaign - Dump'!$T:$T,'Campaign - Dump'!$J:$J,'Portfolio Wise '!$B59,'Campaign - Dump'!$A:$A,'Portfolio Wise '!$A59)</f>
        <v>0</v>
      </c>
      <c r="I59" s="23">
        <f t="shared" si="4"/>
        <v>0</v>
      </c>
      <c r="J59" s="36">
        <f>SUMIFS('Campaign - Dump'!$U:$U,'Campaign - Dump'!$J:$J,'Portfolio Wise '!$B59,'Campaign - Dump'!$A:$A,'Portfolio Wise '!$A59)</f>
        <v>0</v>
      </c>
      <c r="K59" s="23">
        <f t="shared" si="5"/>
        <v>0</v>
      </c>
      <c r="L59" s="38">
        <f t="shared" si="6"/>
        <v>0</v>
      </c>
      <c r="M59" s="41">
        <f t="shared" si="7"/>
        <v>0</v>
      </c>
      <c r="N59" s="13">
        <f t="shared" si="88"/>
        <v>21</v>
      </c>
      <c r="O59" s="36">
        <f t="shared" si="89"/>
        <v>402193.2203</v>
      </c>
      <c r="P59" s="41">
        <f t="shared" si="8"/>
        <v>19152.05811</v>
      </c>
      <c r="Q59" s="13">
        <f>SUMIFS('Business - Dump'!$W:$W,'Business - Dump'!$B:$B,'Portfolio Wise '!$B59,'Business - Dump'!$A:$A,'Portfolio Wise '!$A59)</f>
        <v>21</v>
      </c>
      <c r="R59" s="36">
        <f>SUMIFS('Business - Dump'!$U:$U,'Business - Dump'!$B:$B,'Portfolio Wise '!$B59,'Business - Dump'!$A:$A,'Portfolio Wise '!$A59)/1.18</f>
        <v>402193.2203</v>
      </c>
      <c r="S59" s="41">
        <f t="shared" si="9"/>
        <v>19152.05811</v>
      </c>
      <c r="T59" s="23">
        <f t="shared" si="10"/>
        <v>0.004341893179</v>
      </c>
      <c r="U59" s="38">
        <f t="shared" si="11"/>
        <v>230.3142797</v>
      </c>
      <c r="V59" s="41">
        <f>SUMIFS('Business - Dump'!$G:$G,'Business - Dump'!$B:$B,'Portfolio Wise '!$B59,'Business - Dump'!$A:$A,'Portfolio Wise '!$A59)</f>
        <v>3785</v>
      </c>
      <c r="W59" s="48">
        <f t="shared" si="12"/>
        <v>0.005548216645</v>
      </c>
      <c r="X59" s="23">
        <f t="shared" ref="X59:Y59" si="94">IFERROR(N59/Q59,0)</f>
        <v>1</v>
      </c>
      <c r="Y59" s="49">
        <f t="shared" si="94"/>
        <v>1</v>
      </c>
      <c r="Z59" s="49">
        <f t="shared" si="14"/>
        <v>0</v>
      </c>
      <c r="AA59" s="23">
        <f t="shared" si="15"/>
        <v>1</v>
      </c>
      <c r="AB59" s="23">
        <f>IFERROR(AVERAGEIFS('Business - Dump'!$O:$O,'Business - Dump'!$B:$B,'Portfolio Wise '!$B59,'Business - Dump'!$A:$A,'Portfolio Wise '!$A59),0)</f>
        <v>0.867</v>
      </c>
      <c r="AC59" s="49">
        <f>F59/SUMIFS('Campaign - Dump'!$Q:$Q,'Campaign - Dump'!$A:$A,'Portfolio Wise '!$A59)</f>
        <v>0.006468868579</v>
      </c>
      <c r="AD59" s="49">
        <f t="shared" si="16"/>
        <v>0</v>
      </c>
    </row>
    <row r="60" ht="15.75" customHeight="1">
      <c r="A60" s="10" t="s">
        <v>46</v>
      </c>
      <c r="B60" s="100" t="s">
        <v>182</v>
      </c>
      <c r="C60" s="13">
        <f>SUMIFS('Campaign - Dump'!$N:$N,'Campaign - Dump'!$J:$J,'Portfolio Wise '!$B60,'Campaign - Dump'!$A:$A,'Portfolio Wise '!$A60)</f>
        <v>776</v>
      </c>
      <c r="D60" s="13">
        <f>SUMIFS('Campaign - Dump'!$O:$O,'Campaign - Dump'!$J:$J,'Portfolio Wise '!$B60,'Campaign - Dump'!$A:$A,'Portfolio Wise '!$A60)</f>
        <v>3</v>
      </c>
      <c r="E60" s="23">
        <f t="shared" si="2"/>
        <v>0.003865979381</v>
      </c>
      <c r="F60" s="36">
        <f>SUMIFS('Campaign - Dump'!$Q:$Q,'Campaign - Dump'!$J:$J,'Portfolio Wise '!$B60,'Campaign - Dump'!$A:$A,'Portfolio Wise '!$A60)</f>
        <v>7.98</v>
      </c>
      <c r="G60" s="38">
        <f t="shared" si="3"/>
        <v>2.66</v>
      </c>
      <c r="H60" s="41">
        <f>SUMIFS('Campaign - Dump'!$T:$T,'Campaign - Dump'!$J:$J,'Portfolio Wise '!$B60,'Campaign - Dump'!$A:$A,'Portfolio Wise '!$A60)</f>
        <v>0</v>
      </c>
      <c r="I60" s="23">
        <f t="shared" si="4"/>
        <v>0</v>
      </c>
      <c r="J60" s="36">
        <f>SUMIFS('Campaign - Dump'!$U:$U,'Campaign - Dump'!$J:$J,'Portfolio Wise '!$B60,'Campaign - Dump'!$A:$A,'Portfolio Wise '!$A60)</f>
        <v>0</v>
      </c>
      <c r="K60" s="23">
        <f t="shared" si="5"/>
        <v>0</v>
      </c>
      <c r="L60" s="38">
        <f t="shared" si="6"/>
        <v>0</v>
      </c>
      <c r="M60" s="41">
        <f t="shared" si="7"/>
        <v>0</v>
      </c>
      <c r="N60" s="13">
        <f t="shared" si="88"/>
        <v>1</v>
      </c>
      <c r="O60" s="36">
        <f t="shared" si="89"/>
        <v>24575.42373</v>
      </c>
      <c r="P60" s="41">
        <f t="shared" si="8"/>
        <v>24575.42373</v>
      </c>
      <c r="Q60" s="13">
        <f>SUMIFS('Business - Dump'!$W:$W,'Business - Dump'!$B:$B,'Portfolio Wise '!$B60,'Business - Dump'!$A:$A,'Portfolio Wise '!$A60)</f>
        <v>1</v>
      </c>
      <c r="R60" s="36">
        <f>SUMIFS('Business - Dump'!$U:$U,'Business - Dump'!$B:$B,'Portfolio Wise '!$B60,'Business - Dump'!$A:$A,'Portfolio Wise '!$A60)/1.18</f>
        <v>24575.42373</v>
      </c>
      <c r="S60" s="41">
        <f t="shared" si="9"/>
        <v>24575.42373</v>
      </c>
      <c r="T60" s="23">
        <f t="shared" si="10"/>
        <v>0.0003247146453</v>
      </c>
      <c r="U60" s="38">
        <f t="shared" si="11"/>
        <v>3079.627034</v>
      </c>
      <c r="V60" s="41">
        <f>SUMIFS('Business - Dump'!$G:$G,'Business - Dump'!$B:$B,'Portfolio Wise '!$B60,'Business - Dump'!$A:$A,'Portfolio Wise '!$A60)</f>
        <v>57</v>
      </c>
      <c r="W60" s="23">
        <f t="shared" si="12"/>
        <v>0.01754385965</v>
      </c>
      <c r="X60" s="23">
        <f t="shared" ref="X60:Y60" si="95">IFERROR(N60/Q60,0)</f>
        <v>1</v>
      </c>
      <c r="Y60" s="49">
        <f t="shared" si="95"/>
        <v>1</v>
      </c>
      <c r="Z60" s="49">
        <f t="shared" si="14"/>
        <v>0</v>
      </c>
      <c r="AA60" s="23">
        <f t="shared" si="15"/>
        <v>1</v>
      </c>
      <c r="AB60" s="23">
        <f>IFERROR(AVERAGEIFS('Business - Dump'!$O:$O,'Business - Dump'!$B:$B,'Portfolio Wise '!$B60,'Business - Dump'!$A:$A,'Portfolio Wise '!$A60),0)</f>
        <v>0.8871</v>
      </c>
      <c r="AC60" s="49">
        <f>F60/SUMIFS('Campaign - Dump'!$Q:$Q,'Campaign - Dump'!$A:$A,'Portfolio Wise '!$A60)</f>
        <v>0.0000295608787</v>
      </c>
      <c r="AD60" s="49">
        <f t="shared" si="16"/>
        <v>0</v>
      </c>
    </row>
    <row r="61" ht="15.75" customHeight="1">
      <c r="A61" s="10" t="s">
        <v>46</v>
      </c>
      <c r="B61" s="100" t="s">
        <v>182</v>
      </c>
      <c r="C61" s="13">
        <f>SUMIFS('Campaign - Dump'!$N:$N,'Campaign - Dump'!$J:$J,'Portfolio Wise '!$B61,'Campaign - Dump'!$A:$A,'Portfolio Wise '!$A61)</f>
        <v>776</v>
      </c>
      <c r="D61" s="13">
        <f>SUMIFS('Campaign - Dump'!$O:$O,'Campaign - Dump'!$J:$J,'Portfolio Wise '!$B61,'Campaign - Dump'!$A:$A,'Portfolio Wise '!$A61)</f>
        <v>3</v>
      </c>
      <c r="E61" s="23">
        <f t="shared" si="2"/>
        <v>0.003865979381</v>
      </c>
      <c r="F61" s="36">
        <f>SUMIFS('Campaign - Dump'!$Q:$Q,'Campaign - Dump'!$J:$J,'Portfolio Wise '!$B61,'Campaign - Dump'!$A:$A,'Portfolio Wise '!$A61)</f>
        <v>7.98</v>
      </c>
      <c r="G61" s="38">
        <f t="shared" si="3"/>
        <v>2.66</v>
      </c>
      <c r="H61" s="41">
        <f>SUMIFS('Campaign - Dump'!$T:$T,'Campaign - Dump'!$J:$J,'Portfolio Wise '!$B61,'Campaign - Dump'!$A:$A,'Portfolio Wise '!$A61)</f>
        <v>0</v>
      </c>
      <c r="I61" s="23">
        <f t="shared" si="4"/>
        <v>0</v>
      </c>
      <c r="J61" s="36">
        <f>SUMIFS('Campaign - Dump'!$U:$U,'Campaign - Dump'!$J:$J,'Portfolio Wise '!$B61,'Campaign - Dump'!$A:$A,'Portfolio Wise '!$A61)</f>
        <v>0</v>
      </c>
      <c r="K61" s="23">
        <f t="shared" si="5"/>
        <v>0</v>
      </c>
      <c r="L61" s="38">
        <f t="shared" si="6"/>
        <v>0</v>
      </c>
      <c r="M61" s="41">
        <f t="shared" si="7"/>
        <v>0</v>
      </c>
      <c r="N61" s="13">
        <f t="shared" si="88"/>
        <v>1</v>
      </c>
      <c r="O61" s="36">
        <f t="shared" si="89"/>
        <v>24575.42373</v>
      </c>
      <c r="P61" s="41">
        <f t="shared" si="8"/>
        <v>24575.42373</v>
      </c>
      <c r="Q61" s="13">
        <f>SUMIFS('Business - Dump'!$W:$W,'Business - Dump'!$B:$B,'Portfolio Wise '!$B61,'Business - Dump'!$A:$A,'Portfolio Wise '!$A61)</f>
        <v>1</v>
      </c>
      <c r="R61" s="36">
        <f>SUMIFS('Business - Dump'!$U:$U,'Business - Dump'!$B:$B,'Portfolio Wise '!$B61,'Business - Dump'!$A:$A,'Portfolio Wise '!$A61)/1.18</f>
        <v>24575.42373</v>
      </c>
      <c r="S61" s="41">
        <f t="shared" si="9"/>
        <v>24575.42373</v>
      </c>
      <c r="T61" s="23">
        <f t="shared" si="10"/>
        <v>0.0003247146453</v>
      </c>
      <c r="U61" s="38">
        <f t="shared" si="11"/>
        <v>3079.627034</v>
      </c>
      <c r="V61" s="41">
        <f>SUMIFS('Business - Dump'!$G:$G,'Business - Dump'!$B:$B,'Portfolio Wise '!$B61,'Business - Dump'!$A:$A,'Portfolio Wise '!$A61)</f>
        <v>57</v>
      </c>
      <c r="W61" s="23">
        <f t="shared" si="12"/>
        <v>0.01754385965</v>
      </c>
      <c r="X61" s="23">
        <f t="shared" ref="X61:Y61" si="96">IFERROR(N61/Q61,0)</f>
        <v>1</v>
      </c>
      <c r="Y61" s="49">
        <f t="shared" si="96"/>
        <v>1</v>
      </c>
      <c r="Z61" s="49">
        <f t="shared" si="14"/>
        <v>0</v>
      </c>
      <c r="AA61" s="23">
        <f t="shared" si="15"/>
        <v>1</v>
      </c>
      <c r="AB61" s="23">
        <f>IFERROR(AVERAGEIFS('Business - Dump'!$O:$O,'Business - Dump'!$B:$B,'Portfolio Wise '!$B61,'Business - Dump'!$A:$A,'Portfolio Wise '!$A61),0)</f>
        <v>0.8871</v>
      </c>
      <c r="AC61" s="49">
        <f>F61/SUMIFS('Campaign - Dump'!$Q:$Q,'Campaign - Dump'!$A:$A,'Portfolio Wise '!$A61)</f>
        <v>0.0000295608787</v>
      </c>
      <c r="AD61" s="49">
        <f t="shared" si="16"/>
        <v>0</v>
      </c>
    </row>
    <row r="62" ht="15.75" customHeight="1">
      <c r="A62" s="10" t="s">
        <v>46</v>
      </c>
      <c r="B62" s="19" t="s">
        <v>196</v>
      </c>
      <c r="C62" s="13">
        <f>SUMIFS('Campaign - Dump'!$N:$N,'Campaign - Dump'!$J:$J,'Portfolio Wise '!$B62,'Campaign - Dump'!$A:$A,'Portfolio Wise '!$A62)</f>
        <v>0</v>
      </c>
      <c r="D62" s="13">
        <f>SUMIFS('Campaign - Dump'!$O:$O,'Campaign - Dump'!$J:$J,'Portfolio Wise '!$B62,'Campaign - Dump'!$A:$A,'Portfolio Wise '!$A62)</f>
        <v>0</v>
      </c>
      <c r="E62" s="23">
        <f t="shared" si="2"/>
        <v>0</v>
      </c>
      <c r="F62" s="36">
        <f>SUMIFS('Campaign - Dump'!$Q:$Q,'Campaign - Dump'!$J:$J,'Portfolio Wise '!$B62,'Campaign - Dump'!$A:$A,'Portfolio Wise '!$A62)</f>
        <v>0</v>
      </c>
      <c r="G62" s="38">
        <f t="shared" si="3"/>
        <v>0</v>
      </c>
      <c r="H62" s="41">
        <f>SUMIFS('Campaign - Dump'!$T:$T,'Campaign - Dump'!$J:$J,'Portfolio Wise '!$B62,'Campaign - Dump'!$A:$A,'Portfolio Wise '!$A62)</f>
        <v>0</v>
      </c>
      <c r="I62" s="23">
        <f t="shared" si="4"/>
        <v>0</v>
      </c>
      <c r="J62" s="36">
        <f>SUMIFS('Campaign - Dump'!$U:$U,'Campaign - Dump'!$J:$J,'Portfolio Wise '!$B62,'Campaign - Dump'!$A:$A,'Portfolio Wise '!$A62)</f>
        <v>0</v>
      </c>
      <c r="K62" s="23">
        <f t="shared" si="5"/>
        <v>0</v>
      </c>
      <c r="L62" s="38">
        <f t="shared" si="6"/>
        <v>0</v>
      </c>
      <c r="M62" s="41">
        <f t="shared" si="7"/>
        <v>0</v>
      </c>
      <c r="N62" s="13">
        <v>0.0</v>
      </c>
      <c r="O62" s="36">
        <v>0.0</v>
      </c>
      <c r="P62" s="41">
        <f t="shared" si="8"/>
        <v>0</v>
      </c>
      <c r="Q62" s="13">
        <f>SUMIFS('Business - Dump'!$W:$W,'Business - Dump'!$B:$B,'Portfolio Wise '!$B62,'Business - Dump'!$A:$A,'Portfolio Wise '!$A62)</f>
        <v>0</v>
      </c>
      <c r="R62" s="36">
        <f>SUMIFS('Business - Dump'!$U:$U,'Business - Dump'!$B:$B,'Portfolio Wise '!$B62,'Business - Dump'!$A:$A,'Portfolio Wise '!$A62)/1.18</f>
        <v>0</v>
      </c>
      <c r="S62" s="41">
        <f t="shared" si="9"/>
        <v>0</v>
      </c>
      <c r="T62" s="23">
        <f t="shared" si="10"/>
        <v>0</v>
      </c>
      <c r="U62" s="38">
        <f t="shared" si="11"/>
        <v>0</v>
      </c>
      <c r="V62" s="41">
        <f>SUMIFS('Business - Dump'!$G:$G,'Business - Dump'!$B:$B,'Portfolio Wise '!$B62,'Business - Dump'!$A:$A,'Portfolio Wise '!$A62)</f>
        <v>0</v>
      </c>
      <c r="W62" s="48">
        <f t="shared" si="12"/>
        <v>0</v>
      </c>
      <c r="X62" s="23">
        <f t="shared" ref="X62:Y62" si="97">IFERROR(N62/Q62,0)</f>
        <v>0</v>
      </c>
      <c r="Y62" s="49">
        <f t="shared" si="97"/>
        <v>0</v>
      </c>
      <c r="Z62" s="49">
        <f t="shared" si="14"/>
        <v>0</v>
      </c>
      <c r="AA62" s="23">
        <f t="shared" si="15"/>
        <v>0</v>
      </c>
      <c r="AB62" s="23">
        <f>IFERROR(AVERAGEIFS('Business - Dump'!$O:$O,'Business - Dump'!$B:$B,'Portfolio Wise '!$B62,'Business - Dump'!$A:$A,'Portfolio Wise '!$A62),0)</f>
        <v>0</v>
      </c>
      <c r="AC62" s="49">
        <f>F62/SUMIFS('Campaign - Dump'!$Q:$Q,'Campaign - Dump'!$A:$A,'Portfolio Wise '!$A62)</f>
        <v>0</v>
      </c>
      <c r="AD62" s="49">
        <f t="shared" si="16"/>
        <v>0</v>
      </c>
    </row>
    <row r="63" ht="15.75" customHeight="1">
      <c r="A63" s="10" t="s">
        <v>46</v>
      </c>
      <c r="B63" s="19" t="s">
        <v>205</v>
      </c>
      <c r="C63" s="13">
        <f>SUMIFS('Campaign - Dump'!$N:$N,'Campaign - Dump'!$J:$J,'Portfolio Wise '!$B63,'Campaign - Dump'!$A:$A,'Portfolio Wise '!$A63)</f>
        <v>0</v>
      </c>
      <c r="D63" s="13">
        <f>SUMIFS('Campaign - Dump'!$O:$O,'Campaign - Dump'!$J:$J,'Portfolio Wise '!$B63,'Campaign - Dump'!$A:$A,'Portfolio Wise '!$A63)</f>
        <v>0</v>
      </c>
      <c r="E63" s="23">
        <f t="shared" si="2"/>
        <v>0</v>
      </c>
      <c r="F63" s="36">
        <f>SUMIFS('Campaign - Dump'!$Q:$Q,'Campaign - Dump'!$J:$J,'Portfolio Wise '!$B63,'Campaign - Dump'!$A:$A,'Portfolio Wise '!$A63)</f>
        <v>0</v>
      </c>
      <c r="G63" s="38">
        <f t="shared" si="3"/>
        <v>0</v>
      </c>
      <c r="H63" s="41">
        <f>SUMIFS('Campaign - Dump'!$T:$T,'Campaign - Dump'!$J:$J,'Portfolio Wise '!$B63,'Campaign - Dump'!$A:$A,'Portfolio Wise '!$A63)</f>
        <v>0</v>
      </c>
      <c r="I63" s="23">
        <f t="shared" si="4"/>
        <v>0</v>
      </c>
      <c r="J63" s="36">
        <f>SUMIFS('Campaign - Dump'!$U:$U,'Campaign - Dump'!$J:$J,'Portfolio Wise '!$B63,'Campaign - Dump'!$A:$A,'Portfolio Wise '!$A63)</f>
        <v>0</v>
      </c>
      <c r="K63" s="23">
        <f t="shared" si="5"/>
        <v>0</v>
      </c>
      <c r="L63" s="38">
        <f t="shared" si="6"/>
        <v>0</v>
      </c>
      <c r="M63" s="41">
        <f t="shared" si="7"/>
        <v>0</v>
      </c>
      <c r="N63" s="13">
        <f t="shared" ref="N63:N72" si="99">IFERROR(Q63-H63,0)</f>
        <v>0</v>
      </c>
      <c r="O63" s="36">
        <f t="shared" ref="O63:O72" si="100">IFERROR(R63-J63,0)</f>
        <v>0</v>
      </c>
      <c r="P63" s="41">
        <f t="shared" si="8"/>
        <v>0</v>
      </c>
      <c r="Q63" s="13">
        <f>SUMIFS('Business - Dump'!$W:$W,'Business - Dump'!$B:$B,'Portfolio Wise '!$B63,'Business - Dump'!$A:$A,'Portfolio Wise '!$A63)</f>
        <v>0</v>
      </c>
      <c r="R63" s="36">
        <f>SUMIFS('Business - Dump'!$U:$U,'Business - Dump'!$B:$B,'Portfolio Wise '!$B63,'Business - Dump'!$A:$A,'Portfolio Wise '!$A63)/1.18</f>
        <v>0</v>
      </c>
      <c r="S63" s="41">
        <f t="shared" si="9"/>
        <v>0</v>
      </c>
      <c r="T63" s="23">
        <f t="shared" si="10"/>
        <v>0</v>
      </c>
      <c r="U63" s="38">
        <f t="shared" si="11"/>
        <v>0</v>
      </c>
      <c r="V63" s="41">
        <f>SUMIFS('Business - Dump'!$G:$G,'Business - Dump'!$B:$B,'Portfolio Wise '!$B63,'Business - Dump'!$A:$A,'Portfolio Wise '!$A63)</f>
        <v>0</v>
      </c>
      <c r="W63" s="48">
        <f t="shared" si="12"/>
        <v>0</v>
      </c>
      <c r="X63" s="23">
        <f t="shared" ref="X63:Y63" si="98">IFERROR(N63/Q63,0)</f>
        <v>0</v>
      </c>
      <c r="Y63" s="49">
        <f t="shared" si="98"/>
        <v>0</v>
      </c>
      <c r="Z63" s="49">
        <f t="shared" si="14"/>
        <v>0</v>
      </c>
      <c r="AA63" s="23">
        <f t="shared" si="15"/>
        <v>0</v>
      </c>
      <c r="AB63" s="23">
        <f>IFERROR(AVERAGEIFS('Business - Dump'!$O:$O,'Business - Dump'!$B:$B,'Portfolio Wise '!$B63,'Business - Dump'!$A:$A,'Portfolio Wise '!$A63),0)</f>
        <v>0</v>
      </c>
      <c r="AC63" s="49">
        <f>F63/SUMIFS('Campaign - Dump'!$Q:$Q,'Campaign - Dump'!$A:$A,'Portfolio Wise '!$A63)</f>
        <v>0</v>
      </c>
      <c r="AD63" s="49">
        <f t="shared" si="16"/>
        <v>0</v>
      </c>
    </row>
    <row r="64" ht="15.75" customHeight="1">
      <c r="A64" s="10" t="s">
        <v>46</v>
      </c>
      <c r="B64" s="10" t="s">
        <v>211</v>
      </c>
      <c r="C64" s="13">
        <f>SUMIFS('Campaign - Dump'!$N:$N,'Campaign - Dump'!$J:$J,'Portfolio Wise '!$B64,'Campaign - Dump'!$A:$A,'Portfolio Wise '!$A64)</f>
        <v>0</v>
      </c>
      <c r="D64" s="13">
        <f>SUMIFS('Campaign - Dump'!$O:$O,'Campaign - Dump'!$J:$J,'Portfolio Wise '!$B64,'Campaign - Dump'!$A:$A,'Portfolio Wise '!$A64)</f>
        <v>0</v>
      </c>
      <c r="E64" s="23">
        <f t="shared" si="2"/>
        <v>0</v>
      </c>
      <c r="F64" s="36">
        <f>SUMIFS('Campaign - Dump'!$Q:$Q,'Campaign - Dump'!$J:$J,'Portfolio Wise '!$B64,'Campaign - Dump'!$A:$A,'Portfolio Wise '!$A64)</f>
        <v>0</v>
      </c>
      <c r="G64" s="38">
        <f t="shared" si="3"/>
        <v>0</v>
      </c>
      <c r="H64" s="41">
        <f>SUMIFS('Campaign - Dump'!$T:$T,'Campaign - Dump'!$J:$J,'Portfolio Wise '!$B64,'Campaign - Dump'!$A:$A,'Portfolio Wise '!$A64)</f>
        <v>0</v>
      </c>
      <c r="I64" s="23">
        <f t="shared" si="4"/>
        <v>0</v>
      </c>
      <c r="J64" s="36">
        <f>SUMIFS('Campaign - Dump'!$U:$U,'Campaign - Dump'!$J:$J,'Portfolio Wise '!$B64,'Campaign - Dump'!$A:$A,'Portfolio Wise '!$A64)</f>
        <v>0</v>
      </c>
      <c r="K64" s="23">
        <f t="shared" si="5"/>
        <v>0</v>
      </c>
      <c r="L64" s="38">
        <f t="shared" si="6"/>
        <v>0</v>
      </c>
      <c r="M64" s="41">
        <f t="shared" si="7"/>
        <v>0</v>
      </c>
      <c r="N64" s="13">
        <f t="shared" si="99"/>
        <v>17</v>
      </c>
      <c r="O64" s="36">
        <f t="shared" si="100"/>
        <v>22388.38983</v>
      </c>
      <c r="P64" s="41">
        <f t="shared" si="8"/>
        <v>1316.964108</v>
      </c>
      <c r="Q64" s="13">
        <f>SUMIFS('Business - Dump'!$W:$W,'Business - Dump'!$B:$B,'Portfolio Wise '!$B64,'Business - Dump'!$A:$A,'Portfolio Wise '!$A64)</f>
        <v>17</v>
      </c>
      <c r="R64" s="36">
        <f>SUMIFS('Business - Dump'!$U:$U,'Business - Dump'!$B:$B,'Portfolio Wise '!$B64,'Business - Dump'!$A:$A,'Portfolio Wise '!$A64)/1.18</f>
        <v>22388.38983</v>
      </c>
      <c r="S64" s="41">
        <f t="shared" si="9"/>
        <v>1316.964108</v>
      </c>
      <c r="T64" s="23">
        <f t="shared" si="10"/>
        <v>0</v>
      </c>
      <c r="U64" s="38">
        <f t="shared" si="11"/>
        <v>0</v>
      </c>
      <c r="V64" s="41">
        <f>SUMIFS('Business - Dump'!$G:$G,'Business - Dump'!$B:$B,'Portfolio Wise '!$B64,'Business - Dump'!$A:$A,'Portfolio Wise '!$A64)</f>
        <v>299</v>
      </c>
      <c r="W64" s="48">
        <f t="shared" si="12"/>
        <v>0.05685618729</v>
      </c>
      <c r="X64" s="23">
        <f t="shared" ref="X64:Y64" si="101">IFERROR(N64/Q64,0)</f>
        <v>1</v>
      </c>
      <c r="Y64" s="49">
        <f t="shared" si="101"/>
        <v>1</v>
      </c>
      <c r="Z64" s="49">
        <f t="shared" si="14"/>
        <v>0</v>
      </c>
      <c r="AA64" s="23">
        <f t="shared" si="15"/>
        <v>1</v>
      </c>
      <c r="AB64" s="23">
        <f>IFERROR(AVERAGEIFS('Business - Dump'!$O:$O,'Business - Dump'!$B:$B,'Portfolio Wise '!$B64,'Business - Dump'!$A:$A,'Portfolio Wise '!$A64),0)</f>
        <v>0.9068</v>
      </c>
      <c r="AC64" s="49">
        <f>F64/SUMIFS('Campaign - Dump'!$Q:$Q,'Campaign - Dump'!$A:$A,'Portfolio Wise '!$A64)</f>
        <v>0</v>
      </c>
      <c r="AD64" s="49">
        <f t="shared" si="16"/>
        <v>0</v>
      </c>
    </row>
    <row r="65" ht="15.75" customHeight="1">
      <c r="A65" s="10" t="s">
        <v>46</v>
      </c>
      <c r="B65" s="19" t="s">
        <v>217</v>
      </c>
      <c r="C65" s="13">
        <f>SUMIFS('Campaign - Dump'!$N:$N,'Campaign - Dump'!$J:$J,'Portfolio Wise '!$B65,'Campaign - Dump'!$A:$A,'Portfolio Wise '!$A65)</f>
        <v>0</v>
      </c>
      <c r="D65" s="13">
        <f>SUMIFS('Campaign - Dump'!$O:$O,'Campaign - Dump'!$J:$J,'Portfolio Wise '!$B65,'Campaign - Dump'!$A:$A,'Portfolio Wise '!$A65)</f>
        <v>0</v>
      </c>
      <c r="E65" s="23">
        <f t="shared" si="2"/>
        <v>0</v>
      </c>
      <c r="F65" s="36">
        <f>SUMIFS('Campaign - Dump'!$Q:$Q,'Campaign - Dump'!$J:$J,'Portfolio Wise '!$B65,'Campaign - Dump'!$A:$A,'Portfolio Wise '!$A65)</f>
        <v>0</v>
      </c>
      <c r="G65" s="38">
        <f t="shared" si="3"/>
        <v>0</v>
      </c>
      <c r="H65" s="41">
        <f>SUMIFS('Campaign - Dump'!$T:$T,'Campaign - Dump'!$J:$J,'Portfolio Wise '!$B65,'Campaign - Dump'!$A:$A,'Portfolio Wise '!$A65)</f>
        <v>0</v>
      </c>
      <c r="I65" s="23">
        <f t="shared" si="4"/>
        <v>0</v>
      </c>
      <c r="J65" s="36">
        <f>SUMIFS('Campaign - Dump'!$U:$U,'Campaign - Dump'!$J:$J,'Portfolio Wise '!$B65,'Campaign - Dump'!$A:$A,'Portfolio Wise '!$A65)</f>
        <v>0</v>
      </c>
      <c r="K65" s="23">
        <f t="shared" si="5"/>
        <v>0</v>
      </c>
      <c r="L65" s="38">
        <f t="shared" si="6"/>
        <v>0</v>
      </c>
      <c r="M65" s="41">
        <f t="shared" si="7"/>
        <v>0</v>
      </c>
      <c r="N65" s="13">
        <f t="shared" si="99"/>
        <v>7</v>
      </c>
      <c r="O65" s="36">
        <f t="shared" si="100"/>
        <v>12638.13559</v>
      </c>
      <c r="P65" s="41">
        <f t="shared" si="8"/>
        <v>1805.447942</v>
      </c>
      <c r="Q65" s="13">
        <f>SUMIFS('Business - Dump'!$W:$W,'Business - Dump'!$B:$B,'Portfolio Wise '!$B65,'Business - Dump'!$A:$A,'Portfolio Wise '!$A65)</f>
        <v>7</v>
      </c>
      <c r="R65" s="36">
        <f>SUMIFS('Business - Dump'!$U:$U,'Business - Dump'!$B:$B,'Portfolio Wise '!$B65,'Business - Dump'!$A:$A,'Portfolio Wise '!$A65)/1.18</f>
        <v>12638.13559</v>
      </c>
      <c r="S65" s="41">
        <f t="shared" si="9"/>
        <v>1805.447942</v>
      </c>
      <c r="T65" s="23">
        <f t="shared" si="10"/>
        <v>0</v>
      </c>
      <c r="U65" s="38">
        <f t="shared" si="11"/>
        <v>0</v>
      </c>
      <c r="V65" s="41">
        <f>SUMIFS('Business - Dump'!$G:$G,'Business - Dump'!$B:$B,'Portfolio Wise '!$B65,'Business - Dump'!$A:$A,'Portfolio Wise '!$A65)</f>
        <v>637</v>
      </c>
      <c r="W65" s="48">
        <f t="shared" si="12"/>
        <v>0.01098901099</v>
      </c>
      <c r="X65" s="23">
        <f t="shared" ref="X65:Y65" si="102">IFERROR(N65/Q65,0)</f>
        <v>1</v>
      </c>
      <c r="Y65" s="49">
        <f t="shared" si="102"/>
        <v>1</v>
      </c>
      <c r="Z65" s="49">
        <f t="shared" si="14"/>
        <v>0</v>
      </c>
      <c r="AA65" s="23">
        <f t="shared" si="15"/>
        <v>1</v>
      </c>
      <c r="AB65" s="23">
        <f>IFERROR(AVERAGEIFS('Business - Dump'!$O:$O,'Business - Dump'!$B:$B,'Portfolio Wise '!$B65,'Business - Dump'!$A:$A,'Portfolio Wise '!$A65),0)</f>
        <v>0.879925</v>
      </c>
      <c r="AC65" s="49">
        <f>F65/SUMIFS('Campaign - Dump'!$Q:$Q,'Campaign - Dump'!$A:$A,'Portfolio Wise '!$A65)</f>
        <v>0</v>
      </c>
      <c r="AD65" s="49">
        <f t="shared" si="16"/>
        <v>0</v>
      </c>
    </row>
    <row r="66" ht="15.75" customHeight="1">
      <c r="A66" s="10" t="s">
        <v>46</v>
      </c>
      <c r="B66" s="33" t="s">
        <v>230</v>
      </c>
      <c r="C66" s="13">
        <f>SUMIFS('Campaign - Dump'!$N:$N,'Campaign - Dump'!$J:$J,'Portfolio Wise '!$B66,'Campaign - Dump'!$A:$A,'Portfolio Wise '!$A66)</f>
        <v>0</v>
      </c>
      <c r="D66" s="13">
        <f>SUMIFS('Campaign - Dump'!$O:$O,'Campaign - Dump'!$J:$J,'Portfolio Wise '!$B66,'Campaign - Dump'!$A:$A,'Portfolio Wise '!$A66)</f>
        <v>0</v>
      </c>
      <c r="E66" s="23">
        <f t="shared" si="2"/>
        <v>0</v>
      </c>
      <c r="F66" s="36">
        <f>SUMIFS('Campaign - Dump'!$Q:$Q,'Campaign - Dump'!$J:$J,'Portfolio Wise '!$B66,'Campaign - Dump'!$A:$A,'Portfolio Wise '!$A66)</f>
        <v>0</v>
      </c>
      <c r="G66" s="38">
        <f t="shared" si="3"/>
        <v>0</v>
      </c>
      <c r="H66" s="41">
        <f>SUMIFS('Campaign - Dump'!$T:$T,'Campaign - Dump'!$J:$J,'Portfolio Wise '!$B66,'Campaign - Dump'!$A:$A,'Portfolio Wise '!$A66)</f>
        <v>0</v>
      </c>
      <c r="I66" s="23">
        <f t="shared" si="4"/>
        <v>0</v>
      </c>
      <c r="J66" s="36">
        <f>SUMIFS('Campaign - Dump'!$U:$U,'Campaign - Dump'!$J:$J,'Portfolio Wise '!$B66,'Campaign - Dump'!$A:$A,'Portfolio Wise '!$A66)</f>
        <v>0</v>
      </c>
      <c r="K66" s="23">
        <f t="shared" si="5"/>
        <v>0</v>
      </c>
      <c r="L66" s="38">
        <f t="shared" si="6"/>
        <v>0</v>
      </c>
      <c r="M66" s="41">
        <f t="shared" si="7"/>
        <v>0</v>
      </c>
      <c r="N66" s="13">
        <f t="shared" si="99"/>
        <v>0</v>
      </c>
      <c r="O66" s="36">
        <f t="shared" si="100"/>
        <v>0</v>
      </c>
      <c r="P66" s="41">
        <f t="shared" si="8"/>
        <v>0</v>
      </c>
      <c r="Q66" s="13">
        <f>SUMIFS('Business - Dump'!$W:$W,'Business - Dump'!$B:$B,'Portfolio Wise '!$B66,'Business - Dump'!$A:$A,'Portfolio Wise '!$A66)</f>
        <v>0</v>
      </c>
      <c r="R66" s="36">
        <f>SUMIFS('Business - Dump'!$U:$U,'Business - Dump'!$B:$B,'Portfolio Wise '!$B66,'Business - Dump'!$A:$A,'Portfolio Wise '!$A66)/1.18</f>
        <v>0</v>
      </c>
      <c r="S66" s="41">
        <f t="shared" si="9"/>
        <v>0</v>
      </c>
      <c r="T66" s="23">
        <f t="shared" si="10"/>
        <v>0</v>
      </c>
      <c r="U66" s="38">
        <f t="shared" si="11"/>
        <v>0</v>
      </c>
      <c r="V66" s="41">
        <f>SUMIFS('Business - Dump'!$G:$G,'Business - Dump'!$B:$B,'Portfolio Wise '!$B66,'Business - Dump'!$A:$A,'Portfolio Wise '!$A66)</f>
        <v>0</v>
      </c>
      <c r="W66" s="23">
        <f t="shared" si="12"/>
        <v>0</v>
      </c>
      <c r="X66" s="23">
        <f t="shared" ref="X66:Y66" si="103">IFERROR(N66/Q66,0)</f>
        <v>0</v>
      </c>
      <c r="Y66" s="49">
        <f t="shared" si="103"/>
        <v>0</v>
      </c>
      <c r="Z66" s="49">
        <f t="shared" si="14"/>
        <v>0</v>
      </c>
      <c r="AA66" s="23">
        <f t="shared" si="15"/>
        <v>0</v>
      </c>
      <c r="AB66" s="23">
        <f>IFERROR(AVERAGEIFS('Business - Dump'!$O:$O,'Business - Dump'!$B:$B,'Portfolio Wise '!$B66,'Business - Dump'!$A:$A,'Portfolio Wise '!$A66),0)</f>
        <v>0</v>
      </c>
      <c r="AC66" s="49">
        <f>F66/SUMIFS('Campaign - Dump'!$Q:$Q,'Campaign - Dump'!$A:$A,'Portfolio Wise '!$A66)</f>
        <v>0</v>
      </c>
      <c r="AD66" s="49">
        <f t="shared" si="16"/>
        <v>0</v>
      </c>
    </row>
    <row r="67" ht="15.75" customHeight="1">
      <c r="A67" s="10" t="s">
        <v>46</v>
      </c>
      <c r="B67" s="33" t="s">
        <v>230</v>
      </c>
      <c r="C67" s="13">
        <f>SUMIFS('Campaign - Dump'!$N:$N,'Campaign - Dump'!$J:$J,'Portfolio Wise '!$B67,'Campaign - Dump'!$A:$A,'Portfolio Wise '!$A67)</f>
        <v>0</v>
      </c>
      <c r="D67" s="13">
        <f>SUMIFS('Campaign - Dump'!$O:$O,'Campaign - Dump'!$J:$J,'Portfolio Wise '!$B67,'Campaign - Dump'!$A:$A,'Portfolio Wise '!$A67)</f>
        <v>0</v>
      </c>
      <c r="E67" s="23">
        <f t="shared" si="2"/>
        <v>0</v>
      </c>
      <c r="F67" s="36">
        <f>SUMIFS('Campaign - Dump'!$Q:$Q,'Campaign - Dump'!$J:$J,'Portfolio Wise '!$B67,'Campaign - Dump'!$A:$A,'Portfolio Wise '!$A67)</f>
        <v>0</v>
      </c>
      <c r="G67" s="38">
        <f t="shared" si="3"/>
        <v>0</v>
      </c>
      <c r="H67" s="41">
        <f>SUMIFS('Campaign - Dump'!$T:$T,'Campaign - Dump'!$J:$J,'Portfolio Wise '!$B67,'Campaign - Dump'!$A:$A,'Portfolio Wise '!$A67)</f>
        <v>0</v>
      </c>
      <c r="I67" s="23">
        <f t="shared" si="4"/>
        <v>0</v>
      </c>
      <c r="J67" s="36">
        <f>SUMIFS('Campaign - Dump'!$U:$U,'Campaign - Dump'!$J:$J,'Portfolio Wise '!$B67,'Campaign - Dump'!$A:$A,'Portfolio Wise '!$A67)</f>
        <v>0</v>
      </c>
      <c r="K67" s="23">
        <f t="shared" si="5"/>
        <v>0</v>
      </c>
      <c r="L67" s="38">
        <f t="shared" si="6"/>
        <v>0</v>
      </c>
      <c r="M67" s="41">
        <f t="shared" si="7"/>
        <v>0</v>
      </c>
      <c r="N67" s="13">
        <f t="shared" si="99"/>
        <v>0</v>
      </c>
      <c r="O67" s="36">
        <f t="shared" si="100"/>
        <v>0</v>
      </c>
      <c r="P67" s="41">
        <f t="shared" si="8"/>
        <v>0</v>
      </c>
      <c r="Q67" s="13">
        <f>SUMIFS('Business - Dump'!$W:$W,'Business - Dump'!$B:$B,'Portfolio Wise '!$B67,'Business - Dump'!$A:$A,'Portfolio Wise '!$A67)</f>
        <v>0</v>
      </c>
      <c r="R67" s="36">
        <f>SUMIFS('Business - Dump'!$U:$U,'Business - Dump'!$B:$B,'Portfolio Wise '!$B67,'Business - Dump'!$A:$A,'Portfolio Wise '!$A67)/1.18</f>
        <v>0</v>
      </c>
      <c r="S67" s="41">
        <f t="shared" si="9"/>
        <v>0</v>
      </c>
      <c r="T67" s="23">
        <f t="shared" si="10"/>
        <v>0</v>
      </c>
      <c r="U67" s="38">
        <f t="shared" si="11"/>
        <v>0</v>
      </c>
      <c r="V67" s="41">
        <f>SUMIFS('Business - Dump'!$G:$G,'Business - Dump'!$B:$B,'Portfolio Wise '!$B67,'Business - Dump'!$A:$A,'Portfolio Wise '!$A67)</f>
        <v>0</v>
      </c>
      <c r="W67" s="23">
        <f t="shared" si="12"/>
        <v>0</v>
      </c>
      <c r="X67" s="23">
        <f t="shared" ref="X67:Y67" si="104">IFERROR(N67/Q67,0)</f>
        <v>0</v>
      </c>
      <c r="Y67" s="49">
        <f t="shared" si="104"/>
        <v>0</v>
      </c>
      <c r="Z67" s="49">
        <f t="shared" si="14"/>
        <v>0</v>
      </c>
      <c r="AA67" s="23">
        <f t="shared" si="15"/>
        <v>0</v>
      </c>
      <c r="AB67" s="23">
        <f>IFERROR(AVERAGEIFS('Business - Dump'!$O:$O,'Business - Dump'!$B:$B,'Portfolio Wise '!$B67,'Business - Dump'!$A:$A,'Portfolio Wise '!$A67),0)</f>
        <v>0</v>
      </c>
      <c r="AC67" s="49">
        <f>F67/SUMIFS('Campaign - Dump'!$Q:$Q,'Campaign - Dump'!$A:$A,'Portfolio Wise '!$A67)</f>
        <v>0</v>
      </c>
      <c r="AD67" s="49">
        <f t="shared" si="16"/>
        <v>0</v>
      </c>
    </row>
    <row r="68" ht="15.75" customHeight="1">
      <c r="A68" s="10" t="s">
        <v>46</v>
      </c>
      <c r="B68" s="19" t="s">
        <v>232</v>
      </c>
      <c r="C68" s="13">
        <f>SUMIFS('Campaign - Dump'!$N:$N,'Campaign - Dump'!$J:$J,'Portfolio Wise '!$B68,'Campaign - Dump'!$A:$A,'Portfolio Wise '!$A68)</f>
        <v>0</v>
      </c>
      <c r="D68" s="13">
        <f>SUMIFS('Campaign - Dump'!$O:$O,'Campaign - Dump'!$J:$J,'Portfolio Wise '!$B68,'Campaign - Dump'!$A:$A,'Portfolio Wise '!$A68)</f>
        <v>0</v>
      </c>
      <c r="E68" s="23">
        <f t="shared" si="2"/>
        <v>0</v>
      </c>
      <c r="F68" s="36">
        <f>SUMIFS('Campaign - Dump'!$Q:$Q,'Campaign - Dump'!$J:$J,'Portfolio Wise '!$B68,'Campaign - Dump'!$A:$A,'Portfolio Wise '!$A68)</f>
        <v>0</v>
      </c>
      <c r="G68" s="38">
        <f t="shared" si="3"/>
        <v>0</v>
      </c>
      <c r="H68" s="41">
        <f>SUMIFS('Campaign - Dump'!$T:$T,'Campaign - Dump'!$J:$J,'Portfolio Wise '!$B68,'Campaign - Dump'!$A:$A,'Portfolio Wise '!$A68)</f>
        <v>0</v>
      </c>
      <c r="I68" s="23">
        <f t="shared" si="4"/>
        <v>0</v>
      </c>
      <c r="J68" s="36">
        <f>SUMIFS('Campaign - Dump'!$U:$U,'Campaign - Dump'!$J:$J,'Portfolio Wise '!$B68,'Campaign - Dump'!$A:$A,'Portfolio Wise '!$A68)</f>
        <v>0</v>
      </c>
      <c r="K68" s="23">
        <f t="shared" si="5"/>
        <v>0</v>
      </c>
      <c r="L68" s="38">
        <f t="shared" si="6"/>
        <v>0</v>
      </c>
      <c r="M68" s="41">
        <f t="shared" si="7"/>
        <v>0</v>
      </c>
      <c r="N68" s="13">
        <f t="shared" si="99"/>
        <v>13</v>
      </c>
      <c r="O68" s="36">
        <f t="shared" si="100"/>
        <v>199143.2203</v>
      </c>
      <c r="P68" s="41">
        <f t="shared" si="8"/>
        <v>15318.70926</v>
      </c>
      <c r="Q68" s="13">
        <f>SUMIFS('Business - Dump'!$W:$W,'Business - Dump'!$B:$B,'Portfolio Wise '!$B68,'Business - Dump'!$A:$A,'Portfolio Wise '!$A68)</f>
        <v>13</v>
      </c>
      <c r="R68" s="36">
        <f>SUMIFS('Business - Dump'!$U:$U,'Business - Dump'!$B:$B,'Portfolio Wise '!$B68,'Business - Dump'!$A:$A,'Portfolio Wise '!$A68)/1.18</f>
        <v>199143.2203</v>
      </c>
      <c r="S68" s="41">
        <f t="shared" si="9"/>
        <v>15318.70926</v>
      </c>
      <c r="T68" s="23">
        <f t="shared" si="10"/>
        <v>0</v>
      </c>
      <c r="U68" s="38">
        <f t="shared" si="11"/>
        <v>0</v>
      </c>
      <c r="V68" s="41">
        <f>SUMIFS('Business - Dump'!$G:$G,'Business - Dump'!$B:$B,'Portfolio Wise '!$B68,'Business - Dump'!$A:$A,'Portfolio Wise '!$A68)</f>
        <v>2368</v>
      </c>
      <c r="W68" s="48">
        <f t="shared" si="12"/>
        <v>0.005489864865</v>
      </c>
      <c r="X68" s="23">
        <f t="shared" ref="X68:Y68" si="105">IFERROR(N68/Q68,0)</f>
        <v>1</v>
      </c>
      <c r="Y68" s="49">
        <f t="shared" si="105"/>
        <v>1</v>
      </c>
      <c r="Z68" s="49">
        <f t="shared" si="14"/>
        <v>0</v>
      </c>
      <c r="AA68" s="23">
        <f t="shared" si="15"/>
        <v>1</v>
      </c>
      <c r="AB68" s="23">
        <f>IFERROR(AVERAGEIFS('Business - Dump'!$O:$O,'Business - Dump'!$B:$B,'Portfolio Wise '!$B68,'Business - Dump'!$A:$A,'Portfolio Wise '!$A68),0)</f>
        <v>0.89838</v>
      </c>
      <c r="AC68" s="49">
        <f>F68/SUMIFS('Campaign - Dump'!$Q:$Q,'Campaign - Dump'!$A:$A,'Portfolio Wise '!$A68)</f>
        <v>0</v>
      </c>
      <c r="AD68" s="49">
        <f t="shared" si="16"/>
        <v>0</v>
      </c>
    </row>
    <row r="69" ht="15.75" customHeight="1">
      <c r="A69" s="10" t="s">
        <v>46</v>
      </c>
      <c r="B69" s="51" t="s">
        <v>239</v>
      </c>
      <c r="C69" s="13">
        <f>SUMIFS('Campaign - Dump'!$N:$N,'Campaign - Dump'!$J:$J,'Portfolio Wise '!$B69,'Campaign - Dump'!$A:$A,'Portfolio Wise '!$A69)</f>
        <v>0</v>
      </c>
      <c r="D69" s="13">
        <f>SUMIFS('Campaign - Dump'!$O:$O,'Campaign - Dump'!$J:$J,'Portfolio Wise '!$B69,'Campaign - Dump'!$A:$A,'Portfolio Wise '!$A69)</f>
        <v>0</v>
      </c>
      <c r="E69" s="23">
        <f t="shared" si="2"/>
        <v>0</v>
      </c>
      <c r="F69" s="36">
        <f>SUMIFS('Campaign - Dump'!$Q:$Q,'Campaign - Dump'!$J:$J,'Portfolio Wise '!$B69,'Campaign - Dump'!$A:$A,'Portfolio Wise '!$A69)</f>
        <v>0</v>
      </c>
      <c r="G69" s="38">
        <f t="shared" si="3"/>
        <v>0</v>
      </c>
      <c r="H69" s="41">
        <f>SUMIFS('Campaign - Dump'!$T:$T,'Campaign - Dump'!$J:$J,'Portfolio Wise '!$B69,'Campaign - Dump'!$A:$A,'Portfolio Wise '!$A69)</f>
        <v>0</v>
      </c>
      <c r="I69" s="23">
        <f t="shared" si="4"/>
        <v>0</v>
      </c>
      <c r="J69" s="36">
        <f>SUMIFS('Campaign - Dump'!$U:$U,'Campaign - Dump'!$J:$J,'Portfolio Wise '!$B69,'Campaign - Dump'!$A:$A,'Portfolio Wise '!$A69)</f>
        <v>0</v>
      </c>
      <c r="K69" s="23">
        <f t="shared" si="5"/>
        <v>0</v>
      </c>
      <c r="L69" s="38">
        <f t="shared" si="6"/>
        <v>0</v>
      </c>
      <c r="M69" s="41">
        <f t="shared" si="7"/>
        <v>0</v>
      </c>
      <c r="N69" s="13">
        <f t="shared" si="99"/>
        <v>0</v>
      </c>
      <c r="O69" s="36">
        <f t="shared" si="100"/>
        <v>0</v>
      </c>
      <c r="P69" s="41">
        <f t="shared" si="8"/>
        <v>0</v>
      </c>
      <c r="Q69" s="13">
        <f>SUMIFS('Business - Dump'!$W:$W,'Business - Dump'!$B:$B,'Portfolio Wise '!$B69,'Business - Dump'!$A:$A,'Portfolio Wise '!$A69)</f>
        <v>0</v>
      </c>
      <c r="R69" s="36">
        <f>SUMIFS('Business - Dump'!$U:$U,'Business - Dump'!$B:$B,'Portfolio Wise '!$B69,'Business - Dump'!$A:$A,'Portfolio Wise '!$A69)/1.18</f>
        <v>0</v>
      </c>
      <c r="S69" s="41">
        <f t="shared" si="9"/>
        <v>0</v>
      </c>
      <c r="T69" s="23">
        <f t="shared" si="10"/>
        <v>0</v>
      </c>
      <c r="U69" s="38">
        <f t="shared" si="11"/>
        <v>0</v>
      </c>
      <c r="V69" s="41">
        <f>SUMIFS('Business - Dump'!$G:$G,'Business - Dump'!$B:$B,'Portfolio Wise '!$B69,'Business - Dump'!$A:$A,'Portfolio Wise '!$A69)</f>
        <v>0</v>
      </c>
      <c r="W69" s="48">
        <f t="shared" si="12"/>
        <v>0</v>
      </c>
      <c r="X69" s="23">
        <f t="shared" ref="X69:Y69" si="106">IFERROR(N69/Q69,0)</f>
        <v>0</v>
      </c>
      <c r="Y69" s="49">
        <f t="shared" si="106"/>
        <v>0</v>
      </c>
      <c r="Z69" s="49">
        <f t="shared" si="14"/>
        <v>0</v>
      </c>
      <c r="AA69" s="23">
        <f t="shared" si="15"/>
        <v>0</v>
      </c>
      <c r="AB69" s="23">
        <f>IFERROR(AVERAGEIFS('Business - Dump'!$O:$O,'Business - Dump'!$B:$B,'Portfolio Wise '!$B69,'Business - Dump'!$A:$A,'Portfolio Wise '!$A69),0)</f>
        <v>0</v>
      </c>
      <c r="AC69" s="49">
        <f>F69/SUMIFS('Campaign - Dump'!$Q:$Q,'Campaign - Dump'!$A:$A,'Portfolio Wise '!$A69)</f>
        <v>0</v>
      </c>
      <c r="AD69" s="49">
        <f t="shared" si="16"/>
        <v>0</v>
      </c>
    </row>
    <row r="70" ht="15.75" customHeight="1">
      <c r="A70" s="10" t="s">
        <v>46</v>
      </c>
      <c r="B70" s="19" t="s">
        <v>240</v>
      </c>
      <c r="C70" s="13">
        <f>SUMIFS('Campaign - Dump'!$N:$N,'Campaign - Dump'!$J:$J,'Portfolio Wise '!$B70,'Campaign - Dump'!$A:$A,'Portfolio Wise '!$A70)</f>
        <v>0</v>
      </c>
      <c r="D70" s="13">
        <f>SUMIFS('Campaign - Dump'!$O:$O,'Campaign - Dump'!$J:$J,'Portfolio Wise '!$B70,'Campaign - Dump'!$A:$A,'Portfolio Wise '!$A70)</f>
        <v>0</v>
      </c>
      <c r="E70" s="23">
        <f t="shared" si="2"/>
        <v>0</v>
      </c>
      <c r="F70" s="36">
        <f>SUMIFS('Campaign - Dump'!$Q:$Q,'Campaign - Dump'!$J:$J,'Portfolio Wise '!$B70,'Campaign - Dump'!$A:$A,'Portfolio Wise '!$A70)</f>
        <v>0</v>
      </c>
      <c r="G70" s="38">
        <f t="shared" si="3"/>
        <v>0</v>
      </c>
      <c r="H70" s="41">
        <f>SUMIFS('Campaign - Dump'!$T:$T,'Campaign - Dump'!$J:$J,'Portfolio Wise '!$B70,'Campaign - Dump'!$A:$A,'Portfolio Wise '!$A70)</f>
        <v>0</v>
      </c>
      <c r="I70" s="23">
        <f t="shared" si="4"/>
        <v>0</v>
      </c>
      <c r="J70" s="36">
        <f>SUMIFS('Campaign - Dump'!$U:$U,'Campaign - Dump'!$J:$J,'Portfolio Wise '!$B70,'Campaign - Dump'!$A:$A,'Portfolio Wise '!$A70)</f>
        <v>0</v>
      </c>
      <c r="K70" s="23">
        <f t="shared" si="5"/>
        <v>0</v>
      </c>
      <c r="L70" s="38">
        <f t="shared" si="6"/>
        <v>0</v>
      </c>
      <c r="M70" s="41">
        <f t="shared" si="7"/>
        <v>0</v>
      </c>
      <c r="N70" s="13">
        <f t="shared" si="99"/>
        <v>0</v>
      </c>
      <c r="O70" s="36">
        <f t="shared" si="100"/>
        <v>0</v>
      </c>
      <c r="P70" s="41">
        <f t="shared" si="8"/>
        <v>0</v>
      </c>
      <c r="Q70" s="13">
        <f>SUMIFS('Business - Dump'!$W:$W,'Business - Dump'!$B:$B,'Portfolio Wise '!$B70,'Business - Dump'!$A:$A,'Portfolio Wise '!$A70)</f>
        <v>0</v>
      </c>
      <c r="R70" s="36">
        <f>SUMIFS('Business - Dump'!$U:$U,'Business - Dump'!$B:$B,'Portfolio Wise '!$B70,'Business - Dump'!$A:$A,'Portfolio Wise '!$A70)/1.18</f>
        <v>0</v>
      </c>
      <c r="S70" s="41">
        <f t="shared" si="9"/>
        <v>0</v>
      </c>
      <c r="T70" s="23">
        <f t="shared" si="10"/>
        <v>0</v>
      </c>
      <c r="U70" s="38">
        <f t="shared" si="11"/>
        <v>0</v>
      </c>
      <c r="V70" s="41">
        <f>SUMIFS('Business - Dump'!$G:$G,'Business - Dump'!$B:$B,'Portfolio Wise '!$B70,'Business - Dump'!$A:$A,'Portfolio Wise '!$A70)</f>
        <v>0</v>
      </c>
      <c r="W70" s="48">
        <f t="shared" si="12"/>
        <v>0</v>
      </c>
      <c r="X70" s="23">
        <f t="shared" ref="X70:Y70" si="107">IFERROR(N70/Q70,0)</f>
        <v>0</v>
      </c>
      <c r="Y70" s="49">
        <f t="shared" si="107"/>
        <v>0</v>
      </c>
      <c r="Z70" s="49">
        <f t="shared" si="14"/>
        <v>0</v>
      </c>
      <c r="AA70" s="23">
        <f t="shared" si="15"/>
        <v>0</v>
      </c>
      <c r="AB70" s="23">
        <f>IFERROR(AVERAGEIFS('Business - Dump'!$O:$O,'Business - Dump'!$B:$B,'Portfolio Wise '!$B70,'Business - Dump'!$A:$A,'Portfolio Wise '!$A70),0)</f>
        <v>0</v>
      </c>
      <c r="AC70" s="49">
        <f>F70/SUMIFS('Campaign - Dump'!$Q:$Q,'Campaign - Dump'!$A:$A,'Portfolio Wise '!$A70)</f>
        <v>0</v>
      </c>
      <c r="AD70" s="49">
        <f t="shared" si="16"/>
        <v>0</v>
      </c>
    </row>
    <row r="71" ht="15.75" customHeight="1">
      <c r="A71" s="10" t="s">
        <v>46</v>
      </c>
      <c r="B71" s="10" t="s">
        <v>241</v>
      </c>
      <c r="C71" s="13">
        <f>SUMIFS('Campaign - Dump'!$N:$N,'Campaign - Dump'!$J:$J,'Portfolio Wise '!$B71,'Campaign - Dump'!$A:$A,'Portfolio Wise '!$A71)</f>
        <v>0</v>
      </c>
      <c r="D71" s="13">
        <f>SUMIFS('Campaign - Dump'!$O:$O,'Campaign - Dump'!$J:$J,'Portfolio Wise '!$B71,'Campaign - Dump'!$A:$A,'Portfolio Wise '!$A71)</f>
        <v>0</v>
      </c>
      <c r="E71" s="23">
        <f t="shared" si="2"/>
        <v>0</v>
      </c>
      <c r="F71" s="36">
        <f>SUMIFS('Campaign - Dump'!$Q:$Q,'Campaign - Dump'!$J:$J,'Portfolio Wise '!$B71,'Campaign - Dump'!$A:$A,'Portfolio Wise '!$A71)</f>
        <v>0</v>
      </c>
      <c r="G71" s="38">
        <f t="shared" si="3"/>
        <v>0</v>
      </c>
      <c r="H71" s="41">
        <f>SUMIFS('Campaign - Dump'!$T:$T,'Campaign - Dump'!$J:$J,'Portfolio Wise '!$B71,'Campaign - Dump'!$A:$A,'Portfolio Wise '!$A71)</f>
        <v>0</v>
      </c>
      <c r="I71" s="23">
        <f t="shared" si="4"/>
        <v>0</v>
      </c>
      <c r="J71" s="36">
        <f>SUMIFS('Campaign - Dump'!$U:$U,'Campaign - Dump'!$J:$J,'Portfolio Wise '!$B71,'Campaign - Dump'!$A:$A,'Portfolio Wise '!$A71)</f>
        <v>0</v>
      </c>
      <c r="K71" s="23">
        <f t="shared" si="5"/>
        <v>0</v>
      </c>
      <c r="L71" s="38">
        <f t="shared" si="6"/>
        <v>0</v>
      </c>
      <c r="M71" s="41">
        <f t="shared" si="7"/>
        <v>0</v>
      </c>
      <c r="N71" s="13">
        <f t="shared" si="99"/>
        <v>0</v>
      </c>
      <c r="O71" s="36">
        <f t="shared" si="100"/>
        <v>0</v>
      </c>
      <c r="P71" s="41">
        <f t="shared" si="8"/>
        <v>0</v>
      </c>
      <c r="Q71" s="13">
        <f>SUMIFS('Business - Dump'!$W:$W,'Business - Dump'!$B:$B,'Portfolio Wise '!$B71,'Business - Dump'!$A:$A,'Portfolio Wise '!$A71)</f>
        <v>0</v>
      </c>
      <c r="R71" s="36">
        <f>SUMIFS('Business - Dump'!$U:$U,'Business - Dump'!$B:$B,'Portfolio Wise '!$B71,'Business - Dump'!$A:$A,'Portfolio Wise '!$A71)/1.18</f>
        <v>0</v>
      </c>
      <c r="S71" s="41">
        <f t="shared" si="9"/>
        <v>0</v>
      </c>
      <c r="T71" s="23">
        <f t="shared" si="10"/>
        <v>0</v>
      </c>
      <c r="U71" s="38">
        <f t="shared" si="11"/>
        <v>0</v>
      </c>
      <c r="V71" s="41">
        <f>SUMIFS('Business - Dump'!$G:$G,'Business - Dump'!$B:$B,'Portfolio Wise '!$B71,'Business - Dump'!$A:$A,'Portfolio Wise '!$A71)</f>
        <v>0</v>
      </c>
      <c r="W71" s="48">
        <f t="shared" si="12"/>
        <v>0</v>
      </c>
      <c r="X71" s="23">
        <f t="shared" ref="X71:Y71" si="108">IFERROR(N71/Q71,0)</f>
        <v>0</v>
      </c>
      <c r="Y71" s="49">
        <f t="shared" si="108"/>
        <v>0</v>
      </c>
      <c r="Z71" s="49">
        <f t="shared" si="14"/>
        <v>0</v>
      </c>
      <c r="AA71" s="23">
        <f t="shared" si="15"/>
        <v>0</v>
      </c>
      <c r="AB71" s="23">
        <f>IFERROR(AVERAGEIFS('Business - Dump'!$O:$O,'Business - Dump'!$B:$B,'Portfolio Wise '!$B71,'Business - Dump'!$A:$A,'Portfolio Wise '!$A71),0)</f>
        <v>0</v>
      </c>
      <c r="AC71" s="49">
        <f>F71/SUMIFS('Campaign - Dump'!$Q:$Q,'Campaign - Dump'!$A:$A,'Portfolio Wise '!$A71)</f>
        <v>0</v>
      </c>
      <c r="AD71" s="49">
        <f t="shared" si="16"/>
        <v>0</v>
      </c>
    </row>
    <row r="72" ht="15.75" customHeight="1">
      <c r="A72" s="10" t="s">
        <v>46</v>
      </c>
      <c r="B72" s="19" t="s">
        <v>248</v>
      </c>
      <c r="C72" s="13">
        <f>SUMIFS('Campaign - Dump'!$N:$N,'Campaign - Dump'!$J:$J,'Portfolio Wise '!$B72,'Campaign - Dump'!$A:$A,'Portfolio Wise '!$A72)</f>
        <v>0</v>
      </c>
      <c r="D72" s="13">
        <f>SUMIFS('Campaign - Dump'!$O:$O,'Campaign - Dump'!$J:$J,'Portfolio Wise '!$B72,'Campaign - Dump'!$A:$A,'Portfolio Wise '!$A72)</f>
        <v>0</v>
      </c>
      <c r="E72" s="23">
        <f t="shared" si="2"/>
        <v>0</v>
      </c>
      <c r="F72" s="36">
        <f>SUMIFS('Campaign - Dump'!$Q:$Q,'Campaign - Dump'!$J:$J,'Portfolio Wise '!$B72,'Campaign - Dump'!$A:$A,'Portfolio Wise '!$A72)</f>
        <v>0</v>
      </c>
      <c r="G72" s="38">
        <f t="shared" si="3"/>
        <v>0</v>
      </c>
      <c r="H72" s="41">
        <f>SUMIFS('Campaign - Dump'!$T:$T,'Campaign - Dump'!$J:$J,'Portfolio Wise '!$B72,'Campaign - Dump'!$A:$A,'Portfolio Wise '!$A72)</f>
        <v>0</v>
      </c>
      <c r="I72" s="23">
        <f t="shared" si="4"/>
        <v>0</v>
      </c>
      <c r="J72" s="36">
        <f>SUMIFS('Campaign - Dump'!$U:$U,'Campaign - Dump'!$J:$J,'Portfolio Wise '!$B72,'Campaign - Dump'!$A:$A,'Portfolio Wise '!$A72)</f>
        <v>0</v>
      </c>
      <c r="K72" s="23">
        <f t="shared" si="5"/>
        <v>0</v>
      </c>
      <c r="L72" s="38">
        <f t="shared" si="6"/>
        <v>0</v>
      </c>
      <c r="M72" s="41">
        <f t="shared" si="7"/>
        <v>0</v>
      </c>
      <c r="N72" s="13">
        <f t="shared" si="99"/>
        <v>3</v>
      </c>
      <c r="O72" s="36">
        <f t="shared" si="100"/>
        <v>27711.86441</v>
      </c>
      <c r="P72" s="41">
        <f t="shared" si="8"/>
        <v>9237.288136</v>
      </c>
      <c r="Q72" s="13">
        <f>SUMIFS('Business - Dump'!$W:$W,'Business - Dump'!$B:$B,'Portfolio Wise '!$B72,'Business - Dump'!$A:$A,'Portfolio Wise '!$A72)</f>
        <v>3</v>
      </c>
      <c r="R72" s="36">
        <f>SUMIFS('Business - Dump'!$U:$U,'Business - Dump'!$B:$B,'Portfolio Wise '!$B72,'Business - Dump'!$A:$A,'Portfolio Wise '!$A72)/1.18</f>
        <v>27711.86441</v>
      </c>
      <c r="S72" s="41">
        <f t="shared" si="9"/>
        <v>9237.288136</v>
      </c>
      <c r="T72" s="23">
        <f t="shared" si="10"/>
        <v>0</v>
      </c>
      <c r="U72" s="38">
        <f t="shared" si="11"/>
        <v>0</v>
      </c>
      <c r="V72" s="41">
        <f>SUMIFS('Business - Dump'!$G:$G,'Business - Dump'!$B:$B,'Portfolio Wise '!$B72,'Business - Dump'!$A:$A,'Portfolio Wise '!$A72)</f>
        <v>355</v>
      </c>
      <c r="W72" s="48">
        <f t="shared" si="12"/>
        <v>0.008450704225</v>
      </c>
      <c r="X72" s="23">
        <f t="shared" ref="X72:Y72" si="109">IFERROR(N72/Q72,0)</f>
        <v>1</v>
      </c>
      <c r="Y72" s="49">
        <f t="shared" si="109"/>
        <v>1</v>
      </c>
      <c r="Z72" s="49">
        <f t="shared" si="14"/>
        <v>0</v>
      </c>
      <c r="AA72" s="23">
        <f t="shared" si="15"/>
        <v>1</v>
      </c>
      <c r="AB72" s="23">
        <f>IFERROR(AVERAGEIFS('Business - Dump'!$O:$O,'Business - Dump'!$B:$B,'Portfolio Wise '!$B72,'Business - Dump'!$A:$A,'Portfolio Wise '!$A72),0)</f>
        <v>0.8421</v>
      </c>
      <c r="AC72" s="49">
        <f>F72/SUMIFS('Campaign - Dump'!$Q:$Q,'Campaign - Dump'!$A:$A,'Portfolio Wise '!$A72)</f>
        <v>0</v>
      </c>
      <c r="AD72" s="49">
        <f t="shared" si="16"/>
        <v>0</v>
      </c>
    </row>
    <row r="73" ht="15.75" customHeight="1">
      <c r="A73" s="126" t="s">
        <v>46</v>
      </c>
      <c r="B73" s="126" t="s">
        <v>356</v>
      </c>
      <c r="C73" s="127">
        <f t="shared" ref="C73:D73" si="110">SUM(C50:C72)</f>
        <v>3218559</v>
      </c>
      <c r="D73" s="127">
        <f t="shared" si="110"/>
        <v>13309</v>
      </c>
      <c r="E73" s="62">
        <f t="shared" si="2"/>
        <v>0.004135080326</v>
      </c>
      <c r="F73" s="128">
        <f>SUM(F50:F72)</f>
        <v>268584.18</v>
      </c>
      <c r="G73" s="129">
        <f t="shared" si="3"/>
        <v>20.18064317</v>
      </c>
      <c r="H73" s="130">
        <f>SUM(H50:H72)</f>
        <v>82</v>
      </c>
      <c r="I73" s="62">
        <f t="shared" si="4"/>
        <v>0.006161244271</v>
      </c>
      <c r="J73" s="128">
        <f>SUM(J50:J72)</f>
        <v>1526284.98</v>
      </c>
      <c r="K73" s="62">
        <f t="shared" si="5"/>
        <v>0.1759724976</v>
      </c>
      <c r="L73" s="129">
        <f t="shared" si="6"/>
        <v>5.682706182</v>
      </c>
      <c r="M73" s="130">
        <f t="shared" si="7"/>
        <v>18613.23146</v>
      </c>
      <c r="N73" s="127">
        <f t="shared" ref="N73:O73" si="111">SUM(N50:N72)</f>
        <v>113</v>
      </c>
      <c r="O73" s="128">
        <f t="shared" si="111"/>
        <v>1718473.198</v>
      </c>
      <c r="P73" s="130">
        <f t="shared" si="8"/>
        <v>15207.72742</v>
      </c>
      <c r="Q73" s="127">
        <f t="shared" ref="Q73:R73" si="112">SUM(Q50:Q72)</f>
        <v>154</v>
      </c>
      <c r="R73" s="128">
        <f t="shared" si="112"/>
        <v>2472068.898</v>
      </c>
      <c r="S73" s="130">
        <f t="shared" si="9"/>
        <v>16052.39544</v>
      </c>
      <c r="T73" s="62">
        <f t="shared" si="10"/>
        <v>0.1086475301</v>
      </c>
      <c r="U73" s="129">
        <f t="shared" si="11"/>
        <v>9.204074858</v>
      </c>
      <c r="V73" s="130">
        <f>SUM(V50:V72)</f>
        <v>25435</v>
      </c>
      <c r="W73" s="131">
        <f t="shared" si="12"/>
        <v>0.006054649106</v>
      </c>
      <c r="X73" s="62">
        <f t="shared" ref="X73:Y73" si="113">IFERROR(N73/Q73,0)</f>
        <v>0.7337662338</v>
      </c>
      <c r="Y73" s="132">
        <f t="shared" si="113"/>
        <v>0.695155867</v>
      </c>
      <c r="Z73" s="132">
        <f t="shared" si="14"/>
        <v>0.5324675325</v>
      </c>
      <c r="AA73" s="62">
        <f t="shared" si="15"/>
        <v>0.695155867</v>
      </c>
      <c r="AB73" s="62">
        <f>IFERROR(AVERAGEIFS('Business - Dump'!$O:$O,'Business - Dump'!$B:$B,'Portfolio Wise '!$B73,'Business - Dump'!$A:$A,'Portfolio Wise '!$A73),0)</f>
        <v>0</v>
      </c>
      <c r="AC73" s="132">
        <f>F73/SUMIFS('Campaign - Dump'!$Q:$Q,'Campaign - Dump'!$A:$A,'Portfolio Wise '!$A73)</f>
        <v>0.9949353843</v>
      </c>
      <c r="AD73" s="132">
        <f t="shared" si="16"/>
        <v>1.37804878</v>
      </c>
    </row>
    <row r="74" ht="15.75" customHeight="1">
      <c r="A74" s="10" t="s">
        <v>47</v>
      </c>
      <c r="B74" s="33" t="s">
        <v>90</v>
      </c>
      <c r="C74" s="13">
        <f>SUMIFS('Campaign - Dump'!$N:$N,'Campaign - Dump'!$J:$J,'Portfolio Wise '!$B74,'Campaign - Dump'!$A:$A,'Portfolio Wise '!$A74)</f>
        <v>326736</v>
      </c>
      <c r="D74" s="13">
        <f>SUMIFS('Campaign - Dump'!$O:$O,'Campaign - Dump'!$J:$J,'Portfolio Wise '!$B74,'Campaign - Dump'!$A:$A,'Portfolio Wise '!$A74)</f>
        <v>1437</v>
      </c>
      <c r="E74" s="23">
        <f t="shared" si="2"/>
        <v>0.004398046129</v>
      </c>
      <c r="F74" s="36">
        <f>SUMIFS('Campaign - Dump'!$Q:$Q,'Campaign - Dump'!$J:$J,'Portfolio Wise '!$B74,'Campaign - Dump'!$A:$A,'Portfolio Wise '!$A74)</f>
        <v>12329.09</v>
      </c>
      <c r="G74" s="38">
        <f t="shared" si="3"/>
        <v>8.579742519</v>
      </c>
      <c r="H74" s="41">
        <f>SUMIFS('Campaign - Dump'!$T:$T,'Campaign - Dump'!$J:$J,'Portfolio Wise '!$B74,'Campaign - Dump'!$A:$A,'Portfolio Wise '!$A74)</f>
        <v>1</v>
      </c>
      <c r="I74" s="23">
        <f t="shared" si="4"/>
        <v>0.0006958942241</v>
      </c>
      <c r="J74" s="36">
        <f>SUMIFS('Campaign - Dump'!$U:$U,'Campaign - Dump'!$J:$J,'Portfolio Wise '!$B74,'Campaign - Dump'!$A:$A,'Portfolio Wise '!$A74)</f>
        <v>25338.98</v>
      </c>
      <c r="K74" s="23">
        <f t="shared" si="5"/>
        <v>0.4865661522</v>
      </c>
      <c r="L74" s="38">
        <f t="shared" si="6"/>
        <v>2.055218998</v>
      </c>
      <c r="M74" s="41">
        <f t="shared" si="7"/>
        <v>25338.98</v>
      </c>
      <c r="N74" s="13">
        <v>0.0</v>
      </c>
      <c r="O74" s="36">
        <v>0.0</v>
      </c>
      <c r="P74" s="41">
        <f t="shared" si="8"/>
        <v>0</v>
      </c>
      <c r="Q74" s="13">
        <f>SUMIFS('Business - Dump'!$W:$W,'Business - Dump'!$B:$B,'Portfolio Wise '!$B74,'Business - Dump'!$A:$A,'Portfolio Wise '!$A74)</f>
        <v>0</v>
      </c>
      <c r="R74" s="36">
        <f>SUMIFS('Business - Dump'!$U:$U,'Business - Dump'!$B:$B,'Portfolio Wise '!$B74,'Business - Dump'!$A:$A,'Portfolio Wise '!$A74)/1.18</f>
        <v>0</v>
      </c>
      <c r="S74" s="41">
        <f t="shared" si="9"/>
        <v>0</v>
      </c>
      <c r="T74" s="23">
        <f t="shared" si="10"/>
        <v>0</v>
      </c>
      <c r="U74" s="38">
        <f t="shared" si="11"/>
        <v>0</v>
      </c>
      <c r="V74" s="41">
        <f>SUMIFS('Business - Dump'!$G:$G,'Business - Dump'!$B:$B,'Portfolio Wise '!$B74,'Business - Dump'!$A:$A,'Portfolio Wise '!$A74)</f>
        <v>0</v>
      </c>
      <c r="W74" s="48">
        <f t="shared" si="12"/>
        <v>0</v>
      </c>
      <c r="X74" s="23">
        <f t="shared" ref="X74:Y74" si="114">IFERROR(N74/Q74,0)</f>
        <v>0</v>
      </c>
      <c r="Y74" s="49">
        <f t="shared" si="114"/>
        <v>0</v>
      </c>
      <c r="Z74" s="49">
        <f t="shared" si="14"/>
        <v>0</v>
      </c>
      <c r="AA74" s="23">
        <f t="shared" si="15"/>
        <v>0</v>
      </c>
      <c r="AB74" s="23">
        <f>IFERROR(AVERAGEIFS('Business - Dump'!$O:$O,'Business - Dump'!$B:$B,'Portfolio Wise '!$B74,'Business - Dump'!$A:$A,'Portfolio Wise '!$A74),0)</f>
        <v>0</v>
      </c>
      <c r="AC74" s="49">
        <f>F74/SUMIFS('Campaign - Dump'!$Q:$Q,'Campaign - Dump'!$A:$A,'Portfolio Wise '!$A74)</f>
        <v>0.03394524264</v>
      </c>
      <c r="AD74" s="49">
        <f t="shared" si="16"/>
        <v>0</v>
      </c>
    </row>
    <row r="75" ht="15.75" customHeight="1">
      <c r="A75" s="10" t="s">
        <v>47</v>
      </c>
      <c r="B75" s="51" t="s">
        <v>110</v>
      </c>
      <c r="C75" s="13">
        <f>SUMIFS('Campaign - Dump'!$N:$N,'Campaign - Dump'!$J:$J,'Portfolio Wise '!$B75,'Campaign - Dump'!$A:$A,'Portfolio Wise '!$A75)</f>
        <v>0</v>
      </c>
      <c r="D75" s="13">
        <f>SUMIFS('Campaign - Dump'!$O:$O,'Campaign - Dump'!$J:$J,'Portfolio Wise '!$B75,'Campaign - Dump'!$A:$A,'Portfolio Wise '!$A75)</f>
        <v>0</v>
      </c>
      <c r="E75" s="23">
        <f t="shared" si="2"/>
        <v>0</v>
      </c>
      <c r="F75" s="36">
        <f>SUMIFS('Campaign - Dump'!$Q:$Q,'Campaign - Dump'!$J:$J,'Portfolio Wise '!$B75,'Campaign - Dump'!$A:$A,'Portfolio Wise '!$A75)</f>
        <v>0</v>
      </c>
      <c r="G75" s="38">
        <f t="shared" si="3"/>
        <v>0</v>
      </c>
      <c r="H75" s="41">
        <f>SUMIFS('Campaign - Dump'!$T:$T,'Campaign - Dump'!$J:$J,'Portfolio Wise '!$B75,'Campaign - Dump'!$A:$A,'Portfolio Wise '!$A75)</f>
        <v>0</v>
      </c>
      <c r="I75" s="23">
        <f t="shared" si="4"/>
        <v>0</v>
      </c>
      <c r="J75" s="36">
        <f>SUMIFS('Campaign - Dump'!$U:$U,'Campaign - Dump'!$J:$J,'Portfolio Wise '!$B75,'Campaign - Dump'!$A:$A,'Portfolio Wise '!$A75)</f>
        <v>0</v>
      </c>
      <c r="K75" s="23">
        <f t="shared" si="5"/>
        <v>0</v>
      </c>
      <c r="L75" s="38">
        <f t="shared" si="6"/>
        <v>0</v>
      </c>
      <c r="M75" s="41">
        <f t="shared" si="7"/>
        <v>0</v>
      </c>
      <c r="N75" s="13">
        <f t="shared" ref="N75:N76" si="116">IFERROR(Q75-H75,0)</f>
        <v>0</v>
      </c>
      <c r="O75" s="36">
        <f t="shared" ref="O75:O76" si="117">IFERROR(R75-J75,0)</f>
        <v>0</v>
      </c>
      <c r="P75" s="41">
        <f t="shared" si="8"/>
        <v>0</v>
      </c>
      <c r="Q75" s="13">
        <f>SUMIFS('Business - Dump'!$W:$W,'Business - Dump'!$B:$B,'Portfolio Wise '!$B75,'Business - Dump'!$A:$A,'Portfolio Wise '!$A75)</f>
        <v>0</v>
      </c>
      <c r="R75" s="36">
        <f>SUMIFS('Business - Dump'!$U:$U,'Business - Dump'!$B:$B,'Portfolio Wise '!$B75,'Business - Dump'!$A:$A,'Portfolio Wise '!$A75)/1.18</f>
        <v>0</v>
      </c>
      <c r="S75" s="41">
        <f t="shared" si="9"/>
        <v>0</v>
      </c>
      <c r="T75" s="23">
        <f t="shared" si="10"/>
        <v>0</v>
      </c>
      <c r="U75" s="38">
        <f t="shared" si="11"/>
        <v>0</v>
      </c>
      <c r="V75" s="41">
        <f>SUMIFS('Business - Dump'!$G:$G,'Business - Dump'!$B:$B,'Portfolio Wise '!$B75,'Business - Dump'!$A:$A,'Portfolio Wise '!$A75)</f>
        <v>0</v>
      </c>
      <c r="W75" s="48">
        <f t="shared" si="12"/>
        <v>0</v>
      </c>
      <c r="X75" s="23">
        <f t="shared" ref="X75:Y75" si="115">IFERROR(N75/Q75,0)</f>
        <v>0</v>
      </c>
      <c r="Y75" s="49">
        <f t="shared" si="115"/>
        <v>0</v>
      </c>
      <c r="Z75" s="49">
        <f t="shared" si="14"/>
        <v>0</v>
      </c>
      <c r="AA75" s="23">
        <f t="shared" si="15"/>
        <v>0</v>
      </c>
      <c r="AB75" s="23">
        <f>IFERROR(AVERAGEIFS('Business - Dump'!$O:$O,'Business - Dump'!$B:$B,'Portfolio Wise '!$B75,'Business - Dump'!$A:$A,'Portfolio Wise '!$A75),0)</f>
        <v>0</v>
      </c>
      <c r="AC75" s="49">
        <f>F75/SUMIFS('Campaign - Dump'!$Q:$Q,'Campaign - Dump'!$A:$A,'Portfolio Wise '!$A75)</f>
        <v>0</v>
      </c>
      <c r="AD75" s="49">
        <f t="shared" si="16"/>
        <v>0</v>
      </c>
    </row>
    <row r="76" ht="15.75" customHeight="1">
      <c r="A76" s="10" t="s">
        <v>47</v>
      </c>
      <c r="B76" s="51" t="s">
        <v>119</v>
      </c>
      <c r="C76" s="13">
        <f>SUMIFS('Campaign - Dump'!$N:$N,'Campaign - Dump'!$J:$J,'Portfolio Wise '!$B76,'Campaign - Dump'!$A:$A,'Portfolio Wise '!$A76)</f>
        <v>9317</v>
      </c>
      <c r="D76" s="13">
        <f>SUMIFS('Campaign - Dump'!$O:$O,'Campaign - Dump'!$J:$J,'Portfolio Wise '!$B76,'Campaign - Dump'!$A:$A,'Portfolio Wise '!$A76)</f>
        <v>108</v>
      </c>
      <c r="E76" s="23">
        <f t="shared" si="2"/>
        <v>0.01159171407</v>
      </c>
      <c r="F76" s="36">
        <f>SUMIFS('Campaign - Dump'!$Q:$Q,'Campaign - Dump'!$J:$J,'Portfolio Wise '!$B76,'Campaign - Dump'!$A:$A,'Portfolio Wise '!$A76)</f>
        <v>808.17</v>
      </c>
      <c r="G76" s="38">
        <f t="shared" si="3"/>
        <v>7.483055556</v>
      </c>
      <c r="H76" s="41">
        <f>SUMIFS('Campaign - Dump'!$T:$T,'Campaign - Dump'!$J:$J,'Portfolio Wise '!$B76,'Campaign - Dump'!$A:$A,'Portfolio Wise '!$A76)</f>
        <v>0</v>
      </c>
      <c r="I76" s="23">
        <f t="shared" si="4"/>
        <v>0</v>
      </c>
      <c r="J76" s="36">
        <f>SUMIFS('Campaign - Dump'!$U:$U,'Campaign - Dump'!$J:$J,'Portfolio Wise '!$B76,'Campaign - Dump'!$A:$A,'Portfolio Wise '!$A76)</f>
        <v>0</v>
      </c>
      <c r="K76" s="23">
        <f t="shared" si="5"/>
        <v>0</v>
      </c>
      <c r="L76" s="38">
        <f t="shared" si="6"/>
        <v>0</v>
      </c>
      <c r="M76" s="41">
        <f t="shared" si="7"/>
        <v>0</v>
      </c>
      <c r="N76" s="13">
        <f t="shared" si="116"/>
        <v>5</v>
      </c>
      <c r="O76" s="36">
        <f t="shared" si="117"/>
        <v>26228.81356</v>
      </c>
      <c r="P76" s="41">
        <f t="shared" si="8"/>
        <v>5245.762712</v>
      </c>
      <c r="Q76" s="13">
        <f>SUMIFS('Business - Dump'!$W:$W,'Business - Dump'!$B:$B,'Portfolio Wise '!$B76,'Business - Dump'!$A:$A,'Portfolio Wise '!$A76)</f>
        <v>5</v>
      </c>
      <c r="R76" s="36">
        <f>SUMIFS('Business - Dump'!$U:$U,'Business - Dump'!$B:$B,'Portfolio Wise '!$B76,'Business - Dump'!$A:$A,'Portfolio Wise '!$A76)/1.18</f>
        <v>26228.81356</v>
      </c>
      <c r="S76" s="41">
        <f t="shared" si="9"/>
        <v>5245.762712</v>
      </c>
      <c r="T76" s="23">
        <f t="shared" si="10"/>
        <v>0.03081229725</v>
      </c>
      <c r="U76" s="38">
        <f t="shared" si="11"/>
        <v>32.45457461</v>
      </c>
      <c r="V76" s="41">
        <f>SUMIFS('Business - Dump'!$G:$G,'Business - Dump'!$B:$B,'Portfolio Wise '!$B76,'Business - Dump'!$A:$A,'Portfolio Wise '!$A76)</f>
        <v>724</v>
      </c>
      <c r="W76" s="48">
        <f t="shared" si="12"/>
        <v>0.006906077348</v>
      </c>
      <c r="X76" s="23">
        <f t="shared" ref="X76:Y76" si="118">IFERROR(N76/Q76,0)</f>
        <v>1</v>
      </c>
      <c r="Y76" s="49">
        <f t="shared" si="118"/>
        <v>1</v>
      </c>
      <c r="Z76" s="49">
        <f t="shared" si="14"/>
        <v>0</v>
      </c>
      <c r="AA76" s="23">
        <f t="shared" si="15"/>
        <v>1</v>
      </c>
      <c r="AB76" s="23">
        <f>IFERROR(AVERAGEIFS('Business - Dump'!$O:$O,'Business - Dump'!$B:$B,'Portfolio Wise '!$B76,'Business - Dump'!$A:$A,'Portfolio Wise '!$A76),0)</f>
        <v>0.79495</v>
      </c>
      <c r="AC76" s="49">
        <f>F76/SUMIFS('Campaign - Dump'!$Q:$Q,'Campaign - Dump'!$A:$A,'Portfolio Wise '!$A76)</f>
        <v>0.002225105563</v>
      </c>
      <c r="AD76" s="49">
        <f t="shared" si="16"/>
        <v>0</v>
      </c>
    </row>
    <row r="77" ht="15.75" customHeight="1">
      <c r="A77" s="10" t="s">
        <v>47</v>
      </c>
      <c r="B77" s="19" t="s">
        <v>128</v>
      </c>
      <c r="C77" s="13">
        <f>SUMIFS('Campaign - Dump'!$N:$N,'Campaign - Dump'!$J:$J,'Portfolio Wise '!$B77,'Campaign - Dump'!$A:$A,'Portfolio Wise '!$A77)</f>
        <v>650943</v>
      </c>
      <c r="D77" s="13">
        <f>SUMIFS('Campaign - Dump'!$O:$O,'Campaign - Dump'!$J:$J,'Portfolio Wise '!$B77,'Campaign - Dump'!$A:$A,'Portfolio Wise '!$A77)</f>
        <v>3248</v>
      </c>
      <c r="E77" s="23">
        <f t="shared" si="2"/>
        <v>0.004989684197</v>
      </c>
      <c r="F77" s="36">
        <f>SUMIFS('Campaign - Dump'!$Q:$Q,'Campaign - Dump'!$J:$J,'Portfolio Wise '!$B77,'Campaign - Dump'!$A:$A,'Portfolio Wise '!$A77)</f>
        <v>100374.47</v>
      </c>
      <c r="G77" s="38">
        <f t="shared" si="3"/>
        <v>30.90346983</v>
      </c>
      <c r="H77" s="41">
        <f>SUMIFS('Campaign - Dump'!$T:$T,'Campaign - Dump'!$J:$J,'Portfolio Wise '!$B77,'Campaign - Dump'!$A:$A,'Portfolio Wise '!$A77)</f>
        <v>62</v>
      </c>
      <c r="I77" s="23">
        <f t="shared" si="4"/>
        <v>0.01908866995</v>
      </c>
      <c r="J77" s="36">
        <f>SUMIFS('Campaign - Dump'!$U:$U,'Campaign - Dump'!$J:$J,'Portfolio Wise '!$B77,'Campaign - Dump'!$A:$A,'Portfolio Wise '!$A77)</f>
        <v>1219390.71</v>
      </c>
      <c r="K77" s="23">
        <f t="shared" si="5"/>
        <v>0.08231526547</v>
      </c>
      <c r="L77" s="38">
        <f t="shared" si="6"/>
        <v>12.14841493</v>
      </c>
      <c r="M77" s="41">
        <f t="shared" si="7"/>
        <v>19667.5921</v>
      </c>
      <c r="N77" s="13">
        <v>0.0</v>
      </c>
      <c r="O77" s="36">
        <v>0.0</v>
      </c>
      <c r="P77" s="41">
        <f t="shared" si="8"/>
        <v>0</v>
      </c>
      <c r="Q77" s="13">
        <f>SUMIFS('Business - Dump'!$W:$W,'Business - Dump'!$B:$B,'Portfolio Wise '!$B77,'Business - Dump'!$A:$A,'Portfolio Wise '!$A77)</f>
        <v>0</v>
      </c>
      <c r="R77" s="36">
        <f>SUMIFS('Business - Dump'!$U:$U,'Business - Dump'!$B:$B,'Portfolio Wise '!$B77,'Business - Dump'!$A:$A,'Portfolio Wise '!$A77)/1.18</f>
        <v>0</v>
      </c>
      <c r="S77" s="41">
        <f t="shared" si="9"/>
        <v>0</v>
      </c>
      <c r="T77" s="23">
        <f t="shared" si="10"/>
        <v>0</v>
      </c>
      <c r="U77" s="38">
        <f t="shared" si="11"/>
        <v>0</v>
      </c>
      <c r="V77" s="41">
        <f>SUMIFS('Business - Dump'!$G:$G,'Business - Dump'!$B:$B,'Portfolio Wise '!$B77,'Business - Dump'!$A:$A,'Portfolio Wise '!$A77)</f>
        <v>0</v>
      </c>
      <c r="W77" s="48">
        <f t="shared" si="12"/>
        <v>0</v>
      </c>
      <c r="X77" s="23">
        <f t="shared" ref="X77:Y77" si="119">IFERROR(N77/Q77,0)</f>
        <v>0</v>
      </c>
      <c r="Y77" s="49">
        <f t="shared" si="119"/>
        <v>0</v>
      </c>
      <c r="Z77" s="49">
        <f t="shared" si="14"/>
        <v>0</v>
      </c>
      <c r="AA77" s="23">
        <f t="shared" si="15"/>
        <v>0</v>
      </c>
      <c r="AB77" s="23">
        <f>IFERROR(AVERAGEIFS('Business - Dump'!$O:$O,'Business - Dump'!$B:$B,'Portfolio Wise '!$B77,'Business - Dump'!$A:$A,'Portfolio Wise '!$A77),0)</f>
        <v>0</v>
      </c>
      <c r="AC77" s="49">
        <f>F77/SUMIFS('Campaign - Dump'!$Q:$Q,'Campaign - Dump'!$A:$A,'Portfolio Wise '!$A77)</f>
        <v>0.2763574391</v>
      </c>
      <c r="AD77" s="49">
        <f t="shared" si="16"/>
        <v>0</v>
      </c>
    </row>
    <row r="78" ht="15.75" customHeight="1">
      <c r="A78" s="10" t="s">
        <v>47</v>
      </c>
      <c r="B78" s="19" t="s">
        <v>134</v>
      </c>
      <c r="C78" s="13">
        <f>SUMIFS('Campaign - Dump'!$N:$N,'Campaign - Dump'!$J:$J,'Portfolio Wise '!$B78,'Campaign - Dump'!$A:$A,'Portfolio Wise '!$A78)</f>
        <v>1169623</v>
      </c>
      <c r="D78" s="13">
        <f>SUMIFS('Campaign - Dump'!$O:$O,'Campaign - Dump'!$J:$J,'Portfolio Wise '!$B78,'Campaign - Dump'!$A:$A,'Portfolio Wise '!$A78)</f>
        <v>7326</v>
      </c>
      <c r="E78" s="23">
        <f t="shared" si="2"/>
        <v>0.006263556719</v>
      </c>
      <c r="F78" s="36">
        <f>SUMIFS('Campaign - Dump'!$Q:$Q,'Campaign - Dump'!$J:$J,'Portfolio Wise '!$B78,'Campaign - Dump'!$A:$A,'Portfolio Wise '!$A78)</f>
        <v>158195.42</v>
      </c>
      <c r="G78" s="38">
        <f t="shared" si="3"/>
        <v>21.59369642</v>
      </c>
      <c r="H78" s="41">
        <f>SUMIFS('Campaign - Dump'!$T:$T,'Campaign - Dump'!$J:$J,'Portfolio Wise '!$B78,'Campaign - Dump'!$A:$A,'Portfolio Wise '!$A78)</f>
        <v>46</v>
      </c>
      <c r="I78" s="23">
        <f t="shared" si="4"/>
        <v>0.006279006279</v>
      </c>
      <c r="J78" s="36">
        <f>SUMIFS('Campaign - Dump'!$U:$U,'Campaign - Dump'!$J:$J,'Portfolio Wise '!$B78,'Campaign - Dump'!$A:$A,'Portfolio Wise '!$A78)</f>
        <v>757954.99</v>
      </c>
      <c r="K78" s="23">
        <f t="shared" si="5"/>
        <v>0.2087134752</v>
      </c>
      <c r="L78" s="38">
        <f t="shared" si="6"/>
        <v>4.791257484</v>
      </c>
      <c r="M78" s="41">
        <f t="shared" si="7"/>
        <v>16477.28239</v>
      </c>
      <c r="N78" s="13">
        <f t="shared" ref="N78:N85" si="121">IFERROR(Q78-H78,0)</f>
        <v>32</v>
      </c>
      <c r="O78" s="36">
        <f t="shared" ref="O78:O85" si="122">IFERROR(R78-J78,0)</f>
        <v>738909.4168</v>
      </c>
      <c r="P78" s="41">
        <f t="shared" si="8"/>
        <v>23090.91927</v>
      </c>
      <c r="Q78" s="13">
        <f>SUMIFS('Business - Dump'!$W:$W,'Business - Dump'!$B:$B,'Portfolio Wise '!$B78,'Business - Dump'!$A:$A,'Portfolio Wise '!$A78)</f>
        <v>78</v>
      </c>
      <c r="R78" s="36">
        <f>SUMIFS('Business - Dump'!$U:$U,'Business - Dump'!$B:$B,'Portfolio Wise '!$B78,'Business - Dump'!$A:$A,'Portfolio Wise '!$A78)/1.18</f>
        <v>1496864.407</v>
      </c>
      <c r="S78" s="41">
        <f t="shared" si="9"/>
        <v>19190.56932</v>
      </c>
      <c r="T78" s="23">
        <f t="shared" si="10"/>
        <v>0.1056845358</v>
      </c>
      <c r="U78" s="38">
        <f t="shared" si="11"/>
        <v>9.462122271</v>
      </c>
      <c r="V78" s="41">
        <f>SUMIFS('Business - Dump'!$G:$G,'Business - Dump'!$B:$B,'Portfolio Wise '!$B78,'Business - Dump'!$A:$A,'Portfolio Wise '!$A78)</f>
        <v>13983</v>
      </c>
      <c r="W78" s="23">
        <f t="shared" si="12"/>
        <v>0.005578202103</v>
      </c>
      <c r="X78" s="23">
        <f t="shared" ref="X78:Y78" si="120">IFERROR(N78/Q78,0)</f>
        <v>0.4102564103</v>
      </c>
      <c r="Y78" s="49">
        <f t="shared" si="120"/>
        <v>0.4936381769</v>
      </c>
      <c r="Z78" s="49">
        <f t="shared" si="14"/>
        <v>0.5897435897</v>
      </c>
      <c r="AA78" s="23">
        <f t="shared" si="15"/>
        <v>0.4936381769</v>
      </c>
      <c r="AB78" s="23">
        <f>IFERROR(AVERAGEIFS('Business - Dump'!$O:$O,'Business - Dump'!$B:$B,'Portfolio Wise '!$B78,'Business - Dump'!$A:$A,'Portfolio Wise '!$A78),0)</f>
        <v>0.8831666667</v>
      </c>
      <c r="AC78" s="49">
        <f>F78/SUMIFS('Campaign - Dump'!$Q:$Q,'Campaign - Dump'!$A:$A,'Portfolio Wise '!$A78)</f>
        <v>0.4355537932</v>
      </c>
      <c r="AD78" s="49">
        <f t="shared" si="16"/>
        <v>0.6956521739</v>
      </c>
    </row>
    <row r="79" ht="15.75" customHeight="1">
      <c r="A79" s="10" t="s">
        <v>47</v>
      </c>
      <c r="B79" s="19" t="s">
        <v>140</v>
      </c>
      <c r="C79" s="13">
        <f>SUMIFS('Campaign - Dump'!$N:$N,'Campaign - Dump'!$J:$J,'Portfolio Wise '!$B79,'Campaign - Dump'!$A:$A,'Portfolio Wise '!$A79)</f>
        <v>271079</v>
      </c>
      <c r="D79" s="13">
        <f>SUMIFS('Campaign - Dump'!$O:$O,'Campaign - Dump'!$J:$J,'Portfolio Wise '!$B79,'Campaign - Dump'!$A:$A,'Portfolio Wise '!$A79)</f>
        <v>613</v>
      </c>
      <c r="E79" s="23">
        <f t="shared" si="2"/>
        <v>0.002261333412</v>
      </c>
      <c r="F79" s="36">
        <f>SUMIFS('Campaign - Dump'!$Q:$Q,'Campaign - Dump'!$J:$J,'Portfolio Wise '!$B79,'Campaign - Dump'!$A:$A,'Portfolio Wise '!$A79)</f>
        <v>19535.18</v>
      </c>
      <c r="G79" s="38">
        <f t="shared" si="3"/>
        <v>31.86815661</v>
      </c>
      <c r="H79" s="41">
        <f>SUMIFS('Campaign - Dump'!$T:$T,'Campaign - Dump'!$J:$J,'Portfolio Wise '!$B79,'Campaign - Dump'!$A:$A,'Portfolio Wise '!$A79)</f>
        <v>4</v>
      </c>
      <c r="I79" s="23">
        <f t="shared" si="4"/>
        <v>0.006525285481</v>
      </c>
      <c r="J79" s="36">
        <f>SUMIFS('Campaign - Dump'!$U:$U,'Campaign - Dump'!$J:$J,'Portfolio Wise '!$B79,'Campaign - Dump'!$A:$A,'Portfolio Wise '!$A79)</f>
        <v>88388.99</v>
      </c>
      <c r="K79" s="23">
        <f t="shared" si="5"/>
        <v>0.2210137258</v>
      </c>
      <c r="L79" s="38">
        <f t="shared" si="6"/>
        <v>4.524605865</v>
      </c>
      <c r="M79" s="41">
        <f t="shared" si="7"/>
        <v>22097.2475</v>
      </c>
      <c r="N79" s="13">
        <f t="shared" si="121"/>
        <v>24</v>
      </c>
      <c r="O79" s="36">
        <f t="shared" si="122"/>
        <v>681272.0269</v>
      </c>
      <c r="P79" s="41">
        <f t="shared" si="8"/>
        <v>28386.33446</v>
      </c>
      <c r="Q79" s="13">
        <f>SUMIFS('Business - Dump'!$W:$W,'Business - Dump'!$B:$B,'Portfolio Wise '!$B79,'Business - Dump'!$A:$A,'Portfolio Wise '!$A79)</f>
        <v>28</v>
      </c>
      <c r="R79" s="36">
        <f>SUMIFS('Business - Dump'!$U:$U,'Business - Dump'!$B:$B,'Portfolio Wise '!$B79,'Business - Dump'!$A:$A,'Portfolio Wise '!$A79)/1.18</f>
        <v>769661.0169</v>
      </c>
      <c r="S79" s="41">
        <f t="shared" si="9"/>
        <v>27487.89346</v>
      </c>
      <c r="T79" s="23">
        <f t="shared" si="10"/>
        <v>0.02538153755</v>
      </c>
      <c r="U79" s="38">
        <f t="shared" si="11"/>
        <v>39.39871642</v>
      </c>
      <c r="V79" s="41">
        <f>SUMIFS('Business - Dump'!$G:$G,'Business - Dump'!$B:$B,'Portfolio Wise '!$B79,'Business - Dump'!$A:$A,'Portfolio Wise '!$A79)</f>
        <v>3702</v>
      </c>
      <c r="W79" s="23">
        <f t="shared" si="12"/>
        <v>0.0075634792</v>
      </c>
      <c r="X79" s="23">
        <f t="shared" ref="X79:Y79" si="123">IFERROR(N79/Q79,0)</f>
        <v>0.8571428571</v>
      </c>
      <c r="Y79" s="49">
        <f t="shared" si="123"/>
        <v>0.8851585464</v>
      </c>
      <c r="Z79" s="49">
        <f t="shared" si="14"/>
        <v>0.1428571429</v>
      </c>
      <c r="AA79" s="23">
        <f t="shared" si="15"/>
        <v>0.8851585464</v>
      </c>
      <c r="AB79" s="23">
        <f>IFERROR(AVERAGEIFS('Business - Dump'!$O:$O,'Business - Dump'!$B:$B,'Portfolio Wise '!$B79,'Business - Dump'!$A:$A,'Portfolio Wise '!$A79),0)</f>
        <v>0.8686</v>
      </c>
      <c r="AC79" s="49">
        <f>F79/SUMIFS('Campaign - Dump'!$Q:$Q,'Campaign - Dump'!$A:$A,'Portfolio Wise '!$A79)</f>
        <v>0.05378551257</v>
      </c>
      <c r="AD79" s="49">
        <f t="shared" si="16"/>
        <v>6</v>
      </c>
    </row>
    <row r="80" ht="15.75" customHeight="1">
      <c r="A80" s="10" t="s">
        <v>47</v>
      </c>
      <c r="B80" s="10" t="s">
        <v>152</v>
      </c>
      <c r="C80" s="13">
        <f>SUMIFS('Campaign - Dump'!$N:$N,'Campaign - Dump'!$J:$J,'Portfolio Wise '!$B80,'Campaign - Dump'!$A:$A,'Portfolio Wise '!$A80)</f>
        <v>387553</v>
      </c>
      <c r="D80" s="13">
        <f>SUMIFS('Campaign - Dump'!$O:$O,'Campaign - Dump'!$J:$J,'Portfolio Wise '!$B80,'Campaign - Dump'!$A:$A,'Portfolio Wise '!$A80)</f>
        <v>1157</v>
      </c>
      <c r="E80" s="23">
        <f t="shared" si="2"/>
        <v>0.002985398126</v>
      </c>
      <c r="F80" s="36">
        <f>SUMIFS('Campaign - Dump'!$Q:$Q,'Campaign - Dump'!$J:$J,'Portfolio Wise '!$B80,'Campaign - Dump'!$A:$A,'Portfolio Wise '!$A80)</f>
        <v>35901.82</v>
      </c>
      <c r="G80" s="38">
        <f t="shared" si="3"/>
        <v>31.03009507</v>
      </c>
      <c r="H80" s="41">
        <f>SUMIFS('Campaign - Dump'!$T:$T,'Campaign - Dump'!$J:$J,'Portfolio Wise '!$B80,'Campaign - Dump'!$A:$A,'Portfolio Wise '!$A80)</f>
        <v>2</v>
      </c>
      <c r="I80" s="23">
        <f t="shared" si="4"/>
        <v>0.00172860847</v>
      </c>
      <c r="J80" s="36">
        <f>SUMIFS('Campaign - Dump'!$U:$U,'Campaign - Dump'!$J:$J,'Portfolio Wise '!$B80,'Campaign - Dump'!$A:$A,'Portfolio Wise '!$A80)</f>
        <v>25677.12</v>
      </c>
      <c r="K80" s="23">
        <f t="shared" si="5"/>
        <v>1.398202758</v>
      </c>
      <c r="L80" s="38">
        <f t="shared" si="6"/>
        <v>0.7152038532</v>
      </c>
      <c r="M80" s="41">
        <f t="shared" si="7"/>
        <v>12838.56</v>
      </c>
      <c r="N80" s="13">
        <f t="shared" si="121"/>
        <v>25</v>
      </c>
      <c r="O80" s="36">
        <f t="shared" si="122"/>
        <v>319199.0325</v>
      </c>
      <c r="P80" s="41">
        <f t="shared" si="8"/>
        <v>12767.9613</v>
      </c>
      <c r="Q80" s="13">
        <f>SUMIFS('Business - Dump'!$W:$W,'Business - Dump'!$B:$B,'Portfolio Wise '!$B80,'Business - Dump'!$A:$A,'Portfolio Wise '!$A80)</f>
        <v>27</v>
      </c>
      <c r="R80" s="36">
        <f>SUMIFS('Business - Dump'!$U:$U,'Business - Dump'!$B:$B,'Portfolio Wise '!$B80,'Business - Dump'!$A:$A,'Portfolio Wise '!$A80)/1.18</f>
        <v>344876.1525</v>
      </c>
      <c r="S80" s="41">
        <f t="shared" si="9"/>
        <v>12773.19083</v>
      </c>
      <c r="T80" s="23">
        <f t="shared" si="10"/>
        <v>0.1041006162</v>
      </c>
      <c r="U80" s="38">
        <f t="shared" si="11"/>
        <v>9.606091071</v>
      </c>
      <c r="V80" s="41">
        <f>SUMIFS('Business - Dump'!$G:$G,'Business - Dump'!$B:$B,'Portfolio Wise '!$B80,'Business - Dump'!$A:$A,'Portfolio Wise '!$A80)</f>
        <v>2816</v>
      </c>
      <c r="W80" s="48">
        <f t="shared" si="12"/>
        <v>0.009588068182</v>
      </c>
      <c r="X80" s="23">
        <f t="shared" ref="X80:Y80" si="124">IFERROR(N80/Q80,0)</f>
        <v>0.9259259259</v>
      </c>
      <c r="Y80" s="49">
        <f t="shared" si="124"/>
        <v>0.9255468382</v>
      </c>
      <c r="Z80" s="49">
        <f t="shared" si="14"/>
        <v>0.07407407407</v>
      </c>
      <c r="AA80" s="23">
        <f t="shared" si="15"/>
        <v>0.9255468382</v>
      </c>
      <c r="AB80" s="23">
        <f>IFERROR(AVERAGEIFS('Business - Dump'!$O:$O,'Business - Dump'!$B:$B,'Portfolio Wise '!$B80,'Business - Dump'!$A:$A,'Portfolio Wise '!$A80),0)</f>
        <v>0.9013</v>
      </c>
      <c r="AC80" s="49">
        <f>F80/SUMIFS('Campaign - Dump'!$Q:$Q,'Campaign - Dump'!$A:$A,'Portfolio Wise '!$A80)</f>
        <v>0.09884719725</v>
      </c>
      <c r="AD80" s="49">
        <f t="shared" si="16"/>
        <v>12.5</v>
      </c>
    </row>
    <row r="81" ht="15.75" customHeight="1">
      <c r="A81" s="10" t="s">
        <v>47</v>
      </c>
      <c r="B81" s="19" t="s">
        <v>158</v>
      </c>
      <c r="C81" s="13">
        <f>SUMIFS('Campaign - Dump'!$N:$N,'Campaign - Dump'!$J:$J,'Portfolio Wise '!$B81,'Campaign - Dump'!$A:$A,'Portfolio Wise '!$A81)</f>
        <v>233981</v>
      </c>
      <c r="D81" s="13">
        <f>SUMIFS('Campaign - Dump'!$O:$O,'Campaign - Dump'!$J:$J,'Portfolio Wise '!$B81,'Campaign - Dump'!$A:$A,'Portfolio Wise '!$A81)</f>
        <v>834</v>
      </c>
      <c r="E81" s="23">
        <f t="shared" si="2"/>
        <v>0.003564391981</v>
      </c>
      <c r="F81" s="36">
        <f>SUMIFS('Campaign - Dump'!$Q:$Q,'Campaign - Dump'!$J:$J,'Portfolio Wise '!$B81,'Campaign - Dump'!$A:$A,'Portfolio Wise '!$A81)</f>
        <v>6577.65</v>
      </c>
      <c r="G81" s="38">
        <f t="shared" si="3"/>
        <v>7.886870504</v>
      </c>
      <c r="H81" s="41">
        <f>SUMIFS('Campaign - Dump'!$T:$T,'Campaign - Dump'!$J:$J,'Portfolio Wise '!$B81,'Campaign - Dump'!$A:$A,'Portfolio Wise '!$A81)</f>
        <v>1</v>
      </c>
      <c r="I81" s="23">
        <f t="shared" si="4"/>
        <v>0.001199040767</v>
      </c>
      <c r="J81" s="36">
        <f>SUMIFS('Campaign - Dump'!$U:$U,'Campaign - Dump'!$J:$J,'Portfolio Wise '!$B81,'Campaign - Dump'!$A:$A,'Portfolio Wise '!$A81)</f>
        <v>1015.94</v>
      </c>
      <c r="K81" s="23">
        <f t="shared" si="5"/>
        <v>6.47444731</v>
      </c>
      <c r="L81" s="38">
        <f t="shared" si="6"/>
        <v>0.1544533382</v>
      </c>
      <c r="M81" s="41">
        <f t="shared" si="7"/>
        <v>1015.94</v>
      </c>
      <c r="N81" s="13">
        <f t="shared" si="121"/>
        <v>1</v>
      </c>
      <c r="O81" s="36">
        <f t="shared" si="122"/>
        <v>15634.44983</v>
      </c>
      <c r="P81" s="41">
        <f t="shared" si="8"/>
        <v>15634.44983</v>
      </c>
      <c r="Q81" s="13">
        <f>SUMIFS('Business - Dump'!$W:$W,'Business - Dump'!$B:$B,'Portfolio Wise '!$B81,'Business - Dump'!$A:$A,'Portfolio Wise '!$A81)</f>
        <v>2</v>
      </c>
      <c r="R81" s="36">
        <f>SUMIFS('Business - Dump'!$U:$U,'Business - Dump'!$B:$B,'Portfolio Wise '!$B81,'Business - Dump'!$A:$A,'Portfolio Wise '!$A81)/1.18</f>
        <v>16650.38983</v>
      </c>
      <c r="S81" s="41">
        <f t="shared" si="9"/>
        <v>8325.194915</v>
      </c>
      <c r="T81" s="23">
        <f t="shared" si="10"/>
        <v>0.3950448048</v>
      </c>
      <c r="U81" s="38">
        <f t="shared" si="11"/>
        <v>2.531358438</v>
      </c>
      <c r="V81" s="41">
        <f>SUMIFS('Business - Dump'!$G:$G,'Business - Dump'!$B:$B,'Portfolio Wise '!$B81,'Business - Dump'!$A:$A,'Portfolio Wise '!$A81)</f>
        <v>1015</v>
      </c>
      <c r="W81" s="48">
        <f t="shared" si="12"/>
        <v>0.00197044335</v>
      </c>
      <c r="X81" s="23">
        <f t="shared" ref="X81:Y81" si="125">IFERROR(N81/Q81,0)</f>
        <v>0.5</v>
      </c>
      <c r="Y81" s="49">
        <f t="shared" si="125"/>
        <v>0.9389840112</v>
      </c>
      <c r="Z81" s="49">
        <f t="shared" si="14"/>
        <v>0.5</v>
      </c>
      <c r="AA81" s="23">
        <f t="shared" si="15"/>
        <v>0.9389840112</v>
      </c>
      <c r="AB81" s="23">
        <f>IFERROR(AVERAGEIFS('Business - Dump'!$O:$O,'Business - Dump'!$B:$B,'Portfolio Wise '!$B81,'Business - Dump'!$A:$A,'Portfolio Wise '!$A81),0)</f>
        <v>0.8934</v>
      </c>
      <c r="AC81" s="49">
        <f>F81/SUMIFS('Campaign - Dump'!$Q:$Q,'Campaign - Dump'!$A:$A,'Portfolio Wise '!$A81)</f>
        <v>0.01811000855</v>
      </c>
      <c r="AD81" s="49">
        <f t="shared" si="16"/>
        <v>1</v>
      </c>
    </row>
    <row r="82" ht="15.75" customHeight="1">
      <c r="A82" s="10" t="s">
        <v>47</v>
      </c>
      <c r="B82" s="33" t="s">
        <v>170</v>
      </c>
      <c r="C82" s="13">
        <f>SUMIFS('Campaign - Dump'!$N:$N,'Campaign - Dump'!$J:$J,'Portfolio Wise '!$B82,'Campaign - Dump'!$A:$A,'Portfolio Wise '!$A82)</f>
        <v>87107</v>
      </c>
      <c r="D82" s="13">
        <f>SUMIFS('Campaign - Dump'!$O:$O,'Campaign - Dump'!$J:$J,'Portfolio Wise '!$B82,'Campaign - Dump'!$A:$A,'Portfolio Wise '!$A82)</f>
        <v>323</v>
      </c>
      <c r="E82" s="23">
        <f t="shared" si="2"/>
        <v>0.003708083162</v>
      </c>
      <c r="F82" s="36">
        <f>SUMIFS('Campaign - Dump'!$Q:$Q,'Campaign - Dump'!$J:$J,'Portfolio Wise '!$B82,'Campaign - Dump'!$A:$A,'Portfolio Wise '!$A82)</f>
        <v>2790.18</v>
      </c>
      <c r="G82" s="38">
        <f t="shared" si="3"/>
        <v>8.638328173</v>
      </c>
      <c r="H82" s="41">
        <f>SUMIFS('Campaign - Dump'!$T:$T,'Campaign - Dump'!$J:$J,'Portfolio Wise '!$B82,'Campaign - Dump'!$A:$A,'Portfolio Wise '!$A82)</f>
        <v>3</v>
      </c>
      <c r="I82" s="23">
        <f t="shared" si="4"/>
        <v>0.009287925697</v>
      </c>
      <c r="J82" s="36">
        <f>SUMIFS('Campaign - Dump'!$U:$U,'Campaign - Dump'!$J:$J,'Portfolio Wise '!$B82,'Campaign - Dump'!$A:$A,'Portfolio Wise '!$A82)</f>
        <v>16525.42</v>
      </c>
      <c r="K82" s="23">
        <f t="shared" si="5"/>
        <v>0.1688416996</v>
      </c>
      <c r="L82" s="38">
        <f t="shared" si="6"/>
        <v>5.922707496</v>
      </c>
      <c r="M82" s="41">
        <f t="shared" si="7"/>
        <v>5508.473333</v>
      </c>
      <c r="N82" s="13">
        <f t="shared" si="121"/>
        <v>3</v>
      </c>
      <c r="O82" s="36">
        <f t="shared" si="122"/>
        <v>21101.69864</v>
      </c>
      <c r="P82" s="41">
        <f t="shared" si="8"/>
        <v>7033.899548</v>
      </c>
      <c r="Q82" s="13">
        <f>SUMIFS('Business - Dump'!$W:$W,'Business - Dump'!$B:$B,'Portfolio Wise '!$B82,'Business - Dump'!$A:$A,'Portfolio Wise '!$A82)</f>
        <v>6</v>
      </c>
      <c r="R82" s="36">
        <f>SUMIFS('Business - Dump'!$U:$U,'Business - Dump'!$B:$B,'Portfolio Wise '!$B82,'Business - Dump'!$A:$A,'Portfolio Wise '!$A82)/1.18</f>
        <v>37627.11864</v>
      </c>
      <c r="S82" s="41">
        <f t="shared" si="9"/>
        <v>6271.186441</v>
      </c>
      <c r="T82" s="23">
        <f t="shared" si="10"/>
        <v>0.07415343243</v>
      </c>
      <c r="U82" s="38">
        <f t="shared" si="11"/>
        <v>13.48555242</v>
      </c>
      <c r="V82" s="41">
        <f>SUMIFS('Business - Dump'!$G:$G,'Business - Dump'!$B:$B,'Portfolio Wise '!$B82,'Business - Dump'!$A:$A,'Portfolio Wise '!$A82)</f>
        <v>592</v>
      </c>
      <c r="W82" s="48">
        <f t="shared" si="12"/>
        <v>0.01013513514</v>
      </c>
      <c r="X82" s="23">
        <f t="shared" ref="X82:Y82" si="126">IFERROR(N82/Q82,0)</f>
        <v>0.5</v>
      </c>
      <c r="Y82" s="49">
        <f t="shared" si="126"/>
        <v>0.5608109099</v>
      </c>
      <c r="Z82" s="49">
        <f t="shared" si="14"/>
        <v>0.5</v>
      </c>
      <c r="AA82" s="23">
        <f t="shared" si="15"/>
        <v>0.5608109099</v>
      </c>
      <c r="AB82" s="23">
        <f>IFERROR(AVERAGEIFS('Business - Dump'!$O:$O,'Business - Dump'!$B:$B,'Portfolio Wise '!$B82,'Business - Dump'!$A:$A,'Portfolio Wise '!$A82),0)</f>
        <v>0.9454</v>
      </c>
      <c r="AC82" s="49">
        <f>F82/SUMIFS('Campaign - Dump'!$Q:$Q,'Campaign - Dump'!$A:$A,'Portfolio Wise '!$A82)</f>
        <v>0.007682102824</v>
      </c>
      <c r="AD82" s="49">
        <f t="shared" si="16"/>
        <v>1</v>
      </c>
    </row>
    <row r="83" ht="15.75" customHeight="1">
      <c r="A83" s="10" t="s">
        <v>47</v>
      </c>
      <c r="B83" s="51" t="s">
        <v>176</v>
      </c>
      <c r="C83" s="13">
        <f>SUMIFS('Campaign - Dump'!$N:$N,'Campaign - Dump'!$J:$J,'Portfolio Wise '!$B83,'Campaign - Dump'!$A:$A,'Portfolio Wise '!$A83)</f>
        <v>11340</v>
      </c>
      <c r="D83" s="13">
        <f>SUMIFS('Campaign - Dump'!$O:$O,'Campaign - Dump'!$J:$J,'Portfolio Wise '!$B83,'Campaign - Dump'!$A:$A,'Portfolio Wise '!$A83)</f>
        <v>27</v>
      </c>
      <c r="E83" s="23">
        <f t="shared" si="2"/>
        <v>0.002380952381</v>
      </c>
      <c r="F83" s="36">
        <f>SUMIFS('Campaign - Dump'!$Q:$Q,'Campaign - Dump'!$J:$J,'Portfolio Wise '!$B83,'Campaign - Dump'!$A:$A,'Portfolio Wise '!$A83)</f>
        <v>563.55</v>
      </c>
      <c r="G83" s="38">
        <f t="shared" si="3"/>
        <v>20.87222222</v>
      </c>
      <c r="H83" s="41">
        <f>SUMIFS('Campaign - Dump'!$T:$T,'Campaign - Dump'!$J:$J,'Portfolio Wise '!$B83,'Campaign - Dump'!$A:$A,'Portfolio Wise '!$A83)</f>
        <v>0</v>
      </c>
      <c r="I83" s="23">
        <f t="shared" si="4"/>
        <v>0</v>
      </c>
      <c r="J83" s="36">
        <f>SUMIFS('Campaign - Dump'!$U:$U,'Campaign - Dump'!$J:$J,'Portfolio Wise '!$B83,'Campaign - Dump'!$A:$A,'Portfolio Wise '!$A83)</f>
        <v>0</v>
      </c>
      <c r="K83" s="23">
        <f t="shared" si="5"/>
        <v>0</v>
      </c>
      <c r="L83" s="38">
        <f t="shared" si="6"/>
        <v>0</v>
      </c>
      <c r="M83" s="41">
        <f t="shared" si="7"/>
        <v>0</v>
      </c>
      <c r="N83" s="13">
        <f t="shared" si="121"/>
        <v>18</v>
      </c>
      <c r="O83" s="36">
        <f t="shared" si="122"/>
        <v>353305.0847</v>
      </c>
      <c r="P83" s="41">
        <f t="shared" si="8"/>
        <v>19628.06026</v>
      </c>
      <c r="Q83" s="13">
        <f>SUMIFS('Business - Dump'!$W:$W,'Business - Dump'!$B:$B,'Portfolio Wise '!$B83,'Business - Dump'!$A:$A,'Portfolio Wise '!$A83)</f>
        <v>18</v>
      </c>
      <c r="R83" s="36">
        <f>SUMIFS('Business - Dump'!$U:$U,'Business - Dump'!$B:$B,'Portfolio Wise '!$B83,'Business - Dump'!$A:$A,'Portfolio Wise '!$A83)/1.18</f>
        <v>353305.0847</v>
      </c>
      <c r="S83" s="41">
        <f t="shared" si="9"/>
        <v>19628.06026</v>
      </c>
      <c r="T83" s="23">
        <f t="shared" si="10"/>
        <v>0.001595080355</v>
      </c>
      <c r="U83" s="38">
        <f t="shared" si="11"/>
        <v>626.9276635</v>
      </c>
      <c r="V83" s="41">
        <f>SUMIFS('Business - Dump'!$G:$G,'Business - Dump'!$B:$B,'Portfolio Wise '!$B83,'Business - Dump'!$A:$A,'Portfolio Wise '!$A83)</f>
        <v>4322</v>
      </c>
      <c r="W83" s="48">
        <f t="shared" si="12"/>
        <v>0.004164738547</v>
      </c>
      <c r="X83" s="23">
        <f t="shared" ref="X83:Y83" si="127">IFERROR(N83/Q83,0)</f>
        <v>1</v>
      </c>
      <c r="Y83" s="49">
        <f t="shared" si="127"/>
        <v>1</v>
      </c>
      <c r="Z83" s="49">
        <f t="shared" si="14"/>
        <v>0</v>
      </c>
      <c r="AA83" s="23">
        <f t="shared" si="15"/>
        <v>1</v>
      </c>
      <c r="AB83" s="23">
        <f>IFERROR(AVERAGEIFS('Business - Dump'!$O:$O,'Business - Dump'!$B:$B,'Portfolio Wise '!$B83,'Business - Dump'!$A:$A,'Portfolio Wise '!$A83),0)</f>
        <v>0.865075</v>
      </c>
      <c r="AC83" s="49">
        <f>F83/SUMIFS('Campaign - Dump'!$Q:$Q,'Campaign - Dump'!$A:$A,'Portfolio Wise '!$A83)</f>
        <v>0.001551602064</v>
      </c>
      <c r="AD83" s="49">
        <f t="shared" si="16"/>
        <v>0</v>
      </c>
    </row>
    <row r="84" ht="15.75" customHeight="1">
      <c r="A84" s="10" t="s">
        <v>47</v>
      </c>
      <c r="B84" s="100" t="s">
        <v>182</v>
      </c>
      <c r="C84" s="13">
        <f>SUMIFS('Campaign - Dump'!$N:$N,'Campaign - Dump'!$J:$J,'Portfolio Wise '!$B84,'Campaign - Dump'!$A:$A,'Portfolio Wise '!$A84)</f>
        <v>124816</v>
      </c>
      <c r="D84" s="13">
        <f>SUMIFS('Campaign - Dump'!$O:$O,'Campaign - Dump'!$J:$J,'Portfolio Wise '!$B84,'Campaign - Dump'!$A:$A,'Portfolio Wise '!$A84)</f>
        <v>384</v>
      </c>
      <c r="E84" s="23">
        <f t="shared" si="2"/>
        <v>0.00307652865</v>
      </c>
      <c r="F84" s="36">
        <f>SUMIFS('Campaign - Dump'!$Q:$Q,'Campaign - Dump'!$J:$J,'Portfolio Wise '!$B84,'Campaign - Dump'!$A:$A,'Portfolio Wise '!$A84)</f>
        <v>11253.57</v>
      </c>
      <c r="G84" s="38">
        <f t="shared" si="3"/>
        <v>29.30617188</v>
      </c>
      <c r="H84" s="41">
        <f>SUMIFS('Campaign - Dump'!$T:$T,'Campaign - Dump'!$J:$J,'Portfolio Wise '!$B84,'Campaign - Dump'!$A:$A,'Portfolio Wise '!$A84)</f>
        <v>0</v>
      </c>
      <c r="I84" s="23">
        <f t="shared" si="4"/>
        <v>0</v>
      </c>
      <c r="J84" s="36">
        <f>SUMIFS('Campaign - Dump'!$U:$U,'Campaign - Dump'!$J:$J,'Portfolio Wise '!$B84,'Campaign - Dump'!$A:$A,'Portfolio Wise '!$A84)</f>
        <v>0</v>
      </c>
      <c r="K84" s="23">
        <f t="shared" si="5"/>
        <v>0</v>
      </c>
      <c r="L84" s="38">
        <f t="shared" si="6"/>
        <v>0</v>
      </c>
      <c r="M84" s="41">
        <f t="shared" si="7"/>
        <v>0</v>
      </c>
      <c r="N84" s="13">
        <f t="shared" si="121"/>
        <v>9</v>
      </c>
      <c r="O84" s="36">
        <f t="shared" si="122"/>
        <v>235932.2034</v>
      </c>
      <c r="P84" s="41">
        <f t="shared" si="8"/>
        <v>26214.68927</v>
      </c>
      <c r="Q84" s="13">
        <f>SUMIFS('Business - Dump'!$W:$W,'Business - Dump'!$B:$B,'Portfolio Wise '!$B84,'Business - Dump'!$A:$A,'Portfolio Wise '!$A84)</f>
        <v>9</v>
      </c>
      <c r="R84" s="36">
        <f>SUMIFS('Business - Dump'!$U:$U,'Business - Dump'!$B:$B,'Portfolio Wise '!$B84,'Business - Dump'!$A:$A,'Portfolio Wise '!$A84)/1.18</f>
        <v>235932.2034</v>
      </c>
      <c r="S84" s="41">
        <f t="shared" si="9"/>
        <v>26214.68927</v>
      </c>
      <c r="T84" s="23">
        <f t="shared" si="10"/>
        <v>0.04769832112</v>
      </c>
      <c r="U84" s="38">
        <f t="shared" si="11"/>
        <v>20.96509849</v>
      </c>
      <c r="V84" s="41">
        <f>SUMIFS('Business - Dump'!$G:$G,'Business - Dump'!$B:$B,'Portfolio Wise '!$B84,'Business - Dump'!$A:$A,'Portfolio Wise '!$A84)</f>
        <v>1054</v>
      </c>
      <c r="W84" s="23">
        <f t="shared" si="12"/>
        <v>0.008538899431</v>
      </c>
      <c r="X84" s="23">
        <f t="shared" ref="X84:Y84" si="128">IFERROR(N84/Q84,0)</f>
        <v>1</v>
      </c>
      <c r="Y84" s="49">
        <f t="shared" si="128"/>
        <v>1</v>
      </c>
      <c r="Z84" s="49">
        <f t="shared" si="14"/>
        <v>0</v>
      </c>
      <c r="AA84" s="23">
        <f t="shared" si="15"/>
        <v>1</v>
      </c>
      <c r="AB84" s="23">
        <f>IFERROR(AVERAGEIFS('Business - Dump'!$O:$O,'Business - Dump'!$B:$B,'Portfolio Wise '!$B84,'Business - Dump'!$A:$A,'Portfolio Wise '!$A84),0)</f>
        <v>0.8906833333</v>
      </c>
      <c r="AC84" s="49">
        <f>F84/SUMIFS('Campaign - Dump'!$Q:$Q,'Campaign - Dump'!$A:$A,'Portfolio Wise '!$A84)</f>
        <v>0.03098405188</v>
      </c>
      <c r="AD84" s="49">
        <f t="shared" si="16"/>
        <v>0</v>
      </c>
    </row>
    <row r="85" ht="15.75" customHeight="1">
      <c r="A85" s="10" t="s">
        <v>47</v>
      </c>
      <c r="B85" s="100" t="s">
        <v>182</v>
      </c>
      <c r="C85" s="13">
        <f>SUMIFS('Campaign - Dump'!$N:$N,'Campaign - Dump'!$J:$J,'Portfolio Wise '!$B85,'Campaign - Dump'!$A:$A,'Portfolio Wise '!$A85)</f>
        <v>124816</v>
      </c>
      <c r="D85" s="13">
        <f>SUMIFS('Campaign - Dump'!$O:$O,'Campaign - Dump'!$J:$J,'Portfolio Wise '!$B85,'Campaign - Dump'!$A:$A,'Portfolio Wise '!$A85)</f>
        <v>384</v>
      </c>
      <c r="E85" s="23">
        <f t="shared" si="2"/>
        <v>0.00307652865</v>
      </c>
      <c r="F85" s="36">
        <f>SUMIFS('Campaign - Dump'!$Q:$Q,'Campaign - Dump'!$J:$J,'Portfolio Wise '!$B85,'Campaign - Dump'!$A:$A,'Portfolio Wise '!$A85)</f>
        <v>11253.57</v>
      </c>
      <c r="G85" s="38">
        <f t="shared" si="3"/>
        <v>29.30617188</v>
      </c>
      <c r="H85" s="41">
        <f>SUMIFS('Campaign - Dump'!$T:$T,'Campaign - Dump'!$J:$J,'Portfolio Wise '!$B85,'Campaign - Dump'!$A:$A,'Portfolio Wise '!$A85)</f>
        <v>0</v>
      </c>
      <c r="I85" s="23">
        <f t="shared" si="4"/>
        <v>0</v>
      </c>
      <c r="J85" s="36">
        <f>SUMIFS('Campaign - Dump'!$U:$U,'Campaign - Dump'!$J:$J,'Portfolio Wise '!$B85,'Campaign - Dump'!$A:$A,'Portfolio Wise '!$A85)</f>
        <v>0</v>
      </c>
      <c r="K85" s="23">
        <f t="shared" si="5"/>
        <v>0</v>
      </c>
      <c r="L85" s="38">
        <f t="shared" si="6"/>
        <v>0</v>
      </c>
      <c r="M85" s="41">
        <f t="shared" si="7"/>
        <v>0</v>
      </c>
      <c r="N85" s="13">
        <f t="shared" si="121"/>
        <v>9</v>
      </c>
      <c r="O85" s="36">
        <f t="shared" si="122"/>
        <v>235932.2034</v>
      </c>
      <c r="P85" s="41">
        <f t="shared" si="8"/>
        <v>26214.68927</v>
      </c>
      <c r="Q85" s="13">
        <f>SUMIFS('Business - Dump'!$W:$W,'Business - Dump'!$B:$B,'Portfolio Wise '!$B85,'Business - Dump'!$A:$A,'Portfolio Wise '!$A85)</f>
        <v>9</v>
      </c>
      <c r="R85" s="36">
        <f>SUMIFS('Business - Dump'!$U:$U,'Business - Dump'!$B:$B,'Portfolio Wise '!$B85,'Business - Dump'!$A:$A,'Portfolio Wise '!$A85)/1.18</f>
        <v>235932.2034</v>
      </c>
      <c r="S85" s="41">
        <f t="shared" si="9"/>
        <v>26214.68927</v>
      </c>
      <c r="T85" s="23">
        <f t="shared" si="10"/>
        <v>0.04769832112</v>
      </c>
      <c r="U85" s="38">
        <f t="shared" si="11"/>
        <v>20.96509849</v>
      </c>
      <c r="V85" s="41">
        <f>SUMIFS('Business - Dump'!$G:$G,'Business - Dump'!$B:$B,'Portfolio Wise '!$B85,'Business - Dump'!$A:$A,'Portfolio Wise '!$A85)</f>
        <v>1054</v>
      </c>
      <c r="W85" s="23">
        <f t="shared" si="12"/>
        <v>0.008538899431</v>
      </c>
      <c r="X85" s="23">
        <f t="shared" ref="X85:Y85" si="129">IFERROR(N85/Q85,0)</f>
        <v>1</v>
      </c>
      <c r="Y85" s="49">
        <f t="shared" si="129"/>
        <v>1</v>
      </c>
      <c r="Z85" s="49">
        <f t="shared" si="14"/>
        <v>0</v>
      </c>
      <c r="AA85" s="23">
        <f t="shared" si="15"/>
        <v>1</v>
      </c>
      <c r="AB85" s="23">
        <f>IFERROR(AVERAGEIFS('Business - Dump'!$O:$O,'Business - Dump'!$B:$B,'Portfolio Wise '!$B85,'Business - Dump'!$A:$A,'Portfolio Wise '!$A85),0)</f>
        <v>0.8906833333</v>
      </c>
      <c r="AC85" s="49">
        <f>F85/SUMIFS('Campaign - Dump'!$Q:$Q,'Campaign - Dump'!$A:$A,'Portfolio Wise '!$A85)</f>
        <v>0.03098405188</v>
      </c>
      <c r="AD85" s="49">
        <f t="shared" si="16"/>
        <v>0</v>
      </c>
    </row>
    <row r="86" ht="15.75" customHeight="1">
      <c r="A86" s="10" t="s">
        <v>47</v>
      </c>
      <c r="B86" s="19" t="s">
        <v>196</v>
      </c>
      <c r="C86" s="13">
        <f>SUMIFS('Campaign - Dump'!$N:$N,'Campaign - Dump'!$J:$J,'Portfolio Wise '!$B86,'Campaign - Dump'!$A:$A,'Portfolio Wise '!$A86)</f>
        <v>112179</v>
      </c>
      <c r="D86" s="13">
        <f>SUMIFS('Campaign - Dump'!$O:$O,'Campaign - Dump'!$J:$J,'Portfolio Wise '!$B86,'Campaign - Dump'!$A:$A,'Portfolio Wise '!$A86)</f>
        <v>363</v>
      </c>
      <c r="E86" s="23">
        <f t="shared" si="2"/>
        <v>0.003235899767</v>
      </c>
      <c r="F86" s="36">
        <f>SUMIFS('Campaign - Dump'!$Q:$Q,'Campaign - Dump'!$J:$J,'Portfolio Wise '!$B86,'Campaign - Dump'!$A:$A,'Portfolio Wise '!$A86)</f>
        <v>11816.62</v>
      </c>
      <c r="G86" s="38">
        <f t="shared" si="3"/>
        <v>32.55267218</v>
      </c>
      <c r="H86" s="41">
        <f>SUMIFS('Campaign - Dump'!$T:$T,'Campaign - Dump'!$J:$J,'Portfolio Wise '!$B86,'Campaign - Dump'!$A:$A,'Portfolio Wise '!$A86)</f>
        <v>3</v>
      </c>
      <c r="I86" s="23">
        <f t="shared" si="4"/>
        <v>0.00826446281</v>
      </c>
      <c r="J86" s="36">
        <f>SUMIFS('Campaign - Dump'!$U:$U,'Campaign - Dump'!$J:$J,'Portfolio Wise '!$B86,'Campaign - Dump'!$A:$A,'Portfolio Wise '!$A86)</f>
        <v>53644.07</v>
      </c>
      <c r="K86" s="23">
        <f t="shared" si="5"/>
        <v>0.2202782153</v>
      </c>
      <c r="L86" s="38">
        <f t="shared" si="6"/>
        <v>4.539713556</v>
      </c>
      <c r="M86" s="41">
        <f t="shared" si="7"/>
        <v>17881.35667</v>
      </c>
      <c r="N86" s="13">
        <v>0.0</v>
      </c>
      <c r="O86" s="36">
        <v>0.0</v>
      </c>
      <c r="P86" s="41">
        <f t="shared" si="8"/>
        <v>0</v>
      </c>
      <c r="Q86" s="13">
        <f>SUMIFS('Business - Dump'!$W:$W,'Business - Dump'!$B:$B,'Portfolio Wise '!$B86,'Business - Dump'!$A:$A,'Portfolio Wise '!$A86)</f>
        <v>0</v>
      </c>
      <c r="R86" s="36">
        <f>SUMIFS('Business - Dump'!$U:$U,'Business - Dump'!$B:$B,'Portfolio Wise '!$B86,'Business - Dump'!$A:$A,'Portfolio Wise '!$A86)/1.18</f>
        <v>0</v>
      </c>
      <c r="S86" s="41">
        <f t="shared" si="9"/>
        <v>0</v>
      </c>
      <c r="T86" s="23">
        <f t="shared" si="10"/>
        <v>0</v>
      </c>
      <c r="U86" s="38">
        <f t="shared" si="11"/>
        <v>0</v>
      </c>
      <c r="V86" s="41">
        <f>SUMIFS('Business - Dump'!$G:$G,'Business - Dump'!$B:$B,'Portfolio Wise '!$B86,'Business - Dump'!$A:$A,'Portfolio Wise '!$A86)</f>
        <v>0</v>
      </c>
      <c r="W86" s="48">
        <f t="shared" si="12"/>
        <v>0</v>
      </c>
      <c r="X86" s="23">
        <f t="shared" ref="X86:Y86" si="130">IFERROR(N86/Q86,0)</f>
        <v>0</v>
      </c>
      <c r="Y86" s="49">
        <f t="shared" si="130"/>
        <v>0</v>
      </c>
      <c r="Z86" s="49">
        <f t="shared" si="14"/>
        <v>0</v>
      </c>
      <c r="AA86" s="23">
        <f t="shared" si="15"/>
        <v>0</v>
      </c>
      <c r="AB86" s="23">
        <f>IFERROR(AVERAGEIFS('Business - Dump'!$O:$O,'Business - Dump'!$B:$B,'Portfolio Wise '!$B86,'Business - Dump'!$A:$A,'Portfolio Wise '!$A86),0)</f>
        <v>0</v>
      </c>
      <c r="AC86" s="49">
        <f>F86/SUMIFS('Campaign - Dump'!$Q:$Q,'Campaign - Dump'!$A:$A,'Portfolio Wise '!$A86)</f>
        <v>0.03253427731</v>
      </c>
      <c r="AD86" s="49">
        <f t="shared" si="16"/>
        <v>0</v>
      </c>
    </row>
    <row r="87" ht="15.75" customHeight="1">
      <c r="A87" s="10" t="s">
        <v>47</v>
      </c>
      <c r="B87" s="19" t="s">
        <v>205</v>
      </c>
      <c r="C87" s="13">
        <f>SUMIFS('Campaign - Dump'!$N:$N,'Campaign - Dump'!$J:$J,'Portfolio Wise '!$B87,'Campaign - Dump'!$A:$A,'Portfolio Wise '!$A87)</f>
        <v>0</v>
      </c>
      <c r="D87" s="13">
        <f>SUMIFS('Campaign - Dump'!$O:$O,'Campaign - Dump'!$J:$J,'Portfolio Wise '!$B87,'Campaign - Dump'!$A:$A,'Portfolio Wise '!$A87)</f>
        <v>0</v>
      </c>
      <c r="E87" s="23">
        <f t="shared" si="2"/>
        <v>0</v>
      </c>
      <c r="F87" s="36">
        <f>SUMIFS('Campaign - Dump'!$Q:$Q,'Campaign - Dump'!$J:$J,'Portfolio Wise '!$B87,'Campaign - Dump'!$A:$A,'Portfolio Wise '!$A87)</f>
        <v>0</v>
      </c>
      <c r="G87" s="38">
        <f t="shared" si="3"/>
        <v>0</v>
      </c>
      <c r="H87" s="41">
        <f>SUMIFS('Campaign - Dump'!$T:$T,'Campaign - Dump'!$J:$J,'Portfolio Wise '!$B87,'Campaign - Dump'!$A:$A,'Portfolio Wise '!$A87)</f>
        <v>0</v>
      </c>
      <c r="I87" s="23">
        <f t="shared" si="4"/>
        <v>0</v>
      </c>
      <c r="J87" s="36">
        <f>SUMIFS('Campaign - Dump'!$U:$U,'Campaign - Dump'!$J:$J,'Portfolio Wise '!$B87,'Campaign - Dump'!$A:$A,'Portfolio Wise '!$A87)</f>
        <v>0</v>
      </c>
      <c r="K87" s="23">
        <f t="shared" si="5"/>
        <v>0</v>
      </c>
      <c r="L87" s="38">
        <f t="shared" si="6"/>
        <v>0</v>
      </c>
      <c r="M87" s="41">
        <f t="shared" si="7"/>
        <v>0</v>
      </c>
      <c r="N87" s="13">
        <f t="shared" ref="N87:N96" si="132">IFERROR(Q87-H87,0)</f>
        <v>3</v>
      </c>
      <c r="O87" s="36">
        <f t="shared" ref="O87:O96" si="133">IFERROR(R87-J87,0)</f>
        <v>102966.1017</v>
      </c>
      <c r="P87" s="41">
        <f t="shared" si="8"/>
        <v>34322.0339</v>
      </c>
      <c r="Q87" s="13">
        <f>SUMIFS('Business - Dump'!$W:$W,'Business - Dump'!$B:$B,'Portfolio Wise '!$B87,'Business - Dump'!$A:$A,'Portfolio Wise '!$A87)</f>
        <v>3</v>
      </c>
      <c r="R87" s="36">
        <f>SUMIFS('Business - Dump'!$U:$U,'Business - Dump'!$B:$B,'Portfolio Wise '!$B87,'Business - Dump'!$A:$A,'Portfolio Wise '!$A87)/1.18</f>
        <v>102966.1017</v>
      </c>
      <c r="S87" s="41">
        <f t="shared" si="9"/>
        <v>34322.0339</v>
      </c>
      <c r="T87" s="23">
        <f t="shared" si="10"/>
        <v>0</v>
      </c>
      <c r="U87" s="38">
        <f t="shared" si="11"/>
        <v>0</v>
      </c>
      <c r="V87" s="41">
        <f>SUMIFS('Business - Dump'!$G:$G,'Business - Dump'!$B:$B,'Portfolio Wise '!$B87,'Business - Dump'!$A:$A,'Portfolio Wise '!$A87)</f>
        <v>412</v>
      </c>
      <c r="W87" s="48">
        <f t="shared" si="12"/>
        <v>0.007281553398</v>
      </c>
      <c r="X87" s="23">
        <f t="shared" ref="X87:Y87" si="131">IFERROR(N87/Q87,0)</f>
        <v>1</v>
      </c>
      <c r="Y87" s="49">
        <f t="shared" si="131"/>
        <v>1</v>
      </c>
      <c r="Z87" s="49">
        <f t="shared" si="14"/>
        <v>0</v>
      </c>
      <c r="AA87" s="23">
        <f t="shared" si="15"/>
        <v>1</v>
      </c>
      <c r="AB87" s="23">
        <f>IFERROR(AVERAGEIFS('Business - Dump'!$O:$O,'Business - Dump'!$B:$B,'Portfolio Wise '!$B87,'Business - Dump'!$A:$A,'Portfolio Wise '!$A87),0)</f>
        <v>0.8756666667</v>
      </c>
      <c r="AC87" s="49">
        <f>F87/SUMIFS('Campaign - Dump'!$Q:$Q,'Campaign - Dump'!$A:$A,'Portfolio Wise '!$A87)</f>
        <v>0</v>
      </c>
      <c r="AD87" s="49">
        <f t="shared" si="16"/>
        <v>0</v>
      </c>
    </row>
    <row r="88" ht="15.75" customHeight="1">
      <c r="A88" s="10" t="s">
        <v>47</v>
      </c>
      <c r="B88" s="10" t="s">
        <v>211</v>
      </c>
      <c r="C88" s="13">
        <f>SUMIFS('Campaign - Dump'!$N:$N,'Campaign - Dump'!$J:$J,'Portfolio Wise '!$B88,'Campaign - Dump'!$A:$A,'Portfolio Wise '!$A88)</f>
        <v>0</v>
      </c>
      <c r="D88" s="13">
        <f>SUMIFS('Campaign - Dump'!$O:$O,'Campaign - Dump'!$J:$J,'Portfolio Wise '!$B88,'Campaign - Dump'!$A:$A,'Portfolio Wise '!$A88)</f>
        <v>0</v>
      </c>
      <c r="E88" s="23">
        <f t="shared" si="2"/>
        <v>0</v>
      </c>
      <c r="F88" s="36">
        <f>SUMIFS('Campaign - Dump'!$Q:$Q,'Campaign - Dump'!$J:$J,'Portfolio Wise '!$B88,'Campaign - Dump'!$A:$A,'Portfolio Wise '!$A88)</f>
        <v>0</v>
      </c>
      <c r="G88" s="38">
        <f t="shared" si="3"/>
        <v>0</v>
      </c>
      <c r="H88" s="41">
        <f>SUMIFS('Campaign - Dump'!$T:$T,'Campaign - Dump'!$J:$J,'Portfolio Wise '!$B88,'Campaign - Dump'!$A:$A,'Portfolio Wise '!$A88)</f>
        <v>0</v>
      </c>
      <c r="I88" s="23">
        <f t="shared" si="4"/>
        <v>0</v>
      </c>
      <c r="J88" s="36">
        <f>SUMIFS('Campaign - Dump'!$U:$U,'Campaign - Dump'!$J:$J,'Portfolio Wise '!$B88,'Campaign - Dump'!$A:$A,'Portfolio Wise '!$A88)</f>
        <v>0</v>
      </c>
      <c r="K88" s="23">
        <f t="shared" si="5"/>
        <v>0</v>
      </c>
      <c r="L88" s="38">
        <f t="shared" si="6"/>
        <v>0</v>
      </c>
      <c r="M88" s="41">
        <f t="shared" si="7"/>
        <v>0</v>
      </c>
      <c r="N88" s="13">
        <f t="shared" si="132"/>
        <v>21</v>
      </c>
      <c r="O88" s="36">
        <f t="shared" si="133"/>
        <v>21673.22034</v>
      </c>
      <c r="P88" s="41">
        <f t="shared" si="8"/>
        <v>1032.058111</v>
      </c>
      <c r="Q88" s="13">
        <f>SUMIFS('Business - Dump'!$W:$W,'Business - Dump'!$B:$B,'Portfolio Wise '!$B88,'Business - Dump'!$A:$A,'Portfolio Wise '!$A88)</f>
        <v>21</v>
      </c>
      <c r="R88" s="36">
        <f>SUMIFS('Business - Dump'!$U:$U,'Business - Dump'!$B:$B,'Portfolio Wise '!$B88,'Business - Dump'!$A:$A,'Portfolio Wise '!$A88)/1.18</f>
        <v>21673.22034</v>
      </c>
      <c r="S88" s="41">
        <f t="shared" si="9"/>
        <v>1032.058111</v>
      </c>
      <c r="T88" s="23">
        <f t="shared" si="10"/>
        <v>0</v>
      </c>
      <c r="U88" s="38">
        <f t="shared" si="11"/>
        <v>0</v>
      </c>
      <c r="V88" s="41">
        <f>SUMIFS('Business - Dump'!$G:$G,'Business - Dump'!$B:$B,'Portfolio Wise '!$B88,'Business - Dump'!$A:$A,'Portfolio Wise '!$A88)</f>
        <v>477</v>
      </c>
      <c r="W88" s="48">
        <f t="shared" si="12"/>
        <v>0.04402515723</v>
      </c>
      <c r="X88" s="23">
        <f t="shared" ref="X88:Y88" si="134">IFERROR(N88/Q88,0)</f>
        <v>1</v>
      </c>
      <c r="Y88" s="49">
        <f t="shared" si="134"/>
        <v>1</v>
      </c>
      <c r="Z88" s="49">
        <f t="shared" si="14"/>
        <v>0</v>
      </c>
      <c r="AA88" s="23">
        <f t="shared" si="15"/>
        <v>1</v>
      </c>
      <c r="AB88" s="23">
        <f>IFERROR(AVERAGEIFS('Business - Dump'!$O:$O,'Business - Dump'!$B:$B,'Portfolio Wise '!$B88,'Business - Dump'!$A:$A,'Portfolio Wise '!$A88),0)</f>
        <v>0.9175</v>
      </c>
      <c r="AC88" s="49">
        <f>F88/SUMIFS('Campaign - Dump'!$Q:$Q,'Campaign - Dump'!$A:$A,'Portfolio Wise '!$A88)</f>
        <v>0</v>
      </c>
      <c r="AD88" s="49">
        <f t="shared" si="16"/>
        <v>0</v>
      </c>
    </row>
    <row r="89" ht="15.75" customHeight="1">
      <c r="A89" s="10" t="s">
        <v>47</v>
      </c>
      <c r="B89" s="19" t="s">
        <v>217</v>
      </c>
      <c r="C89" s="13">
        <f>SUMIFS('Campaign - Dump'!$N:$N,'Campaign - Dump'!$J:$J,'Portfolio Wise '!$B89,'Campaign - Dump'!$A:$A,'Portfolio Wise '!$A89)</f>
        <v>0</v>
      </c>
      <c r="D89" s="13">
        <f>SUMIFS('Campaign - Dump'!$O:$O,'Campaign - Dump'!$J:$J,'Portfolio Wise '!$B89,'Campaign - Dump'!$A:$A,'Portfolio Wise '!$A89)</f>
        <v>0</v>
      </c>
      <c r="E89" s="23">
        <f t="shared" si="2"/>
        <v>0</v>
      </c>
      <c r="F89" s="36">
        <f>SUMIFS('Campaign - Dump'!$Q:$Q,'Campaign - Dump'!$J:$J,'Portfolio Wise '!$B89,'Campaign - Dump'!$A:$A,'Portfolio Wise '!$A89)</f>
        <v>0</v>
      </c>
      <c r="G89" s="38">
        <f t="shared" si="3"/>
        <v>0</v>
      </c>
      <c r="H89" s="41">
        <f>SUMIFS('Campaign - Dump'!$T:$T,'Campaign - Dump'!$J:$J,'Portfolio Wise '!$B89,'Campaign - Dump'!$A:$A,'Portfolio Wise '!$A89)</f>
        <v>0</v>
      </c>
      <c r="I89" s="23">
        <f t="shared" si="4"/>
        <v>0</v>
      </c>
      <c r="J89" s="36">
        <f>SUMIFS('Campaign - Dump'!$U:$U,'Campaign - Dump'!$J:$J,'Portfolio Wise '!$B89,'Campaign - Dump'!$A:$A,'Portfolio Wise '!$A89)</f>
        <v>0</v>
      </c>
      <c r="K89" s="23">
        <f t="shared" si="5"/>
        <v>0</v>
      </c>
      <c r="L89" s="38">
        <f t="shared" si="6"/>
        <v>0</v>
      </c>
      <c r="M89" s="41">
        <f t="shared" si="7"/>
        <v>0</v>
      </c>
      <c r="N89" s="13">
        <f t="shared" si="132"/>
        <v>22</v>
      </c>
      <c r="O89" s="36">
        <f t="shared" si="133"/>
        <v>22454.23729</v>
      </c>
      <c r="P89" s="41">
        <f t="shared" si="8"/>
        <v>1020.647149</v>
      </c>
      <c r="Q89" s="13">
        <f>SUMIFS('Business - Dump'!$W:$W,'Business - Dump'!$B:$B,'Portfolio Wise '!$B89,'Business - Dump'!$A:$A,'Portfolio Wise '!$A89)</f>
        <v>22</v>
      </c>
      <c r="R89" s="36">
        <f>SUMIFS('Business - Dump'!$U:$U,'Business - Dump'!$B:$B,'Portfolio Wise '!$B89,'Business - Dump'!$A:$A,'Portfolio Wise '!$A89)/1.18</f>
        <v>22454.23729</v>
      </c>
      <c r="S89" s="41">
        <f t="shared" si="9"/>
        <v>1020.647149</v>
      </c>
      <c r="T89" s="23">
        <f t="shared" si="10"/>
        <v>0</v>
      </c>
      <c r="U89" s="38">
        <f t="shared" si="11"/>
        <v>0</v>
      </c>
      <c r="V89" s="41">
        <f>SUMIFS('Business - Dump'!$G:$G,'Business - Dump'!$B:$B,'Portfolio Wise '!$B89,'Business - Dump'!$A:$A,'Portfolio Wise '!$A89)</f>
        <v>724</v>
      </c>
      <c r="W89" s="48">
        <f t="shared" si="12"/>
        <v>0.03038674033</v>
      </c>
      <c r="X89" s="23">
        <f t="shared" ref="X89:Y89" si="135">IFERROR(N89/Q89,0)</f>
        <v>1</v>
      </c>
      <c r="Y89" s="49">
        <f t="shared" si="135"/>
        <v>1</v>
      </c>
      <c r="Z89" s="49">
        <f t="shared" si="14"/>
        <v>0</v>
      </c>
      <c r="AA89" s="23">
        <f t="shared" si="15"/>
        <v>1</v>
      </c>
      <c r="AB89" s="23">
        <f>IFERROR(AVERAGEIFS('Business - Dump'!$O:$O,'Business - Dump'!$B:$B,'Portfolio Wise '!$B89,'Business - Dump'!$A:$A,'Portfolio Wise '!$A89),0)</f>
        <v>0.8717666667</v>
      </c>
      <c r="AC89" s="49">
        <f>F89/SUMIFS('Campaign - Dump'!$Q:$Q,'Campaign - Dump'!$A:$A,'Portfolio Wise '!$A89)</f>
        <v>0</v>
      </c>
      <c r="AD89" s="49">
        <f t="shared" si="16"/>
        <v>0</v>
      </c>
    </row>
    <row r="90" ht="15.75" customHeight="1">
      <c r="A90" s="10" t="s">
        <v>47</v>
      </c>
      <c r="B90" s="33" t="s">
        <v>230</v>
      </c>
      <c r="C90" s="13">
        <f>SUMIFS('Campaign - Dump'!$N:$N,'Campaign - Dump'!$J:$J,'Portfolio Wise '!$B90,'Campaign - Dump'!$A:$A,'Portfolio Wise '!$A90)</f>
        <v>0</v>
      </c>
      <c r="D90" s="13">
        <f>SUMIFS('Campaign - Dump'!$O:$O,'Campaign - Dump'!$J:$J,'Portfolio Wise '!$B90,'Campaign - Dump'!$A:$A,'Portfolio Wise '!$A90)</f>
        <v>0</v>
      </c>
      <c r="E90" s="23">
        <f t="shared" si="2"/>
        <v>0</v>
      </c>
      <c r="F90" s="36">
        <f>SUMIFS('Campaign - Dump'!$Q:$Q,'Campaign - Dump'!$J:$J,'Portfolio Wise '!$B90,'Campaign - Dump'!$A:$A,'Portfolio Wise '!$A90)</f>
        <v>0</v>
      </c>
      <c r="G90" s="38">
        <f t="shared" si="3"/>
        <v>0</v>
      </c>
      <c r="H90" s="41">
        <f>SUMIFS('Campaign - Dump'!$T:$T,'Campaign - Dump'!$J:$J,'Portfolio Wise '!$B90,'Campaign - Dump'!$A:$A,'Portfolio Wise '!$A90)</f>
        <v>0</v>
      </c>
      <c r="I90" s="23">
        <f t="shared" si="4"/>
        <v>0</v>
      </c>
      <c r="J90" s="36">
        <f>SUMIFS('Campaign - Dump'!$U:$U,'Campaign - Dump'!$J:$J,'Portfolio Wise '!$B90,'Campaign - Dump'!$A:$A,'Portfolio Wise '!$A90)</f>
        <v>0</v>
      </c>
      <c r="K90" s="23">
        <f t="shared" si="5"/>
        <v>0</v>
      </c>
      <c r="L90" s="38">
        <f t="shared" si="6"/>
        <v>0</v>
      </c>
      <c r="M90" s="41">
        <f t="shared" si="7"/>
        <v>0</v>
      </c>
      <c r="N90" s="13">
        <f t="shared" si="132"/>
        <v>0</v>
      </c>
      <c r="O90" s="36">
        <f t="shared" si="133"/>
        <v>0</v>
      </c>
      <c r="P90" s="41">
        <f t="shared" si="8"/>
        <v>0</v>
      </c>
      <c r="Q90" s="13">
        <f>SUMIFS('Business - Dump'!$W:$W,'Business - Dump'!$B:$B,'Portfolio Wise '!$B90,'Business - Dump'!$A:$A,'Portfolio Wise '!$A90)</f>
        <v>0</v>
      </c>
      <c r="R90" s="36">
        <f>SUMIFS('Business - Dump'!$U:$U,'Business - Dump'!$B:$B,'Portfolio Wise '!$B90,'Business - Dump'!$A:$A,'Portfolio Wise '!$A90)/1.18</f>
        <v>0</v>
      </c>
      <c r="S90" s="41">
        <f t="shared" si="9"/>
        <v>0</v>
      </c>
      <c r="T90" s="23">
        <f t="shared" si="10"/>
        <v>0</v>
      </c>
      <c r="U90" s="38">
        <f t="shared" si="11"/>
        <v>0</v>
      </c>
      <c r="V90" s="41">
        <f>SUMIFS('Business - Dump'!$G:$G,'Business - Dump'!$B:$B,'Portfolio Wise '!$B90,'Business - Dump'!$A:$A,'Portfolio Wise '!$A90)</f>
        <v>0</v>
      </c>
      <c r="W90" s="23">
        <f t="shared" si="12"/>
        <v>0</v>
      </c>
      <c r="X90" s="23">
        <f t="shared" ref="X90:Y90" si="136">IFERROR(N90/Q90,0)</f>
        <v>0</v>
      </c>
      <c r="Y90" s="49">
        <f t="shared" si="136"/>
        <v>0</v>
      </c>
      <c r="Z90" s="49">
        <f t="shared" si="14"/>
        <v>0</v>
      </c>
      <c r="AA90" s="23">
        <f t="shared" si="15"/>
        <v>0</v>
      </c>
      <c r="AB90" s="23">
        <f>IFERROR(AVERAGEIFS('Business - Dump'!$O:$O,'Business - Dump'!$B:$B,'Portfolio Wise '!$B90,'Business - Dump'!$A:$A,'Portfolio Wise '!$A90),0)</f>
        <v>0</v>
      </c>
      <c r="AC90" s="49">
        <f>F90/SUMIFS('Campaign - Dump'!$Q:$Q,'Campaign - Dump'!$A:$A,'Portfolio Wise '!$A90)</f>
        <v>0</v>
      </c>
      <c r="AD90" s="49">
        <f t="shared" si="16"/>
        <v>0</v>
      </c>
    </row>
    <row r="91" ht="15.75" customHeight="1">
      <c r="A91" s="10" t="s">
        <v>47</v>
      </c>
      <c r="B91" s="33" t="s">
        <v>230</v>
      </c>
      <c r="C91" s="13">
        <f>SUMIFS('Campaign - Dump'!$N:$N,'Campaign - Dump'!$J:$J,'Portfolio Wise '!$B91,'Campaign - Dump'!$A:$A,'Portfolio Wise '!$A91)</f>
        <v>0</v>
      </c>
      <c r="D91" s="13">
        <f>SUMIFS('Campaign - Dump'!$O:$O,'Campaign - Dump'!$J:$J,'Portfolio Wise '!$B91,'Campaign - Dump'!$A:$A,'Portfolio Wise '!$A91)</f>
        <v>0</v>
      </c>
      <c r="E91" s="23">
        <f t="shared" si="2"/>
        <v>0</v>
      </c>
      <c r="F91" s="36">
        <f>SUMIFS('Campaign - Dump'!$Q:$Q,'Campaign - Dump'!$J:$J,'Portfolio Wise '!$B91,'Campaign - Dump'!$A:$A,'Portfolio Wise '!$A91)</f>
        <v>0</v>
      </c>
      <c r="G91" s="38">
        <f t="shared" si="3"/>
        <v>0</v>
      </c>
      <c r="H91" s="41">
        <f>SUMIFS('Campaign - Dump'!$T:$T,'Campaign - Dump'!$J:$J,'Portfolio Wise '!$B91,'Campaign - Dump'!$A:$A,'Portfolio Wise '!$A91)</f>
        <v>0</v>
      </c>
      <c r="I91" s="23">
        <f t="shared" si="4"/>
        <v>0</v>
      </c>
      <c r="J91" s="36">
        <f>SUMIFS('Campaign - Dump'!$U:$U,'Campaign - Dump'!$J:$J,'Portfolio Wise '!$B91,'Campaign - Dump'!$A:$A,'Portfolio Wise '!$A91)</f>
        <v>0</v>
      </c>
      <c r="K91" s="23">
        <f t="shared" si="5"/>
        <v>0</v>
      </c>
      <c r="L91" s="38">
        <f t="shared" si="6"/>
        <v>0</v>
      </c>
      <c r="M91" s="41">
        <f t="shared" si="7"/>
        <v>0</v>
      </c>
      <c r="N91" s="13">
        <f t="shared" si="132"/>
        <v>0</v>
      </c>
      <c r="O91" s="36">
        <f t="shared" si="133"/>
        <v>0</v>
      </c>
      <c r="P91" s="41">
        <f t="shared" si="8"/>
        <v>0</v>
      </c>
      <c r="Q91" s="13">
        <f>SUMIFS('Business - Dump'!$W:$W,'Business - Dump'!$B:$B,'Portfolio Wise '!$B91,'Business - Dump'!$A:$A,'Portfolio Wise '!$A91)</f>
        <v>0</v>
      </c>
      <c r="R91" s="36">
        <f>SUMIFS('Business - Dump'!$U:$U,'Business - Dump'!$B:$B,'Portfolio Wise '!$B91,'Business - Dump'!$A:$A,'Portfolio Wise '!$A91)/1.18</f>
        <v>0</v>
      </c>
      <c r="S91" s="41">
        <f t="shared" si="9"/>
        <v>0</v>
      </c>
      <c r="T91" s="23">
        <f t="shared" si="10"/>
        <v>0</v>
      </c>
      <c r="U91" s="38">
        <f t="shared" si="11"/>
        <v>0</v>
      </c>
      <c r="V91" s="41">
        <f>SUMIFS('Business - Dump'!$G:$G,'Business - Dump'!$B:$B,'Portfolio Wise '!$B91,'Business - Dump'!$A:$A,'Portfolio Wise '!$A91)</f>
        <v>0</v>
      </c>
      <c r="W91" s="23">
        <f t="shared" si="12"/>
        <v>0</v>
      </c>
      <c r="X91" s="23">
        <f t="shared" ref="X91:Y91" si="137">IFERROR(N91/Q91,0)</f>
        <v>0</v>
      </c>
      <c r="Y91" s="49">
        <f t="shared" si="137"/>
        <v>0</v>
      </c>
      <c r="Z91" s="49">
        <f t="shared" si="14"/>
        <v>0</v>
      </c>
      <c r="AA91" s="23">
        <f t="shared" si="15"/>
        <v>0</v>
      </c>
      <c r="AB91" s="23">
        <f>IFERROR(AVERAGEIFS('Business - Dump'!$O:$O,'Business - Dump'!$B:$B,'Portfolio Wise '!$B91,'Business - Dump'!$A:$A,'Portfolio Wise '!$A91),0)</f>
        <v>0</v>
      </c>
      <c r="AC91" s="49">
        <f>F91/SUMIFS('Campaign - Dump'!$Q:$Q,'Campaign - Dump'!$A:$A,'Portfolio Wise '!$A91)</f>
        <v>0</v>
      </c>
      <c r="AD91" s="49">
        <f t="shared" si="16"/>
        <v>0</v>
      </c>
    </row>
    <row r="92" ht="15.75" customHeight="1">
      <c r="A92" s="10" t="s">
        <v>47</v>
      </c>
      <c r="B92" s="19" t="s">
        <v>232</v>
      </c>
      <c r="C92" s="13">
        <f>SUMIFS('Campaign - Dump'!$N:$N,'Campaign - Dump'!$J:$J,'Portfolio Wise '!$B92,'Campaign - Dump'!$A:$A,'Portfolio Wise '!$A92)</f>
        <v>0</v>
      </c>
      <c r="D92" s="13">
        <f>SUMIFS('Campaign - Dump'!$O:$O,'Campaign - Dump'!$J:$J,'Portfolio Wise '!$B92,'Campaign - Dump'!$A:$A,'Portfolio Wise '!$A92)</f>
        <v>0</v>
      </c>
      <c r="E92" s="23">
        <f t="shared" si="2"/>
        <v>0</v>
      </c>
      <c r="F92" s="36">
        <f>SUMIFS('Campaign - Dump'!$Q:$Q,'Campaign - Dump'!$J:$J,'Portfolio Wise '!$B92,'Campaign - Dump'!$A:$A,'Portfolio Wise '!$A92)</f>
        <v>0</v>
      </c>
      <c r="G92" s="38">
        <f t="shared" si="3"/>
        <v>0</v>
      </c>
      <c r="H92" s="41">
        <f>SUMIFS('Campaign - Dump'!$T:$T,'Campaign - Dump'!$J:$J,'Portfolio Wise '!$B92,'Campaign - Dump'!$A:$A,'Portfolio Wise '!$A92)</f>
        <v>0</v>
      </c>
      <c r="I92" s="23">
        <f t="shared" si="4"/>
        <v>0</v>
      </c>
      <c r="J92" s="36">
        <f>SUMIFS('Campaign - Dump'!$U:$U,'Campaign - Dump'!$J:$J,'Portfolio Wise '!$B92,'Campaign - Dump'!$A:$A,'Portfolio Wise '!$A92)</f>
        <v>0</v>
      </c>
      <c r="K92" s="23">
        <f t="shared" si="5"/>
        <v>0</v>
      </c>
      <c r="L92" s="38">
        <f t="shared" si="6"/>
        <v>0</v>
      </c>
      <c r="M92" s="41">
        <f t="shared" si="7"/>
        <v>0</v>
      </c>
      <c r="N92" s="13">
        <f t="shared" si="132"/>
        <v>0</v>
      </c>
      <c r="O92" s="36">
        <f t="shared" si="133"/>
        <v>0</v>
      </c>
      <c r="P92" s="41">
        <f t="shared" si="8"/>
        <v>0</v>
      </c>
      <c r="Q92" s="13">
        <f>SUMIFS('Business - Dump'!$W:$W,'Business - Dump'!$B:$B,'Portfolio Wise '!$B92,'Business - Dump'!$A:$A,'Portfolio Wise '!$A92)</f>
        <v>0</v>
      </c>
      <c r="R92" s="36">
        <f>SUMIFS('Business - Dump'!$U:$U,'Business - Dump'!$B:$B,'Portfolio Wise '!$B92,'Business - Dump'!$A:$A,'Portfolio Wise '!$A92)/1.18</f>
        <v>0</v>
      </c>
      <c r="S92" s="41">
        <f t="shared" si="9"/>
        <v>0</v>
      </c>
      <c r="T92" s="23">
        <f t="shared" si="10"/>
        <v>0</v>
      </c>
      <c r="U92" s="38">
        <f t="shared" si="11"/>
        <v>0</v>
      </c>
      <c r="V92" s="41">
        <f>SUMIFS('Business - Dump'!$G:$G,'Business - Dump'!$B:$B,'Portfolio Wise '!$B92,'Business - Dump'!$A:$A,'Portfolio Wise '!$A92)</f>
        <v>0</v>
      </c>
      <c r="W92" s="48">
        <f t="shared" si="12"/>
        <v>0</v>
      </c>
      <c r="X92" s="23">
        <f t="shared" ref="X92:Y92" si="138">IFERROR(N92/Q92,0)</f>
        <v>0</v>
      </c>
      <c r="Y92" s="49">
        <f t="shared" si="138"/>
        <v>0</v>
      </c>
      <c r="Z92" s="49">
        <f t="shared" si="14"/>
        <v>0</v>
      </c>
      <c r="AA92" s="23">
        <f t="shared" si="15"/>
        <v>0</v>
      </c>
      <c r="AB92" s="23">
        <f>IFERROR(AVERAGEIFS('Business - Dump'!$O:$O,'Business - Dump'!$B:$B,'Portfolio Wise '!$B92,'Business - Dump'!$A:$A,'Portfolio Wise '!$A92),0)</f>
        <v>0</v>
      </c>
      <c r="AC92" s="49">
        <f>F92/SUMIFS('Campaign - Dump'!$Q:$Q,'Campaign - Dump'!$A:$A,'Portfolio Wise '!$A92)</f>
        <v>0</v>
      </c>
      <c r="AD92" s="49">
        <f t="shared" si="16"/>
        <v>0</v>
      </c>
    </row>
    <row r="93" ht="15.75" customHeight="1">
      <c r="A93" s="10" t="s">
        <v>47</v>
      </c>
      <c r="B93" s="51" t="s">
        <v>239</v>
      </c>
      <c r="C93" s="13">
        <f>SUMIFS('Campaign - Dump'!$N:$N,'Campaign - Dump'!$J:$J,'Portfolio Wise '!$B93,'Campaign - Dump'!$A:$A,'Portfolio Wise '!$A93)</f>
        <v>0</v>
      </c>
      <c r="D93" s="13">
        <f>SUMIFS('Campaign - Dump'!$O:$O,'Campaign - Dump'!$J:$J,'Portfolio Wise '!$B93,'Campaign - Dump'!$A:$A,'Portfolio Wise '!$A93)</f>
        <v>0</v>
      </c>
      <c r="E93" s="23">
        <f t="shared" si="2"/>
        <v>0</v>
      </c>
      <c r="F93" s="36">
        <f>SUMIFS('Campaign - Dump'!$Q:$Q,'Campaign - Dump'!$J:$J,'Portfolio Wise '!$B93,'Campaign - Dump'!$A:$A,'Portfolio Wise '!$A93)</f>
        <v>0</v>
      </c>
      <c r="G93" s="38">
        <f t="shared" si="3"/>
        <v>0</v>
      </c>
      <c r="H93" s="41">
        <f>SUMIFS('Campaign - Dump'!$T:$T,'Campaign - Dump'!$J:$J,'Portfolio Wise '!$B93,'Campaign - Dump'!$A:$A,'Portfolio Wise '!$A93)</f>
        <v>0</v>
      </c>
      <c r="I93" s="23">
        <f t="shared" si="4"/>
        <v>0</v>
      </c>
      <c r="J93" s="36">
        <f>SUMIFS('Campaign - Dump'!$U:$U,'Campaign - Dump'!$J:$J,'Portfolio Wise '!$B93,'Campaign - Dump'!$A:$A,'Portfolio Wise '!$A93)</f>
        <v>0</v>
      </c>
      <c r="K93" s="23">
        <f t="shared" si="5"/>
        <v>0</v>
      </c>
      <c r="L93" s="38">
        <f t="shared" si="6"/>
        <v>0</v>
      </c>
      <c r="M93" s="41">
        <f t="shared" si="7"/>
        <v>0</v>
      </c>
      <c r="N93" s="13">
        <f t="shared" si="132"/>
        <v>0</v>
      </c>
      <c r="O93" s="36">
        <f t="shared" si="133"/>
        <v>0</v>
      </c>
      <c r="P93" s="41">
        <f t="shared" si="8"/>
        <v>0</v>
      </c>
      <c r="Q93" s="13">
        <f>SUMIFS('Business - Dump'!$W:$W,'Business - Dump'!$B:$B,'Portfolio Wise '!$B93,'Business - Dump'!$A:$A,'Portfolio Wise '!$A93)</f>
        <v>0</v>
      </c>
      <c r="R93" s="36">
        <f>SUMIFS('Business - Dump'!$U:$U,'Business - Dump'!$B:$B,'Portfolio Wise '!$B93,'Business - Dump'!$A:$A,'Portfolio Wise '!$A93)/1.18</f>
        <v>0</v>
      </c>
      <c r="S93" s="41">
        <f t="shared" si="9"/>
        <v>0</v>
      </c>
      <c r="T93" s="23">
        <f t="shared" si="10"/>
        <v>0</v>
      </c>
      <c r="U93" s="38">
        <f t="shared" si="11"/>
        <v>0</v>
      </c>
      <c r="V93" s="41">
        <f>SUMIFS('Business - Dump'!$G:$G,'Business - Dump'!$B:$B,'Portfolio Wise '!$B93,'Business - Dump'!$A:$A,'Portfolio Wise '!$A93)</f>
        <v>0</v>
      </c>
      <c r="W93" s="48">
        <f t="shared" si="12"/>
        <v>0</v>
      </c>
      <c r="X93" s="23">
        <f t="shared" ref="X93:Y93" si="139">IFERROR(N93/Q93,0)</f>
        <v>0</v>
      </c>
      <c r="Y93" s="49">
        <f t="shared" si="139"/>
        <v>0</v>
      </c>
      <c r="Z93" s="49">
        <f t="shared" si="14"/>
        <v>0</v>
      </c>
      <c r="AA93" s="23">
        <f t="shared" si="15"/>
        <v>0</v>
      </c>
      <c r="AB93" s="23">
        <f>IFERROR(AVERAGEIFS('Business - Dump'!$O:$O,'Business - Dump'!$B:$B,'Portfolio Wise '!$B93,'Business - Dump'!$A:$A,'Portfolio Wise '!$A93),0)</f>
        <v>0</v>
      </c>
      <c r="AC93" s="49">
        <f>F93/SUMIFS('Campaign - Dump'!$Q:$Q,'Campaign - Dump'!$A:$A,'Portfolio Wise '!$A93)</f>
        <v>0</v>
      </c>
      <c r="AD93" s="49">
        <f t="shared" si="16"/>
        <v>0</v>
      </c>
    </row>
    <row r="94" ht="15.75" customHeight="1">
      <c r="A94" s="10" t="s">
        <v>47</v>
      </c>
      <c r="B94" s="19" t="s">
        <v>240</v>
      </c>
      <c r="C94" s="13">
        <f>SUMIFS('Campaign - Dump'!$N:$N,'Campaign - Dump'!$J:$J,'Portfolio Wise '!$B94,'Campaign - Dump'!$A:$A,'Portfolio Wise '!$A94)</f>
        <v>0</v>
      </c>
      <c r="D94" s="13">
        <f>SUMIFS('Campaign - Dump'!$O:$O,'Campaign - Dump'!$J:$J,'Portfolio Wise '!$B94,'Campaign - Dump'!$A:$A,'Portfolio Wise '!$A94)</f>
        <v>0</v>
      </c>
      <c r="E94" s="23">
        <f t="shared" si="2"/>
        <v>0</v>
      </c>
      <c r="F94" s="36">
        <f>SUMIFS('Campaign - Dump'!$Q:$Q,'Campaign - Dump'!$J:$J,'Portfolio Wise '!$B94,'Campaign - Dump'!$A:$A,'Portfolio Wise '!$A94)</f>
        <v>0</v>
      </c>
      <c r="G94" s="38">
        <f t="shared" si="3"/>
        <v>0</v>
      </c>
      <c r="H94" s="41">
        <f>SUMIFS('Campaign - Dump'!$T:$T,'Campaign - Dump'!$J:$J,'Portfolio Wise '!$B94,'Campaign - Dump'!$A:$A,'Portfolio Wise '!$A94)</f>
        <v>0</v>
      </c>
      <c r="I94" s="23">
        <f t="shared" si="4"/>
        <v>0</v>
      </c>
      <c r="J94" s="36">
        <f>SUMIFS('Campaign - Dump'!$U:$U,'Campaign - Dump'!$J:$J,'Portfolio Wise '!$B94,'Campaign - Dump'!$A:$A,'Portfolio Wise '!$A94)</f>
        <v>0</v>
      </c>
      <c r="K94" s="23">
        <f t="shared" si="5"/>
        <v>0</v>
      </c>
      <c r="L94" s="38">
        <f t="shared" si="6"/>
        <v>0</v>
      </c>
      <c r="M94" s="41">
        <f t="shared" si="7"/>
        <v>0</v>
      </c>
      <c r="N94" s="13">
        <f t="shared" si="132"/>
        <v>0</v>
      </c>
      <c r="O94" s="36">
        <f t="shared" si="133"/>
        <v>0</v>
      </c>
      <c r="P94" s="41">
        <f t="shared" si="8"/>
        <v>0</v>
      </c>
      <c r="Q94" s="13">
        <f>SUMIFS('Business - Dump'!$W:$W,'Business - Dump'!$B:$B,'Portfolio Wise '!$B94,'Business - Dump'!$A:$A,'Portfolio Wise '!$A94)</f>
        <v>0</v>
      </c>
      <c r="R94" s="36">
        <f>SUMIFS('Business - Dump'!$U:$U,'Business - Dump'!$B:$B,'Portfolio Wise '!$B94,'Business - Dump'!$A:$A,'Portfolio Wise '!$A94)/1.18</f>
        <v>0</v>
      </c>
      <c r="S94" s="41">
        <f t="shared" si="9"/>
        <v>0</v>
      </c>
      <c r="T94" s="23">
        <f t="shared" si="10"/>
        <v>0</v>
      </c>
      <c r="U94" s="38">
        <f t="shared" si="11"/>
        <v>0</v>
      </c>
      <c r="V94" s="41">
        <f>SUMIFS('Business - Dump'!$G:$G,'Business - Dump'!$B:$B,'Portfolio Wise '!$B94,'Business - Dump'!$A:$A,'Portfolio Wise '!$A94)</f>
        <v>0</v>
      </c>
      <c r="W94" s="48">
        <f t="shared" si="12"/>
        <v>0</v>
      </c>
      <c r="X94" s="23">
        <f t="shared" ref="X94:Y94" si="140">IFERROR(N94/Q94,0)</f>
        <v>0</v>
      </c>
      <c r="Y94" s="49">
        <f t="shared" si="140"/>
        <v>0</v>
      </c>
      <c r="Z94" s="49">
        <f t="shared" si="14"/>
        <v>0</v>
      </c>
      <c r="AA94" s="23">
        <f t="shared" si="15"/>
        <v>0</v>
      </c>
      <c r="AB94" s="23">
        <f>IFERROR(AVERAGEIFS('Business - Dump'!$O:$O,'Business - Dump'!$B:$B,'Portfolio Wise '!$B94,'Business - Dump'!$A:$A,'Portfolio Wise '!$A94),0)</f>
        <v>0</v>
      </c>
      <c r="AC94" s="49">
        <f>F94/SUMIFS('Campaign - Dump'!$Q:$Q,'Campaign - Dump'!$A:$A,'Portfolio Wise '!$A94)</f>
        <v>0</v>
      </c>
      <c r="AD94" s="49">
        <f t="shared" si="16"/>
        <v>0</v>
      </c>
    </row>
    <row r="95" ht="15.75" customHeight="1">
      <c r="A95" s="10" t="s">
        <v>47</v>
      </c>
      <c r="B95" s="10" t="s">
        <v>241</v>
      </c>
      <c r="C95" s="13">
        <f>SUMIFS('Campaign - Dump'!$N:$N,'Campaign - Dump'!$J:$J,'Portfolio Wise '!$B95,'Campaign - Dump'!$A:$A,'Portfolio Wise '!$A95)</f>
        <v>0</v>
      </c>
      <c r="D95" s="13">
        <f>SUMIFS('Campaign - Dump'!$O:$O,'Campaign - Dump'!$J:$J,'Portfolio Wise '!$B95,'Campaign - Dump'!$A:$A,'Portfolio Wise '!$A95)</f>
        <v>0</v>
      </c>
      <c r="E95" s="23">
        <f t="shared" si="2"/>
        <v>0</v>
      </c>
      <c r="F95" s="36">
        <f>SUMIFS('Campaign - Dump'!$Q:$Q,'Campaign - Dump'!$J:$J,'Portfolio Wise '!$B95,'Campaign - Dump'!$A:$A,'Portfolio Wise '!$A95)</f>
        <v>0</v>
      </c>
      <c r="G95" s="38">
        <f t="shared" si="3"/>
        <v>0</v>
      </c>
      <c r="H95" s="41">
        <f>SUMIFS('Campaign - Dump'!$T:$T,'Campaign - Dump'!$J:$J,'Portfolio Wise '!$B95,'Campaign - Dump'!$A:$A,'Portfolio Wise '!$A95)</f>
        <v>0</v>
      </c>
      <c r="I95" s="23">
        <f t="shared" si="4"/>
        <v>0</v>
      </c>
      <c r="J95" s="36">
        <f>SUMIFS('Campaign - Dump'!$U:$U,'Campaign - Dump'!$J:$J,'Portfolio Wise '!$B95,'Campaign - Dump'!$A:$A,'Portfolio Wise '!$A95)</f>
        <v>0</v>
      </c>
      <c r="K95" s="23">
        <f t="shared" si="5"/>
        <v>0</v>
      </c>
      <c r="L95" s="38">
        <f t="shared" si="6"/>
        <v>0</v>
      </c>
      <c r="M95" s="41">
        <f t="shared" si="7"/>
        <v>0</v>
      </c>
      <c r="N95" s="13">
        <f t="shared" si="132"/>
        <v>1</v>
      </c>
      <c r="O95" s="36">
        <f t="shared" si="133"/>
        <v>2372.881356</v>
      </c>
      <c r="P95" s="41">
        <f t="shared" si="8"/>
        <v>2372.881356</v>
      </c>
      <c r="Q95" s="13">
        <f>SUMIFS('Business - Dump'!$W:$W,'Business - Dump'!$B:$B,'Portfolio Wise '!$B95,'Business - Dump'!$A:$A,'Portfolio Wise '!$A95)</f>
        <v>1</v>
      </c>
      <c r="R95" s="36">
        <f>SUMIFS('Business - Dump'!$U:$U,'Business - Dump'!$B:$B,'Portfolio Wise '!$B95,'Business - Dump'!$A:$A,'Portfolio Wise '!$A95)/1.18</f>
        <v>2372.881356</v>
      </c>
      <c r="S95" s="41">
        <f t="shared" si="9"/>
        <v>2372.881356</v>
      </c>
      <c r="T95" s="23">
        <f t="shared" si="10"/>
        <v>0</v>
      </c>
      <c r="U95" s="38">
        <f t="shared" si="11"/>
        <v>0</v>
      </c>
      <c r="V95" s="41">
        <f>SUMIFS('Business - Dump'!$G:$G,'Business - Dump'!$B:$B,'Portfolio Wise '!$B95,'Business - Dump'!$A:$A,'Portfolio Wise '!$A95)</f>
        <v>71</v>
      </c>
      <c r="W95" s="48">
        <f t="shared" si="12"/>
        <v>0.01408450704</v>
      </c>
      <c r="X95" s="23">
        <f t="shared" ref="X95:Y95" si="141">IFERROR(N95/Q95,0)</f>
        <v>1</v>
      </c>
      <c r="Y95" s="49">
        <f t="shared" si="141"/>
        <v>1</v>
      </c>
      <c r="Z95" s="49">
        <f t="shared" si="14"/>
        <v>0</v>
      </c>
      <c r="AA95" s="23">
        <f t="shared" si="15"/>
        <v>1</v>
      </c>
      <c r="AB95" s="23">
        <f>IFERROR(AVERAGEIFS('Business - Dump'!$O:$O,'Business - Dump'!$B:$B,'Portfolio Wise '!$B95,'Business - Dump'!$A:$A,'Portfolio Wise '!$A95),0)</f>
        <v>0.878</v>
      </c>
      <c r="AC95" s="49">
        <f>F95/SUMIFS('Campaign - Dump'!$Q:$Q,'Campaign - Dump'!$A:$A,'Portfolio Wise '!$A95)</f>
        <v>0</v>
      </c>
      <c r="AD95" s="49">
        <f t="shared" si="16"/>
        <v>0</v>
      </c>
    </row>
    <row r="96" ht="15.75" customHeight="1">
      <c r="A96" s="10" t="s">
        <v>47</v>
      </c>
      <c r="B96" s="19" t="s">
        <v>248</v>
      </c>
      <c r="C96" s="13">
        <f>SUMIFS('Campaign - Dump'!$N:$N,'Campaign - Dump'!$J:$J,'Portfolio Wise '!$B96,'Campaign - Dump'!$A:$A,'Portfolio Wise '!$A96)</f>
        <v>0</v>
      </c>
      <c r="D96" s="13">
        <f>SUMIFS('Campaign - Dump'!$O:$O,'Campaign - Dump'!$J:$J,'Portfolio Wise '!$B96,'Campaign - Dump'!$A:$A,'Portfolio Wise '!$A96)</f>
        <v>0</v>
      </c>
      <c r="E96" s="23">
        <f t="shared" si="2"/>
        <v>0</v>
      </c>
      <c r="F96" s="36">
        <f>SUMIFS('Campaign - Dump'!$Q:$Q,'Campaign - Dump'!$J:$J,'Portfolio Wise '!$B96,'Campaign - Dump'!$A:$A,'Portfolio Wise '!$A96)</f>
        <v>0</v>
      </c>
      <c r="G96" s="38">
        <f t="shared" si="3"/>
        <v>0</v>
      </c>
      <c r="H96" s="41">
        <f>SUMIFS('Campaign - Dump'!$T:$T,'Campaign - Dump'!$J:$J,'Portfolio Wise '!$B96,'Campaign - Dump'!$A:$A,'Portfolio Wise '!$A96)</f>
        <v>0</v>
      </c>
      <c r="I96" s="23">
        <f t="shared" si="4"/>
        <v>0</v>
      </c>
      <c r="J96" s="36">
        <f>SUMIFS('Campaign - Dump'!$U:$U,'Campaign - Dump'!$J:$J,'Portfolio Wise '!$B96,'Campaign - Dump'!$A:$A,'Portfolio Wise '!$A96)</f>
        <v>0</v>
      </c>
      <c r="K96" s="23">
        <f t="shared" si="5"/>
        <v>0</v>
      </c>
      <c r="L96" s="38">
        <f t="shared" si="6"/>
        <v>0</v>
      </c>
      <c r="M96" s="41">
        <f t="shared" si="7"/>
        <v>0</v>
      </c>
      <c r="N96" s="13">
        <f t="shared" si="132"/>
        <v>4</v>
      </c>
      <c r="O96" s="36">
        <f t="shared" si="133"/>
        <v>39067.79661</v>
      </c>
      <c r="P96" s="41">
        <f t="shared" si="8"/>
        <v>9766.949153</v>
      </c>
      <c r="Q96" s="13">
        <f>SUMIFS('Business - Dump'!$W:$W,'Business - Dump'!$B:$B,'Portfolio Wise '!$B96,'Business - Dump'!$A:$A,'Portfolio Wise '!$A96)</f>
        <v>4</v>
      </c>
      <c r="R96" s="36">
        <f>SUMIFS('Business - Dump'!$U:$U,'Business - Dump'!$B:$B,'Portfolio Wise '!$B96,'Business - Dump'!$A:$A,'Portfolio Wise '!$A96)/1.18</f>
        <v>39067.79661</v>
      </c>
      <c r="S96" s="41">
        <f t="shared" si="9"/>
        <v>9766.949153</v>
      </c>
      <c r="T96" s="23">
        <f t="shared" si="10"/>
        <v>0</v>
      </c>
      <c r="U96" s="38">
        <f t="shared" si="11"/>
        <v>0</v>
      </c>
      <c r="V96" s="41">
        <f>SUMIFS('Business - Dump'!$G:$G,'Business - Dump'!$B:$B,'Portfolio Wise '!$B96,'Business - Dump'!$A:$A,'Portfolio Wise '!$A96)</f>
        <v>239</v>
      </c>
      <c r="W96" s="48">
        <f t="shared" si="12"/>
        <v>0.01673640167</v>
      </c>
      <c r="X96" s="23">
        <f t="shared" ref="X96:Y96" si="142">IFERROR(N96/Q96,0)</f>
        <v>1</v>
      </c>
      <c r="Y96" s="49">
        <f t="shared" si="142"/>
        <v>1</v>
      </c>
      <c r="Z96" s="49">
        <f t="shared" si="14"/>
        <v>0</v>
      </c>
      <c r="AA96" s="23">
        <f t="shared" si="15"/>
        <v>1</v>
      </c>
      <c r="AB96" s="23">
        <f>IFERROR(AVERAGEIFS('Business - Dump'!$O:$O,'Business - Dump'!$B:$B,'Portfolio Wise '!$B96,'Business - Dump'!$A:$A,'Portfolio Wise '!$A96),0)</f>
        <v>0.92035</v>
      </c>
      <c r="AC96" s="49">
        <f>F96/SUMIFS('Campaign - Dump'!$Q:$Q,'Campaign - Dump'!$A:$A,'Portfolio Wise '!$A96)</f>
        <v>0</v>
      </c>
      <c r="AD96" s="49">
        <f t="shared" si="16"/>
        <v>0</v>
      </c>
    </row>
    <row r="97" ht="15.75" customHeight="1">
      <c r="A97" s="10" t="s">
        <v>47</v>
      </c>
      <c r="B97" s="126" t="s">
        <v>391</v>
      </c>
      <c r="C97" s="127">
        <f t="shared" ref="C97:D97" si="143">SUM(C74:C96)</f>
        <v>3509490</v>
      </c>
      <c r="D97" s="127">
        <f t="shared" si="143"/>
        <v>16204</v>
      </c>
      <c r="E97" s="62">
        <f t="shared" si="2"/>
        <v>0.004617195091</v>
      </c>
      <c r="F97" s="128">
        <f>SUM(F74:F96)</f>
        <v>371399.29</v>
      </c>
      <c r="G97" s="129">
        <f t="shared" si="3"/>
        <v>22.92022278</v>
      </c>
      <c r="H97" s="130">
        <f>SUM(H74:H96)</f>
        <v>122</v>
      </c>
      <c r="I97" s="62">
        <f t="shared" si="4"/>
        <v>0.007529005184</v>
      </c>
      <c r="J97" s="128">
        <f>SUM(J74:J96)</f>
        <v>2187936.22</v>
      </c>
      <c r="K97" s="62">
        <f t="shared" si="5"/>
        <v>0.1697486822</v>
      </c>
      <c r="L97" s="129">
        <f t="shared" si="6"/>
        <v>5.891061935</v>
      </c>
      <c r="M97" s="130">
        <f t="shared" si="7"/>
        <v>17933.90344</v>
      </c>
      <c r="N97" s="127">
        <f t="shared" ref="N97:O97" si="144">SUM(N74:N96)</f>
        <v>177</v>
      </c>
      <c r="O97" s="128">
        <f t="shared" si="144"/>
        <v>2816049.167</v>
      </c>
      <c r="P97" s="130">
        <f t="shared" si="8"/>
        <v>15909.8823</v>
      </c>
      <c r="Q97" s="127">
        <f t="shared" ref="Q97:R97" si="145">SUM(Q74:Q96)</f>
        <v>233</v>
      </c>
      <c r="R97" s="128">
        <f t="shared" si="145"/>
        <v>3705611.627</v>
      </c>
      <c r="S97" s="130">
        <f t="shared" si="9"/>
        <v>15903.91256</v>
      </c>
      <c r="T97" s="62">
        <f t="shared" si="10"/>
        <v>0.1002261779</v>
      </c>
      <c r="U97" s="129">
        <f t="shared" si="11"/>
        <v>9.977433256</v>
      </c>
      <c r="V97" s="130">
        <f>SUM(V74:V96)</f>
        <v>31185</v>
      </c>
      <c r="W97" s="131">
        <f t="shared" si="12"/>
        <v>0.007471540805</v>
      </c>
      <c r="X97" s="62">
        <f t="shared" ref="X97:Y97" si="146">IFERROR(N97/Q97,0)</f>
        <v>0.7596566524</v>
      </c>
      <c r="Y97" s="132">
        <f t="shared" si="146"/>
        <v>0.7599417992</v>
      </c>
      <c r="Z97" s="132">
        <f t="shared" si="14"/>
        <v>0.5236051502</v>
      </c>
      <c r="AA97" s="62">
        <f t="shared" si="15"/>
        <v>0.7599417992</v>
      </c>
      <c r="AB97" s="62">
        <f>IFERROR(AVERAGEIFS('Business - Dump'!$O:$O,'Business - Dump'!$B:$B,'Portfolio Wise '!$B97,'Business - Dump'!$A:$A,'Portfolio Wise '!$A97),0)</f>
        <v>0</v>
      </c>
      <c r="AC97" s="132">
        <f>F97/SUMIFS('Campaign - Dump'!$Q:$Q,'Campaign - Dump'!$A:$A,'Portfolio Wise '!$A97)</f>
        <v>1.022560385</v>
      </c>
      <c r="AD97" s="132">
        <f t="shared" si="16"/>
        <v>1.450819672</v>
      </c>
    </row>
    <row r="98" ht="15.75" customHeight="1">
      <c r="A98" s="10" t="s">
        <v>48</v>
      </c>
      <c r="B98" s="33" t="s">
        <v>90</v>
      </c>
      <c r="C98" s="13">
        <f>SUMIFS('Campaign - Dump'!$N:$N,'Campaign - Dump'!$J:$J,'Portfolio Wise '!$B98,'Campaign - Dump'!$A:$A,'Portfolio Wise '!$A98)</f>
        <v>1386332</v>
      </c>
      <c r="D98" s="13">
        <f>SUMIFS('Campaign - Dump'!$O:$O,'Campaign - Dump'!$J:$J,'Portfolio Wise '!$B98,'Campaign - Dump'!$A:$A,'Portfolio Wise '!$A98)</f>
        <v>5121</v>
      </c>
      <c r="E98" s="23">
        <f t="shared" si="2"/>
        <v>0.00369392036</v>
      </c>
      <c r="F98" s="36">
        <f>SUMIFS('Campaign - Dump'!$Q:$Q,'Campaign - Dump'!$J:$J,'Portfolio Wise '!$B98,'Campaign - Dump'!$A:$A,'Portfolio Wise '!$A98)</f>
        <v>54401.64</v>
      </c>
      <c r="G98" s="38">
        <f t="shared" si="3"/>
        <v>10.62324546</v>
      </c>
      <c r="H98" s="41">
        <f>SUMIFS('Campaign - Dump'!$T:$T,'Campaign - Dump'!$J:$J,'Portfolio Wise '!$B98,'Campaign - Dump'!$A:$A,'Portfolio Wise '!$A98)</f>
        <v>18</v>
      </c>
      <c r="I98" s="23">
        <f t="shared" si="4"/>
        <v>0.003514938489</v>
      </c>
      <c r="J98" s="36">
        <f>SUMIFS('Campaign - Dump'!$U:$U,'Campaign - Dump'!$J:$J,'Portfolio Wise '!$B98,'Campaign - Dump'!$A:$A,'Portfolio Wise '!$A98)</f>
        <v>436039.83</v>
      </c>
      <c r="K98" s="23">
        <f t="shared" si="5"/>
        <v>0.1247630062</v>
      </c>
      <c r="L98" s="38">
        <f t="shared" si="6"/>
        <v>8.015196417</v>
      </c>
      <c r="M98" s="41">
        <f t="shared" si="7"/>
        <v>24224.435</v>
      </c>
      <c r="N98" s="13">
        <v>0.0</v>
      </c>
      <c r="O98" s="36">
        <v>0.0</v>
      </c>
      <c r="P98" s="41">
        <f t="shared" si="8"/>
        <v>0</v>
      </c>
      <c r="Q98" s="13">
        <f>SUMIFS('Business - Dump'!$W:$W,'Business - Dump'!$B:$B,'Portfolio Wise '!$B98,'Business - Dump'!$A:$A,'Portfolio Wise '!$A98)</f>
        <v>0</v>
      </c>
      <c r="R98" s="36">
        <f>SUMIFS('Business - Dump'!$U:$U,'Business - Dump'!$B:$B,'Portfolio Wise '!$B98,'Business - Dump'!$A:$A,'Portfolio Wise '!$A98)/1.18</f>
        <v>0</v>
      </c>
      <c r="S98" s="41">
        <f t="shared" si="9"/>
        <v>0</v>
      </c>
      <c r="T98" s="23">
        <f t="shared" si="10"/>
        <v>0</v>
      </c>
      <c r="U98" s="38">
        <f t="shared" si="11"/>
        <v>0</v>
      </c>
      <c r="V98" s="41">
        <f>SUMIFS('Business - Dump'!$G:$G,'Business - Dump'!$B:$B,'Portfolio Wise '!$B98,'Business - Dump'!$A:$A,'Portfolio Wise '!$A98)</f>
        <v>0</v>
      </c>
      <c r="W98" s="48">
        <f t="shared" si="12"/>
        <v>0</v>
      </c>
      <c r="X98" s="23">
        <f t="shared" ref="X98:Y98" si="147">IFERROR(N98/Q98,0)</f>
        <v>0</v>
      </c>
      <c r="Y98" s="49">
        <f t="shared" si="147"/>
        <v>0</v>
      </c>
      <c r="Z98" s="49">
        <f t="shared" si="14"/>
        <v>0</v>
      </c>
      <c r="AA98" s="23">
        <f t="shared" si="15"/>
        <v>0</v>
      </c>
      <c r="AB98" s="23">
        <f>IFERROR(AVERAGEIFS('Business - Dump'!$O:$O,'Business - Dump'!$B:$B,'Portfolio Wise '!$B98,'Business - Dump'!$A:$A,'Portfolio Wise '!$A98),0)</f>
        <v>0</v>
      </c>
      <c r="AC98" s="49">
        <f>F98/SUMIFS('Campaign - Dump'!$Q:$Q,'Campaign - Dump'!$A:$A,'Portfolio Wise '!$A98)</f>
        <v>0.09809308995</v>
      </c>
      <c r="AD98" s="49">
        <f t="shared" si="16"/>
        <v>0</v>
      </c>
    </row>
    <row r="99" ht="15.75" customHeight="1">
      <c r="A99" s="10" t="s">
        <v>48</v>
      </c>
      <c r="B99" s="51" t="s">
        <v>110</v>
      </c>
      <c r="C99" s="13">
        <f>SUMIFS('Campaign - Dump'!$N:$N,'Campaign - Dump'!$J:$J,'Portfolio Wise '!$B99,'Campaign - Dump'!$A:$A,'Portfolio Wise '!$A99)</f>
        <v>0</v>
      </c>
      <c r="D99" s="13">
        <f>SUMIFS('Campaign - Dump'!$O:$O,'Campaign - Dump'!$J:$J,'Portfolio Wise '!$B99,'Campaign - Dump'!$A:$A,'Portfolio Wise '!$A99)</f>
        <v>0</v>
      </c>
      <c r="E99" s="23">
        <f t="shared" si="2"/>
        <v>0</v>
      </c>
      <c r="F99" s="36">
        <f>SUMIFS('Campaign - Dump'!$Q:$Q,'Campaign - Dump'!$J:$J,'Portfolio Wise '!$B99,'Campaign - Dump'!$A:$A,'Portfolio Wise '!$A99)</f>
        <v>0</v>
      </c>
      <c r="G99" s="38">
        <f t="shared" si="3"/>
        <v>0</v>
      </c>
      <c r="H99" s="41">
        <f>SUMIFS('Campaign - Dump'!$T:$T,'Campaign - Dump'!$J:$J,'Portfolio Wise '!$B99,'Campaign - Dump'!$A:$A,'Portfolio Wise '!$A99)</f>
        <v>0</v>
      </c>
      <c r="I99" s="23">
        <f t="shared" si="4"/>
        <v>0</v>
      </c>
      <c r="J99" s="36">
        <f>SUMIFS('Campaign - Dump'!$U:$U,'Campaign - Dump'!$J:$J,'Portfolio Wise '!$B99,'Campaign - Dump'!$A:$A,'Portfolio Wise '!$A99)</f>
        <v>0</v>
      </c>
      <c r="K99" s="23">
        <f t="shared" si="5"/>
        <v>0</v>
      </c>
      <c r="L99" s="38">
        <f t="shared" si="6"/>
        <v>0</v>
      </c>
      <c r="M99" s="41">
        <f t="shared" si="7"/>
        <v>0</v>
      </c>
      <c r="N99" s="13">
        <f t="shared" ref="N99:N100" si="149">IFERROR(Q99-H99,0)</f>
        <v>0</v>
      </c>
      <c r="O99" s="36">
        <f t="shared" ref="O99:O100" si="150">IFERROR(R99-J99,0)</f>
        <v>0</v>
      </c>
      <c r="P99" s="41">
        <f t="shared" si="8"/>
        <v>0</v>
      </c>
      <c r="Q99" s="13">
        <f>SUMIFS('Business - Dump'!$W:$W,'Business - Dump'!$B:$B,'Portfolio Wise '!$B99,'Business - Dump'!$A:$A,'Portfolio Wise '!$A99)</f>
        <v>0</v>
      </c>
      <c r="R99" s="36">
        <f>SUMIFS('Business - Dump'!$U:$U,'Business - Dump'!$B:$B,'Portfolio Wise '!$B99,'Business - Dump'!$A:$A,'Portfolio Wise '!$A99)/1.18</f>
        <v>0</v>
      </c>
      <c r="S99" s="41">
        <f t="shared" si="9"/>
        <v>0</v>
      </c>
      <c r="T99" s="23">
        <f t="shared" si="10"/>
        <v>0</v>
      </c>
      <c r="U99" s="38">
        <f t="shared" si="11"/>
        <v>0</v>
      </c>
      <c r="V99" s="41">
        <f>SUMIFS('Business - Dump'!$G:$G,'Business - Dump'!$B:$B,'Portfolio Wise '!$B99,'Business - Dump'!$A:$A,'Portfolio Wise '!$A99)</f>
        <v>0</v>
      </c>
      <c r="W99" s="48">
        <f t="shared" si="12"/>
        <v>0</v>
      </c>
      <c r="X99" s="23">
        <f t="shared" ref="X99:Y99" si="148">IFERROR(N99/Q99,0)</f>
        <v>0</v>
      </c>
      <c r="Y99" s="49">
        <f t="shared" si="148"/>
        <v>0</v>
      </c>
      <c r="Z99" s="49">
        <f t="shared" si="14"/>
        <v>0</v>
      </c>
      <c r="AA99" s="23">
        <f t="shared" si="15"/>
        <v>0</v>
      </c>
      <c r="AB99" s="23">
        <f>IFERROR(AVERAGEIFS('Business - Dump'!$O:$O,'Business - Dump'!$B:$B,'Portfolio Wise '!$B99,'Business - Dump'!$A:$A,'Portfolio Wise '!$A99),0)</f>
        <v>0</v>
      </c>
      <c r="AC99" s="49">
        <f>F99/SUMIFS('Campaign - Dump'!$Q:$Q,'Campaign - Dump'!$A:$A,'Portfolio Wise '!$A99)</f>
        <v>0</v>
      </c>
      <c r="AD99" s="49">
        <f t="shared" si="16"/>
        <v>0</v>
      </c>
    </row>
    <row r="100" ht="15.75" customHeight="1">
      <c r="A100" s="10" t="s">
        <v>48</v>
      </c>
      <c r="B100" s="51" t="s">
        <v>119</v>
      </c>
      <c r="C100" s="13">
        <f>SUMIFS('Campaign - Dump'!$N:$N,'Campaign - Dump'!$J:$J,'Portfolio Wise '!$B100,'Campaign - Dump'!$A:$A,'Portfolio Wise '!$A100)</f>
        <v>0</v>
      </c>
      <c r="D100" s="13">
        <f>SUMIFS('Campaign - Dump'!$O:$O,'Campaign - Dump'!$J:$J,'Portfolio Wise '!$B100,'Campaign - Dump'!$A:$A,'Portfolio Wise '!$A100)</f>
        <v>0</v>
      </c>
      <c r="E100" s="23">
        <f t="shared" si="2"/>
        <v>0</v>
      </c>
      <c r="F100" s="36">
        <f>SUMIFS('Campaign - Dump'!$Q:$Q,'Campaign - Dump'!$J:$J,'Portfolio Wise '!$B100,'Campaign - Dump'!$A:$A,'Portfolio Wise '!$A100)</f>
        <v>0</v>
      </c>
      <c r="G100" s="38">
        <f t="shared" si="3"/>
        <v>0</v>
      </c>
      <c r="H100" s="41">
        <f>SUMIFS('Campaign - Dump'!$T:$T,'Campaign - Dump'!$J:$J,'Portfolio Wise '!$B100,'Campaign - Dump'!$A:$A,'Portfolio Wise '!$A100)</f>
        <v>0</v>
      </c>
      <c r="I100" s="23">
        <f t="shared" si="4"/>
        <v>0</v>
      </c>
      <c r="J100" s="36">
        <f>SUMIFS('Campaign - Dump'!$U:$U,'Campaign - Dump'!$J:$J,'Portfolio Wise '!$B100,'Campaign - Dump'!$A:$A,'Portfolio Wise '!$A100)</f>
        <v>0</v>
      </c>
      <c r="K100" s="23">
        <f t="shared" si="5"/>
        <v>0</v>
      </c>
      <c r="L100" s="38">
        <f t="shared" si="6"/>
        <v>0</v>
      </c>
      <c r="M100" s="41">
        <f t="shared" si="7"/>
        <v>0</v>
      </c>
      <c r="N100" s="13">
        <f t="shared" si="149"/>
        <v>3</v>
      </c>
      <c r="O100" s="36">
        <f t="shared" si="150"/>
        <v>18686.44068</v>
      </c>
      <c r="P100" s="41">
        <f t="shared" si="8"/>
        <v>6228.813559</v>
      </c>
      <c r="Q100" s="13">
        <f>SUMIFS('Business - Dump'!$W:$W,'Business - Dump'!$B:$B,'Portfolio Wise '!$B100,'Business - Dump'!$A:$A,'Portfolio Wise '!$A100)</f>
        <v>3</v>
      </c>
      <c r="R100" s="36">
        <f>SUMIFS('Business - Dump'!$U:$U,'Business - Dump'!$B:$B,'Portfolio Wise '!$B100,'Business - Dump'!$A:$A,'Portfolio Wise '!$A100)/1.18</f>
        <v>18686.44068</v>
      </c>
      <c r="S100" s="41">
        <f t="shared" si="9"/>
        <v>6228.813559</v>
      </c>
      <c r="T100" s="23">
        <f t="shared" si="10"/>
        <v>0</v>
      </c>
      <c r="U100" s="38">
        <f t="shared" si="11"/>
        <v>0</v>
      </c>
      <c r="V100" s="41">
        <f>SUMIFS('Business - Dump'!$G:$G,'Business - Dump'!$B:$B,'Portfolio Wise '!$B100,'Business - Dump'!$A:$A,'Portfolio Wise '!$A100)</f>
        <v>585</v>
      </c>
      <c r="W100" s="48">
        <f t="shared" si="12"/>
        <v>0.005128205128</v>
      </c>
      <c r="X100" s="23">
        <f t="shared" ref="X100:Y100" si="151">IFERROR(N100/Q100,0)</f>
        <v>1</v>
      </c>
      <c r="Y100" s="49">
        <f t="shared" si="151"/>
        <v>1</v>
      </c>
      <c r="Z100" s="49">
        <f t="shared" si="14"/>
        <v>0</v>
      </c>
      <c r="AA100" s="23">
        <f t="shared" si="15"/>
        <v>1</v>
      </c>
      <c r="AB100" s="23">
        <f>IFERROR(AVERAGEIFS('Business - Dump'!$O:$O,'Business - Dump'!$B:$B,'Portfolio Wise '!$B100,'Business - Dump'!$A:$A,'Portfolio Wise '!$A100),0)</f>
        <v>0.7777</v>
      </c>
      <c r="AC100" s="49">
        <f>F100/SUMIFS('Campaign - Dump'!$Q:$Q,'Campaign - Dump'!$A:$A,'Portfolio Wise '!$A100)</f>
        <v>0</v>
      </c>
      <c r="AD100" s="49">
        <f t="shared" si="16"/>
        <v>0</v>
      </c>
    </row>
    <row r="101" ht="15.75" customHeight="1">
      <c r="A101" s="10" t="s">
        <v>48</v>
      </c>
      <c r="B101" s="19" t="s">
        <v>128</v>
      </c>
      <c r="C101" s="13">
        <f>SUMIFS('Campaign - Dump'!$N:$N,'Campaign - Dump'!$J:$J,'Portfolio Wise '!$B101,'Campaign - Dump'!$A:$A,'Portfolio Wise '!$A101)</f>
        <v>646705</v>
      </c>
      <c r="D101" s="13">
        <f>SUMIFS('Campaign - Dump'!$O:$O,'Campaign - Dump'!$J:$J,'Portfolio Wise '!$B101,'Campaign - Dump'!$A:$A,'Portfolio Wise '!$A101)</f>
        <v>2642</v>
      </c>
      <c r="E101" s="23">
        <f t="shared" si="2"/>
        <v>0.004085324839</v>
      </c>
      <c r="F101" s="36">
        <f>SUMIFS('Campaign - Dump'!$Q:$Q,'Campaign - Dump'!$J:$J,'Portfolio Wise '!$B101,'Campaign - Dump'!$A:$A,'Portfolio Wise '!$A101)</f>
        <v>86825.13</v>
      </c>
      <c r="G101" s="38">
        <f t="shared" si="3"/>
        <v>32.8634103</v>
      </c>
      <c r="H101" s="41">
        <f>SUMIFS('Campaign - Dump'!$T:$T,'Campaign - Dump'!$J:$J,'Portfolio Wise '!$B101,'Campaign - Dump'!$A:$A,'Portfolio Wise '!$A101)</f>
        <v>60</v>
      </c>
      <c r="I101" s="23">
        <f t="shared" si="4"/>
        <v>0.02271006813</v>
      </c>
      <c r="J101" s="36">
        <f>SUMIFS('Campaign - Dump'!$U:$U,'Campaign - Dump'!$J:$J,'Portfolio Wise '!$B101,'Campaign - Dump'!$A:$A,'Portfolio Wise '!$A101)</f>
        <v>1264551.64</v>
      </c>
      <c r="K101" s="23">
        <f t="shared" si="5"/>
        <v>0.06866080218</v>
      </c>
      <c r="L101" s="38">
        <f t="shared" si="6"/>
        <v>14.56435067</v>
      </c>
      <c r="M101" s="41">
        <f t="shared" si="7"/>
        <v>21075.86067</v>
      </c>
      <c r="N101" s="13">
        <v>0.0</v>
      </c>
      <c r="O101" s="36">
        <v>0.0</v>
      </c>
      <c r="P101" s="41">
        <f t="shared" si="8"/>
        <v>0</v>
      </c>
      <c r="Q101" s="13">
        <f>SUMIFS('Business - Dump'!$W:$W,'Business - Dump'!$B:$B,'Portfolio Wise '!$B101,'Business - Dump'!$A:$A,'Portfolio Wise '!$A101)</f>
        <v>0</v>
      </c>
      <c r="R101" s="36">
        <f>SUMIFS('Business - Dump'!$U:$U,'Business - Dump'!$B:$B,'Portfolio Wise '!$B101,'Business - Dump'!$A:$A,'Portfolio Wise '!$A101)/1.18</f>
        <v>0</v>
      </c>
      <c r="S101" s="41">
        <f t="shared" si="9"/>
        <v>0</v>
      </c>
      <c r="T101" s="23">
        <f t="shared" si="10"/>
        <v>0</v>
      </c>
      <c r="U101" s="38">
        <f t="shared" si="11"/>
        <v>0</v>
      </c>
      <c r="V101" s="41">
        <f>SUMIFS('Business - Dump'!$G:$G,'Business - Dump'!$B:$B,'Portfolio Wise '!$B101,'Business - Dump'!$A:$A,'Portfolio Wise '!$A101)</f>
        <v>0</v>
      </c>
      <c r="W101" s="48">
        <f t="shared" si="12"/>
        <v>0</v>
      </c>
      <c r="X101" s="23">
        <f t="shared" ref="X101:Y101" si="152">IFERROR(N101/Q101,0)</f>
        <v>0</v>
      </c>
      <c r="Y101" s="49">
        <f t="shared" si="152"/>
        <v>0</v>
      </c>
      <c r="Z101" s="49">
        <f t="shared" si="14"/>
        <v>0</v>
      </c>
      <c r="AA101" s="23">
        <f t="shared" si="15"/>
        <v>0</v>
      </c>
      <c r="AB101" s="23">
        <f>IFERROR(AVERAGEIFS('Business - Dump'!$O:$O,'Business - Dump'!$B:$B,'Portfolio Wise '!$B101,'Business - Dump'!$A:$A,'Portfolio Wise '!$A101),0)</f>
        <v>0</v>
      </c>
      <c r="AC101" s="49">
        <f>F101/SUMIFS('Campaign - Dump'!$Q:$Q,'Campaign - Dump'!$A:$A,'Portfolio Wise '!$A101)</f>
        <v>0.1565567745</v>
      </c>
      <c r="AD101" s="49">
        <f t="shared" si="16"/>
        <v>0</v>
      </c>
    </row>
    <row r="102" ht="15.75" customHeight="1">
      <c r="A102" s="10" t="s">
        <v>48</v>
      </c>
      <c r="B102" s="19" t="s">
        <v>134</v>
      </c>
      <c r="C102" s="13">
        <f>SUMIFS('Campaign - Dump'!$N:$N,'Campaign - Dump'!$J:$J,'Portfolio Wise '!$B102,'Campaign - Dump'!$A:$A,'Portfolio Wise '!$A102)</f>
        <v>1414132</v>
      </c>
      <c r="D102" s="13">
        <f>SUMIFS('Campaign - Dump'!$O:$O,'Campaign - Dump'!$J:$J,'Portfolio Wise '!$B102,'Campaign - Dump'!$A:$A,'Portfolio Wise '!$A102)</f>
        <v>10115</v>
      </c>
      <c r="E102" s="23">
        <f t="shared" si="2"/>
        <v>0.007152797617</v>
      </c>
      <c r="F102" s="36">
        <f>SUMIFS('Campaign - Dump'!$Q:$Q,'Campaign - Dump'!$J:$J,'Portfolio Wise '!$B102,'Campaign - Dump'!$A:$A,'Portfolio Wise '!$A102)</f>
        <v>240508.11</v>
      </c>
      <c r="G102" s="38">
        <f t="shared" si="3"/>
        <v>23.77737123</v>
      </c>
      <c r="H102" s="41">
        <f>SUMIFS('Campaign - Dump'!$T:$T,'Campaign - Dump'!$J:$J,'Portfolio Wise '!$B102,'Campaign - Dump'!$A:$A,'Portfolio Wise '!$A102)</f>
        <v>65</v>
      </c>
      <c r="I102" s="23">
        <f t="shared" si="4"/>
        <v>0.006426099852</v>
      </c>
      <c r="J102" s="36">
        <f>SUMIFS('Campaign - Dump'!$U:$U,'Campaign - Dump'!$J:$J,'Portfolio Wise '!$B102,'Campaign - Dump'!$A:$A,'Portfolio Wise '!$A102)</f>
        <v>1234362.68</v>
      </c>
      <c r="K102" s="23">
        <f t="shared" si="5"/>
        <v>0.1948439579</v>
      </c>
      <c r="L102" s="38">
        <f t="shared" si="6"/>
        <v>5.132312087</v>
      </c>
      <c r="M102" s="41">
        <f t="shared" si="7"/>
        <v>18990.19508</v>
      </c>
      <c r="N102" s="13">
        <f t="shared" ref="N102:N109" si="154">IFERROR(Q102-H102,0)</f>
        <v>43</v>
      </c>
      <c r="O102" s="36">
        <f t="shared" ref="O102:O109" si="155">IFERROR(R102-J102,0)</f>
        <v>983495.7607</v>
      </c>
      <c r="P102" s="41">
        <f t="shared" si="8"/>
        <v>22871.99443</v>
      </c>
      <c r="Q102" s="13">
        <f>SUMIFS('Business - Dump'!$W:$W,'Business - Dump'!$B:$B,'Portfolio Wise '!$B102,'Business - Dump'!$A:$A,'Portfolio Wise '!$A102)</f>
        <v>108</v>
      </c>
      <c r="R102" s="36">
        <f>SUMIFS('Business - Dump'!$U:$U,'Business - Dump'!$B:$B,'Portfolio Wise '!$B102,'Business - Dump'!$A:$A,'Portfolio Wise '!$A102)/1.18</f>
        <v>2217858.441</v>
      </c>
      <c r="S102" s="41">
        <f t="shared" si="9"/>
        <v>20535.7263</v>
      </c>
      <c r="T102" s="23">
        <f t="shared" si="10"/>
        <v>0.1084415964</v>
      </c>
      <c r="U102" s="38">
        <f t="shared" si="11"/>
        <v>9.221553654</v>
      </c>
      <c r="V102" s="41">
        <f>SUMIFS('Business - Dump'!$G:$G,'Business - Dump'!$B:$B,'Portfolio Wise '!$B102,'Business - Dump'!$A:$A,'Portfolio Wise '!$A102)</f>
        <v>20449</v>
      </c>
      <c r="W102" s="23">
        <f t="shared" si="12"/>
        <v>0.005281431855</v>
      </c>
      <c r="X102" s="23">
        <f t="shared" ref="X102:Y102" si="153">IFERROR(N102/Q102,0)</f>
        <v>0.3981481481</v>
      </c>
      <c r="Y102" s="49">
        <f t="shared" si="153"/>
        <v>0.4434438838</v>
      </c>
      <c r="Z102" s="49">
        <f t="shared" si="14"/>
        <v>0.6018518519</v>
      </c>
      <c r="AA102" s="23">
        <f t="shared" si="15"/>
        <v>0.4434438838</v>
      </c>
      <c r="AB102" s="23">
        <f>IFERROR(AVERAGEIFS('Business - Dump'!$O:$O,'Business - Dump'!$B:$B,'Portfolio Wise '!$B102,'Business - Dump'!$A:$A,'Portfolio Wise '!$A102),0)</f>
        <v>0.8802555556</v>
      </c>
      <c r="AC102" s="49">
        <f>F102/SUMIFS('Campaign - Dump'!$Q:$Q,'Campaign - Dump'!$A:$A,'Portfolio Wise '!$A102)</f>
        <v>0.4336667731</v>
      </c>
      <c r="AD102" s="49">
        <f t="shared" si="16"/>
        <v>0.6615384615</v>
      </c>
    </row>
    <row r="103" ht="15.75" customHeight="1">
      <c r="A103" s="10" t="s">
        <v>48</v>
      </c>
      <c r="B103" s="19" t="s">
        <v>140</v>
      </c>
      <c r="C103" s="13">
        <f>SUMIFS('Campaign - Dump'!$N:$N,'Campaign - Dump'!$J:$J,'Portfolio Wise '!$B103,'Campaign - Dump'!$A:$A,'Portfolio Wise '!$A103)</f>
        <v>94634</v>
      </c>
      <c r="D103" s="13">
        <f>SUMIFS('Campaign - Dump'!$O:$O,'Campaign - Dump'!$J:$J,'Portfolio Wise '!$B103,'Campaign - Dump'!$A:$A,'Portfolio Wise '!$A103)</f>
        <v>468</v>
      </c>
      <c r="E103" s="23">
        <f t="shared" si="2"/>
        <v>0.004945368472</v>
      </c>
      <c r="F103" s="36">
        <f>SUMIFS('Campaign - Dump'!$Q:$Q,'Campaign - Dump'!$J:$J,'Portfolio Wise '!$B103,'Campaign - Dump'!$A:$A,'Portfolio Wise '!$A103)</f>
        <v>21558.72</v>
      </c>
      <c r="G103" s="38">
        <f t="shared" si="3"/>
        <v>46.06564103</v>
      </c>
      <c r="H103" s="41">
        <f>SUMIFS('Campaign - Dump'!$T:$T,'Campaign - Dump'!$J:$J,'Portfolio Wise '!$B103,'Campaign - Dump'!$A:$A,'Portfolio Wise '!$A103)</f>
        <v>4</v>
      </c>
      <c r="I103" s="23">
        <f t="shared" si="4"/>
        <v>0.008547008547</v>
      </c>
      <c r="J103" s="36">
        <f>SUMIFS('Campaign - Dump'!$U:$U,'Campaign - Dump'!$J:$J,'Portfolio Wise '!$B103,'Campaign - Dump'!$A:$A,'Portfolio Wise '!$A103)</f>
        <v>118389.83</v>
      </c>
      <c r="K103" s="23">
        <f t="shared" si="5"/>
        <v>0.1820994253</v>
      </c>
      <c r="L103" s="38">
        <f t="shared" si="6"/>
        <v>5.491505525</v>
      </c>
      <c r="M103" s="41">
        <f t="shared" si="7"/>
        <v>29597.4575</v>
      </c>
      <c r="N103" s="13">
        <f t="shared" si="154"/>
        <v>23</v>
      </c>
      <c r="O103" s="36">
        <f t="shared" si="155"/>
        <v>625084.7463</v>
      </c>
      <c r="P103" s="41">
        <f t="shared" si="8"/>
        <v>27177.59766</v>
      </c>
      <c r="Q103" s="13">
        <f>SUMIFS('Business - Dump'!$W:$W,'Business - Dump'!$B:$B,'Portfolio Wise '!$B103,'Business - Dump'!$A:$A,'Portfolio Wise '!$A103)</f>
        <v>27</v>
      </c>
      <c r="R103" s="36">
        <f>SUMIFS('Business - Dump'!$U:$U,'Business - Dump'!$B:$B,'Portfolio Wise '!$B103,'Business - Dump'!$A:$A,'Portfolio Wise '!$A103)/1.18</f>
        <v>743474.5763</v>
      </c>
      <c r="S103" s="41">
        <f t="shared" si="9"/>
        <v>27536.09542</v>
      </c>
      <c r="T103" s="23">
        <f t="shared" si="10"/>
        <v>0.02899725248</v>
      </c>
      <c r="U103" s="38">
        <f t="shared" si="11"/>
        <v>34.4860259</v>
      </c>
      <c r="V103" s="41">
        <f>SUMIFS('Business - Dump'!$G:$G,'Business - Dump'!$B:$B,'Portfolio Wise '!$B103,'Business - Dump'!$A:$A,'Portfolio Wise '!$A103)</f>
        <v>3595</v>
      </c>
      <c r="W103" s="23">
        <f t="shared" si="12"/>
        <v>0.007510431154</v>
      </c>
      <c r="X103" s="23">
        <f t="shared" ref="X103:Y103" si="156">IFERROR(N103/Q103,0)</f>
        <v>0.8518518519</v>
      </c>
      <c r="Y103" s="49">
        <f t="shared" si="156"/>
        <v>0.8407614278</v>
      </c>
      <c r="Z103" s="49">
        <f t="shared" si="14"/>
        <v>0.1481481481</v>
      </c>
      <c r="AA103" s="23">
        <f t="shared" si="15"/>
        <v>0.8407614278</v>
      </c>
      <c r="AB103" s="23">
        <f>IFERROR(AVERAGEIFS('Business - Dump'!$O:$O,'Business - Dump'!$B:$B,'Portfolio Wise '!$B103,'Business - Dump'!$A:$A,'Portfolio Wise '!$A103),0)</f>
        <v>0.8852</v>
      </c>
      <c r="AC103" s="49">
        <f>F103/SUMIFS('Campaign - Dump'!$Q:$Q,'Campaign - Dump'!$A:$A,'Portfolio Wise '!$A103)</f>
        <v>0.03887311964</v>
      </c>
      <c r="AD103" s="49">
        <f t="shared" si="16"/>
        <v>5.75</v>
      </c>
    </row>
    <row r="104" ht="15.75" customHeight="1">
      <c r="A104" s="10" t="s">
        <v>48</v>
      </c>
      <c r="B104" s="10" t="s">
        <v>152</v>
      </c>
      <c r="C104" s="13">
        <f>SUMIFS('Campaign - Dump'!$N:$N,'Campaign - Dump'!$J:$J,'Portfolio Wise '!$B104,'Campaign - Dump'!$A:$A,'Portfolio Wise '!$A104)</f>
        <v>341848</v>
      </c>
      <c r="D104" s="13">
        <f>SUMIFS('Campaign - Dump'!$O:$O,'Campaign - Dump'!$J:$J,'Portfolio Wise '!$B104,'Campaign - Dump'!$A:$A,'Portfolio Wise '!$A104)</f>
        <v>1724</v>
      </c>
      <c r="E104" s="23">
        <f t="shared" si="2"/>
        <v>0.005043177085</v>
      </c>
      <c r="F104" s="36">
        <f>SUMIFS('Campaign - Dump'!$Q:$Q,'Campaign - Dump'!$J:$J,'Portfolio Wise '!$B104,'Campaign - Dump'!$A:$A,'Portfolio Wise '!$A104)</f>
        <v>47321.21</v>
      </c>
      <c r="G104" s="38">
        <f t="shared" si="3"/>
        <v>27.44849768</v>
      </c>
      <c r="H104" s="41">
        <f>SUMIFS('Campaign - Dump'!$T:$T,'Campaign - Dump'!$J:$J,'Portfolio Wise '!$B104,'Campaign - Dump'!$A:$A,'Portfolio Wise '!$A104)</f>
        <v>12</v>
      </c>
      <c r="I104" s="23">
        <f t="shared" si="4"/>
        <v>0.006960556845</v>
      </c>
      <c r="J104" s="36">
        <f>SUMIFS('Campaign - Dump'!$U:$U,'Campaign - Dump'!$J:$J,'Portfolio Wise '!$B104,'Campaign - Dump'!$A:$A,'Portfolio Wise '!$A104)</f>
        <v>161347.49</v>
      </c>
      <c r="K104" s="23">
        <f t="shared" si="5"/>
        <v>0.2932875497</v>
      </c>
      <c r="L104" s="38">
        <f t="shared" si="6"/>
        <v>3.409623084</v>
      </c>
      <c r="M104" s="41">
        <f t="shared" si="7"/>
        <v>13445.62417</v>
      </c>
      <c r="N104" s="13">
        <f t="shared" si="154"/>
        <v>10</v>
      </c>
      <c r="O104" s="36">
        <f t="shared" si="155"/>
        <v>114905.0524</v>
      </c>
      <c r="P104" s="41">
        <f t="shared" si="8"/>
        <v>11490.50524</v>
      </c>
      <c r="Q104" s="13">
        <f>SUMIFS('Business - Dump'!$W:$W,'Business - Dump'!$B:$B,'Portfolio Wise '!$B104,'Business - Dump'!$A:$A,'Portfolio Wise '!$A104)</f>
        <v>22</v>
      </c>
      <c r="R104" s="36">
        <f>SUMIFS('Business - Dump'!$U:$U,'Business - Dump'!$B:$B,'Portfolio Wise '!$B104,'Business - Dump'!$A:$A,'Portfolio Wise '!$A104)/1.18</f>
        <v>276252.5424</v>
      </c>
      <c r="S104" s="41">
        <f t="shared" si="9"/>
        <v>12556.93374</v>
      </c>
      <c r="T104" s="23">
        <f t="shared" si="10"/>
        <v>0.1712969213</v>
      </c>
      <c r="U104" s="38">
        <f t="shared" si="11"/>
        <v>5.837816539</v>
      </c>
      <c r="V104" s="41">
        <f>SUMIFS('Business - Dump'!$G:$G,'Business - Dump'!$B:$B,'Portfolio Wise '!$B104,'Business - Dump'!$A:$A,'Portfolio Wise '!$A104)</f>
        <v>4086</v>
      </c>
      <c r="W104" s="48">
        <f t="shared" si="12"/>
        <v>0.005384238864</v>
      </c>
      <c r="X104" s="23">
        <f t="shared" ref="X104:Y104" si="157">IFERROR(N104/Q104,0)</f>
        <v>0.4545454545</v>
      </c>
      <c r="Y104" s="49">
        <f t="shared" si="157"/>
        <v>0.415942063</v>
      </c>
      <c r="Z104" s="49">
        <f t="shared" si="14"/>
        <v>0.5454545455</v>
      </c>
      <c r="AA104" s="23">
        <f t="shared" si="15"/>
        <v>0.415942063</v>
      </c>
      <c r="AB104" s="23">
        <f>IFERROR(AVERAGEIFS('Business - Dump'!$O:$O,'Business - Dump'!$B:$B,'Portfolio Wise '!$B104,'Business - Dump'!$A:$A,'Portfolio Wise '!$A104),0)</f>
        <v>0.9002</v>
      </c>
      <c r="AC104" s="49">
        <f>F104/SUMIFS('Campaign - Dump'!$Q:$Q,'Campaign - Dump'!$A:$A,'Portfolio Wise '!$A104)</f>
        <v>0.08532617232</v>
      </c>
      <c r="AD104" s="49">
        <f t="shared" si="16"/>
        <v>0.8333333333</v>
      </c>
    </row>
    <row r="105" ht="15.75" customHeight="1">
      <c r="A105" s="10" t="s">
        <v>48</v>
      </c>
      <c r="B105" s="19" t="s">
        <v>158</v>
      </c>
      <c r="C105" s="13">
        <f>SUMIFS('Campaign - Dump'!$N:$N,'Campaign - Dump'!$J:$J,'Portfolio Wise '!$B105,'Campaign - Dump'!$A:$A,'Portfolio Wise '!$A105)</f>
        <v>294121</v>
      </c>
      <c r="D105" s="13">
        <f>SUMIFS('Campaign - Dump'!$O:$O,'Campaign - Dump'!$J:$J,'Portfolio Wise '!$B105,'Campaign - Dump'!$A:$A,'Portfolio Wise '!$A105)</f>
        <v>776</v>
      </c>
      <c r="E105" s="23">
        <f t="shared" si="2"/>
        <v>0.002638369923</v>
      </c>
      <c r="F105" s="36">
        <f>SUMIFS('Campaign - Dump'!$Q:$Q,'Campaign - Dump'!$J:$J,'Portfolio Wise '!$B105,'Campaign - Dump'!$A:$A,'Portfolio Wise '!$A105)</f>
        <v>6980.27</v>
      </c>
      <c r="G105" s="38">
        <f t="shared" si="3"/>
        <v>8.995193299</v>
      </c>
      <c r="H105" s="41">
        <f>SUMIFS('Campaign - Dump'!$T:$T,'Campaign - Dump'!$J:$J,'Portfolio Wise '!$B105,'Campaign - Dump'!$A:$A,'Portfolio Wise '!$A105)</f>
        <v>2</v>
      </c>
      <c r="I105" s="23">
        <f t="shared" si="4"/>
        <v>0.002577319588</v>
      </c>
      <c r="J105" s="36">
        <f>SUMIFS('Campaign - Dump'!$U:$U,'Campaign - Dump'!$J:$J,'Portfolio Wise '!$B105,'Campaign - Dump'!$A:$A,'Portfolio Wise '!$A105)</f>
        <v>9915.25</v>
      </c>
      <c r="K105" s="23">
        <f t="shared" si="5"/>
        <v>0.7039933436</v>
      </c>
      <c r="L105" s="38">
        <f t="shared" si="6"/>
        <v>1.420467976</v>
      </c>
      <c r="M105" s="41">
        <f t="shared" si="7"/>
        <v>4957.625</v>
      </c>
      <c r="N105" s="13">
        <f t="shared" si="154"/>
        <v>0</v>
      </c>
      <c r="O105" s="36">
        <f t="shared" si="155"/>
        <v>5169.495763</v>
      </c>
      <c r="P105" s="41">
        <f t="shared" si="8"/>
        <v>0</v>
      </c>
      <c r="Q105" s="13">
        <f>SUMIFS('Business - Dump'!$W:$W,'Business - Dump'!$B:$B,'Portfolio Wise '!$B105,'Business - Dump'!$A:$A,'Portfolio Wise '!$A105)</f>
        <v>2</v>
      </c>
      <c r="R105" s="36">
        <f>SUMIFS('Business - Dump'!$U:$U,'Business - Dump'!$B:$B,'Portfolio Wise '!$B105,'Business - Dump'!$A:$A,'Portfolio Wise '!$A105)/1.18</f>
        <v>15084.74576</v>
      </c>
      <c r="S105" s="41">
        <f t="shared" si="9"/>
        <v>7542.372881</v>
      </c>
      <c r="T105" s="23">
        <f t="shared" si="10"/>
        <v>0.462737</v>
      </c>
      <c r="U105" s="38">
        <f t="shared" si="11"/>
        <v>2.161054768</v>
      </c>
      <c r="V105" s="41">
        <f>SUMIFS('Business - Dump'!$G:$G,'Business - Dump'!$B:$B,'Portfolio Wise '!$B105,'Business - Dump'!$A:$A,'Portfolio Wise '!$A105)</f>
        <v>1029</v>
      </c>
      <c r="W105" s="48">
        <f t="shared" si="12"/>
        <v>0.001943634597</v>
      </c>
      <c r="X105" s="23">
        <f t="shared" ref="X105:Y105" si="158">IFERROR(N105/Q105,0)</f>
        <v>0</v>
      </c>
      <c r="Y105" s="49">
        <f t="shared" si="158"/>
        <v>0.3426969101</v>
      </c>
      <c r="Z105" s="49">
        <f t="shared" si="14"/>
        <v>1</v>
      </c>
      <c r="AA105" s="23">
        <f t="shared" si="15"/>
        <v>0.3426969101</v>
      </c>
      <c r="AB105" s="23">
        <f>IFERROR(AVERAGEIFS('Business - Dump'!$O:$O,'Business - Dump'!$B:$B,'Portfolio Wise '!$B105,'Business - Dump'!$A:$A,'Portfolio Wise '!$A105),0)</f>
        <v>0.9472</v>
      </c>
      <c r="AC105" s="49">
        <f>F105/SUMIFS('Campaign - Dump'!$Q:$Q,'Campaign - Dump'!$A:$A,'Portfolio Wise '!$A105)</f>
        <v>0.01258631639</v>
      </c>
      <c r="AD105" s="49">
        <f t="shared" si="16"/>
        <v>0</v>
      </c>
    </row>
    <row r="106" ht="15.75" customHeight="1">
      <c r="A106" s="10" t="s">
        <v>48</v>
      </c>
      <c r="B106" s="33" t="s">
        <v>170</v>
      </c>
      <c r="C106" s="13">
        <f>SUMIFS('Campaign - Dump'!$N:$N,'Campaign - Dump'!$J:$J,'Portfolio Wise '!$B106,'Campaign - Dump'!$A:$A,'Portfolio Wise '!$A106)</f>
        <v>171198</v>
      </c>
      <c r="D106" s="13">
        <f>SUMIFS('Campaign - Dump'!$O:$O,'Campaign - Dump'!$J:$J,'Portfolio Wise '!$B106,'Campaign - Dump'!$A:$A,'Portfolio Wise '!$A106)</f>
        <v>656</v>
      </c>
      <c r="E106" s="23">
        <f t="shared" si="2"/>
        <v>0.003831820465</v>
      </c>
      <c r="F106" s="36">
        <f>SUMIFS('Campaign - Dump'!$Q:$Q,'Campaign - Dump'!$J:$J,'Portfolio Wise '!$B106,'Campaign - Dump'!$A:$A,'Portfolio Wise '!$A106)</f>
        <v>7813</v>
      </c>
      <c r="G106" s="38">
        <f t="shared" si="3"/>
        <v>11.91006098</v>
      </c>
      <c r="H106" s="41">
        <f>SUMIFS('Campaign - Dump'!$T:$T,'Campaign - Dump'!$J:$J,'Portfolio Wise '!$B106,'Campaign - Dump'!$A:$A,'Portfolio Wise '!$A106)</f>
        <v>3</v>
      </c>
      <c r="I106" s="23">
        <f t="shared" si="4"/>
        <v>0.004573170732</v>
      </c>
      <c r="J106" s="36">
        <f>SUMIFS('Campaign - Dump'!$U:$U,'Campaign - Dump'!$J:$J,'Portfolio Wise '!$B106,'Campaign - Dump'!$A:$A,'Portfolio Wise '!$A106)</f>
        <v>15000</v>
      </c>
      <c r="K106" s="23">
        <f t="shared" si="5"/>
        <v>0.5208666667</v>
      </c>
      <c r="L106" s="38">
        <f t="shared" si="6"/>
        <v>1.919877128</v>
      </c>
      <c r="M106" s="41">
        <f t="shared" si="7"/>
        <v>5000</v>
      </c>
      <c r="N106" s="13">
        <f t="shared" si="154"/>
        <v>4</v>
      </c>
      <c r="O106" s="36">
        <f t="shared" si="155"/>
        <v>20000</v>
      </c>
      <c r="P106" s="41">
        <f t="shared" si="8"/>
        <v>5000</v>
      </c>
      <c r="Q106" s="13">
        <f>SUMIFS('Business - Dump'!$W:$W,'Business - Dump'!$B:$B,'Portfolio Wise '!$B106,'Business - Dump'!$A:$A,'Portfolio Wise '!$A106)</f>
        <v>7</v>
      </c>
      <c r="R106" s="36">
        <f>SUMIFS('Business - Dump'!$U:$U,'Business - Dump'!$B:$B,'Portfolio Wise '!$B106,'Business - Dump'!$A:$A,'Portfolio Wise '!$A106)/1.18</f>
        <v>35000</v>
      </c>
      <c r="S106" s="41">
        <f t="shared" si="9"/>
        <v>5000</v>
      </c>
      <c r="T106" s="23">
        <f t="shared" si="10"/>
        <v>0.2232285714</v>
      </c>
      <c r="U106" s="38">
        <f t="shared" si="11"/>
        <v>4.479713298</v>
      </c>
      <c r="V106" s="41">
        <f>SUMIFS('Business - Dump'!$G:$G,'Business - Dump'!$B:$B,'Portfolio Wise '!$B106,'Business - Dump'!$A:$A,'Portfolio Wise '!$A106)</f>
        <v>979</v>
      </c>
      <c r="W106" s="48">
        <f t="shared" si="12"/>
        <v>0.007150153218</v>
      </c>
      <c r="X106" s="23">
        <f t="shared" ref="X106:Y106" si="159">IFERROR(N106/Q106,0)</f>
        <v>0.5714285714</v>
      </c>
      <c r="Y106" s="49">
        <f t="shared" si="159"/>
        <v>0.5714285714</v>
      </c>
      <c r="Z106" s="49">
        <f t="shared" si="14"/>
        <v>0.4285714286</v>
      </c>
      <c r="AA106" s="23">
        <f t="shared" si="15"/>
        <v>0.5714285714</v>
      </c>
      <c r="AB106" s="23">
        <f>IFERROR(AVERAGEIFS('Business - Dump'!$O:$O,'Business - Dump'!$B:$B,'Portfolio Wise '!$B106,'Business - Dump'!$A:$A,'Portfolio Wise '!$A106),0)</f>
        <v>0.9477</v>
      </c>
      <c r="AC106" s="49">
        <f>F106/SUMIFS('Campaign - Dump'!$Q:$Q,'Campaign - Dump'!$A:$A,'Portfolio Wise '!$A106)</f>
        <v>0.0140878347</v>
      </c>
      <c r="AD106" s="49">
        <f t="shared" si="16"/>
        <v>1.333333333</v>
      </c>
    </row>
    <row r="107" ht="15.75" customHeight="1">
      <c r="A107" s="10" t="s">
        <v>48</v>
      </c>
      <c r="B107" s="51" t="s">
        <v>176</v>
      </c>
      <c r="C107" s="13">
        <f>SUMIFS('Campaign - Dump'!$N:$N,'Campaign - Dump'!$J:$J,'Portfolio Wise '!$B107,'Campaign - Dump'!$A:$A,'Portfolio Wise '!$A107)</f>
        <v>0</v>
      </c>
      <c r="D107" s="13">
        <f>SUMIFS('Campaign - Dump'!$O:$O,'Campaign - Dump'!$J:$J,'Portfolio Wise '!$B107,'Campaign - Dump'!$A:$A,'Portfolio Wise '!$A107)</f>
        <v>0</v>
      </c>
      <c r="E107" s="23">
        <f t="shared" si="2"/>
        <v>0</v>
      </c>
      <c r="F107" s="36">
        <f>SUMIFS('Campaign - Dump'!$Q:$Q,'Campaign - Dump'!$J:$J,'Portfolio Wise '!$B107,'Campaign - Dump'!$A:$A,'Portfolio Wise '!$A107)</f>
        <v>0</v>
      </c>
      <c r="G107" s="38">
        <f t="shared" si="3"/>
        <v>0</v>
      </c>
      <c r="H107" s="41">
        <f>SUMIFS('Campaign - Dump'!$T:$T,'Campaign - Dump'!$J:$J,'Portfolio Wise '!$B107,'Campaign - Dump'!$A:$A,'Portfolio Wise '!$A107)</f>
        <v>0</v>
      </c>
      <c r="I107" s="23">
        <f t="shared" si="4"/>
        <v>0</v>
      </c>
      <c r="J107" s="36">
        <f>SUMIFS('Campaign - Dump'!$U:$U,'Campaign - Dump'!$J:$J,'Portfolio Wise '!$B107,'Campaign - Dump'!$A:$A,'Portfolio Wise '!$A107)</f>
        <v>0</v>
      </c>
      <c r="K107" s="23">
        <f t="shared" si="5"/>
        <v>0</v>
      </c>
      <c r="L107" s="38">
        <f t="shared" si="6"/>
        <v>0</v>
      </c>
      <c r="M107" s="41">
        <f t="shared" si="7"/>
        <v>0</v>
      </c>
      <c r="N107" s="13">
        <f t="shared" si="154"/>
        <v>28</v>
      </c>
      <c r="O107" s="36">
        <f t="shared" si="155"/>
        <v>528613.0678</v>
      </c>
      <c r="P107" s="41">
        <f t="shared" si="8"/>
        <v>18879.03814</v>
      </c>
      <c r="Q107" s="13">
        <f>SUMIFS('Business - Dump'!$W:$W,'Business - Dump'!$B:$B,'Portfolio Wise '!$B107,'Business - Dump'!$A:$A,'Portfolio Wise '!$A107)</f>
        <v>28</v>
      </c>
      <c r="R107" s="36">
        <f>SUMIFS('Business - Dump'!$U:$U,'Business - Dump'!$B:$B,'Portfolio Wise '!$B107,'Business - Dump'!$A:$A,'Portfolio Wise '!$A107)/1.18</f>
        <v>528613.0678</v>
      </c>
      <c r="S107" s="41">
        <f t="shared" si="9"/>
        <v>18879.03814</v>
      </c>
      <c r="T107" s="23">
        <f t="shared" si="10"/>
        <v>0</v>
      </c>
      <c r="U107" s="38">
        <f t="shared" si="11"/>
        <v>0</v>
      </c>
      <c r="V107" s="41">
        <f>SUMIFS('Business - Dump'!$G:$G,'Business - Dump'!$B:$B,'Portfolio Wise '!$B107,'Business - Dump'!$A:$A,'Portfolio Wise '!$A107)</f>
        <v>5005</v>
      </c>
      <c r="W107" s="48">
        <f t="shared" si="12"/>
        <v>0.005594405594</v>
      </c>
      <c r="X107" s="23">
        <f t="shared" ref="X107:Y107" si="160">IFERROR(N107/Q107,0)</f>
        <v>1</v>
      </c>
      <c r="Y107" s="49">
        <f t="shared" si="160"/>
        <v>1</v>
      </c>
      <c r="Z107" s="49">
        <f t="shared" si="14"/>
        <v>0</v>
      </c>
      <c r="AA107" s="23">
        <f t="shared" si="15"/>
        <v>1</v>
      </c>
      <c r="AB107" s="23">
        <f>IFERROR(AVERAGEIFS('Business - Dump'!$O:$O,'Business - Dump'!$B:$B,'Portfolio Wise '!$B107,'Business - Dump'!$A:$A,'Portfolio Wise '!$A107),0)</f>
        <v>0.8911714286</v>
      </c>
      <c r="AC107" s="49">
        <f>F107/SUMIFS('Campaign - Dump'!$Q:$Q,'Campaign - Dump'!$A:$A,'Portfolio Wise '!$A107)</f>
        <v>0</v>
      </c>
      <c r="AD107" s="49">
        <f t="shared" si="16"/>
        <v>0</v>
      </c>
    </row>
    <row r="108" ht="15.75" customHeight="1">
      <c r="A108" s="10" t="s">
        <v>48</v>
      </c>
      <c r="B108" s="100" t="s">
        <v>182</v>
      </c>
      <c r="C108" s="13">
        <f>SUMIFS('Campaign - Dump'!$N:$N,'Campaign - Dump'!$J:$J,'Portfolio Wise '!$B108,'Campaign - Dump'!$A:$A,'Portfolio Wise '!$A108)</f>
        <v>30804</v>
      </c>
      <c r="D108" s="13">
        <f>SUMIFS('Campaign - Dump'!$O:$O,'Campaign - Dump'!$J:$J,'Portfolio Wise '!$B108,'Campaign - Dump'!$A:$A,'Portfolio Wise '!$A108)</f>
        <v>127</v>
      </c>
      <c r="E108" s="23">
        <f t="shared" si="2"/>
        <v>0.004122841189</v>
      </c>
      <c r="F108" s="36">
        <f>SUMIFS('Campaign - Dump'!$Q:$Q,'Campaign - Dump'!$J:$J,'Portfolio Wise '!$B108,'Campaign - Dump'!$A:$A,'Portfolio Wise '!$A108)</f>
        <v>2915.51</v>
      </c>
      <c r="G108" s="38">
        <f t="shared" si="3"/>
        <v>22.95677165</v>
      </c>
      <c r="H108" s="41">
        <f>SUMIFS('Campaign - Dump'!$T:$T,'Campaign - Dump'!$J:$J,'Portfolio Wise '!$B108,'Campaign - Dump'!$A:$A,'Portfolio Wise '!$A108)</f>
        <v>0</v>
      </c>
      <c r="I108" s="23">
        <f t="shared" si="4"/>
        <v>0</v>
      </c>
      <c r="J108" s="36">
        <f>SUMIFS('Campaign - Dump'!$U:$U,'Campaign - Dump'!$J:$J,'Portfolio Wise '!$B108,'Campaign - Dump'!$A:$A,'Portfolio Wise '!$A108)</f>
        <v>0</v>
      </c>
      <c r="K108" s="23">
        <f t="shared" si="5"/>
        <v>0</v>
      </c>
      <c r="L108" s="38">
        <f t="shared" si="6"/>
        <v>0</v>
      </c>
      <c r="M108" s="41">
        <f t="shared" si="7"/>
        <v>0</v>
      </c>
      <c r="N108" s="13">
        <f t="shared" si="154"/>
        <v>12</v>
      </c>
      <c r="O108" s="36">
        <f t="shared" si="155"/>
        <v>327114.322</v>
      </c>
      <c r="P108" s="41">
        <f t="shared" si="8"/>
        <v>27259.52684</v>
      </c>
      <c r="Q108" s="13">
        <f>SUMIFS('Business - Dump'!$W:$W,'Business - Dump'!$B:$B,'Portfolio Wise '!$B108,'Business - Dump'!$A:$A,'Portfolio Wise '!$A108)</f>
        <v>12</v>
      </c>
      <c r="R108" s="36">
        <f>SUMIFS('Business - Dump'!$U:$U,'Business - Dump'!$B:$B,'Portfolio Wise '!$B108,'Business - Dump'!$A:$A,'Portfolio Wise '!$A108)/1.18</f>
        <v>327114.322</v>
      </c>
      <c r="S108" s="41">
        <f t="shared" si="9"/>
        <v>27259.52684</v>
      </c>
      <c r="T108" s="23">
        <f t="shared" si="10"/>
        <v>0.008912816724</v>
      </c>
      <c r="U108" s="38">
        <f t="shared" si="11"/>
        <v>112.1979764</v>
      </c>
      <c r="V108" s="41">
        <f>SUMIFS('Business - Dump'!$G:$G,'Business - Dump'!$B:$B,'Portfolio Wise '!$B108,'Business - Dump'!$A:$A,'Portfolio Wise '!$A108)</f>
        <v>1593</v>
      </c>
      <c r="W108" s="23">
        <f t="shared" si="12"/>
        <v>0.007532956685</v>
      </c>
      <c r="X108" s="23">
        <f t="shared" ref="X108:Y108" si="161">IFERROR(N108/Q108,0)</f>
        <v>1</v>
      </c>
      <c r="Y108" s="49">
        <f t="shared" si="161"/>
        <v>1</v>
      </c>
      <c r="Z108" s="49">
        <f t="shared" si="14"/>
        <v>0</v>
      </c>
      <c r="AA108" s="23">
        <f t="shared" si="15"/>
        <v>1</v>
      </c>
      <c r="AB108" s="23">
        <f>IFERROR(AVERAGEIFS('Business - Dump'!$O:$O,'Business - Dump'!$B:$B,'Portfolio Wise '!$B108,'Business - Dump'!$A:$A,'Portfolio Wise '!$A108),0)</f>
        <v>0.8796636364</v>
      </c>
      <c r="AC108" s="49">
        <f>F108/SUMIFS('Campaign - Dump'!$Q:$Q,'Campaign - Dump'!$A:$A,'Portfolio Wise '!$A108)</f>
        <v>0.005257036087</v>
      </c>
      <c r="AD108" s="49">
        <f t="shared" si="16"/>
        <v>0</v>
      </c>
    </row>
    <row r="109" ht="15.75" customHeight="1">
      <c r="A109" s="10" t="s">
        <v>48</v>
      </c>
      <c r="B109" s="100" t="s">
        <v>182</v>
      </c>
      <c r="C109" s="13">
        <f>SUMIFS('Campaign - Dump'!$N:$N,'Campaign - Dump'!$J:$J,'Portfolio Wise '!$B109,'Campaign - Dump'!$A:$A,'Portfolio Wise '!$A109)</f>
        <v>30804</v>
      </c>
      <c r="D109" s="13">
        <f>SUMIFS('Campaign - Dump'!$O:$O,'Campaign - Dump'!$J:$J,'Portfolio Wise '!$B109,'Campaign - Dump'!$A:$A,'Portfolio Wise '!$A109)</f>
        <v>127</v>
      </c>
      <c r="E109" s="23">
        <f t="shared" si="2"/>
        <v>0.004122841189</v>
      </c>
      <c r="F109" s="36">
        <f>SUMIFS('Campaign - Dump'!$Q:$Q,'Campaign - Dump'!$J:$J,'Portfolio Wise '!$B109,'Campaign - Dump'!$A:$A,'Portfolio Wise '!$A109)</f>
        <v>2915.51</v>
      </c>
      <c r="G109" s="38">
        <f t="shared" si="3"/>
        <v>22.95677165</v>
      </c>
      <c r="H109" s="41">
        <f>SUMIFS('Campaign - Dump'!$T:$T,'Campaign - Dump'!$J:$J,'Portfolio Wise '!$B109,'Campaign - Dump'!$A:$A,'Portfolio Wise '!$A109)</f>
        <v>0</v>
      </c>
      <c r="I109" s="23">
        <f t="shared" si="4"/>
        <v>0</v>
      </c>
      <c r="J109" s="36">
        <f>SUMIFS('Campaign - Dump'!$U:$U,'Campaign - Dump'!$J:$J,'Portfolio Wise '!$B109,'Campaign - Dump'!$A:$A,'Portfolio Wise '!$A109)</f>
        <v>0</v>
      </c>
      <c r="K109" s="23">
        <f t="shared" si="5"/>
        <v>0</v>
      </c>
      <c r="L109" s="38">
        <f t="shared" si="6"/>
        <v>0</v>
      </c>
      <c r="M109" s="41">
        <f t="shared" si="7"/>
        <v>0</v>
      </c>
      <c r="N109" s="13">
        <f t="shared" si="154"/>
        <v>12</v>
      </c>
      <c r="O109" s="36">
        <f t="shared" si="155"/>
        <v>327114.322</v>
      </c>
      <c r="P109" s="41">
        <f t="shared" si="8"/>
        <v>27259.52684</v>
      </c>
      <c r="Q109" s="13">
        <f>SUMIFS('Business - Dump'!$W:$W,'Business - Dump'!$B:$B,'Portfolio Wise '!$B109,'Business - Dump'!$A:$A,'Portfolio Wise '!$A109)</f>
        <v>12</v>
      </c>
      <c r="R109" s="36">
        <f>SUMIFS('Business - Dump'!$U:$U,'Business - Dump'!$B:$B,'Portfolio Wise '!$B109,'Business - Dump'!$A:$A,'Portfolio Wise '!$A109)/1.18</f>
        <v>327114.322</v>
      </c>
      <c r="S109" s="41">
        <f t="shared" si="9"/>
        <v>27259.52684</v>
      </c>
      <c r="T109" s="23">
        <f t="shared" si="10"/>
        <v>0.008912816724</v>
      </c>
      <c r="U109" s="38">
        <f t="shared" si="11"/>
        <v>112.1979764</v>
      </c>
      <c r="V109" s="41">
        <f>SUMIFS('Business - Dump'!$G:$G,'Business - Dump'!$B:$B,'Portfolio Wise '!$B109,'Business - Dump'!$A:$A,'Portfolio Wise '!$A109)</f>
        <v>1593</v>
      </c>
      <c r="W109" s="23">
        <f t="shared" si="12"/>
        <v>0.007532956685</v>
      </c>
      <c r="X109" s="23">
        <f t="shared" ref="X109:Y109" si="162">IFERROR(N109/Q109,0)</f>
        <v>1</v>
      </c>
      <c r="Y109" s="49">
        <f t="shared" si="162"/>
        <v>1</v>
      </c>
      <c r="Z109" s="49">
        <f t="shared" si="14"/>
        <v>0</v>
      </c>
      <c r="AA109" s="23">
        <f t="shared" si="15"/>
        <v>1</v>
      </c>
      <c r="AB109" s="23">
        <f>IFERROR(AVERAGEIFS('Business - Dump'!$O:$O,'Business - Dump'!$B:$B,'Portfolio Wise '!$B109,'Business - Dump'!$A:$A,'Portfolio Wise '!$A109),0)</f>
        <v>0.8796636364</v>
      </c>
      <c r="AC109" s="49">
        <f>F109/SUMIFS('Campaign - Dump'!$Q:$Q,'Campaign - Dump'!$A:$A,'Portfolio Wise '!$A109)</f>
        <v>0.005257036087</v>
      </c>
      <c r="AD109" s="49">
        <f t="shared" si="16"/>
        <v>0</v>
      </c>
    </row>
    <row r="110" ht="15.75" customHeight="1">
      <c r="A110" s="10" t="s">
        <v>48</v>
      </c>
      <c r="B110" s="19" t="s">
        <v>196</v>
      </c>
      <c r="C110" s="13">
        <f>SUMIFS('Campaign - Dump'!$N:$N,'Campaign - Dump'!$J:$J,'Portfolio Wise '!$B110,'Campaign - Dump'!$A:$A,'Portfolio Wise '!$A110)</f>
        <v>204439</v>
      </c>
      <c r="D110" s="13">
        <f>SUMIFS('Campaign - Dump'!$O:$O,'Campaign - Dump'!$J:$J,'Portfolio Wise '!$B110,'Campaign - Dump'!$A:$A,'Portfolio Wise '!$A110)</f>
        <v>1324</v>
      </c>
      <c r="E110" s="23">
        <f t="shared" si="2"/>
        <v>0.006476259422</v>
      </c>
      <c r="F110" s="36">
        <f>SUMIFS('Campaign - Dump'!$Q:$Q,'Campaign - Dump'!$J:$J,'Portfolio Wise '!$B110,'Campaign - Dump'!$A:$A,'Portfolio Wise '!$A110)</f>
        <v>36951.62</v>
      </c>
      <c r="G110" s="38">
        <f t="shared" si="3"/>
        <v>27.90907855</v>
      </c>
      <c r="H110" s="41">
        <f>SUMIFS('Campaign - Dump'!$T:$T,'Campaign - Dump'!$J:$J,'Portfolio Wise '!$B110,'Campaign - Dump'!$A:$A,'Portfolio Wise '!$A110)</f>
        <v>9</v>
      </c>
      <c r="I110" s="23">
        <f t="shared" si="4"/>
        <v>0.006797583082</v>
      </c>
      <c r="J110" s="36">
        <f>SUMIFS('Campaign - Dump'!$U:$U,'Campaign - Dump'!$J:$J,'Portfolio Wise '!$B110,'Campaign - Dump'!$A:$A,'Portfolio Wise '!$A110)</f>
        <v>168644.06</v>
      </c>
      <c r="K110" s="23">
        <f t="shared" si="5"/>
        <v>0.2191101187</v>
      </c>
      <c r="L110" s="38">
        <f t="shared" si="6"/>
        <v>4.563915195</v>
      </c>
      <c r="M110" s="41">
        <f t="shared" si="7"/>
        <v>18738.22889</v>
      </c>
      <c r="N110" s="13">
        <v>0.0</v>
      </c>
      <c r="O110" s="36">
        <v>0.0</v>
      </c>
      <c r="P110" s="41">
        <f t="shared" si="8"/>
        <v>0</v>
      </c>
      <c r="Q110" s="13">
        <f>SUMIFS('Business - Dump'!$W:$W,'Business - Dump'!$B:$B,'Portfolio Wise '!$B110,'Business - Dump'!$A:$A,'Portfolio Wise '!$A110)</f>
        <v>0</v>
      </c>
      <c r="R110" s="36">
        <f>SUMIFS('Business - Dump'!$U:$U,'Business - Dump'!$B:$B,'Portfolio Wise '!$B110,'Business - Dump'!$A:$A,'Portfolio Wise '!$A110)/1.18</f>
        <v>0</v>
      </c>
      <c r="S110" s="41">
        <f t="shared" si="9"/>
        <v>0</v>
      </c>
      <c r="T110" s="23">
        <f t="shared" si="10"/>
        <v>0</v>
      </c>
      <c r="U110" s="38">
        <f t="shared" si="11"/>
        <v>0</v>
      </c>
      <c r="V110" s="41">
        <f>SUMIFS('Business - Dump'!$G:$G,'Business - Dump'!$B:$B,'Portfolio Wise '!$B110,'Business - Dump'!$A:$A,'Portfolio Wise '!$A110)</f>
        <v>0</v>
      </c>
      <c r="W110" s="48">
        <f t="shared" si="12"/>
        <v>0</v>
      </c>
      <c r="X110" s="23">
        <f t="shared" ref="X110:Y110" si="163">IFERROR(N110/Q110,0)</f>
        <v>0</v>
      </c>
      <c r="Y110" s="49">
        <f t="shared" si="163"/>
        <v>0</v>
      </c>
      <c r="Z110" s="49">
        <f t="shared" si="14"/>
        <v>0</v>
      </c>
      <c r="AA110" s="23">
        <f t="shared" si="15"/>
        <v>0</v>
      </c>
      <c r="AB110" s="23">
        <f>IFERROR(AVERAGEIFS('Business - Dump'!$O:$O,'Business - Dump'!$B:$B,'Portfolio Wise '!$B110,'Business - Dump'!$A:$A,'Portfolio Wise '!$A110),0)</f>
        <v>0</v>
      </c>
      <c r="AC110" s="49">
        <f>F110/SUMIFS('Campaign - Dump'!$Q:$Q,'Campaign - Dump'!$A:$A,'Portfolio Wise '!$A110)</f>
        <v>0.06662848003</v>
      </c>
      <c r="AD110" s="49">
        <f t="shared" si="16"/>
        <v>0</v>
      </c>
    </row>
    <row r="111" ht="15.75" customHeight="1">
      <c r="A111" s="10" t="s">
        <v>48</v>
      </c>
      <c r="B111" s="19" t="s">
        <v>205</v>
      </c>
      <c r="C111" s="13">
        <f>SUMIFS('Campaign - Dump'!$N:$N,'Campaign - Dump'!$J:$J,'Portfolio Wise '!$B111,'Campaign - Dump'!$A:$A,'Portfolio Wise '!$A111)</f>
        <v>370444</v>
      </c>
      <c r="D111" s="13">
        <f>SUMIFS('Campaign - Dump'!$O:$O,'Campaign - Dump'!$J:$J,'Portfolio Wise '!$B111,'Campaign - Dump'!$A:$A,'Portfolio Wise '!$A111)</f>
        <v>760</v>
      </c>
      <c r="E111" s="23">
        <f t="shared" si="2"/>
        <v>0.002051592143</v>
      </c>
      <c r="F111" s="36">
        <f>SUMIFS('Campaign - Dump'!$Q:$Q,'Campaign - Dump'!$J:$J,'Portfolio Wise '!$B111,'Campaign - Dump'!$A:$A,'Portfolio Wise '!$A111)</f>
        <v>46325.94</v>
      </c>
      <c r="G111" s="38">
        <f t="shared" si="3"/>
        <v>60.95518421</v>
      </c>
      <c r="H111" s="41">
        <f>SUMIFS('Campaign - Dump'!$T:$T,'Campaign - Dump'!$J:$J,'Portfolio Wise '!$B111,'Campaign - Dump'!$A:$A,'Portfolio Wise '!$A111)</f>
        <v>6</v>
      </c>
      <c r="I111" s="23">
        <f t="shared" si="4"/>
        <v>0.007894736842</v>
      </c>
      <c r="J111" s="36">
        <f>SUMIFS('Campaign - Dump'!$U:$U,'Campaign - Dump'!$J:$J,'Portfolio Wise '!$B111,'Campaign - Dump'!$A:$A,'Portfolio Wise '!$A111)</f>
        <v>153050.85</v>
      </c>
      <c r="K111" s="23">
        <f t="shared" si="5"/>
        <v>0.3026833239</v>
      </c>
      <c r="L111" s="38">
        <f t="shared" si="6"/>
        <v>3.303782935</v>
      </c>
      <c r="M111" s="41">
        <f t="shared" si="7"/>
        <v>25508.475</v>
      </c>
      <c r="N111" s="13">
        <f t="shared" ref="N111:N120" si="165">IFERROR(Q111-H111,0)</f>
        <v>9</v>
      </c>
      <c r="O111" s="36">
        <f t="shared" ref="O111:O120" si="166">IFERROR(R111-J111,0)</f>
        <v>373873.8873</v>
      </c>
      <c r="P111" s="41">
        <f t="shared" si="8"/>
        <v>41541.54303</v>
      </c>
      <c r="Q111" s="13">
        <f>SUMIFS('Business - Dump'!$W:$W,'Business - Dump'!$B:$B,'Portfolio Wise '!$B111,'Business - Dump'!$A:$A,'Portfolio Wise '!$A111)</f>
        <v>15</v>
      </c>
      <c r="R111" s="36">
        <f>SUMIFS('Business - Dump'!$U:$U,'Business - Dump'!$B:$B,'Portfolio Wise '!$B111,'Business - Dump'!$A:$A,'Portfolio Wise '!$A111)/1.18</f>
        <v>526924.7373</v>
      </c>
      <c r="S111" s="41">
        <f t="shared" si="9"/>
        <v>35128.31582</v>
      </c>
      <c r="T111" s="23">
        <f t="shared" si="10"/>
        <v>0.0879175653</v>
      </c>
      <c r="U111" s="38">
        <f t="shared" si="11"/>
        <v>11.37429132</v>
      </c>
      <c r="V111" s="41">
        <f>SUMIFS('Business - Dump'!$G:$G,'Business - Dump'!$B:$B,'Portfolio Wise '!$B111,'Business - Dump'!$A:$A,'Portfolio Wise '!$A111)</f>
        <v>1471</v>
      </c>
      <c r="W111" s="48">
        <f t="shared" si="12"/>
        <v>0.0101971448</v>
      </c>
      <c r="X111" s="23">
        <f t="shared" ref="X111:Y111" si="164">IFERROR(N111/Q111,0)</f>
        <v>0.6</v>
      </c>
      <c r="Y111" s="49">
        <f t="shared" si="164"/>
        <v>0.7095394481</v>
      </c>
      <c r="Z111" s="49">
        <f t="shared" si="14"/>
        <v>0.4</v>
      </c>
      <c r="AA111" s="23">
        <f t="shared" si="15"/>
        <v>0.7095394481</v>
      </c>
      <c r="AB111" s="23">
        <f>IFERROR(AVERAGEIFS('Business - Dump'!$O:$O,'Business - Dump'!$B:$B,'Portfolio Wise '!$B111,'Business - Dump'!$A:$A,'Portfolio Wise '!$A111),0)</f>
        <v>0.92764</v>
      </c>
      <c r="AC111" s="49">
        <f>F111/SUMIFS('Campaign - Dump'!$Q:$Q,'Campaign - Dump'!$A:$A,'Portfolio Wise '!$A111)</f>
        <v>0.08353157367</v>
      </c>
      <c r="AD111" s="49">
        <f t="shared" si="16"/>
        <v>1.5</v>
      </c>
    </row>
    <row r="112" ht="15.75" customHeight="1">
      <c r="A112" s="10" t="s">
        <v>48</v>
      </c>
      <c r="B112" s="10" t="s">
        <v>211</v>
      </c>
      <c r="C112" s="13">
        <f>SUMIFS('Campaign - Dump'!$N:$N,'Campaign - Dump'!$J:$J,'Portfolio Wise '!$B112,'Campaign - Dump'!$A:$A,'Portfolio Wise '!$A112)</f>
        <v>222681</v>
      </c>
      <c r="D112" s="13">
        <f>SUMIFS('Campaign - Dump'!$O:$O,'Campaign - Dump'!$J:$J,'Portfolio Wise '!$B112,'Campaign - Dump'!$A:$A,'Portfolio Wise '!$A112)</f>
        <v>712</v>
      </c>
      <c r="E112" s="23">
        <f t="shared" si="2"/>
        <v>0.00319739897</v>
      </c>
      <c r="F112" s="36">
        <f>SUMIFS('Campaign - Dump'!$Q:$Q,'Campaign - Dump'!$J:$J,'Portfolio Wise '!$B112,'Campaign - Dump'!$A:$A,'Portfolio Wise '!$A112)</f>
        <v>2856.25</v>
      </c>
      <c r="G112" s="38">
        <f t="shared" si="3"/>
        <v>4.011587079</v>
      </c>
      <c r="H112" s="41">
        <f>SUMIFS('Campaign - Dump'!$T:$T,'Campaign - Dump'!$J:$J,'Portfolio Wise '!$B112,'Campaign - Dump'!$A:$A,'Portfolio Wise '!$A112)</f>
        <v>17</v>
      </c>
      <c r="I112" s="23">
        <f t="shared" si="4"/>
        <v>0.02387640449</v>
      </c>
      <c r="J112" s="36">
        <f>SUMIFS('Campaign - Dump'!$U:$U,'Campaign - Dump'!$J:$J,'Portfolio Wise '!$B112,'Campaign - Dump'!$A:$A,'Portfolio Wise '!$A112)</f>
        <v>21014.75</v>
      </c>
      <c r="K112" s="23">
        <f t="shared" si="5"/>
        <v>0.1359164396</v>
      </c>
      <c r="L112" s="38">
        <f t="shared" si="6"/>
        <v>7.357461707</v>
      </c>
      <c r="M112" s="41">
        <f t="shared" si="7"/>
        <v>1236.161765</v>
      </c>
      <c r="N112" s="13">
        <f t="shared" si="165"/>
        <v>27</v>
      </c>
      <c r="O112" s="36">
        <f t="shared" si="166"/>
        <v>29340.70763</v>
      </c>
      <c r="P112" s="41">
        <f t="shared" si="8"/>
        <v>1086.692875</v>
      </c>
      <c r="Q112" s="13">
        <f>SUMIFS('Business - Dump'!$W:$W,'Business - Dump'!$B:$B,'Portfolio Wise '!$B112,'Business - Dump'!$A:$A,'Portfolio Wise '!$A112)</f>
        <v>44</v>
      </c>
      <c r="R112" s="36">
        <f>SUMIFS('Business - Dump'!$U:$U,'Business - Dump'!$B:$B,'Portfolio Wise '!$B112,'Business - Dump'!$A:$A,'Portfolio Wise '!$A112)/1.18</f>
        <v>50355.45763</v>
      </c>
      <c r="S112" s="41">
        <f t="shared" si="9"/>
        <v>1144.442219</v>
      </c>
      <c r="T112" s="23">
        <f t="shared" si="10"/>
        <v>0.05672175638</v>
      </c>
      <c r="U112" s="38">
        <f t="shared" si="11"/>
        <v>17.62991952</v>
      </c>
      <c r="V112" s="41">
        <f>SUMIFS('Business - Dump'!$G:$G,'Business - Dump'!$B:$B,'Portfolio Wise '!$B112,'Business - Dump'!$A:$A,'Portfolio Wise '!$A112)</f>
        <v>2468</v>
      </c>
      <c r="W112" s="48">
        <f t="shared" si="12"/>
        <v>0.01782820097</v>
      </c>
      <c r="X112" s="23">
        <f t="shared" ref="X112:Y112" si="167">IFERROR(N112/Q112,0)</f>
        <v>0.6136363636</v>
      </c>
      <c r="Y112" s="49">
        <f t="shared" si="167"/>
        <v>0.5826718495</v>
      </c>
      <c r="Z112" s="49">
        <f t="shared" si="14"/>
        <v>0.3863636364</v>
      </c>
      <c r="AA112" s="23">
        <f t="shared" si="15"/>
        <v>0.5826718495</v>
      </c>
      <c r="AB112" s="23">
        <f>IFERROR(AVERAGEIFS('Business - Dump'!$O:$O,'Business - Dump'!$B:$B,'Portfolio Wise '!$B112,'Business - Dump'!$A:$A,'Portfolio Wise '!$A112),0)</f>
        <v>0.9836</v>
      </c>
      <c r="AC112" s="49">
        <f>F112/SUMIFS('Campaign - Dump'!$Q:$Q,'Campaign - Dump'!$A:$A,'Portfolio Wise '!$A112)</f>
        <v>0.005150182755</v>
      </c>
      <c r="AD112" s="49">
        <f t="shared" si="16"/>
        <v>1.588235294</v>
      </c>
    </row>
    <row r="113" ht="15.75" customHeight="1">
      <c r="A113" s="10" t="s">
        <v>48</v>
      </c>
      <c r="B113" s="19" t="s">
        <v>217</v>
      </c>
      <c r="C113" s="13">
        <f>SUMIFS('Campaign - Dump'!$N:$N,'Campaign - Dump'!$J:$J,'Portfolio Wise '!$B113,'Campaign - Dump'!$A:$A,'Portfolio Wise '!$A113)</f>
        <v>7066</v>
      </c>
      <c r="D113" s="13">
        <f>SUMIFS('Campaign - Dump'!$O:$O,'Campaign - Dump'!$J:$J,'Portfolio Wise '!$B113,'Campaign - Dump'!$A:$A,'Portfolio Wise '!$A113)</f>
        <v>26</v>
      </c>
      <c r="E113" s="23">
        <f t="shared" si="2"/>
        <v>0.003679592414</v>
      </c>
      <c r="F113" s="36">
        <f>SUMIFS('Campaign - Dump'!$Q:$Q,'Campaign - Dump'!$J:$J,'Portfolio Wise '!$B113,'Campaign - Dump'!$A:$A,'Portfolio Wise '!$A113)</f>
        <v>134.57</v>
      </c>
      <c r="G113" s="38">
        <f t="shared" si="3"/>
        <v>5.175769231</v>
      </c>
      <c r="H113" s="41">
        <f>SUMIFS('Campaign - Dump'!$T:$T,'Campaign - Dump'!$J:$J,'Portfolio Wise '!$B113,'Campaign - Dump'!$A:$A,'Portfolio Wise '!$A113)</f>
        <v>0</v>
      </c>
      <c r="I113" s="23">
        <f t="shared" si="4"/>
        <v>0</v>
      </c>
      <c r="J113" s="36">
        <f>SUMIFS('Campaign - Dump'!$U:$U,'Campaign - Dump'!$J:$J,'Portfolio Wise '!$B113,'Campaign - Dump'!$A:$A,'Portfolio Wise '!$A113)</f>
        <v>0</v>
      </c>
      <c r="K113" s="23">
        <f t="shared" si="5"/>
        <v>0</v>
      </c>
      <c r="L113" s="38">
        <f t="shared" si="6"/>
        <v>0</v>
      </c>
      <c r="M113" s="41">
        <f t="shared" si="7"/>
        <v>0</v>
      </c>
      <c r="N113" s="13">
        <f t="shared" si="165"/>
        <v>19</v>
      </c>
      <c r="O113" s="36">
        <f t="shared" si="166"/>
        <v>46093.70339</v>
      </c>
      <c r="P113" s="41">
        <f t="shared" si="8"/>
        <v>2425.984389</v>
      </c>
      <c r="Q113" s="13">
        <f>SUMIFS('Business - Dump'!$W:$W,'Business - Dump'!$B:$B,'Portfolio Wise '!$B113,'Business - Dump'!$A:$A,'Portfolio Wise '!$A113)</f>
        <v>19</v>
      </c>
      <c r="R113" s="36">
        <f>SUMIFS('Business - Dump'!$U:$U,'Business - Dump'!$B:$B,'Portfolio Wise '!$B113,'Business - Dump'!$A:$A,'Portfolio Wise '!$A113)/1.18</f>
        <v>46093.70339</v>
      </c>
      <c r="S113" s="41">
        <f t="shared" si="9"/>
        <v>2425.984389</v>
      </c>
      <c r="T113" s="23">
        <f t="shared" si="10"/>
        <v>0.002919487698</v>
      </c>
      <c r="U113" s="38">
        <f t="shared" si="11"/>
        <v>342.5258482</v>
      </c>
      <c r="V113" s="41">
        <f>SUMIFS('Business - Dump'!$G:$G,'Business - Dump'!$B:$B,'Portfolio Wise '!$B113,'Business - Dump'!$A:$A,'Portfolio Wise '!$A113)</f>
        <v>706</v>
      </c>
      <c r="W113" s="48">
        <f t="shared" si="12"/>
        <v>0.0269121813</v>
      </c>
      <c r="X113" s="23">
        <f t="shared" ref="X113:Y113" si="168">IFERROR(N113/Q113,0)</f>
        <v>1</v>
      </c>
      <c r="Y113" s="49">
        <f t="shared" si="168"/>
        <v>1</v>
      </c>
      <c r="Z113" s="49">
        <f t="shared" si="14"/>
        <v>0</v>
      </c>
      <c r="AA113" s="23">
        <f t="shared" si="15"/>
        <v>1</v>
      </c>
      <c r="AB113" s="23">
        <f>IFERROR(AVERAGEIFS('Business - Dump'!$O:$O,'Business - Dump'!$B:$B,'Portfolio Wise '!$B113,'Business - Dump'!$A:$A,'Portfolio Wise '!$A113),0)</f>
        <v>0.87382</v>
      </c>
      <c r="AC113" s="49">
        <f>F113/SUMIFS('Campaign - Dump'!$Q:$Q,'Campaign - Dump'!$A:$A,'Portfolio Wise '!$A113)</f>
        <v>0.0002426468598</v>
      </c>
      <c r="AD113" s="49">
        <f t="shared" si="16"/>
        <v>0</v>
      </c>
    </row>
    <row r="114" ht="15.75" customHeight="1">
      <c r="A114" s="10" t="s">
        <v>48</v>
      </c>
      <c r="B114" s="33" t="s">
        <v>230</v>
      </c>
      <c r="C114" s="13">
        <f>SUMIFS('Campaign - Dump'!$N:$N,'Campaign - Dump'!$J:$J,'Portfolio Wise '!$B114,'Campaign - Dump'!$A:$A,'Portfolio Wise '!$A114)</f>
        <v>0</v>
      </c>
      <c r="D114" s="13">
        <f>SUMIFS('Campaign - Dump'!$O:$O,'Campaign - Dump'!$J:$J,'Portfolio Wise '!$B114,'Campaign - Dump'!$A:$A,'Portfolio Wise '!$A114)</f>
        <v>0</v>
      </c>
      <c r="E114" s="23">
        <f t="shared" si="2"/>
        <v>0</v>
      </c>
      <c r="F114" s="36">
        <f>SUMIFS('Campaign - Dump'!$Q:$Q,'Campaign - Dump'!$J:$J,'Portfolio Wise '!$B114,'Campaign - Dump'!$A:$A,'Portfolio Wise '!$A114)</f>
        <v>0</v>
      </c>
      <c r="G114" s="38">
        <f t="shared" si="3"/>
        <v>0</v>
      </c>
      <c r="H114" s="41">
        <f>SUMIFS('Campaign - Dump'!$T:$T,'Campaign - Dump'!$J:$J,'Portfolio Wise '!$B114,'Campaign - Dump'!$A:$A,'Portfolio Wise '!$A114)</f>
        <v>0</v>
      </c>
      <c r="I114" s="23">
        <f t="shared" si="4"/>
        <v>0</v>
      </c>
      <c r="J114" s="36">
        <f>SUMIFS('Campaign - Dump'!$U:$U,'Campaign - Dump'!$J:$J,'Portfolio Wise '!$B114,'Campaign - Dump'!$A:$A,'Portfolio Wise '!$A114)</f>
        <v>0</v>
      </c>
      <c r="K114" s="23">
        <f t="shared" si="5"/>
        <v>0</v>
      </c>
      <c r="L114" s="38">
        <f t="shared" si="6"/>
        <v>0</v>
      </c>
      <c r="M114" s="41">
        <f t="shared" si="7"/>
        <v>0</v>
      </c>
      <c r="N114" s="13">
        <f t="shared" si="165"/>
        <v>10</v>
      </c>
      <c r="O114" s="36">
        <f t="shared" si="166"/>
        <v>216101.6949</v>
      </c>
      <c r="P114" s="41">
        <f t="shared" si="8"/>
        <v>21610.16949</v>
      </c>
      <c r="Q114" s="13">
        <f>SUMIFS('Business - Dump'!$W:$W,'Business - Dump'!$B:$B,'Portfolio Wise '!$B114,'Business - Dump'!$A:$A,'Portfolio Wise '!$A114)</f>
        <v>10</v>
      </c>
      <c r="R114" s="36">
        <f>SUMIFS('Business - Dump'!$U:$U,'Business - Dump'!$B:$B,'Portfolio Wise '!$B114,'Business - Dump'!$A:$A,'Portfolio Wise '!$A114)/1.18</f>
        <v>216101.6949</v>
      </c>
      <c r="S114" s="41">
        <f t="shared" si="9"/>
        <v>21610.16949</v>
      </c>
      <c r="T114" s="23">
        <f t="shared" si="10"/>
        <v>0</v>
      </c>
      <c r="U114" s="38">
        <f t="shared" si="11"/>
        <v>0</v>
      </c>
      <c r="V114" s="41">
        <f>SUMIFS('Business - Dump'!$G:$G,'Business - Dump'!$B:$B,'Portfolio Wise '!$B114,'Business - Dump'!$A:$A,'Portfolio Wise '!$A114)</f>
        <v>1015</v>
      </c>
      <c r="W114" s="23">
        <f t="shared" si="12"/>
        <v>0.009852216749</v>
      </c>
      <c r="X114" s="23">
        <f t="shared" ref="X114:Y114" si="169">IFERROR(N114/Q114,0)</f>
        <v>1</v>
      </c>
      <c r="Y114" s="49">
        <f t="shared" si="169"/>
        <v>1</v>
      </c>
      <c r="Z114" s="49">
        <f t="shared" si="14"/>
        <v>0</v>
      </c>
      <c r="AA114" s="23">
        <f t="shared" si="15"/>
        <v>1</v>
      </c>
      <c r="AB114" s="23">
        <f>IFERROR(AVERAGEIFS('Business - Dump'!$O:$O,'Business - Dump'!$B:$B,'Portfolio Wise '!$B114,'Business - Dump'!$A:$A,'Portfolio Wise '!$A114),0)</f>
        <v>0.94862</v>
      </c>
      <c r="AC114" s="49">
        <f>F114/SUMIFS('Campaign - Dump'!$Q:$Q,'Campaign - Dump'!$A:$A,'Portfolio Wise '!$A114)</f>
        <v>0</v>
      </c>
      <c r="AD114" s="49">
        <f t="shared" si="16"/>
        <v>0</v>
      </c>
    </row>
    <row r="115" ht="15.75" customHeight="1">
      <c r="A115" s="10" t="s">
        <v>48</v>
      </c>
      <c r="B115" s="33" t="s">
        <v>230</v>
      </c>
      <c r="C115" s="13">
        <f>SUMIFS('Campaign - Dump'!$N:$N,'Campaign - Dump'!$J:$J,'Portfolio Wise '!$B115,'Campaign - Dump'!$A:$A,'Portfolio Wise '!$A115)</f>
        <v>0</v>
      </c>
      <c r="D115" s="13">
        <f>SUMIFS('Campaign - Dump'!$O:$O,'Campaign - Dump'!$J:$J,'Portfolio Wise '!$B115,'Campaign - Dump'!$A:$A,'Portfolio Wise '!$A115)</f>
        <v>0</v>
      </c>
      <c r="E115" s="23">
        <f t="shared" si="2"/>
        <v>0</v>
      </c>
      <c r="F115" s="36">
        <f>SUMIFS('Campaign - Dump'!$Q:$Q,'Campaign - Dump'!$J:$J,'Portfolio Wise '!$B115,'Campaign - Dump'!$A:$A,'Portfolio Wise '!$A115)</f>
        <v>0</v>
      </c>
      <c r="G115" s="38">
        <f t="shared" si="3"/>
        <v>0</v>
      </c>
      <c r="H115" s="41">
        <f>SUMIFS('Campaign - Dump'!$T:$T,'Campaign - Dump'!$J:$J,'Portfolio Wise '!$B115,'Campaign - Dump'!$A:$A,'Portfolio Wise '!$A115)</f>
        <v>0</v>
      </c>
      <c r="I115" s="23">
        <f t="shared" si="4"/>
        <v>0</v>
      </c>
      <c r="J115" s="36">
        <f>SUMIFS('Campaign - Dump'!$U:$U,'Campaign - Dump'!$J:$J,'Portfolio Wise '!$B115,'Campaign - Dump'!$A:$A,'Portfolio Wise '!$A115)</f>
        <v>0</v>
      </c>
      <c r="K115" s="23">
        <f t="shared" si="5"/>
        <v>0</v>
      </c>
      <c r="L115" s="38">
        <f t="shared" si="6"/>
        <v>0</v>
      </c>
      <c r="M115" s="41">
        <f t="shared" si="7"/>
        <v>0</v>
      </c>
      <c r="N115" s="13">
        <f t="shared" si="165"/>
        <v>10</v>
      </c>
      <c r="O115" s="36">
        <f t="shared" si="166"/>
        <v>216101.6949</v>
      </c>
      <c r="P115" s="41">
        <f t="shared" si="8"/>
        <v>21610.16949</v>
      </c>
      <c r="Q115" s="13">
        <f>SUMIFS('Business - Dump'!$W:$W,'Business - Dump'!$B:$B,'Portfolio Wise '!$B115,'Business - Dump'!$A:$A,'Portfolio Wise '!$A115)</f>
        <v>10</v>
      </c>
      <c r="R115" s="36">
        <f>SUMIFS('Business - Dump'!$U:$U,'Business - Dump'!$B:$B,'Portfolio Wise '!$B115,'Business - Dump'!$A:$A,'Portfolio Wise '!$A115)/1.18</f>
        <v>216101.6949</v>
      </c>
      <c r="S115" s="41">
        <f t="shared" si="9"/>
        <v>21610.16949</v>
      </c>
      <c r="T115" s="23">
        <f t="shared" si="10"/>
        <v>0</v>
      </c>
      <c r="U115" s="38">
        <f t="shared" si="11"/>
        <v>0</v>
      </c>
      <c r="V115" s="41">
        <f>SUMIFS('Business - Dump'!$G:$G,'Business - Dump'!$B:$B,'Portfolio Wise '!$B115,'Business - Dump'!$A:$A,'Portfolio Wise '!$A115)</f>
        <v>1015</v>
      </c>
      <c r="W115" s="23">
        <f t="shared" si="12"/>
        <v>0.009852216749</v>
      </c>
      <c r="X115" s="23">
        <f t="shared" ref="X115:Y115" si="170">IFERROR(N115/Q115,0)</f>
        <v>1</v>
      </c>
      <c r="Y115" s="49">
        <f t="shared" si="170"/>
        <v>1</v>
      </c>
      <c r="Z115" s="49">
        <f t="shared" si="14"/>
        <v>0</v>
      </c>
      <c r="AA115" s="23">
        <f t="shared" si="15"/>
        <v>1</v>
      </c>
      <c r="AB115" s="23">
        <f>IFERROR(AVERAGEIFS('Business - Dump'!$O:$O,'Business - Dump'!$B:$B,'Portfolio Wise '!$B115,'Business - Dump'!$A:$A,'Portfolio Wise '!$A115),0)</f>
        <v>0.94862</v>
      </c>
      <c r="AC115" s="49">
        <f>F115/SUMIFS('Campaign - Dump'!$Q:$Q,'Campaign - Dump'!$A:$A,'Portfolio Wise '!$A115)</f>
        <v>0</v>
      </c>
      <c r="AD115" s="49">
        <f t="shared" si="16"/>
        <v>0</v>
      </c>
    </row>
    <row r="116" ht="15.75" customHeight="1">
      <c r="A116" s="10" t="s">
        <v>48</v>
      </c>
      <c r="B116" s="19" t="s">
        <v>232</v>
      </c>
      <c r="C116" s="13">
        <f>SUMIFS('Campaign - Dump'!$N:$N,'Campaign - Dump'!$J:$J,'Portfolio Wise '!$B116,'Campaign - Dump'!$A:$A,'Portfolio Wise '!$A116)</f>
        <v>0</v>
      </c>
      <c r="D116" s="13">
        <f>SUMIFS('Campaign - Dump'!$O:$O,'Campaign - Dump'!$J:$J,'Portfolio Wise '!$B116,'Campaign - Dump'!$A:$A,'Portfolio Wise '!$A116)</f>
        <v>0</v>
      </c>
      <c r="E116" s="23">
        <f t="shared" si="2"/>
        <v>0</v>
      </c>
      <c r="F116" s="36">
        <f>SUMIFS('Campaign - Dump'!$Q:$Q,'Campaign - Dump'!$J:$J,'Portfolio Wise '!$B116,'Campaign - Dump'!$A:$A,'Portfolio Wise '!$A116)</f>
        <v>0</v>
      </c>
      <c r="G116" s="38">
        <f t="shared" si="3"/>
        <v>0</v>
      </c>
      <c r="H116" s="41">
        <f>SUMIFS('Campaign - Dump'!$T:$T,'Campaign - Dump'!$J:$J,'Portfolio Wise '!$B116,'Campaign - Dump'!$A:$A,'Portfolio Wise '!$A116)</f>
        <v>0</v>
      </c>
      <c r="I116" s="23">
        <f t="shared" si="4"/>
        <v>0</v>
      </c>
      <c r="J116" s="36">
        <f>SUMIFS('Campaign - Dump'!$U:$U,'Campaign - Dump'!$J:$J,'Portfolio Wise '!$B116,'Campaign - Dump'!$A:$A,'Portfolio Wise '!$A116)</f>
        <v>0</v>
      </c>
      <c r="K116" s="23">
        <f t="shared" si="5"/>
        <v>0</v>
      </c>
      <c r="L116" s="38">
        <f t="shared" si="6"/>
        <v>0</v>
      </c>
      <c r="M116" s="41">
        <f t="shared" si="7"/>
        <v>0</v>
      </c>
      <c r="N116" s="13">
        <f t="shared" si="165"/>
        <v>0</v>
      </c>
      <c r="O116" s="36">
        <f t="shared" si="166"/>
        <v>0</v>
      </c>
      <c r="P116" s="41">
        <f t="shared" si="8"/>
        <v>0</v>
      </c>
      <c r="Q116" s="13">
        <f>SUMIFS('Business - Dump'!$W:$W,'Business - Dump'!$B:$B,'Portfolio Wise '!$B116,'Business - Dump'!$A:$A,'Portfolio Wise '!$A116)</f>
        <v>0</v>
      </c>
      <c r="R116" s="36">
        <f>SUMIFS('Business - Dump'!$U:$U,'Business - Dump'!$B:$B,'Portfolio Wise '!$B116,'Business - Dump'!$A:$A,'Portfolio Wise '!$A116)/1.18</f>
        <v>0</v>
      </c>
      <c r="S116" s="41">
        <f t="shared" si="9"/>
        <v>0</v>
      </c>
      <c r="T116" s="23">
        <f t="shared" si="10"/>
        <v>0</v>
      </c>
      <c r="U116" s="38">
        <f t="shared" si="11"/>
        <v>0</v>
      </c>
      <c r="V116" s="41">
        <f>SUMIFS('Business - Dump'!$G:$G,'Business - Dump'!$B:$B,'Portfolio Wise '!$B116,'Business - Dump'!$A:$A,'Portfolio Wise '!$A116)</f>
        <v>0</v>
      </c>
      <c r="W116" s="48">
        <f t="shared" si="12"/>
        <v>0</v>
      </c>
      <c r="X116" s="23">
        <f t="shared" ref="X116:Y116" si="171">IFERROR(N116/Q116,0)</f>
        <v>0</v>
      </c>
      <c r="Y116" s="49">
        <f t="shared" si="171"/>
        <v>0</v>
      </c>
      <c r="Z116" s="49">
        <f t="shared" si="14"/>
        <v>0</v>
      </c>
      <c r="AA116" s="23">
        <f t="shared" si="15"/>
        <v>0</v>
      </c>
      <c r="AB116" s="23">
        <f>IFERROR(AVERAGEIFS('Business - Dump'!$O:$O,'Business - Dump'!$B:$B,'Portfolio Wise '!$B116,'Business - Dump'!$A:$A,'Portfolio Wise '!$A116),0)</f>
        <v>0</v>
      </c>
      <c r="AC116" s="49">
        <f>F116/SUMIFS('Campaign - Dump'!$Q:$Q,'Campaign - Dump'!$A:$A,'Portfolio Wise '!$A116)</f>
        <v>0</v>
      </c>
      <c r="AD116" s="49">
        <f t="shared" si="16"/>
        <v>0</v>
      </c>
    </row>
    <row r="117" ht="15.75" customHeight="1">
      <c r="A117" s="10" t="s">
        <v>48</v>
      </c>
      <c r="B117" s="51" t="s">
        <v>239</v>
      </c>
      <c r="C117" s="13">
        <f>SUMIFS('Campaign - Dump'!$N:$N,'Campaign - Dump'!$J:$J,'Portfolio Wise '!$B117,'Campaign - Dump'!$A:$A,'Portfolio Wise '!$A117)</f>
        <v>0</v>
      </c>
      <c r="D117" s="13">
        <f>SUMIFS('Campaign - Dump'!$O:$O,'Campaign - Dump'!$J:$J,'Portfolio Wise '!$B117,'Campaign - Dump'!$A:$A,'Portfolio Wise '!$A117)</f>
        <v>0</v>
      </c>
      <c r="E117" s="23">
        <f t="shared" si="2"/>
        <v>0</v>
      </c>
      <c r="F117" s="36">
        <f>SUMIFS('Campaign - Dump'!$Q:$Q,'Campaign - Dump'!$J:$J,'Portfolio Wise '!$B117,'Campaign - Dump'!$A:$A,'Portfolio Wise '!$A117)</f>
        <v>0</v>
      </c>
      <c r="G117" s="38">
        <f t="shared" si="3"/>
        <v>0</v>
      </c>
      <c r="H117" s="41">
        <f>SUMIFS('Campaign - Dump'!$T:$T,'Campaign - Dump'!$J:$J,'Portfolio Wise '!$B117,'Campaign - Dump'!$A:$A,'Portfolio Wise '!$A117)</f>
        <v>0</v>
      </c>
      <c r="I117" s="23">
        <f t="shared" si="4"/>
        <v>0</v>
      </c>
      <c r="J117" s="36">
        <f>SUMIFS('Campaign - Dump'!$U:$U,'Campaign - Dump'!$J:$J,'Portfolio Wise '!$B117,'Campaign - Dump'!$A:$A,'Portfolio Wise '!$A117)</f>
        <v>0</v>
      </c>
      <c r="K117" s="23">
        <f t="shared" si="5"/>
        <v>0</v>
      </c>
      <c r="L117" s="38">
        <f t="shared" si="6"/>
        <v>0</v>
      </c>
      <c r="M117" s="41">
        <f t="shared" si="7"/>
        <v>0</v>
      </c>
      <c r="N117" s="13">
        <f t="shared" si="165"/>
        <v>0</v>
      </c>
      <c r="O117" s="36">
        <f t="shared" si="166"/>
        <v>0</v>
      </c>
      <c r="P117" s="41">
        <f t="shared" si="8"/>
        <v>0</v>
      </c>
      <c r="Q117" s="13">
        <f>SUMIFS('Business - Dump'!$W:$W,'Business - Dump'!$B:$B,'Portfolio Wise '!$B117,'Business - Dump'!$A:$A,'Portfolio Wise '!$A117)</f>
        <v>0</v>
      </c>
      <c r="R117" s="36">
        <f>SUMIFS('Business - Dump'!$U:$U,'Business - Dump'!$B:$B,'Portfolio Wise '!$B117,'Business - Dump'!$A:$A,'Portfolio Wise '!$A117)/1.18</f>
        <v>0</v>
      </c>
      <c r="S117" s="41">
        <f t="shared" si="9"/>
        <v>0</v>
      </c>
      <c r="T117" s="23">
        <f t="shared" si="10"/>
        <v>0</v>
      </c>
      <c r="U117" s="38">
        <f t="shared" si="11"/>
        <v>0</v>
      </c>
      <c r="V117" s="41">
        <f>SUMIFS('Business - Dump'!$G:$G,'Business - Dump'!$B:$B,'Portfolio Wise '!$B117,'Business - Dump'!$A:$A,'Portfolio Wise '!$A117)</f>
        <v>0</v>
      </c>
      <c r="W117" s="48">
        <f t="shared" si="12"/>
        <v>0</v>
      </c>
      <c r="X117" s="23">
        <f t="shared" ref="X117:Y117" si="172">IFERROR(N117/Q117,0)</f>
        <v>0</v>
      </c>
      <c r="Y117" s="49">
        <f t="shared" si="172"/>
        <v>0</v>
      </c>
      <c r="Z117" s="49">
        <f t="shared" si="14"/>
        <v>0</v>
      </c>
      <c r="AA117" s="23">
        <f t="shared" si="15"/>
        <v>0</v>
      </c>
      <c r="AB117" s="23">
        <f>IFERROR(AVERAGEIFS('Business - Dump'!$O:$O,'Business - Dump'!$B:$B,'Portfolio Wise '!$B117,'Business - Dump'!$A:$A,'Portfolio Wise '!$A117),0)</f>
        <v>0</v>
      </c>
      <c r="AC117" s="49">
        <f>F117/SUMIFS('Campaign - Dump'!$Q:$Q,'Campaign - Dump'!$A:$A,'Portfolio Wise '!$A117)</f>
        <v>0</v>
      </c>
      <c r="AD117" s="49">
        <f t="shared" si="16"/>
        <v>0</v>
      </c>
    </row>
    <row r="118" ht="15.75" customHeight="1">
      <c r="A118" s="10" t="s">
        <v>48</v>
      </c>
      <c r="B118" s="19" t="s">
        <v>240</v>
      </c>
      <c r="C118" s="13">
        <f>SUMIFS('Campaign - Dump'!$N:$N,'Campaign - Dump'!$J:$J,'Portfolio Wise '!$B118,'Campaign - Dump'!$A:$A,'Portfolio Wise '!$A118)</f>
        <v>0</v>
      </c>
      <c r="D118" s="13">
        <f>SUMIFS('Campaign - Dump'!$O:$O,'Campaign - Dump'!$J:$J,'Portfolio Wise '!$B118,'Campaign - Dump'!$A:$A,'Portfolio Wise '!$A118)</f>
        <v>0</v>
      </c>
      <c r="E118" s="23">
        <f t="shared" si="2"/>
        <v>0</v>
      </c>
      <c r="F118" s="36">
        <f>SUMIFS('Campaign - Dump'!$Q:$Q,'Campaign - Dump'!$J:$J,'Portfolio Wise '!$B118,'Campaign - Dump'!$A:$A,'Portfolio Wise '!$A118)</f>
        <v>0</v>
      </c>
      <c r="G118" s="38">
        <f t="shared" si="3"/>
        <v>0</v>
      </c>
      <c r="H118" s="41">
        <f>SUMIFS('Campaign - Dump'!$T:$T,'Campaign - Dump'!$J:$J,'Portfolio Wise '!$B118,'Campaign - Dump'!$A:$A,'Portfolio Wise '!$A118)</f>
        <v>0</v>
      </c>
      <c r="I118" s="23">
        <f t="shared" si="4"/>
        <v>0</v>
      </c>
      <c r="J118" s="36">
        <f>SUMIFS('Campaign - Dump'!$U:$U,'Campaign - Dump'!$J:$J,'Portfolio Wise '!$B118,'Campaign - Dump'!$A:$A,'Portfolio Wise '!$A118)</f>
        <v>0</v>
      </c>
      <c r="K118" s="23">
        <f t="shared" si="5"/>
        <v>0</v>
      </c>
      <c r="L118" s="38">
        <f t="shared" si="6"/>
        <v>0</v>
      </c>
      <c r="M118" s="41">
        <f t="shared" si="7"/>
        <v>0</v>
      </c>
      <c r="N118" s="13">
        <f t="shared" si="165"/>
        <v>0</v>
      </c>
      <c r="O118" s="36">
        <f t="shared" si="166"/>
        <v>0</v>
      </c>
      <c r="P118" s="41">
        <f t="shared" si="8"/>
        <v>0</v>
      </c>
      <c r="Q118" s="13">
        <f>SUMIFS('Business - Dump'!$W:$W,'Business - Dump'!$B:$B,'Portfolio Wise '!$B118,'Business - Dump'!$A:$A,'Portfolio Wise '!$A118)</f>
        <v>0</v>
      </c>
      <c r="R118" s="36">
        <f>SUMIFS('Business - Dump'!$U:$U,'Business - Dump'!$B:$B,'Portfolio Wise '!$B118,'Business - Dump'!$A:$A,'Portfolio Wise '!$A118)/1.18</f>
        <v>0</v>
      </c>
      <c r="S118" s="41">
        <f t="shared" si="9"/>
        <v>0</v>
      </c>
      <c r="T118" s="23">
        <f t="shared" si="10"/>
        <v>0</v>
      </c>
      <c r="U118" s="38">
        <f t="shared" si="11"/>
        <v>0</v>
      </c>
      <c r="V118" s="41">
        <f>SUMIFS('Business - Dump'!$G:$G,'Business - Dump'!$B:$B,'Portfolio Wise '!$B118,'Business - Dump'!$A:$A,'Portfolio Wise '!$A118)</f>
        <v>0</v>
      </c>
      <c r="W118" s="48">
        <f t="shared" si="12"/>
        <v>0</v>
      </c>
      <c r="X118" s="23">
        <f t="shared" ref="X118:Y118" si="173">IFERROR(N118/Q118,0)</f>
        <v>0</v>
      </c>
      <c r="Y118" s="49">
        <f t="shared" si="173"/>
        <v>0</v>
      </c>
      <c r="Z118" s="49">
        <f t="shared" si="14"/>
        <v>0</v>
      </c>
      <c r="AA118" s="23">
        <f t="shared" si="15"/>
        <v>0</v>
      </c>
      <c r="AB118" s="23">
        <f>IFERROR(AVERAGEIFS('Business - Dump'!$O:$O,'Business - Dump'!$B:$B,'Portfolio Wise '!$B118,'Business - Dump'!$A:$A,'Portfolio Wise '!$A118),0)</f>
        <v>0</v>
      </c>
      <c r="AC118" s="49">
        <f>F118/SUMIFS('Campaign - Dump'!$Q:$Q,'Campaign - Dump'!$A:$A,'Portfolio Wise '!$A118)</f>
        <v>0</v>
      </c>
      <c r="AD118" s="49">
        <f t="shared" si="16"/>
        <v>0</v>
      </c>
    </row>
    <row r="119" ht="15.75" customHeight="1">
      <c r="A119" s="10" t="s">
        <v>48</v>
      </c>
      <c r="B119" s="10" t="s">
        <v>241</v>
      </c>
      <c r="C119" s="13">
        <f>SUMIFS('Campaign - Dump'!$N:$N,'Campaign - Dump'!$J:$J,'Portfolio Wise '!$B119,'Campaign - Dump'!$A:$A,'Portfolio Wise '!$A119)</f>
        <v>0</v>
      </c>
      <c r="D119" s="13">
        <f>SUMIFS('Campaign - Dump'!$O:$O,'Campaign - Dump'!$J:$J,'Portfolio Wise '!$B119,'Campaign - Dump'!$A:$A,'Portfolio Wise '!$A119)</f>
        <v>0</v>
      </c>
      <c r="E119" s="23">
        <f t="shared" si="2"/>
        <v>0</v>
      </c>
      <c r="F119" s="36">
        <f>SUMIFS('Campaign - Dump'!$Q:$Q,'Campaign - Dump'!$J:$J,'Portfolio Wise '!$B119,'Campaign - Dump'!$A:$A,'Portfolio Wise '!$A119)</f>
        <v>0</v>
      </c>
      <c r="G119" s="38">
        <f t="shared" si="3"/>
        <v>0</v>
      </c>
      <c r="H119" s="41">
        <f>SUMIFS('Campaign - Dump'!$T:$T,'Campaign - Dump'!$J:$J,'Portfolio Wise '!$B119,'Campaign - Dump'!$A:$A,'Portfolio Wise '!$A119)</f>
        <v>0</v>
      </c>
      <c r="I119" s="23">
        <f t="shared" si="4"/>
        <v>0</v>
      </c>
      <c r="J119" s="36">
        <f>SUMIFS('Campaign - Dump'!$U:$U,'Campaign - Dump'!$J:$J,'Portfolio Wise '!$B119,'Campaign - Dump'!$A:$A,'Portfolio Wise '!$A119)</f>
        <v>0</v>
      </c>
      <c r="K119" s="23">
        <f t="shared" si="5"/>
        <v>0</v>
      </c>
      <c r="L119" s="38">
        <f t="shared" si="6"/>
        <v>0</v>
      </c>
      <c r="M119" s="41">
        <f t="shared" si="7"/>
        <v>0</v>
      </c>
      <c r="N119" s="13">
        <f t="shared" si="165"/>
        <v>3</v>
      </c>
      <c r="O119" s="36">
        <f t="shared" si="166"/>
        <v>7164.610169</v>
      </c>
      <c r="P119" s="41">
        <f t="shared" si="8"/>
        <v>2388.20339</v>
      </c>
      <c r="Q119" s="13">
        <f>SUMIFS('Business - Dump'!$W:$W,'Business - Dump'!$B:$B,'Portfolio Wise '!$B119,'Business - Dump'!$A:$A,'Portfolio Wise '!$A119)</f>
        <v>3</v>
      </c>
      <c r="R119" s="36">
        <f>SUMIFS('Business - Dump'!$U:$U,'Business - Dump'!$B:$B,'Portfolio Wise '!$B119,'Business - Dump'!$A:$A,'Portfolio Wise '!$A119)/1.18</f>
        <v>7164.610169</v>
      </c>
      <c r="S119" s="41">
        <f t="shared" si="9"/>
        <v>2388.20339</v>
      </c>
      <c r="T119" s="23">
        <f t="shared" si="10"/>
        <v>0</v>
      </c>
      <c r="U119" s="38">
        <f t="shared" si="11"/>
        <v>0</v>
      </c>
      <c r="V119" s="41">
        <f>SUMIFS('Business - Dump'!$G:$G,'Business - Dump'!$B:$B,'Portfolio Wise '!$B119,'Business - Dump'!$A:$A,'Portfolio Wise '!$A119)</f>
        <v>187</v>
      </c>
      <c r="W119" s="48">
        <f t="shared" si="12"/>
        <v>0.01604278075</v>
      </c>
      <c r="X119" s="23">
        <f t="shared" ref="X119:Y119" si="174">IFERROR(N119/Q119,0)</f>
        <v>1</v>
      </c>
      <c r="Y119" s="49">
        <f t="shared" si="174"/>
        <v>1</v>
      </c>
      <c r="Z119" s="49">
        <f t="shared" si="14"/>
        <v>0</v>
      </c>
      <c r="AA119" s="23">
        <f t="shared" si="15"/>
        <v>1</v>
      </c>
      <c r="AB119" s="23">
        <f>IFERROR(AVERAGEIFS('Business - Dump'!$O:$O,'Business - Dump'!$B:$B,'Portfolio Wise '!$B119,'Business - Dump'!$A:$A,'Portfolio Wise '!$A119),0)</f>
        <v>0.8896</v>
      </c>
      <c r="AC119" s="49">
        <f>F119/SUMIFS('Campaign - Dump'!$Q:$Q,'Campaign - Dump'!$A:$A,'Portfolio Wise '!$A119)</f>
        <v>0</v>
      </c>
      <c r="AD119" s="49">
        <f t="shared" si="16"/>
        <v>0</v>
      </c>
    </row>
    <row r="120" ht="15.75" customHeight="1">
      <c r="A120" s="10" t="s">
        <v>48</v>
      </c>
      <c r="B120" s="19" t="s">
        <v>248</v>
      </c>
      <c r="C120" s="13">
        <f>SUMIFS('Campaign - Dump'!$N:$N,'Campaign - Dump'!$J:$J,'Portfolio Wise '!$B120,'Campaign - Dump'!$A:$A,'Portfolio Wise '!$A120)</f>
        <v>0</v>
      </c>
      <c r="D120" s="13">
        <f>SUMIFS('Campaign - Dump'!$O:$O,'Campaign - Dump'!$J:$J,'Portfolio Wise '!$B120,'Campaign - Dump'!$A:$A,'Portfolio Wise '!$A120)</f>
        <v>0</v>
      </c>
      <c r="E120" s="23">
        <f t="shared" si="2"/>
        <v>0</v>
      </c>
      <c r="F120" s="36">
        <f>SUMIFS('Campaign - Dump'!$Q:$Q,'Campaign - Dump'!$J:$J,'Portfolio Wise '!$B120,'Campaign - Dump'!$A:$A,'Portfolio Wise '!$A120)</f>
        <v>0</v>
      </c>
      <c r="G120" s="38">
        <f t="shared" si="3"/>
        <v>0</v>
      </c>
      <c r="H120" s="41">
        <f>SUMIFS('Campaign - Dump'!$T:$T,'Campaign - Dump'!$J:$J,'Portfolio Wise '!$B120,'Campaign - Dump'!$A:$A,'Portfolio Wise '!$A120)</f>
        <v>0</v>
      </c>
      <c r="I120" s="23">
        <f t="shared" si="4"/>
        <v>0</v>
      </c>
      <c r="J120" s="36">
        <f>SUMIFS('Campaign - Dump'!$U:$U,'Campaign - Dump'!$J:$J,'Portfolio Wise '!$B120,'Campaign - Dump'!$A:$A,'Portfolio Wise '!$A120)</f>
        <v>0</v>
      </c>
      <c r="K120" s="23">
        <f t="shared" si="5"/>
        <v>0</v>
      </c>
      <c r="L120" s="38">
        <f t="shared" si="6"/>
        <v>0</v>
      </c>
      <c r="M120" s="41">
        <f t="shared" si="7"/>
        <v>0</v>
      </c>
      <c r="N120" s="13">
        <f t="shared" si="165"/>
        <v>4</v>
      </c>
      <c r="O120" s="36">
        <f t="shared" si="166"/>
        <v>41186.44068</v>
      </c>
      <c r="P120" s="41">
        <f t="shared" si="8"/>
        <v>10296.61017</v>
      </c>
      <c r="Q120" s="13">
        <f>SUMIFS('Business - Dump'!$W:$W,'Business - Dump'!$B:$B,'Portfolio Wise '!$B120,'Business - Dump'!$A:$A,'Portfolio Wise '!$A120)</f>
        <v>4</v>
      </c>
      <c r="R120" s="36">
        <f>SUMIFS('Business - Dump'!$U:$U,'Business - Dump'!$B:$B,'Portfolio Wise '!$B120,'Business - Dump'!$A:$A,'Portfolio Wise '!$A120)/1.18</f>
        <v>41186.44068</v>
      </c>
      <c r="S120" s="41">
        <f t="shared" si="9"/>
        <v>10296.61017</v>
      </c>
      <c r="T120" s="23">
        <f t="shared" si="10"/>
        <v>0</v>
      </c>
      <c r="U120" s="38">
        <f t="shared" si="11"/>
        <v>0</v>
      </c>
      <c r="V120" s="41">
        <f>SUMIFS('Business - Dump'!$G:$G,'Business - Dump'!$B:$B,'Portfolio Wise '!$B120,'Business - Dump'!$A:$A,'Portfolio Wise '!$A120)</f>
        <v>354</v>
      </c>
      <c r="W120" s="48">
        <f t="shared" si="12"/>
        <v>0.01129943503</v>
      </c>
      <c r="X120" s="23">
        <f t="shared" ref="X120:Y120" si="175">IFERROR(N120/Q120,0)</f>
        <v>1</v>
      </c>
      <c r="Y120" s="49">
        <f t="shared" si="175"/>
        <v>1</v>
      </c>
      <c r="Z120" s="49">
        <f t="shared" si="14"/>
        <v>0</v>
      </c>
      <c r="AA120" s="23">
        <f t="shared" si="15"/>
        <v>1</v>
      </c>
      <c r="AB120" s="23">
        <f>IFERROR(AVERAGEIFS('Business - Dump'!$O:$O,'Business - Dump'!$B:$B,'Portfolio Wise '!$B120,'Business - Dump'!$A:$A,'Portfolio Wise '!$A120),0)</f>
        <v>0.8858333333</v>
      </c>
      <c r="AC120" s="49">
        <f>F120/SUMIFS('Campaign - Dump'!$Q:$Q,'Campaign - Dump'!$A:$A,'Portfolio Wise '!$A120)</f>
        <v>0</v>
      </c>
      <c r="AD120" s="49">
        <f t="shared" si="16"/>
        <v>0</v>
      </c>
    </row>
    <row r="121" ht="15.75" customHeight="1">
      <c r="A121" s="126" t="s">
        <v>48</v>
      </c>
      <c r="B121" s="126" t="s">
        <v>419</v>
      </c>
      <c r="C121" s="127">
        <f t="shared" ref="C121:D121" si="176">SUM(C98:C120)</f>
        <v>5215208</v>
      </c>
      <c r="D121" s="127">
        <f t="shared" si="176"/>
        <v>24578</v>
      </c>
      <c r="E121" s="62">
        <f t="shared" si="2"/>
        <v>0.004712755464</v>
      </c>
      <c r="F121" s="128">
        <f>SUM(F98:F120)</f>
        <v>557507.48</v>
      </c>
      <c r="G121" s="129">
        <f t="shared" si="3"/>
        <v>22.68319147</v>
      </c>
      <c r="H121" s="130">
        <f>SUM(H98:H120)</f>
        <v>196</v>
      </c>
      <c r="I121" s="62">
        <f t="shared" si="4"/>
        <v>0.007974611441</v>
      </c>
      <c r="J121" s="128">
        <f>SUM(J98:J120)</f>
        <v>3582316.38</v>
      </c>
      <c r="K121" s="62">
        <f t="shared" si="5"/>
        <v>0.1556276501</v>
      </c>
      <c r="L121" s="129">
        <f t="shared" si="6"/>
        <v>6.425593393</v>
      </c>
      <c r="M121" s="130">
        <f t="shared" si="7"/>
        <v>18277.12439</v>
      </c>
      <c r="N121" s="127">
        <f t="shared" ref="N121:O121" si="177">SUM(N98:N120)</f>
        <v>217</v>
      </c>
      <c r="O121" s="128">
        <f t="shared" si="177"/>
        <v>3880045.947</v>
      </c>
      <c r="P121" s="130">
        <f t="shared" si="8"/>
        <v>17880.39607</v>
      </c>
      <c r="Q121" s="127">
        <f t="shared" ref="Q121:R121" si="178">SUM(Q98:Q120)</f>
        <v>326</v>
      </c>
      <c r="R121" s="128">
        <f t="shared" si="178"/>
        <v>5593126.797</v>
      </c>
      <c r="S121" s="130">
        <f t="shared" si="9"/>
        <v>17156.83066</v>
      </c>
      <c r="T121" s="62">
        <f t="shared" si="10"/>
        <v>0.09967724678</v>
      </c>
      <c r="U121" s="129">
        <f t="shared" si="11"/>
        <v>10.03237983</v>
      </c>
      <c r="V121" s="130">
        <f>SUM(V98:V120)</f>
        <v>46130</v>
      </c>
      <c r="W121" s="131">
        <f t="shared" si="12"/>
        <v>0.007066984609</v>
      </c>
      <c r="X121" s="62">
        <f t="shared" ref="X121:Y121" si="179">IFERROR(N121/Q121,0)</f>
        <v>0.6656441718</v>
      </c>
      <c r="Y121" s="132">
        <f t="shared" si="179"/>
        <v>0.6937167863</v>
      </c>
      <c r="Z121" s="132">
        <f t="shared" si="14"/>
        <v>0.6012269939</v>
      </c>
      <c r="AA121" s="62">
        <f t="shared" si="15"/>
        <v>0.6937167863</v>
      </c>
      <c r="AB121" s="62">
        <f>IFERROR(AVERAGEIFS('Business - Dump'!$O:$O,'Business - Dump'!$B:$B,'Portfolio Wise '!$B121,'Business - Dump'!$A:$A,'Portfolio Wise '!$A121),0)</f>
        <v>0</v>
      </c>
      <c r="AC121" s="132">
        <f>F121/SUMIFS('Campaign - Dump'!$Q:$Q,'Campaign - Dump'!$A:$A,'Portfolio Wise '!$A121)</f>
        <v>1.005257036</v>
      </c>
      <c r="AD121" s="132">
        <f t="shared" si="16"/>
        <v>1.107142857</v>
      </c>
    </row>
    <row r="122" ht="15.75" customHeight="1">
      <c r="A122" s="10" t="s">
        <v>50</v>
      </c>
      <c r="B122" s="33" t="s">
        <v>90</v>
      </c>
      <c r="C122" s="13">
        <f>SUMIFS('Campaign - Dump'!$N:$N,'Campaign - Dump'!$J:$J,'Portfolio Wise '!$B122,'Campaign - Dump'!$A:$A,'Portfolio Wise '!$A122)</f>
        <v>518372</v>
      </c>
      <c r="D122" s="13">
        <f>SUMIFS('Campaign - Dump'!$O:$O,'Campaign - Dump'!$J:$J,'Portfolio Wise '!$B122,'Campaign - Dump'!$A:$A,'Portfolio Wise '!$A122)</f>
        <v>1390</v>
      </c>
      <c r="E122" s="23">
        <f t="shared" si="2"/>
        <v>0.002681471993</v>
      </c>
      <c r="F122" s="36">
        <f>SUMIFS('Campaign - Dump'!$Q:$Q,'Campaign - Dump'!$J:$J,'Portfolio Wise '!$B122,'Campaign - Dump'!$A:$A,'Portfolio Wise '!$A122)</f>
        <v>37846.28</v>
      </c>
      <c r="G122" s="38">
        <f t="shared" si="3"/>
        <v>27.22753957</v>
      </c>
      <c r="H122" s="41">
        <f>SUMIFS('Campaign - Dump'!$T:$T,'Campaign - Dump'!$J:$J,'Portfolio Wise '!$B122,'Campaign - Dump'!$A:$A,'Portfolio Wise '!$A122)</f>
        <v>12</v>
      </c>
      <c r="I122" s="23">
        <f t="shared" si="4"/>
        <v>0.008633093525</v>
      </c>
      <c r="J122" s="36">
        <f>SUMIFS('Campaign - Dump'!$U:$U,'Campaign - Dump'!$J:$J,'Portfolio Wise '!$B122,'Campaign - Dump'!$A:$A,'Portfolio Wise '!$A122)</f>
        <v>222116.1</v>
      </c>
      <c r="K122" s="23">
        <f t="shared" si="5"/>
        <v>0.1703896296</v>
      </c>
      <c r="L122" s="38">
        <f t="shared" si="6"/>
        <v>5.868901778</v>
      </c>
      <c r="M122" s="41">
        <f t="shared" si="7"/>
        <v>18509.675</v>
      </c>
      <c r="N122" s="13">
        <v>0.0</v>
      </c>
      <c r="O122" s="36">
        <v>0.0</v>
      </c>
      <c r="P122" s="41">
        <f t="shared" si="8"/>
        <v>0</v>
      </c>
      <c r="Q122" s="13">
        <f>SUMIFS('Business - Dump'!$W:$W,'Business - Dump'!$B:$B,'Portfolio Wise '!$B122,'Business - Dump'!$A:$A,'Portfolio Wise '!$A122)</f>
        <v>0</v>
      </c>
      <c r="R122" s="36">
        <f>SUMIFS('Business - Dump'!$U:$U,'Business - Dump'!$B:$B,'Portfolio Wise '!$B122,'Business - Dump'!$A:$A,'Portfolio Wise '!$A122)/1.18</f>
        <v>0</v>
      </c>
      <c r="S122" s="41">
        <f t="shared" si="9"/>
        <v>0</v>
      </c>
      <c r="T122" s="23">
        <f t="shared" si="10"/>
        <v>0</v>
      </c>
      <c r="U122" s="38">
        <f t="shared" si="11"/>
        <v>0</v>
      </c>
      <c r="V122" s="41">
        <f>SUMIFS('Business - Dump'!$G:$G,'Business - Dump'!$B:$B,'Portfolio Wise '!$B122,'Business - Dump'!$A:$A,'Portfolio Wise '!$A122)</f>
        <v>0</v>
      </c>
      <c r="W122" s="48">
        <f t="shared" si="12"/>
        <v>0</v>
      </c>
      <c r="X122" s="23">
        <f t="shared" ref="X122:Y122" si="180">IFERROR(N122/Q122,0)</f>
        <v>0</v>
      </c>
      <c r="Y122" s="49">
        <f t="shared" si="180"/>
        <v>0</v>
      </c>
      <c r="Z122" s="49">
        <f t="shared" si="14"/>
        <v>0</v>
      </c>
      <c r="AA122" s="23">
        <f t="shared" si="15"/>
        <v>0</v>
      </c>
      <c r="AB122" s="23">
        <f>IFERROR(AVERAGEIFS('Business - Dump'!$O:$O,'Business - Dump'!$B:$B,'Portfolio Wise '!$B122,'Business - Dump'!$A:$A,'Portfolio Wise '!$A122),0)</f>
        <v>0</v>
      </c>
      <c r="AC122" s="49">
        <f>F122/SUMIFS('Campaign - Dump'!$Q:$Q,'Campaign - Dump'!$A:$A,'Portfolio Wise '!$A122)</f>
        <v>0.05945625064</v>
      </c>
      <c r="AD122" s="49">
        <f t="shared" si="16"/>
        <v>0</v>
      </c>
    </row>
    <row r="123" ht="15.75" customHeight="1">
      <c r="A123" s="10" t="s">
        <v>50</v>
      </c>
      <c r="B123" s="51" t="s">
        <v>110</v>
      </c>
      <c r="C123" s="13">
        <f>SUMIFS('Campaign - Dump'!$N:$N,'Campaign - Dump'!$J:$J,'Portfolio Wise '!$B123,'Campaign - Dump'!$A:$A,'Portfolio Wise '!$A123)</f>
        <v>0</v>
      </c>
      <c r="D123" s="13">
        <f>SUMIFS('Campaign - Dump'!$O:$O,'Campaign - Dump'!$J:$J,'Portfolio Wise '!$B123,'Campaign - Dump'!$A:$A,'Portfolio Wise '!$A123)</f>
        <v>0</v>
      </c>
      <c r="E123" s="23">
        <f t="shared" si="2"/>
        <v>0</v>
      </c>
      <c r="F123" s="36">
        <f>SUMIFS('Campaign - Dump'!$Q:$Q,'Campaign - Dump'!$J:$J,'Portfolio Wise '!$B123,'Campaign - Dump'!$A:$A,'Portfolio Wise '!$A123)</f>
        <v>0</v>
      </c>
      <c r="G123" s="38">
        <f t="shared" si="3"/>
        <v>0</v>
      </c>
      <c r="H123" s="41">
        <f>SUMIFS('Campaign - Dump'!$T:$T,'Campaign - Dump'!$J:$J,'Portfolio Wise '!$B123,'Campaign - Dump'!$A:$A,'Portfolio Wise '!$A123)</f>
        <v>0</v>
      </c>
      <c r="I123" s="23">
        <f t="shared" si="4"/>
        <v>0</v>
      </c>
      <c r="J123" s="36">
        <f>SUMIFS('Campaign - Dump'!$U:$U,'Campaign - Dump'!$J:$J,'Portfolio Wise '!$B123,'Campaign - Dump'!$A:$A,'Portfolio Wise '!$A123)</f>
        <v>0</v>
      </c>
      <c r="K123" s="23">
        <f t="shared" si="5"/>
        <v>0</v>
      </c>
      <c r="L123" s="38">
        <f t="shared" si="6"/>
        <v>0</v>
      </c>
      <c r="M123" s="41">
        <f t="shared" si="7"/>
        <v>0</v>
      </c>
      <c r="N123" s="13">
        <f t="shared" ref="N123:N124" si="182">IFERROR(Q123-H123,0)</f>
        <v>0</v>
      </c>
      <c r="O123" s="36">
        <f t="shared" ref="O123:O124" si="183">IFERROR(R123-J123,0)</f>
        <v>0</v>
      </c>
      <c r="P123" s="41">
        <f t="shared" si="8"/>
        <v>0</v>
      </c>
      <c r="Q123" s="13">
        <f>SUMIFS('Business - Dump'!$W:$W,'Business - Dump'!$B:$B,'Portfolio Wise '!$B123,'Business - Dump'!$A:$A,'Portfolio Wise '!$A123)</f>
        <v>0</v>
      </c>
      <c r="R123" s="36">
        <f>SUMIFS('Business - Dump'!$U:$U,'Business - Dump'!$B:$B,'Portfolio Wise '!$B123,'Business - Dump'!$A:$A,'Portfolio Wise '!$A123)/1.18</f>
        <v>0</v>
      </c>
      <c r="S123" s="41">
        <f t="shared" si="9"/>
        <v>0</v>
      </c>
      <c r="T123" s="23">
        <f t="shared" si="10"/>
        <v>0</v>
      </c>
      <c r="U123" s="38">
        <f t="shared" si="11"/>
        <v>0</v>
      </c>
      <c r="V123" s="41">
        <f>SUMIFS('Business - Dump'!$G:$G,'Business - Dump'!$B:$B,'Portfolio Wise '!$B123,'Business - Dump'!$A:$A,'Portfolio Wise '!$A123)</f>
        <v>0</v>
      </c>
      <c r="W123" s="48">
        <f t="shared" si="12"/>
        <v>0</v>
      </c>
      <c r="X123" s="23">
        <f t="shared" ref="X123:Y123" si="181">IFERROR(N123/Q123,0)</f>
        <v>0</v>
      </c>
      <c r="Y123" s="49">
        <f t="shared" si="181"/>
        <v>0</v>
      </c>
      <c r="Z123" s="49">
        <f t="shared" si="14"/>
        <v>0</v>
      </c>
      <c r="AA123" s="23">
        <f t="shared" si="15"/>
        <v>0</v>
      </c>
      <c r="AB123" s="23">
        <f>IFERROR(AVERAGEIFS('Business - Dump'!$O:$O,'Business - Dump'!$B:$B,'Portfolio Wise '!$B123,'Business - Dump'!$A:$A,'Portfolio Wise '!$A123),0)</f>
        <v>0</v>
      </c>
      <c r="AC123" s="49">
        <f>F123/SUMIFS('Campaign - Dump'!$Q:$Q,'Campaign - Dump'!$A:$A,'Portfolio Wise '!$A123)</f>
        <v>0</v>
      </c>
      <c r="AD123" s="49">
        <f t="shared" si="16"/>
        <v>0</v>
      </c>
    </row>
    <row r="124" ht="15.75" customHeight="1">
      <c r="A124" s="10" t="s">
        <v>50</v>
      </c>
      <c r="B124" s="51" t="s">
        <v>119</v>
      </c>
      <c r="C124" s="13">
        <f>SUMIFS('Campaign - Dump'!$N:$N,'Campaign - Dump'!$J:$J,'Portfolio Wise '!$B124,'Campaign - Dump'!$A:$A,'Portfolio Wise '!$A124)</f>
        <v>0</v>
      </c>
      <c r="D124" s="13">
        <f>SUMIFS('Campaign - Dump'!$O:$O,'Campaign - Dump'!$J:$J,'Portfolio Wise '!$B124,'Campaign - Dump'!$A:$A,'Portfolio Wise '!$A124)</f>
        <v>0</v>
      </c>
      <c r="E124" s="23">
        <f t="shared" si="2"/>
        <v>0</v>
      </c>
      <c r="F124" s="36">
        <f>SUMIFS('Campaign - Dump'!$Q:$Q,'Campaign - Dump'!$J:$J,'Portfolio Wise '!$B124,'Campaign - Dump'!$A:$A,'Portfolio Wise '!$A124)</f>
        <v>0</v>
      </c>
      <c r="G124" s="38">
        <f t="shared" si="3"/>
        <v>0</v>
      </c>
      <c r="H124" s="41">
        <f>SUMIFS('Campaign - Dump'!$T:$T,'Campaign - Dump'!$J:$J,'Portfolio Wise '!$B124,'Campaign - Dump'!$A:$A,'Portfolio Wise '!$A124)</f>
        <v>0</v>
      </c>
      <c r="I124" s="23">
        <f t="shared" si="4"/>
        <v>0</v>
      </c>
      <c r="J124" s="36">
        <f>SUMIFS('Campaign - Dump'!$U:$U,'Campaign - Dump'!$J:$J,'Portfolio Wise '!$B124,'Campaign - Dump'!$A:$A,'Portfolio Wise '!$A124)</f>
        <v>0</v>
      </c>
      <c r="K124" s="23">
        <f t="shared" si="5"/>
        <v>0</v>
      </c>
      <c r="L124" s="38">
        <f t="shared" si="6"/>
        <v>0</v>
      </c>
      <c r="M124" s="41">
        <f t="shared" si="7"/>
        <v>0</v>
      </c>
      <c r="N124" s="13">
        <f t="shared" si="182"/>
        <v>2</v>
      </c>
      <c r="O124" s="36">
        <f t="shared" si="183"/>
        <v>7542.372881</v>
      </c>
      <c r="P124" s="41">
        <f t="shared" si="8"/>
        <v>3771.186441</v>
      </c>
      <c r="Q124" s="13">
        <f>SUMIFS('Business - Dump'!$W:$W,'Business - Dump'!$B:$B,'Portfolio Wise '!$B124,'Business - Dump'!$A:$A,'Portfolio Wise '!$A124)</f>
        <v>2</v>
      </c>
      <c r="R124" s="36">
        <f>SUMIFS('Business - Dump'!$U:$U,'Business - Dump'!$B:$B,'Portfolio Wise '!$B124,'Business - Dump'!$A:$A,'Portfolio Wise '!$A124)/1.18</f>
        <v>7542.372881</v>
      </c>
      <c r="S124" s="41">
        <f t="shared" si="9"/>
        <v>3771.186441</v>
      </c>
      <c r="T124" s="23">
        <f t="shared" si="10"/>
        <v>0</v>
      </c>
      <c r="U124" s="38">
        <f t="shared" si="11"/>
        <v>0</v>
      </c>
      <c r="V124" s="41">
        <f>SUMIFS('Business - Dump'!$G:$G,'Business - Dump'!$B:$B,'Portfolio Wise '!$B124,'Business - Dump'!$A:$A,'Portfolio Wise '!$A124)</f>
        <v>379</v>
      </c>
      <c r="W124" s="48">
        <f t="shared" si="12"/>
        <v>0.005277044855</v>
      </c>
      <c r="X124" s="23">
        <f t="shared" ref="X124:Y124" si="184">IFERROR(N124/Q124,0)</f>
        <v>1</v>
      </c>
      <c r="Y124" s="49">
        <f t="shared" si="184"/>
        <v>1</v>
      </c>
      <c r="Z124" s="49">
        <f t="shared" si="14"/>
        <v>0</v>
      </c>
      <c r="AA124" s="23">
        <f t="shared" si="15"/>
        <v>1</v>
      </c>
      <c r="AB124" s="23">
        <f>IFERROR(AVERAGEIFS('Business - Dump'!$O:$O,'Business - Dump'!$B:$B,'Portfolio Wise '!$B124,'Business - Dump'!$A:$A,'Portfolio Wise '!$A124),0)</f>
        <v>0.755</v>
      </c>
      <c r="AC124" s="49">
        <f>F124/SUMIFS('Campaign - Dump'!$Q:$Q,'Campaign - Dump'!$A:$A,'Portfolio Wise '!$A124)</f>
        <v>0</v>
      </c>
      <c r="AD124" s="49">
        <f t="shared" si="16"/>
        <v>0</v>
      </c>
    </row>
    <row r="125" ht="15.75" customHeight="1">
      <c r="A125" s="10" t="s">
        <v>50</v>
      </c>
      <c r="B125" s="19" t="s">
        <v>128</v>
      </c>
      <c r="C125" s="13">
        <f>SUMIFS('Campaign - Dump'!$N:$N,'Campaign - Dump'!$J:$J,'Portfolio Wise '!$B125,'Campaign - Dump'!$A:$A,'Portfolio Wise '!$A125)</f>
        <v>850645</v>
      </c>
      <c r="D125" s="13">
        <f>SUMIFS('Campaign - Dump'!$O:$O,'Campaign - Dump'!$J:$J,'Portfolio Wise '!$B125,'Campaign - Dump'!$A:$A,'Portfolio Wise '!$A125)</f>
        <v>3362</v>
      </c>
      <c r="E125" s="23">
        <f t="shared" si="2"/>
        <v>0.003952295023</v>
      </c>
      <c r="F125" s="36">
        <f>SUMIFS('Campaign - Dump'!$Q:$Q,'Campaign - Dump'!$J:$J,'Portfolio Wise '!$B125,'Campaign - Dump'!$A:$A,'Portfolio Wise '!$A125)</f>
        <v>128783.83</v>
      </c>
      <c r="G125" s="38">
        <f t="shared" si="3"/>
        <v>38.30571981</v>
      </c>
      <c r="H125" s="41">
        <f>SUMIFS('Campaign - Dump'!$T:$T,'Campaign - Dump'!$J:$J,'Portfolio Wise '!$B125,'Campaign - Dump'!$A:$A,'Portfolio Wise '!$A125)</f>
        <v>64</v>
      </c>
      <c r="I125" s="23">
        <f t="shared" si="4"/>
        <v>0.01903628792</v>
      </c>
      <c r="J125" s="36">
        <f>SUMIFS('Campaign - Dump'!$U:$U,'Campaign - Dump'!$J:$J,'Portfolio Wise '!$B125,'Campaign - Dump'!$A:$A,'Portfolio Wise '!$A125)</f>
        <v>1385462.65</v>
      </c>
      <c r="K125" s="23">
        <f t="shared" si="5"/>
        <v>0.09295366425</v>
      </c>
      <c r="L125" s="38">
        <f t="shared" si="6"/>
        <v>10.7580482</v>
      </c>
      <c r="M125" s="41">
        <f t="shared" si="7"/>
        <v>21647.85391</v>
      </c>
      <c r="N125" s="13">
        <v>0.0</v>
      </c>
      <c r="O125" s="36">
        <v>0.0</v>
      </c>
      <c r="P125" s="41">
        <f t="shared" si="8"/>
        <v>0</v>
      </c>
      <c r="Q125" s="13">
        <f>SUMIFS('Business - Dump'!$W:$W,'Business - Dump'!$B:$B,'Portfolio Wise '!$B125,'Business - Dump'!$A:$A,'Portfolio Wise '!$A125)</f>
        <v>0</v>
      </c>
      <c r="R125" s="36">
        <f>SUMIFS('Business - Dump'!$U:$U,'Business - Dump'!$B:$B,'Portfolio Wise '!$B125,'Business - Dump'!$A:$A,'Portfolio Wise '!$A125)/1.18</f>
        <v>0</v>
      </c>
      <c r="S125" s="41">
        <f t="shared" si="9"/>
        <v>0</v>
      </c>
      <c r="T125" s="23">
        <f t="shared" si="10"/>
        <v>0</v>
      </c>
      <c r="U125" s="38">
        <f t="shared" si="11"/>
        <v>0</v>
      </c>
      <c r="V125" s="41">
        <f>SUMIFS('Business - Dump'!$G:$G,'Business - Dump'!$B:$B,'Portfolio Wise '!$B125,'Business - Dump'!$A:$A,'Portfolio Wise '!$A125)</f>
        <v>0</v>
      </c>
      <c r="W125" s="48">
        <f t="shared" si="12"/>
        <v>0</v>
      </c>
      <c r="X125" s="23">
        <f t="shared" ref="X125:Y125" si="185">IFERROR(N125/Q125,0)</f>
        <v>0</v>
      </c>
      <c r="Y125" s="49">
        <f t="shared" si="185"/>
        <v>0</v>
      </c>
      <c r="Z125" s="49">
        <f t="shared" si="14"/>
        <v>0</v>
      </c>
      <c r="AA125" s="23">
        <f t="shared" si="15"/>
        <v>0</v>
      </c>
      <c r="AB125" s="23">
        <f>IFERROR(AVERAGEIFS('Business - Dump'!$O:$O,'Business - Dump'!$B:$B,'Portfolio Wise '!$B125,'Business - Dump'!$A:$A,'Portfolio Wise '!$A125),0)</f>
        <v>0</v>
      </c>
      <c r="AC125" s="49">
        <f>F125/SUMIFS('Campaign - Dump'!$Q:$Q,'Campaign - Dump'!$A:$A,'Portfolio Wise '!$A125)</f>
        <v>0.2023185284</v>
      </c>
      <c r="AD125" s="49">
        <f t="shared" si="16"/>
        <v>0</v>
      </c>
    </row>
    <row r="126" ht="15.75" customHeight="1">
      <c r="A126" s="10" t="s">
        <v>50</v>
      </c>
      <c r="B126" s="19" t="s">
        <v>134</v>
      </c>
      <c r="C126" s="13">
        <f>SUMIFS('Campaign - Dump'!$N:$N,'Campaign - Dump'!$J:$J,'Portfolio Wise '!$B126,'Campaign - Dump'!$A:$A,'Portfolio Wise '!$A126)</f>
        <v>1281569</v>
      </c>
      <c r="D126" s="13">
        <f>SUMIFS('Campaign - Dump'!$O:$O,'Campaign - Dump'!$J:$J,'Portfolio Wise '!$B126,'Campaign - Dump'!$A:$A,'Portfolio Wise '!$A126)</f>
        <v>9294</v>
      </c>
      <c r="E126" s="23">
        <f t="shared" si="2"/>
        <v>0.007252048075</v>
      </c>
      <c r="F126" s="36">
        <f>SUMIFS('Campaign - Dump'!$Q:$Q,'Campaign - Dump'!$J:$J,'Portfolio Wise '!$B126,'Campaign - Dump'!$A:$A,'Portfolio Wise '!$A126)</f>
        <v>237140.74</v>
      </c>
      <c r="G126" s="38">
        <f t="shared" si="3"/>
        <v>25.51546589</v>
      </c>
      <c r="H126" s="41">
        <f>SUMIFS('Campaign - Dump'!$T:$T,'Campaign - Dump'!$J:$J,'Portfolio Wise '!$B126,'Campaign - Dump'!$A:$A,'Portfolio Wise '!$A126)</f>
        <v>48</v>
      </c>
      <c r="I126" s="23">
        <f t="shared" si="4"/>
        <v>0.005164622337</v>
      </c>
      <c r="J126" s="36">
        <f>SUMIFS('Campaign - Dump'!$U:$U,'Campaign - Dump'!$J:$J,'Portfolio Wise '!$B126,'Campaign - Dump'!$A:$A,'Portfolio Wise '!$A126)</f>
        <v>1237327.92</v>
      </c>
      <c r="K126" s="23">
        <f t="shared" si="5"/>
        <v>0.1916555314</v>
      </c>
      <c r="L126" s="38">
        <f t="shared" si="6"/>
        <v>5.217694437</v>
      </c>
      <c r="M126" s="41">
        <f t="shared" si="7"/>
        <v>25777.665</v>
      </c>
      <c r="N126" s="13">
        <f t="shared" ref="N126:N133" si="187">IFERROR(Q126-H126,0)</f>
        <v>37</v>
      </c>
      <c r="O126" s="36">
        <f t="shared" ref="O126:O133" si="188">IFERROR(R126-J126,0)</f>
        <v>680451.4698</v>
      </c>
      <c r="P126" s="41">
        <f t="shared" si="8"/>
        <v>18390.58027</v>
      </c>
      <c r="Q126" s="13">
        <f>SUMIFS('Business - Dump'!$W:$W,'Business - Dump'!$B:$B,'Portfolio Wise '!$B126,'Business - Dump'!$A:$A,'Portfolio Wise '!$A126)</f>
        <v>85</v>
      </c>
      <c r="R126" s="36">
        <f>SUMIFS('Business - Dump'!$U:$U,'Business - Dump'!$B:$B,'Portfolio Wise '!$B126,'Business - Dump'!$A:$A,'Portfolio Wise '!$A126)/1.18</f>
        <v>1917779.39</v>
      </c>
      <c r="S126" s="41">
        <f t="shared" si="9"/>
        <v>22562.11047</v>
      </c>
      <c r="T126" s="23">
        <f t="shared" si="10"/>
        <v>0.1236538161</v>
      </c>
      <c r="U126" s="38">
        <f t="shared" si="11"/>
        <v>8.087093723</v>
      </c>
      <c r="V126" s="41">
        <f>SUMIFS('Business - Dump'!$G:$G,'Business - Dump'!$B:$B,'Portfolio Wise '!$B126,'Business - Dump'!$A:$A,'Portfolio Wise '!$A126)</f>
        <v>19524</v>
      </c>
      <c r="W126" s="23">
        <f t="shared" si="12"/>
        <v>0.004353616062</v>
      </c>
      <c r="X126" s="23">
        <f t="shared" ref="X126:Y126" si="186">IFERROR(N126/Q126,0)</f>
        <v>0.4352941176</v>
      </c>
      <c r="Y126" s="49">
        <f t="shared" si="186"/>
        <v>0.3548121715</v>
      </c>
      <c r="Z126" s="49">
        <f t="shared" si="14"/>
        <v>0.5647058824</v>
      </c>
      <c r="AA126" s="23">
        <f t="shared" si="15"/>
        <v>0.3548121715</v>
      </c>
      <c r="AB126" s="23">
        <f>IFERROR(AVERAGEIFS('Business - Dump'!$O:$O,'Business - Dump'!$B:$B,'Portfolio Wise '!$B126,'Business - Dump'!$A:$A,'Portfolio Wise '!$A126),0)</f>
        <v>0.8599</v>
      </c>
      <c r="AC126" s="49">
        <f>F126/SUMIFS('Campaign - Dump'!$Q:$Q,'Campaign - Dump'!$A:$A,'Portfolio Wise '!$A126)</f>
        <v>0.3725465032</v>
      </c>
      <c r="AD126" s="49">
        <f t="shared" si="16"/>
        <v>0.7708333333</v>
      </c>
    </row>
    <row r="127" ht="15.75" customHeight="1">
      <c r="A127" s="10" t="s">
        <v>50</v>
      </c>
      <c r="B127" s="19" t="s">
        <v>140</v>
      </c>
      <c r="C127" s="13">
        <f>SUMIFS('Campaign - Dump'!$N:$N,'Campaign - Dump'!$J:$J,'Portfolio Wise '!$B127,'Campaign - Dump'!$A:$A,'Portfolio Wise '!$A127)</f>
        <v>382460</v>
      </c>
      <c r="D127" s="13">
        <f>SUMIFS('Campaign - Dump'!$O:$O,'Campaign - Dump'!$J:$J,'Portfolio Wise '!$B127,'Campaign - Dump'!$A:$A,'Portfolio Wise '!$A127)</f>
        <v>1519</v>
      </c>
      <c r="E127" s="23">
        <f t="shared" si="2"/>
        <v>0.003971657167</v>
      </c>
      <c r="F127" s="36">
        <f>SUMIFS('Campaign - Dump'!$Q:$Q,'Campaign - Dump'!$J:$J,'Portfolio Wise '!$B127,'Campaign - Dump'!$A:$A,'Portfolio Wise '!$A127)</f>
        <v>57719.5</v>
      </c>
      <c r="G127" s="38">
        <f t="shared" si="3"/>
        <v>37.99835418</v>
      </c>
      <c r="H127" s="41">
        <f>SUMIFS('Campaign - Dump'!$T:$T,'Campaign - Dump'!$J:$J,'Portfolio Wise '!$B127,'Campaign - Dump'!$A:$A,'Portfolio Wise '!$A127)</f>
        <v>13</v>
      </c>
      <c r="I127" s="23">
        <f t="shared" si="4"/>
        <v>0.008558262014</v>
      </c>
      <c r="J127" s="36">
        <f>SUMIFS('Campaign - Dump'!$U:$U,'Campaign - Dump'!$J:$J,'Portfolio Wise '!$B127,'Campaign - Dump'!$A:$A,'Portfolio Wise '!$A127)</f>
        <v>344237.28</v>
      </c>
      <c r="K127" s="23">
        <f t="shared" si="5"/>
        <v>0.1676735884</v>
      </c>
      <c r="L127" s="38">
        <f t="shared" si="6"/>
        <v>5.963968503</v>
      </c>
      <c r="M127" s="41">
        <f t="shared" si="7"/>
        <v>26479.79077</v>
      </c>
      <c r="N127" s="13">
        <f t="shared" si="187"/>
        <v>7</v>
      </c>
      <c r="O127" s="36">
        <f t="shared" si="188"/>
        <v>210000.0081</v>
      </c>
      <c r="P127" s="41">
        <f t="shared" si="8"/>
        <v>30000.00116</v>
      </c>
      <c r="Q127" s="13">
        <f>SUMIFS('Business - Dump'!$W:$W,'Business - Dump'!$B:$B,'Portfolio Wise '!$B127,'Business - Dump'!$A:$A,'Portfolio Wise '!$A127)</f>
        <v>20</v>
      </c>
      <c r="R127" s="36">
        <f>SUMIFS('Business - Dump'!$U:$U,'Business - Dump'!$B:$B,'Portfolio Wise '!$B127,'Business - Dump'!$A:$A,'Portfolio Wise '!$A127)/1.18</f>
        <v>554237.2881</v>
      </c>
      <c r="S127" s="41">
        <f t="shared" si="9"/>
        <v>27711.86441</v>
      </c>
      <c r="T127" s="23">
        <f t="shared" si="10"/>
        <v>0.1041422171</v>
      </c>
      <c r="U127" s="38">
        <f t="shared" si="11"/>
        <v>9.602253799</v>
      </c>
      <c r="V127" s="41">
        <f>SUMIFS('Business - Dump'!$G:$G,'Business - Dump'!$B:$B,'Portfolio Wise '!$B127,'Business - Dump'!$A:$A,'Portfolio Wise '!$A127)</f>
        <v>4661</v>
      </c>
      <c r="W127" s="23">
        <f t="shared" si="12"/>
        <v>0.004290924694</v>
      </c>
      <c r="X127" s="23">
        <f t="shared" ref="X127:Y127" si="189">IFERROR(N127/Q127,0)</f>
        <v>0.35</v>
      </c>
      <c r="Y127" s="49">
        <f t="shared" si="189"/>
        <v>0.3788990972</v>
      </c>
      <c r="Z127" s="49">
        <f t="shared" si="14"/>
        <v>0.65</v>
      </c>
      <c r="AA127" s="23">
        <f t="shared" si="15"/>
        <v>0.3788990972</v>
      </c>
      <c r="AB127" s="23">
        <f>IFERROR(AVERAGEIFS('Business - Dump'!$O:$O,'Business - Dump'!$B:$B,'Portfolio Wise '!$B127,'Business - Dump'!$A:$A,'Portfolio Wise '!$A127),0)</f>
        <v>0.869875</v>
      </c>
      <c r="AC127" s="49">
        <f>F127/SUMIFS('Campaign - Dump'!$Q:$Q,'Campaign - Dump'!$A:$A,'Portfolio Wise '!$A127)</f>
        <v>0.09067694524</v>
      </c>
      <c r="AD127" s="49">
        <f t="shared" si="16"/>
        <v>0.5384615385</v>
      </c>
    </row>
    <row r="128" ht="15.75" customHeight="1">
      <c r="A128" s="10" t="s">
        <v>50</v>
      </c>
      <c r="B128" s="10" t="s">
        <v>152</v>
      </c>
      <c r="C128" s="13">
        <f>SUMIFS('Campaign - Dump'!$N:$N,'Campaign - Dump'!$J:$J,'Portfolio Wise '!$B128,'Campaign - Dump'!$A:$A,'Portfolio Wise '!$A128)</f>
        <v>373723</v>
      </c>
      <c r="D128" s="13">
        <f>SUMIFS('Campaign - Dump'!$O:$O,'Campaign - Dump'!$J:$J,'Portfolio Wise '!$B128,'Campaign - Dump'!$A:$A,'Portfolio Wise '!$A128)</f>
        <v>2140</v>
      </c>
      <c r="E128" s="23">
        <f t="shared" si="2"/>
        <v>0.005726166171</v>
      </c>
      <c r="F128" s="36">
        <f>SUMIFS('Campaign - Dump'!$Q:$Q,'Campaign - Dump'!$J:$J,'Portfolio Wise '!$B128,'Campaign - Dump'!$A:$A,'Portfolio Wise '!$A128)</f>
        <v>64392.23</v>
      </c>
      <c r="G128" s="38">
        <f t="shared" si="3"/>
        <v>30.0898271</v>
      </c>
      <c r="H128" s="41">
        <f>SUMIFS('Campaign - Dump'!$T:$T,'Campaign - Dump'!$J:$J,'Portfolio Wise '!$B128,'Campaign - Dump'!$A:$A,'Portfolio Wise '!$A128)</f>
        <v>13</v>
      </c>
      <c r="I128" s="23">
        <f t="shared" si="4"/>
        <v>0.006074766355</v>
      </c>
      <c r="J128" s="36">
        <f>SUMIFS('Campaign - Dump'!$U:$U,'Campaign - Dump'!$J:$J,'Portfolio Wise '!$B128,'Campaign - Dump'!$A:$A,'Portfolio Wise '!$A128)</f>
        <v>178719.52</v>
      </c>
      <c r="K128" s="23">
        <f t="shared" si="5"/>
        <v>0.3602976888</v>
      </c>
      <c r="L128" s="38">
        <f t="shared" si="6"/>
        <v>2.775482694</v>
      </c>
      <c r="M128" s="41">
        <f t="shared" si="7"/>
        <v>13747.65538</v>
      </c>
      <c r="N128" s="13">
        <f t="shared" si="187"/>
        <v>16</v>
      </c>
      <c r="O128" s="36">
        <f t="shared" si="188"/>
        <v>189815.2258</v>
      </c>
      <c r="P128" s="41">
        <f t="shared" si="8"/>
        <v>11863.45161</v>
      </c>
      <c r="Q128" s="13">
        <f>SUMIFS('Business - Dump'!$W:$W,'Business - Dump'!$B:$B,'Portfolio Wise '!$B128,'Business - Dump'!$A:$A,'Portfolio Wise '!$A128)</f>
        <v>29</v>
      </c>
      <c r="R128" s="36">
        <f>SUMIFS('Business - Dump'!$U:$U,'Business - Dump'!$B:$B,'Portfolio Wise '!$B128,'Business - Dump'!$A:$A,'Portfolio Wise '!$A128)/1.18</f>
        <v>368534.7458</v>
      </c>
      <c r="S128" s="41">
        <f t="shared" si="9"/>
        <v>12708.09468</v>
      </c>
      <c r="T128" s="23">
        <f t="shared" si="10"/>
        <v>0.1747249906</v>
      </c>
      <c r="U128" s="38">
        <f t="shared" si="11"/>
        <v>5.723279746</v>
      </c>
      <c r="V128" s="41">
        <f>SUMIFS('Business - Dump'!$G:$G,'Business - Dump'!$B:$B,'Portfolio Wise '!$B128,'Business - Dump'!$A:$A,'Portfolio Wise '!$A128)</f>
        <v>4752</v>
      </c>
      <c r="W128" s="48">
        <f t="shared" si="12"/>
        <v>0.006102693603</v>
      </c>
      <c r="X128" s="23">
        <f t="shared" ref="X128:Y128" si="190">IFERROR(N128/Q128,0)</f>
        <v>0.5517241379</v>
      </c>
      <c r="Y128" s="49">
        <f t="shared" si="190"/>
        <v>0.5150538123</v>
      </c>
      <c r="Z128" s="49">
        <f t="shared" si="14"/>
        <v>0.4482758621</v>
      </c>
      <c r="AA128" s="23">
        <f t="shared" si="15"/>
        <v>0.5150538123</v>
      </c>
      <c r="AB128" s="23">
        <f>IFERROR(AVERAGEIFS('Business - Dump'!$O:$O,'Business - Dump'!$B:$B,'Portfolio Wise '!$B128,'Business - Dump'!$A:$A,'Portfolio Wise '!$A128),0)</f>
        <v>0.89265</v>
      </c>
      <c r="AC128" s="49">
        <f>F128/SUMIFS('Campaign - Dump'!$Q:$Q,'Campaign - Dump'!$A:$A,'Portfolio Wise '!$A128)</f>
        <v>0.1011597591</v>
      </c>
      <c r="AD128" s="49">
        <f t="shared" si="16"/>
        <v>1.230769231</v>
      </c>
    </row>
    <row r="129" ht="15.75" customHeight="1">
      <c r="A129" s="10" t="s">
        <v>50</v>
      </c>
      <c r="B129" s="19" t="s">
        <v>158</v>
      </c>
      <c r="C129" s="13">
        <f>SUMIFS('Campaign - Dump'!$N:$N,'Campaign - Dump'!$J:$J,'Portfolio Wise '!$B129,'Campaign - Dump'!$A:$A,'Portfolio Wise '!$A129)</f>
        <v>315668</v>
      </c>
      <c r="D129" s="13">
        <f>SUMIFS('Campaign - Dump'!$O:$O,'Campaign - Dump'!$J:$J,'Portfolio Wise '!$B129,'Campaign - Dump'!$A:$A,'Portfolio Wise '!$A129)</f>
        <v>749</v>
      </c>
      <c r="E129" s="23">
        <f t="shared" si="2"/>
        <v>0.00237274605</v>
      </c>
      <c r="F129" s="36">
        <f>SUMIFS('Campaign - Dump'!$Q:$Q,'Campaign - Dump'!$J:$J,'Portfolio Wise '!$B129,'Campaign - Dump'!$A:$A,'Portfolio Wise '!$A129)</f>
        <v>7307.4</v>
      </c>
      <c r="G129" s="38">
        <f t="shared" si="3"/>
        <v>9.756208278</v>
      </c>
      <c r="H129" s="41">
        <f>SUMIFS('Campaign - Dump'!$T:$T,'Campaign - Dump'!$J:$J,'Portfolio Wise '!$B129,'Campaign - Dump'!$A:$A,'Portfolio Wise '!$A129)</f>
        <v>2</v>
      </c>
      <c r="I129" s="23">
        <f t="shared" si="4"/>
        <v>0.002670226969</v>
      </c>
      <c r="J129" s="36">
        <f>SUMIFS('Campaign - Dump'!$U:$U,'Campaign - Dump'!$J:$J,'Portfolio Wise '!$B129,'Campaign - Dump'!$A:$A,'Portfolio Wise '!$A129)</f>
        <v>15084.74</v>
      </c>
      <c r="K129" s="23">
        <f t="shared" si="5"/>
        <v>0.4844233311</v>
      </c>
      <c r="L129" s="38">
        <f t="shared" si="6"/>
        <v>2.064310151</v>
      </c>
      <c r="M129" s="41">
        <f t="shared" si="7"/>
        <v>7542.37</v>
      </c>
      <c r="N129" s="13">
        <f t="shared" si="187"/>
        <v>1</v>
      </c>
      <c r="O129" s="36">
        <f t="shared" si="188"/>
        <v>7542.378644</v>
      </c>
      <c r="P129" s="41">
        <f t="shared" si="8"/>
        <v>7542.378644</v>
      </c>
      <c r="Q129" s="13">
        <f>SUMIFS('Business - Dump'!$W:$W,'Business - Dump'!$B:$B,'Portfolio Wise '!$B129,'Business - Dump'!$A:$A,'Portfolio Wise '!$A129)</f>
        <v>3</v>
      </c>
      <c r="R129" s="36">
        <f>SUMIFS('Business - Dump'!$U:$U,'Business - Dump'!$B:$B,'Portfolio Wise '!$B129,'Business - Dump'!$A:$A,'Portfolio Wise '!$A129)/1.18</f>
        <v>22627.11864</v>
      </c>
      <c r="S129" s="41">
        <f t="shared" si="9"/>
        <v>7542.372881</v>
      </c>
      <c r="T129" s="23">
        <f t="shared" si="10"/>
        <v>0.322948764</v>
      </c>
      <c r="U129" s="38">
        <f t="shared" si="11"/>
        <v>3.09646641</v>
      </c>
      <c r="V129" s="41">
        <f>SUMIFS('Business - Dump'!$G:$G,'Business - Dump'!$B:$B,'Portfolio Wise '!$B129,'Business - Dump'!$A:$A,'Portfolio Wise '!$A129)</f>
        <v>1017</v>
      </c>
      <c r="W129" s="48">
        <f t="shared" si="12"/>
        <v>0.002949852507</v>
      </c>
      <c r="X129" s="23">
        <f t="shared" ref="X129:Y129" si="191">IFERROR(N129/Q129,0)</f>
        <v>0.3333333333</v>
      </c>
      <c r="Y129" s="49">
        <f t="shared" si="191"/>
        <v>0.333333588</v>
      </c>
      <c r="Z129" s="49">
        <f t="shared" si="14"/>
        <v>0.6666666667</v>
      </c>
      <c r="AA129" s="23">
        <f t="shared" si="15"/>
        <v>0.333333588</v>
      </c>
      <c r="AB129" s="23">
        <f>IFERROR(AVERAGEIFS('Business - Dump'!$O:$O,'Business - Dump'!$B:$B,'Portfolio Wise '!$B129,'Business - Dump'!$A:$A,'Portfolio Wise '!$A129),0)</f>
        <v>0.9267</v>
      </c>
      <c r="AC129" s="49">
        <f>F129/SUMIFS('Campaign - Dump'!$Q:$Q,'Campaign - Dump'!$A:$A,'Portfolio Wise '!$A129)</f>
        <v>0.01147987612</v>
      </c>
      <c r="AD129" s="49">
        <f t="shared" si="16"/>
        <v>0.5</v>
      </c>
    </row>
    <row r="130" ht="15.75" customHeight="1">
      <c r="A130" s="10" t="s">
        <v>50</v>
      </c>
      <c r="B130" s="33" t="s">
        <v>170</v>
      </c>
      <c r="C130" s="13">
        <f>SUMIFS('Campaign - Dump'!$N:$N,'Campaign - Dump'!$J:$J,'Portfolio Wise '!$B130,'Campaign - Dump'!$A:$A,'Portfolio Wise '!$A130)</f>
        <v>155824</v>
      </c>
      <c r="D130" s="13">
        <f>SUMIFS('Campaign - Dump'!$O:$O,'Campaign - Dump'!$J:$J,'Portfolio Wise '!$B130,'Campaign - Dump'!$A:$A,'Portfolio Wise '!$A130)</f>
        <v>741</v>
      </c>
      <c r="E130" s="23">
        <f t="shared" si="2"/>
        <v>0.004755365027</v>
      </c>
      <c r="F130" s="36">
        <f>SUMIFS('Campaign - Dump'!$Q:$Q,'Campaign - Dump'!$J:$J,'Portfolio Wise '!$B130,'Campaign - Dump'!$A:$A,'Portfolio Wise '!$A130)</f>
        <v>7663.5</v>
      </c>
      <c r="G130" s="38">
        <f t="shared" si="3"/>
        <v>10.34210526</v>
      </c>
      <c r="H130" s="41">
        <f>SUMIFS('Campaign - Dump'!$T:$T,'Campaign - Dump'!$J:$J,'Portfolio Wise '!$B130,'Campaign - Dump'!$A:$A,'Portfolio Wise '!$A130)</f>
        <v>6</v>
      </c>
      <c r="I130" s="23">
        <f t="shared" si="4"/>
        <v>0.008097165992</v>
      </c>
      <c r="J130" s="36">
        <f>SUMIFS('Campaign - Dump'!$U:$U,'Campaign - Dump'!$J:$J,'Portfolio Wise '!$B130,'Campaign - Dump'!$A:$A,'Portfolio Wise '!$A130)</f>
        <v>30000</v>
      </c>
      <c r="K130" s="23">
        <f t="shared" si="5"/>
        <v>0.25545</v>
      </c>
      <c r="L130" s="38">
        <f t="shared" si="6"/>
        <v>3.914660403</v>
      </c>
      <c r="M130" s="41">
        <f t="shared" si="7"/>
        <v>5000</v>
      </c>
      <c r="N130" s="13">
        <f t="shared" si="187"/>
        <v>11</v>
      </c>
      <c r="O130" s="36">
        <f t="shared" si="188"/>
        <v>65169.49153</v>
      </c>
      <c r="P130" s="41">
        <f t="shared" si="8"/>
        <v>5924.49923</v>
      </c>
      <c r="Q130" s="13">
        <f>SUMIFS('Business - Dump'!$W:$W,'Business - Dump'!$B:$B,'Portfolio Wise '!$B130,'Business - Dump'!$A:$A,'Portfolio Wise '!$A130)</f>
        <v>17</v>
      </c>
      <c r="R130" s="36">
        <f>SUMIFS('Business - Dump'!$U:$U,'Business - Dump'!$B:$B,'Portfolio Wise '!$B130,'Business - Dump'!$A:$A,'Portfolio Wise '!$A130)/1.18</f>
        <v>95169.49153</v>
      </c>
      <c r="S130" s="41">
        <f t="shared" si="9"/>
        <v>5598.205384</v>
      </c>
      <c r="T130" s="23">
        <f t="shared" si="10"/>
        <v>0.08052475512</v>
      </c>
      <c r="U130" s="38">
        <f t="shared" si="11"/>
        <v>12.41854134</v>
      </c>
      <c r="V130" s="41">
        <f>SUMIFS('Business - Dump'!$G:$G,'Business - Dump'!$B:$B,'Portfolio Wise '!$B130,'Business - Dump'!$A:$A,'Portfolio Wise '!$A130)</f>
        <v>1135</v>
      </c>
      <c r="W130" s="48">
        <f t="shared" si="12"/>
        <v>0.01497797357</v>
      </c>
      <c r="X130" s="23">
        <f t="shared" ref="X130:Y130" si="192">IFERROR(N130/Q130,0)</f>
        <v>0.6470588235</v>
      </c>
      <c r="Y130" s="49">
        <f t="shared" si="192"/>
        <v>0.6847729297</v>
      </c>
      <c r="Z130" s="49">
        <f t="shared" si="14"/>
        <v>0.3529411765</v>
      </c>
      <c r="AA130" s="23">
        <f t="shared" si="15"/>
        <v>0.6847729297</v>
      </c>
      <c r="AB130" s="23">
        <f>IFERROR(AVERAGEIFS('Business - Dump'!$O:$O,'Business - Dump'!$B:$B,'Portfolio Wise '!$B130,'Business - Dump'!$A:$A,'Portfolio Wise '!$A130),0)</f>
        <v>0.87845</v>
      </c>
      <c r="AC130" s="49">
        <f>F130/SUMIFS('Campaign - Dump'!$Q:$Q,'Campaign - Dump'!$A:$A,'Portfolio Wise '!$A130)</f>
        <v>0.01203930682</v>
      </c>
      <c r="AD130" s="49">
        <f t="shared" si="16"/>
        <v>1.833333333</v>
      </c>
    </row>
    <row r="131" ht="15.75" customHeight="1">
      <c r="A131" s="10" t="s">
        <v>50</v>
      </c>
      <c r="B131" s="51" t="s">
        <v>176</v>
      </c>
      <c r="C131" s="13">
        <f>SUMIFS('Campaign - Dump'!$N:$N,'Campaign - Dump'!$J:$J,'Portfolio Wise '!$B131,'Campaign - Dump'!$A:$A,'Portfolio Wise '!$A131)</f>
        <v>0</v>
      </c>
      <c r="D131" s="13">
        <f>SUMIFS('Campaign - Dump'!$O:$O,'Campaign - Dump'!$J:$J,'Portfolio Wise '!$B131,'Campaign - Dump'!$A:$A,'Portfolio Wise '!$A131)</f>
        <v>0</v>
      </c>
      <c r="E131" s="23">
        <f t="shared" si="2"/>
        <v>0</v>
      </c>
      <c r="F131" s="36">
        <f>SUMIFS('Campaign - Dump'!$Q:$Q,'Campaign - Dump'!$J:$J,'Portfolio Wise '!$B131,'Campaign - Dump'!$A:$A,'Portfolio Wise '!$A131)</f>
        <v>0</v>
      </c>
      <c r="G131" s="38">
        <f t="shared" si="3"/>
        <v>0</v>
      </c>
      <c r="H131" s="41">
        <f>SUMIFS('Campaign - Dump'!$T:$T,'Campaign - Dump'!$J:$J,'Portfolio Wise '!$B131,'Campaign - Dump'!$A:$A,'Portfolio Wise '!$A131)</f>
        <v>0</v>
      </c>
      <c r="I131" s="23">
        <f t="shared" si="4"/>
        <v>0</v>
      </c>
      <c r="J131" s="36">
        <f>SUMIFS('Campaign - Dump'!$U:$U,'Campaign - Dump'!$J:$J,'Portfolio Wise '!$B131,'Campaign - Dump'!$A:$A,'Portfolio Wise '!$A131)</f>
        <v>0</v>
      </c>
      <c r="K131" s="23">
        <f t="shared" si="5"/>
        <v>0</v>
      </c>
      <c r="L131" s="38">
        <f t="shared" si="6"/>
        <v>0</v>
      </c>
      <c r="M131" s="41">
        <f t="shared" si="7"/>
        <v>0</v>
      </c>
      <c r="N131" s="13">
        <f t="shared" si="187"/>
        <v>20</v>
      </c>
      <c r="O131" s="36">
        <f t="shared" si="188"/>
        <v>405164.4746</v>
      </c>
      <c r="P131" s="41">
        <f t="shared" si="8"/>
        <v>20258.22373</v>
      </c>
      <c r="Q131" s="13">
        <f>SUMIFS('Business - Dump'!$W:$W,'Business - Dump'!$B:$B,'Portfolio Wise '!$B131,'Business - Dump'!$A:$A,'Portfolio Wise '!$A131)</f>
        <v>20</v>
      </c>
      <c r="R131" s="36">
        <f>SUMIFS('Business - Dump'!$U:$U,'Business - Dump'!$B:$B,'Portfolio Wise '!$B131,'Business - Dump'!$A:$A,'Portfolio Wise '!$A131)/1.18</f>
        <v>405164.4746</v>
      </c>
      <c r="S131" s="41">
        <f t="shared" si="9"/>
        <v>20258.22373</v>
      </c>
      <c r="T131" s="23">
        <f t="shared" si="10"/>
        <v>0</v>
      </c>
      <c r="U131" s="38">
        <f t="shared" si="11"/>
        <v>0</v>
      </c>
      <c r="V131" s="41">
        <f>SUMIFS('Business - Dump'!$G:$G,'Business - Dump'!$B:$B,'Portfolio Wise '!$B131,'Business - Dump'!$A:$A,'Portfolio Wise '!$A131)</f>
        <v>5101</v>
      </c>
      <c r="W131" s="48">
        <f t="shared" si="12"/>
        <v>0.003920799843</v>
      </c>
      <c r="X131" s="23">
        <f t="shared" ref="X131:Y131" si="193">IFERROR(N131/Q131,0)</f>
        <v>1</v>
      </c>
      <c r="Y131" s="49">
        <f t="shared" si="193"/>
        <v>1</v>
      </c>
      <c r="Z131" s="49">
        <f t="shared" si="14"/>
        <v>0</v>
      </c>
      <c r="AA131" s="23">
        <f t="shared" si="15"/>
        <v>1</v>
      </c>
      <c r="AB131" s="23">
        <f>IFERROR(AVERAGEIFS('Business - Dump'!$O:$O,'Business - Dump'!$B:$B,'Portfolio Wise '!$B131,'Business - Dump'!$A:$A,'Portfolio Wise '!$A131),0)</f>
        <v>0.8593333333</v>
      </c>
      <c r="AC131" s="49">
        <f>F131/SUMIFS('Campaign - Dump'!$Q:$Q,'Campaign - Dump'!$A:$A,'Portfolio Wise '!$A131)</f>
        <v>0</v>
      </c>
      <c r="AD131" s="49">
        <f t="shared" si="16"/>
        <v>0</v>
      </c>
    </row>
    <row r="132" ht="15.75" customHeight="1">
      <c r="A132" s="10" t="s">
        <v>50</v>
      </c>
      <c r="B132" s="100" t="s">
        <v>182</v>
      </c>
      <c r="C132" s="13">
        <f>SUMIFS('Campaign - Dump'!$N:$N,'Campaign - Dump'!$J:$J,'Portfolio Wise '!$B132,'Campaign - Dump'!$A:$A,'Portfolio Wise '!$A132)</f>
        <v>22181</v>
      </c>
      <c r="D132" s="13">
        <f>SUMIFS('Campaign - Dump'!$O:$O,'Campaign - Dump'!$J:$J,'Portfolio Wise '!$B132,'Campaign - Dump'!$A:$A,'Portfolio Wise '!$A132)</f>
        <v>63</v>
      </c>
      <c r="E132" s="23">
        <f t="shared" si="2"/>
        <v>0.002840268698</v>
      </c>
      <c r="F132" s="36">
        <f>SUMIFS('Campaign - Dump'!$Q:$Q,'Campaign - Dump'!$J:$J,'Portfolio Wise '!$B132,'Campaign - Dump'!$A:$A,'Portfolio Wise '!$A132)</f>
        <v>885.79</v>
      </c>
      <c r="G132" s="38">
        <f t="shared" si="3"/>
        <v>14.06015873</v>
      </c>
      <c r="H132" s="41">
        <f>SUMIFS('Campaign - Dump'!$T:$T,'Campaign - Dump'!$J:$J,'Portfolio Wise '!$B132,'Campaign - Dump'!$A:$A,'Portfolio Wise '!$A132)</f>
        <v>0</v>
      </c>
      <c r="I132" s="23">
        <f t="shared" si="4"/>
        <v>0</v>
      </c>
      <c r="J132" s="36">
        <f>SUMIFS('Campaign - Dump'!$U:$U,'Campaign - Dump'!$J:$J,'Portfolio Wise '!$B132,'Campaign - Dump'!$A:$A,'Portfolio Wise '!$A132)</f>
        <v>0</v>
      </c>
      <c r="K132" s="23">
        <f t="shared" si="5"/>
        <v>0</v>
      </c>
      <c r="L132" s="38">
        <f t="shared" si="6"/>
        <v>0</v>
      </c>
      <c r="M132" s="41">
        <f t="shared" si="7"/>
        <v>0</v>
      </c>
      <c r="N132" s="13">
        <f t="shared" si="187"/>
        <v>12</v>
      </c>
      <c r="O132" s="36">
        <f t="shared" si="188"/>
        <v>328846.5932</v>
      </c>
      <c r="P132" s="41">
        <f t="shared" si="8"/>
        <v>27403.88277</v>
      </c>
      <c r="Q132" s="13">
        <f>SUMIFS('Business - Dump'!$W:$W,'Business - Dump'!$B:$B,'Portfolio Wise '!$B132,'Business - Dump'!$A:$A,'Portfolio Wise '!$A132)</f>
        <v>12</v>
      </c>
      <c r="R132" s="36">
        <f>SUMIFS('Business - Dump'!$U:$U,'Business - Dump'!$B:$B,'Portfolio Wise '!$B132,'Business - Dump'!$A:$A,'Portfolio Wise '!$A132)/1.18</f>
        <v>328846.5932</v>
      </c>
      <c r="S132" s="41">
        <f t="shared" si="9"/>
        <v>27403.88277</v>
      </c>
      <c r="T132" s="23">
        <f t="shared" si="10"/>
        <v>0.00269362681</v>
      </c>
      <c r="U132" s="38">
        <f t="shared" si="11"/>
        <v>371.2466761</v>
      </c>
      <c r="V132" s="41">
        <f>SUMIFS('Business - Dump'!$G:$G,'Business - Dump'!$B:$B,'Portfolio Wise '!$B132,'Business - Dump'!$A:$A,'Portfolio Wise '!$A132)</f>
        <v>1103</v>
      </c>
      <c r="W132" s="23">
        <f t="shared" si="12"/>
        <v>0.01087941976</v>
      </c>
      <c r="X132" s="23">
        <f t="shared" ref="X132:Y132" si="194">IFERROR(N132/Q132,0)</f>
        <v>1</v>
      </c>
      <c r="Y132" s="49">
        <f t="shared" si="194"/>
        <v>1</v>
      </c>
      <c r="Z132" s="49">
        <f t="shared" si="14"/>
        <v>0</v>
      </c>
      <c r="AA132" s="23">
        <f t="shared" si="15"/>
        <v>1</v>
      </c>
      <c r="AB132" s="23">
        <f>IFERROR(AVERAGEIFS('Business - Dump'!$O:$O,'Business - Dump'!$B:$B,'Portfolio Wise '!$B132,'Business - Dump'!$A:$A,'Portfolio Wise '!$A132),0)</f>
        <v>0.8898125</v>
      </c>
      <c r="AC132" s="49">
        <f>F132/SUMIFS('Campaign - Dump'!$Q:$Q,'Campaign - Dump'!$A:$A,'Portfolio Wise '!$A132)</f>
        <v>0.001391570116</v>
      </c>
      <c r="AD132" s="49">
        <f t="shared" si="16"/>
        <v>0</v>
      </c>
    </row>
    <row r="133" ht="15.75" customHeight="1">
      <c r="A133" s="10" t="s">
        <v>50</v>
      </c>
      <c r="B133" s="100" t="s">
        <v>182</v>
      </c>
      <c r="C133" s="13">
        <f>SUMIFS('Campaign - Dump'!$N:$N,'Campaign - Dump'!$J:$J,'Portfolio Wise '!$B133,'Campaign - Dump'!$A:$A,'Portfolio Wise '!$A133)</f>
        <v>22181</v>
      </c>
      <c r="D133" s="13">
        <f>SUMIFS('Campaign - Dump'!$O:$O,'Campaign - Dump'!$J:$J,'Portfolio Wise '!$B133,'Campaign - Dump'!$A:$A,'Portfolio Wise '!$A133)</f>
        <v>63</v>
      </c>
      <c r="E133" s="23">
        <f t="shared" si="2"/>
        <v>0.002840268698</v>
      </c>
      <c r="F133" s="36">
        <f>SUMIFS('Campaign - Dump'!$Q:$Q,'Campaign - Dump'!$J:$J,'Portfolio Wise '!$B133,'Campaign - Dump'!$A:$A,'Portfolio Wise '!$A133)</f>
        <v>885.79</v>
      </c>
      <c r="G133" s="38">
        <f t="shared" si="3"/>
        <v>14.06015873</v>
      </c>
      <c r="H133" s="41">
        <f>SUMIFS('Campaign - Dump'!$T:$T,'Campaign - Dump'!$J:$J,'Portfolio Wise '!$B133,'Campaign - Dump'!$A:$A,'Portfolio Wise '!$A133)</f>
        <v>0</v>
      </c>
      <c r="I133" s="23">
        <f t="shared" si="4"/>
        <v>0</v>
      </c>
      <c r="J133" s="36">
        <f>SUMIFS('Campaign - Dump'!$U:$U,'Campaign - Dump'!$J:$J,'Portfolio Wise '!$B133,'Campaign - Dump'!$A:$A,'Portfolio Wise '!$A133)</f>
        <v>0</v>
      </c>
      <c r="K133" s="23">
        <f t="shared" si="5"/>
        <v>0</v>
      </c>
      <c r="L133" s="38">
        <f t="shared" si="6"/>
        <v>0</v>
      </c>
      <c r="M133" s="41">
        <f t="shared" si="7"/>
        <v>0</v>
      </c>
      <c r="N133" s="13">
        <f t="shared" si="187"/>
        <v>12</v>
      </c>
      <c r="O133" s="36">
        <f t="shared" si="188"/>
        <v>328846.5932</v>
      </c>
      <c r="P133" s="41">
        <f t="shared" si="8"/>
        <v>27403.88277</v>
      </c>
      <c r="Q133" s="13">
        <f>SUMIFS('Business - Dump'!$W:$W,'Business - Dump'!$B:$B,'Portfolio Wise '!$B133,'Business - Dump'!$A:$A,'Portfolio Wise '!$A133)</f>
        <v>12</v>
      </c>
      <c r="R133" s="36">
        <f>SUMIFS('Business - Dump'!$U:$U,'Business - Dump'!$B:$B,'Portfolio Wise '!$B133,'Business - Dump'!$A:$A,'Portfolio Wise '!$A133)/1.18</f>
        <v>328846.5932</v>
      </c>
      <c r="S133" s="41">
        <f t="shared" si="9"/>
        <v>27403.88277</v>
      </c>
      <c r="T133" s="23">
        <f t="shared" si="10"/>
        <v>0.00269362681</v>
      </c>
      <c r="U133" s="38">
        <f t="shared" si="11"/>
        <v>371.2466761</v>
      </c>
      <c r="V133" s="41">
        <f>SUMIFS('Business - Dump'!$G:$G,'Business - Dump'!$B:$B,'Portfolio Wise '!$B133,'Business - Dump'!$A:$A,'Portfolio Wise '!$A133)</f>
        <v>1103</v>
      </c>
      <c r="W133" s="23">
        <f t="shared" si="12"/>
        <v>0.01087941976</v>
      </c>
      <c r="X133" s="23">
        <f t="shared" ref="X133:Y133" si="195">IFERROR(N133/Q133,0)</f>
        <v>1</v>
      </c>
      <c r="Y133" s="49">
        <f t="shared" si="195"/>
        <v>1</v>
      </c>
      <c r="Z133" s="49">
        <f t="shared" si="14"/>
        <v>0</v>
      </c>
      <c r="AA133" s="23">
        <f t="shared" si="15"/>
        <v>1</v>
      </c>
      <c r="AB133" s="23">
        <f>IFERROR(AVERAGEIFS('Business - Dump'!$O:$O,'Business - Dump'!$B:$B,'Portfolio Wise '!$B133,'Business - Dump'!$A:$A,'Portfolio Wise '!$A133),0)</f>
        <v>0.8898125</v>
      </c>
      <c r="AC133" s="49">
        <f>F133/SUMIFS('Campaign - Dump'!$Q:$Q,'Campaign - Dump'!$A:$A,'Portfolio Wise '!$A133)</f>
        <v>0.001391570116</v>
      </c>
      <c r="AD133" s="49">
        <f t="shared" si="16"/>
        <v>0</v>
      </c>
    </row>
    <row r="134" ht="15.75" customHeight="1">
      <c r="A134" s="10" t="s">
        <v>50</v>
      </c>
      <c r="B134" s="19" t="s">
        <v>196</v>
      </c>
      <c r="C134" s="13">
        <f>SUMIFS('Campaign - Dump'!$N:$N,'Campaign - Dump'!$J:$J,'Portfolio Wise '!$B134,'Campaign - Dump'!$A:$A,'Portfolio Wise '!$A134)</f>
        <v>152045</v>
      </c>
      <c r="D134" s="13">
        <f>SUMIFS('Campaign - Dump'!$O:$O,'Campaign - Dump'!$J:$J,'Portfolio Wise '!$B134,'Campaign - Dump'!$A:$A,'Portfolio Wise '!$A134)</f>
        <v>1283</v>
      </c>
      <c r="E134" s="23">
        <f t="shared" si="2"/>
        <v>0.008438291295</v>
      </c>
      <c r="F134" s="36">
        <f>SUMIFS('Campaign - Dump'!$Q:$Q,'Campaign - Dump'!$J:$J,'Portfolio Wise '!$B134,'Campaign - Dump'!$A:$A,'Portfolio Wise '!$A134)</f>
        <v>35687.47</v>
      </c>
      <c r="G134" s="38">
        <f t="shared" si="3"/>
        <v>27.81564302</v>
      </c>
      <c r="H134" s="41">
        <f>SUMIFS('Campaign - Dump'!$T:$T,'Campaign - Dump'!$J:$J,'Portfolio Wise '!$B134,'Campaign - Dump'!$A:$A,'Portfolio Wise '!$A134)</f>
        <v>1</v>
      </c>
      <c r="I134" s="23">
        <f t="shared" si="4"/>
        <v>0.0007794232268</v>
      </c>
      <c r="J134" s="36">
        <f>SUMIFS('Campaign - Dump'!$U:$U,'Campaign - Dump'!$J:$J,'Portfolio Wise '!$B134,'Campaign - Dump'!$A:$A,'Portfolio Wise '!$A134)</f>
        <v>17966.1</v>
      </c>
      <c r="K134" s="23">
        <f t="shared" si="5"/>
        <v>1.986378235</v>
      </c>
      <c r="L134" s="38">
        <f t="shared" si="6"/>
        <v>0.5034287945</v>
      </c>
      <c r="M134" s="41">
        <f t="shared" si="7"/>
        <v>17966.1</v>
      </c>
      <c r="N134" s="13">
        <v>0.0</v>
      </c>
      <c r="O134" s="36">
        <v>0.0</v>
      </c>
      <c r="P134" s="41">
        <f t="shared" si="8"/>
        <v>0</v>
      </c>
      <c r="Q134" s="13">
        <f>SUMIFS('Business - Dump'!$W:$W,'Business - Dump'!$B:$B,'Portfolio Wise '!$B134,'Business - Dump'!$A:$A,'Portfolio Wise '!$A134)</f>
        <v>0</v>
      </c>
      <c r="R134" s="36">
        <f>SUMIFS('Business - Dump'!$U:$U,'Business - Dump'!$B:$B,'Portfolio Wise '!$B134,'Business - Dump'!$A:$A,'Portfolio Wise '!$A134)/1.18</f>
        <v>0</v>
      </c>
      <c r="S134" s="41">
        <f t="shared" si="9"/>
        <v>0</v>
      </c>
      <c r="T134" s="23">
        <f t="shared" si="10"/>
        <v>0</v>
      </c>
      <c r="U134" s="38">
        <f t="shared" si="11"/>
        <v>0</v>
      </c>
      <c r="V134" s="41">
        <f>SUMIFS('Business - Dump'!$G:$G,'Business - Dump'!$B:$B,'Portfolio Wise '!$B134,'Business - Dump'!$A:$A,'Portfolio Wise '!$A134)</f>
        <v>0</v>
      </c>
      <c r="W134" s="48">
        <f t="shared" si="12"/>
        <v>0</v>
      </c>
      <c r="X134" s="23">
        <f t="shared" ref="X134:Y134" si="196">IFERROR(N134/Q134,0)</f>
        <v>0</v>
      </c>
      <c r="Y134" s="49">
        <f t="shared" si="196"/>
        <v>0</v>
      </c>
      <c r="Z134" s="49">
        <f t="shared" si="14"/>
        <v>0</v>
      </c>
      <c r="AA134" s="23">
        <f t="shared" si="15"/>
        <v>0</v>
      </c>
      <c r="AB134" s="23">
        <f>IFERROR(AVERAGEIFS('Business - Dump'!$O:$O,'Business - Dump'!$B:$B,'Portfolio Wise '!$B134,'Business - Dump'!$A:$A,'Portfolio Wise '!$A134),0)</f>
        <v>0</v>
      </c>
      <c r="AC134" s="49">
        <f>F134/SUMIFS('Campaign - Dump'!$Q:$Q,'Campaign - Dump'!$A:$A,'Portfolio Wise '!$A134)</f>
        <v>0.05606477469</v>
      </c>
      <c r="AD134" s="49">
        <f t="shared" si="16"/>
        <v>0</v>
      </c>
    </row>
    <row r="135" ht="15.75" customHeight="1">
      <c r="A135" s="10" t="s">
        <v>50</v>
      </c>
      <c r="B135" s="19" t="s">
        <v>205</v>
      </c>
      <c r="C135" s="13">
        <f>SUMIFS('Campaign - Dump'!$N:$N,'Campaign - Dump'!$J:$J,'Portfolio Wise '!$B135,'Campaign - Dump'!$A:$A,'Portfolio Wise '!$A135)</f>
        <v>793082</v>
      </c>
      <c r="D135" s="13">
        <f>SUMIFS('Campaign - Dump'!$O:$O,'Campaign - Dump'!$J:$J,'Portfolio Wise '!$B135,'Campaign - Dump'!$A:$A,'Portfolio Wise '!$A135)</f>
        <v>2127</v>
      </c>
      <c r="E135" s="23">
        <f t="shared" si="2"/>
        <v>0.002681942094</v>
      </c>
      <c r="F135" s="36">
        <f>SUMIFS('Campaign - Dump'!$Q:$Q,'Campaign - Dump'!$J:$J,'Portfolio Wise '!$B135,'Campaign - Dump'!$A:$A,'Portfolio Wise '!$A135)</f>
        <v>40787.8</v>
      </c>
      <c r="G135" s="38">
        <f t="shared" si="3"/>
        <v>19.17621063</v>
      </c>
      <c r="H135" s="41">
        <f>SUMIFS('Campaign - Dump'!$T:$T,'Campaign - Dump'!$J:$J,'Portfolio Wise '!$B135,'Campaign - Dump'!$A:$A,'Portfolio Wise '!$A135)</f>
        <v>2</v>
      </c>
      <c r="I135" s="23">
        <f t="shared" si="4"/>
        <v>0.0009402914904</v>
      </c>
      <c r="J135" s="36">
        <f>SUMIFS('Campaign - Dump'!$U:$U,'Campaign - Dump'!$J:$J,'Portfolio Wise '!$B135,'Campaign - Dump'!$A:$A,'Portfolio Wise '!$A135)</f>
        <v>56355.93</v>
      </c>
      <c r="K135" s="23">
        <f t="shared" si="5"/>
        <v>0.7237534719</v>
      </c>
      <c r="L135" s="38">
        <f t="shared" si="6"/>
        <v>1.381685945</v>
      </c>
      <c r="M135" s="41">
        <f t="shared" si="7"/>
        <v>28177.965</v>
      </c>
      <c r="N135" s="13">
        <f t="shared" ref="N135:N144" si="198">IFERROR(Q135-H135,0)</f>
        <v>7</v>
      </c>
      <c r="O135" s="36">
        <f t="shared" ref="O135:O144" si="199">IFERROR(R135-J135,0)</f>
        <v>242796.6124</v>
      </c>
      <c r="P135" s="41">
        <f t="shared" si="8"/>
        <v>34685.23034</v>
      </c>
      <c r="Q135" s="13">
        <f>SUMIFS('Business - Dump'!$W:$W,'Business - Dump'!$B:$B,'Portfolio Wise '!$B135,'Business - Dump'!$A:$A,'Portfolio Wise '!$A135)</f>
        <v>9</v>
      </c>
      <c r="R135" s="36">
        <f>SUMIFS('Business - Dump'!$U:$U,'Business - Dump'!$B:$B,'Portfolio Wise '!$B135,'Business - Dump'!$A:$A,'Portfolio Wise '!$A135)/1.18</f>
        <v>299152.5424</v>
      </c>
      <c r="S135" s="41">
        <f t="shared" si="9"/>
        <v>33239.17137</v>
      </c>
      <c r="T135" s="23">
        <f t="shared" si="10"/>
        <v>0.1363444873</v>
      </c>
      <c r="U135" s="38">
        <f t="shared" si="11"/>
        <v>7.334363275</v>
      </c>
      <c r="V135" s="41">
        <f>SUMIFS('Business - Dump'!$G:$G,'Business - Dump'!$B:$B,'Portfolio Wise '!$B135,'Business - Dump'!$A:$A,'Portfolio Wise '!$A135)</f>
        <v>2601</v>
      </c>
      <c r="W135" s="48">
        <f t="shared" si="12"/>
        <v>0.003460207612</v>
      </c>
      <c r="X135" s="23">
        <f t="shared" ref="X135:Y135" si="197">IFERROR(N135/Q135,0)</f>
        <v>0.7777777778</v>
      </c>
      <c r="Y135" s="49">
        <f t="shared" si="197"/>
        <v>0.8116147382</v>
      </c>
      <c r="Z135" s="49">
        <f t="shared" si="14"/>
        <v>0.2222222222</v>
      </c>
      <c r="AA135" s="23">
        <f t="shared" si="15"/>
        <v>0.8116147382</v>
      </c>
      <c r="AB135" s="23">
        <f>IFERROR(AVERAGEIFS('Business - Dump'!$O:$O,'Business - Dump'!$B:$B,'Portfolio Wise '!$B135,'Business - Dump'!$A:$A,'Portfolio Wise '!$A135),0)</f>
        <v>0.8203166667</v>
      </c>
      <c r="AC135" s="49">
        <f>F135/SUMIFS('Campaign - Dump'!$Q:$Q,'Campaign - Dump'!$A:$A,'Portfolio Wise '!$A135)</f>
        <v>0.06407735872</v>
      </c>
      <c r="AD135" s="49">
        <f t="shared" si="16"/>
        <v>3.5</v>
      </c>
    </row>
    <row r="136" ht="15.75" customHeight="1">
      <c r="A136" s="10" t="s">
        <v>50</v>
      </c>
      <c r="B136" s="10" t="s">
        <v>211</v>
      </c>
      <c r="C136" s="13">
        <f>SUMIFS('Campaign - Dump'!$N:$N,'Campaign - Dump'!$J:$J,'Portfolio Wise '!$B136,'Campaign - Dump'!$A:$A,'Portfolio Wise '!$A136)</f>
        <v>307506</v>
      </c>
      <c r="D136" s="13">
        <f>SUMIFS('Campaign - Dump'!$O:$O,'Campaign - Dump'!$J:$J,'Portfolio Wise '!$B136,'Campaign - Dump'!$A:$A,'Portfolio Wise '!$A136)</f>
        <v>944</v>
      </c>
      <c r="E136" s="23">
        <f t="shared" si="2"/>
        <v>0.0030698588</v>
      </c>
      <c r="F136" s="36">
        <f>SUMIFS('Campaign - Dump'!$Q:$Q,'Campaign - Dump'!$J:$J,'Portfolio Wise '!$B136,'Campaign - Dump'!$A:$A,'Portfolio Wise '!$A136)</f>
        <v>3908.75</v>
      </c>
      <c r="G136" s="38">
        <f t="shared" si="3"/>
        <v>4.140625</v>
      </c>
      <c r="H136" s="41">
        <f>SUMIFS('Campaign - Dump'!$T:$T,'Campaign - Dump'!$J:$J,'Portfolio Wise '!$B136,'Campaign - Dump'!$A:$A,'Portfolio Wise '!$A136)</f>
        <v>28</v>
      </c>
      <c r="I136" s="23">
        <f t="shared" si="4"/>
        <v>0.02966101695</v>
      </c>
      <c r="J136" s="36">
        <f>SUMIFS('Campaign - Dump'!$U:$U,'Campaign - Dump'!$J:$J,'Portfolio Wise '!$B136,'Campaign - Dump'!$A:$A,'Portfolio Wise '!$A136)</f>
        <v>28153.35</v>
      </c>
      <c r="K136" s="23">
        <f t="shared" si="5"/>
        <v>0.1388378292</v>
      </c>
      <c r="L136" s="38">
        <f t="shared" si="6"/>
        <v>7.202647905</v>
      </c>
      <c r="M136" s="41">
        <f t="shared" si="7"/>
        <v>1005.476786</v>
      </c>
      <c r="N136" s="13">
        <f t="shared" si="198"/>
        <v>12</v>
      </c>
      <c r="O136" s="36">
        <f t="shared" si="199"/>
        <v>13396.17542</v>
      </c>
      <c r="P136" s="41">
        <f t="shared" si="8"/>
        <v>1116.347952</v>
      </c>
      <c r="Q136" s="13">
        <f>SUMIFS('Business - Dump'!$W:$W,'Business - Dump'!$B:$B,'Portfolio Wise '!$B136,'Business - Dump'!$A:$A,'Portfolio Wise '!$A136)</f>
        <v>40</v>
      </c>
      <c r="R136" s="36">
        <f>SUMIFS('Business - Dump'!$U:$U,'Business - Dump'!$B:$B,'Portfolio Wise '!$B136,'Business - Dump'!$A:$A,'Portfolio Wise '!$A136)/1.18</f>
        <v>41549.52542</v>
      </c>
      <c r="S136" s="41">
        <f t="shared" si="9"/>
        <v>1038.738136</v>
      </c>
      <c r="T136" s="23">
        <f t="shared" si="10"/>
        <v>0.09407448004</v>
      </c>
      <c r="U136" s="38">
        <f t="shared" si="11"/>
        <v>10.62987539</v>
      </c>
      <c r="V136" s="41">
        <f>SUMIFS('Business - Dump'!$G:$G,'Business - Dump'!$B:$B,'Portfolio Wise '!$B136,'Business - Dump'!$A:$A,'Portfolio Wise '!$A136)</f>
        <v>2656</v>
      </c>
      <c r="W136" s="48">
        <f t="shared" si="12"/>
        <v>0.01506024096</v>
      </c>
      <c r="X136" s="23">
        <f t="shared" ref="X136:Y136" si="200">IFERROR(N136/Q136,0)</f>
        <v>0.3</v>
      </c>
      <c r="Y136" s="49">
        <f t="shared" si="200"/>
        <v>0.3224146434</v>
      </c>
      <c r="Z136" s="49">
        <f t="shared" si="14"/>
        <v>0.7</v>
      </c>
      <c r="AA136" s="23">
        <f t="shared" si="15"/>
        <v>0.3224146434</v>
      </c>
      <c r="AB136" s="23">
        <f>IFERROR(AVERAGEIFS('Business - Dump'!$O:$O,'Business - Dump'!$B:$B,'Portfolio Wise '!$B136,'Business - Dump'!$A:$A,'Portfolio Wise '!$A136),0)</f>
        <v>0.9678</v>
      </c>
      <c r="AC136" s="49">
        <f>F136/SUMIFS('Campaign - Dump'!$Q:$Q,'Campaign - Dump'!$A:$A,'Portfolio Wise '!$A136)</f>
        <v>0.006140619889</v>
      </c>
      <c r="AD136" s="49">
        <f t="shared" si="16"/>
        <v>0.4285714286</v>
      </c>
    </row>
    <row r="137" ht="15.75" customHeight="1">
      <c r="A137" s="10" t="s">
        <v>50</v>
      </c>
      <c r="B137" s="19" t="s">
        <v>217</v>
      </c>
      <c r="C137" s="13">
        <f>SUMIFS('Campaign - Dump'!$N:$N,'Campaign - Dump'!$J:$J,'Portfolio Wise '!$B137,'Campaign - Dump'!$A:$A,'Portfolio Wise '!$A137)</f>
        <v>123302</v>
      </c>
      <c r="D137" s="13">
        <f>SUMIFS('Campaign - Dump'!$O:$O,'Campaign - Dump'!$J:$J,'Portfolio Wise '!$B137,'Campaign - Dump'!$A:$A,'Portfolio Wise '!$A137)</f>
        <v>401</v>
      </c>
      <c r="E137" s="23">
        <f t="shared" si="2"/>
        <v>0.00325217758</v>
      </c>
      <c r="F137" s="36">
        <f>SUMIFS('Campaign - Dump'!$Q:$Q,'Campaign - Dump'!$J:$J,'Portfolio Wise '!$B137,'Campaign - Dump'!$A:$A,'Portfolio Wise '!$A137)</f>
        <v>2108.51</v>
      </c>
      <c r="G137" s="38">
        <f t="shared" si="3"/>
        <v>5.258129676</v>
      </c>
      <c r="H137" s="41">
        <f>SUMIFS('Campaign - Dump'!$T:$T,'Campaign - Dump'!$J:$J,'Portfolio Wise '!$B137,'Campaign - Dump'!$A:$A,'Portfolio Wise '!$A137)</f>
        <v>3</v>
      </c>
      <c r="I137" s="23">
        <f t="shared" si="4"/>
        <v>0.007481296758</v>
      </c>
      <c r="J137" s="36">
        <f>SUMIFS('Campaign - Dump'!$U:$U,'Campaign - Dump'!$J:$J,'Portfolio Wise '!$B137,'Campaign - Dump'!$A:$A,'Portfolio Wise '!$A137)</f>
        <v>24192.37</v>
      </c>
      <c r="K137" s="23">
        <f t="shared" si="5"/>
        <v>0.08715599174</v>
      </c>
      <c r="L137" s="38">
        <f t="shared" si="6"/>
        <v>11.47368047</v>
      </c>
      <c r="M137" s="41">
        <f t="shared" si="7"/>
        <v>8064.123333</v>
      </c>
      <c r="N137" s="13">
        <f t="shared" si="198"/>
        <v>12</v>
      </c>
      <c r="O137" s="36">
        <f t="shared" si="199"/>
        <v>-9786.437797</v>
      </c>
      <c r="P137" s="41">
        <f t="shared" si="8"/>
        <v>-815.5364831</v>
      </c>
      <c r="Q137" s="13">
        <f>SUMIFS('Business - Dump'!$W:$W,'Business - Dump'!$B:$B,'Portfolio Wise '!$B137,'Business - Dump'!$A:$A,'Portfolio Wise '!$A137)</f>
        <v>15</v>
      </c>
      <c r="R137" s="36">
        <f>SUMIFS('Business - Dump'!$U:$U,'Business - Dump'!$B:$B,'Portfolio Wise '!$B137,'Business - Dump'!$A:$A,'Portfolio Wise '!$A137)/1.18</f>
        <v>14405.9322</v>
      </c>
      <c r="S137" s="41">
        <f t="shared" si="9"/>
        <v>960.3954802</v>
      </c>
      <c r="T137" s="23">
        <f t="shared" si="10"/>
        <v>0.1463640096</v>
      </c>
      <c r="U137" s="38">
        <f t="shared" si="11"/>
        <v>6.832280712</v>
      </c>
      <c r="V137" s="41">
        <f>SUMIFS('Business - Dump'!$G:$G,'Business - Dump'!$B:$B,'Portfolio Wise '!$B137,'Business - Dump'!$A:$A,'Portfolio Wise '!$A137)</f>
        <v>734</v>
      </c>
      <c r="W137" s="48">
        <f t="shared" si="12"/>
        <v>0.0204359673</v>
      </c>
      <c r="X137" s="23">
        <f t="shared" ref="X137:Y137" si="201">IFERROR(N137/Q137,0)</f>
        <v>0.8</v>
      </c>
      <c r="Y137" s="49">
        <f t="shared" si="201"/>
        <v>-0.6793338785</v>
      </c>
      <c r="Z137" s="49">
        <f t="shared" si="14"/>
        <v>0.2</v>
      </c>
      <c r="AA137" s="23">
        <f t="shared" si="15"/>
        <v>-0.6793338785</v>
      </c>
      <c r="AB137" s="23">
        <f>IFERROR(AVERAGEIFS('Business - Dump'!$O:$O,'Business - Dump'!$B:$B,'Portfolio Wise '!$B137,'Business - Dump'!$A:$A,'Portfolio Wise '!$A137),0)</f>
        <v>0.9141</v>
      </c>
      <c r="AC137" s="49">
        <f>F137/SUMIFS('Campaign - Dump'!$Q:$Q,'Campaign - Dump'!$A:$A,'Portfolio Wise '!$A137)</f>
        <v>0.00331245499</v>
      </c>
      <c r="AD137" s="49">
        <f t="shared" si="16"/>
        <v>4</v>
      </c>
    </row>
    <row r="138" ht="15.75" customHeight="1">
      <c r="A138" s="10" t="s">
        <v>50</v>
      </c>
      <c r="B138" s="33" t="s">
        <v>230</v>
      </c>
      <c r="C138" s="13">
        <f>SUMIFS('Campaign - Dump'!$N:$N,'Campaign - Dump'!$J:$J,'Portfolio Wise '!$B138,'Campaign - Dump'!$A:$A,'Portfolio Wise '!$A138)</f>
        <v>395524</v>
      </c>
      <c r="D138" s="13">
        <f>SUMIFS('Campaign - Dump'!$O:$O,'Campaign - Dump'!$J:$J,'Portfolio Wise '!$B138,'Campaign - Dump'!$A:$A,'Portfolio Wise '!$A138)</f>
        <v>1265</v>
      </c>
      <c r="E138" s="23">
        <f t="shared" si="2"/>
        <v>0.003198288852</v>
      </c>
      <c r="F138" s="36">
        <f>SUMIFS('Campaign - Dump'!$Q:$Q,'Campaign - Dump'!$J:$J,'Portfolio Wise '!$B138,'Campaign - Dump'!$A:$A,'Portfolio Wise '!$A138)</f>
        <v>12308.17</v>
      </c>
      <c r="G138" s="38">
        <f t="shared" si="3"/>
        <v>9.729778656</v>
      </c>
      <c r="H138" s="41">
        <f>SUMIFS('Campaign - Dump'!$T:$T,'Campaign - Dump'!$J:$J,'Portfolio Wise '!$B138,'Campaign - Dump'!$A:$A,'Portfolio Wise '!$A138)</f>
        <v>0</v>
      </c>
      <c r="I138" s="23">
        <f t="shared" si="4"/>
        <v>0</v>
      </c>
      <c r="J138" s="36">
        <f>SUMIFS('Campaign - Dump'!$U:$U,'Campaign - Dump'!$J:$J,'Portfolio Wise '!$B138,'Campaign - Dump'!$A:$A,'Portfolio Wise '!$A138)</f>
        <v>0</v>
      </c>
      <c r="K138" s="23">
        <f t="shared" si="5"/>
        <v>0</v>
      </c>
      <c r="L138" s="38">
        <f t="shared" si="6"/>
        <v>0</v>
      </c>
      <c r="M138" s="41">
        <f t="shared" si="7"/>
        <v>0</v>
      </c>
      <c r="N138" s="13">
        <f t="shared" si="198"/>
        <v>23</v>
      </c>
      <c r="O138" s="36">
        <f t="shared" si="199"/>
        <v>502539.5254</v>
      </c>
      <c r="P138" s="41">
        <f t="shared" si="8"/>
        <v>21849.54458</v>
      </c>
      <c r="Q138" s="13">
        <f>SUMIFS('Business - Dump'!$W:$W,'Business - Dump'!$B:$B,'Portfolio Wise '!$B138,'Business - Dump'!$A:$A,'Portfolio Wise '!$A138)</f>
        <v>23</v>
      </c>
      <c r="R138" s="36">
        <f>SUMIFS('Business - Dump'!$U:$U,'Business - Dump'!$B:$B,'Portfolio Wise '!$B138,'Business - Dump'!$A:$A,'Portfolio Wise '!$A138)/1.18</f>
        <v>502539.5254</v>
      </c>
      <c r="S138" s="41">
        <f t="shared" si="9"/>
        <v>21849.54458</v>
      </c>
      <c r="T138" s="23">
        <f t="shared" si="10"/>
        <v>0.02449194417</v>
      </c>
      <c r="U138" s="38">
        <f t="shared" si="11"/>
        <v>40.82975174</v>
      </c>
      <c r="V138" s="41">
        <f>SUMIFS('Business - Dump'!$G:$G,'Business - Dump'!$B:$B,'Portfolio Wise '!$B138,'Business - Dump'!$A:$A,'Portfolio Wise '!$A138)</f>
        <v>2802</v>
      </c>
      <c r="W138" s="23">
        <f t="shared" si="12"/>
        <v>0.008208422555</v>
      </c>
      <c r="X138" s="23">
        <f t="shared" ref="X138:Y138" si="202">IFERROR(N138/Q138,0)</f>
        <v>1</v>
      </c>
      <c r="Y138" s="49">
        <f t="shared" si="202"/>
        <v>1</v>
      </c>
      <c r="Z138" s="49">
        <f t="shared" si="14"/>
        <v>0</v>
      </c>
      <c r="AA138" s="23">
        <f t="shared" si="15"/>
        <v>1</v>
      </c>
      <c r="AB138" s="23">
        <f>IFERROR(AVERAGEIFS('Business - Dump'!$O:$O,'Business - Dump'!$B:$B,'Portfolio Wise '!$B138,'Business - Dump'!$A:$A,'Portfolio Wise '!$A138),0)</f>
        <v>0.7833</v>
      </c>
      <c r="AC138" s="49">
        <f>F138/SUMIFS('Campaign - Dump'!$Q:$Q,'Campaign - Dump'!$A:$A,'Portfolio Wise '!$A138)</f>
        <v>0.01933605206</v>
      </c>
      <c r="AD138" s="49">
        <f t="shared" si="16"/>
        <v>0</v>
      </c>
    </row>
    <row r="139" ht="15.75" customHeight="1">
      <c r="A139" s="10" t="s">
        <v>50</v>
      </c>
      <c r="B139" s="33" t="s">
        <v>230</v>
      </c>
      <c r="C139" s="13">
        <f>SUMIFS('Campaign - Dump'!$N:$N,'Campaign - Dump'!$J:$J,'Portfolio Wise '!$B139,'Campaign - Dump'!$A:$A,'Portfolio Wise '!$A139)</f>
        <v>395524</v>
      </c>
      <c r="D139" s="13">
        <f>SUMIFS('Campaign - Dump'!$O:$O,'Campaign - Dump'!$J:$J,'Portfolio Wise '!$B139,'Campaign - Dump'!$A:$A,'Portfolio Wise '!$A139)</f>
        <v>1265</v>
      </c>
      <c r="E139" s="23">
        <f t="shared" si="2"/>
        <v>0.003198288852</v>
      </c>
      <c r="F139" s="36">
        <f>SUMIFS('Campaign - Dump'!$Q:$Q,'Campaign - Dump'!$J:$J,'Portfolio Wise '!$B139,'Campaign - Dump'!$A:$A,'Portfolio Wise '!$A139)</f>
        <v>12308.17</v>
      </c>
      <c r="G139" s="38">
        <f t="shared" si="3"/>
        <v>9.729778656</v>
      </c>
      <c r="H139" s="41">
        <f>SUMIFS('Campaign - Dump'!$T:$T,'Campaign - Dump'!$J:$J,'Portfolio Wise '!$B139,'Campaign - Dump'!$A:$A,'Portfolio Wise '!$A139)</f>
        <v>0</v>
      </c>
      <c r="I139" s="23">
        <f t="shared" si="4"/>
        <v>0</v>
      </c>
      <c r="J139" s="36">
        <f>SUMIFS('Campaign - Dump'!$U:$U,'Campaign - Dump'!$J:$J,'Portfolio Wise '!$B139,'Campaign - Dump'!$A:$A,'Portfolio Wise '!$A139)</f>
        <v>0</v>
      </c>
      <c r="K139" s="23">
        <f t="shared" si="5"/>
        <v>0</v>
      </c>
      <c r="L139" s="38">
        <f t="shared" si="6"/>
        <v>0</v>
      </c>
      <c r="M139" s="41">
        <f t="shared" si="7"/>
        <v>0</v>
      </c>
      <c r="N139" s="13">
        <f t="shared" si="198"/>
        <v>23</v>
      </c>
      <c r="O139" s="36">
        <f t="shared" si="199"/>
        <v>502539.5254</v>
      </c>
      <c r="P139" s="41">
        <f t="shared" si="8"/>
        <v>21849.54458</v>
      </c>
      <c r="Q139" s="13">
        <f>SUMIFS('Business - Dump'!$W:$W,'Business - Dump'!$B:$B,'Portfolio Wise '!$B139,'Business - Dump'!$A:$A,'Portfolio Wise '!$A139)</f>
        <v>23</v>
      </c>
      <c r="R139" s="36">
        <f>SUMIFS('Business - Dump'!$U:$U,'Business - Dump'!$B:$B,'Portfolio Wise '!$B139,'Business - Dump'!$A:$A,'Portfolio Wise '!$A139)/1.18</f>
        <v>502539.5254</v>
      </c>
      <c r="S139" s="41">
        <f t="shared" si="9"/>
        <v>21849.54458</v>
      </c>
      <c r="T139" s="23">
        <f t="shared" si="10"/>
        <v>0.02449194417</v>
      </c>
      <c r="U139" s="38">
        <f t="shared" si="11"/>
        <v>40.82975174</v>
      </c>
      <c r="V139" s="41">
        <f>SUMIFS('Business - Dump'!$G:$G,'Business - Dump'!$B:$B,'Portfolio Wise '!$B139,'Business - Dump'!$A:$A,'Portfolio Wise '!$A139)</f>
        <v>2802</v>
      </c>
      <c r="W139" s="23">
        <f t="shared" si="12"/>
        <v>0.008208422555</v>
      </c>
      <c r="X139" s="23">
        <f t="shared" ref="X139:Y139" si="203">IFERROR(N139/Q139,0)</f>
        <v>1</v>
      </c>
      <c r="Y139" s="49">
        <f t="shared" si="203"/>
        <v>1</v>
      </c>
      <c r="Z139" s="49">
        <f t="shared" si="14"/>
        <v>0</v>
      </c>
      <c r="AA139" s="23">
        <f t="shared" si="15"/>
        <v>1</v>
      </c>
      <c r="AB139" s="23">
        <f>IFERROR(AVERAGEIFS('Business - Dump'!$O:$O,'Business - Dump'!$B:$B,'Portfolio Wise '!$B139,'Business - Dump'!$A:$A,'Portfolio Wise '!$A139),0)</f>
        <v>0.7833</v>
      </c>
      <c r="AC139" s="49">
        <f>F139/SUMIFS('Campaign - Dump'!$Q:$Q,'Campaign - Dump'!$A:$A,'Portfolio Wise '!$A139)</f>
        <v>0.01933605206</v>
      </c>
      <c r="AD139" s="49">
        <f t="shared" si="16"/>
        <v>0</v>
      </c>
    </row>
    <row r="140" ht="15.75" customHeight="1">
      <c r="A140" s="10" t="s">
        <v>50</v>
      </c>
      <c r="B140" s="19" t="s">
        <v>232</v>
      </c>
      <c r="C140" s="13">
        <f>SUMIFS('Campaign - Dump'!$N:$N,'Campaign - Dump'!$J:$J,'Portfolio Wise '!$B140,'Campaign - Dump'!$A:$A,'Portfolio Wise '!$A140)</f>
        <v>0</v>
      </c>
      <c r="D140" s="13">
        <f>SUMIFS('Campaign - Dump'!$O:$O,'Campaign - Dump'!$J:$J,'Portfolio Wise '!$B140,'Campaign - Dump'!$A:$A,'Portfolio Wise '!$A140)</f>
        <v>0</v>
      </c>
      <c r="E140" s="23">
        <f t="shared" si="2"/>
        <v>0</v>
      </c>
      <c r="F140" s="36">
        <f>SUMIFS('Campaign - Dump'!$Q:$Q,'Campaign - Dump'!$J:$J,'Portfolio Wise '!$B140,'Campaign - Dump'!$A:$A,'Portfolio Wise '!$A140)</f>
        <v>0</v>
      </c>
      <c r="G140" s="38">
        <f t="shared" si="3"/>
        <v>0</v>
      </c>
      <c r="H140" s="41">
        <f>SUMIFS('Campaign - Dump'!$T:$T,'Campaign - Dump'!$J:$J,'Portfolio Wise '!$B140,'Campaign - Dump'!$A:$A,'Portfolio Wise '!$A140)</f>
        <v>0</v>
      </c>
      <c r="I140" s="23">
        <f t="shared" si="4"/>
        <v>0</v>
      </c>
      <c r="J140" s="36">
        <f>SUMIFS('Campaign - Dump'!$U:$U,'Campaign - Dump'!$J:$J,'Portfolio Wise '!$B140,'Campaign - Dump'!$A:$A,'Portfolio Wise '!$A140)</f>
        <v>0</v>
      </c>
      <c r="K140" s="23">
        <f t="shared" si="5"/>
        <v>0</v>
      </c>
      <c r="L140" s="38">
        <f t="shared" si="6"/>
        <v>0</v>
      </c>
      <c r="M140" s="41">
        <f t="shared" si="7"/>
        <v>0</v>
      </c>
      <c r="N140" s="13">
        <f t="shared" si="198"/>
        <v>0</v>
      </c>
      <c r="O140" s="36">
        <f t="shared" si="199"/>
        <v>0</v>
      </c>
      <c r="P140" s="41">
        <f t="shared" si="8"/>
        <v>0</v>
      </c>
      <c r="Q140" s="13">
        <f>SUMIFS('Business - Dump'!$W:$W,'Business - Dump'!$B:$B,'Portfolio Wise '!$B140,'Business - Dump'!$A:$A,'Portfolio Wise '!$A140)</f>
        <v>0</v>
      </c>
      <c r="R140" s="36">
        <f>SUMIFS('Business - Dump'!$U:$U,'Business - Dump'!$B:$B,'Portfolio Wise '!$B140,'Business - Dump'!$A:$A,'Portfolio Wise '!$A140)/1.18</f>
        <v>0</v>
      </c>
      <c r="S140" s="41">
        <f t="shared" si="9"/>
        <v>0</v>
      </c>
      <c r="T140" s="23">
        <f t="shared" si="10"/>
        <v>0</v>
      </c>
      <c r="U140" s="38">
        <f t="shared" si="11"/>
        <v>0</v>
      </c>
      <c r="V140" s="41">
        <f>SUMIFS('Business - Dump'!$G:$G,'Business - Dump'!$B:$B,'Portfolio Wise '!$B140,'Business - Dump'!$A:$A,'Portfolio Wise '!$A140)</f>
        <v>0</v>
      </c>
      <c r="W140" s="48">
        <f t="shared" si="12"/>
        <v>0</v>
      </c>
      <c r="X140" s="23">
        <f t="shared" ref="X140:Y140" si="204">IFERROR(N140/Q140,0)</f>
        <v>0</v>
      </c>
      <c r="Y140" s="49">
        <f t="shared" si="204"/>
        <v>0</v>
      </c>
      <c r="Z140" s="49">
        <f t="shared" si="14"/>
        <v>0</v>
      </c>
      <c r="AA140" s="23">
        <f t="shared" si="15"/>
        <v>0</v>
      </c>
      <c r="AB140" s="23">
        <f>IFERROR(AVERAGEIFS('Business - Dump'!$O:$O,'Business - Dump'!$B:$B,'Portfolio Wise '!$B140,'Business - Dump'!$A:$A,'Portfolio Wise '!$A140),0)</f>
        <v>0</v>
      </c>
      <c r="AC140" s="49">
        <f>F140/SUMIFS('Campaign - Dump'!$Q:$Q,'Campaign - Dump'!$A:$A,'Portfolio Wise '!$A140)</f>
        <v>0</v>
      </c>
      <c r="AD140" s="49">
        <f t="shared" si="16"/>
        <v>0</v>
      </c>
    </row>
    <row r="141" ht="15.75" customHeight="1">
      <c r="A141" s="10" t="s">
        <v>50</v>
      </c>
      <c r="B141" s="51" t="s">
        <v>239</v>
      </c>
      <c r="C141" s="13">
        <f>SUMIFS('Campaign - Dump'!$N:$N,'Campaign - Dump'!$J:$J,'Portfolio Wise '!$B141,'Campaign - Dump'!$A:$A,'Portfolio Wise '!$A141)</f>
        <v>0</v>
      </c>
      <c r="D141" s="13">
        <f>SUMIFS('Campaign - Dump'!$O:$O,'Campaign - Dump'!$J:$J,'Portfolio Wise '!$B141,'Campaign - Dump'!$A:$A,'Portfolio Wise '!$A141)</f>
        <v>0</v>
      </c>
      <c r="E141" s="23">
        <f t="shared" si="2"/>
        <v>0</v>
      </c>
      <c r="F141" s="36">
        <f>SUMIFS('Campaign - Dump'!$Q:$Q,'Campaign - Dump'!$J:$J,'Portfolio Wise '!$B141,'Campaign - Dump'!$A:$A,'Portfolio Wise '!$A141)</f>
        <v>0</v>
      </c>
      <c r="G141" s="38">
        <f t="shared" si="3"/>
        <v>0</v>
      </c>
      <c r="H141" s="41">
        <f>SUMIFS('Campaign - Dump'!$T:$T,'Campaign - Dump'!$J:$J,'Portfolio Wise '!$B141,'Campaign - Dump'!$A:$A,'Portfolio Wise '!$A141)</f>
        <v>0</v>
      </c>
      <c r="I141" s="23">
        <f t="shared" si="4"/>
        <v>0</v>
      </c>
      <c r="J141" s="36">
        <f>SUMIFS('Campaign - Dump'!$U:$U,'Campaign - Dump'!$J:$J,'Portfolio Wise '!$B141,'Campaign - Dump'!$A:$A,'Portfolio Wise '!$A141)</f>
        <v>0</v>
      </c>
      <c r="K141" s="23">
        <f t="shared" si="5"/>
        <v>0</v>
      </c>
      <c r="L141" s="38">
        <f t="shared" si="6"/>
        <v>0</v>
      </c>
      <c r="M141" s="41">
        <f t="shared" si="7"/>
        <v>0</v>
      </c>
      <c r="N141" s="13">
        <f t="shared" si="198"/>
        <v>0</v>
      </c>
      <c r="O141" s="36">
        <f t="shared" si="199"/>
        <v>0</v>
      </c>
      <c r="P141" s="41">
        <f t="shared" si="8"/>
        <v>0</v>
      </c>
      <c r="Q141" s="13">
        <f>SUMIFS('Business - Dump'!$W:$W,'Business - Dump'!$B:$B,'Portfolio Wise '!$B141,'Business - Dump'!$A:$A,'Portfolio Wise '!$A141)</f>
        <v>0</v>
      </c>
      <c r="R141" s="36">
        <f>SUMIFS('Business - Dump'!$U:$U,'Business - Dump'!$B:$B,'Portfolio Wise '!$B141,'Business - Dump'!$A:$A,'Portfolio Wise '!$A141)/1.18</f>
        <v>0</v>
      </c>
      <c r="S141" s="41">
        <f t="shared" si="9"/>
        <v>0</v>
      </c>
      <c r="T141" s="23">
        <f t="shared" si="10"/>
        <v>0</v>
      </c>
      <c r="U141" s="38">
        <f t="shared" si="11"/>
        <v>0</v>
      </c>
      <c r="V141" s="41">
        <f>SUMIFS('Business - Dump'!$G:$G,'Business - Dump'!$B:$B,'Portfolio Wise '!$B141,'Business - Dump'!$A:$A,'Portfolio Wise '!$A141)</f>
        <v>0</v>
      </c>
      <c r="W141" s="48">
        <f t="shared" si="12"/>
        <v>0</v>
      </c>
      <c r="X141" s="23">
        <f t="shared" ref="X141:Y141" si="205">IFERROR(N141/Q141,0)</f>
        <v>0</v>
      </c>
      <c r="Y141" s="49">
        <f t="shared" si="205"/>
        <v>0</v>
      </c>
      <c r="Z141" s="49">
        <f t="shared" si="14"/>
        <v>0</v>
      </c>
      <c r="AA141" s="23">
        <f t="shared" si="15"/>
        <v>0</v>
      </c>
      <c r="AB141" s="23">
        <f>IFERROR(AVERAGEIFS('Business - Dump'!$O:$O,'Business - Dump'!$B:$B,'Portfolio Wise '!$B141,'Business - Dump'!$A:$A,'Portfolio Wise '!$A141),0)</f>
        <v>0</v>
      </c>
      <c r="AC141" s="49">
        <f>F141/SUMIFS('Campaign - Dump'!$Q:$Q,'Campaign - Dump'!$A:$A,'Portfolio Wise '!$A141)</f>
        <v>0</v>
      </c>
      <c r="AD141" s="49">
        <f t="shared" si="16"/>
        <v>0</v>
      </c>
    </row>
    <row r="142" ht="15.75" customHeight="1">
      <c r="A142" s="10" t="s">
        <v>50</v>
      </c>
      <c r="B142" s="19" t="s">
        <v>240</v>
      </c>
      <c r="C142" s="13">
        <f>SUMIFS('Campaign - Dump'!$N:$N,'Campaign - Dump'!$J:$J,'Portfolio Wise '!$B142,'Campaign - Dump'!$A:$A,'Portfolio Wise '!$A142)</f>
        <v>0</v>
      </c>
      <c r="D142" s="13">
        <f>SUMIFS('Campaign - Dump'!$O:$O,'Campaign - Dump'!$J:$J,'Portfolio Wise '!$B142,'Campaign - Dump'!$A:$A,'Portfolio Wise '!$A142)</f>
        <v>0</v>
      </c>
      <c r="E142" s="23">
        <f t="shared" si="2"/>
        <v>0</v>
      </c>
      <c r="F142" s="36">
        <f>SUMIFS('Campaign - Dump'!$Q:$Q,'Campaign - Dump'!$J:$J,'Portfolio Wise '!$B142,'Campaign - Dump'!$A:$A,'Portfolio Wise '!$A142)</f>
        <v>0</v>
      </c>
      <c r="G142" s="38">
        <f t="shared" si="3"/>
        <v>0</v>
      </c>
      <c r="H142" s="41">
        <f>SUMIFS('Campaign - Dump'!$T:$T,'Campaign - Dump'!$J:$J,'Portfolio Wise '!$B142,'Campaign - Dump'!$A:$A,'Portfolio Wise '!$A142)</f>
        <v>0</v>
      </c>
      <c r="I142" s="23">
        <f t="shared" si="4"/>
        <v>0</v>
      </c>
      <c r="J142" s="36">
        <f>SUMIFS('Campaign - Dump'!$U:$U,'Campaign - Dump'!$J:$J,'Portfolio Wise '!$B142,'Campaign - Dump'!$A:$A,'Portfolio Wise '!$A142)</f>
        <v>0</v>
      </c>
      <c r="K142" s="23">
        <f t="shared" si="5"/>
        <v>0</v>
      </c>
      <c r="L142" s="38">
        <f t="shared" si="6"/>
        <v>0</v>
      </c>
      <c r="M142" s="41">
        <f t="shared" si="7"/>
        <v>0</v>
      </c>
      <c r="N142" s="13">
        <f t="shared" si="198"/>
        <v>0</v>
      </c>
      <c r="O142" s="36">
        <f t="shared" si="199"/>
        <v>0</v>
      </c>
      <c r="P142" s="41">
        <f t="shared" si="8"/>
        <v>0</v>
      </c>
      <c r="Q142" s="13">
        <f>SUMIFS('Business - Dump'!$W:$W,'Business - Dump'!$B:$B,'Portfolio Wise '!$B142,'Business - Dump'!$A:$A,'Portfolio Wise '!$A142)</f>
        <v>0</v>
      </c>
      <c r="R142" s="36">
        <f>SUMIFS('Business - Dump'!$U:$U,'Business - Dump'!$B:$B,'Portfolio Wise '!$B142,'Business - Dump'!$A:$A,'Portfolio Wise '!$A142)/1.18</f>
        <v>0</v>
      </c>
      <c r="S142" s="41">
        <f t="shared" si="9"/>
        <v>0</v>
      </c>
      <c r="T142" s="23">
        <f t="shared" si="10"/>
        <v>0</v>
      </c>
      <c r="U142" s="38">
        <f t="shared" si="11"/>
        <v>0</v>
      </c>
      <c r="V142" s="41">
        <f>SUMIFS('Business - Dump'!$G:$G,'Business - Dump'!$B:$B,'Portfolio Wise '!$B142,'Business - Dump'!$A:$A,'Portfolio Wise '!$A142)</f>
        <v>0</v>
      </c>
      <c r="W142" s="48">
        <f t="shared" si="12"/>
        <v>0</v>
      </c>
      <c r="X142" s="23">
        <f t="shared" ref="X142:Y142" si="206">IFERROR(N142/Q142,0)</f>
        <v>0</v>
      </c>
      <c r="Y142" s="49">
        <f t="shared" si="206"/>
        <v>0</v>
      </c>
      <c r="Z142" s="49">
        <f t="shared" si="14"/>
        <v>0</v>
      </c>
      <c r="AA142" s="23">
        <f t="shared" si="15"/>
        <v>0</v>
      </c>
      <c r="AB142" s="23">
        <f>IFERROR(AVERAGEIFS('Business - Dump'!$O:$O,'Business - Dump'!$B:$B,'Portfolio Wise '!$B142,'Business - Dump'!$A:$A,'Portfolio Wise '!$A142),0)</f>
        <v>0</v>
      </c>
      <c r="AC142" s="49">
        <f>F142/SUMIFS('Campaign - Dump'!$Q:$Q,'Campaign - Dump'!$A:$A,'Portfolio Wise '!$A142)</f>
        <v>0</v>
      </c>
      <c r="AD142" s="49">
        <f t="shared" si="16"/>
        <v>0</v>
      </c>
    </row>
    <row r="143" ht="15.75" customHeight="1">
      <c r="A143" s="10" t="s">
        <v>50</v>
      </c>
      <c r="B143" s="10" t="s">
        <v>241</v>
      </c>
      <c r="C143" s="13">
        <f>SUMIFS('Campaign - Dump'!$N:$N,'Campaign - Dump'!$J:$J,'Portfolio Wise '!$B143,'Campaign - Dump'!$A:$A,'Portfolio Wise '!$A143)</f>
        <v>0</v>
      </c>
      <c r="D143" s="13">
        <f>SUMIFS('Campaign - Dump'!$O:$O,'Campaign - Dump'!$J:$J,'Portfolio Wise '!$B143,'Campaign - Dump'!$A:$A,'Portfolio Wise '!$A143)</f>
        <v>0</v>
      </c>
      <c r="E143" s="23">
        <f t="shared" si="2"/>
        <v>0</v>
      </c>
      <c r="F143" s="36">
        <f>SUMIFS('Campaign - Dump'!$Q:$Q,'Campaign - Dump'!$J:$J,'Portfolio Wise '!$B143,'Campaign - Dump'!$A:$A,'Portfolio Wise '!$A143)</f>
        <v>0</v>
      </c>
      <c r="G143" s="38">
        <f t="shared" si="3"/>
        <v>0</v>
      </c>
      <c r="H143" s="41">
        <f>SUMIFS('Campaign - Dump'!$T:$T,'Campaign - Dump'!$J:$J,'Portfolio Wise '!$B143,'Campaign - Dump'!$A:$A,'Portfolio Wise '!$A143)</f>
        <v>0</v>
      </c>
      <c r="I143" s="23">
        <f t="shared" si="4"/>
        <v>0</v>
      </c>
      <c r="J143" s="36">
        <f>SUMIFS('Campaign - Dump'!$U:$U,'Campaign - Dump'!$J:$J,'Portfolio Wise '!$B143,'Campaign - Dump'!$A:$A,'Portfolio Wise '!$A143)</f>
        <v>0</v>
      </c>
      <c r="K143" s="23">
        <f t="shared" si="5"/>
        <v>0</v>
      </c>
      <c r="L143" s="38">
        <f t="shared" si="6"/>
        <v>0</v>
      </c>
      <c r="M143" s="41">
        <f t="shared" si="7"/>
        <v>0</v>
      </c>
      <c r="N143" s="13">
        <f t="shared" si="198"/>
        <v>3</v>
      </c>
      <c r="O143" s="36">
        <f t="shared" si="199"/>
        <v>6660.169492</v>
      </c>
      <c r="P143" s="41">
        <f t="shared" si="8"/>
        <v>2220.056497</v>
      </c>
      <c r="Q143" s="13">
        <f>SUMIFS('Business - Dump'!$W:$W,'Business - Dump'!$B:$B,'Portfolio Wise '!$B143,'Business - Dump'!$A:$A,'Portfolio Wise '!$A143)</f>
        <v>3</v>
      </c>
      <c r="R143" s="36">
        <f>SUMIFS('Business - Dump'!$U:$U,'Business - Dump'!$B:$B,'Portfolio Wise '!$B143,'Business - Dump'!$A:$A,'Portfolio Wise '!$A143)/1.18</f>
        <v>6660.169492</v>
      </c>
      <c r="S143" s="41">
        <f t="shared" si="9"/>
        <v>2220.056497</v>
      </c>
      <c r="T143" s="23">
        <f t="shared" si="10"/>
        <v>0</v>
      </c>
      <c r="U143" s="38">
        <f t="shared" si="11"/>
        <v>0</v>
      </c>
      <c r="V143" s="41">
        <f>SUMIFS('Business - Dump'!$G:$G,'Business - Dump'!$B:$B,'Portfolio Wise '!$B143,'Business - Dump'!$A:$A,'Portfolio Wise '!$A143)</f>
        <v>298</v>
      </c>
      <c r="W143" s="48">
        <f t="shared" si="12"/>
        <v>0.01006711409</v>
      </c>
      <c r="X143" s="23">
        <f t="shared" ref="X143:Y143" si="207">IFERROR(N143/Q143,0)</f>
        <v>1</v>
      </c>
      <c r="Y143" s="49">
        <f t="shared" si="207"/>
        <v>1</v>
      </c>
      <c r="Z143" s="49">
        <f t="shared" si="14"/>
        <v>0</v>
      </c>
      <c r="AA143" s="23">
        <f t="shared" si="15"/>
        <v>1</v>
      </c>
      <c r="AB143" s="23">
        <f>IFERROR(AVERAGEIFS('Business - Dump'!$O:$O,'Business - Dump'!$B:$B,'Portfolio Wise '!$B143,'Business - Dump'!$A:$A,'Portfolio Wise '!$A143),0)</f>
        <v>0.9755666667</v>
      </c>
      <c r="AC143" s="49">
        <f>F143/SUMIFS('Campaign - Dump'!$Q:$Q,'Campaign - Dump'!$A:$A,'Portfolio Wise '!$A143)</f>
        <v>0</v>
      </c>
      <c r="AD143" s="49">
        <f t="shared" si="16"/>
        <v>0</v>
      </c>
    </row>
    <row r="144" ht="15.75" customHeight="1">
      <c r="A144" s="10" t="s">
        <v>50</v>
      </c>
      <c r="B144" s="19" t="s">
        <v>248</v>
      </c>
      <c r="C144" s="13">
        <f>SUMIFS('Campaign - Dump'!$N:$N,'Campaign - Dump'!$J:$J,'Portfolio Wise '!$B144,'Campaign - Dump'!$A:$A,'Portfolio Wise '!$A144)</f>
        <v>0</v>
      </c>
      <c r="D144" s="13">
        <f>SUMIFS('Campaign - Dump'!$O:$O,'Campaign - Dump'!$J:$J,'Portfolio Wise '!$B144,'Campaign - Dump'!$A:$A,'Portfolio Wise '!$A144)</f>
        <v>0</v>
      </c>
      <c r="E144" s="23">
        <f t="shared" si="2"/>
        <v>0</v>
      </c>
      <c r="F144" s="36">
        <f>SUMIFS('Campaign - Dump'!$Q:$Q,'Campaign - Dump'!$J:$J,'Portfolio Wise '!$B144,'Campaign - Dump'!$A:$A,'Portfolio Wise '!$A144)</f>
        <v>0</v>
      </c>
      <c r="G144" s="38">
        <f t="shared" si="3"/>
        <v>0</v>
      </c>
      <c r="H144" s="41">
        <f>SUMIFS('Campaign - Dump'!$T:$T,'Campaign - Dump'!$J:$J,'Portfolio Wise '!$B144,'Campaign - Dump'!$A:$A,'Portfolio Wise '!$A144)</f>
        <v>0</v>
      </c>
      <c r="I144" s="23">
        <f t="shared" si="4"/>
        <v>0</v>
      </c>
      <c r="J144" s="36">
        <f>SUMIFS('Campaign - Dump'!$U:$U,'Campaign - Dump'!$J:$J,'Portfolio Wise '!$B144,'Campaign - Dump'!$A:$A,'Portfolio Wise '!$A144)</f>
        <v>0</v>
      </c>
      <c r="K144" s="23">
        <f t="shared" si="5"/>
        <v>0</v>
      </c>
      <c r="L144" s="38">
        <f t="shared" si="6"/>
        <v>0</v>
      </c>
      <c r="M144" s="41">
        <f t="shared" si="7"/>
        <v>0</v>
      </c>
      <c r="N144" s="13">
        <f t="shared" si="198"/>
        <v>1</v>
      </c>
      <c r="O144" s="36">
        <f t="shared" si="199"/>
        <v>9237.288136</v>
      </c>
      <c r="P144" s="41">
        <f t="shared" si="8"/>
        <v>9237.288136</v>
      </c>
      <c r="Q144" s="13">
        <f>SUMIFS('Business - Dump'!$W:$W,'Business - Dump'!$B:$B,'Portfolio Wise '!$B144,'Business - Dump'!$A:$A,'Portfolio Wise '!$A144)</f>
        <v>1</v>
      </c>
      <c r="R144" s="36">
        <f>SUMIFS('Business - Dump'!$U:$U,'Business - Dump'!$B:$B,'Portfolio Wise '!$B144,'Business - Dump'!$A:$A,'Portfolio Wise '!$A144)/1.18</f>
        <v>9237.288136</v>
      </c>
      <c r="S144" s="41">
        <f t="shared" si="9"/>
        <v>9237.288136</v>
      </c>
      <c r="T144" s="23">
        <f t="shared" si="10"/>
        <v>0</v>
      </c>
      <c r="U144" s="38">
        <f t="shared" si="11"/>
        <v>0</v>
      </c>
      <c r="V144" s="41">
        <f>SUMIFS('Business - Dump'!$G:$G,'Business - Dump'!$B:$B,'Portfolio Wise '!$B144,'Business - Dump'!$A:$A,'Portfolio Wise '!$A144)</f>
        <v>126</v>
      </c>
      <c r="W144" s="48">
        <f t="shared" si="12"/>
        <v>0.007936507937</v>
      </c>
      <c r="X144" s="23">
        <f t="shared" ref="X144:Y144" si="208">IFERROR(N144/Q144,0)</f>
        <v>1</v>
      </c>
      <c r="Y144" s="49">
        <f t="shared" si="208"/>
        <v>1</v>
      </c>
      <c r="Z144" s="49">
        <f t="shared" si="14"/>
        <v>0</v>
      </c>
      <c r="AA144" s="23">
        <f t="shared" si="15"/>
        <v>1</v>
      </c>
      <c r="AB144" s="23">
        <f>IFERROR(AVERAGEIFS('Business - Dump'!$O:$O,'Business - Dump'!$B:$B,'Portfolio Wise '!$B144,'Business - Dump'!$A:$A,'Portfolio Wise '!$A144),0)</f>
        <v>0.9054</v>
      </c>
      <c r="AC144" s="49">
        <f>F144/SUMIFS('Campaign - Dump'!$Q:$Q,'Campaign - Dump'!$A:$A,'Portfolio Wise '!$A144)</f>
        <v>0</v>
      </c>
      <c r="AD144" s="49">
        <f t="shared" si="16"/>
        <v>0</v>
      </c>
    </row>
    <row r="145" ht="15.75" customHeight="1">
      <c r="A145" s="126" t="s">
        <v>50</v>
      </c>
      <c r="B145" s="126" t="s">
        <v>432</v>
      </c>
      <c r="C145" s="127">
        <f t="shared" ref="C145:D145" si="209">SUM(C122:C144)</f>
        <v>6089606</v>
      </c>
      <c r="D145" s="127">
        <f t="shared" si="209"/>
        <v>26606</v>
      </c>
      <c r="E145" s="62">
        <f t="shared" si="2"/>
        <v>0.004369083977</v>
      </c>
      <c r="F145" s="128">
        <f>SUM(F122:F144)</f>
        <v>649733.93</v>
      </c>
      <c r="G145" s="129">
        <f t="shared" si="3"/>
        <v>24.42057919</v>
      </c>
      <c r="H145" s="130">
        <f>SUM(H122:H144)</f>
        <v>192</v>
      </c>
      <c r="I145" s="62">
        <f t="shared" si="4"/>
        <v>0.007216417349</v>
      </c>
      <c r="J145" s="128">
        <f>SUM(J122:J144)</f>
        <v>3539615.96</v>
      </c>
      <c r="K145" s="62">
        <f t="shared" si="5"/>
        <v>0.1835605719</v>
      </c>
      <c r="L145" s="129">
        <f t="shared" si="6"/>
        <v>5.447793007</v>
      </c>
      <c r="M145" s="130">
        <f t="shared" si="7"/>
        <v>18435.49979</v>
      </c>
      <c r="N145" s="127">
        <f t="shared" ref="N145:O145" si="210">SUM(N122:N144)</f>
        <v>199</v>
      </c>
      <c r="O145" s="128">
        <f t="shared" si="210"/>
        <v>3490761.466</v>
      </c>
      <c r="P145" s="130">
        <f t="shared" si="8"/>
        <v>17541.51491</v>
      </c>
      <c r="Q145" s="127">
        <f t="shared" ref="Q145:R145" si="211">SUM(Q122:Q144)</f>
        <v>314</v>
      </c>
      <c r="R145" s="128">
        <f t="shared" si="211"/>
        <v>5404832.576</v>
      </c>
      <c r="S145" s="130">
        <f t="shared" si="9"/>
        <v>17212.8426</v>
      </c>
      <c r="T145" s="62">
        <f t="shared" si="10"/>
        <v>0.1202135165</v>
      </c>
      <c r="U145" s="129">
        <f t="shared" si="11"/>
        <v>8.318532136</v>
      </c>
      <c r="V145" s="130">
        <f>SUM(V122:V144)</f>
        <v>50794</v>
      </c>
      <c r="W145" s="131">
        <f t="shared" si="12"/>
        <v>0.0061818325</v>
      </c>
      <c r="X145" s="62">
        <f t="shared" ref="X145:Y145" si="212">IFERROR(N145/Q145,0)</f>
        <v>0.6337579618</v>
      </c>
      <c r="Y145" s="132">
        <f t="shared" si="212"/>
        <v>0.6458593152</v>
      </c>
      <c r="Z145" s="132">
        <f t="shared" si="14"/>
        <v>0.6114649682</v>
      </c>
      <c r="AA145" s="62">
        <f t="shared" si="15"/>
        <v>0.6458593152</v>
      </c>
      <c r="AB145" s="62">
        <f>IFERROR(AVERAGEIFS('Business - Dump'!$O:$O,'Business - Dump'!$B:$B,'Portfolio Wise '!$B145,'Business - Dump'!$A:$A,'Portfolio Wise '!$A145),0)</f>
        <v>0</v>
      </c>
      <c r="AC145" s="132">
        <f>F145/SUMIFS('Campaign - Dump'!$Q:$Q,'Campaign - Dump'!$A:$A,'Portfolio Wise '!$A145)</f>
        <v>1.020727622</v>
      </c>
      <c r="AD145" s="132">
        <f t="shared" si="16"/>
        <v>1.036458333</v>
      </c>
    </row>
    <row r="146" ht="15.75" customHeight="1">
      <c r="A146" s="10" t="s">
        <v>54</v>
      </c>
      <c r="B146" s="33" t="s">
        <v>90</v>
      </c>
      <c r="C146" s="13">
        <f>SUMIFS('Campaign - Dump'!$N:$N,'Campaign - Dump'!$J:$J,'Portfolio Wise '!$B146,'Campaign - Dump'!$A:$A,'Portfolio Wise '!$A146)</f>
        <v>607676</v>
      </c>
      <c r="D146" s="13">
        <f>SUMIFS('Campaign - Dump'!$O:$O,'Campaign - Dump'!$J:$J,'Portfolio Wise '!$B146,'Campaign - Dump'!$A:$A,'Portfolio Wise '!$A146)</f>
        <v>1592</v>
      </c>
      <c r="E146" s="23">
        <f t="shared" si="2"/>
        <v>0.002619817139</v>
      </c>
      <c r="F146" s="36">
        <f>SUMIFS('Campaign - Dump'!$Q:$Q,'Campaign - Dump'!$J:$J,'Portfolio Wise '!$B146,'Campaign - Dump'!$A:$A,'Portfolio Wise '!$A146)</f>
        <v>49199.6</v>
      </c>
      <c r="G146" s="38">
        <f t="shared" si="3"/>
        <v>30.90427136</v>
      </c>
      <c r="H146" s="41">
        <f>SUMIFS('Campaign - Dump'!$T:$T,'Campaign - Dump'!$J:$J,'Portfolio Wise '!$B146,'Campaign - Dump'!$A:$A,'Portfolio Wise '!$A146)</f>
        <v>20</v>
      </c>
      <c r="I146" s="23">
        <f t="shared" si="4"/>
        <v>0.01256281407</v>
      </c>
      <c r="J146" s="36">
        <f>SUMIFS('Campaign - Dump'!$U:$U,'Campaign - Dump'!$J:$J,'Portfolio Wise '!$B146,'Campaign - Dump'!$A:$A,'Portfolio Wise '!$A146)</f>
        <v>387155.09</v>
      </c>
      <c r="K146" s="23">
        <f t="shared" si="5"/>
        <v>0.1270798222</v>
      </c>
      <c r="L146" s="38">
        <f t="shared" si="6"/>
        <v>7.86906987</v>
      </c>
      <c r="M146" s="41">
        <f t="shared" si="7"/>
        <v>19357.7545</v>
      </c>
      <c r="N146" s="13">
        <v>0.0</v>
      </c>
      <c r="O146" s="36">
        <v>0.0</v>
      </c>
      <c r="P146" s="41">
        <f t="shared" si="8"/>
        <v>0</v>
      </c>
      <c r="Q146" s="13">
        <f>SUMIFS('Business - Dump'!$W:$W,'Business - Dump'!$B:$B,'Portfolio Wise '!$B146,'Business - Dump'!$A:$A,'Portfolio Wise '!$A146)</f>
        <v>0</v>
      </c>
      <c r="R146" s="36">
        <f>SUMIFS('Business - Dump'!$U:$U,'Business - Dump'!$B:$B,'Portfolio Wise '!$B146,'Business - Dump'!$A:$A,'Portfolio Wise '!$A146)/1.18</f>
        <v>0</v>
      </c>
      <c r="S146" s="41">
        <f t="shared" si="9"/>
        <v>0</v>
      </c>
      <c r="T146" s="23">
        <f t="shared" si="10"/>
        <v>0</v>
      </c>
      <c r="U146" s="38">
        <f t="shared" si="11"/>
        <v>0</v>
      </c>
      <c r="V146" s="41">
        <f>SUMIFS('Business - Dump'!$G:$G,'Business - Dump'!$B:$B,'Portfolio Wise '!$B146,'Business - Dump'!$A:$A,'Portfolio Wise '!$A146)</f>
        <v>0</v>
      </c>
      <c r="W146" s="48">
        <f t="shared" si="12"/>
        <v>0</v>
      </c>
      <c r="X146" s="23">
        <f t="shared" ref="X146:Y146" si="213">IFERROR(N146/Q146,0)</f>
        <v>0</v>
      </c>
      <c r="Y146" s="49">
        <f t="shared" si="213"/>
        <v>0</v>
      </c>
      <c r="Z146" s="49">
        <f t="shared" si="14"/>
        <v>0</v>
      </c>
      <c r="AA146" s="23">
        <f t="shared" si="15"/>
        <v>0</v>
      </c>
      <c r="AB146" s="23">
        <f>IFERROR(AVERAGEIFS('Business - Dump'!$O:$O,'Business - Dump'!$B:$B,'Portfolio Wise '!$B146,'Business - Dump'!$A:$A,'Portfolio Wise '!$A146),0)</f>
        <v>0</v>
      </c>
      <c r="AC146" s="49">
        <f>F146/SUMIFS('Campaign - Dump'!$Q:$Q,'Campaign - Dump'!$A:$A,'Portfolio Wise '!$A146)</f>
        <v>0.05375797349</v>
      </c>
      <c r="AD146" s="49">
        <f t="shared" si="16"/>
        <v>0</v>
      </c>
    </row>
    <row r="147" ht="15.75" customHeight="1">
      <c r="A147" s="10" t="s">
        <v>54</v>
      </c>
      <c r="B147" s="51" t="s">
        <v>110</v>
      </c>
      <c r="C147" s="13">
        <f>SUMIFS('Campaign - Dump'!$N:$N,'Campaign - Dump'!$J:$J,'Portfolio Wise '!$B147,'Campaign - Dump'!$A:$A,'Portfolio Wise '!$A147)</f>
        <v>0</v>
      </c>
      <c r="D147" s="13">
        <f>SUMIFS('Campaign - Dump'!$O:$O,'Campaign - Dump'!$J:$J,'Portfolio Wise '!$B147,'Campaign - Dump'!$A:$A,'Portfolio Wise '!$A147)</f>
        <v>0</v>
      </c>
      <c r="E147" s="23">
        <f t="shared" si="2"/>
        <v>0</v>
      </c>
      <c r="F147" s="36">
        <f>SUMIFS('Campaign - Dump'!$Q:$Q,'Campaign - Dump'!$J:$J,'Portfolio Wise '!$B147,'Campaign - Dump'!$A:$A,'Portfolio Wise '!$A147)</f>
        <v>0</v>
      </c>
      <c r="G147" s="38">
        <f t="shared" si="3"/>
        <v>0</v>
      </c>
      <c r="H147" s="41">
        <f>SUMIFS('Campaign - Dump'!$T:$T,'Campaign - Dump'!$J:$J,'Portfolio Wise '!$B147,'Campaign - Dump'!$A:$A,'Portfolio Wise '!$A147)</f>
        <v>0</v>
      </c>
      <c r="I147" s="23">
        <f t="shared" si="4"/>
        <v>0</v>
      </c>
      <c r="J147" s="36">
        <f>SUMIFS('Campaign - Dump'!$U:$U,'Campaign - Dump'!$J:$J,'Portfolio Wise '!$B147,'Campaign - Dump'!$A:$A,'Portfolio Wise '!$A147)</f>
        <v>0</v>
      </c>
      <c r="K147" s="23">
        <f t="shared" si="5"/>
        <v>0</v>
      </c>
      <c r="L147" s="38">
        <f t="shared" si="6"/>
        <v>0</v>
      </c>
      <c r="M147" s="41">
        <f t="shared" si="7"/>
        <v>0</v>
      </c>
      <c r="N147" s="13">
        <f t="shared" ref="N147:N148" si="215">IFERROR(Q147-H147,0)</f>
        <v>0</v>
      </c>
      <c r="O147" s="36">
        <f t="shared" ref="O147:O148" si="216">IFERROR(R147-J147,0)</f>
        <v>0</v>
      </c>
      <c r="P147" s="41">
        <f t="shared" si="8"/>
        <v>0</v>
      </c>
      <c r="Q147" s="13">
        <f>SUMIFS('Business - Dump'!$W:$W,'Business - Dump'!$B:$B,'Portfolio Wise '!$B147,'Business - Dump'!$A:$A,'Portfolio Wise '!$A147)</f>
        <v>0</v>
      </c>
      <c r="R147" s="36">
        <f>SUMIFS('Business - Dump'!$U:$U,'Business - Dump'!$B:$B,'Portfolio Wise '!$B147,'Business - Dump'!$A:$A,'Portfolio Wise '!$A147)/1.18</f>
        <v>0</v>
      </c>
      <c r="S147" s="41">
        <f t="shared" si="9"/>
        <v>0</v>
      </c>
      <c r="T147" s="23">
        <f t="shared" si="10"/>
        <v>0</v>
      </c>
      <c r="U147" s="38">
        <f t="shared" si="11"/>
        <v>0</v>
      </c>
      <c r="V147" s="41">
        <f>SUMIFS('Business - Dump'!$G:$G,'Business - Dump'!$B:$B,'Portfolio Wise '!$B147,'Business - Dump'!$A:$A,'Portfolio Wise '!$A147)</f>
        <v>0</v>
      </c>
      <c r="W147" s="48">
        <f t="shared" si="12"/>
        <v>0</v>
      </c>
      <c r="X147" s="23">
        <f t="shared" ref="X147:Y147" si="214">IFERROR(N147/Q147,0)</f>
        <v>0</v>
      </c>
      <c r="Y147" s="49">
        <f t="shared" si="214"/>
        <v>0</v>
      </c>
      <c r="Z147" s="49">
        <f t="shared" si="14"/>
        <v>0</v>
      </c>
      <c r="AA147" s="23">
        <f t="shared" si="15"/>
        <v>0</v>
      </c>
      <c r="AB147" s="23">
        <f>IFERROR(AVERAGEIFS('Business - Dump'!$O:$O,'Business - Dump'!$B:$B,'Portfolio Wise '!$B147,'Business - Dump'!$A:$A,'Portfolio Wise '!$A147),0)</f>
        <v>0</v>
      </c>
      <c r="AC147" s="49">
        <f>F147/SUMIFS('Campaign - Dump'!$Q:$Q,'Campaign - Dump'!$A:$A,'Portfolio Wise '!$A147)</f>
        <v>0</v>
      </c>
      <c r="AD147" s="49">
        <f t="shared" si="16"/>
        <v>0</v>
      </c>
    </row>
    <row r="148" ht="15.75" customHeight="1">
      <c r="A148" s="10" t="s">
        <v>54</v>
      </c>
      <c r="B148" s="51" t="s">
        <v>119</v>
      </c>
      <c r="C148" s="13">
        <f>SUMIFS('Campaign - Dump'!$N:$N,'Campaign - Dump'!$J:$J,'Portfolio Wise '!$B148,'Campaign - Dump'!$A:$A,'Portfolio Wise '!$A148)</f>
        <v>0</v>
      </c>
      <c r="D148" s="13">
        <f>SUMIFS('Campaign - Dump'!$O:$O,'Campaign - Dump'!$J:$J,'Portfolio Wise '!$B148,'Campaign - Dump'!$A:$A,'Portfolio Wise '!$A148)</f>
        <v>0</v>
      </c>
      <c r="E148" s="23">
        <f t="shared" si="2"/>
        <v>0</v>
      </c>
      <c r="F148" s="36">
        <f>SUMIFS('Campaign - Dump'!$Q:$Q,'Campaign - Dump'!$J:$J,'Portfolio Wise '!$B148,'Campaign - Dump'!$A:$A,'Portfolio Wise '!$A148)</f>
        <v>0</v>
      </c>
      <c r="G148" s="38">
        <f t="shared" si="3"/>
        <v>0</v>
      </c>
      <c r="H148" s="41">
        <f>SUMIFS('Campaign - Dump'!$T:$T,'Campaign - Dump'!$J:$J,'Portfolio Wise '!$B148,'Campaign - Dump'!$A:$A,'Portfolio Wise '!$A148)</f>
        <v>0</v>
      </c>
      <c r="I148" s="23">
        <f t="shared" si="4"/>
        <v>0</v>
      </c>
      <c r="J148" s="36">
        <f>SUMIFS('Campaign - Dump'!$U:$U,'Campaign - Dump'!$J:$J,'Portfolio Wise '!$B148,'Campaign - Dump'!$A:$A,'Portfolio Wise '!$A148)</f>
        <v>0</v>
      </c>
      <c r="K148" s="23">
        <f t="shared" si="5"/>
        <v>0</v>
      </c>
      <c r="L148" s="38">
        <f t="shared" si="6"/>
        <v>0</v>
      </c>
      <c r="M148" s="41">
        <f t="shared" si="7"/>
        <v>0</v>
      </c>
      <c r="N148" s="13">
        <f t="shared" si="215"/>
        <v>2</v>
      </c>
      <c r="O148" s="36">
        <f t="shared" si="216"/>
        <v>9322.033898</v>
      </c>
      <c r="P148" s="41">
        <f t="shared" si="8"/>
        <v>4661.016949</v>
      </c>
      <c r="Q148" s="13">
        <f>SUMIFS('Business - Dump'!$W:$W,'Business - Dump'!$B:$B,'Portfolio Wise '!$B148,'Business - Dump'!$A:$A,'Portfolio Wise '!$A148)</f>
        <v>2</v>
      </c>
      <c r="R148" s="36">
        <f>SUMIFS('Business - Dump'!$U:$U,'Business - Dump'!$B:$B,'Portfolio Wise '!$B148,'Business - Dump'!$A:$A,'Portfolio Wise '!$A148)/1.18</f>
        <v>9322.033898</v>
      </c>
      <c r="S148" s="41">
        <f t="shared" si="9"/>
        <v>4661.016949</v>
      </c>
      <c r="T148" s="23">
        <f t="shared" si="10"/>
        <v>0</v>
      </c>
      <c r="U148" s="38">
        <f t="shared" si="11"/>
        <v>0</v>
      </c>
      <c r="V148" s="41">
        <f>SUMIFS('Business - Dump'!$G:$G,'Business - Dump'!$B:$B,'Portfolio Wise '!$B148,'Business - Dump'!$A:$A,'Portfolio Wise '!$A148)</f>
        <v>1610</v>
      </c>
      <c r="W148" s="48">
        <f t="shared" si="12"/>
        <v>0.001242236025</v>
      </c>
      <c r="X148" s="23">
        <f t="shared" ref="X148:Y148" si="217">IFERROR(N148/Q148,0)</f>
        <v>1</v>
      </c>
      <c r="Y148" s="49">
        <f t="shared" si="217"/>
        <v>1</v>
      </c>
      <c r="Z148" s="49">
        <f t="shared" si="14"/>
        <v>0</v>
      </c>
      <c r="AA148" s="23">
        <f t="shared" si="15"/>
        <v>1</v>
      </c>
      <c r="AB148" s="23">
        <f>IFERROR(AVERAGEIFS('Business - Dump'!$O:$O,'Business - Dump'!$B:$B,'Portfolio Wise '!$B148,'Business - Dump'!$A:$A,'Portfolio Wise '!$A148),0)</f>
        <v>0.782</v>
      </c>
      <c r="AC148" s="49">
        <f>F148/SUMIFS('Campaign - Dump'!$Q:$Q,'Campaign - Dump'!$A:$A,'Portfolio Wise '!$A148)</f>
        <v>0</v>
      </c>
      <c r="AD148" s="49">
        <f t="shared" si="16"/>
        <v>0</v>
      </c>
    </row>
    <row r="149" ht="15.75" customHeight="1">
      <c r="A149" s="10" t="s">
        <v>54</v>
      </c>
      <c r="B149" s="19" t="s">
        <v>128</v>
      </c>
      <c r="C149" s="13">
        <f>SUMIFS('Campaign - Dump'!$N:$N,'Campaign - Dump'!$J:$J,'Portfolio Wise '!$B149,'Campaign - Dump'!$A:$A,'Portfolio Wise '!$A149)</f>
        <v>1866373</v>
      </c>
      <c r="D149" s="13">
        <f>SUMIFS('Campaign - Dump'!$O:$O,'Campaign - Dump'!$J:$J,'Portfolio Wise '!$B149,'Campaign - Dump'!$A:$A,'Portfolio Wise '!$A149)</f>
        <v>9162</v>
      </c>
      <c r="E149" s="23">
        <f t="shared" si="2"/>
        <v>0.004908986574</v>
      </c>
      <c r="F149" s="36">
        <f>SUMIFS('Campaign - Dump'!$Q:$Q,'Campaign - Dump'!$J:$J,'Portfolio Wise '!$B149,'Campaign - Dump'!$A:$A,'Portfolio Wise '!$A149)</f>
        <v>278112.73</v>
      </c>
      <c r="G149" s="38">
        <f t="shared" si="3"/>
        <v>30.35502401</v>
      </c>
      <c r="H149" s="41">
        <f>SUMIFS('Campaign - Dump'!$T:$T,'Campaign - Dump'!$J:$J,'Portfolio Wise '!$B149,'Campaign - Dump'!$A:$A,'Portfolio Wise '!$A149)</f>
        <v>122</v>
      </c>
      <c r="I149" s="23">
        <f t="shared" si="4"/>
        <v>0.0133158699</v>
      </c>
      <c r="J149" s="36">
        <f>SUMIFS('Campaign - Dump'!$U:$U,'Campaign - Dump'!$J:$J,'Portfolio Wise '!$B149,'Campaign - Dump'!$A:$A,'Portfolio Wise '!$A149)</f>
        <v>2457965.28</v>
      </c>
      <c r="K149" s="23">
        <f t="shared" si="5"/>
        <v>0.1131475421</v>
      </c>
      <c r="L149" s="38">
        <f t="shared" si="6"/>
        <v>8.838017879</v>
      </c>
      <c r="M149" s="41">
        <f t="shared" si="7"/>
        <v>20147.25639</v>
      </c>
      <c r="N149" s="13">
        <v>0.0</v>
      </c>
      <c r="O149" s="36">
        <v>0.0</v>
      </c>
      <c r="P149" s="41">
        <f t="shared" si="8"/>
        <v>0</v>
      </c>
      <c r="Q149" s="13">
        <f>SUMIFS('Business - Dump'!$W:$W,'Business - Dump'!$B:$B,'Portfolio Wise '!$B149,'Business - Dump'!$A:$A,'Portfolio Wise '!$A149)</f>
        <v>0</v>
      </c>
      <c r="R149" s="36">
        <f>SUMIFS('Business - Dump'!$U:$U,'Business - Dump'!$B:$B,'Portfolio Wise '!$B149,'Business - Dump'!$A:$A,'Portfolio Wise '!$A149)/1.18</f>
        <v>0</v>
      </c>
      <c r="S149" s="41">
        <f t="shared" si="9"/>
        <v>0</v>
      </c>
      <c r="T149" s="23">
        <f t="shared" si="10"/>
        <v>0</v>
      </c>
      <c r="U149" s="38">
        <f t="shared" si="11"/>
        <v>0</v>
      </c>
      <c r="V149" s="41">
        <f>SUMIFS('Business - Dump'!$G:$G,'Business - Dump'!$B:$B,'Portfolio Wise '!$B149,'Business - Dump'!$A:$A,'Portfolio Wise '!$A149)</f>
        <v>0</v>
      </c>
      <c r="W149" s="48">
        <f t="shared" si="12"/>
        <v>0</v>
      </c>
      <c r="X149" s="23">
        <f t="shared" ref="X149:Y149" si="218">IFERROR(N149/Q149,0)</f>
        <v>0</v>
      </c>
      <c r="Y149" s="49">
        <f t="shared" si="218"/>
        <v>0</v>
      </c>
      <c r="Z149" s="49">
        <f t="shared" si="14"/>
        <v>0</v>
      </c>
      <c r="AA149" s="23">
        <f t="shared" si="15"/>
        <v>0</v>
      </c>
      <c r="AB149" s="23">
        <f>IFERROR(AVERAGEIFS('Business - Dump'!$O:$O,'Business - Dump'!$B:$B,'Portfolio Wise '!$B149,'Business - Dump'!$A:$A,'Portfolio Wise '!$A149),0)</f>
        <v>0</v>
      </c>
      <c r="AC149" s="49">
        <f>F149/SUMIFS('Campaign - Dump'!$Q:$Q,'Campaign - Dump'!$A:$A,'Portfolio Wise '!$A149)</f>
        <v>0.3038800472</v>
      </c>
      <c r="AD149" s="49">
        <f t="shared" si="16"/>
        <v>0</v>
      </c>
    </row>
    <row r="150" ht="15.75" customHeight="1">
      <c r="A150" s="10" t="s">
        <v>54</v>
      </c>
      <c r="B150" s="19" t="s">
        <v>134</v>
      </c>
      <c r="C150" s="13">
        <f>SUMIFS('Campaign - Dump'!$N:$N,'Campaign - Dump'!$J:$J,'Portfolio Wise '!$B150,'Campaign - Dump'!$A:$A,'Portfolio Wise '!$A150)</f>
        <v>2134782</v>
      </c>
      <c r="D150" s="13">
        <f>SUMIFS('Campaign - Dump'!$O:$O,'Campaign - Dump'!$J:$J,'Portfolio Wise '!$B150,'Campaign - Dump'!$A:$A,'Portfolio Wise '!$A150)</f>
        <v>12153</v>
      </c>
      <c r="E150" s="23">
        <f t="shared" si="2"/>
        <v>0.005692852947</v>
      </c>
      <c r="F150" s="36">
        <f>SUMIFS('Campaign - Dump'!$Q:$Q,'Campaign - Dump'!$J:$J,'Portfolio Wise '!$B150,'Campaign - Dump'!$A:$A,'Portfolio Wise '!$A150)</f>
        <v>414436.75</v>
      </c>
      <c r="G150" s="38">
        <f t="shared" si="3"/>
        <v>34.10160043</v>
      </c>
      <c r="H150" s="41">
        <f>SUMIFS('Campaign - Dump'!$T:$T,'Campaign - Dump'!$J:$J,'Portfolio Wise '!$B150,'Campaign - Dump'!$A:$A,'Portfolio Wise '!$A150)</f>
        <v>83</v>
      </c>
      <c r="I150" s="23">
        <f t="shared" si="4"/>
        <v>0.006829589402</v>
      </c>
      <c r="J150" s="36">
        <f>SUMIFS('Campaign - Dump'!$U:$U,'Campaign - Dump'!$J:$J,'Portfolio Wise '!$B150,'Campaign - Dump'!$A:$A,'Portfolio Wise '!$A150)</f>
        <v>1661987.28</v>
      </c>
      <c r="K150" s="23">
        <f t="shared" si="5"/>
        <v>0.2493621672</v>
      </c>
      <c r="L150" s="38">
        <f t="shared" si="6"/>
        <v>4.010231429</v>
      </c>
      <c r="M150" s="41">
        <f t="shared" si="7"/>
        <v>20023.94313</v>
      </c>
      <c r="N150" s="13">
        <f t="shared" ref="N150:N157" si="220">IFERROR(Q150-H150,0)</f>
        <v>32</v>
      </c>
      <c r="O150" s="36">
        <f t="shared" ref="O150:O157" si="221">IFERROR(R150-J150,0)</f>
        <v>502538.8217</v>
      </c>
      <c r="P150" s="41">
        <f t="shared" si="8"/>
        <v>15704.33818</v>
      </c>
      <c r="Q150" s="13">
        <f>SUMIFS('Business - Dump'!$W:$W,'Business - Dump'!$B:$B,'Portfolio Wise '!$B150,'Business - Dump'!$A:$A,'Portfolio Wise '!$A150)</f>
        <v>115</v>
      </c>
      <c r="R150" s="36">
        <f>SUMIFS('Business - Dump'!$U:$U,'Business - Dump'!$B:$B,'Portfolio Wise '!$B150,'Business - Dump'!$A:$A,'Portfolio Wise '!$A150)/1.18</f>
        <v>2164526.102</v>
      </c>
      <c r="S150" s="41">
        <f t="shared" si="9"/>
        <v>18821.9661</v>
      </c>
      <c r="T150" s="23">
        <f t="shared" si="10"/>
        <v>0.1914676611</v>
      </c>
      <c r="U150" s="38">
        <f t="shared" si="11"/>
        <v>5.222814101</v>
      </c>
      <c r="V150" s="41">
        <f>SUMIFS('Business - Dump'!$G:$G,'Business - Dump'!$B:$B,'Portfolio Wise '!$B150,'Business - Dump'!$A:$A,'Portfolio Wise '!$A150)</f>
        <v>31397</v>
      </c>
      <c r="W150" s="23">
        <f t="shared" si="12"/>
        <v>0.003662770328</v>
      </c>
      <c r="X150" s="23">
        <f t="shared" ref="X150:Y150" si="219">IFERROR(N150/Q150,0)</f>
        <v>0.2782608696</v>
      </c>
      <c r="Y150" s="49">
        <f t="shared" si="219"/>
        <v>0.2321703681</v>
      </c>
      <c r="Z150" s="49">
        <f t="shared" si="14"/>
        <v>0.7217391304</v>
      </c>
      <c r="AA150" s="23">
        <f t="shared" si="15"/>
        <v>0.2321703681</v>
      </c>
      <c r="AB150" s="23">
        <f>IFERROR(AVERAGEIFS('Business - Dump'!$O:$O,'Business - Dump'!$B:$B,'Portfolio Wise '!$B150,'Business - Dump'!$A:$A,'Portfolio Wise '!$A150),0)</f>
        <v>0.8574888889</v>
      </c>
      <c r="AC150" s="49">
        <f>F150/SUMIFS('Campaign - Dump'!$Q:$Q,'Campaign - Dump'!$A:$A,'Portfolio Wise '!$A150)</f>
        <v>0.4528345723</v>
      </c>
      <c r="AD150" s="49">
        <f t="shared" si="16"/>
        <v>0.3855421687</v>
      </c>
    </row>
    <row r="151" ht="15.75" customHeight="1">
      <c r="A151" s="10" t="s">
        <v>54</v>
      </c>
      <c r="B151" s="19" t="s">
        <v>140</v>
      </c>
      <c r="C151" s="13">
        <f>SUMIFS('Campaign - Dump'!$N:$N,'Campaign - Dump'!$J:$J,'Portfolio Wise '!$B151,'Campaign - Dump'!$A:$A,'Portfolio Wise '!$A151)</f>
        <v>78422</v>
      </c>
      <c r="D151" s="13">
        <f>SUMIFS('Campaign - Dump'!$O:$O,'Campaign - Dump'!$J:$J,'Portfolio Wise '!$B151,'Campaign - Dump'!$A:$A,'Portfolio Wise '!$A151)</f>
        <v>327</v>
      </c>
      <c r="E151" s="23">
        <f t="shared" si="2"/>
        <v>0.004169748285</v>
      </c>
      <c r="F151" s="36">
        <f>SUMIFS('Campaign - Dump'!$Q:$Q,'Campaign - Dump'!$J:$J,'Portfolio Wise '!$B151,'Campaign - Dump'!$A:$A,'Portfolio Wise '!$A151)</f>
        <v>15225.78</v>
      </c>
      <c r="G151" s="38">
        <f t="shared" si="3"/>
        <v>46.56201835</v>
      </c>
      <c r="H151" s="41">
        <f>SUMIFS('Campaign - Dump'!$T:$T,'Campaign - Dump'!$J:$J,'Portfolio Wise '!$B151,'Campaign - Dump'!$A:$A,'Portfolio Wise '!$A151)</f>
        <v>3</v>
      </c>
      <c r="I151" s="23">
        <f t="shared" si="4"/>
        <v>0.009174311927</v>
      </c>
      <c r="J151" s="36">
        <f>SUMIFS('Campaign - Dump'!$U:$U,'Campaign - Dump'!$J:$J,'Portfolio Wise '!$B151,'Campaign - Dump'!$A:$A,'Portfolio Wise '!$A151)</f>
        <v>76355.93</v>
      </c>
      <c r="K151" s="23">
        <f t="shared" si="5"/>
        <v>0.1994053376</v>
      </c>
      <c r="L151" s="38">
        <f t="shared" si="6"/>
        <v>5.014910895</v>
      </c>
      <c r="M151" s="41">
        <f t="shared" si="7"/>
        <v>25451.97667</v>
      </c>
      <c r="N151" s="13">
        <f t="shared" si="220"/>
        <v>16</v>
      </c>
      <c r="O151" s="36">
        <f t="shared" si="221"/>
        <v>427288.1378</v>
      </c>
      <c r="P151" s="41">
        <f t="shared" si="8"/>
        <v>26705.50861</v>
      </c>
      <c r="Q151" s="13">
        <f>SUMIFS('Business - Dump'!$W:$W,'Business - Dump'!$B:$B,'Portfolio Wise '!$B151,'Business - Dump'!$A:$A,'Portfolio Wise '!$A151)</f>
        <v>19</v>
      </c>
      <c r="R151" s="36">
        <f>SUMIFS('Business - Dump'!$U:$U,'Business - Dump'!$B:$B,'Portfolio Wise '!$B151,'Business - Dump'!$A:$A,'Portfolio Wise '!$A151)/1.18</f>
        <v>503644.0678</v>
      </c>
      <c r="S151" s="41">
        <f t="shared" si="9"/>
        <v>26507.58252</v>
      </c>
      <c r="T151" s="23">
        <f t="shared" si="10"/>
        <v>0.03023123069</v>
      </c>
      <c r="U151" s="38">
        <f t="shared" si="11"/>
        <v>33.07837548</v>
      </c>
      <c r="V151" s="41">
        <f>SUMIFS('Business - Dump'!$G:$G,'Business - Dump'!$B:$B,'Portfolio Wise '!$B151,'Business - Dump'!$A:$A,'Portfolio Wise '!$A151)</f>
        <v>2351</v>
      </c>
      <c r="W151" s="23">
        <f t="shared" si="12"/>
        <v>0.008081667376</v>
      </c>
      <c r="X151" s="23">
        <f t="shared" ref="X151:Y151" si="222">IFERROR(N151/Q151,0)</f>
        <v>0.8421052632</v>
      </c>
      <c r="Y151" s="49">
        <f t="shared" si="222"/>
        <v>0.8483930718</v>
      </c>
      <c r="Z151" s="49">
        <f t="shared" si="14"/>
        <v>0.1578947368</v>
      </c>
      <c r="AA151" s="23">
        <f t="shared" si="15"/>
        <v>0.8483930718</v>
      </c>
      <c r="AB151" s="23">
        <f>IFERROR(AVERAGEIFS('Business - Dump'!$O:$O,'Business - Dump'!$B:$B,'Portfolio Wise '!$B151,'Business - Dump'!$A:$A,'Portfolio Wise '!$A151),0)</f>
        <v>0.7517166667</v>
      </c>
      <c r="AC151" s="49">
        <f>F151/SUMIFS('Campaign - Dump'!$Q:$Q,'Campaign - Dump'!$A:$A,'Portfolio Wise '!$A151)</f>
        <v>0.01663645797</v>
      </c>
      <c r="AD151" s="49">
        <f t="shared" si="16"/>
        <v>5.333333333</v>
      </c>
    </row>
    <row r="152" ht="15.75" customHeight="1">
      <c r="A152" s="10" t="s">
        <v>54</v>
      </c>
      <c r="B152" s="10" t="s">
        <v>152</v>
      </c>
      <c r="C152" s="13">
        <f>SUMIFS('Campaign - Dump'!$N:$N,'Campaign - Dump'!$J:$J,'Portfolio Wise '!$B152,'Campaign - Dump'!$A:$A,'Portfolio Wise '!$A152)</f>
        <v>284760</v>
      </c>
      <c r="D152" s="13">
        <f>SUMIFS('Campaign - Dump'!$O:$O,'Campaign - Dump'!$J:$J,'Portfolio Wise '!$B152,'Campaign - Dump'!$A:$A,'Portfolio Wise '!$A152)</f>
        <v>1255</v>
      </c>
      <c r="E152" s="23">
        <f t="shared" si="2"/>
        <v>0.004407220115</v>
      </c>
      <c r="F152" s="36">
        <f>SUMIFS('Campaign - Dump'!$Q:$Q,'Campaign - Dump'!$J:$J,'Portfolio Wise '!$B152,'Campaign - Dump'!$A:$A,'Portfolio Wise '!$A152)</f>
        <v>51611.24</v>
      </c>
      <c r="G152" s="38">
        <f t="shared" si="3"/>
        <v>41.12449402</v>
      </c>
      <c r="H152" s="41">
        <f>SUMIFS('Campaign - Dump'!$T:$T,'Campaign - Dump'!$J:$J,'Portfolio Wise '!$B152,'Campaign - Dump'!$A:$A,'Portfolio Wise '!$A152)</f>
        <v>24</v>
      </c>
      <c r="I152" s="23">
        <f t="shared" si="4"/>
        <v>0.01912350598</v>
      </c>
      <c r="J152" s="36">
        <f>SUMIFS('Campaign - Dump'!$U:$U,'Campaign - Dump'!$J:$J,'Portfolio Wise '!$B152,'Campaign - Dump'!$A:$A,'Portfolio Wise '!$A152)</f>
        <v>324219.45</v>
      </c>
      <c r="K152" s="23">
        <f t="shared" si="5"/>
        <v>0.1591861315</v>
      </c>
      <c r="L152" s="38">
        <f t="shared" si="6"/>
        <v>6.28195428</v>
      </c>
      <c r="M152" s="41">
        <f t="shared" si="7"/>
        <v>13509.14375</v>
      </c>
      <c r="N152" s="13">
        <f t="shared" si="220"/>
        <v>3</v>
      </c>
      <c r="O152" s="36">
        <f t="shared" si="221"/>
        <v>20092.10932</v>
      </c>
      <c r="P152" s="41">
        <f t="shared" si="8"/>
        <v>6697.369774</v>
      </c>
      <c r="Q152" s="13">
        <f>SUMIFS('Business - Dump'!$W:$W,'Business - Dump'!$B:$B,'Portfolio Wise '!$B152,'Business - Dump'!$A:$A,'Portfolio Wise '!$A152)</f>
        <v>27</v>
      </c>
      <c r="R152" s="36">
        <f>SUMIFS('Business - Dump'!$U:$U,'Business - Dump'!$B:$B,'Portfolio Wise '!$B152,'Business - Dump'!$A:$A,'Portfolio Wise '!$A152)/1.18</f>
        <v>344311.5593</v>
      </c>
      <c r="S152" s="41">
        <f t="shared" si="9"/>
        <v>12752.27997</v>
      </c>
      <c r="T152" s="23">
        <f t="shared" si="10"/>
        <v>0.1498969134</v>
      </c>
      <c r="U152" s="38">
        <f t="shared" si="11"/>
        <v>6.671251443</v>
      </c>
      <c r="V152" s="41">
        <f>SUMIFS('Business - Dump'!$G:$G,'Business - Dump'!$B:$B,'Portfolio Wise '!$B152,'Business - Dump'!$A:$A,'Portfolio Wise '!$A152)</f>
        <v>4395</v>
      </c>
      <c r="W152" s="48">
        <f t="shared" si="12"/>
        <v>0.00614334471</v>
      </c>
      <c r="X152" s="23">
        <f t="shared" ref="X152:Y152" si="223">IFERROR(N152/Q152,0)</f>
        <v>0.1111111111</v>
      </c>
      <c r="Y152" s="49">
        <f t="shared" si="223"/>
        <v>0.05835444317</v>
      </c>
      <c r="Z152" s="49">
        <f t="shared" si="14"/>
        <v>0.8888888889</v>
      </c>
      <c r="AA152" s="23">
        <f t="shared" si="15"/>
        <v>0.05835444317</v>
      </c>
      <c r="AB152" s="23">
        <f>IFERROR(AVERAGEIFS('Business - Dump'!$O:$O,'Business - Dump'!$B:$B,'Portfolio Wise '!$B152,'Business - Dump'!$A:$A,'Portfolio Wise '!$A152),0)</f>
        <v>0.93205</v>
      </c>
      <c r="AC152" s="49">
        <f>F152/SUMIFS('Campaign - Dump'!$Q:$Q,'Campaign - Dump'!$A:$A,'Portfolio Wise '!$A152)</f>
        <v>0.05639305344</v>
      </c>
      <c r="AD152" s="49">
        <f t="shared" si="16"/>
        <v>0.125</v>
      </c>
    </row>
    <row r="153" ht="15.75" customHeight="1">
      <c r="A153" s="10" t="s">
        <v>54</v>
      </c>
      <c r="B153" s="19" t="s">
        <v>158</v>
      </c>
      <c r="C153" s="13">
        <f>SUMIFS('Campaign - Dump'!$N:$N,'Campaign - Dump'!$J:$J,'Portfolio Wise '!$B153,'Campaign - Dump'!$A:$A,'Portfolio Wise '!$A153)</f>
        <v>0</v>
      </c>
      <c r="D153" s="13">
        <f>SUMIFS('Campaign - Dump'!$O:$O,'Campaign - Dump'!$J:$J,'Portfolio Wise '!$B153,'Campaign - Dump'!$A:$A,'Portfolio Wise '!$A153)</f>
        <v>0</v>
      </c>
      <c r="E153" s="23">
        <f t="shared" si="2"/>
        <v>0</v>
      </c>
      <c r="F153" s="36">
        <f>SUMIFS('Campaign - Dump'!$Q:$Q,'Campaign - Dump'!$J:$J,'Portfolio Wise '!$B153,'Campaign - Dump'!$A:$A,'Portfolio Wise '!$A153)</f>
        <v>0</v>
      </c>
      <c r="G153" s="38">
        <f t="shared" si="3"/>
        <v>0</v>
      </c>
      <c r="H153" s="41">
        <f>SUMIFS('Campaign - Dump'!$T:$T,'Campaign - Dump'!$J:$J,'Portfolio Wise '!$B153,'Campaign - Dump'!$A:$A,'Portfolio Wise '!$A153)</f>
        <v>0</v>
      </c>
      <c r="I153" s="23">
        <f t="shared" si="4"/>
        <v>0</v>
      </c>
      <c r="J153" s="36">
        <f>SUMIFS('Campaign - Dump'!$U:$U,'Campaign - Dump'!$J:$J,'Portfolio Wise '!$B153,'Campaign - Dump'!$A:$A,'Portfolio Wise '!$A153)</f>
        <v>0</v>
      </c>
      <c r="K153" s="23">
        <f t="shared" si="5"/>
        <v>0</v>
      </c>
      <c r="L153" s="38">
        <f t="shared" si="6"/>
        <v>0</v>
      </c>
      <c r="M153" s="41">
        <f t="shared" si="7"/>
        <v>0</v>
      </c>
      <c r="N153" s="13">
        <f t="shared" si="220"/>
        <v>1</v>
      </c>
      <c r="O153" s="36">
        <f t="shared" si="221"/>
        <v>6694.915254</v>
      </c>
      <c r="P153" s="41">
        <f t="shared" si="8"/>
        <v>6694.915254</v>
      </c>
      <c r="Q153" s="13">
        <f>SUMIFS('Business - Dump'!$W:$W,'Business - Dump'!$B:$B,'Portfolio Wise '!$B153,'Business - Dump'!$A:$A,'Portfolio Wise '!$A153)</f>
        <v>1</v>
      </c>
      <c r="R153" s="36">
        <f>SUMIFS('Business - Dump'!$U:$U,'Business - Dump'!$B:$B,'Portfolio Wise '!$B153,'Business - Dump'!$A:$A,'Portfolio Wise '!$A153)/1.18</f>
        <v>6694.915254</v>
      </c>
      <c r="S153" s="41">
        <f t="shared" si="9"/>
        <v>6694.915254</v>
      </c>
      <c r="T153" s="23">
        <f t="shared" si="10"/>
        <v>0</v>
      </c>
      <c r="U153" s="38">
        <f t="shared" si="11"/>
        <v>0</v>
      </c>
      <c r="V153" s="41">
        <f>SUMIFS('Business - Dump'!$G:$G,'Business - Dump'!$B:$B,'Portfolio Wise '!$B153,'Business - Dump'!$A:$A,'Portfolio Wise '!$A153)</f>
        <v>1537</v>
      </c>
      <c r="W153" s="48">
        <f t="shared" si="12"/>
        <v>0.0006506180872</v>
      </c>
      <c r="X153" s="23">
        <f t="shared" ref="X153:Y153" si="224">IFERROR(N153/Q153,0)</f>
        <v>1</v>
      </c>
      <c r="Y153" s="49">
        <f t="shared" si="224"/>
        <v>1</v>
      </c>
      <c r="Z153" s="49">
        <f t="shared" si="14"/>
        <v>0</v>
      </c>
      <c r="AA153" s="23">
        <f t="shared" si="15"/>
        <v>1</v>
      </c>
      <c r="AB153" s="23">
        <f>IFERROR(AVERAGEIFS('Business - Dump'!$O:$O,'Business - Dump'!$B:$B,'Portfolio Wise '!$B153,'Business - Dump'!$A:$A,'Portfolio Wise '!$A153),0)</f>
        <v>0.9689</v>
      </c>
      <c r="AC153" s="49">
        <f>F153/SUMIFS('Campaign - Dump'!$Q:$Q,'Campaign - Dump'!$A:$A,'Portfolio Wise '!$A153)</f>
        <v>0</v>
      </c>
      <c r="AD153" s="49">
        <f t="shared" si="16"/>
        <v>0</v>
      </c>
    </row>
    <row r="154" ht="15.75" customHeight="1">
      <c r="A154" s="10" t="s">
        <v>54</v>
      </c>
      <c r="B154" s="33" t="s">
        <v>170</v>
      </c>
      <c r="C154" s="13">
        <f>SUMIFS('Campaign - Dump'!$N:$N,'Campaign - Dump'!$J:$J,'Portfolio Wise '!$B154,'Campaign - Dump'!$A:$A,'Portfolio Wise '!$A154)</f>
        <v>7055</v>
      </c>
      <c r="D154" s="13">
        <f>SUMIFS('Campaign - Dump'!$O:$O,'Campaign - Dump'!$J:$J,'Portfolio Wise '!$B154,'Campaign - Dump'!$A:$A,'Portfolio Wise '!$A154)</f>
        <v>27</v>
      </c>
      <c r="E154" s="23">
        <f t="shared" si="2"/>
        <v>0.003827072998</v>
      </c>
      <c r="F154" s="36">
        <f>SUMIFS('Campaign - Dump'!$Q:$Q,'Campaign - Dump'!$J:$J,'Portfolio Wise '!$B154,'Campaign - Dump'!$A:$A,'Portfolio Wise '!$A154)</f>
        <v>447.1</v>
      </c>
      <c r="G154" s="38">
        <f t="shared" si="3"/>
        <v>16.55925926</v>
      </c>
      <c r="H154" s="41">
        <f>SUMIFS('Campaign - Dump'!$T:$T,'Campaign - Dump'!$J:$J,'Portfolio Wise '!$B154,'Campaign - Dump'!$A:$A,'Portfolio Wise '!$A154)</f>
        <v>0</v>
      </c>
      <c r="I154" s="23">
        <f t="shared" si="4"/>
        <v>0</v>
      </c>
      <c r="J154" s="36">
        <f>SUMIFS('Campaign - Dump'!$U:$U,'Campaign - Dump'!$J:$J,'Portfolio Wise '!$B154,'Campaign - Dump'!$A:$A,'Portfolio Wise '!$A154)</f>
        <v>0</v>
      </c>
      <c r="K154" s="23">
        <f t="shared" si="5"/>
        <v>0</v>
      </c>
      <c r="L154" s="38">
        <f t="shared" si="6"/>
        <v>0</v>
      </c>
      <c r="M154" s="41">
        <f t="shared" si="7"/>
        <v>0</v>
      </c>
      <c r="N154" s="13">
        <f t="shared" si="220"/>
        <v>1</v>
      </c>
      <c r="O154" s="36">
        <f t="shared" si="221"/>
        <v>5233.050847</v>
      </c>
      <c r="P154" s="41">
        <f t="shared" si="8"/>
        <v>5233.050847</v>
      </c>
      <c r="Q154" s="13">
        <f>SUMIFS('Business - Dump'!$W:$W,'Business - Dump'!$B:$B,'Portfolio Wise '!$B154,'Business - Dump'!$A:$A,'Portfolio Wise '!$A154)</f>
        <v>1</v>
      </c>
      <c r="R154" s="36">
        <f>SUMIFS('Business - Dump'!$U:$U,'Business - Dump'!$B:$B,'Portfolio Wise '!$B154,'Business - Dump'!$A:$A,'Portfolio Wise '!$A154)/1.18</f>
        <v>5233.050847</v>
      </c>
      <c r="S154" s="41">
        <f t="shared" si="9"/>
        <v>5233.050847</v>
      </c>
      <c r="T154" s="23">
        <f t="shared" si="10"/>
        <v>0.08543773279</v>
      </c>
      <c r="U154" s="38">
        <f t="shared" si="11"/>
        <v>11.70443043</v>
      </c>
      <c r="V154" s="41">
        <f>SUMIFS('Business - Dump'!$G:$G,'Business - Dump'!$B:$B,'Portfolio Wise '!$B154,'Business - Dump'!$A:$A,'Portfolio Wise '!$A154)</f>
        <v>206</v>
      </c>
      <c r="W154" s="48">
        <f t="shared" si="12"/>
        <v>0.004854368932</v>
      </c>
      <c r="X154" s="23">
        <f t="shared" ref="X154:Y154" si="225">IFERROR(N154/Q154,0)</f>
        <v>1</v>
      </c>
      <c r="Y154" s="49">
        <f t="shared" si="225"/>
        <v>1</v>
      </c>
      <c r="Z154" s="49">
        <f t="shared" si="14"/>
        <v>0</v>
      </c>
      <c r="AA154" s="23">
        <f t="shared" si="15"/>
        <v>1</v>
      </c>
      <c r="AB154" s="23">
        <f>IFERROR(AVERAGEIFS('Business - Dump'!$O:$O,'Business - Dump'!$B:$B,'Portfolio Wise '!$B154,'Business - Dump'!$A:$A,'Portfolio Wise '!$A154),0)</f>
        <v>0.92045</v>
      </c>
      <c r="AC154" s="49">
        <f>F154/SUMIFS('Campaign - Dump'!$Q:$Q,'Campaign - Dump'!$A:$A,'Portfolio Wise '!$A154)</f>
        <v>0.0004885240927</v>
      </c>
      <c r="AD154" s="49">
        <f t="shared" si="16"/>
        <v>0</v>
      </c>
    </row>
    <row r="155" ht="15.75" customHeight="1">
      <c r="A155" s="10" t="s">
        <v>54</v>
      </c>
      <c r="B155" s="51" t="s">
        <v>176</v>
      </c>
      <c r="C155" s="13">
        <f>SUMIFS('Campaign - Dump'!$N:$N,'Campaign - Dump'!$J:$J,'Portfolio Wise '!$B155,'Campaign - Dump'!$A:$A,'Portfolio Wise '!$A155)</f>
        <v>0</v>
      </c>
      <c r="D155" s="13">
        <f>SUMIFS('Campaign - Dump'!$O:$O,'Campaign - Dump'!$J:$J,'Portfolio Wise '!$B155,'Campaign - Dump'!$A:$A,'Portfolio Wise '!$A155)</f>
        <v>0</v>
      </c>
      <c r="E155" s="23">
        <f t="shared" si="2"/>
        <v>0</v>
      </c>
      <c r="F155" s="36">
        <f>SUMIFS('Campaign - Dump'!$Q:$Q,'Campaign - Dump'!$J:$J,'Portfolio Wise '!$B155,'Campaign - Dump'!$A:$A,'Portfolio Wise '!$A155)</f>
        <v>0</v>
      </c>
      <c r="G155" s="38">
        <f t="shared" si="3"/>
        <v>0</v>
      </c>
      <c r="H155" s="41">
        <f>SUMIFS('Campaign - Dump'!$T:$T,'Campaign - Dump'!$J:$J,'Portfolio Wise '!$B155,'Campaign - Dump'!$A:$A,'Portfolio Wise '!$A155)</f>
        <v>0</v>
      </c>
      <c r="I155" s="23">
        <f t="shared" si="4"/>
        <v>0</v>
      </c>
      <c r="J155" s="36">
        <f>SUMIFS('Campaign - Dump'!$U:$U,'Campaign - Dump'!$J:$J,'Portfolio Wise '!$B155,'Campaign - Dump'!$A:$A,'Portfolio Wise '!$A155)</f>
        <v>0</v>
      </c>
      <c r="K155" s="23">
        <f t="shared" si="5"/>
        <v>0</v>
      </c>
      <c r="L155" s="38">
        <f t="shared" si="6"/>
        <v>0</v>
      </c>
      <c r="M155" s="41">
        <f t="shared" si="7"/>
        <v>0</v>
      </c>
      <c r="N155" s="13">
        <f t="shared" si="220"/>
        <v>48</v>
      </c>
      <c r="O155" s="36">
        <f t="shared" si="221"/>
        <v>842168.9492</v>
      </c>
      <c r="P155" s="41">
        <f t="shared" si="8"/>
        <v>17545.18644</v>
      </c>
      <c r="Q155" s="13">
        <f>SUMIFS('Business - Dump'!$W:$W,'Business - Dump'!$B:$B,'Portfolio Wise '!$B155,'Business - Dump'!$A:$A,'Portfolio Wise '!$A155)</f>
        <v>48</v>
      </c>
      <c r="R155" s="36">
        <f>SUMIFS('Business - Dump'!$U:$U,'Business - Dump'!$B:$B,'Portfolio Wise '!$B155,'Business - Dump'!$A:$A,'Portfolio Wise '!$A155)/1.18</f>
        <v>842168.9492</v>
      </c>
      <c r="S155" s="41">
        <f t="shared" si="9"/>
        <v>17545.18644</v>
      </c>
      <c r="T155" s="23">
        <f t="shared" si="10"/>
        <v>0</v>
      </c>
      <c r="U155" s="38">
        <f t="shared" si="11"/>
        <v>0</v>
      </c>
      <c r="V155" s="41">
        <f>SUMIFS('Business - Dump'!$G:$G,'Business - Dump'!$B:$B,'Portfolio Wise '!$B155,'Business - Dump'!$A:$A,'Portfolio Wise '!$A155)</f>
        <v>9288</v>
      </c>
      <c r="W155" s="48">
        <f t="shared" si="12"/>
        <v>0.005167958656</v>
      </c>
      <c r="X155" s="23">
        <f t="shared" ref="X155:Y155" si="226">IFERROR(N155/Q155,0)</f>
        <v>1</v>
      </c>
      <c r="Y155" s="49">
        <f t="shared" si="226"/>
        <v>1</v>
      </c>
      <c r="Z155" s="49">
        <f t="shared" si="14"/>
        <v>0</v>
      </c>
      <c r="AA155" s="23">
        <f t="shared" si="15"/>
        <v>1</v>
      </c>
      <c r="AB155" s="23">
        <f>IFERROR(AVERAGEIFS('Business - Dump'!$O:$O,'Business - Dump'!$B:$B,'Portfolio Wise '!$B155,'Business - Dump'!$A:$A,'Portfolio Wise '!$A155),0)</f>
        <v>0.8742875</v>
      </c>
      <c r="AC155" s="49">
        <f>F155/SUMIFS('Campaign - Dump'!$Q:$Q,'Campaign - Dump'!$A:$A,'Portfolio Wise '!$A155)</f>
        <v>0</v>
      </c>
      <c r="AD155" s="49">
        <f t="shared" si="16"/>
        <v>0</v>
      </c>
    </row>
    <row r="156" ht="15.75" customHeight="1">
      <c r="A156" s="10" t="s">
        <v>54</v>
      </c>
      <c r="B156" s="100" t="s">
        <v>182</v>
      </c>
      <c r="C156" s="13">
        <f>SUMIFS('Campaign - Dump'!$N:$N,'Campaign - Dump'!$J:$J,'Portfolio Wise '!$B156,'Campaign - Dump'!$A:$A,'Portfolio Wise '!$A156)</f>
        <v>0</v>
      </c>
      <c r="D156" s="13">
        <f>SUMIFS('Campaign - Dump'!$O:$O,'Campaign - Dump'!$J:$J,'Portfolio Wise '!$B156,'Campaign - Dump'!$A:$A,'Portfolio Wise '!$A156)</f>
        <v>0</v>
      </c>
      <c r="E156" s="23">
        <f t="shared" si="2"/>
        <v>0</v>
      </c>
      <c r="F156" s="36">
        <f>SUMIFS('Campaign - Dump'!$Q:$Q,'Campaign - Dump'!$J:$J,'Portfolio Wise '!$B156,'Campaign - Dump'!$A:$A,'Portfolio Wise '!$A156)</f>
        <v>0</v>
      </c>
      <c r="G156" s="38">
        <f t="shared" si="3"/>
        <v>0</v>
      </c>
      <c r="H156" s="41">
        <f>SUMIFS('Campaign - Dump'!$T:$T,'Campaign - Dump'!$J:$J,'Portfolio Wise '!$B156,'Campaign - Dump'!$A:$A,'Portfolio Wise '!$A156)</f>
        <v>0</v>
      </c>
      <c r="I156" s="23">
        <f t="shared" si="4"/>
        <v>0</v>
      </c>
      <c r="J156" s="36">
        <f>SUMIFS('Campaign - Dump'!$U:$U,'Campaign - Dump'!$J:$J,'Portfolio Wise '!$B156,'Campaign - Dump'!$A:$A,'Portfolio Wise '!$A156)</f>
        <v>0</v>
      </c>
      <c r="K156" s="23">
        <f t="shared" si="5"/>
        <v>0</v>
      </c>
      <c r="L156" s="38">
        <f t="shared" si="6"/>
        <v>0</v>
      </c>
      <c r="M156" s="41">
        <f t="shared" si="7"/>
        <v>0</v>
      </c>
      <c r="N156" s="13">
        <f t="shared" si="220"/>
        <v>22</v>
      </c>
      <c r="O156" s="36">
        <f t="shared" si="221"/>
        <v>612035.3898</v>
      </c>
      <c r="P156" s="41">
        <f t="shared" si="8"/>
        <v>27819.79045</v>
      </c>
      <c r="Q156" s="13">
        <f>SUMIFS('Business - Dump'!$W:$W,'Business - Dump'!$B:$B,'Portfolio Wise '!$B156,'Business - Dump'!$A:$A,'Portfolio Wise '!$A156)</f>
        <v>22</v>
      </c>
      <c r="R156" s="36">
        <f>SUMIFS('Business - Dump'!$U:$U,'Business - Dump'!$B:$B,'Portfolio Wise '!$B156,'Business - Dump'!$A:$A,'Portfolio Wise '!$A156)/1.18</f>
        <v>612035.3898</v>
      </c>
      <c r="S156" s="41">
        <f t="shared" si="9"/>
        <v>27819.79045</v>
      </c>
      <c r="T156" s="23">
        <f t="shared" si="10"/>
        <v>0</v>
      </c>
      <c r="U156" s="38">
        <f t="shared" si="11"/>
        <v>0</v>
      </c>
      <c r="V156" s="41">
        <f>SUMIFS('Business - Dump'!$G:$G,'Business - Dump'!$B:$B,'Portfolio Wise '!$B156,'Business - Dump'!$A:$A,'Portfolio Wise '!$A156)</f>
        <v>3750</v>
      </c>
      <c r="W156" s="23">
        <f t="shared" si="12"/>
        <v>0.005866666667</v>
      </c>
      <c r="X156" s="23">
        <f t="shared" ref="X156:Y156" si="227">IFERROR(N156/Q156,0)</f>
        <v>1</v>
      </c>
      <c r="Y156" s="49">
        <f t="shared" si="227"/>
        <v>1</v>
      </c>
      <c r="Z156" s="49">
        <f t="shared" si="14"/>
        <v>0</v>
      </c>
      <c r="AA156" s="23">
        <f t="shared" si="15"/>
        <v>1</v>
      </c>
      <c r="AB156" s="23">
        <f>IFERROR(AVERAGEIFS('Business - Dump'!$O:$O,'Business - Dump'!$B:$B,'Portfolio Wise '!$B156,'Business - Dump'!$A:$A,'Portfolio Wise '!$A156),0)</f>
        <v>0.89833</v>
      </c>
      <c r="AC156" s="49">
        <f>F156/SUMIFS('Campaign - Dump'!$Q:$Q,'Campaign - Dump'!$A:$A,'Portfolio Wise '!$A156)</f>
        <v>0</v>
      </c>
      <c r="AD156" s="49">
        <f t="shared" si="16"/>
        <v>0</v>
      </c>
    </row>
    <row r="157" ht="15.75" customHeight="1">
      <c r="A157" s="10" t="s">
        <v>54</v>
      </c>
      <c r="B157" s="100" t="s">
        <v>182</v>
      </c>
      <c r="C157" s="13">
        <f>SUMIFS('Campaign - Dump'!$N:$N,'Campaign - Dump'!$J:$J,'Portfolio Wise '!$B157,'Campaign - Dump'!$A:$A,'Portfolio Wise '!$A157)</f>
        <v>0</v>
      </c>
      <c r="D157" s="13">
        <f>SUMIFS('Campaign - Dump'!$O:$O,'Campaign - Dump'!$J:$J,'Portfolio Wise '!$B157,'Campaign - Dump'!$A:$A,'Portfolio Wise '!$A157)</f>
        <v>0</v>
      </c>
      <c r="E157" s="23">
        <f t="shared" si="2"/>
        <v>0</v>
      </c>
      <c r="F157" s="36">
        <f>SUMIFS('Campaign - Dump'!$Q:$Q,'Campaign - Dump'!$J:$J,'Portfolio Wise '!$B157,'Campaign - Dump'!$A:$A,'Portfolio Wise '!$A157)</f>
        <v>0</v>
      </c>
      <c r="G157" s="38">
        <f t="shared" si="3"/>
        <v>0</v>
      </c>
      <c r="H157" s="41">
        <f>SUMIFS('Campaign - Dump'!$T:$T,'Campaign - Dump'!$J:$J,'Portfolio Wise '!$B157,'Campaign - Dump'!$A:$A,'Portfolio Wise '!$A157)</f>
        <v>0</v>
      </c>
      <c r="I157" s="23">
        <f t="shared" si="4"/>
        <v>0</v>
      </c>
      <c r="J157" s="36">
        <f>SUMIFS('Campaign - Dump'!$U:$U,'Campaign - Dump'!$J:$J,'Portfolio Wise '!$B157,'Campaign - Dump'!$A:$A,'Portfolio Wise '!$A157)</f>
        <v>0</v>
      </c>
      <c r="K157" s="23">
        <f t="shared" si="5"/>
        <v>0</v>
      </c>
      <c r="L157" s="38">
        <f t="shared" si="6"/>
        <v>0</v>
      </c>
      <c r="M157" s="41">
        <f t="shared" si="7"/>
        <v>0</v>
      </c>
      <c r="N157" s="13">
        <f t="shared" si="220"/>
        <v>22</v>
      </c>
      <c r="O157" s="36">
        <f t="shared" si="221"/>
        <v>612035.3898</v>
      </c>
      <c r="P157" s="41">
        <f t="shared" si="8"/>
        <v>27819.79045</v>
      </c>
      <c r="Q157" s="13">
        <f>SUMIFS('Business - Dump'!$W:$W,'Business - Dump'!$B:$B,'Portfolio Wise '!$B157,'Business - Dump'!$A:$A,'Portfolio Wise '!$A157)</f>
        <v>22</v>
      </c>
      <c r="R157" s="36">
        <f>SUMIFS('Business - Dump'!$U:$U,'Business - Dump'!$B:$B,'Portfolio Wise '!$B157,'Business - Dump'!$A:$A,'Portfolio Wise '!$A157)/1.18</f>
        <v>612035.3898</v>
      </c>
      <c r="S157" s="41">
        <f t="shared" si="9"/>
        <v>27819.79045</v>
      </c>
      <c r="T157" s="23">
        <f t="shared" si="10"/>
        <v>0</v>
      </c>
      <c r="U157" s="38">
        <f t="shared" si="11"/>
        <v>0</v>
      </c>
      <c r="V157" s="41">
        <f>SUMIFS('Business - Dump'!$G:$G,'Business - Dump'!$B:$B,'Portfolio Wise '!$B157,'Business - Dump'!$A:$A,'Portfolio Wise '!$A157)</f>
        <v>3750</v>
      </c>
      <c r="W157" s="23">
        <f t="shared" si="12"/>
        <v>0.005866666667</v>
      </c>
      <c r="X157" s="23">
        <f t="shared" ref="X157:Y157" si="228">IFERROR(N157/Q157,0)</f>
        <v>1</v>
      </c>
      <c r="Y157" s="49">
        <f t="shared" si="228"/>
        <v>1</v>
      </c>
      <c r="Z157" s="49">
        <f t="shared" si="14"/>
        <v>0</v>
      </c>
      <c r="AA157" s="23">
        <f t="shared" si="15"/>
        <v>1</v>
      </c>
      <c r="AB157" s="23">
        <f>IFERROR(AVERAGEIFS('Business - Dump'!$O:$O,'Business - Dump'!$B:$B,'Portfolio Wise '!$B157,'Business - Dump'!$A:$A,'Portfolio Wise '!$A157),0)</f>
        <v>0.89833</v>
      </c>
      <c r="AC157" s="49">
        <f>F157/SUMIFS('Campaign - Dump'!$Q:$Q,'Campaign - Dump'!$A:$A,'Portfolio Wise '!$A157)</f>
        <v>0</v>
      </c>
      <c r="AD157" s="49">
        <f t="shared" si="16"/>
        <v>0</v>
      </c>
    </row>
    <row r="158" ht="15.75" customHeight="1">
      <c r="A158" s="10" t="s">
        <v>54</v>
      </c>
      <c r="B158" s="19" t="s">
        <v>196</v>
      </c>
      <c r="C158" s="13">
        <f>SUMIFS('Campaign - Dump'!$N:$N,'Campaign - Dump'!$J:$J,'Portfolio Wise '!$B158,'Campaign - Dump'!$A:$A,'Portfolio Wise '!$A158)</f>
        <v>325688</v>
      </c>
      <c r="D158" s="13">
        <f>SUMIFS('Campaign - Dump'!$O:$O,'Campaign - Dump'!$J:$J,'Portfolio Wise '!$B158,'Campaign - Dump'!$A:$A,'Portfolio Wise '!$A158)</f>
        <v>1693</v>
      </c>
      <c r="E158" s="23">
        <f t="shared" si="2"/>
        <v>0.005198226524</v>
      </c>
      <c r="F158" s="36">
        <f>SUMIFS('Campaign - Dump'!$Q:$Q,'Campaign - Dump'!$J:$J,'Portfolio Wise '!$B158,'Campaign - Dump'!$A:$A,'Portfolio Wise '!$A158)</f>
        <v>62684.78</v>
      </c>
      <c r="G158" s="38">
        <f t="shared" si="3"/>
        <v>37.02585942</v>
      </c>
      <c r="H158" s="41">
        <f>SUMIFS('Campaign - Dump'!$T:$T,'Campaign - Dump'!$J:$J,'Portfolio Wise '!$B158,'Campaign - Dump'!$A:$A,'Portfolio Wise '!$A158)</f>
        <v>7</v>
      </c>
      <c r="I158" s="23">
        <f t="shared" si="4"/>
        <v>0.00413467218</v>
      </c>
      <c r="J158" s="36">
        <f>SUMIFS('Campaign - Dump'!$U:$U,'Campaign - Dump'!$J:$J,'Portfolio Wise '!$B158,'Campaign - Dump'!$A:$A,'Portfolio Wise '!$A158)</f>
        <v>139152.54</v>
      </c>
      <c r="K158" s="23">
        <f t="shared" si="5"/>
        <v>0.4504752842</v>
      </c>
      <c r="L158" s="38">
        <f t="shared" si="6"/>
        <v>2.219877616</v>
      </c>
      <c r="M158" s="41">
        <f t="shared" si="7"/>
        <v>19878.93429</v>
      </c>
      <c r="N158" s="13">
        <v>0.0</v>
      </c>
      <c r="O158" s="36">
        <v>0.0</v>
      </c>
      <c r="P158" s="41">
        <f t="shared" si="8"/>
        <v>0</v>
      </c>
      <c r="Q158" s="13">
        <f>SUMIFS('Business - Dump'!$W:$W,'Business - Dump'!$B:$B,'Portfolio Wise '!$B158,'Business - Dump'!$A:$A,'Portfolio Wise '!$A158)</f>
        <v>0</v>
      </c>
      <c r="R158" s="36">
        <f>SUMIFS('Business - Dump'!$U:$U,'Business - Dump'!$B:$B,'Portfolio Wise '!$B158,'Business - Dump'!$A:$A,'Portfolio Wise '!$A158)/1.18</f>
        <v>0</v>
      </c>
      <c r="S158" s="41">
        <f t="shared" si="9"/>
        <v>0</v>
      </c>
      <c r="T158" s="23">
        <f t="shared" si="10"/>
        <v>0</v>
      </c>
      <c r="U158" s="38">
        <f t="shared" si="11"/>
        <v>0</v>
      </c>
      <c r="V158" s="41">
        <f>SUMIFS('Business - Dump'!$G:$G,'Business - Dump'!$B:$B,'Portfolio Wise '!$B158,'Business - Dump'!$A:$A,'Portfolio Wise '!$A158)</f>
        <v>0</v>
      </c>
      <c r="W158" s="48">
        <f t="shared" si="12"/>
        <v>0</v>
      </c>
      <c r="X158" s="23">
        <f t="shared" ref="X158:Y158" si="229">IFERROR(N158/Q158,0)</f>
        <v>0</v>
      </c>
      <c r="Y158" s="49">
        <f t="shared" si="229"/>
        <v>0</v>
      </c>
      <c r="Z158" s="49">
        <f t="shared" si="14"/>
        <v>0</v>
      </c>
      <c r="AA158" s="23">
        <f t="shared" si="15"/>
        <v>0</v>
      </c>
      <c r="AB158" s="23">
        <f>IFERROR(AVERAGEIFS('Business - Dump'!$O:$O,'Business - Dump'!$B:$B,'Portfolio Wise '!$B158,'Business - Dump'!$A:$A,'Portfolio Wise '!$A158),0)</f>
        <v>0</v>
      </c>
      <c r="AC158" s="49">
        <f>F158/SUMIFS('Campaign - Dump'!$Q:$Q,'Campaign - Dump'!$A:$A,'Portfolio Wise '!$A158)</f>
        <v>0.0684925638</v>
      </c>
      <c r="AD158" s="49">
        <f t="shared" si="16"/>
        <v>0</v>
      </c>
    </row>
    <row r="159" ht="15.75" customHeight="1">
      <c r="A159" s="10" t="s">
        <v>54</v>
      </c>
      <c r="B159" s="19" t="s">
        <v>205</v>
      </c>
      <c r="C159" s="13">
        <f>SUMIFS('Campaign - Dump'!$N:$N,'Campaign - Dump'!$J:$J,'Portfolio Wise '!$B159,'Campaign - Dump'!$A:$A,'Portfolio Wise '!$A159)</f>
        <v>991244</v>
      </c>
      <c r="D159" s="13">
        <f>SUMIFS('Campaign - Dump'!$O:$O,'Campaign - Dump'!$J:$J,'Portfolio Wise '!$B159,'Campaign - Dump'!$A:$A,'Portfolio Wise '!$A159)</f>
        <v>1015</v>
      </c>
      <c r="E159" s="23">
        <f t="shared" si="2"/>
        <v>0.001023965845</v>
      </c>
      <c r="F159" s="36">
        <f>SUMIFS('Campaign - Dump'!$Q:$Q,'Campaign - Dump'!$J:$J,'Portfolio Wise '!$B159,'Campaign - Dump'!$A:$A,'Portfolio Wise '!$A159)</f>
        <v>24516.62</v>
      </c>
      <c r="G159" s="38">
        <f t="shared" si="3"/>
        <v>24.15430542</v>
      </c>
      <c r="H159" s="41">
        <f>SUMIFS('Campaign - Dump'!$T:$T,'Campaign - Dump'!$J:$J,'Portfolio Wise '!$B159,'Campaign - Dump'!$A:$A,'Portfolio Wise '!$A159)</f>
        <v>1</v>
      </c>
      <c r="I159" s="23">
        <f t="shared" si="4"/>
        <v>0.0009852216749</v>
      </c>
      <c r="J159" s="36">
        <f>SUMIFS('Campaign - Dump'!$U:$U,'Campaign - Dump'!$J:$J,'Portfolio Wise '!$B159,'Campaign - Dump'!$A:$A,'Portfolio Wise '!$A159)</f>
        <v>33898.31</v>
      </c>
      <c r="K159" s="23">
        <f t="shared" si="5"/>
        <v>0.7232401851</v>
      </c>
      <c r="L159" s="38">
        <f t="shared" si="6"/>
        <v>1.382666534</v>
      </c>
      <c r="M159" s="41">
        <f t="shared" si="7"/>
        <v>33898.31</v>
      </c>
      <c r="N159" s="13">
        <f t="shared" ref="N159:N168" si="231">IFERROR(Q159-H159,0)</f>
        <v>16</v>
      </c>
      <c r="O159" s="36">
        <f t="shared" ref="O159:O168" si="232">IFERROR(R159-J159,0)</f>
        <v>546684.8764</v>
      </c>
      <c r="P159" s="41">
        <f t="shared" si="8"/>
        <v>34167.80478</v>
      </c>
      <c r="Q159" s="13">
        <f>SUMIFS('Business - Dump'!$W:$W,'Business - Dump'!$B:$B,'Portfolio Wise '!$B159,'Business - Dump'!$A:$A,'Portfolio Wise '!$A159)</f>
        <v>17</v>
      </c>
      <c r="R159" s="36">
        <f>SUMIFS('Business - Dump'!$U:$U,'Business - Dump'!$B:$B,'Portfolio Wise '!$B159,'Business - Dump'!$A:$A,'Portfolio Wise '!$A159)/1.18</f>
        <v>580583.1864</v>
      </c>
      <c r="S159" s="41">
        <f t="shared" si="9"/>
        <v>34151.95214</v>
      </c>
      <c r="T159" s="23">
        <f t="shared" si="10"/>
        <v>0.04222757492</v>
      </c>
      <c r="U159" s="38">
        <f t="shared" si="11"/>
        <v>23.68120836</v>
      </c>
      <c r="V159" s="41">
        <f>SUMIFS('Business - Dump'!$G:$G,'Business - Dump'!$B:$B,'Portfolio Wise '!$B159,'Business - Dump'!$A:$A,'Portfolio Wise '!$A159)</f>
        <v>5213</v>
      </c>
      <c r="W159" s="48">
        <f t="shared" si="12"/>
        <v>0.003261078074</v>
      </c>
      <c r="X159" s="23">
        <f t="shared" ref="X159:Y159" si="230">IFERROR(N159/Q159,0)</f>
        <v>0.9411764706</v>
      </c>
      <c r="Y159" s="49">
        <f t="shared" si="230"/>
        <v>0.9416133454</v>
      </c>
      <c r="Z159" s="49">
        <f t="shared" si="14"/>
        <v>0.05882352941</v>
      </c>
      <c r="AA159" s="23">
        <f t="shared" si="15"/>
        <v>0.9416133454</v>
      </c>
      <c r="AB159" s="23">
        <f>IFERROR(AVERAGEIFS('Business - Dump'!$O:$O,'Business - Dump'!$B:$B,'Portfolio Wise '!$B159,'Business - Dump'!$A:$A,'Portfolio Wise '!$A159),0)</f>
        <v>0.8418222222</v>
      </c>
      <c r="AC159" s="49">
        <f>F159/SUMIFS('Campaign - Dump'!$Q:$Q,'Campaign - Dump'!$A:$A,'Portfolio Wise '!$A159)</f>
        <v>0.02678810007</v>
      </c>
      <c r="AD159" s="49">
        <f t="shared" si="16"/>
        <v>16</v>
      </c>
    </row>
    <row r="160" ht="15.75" customHeight="1">
      <c r="A160" s="10" t="s">
        <v>54</v>
      </c>
      <c r="B160" s="10" t="s">
        <v>211</v>
      </c>
      <c r="C160" s="13">
        <f>SUMIFS('Campaign - Dump'!$N:$N,'Campaign - Dump'!$J:$J,'Portfolio Wise '!$B160,'Campaign - Dump'!$A:$A,'Portfolio Wise '!$A160)</f>
        <v>377879</v>
      </c>
      <c r="D160" s="13">
        <f>SUMIFS('Campaign - Dump'!$O:$O,'Campaign - Dump'!$J:$J,'Portfolio Wise '!$B160,'Campaign - Dump'!$A:$A,'Portfolio Wise '!$A160)</f>
        <v>1010</v>
      </c>
      <c r="E160" s="23">
        <f t="shared" si="2"/>
        <v>0.002672813255</v>
      </c>
      <c r="F160" s="36">
        <f>SUMIFS('Campaign - Dump'!$Q:$Q,'Campaign - Dump'!$J:$J,'Portfolio Wise '!$B160,'Campaign - Dump'!$A:$A,'Portfolio Wise '!$A160)</f>
        <v>5457.74</v>
      </c>
      <c r="G160" s="38">
        <f t="shared" si="3"/>
        <v>5.40370297</v>
      </c>
      <c r="H160" s="41">
        <f>SUMIFS('Campaign - Dump'!$T:$T,'Campaign - Dump'!$J:$J,'Portfolio Wise '!$B160,'Campaign - Dump'!$A:$A,'Portfolio Wise '!$A160)</f>
        <v>25</v>
      </c>
      <c r="I160" s="23">
        <f t="shared" si="4"/>
        <v>0.02475247525</v>
      </c>
      <c r="J160" s="36">
        <f>SUMIFS('Campaign - Dump'!$U:$U,'Campaign - Dump'!$J:$J,'Portfolio Wise '!$B160,'Campaign - Dump'!$A:$A,'Portfolio Wise '!$A160)</f>
        <v>157818.63</v>
      </c>
      <c r="K160" s="23">
        <f t="shared" si="5"/>
        <v>0.03458235571</v>
      </c>
      <c r="L160" s="38">
        <f t="shared" si="6"/>
        <v>28.91648008</v>
      </c>
      <c r="M160" s="41">
        <f t="shared" si="7"/>
        <v>6312.7452</v>
      </c>
      <c r="N160" s="13">
        <f t="shared" si="231"/>
        <v>12</v>
      </c>
      <c r="O160" s="36">
        <f t="shared" si="232"/>
        <v>-108211.0114</v>
      </c>
      <c r="P160" s="41">
        <f t="shared" si="8"/>
        <v>-9017.58428</v>
      </c>
      <c r="Q160" s="13">
        <f>SUMIFS('Business - Dump'!$W:$W,'Business - Dump'!$B:$B,'Portfolio Wise '!$B160,'Business - Dump'!$A:$A,'Portfolio Wise '!$A160)</f>
        <v>37</v>
      </c>
      <c r="R160" s="36">
        <f>SUMIFS('Business - Dump'!$U:$U,'Business - Dump'!$B:$B,'Portfolio Wise '!$B160,'Business - Dump'!$A:$A,'Portfolio Wise '!$A160)/1.18</f>
        <v>49607.61864</v>
      </c>
      <c r="S160" s="41">
        <f t="shared" si="9"/>
        <v>1340.74645</v>
      </c>
      <c r="T160" s="23">
        <f t="shared" si="10"/>
        <v>0.1100181817</v>
      </c>
      <c r="U160" s="38">
        <f t="shared" si="11"/>
        <v>9.089406722</v>
      </c>
      <c r="V160" s="41">
        <f>SUMIFS('Business - Dump'!$G:$G,'Business - Dump'!$B:$B,'Portfolio Wise '!$B160,'Business - Dump'!$A:$A,'Portfolio Wise '!$A160)</f>
        <v>1612</v>
      </c>
      <c r="W160" s="48">
        <f t="shared" si="12"/>
        <v>0.0229528536</v>
      </c>
      <c r="X160" s="23">
        <f t="shared" ref="X160:Y160" si="233">IFERROR(N160/Q160,0)</f>
        <v>0.3243243243</v>
      </c>
      <c r="Y160" s="49">
        <f t="shared" si="233"/>
        <v>-2.181338559</v>
      </c>
      <c r="Z160" s="49">
        <f t="shared" si="14"/>
        <v>0.6756756757</v>
      </c>
      <c r="AA160" s="23">
        <f t="shared" si="15"/>
        <v>-2.181338559</v>
      </c>
      <c r="AB160" s="23">
        <f>IFERROR(AVERAGEIFS('Business - Dump'!$O:$O,'Business - Dump'!$B:$B,'Portfolio Wise '!$B160,'Business - Dump'!$A:$A,'Portfolio Wise '!$A160),0)</f>
        <v>0.9399</v>
      </c>
      <c r="AC160" s="49">
        <f>F160/SUMIFS('Campaign - Dump'!$Q:$Q,'Campaign - Dump'!$A:$A,'Portfolio Wise '!$A160)</f>
        <v>0.005963403</v>
      </c>
      <c r="AD160" s="49">
        <f t="shared" si="16"/>
        <v>0.48</v>
      </c>
    </row>
    <row r="161" ht="15.75" customHeight="1">
      <c r="A161" s="10" t="s">
        <v>54</v>
      </c>
      <c r="B161" s="19" t="s">
        <v>217</v>
      </c>
      <c r="C161" s="13">
        <f>SUMIFS('Campaign - Dump'!$N:$N,'Campaign - Dump'!$J:$J,'Portfolio Wise '!$B161,'Campaign - Dump'!$A:$A,'Portfolio Wise '!$A161)</f>
        <v>32436</v>
      </c>
      <c r="D161" s="13">
        <f>SUMIFS('Campaign - Dump'!$O:$O,'Campaign - Dump'!$J:$J,'Portfolio Wise '!$B161,'Campaign - Dump'!$A:$A,'Portfolio Wise '!$A161)</f>
        <v>97</v>
      </c>
      <c r="E161" s="23">
        <f t="shared" si="2"/>
        <v>0.002990504378</v>
      </c>
      <c r="F161" s="36">
        <f>SUMIFS('Campaign - Dump'!$Q:$Q,'Campaign - Dump'!$J:$J,'Portfolio Wise '!$B161,'Campaign - Dump'!$A:$A,'Portfolio Wise '!$A161)</f>
        <v>738.16</v>
      </c>
      <c r="G161" s="38">
        <f t="shared" si="3"/>
        <v>7.609896907</v>
      </c>
      <c r="H161" s="41">
        <f>SUMIFS('Campaign - Dump'!$T:$T,'Campaign - Dump'!$J:$J,'Portfolio Wise '!$B161,'Campaign - Dump'!$A:$A,'Portfolio Wise '!$A161)</f>
        <v>1</v>
      </c>
      <c r="I161" s="23">
        <f t="shared" si="4"/>
        <v>0.01030927835</v>
      </c>
      <c r="J161" s="36">
        <f>SUMIFS('Campaign - Dump'!$U:$U,'Campaign - Dump'!$J:$J,'Portfolio Wise '!$B161,'Campaign - Dump'!$A:$A,'Portfolio Wise '!$A161)</f>
        <v>1693.22</v>
      </c>
      <c r="K161" s="23">
        <f t="shared" si="5"/>
        <v>0.4359504376</v>
      </c>
      <c r="L161" s="38">
        <f t="shared" si="6"/>
        <v>2.293838734</v>
      </c>
      <c r="M161" s="41">
        <f t="shared" si="7"/>
        <v>1693.22</v>
      </c>
      <c r="N161" s="13">
        <f t="shared" si="231"/>
        <v>17</v>
      </c>
      <c r="O161" s="36">
        <f t="shared" si="232"/>
        <v>19005.93254</v>
      </c>
      <c r="P161" s="41">
        <f t="shared" si="8"/>
        <v>1117.996032</v>
      </c>
      <c r="Q161" s="13">
        <f>SUMIFS('Business - Dump'!$W:$W,'Business - Dump'!$B:$B,'Portfolio Wise '!$B161,'Business - Dump'!$A:$A,'Portfolio Wise '!$A161)</f>
        <v>18</v>
      </c>
      <c r="R161" s="36">
        <f>SUMIFS('Business - Dump'!$U:$U,'Business - Dump'!$B:$B,'Portfolio Wise '!$B161,'Business - Dump'!$A:$A,'Portfolio Wise '!$A161)/1.18</f>
        <v>20699.15254</v>
      </c>
      <c r="S161" s="41">
        <f t="shared" si="9"/>
        <v>1149.952919</v>
      </c>
      <c r="T161" s="23">
        <f t="shared" si="10"/>
        <v>0.03566136336</v>
      </c>
      <c r="U161" s="38">
        <f t="shared" si="11"/>
        <v>28.0415527</v>
      </c>
      <c r="V161" s="41">
        <f>SUMIFS('Business - Dump'!$G:$G,'Business - Dump'!$B:$B,'Portfolio Wise '!$B161,'Business - Dump'!$A:$A,'Portfolio Wise '!$A161)</f>
        <v>433</v>
      </c>
      <c r="W161" s="48">
        <f t="shared" si="12"/>
        <v>0.0415704388</v>
      </c>
      <c r="X161" s="23">
        <f t="shared" ref="X161:Y161" si="234">IFERROR(N161/Q161,0)</f>
        <v>0.9444444444</v>
      </c>
      <c r="Y161" s="49">
        <f t="shared" si="234"/>
        <v>0.9181985834</v>
      </c>
      <c r="Z161" s="49">
        <f t="shared" si="14"/>
        <v>0.05555555556</v>
      </c>
      <c r="AA161" s="23">
        <f t="shared" si="15"/>
        <v>0.9181985834</v>
      </c>
      <c r="AB161" s="23">
        <f>IFERROR(AVERAGEIFS('Business - Dump'!$O:$O,'Business - Dump'!$B:$B,'Portfolio Wise '!$B161,'Business - Dump'!$A:$A,'Portfolio Wise '!$A161),0)</f>
        <v>0.9417333333</v>
      </c>
      <c r="AC161" s="49">
        <f>F161/SUMIFS('Campaign - Dump'!$Q:$Q,'Campaign - Dump'!$A:$A,'Portfolio Wise '!$A161)</f>
        <v>0.0008065509824</v>
      </c>
      <c r="AD161" s="49">
        <f t="shared" si="16"/>
        <v>17</v>
      </c>
    </row>
    <row r="162" ht="15.75" customHeight="1">
      <c r="A162" s="10" t="s">
        <v>54</v>
      </c>
      <c r="B162" s="33" t="s">
        <v>230</v>
      </c>
      <c r="C162" s="13">
        <f>SUMIFS('Campaign - Dump'!$N:$N,'Campaign - Dump'!$J:$J,'Portfolio Wise '!$B162,'Campaign - Dump'!$A:$A,'Portfolio Wise '!$A162)</f>
        <v>0</v>
      </c>
      <c r="D162" s="13">
        <f>SUMIFS('Campaign - Dump'!$O:$O,'Campaign - Dump'!$J:$J,'Portfolio Wise '!$B162,'Campaign - Dump'!$A:$A,'Portfolio Wise '!$A162)</f>
        <v>0</v>
      </c>
      <c r="E162" s="23">
        <f t="shared" si="2"/>
        <v>0</v>
      </c>
      <c r="F162" s="36">
        <f>SUMIFS('Campaign - Dump'!$Q:$Q,'Campaign - Dump'!$J:$J,'Portfolio Wise '!$B162,'Campaign - Dump'!$A:$A,'Portfolio Wise '!$A162)</f>
        <v>0</v>
      </c>
      <c r="G162" s="38">
        <f t="shared" si="3"/>
        <v>0</v>
      </c>
      <c r="H162" s="41">
        <f>SUMIFS('Campaign - Dump'!$T:$T,'Campaign - Dump'!$J:$J,'Portfolio Wise '!$B162,'Campaign - Dump'!$A:$A,'Portfolio Wise '!$A162)</f>
        <v>0</v>
      </c>
      <c r="I162" s="23">
        <f t="shared" si="4"/>
        <v>0</v>
      </c>
      <c r="J162" s="36">
        <f>SUMIFS('Campaign - Dump'!$U:$U,'Campaign - Dump'!$J:$J,'Portfolio Wise '!$B162,'Campaign - Dump'!$A:$A,'Portfolio Wise '!$A162)</f>
        <v>0</v>
      </c>
      <c r="K162" s="23">
        <f t="shared" si="5"/>
        <v>0</v>
      </c>
      <c r="L162" s="38">
        <f t="shared" si="6"/>
        <v>0</v>
      </c>
      <c r="M162" s="41">
        <f t="shared" si="7"/>
        <v>0</v>
      </c>
      <c r="N162" s="13">
        <f t="shared" si="231"/>
        <v>51</v>
      </c>
      <c r="O162" s="36">
        <f t="shared" si="232"/>
        <v>1155846.339</v>
      </c>
      <c r="P162" s="41">
        <f t="shared" si="8"/>
        <v>22663.65371</v>
      </c>
      <c r="Q162" s="13">
        <f>SUMIFS('Business - Dump'!$W:$W,'Business - Dump'!$B:$B,'Portfolio Wise '!$B162,'Business - Dump'!$A:$A,'Portfolio Wise '!$A162)</f>
        <v>51</v>
      </c>
      <c r="R162" s="36">
        <f>SUMIFS('Business - Dump'!$U:$U,'Business - Dump'!$B:$B,'Portfolio Wise '!$B162,'Business - Dump'!$A:$A,'Portfolio Wise '!$A162)/1.18</f>
        <v>1155846.339</v>
      </c>
      <c r="S162" s="41">
        <f t="shared" si="9"/>
        <v>22663.65371</v>
      </c>
      <c r="T162" s="23">
        <f t="shared" si="10"/>
        <v>0</v>
      </c>
      <c r="U162" s="38">
        <f t="shared" si="11"/>
        <v>0</v>
      </c>
      <c r="V162" s="41">
        <f>SUMIFS('Business - Dump'!$G:$G,'Business - Dump'!$B:$B,'Portfolio Wise '!$B162,'Business - Dump'!$A:$A,'Portfolio Wise '!$A162)</f>
        <v>4147</v>
      </c>
      <c r="W162" s="23">
        <f t="shared" si="12"/>
        <v>0.01229804678</v>
      </c>
      <c r="X162" s="23">
        <f t="shared" ref="X162:Y162" si="235">IFERROR(N162/Q162,0)</f>
        <v>1</v>
      </c>
      <c r="Y162" s="49">
        <f t="shared" si="235"/>
        <v>1</v>
      </c>
      <c r="Z162" s="49">
        <f t="shared" si="14"/>
        <v>0</v>
      </c>
      <c r="AA162" s="23">
        <f t="shared" si="15"/>
        <v>1</v>
      </c>
      <c r="AB162" s="23">
        <f>IFERROR(AVERAGEIFS('Business - Dump'!$O:$O,'Business - Dump'!$B:$B,'Portfolio Wise '!$B162,'Business - Dump'!$A:$A,'Portfolio Wise '!$A162),0)</f>
        <v>0.91575</v>
      </c>
      <c r="AC162" s="49">
        <f>F162/SUMIFS('Campaign - Dump'!$Q:$Q,'Campaign - Dump'!$A:$A,'Portfolio Wise '!$A162)</f>
        <v>0</v>
      </c>
      <c r="AD162" s="49">
        <f t="shared" si="16"/>
        <v>0</v>
      </c>
    </row>
    <row r="163" ht="15.75" customHeight="1">
      <c r="A163" s="10" t="s">
        <v>54</v>
      </c>
      <c r="B163" s="33" t="s">
        <v>230</v>
      </c>
      <c r="C163" s="13">
        <f>SUMIFS('Campaign - Dump'!$N:$N,'Campaign - Dump'!$J:$J,'Portfolio Wise '!$B163,'Campaign - Dump'!$A:$A,'Portfolio Wise '!$A163)</f>
        <v>0</v>
      </c>
      <c r="D163" s="13">
        <f>SUMIFS('Campaign - Dump'!$O:$O,'Campaign - Dump'!$J:$J,'Portfolio Wise '!$B163,'Campaign - Dump'!$A:$A,'Portfolio Wise '!$A163)</f>
        <v>0</v>
      </c>
      <c r="E163" s="23">
        <f t="shared" si="2"/>
        <v>0</v>
      </c>
      <c r="F163" s="36">
        <f>SUMIFS('Campaign - Dump'!$Q:$Q,'Campaign - Dump'!$J:$J,'Portfolio Wise '!$B163,'Campaign - Dump'!$A:$A,'Portfolio Wise '!$A163)</f>
        <v>0</v>
      </c>
      <c r="G163" s="38">
        <f t="shared" si="3"/>
        <v>0</v>
      </c>
      <c r="H163" s="41">
        <f>SUMIFS('Campaign - Dump'!$T:$T,'Campaign - Dump'!$J:$J,'Portfolio Wise '!$B163,'Campaign - Dump'!$A:$A,'Portfolio Wise '!$A163)</f>
        <v>0</v>
      </c>
      <c r="I163" s="23">
        <f t="shared" si="4"/>
        <v>0</v>
      </c>
      <c r="J163" s="36">
        <f>SUMIFS('Campaign - Dump'!$U:$U,'Campaign - Dump'!$J:$J,'Portfolio Wise '!$B163,'Campaign - Dump'!$A:$A,'Portfolio Wise '!$A163)</f>
        <v>0</v>
      </c>
      <c r="K163" s="23">
        <f t="shared" si="5"/>
        <v>0</v>
      </c>
      <c r="L163" s="38">
        <f t="shared" si="6"/>
        <v>0</v>
      </c>
      <c r="M163" s="41">
        <f t="shared" si="7"/>
        <v>0</v>
      </c>
      <c r="N163" s="13">
        <f t="shared" si="231"/>
        <v>51</v>
      </c>
      <c r="O163" s="36">
        <f t="shared" si="232"/>
        <v>1155846.339</v>
      </c>
      <c r="P163" s="41">
        <f t="shared" si="8"/>
        <v>22663.65371</v>
      </c>
      <c r="Q163" s="13">
        <f>SUMIFS('Business - Dump'!$W:$W,'Business - Dump'!$B:$B,'Portfolio Wise '!$B163,'Business - Dump'!$A:$A,'Portfolio Wise '!$A163)</f>
        <v>51</v>
      </c>
      <c r="R163" s="36">
        <f>SUMIFS('Business - Dump'!$U:$U,'Business - Dump'!$B:$B,'Portfolio Wise '!$B163,'Business - Dump'!$A:$A,'Portfolio Wise '!$A163)/1.18</f>
        <v>1155846.339</v>
      </c>
      <c r="S163" s="41">
        <f t="shared" si="9"/>
        <v>22663.65371</v>
      </c>
      <c r="T163" s="23">
        <f t="shared" si="10"/>
        <v>0</v>
      </c>
      <c r="U163" s="38">
        <f t="shared" si="11"/>
        <v>0</v>
      </c>
      <c r="V163" s="41">
        <f>SUMIFS('Business - Dump'!$G:$G,'Business - Dump'!$B:$B,'Portfolio Wise '!$B163,'Business - Dump'!$A:$A,'Portfolio Wise '!$A163)</f>
        <v>4147</v>
      </c>
      <c r="W163" s="23">
        <f t="shared" si="12"/>
        <v>0.01229804678</v>
      </c>
      <c r="X163" s="23">
        <f t="shared" ref="X163:Y163" si="236">IFERROR(N163/Q163,0)</f>
        <v>1</v>
      </c>
      <c r="Y163" s="49">
        <f t="shared" si="236"/>
        <v>1</v>
      </c>
      <c r="Z163" s="49">
        <f t="shared" si="14"/>
        <v>0</v>
      </c>
      <c r="AA163" s="23">
        <f t="shared" si="15"/>
        <v>1</v>
      </c>
      <c r="AB163" s="23">
        <f>IFERROR(AVERAGEIFS('Business - Dump'!$O:$O,'Business - Dump'!$B:$B,'Portfolio Wise '!$B163,'Business - Dump'!$A:$A,'Portfolio Wise '!$A163),0)</f>
        <v>0.91575</v>
      </c>
      <c r="AC163" s="49">
        <f>F163/SUMIFS('Campaign - Dump'!$Q:$Q,'Campaign - Dump'!$A:$A,'Portfolio Wise '!$A163)</f>
        <v>0</v>
      </c>
      <c r="AD163" s="49">
        <f t="shared" si="16"/>
        <v>0</v>
      </c>
    </row>
    <row r="164" ht="15.75" customHeight="1">
      <c r="A164" s="10" t="s">
        <v>54</v>
      </c>
      <c r="B164" s="19" t="s">
        <v>232</v>
      </c>
      <c r="C164" s="13">
        <f>SUMIFS('Campaign - Dump'!$N:$N,'Campaign - Dump'!$J:$J,'Portfolio Wise '!$B164,'Campaign - Dump'!$A:$A,'Portfolio Wise '!$A164)</f>
        <v>145175</v>
      </c>
      <c r="D164" s="13">
        <f>SUMIFS('Campaign - Dump'!$O:$O,'Campaign - Dump'!$J:$J,'Portfolio Wise '!$B164,'Campaign - Dump'!$A:$A,'Portfolio Wise '!$A164)</f>
        <v>454</v>
      </c>
      <c r="E164" s="23">
        <f t="shared" si="2"/>
        <v>0.003127260203</v>
      </c>
      <c r="F164" s="36">
        <f>SUMIFS('Campaign - Dump'!$Q:$Q,'Campaign - Dump'!$J:$J,'Portfolio Wise '!$B164,'Campaign - Dump'!$A:$A,'Portfolio Wise '!$A164)</f>
        <v>12775.13</v>
      </c>
      <c r="G164" s="38">
        <f t="shared" si="3"/>
        <v>28.13905286</v>
      </c>
      <c r="H164" s="41">
        <f>SUMIFS('Campaign - Dump'!$T:$T,'Campaign - Dump'!$J:$J,'Portfolio Wise '!$B164,'Campaign - Dump'!$A:$A,'Portfolio Wise '!$A164)</f>
        <v>0</v>
      </c>
      <c r="I164" s="23">
        <f t="shared" si="4"/>
        <v>0</v>
      </c>
      <c r="J164" s="36">
        <f>SUMIFS('Campaign - Dump'!$U:$U,'Campaign - Dump'!$J:$J,'Portfolio Wise '!$B164,'Campaign - Dump'!$A:$A,'Portfolio Wise '!$A164)</f>
        <v>0</v>
      </c>
      <c r="K164" s="23">
        <f t="shared" si="5"/>
        <v>0</v>
      </c>
      <c r="L164" s="38">
        <f t="shared" si="6"/>
        <v>0</v>
      </c>
      <c r="M164" s="41">
        <f t="shared" si="7"/>
        <v>0</v>
      </c>
      <c r="N164" s="13">
        <f t="shared" si="231"/>
        <v>22</v>
      </c>
      <c r="O164" s="36">
        <f t="shared" si="232"/>
        <v>327092.3729</v>
      </c>
      <c r="P164" s="41">
        <f t="shared" si="8"/>
        <v>14867.83513</v>
      </c>
      <c r="Q164" s="13">
        <f>SUMIFS('Business - Dump'!$W:$W,'Business - Dump'!$B:$B,'Portfolio Wise '!$B164,'Business - Dump'!$A:$A,'Portfolio Wise '!$A164)</f>
        <v>22</v>
      </c>
      <c r="R164" s="36">
        <f>SUMIFS('Business - Dump'!$U:$U,'Business - Dump'!$B:$B,'Portfolio Wise '!$B164,'Business - Dump'!$A:$A,'Portfolio Wise '!$A164)/1.18</f>
        <v>327092.3729</v>
      </c>
      <c r="S164" s="41">
        <f t="shared" si="9"/>
        <v>14867.83513</v>
      </c>
      <c r="T164" s="23">
        <f t="shared" si="10"/>
        <v>0.03905664289</v>
      </c>
      <c r="U164" s="38">
        <f t="shared" si="11"/>
        <v>25.60383909</v>
      </c>
      <c r="V164" s="41">
        <f>SUMIFS('Business - Dump'!$G:$G,'Business - Dump'!$B:$B,'Portfolio Wise '!$B164,'Business - Dump'!$A:$A,'Portfolio Wise '!$A164)</f>
        <v>2703</v>
      </c>
      <c r="W164" s="48">
        <f t="shared" si="12"/>
        <v>0.008139104698</v>
      </c>
      <c r="X164" s="23">
        <f t="shared" ref="X164:Y164" si="237">IFERROR(N164/Q164,0)</f>
        <v>1</v>
      </c>
      <c r="Y164" s="49">
        <f t="shared" si="237"/>
        <v>1</v>
      </c>
      <c r="Z164" s="49">
        <f t="shared" si="14"/>
        <v>0</v>
      </c>
      <c r="AA164" s="23">
        <f t="shared" si="15"/>
        <v>1</v>
      </c>
      <c r="AB164" s="23">
        <f>IFERROR(AVERAGEIFS('Business - Dump'!$O:$O,'Business - Dump'!$B:$B,'Portfolio Wise '!$B164,'Business - Dump'!$A:$A,'Portfolio Wise '!$A164),0)</f>
        <v>0.9141111111</v>
      </c>
      <c r="AC164" s="49">
        <f>F164/SUMIFS('Campaign - Dump'!$Q:$Q,'Campaign - Dump'!$A:$A,'Portfolio Wise '!$A164)</f>
        <v>0.01395875373</v>
      </c>
      <c r="AD164" s="49">
        <f t="shared" si="16"/>
        <v>0</v>
      </c>
    </row>
    <row r="165" ht="15.75" customHeight="1">
      <c r="A165" s="10" t="s">
        <v>54</v>
      </c>
      <c r="B165" s="51" t="s">
        <v>239</v>
      </c>
      <c r="C165" s="13">
        <f>SUMIFS('Campaign - Dump'!$N:$N,'Campaign - Dump'!$J:$J,'Portfolio Wise '!$B165,'Campaign - Dump'!$A:$A,'Portfolio Wise '!$A165)</f>
        <v>0</v>
      </c>
      <c r="D165" s="13">
        <f>SUMIFS('Campaign - Dump'!$O:$O,'Campaign - Dump'!$J:$J,'Portfolio Wise '!$B165,'Campaign - Dump'!$A:$A,'Portfolio Wise '!$A165)</f>
        <v>0</v>
      </c>
      <c r="E165" s="23">
        <f t="shared" si="2"/>
        <v>0</v>
      </c>
      <c r="F165" s="36">
        <f>SUMIFS('Campaign - Dump'!$Q:$Q,'Campaign - Dump'!$J:$J,'Portfolio Wise '!$B165,'Campaign - Dump'!$A:$A,'Portfolio Wise '!$A165)</f>
        <v>0</v>
      </c>
      <c r="G165" s="38">
        <f t="shared" si="3"/>
        <v>0</v>
      </c>
      <c r="H165" s="41">
        <f>SUMIFS('Campaign - Dump'!$T:$T,'Campaign - Dump'!$J:$J,'Portfolio Wise '!$B165,'Campaign - Dump'!$A:$A,'Portfolio Wise '!$A165)</f>
        <v>0</v>
      </c>
      <c r="I165" s="23">
        <f t="shared" si="4"/>
        <v>0</v>
      </c>
      <c r="J165" s="36">
        <f>SUMIFS('Campaign - Dump'!$U:$U,'Campaign - Dump'!$J:$J,'Portfolio Wise '!$B165,'Campaign - Dump'!$A:$A,'Portfolio Wise '!$A165)</f>
        <v>0</v>
      </c>
      <c r="K165" s="23">
        <f t="shared" si="5"/>
        <v>0</v>
      </c>
      <c r="L165" s="38">
        <f t="shared" si="6"/>
        <v>0</v>
      </c>
      <c r="M165" s="41">
        <f t="shared" si="7"/>
        <v>0</v>
      </c>
      <c r="N165" s="13">
        <f t="shared" si="231"/>
        <v>0</v>
      </c>
      <c r="O165" s="36">
        <f t="shared" si="232"/>
        <v>0</v>
      </c>
      <c r="P165" s="41">
        <f t="shared" si="8"/>
        <v>0</v>
      </c>
      <c r="Q165" s="13">
        <f>SUMIFS('Business - Dump'!$W:$W,'Business - Dump'!$B:$B,'Portfolio Wise '!$B165,'Business - Dump'!$A:$A,'Portfolio Wise '!$A165)</f>
        <v>0</v>
      </c>
      <c r="R165" s="36">
        <f>SUMIFS('Business - Dump'!$U:$U,'Business - Dump'!$B:$B,'Portfolio Wise '!$B165,'Business - Dump'!$A:$A,'Portfolio Wise '!$A165)/1.18</f>
        <v>0</v>
      </c>
      <c r="S165" s="41">
        <f t="shared" si="9"/>
        <v>0</v>
      </c>
      <c r="T165" s="23">
        <f t="shared" si="10"/>
        <v>0</v>
      </c>
      <c r="U165" s="38">
        <f t="shared" si="11"/>
        <v>0</v>
      </c>
      <c r="V165" s="41">
        <f>SUMIFS('Business - Dump'!$G:$G,'Business - Dump'!$B:$B,'Portfolio Wise '!$B165,'Business - Dump'!$A:$A,'Portfolio Wise '!$A165)</f>
        <v>0</v>
      </c>
      <c r="W165" s="48">
        <f t="shared" si="12"/>
        <v>0</v>
      </c>
      <c r="X165" s="23">
        <f t="shared" ref="X165:Y165" si="238">IFERROR(N165/Q165,0)</f>
        <v>0</v>
      </c>
      <c r="Y165" s="49">
        <f t="shared" si="238"/>
        <v>0</v>
      </c>
      <c r="Z165" s="49">
        <f t="shared" si="14"/>
        <v>0</v>
      </c>
      <c r="AA165" s="23">
        <f t="shared" si="15"/>
        <v>0</v>
      </c>
      <c r="AB165" s="23">
        <f>IFERROR(AVERAGEIFS('Business - Dump'!$O:$O,'Business - Dump'!$B:$B,'Portfolio Wise '!$B165,'Business - Dump'!$A:$A,'Portfolio Wise '!$A165),0)</f>
        <v>0</v>
      </c>
      <c r="AC165" s="49">
        <f>F165/SUMIFS('Campaign - Dump'!$Q:$Q,'Campaign - Dump'!$A:$A,'Portfolio Wise '!$A165)</f>
        <v>0</v>
      </c>
      <c r="AD165" s="49">
        <f t="shared" si="16"/>
        <v>0</v>
      </c>
    </row>
    <row r="166" ht="15.75" customHeight="1">
      <c r="A166" s="10" t="s">
        <v>54</v>
      </c>
      <c r="B166" s="19" t="s">
        <v>240</v>
      </c>
      <c r="C166" s="13">
        <f>SUMIFS('Campaign - Dump'!$N:$N,'Campaign - Dump'!$J:$J,'Portfolio Wise '!$B166,'Campaign - Dump'!$A:$A,'Portfolio Wise '!$A166)</f>
        <v>0</v>
      </c>
      <c r="D166" s="13">
        <f>SUMIFS('Campaign - Dump'!$O:$O,'Campaign - Dump'!$J:$J,'Portfolio Wise '!$B166,'Campaign - Dump'!$A:$A,'Portfolio Wise '!$A166)</f>
        <v>0</v>
      </c>
      <c r="E166" s="23">
        <f t="shared" si="2"/>
        <v>0</v>
      </c>
      <c r="F166" s="36">
        <f>SUMIFS('Campaign - Dump'!$Q:$Q,'Campaign - Dump'!$J:$J,'Portfolio Wise '!$B166,'Campaign - Dump'!$A:$A,'Portfolio Wise '!$A166)</f>
        <v>0</v>
      </c>
      <c r="G166" s="38">
        <f t="shared" si="3"/>
        <v>0</v>
      </c>
      <c r="H166" s="41">
        <f>SUMIFS('Campaign - Dump'!$T:$T,'Campaign - Dump'!$J:$J,'Portfolio Wise '!$B166,'Campaign - Dump'!$A:$A,'Portfolio Wise '!$A166)</f>
        <v>0</v>
      </c>
      <c r="I166" s="23">
        <f t="shared" si="4"/>
        <v>0</v>
      </c>
      <c r="J166" s="36">
        <f>SUMIFS('Campaign - Dump'!$U:$U,'Campaign - Dump'!$J:$J,'Portfolio Wise '!$B166,'Campaign - Dump'!$A:$A,'Portfolio Wise '!$A166)</f>
        <v>0</v>
      </c>
      <c r="K166" s="23">
        <f t="shared" si="5"/>
        <v>0</v>
      </c>
      <c r="L166" s="38">
        <f t="shared" si="6"/>
        <v>0</v>
      </c>
      <c r="M166" s="41">
        <f t="shared" si="7"/>
        <v>0</v>
      </c>
      <c r="N166" s="13">
        <f t="shared" si="231"/>
        <v>0</v>
      </c>
      <c r="O166" s="36">
        <f t="shared" si="232"/>
        <v>0</v>
      </c>
      <c r="P166" s="41">
        <f t="shared" si="8"/>
        <v>0</v>
      </c>
      <c r="Q166" s="13">
        <f>SUMIFS('Business - Dump'!$W:$W,'Business - Dump'!$B:$B,'Portfolio Wise '!$B166,'Business - Dump'!$A:$A,'Portfolio Wise '!$A166)</f>
        <v>0</v>
      </c>
      <c r="R166" s="36">
        <f>SUMIFS('Business - Dump'!$U:$U,'Business - Dump'!$B:$B,'Portfolio Wise '!$B166,'Business - Dump'!$A:$A,'Portfolio Wise '!$A166)/1.18</f>
        <v>0</v>
      </c>
      <c r="S166" s="41">
        <f t="shared" si="9"/>
        <v>0</v>
      </c>
      <c r="T166" s="23">
        <f t="shared" si="10"/>
        <v>0</v>
      </c>
      <c r="U166" s="38">
        <f t="shared" si="11"/>
        <v>0</v>
      </c>
      <c r="V166" s="41">
        <f>SUMIFS('Business - Dump'!$G:$G,'Business - Dump'!$B:$B,'Portfolio Wise '!$B166,'Business - Dump'!$A:$A,'Portfolio Wise '!$A166)</f>
        <v>0</v>
      </c>
      <c r="W166" s="48">
        <f t="shared" si="12"/>
        <v>0</v>
      </c>
      <c r="X166" s="23">
        <f t="shared" ref="X166:Y166" si="239">IFERROR(N166/Q166,0)</f>
        <v>0</v>
      </c>
      <c r="Y166" s="49">
        <f t="shared" si="239"/>
        <v>0</v>
      </c>
      <c r="Z166" s="49">
        <f t="shared" si="14"/>
        <v>0</v>
      </c>
      <c r="AA166" s="23">
        <f t="shared" si="15"/>
        <v>0</v>
      </c>
      <c r="AB166" s="23">
        <f>IFERROR(AVERAGEIFS('Business - Dump'!$O:$O,'Business - Dump'!$B:$B,'Portfolio Wise '!$B166,'Business - Dump'!$A:$A,'Portfolio Wise '!$A166),0)</f>
        <v>0</v>
      </c>
      <c r="AC166" s="49">
        <f>F166/SUMIFS('Campaign - Dump'!$Q:$Q,'Campaign - Dump'!$A:$A,'Portfolio Wise '!$A166)</f>
        <v>0</v>
      </c>
      <c r="AD166" s="49">
        <f t="shared" si="16"/>
        <v>0</v>
      </c>
    </row>
    <row r="167" ht="15.75" customHeight="1">
      <c r="A167" s="10" t="s">
        <v>54</v>
      </c>
      <c r="B167" s="10" t="s">
        <v>241</v>
      </c>
      <c r="C167" s="13">
        <f>SUMIFS('Campaign - Dump'!$N:$N,'Campaign - Dump'!$J:$J,'Portfolio Wise '!$B167,'Campaign - Dump'!$A:$A,'Portfolio Wise '!$A167)</f>
        <v>0</v>
      </c>
      <c r="D167" s="13">
        <f>SUMIFS('Campaign - Dump'!$O:$O,'Campaign - Dump'!$J:$J,'Portfolio Wise '!$B167,'Campaign - Dump'!$A:$A,'Portfolio Wise '!$A167)</f>
        <v>0</v>
      </c>
      <c r="E167" s="23">
        <f t="shared" si="2"/>
        <v>0</v>
      </c>
      <c r="F167" s="36">
        <f>SUMIFS('Campaign - Dump'!$Q:$Q,'Campaign - Dump'!$J:$J,'Portfolio Wise '!$B167,'Campaign - Dump'!$A:$A,'Portfolio Wise '!$A167)</f>
        <v>0</v>
      </c>
      <c r="G167" s="38">
        <f t="shared" si="3"/>
        <v>0</v>
      </c>
      <c r="H167" s="41">
        <f>SUMIFS('Campaign - Dump'!$T:$T,'Campaign - Dump'!$J:$J,'Portfolio Wise '!$B167,'Campaign - Dump'!$A:$A,'Portfolio Wise '!$A167)</f>
        <v>0</v>
      </c>
      <c r="I167" s="23">
        <f t="shared" si="4"/>
        <v>0</v>
      </c>
      <c r="J167" s="36">
        <f>SUMIFS('Campaign - Dump'!$U:$U,'Campaign - Dump'!$J:$J,'Portfolio Wise '!$B167,'Campaign - Dump'!$A:$A,'Portfolio Wise '!$A167)</f>
        <v>0</v>
      </c>
      <c r="K167" s="23">
        <f t="shared" si="5"/>
        <v>0</v>
      </c>
      <c r="L167" s="38">
        <f t="shared" si="6"/>
        <v>0</v>
      </c>
      <c r="M167" s="41">
        <f t="shared" si="7"/>
        <v>0</v>
      </c>
      <c r="N167" s="13">
        <f t="shared" si="231"/>
        <v>5</v>
      </c>
      <c r="O167" s="36">
        <f t="shared" si="232"/>
        <v>11955.9322</v>
      </c>
      <c r="P167" s="41">
        <f t="shared" si="8"/>
        <v>2391.186441</v>
      </c>
      <c r="Q167" s="13">
        <f>SUMIFS('Business - Dump'!$W:$W,'Business - Dump'!$B:$B,'Portfolio Wise '!$B167,'Business - Dump'!$A:$A,'Portfolio Wise '!$A167)</f>
        <v>5</v>
      </c>
      <c r="R167" s="36">
        <f>SUMIFS('Business - Dump'!$U:$U,'Business - Dump'!$B:$B,'Portfolio Wise '!$B167,'Business - Dump'!$A:$A,'Portfolio Wise '!$A167)/1.18</f>
        <v>11955.9322</v>
      </c>
      <c r="S167" s="41">
        <f t="shared" si="9"/>
        <v>2391.186441</v>
      </c>
      <c r="T167" s="23">
        <f t="shared" si="10"/>
        <v>0</v>
      </c>
      <c r="U167" s="38">
        <f t="shared" si="11"/>
        <v>0</v>
      </c>
      <c r="V167" s="41">
        <f>SUMIFS('Business - Dump'!$G:$G,'Business - Dump'!$B:$B,'Portfolio Wise '!$B167,'Business - Dump'!$A:$A,'Portfolio Wise '!$A167)</f>
        <v>295</v>
      </c>
      <c r="W167" s="48">
        <f t="shared" si="12"/>
        <v>0.01694915254</v>
      </c>
      <c r="X167" s="23">
        <f t="shared" ref="X167:Y167" si="240">IFERROR(N167/Q167,0)</f>
        <v>1</v>
      </c>
      <c r="Y167" s="49">
        <f t="shared" si="240"/>
        <v>1</v>
      </c>
      <c r="Z167" s="49">
        <f t="shared" si="14"/>
        <v>0</v>
      </c>
      <c r="AA167" s="23">
        <f t="shared" si="15"/>
        <v>1</v>
      </c>
      <c r="AB167" s="23">
        <f>IFERROR(AVERAGEIFS('Business - Dump'!$O:$O,'Business - Dump'!$B:$B,'Portfolio Wise '!$B167,'Business - Dump'!$A:$A,'Portfolio Wise '!$A167),0)</f>
        <v>0.9951</v>
      </c>
      <c r="AC167" s="49">
        <f>F167/SUMIFS('Campaign - Dump'!$Q:$Q,'Campaign - Dump'!$A:$A,'Portfolio Wise '!$A167)</f>
        <v>0</v>
      </c>
      <c r="AD167" s="49">
        <f t="shared" si="16"/>
        <v>0</v>
      </c>
    </row>
    <row r="168" ht="15.75" customHeight="1">
      <c r="A168" s="10" t="s">
        <v>54</v>
      </c>
      <c r="B168" s="19" t="s">
        <v>248</v>
      </c>
      <c r="C168" s="13">
        <f>SUMIFS('Campaign - Dump'!$N:$N,'Campaign - Dump'!$J:$J,'Portfolio Wise '!$B168,'Campaign - Dump'!$A:$A,'Portfolio Wise '!$A168)</f>
        <v>0</v>
      </c>
      <c r="D168" s="13">
        <f>SUMIFS('Campaign - Dump'!$O:$O,'Campaign - Dump'!$J:$J,'Portfolio Wise '!$B168,'Campaign - Dump'!$A:$A,'Portfolio Wise '!$A168)</f>
        <v>0</v>
      </c>
      <c r="E168" s="23">
        <f t="shared" si="2"/>
        <v>0</v>
      </c>
      <c r="F168" s="36">
        <f>SUMIFS('Campaign - Dump'!$Q:$Q,'Campaign - Dump'!$J:$J,'Portfolio Wise '!$B168,'Campaign - Dump'!$A:$A,'Portfolio Wise '!$A168)</f>
        <v>0</v>
      </c>
      <c r="G168" s="38">
        <f t="shared" si="3"/>
        <v>0</v>
      </c>
      <c r="H168" s="41">
        <f>SUMIFS('Campaign - Dump'!$T:$T,'Campaign - Dump'!$J:$J,'Portfolio Wise '!$B168,'Campaign - Dump'!$A:$A,'Portfolio Wise '!$A168)</f>
        <v>0</v>
      </c>
      <c r="I168" s="23">
        <f t="shared" si="4"/>
        <v>0</v>
      </c>
      <c r="J168" s="36">
        <f>SUMIFS('Campaign - Dump'!$U:$U,'Campaign - Dump'!$J:$J,'Portfolio Wise '!$B168,'Campaign - Dump'!$A:$A,'Portfolio Wise '!$A168)</f>
        <v>0</v>
      </c>
      <c r="K168" s="23">
        <f t="shared" si="5"/>
        <v>0</v>
      </c>
      <c r="L168" s="38">
        <f t="shared" si="6"/>
        <v>0</v>
      </c>
      <c r="M168" s="41">
        <f t="shared" si="7"/>
        <v>0</v>
      </c>
      <c r="N168" s="13">
        <f t="shared" si="231"/>
        <v>4</v>
      </c>
      <c r="O168" s="36">
        <f t="shared" si="232"/>
        <v>37575.40678</v>
      </c>
      <c r="P168" s="41">
        <f t="shared" si="8"/>
        <v>9393.851695</v>
      </c>
      <c r="Q168" s="13">
        <f>SUMIFS('Business - Dump'!$W:$W,'Business - Dump'!$B:$B,'Portfolio Wise '!$B168,'Business - Dump'!$A:$A,'Portfolio Wise '!$A168)</f>
        <v>4</v>
      </c>
      <c r="R168" s="36">
        <f>SUMIFS('Business - Dump'!$U:$U,'Business - Dump'!$B:$B,'Portfolio Wise '!$B168,'Business - Dump'!$A:$A,'Portfolio Wise '!$A168)/1.18</f>
        <v>37575.40678</v>
      </c>
      <c r="S168" s="41">
        <f t="shared" si="9"/>
        <v>9393.851695</v>
      </c>
      <c r="T168" s="23">
        <f t="shared" si="10"/>
        <v>0</v>
      </c>
      <c r="U168" s="38">
        <f t="shared" si="11"/>
        <v>0</v>
      </c>
      <c r="V168" s="41">
        <f>SUMIFS('Business - Dump'!$G:$G,'Business - Dump'!$B:$B,'Portfolio Wise '!$B168,'Business - Dump'!$A:$A,'Portfolio Wise '!$A168)</f>
        <v>665</v>
      </c>
      <c r="W168" s="48">
        <f t="shared" si="12"/>
        <v>0.006015037594</v>
      </c>
      <c r="X168" s="23">
        <f t="shared" ref="X168:Y168" si="241">IFERROR(N168/Q168,0)</f>
        <v>1</v>
      </c>
      <c r="Y168" s="49">
        <f t="shared" si="241"/>
        <v>1</v>
      </c>
      <c r="Z168" s="49">
        <f t="shared" si="14"/>
        <v>0</v>
      </c>
      <c r="AA168" s="23">
        <f t="shared" si="15"/>
        <v>1</v>
      </c>
      <c r="AB168" s="23">
        <f>IFERROR(AVERAGEIFS('Business - Dump'!$O:$O,'Business - Dump'!$B:$B,'Portfolio Wise '!$B168,'Business - Dump'!$A:$A,'Portfolio Wise '!$A168),0)</f>
        <v>0.8594</v>
      </c>
      <c r="AC168" s="49">
        <f>F168/SUMIFS('Campaign - Dump'!$Q:$Q,'Campaign - Dump'!$A:$A,'Portfolio Wise '!$A168)</f>
        <v>0</v>
      </c>
      <c r="AD168" s="49">
        <f t="shared" si="16"/>
        <v>0</v>
      </c>
    </row>
    <row r="169" ht="15.75" customHeight="1">
      <c r="A169" s="126" t="s">
        <v>54</v>
      </c>
      <c r="B169" s="126" t="s">
        <v>456</v>
      </c>
      <c r="C169" s="127">
        <f t="shared" ref="C169:D169" si="242">SUM(C146:C168)</f>
        <v>6851490</v>
      </c>
      <c r="D169" s="127">
        <f t="shared" si="242"/>
        <v>28785</v>
      </c>
      <c r="E169" s="62">
        <f t="shared" si="2"/>
        <v>0.004201275927</v>
      </c>
      <c r="F169" s="128">
        <f>SUM(F146:F168)</f>
        <v>915205.63</v>
      </c>
      <c r="G169" s="129">
        <f t="shared" si="3"/>
        <v>31.79453292</v>
      </c>
      <c r="H169" s="130">
        <f>SUM(H146:H168)</f>
        <v>286</v>
      </c>
      <c r="I169" s="62">
        <f t="shared" si="4"/>
        <v>0.009935730415</v>
      </c>
      <c r="J169" s="128">
        <f>SUM(J146:J168)</f>
        <v>5240245.73</v>
      </c>
      <c r="K169" s="62">
        <f t="shared" si="5"/>
        <v>0.1746493728</v>
      </c>
      <c r="L169" s="129">
        <f t="shared" si="6"/>
        <v>5.725757751</v>
      </c>
      <c r="M169" s="130">
        <f t="shared" si="7"/>
        <v>18322.53752</v>
      </c>
      <c r="N169" s="127">
        <f t="shared" ref="N169:O169" si="243">SUM(N146:N168)</f>
        <v>325</v>
      </c>
      <c r="O169" s="128">
        <f t="shared" si="243"/>
        <v>6183204.985</v>
      </c>
      <c r="P169" s="130">
        <f t="shared" si="8"/>
        <v>19025.24611</v>
      </c>
      <c r="Q169" s="127">
        <f t="shared" ref="Q169:R169" si="244">SUM(Q146:Q168)</f>
        <v>462</v>
      </c>
      <c r="R169" s="128">
        <f t="shared" si="244"/>
        <v>8439177.805</v>
      </c>
      <c r="S169" s="130">
        <f t="shared" si="9"/>
        <v>18266.61863</v>
      </c>
      <c r="T169" s="62">
        <f t="shared" si="10"/>
        <v>0.1084472506</v>
      </c>
      <c r="U169" s="129">
        <f t="shared" si="11"/>
        <v>9.22107287</v>
      </c>
      <c r="V169" s="130">
        <f>SUM(V146:V168)</f>
        <v>77499</v>
      </c>
      <c r="W169" s="131">
        <f t="shared" si="12"/>
        <v>0.005961367243</v>
      </c>
      <c r="X169" s="62">
        <f t="shared" ref="X169:Y169" si="245">IFERROR(N169/Q169,0)</f>
        <v>0.7034632035</v>
      </c>
      <c r="Y169" s="132">
        <f t="shared" si="245"/>
        <v>0.7326786007</v>
      </c>
      <c r="Z169" s="132">
        <f t="shared" si="14"/>
        <v>0.619047619</v>
      </c>
      <c r="AA169" s="62">
        <f t="shared" si="15"/>
        <v>0.7326786007</v>
      </c>
      <c r="AB169" s="62">
        <f>IFERROR(AVERAGEIFS('Business - Dump'!$O:$O,'Business - Dump'!$B:$B,'Portfolio Wise '!$B169,'Business - Dump'!$A:$A,'Portfolio Wise '!$A169),0)</f>
        <v>0</v>
      </c>
      <c r="AC169" s="132">
        <f>F169/SUMIFS('Campaign - Dump'!$Q:$Q,'Campaign - Dump'!$A:$A,'Portfolio Wise '!$A169)</f>
        <v>1</v>
      </c>
      <c r="AD169" s="132">
        <f t="shared" si="16"/>
        <v>1.136363636</v>
      </c>
    </row>
    <row r="170" ht="15.75" customHeight="1">
      <c r="A170" s="10" t="s">
        <v>56</v>
      </c>
      <c r="B170" s="33" t="s">
        <v>90</v>
      </c>
      <c r="C170" s="13">
        <f>SUMIFS('Campaign - Dump'!$N:$N,'Campaign - Dump'!$J:$J,'Portfolio Wise '!$B170,'Campaign - Dump'!$A:$A,'Portfolio Wise '!$A170)</f>
        <v>2631536</v>
      </c>
      <c r="D170" s="13">
        <f>SUMIFS('Campaign - Dump'!$O:$O,'Campaign - Dump'!$J:$J,'Portfolio Wise '!$B170,'Campaign - Dump'!$A:$A,'Portfolio Wise '!$A170)</f>
        <v>5577</v>
      </c>
      <c r="E170" s="23">
        <f t="shared" si="2"/>
        <v>0.002119294587</v>
      </c>
      <c r="F170" s="36">
        <f>SUMIFS('Campaign - Dump'!$Q:$Q,'Campaign - Dump'!$J:$J,'Portfolio Wise '!$B170,'Campaign - Dump'!$A:$A,'Portfolio Wise '!$A170)</f>
        <v>159510.65</v>
      </c>
      <c r="G170" s="38">
        <f t="shared" si="3"/>
        <v>28.60151515</v>
      </c>
      <c r="H170" s="41">
        <f>SUMIFS('Campaign - Dump'!$T:$T,'Campaign - Dump'!$J:$J,'Portfolio Wise '!$B170,'Campaign - Dump'!$A:$A,'Portfolio Wise '!$A170)</f>
        <v>35</v>
      </c>
      <c r="I170" s="23">
        <f t="shared" si="4"/>
        <v>0.006275775507</v>
      </c>
      <c r="J170" s="36">
        <f>SUMIFS('Campaign - Dump'!$U:$U,'Campaign - Dump'!$J:$J,'Portfolio Wise '!$B170,'Campaign - Dump'!$A:$A,'Portfolio Wise '!$A170)</f>
        <v>669855.04</v>
      </c>
      <c r="K170" s="23">
        <f t="shared" si="5"/>
        <v>0.2381271178</v>
      </c>
      <c r="L170" s="38">
        <f t="shared" si="6"/>
        <v>4.199437718</v>
      </c>
      <c r="M170" s="41">
        <f t="shared" si="7"/>
        <v>19138.71543</v>
      </c>
      <c r="N170" s="13">
        <v>0.0</v>
      </c>
      <c r="O170" s="36">
        <v>0.0</v>
      </c>
      <c r="P170" s="41">
        <f t="shared" si="8"/>
        <v>0</v>
      </c>
      <c r="Q170" s="13">
        <f>SUMIFS('Business - Dump'!$W:$W,'Business - Dump'!$B:$B,'Portfolio Wise '!$B170,'Business - Dump'!$A:$A,'Portfolio Wise '!$A170)</f>
        <v>0</v>
      </c>
      <c r="R170" s="36">
        <f>SUMIFS('Business - Dump'!$U:$U,'Business - Dump'!$B:$B,'Portfolio Wise '!$B170,'Business - Dump'!$A:$A,'Portfolio Wise '!$A170)/1.18</f>
        <v>0</v>
      </c>
      <c r="S170" s="41">
        <f t="shared" si="9"/>
        <v>0</v>
      </c>
      <c r="T170" s="23">
        <f t="shared" si="10"/>
        <v>0</v>
      </c>
      <c r="U170" s="38">
        <f t="shared" si="11"/>
        <v>0</v>
      </c>
      <c r="V170" s="41">
        <f>SUMIFS('Business - Dump'!$G:$G,'Business - Dump'!$B:$B,'Portfolio Wise '!$B170,'Business - Dump'!$A:$A,'Portfolio Wise '!$A170)</f>
        <v>0</v>
      </c>
      <c r="W170" s="48">
        <f t="shared" si="12"/>
        <v>0</v>
      </c>
      <c r="X170" s="23">
        <f t="shared" ref="X170:Y170" si="246">IFERROR(N170/Q170,0)</f>
        <v>0</v>
      </c>
      <c r="Y170" s="49">
        <f t="shared" si="246"/>
        <v>0</v>
      </c>
      <c r="Z170" s="49">
        <f t="shared" si="14"/>
        <v>0</v>
      </c>
      <c r="AA170" s="23">
        <f t="shared" si="15"/>
        <v>0</v>
      </c>
      <c r="AB170" s="23">
        <f>IFERROR(AVERAGEIFS('Business - Dump'!$O:$O,'Business - Dump'!$B:$B,'Portfolio Wise '!$B170,'Business - Dump'!$A:$A,'Portfolio Wise '!$A170),0)</f>
        <v>0</v>
      </c>
      <c r="AC170" s="49">
        <f>F170/SUMIFS('Campaign - Dump'!$Q:$Q,'Campaign - Dump'!$A:$A,'Portfolio Wise '!$A170)</f>
        <v>0.2238783545</v>
      </c>
      <c r="AD170" s="49">
        <f t="shared" si="16"/>
        <v>0</v>
      </c>
    </row>
    <row r="171" ht="15.75" customHeight="1">
      <c r="A171" s="10" t="s">
        <v>56</v>
      </c>
      <c r="B171" s="51" t="s">
        <v>110</v>
      </c>
      <c r="C171" s="13">
        <f>SUMIFS('Campaign - Dump'!$N:$N,'Campaign - Dump'!$J:$J,'Portfolio Wise '!$B171,'Campaign - Dump'!$A:$A,'Portfolio Wise '!$A171)</f>
        <v>0</v>
      </c>
      <c r="D171" s="13">
        <f>SUMIFS('Campaign - Dump'!$O:$O,'Campaign - Dump'!$J:$J,'Portfolio Wise '!$B171,'Campaign - Dump'!$A:$A,'Portfolio Wise '!$A171)</f>
        <v>0</v>
      </c>
      <c r="E171" s="23">
        <f t="shared" si="2"/>
        <v>0</v>
      </c>
      <c r="F171" s="36">
        <f>SUMIFS('Campaign - Dump'!$Q:$Q,'Campaign - Dump'!$J:$J,'Portfolio Wise '!$B171,'Campaign - Dump'!$A:$A,'Portfolio Wise '!$A171)</f>
        <v>0</v>
      </c>
      <c r="G171" s="38">
        <f t="shared" si="3"/>
        <v>0</v>
      </c>
      <c r="H171" s="41">
        <f>SUMIFS('Campaign - Dump'!$T:$T,'Campaign - Dump'!$J:$J,'Portfolio Wise '!$B171,'Campaign - Dump'!$A:$A,'Portfolio Wise '!$A171)</f>
        <v>0</v>
      </c>
      <c r="I171" s="23">
        <f t="shared" si="4"/>
        <v>0</v>
      </c>
      <c r="J171" s="36">
        <f>SUMIFS('Campaign - Dump'!$U:$U,'Campaign - Dump'!$J:$J,'Portfolio Wise '!$B171,'Campaign - Dump'!$A:$A,'Portfolio Wise '!$A171)</f>
        <v>0</v>
      </c>
      <c r="K171" s="23">
        <f t="shared" si="5"/>
        <v>0</v>
      </c>
      <c r="L171" s="38">
        <f t="shared" si="6"/>
        <v>0</v>
      </c>
      <c r="M171" s="41">
        <f t="shared" si="7"/>
        <v>0</v>
      </c>
      <c r="N171" s="13">
        <f t="shared" ref="N171:N172" si="248">IFERROR(Q171-H171,0)</f>
        <v>0</v>
      </c>
      <c r="O171" s="36">
        <f t="shared" ref="O171:O172" si="249">IFERROR(R171-J171,0)</f>
        <v>0</v>
      </c>
      <c r="P171" s="41">
        <f t="shared" si="8"/>
        <v>0</v>
      </c>
      <c r="Q171" s="13">
        <f>SUMIFS('Business - Dump'!$W:$W,'Business - Dump'!$B:$B,'Portfolio Wise '!$B171,'Business - Dump'!$A:$A,'Portfolio Wise '!$A171)</f>
        <v>0</v>
      </c>
      <c r="R171" s="36">
        <f>SUMIFS('Business - Dump'!$U:$U,'Business - Dump'!$B:$B,'Portfolio Wise '!$B171,'Business - Dump'!$A:$A,'Portfolio Wise '!$A171)/1.18</f>
        <v>0</v>
      </c>
      <c r="S171" s="41">
        <f t="shared" si="9"/>
        <v>0</v>
      </c>
      <c r="T171" s="23">
        <f t="shared" si="10"/>
        <v>0</v>
      </c>
      <c r="U171" s="38">
        <f t="shared" si="11"/>
        <v>0</v>
      </c>
      <c r="V171" s="41">
        <f>SUMIFS('Business - Dump'!$G:$G,'Business - Dump'!$B:$B,'Portfolio Wise '!$B171,'Business - Dump'!$A:$A,'Portfolio Wise '!$A171)</f>
        <v>0</v>
      </c>
      <c r="W171" s="48">
        <f t="shared" si="12"/>
        <v>0</v>
      </c>
      <c r="X171" s="23">
        <f t="shared" ref="X171:Y171" si="247">IFERROR(N171/Q171,0)</f>
        <v>0</v>
      </c>
      <c r="Y171" s="49">
        <f t="shared" si="247"/>
        <v>0</v>
      </c>
      <c r="Z171" s="49">
        <f t="shared" si="14"/>
        <v>0</v>
      </c>
      <c r="AA171" s="23">
        <f t="shared" si="15"/>
        <v>0</v>
      </c>
      <c r="AB171" s="23">
        <f>IFERROR(AVERAGEIFS('Business - Dump'!$O:$O,'Business - Dump'!$B:$B,'Portfolio Wise '!$B171,'Business - Dump'!$A:$A,'Portfolio Wise '!$A171),0)</f>
        <v>0</v>
      </c>
      <c r="AC171" s="49">
        <f>F171/SUMIFS('Campaign - Dump'!$Q:$Q,'Campaign - Dump'!$A:$A,'Portfolio Wise '!$A171)</f>
        <v>0</v>
      </c>
      <c r="AD171" s="49">
        <f t="shared" si="16"/>
        <v>0</v>
      </c>
    </row>
    <row r="172" ht="15.75" customHeight="1">
      <c r="A172" s="10" t="s">
        <v>56</v>
      </c>
      <c r="B172" s="51" t="s">
        <v>119</v>
      </c>
      <c r="C172" s="13">
        <f>SUMIFS('Campaign - Dump'!$N:$N,'Campaign - Dump'!$J:$J,'Portfolio Wise '!$B172,'Campaign - Dump'!$A:$A,'Portfolio Wise '!$A172)</f>
        <v>0</v>
      </c>
      <c r="D172" s="13">
        <f>SUMIFS('Campaign - Dump'!$O:$O,'Campaign - Dump'!$J:$J,'Portfolio Wise '!$B172,'Campaign - Dump'!$A:$A,'Portfolio Wise '!$A172)</f>
        <v>0</v>
      </c>
      <c r="E172" s="23">
        <f t="shared" si="2"/>
        <v>0</v>
      </c>
      <c r="F172" s="36">
        <f>SUMIFS('Campaign - Dump'!$Q:$Q,'Campaign - Dump'!$J:$J,'Portfolio Wise '!$B172,'Campaign - Dump'!$A:$A,'Portfolio Wise '!$A172)</f>
        <v>0</v>
      </c>
      <c r="G172" s="38">
        <f t="shared" si="3"/>
        <v>0</v>
      </c>
      <c r="H172" s="41">
        <f>SUMIFS('Campaign - Dump'!$T:$T,'Campaign - Dump'!$J:$J,'Portfolio Wise '!$B172,'Campaign - Dump'!$A:$A,'Portfolio Wise '!$A172)</f>
        <v>0</v>
      </c>
      <c r="I172" s="23">
        <f t="shared" si="4"/>
        <v>0</v>
      </c>
      <c r="J172" s="36">
        <f>SUMIFS('Campaign - Dump'!$U:$U,'Campaign - Dump'!$J:$J,'Portfolio Wise '!$B172,'Campaign - Dump'!$A:$A,'Portfolio Wise '!$A172)</f>
        <v>0</v>
      </c>
      <c r="K172" s="23">
        <f t="shared" si="5"/>
        <v>0</v>
      </c>
      <c r="L172" s="38">
        <f t="shared" si="6"/>
        <v>0</v>
      </c>
      <c r="M172" s="41">
        <f t="shared" si="7"/>
        <v>0</v>
      </c>
      <c r="N172" s="13">
        <f t="shared" si="248"/>
        <v>2</v>
      </c>
      <c r="O172" s="36">
        <f t="shared" si="249"/>
        <v>11694.91525</v>
      </c>
      <c r="P172" s="41">
        <f t="shared" si="8"/>
        <v>5847.457627</v>
      </c>
      <c r="Q172" s="13">
        <f>SUMIFS('Business - Dump'!$W:$W,'Business - Dump'!$B:$B,'Portfolio Wise '!$B172,'Business - Dump'!$A:$A,'Portfolio Wise '!$A172)</f>
        <v>2</v>
      </c>
      <c r="R172" s="36">
        <f>SUMIFS('Business - Dump'!$U:$U,'Business - Dump'!$B:$B,'Portfolio Wise '!$B172,'Business - Dump'!$A:$A,'Portfolio Wise '!$A172)/1.18</f>
        <v>11694.91525</v>
      </c>
      <c r="S172" s="41">
        <f t="shared" si="9"/>
        <v>5847.457627</v>
      </c>
      <c r="T172" s="23">
        <f t="shared" si="10"/>
        <v>0</v>
      </c>
      <c r="U172" s="38">
        <f t="shared" si="11"/>
        <v>0</v>
      </c>
      <c r="V172" s="41">
        <f>SUMIFS('Business - Dump'!$G:$G,'Business - Dump'!$B:$B,'Portfolio Wise '!$B172,'Business - Dump'!$A:$A,'Portfolio Wise '!$A172)</f>
        <v>1293</v>
      </c>
      <c r="W172" s="48">
        <f t="shared" si="12"/>
        <v>0.00154679041</v>
      </c>
      <c r="X172" s="23">
        <f t="shared" ref="X172:Y172" si="250">IFERROR(N172/Q172,0)</f>
        <v>1</v>
      </c>
      <c r="Y172" s="49">
        <f t="shared" si="250"/>
        <v>1</v>
      </c>
      <c r="Z172" s="49">
        <f t="shared" si="14"/>
        <v>0</v>
      </c>
      <c r="AA172" s="23">
        <f t="shared" si="15"/>
        <v>1</v>
      </c>
      <c r="AB172" s="23">
        <f>IFERROR(AVERAGEIFS('Business - Dump'!$O:$O,'Business - Dump'!$B:$B,'Portfolio Wise '!$B172,'Business - Dump'!$A:$A,'Portfolio Wise '!$A172),0)</f>
        <v>0.771175</v>
      </c>
      <c r="AC172" s="49">
        <f>F172/SUMIFS('Campaign - Dump'!$Q:$Q,'Campaign - Dump'!$A:$A,'Portfolio Wise '!$A172)</f>
        <v>0</v>
      </c>
      <c r="AD172" s="49">
        <f t="shared" si="16"/>
        <v>0</v>
      </c>
    </row>
    <row r="173" ht="15.75" customHeight="1">
      <c r="A173" s="10" t="s">
        <v>56</v>
      </c>
      <c r="B173" s="19" t="s">
        <v>128</v>
      </c>
      <c r="C173" s="13">
        <f>SUMIFS('Campaign - Dump'!$N:$N,'Campaign - Dump'!$J:$J,'Portfolio Wise '!$B173,'Campaign - Dump'!$A:$A,'Portfolio Wise '!$A173)</f>
        <v>1142688</v>
      </c>
      <c r="D173" s="13">
        <f>SUMIFS('Campaign - Dump'!$O:$O,'Campaign - Dump'!$J:$J,'Portfolio Wise '!$B173,'Campaign - Dump'!$A:$A,'Portfolio Wise '!$A173)</f>
        <v>4694</v>
      </c>
      <c r="E173" s="23">
        <f t="shared" si="2"/>
        <v>0.004107857963</v>
      </c>
      <c r="F173" s="36">
        <f>SUMIFS('Campaign - Dump'!$Q:$Q,'Campaign - Dump'!$J:$J,'Portfolio Wise '!$B173,'Campaign - Dump'!$A:$A,'Portfolio Wise '!$A173)</f>
        <v>156931.86</v>
      </c>
      <c r="G173" s="38">
        <f t="shared" si="3"/>
        <v>33.43243715</v>
      </c>
      <c r="H173" s="41">
        <f>SUMIFS('Campaign - Dump'!$T:$T,'Campaign - Dump'!$J:$J,'Portfolio Wise '!$B173,'Campaign - Dump'!$A:$A,'Portfolio Wise '!$A173)</f>
        <v>76</v>
      </c>
      <c r="I173" s="23">
        <f t="shared" si="4"/>
        <v>0.01619088198</v>
      </c>
      <c r="J173" s="36">
        <f>SUMIFS('Campaign - Dump'!$U:$U,'Campaign - Dump'!$J:$J,'Portfolio Wise '!$B173,'Campaign - Dump'!$A:$A,'Portfolio Wise '!$A173)</f>
        <v>1730321.96</v>
      </c>
      <c r="K173" s="23">
        <f t="shared" si="5"/>
        <v>0.09069517906</v>
      </c>
      <c r="L173" s="38">
        <f t="shared" si="6"/>
        <v>11.02594438</v>
      </c>
      <c r="M173" s="41">
        <f t="shared" si="7"/>
        <v>22767.39421</v>
      </c>
      <c r="N173" s="13">
        <v>0.0</v>
      </c>
      <c r="O173" s="36">
        <v>0.0</v>
      </c>
      <c r="P173" s="41">
        <f t="shared" si="8"/>
        <v>0</v>
      </c>
      <c r="Q173" s="13">
        <f>SUMIFS('Business - Dump'!$W:$W,'Business - Dump'!$B:$B,'Portfolio Wise '!$B173,'Business - Dump'!$A:$A,'Portfolio Wise '!$A173)</f>
        <v>0</v>
      </c>
      <c r="R173" s="36">
        <f>SUMIFS('Business - Dump'!$U:$U,'Business - Dump'!$B:$B,'Portfolio Wise '!$B173,'Business - Dump'!$A:$A,'Portfolio Wise '!$A173)/1.18</f>
        <v>0</v>
      </c>
      <c r="S173" s="41">
        <f t="shared" si="9"/>
        <v>0</v>
      </c>
      <c r="T173" s="23">
        <f t="shared" si="10"/>
        <v>0</v>
      </c>
      <c r="U173" s="38">
        <f t="shared" si="11"/>
        <v>0</v>
      </c>
      <c r="V173" s="41">
        <f>SUMIFS('Business - Dump'!$G:$G,'Business - Dump'!$B:$B,'Portfolio Wise '!$B173,'Business - Dump'!$A:$A,'Portfolio Wise '!$A173)</f>
        <v>0</v>
      </c>
      <c r="W173" s="48">
        <f t="shared" si="12"/>
        <v>0</v>
      </c>
      <c r="X173" s="23">
        <f t="shared" ref="X173:Y173" si="251">IFERROR(N173/Q173,0)</f>
        <v>0</v>
      </c>
      <c r="Y173" s="49">
        <f t="shared" si="251"/>
        <v>0</v>
      </c>
      <c r="Z173" s="49">
        <f t="shared" si="14"/>
        <v>0</v>
      </c>
      <c r="AA173" s="23">
        <f t="shared" si="15"/>
        <v>0</v>
      </c>
      <c r="AB173" s="23">
        <f>IFERROR(AVERAGEIFS('Business - Dump'!$O:$O,'Business - Dump'!$B:$B,'Portfolio Wise '!$B173,'Business - Dump'!$A:$A,'Portfolio Wise '!$A173),0)</f>
        <v>0</v>
      </c>
      <c r="AC173" s="49">
        <f>F173/SUMIFS('Campaign - Dump'!$Q:$Q,'Campaign - Dump'!$A:$A,'Portfolio Wise '!$A173)</f>
        <v>0.2202589394</v>
      </c>
      <c r="AD173" s="49">
        <f t="shared" si="16"/>
        <v>0</v>
      </c>
    </row>
    <row r="174" ht="15.75" customHeight="1">
      <c r="A174" s="10" t="s">
        <v>56</v>
      </c>
      <c r="B174" s="19" t="s">
        <v>134</v>
      </c>
      <c r="C174" s="13">
        <f>SUMIFS('Campaign - Dump'!$N:$N,'Campaign - Dump'!$J:$J,'Portfolio Wise '!$B174,'Campaign - Dump'!$A:$A,'Portfolio Wise '!$A174)</f>
        <v>1506196</v>
      </c>
      <c r="D174" s="13">
        <f>SUMIFS('Campaign - Dump'!$O:$O,'Campaign - Dump'!$J:$J,'Portfolio Wise '!$B174,'Campaign - Dump'!$A:$A,'Portfolio Wise '!$A174)</f>
        <v>9564</v>
      </c>
      <c r="E174" s="23">
        <f t="shared" si="2"/>
        <v>0.006349771212</v>
      </c>
      <c r="F174" s="36">
        <f>SUMIFS('Campaign - Dump'!$Q:$Q,'Campaign - Dump'!$J:$J,'Portfolio Wise '!$B174,'Campaign - Dump'!$A:$A,'Portfolio Wise '!$A174)</f>
        <v>235654.21</v>
      </c>
      <c r="G174" s="38">
        <f t="shared" si="3"/>
        <v>24.63971246</v>
      </c>
      <c r="H174" s="41">
        <f>SUMIFS('Campaign - Dump'!$T:$T,'Campaign - Dump'!$J:$J,'Portfolio Wise '!$B174,'Campaign - Dump'!$A:$A,'Portfolio Wise '!$A174)</f>
        <v>39</v>
      </c>
      <c r="I174" s="23">
        <f t="shared" si="4"/>
        <v>0.004077791719</v>
      </c>
      <c r="J174" s="36">
        <f>SUMIFS('Campaign - Dump'!$U:$U,'Campaign - Dump'!$J:$J,'Portfolio Wise '!$B174,'Campaign - Dump'!$A:$A,'Portfolio Wise '!$A174)</f>
        <v>782710.14</v>
      </c>
      <c r="K174" s="23">
        <f t="shared" si="5"/>
        <v>0.3010746865</v>
      </c>
      <c r="L174" s="38">
        <f t="shared" si="6"/>
        <v>3.321434996</v>
      </c>
      <c r="M174" s="41">
        <f t="shared" si="7"/>
        <v>20069.49077</v>
      </c>
      <c r="N174" s="13">
        <f t="shared" ref="N174:N181" si="253">IFERROR(Q174-H174,0)</f>
        <v>35</v>
      </c>
      <c r="O174" s="36">
        <f t="shared" ref="O174:O181" si="254">IFERROR(R174-J174,0)</f>
        <v>682544.0973</v>
      </c>
      <c r="P174" s="41">
        <f t="shared" si="8"/>
        <v>19501.25992</v>
      </c>
      <c r="Q174" s="13">
        <f>SUMIFS('Business - Dump'!$W:$W,'Business - Dump'!$B:$B,'Portfolio Wise '!$B174,'Business - Dump'!$A:$A,'Portfolio Wise '!$A174)</f>
        <v>74</v>
      </c>
      <c r="R174" s="36">
        <f>SUMIFS('Business - Dump'!$U:$U,'Business - Dump'!$B:$B,'Portfolio Wise '!$B174,'Business - Dump'!$A:$A,'Portfolio Wise '!$A174)/1.18</f>
        <v>1465254.237</v>
      </c>
      <c r="S174" s="41">
        <f t="shared" si="9"/>
        <v>19800.73294</v>
      </c>
      <c r="T174" s="23">
        <f t="shared" si="10"/>
        <v>0.1608282058</v>
      </c>
      <c r="U174" s="38">
        <f t="shared" si="11"/>
        <v>6.217814811</v>
      </c>
      <c r="V174" s="41">
        <f>SUMIFS('Business - Dump'!$G:$G,'Business - Dump'!$B:$B,'Portfolio Wise '!$B174,'Business - Dump'!$A:$A,'Portfolio Wise '!$A174)</f>
        <v>21658</v>
      </c>
      <c r="W174" s="23">
        <f t="shared" si="12"/>
        <v>0.003416751316</v>
      </c>
      <c r="X174" s="23">
        <f t="shared" ref="X174:Y174" si="252">IFERROR(N174/Q174,0)</f>
        <v>0.472972973</v>
      </c>
      <c r="Y174" s="49">
        <f t="shared" si="252"/>
        <v>0.465819569</v>
      </c>
      <c r="Z174" s="49">
        <f t="shared" si="14"/>
        <v>0.527027027</v>
      </c>
      <c r="AA174" s="23">
        <f t="shared" si="15"/>
        <v>0.465819569</v>
      </c>
      <c r="AB174" s="23">
        <f>IFERROR(AVERAGEIFS('Business - Dump'!$O:$O,'Business - Dump'!$B:$B,'Portfolio Wise '!$B174,'Business - Dump'!$A:$A,'Portfolio Wise '!$A174),0)</f>
        <v>0.8549222222</v>
      </c>
      <c r="AC174" s="49">
        <f>F174/SUMIFS('Campaign - Dump'!$Q:$Q,'Campaign - Dump'!$A:$A,'Portfolio Wise '!$A174)</f>
        <v>0.3307483028</v>
      </c>
      <c r="AD174" s="49">
        <f t="shared" si="16"/>
        <v>0.8974358974</v>
      </c>
    </row>
    <row r="175" ht="15.75" customHeight="1">
      <c r="A175" s="10" t="s">
        <v>56</v>
      </c>
      <c r="B175" s="19" t="s">
        <v>140</v>
      </c>
      <c r="C175" s="13">
        <f>SUMIFS('Campaign - Dump'!$N:$N,'Campaign - Dump'!$J:$J,'Portfolio Wise '!$B175,'Campaign - Dump'!$A:$A,'Portfolio Wise '!$A175)</f>
        <v>219998</v>
      </c>
      <c r="D175" s="13">
        <f>SUMIFS('Campaign - Dump'!$O:$O,'Campaign - Dump'!$J:$J,'Portfolio Wise '!$B175,'Campaign - Dump'!$A:$A,'Portfolio Wise '!$A175)</f>
        <v>1147</v>
      </c>
      <c r="E175" s="23">
        <f t="shared" si="2"/>
        <v>0.005213683761</v>
      </c>
      <c r="F175" s="36">
        <f>SUMIFS('Campaign - Dump'!$Q:$Q,'Campaign - Dump'!$J:$J,'Portfolio Wise '!$B175,'Campaign - Dump'!$A:$A,'Portfolio Wise '!$A175)</f>
        <v>49891.14</v>
      </c>
      <c r="G175" s="38">
        <f t="shared" si="3"/>
        <v>43.49707062</v>
      </c>
      <c r="H175" s="41">
        <f>SUMIFS('Campaign - Dump'!$T:$T,'Campaign - Dump'!$J:$J,'Portfolio Wise '!$B175,'Campaign - Dump'!$A:$A,'Portfolio Wise '!$A175)</f>
        <v>8</v>
      </c>
      <c r="I175" s="23">
        <f t="shared" si="4"/>
        <v>0.006974716652</v>
      </c>
      <c r="J175" s="36">
        <f>SUMIFS('Campaign - Dump'!$U:$U,'Campaign - Dump'!$J:$J,'Portfolio Wise '!$B175,'Campaign - Dump'!$A:$A,'Portfolio Wise '!$A175)</f>
        <v>213940.65</v>
      </c>
      <c r="K175" s="23">
        <f t="shared" si="5"/>
        <v>0.2332008433</v>
      </c>
      <c r="L175" s="38">
        <f t="shared" si="6"/>
        <v>4.288149158</v>
      </c>
      <c r="M175" s="41">
        <f t="shared" si="7"/>
        <v>26742.58125</v>
      </c>
      <c r="N175" s="13">
        <f t="shared" si="253"/>
        <v>35</v>
      </c>
      <c r="O175" s="36">
        <f t="shared" si="254"/>
        <v>979576.2992</v>
      </c>
      <c r="P175" s="41">
        <f t="shared" si="8"/>
        <v>27987.89426</v>
      </c>
      <c r="Q175" s="13">
        <f>SUMIFS('Business - Dump'!$W:$W,'Business - Dump'!$B:$B,'Portfolio Wise '!$B175,'Business - Dump'!$A:$A,'Portfolio Wise '!$A175)</f>
        <v>43</v>
      </c>
      <c r="R175" s="36">
        <f>SUMIFS('Business - Dump'!$U:$U,'Business - Dump'!$B:$B,'Portfolio Wise '!$B175,'Business - Dump'!$A:$A,'Portfolio Wise '!$A175)/1.18</f>
        <v>1193516.949</v>
      </c>
      <c r="S175" s="41">
        <f t="shared" si="9"/>
        <v>27756.20812</v>
      </c>
      <c r="T175" s="23">
        <f t="shared" si="10"/>
        <v>0.04180178592</v>
      </c>
      <c r="U175" s="38">
        <f t="shared" si="11"/>
        <v>23.92242288</v>
      </c>
      <c r="V175" s="41">
        <f>SUMIFS('Business - Dump'!$G:$G,'Business - Dump'!$B:$B,'Portfolio Wise '!$B175,'Business - Dump'!$A:$A,'Portfolio Wise '!$A175)</f>
        <v>8804</v>
      </c>
      <c r="W175" s="23">
        <f t="shared" si="12"/>
        <v>0.004884143571</v>
      </c>
      <c r="X175" s="23">
        <f t="shared" ref="X175:Y175" si="255">IFERROR(N175/Q175,0)</f>
        <v>0.8139534884</v>
      </c>
      <c r="Y175" s="49">
        <f t="shared" si="255"/>
        <v>0.8207477069</v>
      </c>
      <c r="Z175" s="49">
        <f t="shared" si="14"/>
        <v>0.1860465116</v>
      </c>
      <c r="AA175" s="23">
        <f t="shared" si="15"/>
        <v>0.8207477069</v>
      </c>
      <c r="AB175" s="23">
        <f>IFERROR(AVERAGEIFS('Business - Dump'!$O:$O,'Business - Dump'!$B:$B,'Portfolio Wise '!$B175,'Business - Dump'!$A:$A,'Portfolio Wise '!$A175),0)</f>
        <v>0.889675</v>
      </c>
      <c r="AC175" s="49">
        <f>F175/SUMIFS('Campaign - Dump'!$Q:$Q,'Campaign - Dump'!$A:$A,'Portfolio Wise '!$A175)</f>
        <v>0.07002382805</v>
      </c>
      <c r="AD175" s="49">
        <f t="shared" si="16"/>
        <v>4.375</v>
      </c>
    </row>
    <row r="176" ht="15.75" customHeight="1">
      <c r="A176" s="10" t="s">
        <v>56</v>
      </c>
      <c r="B176" s="10" t="s">
        <v>152</v>
      </c>
      <c r="C176" s="13">
        <f>SUMIFS('Campaign - Dump'!$N:$N,'Campaign - Dump'!$J:$J,'Portfolio Wise '!$B176,'Campaign - Dump'!$A:$A,'Portfolio Wise '!$A176)</f>
        <v>50746</v>
      </c>
      <c r="D176" s="13">
        <f>SUMIFS('Campaign - Dump'!$O:$O,'Campaign - Dump'!$J:$J,'Portfolio Wise '!$B176,'Campaign - Dump'!$A:$A,'Portfolio Wise '!$A176)</f>
        <v>363</v>
      </c>
      <c r="E176" s="23">
        <f t="shared" si="2"/>
        <v>0.007153273164</v>
      </c>
      <c r="F176" s="36">
        <f>SUMIFS('Campaign - Dump'!$Q:$Q,'Campaign - Dump'!$J:$J,'Portfolio Wise '!$B176,'Campaign - Dump'!$A:$A,'Portfolio Wise '!$A176)</f>
        <v>16248.64</v>
      </c>
      <c r="G176" s="38">
        <f t="shared" si="3"/>
        <v>44.76209366</v>
      </c>
      <c r="H176" s="41">
        <f>SUMIFS('Campaign - Dump'!$T:$T,'Campaign - Dump'!$J:$J,'Portfolio Wise '!$B176,'Campaign - Dump'!$A:$A,'Portfolio Wise '!$A176)</f>
        <v>2</v>
      </c>
      <c r="I176" s="23">
        <f t="shared" si="4"/>
        <v>0.005509641873</v>
      </c>
      <c r="J176" s="36">
        <f>SUMIFS('Campaign - Dump'!$U:$U,'Campaign - Dump'!$J:$J,'Portfolio Wise '!$B176,'Campaign - Dump'!$A:$A,'Portfolio Wise '!$A176)</f>
        <v>26016.94</v>
      </c>
      <c r="K176" s="23">
        <f t="shared" si="5"/>
        <v>0.62454078</v>
      </c>
      <c r="L176" s="38">
        <f t="shared" si="6"/>
        <v>1.601176468</v>
      </c>
      <c r="M176" s="41">
        <f t="shared" si="7"/>
        <v>13008.47</v>
      </c>
      <c r="N176" s="13">
        <f t="shared" si="253"/>
        <v>13</v>
      </c>
      <c r="O176" s="36">
        <f t="shared" si="254"/>
        <v>172216.2719</v>
      </c>
      <c r="P176" s="41">
        <f t="shared" si="8"/>
        <v>13247.40553</v>
      </c>
      <c r="Q176" s="13">
        <f>SUMIFS('Business - Dump'!$W:$W,'Business - Dump'!$B:$B,'Portfolio Wise '!$B176,'Business - Dump'!$A:$A,'Portfolio Wise '!$A176)</f>
        <v>15</v>
      </c>
      <c r="R176" s="36">
        <f>SUMIFS('Business - Dump'!$U:$U,'Business - Dump'!$B:$B,'Portfolio Wise '!$B176,'Business - Dump'!$A:$A,'Portfolio Wise '!$A176)/1.18</f>
        <v>198233.2119</v>
      </c>
      <c r="S176" s="41">
        <f t="shared" si="9"/>
        <v>13215.54746</v>
      </c>
      <c r="T176" s="23">
        <f t="shared" si="10"/>
        <v>0.08196729421</v>
      </c>
      <c r="U176" s="38">
        <f t="shared" si="11"/>
        <v>12.19998793</v>
      </c>
      <c r="V176" s="41">
        <f>SUMIFS('Business - Dump'!$G:$G,'Business - Dump'!$B:$B,'Portfolio Wise '!$B176,'Business - Dump'!$A:$A,'Portfolio Wise '!$A176)</f>
        <v>2583</v>
      </c>
      <c r="W176" s="48">
        <f t="shared" si="12"/>
        <v>0.005807200929</v>
      </c>
      <c r="X176" s="23">
        <f t="shared" ref="X176:Y176" si="256">IFERROR(N176/Q176,0)</f>
        <v>0.8666666667</v>
      </c>
      <c r="Y176" s="49">
        <f t="shared" si="256"/>
        <v>0.8687558974</v>
      </c>
      <c r="Z176" s="49">
        <f t="shared" si="14"/>
        <v>0.1333333333</v>
      </c>
      <c r="AA176" s="23">
        <f t="shared" si="15"/>
        <v>0.8687558974</v>
      </c>
      <c r="AB176" s="23">
        <f>IFERROR(AVERAGEIFS('Business - Dump'!$O:$O,'Business - Dump'!$B:$B,'Portfolio Wise '!$B176,'Business - Dump'!$A:$A,'Portfolio Wise '!$A176),0)</f>
        <v>0.9315</v>
      </c>
      <c r="AC176" s="49">
        <f>F176/SUMIFS('Campaign - Dump'!$Q:$Q,'Campaign - Dump'!$A:$A,'Portfolio Wise '!$A176)</f>
        <v>0.02280549158</v>
      </c>
      <c r="AD176" s="49">
        <f t="shared" si="16"/>
        <v>6.5</v>
      </c>
    </row>
    <row r="177" ht="15.75" customHeight="1">
      <c r="A177" s="10" t="s">
        <v>56</v>
      </c>
      <c r="B177" s="19" t="s">
        <v>158</v>
      </c>
      <c r="C177" s="13">
        <f>SUMIFS('Campaign - Dump'!$N:$N,'Campaign - Dump'!$J:$J,'Portfolio Wise '!$B177,'Campaign - Dump'!$A:$A,'Portfolio Wise '!$A177)</f>
        <v>0</v>
      </c>
      <c r="D177" s="13">
        <f>SUMIFS('Campaign - Dump'!$O:$O,'Campaign - Dump'!$J:$J,'Portfolio Wise '!$B177,'Campaign - Dump'!$A:$A,'Portfolio Wise '!$A177)</f>
        <v>0</v>
      </c>
      <c r="E177" s="23">
        <f t="shared" si="2"/>
        <v>0</v>
      </c>
      <c r="F177" s="36">
        <f>SUMIFS('Campaign - Dump'!$Q:$Q,'Campaign - Dump'!$J:$J,'Portfolio Wise '!$B177,'Campaign - Dump'!$A:$A,'Portfolio Wise '!$A177)</f>
        <v>0</v>
      </c>
      <c r="G177" s="38">
        <f t="shared" si="3"/>
        <v>0</v>
      </c>
      <c r="H177" s="41">
        <f>SUMIFS('Campaign - Dump'!$T:$T,'Campaign - Dump'!$J:$J,'Portfolio Wise '!$B177,'Campaign - Dump'!$A:$A,'Portfolio Wise '!$A177)</f>
        <v>0</v>
      </c>
      <c r="I177" s="23">
        <f t="shared" si="4"/>
        <v>0</v>
      </c>
      <c r="J177" s="36">
        <f>SUMIFS('Campaign - Dump'!$U:$U,'Campaign - Dump'!$J:$J,'Portfolio Wise '!$B177,'Campaign - Dump'!$A:$A,'Portfolio Wise '!$A177)</f>
        <v>0</v>
      </c>
      <c r="K177" s="23">
        <f t="shared" si="5"/>
        <v>0</v>
      </c>
      <c r="L177" s="38">
        <f t="shared" si="6"/>
        <v>0</v>
      </c>
      <c r="M177" s="41">
        <f t="shared" si="7"/>
        <v>0</v>
      </c>
      <c r="N177" s="13">
        <f t="shared" si="253"/>
        <v>3</v>
      </c>
      <c r="O177" s="36">
        <f t="shared" si="254"/>
        <v>20084.74576</v>
      </c>
      <c r="P177" s="41">
        <f t="shared" si="8"/>
        <v>6694.915254</v>
      </c>
      <c r="Q177" s="13">
        <f>SUMIFS('Business - Dump'!$W:$W,'Business - Dump'!$B:$B,'Portfolio Wise '!$B177,'Business - Dump'!$A:$A,'Portfolio Wise '!$A177)</f>
        <v>3</v>
      </c>
      <c r="R177" s="36">
        <f>SUMIFS('Business - Dump'!$U:$U,'Business - Dump'!$B:$B,'Portfolio Wise '!$B177,'Business - Dump'!$A:$A,'Portfolio Wise '!$A177)/1.18</f>
        <v>20084.74576</v>
      </c>
      <c r="S177" s="41">
        <f t="shared" si="9"/>
        <v>6694.915254</v>
      </c>
      <c r="T177" s="23">
        <f t="shared" si="10"/>
        <v>0</v>
      </c>
      <c r="U177" s="38">
        <f t="shared" si="11"/>
        <v>0</v>
      </c>
      <c r="V177" s="41">
        <f>SUMIFS('Business - Dump'!$G:$G,'Business - Dump'!$B:$B,'Portfolio Wise '!$B177,'Business - Dump'!$A:$A,'Portfolio Wise '!$A177)</f>
        <v>3292</v>
      </c>
      <c r="W177" s="48">
        <f t="shared" si="12"/>
        <v>0.0009113001215</v>
      </c>
      <c r="X177" s="23">
        <f t="shared" ref="X177:Y177" si="257">IFERROR(N177/Q177,0)</f>
        <v>1</v>
      </c>
      <c r="Y177" s="49">
        <f t="shared" si="257"/>
        <v>1</v>
      </c>
      <c r="Z177" s="49">
        <f t="shared" si="14"/>
        <v>0</v>
      </c>
      <c r="AA177" s="23">
        <f t="shared" si="15"/>
        <v>1</v>
      </c>
      <c r="AB177" s="23">
        <f>IFERROR(AVERAGEIFS('Business - Dump'!$O:$O,'Business - Dump'!$B:$B,'Portfolio Wise '!$B177,'Business - Dump'!$A:$A,'Portfolio Wise '!$A177),0)</f>
        <v>0.9984</v>
      </c>
      <c r="AC177" s="49">
        <f>F177/SUMIFS('Campaign - Dump'!$Q:$Q,'Campaign - Dump'!$A:$A,'Portfolio Wise '!$A177)</f>
        <v>0</v>
      </c>
      <c r="AD177" s="49">
        <f t="shared" si="16"/>
        <v>0</v>
      </c>
    </row>
    <row r="178" ht="15.75" customHeight="1">
      <c r="A178" s="10" t="s">
        <v>56</v>
      </c>
      <c r="B178" s="33" t="s">
        <v>170</v>
      </c>
      <c r="C178" s="13">
        <f>SUMIFS('Campaign - Dump'!$N:$N,'Campaign - Dump'!$J:$J,'Portfolio Wise '!$B178,'Campaign - Dump'!$A:$A,'Portfolio Wise '!$A178)</f>
        <v>0</v>
      </c>
      <c r="D178" s="13">
        <f>SUMIFS('Campaign - Dump'!$O:$O,'Campaign - Dump'!$J:$J,'Portfolio Wise '!$B178,'Campaign - Dump'!$A:$A,'Portfolio Wise '!$A178)</f>
        <v>0</v>
      </c>
      <c r="E178" s="23">
        <f t="shared" si="2"/>
        <v>0</v>
      </c>
      <c r="F178" s="36">
        <f>SUMIFS('Campaign - Dump'!$Q:$Q,'Campaign - Dump'!$J:$J,'Portfolio Wise '!$B178,'Campaign - Dump'!$A:$A,'Portfolio Wise '!$A178)</f>
        <v>0</v>
      </c>
      <c r="G178" s="38">
        <f t="shared" si="3"/>
        <v>0</v>
      </c>
      <c r="H178" s="41">
        <f>SUMIFS('Campaign - Dump'!$T:$T,'Campaign - Dump'!$J:$J,'Portfolio Wise '!$B178,'Campaign - Dump'!$A:$A,'Portfolio Wise '!$A178)</f>
        <v>0</v>
      </c>
      <c r="I178" s="23">
        <f t="shared" si="4"/>
        <v>0</v>
      </c>
      <c r="J178" s="36">
        <f>SUMIFS('Campaign - Dump'!$U:$U,'Campaign - Dump'!$J:$J,'Portfolio Wise '!$B178,'Campaign - Dump'!$A:$A,'Portfolio Wise '!$A178)</f>
        <v>0</v>
      </c>
      <c r="K178" s="23">
        <f t="shared" si="5"/>
        <v>0</v>
      </c>
      <c r="L178" s="38">
        <f t="shared" si="6"/>
        <v>0</v>
      </c>
      <c r="M178" s="41">
        <f t="shared" si="7"/>
        <v>0</v>
      </c>
      <c r="N178" s="13">
        <f t="shared" si="253"/>
        <v>2</v>
      </c>
      <c r="O178" s="36">
        <f t="shared" si="254"/>
        <v>16016.94915</v>
      </c>
      <c r="P178" s="41">
        <f t="shared" si="8"/>
        <v>8008.474576</v>
      </c>
      <c r="Q178" s="13">
        <f>SUMIFS('Business - Dump'!$W:$W,'Business - Dump'!$B:$B,'Portfolio Wise '!$B178,'Business - Dump'!$A:$A,'Portfolio Wise '!$A178)</f>
        <v>2</v>
      </c>
      <c r="R178" s="36">
        <f>SUMIFS('Business - Dump'!$U:$U,'Business - Dump'!$B:$B,'Portfolio Wise '!$B178,'Business - Dump'!$A:$A,'Portfolio Wise '!$A178)/1.18</f>
        <v>16016.94915</v>
      </c>
      <c r="S178" s="41">
        <f t="shared" si="9"/>
        <v>8008.474576</v>
      </c>
      <c r="T178" s="23">
        <f t="shared" si="10"/>
        <v>0</v>
      </c>
      <c r="U178" s="38">
        <f t="shared" si="11"/>
        <v>0</v>
      </c>
      <c r="V178" s="41">
        <f>SUMIFS('Business - Dump'!$G:$G,'Business - Dump'!$B:$B,'Portfolio Wise '!$B178,'Business - Dump'!$A:$A,'Portfolio Wise '!$A178)</f>
        <v>186</v>
      </c>
      <c r="W178" s="48">
        <f t="shared" si="12"/>
        <v>0.01075268817</v>
      </c>
      <c r="X178" s="23">
        <f t="shared" ref="X178:Y178" si="258">IFERROR(N178/Q178,0)</f>
        <v>1</v>
      </c>
      <c r="Y178" s="49">
        <f t="shared" si="258"/>
        <v>1</v>
      </c>
      <c r="Z178" s="49">
        <f t="shared" si="14"/>
        <v>0</v>
      </c>
      <c r="AA178" s="23">
        <f t="shared" si="15"/>
        <v>1</v>
      </c>
      <c r="AB178" s="23">
        <f>IFERROR(AVERAGEIFS('Business - Dump'!$O:$O,'Business - Dump'!$B:$B,'Portfolio Wise '!$B178,'Business - Dump'!$A:$A,'Portfolio Wise '!$A178),0)</f>
        <v>0.9009</v>
      </c>
      <c r="AC178" s="49">
        <f>F178/SUMIFS('Campaign - Dump'!$Q:$Q,'Campaign - Dump'!$A:$A,'Portfolio Wise '!$A178)</f>
        <v>0</v>
      </c>
      <c r="AD178" s="49">
        <f t="shared" si="16"/>
        <v>0</v>
      </c>
    </row>
    <row r="179" ht="15.75" customHeight="1">
      <c r="A179" s="10" t="s">
        <v>56</v>
      </c>
      <c r="B179" s="51" t="s">
        <v>176</v>
      </c>
      <c r="C179" s="13">
        <f>SUMIFS('Campaign - Dump'!$N:$N,'Campaign - Dump'!$J:$J,'Portfolio Wise '!$B179,'Campaign - Dump'!$A:$A,'Portfolio Wise '!$A179)</f>
        <v>0</v>
      </c>
      <c r="D179" s="13">
        <f>SUMIFS('Campaign - Dump'!$O:$O,'Campaign - Dump'!$J:$J,'Portfolio Wise '!$B179,'Campaign - Dump'!$A:$A,'Portfolio Wise '!$A179)</f>
        <v>0</v>
      </c>
      <c r="E179" s="23">
        <f t="shared" si="2"/>
        <v>0</v>
      </c>
      <c r="F179" s="36">
        <f>SUMIFS('Campaign - Dump'!$Q:$Q,'Campaign - Dump'!$J:$J,'Portfolio Wise '!$B179,'Campaign - Dump'!$A:$A,'Portfolio Wise '!$A179)</f>
        <v>0</v>
      </c>
      <c r="G179" s="38">
        <f t="shared" si="3"/>
        <v>0</v>
      </c>
      <c r="H179" s="41">
        <f>SUMIFS('Campaign - Dump'!$T:$T,'Campaign - Dump'!$J:$J,'Portfolio Wise '!$B179,'Campaign - Dump'!$A:$A,'Portfolio Wise '!$A179)</f>
        <v>0</v>
      </c>
      <c r="I179" s="23">
        <f t="shared" si="4"/>
        <v>0</v>
      </c>
      <c r="J179" s="36">
        <f>SUMIFS('Campaign - Dump'!$U:$U,'Campaign - Dump'!$J:$J,'Portfolio Wise '!$B179,'Campaign - Dump'!$A:$A,'Portfolio Wise '!$A179)</f>
        <v>0</v>
      </c>
      <c r="K179" s="23">
        <f t="shared" si="5"/>
        <v>0</v>
      </c>
      <c r="L179" s="38">
        <f t="shared" si="6"/>
        <v>0</v>
      </c>
      <c r="M179" s="41">
        <f t="shared" si="7"/>
        <v>0</v>
      </c>
      <c r="N179" s="13">
        <f t="shared" si="253"/>
        <v>32</v>
      </c>
      <c r="O179" s="36">
        <f t="shared" si="254"/>
        <v>616854.6441</v>
      </c>
      <c r="P179" s="41">
        <f t="shared" si="8"/>
        <v>19276.70763</v>
      </c>
      <c r="Q179" s="13">
        <f>SUMIFS('Business - Dump'!$W:$W,'Business - Dump'!$B:$B,'Portfolio Wise '!$B179,'Business - Dump'!$A:$A,'Portfolio Wise '!$A179)</f>
        <v>32</v>
      </c>
      <c r="R179" s="36">
        <f>SUMIFS('Business - Dump'!$U:$U,'Business - Dump'!$B:$B,'Portfolio Wise '!$B179,'Business - Dump'!$A:$A,'Portfolio Wise '!$A179)/1.18</f>
        <v>616854.6441</v>
      </c>
      <c r="S179" s="41">
        <f t="shared" si="9"/>
        <v>19276.70763</v>
      </c>
      <c r="T179" s="23">
        <f t="shared" si="10"/>
        <v>0</v>
      </c>
      <c r="U179" s="38">
        <f t="shared" si="11"/>
        <v>0</v>
      </c>
      <c r="V179" s="41">
        <f>SUMIFS('Business - Dump'!$G:$G,'Business - Dump'!$B:$B,'Portfolio Wise '!$B179,'Business - Dump'!$A:$A,'Portfolio Wise '!$A179)</f>
        <v>6760</v>
      </c>
      <c r="W179" s="48">
        <f t="shared" si="12"/>
        <v>0.004733727811</v>
      </c>
      <c r="X179" s="23">
        <f t="shared" ref="X179:Y179" si="259">IFERROR(N179/Q179,0)</f>
        <v>1</v>
      </c>
      <c r="Y179" s="49">
        <f t="shared" si="259"/>
        <v>1</v>
      </c>
      <c r="Z179" s="49">
        <f t="shared" si="14"/>
        <v>0</v>
      </c>
      <c r="AA179" s="23">
        <f t="shared" si="15"/>
        <v>1</v>
      </c>
      <c r="AB179" s="23">
        <f>IFERROR(AVERAGEIFS('Business - Dump'!$O:$O,'Business - Dump'!$B:$B,'Portfolio Wise '!$B179,'Business - Dump'!$A:$A,'Portfolio Wise '!$A179),0)</f>
        <v>0.8802222222</v>
      </c>
      <c r="AC179" s="49">
        <f>F179/SUMIFS('Campaign - Dump'!$Q:$Q,'Campaign - Dump'!$A:$A,'Portfolio Wise '!$A179)</f>
        <v>0</v>
      </c>
      <c r="AD179" s="49">
        <f t="shared" si="16"/>
        <v>0</v>
      </c>
    </row>
    <row r="180" ht="15.75" customHeight="1">
      <c r="A180" s="10" t="s">
        <v>56</v>
      </c>
      <c r="B180" s="100" t="s">
        <v>182</v>
      </c>
      <c r="C180" s="13">
        <f>SUMIFS('Campaign - Dump'!$N:$N,'Campaign - Dump'!$J:$J,'Portfolio Wise '!$B180,'Campaign - Dump'!$A:$A,'Portfolio Wise '!$A180)</f>
        <v>0</v>
      </c>
      <c r="D180" s="13">
        <f>SUMIFS('Campaign - Dump'!$O:$O,'Campaign - Dump'!$J:$J,'Portfolio Wise '!$B180,'Campaign - Dump'!$A:$A,'Portfolio Wise '!$A180)</f>
        <v>0</v>
      </c>
      <c r="E180" s="23">
        <f t="shared" si="2"/>
        <v>0</v>
      </c>
      <c r="F180" s="36">
        <f>SUMIFS('Campaign - Dump'!$Q:$Q,'Campaign - Dump'!$J:$J,'Portfolio Wise '!$B180,'Campaign - Dump'!$A:$A,'Portfolio Wise '!$A180)</f>
        <v>0</v>
      </c>
      <c r="G180" s="38">
        <f t="shared" si="3"/>
        <v>0</v>
      </c>
      <c r="H180" s="41">
        <f>SUMIFS('Campaign - Dump'!$T:$T,'Campaign - Dump'!$J:$J,'Portfolio Wise '!$B180,'Campaign - Dump'!$A:$A,'Portfolio Wise '!$A180)</f>
        <v>0</v>
      </c>
      <c r="I180" s="23">
        <f t="shared" si="4"/>
        <v>0</v>
      </c>
      <c r="J180" s="36">
        <f>SUMIFS('Campaign - Dump'!$U:$U,'Campaign - Dump'!$J:$J,'Portfolio Wise '!$B180,'Campaign - Dump'!$A:$A,'Portfolio Wise '!$A180)</f>
        <v>0</v>
      </c>
      <c r="K180" s="23">
        <f t="shared" si="5"/>
        <v>0</v>
      </c>
      <c r="L180" s="38">
        <f t="shared" si="6"/>
        <v>0</v>
      </c>
      <c r="M180" s="41">
        <f t="shared" si="7"/>
        <v>0</v>
      </c>
      <c r="N180" s="13">
        <f t="shared" si="253"/>
        <v>12</v>
      </c>
      <c r="O180" s="36">
        <f t="shared" si="254"/>
        <v>333813.5593</v>
      </c>
      <c r="P180" s="41">
        <f t="shared" si="8"/>
        <v>27817.79661</v>
      </c>
      <c r="Q180" s="13">
        <f>SUMIFS('Business - Dump'!$W:$W,'Business - Dump'!$B:$B,'Portfolio Wise '!$B180,'Business - Dump'!$A:$A,'Portfolio Wise '!$A180)</f>
        <v>12</v>
      </c>
      <c r="R180" s="36">
        <f>SUMIFS('Business - Dump'!$U:$U,'Business - Dump'!$B:$B,'Portfolio Wise '!$B180,'Business - Dump'!$A:$A,'Portfolio Wise '!$A180)/1.18</f>
        <v>333813.5593</v>
      </c>
      <c r="S180" s="41">
        <f t="shared" si="9"/>
        <v>27817.79661</v>
      </c>
      <c r="T180" s="23">
        <f t="shared" si="10"/>
        <v>0</v>
      </c>
      <c r="U180" s="38">
        <f t="shared" si="11"/>
        <v>0</v>
      </c>
      <c r="V180" s="41">
        <f>SUMIFS('Business - Dump'!$G:$G,'Business - Dump'!$B:$B,'Portfolio Wise '!$B180,'Business - Dump'!$A:$A,'Portfolio Wise '!$A180)</f>
        <v>2760</v>
      </c>
      <c r="W180" s="23">
        <f t="shared" si="12"/>
        <v>0.004347826087</v>
      </c>
      <c r="X180" s="23">
        <f t="shared" ref="X180:Y180" si="260">IFERROR(N180/Q180,0)</f>
        <v>1</v>
      </c>
      <c r="Y180" s="49">
        <f t="shared" si="260"/>
        <v>1</v>
      </c>
      <c r="Z180" s="49">
        <f t="shared" si="14"/>
        <v>0</v>
      </c>
      <c r="AA180" s="23">
        <f t="shared" si="15"/>
        <v>1</v>
      </c>
      <c r="AB180" s="23">
        <f>IFERROR(AVERAGEIFS('Business - Dump'!$O:$O,'Business - Dump'!$B:$B,'Portfolio Wise '!$B180,'Business - Dump'!$A:$A,'Portfolio Wise '!$A180),0)</f>
        <v>0.88653</v>
      </c>
      <c r="AC180" s="49">
        <f>F180/SUMIFS('Campaign - Dump'!$Q:$Q,'Campaign - Dump'!$A:$A,'Portfolio Wise '!$A180)</f>
        <v>0</v>
      </c>
      <c r="AD180" s="49">
        <f t="shared" si="16"/>
        <v>0</v>
      </c>
    </row>
    <row r="181" ht="15.75" customHeight="1">
      <c r="A181" s="10" t="s">
        <v>56</v>
      </c>
      <c r="B181" s="100" t="s">
        <v>182</v>
      </c>
      <c r="C181" s="13">
        <f>SUMIFS('Campaign - Dump'!$N:$N,'Campaign - Dump'!$J:$J,'Portfolio Wise '!$B181,'Campaign - Dump'!$A:$A,'Portfolio Wise '!$A181)</f>
        <v>0</v>
      </c>
      <c r="D181" s="13">
        <f>SUMIFS('Campaign - Dump'!$O:$O,'Campaign - Dump'!$J:$J,'Portfolio Wise '!$B181,'Campaign - Dump'!$A:$A,'Portfolio Wise '!$A181)</f>
        <v>0</v>
      </c>
      <c r="E181" s="23">
        <f t="shared" si="2"/>
        <v>0</v>
      </c>
      <c r="F181" s="36">
        <f>SUMIFS('Campaign - Dump'!$Q:$Q,'Campaign - Dump'!$J:$J,'Portfolio Wise '!$B181,'Campaign - Dump'!$A:$A,'Portfolio Wise '!$A181)</f>
        <v>0</v>
      </c>
      <c r="G181" s="38">
        <f t="shared" si="3"/>
        <v>0</v>
      </c>
      <c r="H181" s="41">
        <f>SUMIFS('Campaign - Dump'!$T:$T,'Campaign - Dump'!$J:$J,'Portfolio Wise '!$B181,'Campaign - Dump'!$A:$A,'Portfolio Wise '!$A181)</f>
        <v>0</v>
      </c>
      <c r="I181" s="23">
        <f t="shared" si="4"/>
        <v>0</v>
      </c>
      <c r="J181" s="36">
        <f>SUMIFS('Campaign - Dump'!$U:$U,'Campaign - Dump'!$J:$J,'Portfolio Wise '!$B181,'Campaign - Dump'!$A:$A,'Portfolio Wise '!$A181)</f>
        <v>0</v>
      </c>
      <c r="K181" s="23">
        <f t="shared" si="5"/>
        <v>0</v>
      </c>
      <c r="L181" s="38">
        <f t="shared" si="6"/>
        <v>0</v>
      </c>
      <c r="M181" s="41">
        <f t="shared" si="7"/>
        <v>0</v>
      </c>
      <c r="N181" s="13">
        <f t="shared" si="253"/>
        <v>12</v>
      </c>
      <c r="O181" s="36">
        <f t="shared" si="254"/>
        <v>333813.5593</v>
      </c>
      <c r="P181" s="41">
        <f t="shared" si="8"/>
        <v>27817.79661</v>
      </c>
      <c r="Q181" s="13">
        <f>SUMIFS('Business - Dump'!$W:$W,'Business - Dump'!$B:$B,'Portfolio Wise '!$B181,'Business - Dump'!$A:$A,'Portfolio Wise '!$A181)</f>
        <v>12</v>
      </c>
      <c r="R181" s="36">
        <f>SUMIFS('Business - Dump'!$U:$U,'Business - Dump'!$B:$B,'Portfolio Wise '!$B181,'Business - Dump'!$A:$A,'Portfolio Wise '!$A181)/1.18</f>
        <v>333813.5593</v>
      </c>
      <c r="S181" s="41">
        <f t="shared" si="9"/>
        <v>27817.79661</v>
      </c>
      <c r="T181" s="23">
        <f t="shared" si="10"/>
        <v>0</v>
      </c>
      <c r="U181" s="38">
        <f t="shared" si="11"/>
        <v>0</v>
      </c>
      <c r="V181" s="41">
        <f>SUMIFS('Business - Dump'!$G:$G,'Business - Dump'!$B:$B,'Portfolio Wise '!$B181,'Business - Dump'!$A:$A,'Portfolio Wise '!$A181)</f>
        <v>2760</v>
      </c>
      <c r="W181" s="23">
        <f t="shared" si="12"/>
        <v>0.004347826087</v>
      </c>
      <c r="X181" s="23">
        <f t="shared" ref="X181:Y181" si="261">IFERROR(N181/Q181,0)</f>
        <v>1</v>
      </c>
      <c r="Y181" s="49">
        <f t="shared" si="261"/>
        <v>1</v>
      </c>
      <c r="Z181" s="49">
        <f t="shared" si="14"/>
        <v>0</v>
      </c>
      <c r="AA181" s="23">
        <f t="shared" si="15"/>
        <v>1</v>
      </c>
      <c r="AB181" s="23">
        <f>IFERROR(AVERAGEIFS('Business - Dump'!$O:$O,'Business - Dump'!$B:$B,'Portfolio Wise '!$B181,'Business - Dump'!$A:$A,'Portfolio Wise '!$A181),0)</f>
        <v>0.88653</v>
      </c>
      <c r="AC181" s="49">
        <f>F181/SUMIFS('Campaign - Dump'!$Q:$Q,'Campaign - Dump'!$A:$A,'Portfolio Wise '!$A181)</f>
        <v>0</v>
      </c>
      <c r="AD181" s="49">
        <f t="shared" si="16"/>
        <v>0</v>
      </c>
    </row>
    <row r="182" ht="15.75" customHeight="1">
      <c r="A182" s="10" t="s">
        <v>56</v>
      </c>
      <c r="B182" s="19" t="s">
        <v>196</v>
      </c>
      <c r="C182" s="13">
        <f>SUMIFS('Campaign - Dump'!$N:$N,'Campaign - Dump'!$J:$J,'Portfolio Wise '!$B182,'Campaign - Dump'!$A:$A,'Portfolio Wise '!$A182)</f>
        <v>427340</v>
      </c>
      <c r="D182" s="13">
        <f>SUMIFS('Campaign - Dump'!$O:$O,'Campaign - Dump'!$J:$J,'Portfolio Wise '!$B182,'Campaign - Dump'!$A:$A,'Portfolio Wise '!$A182)</f>
        <v>1453</v>
      </c>
      <c r="E182" s="23">
        <f t="shared" si="2"/>
        <v>0.003400102963</v>
      </c>
      <c r="F182" s="36">
        <f>SUMIFS('Campaign - Dump'!$Q:$Q,'Campaign - Dump'!$J:$J,'Portfolio Wise '!$B182,'Campaign - Dump'!$A:$A,'Portfolio Wise '!$A182)</f>
        <v>33373.31</v>
      </c>
      <c r="G182" s="38">
        <f t="shared" si="3"/>
        <v>22.96855471</v>
      </c>
      <c r="H182" s="41">
        <f>SUMIFS('Campaign - Dump'!$T:$T,'Campaign - Dump'!$J:$J,'Portfolio Wise '!$B182,'Campaign - Dump'!$A:$A,'Portfolio Wise '!$A182)</f>
        <v>8</v>
      </c>
      <c r="I182" s="23">
        <f t="shared" si="4"/>
        <v>0.005505849966</v>
      </c>
      <c r="J182" s="36">
        <f>SUMIFS('Campaign - Dump'!$U:$U,'Campaign - Dump'!$J:$J,'Portfolio Wise '!$B182,'Campaign - Dump'!$A:$A,'Portfolio Wise '!$A182)</f>
        <v>152413.55</v>
      </c>
      <c r="K182" s="23">
        <f t="shared" si="5"/>
        <v>0.2189655054</v>
      </c>
      <c r="L182" s="38">
        <f t="shared" si="6"/>
        <v>4.566929382</v>
      </c>
      <c r="M182" s="41">
        <f t="shared" si="7"/>
        <v>19051.69375</v>
      </c>
      <c r="N182" s="13">
        <v>0.0</v>
      </c>
      <c r="O182" s="36">
        <v>0.0</v>
      </c>
      <c r="P182" s="41">
        <f t="shared" si="8"/>
        <v>0</v>
      </c>
      <c r="Q182" s="13">
        <f>SUMIFS('Business - Dump'!$W:$W,'Business - Dump'!$B:$B,'Portfolio Wise '!$B182,'Business - Dump'!$A:$A,'Portfolio Wise '!$A182)</f>
        <v>0</v>
      </c>
      <c r="R182" s="36">
        <f>SUMIFS('Business - Dump'!$U:$U,'Business - Dump'!$B:$B,'Portfolio Wise '!$B182,'Business - Dump'!$A:$A,'Portfolio Wise '!$A182)/1.18</f>
        <v>0</v>
      </c>
      <c r="S182" s="41">
        <f t="shared" si="9"/>
        <v>0</v>
      </c>
      <c r="T182" s="23">
        <f t="shared" si="10"/>
        <v>0</v>
      </c>
      <c r="U182" s="38">
        <f t="shared" si="11"/>
        <v>0</v>
      </c>
      <c r="V182" s="41">
        <f>SUMIFS('Business - Dump'!$G:$G,'Business - Dump'!$B:$B,'Portfolio Wise '!$B182,'Business - Dump'!$A:$A,'Portfolio Wise '!$A182)</f>
        <v>0</v>
      </c>
      <c r="W182" s="48">
        <f t="shared" si="12"/>
        <v>0</v>
      </c>
      <c r="X182" s="23">
        <f t="shared" ref="X182:Y182" si="262">IFERROR(N182/Q182,0)</f>
        <v>0</v>
      </c>
      <c r="Y182" s="49">
        <f t="shared" si="262"/>
        <v>0</v>
      </c>
      <c r="Z182" s="49">
        <f t="shared" si="14"/>
        <v>0</v>
      </c>
      <c r="AA182" s="23">
        <f t="shared" si="15"/>
        <v>0</v>
      </c>
      <c r="AB182" s="23">
        <f>IFERROR(AVERAGEIFS('Business - Dump'!$O:$O,'Business - Dump'!$B:$B,'Portfolio Wise '!$B182,'Business - Dump'!$A:$A,'Portfolio Wise '!$A182),0)</f>
        <v>0</v>
      </c>
      <c r="AC182" s="49">
        <f>F182/SUMIFS('Campaign - Dump'!$Q:$Q,'Campaign - Dump'!$A:$A,'Portfolio Wise '!$A182)</f>
        <v>0.0468405196</v>
      </c>
      <c r="AD182" s="49">
        <f t="shared" si="16"/>
        <v>0</v>
      </c>
    </row>
    <row r="183" ht="15.75" customHeight="1">
      <c r="A183" s="10" t="s">
        <v>56</v>
      </c>
      <c r="B183" s="19" t="s">
        <v>205</v>
      </c>
      <c r="C183" s="13">
        <f>SUMIFS('Campaign - Dump'!$N:$N,'Campaign - Dump'!$J:$J,'Portfolio Wise '!$B183,'Campaign - Dump'!$A:$A,'Portfolio Wise '!$A183)</f>
        <v>0</v>
      </c>
      <c r="D183" s="13">
        <f>SUMIFS('Campaign - Dump'!$O:$O,'Campaign - Dump'!$J:$J,'Portfolio Wise '!$B183,'Campaign - Dump'!$A:$A,'Portfolio Wise '!$A183)</f>
        <v>0</v>
      </c>
      <c r="E183" s="23">
        <f t="shared" si="2"/>
        <v>0</v>
      </c>
      <c r="F183" s="36">
        <f>SUMIFS('Campaign - Dump'!$Q:$Q,'Campaign - Dump'!$J:$J,'Portfolio Wise '!$B183,'Campaign - Dump'!$A:$A,'Portfolio Wise '!$A183)</f>
        <v>0</v>
      </c>
      <c r="G183" s="38">
        <f t="shared" si="3"/>
        <v>0</v>
      </c>
      <c r="H183" s="41">
        <f>SUMIFS('Campaign - Dump'!$T:$T,'Campaign - Dump'!$J:$J,'Portfolio Wise '!$B183,'Campaign - Dump'!$A:$A,'Portfolio Wise '!$A183)</f>
        <v>0</v>
      </c>
      <c r="I183" s="23">
        <f t="shared" si="4"/>
        <v>0</v>
      </c>
      <c r="J183" s="36">
        <f>SUMIFS('Campaign - Dump'!$U:$U,'Campaign - Dump'!$J:$J,'Portfolio Wise '!$B183,'Campaign - Dump'!$A:$A,'Portfolio Wise '!$A183)</f>
        <v>0</v>
      </c>
      <c r="K183" s="23">
        <f t="shared" si="5"/>
        <v>0</v>
      </c>
      <c r="L183" s="38">
        <f t="shared" si="6"/>
        <v>0</v>
      </c>
      <c r="M183" s="41">
        <f t="shared" si="7"/>
        <v>0</v>
      </c>
      <c r="N183" s="13">
        <f t="shared" ref="N183:N192" si="264">IFERROR(Q183-H183,0)</f>
        <v>18</v>
      </c>
      <c r="O183" s="36">
        <f t="shared" ref="O183:O192" si="265">IFERROR(R183-J183,0)</f>
        <v>601440.678</v>
      </c>
      <c r="P183" s="41">
        <f t="shared" si="8"/>
        <v>33413.371</v>
      </c>
      <c r="Q183" s="13">
        <f>SUMIFS('Business - Dump'!$W:$W,'Business - Dump'!$B:$B,'Portfolio Wise '!$B183,'Business - Dump'!$A:$A,'Portfolio Wise '!$A183)</f>
        <v>18</v>
      </c>
      <c r="R183" s="36">
        <f>SUMIFS('Business - Dump'!$U:$U,'Business - Dump'!$B:$B,'Portfolio Wise '!$B183,'Business - Dump'!$A:$A,'Portfolio Wise '!$A183)/1.18</f>
        <v>601440.678</v>
      </c>
      <c r="S183" s="41">
        <f t="shared" si="9"/>
        <v>33413.371</v>
      </c>
      <c r="T183" s="23">
        <f t="shared" si="10"/>
        <v>0</v>
      </c>
      <c r="U183" s="38">
        <f t="shared" si="11"/>
        <v>0</v>
      </c>
      <c r="V183" s="41">
        <f>SUMIFS('Business - Dump'!$G:$G,'Business - Dump'!$B:$B,'Portfolio Wise '!$B183,'Business - Dump'!$A:$A,'Portfolio Wise '!$A183)</f>
        <v>2794</v>
      </c>
      <c r="W183" s="48">
        <f t="shared" si="12"/>
        <v>0.006442376521</v>
      </c>
      <c r="X183" s="23">
        <f t="shared" ref="X183:Y183" si="263">IFERROR(N183/Q183,0)</f>
        <v>1</v>
      </c>
      <c r="Y183" s="49">
        <f t="shared" si="263"/>
        <v>1</v>
      </c>
      <c r="Z183" s="49">
        <f t="shared" si="14"/>
        <v>0</v>
      </c>
      <c r="AA183" s="23">
        <f t="shared" si="15"/>
        <v>1</v>
      </c>
      <c r="AB183" s="23">
        <f>IFERROR(AVERAGEIFS('Business - Dump'!$O:$O,'Business - Dump'!$B:$B,'Portfolio Wise '!$B183,'Business - Dump'!$A:$A,'Portfolio Wise '!$A183),0)</f>
        <v>0.9124</v>
      </c>
      <c r="AC183" s="49">
        <f>F183/SUMIFS('Campaign - Dump'!$Q:$Q,'Campaign - Dump'!$A:$A,'Portfolio Wise '!$A183)</f>
        <v>0</v>
      </c>
      <c r="AD183" s="49">
        <f t="shared" si="16"/>
        <v>0</v>
      </c>
    </row>
    <row r="184" ht="15.75" customHeight="1">
      <c r="A184" s="10" t="s">
        <v>56</v>
      </c>
      <c r="B184" s="10" t="s">
        <v>211</v>
      </c>
      <c r="C184" s="13">
        <f>SUMIFS('Campaign - Dump'!$N:$N,'Campaign - Dump'!$J:$J,'Portfolio Wise '!$B184,'Campaign - Dump'!$A:$A,'Portfolio Wise '!$A184)</f>
        <v>475637</v>
      </c>
      <c r="D184" s="13">
        <f>SUMIFS('Campaign - Dump'!$O:$O,'Campaign - Dump'!$J:$J,'Portfolio Wise '!$B184,'Campaign - Dump'!$A:$A,'Portfolio Wise '!$A184)</f>
        <v>1464</v>
      </c>
      <c r="E184" s="23">
        <f t="shared" si="2"/>
        <v>0.003077977533</v>
      </c>
      <c r="F184" s="36">
        <f>SUMIFS('Campaign - Dump'!$Q:$Q,'Campaign - Dump'!$J:$J,'Portfolio Wise '!$B184,'Campaign - Dump'!$A:$A,'Portfolio Wise '!$A184)</f>
        <v>6590.36</v>
      </c>
      <c r="G184" s="38">
        <f t="shared" si="3"/>
        <v>4.501612022</v>
      </c>
      <c r="H184" s="41">
        <f>SUMIFS('Campaign - Dump'!$T:$T,'Campaign - Dump'!$J:$J,'Portfolio Wise '!$B184,'Campaign - Dump'!$A:$A,'Portfolio Wise '!$A184)</f>
        <v>41</v>
      </c>
      <c r="I184" s="23">
        <f t="shared" si="4"/>
        <v>0.02800546448</v>
      </c>
      <c r="J184" s="36">
        <f>SUMIFS('Campaign - Dump'!$U:$U,'Campaign - Dump'!$J:$J,'Portfolio Wise '!$B184,'Campaign - Dump'!$A:$A,'Portfolio Wise '!$A184)</f>
        <v>85771.98</v>
      </c>
      <c r="K184" s="23">
        <f t="shared" si="5"/>
        <v>0.07683581515</v>
      </c>
      <c r="L184" s="38">
        <f t="shared" si="6"/>
        <v>13.01476399</v>
      </c>
      <c r="M184" s="41">
        <f t="shared" si="7"/>
        <v>2091.999512</v>
      </c>
      <c r="N184" s="13">
        <f t="shared" si="264"/>
        <v>19</v>
      </c>
      <c r="O184" s="36">
        <f t="shared" si="265"/>
        <v>-17094.86136</v>
      </c>
      <c r="P184" s="41">
        <f t="shared" si="8"/>
        <v>-899.729545</v>
      </c>
      <c r="Q184" s="13">
        <f>SUMIFS('Business - Dump'!$W:$W,'Business - Dump'!$B:$B,'Portfolio Wise '!$B184,'Business - Dump'!$A:$A,'Portfolio Wise '!$A184)</f>
        <v>60</v>
      </c>
      <c r="R184" s="36">
        <f>SUMIFS('Business - Dump'!$U:$U,'Business - Dump'!$B:$B,'Portfolio Wise '!$B184,'Business - Dump'!$A:$A,'Portfolio Wise '!$A184)/1.18</f>
        <v>68677.11864</v>
      </c>
      <c r="S184" s="41">
        <f t="shared" si="9"/>
        <v>1144.618644</v>
      </c>
      <c r="T184" s="23">
        <f t="shared" si="10"/>
        <v>0.09596150989</v>
      </c>
      <c r="U184" s="38">
        <f t="shared" si="11"/>
        <v>10.42084479</v>
      </c>
      <c r="V184" s="41">
        <f>SUMIFS('Business - Dump'!$G:$G,'Business - Dump'!$B:$B,'Portfolio Wise '!$B184,'Business - Dump'!$A:$A,'Portfolio Wise '!$A184)</f>
        <v>2202</v>
      </c>
      <c r="W184" s="48">
        <f t="shared" si="12"/>
        <v>0.0272479564</v>
      </c>
      <c r="X184" s="23">
        <f t="shared" ref="X184:Y184" si="266">IFERROR(N184/Q184,0)</f>
        <v>0.3166666667</v>
      </c>
      <c r="Y184" s="49">
        <f t="shared" si="266"/>
        <v>-0.2489164032</v>
      </c>
      <c r="Z184" s="49">
        <f t="shared" si="14"/>
        <v>0.6833333333</v>
      </c>
      <c r="AA184" s="23">
        <f t="shared" si="15"/>
        <v>-0.2489164032</v>
      </c>
      <c r="AB184" s="23">
        <f>IFERROR(AVERAGEIFS('Business - Dump'!$O:$O,'Business - Dump'!$B:$B,'Portfolio Wise '!$B184,'Business - Dump'!$A:$A,'Portfolio Wise '!$A184),0)</f>
        <v>0.9941</v>
      </c>
      <c r="AC184" s="49">
        <f>F184/SUMIFS('Campaign - Dump'!$Q:$Q,'Campaign - Dump'!$A:$A,'Portfolio Wise '!$A184)</f>
        <v>0.009249783337</v>
      </c>
      <c r="AD184" s="49">
        <f t="shared" si="16"/>
        <v>0.4634146341</v>
      </c>
    </row>
    <row r="185" ht="15.75" customHeight="1">
      <c r="A185" s="10" t="s">
        <v>56</v>
      </c>
      <c r="B185" s="19" t="s">
        <v>217</v>
      </c>
      <c r="C185" s="13">
        <f>SUMIFS('Campaign - Dump'!$N:$N,'Campaign - Dump'!$J:$J,'Portfolio Wise '!$B185,'Campaign - Dump'!$A:$A,'Portfolio Wise '!$A185)</f>
        <v>0</v>
      </c>
      <c r="D185" s="13">
        <f>SUMIFS('Campaign - Dump'!$O:$O,'Campaign - Dump'!$J:$J,'Portfolio Wise '!$B185,'Campaign - Dump'!$A:$A,'Portfolio Wise '!$A185)</f>
        <v>0</v>
      </c>
      <c r="E185" s="23">
        <f t="shared" si="2"/>
        <v>0</v>
      </c>
      <c r="F185" s="36">
        <f>SUMIFS('Campaign - Dump'!$Q:$Q,'Campaign - Dump'!$J:$J,'Portfolio Wise '!$B185,'Campaign - Dump'!$A:$A,'Portfolio Wise '!$A185)</f>
        <v>0</v>
      </c>
      <c r="G185" s="38">
        <f t="shared" si="3"/>
        <v>0</v>
      </c>
      <c r="H185" s="41">
        <f>SUMIFS('Campaign - Dump'!$T:$T,'Campaign - Dump'!$J:$J,'Portfolio Wise '!$B185,'Campaign - Dump'!$A:$A,'Portfolio Wise '!$A185)</f>
        <v>0</v>
      </c>
      <c r="I185" s="23">
        <f t="shared" si="4"/>
        <v>0</v>
      </c>
      <c r="J185" s="36">
        <f>SUMIFS('Campaign - Dump'!$U:$U,'Campaign - Dump'!$J:$J,'Portfolio Wise '!$B185,'Campaign - Dump'!$A:$A,'Portfolio Wise '!$A185)</f>
        <v>0</v>
      </c>
      <c r="K185" s="23">
        <f t="shared" si="5"/>
        <v>0</v>
      </c>
      <c r="L185" s="38">
        <f t="shared" si="6"/>
        <v>0</v>
      </c>
      <c r="M185" s="41">
        <f t="shared" si="7"/>
        <v>0</v>
      </c>
      <c r="N185" s="13">
        <f t="shared" si="264"/>
        <v>0</v>
      </c>
      <c r="O185" s="36">
        <f t="shared" si="265"/>
        <v>0</v>
      </c>
      <c r="P185" s="41">
        <f t="shared" si="8"/>
        <v>0</v>
      </c>
      <c r="Q185" s="13">
        <f>SUMIFS('Business - Dump'!$W:$W,'Business - Dump'!$B:$B,'Portfolio Wise '!$B185,'Business - Dump'!$A:$A,'Portfolio Wise '!$A185)</f>
        <v>0</v>
      </c>
      <c r="R185" s="36">
        <f>SUMIFS('Business - Dump'!$U:$U,'Business - Dump'!$B:$B,'Portfolio Wise '!$B185,'Business - Dump'!$A:$A,'Portfolio Wise '!$A185)/1.18</f>
        <v>0</v>
      </c>
      <c r="S185" s="41">
        <f t="shared" si="9"/>
        <v>0</v>
      </c>
      <c r="T185" s="23">
        <f t="shared" si="10"/>
        <v>0</v>
      </c>
      <c r="U185" s="38">
        <f t="shared" si="11"/>
        <v>0</v>
      </c>
      <c r="V185" s="41">
        <f>SUMIFS('Business - Dump'!$G:$G,'Business - Dump'!$B:$B,'Portfolio Wise '!$B185,'Business - Dump'!$A:$A,'Portfolio Wise '!$A185)</f>
        <v>0</v>
      </c>
      <c r="W185" s="48">
        <f t="shared" si="12"/>
        <v>0</v>
      </c>
      <c r="X185" s="23">
        <f t="shared" ref="X185:Y185" si="267">IFERROR(N185/Q185,0)</f>
        <v>0</v>
      </c>
      <c r="Y185" s="49">
        <f t="shared" si="267"/>
        <v>0</v>
      </c>
      <c r="Z185" s="49">
        <f t="shared" si="14"/>
        <v>0</v>
      </c>
      <c r="AA185" s="23">
        <f t="shared" si="15"/>
        <v>0</v>
      </c>
      <c r="AB185" s="23">
        <f>IFERROR(AVERAGEIFS('Business - Dump'!$O:$O,'Business - Dump'!$B:$B,'Portfolio Wise '!$B185,'Business - Dump'!$A:$A,'Portfolio Wise '!$A185),0)</f>
        <v>0</v>
      </c>
      <c r="AC185" s="49">
        <f>F185/SUMIFS('Campaign - Dump'!$Q:$Q,'Campaign - Dump'!$A:$A,'Portfolio Wise '!$A185)</f>
        <v>0</v>
      </c>
      <c r="AD185" s="49">
        <f t="shared" si="16"/>
        <v>0</v>
      </c>
    </row>
    <row r="186" ht="15.75" customHeight="1">
      <c r="A186" s="10" t="s">
        <v>56</v>
      </c>
      <c r="B186" s="33" t="s">
        <v>230</v>
      </c>
      <c r="C186" s="13">
        <f>SUMIFS('Campaign - Dump'!$N:$N,'Campaign - Dump'!$J:$J,'Portfolio Wise '!$B186,'Campaign - Dump'!$A:$A,'Portfolio Wise '!$A186)</f>
        <v>4261</v>
      </c>
      <c r="D186" s="13">
        <f>SUMIFS('Campaign - Dump'!$O:$O,'Campaign - Dump'!$J:$J,'Portfolio Wise '!$B186,'Campaign - Dump'!$A:$A,'Portfolio Wise '!$A186)</f>
        <v>14</v>
      </c>
      <c r="E186" s="23">
        <f t="shared" si="2"/>
        <v>0.003285613706</v>
      </c>
      <c r="F186" s="36">
        <f>SUMIFS('Campaign - Dump'!$Q:$Q,'Campaign - Dump'!$J:$J,'Portfolio Wise '!$B186,'Campaign - Dump'!$A:$A,'Portfolio Wise '!$A186)</f>
        <v>160.77</v>
      </c>
      <c r="G186" s="38">
        <f t="shared" si="3"/>
        <v>11.48357143</v>
      </c>
      <c r="H186" s="41">
        <f>SUMIFS('Campaign - Dump'!$T:$T,'Campaign - Dump'!$J:$J,'Portfolio Wise '!$B186,'Campaign - Dump'!$A:$A,'Portfolio Wise '!$A186)</f>
        <v>0</v>
      </c>
      <c r="I186" s="23">
        <f t="shared" si="4"/>
        <v>0</v>
      </c>
      <c r="J186" s="36">
        <f>SUMIFS('Campaign - Dump'!$U:$U,'Campaign - Dump'!$J:$J,'Portfolio Wise '!$B186,'Campaign - Dump'!$A:$A,'Portfolio Wise '!$A186)</f>
        <v>0</v>
      </c>
      <c r="K186" s="23">
        <f t="shared" si="5"/>
        <v>0</v>
      </c>
      <c r="L186" s="38">
        <f t="shared" si="6"/>
        <v>0</v>
      </c>
      <c r="M186" s="41">
        <f t="shared" si="7"/>
        <v>0</v>
      </c>
      <c r="N186" s="13">
        <f t="shared" si="264"/>
        <v>11</v>
      </c>
      <c r="O186" s="36">
        <f t="shared" si="265"/>
        <v>256567.7966</v>
      </c>
      <c r="P186" s="41">
        <f t="shared" si="8"/>
        <v>23324.34515</v>
      </c>
      <c r="Q186" s="13">
        <f>SUMIFS('Business - Dump'!$W:$W,'Business - Dump'!$B:$B,'Portfolio Wise '!$B186,'Business - Dump'!$A:$A,'Portfolio Wise '!$A186)</f>
        <v>11</v>
      </c>
      <c r="R186" s="36">
        <f>SUMIFS('Business - Dump'!$U:$U,'Business - Dump'!$B:$B,'Portfolio Wise '!$B186,'Business - Dump'!$A:$A,'Portfolio Wise '!$A186)/1.18</f>
        <v>256567.7966</v>
      </c>
      <c r="S186" s="41">
        <f t="shared" si="9"/>
        <v>23324.34515</v>
      </c>
      <c r="T186" s="23">
        <f t="shared" si="10"/>
        <v>0.0006266180017</v>
      </c>
      <c r="U186" s="38">
        <f t="shared" si="11"/>
        <v>1595.868611</v>
      </c>
      <c r="V186" s="41">
        <f>SUMIFS('Business - Dump'!$G:$G,'Business - Dump'!$B:$B,'Portfolio Wise '!$B186,'Business - Dump'!$A:$A,'Portfolio Wise '!$A186)</f>
        <v>1074</v>
      </c>
      <c r="W186" s="23">
        <f t="shared" si="12"/>
        <v>0.01024208566</v>
      </c>
      <c r="X186" s="23">
        <f t="shared" ref="X186:Y186" si="268">IFERROR(N186/Q186,0)</f>
        <v>1</v>
      </c>
      <c r="Y186" s="49">
        <f t="shared" si="268"/>
        <v>1</v>
      </c>
      <c r="Z186" s="49">
        <f t="shared" si="14"/>
        <v>0</v>
      </c>
      <c r="AA186" s="23">
        <f t="shared" si="15"/>
        <v>1</v>
      </c>
      <c r="AB186" s="23">
        <f>IFERROR(AVERAGEIFS('Business - Dump'!$O:$O,'Business - Dump'!$B:$B,'Portfolio Wise '!$B186,'Business - Dump'!$A:$A,'Portfolio Wise '!$A186),0)</f>
        <v>0.87658</v>
      </c>
      <c r="AC186" s="49">
        <f>F186/SUMIFS('Campaign - Dump'!$Q:$Q,'Campaign - Dump'!$A:$A,'Portfolio Wise '!$A186)</f>
        <v>0.0002256458929</v>
      </c>
      <c r="AD186" s="49">
        <f t="shared" si="16"/>
        <v>0</v>
      </c>
    </row>
    <row r="187" ht="15.75" customHeight="1">
      <c r="A187" s="10" t="s">
        <v>56</v>
      </c>
      <c r="B187" s="33" t="s">
        <v>230</v>
      </c>
      <c r="C187" s="13">
        <f>SUMIFS('Campaign - Dump'!$N:$N,'Campaign - Dump'!$J:$J,'Portfolio Wise '!$B187,'Campaign - Dump'!$A:$A,'Portfolio Wise '!$A187)</f>
        <v>4261</v>
      </c>
      <c r="D187" s="13">
        <f>SUMIFS('Campaign - Dump'!$O:$O,'Campaign - Dump'!$J:$J,'Portfolio Wise '!$B187,'Campaign - Dump'!$A:$A,'Portfolio Wise '!$A187)</f>
        <v>14</v>
      </c>
      <c r="E187" s="23">
        <f t="shared" si="2"/>
        <v>0.003285613706</v>
      </c>
      <c r="F187" s="36">
        <f>SUMIFS('Campaign - Dump'!$Q:$Q,'Campaign - Dump'!$J:$J,'Portfolio Wise '!$B187,'Campaign - Dump'!$A:$A,'Portfolio Wise '!$A187)</f>
        <v>160.77</v>
      </c>
      <c r="G187" s="38">
        <f t="shared" si="3"/>
        <v>11.48357143</v>
      </c>
      <c r="H187" s="41">
        <f>SUMIFS('Campaign - Dump'!$T:$T,'Campaign - Dump'!$J:$J,'Portfolio Wise '!$B187,'Campaign - Dump'!$A:$A,'Portfolio Wise '!$A187)</f>
        <v>0</v>
      </c>
      <c r="I187" s="23">
        <f t="shared" si="4"/>
        <v>0</v>
      </c>
      <c r="J187" s="36">
        <f>SUMIFS('Campaign - Dump'!$U:$U,'Campaign - Dump'!$J:$J,'Portfolio Wise '!$B187,'Campaign - Dump'!$A:$A,'Portfolio Wise '!$A187)</f>
        <v>0</v>
      </c>
      <c r="K187" s="23">
        <f t="shared" si="5"/>
        <v>0</v>
      </c>
      <c r="L187" s="38">
        <f t="shared" si="6"/>
        <v>0</v>
      </c>
      <c r="M187" s="41">
        <f t="shared" si="7"/>
        <v>0</v>
      </c>
      <c r="N187" s="13">
        <f t="shared" si="264"/>
        <v>11</v>
      </c>
      <c r="O187" s="36">
        <f t="shared" si="265"/>
        <v>256567.7966</v>
      </c>
      <c r="P187" s="41">
        <f t="shared" si="8"/>
        <v>23324.34515</v>
      </c>
      <c r="Q187" s="13">
        <f>SUMIFS('Business - Dump'!$W:$W,'Business - Dump'!$B:$B,'Portfolio Wise '!$B187,'Business - Dump'!$A:$A,'Portfolio Wise '!$A187)</f>
        <v>11</v>
      </c>
      <c r="R187" s="36">
        <f>SUMIFS('Business - Dump'!$U:$U,'Business - Dump'!$B:$B,'Portfolio Wise '!$B187,'Business - Dump'!$A:$A,'Portfolio Wise '!$A187)/1.18</f>
        <v>256567.7966</v>
      </c>
      <c r="S187" s="41">
        <f t="shared" si="9"/>
        <v>23324.34515</v>
      </c>
      <c r="T187" s="23">
        <f t="shared" si="10"/>
        <v>0.0006266180017</v>
      </c>
      <c r="U187" s="38">
        <f t="shared" si="11"/>
        <v>1595.868611</v>
      </c>
      <c r="V187" s="41">
        <f>SUMIFS('Business - Dump'!$G:$G,'Business - Dump'!$B:$B,'Portfolio Wise '!$B187,'Business - Dump'!$A:$A,'Portfolio Wise '!$A187)</f>
        <v>1074</v>
      </c>
      <c r="W187" s="23">
        <f t="shared" si="12"/>
        <v>0.01024208566</v>
      </c>
      <c r="X187" s="23">
        <f t="shared" ref="X187:Y187" si="269">IFERROR(N187/Q187,0)</f>
        <v>1</v>
      </c>
      <c r="Y187" s="49">
        <f t="shared" si="269"/>
        <v>1</v>
      </c>
      <c r="Z187" s="49">
        <f t="shared" si="14"/>
        <v>0</v>
      </c>
      <c r="AA187" s="23">
        <f t="shared" si="15"/>
        <v>1</v>
      </c>
      <c r="AB187" s="23">
        <f>IFERROR(AVERAGEIFS('Business - Dump'!$O:$O,'Business - Dump'!$B:$B,'Portfolio Wise '!$B187,'Business - Dump'!$A:$A,'Portfolio Wise '!$A187),0)</f>
        <v>0.87658</v>
      </c>
      <c r="AC187" s="49">
        <f>F187/SUMIFS('Campaign - Dump'!$Q:$Q,'Campaign - Dump'!$A:$A,'Portfolio Wise '!$A187)</f>
        <v>0.0002256458929</v>
      </c>
      <c r="AD187" s="49">
        <f t="shared" si="16"/>
        <v>0</v>
      </c>
    </row>
    <row r="188" ht="15.75" customHeight="1">
      <c r="A188" s="10" t="s">
        <v>56</v>
      </c>
      <c r="B188" s="19" t="s">
        <v>232</v>
      </c>
      <c r="C188" s="13">
        <f>SUMIFS('Campaign - Dump'!$N:$N,'Campaign - Dump'!$J:$J,'Portfolio Wise '!$B188,'Campaign - Dump'!$A:$A,'Portfolio Wise '!$A188)</f>
        <v>768881</v>
      </c>
      <c r="D188" s="13">
        <f>SUMIFS('Campaign - Dump'!$O:$O,'Campaign - Dump'!$J:$J,'Portfolio Wise '!$B188,'Campaign - Dump'!$A:$A,'Portfolio Wise '!$A188)</f>
        <v>1507</v>
      </c>
      <c r="E188" s="23">
        <f t="shared" si="2"/>
        <v>0.001959991208</v>
      </c>
      <c r="F188" s="36">
        <f>SUMIFS('Campaign - Dump'!$Q:$Q,'Campaign - Dump'!$J:$J,'Portfolio Wise '!$B188,'Campaign - Dump'!$A:$A,'Portfolio Wise '!$A188)</f>
        <v>51334.98</v>
      </c>
      <c r="G188" s="38">
        <f t="shared" si="3"/>
        <v>34.06435302</v>
      </c>
      <c r="H188" s="41">
        <f>SUMIFS('Campaign - Dump'!$T:$T,'Campaign - Dump'!$J:$J,'Portfolio Wise '!$B188,'Campaign - Dump'!$A:$A,'Portfolio Wise '!$A188)</f>
        <v>9</v>
      </c>
      <c r="I188" s="23">
        <f t="shared" si="4"/>
        <v>0.00597213006</v>
      </c>
      <c r="J188" s="36">
        <f>SUMIFS('Campaign - Dump'!$U:$U,'Campaign - Dump'!$J:$J,'Portfolio Wise '!$B188,'Campaign - Dump'!$A:$A,'Portfolio Wise '!$A188)</f>
        <v>112963.55</v>
      </c>
      <c r="K188" s="23">
        <f t="shared" si="5"/>
        <v>0.454438445</v>
      </c>
      <c r="L188" s="38">
        <f t="shared" si="6"/>
        <v>2.200518048</v>
      </c>
      <c r="M188" s="41">
        <f t="shared" si="7"/>
        <v>12551.50556</v>
      </c>
      <c r="N188" s="13">
        <f t="shared" si="264"/>
        <v>19</v>
      </c>
      <c r="O188" s="36">
        <f t="shared" si="265"/>
        <v>330128.9924</v>
      </c>
      <c r="P188" s="41">
        <f t="shared" si="8"/>
        <v>17375.21012</v>
      </c>
      <c r="Q188" s="13">
        <f>SUMIFS('Business - Dump'!$W:$W,'Business - Dump'!$B:$B,'Portfolio Wise '!$B188,'Business - Dump'!$A:$A,'Portfolio Wise '!$A188)</f>
        <v>28</v>
      </c>
      <c r="R188" s="36">
        <f>SUMIFS('Business - Dump'!$U:$U,'Business - Dump'!$B:$B,'Portfolio Wise '!$B188,'Business - Dump'!$A:$A,'Portfolio Wise '!$A188)/1.18</f>
        <v>443092.5424</v>
      </c>
      <c r="S188" s="41">
        <f t="shared" si="9"/>
        <v>15824.73366</v>
      </c>
      <c r="T188" s="23">
        <f t="shared" si="10"/>
        <v>0.1158561138</v>
      </c>
      <c r="U188" s="38">
        <f t="shared" si="11"/>
        <v>8.631396026</v>
      </c>
      <c r="V188" s="41">
        <f>SUMIFS('Business - Dump'!$G:$G,'Business - Dump'!$B:$B,'Portfolio Wise '!$B188,'Business - Dump'!$A:$A,'Portfolio Wise '!$A188)</f>
        <v>5843</v>
      </c>
      <c r="W188" s="48">
        <f t="shared" si="12"/>
        <v>0.004792058874</v>
      </c>
      <c r="X188" s="23">
        <f t="shared" ref="X188:Y188" si="270">IFERROR(N188/Q188,0)</f>
        <v>0.6785714286</v>
      </c>
      <c r="Y188" s="49">
        <f t="shared" si="270"/>
        <v>0.7450565306</v>
      </c>
      <c r="Z188" s="49">
        <f t="shared" si="14"/>
        <v>0.3214285714</v>
      </c>
      <c r="AA188" s="23">
        <f t="shared" si="15"/>
        <v>0.7450565306</v>
      </c>
      <c r="AB188" s="23">
        <f>IFERROR(AVERAGEIFS('Business - Dump'!$O:$O,'Business - Dump'!$B:$B,'Portfolio Wise '!$B188,'Business - Dump'!$A:$A,'Portfolio Wise '!$A188),0)</f>
        <v>0.8948111111</v>
      </c>
      <c r="AC188" s="49">
        <f>F188/SUMIFS('Campaign - Dump'!$Q:$Q,'Campaign - Dump'!$A:$A,'Portfolio Wise '!$A188)</f>
        <v>0.07205030417</v>
      </c>
      <c r="AD188" s="49">
        <f t="shared" si="16"/>
        <v>2.111111111</v>
      </c>
    </row>
    <row r="189" ht="15.75" customHeight="1">
      <c r="A189" s="10" t="s">
        <v>56</v>
      </c>
      <c r="B189" s="51" t="s">
        <v>239</v>
      </c>
      <c r="C189" s="13">
        <f>SUMIFS('Campaign - Dump'!$N:$N,'Campaign - Dump'!$J:$J,'Portfolio Wise '!$B189,'Campaign - Dump'!$A:$A,'Portfolio Wise '!$A189)</f>
        <v>0</v>
      </c>
      <c r="D189" s="13">
        <f>SUMIFS('Campaign - Dump'!$O:$O,'Campaign - Dump'!$J:$J,'Portfolio Wise '!$B189,'Campaign - Dump'!$A:$A,'Portfolio Wise '!$A189)</f>
        <v>0</v>
      </c>
      <c r="E189" s="23">
        <f t="shared" si="2"/>
        <v>0</v>
      </c>
      <c r="F189" s="36">
        <f>SUMIFS('Campaign - Dump'!$Q:$Q,'Campaign - Dump'!$J:$J,'Portfolio Wise '!$B189,'Campaign - Dump'!$A:$A,'Portfolio Wise '!$A189)</f>
        <v>0</v>
      </c>
      <c r="G189" s="38">
        <f t="shared" si="3"/>
        <v>0</v>
      </c>
      <c r="H189" s="41">
        <f>SUMIFS('Campaign - Dump'!$T:$T,'Campaign - Dump'!$J:$J,'Portfolio Wise '!$B189,'Campaign - Dump'!$A:$A,'Portfolio Wise '!$A189)</f>
        <v>0</v>
      </c>
      <c r="I189" s="23">
        <f t="shared" si="4"/>
        <v>0</v>
      </c>
      <c r="J189" s="36">
        <f>SUMIFS('Campaign - Dump'!$U:$U,'Campaign - Dump'!$J:$J,'Portfolio Wise '!$B189,'Campaign - Dump'!$A:$A,'Portfolio Wise '!$A189)</f>
        <v>0</v>
      </c>
      <c r="K189" s="23">
        <f t="shared" si="5"/>
        <v>0</v>
      </c>
      <c r="L189" s="38">
        <f t="shared" si="6"/>
        <v>0</v>
      </c>
      <c r="M189" s="41">
        <f t="shared" si="7"/>
        <v>0</v>
      </c>
      <c r="N189" s="13">
        <f t="shared" si="264"/>
        <v>0</v>
      </c>
      <c r="O189" s="36">
        <f t="shared" si="265"/>
        <v>0</v>
      </c>
      <c r="P189" s="41">
        <f t="shared" si="8"/>
        <v>0</v>
      </c>
      <c r="Q189" s="13">
        <f>SUMIFS('Business - Dump'!$W:$W,'Business - Dump'!$B:$B,'Portfolio Wise '!$B189,'Business - Dump'!$A:$A,'Portfolio Wise '!$A189)</f>
        <v>0</v>
      </c>
      <c r="R189" s="36">
        <f>SUMIFS('Business - Dump'!$U:$U,'Business - Dump'!$B:$B,'Portfolio Wise '!$B189,'Business - Dump'!$A:$A,'Portfolio Wise '!$A189)/1.18</f>
        <v>0</v>
      </c>
      <c r="S189" s="41">
        <f t="shared" si="9"/>
        <v>0</v>
      </c>
      <c r="T189" s="23">
        <f t="shared" si="10"/>
        <v>0</v>
      </c>
      <c r="U189" s="38">
        <f t="shared" si="11"/>
        <v>0</v>
      </c>
      <c r="V189" s="41">
        <f>SUMIFS('Business - Dump'!$G:$G,'Business - Dump'!$B:$B,'Portfolio Wise '!$B189,'Business - Dump'!$A:$A,'Portfolio Wise '!$A189)</f>
        <v>0</v>
      </c>
      <c r="W189" s="48">
        <f t="shared" si="12"/>
        <v>0</v>
      </c>
      <c r="X189" s="23">
        <f t="shared" ref="X189:Y189" si="271">IFERROR(N189/Q189,0)</f>
        <v>0</v>
      </c>
      <c r="Y189" s="49">
        <f t="shared" si="271"/>
        <v>0</v>
      </c>
      <c r="Z189" s="49">
        <f t="shared" si="14"/>
        <v>0</v>
      </c>
      <c r="AA189" s="23">
        <f t="shared" si="15"/>
        <v>0</v>
      </c>
      <c r="AB189" s="23">
        <f>IFERROR(AVERAGEIFS('Business - Dump'!$O:$O,'Business - Dump'!$B:$B,'Portfolio Wise '!$B189,'Business - Dump'!$A:$A,'Portfolio Wise '!$A189),0)</f>
        <v>0</v>
      </c>
      <c r="AC189" s="49">
        <f>F189/SUMIFS('Campaign - Dump'!$Q:$Q,'Campaign - Dump'!$A:$A,'Portfolio Wise '!$A189)</f>
        <v>0</v>
      </c>
      <c r="AD189" s="49">
        <f t="shared" si="16"/>
        <v>0</v>
      </c>
    </row>
    <row r="190" ht="15.75" customHeight="1">
      <c r="A190" s="10" t="s">
        <v>56</v>
      </c>
      <c r="B190" s="19" t="s">
        <v>240</v>
      </c>
      <c r="C190" s="13">
        <f>SUMIFS('Campaign - Dump'!$N:$N,'Campaign - Dump'!$J:$J,'Portfolio Wise '!$B190,'Campaign - Dump'!$A:$A,'Portfolio Wise '!$A190)</f>
        <v>0</v>
      </c>
      <c r="D190" s="13">
        <f>SUMIFS('Campaign - Dump'!$O:$O,'Campaign - Dump'!$J:$J,'Portfolio Wise '!$B190,'Campaign - Dump'!$A:$A,'Portfolio Wise '!$A190)</f>
        <v>0</v>
      </c>
      <c r="E190" s="23">
        <f t="shared" si="2"/>
        <v>0</v>
      </c>
      <c r="F190" s="36">
        <f>SUMIFS('Campaign - Dump'!$Q:$Q,'Campaign - Dump'!$J:$J,'Portfolio Wise '!$B190,'Campaign - Dump'!$A:$A,'Portfolio Wise '!$A190)</f>
        <v>0</v>
      </c>
      <c r="G190" s="38">
        <f t="shared" si="3"/>
        <v>0</v>
      </c>
      <c r="H190" s="41">
        <f>SUMIFS('Campaign - Dump'!$T:$T,'Campaign - Dump'!$J:$J,'Portfolio Wise '!$B190,'Campaign - Dump'!$A:$A,'Portfolio Wise '!$A190)</f>
        <v>0</v>
      </c>
      <c r="I190" s="23">
        <f t="shared" si="4"/>
        <v>0</v>
      </c>
      <c r="J190" s="36">
        <f>SUMIFS('Campaign - Dump'!$U:$U,'Campaign - Dump'!$J:$J,'Portfolio Wise '!$B190,'Campaign - Dump'!$A:$A,'Portfolio Wise '!$A190)</f>
        <v>0</v>
      </c>
      <c r="K190" s="23">
        <f t="shared" si="5"/>
        <v>0</v>
      </c>
      <c r="L190" s="38">
        <f t="shared" si="6"/>
        <v>0</v>
      </c>
      <c r="M190" s="41">
        <f t="shared" si="7"/>
        <v>0</v>
      </c>
      <c r="N190" s="13">
        <f t="shared" si="264"/>
        <v>5</v>
      </c>
      <c r="O190" s="36">
        <f t="shared" si="265"/>
        <v>13940.67797</v>
      </c>
      <c r="P190" s="41">
        <f t="shared" si="8"/>
        <v>2788.135593</v>
      </c>
      <c r="Q190" s="13">
        <f>SUMIFS('Business - Dump'!$W:$W,'Business - Dump'!$B:$B,'Portfolio Wise '!$B190,'Business - Dump'!$A:$A,'Portfolio Wise '!$A190)</f>
        <v>5</v>
      </c>
      <c r="R190" s="36">
        <f>SUMIFS('Business - Dump'!$U:$U,'Business - Dump'!$B:$B,'Portfolio Wise '!$B190,'Business - Dump'!$A:$A,'Portfolio Wise '!$A190)/1.18</f>
        <v>13940.67797</v>
      </c>
      <c r="S190" s="41">
        <f t="shared" si="9"/>
        <v>2788.135593</v>
      </c>
      <c r="T190" s="23">
        <f t="shared" si="10"/>
        <v>0</v>
      </c>
      <c r="U190" s="38">
        <f t="shared" si="11"/>
        <v>0</v>
      </c>
      <c r="V190" s="41">
        <f>SUMIFS('Business - Dump'!$G:$G,'Business - Dump'!$B:$B,'Portfolio Wise '!$B190,'Business - Dump'!$A:$A,'Portfolio Wise '!$A190)</f>
        <v>43</v>
      </c>
      <c r="W190" s="48">
        <f t="shared" si="12"/>
        <v>0.1162790698</v>
      </c>
      <c r="X190" s="23">
        <f t="shared" ref="X190:Y190" si="272">IFERROR(N190/Q190,0)</f>
        <v>1</v>
      </c>
      <c r="Y190" s="49">
        <f t="shared" si="272"/>
        <v>1</v>
      </c>
      <c r="Z190" s="49">
        <f t="shared" si="14"/>
        <v>0</v>
      </c>
      <c r="AA190" s="23">
        <f t="shared" si="15"/>
        <v>1</v>
      </c>
      <c r="AB190" s="23">
        <f>IFERROR(AVERAGEIFS('Business - Dump'!$O:$O,'Business - Dump'!$B:$B,'Portfolio Wise '!$B190,'Business - Dump'!$A:$A,'Portfolio Wise '!$A190),0)</f>
        <v>0.9861</v>
      </c>
      <c r="AC190" s="49">
        <f>F190/SUMIFS('Campaign - Dump'!$Q:$Q,'Campaign - Dump'!$A:$A,'Portfolio Wise '!$A190)</f>
        <v>0</v>
      </c>
      <c r="AD190" s="49">
        <f t="shared" si="16"/>
        <v>0</v>
      </c>
    </row>
    <row r="191" ht="15.75" customHeight="1">
      <c r="A191" s="10" t="s">
        <v>56</v>
      </c>
      <c r="B191" s="10" t="s">
        <v>241</v>
      </c>
      <c r="C191" s="13">
        <f>SUMIFS('Campaign - Dump'!$N:$N,'Campaign - Dump'!$J:$J,'Portfolio Wise '!$B191,'Campaign - Dump'!$A:$A,'Portfolio Wise '!$A191)</f>
        <v>221842</v>
      </c>
      <c r="D191" s="13">
        <f>SUMIFS('Campaign - Dump'!$O:$O,'Campaign - Dump'!$J:$J,'Portfolio Wise '!$B191,'Campaign - Dump'!$A:$A,'Portfolio Wise '!$A191)</f>
        <v>323</v>
      </c>
      <c r="E191" s="23">
        <f t="shared" si="2"/>
        <v>0.001455991201</v>
      </c>
      <c r="F191" s="36">
        <f>SUMIFS('Campaign - Dump'!$Q:$Q,'Campaign - Dump'!$J:$J,'Portfolio Wise '!$B191,'Campaign - Dump'!$A:$A,'Portfolio Wise '!$A191)</f>
        <v>2792.12</v>
      </c>
      <c r="G191" s="38">
        <f t="shared" si="3"/>
        <v>8.644334365</v>
      </c>
      <c r="H191" s="41">
        <f>SUMIFS('Campaign - Dump'!$T:$T,'Campaign - Dump'!$J:$J,'Portfolio Wise '!$B191,'Campaign - Dump'!$A:$A,'Portfolio Wise '!$A191)</f>
        <v>2</v>
      </c>
      <c r="I191" s="23">
        <f t="shared" si="4"/>
        <v>0.006191950464</v>
      </c>
      <c r="J191" s="36">
        <f>SUMIFS('Campaign - Dump'!$U:$U,'Campaign - Dump'!$J:$J,'Portfolio Wise '!$B191,'Campaign - Dump'!$A:$A,'Portfolio Wise '!$A191)</f>
        <v>16354.23</v>
      </c>
      <c r="K191" s="23">
        <f t="shared" si="5"/>
        <v>0.1707276955</v>
      </c>
      <c r="L191" s="38">
        <f t="shared" si="6"/>
        <v>5.857280489</v>
      </c>
      <c r="M191" s="41">
        <f t="shared" si="7"/>
        <v>8177.115</v>
      </c>
      <c r="N191" s="13">
        <f t="shared" si="264"/>
        <v>2</v>
      </c>
      <c r="O191" s="36">
        <f t="shared" si="265"/>
        <v>-6060.162203</v>
      </c>
      <c r="P191" s="41">
        <f t="shared" si="8"/>
        <v>-3030.081102</v>
      </c>
      <c r="Q191" s="13">
        <f>SUMIFS('Business - Dump'!$W:$W,'Business - Dump'!$B:$B,'Portfolio Wise '!$B191,'Business - Dump'!$A:$A,'Portfolio Wise '!$A191)</f>
        <v>4</v>
      </c>
      <c r="R191" s="36">
        <f>SUMIFS('Business - Dump'!$U:$U,'Business - Dump'!$B:$B,'Portfolio Wise '!$B191,'Business - Dump'!$A:$A,'Portfolio Wise '!$A191)/1.18</f>
        <v>10294.0678</v>
      </c>
      <c r="S191" s="41">
        <f t="shared" si="9"/>
        <v>2573.516949</v>
      </c>
      <c r="T191" s="23">
        <f t="shared" si="10"/>
        <v>0.2712358278</v>
      </c>
      <c r="U191" s="38">
        <f t="shared" si="11"/>
        <v>3.686828573</v>
      </c>
      <c r="V191" s="41">
        <f>SUMIFS('Business - Dump'!$G:$G,'Business - Dump'!$B:$B,'Portfolio Wise '!$B191,'Business - Dump'!$A:$A,'Portfolio Wise '!$A191)</f>
        <v>690</v>
      </c>
      <c r="W191" s="48">
        <f t="shared" si="12"/>
        <v>0.005797101449</v>
      </c>
      <c r="X191" s="23">
        <f t="shared" ref="X191:Y191" si="273">IFERROR(N191/Q191,0)</f>
        <v>0.5</v>
      </c>
      <c r="Y191" s="49">
        <f t="shared" si="273"/>
        <v>-0.5887043221</v>
      </c>
      <c r="Z191" s="49">
        <f t="shared" si="14"/>
        <v>0.5</v>
      </c>
      <c r="AA191" s="23">
        <f t="shared" si="15"/>
        <v>-0.5887043221</v>
      </c>
      <c r="AB191" s="23">
        <f>IFERROR(AVERAGEIFS('Business - Dump'!$O:$O,'Business - Dump'!$B:$B,'Portfolio Wise '!$B191,'Business - Dump'!$A:$A,'Portfolio Wise '!$A191),0)</f>
        <v>0.9903</v>
      </c>
      <c r="AC191" s="49">
        <f>F191/SUMIFS('Campaign - Dump'!$Q:$Q,'Campaign - Dump'!$A:$A,'Portfolio Wise '!$A191)</f>
        <v>0.003918830694</v>
      </c>
      <c r="AD191" s="49">
        <f t="shared" si="16"/>
        <v>1</v>
      </c>
    </row>
    <row r="192" ht="15.75" customHeight="1">
      <c r="A192" s="10" t="s">
        <v>56</v>
      </c>
      <c r="B192" s="19" t="s">
        <v>248</v>
      </c>
      <c r="C192" s="13">
        <f>SUMIFS('Campaign - Dump'!$N:$N,'Campaign - Dump'!$J:$J,'Portfolio Wise '!$B192,'Campaign - Dump'!$A:$A,'Portfolio Wise '!$A192)</f>
        <v>0</v>
      </c>
      <c r="D192" s="13">
        <f>SUMIFS('Campaign - Dump'!$O:$O,'Campaign - Dump'!$J:$J,'Portfolio Wise '!$B192,'Campaign - Dump'!$A:$A,'Portfolio Wise '!$A192)</f>
        <v>0</v>
      </c>
      <c r="E192" s="23">
        <f t="shared" si="2"/>
        <v>0</v>
      </c>
      <c r="F192" s="36">
        <f>SUMIFS('Campaign - Dump'!$Q:$Q,'Campaign - Dump'!$J:$J,'Portfolio Wise '!$B192,'Campaign - Dump'!$A:$A,'Portfolio Wise '!$A192)</f>
        <v>0</v>
      </c>
      <c r="G192" s="38">
        <f t="shared" si="3"/>
        <v>0</v>
      </c>
      <c r="H192" s="41">
        <f>SUMIFS('Campaign - Dump'!$T:$T,'Campaign - Dump'!$J:$J,'Portfolio Wise '!$B192,'Campaign - Dump'!$A:$A,'Portfolio Wise '!$A192)</f>
        <v>0</v>
      </c>
      <c r="I192" s="23">
        <f t="shared" si="4"/>
        <v>0</v>
      </c>
      <c r="J192" s="36">
        <f>SUMIFS('Campaign - Dump'!$U:$U,'Campaign - Dump'!$J:$J,'Portfolio Wise '!$B192,'Campaign - Dump'!$A:$A,'Portfolio Wise '!$A192)</f>
        <v>0</v>
      </c>
      <c r="K192" s="23">
        <f t="shared" si="5"/>
        <v>0</v>
      </c>
      <c r="L192" s="38">
        <f t="shared" si="6"/>
        <v>0</v>
      </c>
      <c r="M192" s="41">
        <f t="shared" si="7"/>
        <v>0</v>
      </c>
      <c r="N192" s="13">
        <f t="shared" si="264"/>
        <v>2</v>
      </c>
      <c r="O192" s="36">
        <f t="shared" si="265"/>
        <v>18813.55932</v>
      </c>
      <c r="P192" s="41">
        <f t="shared" si="8"/>
        <v>9406.779661</v>
      </c>
      <c r="Q192" s="13">
        <f>SUMIFS('Business - Dump'!$W:$W,'Business - Dump'!$B:$B,'Portfolio Wise '!$B192,'Business - Dump'!$A:$A,'Portfolio Wise '!$A192)</f>
        <v>2</v>
      </c>
      <c r="R192" s="36">
        <f>SUMIFS('Business - Dump'!$U:$U,'Business - Dump'!$B:$B,'Portfolio Wise '!$B192,'Business - Dump'!$A:$A,'Portfolio Wise '!$A192)/1.18</f>
        <v>18813.55932</v>
      </c>
      <c r="S192" s="41">
        <f t="shared" si="9"/>
        <v>9406.779661</v>
      </c>
      <c r="T192" s="23">
        <f t="shared" si="10"/>
        <v>0</v>
      </c>
      <c r="U192" s="38">
        <f t="shared" si="11"/>
        <v>0</v>
      </c>
      <c r="V192" s="41">
        <f>SUMIFS('Business - Dump'!$G:$G,'Business - Dump'!$B:$B,'Portfolio Wise '!$B192,'Business - Dump'!$A:$A,'Portfolio Wise '!$A192)</f>
        <v>227</v>
      </c>
      <c r="W192" s="48">
        <f t="shared" si="12"/>
        <v>0.008810572687</v>
      </c>
      <c r="X192" s="23">
        <f t="shared" ref="X192:Y192" si="274">IFERROR(N192/Q192,0)</f>
        <v>1</v>
      </c>
      <c r="Y192" s="49">
        <f t="shared" si="274"/>
        <v>1</v>
      </c>
      <c r="Z192" s="49">
        <f t="shared" si="14"/>
        <v>0</v>
      </c>
      <c r="AA192" s="23">
        <f t="shared" si="15"/>
        <v>1</v>
      </c>
      <c r="AB192" s="23">
        <f>IFERROR(AVERAGEIFS('Business - Dump'!$O:$O,'Business - Dump'!$B:$B,'Portfolio Wise '!$B192,'Business - Dump'!$A:$A,'Portfolio Wise '!$A192),0)</f>
        <v>0.90905</v>
      </c>
      <c r="AC192" s="49">
        <f>F192/SUMIFS('Campaign - Dump'!$Q:$Q,'Campaign - Dump'!$A:$A,'Portfolio Wise '!$A192)</f>
        <v>0</v>
      </c>
      <c r="AD192" s="49">
        <f t="shared" si="16"/>
        <v>0</v>
      </c>
    </row>
    <row r="193" ht="15.75" customHeight="1">
      <c r="A193" s="10" t="s">
        <v>56</v>
      </c>
      <c r="B193" s="126" t="s">
        <v>476</v>
      </c>
      <c r="C193" s="127">
        <f t="shared" ref="C193:D193" si="275">SUM(C170:C192)</f>
        <v>7453386</v>
      </c>
      <c r="D193" s="127">
        <f t="shared" si="275"/>
        <v>26120</v>
      </c>
      <c r="E193" s="62">
        <f t="shared" si="2"/>
        <v>0.003504447509</v>
      </c>
      <c r="F193" s="128">
        <f>SUM(F170:F192)</f>
        <v>712648.81</v>
      </c>
      <c r="G193" s="129">
        <f t="shared" si="3"/>
        <v>27.2836451</v>
      </c>
      <c r="H193" s="130">
        <f>SUM(H170:H192)</f>
        <v>220</v>
      </c>
      <c r="I193" s="62">
        <f t="shared" si="4"/>
        <v>0.008422664625</v>
      </c>
      <c r="J193" s="128">
        <f>SUM(J170:J192)</f>
        <v>3790348.04</v>
      </c>
      <c r="K193" s="62">
        <f t="shared" si="5"/>
        <v>0.188016721</v>
      </c>
      <c r="L193" s="129">
        <f t="shared" si="6"/>
        <v>5.318675885</v>
      </c>
      <c r="M193" s="130">
        <f t="shared" si="7"/>
        <v>17228.85473</v>
      </c>
      <c r="N193" s="127">
        <f t="shared" ref="N193:O193" si="276">SUM(N170:N192)</f>
        <v>233</v>
      </c>
      <c r="O193" s="128">
        <f t="shared" si="276"/>
        <v>4620919.518</v>
      </c>
      <c r="P193" s="130">
        <f t="shared" si="8"/>
        <v>19832.27261</v>
      </c>
      <c r="Q193" s="127">
        <f t="shared" ref="Q193:R193" si="277">SUM(Q170:Q192)</f>
        <v>334</v>
      </c>
      <c r="R193" s="128">
        <f t="shared" si="277"/>
        <v>5858677.008</v>
      </c>
      <c r="S193" s="130">
        <f t="shared" si="9"/>
        <v>17540.94913</v>
      </c>
      <c r="T193" s="62">
        <f t="shared" si="10"/>
        <v>0.1216398871</v>
      </c>
      <c r="U193" s="129">
        <f t="shared" si="11"/>
        <v>8.22098757</v>
      </c>
      <c r="V193" s="130">
        <f>SUM(V170:V192)</f>
        <v>64043</v>
      </c>
      <c r="W193" s="131">
        <f t="shared" si="12"/>
        <v>0.005215246007</v>
      </c>
      <c r="X193" s="62">
        <f t="shared" ref="X193:Y193" si="278">IFERROR(N193/Q193,0)</f>
        <v>0.6976047904</v>
      </c>
      <c r="Y193" s="132">
        <f t="shared" si="278"/>
        <v>0.7887308878</v>
      </c>
      <c r="Z193" s="132">
        <f t="shared" si="14"/>
        <v>0.6586826347</v>
      </c>
      <c r="AA193" s="62">
        <f t="shared" si="15"/>
        <v>0.7887308878</v>
      </c>
      <c r="AB193" s="62">
        <f>IFERROR(AVERAGEIFS('Business - Dump'!$O:$O,'Business - Dump'!$B:$B,'Portfolio Wise '!$B193,'Business - Dump'!$A:$A,'Portfolio Wise '!$A193),0)</f>
        <v>0</v>
      </c>
      <c r="AC193" s="132">
        <f>F193/SUMIFS('Campaign - Dump'!$Q:$Q,'Campaign - Dump'!$A:$A,'Portfolio Wise '!$A193)</f>
        <v>1.000225646</v>
      </c>
      <c r="AD193" s="132">
        <f t="shared" si="16"/>
        <v>1.059090909</v>
      </c>
    </row>
    <row r="194" ht="15.75" customHeight="1">
      <c r="A194" s="10" t="s">
        <v>58</v>
      </c>
      <c r="B194" s="33" t="s">
        <v>90</v>
      </c>
      <c r="C194" s="13">
        <f>SUMIFS('Campaign - Dump'!$N:$N,'Campaign - Dump'!$J:$J,'Portfolio Wise '!$B194,'Campaign - Dump'!$A:$A,'Portfolio Wise '!$A194)</f>
        <v>2269351</v>
      </c>
      <c r="D194" s="13">
        <f>SUMIFS('Campaign - Dump'!$O:$O,'Campaign - Dump'!$J:$J,'Portfolio Wise '!$B194,'Campaign - Dump'!$A:$A,'Portfolio Wise '!$A194)</f>
        <v>6052</v>
      </c>
      <c r="E194" s="23">
        <f t="shared" si="2"/>
        <v>0.002666841753</v>
      </c>
      <c r="F194" s="36">
        <f>SUMIFS('Campaign - Dump'!$Q:$Q,'Campaign - Dump'!$J:$J,'Portfolio Wise '!$B194,'Campaign - Dump'!$A:$A,'Portfolio Wise '!$A194)</f>
        <v>141590.9</v>
      </c>
      <c r="G194" s="38">
        <f t="shared" si="3"/>
        <v>23.39572042</v>
      </c>
      <c r="H194" s="41">
        <f>SUMIFS('Campaign - Dump'!$T:$T,'Campaign - Dump'!$J:$J,'Portfolio Wise '!$B194,'Campaign - Dump'!$A:$A,'Portfolio Wise '!$A194)</f>
        <v>40</v>
      </c>
      <c r="I194" s="23">
        <f t="shared" si="4"/>
        <v>0.006609385327</v>
      </c>
      <c r="J194" s="36">
        <f>SUMIFS('Campaign - Dump'!$U:$U,'Campaign - Dump'!$J:$J,'Portfolio Wise '!$B194,'Campaign - Dump'!$A:$A,'Portfolio Wise '!$A194)</f>
        <v>789518.63</v>
      </c>
      <c r="K194" s="23">
        <f t="shared" si="5"/>
        <v>0.1793382634</v>
      </c>
      <c r="L194" s="38">
        <f t="shared" si="6"/>
        <v>5.576054888</v>
      </c>
      <c r="M194" s="41">
        <f t="shared" si="7"/>
        <v>19737.96575</v>
      </c>
      <c r="N194" s="13">
        <v>0.0</v>
      </c>
      <c r="O194" s="36">
        <v>0.0</v>
      </c>
      <c r="P194" s="41">
        <f t="shared" si="8"/>
        <v>0</v>
      </c>
      <c r="Q194" s="13">
        <f>SUMIFS('Business - Dump'!$W:$W,'Business - Dump'!$B:$B,'Portfolio Wise '!$B194,'Business - Dump'!$A:$A,'Portfolio Wise '!$A194)</f>
        <v>0</v>
      </c>
      <c r="R194" s="36">
        <f>SUMIFS('Business - Dump'!$U:$U,'Business - Dump'!$B:$B,'Portfolio Wise '!$B194,'Business - Dump'!$A:$A,'Portfolio Wise '!$A194)/1.18</f>
        <v>0</v>
      </c>
      <c r="S194" s="41">
        <f t="shared" si="9"/>
        <v>0</v>
      </c>
      <c r="T194" s="23">
        <f t="shared" si="10"/>
        <v>0</v>
      </c>
      <c r="U194" s="38">
        <f t="shared" si="11"/>
        <v>0</v>
      </c>
      <c r="V194" s="41">
        <f>SUMIFS('Business - Dump'!$G:$G,'Business - Dump'!$B:$B,'Portfolio Wise '!$B194,'Business - Dump'!$A:$A,'Portfolio Wise '!$A194)</f>
        <v>0</v>
      </c>
      <c r="W194" s="48">
        <f t="shared" si="12"/>
        <v>0</v>
      </c>
      <c r="X194" s="23">
        <f t="shared" ref="X194:Y194" si="279">IFERROR(N194/Q194,0)</f>
        <v>0</v>
      </c>
      <c r="Y194" s="49">
        <f t="shared" si="279"/>
        <v>0</v>
      </c>
      <c r="Z194" s="49">
        <f t="shared" si="14"/>
        <v>0</v>
      </c>
      <c r="AA194" s="23">
        <f t="shared" si="15"/>
        <v>0</v>
      </c>
      <c r="AB194" s="23">
        <f>IFERROR(AVERAGEIFS('Business - Dump'!$O:$O,'Business - Dump'!$B:$B,'Portfolio Wise '!$B194,'Business - Dump'!$A:$A,'Portfolio Wise '!$A194),0)</f>
        <v>0</v>
      </c>
      <c r="AC194" s="49">
        <f>F194/SUMIFS('Campaign - Dump'!$Q:$Q,'Campaign - Dump'!$A:$A,'Portfolio Wise '!$A194)</f>
        <v>0.1631099463</v>
      </c>
      <c r="AD194" s="49">
        <f t="shared" si="16"/>
        <v>0</v>
      </c>
    </row>
    <row r="195" ht="15.75" customHeight="1">
      <c r="A195" s="10" t="s">
        <v>58</v>
      </c>
      <c r="B195" s="51" t="s">
        <v>110</v>
      </c>
      <c r="C195" s="13">
        <f>SUMIFS('Campaign - Dump'!$N:$N,'Campaign - Dump'!$J:$J,'Portfolio Wise '!$B195,'Campaign - Dump'!$A:$A,'Portfolio Wise '!$A195)</f>
        <v>0</v>
      </c>
      <c r="D195" s="13">
        <f>SUMIFS('Campaign - Dump'!$O:$O,'Campaign - Dump'!$J:$J,'Portfolio Wise '!$B195,'Campaign - Dump'!$A:$A,'Portfolio Wise '!$A195)</f>
        <v>0</v>
      </c>
      <c r="E195" s="23">
        <f t="shared" si="2"/>
        <v>0</v>
      </c>
      <c r="F195" s="36">
        <f>SUMIFS('Campaign - Dump'!$Q:$Q,'Campaign - Dump'!$J:$J,'Portfolio Wise '!$B195,'Campaign - Dump'!$A:$A,'Portfolio Wise '!$A195)</f>
        <v>0</v>
      </c>
      <c r="G195" s="38">
        <f t="shared" si="3"/>
        <v>0</v>
      </c>
      <c r="H195" s="41">
        <f>SUMIFS('Campaign - Dump'!$T:$T,'Campaign - Dump'!$J:$J,'Portfolio Wise '!$B195,'Campaign - Dump'!$A:$A,'Portfolio Wise '!$A195)</f>
        <v>0</v>
      </c>
      <c r="I195" s="23">
        <f t="shared" si="4"/>
        <v>0</v>
      </c>
      <c r="J195" s="36">
        <f>SUMIFS('Campaign - Dump'!$U:$U,'Campaign - Dump'!$J:$J,'Portfolio Wise '!$B195,'Campaign - Dump'!$A:$A,'Portfolio Wise '!$A195)</f>
        <v>0</v>
      </c>
      <c r="K195" s="23">
        <f t="shared" si="5"/>
        <v>0</v>
      </c>
      <c r="L195" s="38">
        <f t="shared" si="6"/>
        <v>0</v>
      </c>
      <c r="M195" s="41">
        <f t="shared" si="7"/>
        <v>0</v>
      </c>
      <c r="N195" s="13">
        <f t="shared" ref="N195:N196" si="281">IFERROR(Q195-H195,0)</f>
        <v>0</v>
      </c>
      <c r="O195" s="36">
        <f t="shared" ref="O195:O196" si="282">IFERROR(R195-J195,0)</f>
        <v>0</v>
      </c>
      <c r="P195" s="41">
        <f t="shared" si="8"/>
        <v>0</v>
      </c>
      <c r="Q195" s="13">
        <f>SUMIFS('Business - Dump'!$W:$W,'Business - Dump'!$B:$B,'Portfolio Wise '!$B195,'Business - Dump'!$A:$A,'Portfolio Wise '!$A195)</f>
        <v>0</v>
      </c>
      <c r="R195" s="36">
        <f>SUMIFS('Business - Dump'!$U:$U,'Business - Dump'!$B:$B,'Portfolio Wise '!$B195,'Business - Dump'!$A:$A,'Portfolio Wise '!$A195)/1.18</f>
        <v>0</v>
      </c>
      <c r="S195" s="41">
        <f t="shared" si="9"/>
        <v>0</v>
      </c>
      <c r="T195" s="23">
        <f t="shared" si="10"/>
        <v>0</v>
      </c>
      <c r="U195" s="38">
        <f t="shared" si="11"/>
        <v>0</v>
      </c>
      <c r="V195" s="41">
        <f>SUMIFS('Business - Dump'!$G:$G,'Business - Dump'!$B:$B,'Portfolio Wise '!$B195,'Business - Dump'!$A:$A,'Portfolio Wise '!$A195)</f>
        <v>0</v>
      </c>
      <c r="W195" s="48">
        <f t="shared" si="12"/>
        <v>0</v>
      </c>
      <c r="X195" s="23">
        <f t="shared" ref="X195:Y195" si="280">IFERROR(N195/Q195,0)</f>
        <v>0</v>
      </c>
      <c r="Y195" s="49">
        <f t="shared" si="280"/>
        <v>0</v>
      </c>
      <c r="Z195" s="49">
        <f t="shared" si="14"/>
        <v>0</v>
      </c>
      <c r="AA195" s="23">
        <f t="shared" si="15"/>
        <v>0</v>
      </c>
      <c r="AB195" s="23">
        <f>IFERROR(AVERAGEIFS('Business - Dump'!$O:$O,'Business - Dump'!$B:$B,'Portfolio Wise '!$B195,'Business - Dump'!$A:$A,'Portfolio Wise '!$A195),0)</f>
        <v>0</v>
      </c>
      <c r="AC195" s="49">
        <f>F195/SUMIFS('Campaign - Dump'!$Q:$Q,'Campaign - Dump'!$A:$A,'Portfolio Wise '!$A195)</f>
        <v>0</v>
      </c>
      <c r="AD195" s="49">
        <f t="shared" si="16"/>
        <v>0</v>
      </c>
    </row>
    <row r="196" ht="15.75" customHeight="1">
      <c r="A196" s="10" t="s">
        <v>58</v>
      </c>
      <c r="B196" s="51" t="s">
        <v>119</v>
      </c>
      <c r="C196" s="13">
        <f>SUMIFS('Campaign - Dump'!$N:$N,'Campaign - Dump'!$J:$J,'Portfolio Wise '!$B196,'Campaign - Dump'!$A:$A,'Portfolio Wise '!$A196)</f>
        <v>0</v>
      </c>
      <c r="D196" s="13">
        <f>SUMIFS('Campaign - Dump'!$O:$O,'Campaign - Dump'!$J:$J,'Portfolio Wise '!$B196,'Campaign - Dump'!$A:$A,'Portfolio Wise '!$A196)</f>
        <v>0</v>
      </c>
      <c r="E196" s="23">
        <f t="shared" si="2"/>
        <v>0</v>
      </c>
      <c r="F196" s="36">
        <f>SUMIFS('Campaign - Dump'!$Q:$Q,'Campaign - Dump'!$J:$J,'Portfolio Wise '!$B196,'Campaign - Dump'!$A:$A,'Portfolio Wise '!$A196)</f>
        <v>0</v>
      </c>
      <c r="G196" s="38">
        <f t="shared" si="3"/>
        <v>0</v>
      </c>
      <c r="H196" s="41">
        <f>SUMIFS('Campaign - Dump'!$T:$T,'Campaign - Dump'!$J:$J,'Portfolio Wise '!$B196,'Campaign - Dump'!$A:$A,'Portfolio Wise '!$A196)</f>
        <v>0</v>
      </c>
      <c r="I196" s="23">
        <f t="shared" si="4"/>
        <v>0</v>
      </c>
      <c r="J196" s="36">
        <f>SUMIFS('Campaign - Dump'!$U:$U,'Campaign - Dump'!$J:$J,'Portfolio Wise '!$B196,'Campaign - Dump'!$A:$A,'Portfolio Wise '!$A196)</f>
        <v>0</v>
      </c>
      <c r="K196" s="23">
        <f t="shared" si="5"/>
        <v>0</v>
      </c>
      <c r="L196" s="38">
        <f t="shared" si="6"/>
        <v>0</v>
      </c>
      <c r="M196" s="41">
        <f t="shared" si="7"/>
        <v>0</v>
      </c>
      <c r="N196" s="13">
        <f t="shared" si="281"/>
        <v>1</v>
      </c>
      <c r="O196" s="36">
        <f t="shared" si="282"/>
        <v>7542.372881</v>
      </c>
      <c r="P196" s="41">
        <f t="shared" si="8"/>
        <v>7542.372881</v>
      </c>
      <c r="Q196" s="13">
        <f>SUMIFS('Business - Dump'!$W:$W,'Business - Dump'!$B:$B,'Portfolio Wise '!$B196,'Business - Dump'!$A:$A,'Portfolio Wise '!$A196)</f>
        <v>1</v>
      </c>
      <c r="R196" s="36">
        <f>SUMIFS('Business - Dump'!$U:$U,'Business - Dump'!$B:$B,'Portfolio Wise '!$B196,'Business - Dump'!$A:$A,'Portfolio Wise '!$A196)/1.18</f>
        <v>7542.372881</v>
      </c>
      <c r="S196" s="41">
        <f t="shared" si="9"/>
        <v>7542.372881</v>
      </c>
      <c r="T196" s="23">
        <f t="shared" si="10"/>
        <v>0</v>
      </c>
      <c r="U196" s="38">
        <f t="shared" si="11"/>
        <v>0</v>
      </c>
      <c r="V196" s="41">
        <f>SUMIFS('Business - Dump'!$G:$G,'Business - Dump'!$B:$B,'Portfolio Wise '!$B196,'Business - Dump'!$A:$A,'Portfolio Wise '!$A196)</f>
        <v>900</v>
      </c>
      <c r="W196" s="48">
        <f t="shared" si="12"/>
        <v>0.001111111111</v>
      </c>
      <c r="X196" s="23">
        <f t="shared" ref="X196:Y196" si="283">IFERROR(N196/Q196,0)</f>
        <v>1</v>
      </c>
      <c r="Y196" s="49">
        <f t="shared" si="283"/>
        <v>1</v>
      </c>
      <c r="Z196" s="49">
        <f t="shared" si="14"/>
        <v>0</v>
      </c>
      <c r="AA196" s="23">
        <f t="shared" si="15"/>
        <v>1</v>
      </c>
      <c r="AB196" s="23">
        <f>IFERROR(AVERAGEIFS('Business - Dump'!$O:$O,'Business - Dump'!$B:$B,'Portfolio Wise '!$B196,'Business - Dump'!$A:$A,'Portfolio Wise '!$A196),0)</f>
        <v>0.8128</v>
      </c>
      <c r="AC196" s="49">
        <f>F196/SUMIFS('Campaign - Dump'!$Q:$Q,'Campaign - Dump'!$A:$A,'Portfolio Wise '!$A196)</f>
        <v>0</v>
      </c>
      <c r="AD196" s="49">
        <f t="shared" si="16"/>
        <v>0</v>
      </c>
    </row>
    <row r="197" ht="15.75" customHeight="1">
      <c r="A197" s="10" t="s">
        <v>58</v>
      </c>
      <c r="B197" s="19" t="s">
        <v>128</v>
      </c>
      <c r="C197" s="13">
        <f>SUMIFS('Campaign - Dump'!$N:$N,'Campaign - Dump'!$J:$J,'Portfolio Wise '!$B197,'Campaign - Dump'!$A:$A,'Portfolio Wise '!$A197)</f>
        <v>1096486</v>
      </c>
      <c r="D197" s="13">
        <f>SUMIFS('Campaign - Dump'!$O:$O,'Campaign - Dump'!$J:$J,'Portfolio Wise '!$B197,'Campaign - Dump'!$A:$A,'Portfolio Wise '!$A197)</f>
        <v>4737</v>
      </c>
      <c r="E197" s="23">
        <f t="shared" si="2"/>
        <v>0.004320164599</v>
      </c>
      <c r="F197" s="36">
        <f>SUMIFS('Campaign - Dump'!$Q:$Q,'Campaign - Dump'!$J:$J,'Portfolio Wise '!$B197,'Campaign - Dump'!$A:$A,'Portfolio Wise '!$A197)</f>
        <v>178448.32</v>
      </c>
      <c r="G197" s="38">
        <f t="shared" si="3"/>
        <v>37.67116741</v>
      </c>
      <c r="H197" s="41">
        <f>SUMIFS('Campaign - Dump'!$T:$T,'Campaign - Dump'!$J:$J,'Portfolio Wise '!$B197,'Campaign - Dump'!$A:$A,'Portfolio Wise '!$A197)</f>
        <v>113</v>
      </c>
      <c r="I197" s="23">
        <f t="shared" si="4"/>
        <v>0.0238547604</v>
      </c>
      <c r="J197" s="36">
        <f>SUMIFS('Campaign - Dump'!$U:$U,'Campaign - Dump'!$J:$J,'Portfolio Wise '!$B197,'Campaign - Dump'!$A:$A,'Portfolio Wise '!$A197)</f>
        <v>2379779.66</v>
      </c>
      <c r="K197" s="23">
        <f t="shared" si="5"/>
        <v>0.07498522783</v>
      </c>
      <c r="L197" s="38">
        <f t="shared" si="6"/>
        <v>13.33596001</v>
      </c>
      <c r="M197" s="41">
        <f t="shared" si="7"/>
        <v>21059.99699</v>
      </c>
      <c r="N197" s="13">
        <v>0.0</v>
      </c>
      <c r="O197" s="36">
        <v>0.0</v>
      </c>
      <c r="P197" s="41">
        <f t="shared" si="8"/>
        <v>0</v>
      </c>
      <c r="Q197" s="13">
        <f>SUMIFS('Business - Dump'!$W:$W,'Business - Dump'!$B:$B,'Portfolio Wise '!$B197,'Business - Dump'!$A:$A,'Portfolio Wise '!$A197)</f>
        <v>0</v>
      </c>
      <c r="R197" s="36">
        <f>SUMIFS('Business - Dump'!$U:$U,'Business - Dump'!$B:$B,'Portfolio Wise '!$B197,'Business - Dump'!$A:$A,'Portfolio Wise '!$A197)/1.18</f>
        <v>0</v>
      </c>
      <c r="S197" s="41">
        <f t="shared" si="9"/>
        <v>0</v>
      </c>
      <c r="T197" s="23">
        <f t="shared" si="10"/>
        <v>0</v>
      </c>
      <c r="U197" s="38">
        <f t="shared" si="11"/>
        <v>0</v>
      </c>
      <c r="V197" s="41">
        <f>SUMIFS('Business - Dump'!$G:$G,'Business - Dump'!$B:$B,'Portfolio Wise '!$B197,'Business - Dump'!$A:$A,'Portfolio Wise '!$A197)</f>
        <v>0</v>
      </c>
      <c r="W197" s="48">
        <f t="shared" si="12"/>
        <v>0</v>
      </c>
      <c r="X197" s="23">
        <f t="shared" ref="X197:Y197" si="284">IFERROR(N197/Q197,0)</f>
        <v>0</v>
      </c>
      <c r="Y197" s="49">
        <f t="shared" si="284"/>
        <v>0</v>
      </c>
      <c r="Z197" s="49">
        <f t="shared" si="14"/>
        <v>0</v>
      </c>
      <c r="AA197" s="23">
        <f t="shared" si="15"/>
        <v>0</v>
      </c>
      <c r="AB197" s="23">
        <f>IFERROR(AVERAGEIFS('Business - Dump'!$O:$O,'Business - Dump'!$B:$B,'Portfolio Wise '!$B197,'Business - Dump'!$A:$A,'Portfolio Wise '!$A197),0)</f>
        <v>0</v>
      </c>
      <c r="AC197" s="49">
        <f>F197/SUMIFS('Campaign - Dump'!$Q:$Q,'Campaign - Dump'!$A:$A,'Portfolio Wise '!$A197)</f>
        <v>0.2055689729</v>
      </c>
      <c r="AD197" s="49">
        <f t="shared" si="16"/>
        <v>0</v>
      </c>
    </row>
    <row r="198" ht="15.75" customHeight="1">
      <c r="A198" s="10" t="s">
        <v>58</v>
      </c>
      <c r="B198" s="19" t="s">
        <v>134</v>
      </c>
      <c r="C198" s="13">
        <f>SUMIFS('Campaign - Dump'!$N:$N,'Campaign - Dump'!$J:$J,'Portfolio Wise '!$B198,'Campaign - Dump'!$A:$A,'Portfolio Wise '!$A198)</f>
        <v>1398574</v>
      </c>
      <c r="D198" s="13">
        <f>SUMIFS('Campaign - Dump'!$O:$O,'Campaign - Dump'!$J:$J,'Portfolio Wise '!$B198,'Campaign - Dump'!$A:$A,'Portfolio Wise '!$A198)</f>
        <v>9995</v>
      </c>
      <c r="E198" s="23">
        <f t="shared" si="2"/>
        <v>0.007146565001</v>
      </c>
      <c r="F198" s="36">
        <f>SUMIFS('Campaign - Dump'!$Q:$Q,'Campaign - Dump'!$J:$J,'Portfolio Wise '!$B198,'Campaign - Dump'!$A:$A,'Portfolio Wise '!$A198)</f>
        <v>279638.65</v>
      </c>
      <c r="G198" s="38">
        <f t="shared" si="3"/>
        <v>27.97785393</v>
      </c>
      <c r="H198" s="41">
        <f>SUMIFS('Campaign - Dump'!$T:$T,'Campaign - Dump'!$J:$J,'Portfolio Wise '!$B198,'Campaign - Dump'!$A:$A,'Portfolio Wise '!$A198)</f>
        <v>43</v>
      </c>
      <c r="I198" s="23">
        <f t="shared" si="4"/>
        <v>0.004302151076</v>
      </c>
      <c r="J198" s="36">
        <f>SUMIFS('Campaign - Dump'!$U:$U,'Campaign - Dump'!$J:$J,'Portfolio Wise '!$B198,'Campaign - Dump'!$A:$A,'Portfolio Wise '!$A198)</f>
        <v>789211.02</v>
      </c>
      <c r="K198" s="23">
        <f t="shared" si="5"/>
        <v>0.354326844</v>
      </c>
      <c r="L198" s="38">
        <f t="shared" si="6"/>
        <v>2.822253004</v>
      </c>
      <c r="M198" s="41">
        <f t="shared" si="7"/>
        <v>18353.74465</v>
      </c>
      <c r="N198" s="13">
        <f t="shared" ref="N198:N205" si="286">IFERROR(Q198-H198,0)</f>
        <v>85</v>
      </c>
      <c r="O198" s="36">
        <f t="shared" ref="O198:O205" si="287">IFERROR(R198-J198,0)</f>
        <v>1617805.633</v>
      </c>
      <c r="P198" s="41">
        <f t="shared" si="8"/>
        <v>19033.00744</v>
      </c>
      <c r="Q198" s="13">
        <f>SUMIFS('Business - Dump'!$W:$W,'Business - Dump'!$B:$B,'Portfolio Wise '!$B198,'Business - Dump'!$A:$A,'Portfolio Wise '!$A198)</f>
        <v>128</v>
      </c>
      <c r="R198" s="36">
        <f>SUMIFS('Business - Dump'!$U:$U,'Business - Dump'!$B:$B,'Portfolio Wise '!$B198,'Business - Dump'!$A:$A,'Portfolio Wise '!$A198)/1.18</f>
        <v>2407016.653</v>
      </c>
      <c r="S198" s="41">
        <f t="shared" si="9"/>
        <v>18804.8176</v>
      </c>
      <c r="T198" s="23">
        <f t="shared" si="10"/>
        <v>0.1161764501</v>
      </c>
      <c r="U198" s="38">
        <f t="shared" si="11"/>
        <v>8.607596455</v>
      </c>
      <c r="V198" s="41">
        <f>SUMIFS('Business - Dump'!$G:$G,'Business - Dump'!$B:$B,'Portfolio Wise '!$B198,'Business - Dump'!$A:$A,'Portfolio Wise '!$A198)</f>
        <v>21550</v>
      </c>
      <c r="W198" s="23">
        <f t="shared" si="12"/>
        <v>0.005939675174</v>
      </c>
      <c r="X198" s="23">
        <f t="shared" ref="X198:Y198" si="285">IFERROR(N198/Q198,0)</f>
        <v>0.6640625</v>
      </c>
      <c r="Y198" s="49">
        <f t="shared" si="285"/>
        <v>0.6721206647</v>
      </c>
      <c r="Z198" s="49">
        <f t="shared" si="14"/>
        <v>0.3359375</v>
      </c>
      <c r="AA198" s="23">
        <f t="shared" si="15"/>
        <v>0.6721206647</v>
      </c>
      <c r="AB198" s="23">
        <f>IFERROR(AVERAGEIFS('Business - Dump'!$O:$O,'Business - Dump'!$B:$B,'Portfolio Wise '!$B198,'Business - Dump'!$A:$A,'Portfolio Wise '!$A198),0)</f>
        <v>0.8624555556</v>
      </c>
      <c r="AC198" s="49">
        <f>F198/SUMIFS('Campaign - Dump'!$Q:$Q,'Campaign - Dump'!$A:$A,'Portfolio Wise '!$A198)</f>
        <v>0.3221382531</v>
      </c>
      <c r="AD198" s="49">
        <f t="shared" si="16"/>
        <v>1.976744186</v>
      </c>
    </row>
    <row r="199" ht="15.75" customHeight="1">
      <c r="A199" s="10" t="s">
        <v>58</v>
      </c>
      <c r="B199" s="19" t="s">
        <v>140</v>
      </c>
      <c r="C199" s="13">
        <f>SUMIFS('Campaign - Dump'!$N:$N,'Campaign - Dump'!$J:$J,'Portfolio Wise '!$B199,'Campaign - Dump'!$A:$A,'Portfolio Wise '!$A199)</f>
        <v>724972</v>
      </c>
      <c r="D199" s="13">
        <f>SUMIFS('Campaign - Dump'!$O:$O,'Campaign - Dump'!$J:$J,'Portfolio Wise '!$B199,'Campaign - Dump'!$A:$A,'Portfolio Wise '!$A199)</f>
        <v>1925</v>
      </c>
      <c r="E199" s="23">
        <f t="shared" si="2"/>
        <v>0.002655274962</v>
      </c>
      <c r="F199" s="36">
        <f>SUMIFS('Campaign - Dump'!$Q:$Q,'Campaign - Dump'!$J:$J,'Portfolio Wise '!$B199,'Campaign - Dump'!$A:$A,'Portfolio Wise '!$A199)</f>
        <v>99417.14</v>
      </c>
      <c r="G199" s="38">
        <f t="shared" si="3"/>
        <v>51.64526753</v>
      </c>
      <c r="H199" s="41">
        <f>SUMIFS('Campaign - Dump'!$T:$T,'Campaign - Dump'!$J:$J,'Portfolio Wise '!$B199,'Campaign - Dump'!$A:$A,'Portfolio Wise '!$A199)</f>
        <v>23</v>
      </c>
      <c r="I199" s="23">
        <f t="shared" si="4"/>
        <v>0.01194805195</v>
      </c>
      <c r="J199" s="36">
        <f>SUMIFS('Campaign - Dump'!$U:$U,'Campaign - Dump'!$J:$J,'Portfolio Wise '!$B199,'Campaign - Dump'!$A:$A,'Portfolio Wise '!$A199)</f>
        <v>508446.6</v>
      </c>
      <c r="K199" s="23">
        <f t="shared" si="5"/>
        <v>0.1955311335</v>
      </c>
      <c r="L199" s="38">
        <f t="shared" si="6"/>
        <v>5.114275064</v>
      </c>
      <c r="M199" s="41">
        <f t="shared" si="7"/>
        <v>22106.37391</v>
      </c>
      <c r="N199" s="13">
        <f t="shared" si="286"/>
        <v>29</v>
      </c>
      <c r="O199" s="36">
        <f t="shared" si="287"/>
        <v>903001.9847</v>
      </c>
      <c r="P199" s="41">
        <f t="shared" si="8"/>
        <v>31137.99947</v>
      </c>
      <c r="Q199" s="13">
        <f>SUMIFS('Business - Dump'!$W:$W,'Business - Dump'!$B:$B,'Portfolio Wise '!$B199,'Business - Dump'!$A:$A,'Portfolio Wise '!$A199)</f>
        <v>52</v>
      </c>
      <c r="R199" s="36">
        <f>SUMIFS('Business - Dump'!$U:$U,'Business - Dump'!$B:$B,'Portfolio Wise '!$B199,'Business - Dump'!$A:$A,'Portfolio Wise '!$A199)/1.18</f>
        <v>1411448.585</v>
      </c>
      <c r="S199" s="41">
        <f t="shared" si="9"/>
        <v>27143.24201</v>
      </c>
      <c r="T199" s="23">
        <f t="shared" si="10"/>
        <v>0.07043624619</v>
      </c>
      <c r="U199" s="38">
        <f t="shared" si="11"/>
        <v>14.19723586</v>
      </c>
      <c r="V199" s="41">
        <f>SUMIFS('Business - Dump'!$G:$G,'Business - Dump'!$B:$B,'Portfolio Wise '!$B199,'Business - Dump'!$A:$A,'Portfolio Wise '!$A199)</f>
        <v>11339</v>
      </c>
      <c r="W199" s="23">
        <f t="shared" si="12"/>
        <v>0.004585942323</v>
      </c>
      <c r="X199" s="23">
        <f t="shared" ref="X199:Y199" si="288">IFERROR(N199/Q199,0)</f>
        <v>0.5576923077</v>
      </c>
      <c r="Y199" s="49">
        <f t="shared" si="288"/>
        <v>0.6397696625</v>
      </c>
      <c r="Z199" s="49">
        <f t="shared" si="14"/>
        <v>0.4423076923</v>
      </c>
      <c r="AA199" s="23">
        <f t="shared" si="15"/>
        <v>0.6397696625</v>
      </c>
      <c r="AB199" s="23">
        <f>IFERROR(AVERAGEIFS('Business - Dump'!$O:$O,'Business - Dump'!$B:$B,'Portfolio Wise '!$B199,'Business - Dump'!$A:$A,'Portfolio Wise '!$A199),0)</f>
        <v>0.728275</v>
      </c>
      <c r="AC199" s="49">
        <f>F199/SUMIFS('Campaign - Dump'!$Q:$Q,'Campaign - Dump'!$A:$A,'Portfolio Wise '!$A199)</f>
        <v>0.1145266</v>
      </c>
      <c r="AD199" s="49">
        <f t="shared" si="16"/>
        <v>1.260869565</v>
      </c>
    </row>
    <row r="200" ht="15.75" customHeight="1">
      <c r="A200" s="10" t="s">
        <v>58</v>
      </c>
      <c r="B200" s="10" t="s">
        <v>152</v>
      </c>
      <c r="C200" s="13">
        <f>SUMIFS('Campaign - Dump'!$N:$N,'Campaign - Dump'!$J:$J,'Portfolio Wise '!$B200,'Campaign - Dump'!$A:$A,'Portfolio Wise '!$A200)</f>
        <v>5444</v>
      </c>
      <c r="D200" s="13">
        <f>SUMIFS('Campaign - Dump'!$O:$O,'Campaign - Dump'!$J:$J,'Portfolio Wise '!$B200,'Campaign - Dump'!$A:$A,'Portfolio Wise '!$A200)</f>
        <v>41</v>
      </c>
      <c r="E200" s="23">
        <f t="shared" si="2"/>
        <v>0.007531227039</v>
      </c>
      <c r="F200" s="36">
        <f>SUMIFS('Campaign - Dump'!$Q:$Q,'Campaign - Dump'!$J:$J,'Portfolio Wise '!$B200,'Campaign - Dump'!$A:$A,'Portfolio Wise '!$A200)</f>
        <v>1593.14</v>
      </c>
      <c r="G200" s="38">
        <f t="shared" si="3"/>
        <v>38.85707317</v>
      </c>
      <c r="H200" s="41">
        <f>SUMIFS('Campaign - Dump'!$T:$T,'Campaign - Dump'!$J:$J,'Portfolio Wise '!$B200,'Campaign - Dump'!$A:$A,'Portfolio Wise '!$A200)</f>
        <v>1</v>
      </c>
      <c r="I200" s="23">
        <f t="shared" si="4"/>
        <v>0.0243902439</v>
      </c>
      <c r="J200" s="36">
        <f>SUMIFS('Campaign - Dump'!$U:$U,'Campaign - Dump'!$J:$J,'Portfolio Wise '!$B200,'Campaign - Dump'!$A:$A,'Portfolio Wise '!$A200)</f>
        <v>13558.48</v>
      </c>
      <c r="K200" s="23">
        <f t="shared" si="5"/>
        <v>0.1175013718</v>
      </c>
      <c r="L200" s="38">
        <f t="shared" si="6"/>
        <v>8.510538936</v>
      </c>
      <c r="M200" s="41">
        <f t="shared" si="7"/>
        <v>13558.48</v>
      </c>
      <c r="N200" s="13">
        <f t="shared" si="286"/>
        <v>2</v>
      </c>
      <c r="O200" s="36">
        <f t="shared" si="287"/>
        <v>27116.94373</v>
      </c>
      <c r="P200" s="41">
        <f t="shared" si="8"/>
        <v>13558.47186</v>
      </c>
      <c r="Q200" s="13">
        <f>SUMIFS('Business - Dump'!$W:$W,'Business - Dump'!$B:$B,'Portfolio Wise '!$B200,'Business - Dump'!$A:$A,'Portfolio Wise '!$A200)</f>
        <v>3</v>
      </c>
      <c r="R200" s="36">
        <f>SUMIFS('Business - Dump'!$U:$U,'Business - Dump'!$B:$B,'Portfolio Wise '!$B200,'Business - Dump'!$A:$A,'Portfolio Wise '!$A200)/1.18</f>
        <v>40675.42373</v>
      </c>
      <c r="S200" s="41">
        <f t="shared" si="9"/>
        <v>13558.47458</v>
      </c>
      <c r="T200" s="23">
        <f t="shared" si="10"/>
        <v>0.03916713961</v>
      </c>
      <c r="U200" s="38">
        <f t="shared" si="11"/>
        <v>25.53160659</v>
      </c>
      <c r="V200" s="41">
        <f>SUMIFS('Business - Dump'!$G:$G,'Business - Dump'!$B:$B,'Portfolio Wise '!$B200,'Business - Dump'!$A:$A,'Portfolio Wise '!$A200)</f>
        <v>867</v>
      </c>
      <c r="W200" s="48">
        <f t="shared" si="12"/>
        <v>0.003460207612</v>
      </c>
      <c r="X200" s="23">
        <f t="shared" ref="X200:Y200" si="289">IFERROR(N200/Q200,0)</f>
        <v>0.6666666667</v>
      </c>
      <c r="Y200" s="49">
        <f t="shared" si="289"/>
        <v>0.6666665333</v>
      </c>
      <c r="Z200" s="49">
        <f t="shared" si="14"/>
        <v>0.3333333333</v>
      </c>
      <c r="AA200" s="23">
        <f t="shared" si="15"/>
        <v>0.6666665333</v>
      </c>
      <c r="AB200" s="23">
        <f>IFERROR(AVERAGEIFS('Business - Dump'!$O:$O,'Business - Dump'!$B:$B,'Portfolio Wise '!$B200,'Business - Dump'!$A:$A,'Portfolio Wise '!$A200),0)</f>
        <v>0.88485</v>
      </c>
      <c r="AC200" s="49">
        <f>F200/SUMIFS('Campaign - Dump'!$Q:$Q,'Campaign - Dump'!$A:$A,'Portfolio Wise '!$A200)</f>
        <v>0.001835266107</v>
      </c>
      <c r="AD200" s="49">
        <f t="shared" si="16"/>
        <v>2</v>
      </c>
    </row>
    <row r="201" ht="15.75" customHeight="1">
      <c r="A201" s="10" t="s">
        <v>58</v>
      </c>
      <c r="B201" s="19" t="s">
        <v>158</v>
      </c>
      <c r="C201" s="13">
        <f>SUMIFS('Campaign - Dump'!$N:$N,'Campaign - Dump'!$J:$J,'Portfolio Wise '!$B201,'Campaign - Dump'!$A:$A,'Portfolio Wise '!$A201)</f>
        <v>0</v>
      </c>
      <c r="D201" s="13">
        <f>SUMIFS('Campaign - Dump'!$O:$O,'Campaign - Dump'!$J:$J,'Portfolio Wise '!$B201,'Campaign - Dump'!$A:$A,'Portfolio Wise '!$A201)</f>
        <v>0</v>
      </c>
      <c r="E201" s="23">
        <f t="shared" si="2"/>
        <v>0</v>
      </c>
      <c r="F201" s="36">
        <f>SUMIFS('Campaign - Dump'!$Q:$Q,'Campaign - Dump'!$J:$J,'Portfolio Wise '!$B201,'Campaign - Dump'!$A:$A,'Portfolio Wise '!$A201)</f>
        <v>0</v>
      </c>
      <c r="G201" s="38">
        <f t="shared" si="3"/>
        <v>0</v>
      </c>
      <c r="H201" s="41">
        <f>SUMIFS('Campaign - Dump'!$T:$T,'Campaign - Dump'!$J:$J,'Portfolio Wise '!$B201,'Campaign - Dump'!$A:$A,'Portfolio Wise '!$A201)</f>
        <v>0</v>
      </c>
      <c r="I201" s="23">
        <f t="shared" si="4"/>
        <v>0</v>
      </c>
      <c r="J201" s="36">
        <f>SUMIFS('Campaign - Dump'!$U:$U,'Campaign - Dump'!$J:$J,'Portfolio Wise '!$B201,'Campaign - Dump'!$A:$A,'Portfolio Wise '!$A201)</f>
        <v>0</v>
      </c>
      <c r="K201" s="23">
        <f t="shared" si="5"/>
        <v>0</v>
      </c>
      <c r="L201" s="38">
        <f t="shared" si="6"/>
        <v>0</v>
      </c>
      <c r="M201" s="41">
        <f t="shared" si="7"/>
        <v>0</v>
      </c>
      <c r="N201" s="13">
        <f t="shared" si="286"/>
        <v>2</v>
      </c>
      <c r="O201" s="36">
        <f t="shared" si="287"/>
        <v>9406.779661</v>
      </c>
      <c r="P201" s="41">
        <f t="shared" si="8"/>
        <v>4703.389831</v>
      </c>
      <c r="Q201" s="13">
        <f>SUMIFS('Business - Dump'!$W:$W,'Business - Dump'!$B:$B,'Portfolio Wise '!$B201,'Business - Dump'!$A:$A,'Portfolio Wise '!$A201)</f>
        <v>2</v>
      </c>
      <c r="R201" s="36">
        <f>SUMIFS('Business - Dump'!$U:$U,'Business - Dump'!$B:$B,'Portfolio Wise '!$B201,'Business - Dump'!$A:$A,'Portfolio Wise '!$A201)/1.18</f>
        <v>9406.779661</v>
      </c>
      <c r="S201" s="41">
        <f t="shared" si="9"/>
        <v>4703.389831</v>
      </c>
      <c r="T201" s="23">
        <f t="shared" si="10"/>
        <v>0</v>
      </c>
      <c r="U201" s="38">
        <f t="shared" si="11"/>
        <v>0</v>
      </c>
      <c r="V201" s="41">
        <f>SUMIFS('Business - Dump'!$G:$G,'Business - Dump'!$B:$B,'Portfolio Wise '!$B201,'Business - Dump'!$A:$A,'Portfolio Wise '!$A201)</f>
        <v>155</v>
      </c>
      <c r="W201" s="48">
        <f t="shared" si="12"/>
        <v>0.01290322581</v>
      </c>
      <c r="X201" s="23">
        <f t="shared" ref="X201:Y201" si="290">IFERROR(N201/Q201,0)</f>
        <v>1</v>
      </c>
      <c r="Y201" s="49">
        <f t="shared" si="290"/>
        <v>1</v>
      </c>
      <c r="Z201" s="49">
        <f t="shared" si="14"/>
        <v>0</v>
      </c>
      <c r="AA201" s="23">
        <f t="shared" si="15"/>
        <v>1</v>
      </c>
      <c r="AB201" s="23">
        <f>IFERROR(AVERAGEIFS('Business - Dump'!$O:$O,'Business - Dump'!$B:$B,'Portfolio Wise '!$B201,'Business - Dump'!$A:$A,'Portfolio Wise '!$A201),0)</f>
        <v>0.77856</v>
      </c>
      <c r="AC201" s="49">
        <f>F201/SUMIFS('Campaign - Dump'!$Q:$Q,'Campaign - Dump'!$A:$A,'Portfolio Wise '!$A201)</f>
        <v>0</v>
      </c>
      <c r="AD201" s="49">
        <f t="shared" si="16"/>
        <v>0</v>
      </c>
    </row>
    <row r="202" ht="15.75" customHeight="1">
      <c r="A202" s="10" t="s">
        <v>58</v>
      </c>
      <c r="B202" s="33" t="s">
        <v>170</v>
      </c>
      <c r="C202" s="13">
        <f>SUMIFS('Campaign - Dump'!$N:$N,'Campaign - Dump'!$J:$J,'Portfolio Wise '!$B202,'Campaign - Dump'!$A:$A,'Portfolio Wise '!$A202)</f>
        <v>0</v>
      </c>
      <c r="D202" s="13">
        <f>SUMIFS('Campaign - Dump'!$O:$O,'Campaign - Dump'!$J:$J,'Portfolio Wise '!$B202,'Campaign - Dump'!$A:$A,'Portfolio Wise '!$A202)</f>
        <v>0</v>
      </c>
      <c r="E202" s="23">
        <f t="shared" si="2"/>
        <v>0</v>
      </c>
      <c r="F202" s="36">
        <f>SUMIFS('Campaign - Dump'!$Q:$Q,'Campaign - Dump'!$J:$J,'Portfolio Wise '!$B202,'Campaign - Dump'!$A:$A,'Portfolio Wise '!$A202)</f>
        <v>0</v>
      </c>
      <c r="G202" s="38">
        <f t="shared" si="3"/>
        <v>0</v>
      </c>
      <c r="H202" s="41">
        <f>SUMIFS('Campaign - Dump'!$T:$T,'Campaign - Dump'!$J:$J,'Portfolio Wise '!$B202,'Campaign - Dump'!$A:$A,'Portfolio Wise '!$A202)</f>
        <v>0</v>
      </c>
      <c r="I202" s="23">
        <f t="shared" si="4"/>
        <v>0</v>
      </c>
      <c r="J202" s="36">
        <f>SUMIFS('Campaign - Dump'!$U:$U,'Campaign - Dump'!$J:$J,'Portfolio Wise '!$B202,'Campaign - Dump'!$A:$A,'Portfolio Wise '!$A202)</f>
        <v>0</v>
      </c>
      <c r="K202" s="23">
        <f t="shared" si="5"/>
        <v>0</v>
      </c>
      <c r="L202" s="38">
        <f t="shared" si="6"/>
        <v>0</v>
      </c>
      <c r="M202" s="41">
        <f t="shared" si="7"/>
        <v>0</v>
      </c>
      <c r="N202" s="13">
        <f t="shared" si="286"/>
        <v>4</v>
      </c>
      <c r="O202" s="36">
        <f t="shared" si="287"/>
        <v>25450</v>
      </c>
      <c r="P202" s="41">
        <f t="shared" si="8"/>
        <v>6362.5</v>
      </c>
      <c r="Q202" s="13">
        <f>SUMIFS('Business - Dump'!$W:$W,'Business - Dump'!$B:$B,'Portfolio Wise '!$B202,'Business - Dump'!$A:$A,'Portfolio Wise '!$A202)</f>
        <v>4</v>
      </c>
      <c r="R202" s="36">
        <f>SUMIFS('Business - Dump'!$U:$U,'Business - Dump'!$B:$B,'Portfolio Wise '!$B202,'Business - Dump'!$A:$A,'Portfolio Wise '!$A202)/1.18</f>
        <v>25450</v>
      </c>
      <c r="S202" s="41">
        <f t="shared" si="9"/>
        <v>6362.5</v>
      </c>
      <c r="T202" s="23">
        <f t="shared" si="10"/>
        <v>0</v>
      </c>
      <c r="U202" s="38">
        <f t="shared" si="11"/>
        <v>0</v>
      </c>
      <c r="V202" s="41">
        <f>SUMIFS('Business - Dump'!$G:$G,'Business - Dump'!$B:$B,'Portfolio Wise '!$B202,'Business - Dump'!$A:$A,'Portfolio Wise '!$A202)</f>
        <v>364</v>
      </c>
      <c r="W202" s="48">
        <f t="shared" si="12"/>
        <v>0.01098901099</v>
      </c>
      <c r="X202" s="23">
        <f t="shared" ref="X202:Y202" si="291">IFERROR(N202/Q202,0)</f>
        <v>1</v>
      </c>
      <c r="Y202" s="49">
        <f t="shared" si="291"/>
        <v>1</v>
      </c>
      <c r="Z202" s="49">
        <f t="shared" si="14"/>
        <v>0</v>
      </c>
      <c r="AA202" s="23">
        <f t="shared" si="15"/>
        <v>1</v>
      </c>
      <c r="AB202" s="23">
        <f>IFERROR(AVERAGEIFS('Business - Dump'!$O:$O,'Business - Dump'!$B:$B,'Portfolio Wise '!$B202,'Business - Dump'!$A:$A,'Portfolio Wise '!$A202),0)</f>
        <v>0.90275</v>
      </c>
      <c r="AC202" s="49">
        <f>F202/SUMIFS('Campaign - Dump'!$Q:$Q,'Campaign - Dump'!$A:$A,'Portfolio Wise '!$A202)</f>
        <v>0</v>
      </c>
      <c r="AD202" s="49">
        <f t="shared" si="16"/>
        <v>0</v>
      </c>
    </row>
    <row r="203" ht="15.75" customHeight="1">
      <c r="A203" s="10" t="s">
        <v>58</v>
      </c>
      <c r="B203" s="51" t="s">
        <v>176</v>
      </c>
      <c r="C203" s="13">
        <f>SUMIFS('Campaign - Dump'!$N:$N,'Campaign - Dump'!$J:$J,'Portfolio Wise '!$B203,'Campaign - Dump'!$A:$A,'Portfolio Wise '!$A203)</f>
        <v>0</v>
      </c>
      <c r="D203" s="13">
        <f>SUMIFS('Campaign - Dump'!$O:$O,'Campaign - Dump'!$J:$J,'Portfolio Wise '!$B203,'Campaign - Dump'!$A:$A,'Portfolio Wise '!$A203)</f>
        <v>0</v>
      </c>
      <c r="E203" s="23">
        <f t="shared" si="2"/>
        <v>0</v>
      </c>
      <c r="F203" s="36">
        <f>SUMIFS('Campaign - Dump'!$Q:$Q,'Campaign - Dump'!$J:$J,'Portfolio Wise '!$B203,'Campaign - Dump'!$A:$A,'Portfolio Wise '!$A203)</f>
        <v>0</v>
      </c>
      <c r="G203" s="38">
        <f t="shared" si="3"/>
        <v>0</v>
      </c>
      <c r="H203" s="41">
        <f>SUMIFS('Campaign - Dump'!$T:$T,'Campaign - Dump'!$J:$J,'Portfolio Wise '!$B203,'Campaign - Dump'!$A:$A,'Portfolio Wise '!$A203)</f>
        <v>0</v>
      </c>
      <c r="I203" s="23">
        <f t="shared" si="4"/>
        <v>0</v>
      </c>
      <c r="J203" s="36">
        <f>SUMIFS('Campaign - Dump'!$U:$U,'Campaign - Dump'!$J:$J,'Portfolio Wise '!$B203,'Campaign - Dump'!$A:$A,'Portfolio Wise '!$A203)</f>
        <v>0</v>
      </c>
      <c r="K203" s="23">
        <f t="shared" si="5"/>
        <v>0</v>
      </c>
      <c r="L203" s="38">
        <f t="shared" si="6"/>
        <v>0</v>
      </c>
      <c r="M203" s="41">
        <f t="shared" si="7"/>
        <v>0</v>
      </c>
      <c r="N203" s="13">
        <f t="shared" si="286"/>
        <v>57</v>
      </c>
      <c r="O203" s="36">
        <f t="shared" si="287"/>
        <v>996622.6525</v>
      </c>
      <c r="P203" s="41">
        <f t="shared" si="8"/>
        <v>17484.60794</v>
      </c>
      <c r="Q203" s="13">
        <f>SUMIFS('Business - Dump'!$W:$W,'Business - Dump'!$B:$B,'Portfolio Wise '!$B203,'Business - Dump'!$A:$A,'Portfolio Wise '!$A203)</f>
        <v>57</v>
      </c>
      <c r="R203" s="36">
        <f>SUMIFS('Business - Dump'!$U:$U,'Business - Dump'!$B:$B,'Portfolio Wise '!$B203,'Business - Dump'!$A:$A,'Portfolio Wise '!$A203)/1.18</f>
        <v>996622.6525</v>
      </c>
      <c r="S203" s="41">
        <f t="shared" si="9"/>
        <v>17484.60794</v>
      </c>
      <c r="T203" s="23">
        <f t="shared" si="10"/>
        <v>0</v>
      </c>
      <c r="U203" s="38">
        <f t="shared" si="11"/>
        <v>0</v>
      </c>
      <c r="V203" s="41">
        <f>SUMIFS('Business - Dump'!$G:$G,'Business - Dump'!$B:$B,'Portfolio Wise '!$B203,'Business - Dump'!$A:$A,'Portfolio Wise '!$A203)</f>
        <v>9035</v>
      </c>
      <c r="W203" s="48">
        <f t="shared" si="12"/>
        <v>0.006308799115</v>
      </c>
      <c r="X203" s="23">
        <f t="shared" ref="X203:Y203" si="292">IFERROR(N203/Q203,0)</f>
        <v>1</v>
      </c>
      <c r="Y203" s="49">
        <f t="shared" si="292"/>
        <v>1</v>
      </c>
      <c r="Z203" s="49">
        <f t="shared" si="14"/>
        <v>0</v>
      </c>
      <c r="AA203" s="23">
        <f t="shared" si="15"/>
        <v>1</v>
      </c>
      <c r="AB203" s="23">
        <f>IFERROR(AVERAGEIFS('Business - Dump'!$O:$O,'Business - Dump'!$B:$B,'Portfolio Wise '!$B203,'Business - Dump'!$A:$A,'Portfolio Wise '!$A203),0)</f>
        <v>0.84302</v>
      </c>
      <c r="AC203" s="49">
        <f>F203/SUMIFS('Campaign - Dump'!$Q:$Q,'Campaign - Dump'!$A:$A,'Portfolio Wise '!$A203)</f>
        <v>0</v>
      </c>
      <c r="AD203" s="49">
        <f t="shared" si="16"/>
        <v>0</v>
      </c>
    </row>
    <row r="204" ht="15.75" customHeight="1">
      <c r="A204" s="10" t="s">
        <v>58</v>
      </c>
      <c r="B204" s="100" t="s">
        <v>182</v>
      </c>
      <c r="C204" s="13">
        <f>SUMIFS('Campaign - Dump'!$N:$N,'Campaign - Dump'!$J:$J,'Portfolio Wise '!$B204,'Campaign - Dump'!$A:$A,'Portfolio Wise '!$A204)</f>
        <v>1072</v>
      </c>
      <c r="D204" s="13">
        <f>SUMIFS('Campaign - Dump'!$O:$O,'Campaign - Dump'!$J:$J,'Portfolio Wise '!$B204,'Campaign - Dump'!$A:$A,'Portfolio Wise '!$A204)</f>
        <v>3</v>
      </c>
      <c r="E204" s="23">
        <f t="shared" si="2"/>
        <v>0.002798507463</v>
      </c>
      <c r="F204" s="36">
        <f>SUMIFS('Campaign - Dump'!$Q:$Q,'Campaign - Dump'!$J:$J,'Portfolio Wise '!$B204,'Campaign - Dump'!$A:$A,'Portfolio Wise '!$A204)</f>
        <v>474.19</v>
      </c>
      <c r="G204" s="38">
        <f t="shared" si="3"/>
        <v>158.0633333</v>
      </c>
      <c r="H204" s="41">
        <f>SUMIFS('Campaign - Dump'!$T:$T,'Campaign - Dump'!$J:$J,'Portfolio Wise '!$B204,'Campaign - Dump'!$A:$A,'Portfolio Wise '!$A204)</f>
        <v>0</v>
      </c>
      <c r="I204" s="23">
        <f t="shared" si="4"/>
        <v>0</v>
      </c>
      <c r="J204" s="36">
        <f>SUMIFS('Campaign - Dump'!$U:$U,'Campaign - Dump'!$J:$J,'Portfolio Wise '!$B204,'Campaign - Dump'!$A:$A,'Portfolio Wise '!$A204)</f>
        <v>0</v>
      </c>
      <c r="K204" s="23">
        <f t="shared" si="5"/>
        <v>0</v>
      </c>
      <c r="L204" s="38">
        <f t="shared" si="6"/>
        <v>0</v>
      </c>
      <c r="M204" s="41">
        <f t="shared" si="7"/>
        <v>0</v>
      </c>
      <c r="N204" s="13">
        <f t="shared" si="286"/>
        <v>20</v>
      </c>
      <c r="O204" s="36">
        <f t="shared" si="287"/>
        <v>568496.8814</v>
      </c>
      <c r="P204" s="41">
        <f t="shared" si="8"/>
        <v>28424.84407</v>
      </c>
      <c r="Q204" s="13">
        <f>SUMIFS('Business - Dump'!$W:$W,'Business - Dump'!$B:$B,'Portfolio Wise '!$B204,'Business - Dump'!$A:$A,'Portfolio Wise '!$A204)</f>
        <v>20</v>
      </c>
      <c r="R204" s="36">
        <f>SUMIFS('Business - Dump'!$U:$U,'Business - Dump'!$B:$B,'Portfolio Wise '!$B204,'Business - Dump'!$A:$A,'Portfolio Wise '!$A204)/1.18</f>
        <v>568496.8814</v>
      </c>
      <c r="S204" s="41">
        <f t="shared" si="9"/>
        <v>28424.84407</v>
      </c>
      <c r="T204" s="23">
        <f t="shared" si="10"/>
        <v>0.0008341118756</v>
      </c>
      <c r="U204" s="38">
        <f t="shared" si="11"/>
        <v>1198.879945</v>
      </c>
      <c r="V204" s="41">
        <f>SUMIFS('Business - Dump'!$G:$G,'Business - Dump'!$B:$B,'Portfolio Wise '!$B204,'Business - Dump'!$A:$A,'Portfolio Wise '!$A204)</f>
        <v>3693</v>
      </c>
      <c r="W204" s="23">
        <f t="shared" si="12"/>
        <v>0.005415651232</v>
      </c>
      <c r="X204" s="23">
        <f t="shared" ref="X204:Y204" si="293">IFERROR(N204/Q204,0)</f>
        <v>1</v>
      </c>
      <c r="Y204" s="49">
        <f t="shared" si="293"/>
        <v>1</v>
      </c>
      <c r="Z204" s="49">
        <f t="shared" si="14"/>
        <v>0</v>
      </c>
      <c r="AA204" s="23">
        <f t="shared" si="15"/>
        <v>1</v>
      </c>
      <c r="AB204" s="23">
        <f>IFERROR(AVERAGEIFS('Business - Dump'!$O:$O,'Business - Dump'!$B:$B,'Portfolio Wise '!$B204,'Business - Dump'!$A:$A,'Portfolio Wise '!$A204),0)</f>
        <v>0.84101</v>
      </c>
      <c r="AC204" s="49">
        <f>F204/SUMIFS('Campaign - Dump'!$Q:$Q,'Campaign - Dump'!$A:$A,'Portfolio Wise '!$A204)</f>
        <v>0.0005462576015</v>
      </c>
      <c r="AD204" s="49">
        <f t="shared" si="16"/>
        <v>0</v>
      </c>
    </row>
    <row r="205" ht="15.75" customHeight="1">
      <c r="A205" s="10" t="s">
        <v>58</v>
      </c>
      <c r="B205" s="100" t="s">
        <v>182</v>
      </c>
      <c r="C205" s="13">
        <f>SUMIFS('Campaign - Dump'!$N:$N,'Campaign - Dump'!$J:$J,'Portfolio Wise '!$B205,'Campaign - Dump'!$A:$A,'Portfolio Wise '!$A205)</f>
        <v>1072</v>
      </c>
      <c r="D205" s="13">
        <f>SUMIFS('Campaign - Dump'!$O:$O,'Campaign - Dump'!$J:$J,'Portfolio Wise '!$B205,'Campaign - Dump'!$A:$A,'Portfolio Wise '!$A205)</f>
        <v>3</v>
      </c>
      <c r="E205" s="23">
        <f t="shared" si="2"/>
        <v>0.002798507463</v>
      </c>
      <c r="F205" s="36">
        <f>SUMIFS('Campaign - Dump'!$Q:$Q,'Campaign - Dump'!$J:$J,'Portfolio Wise '!$B205,'Campaign - Dump'!$A:$A,'Portfolio Wise '!$A205)</f>
        <v>474.19</v>
      </c>
      <c r="G205" s="38">
        <f t="shared" si="3"/>
        <v>158.0633333</v>
      </c>
      <c r="H205" s="41">
        <f>SUMIFS('Campaign - Dump'!$T:$T,'Campaign - Dump'!$J:$J,'Portfolio Wise '!$B205,'Campaign - Dump'!$A:$A,'Portfolio Wise '!$A205)</f>
        <v>0</v>
      </c>
      <c r="I205" s="23">
        <f t="shared" si="4"/>
        <v>0</v>
      </c>
      <c r="J205" s="36">
        <f>SUMIFS('Campaign - Dump'!$U:$U,'Campaign - Dump'!$J:$J,'Portfolio Wise '!$B205,'Campaign - Dump'!$A:$A,'Portfolio Wise '!$A205)</f>
        <v>0</v>
      </c>
      <c r="K205" s="23">
        <f t="shared" si="5"/>
        <v>0</v>
      </c>
      <c r="L205" s="38">
        <f t="shared" si="6"/>
        <v>0</v>
      </c>
      <c r="M205" s="41">
        <f t="shared" si="7"/>
        <v>0</v>
      </c>
      <c r="N205" s="13">
        <f t="shared" si="286"/>
        <v>20</v>
      </c>
      <c r="O205" s="36">
        <f t="shared" si="287"/>
        <v>568496.8814</v>
      </c>
      <c r="P205" s="41">
        <f t="shared" si="8"/>
        <v>28424.84407</v>
      </c>
      <c r="Q205" s="13">
        <f>SUMIFS('Business - Dump'!$W:$W,'Business - Dump'!$B:$B,'Portfolio Wise '!$B205,'Business - Dump'!$A:$A,'Portfolio Wise '!$A205)</f>
        <v>20</v>
      </c>
      <c r="R205" s="36">
        <f>SUMIFS('Business - Dump'!$U:$U,'Business - Dump'!$B:$B,'Portfolio Wise '!$B205,'Business - Dump'!$A:$A,'Portfolio Wise '!$A205)/1.18</f>
        <v>568496.8814</v>
      </c>
      <c r="S205" s="41">
        <f t="shared" si="9"/>
        <v>28424.84407</v>
      </c>
      <c r="T205" s="23">
        <f t="shared" si="10"/>
        <v>0.0008341118756</v>
      </c>
      <c r="U205" s="38">
        <f t="shared" si="11"/>
        <v>1198.879945</v>
      </c>
      <c r="V205" s="41">
        <f>SUMIFS('Business - Dump'!$G:$G,'Business - Dump'!$B:$B,'Portfolio Wise '!$B205,'Business - Dump'!$A:$A,'Portfolio Wise '!$A205)</f>
        <v>3693</v>
      </c>
      <c r="W205" s="23">
        <f t="shared" si="12"/>
        <v>0.005415651232</v>
      </c>
      <c r="X205" s="23">
        <f t="shared" ref="X205:Y205" si="294">IFERROR(N205/Q205,0)</f>
        <v>1</v>
      </c>
      <c r="Y205" s="49">
        <f t="shared" si="294"/>
        <v>1</v>
      </c>
      <c r="Z205" s="49">
        <f t="shared" si="14"/>
        <v>0</v>
      </c>
      <c r="AA205" s="23">
        <f t="shared" si="15"/>
        <v>1</v>
      </c>
      <c r="AB205" s="23">
        <f>IFERROR(AVERAGEIFS('Business - Dump'!$O:$O,'Business - Dump'!$B:$B,'Portfolio Wise '!$B205,'Business - Dump'!$A:$A,'Portfolio Wise '!$A205),0)</f>
        <v>0.84101</v>
      </c>
      <c r="AC205" s="49">
        <f>F205/SUMIFS('Campaign - Dump'!$Q:$Q,'Campaign - Dump'!$A:$A,'Portfolio Wise '!$A205)</f>
        <v>0.0005462576015</v>
      </c>
      <c r="AD205" s="49">
        <f t="shared" si="16"/>
        <v>0</v>
      </c>
    </row>
    <row r="206" ht="15.75" customHeight="1">
      <c r="A206" s="10" t="s">
        <v>58</v>
      </c>
      <c r="B206" s="19" t="s">
        <v>196</v>
      </c>
      <c r="C206" s="13">
        <f>SUMIFS('Campaign - Dump'!$N:$N,'Campaign - Dump'!$J:$J,'Portfolio Wise '!$B206,'Campaign - Dump'!$A:$A,'Portfolio Wise '!$A206)</f>
        <v>438998</v>
      </c>
      <c r="D206" s="13">
        <f>SUMIFS('Campaign - Dump'!$O:$O,'Campaign - Dump'!$J:$J,'Portfolio Wise '!$B206,'Campaign - Dump'!$A:$A,'Portfolio Wise '!$A206)</f>
        <v>1838</v>
      </c>
      <c r="E206" s="23">
        <f t="shared" si="2"/>
        <v>0.004186807229</v>
      </c>
      <c r="F206" s="36">
        <f>SUMIFS('Campaign - Dump'!$Q:$Q,'Campaign - Dump'!$J:$J,'Portfolio Wise '!$B206,'Campaign - Dump'!$A:$A,'Portfolio Wise '!$A206)</f>
        <v>68157.09</v>
      </c>
      <c r="G206" s="38">
        <f t="shared" si="3"/>
        <v>37.08220348</v>
      </c>
      <c r="H206" s="41">
        <f>SUMIFS('Campaign - Dump'!$T:$T,'Campaign - Dump'!$J:$J,'Portfolio Wise '!$B206,'Campaign - Dump'!$A:$A,'Portfolio Wise '!$A206)</f>
        <v>17</v>
      </c>
      <c r="I206" s="23">
        <f t="shared" si="4"/>
        <v>0.009249183896</v>
      </c>
      <c r="J206" s="36">
        <f>SUMIFS('Campaign - Dump'!$U:$U,'Campaign - Dump'!$J:$J,'Portfolio Wise '!$B206,'Campaign - Dump'!$A:$A,'Portfolio Wise '!$A206)</f>
        <v>345222.02</v>
      </c>
      <c r="K206" s="23">
        <f t="shared" si="5"/>
        <v>0.1974297294</v>
      </c>
      <c r="L206" s="38">
        <f t="shared" si="6"/>
        <v>5.065093301</v>
      </c>
      <c r="M206" s="41">
        <f t="shared" si="7"/>
        <v>20307.17765</v>
      </c>
      <c r="N206" s="13">
        <v>0.0</v>
      </c>
      <c r="O206" s="36">
        <v>0.0</v>
      </c>
      <c r="P206" s="41">
        <f t="shared" si="8"/>
        <v>0</v>
      </c>
      <c r="Q206" s="13">
        <f>SUMIFS('Business - Dump'!$W:$W,'Business - Dump'!$B:$B,'Portfolio Wise '!$B206,'Business - Dump'!$A:$A,'Portfolio Wise '!$A206)</f>
        <v>0</v>
      </c>
      <c r="R206" s="36">
        <f>SUMIFS('Business - Dump'!$U:$U,'Business - Dump'!$B:$B,'Portfolio Wise '!$B206,'Business - Dump'!$A:$A,'Portfolio Wise '!$A206)/1.18</f>
        <v>0</v>
      </c>
      <c r="S206" s="41">
        <f t="shared" si="9"/>
        <v>0</v>
      </c>
      <c r="T206" s="23">
        <f t="shared" si="10"/>
        <v>0</v>
      </c>
      <c r="U206" s="38">
        <f t="shared" si="11"/>
        <v>0</v>
      </c>
      <c r="V206" s="41">
        <f>SUMIFS('Business - Dump'!$G:$G,'Business - Dump'!$B:$B,'Portfolio Wise '!$B206,'Business - Dump'!$A:$A,'Portfolio Wise '!$A206)</f>
        <v>0</v>
      </c>
      <c r="W206" s="48">
        <f t="shared" si="12"/>
        <v>0</v>
      </c>
      <c r="X206" s="23">
        <f t="shared" ref="X206:Y206" si="295">IFERROR(N206/Q206,0)</f>
        <v>0</v>
      </c>
      <c r="Y206" s="49">
        <f t="shared" si="295"/>
        <v>0</v>
      </c>
      <c r="Z206" s="49">
        <f t="shared" si="14"/>
        <v>0</v>
      </c>
      <c r="AA206" s="23">
        <f t="shared" si="15"/>
        <v>0</v>
      </c>
      <c r="AB206" s="23">
        <f>IFERROR(AVERAGEIFS('Business - Dump'!$O:$O,'Business - Dump'!$B:$B,'Portfolio Wise '!$B206,'Business - Dump'!$A:$A,'Portfolio Wise '!$A206),0)</f>
        <v>0</v>
      </c>
      <c r="AC206" s="49">
        <f>F206/SUMIFS('Campaign - Dump'!$Q:$Q,'Campaign - Dump'!$A:$A,'Portfolio Wise '!$A206)</f>
        <v>0.07851563404</v>
      </c>
      <c r="AD206" s="49">
        <f t="shared" si="16"/>
        <v>0</v>
      </c>
    </row>
    <row r="207" ht="15.75" customHeight="1">
      <c r="A207" s="10" t="s">
        <v>58</v>
      </c>
      <c r="B207" s="19" t="s">
        <v>205</v>
      </c>
      <c r="C207" s="13">
        <f>SUMIFS('Campaign - Dump'!$N:$N,'Campaign - Dump'!$J:$J,'Portfolio Wise '!$B207,'Campaign - Dump'!$A:$A,'Portfolio Wise '!$A207)</f>
        <v>802908</v>
      </c>
      <c r="D207" s="13">
        <f>SUMIFS('Campaign - Dump'!$O:$O,'Campaign - Dump'!$J:$J,'Portfolio Wise '!$B207,'Campaign - Dump'!$A:$A,'Portfolio Wise '!$A207)</f>
        <v>1755</v>
      </c>
      <c r="E207" s="23">
        <f t="shared" si="2"/>
        <v>0.0021858046</v>
      </c>
      <c r="F207" s="36">
        <f>SUMIFS('Campaign - Dump'!$Q:$Q,'Campaign - Dump'!$J:$J,'Portfolio Wise '!$B207,'Campaign - Dump'!$A:$A,'Portfolio Wise '!$A207)</f>
        <v>50998.05</v>
      </c>
      <c r="G207" s="38">
        <f t="shared" si="3"/>
        <v>29.05871795</v>
      </c>
      <c r="H207" s="41">
        <f>SUMIFS('Campaign - Dump'!$T:$T,'Campaign - Dump'!$J:$J,'Portfolio Wise '!$B207,'Campaign - Dump'!$A:$A,'Portfolio Wise '!$A207)</f>
        <v>5</v>
      </c>
      <c r="I207" s="23">
        <f t="shared" si="4"/>
        <v>0.002849002849</v>
      </c>
      <c r="J207" s="36">
        <f>SUMIFS('Campaign - Dump'!$U:$U,'Campaign - Dump'!$J:$J,'Portfolio Wise '!$B207,'Campaign - Dump'!$A:$A,'Portfolio Wise '!$A207)</f>
        <v>103641.52</v>
      </c>
      <c r="K207" s="23">
        <f t="shared" si="5"/>
        <v>0.4920619651</v>
      </c>
      <c r="L207" s="38">
        <f t="shared" si="6"/>
        <v>2.032264371</v>
      </c>
      <c r="M207" s="41">
        <f t="shared" si="7"/>
        <v>20728.304</v>
      </c>
      <c r="N207" s="13">
        <f t="shared" ref="N207:N216" si="297">IFERROR(Q207-H207,0)</f>
        <v>12</v>
      </c>
      <c r="O207" s="36">
        <f t="shared" ref="O207:O216" si="298">IFERROR(R207-J207,0)</f>
        <v>476301.0563</v>
      </c>
      <c r="P207" s="41">
        <f t="shared" si="8"/>
        <v>39691.75469</v>
      </c>
      <c r="Q207" s="13">
        <f>SUMIFS('Business - Dump'!$W:$W,'Business - Dump'!$B:$B,'Portfolio Wise '!$B207,'Business - Dump'!$A:$A,'Portfolio Wise '!$A207)</f>
        <v>17</v>
      </c>
      <c r="R207" s="36">
        <f>SUMIFS('Business - Dump'!$U:$U,'Business - Dump'!$B:$B,'Portfolio Wise '!$B207,'Business - Dump'!$A:$A,'Portfolio Wise '!$A207)/1.18</f>
        <v>579942.5763</v>
      </c>
      <c r="S207" s="41">
        <f t="shared" si="9"/>
        <v>34114.26919</v>
      </c>
      <c r="T207" s="23">
        <f t="shared" si="10"/>
        <v>0.08793637868</v>
      </c>
      <c r="U207" s="38">
        <f t="shared" si="11"/>
        <v>11.37185787</v>
      </c>
      <c r="V207" s="41">
        <f>SUMIFS('Business - Dump'!$G:$G,'Business - Dump'!$B:$B,'Portfolio Wise '!$B207,'Business - Dump'!$A:$A,'Portfolio Wise '!$A207)</f>
        <v>4480</v>
      </c>
      <c r="W207" s="48">
        <f t="shared" si="12"/>
        <v>0.003794642857</v>
      </c>
      <c r="X207" s="23">
        <f t="shared" ref="X207:Y207" si="296">IFERROR(N207/Q207,0)</f>
        <v>0.7058823529</v>
      </c>
      <c r="Y207" s="49">
        <f t="shared" si="296"/>
        <v>0.8212900307</v>
      </c>
      <c r="Z207" s="49">
        <f t="shared" si="14"/>
        <v>0.2941176471</v>
      </c>
      <c r="AA207" s="23">
        <f t="shared" si="15"/>
        <v>0.8212900307</v>
      </c>
      <c r="AB207" s="23">
        <f>IFERROR(AVERAGEIFS('Business - Dump'!$O:$O,'Business - Dump'!$B:$B,'Portfolio Wise '!$B207,'Business - Dump'!$A:$A,'Portfolio Wise '!$A207),0)</f>
        <v>0.8202777778</v>
      </c>
      <c r="AC207" s="49">
        <f>F207/SUMIFS('Campaign - Dump'!$Q:$Q,'Campaign - Dump'!$A:$A,'Portfolio Wise '!$A207)</f>
        <v>0.05874875572</v>
      </c>
      <c r="AD207" s="49">
        <f t="shared" si="16"/>
        <v>2.4</v>
      </c>
    </row>
    <row r="208" ht="15.75" customHeight="1">
      <c r="A208" s="10" t="s">
        <v>58</v>
      </c>
      <c r="B208" s="10" t="s">
        <v>211</v>
      </c>
      <c r="C208" s="13">
        <f>SUMIFS('Campaign - Dump'!$N:$N,'Campaign - Dump'!$J:$J,'Portfolio Wise '!$B208,'Campaign - Dump'!$A:$A,'Portfolio Wise '!$A208)</f>
        <v>498878</v>
      </c>
      <c r="D208" s="13">
        <f>SUMIFS('Campaign - Dump'!$O:$O,'Campaign - Dump'!$J:$J,'Portfolio Wise '!$B208,'Campaign - Dump'!$A:$A,'Portfolio Wise '!$A208)</f>
        <v>1502</v>
      </c>
      <c r="E208" s="23">
        <f t="shared" si="2"/>
        <v>0.003010756137</v>
      </c>
      <c r="F208" s="36">
        <f>SUMIFS('Campaign - Dump'!$Q:$Q,'Campaign - Dump'!$J:$J,'Portfolio Wise '!$B208,'Campaign - Dump'!$A:$A,'Portfolio Wise '!$A208)</f>
        <v>6792.52</v>
      </c>
      <c r="G208" s="38">
        <f t="shared" si="3"/>
        <v>4.522316911</v>
      </c>
      <c r="H208" s="41">
        <f>SUMIFS('Campaign - Dump'!$T:$T,'Campaign - Dump'!$J:$J,'Portfolio Wise '!$B208,'Campaign - Dump'!$A:$A,'Portfolio Wise '!$A208)</f>
        <v>28</v>
      </c>
      <c r="I208" s="23">
        <f t="shared" si="4"/>
        <v>0.01864181092</v>
      </c>
      <c r="J208" s="36">
        <f>SUMIFS('Campaign - Dump'!$U:$U,'Campaign - Dump'!$J:$J,'Portfolio Wise '!$B208,'Campaign - Dump'!$A:$A,'Portfolio Wise '!$A208)</f>
        <v>112655.98</v>
      </c>
      <c r="K208" s="23">
        <f t="shared" si="5"/>
        <v>0.0602943581</v>
      </c>
      <c r="L208" s="38">
        <f t="shared" si="6"/>
        <v>16.58529971</v>
      </c>
      <c r="M208" s="41">
        <f t="shared" si="7"/>
        <v>4023.427857</v>
      </c>
      <c r="N208" s="13">
        <f t="shared" si="297"/>
        <v>32</v>
      </c>
      <c r="O208" s="36">
        <f t="shared" si="298"/>
        <v>-4781.310508</v>
      </c>
      <c r="P208" s="41">
        <f t="shared" si="8"/>
        <v>-149.4159534</v>
      </c>
      <c r="Q208" s="13">
        <f>SUMIFS('Business - Dump'!$W:$W,'Business - Dump'!$B:$B,'Portfolio Wise '!$B208,'Business - Dump'!$A:$A,'Portfolio Wise '!$A208)</f>
        <v>60</v>
      </c>
      <c r="R208" s="36">
        <f>SUMIFS('Business - Dump'!$U:$U,'Business - Dump'!$B:$B,'Portfolio Wise '!$B208,'Business - Dump'!$A:$A,'Portfolio Wise '!$A208)/1.18</f>
        <v>107874.6695</v>
      </c>
      <c r="S208" s="41">
        <f t="shared" si="9"/>
        <v>1797.911158</v>
      </c>
      <c r="T208" s="23">
        <f t="shared" si="10"/>
        <v>0.06296677461</v>
      </c>
      <c r="U208" s="38">
        <f t="shared" si="11"/>
        <v>15.88139151</v>
      </c>
      <c r="V208" s="41">
        <f>SUMIFS('Business - Dump'!$G:$G,'Business - Dump'!$B:$B,'Portfolio Wise '!$B208,'Business - Dump'!$A:$A,'Portfolio Wise '!$A208)</f>
        <v>3123</v>
      </c>
      <c r="W208" s="48">
        <f t="shared" si="12"/>
        <v>0.01921229587</v>
      </c>
      <c r="X208" s="23">
        <f t="shared" ref="X208:Y208" si="299">IFERROR(N208/Q208,0)</f>
        <v>0.5333333333</v>
      </c>
      <c r="Y208" s="49">
        <f t="shared" si="299"/>
        <v>-0.04432282881</v>
      </c>
      <c r="Z208" s="49">
        <f t="shared" si="14"/>
        <v>0.4666666667</v>
      </c>
      <c r="AA208" s="23">
        <f t="shared" si="15"/>
        <v>-0.04432282881</v>
      </c>
      <c r="AB208" s="23">
        <f>IFERROR(AVERAGEIFS('Business - Dump'!$O:$O,'Business - Dump'!$B:$B,'Portfolio Wise '!$B208,'Business - Dump'!$A:$A,'Portfolio Wise '!$A208),0)</f>
        <v>0.9242</v>
      </c>
      <c r="AC208" s="49">
        <f>F208/SUMIFS('Campaign - Dump'!$Q:$Q,'Campaign - Dump'!$A:$A,'Portfolio Wise '!$A208)</f>
        <v>0.00782485013</v>
      </c>
      <c r="AD208" s="49">
        <f t="shared" si="16"/>
        <v>1.142857143</v>
      </c>
    </row>
    <row r="209" ht="15.75" customHeight="1">
      <c r="A209" s="10" t="s">
        <v>58</v>
      </c>
      <c r="B209" s="19" t="s">
        <v>217</v>
      </c>
      <c r="C209" s="13">
        <f>SUMIFS('Campaign - Dump'!$N:$N,'Campaign - Dump'!$J:$J,'Portfolio Wise '!$B209,'Campaign - Dump'!$A:$A,'Portfolio Wise '!$A209)</f>
        <v>0</v>
      </c>
      <c r="D209" s="13">
        <f>SUMIFS('Campaign - Dump'!$O:$O,'Campaign - Dump'!$J:$J,'Portfolio Wise '!$B209,'Campaign - Dump'!$A:$A,'Portfolio Wise '!$A209)</f>
        <v>0</v>
      </c>
      <c r="E209" s="23">
        <f t="shared" si="2"/>
        <v>0</v>
      </c>
      <c r="F209" s="36">
        <f>SUMIFS('Campaign - Dump'!$Q:$Q,'Campaign - Dump'!$J:$J,'Portfolio Wise '!$B209,'Campaign - Dump'!$A:$A,'Portfolio Wise '!$A209)</f>
        <v>0</v>
      </c>
      <c r="G209" s="38">
        <f t="shared" si="3"/>
        <v>0</v>
      </c>
      <c r="H209" s="41">
        <f>SUMIFS('Campaign - Dump'!$T:$T,'Campaign - Dump'!$J:$J,'Portfolio Wise '!$B209,'Campaign - Dump'!$A:$A,'Portfolio Wise '!$A209)</f>
        <v>0</v>
      </c>
      <c r="I209" s="23">
        <f t="shared" si="4"/>
        <v>0</v>
      </c>
      <c r="J209" s="36">
        <f>SUMIFS('Campaign - Dump'!$U:$U,'Campaign - Dump'!$J:$J,'Portfolio Wise '!$B209,'Campaign - Dump'!$A:$A,'Portfolio Wise '!$A209)</f>
        <v>0</v>
      </c>
      <c r="K209" s="23">
        <f t="shared" si="5"/>
        <v>0</v>
      </c>
      <c r="L209" s="38">
        <f t="shared" si="6"/>
        <v>0</v>
      </c>
      <c r="M209" s="41">
        <f t="shared" si="7"/>
        <v>0</v>
      </c>
      <c r="N209" s="13">
        <f t="shared" si="297"/>
        <v>2</v>
      </c>
      <c r="O209" s="36">
        <f t="shared" si="298"/>
        <v>2540.677966</v>
      </c>
      <c r="P209" s="41">
        <f t="shared" si="8"/>
        <v>1270.338983</v>
      </c>
      <c r="Q209" s="13">
        <f>SUMIFS('Business - Dump'!$W:$W,'Business - Dump'!$B:$B,'Portfolio Wise '!$B209,'Business - Dump'!$A:$A,'Portfolio Wise '!$A209)</f>
        <v>2</v>
      </c>
      <c r="R209" s="36">
        <f>SUMIFS('Business - Dump'!$U:$U,'Business - Dump'!$B:$B,'Portfolio Wise '!$B209,'Business - Dump'!$A:$A,'Portfolio Wise '!$A209)/1.18</f>
        <v>2540.677966</v>
      </c>
      <c r="S209" s="41">
        <f t="shared" si="9"/>
        <v>1270.338983</v>
      </c>
      <c r="T209" s="23">
        <f t="shared" si="10"/>
        <v>0</v>
      </c>
      <c r="U209" s="38">
        <f t="shared" si="11"/>
        <v>0</v>
      </c>
      <c r="V209" s="41">
        <f>SUMIFS('Business - Dump'!$G:$G,'Business - Dump'!$B:$B,'Portfolio Wise '!$B209,'Business - Dump'!$A:$A,'Portfolio Wise '!$A209)</f>
        <v>81</v>
      </c>
      <c r="W209" s="48">
        <f t="shared" si="12"/>
        <v>0.02469135802</v>
      </c>
      <c r="X209" s="23">
        <f t="shared" ref="X209:Y209" si="300">IFERROR(N209/Q209,0)</f>
        <v>1</v>
      </c>
      <c r="Y209" s="49">
        <f t="shared" si="300"/>
        <v>1</v>
      </c>
      <c r="Z209" s="49">
        <f t="shared" si="14"/>
        <v>0</v>
      </c>
      <c r="AA209" s="23">
        <f t="shared" si="15"/>
        <v>1</v>
      </c>
      <c r="AB209" s="23">
        <f>IFERROR(AVERAGEIFS('Business - Dump'!$O:$O,'Business - Dump'!$B:$B,'Portfolio Wise '!$B209,'Business - Dump'!$A:$A,'Portfolio Wise '!$A209),0)</f>
        <v>0.4946</v>
      </c>
      <c r="AC209" s="49">
        <f>F209/SUMIFS('Campaign - Dump'!$Q:$Q,'Campaign - Dump'!$A:$A,'Portfolio Wise '!$A209)</f>
        <v>0</v>
      </c>
      <c r="AD209" s="49">
        <f t="shared" si="16"/>
        <v>0</v>
      </c>
    </row>
    <row r="210" ht="15.75" customHeight="1">
      <c r="A210" s="10" t="s">
        <v>58</v>
      </c>
      <c r="B210" s="33" t="s">
        <v>230</v>
      </c>
      <c r="C210" s="13">
        <f>SUMIFS('Campaign - Dump'!$N:$N,'Campaign - Dump'!$J:$J,'Portfolio Wise '!$B210,'Campaign - Dump'!$A:$A,'Portfolio Wise '!$A210)</f>
        <v>0</v>
      </c>
      <c r="D210" s="13">
        <f>SUMIFS('Campaign - Dump'!$O:$O,'Campaign - Dump'!$J:$J,'Portfolio Wise '!$B210,'Campaign - Dump'!$A:$A,'Portfolio Wise '!$A210)</f>
        <v>0</v>
      </c>
      <c r="E210" s="23">
        <f t="shared" si="2"/>
        <v>0</v>
      </c>
      <c r="F210" s="36">
        <f>SUMIFS('Campaign - Dump'!$Q:$Q,'Campaign - Dump'!$J:$J,'Portfolio Wise '!$B210,'Campaign - Dump'!$A:$A,'Portfolio Wise '!$A210)</f>
        <v>0</v>
      </c>
      <c r="G210" s="38">
        <f t="shared" si="3"/>
        <v>0</v>
      </c>
      <c r="H210" s="41">
        <f>SUMIFS('Campaign - Dump'!$T:$T,'Campaign - Dump'!$J:$J,'Portfolio Wise '!$B210,'Campaign - Dump'!$A:$A,'Portfolio Wise '!$A210)</f>
        <v>0</v>
      </c>
      <c r="I210" s="23">
        <f t="shared" si="4"/>
        <v>0</v>
      </c>
      <c r="J210" s="36">
        <f>SUMIFS('Campaign - Dump'!$U:$U,'Campaign - Dump'!$J:$J,'Portfolio Wise '!$B210,'Campaign - Dump'!$A:$A,'Portfolio Wise '!$A210)</f>
        <v>0</v>
      </c>
      <c r="K210" s="23">
        <f t="shared" si="5"/>
        <v>0</v>
      </c>
      <c r="L210" s="38">
        <f t="shared" si="6"/>
        <v>0</v>
      </c>
      <c r="M210" s="41">
        <f t="shared" si="7"/>
        <v>0</v>
      </c>
      <c r="N210" s="13">
        <f t="shared" si="297"/>
        <v>14</v>
      </c>
      <c r="O210" s="36">
        <f t="shared" si="298"/>
        <v>318220.339</v>
      </c>
      <c r="P210" s="41">
        <f t="shared" si="8"/>
        <v>22730.02421</v>
      </c>
      <c r="Q210" s="13">
        <f>SUMIFS('Business - Dump'!$W:$W,'Business - Dump'!$B:$B,'Portfolio Wise '!$B210,'Business - Dump'!$A:$A,'Portfolio Wise '!$A210)</f>
        <v>14</v>
      </c>
      <c r="R210" s="36">
        <f>SUMIFS('Business - Dump'!$U:$U,'Business - Dump'!$B:$B,'Portfolio Wise '!$B210,'Business - Dump'!$A:$A,'Portfolio Wise '!$A210)/1.18</f>
        <v>318220.339</v>
      </c>
      <c r="S210" s="41">
        <f t="shared" si="9"/>
        <v>22730.02421</v>
      </c>
      <c r="T210" s="23">
        <f t="shared" si="10"/>
        <v>0</v>
      </c>
      <c r="U210" s="38">
        <f t="shared" si="11"/>
        <v>0</v>
      </c>
      <c r="V210" s="41">
        <f>SUMIFS('Business - Dump'!$G:$G,'Business - Dump'!$B:$B,'Portfolio Wise '!$B210,'Business - Dump'!$A:$A,'Portfolio Wise '!$A210)</f>
        <v>1953</v>
      </c>
      <c r="W210" s="23">
        <f t="shared" si="12"/>
        <v>0.007168458781</v>
      </c>
      <c r="X210" s="23">
        <f t="shared" ref="X210:Y210" si="301">IFERROR(N210/Q210,0)</f>
        <v>1</v>
      </c>
      <c r="Y210" s="49">
        <f t="shared" si="301"/>
        <v>1</v>
      </c>
      <c r="Z210" s="49">
        <f t="shared" si="14"/>
        <v>0</v>
      </c>
      <c r="AA210" s="23">
        <f t="shared" si="15"/>
        <v>1</v>
      </c>
      <c r="AB210" s="23">
        <f>IFERROR(AVERAGEIFS('Business - Dump'!$O:$O,'Business - Dump'!$B:$B,'Portfolio Wise '!$B210,'Business - Dump'!$A:$A,'Portfolio Wise '!$A210),0)</f>
        <v>0.8904875</v>
      </c>
      <c r="AC210" s="49">
        <f>F210/SUMIFS('Campaign - Dump'!$Q:$Q,'Campaign - Dump'!$A:$A,'Portfolio Wise '!$A210)</f>
        <v>0</v>
      </c>
      <c r="AD210" s="49">
        <f t="shared" si="16"/>
        <v>0</v>
      </c>
    </row>
    <row r="211" ht="15.75" customHeight="1">
      <c r="A211" s="10" t="s">
        <v>58</v>
      </c>
      <c r="B211" s="33" t="s">
        <v>230</v>
      </c>
      <c r="C211" s="13">
        <f>SUMIFS('Campaign - Dump'!$N:$N,'Campaign - Dump'!$J:$J,'Portfolio Wise '!$B211,'Campaign - Dump'!$A:$A,'Portfolio Wise '!$A211)</f>
        <v>0</v>
      </c>
      <c r="D211" s="13">
        <f>SUMIFS('Campaign - Dump'!$O:$O,'Campaign - Dump'!$J:$J,'Portfolio Wise '!$B211,'Campaign - Dump'!$A:$A,'Portfolio Wise '!$A211)</f>
        <v>0</v>
      </c>
      <c r="E211" s="23">
        <f t="shared" si="2"/>
        <v>0</v>
      </c>
      <c r="F211" s="36">
        <f>SUMIFS('Campaign - Dump'!$Q:$Q,'Campaign - Dump'!$J:$J,'Portfolio Wise '!$B211,'Campaign - Dump'!$A:$A,'Portfolio Wise '!$A211)</f>
        <v>0</v>
      </c>
      <c r="G211" s="38">
        <f t="shared" si="3"/>
        <v>0</v>
      </c>
      <c r="H211" s="41">
        <f>SUMIFS('Campaign - Dump'!$T:$T,'Campaign - Dump'!$J:$J,'Portfolio Wise '!$B211,'Campaign - Dump'!$A:$A,'Portfolio Wise '!$A211)</f>
        <v>0</v>
      </c>
      <c r="I211" s="23">
        <f t="shared" si="4"/>
        <v>0</v>
      </c>
      <c r="J211" s="36">
        <f>SUMIFS('Campaign - Dump'!$U:$U,'Campaign - Dump'!$J:$J,'Portfolio Wise '!$B211,'Campaign - Dump'!$A:$A,'Portfolio Wise '!$A211)</f>
        <v>0</v>
      </c>
      <c r="K211" s="23">
        <f t="shared" si="5"/>
        <v>0</v>
      </c>
      <c r="L211" s="38">
        <f t="shared" si="6"/>
        <v>0</v>
      </c>
      <c r="M211" s="41">
        <f t="shared" si="7"/>
        <v>0</v>
      </c>
      <c r="N211" s="13">
        <f t="shared" si="297"/>
        <v>14</v>
      </c>
      <c r="O211" s="36">
        <f t="shared" si="298"/>
        <v>318220.339</v>
      </c>
      <c r="P211" s="41">
        <f t="shared" si="8"/>
        <v>22730.02421</v>
      </c>
      <c r="Q211" s="13">
        <f>SUMIFS('Business - Dump'!$W:$W,'Business - Dump'!$B:$B,'Portfolio Wise '!$B211,'Business - Dump'!$A:$A,'Portfolio Wise '!$A211)</f>
        <v>14</v>
      </c>
      <c r="R211" s="36">
        <f>SUMIFS('Business - Dump'!$U:$U,'Business - Dump'!$B:$B,'Portfolio Wise '!$B211,'Business - Dump'!$A:$A,'Portfolio Wise '!$A211)/1.18</f>
        <v>318220.339</v>
      </c>
      <c r="S211" s="41">
        <f t="shared" si="9"/>
        <v>22730.02421</v>
      </c>
      <c r="T211" s="23">
        <f t="shared" si="10"/>
        <v>0</v>
      </c>
      <c r="U211" s="38">
        <f t="shared" si="11"/>
        <v>0</v>
      </c>
      <c r="V211" s="41">
        <f>SUMIFS('Business - Dump'!$G:$G,'Business - Dump'!$B:$B,'Portfolio Wise '!$B211,'Business - Dump'!$A:$A,'Portfolio Wise '!$A211)</f>
        <v>1953</v>
      </c>
      <c r="W211" s="23">
        <f t="shared" si="12"/>
        <v>0.007168458781</v>
      </c>
      <c r="X211" s="23">
        <f t="shared" ref="X211:Y211" si="302">IFERROR(N211/Q211,0)</f>
        <v>1</v>
      </c>
      <c r="Y211" s="49">
        <f t="shared" si="302"/>
        <v>1</v>
      </c>
      <c r="Z211" s="49">
        <f t="shared" si="14"/>
        <v>0</v>
      </c>
      <c r="AA211" s="23">
        <f t="shared" si="15"/>
        <v>1</v>
      </c>
      <c r="AB211" s="23">
        <f>IFERROR(AVERAGEIFS('Business - Dump'!$O:$O,'Business - Dump'!$B:$B,'Portfolio Wise '!$B211,'Business - Dump'!$A:$A,'Portfolio Wise '!$A211),0)</f>
        <v>0.8904875</v>
      </c>
      <c r="AC211" s="49">
        <f>F211/SUMIFS('Campaign - Dump'!$Q:$Q,'Campaign - Dump'!$A:$A,'Portfolio Wise '!$A211)</f>
        <v>0</v>
      </c>
      <c r="AD211" s="49">
        <f t="shared" si="16"/>
        <v>0</v>
      </c>
    </row>
    <row r="212" ht="15.75" customHeight="1">
      <c r="A212" s="10" t="s">
        <v>58</v>
      </c>
      <c r="B212" s="19" t="s">
        <v>232</v>
      </c>
      <c r="C212" s="13">
        <f>SUMIFS('Campaign - Dump'!$N:$N,'Campaign - Dump'!$J:$J,'Portfolio Wise '!$B212,'Campaign - Dump'!$A:$A,'Portfolio Wise '!$A212)</f>
        <v>717648</v>
      </c>
      <c r="D212" s="13">
        <f>SUMIFS('Campaign - Dump'!$O:$O,'Campaign - Dump'!$J:$J,'Portfolio Wise '!$B212,'Campaign - Dump'!$A:$A,'Portfolio Wise '!$A212)</f>
        <v>1312</v>
      </c>
      <c r="E212" s="23">
        <f t="shared" si="2"/>
        <v>0.001828194324</v>
      </c>
      <c r="F212" s="36">
        <f>SUMIFS('Campaign - Dump'!$Q:$Q,'Campaign - Dump'!$J:$J,'Portfolio Wise '!$B212,'Campaign - Dump'!$A:$A,'Portfolio Wise '!$A212)</f>
        <v>37881.87</v>
      </c>
      <c r="G212" s="38">
        <f t="shared" si="3"/>
        <v>28.87337652</v>
      </c>
      <c r="H212" s="41">
        <f>SUMIFS('Campaign - Dump'!$T:$T,'Campaign - Dump'!$J:$J,'Portfolio Wise '!$B212,'Campaign - Dump'!$A:$A,'Portfolio Wise '!$A212)</f>
        <v>7</v>
      </c>
      <c r="I212" s="23">
        <f t="shared" si="4"/>
        <v>0.005335365854</v>
      </c>
      <c r="J212" s="36">
        <f>SUMIFS('Campaign - Dump'!$U:$U,'Campaign - Dump'!$J:$J,'Portfolio Wise '!$B212,'Campaign - Dump'!$A:$A,'Portfolio Wise '!$A212)</f>
        <v>109253.38</v>
      </c>
      <c r="K212" s="23">
        <f t="shared" si="5"/>
        <v>0.3467340782</v>
      </c>
      <c r="L212" s="38">
        <f t="shared" si="6"/>
        <v>2.884054562</v>
      </c>
      <c r="M212" s="41">
        <f t="shared" si="7"/>
        <v>15607.62571</v>
      </c>
      <c r="N212" s="13">
        <f t="shared" si="297"/>
        <v>23</v>
      </c>
      <c r="O212" s="36">
        <f t="shared" si="298"/>
        <v>343250.0098</v>
      </c>
      <c r="P212" s="41">
        <f t="shared" si="8"/>
        <v>14923.91347</v>
      </c>
      <c r="Q212" s="13">
        <f>SUMIFS('Business - Dump'!$W:$W,'Business - Dump'!$B:$B,'Portfolio Wise '!$B212,'Business - Dump'!$A:$A,'Portfolio Wise '!$A212)</f>
        <v>30</v>
      </c>
      <c r="R212" s="36">
        <f>SUMIFS('Business - Dump'!$U:$U,'Business - Dump'!$B:$B,'Portfolio Wise '!$B212,'Business - Dump'!$A:$A,'Portfolio Wise '!$A212)/1.18</f>
        <v>452503.3898</v>
      </c>
      <c r="S212" s="41">
        <f t="shared" si="9"/>
        <v>15083.44633</v>
      </c>
      <c r="T212" s="23">
        <f t="shared" si="10"/>
        <v>0.08371621263</v>
      </c>
      <c r="U212" s="38">
        <f t="shared" si="11"/>
        <v>11.94511754</v>
      </c>
      <c r="V212" s="41">
        <f>SUMIFS('Business - Dump'!$G:$G,'Business - Dump'!$B:$B,'Portfolio Wise '!$B212,'Business - Dump'!$A:$A,'Portfolio Wise '!$A212)</f>
        <v>6229</v>
      </c>
      <c r="W212" s="48">
        <f t="shared" si="12"/>
        <v>0.004816182373</v>
      </c>
      <c r="X212" s="23">
        <f t="shared" ref="X212:Y212" si="303">IFERROR(N212/Q212,0)</f>
        <v>0.7666666667</v>
      </c>
      <c r="Y212" s="49">
        <f t="shared" si="303"/>
        <v>0.758557875</v>
      </c>
      <c r="Z212" s="49">
        <f t="shared" si="14"/>
        <v>0.2333333333</v>
      </c>
      <c r="AA212" s="23">
        <f t="shared" si="15"/>
        <v>0.758557875</v>
      </c>
      <c r="AB212" s="23">
        <f>IFERROR(AVERAGEIFS('Business - Dump'!$O:$O,'Business - Dump'!$B:$B,'Portfolio Wise '!$B212,'Business - Dump'!$A:$A,'Portfolio Wise '!$A212),0)</f>
        <v>0.8799555556</v>
      </c>
      <c r="AC212" s="49">
        <f>F212/SUMIFS('Campaign - Dump'!$Q:$Q,'Campaign - Dump'!$A:$A,'Portfolio Wise '!$A212)</f>
        <v>0.043639173</v>
      </c>
      <c r="AD212" s="49">
        <f t="shared" si="16"/>
        <v>3.285714286</v>
      </c>
    </row>
    <row r="213" ht="15.75" customHeight="1">
      <c r="A213" s="10" t="s">
        <v>58</v>
      </c>
      <c r="B213" s="51" t="s">
        <v>239</v>
      </c>
      <c r="C213" s="13">
        <f>SUMIFS('Campaign - Dump'!$N:$N,'Campaign - Dump'!$J:$J,'Portfolio Wise '!$B213,'Campaign - Dump'!$A:$A,'Portfolio Wise '!$A213)</f>
        <v>0</v>
      </c>
      <c r="D213" s="13">
        <f>SUMIFS('Campaign - Dump'!$O:$O,'Campaign - Dump'!$J:$J,'Portfolio Wise '!$B213,'Campaign - Dump'!$A:$A,'Portfolio Wise '!$A213)</f>
        <v>0</v>
      </c>
      <c r="E213" s="23">
        <f t="shared" si="2"/>
        <v>0</v>
      </c>
      <c r="F213" s="36">
        <f>SUMIFS('Campaign - Dump'!$Q:$Q,'Campaign - Dump'!$J:$J,'Portfolio Wise '!$B213,'Campaign - Dump'!$A:$A,'Portfolio Wise '!$A213)</f>
        <v>0</v>
      </c>
      <c r="G213" s="38">
        <f t="shared" si="3"/>
        <v>0</v>
      </c>
      <c r="H213" s="41">
        <f>SUMIFS('Campaign - Dump'!$T:$T,'Campaign - Dump'!$J:$J,'Portfolio Wise '!$B213,'Campaign - Dump'!$A:$A,'Portfolio Wise '!$A213)</f>
        <v>0</v>
      </c>
      <c r="I213" s="23">
        <f t="shared" si="4"/>
        <v>0</v>
      </c>
      <c r="J213" s="36">
        <f>SUMIFS('Campaign - Dump'!$U:$U,'Campaign - Dump'!$J:$J,'Portfolio Wise '!$B213,'Campaign - Dump'!$A:$A,'Portfolio Wise '!$A213)</f>
        <v>0</v>
      </c>
      <c r="K213" s="23">
        <f t="shared" si="5"/>
        <v>0</v>
      </c>
      <c r="L213" s="38">
        <f t="shared" si="6"/>
        <v>0</v>
      </c>
      <c r="M213" s="41">
        <f t="shared" si="7"/>
        <v>0</v>
      </c>
      <c r="N213" s="13">
        <f t="shared" si="297"/>
        <v>0</v>
      </c>
      <c r="O213" s="36">
        <f t="shared" si="298"/>
        <v>0</v>
      </c>
      <c r="P213" s="41">
        <f t="shared" si="8"/>
        <v>0</v>
      </c>
      <c r="Q213" s="13">
        <f>SUMIFS('Business - Dump'!$W:$W,'Business - Dump'!$B:$B,'Portfolio Wise '!$B213,'Business - Dump'!$A:$A,'Portfolio Wise '!$A213)</f>
        <v>0</v>
      </c>
      <c r="R213" s="36">
        <f>SUMIFS('Business - Dump'!$U:$U,'Business - Dump'!$B:$B,'Portfolio Wise '!$B213,'Business - Dump'!$A:$A,'Portfolio Wise '!$A213)/1.18</f>
        <v>0</v>
      </c>
      <c r="S213" s="41">
        <f t="shared" si="9"/>
        <v>0</v>
      </c>
      <c r="T213" s="23">
        <f t="shared" si="10"/>
        <v>0</v>
      </c>
      <c r="U213" s="38">
        <f t="shared" si="11"/>
        <v>0</v>
      </c>
      <c r="V213" s="41">
        <f>SUMIFS('Business - Dump'!$G:$G,'Business - Dump'!$B:$B,'Portfolio Wise '!$B213,'Business - Dump'!$A:$A,'Portfolio Wise '!$A213)</f>
        <v>0</v>
      </c>
      <c r="W213" s="48">
        <f t="shared" si="12"/>
        <v>0</v>
      </c>
      <c r="X213" s="23">
        <f t="shared" ref="X213:Y213" si="304">IFERROR(N213/Q213,0)</f>
        <v>0</v>
      </c>
      <c r="Y213" s="49">
        <f t="shared" si="304"/>
        <v>0</v>
      </c>
      <c r="Z213" s="49">
        <f t="shared" si="14"/>
        <v>0</v>
      </c>
      <c r="AA213" s="23">
        <f t="shared" si="15"/>
        <v>0</v>
      </c>
      <c r="AB213" s="23">
        <f>IFERROR(AVERAGEIFS('Business - Dump'!$O:$O,'Business - Dump'!$B:$B,'Portfolio Wise '!$B213,'Business - Dump'!$A:$A,'Portfolio Wise '!$A213),0)</f>
        <v>0</v>
      </c>
      <c r="AC213" s="49">
        <f>F213/SUMIFS('Campaign - Dump'!$Q:$Q,'Campaign - Dump'!$A:$A,'Portfolio Wise '!$A213)</f>
        <v>0</v>
      </c>
      <c r="AD213" s="49">
        <f t="shared" si="16"/>
        <v>0</v>
      </c>
    </row>
    <row r="214" ht="15.75" customHeight="1">
      <c r="A214" s="10" t="s">
        <v>58</v>
      </c>
      <c r="B214" s="19" t="s">
        <v>240</v>
      </c>
      <c r="C214" s="13">
        <f>SUMIFS('Campaign - Dump'!$N:$N,'Campaign - Dump'!$J:$J,'Portfolio Wise '!$B214,'Campaign - Dump'!$A:$A,'Portfolio Wise '!$A214)</f>
        <v>0</v>
      </c>
      <c r="D214" s="13">
        <f>SUMIFS('Campaign - Dump'!$O:$O,'Campaign - Dump'!$J:$J,'Portfolio Wise '!$B214,'Campaign - Dump'!$A:$A,'Portfolio Wise '!$A214)</f>
        <v>0</v>
      </c>
      <c r="E214" s="23">
        <f t="shared" si="2"/>
        <v>0</v>
      </c>
      <c r="F214" s="36">
        <f>SUMIFS('Campaign - Dump'!$Q:$Q,'Campaign - Dump'!$J:$J,'Portfolio Wise '!$B214,'Campaign - Dump'!$A:$A,'Portfolio Wise '!$A214)</f>
        <v>0</v>
      </c>
      <c r="G214" s="38">
        <f t="shared" si="3"/>
        <v>0</v>
      </c>
      <c r="H214" s="41">
        <f>SUMIFS('Campaign - Dump'!$T:$T,'Campaign - Dump'!$J:$J,'Portfolio Wise '!$B214,'Campaign - Dump'!$A:$A,'Portfolio Wise '!$A214)</f>
        <v>0</v>
      </c>
      <c r="I214" s="23">
        <f t="shared" si="4"/>
        <v>0</v>
      </c>
      <c r="J214" s="36">
        <f>SUMIFS('Campaign - Dump'!$U:$U,'Campaign - Dump'!$J:$J,'Portfolio Wise '!$B214,'Campaign - Dump'!$A:$A,'Portfolio Wise '!$A214)</f>
        <v>0</v>
      </c>
      <c r="K214" s="23">
        <f t="shared" si="5"/>
        <v>0</v>
      </c>
      <c r="L214" s="38">
        <f t="shared" si="6"/>
        <v>0</v>
      </c>
      <c r="M214" s="41">
        <f t="shared" si="7"/>
        <v>0</v>
      </c>
      <c r="N214" s="13">
        <f t="shared" si="297"/>
        <v>7</v>
      </c>
      <c r="O214" s="36">
        <f t="shared" si="298"/>
        <v>19516.94915</v>
      </c>
      <c r="P214" s="41">
        <f t="shared" si="8"/>
        <v>2788.135593</v>
      </c>
      <c r="Q214" s="13">
        <f>SUMIFS('Business - Dump'!$W:$W,'Business - Dump'!$B:$B,'Portfolio Wise '!$B214,'Business - Dump'!$A:$A,'Portfolio Wise '!$A214)</f>
        <v>7</v>
      </c>
      <c r="R214" s="36">
        <f>SUMIFS('Business - Dump'!$U:$U,'Business - Dump'!$B:$B,'Portfolio Wise '!$B214,'Business - Dump'!$A:$A,'Portfolio Wise '!$A214)/1.18</f>
        <v>19516.94915</v>
      </c>
      <c r="S214" s="41">
        <f t="shared" si="9"/>
        <v>2788.135593</v>
      </c>
      <c r="T214" s="23">
        <f t="shared" si="10"/>
        <v>0</v>
      </c>
      <c r="U214" s="38">
        <f t="shared" si="11"/>
        <v>0</v>
      </c>
      <c r="V214" s="41">
        <f>SUMIFS('Business - Dump'!$G:$G,'Business - Dump'!$B:$B,'Portfolio Wise '!$B214,'Business - Dump'!$A:$A,'Portfolio Wise '!$A214)</f>
        <v>170</v>
      </c>
      <c r="W214" s="48">
        <f t="shared" si="12"/>
        <v>0.04117647059</v>
      </c>
      <c r="X214" s="23">
        <f t="shared" ref="X214:Y214" si="305">IFERROR(N214/Q214,0)</f>
        <v>1</v>
      </c>
      <c r="Y214" s="49">
        <f t="shared" si="305"/>
        <v>1</v>
      </c>
      <c r="Z214" s="49">
        <f t="shared" si="14"/>
        <v>0</v>
      </c>
      <c r="AA214" s="23">
        <f t="shared" si="15"/>
        <v>1</v>
      </c>
      <c r="AB214" s="23">
        <f>IFERROR(AVERAGEIFS('Business - Dump'!$O:$O,'Business - Dump'!$B:$B,'Portfolio Wise '!$B214,'Business - Dump'!$A:$A,'Portfolio Wise '!$A214),0)</f>
        <v>0.9615</v>
      </c>
      <c r="AC214" s="49">
        <f>F214/SUMIFS('Campaign - Dump'!$Q:$Q,'Campaign - Dump'!$A:$A,'Portfolio Wise '!$A214)</f>
        <v>0</v>
      </c>
      <c r="AD214" s="49">
        <f t="shared" si="16"/>
        <v>0</v>
      </c>
    </row>
    <row r="215" ht="15.75" customHeight="1">
      <c r="A215" s="10" t="s">
        <v>58</v>
      </c>
      <c r="B215" s="10" t="s">
        <v>241</v>
      </c>
      <c r="C215" s="13">
        <f>SUMIFS('Campaign - Dump'!$N:$N,'Campaign - Dump'!$J:$J,'Portfolio Wise '!$B215,'Campaign - Dump'!$A:$A,'Portfolio Wise '!$A215)</f>
        <v>239743</v>
      </c>
      <c r="D215" s="13">
        <f>SUMIFS('Campaign - Dump'!$O:$O,'Campaign - Dump'!$J:$J,'Portfolio Wise '!$B215,'Campaign - Dump'!$A:$A,'Portfolio Wise '!$A215)</f>
        <v>336</v>
      </c>
      <c r="E215" s="23">
        <f t="shared" si="2"/>
        <v>0.001401500774</v>
      </c>
      <c r="F215" s="36">
        <f>SUMIFS('Campaign - Dump'!$Q:$Q,'Campaign - Dump'!$J:$J,'Portfolio Wise '!$B215,'Campaign - Dump'!$A:$A,'Portfolio Wise '!$A215)</f>
        <v>3078.43</v>
      </c>
      <c r="G215" s="38">
        <f t="shared" si="3"/>
        <v>9.161994048</v>
      </c>
      <c r="H215" s="41">
        <f>SUMIFS('Campaign - Dump'!$T:$T,'Campaign - Dump'!$J:$J,'Portfolio Wise '!$B215,'Campaign - Dump'!$A:$A,'Portfolio Wise '!$A215)</f>
        <v>2</v>
      </c>
      <c r="I215" s="23">
        <f t="shared" si="4"/>
        <v>0.005952380952</v>
      </c>
      <c r="J215" s="36">
        <f>SUMIFS('Campaign - Dump'!$U:$U,'Campaign - Dump'!$J:$J,'Portfolio Wise '!$B215,'Campaign - Dump'!$A:$A,'Portfolio Wise '!$A215)</f>
        <v>30931.35</v>
      </c>
      <c r="K215" s="23">
        <f t="shared" si="5"/>
        <v>0.09952459236</v>
      </c>
      <c r="L215" s="38">
        <f t="shared" si="6"/>
        <v>10.04776786</v>
      </c>
      <c r="M215" s="41">
        <f t="shared" si="7"/>
        <v>15465.675</v>
      </c>
      <c r="N215" s="13">
        <f t="shared" si="297"/>
        <v>2</v>
      </c>
      <c r="O215" s="36">
        <f t="shared" si="298"/>
        <v>-17628.80763</v>
      </c>
      <c r="P215" s="41">
        <f t="shared" si="8"/>
        <v>-8814.403814</v>
      </c>
      <c r="Q215" s="13">
        <f>SUMIFS('Business - Dump'!$W:$W,'Business - Dump'!$B:$B,'Portfolio Wise '!$B215,'Business - Dump'!$A:$A,'Portfolio Wise '!$A215)</f>
        <v>4</v>
      </c>
      <c r="R215" s="36">
        <f>SUMIFS('Business - Dump'!$U:$U,'Business - Dump'!$B:$B,'Portfolio Wise '!$B215,'Business - Dump'!$A:$A,'Portfolio Wise '!$A215)/1.18</f>
        <v>13302.54237</v>
      </c>
      <c r="S215" s="41">
        <f t="shared" si="9"/>
        <v>3325.635593</v>
      </c>
      <c r="T215" s="23">
        <f t="shared" si="10"/>
        <v>0.2314166656</v>
      </c>
      <c r="U215" s="38">
        <f t="shared" si="11"/>
        <v>4.321209959</v>
      </c>
      <c r="V215" s="41">
        <f>SUMIFS('Business - Dump'!$G:$G,'Business - Dump'!$B:$B,'Portfolio Wise '!$B215,'Business - Dump'!$A:$A,'Portfolio Wise '!$A215)</f>
        <v>724</v>
      </c>
      <c r="W215" s="48">
        <f t="shared" si="12"/>
        <v>0.005524861878</v>
      </c>
      <c r="X215" s="23">
        <f t="shared" ref="X215:Y215" si="306">IFERROR(N215/Q215,0)</f>
        <v>0.5</v>
      </c>
      <c r="Y215" s="49">
        <f t="shared" si="306"/>
        <v>-1.325220934</v>
      </c>
      <c r="Z215" s="49">
        <f t="shared" si="14"/>
        <v>0.5</v>
      </c>
      <c r="AA215" s="23">
        <f t="shared" si="15"/>
        <v>-1.325220934</v>
      </c>
      <c r="AB215" s="23">
        <f>IFERROR(AVERAGEIFS('Business - Dump'!$O:$O,'Business - Dump'!$B:$B,'Portfolio Wise '!$B215,'Business - Dump'!$A:$A,'Portfolio Wise '!$A215),0)</f>
        <v>0.9942</v>
      </c>
      <c r="AC215" s="49">
        <f>F215/SUMIFS('Campaign - Dump'!$Q:$Q,'Campaign - Dump'!$A:$A,'Portfolio Wise '!$A215)</f>
        <v>0.003546291124</v>
      </c>
      <c r="AD215" s="49">
        <f t="shared" si="16"/>
        <v>1</v>
      </c>
    </row>
    <row r="216" ht="15.75" customHeight="1">
      <c r="A216" s="10" t="s">
        <v>58</v>
      </c>
      <c r="B216" s="19" t="s">
        <v>248</v>
      </c>
      <c r="C216" s="13">
        <f>SUMIFS('Campaign - Dump'!$N:$N,'Campaign - Dump'!$J:$J,'Portfolio Wise '!$B216,'Campaign - Dump'!$A:$A,'Portfolio Wise '!$A216)</f>
        <v>0</v>
      </c>
      <c r="D216" s="13">
        <f>SUMIFS('Campaign - Dump'!$O:$O,'Campaign - Dump'!$J:$J,'Portfolio Wise '!$B216,'Campaign - Dump'!$A:$A,'Portfolio Wise '!$A216)</f>
        <v>0</v>
      </c>
      <c r="E216" s="23">
        <f t="shared" si="2"/>
        <v>0</v>
      </c>
      <c r="F216" s="36">
        <f>SUMIFS('Campaign - Dump'!$Q:$Q,'Campaign - Dump'!$J:$J,'Portfolio Wise '!$B216,'Campaign - Dump'!$A:$A,'Portfolio Wise '!$A216)</f>
        <v>0</v>
      </c>
      <c r="G216" s="38">
        <f t="shared" si="3"/>
        <v>0</v>
      </c>
      <c r="H216" s="41">
        <f>SUMIFS('Campaign - Dump'!$T:$T,'Campaign - Dump'!$J:$J,'Portfolio Wise '!$B216,'Campaign - Dump'!$A:$A,'Portfolio Wise '!$A216)</f>
        <v>0</v>
      </c>
      <c r="I216" s="23">
        <f t="shared" si="4"/>
        <v>0</v>
      </c>
      <c r="J216" s="36">
        <f>SUMIFS('Campaign - Dump'!$U:$U,'Campaign - Dump'!$J:$J,'Portfolio Wise '!$B216,'Campaign - Dump'!$A:$A,'Portfolio Wise '!$A216)</f>
        <v>0</v>
      </c>
      <c r="K216" s="23">
        <f t="shared" si="5"/>
        <v>0</v>
      </c>
      <c r="L216" s="38">
        <f t="shared" si="6"/>
        <v>0</v>
      </c>
      <c r="M216" s="41">
        <f t="shared" si="7"/>
        <v>0</v>
      </c>
      <c r="N216" s="13">
        <f t="shared" si="297"/>
        <v>0</v>
      </c>
      <c r="O216" s="36">
        <f t="shared" si="298"/>
        <v>0</v>
      </c>
      <c r="P216" s="41">
        <f t="shared" si="8"/>
        <v>0</v>
      </c>
      <c r="Q216" s="13">
        <f>SUMIFS('Business - Dump'!$W:$W,'Business - Dump'!$B:$B,'Portfolio Wise '!$B216,'Business - Dump'!$A:$A,'Portfolio Wise '!$A216)</f>
        <v>0</v>
      </c>
      <c r="R216" s="36">
        <f>SUMIFS('Business - Dump'!$U:$U,'Business - Dump'!$B:$B,'Portfolio Wise '!$B216,'Business - Dump'!$A:$A,'Portfolio Wise '!$A216)/1.18</f>
        <v>0</v>
      </c>
      <c r="S216" s="41">
        <f t="shared" si="9"/>
        <v>0</v>
      </c>
      <c r="T216" s="23">
        <f t="shared" si="10"/>
        <v>0</v>
      </c>
      <c r="U216" s="38">
        <f t="shared" si="11"/>
        <v>0</v>
      </c>
      <c r="V216" s="41">
        <f>SUMIFS('Business - Dump'!$G:$G,'Business - Dump'!$B:$B,'Portfolio Wise '!$B216,'Business - Dump'!$A:$A,'Portfolio Wise '!$A216)</f>
        <v>0</v>
      </c>
      <c r="W216" s="48">
        <f t="shared" si="12"/>
        <v>0</v>
      </c>
      <c r="X216" s="23">
        <f t="shared" ref="X216:Y216" si="307">IFERROR(N216/Q216,0)</f>
        <v>0</v>
      </c>
      <c r="Y216" s="49">
        <f t="shared" si="307"/>
        <v>0</v>
      </c>
      <c r="Z216" s="49">
        <f t="shared" si="14"/>
        <v>0</v>
      </c>
      <c r="AA216" s="23">
        <f t="shared" si="15"/>
        <v>0</v>
      </c>
      <c r="AB216" s="23">
        <f>IFERROR(AVERAGEIFS('Business - Dump'!$O:$O,'Business - Dump'!$B:$B,'Portfolio Wise '!$B216,'Business - Dump'!$A:$A,'Portfolio Wise '!$A216),0)</f>
        <v>0</v>
      </c>
      <c r="AC216" s="49">
        <f>F216/SUMIFS('Campaign - Dump'!$Q:$Q,'Campaign - Dump'!$A:$A,'Portfolio Wise '!$A216)</f>
        <v>0</v>
      </c>
      <c r="AD216" s="49">
        <f t="shared" si="16"/>
        <v>0</v>
      </c>
    </row>
    <row r="217" ht="15.75" customHeight="1">
      <c r="A217" s="10" t="s">
        <v>58</v>
      </c>
      <c r="B217" s="126" t="s">
        <v>819</v>
      </c>
      <c r="C217" s="127">
        <f t="shared" ref="C217:D217" si="308">SUM(C194:C216)</f>
        <v>8195146</v>
      </c>
      <c r="D217" s="127">
        <f t="shared" si="308"/>
        <v>29499</v>
      </c>
      <c r="E217" s="62">
        <f t="shared" si="2"/>
        <v>0.003599569794</v>
      </c>
      <c r="F217" s="128">
        <f>SUM(F194:F216)</f>
        <v>868544.49</v>
      </c>
      <c r="G217" s="129">
        <f t="shared" si="3"/>
        <v>29.44318418</v>
      </c>
      <c r="H217" s="130">
        <f>SUM(H194:H216)</f>
        <v>279</v>
      </c>
      <c r="I217" s="62">
        <f t="shared" si="4"/>
        <v>0.009457947727</v>
      </c>
      <c r="J217" s="128">
        <f>SUM(J194:J216)</f>
        <v>5182218.64</v>
      </c>
      <c r="K217" s="62">
        <f t="shared" si="5"/>
        <v>0.1676008965</v>
      </c>
      <c r="L217" s="129">
        <f t="shared" si="6"/>
        <v>5.966555196</v>
      </c>
      <c r="M217" s="130">
        <f t="shared" si="7"/>
        <v>18574.26036</v>
      </c>
      <c r="N217" s="127">
        <f t="shared" ref="N217:O217" si="309">SUM(N194:N216)</f>
        <v>326</v>
      </c>
      <c r="O217" s="128">
        <f t="shared" si="309"/>
        <v>6179579.382</v>
      </c>
      <c r="P217" s="130">
        <f t="shared" si="8"/>
        <v>18955.76498</v>
      </c>
      <c r="Q217" s="127">
        <f t="shared" ref="Q217:R217" si="310">SUM(Q194:Q216)</f>
        <v>435</v>
      </c>
      <c r="R217" s="128">
        <f t="shared" si="310"/>
        <v>7847277.712</v>
      </c>
      <c r="S217" s="130">
        <f t="shared" si="9"/>
        <v>18039.71888</v>
      </c>
      <c r="T217" s="62">
        <f t="shared" si="10"/>
        <v>0.1106809931</v>
      </c>
      <c r="U217" s="129">
        <f t="shared" si="11"/>
        <v>9.034974952</v>
      </c>
      <c r="V217" s="130">
        <f>SUM(V194:V216)</f>
        <v>70309</v>
      </c>
      <c r="W217" s="131">
        <f t="shared" si="12"/>
        <v>0.006186974641</v>
      </c>
      <c r="X217" s="62">
        <f t="shared" ref="X217:Y217" si="311">IFERROR(N217/Q217,0)</f>
        <v>0.7494252874</v>
      </c>
      <c r="Y217" s="132">
        <f t="shared" si="311"/>
        <v>0.7874806536</v>
      </c>
      <c r="Z217" s="132">
        <f t="shared" si="14"/>
        <v>0.6413793103</v>
      </c>
      <c r="AA217" s="62">
        <f t="shared" si="15"/>
        <v>0.7874806536</v>
      </c>
      <c r="AB217" s="62">
        <f>IFERROR(AVERAGEIFS('Business - Dump'!$O:$O,'Business - Dump'!$B:$B,'Portfolio Wise '!$B217,'Business - Dump'!$A:$A,'Portfolio Wise '!$A217),0)</f>
        <v>0</v>
      </c>
      <c r="AC217" s="132">
        <f>F217/SUMIFS('Campaign - Dump'!$Q:$Q,'Campaign - Dump'!$A:$A,'Portfolio Wise '!$A217)</f>
        <v>1.000546258</v>
      </c>
      <c r="AD217" s="132">
        <f t="shared" si="16"/>
        <v>1.168458781</v>
      </c>
    </row>
    <row r="218" ht="15.75" customHeight="1">
      <c r="A218" s="10" t="s">
        <v>61</v>
      </c>
      <c r="B218" s="33" t="s">
        <v>90</v>
      </c>
      <c r="C218" s="13">
        <f>SUMIFS('Campaign - Dump'!$N:$N,'Campaign - Dump'!$J:$J,'Portfolio Wise '!$B218,'Campaign - Dump'!$A:$A,'Portfolio Wise '!$A218)</f>
        <v>1413305</v>
      </c>
      <c r="D218" s="13">
        <f>SUMIFS('Campaign - Dump'!$O:$O,'Campaign - Dump'!$J:$J,'Portfolio Wise '!$B218,'Campaign - Dump'!$A:$A,'Portfolio Wise '!$A218)</f>
        <v>3918</v>
      </c>
      <c r="E218" s="23">
        <f t="shared" si="2"/>
        <v>0.002772225387</v>
      </c>
      <c r="F218" s="36">
        <f>SUMIFS('Campaign - Dump'!$Q:$Q,'Campaign - Dump'!$J:$J,'Portfolio Wise '!$B218,'Campaign - Dump'!$A:$A,'Portfolio Wise '!$A218)</f>
        <v>30952.69</v>
      </c>
      <c r="G218" s="38">
        <f t="shared" si="3"/>
        <v>7.900125064</v>
      </c>
      <c r="H218" s="41">
        <f>SUMIFS('Campaign - Dump'!$T:$T,'Campaign - Dump'!$J:$J,'Portfolio Wise '!$B218,'Campaign - Dump'!$A:$A,'Portfolio Wise '!$A218)</f>
        <v>3</v>
      </c>
      <c r="I218" s="23">
        <f t="shared" si="4"/>
        <v>0.0007656967841</v>
      </c>
      <c r="J218" s="36">
        <f>SUMIFS('Campaign - Dump'!$U:$U,'Campaign - Dump'!$J:$J,'Portfolio Wise '!$B218,'Campaign - Dump'!$A:$A,'Portfolio Wise '!$A218)</f>
        <v>59279.67</v>
      </c>
      <c r="K218" s="23">
        <f t="shared" si="5"/>
        <v>0.5221468001</v>
      </c>
      <c r="L218" s="38">
        <f t="shared" si="6"/>
        <v>1.915170216</v>
      </c>
      <c r="M218" s="41">
        <f t="shared" si="7"/>
        <v>19759.89</v>
      </c>
      <c r="N218" s="13">
        <v>0.0</v>
      </c>
      <c r="O218" s="36">
        <v>0.0</v>
      </c>
      <c r="P218" s="41">
        <f t="shared" si="8"/>
        <v>0</v>
      </c>
      <c r="Q218" s="13">
        <f>SUMIFS('Business - Dump'!$W:$W,'Business - Dump'!$B:$B,'Portfolio Wise '!$B218,'Business - Dump'!$A:$A,'Portfolio Wise '!$A218)</f>
        <v>0</v>
      </c>
      <c r="R218" s="36">
        <f>SUMIFS('Business - Dump'!$U:$U,'Business - Dump'!$B:$B,'Portfolio Wise '!$B218,'Business - Dump'!$A:$A,'Portfolio Wise '!$A218)/1.18</f>
        <v>0</v>
      </c>
      <c r="S218" s="41">
        <f t="shared" si="9"/>
        <v>0</v>
      </c>
      <c r="T218" s="23">
        <f t="shared" si="10"/>
        <v>0</v>
      </c>
      <c r="U218" s="38">
        <f t="shared" si="11"/>
        <v>0</v>
      </c>
      <c r="V218" s="41">
        <f>SUMIFS('Business - Dump'!$G:$G,'Business - Dump'!$B:$B,'Portfolio Wise '!$B218,'Business - Dump'!$A:$A,'Portfolio Wise '!$A218)</f>
        <v>0</v>
      </c>
      <c r="W218" s="48">
        <f t="shared" si="12"/>
        <v>0</v>
      </c>
      <c r="X218" s="23">
        <f t="shared" ref="X218:Y218" si="312">IFERROR(N218/Q218,0)</f>
        <v>0</v>
      </c>
      <c r="Y218" s="49">
        <f t="shared" si="312"/>
        <v>0</v>
      </c>
      <c r="Z218" s="49">
        <f t="shared" si="14"/>
        <v>0</v>
      </c>
      <c r="AA218" s="23">
        <f t="shared" si="15"/>
        <v>0</v>
      </c>
      <c r="AB218" s="23">
        <f>IFERROR(AVERAGEIFS('Business - Dump'!$O:$O,'Business - Dump'!$B:$B,'Portfolio Wise '!$B218,'Business - Dump'!$A:$A,'Portfolio Wise '!$A218),0)</f>
        <v>0</v>
      </c>
      <c r="AC218" s="49">
        <f>F218/SUMIFS('Campaign - Dump'!$Q:$Q,'Campaign - Dump'!$A:$A,'Portfolio Wise '!$A218)</f>
        <v>0.03722173862</v>
      </c>
      <c r="AD218" s="49">
        <f t="shared" si="16"/>
        <v>0</v>
      </c>
    </row>
    <row r="219" ht="15.75" customHeight="1">
      <c r="A219" s="10" t="s">
        <v>61</v>
      </c>
      <c r="B219" s="51" t="s">
        <v>110</v>
      </c>
      <c r="C219" s="13">
        <f>SUMIFS('Campaign - Dump'!$N:$N,'Campaign - Dump'!$J:$J,'Portfolio Wise '!$B219,'Campaign - Dump'!$A:$A,'Portfolio Wise '!$A219)</f>
        <v>0</v>
      </c>
      <c r="D219" s="13">
        <f>SUMIFS('Campaign - Dump'!$O:$O,'Campaign - Dump'!$J:$J,'Portfolio Wise '!$B219,'Campaign - Dump'!$A:$A,'Portfolio Wise '!$A219)</f>
        <v>0</v>
      </c>
      <c r="E219" s="23">
        <f t="shared" si="2"/>
        <v>0</v>
      </c>
      <c r="F219" s="36">
        <f>SUMIFS('Campaign - Dump'!$Q:$Q,'Campaign - Dump'!$J:$J,'Portfolio Wise '!$B219,'Campaign - Dump'!$A:$A,'Portfolio Wise '!$A219)</f>
        <v>0</v>
      </c>
      <c r="G219" s="38">
        <f t="shared" si="3"/>
        <v>0</v>
      </c>
      <c r="H219" s="41">
        <f>SUMIFS('Campaign - Dump'!$T:$T,'Campaign - Dump'!$J:$J,'Portfolio Wise '!$B219,'Campaign - Dump'!$A:$A,'Portfolio Wise '!$A219)</f>
        <v>0</v>
      </c>
      <c r="I219" s="23">
        <f t="shared" si="4"/>
        <v>0</v>
      </c>
      <c r="J219" s="36">
        <f>SUMIFS('Campaign - Dump'!$U:$U,'Campaign - Dump'!$J:$J,'Portfolio Wise '!$B219,'Campaign - Dump'!$A:$A,'Portfolio Wise '!$A219)</f>
        <v>0</v>
      </c>
      <c r="K219" s="23">
        <f t="shared" si="5"/>
        <v>0</v>
      </c>
      <c r="L219" s="38">
        <f t="shared" si="6"/>
        <v>0</v>
      </c>
      <c r="M219" s="41">
        <f t="shared" si="7"/>
        <v>0</v>
      </c>
      <c r="N219" s="13">
        <f t="shared" ref="N219:N220" si="314">IFERROR(Q219-H219,0)</f>
        <v>0</v>
      </c>
      <c r="O219" s="36">
        <f t="shared" ref="O219:O220" si="315">IFERROR(R219-J219,0)</f>
        <v>0</v>
      </c>
      <c r="P219" s="41">
        <f t="shared" si="8"/>
        <v>0</v>
      </c>
      <c r="Q219" s="13">
        <f>SUMIFS('Business - Dump'!$W:$W,'Business - Dump'!$B:$B,'Portfolio Wise '!$B219,'Business - Dump'!$A:$A,'Portfolio Wise '!$A219)</f>
        <v>0</v>
      </c>
      <c r="R219" s="36">
        <f>SUMIFS('Business - Dump'!$U:$U,'Business - Dump'!$B:$B,'Portfolio Wise '!$B219,'Business - Dump'!$A:$A,'Portfolio Wise '!$A219)/1.18</f>
        <v>0</v>
      </c>
      <c r="S219" s="41">
        <f t="shared" si="9"/>
        <v>0</v>
      </c>
      <c r="T219" s="23">
        <f t="shared" si="10"/>
        <v>0</v>
      </c>
      <c r="U219" s="38">
        <f t="shared" si="11"/>
        <v>0</v>
      </c>
      <c r="V219" s="41">
        <f>SUMIFS('Business - Dump'!$G:$G,'Business - Dump'!$B:$B,'Portfolio Wise '!$B219,'Business - Dump'!$A:$A,'Portfolio Wise '!$A219)</f>
        <v>0</v>
      </c>
      <c r="W219" s="48">
        <f t="shared" si="12"/>
        <v>0</v>
      </c>
      <c r="X219" s="23">
        <f t="shared" ref="X219:Y219" si="313">IFERROR(N219/Q219,0)</f>
        <v>0</v>
      </c>
      <c r="Y219" s="49">
        <f t="shared" si="313"/>
        <v>0</v>
      </c>
      <c r="Z219" s="49">
        <f t="shared" si="14"/>
        <v>0</v>
      </c>
      <c r="AA219" s="23">
        <f t="shared" si="15"/>
        <v>0</v>
      </c>
      <c r="AB219" s="23">
        <f>IFERROR(AVERAGEIFS('Business - Dump'!$O:$O,'Business - Dump'!$B:$B,'Portfolio Wise '!$B219,'Business - Dump'!$A:$A,'Portfolio Wise '!$A219),0)</f>
        <v>0</v>
      </c>
      <c r="AC219" s="49">
        <f>F219/SUMIFS('Campaign - Dump'!$Q:$Q,'Campaign - Dump'!$A:$A,'Portfolio Wise '!$A219)</f>
        <v>0</v>
      </c>
      <c r="AD219" s="49">
        <f t="shared" si="16"/>
        <v>0</v>
      </c>
    </row>
    <row r="220" ht="15.75" customHeight="1">
      <c r="A220" s="10" t="s">
        <v>61</v>
      </c>
      <c r="B220" s="51" t="s">
        <v>119</v>
      </c>
      <c r="C220" s="13">
        <f>SUMIFS('Campaign - Dump'!$N:$N,'Campaign - Dump'!$J:$J,'Portfolio Wise '!$B220,'Campaign - Dump'!$A:$A,'Portfolio Wise '!$A220)</f>
        <v>0</v>
      </c>
      <c r="D220" s="13">
        <f>SUMIFS('Campaign - Dump'!$O:$O,'Campaign - Dump'!$J:$J,'Portfolio Wise '!$B220,'Campaign - Dump'!$A:$A,'Portfolio Wise '!$A220)</f>
        <v>0</v>
      </c>
      <c r="E220" s="23">
        <f t="shared" si="2"/>
        <v>0</v>
      </c>
      <c r="F220" s="36">
        <f>SUMIFS('Campaign - Dump'!$Q:$Q,'Campaign - Dump'!$J:$J,'Portfolio Wise '!$B220,'Campaign - Dump'!$A:$A,'Portfolio Wise '!$A220)</f>
        <v>0</v>
      </c>
      <c r="G220" s="38">
        <f t="shared" si="3"/>
        <v>0</v>
      </c>
      <c r="H220" s="41">
        <f>SUMIFS('Campaign - Dump'!$T:$T,'Campaign - Dump'!$J:$J,'Portfolio Wise '!$B220,'Campaign - Dump'!$A:$A,'Portfolio Wise '!$A220)</f>
        <v>0</v>
      </c>
      <c r="I220" s="23">
        <f t="shared" si="4"/>
        <v>0</v>
      </c>
      <c r="J220" s="36">
        <f>SUMIFS('Campaign - Dump'!$U:$U,'Campaign - Dump'!$J:$J,'Portfolio Wise '!$B220,'Campaign - Dump'!$A:$A,'Portfolio Wise '!$A220)</f>
        <v>0</v>
      </c>
      <c r="K220" s="23">
        <f t="shared" si="5"/>
        <v>0</v>
      </c>
      <c r="L220" s="38">
        <f t="shared" si="6"/>
        <v>0</v>
      </c>
      <c r="M220" s="41">
        <f t="shared" si="7"/>
        <v>0</v>
      </c>
      <c r="N220" s="13">
        <f t="shared" si="314"/>
        <v>0</v>
      </c>
      <c r="O220" s="36">
        <f t="shared" si="315"/>
        <v>0</v>
      </c>
      <c r="P220" s="41">
        <f t="shared" si="8"/>
        <v>0</v>
      </c>
      <c r="Q220" s="13">
        <f>SUMIFS('Business - Dump'!$W:$W,'Business - Dump'!$B:$B,'Portfolio Wise '!$B220,'Business - Dump'!$A:$A,'Portfolio Wise '!$A220)</f>
        <v>0</v>
      </c>
      <c r="R220" s="36">
        <f>SUMIFS('Business - Dump'!$U:$U,'Business - Dump'!$B:$B,'Portfolio Wise '!$B220,'Business - Dump'!$A:$A,'Portfolio Wise '!$A220)/1.18</f>
        <v>0</v>
      </c>
      <c r="S220" s="41">
        <f t="shared" si="9"/>
        <v>0</v>
      </c>
      <c r="T220" s="23">
        <f t="shared" si="10"/>
        <v>0</v>
      </c>
      <c r="U220" s="38">
        <f t="shared" si="11"/>
        <v>0</v>
      </c>
      <c r="V220" s="41">
        <f>SUMIFS('Business - Dump'!$G:$G,'Business - Dump'!$B:$B,'Portfolio Wise '!$B220,'Business - Dump'!$A:$A,'Portfolio Wise '!$A220)</f>
        <v>1769</v>
      </c>
      <c r="W220" s="48">
        <f t="shared" si="12"/>
        <v>0</v>
      </c>
      <c r="X220" s="23">
        <f t="shared" ref="X220:Y220" si="316">IFERROR(N220/Q220,0)</f>
        <v>0</v>
      </c>
      <c r="Y220" s="49">
        <f t="shared" si="316"/>
        <v>0</v>
      </c>
      <c r="Z220" s="49">
        <f t="shared" si="14"/>
        <v>0</v>
      </c>
      <c r="AA220" s="23">
        <f t="shared" si="15"/>
        <v>0</v>
      </c>
      <c r="AB220" s="23">
        <f>IFERROR(AVERAGEIFS('Business - Dump'!$O:$O,'Business - Dump'!$B:$B,'Portfolio Wise '!$B220,'Business - Dump'!$A:$A,'Portfolio Wise '!$A220),0)</f>
        <v>0.8130714286</v>
      </c>
      <c r="AC220" s="49">
        <f>F220/SUMIFS('Campaign - Dump'!$Q:$Q,'Campaign - Dump'!$A:$A,'Portfolio Wise '!$A220)</f>
        <v>0</v>
      </c>
      <c r="AD220" s="49">
        <f t="shared" si="16"/>
        <v>0</v>
      </c>
    </row>
    <row r="221" ht="15.75" customHeight="1">
      <c r="A221" s="10" t="s">
        <v>61</v>
      </c>
      <c r="B221" s="19" t="s">
        <v>128</v>
      </c>
      <c r="C221" s="13">
        <f>SUMIFS('Campaign - Dump'!$N:$N,'Campaign - Dump'!$J:$J,'Portfolio Wise '!$B221,'Campaign - Dump'!$A:$A,'Portfolio Wise '!$A221)</f>
        <v>990675</v>
      </c>
      <c r="D221" s="13">
        <f>SUMIFS('Campaign - Dump'!$O:$O,'Campaign - Dump'!$J:$J,'Portfolio Wise '!$B221,'Campaign - Dump'!$A:$A,'Portfolio Wise '!$A221)</f>
        <v>3772</v>
      </c>
      <c r="E221" s="23">
        <f t="shared" si="2"/>
        <v>0.003807504984</v>
      </c>
      <c r="F221" s="36">
        <f>SUMIFS('Campaign - Dump'!$Q:$Q,'Campaign - Dump'!$J:$J,'Portfolio Wise '!$B221,'Campaign - Dump'!$A:$A,'Portfolio Wise '!$A221)</f>
        <v>128312.44</v>
      </c>
      <c r="G221" s="38">
        <f t="shared" si="3"/>
        <v>34.01708378</v>
      </c>
      <c r="H221" s="41">
        <f>SUMIFS('Campaign - Dump'!$T:$T,'Campaign - Dump'!$J:$J,'Portfolio Wise '!$B221,'Campaign - Dump'!$A:$A,'Portfolio Wise '!$A221)</f>
        <v>74</v>
      </c>
      <c r="I221" s="23">
        <f t="shared" si="4"/>
        <v>0.01961823966</v>
      </c>
      <c r="J221" s="36">
        <f>SUMIFS('Campaign - Dump'!$U:$U,'Campaign - Dump'!$J:$J,'Portfolio Wise '!$B221,'Campaign - Dump'!$A:$A,'Portfolio Wise '!$A221)</f>
        <v>1651214.46</v>
      </c>
      <c r="K221" s="23">
        <f t="shared" si="5"/>
        <v>0.0777079193</v>
      </c>
      <c r="L221" s="38">
        <f t="shared" si="6"/>
        <v>12.86870127</v>
      </c>
      <c r="M221" s="41">
        <f t="shared" si="7"/>
        <v>22313.70892</v>
      </c>
      <c r="N221" s="13">
        <v>0.0</v>
      </c>
      <c r="O221" s="36">
        <v>0.0</v>
      </c>
      <c r="P221" s="41">
        <f t="shared" si="8"/>
        <v>0</v>
      </c>
      <c r="Q221" s="13">
        <f>SUMIFS('Business - Dump'!$W:$W,'Business - Dump'!$B:$B,'Portfolio Wise '!$B221,'Business - Dump'!$A:$A,'Portfolio Wise '!$A221)</f>
        <v>0</v>
      </c>
      <c r="R221" s="36">
        <f>SUMIFS('Business - Dump'!$U:$U,'Business - Dump'!$B:$B,'Portfolio Wise '!$B221,'Business - Dump'!$A:$A,'Portfolio Wise '!$A221)/1.18</f>
        <v>0</v>
      </c>
      <c r="S221" s="41">
        <f t="shared" si="9"/>
        <v>0</v>
      </c>
      <c r="T221" s="23">
        <f t="shared" si="10"/>
        <v>0</v>
      </c>
      <c r="U221" s="38">
        <f t="shared" si="11"/>
        <v>0</v>
      </c>
      <c r="V221" s="41">
        <f>SUMIFS('Business - Dump'!$G:$G,'Business - Dump'!$B:$B,'Portfolio Wise '!$B221,'Business - Dump'!$A:$A,'Portfolio Wise '!$A221)</f>
        <v>0</v>
      </c>
      <c r="W221" s="48">
        <f t="shared" si="12"/>
        <v>0</v>
      </c>
      <c r="X221" s="23">
        <f t="shared" ref="X221:Y221" si="317">IFERROR(N221/Q221,0)</f>
        <v>0</v>
      </c>
      <c r="Y221" s="49">
        <f t="shared" si="317"/>
        <v>0</v>
      </c>
      <c r="Z221" s="49">
        <f t="shared" si="14"/>
        <v>0</v>
      </c>
      <c r="AA221" s="23">
        <f t="shared" si="15"/>
        <v>0</v>
      </c>
      <c r="AB221" s="23">
        <f>IFERROR(AVERAGEIFS('Business - Dump'!$O:$O,'Business - Dump'!$B:$B,'Portfolio Wise '!$B221,'Business - Dump'!$A:$A,'Portfolio Wise '!$A221),0)</f>
        <v>0</v>
      </c>
      <c r="AC221" s="49">
        <f>F221/SUMIFS('Campaign - Dump'!$Q:$Q,'Campaign - Dump'!$A:$A,'Portfolio Wise '!$A221)</f>
        <v>0.1543003889</v>
      </c>
      <c r="AD221" s="49">
        <f t="shared" si="16"/>
        <v>0</v>
      </c>
    </row>
    <row r="222" ht="15.75" customHeight="1">
      <c r="A222" s="10" t="s">
        <v>61</v>
      </c>
      <c r="B222" s="19" t="s">
        <v>134</v>
      </c>
      <c r="C222" s="13">
        <f>SUMIFS('Campaign - Dump'!$N:$N,'Campaign - Dump'!$J:$J,'Portfolio Wise '!$B222,'Campaign - Dump'!$A:$A,'Portfolio Wise '!$A222)</f>
        <v>1607405</v>
      </c>
      <c r="D222" s="13">
        <f>SUMIFS('Campaign - Dump'!$O:$O,'Campaign - Dump'!$J:$J,'Portfolio Wise '!$B222,'Campaign - Dump'!$A:$A,'Portfolio Wise '!$A222)</f>
        <v>11257</v>
      </c>
      <c r="E222" s="23">
        <f t="shared" si="2"/>
        <v>0.007003213254</v>
      </c>
      <c r="F222" s="36">
        <f>SUMIFS('Campaign - Dump'!$Q:$Q,'Campaign - Dump'!$J:$J,'Portfolio Wise '!$B222,'Campaign - Dump'!$A:$A,'Portfolio Wise '!$A222)</f>
        <v>338598.31</v>
      </c>
      <c r="G222" s="38">
        <f t="shared" si="3"/>
        <v>30.07891179</v>
      </c>
      <c r="H222" s="41">
        <f>SUMIFS('Campaign - Dump'!$T:$T,'Campaign - Dump'!$J:$J,'Portfolio Wise '!$B222,'Campaign - Dump'!$A:$A,'Portfolio Wise '!$A222)</f>
        <v>64</v>
      </c>
      <c r="I222" s="23">
        <f t="shared" si="4"/>
        <v>0.005685351337</v>
      </c>
      <c r="J222" s="36">
        <f>SUMIFS('Campaign - Dump'!$U:$U,'Campaign - Dump'!$J:$J,'Portfolio Wise '!$B222,'Campaign - Dump'!$A:$A,'Portfolio Wise '!$A222)</f>
        <v>1154036.5</v>
      </c>
      <c r="K222" s="23">
        <f t="shared" si="5"/>
        <v>0.2934034669</v>
      </c>
      <c r="L222" s="38">
        <f t="shared" si="6"/>
        <v>3.408276019</v>
      </c>
      <c r="M222" s="41">
        <f t="shared" si="7"/>
        <v>18031.82031</v>
      </c>
      <c r="N222" s="13">
        <f t="shared" ref="N222:N229" si="319">IFERROR(Q222-H222,0)</f>
        <v>59</v>
      </c>
      <c r="O222" s="36">
        <f t="shared" ref="O222:O229" si="320">IFERROR(R222-J222,0)</f>
        <v>1139279.907</v>
      </c>
      <c r="P222" s="41">
        <f t="shared" si="8"/>
        <v>19309.82893</v>
      </c>
      <c r="Q222" s="13">
        <f>SUMIFS('Business - Dump'!$W:$W,'Business - Dump'!$B:$B,'Portfolio Wise '!$B222,'Business - Dump'!$A:$A,'Portfolio Wise '!$A222)</f>
        <v>123</v>
      </c>
      <c r="R222" s="36">
        <f>SUMIFS('Business - Dump'!$U:$U,'Business - Dump'!$B:$B,'Portfolio Wise '!$B222,'Business - Dump'!$A:$A,'Portfolio Wise '!$A222)/1.18</f>
        <v>2293316.407</v>
      </c>
      <c r="S222" s="41">
        <f t="shared" si="9"/>
        <v>18644.84884</v>
      </c>
      <c r="T222" s="23">
        <f t="shared" si="10"/>
        <v>0.1476457017</v>
      </c>
      <c r="U222" s="38">
        <f t="shared" si="11"/>
        <v>6.772970623</v>
      </c>
      <c r="V222" s="41">
        <f>SUMIFS('Business - Dump'!$G:$G,'Business - Dump'!$B:$B,'Portfolio Wise '!$B222,'Business - Dump'!$A:$A,'Portfolio Wise '!$A222)</f>
        <v>26171</v>
      </c>
      <c r="W222" s="23">
        <f t="shared" si="12"/>
        <v>0.004699858622</v>
      </c>
      <c r="X222" s="23">
        <f t="shared" ref="X222:Y222" si="318">IFERROR(N222/Q222,0)</f>
        <v>0.4796747967</v>
      </c>
      <c r="Y222" s="49">
        <f t="shared" si="318"/>
        <v>0.4967826958</v>
      </c>
      <c r="Z222" s="49">
        <f t="shared" si="14"/>
        <v>0.5203252033</v>
      </c>
      <c r="AA222" s="23">
        <f t="shared" si="15"/>
        <v>0.4967826958</v>
      </c>
      <c r="AB222" s="23">
        <f>IFERROR(AVERAGEIFS('Business - Dump'!$O:$O,'Business - Dump'!$B:$B,'Portfolio Wise '!$B222,'Business - Dump'!$A:$A,'Portfolio Wise '!$A222),0)</f>
        <v>0.8796</v>
      </c>
      <c r="AC222" s="49">
        <f>F222/SUMIFS('Campaign - Dump'!$Q:$Q,'Campaign - Dump'!$A:$A,'Portfolio Wise '!$A222)</f>
        <v>0.407176817</v>
      </c>
      <c r="AD222" s="49">
        <f t="shared" si="16"/>
        <v>0.921875</v>
      </c>
    </row>
    <row r="223" ht="15.75" customHeight="1">
      <c r="A223" s="10" t="s">
        <v>61</v>
      </c>
      <c r="B223" s="19" t="s">
        <v>140</v>
      </c>
      <c r="C223" s="13">
        <f>SUMIFS('Campaign - Dump'!$N:$N,'Campaign - Dump'!$J:$J,'Portfolio Wise '!$B223,'Campaign - Dump'!$A:$A,'Portfolio Wise '!$A223)</f>
        <v>730021</v>
      </c>
      <c r="D223" s="13">
        <f>SUMIFS('Campaign - Dump'!$O:$O,'Campaign - Dump'!$J:$J,'Portfolio Wise '!$B223,'Campaign - Dump'!$A:$A,'Portfolio Wise '!$A223)</f>
        <v>2389</v>
      </c>
      <c r="E223" s="23">
        <f t="shared" si="2"/>
        <v>0.003272508599</v>
      </c>
      <c r="F223" s="36">
        <f>SUMIFS('Campaign - Dump'!$Q:$Q,'Campaign - Dump'!$J:$J,'Portfolio Wise '!$B223,'Campaign - Dump'!$A:$A,'Portfolio Wise '!$A223)</f>
        <v>93072.82</v>
      </c>
      <c r="G223" s="38">
        <f t="shared" si="3"/>
        <v>38.95890331</v>
      </c>
      <c r="H223" s="41">
        <f>SUMIFS('Campaign - Dump'!$T:$T,'Campaign - Dump'!$J:$J,'Portfolio Wise '!$B223,'Campaign - Dump'!$A:$A,'Portfolio Wise '!$A223)</f>
        <v>12</v>
      </c>
      <c r="I223" s="23">
        <f t="shared" si="4"/>
        <v>0.005023022185</v>
      </c>
      <c r="J223" s="36">
        <f>SUMIFS('Campaign - Dump'!$U:$U,'Campaign - Dump'!$J:$J,'Portfolio Wise '!$B223,'Campaign - Dump'!$A:$A,'Portfolio Wise '!$A223)</f>
        <v>300508.48</v>
      </c>
      <c r="K223" s="23">
        <f t="shared" si="5"/>
        <v>0.3097177823</v>
      </c>
      <c r="L223" s="38">
        <f t="shared" si="6"/>
        <v>3.228745836</v>
      </c>
      <c r="M223" s="41">
        <f t="shared" si="7"/>
        <v>25042.37333</v>
      </c>
      <c r="N223" s="13">
        <f t="shared" si="319"/>
        <v>17</v>
      </c>
      <c r="O223" s="36">
        <f t="shared" si="320"/>
        <v>527265.2912</v>
      </c>
      <c r="P223" s="41">
        <f t="shared" si="8"/>
        <v>31015.60536</v>
      </c>
      <c r="Q223" s="13">
        <f>SUMIFS('Business - Dump'!$W:$W,'Business - Dump'!$B:$B,'Portfolio Wise '!$B223,'Business - Dump'!$A:$A,'Portfolio Wise '!$A223)</f>
        <v>29</v>
      </c>
      <c r="R223" s="36">
        <f>SUMIFS('Business - Dump'!$U:$U,'Business - Dump'!$B:$B,'Portfolio Wise '!$B223,'Business - Dump'!$A:$A,'Portfolio Wise '!$A223)/1.18</f>
        <v>827773.7712</v>
      </c>
      <c r="S223" s="41">
        <f t="shared" si="9"/>
        <v>28543.92314</v>
      </c>
      <c r="T223" s="23">
        <f t="shared" si="10"/>
        <v>0.112437508</v>
      </c>
      <c r="U223" s="38">
        <f t="shared" si="11"/>
        <v>8.893829275</v>
      </c>
      <c r="V223" s="41">
        <f>SUMIFS('Business - Dump'!$G:$G,'Business - Dump'!$B:$B,'Portfolio Wise '!$B223,'Business - Dump'!$A:$A,'Portfolio Wise '!$A223)</f>
        <v>8653</v>
      </c>
      <c r="W223" s="23">
        <f t="shared" si="12"/>
        <v>0.003351438807</v>
      </c>
      <c r="X223" s="23">
        <f t="shared" ref="X223:Y223" si="321">IFERROR(N223/Q223,0)</f>
        <v>0.5862068966</v>
      </c>
      <c r="Y223" s="49">
        <f t="shared" si="321"/>
        <v>0.6369678643</v>
      </c>
      <c r="Z223" s="49">
        <f t="shared" si="14"/>
        <v>0.4137931034</v>
      </c>
      <c r="AA223" s="23">
        <f t="shared" si="15"/>
        <v>0.6369678643</v>
      </c>
      <c r="AB223" s="23">
        <f>IFERROR(AVERAGEIFS('Business - Dump'!$O:$O,'Business - Dump'!$B:$B,'Portfolio Wise '!$B223,'Business - Dump'!$A:$A,'Portfolio Wise '!$A223),0)</f>
        <v>0.8600375</v>
      </c>
      <c r="AC223" s="49">
        <f>F223/SUMIFS('Campaign - Dump'!$Q:$Q,'Campaign - Dump'!$A:$A,'Portfolio Wise '!$A223)</f>
        <v>0.1119234606</v>
      </c>
      <c r="AD223" s="49">
        <f t="shared" si="16"/>
        <v>1.416666667</v>
      </c>
    </row>
    <row r="224" ht="15.75" customHeight="1">
      <c r="A224" s="10" t="s">
        <v>61</v>
      </c>
      <c r="B224" s="10" t="s">
        <v>152</v>
      </c>
      <c r="C224" s="13">
        <f>SUMIFS('Campaign - Dump'!$N:$N,'Campaign - Dump'!$J:$J,'Portfolio Wise '!$B224,'Campaign - Dump'!$A:$A,'Portfolio Wise '!$A224)</f>
        <v>0</v>
      </c>
      <c r="D224" s="13">
        <f>SUMIFS('Campaign - Dump'!$O:$O,'Campaign - Dump'!$J:$J,'Portfolio Wise '!$B224,'Campaign - Dump'!$A:$A,'Portfolio Wise '!$A224)</f>
        <v>0</v>
      </c>
      <c r="E224" s="23">
        <f t="shared" si="2"/>
        <v>0</v>
      </c>
      <c r="F224" s="36">
        <f>SUMIFS('Campaign - Dump'!$Q:$Q,'Campaign - Dump'!$J:$J,'Portfolio Wise '!$B224,'Campaign - Dump'!$A:$A,'Portfolio Wise '!$A224)</f>
        <v>0</v>
      </c>
      <c r="G224" s="38">
        <f t="shared" si="3"/>
        <v>0</v>
      </c>
      <c r="H224" s="41">
        <f>SUMIFS('Campaign - Dump'!$T:$T,'Campaign - Dump'!$J:$J,'Portfolio Wise '!$B224,'Campaign - Dump'!$A:$A,'Portfolio Wise '!$A224)</f>
        <v>0</v>
      </c>
      <c r="I224" s="23">
        <f t="shared" si="4"/>
        <v>0</v>
      </c>
      <c r="J224" s="36">
        <f>SUMIFS('Campaign - Dump'!$U:$U,'Campaign - Dump'!$J:$J,'Portfolio Wise '!$B224,'Campaign - Dump'!$A:$A,'Portfolio Wise '!$A224)</f>
        <v>0</v>
      </c>
      <c r="K224" s="23">
        <f t="shared" si="5"/>
        <v>0</v>
      </c>
      <c r="L224" s="38">
        <f t="shared" si="6"/>
        <v>0</v>
      </c>
      <c r="M224" s="41">
        <f t="shared" si="7"/>
        <v>0</v>
      </c>
      <c r="N224" s="13">
        <f t="shared" si="319"/>
        <v>3</v>
      </c>
      <c r="O224" s="36">
        <f t="shared" si="320"/>
        <v>39533.89831</v>
      </c>
      <c r="P224" s="41">
        <f t="shared" si="8"/>
        <v>13177.9661</v>
      </c>
      <c r="Q224" s="13">
        <f>SUMIFS('Business - Dump'!$W:$W,'Business - Dump'!$B:$B,'Portfolio Wise '!$B224,'Business - Dump'!$A:$A,'Portfolio Wise '!$A224)</f>
        <v>3</v>
      </c>
      <c r="R224" s="36">
        <f>SUMIFS('Business - Dump'!$U:$U,'Business - Dump'!$B:$B,'Portfolio Wise '!$B224,'Business - Dump'!$A:$A,'Portfolio Wise '!$A224)/1.18</f>
        <v>39533.89831</v>
      </c>
      <c r="S224" s="41">
        <f t="shared" si="9"/>
        <v>13177.9661</v>
      </c>
      <c r="T224" s="23">
        <f t="shared" si="10"/>
        <v>0</v>
      </c>
      <c r="U224" s="38">
        <f t="shared" si="11"/>
        <v>0</v>
      </c>
      <c r="V224" s="41">
        <f>SUMIFS('Business - Dump'!$G:$G,'Business - Dump'!$B:$B,'Portfolio Wise '!$B224,'Business - Dump'!$A:$A,'Portfolio Wise '!$A224)</f>
        <v>256</v>
      </c>
      <c r="W224" s="48">
        <f t="shared" si="12"/>
        <v>0.01171875</v>
      </c>
      <c r="X224" s="23">
        <f t="shared" ref="X224:Y224" si="322">IFERROR(N224/Q224,0)</f>
        <v>1</v>
      </c>
      <c r="Y224" s="49">
        <f t="shared" si="322"/>
        <v>1</v>
      </c>
      <c r="Z224" s="49">
        <f t="shared" si="14"/>
        <v>0</v>
      </c>
      <c r="AA224" s="23">
        <f t="shared" si="15"/>
        <v>1</v>
      </c>
      <c r="AB224" s="23">
        <f>IFERROR(AVERAGEIFS('Business - Dump'!$O:$O,'Business - Dump'!$B:$B,'Portfolio Wise '!$B224,'Business - Dump'!$A:$A,'Portfolio Wise '!$A224),0)</f>
        <v>0.887</v>
      </c>
      <c r="AC224" s="49">
        <f>F224/SUMIFS('Campaign - Dump'!$Q:$Q,'Campaign - Dump'!$A:$A,'Portfolio Wise '!$A224)</f>
        <v>0</v>
      </c>
      <c r="AD224" s="49">
        <f t="shared" si="16"/>
        <v>0</v>
      </c>
    </row>
    <row r="225" ht="15.75" customHeight="1">
      <c r="A225" s="10" t="s">
        <v>61</v>
      </c>
      <c r="B225" s="19" t="s">
        <v>158</v>
      </c>
      <c r="C225" s="13">
        <f>SUMIFS('Campaign - Dump'!$N:$N,'Campaign - Dump'!$J:$J,'Portfolio Wise '!$B225,'Campaign - Dump'!$A:$A,'Portfolio Wise '!$A225)</f>
        <v>463817</v>
      </c>
      <c r="D225" s="13">
        <f>SUMIFS('Campaign - Dump'!$O:$O,'Campaign - Dump'!$J:$J,'Portfolio Wise '!$B225,'Campaign - Dump'!$A:$A,'Portfolio Wise '!$A225)</f>
        <v>711</v>
      </c>
      <c r="E225" s="23">
        <f t="shared" si="2"/>
        <v>0.001532932169</v>
      </c>
      <c r="F225" s="36">
        <f>SUMIFS('Campaign - Dump'!$Q:$Q,'Campaign - Dump'!$J:$J,'Portfolio Wise '!$B225,'Campaign - Dump'!$A:$A,'Portfolio Wise '!$A225)</f>
        <v>11503.14</v>
      </c>
      <c r="G225" s="38">
        <f t="shared" si="3"/>
        <v>16.17881857</v>
      </c>
      <c r="H225" s="41">
        <f>SUMIFS('Campaign - Dump'!$T:$T,'Campaign - Dump'!$J:$J,'Portfolio Wise '!$B225,'Campaign - Dump'!$A:$A,'Portfolio Wise '!$A225)</f>
        <v>3</v>
      </c>
      <c r="I225" s="23">
        <f t="shared" si="4"/>
        <v>0.004219409283</v>
      </c>
      <c r="J225" s="36">
        <f>SUMIFS('Campaign - Dump'!$U:$U,'Campaign - Dump'!$J:$J,'Portfolio Wise '!$B225,'Campaign - Dump'!$A:$A,'Portfolio Wise '!$A225)</f>
        <v>9827.12</v>
      </c>
      <c r="K225" s="23">
        <f t="shared" si="5"/>
        <v>1.170550477</v>
      </c>
      <c r="L225" s="38">
        <f t="shared" si="6"/>
        <v>0.8542989132</v>
      </c>
      <c r="M225" s="41">
        <f t="shared" si="7"/>
        <v>3275.706667</v>
      </c>
      <c r="N225" s="13">
        <f t="shared" si="319"/>
        <v>12</v>
      </c>
      <c r="O225" s="36">
        <f t="shared" si="320"/>
        <v>42661.86305</v>
      </c>
      <c r="P225" s="41">
        <f t="shared" si="8"/>
        <v>3555.155254</v>
      </c>
      <c r="Q225" s="13">
        <f>SUMIFS('Business - Dump'!$W:$W,'Business - Dump'!$B:$B,'Portfolio Wise '!$B225,'Business - Dump'!$A:$A,'Portfolio Wise '!$A225)</f>
        <v>15</v>
      </c>
      <c r="R225" s="36">
        <f>SUMIFS('Business - Dump'!$U:$U,'Business - Dump'!$B:$B,'Portfolio Wise '!$B225,'Business - Dump'!$A:$A,'Portfolio Wise '!$A225)/1.18</f>
        <v>52488.98305</v>
      </c>
      <c r="S225" s="41">
        <f t="shared" si="9"/>
        <v>3499.265537</v>
      </c>
      <c r="T225" s="23">
        <f t="shared" si="10"/>
        <v>0.2191534172</v>
      </c>
      <c r="U225" s="38">
        <f t="shared" si="11"/>
        <v>4.563013495</v>
      </c>
      <c r="V225" s="41">
        <f>SUMIFS('Business - Dump'!$G:$G,'Business - Dump'!$B:$B,'Portfolio Wise '!$B225,'Business - Dump'!$A:$A,'Portfolio Wise '!$A225)</f>
        <v>1864</v>
      </c>
      <c r="W225" s="48">
        <f t="shared" si="12"/>
        <v>0.0080472103</v>
      </c>
      <c r="X225" s="23">
        <f t="shared" ref="X225:Y225" si="323">IFERROR(N225/Q225,0)</f>
        <v>0.8</v>
      </c>
      <c r="Y225" s="49">
        <f t="shared" si="323"/>
        <v>0.8127774739</v>
      </c>
      <c r="Z225" s="49">
        <f t="shared" si="14"/>
        <v>0.2</v>
      </c>
      <c r="AA225" s="23">
        <f t="shared" si="15"/>
        <v>0.8127774739</v>
      </c>
      <c r="AB225" s="23">
        <f>IFERROR(AVERAGEIFS('Business - Dump'!$O:$O,'Business - Dump'!$B:$B,'Portfolio Wise '!$B225,'Business - Dump'!$A:$A,'Portfolio Wise '!$A225),0)</f>
        <v>0.9452</v>
      </c>
      <c r="AC225" s="49">
        <f>F225/SUMIFS('Campaign - Dump'!$Q:$Q,'Campaign - Dump'!$A:$A,'Portfolio Wise '!$A225)</f>
        <v>0.01383294539</v>
      </c>
      <c r="AD225" s="49">
        <f t="shared" si="16"/>
        <v>4</v>
      </c>
    </row>
    <row r="226" ht="15.75" customHeight="1">
      <c r="A226" s="10" t="s">
        <v>61</v>
      </c>
      <c r="B226" s="33" t="s">
        <v>170</v>
      </c>
      <c r="C226" s="13">
        <f>SUMIFS('Campaign - Dump'!$N:$N,'Campaign - Dump'!$J:$J,'Portfolio Wise '!$B226,'Campaign - Dump'!$A:$A,'Portfolio Wise '!$A226)</f>
        <v>85331</v>
      </c>
      <c r="D226" s="13">
        <f>SUMIFS('Campaign - Dump'!$O:$O,'Campaign - Dump'!$J:$J,'Portfolio Wise '!$B226,'Campaign - Dump'!$A:$A,'Portfolio Wise '!$A226)</f>
        <v>419</v>
      </c>
      <c r="E226" s="23">
        <f t="shared" si="2"/>
        <v>0.004910290516</v>
      </c>
      <c r="F226" s="36">
        <f>SUMIFS('Campaign - Dump'!$Q:$Q,'Campaign - Dump'!$J:$J,'Portfolio Wise '!$B226,'Campaign - Dump'!$A:$A,'Portfolio Wise '!$A226)</f>
        <v>9473.84</v>
      </c>
      <c r="G226" s="38">
        <f t="shared" si="3"/>
        <v>22.61059666</v>
      </c>
      <c r="H226" s="41">
        <f>SUMIFS('Campaign - Dump'!$T:$T,'Campaign - Dump'!$J:$J,'Portfolio Wise '!$B226,'Campaign - Dump'!$A:$A,'Portfolio Wise '!$A226)</f>
        <v>0</v>
      </c>
      <c r="I226" s="23">
        <f t="shared" si="4"/>
        <v>0</v>
      </c>
      <c r="J226" s="36">
        <f>SUMIFS('Campaign - Dump'!$U:$U,'Campaign - Dump'!$J:$J,'Portfolio Wise '!$B226,'Campaign - Dump'!$A:$A,'Portfolio Wise '!$A226)</f>
        <v>0</v>
      </c>
      <c r="K226" s="23">
        <f t="shared" si="5"/>
        <v>0</v>
      </c>
      <c r="L226" s="38">
        <f t="shared" si="6"/>
        <v>0</v>
      </c>
      <c r="M226" s="41">
        <f t="shared" si="7"/>
        <v>0</v>
      </c>
      <c r="N226" s="13">
        <f t="shared" si="319"/>
        <v>3</v>
      </c>
      <c r="O226" s="36">
        <f t="shared" si="320"/>
        <v>19016.94915</v>
      </c>
      <c r="P226" s="41">
        <f t="shared" si="8"/>
        <v>6338.983051</v>
      </c>
      <c r="Q226" s="13">
        <f>SUMIFS('Business - Dump'!$W:$W,'Business - Dump'!$B:$B,'Portfolio Wise '!$B226,'Business - Dump'!$A:$A,'Portfolio Wise '!$A226)</f>
        <v>3</v>
      </c>
      <c r="R226" s="36">
        <f>SUMIFS('Business - Dump'!$U:$U,'Business - Dump'!$B:$B,'Portfolio Wise '!$B226,'Business - Dump'!$A:$A,'Portfolio Wise '!$A226)/1.18</f>
        <v>19016.94915</v>
      </c>
      <c r="S226" s="41">
        <f t="shared" si="9"/>
        <v>6338.983051</v>
      </c>
      <c r="T226" s="23">
        <f t="shared" si="10"/>
        <v>0.4981787522</v>
      </c>
      <c r="U226" s="38">
        <f t="shared" si="11"/>
        <v>2.007311624</v>
      </c>
      <c r="V226" s="41">
        <f>SUMIFS('Business - Dump'!$G:$G,'Business - Dump'!$B:$B,'Portfolio Wise '!$B226,'Business - Dump'!$A:$A,'Portfolio Wise '!$A226)</f>
        <v>894</v>
      </c>
      <c r="W226" s="48">
        <f t="shared" si="12"/>
        <v>0.003355704698</v>
      </c>
      <c r="X226" s="23">
        <f t="shared" ref="X226:Y226" si="324">IFERROR(N226/Q226,0)</f>
        <v>1</v>
      </c>
      <c r="Y226" s="49">
        <f t="shared" si="324"/>
        <v>1</v>
      </c>
      <c r="Z226" s="49">
        <f t="shared" si="14"/>
        <v>0</v>
      </c>
      <c r="AA226" s="23">
        <f t="shared" si="15"/>
        <v>1</v>
      </c>
      <c r="AB226" s="23">
        <f>IFERROR(AVERAGEIFS('Business - Dump'!$O:$O,'Business - Dump'!$B:$B,'Portfolio Wise '!$B226,'Business - Dump'!$A:$A,'Portfolio Wise '!$A226),0)</f>
        <v>0.89275</v>
      </c>
      <c r="AC226" s="49">
        <f>F226/SUMIFS('Campaign - Dump'!$Q:$Q,'Campaign - Dump'!$A:$A,'Portfolio Wise '!$A226)</f>
        <v>0.01139263813</v>
      </c>
      <c r="AD226" s="49">
        <f t="shared" si="16"/>
        <v>0</v>
      </c>
    </row>
    <row r="227" ht="15.75" customHeight="1">
      <c r="A227" s="10" t="s">
        <v>61</v>
      </c>
      <c r="B227" s="51" t="s">
        <v>176</v>
      </c>
      <c r="C227" s="13">
        <f>SUMIFS('Campaign - Dump'!$N:$N,'Campaign - Dump'!$J:$J,'Portfolio Wise '!$B227,'Campaign - Dump'!$A:$A,'Portfolio Wise '!$A227)</f>
        <v>0</v>
      </c>
      <c r="D227" s="13">
        <f>SUMIFS('Campaign - Dump'!$O:$O,'Campaign - Dump'!$J:$J,'Portfolio Wise '!$B227,'Campaign - Dump'!$A:$A,'Portfolio Wise '!$A227)</f>
        <v>0</v>
      </c>
      <c r="E227" s="23">
        <f t="shared" si="2"/>
        <v>0</v>
      </c>
      <c r="F227" s="36">
        <f>SUMIFS('Campaign - Dump'!$Q:$Q,'Campaign - Dump'!$J:$J,'Portfolio Wise '!$B227,'Campaign - Dump'!$A:$A,'Portfolio Wise '!$A227)</f>
        <v>0</v>
      </c>
      <c r="G227" s="38">
        <f t="shared" si="3"/>
        <v>0</v>
      </c>
      <c r="H227" s="41">
        <f>SUMIFS('Campaign - Dump'!$T:$T,'Campaign - Dump'!$J:$J,'Portfolio Wise '!$B227,'Campaign - Dump'!$A:$A,'Portfolio Wise '!$A227)</f>
        <v>0</v>
      </c>
      <c r="I227" s="23">
        <f t="shared" si="4"/>
        <v>0</v>
      </c>
      <c r="J227" s="36">
        <f>SUMIFS('Campaign - Dump'!$U:$U,'Campaign - Dump'!$J:$J,'Portfolio Wise '!$B227,'Campaign - Dump'!$A:$A,'Portfolio Wise '!$A227)</f>
        <v>0</v>
      </c>
      <c r="K227" s="23">
        <f t="shared" si="5"/>
        <v>0</v>
      </c>
      <c r="L227" s="38">
        <f t="shared" si="6"/>
        <v>0</v>
      </c>
      <c r="M227" s="41">
        <f t="shared" si="7"/>
        <v>0</v>
      </c>
      <c r="N227" s="13">
        <f t="shared" si="319"/>
        <v>50</v>
      </c>
      <c r="O227" s="36">
        <f t="shared" si="320"/>
        <v>902439.2458</v>
      </c>
      <c r="P227" s="41">
        <f t="shared" si="8"/>
        <v>18048.78492</v>
      </c>
      <c r="Q227" s="13">
        <f>SUMIFS('Business - Dump'!$W:$W,'Business - Dump'!$B:$B,'Portfolio Wise '!$B227,'Business - Dump'!$A:$A,'Portfolio Wise '!$A227)</f>
        <v>50</v>
      </c>
      <c r="R227" s="36">
        <f>SUMIFS('Business - Dump'!$U:$U,'Business - Dump'!$B:$B,'Portfolio Wise '!$B227,'Business - Dump'!$A:$A,'Portfolio Wise '!$A227)/1.18</f>
        <v>902439.2458</v>
      </c>
      <c r="S227" s="41">
        <f t="shared" si="9"/>
        <v>18048.78492</v>
      </c>
      <c r="T227" s="23">
        <f t="shared" si="10"/>
        <v>0</v>
      </c>
      <c r="U227" s="38">
        <f t="shared" si="11"/>
        <v>0</v>
      </c>
      <c r="V227" s="41">
        <f>SUMIFS('Business - Dump'!$G:$G,'Business - Dump'!$B:$B,'Portfolio Wise '!$B227,'Business - Dump'!$A:$A,'Portfolio Wise '!$A227)</f>
        <v>9228</v>
      </c>
      <c r="W227" s="48">
        <f t="shared" si="12"/>
        <v>0.005418292154</v>
      </c>
      <c r="X227" s="23">
        <f t="shared" ref="X227:Y227" si="325">IFERROR(N227/Q227,0)</f>
        <v>1</v>
      </c>
      <c r="Y227" s="49">
        <f t="shared" si="325"/>
        <v>1</v>
      </c>
      <c r="Z227" s="49">
        <f t="shared" si="14"/>
        <v>0</v>
      </c>
      <c r="AA227" s="23">
        <f t="shared" si="15"/>
        <v>1</v>
      </c>
      <c r="AB227" s="23">
        <f>IFERROR(AVERAGEIFS('Business - Dump'!$O:$O,'Business - Dump'!$B:$B,'Portfolio Wise '!$B227,'Business - Dump'!$A:$A,'Portfolio Wise '!$A227),0)</f>
        <v>0.88537</v>
      </c>
      <c r="AC227" s="49">
        <f>F227/SUMIFS('Campaign - Dump'!$Q:$Q,'Campaign - Dump'!$A:$A,'Portfolio Wise '!$A227)</f>
        <v>0</v>
      </c>
      <c r="AD227" s="49">
        <f t="shared" si="16"/>
        <v>0</v>
      </c>
    </row>
    <row r="228" ht="15.75" customHeight="1">
      <c r="A228" s="10" t="s">
        <v>61</v>
      </c>
      <c r="B228" s="100" t="s">
        <v>182</v>
      </c>
      <c r="C228" s="13">
        <f>SUMIFS('Campaign - Dump'!$N:$N,'Campaign - Dump'!$J:$J,'Portfolio Wise '!$B228,'Campaign - Dump'!$A:$A,'Portfolio Wise '!$A228)</f>
        <v>145293</v>
      </c>
      <c r="D228" s="13">
        <f>SUMIFS('Campaign - Dump'!$O:$O,'Campaign - Dump'!$J:$J,'Portfolio Wise '!$B228,'Campaign - Dump'!$A:$A,'Portfolio Wise '!$A228)</f>
        <v>248</v>
      </c>
      <c r="E228" s="23">
        <f t="shared" si="2"/>
        <v>0.001706895721</v>
      </c>
      <c r="F228" s="36">
        <f>SUMIFS('Campaign - Dump'!$Q:$Q,'Campaign - Dump'!$J:$J,'Portfolio Wise '!$B228,'Campaign - Dump'!$A:$A,'Portfolio Wise '!$A228)</f>
        <v>9421.72</v>
      </c>
      <c r="G228" s="38">
        <f t="shared" si="3"/>
        <v>37.99080645</v>
      </c>
      <c r="H228" s="41">
        <f>SUMIFS('Campaign - Dump'!$T:$T,'Campaign - Dump'!$J:$J,'Portfolio Wise '!$B228,'Campaign - Dump'!$A:$A,'Portfolio Wise '!$A228)</f>
        <v>1</v>
      </c>
      <c r="I228" s="23">
        <f t="shared" si="4"/>
        <v>0.004032258065</v>
      </c>
      <c r="J228" s="36">
        <f>SUMIFS('Campaign - Dump'!$U:$U,'Campaign - Dump'!$J:$J,'Portfolio Wise '!$B228,'Campaign - Dump'!$A:$A,'Portfolio Wise '!$A228)</f>
        <v>30406.78</v>
      </c>
      <c r="K228" s="23">
        <f t="shared" si="5"/>
        <v>0.309855894</v>
      </c>
      <c r="L228" s="38">
        <f t="shared" si="6"/>
        <v>3.227306691</v>
      </c>
      <c r="M228" s="41">
        <f t="shared" si="7"/>
        <v>30406.78</v>
      </c>
      <c r="N228" s="13">
        <f t="shared" si="319"/>
        <v>8</v>
      </c>
      <c r="O228" s="36">
        <f t="shared" si="320"/>
        <v>218207.6946</v>
      </c>
      <c r="P228" s="41">
        <f t="shared" si="8"/>
        <v>27275.96182</v>
      </c>
      <c r="Q228" s="13">
        <f>SUMIFS('Business - Dump'!$W:$W,'Business - Dump'!$B:$B,'Portfolio Wise '!$B228,'Business - Dump'!$A:$A,'Portfolio Wise '!$A228)</f>
        <v>9</v>
      </c>
      <c r="R228" s="36">
        <f>SUMIFS('Business - Dump'!$U:$U,'Business - Dump'!$B:$B,'Portfolio Wise '!$B228,'Business - Dump'!$A:$A,'Portfolio Wise '!$A228)/1.18</f>
        <v>248614.4746</v>
      </c>
      <c r="S228" s="41">
        <f t="shared" si="9"/>
        <v>27623.83051</v>
      </c>
      <c r="T228" s="23">
        <f t="shared" si="10"/>
        <v>0.03789690852</v>
      </c>
      <c r="U228" s="38">
        <f t="shared" si="11"/>
        <v>26.38737668</v>
      </c>
      <c r="V228" s="41">
        <f>SUMIFS('Business - Dump'!$G:$G,'Business - Dump'!$B:$B,'Portfolio Wise '!$B228,'Business - Dump'!$A:$A,'Portfolio Wise '!$A228)</f>
        <v>4001</v>
      </c>
      <c r="W228" s="23">
        <f t="shared" si="12"/>
        <v>0.002249437641</v>
      </c>
      <c r="X228" s="23">
        <f t="shared" ref="X228:Y228" si="326">IFERROR(N228/Q228,0)</f>
        <v>0.8888888889</v>
      </c>
      <c r="Y228" s="49">
        <f t="shared" si="326"/>
        <v>0.8776950535</v>
      </c>
      <c r="Z228" s="49">
        <f t="shared" si="14"/>
        <v>0.1111111111</v>
      </c>
      <c r="AA228" s="23">
        <f t="shared" si="15"/>
        <v>0.8776950535</v>
      </c>
      <c r="AB228" s="23">
        <f>IFERROR(AVERAGEIFS('Business - Dump'!$O:$O,'Business - Dump'!$B:$B,'Portfolio Wise '!$B228,'Business - Dump'!$A:$A,'Portfolio Wise '!$A228),0)</f>
        <v>0.85854</v>
      </c>
      <c r="AC228" s="49">
        <f>F228/SUMIFS('Campaign - Dump'!$Q:$Q,'Campaign - Dump'!$A:$A,'Portfolio Wise '!$A228)</f>
        <v>0.01132996193</v>
      </c>
      <c r="AD228" s="49">
        <f t="shared" si="16"/>
        <v>8</v>
      </c>
    </row>
    <row r="229" ht="15.75" customHeight="1">
      <c r="A229" s="10" t="s">
        <v>61</v>
      </c>
      <c r="B229" s="100" t="s">
        <v>182</v>
      </c>
      <c r="C229" s="13">
        <f>SUMIFS('Campaign - Dump'!$N:$N,'Campaign - Dump'!$J:$J,'Portfolio Wise '!$B229,'Campaign - Dump'!$A:$A,'Portfolio Wise '!$A229)</f>
        <v>145293</v>
      </c>
      <c r="D229" s="13">
        <f>SUMIFS('Campaign - Dump'!$O:$O,'Campaign - Dump'!$J:$J,'Portfolio Wise '!$B229,'Campaign - Dump'!$A:$A,'Portfolio Wise '!$A229)</f>
        <v>248</v>
      </c>
      <c r="E229" s="23">
        <f t="shared" si="2"/>
        <v>0.001706895721</v>
      </c>
      <c r="F229" s="36">
        <f>SUMIFS('Campaign - Dump'!$Q:$Q,'Campaign - Dump'!$J:$J,'Portfolio Wise '!$B229,'Campaign - Dump'!$A:$A,'Portfolio Wise '!$A229)</f>
        <v>9421.72</v>
      </c>
      <c r="G229" s="38">
        <f t="shared" si="3"/>
        <v>37.99080645</v>
      </c>
      <c r="H229" s="41">
        <f>SUMIFS('Campaign - Dump'!$T:$T,'Campaign - Dump'!$J:$J,'Portfolio Wise '!$B229,'Campaign - Dump'!$A:$A,'Portfolio Wise '!$A229)</f>
        <v>1</v>
      </c>
      <c r="I229" s="23">
        <f t="shared" si="4"/>
        <v>0.004032258065</v>
      </c>
      <c r="J229" s="36">
        <f>SUMIFS('Campaign - Dump'!$U:$U,'Campaign - Dump'!$J:$J,'Portfolio Wise '!$B229,'Campaign - Dump'!$A:$A,'Portfolio Wise '!$A229)</f>
        <v>30406.78</v>
      </c>
      <c r="K229" s="23">
        <f t="shared" si="5"/>
        <v>0.309855894</v>
      </c>
      <c r="L229" s="38">
        <f t="shared" si="6"/>
        <v>3.227306691</v>
      </c>
      <c r="M229" s="41">
        <f t="shared" si="7"/>
        <v>30406.78</v>
      </c>
      <c r="N229" s="13">
        <f t="shared" si="319"/>
        <v>8</v>
      </c>
      <c r="O229" s="36">
        <f t="shared" si="320"/>
        <v>218207.6946</v>
      </c>
      <c r="P229" s="41">
        <f t="shared" si="8"/>
        <v>27275.96182</v>
      </c>
      <c r="Q229" s="13">
        <f>SUMIFS('Business - Dump'!$W:$W,'Business - Dump'!$B:$B,'Portfolio Wise '!$B229,'Business - Dump'!$A:$A,'Portfolio Wise '!$A229)</f>
        <v>9</v>
      </c>
      <c r="R229" s="36">
        <f>SUMIFS('Business - Dump'!$U:$U,'Business - Dump'!$B:$B,'Portfolio Wise '!$B229,'Business - Dump'!$A:$A,'Portfolio Wise '!$A229)/1.18</f>
        <v>248614.4746</v>
      </c>
      <c r="S229" s="41">
        <f t="shared" si="9"/>
        <v>27623.83051</v>
      </c>
      <c r="T229" s="23">
        <f t="shared" si="10"/>
        <v>0.03789690852</v>
      </c>
      <c r="U229" s="38">
        <f t="shared" si="11"/>
        <v>26.38737668</v>
      </c>
      <c r="V229" s="41">
        <f>SUMIFS('Business - Dump'!$G:$G,'Business - Dump'!$B:$B,'Portfolio Wise '!$B229,'Business - Dump'!$A:$A,'Portfolio Wise '!$A229)</f>
        <v>4001</v>
      </c>
      <c r="W229" s="23">
        <f t="shared" si="12"/>
        <v>0.002249437641</v>
      </c>
      <c r="X229" s="23">
        <f t="shared" ref="X229:Y229" si="327">IFERROR(N229/Q229,0)</f>
        <v>0.8888888889</v>
      </c>
      <c r="Y229" s="49">
        <f t="shared" si="327"/>
        <v>0.8776950535</v>
      </c>
      <c r="Z229" s="49">
        <f t="shared" si="14"/>
        <v>0.1111111111</v>
      </c>
      <c r="AA229" s="23">
        <f t="shared" si="15"/>
        <v>0.8776950535</v>
      </c>
      <c r="AB229" s="23">
        <f>IFERROR(AVERAGEIFS('Business - Dump'!$O:$O,'Business - Dump'!$B:$B,'Portfolio Wise '!$B229,'Business - Dump'!$A:$A,'Portfolio Wise '!$A229),0)</f>
        <v>0.85854</v>
      </c>
      <c r="AC229" s="49">
        <f>F229/SUMIFS('Campaign - Dump'!$Q:$Q,'Campaign - Dump'!$A:$A,'Portfolio Wise '!$A229)</f>
        <v>0.01132996193</v>
      </c>
      <c r="AD229" s="49">
        <f t="shared" si="16"/>
        <v>8</v>
      </c>
    </row>
    <row r="230" ht="15.75" customHeight="1">
      <c r="A230" s="10" t="s">
        <v>61</v>
      </c>
      <c r="B230" s="19" t="s">
        <v>196</v>
      </c>
      <c r="C230" s="13">
        <f>SUMIFS('Campaign - Dump'!$N:$N,'Campaign - Dump'!$J:$J,'Portfolio Wise '!$B230,'Campaign - Dump'!$A:$A,'Portfolio Wise '!$A230)</f>
        <v>510369</v>
      </c>
      <c r="D230" s="13">
        <f>SUMIFS('Campaign - Dump'!$O:$O,'Campaign - Dump'!$J:$J,'Portfolio Wise '!$B230,'Campaign - Dump'!$A:$A,'Portfolio Wise '!$A230)</f>
        <v>2079</v>
      </c>
      <c r="E230" s="23">
        <f t="shared" si="2"/>
        <v>0.004073523274</v>
      </c>
      <c r="F230" s="36">
        <f>SUMIFS('Campaign - Dump'!$Q:$Q,'Campaign - Dump'!$J:$J,'Portfolio Wise '!$B230,'Campaign - Dump'!$A:$A,'Portfolio Wise '!$A230)</f>
        <v>74830.02</v>
      </c>
      <c r="G230" s="38">
        <f t="shared" si="3"/>
        <v>35.99327561</v>
      </c>
      <c r="H230" s="41">
        <f>SUMIFS('Campaign - Dump'!$T:$T,'Campaign - Dump'!$J:$J,'Portfolio Wise '!$B230,'Campaign - Dump'!$A:$A,'Portfolio Wise '!$A230)</f>
        <v>12</v>
      </c>
      <c r="I230" s="23">
        <f t="shared" si="4"/>
        <v>0.005772005772</v>
      </c>
      <c r="J230" s="36">
        <f>SUMIFS('Campaign - Dump'!$U:$U,'Campaign - Dump'!$J:$J,'Portfolio Wise '!$B230,'Campaign - Dump'!$A:$A,'Portfolio Wise '!$A230)</f>
        <v>221909.35</v>
      </c>
      <c r="K230" s="23">
        <f t="shared" si="5"/>
        <v>0.3372098562</v>
      </c>
      <c r="L230" s="38">
        <f t="shared" si="6"/>
        <v>2.965512371</v>
      </c>
      <c r="M230" s="41">
        <f t="shared" si="7"/>
        <v>18492.44583</v>
      </c>
      <c r="N230" s="13">
        <v>0.0</v>
      </c>
      <c r="O230" s="36">
        <v>0.0</v>
      </c>
      <c r="P230" s="41">
        <f t="shared" si="8"/>
        <v>0</v>
      </c>
      <c r="Q230" s="13">
        <f>SUMIFS('Business - Dump'!$W:$W,'Business - Dump'!$B:$B,'Portfolio Wise '!$B230,'Business - Dump'!$A:$A,'Portfolio Wise '!$A230)</f>
        <v>0</v>
      </c>
      <c r="R230" s="36">
        <f>SUMIFS('Business - Dump'!$U:$U,'Business - Dump'!$B:$B,'Portfolio Wise '!$B230,'Business - Dump'!$A:$A,'Portfolio Wise '!$A230)/1.18</f>
        <v>0</v>
      </c>
      <c r="S230" s="41">
        <f t="shared" si="9"/>
        <v>0</v>
      </c>
      <c r="T230" s="23">
        <f t="shared" si="10"/>
        <v>0</v>
      </c>
      <c r="U230" s="38">
        <f t="shared" si="11"/>
        <v>0</v>
      </c>
      <c r="V230" s="41">
        <f>SUMIFS('Business - Dump'!$G:$G,'Business - Dump'!$B:$B,'Portfolio Wise '!$B230,'Business - Dump'!$A:$A,'Portfolio Wise '!$A230)</f>
        <v>0</v>
      </c>
      <c r="W230" s="48">
        <f t="shared" si="12"/>
        <v>0</v>
      </c>
      <c r="X230" s="23">
        <f t="shared" ref="X230:Y230" si="328">IFERROR(N230/Q230,0)</f>
        <v>0</v>
      </c>
      <c r="Y230" s="49">
        <f t="shared" si="328"/>
        <v>0</v>
      </c>
      <c r="Z230" s="49">
        <f t="shared" si="14"/>
        <v>0</v>
      </c>
      <c r="AA230" s="23">
        <f t="shared" si="15"/>
        <v>0</v>
      </c>
      <c r="AB230" s="23">
        <f>IFERROR(AVERAGEIFS('Business - Dump'!$O:$O,'Business - Dump'!$B:$B,'Portfolio Wise '!$B230,'Business - Dump'!$A:$A,'Portfolio Wise '!$A230),0)</f>
        <v>0</v>
      </c>
      <c r="AC230" s="49">
        <f>F230/SUMIFS('Campaign - Dump'!$Q:$Q,'Campaign - Dump'!$A:$A,'Portfolio Wise '!$A230)</f>
        <v>0.08998582823</v>
      </c>
      <c r="AD230" s="49">
        <f t="shared" si="16"/>
        <v>0</v>
      </c>
    </row>
    <row r="231" ht="15.75" customHeight="1">
      <c r="A231" s="10" t="s">
        <v>61</v>
      </c>
      <c r="B231" s="19" t="s">
        <v>205</v>
      </c>
      <c r="C231" s="13">
        <f>SUMIFS('Campaign - Dump'!$N:$N,'Campaign - Dump'!$J:$J,'Portfolio Wise '!$B231,'Campaign - Dump'!$A:$A,'Portfolio Wise '!$A231)</f>
        <v>399887</v>
      </c>
      <c r="D231" s="13">
        <f>SUMIFS('Campaign - Dump'!$O:$O,'Campaign - Dump'!$J:$J,'Portfolio Wise '!$B231,'Campaign - Dump'!$A:$A,'Portfolio Wise '!$A231)</f>
        <v>663</v>
      </c>
      <c r="E231" s="23">
        <f t="shared" si="2"/>
        <v>0.001657968376</v>
      </c>
      <c r="F231" s="36">
        <f>SUMIFS('Campaign - Dump'!$Q:$Q,'Campaign - Dump'!$J:$J,'Portfolio Wise '!$B231,'Campaign - Dump'!$A:$A,'Portfolio Wise '!$A231)</f>
        <v>31417.7</v>
      </c>
      <c r="G231" s="38">
        <f t="shared" si="3"/>
        <v>47.38717949</v>
      </c>
      <c r="H231" s="41">
        <f>SUMIFS('Campaign - Dump'!$T:$T,'Campaign - Dump'!$J:$J,'Portfolio Wise '!$B231,'Campaign - Dump'!$A:$A,'Portfolio Wise '!$A231)</f>
        <v>3</v>
      </c>
      <c r="I231" s="23">
        <f t="shared" si="4"/>
        <v>0.004524886878</v>
      </c>
      <c r="J231" s="36">
        <f>SUMIFS('Campaign - Dump'!$U:$U,'Campaign - Dump'!$J:$J,'Portfolio Wise '!$B231,'Campaign - Dump'!$A:$A,'Portfolio Wise '!$A231)</f>
        <v>100559.32</v>
      </c>
      <c r="K231" s="23">
        <f t="shared" si="5"/>
        <v>0.3124295192</v>
      </c>
      <c r="L231" s="38">
        <f t="shared" si="6"/>
        <v>3.200721886</v>
      </c>
      <c r="M231" s="41">
        <f t="shared" si="7"/>
        <v>33519.77333</v>
      </c>
      <c r="N231" s="13">
        <f t="shared" ref="N231:N236" si="330">IFERROR(Q231-H231,0)</f>
        <v>20</v>
      </c>
      <c r="O231" s="36">
        <f t="shared" ref="O231:O236" si="331">IFERROR(R231-J231,0)</f>
        <v>674093.0868</v>
      </c>
      <c r="P231" s="41">
        <f t="shared" si="8"/>
        <v>33704.65434</v>
      </c>
      <c r="Q231" s="13">
        <f>SUMIFS('Business - Dump'!$W:$W,'Business - Dump'!$B:$B,'Portfolio Wise '!$B231,'Business - Dump'!$A:$A,'Portfolio Wise '!$A231)</f>
        <v>23</v>
      </c>
      <c r="R231" s="36">
        <f>SUMIFS('Business - Dump'!$U:$U,'Business - Dump'!$B:$B,'Portfolio Wise '!$B231,'Business - Dump'!$A:$A,'Portfolio Wise '!$A231)/1.18</f>
        <v>774652.4068</v>
      </c>
      <c r="S231" s="41">
        <f t="shared" si="9"/>
        <v>33680.53943</v>
      </c>
      <c r="T231" s="23">
        <f t="shared" si="10"/>
        <v>0.04055715793</v>
      </c>
      <c r="U231" s="38">
        <f t="shared" si="11"/>
        <v>24.65656005</v>
      </c>
      <c r="V231" s="41">
        <f>SUMIFS('Business - Dump'!$G:$G,'Business - Dump'!$B:$B,'Portfolio Wise '!$B231,'Business - Dump'!$A:$A,'Portfolio Wise '!$A231)</f>
        <v>5173</v>
      </c>
      <c r="W231" s="48">
        <f t="shared" si="12"/>
        <v>0.004446162768</v>
      </c>
      <c r="X231" s="23">
        <f t="shared" ref="X231:Y231" si="329">IFERROR(N231/Q231,0)</f>
        <v>0.8695652174</v>
      </c>
      <c r="Y231" s="49">
        <f t="shared" si="329"/>
        <v>0.870187817</v>
      </c>
      <c r="Z231" s="49">
        <f t="shared" si="14"/>
        <v>0.1304347826</v>
      </c>
      <c r="AA231" s="23">
        <f t="shared" si="15"/>
        <v>0.870187817</v>
      </c>
      <c r="AB231" s="23">
        <f>IFERROR(AVERAGEIFS('Business - Dump'!$O:$O,'Business - Dump'!$B:$B,'Portfolio Wise '!$B231,'Business - Dump'!$A:$A,'Portfolio Wise '!$A231),0)</f>
        <v>0.8392222222</v>
      </c>
      <c r="AC231" s="49">
        <f>F231/SUMIFS('Campaign - Dump'!$Q:$Q,'Campaign - Dump'!$A:$A,'Portfolio Wise '!$A231)</f>
        <v>0.03778093011</v>
      </c>
      <c r="AD231" s="49">
        <f t="shared" si="16"/>
        <v>6.666666667</v>
      </c>
    </row>
    <row r="232" ht="15.75" customHeight="1">
      <c r="A232" s="10" t="s">
        <v>61</v>
      </c>
      <c r="B232" s="10" t="s">
        <v>211</v>
      </c>
      <c r="C232" s="13">
        <f>SUMIFS('Campaign - Dump'!$N:$N,'Campaign - Dump'!$J:$J,'Portfolio Wise '!$B232,'Campaign - Dump'!$A:$A,'Portfolio Wise '!$A232)</f>
        <v>205816</v>
      </c>
      <c r="D232" s="13">
        <f>SUMIFS('Campaign - Dump'!$O:$O,'Campaign - Dump'!$J:$J,'Portfolio Wise '!$B232,'Campaign - Dump'!$A:$A,'Portfolio Wise '!$A232)</f>
        <v>1150</v>
      </c>
      <c r="E232" s="23">
        <f t="shared" si="2"/>
        <v>0.005587515062</v>
      </c>
      <c r="F232" s="36">
        <f>SUMIFS('Campaign - Dump'!$Q:$Q,'Campaign - Dump'!$J:$J,'Portfolio Wise '!$B232,'Campaign - Dump'!$A:$A,'Portfolio Wise '!$A232)</f>
        <v>6088.72</v>
      </c>
      <c r="G232" s="38">
        <f t="shared" si="3"/>
        <v>5.29453913</v>
      </c>
      <c r="H232" s="41">
        <f>SUMIFS('Campaign - Dump'!$T:$T,'Campaign - Dump'!$J:$J,'Portfolio Wise '!$B232,'Campaign - Dump'!$A:$A,'Portfolio Wise '!$A232)</f>
        <v>20</v>
      </c>
      <c r="I232" s="23">
        <f t="shared" si="4"/>
        <v>0.01739130435</v>
      </c>
      <c r="J232" s="36">
        <f>SUMIFS('Campaign - Dump'!$U:$U,'Campaign - Dump'!$J:$J,'Portfolio Wise '!$B232,'Campaign - Dump'!$A:$A,'Portfolio Wise '!$A232)</f>
        <v>40073.74</v>
      </c>
      <c r="K232" s="23">
        <f t="shared" si="5"/>
        <v>0.1519379025</v>
      </c>
      <c r="L232" s="38">
        <f t="shared" si="6"/>
        <v>6.581636206</v>
      </c>
      <c r="M232" s="41">
        <f t="shared" si="7"/>
        <v>2003.687</v>
      </c>
      <c r="N232" s="13">
        <f t="shared" si="330"/>
        <v>38</v>
      </c>
      <c r="O232" s="36">
        <f t="shared" si="331"/>
        <v>74832.1922</v>
      </c>
      <c r="P232" s="41">
        <f t="shared" si="8"/>
        <v>1969.268216</v>
      </c>
      <c r="Q232" s="13">
        <f>SUMIFS('Business - Dump'!$W:$W,'Business - Dump'!$B:$B,'Portfolio Wise '!$B232,'Business - Dump'!$A:$A,'Portfolio Wise '!$A232)</f>
        <v>58</v>
      </c>
      <c r="R232" s="36">
        <f>SUMIFS('Business - Dump'!$U:$U,'Business - Dump'!$B:$B,'Portfolio Wise '!$B232,'Business - Dump'!$A:$A,'Portfolio Wise '!$A232)/1.18</f>
        <v>114905.9322</v>
      </c>
      <c r="S232" s="41">
        <f t="shared" si="9"/>
        <v>1981.136762</v>
      </c>
      <c r="T232" s="23">
        <f t="shared" si="10"/>
        <v>0.05298873507</v>
      </c>
      <c r="U232" s="38">
        <f t="shared" si="11"/>
        <v>18.87193568</v>
      </c>
      <c r="V232" s="41">
        <f>SUMIFS('Business - Dump'!$G:$G,'Business - Dump'!$B:$B,'Portfolio Wise '!$B232,'Business - Dump'!$A:$A,'Portfolio Wise '!$A232)</f>
        <v>2215</v>
      </c>
      <c r="W232" s="48">
        <f t="shared" si="12"/>
        <v>0.02618510158</v>
      </c>
      <c r="X232" s="23">
        <f t="shared" ref="X232:Y232" si="332">IFERROR(N232/Q232,0)</f>
        <v>0.6551724138</v>
      </c>
      <c r="Y232" s="49">
        <f t="shared" si="332"/>
        <v>0.6512474227</v>
      </c>
      <c r="Z232" s="49">
        <f t="shared" si="14"/>
        <v>0.3448275862</v>
      </c>
      <c r="AA232" s="23">
        <f t="shared" si="15"/>
        <v>0.6512474227</v>
      </c>
      <c r="AB232" s="23">
        <f>IFERROR(AVERAGEIFS('Business - Dump'!$O:$O,'Business - Dump'!$B:$B,'Portfolio Wise '!$B232,'Business - Dump'!$A:$A,'Portfolio Wise '!$A232),0)</f>
        <v>0.9171</v>
      </c>
      <c r="AC232" s="49">
        <f>F232/SUMIFS('Campaign - Dump'!$Q:$Q,'Campaign - Dump'!$A:$A,'Portfolio Wise '!$A232)</f>
        <v>0.007321907866</v>
      </c>
      <c r="AD232" s="49">
        <f t="shared" si="16"/>
        <v>1.9</v>
      </c>
    </row>
    <row r="233" ht="15.75" customHeight="1">
      <c r="A233" s="10" t="s">
        <v>61</v>
      </c>
      <c r="B233" s="19" t="s">
        <v>217</v>
      </c>
      <c r="C233" s="13">
        <f>SUMIFS('Campaign - Dump'!$N:$N,'Campaign - Dump'!$J:$J,'Portfolio Wise '!$B233,'Campaign - Dump'!$A:$A,'Portfolio Wise '!$A233)</f>
        <v>139353</v>
      </c>
      <c r="D233" s="13">
        <f>SUMIFS('Campaign - Dump'!$O:$O,'Campaign - Dump'!$J:$J,'Portfolio Wise '!$B233,'Campaign - Dump'!$A:$A,'Portfolio Wise '!$A233)</f>
        <v>811</v>
      </c>
      <c r="E233" s="23">
        <f t="shared" si="2"/>
        <v>0.005819752714</v>
      </c>
      <c r="F233" s="36">
        <f>SUMIFS('Campaign - Dump'!$Q:$Q,'Campaign - Dump'!$J:$J,'Portfolio Wise '!$B233,'Campaign - Dump'!$A:$A,'Portfolio Wise '!$A233)</f>
        <v>5891.3</v>
      </c>
      <c r="G233" s="38">
        <f t="shared" si="3"/>
        <v>7.264241677</v>
      </c>
      <c r="H233" s="41">
        <f>SUMIFS('Campaign - Dump'!$T:$T,'Campaign - Dump'!$J:$J,'Portfolio Wise '!$B233,'Campaign - Dump'!$A:$A,'Portfolio Wise '!$A233)</f>
        <v>9</v>
      </c>
      <c r="I233" s="23">
        <f t="shared" si="4"/>
        <v>0.0110974106</v>
      </c>
      <c r="J233" s="36">
        <f>SUMIFS('Campaign - Dump'!$U:$U,'Campaign - Dump'!$J:$J,'Portfolio Wise '!$B233,'Campaign - Dump'!$A:$A,'Portfolio Wise '!$A233)</f>
        <v>8891.54</v>
      </c>
      <c r="K233" s="23">
        <f t="shared" si="5"/>
        <v>0.6625736374</v>
      </c>
      <c r="L233" s="38">
        <f t="shared" si="6"/>
        <v>1.509266206</v>
      </c>
      <c r="M233" s="41">
        <f t="shared" si="7"/>
        <v>987.9488889</v>
      </c>
      <c r="N233" s="13">
        <f t="shared" si="330"/>
        <v>3</v>
      </c>
      <c r="O233" s="36">
        <f t="shared" si="331"/>
        <v>2961.849831</v>
      </c>
      <c r="P233" s="41">
        <f t="shared" si="8"/>
        <v>987.2832768</v>
      </c>
      <c r="Q233" s="13">
        <f>SUMIFS('Business - Dump'!$W:$W,'Business - Dump'!$B:$B,'Portfolio Wise '!$B233,'Business - Dump'!$A:$A,'Portfolio Wise '!$A233)</f>
        <v>12</v>
      </c>
      <c r="R233" s="36">
        <f>SUMIFS('Business - Dump'!$U:$U,'Business - Dump'!$B:$B,'Portfolio Wise '!$B233,'Business - Dump'!$A:$A,'Portfolio Wise '!$A233)/1.18</f>
        <v>11853.38983</v>
      </c>
      <c r="S233" s="41">
        <f t="shared" si="9"/>
        <v>987.7824859</v>
      </c>
      <c r="T233" s="23">
        <f t="shared" si="10"/>
        <v>0.4970139415</v>
      </c>
      <c r="U233" s="38">
        <f t="shared" si="11"/>
        <v>2.012015995</v>
      </c>
      <c r="V233" s="41">
        <f>SUMIFS('Business - Dump'!$G:$G,'Business - Dump'!$B:$B,'Portfolio Wise '!$B233,'Business - Dump'!$A:$A,'Portfolio Wise '!$A233)</f>
        <v>1034</v>
      </c>
      <c r="W233" s="48">
        <f t="shared" si="12"/>
        <v>0.01160541586</v>
      </c>
      <c r="X233" s="23">
        <f t="shared" ref="X233:Y233" si="333">IFERROR(N233/Q233,0)</f>
        <v>0.25</v>
      </c>
      <c r="Y233" s="49">
        <f t="shared" si="333"/>
        <v>0.2498736541</v>
      </c>
      <c r="Z233" s="49">
        <f t="shared" si="14"/>
        <v>0.75</v>
      </c>
      <c r="AA233" s="23">
        <f t="shared" si="15"/>
        <v>0.2498736541</v>
      </c>
      <c r="AB233" s="23">
        <f>IFERROR(AVERAGEIFS('Business - Dump'!$O:$O,'Business - Dump'!$B:$B,'Portfolio Wise '!$B233,'Business - Dump'!$A:$A,'Portfolio Wise '!$A233),0)</f>
        <v>0.6707333333</v>
      </c>
      <c r="AC233" s="49">
        <f>F233/SUMIFS('Campaign - Dump'!$Q:$Q,'Campaign - Dump'!$A:$A,'Portfolio Wise '!$A233)</f>
        <v>0.007084503116</v>
      </c>
      <c r="AD233" s="49">
        <f t="shared" si="16"/>
        <v>0.3333333333</v>
      </c>
    </row>
    <row r="234" ht="15.75" customHeight="1">
      <c r="A234" s="10" t="s">
        <v>61</v>
      </c>
      <c r="B234" s="33" t="s">
        <v>230</v>
      </c>
      <c r="C234" s="13">
        <f>SUMIFS('Campaign - Dump'!$N:$N,'Campaign - Dump'!$J:$J,'Portfolio Wise '!$B234,'Campaign - Dump'!$A:$A,'Portfolio Wise '!$A234)</f>
        <v>58641</v>
      </c>
      <c r="D234" s="13">
        <f>SUMIFS('Campaign - Dump'!$O:$O,'Campaign - Dump'!$J:$J,'Portfolio Wise '!$B234,'Campaign - Dump'!$A:$A,'Portfolio Wise '!$A234)</f>
        <v>181</v>
      </c>
      <c r="E234" s="23">
        <f t="shared" si="2"/>
        <v>0.00308657765</v>
      </c>
      <c r="F234" s="36">
        <f>SUMIFS('Campaign - Dump'!$Q:$Q,'Campaign - Dump'!$J:$J,'Portfolio Wise '!$B234,'Campaign - Dump'!$A:$A,'Portfolio Wise '!$A234)</f>
        <v>7732.36</v>
      </c>
      <c r="G234" s="38">
        <f t="shared" si="3"/>
        <v>42.72022099</v>
      </c>
      <c r="H234" s="41">
        <f>SUMIFS('Campaign - Dump'!$T:$T,'Campaign - Dump'!$J:$J,'Portfolio Wise '!$B234,'Campaign - Dump'!$A:$A,'Portfolio Wise '!$A234)</f>
        <v>1</v>
      </c>
      <c r="I234" s="23">
        <f t="shared" si="4"/>
        <v>0.005524861878</v>
      </c>
      <c r="J234" s="36">
        <f>SUMIFS('Campaign - Dump'!$U:$U,'Campaign - Dump'!$J:$J,'Portfolio Wise '!$B234,'Campaign - Dump'!$A:$A,'Portfolio Wise '!$A234)</f>
        <v>17966.1</v>
      </c>
      <c r="K234" s="23">
        <f t="shared" si="5"/>
        <v>0.4303861161</v>
      </c>
      <c r="L234" s="38">
        <f t="shared" si="6"/>
        <v>2.323495026</v>
      </c>
      <c r="M234" s="41">
        <f t="shared" si="7"/>
        <v>17966.1</v>
      </c>
      <c r="N234" s="13">
        <f t="shared" si="330"/>
        <v>10</v>
      </c>
      <c r="O234" s="36">
        <f t="shared" si="331"/>
        <v>242595.5271</v>
      </c>
      <c r="P234" s="41">
        <f t="shared" si="8"/>
        <v>24259.55271</v>
      </c>
      <c r="Q234" s="13">
        <f>SUMIFS('Business - Dump'!$W:$W,'Business - Dump'!$B:$B,'Portfolio Wise '!$B234,'Business - Dump'!$A:$A,'Portfolio Wise '!$A234)</f>
        <v>11</v>
      </c>
      <c r="R234" s="36">
        <f>SUMIFS('Business - Dump'!$U:$U,'Business - Dump'!$B:$B,'Portfolio Wise '!$B234,'Business - Dump'!$A:$A,'Portfolio Wise '!$A234)/1.18</f>
        <v>260561.6271</v>
      </c>
      <c r="S234" s="41">
        <f t="shared" si="9"/>
        <v>23687.42065</v>
      </c>
      <c r="T234" s="23">
        <f t="shared" si="10"/>
        <v>0.02967574345</v>
      </c>
      <c r="U234" s="38">
        <f t="shared" si="11"/>
        <v>33.6975551</v>
      </c>
      <c r="V234" s="41">
        <f>SUMIFS('Business - Dump'!$G:$G,'Business - Dump'!$B:$B,'Portfolio Wise '!$B234,'Business - Dump'!$A:$A,'Portfolio Wise '!$A234)</f>
        <v>1755</v>
      </c>
      <c r="W234" s="23">
        <f t="shared" si="12"/>
        <v>0.006267806268</v>
      </c>
      <c r="X234" s="23">
        <f t="shared" ref="X234:Y234" si="334">IFERROR(N234/Q234,0)</f>
        <v>0.9090909091</v>
      </c>
      <c r="Y234" s="49">
        <f t="shared" si="334"/>
        <v>0.9310485577</v>
      </c>
      <c r="Z234" s="49">
        <f t="shared" si="14"/>
        <v>0.09090909091</v>
      </c>
      <c r="AA234" s="23">
        <f t="shared" si="15"/>
        <v>0.9310485577</v>
      </c>
      <c r="AB234" s="23">
        <f>IFERROR(AVERAGEIFS('Business - Dump'!$O:$O,'Business - Dump'!$B:$B,'Portfolio Wise '!$B234,'Business - Dump'!$A:$A,'Portfolio Wise '!$A234),0)</f>
        <v>0.6815875</v>
      </c>
      <c r="AC234" s="49">
        <f>F234/SUMIFS('Campaign - Dump'!$Q:$Q,'Campaign - Dump'!$A:$A,'Portfolio Wise '!$A234)</f>
        <v>0.009298444912</v>
      </c>
      <c r="AD234" s="49">
        <f t="shared" si="16"/>
        <v>10</v>
      </c>
    </row>
    <row r="235" ht="15.75" customHeight="1">
      <c r="A235" s="10" t="s">
        <v>61</v>
      </c>
      <c r="B235" s="33" t="s">
        <v>230</v>
      </c>
      <c r="C235" s="13">
        <f>SUMIFS('Campaign - Dump'!$N:$N,'Campaign - Dump'!$J:$J,'Portfolio Wise '!$B235,'Campaign - Dump'!$A:$A,'Portfolio Wise '!$A235)</f>
        <v>58641</v>
      </c>
      <c r="D235" s="13">
        <f>SUMIFS('Campaign - Dump'!$O:$O,'Campaign - Dump'!$J:$J,'Portfolio Wise '!$B235,'Campaign - Dump'!$A:$A,'Portfolio Wise '!$A235)</f>
        <v>181</v>
      </c>
      <c r="E235" s="23">
        <f t="shared" si="2"/>
        <v>0.00308657765</v>
      </c>
      <c r="F235" s="36">
        <f>SUMIFS('Campaign - Dump'!$Q:$Q,'Campaign - Dump'!$J:$J,'Portfolio Wise '!$B235,'Campaign - Dump'!$A:$A,'Portfolio Wise '!$A235)</f>
        <v>7732.36</v>
      </c>
      <c r="G235" s="38">
        <f t="shared" si="3"/>
        <v>42.72022099</v>
      </c>
      <c r="H235" s="41">
        <f>SUMIFS('Campaign - Dump'!$T:$T,'Campaign - Dump'!$J:$J,'Portfolio Wise '!$B235,'Campaign - Dump'!$A:$A,'Portfolio Wise '!$A235)</f>
        <v>1</v>
      </c>
      <c r="I235" s="23">
        <f t="shared" si="4"/>
        <v>0.005524861878</v>
      </c>
      <c r="J235" s="36">
        <f>SUMIFS('Campaign - Dump'!$U:$U,'Campaign - Dump'!$J:$J,'Portfolio Wise '!$B235,'Campaign - Dump'!$A:$A,'Portfolio Wise '!$A235)</f>
        <v>17966.1</v>
      </c>
      <c r="K235" s="23">
        <f t="shared" si="5"/>
        <v>0.4303861161</v>
      </c>
      <c r="L235" s="38">
        <f t="shared" si="6"/>
        <v>2.323495026</v>
      </c>
      <c r="M235" s="41">
        <f t="shared" si="7"/>
        <v>17966.1</v>
      </c>
      <c r="N235" s="13">
        <f t="shared" si="330"/>
        <v>10</v>
      </c>
      <c r="O235" s="36">
        <f t="shared" si="331"/>
        <v>242595.5271</v>
      </c>
      <c r="P235" s="41">
        <f t="shared" si="8"/>
        <v>24259.55271</v>
      </c>
      <c r="Q235" s="13">
        <f>SUMIFS('Business - Dump'!$W:$W,'Business - Dump'!$B:$B,'Portfolio Wise '!$B235,'Business - Dump'!$A:$A,'Portfolio Wise '!$A235)</f>
        <v>11</v>
      </c>
      <c r="R235" s="36">
        <f>SUMIFS('Business - Dump'!$U:$U,'Business - Dump'!$B:$B,'Portfolio Wise '!$B235,'Business - Dump'!$A:$A,'Portfolio Wise '!$A235)/1.18</f>
        <v>260561.6271</v>
      </c>
      <c r="S235" s="41">
        <f t="shared" si="9"/>
        <v>23687.42065</v>
      </c>
      <c r="T235" s="23">
        <f t="shared" si="10"/>
        <v>0.02967574345</v>
      </c>
      <c r="U235" s="38">
        <f t="shared" si="11"/>
        <v>33.6975551</v>
      </c>
      <c r="V235" s="41">
        <f>SUMIFS('Business - Dump'!$G:$G,'Business - Dump'!$B:$B,'Portfolio Wise '!$B235,'Business - Dump'!$A:$A,'Portfolio Wise '!$A235)</f>
        <v>1755</v>
      </c>
      <c r="W235" s="23">
        <f t="shared" si="12"/>
        <v>0.006267806268</v>
      </c>
      <c r="X235" s="23">
        <f t="shared" ref="X235:Y235" si="335">IFERROR(N235/Q235,0)</f>
        <v>0.9090909091</v>
      </c>
      <c r="Y235" s="49">
        <f t="shared" si="335"/>
        <v>0.9310485577</v>
      </c>
      <c r="Z235" s="49">
        <f t="shared" si="14"/>
        <v>0.09090909091</v>
      </c>
      <c r="AA235" s="23">
        <f t="shared" si="15"/>
        <v>0.9310485577</v>
      </c>
      <c r="AB235" s="23">
        <f>IFERROR(AVERAGEIFS('Business - Dump'!$O:$O,'Business - Dump'!$B:$B,'Portfolio Wise '!$B235,'Business - Dump'!$A:$A,'Portfolio Wise '!$A235),0)</f>
        <v>0.6815875</v>
      </c>
      <c r="AC235" s="49">
        <f>F235/SUMIFS('Campaign - Dump'!$Q:$Q,'Campaign - Dump'!$A:$A,'Portfolio Wise '!$A235)</f>
        <v>0.009298444912</v>
      </c>
      <c r="AD235" s="49">
        <f t="shared" si="16"/>
        <v>10</v>
      </c>
    </row>
    <row r="236" ht="15.75" customHeight="1">
      <c r="A236" s="10" t="s">
        <v>61</v>
      </c>
      <c r="B236" s="19" t="s">
        <v>232</v>
      </c>
      <c r="C236" s="13">
        <f>SUMIFS('Campaign - Dump'!$N:$N,'Campaign - Dump'!$J:$J,'Portfolio Wise '!$B236,'Campaign - Dump'!$A:$A,'Portfolio Wise '!$A236)</f>
        <v>562773</v>
      </c>
      <c r="D236" s="13">
        <f>SUMIFS('Campaign - Dump'!$O:$O,'Campaign - Dump'!$J:$J,'Portfolio Wise '!$B236,'Campaign - Dump'!$A:$A,'Portfolio Wise '!$A236)</f>
        <v>1372</v>
      </c>
      <c r="E236" s="23">
        <f t="shared" si="2"/>
        <v>0.002437927903</v>
      </c>
      <c r="F236" s="36">
        <f>SUMIFS('Campaign - Dump'!$Q:$Q,'Campaign - Dump'!$J:$J,'Portfolio Wise '!$B236,'Campaign - Dump'!$A:$A,'Portfolio Wise '!$A236)</f>
        <v>50107.65</v>
      </c>
      <c r="G236" s="38">
        <f t="shared" si="3"/>
        <v>36.52161079</v>
      </c>
      <c r="H236" s="41">
        <f>SUMIFS('Campaign - Dump'!$T:$T,'Campaign - Dump'!$J:$J,'Portfolio Wise '!$B236,'Campaign - Dump'!$A:$A,'Portfolio Wise '!$A236)</f>
        <v>12</v>
      </c>
      <c r="I236" s="23">
        <f t="shared" si="4"/>
        <v>0.008746355685</v>
      </c>
      <c r="J236" s="36">
        <f>SUMIFS('Campaign - Dump'!$U:$U,'Campaign - Dump'!$J:$J,'Portfolio Wise '!$B236,'Campaign - Dump'!$A:$A,'Portfolio Wise '!$A236)</f>
        <v>207819.51</v>
      </c>
      <c r="K236" s="23">
        <f t="shared" si="5"/>
        <v>0.2411113855</v>
      </c>
      <c r="L236" s="38">
        <f t="shared" si="6"/>
        <v>4.147460717</v>
      </c>
      <c r="M236" s="41">
        <f t="shared" si="7"/>
        <v>17318.2925</v>
      </c>
      <c r="N236" s="13">
        <f t="shared" si="330"/>
        <v>5</v>
      </c>
      <c r="O236" s="36">
        <f t="shared" si="331"/>
        <v>71077.84593</v>
      </c>
      <c r="P236" s="41">
        <f t="shared" si="8"/>
        <v>14215.56919</v>
      </c>
      <c r="Q236" s="13">
        <f>SUMIFS('Business - Dump'!$W:$W,'Business - Dump'!$B:$B,'Portfolio Wise '!$B236,'Business - Dump'!$A:$A,'Portfolio Wise '!$A236)</f>
        <v>17</v>
      </c>
      <c r="R236" s="36">
        <f>SUMIFS('Business - Dump'!$U:$U,'Business - Dump'!$B:$B,'Portfolio Wise '!$B236,'Business - Dump'!$A:$A,'Portfolio Wise '!$A236)/1.18</f>
        <v>278897.3559</v>
      </c>
      <c r="S236" s="41">
        <f t="shared" si="9"/>
        <v>16405.72682</v>
      </c>
      <c r="T236" s="23">
        <f t="shared" si="10"/>
        <v>0.17966341</v>
      </c>
      <c r="U236" s="38">
        <f t="shared" si="11"/>
        <v>5.565963599</v>
      </c>
      <c r="V236" s="41">
        <f>SUMIFS('Business - Dump'!$G:$G,'Business - Dump'!$B:$B,'Portfolio Wise '!$B236,'Business - Dump'!$A:$A,'Portfolio Wise '!$A236)</f>
        <v>4453</v>
      </c>
      <c r="W236" s="48">
        <f t="shared" si="12"/>
        <v>0.003817651022</v>
      </c>
      <c r="X236" s="23">
        <f t="shared" ref="X236:Y236" si="336">IFERROR(N236/Q236,0)</f>
        <v>0.2941176471</v>
      </c>
      <c r="Y236" s="49">
        <f t="shared" si="336"/>
        <v>0.2548530648</v>
      </c>
      <c r="Z236" s="49">
        <f t="shared" si="14"/>
        <v>0.7058823529</v>
      </c>
      <c r="AA236" s="23">
        <f t="shared" si="15"/>
        <v>0.2548530648</v>
      </c>
      <c r="AB236" s="23">
        <f>IFERROR(AVERAGEIFS('Business - Dump'!$O:$O,'Business - Dump'!$B:$B,'Portfolio Wise '!$B236,'Business - Dump'!$A:$A,'Portfolio Wise '!$A236),0)</f>
        <v>0.9454</v>
      </c>
      <c r="AC236" s="49">
        <f>F236/SUMIFS('Campaign - Dump'!$Q:$Q,'Campaign - Dump'!$A:$A,'Portfolio Wise '!$A236)</f>
        <v>0.06025627664</v>
      </c>
      <c r="AD236" s="49">
        <f t="shared" si="16"/>
        <v>0.4166666667</v>
      </c>
    </row>
    <row r="237" ht="15.75" customHeight="1">
      <c r="A237" s="10" t="s">
        <v>61</v>
      </c>
      <c r="B237" s="51" t="s">
        <v>239</v>
      </c>
      <c r="C237" s="13">
        <f>SUMIFS('Campaign - Dump'!$N:$N,'Campaign - Dump'!$J:$J,'Portfolio Wise '!$B237,'Campaign - Dump'!$A:$A,'Portfolio Wise '!$A237)</f>
        <v>321230</v>
      </c>
      <c r="D237" s="13">
        <f>SUMIFS('Campaign - Dump'!$O:$O,'Campaign - Dump'!$J:$J,'Portfolio Wise '!$B237,'Campaign - Dump'!$A:$A,'Portfolio Wise '!$A237)</f>
        <v>1707</v>
      </c>
      <c r="E237" s="23">
        <f t="shared" si="2"/>
        <v>0.005313949507</v>
      </c>
      <c r="F237" s="36">
        <f>SUMIFS('Campaign - Dump'!$Q:$Q,'Campaign - Dump'!$J:$J,'Portfolio Wise '!$B237,'Campaign - Dump'!$A:$A,'Portfolio Wise '!$A237)</f>
        <v>26458.07</v>
      </c>
      <c r="G237" s="38">
        <f t="shared" si="3"/>
        <v>15.4997481</v>
      </c>
      <c r="H237" s="41">
        <f>SUMIFS('Campaign - Dump'!$T:$T,'Campaign - Dump'!$J:$J,'Portfolio Wise '!$B237,'Campaign - Dump'!$A:$A,'Portfolio Wise '!$A237)</f>
        <v>2</v>
      </c>
      <c r="I237" s="23">
        <f t="shared" si="4"/>
        <v>0.001171646163</v>
      </c>
      <c r="J237" s="36">
        <f>SUMIFS('Campaign - Dump'!$U:$U,'Campaign - Dump'!$J:$J,'Portfolio Wise '!$B237,'Campaign - Dump'!$A:$A,'Portfolio Wise '!$A237)</f>
        <v>40888.99</v>
      </c>
      <c r="K237" s="23">
        <f t="shared" si="5"/>
        <v>0.647070764</v>
      </c>
      <c r="L237" s="38">
        <f t="shared" si="6"/>
        <v>1.545426027</v>
      </c>
      <c r="M237" s="41">
        <f t="shared" si="7"/>
        <v>20444.495</v>
      </c>
      <c r="N237" s="13">
        <v>0.0</v>
      </c>
      <c r="O237" s="36">
        <v>0.0</v>
      </c>
      <c r="P237" s="41">
        <f t="shared" si="8"/>
        <v>0</v>
      </c>
      <c r="Q237" s="13">
        <f>SUMIFS('Business - Dump'!$W:$W,'Business - Dump'!$B:$B,'Portfolio Wise '!$B237,'Business - Dump'!$A:$A,'Portfolio Wise '!$A237)</f>
        <v>0</v>
      </c>
      <c r="R237" s="36">
        <f>SUMIFS('Business - Dump'!$U:$U,'Business - Dump'!$B:$B,'Portfolio Wise '!$B237,'Business - Dump'!$A:$A,'Portfolio Wise '!$A237)/1.18</f>
        <v>0</v>
      </c>
      <c r="S237" s="41">
        <f t="shared" si="9"/>
        <v>0</v>
      </c>
      <c r="T237" s="23">
        <f t="shared" si="10"/>
        <v>0</v>
      </c>
      <c r="U237" s="38">
        <f t="shared" si="11"/>
        <v>0</v>
      </c>
      <c r="V237" s="41">
        <f>SUMIFS('Business - Dump'!$G:$G,'Business - Dump'!$B:$B,'Portfolio Wise '!$B237,'Business - Dump'!$A:$A,'Portfolio Wise '!$A237)</f>
        <v>0</v>
      </c>
      <c r="W237" s="48">
        <f t="shared" si="12"/>
        <v>0</v>
      </c>
      <c r="X237" s="23">
        <f t="shared" ref="X237:Y237" si="337">IFERROR(N237/Q237,0)</f>
        <v>0</v>
      </c>
      <c r="Y237" s="49">
        <f t="shared" si="337"/>
        <v>0</v>
      </c>
      <c r="Z237" s="49">
        <f t="shared" si="14"/>
        <v>0</v>
      </c>
      <c r="AA237" s="23">
        <f t="shared" si="15"/>
        <v>0</v>
      </c>
      <c r="AB237" s="23">
        <f>IFERROR(AVERAGEIFS('Business - Dump'!$O:$O,'Business - Dump'!$B:$B,'Portfolio Wise '!$B237,'Business - Dump'!$A:$A,'Portfolio Wise '!$A237),0)</f>
        <v>0</v>
      </c>
      <c r="AC237" s="49">
        <f>F237/SUMIFS('Campaign - Dump'!$Q:$Q,'Campaign - Dump'!$A:$A,'Portfolio Wise '!$A237)</f>
        <v>0.03181679415</v>
      </c>
      <c r="AD237" s="49">
        <f t="shared" si="16"/>
        <v>0</v>
      </c>
    </row>
    <row r="238" ht="15.75" customHeight="1">
      <c r="A238" s="10" t="s">
        <v>61</v>
      </c>
      <c r="B238" s="19" t="s">
        <v>240</v>
      </c>
      <c r="C238" s="13">
        <f>SUMIFS('Campaign - Dump'!$N:$N,'Campaign - Dump'!$J:$J,'Portfolio Wise '!$B238,'Campaign - Dump'!$A:$A,'Portfolio Wise '!$A238)</f>
        <v>74091</v>
      </c>
      <c r="D238" s="13">
        <f>SUMIFS('Campaign - Dump'!$O:$O,'Campaign - Dump'!$J:$J,'Portfolio Wise '!$B238,'Campaign - Dump'!$A:$A,'Portfolio Wise '!$A238)</f>
        <v>545</v>
      </c>
      <c r="E238" s="23">
        <f t="shared" si="2"/>
        <v>0.007355819195</v>
      </c>
      <c r="F238" s="36">
        <f>SUMIFS('Campaign - Dump'!$Q:$Q,'Campaign - Dump'!$J:$J,'Portfolio Wise '!$B238,'Campaign - Dump'!$A:$A,'Portfolio Wise '!$A238)</f>
        <v>3784.27</v>
      </c>
      <c r="G238" s="38">
        <f t="shared" si="3"/>
        <v>6.943614679</v>
      </c>
      <c r="H238" s="41">
        <f>SUMIFS('Campaign - Dump'!$T:$T,'Campaign - Dump'!$J:$J,'Portfolio Wise '!$B238,'Campaign - Dump'!$A:$A,'Portfolio Wise '!$A238)</f>
        <v>10</v>
      </c>
      <c r="I238" s="23">
        <f t="shared" si="4"/>
        <v>0.01834862385</v>
      </c>
      <c r="J238" s="36">
        <f>SUMIFS('Campaign - Dump'!$U:$U,'Campaign - Dump'!$J:$J,'Portfolio Wise '!$B238,'Campaign - Dump'!$A:$A,'Portfolio Wise '!$A238)</f>
        <v>29143.22</v>
      </c>
      <c r="K238" s="23">
        <f t="shared" si="5"/>
        <v>0.1298507852</v>
      </c>
      <c r="L238" s="38">
        <f t="shared" si="6"/>
        <v>7.701147117</v>
      </c>
      <c r="M238" s="41">
        <f t="shared" si="7"/>
        <v>2914.322</v>
      </c>
      <c r="N238" s="13">
        <f t="shared" ref="N238:N240" si="339">IFERROR(Q238-H238,0)</f>
        <v>9</v>
      </c>
      <c r="O238" s="36">
        <f t="shared" ref="O238:O240" si="340">IFERROR(R238-J238,0)</f>
        <v>28549.15288</v>
      </c>
      <c r="P238" s="41">
        <f t="shared" si="8"/>
        <v>3172.128098</v>
      </c>
      <c r="Q238" s="13">
        <f>SUMIFS('Business - Dump'!$W:$W,'Business - Dump'!$B:$B,'Portfolio Wise '!$B238,'Business - Dump'!$A:$A,'Portfolio Wise '!$A238)</f>
        <v>19</v>
      </c>
      <c r="R238" s="36">
        <f>SUMIFS('Business - Dump'!$U:$U,'Business - Dump'!$B:$B,'Portfolio Wise '!$B238,'Business - Dump'!$A:$A,'Portfolio Wise '!$A238)/1.18</f>
        <v>57692.37288</v>
      </c>
      <c r="S238" s="41">
        <f t="shared" si="9"/>
        <v>3036.440678</v>
      </c>
      <c r="T238" s="23">
        <f t="shared" si="10"/>
        <v>0.06559393922</v>
      </c>
      <c r="U238" s="38">
        <f t="shared" si="11"/>
        <v>15.24531095</v>
      </c>
      <c r="V238" s="41">
        <f>SUMIFS('Business - Dump'!$G:$G,'Business - Dump'!$B:$B,'Portfolio Wise '!$B238,'Business - Dump'!$A:$A,'Portfolio Wise '!$A238)</f>
        <v>836</v>
      </c>
      <c r="W238" s="48">
        <f t="shared" si="12"/>
        <v>0.02272727273</v>
      </c>
      <c r="X238" s="23">
        <f t="shared" ref="X238:Y238" si="338">IFERROR(N238/Q238,0)</f>
        <v>0.4736842105</v>
      </c>
      <c r="Y238" s="49">
        <f t="shared" si="338"/>
        <v>0.4948514241</v>
      </c>
      <c r="Z238" s="49">
        <f t="shared" si="14"/>
        <v>0.5263157895</v>
      </c>
      <c r="AA238" s="23">
        <f t="shared" si="15"/>
        <v>0.4948514241</v>
      </c>
      <c r="AB238" s="23">
        <f>IFERROR(AVERAGEIFS('Business - Dump'!$O:$O,'Business - Dump'!$B:$B,'Portfolio Wise '!$B238,'Business - Dump'!$A:$A,'Portfolio Wise '!$A238),0)</f>
        <v>0.9284</v>
      </c>
      <c r="AC238" s="49">
        <f>F238/SUMIFS('Campaign - Dump'!$Q:$Q,'Campaign - Dump'!$A:$A,'Portfolio Wise '!$A238)</f>
        <v>0.004550722694</v>
      </c>
      <c r="AD238" s="49">
        <f t="shared" si="16"/>
        <v>0.9</v>
      </c>
    </row>
    <row r="239" ht="15.75" customHeight="1">
      <c r="A239" s="10" t="s">
        <v>61</v>
      </c>
      <c r="B239" s="10" t="s">
        <v>241</v>
      </c>
      <c r="C239" s="13">
        <f>SUMIFS('Campaign - Dump'!$N:$N,'Campaign - Dump'!$J:$J,'Portfolio Wise '!$B239,'Campaign - Dump'!$A:$A,'Portfolio Wise '!$A239)</f>
        <v>139991</v>
      </c>
      <c r="D239" s="13">
        <f>SUMIFS('Campaign - Dump'!$O:$O,'Campaign - Dump'!$J:$J,'Portfolio Wise '!$B239,'Campaign - Dump'!$A:$A,'Portfolio Wise '!$A239)</f>
        <v>277</v>
      </c>
      <c r="E239" s="23">
        <f t="shared" si="2"/>
        <v>0.001978698631</v>
      </c>
      <c r="F239" s="36">
        <f>SUMIFS('Campaign - Dump'!$Q:$Q,'Campaign - Dump'!$J:$J,'Portfolio Wise '!$B239,'Campaign - Dump'!$A:$A,'Portfolio Wise '!$A239)</f>
        <v>3017.18</v>
      </c>
      <c r="G239" s="38">
        <f t="shared" si="3"/>
        <v>10.89234657</v>
      </c>
      <c r="H239" s="41">
        <f>SUMIFS('Campaign - Dump'!$T:$T,'Campaign - Dump'!$J:$J,'Portfolio Wise '!$B239,'Campaign - Dump'!$A:$A,'Portfolio Wise '!$A239)</f>
        <v>2</v>
      </c>
      <c r="I239" s="23">
        <f t="shared" si="4"/>
        <v>0.007220216606</v>
      </c>
      <c r="J239" s="36">
        <f>SUMIFS('Campaign - Dump'!$U:$U,'Campaign - Dump'!$J:$J,'Portfolio Wise '!$B239,'Campaign - Dump'!$A:$A,'Portfolio Wise '!$A239)</f>
        <v>23495.76</v>
      </c>
      <c r="K239" s="23">
        <f t="shared" si="5"/>
        <v>0.1284138074</v>
      </c>
      <c r="L239" s="38">
        <f t="shared" si="6"/>
        <v>7.787324588</v>
      </c>
      <c r="M239" s="41">
        <f t="shared" si="7"/>
        <v>11747.88</v>
      </c>
      <c r="N239" s="13">
        <f t="shared" si="339"/>
        <v>6</v>
      </c>
      <c r="O239" s="36">
        <f t="shared" si="340"/>
        <v>-531.3532203</v>
      </c>
      <c r="P239" s="41">
        <f t="shared" si="8"/>
        <v>-88.55887006</v>
      </c>
      <c r="Q239" s="13">
        <f>SUMIFS('Business - Dump'!$W:$W,'Business - Dump'!$B:$B,'Portfolio Wise '!$B239,'Business - Dump'!$A:$A,'Portfolio Wise '!$A239)</f>
        <v>8</v>
      </c>
      <c r="R239" s="36">
        <f>SUMIFS('Business - Dump'!$U:$U,'Business - Dump'!$B:$B,'Portfolio Wise '!$B239,'Business - Dump'!$A:$A,'Portfolio Wise '!$A239)/1.18</f>
        <v>22964.40678</v>
      </c>
      <c r="S239" s="41">
        <f t="shared" si="9"/>
        <v>2870.550847</v>
      </c>
      <c r="T239" s="23">
        <f t="shared" si="10"/>
        <v>0.1313850616</v>
      </c>
      <c r="U239" s="38">
        <f t="shared" si="11"/>
        <v>7.611215367</v>
      </c>
      <c r="V239" s="41">
        <f>SUMIFS('Business - Dump'!$G:$G,'Business - Dump'!$B:$B,'Portfolio Wise '!$B239,'Business - Dump'!$A:$A,'Portfolio Wise '!$A239)</f>
        <v>680</v>
      </c>
      <c r="W239" s="48">
        <f t="shared" si="12"/>
        <v>0.01176470588</v>
      </c>
      <c r="X239" s="23">
        <f t="shared" ref="X239:Y239" si="341">IFERROR(N239/Q239,0)</f>
        <v>0.75</v>
      </c>
      <c r="Y239" s="49">
        <f t="shared" si="341"/>
        <v>-0.02313812089</v>
      </c>
      <c r="Z239" s="49">
        <f t="shared" si="14"/>
        <v>0.25</v>
      </c>
      <c r="AA239" s="23">
        <f t="shared" si="15"/>
        <v>-0.02313812089</v>
      </c>
      <c r="AB239" s="23">
        <f>IFERROR(AVERAGEIFS('Business - Dump'!$O:$O,'Business - Dump'!$B:$B,'Portfolio Wise '!$B239,'Business - Dump'!$A:$A,'Portfolio Wise '!$A239),0)</f>
        <v>0.9879666667</v>
      </c>
      <c r="AC239" s="49">
        <f>F239/SUMIFS('Campaign - Dump'!$Q:$Q,'Campaign - Dump'!$A:$A,'Portfolio Wise '!$A239)</f>
        <v>0.003628268992</v>
      </c>
      <c r="AD239" s="49">
        <f t="shared" si="16"/>
        <v>3</v>
      </c>
    </row>
    <row r="240" ht="15.75" customHeight="1">
      <c r="A240" s="10" t="s">
        <v>61</v>
      </c>
      <c r="B240" s="19" t="s">
        <v>248</v>
      </c>
      <c r="C240" s="13">
        <f>SUMIFS('Campaign - Dump'!$N:$N,'Campaign - Dump'!$J:$J,'Portfolio Wise '!$B240,'Campaign - Dump'!$A:$A,'Portfolio Wise '!$A240)</f>
        <v>0</v>
      </c>
      <c r="D240" s="13">
        <f>SUMIFS('Campaign - Dump'!$O:$O,'Campaign - Dump'!$J:$J,'Portfolio Wise '!$B240,'Campaign - Dump'!$A:$A,'Portfolio Wise '!$A240)</f>
        <v>0</v>
      </c>
      <c r="E240" s="23">
        <f t="shared" si="2"/>
        <v>0</v>
      </c>
      <c r="F240" s="36">
        <f>SUMIFS('Campaign - Dump'!$Q:$Q,'Campaign - Dump'!$J:$J,'Portfolio Wise '!$B240,'Campaign - Dump'!$A:$A,'Portfolio Wise '!$A240)</f>
        <v>0</v>
      </c>
      <c r="G240" s="38">
        <f t="shared" si="3"/>
        <v>0</v>
      </c>
      <c r="H240" s="41">
        <f>SUMIFS('Campaign - Dump'!$T:$T,'Campaign - Dump'!$J:$J,'Portfolio Wise '!$B240,'Campaign - Dump'!$A:$A,'Portfolio Wise '!$A240)</f>
        <v>0</v>
      </c>
      <c r="I240" s="23">
        <f t="shared" si="4"/>
        <v>0</v>
      </c>
      <c r="J240" s="36">
        <f>SUMIFS('Campaign - Dump'!$U:$U,'Campaign - Dump'!$J:$J,'Portfolio Wise '!$B240,'Campaign - Dump'!$A:$A,'Portfolio Wise '!$A240)</f>
        <v>0</v>
      </c>
      <c r="K240" s="23">
        <f t="shared" si="5"/>
        <v>0</v>
      </c>
      <c r="L240" s="38">
        <f t="shared" si="6"/>
        <v>0</v>
      </c>
      <c r="M240" s="41">
        <f t="shared" si="7"/>
        <v>0</v>
      </c>
      <c r="N240" s="13">
        <f t="shared" si="339"/>
        <v>1</v>
      </c>
      <c r="O240" s="36">
        <f t="shared" si="340"/>
        <v>9830.508475</v>
      </c>
      <c r="P240" s="41">
        <f t="shared" si="8"/>
        <v>9830.508475</v>
      </c>
      <c r="Q240" s="13">
        <f>SUMIFS('Business - Dump'!$W:$W,'Business - Dump'!$B:$B,'Portfolio Wise '!$B240,'Business - Dump'!$A:$A,'Portfolio Wise '!$A240)</f>
        <v>1</v>
      </c>
      <c r="R240" s="36">
        <f>SUMIFS('Business - Dump'!$U:$U,'Business - Dump'!$B:$B,'Portfolio Wise '!$B240,'Business - Dump'!$A:$A,'Portfolio Wise '!$A240)/1.18</f>
        <v>9830.508475</v>
      </c>
      <c r="S240" s="41">
        <f t="shared" si="9"/>
        <v>9830.508475</v>
      </c>
      <c r="T240" s="23">
        <f t="shared" si="10"/>
        <v>0</v>
      </c>
      <c r="U240" s="38">
        <f t="shared" si="11"/>
        <v>0</v>
      </c>
      <c r="V240" s="41">
        <f>SUMIFS('Business - Dump'!$G:$G,'Business - Dump'!$B:$B,'Portfolio Wise '!$B240,'Business - Dump'!$A:$A,'Portfolio Wise '!$A240)</f>
        <v>72</v>
      </c>
      <c r="W240" s="48">
        <f t="shared" si="12"/>
        <v>0.01388888889</v>
      </c>
      <c r="X240" s="23">
        <f t="shared" ref="X240:Y240" si="342">IFERROR(N240/Q240,0)</f>
        <v>1</v>
      </c>
      <c r="Y240" s="49">
        <f t="shared" si="342"/>
        <v>1</v>
      </c>
      <c r="Z240" s="49">
        <f t="shared" si="14"/>
        <v>0</v>
      </c>
      <c r="AA240" s="23">
        <f t="shared" si="15"/>
        <v>1</v>
      </c>
      <c r="AB240" s="23">
        <f>IFERROR(AVERAGEIFS('Business - Dump'!$O:$O,'Business - Dump'!$B:$B,'Portfolio Wise '!$B240,'Business - Dump'!$A:$A,'Portfolio Wise '!$A240),0)</f>
        <v>0.7974333333</v>
      </c>
      <c r="AC240" s="49">
        <f>F240/SUMIFS('Campaign - Dump'!$Q:$Q,'Campaign - Dump'!$A:$A,'Portfolio Wise '!$A240)</f>
        <v>0</v>
      </c>
      <c r="AD240" s="49">
        <f t="shared" si="16"/>
        <v>0</v>
      </c>
    </row>
    <row r="241" ht="15.75" customHeight="1">
      <c r="A241" s="10" t="s">
        <v>61</v>
      </c>
      <c r="B241" s="126" t="s">
        <v>476</v>
      </c>
      <c r="C241" s="127">
        <f t="shared" ref="C241:D241" si="343">SUM(C218:C240)</f>
        <v>8051932</v>
      </c>
      <c r="D241" s="127">
        <f t="shared" si="343"/>
        <v>31928</v>
      </c>
      <c r="E241" s="62">
        <f t="shared" si="2"/>
        <v>0.003965259518</v>
      </c>
      <c r="F241" s="128">
        <f>SUM(F218:F240)</f>
        <v>847816.31</v>
      </c>
      <c r="G241" s="129">
        <f t="shared" si="3"/>
        <v>26.5540062</v>
      </c>
      <c r="H241" s="130">
        <f>SUM(H218:H240)</f>
        <v>230</v>
      </c>
      <c r="I241" s="62">
        <f t="shared" si="4"/>
        <v>0.007203708344</v>
      </c>
      <c r="J241" s="128">
        <f>SUM(J218:J240)</f>
        <v>3944393.42</v>
      </c>
      <c r="K241" s="62">
        <f t="shared" si="5"/>
        <v>0.2149421266</v>
      </c>
      <c r="L241" s="129">
        <f t="shared" si="6"/>
        <v>4.65241512</v>
      </c>
      <c r="M241" s="130">
        <f t="shared" si="7"/>
        <v>17149.53661</v>
      </c>
      <c r="N241" s="127">
        <f t="shared" ref="N241:O241" si="344">SUM(N218:N240)</f>
        <v>262</v>
      </c>
      <c r="O241" s="128">
        <f t="shared" si="344"/>
        <v>4452616.881</v>
      </c>
      <c r="P241" s="130">
        <f t="shared" si="8"/>
        <v>16994.72092</v>
      </c>
      <c r="Q241" s="127">
        <f t="shared" ref="Q241:R241" si="345">SUM(Q218:Q240)</f>
        <v>401</v>
      </c>
      <c r="R241" s="128">
        <f t="shared" si="345"/>
        <v>6423717.831</v>
      </c>
      <c r="S241" s="130">
        <f t="shared" si="9"/>
        <v>16019.24646</v>
      </c>
      <c r="T241" s="62">
        <f t="shared" si="10"/>
        <v>0.1319821842</v>
      </c>
      <c r="U241" s="129">
        <f t="shared" si="11"/>
        <v>7.5767802</v>
      </c>
      <c r="V241" s="130">
        <f>SUM(V218:V240)</f>
        <v>74810</v>
      </c>
      <c r="W241" s="131">
        <f t="shared" si="12"/>
        <v>0.005360245956</v>
      </c>
      <c r="X241" s="62">
        <f t="shared" ref="X241:Y241" si="346">IFERROR(N241/Q241,0)</f>
        <v>0.6533665835</v>
      </c>
      <c r="Y241" s="132">
        <f t="shared" si="346"/>
        <v>0.6931526256</v>
      </c>
      <c r="Z241" s="132">
        <f t="shared" si="14"/>
        <v>0.5735660848</v>
      </c>
      <c r="AA241" s="62">
        <f t="shared" si="15"/>
        <v>0.6931526256</v>
      </c>
      <c r="AB241" s="62">
        <f>IFERROR(AVERAGEIFS('Business - Dump'!$O:$O,'Business - Dump'!$B:$B,'Portfolio Wise '!$B241,'Business - Dump'!$A:$A,'Portfolio Wise '!$A241),0)</f>
        <v>0</v>
      </c>
      <c r="AC241" s="132">
        <f>F241/SUMIFS('Campaign - Dump'!$Q:$Q,'Campaign - Dump'!$A:$A,'Portfolio Wise '!$A241)</f>
        <v>1.019530034</v>
      </c>
      <c r="AD241" s="132">
        <f t="shared" si="16"/>
        <v>1.139130435</v>
      </c>
    </row>
    <row r="242" ht="15.75" customHeight="1">
      <c r="A242" s="10" t="s">
        <v>63</v>
      </c>
      <c r="B242" s="33" t="s">
        <v>90</v>
      </c>
      <c r="C242" s="13">
        <f>SUMIFS('Campaign - Dump'!$N:$N,'Campaign - Dump'!$J:$J,'Portfolio Wise '!$B242,'Campaign - Dump'!$A:$A,'Portfolio Wise '!$A242)</f>
        <v>2794918</v>
      </c>
      <c r="D242" s="13">
        <f>SUMIFS('Campaign - Dump'!$O:$O,'Campaign - Dump'!$J:$J,'Portfolio Wise '!$B242,'Campaign - Dump'!$A:$A,'Portfolio Wise '!$A242)</f>
        <v>9108</v>
      </c>
      <c r="E242" s="23">
        <f t="shared" si="2"/>
        <v>0.003258771814</v>
      </c>
      <c r="F242" s="36">
        <f>SUMIFS('Campaign - Dump'!$Q:$Q,'Campaign - Dump'!$J:$J,'Portfolio Wise '!$B242,'Campaign - Dump'!$A:$A,'Portfolio Wise '!$A242)</f>
        <v>50774.78</v>
      </c>
      <c r="G242" s="38">
        <f t="shared" si="3"/>
        <v>5.574745279</v>
      </c>
      <c r="H242" s="41">
        <f>SUMIFS('Campaign - Dump'!$T:$T,'Campaign - Dump'!$J:$J,'Portfolio Wise '!$B242,'Campaign - Dump'!$A:$A,'Portfolio Wise '!$A242)</f>
        <v>6</v>
      </c>
      <c r="I242" s="23">
        <f t="shared" si="4"/>
        <v>0.0006587615283</v>
      </c>
      <c r="J242" s="36">
        <f>SUMIFS('Campaign - Dump'!$U:$U,'Campaign - Dump'!$J:$J,'Portfolio Wise '!$B242,'Campaign - Dump'!$A:$A,'Portfolio Wise '!$A242)</f>
        <v>168966.1</v>
      </c>
      <c r="K242" s="23">
        <f t="shared" si="5"/>
        <v>0.3005027636</v>
      </c>
      <c r="L242" s="38">
        <f t="shared" si="6"/>
        <v>3.327756418</v>
      </c>
      <c r="M242" s="41">
        <f t="shared" si="7"/>
        <v>28161.01667</v>
      </c>
      <c r="N242" s="13">
        <v>0.0</v>
      </c>
      <c r="O242" s="36">
        <v>0.0</v>
      </c>
      <c r="P242" s="41">
        <f t="shared" si="8"/>
        <v>0</v>
      </c>
      <c r="Q242" s="13">
        <f>SUMIFS('Business - Dump'!$W:$W,'Business - Dump'!$B:$B,'Portfolio Wise '!$B242,'Business - Dump'!$A:$A,'Portfolio Wise '!$A242)</f>
        <v>0</v>
      </c>
      <c r="R242" s="36">
        <f>SUMIFS('Business - Dump'!$U:$U,'Business - Dump'!$B:$B,'Portfolio Wise '!$B242,'Business - Dump'!$A:$A,'Portfolio Wise '!$A242)/1.18</f>
        <v>0</v>
      </c>
      <c r="S242" s="41">
        <f t="shared" si="9"/>
        <v>0</v>
      </c>
      <c r="T242" s="23">
        <f t="shared" si="10"/>
        <v>0</v>
      </c>
      <c r="U242" s="38">
        <f t="shared" si="11"/>
        <v>0</v>
      </c>
      <c r="V242" s="41">
        <f>SUMIFS('Business - Dump'!$G:$G,'Business - Dump'!$B:$B,'Portfolio Wise '!$B242,'Business - Dump'!$A:$A,'Portfolio Wise '!$A242)</f>
        <v>0</v>
      </c>
      <c r="W242" s="48">
        <f t="shared" si="12"/>
        <v>0</v>
      </c>
      <c r="X242" s="23">
        <f t="shared" ref="X242:Y242" si="347">IFERROR(N242/Q242,0)</f>
        <v>0</v>
      </c>
      <c r="Y242" s="49">
        <f t="shared" si="347"/>
        <v>0</v>
      </c>
      <c r="Z242" s="49">
        <f t="shared" si="14"/>
        <v>0</v>
      </c>
      <c r="AA242" s="23">
        <f t="shared" si="15"/>
        <v>0</v>
      </c>
      <c r="AB242" s="23">
        <f>IFERROR(AVERAGEIFS('Business - Dump'!$O:$O,'Business - Dump'!$B:$B,'Portfolio Wise '!$B242,'Business - Dump'!$A:$A,'Portfolio Wise '!$A242),0)</f>
        <v>0</v>
      </c>
      <c r="AC242" s="49">
        <f>F242/SUMIFS('Campaign - Dump'!$Q:$Q,'Campaign - Dump'!$A:$A,'Portfolio Wise '!$A242)</f>
        <v>0.03650702388</v>
      </c>
      <c r="AD242" s="49">
        <f t="shared" si="16"/>
        <v>0</v>
      </c>
    </row>
    <row r="243" ht="15.75" customHeight="1">
      <c r="A243" s="10" t="s">
        <v>63</v>
      </c>
      <c r="B243" s="51" t="s">
        <v>110</v>
      </c>
      <c r="C243" s="13">
        <f>SUMIFS('Campaign - Dump'!$N:$N,'Campaign - Dump'!$J:$J,'Portfolio Wise '!$B243,'Campaign - Dump'!$A:$A,'Portfolio Wise '!$A243)</f>
        <v>0</v>
      </c>
      <c r="D243" s="13">
        <f>SUMIFS('Campaign - Dump'!$O:$O,'Campaign - Dump'!$J:$J,'Portfolio Wise '!$B243,'Campaign - Dump'!$A:$A,'Portfolio Wise '!$A243)</f>
        <v>0</v>
      </c>
      <c r="E243" s="23">
        <f t="shared" si="2"/>
        <v>0</v>
      </c>
      <c r="F243" s="36">
        <f>SUMIFS('Campaign - Dump'!$Q:$Q,'Campaign - Dump'!$J:$J,'Portfolio Wise '!$B243,'Campaign - Dump'!$A:$A,'Portfolio Wise '!$A243)</f>
        <v>0</v>
      </c>
      <c r="G243" s="38">
        <f t="shared" si="3"/>
        <v>0</v>
      </c>
      <c r="H243" s="41">
        <f>SUMIFS('Campaign - Dump'!$T:$T,'Campaign - Dump'!$J:$J,'Portfolio Wise '!$B243,'Campaign - Dump'!$A:$A,'Portfolio Wise '!$A243)</f>
        <v>0</v>
      </c>
      <c r="I243" s="23">
        <f t="shared" si="4"/>
        <v>0</v>
      </c>
      <c r="J243" s="36">
        <f>SUMIFS('Campaign - Dump'!$U:$U,'Campaign - Dump'!$J:$J,'Portfolio Wise '!$B243,'Campaign - Dump'!$A:$A,'Portfolio Wise '!$A243)</f>
        <v>0</v>
      </c>
      <c r="K243" s="23">
        <f t="shared" si="5"/>
        <v>0</v>
      </c>
      <c r="L243" s="38">
        <f t="shared" si="6"/>
        <v>0</v>
      </c>
      <c r="M243" s="41">
        <f t="shared" si="7"/>
        <v>0</v>
      </c>
      <c r="N243" s="13">
        <f t="shared" ref="N243:N244" si="349">IFERROR(Q243-H243,0)</f>
        <v>0</v>
      </c>
      <c r="O243" s="36">
        <f t="shared" ref="O243:O244" si="350">IFERROR(R243-J243,0)</f>
        <v>0</v>
      </c>
      <c r="P243" s="41">
        <f t="shared" si="8"/>
        <v>0</v>
      </c>
      <c r="Q243" s="13">
        <f>SUMIFS('Business - Dump'!$W:$W,'Business - Dump'!$B:$B,'Portfolio Wise '!$B243,'Business - Dump'!$A:$A,'Portfolio Wise '!$A243)</f>
        <v>0</v>
      </c>
      <c r="R243" s="36">
        <f>SUMIFS('Business - Dump'!$U:$U,'Business - Dump'!$B:$B,'Portfolio Wise '!$B243,'Business - Dump'!$A:$A,'Portfolio Wise '!$A243)/1.18</f>
        <v>0</v>
      </c>
      <c r="S243" s="41">
        <f t="shared" si="9"/>
        <v>0</v>
      </c>
      <c r="T243" s="23">
        <f t="shared" si="10"/>
        <v>0</v>
      </c>
      <c r="U243" s="38">
        <f t="shared" si="11"/>
        <v>0</v>
      </c>
      <c r="V243" s="41">
        <f>SUMIFS('Business - Dump'!$G:$G,'Business - Dump'!$B:$B,'Portfolio Wise '!$B243,'Business - Dump'!$A:$A,'Portfolio Wise '!$A243)</f>
        <v>0</v>
      </c>
      <c r="W243" s="48">
        <f t="shared" si="12"/>
        <v>0</v>
      </c>
      <c r="X243" s="23">
        <f t="shared" ref="X243:Y243" si="348">IFERROR(N243/Q243,0)</f>
        <v>0</v>
      </c>
      <c r="Y243" s="49">
        <f t="shared" si="348"/>
        <v>0</v>
      </c>
      <c r="Z243" s="49">
        <f t="shared" si="14"/>
        <v>0</v>
      </c>
      <c r="AA243" s="23">
        <f t="shared" si="15"/>
        <v>0</v>
      </c>
      <c r="AB243" s="23">
        <f>IFERROR(AVERAGEIFS('Business - Dump'!$O:$O,'Business - Dump'!$B:$B,'Portfolio Wise '!$B243,'Business - Dump'!$A:$A,'Portfolio Wise '!$A243),0)</f>
        <v>0</v>
      </c>
      <c r="AC243" s="49">
        <f>F243/SUMIFS('Campaign - Dump'!$Q:$Q,'Campaign - Dump'!$A:$A,'Portfolio Wise '!$A243)</f>
        <v>0</v>
      </c>
      <c r="AD243" s="49">
        <f t="shared" si="16"/>
        <v>0</v>
      </c>
    </row>
    <row r="244" ht="15.75" customHeight="1">
      <c r="A244" s="10" t="s">
        <v>63</v>
      </c>
      <c r="B244" s="51" t="s">
        <v>119</v>
      </c>
      <c r="C244" s="13">
        <f>SUMIFS('Campaign - Dump'!$N:$N,'Campaign - Dump'!$J:$J,'Portfolio Wise '!$B244,'Campaign - Dump'!$A:$A,'Portfolio Wise '!$A244)</f>
        <v>0</v>
      </c>
      <c r="D244" s="13">
        <f>SUMIFS('Campaign - Dump'!$O:$O,'Campaign - Dump'!$J:$J,'Portfolio Wise '!$B244,'Campaign - Dump'!$A:$A,'Portfolio Wise '!$A244)</f>
        <v>0</v>
      </c>
      <c r="E244" s="23">
        <f t="shared" si="2"/>
        <v>0</v>
      </c>
      <c r="F244" s="36">
        <f>SUMIFS('Campaign - Dump'!$Q:$Q,'Campaign - Dump'!$J:$J,'Portfolio Wise '!$B244,'Campaign - Dump'!$A:$A,'Portfolio Wise '!$A244)</f>
        <v>0</v>
      </c>
      <c r="G244" s="38">
        <f t="shared" si="3"/>
        <v>0</v>
      </c>
      <c r="H244" s="41">
        <f>SUMIFS('Campaign - Dump'!$T:$T,'Campaign - Dump'!$J:$J,'Portfolio Wise '!$B244,'Campaign - Dump'!$A:$A,'Portfolio Wise '!$A244)</f>
        <v>0</v>
      </c>
      <c r="I244" s="23">
        <f t="shared" si="4"/>
        <v>0</v>
      </c>
      <c r="J244" s="36">
        <f>SUMIFS('Campaign - Dump'!$U:$U,'Campaign - Dump'!$J:$J,'Portfolio Wise '!$B244,'Campaign - Dump'!$A:$A,'Portfolio Wise '!$A244)</f>
        <v>0</v>
      </c>
      <c r="K244" s="23">
        <f t="shared" si="5"/>
        <v>0</v>
      </c>
      <c r="L244" s="38">
        <f t="shared" si="6"/>
        <v>0</v>
      </c>
      <c r="M244" s="41">
        <f t="shared" si="7"/>
        <v>0</v>
      </c>
      <c r="N244" s="13">
        <f t="shared" si="349"/>
        <v>2</v>
      </c>
      <c r="O244" s="36">
        <f t="shared" si="350"/>
        <v>11779.66102</v>
      </c>
      <c r="P244" s="41">
        <f t="shared" si="8"/>
        <v>5889.830508</v>
      </c>
      <c r="Q244" s="13">
        <f>SUMIFS('Business - Dump'!$W:$W,'Business - Dump'!$B:$B,'Portfolio Wise '!$B244,'Business - Dump'!$A:$A,'Portfolio Wise '!$A244)</f>
        <v>2</v>
      </c>
      <c r="R244" s="36">
        <f>SUMIFS('Business - Dump'!$U:$U,'Business - Dump'!$B:$B,'Portfolio Wise '!$B244,'Business - Dump'!$A:$A,'Portfolio Wise '!$A244)/1.18</f>
        <v>11779.66102</v>
      </c>
      <c r="S244" s="41">
        <f t="shared" si="9"/>
        <v>5889.830508</v>
      </c>
      <c r="T244" s="23">
        <f t="shared" si="10"/>
        <v>0</v>
      </c>
      <c r="U244" s="38">
        <f t="shared" si="11"/>
        <v>0</v>
      </c>
      <c r="V244" s="41">
        <f>SUMIFS('Business - Dump'!$G:$G,'Business - Dump'!$B:$B,'Portfolio Wise '!$B244,'Business - Dump'!$A:$A,'Portfolio Wise '!$A244)</f>
        <v>1365</v>
      </c>
      <c r="W244" s="48">
        <f t="shared" si="12"/>
        <v>0.001465201465</v>
      </c>
      <c r="X244" s="23">
        <f t="shared" ref="X244:Y244" si="351">IFERROR(N244/Q244,0)</f>
        <v>1</v>
      </c>
      <c r="Y244" s="49">
        <f t="shared" si="351"/>
        <v>1</v>
      </c>
      <c r="Z244" s="49">
        <f t="shared" si="14"/>
        <v>0</v>
      </c>
      <c r="AA244" s="23">
        <f t="shared" si="15"/>
        <v>1</v>
      </c>
      <c r="AB244" s="23">
        <f>IFERROR(AVERAGEIFS('Business - Dump'!$O:$O,'Business - Dump'!$B:$B,'Portfolio Wise '!$B244,'Business - Dump'!$A:$A,'Portfolio Wise '!$A244),0)</f>
        <v>0.7985</v>
      </c>
      <c r="AC244" s="49">
        <f>F244/SUMIFS('Campaign - Dump'!$Q:$Q,'Campaign - Dump'!$A:$A,'Portfolio Wise '!$A244)</f>
        <v>0</v>
      </c>
      <c r="AD244" s="49">
        <f t="shared" si="16"/>
        <v>0</v>
      </c>
    </row>
    <row r="245" ht="15.75" customHeight="1">
      <c r="A245" s="10" t="s">
        <v>63</v>
      </c>
      <c r="B245" s="19" t="s">
        <v>128</v>
      </c>
      <c r="C245" s="13">
        <f>SUMIFS('Campaign - Dump'!$N:$N,'Campaign - Dump'!$J:$J,'Portfolio Wise '!$B245,'Campaign - Dump'!$A:$A,'Portfolio Wise '!$A245)</f>
        <v>1513957</v>
      </c>
      <c r="D245" s="13">
        <f>SUMIFS('Campaign - Dump'!$O:$O,'Campaign - Dump'!$J:$J,'Portfolio Wise '!$B245,'Campaign - Dump'!$A:$A,'Portfolio Wise '!$A245)</f>
        <v>5578</v>
      </c>
      <c r="E245" s="23">
        <f t="shared" si="2"/>
        <v>0.003684384695</v>
      </c>
      <c r="F245" s="36">
        <f>SUMIFS('Campaign - Dump'!$Q:$Q,'Campaign - Dump'!$J:$J,'Portfolio Wise '!$B245,'Campaign - Dump'!$A:$A,'Portfolio Wise '!$A245)</f>
        <v>234320.55</v>
      </c>
      <c r="G245" s="38">
        <f t="shared" si="3"/>
        <v>42.00798673</v>
      </c>
      <c r="H245" s="41">
        <f>SUMIFS('Campaign - Dump'!$T:$T,'Campaign - Dump'!$J:$J,'Portfolio Wise '!$B245,'Campaign - Dump'!$A:$A,'Portfolio Wise '!$A245)</f>
        <v>166</v>
      </c>
      <c r="I245" s="23">
        <f t="shared" si="4"/>
        <v>0.02975977053</v>
      </c>
      <c r="J245" s="36">
        <f>SUMIFS('Campaign - Dump'!$U:$U,'Campaign - Dump'!$J:$J,'Portfolio Wise '!$B245,'Campaign - Dump'!$A:$A,'Portfolio Wise '!$A245)</f>
        <v>3341633.16</v>
      </c>
      <c r="K245" s="23">
        <f t="shared" si="5"/>
        <v>0.07012156595</v>
      </c>
      <c r="L245" s="38">
        <f t="shared" si="6"/>
        <v>14.26094792</v>
      </c>
      <c r="M245" s="41">
        <f t="shared" si="7"/>
        <v>20130.32024</v>
      </c>
      <c r="N245" s="13">
        <v>0.0</v>
      </c>
      <c r="O245" s="36">
        <v>0.0</v>
      </c>
      <c r="P245" s="41">
        <f t="shared" si="8"/>
        <v>0</v>
      </c>
      <c r="Q245" s="13">
        <f>SUMIFS('Business - Dump'!$W:$W,'Business - Dump'!$B:$B,'Portfolio Wise '!$B245,'Business - Dump'!$A:$A,'Portfolio Wise '!$A245)</f>
        <v>0</v>
      </c>
      <c r="R245" s="36">
        <f>SUMIFS('Business - Dump'!$U:$U,'Business - Dump'!$B:$B,'Portfolio Wise '!$B245,'Business - Dump'!$A:$A,'Portfolio Wise '!$A245)/1.18</f>
        <v>0</v>
      </c>
      <c r="S245" s="41">
        <f t="shared" si="9"/>
        <v>0</v>
      </c>
      <c r="T245" s="23">
        <f t="shared" si="10"/>
        <v>0</v>
      </c>
      <c r="U245" s="38">
        <f t="shared" si="11"/>
        <v>0</v>
      </c>
      <c r="V245" s="41">
        <f>SUMIFS('Business - Dump'!$G:$G,'Business - Dump'!$B:$B,'Portfolio Wise '!$B245,'Business - Dump'!$A:$A,'Portfolio Wise '!$A245)</f>
        <v>0</v>
      </c>
      <c r="W245" s="48">
        <f t="shared" si="12"/>
        <v>0</v>
      </c>
      <c r="X245" s="23">
        <f t="shared" ref="X245:Y245" si="352">IFERROR(N245/Q245,0)</f>
        <v>0</v>
      </c>
      <c r="Y245" s="49">
        <f t="shared" si="352"/>
        <v>0</v>
      </c>
      <c r="Z245" s="49">
        <f t="shared" si="14"/>
        <v>0</v>
      </c>
      <c r="AA245" s="23">
        <f t="shared" si="15"/>
        <v>0</v>
      </c>
      <c r="AB245" s="23">
        <f>IFERROR(AVERAGEIFS('Business - Dump'!$O:$O,'Business - Dump'!$B:$B,'Portfolio Wise '!$B245,'Business - Dump'!$A:$A,'Portfolio Wise '!$A245),0)</f>
        <v>0</v>
      </c>
      <c r="AC245" s="49">
        <f>F245/SUMIFS('Campaign - Dump'!$Q:$Q,'Campaign - Dump'!$A:$A,'Portfolio Wise '!$A245)</f>
        <v>0.1684762773</v>
      </c>
      <c r="AD245" s="49">
        <f t="shared" si="16"/>
        <v>0</v>
      </c>
    </row>
    <row r="246" ht="15.75" customHeight="1">
      <c r="A246" s="10" t="s">
        <v>63</v>
      </c>
      <c r="B246" s="19" t="s">
        <v>134</v>
      </c>
      <c r="C246" s="13">
        <f>SUMIFS('Campaign - Dump'!$N:$N,'Campaign - Dump'!$J:$J,'Portfolio Wise '!$B246,'Campaign - Dump'!$A:$A,'Portfolio Wise '!$A246)</f>
        <v>2599626</v>
      </c>
      <c r="D246" s="13">
        <f>SUMIFS('Campaign - Dump'!$O:$O,'Campaign - Dump'!$J:$J,'Portfolio Wise '!$B246,'Campaign - Dump'!$A:$A,'Portfolio Wise '!$A246)</f>
        <v>17087</v>
      </c>
      <c r="E246" s="23">
        <f t="shared" si="2"/>
        <v>0.006572868559</v>
      </c>
      <c r="F246" s="36">
        <f>SUMIFS('Campaign - Dump'!$Q:$Q,'Campaign - Dump'!$J:$J,'Portfolio Wise '!$B246,'Campaign - Dump'!$A:$A,'Portfolio Wise '!$A246)</f>
        <v>551279.11</v>
      </c>
      <c r="G246" s="38">
        <f t="shared" si="3"/>
        <v>32.26307193</v>
      </c>
      <c r="H246" s="41">
        <f>SUMIFS('Campaign - Dump'!$T:$T,'Campaign - Dump'!$J:$J,'Portfolio Wise '!$B246,'Campaign - Dump'!$A:$A,'Portfolio Wise '!$A246)</f>
        <v>105</v>
      </c>
      <c r="I246" s="23">
        <f t="shared" si="4"/>
        <v>0.006145022532</v>
      </c>
      <c r="J246" s="36">
        <f>SUMIFS('Campaign - Dump'!$U:$U,'Campaign - Dump'!$J:$J,'Portfolio Wise '!$B246,'Campaign - Dump'!$A:$A,'Portfolio Wise '!$A246)</f>
        <v>1870753.47</v>
      </c>
      <c r="K246" s="23">
        <f t="shared" si="5"/>
        <v>0.2946829279</v>
      </c>
      <c r="L246" s="38">
        <f t="shared" si="6"/>
        <v>3.393477888</v>
      </c>
      <c r="M246" s="130">
        <f t="shared" si="7"/>
        <v>17816.69971</v>
      </c>
      <c r="N246" s="13">
        <f t="shared" ref="N246:N252" si="354">IFERROR(Q246-H246,0)</f>
        <v>84</v>
      </c>
      <c r="O246" s="36">
        <f t="shared" ref="O246:O252" si="355">IFERROR(R246-J246,0)</f>
        <v>1542999.233</v>
      </c>
      <c r="P246" s="41">
        <f t="shared" si="8"/>
        <v>18369.03849</v>
      </c>
      <c r="Q246" s="13">
        <f>SUMIFS('Business - Dump'!$W:$W,'Business - Dump'!$B:$B,'Portfolio Wise '!$B246,'Business - Dump'!$A:$A,'Portfolio Wise '!$A246)</f>
        <v>189</v>
      </c>
      <c r="R246" s="36">
        <f>SUMIFS('Business - Dump'!$U:$U,'Business - Dump'!$B:$B,'Portfolio Wise '!$B246,'Business - Dump'!$A:$A,'Portfolio Wise '!$A246)/1.18</f>
        <v>3413752.703</v>
      </c>
      <c r="S246" s="41">
        <f t="shared" si="9"/>
        <v>18062.18362</v>
      </c>
      <c r="T246" s="23">
        <f t="shared" si="10"/>
        <v>0.161487711</v>
      </c>
      <c r="U246" s="38">
        <f t="shared" si="11"/>
        <v>6.192421663</v>
      </c>
      <c r="V246" s="41">
        <f>SUMIFS('Business - Dump'!$G:$G,'Business - Dump'!$B:$B,'Portfolio Wise '!$B246,'Business - Dump'!$A:$A,'Portfolio Wise '!$A246)</f>
        <v>33483</v>
      </c>
      <c r="W246" s="23">
        <f t="shared" si="12"/>
        <v>0.005644655497</v>
      </c>
      <c r="X246" s="23">
        <f t="shared" ref="X246:Y246" si="353">IFERROR(N246/Q246,0)</f>
        <v>0.4444444444</v>
      </c>
      <c r="Y246" s="49">
        <f t="shared" si="353"/>
        <v>0.4519950235</v>
      </c>
      <c r="Z246" s="49">
        <f t="shared" si="14"/>
        <v>0.5555555556</v>
      </c>
      <c r="AA246" s="23">
        <f t="shared" si="15"/>
        <v>0.4519950235</v>
      </c>
      <c r="AB246" s="23">
        <f>IFERROR(AVERAGEIFS('Business - Dump'!$O:$O,'Business - Dump'!$B:$B,'Portfolio Wise '!$B246,'Business - Dump'!$A:$A,'Portfolio Wise '!$A246),0)</f>
        <v>0.8891555556</v>
      </c>
      <c r="AC246" s="49">
        <f>F246/SUMIFS('Campaign - Dump'!$Q:$Q,'Campaign - Dump'!$A:$A,'Portfolio Wise '!$A246)</f>
        <v>0.3963692139</v>
      </c>
      <c r="AD246" s="49">
        <f t="shared" si="16"/>
        <v>0.8</v>
      </c>
    </row>
    <row r="247" ht="15.75" customHeight="1">
      <c r="A247" s="10" t="s">
        <v>63</v>
      </c>
      <c r="B247" s="19" t="s">
        <v>140</v>
      </c>
      <c r="C247" s="13">
        <f>SUMIFS('Campaign - Dump'!$N:$N,'Campaign - Dump'!$J:$J,'Portfolio Wise '!$B247,'Campaign - Dump'!$A:$A,'Portfolio Wise '!$A247)</f>
        <v>1016106</v>
      </c>
      <c r="D247" s="13">
        <f>SUMIFS('Campaign - Dump'!$O:$O,'Campaign - Dump'!$J:$J,'Portfolio Wise '!$B247,'Campaign - Dump'!$A:$A,'Portfolio Wise '!$A247)</f>
        <v>1459</v>
      </c>
      <c r="E247" s="23">
        <f t="shared" si="2"/>
        <v>0.001435873816</v>
      </c>
      <c r="F247" s="36">
        <f>SUMIFS('Campaign - Dump'!$Q:$Q,'Campaign - Dump'!$J:$J,'Portfolio Wise '!$B247,'Campaign - Dump'!$A:$A,'Portfolio Wise '!$A247)</f>
        <v>89437.25</v>
      </c>
      <c r="G247" s="38">
        <f t="shared" si="3"/>
        <v>61.30037697</v>
      </c>
      <c r="H247" s="41">
        <f>SUMIFS('Campaign - Dump'!$T:$T,'Campaign - Dump'!$J:$J,'Portfolio Wise '!$B247,'Campaign - Dump'!$A:$A,'Portfolio Wise '!$A247)</f>
        <v>10</v>
      </c>
      <c r="I247" s="23">
        <f t="shared" si="4"/>
        <v>0.006854009596</v>
      </c>
      <c r="J247" s="36">
        <f>SUMIFS('Campaign - Dump'!$U:$U,'Campaign - Dump'!$J:$J,'Portfolio Wise '!$B247,'Campaign - Dump'!$A:$A,'Portfolio Wise '!$A247)</f>
        <v>179686.44</v>
      </c>
      <c r="K247" s="23">
        <f t="shared" si="5"/>
        <v>0.4977406754</v>
      </c>
      <c r="L247" s="38">
        <f t="shared" si="6"/>
        <v>2.00907832</v>
      </c>
      <c r="M247" s="41">
        <f t="shared" si="7"/>
        <v>17968.644</v>
      </c>
      <c r="N247" s="13">
        <f t="shared" si="354"/>
        <v>34</v>
      </c>
      <c r="O247" s="36">
        <f t="shared" si="355"/>
        <v>1061590.204</v>
      </c>
      <c r="P247" s="41">
        <f t="shared" si="8"/>
        <v>31223.2413</v>
      </c>
      <c r="Q247" s="13">
        <f>SUMIFS('Business - Dump'!$W:$W,'Business - Dump'!$B:$B,'Portfolio Wise '!$B247,'Business - Dump'!$A:$A,'Portfolio Wise '!$A247)</f>
        <v>44</v>
      </c>
      <c r="R247" s="36">
        <f>SUMIFS('Business - Dump'!$U:$U,'Business - Dump'!$B:$B,'Portfolio Wise '!$B247,'Business - Dump'!$A:$A,'Portfolio Wise '!$A247)/1.18</f>
        <v>1241276.644</v>
      </c>
      <c r="S247" s="41">
        <f t="shared" si="9"/>
        <v>28210.83282</v>
      </c>
      <c r="T247" s="23">
        <f t="shared" si="10"/>
        <v>0.07205263261</v>
      </c>
      <c r="U247" s="38">
        <f t="shared" si="11"/>
        <v>13.87874341</v>
      </c>
      <c r="V247" s="41">
        <f>SUMIFS('Business - Dump'!$G:$G,'Business - Dump'!$B:$B,'Portfolio Wise '!$B247,'Business - Dump'!$A:$A,'Portfolio Wise '!$A247)</f>
        <v>8474</v>
      </c>
      <c r="W247" s="23">
        <f t="shared" si="12"/>
        <v>0.00519235308</v>
      </c>
      <c r="X247" s="23">
        <f t="shared" ref="X247:Y247" si="356">IFERROR(N247/Q247,0)</f>
        <v>0.7727272727</v>
      </c>
      <c r="Y247" s="49">
        <f t="shared" si="356"/>
        <v>0.8552406179</v>
      </c>
      <c r="Z247" s="49">
        <f t="shared" si="14"/>
        <v>0.2272727273</v>
      </c>
      <c r="AA247" s="23">
        <f t="shared" si="15"/>
        <v>0.8552406179</v>
      </c>
      <c r="AB247" s="23">
        <f>IFERROR(AVERAGEIFS('Business - Dump'!$O:$O,'Business - Dump'!$B:$B,'Portfolio Wise '!$B247,'Business - Dump'!$A:$A,'Portfolio Wise '!$A247),0)</f>
        <v>0.853075</v>
      </c>
      <c r="AC247" s="49">
        <f>F247/SUMIFS('Campaign - Dump'!$Q:$Q,'Campaign - Dump'!$A:$A,'Portfolio Wise '!$A247)</f>
        <v>0.06430530712</v>
      </c>
      <c r="AD247" s="49">
        <f t="shared" si="16"/>
        <v>3.4</v>
      </c>
    </row>
    <row r="248" ht="15.75" customHeight="1">
      <c r="A248" s="10" t="s">
        <v>63</v>
      </c>
      <c r="B248" s="10" t="s">
        <v>152</v>
      </c>
      <c r="C248" s="13">
        <f>SUMIFS('Campaign - Dump'!$N:$N,'Campaign - Dump'!$J:$J,'Portfolio Wise '!$B248,'Campaign - Dump'!$A:$A,'Portfolio Wise '!$A248)</f>
        <v>0</v>
      </c>
      <c r="D248" s="13">
        <f>SUMIFS('Campaign - Dump'!$O:$O,'Campaign - Dump'!$J:$J,'Portfolio Wise '!$B248,'Campaign - Dump'!$A:$A,'Portfolio Wise '!$A248)</f>
        <v>0</v>
      </c>
      <c r="E248" s="23">
        <f t="shared" si="2"/>
        <v>0</v>
      </c>
      <c r="F248" s="36">
        <f>SUMIFS('Campaign - Dump'!$Q:$Q,'Campaign - Dump'!$J:$J,'Portfolio Wise '!$B248,'Campaign - Dump'!$A:$A,'Portfolio Wise '!$A248)</f>
        <v>0</v>
      </c>
      <c r="G248" s="38">
        <f t="shared" si="3"/>
        <v>0</v>
      </c>
      <c r="H248" s="41">
        <f>SUMIFS('Campaign - Dump'!$T:$T,'Campaign - Dump'!$J:$J,'Portfolio Wise '!$B248,'Campaign - Dump'!$A:$A,'Portfolio Wise '!$A248)</f>
        <v>0</v>
      </c>
      <c r="I248" s="23">
        <f t="shared" si="4"/>
        <v>0</v>
      </c>
      <c r="J248" s="36">
        <f>SUMIFS('Campaign - Dump'!$U:$U,'Campaign - Dump'!$J:$J,'Portfolio Wise '!$B248,'Campaign - Dump'!$A:$A,'Portfolio Wise '!$A248)</f>
        <v>0</v>
      </c>
      <c r="K248" s="23">
        <f t="shared" si="5"/>
        <v>0</v>
      </c>
      <c r="L248" s="38">
        <f t="shared" si="6"/>
        <v>0</v>
      </c>
      <c r="M248" s="41">
        <f t="shared" si="7"/>
        <v>0</v>
      </c>
      <c r="N248" s="13">
        <f t="shared" si="354"/>
        <v>1</v>
      </c>
      <c r="O248" s="36">
        <f t="shared" si="355"/>
        <v>13983.05085</v>
      </c>
      <c r="P248" s="41">
        <f t="shared" si="8"/>
        <v>13983.05085</v>
      </c>
      <c r="Q248" s="13">
        <f>SUMIFS('Business - Dump'!$W:$W,'Business - Dump'!$B:$B,'Portfolio Wise '!$B248,'Business - Dump'!$A:$A,'Portfolio Wise '!$A248)</f>
        <v>1</v>
      </c>
      <c r="R248" s="36">
        <f>SUMIFS('Business - Dump'!$U:$U,'Business - Dump'!$B:$B,'Portfolio Wise '!$B248,'Business - Dump'!$A:$A,'Portfolio Wise '!$A248)/1.18</f>
        <v>13983.05085</v>
      </c>
      <c r="S248" s="41">
        <f t="shared" si="9"/>
        <v>13983.05085</v>
      </c>
      <c r="T248" s="23">
        <f t="shared" si="10"/>
        <v>0</v>
      </c>
      <c r="U248" s="38">
        <f t="shared" si="11"/>
        <v>0</v>
      </c>
      <c r="V248" s="41">
        <f>SUMIFS('Business - Dump'!$G:$G,'Business - Dump'!$B:$B,'Portfolio Wise '!$B248,'Business - Dump'!$A:$A,'Portfolio Wise '!$A248)</f>
        <v>293</v>
      </c>
      <c r="W248" s="48">
        <f t="shared" si="12"/>
        <v>0.003412969283</v>
      </c>
      <c r="X248" s="23">
        <f t="shared" ref="X248:Y248" si="357">IFERROR(N248/Q248,0)</f>
        <v>1</v>
      </c>
      <c r="Y248" s="49">
        <f t="shared" si="357"/>
        <v>1</v>
      </c>
      <c r="Z248" s="49">
        <f t="shared" si="14"/>
        <v>0</v>
      </c>
      <c r="AA248" s="23">
        <f t="shared" si="15"/>
        <v>1</v>
      </c>
      <c r="AB248" s="23">
        <f>IFERROR(AVERAGEIFS('Business - Dump'!$O:$O,'Business - Dump'!$B:$B,'Portfolio Wise '!$B248,'Business - Dump'!$A:$A,'Portfolio Wise '!$A248),0)</f>
        <v>0.85775</v>
      </c>
      <c r="AC248" s="49">
        <f>F248/SUMIFS('Campaign - Dump'!$Q:$Q,'Campaign - Dump'!$A:$A,'Portfolio Wise '!$A248)</f>
        <v>0</v>
      </c>
      <c r="AD248" s="49">
        <f t="shared" si="16"/>
        <v>0</v>
      </c>
    </row>
    <row r="249" ht="15.75" customHeight="1">
      <c r="A249" s="10" t="s">
        <v>63</v>
      </c>
      <c r="B249" s="19" t="s">
        <v>158</v>
      </c>
      <c r="C249" s="13">
        <f>SUMIFS('Campaign - Dump'!$N:$N,'Campaign - Dump'!$J:$J,'Portfolio Wise '!$B249,'Campaign - Dump'!$A:$A,'Portfolio Wise '!$A249)</f>
        <v>973161</v>
      </c>
      <c r="D249" s="13">
        <f>SUMIFS('Campaign - Dump'!$O:$O,'Campaign - Dump'!$J:$J,'Portfolio Wise '!$B249,'Campaign - Dump'!$A:$A,'Portfolio Wise '!$A249)</f>
        <v>2530</v>
      </c>
      <c r="E249" s="23">
        <f t="shared" si="2"/>
        <v>0.002599775371</v>
      </c>
      <c r="F249" s="36">
        <f>SUMIFS('Campaign - Dump'!$Q:$Q,'Campaign - Dump'!$J:$J,'Portfolio Wise '!$B249,'Campaign - Dump'!$A:$A,'Portfolio Wise '!$A249)</f>
        <v>44509.38</v>
      </c>
      <c r="G249" s="38">
        <f t="shared" si="3"/>
        <v>17.59264032</v>
      </c>
      <c r="H249" s="41">
        <f>SUMIFS('Campaign - Dump'!$T:$T,'Campaign - Dump'!$J:$J,'Portfolio Wise '!$B249,'Campaign - Dump'!$A:$A,'Portfolio Wise '!$A249)</f>
        <v>37</v>
      </c>
      <c r="I249" s="23">
        <f t="shared" si="4"/>
        <v>0.01462450593</v>
      </c>
      <c r="J249" s="36">
        <f>SUMIFS('Campaign - Dump'!$U:$U,'Campaign - Dump'!$J:$J,'Portfolio Wise '!$B249,'Campaign - Dump'!$A:$A,'Portfolio Wise '!$A249)</f>
        <v>168836.47</v>
      </c>
      <c r="K249" s="23">
        <f t="shared" si="5"/>
        <v>0.2636242039</v>
      </c>
      <c r="L249" s="38">
        <f t="shared" si="6"/>
        <v>3.793278406</v>
      </c>
      <c r="M249" s="41">
        <f t="shared" si="7"/>
        <v>4563.147838</v>
      </c>
      <c r="N249" s="13">
        <f t="shared" si="354"/>
        <v>5</v>
      </c>
      <c r="O249" s="36">
        <f t="shared" si="355"/>
        <v>-43010.19881</v>
      </c>
      <c r="P249" s="41">
        <f t="shared" si="8"/>
        <v>-8602.039763</v>
      </c>
      <c r="Q249" s="13">
        <f>SUMIFS('Business - Dump'!$W:$W,'Business - Dump'!$B:$B,'Portfolio Wise '!$B249,'Business - Dump'!$A:$A,'Portfolio Wise '!$A249)</f>
        <v>42</v>
      </c>
      <c r="R249" s="36">
        <f>SUMIFS('Business - Dump'!$U:$U,'Business - Dump'!$B:$B,'Portfolio Wise '!$B249,'Business - Dump'!$A:$A,'Portfolio Wise '!$A249)/1.18</f>
        <v>125826.2712</v>
      </c>
      <c r="S249" s="41">
        <f t="shared" si="9"/>
        <v>2995.8636</v>
      </c>
      <c r="T249" s="23">
        <f t="shared" si="10"/>
        <v>0.3537367799</v>
      </c>
      <c r="U249" s="38">
        <f t="shared" si="11"/>
        <v>2.826960771</v>
      </c>
      <c r="V249" s="41">
        <f>SUMIFS('Business - Dump'!$G:$G,'Business - Dump'!$B:$B,'Portfolio Wise '!$B249,'Business - Dump'!$A:$A,'Portfolio Wise '!$A249)</f>
        <v>3897</v>
      </c>
      <c r="W249" s="48">
        <f t="shared" si="12"/>
        <v>0.01077752117</v>
      </c>
      <c r="X249" s="23">
        <f t="shared" ref="X249:Y249" si="358">IFERROR(N249/Q249,0)</f>
        <v>0.119047619</v>
      </c>
      <c r="Y249" s="49">
        <f t="shared" si="358"/>
        <v>-0.3418220886</v>
      </c>
      <c r="Z249" s="49">
        <f t="shared" si="14"/>
        <v>0.880952381</v>
      </c>
      <c r="AA249" s="23">
        <f t="shared" si="15"/>
        <v>-0.3418220886</v>
      </c>
      <c r="AB249" s="23">
        <f>IFERROR(AVERAGEIFS('Business - Dump'!$O:$O,'Business - Dump'!$B:$B,'Portfolio Wise '!$B249,'Business - Dump'!$A:$A,'Portfolio Wise '!$A249),0)</f>
        <v>0.97805</v>
      </c>
      <c r="AC249" s="49">
        <f>F249/SUMIFS('Campaign - Dump'!$Q:$Q,'Campaign - Dump'!$A:$A,'Portfolio Wise '!$A249)</f>
        <v>0.03200220658</v>
      </c>
      <c r="AD249" s="49">
        <f t="shared" si="16"/>
        <v>0.1351351351</v>
      </c>
    </row>
    <row r="250" ht="15.75" customHeight="1">
      <c r="A250" s="10" t="s">
        <v>63</v>
      </c>
      <c r="B250" s="33" t="s">
        <v>170</v>
      </c>
      <c r="C250" s="13">
        <f>SUMIFS('Campaign - Dump'!$N:$N,'Campaign - Dump'!$J:$J,'Portfolio Wise '!$B250,'Campaign - Dump'!$A:$A,'Portfolio Wise '!$A250)</f>
        <v>95656</v>
      </c>
      <c r="D250" s="13">
        <f>SUMIFS('Campaign - Dump'!$O:$O,'Campaign - Dump'!$J:$J,'Portfolio Wise '!$B250,'Campaign - Dump'!$A:$A,'Portfolio Wise '!$A250)</f>
        <v>417</v>
      </c>
      <c r="E250" s="23">
        <f t="shared" si="2"/>
        <v>0.00435937108</v>
      </c>
      <c r="F250" s="36">
        <f>SUMIFS('Campaign - Dump'!$Q:$Q,'Campaign - Dump'!$J:$J,'Portfolio Wise '!$B250,'Campaign - Dump'!$A:$A,'Portfolio Wise '!$A250)</f>
        <v>9310.96</v>
      </c>
      <c r="G250" s="38">
        <f t="shared" si="3"/>
        <v>22.32844125</v>
      </c>
      <c r="H250" s="41">
        <f>SUMIFS('Campaign - Dump'!$T:$T,'Campaign - Dump'!$J:$J,'Portfolio Wise '!$B250,'Campaign - Dump'!$A:$A,'Portfolio Wise '!$A250)</f>
        <v>1</v>
      </c>
      <c r="I250" s="23">
        <f t="shared" si="4"/>
        <v>0.002398081535</v>
      </c>
      <c r="J250" s="36">
        <f>SUMIFS('Campaign - Dump'!$U:$U,'Campaign - Dump'!$J:$J,'Portfolio Wise '!$B250,'Campaign - Dump'!$A:$A,'Portfolio Wise '!$A250)</f>
        <v>5923.72</v>
      </c>
      <c r="K250" s="23">
        <f t="shared" si="5"/>
        <v>1.571809606</v>
      </c>
      <c r="L250" s="38">
        <f t="shared" si="6"/>
        <v>0.6362093705</v>
      </c>
      <c r="M250" s="41">
        <f t="shared" si="7"/>
        <v>5923.72</v>
      </c>
      <c r="N250" s="13">
        <f t="shared" si="354"/>
        <v>9</v>
      </c>
      <c r="O250" s="36">
        <f t="shared" si="355"/>
        <v>62000.00881</v>
      </c>
      <c r="P250" s="41">
        <f t="shared" si="8"/>
        <v>6888.889868</v>
      </c>
      <c r="Q250" s="13">
        <f>SUMIFS('Business - Dump'!$W:$W,'Business - Dump'!$B:$B,'Portfolio Wise '!$B250,'Business - Dump'!$A:$A,'Portfolio Wise '!$A250)</f>
        <v>10</v>
      </c>
      <c r="R250" s="36">
        <f>SUMIFS('Business - Dump'!$U:$U,'Business - Dump'!$B:$B,'Portfolio Wise '!$B250,'Business - Dump'!$A:$A,'Portfolio Wise '!$A250)/1.18</f>
        <v>67923.72881</v>
      </c>
      <c r="S250" s="41">
        <f t="shared" si="9"/>
        <v>6792.372881</v>
      </c>
      <c r="T250" s="23">
        <f t="shared" si="10"/>
        <v>0.1370796357</v>
      </c>
      <c r="U250" s="38">
        <f t="shared" si="11"/>
        <v>7.295029601</v>
      </c>
      <c r="V250" s="41">
        <f>SUMIFS('Business - Dump'!$G:$G,'Business - Dump'!$B:$B,'Portfolio Wise '!$B250,'Business - Dump'!$A:$A,'Portfolio Wise '!$A250)</f>
        <v>1010</v>
      </c>
      <c r="W250" s="48">
        <f t="shared" si="12"/>
        <v>0.009900990099</v>
      </c>
      <c r="X250" s="23">
        <f t="shared" ref="X250:Y250" si="359">IFERROR(N250/Q250,0)</f>
        <v>0.9</v>
      </c>
      <c r="Y250" s="49">
        <f t="shared" si="359"/>
        <v>0.9127886513</v>
      </c>
      <c r="Z250" s="49">
        <f t="shared" si="14"/>
        <v>0.1</v>
      </c>
      <c r="AA250" s="23">
        <f t="shared" si="15"/>
        <v>0.9127886513</v>
      </c>
      <c r="AB250" s="23">
        <f>IFERROR(AVERAGEIFS('Business - Dump'!$O:$O,'Business - Dump'!$B:$B,'Portfolio Wise '!$B250,'Business - Dump'!$A:$A,'Portfolio Wise '!$A250),0)</f>
        <v>0.89955</v>
      </c>
      <c r="AC250" s="49">
        <f>F250/SUMIFS('Campaign - Dump'!$Q:$Q,'Campaign - Dump'!$A:$A,'Portfolio Wise '!$A250)</f>
        <v>0.006694572366</v>
      </c>
      <c r="AD250" s="49">
        <f t="shared" si="16"/>
        <v>9</v>
      </c>
    </row>
    <row r="251" ht="15.75" customHeight="1">
      <c r="A251" s="10" t="s">
        <v>63</v>
      </c>
      <c r="B251" s="51" t="s">
        <v>176</v>
      </c>
      <c r="C251" s="13">
        <f>SUMIFS('Campaign - Dump'!$N:$N,'Campaign - Dump'!$J:$J,'Portfolio Wise '!$B251,'Campaign - Dump'!$A:$A,'Portfolio Wise '!$A251)</f>
        <v>51367</v>
      </c>
      <c r="D251" s="13">
        <f>SUMIFS('Campaign - Dump'!$O:$O,'Campaign - Dump'!$J:$J,'Portfolio Wise '!$B251,'Campaign - Dump'!$A:$A,'Portfolio Wise '!$A251)</f>
        <v>281</v>
      </c>
      <c r="E251" s="23">
        <f t="shared" si="2"/>
        <v>0.005470438219</v>
      </c>
      <c r="F251" s="36">
        <f>SUMIFS('Campaign - Dump'!$Q:$Q,'Campaign - Dump'!$J:$J,'Portfolio Wise '!$B251,'Campaign - Dump'!$A:$A,'Portfolio Wise '!$A251)</f>
        <v>10026.4</v>
      </c>
      <c r="G251" s="38">
        <f t="shared" si="3"/>
        <v>35.68113879</v>
      </c>
      <c r="H251" s="41">
        <f>SUMIFS('Campaign - Dump'!$T:$T,'Campaign - Dump'!$J:$J,'Portfolio Wise '!$B251,'Campaign - Dump'!$A:$A,'Portfolio Wise '!$A251)</f>
        <v>8</v>
      </c>
      <c r="I251" s="23">
        <f t="shared" si="4"/>
        <v>0.02846975089</v>
      </c>
      <c r="J251" s="36">
        <f>SUMIFS('Campaign - Dump'!$U:$U,'Campaign - Dump'!$J:$J,'Portfolio Wise '!$B251,'Campaign - Dump'!$A:$A,'Portfolio Wise '!$A251)</f>
        <v>228072.04</v>
      </c>
      <c r="K251" s="23">
        <f t="shared" si="5"/>
        <v>0.04396154829</v>
      </c>
      <c r="L251" s="38">
        <f t="shared" si="6"/>
        <v>22.74715152</v>
      </c>
      <c r="M251" s="41">
        <f t="shared" si="7"/>
        <v>28509.005</v>
      </c>
      <c r="N251" s="13">
        <f t="shared" si="354"/>
        <v>91</v>
      </c>
      <c r="O251" s="36">
        <f t="shared" si="355"/>
        <v>1534965.782</v>
      </c>
      <c r="P251" s="41">
        <f t="shared" si="8"/>
        <v>16867.75585</v>
      </c>
      <c r="Q251" s="13">
        <f>SUMIFS('Business - Dump'!$W:$W,'Business - Dump'!$B:$B,'Portfolio Wise '!$B251,'Business - Dump'!$A:$A,'Portfolio Wise '!$A251)</f>
        <v>99</v>
      </c>
      <c r="R251" s="36">
        <f>SUMIFS('Business - Dump'!$U:$U,'Business - Dump'!$B:$B,'Portfolio Wise '!$B251,'Business - Dump'!$A:$A,'Portfolio Wise '!$A251)/1.18</f>
        <v>1763037.822</v>
      </c>
      <c r="S251" s="41">
        <f t="shared" si="9"/>
        <v>17808.46285</v>
      </c>
      <c r="T251" s="23">
        <f t="shared" si="10"/>
        <v>0.005687002216</v>
      </c>
      <c r="U251" s="38">
        <f t="shared" si="11"/>
        <v>175.8395657</v>
      </c>
      <c r="V251" s="41">
        <f>SUMIFS('Business - Dump'!$G:$G,'Business - Dump'!$B:$B,'Portfolio Wise '!$B251,'Business - Dump'!$A:$A,'Portfolio Wise '!$A251)</f>
        <v>10441</v>
      </c>
      <c r="W251" s="48">
        <f t="shared" si="12"/>
        <v>0.009481850397</v>
      </c>
      <c r="X251" s="23">
        <f t="shared" ref="X251:Y251" si="360">IFERROR(N251/Q251,0)</f>
        <v>0.9191919192</v>
      </c>
      <c r="Y251" s="49">
        <f t="shared" si="360"/>
        <v>0.8706368989</v>
      </c>
      <c r="Z251" s="49">
        <f t="shared" si="14"/>
        <v>0.08080808081</v>
      </c>
      <c r="AA251" s="23">
        <f t="shared" si="15"/>
        <v>0.8706368989</v>
      </c>
      <c r="AB251" s="23">
        <f>IFERROR(AVERAGEIFS('Business - Dump'!$O:$O,'Business - Dump'!$B:$B,'Portfolio Wise '!$B251,'Business - Dump'!$A:$A,'Portfolio Wise '!$A251),0)</f>
        <v>0.8853111111</v>
      </c>
      <c r="AC251" s="49">
        <f>F251/SUMIFS('Campaign - Dump'!$Q:$Q,'Campaign - Dump'!$A:$A,'Portfolio Wise '!$A251)</f>
        <v>0.007208973121</v>
      </c>
      <c r="AD251" s="49">
        <f t="shared" si="16"/>
        <v>11.375</v>
      </c>
    </row>
    <row r="252" ht="15.75" customHeight="1">
      <c r="A252" s="10" t="s">
        <v>63</v>
      </c>
      <c r="B252" s="100" t="s">
        <v>182</v>
      </c>
      <c r="C252" s="13">
        <f>SUMIFS('Campaign - Dump'!$N:$N,'Campaign - Dump'!$J:$J,'Portfolio Wise '!$B252,'Campaign - Dump'!$A:$A,'Portfolio Wise '!$A252)</f>
        <v>243703</v>
      </c>
      <c r="D252" s="13">
        <f>SUMIFS('Campaign - Dump'!$O:$O,'Campaign - Dump'!$J:$J,'Portfolio Wise '!$B252,'Campaign - Dump'!$A:$A,'Portfolio Wise '!$A252)</f>
        <v>572</v>
      </c>
      <c r="E252" s="23">
        <f t="shared" si="2"/>
        <v>0.002347119239</v>
      </c>
      <c r="F252" s="36">
        <f>SUMIFS('Campaign - Dump'!$Q:$Q,'Campaign - Dump'!$J:$J,'Portfolio Wise '!$B252,'Campaign - Dump'!$A:$A,'Portfolio Wise '!$A252)</f>
        <v>21580.95</v>
      </c>
      <c r="G252" s="38">
        <f t="shared" si="3"/>
        <v>37.72893357</v>
      </c>
      <c r="H252" s="41">
        <f>SUMIFS('Campaign - Dump'!$T:$T,'Campaign - Dump'!$J:$J,'Portfolio Wise '!$B252,'Campaign - Dump'!$A:$A,'Portfolio Wise '!$A252)</f>
        <v>4</v>
      </c>
      <c r="I252" s="23">
        <f t="shared" si="4"/>
        <v>0.006993006993</v>
      </c>
      <c r="J252" s="36">
        <f>SUMIFS('Campaign - Dump'!$U:$U,'Campaign - Dump'!$J:$J,'Portfolio Wise '!$B252,'Campaign - Dump'!$A:$A,'Portfolio Wise '!$A252)</f>
        <v>106644.07</v>
      </c>
      <c r="K252" s="23">
        <f t="shared" si="5"/>
        <v>0.2023642759</v>
      </c>
      <c r="L252" s="38">
        <f t="shared" si="6"/>
        <v>4.941583665</v>
      </c>
      <c r="M252" s="41">
        <f t="shared" si="7"/>
        <v>26661.0175</v>
      </c>
      <c r="N252" s="13">
        <f t="shared" si="354"/>
        <v>22</v>
      </c>
      <c r="O252" s="36">
        <f t="shared" si="355"/>
        <v>577022.4724</v>
      </c>
      <c r="P252" s="41">
        <f t="shared" si="8"/>
        <v>26228.2942</v>
      </c>
      <c r="Q252" s="13">
        <f>SUMIFS('Business - Dump'!$W:$W,'Business - Dump'!$B:$B,'Portfolio Wise '!$B252,'Business - Dump'!$A:$A,'Portfolio Wise '!$A252)</f>
        <v>26</v>
      </c>
      <c r="R252" s="36">
        <f>SUMIFS('Business - Dump'!$U:$U,'Business - Dump'!$B:$B,'Portfolio Wise '!$B252,'Business - Dump'!$A:$A,'Portfolio Wise '!$A252)/1.18</f>
        <v>683666.5424</v>
      </c>
      <c r="S252" s="41">
        <f t="shared" si="9"/>
        <v>26294.86701</v>
      </c>
      <c r="T252" s="23">
        <f t="shared" si="10"/>
        <v>0.0315664855</v>
      </c>
      <c r="U252" s="38">
        <f t="shared" si="11"/>
        <v>31.67916808</v>
      </c>
      <c r="V252" s="41">
        <f>SUMIFS('Business - Dump'!$G:$G,'Business - Dump'!$B:$B,'Portfolio Wise '!$B252,'Business - Dump'!$A:$A,'Portfolio Wise '!$A252)</f>
        <v>6082</v>
      </c>
      <c r="W252" s="23">
        <f t="shared" si="12"/>
        <v>0.004274909569</v>
      </c>
      <c r="X252" s="23">
        <f t="shared" ref="X252:Y252" si="361">IFERROR(N252/Q252,0)</f>
        <v>0.8461538462</v>
      </c>
      <c r="Y252" s="49">
        <f t="shared" si="361"/>
        <v>0.8440115709</v>
      </c>
      <c r="Z252" s="49">
        <f t="shared" si="14"/>
        <v>0.1538461538</v>
      </c>
      <c r="AA252" s="23">
        <f t="shared" si="15"/>
        <v>0.8440115709</v>
      </c>
      <c r="AB252" s="23">
        <f>IFERROR(AVERAGEIFS('Business - Dump'!$O:$O,'Business - Dump'!$B:$B,'Portfolio Wise '!$B252,'Business - Dump'!$A:$A,'Portfolio Wise '!$A252),0)</f>
        <v>0.88908</v>
      </c>
      <c r="AC252" s="49">
        <f>F252/SUMIFS('Campaign - Dump'!$Q:$Q,'Campaign - Dump'!$A:$A,'Portfolio Wise '!$A252)</f>
        <v>0.0155166848</v>
      </c>
      <c r="AD252" s="49">
        <f t="shared" si="16"/>
        <v>5.5</v>
      </c>
    </row>
    <row r="253" ht="15.75" customHeight="1">
      <c r="A253" s="10" t="s">
        <v>63</v>
      </c>
      <c r="B253" s="19" t="s">
        <v>196</v>
      </c>
      <c r="C253" s="13">
        <f>SUMIFS('Campaign - Dump'!$N:$N,'Campaign - Dump'!$J:$J,'Portfolio Wise '!$B253,'Campaign - Dump'!$A:$A,'Portfolio Wise '!$A253)</f>
        <v>338621</v>
      </c>
      <c r="D253" s="13">
        <f>SUMIFS('Campaign - Dump'!$O:$O,'Campaign - Dump'!$J:$J,'Portfolio Wise '!$B253,'Campaign - Dump'!$A:$A,'Portfolio Wise '!$A253)</f>
        <v>1659</v>
      </c>
      <c r="E253" s="23">
        <f t="shared" si="2"/>
        <v>0.004899282679</v>
      </c>
      <c r="F253" s="36">
        <f>SUMIFS('Campaign - Dump'!$Q:$Q,'Campaign - Dump'!$J:$J,'Portfolio Wise '!$B253,'Campaign - Dump'!$A:$A,'Portfolio Wise '!$A253)</f>
        <v>55051.68</v>
      </c>
      <c r="G253" s="38">
        <f t="shared" si="3"/>
        <v>33.1836528</v>
      </c>
      <c r="H253" s="41">
        <f>SUMIFS('Campaign - Dump'!$T:$T,'Campaign - Dump'!$J:$J,'Portfolio Wise '!$B253,'Campaign - Dump'!$A:$A,'Portfolio Wise '!$A253)</f>
        <v>18</v>
      </c>
      <c r="I253" s="23">
        <f t="shared" si="4"/>
        <v>0.01084990958</v>
      </c>
      <c r="J253" s="36">
        <f>SUMIFS('Campaign - Dump'!$U:$U,'Campaign - Dump'!$J:$J,'Portfolio Wise '!$B253,'Campaign - Dump'!$A:$A,'Portfolio Wise '!$A253)</f>
        <v>264933.05</v>
      </c>
      <c r="K253" s="23">
        <f t="shared" si="5"/>
        <v>0.2077946862</v>
      </c>
      <c r="L253" s="38">
        <f t="shared" si="6"/>
        <v>4.812442599</v>
      </c>
      <c r="M253" s="41">
        <f t="shared" si="7"/>
        <v>14718.50278</v>
      </c>
      <c r="N253" s="13">
        <v>0.0</v>
      </c>
      <c r="O253" s="36">
        <v>0.0</v>
      </c>
      <c r="P253" s="41">
        <f t="shared" si="8"/>
        <v>0</v>
      </c>
      <c r="Q253" s="13">
        <f>SUMIFS('Business - Dump'!$W:$W,'Business - Dump'!$B:$B,'Portfolio Wise '!$B253,'Business - Dump'!$A:$A,'Portfolio Wise '!$A253)</f>
        <v>0</v>
      </c>
      <c r="R253" s="36">
        <f>SUMIFS('Business - Dump'!$U:$U,'Business - Dump'!$B:$B,'Portfolio Wise '!$B253,'Business - Dump'!$A:$A,'Portfolio Wise '!$A253)/1.18</f>
        <v>0</v>
      </c>
      <c r="S253" s="41">
        <f t="shared" si="9"/>
        <v>0</v>
      </c>
      <c r="T253" s="23">
        <f t="shared" si="10"/>
        <v>0</v>
      </c>
      <c r="U253" s="38">
        <f t="shared" si="11"/>
        <v>0</v>
      </c>
      <c r="V253" s="41">
        <f>SUMIFS('Business - Dump'!$G:$G,'Business - Dump'!$B:$B,'Portfolio Wise '!$B253,'Business - Dump'!$A:$A,'Portfolio Wise '!$A253)</f>
        <v>0</v>
      </c>
      <c r="W253" s="48">
        <f t="shared" si="12"/>
        <v>0</v>
      </c>
      <c r="X253" s="23">
        <f t="shared" ref="X253:Y253" si="362">IFERROR(N253/Q253,0)</f>
        <v>0</v>
      </c>
      <c r="Y253" s="49">
        <f t="shared" si="362"/>
        <v>0</v>
      </c>
      <c r="Z253" s="49">
        <f t="shared" si="14"/>
        <v>0</v>
      </c>
      <c r="AA253" s="23">
        <f t="shared" si="15"/>
        <v>0</v>
      </c>
      <c r="AB253" s="23">
        <f>IFERROR(AVERAGEIFS('Business - Dump'!$O:$O,'Business - Dump'!$B:$B,'Portfolio Wise '!$B253,'Business - Dump'!$A:$A,'Portfolio Wise '!$A253),0)</f>
        <v>0</v>
      </c>
      <c r="AC253" s="49">
        <f>F253/SUMIFS('Campaign - Dump'!$Q:$Q,'Campaign - Dump'!$A:$A,'Portfolio Wise '!$A253)</f>
        <v>0.03958211136</v>
      </c>
      <c r="AD253" s="49">
        <f t="shared" si="16"/>
        <v>0</v>
      </c>
    </row>
    <row r="254" ht="15.75" customHeight="1">
      <c r="A254" s="10" t="s">
        <v>63</v>
      </c>
      <c r="B254" s="19" t="s">
        <v>205</v>
      </c>
      <c r="C254" s="13">
        <f>SUMIFS('Campaign - Dump'!$N:$N,'Campaign - Dump'!$J:$J,'Portfolio Wise '!$B254,'Campaign - Dump'!$A:$A,'Portfolio Wise '!$A254)</f>
        <v>327322</v>
      </c>
      <c r="D254" s="13">
        <f>SUMIFS('Campaign - Dump'!$O:$O,'Campaign - Dump'!$J:$J,'Portfolio Wise '!$B254,'Campaign - Dump'!$A:$A,'Portfolio Wise '!$A254)</f>
        <v>408</v>
      </c>
      <c r="E254" s="23">
        <f t="shared" si="2"/>
        <v>0.001246479002</v>
      </c>
      <c r="F254" s="36">
        <f>SUMIFS('Campaign - Dump'!$Q:$Q,'Campaign - Dump'!$J:$J,'Portfolio Wise '!$B254,'Campaign - Dump'!$A:$A,'Portfolio Wise '!$A254)</f>
        <v>30203.08</v>
      </c>
      <c r="G254" s="38">
        <f t="shared" si="3"/>
        <v>74.02715686</v>
      </c>
      <c r="H254" s="41">
        <f>SUMIFS('Campaign - Dump'!$T:$T,'Campaign - Dump'!$J:$J,'Portfolio Wise '!$B254,'Campaign - Dump'!$A:$A,'Portfolio Wise '!$A254)</f>
        <v>5</v>
      </c>
      <c r="I254" s="23">
        <f t="shared" si="4"/>
        <v>0.01225490196</v>
      </c>
      <c r="J254" s="36">
        <f>SUMIFS('Campaign - Dump'!$U:$U,'Campaign - Dump'!$J:$J,'Portfolio Wise '!$B254,'Campaign - Dump'!$A:$A,'Portfolio Wise '!$A254)</f>
        <v>137440.68</v>
      </c>
      <c r="K254" s="23">
        <f t="shared" si="5"/>
        <v>0.2197535693</v>
      </c>
      <c r="L254" s="38">
        <f t="shared" si="6"/>
        <v>4.550551798</v>
      </c>
      <c r="M254" s="41">
        <f t="shared" si="7"/>
        <v>27488.136</v>
      </c>
      <c r="N254" s="13">
        <f t="shared" ref="N254:N259" si="364">IFERROR(Q254-H254,0)</f>
        <v>24</v>
      </c>
      <c r="O254" s="36">
        <f t="shared" ref="O254:O259" si="365">IFERROR(R254-J254,0)</f>
        <v>837764.1844</v>
      </c>
      <c r="P254" s="41">
        <f t="shared" si="8"/>
        <v>34906.84102</v>
      </c>
      <c r="Q254" s="13">
        <f>SUMIFS('Business - Dump'!$W:$W,'Business - Dump'!$B:$B,'Portfolio Wise '!$B254,'Business - Dump'!$A:$A,'Portfolio Wise '!$A254)</f>
        <v>29</v>
      </c>
      <c r="R254" s="36">
        <f>SUMIFS('Business - Dump'!$U:$U,'Business - Dump'!$B:$B,'Portfolio Wise '!$B254,'Business - Dump'!$A:$A,'Portfolio Wise '!$A254)/1.18</f>
        <v>975204.8644</v>
      </c>
      <c r="S254" s="41">
        <f t="shared" si="9"/>
        <v>33627.75395</v>
      </c>
      <c r="T254" s="23">
        <f t="shared" si="10"/>
        <v>0.0309710104</v>
      </c>
      <c r="U254" s="38">
        <f t="shared" si="11"/>
        <v>32.28825883</v>
      </c>
      <c r="V254" s="41">
        <f>SUMIFS('Business - Dump'!$G:$G,'Business - Dump'!$B:$B,'Portfolio Wise '!$B254,'Business - Dump'!$A:$A,'Portfolio Wise '!$A254)</f>
        <v>5348</v>
      </c>
      <c r="W254" s="48">
        <f t="shared" si="12"/>
        <v>0.005422587883</v>
      </c>
      <c r="X254" s="23">
        <f t="shared" ref="X254:Y254" si="363">IFERROR(N254/Q254,0)</f>
        <v>0.8275862069</v>
      </c>
      <c r="Y254" s="49">
        <f t="shared" si="363"/>
        <v>0.8590648129</v>
      </c>
      <c r="Z254" s="49">
        <f t="shared" si="14"/>
        <v>0.1724137931</v>
      </c>
      <c r="AA254" s="23">
        <f t="shared" si="15"/>
        <v>0.8590648129</v>
      </c>
      <c r="AB254" s="23">
        <f>IFERROR(AVERAGEIFS('Business - Dump'!$O:$O,'Business - Dump'!$B:$B,'Portfolio Wise '!$B254,'Business - Dump'!$A:$A,'Portfolio Wise '!$A254),0)</f>
        <v>0.9227444444</v>
      </c>
      <c r="AC254" s="49">
        <f>F254/SUMIFS('Campaign - Dump'!$Q:$Q,'Campaign - Dump'!$A:$A,'Portfolio Wise '!$A254)</f>
        <v>0.02171598898</v>
      </c>
      <c r="AD254" s="49">
        <f t="shared" si="16"/>
        <v>4.8</v>
      </c>
    </row>
    <row r="255" ht="15.75" customHeight="1">
      <c r="A255" s="10" t="s">
        <v>63</v>
      </c>
      <c r="B255" s="10" t="s">
        <v>211</v>
      </c>
      <c r="C255" s="13">
        <f>SUMIFS('Campaign - Dump'!$N:$N,'Campaign - Dump'!$J:$J,'Portfolio Wise '!$B255,'Campaign - Dump'!$A:$A,'Portfolio Wise '!$A255)</f>
        <v>270589</v>
      </c>
      <c r="D255" s="13">
        <f>SUMIFS('Campaign - Dump'!$O:$O,'Campaign - Dump'!$J:$J,'Portfolio Wise '!$B255,'Campaign - Dump'!$A:$A,'Portfolio Wise '!$A255)</f>
        <v>1555</v>
      </c>
      <c r="E255" s="23">
        <f t="shared" si="2"/>
        <v>0.00574672289</v>
      </c>
      <c r="F255" s="36">
        <f>SUMIFS('Campaign - Dump'!$Q:$Q,'Campaign - Dump'!$J:$J,'Portfolio Wise '!$B255,'Campaign - Dump'!$A:$A,'Portfolio Wise '!$A255)</f>
        <v>9421.75</v>
      </c>
      <c r="G255" s="38">
        <f t="shared" si="3"/>
        <v>6.059003215</v>
      </c>
      <c r="H255" s="41">
        <f>SUMIFS('Campaign - Dump'!$T:$T,'Campaign - Dump'!$J:$J,'Portfolio Wise '!$B255,'Campaign - Dump'!$A:$A,'Portfolio Wise '!$A255)</f>
        <v>32</v>
      </c>
      <c r="I255" s="23">
        <f t="shared" si="4"/>
        <v>0.02057877814</v>
      </c>
      <c r="J255" s="36">
        <f>SUMIFS('Campaign - Dump'!$U:$U,'Campaign - Dump'!$J:$J,'Portfolio Wise '!$B255,'Campaign - Dump'!$A:$A,'Portfolio Wise '!$A255)</f>
        <v>112755.1</v>
      </c>
      <c r="K255" s="23">
        <f t="shared" si="5"/>
        <v>0.08355941328</v>
      </c>
      <c r="L255" s="38">
        <f t="shared" si="6"/>
        <v>11.96753257</v>
      </c>
      <c r="M255" s="41">
        <f t="shared" si="7"/>
        <v>3523.596875</v>
      </c>
      <c r="N255" s="13">
        <f t="shared" si="364"/>
        <v>70</v>
      </c>
      <c r="O255" s="36">
        <f t="shared" si="365"/>
        <v>82528.44237</v>
      </c>
      <c r="P255" s="41">
        <f t="shared" si="8"/>
        <v>1178.977748</v>
      </c>
      <c r="Q255" s="13">
        <f>SUMIFS('Business - Dump'!$W:$W,'Business - Dump'!$B:$B,'Portfolio Wise '!$B255,'Business - Dump'!$A:$A,'Portfolio Wise '!$A255)</f>
        <v>102</v>
      </c>
      <c r="R255" s="36">
        <f>SUMIFS('Business - Dump'!$U:$U,'Business - Dump'!$B:$B,'Portfolio Wise '!$B255,'Business - Dump'!$A:$A,'Portfolio Wise '!$A255)/1.18</f>
        <v>195283.5424</v>
      </c>
      <c r="S255" s="41">
        <f t="shared" si="9"/>
        <v>1914.544533</v>
      </c>
      <c r="T255" s="23">
        <f t="shared" si="10"/>
        <v>0.04824651318</v>
      </c>
      <c r="U255" s="38">
        <f t="shared" si="11"/>
        <v>20.72688645</v>
      </c>
      <c r="V255" s="41">
        <f>SUMIFS('Business - Dump'!$G:$G,'Business - Dump'!$B:$B,'Portfolio Wise '!$B255,'Business - Dump'!$A:$A,'Portfolio Wise '!$A255)</f>
        <v>4082</v>
      </c>
      <c r="W255" s="48">
        <f t="shared" si="12"/>
        <v>0.0249877511</v>
      </c>
      <c r="X255" s="23">
        <f t="shared" ref="X255:Y255" si="366">IFERROR(N255/Q255,0)</f>
        <v>0.6862745098</v>
      </c>
      <c r="Y255" s="49">
        <f t="shared" si="366"/>
        <v>0.4226082821</v>
      </c>
      <c r="Z255" s="49">
        <f t="shared" si="14"/>
        <v>0.3137254902</v>
      </c>
      <c r="AA255" s="23">
        <f t="shared" si="15"/>
        <v>0.4226082821</v>
      </c>
      <c r="AB255" s="23">
        <f>IFERROR(AVERAGEIFS('Business - Dump'!$O:$O,'Business - Dump'!$B:$B,'Portfolio Wise '!$B255,'Business - Dump'!$A:$A,'Portfolio Wise '!$A255),0)</f>
        <v>0.92775</v>
      </c>
      <c r="AC255" s="49">
        <f>F255/SUMIFS('Campaign - Dump'!$Q:$Q,'Campaign - Dump'!$A:$A,'Portfolio Wise '!$A255)</f>
        <v>0.006774230282</v>
      </c>
      <c r="AD255" s="49">
        <f t="shared" si="16"/>
        <v>2.1875</v>
      </c>
    </row>
    <row r="256" ht="15.75" customHeight="1">
      <c r="A256" s="10" t="s">
        <v>63</v>
      </c>
      <c r="B256" s="19" t="s">
        <v>217</v>
      </c>
      <c r="C256" s="13">
        <f>SUMIFS('Campaign - Dump'!$N:$N,'Campaign - Dump'!$J:$J,'Portfolio Wise '!$B256,'Campaign - Dump'!$A:$A,'Portfolio Wise '!$A256)</f>
        <v>509678</v>
      </c>
      <c r="D256" s="13">
        <f>SUMIFS('Campaign - Dump'!$O:$O,'Campaign - Dump'!$J:$J,'Portfolio Wise '!$B256,'Campaign - Dump'!$A:$A,'Portfolio Wise '!$A256)</f>
        <v>2071</v>
      </c>
      <c r="E256" s="23">
        <f t="shared" si="2"/>
        <v>0.004063349801</v>
      </c>
      <c r="F256" s="36">
        <f>SUMIFS('Campaign - Dump'!$Q:$Q,'Campaign - Dump'!$J:$J,'Portfolio Wise '!$B256,'Campaign - Dump'!$A:$A,'Portfolio Wise '!$A256)</f>
        <v>12574.06</v>
      </c>
      <c r="G256" s="38">
        <f t="shared" si="3"/>
        <v>6.071492033</v>
      </c>
      <c r="H256" s="41">
        <f>SUMIFS('Campaign - Dump'!$T:$T,'Campaign - Dump'!$J:$J,'Portfolio Wise '!$B256,'Campaign - Dump'!$A:$A,'Portfolio Wise '!$A256)</f>
        <v>23</v>
      </c>
      <c r="I256" s="23">
        <f t="shared" si="4"/>
        <v>0.01110574602</v>
      </c>
      <c r="J256" s="36">
        <f>SUMIFS('Campaign - Dump'!$U:$U,'Campaign - Dump'!$J:$J,'Portfolio Wise '!$B256,'Campaign - Dump'!$A:$A,'Portfolio Wise '!$A256)</f>
        <v>89950.02</v>
      </c>
      <c r="K256" s="23">
        <f t="shared" si="5"/>
        <v>0.1397894075</v>
      </c>
      <c r="L256" s="38">
        <f t="shared" si="6"/>
        <v>7.153617845</v>
      </c>
      <c r="M256" s="41">
        <f t="shared" si="7"/>
        <v>3910.870435</v>
      </c>
      <c r="N256" s="13">
        <f t="shared" si="364"/>
        <v>2</v>
      </c>
      <c r="O256" s="36">
        <f t="shared" si="365"/>
        <v>-64972.0539</v>
      </c>
      <c r="P256" s="41">
        <f t="shared" si="8"/>
        <v>-32486.02695</v>
      </c>
      <c r="Q256" s="13">
        <f>SUMIFS('Business - Dump'!$W:$W,'Business - Dump'!$B:$B,'Portfolio Wise '!$B256,'Business - Dump'!$A:$A,'Portfolio Wise '!$A256)</f>
        <v>25</v>
      </c>
      <c r="R256" s="36">
        <f>SUMIFS('Business - Dump'!$U:$U,'Business - Dump'!$B:$B,'Portfolio Wise '!$B256,'Business - Dump'!$A:$A,'Portfolio Wise '!$A256)/1.18</f>
        <v>24977.9661</v>
      </c>
      <c r="S256" s="41">
        <f t="shared" si="9"/>
        <v>999.1186441</v>
      </c>
      <c r="T256" s="23">
        <f t="shared" si="10"/>
        <v>0.5034060799</v>
      </c>
      <c r="U256" s="38">
        <f t="shared" si="11"/>
        <v>1.986467863</v>
      </c>
      <c r="V256" s="41">
        <f>SUMIFS('Business - Dump'!$G:$G,'Business - Dump'!$B:$B,'Portfolio Wise '!$B256,'Business - Dump'!$A:$A,'Portfolio Wise '!$A256)</f>
        <v>2601</v>
      </c>
      <c r="W256" s="48">
        <f t="shared" si="12"/>
        <v>0.009611687812</v>
      </c>
      <c r="X256" s="23">
        <f t="shared" ref="X256:Y256" si="367">IFERROR(N256/Q256,0)</f>
        <v>0.08</v>
      </c>
      <c r="Y256" s="49">
        <f t="shared" si="367"/>
        <v>-2.601174717</v>
      </c>
      <c r="Z256" s="49">
        <f t="shared" si="14"/>
        <v>0.92</v>
      </c>
      <c r="AA256" s="23">
        <f t="shared" si="15"/>
        <v>-2.601174717</v>
      </c>
      <c r="AB256" s="23">
        <f>IFERROR(AVERAGEIFS('Business - Dump'!$O:$O,'Business - Dump'!$B:$B,'Portfolio Wise '!$B256,'Business - Dump'!$A:$A,'Portfolio Wise '!$A256),0)</f>
        <v>0.91645</v>
      </c>
      <c r="AC256" s="49">
        <f>F256/SUMIFS('Campaign - Dump'!$Q:$Q,'Campaign - Dump'!$A:$A,'Portfolio Wise '!$A256)</f>
        <v>0.009040738506</v>
      </c>
      <c r="AD256" s="49">
        <f t="shared" si="16"/>
        <v>0.08695652174</v>
      </c>
    </row>
    <row r="257" ht="15.75" customHeight="1">
      <c r="A257" s="10" t="s">
        <v>63</v>
      </c>
      <c r="B257" s="33" t="s">
        <v>230</v>
      </c>
      <c r="C257" s="13">
        <f>SUMIFS('Campaign - Dump'!$N:$N,'Campaign - Dump'!$J:$J,'Portfolio Wise '!$B257,'Campaign - Dump'!$A:$A,'Portfolio Wise '!$A257)</f>
        <v>1926330</v>
      </c>
      <c r="D257" s="13">
        <f>SUMIFS('Campaign - Dump'!$O:$O,'Campaign - Dump'!$J:$J,'Portfolio Wise '!$B257,'Campaign - Dump'!$A:$A,'Portfolio Wise '!$A257)</f>
        <v>7327</v>
      </c>
      <c r="E257" s="23">
        <f t="shared" si="2"/>
        <v>0.00380360582</v>
      </c>
      <c r="F257" s="36">
        <f>SUMIFS('Campaign - Dump'!$Q:$Q,'Campaign - Dump'!$J:$J,'Portfolio Wise '!$B257,'Campaign - Dump'!$A:$A,'Portfolio Wise '!$A257)</f>
        <v>137404.46</v>
      </c>
      <c r="G257" s="38">
        <f t="shared" si="3"/>
        <v>18.75316774</v>
      </c>
      <c r="H257" s="41">
        <f>SUMIFS('Campaign - Dump'!$T:$T,'Campaign - Dump'!$J:$J,'Portfolio Wise '!$B257,'Campaign - Dump'!$A:$A,'Portfolio Wise '!$A257)</f>
        <v>19</v>
      </c>
      <c r="I257" s="23">
        <f t="shared" si="4"/>
        <v>0.002593148628</v>
      </c>
      <c r="J257" s="36">
        <f>SUMIFS('Campaign - Dump'!$U:$U,'Campaign - Dump'!$J:$J,'Portfolio Wise '!$B257,'Campaign - Dump'!$A:$A,'Portfolio Wise '!$A257)</f>
        <v>406842.38</v>
      </c>
      <c r="K257" s="23">
        <f t="shared" si="5"/>
        <v>0.3377338909</v>
      </c>
      <c r="L257" s="38">
        <f t="shared" si="6"/>
        <v>2.960911021</v>
      </c>
      <c r="M257" s="41">
        <f t="shared" si="7"/>
        <v>21412.75684</v>
      </c>
      <c r="N257" s="13">
        <f t="shared" si="364"/>
        <v>24</v>
      </c>
      <c r="O257" s="36">
        <f t="shared" si="365"/>
        <v>586163.0607</v>
      </c>
      <c r="P257" s="41">
        <f t="shared" si="8"/>
        <v>24423.46086</v>
      </c>
      <c r="Q257" s="13">
        <f>SUMIFS('Business - Dump'!$W:$W,'Business - Dump'!$B:$B,'Portfolio Wise '!$B257,'Business - Dump'!$A:$A,'Portfolio Wise '!$A257)</f>
        <v>43</v>
      </c>
      <c r="R257" s="36">
        <f>SUMIFS('Business - Dump'!$U:$U,'Business - Dump'!$B:$B,'Portfolio Wise '!$B257,'Business - Dump'!$A:$A,'Portfolio Wise '!$A257)/1.18</f>
        <v>993005.4407</v>
      </c>
      <c r="S257" s="41">
        <f t="shared" si="9"/>
        <v>23093.14978</v>
      </c>
      <c r="T257" s="23">
        <f t="shared" si="10"/>
        <v>0.1383723134</v>
      </c>
      <c r="U257" s="38">
        <f t="shared" si="11"/>
        <v>7.226879249</v>
      </c>
      <c r="V257" s="41">
        <f>SUMIFS('Business - Dump'!$G:$G,'Business - Dump'!$B:$B,'Portfolio Wise '!$B257,'Business - Dump'!$A:$A,'Portfolio Wise '!$A257)</f>
        <v>7182</v>
      </c>
      <c r="W257" s="23">
        <f t="shared" si="12"/>
        <v>0.005987190198</v>
      </c>
      <c r="X257" s="23">
        <f t="shared" ref="X257:Y257" si="368">IFERROR(N257/Q257,0)</f>
        <v>0.5581395349</v>
      </c>
      <c r="Y257" s="49">
        <f t="shared" si="368"/>
        <v>0.5902918923</v>
      </c>
      <c r="Z257" s="49">
        <f t="shared" si="14"/>
        <v>0.4418604651</v>
      </c>
      <c r="AA257" s="23">
        <f t="shared" si="15"/>
        <v>0.5902918923</v>
      </c>
      <c r="AB257" s="23">
        <f>IFERROR(AVERAGEIFS('Business - Dump'!$O:$O,'Business - Dump'!$B:$B,'Portfolio Wise '!$B257,'Business - Dump'!$A:$A,'Portfolio Wise '!$A257),0)</f>
        <v>0.9109625</v>
      </c>
      <c r="AC257" s="49">
        <f>F257/SUMIFS('Campaign - Dump'!$Q:$Q,'Campaign - Dump'!$A:$A,'Portfolio Wise '!$A257)</f>
        <v>0.09879369054</v>
      </c>
      <c r="AD257" s="49">
        <f t="shared" si="16"/>
        <v>1.263157895</v>
      </c>
    </row>
    <row r="258" ht="15.75" customHeight="1">
      <c r="A258" s="10" t="s">
        <v>63</v>
      </c>
      <c r="B258" s="33" t="s">
        <v>230</v>
      </c>
      <c r="C258" s="13">
        <f>SUMIFS('Campaign - Dump'!$N:$N,'Campaign - Dump'!$J:$J,'Portfolio Wise '!$B258,'Campaign - Dump'!$A:$A,'Portfolio Wise '!$A258)</f>
        <v>1926330</v>
      </c>
      <c r="D258" s="13">
        <f>SUMIFS('Campaign - Dump'!$O:$O,'Campaign - Dump'!$J:$J,'Portfolio Wise '!$B258,'Campaign - Dump'!$A:$A,'Portfolio Wise '!$A258)</f>
        <v>7327</v>
      </c>
      <c r="E258" s="23">
        <f t="shared" si="2"/>
        <v>0.00380360582</v>
      </c>
      <c r="F258" s="36">
        <f>SUMIFS('Campaign - Dump'!$Q:$Q,'Campaign - Dump'!$J:$J,'Portfolio Wise '!$B258,'Campaign - Dump'!$A:$A,'Portfolio Wise '!$A258)</f>
        <v>137404.46</v>
      </c>
      <c r="G258" s="38">
        <f t="shared" si="3"/>
        <v>18.75316774</v>
      </c>
      <c r="H258" s="41">
        <f>SUMIFS('Campaign - Dump'!$T:$T,'Campaign - Dump'!$J:$J,'Portfolio Wise '!$B258,'Campaign - Dump'!$A:$A,'Portfolio Wise '!$A258)</f>
        <v>19</v>
      </c>
      <c r="I258" s="23">
        <f t="shared" si="4"/>
        <v>0.002593148628</v>
      </c>
      <c r="J258" s="36">
        <f>SUMIFS('Campaign - Dump'!$U:$U,'Campaign - Dump'!$J:$J,'Portfolio Wise '!$B258,'Campaign - Dump'!$A:$A,'Portfolio Wise '!$A258)</f>
        <v>406842.38</v>
      </c>
      <c r="K258" s="23">
        <f t="shared" si="5"/>
        <v>0.3377338909</v>
      </c>
      <c r="L258" s="38">
        <f t="shared" si="6"/>
        <v>2.960911021</v>
      </c>
      <c r="M258" s="41">
        <f t="shared" si="7"/>
        <v>21412.75684</v>
      </c>
      <c r="N258" s="13">
        <f t="shared" si="364"/>
        <v>24</v>
      </c>
      <c r="O258" s="36">
        <f t="shared" si="365"/>
        <v>586163.0607</v>
      </c>
      <c r="P258" s="41">
        <f t="shared" si="8"/>
        <v>24423.46086</v>
      </c>
      <c r="Q258" s="13">
        <f>SUMIFS('Business - Dump'!$W:$W,'Business - Dump'!$B:$B,'Portfolio Wise '!$B258,'Business - Dump'!$A:$A,'Portfolio Wise '!$A258)</f>
        <v>43</v>
      </c>
      <c r="R258" s="36">
        <f>SUMIFS('Business - Dump'!$U:$U,'Business - Dump'!$B:$B,'Portfolio Wise '!$B258,'Business - Dump'!$A:$A,'Portfolio Wise '!$A258)/1.18</f>
        <v>993005.4407</v>
      </c>
      <c r="S258" s="41">
        <f t="shared" si="9"/>
        <v>23093.14978</v>
      </c>
      <c r="T258" s="23">
        <f t="shared" si="10"/>
        <v>0.1383723134</v>
      </c>
      <c r="U258" s="38">
        <f t="shared" si="11"/>
        <v>7.226879249</v>
      </c>
      <c r="V258" s="41">
        <f>SUMIFS('Business - Dump'!$G:$G,'Business - Dump'!$B:$B,'Portfolio Wise '!$B258,'Business - Dump'!$A:$A,'Portfolio Wise '!$A258)</f>
        <v>7182</v>
      </c>
      <c r="W258" s="23">
        <f t="shared" si="12"/>
        <v>0.005987190198</v>
      </c>
      <c r="X258" s="23">
        <f t="shared" ref="X258:Y258" si="369">IFERROR(N258/Q258,0)</f>
        <v>0.5581395349</v>
      </c>
      <c r="Y258" s="49">
        <f t="shared" si="369"/>
        <v>0.5902918923</v>
      </c>
      <c r="Z258" s="49">
        <f t="shared" si="14"/>
        <v>0.4418604651</v>
      </c>
      <c r="AA258" s="23">
        <f t="shared" si="15"/>
        <v>0.5902918923</v>
      </c>
      <c r="AB258" s="23">
        <f>IFERROR(AVERAGEIFS('Business - Dump'!$O:$O,'Business - Dump'!$B:$B,'Portfolio Wise '!$B258,'Business - Dump'!$A:$A,'Portfolio Wise '!$A258),0)</f>
        <v>0.9109625</v>
      </c>
      <c r="AC258" s="49">
        <f>F258/SUMIFS('Campaign - Dump'!$Q:$Q,'Campaign - Dump'!$A:$A,'Portfolio Wise '!$A258)</f>
        <v>0.09879369054</v>
      </c>
      <c r="AD258" s="49">
        <f t="shared" si="16"/>
        <v>1.263157895</v>
      </c>
    </row>
    <row r="259" ht="15.75" customHeight="1">
      <c r="A259" s="10" t="s">
        <v>63</v>
      </c>
      <c r="B259" s="19" t="s">
        <v>232</v>
      </c>
      <c r="C259" s="13">
        <f>SUMIFS('Campaign - Dump'!$N:$N,'Campaign - Dump'!$J:$J,'Portfolio Wise '!$B259,'Campaign - Dump'!$A:$A,'Portfolio Wise '!$A259)</f>
        <v>1177052</v>
      </c>
      <c r="D259" s="13">
        <f>SUMIFS('Campaign - Dump'!$O:$O,'Campaign - Dump'!$J:$J,'Portfolio Wise '!$B259,'Campaign - Dump'!$A:$A,'Portfolio Wise '!$A259)</f>
        <v>2437</v>
      </c>
      <c r="E259" s="23">
        <f t="shared" si="2"/>
        <v>0.002070426795</v>
      </c>
      <c r="F259" s="36">
        <f>SUMIFS('Campaign - Dump'!$Q:$Q,'Campaign - Dump'!$J:$J,'Portfolio Wise '!$B259,'Campaign - Dump'!$A:$A,'Portfolio Wise '!$A259)</f>
        <v>102898.85</v>
      </c>
      <c r="G259" s="38">
        <f t="shared" si="3"/>
        <v>42.22357407</v>
      </c>
      <c r="H259" s="41">
        <f>SUMIFS('Campaign - Dump'!$T:$T,'Campaign - Dump'!$J:$J,'Portfolio Wise '!$B259,'Campaign - Dump'!$A:$A,'Portfolio Wise '!$A259)</f>
        <v>28</v>
      </c>
      <c r="I259" s="23">
        <f t="shared" si="4"/>
        <v>0.01148953632</v>
      </c>
      <c r="J259" s="36">
        <f>SUMIFS('Campaign - Dump'!$U:$U,'Campaign - Dump'!$J:$J,'Portfolio Wise '!$B259,'Campaign - Dump'!$A:$A,'Portfolio Wise '!$A259)</f>
        <v>402809.31</v>
      </c>
      <c r="K259" s="23">
        <f t="shared" si="5"/>
        <v>0.2554530083</v>
      </c>
      <c r="L259" s="38">
        <f t="shared" si="6"/>
        <v>3.914614303</v>
      </c>
      <c r="M259" s="41">
        <f t="shared" si="7"/>
        <v>14386.04679</v>
      </c>
      <c r="N259" s="13">
        <f t="shared" si="364"/>
        <v>13</v>
      </c>
      <c r="O259" s="36">
        <f t="shared" si="365"/>
        <v>197377.8764</v>
      </c>
      <c r="P259" s="41">
        <f t="shared" si="8"/>
        <v>15182.91357</v>
      </c>
      <c r="Q259" s="13">
        <f>SUMIFS('Business - Dump'!$W:$W,'Business - Dump'!$B:$B,'Portfolio Wise '!$B259,'Business - Dump'!$A:$A,'Portfolio Wise '!$A259)</f>
        <v>41</v>
      </c>
      <c r="R259" s="36">
        <f>SUMIFS('Business - Dump'!$U:$U,'Business - Dump'!$B:$B,'Portfolio Wise '!$B259,'Business - Dump'!$A:$A,'Portfolio Wise '!$A259)/1.18</f>
        <v>600187.1864</v>
      </c>
      <c r="S259" s="41">
        <f t="shared" si="9"/>
        <v>14638.71186</v>
      </c>
      <c r="T259" s="23">
        <f t="shared" si="10"/>
        <v>0.1714445965</v>
      </c>
      <c r="U259" s="38">
        <f t="shared" si="11"/>
        <v>5.832788087</v>
      </c>
      <c r="V259" s="41">
        <f>SUMIFS('Business - Dump'!$G:$G,'Business - Dump'!$B:$B,'Portfolio Wise '!$B259,'Business - Dump'!$A:$A,'Portfolio Wise '!$A259)</f>
        <v>5731</v>
      </c>
      <c r="W259" s="48">
        <f t="shared" si="12"/>
        <v>0.007154074333</v>
      </c>
      <c r="X259" s="23">
        <f t="shared" ref="X259:Y259" si="370">IFERROR(N259/Q259,0)</f>
        <v>0.3170731707</v>
      </c>
      <c r="Y259" s="49">
        <f t="shared" si="370"/>
        <v>0.3288605303</v>
      </c>
      <c r="Z259" s="49">
        <f t="shared" si="14"/>
        <v>0.6829268293</v>
      </c>
      <c r="AA259" s="23">
        <f t="shared" si="15"/>
        <v>0.3288605303</v>
      </c>
      <c r="AB259" s="23">
        <f>IFERROR(AVERAGEIFS('Business - Dump'!$O:$O,'Business - Dump'!$B:$B,'Portfolio Wise '!$B259,'Business - Dump'!$A:$A,'Portfolio Wise '!$A259),0)</f>
        <v>0.8834555556</v>
      </c>
      <c r="AC259" s="49">
        <f>F259/SUMIFS('Campaign - Dump'!$Q:$Q,'Campaign - Dump'!$A:$A,'Portfolio Wise '!$A259)</f>
        <v>0.07398418613</v>
      </c>
      <c r="AD259" s="49">
        <f t="shared" si="16"/>
        <v>0.4642857143</v>
      </c>
    </row>
    <row r="260" ht="15.75" customHeight="1">
      <c r="A260" s="10" t="s">
        <v>63</v>
      </c>
      <c r="B260" s="51" t="s">
        <v>239</v>
      </c>
      <c r="C260" s="13">
        <f>SUMIFS('Campaign - Dump'!$N:$N,'Campaign - Dump'!$J:$J,'Portfolio Wise '!$B260,'Campaign - Dump'!$A:$A,'Portfolio Wise '!$A260)</f>
        <v>868026</v>
      </c>
      <c r="D260" s="13">
        <f>SUMIFS('Campaign - Dump'!$O:$O,'Campaign - Dump'!$J:$J,'Portfolio Wise '!$B260,'Campaign - Dump'!$A:$A,'Portfolio Wise '!$A260)</f>
        <v>2439</v>
      </c>
      <c r="E260" s="23">
        <f t="shared" si="2"/>
        <v>0.002809823669</v>
      </c>
      <c r="F260" s="36">
        <f>SUMIFS('Campaign - Dump'!$Q:$Q,'Campaign - Dump'!$J:$J,'Portfolio Wise '!$B260,'Campaign - Dump'!$A:$A,'Portfolio Wise '!$A260)</f>
        <v>24899.37</v>
      </c>
      <c r="G260" s="38">
        <f t="shared" si="3"/>
        <v>10.20884379</v>
      </c>
      <c r="H260" s="41">
        <f>SUMIFS('Campaign - Dump'!$T:$T,'Campaign - Dump'!$J:$J,'Portfolio Wise '!$B260,'Campaign - Dump'!$A:$A,'Portfolio Wise '!$A260)</f>
        <v>10</v>
      </c>
      <c r="I260" s="23">
        <f t="shared" si="4"/>
        <v>0.004100041</v>
      </c>
      <c r="J260" s="36">
        <f>SUMIFS('Campaign - Dump'!$U:$U,'Campaign - Dump'!$J:$J,'Portfolio Wise '!$B260,'Campaign - Dump'!$A:$A,'Portfolio Wise '!$A260)</f>
        <v>156832.22</v>
      </c>
      <c r="K260" s="23">
        <f t="shared" si="5"/>
        <v>0.1587643789</v>
      </c>
      <c r="L260" s="38">
        <f t="shared" si="6"/>
        <v>6.298642094</v>
      </c>
      <c r="M260" s="41">
        <f t="shared" si="7"/>
        <v>15683.222</v>
      </c>
      <c r="N260" s="13">
        <v>0.0</v>
      </c>
      <c r="O260" s="36">
        <v>0.0</v>
      </c>
      <c r="P260" s="41">
        <f t="shared" si="8"/>
        <v>0</v>
      </c>
      <c r="Q260" s="13">
        <f>SUMIFS('Business - Dump'!$W:$W,'Business - Dump'!$B:$B,'Portfolio Wise '!$B260,'Business - Dump'!$A:$A,'Portfolio Wise '!$A260)</f>
        <v>0</v>
      </c>
      <c r="R260" s="36">
        <f>SUMIFS('Business - Dump'!$U:$U,'Business - Dump'!$B:$B,'Portfolio Wise '!$B260,'Business - Dump'!$A:$A,'Portfolio Wise '!$A260)/1.18</f>
        <v>0</v>
      </c>
      <c r="S260" s="41">
        <f t="shared" si="9"/>
        <v>0</v>
      </c>
      <c r="T260" s="23">
        <f t="shared" si="10"/>
        <v>0</v>
      </c>
      <c r="U260" s="38">
        <f t="shared" si="11"/>
        <v>0</v>
      </c>
      <c r="V260" s="41">
        <f>SUMIFS('Business - Dump'!$G:$G,'Business - Dump'!$B:$B,'Portfolio Wise '!$B260,'Business - Dump'!$A:$A,'Portfolio Wise '!$A260)</f>
        <v>0</v>
      </c>
      <c r="W260" s="48">
        <f t="shared" si="12"/>
        <v>0</v>
      </c>
      <c r="X260" s="23">
        <f t="shared" ref="X260:Y260" si="371">IFERROR(N260/Q260,0)</f>
        <v>0</v>
      </c>
      <c r="Y260" s="49">
        <f t="shared" si="371"/>
        <v>0</v>
      </c>
      <c r="Z260" s="49">
        <f t="shared" si="14"/>
        <v>0</v>
      </c>
      <c r="AA260" s="23">
        <f t="shared" si="15"/>
        <v>0</v>
      </c>
      <c r="AB260" s="23">
        <f>IFERROR(AVERAGEIFS('Business - Dump'!$O:$O,'Business - Dump'!$B:$B,'Portfolio Wise '!$B260,'Business - Dump'!$A:$A,'Portfolio Wise '!$A260),0)</f>
        <v>0</v>
      </c>
      <c r="AC260" s="49">
        <f>F260/SUMIFS('Campaign - Dump'!$Q:$Q,'Campaign - Dump'!$A:$A,'Portfolio Wise '!$A260)</f>
        <v>0.01790262597</v>
      </c>
      <c r="AD260" s="49">
        <f t="shared" si="16"/>
        <v>0</v>
      </c>
    </row>
    <row r="261" ht="15.75" customHeight="1">
      <c r="A261" s="10" t="s">
        <v>63</v>
      </c>
      <c r="B261" s="19" t="s">
        <v>240</v>
      </c>
      <c r="C261" s="13">
        <f>SUMIFS('Campaign - Dump'!$N:$N,'Campaign - Dump'!$J:$J,'Portfolio Wise '!$B261,'Campaign - Dump'!$A:$A,'Portfolio Wise '!$A261)</f>
        <v>23066</v>
      </c>
      <c r="D261" s="13">
        <f>SUMIFS('Campaign - Dump'!$O:$O,'Campaign - Dump'!$J:$J,'Portfolio Wise '!$B261,'Campaign - Dump'!$A:$A,'Portfolio Wise '!$A261)</f>
        <v>179</v>
      </c>
      <c r="E261" s="23">
        <f t="shared" si="2"/>
        <v>0.007760339894</v>
      </c>
      <c r="F261" s="36">
        <f>SUMIFS('Campaign - Dump'!$Q:$Q,'Campaign - Dump'!$J:$J,'Portfolio Wise '!$B261,'Campaign - Dump'!$A:$A,'Portfolio Wise '!$A261)</f>
        <v>1526.51</v>
      </c>
      <c r="G261" s="38">
        <f t="shared" si="3"/>
        <v>8.527988827</v>
      </c>
      <c r="H261" s="41">
        <f>SUMIFS('Campaign - Dump'!$T:$T,'Campaign - Dump'!$J:$J,'Portfolio Wise '!$B261,'Campaign - Dump'!$A:$A,'Portfolio Wise '!$A261)</f>
        <v>5</v>
      </c>
      <c r="I261" s="23">
        <f t="shared" si="4"/>
        <v>0.02793296089</v>
      </c>
      <c r="J261" s="36">
        <f>SUMIFS('Campaign - Dump'!$U:$U,'Campaign - Dump'!$J:$J,'Portfolio Wise '!$B261,'Campaign - Dump'!$A:$A,'Portfolio Wise '!$A261)</f>
        <v>13940.7</v>
      </c>
      <c r="K261" s="23">
        <f t="shared" si="5"/>
        <v>0.1095002403</v>
      </c>
      <c r="L261" s="38">
        <f t="shared" si="6"/>
        <v>9.13240005</v>
      </c>
      <c r="M261" s="41">
        <f t="shared" si="7"/>
        <v>2788.14</v>
      </c>
      <c r="N261" s="13">
        <f t="shared" ref="N261:N263" si="373">IFERROR(Q261-H261,0)</f>
        <v>16</v>
      </c>
      <c r="O261" s="36">
        <f t="shared" ref="O261:O263" si="374">IFERROR(R261-J261,0)</f>
        <v>44610.14746</v>
      </c>
      <c r="P261" s="41">
        <f t="shared" si="8"/>
        <v>2788.134216</v>
      </c>
      <c r="Q261" s="13">
        <f>SUMIFS('Business - Dump'!$W:$W,'Business - Dump'!$B:$B,'Portfolio Wise '!$B261,'Business - Dump'!$A:$A,'Portfolio Wise '!$A261)</f>
        <v>21</v>
      </c>
      <c r="R261" s="36">
        <f>SUMIFS('Business - Dump'!$U:$U,'Business - Dump'!$B:$B,'Portfolio Wise '!$B261,'Business - Dump'!$A:$A,'Portfolio Wise '!$A261)/1.18</f>
        <v>58550.84746</v>
      </c>
      <c r="S261" s="41">
        <f t="shared" si="9"/>
        <v>2788.135593</v>
      </c>
      <c r="T261" s="23">
        <f t="shared" si="10"/>
        <v>0.02607152699</v>
      </c>
      <c r="U261" s="38">
        <f t="shared" si="11"/>
        <v>38.35601959</v>
      </c>
      <c r="V261" s="41">
        <f>SUMIFS('Business - Dump'!$G:$G,'Business - Dump'!$B:$B,'Portfolio Wise '!$B261,'Business - Dump'!$A:$A,'Portfolio Wise '!$A261)</f>
        <v>501</v>
      </c>
      <c r="W261" s="48">
        <f t="shared" si="12"/>
        <v>0.04191616766</v>
      </c>
      <c r="X261" s="23">
        <f t="shared" ref="X261:Y261" si="372">IFERROR(N261/Q261,0)</f>
        <v>0.7619047619</v>
      </c>
      <c r="Y261" s="49">
        <f t="shared" si="372"/>
        <v>0.7619043856</v>
      </c>
      <c r="Z261" s="49">
        <f t="shared" si="14"/>
        <v>0.2380952381</v>
      </c>
      <c r="AA261" s="23">
        <f t="shared" si="15"/>
        <v>0.7619043856</v>
      </c>
      <c r="AB261" s="23">
        <f>IFERROR(AVERAGEIFS('Business - Dump'!$O:$O,'Business - Dump'!$B:$B,'Portfolio Wise '!$B261,'Business - Dump'!$A:$A,'Portfolio Wise '!$A261),0)</f>
        <v>0.934</v>
      </c>
      <c r="AC261" s="49">
        <f>F261/SUMIFS('Campaign - Dump'!$Q:$Q,'Campaign - Dump'!$A:$A,'Portfolio Wise '!$A261)</f>
        <v>0.001097559399</v>
      </c>
      <c r="AD261" s="49">
        <f t="shared" si="16"/>
        <v>3.2</v>
      </c>
    </row>
    <row r="262" ht="15.75" customHeight="1">
      <c r="A262" s="10" t="s">
        <v>63</v>
      </c>
      <c r="B262" s="10" t="s">
        <v>241</v>
      </c>
      <c r="C262" s="13">
        <f>SUMIFS('Campaign - Dump'!$N:$N,'Campaign - Dump'!$J:$J,'Portfolio Wise '!$B262,'Campaign - Dump'!$A:$A,'Portfolio Wise '!$A262)</f>
        <v>42699</v>
      </c>
      <c r="D262" s="13">
        <f>SUMIFS('Campaign - Dump'!$O:$O,'Campaign - Dump'!$J:$J,'Portfolio Wise '!$B262,'Campaign - Dump'!$A:$A,'Portfolio Wise '!$A262)</f>
        <v>52</v>
      </c>
      <c r="E262" s="23">
        <f t="shared" si="2"/>
        <v>0.001217827115</v>
      </c>
      <c r="F262" s="36">
        <f>SUMIFS('Campaign - Dump'!$Q:$Q,'Campaign - Dump'!$J:$J,'Portfolio Wise '!$B262,'Campaign - Dump'!$A:$A,'Portfolio Wise '!$A262)</f>
        <v>539.2</v>
      </c>
      <c r="G262" s="38">
        <f t="shared" si="3"/>
        <v>10.36923077</v>
      </c>
      <c r="H262" s="41">
        <f>SUMIFS('Campaign - Dump'!$T:$T,'Campaign - Dump'!$J:$J,'Portfolio Wise '!$B262,'Campaign - Dump'!$A:$A,'Portfolio Wise '!$A262)</f>
        <v>0</v>
      </c>
      <c r="I262" s="23">
        <f t="shared" si="4"/>
        <v>0</v>
      </c>
      <c r="J262" s="36">
        <f>SUMIFS('Campaign - Dump'!$U:$U,'Campaign - Dump'!$J:$J,'Portfolio Wise '!$B262,'Campaign - Dump'!$A:$A,'Portfolio Wise '!$A262)</f>
        <v>0</v>
      </c>
      <c r="K262" s="23">
        <f t="shared" si="5"/>
        <v>0</v>
      </c>
      <c r="L262" s="38">
        <f t="shared" si="6"/>
        <v>0</v>
      </c>
      <c r="M262" s="41">
        <f t="shared" si="7"/>
        <v>0</v>
      </c>
      <c r="N262" s="13">
        <f t="shared" si="373"/>
        <v>1</v>
      </c>
      <c r="O262" s="36">
        <f t="shared" si="374"/>
        <v>2881.355932</v>
      </c>
      <c r="P262" s="41">
        <f t="shared" si="8"/>
        <v>2881.355932</v>
      </c>
      <c r="Q262" s="13">
        <f>SUMIFS('Business - Dump'!$W:$W,'Business - Dump'!$B:$B,'Portfolio Wise '!$B262,'Business - Dump'!$A:$A,'Portfolio Wise '!$A262)</f>
        <v>1</v>
      </c>
      <c r="R262" s="36">
        <f>SUMIFS('Business - Dump'!$U:$U,'Business - Dump'!$B:$B,'Portfolio Wise '!$B262,'Business - Dump'!$A:$A,'Portfolio Wise '!$A262)/1.18</f>
        <v>2881.355932</v>
      </c>
      <c r="S262" s="41">
        <f t="shared" si="9"/>
        <v>2881.355932</v>
      </c>
      <c r="T262" s="23">
        <f t="shared" si="10"/>
        <v>0.1871341176</v>
      </c>
      <c r="U262" s="38">
        <f t="shared" si="11"/>
        <v>5.343761002</v>
      </c>
      <c r="V262" s="41">
        <f>SUMIFS('Business - Dump'!$G:$G,'Business - Dump'!$B:$B,'Portfolio Wise '!$B262,'Business - Dump'!$A:$A,'Portfolio Wise '!$A262)</f>
        <v>291</v>
      </c>
      <c r="W262" s="48">
        <f t="shared" si="12"/>
        <v>0.003436426117</v>
      </c>
      <c r="X262" s="23">
        <f t="shared" ref="X262:Y262" si="375">IFERROR(N262/Q262,0)</f>
        <v>1</v>
      </c>
      <c r="Y262" s="49">
        <f t="shared" si="375"/>
        <v>1</v>
      </c>
      <c r="Z262" s="49">
        <f t="shared" si="14"/>
        <v>0</v>
      </c>
      <c r="AA262" s="23">
        <f t="shared" si="15"/>
        <v>1</v>
      </c>
      <c r="AB262" s="23">
        <f>IFERROR(AVERAGEIFS('Business - Dump'!$O:$O,'Business - Dump'!$B:$B,'Portfolio Wise '!$B262,'Business - Dump'!$A:$A,'Portfolio Wise '!$A262),0)</f>
        <v>1</v>
      </c>
      <c r="AC262" s="49">
        <f>F262/SUMIFS('Campaign - Dump'!$Q:$Q,'Campaign - Dump'!$A:$A,'Portfolio Wise '!$A262)</f>
        <v>0.000387684344</v>
      </c>
      <c r="AD262" s="49">
        <f t="shared" si="16"/>
        <v>0</v>
      </c>
    </row>
    <row r="263" ht="15.75" customHeight="1">
      <c r="A263" s="10" t="s">
        <v>63</v>
      </c>
      <c r="B263" s="19" t="s">
        <v>248</v>
      </c>
      <c r="C263" s="13">
        <f>SUMIFS('Campaign - Dump'!$N:$N,'Campaign - Dump'!$J:$J,'Portfolio Wise '!$B263,'Campaign - Dump'!$A:$A,'Portfolio Wise '!$A263)</f>
        <v>11988</v>
      </c>
      <c r="D263" s="13">
        <f>SUMIFS('Campaign - Dump'!$O:$O,'Campaign - Dump'!$J:$J,'Portfolio Wise '!$B263,'Campaign - Dump'!$A:$A,'Portfolio Wise '!$A263)</f>
        <v>143</v>
      </c>
      <c r="E263" s="23">
        <f t="shared" si="2"/>
        <v>0.01192859526</v>
      </c>
      <c r="F263" s="36">
        <f>SUMIFS('Campaign - Dump'!$Q:$Q,'Campaign - Dump'!$J:$J,'Portfolio Wise '!$B263,'Campaign - Dump'!$A:$A,'Portfolio Wise '!$A263)</f>
        <v>2058.01</v>
      </c>
      <c r="G263" s="38">
        <f t="shared" si="3"/>
        <v>14.39167832</v>
      </c>
      <c r="H263" s="41">
        <f>SUMIFS('Campaign - Dump'!$T:$T,'Campaign - Dump'!$J:$J,'Portfolio Wise '!$B263,'Campaign - Dump'!$A:$A,'Portfolio Wise '!$A263)</f>
        <v>2</v>
      </c>
      <c r="I263" s="23">
        <f t="shared" si="4"/>
        <v>0.01398601399</v>
      </c>
      <c r="J263" s="36">
        <f>SUMIFS('Campaign - Dump'!$U:$U,'Campaign - Dump'!$J:$J,'Portfolio Wise '!$B263,'Campaign - Dump'!$A:$A,'Portfolio Wise '!$A263)</f>
        <v>19661.02</v>
      </c>
      <c r="K263" s="23">
        <f t="shared" si="5"/>
        <v>0.1046746303</v>
      </c>
      <c r="L263" s="38">
        <f t="shared" si="6"/>
        <v>9.553413249</v>
      </c>
      <c r="M263" s="41">
        <f t="shared" si="7"/>
        <v>9830.51</v>
      </c>
      <c r="N263" s="13">
        <f t="shared" si="373"/>
        <v>4</v>
      </c>
      <c r="O263" s="36">
        <f t="shared" si="374"/>
        <v>39576.26814</v>
      </c>
      <c r="P263" s="41">
        <f t="shared" si="8"/>
        <v>9894.067034</v>
      </c>
      <c r="Q263" s="13">
        <f>SUMIFS('Business - Dump'!$W:$W,'Business - Dump'!$B:$B,'Portfolio Wise '!$B263,'Business - Dump'!$A:$A,'Portfolio Wise '!$A263)</f>
        <v>6</v>
      </c>
      <c r="R263" s="36">
        <f>SUMIFS('Business - Dump'!$U:$U,'Business - Dump'!$B:$B,'Portfolio Wise '!$B263,'Business - Dump'!$A:$A,'Portfolio Wise '!$A263)/1.18</f>
        <v>59237.28814</v>
      </c>
      <c r="S263" s="41">
        <f t="shared" si="9"/>
        <v>9872.881356</v>
      </c>
      <c r="T263" s="23">
        <f t="shared" si="10"/>
        <v>0.03474179971</v>
      </c>
      <c r="U263" s="38">
        <f t="shared" si="11"/>
        <v>28.7837708</v>
      </c>
      <c r="V263" s="41">
        <f>SUMIFS('Business - Dump'!$G:$G,'Business - Dump'!$B:$B,'Portfolio Wise '!$B263,'Business - Dump'!$A:$A,'Portfolio Wise '!$A263)</f>
        <v>630</v>
      </c>
      <c r="W263" s="48">
        <f t="shared" si="12"/>
        <v>0.009523809524</v>
      </c>
      <c r="X263" s="23">
        <f t="shared" ref="X263:Y263" si="376">IFERROR(N263/Q263,0)</f>
        <v>0.6666666667</v>
      </c>
      <c r="Y263" s="49">
        <f t="shared" si="376"/>
        <v>0.6680972303</v>
      </c>
      <c r="Z263" s="49">
        <f t="shared" si="14"/>
        <v>0.3333333333</v>
      </c>
      <c r="AA263" s="23">
        <f t="shared" si="15"/>
        <v>0.6680972303</v>
      </c>
      <c r="AB263" s="23">
        <f>IFERROR(AVERAGEIFS('Business - Dump'!$O:$O,'Business - Dump'!$B:$B,'Portfolio Wise '!$B263,'Business - Dump'!$A:$A,'Portfolio Wise '!$A263),0)</f>
        <v>0.8843</v>
      </c>
      <c r="AC263" s="49">
        <f>F263/SUMIFS('Campaign - Dump'!$Q:$Q,'Campaign - Dump'!$A:$A,'Portfolio Wise '!$A263)</f>
        <v>0.00147970745</v>
      </c>
      <c r="AD263" s="49">
        <f t="shared" si="16"/>
        <v>2</v>
      </c>
    </row>
    <row r="264" ht="15.75" customHeight="1">
      <c r="A264" s="10" t="s">
        <v>63</v>
      </c>
      <c r="B264" s="126" t="s">
        <v>1094</v>
      </c>
      <c r="C264" s="127">
        <f t="shared" ref="C264:D264" si="377">SUM(C242:C263)</f>
        <v>16710195</v>
      </c>
      <c r="D264" s="127">
        <f t="shared" si="377"/>
        <v>62629</v>
      </c>
      <c r="E264" s="62">
        <f t="shared" si="2"/>
        <v>0.003747951475</v>
      </c>
      <c r="F264" s="128">
        <f>SUM(F242:F263)</f>
        <v>1525220.81</v>
      </c>
      <c r="G264" s="129">
        <f t="shared" si="3"/>
        <v>24.35326782</v>
      </c>
      <c r="H264" s="130">
        <f>SUM(H242:H263)</f>
        <v>498</v>
      </c>
      <c r="I264" s="62">
        <f t="shared" si="4"/>
        <v>0.007951587923</v>
      </c>
      <c r="J264" s="128">
        <f>SUM(J242:J263)</f>
        <v>8082522.33</v>
      </c>
      <c r="K264" s="62">
        <f t="shared" si="5"/>
        <v>0.1887060435</v>
      </c>
      <c r="L264" s="129">
        <f t="shared" si="6"/>
        <v>5.299247346</v>
      </c>
      <c r="M264" s="130">
        <f t="shared" si="7"/>
        <v>16229.96452</v>
      </c>
      <c r="N264" s="127">
        <f t="shared" ref="N264:O264" si="378">SUM(N242:N263)</f>
        <v>426</v>
      </c>
      <c r="O264" s="128">
        <f t="shared" si="378"/>
        <v>7073422.556</v>
      </c>
      <c r="P264" s="130">
        <f t="shared" si="8"/>
        <v>16604.2783</v>
      </c>
      <c r="Q264" s="127">
        <f t="shared" ref="Q264:R264" si="379">SUM(Q242:Q263)</f>
        <v>724</v>
      </c>
      <c r="R264" s="128">
        <f t="shared" si="379"/>
        <v>11223580.36</v>
      </c>
      <c r="S264" s="130">
        <f t="shared" si="9"/>
        <v>15502.18281</v>
      </c>
      <c r="T264" s="62">
        <f t="shared" si="10"/>
        <v>0.1358943191</v>
      </c>
      <c r="U264" s="129">
        <f t="shared" si="11"/>
        <v>7.358659338</v>
      </c>
      <c r="V264" s="130">
        <f>SUM(V242:V263)</f>
        <v>98593</v>
      </c>
      <c r="W264" s="131">
        <f t="shared" si="12"/>
        <v>0.00734332052</v>
      </c>
      <c r="X264" s="62">
        <f t="shared" ref="X264:Y264" si="380">IFERROR(N264/Q264,0)</f>
        <v>0.5883977901</v>
      </c>
      <c r="Y264" s="132">
        <f t="shared" si="380"/>
        <v>0.6302287088</v>
      </c>
      <c r="Z264" s="132">
        <f t="shared" si="14"/>
        <v>0.6878453039</v>
      </c>
      <c r="AA264" s="62">
        <f t="shared" si="15"/>
        <v>0.6302287088</v>
      </c>
      <c r="AB264" s="62">
        <f>IFERROR(AVERAGEIFS('Business - Dump'!$O:$O,'Business - Dump'!$B:$B,'Portfolio Wise '!$B264,'Business - Dump'!$A:$A,'Portfolio Wise '!$A264),0)</f>
        <v>0</v>
      </c>
      <c r="AC264" s="132">
        <f>F264/SUMIFS('Campaign - Dump'!$Q:$Q,'Campaign - Dump'!$A:$A,'Portfolio Wise '!$A264)</f>
        <v>1.096632473</v>
      </c>
      <c r="AD264" s="132">
        <f t="shared" si="16"/>
        <v>0.8554216867</v>
      </c>
    </row>
    <row r="265" ht="15.75" customHeight="1">
      <c r="A265" s="10" t="s">
        <v>65</v>
      </c>
      <c r="B265" s="33" t="s">
        <v>90</v>
      </c>
      <c r="C265" s="13">
        <f>SUMIFS('Campaign - Dump'!$N:$N,'Campaign - Dump'!$J:$J,'Portfolio Wise '!$B265,'Campaign - Dump'!$A:$A,'Portfolio Wise '!$A265)</f>
        <v>2305420</v>
      </c>
      <c r="D265" s="13">
        <f>SUMIFS('Campaign - Dump'!$O:$O,'Campaign - Dump'!$J:$J,'Portfolio Wise '!$B265,'Campaign - Dump'!$A:$A,'Portfolio Wise '!$A265)</f>
        <v>3366</v>
      </c>
      <c r="E265" s="23">
        <f t="shared" si="2"/>
        <v>0.00146003765</v>
      </c>
      <c r="F265" s="36">
        <f>SUMIFS('Campaign - Dump'!$Q:$Q,'Campaign - Dump'!$J:$J,'Portfolio Wise '!$B265,'Campaign - Dump'!$A:$A,'Portfolio Wise '!$A265)</f>
        <v>139833.72</v>
      </c>
      <c r="G265" s="38">
        <f t="shared" si="3"/>
        <v>41.54299465</v>
      </c>
      <c r="H265" s="41">
        <f>SUMIFS('Campaign - Dump'!$T:$T,'Campaign - Dump'!$J:$J,'Portfolio Wise '!$B265,'Campaign - Dump'!$A:$A,'Portfolio Wise '!$A265)</f>
        <v>53</v>
      </c>
      <c r="I265" s="23">
        <f t="shared" si="4"/>
        <v>0.01574569222</v>
      </c>
      <c r="J265" s="36">
        <f>SUMIFS('Campaign - Dump'!$U:$U,'Campaign - Dump'!$J:$J,'Portfolio Wise '!$B265,'Campaign - Dump'!$A:$A,'Portfolio Wise '!$A265)</f>
        <v>1003332.18</v>
      </c>
      <c r="K265" s="23">
        <f t="shared" si="5"/>
        <v>0.1393693164</v>
      </c>
      <c r="L265" s="38">
        <f t="shared" si="6"/>
        <v>7.175180493</v>
      </c>
      <c r="M265" s="41">
        <f t="shared" si="7"/>
        <v>18930.79585</v>
      </c>
      <c r="N265" s="13">
        <v>0.0</v>
      </c>
      <c r="O265" s="36">
        <v>0.0</v>
      </c>
      <c r="P265" s="41">
        <f t="shared" si="8"/>
        <v>0</v>
      </c>
      <c r="Q265" s="13">
        <f>SUMIFS('Business - Dump'!$W:$W,'Business - Dump'!$B:$B,'Portfolio Wise '!$B265,'Business - Dump'!$A:$A,'Portfolio Wise '!$A265)</f>
        <v>0</v>
      </c>
      <c r="R265" s="36">
        <f>SUMIFS('Business - Dump'!$U:$U,'Business - Dump'!$B:$B,'Portfolio Wise '!$B265,'Business - Dump'!$A:$A,'Portfolio Wise '!$A265)/1.18</f>
        <v>0</v>
      </c>
      <c r="S265" s="41">
        <f t="shared" si="9"/>
        <v>0</v>
      </c>
      <c r="T265" s="23">
        <f t="shared" si="10"/>
        <v>0</v>
      </c>
      <c r="U265" s="38">
        <f t="shared" si="11"/>
        <v>0</v>
      </c>
      <c r="V265" s="41">
        <f>SUMIFS('Business - Dump'!$G:$G,'Business - Dump'!$B:$B,'Portfolio Wise '!$B265,'Business - Dump'!$A:$A,'Portfolio Wise '!$A265)</f>
        <v>0</v>
      </c>
      <c r="W265" s="48">
        <f t="shared" si="12"/>
        <v>0</v>
      </c>
      <c r="X265" s="23">
        <f t="shared" ref="X265:Y265" si="381">IFERROR(N265/Q265,0)</f>
        <v>0</v>
      </c>
      <c r="Y265" s="49">
        <f t="shared" si="381"/>
        <v>0</v>
      </c>
      <c r="Z265" s="49">
        <f t="shared" si="14"/>
        <v>0</v>
      </c>
      <c r="AA265" s="23">
        <f t="shared" si="15"/>
        <v>0</v>
      </c>
      <c r="AB265" s="23">
        <f>IFERROR(AVERAGEIFS('Business - Dump'!$O:$O,'Business - Dump'!$B:$B,'Portfolio Wise '!$B265,'Business - Dump'!$A:$A,'Portfolio Wise '!$A265),0)</f>
        <v>0</v>
      </c>
      <c r="AC265" s="49">
        <f>F265/SUMIFS('Campaign - Dump'!$Q:$Q,'Campaign - Dump'!$A:$A,'Portfolio Wise '!$A265)</f>
        <v>0.1091087172</v>
      </c>
      <c r="AD265" s="49">
        <f t="shared" si="16"/>
        <v>0</v>
      </c>
    </row>
    <row r="266" ht="15.75" customHeight="1">
      <c r="A266" s="10" t="s">
        <v>65</v>
      </c>
      <c r="B266" s="51" t="s">
        <v>110</v>
      </c>
      <c r="C266" s="13">
        <f>SUMIFS('Campaign - Dump'!$N:$N,'Campaign - Dump'!$J:$J,'Portfolio Wise '!$B266,'Campaign - Dump'!$A:$A,'Portfolio Wise '!$A266)</f>
        <v>0</v>
      </c>
      <c r="D266" s="13">
        <f>SUMIFS('Campaign - Dump'!$O:$O,'Campaign - Dump'!$J:$J,'Portfolio Wise '!$B266,'Campaign - Dump'!$A:$A,'Portfolio Wise '!$A266)</f>
        <v>0</v>
      </c>
      <c r="E266" s="23">
        <f t="shared" si="2"/>
        <v>0</v>
      </c>
      <c r="F266" s="36">
        <f>SUMIFS('Campaign - Dump'!$Q:$Q,'Campaign - Dump'!$J:$J,'Portfolio Wise '!$B266,'Campaign - Dump'!$A:$A,'Portfolio Wise '!$A266)</f>
        <v>0</v>
      </c>
      <c r="G266" s="38">
        <f t="shared" si="3"/>
        <v>0</v>
      </c>
      <c r="H266" s="41">
        <f>SUMIFS('Campaign - Dump'!$T:$T,'Campaign - Dump'!$J:$J,'Portfolio Wise '!$B266,'Campaign - Dump'!$A:$A,'Portfolio Wise '!$A266)</f>
        <v>0</v>
      </c>
      <c r="I266" s="23">
        <f t="shared" si="4"/>
        <v>0</v>
      </c>
      <c r="J266" s="36">
        <f>SUMIFS('Campaign - Dump'!$U:$U,'Campaign - Dump'!$J:$J,'Portfolio Wise '!$B266,'Campaign - Dump'!$A:$A,'Portfolio Wise '!$A266)</f>
        <v>0</v>
      </c>
      <c r="K266" s="23">
        <f t="shared" si="5"/>
        <v>0</v>
      </c>
      <c r="L266" s="38">
        <f t="shared" si="6"/>
        <v>0</v>
      </c>
      <c r="M266" s="41">
        <f t="shared" si="7"/>
        <v>0</v>
      </c>
      <c r="N266" s="13">
        <f t="shared" ref="N266:N267" si="383">IFERROR(Q266-H266,0)</f>
        <v>0</v>
      </c>
      <c r="O266" s="36">
        <f t="shared" ref="O266:O267" si="384">IFERROR(R266-J266,0)</f>
        <v>0</v>
      </c>
      <c r="P266" s="41">
        <f t="shared" si="8"/>
        <v>0</v>
      </c>
      <c r="Q266" s="13">
        <f>SUMIFS('Business - Dump'!$W:$W,'Business - Dump'!$B:$B,'Portfolio Wise '!$B266,'Business - Dump'!$A:$A,'Portfolio Wise '!$A266)</f>
        <v>0</v>
      </c>
      <c r="R266" s="36">
        <f>SUMIFS('Business - Dump'!$U:$U,'Business - Dump'!$B:$B,'Portfolio Wise '!$B266,'Business - Dump'!$A:$A,'Portfolio Wise '!$A266)/1.18</f>
        <v>0</v>
      </c>
      <c r="S266" s="41">
        <f t="shared" si="9"/>
        <v>0</v>
      </c>
      <c r="T266" s="23">
        <f t="shared" si="10"/>
        <v>0</v>
      </c>
      <c r="U266" s="38">
        <f t="shared" si="11"/>
        <v>0</v>
      </c>
      <c r="V266" s="41">
        <f>SUMIFS('Business - Dump'!$G:$G,'Business - Dump'!$B:$B,'Portfolio Wise '!$B266,'Business - Dump'!$A:$A,'Portfolio Wise '!$A266)</f>
        <v>0</v>
      </c>
      <c r="W266" s="48">
        <f t="shared" si="12"/>
        <v>0</v>
      </c>
      <c r="X266" s="23">
        <f t="shared" ref="X266:Y266" si="382">IFERROR(N266/Q266,0)</f>
        <v>0</v>
      </c>
      <c r="Y266" s="49">
        <f t="shared" si="382"/>
        <v>0</v>
      </c>
      <c r="Z266" s="49">
        <f t="shared" si="14"/>
        <v>0</v>
      </c>
      <c r="AA266" s="23">
        <f t="shared" si="15"/>
        <v>0</v>
      </c>
      <c r="AB266" s="23">
        <f>IFERROR(AVERAGEIFS('Business - Dump'!$O:$O,'Business - Dump'!$B:$B,'Portfolio Wise '!$B266,'Business - Dump'!$A:$A,'Portfolio Wise '!$A266),0)</f>
        <v>0</v>
      </c>
      <c r="AC266" s="49">
        <f>F266/SUMIFS('Campaign - Dump'!$Q:$Q,'Campaign - Dump'!$A:$A,'Portfolio Wise '!$A266)</f>
        <v>0</v>
      </c>
      <c r="AD266" s="49">
        <f t="shared" si="16"/>
        <v>0</v>
      </c>
    </row>
    <row r="267" ht="15.75" customHeight="1">
      <c r="A267" s="10" t="s">
        <v>65</v>
      </c>
      <c r="B267" s="51" t="s">
        <v>119</v>
      </c>
      <c r="C267" s="13">
        <f>SUMIFS('Campaign - Dump'!$N:$N,'Campaign - Dump'!$J:$J,'Portfolio Wise '!$B267,'Campaign - Dump'!$A:$A,'Portfolio Wise '!$A267)</f>
        <v>0</v>
      </c>
      <c r="D267" s="13">
        <f>SUMIFS('Campaign - Dump'!$O:$O,'Campaign - Dump'!$J:$J,'Portfolio Wise '!$B267,'Campaign - Dump'!$A:$A,'Portfolio Wise '!$A267)</f>
        <v>0</v>
      </c>
      <c r="E267" s="23">
        <f t="shared" si="2"/>
        <v>0</v>
      </c>
      <c r="F267" s="36">
        <f>SUMIFS('Campaign - Dump'!$Q:$Q,'Campaign - Dump'!$J:$J,'Portfolio Wise '!$B267,'Campaign - Dump'!$A:$A,'Portfolio Wise '!$A267)</f>
        <v>0</v>
      </c>
      <c r="G267" s="38">
        <f t="shared" si="3"/>
        <v>0</v>
      </c>
      <c r="H267" s="41">
        <f>SUMIFS('Campaign - Dump'!$T:$T,'Campaign - Dump'!$J:$J,'Portfolio Wise '!$B267,'Campaign - Dump'!$A:$A,'Portfolio Wise '!$A267)</f>
        <v>0</v>
      </c>
      <c r="I267" s="23">
        <f t="shared" si="4"/>
        <v>0</v>
      </c>
      <c r="J267" s="36">
        <f>SUMIFS('Campaign - Dump'!$U:$U,'Campaign - Dump'!$J:$J,'Portfolio Wise '!$B267,'Campaign - Dump'!$A:$A,'Portfolio Wise '!$A267)</f>
        <v>0</v>
      </c>
      <c r="K267" s="23">
        <f t="shared" si="5"/>
        <v>0</v>
      </c>
      <c r="L267" s="38">
        <f t="shared" si="6"/>
        <v>0</v>
      </c>
      <c r="M267" s="41">
        <f t="shared" si="7"/>
        <v>0</v>
      </c>
      <c r="N267" s="13">
        <f t="shared" si="383"/>
        <v>1</v>
      </c>
      <c r="O267" s="36">
        <f t="shared" si="384"/>
        <v>5000</v>
      </c>
      <c r="P267" s="41">
        <f t="shared" si="8"/>
        <v>5000</v>
      </c>
      <c r="Q267" s="13">
        <f>SUMIFS('Business - Dump'!$W:$W,'Business - Dump'!$B:$B,'Portfolio Wise '!$B267,'Business - Dump'!$A:$A,'Portfolio Wise '!$A267)</f>
        <v>1</v>
      </c>
      <c r="R267" s="36">
        <f>SUMIFS('Business - Dump'!$U:$U,'Business - Dump'!$B:$B,'Portfolio Wise '!$B267,'Business - Dump'!$A:$A,'Portfolio Wise '!$A267)/1.18</f>
        <v>5000</v>
      </c>
      <c r="S267" s="41">
        <f t="shared" si="9"/>
        <v>5000</v>
      </c>
      <c r="T267" s="23">
        <f t="shared" si="10"/>
        <v>0</v>
      </c>
      <c r="U267" s="38">
        <f t="shared" si="11"/>
        <v>0</v>
      </c>
      <c r="V267" s="41">
        <f>SUMIFS('Business - Dump'!$G:$G,'Business - Dump'!$B:$B,'Portfolio Wise '!$B267,'Business - Dump'!$A:$A,'Portfolio Wise '!$A267)</f>
        <v>1174</v>
      </c>
      <c r="W267" s="48">
        <f t="shared" si="12"/>
        <v>0.0008517887564</v>
      </c>
      <c r="X267" s="23">
        <f t="shared" ref="X267:Y267" si="385">IFERROR(N267/Q267,0)</f>
        <v>1</v>
      </c>
      <c r="Y267" s="49">
        <f t="shared" si="385"/>
        <v>1</v>
      </c>
      <c r="Z267" s="49">
        <f t="shared" si="14"/>
        <v>0</v>
      </c>
      <c r="AA267" s="23">
        <f t="shared" si="15"/>
        <v>1</v>
      </c>
      <c r="AB267" s="23">
        <f>IFERROR(AVERAGEIFS('Business - Dump'!$O:$O,'Business - Dump'!$B:$B,'Portfolio Wise '!$B267,'Business - Dump'!$A:$A,'Portfolio Wise '!$A267),0)</f>
        <v>0.78436</v>
      </c>
      <c r="AC267" s="49">
        <f>F267/SUMIFS('Campaign - Dump'!$Q:$Q,'Campaign - Dump'!$A:$A,'Portfolio Wise '!$A267)</f>
        <v>0</v>
      </c>
      <c r="AD267" s="49">
        <f t="shared" si="16"/>
        <v>0</v>
      </c>
    </row>
    <row r="268" ht="15.75" customHeight="1">
      <c r="A268" s="10" t="s">
        <v>65</v>
      </c>
      <c r="B268" s="19" t="s">
        <v>128</v>
      </c>
      <c r="C268" s="13">
        <f>SUMIFS('Campaign - Dump'!$N:$N,'Campaign - Dump'!$J:$J,'Portfolio Wise '!$B268,'Campaign - Dump'!$A:$A,'Portfolio Wise '!$A268)</f>
        <v>1297469</v>
      </c>
      <c r="D268" s="13">
        <f>SUMIFS('Campaign - Dump'!$O:$O,'Campaign - Dump'!$J:$J,'Portfolio Wise '!$B268,'Campaign - Dump'!$A:$A,'Portfolio Wise '!$A268)</f>
        <v>5157</v>
      </c>
      <c r="E268" s="23">
        <f t="shared" si="2"/>
        <v>0.003974661437</v>
      </c>
      <c r="F268" s="36">
        <f>SUMIFS('Campaign - Dump'!$Q:$Q,'Campaign - Dump'!$J:$J,'Portfolio Wise '!$B268,'Campaign - Dump'!$A:$A,'Portfolio Wise '!$A268)</f>
        <v>288074.19</v>
      </c>
      <c r="G268" s="38">
        <f t="shared" si="3"/>
        <v>55.86080861</v>
      </c>
      <c r="H268" s="41">
        <f>SUMIFS('Campaign - Dump'!$T:$T,'Campaign - Dump'!$J:$J,'Portfolio Wise '!$B268,'Campaign - Dump'!$A:$A,'Portfolio Wise '!$A268)</f>
        <v>169</v>
      </c>
      <c r="I268" s="23">
        <f t="shared" si="4"/>
        <v>0.03277099089</v>
      </c>
      <c r="J268" s="36">
        <f>SUMIFS('Campaign - Dump'!$U:$U,'Campaign - Dump'!$J:$J,'Portfolio Wise '!$B268,'Campaign - Dump'!$A:$A,'Portfolio Wise '!$A268)</f>
        <v>3318497.51</v>
      </c>
      <c r="K268" s="23">
        <f t="shared" si="5"/>
        <v>0.08680862021</v>
      </c>
      <c r="L268" s="38">
        <f t="shared" si="6"/>
        <v>11.5195933</v>
      </c>
      <c r="M268" s="41">
        <f t="shared" si="7"/>
        <v>19636.07994</v>
      </c>
      <c r="N268" s="13">
        <v>0.0</v>
      </c>
      <c r="O268" s="36">
        <v>0.0</v>
      </c>
      <c r="P268" s="41">
        <f t="shared" si="8"/>
        <v>0</v>
      </c>
      <c r="Q268" s="13">
        <f>SUMIFS('Business - Dump'!$W:$W,'Business - Dump'!$B:$B,'Portfolio Wise '!$B268,'Business - Dump'!$A:$A,'Portfolio Wise '!$A268)</f>
        <v>0</v>
      </c>
      <c r="R268" s="36">
        <f>SUMIFS('Business - Dump'!$U:$U,'Business - Dump'!$B:$B,'Portfolio Wise '!$B268,'Business - Dump'!$A:$A,'Portfolio Wise '!$A268)/1.18</f>
        <v>0</v>
      </c>
      <c r="S268" s="41">
        <f t="shared" si="9"/>
        <v>0</v>
      </c>
      <c r="T268" s="23">
        <f t="shared" si="10"/>
        <v>0</v>
      </c>
      <c r="U268" s="38">
        <f t="shared" si="11"/>
        <v>0</v>
      </c>
      <c r="V268" s="41">
        <f>SUMIFS('Business - Dump'!$G:$G,'Business - Dump'!$B:$B,'Portfolio Wise '!$B268,'Business - Dump'!$A:$A,'Portfolio Wise '!$A268)</f>
        <v>0</v>
      </c>
      <c r="W268" s="48">
        <f t="shared" si="12"/>
        <v>0</v>
      </c>
      <c r="X268" s="23">
        <f t="shared" ref="X268:Y268" si="386">IFERROR(N268/Q268,0)</f>
        <v>0</v>
      </c>
      <c r="Y268" s="49">
        <f t="shared" si="386"/>
        <v>0</v>
      </c>
      <c r="Z268" s="49">
        <f t="shared" si="14"/>
        <v>0</v>
      </c>
      <c r="AA268" s="23">
        <f t="shared" si="15"/>
        <v>0</v>
      </c>
      <c r="AB268" s="23">
        <f>IFERROR(AVERAGEIFS('Business - Dump'!$O:$O,'Business - Dump'!$B:$B,'Portfolio Wise '!$B268,'Business - Dump'!$A:$A,'Portfolio Wise '!$A268),0)</f>
        <v>0</v>
      </c>
      <c r="AC268" s="49">
        <f>F268/SUMIFS('Campaign - Dump'!$Q:$Q,'Campaign - Dump'!$A:$A,'Portfolio Wise '!$A268)</f>
        <v>0.224777009</v>
      </c>
      <c r="AD268" s="49">
        <f t="shared" si="16"/>
        <v>0</v>
      </c>
    </row>
    <row r="269" ht="15.75" customHeight="1">
      <c r="A269" s="10" t="s">
        <v>65</v>
      </c>
      <c r="B269" s="19" t="s">
        <v>134</v>
      </c>
      <c r="C269" s="13">
        <f>SUMIFS('Campaign - Dump'!$N:$N,'Campaign - Dump'!$J:$J,'Portfolio Wise '!$B269,'Campaign - Dump'!$A:$A,'Portfolio Wise '!$A269)</f>
        <v>1443196</v>
      </c>
      <c r="D269" s="13">
        <f>SUMIFS('Campaign - Dump'!$O:$O,'Campaign - Dump'!$J:$J,'Portfolio Wise '!$B269,'Campaign - Dump'!$A:$A,'Portfolio Wise '!$A269)</f>
        <v>8837</v>
      </c>
      <c r="E269" s="23">
        <f t="shared" si="2"/>
        <v>0.006123215419</v>
      </c>
      <c r="F269" s="36">
        <f>SUMIFS('Campaign - Dump'!$Q:$Q,'Campaign - Dump'!$J:$J,'Portfolio Wise '!$B269,'Campaign - Dump'!$A:$A,'Portfolio Wise '!$A269)</f>
        <v>501988.02</v>
      </c>
      <c r="G269" s="38">
        <f t="shared" si="3"/>
        <v>56.80525291</v>
      </c>
      <c r="H269" s="41">
        <f>SUMIFS('Campaign - Dump'!$T:$T,'Campaign - Dump'!$J:$J,'Portfolio Wise '!$B269,'Campaign - Dump'!$A:$A,'Portfolio Wise '!$A269)</f>
        <v>32</v>
      </c>
      <c r="I269" s="23">
        <f t="shared" si="4"/>
        <v>0.003621138395</v>
      </c>
      <c r="J269" s="36">
        <f>SUMIFS('Campaign - Dump'!$U:$U,'Campaign - Dump'!$J:$J,'Portfolio Wise '!$B269,'Campaign - Dump'!$A:$A,'Portfolio Wise '!$A269)</f>
        <v>582813.57</v>
      </c>
      <c r="K269" s="23">
        <f t="shared" si="5"/>
        <v>0.8613183458</v>
      </c>
      <c r="L269" s="38">
        <f t="shared" si="6"/>
        <v>1.161010914</v>
      </c>
      <c r="M269" s="41">
        <f t="shared" si="7"/>
        <v>18212.92406</v>
      </c>
      <c r="N269" s="13">
        <f t="shared" ref="N269:N275" si="388">IFERROR(Q269-H269,0)</f>
        <v>84</v>
      </c>
      <c r="O269" s="36">
        <f t="shared" ref="O269:O275" si="389">IFERROR(R269-J269,0)</f>
        <v>1467428.896</v>
      </c>
      <c r="P269" s="41">
        <f t="shared" si="8"/>
        <v>17469.39162</v>
      </c>
      <c r="Q269" s="13">
        <f>SUMIFS('Business - Dump'!$W:$W,'Business - Dump'!$B:$B,'Portfolio Wise '!$B269,'Business - Dump'!$A:$A,'Portfolio Wise '!$A269)</f>
        <v>116</v>
      </c>
      <c r="R269" s="36">
        <f>SUMIFS('Business - Dump'!$U:$U,'Business - Dump'!$B:$B,'Portfolio Wise '!$B269,'Business - Dump'!$A:$A,'Portfolio Wise '!$A269)/1.18</f>
        <v>2050242.466</v>
      </c>
      <c r="S269" s="41">
        <f t="shared" si="9"/>
        <v>17674.50402</v>
      </c>
      <c r="T269" s="62">
        <f t="shared" si="10"/>
        <v>0.2448432458</v>
      </c>
      <c r="U269" s="38">
        <f t="shared" si="11"/>
        <v>4.084245808</v>
      </c>
      <c r="V269" s="41">
        <f>SUMIFS('Business - Dump'!$G:$G,'Business - Dump'!$B:$B,'Portfolio Wise '!$B269,'Business - Dump'!$A:$A,'Portfolio Wise '!$A269)</f>
        <v>24725</v>
      </c>
      <c r="W269" s="23">
        <f t="shared" si="12"/>
        <v>0.004691607685</v>
      </c>
      <c r="X269" s="23">
        <f t="shared" ref="X269:Y269" si="387">IFERROR(N269/Q269,0)</f>
        <v>0.724137931</v>
      </c>
      <c r="Y269" s="49">
        <f t="shared" si="387"/>
        <v>0.7157343194</v>
      </c>
      <c r="Z269" s="49">
        <f t="shared" si="14"/>
        <v>0.275862069</v>
      </c>
      <c r="AA269" s="23">
        <f t="shared" si="15"/>
        <v>0.7157343194</v>
      </c>
      <c r="AB269" s="23">
        <f>IFERROR(AVERAGEIFS('Business - Dump'!$O:$O,'Business - Dump'!$B:$B,'Portfolio Wise '!$B269,'Business - Dump'!$A:$A,'Portfolio Wise '!$A269),0)</f>
        <v>0.8920333333</v>
      </c>
      <c r="AC269" s="49">
        <f>F269/SUMIFS('Campaign - Dump'!$Q:$Q,'Campaign - Dump'!$A:$A,'Portfolio Wise '!$A269)</f>
        <v>0.3916885636</v>
      </c>
      <c r="AD269" s="49">
        <f t="shared" si="16"/>
        <v>2.625</v>
      </c>
    </row>
    <row r="270" ht="15.75" customHeight="1">
      <c r="A270" s="10" t="s">
        <v>65</v>
      </c>
      <c r="B270" s="19" t="s">
        <v>140</v>
      </c>
      <c r="C270" s="13">
        <f>SUMIFS('Campaign - Dump'!$N:$N,'Campaign - Dump'!$J:$J,'Portfolio Wise '!$B270,'Campaign - Dump'!$A:$A,'Portfolio Wise '!$A270)</f>
        <v>186135</v>
      </c>
      <c r="D270" s="13">
        <f>SUMIFS('Campaign - Dump'!$O:$O,'Campaign - Dump'!$J:$J,'Portfolio Wise '!$B270,'Campaign - Dump'!$A:$A,'Portfolio Wise '!$A270)</f>
        <v>304</v>
      </c>
      <c r="E270" s="23">
        <f t="shared" si="2"/>
        <v>0.001633223198</v>
      </c>
      <c r="F270" s="36">
        <f>SUMIFS('Campaign - Dump'!$Q:$Q,'Campaign - Dump'!$J:$J,'Portfolio Wise '!$B270,'Campaign - Dump'!$A:$A,'Portfolio Wise '!$A270)</f>
        <v>23751.52</v>
      </c>
      <c r="G270" s="38">
        <f t="shared" si="3"/>
        <v>78.13</v>
      </c>
      <c r="H270" s="41">
        <f>SUMIFS('Campaign - Dump'!$T:$T,'Campaign - Dump'!$J:$J,'Portfolio Wise '!$B270,'Campaign - Dump'!$A:$A,'Portfolio Wise '!$A270)</f>
        <v>4</v>
      </c>
      <c r="I270" s="23">
        <f t="shared" si="4"/>
        <v>0.01315789474</v>
      </c>
      <c r="J270" s="36">
        <f>SUMIFS('Campaign - Dump'!$U:$U,'Campaign - Dump'!$J:$J,'Portfolio Wise '!$B270,'Campaign - Dump'!$A:$A,'Portfolio Wise '!$A270)</f>
        <v>78545.76</v>
      </c>
      <c r="K270" s="23">
        <f t="shared" si="5"/>
        <v>0.3023908611</v>
      </c>
      <c r="L270" s="38">
        <f t="shared" si="6"/>
        <v>3.306978248</v>
      </c>
      <c r="M270" s="41">
        <f t="shared" si="7"/>
        <v>19636.44</v>
      </c>
      <c r="N270" s="13">
        <f t="shared" si="388"/>
        <v>52</v>
      </c>
      <c r="O270" s="36">
        <f t="shared" si="389"/>
        <v>1384693.02</v>
      </c>
      <c r="P270" s="41">
        <f t="shared" si="8"/>
        <v>26628.71192</v>
      </c>
      <c r="Q270" s="13">
        <f>SUMIFS('Business - Dump'!$W:$W,'Business - Dump'!$B:$B,'Portfolio Wise '!$B270,'Business - Dump'!$A:$A,'Portfolio Wise '!$A270)</f>
        <v>56</v>
      </c>
      <c r="R270" s="36">
        <f>SUMIFS('Business - Dump'!$U:$U,'Business - Dump'!$B:$B,'Portfolio Wise '!$B270,'Business - Dump'!$A:$A,'Portfolio Wise '!$A270)/1.18</f>
        <v>1463238.78</v>
      </c>
      <c r="S270" s="41">
        <f t="shared" si="9"/>
        <v>26129.26392</v>
      </c>
      <c r="T270" s="23">
        <f t="shared" si="10"/>
        <v>0.01623215591</v>
      </c>
      <c r="U270" s="38">
        <f t="shared" si="11"/>
        <v>61.60611109</v>
      </c>
      <c r="V270" s="41">
        <f>SUMIFS('Business - Dump'!$G:$G,'Business - Dump'!$B:$B,'Portfolio Wise '!$B270,'Business - Dump'!$A:$A,'Portfolio Wise '!$A270)</f>
        <v>6941</v>
      </c>
      <c r="W270" s="23">
        <f t="shared" si="12"/>
        <v>0.008068001729</v>
      </c>
      <c r="X270" s="23">
        <f t="shared" ref="X270:Y270" si="390">IFERROR(N270/Q270,0)</f>
        <v>0.9285714286</v>
      </c>
      <c r="Y270" s="49">
        <f t="shared" si="390"/>
        <v>0.9463206135</v>
      </c>
      <c r="Z270" s="49">
        <f t="shared" si="14"/>
        <v>0.07142857143</v>
      </c>
      <c r="AA270" s="23">
        <f t="shared" si="15"/>
        <v>0.9463206135</v>
      </c>
      <c r="AB270" s="23">
        <f>IFERROR(AVERAGEIFS('Business - Dump'!$O:$O,'Business - Dump'!$B:$B,'Portfolio Wise '!$B270,'Business - Dump'!$A:$A,'Portfolio Wise '!$A270),0)</f>
        <v>0.9137</v>
      </c>
      <c r="AC270" s="49">
        <f>F270/SUMIFS('Campaign - Dump'!$Q:$Q,'Campaign - Dump'!$A:$A,'Portfolio Wise '!$A270)</f>
        <v>0.0185327107</v>
      </c>
      <c r="AD270" s="49">
        <f t="shared" si="16"/>
        <v>13</v>
      </c>
    </row>
    <row r="271" ht="15.75" customHeight="1">
      <c r="A271" s="10" t="s">
        <v>65</v>
      </c>
      <c r="B271" s="10" t="s">
        <v>152</v>
      </c>
      <c r="C271" s="13">
        <f>SUMIFS('Campaign - Dump'!$N:$N,'Campaign - Dump'!$J:$J,'Portfolio Wise '!$B271,'Campaign - Dump'!$A:$A,'Portfolio Wise '!$A271)</f>
        <v>0</v>
      </c>
      <c r="D271" s="13">
        <f>SUMIFS('Campaign - Dump'!$O:$O,'Campaign - Dump'!$J:$J,'Portfolio Wise '!$B271,'Campaign - Dump'!$A:$A,'Portfolio Wise '!$A271)</f>
        <v>0</v>
      </c>
      <c r="E271" s="23">
        <f t="shared" si="2"/>
        <v>0</v>
      </c>
      <c r="F271" s="36">
        <f>SUMIFS('Campaign - Dump'!$Q:$Q,'Campaign - Dump'!$J:$J,'Portfolio Wise '!$B271,'Campaign - Dump'!$A:$A,'Portfolio Wise '!$A271)</f>
        <v>0</v>
      </c>
      <c r="G271" s="38">
        <f t="shared" si="3"/>
        <v>0</v>
      </c>
      <c r="H271" s="41">
        <f>SUMIFS('Campaign - Dump'!$T:$T,'Campaign - Dump'!$J:$J,'Portfolio Wise '!$B271,'Campaign - Dump'!$A:$A,'Portfolio Wise '!$A271)</f>
        <v>0</v>
      </c>
      <c r="I271" s="23">
        <f t="shared" si="4"/>
        <v>0</v>
      </c>
      <c r="J271" s="36">
        <f>SUMIFS('Campaign - Dump'!$U:$U,'Campaign - Dump'!$J:$J,'Portfolio Wise '!$B271,'Campaign - Dump'!$A:$A,'Portfolio Wise '!$A271)</f>
        <v>0</v>
      </c>
      <c r="K271" s="23">
        <f t="shared" si="5"/>
        <v>0</v>
      </c>
      <c r="L271" s="38">
        <f t="shared" si="6"/>
        <v>0</v>
      </c>
      <c r="M271" s="41">
        <f t="shared" si="7"/>
        <v>0</v>
      </c>
      <c r="N271" s="13">
        <f t="shared" si="388"/>
        <v>1</v>
      </c>
      <c r="O271" s="36">
        <f t="shared" si="389"/>
        <v>13983.05085</v>
      </c>
      <c r="P271" s="41">
        <f t="shared" si="8"/>
        <v>13983.05085</v>
      </c>
      <c r="Q271" s="13">
        <f>SUMIFS('Business - Dump'!$W:$W,'Business - Dump'!$B:$B,'Portfolio Wise '!$B271,'Business - Dump'!$A:$A,'Portfolio Wise '!$A271)</f>
        <v>1</v>
      </c>
      <c r="R271" s="36">
        <f>SUMIFS('Business - Dump'!$U:$U,'Business - Dump'!$B:$B,'Portfolio Wise '!$B271,'Business - Dump'!$A:$A,'Portfolio Wise '!$A271)/1.18</f>
        <v>13983.05085</v>
      </c>
      <c r="S271" s="41">
        <f t="shared" si="9"/>
        <v>13983.05085</v>
      </c>
      <c r="T271" s="23">
        <f t="shared" si="10"/>
        <v>0</v>
      </c>
      <c r="U271" s="38">
        <f t="shared" si="11"/>
        <v>0</v>
      </c>
      <c r="V271" s="41">
        <f>SUMIFS('Business - Dump'!$G:$G,'Business - Dump'!$B:$B,'Portfolio Wise '!$B271,'Business - Dump'!$A:$A,'Portfolio Wise '!$A271)</f>
        <v>153</v>
      </c>
      <c r="W271" s="48">
        <f t="shared" si="12"/>
        <v>0.006535947712</v>
      </c>
      <c r="X271" s="23">
        <f t="shared" ref="X271:Y271" si="391">IFERROR(N271/Q271,0)</f>
        <v>1</v>
      </c>
      <c r="Y271" s="49">
        <f t="shared" si="391"/>
        <v>1</v>
      </c>
      <c r="Z271" s="49">
        <f t="shared" si="14"/>
        <v>0</v>
      </c>
      <c r="AA271" s="23">
        <f t="shared" si="15"/>
        <v>1</v>
      </c>
      <c r="AB271" s="23">
        <f>IFERROR(AVERAGEIFS('Business - Dump'!$O:$O,'Business - Dump'!$B:$B,'Portfolio Wise '!$B271,'Business - Dump'!$A:$A,'Portfolio Wise '!$A271),0)</f>
        <v>0.6435</v>
      </c>
      <c r="AC271" s="49">
        <f>F271/SUMIFS('Campaign - Dump'!$Q:$Q,'Campaign - Dump'!$A:$A,'Portfolio Wise '!$A271)</f>
        <v>0</v>
      </c>
      <c r="AD271" s="49">
        <f t="shared" si="16"/>
        <v>0</v>
      </c>
    </row>
    <row r="272" ht="15.75" customHeight="1">
      <c r="A272" s="10" t="s">
        <v>65</v>
      </c>
      <c r="B272" s="19" t="s">
        <v>158</v>
      </c>
      <c r="C272" s="13">
        <f>SUMIFS('Campaign - Dump'!$N:$N,'Campaign - Dump'!$J:$J,'Portfolio Wise '!$B272,'Campaign - Dump'!$A:$A,'Portfolio Wise '!$A272)</f>
        <v>611210</v>
      </c>
      <c r="D272" s="13">
        <f>SUMIFS('Campaign - Dump'!$O:$O,'Campaign - Dump'!$J:$J,'Portfolio Wise '!$B272,'Campaign - Dump'!$A:$A,'Portfolio Wise '!$A272)</f>
        <v>1785</v>
      </c>
      <c r="E272" s="23">
        <f t="shared" si="2"/>
        <v>0.002920436511</v>
      </c>
      <c r="F272" s="36">
        <f>SUMIFS('Campaign - Dump'!$Q:$Q,'Campaign - Dump'!$J:$J,'Portfolio Wise '!$B272,'Campaign - Dump'!$A:$A,'Portfolio Wise '!$A272)</f>
        <v>23836.4</v>
      </c>
      <c r="G272" s="38">
        <f t="shared" si="3"/>
        <v>13.35372549</v>
      </c>
      <c r="H272" s="41">
        <f>SUMIFS('Campaign - Dump'!$T:$T,'Campaign - Dump'!$J:$J,'Portfolio Wise '!$B272,'Campaign - Dump'!$A:$A,'Portfolio Wise '!$A272)</f>
        <v>15</v>
      </c>
      <c r="I272" s="23">
        <f t="shared" si="4"/>
        <v>0.008403361345</v>
      </c>
      <c r="J272" s="36">
        <f>SUMIFS('Campaign - Dump'!$U:$U,'Campaign - Dump'!$J:$J,'Portfolio Wise '!$B272,'Campaign - Dump'!$A:$A,'Portfolio Wise '!$A272)</f>
        <v>52616.94</v>
      </c>
      <c r="K272" s="23">
        <f t="shared" si="5"/>
        <v>0.4530176023</v>
      </c>
      <c r="L272" s="38">
        <f t="shared" si="6"/>
        <v>2.207419745</v>
      </c>
      <c r="M272" s="41">
        <f t="shared" si="7"/>
        <v>3507.796</v>
      </c>
      <c r="N272" s="13">
        <f t="shared" si="388"/>
        <v>9</v>
      </c>
      <c r="O272" s="36">
        <f t="shared" si="389"/>
        <v>18144.92441</v>
      </c>
      <c r="P272" s="41">
        <f t="shared" si="8"/>
        <v>2016.102712</v>
      </c>
      <c r="Q272" s="13">
        <f>SUMIFS('Business - Dump'!$W:$W,'Business - Dump'!$B:$B,'Portfolio Wise '!$B272,'Business - Dump'!$A:$A,'Portfolio Wise '!$A272)</f>
        <v>24</v>
      </c>
      <c r="R272" s="36">
        <f>SUMIFS('Business - Dump'!$U:$U,'Business - Dump'!$B:$B,'Portfolio Wise '!$B272,'Business - Dump'!$A:$A,'Portfolio Wise '!$A272)/1.18</f>
        <v>70761.86441</v>
      </c>
      <c r="S272" s="41">
        <f t="shared" si="9"/>
        <v>2948.411017</v>
      </c>
      <c r="T272" s="23">
        <f t="shared" si="10"/>
        <v>0.3368537587</v>
      </c>
      <c r="U272" s="38">
        <f t="shared" si="11"/>
        <v>2.968647296</v>
      </c>
      <c r="V272" s="41">
        <f>SUMIFS('Business - Dump'!$G:$G,'Business - Dump'!$B:$B,'Portfolio Wise '!$B272,'Business - Dump'!$A:$A,'Portfolio Wise '!$A272)</f>
        <v>3073</v>
      </c>
      <c r="W272" s="48">
        <f t="shared" si="12"/>
        <v>0.007809957696</v>
      </c>
      <c r="X272" s="23">
        <f t="shared" ref="X272:Y272" si="392">IFERROR(N272/Q272,0)</f>
        <v>0.375</v>
      </c>
      <c r="Y272" s="49">
        <f t="shared" si="392"/>
        <v>0.2564223619</v>
      </c>
      <c r="Z272" s="49">
        <f t="shared" si="14"/>
        <v>0.625</v>
      </c>
      <c r="AA272" s="23">
        <f t="shared" si="15"/>
        <v>0.2564223619</v>
      </c>
      <c r="AB272" s="23">
        <f>IFERROR(AVERAGEIFS('Business - Dump'!$O:$O,'Business - Dump'!$B:$B,'Portfolio Wise '!$B272,'Business - Dump'!$A:$A,'Portfolio Wise '!$A272),0)</f>
        <v>0.87535</v>
      </c>
      <c r="AC272" s="49">
        <f>F272/SUMIFS('Campaign - Dump'!$Q:$Q,'Campaign - Dump'!$A:$A,'Portfolio Wise '!$A272)</f>
        <v>0.01859894042</v>
      </c>
      <c r="AD272" s="49">
        <f t="shared" si="16"/>
        <v>0.6</v>
      </c>
    </row>
    <row r="273" ht="15.75" customHeight="1">
      <c r="A273" s="10" t="s">
        <v>65</v>
      </c>
      <c r="B273" s="33" t="s">
        <v>170</v>
      </c>
      <c r="C273" s="13">
        <f>SUMIFS('Campaign - Dump'!$N:$N,'Campaign - Dump'!$J:$J,'Portfolio Wise '!$B273,'Campaign - Dump'!$A:$A,'Portfolio Wise '!$A273)</f>
        <v>33558</v>
      </c>
      <c r="D273" s="13">
        <f>SUMIFS('Campaign - Dump'!$O:$O,'Campaign - Dump'!$J:$J,'Portfolio Wise '!$B273,'Campaign - Dump'!$A:$A,'Portfolio Wise '!$A273)</f>
        <v>250</v>
      </c>
      <c r="E273" s="23">
        <f t="shared" si="2"/>
        <v>0.007449788426</v>
      </c>
      <c r="F273" s="36">
        <f>SUMIFS('Campaign - Dump'!$Q:$Q,'Campaign - Dump'!$J:$J,'Portfolio Wise '!$B273,'Campaign - Dump'!$A:$A,'Portfolio Wise '!$A273)</f>
        <v>7385.29</v>
      </c>
      <c r="G273" s="38">
        <f t="shared" si="3"/>
        <v>29.54116</v>
      </c>
      <c r="H273" s="41">
        <f>SUMIFS('Campaign - Dump'!$T:$T,'Campaign - Dump'!$J:$J,'Portfolio Wise '!$B273,'Campaign - Dump'!$A:$A,'Portfolio Wise '!$A273)</f>
        <v>1</v>
      </c>
      <c r="I273" s="23">
        <f t="shared" si="4"/>
        <v>0.004</v>
      </c>
      <c r="J273" s="36">
        <f>SUMIFS('Campaign - Dump'!$U:$U,'Campaign - Dump'!$J:$J,'Portfolio Wise '!$B273,'Campaign - Dump'!$A:$A,'Portfolio Wise '!$A273)</f>
        <v>5923.73</v>
      </c>
      <c r="K273" s="23">
        <f t="shared" si="5"/>
        <v>1.246729679</v>
      </c>
      <c r="L273" s="38">
        <f t="shared" si="6"/>
        <v>0.8020984958</v>
      </c>
      <c r="M273" s="41">
        <f t="shared" si="7"/>
        <v>5923.73</v>
      </c>
      <c r="N273" s="13">
        <f t="shared" si="388"/>
        <v>6</v>
      </c>
      <c r="O273" s="36">
        <f t="shared" si="389"/>
        <v>43016.94797</v>
      </c>
      <c r="P273" s="41">
        <f t="shared" si="8"/>
        <v>7169.491328</v>
      </c>
      <c r="Q273" s="13">
        <f>SUMIFS('Business - Dump'!$W:$W,'Business - Dump'!$B:$B,'Portfolio Wise '!$B273,'Business - Dump'!$A:$A,'Portfolio Wise '!$A273)</f>
        <v>7</v>
      </c>
      <c r="R273" s="36">
        <f>SUMIFS('Business - Dump'!$U:$U,'Business - Dump'!$B:$B,'Portfolio Wise '!$B273,'Business - Dump'!$A:$A,'Portfolio Wise '!$A273)/1.18</f>
        <v>48940.67797</v>
      </c>
      <c r="S273" s="41">
        <f t="shared" si="9"/>
        <v>6991.525424</v>
      </c>
      <c r="T273" s="23">
        <f t="shared" si="10"/>
        <v>0.1509028952</v>
      </c>
      <c r="U273" s="38">
        <f t="shared" si="11"/>
        <v>6.626778091</v>
      </c>
      <c r="V273" s="41">
        <f>SUMIFS('Business - Dump'!$G:$G,'Business - Dump'!$B:$B,'Portfolio Wise '!$B273,'Business - Dump'!$A:$A,'Portfolio Wise '!$A273)</f>
        <v>748</v>
      </c>
      <c r="W273" s="48">
        <f t="shared" si="12"/>
        <v>0.00935828877</v>
      </c>
      <c r="X273" s="23">
        <f t="shared" ref="X273:Y273" si="393">IFERROR(N273/Q273,0)</f>
        <v>0.8571428571</v>
      </c>
      <c r="Y273" s="49">
        <f t="shared" si="393"/>
        <v>0.8789610147</v>
      </c>
      <c r="Z273" s="49">
        <f t="shared" si="14"/>
        <v>0.1428571429</v>
      </c>
      <c r="AA273" s="23">
        <f t="shared" si="15"/>
        <v>0.8789610147</v>
      </c>
      <c r="AB273" s="23">
        <f>IFERROR(AVERAGEIFS('Business - Dump'!$O:$O,'Business - Dump'!$B:$B,'Portfolio Wise '!$B273,'Business - Dump'!$A:$A,'Portfolio Wise '!$A273),0)</f>
        <v>0.9219</v>
      </c>
      <c r="AC273" s="49">
        <f>F273/SUMIFS('Campaign - Dump'!$Q:$Q,'Campaign - Dump'!$A:$A,'Portfolio Wise '!$A273)</f>
        <v>0.005762555114</v>
      </c>
      <c r="AD273" s="49">
        <f t="shared" si="16"/>
        <v>6</v>
      </c>
    </row>
    <row r="274" ht="15.75" customHeight="1">
      <c r="A274" s="10" t="s">
        <v>65</v>
      </c>
      <c r="B274" s="51" t="s">
        <v>176</v>
      </c>
      <c r="C274" s="13">
        <f>SUMIFS('Campaign - Dump'!$N:$N,'Campaign - Dump'!$J:$J,'Portfolio Wise '!$B274,'Campaign - Dump'!$A:$A,'Portfolio Wise '!$A274)</f>
        <v>33686</v>
      </c>
      <c r="D274" s="13">
        <f>SUMIFS('Campaign - Dump'!$O:$O,'Campaign - Dump'!$J:$J,'Portfolio Wise '!$B274,'Campaign - Dump'!$A:$A,'Portfolio Wise '!$A274)</f>
        <v>156</v>
      </c>
      <c r="E274" s="23">
        <f t="shared" si="2"/>
        <v>0.004631003978</v>
      </c>
      <c r="F274" s="36">
        <f>SUMIFS('Campaign - Dump'!$Q:$Q,'Campaign - Dump'!$J:$J,'Portfolio Wise '!$B274,'Campaign - Dump'!$A:$A,'Portfolio Wise '!$A274)</f>
        <v>5462.44</v>
      </c>
      <c r="G274" s="38">
        <f t="shared" si="3"/>
        <v>35.01564103</v>
      </c>
      <c r="H274" s="41">
        <f>SUMIFS('Campaign - Dump'!$T:$T,'Campaign - Dump'!$J:$J,'Portfolio Wise '!$B274,'Campaign - Dump'!$A:$A,'Portfolio Wise '!$A274)</f>
        <v>0</v>
      </c>
      <c r="I274" s="23">
        <f t="shared" si="4"/>
        <v>0</v>
      </c>
      <c r="J274" s="36">
        <f>SUMIFS('Campaign - Dump'!$U:$U,'Campaign - Dump'!$J:$J,'Portfolio Wise '!$B274,'Campaign - Dump'!$A:$A,'Portfolio Wise '!$A274)</f>
        <v>0</v>
      </c>
      <c r="K274" s="23">
        <f t="shared" si="5"/>
        <v>0</v>
      </c>
      <c r="L274" s="38">
        <f t="shared" si="6"/>
        <v>0</v>
      </c>
      <c r="M274" s="41">
        <f t="shared" si="7"/>
        <v>0</v>
      </c>
      <c r="N274" s="13">
        <f t="shared" si="388"/>
        <v>67</v>
      </c>
      <c r="O274" s="36">
        <f t="shared" si="389"/>
        <v>1173361.949</v>
      </c>
      <c r="P274" s="41">
        <f t="shared" si="8"/>
        <v>17512.86491</v>
      </c>
      <c r="Q274" s="13">
        <f>SUMIFS('Business - Dump'!$W:$W,'Business - Dump'!$B:$B,'Portfolio Wise '!$B274,'Business - Dump'!$A:$A,'Portfolio Wise '!$A274)</f>
        <v>67</v>
      </c>
      <c r="R274" s="36">
        <f>SUMIFS('Business - Dump'!$U:$U,'Business - Dump'!$B:$B,'Portfolio Wise '!$B274,'Business - Dump'!$A:$A,'Portfolio Wise '!$A274)/1.18</f>
        <v>1173361.949</v>
      </c>
      <c r="S274" s="41">
        <f t="shared" si="9"/>
        <v>17512.86491</v>
      </c>
      <c r="T274" s="23">
        <f t="shared" si="10"/>
        <v>0.004655375099</v>
      </c>
      <c r="U274" s="38">
        <f t="shared" si="11"/>
        <v>214.8054622</v>
      </c>
      <c r="V274" s="41">
        <f>SUMIFS('Business - Dump'!$G:$G,'Business - Dump'!$B:$B,'Portfolio Wise '!$B274,'Business - Dump'!$A:$A,'Portfolio Wise '!$A274)</f>
        <v>8491</v>
      </c>
      <c r="W274" s="48">
        <f t="shared" si="12"/>
        <v>0.007890707808</v>
      </c>
      <c r="X274" s="23">
        <f t="shared" ref="X274:Y274" si="394">IFERROR(N274/Q274,0)</f>
        <v>1</v>
      </c>
      <c r="Y274" s="49">
        <f t="shared" si="394"/>
        <v>1</v>
      </c>
      <c r="Z274" s="49">
        <f t="shared" si="14"/>
        <v>0</v>
      </c>
      <c r="AA274" s="23">
        <f t="shared" si="15"/>
        <v>1</v>
      </c>
      <c r="AB274" s="23">
        <f>IFERROR(AVERAGEIFS('Business - Dump'!$O:$O,'Business - Dump'!$B:$B,'Portfolio Wise '!$B274,'Business - Dump'!$A:$A,'Portfolio Wise '!$A274),0)</f>
        <v>0.87636</v>
      </c>
      <c r="AC274" s="49">
        <f>F274/SUMIFS('Campaign - Dump'!$Q:$Q,'Campaign - Dump'!$A:$A,'Portfolio Wise '!$A274)</f>
        <v>0.004262203861</v>
      </c>
      <c r="AD274" s="49">
        <f t="shared" si="16"/>
        <v>0</v>
      </c>
    </row>
    <row r="275" ht="15.75" customHeight="1">
      <c r="A275" s="10" t="s">
        <v>65</v>
      </c>
      <c r="B275" s="100" t="s">
        <v>182</v>
      </c>
      <c r="C275" s="13">
        <f>SUMIFS('Campaign - Dump'!$N:$N,'Campaign - Dump'!$J:$J,'Portfolio Wise '!$B275,'Campaign - Dump'!$A:$A,'Portfolio Wise '!$A275)</f>
        <v>56555</v>
      </c>
      <c r="D275" s="13">
        <f>SUMIFS('Campaign - Dump'!$O:$O,'Campaign - Dump'!$J:$J,'Portfolio Wise '!$B275,'Campaign - Dump'!$A:$A,'Portfolio Wise '!$A275)</f>
        <v>230</v>
      </c>
      <c r="E275" s="23">
        <f t="shared" si="2"/>
        <v>0.004066837592</v>
      </c>
      <c r="F275" s="36">
        <f>SUMIFS('Campaign - Dump'!$Q:$Q,'Campaign - Dump'!$J:$J,'Portfolio Wise '!$B275,'Campaign - Dump'!$A:$A,'Portfolio Wise '!$A275)</f>
        <v>11715.69</v>
      </c>
      <c r="G275" s="38">
        <f t="shared" si="3"/>
        <v>50.93778261</v>
      </c>
      <c r="H275" s="41">
        <f>SUMIFS('Campaign - Dump'!$T:$T,'Campaign - Dump'!$J:$J,'Portfolio Wise '!$B275,'Campaign - Dump'!$A:$A,'Portfolio Wise '!$A275)</f>
        <v>5</v>
      </c>
      <c r="I275" s="23">
        <f t="shared" si="4"/>
        <v>0.02173913043</v>
      </c>
      <c r="J275" s="36">
        <f>SUMIFS('Campaign - Dump'!$U:$U,'Campaign - Dump'!$J:$J,'Portfolio Wise '!$B275,'Campaign - Dump'!$A:$A,'Portfolio Wise '!$A275)</f>
        <v>108822.03</v>
      </c>
      <c r="K275" s="23">
        <f t="shared" si="5"/>
        <v>0.1076591753</v>
      </c>
      <c r="L275" s="38">
        <f t="shared" si="6"/>
        <v>9.288571992</v>
      </c>
      <c r="M275" s="41">
        <f t="shared" si="7"/>
        <v>21764.406</v>
      </c>
      <c r="N275" s="13">
        <f t="shared" si="388"/>
        <v>34</v>
      </c>
      <c r="O275" s="36">
        <f t="shared" si="389"/>
        <v>870649.7327</v>
      </c>
      <c r="P275" s="41">
        <f t="shared" si="8"/>
        <v>25607.34508</v>
      </c>
      <c r="Q275" s="13">
        <f>SUMIFS('Business - Dump'!$W:$W,'Business - Dump'!$B:$B,'Portfolio Wise '!$B275,'Business - Dump'!$A:$A,'Portfolio Wise '!$A275)</f>
        <v>39</v>
      </c>
      <c r="R275" s="36">
        <f>SUMIFS('Business - Dump'!$U:$U,'Business - Dump'!$B:$B,'Portfolio Wise '!$B275,'Business - Dump'!$A:$A,'Portfolio Wise '!$A275)/1.18</f>
        <v>979471.7627</v>
      </c>
      <c r="S275" s="41">
        <f t="shared" si="9"/>
        <v>25114.66058</v>
      </c>
      <c r="T275" s="23">
        <f t="shared" si="10"/>
        <v>0.01196123303</v>
      </c>
      <c r="U275" s="38">
        <f t="shared" si="11"/>
        <v>83.60342094</v>
      </c>
      <c r="V275" s="41">
        <f>SUMIFS('Business - Dump'!$G:$G,'Business - Dump'!$B:$B,'Portfolio Wise '!$B275,'Business - Dump'!$A:$A,'Portfolio Wise '!$A275)</f>
        <v>4037</v>
      </c>
      <c r="W275" s="23">
        <f t="shared" si="12"/>
        <v>0.009660639088</v>
      </c>
      <c r="X275" s="23">
        <f t="shared" ref="X275:Y275" si="395">IFERROR(N275/Q275,0)</f>
        <v>0.8717948718</v>
      </c>
      <c r="Y275" s="49">
        <f t="shared" si="395"/>
        <v>0.8888972259</v>
      </c>
      <c r="Z275" s="49">
        <f t="shared" si="14"/>
        <v>0.1282051282</v>
      </c>
      <c r="AA275" s="23">
        <f t="shared" si="15"/>
        <v>0.8888972259</v>
      </c>
      <c r="AB275" s="23">
        <f>IFERROR(AVERAGEIFS('Business - Dump'!$O:$O,'Business - Dump'!$B:$B,'Portfolio Wise '!$B275,'Business - Dump'!$A:$A,'Portfolio Wise '!$A275),0)</f>
        <v>0.91499</v>
      </c>
      <c r="AC275" s="49">
        <f>F275/SUMIFS('Campaign - Dump'!$Q:$Q,'Campaign - Dump'!$A:$A,'Portfolio Wise '!$A275)</f>
        <v>0.009141456777</v>
      </c>
      <c r="AD275" s="49">
        <f t="shared" si="16"/>
        <v>6.8</v>
      </c>
    </row>
    <row r="276" ht="15.75" customHeight="1">
      <c r="A276" s="10" t="s">
        <v>65</v>
      </c>
      <c r="B276" s="19" t="s">
        <v>196</v>
      </c>
      <c r="C276" s="13">
        <f>SUMIFS('Campaign - Dump'!$N:$N,'Campaign - Dump'!$J:$J,'Portfolio Wise '!$B276,'Campaign - Dump'!$A:$A,'Portfolio Wise '!$A276)</f>
        <v>285578</v>
      </c>
      <c r="D276" s="13">
        <f>SUMIFS('Campaign - Dump'!$O:$O,'Campaign - Dump'!$J:$J,'Portfolio Wise '!$B276,'Campaign - Dump'!$A:$A,'Portfolio Wise '!$A276)</f>
        <v>1991</v>
      </c>
      <c r="E276" s="23">
        <f t="shared" si="2"/>
        <v>0.006971825561</v>
      </c>
      <c r="F276" s="36">
        <f>SUMIFS('Campaign - Dump'!$Q:$Q,'Campaign - Dump'!$J:$J,'Portfolio Wise '!$B276,'Campaign - Dump'!$A:$A,'Portfolio Wise '!$A276)</f>
        <v>86344.97</v>
      </c>
      <c r="G276" s="38">
        <f t="shared" si="3"/>
        <v>43.36763938</v>
      </c>
      <c r="H276" s="41">
        <f>SUMIFS('Campaign - Dump'!$T:$T,'Campaign - Dump'!$J:$J,'Portfolio Wise '!$B276,'Campaign - Dump'!$A:$A,'Portfolio Wise '!$A276)</f>
        <v>16</v>
      </c>
      <c r="I276" s="23">
        <f t="shared" si="4"/>
        <v>0.008036162732</v>
      </c>
      <c r="J276" s="36">
        <f>SUMIFS('Campaign - Dump'!$U:$U,'Campaign - Dump'!$J:$J,'Portfolio Wise '!$B276,'Campaign - Dump'!$A:$A,'Portfolio Wise '!$A276)</f>
        <v>302613.54</v>
      </c>
      <c r="K276" s="23">
        <f t="shared" si="5"/>
        <v>0.2853308216</v>
      </c>
      <c r="L276" s="38">
        <f t="shared" si="6"/>
        <v>3.504703748</v>
      </c>
      <c r="M276" s="41">
        <f t="shared" si="7"/>
        <v>18913.34625</v>
      </c>
      <c r="N276" s="13">
        <v>0.0</v>
      </c>
      <c r="O276" s="36">
        <v>0.0</v>
      </c>
      <c r="P276" s="41">
        <f t="shared" si="8"/>
        <v>0</v>
      </c>
      <c r="Q276" s="13">
        <f>SUMIFS('Business - Dump'!$W:$W,'Business - Dump'!$B:$B,'Portfolio Wise '!$B276,'Business - Dump'!$A:$A,'Portfolio Wise '!$A276)</f>
        <v>0</v>
      </c>
      <c r="R276" s="36">
        <f>SUMIFS('Business - Dump'!$U:$U,'Business - Dump'!$B:$B,'Portfolio Wise '!$B276,'Business - Dump'!$A:$A,'Portfolio Wise '!$A276)/1.18</f>
        <v>0</v>
      </c>
      <c r="S276" s="41">
        <f t="shared" si="9"/>
        <v>0</v>
      </c>
      <c r="T276" s="23">
        <f t="shared" si="10"/>
        <v>0</v>
      </c>
      <c r="U276" s="38">
        <f t="shared" si="11"/>
        <v>0</v>
      </c>
      <c r="V276" s="41">
        <f>SUMIFS('Business - Dump'!$G:$G,'Business - Dump'!$B:$B,'Portfolio Wise '!$B276,'Business - Dump'!$A:$A,'Portfolio Wise '!$A276)</f>
        <v>0</v>
      </c>
      <c r="W276" s="48">
        <f t="shared" si="12"/>
        <v>0</v>
      </c>
      <c r="X276" s="23">
        <f t="shared" ref="X276:Y276" si="396">IFERROR(N276/Q276,0)</f>
        <v>0</v>
      </c>
      <c r="Y276" s="49">
        <f t="shared" si="396"/>
        <v>0</v>
      </c>
      <c r="Z276" s="49">
        <f t="shared" si="14"/>
        <v>0</v>
      </c>
      <c r="AA276" s="23">
        <f t="shared" si="15"/>
        <v>0</v>
      </c>
      <c r="AB276" s="23">
        <f>IFERROR(AVERAGEIFS('Business - Dump'!$O:$O,'Business - Dump'!$B:$B,'Portfolio Wise '!$B276,'Business - Dump'!$A:$A,'Portfolio Wise '!$A276),0)</f>
        <v>0</v>
      </c>
      <c r="AC276" s="49">
        <f>F276/SUMIFS('Campaign - Dump'!$Q:$Q,'Campaign - Dump'!$A:$A,'Portfolio Wise '!$A276)</f>
        <v>0.06737279761</v>
      </c>
      <c r="AD276" s="49">
        <f t="shared" si="16"/>
        <v>0</v>
      </c>
    </row>
    <row r="277" ht="15.75" customHeight="1">
      <c r="A277" s="10" t="s">
        <v>65</v>
      </c>
      <c r="B277" s="19" t="s">
        <v>205</v>
      </c>
      <c r="C277" s="13">
        <f>SUMIFS('Campaign - Dump'!$N:$N,'Campaign - Dump'!$J:$J,'Portfolio Wise '!$B277,'Campaign - Dump'!$A:$A,'Portfolio Wise '!$A277)</f>
        <v>119207</v>
      </c>
      <c r="D277" s="13">
        <f>SUMIFS('Campaign - Dump'!$O:$O,'Campaign - Dump'!$J:$J,'Portfolio Wise '!$B277,'Campaign - Dump'!$A:$A,'Portfolio Wise '!$A277)</f>
        <v>153</v>
      </c>
      <c r="E277" s="23">
        <f t="shared" si="2"/>
        <v>0.001283481675</v>
      </c>
      <c r="F277" s="36">
        <f>SUMIFS('Campaign - Dump'!$Q:$Q,'Campaign - Dump'!$J:$J,'Portfolio Wise '!$B277,'Campaign - Dump'!$A:$A,'Portfolio Wise '!$A277)</f>
        <v>13151.3</v>
      </c>
      <c r="G277" s="38">
        <f t="shared" si="3"/>
        <v>85.95620915</v>
      </c>
      <c r="H277" s="41">
        <f>SUMIFS('Campaign - Dump'!$T:$T,'Campaign - Dump'!$J:$J,'Portfolio Wise '!$B277,'Campaign - Dump'!$A:$A,'Portfolio Wise '!$A277)</f>
        <v>2</v>
      </c>
      <c r="I277" s="23">
        <f t="shared" si="4"/>
        <v>0.01307189542</v>
      </c>
      <c r="J277" s="36">
        <f>SUMIFS('Campaign - Dump'!$U:$U,'Campaign - Dump'!$J:$J,'Portfolio Wise '!$B277,'Campaign - Dump'!$A:$A,'Portfolio Wise '!$A277)</f>
        <v>26059.32</v>
      </c>
      <c r="K277" s="23">
        <f t="shared" si="5"/>
        <v>0.5046678117</v>
      </c>
      <c r="L277" s="38">
        <f t="shared" si="6"/>
        <v>1.981501449</v>
      </c>
      <c r="M277" s="41">
        <f t="shared" si="7"/>
        <v>13029.66</v>
      </c>
      <c r="N277" s="13">
        <f t="shared" ref="N277:N282" si="398">IFERROR(Q277-H277,0)</f>
        <v>34</v>
      </c>
      <c r="O277" s="36">
        <f t="shared" ref="O277:O282" si="399">IFERROR(R277-J277,0)</f>
        <v>1129427.358</v>
      </c>
      <c r="P277" s="41">
        <f t="shared" si="8"/>
        <v>33218.4517</v>
      </c>
      <c r="Q277" s="13">
        <f>SUMIFS('Business - Dump'!$W:$W,'Business - Dump'!$B:$B,'Portfolio Wise '!$B277,'Business - Dump'!$A:$A,'Portfolio Wise '!$A277)</f>
        <v>36</v>
      </c>
      <c r="R277" s="36">
        <f>SUMIFS('Business - Dump'!$U:$U,'Business - Dump'!$B:$B,'Portfolio Wise '!$B277,'Business - Dump'!$A:$A,'Portfolio Wise '!$A277)/1.18</f>
        <v>1155486.678</v>
      </c>
      <c r="S277" s="41">
        <f t="shared" si="9"/>
        <v>32096.85217</v>
      </c>
      <c r="T277" s="23">
        <f t="shared" si="10"/>
        <v>0.0113816111</v>
      </c>
      <c r="U277" s="38">
        <f t="shared" si="11"/>
        <v>87.86102347</v>
      </c>
      <c r="V277" s="41">
        <f>SUMIFS('Business - Dump'!$G:$G,'Business - Dump'!$B:$B,'Portfolio Wise '!$B277,'Business - Dump'!$A:$A,'Portfolio Wise '!$A277)</f>
        <v>4547</v>
      </c>
      <c r="W277" s="48">
        <f t="shared" si="12"/>
        <v>0.007917308115</v>
      </c>
      <c r="X277" s="23">
        <f t="shared" ref="X277:Y277" si="397">IFERROR(N277/Q277,0)</f>
        <v>0.9444444444</v>
      </c>
      <c r="Y277" s="49">
        <f t="shared" si="397"/>
        <v>0.9774473211</v>
      </c>
      <c r="Z277" s="49">
        <f t="shared" si="14"/>
        <v>0.05555555556</v>
      </c>
      <c r="AA277" s="23">
        <f t="shared" si="15"/>
        <v>0.9774473211</v>
      </c>
      <c r="AB277" s="23">
        <f>IFERROR(AVERAGEIFS('Business - Dump'!$O:$O,'Business - Dump'!$B:$B,'Portfolio Wise '!$B277,'Business - Dump'!$A:$A,'Portfolio Wise '!$A277),0)</f>
        <v>0.9291111111</v>
      </c>
      <c r="AC277" s="49">
        <f>F277/SUMIFS('Campaign - Dump'!$Q:$Q,'Campaign - Dump'!$A:$A,'Portfolio Wise '!$A277)</f>
        <v>0.01026162697</v>
      </c>
      <c r="AD277" s="49">
        <f t="shared" si="16"/>
        <v>17</v>
      </c>
    </row>
    <row r="278" ht="15.75" customHeight="1">
      <c r="A278" s="10" t="s">
        <v>65</v>
      </c>
      <c r="B278" s="10" t="s">
        <v>211</v>
      </c>
      <c r="C278" s="13">
        <f>SUMIFS('Campaign - Dump'!$N:$N,'Campaign - Dump'!$J:$J,'Portfolio Wise '!$B278,'Campaign - Dump'!$A:$A,'Portfolio Wise '!$A278)</f>
        <v>1747</v>
      </c>
      <c r="D278" s="13">
        <f>SUMIFS('Campaign - Dump'!$O:$O,'Campaign - Dump'!$J:$J,'Portfolio Wise '!$B278,'Campaign - Dump'!$A:$A,'Portfolio Wise '!$A278)</f>
        <v>34</v>
      </c>
      <c r="E278" s="23">
        <f t="shared" si="2"/>
        <v>0.01946193475</v>
      </c>
      <c r="F278" s="36">
        <f>SUMIFS('Campaign - Dump'!$Q:$Q,'Campaign - Dump'!$J:$J,'Portfolio Wise '!$B278,'Campaign - Dump'!$A:$A,'Portfolio Wise '!$A278)</f>
        <v>323.4</v>
      </c>
      <c r="G278" s="38">
        <f t="shared" si="3"/>
        <v>9.511764706</v>
      </c>
      <c r="H278" s="41">
        <f>SUMIFS('Campaign - Dump'!$T:$T,'Campaign - Dump'!$J:$J,'Portfolio Wise '!$B278,'Campaign - Dump'!$A:$A,'Portfolio Wise '!$A278)</f>
        <v>2</v>
      </c>
      <c r="I278" s="23">
        <f t="shared" si="4"/>
        <v>0.05882352941</v>
      </c>
      <c r="J278" s="36">
        <f>SUMIFS('Campaign - Dump'!$U:$U,'Campaign - Dump'!$J:$J,'Portfolio Wise '!$B278,'Campaign - Dump'!$A:$A,'Portfolio Wise '!$A278)</f>
        <v>3303.39</v>
      </c>
      <c r="K278" s="23">
        <f t="shared" si="5"/>
        <v>0.09789943058</v>
      </c>
      <c r="L278" s="38">
        <f t="shared" si="6"/>
        <v>10.21456401</v>
      </c>
      <c r="M278" s="41">
        <f t="shared" si="7"/>
        <v>1651.695</v>
      </c>
      <c r="N278" s="13">
        <f t="shared" si="398"/>
        <v>130</v>
      </c>
      <c r="O278" s="36">
        <f t="shared" si="399"/>
        <v>212074.5761</v>
      </c>
      <c r="P278" s="41">
        <f t="shared" si="8"/>
        <v>1631.342893</v>
      </c>
      <c r="Q278" s="13">
        <f>SUMIFS('Business - Dump'!$W:$W,'Business - Dump'!$B:$B,'Portfolio Wise '!$B278,'Business - Dump'!$A:$A,'Portfolio Wise '!$A278)</f>
        <v>132</v>
      </c>
      <c r="R278" s="36">
        <f>SUMIFS('Business - Dump'!$U:$U,'Business - Dump'!$B:$B,'Portfolio Wise '!$B278,'Business - Dump'!$A:$A,'Portfolio Wise '!$A278)/1.18</f>
        <v>215377.9661</v>
      </c>
      <c r="S278" s="41">
        <f t="shared" si="9"/>
        <v>1631.651258</v>
      </c>
      <c r="T278" s="23">
        <f t="shared" si="10"/>
        <v>0.001501546355</v>
      </c>
      <c r="U278" s="38">
        <f t="shared" si="11"/>
        <v>665.9801054</v>
      </c>
      <c r="V278" s="41">
        <f>SUMIFS('Business - Dump'!$G:$G,'Business - Dump'!$B:$B,'Portfolio Wise '!$B278,'Business - Dump'!$A:$A,'Portfolio Wise '!$A278)</f>
        <v>4194</v>
      </c>
      <c r="W278" s="48">
        <f t="shared" si="12"/>
        <v>0.03147353362</v>
      </c>
      <c r="X278" s="23">
        <f t="shared" ref="X278:Y278" si="400">IFERROR(N278/Q278,0)</f>
        <v>0.9848484848</v>
      </c>
      <c r="Y278" s="49">
        <f t="shared" si="400"/>
        <v>0.9846623586</v>
      </c>
      <c r="Z278" s="49">
        <f t="shared" si="14"/>
        <v>0.01515151515</v>
      </c>
      <c r="AA278" s="23">
        <f t="shared" si="15"/>
        <v>0.9846623586</v>
      </c>
      <c r="AB278" s="23">
        <f>IFERROR(AVERAGEIFS('Business - Dump'!$O:$O,'Business - Dump'!$B:$B,'Portfolio Wise '!$B278,'Business - Dump'!$A:$A,'Portfolio Wise '!$A278),0)</f>
        <v>0.8607</v>
      </c>
      <c r="AC278" s="49">
        <f>F278/SUMIFS('Campaign - Dump'!$Q:$Q,'Campaign - Dump'!$A:$A,'Portfolio Wise '!$A278)</f>
        <v>0.0002523408456</v>
      </c>
      <c r="AD278" s="49">
        <f t="shared" si="16"/>
        <v>65</v>
      </c>
    </row>
    <row r="279" ht="15.75" customHeight="1">
      <c r="A279" s="10" t="s">
        <v>65</v>
      </c>
      <c r="B279" s="19" t="s">
        <v>217</v>
      </c>
      <c r="C279" s="13">
        <f>SUMIFS('Campaign - Dump'!$N:$N,'Campaign - Dump'!$J:$J,'Portfolio Wise '!$B279,'Campaign - Dump'!$A:$A,'Portfolio Wise '!$A279)</f>
        <v>409431</v>
      </c>
      <c r="D279" s="13">
        <f>SUMIFS('Campaign - Dump'!$O:$O,'Campaign - Dump'!$J:$J,'Portfolio Wise '!$B279,'Campaign - Dump'!$A:$A,'Portfolio Wise '!$A279)</f>
        <v>1954</v>
      </c>
      <c r="E279" s="23">
        <f t="shared" si="2"/>
        <v>0.004772476925</v>
      </c>
      <c r="F279" s="36">
        <f>SUMIFS('Campaign - Dump'!$Q:$Q,'Campaign - Dump'!$J:$J,'Portfolio Wise '!$B279,'Campaign - Dump'!$A:$A,'Portfolio Wise '!$A279)</f>
        <v>10730.24</v>
      </c>
      <c r="G279" s="38">
        <f t="shared" si="3"/>
        <v>5.491422723</v>
      </c>
      <c r="H279" s="41">
        <f>SUMIFS('Campaign - Dump'!$T:$T,'Campaign - Dump'!$J:$J,'Portfolio Wise '!$B279,'Campaign - Dump'!$A:$A,'Portfolio Wise '!$A279)</f>
        <v>28</v>
      </c>
      <c r="I279" s="23">
        <f t="shared" si="4"/>
        <v>0.01432958035</v>
      </c>
      <c r="J279" s="36">
        <f>SUMIFS('Campaign - Dump'!$U:$U,'Campaign - Dump'!$J:$J,'Portfolio Wise '!$B279,'Campaign - Dump'!$A:$A,'Portfolio Wise '!$A279)</f>
        <v>102663.63</v>
      </c>
      <c r="K279" s="23">
        <f t="shared" si="5"/>
        <v>0.1045184161</v>
      </c>
      <c r="L279" s="38">
        <f t="shared" si="6"/>
        <v>9.567691869</v>
      </c>
      <c r="M279" s="41">
        <f t="shared" si="7"/>
        <v>3666.558214</v>
      </c>
      <c r="N279" s="13">
        <f t="shared" si="398"/>
        <v>-5</v>
      </c>
      <c r="O279" s="36">
        <f t="shared" si="399"/>
        <v>-70058.54525</v>
      </c>
      <c r="P279" s="41">
        <f t="shared" si="8"/>
        <v>14011.70905</v>
      </c>
      <c r="Q279" s="13">
        <f>SUMIFS('Business - Dump'!$W:$W,'Business - Dump'!$B:$B,'Portfolio Wise '!$B279,'Business - Dump'!$A:$A,'Portfolio Wise '!$A279)</f>
        <v>23</v>
      </c>
      <c r="R279" s="36">
        <f>SUMIFS('Business - Dump'!$U:$U,'Business - Dump'!$B:$B,'Portfolio Wise '!$B279,'Business - Dump'!$A:$A,'Portfolio Wise '!$A279)/1.18</f>
        <v>32605.08475</v>
      </c>
      <c r="S279" s="41">
        <f t="shared" si="9"/>
        <v>1417.61238</v>
      </c>
      <c r="T279" s="23">
        <f t="shared" si="10"/>
        <v>0.3290971357</v>
      </c>
      <c r="U279" s="38">
        <f t="shared" si="11"/>
        <v>3.03861654</v>
      </c>
      <c r="V279" s="41">
        <f>SUMIFS('Business - Dump'!$G:$G,'Business - Dump'!$B:$B,'Portfolio Wise '!$B279,'Business - Dump'!$A:$A,'Portfolio Wise '!$A279)</f>
        <v>2538</v>
      </c>
      <c r="W279" s="48">
        <f t="shared" si="12"/>
        <v>0.009062253743</v>
      </c>
      <c r="X279" s="23">
        <f t="shared" ref="X279:Y279" si="401">IFERROR(N279/Q279,0)</f>
        <v>-0.2173913043</v>
      </c>
      <c r="Y279" s="49">
        <f t="shared" si="401"/>
        <v>-2.14869999</v>
      </c>
      <c r="Z279" s="49">
        <f t="shared" si="14"/>
        <v>1.217391304</v>
      </c>
      <c r="AA279" s="23">
        <f t="shared" si="15"/>
        <v>-2.14869999</v>
      </c>
      <c r="AB279" s="23">
        <f>IFERROR(AVERAGEIFS('Business - Dump'!$O:$O,'Business - Dump'!$B:$B,'Portfolio Wise '!$B279,'Business - Dump'!$A:$A,'Portfolio Wise '!$A279),0)</f>
        <v>0.9361333333</v>
      </c>
      <c r="AC279" s="49">
        <f>F279/SUMIFS('Campaign - Dump'!$Q:$Q,'Campaign - Dump'!$A:$A,'Portfolio Wise '!$A279)</f>
        <v>0.008372535051</v>
      </c>
      <c r="AD279" s="49">
        <f t="shared" si="16"/>
        <v>-0.1785714286</v>
      </c>
    </row>
    <row r="280" ht="15.75" customHeight="1">
      <c r="A280" s="10" t="s">
        <v>65</v>
      </c>
      <c r="B280" s="33" t="s">
        <v>230</v>
      </c>
      <c r="C280" s="13">
        <f>SUMIFS('Campaign - Dump'!$N:$N,'Campaign - Dump'!$J:$J,'Portfolio Wise '!$B280,'Campaign - Dump'!$A:$A,'Portfolio Wise '!$A280)</f>
        <v>342087</v>
      </c>
      <c r="D280" s="13">
        <f>SUMIFS('Campaign - Dump'!$O:$O,'Campaign - Dump'!$J:$J,'Portfolio Wise '!$B280,'Campaign - Dump'!$A:$A,'Portfolio Wise '!$A280)</f>
        <v>749</v>
      </c>
      <c r="E280" s="23">
        <f t="shared" si="2"/>
        <v>0.002189501501</v>
      </c>
      <c r="F280" s="36">
        <f>SUMIFS('Campaign - Dump'!$Q:$Q,'Campaign - Dump'!$J:$J,'Portfolio Wise '!$B280,'Campaign - Dump'!$A:$A,'Portfolio Wise '!$A280)</f>
        <v>65050.06</v>
      </c>
      <c r="G280" s="38">
        <f t="shared" si="3"/>
        <v>86.84921228</v>
      </c>
      <c r="H280" s="41">
        <f>SUMIFS('Campaign - Dump'!$T:$T,'Campaign - Dump'!$J:$J,'Portfolio Wise '!$B280,'Campaign - Dump'!$A:$A,'Portfolio Wise '!$A280)</f>
        <v>7</v>
      </c>
      <c r="I280" s="23">
        <f t="shared" si="4"/>
        <v>0.009345794393</v>
      </c>
      <c r="J280" s="36">
        <f>SUMIFS('Campaign - Dump'!$U:$U,'Campaign - Dump'!$J:$J,'Portfolio Wise '!$B280,'Campaign - Dump'!$A:$A,'Portfolio Wise '!$A280)</f>
        <v>134110.18</v>
      </c>
      <c r="K280" s="23">
        <f t="shared" si="5"/>
        <v>0.4850493825</v>
      </c>
      <c r="L280" s="38">
        <f t="shared" si="6"/>
        <v>2.061645754</v>
      </c>
      <c r="M280" s="41">
        <f t="shared" si="7"/>
        <v>19158.59714</v>
      </c>
      <c r="N280" s="13">
        <f t="shared" si="398"/>
        <v>19</v>
      </c>
      <c r="O280" s="36">
        <f t="shared" si="399"/>
        <v>440293.2776</v>
      </c>
      <c r="P280" s="41">
        <f t="shared" si="8"/>
        <v>23173.3304</v>
      </c>
      <c r="Q280" s="13">
        <f>SUMIFS('Business - Dump'!$W:$W,'Business - Dump'!$B:$B,'Portfolio Wise '!$B280,'Business - Dump'!$A:$A,'Portfolio Wise '!$A280)</f>
        <v>26</v>
      </c>
      <c r="R280" s="36">
        <f>SUMIFS('Business - Dump'!$U:$U,'Business - Dump'!$B:$B,'Portfolio Wise '!$B280,'Business - Dump'!$A:$A,'Portfolio Wise '!$A280)/1.18</f>
        <v>574403.4576</v>
      </c>
      <c r="S280" s="41">
        <f t="shared" si="9"/>
        <v>22092.44068</v>
      </c>
      <c r="T280" s="23">
        <f t="shared" si="10"/>
        <v>0.11324803</v>
      </c>
      <c r="U280" s="38">
        <f t="shared" si="11"/>
        <v>8.830175677</v>
      </c>
      <c r="V280" s="41">
        <f>SUMIFS('Business - Dump'!$G:$G,'Business - Dump'!$B:$B,'Portfolio Wise '!$B280,'Business - Dump'!$A:$A,'Portfolio Wise '!$A280)</f>
        <v>4357</v>
      </c>
      <c r="W280" s="23">
        <f t="shared" si="12"/>
        <v>0.005967408768</v>
      </c>
      <c r="X280" s="23">
        <f t="shared" ref="X280:Y280" si="402">IFERROR(N280/Q280,0)</f>
        <v>0.7307692308</v>
      </c>
      <c r="Y280" s="49">
        <f t="shared" si="402"/>
        <v>0.7665226798</v>
      </c>
      <c r="Z280" s="49">
        <f t="shared" si="14"/>
        <v>0.2692307692</v>
      </c>
      <c r="AA280" s="23">
        <f t="shared" si="15"/>
        <v>0.7665226798</v>
      </c>
      <c r="AB280" s="23">
        <f>IFERROR(AVERAGEIFS('Business - Dump'!$O:$O,'Business - Dump'!$B:$B,'Portfolio Wise '!$B280,'Business - Dump'!$A:$A,'Portfolio Wise '!$A280),0)</f>
        <v>0.9238125</v>
      </c>
      <c r="AC280" s="49">
        <f>F280/SUMIFS('Campaign - Dump'!$Q:$Q,'Campaign - Dump'!$A:$A,'Portfolio Wise '!$A280)</f>
        <v>0.05075691759</v>
      </c>
      <c r="AD280" s="49">
        <f t="shared" si="16"/>
        <v>2.714285714</v>
      </c>
    </row>
    <row r="281" ht="15.75" customHeight="1">
      <c r="A281" s="10" t="s">
        <v>65</v>
      </c>
      <c r="B281" s="33" t="s">
        <v>230</v>
      </c>
      <c r="C281" s="13">
        <f>SUMIFS('Campaign - Dump'!$N:$N,'Campaign - Dump'!$J:$J,'Portfolio Wise '!$B281,'Campaign - Dump'!$A:$A,'Portfolio Wise '!$A281)</f>
        <v>342087</v>
      </c>
      <c r="D281" s="13">
        <f>SUMIFS('Campaign - Dump'!$O:$O,'Campaign - Dump'!$J:$J,'Portfolio Wise '!$B281,'Campaign - Dump'!$A:$A,'Portfolio Wise '!$A281)</f>
        <v>749</v>
      </c>
      <c r="E281" s="23">
        <f t="shared" si="2"/>
        <v>0.002189501501</v>
      </c>
      <c r="F281" s="36">
        <f>SUMIFS('Campaign - Dump'!$Q:$Q,'Campaign - Dump'!$J:$J,'Portfolio Wise '!$B281,'Campaign - Dump'!$A:$A,'Portfolio Wise '!$A281)</f>
        <v>65050.06</v>
      </c>
      <c r="G281" s="38">
        <f t="shared" si="3"/>
        <v>86.84921228</v>
      </c>
      <c r="H281" s="41">
        <f>SUMIFS('Campaign - Dump'!$T:$T,'Campaign - Dump'!$J:$J,'Portfolio Wise '!$B281,'Campaign - Dump'!$A:$A,'Portfolio Wise '!$A281)</f>
        <v>7</v>
      </c>
      <c r="I281" s="23">
        <f t="shared" si="4"/>
        <v>0.009345794393</v>
      </c>
      <c r="J281" s="36">
        <f>SUMIFS('Campaign - Dump'!$U:$U,'Campaign - Dump'!$J:$J,'Portfolio Wise '!$B281,'Campaign - Dump'!$A:$A,'Portfolio Wise '!$A281)</f>
        <v>134110.18</v>
      </c>
      <c r="K281" s="23">
        <f t="shared" si="5"/>
        <v>0.4850493825</v>
      </c>
      <c r="L281" s="38">
        <f t="shared" si="6"/>
        <v>2.061645754</v>
      </c>
      <c r="M281" s="41">
        <f t="shared" si="7"/>
        <v>19158.59714</v>
      </c>
      <c r="N281" s="13">
        <f t="shared" si="398"/>
        <v>19</v>
      </c>
      <c r="O281" s="36">
        <f t="shared" si="399"/>
        <v>440293.2776</v>
      </c>
      <c r="P281" s="41">
        <f t="shared" si="8"/>
        <v>23173.3304</v>
      </c>
      <c r="Q281" s="13">
        <f>SUMIFS('Business - Dump'!$W:$W,'Business - Dump'!$B:$B,'Portfolio Wise '!$B281,'Business - Dump'!$A:$A,'Portfolio Wise '!$A281)</f>
        <v>26</v>
      </c>
      <c r="R281" s="36">
        <f>SUMIFS('Business - Dump'!$U:$U,'Business - Dump'!$B:$B,'Portfolio Wise '!$B281,'Business - Dump'!$A:$A,'Portfolio Wise '!$A281)/1.18</f>
        <v>574403.4576</v>
      </c>
      <c r="S281" s="41">
        <f t="shared" si="9"/>
        <v>22092.44068</v>
      </c>
      <c r="T281" s="23">
        <f t="shared" si="10"/>
        <v>0.11324803</v>
      </c>
      <c r="U281" s="38">
        <f t="shared" si="11"/>
        <v>8.830175677</v>
      </c>
      <c r="V281" s="41">
        <f>SUMIFS('Business - Dump'!$G:$G,'Business - Dump'!$B:$B,'Portfolio Wise '!$B281,'Business - Dump'!$A:$A,'Portfolio Wise '!$A281)</f>
        <v>4357</v>
      </c>
      <c r="W281" s="23">
        <f t="shared" si="12"/>
        <v>0.005967408768</v>
      </c>
      <c r="X281" s="23">
        <f t="shared" ref="X281:Y281" si="403">IFERROR(N281/Q281,0)</f>
        <v>0.7307692308</v>
      </c>
      <c r="Y281" s="49">
        <f t="shared" si="403"/>
        <v>0.7665226798</v>
      </c>
      <c r="Z281" s="49">
        <f t="shared" si="14"/>
        <v>0.2692307692</v>
      </c>
      <c r="AA281" s="23">
        <f t="shared" si="15"/>
        <v>0.7665226798</v>
      </c>
      <c r="AB281" s="23">
        <f>IFERROR(AVERAGEIFS('Business - Dump'!$O:$O,'Business - Dump'!$B:$B,'Portfolio Wise '!$B281,'Business - Dump'!$A:$A,'Portfolio Wise '!$A281),0)</f>
        <v>0.9238125</v>
      </c>
      <c r="AC281" s="49">
        <f>F281/SUMIFS('Campaign - Dump'!$Q:$Q,'Campaign - Dump'!$A:$A,'Portfolio Wise '!$A281)</f>
        <v>0.05075691759</v>
      </c>
      <c r="AD281" s="49">
        <f t="shared" si="16"/>
        <v>2.714285714</v>
      </c>
    </row>
    <row r="282" ht="15.75" customHeight="1">
      <c r="A282" s="10" t="s">
        <v>65</v>
      </c>
      <c r="B282" s="19" t="s">
        <v>232</v>
      </c>
      <c r="C282" s="13">
        <f>SUMIFS('Campaign - Dump'!$N:$N,'Campaign - Dump'!$J:$J,'Portfolio Wise '!$B282,'Campaign - Dump'!$A:$A,'Portfolio Wise '!$A282)</f>
        <v>589940</v>
      </c>
      <c r="D282" s="13">
        <f>SUMIFS('Campaign - Dump'!$O:$O,'Campaign - Dump'!$J:$J,'Portfolio Wise '!$B282,'Campaign - Dump'!$A:$A,'Portfolio Wise '!$A282)</f>
        <v>1106</v>
      </c>
      <c r="E282" s="23">
        <f t="shared" si="2"/>
        <v>0.001874766925</v>
      </c>
      <c r="F282" s="36">
        <f>SUMIFS('Campaign - Dump'!$Q:$Q,'Campaign - Dump'!$J:$J,'Portfolio Wise '!$B282,'Campaign - Dump'!$A:$A,'Portfolio Wise '!$A282)</f>
        <v>51365.16</v>
      </c>
      <c r="G282" s="38">
        <f t="shared" si="3"/>
        <v>46.44227848</v>
      </c>
      <c r="H282" s="41">
        <f>SUMIFS('Campaign - Dump'!$T:$T,'Campaign - Dump'!$J:$J,'Portfolio Wise '!$B282,'Campaign - Dump'!$A:$A,'Portfolio Wise '!$A282)</f>
        <v>8</v>
      </c>
      <c r="I282" s="23">
        <f t="shared" si="4"/>
        <v>0.007233273056</v>
      </c>
      <c r="J282" s="36">
        <f>SUMIFS('Campaign - Dump'!$U:$U,'Campaign - Dump'!$J:$J,'Portfolio Wise '!$B282,'Campaign - Dump'!$A:$A,'Portfolio Wise '!$A282)</f>
        <v>103355.09</v>
      </c>
      <c r="K282" s="23">
        <f t="shared" si="5"/>
        <v>0.4969775557</v>
      </c>
      <c r="L282" s="38">
        <f t="shared" si="6"/>
        <v>2.012163303</v>
      </c>
      <c r="M282" s="41">
        <f t="shared" si="7"/>
        <v>12919.38625</v>
      </c>
      <c r="N282" s="13">
        <f t="shared" si="398"/>
        <v>40</v>
      </c>
      <c r="O282" s="36">
        <f t="shared" si="399"/>
        <v>574248.8083</v>
      </c>
      <c r="P282" s="41">
        <f t="shared" si="8"/>
        <v>14356.22021</v>
      </c>
      <c r="Q282" s="13">
        <f>SUMIFS('Business - Dump'!$W:$W,'Business - Dump'!$B:$B,'Portfolio Wise '!$B282,'Business - Dump'!$A:$A,'Portfolio Wise '!$A282)</f>
        <v>48</v>
      </c>
      <c r="R282" s="36">
        <f>SUMIFS('Business - Dump'!$U:$U,'Business - Dump'!$B:$B,'Portfolio Wise '!$B282,'Business - Dump'!$A:$A,'Portfolio Wise '!$A282)/1.18</f>
        <v>677603.8983</v>
      </c>
      <c r="S282" s="41">
        <f t="shared" si="9"/>
        <v>14116.74788</v>
      </c>
      <c r="T282" s="23">
        <f t="shared" si="10"/>
        <v>0.07580410935</v>
      </c>
      <c r="U282" s="38">
        <f t="shared" si="11"/>
        <v>13.19189696</v>
      </c>
      <c r="V282" s="41">
        <f>SUMIFS('Business - Dump'!$G:$G,'Business - Dump'!$B:$B,'Portfolio Wise '!$B282,'Business - Dump'!$A:$A,'Portfolio Wise '!$A282)</f>
        <v>6313</v>
      </c>
      <c r="W282" s="48">
        <f t="shared" si="12"/>
        <v>0.00760335815</v>
      </c>
      <c r="X282" s="23">
        <f t="shared" ref="X282:Y282" si="404">IFERROR(N282/Q282,0)</f>
        <v>0.8333333333</v>
      </c>
      <c r="Y282" s="49">
        <f t="shared" si="404"/>
        <v>0.847469753</v>
      </c>
      <c r="Z282" s="49">
        <f t="shared" si="14"/>
        <v>0.1666666667</v>
      </c>
      <c r="AA282" s="23">
        <f t="shared" si="15"/>
        <v>0.847469753</v>
      </c>
      <c r="AB282" s="23">
        <f>IFERROR(AVERAGEIFS('Business - Dump'!$O:$O,'Business - Dump'!$B:$B,'Portfolio Wise '!$B282,'Business - Dump'!$A:$A,'Portfolio Wise '!$A282),0)</f>
        <v>0.9100666667</v>
      </c>
      <c r="AC282" s="49">
        <f>F282/SUMIFS('Campaign - Dump'!$Q:$Q,'Campaign - Dump'!$A:$A,'Portfolio Wise '!$A282)</f>
        <v>0.04007893602</v>
      </c>
      <c r="AD282" s="49">
        <f t="shared" si="16"/>
        <v>5</v>
      </c>
    </row>
    <row r="283" ht="15.75" customHeight="1">
      <c r="A283" s="10" t="s">
        <v>65</v>
      </c>
      <c r="B283" s="51" t="s">
        <v>239</v>
      </c>
      <c r="C283" s="13">
        <f>SUMIFS('Campaign - Dump'!$N:$N,'Campaign - Dump'!$J:$J,'Portfolio Wise '!$B283,'Campaign - Dump'!$A:$A,'Portfolio Wise '!$A283)</f>
        <v>226708</v>
      </c>
      <c r="D283" s="13">
        <f>SUMIFS('Campaign - Dump'!$O:$O,'Campaign - Dump'!$J:$J,'Portfolio Wise '!$B283,'Campaign - Dump'!$A:$A,'Portfolio Wise '!$A283)</f>
        <v>2994</v>
      </c>
      <c r="E283" s="23">
        <f t="shared" si="2"/>
        <v>0.0132064153</v>
      </c>
      <c r="F283" s="36">
        <f>SUMIFS('Campaign - Dump'!$Q:$Q,'Campaign - Dump'!$J:$J,'Portfolio Wise '!$B283,'Campaign - Dump'!$A:$A,'Portfolio Wise '!$A283)</f>
        <v>47495.71</v>
      </c>
      <c r="G283" s="38">
        <f t="shared" si="3"/>
        <v>15.86363059</v>
      </c>
      <c r="H283" s="41">
        <f>SUMIFS('Campaign - Dump'!$T:$T,'Campaign - Dump'!$J:$J,'Portfolio Wise '!$B283,'Campaign - Dump'!$A:$A,'Portfolio Wise '!$A283)</f>
        <v>2</v>
      </c>
      <c r="I283" s="23">
        <f t="shared" si="4"/>
        <v>0.000668002672</v>
      </c>
      <c r="J283" s="36">
        <f>SUMIFS('Campaign - Dump'!$U:$U,'Campaign - Dump'!$J:$J,'Portfolio Wise '!$B283,'Campaign - Dump'!$A:$A,'Portfolio Wise '!$A283)</f>
        <v>18113.56</v>
      </c>
      <c r="K283" s="23">
        <f t="shared" si="5"/>
        <v>2.622107968</v>
      </c>
      <c r="L283" s="38">
        <f t="shared" si="6"/>
        <v>0.3813725492</v>
      </c>
      <c r="M283" s="41">
        <f t="shared" si="7"/>
        <v>9056.78</v>
      </c>
      <c r="N283" s="13">
        <v>0.0</v>
      </c>
      <c r="O283" s="36">
        <v>0.0</v>
      </c>
      <c r="P283" s="41">
        <f t="shared" si="8"/>
        <v>0</v>
      </c>
      <c r="Q283" s="13">
        <f>SUMIFS('Business - Dump'!$W:$W,'Business - Dump'!$B:$B,'Portfolio Wise '!$B283,'Business - Dump'!$A:$A,'Portfolio Wise '!$A283)</f>
        <v>0</v>
      </c>
      <c r="R283" s="36">
        <f>SUMIFS('Business - Dump'!$U:$U,'Business - Dump'!$B:$B,'Portfolio Wise '!$B283,'Business - Dump'!$A:$A,'Portfolio Wise '!$A283)/1.18</f>
        <v>0</v>
      </c>
      <c r="S283" s="41">
        <f t="shared" si="9"/>
        <v>0</v>
      </c>
      <c r="T283" s="23">
        <f t="shared" si="10"/>
        <v>0</v>
      </c>
      <c r="U283" s="38">
        <f t="shared" si="11"/>
        <v>0</v>
      </c>
      <c r="V283" s="41">
        <f>SUMIFS('Business - Dump'!$G:$G,'Business - Dump'!$B:$B,'Portfolio Wise '!$B283,'Business - Dump'!$A:$A,'Portfolio Wise '!$A283)</f>
        <v>0</v>
      </c>
      <c r="W283" s="48">
        <f t="shared" si="12"/>
        <v>0</v>
      </c>
      <c r="X283" s="23">
        <f t="shared" ref="X283:Y283" si="405">IFERROR(N283/Q283,0)</f>
        <v>0</v>
      </c>
      <c r="Y283" s="49">
        <f t="shared" si="405"/>
        <v>0</v>
      </c>
      <c r="Z283" s="49">
        <f t="shared" si="14"/>
        <v>0</v>
      </c>
      <c r="AA283" s="23">
        <f t="shared" si="15"/>
        <v>0</v>
      </c>
      <c r="AB283" s="23">
        <f>IFERROR(AVERAGEIFS('Business - Dump'!$O:$O,'Business - Dump'!$B:$B,'Portfolio Wise '!$B283,'Business - Dump'!$A:$A,'Portfolio Wise '!$A283),0)</f>
        <v>0</v>
      </c>
      <c r="AC283" s="49">
        <f>F283/SUMIFS('Campaign - Dump'!$Q:$Q,'Campaign - Dump'!$A:$A,'Portfolio Wise '!$A283)</f>
        <v>0.03705970199</v>
      </c>
      <c r="AD283" s="49">
        <f t="shared" si="16"/>
        <v>0</v>
      </c>
    </row>
    <row r="284" ht="15.75" customHeight="1">
      <c r="A284" s="10" t="s">
        <v>65</v>
      </c>
      <c r="B284" s="19" t="s">
        <v>240</v>
      </c>
      <c r="C284" s="13">
        <f>SUMIFS('Campaign - Dump'!$N:$N,'Campaign - Dump'!$J:$J,'Portfolio Wise '!$B284,'Campaign - Dump'!$A:$A,'Portfolio Wise '!$A284)</f>
        <v>0</v>
      </c>
      <c r="D284" s="13">
        <f>SUMIFS('Campaign - Dump'!$O:$O,'Campaign - Dump'!$J:$J,'Portfolio Wise '!$B284,'Campaign - Dump'!$A:$A,'Portfolio Wise '!$A284)</f>
        <v>0</v>
      </c>
      <c r="E284" s="23">
        <f t="shared" si="2"/>
        <v>0</v>
      </c>
      <c r="F284" s="36">
        <f>SUMIFS('Campaign - Dump'!$Q:$Q,'Campaign - Dump'!$J:$J,'Portfolio Wise '!$B284,'Campaign - Dump'!$A:$A,'Portfolio Wise '!$A284)</f>
        <v>0</v>
      </c>
      <c r="G284" s="38">
        <f t="shared" si="3"/>
        <v>0</v>
      </c>
      <c r="H284" s="41">
        <f>SUMIFS('Campaign - Dump'!$T:$T,'Campaign - Dump'!$J:$J,'Portfolio Wise '!$B284,'Campaign - Dump'!$A:$A,'Portfolio Wise '!$A284)</f>
        <v>0</v>
      </c>
      <c r="I284" s="23">
        <f t="shared" si="4"/>
        <v>0</v>
      </c>
      <c r="J284" s="36">
        <f>SUMIFS('Campaign - Dump'!$U:$U,'Campaign - Dump'!$J:$J,'Portfolio Wise '!$B284,'Campaign - Dump'!$A:$A,'Portfolio Wise '!$A284)</f>
        <v>0</v>
      </c>
      <c r="K284" s="23">
        <f t="shared" si="5"/>
        <v>0</v>
      </c>
      <c r="L284" s="38">
        <f t="shared" si="6"/>
        <v>0</v>
      </c>
      <c r="M284" s="41">
        <f t="shared" si="7"/>
        <v>0</v>
      </c>
      <c r="N284" s="13">
        <f t="shared" ref="N284:N286" si="407">IFERROR(Q284-H284,0)</f>
        <v>4</v>
      </c>
      <c r="O284" s="36">
        <f t="shared" ref="O284:O286" si="408">IFERROR(R284-J284,0)</f>
        <v>11152.54237</v>
      </c>
      <c r="P284" s="41">
        <f t="shared" si="8"/>
        <v>2788.135593</v>
      </c>
      <c r="Q284" s="13">
        <f>SUMIFS('Business - Dump'!$W:$W,'Business - Dump'!$B:$B,'Portfolio Wise '!$B284,'Business - Dump'!$A:$A,'Portfolio Wise '!$A284)</f>
        <v>4</v>
      </c>
      <c r="R284" s="36">
        <f>SUMIFS('Business - Dump'!$U:$U,'Business - Dump'!$B:$B,'Portfolio Wise '!$B284,'Business - Dump'!$A:$A,'Portfolio Wise '!$A284)/1.18</f>
        <v>11152.54237</v>
      </c>
      <c r="S284" s="41">
        <f t="shared" si="9"/>
        <v>2788.135593</v>
      </c>
      <c r="T284" s="23">
        <f t="shared" si="10"/>
        <v>0</v>
      </c>
      <c r="U284" s="38">
        <f t="shared" si="11"/>
        <v>0</v>
      </c>
      <c r="V284" s="41">
        <f>SUMIFS('Business - Dump'!$G:$G,'Business - Dump'!$B:$B,'Portfolio Wise '!$B284,'Business - Dump'!$A:$A,'Portfolio Wise '!$A284)</f>
        <v>83</v>
      </c>
      <c r="W284" s="48">
        <f t="shared" si="12"/>
        <v>0.04819277108</v>
      </c>
      <c r="X284" s="23">
        <f t="shared" ref="X284:Y284" si="406">IFERROR(N284/Q284,0)</f>
        <v>1</v>
      </c>
      <c r="Y284" s="49">
        <f t="shared" si="406"/>
        <v>1</v>
      </c>
      <c r="Z284" s="49">
        <f t="shared" si="14"/>
        <v>0</v>
      </c>
      <c r="AA284" s="23">
        <f t="shared" si="15"/>
        <v>1</v>
      </c>
      <c r="AB284" s="23">
        <f>IFERROR(AVERAGEIFS('Business - Dump'!$O:$O,'Business - Dump'!$B:$B,'Portfolio Wise '!$B284,'Business - Dump'!$A:$A,'Portfolio Wise '!$A284),0)</f>
        <v>0.6814</v>
      </c>
      <c r="AC284" s="49">
        <f>F284/SUMIFS('Campaign - Dump'!$Q:$Q,'Campaign - Dump'!$A:$A,'Portfolio Wise '!$A284)</f>
        <v>0</v>
      </c>
      <c r="AD284" s="49">
        <f t="shared" si="16"/>
        <v>0</v>
      </c>
    </row>
    <row r="285" ht="15.75" customHeight="1">
      <c r="A285" s="10" t="s">
        <v>65</v>
      </c>
      <c r="B285" s="10" t="s">
        <v>241</v>
      </c>
      <c r="C285" s="13">
        <f>SUMIFS('Campaign - Dump'!$N:$N,'Campaign - Dump'!$J:$J,'Portfolio Wise '!$B285,'Campaign - Dump'!$A:$A,'Portfolio Wise '!$A285)</f>
        <v>146232</v>
      </c>
      <c r="D285" s="13">
        <f>SUMIFS('Campaign - Dump'!$O:$O,'Campaign - Dump'!$J:$J,'Portfolio Wise '!$B285,'Campaign - Dump'!$A:$A,'Portfolio Wise '!$A285)</f>
        <v>256</v>
      </c>
      <c r="E285" s="23">
        <f t="shared" si="2"/>
        <v>0.001750642814</v>
      </c>
      <c r="F285" s="36">
        <f>SUMIFS('Campaign - Dump'!$Q:$Q,'Campaign - Dump'!$J:$J,'Portfolio Wise '!$B285,'Campaign - Dump'!$A:$A,'Portfolio Wise '!$A285)</f>
        <v>3488.51</v>
      </c>
      <c r="G285" s="38">
        <f t="shared" si="3"/>
        <v>13.62699219</v>
      </c>
      <c r="H285" s="41">
        <f>SUMIFS('Campaign - Dump'!$T:$T,'Campaign - Dump'!$J:$J,'Portfolio Wise '!$B285,'Campaign - Dump'!$A:$A,'Portfolio Wise '!$A285)</f>
        <v>4</v>
      </c>
      <c r="I285" s="23">
        <f t="shared" si="4"/>
        <v>0.015625</v>
      </c>
      <c r="J285" s="36">
        <f>SUMIFS('Campaign - Dump'!$U:$U,'Campaign - Dump'!$J:$J,'Portfolio Wise '!$B285,'Campaign - Dump'!$A:$A,'Portfolio Wise '!$A285)</f>
        <v>43380.51</v>
      </c>
      <c r="K285" s="23">
        <f t="shared" si="5"/>
        <v>0.08041652807</v>
      </c>
      <c r="L285" s="38">
        <f t="shared" si="6"/>
        <v>12.43525459</v>
      </c>
      <c r="M285" s="41">
        <f t="shared" si="7"/>
        <v>10845.1275</v>
      </c>
      <c r="N285" s="13">
        <f t="shared" si="407"/>
        <v>-3</v>
      </c>
      <c r="O285" s="36">
        <f t="shared" si="408"/>
        <v>-41473.73034</v>
      </c>
      <c r="P285" s="41">
        <f t="shared" si="8"/>
        <v>13824.57678</v>
      </c>
      <c r="Q285" s="13">
        <f>SUMIFS('Business - Dump'!$W:$W,'Business - Dump'!$B:$B,'Portfolio Wise '!$B285,'Business - Dump'!$A:$A,'Portfolio Wise '!$A285)</f>
        <v>1</v>
      </c>
      <c r="R285" s="36">
        <f>SUMIFS('Business - Dump'!$U:$U,'Business - Dump'!$B:$B,'Portfolio Wise '!$B285,'Business - Dump'!$A:$A,'Portfolio Wise '!$A285)/1.18</f>
        <v>1906.779661</v>
      </c>
      <c r="S285" s="41">
        <f t="shared" si="9"/>
        <v>1906.779661</v>
      </c>
      <c r="T285" s="23">
        <f t="shared" si="10"/>
        <v>1.829529689</v>
      </c>
      <c r="U285" s="38">
        <f t="shared" si="11"/>
        <v>0.546588561</v>
      </c>
      <c r="V285" s="41">
        <f>SUMIFS('Business - Dump'!$G:$G,'Business - Dump'!$B:$B,'Portfolio Wise '!$B285,'Business - Dump'!$A:$A,'Portfolio Wise '!$A285)</f>
        <v>471</v>
      </c>
      <c r="W285" s="48">
        <f t="shared" si="12"/>
        <v>0.002123142251</v>
      </c>
      <c r="X285" s="23">
        <f t="shared" ref="X285:Y285" si="409">IFERROR(N285/Q285,0)</f>
        <v>-3</v>
      </c>
      <c r="Y285" s="49">
        <f t="shared" si="409"/>
        <v>-21.75066747</v>
      </c>
      <c r="Z285" s="49">
        <f t="shared" si="14"/>
        <v>4</v>
      </c>
      <c r="AA285" s="23">
        <f t="shared" si="15"/>
        <v>-21.75066747</v>
      </c>
      <c r="AB285" s="23">
        <f>IFERROR(AVERAGEIFS('Business - Dump'!$O:$O,'Business - Dump'!$B:$B,'Portfolio Wise '!$B285,'Business - Dump'!$A:$A,'Portfolio Wise '!$A285),0)</f>
        <v>0.9679</v>
      </c>
      <c r="AC285" s="49">
        <f>F285/SUMIFS('Campaign - Dump'!$Q:$Q,'Campaign - Dump'!$A:$A,'Portfolio Wise '!$A285)</f>
        <v>0.002721996176</v>
      </c>
      <c r="AD285" s="49">
        <f t="shared" si="16"/>
        <v>-0.75</v>
      </c>
    </row>
    <row r="286" ht="15.75" customHeight="1">
      <c r="A286" s="10" t="s">
        <v>65</v>
      </c>
      <c r="B286" s="19" t="s">
        <v>248</v>
      </c>
      <c r="C286" s="13">
        <f>SUMIFS('Campaign - Dump'!$N:$N,'Campaign - Dump'!$J:$J,'Portfolio Wise '!$B286,'Campaign - Dump'!$A:$A,'Portfolio Wise '!$A286)</f>
        <v>6827</v>
      </c>
      <c r="D286" s="13">
        <f>SUMIFS('Campaign - Dump'!$O:$O,'Campaign - Dump'!$J:$J,'Portfolio Wise '!$B286,'Campaign - Dump'!$A:$A,'Portfolio Wise '!$A286)</f>
        <v>117</v>
      </c>
      <c r="E286" s="23">
        <f t="shared" si="2"/>
        <v>0.01713783507</v>
      </c>
      <c r="F286" s="36">
        <f>SUMIFS('Campaign - Dump'!$Q:$Q,'Campaign - Dump'!$J:$J,'Portfolio Wise '!$B286,'Campaign - Dump'!$A:$A,'Portfolio Wise '!$A286)</f>
        <v>1603.27</v>
      </c>
      <c r="G286" s="38">
        <f t="shared" si="3"/>
        <v>13.70316239</v>
      </c>
      <c r="H286" s="41">
        <f>SUMIFS('Campaign - Dump'!$T:$T,'Campaign - Dump'!$J:$J,'Portfolio Wise '!$B286,'Campaign - Dump'!$A:$A,'Portfolio Wise '!$A286)</f>
        <v>0</v>
      </c>
      <c r="I286" s="23">
        <f t="shared" si="4"/>
        <v>0</v>
      </c>
      <c r="J286" s="36">
        <f>SUMIFS('Campaign - Dump'!$U:$U,'Campaign - Dump'!$J:$J,'Portfolio Wise '!$B286,'Campaign - Dump'!$A:$A,'Portfolio Wise '!$A286)</f>
        <v>0</v>
      </c>
      <c r="K286" s="23">
        <f t="shared" si="5"/>
        <v>0</v>
      </c>
      <c r="L286" s="38">
        <f t="shared" si="6"/>
        <v>0</v>
      </c>
      <c r="M286" s="41">
        <f t="shared" si="7"/>
        <v>0</v>
      </c>
      <c r="N286" s="13">
        <f t="shared" si="407"/>
        <v>5</v>
      </c>
      <c r="O286" s="36">
        <f t="shared" si="408"/>
        <v>53559.32203</v>
      </c>
      <c r="P286" s="41">
        <f t="shared" si="8"/>
        <v>10711.86441</v>
      </c>
      <c r="Q286" s="13">
        <f>SUMIFS('Business - Dump'!$W:$W,'Business - Dump'!$B:$B,'Portfolio Wise '!$B286,'Business - Dump'!$A:$A,'Portfolio Wise '!$A286)</f>
        <v>5</v>
      </c>
      <c r="R286" s="36">
        <f>SUMIFS('Business - Dump'!$U:$U,'Business - Dump'!$B:$B,'Portfolio Wise '!$B286,'Business - Dump'!$A:$A,'Portfolio Wise '!$A286)/1.18</f>
        <v>53559.32203</v>
      </c>
      <c r="S286" s="41">
        <f t="shared" si="9"/>
        <v>10711.86441</v>
      </c>
      <c r="T286" s="23">
        <f t="shared" si="10"/>
        <v>0.02993447152</v>
      </c>
      <c r="U286" s="38">
        <f t="shared" si="11"/>
        <v>33.40630214</v>
      </c>
      <c r="V286" s="41">
        <f>SUMIFS('Business - Dump'!$G:$G,'Business - Dump'!$B:$B,'Portfolio Wise '!$B286,'Business - Dump'!$A:$A,'Portfolio Wise '!$A286)</f>
        <v>524</v>
      </c>
      <c r="W286" s="48">
        <f t="shared" si="12"/>
        <v>0.009541984733</v>
      </c>
      <c r="X286" s="23">
        <f t="shared" ref="X286:Y286" si="410">IFERROR(N286/Q286,0)</f>
        <v>1</v>
      </c>
      <c r="Y286" s="49">
        <f t="shared" si="410"/>
        <v>1</v>
      </c>
      <c r="Z286" s="49">
        <f t="shared" si="14"/>
        <v>0</v>
      </c>
      <c r="AA286" s="23">
        <f t="shared" si="15"/>
        <v>1</v>
      </c>
      <c r="AB286" s="23">
        <f>IFERROR(AVERAGEIFS('Business - Dump'!$O:$O,'Business - Dump'!$B:$B,'Portfolio Wise '!$B286,'Business - Dump'!$A:$A,'Portfolio Wise '!$A286),0)</f>
        <v>0.902925</v>
      </c>
      <c r="AC286" s="49">
        <f>F286/SUMIFS('Campaign - Dump'!$Q:$Q,'Campaign - Dump'!$A:$A,'Portfolio Wise '!$A286)</f>
        <v>0.001250991056</v>
      </c>
      <c r="AD286" s="49">
        <f t="shared" si="16"/>
        <v>0</v>
      </c>
    </row>
    <row r="287" ht="15.75" customHeight="1">
      <c r="A287" s="10" t="s">
        <v>65</v>
      </c>
      <c r="B287" s="126" t="s">
        <v>1186</v>
      </c>
      <c r="C287" s="127">
        <f t="shared" ref="C287:D287" si="411">SUM(C265:C286)</f>
        <v>8437073</v>
      </c>
      <c r="D287" s="127">
        <f t="shared" si="411"/>
        <v>30188</v>
      </c>
      <c r="E287" s="62">
        <f t="shared" si="2"/>
        <v>0.003578018111</v>
      </c>
      <c r="F287" s="128">
        <f>SUM(F265:F286)</f>
        <v>1346649.95</v>
      </c>
      <c r="G287" s="129">
        <f t="shared" si="3"/>
        <v>44.60878329</v>
      </c>
      <c r="H287" s="130">
        <f>SUM(H265:H286)</f>
        <v>355</v>
      </c>
      <c r="I287" s="62">
        <f t="shared" si="4"/>
        <v>0.01175963959</v>
      </c>
      <c r="J287" s="128">
        <f>SUM(J265:J286)</f>
        <v>6018261.12</v>
      </c>
      <c r="K287" s="62">
        <f t="shared" si="5"/>
        <v>0.2237606384</v>
      </c>
      <c r="L287" s="129">
        <f t="shared" si="6"/>
        <v>4.469061258</v>
      </c>
      <c r="M287" s="130">
        <f t="shared" si="7"/>
        <v>16952.84823</v>
      </c>
      <c r="N287" s="127">
        <f t="shared" ref="N287:O287" si="412">SUM(N265:N286)</f>
        <v>497</v>
      </c>
      <c r="O287" s="128">
        <f t="shared" si="412"/>
        <v>7725795.407</v>
      </c>
      <c r="P287" s="130">
        <f t="shared" si="8"/>
        <v>15544.85997</v>
      </c>
      <c r="Q287" s="127">
        <f t="shared" ref="Q287:R287" si="413">SUM(Q265:Q286)</f>
        <v>612</v>
      </c>
      <c r="R287" s="128">
        <f t="shared" si="413"/>
        <v>9101499.737</v>
      </c>
      <c r="S287" s="130">
        <f t="shared" si="9"/>
        <v>14871.7316</v>
      </c>
      <c r="T287" s="62">
        <f t="shared" si="10"/>
        <v>0.1479591264</v>
      </c>
      <c r="U287" s="129">
        <f t="shared" si="11"/>
        <v>6.758623306</v>
      </c>
      <c r="V287" s="130">
        <f>SUM(V265:V286)</f>
        <v>76726</v>
      </c>
      <c r="W287" s="131">
        <f t="shared" si="12"/>
        <v>0.007976435628</v>
      </c>
      <c r="X287" s="62">
        <f t="shared" ref="X287:Y287" si="414">IFERROR(N287/Q287,0)</f>
        <v>0.8120915033</v>
      </c>
      <c r="Y287" s="132">
        <f t="shared" si="414"/>
        <v>0.8488486107</v>
      </c>
      <c r="Z287" s="132">
        <f t="shared" si="14"/>
        <v>0.5800653595</v>
      </c>
      <c r="AA287" s="62">
        <f t="shared" si="15"/>
        <v>0.8488486107</v>
      </c>
      <c r="AB287" s="62">
        <f>IFERROR(AVERAGEIFS('Business - Dump'!$O:$O,'Business - Dump'!$B:$B,'Portfolio Wise '!$B287,'Business - Dump'!$A:$A,'Portfolio Wise '!$A287),0)</f>
        <v>0</v>
      </c>
      <c r="AC287" s="132">
        <f>F287/SUMIFS('Campaign - Dump'!$Q:$Q,'Campaign - Dump'!$A:$A,'Portfolio Wise '!$A287)</f>
        <v>1.050756918</v>
      </c>
      <c r="AD287" s="132">
        <f t="shared" si="16"/>
        <v>1.4</v>
      </c>
    </row>
    <row r="288" ht="15.75" customHeight="1">
      <c r="A288" s="3" t="s">
        <v>67</v>
      </c>
      <c r="B288" s="33" t="s">
        <v>90</v>
      </c>
      <c r="C288" s="13">
        <f>SUMIFS('Campaign - Dump'!$N:$N,'Campaign - Dump'!$J:$J,'Portfolio Wise '!$B288,'Campaign - Dump'!$A:$A,'Portfolio Wise '!$A288)</f>
        <v>1687616</v>
      </c>
      <c r="D288" s="13">
        <f>SUMIFS('Campaign - Dump'!$O:$O,'Campaign - Dump'!$J:$J,'Portfolio Wise '!$B288,'Campaign - Dump'!$A:$A,'Portfolio Wise '!$A288)</f>
        <v>2024</v>
      </c>
      <c r="E288" s="23">
        <f t="shared" si="2"/>
        <v>0.001199324965</v>
      </c>
      <c r="F288" s="36">
        <f>SUMIFS('Campaign - Dump'!$Q:$Q,'Campaign - Dump'!$J:$J,'Portfolio Wise '!$B288,'Campaign - Dump'!$A:$A,'Portfolio Wise '!$A288)</f>
        <v>105295.19</v>
      </c>
      <c r="G288" s="38">
        <f t="shared" si="3"/>
        <v>52.02331522</v>
      </c>
      <c r="H288" s="41">
        <f>SUMIFS('Campaign - Dump'!$T:$T,'Campaign - Dump'!$J:$J,'Portfolio Wise '!$B288,'Campaign - Dump'!$A:$A,'Portfolio Wise '!$A288)</f>
        <v>13</v>
      </c>
      <c r="I288" s="23">
        <f t="shared" si="4"/>
        <v>0.006422924901</v>
      </c>
      <c r="J288" s="36">
        <f>SUMIFS('Campaign - Dump'!$U:$U,'Campaign - Dump'!$J:$J,'Portfolio Wise '!$B288,'Campaign - Dump'!$A:$A,'Portfolio Wise '!$A288)</f>
        <v>327321.19</v>
      </c>
      <c r="K288" s="23">
        <f t="shared" si="5"/>
        <v>0.3216876671</v>
      </c>
      <c r="L288" s="38">
        <f t="shared" si="6"/>
        <v>3.108605341</v>
      </c>
      <c r="M288" s="41">
        <f t="shared" si="7"/>
        <v>25178.55308</v>
      </c>
      <c r="N288" s="13">
        <v>0.0</v>
      </c>
      <c r="O288" s="36">
        <v>0.0</v>
      </c>
      <c r="P288" s="41">
        <f t="shared" si="8"/>
        <v>0</v>
      </c>
      <c r="Q288" s="13">
        <f>SUMIFS('Business - Dump'!$W:$W,'Business - Dump'!$B:$B,'Portfolio Wise '!$B288,'Business - Dump'!$A:$A,'Portfolio Wise '!$A288)</f>
        <v>0</v>
      </c>
      <c r="R288" s="36">
        <f>SUMIFS('Business - Dump'!$U:$U,'Business - Dump'!$B:$B,'Portfolio Wise '!$B288,'Business - Dump'!$A:$A,'Portfolio Wise '!$A288)/1.18</f>
        <v>0</v>
      </c>
      <c r="S288" s="41">
        <f t="shared" si="9"/>
        <v>0</v>
      </c>
      <c r="T288" s="23">
        <f t="shared" si="10"/>
        <v>0</v>
      </c>
      <c r="U288" s="38">
        <f t="shared" si="11"/>
        <v>0</v>
      </c>
      <c r="V288" s="41">
        <f>SUMIFS('Business - Dump'!$G:$G,'Business - Dump'!$B:$B,'Portfolio Wise '!$B288,'Business - Dump'!$A:$A,'Portfolio Wise '!$A288)</f>
        <v>0</v>
      </c>
      <c r="W288" s="48">
        <f t="shared" si="12"/>
        <v>0</v>
      </c>
      <c r="X288" s="23">
        <f t="shared" ref="X288:Y288" si="415">IFERROR(N288/Q288,0)</f>
        <v>0</v>
      </c>
      <c r="Y288" s="49">
        <f t="shared" si="415"/>
        <v>0</v>
      </c>
      <c r="Z288" s="49">
        <f t="shared" si="14"/>
        <v>0</v>
      </c>
      <c r="AA288" s="23">
        <f t="shared" si="15"/>
        <v>0</v>
      </c>
      <c r="AB288" s="23">
        <f>IFERROR(AVERAGEIFS('Business - Dump'!$O:$O,'Business - Dump'!$B:$B,'Portfolio Wise '!$B288,'Business - Dump'!$A:$A,'Portfolio Wise '!$A288),0)</f>
        <v>0</v>
      </c>
      <c r="AC288" s="49">
        <f>F288/SUMIFS('Campaign - Dump'!$Q:$Q,'Campaign - Dump'!$A:$A,'Portfolio Wise '!$A288)</f>
        <v>0.1536151281</v>
      </c>
      <c r="AD288" s="49">
        <f t="shared" si="16"/>
        <v>0</v>
      </c>
    </row>
    <row r="289" ht="15.75" customHeight="1">
      <c r="A289" s="3" t="s">
        <v>67</v>
      </c>
      <c r="B289" s="51" t="s">
        <v>110</v>
      </c>
      <c r="C289" s="13">
        <f>SUMIFS('Campaign - Dump'!$N:$N,'Campaign - Dump'!$J:$J,'Portfolio Wise '!$B289,'Campaign - Dump'!$A:$A,'Portfolio Wise '!$A289)</f>
        <v>0</v>
      </c>
      <c r="D289" s="13">
        <f>SUMIFS('Campaign - Dump'!$O:$O,'Campaign - Dump'!$J:$J,'Portfolio Wise '!$B289,'Campaign - Dump'!$A:$A,'Portfolio Wise '!$A289)</f>
        <v>0</v>
      </c>
      <c r="E289" s="23">
        <f t="shared" si="2"/>
        <v>0</v>
      </c>
      <c r="F289" s="36">
        <f>SUMIFS('Campaign - Dump'!$Q:$Q,'Campaign - Dump'!$J:$J,'Portfolio Wise '!$B289,'Campaign - Dump'!$A:$A,'Portfolio Wise '!$A289)</f>
        <v>0</v>
      </c>
      <c r="G289" s="38">
        <f t="shared" si="3"/>
        <v>0</v>
      </c>
      <c r="H289" s="41">
        <f>SUMIFS('Campaign - Dump'!$T:$T,'Campaign - Dump'!$J:$J,'Portfolio Wise '!$B289,'Campaign - Dump'!$A:$A,'Portfolio Wise '!$A289)</f>
        <v>0</v>
      </c>
      <c r="I289" s="23">
        <f t="shared" si="4"/>
        <v>0</v>
      </c>
      <c r="J289" s="36">
        <f>SUMIFS('Campaign - Dump'!$U:$U,'Campaign - Dump'!$J:$J,'Portfolio Wise '!$B289,'Campaign - Dump'!$A:$A,'Portfolio Wise '!$A289)</f>
        <v>0</v>
      </c>
      <c r="K289" s="23">
        <f t="shared" si="5"/>
        <v>0</v>
      </c>
      <c r="L289" s="38">
        <f t="shared" si="6"/>
        <v>0</v>
      </c>
      <c r="M289" s="41">
        <f t="shared" si="7"/>
        <v>0</v>
      </c>
      <c r="N289" s="13">
        <f t="shared" ref="N289:N291" si="417">IFERROR(Q289-H289,0)</f>
        <v>0</v>
      </c>
      <c r="O289" s="36">
        <f t="shared" ref="O289:O291" si="418">IFERROR(R289-J289,0)</f>
        <v>0</v>
      </c>
      <c r="P289" s="41">
        <f t="shared" si="8"/>
        <v>0</v>
      </c>
      <c r="Q289" s="13">
        <f>SUMIFS('Business - Dump'!$W:$W,'Business - Dump'!$B:$B,'Portfolio Wise '!$B289,'Business - Dump'!$A:$A,'Portfolio Wise '!$A289)</f>
        <v>0</v>
      </c>
      <c r="R289" s="36">
        <f>SUMIFS('Business - Dump'!$U:$U,'Business - Dump'!$B:$B,'Portfolio Wise '!$B289,'Business - Dump'!$A:$A,'Portfolio Wise '!$A289)/1.18</f>
        <v>0</v>
      </c>
      <c r="S289" s="41">
        <f t="shared" si="9"/>
        <v>0</v>
      </c>
      <c r="T289" s="23">
        <f t="shared" si="10"/>
        <v>0</v>
      </c>
      <c r="U289" s="38">
        <f t="shared" si="11"/>
        <v>0</v>
      </c>
      <c r="V289" s="41">
        <f>SUMIFS('Business - Dump'!$G:$G,'Business - Dump'!$B:$B,'Portfolio Wise '!$B289,'Business - Dump'!$A:$A,'Portfolio Wise '!$A289)</f>
        <v>0</v>
      </c>
      <c r="W289" s="48">
        <f t="shared" si="12"/>
        <v>0</v>
      </c>
      <c r="X289" s="23">
        <f t="shared" ref="X289:Y289" si="416">IFERROR(N289/Q289,0)</f>
        <v>0</v>
      </c>
      <c r="Y289" s="49">
        <f t="shared" si="416"/>
        <v>0</v>
      </c>
      <c r="Z289" s="49">
        <f t="shared" si="14"/>
        <v>0</v>
      </c>
      <c r="AA289" s="23">
        <f t="shared" si="15"/>
        <v>0</v>
      </c>
      <c r="AB289" s="23">
        <f>IFERROR(AVERAGEIFS('Business - Dump'!$O:$O,'Business - Dump'!$B:$B,'Portfolio Wise '!$B289,'Business - Dump'!$A:$A,'Portfolio Wise '!$A289),0)</f>
        <v>0</v>
      </c>
      <c r="AC289" s="49">
        <f>F289/SUMIFS('Campaign - Dump'!$Q:$Q,'Campaign - Dump'!$A:$A,'Portfolio Wise '!$A289)</f>
        <v>0</v>
      </c>
      <c r="AD289" s="49">
        <f t="shared" si="16"/>
        <v>0</v>
      </c>
    </row>
    <row r="290" ht="15.75" customHeight="1">
      <c r="A290" s="3" t="s">
        <v>67</v>
      </c>
      <c r="B290" s="51" t="s">
        <v>119</v>
      </c>
      <c r="C290" s="13">
        <f>SUMIFS('Campaign - Dump'!$N:$N,'Campaign - Dump'!$J:$J,'Portfolio Wise '!$B290,'Campaign - Dump'!$A:$A,'Portfolio Wise '!$A290)</f>
        <v>27136</v>
      </c>
      <c r="D290" s="13">
        <f>SUMIFS('Campaign - Dump'!$O:$O,'Campaign - Dump'!$J:$J,'Portfolio Wise '!$B290,'Campaign - Dump'!$A:$A,'Portfolio Wise '!$A290)</f>
        <v>329</v>
      </c>
      <c r="E290" s="23">
        <f t="shared" si="2"/>
        <v>0.01212411557</v>
      </c>
      <c r="F290" s="36">
        <f>SUMIFS('Campaign - Dump'!$Q:$Q,'Campaign - Dump'!$J:$J,'Portfolio Wise '!$B290,'Campaign - Dump'!$A:$A,'Portfolio Wise '!$A290)</f>
        <v>1239.29</v>
      </c>
      <c r="G290" s="38">
        <f t="shared" si="3"/>
        <v>3.766838906</v>
      </c>
      <c r="H290" s="41">
        <f>SUMIFS('Campaign - Dump'!$T:$T,'Campaign - Dump'!$J:$J,'Portfolio Wise '!$B290,'Campaign - Dump'!$A:$A,'Portfolio Wise '!$A290)</f>
        <v>1</v>
      </c>
      <c r="I290" s="23">
        <f t="shared" si="4"/>
        <v>0.003039513678</v>
      </c>
      <c r="J290" s="36">
        <f>SUMIFS('Campaign - Dump'!$U:$U,'Campaign - Dump'!$J:$J,'Portfolio Wise '!$B290,'Campaign - Dump'!$A:$A,'Portfolio Wise '!$A290)</f>
        <v>13135.59</v>
      </c>
      <c r="K290" s="23">
        <f t="shared" si="5"/>
        <v>0.09434597152</v>
      </c>
      <c r="L290" s="38">
        <f t="shared" si="6"/>
        <v>10.59928669</v>
      </c>
      <c r="M290" s="41">
        <f t="shared" si="7"/>
        <v>13135.59</v>
      </c>
      <c r="N290" s="13">
        <f t="shared" si="417"/>
        <v>0</v>
      </c>
      <c r="O290" s="36">
        <f t="shared" si="418"/>
        <v>-8135.59</v>
      </c>
      <c r="P290" s="41">
        <f t="shared" si="8"/>
        <v>0</v>
      </c>
      <c r="Q290" s="13">
        <f>SUMIFS('Business - Dump'!$W:$W,'Business - Dump'!$B:$B,'Portfolio Wise '!$B290,'Business - Dump'!$A:$A,'Portfolio Wise '!$A290)</f>
        <v>1</v>
      </c>
      <c r="R290" s="36">
        <f>SUMIFS('Business - Dump'!$U:$U,'Business - Dump'!$B:$B,'Portfolio Wise '!$B290,'Business - Dump'!$A:$A,'Portfolio Wise '!$A290)/1.18</f>
        <v>5000</v>
      </c>
      <c r="S290" s="41">
        <f t="shared" si="9"/>
        <v>5000</v>
      </c>
      <c r="T290" s="23">
        <f t="shared" si="10"/>
        <v>0.247858</v>
      </c>
      <c r="U290" s="38">
        <f t="shared" si="11"/>
        <v>4.03456818</v>
      </c>
      <c r="V290" s="41">
        <f>SUMIFS('Business - Dump'!$G:$G,'Business - Dump'!$B:$B,'Portfolio Wise '!$B290,'Business - Dump'!$A:$A,'Portfolio Wise '!$A290)</f>
        <v>1276</v>
      </c>
      <c r="W290" s="48">
        <f t="shared" si="12"/>
        <v>0.0007836990596</v>
      </c>
      <c r="X290" s="23">
        <f t="shared" ref="X290:Y290" si="419">IFERROR(N290/Q290,0)</f>
        <v>0</v>
      </c>
      <c r="Y290" s="49">
        <f t="shared" si="419"/>
        <v>-1.627118</v>
      </c>
      <c r="Z290" s="49">
        <f t="shared" si="14"/>
        <v>1</v>
      </c>
      <c r="AA290" s="23">
        <f t="shared" si="15"/>
        <v>-1.627118</v>
      </c>
      <c r="AB290" s="23">
        <f>IFERROR(AVERAGEIFS('Business - Dump'!$O:$O,'Business - Dump'!$B:$B,'Portfolio Wise '!$B290,'Business - Dump'!$A:$A,'Portfolio Wise '!$A290),0)</f>
        <v>0.8688</v>
      </c>
      <c r="AC290" s="49">
        <f>F290/SUMIFS('Campaign - Dump'!$Q:$Q,'Campaign - Dump'!$A:$A,'Portfolio Wise '!$A290)</f>
        <v>0.001807999891</v>
      </c>
      <c r="AD290" s="49">
        <f t="shared" si="16"/>
        <v>0</v>
      </c>
    </row>
    <row r="291" ht="15.75" customHeight="1">
      <c r="A291" s="3" t="s">
        <v>67</v>
      </c>
      <c r="B291" s="68" t="s">
        <v>413</v>
      </c>
      <c r="C291" s="13">
        <f>SUMIFS('Campaign - Dump'!$N:$N,'Campaign - Dump'!$J:$J,'Portfolio Wise '!$B291,'Campaign - Dump'!$A:$A,'Portfolio Wise '!$A291)</f>
        <v>311524</v>
      </c>
      <c r="D291" s="13">
        <f>SUMIFS('Campaign - Dump'!$O:$O,'Campaign - Dump'!$J:$J,'Portfolio Wise '!$B291,'Campaign - Dump'!$A:$A,'Portfolio Wise '!$A291)</f>
        <v>1999</v>
      </c>
      <c r="E291" s="23">
        <f t="shared" si="2"/>
        <v>0.006416841078</v>
      </c>
      <c r="F291" s="36">
        <f>SUMIFS('Campaign - Dump'!$Q:$Q,'Campaign - Dump'!$J:$J,'Portfolio Wise '!$B291,'Campaign - Dump'!$A:$A,'Portfolio Wise '!$A291)</f>
        <v>93716.24</v>
      </c>
      <c r="G291" s="38">
        <f t="shared" si="3"/>
        <v>46.88156078</v>
      </c>
      <c r="H291" s="41">
        <f>SUMIFS('Campaign - Dump'!$T:$T,'Campaign - Dump'!$J:$J,'Portfolio Wise '!$B291,'Campaign - Dump'!$A:$A,'Portfolio Wise '!$A291)</f>
        <v>16</v>
      </c>
      <c r="I291" s="23">
        <f t="shared" si="4"/>
        <v>0.008004002001</v>
      </c>
      <c r="J291" s="36">
        <f>SUMIFS('Campaign - Dump'!$U:$U,'Campaign - Dump'!$J:$J,'Portfolio Wise '!$B291,'Campaign - Dump'!$A:$A,'Portfolio Wise '!$A291)</f>
        <v>216088.97</v>
      </c>
      <c r="K291" s="23">
        <f t="shared" si="5"/>
        <v>0.4336928442</v>
      </c>
      <c r="L291" s="38">
        <f t="shared" si="6"/>
        <v>2.30577934</v>
      </c>
      <c r="M291" s="41">
        <f t="shared" si="7"/>
        <v>13505.56063</v>
      </c>
      <c r="N291" s="13">
        <f t="shared" si="417"/>
        <v>11</v>
      </c>
      <c r="O291" s="36">
        <f t="shared" si="418"/>
        <v>155924.5893</v>
      </c>
      <c r="P291" s="41">
        <f t="shared" si="8"/>
        <v>14174.96267</v>
      </c>
      <c r="Q291" s="13">
        <f>SUMIFS('Business - Dump'!$W:$W,'Business - Dump'!$B:$B,'Portfolio Wise '!$B291,'Business - Dump'!$A:$A,'Portfolio Wise '!$A291)</f>
        <v>27</v>
      </c>
      <c r="R291" s="36">
        <f>SUMIFS('Business - Dump'!$U:$U,'Business - Dump'!$B:$B,'Portfolio Wise '!$B291,'Business - Dump'!$A:$A,'Portfolio Wise '!$A291)/1.18</f>
        <v>372013.5593</v>
      </c>
      <c r="S291" s="41">
        <f t="shared" si="9"/>
        <v>13778.27997</v>
      </c>
      <c r="T291" s="23">
        <f t="shared" si="10"/>
        <v>0.2519161941</v>
      </c>
      <c r="U291" s="38">
        <f t="shared" si="11"/>
        <v>3.969574103</v>
      </c>
      <c r="V291" s="41">
        <f>SUMIFS('Business - Dump'!$G:$G,'Business - Dump'!$B:$B,'Portfolio Wise '!$B291,'Business - Dump'!$A:$A,'Portfolio Wise '!$A291)</f>
        <v>3851</v>
      </c>
      <c r="W291" s="48">
        <f t="shared" si="12"/>
        <v>0.007011165931</v>
      </c>
      <c r="X291" s="23">
        <f t="shared" ref="X291:Y291" si="420">IFERROR(N291/Q291,0)</f>
        <v>0.4074074074</v>
      </c>
      <c r="Y291" s="49">
        <f t="shared" si="420"/>
        <v>0.4191368444</v>
      </c>
      <c r="Z291" s="49">
        <f t="shared" si="14"/>
        <v>0.5925925926</v>
      </c>
      <c r="AA291" s="23">
        <f t="shared" si="15"/>
        <v>0.4191368444</v>
      </c>
      <c r="AB291" s="23">
        <f>IFERROR(AVERAGEIFS('Business - Dump'!$O:$O,'Business - Dump'!$B:$B,'Portfolio Wise '!$B291,'Business - Dump'!$A:$A,'Portfolio Wise '!$A291),0)</f>
        <v>0.94182</v>
      </c>
      <c r="AC291" s="49">
        <f>F291/SUMIFS('Campaign - Dump'!$Q:$Q,'Campaign - Dump'!$A:$A,'Portfolio Wise '!$A291)</f>
        <v>0.1367226006</v>
      </c>
      <c r="AD291" s="49">
        <f t="shared" si="16"/>
        <v>0.6875</v>
      </c>
    </row>
    <row r="292" ht="15.75" customHeight="1">
      <c r="A292" s="3" t="s">
        <v>67</v>
      </c>
      <c r="B292" s="19" t="s">
        <v>128</v>
      </c>
      <c r="C292" s="13">
        <f>SUMIFS('Campaign - Dump'!$N:$N,'Campaign - Dump'!$J:$J,'Portfolio Wise '!$B292,'Campaign - Dump'!$A:$A,'Portfolio Wise '!$A292)</f>
        <v>1290673</v>
      </c>
      <c r="D292" s="13">
        <f>SUMIFS('Campaign - Dump'!$O:$O,'Campaign - Dump'!$J:$J,'Portfolio Wise '!$B292,'Campaign - Dump'!$A:$A,'Portfolio Wise '!$A292)</f>
        <v>4874</v>
      </c>
      <c r="E292" s="23">
        <f t="shared" si="2"/>
        <v>0.003776324445</v>
      </c>
      <c r="F292" s="36">
        <f>SUMIFS('Campaign - Dump'!$Q:$Q,'Campaign - Dump'!$J:$J,'Portfolio Wise '!$B292,'Campaign - Dump'!$A:$A,'Portfolio Wise '!$A292)</f>
        <v>151903.48</v>
      </c>
      <c r="G292" s="38">
        <f t="shared" si="3"/>
        <v>31.16608125</v>
      </c>
      <c r="H292" s="130">
        <f>SUMIFS('Campaign - Dump'!$T:$T,'Campaign - Dump'!$J:$J,'Portfolio Wise '!$B292,'Campaign - Dump'!$A:$A,'Portfolio Wise '!$A292)</f>
        <v>71</v>
      </c>
      <c r="I292" s="62">
        <f t="shared" si="4"/>
        <v>0.01456709069</v>
      </c>
      <c r="J292" s="36">
        <f>SUMIFS('Campaign - Dump'!$U:$U,'Campaign - Dump'!$J:$J,'Portfolio Wise '!$B292,'Campaign - Dump'!$A:$A,'Portfolio Wise '!$A292)</f>
        <v>1389709.32</v>
      </c>
      <c r="K292" s="23">
        <f t="shared" si="5"/>
        <v>0.1093059374</v>
      </c>
      <c r="L292" s="38">
        <f t="shared" si="6"/>
        <v>9.148633856</v>
      </c>
      <c r="M292" s="41">
        <f t="shared" si="7"/>
        <v>19573.3707</v>
      </c>
      <c r="N292" s="13">
        <v>0.0</v>
      </c>
      <c r="O292" s="36">
        <v>0.0</v>
      </c>
      <c r="P292" s="41">
        <f t="shared" si="8"/>
        <v>0</v>
      </c>
      <c r="Q292" s="13">
        <f>SUMIFS('Business - Dump'!$W:$W,'Business - Dump'!$B:$B,'Portfolio Wise '!$B292,'Business - Dump'!$A:$A,'Portfolio Wise '!$A292)</f>
        <v>0</v>
      </c>
      <c r="R292" s="36">
        <f>SUMIFS('Business - Dump'!$U:$U,'Business - Dump'!$B:$B,'Portfolio Wise '!$B292,'Business - Dump'!$A:$A,'Portfolio Wise '!$A292)/1.18</f>
        <v>0</v>
      </c>
      <c r="S292" s="41">
        <f t="shared" si="9"/>
        <v>0</v>
      </c>
      <c r="T292" s="23">
        <f t="shared" si="10"/>
        <v>0</v>
      </c>
      <c r="U292" s="38">
        <f t="shared" si="11"/>
        <v>0</v>
      </c>
      <c r="V292" s="41">
        <f>SUMIFS('Business - Dump'!$G:$G,'Business - Dump'!$B:$B,'Portfolio Wise '!$B292,'Business - Dump'!$A:$A,'Portfolio Wise '!$A292)</f>
        <v>0</v>
      </c>
      <c r="W292" s="48">
        <f t="shared" si="12"/>
        <v>0</v>
      </c>
      <c r="X292" s="23">
        <f t="shared" ref="X292:Y292" si="421">IFERROR(N292/Q292,0)</f>
        <v>0</v>
      </c>
      <c r="Y292" s="49">
        <f t="shared" si="421"/>
        <v>0</v>
      </c>
      <c r="Z292" s="49">
        <f t="shared" si="14"/>
        <v>0</v>
      </c>
      <c r="AA292" s="23">
        <f t="shared" si="15"/>
        <v>0</v>
      </c>
      <c r="AB292" s="23">
        <f>IFERROR(AVERAGEIFS('Business - Dump'!$O:$O,'Business - Dump'!$B:$B,'Portfolio Wise '!$B292,'Business - Dump'!$A:$A,'Portfolio Wise '!$A292),0)</f>
        <v>0</v>
      </c>
      <c r="AC292" s="49">
        <f>F292/SUMIFS('Campaign - Dump'!$Q:$Q,'Campaign - Dump'!$A:$A,'Portfolio Wise '!$A292)</f>
        <v>0.2216119515</v>
      </c>
      <c r="AD292" s="49">
        <f t="shared" si="16"/>
        <v>0</v>
      </c>
    </row>
    <row r="293" ht="15.75" customHeight="1">
      <c r="A293" s="3" t="s">
        <v>67</v>
      </c>
      <c r="B293" s="19" t="s">
        <v>134</v>
      </c>
      <c r="C293" s="13">
        <f>SUMIFS('Campaign - Dump'!$N:$N,'Campaign - Dump'!$J:$J,'Portfolio Wise '!$B293,'Campaign - Dump'!$A:$A,'Portfolio Wise '!$A293)</f>
        <v>902830</v>
      </c>
      <c r="D293" s="13">
        <f>SUMIFS('Campaign - Dump'!$O:$O,'Campaign - Dump'!$J:$J,'Portfolio Wise '!$B293,'Campaign - Dump'!$A:$A,'Portfolio Wise '!$A293)</f>
        <v>5831</v>
      </c>
      <c r="E293" s="23">
        <f t="shared" si="2"/>
        <v>0.006458580242</v>
      </c>
      <c r="F293" s="36">
        <f>SUMIFS('Campaign - Dump'!$Q:$Q,'Campaign - Dump'!$J:$J,'Portfolio Wise '!$B293,'Campaign - Dump'!$A:$A,'Portfolio Wise '!$A293)</f>
        <v>215125.15</v>
      </c>
      <c r="G293" s="38">
        <f t="shared" si="3"/>
        <v>36.89335448</v>
      </c>
      <c r="H293" s="41">
        <f>SUMIFS('Campaign - Dump'!$T:$T,'Campaign - Dump'!$J:$J,'Portfolio Wise '!$B293,'Campaign - Dump'!$A:$A,'Portfolio Wise '!$A293)</f>
        <v>32</v>
      </c>
      <c r="I293" s="23">
        <f t="shared" si="4"/>
        <v>0.005487909449</v>
      </c>
      <c r="J293" s="36">
        <f>SUMIFS('Campaign - Dump'!$U:$U,'Campaign - Dump'!$J:$J,'Portfolio Wise '!$B293,'Campaign - Dump'!$A:$A,'Portfolio Wise '!$A293)</f>
        <v>553205.89</v>
      </c>
      <c r="K293" s="23">
        <f t="shared" si="5"/>
        <v>0.3888699558</v>
      </c>
      <c r="L293" s="38">
        <f t="shared" si="6"/>
        <v>2.571553768</v>
      </c>
      <c r="M293" s="41">
        <f t="shared" si="7"/>
        <v>17287.68406</v>
      </c>
      <c r="N293" s="13">
        <f t="shared" ref="N293:N299" si="423">IFERROR(Q293-H293,0)</f>
        <v>36</v>
      </c>
      <c r="O293" s="36">
        <f t="shared" ref="O293:O299" si="424">IFERROR(R293-J293,0)</f>
        <v>833922.5592</v>
      </c>
      <c r="P293" s="41">
        <f t="shared" si="8"/>
        <v>23164.51553</v>
      </c>
      <c r="Q293" s="198">
        <f>SUMIFS('Business - Dump'!$W:$W,'Business - Dump'!$B:$B,'Portfolio Wise '!$B293,'Business - Dump'!$A:$A,'Portfolio Wise '!$A293)</f>
        <v>68</v>
      </c>
      <c r="R293" s="36">
        <f>SUMIFS('Business - Dump'!$U:$U,'Business - Dump'!$B:$B,'Portfolio Wise '!$B293,'Business - Dump'!$A:$A,'Portfolio Wise '!$A293)/1.18</f>
        <v>1387128.449</v>
      </c>
      <c r="S293" s="41">
        <f t="shared" si="9"/>
        <v>20398.94778</v>
      </c>
      <c r="T293" s="62">
        <f t="shared" si="10"/>
        <v>0.1550866829</v>
      </c>
      <c r="U293" s="38">
        <f t="shared" si="11"/>
        <v>6.448006889</v>
      </c>
      <c r="V293" s="130">
        <f>SUMIFS('Business - Dump'!$G:$G,'Business - Dump'!$B:$B,'Portfolio Wise '!$B293,'Business - Dump'!$A:$A,'Portfolio Wise '!$A293)</f>
        <v>16204</v>
      </c>
      <c r="W293" s="23">
        <f t="shared" si="12"/>
        <v>0.004196494693</v>
      </c>
      <c r="X293" s="23">
        <f t="shared" ref="X293:Y293" si="422">IFERROR(N293/Q293,0)</f>
        <v>0.5294117647</v>
      </c>
      <c r="Y293" s="49">
        <f t="shared" si="422"/>
        <v>0.6011862562</v>
      </c>
      <c r="Z293" s="49">
        <f t="shared" si="14"/>
        <v>0.4705882353</v>
      </c>
      <c r="AA293" s="23">
        <f t="shared" si="15"/>
        <v>0.6011862562</v>
      </c>
      <c r="AB293" s="23">
        <f>IFERROR(AVERAGEIFS('Business - Dump'!$O:$O,'Business - Dump'!$B:$B,'Portfolio Wise '!$B293,'Business - Dump'!$A:$A,'Portfolio Wise '!$A293),0)</f>
        <v>0.8808444444</v>
      </c>
      <c r="AC293" s="49">
        <f>F293/SUMIFS('Campaign - Dump'!$Q:$Q,'Campaign - Dump'!$A:$A,'Portfolio Wise '!$A293)</f>
        <v>0.3138460311</v>
      </c>
      <c r="AD293" s="49">
        <f t="shared" si="16"/>
        <v>1.125</v>
      </c>
    </row>
    <row r="294" ht="15.75" customHeight="1">
      <c r="A294" s="3" t="s">
        <v>67</v>
      </c>
      <c r="B294" s="19" t="s">
        <v>140</v>
      </c>
      <c r="C294" s="13">
        <f>SUMIFS('Campaign - Dump'!$N:$N,'Campaign - Dump'!$J:$J,'Portfolio Wise '!$B294,'Campaign - Dump'!$A:$A,'Portfolio Wise '!$A294)</f>
        <v>67600</v>
      </c>
      <c r="D294" s="13">
        <f>SUMIFS('Campaign - Dump'!$O:$O,'Campaign - Dump'!$J:$J,'Portfolio Wise '!$B294,'Campaign - Dump'!$A:$A,'Portfolio Wise '!$A294)</f>
        <v>191</v>
      </c>
      <c r="E294" s="23">
        <f t="shared" si="2"/>
        <v>0.002825443787</v>
      </c>
      <c r="F294" s="36">
        <f>SUMIFS('Campaign - Dump'!$Q:$Q,'Campaign - Dump'!$J:$J,'Portfolio Wise '!$B294,'Campaign - Dump'!$A:$A,'Portfolio Wise '!$A294)</f>
        <v>6674.35</v>
      </c>
      <c r="G294" s="38">
        <f t="shared" si="3"/>
        <v>34.94424084</v>
      </c>
      <c r="H294" s="41">
        <f>SUMIFS('Campaign - Dump'!$T:$T,'Campaign - Dump'!$J:$J,'Portfolio Wise '!$B294,'Campaign - Dump'!$A:$A,'Portfolio Wise '!$A294)</f>
        <v>1</v>
      </c>
      <c r="I294" s="23">
        <f t="shared" si="4"/>
        <v>0.005235602094</v>
      </c>
      <c r="J294" s="36">
        <f>SUMIFS('Campaign - Dump'!$U:$U,'Campaign - Dump'!$J:$J,'Portfolio Wise '!$B294,'Campaign - Dump'!$A:$A,'Portfolio Wise '!$A294)</f>
        <v>23932.2</v>
      </c>
      <c r="K294" s="23">
        <f t="shared" si="5"/>
        <v>0.278885769</v>
      </c>
      <c r="L294" s="38">
        <f t="shared" si="6"/>
        <v>3.585697484</v>
      </c>
      <c r="M294" s="41">
        <f t="shared" si="7"/>
        <v>23932.2</v>
      </c>
      <c r="N294" s="13">
        <f t="shared" si="423"/>
        <v>15</v>
      </c>
      <c r="O294" s="36">
        <f t="shared" si="424"/>
        <v>439954.4102</v>
      </c>
      <c r="P294" s="41">
        <f t="shared" si="8"/>
        <v>29330.29401</v>
      </c>
      <c r="Q294" s="13">
        <f>SUMIFS('Business - Dump'!$W:$W,'Business - Dump'!$B:$B,'Portfolio Wise '!$B294,'Business - Dump'!$A:$A,'Portfolio Wise '!$A294)</f>
        <v>16</v>
      </c>
      <c r="R294" s="36">
        <f>SUMIFS('Business - Dump'!$U:$U,'Business - Dump'!$B:$B,'Portfolio Wise '!$B294,'Business - Dump'!$A:$A,'Portfolio Wise '!$A294)/1.18</f>
        <v>463886.6102</v>
      </c>
      <c r="S294" s="41">
        <f t="shared" si="9"/>
        <v>28992.91314</v>
      </c>
      <c r="T294" s="23">
        <f t="shared" si="10"/>
        <v>0.01438789104</v>
      </c>
      <c r="U294" s="38">
        <f t="shared" si="11"/>
        <v>69.50288945</v>
      </c>
      <c r="V294" s="41">
        <f>SUMIFS('Business - Dump'!$G:$G,'Business - Dump'!$B:$B,'Portfolio Wise '!$B294,'Business - Dump'!$A:$A,'Portfolio Wise '!$A294)</f>
        <v>4543</v>
      </c>
      <c r="W294" s="23">
        <f t="shared" si="12"/>
        <v>0.003521901827</v>
      </c>
      <c r="X294" s="23">
        <f t="shared" ref="X294:Y294" si="425">IFERROR(N294/Q294,0)</f>
        <v>0.9375</v>
      </c>
      <c r="Y294" s="49">
        <f t="shared" si="425"/>
        <v>0.9484093753</v>
      </c>
      <c r="Z294" s="49">
        <f t="shared" si="14"/>
        <v>0.0625</v>
      </c>
      <c r="AA294" s="23">
        <f t="shared" si="15"/>
        <v>0.9484093753</v>
      </c>
      <c r="AB294" s="23">
        <f>IFERROR(AVERAGEIFS('Business - Dump'!$O:$O,'Business - Dump'!$B:$B,'Portfolio Wise '!$B294,'Business - Dump'!$A:$A,'Portfolio Wise '!$A294),0)</f>
        <v>0.8573875</v>
      </c>
      <c r="AC294" s="49">
        <f>F294/SUMIFS('Campaign - Dump'!$Q:$Q,'Campaign - Dump'!$A:$A,'Portfolio Wise '!$A294)</f>
        <v>0.009737207656</v>
      </c>
      <c r="AD294" s="49">
        <f t="shared" si="16"/>
        <v>15</v>
      </c>
    </row>
    <row r="295" ht="15.75" customHeight="1">
      <c r="A295" s="3" t="s">
        <v>67</v>
      </c>
      <c r="B295" s="10" t="s">
        <v>152</v>
      </c>
      <c r="C295" s="13">
        <f>SUMIFS('Campaign - Dump'!$N:$N,'Campaign - Dump'!$J:$J,'Portfolio Wise '!$B295,'Campaign - Dump'!$A:$A,'Portfolio Wise '!$A295)</f>
        <v>0</v>
      </c>
      <c r="D295" s="13">
        <f>SUMIFS('Campaign - Dump'!$O:$O,'Campaign - Dump'!$J:$J,'Portfolio Wise '!$B295,'Campaign - Dump'!$A:$A,'Portfolio Wise '!$A295)</f>
        <v>0</v>
      </c>
      <c r="E295" s="23">
        <f t="shared" si="2"/>
        <v>0</v>
      </c>
      <c r="F295" s="36">
        <f>SUMIFS('Campaign - Dump'!$Q:$Q,'Campaign - Dump'!$J:$J,'Portfolio Wise '!$B295,'Campaign - Dump'!$A:$A,'Portfolio Wise '!$A295)</f>
        <v>0</v>
      </c>
      <c r="G295" s="38">
        <f t="shared" si="3"/>
        <v>0</v>
      </c>
      <c r="H295" s="41">
        <f>SUMIFS('Campaign - Dump'!$T:$T,'Campaign - Dump'!$J:$J,'Portfolio Wise '!$B295,'Campaign - Dump'!$A:$A,'Portfolio Wise '!$A295)</f>
        <v>0</v>
      </c>
      <c r="I295" s="23">
        <f t="shared" si="4"/>
        <v>0</v>
      </c>
      <c r="J295" s="36">
        <f>SUMIFS('Campaign - Dump'!$U:$U,'Campaign - Dump'!$J:$J,'Portfolio Wise '!$B295,'Campaign - Dump'!$A:$A,'Portfolio Wise '!$A295)</f>
        <v>0</v>
      </c>
      <c r="K295" s="23">
        <f t="shared" si="5"/>
        <v>0</v>
      </c>
      <c r="L295" s="38">
        <f t="shared" si="6"/>
        <v>0</v>
      </c>
      <c r="M295" s="41">
        <f t="shared" si="7"/>
        <v>0</v>
      </c>
      <c r="N295" s="13">
        <f t="shared" si="423"/>
        <v>0</v>
      </c>
      <c r="O295" s="36">
        <f t="shared" si="424"/>
        <v>0</v>
      </c>
      <c r="P295" s="41">
        <f t="shared" si="8"/>
        <v>0</v>
      </c>
      <c r="Q295" s="13">
        <f>SUMIFS('Business - Dump'!$W:$W,'Business - Dump'!$B:$B,'Portfolio Wise '!$B295,'Business - Dump'!$A:$A,'Portfolio Wise '!$A295)</f>
        <v>0</v>
      </c>
      <c r="R295" s="36">
        <f>SUMIFS('Business - Dump'!$U:$U,'Business - Dump'!$B:$B,'Portfolio Wise '!$B295,'Business - Dump'!$A:$A,'Portfolio Wise '!$A295)/1.18</f>
        <v>0</v>
      </c>
      <c r="S295" s="41">
        <f t="shared" si="9"/>
        <v>0</v>
      </c>
      <c r="T295" s="23">
        <f t="shared" si="10"/>
        <v>0</v>
      </c>
      <c r="U295" s="38">
        <f t="shared" si="11"/>
        <v>0</v>
      </c>
      <c r="V295" s="41">
        <f>SUMIFS('Business - Dump'!$G:$G,'Business - Dump'!$B:$B,'Portfolio Wise '!$B295,'Business - Dump'!$A:$A,'Portfolio Wise '!$A295)</f>
        <v>58</v>
      </c>
      <c r="W295" s="48">
        <f t="shared" si="12"/>
        <v>0</v>
      </c>
      <c r="X295" s="23">
        <f t="shared" ref="X295:Y295" si="426">IFERROR(N295/Q295,0)</f>
        <v>0</v>
      </c>
      <c r="Y295" s="49">
        <f t="shared" si="426"/>
        <v>0</v>
      </c>
      <c r="Z295" s="49">
        <f t="shared" si="14"/>
        <v>0</v>
      </c>
      <c r="AA295" s="23">
        <f t="shared" si="15"/>
        <v>0</v>
      </c>
      <c r="AB295" s="23">
        <f>IFERROR(AVERAGEIFS('Business - Dump'!$O:$O,'Business - Dump'!$B:$B,'Portfolio Wise '!$B295,'Business - Dump'!$A:$A,'Portfolio Wise '!$A295),0)</f>
        <v>0.9468</v>
      </c>
      <c r="AC295" s="49">
        <f>F295/SUMIFS('Campaign - Dump'!$Q:$Q,'Campaign - Dump'!$A:$A,'Portfolio Wise '!$A295)</f>
        <v>0</v>
      </c>
      <c r="AD295" s="49">
        <f t="shared" si="16"/>
        <v>0</v>
      </c>
    </row>
    <row r="296" ht="15.75" customHeight="1">
      <c r="A296" s="3" t="s">
        <v>67</v>
      </c>
      <c r="B296" s="19" t="s">
        <v>158</v>
      </c>
      <c r="C296" s="13">
        <f>SUMIFS('Campaign - Dump'!$N:$N,'Campaign - Dump'!$J:$J,'Portfolio Wise '!$B296,'Campaign - Dump'!$A:$A,'Portfolio Wise '!$A296)</f>
        <v>83775</v>
      </c>
      <c r="D296" s="13">
        <f>SUMIFS('Campaign - Dump'!$O:$O,'Campaign - Dump'!$J:$J,'Portfolio Wise '!$B296,'Campaign - Dump'!$A:$A,'Portfolio Wise '!$A296)</f>
        <v>242</v>
      </c>
      <c r="E296" s="23">
        <f t="shared" si="2"/>
        <v>0.002888689943</v>
      </c>
      <c r="F296" s="36">
        <f>SUMIFS('Campaign - Dump'!$Q:$Q,'Campaign - Dump'!$J:$J,'Portfolio Wise '!$B296,'Campaign - Dump'!$A:$A,'Portfolio Wise '!$A296)</f>
        <v>5401.08</v>
      </c>
      <c r="G296" s="38">
        <f t="shared" si="3"/>
        <v>22.3185124</v>
      </c>
      <c r="H296" s="41">
        <f>SUMIFS('Campaign - Dump'!$T:$T,'Campaign - Dump'!$J:$J,'Portfolio Wise '!$B296,'Campaign - Dump'!$A:$A,'Portfolio Wise '!$A296)</f>
        <v>2</v>
      </c>
      <c r="I296" s="23">
        <f t="shared" si="4"/>
        <v>0.00826446281</v>
      </c>
      <c r="J296" s="36">
        <f>SUMIFS('Campaign - Dump'!$U:$U,'Campaign - Dump'!$J:$J,'Portfolio Wise '!$B296,'Campaign - Dump'!$A:$A,'Portfolio Wise '!$A296)</f>
        <v>7118.64</v>
      </c>
      <c r="K296" s="23">
        <f t="shared" si="5"/>
        <v>0.7587235764</v>
      </c>
      <c r="L296" s="38">
        <f t="shared" si="6"/>
        <v>1.318003066</v>
      </c>
      <c r="M296" s="41">
        <f t="shared" si="7"/>
        <v>3559.32</v>
      </c>
      <c r="N296" s="13">
        <f t="shared" si="423"/>
        <v>8</v>
      </c>
      <c r="O296" s="36">
        <f t="shared" si="424"/>
        <v>25333.90237</v>
      </c>
      <c r="P296" s="41">
        <f t="shared" si="8"/>
        <v>3166.737797</v>
      </c>
      <c r="Q296" s="13">
        <f>SUMIFS('Business - Dump'!$W:$W,'Business - Dump'!$B:$B,'Portfolio Wise '!$B296,'Business - Dump'!$A:$A,'Portfolio Wise '!$A296)</f>
        <v>10</v>
      </c>
      <c r="R296" s="36">
        <f>SUMIFS('Business - Dump'!$U:$U,'Business - Dump'!$B:$B,'Portfolio Wise '!$B296,'Business - Dump'!$A:$A,'Portfolio Wise '!$A296)/1.18</f>
        <v>32452.54237</v>
      </c>
      <c r="S296" s="41">
        <f t="shared" si="9"/>
        <v>3245.254237</v>
      </c>
      <c r="T296" s="23">
        <f t="shared" si="10"/>
        <v>0.1664301039</v>
      </c>
      <c r="U296" s="38">
        <f t="shared" si="11"/>
        <v>6.008528363</v>
      </c>
      <c r="V296" s="41">
        <f>SUMIFS('Business - Dump'!$G:$G,'Business - Dump'!$B:$B,'Portfolio Wise '!$B296,'Business - Dump'!$A:$A,'Portfolio Wise '!$A296)</f>
        <v>711</v>
      </c>
      <c r="W296" s="48">
        <f t="shared" si="12"/>
        <v>0.01406469761</v>
      </c>
      <c r="X296" s="23">
        <f t="shared" ref="X296:Y296" si="427">IFERROR(N296/Q296,0)</f>
        <v>0.8</v>
      </c>
      <c r="Y296" s="49">
        <f t="shared" si="427"/>
        <v>0.7806446127</v>
      </c>
      <c r="Z296" s="49">
        <f t="shared" si="14"/>
        <v>0.2</v>
      </c>
      <c r="AA296" s="23">
        <f t="shared" si="15"/>
        <v>0.7806446127</v>
      </c>
      <c r="AB296" s="23">
        <f>IFERROR(AVERAGEIFS('Business - Dump'!$O:$O,'Business - Dump'!$B:$B,'Portfolio Wise '!$B296,'Business - Dump'!$A:$A,'Portfolio Wise '!$A296),0)</f>
        <v>0.9422</v>
      </c>
      <c r="AC296" s="49">
        <f>F296/SUMIFS('Campaign - Dump'!$Q:$Q,'Campaign - Dump'!$A:$A,'Portfolio Wise '!$A296)</f>
        <v>0.00787963435</v>
      </c>
      <c r="AD296" s="49">
        <f t="shared" si="16"/>
        <v>4</v>
      </c>
    </row>
    <row r="297" ht="15.75" customHeight="1">
      <c r="A297" s="3" t="s">
        <v>67</v>
      </c>
      <c r="B297" s="33" t="s">
        <v>170</v>
      </c>
      <c r="C297" s="13">
        <f>SUMIFS('Campaign - Dump'!$N:$N,'Campaign - Dump'!$J:$J,'Portfolio Wise '!$B297,'Campaign - Dump'!$A:$A,'Portfolio Wise '!$A297)</f>
        <v>902</v>
      </c>
      <c r="D297" s="13">
        <f>SUMIFS('Campaign - Dump'!$O:$O,'Campaign - Dump'!$J:$J,'Portfolio Wise '!$B297,'Campaign - Dump'!$A:$A,'Portfolio Wise '!$A297)</f>
        <v>11</v>
      </c>
      <c r="E297" s="23">
        <f t="shared" si="2"/>
        <v>0.01219512195</v>
      </c>
      <c r="F297" s="36">
        <f>SUMIFS('Campaign - Dump'!$Q:$Q,'Campaign - Dump'!$J:$J,'Portfolio Wise '!$B297,'Campaign - Dump'!$A:$A,'Portfolio Wise '!$A297)</f>
        <v>111.56</v>
      </c>
      <c r="G297" s="38">
        <f t="shared" si="3"/>
        <v>10.14181818</v>
      </c>
      <c r="H297" s="41">
        <f>SUMIFS('Campaign - Dump'!$T:$T,'Campaign - Dump'!$J:$J,'Portfolio Wise '!$B297,'Campaign - Dump'!$A:$A,'Portfolio Wise '!$A297)</f>
        <v>0</v>
      </c>
      <c r="I297" s="23">
        <f t="shared" si="4"/>
        <v>0</v>
      </c>
      <c r="J297" s="36">
        <f>SUMIFS('Campaign - Dump'!$U:$U,'Campaign - Dump'!$J:$J,'Portfolio Wise '!$B297,'Campaign - Dump'!$A:$A,'Portfolio Wise '!$A297)</f>
        <v>0</v>
      </c>
      <c r="K297" s="23">
        <f t="shared" si="5"/>
        <v>0</v>
      </c>
      <c r="L297" s="38">
        <f t="shared" si="6"/>
        <v>0</v>
      </c>
      <c r="M297" s="41">
        <f t="shared" si="7"/>
        <v>0</v>
      </c>
      <c r="N297" s="13">
        <f t="shared" si="423"/>
        <v>3</v>
      </c>
      <c r="O297" s="36">
        <f t="shared" si="424"/>
        <v>22627.11864</v>
      </c>
      <c r="P297" s="41">
        <f t="shared" si="8"/>
        <v>7542.372881</v>
      </c>
      <c r="Q297" s="13">
        <f>SUMIFS('Business - Dump'!$W:$W,'Business - Dump'!$B:$B,'Portfolio Wise '!$B297,'Business - Dump'!$A:$A,'Portfolio Wise '!$A297)</f>
        <v>3</v>
      </c>
      <c r="R297" s="36">
        <f>SUMIFS('Business - Dump'!$U:$U,'Business - Dump'!$B:$B,'Portfolio Wise '!$B297,'Business - Dump'!$A:$A,'Portfolio Wise '!$A297)/1.18</f>
        <v>22627.11864</v>
      </c>
      <c r="S297" s="41">
        <f t="shared" si="9"/>
        <v>7542.372881</v>
      </c>
      <c r="T297" s="23">
        <f t="shared" si="10"/>
        <v>0.004930367041</v>
      </c>
      <c r="U297" s="38">
        <f t="shared" si="11"/>
        <v>202.8246562</v>
      </c>
      <c r="V297" s="41">
        <f>SUMIFS('Business - Dump'!$G:$G,'Business - Dump'!$B:$B,'Portfolio Wise '!$B297,'Business - Dump'!$A:$A,'Portfolio Wise '!$A297)</f>
        <v>343</v>
      </c>
      <c r="W297" s="48">
        <f t="shared" si="12"/>
        <v>0.008746355685</v>
      </c>
      <c r="X297" s="23">
        <f t="shared" ref="X297:Y297" si="428">IFERROR(N297/Q297,0)</f>
        <v>1</v>
      </c>
      <c r="Y297" s="49">
        <f t="shared" si="428"/>
        <v>1</v>
      </c>
      <c r="Z297" s="49">
        <f t="shared" si="14"/>
        <v>0</v>
      </c>
      <c r="AA297" s="23">
        <f t="shared" si="15"/>
        <v>1</v>
      </c>
      <c r="AB297" s="23">
        <f>IFERROR(AVERAGEIFS('Business - Dump'!$O:$O,'Business - Dump'!$B:$B,'Portfolio Wise '!$B297,'Business - Dump'!$A:$A,'Portfolio Wise '!$A297),0)</f>
        <v>0.92205</v>
      </c>
      <c r="AC297" s="49">
        <f>F297/SUMIFS('Campaign - Dump'!$Q:$Q,'Campaign - Dump'!$A:$A,'Portfolio Wise '!$A297)</f>
        <v>0.0001627548579</v>
      </c>
      <c r="AD297" s="49">
        <f t="shared" si="16"/>
        <v>0</v>
      </c>
    </row>
    <row r="298" ht="15.75" customHeight="1">
      <c r="A298" s="3" t="s">
        <v>67</v>
      </c>
      <c r="B298" s="51" t="s">
        <v>176</v>
      </c>
      <c r="C298" s="13">
        <f>SUMIFS('Campaign - Dump'!$N:$N,'Campaign - Dump'!$J:$J,'Portfolio Wise '!$B298,'Campaign - Dump'!$A:$A,'Portfolio Wise '!$A298)</f>
        <v>1603</v>
      </c>
      <c r="D298" s="13">
        <f>SUMIFS('Campaign - Dump'!$O:$O,'Campaign - Dump'!$J:$J,'Portfolio Wise '!$B298,'Campaign - Dump'!$A:$A,'Portfolio Wise '!$A298)</f>
        <v>11</v>
      </c>
      <c r="E298" s="23">
        <f t="shared" si="2"/>
        <v>0.0068621335</v>
      </c>
      <c r="F298" s="36">
        <f>SUMIFS('Campaign - Dump'!$Q:$Q,'Campaign - Dump'!$J:$J,'Portfolio Wise '!$B298,'Campaign - Dump'!$A:$A,'Portfolio Wise '!$A298)</f>
        <v>137.62</v>
      </c>
      <c r="G298" s="38">
        <f t="shared" si="3"/>
        <v>12.51090909</v>
      </c>
      <c r="H298" s="41">
        <f>SUMIFS('Campaign - Dump'!$T:$T,'Campaign - Dump'!$J:$J,'Portfolio Wise '!$B298,'Campaign - Dump'!$A:$A,'Portfolio Wise '!$A298)</f>
        <v>0</v>
      </c>
      <c r="I298" s="23">
        <f t="shared" si="4"/>
        <v>0</v>
      </c>
      <c r="J298" s="36">
        <f>SUMIFS('Campaign - Dump'!$U:$U,'Campaign - Dump'!$J:$J,'Portfolio Wise '!$B298,'Campaign - Dump'!$A:$A,'Portfolio Wise '!$A298)</f>
        <v>0</v>
      </c>
      <c r="K298" s="23">
        <f t="shared" si="5"/>
        <v>0</v>
      </c>
      <c r="L298" s="38">
        <f t="shared" si="6"/>
        <v>0</v>
      </c>
      <c r="M298" s="41">
        <f t="shared" si="7"/>
        <v>0</v>
      </c>
      <c r="N298" s="13">
        <f t="shared" si="423"/>
        <v>20</v>
      </c>
      <c r="O298" s="36">
        <f t="shared" si="424"/>
        <v>401717.7966</v>
      </c>
      <c r="P298" s="41">
        <f t="shared" si="8"/>
        <v>20085.88983</v>
      </c>
      <c r="Q298" s="13">
        <f>SUMIFS('Business - Dump'!$W:$W,'Business - Dump'!$B:$B,'Portfolio Wise '!$B298,'Business - Dump'!$A:$A,'Portfolio Wise '!$A298)</f>
        <v>20</v>
      </c>
      <c r="R298" s="36">
        <f>SUMIFS('Business - Dump'!$U:$U,'Business - Dump'!$B:$B,'Portfolio Wise '!$B298,'Business - Dump'!$A:$A,'Portfolio Wise '!$A298)/1.18</f>
        <v>401717.7966</v>
      </c>
      <c r="S298" s="41">
        <f t="shared" si="9"/>
        <v>20085.88983</v>
      </c>
      <c r="T298" s="23">
        <f t="shared" si="10"/>
        <v>0.0003425787983</v>
      </c>
      <c r="U298" s="38">
        <f t="shared" si="11"/>
        <v>2919.036453</v>
      </c>
      <c r="V298" s="41">
        <f>SUMIFS('Business - Dump'!$G:$G,'Business - Dump'!$B:$B,'Portfolio Wise '!$B298,'Business - Dump'!$A:$A,'Portfolio Wise '!$A298)</f>
        <v>5082</v>
      </c>
      <c r="W298" s="48">
        <f t="shared" si="12"/>
        <v>0.003935458481</v>
      </c>
      <c r="X298" s="23">
        <f t="shared" ref="X298:Y298" si="429">IFERROR(N298/Q298,0)</f>
        <v>1</v>
      </c>
      <c r="Y298" s="49">
        <f t="shared" si="429"/>
        <v>1</v>
      </c>
      <c r="Z298" s="49">
        <f t="shared" si="14"/>
        <v>0</v>
      </c>
      <c r="AA298" s="23">
        <f t="shared" si="15"/>
        <v>1</v>
      </c>
      <c r="AB298" s="23">
        <f>IFERROR(AVERAGEIFS('Business - Dump'!$O:$O,'Business - Dump'!$B:$B,'Portfolio Wise '!$B298,'Business - Dump'!$A:$A,'Portfolio Wise '!$A298),0)</f>
        <v>0.87375</v>
      </c>
      <c r="AC298" s="49">
        <f>F298/SUMIFS('Campaign - Dump'!$Q:$Q,'Campaign - Dump'!$A:$A,'Portfolio Wise '!$A298)</f>
        <v>0.0002007737858</v>
      </c>
      <c r="AD298" s="49">
        <f t="shared" si="16"/>
        <v>0</v>
      </c>
    </row>
    <row r="299" ht="15.75" customHeight="1">
      <c r="A299" s="3" t="s">
        <v>67</v>
      </c>
      <c r="B299" s="100" t="s">
        <v>182</v>
      </c>
      <c r="C299" s="13">
        <f>SUMIFS('Campaign - Dump'!$N:$N,'Campaign - Dump'!$J:$J,'Portfolio Wise '!$B299,'Campaign - Dump'!$A:$A,'Portfolio Wise '!$A299)</f>
        <v>0</v>
      </c>
      <c r="D299" s="13">
        <f>SUMIFS('Campaign - Dump'!$O:$O,'Campaign - Dump'!$J:$J,'Portfolio Wise '!$B299,'Campaign - Dump'!$A:$A,'Portfolio Wise '!$A299)</f>
        <v>0</v>
      </c>
      <c r="E299" s="23">
        <f t="shared" si="2"/>
        <v>0</v>
      </c>
      <c r="F299" s="36">
        <f>SUMIFS('Campaign - Dump'!$Q:$Q,'Campaign - Dump'!$J:$J,'Portfolio Wise '!$B299,'Campaign - Dump'!$A:$A,'Portfolio Wise '!$A299)</f>
        <v>0</v>
      </c>
      <c r="G299" s="38">
        <f t="shared" si="3"/>
        <v>0</v>
      </c>
      <c r="H299" s="41">
        <f>SUMIFS('Campaign - Dump'!$T:$T,'Campaign - Dump'!$J:$J,'Portfolio Wise '!$B299,'Campaign - Dump'!$A:$A,'Portfolio Wise '!$A299)</f>
        <v>0</v>
      </c>
      <c r="I299" s="23">
        <f t="shared" si="4"/>
        <v>0</v>
      </c>
      <c r="J299" s="36">
        <f>SUMIFS('Campaign - Dump'!$U:$U,'Campaign - Dump'!$J:$J,'Portfolio Wise '!$B299,'Campaign - Dump'!$A:$A,'Portfolio Wise '!$A299)</f>
        <v>0</v>
      </c>
      <c r="K299" s="23">
        <f t="shared" si="5"/>
        <v>0</v>
      </c>
      <c r="L299" s="38">
        <f t="shared" si="6"/>
        <v>0</v>
      </c>
      <c r="M299" s="41">
        <f t="shared" si="7"/>
        <v>0</v>
      </c>
      <c r="N299" s="13">
        <f t="shared" si="423"/>
        <v>3</v>
      </c>
      <c r="O299" s="36">
        <f t="shared" si="424"/>
        <v>90078.88136</v>
      </c>
      <c r="P299" s="41">
        <f t="shared" si="8"/>
        <v>30026.29379</v>
      </c>
      <c r="Q299" s="13">
        <f>SUMIFS('Business - Dump'!$W:$W,'Business - Dump'!$B:$B,'Portfolio Wise '!$B299,'Business - Dump'!$A:$A,'Portfolio Wise '!$A299)</f>
        <v>3</v>
      </c>
      <c r="R299" s="36">
        <f>SUMIFS('Business - Dump'!$U:$U,'Business - Dump'!$B:$B,'Portfolio Wise '!$B299,'Business - Dump'!$A:$A,'Portfolio Wise '!$A299)/1.18</f>
        <v>90078.88136</v>
      </c>
      <c r="S299" s="41">
        <f t="shared" si="9"/>
        <v>30026.29379</v>
      </c>
      <c r="T299" s="23">
        <f t="shared" si="10"/>
        <v>0</v>
      </c>
      <c r="U299" s="38">
        <f t="shared" si="11"/>
        <v>0</v>
      </c>
      <c r="V299" s="41">
        <f>SUMIFS('Business - Dump'!$G:$G,'Business - Dump'!$B:$B,'Portfolio Wise '!$B299,'Business - Dump'!$A:$A,'Portfolio Wise '!$A299)</f>
        <v>1761</v>
      </c>
      <c r="W299" s="23">
        <f t="shared" si="12"/>
        <v>0.001703577513</v>
      </c>
      <c r="X299" s="23">
        <f t="shared" ref="X299:Y299" si="430">IFERROR(N299/Q299,0)</f>
        <v>1</v>
      </c>
      <c r="Y299" s="49">
        <f t="shared" si="430"/>
        <v>1</v>
      </c>
      <c r="Z299" s="49">
        <f t="shared" si="14"/>
        <v>0</v>
      </c>
      <c r="AA299" s="23">
        <f t="shared" si="15"/>
        <v>1</v>
      </c>
      <c r="AB299" s="23">
        <f>IFERROR(AVERAGEIFS('Business - Dump'!$O:$O,'Business - Dump'!$B:$B,'Portfolio Wise '!$B299,'Business - Dump'!$A:$A,'Portfolio Wise '!$A299),0)</f>
        <v>0.91802</v>
      </c>
      <c r="AC299" s="49">
        <f>F299/SUMIFS('Campaign - Dump'!$Q:$Q,'Campaign - Dump'!$A:$A,'Portfolio Wise '!$A299)</f>
        <v>0</v>
      </c>
      <c r="AD299" s="49">
        <f t="shared" si="16"/>
        <v>0</v>
      </c>
    </row>
    <row r="300" ht="15.75" customHeight="1">
      <c r="A300" s="3" t="s">
        <v>67</v>
      </c>
      <c r="B300" s="19" t="s">
        <v>196</v>
      </c>
      <c r="C300" s="13">
        <f>SUMIFS('Campaign - Dump'!$N:$N,'Campaign - Dump'!$J:$J,'Portfolio Wise '!$B300,'Campaign - Dump'!$A:$A,'Portfolio Wise '!$A300)</f>
        <v>176193</v>
      </c>
      <c r="D300" s="13">
        <f>SUMIFS('Campaign - Dump'!$O:$O,'Campaign - Dump'!$J:$J,'Portfolio Wise '!$B300,'Campaign - Dump'!$A:$A,'Portfolio Wise '!$A300)</f>
        <v>932</v>
      </c>
      <c r="E300" s="23">
        <f t="shared" si="2"/>
        <v>0.005289653959</v>
      </c>
      <c r="F300" s="36">
        <f>SUMIFS('Campaign - Dump'!$Q:$Q,'Campaign - Dump'!$J:$J,'Portfolio Wise '!$B300,'Campaign - Dump'!$A:$A,'Portfolio Wise '!$A300)</f>
        <v>25982.78</v>
      </c>
      <c r="G300" s="38">
        <f t="shared" si="3"/>
        <v>27.87851931</v>
      </c>
      <c r="H300" s="199">
        <f>SUMIFS('Campaign - Dump'!$T:$T,'Campaign - Dump'!$J:$J,'Portfolio Wise '!$B300,'Campaign - Dump'!$A:$A,'Portfolio Wise '!$A300)</f>
        <v>6</v>
      </c>
      <c r="I300" s="23">
        <f t="shared" si="4"/>
        <v>0.00643776824</v>
      </c>
      <c r="J300" s="36">
        <f>SUMIFS('Campaign - Dump'!$U:$U,'Campaign - Dump'!$J:$J,'Portfolio Wise '!$B300,'Campaign - Dump'!$A:$A,'Portfolio Wise '!$A300)</f>
        <v>112328.82</v>
      </c>
      <c r="K300" s="23">
        <f t="shared" si="5"/>
        <v>0.2313100057</v>
      </c>
      <c r="L300" s="38">
        <f t="shared" si="6"/>
        <v>4.323202521</v>
      </c>
      <c r="M300" s="41">
        <f t="shared" si="7"/>
        <v>18721.47</v>
      </c>
      <c r="N300" s="13">
        <v>0.0</v>
      </c>
      <c r="O300" s="36">
        <v>0.0</v>
      </c>
      <c r="P300" s="41">
        <f t="shared" si="8"/>
        <v>0</v>
      </c>
      <c r="Q300" s="13">
        <f>SUMIFS('Business - Dump'!$W:$W,'Business - Dump'!$B:$B,'Portfolio Wise '!$B300,'Business - Dump'!$A:$A,'Portfolio Wise '!$A300)</f>
        <v>0</v>
      </c>
      <c r="R300" s="36">
        <f>SUMIFS('Business - Dump'!$U:$U,'Business - Dump'!$B:$B,'Portfolio Wise '!$B300,'Business - Dump'!$A:$A,'Portfolio Wise '!$A300)/1.18</f>
        <v>0</v>
      </c>
      <c r="S300" s="41">
        <f t="shared" si="9"/>
        <v>0</v>
      </c>
      <c r="T300" s="23">
        <f t="shared" si="10"/>
        <v>0</v>
      </c>
      <c r="U300" s="38">
        <f t="shared" si="11"/>
        <v>0</v>
      </c>
      <c r="V300" s="41">
        <f>SUMIFS('Business - Dump'!$G:$G,'Business - Dump'!$B:$B,'Portfolio Wise '!$B300,'Business - Dump'!$A:$A,'Portfolio Wise '!$A300)</f>
        <v>0</v>
      </c>
      <c r="W300" s="48">
        <f t="shared" si="12"/>
        <v>0</v>
      </c>
      <c r="X300" s="23">
        <f t="shared" ref="X300:Y300" si="431">IFERROR(N300/Q300,0)</f>
        <v>0</v>
      </c>
      <c r="Y300" s="49">
        <f t="shared" si="431"/>
        <v>0</v>
      </c>
      <c r="Z300" s="49">
        <f t="shared" si="14"/>
        <v>0</v>
      </c>
      <c r="AA300" s="23">
        <f t="shared" si="15"/>
        <v>0</v>
      </c>
      <c r="AB300" s="23">
        <f>IFERROR(AVERAGEIFS('Business - Dump'!$O:$O,'Business - Dump'!$B:$B,'Portfolio Wise '!$B300,'Business - Dump'!$A:$A,'Portfolio Wise '!$A300),0)</f>
        <v>0</v>
      </c>
      <c r="AC300" s="49">
        <f>F300/SUMIFS('Campaign - Dump'!$Q:$Q,'Campaign - Dump'!$A:$A,'Portfolio Wise '!$A300)</f>
        <v>0.03790627167</v>
      </c>
      <c r="AD300" s="49">
        <f t="shared" si="16"/>
        <v>0</v>
      </c>
    </row>
    <row r="301" ht="15.75" customHeight="1">
      <c r="A301" s="3" t="s">
        <v>67</v>
      </c>
      <c r="B301" s="19" t="s">
        <v>205</v>
      </c>
      <c r="C301" s="13">
        <f>SUMIFS('Campaign - Dump'!$N:$N,'Campaign - Dump'!$J:$J,'Portfolio Wise '!$B301,'Campaign - Dump'!$A:$A,'Portfolio Wise '!$A301)</f>
        <v>488</v>
      </c>
      <c r="D301" s="13">
        <f>SUMIFS('Campaign - Dump'!$O:$O,'Campaign - Dump'!$J:$J,'Portfolio Wise '!$B301,'Campaign - Dump'!$A:$A,'Portfolio Wise '!$A301)</f>
        <v>1</v>
      </c>
      <c r="E301" s="23">
        <f t="shared" si="2"/>
        <v>0.002049180328</v>
      </c>
      <c r="F301" s="36">
        <f>SUMIFS('Campaign - Dump'!$Q:$Q,'Campaign - Dump'!$J:$J,'Portfolio Wise '!$B301,'Campaign - Dump'!$A:$A,'Portfolio Wise '!$A301)</f>
        <v>46.86</v>
      </c>
      <c r="G301" s="38">
        <f t="shared" si="3"/>
        <v>46.86</v>
      </c>
      <c r="H301" s="41">
        <f>SUMIFS('Campaign - Dump'!$T:$T,'Campaign - Dump'!$J:$J,'Portfolio Wise '!$B301,'Campaign - Dump'!$A:$A,'Portfolio Wise '!$A301)</f>
        <v>0</v>
      </c>
      <c r="I301" s="23">
        <f t="shared" si="4"/>
        <v>0</v>
      </c>
      <c r="J301" s="36">
        <f>SUMIFS('Campaign - Dump'!$U:$U,'Campaign - Dump'!$J:$J,'Portfolio Wise '!$B301,'Campaign - Dump'!$A:$A,'Portfolio Wise '!$A301)</f>
        <v>0</v>
      </c>
      <c r="K301" s="23">
        <f t="shared" si="5"/>
        <v>0</v>
      </c>
      <c r="L301" s="38">
        <f t="shared" si="6"/>
        <v>0</v>
      </c>
      <c r="M301" s="41">
        <f t="shared" si="7"/>
        <v>0</v>
      </c>
      <c r="N301" s="13">
        <f t="shared" ref="N301:N306" si="433">IFERROR(Q301-H301,0)</f>
        <v>12</v>
      </c>
      <c r="O301" s="36">
        <f t="shared" ref="O301:O306" si="434">IFERROR(R301-J301,0)</f>
        <v>404998.0339</v>
      </c>
      <c r="P301" s="41">
        <f t="shared" si="8"/>
        <v>33749.83616</v>
      </c>
      <c r="Q301" s="13">
        <f>SUMIFS('Business - Dump'!$W:$W,'Business - Dump'!$B:$B,'Portfolio Wise '!$B301,'Business - Dump'!$A:$A,'Portfolio Wise '!$A301)</f>
        <v>12</v>
      </c>
      <c r="R301" s="36">
        <f>SUMIFS('Business - Dump'!$U:$U,'Business - Dump'!$B:$B,'Portfolio Wise '!$B301,'Business - Dump'!$A:$A,'Portfolio Wise '!$A301)/1.18</f>
        <v>404998.0339</v>
      </c>
      <c r="S301" s="41">
        <f t="shared" si="9"/>
        <v>33749.83616</v>
      </c>
      <c r="T301" s="23">
        <f t="shared" si="10"/>
        <v>0.0001157042654</v>
      </c>
      <c r="U301" s="38">
        <f t="shared" si="11"/>
        <v>8642.723728</v>
      </c>
      <c r="V301" s="41">
        <f>SUMIFS('Business - Dump'!$G:$G,'Business - Dump'!$B:$B,'Portfolio Wise '!$B301,'Business - Dump'!$A:$A,'Portfolio Wise '!$A301)</f>
        <v>2790</v>
      </c>
      <c r="W301" s="48">
        <f t="shared" si="12"/>
        <v>0.004301075269</v>
      </c>
      <c r="X301" s="23">
        <f t="shared" ref="X301:Y301" si="432">IFERROR(N301/Q301,0)</f>
        <v>1</v>
      </c>
      <c r="Y301" s="49">
        <f t="shared" si="432"/>
        <v>1</v>
      </c>
      <c r="Z301" s="49">
        <f t="shared" si="14"/>
        <v>0</v>
      </c>
      <c r="AA301" s="23">
        <f t="shared" si="15"/>
        <v>1</v>
      </c>
      <c r="AB301" s="23">
        <f>IFERROR(AVERAGEIFS('Business - Dump'!$O:$O,'Business - Dump'!$B:$B,'Portfolio Wise '!$B301,'Business - Dump'!$A:$A,'Portfolio Wise '!$A301),0)</f>
        <v>0.9166777778</v>
      </c>
      <c r="AC301" s="49">
        <f>F301/SUMIFS('Campaign - Dump'!$Q:$Q,'Campaign - Dump'!$A:$A,'Portfolio Wise '!$A301)</f>
        <v>0.00006836404305</v>
      </c>
      <c r="AD301" s="49">
        <f t="shared" si="16"/>
        <v>0</v>
      </c>
    </row>
    <row r="302" ht="15.75" customHeight="1">
      <c r="A302" s="3" t="s">
        <v>67</v>
      </c>
      <c r="B302" s="10" t="s">
        <v>211</v>
      </c>
      <c r="C302" s="13">
        <f>SUMIFS('Campaign - Dump'!$N:$N,'Campaign - Dump'!$J:$J,'Portfolio Wise '!$B302,'Campaign - Dump'!$A:$A,'Portfolio Wise '!$A302)</f>
        <v>1187364</v>
      </c>
      <c r="D302" s="13">
        <f>SUMIFS('Campaign - Dump'!$O:$O,'Campaign - Dump'!$J:$J,'Portfolio Wise '!$B302,'Campaign - Dump'!$A:$A,'Portfolio Wise '!$A302)</f>
        <v>5856</v>
      </c>
      <c r="E302" s="23">
        <f t="shared" si="2"/>
        <v>0.004931933257</v>
      </c>
      <c r="F302" s="36">
        <f>SUMIFS('Campaign - Dump'!$Q:$Q,'Campaign - Dump'!$J:$J,'Portfolio Wise '!$B302,'Campaign - Dump'!$A:$A,'Portfolio Wise '!$A302)</f>
        <v>40406.83</v>
      </c>
      <c r="G302" s="38">
        <f t="shared" si="3"/>
        <v>6.900073429</v>
      </c>
      <c r="H302" s="41">
        <f>SUMIFS('Campaign - Dump'!$T:$T,'Campaign - Dump'!$J:$J,'Portfolio Wise '!$B302,'Campaign - Dump'!$A:$A,'Portfolio Wise '!$A302)</f>
        <v>66</v>
      </c>
      <c r="I302" s="23">
        <f t="shared" si="4"/>
        <v>0.0112704918</v>
      </c>
      <c r="J302" s="36">
        <f>SUMIFS('Campaign - Dump'!$U:$U,'Campaign - Dump'!$J:$J,'Portfolio Wise '!$B302,'Campaign - Dump'!$A:$A,'Portfolio Wise '!$A302)</f>
        <v>286458.46</v>
      </c>
      <c r="K302" s="23">
        <f t="shared" si="5"/>
        <v>0.1410565078</v>
      </c>
      <c r="L302" s="38">
        <f t="shared" si="6"/>
        <v>7.089357418</v>
      </c>
      <c r="M302" s="41">
        <f t="shared" si="7"/>
        <v>4340.279697</v>
      </c>
      <c r="N302" s="13">
        <f t="shared" si="433"/>
        <v>95</v>
      </c>
      <c r="O302" s="36">
        <f t="shared" si="434"/>
        <v>9443.234915</v>
      </c>
      <c r="P302" s="41">
        <f t="shared" si="8"/>
        <v>99.40247279</v>
      </c>
      <c r="Q302" s="13">
        <f>SUMIFS('Business - Dump'!$W:$W,'Business - Dump'!$B:$B,'Portfolio Wise '!$B302,'Business - Dump'!$A:$A,'Portfolio Wise '!$A302)</f>
        <v>161</v>
      </c>
      <c r="R302" s="36">
        <f>SUMIFS('Business - Dump'!$U:$U,'Business - Dump'!$B:$B,'Portfolio Wise '!$B302,'Business - Dump'!$A:$A,'Portfolio Wise '!$A302)/1.18</f>
        <v>295901.6949</v>
      </c>
      <c r="S302" s="41">
        <f t="shared" si="9"/>
        <v>1837.898726</v>
      </c>
      <c r="T302" s="23">
        <f t="shared" si="10"/>
        <v>0.1365549123</v>
      </c>
      <c r="U302" s="38">
        <f t="shared" si="11"/>
        <v>7.323061347</v>
      </c>
      <c r="V302" s="41">
        <f>SUMIFS('Business - Dump'!$G:$G,'Business - Dump'!$B:$B,'Portfolio Wise '!$B302,'Business - Dump'!$A:$A,'Portfolio Wise '!$A302)</f>
        <v>13433</v>
      </c>
      <c r="W302" s="48">
        <f t="shared" si="12"/>
        <v>0.01198540907</v>
      </c>
      <c r="X302" s="23">
        <f t="shared" ref="X302:Y302" si="435">IFERROR(N302/Q302,0)</f>
        <v>0.5900621118</v>
      </c>
      <c r="Y302" s="49">
        <f t="shared" si="435"/>
        <v>0.03191341948</v>
      </c>
      <c r="Z302" s="49">
        <f t="shared" si="14"/>
        <v>0.4099378882</v>
      </c>
      <c r="AA302" s="23">
        <f t="shared" si="15"/>
        <v>0.03191341948</v>
      </c>
      <c r="AB302" s="23">
        <f>IFERROR(AVERAGEIFS('Business - Dump'!$O:$O,'Business - Dump'!$B:$B,'Portfolio Wise '!$B302,'Business - Dump'!$A:$A,'Portfolio Wise '!$A302),0)</f>
        <v>0.816525</v>
      </c>
      <c r="AC302" s="49">
        <f>F302/SUMIFS('Campaign - Dump'!$Q:$Q,'Campaign - Dump'!$A:$A,'Portfolio Wise '!$A302)</f>
        <v>0.05894951485</v>
      </c>
      <c r="AD302" s="49">
        <f t="shared" si="16"/>
        <v>1.439393939</v>
      </c>
    </row>
    <row r="303" ht="15.75" customHeight="1">
      <c r="A303" s="3" t="s">
        <v>67</v>
      </c>
      <c r="B303" s="19" t="s">
        <v>217</v>
      </c>
      <c r="C303" s="13">
        <f>SUMIFS('Campaign - Dump'!$N:$N,'Campaign - Dump'!$J:$J,'Portfolio Wise '!$B303,'Campaign - Dump'!$A:$A,'Portfolio Wise '!$A303)</f>
        <v>380327</v>
      </c>
      <c r="D303" s="13">
        <f>SUMIFS('Campaign - Dump'!$O:$O,'Campaign - Dump'!$J:$J,'Portfolio Wise '!$B303,'Campaign - Dump'!$A:$A,'Portfolio Wise '!$A303)</f>
        <v>1834</v>
      </c>
      <c r="E303" s="23">
        <f t="shared" si="2"/>
        <v>0.004822166189</v>
      </c>
      <c r="F303" s="36">
        <f>SUMIFS('Campaign - Dump'!$Q:$Q,'Campaign - Dump'!$J:$J,'Portfolio Wise '!$B303,'Campaign - Dump'!$A:$A,'Portfolio Wise '!$A303)</f>
        <v>8791.18</v>
      </c>
      <c r="G303" s="38">
        <f t="shared" si="3"/>
        <v>4.79344602</v>
      </c>
      <c r="H303" s="41">
        <f>SUMIFS('Campaign - Dump'!$T:$T,'Campaign - Dump'!$J:$J,'Portfolio Wise '!$B303,'Campaign - Dump'!$A:$A,'Portfolio Wise '!$A303)</f>
        <v>19</v>
      </c>
      <c r="I303" s="23">
        <f t="shared" si="4"/>
        <v>0.01035986914</v>
      </c>
      <c r="J303" s="36">
        <f>SUMIFS('Campaign - Dump'!$U:$U,'Campaign - Dump'!$J:$J,'Portfolio Wise '!$B303,'Campaign - Dump'!$A:$A,'Portfolio Wise '!$A303)</f>
        <v>46971.19</v>
      </c>
      <c r="K303" s="23">
        <f t="shared" si="5"/>
        <v>0.1871611088</v>
      </c>
      <c r="L303" s="38">
        <f t="shared" si="6"/>
        <v>5.342990361</v>
      </c>
      <c r="M303" s="41">
        <f t="shared" si="7"/>
        <v>2472.167895</v>
      </c>
      <c r="N303" s="13">
        <f t="shared" si="433"/>
        <v>0</v>
      </c>
      <c r="O303" s="36">
        <f t="shared" si="434"/>
        <v>-28597.46119</v>
      </c>
      <c r="P303" s="41">
        <f t="shared" si="8"/>
        <v>0</v>
      </c>
      <c r="Q303" s="13">
        <f>SUMIFS('Business - Dump'!$W:$W,'Business - Dump'!$B:$B,'Portfolio Wise '!$B303,'Business - Dump'!$A:$A,'Portfolio Wise '!$A303)</f>
        <v>19</v>
      </c>
      <c r="R303" s="36">
        <f>SUMIFS('Business - Dump'!$U:$U,'Business - Dump'!$B:$B,'Portfolio Wise '!$B303,'Business - Dump'!$A:$A,'Portfolio Wise '!$A303)/1.18</f>
        <v>18373.72881</v>
      </c>
      <c r="S303" s="41">
        <f t="shared" si="9"/>
        <v>967.0383586</v>
      </c>
      <c r="T303" s="23">
        <f t="shared" si="10"/>
        <v>0.4784646649</v>
      </c>
      <c r="U303" s="38">
        <f t="shared" si="11"/>
        <v>2.090018497</v>
      </c>
      <c r="V303" s="41">
        <f>SUMIFS('Business - Dump'!$G:$G,'Business - Dump'!$B:$B,'Portfolio Wise '!$B303,'Business - Dump'!$A:$A,'Portfolio Wise '!$A303)</f>
        <v>2465</v>
      </c>
      <c r="W303" s="48">
        <f t="shared" si="12"/>
        <v>0.007707910751</v>
      </c>
      <c r="X303" s="23">
        <f t="shared" ref="X303:Y303" si="436">IFERROR(N303/Q303,0)</f>
        <v>0</v>
      </c>
      <c r="Y303" s="49">
        <f t="shared" si="436"/>
        <v>-1.556432093</v>
      </c>
      <c r="Z303" s="49">
        <f t="shared" si="14"/>
        <v>1</v>
      </c>
      <c r="AA303" s="23">
        <f t="shared" si="15"/>
        <v>-1.556432093</v>
      </c>
      <c r="AB303" s="23">
        <f>IFERROR(AVERAGEIFS('Business - Dump'!$O:$O,'Business - Dump'!$B:$B,'Portfolio Wise '!$B303,'Business - Dump'!$A:$A,'Portfolio Wise '!$A303),0)</f>
        <v>1</v>
      </c>
      <c r="AC303" s="49">
        <f>F303/SUMIFS('Campaign - Dump'!$Q:$Q,'Campaign - Dump'!$A:$A,'Portfolio Wise '!$A303)</f>
        <v>0.01282545045</v>
      </c>
      <c r="AD303" s="49">
        <f t="shared" si="16"/>
        <v>0</v>
      </c>
    </row>
    <row r="304" ht="15.75" customHeight="1">
      <c r="A304" s="3" t="s">
        <v>67</v>
      </c>
      <c r="B304" s="33" t="s">
        <v>230</v>
      </c>
      <c r="C304" s="13">
        <f>SUMIFS('Campaign - Dump'!$N:$N,'Campaign - Dump'!$J:$J,'Portfolio Wise '!$B304,'Campaign - Dump'!$A:$A,'Portfolio Wise '!$A304)</f>
        <v>188746</v>
      </c>
      <c r="D304" s="13">
        <f>SUMIFS('Campaign - Dump'!$O:$O,'Campaign - Dump'!$J:$J,'Portfolio Wise '!$B304,'Campaign - Dump'!$A:$A,'Portfolio Wise '!$A304)</f>
        <v>404</v>
      </c>
      <c r="E304" s="23">
        <f t="shared" si="2"/>
        <v>0.002140442711</v>
      </c>
      <c r="F304" s="36">
        <f>SUMIFS('Campaign - Dump'!$Q:$Q,'Campaign - Dump'!$J:$J,'Portfolio Wise '!$B304,'Campaign - Dump'!$A:$A,'Portfolio Wise '!$A304)</f>
        <v>12416.94</v>
      </c>
      <c r="G304" s="38">
        <f t="shared" si="3"/>
        <v>30.735</v>
      </c>
      <c r="H304" s="41">
        <f>SUMIFS('Campaign - Dump'!$T:$T,'Campaign - Dump'!$J:$J,'Portfolio Wise '!$B304,'Campaign - Dump'!$A:$A,'Portfolio Wise '!$A304)</f>
        <v>2</v>
      </c>
      <c r="I304" s="23">
        <f t="shared" si="4"/>
        <v>0.00495049505</v>
      </c>
      <c r="J304" s="36">
        <f>SUMIFS('Campaign - Dump'!$U:$U,'Campaign - Dump'!$J:$J,'Portfolio Wise '!$B304,'Campaign - Dump'!$A:$A,'Portfolio Wise '!$A304)</f>
        <v>48050.84</v>
      </c>
      <c r="K304" s="23">
        <f t="shared" si="5"/>
        <v>0.258412548</v>
      </c>
      <c r="L304" s="38">
        <f t="shared" si="6"/>
        <v>3.869781122</v>
      </c>
      <c r="M304" s="41">
        <f t="shared" si="7"/>
        <v>24025.42</v>
      </c>
      <c r="N304" s="13">
        <f t="shared" si="433"/>
        <v>21</v>
      </c>
      <c r="O304" s="36">
        <f t="shared" si="434"/>
        <v>466121.7363</v>
      </c>
      <c r="P304" s="41">
        <f t="shared" si="8"/>
        <v>22196.27316</v>
      </c>
      <c r="Q304" s="13">
        <f>SUMIFS('Business - Dump'!$W:$W,'Business - Dump'!$B:$B,'Portfolio Wise '!$B304,'Business - Dump'!$A:$A,'Portfolio Wise '!$A304)</f>
        <v>23</v>
      </c>
      <c r="R304" s="36">
        <f>SUMIFS('Business - Dump'!$U:$U,'Business - Dump'!$B:$B,'Portfolio Wise '!$B304,'Business - Dump'!$A:$A,'Portfolio Wise '!$A304)/1.18</f>
        <v>514172.5763</v>
      </c>
      <c r="S304" s="41">
        <f t="shared" si="9"/>
        <v>22355.3294</v>
      </c>
      <c r="T304" s="23">
        <f t="shared" si="10"/>
        <v>0.02414936263</v>
      </c>
      <c r="U304" s="38">
        <f t="shared" si="11"/>
        <v>41.40896036</v>
      </c>
      <c r="V304" s="41">
        <f>SUMIFS('Business - Dump'!$G:$G,'Business - Dump'!$B:$B,'Portfolio Wise '!$B304,'Business - Dump'!$A:$A,'Portfolio Wise '!$A304)</f>
        <v>3475</v>
      </c>
      <c r="W304" s="23">
        <f t="shared" si="12"/>
        <v>0.006618705036</v>
      </c>
      <c r="X304" s="23">
        <f t="shared" ref="X304:Y304" si="437">IFERROR(N304/Q304,0)</f>
        <v>0.9130434783</v>
      </c>
      <c r="Y304" s="49">
        <f t="shared" si="437"/>
        <v>0.9065472524</v>
      </c>
      <c r="Z304" s="49">
        <f t="shared" si="14"/>
        <v>0.08695652174</v>
      </c>
      <c r="AA304" s="23">
        <f t="shared" si="15"/>
        <v>0.9065472524</v>
      </c>
      <c r="AB304" s="23">
        <f>IFERROR(AVERAGEIFS('Business - Dump'!$O:$O,'Business - Dump'!$B:$B,'Portfolio Wise '!$B304,'Business - Dump'!$A:$A,'Portfolio Wise '!$A304),0)</f>
        <v>0.904525</v>
      </c>
      <c r="AC304" s="49">
        <f>F304/SUMIFS('Campaign - Dump'!$Q:$Q,'Campaign - Dump'!$A:$A,'Portfolio Wise '!$A304)</f>
        <v>0.01811507086</v>
      </c>
      <c r="AD304" s="49">
        <f t="shared" si="16"/>
        <v>10.5</v>
      </c>
    </row>
    <row r="305" ht="15.75" customHeight="1">
      <c r="A305" s="3" t="s">
        <v>67</v>
      </c>
      <c r="B305" s="19" t="s">
        <v>232</v>
      </c>
      <c r="C305" s="13">
        <f>SUMIFS('Campaign - Dump'!$N:$N,'Campaign - Dump'!$J:$J,'Portfolio Wise '!$B305,'Campaign - Dump'!$A:$A,'Portfolio Wise '!$A305)</f>
        <v>327212</v>
      </c>
      <c r="D305" s="13">
        <f>SUMIFS('Campaign - Dump'!$O:$O,'Campaign - Dump'!$J:$J,'Portfolio Wise '!$B305,'Campaign - Dump'!$A:$A,'Portfolio Wise '!$A305)</f>
        <v>440</v>
      </c>
      <c r="E305" s="23">
        <f t="shared" si="2"/>
        <v>0.00134469396</v>
      </c>
      <c r="F305" s="36">
        <f>SUMIFS('Campaign - Dump'!$Q:$Q,'Campaign - Dump'!$J:$J,'Portfolio Wise '!$B305,'Campaign - Dump'!$A:$A,'Portfolio Wise '!$A305)</f>
        <v>12465.53</v>
      </c>
      <c r="G305" s="38">
        <f t="shared" si="3"/>
        <v>28.33075</v>
      </c>
      <c r="H305" s="41">
        <f>SUMIFS('Campaign - Dump'!$T:$T,'Campaign - Dump'!$J:$J,'Portfolio Wise '!$B305,'Campaign - Dump'!$A:$A,'Portfolio Wise '!$A305)</f>
        <v>2</v>
      </c>
      <c r="I305" s="23">
        <f t="shared" si="4"/>
        <v>0.004545454545</v>
      </c>
      <c r="J305" s="36">
        <f>SUMIFS('Campaign - Dump'!$U:$U,'Campaign - Dump'!$J:$J,'Portfolio Wise '!$B305,'Campaign - Dump'!$A:$A,'Portfolio Wise '!$A305)</f>
        <v>20338.14</v>
      </c>
      <c r="K305" s="23">
        <f t="shared" si="5"/>
        <v>0.6129139636</v>
      </c>
      <c r="L305" s="38">
        <f t="shared" si="6"/>
        <v>1.631550363</v>
      </c>
      <c r="M305" s="41">
        <f t="shared" si="7"/>
        <v>10169.07</v>
      </c>
      <c r="N305" s="13">
        <f t="shared" si="433"/>
        <v>8</v>
      </c>
      <c r="O305" s="36">
        <f t="shared" si="434"/>
        <v>138126.8092</v>
      </c>
      <c r="P305" s="41">
        <f t="shared" si="8"/>
        <v>17265.85114</v>
      </c>
      <c r="Q305" s="13">
        <f>SUMIFS('Business - Dump'!$W:$W,'Business - Dump'!$B:$B,'Portfolio Wise '!$B305,'Business - Dump'!$A:$A,'Portfolio Wise '!$A305)</f>
        <v>10</v>
      </c>
      <c r="R305" s="36">
        <f>SUMIFS('Business - Dump'!$U:$U,'Business - Dump'!$B:$B,'Portfolio Wise '!$B305,'Business - Dump'!$A:$A,'Portfolio Wise '!$A305)/1.18</f>
        <v>158464.9492</v>
      </c>
      <c r="S305" s="41">
        <f t="shared" si="9"/>
        <v>15846.49492</v>
      </c>
      <c r="T305" s="23">
        <f t="shared" si="10"/>
        <v>0.07866427287</v>
      </c>
      <c r="U305" s="38">
        <f t="shared" si="11"/>
        <v>12.71225124</v>
      </c>
      <c r="V305" s="41">
        <f>SUMIFS('Business - Dump'!$G:$G,'Business - Dump'!$B:$B,'Portfolio Wise '!$B305,'Business - Dump'!$A:$A,'Portfolio Wise '!$A305)</f>
        <v>4003</v>
      </c>
      <c r="W305" s="48">
        <f t="shared" si="12"/>
        <v>0.002498126405</v>
      </c>
      <c r="X305" s="23">
        <f t="shared" ref="X305:Y305" si="438">IFERROR(N305/Q305,0)</f>
        <v>0.8</v>
      </c>
      <c r="Y305" s="49">
        <f t="shared" si="438"/>
        <v>0.871655277</v>
      </c>
      <c r="Z305" s="49">
        <f t="shared" si="14"/>
        <v>0.2</v>
      </c>
      <c r="AA305" s="23">
        <f t="shared" si="15"/>
        <v>0.871655277</v>
      </c>
      <c r="AB305" s="23">
        <f>IFERROR(AVERAGEIFS('Business - Dump'!$O:$O,'Business - Dump'!$B:$B,'Portfolio Wise '!$B305,'Business - Dump'!$A:$A,'Portfolio Wise '!$A305),0)</f>
        <v>0.8746111111</v>
      </c>
      <c r="AC305" s="49">
        <f>F305/SUMIFS('Campaign - Dump'!$Q:$Q,'Campaign - Dump'!$A:$A,'Portfolio Wise '!$A305)</f>
        <v>0.0181859588</v>
      </c>
      <c r="AD305" s="49">
        <f t="shared" si="16"/>
        <v>4</v>
      </c>
    </row>
    <row r="306" ht="15.75" customHeight="1">
      <c r="A306" s="3" t="s">
        <v>67</v>
      </c>
      <c r="B306" s="10" t="s">
        <v>429</v>
      </c>
      <c r="C306" s="13">
        <f>SUMIFS('Campaign - Dump'!$N:$N,'Campaign - Dump'!$J:$J,'Portfolio Wise '!$B306,'Campaign - Dump'!$A:$A,'Portfolio Wise '!$A306)</f>
        <v>0</v>
      </c>
      <c r="D306" s="13">
        <f>SUMIFS('Campaign - Dump'!$O:$O,'Campaign - Dump'!$J:$J,'Portfolio Wise '!$B306,'Campaign - Dump'!$A:$A,'Portfolio Wise '!$A306)</f>
        <v>0</v>
      </c>
      <c r="E306" s="23">
        <f t="shared" si="2"/>
        <v>0</v>
      </c>
      <c r="F306" s="36">
        <f>SUMIFS('Campaign - Dump'!$Q:$Q,'Campaign - Dump'!$J:$J,'Portfolio Wise '!$B306,'Campaign - Dump'!$A:$A,'Portfolio Wise '!$A306)</f>
        <v>0</v>
      </c>
      <c r="G306" s="38">
        <f t="shared" si="3"/>
        <v>0</v>
      </c>
      <c r="H306" s="41">
        <f>SUMIFS('Campaign - Dump'!$T:$T,'Campaign - Dump'!$J:$J,'Portfolio Wise '!$B306,'Campaign - Dump'!$A:$A,'Portfolio Wise '!$A306)</f>
        <v>0</v>
      </c>
      <c r="I306" s="23">
        <f t="shared" si="4"/>
        <v>0</v>
      </c>
      <c r="J306" s="36">
        <f>SUMIFS('Campaign - Dump'!$U:$U,'Campaign - Dump'!$J:$J,'Portfolio Wise '!$B306,'Campaign - Dump'!$A:$A,'Portfolio Wise '!$A306)</f>
        <v>0</v>
      </c>
      <c r="K306" s="23">
        <f t="shared" si="5"/>
        <v>0</v>
      </c>
      <c r="L306" s="38">
        <f t="shared" si="6"/>
        <v>0</v>
      </c>
      <c r="M306" s="41">
        <f t="shared" si="7"/>
        <v>0</v>
      </c>
      <c r="N306" s="13">
        <f t="shared" si="433"/>
        <v>0</v>
      </c>
      <c r="O306" s="36">
        <f t="shared" si="434"/>
        <v>0</v>
      </c>
      <c r="P306" s="41">
        <f t="shared" si="8"/>
        <v>0</v>
      </c>
      <c r="Q306" s="13">
        <f>SUMIFS('Business - Dump'!$W:$W,'Business - Dump'!$B:$B,'Portfolio Wise '!$B306,'Business - Dump'!$A:$A,'Portfolio Wise '!$A306)</f>
        <v>0</v>
      </c>
      <c r="R306" s="36">
        <f>SUMIFS('Business - Dump'!$U:$U,'Business - Dump'!$B:$B,'Portfolio Wise '!$B306,'Business - Dump'!$A:$A,'Portfolio Wise '!$A306)/1.18</f>
        <v>0</v>
      </c>
      <c r="S306" s="41">
        <f t="shared" si="9"/>
        <v>0</v>
      </c>
      <c r="T306" s="23">
        <f t="shared" si="10"/>
        <v>0</v>
      </c>
      <c r="U306" s="38">
        <f t="shared" si="11"/>
        <v>0</v>
      </c>
      <c r="V306" s="41">
        <f>SUMIFS('Business - Dump'!$G:$G,'Business - Dump'!$B:$B,'Portfolio Wise '!$B306,'Business - Dump'!$A:$A,'Portfolio Wise '!$A306)</f>
        <v>0</v>
      </c>
      <c r="W306" s="48">
        <f t="shared" si="12"/>
        <v>0</v>
      </c>
      <c r="X306" s="23">
        <f t="shared" ref="X306:Y306" si="439">IFERROR(N306/Q306,0)</f>
        <v>0</v>
      </c>
      <c r="Y306" s="49">
        <f t="shared" si="439"/>
        <v>0</v>
      </c>
      <c r="Z306" s="49">
        <f t="shared" si="14"/>
        <v>0</v>
      </c>
      <c r="AA306" s="23">
        <f t="shared" si="15"/>
        <v>0</v>
      </c>
      <c r="AB306" s="23">
        <f>IFERROR(AVERAGEIFS('Business - Dump'!$O:$O,'Business - Dump'!$B:$B,'Portfolio Wise '!$B306,'Business - Dump'!$A:$A,'Portfolio Wise '!$A306),0)</f>
        <v>0</v>
      </c>
      <c r="AC306" s="49">
        <f>F306/SUMIFS('Campaign - Dump'!$Q:$Q,'Campaign - Dump'!$A:$A,'Portfolio Wise '!$A306)</f>
        <v>0</v>
      </c>
      <c r="AD306" s="49">
        <f t="shared" si="16"/>
        <v>0</v>
      </c>
    </row>
    <row r="307" ht="15.75" customHeight="1">
      <c r="A307" s="3" t="s">
        <v>67</v>
      </c>
      <c r="B307" s="51" t="s">
        <v>239</v>
      </c>
      <c r="C307" s="13">
        <f>SUMIFS('Campaign - Dump'!$N:$N,'Campaign - Dump'!$J:$J,'Portfolio Wise '!$B307,'Campaign - Dump'!$A:$A,'Portfolio Wise '!$A307)</f>
        <v>0</v>
      </c>
      <c r="D307" s="13">
        <f>SUMIFS('Campaign - Dump'!$O:$O,'Campaign - Dump'!$J:$J,'Portfolio Wise '!$B307,'Campaign - Dump'!$A:$A,'Portfolio Wise '!$A307)</f>
        <v>0</v>
      </c>
      <c r="E307" s="23">
        <f t="shared" si="2"/>
        <v>0</v>
      </c>
      <c r="F307" s="36">
        <f>SUMIFS('Campaign - Dump'!$Q:$Q,'Campaign - Dump'!$J:$J,'Portfolio Wise '!$B307,'Campaign - Dump'!$A:$A,'Portfolio Wise '!$A307)</f>
        <v>0</v>
      </c>
      <c r="G307" s="38">
        <f t="shared" si="3"/>
        <v>0</v>
      </c>
      <c r="H307" s="41">
        <f>SUMIFS('Campaign - Dump'!$T:$T,'Campaign - Dump'!$J:$J,'Portfolio Wise '!$B307,'Campaign - Dump'!$A:$A,'Portfolio Wise '!$A307)</f>
        <v>0</v>
      </c>
      <c r="I307" s="23">
        <f t="shared" si="4"/>
        <v>0</v>
      </c>
      <c r="J307" s="36">
        <f>SUMIFS('Campaign - Dump'!$U:$U,'Campaign - Dump'!$J:$J,'Portfolio Wise '!$B307,'Campaign - Dump'!$A:$A,'Portfolio Wise '!$A307)</f>
        <v>0</v>
      </c>
      <c r="K307" s="23">
        <f t="shared" si="5"/>
        <v>0</v>
      </c>
      <c r="L307" s="38">
        <f t="shared" si="6"/>
        <v>0</v>
      </c>
      <c r="M307" s="41">
        <f t="shared" si="7"/>
        <v>0</v>
      </c>
      <c r="N307" s="13">
        <v>0.0</v>
      </c>
      <c r="O307" s="36">
        <v>0.0</v>
      </c>
      <c r="P307" s="41">
        <f t="shared" si="8"/>
        <v>0</v>
      </c>
      <c r="Q307" s="13">
        <f>SUMIFS('Business - Dump'!$W:$W,'Business - Dump'!$B:$B,'Portfolio Wise '!$B307,'Business - Dump'!$A:$A,'Portfolio Wise '!$A307)</f>
        <v>0</v>
      </c>
      <c r="R307" s="36">
        <f>SUMIFS('Business - Dump'!$U:$U,'Business - Dump'!$B:$B,'Portfolio Wise '!$B307,'Business - Dump'!$A:$A,'Portfolio Wise '!$A307)/1.18</f>
        <v>0</v>
      </c>
      <c r="S307" s="41">
        <f t="shared" si="9"/>
        <v>0</v>
      </c>
      <c r="T307" s="23">
        <f t="shared" si="10"/>
        <v>0</v>
      </c>
      <c r="U307" s="38">
        <f t="shared" si="11"/>
        <v>0</v>
      </c>
      <c r="V307" s="41">
        <f>SUMIFS('Business - Dump'!$G:$G,'Business - Dump'!$B:$B,'Portfolio Wise '!$B307,'Business - Dump'!$A:$A,'Portfolio Wise '!$A307)</f>
        <v>0</v>
      </c>
      <c r="W307" s="48">
        <f t="shared" si="12"/>
        <v>0</v>
      </c>
      <c r="X307" s="23">
        <f t="shared" ref="X307:Y307" si="440">IFERROR(N307/Q307,0)</f>
        <v>0</v>
      </c>
      <c r="Y307" s="49">
        <f t="shared" si="440"/>
        <v>0</v>
      </c>
      <c r="Z307" s="49">
        <f t="shared" si="14"/>
        <v>0</v>
      </c>
      <c r="AA307" s="23">
        <f t="shared" si="15"/>
        <v>0</v>
      </c>
      <c r="AB307" s="23">
        <f>IFERROR(AVERAGEIFS('Business - Dump'!$O:$O,'Business - Dump'!$B:$B,'Portfolio Wise '!$B307,'Business - Dump'!$A:$A,'Portfolio Wise '!$A307),0)</f>
        <v>0</v>
      </c>
      <c r="AC307" s="49">
        <f>F307/SUMIFS('Campaign - Dump'!$Q:$Q,'Campaign - Dump'!$A:$A,'Portfolio Wise '!$A307)</f>
        <v>0</v>
      </c>
      <c r="AD307" s="49">
        <f t="shared" si="16"/>
        <v>0</v>
      </c>
    </row>
    <row r="308" ht="15.75" customHeight="1">
      <c r="A308" s="3" t="s">
        <v>67</v>
      </c>
      <c r="B308" s="19" t="s">
        <v>240</v>
      </c>
      <c r="C308" s="13">
        <f>SUMIFS('Campaign - Dump'!$N:$N,'Campaign - Dump'!$J:$J,'Portfolio Wise '!$B308,'Campaign - Dump'!$A:$A,'Portfolio Wise '!$A308)</f>
        <v>0</v>
      </c>
      <c r="D308" s="13">
        <f>SUMIFS('Campaign - Dump'!$O:$O,'Campaign - Dump'!$J:$J,'Portfolio Wise '!$B308,'Campaign - Dump'!$A:$A,'Portfolio Wise '!$A308)</f>
        <v>0</v>
      </c>
      <c r="E308" s="23">
        <f t="shared" si="2"/>
        <v>0</v>
      </c>
      <c r="F308" s="36">
        <f>SUMIFS('Campaign - Dump'!$Q:$Q,'Campaign - Dump'!$J:$J,'Portfolio Wise '!$B308,'Campaign - Dump'!$A:$A,'Portfolio Wise '!$A308)</f>
        <v>0</v>
      </c>
      <c r="G308" s="38">
        <f t="shared" si="3"/>
        <v>0</v>
      </c>
      <c r="H308" s="41">
        <f>SUMIFS('Campaign - Dump'!$T:$T,'Campaign - Dump'!$J:$J,'Portfolio Wise '!$B308,'Campaign - Dump'!$A:$A,'Portfolio Wise '!$A308)</f>
        <v>0</v>
      </c>
      <c r="I308" s="23">
        <f t="shared" si="4"/>
        <v>0</v>
      </c>
      <c r="J308" s="36">
        <f>SUMIFS('Campaign - Dump'!$U:$U,'Campaign - Dump'!$J:$J,'Portfolio Wise '!$B308,'Campaign - Dump'!$A:$A,'Portfolio Wise '!$A308)</f>
        <v>0</v>
      </c>
      <c r="K308" s="23">
        <f t="shared" si="5"/>
        <v>0</v>
      </c>
      <c r="L308" s="38">
        <f t="shared" si="6"/>
        <v>0</v>
      </c>
      <c r="M308" s="41">
        <f t="shared" si="7"/>
        <v>0</v>
      </c>
      <c r="N308" s="13">
        <f t="shared" ref="N308:N311" si="442">IFERROR(Q308-H308,0)</f>
        <v>0</v>
      </c>
      <c r="O308" s="36">
        <f t="shared" ref="O308:O311" si="443">IFERROR(R308-J308,0)</f>
        <v>0</v>
      </c>
      <c r="P308" s="41">
        <f t="shared" si="8"/>
        <v>0</v>
      </c>
      <c r="Q308" s="13">
        <f>SUMIFS('Business - Dump'!$W:$W,'Business - Dump'!$B:$B,'Portfolio Wise '!$B308,'Business - Dump'!$A:$A,'Portfolio Wise '!$A308)</f>
        <v>0</v>
      </c>
      <c r="R308" s="36">
        <f>SUMIFS('Business - Dump'!$U:$U,'Business - Dump'!$B:$B,'Portfolio Wise '!$B308,'Business - Dump'!$A:$A,'Portfolio Wise '!$A308)/1.18</f>
        <v>0</v>
      </c>
      <c r="S308" s="41">
        <f t="shared" si="9"/>
        <v>0</v>
      </c>
      <c r="T308" s="23">
        <f t="shared" si="10"/>
        <v>0</v>
      </c>
      <c r="U308" s="38">
        <f t="shared" si="11"/>
        <v>0</v>
      </c>
      <c r="V308" s="41">
        <f>SUMIFS('Business - Dump'!$G:$G,'Business - Dump'!$B:$B,'Portfolio Wise '!$B308,'Business - Dump'!$A:$A,'Portfolio Wise '!$A308)</f>
        <v>0</v>
      </c>
      <c r="W308" s="48">
        <f t="shared" si="12"/>
        <v>0</v>
      </c>
      <c r="X308" s="23">
        <f t="shared" ref="X308:Y308" si="441">IFERROR(N308/Q308,0)</f>
        <v>0</v>
      </c>
      <c r="Y308" s="49">
        <f t="shared" si="441"/>
        <v>0</v>
      </c>
      <c r="Z308" s="49">
        <f t="shared" si="14"/>
        <v>0</v>
      </c>
      <c r="AA308" s="23">
        <f t="shared" si="15"/>
        <v>0</v>
      </c>
      <c r="AB308" s="23">
        <f>IFERROR(AVERAGEIFS('Business - Dump'!$O:$O,'Business - Dump'!$B:$B,'Portfolio Wise '!$B308,'Business - Dump'!$A:$A,'Portfolio Wise '!$A308),0)</f>
        <v>0</v>
      </c>
      <c r="AC308" s="49">
        <f>F308/SUMIFS('Campaign - Dump'!$Q:$Q,'Campaign - Dump'!$A:$A,'Portfolio Wise '!$A308)</f>
        <v>0</v>
      </c>
      <c r="AD308" s="49">
        <f t="shared" si="16"/>
        <v>0</v>
      </c>
    </row>
    <row r="309" ht="15.75" customHeight="1">
      <c r="A309" s="3" t="s">
        <v>67</v>
      </c>
      <c r="B309" s="10" t="s">
        <v>241</v>
      </c>
      <c r="C309" s="13">
        <f>SUMIFS('Campaign - Dump'!$N:$N,'Campaign - Dump'!$J:$J,'Portfolio Wise '!$B309,'Campaign - Dump'!$A:$A,'Portfolio Wise '!$A309)</f>
        <v>144736</v>
      </c>
      <c r="D309" s="13">
        <f>SUMIFS('Campaign - Dump'!$O:$O,'Campaign - Dump'!$J:$J,'Portfolio Wise '!$B309,'Campaign - Dump'!$A:$A,'Portfolio Wise '!$A309)</f>
        <v>359</v>
      </c>
      <c r="E309" s="23">
        <f t="shared" si="2"/>
        <v>0.002480378068</v>
      </c>
      <c r="F309" s="36">
        <f>SUMIFS('Campaign - Dump'!$Q:$Q,'Campaign - Dump'!$J:$J,'Portfolio Wise '!$B309,'Campaign - Dump'!$A:$A,'Portfolio Wise '!$A309)</f>
        <v>4177.69</v>
      </c>
      <c r="G309" s="38">
        <f t="shared" si="3"/>
        <v>11.6370195</v>
      </c>
      <c r="H309" s="41">
        <f>SUMIFS('Campaign - Dump'!$T:$T,'Campaign - Dump'!$J:$J,'Portfolio Wise '!$B309,'Campaign - Dump'!$A:$A,'Portfolio Wise '!$A309)</f>
        <v>5</v>
      </c>
      <c r="I309" s="23">
        <f t="shared" si="4"/>
        <v>0.0139275766</v>
      </c>
      <c r="J309" s="36">
        <f>SUMIFS('Campaign - Dump'!$U:$U,'Campaign - Dump'!$J:$J,'Portfolio Wise '!$B309,'Campaign - Dump'!$A:$A,'Portfolio Wise '!$A309)</f>
        <v>9065.27</v>
      </c>
      <c r="K309" s="23">
        <f t="shared" si="5"/>
        <v>0.4608456229</v>
      </c>
      <c r="L309" s="38">
        <f t="shared" si="6"/>
        <v>2.169924049</v>
      </c>
      <c r="M309" s="41">
        <f t="shared" si="7"/>
        <v>1813.054</v>
      </c>
      <c r="N309" s="13">
        <f t="shared" si="442"/>
        <v>0</v>
      </c>
      <c r="O309" s="36">
        <f t="shared" si="443"/>
        <v>1103.374068</v>
      </c>
      <c r="P309" s="41">
        <f t="shared" si="8"/>
        <v>0</v>
      </c>
      <c r="Q309" s="13">
        <f>SUMIFS('Business - Dump'!$W:$W,'Business - Dump'!$B:$B,'Portfolio Wise '!$B309,'Business - Dump'!$A:$A,'Portfolio Wise '!$A309)</f>
        <v>5</v>
      </c>
      <c r="R309" s="36">
        <f>SUMIFS('Business - Dump'!$U:$U,'Business - Dump'!$B:$B,'Portfolio Wise '!$B309,'Business - Dump'!$A:$A,'Portfolio Wise '!$A309)/1.18</f>
        <v>10168.64407</v>
      </c>
      <c r="S309" s="41">
        <f t="shared" si="9"/>
        <v>2033.728814</v>
      </c>
      <c r="T309" s="23">
        <f t="shared" si="10"/>
        <v>0.41084042</v>
      </c>
      <c r="U309" s="38">
        <f t="shared" si="11"/>
        <v>2.434035093</v>
      </c>
      <c r="V309" s="41">
        <f>SUMIFS('Business - Dump'!$G:$G,'Business - Dump'!$B:$B,'Portfolio Wise '!$B309,'Business - Dump'!$A:$A,'Portfolio Wise '!$A309)</f>
        <v>579</v>
      </c>
      <c r="W309" s="48">
        <f t="shared" si="12"/>
        <v>0.008635578584</v>
      </c>
      <c r="X309" s="23">
        <f t="shared" ref="X309:Y309" si="444">IFERROR(N309/Q309,0)</f>
        <v>0</v>
      </c>
      <c r="Y309" s="49">
        <f t="shared" si="444"/>
        <v>0.1085074923</v>
      </c>
      <c r="Z309" s="49">
        <f t="shared" si="14"/>
        <v>1</v>
      </c>
      <c r="AA309" s="23">
        <f t="shared" si="15"/>
        <v>0.1085074923</v>
      </c>
      <c r="AB309" s="23">
        <f>IFERROR(AVERAGEIFS('Business - Dump'!$O:$O,'Business - Dump'!$B:$B,'Portfolio Wise '!$B309,'Business - Dump'!$A:$A,'Portfolio Wise '!$A309),0)</f>
        <v>1</v>
      </c>
      <c r="AC309" s="49">
        <f>F309/SUMIFS('Campaign - Dump'!$Q:$Q,'Campaign - Dump'!$A:$A,'Portfolio Wise '!$A309)</f>
        <v>0.006094830965</v>
      </c>
      <c r="AD309" s="49">
        <f t="shared" si="16"/>
        <v>0</v>
      </c>
    </row>
    <row r="310" ht="15.75" customHeight="1">
      <c r="A310" s="3" t="s">
        <v>67</v>
      </c>
      <c r="B310" s="19" t="s">
        <v>248</v>
      </c>
      <c r="C310" s="13">
        <f>SUMIFS('Campaign - Dump'!$N:$N,'Campaign - Dump'!$J:$J,'Portfolio Wise '!$B310,'Campaign - Dump'!$A:$A,'Portfolio Wise '!$A310)</f>
        <v>5342</v>
      </c>
      <c r="D310" s="13">
        <f>SUMIFS('Campaign - Dump'!$O:$O,'Campaign - Dump'!$J:$J,'Portfolio Wise '!$B310,'Campaign - Dump'!$A:$A,'Portfolio Wise '!$A310)</f>
        <v>103</v>
      </c>
      <c r="E310" s="23">
        <f t="shared" si="2"/>
        <v>0.0192811681</v>
      </c>
      <c r="F310" s="36">
        <f>SUMIFS('Campaign - Dump'!$Q:$Q,'Campaign - Dump'!$J:$J,'Portfolio Wise '!$B310,'Campaign - Dump'!$A:$A,'Portfolio Wise '!$A310)</f>
        <v>1556.28</v>
      </c>
      <c r="G310" s="38">
        <f t="shared" si="3"/>
        <v>15.10951456</v>
      </c>
      <c r="H310" s="41">
        <f>SUMIFS('Campaign - Dump'!$T:$T,'Campaign - Dump'!$J:$J,'Portfolio Wise '!$B310,'Campaign - Dump'!$A:$A,'Portfolio Wise '!$A310)</f>
        <v>1</v>
      </c>
      <c r="I310" s="23">
        <f t="shared" si="4"/>
        <v>0.009708737864</v>
      </c>
      <c r="J310" s="36">
        <f>SUMIFS('Campaign - Dump'!$U:$U,'Campaign - Dump'!$J:$J,'Portfolio Wise '!$B310,'Campaign - Dump'!$A:$A,'Portfolio Wise '!$A310)</f>
        <v>10296.61</v>
      </c>
      <c r="K310" s="23">
        <f t="shared" si="5"/>
        <v>0.1511448914</v>
      </c>
      <c r="L310" s="38">
        <f t="shared" si="6"/>
        <v>6.616168042</v>
      </c>
      <c r="M310" s="41">
        <f t="shared" si="7"/>
        <v>10296.61</v>
      </c>
      <c r="N310" s="13">
        <f t="shared" si="442"/>
        <v>0</v>
      </c>
      <c r="O310" s="36">
        <f t="shared" si="443"/>
        <v>0.0001694915245</v>
      </c>
      <c r="P310" s="41">
        <f t="shared" si="8"/>
        <v>0</v>
      </c>
      <c r="Q310" s="13">
        <f>SUMIFS('Business - Dump'!$W:$W,'Business - Dump'!$B:$B,'Portfolio Wise '!$B310,'Business - Dump'!$A:$A,'Portfolio Wise '!$A310)</f>
        <v>1</v>
      </c>
      <c r="R310" s="36">
        <f>SUMIFS('Business - Dump'!$U:$U,'Business - Dump'!$B:$B,'Portfolio Wise '!$B310,'Business - Dump'!$A:$A,'Portfolio Wise '!$A310)/1.18</f>
        <v>10296.61017</v>
      </c>
      <c r="S310" s="41">
        <f t="shared" si="9"/>
        <v>10296.61017</v>
      </c>
      <c r="T310" s="23">
        <f t="shared" si="10"/>
        <v>0.1511448889</v>
      </c>
      <c r="U310" s="38">
        <f t="shared" si="11"/>
        <v>6.616168151</v>
      </c>
      <c r="V310" s="41">
        <f>SUMIFS('Business - Dump'!$G:$G,'Business - Dump'!$B:$B,'Portfolio Wise '!$B310,'Business - Dump'!$A:$A,'Portfolio Wise '!$A310)</f>
        <v>290</v>
      </c>
      <c r="W310" s="48">
        <f t="shared" si="12"/>
        <v>0.003448275862</v>
      </c>
      <c r="X310" s="23">
        <f t="shared" ref="X310:Y310" si="445">IFERROR(N310/Q310,0)</f>
        <v>0</v>
      </c>
      <c r="Y310" s="49">
        <f t="shared" si="445"/>
        <v>0.00000001646090526</v>
      </c>
      <c r="Z310" s="49">
        <f t="shared" si="14"/>
        <v>1</v>
      </c>
      <c r="AA310" s="23">
        <f t="shared" si="15"/>
        <v>0.00000001646090526</v>
      </c>
      <c r="AB310" s="23">
        <f>IFERROR(AVERAGEIFS('Business - Dump'!$O:$O,'Business - Dump'!$B:$B,'Portfolio Wise '!$B310,'Business - Dump'!$A:$A,'Portfolio Wise '!$A310),0)</f>
        <v>0.8557</v>
      </c>
      <c r="AC310" s="49">
        <f>F310/SUMIFS('Campaign - Dump'!$Q:$Q,'Campaign - Dump'!$A:$A,'Portfolio Wise '!$A310)</f>
        <v>0.002270456528</v>
      </c>
      <c r="AD310" s="49">
        <f t="shared" si="16"/>
        <v>0</v>
      </c>
    </row>
    <row r="311" ht="15.75" customHeight="1">
      <c r="A311" s="3" t="s">
        <v>67</v>
      </c>
      <c r="B311" s="19" t="s">
        <v>1282</v>
      </c>
      <c r="C311" s="13">
        <f>SUMIFS('Campaign - Dump'!$N:$N,'Campaign - Dump'!$J:$J,'Portfolio Wise '!$B311,'Campaign - Dump'!$A:$A,'Portfolio Wise '!$A311)</f>
        <v>0</v>
      </c>
      <c r="D311" s="13">
        <f>SUMIFS('Campaign - Dump'!$O:$O,'Campaign - Dump'!$J:$J,'Portfolio Wise '!$B311,'Campaign - Dump'!$A:$A,'Portfolio Wise '!$A311)</f>
        <v>0</v>
      </c>
      <c r="E311" s="23">
        <f t="shared" si="2"/>
        <v>0</v>
      </c>
      <c r="F311" s="36">
        <f>SUMIFS('Campaign - Dump'!$Q:$Q,'Campaign - Dump'!$J:$J,'Portfolio Wise '!$B311,'Campaign - Dump'!$A:$A,'Portfolio Wise '!$A311)</f>
        <v>0</v>
      </c>
      <c r="G311" s="38">
        <f t="shared" si="3"/>
        <v>0</v>
      </c>
      <c r="H311" s="41">
        <f>SUMIFS('Campaign - Dump'!$T:$T,'Campaign - Dump'!$J:$J,'Portfolio Wise '!$B311,'Campaign - Dump'!$A:$A,'Portfolio Wise '!$A311)</f>
        <v>0</v>
      </c>
      <c r="I311" s="23">
        <f t="shared" si="4"/>
        <v>0</v>
      </c>
      <c r="J311" s="36">
        <f>SUMIFS('Campaign - Dump'!$U:$U,'Campaign - Dump'!$J:$J,'Portfolio Wise '!$B311,'Campaign - Dump'!$A:$A,'Portfolio Wise '!$A311)</f>
        <v>0</v>
      </c>
      <c r="K311" s="23">
        <f t="shared" si="5"/>
        <v>0</v>
      </c>
      <c r="L311" s="38">
        <f t="shared" si="6"/>
        <v>0</v>
      </c>
      <c r="M311" s="41">
        <f t="shared" si="7"/>
        <v>0</v>
      </c>
      <c r="N311" s="13">
        <f t="shared" si="442"/>
        <v>0</v>
      </c>
      <c r="O311" s="36">
        <f t="shared" si="443"/>
        <v>0</v>
      </c>
      <c r="P311" s="41">
        <f t="shared" si="8"/>
        <v>0</v>
      </c>
      <c r="Q311" s="13">
        <f>SUMIFS('Business - Dump'!$W:$W,'Business - Dump'!$B:$B,'Portfolio Wise '!$B311,'Business - Dump'!$A:$A,'Portfolio Wise '!$A311)</f>
        <v>0</v>
      </c>
      <c r="R311" s="36">
        <f>SUMIFS('Business - Dump'!$U:$U,'Business - Dump'!$B:$B,'Portfolio Wise '!$B311,'Business - Dump'!$A:$A,'Portfolio Wise '!$A311)/1.18</f>
        <v>0</v>
      </c>
      <c r="S311" s="41">
        <f t="shared" si="9"/>
        <v>0</v>
      </c>
      <c r="T311" s="23">
        <f t="shared" si="10"/>
        <v>0</v>
      </c>
      <c r="U311" s="38">
        <f t="shared" si="11"/>
        <v>0</v>
      </c>
      <c r="V311" s="41">
        <f>SUMIFS('Business - Dump'!$G:$G,'Business - Dump'!$B:$B,'Portfolio Wise '!$B311,'Business - Dump'!$A:$A,'Portfolio Wise '!$A311)</f>
        <v>0</v>
      </c>
      <c r="W311" s="48">
        <f t="shared" si="12"/>
        <v>0</v>
      </c>
      <c r="X311" s="23">
        <f t="shared" ref="X311:Y311" si="446">IFERROR(N311/Q311,0)</f>
        <v>0</v>
      </c>
      <c r="Y311" s="49">
        <f t="shared" si="446"/>
        <v>0</v>
      </c>
      <c r="Z311" s="49">
        <f t="shared" si="14"/>
        <v>0</v>
      </c>
      <c r="AA311" s="23">
        <f t="shared" si="15"/>
        <v>0</v>
      </c>
      <c r="AB311" s="23">
        <f>IFERROR(AVERAGEIFS('Business - Dump'!$O:$O,'Business - Dump'!$B:$B,'Portfolio Wise '!$B311,'Business - Dump'!$A:$A,'Portfolio Wise '!$A311),0)</f>
        <v>0</v>
      </c>
      <c r="AC311" s="49">
        <f>F311/SUMIFS('Campaign - Dump'!$Q:$Q,'Campaign - Dump'!$A:$A,'Portfolio Wise '!$A311)</f>
        <v>0</v>
      </c>
      <c r="AD311" s="49">
        <f t="shared" si="16"/>
        <v>0</v>
      </c>
    </row>
    <row r="312" ht="15.75" customHeight="1">
      <c r="A312" s="25" t="s">
        <v>67</v>
      </c>
      <c r="B312" s="146" t="s">
        <v>1285</v>
      </c>
      <c r="C312" s="127">
        <f t="shared" ref="C312:D312" si="447">SUM(C288:C311)</f>
        <v>6784067</v>
      </c>
      <c r="D312" s="127">
        <f t="shared" si="447"/>
        <v>25441</v>
      </c>
      <c r="E312" s="62">
        <f t="shared" si="2"/>
        <v>0.003750110369</v>
      </c>
      <c r="F312" s="128">
        <f>SUM(F288:F311)</f>
        <v>685448.05</v>
      </c>
      <c r="G312" s="129">
        <f t="shared" si="3"/>
        <v>26.94265359</v>
      </c>
      <c r="H312" s="130">
        <f>SUM(H288:H311)</f>
        <v>237</v>
      </c>
      <c r="I312" s="62">
        <f t="shared" si="4"/>
        <v>0.009315671554</v>
      </c>
      <c r="J312" s="128">
        <f>SUM(J288:J311)</f>
        <v>3064021.13</v>
      </c>
      <c r="K312" s="62">
        <f t="shared" si="5"/>
        <v>0.2237086563</v>
      </c>
      <c r="L312" s="129">
        <f t="shared" si="6"/>
        <v>4.470099711</v>
      </c>
      <c r="M312" s="130">
        <f t="shared" si="7"/>
        <v>12928.3592</v>
      </c>
      <c r="N312" s="127">
        <f t="shared" ref="N312:O312" si="448">SUM(N288:N311)</f>
        <v>232</v>
      </c>
      <c r="O312" s="128">
        <f t="shared" si="448"/>
        <v>2952619.395</v>
      </c>
      <c r="P312" s="130">
        <f t="shared" si="8"/>
        <v>12726.80774</v>
      </c>
      <c r="Q312" s="127">
        <f t="shared" ref="Q312:R312" si="449">SUM(Q288:Q311)</f>
        <v>379</v>
      </c>
      <c r="R312" s="128">
        <f t="shared" si="449"/>
        <v>4187281.195</v>
      </c>
      <c r="S312" s="130">
        <f t="shared" si="9"/>
        <v>11048.23534</v>
      </c>
      <c r="T312" s="62">
        <f t="shared" si="10"/>
        <v>0.1636976401</v>
      </c>
      <c r="U312" s="129">
        <f t="shared" si="11"/>
        <v>6.108823557</v>
      </c>
      <c r="V312" s="130">
        <f>SUM(V288:V311)</f>
        <v>60864</v>
      </c>
      <c r="W312" s="131">
        <f t="shared" si="12"/>
        <v>0.006226997897</v>
      </c>
      <c r="X312" s="62">
        <f t="shared" ref="X312:Y312" si="450">IFERROR(N312/Q312,0)</f>
        <v>0.6121372032</v>
      </c>
      <c r="Y312" s="132">
        <f t="shared" si="450"/>
        <v>0.705139984</v>
      </c>
      <c r="Z312" s="132">
        <f t="shared" si="14"/>
        <v>0.6253298153</v>
      </c>
      <c r="AA312" s="62">
        <f t="shared" si="15"/>
        <v>0.705139984</v>
      </c>
      <c r="AB312" s="62">
        <f>IFERROR(AVERAGEIFS('Business - Dump'!$O:$O,'Business - Dump'!$B:$B,'Portfolio Wise '!$B312,'Business - Dump'!$A:$A,'Portfolio Wise '!$A312),0)</f>
        <v>0</v>
      </c>
      <c r="AC312" s="132">
        <f>F312/SUMIFS('Campaign - Dump'!$Q:$Q,'Campaign - Dump'!$A:$A,'Portfolio Wise '!$A312)</f>
        <v>1</v>
      </c>
      <c r="AD312" s="132">
        <f t="shared" si="16"/>
        <v>0.9789029536</v>
      </c>
      <c r="AE312" s="31"/>
    </row>
    <row r="313" ht="15.75" customHeight="1">
      <c r="A313" s="3" t="s">
        <v>70</v>
      </c>
      <c r="B313" s="33" t="s">
        <v>90</v>
      </c>
      <c r="C313" s="13">
        <f>SUMIFS('Campaign - Dump'!$N:$N,'Campaign - Dump'!$J:$J,'Portfolio Wise '!$B313,'Campaign - Dump'!$A:$A,'Portfolio Wise '!$A313)</f>
        <v>1214289</v>
      </c>
      <c r="D313" s="13">
        <f>SUMIFS('Campaign - Dump'!$O:$O,'Campaign - Dump'!$J:$J,'Portfolio Wise '!$B313,'Campaign - Dump'!$A:$A,'Portfolio Wise '!$A313)</f>
        <v>2133</v>
      </c>
      <c r="E313" s="23">
        <f t="shared" si="2"/>
        <v>0.001756583482</v>
      </c>
      <c r="F313" s="36">
        <f>SUMIFS('Campaign - Dump'!$Q:$Q,'Campaign - Dump'!$J:$J,'Portfolio Wise '!$B313,'Campaign - Dump'!$A:$A,'Portfolio Wise '!$A313)</f>
        <v>112388.25</v>
      </c>
      <c r="G313" s="38">
        <f t="shared" si="3"/>
        <v>52.69022504</v>
      </c>
      <c r="H313" s="41">
        <f>SUMIFS('Campaign - Dump'!$T:$T,'Campaign - Dump'!$J:$J,'Portfolio Wise '!$B313,'Campaign - Dump'!$A:$A,'Portfolio Wise '!$A313)</f>
        <v>17</v>
      </c>
      <c r="I313" s="23">
        <f t="shared" si="4"/>
        <v>0.007969995312</v>
      </c>
      <c r="J313" s="36">
        <f>SUMIFS('Campaign - Dump'!$U:$U,'Campaign - Dump'!$J:$J,'Portfolio Wise '!$B313,'Campaign - Dump'!$A:$A,'Portfolio Wise '!$A313)</f>
        <v>306799.99</v>
      </c>
      <c r="K313" s="23">
        <f t="shared" si="5"/>
        <v>0.3663241645</v>
      </c>
      <c r="L313" s="38">
        <f t="shared" si="6"/>
        <v>2.729822646</v>
      </c>
      <c r="M313" s="41">
        <f t="shared" si="7"/>
        <v>18047.05824</v>
      </c>
      <c r="N313" s="13">
        <v>0.0</v>
      </c>
      <c r="O313" s="36">
        <v>0.0</v>
      </c>
      <c r="P313" s="41">
        <f t="shared" si="8"/>
        <v>0</v>
      </c>
      <c r="Q313" s="13">
        <f>SUMIFS('Business - Dump'!$W:$W,'Business - Dump'!$B:$B,'Portfolio Wise '!$B313,'Business - Dump'!$A:$A,'Portfolio Wise '!$A313)</f>
        <v>0</v>
      </c>
      <c r="R313" s="36">
        <f>SUMIFS('Business - Dump'!$U:$U,'Business - Dump'!$B:$B,'Portfolio Wise '!$B313,'Business - Dump'!$A:$A,'Portfolio Wise '!$A313)/1.18</f>
        <v>0</v>
      </c>
      <c r="S313" s="41">
        <f t="shared" si="9"/>
        <v>0</v>
      </c>
      <c r="T313" s="23">
        <f t="shared" si="10"/>
        <v>0</v>
      </c>
      <c r="U313" s="38">
        <f t="shared" si="11"/>
        <v>0</v>
      </c>
      <c r="V313" s="41">
        <f>SUMIFS('Business - Dump'!$G:$G,'Business - Dump'!$B:$B,'Portfolio Wise '!$B313,'Business - Dump'!$A:$A,'Portfolio Wise '!$A313)</f>
        <v>0</v>
      </c>
      <c r="W313" s="48">
        <f t="shared" si="12"/>
        <v>0</v>
      </c>
      <c r="X313" s="23">
        <f t="shared" ref="X313:Y313" si="451">IFERROR(N313/Q313,0)</f>
        <v>0</v>
      </c>
      <c r="Y313" s="49">
        <f t="shared" si="451"/>
        <v>0</v>
      </c>
      <c r="Z313" s="49">
        <f t="shared" si="14"/>
        <v>0</v>
      </c>
      <c r="AA313" s="23">
        <f t="shared" si="15"/>
        <v>0</v>
      </c>
      <c r="AB313" s="23">
        <f>IFERROR(AVERAGEIFS('Business - Dump'!$O:$O,'Business - Dump'!$B:$B,'Portfolio Wise '!$B313,'Business - Dump'!$A:$A,'Portfolio Wise '!$A313),0)</f>
        <v>0</v>
      </c>
      <c r="AC313" s="49">
        <f>F313/SUMIFS('Campaign - Dump'!$Q:$Q,'Campaign - Dump'!$A:$A,'Portfolio Wise '!$A313)</f>
        <v>0.1702655539</v>
      </c>
      <c r="AD313" s="49">
        <f t="shared" si="16"/>
        <v>0</v>
      </c>
    </row>
    <row r="314" ht="15.75" customHeight="1">
      <c r="A314" s="3" t="s">
        <v>70</v>
      </c>
      <c r="B314" s="51" t="s">
        <v>110</v>
      </c>
      <c r="C314" s="13">
        <f>SUMIFS('Campaign - Dump'!$N:$N,'Campaign - Dump'!$J:$J,'Portfolio Wise '!$B314,'Campaign - Dump'!$A:$A,'Portfolio Wise '!$A314)</f>
        <v>0</v>
      </c>
      <c r="D314" s="13">
        <f>SUMIFS('Campaign - Dump'!$O:$O,'Campaign - Dump'!$J:$J,'Portfolio Wise '!$B314,'Campaign - Dump'!$A:$A,'Portfolio Wise '!$A314)</f>
        <v>0</v>
      </c>
      <c r="E314" s="23">
        <f t="shared" si="2"/>
        <v>0</v>
      </c>
      <c r="F314" s="36">
        <f>SUMIFS('Campaign - Dump'!$Q:$Q,'Campaign - Dump'!$J:$J,'Portfolio Wise '!$B314,'Campaign - Dump'!$A:$A,'Portfolio Wise '!$A314)</f>
        <v>0</v>
      </c>
      <c r="G314" s="38">
        <f t="shared" si="3"/>
        <v>0</v>
      </c>
      <c r="H314" s="41">
        <f>SUMIFS('Campaign - Dump'!$T:$T,'Campaign - Dump'!$J:$J,'Portfolio Wise '!$B314,'Campaign - Dump'!$A:$A,'Portfolio Wise '!$A314)</f>
        <v>0</v>
      </c>
      <c r="I314" s="23">
        <f t="shared" si="4"/>
        <v>0</v>
      </c>
      <c r="J314" s="36">
        <f>SUMIFS('Campaign - Dump'!$U:$U,'Campaign - Dump'!$J:$J,'Portfolio Wise '!$B314,'Campaign - Dump'!$A:$A,'Portfolio Wise '!$A314)</f>
        <v>0</v>
      </c>
      <c r="K314" s="23">
        <f t="shared" si="5"/>
        <v>0</v>
      </c>
      <c r="L314" s="38">
        <f t="shared" si="6"/>
        <v>0</v>
      </c>
      <c r="M314" s="41">
        <f t="shared" si="7"/>
        <v>0</v>
      </c>
      <c r="N314" s="13">
        <f t="shared" ref="N314:N316" si="453">IFERROR(Q314-H314,0)</f>
        <v>0</v>
      </c>
      <c r="O314" s="36">
        <f t="shared" ref="O314:O316" si="454">IFERROR(R314-J314,0)</f>
        <v>0</v>
      </c>
      <c r="P314" s="41">
        <f t="shared" si="8"/>
        <v>0</v>
      </c>
      <c r="Q314" s="13">
        <f>SUMIFS('Business - Dump'!$W:$W,'Business - Dump'!$B:$B,'Portfolio Wise '!$B314,'Business - Dump'!$A:$A,'Portfolio Wise '!$A314)</f>
        <v>0</v>
      </c>
      <c r="R314" s="36">
        <f>SUMIFS('Business - Dump'!$U:$U,'Business - Dump'!$B:$B,'Portfolio Wise '!$B314,'Business - Dump'!$A:$A,'Portfolio Wise '!$A314)/1.18</f>
        <v>0</v>
      </c>
      <c r="S314" s="41">
        <f t="shared" si="9"/>
        <v>0</v>
      </c>
      <c r="T314" s="23">
        <f t="shared" si="10"/>
        <v>0</v>
      </c>
      <c r="U314" s="38">
        <f t="shared" si="11"/>
        <v>0</v>
      </c>
      <c r="V314" s="41">
        <f>SUMIFS('Business - Dump'!$G:$G,'Business - Dump'!$B:$B,'Portfolio Wise '!$B314,'Business - Dump'!$A:$A,'Portfolio Wise '!$A314)</f>
        <v>0</v>
      </c>
      <c r="W314" s="48">
        <f t="shared" si="12"/>
        <v>0</v>
      </c>
      <c r="X314" s="23">
        <f t="shared" ref="X314:Y314" si="452">IFERROR(N314/Q314,0)</f>
        <v>0</v>
      </c>
      <c r="Y314" s="49">
        <f t="shared" si="452"/>
        <v>0</v>
      </c>
      <c r="Z314" s="49">
        <f t="shared" si="14"/>
        <v>0</v>
      </c>
      <c r="AA314" s="23">
        <f t="shared" si="15"/>
        <v>0</v>
      </c>
      <c r="AB314" s="23">
        <f>IFERROR(AVERAGEIFS('Business - Dump'!$O:$O,'Business - Dump'!$B:$B,'Portfolio Wise '!$B314,'Business - Dump'!$A:$A,'Portfolio Wise '!$A314),0)</f>
        <v>0</v>
      </c>
      <c r="AC314" s="49">
        <f>F314/SUMIFS('Campaign - Dump'!$Q:$Q,'Campaign - Dump'!$A:$A,'Portfolio Wise '!$A314)</f>
        <v>0</v>
      </c>
      <c r="AD314" s="49">
        <f t="shared" si="16"/>
        <v>0</v>
      </c>
    </row>
    <row r="315" ht="15.75" customHeight="1">
      <c r="A315" s="3" t="s">
        <v>70</v>
      </c>
      <c r="B315" s="51" t="s">
        <v>119</v>
      </c>
      <c r="C315" s="13">
        <f>SUMIFS('Campaign - Dump'!$N:$N,'Campaign - Dump'!$J:$J,'Portfolio Wise '!$B315,'Campaign - Dump'!$A:$A,'Portfolio Wise '!$A315)</f>
        <v>34914</v>
      </c>
      <c r="D315" s="13">
        <f>SUMIFS('Campaign - Dump'!$O:$O,'Campaign - Dump'!$J:$J,'Portfolio Wise '!$B315,'Campaign - Dump'!$A:$A,'Portfolio Wise '!$A315)</f>
        <v>479</v>
      </c>
      <c r="E315" s="23">
        <f t="shared" si="2"/>
        <v>0.01371942487</v>
      </c>
      <c r="F315" s="36">
        <f>SUMIFS('Campaign - Dump'!$Q:$Q,'Campaign - Dump'!$J:$J,'Portfolio Wise '!$B315,'Campaign - Dump'!$A:$A,'Portfolio Wise '!$A315)</f>
        <v>1855.23</v>
      </c>
      <c r="G315" s="38">
        <f t="shared" si="3"/>
        <v>3.873131524</v>
      </c>
      <c r="H315" s="41">
        <f>SUMIFS('Campaign - Dump'!$T:$T,'Campaign - Dump'!$J:$J,'Portfolio Wise '!$B315,'Campaign - Dump'!$A:$A,'Portfolio Wise '!$A315)</f>
        <v>3</v>
      </c>
      <c r="I315" s="23">
        <f t="shared" si="4"/>
        <v>0.006263048017</v>
      </c>
      <c r="J315" s="36">
        <f>SUMIFS('Campaign - Dump'!$U:$U,'Campaign - Dump'!$J:$J,'Portfolio Wise '!$B315,'Campaign - Dump'!$A:$A,'Portfolio Wise '!$A315)</f>
        <v>21493.23</v>
      </c>
      <c r="K315" s="23">
        <f t="shared" si="5"/>
        <v>0.08631694724</v>
      </c>
      <c r="L315" s="38">
        <f t="shared" si="6"/>
        <v>11.58521046</v>
      </c>
      <c r="M315" s="41">
        <f t="shared" si="7"/>
        <v>7164.41</v>
      </c>
      <c r="N315" s="13">
        <f t="shared" si="453"/>
        <v>4</v>
      </c>
      <c r="O315" s="36">
        <f t="shared" si="454"/>
        <v>26161.00729</v>
      </c>
      <c r="P315" s="41">
        <f t="shared" si="8"/>
        <v>6540.251822</v>
      </c>
      <c r="Q315" s="13">
        <f>SUMIFS('Business - Dump'!$W:$W,'Business - Dump'!$B:$B,'Portfolio Wise '!$B315,'Business - Dump'!$A:$A,'Portfolio Wise '!$A315)</f>
        <v>7</v>
      </c>
      <c r="R315" s="36">
        <f>SUMIFS('Business - Dump'!$U:$U,'Business - Dump'!$B:$B,'Portfolio Wise '!$B315,'Business - Dump'!$A:$A,'Portfolio Wise '!$A315)/1.18</f>
        <v>47654.23729</v>
      </c>
      <c r="S315" s="41">
        <f t="shared" si="9"/>
        <v>6807.748184</v>
      </c>
      <c r="T315" s="23">
        <f t="shared" si="10"/>
        <v>0.03893106061</v>
      </c>
      <c r="U315" s="38">
        <f t="shared" si="11"/>
        <v>25.68643095</v>
      </c>
      <c r="V315" s="41">
        <f>SUMIFS('Business - Dump'!$G:$G,'Business - Dump'!$B:$B,'Portfolio Wise '!$B315,'Business - Dump'!$A:$A,'Portfolio Wise '!$A315)</f>
        <v>1655</v>
      </c>
      <c r="W315" s="48">
        <f t="shared" si="12"/>
        <v>0.004229607251</v>
      </c>
      <c r="X315" s="23">
        <f t="shared" ref="X315:Y315" si="455">IFERROR(N315/Q315,0)</f>
        <v>0.5714285714</v>
      </c>
      <c r="Y315" s="49">
        <f t="shared" si="455"/>
        <v>0.5489754695</v>
      </c>
      <c r="Z315" s="49">
        <f t="shared" si="14"/>
        <v>0.4285714286</v>
      </c>
      <c r="AA315" s="23">
        <f t="shared" si="15"/>
        <v>0.5489754695</v>
      </c>
      <c r="AB315" s="23">
        <f>IFERROR(AVERAGEIFS('Business - Dump'!$O:$O,'Business - Dump'!$B:$B,'Portfolio Wise '!$B315,'Business - Dump'!$A:$A,'Portfolio Wise '!$A315),0)</f>
        <v>0.81438</v>
      </c>
      <c r="AC315" s="49">
        <f>F315/SUMIFS('Campaign - Dump'!$Q:$Q,'Campaign - Dump'!$A:$A,'Portfolio Wise '!$A315)</f>
        <v>0.00281062979</v>
      </c>
      <c r="AD315" s="49">
        <f t="shared" si="16"/>
        <v>1.333333333</v>
      </c>
    </row>
    <row r="316" ht="15.75" customHeight="1">
      <c r="A316" s="3" t="s">
        <v>70</v>
      </c>
      <c r="B316" s="68" t="s">
        <v>413</v>
      </c>
      <c r="C316" s="13">
        <f>SUMIFS('Campaign - Dump'!$N:$N,'Campaign - Dump'!$J:$J,'Portfolio Wise '!$B316,'Campaign - Dump'!$A:$A,'Portfolio Wise '!$A316)</f>
        <v>2555779</v>
      </c>
      <c r="D316" s="13">
        <f>SUMIFS('Campaign - Dump'!$O:$O,'Campaign - Dump'!$J:$J,'Portfolio Wise '!$B316,'Campaign - Dump'!$A:$A,'Portfolio Wise '!$A316)</f>
        <v>8765</v>
      </c>
      <c r="E316" s="23">
        <f t="shared" si="2"/>
        <v>0.003429482753</v>
      </c>
      <c r="F316" s="36">
        <f>SUMIFS('Campaign - Dump'!$Q:$Q,'Campaign - Dump'!$J:$J,'Portfolio Wise '!$B316,'Campaign - Dump'!$A:$A,'Portfolio Wise '!$A316)</f>
        <v>128707.69</v>
      </c>
      <c r="G316" s="38">
        <f t="shared" si="3"/>
        <v>14.68427724</v>
      </c>
      <c r="H316" s="41">
        <f>SUMIFS('Campaign - Dump'!$T:$T,'Campaign - Dump'!$J:$J,'Portfolio Wise '!$B316,'Campaign - Dump'!$A:$A,'Portfolio Wise '!$A316)</f>
        <v>24</v>
      </c>
      <c r="I316" s="23">
        <f t="shared" si="4"/>
        <v>0.002738163149</v>
      </c>
      <c r="J316" s="36">
        <f>SUMIFS('Campaign - Dump'!$U:$U,'Campaign - Dump'!$J:$J,'Portfolio Wise '!$B316,'Campaign - Dump'!$A:$A,'Portfolio Wise '!$A316)</f>
        <v>341627.1</v>
      </c>
      <c r="K316" s="23">
        <f t="shared" si="5"/>
        <v>0.3767490635</v>
      </c>
      <c r="L316" s="38">
        <f t="shared" si="6"/>
        <v>2.654286624</v>
      </c>
      <c r="M316" s="41">
        <f t="shared" si="7"/>
        <v>14234.4625</v>
      </c>
      <c r="N316" s="13">
        <f t="shared" si="453"/>
        <v>22</v>
      </c>
      <c r="O316" s="36">
        <f t="shared" si="454"/>
        <v>361724.5949</v>
      </c>
      <c r="P316" s="41">
        <f t="shared" si="8"/>
        <v>16442.02704</v>
      </c>
      <c r="Q316" s="13">
        <f>SUMIFS('Business - Dump'!$W:$W,'Business - Dump'!$B:$B,'Portfolio Wise '!$B316,'Business - Dump'!$A:$A,'Portfolio Wise '!$A316)</f>
        <v>46</v>
      </c>
      <c r="R316" s="36">
        <f>SUMIFS('Business - Dump'!$U:$U,'Business - Dump'!$B:$B,'Portfolio Wise '!$B316,'Business - Dump'!$A:$A,'Portfolio Wise '!$A316)/1.18</f>
        <v>703351.6949</v>
      </c>
      <c r="S316" s="41">
        <f t="shared" si="9"/>
        <v>15290.25424</v>
      </c>
      <c r="T316" s="23">
        <f t="shared" si="10"/>
        <v>0.1829919384</v>
      </c>
      <c r="U316" s="38">
        <f t="shared" si="11"/>
        <v>5.46472161</v>
      </c>
      <c r="V316" s="41">
        <f>SUMIFS('Business - Dump'!$G:$G,'Business - Dump'!$B:$B,'Portfolio Wise '!$B316,'Business - Dump'!$A:$A,'Portfolio Wise '!$A316)</f>
        <v>11288</v>
      </c>
      <c r="W316" s="48">
        <f t="shared" si="12"/>
        <v>0.004075124026</v>
      </c>
      <c r="X316" s="23">
        <f t="shared" ref="X316:Y316" si="456">IFERROR(N316/Q316,0)</f>
        <v>0.4782608696</v>
      </c>
      <c r="Y316" s="49">
        <f t="shared" si="456"/>
        <v>0.5142869457</v>
      </c>
      <c r="Z316" s="49">
        <f t="shared" si="14"/>
        <v>0.5217391304</v>
      </c>
      <c r="AA316" s="23">
        <f t="shared" si="15"/>
        <v>0.5142869457</v>
      </c>
      <c r="AB316" s="23">
        <f>IFERROR(AVERAGEIFS('Business - Dump'!$O:$O,'Business - Dump'!$B:$B,'Portfolio Wise '!$B316,'Business - Dump'!$A:$A,'Portfolio Wise '!$A316),0)</f>
        <v>0.8492666667</v>
      </c>
      <c r="AC316" s="49">
        <f>F316/SUMIFS('Campaign - Dump'!$Q:$Q,'Campaign - Dump'!$A:$A,'Portfolio Wise '!$A316)</f>
        <v>0.1949891214</v>
      </c>
      <c r="AD316" s="49">
        <f t="shared" si="16"/>
        <v>0.9166666667</v>
      </c>
    </row>
    <row r="317" ht="15.75" customHeight="1">
      <c r="A317" s="3" t="s">
        <v>70</v>
      </c>
      <c r="B317" s="19" t="s">
        <v>128</v>
      </c>
      <c r="C317" s="13">
        <f>SUMIFS('Campaign - Dump'!$N:$N,'Campaign - Dump'!$J:$J,'Portfolio Wise '!$B317,'Campaign - Dump'!$A:$A,'Portfolio Wise '!$A317)</f>
        <v>1539921</v>
      </c>
      <c r="D317" s="13">
        <f>SUMIFS('Campaign - Dump'!$O:$O,'Campaign - Dump'!$J:$J,'Portfolio Wise '!$B317,'Campaign - Dump'!$A:$A,'Portfolio Wise '!$A317)</f>
        <v>7373</v>
      </c>
      <c r="E317" s="23">
        <f t="shared" si="2"/>
        <v>0.004787907951</v>
      </c>
      <c r="F317" s="36">
        <f>SUMIFS('Campaign - Dump'!$Q:$Q,'Campaign - Dump'!$J:$J,'Portfolio Wise '!$B317,'Campaign - Dump'!$A:$A,'Portfolio Wise '!$A317)</f>
        <v>147839.61</v>
      </c>
      <c r="G317" s="38">
        <f t="shared" si="3"/>
        <v>20.0514865</v>
      </c>
      <c r="H317" s="130">
        <f>SUMIFS('Campaign - Dump'!$T:$T,'Campaign - Dump'!$J:$J,'Portfolio Wise '!$B317,'Campaign - Dump'!$A:$A,'Portfolio Wise '!$A317)</f>
        <v>111</v>
      </c>
      <c r="I317" s="62">
        <f t="shared" si="4"/>
        <v>0.01505493015</v>
      </c>
      <c r="J317" s="36">
        <f>SUMIFS('Campaign - Dump'!$U:$U,'Campaign - Dump'!$J:$J,'Portfolio Wise '!$B317,'Campaign - Dump'!$A:$A,'Portfolio Wise '!$A317)</f>
        <v>1280222.84</v>
      </c>
      <c r="K317" s="23">
        <f t="shared" si="5"/>
        <v>0.115479591</v>
      </c>
      <c r="L317" s="38">
        <f t="shared" si="6"/>
        <v>8.659538807</v>
      </c>
      <c r="M317" s="41">
        <f t="shared" si="7"/>
        <v>11533.5391</v>
      </c>
      <c r="N317" s="13">
        <v>0.0</v>
      </c>
      <c r="O317" s="36">
        <v>0.0</v>
      </c>
      <c r="P317" s="41">
        <f t="shared" si="8"/>
        <v>0</v>
      </c>
      <c r="Q317" s="13">
        <f>SUMIFS('Business - Dump'!$W:$W,'Business - Dump'!$B:$B,'Portfolio Wise '!$B317,'Business - Dump'!$A:$A,'Portfolio Wise '!$A317)</f>
        <v>0</v>
      </c>
      <c r="R317" s="36">
        <f>SUMIFS('Business - Dump'!$U:$U,'Business - Dump'!$B:$B,'Portfolio Wise '!$B317,'Business - Dump'!$A:$A,'Portfolio Wise '!$A317)/1.18</f>
        <v>0</v>
      </c>
      <c r="S317" s="41">
        <f t="shared" si="9"/>
        <v>0</v>
      </c>
      <c r="T317" s="23">
        <f t="shared" si="10"/>
        <v>0</v>
      </c>
      <c r="U317" s="38">
        <f t="shared" si="11"/>
        <v>0</v>
      </c>
      <c r="V317" s="41">
        <f>SUMIFS('Business - Dump'!$G:$G,'Business - Dump'!$B:$B,'Portfolio Wise '!$B317,'Business - Dump'!$A:$A,'Portfolio Wise '!$A317)</f>
        <v>0</v>
      </c>
      <c r="W317" s="48">
        <f t="shared" si="12"/>
        <v>0</v>
      </c>
      <c r="X317" s="23">
        <f t="shared" ref="X317:Y317" si="457">IFERROR(N317/Q317,0)</f>
        <v>0</v>
      </c>
      <c r="Y317" s="49">
        <f t="shared" si="457"/>
        <v>0</v>
      </c>
      <c r="Z317" s="49">
        <f t="shared" si="14"/>
        <v>0</v>
      </c>
      <c r="AA317" s="23">
        <f t="shared" si="15"/>
        <v>0</v>
      </c>
      <c r="AB317" s="23">
        <f>IFERROR(AVERAGEIFS('Business - Dump'!$O:$O,'Business - Dump'!$B:$B,'Portfolio Wise '!$B317,'Business - Dump'!$A:$A,'Portfolio Wise '!$A317),0)</f>
        <v>0</v>
      </c>
      <c r="AC317" s="49">
        <f>F317/SUMIFS('Campaign - Dump'!$Q:$Q,'Campaign - Dump'!$A:$A,'Portfolio Wise '!$A317)</f>
        <v>0.22397353</v>
      </c>
      <c r="AD317" s="49">
        <f t="shared" si="16"/>
        <v>0</v>
      </c>
    </row>
    <row r="318" ht="15.75" customHeight="1">
      <c r="A318" s="3" t="s">
        <v>70</v>
      </c>
      <c r="B318" s="19" t="s">
        <v>134</v>
      </c>
      <c r="C318" s="13">
        <f>SUMIFS('Campaign - Dump'!$N:$N,'Campaign - Dump'!$J:$J,'Portfolio Wise '!$B318,'Campaign - Dump'!$A:$A,'Portfolio Wise '!$A318)</f>
        <v>649367</v>
      </c>
      <c r="D318" s="13">
        <f>SUMIFS('Campaign - Dump'!$O:$O,'Campaign - Dump'!$J:$J,'Portfolio Wise '!$B318,'Campaign - Dump'!$A:$A,'Portfolio Wise '!$A318)</f>
        <v>6961</v>
      </c>
      <c r="E318" s="23">
        <f t="shared" si="2"/>
        <v>0.01071967008</v>
      </c>
      <c r="F318" s="36">
        <f>SUMIFS('Campaign - Dump'!$Q:$Q,'Campaign - Dump'!$J:$J,'Portfolio Wise '!$B318,'Campaign - Dump'!$A:$A,'Portfolio Wise '!$A318)</f>
        <v>144308.62</v>
      </c>
      <c r="G318" s="38">
        <f t="shared" si="3"/>
        <v>20.73101853</v>
      </c>
      <c r="H318" s="41">
        <f>SUMIFS('Campaign - Dump'!$T:$T,'Campaign - Dump'!$J:$J,'Portfolio Wise '!$B318,'Campaign - Dump'!$A:$A,'Portfolio Wise '!$A318)</f>
        <v>15</v>
      </c>
      <c r="I318" s="23">
        <f t="shared" si="4"/>
        <v>0.002154862807</v>
      </c>
      <c r="J318" s="36">
        <f>SUMIFS('Campaign - Dump'!$U:$U,'Campaign - Dump'!$J:$J,'Portfolio Wise '!$B318,'Campaign - Dump'!$A:$A,'Portfolio Wise '!$A318)</f>
        <v>313056.78</v>
      </c>
      <c r="K318" s="23">
        <f t="shared" si="5"/>
        <v>0.4609662822</v>
      </c>
      <c r="L318" s="38">
        <f t="shared" si="6"/>
        <v>2.169356065</v>
      </c>
      <c r="M318" s="41">
        <f t="shared" si="7"/>
        <v>20870.452</v>
      </c>
      <c r="N318" s="13">
        <f t="shared" ref="N318:N324" si="459">IFERROR(Q318-H318,0)</f>
        <v>30</v>
      </c>
      <c r="O318" s="36">
        <f t="shared" ref="O318:O324" si="460">IFERROR(R318-J318,0)</f>
        <v>557447.9912</v>
      </c>
      <c r="P318" s="41">
        <f t="shared" si="8"/>
        <v>18581.59971</v>
      </c>
      <c r="Q318" s="198">
        <f>SUMIFS('Business - Dump'!$W:$W,'Business - Dump'!$B:$B,'Portfolio Wise '!$B318,'Business - Dump'!$A:$A,'Portfolio Wise '!$A318)</f>
        <v>45</v>
      </c>
      <c r="R318" s="36">
        <f>SUMIFS('Business - Dump'!$U:$U,'Business - Dump'!$B:$B,'Portfolio Wise '!$B318,'Business - Dump'!$A:$A,'Portfolio Wise '!$A318)/1.18</f>
        <v>870504.7712</v>
      </c>
      <c r="S318" s="41">
        <f t="shared" si="9"/>
        <v>19344.55047</v>
      </c>
      <c r="T318" s="62">
        <f t="shared" si="10"/>
        <v>0.1657757944</v>
      </c>
      <c r="U318" s="38">
        <f t="shared" si="11"/>
        <v>6.032243751</v>
      </c>
      <c r="V318" s="130">
        <f>SUMIFS('Business - Dump'!$G:$G,'Business - Dump'!$B:$B,'Portfolio Wise '!$B318,'Business - Dump'!$A:$A,'Portfolio Wise '!$A318)</f>
        <v>15150</v>
      </c>
      <c r="W318" s="62">
        <f t="shared" si="12"/>
        <v>0.00297029703</v>
      </c>
      <c r="X318" s="23">
        <f t="shared" ref="X318:Y318" si="458">IFERROR(N318/Q318,0)</f>
        <v>0.6666666667</v>
      </c>
      <c r="Y318" s="49">
        <f t="shared" si="458"/>
        <v>0.640373275</v>
      </c>
      <c r="Z318" s="49">
        <f t="shared" si="14"/>
        <v>0.3333333333</v>
      </c>
      <c r="AA318" s="23">
        <f t="shared" si="15"/>
        <v>0.640373275</v>
      </c>
      <c r="AB318" s="23">
        <f>IFERROR(AVERAGEIFS('Business - Dump'!$O:$O,'Business - Dump'!$B:$B,'Portfolio Wise '!$B318,'Business - Dump'!$A:$A,'Portfolio Wise '!$A318),0)</f>
        <v>0.8673666667</v>
      </c>
      <c r="AC318" s="49">
        <f>F318/SUMIFS('Campaign - Dump'!$Q:$Q,'Campaign - Dump'!$A:$A,'Portfolio Wise '!$A318)</f>
        <v>0.2186241632</v>
      </c>
      <c r="AD318" s="49">
        <f t="shared" si="16"/>
        <v>2</v>
      </c>
    </row>
    <row r="319" ht="15.75" customHeight="1">
      <c r="A319" s="3" t="s">
        <v>70</v>
      </c>
      <c r="B319" s="19" t="s">
        <v>140</v>
      </c>
      <c r="C319" s="13">
        <f>SUMIFS('Campaign - Dump'!$N:$N,'Campaign - Dump'!$J:$J,'Portfolio Wise '!$B319,'Campaign - Dump'!$A:$A,'Portfolio Wise '!$A319)</f>
        <v>237058</v>
      </c>
      <c r="D319" s="13">
        <f>SUMIFS('Campaign - Dump'!$O:$O,'Campaign - Dump'!$J:$J,'Portfolio Wise '!$B319,'Campaign - Dump'!$A:$A,'Portfolio Wise '!$A319)</f>
        <v>667</v>
      </c>
      <c r="E319" s="23">
        <f t="shared" si="2"/>
        <v>0.002813657417</v>
      </c>
      <c r="F319" s="36">
        <f>SUMIFS('Campaign - Dump'!$Q:$Q,'Campaign - Dump'!$J:$J,'Portfolio Wise '!$B319,'Campaign - Dump'!$A:$A,'Portfolio Wise '!$A319)</f>
        <v>23444.51</v>
      </c>
      <c r="G319" s="38">
        <f t="shared" si="3"/>
        <v>35.1491904</v>
      </c>
      <c r="H319" s="41">
        <f>SUMIFS('Campaign - Dump'!$T:$T,'Campaign - Dump'!$J:$J,'Portfolio Wise '!$B319,'Campaign - Dump'!$A:$A,'Portfolio Wise '!$A319)</f>
        <v>4</v>
      </c>
      <c r="I319" s="23">
        <f t="shared" si="4"/>
        <v>0.005997001499</v>
      </c>
      <c r="J319" s="36">
        <f>SUMIFS('Campaign - Dump'!$U:$U,'Campaign - Dump'!$J:$J,'Portfolio Wise '!$B319,'Campaign - Dump'!$A:$A,'Portfolio Wise '!$A319)</f>
        <v>55811.86</v>
      </c>
      <c r="K319" s="23">
        <f t="shared" si="5"/>
        <v>0.4200632267</v>
      </c>
      <c r="L319" s="38">
        <f t="shared" si="6"/>
        <v>2.380594007</v>
      </c>
      <c r="M319" s="41">
        <f t="shared" si="7"/>
        <v>13952.965</v>
      </c>
      <c r="N319" s="127">
        <f t="shared" si="459"/>
        <v>6</v>
      </c>
      <c r="O319" s="36">
        <f t="shared" si="460"/>
        <v>237845.2586</v>
      </c>
      <c r="P319" s="41">
        <f t="shared" si="8"/>
        <v>39640.87644</v>
      </c>
      <c r="Q319" s="13">
        <f>SUMIFS('Business - Dump'!$W:$W,'Business - Dump'!$B:$B,'Portfolio Wise '!$B319,'Business - Dump'!$A:$A,'Portfolio Wise '!$A319)</f>
        <v>10</v>
      </c>
      <c r="R319" s="36">
        <f>SUMIFS('Business - Dump'!$U:$U,'Business - Dump'!$B:$B,'Portfolio Wise '!$B319,'Business - Dump'!$A:$A,'Portfolio Wise '!$A319)/1.18</f>
        <v>293657.1186</v>
      </c>
      <c r="S319" s="41">
        <f t="shared" si="9"/>
        <v>29365.71186</v>
      </c>
      <c r="T319" s="23">
        <f t="shared" si="10"/>
        <v>0.07983634147</v>
      </c>
      <c r="U319" s="38">
        <f t="shared" si="11"/>
        <v>12.52562406</v>
      </c>
      <c r="V319" s="41">
        <f>SUMIFS('Business - Dump'!$G:$G,'Business - Dump'!$B:$B,'Portfolio Wise '!$B319,'Business - Dump'!$A:$A,'Portfolio Wise '!$A319)</f>
        <v>4328</v>
      </c>
      <c r="W319" s="23">
        <f t="shared" si="12"/>
        <v>0.002310536044</v>
      </c>
      <c r="X319" s="23">
        <f t="shared" ref="X319:Y319" si="461">IFERROR(N319/Q319,0)</f>
        <v>0.6</v>
      </c>
      <c r="Y319" s="49">
        <f t="shared" si="461"/>
        <v>0.809942084</v>
      </c>
      <c r="Z319" s="49">
        <f t="shared" si="14"/>
        <v>0.4</v>
      </c>
      <c r="AA319" s="23">
        <f t="shared" si="15"/>
        <v>0.809942084</v>
      </c>
      <c r="AB319" s="23">
        <f>IFERROR(AVERAGEIFS('Business - Dump'!$O:$O,'Business - Dump'!$B:$B,'Portfolio Wise '!$B319,'Business - Dump'!$A:$A,'Portfolio Wise '!$A319),0)</f>
        <v>0.8895625</v>
      </c>
      <c r="AC319" s="49">
        <f>F319/SUMIFS('Campaign - Dump'!$Q:$Q,'Campaign - Dump'!$A:$A,'Portfolio Wise '!$A319)</f>
        <v>0.03551788092</v>
      </c>
      <c r="AD319" s="49">
        <f t="shared" si="16"/>
        <v>1.5</v>
      </c>
    </row>
    <row r="320" ht="15.75" customHeight="1">
      <c r="A320" s="3" t="s">
        <v>70</v>
      </c>
      <c r="B320" s="10" t="s">
        <v>152</v>
      </c>
      <c r="C320" s="13">
        <f>SUMIFS('Campaign - Dump'!$N:$N,'Campaign - Dump'!$J:$J,'Portfolio Wise '!$B320,'Campaign - Dump'!$A:$A,'Portfolio Wise '!$A320)</f>
        <v>0</v>
      </c>
      <c r="D320" s="13">
        <f>SUMIFS('Campaign - Dump'!$O:$O,'Campaign - Dump'!$J:$J,'Portfolio Wise '!$B320,'Campaign - Dump'!$A:$A,'Portfolio Wise '!$A320)</f>
        <v>0</v>
      </c>
      <c r="E320" s="23">
        <f t="shared" si="2"/>
        <v>0</v>
      </c>
      <c r="F320" s="36">
        <f>SUMIFS('Campaign - Dump'!$Q:$Q,'Campaign - Dump'!$J:$J,'Portfolio Wise '!$B320,'Campaign - Dump'!$A:$A,'Portfolio Wise '!$A320)</f>
        <v>0</v>
      </c>
      <c r="G320" s="38">
        <f t="shared" si="3"/>
        <v>0</v>
      </c>
      <c r="H320" s="41">
        <f>SUMIFS('Campaign - Dump'!$T:$T,'Campaign - Dump'!$J:$J,'Portfolio Wise '!$B320,'Campaign - Dump'!$A:$A,'Portfolio Wise '!$A320)</f>
        <v>0</v>
      </c>
      <c r="I320" s="23">
        <f t="shared" si="4"/>
        <v>0</v>
      </c>
      <c r="J320" s="36">
        <f>SUMIFS('Campaign - Dump'!$U:$U,'Campaign - Dump'!$J:$J,'Portfolio Wise '!$B320,'Campaign - Dump'!$A:$A,'Portfolio Wise '!$A320)</f>
        <v>0</v>
      </c>
      <c r="K320" s="23">
        <f t="shared" si="5"/>
        <v>0</v>
      </c>
      <c r="L320" s="38">
        <f t="shared" si="6"/>
        <v>0</v>
      </c>
      <c r="M320" s="41">
        <f t="shared" si="7"/>
        <v>0</v>
      </c>
      <c r="N320" s="13">
        <f t="shared" si="459"/>
        <v>0</v>
      </c>
      <c r="O320" s="36">
        <f t="shared" si="460"/>
        <v>0</v>
      </c>
      <c r="P320" s="41">
        <f t="shared" si="8"/>
        <v>0</v>
      </c>
      <c r="Q320" s="13">
        <f>SUMIFS('Business - Dump'!$W:$W,'Business - Dump'!$B:$B,'Portfolio Wise '!$B320,'Business - Dump'!$A:$A,'Portfolio Wise '!$A320)</f>
        <v>0</v>
      </c>
      <c r="R320" s="36">
        <f>SUMIFS('Business - Dump'!$U:$U,'Business - Dump'!$B:$B,'Portfolio Wise '!$B320,'Business - Dump'!$A:$A,'Portfolio Wise '!$A320)/1.18</f>
        <v>0</v>
      </c>
      <c r="S320" s="41">
        <f t="shared" si="9"/>
        <v>0</v>
      </c>
      <c r="T320" s="23">
        <f t="shared" si="10"/>
        <v>0</v>
      </c>
      <c r="U320" s="38">
        <f t="shared" si="11"/>
        <v>0</v>
      </c>
      <c r="V320" s="41">
        <f>SUMIFS('Business - Dump'!$G:$G,'Business - Dump'!$B:$B,'Portfolio Wise '!$B320,'Business - Dump'!$A:$A,'Portfolio Wise '!$A320)</f>
        <v>93</v>
      </c>
      <c r="W320" s="48">
        <f t="shared" si="12"/>
        <v>0</v>
      </c>
      <c r="X320" s="23">
        <f t="shared" ref="X320:Y320" si="462">IFERROR(N320/Q320,0)</f>
        <v>0</v>
      </c>
      <c r="Y320" s="49">
        <f t="shared" si="462"/>
        <v>0</v>
      </c>
      <c r="Z320" s="49">
        <f t="shared" si="14"/>
        <v>0</v>
      </c>
      <c r="AA320" s="23">
        <f t="shared" si="15"/>
        <v>0</v>
      </c>
      <c r="AB320" s="23">
        <f>IFERROR(AVERAGEIFS('Business - Dump'!$O:$O,'Business - Dump'!$B:$B,'Portfolio Wise '!$B320,'Business - Dump'!$A:$A,'Portfolio Wise '!$A320),0)</f>
        <v>0.9571</v>
      </c>
      <c r="AC320" s="49">
        <f>F320/SUMIFS('Campaign - Dump'!$Q:$Q,'Campaign - Dump'!$A:$A,'Portfolio Wise '!$A320)</f>
        <v>0</v>
      </c>
      <c r="AD320" s="49">
        <f t="shared" si="16"/>
        <v>0</v>
      </c>
    </row>
    <row r="321" ht="15.75" customHeight="1">
      <c r="A321" s="3" t="s">
        <v>70</v>
      </c>
      <c r="B321" s="19" t="s">
        <v>158</v>
      </c>
      <c r="C321" s="13">
        <f>SUMIFS('Campaign - Dump'!$N:$N,'Campaign - Dump'!$J:$J,'Portfolio Wise '!$B321,'Campaign - Dump'!$A:$A,'Portfolio Wise '!$A321)</f>
        <v>211597</v>
      </c>
      <c r="D321" s="13">
        <f>SUMIFS('Campaign - Dump'!$O:$O,'Campaign - Dump'!$J:$J,'Portfolio Wise '!$B321,'Campaign - Dump'!$A:$A,'Portfolio Wise '!$A321)</f>
        <v>1216</v>
      </c>
      <c r="E321" s="23">
        <f t="shared" si="2"/>
        <v>0.005746773347</v>
      </c>
      <c r="F321" s="36">
        <f>SUMIFS('Campaign - Dump'!$Q:$Q,'Campaign - Dump'!$J:$J,'Portfolio Wise '!$B321,'Campaign - Dump'!$A:$A,'Portfolio Wise '!$A321)</f>
        <v>17210.39</v>
      </c>
      <c r="G321" s="38">
        <f t="shared" si="3"/>
        <v>14.15328125</v>
      </c>
      <c r="H321" s="41">
        <f>SUMIFS('Campaign - Dump'!$T:$T,'Campaign - Dump'!$J:$J,'Portfolio Wise '!$B321,'Campaign - Dump'!$A:$A,'Portfolio Wise '!$A321)</f>
        <v>5</v>
      </c>
      <c r="I321" s="23">
        <f t="shared" si="4"/>
        <v>0.004111842105</v>
      </c>
      <c r="J321" s="36">
        <f>SUMIFS('Campaign - Dump'!$U:$U,'Campaign - Dump'!$J:$J,'Portfolio Wise '!$B321,'Campaign - Dump'!$A:$A,'Portfolio Wise '!$A321)</f>
        <v>22073.75</v>
      </c>
      <c r="K321" s="23">
        <f t="shared" si="5"/>
        <v>0.7796767654</v>
      </c>
      <c r="L321" s="38">
        <f t="shared" si="6"/>
        <v>1.282582789</v>
      </c>
      <c r="M321" s="41">
        <f t="shared" si="7"/>
        <v>4414.75</v>
      </c>
      <c r="N321" s="13">
        <f t="shared" si="459"/>
        <v>5</v>
      </c>
      <c r="O321" s="36">
        <f t="shared" si="460"/>
        <v>32781.33475</v>
      </c>
      <c r="P321" s="41">
        <f t="shared" si="8"/>
        <v>6556.266949</v>
      </c>
      <c r="Q321" s="13">
        <f>SUMIFS('Business - Dump'!$W:$W,'Business - Dump'!$B:$B,'Portfolio Wise '!$B321,'Business - Dump'!$A:$A,'Portfolio Wise '!$A321)</f>
        <v>10</v>
      </c>
      <c r="R321" s="36">
        <f>SUMIFS('Business - Dump'!$U:$U,'Business - Dump'!$B:$B,'Portfolio Wise '!$B321,'Business - Dump'!$A:$A,'Portfolio Wise '!$A321)/1.18</f>
        <v>54855.08475</v>
      </c>
      <c r="S321" s="41">
        <f t="shared" si="9"/>
        <v>5485.508475</v>
      </c>
      <c r="T321" s="201">
        <f t="shared" si="10"/>
        <v>0.3137428386</v>
      </c>
      <c r="U321" s="38">
        <f t="shared" si="11"/>
        <v>3.187323747</v>
      </c>
      <c r="V321" s="41">
        <f>SUMIFS('Business - Dump'!$G:$G,'Business - Dump'!$B:$B,'Portfolio Wise '!$B321,'Business - Dump'!$A:$A,'Portfolio Wise '!$A321)</f>
        <v>1757</v>
      </c>
      <c r="W321" s="48">
        <f t="shared" si="12"/>
        <v>0.005691519636</v>
      </c>
      <c r="X321" s="23">
        <f t="shared" ref="X321:Y321" si="463">IFERROR(N321/Q321,0)</f>
        <v>0.5</v>
      </c>
      <c r="Y321" s="49">
        <f t="shared" si="463"/>
        <v>0.5975988351</v>
      </c>
      <c r="Z321" s="49">
        <f t="shared" si="14"/>
        <v>0.5</v>
      </c>
      <c r="AA321" s="23">
        <f t="shared" si="15"/>
        <v>0.5975988351</v>
      </c>
      <c r="AB321" s="23">
        <f>IFERROR(AVERAGEIFS('Business - Dump'!$O:$O,'Business - Dump'!$B:$B,'Portfolio Wise '!$B321,'Business - Dump'!$A:$A,'Portfolio Wise '!$A321),0)</f>
        <v>0.84505</v>
      </c>
      <c r="AC321" s="49">
        <f>F321/SUMIFS('Campaign - Dump'!$Q:$Q,'Campaign - Dump'!$A:$A,'Portfolio Wise '!$A321)</f>
        <v>0.02607333583</v>
      </c>
      <c r="AD321" s="49">
        <f t="shared" si="16"/>
        <v>1</v>
      </c>
    </row>
    <row r="322" ht="15.75" customHeight="1">
      <c r="A322" s="3" t="s">
        <v>70</v>
      </c>
      <c r="B322" s="33" t="s">
        <v>170</v>
      </c>
      <c r="C322" s="13">
        <f>SUMIFS('Campaign - Dump'!$N:$N,'Campaign - Dump'!$J:$J,'Portfolio Wise '!$B322,'Campaign - Dump'!$A:$A,'Portfolio Wise '!$A322)</f>
        <v>0</v>
      </c>
      <c r="D322" s="13">
        <f>SUMIFS('Campaign - Dump'!$O:$O,'Campaign - Dump'!$J:$J,'Portfolio Wise '!$B322,'Campaign - Dump'!$A:$A,'Portfolio Wise '!$A322)</f>
        <v>0</v>
      </c>
      <c r="E322" s="23">
        <f t="shared" si="2"/>
        <v>0</v>
      </c>
      <c r="F322" s="36">
        <f>SUMIFS('Campaign - Dump'!$Q:$Q,'Campaign - Dump'!$J:$J,'Portfolio Wise '!$B322,'Campaign - Dump'!$A:$A,'Portfolio Wise '!$A322)</f>
        <v>0</v>
      </c>
      <c r="G322" s="38">
        <f t="shared" si="3"/>
        <v>0</v>
      </c>
      <c r="H322" s="41">
        <f>SUMIFS('Campaign - Dump'!$T:$T,'Campaign - Dump'!$J:$J,'Portfolio Wise '!$B322,'Campaign - Dump'!$A:$A,'Portfolio Wise '!$A322)</f>
        <v>0</v>
      </c>
      <c r="I322" s="23">
        <f t="shared" si="4"/>
        <v>0</v>
      </c>
      <c r="J322" s="36">
        <f>SUMIFS('Campaign - Dump'!$U:$U,'Campaign - Dump'!$J:$J,'Portfolio Wise '!$B322,'Campaign - Dump'!$A:$A,'Portfolio Wise '!$A322)</f>
        <v>0</v>
      </c>
      <c r="K322" s="23">
        <f t="shared" si="5"/>
        <v>0</v>
      </c>
      <c r="L322" s="38">
        <f t="shared" si="6"/>
        <v>0</v>
      </c>
      <c r="M322" s="41">
        <f t="shared" si="7"/>
        <v>0</v>
      </c>
      <c r="N322" s="13">
        <f t="shared" si="459"/>
        <v>1</v>
      </c>
      <c r="O322" s="36">
        <f t="shared" si="460"/>
        <v>7542.372881</v>
      </c>
      <c r="P322" s="41">
        <f t="shared" si="8"/>
        <v>7542.372881</v>
      </c>
      <c r="Q322" s="13">
        <f>SUMIFS('Business - Dump'!$W:$W,'Business - Dump'!$B:$B,'Portfolio Wise '!$B322,'Business - Dump'!$A:$A,'Portfolio Wise '!$A322)</f>
        <v>1</v>
      </c>
      <c r="R322" s="36">
        <f>SUMIFS('Business - Dump'!$U:$U,'Business - Dump'!$B:$B,'Portfolio Wise '!$B322,'Business - Dump'!$A:$A,'Portfolio Wise '!$A322)/1.18</f>
        <v>7542.372881</v>
      </c>
      <c r="S322" s="41">
        <f t="shared" si="9"/>
        <v>7542.372881</v>
      </c>
      <c r="T322" s="23">
        <f t="shared" si="10"/>
        <v>0</v>
      </c>
      <c r="U322" s="38">
        <f t="shared" si="11"/>
        <v>0</v>
      </c>
      <c r="V322" s="41">
        <f>SUMIFS('Business - Dump'!$G:$G,'Business - Dump'!$B:$B,'Portfolio Wise '!$B322,'Business - Dump'!$A:$A,'Portfolio Wise '!$A322)</f>
        <v>160</v>
      </c>
      <c r="W322" s="48">
        <f t="shared" si="12"/>
        <v>0.00625</v>
      </c>
      <c r="X322" s="23">
        <f t="shared" ref="X322:Y322" si="464">IFERROR(N322/Q322,0)</f>
        <v>1</v>
      </c>
      <c r="Y322" s="49">
        <f t="shared" si="464"/>
        <v>1</v>
      </c>
      <c r="Z322" s="49">
        <f t="shared" si="14"/>
        <v>0</v>
      </c>
      <c r="AA322" s="23">
        <f t="shared" si="15"/>
        <v>1</v>
      </c>
      <c r="AB322" s="23">
        <f>IFERROR(AVERAGEIFS('Business - Dump'!$O:$O,'Business - Dump'!$B:$B,'Portfolio Wise '!$B322,'Business - Dump'!$A:$A,'Portfolio Wise '!$A322),0)</f>
        <v>0.8667</v>
      </c>
      <c r="AC322" s="49">
        <f>F322/SUMIFS('Campaign - Dump'!$Q:$Q,'Campaign - Dump'!$A:$A,'Portfolio Wise '!$A322)</f>
        <v>0</v>
      </c>
      <c r="AD322" s="49">
        <f t="shared" si="16"/>
        <v>0</v>
      </c>
    </row>
    <row r="323" ht="15.75" customHeight="1">
      <c r="A323" s="3" t="s">
        <v>70</v>
      </c>
      <c r="B323" s="51" t="s">
        <v>176</v>
      </c>
      <c r="C323" s="13">
        <f>SUMIFS('Campaign - Dump'!$N:$N,'Campaign - Dump'!$J:$J,'Portfolio Wise '!$B323,'Campaign - Dump'!$A:$A,'Portfolio Wise '!$A323)</f>
        <v>10991</v>
      </c>
      <c r="D323" s="13">
        <f>SUMIFS('Campaign - Dump'!$O:$O,'Campaign - Dump'!$J:$J,'Portfolio Wise '!$B323,'Campaign - Dump'!$A:$A,'Portfolio Wise '!$A323)</f>
        <v>45</v>
      </c>
      <c r="E323" s="23">
        <f t="shared" si="2"/>
        <v>0.004094258939</v>
      </c>
      <c r="F323" s="36">
        <f>SUMIFS('Campaign - Dump'!$Q:$Q,'Campaign - Dump'!$J:$J,'Portfolio Wise '!$B323,'Campaign - Dump'!$A:$A,'Portfolio Wise '!$A323)</f>
        <v>881.5</v>
      </c>
      <c r="G323" s="38">
        <f t="shared" si="3"/>
        <v>19.58888889</v>
      </c>
      <c r="H323" s="41">
        <f>SUMIFS('Campaign - Dump'!$T:$T,'Campaign - Dump'!$J:$J,'Portfolio Wise '!$B323,'Campaign - Dump'!$A:$A,'Portfolio Wise '!$A323)</f>
        <v>0</v>
      </c>
      <c r="I323" s="23">
        <f t="shared" si="4"/>
        <v>0</v>
      </c>
      <c r="J323" s="36">
        <f>SUMIFS('Campaign - Dump'!$U:$U,'Campaign - Dump'!$J:$J,'Portfolio Wise '!$B323,'Campaign - Dump'!$A:$A,'Portfolio Wise '!$A323)</f>
        <v>0</v>
      </c>
      <c r="K323" s="23">
        <f t="shared" si="5"/>
        <v>0</v>
      </c>
      <c r="L323" s="38">
        <f t="shared" si="6"/>
        <v>0</v>
      </c>
      <c r="M323" s="41">
        <f t="shared" si="7"/>
        <v>0</v>
      </c>
      <c r="N323" s="13">
        <f t="shared" si="459"/>
        <v>17</v>
      </c>
      <c r="O323" s="36">
        <f t="shared" si="460"/>
        <v>350716.822</v>
      </c>
      <c r="P323" s="41">
        <f t="shared" si="8"/>
        <v>20630.4013</v>
      </c>
      <c r="Q323" s="13">
        <f>SUMIFS('Business - Dump'!$W:$W,'Business - Dump'!$B:$B,'Portfolio Wise '!$B323,'Business - Dump'!$A:$A,'Portfolio Wise '!$A323)</f>
        <v>17</v>
      </c>
      <c r="R323" s="36">
        <f>SUMIFS('Business - Dump'!$U:$U,'Business - Dump'!$B:$B,'Portfolio Wise '!$B323,'Business - Dump'!$A:$A,'Portfolio Wise '!$A323)/1.18</f>
        <v>350716.822</v>
      </c>
      <c r="S323" s="41">
        <f t="shared" si="9"/>
        <v>20630.4013</v>
      </c>
      <c r="T323" s="23">
        <f t="shared" si="10"/>
        <v>0.002513423778</v>
      </c>
      <c r="U323" s="38">
        <f t="shared" si="11"/>
        <v>397.8636665</v>
      </c>
      <c r="V323" s="41">
        <f>SUMIFS('Business - Dump'!$G:$G,'Business - Dump'!$B:$B,'Portfolio Wise '!$B323,'Business - Dump'!$A:$A,'Portfolio Wise '!$A323)</f>
        <v>4383</v>
      </c>
      <c r="W323" s="48">
        <f t="shared" si="12"/>
        <v>0.003878621948</v>
      </c>
      <c r="X323" s="23">
        <f t="shared" ref="X323:Y323" si="465">IFERROR(N323/Q323,0)</f>
        <v>1</v>
      </c>
      <c r="Y323" s="49">
        <f t="shared" si="465"/>
        <v>1</v>
      </c>
      <c r="Z323" s="49">
        <f t="shared" si="14"/>
        <v>0</v>
      </c>
      <c r="AA323" s="23">
        <f t="shared" si="15"/>
        <v>1</v>
      </c>
      <c r="AB323" s="23">
        <f>IFERROR(AVERAGEIFS('Business - Dump'!$O:$O,'Business - Dump'!$B:$B,'Portfolio Wise '!$B323,'Business - Dump'!$A:$A,'Portfolio Wise '!$A323),0)</f>
        <v>0.8670444444</v>
      </c>
      <c r="AC323" s="49">
        <f>F323/SUMIFS('Campaign - Dump'!$Q:$Q,'Campaign - Dump'!$A:$A,'Portfolio Wise '!$A323)</f>
        <v>0.001335451755</v>
      </c>
      <c r="AD323" s="49">
        <f t="shared" si="16"/>
        <v>0</v>
      </c>
    </row>
    <row r="324" ht="15.75" customHeight="1">
      <c r="A324" s="3" t="s">
        <v>70</v>
      </c>
      <c r="B324" s="100" t="s">
        <v>182</v>
      </c>
      <c r="C324" s="13">
        <f>SUMIFS('Campaign - Dump'!$N:$N,'Campaign - Dump'!$J:$J,'Portfolio Wise '!$B324,'Campaign - Dump'!$A:$A,'Portfolio Wise '!$A324)</f>
        <v>0</v>
      </c>
      <c r="D324" s="13">
        <f>SUMIFS('Campaign - Dump'!$O:$O,'Campaign - Dump'!$J:$J,'Portfolio Wise '!$B324,'Campaign - Dump'!$A:$A,'Portfolio Wise '!$A324)</f>
        <v>0</v>
      </c>
      <c r="E324" s="23">
        <f t="shared" si="2"/>
        <v>0</v>
      </c>
      <c r="F324" s="36">
        <f>SUMIFS('Campaign - Dump'!$Q:$Q,'Campaign - Dump'!$J:$J,'Portfolio Wise '!$B324,'Campaign - Dump'!$A:$A,'Portfolio Wise '!$A324)</f>
        <v>0</v>
      </c>
      <c r="G324" s="38">
        <f t="shared" si="3"/>
        <v>0</v>
      </c>
      <c r="H324" s="41">
        <f>SUMIFS('Campaign - Dump'!$T:$T,'Campaign - Dump'!$J:$J,'Portfolio Wise '!$B324,'Campaign - Dump'!$A:$A,'Portfolio Wise '!$A324)</f>
        <v>0</v>
      </c>
      <c r="I324" s="23">
        <f t="shared" si="4"/>
        <v>0</v>
      </c>
      <c r="J324" s="36">
        <f>SUMIFS('Campaign - Dump'!$U:$U,'Campaign - Dump'!$J:$J,'Portfolio Wise '!$B324,'Campaign - Dump'!$A:$A,'Portfolio Wise '!$A324)</f>
        <v>0</v>
      </c>
      <c r="K324" s="23">
        <f t="shared" si="5"/>
        <v>0</v>
      </c>
      <c r="L324" s="38">
        <f t="shared" si="6"/>
        <v>0</v>
      </c>
      <c r="M324" s="41">
        <f t="shared" si="7"/>
        <v>0</v>
      </c>
      <c r="N324" s="127">
        <f t="shared" si="459"/>
        <v>6</v>
      </c>
      <c r="O324" s="36">
        <f t="shared" si="460"/>
        <v>178815.322</v>
      </c>
      <c r="P324" s="41">
        <f t="shared" si="8"/>
        <v>29802.55367</v>
      </c>
      <c r="Q324" s="206">
        <f>SUMIFS('Business - Dump'!$W:$W,'Business - Dump'!$B:$B,'Portfolio Wise '!$B324,'Business - Dump'!$A:$A,'Portfolio Wise '!$A324)</f>
        <v>6</v>
      </c>
      <c r="R324" s="36">
        <f>SUMIFS('Business - Dump'!$U:$U,'Business - Dump'!$B:$B,'Portfolio Wise '!$B324,'Business - Dump'!$A:$A,'Portfolio Wise '!$A324)/1.18</f>
        <v>178815.322</v>
      </c>
      <c r="S324" s="41">
        <f t="shared" si="9"/>
        <v>29802.55367</v>
      </c>
      <c r="T324" s="23">
        <f t="shared" si="10"/>
        <v>0</v>
      </c>
      <c r="U324" s="38">
        <f t="shared" si="11"/>
        <v>0</v>
      </c>
      <c r="V324" s="41">
        <f>SUMIFS('Business - Dump'!$G:$G,'Business - Dump'!$B:$B,'Portfolio Wise '!$B324,'Business - Dump'!$A:$A,'Portfolio Wise '!$A324)</f>
        <v>3678</v>
      </c>
      <c r="W324" s="23">
        <f t="shared" si="12"/>
        <v>0.00163132137</v>
      </c>
      <c r="X324" s="23">
        <f t="shared" ref="X324:Y324" si="466">IFERROR(N324/Q324,0)</f>
        <v>1</v>
      </c>
      <c r="Y324" s="49">
        <f t="shared" si="466"/>
        <v>1</v>
      </c>
      <c r="Z324" s="49">
        <f t="shared" si="14"/>
        <v>0</v>
      </c>
      <c r="AA324" s="23">
        <f t="shared" si="15"/>
        <v>1</v>
      </c>
      <c r="AB324" s="23">
        <f>IFERROR(AVERAGEIFS('Business - Dump'!$O:$O,'Business - Dump'!$B:$B,'Portfolio Wise '!$B324,'Business - Dump'!$A:$A,'Portfolio Wise '!$A324),0)</f>
        <v>0.83212</v>
      </c>
      <c r="AC324" s="49">
        <f>F324/SUMIFS('Campaign - Dump'!$Q:$Q,'Campaign - Dump'!$A:$A,'Portfolio Wise '!$A324)</f>
        <v>0</v>
      </c>
      <c r="AD324" s="49">
        <f t="shared" si="16"/>
        <v>0</v>
      </c>
    </row>
    <row r="325" ht="15.75" customHeight="1">
      <c r="A325" s="3" t="s">
        <v>70</v>
      </c>
      <c r="B325" s="19" t="s">
        <v>196</v>
      </c>
      <c r="C325" s="13">
        <f>SUMIFS('Campaign - Dump'!$N:$N,'Campaign - Dump'!$J:$J,'Portfolio Wise '!$B325,'Campaign - Dump'!$A:$A,'Portfolio Wise '!$A325)</f>
        <v>93098</v>
      </c>
      <c r="D325" s="13">
        <f>SUMIFS('Campaign - Dump'!$O:$O,'Campaign - Dump'!$J:$J,'Portfolio Wise '!$B325,'Campaign - Dump'!$A:$A,'Portfolio Wise '!$A325)</f>
        <v>764</v>
      </c>
      <c r="E325" s="23">
        <f t="shared" si="2"/>
        <v>0.008206406153</v>
      </c>
      <c r="F325" s="36">
        <f>SUMIFS('Campaign - Dump'!$Q:$Q,'Campaign - Dump'!$J:$J,'Portfolio Wise '!$B325,'Campaign - Dump'!$A:$A,'Portfolio Wise '!$A325)</f>
        <v>23485.35</v>
      </c>
      <c r="G325" s="38">
        <f t="shared" si="3"/>
        <v>30.73998691</v>
      </c>
      <c r="H325" s="199">
        <f>SUMIFS('Campaign - Dump'!$T:$T,'Campaign - Dump'!$J:$J,'Portfolio Wise '!$B325,'Campaign - Dump'!$A:$A,'Portfolio Wise '!$A325)</f>
        <v>1</v>
      </c>
      <c r="I325" s="23">
        <f t="shared" si="4"/>
        <v>0.001308900524</v>
      </c>
      <c r="J325" s="36">
        <f>SUMIFS('Campaign - Dump'!$U:$U,'Campaign - Dump'!$J:$J,'Portfolio Wise '!$B325,'Campaign - Dump'!$A:$A,'Portfolio Wise '!$A325)</f>
        <v>29796.62</v>
      </c>
      <c r="K325" s="23">
        <f t="shared" si="5"/>
        <v>0.7881883918</v>
      </c>
      <c r="L325" s="38">
        <f t="shared" si="6"/>
        <v>1.26873221</v>
      </c>
      <c r="M325" s="41">
        <f t="shared" si="7"/>
        <v>29796.62</v>
      </c>
      <c r="N325" s="13">
        <v>0.0</v>
      </c>
      <c r="O325" s="36">
        <v>0.0</v>
      </c>
      <c r="P325" s="41">
        <f t="shared" si="8"/>
        <v>0</v>
      </c>
      <c r="Q325" s="13">
        <f>SUMIFS('Business - Dump'!$W:$W,'Business - Dump'!$B:$B,'Portfolio Wise '!$B325,'Business - Dump'!$A:$A,'Portfolio Wise '!$A325)</f>
        <v>0</v>
      </c>
      <c r="R325" s="36">
        <f>SUMIFS('Business - Dump'!$U:$U,'Business - Dump'!$B:$B,'Portfolio Wise '!$B325,'Business - Dump'!$A:$A,'Portfolio Wise '!$A325)/1.18</f>
        <v>0</v>
      </c>
      <c r="S325" s="41">
        <f t="shared" si="9"/>
        <v>0</v>
      </c>
      <c r="T325" s="23">
        <f t="shared" si="10"/>
        <v>0</v>
      </c>
      <c r="U325" s="38">
        <f t="shared" si="11"/>
        <v>0</v>
      </c>
      <c r="V325" s="41">
        <f>SUMIFS('Business - Dump'!$G:$G,'Business - Dump'!$B:$B,'Portfolio Wise '!$B325,'Business - Dump'!$A:$A,'Portfolio Wise '!$A325)</f>
        <v>0</v>
      </c>
      <c r="W325" s="48">
        <f t="shared" si="12"/>
        <v>0</v>
      </c>
      <c r="X325" s="23">
        <f t="shared" ref="X325:Y325" si="467">IFERROR(N325/Q325,0)</f>
        <v>0</v>
      </c>
      <c r="Y325" s="49">
        <f t="shared" si="467"/>
        <v>0</v>
      </c>
      <c r="Z325" s="49">
        <f t="shared" si="14"/>
        <v>0</v>
      </c>
      <c r="AA325" s="23">
        <f t="shared" si="15"/>
        <v>0</v>
      </c>
      <c r="AB325" s="23">
        <f>IFERROR(AVERAGEIFS('Business - Dump'!$O:$O,'Business - Dump'!$B:$B,'Portfolio Wise '!$B325,'Business - Dump'!$A:$A,'Portfolio Wise '!$A325),0)</f>
        <v>0</v>
      </c>
      <c r="AC325" s="49">
        <f>F325/SUMIFS('Campaign - Dump'!$Q:$Q,'Campaign - Dump'!$A:$A,'Portfolio Wise '!$A325)</f>
        <v>0.03557975256</v>
      </c>
      <c r="AD325" s="49">
        <f t="shared" si="16"/>
        <v>0</v>
      </c>
    </row>
    <row r="326" ht="15.75" customHeight="1">
      <c r="A326" s="3" t="s">
        <v>70</v>
      </c>
      <c r="B326" s="19" t="s">
        <v>205</v>
      </c>
      <c r="C326" s="13">
        <f>SUMIFS('Campaign - Dump'!$N:$N,'Campaign - Dump'!$J:$J,'Portfolio Wise '!$B326,'Campaign - Dump'!$A:$A,'Portfolio Wise '!$A326)</f>
        <v>845</v>
      </c>
      <c r="D326" s="13">
        <f>SUMIFS('Campaign - Dump'!$O:$O,'Campaign - Dump'!$J:$J,'Portfolio Wise '!$B326,'Campaign - Dump'!$A:$A,'Portfolio Wise '!$A326)</f>
        <v>1</v>
      </c>
      <c r="E326" s="23">
        <f t="shared" si="2"/>
        <v>0.001183431953</v>
      </c>
      <c r="F326" s="36">
        <f>SUMIFS('Campaign - Dump'!$Q:$Q,'Campaign - Dump'!$J:$J,'Portfolio Wise '!$B326,'Campaign - Dump'!$A:$A,'Portfolio Wise '!$A326)</f>
        <v>26.55</v>
      </c>
      <c r="G326" s="38">
        <f t="shared" si="3"/>
        <v>26.55</v>
      </c>
      <c r="H326" s="41">
        <f>SUMIFS('Campaign - Dump'!$T:$T,'Campaign - Dump'!$J:$J,'Portfolio Wise '!$B326,'Campaign - Dump'!$A:$A,'Portfolio Wise '!$A326)</f>
        <v>0</v>
      </c>
      <c r="I326" s="23">
        <f t="shared" si="4"/>
        <v>0</v>
      </c>
      <c r="J326" s="36">
        <f>SUMIFS('Campaign - Dump'!$U:$U,'Campaign - Dump'!$J:$J,'Portfolio Wise '!$B326,'Campaign - Dump'!$A:$A,'Portfolio Wise '!$A326)</f>
        <v>0</v>
      </c>
      <c r="K326" s="23">
        <f t="shared" si="5"/>
        <v>0</v>
      </c>
      <c r="L326" s="38">
        <f t="shared" si="6"/>
        <v>0</v>
      </c>
      <c r="M326" s="41">
        <f t="shared" si="7"/>
        <v>0</v>
      </c>
      <c r="N326" s="13">
        <f t="shared" ref="N326:N331" si="469">IFERROR(Q326-H326,0)</f>
        <v>14</v>
      </c>
      <c r="O326" s="36">
        <f t="shared" ref="O326:O331" si="470">IFERROR(R326-J326,0)</f>
        <v>470756.4407</v>
      </c>
      <c r="P326" s="41">
        <f t="shared" si="8"/>
        <v>33625.46005</v>
      </c>
      <c r="Q326" s="127">
        <f>SUMIFS('Business - Dump'!$W:$W,'Business - Dump'!$B:$B,'Portfolio Wise '!$B326,'Business - Dump'!$A:$A,'Portfolio Wise '!$A326)</f>
        <v>14</v>
      </c>
      <c r="R326" s="36">
        <f>SUMIFS('Business - Dump'!$U:$U,'Business - Dump'!$B:$B,'Portfolio Wise '!$B326,'Business - Dump'!$A:$A,'Portfolio Wise '!$A326)/1.18</f>
        <v>470756.4407</v>
      </c>
      <c r="S326" s="41">
        <f t="shared" si="9"/>
        <v>33625.46005</v>
      </c>
      <c r="T326" s="23">
        <f t="shared" si="10"/>
        <v>0.00005639859109</v>
      </c>
      <c r="U326" s="38">
        <f t="shared" si="11"/>
        <v>17730.93939</v>
      </c>
      <c r="V326" s="41">
        <f>SUMIFS('Business - Dump'!$G:$G,'Business - Dump'!$B:$B,'Portfolio Wise '!$B326,'Business - Dump'!$A:$A,'Portfolio Wise '!$A326)</f>
        <v>2641</v>
      </c>
      <c r="W326" s="48">
        <f t="shared" si="12"/>
        <v>0.00530102234</v>
      </c>
      <c r="X326" s="23">
        <f t="shared" ref="X326:Y326" si="468">IFERROR(N326/Q326,0)</f>
        <v>1</v>
      </c>
      <c r="Y326" s="49">
        <f t="shared" si="468"/>
        <v>1</v>
      </c>
      <c r="Z326" s="49">
        <f t="shared" si="14"/>
        <v>0</v>
      </c>
      <c r="AA326" s="23">
        <f t="shared" si="15"/>
        <v>1</v>
      </c>
      <c r="AB326" s="23">
        <f>IFERROR(AVERAGEIFS('Business - Dump'!$O:$O,'Business - Dump'!$B:$B,'Portfolio Wise '!$B326,'Business - Dump'!$A:$A,'Portfolio Wise '!$A326),0)</f>
        <v>0.8605444444</v>
      </c>
      <c r="AC326" s="49">
        <f>F326/SUMIFS('Campaign - Dump'!$Q:$Q,'Campaign - Dump'!$A:$A,'Portfolio Wise '!$A326)</f>
        <v>0.00004022262519</v>
      </c>
      <c r="AD326" s="49">
        <f t="shared" si="16"/>
        <v>0</v>
      </c>
    </row>
    <row r="327" ht="15.75" customHeight="1">
      <c r="A327" s="3" t="s">
        <v>70</v>
      </c>
      <c r="B327" s="10" t="s">
        <v>211</v>
      </c>
      <c r="C327" s="13">
        <f>SUMIFS('Campaign - Dump'!$N:$N,'Campaign - Dump'!$J:$J,'Portfolio Wise '!$B327,'Campaign - Dump'!$A:$A,'Portfolio Wise '!$A327)</f>
        <v>883717</v>
      </c>
      <c r="D327" s="13">
        <f>SUMIFS('Campaign - Dump'!$O:$O,'Campaign - Dump'!$J:$J,'Portfolio Wise '!$B327,'Campaign - Dump'!$A:$A,'Portfolio Wise '!$A327)</f>
        <v>6483</v>
      </c>
      <c r="E327" s="23">
        <f t="shared" si="2"/>
        <v>0.007336058942</v>
      </c>
      <c r="F327" s="36">
        <f>SUMIFS('Campaign - Dump'!$Q:$Q,'Campaign - Dump'!$J:$J,'Portfolio Wise '!$B327,'Campaign - Dump'!$A:$A,'Portfolio Wise '!$A327)</f>
        <v>39781.97</v>
      </c>
      <c r="G327" s="38">
        <f t="shared" si="3"/>
        <v>6.136351998</v>
      </c>
      <c r="H327" s="41">
        <f>SUMIFS('Campaign - Dump'!$T:$T,'Campaign - Dump'!$J:$J,'Portfolio Wise '!$B327,'Campaign - Dump'!$A:$A,'Portfolio Wise '!$A327)</f>
        <v>95</v>
      </c>
      <c r="I327" s="23">
        <f t="shared" si="4"/>
        <v>0.0146537097</v>
      </c>
      <c r="J327" s="36">
        <f>SUMIFS('Campaign - Dump'!$U:$U,'Campaign - Dump'!$J:$J,'Portfolio Wise '!$B327,'Campaign - Dump'!$A:$A,'Portfolio Wise '!$A327)</f>
        <v>264269.5</v>
      </c>
      <c r="K327" s="23">
        <f t="shared" si="5"/>
        <v>0.1505356085</v>
      </c>
      <c r="L327" s="38">
        <f t="shared" si="6"/>
        <v>6.642946541</v>
      </c>
      <c r="M327" s="41">
        <f t="shared" si="7"/>
        <v>2781.784211</v>
      </c>
      <c r="N327" s="13">
        <f t="shared" si="469"/>
        <v>153</v>
      </c>
      <c r="O327" s="36">
        <f t="shared" si="470"/>
        <v>147867.7881</v>
      </c>
      <c r="P327" s="41">
        <f t="shared" si="8"/>
        <v>966.4561316</v>
      </c>
      <c r="Q327" s="13">
        <f>SUMIFS('Business - Dump'!$W:$W,'Business - Dump'!$B:$B,'Portfolio Wise '!$B327,'Business - Dump'!$A:$A,'Portfolio Wise '!$A327)</f>
        <v>248</v>
      </c>
      <c r="R327" s="36">
        <f>SUMIFS('Business - Dump'!$U:$U,'Business - Dump'!$B:$B,'Portfolio Wise '!$B327,'Business - Dump'!$A:$A,'Portfolio Wise '!$A327)/1.18</f>
        <v>412137.2881</v>
      </c>
      <c r="S327" s="41">
        <f t="shared" si="9"/>
        <v>1661.843904</v>
      </c>
      <c r="T327" s="23">
        <f t="shared" si="10"/>
        <v>0.09652601486</v>
      </c>
      <c r="U327" s="38">
        <f t="shared" si="11"/>
        <v>10.35990144</v>
      </c>
      <c r="V327" s="41">
        <f>SUMIFS('Business - Dump'!$G:$G,'Business - Dump'!$B:$B,'Portfolio Wise '!$B327,'Business - Dump'!$A:$A,'Portfolio Wise '!$A327)</f>
        <v>15979</v>
      </c>
      <c r="W327" s="48">
        <f t="shared" si="12"/>
        <v>0.01552037049</v>
      </c>
      <c r="X327" s="23">
        <f t="shared" ref="X327:Y327" si="471">IFERROR(N327/Q327,0)</f>
        <v>0.6169354839</v>
      </c>
      <c r="Y327" s="49">
        <f t="shared" si="471"/>
        <v>0.3587828435</v>
      </c>
      <c r="Z327" s="49">
        <f t="shared" si="14"/>
        <v>0.3830645161</v>
      </c>
      <c r="AA327" s="23">
        <f t="shared" si="15"/>
        <v>0.3587828435</v>
      </c>
      <c r="AB327" s="23">
        <f>IFERROR(AVERAGEIFS('Business - Dump'!$O:$O,'Business - Dump'!$B:$B,'Portfolio Wise '!$B327,'Business - Dump'!$A:$A,'Portfolio Wise '!$A327),0)</f>
        <v>0.979</v>
      </c>
      <c r="AC327" s="49">
        <f>F327/SUMIFS('Campaign - Dump'!$Q:$Q,'Campaign - Dump'!$A:$A,'Portfolio Wise '!$A327)</f>
        <v>0.06026874834</v>
      </c>
      <c r="AD327" s="49">
        <f t="shared" si="16"/>
        <v>1.610526316</v>
      </c>
    </row>
    <row r="328" ht="15.75" customHeight="1">
      <c r="A328" s="3" t="s">
        <v>70</v>
      </c>
      <c r="B328" s="19" t="s">
        <v>217</v>
      </c>
      <c r="C328" s="13">
        <f>SUMIFS('Campaign - Dump'!$N:$N,'Campaign - Dump'!$J:$J,'Portfolio Wise '!$B328,'Campaign - Dump'!$A:$A,'Portfolio Wise '!$A328)</f>
        <v>222039</v>
      </c>
      <c r="D328" s="13">
        <f>SUMIFS('Campaign - Dump'!$O:$O,'Campaign - Dump'!$J:$J,'Portfolio Wise '!$B328,'Campaign - Dump'!$A:$A,'Portfolio Wise '!$A328)</f>
        <v>1282</v>
      </c>
      <c r="E328" s="23">
        <f t="shared" si="2"/>
        <v>0.005773760466</v>
      </c>
      <c r="F328" s="36">
        <f>SUMIFS('Campaign - Dump'!$Q:$Q,'Campaign - Dump'!$J:$J,'Portfolio Wise '!$B328,'Campaign - Dump'!$A:$A,'Portfolio Wise '!$A328)</f>
        <v>5713.1</v>
      </c>
      <c r="G328" s="38">
        <f t="shared" si="3"/>
        <v>4.456396256</v>
      </c>
      <c r="H328" s="41">
        <f>SUMIFS('Campaign - Dump'!$T:$T,'Campaign - Dump'!$J:$J,'Portfolio Wise '!$B328,'Campaign - Dump'!$A:$A,'Portfolio Wise '!$A328)</f>
        <v>19</v>
      </c>
      <c r="I328" s="23">
        <f t="shared" si="4"/>
        <v>0.01482059282</v>
      </c>
      <c r="J328" s="36">
        <f>SUMIFS('Campaign - Dump'!$U:$U,'Campaign - Dump'!$J:$J,'Portfolio Wise '!$B328,'Campaign - Dump'!$A:$A,'Portfolio Wise '!$A328)</f>
        <v>52216.99</v>
      </c>
      <c r="K328" s="23">
        <f t="shared" si="5"/>
        <v>0.1094107493</v>
      </c>
      <c r="L328" s="38">
        <f t="shared" si="6"/>
        <v>9.139869773</v>
      </c>
      <c r="M328" s="41">
        <f t="shared" si="7"/>
        <v>2748.262632</v>
      </c>
      <c r="N328" s="13">
        <f t="shared" si="469"/>
        <v>8</v>
      </c>
      <c r="O328" s="36">
        <f t="shared" si="470"/>
        <v>-23004.27814</v>
      </c>
      <c r="P328" s="41">
        <f t="shared" si="8"/>
        <v>-2875.534767</v>
      </c>
      <c r="Q328" s="13">
        <f>SUMIFS('Business - Dump'!$W:$W,'Business - Dump'!$B:$B,'Portfolio Wise '!$B328,'Business - Dump'!$A:$A,'Portfolio Wise '!$A328)</f>
        <v>27</v>
      </c>
      <c r="R328" s="36">
        <f>SUMIFS('Business - Dump'!$U:$U,'Business - Dump'!$B:$B,'Portfolio Wise '!$B328,'Business - Dump'!$A:$A,'Portfolio Wise '!$A328)/1.18</f>
        <v>29212.71186</v>
      </c>
      <c r="S328" s="41">
        <f t="shared" si="9"/>
        <v>1081.952291</v>
      </c>
      <c r="T328" s="201">
        <f t="shared" si="10"/>
        <v>0.195568971</v>
      </c>
      <c r="U328" s="38">
        <f t="shared" si="11"/>
        <v>5.113285583</v>
      </c>
      <c r="V328" s="41">
        <f>SUMIFS('Business - Dump'!$G:$G,'Business - Dump'!$B:$B,'Portfolio Wise '!$B328,'Business - Dump'!$A:$A,'Portfolio Wise '!$A328)</f>
        <v>1960</v>
      </c>
      <c r="W328" s="48">
        <f t="shared" si="12"/>
        <v>0.0137755102</v>
      </c>
      <c r="X328" s="23">
        <f t="shared" ref="X328:Y328" si="472">IFERROR(N328/Q328,0)</f>
        <v>0.2962962963</v>
      </c>
      <c r="Y328" s="49">
        <f t="shared" si="472"/>
        <v>-0.7874749268</v>
      </c>
      <c r="Z328" s="49">
        <f t="shared" si="14"/>
        <v>0.7037037037</v>
      </c>
      <c r="AA328" s="23">
        <f t="shared" si="15"/>
        <v>-0.7874749268</v>
      </c>
      <c r="AB328" s="23">
        <f>IFERROR(AVERAGEIFS('Business - Dump'!$O:$O,'Business - Dump'!$B:$B,'Portfolio Wise '!$B328,'Business - Dump'!$A:$A,'Portfolio Wise '!$A328),0)</f>
        <v>0.9892</v>
      </c>
      <c r="AC328" s="49">
        <f>F328/SUMIFS('Campaign - Dump'!$Q:$Q,'Campaign - Dump'!$A:$A,'Portfolio Wise '!$A328)</f>
        <v>0.008655212051</v>
      </c>
      <c r="AD328" s="49">
        <f t="shared" si="16"/>
        <v>0.4210526316</v>
      </c>
    </row>
    <row r="329" ht="15.75" customHeight="1">
      <c r="A329" s="3" t="s">
        <v>70</v>
      </c>
      <c r="B329" s="33" t="s">
        <v>230</v>
      </c>
      <c r="C329" s="13">
        <f>SUMIFS('Campaign - Dump'!$N:$N,'Campaign - Dump'!$J:$J,'Portfolio Wise '!$B329,'Campaign - Dump'!$A:$A,'Portfolio Wise '!$A329)</f>
        <v>54047</v>
      </c>
      <c r="D329" s="13">
        <f>SUMIFS('Campaign - Dump'!$O:$O,'Campaign - Dump'!$J:$J,'Portfolio Wise '!$B329,'Campaign - Dump'!$A:$A,'Portfolio Wise '!$A329)</f>
        <v>227</v>
      </c>
      <c r="E329" s="23">
        <f t="shared" si="2"/>
        <v>0.004200048106</v>
      </c>
      <c r="F329" s="36">
        <f>SUMIFS('Campaign - Dump'!$Q:$Q,'Campaign - Dump'!$J:$J,'Portfolio Wise '!$B329,'Campaign - Dump'!$A:$A,'Portfolio Wise '!$A329)</f>
        <v>9597.71</v>
      </c>
      <c r="G329" s="38">
        <f t="shared" si="3"/>
        <v>42.28066079</v>
      </c>
      <c r="H329" s="41">
        <f>SUMIFS('Campaign - Dump'!$T:$T,'Campaign - Dump'!$J:$J,'Portfolio Wise '!$B329,'Campaign - Dump'!$A:$A,'Portfolio Wise '!$A329)</f>
        <v>1</v>
      </c>
      <c r="I329" s="23">
        <f t="shared" si="4"/>
        <v>0.004405286344</v>
      </c>
      <c r="J329" s="36">
        <f>SUMIFS('Campaign - Dump'!$U:$U,'Campaign - Dump'!$J:$J,'Portfolio Wise '!$B329,'Campaign - Dump'!$A:$A,'Portfolio Wise '!$A329)</f>
        <v>23135.6</v>
      </c>
      <c r="K329" s="23">
        <f t="shared" si="5"/>
        <v>0.4148459517</v>
      </c>
      <c r="L329" s="38">
        <f t="shared" si="6"/>
        <v>2.410533346</v>
      </c>
      <c r="M329" s="41">
        <f t="shared" si="7"/>
        <v>23135.6</v>
      </c>
      <c r="N329" s="13">
        <f t="shared" si="469"/>
        <v>25</v>
      </c>
      <c r="O329" s="36">
        <f t="shared" si="470"/>
        <v>575508.1627</v>
      </c>
      <c r="P329" s="41">
        <f t="shared" si="8"/>
        <v>23020.32651</v>
      </c>
      <c r="Q329" s="13">
        <f>SUMIFS('Business - Dump'!$W:$W,'Business - Dump'!$B:$B,'Portfolio Wise '!$B329,'Business - Dump'!$A:$A,'Portfolio Wise '!$A329)</f>
        <v>26</v>
      </c>
      <c r="R329" s="36">
        <f>SUMIFS('Business - Dump'!$U:$U,'Business - Dump'!$B:$B,'Portfolio Wise '!$B329,'Business - Dump'!$A:$A,'Portfolio Wise '!$A329)/1.18</f>
        <v>598643.7627</v>
      </c>
      <c r="S329" s="41">
        <f t="shared" si="9"/>
        <v>23024.7601</v>
      </c>
      <c r="T329" s="23">
        <f t="shared" si="10"/>
        <v>0.01603242295</v>
      </c>
      <c r="U329" s="38">
        <f t="shared" si="11"/>
        <v>62.37360399</v>
      </c>
      <c r="V329" s="41">
        <f>SUMIFS('Business - Dump'!$G:$G,'Business - Dump'!$B:$B,'Portfolio Wise '!$B329,'Business - Dump'!$A:$A,'Portfolio Wise '!$A329)</f>
        <v>3081</v>
      </c>
      <c r="W329" s="23">
        <f t="shared" si="12"/>
        <v>0.008438818565</v>
      </c>
      <c r="X329" s="23">
        <f t="shared" ref="X329:Y329" si="473">IFERROR(N329/Q329,0)</f>
        <v>0.9615384615</v>
      </c>
      <c r="Y329" s="49">
        <f t="shared" si="473"/>
        <v>0.9613533099</v>
      </c>
      <c r="Z329" s="49">
        <f t="shared" si="14"/>
        <v>0.03846153846</v>
      </c>
      <c r="AA329" s="23">
        <f t="shared" si="15"/>
        <v>0.9613533099</v>
      </c>
      <c r="AB329" s="23">
        <f>IFERROR(AVERAGEIFS('Business - Dump'!$O:$O,'Business - Dump'!$B:$B,'Portfolio Wise '!$B329,'Business - Dump'!$A:$A,'Portfolio Wise '!$A329),0)</f>
        <v>0.911</v>
      </c>
      <c r="AC329" s="49">
        <f>F329/SUMIFS('Campaign - Dump'!$Q:$Q,'Campaign - Dump'!$A:$A,'Portfolio Wise '!$A329)</f>
        <v>0.01454030478</v>
      </c>
      <c r="AD329" s="49">
        <f t="shared" si="16"/>
        <v>25</v>
      </c>
    </row>
    <row r="330" ht="15.75" customHeight="1">
      <c r="A330" s="3" t="s">
        <v>70</v>
      </c>
      <c r="B330" s="19" t="s">
        <v>232</v>
      </c>
      <c r="C330" s="13">
        <f>SUMIFS('Campaign - Dump'!$N:$N,'Campaign - Dump'!$J:$J,'Portfolio Wise '!$B330,'Campaign - Dump'!$A:$A,'Portfolio Wise '!$A330)</f>
        <v>80598</v>
      </c>
      <c r="D330" s="13">
        <f>SUMIFS('Campaign - Dump'!$O:$O,'Campaign - Dump'!$J:$J,'Portfolio Wise '!$B330,'Campaign - Dump'!$A:$A,'Portfolio Wise '!$A330)</f>
        <v>50</v>
      </c>
      <c r="E330" s="23">
        <f t="shared" si="2"/>
        <v>0.0006203627882</v>
      </c>
      <c r="F330" s="36">
        <f>SUMIFS('Campaign - Dump'!$Q:$Q,'Campaign - Dump'!$J:$J,'Portfolio Wise '!$B330,'Campaign - Dump'!$A:$A,'Portfolio Wise '!$A330)</f>
        <v>1244.74</v>
      </c>
      <c r="G330" s="38">
        <f t="shared" si="3"/>
        <v>24.8948</v>
      </c>
      <c r="H330" s="41">
        <f>SUMIFS('Campaign - Dump'!$T:$T,'Campaign - Dump'!$J:$J,'Portfolio Wise '!$B330,'Campaign - Dump'!$A:$A,'Portfolio Wise '!$A330)</f>
        <v>0</v>
      </c>
      <c r="I330" s="23">
        <f t="shared" si="4"/>
        <v>0</v>
      </c>
      <c r="J330" s="36">
        <f>SUMIFS('Campaign - Dump'!$U:$U,'Campaign - Dump'!$J:$J,'Portfolio Wise '!$B330,'Campaign - Dump'!$A:$A,'Portfolio Wise '!$A330)</f>
        <v>0</v>
      </c>
      <c r="K330" s="23">
        <f t="shared" si="5"/>
        <v>0</v>
      </c>
      <c r="L330" s="38">
        <f t="shared" si="6"/>
        <v>0</v>
      </c>
      <c r="M330" s="41">
        <f t="shared" si="7"/>
        <v>0</v>
      </c>
      <c r="N330" s="13">
        <f t="shared" si="469"/>
        <v>6</v>
      </c>
      <c r="O330" s="36">
        <f t="shared" si="470"/>
        <v>89841.42373</v>
      </c>
      <c r="P330" s="41">
        <f t="shared" si="8"/>
        <v>14973.57062</v>
      </c>
      <c r="Q330" s="13">
        <f>SUMIFS('Business - Dump'!$W:$W,'Business - Dump'!$B:$B,'Portfolio Wise '!$B330,'Business - Dump'!$A:$A,'Portfolio Wise '!$A330)</f>
        <v>6</v>
      </c>
      <c r="R330" s="36">
        <f>SUMIFS('Business - Dump'!$U:$U,'Business - Dump'!$B:$B,'Portfolio Wise '!$B330,'Business - Dump'!$A:$A,'Portfolio Wise '!$A330)/1.18</f>
        <v>89841.42373</v>
      </c>
      <c r="S330" s="41">
        <f t="shared" si="9"/>
        <v>14973.57062</v>
      </c>
      <c r="T330" s="23">
        <f t="shared" si="10"/>
        <v>0.01385485613</v>
      </c>
      <c r="U330" s="38">
        <f t="shared" si="11"/>
        <v>72.17685921</v>
      </c>
      <c r="V330" s="41">
        <f>SUMIFS('Business - Dump'!$G:$G,'Business - Dump'!$B:$B,'Portfolio Wise '!$B330,'Business - Dump'!$A:$A,'Portfolio Wise '!$A330)</f>
        <v>1344</v>
      </c>
      <c r="W330" s="48">
        <f t="shared" si="12"/>
        <v>0.004464285714</v>
      </c>
      <c r="X330" s="23">
        <f t="shared" ref="X330:Y330" si="474">IFERROR(N330/Q330,0)</f>
        <v>1</v>
      </c>
      <c r="Y330" s="49">
        <f t="shared" si="474"/>
        <v>1</v>
      </c>
      <c r="Z330" s="49">
        <f t="shared" si="14"/>
        <v>0</v>
      </c>
      <c r="AA330" s="23">
        <f t="shared" si="15"/>
        <v>1</v>
      </c>
      <c r="AB330" s="23">
        <f>IFERROR(AVERAGEIFS('Business - Dump'!$O:$O,'Business - Dump'!$B:$B,'Portfolio Wise '!$B330,'Business - Dump'!$A:$A,'Portfolio Wise '!$A330),0)</f>
        <v>0.8780888889</v>
      </c>
      <c r="AC330" s="49">
        <f>F330/SUMIFS('Campaign - Dump'!$Q:$Q,'Campaign - Dump'!$A:$A,'Portfolio Wise '!$A330)</f>
        <v>0.001885751807</v>
      </c>
      <c r="AD330" s="49">
        <f t="shared" si="16"/>
        <v>0</v>
      </c>
    </row>
    <row r="331" ht="15.75" customHeight="1">
      <c r="A331" s="3" t="s">
        <v>70</v>
      </c>
      <c r="B331" s="10" t="s">
        <v>429</v>
      </c>
      <c r="C331" s="13">
        <f>SUMIFS('Campaign - Dump'!$N:$N,'Campaign - Dump'!$J:$J,'Portfolio Wise '!$B331,'Campaign - Dump'!$A:$A,'Portfolio Wise '!$A331)</f>
        <v>12349</v>
      </c>
      <c r="D331" s="13">
        <f>SUMIFS('Campaign - Dump'!$O:$O,'Campaign - Dump'!$J:$J,'Portfolio Wise '!$B331,'Campaign - Dump'!$A:$A,'Portfolio Wise '!$A331)</f>
        <v>51</v>
      </c>
      <c r="E331" s="23">
        <f t="shared" si="2"/>
        <v>0.00412988906</v>
      </c>
      <c r="F331" s="36">
        <f>SUMIFS('Campaign - Dump'!$Q:$Q,'Campaign - Dump'!$J:$J,'Portfolio Wise '!$B331,'Campaign - Dump'!$A:$A,'Portfolio Wise '!$A331)</f>
        <v>1310.79</v>
      </c>
      <c r="G331" s="38">
        <f t="shared" si="3"/>
        <v>25.70176471</v>
      </c>
      <c r="H331" s="41">
        <f>SUMIFS('Campaign - Dump'!$T:$T,'Campaign - Dump'!$J:$J,'Portfolio Wise '!$B331,'Campaign - Dump'!$A:$A,'Portfolio Wise '!$A331)</f>
        <v>0</v>
      </c>
      <c r="I331" s="23">
        <f t="shared" si="4"/>
        <v>0</v>
      </c>
      <c r="J331" s="36">
        <f>SUMIFS('Campaign - Dump'!$U:$U,'Campaign - Dump'!$J:$J,'Portfolio Wise '!$B331,'Campaign - Dump'!$A:$A,'Portfolio Wise '!$A331)</f>
        <v>0</v>
      </c>
      <c r="K331" s="23">
        <f t="shared" si="5"/>
        <v>0</v>
      </c>
      <c r="L331" s="38">
        <f t="shared" si="6"/>
        <v>0</v>
      </c>
      <c r="M331" s="41">
        <f t="shared" si="7"/>
        <v>0</v>
      </c>
      <c r="N331" s="13">
        <f t="shared" si="469"/>
        <v>0</v>
      </c>
      <c r="O331" s="36">
        <f t="shared" si="470"/>
        <v>0</v>
      </c>
      <c r="P331" s="41">
        <f t="shared" si="8"/>
        <v>0</v>
      </c>
      <c r="Q331" s="13">
        <f>SUMIFS('Business - Dump'!$W:$W,'Business - Dump'!$B:$B,'Portfolio Wise '!$B331,'Business - Dump'!$A:$A,'Portfolio Wise '!$A331)</f>
        <v>0</v>
      </c>
      <c r="R331" s="36">
        <f>SUMIFS('Business - Dump'!$U:$U,'Business - Dump'!$B:$B,'Portfolio Wise '!$B331,'Business - Dump'!$A:$A,'Portfolio Wise '!$A331)/1.18</f>
        <v>0</v>
      </c>
      <c r="S331" s="41">
        <f t="shared" si="9"/>
        <v>0</v>
      </c>
      <c r="T331" s="23">
        <f t="shared" si="10"/>
        <v>0</v>
      </c>
      <c r="U331" s="38">
        <f t="shared" si="11"/>
        <v>0</v>
      </c>
      <c r="V331" s="41">
        <f>SUMIFS('Business - Dump'!$G:$G,'Business - Dump'!$B:$B,'Portfolio Wise '!$B331,'Business - Dump'!$A:$A,'Portfolio Wise '!$A331)</f>
        <v>253</v>
      </c>
      <c r="W331" s="48">
        <f t="shared" si="12"/>
        <v>0</v>
      </c>
      <c r="X331" s="23">
        <f t="shared" ref="X331:Y331" si="475">IFERROR(N331/Q331,0)</f>
        <v>0</v>
      </c>
      <c r="Y331" s="49">
        <f t="shared" si="475"/>
        <v>0</v>
      </c>
      <c r="Z331" s="49">
        <f t="shared" si="14"/>
        <v>0</v>
      </c>
      <c r="AA331" s="23">
        <f t="shared" si="15"/>
        <v>0</v>
      </c>
      <c r="AB331" s="23">
        <f>IFERROR(AVERAGEIFS('Business - Dump'!$O:$O,'Business - Dump'!$B:$B,'Portfolio Wise '!$B331,'Business - Dump'!$A:$A,'Portfolio Wise '!$A331),0)</f>
        <v>0.93784</v>
      </c>
      <c r="AC331" s="49">
        <f>F331/SUMIFS('Campaign - Dump'!$Q:$Q,'Campaign - Dump'!$A:$A,'Portfolio Wise '!$A331)</f>
        <v>0.001985816003</v>
      </c>
      <c r="AD331" s="49">
        <f t="shared" si="16"/>
        <v>0</v>
      </c>
    </row>
    <row r="332" ht="15.75" customHeight="1">
      <c r="A332" s="3" t="s">
        <v>70</v>
      </c>
      <c r="B332" s="51" t="s">
        <v>239</v>
      </c>
      <c r="C332" s="13">
        <f>SUMIFS('Campaign - Dump'!$N:$N,'Campaign - Dump'!$J:$J,'Portfolio Wise '!$B332,'Campaign - Dump'!$A:$A,'Portfolio Wise '!$A332)</f>
        <v>0</v>
      </c>
      <c r="D332" s="13">
        <f>SUMIFS('Campaign - Dump'!$O:$O,'Campaign - Dump'!$J:$J,'Portfolio Wise '!$B332,'Campaign - Dump'!$A:$A,'Portfolio Wise '!$A332)</f>
        <v>0</v>
      </c>
      <c r="E332" s="23">
        <f t="shared" si="2"/>
        <v>0</v>
      </c>
      <c r="F332" s="36">
        <f>SUMIFS('Campaign - Dump'!$Q:$Q,'Campaign - Dump'!$J:$J,'Portfolio Wise '!$B332,'Campaign - Dump'!$A:$A,'Portfolio Wise '!$A332)</f>
        <v>0</v>
      </c>
      <c r="G332" s="38">
        <f t="shared" si="3"/>
        <v>0</v>
      </c>
      <c r="H332" s="41">
        <f>SUMIFS('Campaign - Dump'!$T:$T,'Campaign - Dump'!$J:$J,'Portfolio Wise '!$B332,'Campaign - Dump'!$A:$A,'Portfolio Wise '!$A332)</f>
        <v>0</v>
      </c>
      <c r="I332" s="23">
        <f t="shared" si="4"/>
        <v>0</v>
      </c>
      <c r="J332" s="36">
        <f>SUMIFS('Campaign - Dump'!$U:$U,'Campaign - Dump'!$J:$J,'Portfolio Wise '!$B332,'Campaign - Dump'!$A:$A,'Portfolio Wise '!$A332)</f>
        <v>0</v>
      </c>
      <c r="K332" s="23">
        <f t="shared" si="5"/>
        <v>0</v>
      </c>
      <c r="L332" s="38">
        <f t="shared" si="6"/>
        <v>0</v>
      </c>
      <c r="M332" s="41">
        <f t="shared" si="7"/>
        <v>0</v>
      </c>
      <c r="N332" s="13">
        <v>0.0</v>
      </c>
      <c r="O332" s="36">
        <v>0.0</v>
      </c>
      <c r="P332" s="41">
        <f t="shared" si="8"/>
        <v>0</v>
      </c>
      <c r="Q332" s="13">
        <f>SUMIFS('Business - Dump'!$W:$W,'Business - Dump'!$B:$B,'Portfolio Wise '!$B332,'Business - Dump'!$A:$A,'Portfolio Wise '!$A332)</f>
        <v>0</v>
      </c>
      <c r="R332" s="36">
        <f>SUMIFS('Business - Dump'!$U:$U,'Business - Dump'!$B:$B,'Portfolio Wise '!$B332,'Business - Dump'!$A:$A,'Portfolio Wise '!$A332)/1.18</f>
        <v>0</v>
      </c>
      <c r="S332" s="41">
        <f t="shared" si="9"/>
        <v>0</v>
      </c>
      <c r="T332" s="23">
        <f t="shared" si="10"/>
        <v>0</v>
      </c>
      <c r="U332" s="38">
        <f t="shared" si="11"/>
        <v>0</v>
      </c>
      <c r="V332" s="41">
        <f>SUMIFS('Business - Dump'!$G:$G,'Business - Dump'!$B:$B,'Portfolio Wise '!$B332,'Business - Dump'!$A:$A,'Portfolio Wise '!$A332)</f>
        <v>0</v>
      </c>
      <c r="W332" s="48">
        <f t="shared" si="12"/>
        <v>0</v>
      </c>
      <c r="X332" s="23">
        <f t="shared" ref="X332:Y332" si="476">IFERROR(N332/Q332,0)</f>
        <v>0</v>
      </c>
      <c r="Y332" s="49">
        <f t="shared" si="476"/>
        <v>0</v>
      </c>
      <c r="Z332" s="49">
        <f t="shared" si="14"/>
        <v>0</v>
      </c>
      <c r="AA332" s="23">
        <f t="shared" si="15"/>
        <v>0</v>
      </c>
      <c r="AB332" s="23">
        <f>IFERROR(AVERAGEIFS('Business - Dump'!$O:$O,'Business - Dump'!$B:$B,'Portfolio Wise '!$B332,'Business - Dump'!$A:$A,'Portfolio Wise '!$A332),0)</f>
        <v>0</v>
      </c>
      <c r="AC332" s="49">
        <f>F332/SUMIFS('Campaign - Dump'!$Q:$Q,'Campaign - Dump'!$A:$A,'Portfolio Wise '!$A332)</f>
        <v>0</v>
      </c>
      <c r="AD332" s="49">
        <f t="shared" si="16"/>
        <v>0</v>
      </c>
    </row>
    <row r="333" ht="15.75" customHeight="1">
      <c r="A333" s="3" t="s">
        <v>70</v>
      </c>
      <c r="B333" s="19" t="s">
        <v>240</v>
      </c>
      <c r="C333" s="13">
        <f>SUMIFS('Campaign - Dump'!$N:$N,'Campaign - Dump'!$J:$J,'Portfolio Wise '!$B333,'Campaign - Dump'!$A:$A,'Portfolio Wise '!$A333)</f>
        <v>0</v>
      </c>
      <c r="D333" s="13">
        <f>SUMIFS('Campaign - Dump'!$O:$O,'Campaign - Dump'!$J:$J,'Portfolio Wise '!$B333,'Campaign - Dump'!$A:$A,'Portfolio Wise '!$A333)</f>
        <v>0</v>
      </c>
      <c r="E333" s="23">
        <f t="shared" si="2"/>
        <v>0</v>
      </c>
      <c r="F333" s="36">
        <f>SUMIFS('Campaign - Dump'!$Q:$Q,'Campaign - Dump'!$J:$J,'Portfolio Wise '!$B333,'Campaign - Dump'!$A:$A,'Portfolio Wise '!$A333)</f>
        <v>0</v>
      </c>
      <c r="G333" s="38">
        <f t="shared" si="3"/>
        <v>0</v>
      </c>
      <c r="H333" s="41">
        <f>SUMIFS('Campaign - Dump'!$T:$T,'Campaign - Dump'!$J:$J,'Portfolio Wise '!$B333,'Campaign - Dump'!$A:$A,'Portfolio Wise '!$A333)</f>
        <v>0</v>
      </c>
      <c r="I333" s="23">
        <f t="shared" si="4"/>
        <v>0</v>
      </c>
      <c r="J333" s="36">
        <f>SUMIFS('Campaign - Dump'!$U:$U,'Campaign - Dump'!$J:$J,'Portfolio Wise '!$B333,'Campaign - Dump'!$A:$A,'Portfolio Wise '!$A333)</f>
        <v>0</v>
      </c>
      <c r="K333" s="23">
        <f t="shared" si="5"/>
        <v>0</v>
      </c>
      <c r="L333" s="38">
        <f t="shared" si="6"/>
        <v>0</v>
      </c>
      <c r="M333" s="41">
        <f t="shared" si="7"/>
        <v>0</v>
      </c>
      <c r="N333" s="13">
        <f t="shared" ref="N333:N336" si="478">IFERROR(Q333-H333,0)</f>
        <v>0</v>
      </c>
      <c r="O333" s="36">
        <f t="shared" ref="O333:O336" si="479">IFERROR(R333-J333,0)</f>
        <v>0</v>
      </c>
      <c r="P333" s="41">
        <f t="shared" si="8"/>
        <v>0</v>
      </c>
      <c r="Q333" s="13">
        <f>SUMIFS('Business - Dump'!$W:$W,'Business - Dump'!$B:$B,'Portfolio Wise '!$B333,'Business - Dump'!$A:$A,'Portfolio Wise '!$A333)</f>
        <v>0</v>
      </c>
      <c r="R333" s="36">
        <f>SUMIFS('Business - Dump'!$U:$U,'Business - Dump'!$B:$B,'Portfolio Wise '!$B333,'Business - Dump'!$A:$A,'Portfolio Wise '!$A333)/1.18</f>
        <v>0</v>
      </c>
      <c r="S333" s="41">
        <f t="shared" si="9"/>
        <v>0</v>
      </c>
      <c r="T333" s="23">
        <f t="shared" si="10"/>
        <v>0</v>
      </c>
      <c r="U333" s="38">
        <f t="shared" si="11"/>
        <v>0</v>
      </c>
      <c r="V333" s="41">
        <f>SUMIFS('Business - Dump'!$G:$G,'Business - Dump'!$B:$B,'Portfolio Wise '!$B333,'Business - Dump'!$A:$A,'Portfolio Wise '!$A333)</f>
        <v>0</v>
      </c>
      <c r="W333" s="48">
        <f t="shared" si="12"/>
        <v>0</v>
      </c>
      <c r="X333" s="23">
        <f t="shared" ref="X333:Y333" si="477">IFERROR(N333/Q333,0)</f>
        <v>0</v>
      </c>
      <c r="Y333" s="49">
        <f t="shared" si="477"/>
        <v>0</v>
      </c>
      <c r="Z333" s="49">
        <f t="shared" si="14"/>
        <v>0</v>
      </c>
      <c r="AA333" s="23">
        <f t="shared" si="15"/>
        <v>0</v>
      </c>
      <c r="AB333" s="23">
        <f>IFERROR(AVERAGEIFS('Business - Dump'!$O:$O,'Business - Dump'!$B:$B,'Portfolio Wise '!$B333,'Business - Dump'!$A:$A,'Portfolio Wise '!$A333),0)</f>
        <v>0</v>
      </c>
      <c r="AC333" s="49">
        <f>F333/SUMIFS('Campaign - Dump'!$Q:$Q,'Campaign - Dump'!$A:$A,'Portfolio Wise '!$A333)</f>
        <v>0</v>
      </c>
      <c r="AD333" s="49">
        <f t="shared" si="16"/>
        <v>0</v>
      </c>
    </row>
    <row r="334" ht="15.75" customHeight="1">
      <c r="A334" s="3" t="s">
        <v>70</v>
      </c>
      <c r="B334" s="10" t="s">
        <v>241</v>
      </c>
      <c r="C334" s="13">
        <f>SUMIFS('Campaign - Dump'!$N:$N,'Campaign - Dump'!$J:$J,'Portfolio Wise '!$B334,'Campaign - Dump'!$A:$A,'Portfolio Wise '!$A334)</f>
        <v>43331</v>
      </c>
      <c r="D334" s="13">
        <f>SUMIFS('Campaign - Dump'!$O:$O,'Campaign - Dump'!$J:$J,'Portfolio Wise '!$B334,'Campaign - Dump'!$A:$A,'Portfolio Wise '!$A334)</f>
        <v>132</v>
      </c>
      <c r="E334" s="23">
        <f t="shared" si="2"/>
        <v>0.003046317879</v>
      </c>
      <c r="F334" s="36">
        <f>SUMIFS('Campaign - Dump'!$Q:$Q,'Campaign - Dump'!$J:$J,'Portfolio Wise '!$B334,'Campaign - Dump'!$A:$A,'Portfolio Wise '!$A334)</f>
        <v>1556.26</v>
      </c>
      <c r="G334" s="38">
        <f t="shared" si="3"/>
        <v>11.78984848</v>
      </c>
      <c r="H334" s="41">
        <f>SUMIFS('Campaign - Dump'!$T:$T,'Campaign - Dump'!$J:$J,'Portfolio Wise '!$B334,'Campaign - Dump'!$A:$A,'Portfolio Wise '!$A334)</f>
        <v>4</v>
      </c>
      <c r="I334" s="23">
        <f t="shared" si="4"/>
        <v>0.0303030303</v>
      </c>
      <c r="J334" s="36">
        <f>SUMIFS('Campaign - Dump'!$U:$U,'Campaign - Dump'!$J:$J,'Portfolio Wise '!$B334,'Campaign - Dump'!$A:$A,'Portfolio Wise '!$A334)</f>
        <v>11994.9</v>
      </c>
      <c r="K334" s="23">
        <f t="shared" si="5"/>
        <v>0.1297434743</v>
      </c>
      <c r="L334" s="38">
        <f t="shared" si="6"/>
        <v>7.707516739</v>
      </c>
      <c r="M334" s="41">
        <f t="shared" si="7"/>
        <v>2998.725</v>
      </c>
      <c r="N334" s="13">
        <f t="shared" si="478"/>
        <v>-2</v>
      </c>
      <c r="O334" s="36">
        <f t="shared" si="479"/>
        <v>-7545.747458</v>
      </c>
      <c r="P334" s="41">
        <f t="shared" si="8"/>
        <v>3772.873729</v>
      </c>
      <c r="Q334" s="13">
        <f>SUMIFS('Business - Dump'!$W:$W,'Business - Dump'!$B:$B,'Portfolio Wise '!$B334,'Business - Dump'!$A:$A,'Portfolio Wise '!$A334)</f>
        <v>2</v>
      </c>
      <c r="R334" s="36">
        <f>SUMIFS('Business - Dump'!$U:$U,'Business - Dump'!$B:$B,'Portfolio Wise '!$B334,'Business - Dump'!$A:$A,'Portfolio Wise '!$A334)/1.18</f>
        <v>4449.152542</v>
      </c>
      <c r="S334" s="41">
        <f t="shared" si="9"/>
        <v>2224.576271</v>
      </c>
      <c r="T334" s="201">
        <f t="shared" si="10"/>
        <v>0.3497879619</v>
      </c>
      <c r="U334" s="38">
        <f t="shared" si="11"/>
        <v>2.85887483</v>
      </c>
      <c r="V334" s="41">
        <f>SUMIFS('Business - Dump'!$G:$G,'Business - Dump'!$B:$B,'Portfolio Wise '!$B334,'Business - Dump'!$A:$A,'Portfolio Wise '!$A334)</f>
        <v>348</v>
      </c>
      <c r="W334" s="48">
        <f t="shared" si="12"/>
        <v>0.005747126437</v>
      </c>
      <c r="X334" s="23">
        <f t="shared" ref="X334:Y334" si="480">IFERROR(N334/Q334,0)</f>
        <v>-1</v>
      </c>
      <c r="Y334" s="49">
        <f t="shared" si="480"/>
        <v>-1.695996571</v>
      </c>
      <c r="Z334" s="49">
        <f t="shared" si="14"/>
        <v>2</v>
      </c>
      <c r="AA334" s="23">
        <f t="shared" si="15"/>
        <v>-1.695996571</v>
      </c>
      <c r="AB334" s="23">
        <f>IFERROR(AVERAGEIFS('Business - Dump'!$O:$O,'Business - Dump'!$B:$B,'Portfolio Wise '!$B334,'Business - Dump'!$A:$A,'Portfolio Wise '!$A334),0)</f>
        <v>0.9519</v>
      </c>
      <c r="AC334" s="49">
        <f>F334/SUMIFS('Campaign - Dump'!$Q:$Q,'Campaign - Dump'!$A:$A,'Portfolio Wise '!$A334)</f>
        <v>0.002357697276</v>
      </c>
      <c r="AD334" s="49">
        <f t="shared" si="16"/>
        <v>-0.5</v>
      </c>
    </row>
    <row r="335" ht="15.75" customHeight="1">
      <c r="A335" s="3" t="s">
        <v>70</v>
      </c>
      <c r="B335" s="19" t="s">
        <v>248</v>
      </c>
      <c r="C335" s="13">
        <f>SUMIFS('Campaign - Dump'!$N:$N,'Campaign - Dump'!$J:$J,'Portfolio Wise '!$B335,'Campaign - Dump'!$A:$A,'Portfolio Wise '!$A335)</f>
        <v>2057</v>
      </c>
      <c r="D335" s="13">
        <f>SUMIFS('Campaign - Dump'!$O:$O,'Campaign - Dump'!$J:$J,'Portfolio Wise '!$B335,'Campaign - Dump'!$A:$A,'Portfolio Wise '!$A335)</f>
        <v>49</v>
      </c>
      <c r="E335" s="23">
        <f t="shared" si="2"/>
        <v>0.02382109869</v>
      </c>
      <c r="F335" s="36">
        <f>SUMIFS('Campaign - Dump'!$Q:$Q,'Campaign - Dump'!$J:$J,'Portfolio Wise '!$B335,'Campaign - Dump'!$A:$A,'Portfolio Wise '!$A335)</f>
        <v>723.99</v>
      </c>
      <c r="G335" s="38">
        <f t="shared" si="3"/>
        <v>14.77530612</v>
      </c>
      <c r="H335" s="41">
        <f>SUMIFS('Campaign - Dump'!$T:$T,'Campaign - Dump'!$J:$J,'Portfolio Wise '!$B335,'Campaign - Dump'!$A:$A,'Portfolio Wise '!$A335)</f>
        <v>2</v>
      </c>
      <c r="I335" s="23">
        <f t="shared" si="4"/>
        <v>0.04081632653</v>
      </c>
      <c r="J335" s="36">
        <f>SUMIFS('Campaign - Dump'!$U:$U,'Campaign - Dump'!$J:$J,'Portfolio Wise '!$B335,'Campaign - Dump'!$A:$A,'Portfolio Wise '!$A335)</f>
        <v>22076.28</v>
      </c>
      <c r="K335" s="23">
        <f t="shared" si="5"/>
        <v>0.03279492741</v>
      </c>
      <c r="L335" s="38">
        <f t="shared" si="6"/>
        <v>30.49252061</v>
      </c>
      <c r="M335" s="41">
        <f t="shared" si="7"/>
        <v>11038.14</v>
      </c>
      <c r="N335" s="13">
        <f t="shared" si="478"/>
        <v>1</v>
      </c>
      <c r="O335" s="36">
        <f t="shared" si="479"/>
        <v>10296.60136</v>
      </c>
      <c r="P335" s="41">
        <f t="shared" si="8"/>
        <v>10296.60136</v>
      </c>
      <c r="Q335" s="13">
        <f>SUMIFS('Business - Dump'!$W:$W,'Business - Dump'!$B:$B,'Portfolio Wise '!$B335,'Business - Dump'!$A:$A,'Portfolio Wise '!$A335)</f>
        <v>3</v>
      </c>
      <c r="R335" s="36">
        <f>SUMIFS('Business - Dump'!$U:$U,'Business - Dump'!$B:$B,'Portfolio Wise '!$B335,'Business - Dump'!$A:$A,'Portfolio Wise '!$A335)/1.18</f>
        <v>32372.88136</v>
      </c>
      <c r="S335" s="41">
        <f t="shared" si="9"/>
        <v>10790.96045</v>
      </c>
      <c r="T335" s="23">
        <f t="shared" si="10"/>
        <v>0.02236408901</v>
      </c>
      <c r="U335" s="38">
        <f t="shared" si="11"/>
        <v>44.71454213</v>
      </c>
      <c r="V335" s="41">
        <f>SUMIFS('Business - Dump'!$G:$G,'Business - Dump'!$B:$B,'Portfolio Wise '!$B335,'Business - Dump'!$A:$A,'Portfolio Wise '!$A335)</f>
        <v>87</v>
      </c>
      <c r="W335" s="48">
        <f t="shared" si="12"/>
        <v>0.03448275862</v>
      </c>
      <c r="X335" s="23">
        <f t="shared" ref="X335:Y335" si="481">IFERROR(N335/Q335,0)</f>
        <v>0.3333333333</v>
      </c>
      <c r="Y335" s="49">
        <f t="shared" si="481"/>
        <v>0.318062555</v>
      </c>
      <c r="Z335" s="49">
        <f t="shared" si="14"/>
        <v>0.6666666667</v>
      </c>
      <c r="AA335" s="23">
        <f t="shared" si="15"/>
        <v>0.318062555</v>
      </c>
      <c r="AB335" s="23">
        <f>IFERROR(AVERAGEIFS('Business - Dump'!$O:$O,'Business - Dump'!$B:$B,'Portfolio Wise '!$B335,'Business - Dump'!$A:$A,'Portfolio Wise '!$A335),0)</f>
        <v>0.9391</v>
      </c>
      <c r="AC335" s="49">
        <f>F335/SUMIFS('Campaign - Dump'!$Q:$Q,'Campaign - Dump'!$A:$A,'Portfolio Wise '!$A335)</f>
        <v>0.001096827812</v>
      </c>
      <c r="AD335" s="49">
        <f t="shared" si="16"/>
        <v>0.5</v>
      </c>
    </row>
    <row r="336" ht="15.75" customHeight="1">
      <c r="A336" s="3" t="s">
        <v>70</v>
      </c>
      <c r="B336" s="19" t="s">
        <v>1282</v>
      </c>
      <c r="C336" s="13">
        <f>SUMIFS('Campaign - Dump'!$N:$N,'Campaign - Dump'!$J:$J,'Portfolio Wise '!$B336,'Campaign - Dump'!$A:$A,'Portfolio Wise '!$A336)</f>
        <v>0</v>
      </c>
      <c r="D336" s="13">
        <f>SUMIFS('Campaign - Dump'!$O:$O,'Campaign - Dump'!$J:$J,'Portfolio Wise '!$B336,'Campaign - Dump'!$A:$A,'Portfolio Wise '!$A336)</f>
        <v>0</v>
      </c>
      <c r="E336" s="23">
        <f t="shared" si="2"/>
        <v>0</v>
      </c>
      <c r="F336" s="36">
        <f>SUMIFS('Campaign - Dump'!$Q:$Q,'Campaign - Dump'!$J:$J,'Portfolio Wise '!$B336,'Campaign - Dump'!$A:$A,'Portfolio Wise '!$A336)</f>
        <v>0</v>
      </c>
      <c r="G336" s="38">
        <f t="shared" si="3"/>
        <v>0</v>
      </c>
      <c r="H336" s="41">
        <f>SUMIFS('Campaign - Dump'!$T:$T,'Campaign - Dump'!$J:$J,'Portfolio Wise '!$B336,'Campaign - Dump'!$A:$A,'Portfolio Wise '!$A336)</f>
        <v>0</v>
      </c>
      <c r="I336" s="23">
        <f t="shared" si="4"/>
        <v>0</v>
      </c>
      <c r="J336" s="36">
        <f>SUMIFS('Campaign - Dump'!$U:$U,'Campaign - Dump'!$J:$J,'Portfolio Wise '!$B336,'Campaign - Dump'!$A:$A,'Portfolio Wise '!$A336)</f>
        <v>0</v>
      </c>
      <c r="K336" s="23">
        <f t="shared" si="5"/>
        <v>0</v>
      </c>
      <c r="L336" s="38">
        <f t="shared" si="6"/>
        <v>0</v>
      </c>
      <c r="M336" s="41">
        <f t="shared" si="7"/>
        <v>0</v>
      </c>
      <c r="N336" s="13">
        <f t="shared" si="478"/>
        <v>0</v>
      </c>
      <c r="O336" s="36">
        <f t="shared" si="479"/>
        <v>0</v>
      </c>
      <c r="P336" s="41">
        <f t="shared" si="8"/>
        <v>0</v>
      </c>
      <c r="Q336" s="13">
        <f>SUMIFS('Business - Dump'!$W:$W,'Business - Dump'!$B:$B,'Portfolio Wise '!$B336,'Business - Dump'!$A:$A,'Portfolio Wise '!$A336)</f>
        <v>0</v>
      </c>
      <c r="R336" s="36">
        <f>SUMIFS('Business - Dump'!$U:$U,'Business - Dump'!$B:$B,'Portfolio Wise '!$B336,'Business - Dump'!$A:$A,'Portfolio Wise '!$A336)/1.18</f>
        <v>0</v>
      </c>
      <c r="S336" s="41">
        <f t="shared" si="9"/>
        <v>0</v>
      </c>
      <c r="T336" s="23">
        <f t="shared" si="10"/>
        <v>0</v>
      </c>
      <c r="U336" s="38">
        <f t="shared" si="11"/>
        <v>0</v>
      </c>
      <c r="V336" s="41">
        <f>SUMIFS('Business - Dump'!$G:$G,'Business - Dump'!$B:$B,'Portfolio Wise '!$B336,'Business - Dump'!$A:$A,'Portfolio Wise '!$A336)</f>
        <v>0</v>
      </c>
      <c r="W336" s="48">
        <f t="shared" si="12"/>
        <v>0</v>
      </c>
      <c r="X336" s="23">
        <f t="shared" ref="X336:Y336" si="482">IFERROR(N336/Q336,0)</f>
        <v>0</v>
      </c>
      <c r="Y336" s="49">
        <f t="shared" si="482"/>
        <v>0</v>
      </c>
      <c r="Z336" s="49">
        <f t="shared" si="14"/>
        <v>0</v>
      </c>
      <c r="AA336" s="23">
        <f t="shared" si="15"/>
        <v>0</v>
      </c>
      <c r="AB336" s="23">
        <f>IFERROR(AVERAGEIFS('Business - Dump'!$O:$O,'Business - Dump'!$B:$B,'Portfolio Wise '!$B336,'Business - Dump'!$A:$A,'Portfolio Wise '!$A336),0)</f>
        <v>0</v>
      </c>
      <c r="AC336" s="49">
        <f>F336/SUMIFS('Campaign - Dump'!$Q:$Q,'Campaign - Dump'!$A:$A,'Portfolio Wise '!$A336)</f>
        <v>0</v>
      </c>
      <c r="AD336" s="49">
        <f t="shared" si="16"/>
        <v>0</v>
      </c>
    </row>
    <row r="337" ht="15.75" customHeight="1">
      <c r="A337" s="3" t="s">
        <v>70</v>
      </c>
      <c r="B337" s="146" t="s">
        <v>312</v>
      </c>
      <c r="C337" s="127">
        <f t="shared" ref="C337:D337" si="483">SUM(C313:C336)</f>
        <v>7845997</v>
      </c>
      <c r="D337" s="127">
        <f t="shared" si="483"/>
        <v>36678</v>
      </c>
      <c r="E337" s="62">
        <f t="shared" si="2"/>
        <v>0.004674740508</v>
      </c>
      <c r="F337" s="128">
        <f>SUM(F313:F336)</f>
        <v>660076.26</v>
      </c>
      <c r="G337" s="129">
        <f t="shared" si="3"/>
        <v>17.99651726</v>
      </c>
      <c r="H337" s="130">
        <f>SUM(H313:H336)</f>
        <v>301</v>
      </c>
      <c r="I337" s="62">
        <f t="shared" si="4"/>
        <v>0.008206554338</v>
      </c>
      <c r="J337" s="128">
        <f>SUM(J313:J336)</f>
        <v>2744575.44</v>
      </c>
      <c r="K337" s="62">
        <f t="shared" si="5"/>
        <v>0.2405021376</v>
      </c>
      <c r="L337" s="129">
        <f t="shared" si="6"/>
        <v>4.157967202</v>
      </c>
      <c r="M337" s="130">
        <f t="shared" si="7"/>
        <v>9118.190831</v>
      </c>
      <c r="N337" s="127">
        <f t="shared" ref="N337:O337" si="484">SUM(N313:N336)</f>
        <v>296</v>
      </c>
      <c r="O337" s="128">
        <f t="shared" si="484"/>
        <v>3016755.095</v>
      </c>
      <c r="P337" s="130">
        <f t="shared" si="8"/>
        <v>10191.74018</v>
      </c>
      <c r="Q337" s="127">
        <f t="shared" ref="Q337:R337" si="485">SUM(Q313:Q336)</f>
        <v>468</v>
      </c>
      <c r="R337" s="128">
        <f t="shared" si="485"/>
        <v>4144511.085</v>
      </c>
      <c r="S337" s="130">
        <f t="shared" si="9"/>
        <v>8855.792916</v>
      </c>
      <c r="T337" s="62">
        <f t="shared" si="10"/>
        <v>0.1592651694</v>
      </c>
      <c r="U337" s="129">
        <f t="shared" si="11"/>
        <v>6.278836759</v>
      </c>
      <c r="V337" s="130">
        <f>SUM(V313:V336)</f>
        <v>68185</v>
      </c>
      <c r="W337" s="131">
        <f t="shared" si="12"/>
        <v>0.006863679695</v>
      </c>
      <c r="X337" s="62">
        <f t="shared" ref="X337:Y337" si="486">IFERROR(N337/Q337,0)</f>
        <v>0.6324786325</v>
      </c>
      <c r="Y337" s="132">
        <f t="shared" si="486"/>
        <v>0.72789167</v>
      </c>
      <c r="Z337" s="132">
        <f t="shared" si="14"/>
        <v>0.6431623932</v>
      </c>
      <c r="AA337" s="62">
        <f t="shared" si="15"/>
        <v>0.72789167</v>
      </c>
      <c r="AB337" s="62">
        <f>IFERROR(AVERAGEIFS('Business - Dump'!$O:$O,'Business - Dump'!$B:$B,'Portfolio Wise '!$B337,'Business - Dump'!$A:$A,'Portfolio Wise '!$A337),0)</f>
        <v>0</v>
      </c>
      <c r="AC337" s="132">
        <f>F337/SUMIFS('Campaign - Dump'!$Q:$Q,'Campaign - Dump'!$A:$A,'Portfolio Wise '!$A337)</f>
        <v>1</v>
      </c>
      <c r="AD337" s="132">
        <f t="shared" si="16"/>
        <v>0.9833887043</v>
      </c>
      <c r="AE337" s="31"/>
    </row>
    <row r="338" ht="15.75" customHeight="1">
      <c r="A338" s="65">
        <v>45658.0</v>
      </c>
      <c r="B338" s="33" t="s">
        <v>90</v>
      </c>
      <c r="C338" s="13">
        <f>SUMIFS('Campaign - Dump'!$N:$N,'Campaign - Dump'!$J:$J,'Portfolio Wise '!$B338,'Campaign - Dump'!$A:$A,'Portfolio Wise '!$A338)</f>
        <v>377503</v>
      </c>
      <c r="D338" s="13">
        <f>SUMIFS('Campaign - Dump'!$O:$O,'Campaign - Dump'!$J:$J,'Portfolio Wise '!$B338,'Campaign - Dump'!$A:$A,'Portfolio Wise '!$A338)</f>
        <v>1162</v>
      </c>
      <c r="E338" s="23">
        <f t="shared" si="2"/>
        <v>0.003078121233</v>
      </c>
      <c r="F338" s="36">
        <f>SUMIFS('Campaign - Dump'!$Q:$Q,'Campaign - Dump'!$J:$J,'Portfolio Wise '!$B338,'Campaign - Dump'!$A:$A,'Portfolio Wise '!$A338)</f>
        <v>16383.75</v>
      </c>
      <c r="G338" s="38">
        <f t="shared" si="3"/>
        <v>14.09961274</v>
      </c>
      <c r="H338" s="41">
        <f>SUMIFS('Campaign - Dump'!$T:$T,'Campaign - Dump'!$J:$J,'Portfolio Wise '!$B338,'Campaign - Dump'!$A:$A,'Portfolio Wise '!$A338)</f>
        <v>2</v>
      </c>
      <c r="I338" s="23">
        <f t="shared" si="4"/>
        <v>0.001721170396</v>
      </c>
      <c r="J338" s="36">
        <f>SUMIFS('Campaign - Dump'!$U:$U,'Campaign - Dump'!$J:$J,'Portfolio Wise '!$B338,'Campaign - Dump'!$A:$A,'Portfolio Wise '!$A338)</f>
        <v>41996.61</v>
      </c>
      <c r="K338" s="23">
        <f t="shared" si="5"/>
        <v>0.390120774</v>
      </c>
      <c r="L338" s="38">
        <f t="shared" si="6"/>
        <v>2.563308766</v>
      </c>
      <c r="M338" s="41">
        <f t="shared" si="7"/>
        <v>20998.305</v>
      </c>
      <c r="N338" s="13">
        <v>0.0</v>
      </c>
      <c r="O338" s="36">
        <v>0.0</v>
      </c>
      <c r="P338" s="41">
        <f t="shared" si="8"/>
        <v>0</v>
      </c>
      <c r="Q338" s="13">
        <f>SUMIFS('Business - Dump'!$W:$W,'Business - Dump'!$B:$B,'Portfolio Wise '!$B338,'Business - Dump'!$A:$A,'Portfolio Wise '!$A338)</f>
        <v>0</v>
      </c>
      <c r="R338" s="36">
        <f>SUMIFS('Business - Dump'!$U:$U,'Business - Dump'!$B:$B,'Portfolio Wise '!$B338,'Business - Dump'!$A:$A,'Portfolio Wise '!$A338)/1.18</f>
        <v>0</v>
      </c>
      <c r="S338" s="41">
        <f t="shared" si="9"/>
        <v>0</v>
      </c>
      <c r="T338" s="23">
        <f t="shared" si="10"/>
        <v>0</v>
      </c>
      <c r="U338" s="38">
        <f t="shared" si="11"/>
        <v>0</v>
      </c>
      <c r="V338" s="41">
        <f>SUMIFS('Business - Dump'!$G:$G,'Business - Dump'!$B:$B,'Portfolio Wise '!$B338,'Business - Dump'!$A:$A,'Portfolio Wise '!$A338)</f>
        <v>0</v>
      </c>
      <c r="W338" s="48">
        <f t="shared" si="12"/>
        <v>0</v>
      </c>
      <c r="X338" s="23">
        <f t="shared" ref="X338:Y338" si="487">IFERROR(N338/Q338,0)</f>
        <v>0</v>
      </c>
      <c r="Y338" s="49">
        <f t="shared" si="487"/>
        <v>0</v>
      </c>
      <c r="Z338" s="49">
        <f t="shared" si="14"/>
        <v>0</v>
      </c>
      <c r="AA338" s="23">
        <f t="shared" si="15"/>
        <v>0</v>
      </c>
      <c r="AB338" s="23">
        <f>IFERROR(AVERAGEIFS('Business - Dump'!$O:$O,'Business - Dump'!$B:$B,'Portfolio Wise '!$B338,'Business - Dump'!$A:$A,'Portfolio Wise '!$A338),0)</f>
        <v>0</v>
      </c>
      <c r="AC338" s="49">
        <f>F338/SUMIFS('Campaign - Dump'!$Q:$Q,'Campaign - Dump'!$A:$A,'Portfolio Wise '!$A338)</f>
        <v>0.02204146528</v>
      </c>
      <c r="AD338" s="49">
        <f t="shared" si="16"/>
        <v>0</v>
      </c>
    </row>
    <row r="339" ht="15.75" customHeight="1">
      <c r="A339" s="65">
        <v>45658.0</v>
      </c>
      <c r="B339" s="51" t="s">
        <v>110</v>
      </c>
      <c r="C339" s="13">
        <f>SUMIFS('Campaign - Dump'!$N:$N,'Campaign - Dump'!$J:$J,'Portfolio Wise '!$B339,'Campaign - Dump'!$A:$A,'Portfolio Wise '!$A339)</f>
        <v>0</v>
      </c>
      <c r="D339" s="13">
        <f>SUMIFS('Campaign - Dump'!$O:$O,'Campaign - Dump'!$J:$J,'Portfolio Wise '!$B339,'Campaign - Dump'!$A:$A,'Portfolio Wise '!$A339)</f>
        <v>0</v>
      </c>
      <c r="E339" s="23">
        <f t="shared" si="2"/>
        <v>0</v>
      </c>
      <c r="F339" s="36">
        <f>SUMIFS('Campaign - Dump'!$Q:$Q,'Campaign - Dump'!$J:$J,'Portfolio Wise '!$B339,'Campaign - Dump'!$A:$A,'Portfolio Wise '!$A339)</f>
        <v>0</v>
      </c>
      <c r="G339" s="38">
        <f t="shared" si="3"/>
        <v>0</v>
      </c>
      <c r="H339" s="41">
        <f>SUMIFS('Campaign - Dump'!$T:$T,'Campaign - Dump'!$J:$J,'Portfolio Wise '!$B339,'Campaign - Dump'!$A:$A,'Portfolio Wise '!$A339)</f>
        <v>0</v>
      </c>
      <c r="I339" s="23">
        <f t="shared" si="4"/>
        <v>0</v>
      </c>
      <c r="J339" s="36">
        <f>SUMIFS('Campaign - Dump'!$U:$U,'Campaign - Dump'!$J:$J,'Portfolio Wise '!$B339,'Campaign - Dump'!$A:$A,'Portfolio Wise '!$A339)</f>
        <v>0</v>
      </c>
      <c r="K339" s="23">
        <f t="shared" si="5"/>
        <v>0</v>
      </c>
      <c r="L339" s="38">
        <f t="shared" si="6"/>
        <v>0</v>
      </c>
      <c r="M339" s="41">
        <f t="shared" si="7"/>
        <v>0</v>
      </c>
      <c r="N339" s="13">
        <f t="shared" ref="N339:N341" si="489">IFERROR(Q339-H339,0)</f>
        <v>0</v>
      </c>
      <c r="O339" s="36">
        <f t="shared" ref="O339:O341" si="490">IFERROR(R339-J339,0)</f>
        <v>0</v>
      </c>
      <c r="P339" s="41">
        <f t="shared" si="8"/>
        <v>0</v>
      </c>
      <c r="Q339" s="13">
        <f>SUMIFS('Business - Dump'!$W:$W,'Business - Dump'!$B:$B,'Portfolio Wise '!$B339,'Business - Dump'!$A:$A,'Portfolio Wise '!$A339)</f>
        <v>0</v>
      </c>
      <c r="R339" s="36">
        <f>SUMIFS('Business - Dump'!$U:$U,'Business - Dump'!$B:$B,'Portfolio Wise '!$B339,'Business - Dump'!$A:$A,'Portfolio Wise '!$A339)/1.18</f>
        <v>0</v>
      </c>
      <c r="S339" s="41">
        <f t="shared" si="9"/>
        <v>0</v>
      </c>
      <c r="T339" s="23">
        <f t="shared" si="10"/>
        <v>0</v>
      </c>
      <c r="U339" s="38">
        <f t="shared" si="11"/>
        <v>0</v>
      </c>
      <c r="V339" s="41">
        <f>SUMIFS('Business - Dump'!$G:$G,'Business - Dump'!$B:$B,'Portfolio Wise '!$B339,'Business - Dump'!$A:$A,'Portfolio Wise '!$A339)</f>
        <v>0</v>
      </c>
      <c r="W339" s="48">
        <f t="shared" si="12"/>
        <v>0</v>
      </c>
      <c r="X339" s="23">
        <f t="shared" ref="X339:Y339" si="488">IFERROR(N339/Q339,0)</f>
        <v>0</v>
      </c>
      <c r="Y339" s="49">
        <f t="shared" si="488"/>
        <v>0</v>
      </c>
      <c r="Z339" s="49">
        <f t="shared" si="14"/>
        <v>0</v>
      </c>
      <c r="AA339" s="23">
        <f t="shared" si="15"/>
        <v>0</v>
      </c>
      <c r="AB339" s="23">
        <f>IFERROR(AVERAGEIFS('Business - Dump'!$O:$O,'Business - Dump'!$B:$B,'Portfolio Wise '!$B339,'Business - Dump'!$A:$A,'Portfolio Wise '!$A339),0)</f>
        <v>0</v>
      </c>
      <c r="AC339" s="49">
        <f>F339/SUMIFS('Campaign - Dump'!$Q:$Q,'Campaign - Dump'!$A:$A,'Portfolio Wise '!$A339)</f>
        <v>0</v>
      </c>
      <c r="AD339" s="49">
        <f t="shared" si="16"/>
        <v>0</v>
      </c>
    </row>
    <row r="340" ht="15.75" customHeight="1">
      <c r="A340" s="65">
        <v>45658.0</v>
      </c>
      <c r="B340" s="51" t="s">
        <v>119</v>
      </c>
      <c r="C340" s="13">
        <f>SUMIFS('Campaign - Dump'!$N:$N,'Campaign - Dump'!$J:$J,'Portfolio Wise '!$B340,'Campaign - Dump'!$A:$A,'Portfolio Wise '!$A340)</f>
        <v>16925</v>
      </c>
      <c r="D340" s="13">
        <f>SUMIFS('Campaign - Dump'!$O:$O,'Campaign - Dump'!$J:$J,'Portfolio Wise '!$B340,'Campaign - Dump'!$A:$A,'Portfolio Wise '!$A340)</f>
        <v>284</v>
      </c>
      <c r="E340" s="23">
        <f t="shared" si="2"/>
        <v>0.01677991137</v>
      </c>
      <c r="F340" s="36">
        <f>SUMIFS('Campaign - Dump'!$Q:$Q,'Campaign - Dump'!$J:$J,'Portfolio Wise '!$B340,'Campaign - Dump'!$A:$A,'Portfolio Wise '!$A340)</f>
        <v>912.03</v>
      </c>
      <c r="G340" s="38">
        <f t="shared" si="3"/>
        <v>3.211373239</v>
      </c>
      <c r="H340" s="41">
        <f>SUMIFS('Campaign - Dump'!$T:$T,'Campaign - Dump'!$J:$J,'Portfolio Wise '!$B340,'Campaign - Dump'!$A:$A,'Portfolio Wise '!$A340)</f>
        <v>1</v>
      </c>
      <c r="I340" s="23">
        <f t="shared" si="4"/>
        <v>0.003521126761</v>
      </c>
      <c r="J340" s="36">
        <f>SUMIFS('Campaign - Dump'!$U:$U,'Campaign - Dump'!$J:$J,'Portfolio Wise '!$B340,'Campaign - Dump'!$A:$A,'Portfolio Wise '!$A340)</f>
        <v>7164.41</v>
      </c>
      <c r="K340" s="23">
        <f t="shared" si="5"/>
        <v>0.1273000847</v>
      </c>
      <c r="L340" s="38">
        <f t="shared" si="6"/>
        <v>7.855454316</v>
      </c>
      <c r="M340" s="41">
        <f t="shared" si="7"/>
        <v>7164.41</v>
      </c>
      <c r="N340" s="13">
        <f t="shared" si="489"/>
        <v>2</v>
      </c>
      <c r="O340" s="36">
        <f t="shared" si="490"/>
        <v>11914.40356</v>
      </c>
      <c r="P340" s="41">
        <f t="shared" si="8"/>
        <v>5957.20178</v>
      </c>
      <c r="Q340" s="13">
        <f>SUMIFS('Business - Dump'!$W:$W,'Business - Dump'!$B:$B,'Portfolio Wise '!$B340,'Business - Dump'!$A:$A,'Portfolio Wise '!$A340)</f>
        <v>3</v>
      </c>
      <c r="R340" s="36">
        <f>SUMIFS('Business - Dump'!$U:$U,'Business - Dump'!$B:$B,'Portfolio Wise '!$B340,'Business - Dump'!$A:$A,'Portfolio Wise '!$A340)/1.18</f>
        <v>19078.81356</v>
      </c>
      <c r="S340" s="41">
        <f t="shared" si="9"/>
        <v>6359.60452</v>
      </c>
      <c r="T340" s="23">
        <f t="shared" si="10"/>
        <v>0.04780328699</v>
      </c>
      <c r="U340" s="38">
        <f t="shared" si="11"/>
        <v>20.91906358</v>
      </c>
      <c r="V340" s="41">
        <f>SUMIFS('Business - Dump'!$G:$G,'Business - Dump'!$B:$B,'Portfolio Wise '!$B340,'Business - Dump'!$A:$A,'Portfolio Wise '!$A340)</f>
        <v>2017</v>
      </c>
      <c r="W340" s="48">
        <f t="shared" si="12"/>
        <v>0.001487357462</v>
      </c>
      <c r="X340" s="23">
        <f t="shared" ref="X340:Y340" si="491">IFERROR(N340/Q340,0)</f>
        <v>0.6666666667</v>
      </c>
      <c r="Y340" s="49">
        <f t="shared" si="491"/>
        <v>0.6244834629</v>
      </c>
      <c r="Z340" s="49">
        <f t="shared" si="14"/>
        <v>0.3333333333</v>
      </c>
      <c r="AA340" s="23">
        <f t="shared" si="15"/>
        <v>0.6244834629</v>
      </c>
      <c r="AB340" s="23">
        <f>IFERROR(AVERAGEIFS('Business - Dump'!$O:$O,'Business - Dump'!$B:$B,'Portfolio Wise '!$B340,'Business - Dump'!$A:$A,'Portfolio Wise '!$A340),0)</f>
        <v>0.75306</v>
      </c>
      <c r="AC340" s="49">
        <f>F340/SUMIFS('Campaign - Dump'!$Q:$Q,'Campaign - Dump'!$A:$A,'Portfolio Wise '!$A340)</f>
        <v>0.001226976582</v>
      </c>
      <c r="AD340" s="49">
        <f t="shared" si="16"/>
        <v>2</v>
      </c>
    </row>
    <row r="341" ht="15.75" customHeight="1">
      <c r="A341" s="65">
        <v>45658.0</v>
      </c>
      <c r="B341" s="68" t="s">
        <v>413</v>
      </c>
      <c r="C341" s="13">
        <f>SUMIFS('Campaign - Dump'!$N:$N,'Campaign - Dump'!$J:$J,'Portfolio Wise '!$B341,'Campaign - Dump'!$A:$A,'Portfolio Wise '!$A341)</f>
        <v>291951</v>
      </c>
      <c r="D341" s="13">
        <f>SUMIFS('Campaign - Dump'!$O:$O,'Campaign - Dump'!$J:$J,'Portfolio Wise '!$B341,'Campaign - Dump'!$A:$A,'Portfolio Wise '!$A341)</f>
        <v>1397</v>
      </c>
      <c r="E341" s="23">
        <f t="shared" si="2"/>
        <v>0.004785049546</v>
      </c>
      <c r="F341" s="36">
        <f>SUMIFS('Campaign - Dump'!$Q:$Q,'Campaign - Dump'!$J:$J,'Portfolio Wise '!$B341,'Campaign - Dump'!$A:$A,'Portfolio Wise '!$A341)</f>
        <v>39106.42</v>
      </c>
      <c r="G341" s="38">
        <f t="shared" si="3"/>
        <v>27.99314245</v>
      </c>
      <c r="H341" s="41">
        <f>SUMIFS('Campaign - Dump'!$T:$T,'Campaign - Dump'!$J:$J,'Portfolio Wise '!$B341,'Campaign - Dump'!$A:$A,'Portfolio Wise '!$A341)</f>
        <v>5</v>
      </c>
      <c r="I341" s="23">
        <f t="shared" si="4"/>
        <v>0.003579098067</v>
      </c>
      <c r="J341" s="36">
        <f>SUMIFS('Campaign - Dump'!$U:$U,'Campaign - Dump'!$J:$J,'Portfolio Wise '!$B341,'Campaign - Dump'!$A:$A,'Portfolio Wise '!$A341)</f>
        <v>81926.27</v>
      </c>
      <c r="K341" s="23">
        <f t="shared" si="5"/>
        <v>0.4773367566</v>
      </c>
      <c r="L341" s="38">
        <f t="shared" si="6"/>
        <v>2.094957043</v>
      </c>
      <c r="M341" s="41">
        <f t="shared" si="7"/>
        <v>16385.254</v>
      </c>
      <c r="N341" s="13">
        <f t="shared" si="489"/>
        <v>43</v>
      </c>
      <c r="O341" s="36">
        <f t="shared" si="490"/>
        <v>639024.5775</v>
      </c>
      <c r="P341" s="41">
        <f t="shared" si="8"/>
        <v>14861.03669</v>
      </c>
      <c r="Q341" s="13">
        <f>SUMIFS('Business - Dump'!$W:$W,'Business - Dump'!$B:$B,'Portfolio Wise '!$B341,'Business - Dump'!$A:$A,'Portfolio Wise '!$A341)</f>
        <v>48</v>
      </c>
      <c r="R341" s="36">
        <f>SUMIFS('Business - Dump'!$U:$U,'Business - Dump'!$B:$B,'Portfolio Wise '!$B341,'Business - Dump'!$A:$A,'Portfolio Wise '!$A341)/1.18</f>
        <v>720950.8475</v>
      </c>
      <c r="S341" s="41">
        <f t="shared" si="9"/>
        <v>15019.80932</v>
      </c>
      <c r="T341" s="23">
        <f t="shared" si="10"/>
        <v>0.05424283797</v>
      </c>
      <c r="U341" s="38">
        <f t="shared" si="11"/>
        <v>18.43561358</v>
      </c>
      <c r="V341" s="41">
        <f>SUMIFS('Business - Dump'!$G:$G,'Business - Dump'!$B:$B,'Portfolio Wise '!$B341,'Business - Dump'!$A:$A,'Portfolio Wise '!$A341)</f>
        <v>6512</v>
      </c>
      <c r="W341" s="48">
        <f t="shared" si="12"/>
        <v>0.007371007371</v>
      </c>
      <c r="X341" s="23">
        <f t="shared" ref="X341:Y341" si="492">IFERROR(N341/Q341,0)</f>
        <v>0.8958333333</v>
      </c>
      <c r="Y341" s="49">
        <f t="shared" si="492"/>
        <v>0.8863635846</v>
      </c>
      <c r="Z341" s="49">
        <f t="shared" si="14"/>
        <v>0.1041666667</v>
      </c>
      <c r="AA341" s="23">
        <f t="shared" si="15"/>
        <v>0.8863635846</v>
      </c>
      <c r="AB341" s="23">
        <f>IFERROR(AVERAGEIFS('Business - Dump'!$O:$O,'Business - Dump'!$B:$B,'Portfolio Wise '!$B341,'Business - Dump'!$A:$A,'Portfolio Wise '!$A341),0)</f>
        <v>0.8675666667</v>
      </c>
      <c r="AC341" s="49">
        <f>F341/SUMIFS('Campaign - Dump'!$Q:$Q,'Campaign - Dump'!$A:$A,'Portfolio Wise '!$A341)</f>
        <v>0.05261083687</v>
      </c>
      <c r="AD341" s="49">
        <f t="shared" si="16"/>
        <v>8.6</v>
      </c>
    </row>
    <row r="342" ht="15.75" customHeight="1">
      <c r="A342" s="65">
        <v>45658.0</v>
      </c>
      <c r="B342" s="19" t="s">
        <v>128</v>
      </c>
      <c r="C342" s="13">
        <f>SUMIFS('Campaign - Dump'!$N:$N,'Campaign - Dump'!$J:$J,'Portfolio Wise '!$B342,'Campaign - Dump'!$A:$A,'Portfolio Wise '!$A342)</f>
        <v>1637719</v>
      </c>
      <c r="D342" s="13">
        <f>SUMIFS('Campaign - Dump'!$O:$O,'Campaign - Dump'!$J:$J,'Portfolio Wise '!$B342,'Campaign - Dump'!$A:$A,'Portfolio Wise '!$A342)</f>
        <v>6937</v>
      </c>
      <c r="E342" s="23">
        <f t="shared" si="2"/>
        <v>0.004235769384</v>
      </c>
      <c r="F342" s="36">
        <f>SUMIFS('Campaign - Dump'!$Q:$Q,'Campaign - Dump'!$J:$J,'Portfolio Wise '!$B342,'Campaign - Dump'!$A:$A,'Portfolio Wise '!$A342)</f>
        <v>161786.42</v>
      </c>
      <c r="G342" s="38">
        <f t="shared" si="3"/>
        <v>23.32224593</v>
      </c>
      <c r="H342" s="41">
        <f>SUMIFS('Campaign - Dump'!$T:$T,'Campaign - Dump'!$J:$J,'Portfolio Wise '!$B342,'Campaign - Dump'!$A:$A,'Portfolio Wise '!$A342)</f>
        <v>110</v>
      </c>
      <c r="I342" s="62">
        <f t="shared" si="4"/>
        <v>0.0158569987</v>
      </c>
      <c r="J342" s="36">
        <f>SUMIFS('Campaign - Dump'!$U:$U,'Campaign - Dump'!$J:$J,'Portfolio Wise '!$B342,'Campaign - Dump'!$A:$A,'Portfolio Wise '!$A342)</f>
        <v>1723957.68</v>
      </c>
      <c r="K342" s="23">
        <f t="shared" si="5"/>
        <v>0.09384593478</v>
      </c>
      <c r="L342" s="38">
        <f t="shared" si="6"/>
        <v>10.65576258</v>
      </c>
      <c r="M342" s="41">
        <f t="shared" si="7"/>
        <v>15672.34255</v>
      </c>
      <c r="N342" s="13">
        <v>0.0</v>
      </c>
      <c r="O342" s="36">
        <v>0.0</v>
      </c>
      <c r="P342" s="41">
        <f t="shared" si="8"/>
        <v>0</v>
      </c>
      <c r="Q342" s="13">
        <f>SUMIFS('Business - Dump'!$W:$W,'Business - Dump'!$B:$B,'Portfolio Wise '!$B342,'Business - Dump'!$A:$A,'Portfolio Wise '!$A342)</f>
        <v>0</v>
      </c>
      <c r="R342" s="36">
        <f>SUMIFS('Business - Dump'!$U:$U,'Business - Dump'!$B:$B,'Portfolio Wise '!$B342,'Business - Dump'!$A:$A,'Portfolio Wise '!$A342)/1.18</f>
        <v>0</v>
      </c>
      <c r="S342" s="41">
        <f t="shared" si="9"/>
        <v>0</v>
      </c>
      <c r="T342" s="23">
        <f t="shared" si="10"/>
        <v>0</v>
      </c>
      <c r="U342" s="38">
        <f t="shared" si="11"/>
        <v>0</v>
      </c>
      <c r="V342" s="41">
        <f>SUMIFS('Business - Dump'!$G:$G,'Business - Dump'!$B:$B,'Portfolio Wise '!$B342,'Business - Dump'!$A:$A,'Portfolio Wise '!$A342)</f>
        <v>0</v>
      </c>
      <c r="W342" s="48">
        <f t="shared" si="12"/>
        <v>0</v>
      </c>
      <c r="X342" s="23">
        <f t="shared" ref="X342:Y342" si="493">IFERROR(N342/Q342,0)</f>
        <v>0</v>
      </c>
      <c r="Y342" s="49">
        <f t="shared" si="493"/>
        <v>0</v>
      </c>
      <c r="Z342" s="49">
        <f t="shared" si="14"/>
        <v>0</v>
      </c>
      <c r="AA342" s="23">
        <f t="shared" si="15"/>
        <v>0</v>
      </c>
      <c r="AB342" s="23">
        <f>IFERROR(AVERAGEIFS('Business - Dump'!$O:$O,'Business - Dump'!$B:$B,'Portfolio Wise '!$B342,'Business - Dump'!$A:$A,'Portfolio Wise '!$A342),0)</f>
        <v>0</v>
      </c>
      <c r="AC342" s="49">
        <f>F342/SUMIFS('Campaign - Dump'!$Q:$Q,'Campaign - Dump'!$A:$A,'Portfolio Wise '!$A342)</f>
        <v>0.217655284</v>
      </c>
      <c r="AD342" s="49">
        <f t="shared" si="16"/>
        <v>0</v>
      </c>
    </row>
    <row r="343" ht="15.75" customHeight="1">
      <c r="A343" s="65">
        <v>45658.0</v>
      </c>
      <c r="B343" s="19" t="s">
        <v>134</v>
      </c>
      <c r="C343" s="13">
        <f>SUMIFS('Campaign - Dump'!$N:$N,'Campaign - Dump'!$J:$J,'Portfolio Wise '!$B343,'Campaign - Dump'!$A:$A,'Portfolio Wise '!$A343)</f>
        <v>1169718</v>
      </c>
      <c r="D343" s="13">
        <f>SUMIFS('Campaign - Dump'!$O:$O,'Campaign - Dump'!$J:$J,'Portfolio Wise '!$B343,'Campaign - Dump'!$A:$A,'Portfolio Wise '!$A343)</f>
        <v>8937</v>
      </c>
      <c r="E343" s="23">
        <f t="shared" si="2"/>
        <v>0.007640303047</v>
      </c>
      <c r="F343" s="36">
        <f>SUMIFS('Campaign - Dump'!$Q:$Q,'Campaign - Dump'!$J:$J,'Portfolio Wise '!$B343,'Campaign - Dump'!$A:$A,'Portfolio Wise '!$A343)</f>
        <v>315219.69</v>
      </c>
      <c r="G343" s="38">
        <f t="shared" si="3"/>
        <v>35.27130916</v>
      </c>
      <c r="H343" s="41">
        <f>SUMIFS('Campaign - Dump'!$T:$T,'Campaign - Dump'!$J:$J,'Portfolio Wise '!$B343,'Campaign - Dump'!$A:$A,'Portfolio Wise '!$A343)</f>
        <v>34</v>
      </c>
      <c r="I343" s="23">
        <f t="shared" si="4"/>
        <v>0.003804408638</v>
      </c>
      <c r="J343" s="36">
        <f>SUMIFS('Campaign - Dump'!$U:$U,'Campaign - Dump'!$J:$J,'Portfolio Wise '!$B343,'Campaign - Dump'!$A:$A,'Portfolio Wise '!$A343)</f>
        <v>645317.79</v>
      </c>
      <c r="K343" s="23">
        <f t="shared" si="5"/>
        <v>0.4884720286</v>
      </c>
      <c r="L343" s="38">
        <f t="shared" si="6"/>
        <v>2.047200129</v>
      </c>
      <c r="M343" s="41">
        <f t="shared" si="7"/>
        <v>18979.935</v>
      </c>
      <c r="N343" s="13">
        <f t="shared" ref="N343:N349" si="495">IFERROR(Q343-H343,0)</f>
        <v>20</v>
      </c>
      <c r="O343" s="36">
        <f t="shared" ref="O343:O349" si="496">IFERROR(R343-J343,0)</f>
        <v>402108.0066</v>
      </c>
      <c r="P343" s="41">
        <f t="shared" si="8"/>
        <v>20105.40033</v>
      </c>
      <c r="Q343" s="198">
        <f>SUMIFS('Business - Dump'!$W:$W,'Business - Dump'!$B:$B,'Portfolio Wise '!$B343,'Business - Dump'!$A:$A,'Portfolio Wise '!$A343)</f>
        <v>54</v>
      </c>
      <c r="R343" s="36">
        <f>SUMIFS('Business - Dump'!$U:$U,'Business - Dump'!$B:$B,'Portfolio Wise '!$B343,'Business - Dump'!$A:$A,'Portfolio Wise '!$A343)/1.18</f>
        <v>1047425.797</v>
      </c>
      <c r="S343" s="41">
        <f t="shared" si="9"/>
        <v>19396.77401</v>
      </c>
      <c r="T343" s="62">
        <f t="shared" si="10"/>
        <v>0.300947037</v>
      </c>
      <c r="U343" s="38">
        <f t="shared" si="11"/>
        <v>3.322843813</v>
      </c>
      <c r="V343" s="130">
        <f>SUMIFS('Business - Dump'!$G:$G,'Business - Dump'!$B:$B,'Portfolio Wise '!$B343,'Business - Dump'!$A:$A,'Portfolio Wise '!$A343)</f>
        <v>17865</v>
      </c>
      <c r="W343" s="62">
        <f t="shared" si="12"/>
        <v>0.003022670025</v>
      </c>
      <c r="X343" s="23">
        <f t="shared" ref="X343:Y343" si="494">IFERROR(N343/Q343,0)</f>
        <v>0.3703703704</v>
      </c>
      <c r="Y343" s="49">
        <f t="shared" si="494"/>
        <v>0.383901187</v>
      </c>
      <c r="Z343" s="49">
        <f t="shared" si="14"/>
        <v>0.6296296296</v>
      </c>
      <c r="AA343" s="23">
        <f t="shared" si="15"/>
        <v>0.383901187</v>
      </c>
      <c r="AB343" s="23">
        <f>IFERROR(AVERAGEIFS('Business - Dump'!$O:$O,'Business - Dump'!$B:$B,'Portfolio Wise '!$B343,'Business - Dump'!$A:$A,'Portfolio Wise '!$A343),0)</f>
        <v>0.8757666667</v>
      </c>
      <c r="AC343" s="49">
        <f>F343/SUMIFS('Campaign - Dump'!$Q:$Q,'Campaign - Dump'!$A:$A,'Portfolio Wise '!$A343)</f>
        <v>0.4240728681</v>
      </c>
      <c r="AD343" s="49">
        <f t="shared" si="16"/>
        <v>0.5882352941</v>
      </c>
    </row>
    <row r="344" ht="15.75" customHeight="1">
      <c r="A344" s="65">
        <v>45658.0</v>
      </c>
      <c r="B344" s="19" t="s">
        <v>140</v>
      </c>
      <c r="C344" s="13">
        <f>SUMIFS('Campaign - Dump'!$N:$N,'Campaign - Dump'!$J:$J,'Portfolio Wise '!$B344,'Campaign - Dump'!$A:$A,'Portfolio Wise '!$A344)</f>
        <v>532607</v>
      </c>
      <c r="D344" s="13">
        <f>SUMIFS('Campaign - Dump'!$O:$O,'Campaign - Dump'!$J:$J,'Portfolio Wise '!$B344,'Campaign - Dump'!$A:$A,'Portfolio Wise '!$A344)</f>
        <v>1188</v>
      </c>
      <c r="E344" s="23">
        <f t="shared" si="2"/>
        <v>0.002230537714</v>
      </c>
      <c r="F344" s="36">
        <f>SUMIFS('Campaign - Dump'!$Q:$Q,'Campaign - Dump'!$J:$J,'Portfolio Wise '!$B344,'Campaign - Dump'!$A:$A,'Portfolio Wise '!$A344)</f>
        <v>48552.26</v>
      </c>
      <c r="G344" s="38">
        <f t="shared" si="3"/>
        <v>40.86890572</v>
      </c>
      <c r="H344" s="41">
        <f>SUMIFS('Campaign - Dump'!$T:$T,'Campaign - Dump'!$J:$J,'Portfolio Wise '!$B344,'Campaign - Dump'!$A:$A,'Portfolio Wise '!$A344)</f>
        <v>13</v>
      </c>
      <c r="I344" s="23">
        <f t="shared" si="4"/>
        <v>0.01094276094</v>
      </c>
      <c r="J344" s="36">
        <f>SUMIFS('Campaign - Dump'!$U:$U,'Campaign - Dump'!$J:$J,'Portfolio Wise '!$B344,'Campaign - Dump'!$A:$A,'Portfolio Wise '!$A344)</f>
        <v>322496.58</v>
      </c>
      <c r="K344" s="23">
        <f t="shared" si="5"/>
        <v>0.15055124</v>
      </c>
      <c r="L344" s="38">
        <f t="shared" si="6"/>
        <v>6.642256818</v>
      </c>
      <c r="M344" s="41">
        <f t="shared" si="7"/>
        <v>24807.42923</v>
      </c>
      <c r="N344" s="13">
        <f t="shared" si="495"/>
        <v>13</v>
      </c>
      <c r="O344" s="36">
        <f t="shared" si="496"/>
        <v>417890.4031</v>
      </c>
      <c r="P344" s="41">
        <f t="shared" si="8"/>
        <v>32145.41562</v>
      </c>
      <c r="Q344" s="13">
        <f>SUMIFS('Business - Dump'!$W:$W,'Business - Dump'!$B:$B,'Portfolio Wise '!$B344,'Business - Dump'!$A:$A,'Portfolio Wise '!$A344)</f>
        <v>26</v>
      </c>
      <c r="R344" s="36">
        <f>SUMIFS('Business - Dump'!$U:$U,'Business - Dump'!$B:$B,'Portfolio Wise '!$B344,'Business - Dump'!$A:$A,'Portfolio Wise '!$A344)/1.18</f>
        <v>740386.9831</v>
      </c>
      <c r="S344" s="41">
        <f t="shared" si="9"/>
        <v>28476.42243</v>
      </c>
      <c r="T344" s="23">
        <f t="shared" si="10"/>
        <v>0.06557686873</v>
      </c>
      <c r="U344" s="38">
        <f t="shared" si="11"/>
        <v>15.2492795</v>
      </c>
      <c r="V344" s="41">
        <f>SUMIFS('Business - Dump'!$G:$G,'Business - Dump'!$B:$B,'Portfolio Wise '!$B344,'Business - Dump'!$A:$A,'Portfolio Wise '!$A344)</f>
        <v>4917</v>
      </c>
      <c r="W344" s="23">
        <f t="shared" si="12"/>
        <v>0.0052877771</v>
      </c>
      <c r="X344" s="23">
        <f t="shared" ref="X344:Y344" si="497">IFERROR(N344/Q344,0)</f>
        <v>0.5</v>
      </c>
      <c r="Y344" s="49">
        <f t="shared" si="497"/>
        <v>0.5644215966</v>
      </c>
      <c r="Z344" s="49">
        <f t="shared" si="14"/>
        <v>0.5</v>
      </c>
      <c r="AA344" s="23">
        <f t="shared" si="15"/>
        <v>0.5644215966</v>
      </c>
      <c r="AB344" s="23">
        <f>IFERROR(AVERAGEIFS('Business - Dump'!$O:$O,'Business - Dump'!$B:$B,'Portfolio Wise '!$B344,'Business - Dump'!$A:$A,'Portfolio Wise '!$A344),0)</f>
        <v>0.9096</v>
      </c>
      <c r="AC344" s="49">
        <f>F344/SUMIFS('Campaign - Dump'!$Q:$Q,'Campaign - Dump'!$A:$A,'Portfolio Wise '!$A344)</f>
        <v>0.06531855973</v>
      </c>
      <c r="AD344" s="49">
        <f t="shared" si="16"/>
        <v>1</v>
      </c>
    </row>
    <row r="345" ht="15.75" customHeight="1">
      <c r="A345" s="65">
        <v>45658.0</v>
      </c>
      <c r="B345" s="10" t="s">
        <v>152</v>
      </c>
      <c r="C345" s="13">
        <f>SUMIFS('Campaign - Dump'!$N:$N,'Campaign - Dump'!$J:$J,'Portfolio Wise '!$B345,'Campaign - Dump'!$A:$A,'Portfolio Wise '!$A345)</f>
        <v>0</v>
      </c>
      <c r="D345" s="13">
        <f>SUMIFS('Campaign - Dump'!$O:$O,'Campaign - Dump'!$J:$J,'Portfolio Wise '!$B345,'Campaign - Dump'!$A:$A,'Portfolio Wise '!$A345)</f>
        <v>0</v>
      </c>
      <c r="E345" s="23">
        <f t="shared" si="2"/>
        <v>0</v>
      </c>
      <c r="F345" s="36">
        <f>SUMIFS('Campaign - Dump'!$Q:$Q,'Campaign - Dump'!$J:$J,'Portfolio Wise '!$B345,'Campaign - Dump'!$A:$A,'Portfolio Wise '!$A345)</f>
        <v>0</v>
      </c>
      <c r="G345" s="38">
        <f t="shared" si="3"/>
        <v>0</v>
      </c>
      <c r="H345" s="41">
        <f>SUMIFS('Campaign - Dump'!$T:$T,'Campaign - Dump'!$J:$J,'Portfolio Wise '!$B345,'Campaign - Dump'!$A:$A,'Portfolio Wise '!$A345)</f>
        <v>0</v>
      </c>
      <c r="I345" s="23">
        <f t="shared" si="4"/>
        <v>0</v>
      </c>
      <c r="J345" s="36">
        <f>SUMIFS('Campaign - Dump'!$U:$U,'Campaign - Dump'!$J:$J,'Portfolio Wise '!$B345,'Campaign - Dump'!$A:$A,'Portfolio Wise '!$A345)</f>
        <v>0</v>
      </c>
      <c r="K345" s="23">
        <f t="shared" si="5"/>
        <v>0</v>
      </c>
      <c r="L345" s="38">
        <f t="shared" si="6"/>
        <v>0</v>
      </c>
      <c r="M345" s="41">
        <f t="shared" si="7"/>
        <v>0</v>
      </c>
      <c r="N345" s="13">
        <f t="shared" si="495"/>
        <v>1</v>
      </c>
      <c r="O345" s="36">
        <f t="shared" si="496"/>
        <v>13114.90678</v>
      </c>
      <c r="P345" s="41">
        <f t="shared" si="8"/>
        <v>13114.90678</v>
      </c>
      <c r="Q345" s="13">
        <f>SUMIFS('Business - Dump'!$W:$W,'Business - Dump'!$B:$B,'Portfolio Wise '!$B345,'Business - Dump'!$A:$A,'Portfolio Wise '!$A345)</f>
        <v>1</v>
      </c>
      <c r="R345" s="36">
        <f>SUMIFS('Business - Dump'!$U:$U,'Business - Dump'!$B:$B,'Portfolio Wise '!$B345,'Business - Dump'!$A:$A,'Portfolio Wise '!$A345)/1.18</f>
        <v>13114.90678</v>
      </c>
      <c r="S345" s="41">
        <f t="shared" si="9"/>
        <v>13114.90678</v>
      </c>
      <c r="T345" s="23">
        <f t="shared" si="10"/>
        <v>0</v>
      </c>
      <c r="U345" s="38">
        <f t="shared" si="11"/>
        <v>0</v>
      </c>
      <c r="V345" s="41">
        <f>SUMIFS('Business - Dump'!$G:$G,'Business - Dump'!$B:$B,'Portfolio Wise '!$B345,'Business - Dump'!$A:$A,'Portfolio Wise '!$A345)</f>
        <v>294</v>
      </c>
      <c r="W345" s="48">
        <f t="shared" si="12"/>
        <v>0.003401360544</v>
      </c>
      <c r="X345" s="23">
        <f t="shared" ref="X345:Y345" si="498">IFERROR(N345/Q345,0)</f>
        <v>1</v>
      </c>
      <c r="Y345" s="49">
        <f t="shared" si="498"/>
        <v>1</v>
      </c>
      <c r="Z345" s="49">
        <f t="shared" si="14"/>
        <v>0</v>
      </c>
      <c r="AA345" s="23">
        <f t="shared" si="15"/>
        <v>1</v>
      </c>
      <c r="AB345" s="23">
        <f>IFERROR(AVERAGEIFS('Business - Dump'!$O:$O,'Business - Dump'!$B:$B,'Portfolio Wise '!$B345,'Business - Dump'!$A:$A,'Portfolio Wise '!$A345),0)</f>
        <v>0.9672</v>
      </c>
      <c r="AC345" s="49">
        <f>F345/SUMIFS('Campaign - Dump'!$Q:$Q,'Campaign - Dump'!$A:$A,'Portfolio Wise '!$A345)</f>
        <v>0</v>
      </c>
      <c r="AD345" s="49">
        <f t="shared" si="16"/>
        <v>0</v>
      </c>
    </row>
    <row r="346" ht="15.75" customHeight="1">
      <c r="A346" s="65">
        <v>45658.0</v>
      </c>
      <c r="B346" s="19" t="s">
        <v>158</v>
      </c>
      <c r="C346" s="13">
        <f>SUMIFS('Campaign - Dump'!$N:$N,'Campaign - Dump'!$J:$J,'Portfolio Wise '!$B346,'Campaign - Dump'!$A:$A,'Portfolio Wise '!$A346)</f>
        <v>84792</v>
      </c>
      <c r="D346" s="13">
        <f>SUMIFS('Campaign - Dump'!$O:$O,'Campaign - Dump'!$J:$J,'Portfolio Wise '!$B346,'Campaign - Dump'!$A:$A,'Portfolio Wise '!$A346)</f>
        <v>608</v>
      </c>
      <c r="E346" s="23">
        <f t="shared" si="2"/>
        <v>0.007170487782</v>
      </c>
      <c r="F346" s="36">
        <f>SUMIFS('Campaign - Dump'!$Q:$Q,'Campaign - Dump'!$J:$J,'Portfolio Wise '!$B346,'Campaign - Dump'!$A:$A,'Portfolio Wise '!$A346)</f>
        <v>7509.71</v>
      </c>
      <c r="G346" s="38">
        <f t="shared" si="3"/>
        <v>12.35149671</v>
      </c>
      <c r="H346" s="41">
        <f>SUMIFS('Campaign - Dump'!$T:$T,'Campaign - Dump'!$J:$J,'Portfolio Wise '!$B346,'Campaign - Dump'!$A:$A,'Portfolio Wise '!$A346)</f>
        <v>5</v>
      </c>
      <c r="I346" s="23">
        <f t="shared" si="4"/>
        <v>0.008223684211</v>
      </c>
      <c r="J346" s="36">
        <f>SUMIFS('Campaign - Dump'!$U:$U,'Campaign - Dump'!$J:$J,'Portfolio Wise '!$B346,'Campaign - Dump'!$A:$A,'Portfolio Wise '!$A346)</f>
        <v>36456.78</v>
      </c>
      <c r="K346" s="23">
        <f t="shared" si="5"/>
        <v>0.2059893935</v>
      </c>
      <c r="L346" s="38">
        <f t="shared" si="6"/>
        <v>4.854618887</v>
      </c>
      <c r="M346" s="41">
        <f t="shared" si="7"/>
        <v>7291.356</v>
      </c>
      <c r="N346" s="13">
        <f t="shared" si="495"/>
        <v>5</v>
      </c>
      <c r="O346" s="36">
        <f t="shared" si="496"/>
        <v>10459.32169</v>
      </c>
      <c r="P346" s="41">
        <f t="shared" si="8"/>
        <v>2091.864339</v>
      </c>
      <c r="Q346" s="13">
        <f>SUMIFS('Business - Dump'!$W:$W,'Business - Dump'!$B:$B,'Portfolio Wise '!$B346,'Business - Dump'!$A:$A,'Portfolio Wise '!$A346)</f>
        <v>10</v>
      </c>
      <c r="R346" s="36">
        <f>SUMIFS('Business - Dump'!$U:$U,'Business - Dump'!$B:$B,'Portfolio Wise '!$B346,'Business - Dump'!$A:$A,'Portfolio Wise '!$A346)/1.18</f>
        <v>46916.10169</v>
      </c>
      <c r="S346" s="41">
        <f t="shared" si="9"/>
        <v>4691.610169</v>
      </c>
      <c r="T346" s="201">
        <f t="shared" si="10"/>
        <v>0.1600667943</v>
      </c>
      <c r="U346" s="38">
        <f t="shared" si="11"/>
        <v>6.247391936</v>
      </c>
      <c r="V346" s="41">
        <f>SUMIFS('Business - Dump'!$G:$G,'Business - Dump'!$B:$B,'Portfolio Wise '!$B346,'Business - Dump'!$A:$A,'Portfolio Wise '!$A346)</f>
        <v>1340</v>
      </c>
      <c r="W346" s="48">
        <f t="shared" si="12"/>
        <v>0.007462686567</v>
      </c>
      <c r="X346" s="23">
        <f t="shared" ref="X346:Y346" si="499">IFERROR(N346/Q346,0)</f>
        <v>0.5</v>
      </c>
      <c r="Y346" s="49">
        <f t="shared" si="499"/>
        <v>0.2229367172</v>
      </c>
      <c r="Z346" s="49">
        <f t="shared" si="14"/>
        <v>0.5</v>
      </c>
      <c r="AA346" s="23">
        <f t="shared" si="15"/>
        <v>0.2229367172</v>
      </c>
      <c r="AB346" s="23">
        <f>IFERROR(AVERAGEIFS('Business - Dump'!$O:$O,'Business - Dump'!$B:$B,'Portfolio Wise '!$B346,'Business - Dump'!$A:$A,'Portfolio Wise '!$A346),0)</f>
        <v>0.90355</v>
      </c>
      <c r="AC346" s="49">
        <f>F346/SUMIFS('Campaign - Dump'!$Q:$Q,'Campaign - Dump'!$A:$A,'Portfolio Wise '!$A346)</f>
        <v>0.01010299914</v>
      </c>
      <c r="AD346" s="49">
        <f t="shared" si="16"/>
        <v>1</v>
      </c>
    </row>
    <row r="347" ht="15.75" customHeight="1">
      <c r="A347" s="65">
        <v>45658.0</v>
      </c>
      <c r="B347" s="33" t="s">
        <v>170</v>
      </c>
      <c r="C347" s="13">
        <f>SUMIFS('Campaign - Dump'!$N:$N,'Campaign - Dump'!$J:$J,'Portfolio Wise '!$B347,'Campaign - Dump'!$A:$A,'Portfolio Wise '!$A347)</f>
        <v>0</v>
      </c>
      <c r="D347" s="13">
        <f>SUMIFS('Campaign - Dump'!$O:$O,'Campaign - Dump'!$J:$J,'Portfolio Wise '!$B347,'Campaign - Dump'!$A:$A,'Portfolio Wise '!$A347)</f>
        <v>0</v>
      </c>
      <c r="E347" s="23">
        <f t="shared" si="2"/>
        <v>0</v>
      </c>
      <c r="F347" s="36">
        <f>SUMIFS('Campaign - Dump'!$Q:$Q,'Campaign - Dump'!$J:$J,'Portfolio Wise '!$B347,'Campaign - Dump'!$A:$A,'Portfolio Wise '!$A347)</f>
        <v>0</v>
      </c>
      <c r="G347" s="38">
        <f t="shared" si="3"/>
        <v>0</v>
      </c>
      <c r="H347" s="41">
        <f>SUMIFS('Campaign - Dump'!$T:$T,'Campaign - Dump'!$J:$J,'Portfolio Wise '!$B347,'Campaign - Dump'!$A:$A,'Portfolio Wise '!$A347)</f>
        <v>0</v>
      </c>
      <c r="I347" s="23">
        <f t="shared" si="4"/>
        <v>0</v>
      </c>
      <c r="J347" s="36">
        <f>SUMIFS('Campaign - Dump'!$U:$U,'Campaign - Dump'!$J:$J,'Portfolio Wise '!$B347,'Campaign - Dump'!$A:$A,'Portfolio Wise '!$A347)</f>
        <v>0</v>
      </c>
      <c r="K347" s="23">
        <f t="shared" si="5"/>
        <v>0</v>
      </c>
      <c r="L347" s="38">
        <f t="shared" si="6"/>
        <v>0</v>
      </c>
      <c r="M347" s="41">
        <f t="shared" si="7"/>
        <v>0</v>
      </c>
      <c r="N347" s="13">
        <f t="shared" si="495"/>
        <v>0</v>
      </c>
      <c r="O347" s="36">
        <f t="shared" si="496"/>
        <v>0</v>
      </c>
      <c r="P347" s="41">
        <f t="shared" si="8"/>
        <v>0</v>
      </c>
      <c r="Q347" s="13">
        <f>SUMIFS('Business - Dump'!$W:$W,'Business - Dump'!$B:$B,'Portfolio Wise '!$B347,'Business - Dump'!$A:$A,'Portfolio Wise '!$A347)</f>
        <v>0</v>
      </c>
      <c r="R347" s="36">
        <f>SUMIFS('Business - Dump'!$U:$U,'Business - Dump'!$B:$B,'Portfolio Wise '!$B347,'Business - Dump'!$A:$A,'Portfolio Wise '!$A347)/1.18</f>
        <v>0</v>
      </c>
      <c r="S347" s="41">
        <f t="shared" si="9"/>
        <v>0</v>
      </c>
      <c r="T347" s="23">
        <f t="shared" si="10"/>
        <v>0</v>
      </c>
      <c r="U347" s="38">
        <f t="shared" si="11"/>
        <v>0</v>
      </c>
      <c r="V347" s="41">
        <f>SUMIFS('Business - Dump'!$G:$G,'Business - Dump'!$B:$B,'Portfolio Wise '!$B347,'Business - Dump'!$A:$A,'Portfolio Wise '!$A347)</f>
        <v>27</v>
      </c>
      <c r="W347" s="48">
        <f t="shared" si="12"/>
        <v>0</v>
      </c>
      <c r="X347" s="23">
        <f t="shared" ref="X347:Y347" si="500">IFERROR(N347/Q347,0)</f>
        <v>0</v>
      </c>
      <c r="Y347" s="49">
        <f t="shared" si="500"/>
        <v>0</v>
      </c>
      <c r="Z347" s="49">
        <f t="shared" si="14"/>
        <v>0</v>
      </c>
      <c r="AA347" s="23">
        <f t="shared" si="15"/>
        <v>0</v>
      </c>
      <c r="AB347" s="23">
        <f>IFERROR(AVERAGEIFS('Business - Dump'!$O:$O,'Business - Dump'!$B:$B,'Portfolio Wise '!$B347,'Business - Dump'!$A:$A,'Portfolio Wise '!$A347),0)</f>
        <v>0.8485</v>
      </c>
      <c r="AC347" s="49">
        <f>F347/SUMIFS('Campaign - Dump'!$Q:$Q,'Campaign - Dump'!$A:$A,'Portfolio Wise '!$A347)</f>
        <v>0</v>
      </c>
      <c r="AD347" s="49">
        <f t="shared" si="16"/>
        <v>0</v>
      </c>
    </row>
    <row r="348" ht="15.75" customHeight="1">
      <c r="A348" s="65">
        <v>45658.0</v>
      </c>
      <c r="B348" s="51" t="s">
        <v>176</v>
      </c>
      <c r="C348" s="13">
        <f>SUMIFS('Campaign - Dump'!$N:$N,'Campaign - Dump'!$J:$J,'Portfolio Wise '!$B348,'Campaign - Dump'!$A:$A,'Portfolio Wise '!$A348)</f>
        <v>186</v>
      </c>
      <c r="D348" s="13">
        <f>SUMIFS('Campaign - Dump'!$O:$O,'Campaign - Dump'!$J:$J,'Portfolio Wise '!$B348,'Campaign - Dump'!$A:$A,'Portfolio Wise '!$A348)</f>
        <v>1</v>
      </c>
      <c r="E348" s="23">
        <f t="shared" si="2"/>
        <v>0.005376344086</v>
      </c>
      <c r="F348" s="36">
        <f>SUMIFS('Campaign - Dump'!$Q:$Q,'Campaign - Dump'!$J:$J,'Portfolio Wise '!$B348,'Campaign - Dump'!$A:$A,'Portfolio Wise '!$A348)</f>
        <v>15.39</v>
      </c>
      <c r="G348" s="38">
        <f t="shared" si="3"/>
        <v>15.39</v>
      </c>
      <c r="H348" s="41">
        <f>SUMIFS('Campaign - Dump'!$T:$T,'Campaign - Dump'!$J:$J,'Portfolio Wise '!$B348,'Campaign - Dump'!$A:$A,'Portfolio Wise '!$A348)</f>
        <v>0</v>
      </c>
      <c r="I348" s="23">
        <f t="shared" si="4"/>
        <v>0</v>
      </c>
      <c r="J348" s="36">
        <f>SUMIFS('Campaign - Dump'!$U:$U,'Campaign - Dump'!$J:$J,'Portfolio Wise '!$B348,'Campaign - Dump'!$A:$A,'Portfolio Wise '!$A348)</f>
        <v>0</v>
      </c>
      <c r="K348" s="23">
        <f t="shared" si="5"/>
        <v>0</v>
      </c>
      <c r="L348" s="38">
        <f t="shared" si="6"/>
        <v>0</v>
      </c>
      <c r="M348" s="41">
        <f t="shared" si="7"/>
        <v>0</v>
      </c>
      <c r="N348" s="13">
        <f t="shared" si="495"/>
        <v>37</v>
      </c>
      <c r="O348" s="36">
        <f t="shared" si="496"/>
        <v>678135.4746</v>
      </c>
      <c r="P348" s="41">
        <f t="shared" si="8"/>
        <v>18327.9858</v>
      </c>
      <c r="Q348" s="13">
        <f>SUMIFS('Business - Dump'!$W:$W,'Business - Dump'!$B:$B,'Portfolio Wise '!$B348,'Business - Dump'!$A:$A,'Portfolio Wise '!$A348)</f>
        <v>37</v>
      </c>
      <c r="R348" s="36">
        <f>SUMIFS('Business - Dump'!$U:$U,'Business - Dump'!$B:$B,'Portfolio Wise '!$B348,'Business - Dump'!$A:$A,'Portfolio Wise '!$A348)/1.18</f>
        <v>678135.4746</v>
      </c>
      <c r="S348" s="41">
        <f t="shared" si="9"/>
        <v>18327.9858</v>
      </c>
      <c r="T348" s="23">
        <f t="shared" si="10"/>
        <v>0.00002269458033</v>
      </c>
      <c r="U348" s="38">
        <f t="shared" si="11"/>
        <v>44063.38366</v>
      </c>
      <c r="V348" s="41">
        <f>SUMIFS('Business - Dump'!$G:$G,'Business - Dump'!$B:$B,'Portfolio Wise '!$B348,'Business - Dump'!$A:$A,'Portfolio Wise '!$A348)</f>
        <v>5360</v>
      </c>
      <c r="W348" s="48">
        <f t="shared" si="12"/>
        <v>0.006902985075</v>
      </c>
      <c r="X348" s="23">
        <f t="shared" ref="X348:Y348" si="501">IFERROR(N348/Q348,0)</f>
        <v>1</v>
      </c>
      <c r="Y348" s="49">
        <f t="shared" si="501"/>
        <v>1</v>
      </c>
      <c r="Z348" s="49">
        <f t="shared" si="14"/>
        <v>0</v>
      </c>
      <c r="AA348" s="23">
        <f t="shared" si="15"/>
        <v>1</v>
      </c>
      <c r="AB348" s="23">
        <f>IFERROR(AVERAGEIFS('Business - Dump'!$O:$O,'Business - Dump'!$B:$B,'Portfolio Wise '!$B348,'Business - Dump'!$A:$A,'Portfolio Wise '!$A348),0)</f>
        <v>0.8839222222</v>
      </c>
      <c r="AC348" s="49">
        <f>F348/SUMIFS('Campaign - Dump'!$Q:$Q,'Campaign - Dump'!$A:$A,'Portfolio Wise '!$A348)</f>
        <v>0.00002070454875</v>
      </c>
      <c r="AD348" s="49">
        <f t="shared" si="16"/>
        <v>0</v>
      </c>
    </row>
    <row r="349" ht="15.75" customHeight="1">
      <c r="A349" s="65">
        <v>45658.0</v>
      </c>
      <c r="B349" s="100" t="s">
        <v>182</v>
      </c>
      <c r="C349" s="13">
        <f>SUMIFS('Campaign - Dump'!$N:$N,'Campaign - Dump'!$J:$J,'Portfolio Wise '!$B349,'Campaign - Dump'!$A:$A,'Portfolio Wise '!$A349)</f>
        <v>41327</v>
      </c>
      <c r="D349" s="13">
        <f>SUMIFS('Campaign - Dump'!$O:$O,'Campaign - Dump'!$J:$J,'Portfolio Wise '!$B349,'Campaign - Dump'!$A:$A,'Portfolio Wise '!$A349)</f>
        <v>134</v>
      </c>
      <c r="E349" s="23">
        <f t="shared" si="2"/>
        <v>0.003242432308</v>
      </c>
      <c r="F349" s="36">
        <f>SUMIFS('Campaign - Dump'!$Q:$Q,'Campaign - Dump'!$J:$J,'Portfolio Wise '!$B349,'Campaign - Dump'!$A:$A,'Portfolio Wise '!$A349)</f>
        <v>6183.32</v>
      </c>
      <c r="G349" s="38">
        <f t="shared" si="3"/>
        <v>46.1441791</v>
      </c>
      <c r="H349" s="41">
        <f>SUMIFS('Campaign - Dump'!$T:$T,'Campaign - Dump'!$J:$J,'Portfolio Wise '!$B349,'Campaign - Dump'!$A:$A,'Portfolio Wise '!$A349)</f>
        <v>1</v>
      </c>
      <c r="I349" s="23">
        <f t="shared" si="4"/>
        <v>0.007462686567</v>
      </c>
      <c r="J349" s="36">
        <f>SUMIFS('Campaign - Dump'!$U:$U,'Campaign - Dump'!$J:$J,'Portfolio Wise '!$B349,'Campaign - Dump'!$A:$A,'Portfolio Wise '!$A349)</f>
        <v>29491.52</v>
      </c>
      <c r="K349" s="23">
        <f t="shared" si="5"/>
        <v>0.2096643374</v>
      </c>
      <c r="L349" s="38">
        <f t="shared" si="6"/>
        <v>4.769528344</v>
      </c>
      <c r="M349" s="41">
        <f t="shared" si="7"/>
        <v>29491.52</v>
      </c>
      <c r="N349" s="127">
        <f t="shared" si="495"/>
        <v>8</v>
      </c>
      <c r="O349" s="36">
        <f t="shared" si="496"/>
        <v>223217.141</v>
      </c>
      <c r="P349" s="41">
        <f t="shared" si="8"/>
        <v>27902.14263</v>
      </c>
      <c r="Q349" s="206">
        <f>SUMIFS('Business - Dump'!$W:$W,'Business - Dump'!$B:$B,'Portfolio Wise '!$B349,'Business - Dump'!$A:$A,'Portfolio Wise '!$A349)</f>
        <v>9</v>
      </c>
      <c r="R349" s="36">
        <f>SUMIFS('Business - Dump'!$U:$U,'Business - Dump'!$B:$B,'Portfolio Wise '!$B349,'Business - Dump'!$A:$A,'Portfolio Wise '!$A349)/1.18</f>
        <v>252708.661</v>
      </c>
      <c r="S349" s="41">
        <f t="shared" si="9"/>
        <v>28078.74011</v>
      </c>
      <c r="T349" s="23">
        <f t="shared" si="10"/>
        <v>0.02446817602</v>
      </c>
      <c r="U349" s="38">
        <f t="shared" si="11"/>
        <v>40.86941336</v>
      </c>
      <c r="V349" s="41">
        <f>SUMIFS('Business - Dump'!$G:$G,'Business - Dump'!$B:$B,'Portfolio Wise '!$B349,'Business - Dump'!$A:$A,'Portfolio Wise '!$A349)</f>
        <v>1762</v>
      </c>
      <c r="W349" s="23">
        <f t="shared" si="12"/>
        <v>0.005107832009</v>
      </c>
      <c r="X349" s="23">
        <f t="shared" ref="X349:Y349" si="502">IFERROR(N349/Q349,0)</f>
        <v>0.8888888889</v>
      </c>
      <c r="Y349" s="49">
        <f t="shared" si="502"/>
        <v>0.8832983409</v>
      </c>
      <c r="Z349" s="49">
        <f t="shared" si="14"/>
        <v>0.1111111111</v>
      </c>
      <c r="AA349" s="23">
        <f t="shared" si="15"/>
        <v>0.8832983409</v>
      </c>
      <c r="AB349" s="23">
        <f>IFERROR(AVERAGEIFS('Business - Dump'!$O:$O,'Business - Dump'!$B:$B,'Portfolio Wise '!$B349,'Business - Dump'!$A:$A,'Portfolio Wise '!$A349),0)</f>
        <v>0.88785</v>
      </c>
      <c r="AC349" s="49">
        <f>F349/SUMIFS('Campaign - Dump'!$Q:$Q,'Campaign - Dump'!$A:$A,'Portfolio Wise '!$A349)</f>
        <v>0.008318573775</v>
      </c>
      <c r="AD349" s="49">
        <f t="shared" si="16"/>
        <v>8</v>
      </c>
    </row>
    <row r="350" ht="15.75" customHeight="1">
      <c r="A350" s="65">
        <v>45658.0</v>
      </c>
      <c r="B350" s="19" t="s">
        <v>196</v>
      </c>
      <c r="C350" s="13">
        <f>SUMIFS('Campaign - Dump'!$N:$N,'Campaign - Dump'!$J:$J,'Portfolio Wise '!$B350,'Campaign - Dump'!$A:$A,'Portfolio Wise '!$A350)</f>
        <v>222224</v>
      </c>
      <c r="D350" s="13">
        <f>SUMIFS('Campaign - Dump'!$O:$O,'Campaign - Dump'!$J:$J,'Portfolio Wise '!$B350,'Campaign - Dump'!$A:$A,'Portfolio Wise '!$A350)</f>
        <v>1428</v>
      </c>
      <c r="E350" s="23">
        <f t="shared" si="2"/>
        <v>0.006425948592</v>
      </c>
      <c r="F350" s="36">
        <f>SUMIFS('Campaign - Dump'!$Q:$Q,'Campaign - Dump'!$J:$J,'Portfolio Wise '!$B350,'Campaign - Dump'!$A:$A,'Portfolio Wise '!$A350)</f>
        <v>36803.34</v>
      </c>
      <c r="G350" s="38">
        <f t="shared" si="3"/>
        <v>25.77264706</v>
      </c>
      <c r="H350" s="199">
        <f>SUMIFS('Campaign - Dump'!$T:$T,'Campaign - Dump'!$J:$J,'Portfolio Wise '!$B350,'Campaign - Dump'!$A:$A,'Portfolio Wise '!$A350)</f>
        <v>7</v>
      </c>
      <c r="I350" s="23">
        <f t="shared" si="4"/>
        <v>0.004901960784</v>
      </c>
      <c r="J350" s="36">
        <f>SUMIFS('Campaign - Dump'!$U:$U,'Campaign - Dump'!$J:$J,'Portfolio Wise '!$B350,'Campaign - Dump'!$A:$A,'Portfolio Wise '!$A350)</f>
        <v>108093.2</v>
      </c>
      <c r="K350" s="23">
        <f t="shared" si="5"/>
        <v>0.3404778469</v>
      </c>
      <c r="L350" s="38">
        <f t="shared" si="6"/>
        <v>2.937048648</v>
      </c>
      <c r="M350" s="41">
        <f t="shared" si="7"/>
        <v>15441.88571</v>
      </c>
      <c r="N350" s="13">
        <v>0.0</v>
      </c>
      <c r="O350" s="36">
        <v>0.0</v>
      </c>
      <c r="P350" s="41">
        <f t="shared" si="8"/>
        <v>0</v>
      </c>
      <c r="Q350" s="13">
        <f>SUMIFS('Business - Dump'!$W:$W,'Business - Dump'!$B:$B,'Portfolio Wise '!$B350,'Business - Dump'!$A:$A,'Portfolio Wise '!$A350)</f>
        <v>0</v>
      </c>
      <c r="R350" s="36">
        <f>SUMIFS('Business - Dump'!$U:$U,'Business - Dump'!$B:$B,'Portfolio Wise '!$B350,'Business - Dump'!$A:$A,'Portfolio Wise '!$A350)/1.18</f>
        <v>0</v>
      </c>
      <c r="S350" s="41">
        <f t="shared" si="9"/>
        <v>0</v>
      </c>
      <c r="T350" s="23">
        <f t="shared" si="10"/>
        <v>0</v>
      </c>
      <c r="U350" s="38">
        <f t="shared" si="11"/>
        <v>0</v>
      </c>
      <c r="V350" s="41">
        <f>SUMIFS('Business - Dump'!$G:$G,'Business - Dump'!$B:$B,'Portfolio Wise '!$B350,'Business - Dump'!$A:$A,'Portfolio Wise '!$A350)</f>
        <v>0</v>
      </c>
      <c r="W350" s="48">
        <f t="shared" si="12"/>
        <v>0</v>
      </c>
      <c r="X350" s="23">
        <f t="shared" ref="X350:Y350" si="503">IFERROR(N350/Q350,0)</f>
        <v>0</v>
      </c>
      <c r="Y350" s="49">
        <f t="shared" si="503"/>
        <v>0</v>
      </c>
      <c r="Z350" s="49">
        <f t="shared" si="14"/>
        <v>0</v>
      </c>
      <c r="AA350" s="23">
        <f t="shared" si="15"/>
        <v>0</v>
      </c>
      <c r="AB350" s="23">
        <f>IFERROR(AVERAGEIFS('Business - Dump'!$O:$O,'Business - Dump'!$B:$B,'Portfolio Wise '!$B350,'Business - Dump'!$A:$A,'Portfolio Wise '!$A350),0)</f>
        <v>0</v>
      </c>
      <c r="AC350" s="49">
        <f>F350/SUMIFS('Campaign - Dump'!$Q:$Q,'Campaign - Dump'!$A:$A,'Portfolio Wise '!$A350)</f>
        <v>0.04951244622</v>
      </c>
      <c r="AD350" s="49">
        <f t="shared" si="16"/>
        <v>0</v>
      </c>
    </row>
    <row r="351" ht="15.75" customHeight="1">
      <c r="A351" s="65">
        <v>45658.0</v>
      </c>
      <c r="B351" s="19" t="s">
        <v>205</v>
      </c>
      <c r="C351" s="13">
        <f>SUMIFS('Campaign - Dump'!$N:$N,'Campaign - Dump'!$J:$J,'Portfolio Wise '!$B351,'Campaign - Dump'!$A:$A,'Portfolio Wise '!$A351)</f>
        <v>65349</v>
      </c>
      <c r="D351" s="13">
        <f>SUMIFS('Campaign - Dump'!$O:$O,'Campaign - Dump'!$J:$J,'Portfolio Wise '!$B351,'Campaign - Dump'!$A:$A,'Portfolio Wise '!$A351)</f>
        <v>99</v>
      </c>
      <c r="E351" s="23">
        <f t="shared" si="2"/>
        <v>0.001514942845</v>
      </c>
      <c r="F351" s="36">
        <f>SUMIFS('Campaign - Dump'!$Q:$Q,'Campaign - Dump'!$J:$J,'Portfolio Wise '!$B351,'Campaign - Dump'!$A:$A,'Portfolio Wise '!$A351)</f>
        <v>3873.59</v>
      </c>
      <c r="G351" s="38">
        <f t="shared" si="3"/>
        <v>39.12717172</v>
      </c>
      <c r="H351" s="41">
        <f>SUMIFS('Campaign - Dump'!$T:$T,'Campaign - Dump'!$J:$J,'Portfolio Wise '!$B351,'Campaign - Dump'!$A:$A,'Portfolio Wise '!$A351)</f>
        <v>0</v>
      </c>
      <c r="I351" s="23">
        <f t="shared" si="4"/>
        <v>0</v>
      </c>
      <c r="J351" s="36">
        <f>SUMIFS('Campaign - Dump'!$U:$U,'Campaign - Dump'!$J:$J,'Portfolio Wise '!$B351,'Campaign - Dump'!$A:$A,'Portfolio Wise '!$A351)</f>
        <v>0</v>
      </c>
      <c r="K351" s="23">
        <f t="shared" si="5"/>
        <v>0</v>
      </c>
      <c r="L351" s="38">
        <f t="shared" si="6"/>
        <v>0</v>
      </c>
      <c r="M351" s="41">
        <f t="shared" si="7"/>
        <v>0</v>
      </c>
      <c r="N351" s="13">
        <f t="shared" ref="N351:N362" si="505">IFERROR(Q351-H351,0)</f>
        <v>10</v>
      </c>
      <c r="O351" s="36">
        <f t="shared" ref="O351:O362" si="506">IFERROR(R351-J351,0)</f>
        <v>335983.1356</v>
      </c>
      <c r="P351" s="41">
        <f t="shared" si="8"/>
        <v>33598.31356</v>
      </c>
      <c r="Q351" s="127">
        <f>SUMIFS('Business - Dump'!$W:$W,'Business - Dump'!$B:$B,'Portfolio Wise '!$B351,'Business - Dump'!$A:$A,'Portfolio Wise '!$A351)</f>
        <v>10</v>
      </c>
      <c r="R351" s="36">
        <f>SUMIFS('Business - Dump'!$U:$U,'Business - Dump'!$B:$B,'Portfolio Wise '!$B351,'Business - Dump'!$A:$A,'Portfolio Wise '!$A351)/1.18</f>
        <v>335983.1356</v>
      </c>
      <c r="S351" s="41">
        <f t="shared" si="9"/>
        <v>33598.31356</v>
      </c>
      <c r="T351" s="23">
        <f t="shared" si="10"/>
        <v>0.01152912033</v>
      </c>
      <c r="U351" s="38">
        <f t="shared" si="11"/>
        <v>86.73688635</v>
      </c>
      <c r="V351" s="41">
        <f>SUMIFS('Business - Dump'!$G:$G,'Business - Dump'!$B:$B,'Portfolio Wise '!$B351,'Business - Dump'!$A:$A,'Portfolio Wise '!$A351)</f>
        <v>2241</v>
      </c>
      <c r="W351" s="48">
        <f t="shared" si="12"/>
        <v>0.004462293619</v>
      </c>
      <c r="X351" s="23">
        <f t="shared" ref="X351:Y351" si="504">IFERROR(N351/Q351,0)</f>
        <v>1</v>
      </c>
      <c r="Y351" s="49">
        <f t="shared" si="504"/>
        <v>1</v>
      </c>
      <c r="Z351" s="49">
        <f t="shared" si="14"/>
        <v>0</v>
      </c>
      <c r="AA351" s="23">
        <f t="shared" si="15"/>
        <v>1</v>
      </c>
      <c r="AB351" s="23">
        <f>IFERROR(AVERAGEIFS('Business - Dump'!$O:$O,'Business - Dump'!$B:$B,'Portfolio Wise '!$B351,'Business - Dump'!$A:$A,'Portfolio Wise '!$A351),0)</f>
        <v>0.8786444444</v>
      </c>
      <c r="AC351" s="49">
        <f>F351/SUMIFS('Campaign - Dump'!$Q:$Q,'Campaign - Dump'!$A:$A,'Portfolio Wise '!$A351)</f>
        <v>0.005211236712</v>
      </c>
      <c r="AD351" s="49">
        <f t="shared" si="16"/>
        <v>0</v>
      </c>
    </row>
    <row r="352" ht="15.75" customHeight="1">
      <c r="A352" s="65">
        <v>45658.0</v>
      </c>
      <c r="B352" s="10" t="s">
        <v>211</v>
      </c>
      <c r="C352" s="13">
        <f>SUMIFS('Campaign - Dump'!$N:$N,'Campaign - Dump'!$J:$J,'Portfolio Wise '!$B352,'Campaign - Dump'!$A:$A,'Portfolio Wise '!$A352)</f>
        <v>413457</v>
      </c>
      <c r="D352" s="13">
        <f>SUMIFS('Campaign - Dump'!$O:$O,'Campaign - Dump'!$J:$J,'Portfolio Wise '!$B352,'Campaign - Dump'!$A:$A,'Portfolio Wise '!$A352)</f>
        <v>5183</v>
      </c>
      <c r="E352" s="23">
        <f t="shared" si="2"/>
        <v>0.01253576551</v>
      </c>
      <c r="F352" s="36">
        <f>SUMIFS('Campaign - Dump'!$Q:$Q,'Campaign - Dump'!$J:$J,'Portfolio Wise '!$B352,'Campaign - Dump'!$A:$A,'Portfolio Wise '!$A352)</f>
        <v>25567.84</v>
      </c>
      <c r="G352" s="38">
        <f t="shared" si="3"/>
        <v>4.933019487</v>
      </c>
      <c r="H352" s="41">
        <f>SUMIFS('Campaign - Dump'!$T:$T,'Campaign - Dump'!$J:$J,'Portfolio Wise '!$B352,'Campaign - Dump'!$A:$A,'Portfolio Wise '!$A352)</f>
        <v>96</v>
      </c>
      <c r="I352" s="23">
        <f t="shared" si="4"/>
        <v>0.01852209145</v>
      </c>
      <c r="J352" s="36">
        <f>SUMIFS('Campaign - Dump'!$U:$U,'Campaign - Dump'!$J:$J,'Portfolio Wise '!$B352,'Campaign - Dump'!$A:$A,'Portfolio Wise '!$A352)</f>
        <v>234707.69</v>
      </c>
      <c r="K352" s="23">
        <f t="shared" si="5"/>
        <v>0.1089348202</v>
      </c>
      <c r="L352" s="38">
        <f t="shared" si="6"/>
        <v>9.179801266</v>
      </c>
      <c r="M352" s="41">
        <f t="shared" si="7"/>
        <v>2444.871771</v>
      </c>
      <c r="N352" s="13">
        <f t="shared" si="505"/>
        <v>53</v>
      </c>
      <c r="O352" s="36">
        <f t="shared" si="506"/>
        <v>-19181.41881</v>
      </c>
      <c r="P352" s="41">
        <f t="shared" si="8"/>
        <v>-361.9135625</v>
      </c>
      <c r="Q352" s="13">
        <f>SUMIFS('Business - Dump'!$W:$W,'Business - Dump'!$B:$B,'Portfolio Wise '!$B352,'Business - Dump'!$A:$A,'Portfolio Wise '!$A352)</f>
        <v>149</v>
      </c>
      <c r="R352" s="36">
        <f>SUMIFS('Business - Dump'!$U:$U,'Business - Dump'!$B:$B,'Portfolio Wise '!$B352,'Business - Dump'!$A:$A,'Portfolio Wise '!$A352)/1.18</f>
        <v>215526.2712</v>
      </c>
      <c r="S352" s="41">
        <f t="shared" si="9"/>
        <v>1446.485042</v>
      </c>
      <c r="T352" s="23">
        <f t="shared" si="10"/>
        <v>0.1186298072</v>
      </c>
      <c r="U352" s="38">
        <f t="shared" si="11"/>
        <v>8.429584634</v>
      </c>
      <c r="V352" s="41">
        <f>SUMIFS('Business - Dump'!$G:$G,'Business - Dump'!$B:$B,'Portfolio Wise '!$B352,'Business - Dump'!$A:$A,'Portfolio Wise '!$A352)</f>
        <v>7523</v>
      </c>
      <c r="W352" s="48">
        <f t="shared" si="12"/>
        <v>0.01980592849</v>
      </c>
      <c r="X352" s="23">
        <f t="shared" ref="X352:Y352" si="507">IFERROR(N352/Q352,0)</f>
        <v>0.355704698</v>
      </c>
      <c r="Y352" s="49">
        <f t="shared" si="507"/>
        <v>-0.08899805443</v>
      </c>
      <c r="Z352" s="49">
        <f t="shared" si="14"/>
        <v>0.644295302</v>
      </c>
      <c r="AA352" s="23">
        <f t="shared" si="15"/>
        <v>-0.08899805443</v>
      </c>
      <c r="AB352" s="23">
        <f>IFERROR(AVERAGEIFS('Business - Dump'!$O:$O,'Business - Dump'!$B:$B,'Portfolio Wise '!$B352,'Business - Dump'!$A:$A,'Portfolio Wise '!$A352),0)</f>
        <v>0.9201</v>
      </c>
      <c r="AC352" s="49">
        <f>F352/SUMIFS('Campaign - Dump'!$Q:$Q,'Campaign - Dump'!$A:$A,'Portfolio Wise '!$A352)</f>
        <v>0.03439704937</v>
      </c>
      <c r="AD352" s="49">
        <f t="shared" si="16"/>
        <v>0.5520833333</v>
      </c>
    </row>
    <row r="353" ht="15.75" customHeight="1">
      <c r="A353" s="65">
        <v>45658.0</v>
      </c>
      <c r="B353" s="19" t="s">
        <v>217</v>
      </c>
      <c r="C353" s="13">
        <f>SUMIFS('Campaign - Dump'!$N:$N,'Campaign - Dump'!$J:$J,'Portfolio Wise '!$B353,'Campaign - Dump'!$A:$A,'Portfolio Wise '!$A353)</f>
        <v>118517</v>
      </c>
      <c r="D353" s="13">
        <f>SUMIFS('Campaign - Dump'!$O:$O,'Campaign - Dump'!$J:$J,'Portfolio Wise '!$B353,'Campaign - Dump'!$A:$A,'Portfolio Wise '!$A353)</f>
        <v>786</v>
      </c>
      <c r="E353" s="23">
        <f t="shared" si="2"/>
        <v>0.006631959972</v>
      </c>
      <c r="F353" s="36">
        <f>SUMIFS('Campaign - Dump'!$Q:$Q,'Campaign - Dump'!$J:$J,'Portfolio Wise '!$B353,'Campaign - Dump'!$A:$A,'Portfolio Wise '!$A353)</f>
        <v>4627.62</v>
      </c>
      <c r="G353" s="38">
        <f t="shared" si="3"/>
        <v>5.887557252</v>
      </c>
      <c r="H353" s="41">
        <f>SUMIFS('Campaign - Dump'!$T:$T,'Campaign - Dump'!$J:$J,'Portfolio Wise '!$B353,'Campaign - Dump'!$A:$A,'Portfolio Wise '!$A353)</f>
        <v>5</v>
      </c>
      <c r="I353" s="23">
        <f t="shared" si="4"/>
        <v>0.006361323155</v>
      </c>
      <c r="J353" s="36">
        <f>SUMIFS('Campaign - Dump'!$U:$U,'Campaign - Dump'!$J:$J,'Portfolio Wise '!$B353,'Campaign - Dump'!$A:$A,'Portfolio Wise '!$A353)</f>
        <v>6064.4</v>
      </c>
      <c r="K353" s="23">
        <f t="shared" si="5"/>
        <v>0.7630796122</v>
      </c>
      <c r="L353" s="38">
        <f t="shared" si="6"/>
        <v>1.310479253</v>
      </c>
      <c r="M353" s="41">
        <f t="shared" si="7"/>
        <v>1212.88</v>
      </c>
      <c r="N353" s="13">
        <f t="shared" si="505"/>
        <v>17</v>
      </c>
      <c r="O353" s="36">
        <f t="shared" si="506"/>
        <v>14678.82034</v>
      </c>
      <c r="P353" s="41">
        <f t="shared" si="8"/>
        <v>863.4600199</v>
      </c>
      <c r="Q353" s="13">
        <f>SUMIFS('Business - Dump'!$W:$W,'Business - Dump'!$B:$B,'Portfolio Wise '!$B353,'Business - Dump'!$A:$A,'Portfolio Wise '!$A353)</f>
        <v>22</v>
      </c>
      <c r="R353" s="36">
        <f>SUMIFS('Business - Dump'!$U:$U,'Business - Dump'!$B:$B,'Portfolio Wise '!$B353,'Business - Dump'!$A:$A,'Portfolio Wise '!$A353)/1.18</f>
        <v>20743.22034</v>
      </c>
      <c r="S353" s="41">
        <f t="shared" si="9"/>
        <v>942.8736518</v>
      </c>
      <c r="T353" s="201">
        <f t="shared" si="10"/>
        <v>0.2230907219</v>
      </c>
      <c r="U353" s="38">
        <f t="shared" si="11"/>
        <v>4.482481349</v>
      </c>
      <c r="V353" s="41">
        <f>SUMIFS('Business - Dump'!$G:$G,'Business - Dump'!$B:$B,'Portfolio Wise '!$B353,'Business - Dump'!$A:$A,'Portfolio Wise '!$A353)</f>
        <v>1683</v>
      </c>
      <c r="W353" s="48">
        <f t="shared" si="12"/>
        <v>0.01307189542</v>
      </c>
      <c r="X353" s="23">
        <f t="shared" ref="X353:Y353" si="508">IFERROR(N353/Q353,0)</f>
        <v>0.7727272727</v>
      </c>
      <c r="Y353" s="49">
        <f t="shared" si="508"/>
        <v>0.7076442374</v>
      </c>
      <c r="Z353" s="49">
        <f t="shared" si="14"/>
        <v>0.2272727273</v>
      </c>
      <c r="AA353" s="23">
        <f t="shared" si="15"/>
        <v>0.7076442374</v>
      </c>
      <c r="AB353" s="23">
        <f>IFERROR(AVERAGEIFS('Business - Dump'!$O:$O,'Business - Dump'!$B:$B,'Portfolio Wise '!$B353,'Business - Dump'!$A:$A,'Portfolio Wise '!$A353),0)</f>
        <v>0.96945</v>
      </c>
      <c r="AC353" s="49">
        <f>F353/SUMIFS('Campaign - Dump'!$Q:$Q,'Campaign - Dump'!$A:$A,'Portfolio Wise '!$A353)</f>
        <v>0.006225651975</v>
      </c>
      <c r="AD353" s="49">
        <f t="shared" si="16"/>
        <v>3.4</v>
      </c>
    </row>
    <row r="354" ht="15.75" customHeight="1">
      <c r="A354" s="65">
        <v>45658.0</v>
      </c>
      <c r="B354" s="33" t="s">
        <v>230</v>
      </c>
      <c r="C354" s="13">
        <f>SUMIFS('Campaign - Dump'!$N:$N,'Campaign - Dump'!$J:$J,'Portfolio Wise '!$B354,'Campaign - Dump'!$A:$A,'Portfolio Wise '!$A354)</f>
        <v>1054321</v>
      </c>
      <c r="D354" s="13">
        <f>SUMIFS('Campaign - Dump'!$O:$O,'Campaign - Dump'!$J:$J,'Portfolio Wise '!$B354,'Campaign - Dump'!$A:$A,'Portfolio Wise '!$A354)</f>
        <v>2944</v>
      </c>
      <c r="E354" s="23">
        <f t="shared" si="2"/>
        <v>0.002792318468</v>
      </c>
      <c r="F354" s="36">
        <f>SUMIFS('Campaign - Dump'!$Q:$Q,'Campaign - Dump'!$J:$J,'Portfolio Wise '!$B354,'Campaign - Dump'!$A:$A,'Portfolio Wise '!$A354)</f>
        <v>60178.21</v>
      </c>
      <c r="G354" s="38">
        <f t="shared" si="3"/>
        <v>20.44096807</v>
      </c>
      <c r="H354" s="41">
        <f>SUMIFS('Campaign - Dump'!$T:$T,'Campaign - Dump'!$J:$J,'Portfolio Wise '!$B354,'Campaign - Dump'!$A:$A,'Portfolio Wise '!$A354)</f>
        <v>7</v>
      </c>
      <c r="I354" s="23">
        <f t="shared" si="4"/>
        <v>0.002377717391</v>
      </c>
      <c r="J354" s="36">
        <f>SUMIFS('Campaign - Dump'!$U:$U,'Campaign - Dump'!$J:$J,'Portfolio Wise '!$B354,'Campaign - Dump'!$A:$A,'Portfolio Wise '!$A354)</f>
        <v>131099.14</v>
      </c>
      <c r="K354" s="23">
        <f t="shared" si="5"/>
        <v>0.4590282591</v>
      </c>
      <c r="L354" s="38">
        <f t="shared" si="6"/>
        <v>2.178515114</v>
      </c>
      <c r="M354" s="41">
        <f t="shared" si="7"/>
        <v>18728.44857</v>
      </c>
      <c r="N354" s="13">
        <f t="shared" si="505"/>
        <v>29</v>
      </c>
      <c r="O354" s="36">
        <f t="shared" si="506"/>
        <v>695356.2329</v>
      </c>
      <c r="P354" s="41">
        <f t="shared" si="8"/>
        <v>23977.80113</v>
      </c>
      <c r="Q354" s="13">
        <f>SUMIFS('Business - Dump'!$W:$W,'Business - Dump'!$B:$B,'Portfolio Wise '!$B354,'Business - Dump'!$A:$A,'Portfolio Wise '!$A354)</f>
        <v>36</v>
      </c>
      <c r="R354" s="36">
        <f>SUMIFS('Business - Dump'!$U:$U,'Business - Dump'!$B:$B,'Portfolio Wise '!$B354,'Business - Dump'!$A:$A,'Portfolio Wise '!$A354)/1.18</f>
        <v>826455.3729</v>
      </c>
      <c r="S354" s="41">
        <f t="shared" si="9"/>
        <v>22957.09369</v>
      </c>
      <c r="T354" s="23">
        <f t="shared" si="10"/>
        <v>0.07281483305</v>
      </c>
      <c r="U354" s="38">
        <f t="shared" si="11"/>
        <v>13.73346553</v>
      </c>
      <c r="V354" s="41">
        <f>SUMIFS('Business - Dump'!$G:$G,'Business - Dump'!$B:$B,'Portfolio Wise '!$B354,'Business - Dump'!$A:$A,'Portfolio Wise '!$A354)</f>
        <v>5863</v>
      </c>
      <c r="W354" s="23">
        <f t="shared" si="12"/>
        <v>0.006140201262</v>
      </c>
      <c r="X354" s="23">
        <f t="shared" ref="X354:Y354" si="509">IFERROR(N354/Q354,0)</f>
        <v>0.8055555556</v>
      </c>
      <c r="Y354" s="49">
        <f t="shared" si="509"/>
        <v>0.8413717857</v>
      </c>
      <c r="Z354" s="49">
        <f t="shared" si="14"/>
        <v>0.1944444444</v>
      </c>
      <c r="AA354" s="23">
        <f t="shared" si="15"/>
        <v>0.8413717857</v>
      </c>
      <c r="AB354" s="23">
        <f>IFERROR(AVERAGEIFS('Business - Dump'!$O:$O,'Business - Dump'!$B:$B,'Portfolio Wise '!$B354,'Business - Dump'!$A:$A,'Portfolio Wise '!$A354),0)</f>
        <v>0.8975875</v>
      </c>
      <c r="AC354" s="49">
        <f>F354/SUMIFS('Campaign - Dump'!$Q:$Q,'Campaign - Dump'!$A:$A,'Portfolio Wise '!$A354)</f>
        <v>0.08095923865</v>
      </c>
      <c r="AD354" s="49">
        <f t="shared" si="16"/>
        <v>4.142857143</v>
      </c>
    </row>
    <row r="355" ht="15.75" customHeight="1">
      <c r="A355" s="65">
        <v>45658.0</v>
      </c>
      <c r="B355" s="19" t="s">
        <v>232</v>
      </c>
      <c r="C355" s="13">
        <f>SUMIFS('Campaign - Dump'!$N:$N,'Campaign - Dump'!$J:$J,'Portfolio Wise '!$B355,'Campaign - Dump'!$A:$A,'Portfolio Wise '!$A355)</f>
        <v>0</v>
      </c>
      <c r="D355" s="13">
        <f>SUMIFS('Campaign - Dump'!$O:$O,'Campaign - Dump'!$J:$J,'Portfolio Wise '!$B355,'Campaign - Dump'!$A:$A,'Portfolio Wise '!$A355)</f>
        <v>0</v>
      </c>
      <c r="E355" s="23">
        <f t="shared" si="2"/>
        <v>0</v>
      </c>
      <c r="F355" s="36">
        <f>SUMIFS('Campaign - Dump'!$Q:$Q,'Campaign - Dump'!$J:$J,'Portfolio Wise '!$B355,'Campaign - Dump'!$A:$A,'Portfolio Wise '!$A355)</f>
        <v>0</v>
      </c>
      <c r="G355" s="38">
        <f t="shared" si="3"/>
        <v>0</v>
      </c>
      <c r="H355" s="41">
        <f>SUMIFS('Campaign - Dump'!$T:$T,'Campaign - Dump'!$J:$J,'Portfolio Wise '!$B355,'Campaign - Dump'!$A:$A,'Portfolio Wise '!$A355)</f>
        <v>0</v>
      </c>
      <c r="I355" s="23">
        <f t="shared" si="4"/>
        <v>0</v>
      </c>
      <c r="J355" s="36">
        <f>SUMIFS('Campaign - Dump'!$U:$U,'Campaign - Dump'!$J:$J,'Portfolio Wise '!$B355,'Campaign - Dump'!$A:$A,'Portfolio Wise '!$A355)</f>
        <v>0</v>
      </c>
      <c r="K355" s="23">
        <f t="shared" si="5"/>
        <v>0</v>
      </c>
      <c r="L355" s="38">
        <f t="shared" si="6"/>
        <v>0</v>
      </c>
      <c r="M355" s="41">
        <f t="shared" si="7"/>
        <v>0</v>
      </c>
      <c r="N355" s="13">
        <f t="shared" si="505"/>
        <v>3</v>
      </c>
      <c r="O355" s="36">
        <f t="shared" si="506"/>
        <v>46095.28814</v>
      </c>
      <c r="P355" s="41">
        <f t="shared" si="8"/>
        <v>15365.09605</v>
      </c>
      <c r="Q355" s="13">
        <f>SUMIFS('Business - Dump'!$W:$W,'Business - Dump'!$B:$B,'Portfolio Wise '!$B355,'Business - Dump'!$A:$A,'Portfolio Wise '!$A355)</f>
        <v>3</v>
      </c>
      <c r="R355" s="36">
        <f>SUMIFS('Business - Dump'!$U:$U,'Business - Dump'!$B:$B,'Portfolio Wise '!$B355,'Business - Dump'!$A:$A,'Portfolio Wise '!$A355)/1.18</f>
        <v>46095.28814</v>
      </c>
      <c r="S355" s="41">
        <f t="shared" si="9"/>
        <v>15365.09605</v>
      </c>
      <c r="T355" s="23">
        <f t="shared" si="10"/>
        <v>0</v>
      </c>
      <c r="U355" s="38">
        <f t="shared" si="11"/>
        <v>0</v>
      </c>
      <c r="V355" s="41">
        <f>SUMIFS('Business - Dump'!$G:$G,'Business - Dump'!$B:$B,'Portfolio Wise '!$B355,'Business - Dump'!$A:$A,'Portfolio Wise '!$A355)</f>
        <v>810</v>
      </c>
      <c r="W355" s="48">
        <f t="shared" si="12"/>
        <v>0.003703703704</v>
      </c>
      <c r="X355" s="23">
        <f t="shared" ref="X355:Y355" si="510">IFERROR(N355/Q355,0)</f>
        <v>1</v>
      </c>
      <c r="Y355" s="49">
        <f t="shared" si="510"/>
        <v>1</v>
      </c>
      <c r="Z355" s="49">
        <f t="shared" si="14"/>
        <v>0</v>
      </c>
      <c r="AA355" s="23">
        <f t="shared" si="15"/>
        <v>1</v>
      </c>
      <c r="AB355" s="23">
        <f>IFERROR(AVERAGEIFS('Business - Dump'!$O:$O,'Business - Dump'!$B:$B,'Portfolio Wise '!$B355,'Business - Dump'!$A:$A,'Portfolio Wise '!$A355),0)</f>
        <v>0.8486</v>
      </c>
      <c r="AC355" s="49">
        <f>F355/SUMIFS('Campaign - Dump'!$Q:$Q,'Campaign - Dump'!$A:$A,'Portfolio Wise '!$A355)</f>
        <v>0</v>
      </c>
      <c r="AD355" s="49">
        <f t="shared" si="16"/>
        <v>0</v>
      </c>
    </row>
    <row r="356" ht="15.75" customHeight="1">
      <c r="A356" s="65">
        <v>45658.0</v>
      </c>
      <c r="B356" s="10" t="s">
        <v>429</v>
      </c>
      <c r="C356" s="13">
        <f>SUMIFS('Campaign - Dump'!$N:$N,'Campaign - Dump'!$J:$J,'Portfolio Wise '!$B356,'Campaign - Dump'!$A:$A,'Portfolio Wise '!$A356)</f>
        <v>65512</v>
      </c>
      <c r="D356" s="13">
        <f>SUMIFS('Campaign - Dump'!$O:$O,'Campaign - Dump'!$J:$J,'Portfolio Wise '!$B356,'Campaign - Dump'!$A:$A,'Portfolio Wise '!$A356)</f>
        <v>507</v>
      </c>
      <c r="E356" s="23">
        <f t="shared" si="2"/>
        <v>0.007739040176</v>
      </c>
      <c r="F356" s="36">
        <f>SUMIFS('Campaign - Dump'!$Q:$Q,'Campaign - Dump'!$J:$J,'Portfolio Wise '!$B356,'Campaign - Dump'!$A:$A,'Portfolio Wise '!$A356)</f>
        <v>16191.83</v>
      </c>
      <c r="G356" s="38">
        <f t="shared" si="3"/>
        <v>31.93654832</v>
      </c>
      <c r="H356" s="41">
        <f>SUMIFS('Campaign - Dump'!$T:$T,'Campaign - Dump'!$J:$J,'Portfolio Wise '!$B356,'Campaign - Dump'!$A:$A,'Portfolio Wise '!$A356)</f>
        <v>3</v>
      </c>
      <c r="I356" s="23">
        <f t="shared" si="4"/>
        <v>0.005917159763</v>
      </c>
      <c r="J356" s="36">
        <f>SUMIFS('Campaign - Dump'!$U:$U,'Campaign - Dump'!$J:$J,'Portfolio Wise '!$B356,'Campaign - Dump'!$A:$A,'Portfolio Wise '!$A356)</f>
        <v>39355.93</v>
      </c>
      <c r="K356" s="23">
        <f t="shared" si="5"/>
        <v>0.4114203374</v>
      </c>
      <c r="L356" s="38">
        <f t="shared" si="6"/>
        <v>2.4306042</v>
      </c>
      <c r="M356" s="41">
        <f t="shared" si="7"/>
        <v>13118.64333</v>
      </c>
      <c r="N356" s="13">
        <f t="shared" si="505"/>
        <v>4</v>
      </c>
      <c r="O356" s="36">
        <f t="shared" si="506"/>
        <v>53035.90051</v>
      </c>
      <c r="P356" s="41">
        <f t="shared" si="8"/>
        <v>13258.97513</v>
      </c>
      <c r="Q356" s="13">
        <f>SUMIFS('Business - Dump'!$W:$W,'Business - Dump'!$B:$B,'Portfolio Wise '!$B356,'Business - Dump'!$A:$A,'Portfolio Wise '!$A356)</f>
        <v>7</v>
      </c>
      <c r="R356" s="36">
        <f>SUMIFS('Business - Dump'!$U:$U,'Business - Dump'!$B:$B,'Portfolio Wise '!$B356,'Business - Dump'!$A:$A,'Portfolio Wise '!$A356)/1.18</f>
        <v>92391.83051</v>
      </c>
      <c r="S356" s="41">
        <f t="shared" si="9"/>
        <v>13198.83293</v>
      </c>
      <c r="T356" s="23">
        <f t="shared" si="10"/>
        <v>0.1752517502</v>
      </c>
      <c r="U356" s="38">
        <f t="shared" si="11"/>
        <v>5.706077109</v>
      </c>
      <c r="V356" s="41">
        <f>SUMIFS('Business - Dump'!$G:$G,'Business - Dump'!$B:$B,'Portfolio Wise '!$B356,'Business - Dump'!$A:$A,'Portfolio Wise '!$A356)</f>
        <v>1253</v>
      </c>
      <c r="W356" s="48">
        <f t="shared" si="12"/>
        <v>0.005586592179</v>
      </c>
      <c r="X356" s="23">
        <f t="shared" ref="X356:Y356" si="511">IFERROR(N356/Q356,0)</f>
        <v>0.5714285714</v>
      </c>
      <c r="Y356" s="49">
        <f t="shared" si="511"/>
        <v>0.57403236</v>
      </c>
      <c r="Z356" s="49">
        <f t="shared" si="14"/>
        <v>0.4285714286</v>
      </c>
      <c r="AA356" s="23">
        <f t="shared" si="15"/>
        <v>0.57403236</v>
      </c>
      <c r="AB356" s="23">
        <f>IFERROR(AVERAGEIFS('Business - Dump'!$O:$O,'Business - Dump'!$B:$B,'Portfolio Wise '!$B356,'Business - Dump'!$A:$A,'Portfolio Wise '!$A356),0)</f>
        <v>0.9324333333</v>
      </c>
      <c r="AC356" s="49">
        <f>F356/SUMIFS('Campaign - Dump'!$Q:$Q,'Campaign - Dump'!$A:$A,'Portfolio Wise '!$A356)</f>
        <v>0.02178327054</v>
      </c>
      <c r="AD356" s="49">
        <f t="shared" si="16"/>
        <v>1.333333333</v>
      </c>
    </row>
    <row r="357" ht="15.75" customHeight="1">
      <c r="A357" s="65">
        <v>45658.0</v>
      </c>
      <c r="B357" s="51" t="s">
        <v>239</v>
      </c>
      <c r="C357" s="13">
        <f>SUMIFS('Campaign - Dump'!$N:$N,'Campaign - Dump'!$J:$J,'Portfolio Wise '!$B357,'Campaign - Dump'!$A:$A,'Portfolio Wise '!$A357)</f>
        <v>0</v>
      </c>
      <c r="D357" s="13">
        <f>SUMIFS('Campaign - Dump'!$O:$O,'Campaign - Dump'!$J:$J,'Portfolio Wise '!$B357,'Campaign - Dump'!$A:$A,'Portfolio Wise '!$A357)</f>
        <v>0</v>
      </c>
      <c r="E357" s="23">
        <f t="shared" si="2"/>
        <v>0</v>
      </c>
      <c r="F357" s="36">
        <f>SUMIFS('Campaign - Dump'!$Q:$Q,'Campaign - Dump'!$J:$J,'Portfolio Wise '!$B357,'Campaign - Dump'!$A:$A,'Portfolio Wise '!$A357)</f>
        <v>0</v>
      </c>
      <c r="G357" s="38">
        <f t="shared" si="3"/>
        <v>0</v>
      </c>
      <c r="H357" s="41">
        <f>SUMIFS('Campaign - Dump'!$T:$T,'Campaign - Dump'!$J:$J,'Portfolio Wise '!$B357,'Campaign - Dump'!$A:$A,'Portfolio Wise '!$A357)</f>
        <v>0</v>
      </c>
      <c r="I357" s="23">
        <f t="shared" si="4"/>
        <v>0</v>
      </c>
      <c r="J357" s="36">
        <f>SUMIFS('Campaign - Dump'!$U:$U,'Campaign - Dump'!$J:$J,'Portfolio Wise '!$B357,'Campaign - Dump'!$A:$A,'Portfolio Wise '!$A357)</f>
        <v>0</v>
      </c>
      <c r="K357" s="23">
        <f t="shared" si="5"/>
        <v>0</v>
      </c>
      <c r="L357" s="38">
        <f t="shared" si="6"/>
        <v>0</v>
      </c>
      <c r="M357" s="41">
        <f t="shared" si="7"/>
        <v>0</v>
      </c>
      <c r="N357" s="13">
        <f t="shared" si="505"/>
        <v>0</v>
      </c>
      <c r="O357" s="36">
        <f t="shared" si="506"/>
        <v>0</v>
      </c>
      <c r="P357" s="41">
        <f t="shared" si="8"/>
        <v>0</v>
      </c>
      <c r="Q357" s="13">
        <f>SUMIFS('Business - Dump'!$W:$W,'Business - Dump'!$B:$B,'Portfolio Wise '!$B357,'Business - Dump'!$A:$A,'Portfolio Wise '!$A357)</f>
        <v>0</v>
      </c>
      <c r="R357" s="36">
        <f>SUMIFS('Business - Dump'!$U:$U,'Business - Dump'!$B:$B,'Portfolio Wise '!$B357,'Business - Dump'!$A:$A,'Portfolio Wise '!$A357)/1.18</f>
        <v>0</v>
      </c>
      <c r="S357" s="41">
        <f t="shared" si="9"/>
        <v>0</v>
      </c>
      <c r="T357" s="23">
        <f t="shared" si="10"/>
        <v>0</v>
      </c>
      <c r="U357" s="38">
        <f t="shared" si="11"/>
        <v>0</v>
      </c>
      <c r="V357" s="41">
        <f>SUMIFS('Business - Dump'!$G:$G,'Business - Dump'!$B:$B,'Portfolio Wise '!$B357,'Business - Dump'!$A:$A,'Portfolio Wise '!$A357)</f>
        <v>0</v>
      </c>
      <c r="W357" s="48">
        <f t="shared" si="12"/>
        <v>0</v>
      </c>
      <c r="X357" s="23">
        <f t="shared" ref="X357:Y357" si="512">IFERROR(N357/Q357,0)</f>
        <v>0</v>
      </c>
      <c r="Y357" s="49">
        <f t="shared" si="512"/>
        <v>0</v>
      </c>
      <c r="Z357" s="49">
        <f t="shared" si="14"/>
        <v>0</v>
      </c>
      <c r="AA357" s="23">
        <f t="shared" si="15"/>
        <v>0</v>
      </c>
      <c r="AB357" s="23">
        <f>IFERROR(AVERAGEIFS('Business - Dump'!$O:$O,'Business - Dump'!$B:$B,'Portfolio Wise '!$B357,'Business - Dump'!$A:$A,'Portfolio Wise '!$A357),0)</f>
        <v>0</v>
      </c>
      <c r="AC357" s="49">
        <f>F357/SUMIFS('Campaign - Dump'!$Q:$Q,'Campaign - Dump'!$A:$A,'Portfolio Wise '!$A357)</f>
        <v>0</v>
      </c>
      <c r="AD357" s="49">
        <f t="shared" si="16"/>
        <v>0</v>
      </c>
    </row>
    <row r="358" ht="15.75" customHeight="1">
      <c r="A358" s="65">
        <v>45658.0</v>
      </c>
      <c r="B358" s="19" t="s">
        <v>240</v>
      </c>
      <c r="C358" s="13">
        <f>SUMIFS('Campaign - Dump'!$N:$N,'Campaign - Dump'!$J:$J,'Portfolio Wise '!$B358,'Campaign - Dump'!$A:$A,'Portfolio Wise '!$A358)</f>
        <v>0</v>
      </c>
      <c r="D358" s="13">
        <f>SUMIFS('Campaign - Dump'!$O:$O,'Campaign - Dump'!$J:$J,'Portfolio Wise '!$B358,'Campaign - Dump'!$A:$A,'Portfolio Wise '!$A358)</f>
        <v>0</v>
      </c>
      <c r="E358" s="23">
        <f t="shared" si="2"/>
        <v>0</v>
      </c>
      <c r="F358" s="36">
        <f>SUMIFS('Campaign - Dump'!$Q:$Q,'Campaign - Dump'!$J:$J,'Portfolio Wise '!$B358,'Campaign - Dump'!$A:$A,'Portfolio Wise '!$A358)</f>
        <v>0</v>
      </c>
      <c r="G358" s="38">
        <f t="shared" si="3"/>
        <v>0</v>
      </c>
      <c r="H358" s="41">
        <f>SUMIFS('Campaign - Dump'!$T:$T,'Campaign - Dump'!$J:$J,'Portfolio Wise '!$B358,'Campaign - Dump'!$A:$A,'Portfolio Wise '!$A358)</f>
        <v>0</v>
      </c>
      <c r="I358" s="23">
        <f t="shared" si="4"/>
        <v>0</v>
      </c>
      <c r="J358" s="36">
        <f>SUMIFS('Campaign - Dump'!$U:$U,'Campaign - Dump'!$J:$J,'Portfolio Wise '!$B358,'Campaign - Dump'!$A:$A,'Portfolio Wise '!$A358)</f>
        <v>0</v>
      </c>
      <c r="K358" s="23">
        <f t="shared" si="5"/>
        <v>0</v>
      </c>
      <c r="L358" s="38">
        <f t="shared" si="6"/>
        <v>0</v>
      </c>
      <c r="M358" s="41">
        <f t="shared" si="7"/>
        <v>0</v>
      </c>
      <c r="N358" s="13">
        <f t="shared" si="505"/>
        <v>0</v>
      </c>
      <c r="O358" s="36">
        <f t="shared" si="506"/>
        <v>0</v>
      </c>
      <c r="P358" s="41">
        <f t="shared" si="8"/>
        <v>0</v>
      </c>
      <c r="Q358" s="13">
        <f>SUMIFS('Business - Dump'!$W:$W,'Business - Dump'!$B:$B,'Portfolio Wise '!$B358,'Business - Dump'!$A:$A,'Portfolio Wise '!$A358)</f>
        <v>0</v>
      </c>
      <c r="R358" s="36">
        <f>SUMIFS('Business - Dump'!$U:$U,'Business - Dump'!$B:$B,'Portfolio Wise '!$B358,'Business - Dump'!$A:$A,'Portfolio Wise '!$A358)/1.18</f>
        <v>0</v>
      </c>
      <c r="S358" s="41">
        <f t="shared" si="9"/>
        <v>0</v>
      </c>
      <c r="T358" s="23">
        <f t="shared" si="10"/>
        <v>0</v>
      </c>
      <c r="U358" s="38">
        <f t="shared" si="11"/>
        <v>0</v>
      </c>
      <c r="V358" s="41">
        <f>SUMIFS('Business - Dump'!$G:$G,'Business - Dump'!$B:$B,'Portfolio Wise '!$B358,'Business - Dump'!$A:$A,'Portfolio Wise '!$A358)</f>
        <v>6</v>
      </c>
      <c r="W358" s="48">
        <f t="shared" si="12"/>
        <v>0</v>
      </c>
      <c r="X358" s="23">
        <f t="shared" ref="X358:Y358" si="513">IFERROR(N358/Q358,0)</f>
        <v>0</v>
      </c>
      <c r="Y358" s="49">
        <f t="shared" si="513"/>
        <v>0</v>
      </c>
      <c r="Z358" s="49">
        <f t="shared" si="14"/>
        <v>0</v>
      </c>
      <c r="AA358" s="23">
        <f t="shared" si="15"/>
        <v>0</v>
      </c>
      <c r="AB358" s="23">
        <f>IFERROR(AVERAGEIFS('Business - Dump'!$O:$O,'Business - Dump'!$B:$B,'Portfolio Wise '!$B358,'Business - Dump'!$A:$A,'Portfolio Wise '!$A358),0)</f>
        <v>1</v>
      </c>
      <c r="AC358" s="49">
        <f>F358/SUMIFS('Campaign - Dump'!$Q:$Q,'Campaign - Dump'!$A:$A,'Portfolio Wise '!$A358)</f>
        <v>0</v>
      </c>
      <c r="AD358" s="49">
        <f t="shared" si="16"/>
        <v>0</v>
      </c>
    </row>
    <row r="359" ht="15.75" customHeight="1">
      <c r="A359" s="65">
        <v>45658.0</v>
      </c>
      <c r="B359" s="10" t="s">
        <v>241</v>
      </c>
      <c r="C359" s="13">
        <f>SUMIFS('Campaign - Dump'!$N:$N,'Campaign - Dump'!$J:$J,'Portfolio Wise '!$B359,'Campaign - Dump'!$A:$A,'Portfolio Wise '!$A359)</f>
        <v>7560</v>
      </c>
      <c r="D359" s="13">
        <f>SUMIFS('Campaign - Dump'!$O:$O,'Campaign - Dump'!$J:$J,'Portfolio Wise '!$B359,'Campaign - Dump'!$A:$A,'Portfolio Wise '!$A359)</f>
        <v>31</v>
      </c>
      <c r="E359" s="23">
        <f t="shared" si="2"/>
        <v>0.004100529101</v>
      </c>
      <c r="F359" s="36">
        <f>SUMIFS('Campaign - Dump'!$Q:$Q,'Campaign - Dump'!$J:$J,'Portfolio Wise '!$B359,'Campaign - Dump'!$A:$A,'Portfolio Wise '!$A359)</f>
        <v>136.89</v>
      </c>
      <c r="G359" s="38">
        <f t="shared" si="3"/>
        <v>4.415806452</v>
      </c>
      <c r="H359" s="41">
        <f>SUMIFS('Campaign - Dump'!$T:$T,'Campaign - Dump'!$J:$J,'Portfolio Wise '!$B359,'Campaign - Dump'!$A:$A,'Portfolio Wise '!$A359)</f>
        <v>1</v>
      </c>
      <c r="I359" s="23">
        <f t="shared" si="4"/>
        <v>0.03225806452</v>
      </c>
      <c r="J359" s="36">
        <f>SUMIFS('Campaign - Dump'!$U:$U,'Campaign - Dump'!$J:$J,'Portfolio Wise '!$B359,'Campaign - Dump'!$A:$A,'Portfolio Wise '!$A359)</f>
        <v>1425.42</v>
      </c>
      <c r="K359" s="23">
        <f t="shared" si="5"/>
        <v>0.09603485289</v>
      </c>
      <c r="L359" s="38">
        <f t="shared" si="6"/>
        <v>10.41288626</v>
      </c>
      <c r="M359" s="41">
        <f t="shared" si="7"/>
        <v>1425.42</v>
      </c>
      <c r="N359" s="13">
        <f t="shared" si="505"/>
        <v>5</v>
      </c>
      <c r="O359" s="36">
        <f t="shared" si="506"/>
        <v>7935.596949</v>
      </c>
      <c r="P359" s="41">
        <f t="shared" si="8"/>
        <v>1587.11939</v>
      </c>
      <c r="Q359" s="13">
        <f>SUMIFS('Business - Dump'!$W:$W,'Business - Dump'!$B:$B,'Portfolio Wise '!$B359,'Business - Dump'!$A:$A,'Portfolio Wise '!$A359)</f>
        <v>6</v>
      </c>
      <c r="R359" s="36">
        <f>SUMIFS('Business - Dump'!$U:$U,'Business - Dump'!$B:$B,'Portfolio Wise '!$B359,'Business - Dump'!$A:$A,'Portfolio Wise '!$A359)/1.18</f>
        <v>9361.016949</v>
      </c>
      <c r="S359" s="41">
        <f t="shared" si="9"/>
        <v>1560.169492</v>
      </c>
      <c r="T359" s="201">
        <f t="shared" si="10"/>
        <v>0.01462341119</v>
      </c>
      <c r="U359" s="38">
        <f t="shared" si="11"/>
        <v>68.38349733</v>
      </c>
      <c r="V359" s="41">
        <f>SUMIFS('Business - Dump'!$G:$G,'Business - Dump'!$B:$B,'Portfolio Wise '!$B359,'Business - Dump'!$A:$A,'Portfolio Wise '!$A359)</f>
        <v>271</v>
      </c>
      <c r="W359" s="48">
        <f t="shared" si="12"/>
        <v>0.0221402214</v>
      </c>
      <c r="X359" s="23">
        <f t="shared" ref="X359:Y359" si="514">IFERROR(N359/Q359,0)</f>
        <v>0.8333333333</v>
      </c>
      <c r="Y359" s="49">
        <f t="shared" si="514"/>
        <v>0.8477280826</v>
      </c>
      <c r="Z359" s="49">
        <f t="shared" si="14"/>
        <v>0.1666666667</v>
      </c>
      <c r="AA359" s="23">
        <f t="shared" si="15"/>
        <v>0.8477280826</v>
      </c>
      <c r="AB359" s="23">
        <f>IFERROR(AVERAGEIFS('Business - Dump'!$O:$O,'Business - Dump'!$B:$B,'Portfolio Wise '!$B359,'Business - Dump'!$A:$A,'Portfolio Wise '!$A359),0)</f>
        <v>0.98205</v>
      </c>
      <c r="AC359" s="49">
        <f>F359/SUMIFS('Campaign - Dump'!$Q:$Q,'Campaign - Dump'!$A:$A,'Portfolio Wise '!$A359)</f>
        <v>0.0001841615126</v>
      </c>
      <c r="AD359" s="49">
        <f t="shared" si="16"/>
        <v>5</v>
      </c>
    </row>
    <row r="360" ht="15.75" customHeight="1">
      <c r="A360" s="65">
        <v>45658.0</v>
      </c>
      <c r="B360" s="19" t="s">
        <v>248</v>
      </c>
      <c r="C360" s="13">
        <f>SUMIFS('Campaign - Dump'!$N:$N,'Campaign - Dump'!$J:$J,'Portfolio Wise '!$B360,'Campaign - Dump'!$A:$A,'Portfolio Wise '!$A360)</f>
        <v>0</v>
      </c>
      <c r="D360" s="13">
        <f>SUMIFS('Campaign - Dump'!$O:$O,'Campaign - Dump'!$J:$J,'Portfolio Wise '!$B360,'Campaign - Dump'!$A:$A,'Portfolio Wise '!$A360)</f>
        <v>0</v>
      </c>
      <c r="E360" s="23">
        <f t="shared" si="2"/>
        <v>0</v>
      </c>
      <c r="F360" s="36">
        <f>SUMIFS('Campaign - Dump'!$Q:$Q,'Campaign - Dump'!$J:$J,'Portfolio Wise '!$B360,'Campaign - Dump'!$A:$A,'Portfolio Wise '!$A360)</f>
        <v>0</v>
      </c>
      <c r="G360" s="38">
        <f t="shared" si="3"/>
        <v>0</v>
      </c>
      <c r="H360" s="41">
        <f>SUMIFS('Campaign - Dump'!$T:$T,'Campaign - Dump'!$J:$J,'Portfolio Wise '!$B360,'Campaign - Dump'!$A:$A,'Portfolio Wise '!$A360)</f>
        <v>0</v>
      </c>
      <c r="I360" s="23">
        <f t="shared" si="4"/>
        <v>0</v>
      </c>
      <c r="J360" s="36">
        <f>SUMIFS('Campaign - Dump'!$U:$U,'Campaign - Dump'!$J:$J,'Portfolio Wise '!$B360,'Campaign - Dump'!$A:$A,'Portfolio Wise '!$A360)</f>
        <v>0</v>
      </c>
      <c r="K360" s="23">
        <f t="shared" si="5"/>
        <v>0</v>
      </c>
      <c r="L360" s="38">
        <f t="shared" si="6"/>
        <v>0</v>
      </c>
      <c r="M360" s="41">
        <f t="shared" si="7"/>
        <v>0</v>
      </c>
      <c r="N360" s="13">
        <f t="shared" si="505"/>
        <v>0</v>
      </c>
      <c r="O360" s="36">
        <f t="shared" si="506"/>
        <v>0</v>
      </c>
      <c r="P360" s="41">
        <f t="shared" si="8"/>
        <v>0</v>
      </c>
      <c r="Q360" s="13">
        <f>SUMIFS('Business - Dump'!$W:$W,'Business - Dump'!$B:$B,'Portfolio Wise '!$B360,'Business - Dump'!$A:$A,'Portfolio Wise '!$A360)</f>
        <v>0</v>
      </c>
      <c r="R360" s="36">
        <f>SUMIFS('Business - Dump'!$U:$U,'Business - Dump'!$B:$B,'Portfolio Wise '!$B360,'Business - Dump'!$A:$A,'Portfolio Wise '!$A360)/1.18</f>
        <v>0</v>
      </c>
      <c r="S360" s="41">
        <f t="shared" si="9"/>
        <v>0</v>
      </c>
      <c r="T360" s="23">
        <f t="shared" si="10"/>
        <v>0</v>
      </c>
      <c r="U360" s="38">
        <f t="shared" si="11"/>
        <v>0</v>
      </c>
      <c r="V360" s="41">
        <f>SUMIFS('Business - Dump'!$G:$G,'Business - Dump'!$B:$B,'Portfolio Wise '!$B360,'Business - Dump'!$A:$A,'Portfolio Wise '!$A360)</f>
        <v>0</v>
      </c>
      <c r="W360" s="48">
        <f t="shared" si="12"/>
        <v>0</v>
      </c>
      <c r="X360" s="23">
        <f t="shared" ref="X360:Y360" si="515">IFERROR(N360/Q360,0)</f>
        <v>0</v>
      </c>
      <c r="Y360" s="49">
        <f t="shared" si="515"/>
        <v>0</v>
      </c>
      <c r="Z360" s="49">
        <f t="shared" si="14"/>
        <v>0</v>
      </c>
      <c r="AA360" s="23">
        <f t="shared" si="15"/>
        <v>0</v>
      </c>
      <c r="AB360" s="23">
        <f>IFERROR(AVERAGEIFS('Business - Dump'!$O:$O,'Business - Dump'!$B:$B,'Portfolio Wise '!$B360,'Business - Dump'!$A:$A,'Portfolio Wise '!$A360),0)</f>
        <v>0</v>
      </c>
      <c r="AC360" s="49">
        <f>F360/SUMIFS('Campaign - Dump'!$Q:$Q,'Campaign - Dump'!$A:$A,'Portfolio Wise '!$A360)</f>
        <v>0</v>
      </c>
      <c r="AD360" s="49">
        <f t="shared" si="16"/>
        <v>0</v>
      </c>
    </row>
    <row r="361" ht="15.75" customHeight="1">
      <c r="A361" s="65">
        <v>45658.0</v>
      </c>
      <c r="B361" s="19" t="s">
        <v>321</v>
      </c>
      <c r="C361" s="13">
        <f>SUMIFS('Campaign - Dump'!$N:$N,'Campaign - Dump'!$J:$J,'Portfolio Wise '!$B361,'Campaign - Dump'!$A:$A,'Portfolio Wise '!$A361)</f>
        <v>6656</v>
      </c>
      <c r="D361" s="13">
        <f>SUMIFS('Campaign - Dump'!$O:$O,'Campaign - Dump'!$J:$J,'Portfolio Wise '!$B361,'Campaign - Dump'!$A:$A,'Portfolio Wise '!$A361)</f>
        <v>57</v>
      </c>
      <c r="E361" s="23">
        <f t="shared" si="2"/>
        <v>0.008563701923</v>
      </c>
      <c r="F361" s="36">
        <f>SUMIFS('Campaign - Dump'!$Q:$Q,'Campaign - Dump'!$J:$J,'Portfolio Wise '!$B361,'Campaign - Dump'!$A:$A,'Portfolio Wise '!$A361)</f>
        <v>266.61</v>
      </c>
      <c r="G361" s="38">
        <f t="shared" si="3"/>
        <v>4.677368421</v>
      </c>
      <c r="H361" s="41">
        <f>SUMIFS('Campaign - Dump'!$T:$T,'Campaign - Dump'!$J:$J,'Portfolio Wise '!$B361,'Campaign - Dump'!$A:$A,'Portfolio Wise '!$A361)</f>
        <v>2</v>
      </c>
      <c r="I361" s="23">
        <f t="shared" si="4"/>
        <v>0.0350877193</v>
      </c>
      <c r="J361" s="36">
        <f>SUMIFS('Campaign - Dump'!$U:$U,'Campaign - Dump'!$J:$J,'Portfolio Wise '!$B361,'Campaign - Dump'!$A:$A,'Portfolio Wise '!$A361)</f>
        <v>845.76</v>
      </c>
      <c r="K361" s="23">
        <f t="shared" si="5"/>
        <v>0.3152312713</v>
      </c>
      <c r="L361" s="38">
        <f t="shared" si="6"/>
        <v>3.172274108</v>
      </c>
      <c r="M361" s="41">
        <f t="shared" si="7"/>
        <v>422.88</v>
      </c>
      <c r="N361" s="13">
        <f t="shared" si="505"/>
        <v>4</v>
      </c>
      <c r="O361" s="36">
        <f t="shared" si="506"/>
        <v>6211.697627</v>
      </c>
      <c r="P361" s="41">
        <f t="shared" si="8"/>
        <v>1552.924407</v>
      </c>
      <c r="Q361" s="13">
        <f>SUMIFS('Business - Dump'!$W:$W,'Business - Dump'!$B:$B,'Portfolio Wise '!$B361,'Business - Dump'!$A:$A,'Portfolio Wise '!$A361)</f>
        <v>6</v>
      </c>
      <c r="R361" s="36">
        <f>SUMIFS('Business - Dump'!$U:$U,'Business - Dump'!$B:$B,'Portfolio Wise '!$B361,'Business - Dump'!$A:$A,'Portfolio Wise '!$A361)/1.18</f>
        <v>7057.457627</v>
      </c>
      <c r="S361" s="41">
        <f t="shared" si="9"/>
        <v>1176.242938</v>
      </c>
      <c r="T361" s="23">
        <f t="shared" si="10"/>
        <v>0.03777705997</v>
      </c>
      <c r="U361" s="38">
        <f t="shared" si="11"/>
        <v>26.47109121</v>
      </c>
      <c r="V361" s="41">
        <f>SUMIFS('Business - Dump'!$G:$G,'Business - Dump'!$B:$B,'Portfolio Wise '!$B361,'Business - Dump'!$A:$A,'Portfolio Wise '!$A361)</f>
        <v>163</v>
      </c>
      <c r="W361" s="48">
        <f t="shared" si="12"/>
        <v>0.03680981595</v>
      </c>
      <c r="X361" s="23">
        <f t="shared" ref="X361:Y361" si="516">IFERROR(N361/Q361,0)</f>
        <v>0.6666666667</v>
      </c>
      <c r="Y361" s="49">
        <f t="shared" si="516"/>
        <v>0.8801608108</v>
      </c>
      <c r="Z361" s="49">
        <f t="shared" si="14"/>
        <v>0.3333333333</v>
      </c>
      <c r="AA361" s="23">
        <f t="shared" si="15"/>
        <v>0.8801608108</v>
      </c>
      <c r="AB361" s="23">
        <f>IFERROR(AVERAGEIFS('Business - Dump'!$O:$O,'Business - Dump'!$B:$B,'Portfolio Wise '!$B361,'Business - Dump'!$A:$A,'Portfolio Wise '!$A361),0)</f>
        <v>0.985</v>
      </c>
      <c r="AC361" s="49">
        <f>F361/SUMIFS('Campaign - Dump'!$Q:$Q,'Campaign - Dump'!$A:$A,'Portfolio Wise '!$A361)</f>
        <v>0.0003586770463</v>
      </c>
      <c r="AD361" s="49">
        <f t="shared" si="16"/>
        <v>2</v>
      </c>
    </row>
    <row r="362" ht="15.75" customHeight="1">
      <c r="A362" s="65">
        <v>45658.0</v>
      </c>
      <c r="B362" s="19" t="s">
        <v>1247</v>
      </c>
      <c r="C362" s="13">
        <f>SUMIFS('Campaign - Dump'!$N:$N,'Campaign - Dump'!$J:$J,'Portfolio Wise '!$B362,'Campaign - Dump'!$A:$A,'Portfolio Wise '!$A362)</f>
        <v>0</v>
      </c>
      <c r="D362" s="13">
        <f>SUMIFS('Campaign - Dump'!$O:$O,'Campaign - Dump'!$J:$J,'Portfolio Wise '!$B362,'Campaign - Dump'!$A:$A,'Portfolio Wise '!$A362)</f>
        <v>0</v>
      </c>
      <c r="E362" s="23">
        <f t="shared" si="2"/>
        <v>0</v>
      </c>
      <c r="F362" s="36">
        <f>SUMIFS('Campaign - Dump'!$Q:$Q,'Campaign - Dump'!$J:$J,'Portfolio Wise '!$B362,'Campaign - Dump'!$A:$A,'Portfolio Wise '!$A362)</f>
        <v>0</v>
      </c>
      <c r="G362" s="38">
        <f t="shared" si="3"/>
        <v>0</v>
      </c>
      <c r="H362" s="41">
        <f>SUMIFS('Campaign - Dump'!$T:$T,'Campaign - Dump'!$J:$J,'Portfolio Wise '!$B362,'Campaign - Dump'!$A:$A,'Portfolio Wise '!$A362)</f>
        <v>0</v>
      </c>
      <c r="I362" s="23">
        <f t="shared" si="4"/>
        <v>0</v>
      </c>
      <c r="J362" s="36">
        <f>SUMIFS('Campaign - Dump'!$U:$U,'Campaign - Dump'!$J:$J,'Portfolio Wise '!$B362,'Campaign - Dump'!$A:$A,'Portfolio Wise '!$A362)</f>
        <v>0</v>
      </c>
      <c r="K362" s="23">
        <f t="shared" si="5"/>
        <v>0</v>
      </c>
      <c r="L362" s="38">
        <f t="shared" si="6"/>
        <v>0</v>
      </c>
      <c r="M362" s="41">
        <f t="shared" si="7"/>
        <v>0</v>
      </c>
      <c r="N362" s="13">
        <f t="shared" si="505"/>
        <v>0</v>
      </c>
      <c r="O362" s="36">
        <f t="shared" si="506"/>
        <v>0</v>
      </c>
      <c r="P362" s="41">
        <f t="shared" si="8"/>
        <v>0</v>
      </c>
      <c r="Q362" s="13">
        <f>SUMIFS('Business - Dump'!$W:$W,'Business - Dump'!$B:$B,'Portfolio Wise '!$B362,'Business - Dump'!$A:$A,'Portfolio Wise '!$A362)</f>
        <v>0</v>
      </c>
      <c r="R362" s="36">
        <f>SUMIFS('Business - Dump'!$U:$U,'Business - Dump'!$B:$B,'Portfolio Wise '!$B362,'Business - Dump'!$A:$A,'Portfolio Wise '!$A362)/1.18</f>
        <v>0</v>
      </c>
      <c r="S362" s="41">
        <f t="shared" si="9"/>
        <v>0</v>
      </c>
      <c r="T362" s="23">
        <f t="shared" si="10"/>
        <v>0</v>
      </c>
      <c r="U362" s="38">
        <f t="shared" si="11"/>
        <v>0</v>
      </c>
      <c r="V362" s="41">
        <f>SUMIFS('Business - Dump'!$G:$G,'Business - Dump'!$B:$B,'Portfolio Wise '!$B362,'Business - Dump'!$A:$A,'Portfolio Wise '!$A362)</f>
        <v>0</v>
      </c>
      <c r="W362" s="48">
        <f t="shared" si="12"/>
        <v>0</v>
      </c>
      <c r="X362" s="23">
        <f t="shared" ref="X362:Y362" si="517">IFERROR(N362/Q362,0)</f>
        <v>0</v>
      </c>
      <c r="Y362" s="49">
        <f t="shared" si="517"/>
        <v>0</v>
      </c>
      <c r="Z362" s="49">
        <f t="shared" si="14"/>
        <v>0</v>
      </c>
      <c r="AA362" s="23">
        <f t="shared" si="15"/>
        <v>0</v>
      </c>
      <c r="AB362" s="23">
        <f>IFERROR(AVERAGEIFS('Business - Dump'!$O:$O,'Business - Dump'!$B:$B,'Portfolio Wise '!$B362,'Business - Dump'!$A:$A,'Portfolio Wise '!$A362),0)</f>
        <v>0</v>
      </c>
      <c r="AC362" s="49">
        <f>F362/SUMIFS('Campaign - Dump'!$Q:$Q,'Campaign - Dump'!$A:$A,'Portfolio Wise '!$A362)</f>
        <v>0</v>
      </c>
      <c r="AD362" s="49">
        <f t="shared" si="16"/>
        <v>0</v>
      </c>
    </row>
    <row r="363" ht="15.75" customHeight="1">
      <c r="A363" s="65">
        <v>45658.0</v>
      </c>
      <c r="B363" s="146" t="s">
        <v>1371</v>
      </c>
      <c r="C363" s="127">
        <f t="shared" ref="C363:D363" si="518">SUM(C338:C361)</f>
        <v>6106324</v>
      </c>
      <c r="D363" s="127">
        <f t="shared" si="518"/>
        <v>31683</v>
      </c>
      <c r="E363" s="62">
        <f t="shared" si="2"/>
        <v>0.00518855534</v>
      </c>
      <c r="F363" s="128">
        <f>SUM(F338:F361)</f>
        <v>743314.92</v>
      </c>
      <c r="G363" s="129">
        <f t="shared" si="3"/>
        <v>23.4610018</v>
      </c>
      <c r="H363" s="130">
        <f>SUM(H338:H361)</f>
        <v>292</v>
      </c>
      <c r="I363" s="62">
        <f t="shared" si="4"/>
        <v>0.009216298962</v>
      </c>
      <c r="J363" s="128">
        <f>SUM(J338:J361)</f>
        <v>3410399.18</v>
      </c>
      <c r="K363" s="62">
        <f t="shared" si="5"/>
        <v>0.2179554008</v>
      </c>
      <c r="L363" s="129">
        <f t="shared" si="6"/>
        <v>4.588094613</v>
      </c>
      <c r="M363" s="130">
        <f t="shared" si="7"/>
        <v>11679.44925</v>
      </c>
      <c r="N363" s="127">
        <f t="shared" ref="N363:O363" si="519">SUM(N338:N361)</f>
        <v>254</v>
      </c>
      <c r="O363" s="128">
        <f t="shared" si="519"/>
        <v>3535979.488</v>
      </c>
      <c r="P363" s="130">
        <f t="shared" si="8"/>
        <v>13921.17909</v>
      </c>
      <c r="Q363" s="127">
        <f t="shared" ref="Q363:R363" si="520">SUM(Q338:Q361)</f>
        <v>427</v>
      </c>
      <c r="R363" s="128">
        <f t="shared" si="520"/>
        <v>5072331.178</v>
      </c>
      <c r="S363" s="130">
        <f t="shared" si="9"/>
        <v>11878.99573</v>
      </c>
      <c r="T363" s="62">
        <f t="shared" si="10"/>
        <v>0.1465430576</v>
      </c>
      <c r="U363" s="129">
        <f t="shared" si="11"/>
        <v>6.823932954</v>
      </c>
      <c r="V363" s="130">
        <f>SUM(V338:V361)</f>
        <v>59907</v>
      </c>
      <c r="W363" s="131">
        <f t="shared" si="12"/>
        <v>0.007127714624</v>
      </c>
      <c r="X363" s="62">
        <f t="shared" ref="X363:Y363" si="521">IFERROR(N363/Q363,0)</f>
        <v>0.5948477752</v>
      </c>
      <c r="Y363" s="132">
        <f t="shared" si="521"/>
        <v>0.697111321</v>
      </c>
      <c r="Z363" s="132">
        <f t="shared" si="14"/>
        <v>0.6838407494</v>
      </c>
      <c r="AA363" s="62">
        <f t="shared" si="15"/>
        <v>0.697111321</v>
      </c>
      <c r="AB363" s="62">
        <f>IFERROR(AVERAGEIFS('Business - Dump'!$O:$O,'Business - Dump'!$B:$B,'Portfolio Wise '!$B363,'Business - Dump'!$A:$A,'Portfolio Wise '!$A363),0)</f>
        <v>0</v>
      </c>
      <c r="AC363" s="132">
        <f>F363/SUMIFS('Campaign - Dump'!$Q:$Q,'Campaign - Dump'!$A:$A,'Portfolio Wise '!$A363)</f>
        <v>1</v>
      </c>
      <c r="AD363" s="132">
        <f t="shared" si="16"/>
        <v>0.8698630137</v>
      </c>
      <c r="AE363" s="31"/>
    </row>
    <row r="364" ht="15.75" customHeight="1">
      <c r="A364" s="65">
        <v>45689.0</v>
      </c>
      <c r="B364" s="33" t="s">
        <v>90</v>
      </c>
      <c r="C364" s="13">
        <f>SUMIFS('Campaign - Dump'!$N:$N,'Campaign - Dump'!$J:$J,'Portfolio Wise '!$B364,'Campaign - Dump'!$A:$A,'Portfolio Wise '!$A364)</f>
        <v>103363</v>
      </c>
      <c r="D364" s="13">
        <f>SUMIFS('Campaign - Dump'!$O:$O,'Campaign - Dump'!$J:$J,'Portfolio Wise '!$B364,'Campaign - Dump'!$A:$A,'Portfolio Wise '!$A364)</f>
        <v>237</v>
      </c>
      <c r="E364" s="23">
        <f t="shared" si="2"/>
        <v>0.002292890106</v>
      </c>
      <c r="F364" s="36">
        <f>SUMIFS('Campaign - Dump'!$Q:$Q,'Campaign - Dump'!$J:$J,'Portfolio Wise '!$B364,'Campaign - Dump'!$A:$A,'Portfolio Wise '!$A364)</f>
        <v>11670.67</v>
      </c>
      <c r="G364" s="38">
        <f t="shared" si="3"/>
        <v>49.24333333</v>
      </c>
      <c r="H364" s="41">
        <f>SUMIFS('Campaign - Dump'!$T:$T,'Campaign - Dump'!$J:$J,'Portfolio Wise '!$B364,'Campaign - Dump'!$A:$A,'Portfolio Wise '!$A364)</f>
        <v>1</v>
      </c>
      <c r="I364" s="23">
        <f t="shared" si="4"/>
        <v>0.004219409283</v>
      </c>
      <c r="J364" s="36">
        <f>SUMIFS('Campaign - Dump'!$U:$U,'Campaign - Dump'!$J:$J,'Portfolio Wise '!$B364,'Campaign - Dump'!$A:$A,'Portfolio Wise '!$A364)</f>
        <v>17381.36</v>
      </c>
      <c r="K364" s="23">
        <f t="shared" si="5"/>
        <v>0.6714474587</v>
      </c>
      <c r="L364" s="38">
        <f t="shared" si="6"/>
        <v>1.489319808</v>
      </c>
      <c r="M364" s="41">
        <f t="shared" si="7"/>
        <v>17381.36</v>
      </c>
      <c r="N364" s="13">
        <v>0.0</v>
      </c>
      <c r="O364" s="36">
        <v>0.0</v>
      </c>
      <c r="P364" s="41">
        <f t="shared" si="8"/>
        <v>0</v>
      </c>
      <c r="Q364" s="13">
        <f>SUMIFS('Business - Dump'!$W:$W,'Business - Dump'!$B:$B,'Portfolio Wise '!$B364,'Business - Dump'!$A:$A,'Portfolio Wise '!$A364)</f>
        <v>0</v>
      </c>
      <c r="R364" s="36">
        <f>SUMIFS('Business - Dump'!$U:$U,'Business - Dump'!$B:$B,'Portfolio Wise '!$B364,'Business - Dump'!$A:$A,'Portfolio Wise '!$A364)/1.18</f>
        <v>0</v>
      </c>
      <c r="S364" s="41">
        <f t="shared" si="9"/>
        <v>0</v>
      </c>
      <c r="T364" s="23">
        <f t="shared" si="10"/>
        <v>0</v>
      </c>
      <c r="U364" s="38">
        <f t="shared" si="11"/>
        <v>0</v>
      </c>
      <c r="V364" s="41">
        <f>SUMIFS('Business - Dump'!$G:$G,'Business - Dump'!$B:$B,'Portfolio Wise '!$B364,'Business - Dump'!$A:$A,'Portfolio Wise '!$A364)</f>
        <v>0</v>
      </c>
      <c r="W364" s="48">
        <f t="shared" si="12"/>
        <v>0</v>
      </c>
      <c r="X364" s="23">
        <f t="shared" ref="X364:Y364" si="522">IFERROR(N364/Q364,0)</f>
        <v>0</v>
      </c>
      <c r="Y364" s="49">
        <f t="shared" si="522"/>
        <v>0</v>
      </c>
      <c r="Z364" s="49">
        <f t="shared" si="14"/>
        <v>0</v>
      </c>
      <c r="AA364" s="23">
        <f t="shared" si="15"/>
        <v>0</v>
      </c>
      <c r="AB364" s="23">
        <f>IFERROR(AVERAGEIFS('Business - Dump'!$O:$O,'Business - Dump'!$B:$B,'Portfolio Wise '!$B364,'Business - Dump'!$A:$A,'Portfolio Wise '!$A364),0)</f>
        <v>0</v>
      </c>
      <c r="AC364" s="49">
        <f>F364/SUMIFS('Campaign - Dump'!$Q:$Q,'Campaign - Dump'!$A:$A,'Portfolio Wise '!$A364)</f>
        <v>0.01807605602</v>
      </c>
      <c r="AD364" s="49">
        <f t="shared" si="16"/>
        <v>0</v>
      </c>
    </row>
    <row r="365" ht="15.75" customHeight="1">
      <c r="A365" s="65">
        <v>45689.0</v>
      </c>
      <c r="B365" s="51" t="s">
        <v>110</v>
      </c>
      <c r="C365" s="13">
        <f>SUMIFS('Campaign - Dump'!$N:$N,'Campaign - Dump'!$J:$J,'Portfolio Wise '!$B365,'Campaign - Dump'!$A:$A,'Portfolio Wise '!$A365)</f>
        <v>0</v>
      </c>
      <c r="D365" s="13">
        <f>SUMIFS('Campaign - Dump'!$O:$O,'Campaign - Dump'!$J:$J,'Portfolio Wise '!$B365,'Campaign - Dump'!$A:$A,'Portfolio Wise '!$A365)</f>
        <v>0</v>
      </c>
      <c r="E365" s="23">
        <f t="shared" si="2"/>
        <v>0</v>
      </c>
      <c r="F365" s="36">
        <f>SUMIFS('Campaign - Dump'!$Q:$Q,'Campaign - Dump'!$J:$J,'Portfolio Wise '!$B365,'Campaign - Dump'!$A:$A,'Portfolio Wise '!$A365)</f>
        <v>0</v>
      </c>
      <c r="G365" s="38">
        <f t="shared" si="3"/>
        <v>0</v>
      </c>
      <c r="H365" s="41">
        <f>SUMIFS('Campaign - Dump'!$T:$T,'Campaign - Dump'!$J:$J,'Portfolio Wise '!$B365,'Campaign - Dump'!$A:$A,'Portfolio Wise '!$A365)</f>
        <v>0</v>
      </c>
      <c r="I365" s="23">
        <f t="shared" si="4"/>
        <v>0</v>
      </c>
      <c r="J365" s="36">
        <f>SUMIFS('Campaign - Dump'!$U:$U,'Campaign - Dump'!$J:$J,'Portfolio Wise '!$B365,'Campaign - Dump'!$A:$A,'Portfolio Wise '!$A365)</f>
        <v>0</v>
      </c>
      <c r="K365" s="23">
        <f t="shared" si="5"/>
        <v>0</v>
      </c>
      <c r="L365" s="38">
        <f t="shared" si="6"/>
        <v>0</v>
      </c>
      <c r="M365" s="41">
        <f t="shared" si="7"/>
        <v>0</v>
      </c>
      <c r="N365" s="13">
        <f t="shared" ref="N365:N367" si="524">IFERROR(Q365-H365,0)</f>
        <v>0</v>
      </c>
      <c r="O365" s="36">
        <f t="shared" ref="O365:O367" si="525">IFERROR(R365-J365,0)</f>
        <v>0</v>
      </c>
      <c r="P365" s="41">
        <f t="shared" si="8"/>
        <v>0</v>
      </c>
      <c r="Q365" s="13">
        <f>SUMIFS('Business - Dump'!$W:$W,'Business - Dump'!$B:$B,'Portfolio Wise '!$B365,'Business - Dump'!$A:$A,'Portfolio Wise '!$A365)</f>
        <v>0</v>
      </c>
      <c r="R365" s="36">
        <f>SUMIFS('Business - Dump'!$U:$U,'Business - Dump'!$B:$B,'Portfolio Wise '!$B365,'Business - Dump'!$A:$A,'Portfolio Wise '!$A365)/1.18</f>
        <v>0</v>
      </c>
      <c r="S365" s="41">
        <f t="shared" si="9"/>
        <v>0</v>
      </c>
      <c r="T365" s="23">
        <f t="shared" si="10"/>
        <v>0</v>
      </c>
      <c r="U365" s="38">
        <f t="shared" si="11"/>
        <v>0</v>
      </c>
      <c r="V365" s="41">
        <f>SUMIFS('Business - Dump'!$G:$G,'Business - Dump'!$B:$B,'Portfolio Wise '!$B365,'Business - Dump'!$A:$A,'Portfolio Wise '!$A365)</f>
        <v>0</v>
      </c>
      <c r="W365" s="48">
        <f t="shared" si="12"/>
        <v>0</v>
      </c>
      <c r="X365" s="23">
        <f t="shared" ref="X365:Y365" si="523">IFERROR(N365/Q365,0)</f>
        <v>0</v>
      </c>
      <c r="Y365" s="49">
        <f t="shared" si="523"/>
        <v>0</v>
      </c>
      <c r="Z365" s="49">
        <f t="shared" si="14"/>
        <v>0</v>
      </c>
      <c r="AA365" s="23">
        <f t="shared" si="15"/>
        <v>0</v>
      </c>
      <c r="AB365" s="23">
        <f>IFERROR(AVERAGEIFS('Business - Dump'!$O:$O,'Business - Dump'!$B:$B,'Portfolio Wise '!$B365,'Business - Dump'!$A:$A,'Portfolio Wise '!$A365),0)</f>
        <v>0</v>
      </c>
      <c r="AC365" s="49">
        <f>F365/SUMIFS('Campaign - Dump'!$Q:$Q,'Campaign - Dump'!$A:$A,'Portfolio Wise '!$A365)</f>
        <v>0</v>
      </c>
      <c r="AD365" s="49">
        <f t="shared" si="16"/>
        <v>0</v>
      </c>
    </row>
    <row r="366" ht="15.75" customHeight="1">
      <c r="A366" s="65">
        <v>45689.0</v>
      </c>
      <c r="B366" s="51" t="s">
        <v>119</v>
      </c>
      <c r="C366" s="13">
        <f>SUMIFS('Campaign - Dump'!$N:$N,'Campaign - Dump'!$J:$J,'Portfolio Wise '!$B366,'Campaign - Dump'!$A:$A,'Portfolio Wise '!$A366)</f>
        <v>6766</v>
      </c>
      <c r="D366" s="13">
        <f>SUMIFS('Campaign - Dump'!$O:$O,'Campaign - Dump'!$J:$J,'Portfolio Wise '!$B366,'Campaign - Dump'!$A:$A,'Portfolio Wise '!$A366)</f>
        <v>114</v>
      </c>
      <c r="E366" s="23">
        <f t="shared" si="2"/>
        <v>0.01684895064</v>
      </c>
      <c r="F366" s="36">
        <f>SUMIFS('Campaign - Dump'!$Q:$Q,'Campaign - Dump'!$J:$J,'Portfolio Wise '!$B366,'Campaign - Dump'!$A:$A,'Portfolio Wise '!$A366)</f>
        <v>192.4</v>
      </c>
      <c r="G366" s="38">
        <f t="shared" si="3"/>
        <v>1.687719298</v>
      </c>
      <c r="H366" s="41">
        <f>SUMIFS('Campaign - Dump'!$T:$T,'Campaign - Dump'!$J:$J,'Portfolio Wise '!$B366,'Campaign - Dump'!$A:$A,'Portfolio Wise '!$A366)</f>
        <v>1</v>
      </c>
      <c r="I366" s="23">
        <f t="shared" si="4"/>
        <v>0.008771929825</v>
      </c>
      <c r="J366" s="36">
        <f>SUMIFS('Campaign - Dump'!$U:$U,'Campaign - Dump'!$J:$J,'Portfolio Wise '!$B366,'Campaign - Dump'!$A:$A,'Portfolio Wise '!$A366)</f>
        <v>19923.73</v>
      </c>
      <c r="K366" s="23">
        <f t="shared" si="5"/>
        <v>0.009656826307</v>
      </c>
      <c r="L366" s="38">
        <f t="shared" si="6"/>
        <v>103.5536902</v>
      </c>
      <c r="M366" s="41">
        <f t="shared" si="7"/>
        <v>19923.73</v>
      </c>
      <c r="N366" s="13">
        <f t="shared" si="524"/>
        <v>0</v>
      </c>
      <c r="O366" s="36">
        <f t="shared" si="525"/>
        <v>-12758.47576</v>
      </c>
      <c r="P366" s="41">
        <f t="shared" si="8"/>
        <v>0</v>
      </c>
      <c r="Q366" s="13">
        <f>SUMIFS('Business - Dump'!$W:$W,'Business - Dump'!$B:$B,'Portfolio Wise '!$B366,'Business - Dump'!$A:$A,'Portfolio Wise '!$A366)</f>
        <v>1</v>
      </c>
      <c r="R366" s="36">
        <f>SUMIFS('Business - Dump'!$U:$U,'Business - Dump'!$B:$B,'Portfolio Wise '!$B366,'Business - Dump'!$A:$A,'Portfolio Wise '!$A366)/1.18</f>
        <v>7165.254237</v>
      </c>
      <c r="S366" s="41">
        <f t="shared" si="9"/>
        <v>7165.254237</v>
      </c>
      <c r="T366" s="23">
        <f t="shared" si="10"/>
        <v>0.02685180367</v>
      </c>
      <c r="U366" s="38">
        <f t="shared" si="11"/>
        <v>37.24144614</v>
      </c>
      <c r="V366" s="41">
        <f>SUMIFS('Business - Dump'!$G:$G,'Business - Dump'!$B:$B,'Portfolio Wise '!$B366,'Business - Dump'!$A:$A,'Portfolio Wise '!$A366)</f>
        <v>1831</v>
      </c>
      <c r="W366" s="48">
        <f t="shared" si="12"/>
        <v>0.000546149645</v>
      </c>
      <c r="X366" s="23">
        <f t="shared" ref="X366:Y366" si="526">IFERROR(N366/Q366,0)</f>
        <v>0</v>
      </c>
      <c r="Y366" s="49">
        <f t="shared" si="526"/>
        <v>-1.780603359</v>
      </c>
      <c r="Z366" s="49">
        <f t="shared" si="14"/>
        <v>1</v>
      </c>
      <c r="AA366" s="23">
        <f t="shared" si="15"/>
        <v>-1.780603359</v>
      </c>
      <c r="AB366" s="23">
        <f>IFERROR(AVERAGEIFS('Business - Dump'!$O:$O,'Business - Dump'!$B:$B,'Portfolio Wise '!$B366,'Business - Dump'!$A:$A,'Portfolio Wise '!$A366),0)</f>
        <v>0.77196</v>
      </c>
      <c r="AC366" s="49">
        <f>F366/SUMIFS('Campaign - Dump'!$Q:$Q,'Campaign - Dump'!$A:$A,'Portfolio Wise '!$A366)</f>
        <v>0.0002979977309</v>
      </c>
      <c r="AD366" s="49">
        <f t="shared" si="16"/>
        <v>0</v>
      </c>
    </row>
    <row r="367" ht="15.75" customHeight="1">
      <c r="A367" s="65">
        <v>45689.0</v>
      </c>
      <c r="B367" s="68" t="s">
        <v>413</v>
      </c>
      <c r="C367" s="13">
        <f>SUMIFS('Campaign - Dump'!$N:$N,'Campaign - Dump'!$J:$J,'Portfolio Wise '!$B367,'Campaign - Dump'!$A:$A,'Portfolio Wise '!$A367)</f>
        <v>2066</v>
      </c>
      <c r="D367" s="13">
        <f>SUMIFS('Campaign - Dump'!$O:$O,'Campaign - Dump'!$J:$J,'Portfolio Wise '!$B367,'Campaign - Dump'!$A:$A,'Portfolio Wise '!$A367)</f>
        <v>6</v>
      </c>
      <c r="E367" s="23">
        <f t="shared" si="2"/>
        <v>0.002904162633</v>
      </c>
      <c r="F367" s="36">
        <f>SUMIFS('Campaign - Dump'!$Q:$Q,'Campaign - Dump'!$J:$J,'Portfolio Wise '!$B367,'Campaign - Dump'!$A:$A,'Portfolio Wise '!$A367)</f>
        <v>39.64</v>
      </c>
      <c r="G367" s="38">
        <f t="shared" si="3"/>
        <v>6.606666667</v>
      </c>
      <c r="H367" s="41">
        <f>SUMIFS('Campaign - Dump'!$T:$T,'Campaign - Dump'!$J:$J,'Portfolio Wise '!$B367,'Campaign - Dump'!$A:$A,'Portfolio Wise '!$A367)</f>
        <v>0</v>
      </c>
      <c r="I367" s="23">
        <f t="shared" si="4"/>
        <v>0</v>
      </c>
      <c r="J367" s="36">
        <f>SUMIFS('Campaign - Dump'!$U:$U,'Campaign - Dump'!$J:$J,'Portfolio Wise '!$B367,'Campaign - Dump'!$A:$A,'Portfolio Wise '!$A367)</f>
        <v>0</v>
      </c>
      <c r="K367" s="23">
        <f t="shared" si="5"/>
        <v>0</v>
      </c>
      <c r="L367" s="38">
        <f t="shared" si="6"/>
        <v>0</v>
      </c>
      <c r="M367" s="41">
        <f t="shared" si="7"/>
        <v>0</v>
      </c>
      <c r="N367" s="13">
        <f t="shared" si="524"/>
        <v>0</v>
      </c>
      <c r="O367" s="36">
        <f t="shared" si="525"/>
        <v>0</v>
      </c>
      <c r="P367" s="41">
        <f t="shared" si="8"/>
        <v>0</v>
      </c>
      <c r="Q367" s="13">
        <f>SUMIFS('Business - Dump'!$W:$W,'Business - Dump'!$B:$B,'Portfolio Wise '!$B367,'Business - Dump'!$A:$A,'Portfolio Wise '!$A367)</f>
        <v>0</v>
      </c>
      <c r="R367" s="36">
        <f>SUMIFS('Business - Dump'!$U:$U,'Business - Dump'!$B:$B,'Portfolio Wise '!$B367,'Business - Dump'!$A:$A,'Portfolio Wise '!$A367)/1.18</f>
        <v>0</v>
      </c>
      <c r="S367" s="41">
        <f t="shared" si="9"/>
        <v>0</v>
      </c>
      <c r="T367" s="23">
        <f t="shared" si="10"/>
        <v>0</v>
      </c>
      <c r="U367" s="38">
        <f t="shared" si="11"/>
        <v>0</v>
      </c>
      <c r="V367" s="41">
        <f>SUMIFS('Business - Dump'!$G:$G,'Business - Dump'!$B:$B,'Portfolio Wise '!$B367,'Business - Dump'!$A:$A,'Portfolio Wise '!$A367)</f>
        <v>107</v>
      </c>
      <c r="W367" s="48">
        <f t="shared" si="12"/>
        <v>0</v>
      </c>
      <c r="X367" s="23">
        <f t="shared" ref="X367:Y367" si="527">IFERROR(N367/Q367,0)</f>
        <v>0</v>
      </c>
      <c r="Y367" s="49">
        <f t="shared" si="527"/>
        <v>0</v>
      </c>
      <c r="Z367" s="49">
        <f t="shared" si="14"/>
        <v>0</v>
      </c>
      <c r="AA367" s="23">
        <f t="shared" si="15"/>
        <v>0</v>
      </c>
      <c r="AB367" s="23">
        <f>IFERROR(AVERAGEIFS('Business - Dump'!$O:$O,'Business - Dump'!$B:$B,'Portfolio Wise '!$B367,'Business - Dump'!$A:$A,'Portfolio Wise '!$A367),0)</f>
        <v>0.8439666667</v>
      </c>
      <c r="AC367" s="49">
        <f>F367/SUMIFS('Campaign - Dump'!$Q:$Q,'Campaign - Dump'!$A:$A,'Portfolio Wise '!$A367)</f>
        <v>0.0000613962061</v>
      </c>
      <c r="AD367" s="49">
        <f t="shared" si="16"/>
        <v>0</v>
      </c>
    </row>
    <row r="368" ht="15.75" customHeight="1">
      <c r="A368" s="65">
        <v>45689.0</v>
      </c>
      <c r="B368" s="19" t="s">
        <v>128</v>
      </c>
      <c r="C368" s="13">
        <f>SUMIFS('Campaign - Dump'!$N:$N,'Campaign - Dump'!$J:$J,'Portfolio Wise '!$B368,'Campaign - Dump'!$A:$A,'Portfolio Wise '!$A368)</f>
        <v>1110056</v>
      </c>
      <c r="D368" s="13">
        <f>SUMIFS('Campaign - Dump'!$O:$O,'Campaign - Dump'!$J:$J,'Portfolio Wise '!$B368,'Campaign - Dump'!$A:$A,'Portfolio Wise '!$A368)</f>
        <v>4652</v>
      </c>
      <c r="E368" s="23">
        <f t="shared" si="2"/>
        <v>0.004190779564</v>
      </c>
      <c r="F368" s="36">
        <f>SUMIFS('Campaign - Dump'!$Q:$Q,'Campaign - Dump'!$J:$J,'Portfolio Wise '!$B368,'Campaign - Dump'!$A:$A,'Portfolio Wise '!$A368)</f>
        <v>117803.65</v>
      </c>
      <c r="G368" s="38">
        <f t="shared" si="3"/>
        <v>25.32322657</v>
      </c>
      <c r="H368" s="41">
        <f>SUMIFS('Campaign - Dump'!$T:$T,'Campaign - Dump'!$J:$J,'Portfolio Wise '!$B368,'Campaign - Dump'!$A:$A,'Portfolio Wise '!$A368)</f>
        <v>53</v>
      </c>
      <c r="I368" s="62">
        <f t="shared" si="4"/>
        <v>0.01139294927</v>
      </c>
      <c r="J368" s="36">
        <f>SUMIFS('Campaign - Dump'!$U:$U,'Campaign - Dump'!$J:$J,'Portfolio Wise '!$B368,'Campaign - Dump'!$A:$A,'Portfolio Wise '!$A368)</f>
        <v>945228.92</v>
      </c>
      <c r="K368" s="23">
        <f t="shared" si="5"/>
        <v>0.1246297564</v>
      </c>
      <c r="L368" s="38">
        <f t="shared" si="6"/>
        <v>8.023765987</v>
      </c>
      <c r="M368" s="41">
        <f t="shared" si="7"/>
        <v>17834.50792</v>
      </c>
      <c r="N368" s="13">
        <v>0.0</v>
      </c>
      <c r="O368" s="36">
        <v>0.0</v>
      </c>
      <c r="P368" s="41">
        <f t="shared" si="8"/>
        <v>0</v>
      </c>
      <c r="Q368" s="13">
        <f>SUMIFS('Business - Dump'!$W:$W,'Business - Dump'!$B:$B,'Portfolio Wise '!$B368,'Business - Dump'!$A:$A,'Portfolio Wise '!$A368)</f>
        <v>0</v>
      </c>
      <c r="R368" s="36">
        <f>SUMIFS('Business - Dump'!$U:$U,'Business - Dump'!$B:$B,'Portfolio Wise '!$B368,'Business - Dump'!$A:$A,'Portfolio Wise '!$A368)/1.18</f>
        <v>0</v>
      </c>
      <c r="S368" s="41">
        <f t="shared" si="9"/>
        <v>0</v>
      </c>
      <c r="T368" s="23">
        <f t="shared" si="10"/>
        <v>0</v>
      </c>
      <c r="U368" s="38">
        <f t="shared" si="11"/>
        <v>0</v>
      </c>
      <c r="V368" s="41">
        <f>SUMIFS('Business - Dump'!$G:$G,'Business - Dump'!$B:$B,'Portfolio Wise '!$B368,'Business - Dump'!$A:$A,'Portfolio Wise '!$A368)</f>
        <v>0</v>
      </c>
      <c r="W368" s="48">
        <f t="shared" si="12"/>
        <v>0</v>
      </c>
      <c r="X368" s="23">
        <f t="shared" ref="X368:Y368" si="528">IFERROR(N368/Q368,0)</f>
        <v>0</v>
      </c>
      <c r="Y368" s="49">
        <f t="shared" si="528"/>
        <v>0</v>
      </c>
      <c r="Z368" s="49">
        <f t="shared" si="14"/>
        <v>0</v>
      </c>
      <c r="AA368" s="23">
        <f t="shared" si="15"/>
        <v>0</v>
      </c>
      <c r="AB368" s="23">
        <f>IFERROR(AVERAGEIFS('Business - Dump'!$O:$O,'Business - Dump'!$B:$B,'Portfolio Wise '!$B368,'Business - Dump'!$A:$A,'Portfolio Wise '!$A368),0)</f>
        <v>0</v>
      </c>
      <c r="AC368" s="49">
        <f>F368/SUMIFS('Campaign - Dump'!$Q:$Q,'Campaign - Dump'!$A:$A,'Portfolio Wise '!$A368)</f>
        <v>0.1824595655</v>
      </c>
      <c r="AD368" s="49">
        <f t="shared" si="16"/>
        <v>0</v>
      </c>
    </row>
    <row r="369" ht="15.75" customHeight="1">
      <c r="A369" s="65">
        <v>45689.0</v>
      </c>
      <c r="B369" s="19" t="s">
        <v>134</v>
      </c>
      <c r="C369" s="13">
        <f>SUMIFS('Campaign - Dump'!$N:$N,'Campaign - Dump'!$J:$J,'Portfolio Wise '!$B369,'Campaign - Dump'!$A:$A,'Portfolio Wise '!$A369)</f>
        <v>1109790</v>
      </c>
      <c r="D369" s="13">
        <f>SUMIFS('Campaign - Dump'!$O:$O,'Campaign - Dump'!$J:$J,'Portfolio Wise '!$B369,'Campaign - Dump'!$A:$A,'Portfolio Wise '!$A369)</f>
        <v>5389</v>
      </c>
      <c r="E369" s="23">
        <f t="shared" si="2"/>
        <v>0.004855873634</v>
      </c>
      <c r="F369" s="36">
        <f>SUMIFS('Campaign - Dump'!$Q:$Q,'Campaign - Dump'!$J:$J,'Portfolio Wise '!$B369,'Campaign - Dump'!$A:$A,'Portfolio Wise '!$A369)</f>
        <v>153368.5</v>
      </c>
      <c r="G369" s="38">
        <f t="shared" si="3"/>
        <v>28.45954723</v>
      </c>
      <c r="H369" s="41">
        <f>SUMIFS('Campaign - Dump'!$T:$T,'Campaign - Dump'!$J:$J,'Portfolio Wise '!$B369,'Campaign - Dump'!$A:$A,'Portfolio Wise '!$A369)</f>
        <v>12</v>
      </c>
      <c r="I369" s="23">
        <f t="shared" si="4"/>
        <v>0.002226758211</v>
      </c>
      <c r="J369" s="36">
        <f>SUMIFS('Campaign - Dump'!$U:$U,'Campaign - Dump'!$J:$J,'Portfolio Wise '!$B369,'Campaign - Dump'!$A:$A,'Portfolio Wise '!$A369)</f>
        <v>161381.36</v>
      </c>
      <c r="K369" s="23">
        <f t="shared" si="5"/>
        <v>0.950348293</v>
      </c>
      <c r="L369" s="38">
        <f t="shared" si="6"/>
        <v>1.0522458</v>
      </c>
      <c r="M369" s="41">
        <f t="shared" si="7"/>
        <v>13448.44667</v>
      </c>
      <c r="N369" s="13">
        <f t="shared" ref="N369:N375" si="530">IFERROR(Q369-H369,0)</f>
        <v>31</v>
      </c>
      <c r="O369" s="36">
        <f t="shared" ref="O369:O375" si="531">IFERROR(R369-J369,0)</f>
        <v>648081.2332</v>
      </c>
      <c r="P369" s="41">
        <f t="shared" si="8"/>
        <v>20905.84623</v>
      </c>
      <c r="Q369" s="198">
        <f>SUMIFS('Business - Dump'!$W:$W,'Business - Dump'!$B:$B,'Portfolio Wise '!$B369,'Business - Dump'!$A:$A,'Portfolio Wise '!$A369)</f>
        <v>43</v>
      </c>
      <c r="R369" s="36">
        <f>SUMIFS('Business - Dump'!$U:$U,'Business - Dump'!$B:$B,'Portfolio Wise '!$B369,'Business - Dump'!$A:$A,'Portfolio Wise '!$A369)/1.18</f>
        <v>809462.5932</v>
      </c>
      <c r="S369" s="41">
        <f t="shared" si="9"/>
        <v>18824.71147</v>
      </c>
      <c r="T369" s="62">
        <f t="shared" si="10"/>
        <v>0.1894695336</v>
      </c>
      <c r="U369" s="38">
        <f t="shared" si="11"/>
        <v>5.277893395</v>
      </c>
      <c r="V369" s="130">
        <f>SUMIFS('Business - Dump'!$G:$G,'Business - Dump'!$B:$B,'Portfolio Wise '!$B369,'Business - Dump'!$A:$A,'Portfolio Wise '!$A369)</f>
        <v>12546</v>
      </c>
      <c r="W369" s="62">
        <f t="shared" si="12"/>
        <v>0.003427387215</v>
      </c>
      <c r="X369" s="23">
        <f t="shared" ref="X369:Y369" si="529">IFERROR(N369/Q369,0)</f>
        <v>0.7209302326</v>
      </c>
      <c r="Y369" s="49">
        <f t="shared" si="529"/>
        <v>0.800631479</v>
      </c>
      <c r="Z369" s="49">
        <f t="shared" si="14"/>
        <v>0.2790697674</v>
      </c>
      <c r="AA369" s="23">
        <f t="shared" si="15"/>
        <v>0.800631479</v>
      </c>
      <c r="AB369" s="23">
        <f>IFERROR(AVERAGEIFS('Business - Dump'!$O:$O,'Business - Dump'!$B:$B,'Portfolio Wise '!$B369,'Business - Dump'!$A:$A,'Portfolio Wise '!$A369),0)</f>
        <v>0.8713222222</v>
      </c>
      <c r="AC369" s="49">
        <f>F369/SUMIFS('Campaign - Dump'!$Q:$Q,'Campaign - Dump'!$A:$A,'Portfolio Wise '!$A369)</f>
        <v>0.2375439969</v>
      </c>
      <c r="AD369" s="49">
        <f t="shared" si="16"/>
        <v>2.583333333</v>
      </c>
    </row>
    <row r="370" ht="15.75" customHeight="1">
      <c r="A370" s="65">
        <v>45689.0</v>
      </c>
      <c r="B370" s="19" t="s">
        <v>140</v>
      </c>
      <c r="C370" s="13">
        <f>SUMIFS('Campaign - Dump'!$N:$N,'Campaign - Dump'!$J:$J,'Portfolio Wise '!$B370,'Campaign - Dump'!$A:$A,'Portfolio Wise '!$A370)</f>
        <v>420593</v>
      </c>
      <c r="D370" s="13">
        <f>SUMIFS('Campaign - Dump'!$O:$O,'Campaign - Dump'!$J:$J,'Portfolio Wise '!$B370,'Campaign - Dump'!$A:$A,'Portfolio Wise '!$A370)</f>
        <v>1029</v>
      </c>
      <c r="E370" s="23">
        <f t="shared" si="2"/>
        <v>0.00244654571</v>
      </c>
      <c r="F370" s="36">
        <f>SUMIFS('Campaign - Dump'!$Q:$Q,'Campaign - Dump'!$J:$J,'Portfolio Wise '!$B370,'Campaign - Dump'!$A:$A,'Portfolio Wise '!$A370)</f>
        <v>40149.54</v>
      </c>
      <c r="G370" s="38">
        <f t="shared" si="3"/>
        <v>39.01801749</v>
      </c>
      <c r="H370" s="41">
        <f>SUMIFS('Campaign - Dump'!$T:$T,'Campaign - Dump'!$J:$J,'Portfolio Wise '!$B370,'Campaign - Dump'!$A:$A,'Portfolio Wise '!$A370)</f>
        <v>6</v>
      </c>
      <c r="I370" s="23">
        <f t="shared" si="4"/>
        <v>0.00583090379</v>
      </c>
      <c r="J370" s="36">
        <f>SUMIFS('Campaign - Dump'!$U:$U,'Campaign - Dump'!$J:$J,'Portfolio Wise '!$B370,'Campaign - Dump'!$A:$A,'Portfolio Wise '!$A370)</f>
        <v>124372.05</v>
      </c>
      <c r="K370" s="23">
        <f t="shared" si="5"/>
        <v>0.3228180286</v>
      </c>
      <c r="L370" s="38">
        <f t="shared" si="6"/>
        <v>3.097720422</v>
      </c>
      <c r="M370" s="41">
        <f t="shared" si="7"/>
        <v>20728.675</v>
      </c>
      <c r="N370" s="13">
        <f t="shared" si="530"/>
        <v>9</v>
      </c>
      <c r="O370" s="36">
        <f t="shared" si="531"/>
        <v>308895.5093</v>
      </c>
      <c r="P370" s="41">
        <f t="shared" si="8"/>
        <v>34321.72326</v>
      </c>
      <c r="Q370" s="13">
        <f>SUMIFS('Business - Dump'!$W:$W,'Business - Dump'!$B:$B,'Portfolio Wise '!$B370,'Business - Dump'!$A:$A,'Portfolio Wise '!$A370)</f>
        <v>15</v>
      </c>
      <c r="R370" s="36">
        <f>SUMIFS('Business - Dump'!$U:$U,'Business - Dump'!$B:$B,'Portfolio Wise '!$B370,'Business - Dump'!$A:$A,'Portfolio Wise '!$A370)/1.18</f>
        <v>433267.5593</v>
      </c>
      <c r="S370" s="41">
        <f t="shared" si="9"/>
        <v>28884.50395</v>
      </c>
      <c r="T370" s="23">
        <f t="shared" si="10"/>
        <v>0.09266685016</v>
      </c>
      <c r="U370" s="38">
        <f t="shared" si="11"/>
        <v>10.79134554</v>
      </c>
      <c r="V370" s="41">
        <f>SUMIFS('Business - Dump'!$G:$G,'Business - Dump'!$B:$B,'Portfolio Wise '!$B370,'Business - Dump'!$A:$A,'Portfolio Wise '!$A370)</f>
        <v>3734</v>
      </c>
      <c r="W370" s="23">
        <f t="shared" si="12"/>
        <v>0.004017139796</v>
      </c>
      <c r="X370" s="23">
        <f t="shared" ref="X370:Y370" si="532">IFERROR(N370/Q370,0)</f>
        <v>0.6</v>
      </c>
      <c r="Y370" s="49">
        <f t="shared" si="532"/>
        <v>0.7129440058</v>
      </c>
      <c r="Z370" s="49">
        <f t="shared" si="14"/>
        <v>0.4</v>
      </c>
      <c r="AA370" s="23">
        <f t="shared" si="15"/>
        <v>0.7129440058</v>
      </c>
      <c r="AB370" s="23">
        <f>IFERROR(AVERAGEIFS('Business - Dump'!$O:$O,'Business - Dump'!$B:$B,'Portfolio Wise '!$B370,'Business - Dump'!$A:$A,'Portfolio Wise '!$A370),0)</f>
        <v>0.881075</v>
      </c>
      <c r="AC370" s="49">
        <f>F370/SUMIFS('Campaign - Dump'!$Q:$Q,'Campaign - Dump'!$A:$A,'Portfolio Wise '!$A370)</f>
        <v>0.06218540446</v>
      </c>
      <c r="AD370" s="49">
        <f t="shared" si="16"/>
        <v>1.5</v>
      </c>
    </row>
    <row r="371" ht="15.75" customHeight="1">
      <c r="A371" s="65">
        <v>45689.0</v>
      </c>
      <c r="B371" s="10" t="s">
        <v>152</v>
      </c>
      <c r="C371" s="13">
        <f>SUMIFS('Campaign - Dump'!$N:$N,'Campaign - Dump'!$J:$J,'Portfolio Wise '!$B371,'Campaign - Dump'!$A:$A,'Portfolio Wise '!$A371)</f>
        <v>0</v>
      </c>
      <c r="D371" s="13">
        <f>SUMIFS('Campaign - Dump'!$O:$O,'Campaign - Dump'!$J:$J,'Portfolio Wise '!$B371,'Campaign - Dump'!$A:$A,'Portfolio Wise '!$A371)</f>
        <v>0</v>
      </c>
      <c r="E371" s="23">
        <f t="shared" si="2"/>
        <v>0</v>
      </c>
      <c r="F371" s="36">
        <f>SUMIFS('Campaign - Dump'!$Q:$Q,'Campaign - Dump'!$J:$J,'Portfolio Wise '!$B371,'Campaign - Dump'!$A:$A,'Portfolio Wise '!$A371)</f>
        <v>0</v>
      </c>
      <c r="G371" s="38">
        <f t="shared" si="3"/>
        <v>0</v>
      </c>
      <c r="H371" s="41">
        <f>SUMIFS('Campaign - Dump'!$T:$T,'Campaign - Dump'!$J:$J,'Portfolio Wise '!$B371,'Campaign - Dump'!$A:$A,'Portfolio Wise '!$A371)</f>
        <v>0</v>
      </c>
      <c r="I371" s="23">
        <f t="shared" si="4"/>
        <v>0</v>
      </c>
      <c r="J371" s="36">
        <f>SUMIFS('Campaign - Dump'!$U:$U,'Campaign - Dump'!$J:$J,'Portfolio Wise '!$B371,'Campaign - Dump'!$A:$A,'Portfolio Wise '!$A371)</f>
        <v>0</v>
      </c>
      <c r="K371" s="23">
        <f t="shared" si="5"/>
        <v>0</v>
      </c>
      <c r="L371" s="38">
        <f t="shared" si="6"/>
        <v>0</v>
      </c>
      <c r="M371" s="41">
        <f t="shared" si="7"/>
        <v>0</v>
      </c>
      <c r="N371" s="13">
        <f t="shared" si="530"/>
        <v>1</v>
      </c>
      <c r="O371" s="36">
        <f t="shared" si="531"/>
        <v>12987.78814</v>
      </c>
      <c r="P371" s="41">
        <f t="shared" si="8"/>
        <v>12987.78814</v>
      </c>
      <c r="Q371" s="13">
        <f>SUMIFS('Business - Dump'!$W:$W,'Business - Dump'!$B:$B,'Portfolio Wise '!$B371,'Business - Dump'!$A:$A,'Portfolio Wise '!$A371)</f>
        <v>1</v>
      </c>
      <c r="R371" s="36">
        <f>SUMIFS('Business - Dump'!$U:$U,'Business - Dump'!$B:$B,'Portfolio Wise '!$B371,'Business - Dump'!$A:$A,'Portfolio Wise '!$A371)/1.18</f>
        <v>12987.78814</v>
      </c>
      <c r="S371" s="41">
        <f t="shared" si="9"/>
        <v>12987.78814</v>
      </c>
      <c r="T371" s="23">
        <f t="shared" si="10"/>
        <v>0</v>
      </c>
      <c r="U371" s="38">
        <f t="shared" si="11"/>
        <v>0</v>
      </c>
      <c r="V371" s="41">
        <f>SUMIFS('Business - Dump'!$G:$G,'Business - Dump'!$B:$B,'Portfolio Wise '!$B371,'Business - Dump'!$A:$A,'Portfolio Wise '!$A371)</f>
        <v>399</v>
      </c>
      <c r="W371" s="48">
        <f t="shared" si="12"/>
        <v>0.002506265664</v>
      </c>
      <c r="X371" s="23">
        <f t="shared" ref="X371:Y371" si="533">IFERROR(N371/Q371,0)</f>
        <v>1</v>
      </c>
      <c r="Y371" s="49">
        <f t="shared" si="533"/>
        <v>1</v>
      </c>
      <c r="Z371" s="49">
        <f t="shared" si="14"/>
        <v>0</v>
      </c>
      <c r="AA371" s="23">
        <f t="shared" si="15"/>
        <v>1</v>
      </c>
      <c r="AB371" s="23">
        <f>IFERROR(AVERAGEIFS('Business - Dump'!$O:$O,'Business - Dump'!$B:$B,'Portfolio Wise '!$B371,'Business - Dump'!$A:$A,'Portfolio Wise '!$A371),0)</f>
        <v>0.9531</v>
      </c>
      <c r="AC371" s="49">
        <f>F371/SUMIFS('Campaign - Dump'!$Q:$Q,'Campaign - Dump'!$A:$A,'Portfolio Wise '!$A371)</f>
        <v>0</v>
      </c>
      <c r="AD371" s="49">
        <f t="shared" si="16"/>
        <v>0</v>
      </c>
    </row>
    <row r="372" ht="15.75" customHeight="1">
      <c r="A372" s="65">
        <v>45689.0</v>
      </c>
      <c r="B372" s="19" t="s">
        <v>158</v>
      </c>
      <c r="C372" s="13">
        <f>SUMIFS('Campaign - Dump'!$N:$N,'Campaign - Dump'!$J:$J,'Portfolio Wise '!$B372,'Campaign - Dump'!$A:$A,'Portfolio Wise '!$A372)</f>
        <v>759068</v>
      </c>
      <c r="D372" s="13">
        <f>SUMIFS('Campaign - Dump'!$O:$O,'Campaign - Dump'!$J:$J,'Portfolio Wise '!$B372,'Campaign - Dump'!$A:$A,'Portfolio Wise '!$A372)</f>
        <v>5735</v>
      </c>
      <c r="E372" s="23">
        <f t="shared" si="2"/>
        <v>0.007555317837</v>
      </c>
      <c r="F372" s="36">
        <f>SUMIFS('Campaign - Dump'!$Q:$Q,'Campaign - Dump'!$J:$J,'Portfolio Wise '!$B372,'Campaign - Dump'!$A:$A,'Portfolio Wise '!$A372)</f>
        <v>70504.29</v>
      </c>
      <c r="G372" s="38">
        <f t="shared" si="3"/>
        <v>12.29368614</v>
      </c>
      <c r="H372" s="41">
        <f>SUMIFS('Campaign - Dump'!$T:$T,'Campaign - Dump'!$J:$J,'Portfolio Wise '!$B372,'Campaign - Dump'!$A:$A,'Portfolio Wise '!$A372)</f>
        <v>84</v>
      </c>
      <c r="I372" s="23">
        <f t="shared" si="4"/>
        <v>0.01464690497</v>
      </c>
      <c r="J372" s="36">
        <f>SUMIFS('Campaign - Dump'!$U:$U,'Campaign - Dump'!$J:$J,'Portfolio Wise '!$B372,'Campaign - Dump'!$A:$A,'Portfolio Wise '!$A372)</f>
        <v>284969.54</v>
      </c>
      <c r="K372" s="23">
        <f t="shared" si="5"/>
        <v>0.2474099162</v>
      </c>
      <c r="L372" s="38">
        <f t="shared" si="6"/>
        <v>4.041875182</v>
      </c>
      <c r="M372" s="41">
        <f t="shared" si="7"/>
        <v>3392.494524</v>
      </c>
      <c r="N372" s="13">
        <f t="shared" si="530"/>
        <v>10</v>
      </c>
      <c r="O372" s="36">
        <f t="shared" si="531"/>
        <v>-2518.692542</v>
      </c>
      <c r="P372" s="41">
        <f t="shared" si="8"/>
        <v>-251.8692542</v>
      </c>
      <c r="Q372" s="13">
        <f>SUMIFS('Business - Dump'!$W:$W,'Business - Dump'!$B:$B,'Portfolio Wise '!$B372,'Business - Dump'!$A:$A,'Portfolio Wise '!$A372)</f>
        <v>94</v>
      </c>
      <c r="R372" s="36">
        <f>SUMIFS('Business - Dump'!$U:$U,'Business - Dump'!$B:$B,'Portfolio Wise '!$B372,'Business - Dump'!$A:$A,'Portfolio Wise '!$A372)/1.18</f>
        <v>282450.8475</v>
      </c>
      <c r="S372" s="41">
        <f t="shared" si="9"/>
        <v>3004.79625</v>
      </c>
      <c r="T372" s="201">
        <f t="shared" si="10"/>
        <v>0.249616139</v>
      </c>
      <c r="U372" s="38">
        <f t="shared" si="11"/>
        <v>4.006151221</v>
      </c>
      <c r="V372" s="41">
        <f>SUMIFS('Business - Dump'!$G:$G,'Business - Dump'!$B:$B,'Portfolio Wise '!$B372,'Business - Dump'!$A:$A,'Portfolio Wise '!$A372)</f>
        <v>7395</v>
      </c>
      <c r="W372" s="48">
        <f t="shared" si="12"/>
        <v>0.01271129141</v>
      </c>
      <c r="X372" s="23">
        <f t="shared" ref="X372:Y372" si="534">IFERROR(N372/Q372,0)</f>
        <v>0.1063829787</v>
      </c>
      <c r="Y372" s="49">
        <f t="shared" si="534"/>
        <v>-0.008917277342</v>
      </c>
      <c r="Z372" s="49">
        <f t="shared" si="14"/>
        <v>0.8936170213</v>
      </c>
      <c r="AA372" s="23">
        <f t="shared" si="15"/>
        <v>-0.008917277342</v>
      </c>
      <c r="AB372" s="23">
        <f>IFERROR(AVERAGEIFS('Business - Dump'!$O:$O,'Business - Dump'!$B:$B,'Portfolio Wise '!$B372,'Business - Dump'!$A:$A,'Portfolio Wise '!$A372),0)</f>
        <v>0.9733</v>
      </c>
      <c r="AC372" s="49">
        <f>F372/SUMIFS('Campaign - Dump'!$Q:$Q,'Campaign - Dump'!$A:$A,'Portfolio Wise '!$A372)</f>
        <v>0.1092001998</v>
      </c>
      <c r="AD372" s="49">
        <f t="shared" si="16"/>
        <v>0.119047619</v>
      </c>
    </row>
    <row r="373" ht="15.75" customHeight="1">
      <c r="A373" s="65">
        <v>45689.0</v>
      </c>
      <c r="B373" s="33" t="s">
        <v>170</v>
      </c>
      <c r="C373" s="13">
        <f>SUMIFS('Campaign - Dump'!$N:$N,'Campaign - Dump'!$J:$J,'Portfolio Wise '!$B373,'Campaign - Dump'!$A:$A,'Portfolio Wise '!$A373)</f>
        <v>0</v>
      </c>
      <c r="D373" s="13">
        <f>SUMIFS('Campaign - Dump'!$O:$O,'Campaign - Dump'!$J:$J,'Portfolio Wise '!$B373,'Campaign - Dump'!$A:$A,'Portfolio Wise '!$A373)</f>
        <v>0</v>
      </c>
      <c r="E373" s="23">
        <f t="shared" si="2"/>
        <v>0</v>
      </c>
      <c r="F373" s="36">
        <f>SUMIFS('Campaign - Dump'!$Q:$Q,'Campaign - Dump'!$J:$J,'Portfolio Wise '!$B373,'Campaign - Dump'!$A:$A,'Portfolio Wise '!$A373)</f>
        <v>0</v>
      </c>
      <c r="G373" s="38">
        <f t="shared" si="3"/>
        <v>0</v>
      </c>
      <c r="H373" s="41">
        <f>SUMIFS('Campaign - Dump'!$T:$T,'Campaign - Dump'!$J:$J,'Portfolio Wise '!$B373,'Campaign - Dump'!$A:$A,'Portfolio Wise '!$A373)</f>
        <v>0</v>
      </c>
      <c r="I373" s="23">
        <f t="shared" si="4"/>
        <v>0</v>
      </c>
      <c r="J373" s="36">
        <f>SUMIFS('Campaign - Dump'!$U:$U,'Campaign - Dump'!$J:$J,'Portfolio Wise '!$B373,'Campaign - Dump'!$A:$A,'Portfolio Wise '!$A373)</f>
        <v>0</v>
      </c>
      <c r="K373" s="23">
        <f t="shared" si="5"/>
        <v>0</v>
      </c>
      <c r="L373" s="38">
        <f t="shared" si="6"/>
        <v>0</v>
      </c>
      <c r="M373" s="41">
        <f t="shared" si="7"/>
        <v>0</v>
      </c>
      <c r="N373" s="13">
        <f t="shared" si="530"/>
        <v>2</v>
      </c>
      <c r="O373" s="36">
        <f t="shared" si="531"/>
        <v>11847.45763</v>
      </c>
      <c r="P373" s="41">
        <f t="shared" si="8"/>
        <v>5923.728814</v>
      </c>
      <c r="Q373" s="13">
        <f>SUMIFS('Business - Dump'!$W:$W,'Business - Dump'!$B:$B,'Portfolio Wise '!$B373,'Business - Dump'!$A:$A,'Portfolio Wise '!$A373)</f>
        <v>2</v>
      </c>
      <c r="R373" s="36">
        <f>SUMIFS('Business - Dump'!$U:$U,'Business - Dump'!$B:$B,'Portfolio Wise '!$B373,'Business - Dump'!$A:$A,'Portfolio Wise '!$A373)/1.18</f>
        <v>11847.45763</v>
      </c>
      <c r="S373" s="41">
        <f t="shared" si="9"/>
        <v>5923.728814</v>
      </c>
      <c r="T373" s="23">
        <f t="shared" si="10"/>
        <v>0</v>
      </c>
      <c r="U373" s="38">
        <f t="shared" si="11"/>
        <v>0</v>
      </c>
      <c r="V373" s="41">
        <f>SUMIFS('Business - Dump'!$G:$G,'Business - Dump'!$B:$B,'Portfolio Wise '!$B373,'Business - Dump'!$A:$A,'Portfolio Wise '!$A373)</f>
        <v>7</v>
      </c>
      <c r="W373" s="48">
        <f t="shared" si="12"/>
        <v>0.2857142857</v>
      </c>
      <c r="X373" s="23">
        <f t="shared" ref="X373:Y373" si="535">IFERROR(N373/Q373,0)</f>
        <v>1</v>
      </c>
      <c r="Y373" s="49">
        <f t="shared" si="535"/>
        <v>1</v>
      </c>
      <c r="Z373" s="49">
        <f t="shared" si="14"/>
        <v>0</v>
      </c>
      <c r="AA373" s="23">
        <f t="shared" si="15"/>
        <v>1</v>
      </c>
      <c r="AB373" s="23">
        <f>IFERROR(AVERAGEIFS('Business - Dump'!$O:$O,'Business - Dump'!$B:$B,'Portfolio Wise '!$B373,'Business - Dump'!$A:$A,'Portfolio Wise '!$A373),0)</f>
        <v>1</v>
      </c>
      <c r="AC373" s="49">
        <f>F373/SUMIFS('Campaign - Dump'!$Q:$Q,'Campaign - Dump'!$A:$A,'Portfolio Wise '!$A373)</f>
        <v>0</v>
      </c>
      <c r="AD373" s="49">
        <f t="shared" si="16"/>
        <v>0</v>
      </c>
    </row>
    <row r="374" ht="15.75" customHeight="1">
      <c r="A374" s="65">
        <v>45689.0</v>
      </c>
      <c r="B374" s="51" t="s">
        <v>176</v>
      </c>
      <c r="C374" s="13">
        <f>SUMIFS('Campaign - Dump'!$N:$N,'Campaign - Dump'!$J:$J,'Portfolio Wise '!$B374,'Campaign - Dump'!$A:$A,'Portfolio Wise '!$A374)</f>
        <v>155429</v>
      </c>
      <c r="D374" s="13">
        <f>SUMIFS('Campaign - Dump'!$O:$O,'Campaign - Dump'!$J:$J,'Portfolio Wise '!$B374,'Campaign - Dump'!$A:$A,'Portfolio Wise '!$A374)</f>
        <v>391</v>
      </c>
      <c r="E374" s="23">
        <f t="shared" si="2"/>
        <v>0.002515618064</v>
      </c>
      <c r="F374" s="36">
        <f>SUMIFS('Campaign - Dump'!$Q:$Q,'Campaign - Dump'!$J:$J,'Portfolio Wise '!$B374,'Campaign - Dump'!$A:$A,'Portfolio Wise '!$A374)</f>
        <v>8448.39</v>
      </c>
      <c r="G374" s="38">
        <f t="shared" si="3"/>
        <v>21.60713555</v>
      </c>
      <c r="H374" s="41">
        <f>SUMIFS('Campaign - Dump'!$T:$T,'Campaign - Dump'!$J:$J,'Portfolio Wise '!$B374,'Campaign - Dump'!$A:$A,'Portfolio Wise '!$A374)</f>
        <v>2</v>
      </c>
      <c r="I374" s="23">
        <f t="shared" si="4"/>
        <v>0.005115089514</v>
      </c>
      <c r="J374" s="36">
        <f>SUMIFS('Campaign - Dump'!$U:$U,'Campaign - Dump'!$J:$J,'Portfolio Wise '!$B374,'Campaign - Dump'!$A:$A,'Portfolio Wise '!$A374)</f>
        <v>40177.96</v>
      </c>
      <c r="K374" s="23">
        <f t="shared" si="5"/>
        <v>0.2102742399</v>
      </c>
      <c r="L374" s="38">
        <f t="shared" si="6"/>
        <v>4.75569428</v>
      </c>
      <c r="M374" s="41">
        <f t="shared" si="7"/>
        <v>20088.98</v>
      </c>
      <c r="N374" s="13">
        <f t="shared" si="530"/>
        <v>26</v>
      </c>
      <c r="O374" s="36">
        <f t="shared" si="531"/>
        <v>472739.6671</v>
      </c>
      <c r="P374" s="41">
        <f t="shared" si="8"/>
        <v>18182.29489</v>
      </c>
      <c r="Q374" s="13">
        <f>SUMIFS('Business - Dump'!$W:$W,'Business - Dump'!$B:$B,'Portfolio Wise '!$B374,'Business - Dump'!$A:$A,'Portfolio Wise '!$A374)</f>
        <v>28</v>
      </c>
      <c r="R374" s="36">
        <f>SUMIFS('Business - Dump'!$U:$U,'Business - Dump'!$B:$B,'Portfolio Wise '!$B374,'Business - Dump'!$A:$A,'Portfolio Wise '!$A374)/1.18</f>
        <v>512917.6271</v>
      </c>
      <c r="S374" s="41">
        <f t="shared" si="9"/>
        <v>18318.48668</v>
      </c>
      <c r="T374" s="23">
        <f t="shared" si="10"/>
        <v>0.01647124129</v>
      </c>
      <c r="U374" s="38">
        <f t="shared" si="11"/>
        <v>60.71187849</v>
      </c>
      <c r="V374" s="41">
        <f>SUMIFS('Business - Dump'!$G:$G,'Business - Dump'!$B:$B,'Portfolio Wise '!$B374,'Business - Dump'!$A:$A,'Portfolio Wise '!$A374)</f>
        <v>4100</v>
      </c>
      <c r="W374" s="48">
        <f t="shared" si="12"/>
        <v>0.006829268293</v>
      </c>
      <c r="X374" s="23">
        <f t="shared" ref="X374:Y374" si="536">IFERROR(N374/Q374,0)</f>
        <v>0.9285714286</v>
      </c>
      <c r="Y374" s="49">
        <f t="shared" si="536"/>
        <v>0.921667812</v>
      </c>
      <c r="Z374" s="49">
        <f t="shared" si="14"/>
        <v>0.07142857143</v>
      </c>
      <c r="AA374" s="23">
        <f t="shared" si="15"/>
        <v>0.921667812</v>
      </c>
      <c r="AB374" s="23">
        <f>IFERROR(AVERAGEIFS('Business - Dump'!$O:$O,'Business - Dump'!$B:$B,'Portfolio Wise '!$B374,'Business - Dump'!$A:$A,'Portfolio Wise '!$A374),0)</f>
        <v>0.8824888889</v>
      </c>
      <c r="AC374" s="49">
        <f>F374/SUMIFS('Campaign - Dump'!$Q:$Q,'Campaign - Dump'!$A:$A,'Portfolio Wise '!$A374)</f>
        <v>0.01308524454</v>
      </c>
      <c r="AD374" s="49">
        <f t="shared" si="16"/>
        <v>13</v>
      </c>
    </row>
    <row r="375" ht="15.75" customHeight="1">
      <c r="A375" s="65">
        <v>45689.0</v>
      </c>
      <c r="B375" s="100" t="s">
        <v>182</v>
      </c>
      <c r="C375" s="13">
        <f>SUMIFS('Campaign - Dump'!$N:$N,'Campaign - Dump'!$J:$J,'Portfolio Wise '!$B375,'Campaign - Dump'!$A:$A,'Portfolio Wise '!$A375)</f>
        <v>194945</v>
      </c>
      <c r="D375" s="13">
        <f>SUMIFS('Campaign - Dump'!$O:$O,'Campaign - Dump'!$J:$J,'Portfolio Wise '!$B375,'Campaign - Dump'!$A:$A,'Portfolio Wise '!$A375)</f>
        <v>819</v>
      </c>
      <c r="E375" s="23">
        <f t="shared" si="2"/>
        <v>0.00420118495</v>
      </c>
      <c r="F375" s="36">
        <f>SUMIFS('Campaign - Dump'!$Q:$Q,'Campaign - Dump'!$J:$J,'Portfolio Wise '!$B375,'Campaign - Dump'!$A:$A,'Portfolio Wise '!$A375)</f>
        <v>32094.47</v>
      </c>
      <c r="G375" s="38">
        <f t="shared" si="3"/>
        <v>39.18738706</v>
      </c>
      <c r="H375" s="41">
        <f>SUMIFS('Campaign - Dump'!$T:$T,'Campaign - Dump'!$J:$J,'Portfolio Wise '!$B375,'Campaign - Dump'!$A:$A,'Portfolio Wise '!$A375)</f>
        <v>3</v>
      </c>
      <c r="I375" s="23">
        <f t="shared" si="4"/>
        <v>0.003663003663</v>
      </c>
      <c r="J375" s="36">
        <f>SUMIFS('Campaign - Dump'!$U:$U,'Campaign - Dump'!$J:$J,'Portfolio Wise '!$B375,'Campaign - Dump'!$A:$A,'Portfolio Wise '!$A375)</f>
        <v>56322.03</v>
      </c>
      <c r="K375" s="23">
        <f t="shared" si="5"/>
        <v>0.5698386582</v>
      </c>
      <c r="L375" s="38">
        <f t="shared" si="6"/>
        <v>1.754882695</v>
      </c>
      <c r="M375" s="41">
        <f t="shared" si="7"/>
        <v>18774.01</v>
      </c>
      <c r="N375" s="127">
        <f t="shared" si="530"/>
        <v>3</v>
      </c>
      <c r="O375" s="36">
        <f t="shared" si="531"/>
        <v>115115.3344</v>
      </c>
      <c r="P375" s="41">
        <f t="shared" si="8"/>
        <v>38371.77814</v>
      </c>
      <c r="Q375" s="206">
        <f>SUMIFS('Business - Dump'!$W:$W,'Business - Dump'!$B:$B,'Portfolio Wise '!$B375,'Business - Dump'!$A:$A,'Portfolio Wise '!$A375)</f>
        <v>6</v>
      </c>
      <c r="R375" s="36">
        <f>SUMIFS('Business - Dump'!$U:$U,'Business - Dump'!$B:$B,'Portfolio Wise '!$B375,'Business - Dump'!$A:$A,'Portfolio Wise '!$A375)/1.18</f>
        <v>171437.3644</v>
      </c>
      <c r="S375" s="41">
        <f t="shared" si="9"/>
        <v>28572.89407</v>
      </c>
      <c r="T375" s="23">
        <f t="shared" si="10"/>
        <v>0.1872081393</v>
      </c>
      <c r="U375" s="38">
        <f t="shared" si="11"/>
        <v>5.341648091</v>
      </c>
      <c r="V375" s="41">
        <f>SUMIFS('Business - Dump'!$G:$G,'Business - Dump'!$B:$B,'Portfolio Wise '!$B375,'Business - Dump'!$A:$A,'Portfolio Wise '!$A375)</f>
        <v>2187</v>
      </c>
      <c r="W375" s="23">
        <f t="shared" si="12"/>
        <v>0.002743484225</v>
      </c>
      <c r="X375" s="23">
        <f t="shared" ref="X375:Y375" si="537">IFERROR(N375/Q375,0)</f>
        <v>0.5</v>
      </c>
      <c r="Y375" s="49">
        <f t="shared" si="537"/>
        <v>0.671471676</v>
      </c>
      <c r="Z375" s="49">
        <f t="shared" si="14"/>
        <v>0.5</v>
      </c>
      <c r="AA375" s="23">
        <f t="shared" si="15"/>
        <v>0.671471676</v>
      </c>
      <c r="AB375" s="23">
        <f>IFERROR(AVERAGEIFS('Business - Dump'!$O:$O,'Business - Dump'!$B:$B,'Portfolio Wise '!$B375,'Business - Dump'!$A:$A,'Portfolio Wise '!$A375),0)</f>
        <v>0.88656</v>
      </c>
      <c r="AC375" s="49">
        <f>F375/SUMIFS('Campaign - Dump'!$Q:$Q,'Campaign - Dump'!$A:$A,'Portfolio Wise '!$A375)</f>
        <v>0.04970935154</v>
      </c>
      <c r="AD375" s="49">
        <f t="shared" si="16"/>
        <v>1</v>
      </c>
    </row>
    <row r="376" ht="15.75" customHeight="1">
      <c r="A376" s="65">
        <v>45689.0</v>
      </c>
      <c r="B376" s="19" t="s">
        <v>196</v>
      </c>
      <c r="C376" s="13">
        <f>SUMIFS('Campaign - Dump'!$N:$N,'Campaign - Dump'!$J:$J,'Portfolio Wise '!$B376,'Campaign - Dump'!$A:$A,'Portfolio Wise '!$A376)</f>
        <v>246789</v>
      </c>
      <c r="D376" s="13">
        <f>SUMIFS('Campaign - Dump'!$O:$O,'Campaign - Dump'!$J:$J,'Portfolio Wise '!$B376,'Campaign - Dump'!$A:$A,'Portfolio Wise '!$A376)</f>
        <v>1471</v>
      </c>
      <c r="E376" s="23">
        <f t="shared" si="2"/>
        <v>0.005960557399</v>
      </c>
      <c r="F376" s="36">
        <f>SUMIFS('Campaign - Dump'!$Q:$Q,'Campaign - Dump'!$J:$J,'Portfolio Wise '!$B376,'Campaign - Dump'!$A:$A,'Portfolio Wise '!$A376)</f>
        <v>39242.58</v>
      </c>
      <c r="G376" s="38">
        <f t="shared" si="3"/>
        <v>26.6774847</v>
      </c>
      <c r="H376" s="199">
        <f>SUMIFS('Campaign - Dump'!$T:$T,'Campaign - Dump'!$J:$J,'Portfolio Wise '!$B376,'Campaign - Dump'!$A:$A,'Portfolio Wise '!$A376)</f>
        <v>7</v>
      </c>
      <c r="I376" s="23">
        <f t="shared" si="4"/>
        <v>0.004758667573</v>
      </c>
      <c r="J376" s="36">
        <f>SUMIFS('Campaign - Dump'!$U:$U,'Campaign - Dump'!$J:$J,'Portfolio Wise '!$B376,'Campaign - Dump'!$A:$A,'Portfolio Wise '!$A376)</f>
        <v>95659.32</v>
      </c>
      <c r="K376" s="23">
        <f t="shared" si="5"/>
        <v>0.4102326883</v>
      </c>
      <c r="L376" s="38">
        <f t="shared" si="6"/>
        <v>2.43764095</v>
      </c>
      <c r="M376" s="41">
        <f t="shared" si="7"/>
        <v>13665.61714</v>
      </c>
      <c r="N376" s="13">
        <v>0.0</v>
      </c>
      <c r="O376" s="36">
        <v>0.0</v>
      </c>
      <c r="P376" s="41">
        <f t="shared" si="8"/>
        <v>0</v>
      </c>
      <c r="Q376" s="13">
        <f>SUMIFS('Business - Dump'!$W:$W,'Business - Dump'!$B:$B,'Portfolio Wise '!$B376,'Business - Dump'!$A:$A,'Portfolio Wise '!$A376)</f>
        <v>0</v>
      </c>
      <c r="R376" s="36">
        <f>SUMIFS('Business - Dump'!$U:$U,'Business - Dump'!$B:$B,'Portfolio Wise '!$B376,'Business - Dump'!$A:$A,'Portfolio Wise '!$A376)/1.18</f>
        <v>0</v>
      </c>
      <c r="S376" s="41">
        <f t="shared" si="9"/>
        <v>0</v>
      </c>
      <c r="T376" s="23">
        <f t="shared" si="10"/>
        <v>0</v>
      </c>
      <c r="U376" s="38">
        <f t="shared" si="11"/>
        <v>0</v>
      </c>
      <c r="V376" s="41">
        <f>SUMIFS('Business - Dump'!$G:$G,'Business - Dump'!$B:$B,'Portfolio Wise '!$B376,'Business - Dump'!$A:$A,'Portfolio Wise '!$A376)</f>
        <v>0</v>
      </c>
      <c r="W376" s="48">
        <f t="shared" si="12"/>
        <v>0</v>
      </c>
      <c r="X376" s="23">
        <f t="shared" ref="X376:Y376" si="538">IFERROR(N376/Q376,0)</f>
        <v>0</v>
      </c>
      <c r="Y376" s="49">
        <f t="shared" si="538"/>
        <v>0</v>
      </c>
      <c r="Z376" s="49">
        <f t="shared" si="14"/>
        <v>0</v>
      </c>
      <c r="AA376" s="23">
        <f t="shared" si="15"/>
        <v>0</v>
      </c>
      <c r="AB376" s="23">
        <f>IFERROR(AVERAGEIFS('Business - Dump'!$O:$O,'Business - Dump'!$B:$B,'Portfolio Wise '!$B376,'Business - Dump'!$A:$A,'Portfolio Wise '!$A376),0)</f>
        <v>0</v>
      </c>
      <c r="AC376" s="49">
        <f>F376/SUMIFS('Campaign - Dump'!$Q:$Q,'Campaign - Dump'!$A:$A,'Portfolio Wise '!$A376)</f>
        <v>0.06078066422</v>
      </c>
      <c r="AD376" s="49">
        <f t="shared" si="16"/>
        <v>0</v>
      </c>
    </row>
    <row r="377" ht="15.75" customHeight="1">
      <c r="A377" s="65">
        <v>45689.0</v>
      </c>
      <c r="B377" s="19" t="s">
        <v>205</v>
      </c>
      <c r="C377" s="13">
        <f>SUMIFS('Campaign - Dump'!$N:$N,'Campaign - Dump'!$J:$J,'Portfolio Wise '!$B377,'Campaign - Dump'!$A:$A,'Portfolio Wise '!$A377)</f>
        <v>47470</v>
      </c>
      <c r="D377" s="13">
        <f>SUMIFS('Campaign - Dump'!$O:$O,'Campaign - Dump'!$J:$J,'Portfolio Wise '!$B377,'Campaign - Dump'!$A:$A,'Portfolio Wise '!$A377)</f>
        <v>65</v>
      </c>
      <c r="E377" s="23">
        <f t="shared" si="2"/>
        <v>0.001369285865</v>
      </c>
      <c r="F377" s="36">
        <f>SUMIFS('Campaign - Dump'!$Q:$Q,'Campaign - Dump'!$J:$J,'Portfolio Wise '!$B377,'Campaign - Dump'!$A:$A,'Portfolio Wise '!$A377)</f>
        <v>2632.17</v>
      </c>
      <c r="G377" s="38">
        <f t="shared" si="3"/>
        <v>40.49492308</v>
      </c>
      <c r="H377" s="41">
        <f>SUMIFS('Campaign - Dump'!$T:$T,'Campaign - Dump'!$J:$J,'Portfolio Wise '!$B377,'Campaign - Dump'!$A:$A,'Portfolio Wise '!$A377)</f>
        <v>1</v>
      </c>
      <c r="I377" s="23">
        <f t="shared" si="4"/>
        <v>0.01538461538</v>
      </c>
      <c r="J377" s="36">
        <f>SUMIFS('Campaign - Dump'!$U:$U,'Campaign - Dump'!$J:$J,'Portfolio Wise '!$B377,'Campaign - Dump'!$A:$A,'Portfolio Wise '!$A377)</f>
        <v>18228.81</v>
      </c>
      <c r="K377" s="23">
        <f t="shared" si="5"/>
        <v>0.1443961509</v>
      </c>
      <c r="L377" s="38">
        <f t="shared" si="6"/>
        <v>6.925392357</v>
      </c>
      <c r="M377" s="41">
        <f t="shared" si="7"/>
        <v>18228.81</v>
      </c>
      <c r="N377" s="13">
        <f t="shared" ref="N377:N388" si="540">IFERROR(Q377-H377,0)</f>
        <v>9</v>
      </c>
      <c r="O377" s="36">
        <f t="shared" ref="O377:O388" si="541">IFERROR(R377-J377,0)</f>
        <v>317692.4612</v>
      </c>
      <c r="P377" s="41">
        <f t="shared" si="8"/>
        <v>35299.16235</v>
      </c>
      <c r="Q377" s="127">
        <f>SUMIFS('Business - Dump'!$W:$W,'Business - Dump'!$B:$B,'Portfolio Wise '!$B377,'Business - Dump'!$A:$A,'Portfolio Wise '!$A377)</f>
        <v>10</v>
      </c>
      <c r="R377" s="36">
        <f>SUMIFS('Business - Dump'!$U:$U,'Business - Dump'!$B:$B,'Portfolio Wise '!$B377,'Business - Dump'!$A:$A,'Portfolio Wise '!$A377)/1.18</f>
        <v>335921.2712</v>
      </c>
      <c r="S377" s="41">
        <f t="shared" si="9"/>
        <v>33592.12712</v>
      </c>
      <c r="T377" s="23">
        <f t="shared" si="10"/>
        <v>0.007835675278</v>
      </c>
      <c r="U377" s="38">
        <f t="shared" si="11"/>
        <v>127.6214193</v>
      </c>
      <c r="V377" s="41">
        <f>SUMIFS('Business - Dump'!$G:$G,'Business - Dump'!$B:$B,'Portfolio Wise '!$B377,'Business - Dump'!$A:$A,'Portfolio Wise '!$A377)</f>
        <v>1874</v>
      </c>
      <c r="W377" s="48">
        <f t="shared" si="12"/>
        <v>0.005336179296</v>
      </c>
      <c r="X377" s="23">
        <f t="shared" ref="X377:Y377" si="539">IFERROR(N377/Q377,0)</f>
        <v>0.9</v>
      </c>
      <c r="Y377" s="49">
        <f t="shared" si="539"/>
        <v>0.9457348743</v>
      </c>
      <c r="Z377" s="49">
        <f t="shared" si="14"/>
        <v>0.1</v>
      </c>
      <c r="AA377" s="23">
        <f t="shared" si="15"/>
        <v>0.9457348743</v>
      </c>
      <c r="AB377" s="23">
        <f>IFERROR(AVERAGEIFS('Business - Dump'!$O:$O,'Business - Dump'!$B:$B,'Portfolio Wise '!$B377,'Business - Dump'!$A:$A,'Portfolio Wise '!$A377),0)</f>
        <v>0.8768333333</v>
      </c>
      <c r="AC377" s="49">
        <f>F377/SUMIFS('Campaign - Dump'!$Q:$Q,'Campaign - Dump'!$A:$A,'Portfolio Wise '!$A377)</f>
        <v>0.0040768227</v>
      </c>
      <c r="AD377" s="49">
        <f t="shared" si="16"/>
        <v>9</v>
      </c>
    </row>
    <row r="378" ht="15.75" customHeight="1">
      <c r="A378" s="65">
        <v>45689.0</v>
      </c>
      <c r="B378" s="10" t="s">
        <v>211</v>
      </c>
      <c r="C378" s="13">
        <f>SUMIFS('Campaign - Dump'!$N:$N,'Campaign - Dump'!$J:$J,'Portfolio Wise '!$B378,'Campaign - Dump'!$A:$A,'Portfolio Wise '!$A378)</f>
        <v>1216780</v>
      </c>
      <c r="D378" s="13">
        <f>SUMIFS('Campaign - Dump'!$O:$O,'Campaign - Dump'!$J:$J,'Portfolio Wise '!$B378,'Campaign - Dump'!$A:$A,'Portfolio Wise '!$A378)</f>
        <v>8592</v>
      </c>
      <c r="E378" s="23">
        <f t="shared" si="2"/>
        <v>0.007061260047</v>
      </c>
      <c r="F378" s="36">
        <f>SUMIFS('Campaign - Dump'!$Q:$Q,'Campaign - Dump'!$J:$J,'Portfolio Wise '!$B378,'Campaign - Dump'!$A:$A,'Portfolio Wise '!$A378)</f>
        <v>51302.84</v>
      </c>
      <c r="G378" s="38">
        <f t="shared" si="3"/>
        <v>5.971000931</v>
      </c>
      <c r="H378" s="41">
        <f>SUMIFS('Campaign - Dump'!$T:$T,'Campaign - Dump'!$J:$J,'Portfolio Wise '!$B378,'Campaign - Dump'!$A:$A,'Portfolio Wise '!$A378)</f>
        <v>145</v>
      </c>
      <c r="I378" s="23">
        <f t="shared" si="4"/>
        <v>0.01687616387</v>
      </c>
      <c r="J378" s="36">
        <f>SUMIFS('Campaign - Dump'!$U:$U,'Campaign - Dump'!$J:$J,'Portfolio Wise '!$B378,'Campaign - Dump'!$A:$A,'Portfolio Wise '!$A378)</f>
        <v>325078.81</v>
      </c>
      <c r="K378" s="23">
        <f t="shared" si="5"/>
        <v>0.157816623</v>
      </c>
      <c r="L378" s="38">
        <f t="shared" si="6"/>
        <v>6.336468118</v>
      </c>
      <c r="M378" s="41">
        <f t="shared" si="7"/>
        <v>2241.922828</v>
      </c>
      <c r="N378" s="13">
        <f t="shared" si="540"/>
        <v>59</v>
      </c>
      <c r="O378" s="36">
        <f t="shared" si="541"/>
        <v>33996.61373</v>
      </c>
      <c r="P378" s="41">
        <f t="shared" si="8"/>
        <v>576.213792</v>
      </c>
      <c r="Q378" s="13">
        <f>SUMIFS('Business - Dump'!$W:$W,'Business - Dump'!$B:$B,'Portfolio Wise '!$B378,'Business - Dump'!$A:$A,'Portfolio Wise '!$A378)</f>
        <v>204</v>
      </c>
      <c r="R378" s="36">
        <f>SUMIFS('Business - Dump'!$U:$U,'Business - Dump'!$B:$B,'Portfolio Wise '!$B378,'Business - Dump'!$A:$A,'Portfolio Wise '!$A378)/1.18</f>
        <v>359075.4237</v>
      </c>
      <c r="S378" s="41">
        <f t="shared" si="9"/>
        <v>1760.173646</v>
      </c>
      <c r="T378" s="23">
        <f t="shared" si="10"/>
        <v>0.1428748297</v>
      </c>
      <c r="U378" s="38">
        <f t="shared" si="11"/>
        <v>6.999133454</v>
      </c>
      <c r="V378" s="41">
        <f>SUMIFS('Business - Dump'!$G:$G,'Business - Dump'!$B:$B,'Portfolio Wise '!$B378,'Business - Dump'!$A:$A,'Portfolio Wise '!$A378)</f>
        <v>15825</v>
      </c>
      <c r="W378" s="48">
        <f t="shared" si="12"/>
        <v>0.01289099526</v>
      </c>
      <c r="X378" s="23">
        <f t="shared" ref="X378:Y378" si="542">IFERROR(N378/Q378,0)</f>
        <v>0.2892156863</v>
      </c>
      <c r="Y378" s="49">
        <f t="shared" si="542"/>
        <v>0.09467819706</v>
      </c>
      <c r="Z378" s="49">
        <f t="shared" si="14"/>
        <v>0.7107843137</v>
      </c>
      <c r="AA378" s="23">
        <f t="shared" si="15"/>
        <v>0.09467819706</v>
      </c>
      <c r="AB378" s="23">
        <f>IFERROR(AVERAGEIFS('Business - Dump'!$O:$O,'Business - Dump'!$B:$B,'Portfolio Wise '!$B378,'Business - Dump'!$A:$A,'Portfolio Wise '!$A378),0)</f>
        <v>0.9598</v>
      </c>
      <c r="AC378" s="49">
        <f>F378/SUMIFS('Campaign - Dump'!$Q:$Q,'Campaign - Dump'!$A:$A,'Portfolio Wise '!$A378)</f>
        <v>0.07946013467</v>
      </c>
      <c r="AD378" s="49">
        <f t="shared" si="16"/>
        <v>0.4068965517</v>
      </c>
    </row>
    <row r="379" ht="15.75" customHeight="1">
      <c r="A379" s="65">
        <v>45689.0</v>
      </c>
      <c r="B379" s="19" t="s">
        <v>217</v>
      </c>
      <c r="C379" s="13">
        <f>SUMIFS('Campaign - Dump'!$N:$N,'Campaign - Dump'!$J:$J,'Portfolio Wise '!$B379,'Campaign - Dump'!$A:$A,'Portfolio Wise '!$A379)</f>
        <v>70016</v>
      </c>
      <c r="D379" s="13">
        <f>SUMIFS('Campaign - Dump'!$O:$O,'Campaign - Dump'!$J:$J,'Portfolio Wise '!$B379,'Campaign - Dump'!$A:$A,'Portfolio Wise '!$A379)</f>
        <v>500</v>
      </c>
      <c r="E379" s="23">
        <f t="shared" si="2"/>
        <v>0.007141224863</v>
      </c>
      <c r="F379" s="36">
        <f>SUMIFS('Campaign - Dump'!$Q:$Q,'Campaign - Dump'!$J:$J,'Portfolio Wise '!$B379,'Campaign - Dump'!$A:$A,'Portfolio Wise '!$A379)</f>
        <v>3010.59</v>
      </c>
      <c r="G379" s="38">
        <f t="shared" si="3"/>
        <v>6.02118</v>
      </c>
      <c r="H379" s="41">
        <f>SUMIFS('Campaign - Dump'!$T:$T,'Campaign - Dump'!$J:$J,'Portfolio Wise '!$B379,'Campaign - Dump'!$A:$A,'Portfolio Wise '!$A379)</f>
        <v>6</v>
      </c>
      <c r="I379" s="23">
        <f t="shared" si="4"/>
        <v>0.012</v>
      </c>
      <c r="J379" s="36">
        <f>SUMIFS('Campaign - Dump'!$U:$U,'Campaign - Dump'!$J:$J,'Portfolio Wise '!$B379,'Campaign - Dump'!$A:$A,'Portfolio Wise '!$A379)</f>
        <v>7792.4</v>
      </c>
      <c r="K379" s="23">
        <f t="shared" si="5"/>
        <v>0.38634952</v>
      </c>
      <c r="L379" s="38">
        <f t="shared" si="6"/>
        <v>2.588329862</v>
      </c>
      <c r="M379" s="41">
        <f t="shared" si="7"/>
        <v>1298.733333</v>
      </c>
      <c r="N379" s="13">
        <f t="shared" si="540"/>
        <v>14</v>
      </c>
      <c r="O379" s="36">
        <f t="shared" si="541"/>
        <v>12528.78644</v>
      </c>
      <c r="P379" s="41">
        <f t="shared" si="8"/>
        <v>894.9133172</v>
      </c>
      <c r="Q379" s="13">
        <f>SUMIFS('Business - Dump'!$W:$W,'Business - Dump'!$B:$B,'Portfolio Wise '!$B379,'Business - Dump'!$A:$A,'Portfolio Wise '!$A379)</f>
        <v>20</v>
      </c>
      <c r="R379" s="36">
        <f>SUMIFS('Business - Dump'!$U:$U,'Business - Dump'!$B:$B,'Portfolio Wise '!$B379,'Business - Dump'!$A:$A,'Portfolio Wise '!$A379)/1.18</f>
        <v>20321.18644</v>
      </c>
      <c r="S379" s="41">
        <f t="shared" si="9"/>
        <v>1016.059322</v>
      </c>
      <c r="T379" s="201">
        <f t="shared" si="10"/>
        <v>0.1481503065</v>
      </c>
      <c r="U379" s="38">
        <f t="shared" si="11"/>
        <v>6.749901661</v>
      </c>
      <c r="V379" s="41">
        <f>SUMIFS('Business - Dump'!$G:$G,'Business - Dump'!$B:$B,'Portfolio Wise '!$B379,'Business - Dump'!$A:$A,'Portfolio Wise '!$A379)</f>
        <v>1525</v>
      </c>
      <c r="W379" s="48">
        <f t="shared" si="12"/>
        <v>0.0131147541</v>
      </c>
      <c r="X379" s="23">
        <f t="shared" ref="X379:Y379" si="543">IFERROR(N379/Q379,0)</f>
        <v>0.7</v>
      </c>
      <c r="Y379" s="49">
        <f t="shared" si="543"/>
        <v>0.6165381375</v>
      </c>
      <c r="Z379" s="49">
        <f t="shared" si="14"/>
        <v>0.3</v>
      </c>
      <c r="AA379" s="23">
        <f t="shared" si="15"/>
        <v>0.6165381375</v>
      </c>
      <c r="AB379" s="23">
        <f>IFERROR(AVERAGEIFS('Business - Dump'!$O:$O,'Business - Dump'!$B:$B,'Portfolio Wise '!$B379,'Business - Dump'!$A:$A,'Portfolio Wise '!$A379),0)</f>
        <v>0.9994</v>
      </c>
      <c r="AC379" s="49">
        <f>F379/SUMIFS('Campaign - Dump'!$Q:$Q,'Campaign - Dump'!$A:$A,'Portfolio Wise '!$A379)</f>
        <v>0.004662936532</v>
      </c>
      <c r="AD379" s="49">
        <f t="shared" si="16"/>
        <v>2.333333333</v>
      </c>
    </row>
    <row r="380" ht="15.75" customHeight="1">
      <c r="A380" s="65">
        <v>45689.0</v>
      </c>
      <c r="B380" s="33" t="s">
        <v>230</v>
      </c>
      <c r="C380" s="13">
        <f>SUMIFS('Campaign - Dump'!$N:$N,'Campaign - Dump'!$J:$J,'Portfolio Wise '!$B380,'Campaign - Dump'!$A:$A,'Portfolio Wise '!$A380)</f>
        <v>349396</v>
      </c>
      <c r="D380" s="13">
        <f>SUMIFS('Campaign - Dump'!$O:$O,'Campaign - Dump'!$J:$J,'Portfolio Wise '!$B380,'Campaign - Dump'!$A:$A,'Portfolio Wise '!$A380)</f>
        <v>1170</v>
      </c>
      <c r="E380" s="23">
        <f t="shared" si="2"/>
        <v>0.003348635932</v>
      </c>
      <c r="F380" s="36">
        <f>SUMIFS('Campaign - Dump'!$Q:$Q,'Campaign - Dump'!$J:$J,'Portfolio Wise '!$B380,'Campaign - Dump'!$A:$A,'Portfolio Wise '!$A380)</f>
        <v>57485.28</v>
      </c>
      <c r="G380" s="38">
        <f t="shared" si="3"/>
        <v>49.13271795</v>
      </c>
      <c r="H380" s="41">
        <f>SUMIFS('Campaign - Dump'!$T:$T,'Campaign - Dump'!$J:$J,'Portfolio Wise '!$B380,'Campaign - Dump'!$A:$A,'Portfolio Wise '!$A380)</f>
        <v>13</v>
      </c>
      <c r="I380" s="23">
        <f t="shared" si="4"/>
        <v>0.01111111111</v>
      </c>
      <c r="J380" s="36">
        <f>SUMIFS('Campaign - Dump'!$U:$U,'Campaign - Dump'!$J:$J,'Portfolio Wise '!$B380,'Campaign - Dump'!$A:$A,'Portfolio Wise '!$A380)</f>
        <v>267388.94</v>
      </c>
      <c r="K380" s="23">
        <f t="shared" si="5"/>
        <v>0.214987501</v>
      </c>
      <c r="L380" s="38">
        <f t="shared" si="6"/>
        <v>4.651433202</v>
      </c>
      <c r="M380" s="41">
        <f t="shared" si="7"/>
        <v>20568.38</v>
      </c>
      <c r="N380" s="13">
        <f t="shared" si="540"/>
        <v>1</v>
      </c>
      <c r="O380" s="36">
        <f t="shared" si="541"/>
        <v>66063.51763</v>
      </c>
      <c r="P380" s="41">
        <f t="shared" si="8"/>
        <v>66063.51763</v>
      </c>
      <c r="Q380" s="13">
        <f>SUMIFS('Business - Dump'!$W:$W,'Business - Dump'!$B:$B,'Portfolio Wise '!$B380,'Business - Dump'!$A:$A,'Portfolio Wise '!$A380)</f>
        <v>14</v>
      </c>
      <c r="R380" s="36">
        <f>SUMIFS('Business - Dump'!$U:$U,'Business - Dump'!$B:$B,'Portfolio Wise '!$B380,'Business - Dump'!$A:$A,'Portfolio Wise '!$A380)/1.18</f>
        <v>333452.4576</v>
      </c>
      <c r="S380" s="41">
        <f t="shared" si="9"/>
        <v>23818.03269</v>
      </c>
      <c r="T380" s="23">
        <f t="shared" si="10"/>
        <v>0.172394231</v>
      </c>
      <c r="U380" s="38">
        <f t="shared" si="11"/>
        <v>5.800658145</v>
      </c>
      <c r="V380" s="41">
        <f>SUMIFS('Business - Dump'!$G:$G,'Business - Dump'!$B:$B,'Portfolio Wise '!$B380,'Business - Dump'!$A:$A,'Portfolio Wise '!$A380)</f>
        <v>2991</v>
      </c>
      <c r="W380" s="23">
        <f t="shared" si="12"/>
        <v>0.004680708793</v>
      </c>
      <c r="X380" s="23">
        <f t="shared" ref="X380:Y380" si="544">IFERROR(N380/Q380,0)</f>
        <v>0.07142857143</v>
      </c>
      <c r="Y380" s="49">
        <f t="shared" si="544"/>
        <v>0.1981197503</v>
      </c>
      <c r="Z380" s="49">
        <f t="shared" si="14"/>
        <v>0.9285714286</v>
      </c>
      <c r="AA380" s="23">
        <f t="shared" si="15"/>
        <v>0.1981197503</v>
      </c>
      <c r="AB380" s="23">
        <f>IFERROR(AVERAGEIFS('Business - Dump'!$O:$O,'Business - Dump'!$B:$B,'Portfolio Wise '!$B380,'Business - Dump'!$A:$A,'Portfolio Wise '!$A380),0)</f>
        <v>0.92335</v>
      </c>
      <c r="AC380" s="49">
        <f>F380/SUMIFS('Campaign - Dump'!$Q:$Q,'Campaign - Dump'!$A:$A,'Portfolio Wise '!$A380)</f>
        <v>0.08903577444</v>
      </c>
      <c r="AD380" s="49">
        <f t="shared" si="16"/>
        <v>0.07692307692</v>
      </c>
    </row>
    <row r="381" ht="15.75" customHeight="1">
      <c r="A381" s="65">
        <v>45689.0</v>
      </c>
      <c r="B381" s="19" t="s">
        <v>232</v>
      </c>
      <c r="C381" s="13">
        <f>SUMIFS('Campaign - Dump'!$N:$N,'Campaign - Dump'!$J:$J,'Portfolio Wise '!$B381,'Campaign - Dump'!$A:$A,'Portfolio Wise '!$A381)</f>
        <v>0</v>
      </c>
      <c r="D381" s="13">
        <f>SUMIFS('Campaign - Dump'!$O:$O,'Campaign - Dump'!$J:$J,'Portfolio Wise '!$B381,'Campaign - Dump'!$A:$A,'Portfolio Wise '!$A381)</f>
        <v>0</v>
      </c>
      <c r="E381" s="23">
        <f t="shared" si="2"/>
        <v>0</v>
      </c>
      <c r="F381" s="36">
        <f>SUMIFS('Campaign - Dump'!$Q:$Q,'Campaign - Dump'!$J:$J,'Portfolio Wise '!$B381,'Campaign - Dump'!$A:$A,'Portfolio Wise '!$A381)</f>
        <v>0</v>
      </c>
      <c r="G381" s="38">
        <f t="shared" si="3"/>
        <v>0</v>
      </c>
      <c r="H381" s="41">
        <f>SUMIFS('Campaign - Dump'!$T:$T,'Campaign - Dump'!$J:$J,'Portfolio Wise '!$B381,'Campaign - Dump'!$A:$A,'Portfolio Wise '!$A381)</f>
        <v>0</v>
      </c>
      <c r="I381" s="23">
        <f t="shared" si="4"/>
        <v>0</v>
      </c>
      <c r="J381" s="36">
        <f>SUMIFS('Campaign - Dump'!$U:$U,'Campaign - Dump'!$J:$J,'Portfolio Wise '!$B381,'Campaign - Dump'!$A:$A,'Portfolio Wise '!$A381)</f>
        <v>0</v>
      </c>
      <c r="K381" s="23">
        <f t="shared" si="5"/>
        <v>0</v>
      </c>
      <c r="L381" s="38">
        <f t="shared" si="6"/>
        <v>0</v>
      </c>
      <c r="M381" s="41">
        <f t="shared" si="7"/>
        <v>0</v>
      </c>
      <c r="N381" s="13">
        <f t="shared" si="540"/>
        <v>3</v>
      </c>
      <c r="O381" s="36">
        <f t="shared" si="541"/>
        <v>49553.28814</v>
      </c>
      <c r="P381" s="41">
        <f t="shared" si="8"/>
        <v>16517.76271</v>
      </c>
      <c r="Q381" s="13">
        <f>SUMIFS('Business - Dump'!$W:$W,'Business - Dump'!$B:$B,'Portfolio Wise '!$B381,'Business - Dump'!$A:$A,'Portfolio Wise '!$A381)</f>
        <v>3</v>
      </c>
      <c r="R381" s="36">
        <f>SUMIFS('Business - Dump'!$U:$U,'Business - Dump'!$B:$B,'Portfolio Wise '!$B381,'Business - Dump'!$A:$A,'Portfolio Wise '!$A381)/1.18</f>
        <v>49553.28814</v>
      </c>
      <c r="S381" s="41">
        <f t="shared" si="9"/>
        <v>16517.76271</v>
      </c>
      <c r="T381" s="23">
        <f t="shared" si="10"/>
        <v>0</v>
      </c>
      <c r="U381" s="38">
        <f t="shared" si="11"/>
        <v>0</v>
      </c>
      <c r="V381" s="41">
        <f>SUMIFS('Business - Dump'!$G:$G,'Business - Dump'!$B:$B,'Portfolio Wise '!$B381,'Business - Dump'!$A:$A,'Portfolio Wise '!$A381)</f>
        <v>558</v>
      </c>
      <c r="W381" s="48">
        <f t="shared" si="12"/>
        <v>0.005376344086</v>
      </c>
      <c r="X381" s="23">
        <f t="shared" ref="X381:Y381" si="545">IFERROR(N381/Q381,0)</f>
        <v>1</v>
      </c>
      <c r="Y381" s="49">
        <f t="shared" si="545"/>
        <v>1</v>
      </c>
      <c r="Z381" s="49">
        <f t="shared" si="14"/>
        <v>0</v>
      </c>
      <c r="AA381" s="23">
        <f t="shared" si="15"/>
        <v>1</v>
      </c>
      <c r="AB381" s="23">
        <f>IFERROR(AVERAGEIFS('Business - Dump'!$O:$O,'Business - Dump'!$B:$B,'Portfolio Wise '!$B381,'Business - Dump'!$A:$A,'Portfolio Wise '!$A381),0)</f>
        <v>0.93134</v>
      </c>
      <c r="AC381" s="49">
        <f>F381/SUMIFS('Campaign - Dump'!$Q:$Q,'Campaign - Dump'!$A:$A,'Portfolio Wise '!$A381)</f>
        <v>0</v>
      </c>
      <c r="AD381" s="49">
        <f t="shared" si="16"/>
        <v>0</v>
      </c>
    </row>
    <row r="382" ht="15.75" customHeight="1">
      <c r="A382" s="65">
        <v>45689.0</v>
      </c>
      <c r="B382" s="10" t="s">
        <v>429</v>
      </c>
      <c r="C382" s="13">
        <f>SUMIFS('Campaign - Dump'!$N:$N,'Campaign - Dump'!$J:$J,'Portfolio Wise '!$B382,'Campaign - Dump'!$A:$A,'Portfolio Wise '!$A382)</f>
        <v>279629</v>
      </c>
      <c r="D382" s="13">
        <f>SUMIFS('Campaign - Dump'!$O:$O,'Campaign - Dump'!$J:$J,'Portfolio Wise '!$B382,'Campaign - Dump'!$A:$A,'Portfolio Wise '!$A382)</f>
        <v>1280</v>
      </c>
      <c r="E382" s="23">
        <f t="shared" si="2"/>
        <v>0.004577493751</v>
      </c>
      <c r="F382" s="36">
        <f>SUMIFS('Campaign - Dump'!$Q:$Q,'Campaign - Dump'!$J:$J,'Portfolio Wise '!$B382,'Campaign - Dump'!$A:$A,'Portfolio Wise '!$A382)</f>
        <v>54765.68</v>
      </c>
      <c r="G382" s="38">
        <f t="shared" si="3"/>
        <v>42.7856875</v>
      </c>
      <c r="H382" s="41">
        <f>SUMIFS('Campaign - Dump'!$T:$T,'Campaign - Dump'!$J:$J,'Portfolio Wise '!$B382,'Campaign - Dump'!$A:$A,'Portfolio Wise '!$A382)</f>
        <v>6</v>
      </c>
      <c r="I382" s="23">
        <f t="shared" si="4"/>
        <v>0.0046875</v>
      </c>
      <c r="J382" s="36">
        <f>SUMIFS('Campaign - Dump'!$U:$U,'Campaign - Dump'!$J:$J,'Portfolio Wise '!$B382,'Campaign - Dump'!$A:$A,'Portfolio Wise '!$A382)</f>
        <v>79114.38</v>
      </c>
      <c r="K382" s="23">
        <f t="shared" si="5"/>
        <v>0.6922342057</v>
      </c>
      <c r="L382" s="38">
        <f t="shared" si="6"/>
        <v>1.444597785</v>
      </c>
      <c r="M382" s="41">
        <f t="shared" si="7"/>
        <v>13185.73</v>
      </c>
      <c r="N382" s="13">
        <f t="shared" si="540"/>
        <v>6</v>
      </c>
      <c r="O382" s="36">
        <f t="shared" si="541"/>
        <v>78124.90814</v>
      </c>
      <c r="P382" s="41">
        <f t="shared" si="8"/>
        <v>13020.81802</v>
      </c>
      <c r="Q382" s="13">
        <f>SUMIFS('Business - Dump'!$W:$W,'Business - Dump'!$B:$B,'Portfolio Wise '!$B382,'Business - Dump'!$A:$A,'Portfolio Wise '!$A382)</f>
        <v>12</v>
      </c>
      <c r="R382" s="36">
        <f>SUMIFS('Business - Dump'!$U:$U,'Business - Dump'!$B:$B,'Portfolio Wise '!$B382,'Business - Dump'!$A:$A,'Portfolio Wise '!$A382)/1.18</f>
        <v>157239.2881</v>
      </c>
      <c r="S382" s="41">
        <f t="shared" si="9"/>
        <v>13103.27401</v>
      </c>
      <c r="T382" s="23">
        <f t="shared" si="10"/>
        <v>0.3482951408</v>
      </c>
      <c r="U382" s="38">
        <f t="shared" si="11"/>
        <v>2.871128198</v>
      </c>
      <c r="V382" s="41">
        <f>SUMIFS('Business - Dump'!$G:$G,'Business - Dump'!$B:$B,'Portfolio Wise '!$B382,'Business - Dump'!$A:$A,'Portfolio Wise '!$A382)</f>
        <v>2723</v>
      </c>
      <c r="W382" s="48">
        <f t="shared" si="12"/>
        <v>0.00440690415</v>
      </c>
      <c r="X382" s="23">
        <f t="shared" ref="X382:Y382" si="546">IFERROR(N382/Q382,0)</f>
        <v>0.5</v>
      </c>
      <c r="Y382" s="49">
        <f t="shared" si="546"/>
        <v>0.4968536112</v>
      </c>
      <c r="Z382" s="49">
        <f t="shared" si="14"/>
        <v>0.5</v>
      </c>
      <c r="AA382" s="23">
        <f t="shared" si="15"/>
        <v>0.4968536112</v>
      </c>
      <c r="AB382" s="23">
        <f>IFERROR(AVERAGEIFS('Business - Dump'!$O:$O,'Business - Dump'!$B:$B,'Portfolio Wise '!$B382,'Business - Dump'!$A:$A,'Portfolio Wise '!$A382),0)</f>
        <v>0.9296166667</v>
      </c>
      <c r="AC382" s="49">
        <f>F382/SUMIFS('Campaign - Dump'!$Q:$Q,'Campaign - Dump'!$A:$A,'Portfolio Wise '!$A382)</f>
        <v>0.08482353624</v>
      </c>
      <c r="AD382" s="49">
        <f t="shared" si="16"/>
        <v>1</v>
      </c>
    </row>
    <row r="383" ht="15.75" customHeight="1">
      <c r="A383" s="65">
        <v>45689.0</v>
      </c>
      <c r="B383" s="51" t="s">
        <v>239</v>
      </c>
      <c r="C383" s="13">
        <f>SUMIFS('Campaign - Dump'!$N:$N,'Campaign - Dump'!$J:$J,'Portfolio Wise '!$B383,'Campaign - Dump'!$A:$A,'Portfolio Wise '!$A383)</f>
        <v>0</v>
      </c>
      <c r="D383" s="13">
        <f>SUMIFS('Campaign - Dump'!$O:$O,'Campaign - Dump'!$J:$J,'Portfolio Wise '!$B383,'Campaign - Dump'!$A:$A,'Portfolio Wise '!$A383)</f>
        <v>0</v>
      </c>
      <c r="E383" s="23">
        <f t="shared" si="2"/>
        <v>0</v>
      </c>
      <c r="F383" s="36">
        <f>SUMIFS('Campaign - Dump'!$Q:$Q,'Campaign - Dump'!$J:$J,'Portfolio Wise '!$B383,'Campaign - Dump'!$A:$A,'Portfolio Wise '!$A383)</f>
        <v>0</v>
      </c>
      <c r="G383" s="38">
        <f t="shared" si="3"/>
        <v>0</v>
      </c>
      <c r="H383" s="41">
        <f>SUMIFS('Campaign - Dump'!$T:$T,'Campaign - Dump'!$J:$J,'Portfolio Wise '!$B383,'Campaign - Dump'!$A:$A,'Portfolio Wise '!$A383)</f>
        <v>0</v>
      </c>
      <c r="I383" s="23">
        <f t="shared" si="4"/>
        <v>0</v>
      </c>
      <c r="J383" s="36">
        <f>SUMIFS('Campaign - Dump'!$U:$U,'Campaign - Dump'!$J:$J,'Portfolio Wise '!$B383,'Campaign - Dump'!$A:$A,'Portfolio Wise '!$A383)</f>
        <v>0</v>
      </c>
      <c r="K383" s="23">
        <f t="shared" si="5"/>
        <v>0</v>
      </c>
      <c r="L383" s="38">
        <f t="shared" si="6"/>
        <v>0</v>
      </c>
      <c r="M383" s="41">
        <f t="shared" si="7"/>
        <v>0</v>
      </c>
      <c r="N383" s="13">
        <f t="shared" si="540"/>
        <v>0</v>
      </c>
      <c r="O383" s="36">
        <f t="shared" si="541"/>
        <v>0</v>
      </c>
      <c r="P383" s="41">
        <f t="shared" si="8"/>
        <v>0</v>
      </c>
      <c r="Q383" s="13">
        <f>SUMIFS('Business - Dump'!$W:$W,'Business - Dump'!$B:$B,'Portfolio Wise '!$B383,'Business - Dump'!$A:$A,'Portfolio Wise '!$A383)</f>
        <v>0</v>
      </c>
      <c r="R383" s="36">
        <f>SUMIFS('Business - Dump'!$U:$U,'Business - Dump'!$B:$B,'Portfolio Wise '!$B383,'Business - Dump'!$A:$A,'Portfolio Wise '!$A383)/1.18</f>
        <v>0</v>
      </c>
      <c r="S383" s="41">
        <f t="shared" si="9"/>
        <v>0</v>
      </c>
      <c r="T383" s="23">
        <f t="shared" si="10"/>
        <v>0</v>
      </c>
      <c r="U383" s="38">
        <f t="shared" si="11"/>
        <v>0</v>
      </c>
      <c r="V383" s="41">
        <f>SUMIFS('Business - Dump'!$G:$G,'Business - Dump'!$B:$B,'Portfolio Wise '!$B383,'Business - Dump'!$A:$A,'Portfolio Wise '!$A383)</f>
        <v>0</v>
      </c>
      <c r="W383" s="48">
        <f t="shared" si="12"/>
        <v>0</v>
      </c>
      <c r="X383" s="23">
        <f t="shared" ref="X383:Y383" si="547">IFERROR(N383/Q383,0)</f>
        <v>0</v>
      </c>
      <c r="Y383" s="49">
        <f t="shared" si="547"/>
        <v>0</v>
      </c>
      <c r="Z383" s="49">
        <f t="shared" si="14"/>
        <v>0</v>
      </c>
      <c r="AA383" s="23">
        <f t="shared" si="15"/>
        <v>0</v>
      </c>
      <c r="AB383" s="23">
        <f>IFERROR(AVERAGEIFS('Business - Dump'!$O:$O,'Business - Dump'!$B:$B,'Portfolio Wise '!$B383,'Business - Dump'!$A:$A,'Portfolio Wise '!$A383),0)</f>
        <v>0</v>
      </c>
      <c r="AC383" s="49">
        <f>F383/SUMIFS('Campaign - Dump'!$Q:$Q,'Campaign - Dump'!$A:$A,'Portfolio Wise '!$A383)</f>
        <v>0</v>
      </c>
      <c r="AD383" s="49">
        <f t="shared" si="16"/>
        <v>0</v>
      </c>
    </row>
    <row r="384" ht="15.75" customHeight="1">
      <c r="A384" s="65">
        <v>45689.0</v>
      </c>
      <c r="B384" s="19" t="s">
        <v>240</v>
      </c>
      <c r="C384" s="13">
        <f>SUMIFS('Campaign - Dump'!$N:$N,'Campaign - Dump'!$J:$J,'Portfolio Wise '!$B384,'Campaign - Dump'!$A:$A,'Portfolio Wise '!$A384)</f>
        <v>0</v>
      </c>
      <c r="D384" s="13">
        <f>SUMIFS('Campaign - Dump'!$O:$O,'Campaign - Dump'!$J:$J,'Portfolio Wise '!$B384,'Campaign - Dump'!$A:$A,'Portfolio Wise '!$A384)</f>
        <v>0</v>
      </c>
      <c r="E384" s="23">
        <f t="shared" si="2"/>
        <v>0</v>
      </c>
      <c r="F384" s="36">
        <f>SUMIFS('Campaign - Dump'!$Q:$Q,'Campaign - Dump'!$J:$J,'Portfolio Wise '!$B384,'Campaign - Dump'!$A:$A,'Portfolio Wise '!$A384)</f>
        <v>0</v>
      </c>
      <c r="G384" s="38">
        <f t="shared" si="3"/>
        <v>0</v>
      </c>
      <c r="H384" s="41">
        <f>SUMIFS('Campaign - Dump'!$T:$T,'Campaign - Dump'!$J:$J,'Portfolio Wise '!$B384,'Campaign - Dump'!$A:$A,'Portfolio Wise '!$A384)</f>
        <v>0</v>
      </c>
      <c r="I384" s="23">
        <f t="shared" si="4"/>
        <v>0</v>
      </c>
      <c r="J384" s="36">
        <f>SUMIFS('Campaign - Dump'!$U:$U,'Campaign - Dump'!$J:$J,'Portfolio Wise '!$B384,'Campaign - Dump'!$A:$A,'Portfolio Wise '!$A384)</f>
        <v>0</v>
      </c>
      <c r="K384" s="23">
        <f t="shared" si="5"/>
        <v>0</v>
      </c>
      <c r="L384" s="38">
        <f t="shared" si="6"/>
        <v>0</v>
      </c>
      <c r="M384" s="41">
        <f t="shared" si="7"/>
        <v>0</v>
      </c>
      <c r="N384" s="13">
        <f t="shared" si="540"/>
        <v>0</v>
      </c>
      <c r="O384" s="36">
        <f t="shared" si="541"/>
        <v>0</v>
      </c>
      <c r="P384" s="41">
        <f t="shared" si="8"/>
        <v>0</v>
      </c>
      <c r="Q384" s="13">
        <f>SUMIFS('Business - Dump'!$W:$W,'Business - Dump'!$B:$B,'Portfolio Wise '!$B384,'Business - Dump'!$A:$A,'Portfolio Wise '!$A384)</f>
        <v>0</v>
      </c>
      <c r="R384" s="36">
        <f>SUMIFS('Business - Dump'!$U:$U,'Business - Dump'!$B:$B,'Portfolio Wise '!$B384,'Business - Dump'!$A:$A,'Portfolio Wise '!$A384)/1.18</f>
        <v>0</v>
      </c>
      <c r="S384" s="41">
        <f t="shared" si="9"/>
        <v>0</v>
      </c>
      <c r="T384" s="23">
        <f t="shared" si="10"/>
        <v>0</v>
      </c>
      <c r="U384" s="38">
        <f t="shared" si="11"/>
        <v>0</v>
      </c>
      <c r="V384" s="41">
        <f>SUMIFS('Business - Dump'!$G:$G,'Business - Dump'!$B:$B,'Portfolio Wise '!$B384,'Business - Dump'!$A:$A,'Portfolio Wise '!$A384)</f>
        <v>0</v>
      </c>
      <c r="W384" s="48">
        <f t="shared" si="12"/>
        <v>0</v>
      </c>
      <c r="X384" s="23">
        <f t="shared" ref="X384:Y384" si="548">IFERROR(N384/Q384,0)</f>
        <v>0</v>
      </c>
      <c r="Y384" s="49">
        <f t="shared" si="548"/>
        <v>0</v>
      </c>
      <c r="Z384" s="49">
        <f t="shared" si="14"/>
        <v>0</v>
      </c>
      <c r="AA384" s="23">
        <f t="shared" si="15"/>
        <v>0</v>
      </c>
      <c r="AB384" s="23">
        <f>IFERROR(AVERAGEIFS('Business - Dump'!$O:$O,'Business - Dump'!$B:$B,'Portfolio Wise '!$B384,'Business - Dump'!$A:$A,'Portfolio Wise '!$A384),0)</f>
        <v>0</v>
      </c>
      <c r="AC384" s="49">
        <f>F384/SUMIFS('Campaign - Dump'!$Q:$Q,'Campaign - Dump'!$A:$A,'Portfolio Wise '!$A384)</f>
        <v>0</v>
      </c>
      <c r="AD384" s="49">
        <f t="shared" si="16"/>
        <v>0</v>
      </c>
    </row>
    <row r="385" ht="15.75" customHeight="1">
      <c r="A385" s="65">
        <v>45689.0</v>
      </c>
      <c r="B385" s="10" t="s">
        <v>241</v>
      </c>
      <c r="C385" s="13">
        <f>SUMIFS('Campaign - Dump'!$N:$N,'Campaign - Dump'!$J:$J,'Portfolio Wise '!$B385,'Campaign - Dump'!$A:$A,'Portfolio Wise '!$A385)</f>
        <v>6719</v>
      </c>
      <c r="D385" s="13">
        <f>SUMIFS('Campaign - Dump'!$O:$O,'Campaign - Dump'!$J:$J,'Portfolio Wise '!$B385,'Campaign - Dump'!$A:$A,'Portfolio Wise '!$A385)</f>
        <v>33</v>
      </c>
      <c r="E385" s="23">
        <f t="shared" si="2"/>
        <v>0.004911445156</v>
      </c>
      <c r="F385" s="36">
        <f>SUMIFS('Campaign - Dump'!$Q:$Q,'Campaign - Dump'!$J:$J,'Portfolio Wise '!$B385,'Campaign - Dump'!$A:$A,'Portfolio Wise '!$A385)</f>
        <v>101.76</v>
      </c>
      <c r="G385" s="38">
        <f t="shared" si="3"/>
        <v>3.083636364</v>
      </c>
      <c r="H385" s="41">
        <f>SUMIFS('Campaign - Dump'!$T:$T,'Campaign - Dump'!$J:$J,'Portfolio Wise '!$B385,'Campaign - Dump'!$A:$A,'Portfolio Wise '!$A385)</f>
        <v>1</v>
      </c>
      <c r="I385" s="23">
        <f t="shared" si="4"/>
        <v>0.0303030303</v>
      </c>
      <c r="J385" s="36">
        <f>SUMIFS('Campaign - Dump'!$U:$U,'Campaign - Dump'!$J:$J,'Portfolio Wise '!$B385,'Campaign - Dump'!$A:$A,'Portfolio Wise '!$A385)</f>
        <v>2541.52</v>
      </c>
      <c r="K385" s="23">
        <f t="shared" si="5"/>
        <v>0.04003903176</v>
      </c>
      <c r="L385" s="38">
        <f t="shared" si="6"/>
        <v>24.97562893</v>
      </c>
      <c r="M385" s="41">
        <f t="shared" si="7"/>
        <v>2541.52</v>
      </c>
      <c r="N385" s="13">
        <f t="shared" si="540"/>
        <v>6</v>
      </c>
      <c r="O385" s="36">
        <f t="shared" si="541"/>
        <v>8639.835932</v>
      </c>
      <c r="P385" s="41">
        <f t="shared" si="8"/>
        <v>1439.972655</v>
      </c>
      <c r="Q385" s="13">
        <f>SUMIFS('Business - Dump'!$W:$W,'Business - Dump'!$B:$B,'Portfolio Wise '!$B385,'Business - Dump'!$A:$A,'Portfolio Wise '!$A385)</f>
        <v>7</v>
      </c>
      <c r="R385" s="36">
        <f>SUMIFS('Business - Dump'!$U:$U,'Business - Dump'!$B:$B,'Portfolio Wise '!$B385,'Business - Dump'!$A:$A,'Portfolio Wise '!$A385)/1.18</f>
        <v>11181.35593</v>
      </c>
      <c r="S385" s="41">
        <f t="shared" si="9"/>
        <v>1597.336562</v>
      </c>
      <c r="T385" s="201">
        <f t="shared" si="10"/>
        <v>0.009100864029</v>
      </c>
      <c r="U385" s="38">
        <f t="shared" si="11"/>
        <v>109.879677</v>
      </c>
      <c r="V385" s="41">
        <f>SUMIFS('Business - Dump'!$G:$G,'Business - Dump'!$B:$B,'Portfolio Wise '!$B385,'Business - Dump'!$A:$A,'Portfolio Wise '!$A385)</f>
        <v>286</v>
      </c>
      <c r="W385" s="48">
        <f t="shared" si="12"/>
        <v>0.02447552448</v>
      </c>
      <c r="X385" s="23">
        <f t="shared" ref="X385:Y385" si="549">IFERROR(N385/Q385,0)</f>
        <v>0.8571428571</v>
      </c>
      <c r="Y385" s="49">
        <f t="shared" si="549"/>
        <v>0.7727001971</v>
      </c>
      <c r="Z385" s="49">
        <f t="shared" si="14"/>
        <v>0.1428571429</v>
      </c>
      <c r="AA385" s="23">
        <f t="shared" si="15"/>
        <v>0.7727001971</v>
      </c>
      <c r="AB385" s="23">
        <f>IFERROR(AVERAGEIFS('Business - Dump'!$O:$O,'Business - Dump'!$B:$B,'Portfolio Wise '!$B385,'Business - Dump'!$A:$A,'Portfolio Wise '!$A385),0)</f>
        <v>0.98375</v>
      </c>
      <c r="AC385" s="49">
        <f>F385/SUMIFS('Campaign - Dump'!$Q:$Q,'Campaign - Dump'!$A:$A,'Portfolio Wise '!$A385)</f>
        <v>0.0001576104423</v>
      </c>
      <c r="AD385" s="49">
        <f t="shared" si="16"/>
        <v>6</v>
      </c>
    </row>
    <row r="386" ht="15.75" customHeight="1">
      <c r="A386" s="65">
        <v>45689.0</v>
      </c>
      <c r="B386" s="19" t="s">
        <v>248</v>
      </c>
      <c r="C386" s="13">
        <f>SUMIFS('Campaign - Dump'!$N:$N,'Campaign - Dump'!$J:$J,'Portfolio Wise '!$B386,'Campaign - Dump'!$A:$A,'Portfolio Wise '!$A386)</f>
        <v>0</v>
      </c>
      <c r="D386" s="13">
        <f>SUMIFS('Campaign - Dump'!$O:$O,'Campaign - Dump'!$J:$J,'Portfolio Wise '!$B386,'Campaign - Dump'!$A:$A,'Portfolio Wise '!$A386)</f>
        <v>0</v>
      </c>
      <c r="E386" s="23">
        <f t="shared" si="2"/>
        <v>0</v>
      </c>
      <c r="F386" s="36">
        <f>SUMIFS('Campaign - Dump'!$Q:$Q,'Campaign - Dump'!$J:$J,'Portfolio Wise '!$B386,'Campaign - Dump'!$A:$A,'Portfolio Wise '!$A386)</f>
        <v>0</v>
      </c>
      <c r="G386" s="38">
        <f t="shared" si="3"/>
        <v>0</v>
      </c>
      <c r="H386" s="41">
        <f>SUMIFS('Campaign - Dump'!$T:$T,'Campaign - Dump'!$J:$J,'Portfolio Wise '!$B386,'Campaign - Dump'!$A:$A,'Portfolio Wise '!$A386)</f>
        <v>0</v>
      </c>
      <c r="I386" s="23">
        <f t="shared" si="4"/>
        <v>0</v>
      </c>
      <c r="J386" s="36">
        <f>SUMIFS('Campaign - Dump'!$U:$U,'Campaign - Dump'!$J:$J,'Portfolio Wise '!$B386,'Campaign - Dump'!$A:$A,'Portfolio Wise '!$A386)</f>
        <v>0</v>
      </c>
      <c r="K386" s="23">
        <f t="shared" si="5"/>
        <v>0</v>
      </c>
      <c r="L386" s="38">
        <f t="shared" si="6"/>
        <v>0</v>
      </c>
      <c r="M386" s="41">
        <f t="shared" si="7"/>
        <v>0</v>
      </c>
      <c r="N386" s="13">
        <f t="shared" si="540"/>
        <v>0</v>
      </c>
      <c r="O386" s="36">
        <f t="shared" si="541"/>
        <v>0</v>
      </c>
      <c r="P386" s="41">
        <f t="shared" si="8"/>
        <v>0</v>
      </c>
      <c r="Q386" s="13">
        <f>SUMIFS('Business - Dump'!$W:$W,'Business - Dump'!$B:$B,'Portfolio Wise '!$B386,'Business - Dump'!$A:$A,'Portfolio Wise '!$A386)</f>
        <v>0</v>
      </c>
      <c r="R386" s="36">
        <f>SUMIFS('Business - Dump'!$U:$U,'Business - Dump'!$B:$B,'Portfolio Wise '!$B386,'Business - Dump'!$A:$A,'Portfolio Wise '!$A386)/1.18</f>
        <v>0</v>
      </c>
      <c r="S386" s="41">
        <f t="shared" si="9"/>
        <v>0</v>
      </c>
      <c r="T386" s="23">
        <f t="shared" si="10"/>
        <v>0</v>
      </c>
      <c r="U386" s="38">
        <f t="shared" si="11"/>
        <v>0</v>
      </c>
      <c r="V386" s="41">
        <f>SUMIFS('Business - Dump'!$G:$G,'Business - Dump'!$B:$B,'Portfolio Wise '!$B386,'Business - Dump'!$A:$A,'Portfolio Wise '!$A386)</f>
        <v>0</v>
      </c>
      <c r="W386" s="48">
        <f t="shared" si="12"/>
        <v>0</v>
      </c>
      <c r="X386" s="23">
        <f t="shared" ref="X386:Y386" si="550">IFERROR(N386/Q386,0)</f>
        <v>0</v>
      </c>
      <c r="Y386" s="49">
        <f t="shared" si="550"/>
        <v>0</v>
      </c>
      <c r="Z386" s="49">
        <f t="shared" si="14"/>
        <v>0</v>
      </c>
      <c r="AA386" s="23">
        <f t="shared" si="15"/>
        <v>0</v>
      </c>
      <c r="AB386" s="23">
        <f>IFERROR(AVERAGEIFS('Business - Dump'!$O:$O,'Business - Dump'!$B:$B,'Portfolio Wise '!$B386,'Business - Dump'!$A:$A,'Portfolio Wise '!$A386),0)</f>
        <v>0</v>
      </c>
      <c r="AC386" s="49">
        <f>F386/SUMIFS('Campaign - Dump'!$Q:$Q,'Campaign - Dump'!$A:$A,'Portfolio Wise '!$A386)</f>
        <v>0</v>
      </c>
      <c r="AD386" s="49">
        <f t="shared" si="16"/>
        <v>0</v>
      </c>
    </row>
    <row r="387" ht="15.75" customHeight="1">
      <c r="A387" s="65">
        <v>45689.0</v>
      </c>
      <c r="B387" s="19" t="s">
        <v>321</v>
      </c>
      <c r="C387" s="13">
        <f>SUMIFS('Campaign - Dump'!$N:$N,'Campaign - Dump'!$J:$J,'Portfolio Wise '!$B387,'Campaign - Dump'!$A:$A,'Portfolio Wise '!$A387)</f>
        <v>49316</v>
      </c>
      <c r="D387" s="13">
        <f>SUMIFS('Campaign - Dump'!$O:$O,'Campaign - Dump'!$J:$J,'Portfolio Wise '!$B387,'Campaign - Dump'!$A:$A,'Portfolio Wise '!$A387)</f>
        <v>377</v>
      </c>
      <c r="E387" s="23">
        <f t="shared" si="2"/>
        <v>0.007644577825</v>
      </c>
      <c r="F387" s="36">
        <f>SUMIFS('Campaign - Dump'!$Q:$Q,'Campaign - Dump'!$J:$J,'Portfolio Wise '!$B387,'Campaign - Dump'!$A:$A,'Portfolio Wise '!$A387)</f>
        <v>2830.05</v>
      </c>
      <c r="G387" s="38">
        <f t="shared" si="3"/>
        <v>7.506763926</v>
      </c>
      <c r="H387" s="41">
        <f>SUMIFS('Campaign - Dump'!$T:$T,'Campaign - Dump'!$J:$J,'Portfolio Wise '!$B387,'Campaign - Dump'!$A:$A,'Portfolio Wise '!$A387)</f>
        <v>4</v>
      </c>
      <c r="I387" s="23">
        <f t="shared" si="4"/>
        <v>0.01061007958</v>
      </c>
      <c r="J387" s="36">
        <f>SUMIFS('Campaign - Dump'!$U:$U,'Campaign - Dump'!$J:$J,'Portfolio Wise '!$B387,'Campaign - Dump'!$A:$A,'Portfolio Wise '!$A387)</f>
        <v>3131.35</v>
      </c>
      <c r="K387" s="23">
        <f t="shared" si="5"/>
        <v>0.90377952</v>
      </c>
      <c r="L387" s="38">
        <f t="shared" si="6"/>
        <v>1.10646455</v>
      </c>
      <c r="M387" s="41">
        <f t="shared" si="7"/>
        <v>782.8375</v>
      </c>
      <c r="N387" s="13">
        <f t="shared" si="540"/>
        <v>12</v>
      </c>
      <c r="O387" s="36">
        <f t="shared" si="541"/>
        <v>4057.633051</v>
      </c>
      <c r="P387" s="41">
        <f t="shared" si="8"/>
        <v>338.1360876</v>
      </c>
      <c r="Q387" s="13">
        <f>SUMIFS('Business - Dump'!$W:$W,'Business - Dump'!$B:$B,'Portfolio Wise '!$B387,'Business - Dump'!$A:$A,'Portfolio Wise '!$A387)</f>
        <v>16</v>
      </c>
      <c r="R387" s="36">
        <f>SUMIFS('Business - Dump'!$U:$U,'Business - Dump'!$B:$B,'Portfolio Wise '!$B387,'Business - Dump'!$A:$A,'Portfolio Wise '!$A387)/1.18</f>
        <v>7188.983051</v>
      </c>
      <c r="S387" s="41">
        <f t="shared" si="9"/>
        <v>449.3114407</v>
      </c>
      <c r="T387" s="23">
        <f t="shared" si="10"/>
        <v>0.3936648591</v>
      </c>
      <c r="U387" s="38">
        <f t="shared" si="11"/>
        <v>2.540231816</v>
      </c>
      <c r="V387" s="41">
        <f>SUMIFS('Business - Dump'!$G:$G,'Business - Dump'!$B:$B,'Portfolio Wise '!$B387,'Business - Dump'!$A:$A,'Portfolio Wise '!$A387)</f>
        <v>567</v>
      </c>
      <c r="W387" s="48">
        <f t="shared" si="12"/>
        <v>0.02821869489</v>
      </c>
      <c r="X387" s="23">
        <f t="shared" ref="X387:Y387" si="551">IFERROR(N387/Q387,0)</f>
        <v>0.75</v>
      </c>
      <c r="Y387" s="49">
        <f t="shared" si="551"/>
        <v>0.5644237888</v>
      </c>
      <c r="Z387" s="49">
        <f t="shared" si="14"/>
        <v>0.25</v>
      </c>
      <c r="AA387" s="23">
        <f t="shared" si="15"/>
        <v>0.5644237888</v>
      </c>
      <c r="AB387" s="23">
        <f>IFERROR(AVERAGEIFS('Business - Dump'!$O:$O,'Business - Dump'!$B:$B,'Portfolio Wise '!$B387,'Business - Dump'!$A:$A,'Portfolio Wise '!$A387),0)</f>
        <v>1</v>
      </c>
      <c r="AC387" s="49">
        <f>F387/SUMIFS('Campaign - Dump'!$Q:$Q,'Campaign - Dump'!$A:$A,'Portfolio Wise '!$A387)</f>
        <v>0.0043833081</v>
      </c>
      <c r="AD387" s="49">
        <f t="shared" si="16"/>
        <v>3</v>
      </c>
    </row>
    <row r="388" ht="15.75" customHeight="1">
      <c r="A388" s="65">
        <v>45689.0</v>
      </c>
      <c r="B388" s="19" t="s">
        <v>1247</v>
      </c>
      <c r="C388" s="13">
        <f>SUMIFS('Campaign - Dump'!$N:$N,'Campaign - Dump'!$J:$J,'Portfolio Wise '!$B388,'Campaign - Dump'!$A:$A,'Portfolio Wise '!$A388)</f>
        <v>0</v>
      </c>
      <c r="D388" s="13">
        <f>SUMIFS('Campaign - Dump'!$O:$O,'Campaign - Dump'!$J:$J,'Portfolio Wise '!$B388,'Campaign - Dump'!$A:$A,'Portfolio Wise '!$A388)</f>
        <v>0</v>
      </c>
      <c r="E388" s="23">
        <f t="shared" si="2"/>
        <v>0</v>
      </c>
      <c r="F388" s="36">
        <f>SUMIFS('Campaign - Dump'!$Q:$Q,'Campaign - Dump'!$J:$J,'Portfolio Wise '!$B388,'Campaign - Dump'!$A:$A,'Portfolio Wise '!$A388)</f>
        <v>0</v>
      </c>
      <c r="G388" s="38">
        <f t="shared" si="3"/>
        <v>0</v>
      </c>
      <c r="H388" s="41">
        <f>SUMIFS('Campaign - Dump'!$T:$T,'Campaign - Dump'!$J:$J,'Portfolio Wise '!$B388,'Campaign - Dump'!$A:$A,'Portfolio Wise '!$A388)</f>
        <v>0</v>
      </c>
      <c r="I388" s="23">
        <f t="shared" si="4"/>
        <v>0</v>
      </c>
      <c r="J388" s="36">
        <f>SUMIFS('Campaign - Dump'!$U:$U,'Campaign - Dump'!$J:$J,'Portfolio Wise '!$B388,'Campaign - Dump'!$A:$A,'Portfolio Wise '!$A388)</f>
        <v>0</v>
      </c>
      <c r="K388" s="23">
        <f t="shared" si="5"/>
        <v>0</v>
      </c>
      <c r="L388" s="38">
        <f t="shared" si="6"/>
        <v>0</v>
      </c>
      <c r="M388" s="41">
        <f t="shared" si="7"/>
        <v>0</v>
      </c>
      <c r="N388" s="13">
        <f t="shared" si="540"/>
        <v>0</v>
      </c>
      <c r="O388" s="36">
        <f t="shared" si="541"/>
        <v>0</v>
      </c>
      <c r="P388" s="41">
        <f t="shared" si="8"/>
        <v>0</v>
      </c>
      <c r="Q388" s="13">
        <f>SUMIFS('Business - Dump'!$W:$W,'Business - Dump'!$B:$B,'Portfolio Wise '!$B388,'Business - Dump'!$A:$A,'Portfolio Wise '!$A388)</f>
        <v>0</v>
      </c>
      <c r="R388" s="36">
        <f>SUMIFS('Business - Dump'!$U:$U,'Business - Dump'!$B:$B,'Portfolio Wise '!$B388,'Business - Dump'!$A:$A,'Portfolio Wise '!$A388)/1.18</f>
        <v>0</v>
      </c>
      <c r="S388" s="41">
        <f t="shared" si="9"/>
        <v>0</v>
      </c>
      <c r="T388" s="23">
        <f t="shared" si="10"/>
        <v>0</v>
      </c>
      <c r="U388" s="38">
        <f t="shared" si="11"/>
        <v>0</v>
      </c>
      <c r="V388" s="41">
        <f>SUMIFS('Business - Dump'!$G:$G,'Business - Dump'!$B:$B,'Portfolio Wise '!$B388,'Business - Dump'!$A:$A,'Portfolio Wise '!$A388)</f>
        <v>0</v>
      </c>
      <c r="W388" s="48">
        <f t="shared" si="12"/>
        <v>0</v>
      </c>
      <c r="X388" s="23">
        <f t="shared" ref="X388:Y388" si="552">IFERROR(N388/Q388,0)</f>
        <v>0</v>
      </c>
      <c r="Y388" s="49">
        <f t="shared" si="552"/>
        <v>0</v>
      </c>
      <c r="Z388" s="49">
        <f t="shared" si="14"/>
        <v>0</v>
      </c>
      <c r="AA388" s="23">
        <f t="shared" si="15"/>
        <v>0</v>
      </c>
      <c r="AB388" s="23">
        <f>IFERROR(AVERAGEIFS('Business - Dump'!$O:$O,'Business - Dump'!$B:$B,'Portfolio Wise '!$B388,'Business - Dump'!$A:$A,'Portfolio Wise '!$A388),0)</f>
        <v>0</v>
      </c>
      <c r="AC388" s="49">
        <f>F388/SUMIFS('Campaign - Dump'!$Q:$Q,'Campaign - Dump'!$A:$A,'Portfolio Wise '!$A388)</f>
        <v>0</v>
      </c>
      <c r="AD388" s="49">
        <f t="shared" si="16"/>
        <v>0</v>
      </c>
    </row>
    <row r="389" ht="15.75" customHeight="1">
      <c r="A389" s="65">
        <v>45689.0</v>
      </c>
      <c r="B389" s="146" t="s">
        <v>1377</v>
      </c>
      <c r="C389" s="127">
        <f t="shared" ref="C389:D389" si="553">SUM(C364:C387)</f>
        <v>6128191</v>
      </c>
      <c r="D389" s="127">
        <f t="shared" si="553"/>
        <v>31860</v>
      </c>
      <c r="E389" s="62">
        <f t="shared" si="2"/>
        <v>0.00519892412</v>
      </c>
      <c r="F389" s="128">
        <f>SUM(F364:F387)</f>
        <v>645642.5</v>
      </c>
      <c r="G389" s="129">
        <f t="shared" si="3"/>
        <v>20.26498745</v>
      </c>
      <c r="H389" s="130">
        <f>SUM(H364:H387)</f>
        <v>345</v>
      </c>
      <c r="I389" s="62">
        <f t="shared" si="4"/>
        <v>0.01082862524</v>
      </c>
      <c r="J389" s="128">
        <f>SUM(J364:J387)</f>
        <v>2448692.48</v>
      </c>
      <c r="K389" s="62">
        <f t="shared" si="5"/>
        <v>0.2636682659</v>
      </c>
      <c r="L389" s="129">
        <f t="shared" si="6"/>
        <v>3.792644505</v>
      </c>
      <c r="M389" s="130">
        <f t="shared" si="7"/>
        <v>7097.659362</v>
      </c>
      <c r="N389" s="127">
        <f t="shared" ref="N389:O389" si="554">SUM(N364:N387)</f>
        <v>192</v>
      </c>
      <c r="O389" s="128">
        <f t="shared" si="554"/>
        <v>2125046.866</v>
      </c>
      <c r="P389" s="130">
        <f t="shared" si="8"/>
        <v>11067.95243</v>
      </c>
      <c r="Q389" s="127">
        <f t="shared" ref="Q389:R389" si="555">SUM(Q364:Q387)</f>
        <v>476</v>
      </c>
      <c r="R389" s="128">
        <f t="shared" si="555"/>
        <v>3515469.746</v>
      </c>
      <c r="S389" s="130">
        <f t="shared" si="9"/>
        <v>7385.440642</v>
      </c>
      <c r="T389" s="62">
        <f t="shared" si="10"/>
        <v>0.1836575328</v>
      </c>
      <c r="U389" s="129">
        <f t="shared" si="11"/>
        <v>5.444916879</v>
      </c>
      <c r="V389" s="130">
        <f>SUM(V364:V387)</f>
        <v>58655</v>
      </c>
      <c r="W389" s="131">
        <f t="shared" si="12"/>
        <v>0.008115250192</v>
      </c>
      <c r="X389" s="62">
        <f t="shared" ref="X389:Y389" si="556">IFERROR(N389/Q389,0)</f>
        <v>0.4033613445</v>
      </c>
      <c r="Y389" s="132">
        <f t="shared" si="556"/>
        <v>0.6044844699</v>
      </c>
      <c r="Z389" s="132">
        <f t="shared" si="14"/>
        <v>0.724789916</v>
      </c>
      <c r="AA389" s="62">
        <f t="shared" si="15"/>
        <v>0.6044844699</v>
      </c>
      <c r="AB389" s="62">
        <f>IFERROR(AVERAGEIFS('Business - Dump'!$O:$O,'Business - Dump'!$B:$B,'Portfolio Wise '!$B389,'Business - Dump'!$A:$A,'Portfolio Wise '!$A389),0)</f>
        <v>0</v>
      </c>
      <c r="AC389" s="132">
        <f>F389/SUMIFS('Campaign - Dump'!$Q:$Q,'Campaign - Dump'!$A:$A,'Portfolio Wise '!$A389)</f>
        <v>1</v>
      </c>
      <c r="AD389" s="132">
        <f t="shared" si="16"/>
        <v>0.5565217391</v>
      </c>
    </row>
    <row r="390" ht="15.75" customHeight="1">
      <c r="A390" s="65">
        <v>45717.0</v>
      </c>
      <c r="B390" s="33" t="s">
        <v>90</v>
      </c>
      <c r="C390" s="13">
        <f>SUMIFS('Campaign - Dump'!$N:$N,'Campaign - Dump'!$J:$J,'Portfolio Wise '!$B390,'Campaign - Dump'!$A:$A,'Portfolio Wise '!$A390)</f>
        <v>916</v>
      </c>
      <c r="D390" s="13">
        <f>SUMIFS('Campaign - Dump'!$O:$O,'Campaign - Dump'!$J:$J,'Portfolio Wise '!$B390,'Campaign - Dump'!$A:$A,'Portfolio Wise '!$A390)</f>
        <v>4</v>
      </c>
      <c r="E390" s="23">
        <f t="shared" si="2"/>
        <v>0.004366812227</v>
      </c>
      <c r="F390" s="36">
        <f>SUMIFS('Campaign - Dump'!$Q:$Q,'Campaign - Dump'!$J:$J,'Portfolio Wise '!$B390,'Campaign - Dump'!$A:$A,'Portfolio Wise '!$A390)</f>
        <v>31.42</v>
      </c>
      <c r="G390" s="38">
        <f t="shared" si="3"/>
        <v>7.855</v>
      </c>
      <c r="H390" s="41">
        <f>SUMIFS('Campaign - Dump'!$T:$T,'Campaign - Dump'!$J:$J,'Portfolio Wise '!$B390,'Campaign - Dump'!$A:$A,'Portfolio Wise '!$A390)</f>
        <v>0</v>
      </c>
      <c r="I390" s="23">
        <f t="shared" si="4"/>
        <v>0</v>
      </c>
      <c r="J390" s="36">
        <f>SUMIFS('Campaign - Dump'!$U:$U,'Campaign - Dump'!$J:$J,'Portfolio Wise '!$B390,'Campaign - Dump'!$A:$A,'Portfolio Wise '!$A390)</f>
        <v>0</v>
      </c>
      <c r="K390" s="23">
        <f t="shared" si="5"/>
        <v>0</v>
      </c>
      <c r="L390" s="38">
        <f t="shared" si="6"/>
        <v>0</v>
      </c>
      <c r="M390" s="41">
        <f t="shared" si="7"/>
        <v>0</v>
      </c>
      <c r="N390" s="13">
        <v>0.0</v>
      </c>
      <c r="O390" s="36">
        <v>0.0</v>
      </c>
      <c r="P390" s="41">
        <f t="shared" si="8"/>
        <v>0</v>
      </c>
      <c r="Q390" s="13">
        <f>SUMIFS('Business - Dump'!$W:$W,'Business - Dump'!$B:$B,'Portfolio Wise '!$B390,'Business - Dump'!$A:$A,'Portfolio Wise '!$A390)</f>
        <v>0</v>
      </c>
      <c r="R390" s="36">
        <f>SUMIFS('Business - Dump'!$U:$U,'Business - Dump'!$B:$B,'Portfolio Wise '!$B390,'Business - Dump'!$A:$A,'Portfolio Wise '!$A390)/1.18</f>
        <v>0</v>
      </c>
      <c r="S390" s="41">
        <f t="shared" si="9"/>
        <v>0</v>
      </c>
      <c r="T390" s="23">
        <f t="shared" si="10"/>
        <v>0</v>
      </c>
      <c r="U390" s="38">
        <f t="shared" si="11"/>
        <v>0</v>
      </c>
      <c r="V390" s="41">
        <f>SUMIFS('Business - Dump'!$G:$G,'Business - Dump'!$B:$B,'Portfolio Wise '!$B390,'Business - Dump'!$A:$A,'Portfolio Wise '!$A390)</f>
        <v>0</v>
      </c>
      <c r="W390" s="48">
        <f t="shared" si="12"/>
        <v>0</v>
      </c>
      <c r="X390" s="23">
        <f t="shared" ref="X390:Y390" si="557">IFERROR(N390/Q390,0)</f>
        <v>0</v>
      </c>
      <c r="Y390" s="49">
        <f t="shared" si="557"/>
        <v>0</v>
      </c>
      <c r="Z390" s="49">
        <f t="shared" si="14"/>
        <v>0</v>
      </c>
      <c r="AA390" s="23">
        <f t="shared" si="15"/>
        <v>0</v>
      </c>
      <c r="AB390" s="23">
        <f>IFERROR(AVERAGEIFS('Business - Dump'!$O:$O,'Business - Dump'!$B:$B,'Portfolio Wise '!$B390,'Business - Dump'!$A:$A,'Portfolio Wise '!$A390),0)</f>
        <v>0</v>
      </c>
      <c r="AC390" s="49">
        <f>F390/SUMIFS('Campaign - Dump'!$Q:$Q,'Campaign - Dump'!$A:$A,'Portfolio Wise '!$A390)</f>
        <v>0.0000371608408</v>
      </c>
      <c r="AD390" s="49">
        <f t="shared" si="16"/>
        <v>0</v>
      </c>
    </row>
    <row r="391" ht="15.75" customHeight="1">
      <c r="A391" s="65">
        <v>45717.0</v>
      </c>
      <c r="B391" s="51" t="s">
        <v>110</v>
      </c>
      <c r="C391" s="13">
        <f>SUMIFS('Campaign - Dump'!$N:$N,'Campaign - Dump'!$J:$J,'Portfolio Wise '!$B391,'Campaign - Dump'!$A:$A,'Portfolio Wise '!$A391)</f>
        <v>0</v>
      </c>
      <c r="D391" s="13">
        <f>SUMIFS('Campaign - Dump'!$O:$O,'Campaign - Dump'!$J:$J,'Portfolio Wise '!$B391,'Campaign - Dump'!$A:$A,'Portfolio Wise '!$A391)</f>
        <v>0</v>
      </c>
      <c r="E391" s="23">
        <f t="shared" si="2"/>
        <v>0</v>
      </c>
      <c r="F391" s="36">
        <f>SUMIFS('Campaign - Dump'!$Q:$Q,'Campaign - Dump'!$J:$J,'Portfolio Wise '!$B391,'Campaign - Dump'!$A:$A,'Portfolio Wise '!$A391)</f>
        <v>0</v>
      </c>
      <c r="G391" s="38">
        <f t="shared" si="3"/>
        <v>0</v>
      </c>
      <c r="H391" s="41">
        <f>SUMIFS('Campaign - Dump'!$T:$T,'Campaign - Dump'!$J:$J,'Portfolio Wise '!$B391,'Campaign - Dump'!$A:$A,'Portfolio Wise '!$A391)</f>
        <v>0</v>
      </c>
      <c r="I391" s="23">
        <f t="shared" si="4"/>
        <v>0</v>
      </c>
      <c r="J391" s="36">
        <f>SUMIFS('Campaign - Dump'!$U:$U,'Campaign - Dump'!$J:$J,'Portfolio Wise '!$B391,'Campaign - Dump'!$A:$A,'Portfolio Wise '!$A391)</f>
        <v>0</v>
      </c>
      <c r="K391" s="23">
        <f t="shared" si="5"/>
        <v>0</v>
      </c>
      <c r="L391" s="38">
        <f t="shared" si="6"/>
        <v>0</v>
      </c>
      <c r="M391" s="41">
        <f t="shared" si="7"/>
        <v>0</v>
      </c>
      <c r="N391" s="13">
        <f t="shared" ref="N391:N393" si="559">IFERROR(Q391-H391,0)</f>
        <v>0</v>
      </c>
      <c r="O391" s="36">
        <f t="shared" ref="O391:O393" si="560">IFERROR(R391-J391,0)</f>
        <v>0</v>
      </c>
      <c r="P391" s="41">
        <f t="shared" si="8"/>
        <v>0</v>
      </c>
      <c r="Q391" s="13">
        <f>SUMIFS('Business - Dump'!$W:$W,'Business - Dump'!$B:$B,'Portfolio Wise '!$B391,'Business - Dump'!$A:$A,'Portfolio Wise '!$A391)</f>
        <v>0</v>
      </c>
      <c r="R391" s="36">
        <f>SUMIFS('Business - Dump'!$U:$U,'Business - Dump'!$B:$B,'Portfolio Wise '!$B391,'Business - Dump'!$A:$A,'Portfolio Wise '!$A391)/1.18</f>
        <v>0</v>
      </c>
      <c r="S391" s="41">
        <f t="shared" si="9"/>
        <v>0</v>
      </c>
      <c r="T391" s="23">
        <f t="shared" si="10"/>
        <v>0</v>
      </c>
      <c r="U391" s="38">
        <f t="shared" si="11"/>
        <v>0</v>
      </c>
      <c r="V391" s="41">
        <f>SUMIFS('Business - Dump'!$G:$G,'Business - Dump'!$B:$B,'Portfolio Wise '!$B391,'Business - Dump'!$A:$A,'Portfolio Wise '!$A391)</f>
        <v>0</v>
      </c>
      <c r="W391" s="48">
        <f t="shared" si="12"/>
        <v>0</v>
      </c>
      <c r="X391" s="23">
        <f t="shared" ref="X391:Y391" si="558">IFERROR(N391/Q391,0)</f>
        <v>0</v>
      </c>
      <c r="Y391" s="49">
        <f t="shared" si="558"/>
        <v>0</v>
      </c>
      <c r="Z391" s="49">
        <f t="shared" si="14"/>
        <v>0</v>
      </c>
      <c r="AA391" s="23">
        <f t="shared" si="15"/>
        <v>0</v>
      </c>
      <c r="AB391" s="23">
        <f>IFERROR(AVERAGEIFS('Business - Dump'!$O:$O,'Business - Dump'!$B:$B,'Portfolio Wise '!$B391,'Business - Dump'!$A:$A,'Portfolio Wise '!$A391),0)</f>
        <v>0</v>
      </c>
      <c r="AC391" s="49">
        <f>F391/SUMIFS('Campaign - Dump'!$Q:$Q,'Campaign - Dump'!$A:$A,'Portfolio Wise '!$A391)</f>
        <v>0</v>
      </c>
      <c r="AD391" s="49">
        <f t="shared" si="16"/>
        <v>0</v>
      </c>
    </row>
    <row r="392" ht="15.75" customHeight="1">
      <c r="A392" s="65">
        <v>45717.0</v>
      </c>
      <c r="B392" s="51" t="s">
        <v>119</v>
      </c>
      <c r="C392" s="13">
        <f>SUMIFS('Campaign - Dump'!$N:$N,'Campaign - Dump'!$J:$J,'Portfolio Wise '!$B392,'Campaign - Dump'!$A:$A,'Portfolio Wise '!$A392)</f>
        <v>37046</v>
      </c>
      <c r="D392" s="13">
        <f>SUMIFS('Campaign - Dump'!$O:$O,'Campaign - Dump'!$J:$J,'Portfolio Wise '!$B392,'Campaign - Dump'!$A:$A,'Portfolio Wise '!$A392)</f>
        <v>509</v>
      </c>
      <c r="E392" s="23">
        <f t="shared" si="2"/>
        <v>0.013739675</v>
      </c>
      <c r="F392" s="36">
        <f>SUMIFS('Campaign - Dump'!$Q:$Q,'Campaign - Dump'!$J:$J,'Portfolio Wise '!$B392,'Campaign - Dump'!$A:$A,'Portfolio Wise '!$A392)</f>
        <v>2080.86</v>
      </c>
      <c r="G392" s="38">
        <f t="shared" si="3"/>
        <v>4.088133595</v>
      </c>
      <c r="H392" s="41">
        <f>SUMIFS('Campaign - Dump'!$T:$T,'Campaign - Dump'!$J:$J,'Portfolio Wise '!$B392,'Campaign - Dump'!$A:$A,'Portfolio Wise '!$A392)</f>
        <v>4</v>
      </c>
      <c r="I392" s="23">
        <f t="shared" si="4"/>
        <v>0.007858546169</v>
      </c>
      <c r="J392" s="36">
        <f>SUMIFS('Campaign - Dump'!$U:$U,'Campaign - Dump'!$J:$J,'Portfolio Wise '!$B392,'Campaign - Dump'!$A:$A,'Portfolio Wise '!$A392)</f>
        <v>21415.25</v>
      </c>
      <c r="K392" s="23">
        <f t="shared" si="5"/>
        <v>0.09716720561</v>
      </c>
      <c r="L392" s="38">
        <f t="shared" si="6"/>
        <v>10.29153811</v>
      </c>
      <c r="M392" s="41">
        <f t="shared" si="7"/>
        <v>5353.8125</v>
      </c>
      <c r="N392" s="13">
        <f t="shared" si="559"/>
        <v>0</v>
      </c>
      <c r="O392" s="36">
        <f t="shared" si="560"/>
        <v>0.004237288136</v>
      </c>
      <c r="P392" s="41">
        <f t="shared" si="8"/>
        <v>0</v>
      </c>
      <c r="Q392" s="13">
        <f>SUMIFS('Business - Dump'!$W:$W,'Business - Dump'!$B:$B,'Portfolio Wise '!$B392,'Business - Dump'!$A:$A,'Portfolio Wise '!$A392)</f>
        <v>4</v>
      </c>
      <c r="R392" s="36">
        <f>SUMIFS('Business - Dump'!$U:$U,'Business - Dump'!$B:$B,'Portfolio Wise '!$B392,'Business - Dump'!$A:$A,'Portfolio Wise '!$A392)/1.18</f>
        <v>21415.25424</v>
      </c>
      <c r="S392" s="41">
        <f t="shared" si="9"/>
        <v>5353.813559</v>
      </c>
      <c r="T392" s="23">
        <f t="shared" si="10"/>
        <v>0.09716718639</v>
      </c>
      <c r="U392" s="38">
        <f t="shared" si="11"/>
        <v>10.29154015</v>
      </c>
      <c r="V392" s="41">
        <f>SUMIFS('Business - Dump'!$G:$G,'Business - Dump'!$B:$B,'Portfolio Wise '!$B392,'Business - Dump'!$A:$A,'Portfolio Wise '!$A392)</f>
        <v>2129</v>
      </c>
      <c r="W392" s="48">
        <f t="shared" si="12"/>
        <v>0.001878816346</v>
      </c>
      <c r="X392" s="23">
        <f t="shared" ref="X392:Y392" si="561">IFERROR(N392/Q392,0)</f>
        <v>0</v>
      </c>
      <c r="Y392" s="49">
        <f t="shared" si="561"/>
        <v>0.0000001978630788</v>
      </c>
      <c r="Z392" s="49">
        <f t="shared" si="14"/>
        <v>1</v>
      </c>
      <c r="AA392" s="23">
        <f t="shared" si="15"/>
        <v>0.0000001978630788</v>
      </c>
      <c r="AB392" s="23">
        <f>IFERROR(AVERAGEIFS('Business - Dump'!$O:$O,'Business - Dump'!$B:$B,'Portfolio Wise '!$B392,'Business - Dump'!$A:$A,'Portfolio Wise '!$A392),0)</f>
        <v>0.81176</v>
      </c>
      <c r="AC392" s="49">
        <f>F392/SUMIFS('Campaign - Dump'!$Q:$Q,'Campaign - Dump'!$A:$A,'Portfolio Wise '!$A392)</f>
        <v>0.002461060063</v>
      </c>
      <c r="AD392" s="49">
        <f t="shared" si="16"/>
        <v>0</v>
      </c>
      <c r="AE392" s="27"/>
    </row>
    <row r="393" ht="15.75" customHeight="1">
      <c r="A393" s="65">
        <v>45717.0</v>
      </c>
      <c r="B393" s="68" t="s">
        <v>413</v>
      </c>
      <c r="C393" s="13">
        <f>SUMIFS('Campaign - Dump'!$N:$N,'Campaign - Dump'!$J:$J,'Portfolio Wise '!$B393,'Campaign - Dump'!$A:$A,'Portfolio Wise '!$A393)</f>
        <v>739063</v>
      </c>
      <c r="D393" s="13">
        <f>SUMIFS('Campaign - Dump'!$O:$O,'Campaign - Dump'!$J:$J,'Portfolio Wise '!$B393,'Campaign - Dump'!$A:$A,'Portfolio Wise '!$A393)</f>
        <v>3000</v>
      </c>
      <c r="E393" s="23">
        <f t="shared" si="2"/>
        <v>0.004059193871</v>
      </c>
      <c r="F393" s="36">
        <f>SUMIFS('Campaign - Dump'!$Q:$Q,'Campaign - Dump'!$J:$J,'Portfolio Wise '!$B393,'Campaign - Dump'!$A:$A,'Portfolio Wise '!$A393)</f>
        <v>109087.84</v>
      </c>
      <c r="G393" s="38">
        <f t="shared" si="3"/>
        <v>36.36261333</v>
      </c>
      <c r="H393" s="41">
        <f>SUMIFS('Campaign - Dump'!$T:$T,'Campaign - Dump'!$J:$J,'Portfolio Wise '!$B393,'Campaign - Dump'!$A:$A,'Portfolio Wise '!$A393)</f>
        <v>14</v>
      </c>
      <c r="I393" s="23">
        <f t="shared" si="4"/>
        <v>0.004666666667</v>
      </c>
      <c r="J393" s="36">
        <f>SUMIFS('Campaign - Dump'!$U:$U,'Campaign - Dump'!$J:$J,'Portfolio Wise '!$B393,'Campaign - Dump'!$A:$A,'Portfolio Wise '!$A393)</f>
        <v>192616.1</v>
      </c>
      <c r="K393" s="23">
        <f t="shared" si="5"/>
        <v>0.5663485036</v>
      </c>
      <c r="L393" s="38">
        <f t="shared" si="6"/>
        <v>1.765697258</v>
      </c>
      <c r="M393" s="41">
        <f t="shared" si="7"/>
        <v>13758.29286</v>
      </c>
      <c r="N393" s="13">
        <f t="shared" si="559"/>
        <v>9</v>
      </c>
      <c r="O393" s="36">
        <f t="shared" si="560"/>
        <v>144782.2051</v>
      </c>
      <c r="P393" s="41">
        <f t="shared" si="8"/>
        <v>16086.91168</v>
      </c>
      <c r="Q393" s="13">
        <f>SUMIFS('Business - Dump'!$W:$W,'Business - Dump'!$B:$B,'Portfolio Wise '!$B393,'Business - Dump'!$A:$A,'Portfolio Wise '!$A393)</f>
        <v>23</v>
      </c>
      <c r="R393" s="36">
        <f>SUMIFS('Business - Dump'!$U:$U,'Business - Dump'!$B:$B,'Portfolio Wise '!$B393,'Business - Dump'!$A:$A,'Portfolio Wise '!$A393)/1.18</f>
        <v>337398.3051</v>
      </c>
      <c r="S393" s="41">
        <f t="shared" si="9"/>
        <v>14669.49153</v>
      </c>
      <c r="T393" s="23">
        <f t="shared" si="10"/>
        <v>0.323320652</v>
      </c>
      <c r="U393" s="38">
        <f t="shared" si="11"/>
        <v>3.09290481</v>
      </c>
      <c r="V393" s="41">
        <f>SUMIFS('Business - Dump'!$G:$G,'Business - Dump'!$B:$B,'Portfolio Wise '!$B393,'Business - Dump'!$A:$A,'Portfolio Wise '!$A393)</f>
        <v>6139</v>
      </c>
      <c r="W393" s="48">
        <f t="shared" si="12"/>
        <v>0.003746538524</v>
      </c>
      <c r="X393" s="23">
        <f t="shared" ref="X393:Y393" si="562">IFERROR(N393/Q393,0)</f>
        <v>0.3913043478</v>
      </c>
      <c r="Y393" s="49">
        <f t="shared" si="562"/>
        <v>0.4291136111</v>
      </c>
      <c r="Z393" s="49">
        <f t="shared" si="14"/>
        <v>0.6086956522</v>
      </c>
      <c r="AA393" s="23">
        <f t="shared" si="15"/>
        <v>0.4291136111</v>
      </c>
      <c r="AB393" s="23">
        <f>IFERROR(AVERAGEIFS('Business - Dump'!$O:$O,'Business - Dump'!$B:$B,'Portfolio Wise '!$B393,'Business - Dump'!$A:$A,'Portfolio Wise '!$A393),0)</f>
        <v>0.830225</v>
      </c>
      <c r="AC393" s="49">
        <f>F393/SUMIFS('Campaign - Dump'!$Q:$Q,'Campaign - Dump'!$A:$A,'Portfolio Wise '!$A393)</f>
        <v>0.1290196007</v>
      </c>
      <c r="AD393" s="49">
        <f t="shared" si="16"/>
        <v>0.6428571429</v>
      </c>
    </row>
    <row r="394" ht="15.75" customHeight="1">
      <c r="A394" s="65">
        <v>45717.0</v>
      </c>
      <c r="B394" s="19" t="s">
        <v>128</v>
      </c>
      <c r="C394" s="13">
        <f>SUMIFS('Campaign - Dump'!$N:$N,'Campaign - Dump'!$J:$J,'Portfolio Wise '!$B394,'Campaign - Dump'!$A:$A,'Portfolio Wise '!$A394)</f>
        <v>1507069</v>
      </c>
      <c r="D394" s="13">
        <f>SUMIFS('Campaign - Dump'!$O:$O,'Campaign - Dump'!$J:$J,'Portfolio Wise '!$B394,'Campaign - Dump'!$A:$A,'Portfolio Wise '!$A394)</f>
        <v>5221</v>
      </c>
      <c r="E394" s="23">
        <f t="shared" si="2"/>
        <v>0.003464340385</v>
      </c>
      <c r="F394" s="36">
        <f>SUMIFS('Campaign - Dump'!$Q:$Q,'Campaign - Dump'!$J:$J,'Portfolio Wise '!$B394,'Campaign - Dump'!$A:$A,'Portfolio Wise '!$A394)</f>
        <v>149987.15</v>
      </c>
      <c r="G394" s="38">
        <f t="shared" si="3"/>
        <v>28.72766711</v>
      </c>
      <c r="H394" s="41">
        <f>SUMIFS('Campaign - Dump'!$T:$T,'Campaign - Dump'!$J:$J,'Portfolio Wise '!$B394,'Campaign - Dump'!$A:$A,'Portfolio Wise '!$A394)</f>
        <v>75</v>
      </c>
      <c r="I394" s="62">
        <f t="shared" si="4"/>
        <v>0.01436506416</v>
      </c>
      <c r="J394" s="36">
        <f>SUMIFS('Campaign - Dump'!$U:$U,'Campaign - Dump'!$J:$J,'Portfolio Wise '!$B394,'Campaign - Dump'!$A:$A,'Portfolio Wise '!$A394)</f>
        <v>1190245</v>
      </c>
      <c r="K394" s="23">
        <f t="shared" si="5"/>
        <v>0.1260136779</v>
      </c>
      <c r="L394" s="38">
        <f t="shared" si="6"/>
        <v>7.935646487</v>
      </c>
      <c r="M394" s="41">
        <f t="shared" si="7"/>
        <v>15869.93333</v>
      </c>
      <c r="N394" s="13">
        <v>0.0</v>
      </c>
      <c r="O394" s="36">
        <v>0.0</v>
      </c>
      <c r="P394" s="41">
        <f t="shared" si="8"/>
        <v>0</v>
      </c>
      <c r="Q394" s="13">
        <f>SUMIFS('Business - Dump'!$W:$W,'Business - Dump'!$B:$B,'Portfolio Wise '!$B394,'Business - Dump'!$A:$A,'Portfolio Wise '!$A394)</f>
        <v>0</v>
      </c>
      <c r="R394" s="36">
        <f>SUMIFS('Business - Dump'!$U:$U,'Business - Dump'!$B:$B,'Portfolio Wise '!$B394,'Business - Dump'!$A:$A,'Portfolio Wise '!$A394)/1.18</f>
        <v>0</v>
      </c>
      <c r="S394" s="41">
        <f t="shared" si="9"/>
        <v>0</v>
      </c>
      <c r="T394" s="23">
        <f t="shared" si="10"/>
        <v>0</v>
      </c>
      <c r="U394" s="38">
        <f t="shared" si="11"/>
        <v>0</v>
      </c>
      <c r="V394" s="41">
        <f>SUMIFS('Business - Dump'!$G:$G,'Business - Dump'!$B:$B,'Portfolio Wise '!$B394,'Business - Dump'!$A:$A,'Portfolio Wise '!$A394)</f>
        <v>0</v>
      </c>
      <c r="W394" s="48">
        <f t="shared" si="12"/>
        <v>0</v>
      </c>
      <c r="X394" s="23">
        <f t="shared" ref="X394:Y394" si="563">IFERROR(N394/Q394,0)</f>
        <v>0</v>
      </c>
      <c r="Y394" s="49">
        <f t="shared" si="563"/>
        <v>0</v>
      </c>
      <c r="Z394" s="49">
        <f t="shared" si="14"/>
        <v>0</v>
      </c>
      <c r="AA394" s="23">
        <f t="shared" si="15"/>
        <v>0</v>
      </c>
      <c r="AB394" s="23">
        <f>IFERROR(AVERAGEIFS('Business - Dump'!$O:$O,'Business - Dump'!$B:$B,'Portfolio Wise '!$B394,'Business - Dump'!$A:$A,'Portfolio Wise '!$A394),0)</f>
        <v>0</v>
      </c>
      <c r="AC394" s="49">
        <f>F394/SUMIFS('Campaign - Dump'!$Q:$Q,'Campaign - Dump'!$A:$A,'Portfolio Wise '!$A394)</f>
        <v>0.1773917442</v>
      </c>
      <c r="AD394" s="49">
        <f t="shared" si="16"/>
        <v>0</v>
      </c>
    </row>
    <row r="395" ht="15.75" customHeight="1">
      <c r="A395" s="65">
        <v>45717.0</v>
      </c>
      <c r="B395" s="19" t="s">
        <v>134</v>
      </c>
      <c r="C395" s="13">
        <f>SUMIFS('Campaign - Dump'!$N:$N,'Campaign - Dump'!$J:$J,'Portfolio Wise '!$B395,'Campaign - Dump'!$A:$A,'Portfolio Wise '!$A395)</f>
        <v>1725499</v>
      </c>
      <c r="D395" s="13">
        <f>SUMIFS('Campaign - Dump'!$O:$O,'Campaign - Dump'!$J:$J,'Portfolio Wise '!$B395,'Campaign - Dump'!$A:$A,'Portfolio Wise '!$A395)</f>
        <v>3654</v>
      </c>
      <c r="E395" s="23">
        <f t="shared" si="2"/>
        <v>0.002117648286</v>
      </c>
      <c r="F395" s="36">
        <f>SUMIFS('Campaign - Dump'!$Q:$Q,'Campaign - Dump'!$J:$J,'Portfolio Wise '!$B395,'Campaign - Dump'!$A:$A,'Portfolio Wise '!$A395)</f>
        <v>56136.31</v>
      </c>
      <c r="G395" s="38">
        <f t="shared" si="3"/>
        <v>15.36297482</v>
      </c>
      <c r="H395" s="41">
        <f>SUMIFS('Campaign - Dump'!$T:$T,'Campaign - Dump'!$J:$J,'Portfolio Wise '!$B395,'Campaign - Dump'!$A:$A,'Portfolio Wise '!$A395)</f>
        <v>18</v>
      </c>
      <c r="I395" s="23">
        <f t="shared" si="4"/>
        <v>0.004926108374</v>
      </c>
      <c r="J395" s="36">
        <f>SUMIFS('Campaign - Dump'!$U:$U,'Campaign - Dump'!$J:$J,'Portfolio Wise '!$B395,'Campaign - Dump'!$A:$A,'Portfolio Wise '!$A395)</f>
        <v>329976.29</v>
      </c>
      <c r="K395" s="23">
        <f t="shared" si="5"/>
        <v>0.1701222533</v>
      </c>
      <c r="L395" s="38">
        <f t="shared" si="6"/>
        <v>5.878125762</v>
      </c>
      <c r="M395" s="41">
        <f t="shared" si="7"/>
        <v>18332.01611</v>
      </c>
      <c r="N395" s="13">
        <f t="shared" ref="N395:N401" si="565">IFERROR(Q395-H395,0)</f>
        <v>34</v>
      </c>
      <c r="O395" s="36">
        <f t="shared" ref="O395:O401" si="566">IFERROR(R395-J395,0)</f>
        <v>598309.2015</v>
      </c>
      <c r="P395" s="41">
        <f t="shared" si="8"/>
        <v>17597.32946</v>
      </c>
      <c r="Q395" s="198">
        <f>SUMIFS('Business - Dump'!$W:$W,'Business - Dump'!$B:$B,'Portfolio Wise '!$B395,'Business - Dump'!$A:$A,'Portfolio Wise '!$A395)</f>
        <v>52</v>
      </c>
      <c r="R395" s="36">
        <f>SUMIFS('Business - Dump'!$U:$U,'Business - Dump'!$B:$B,'Portfolio Wise '!$B395,'Business - Dump'!$A:$A,'Portfolio Wise '!$A395)/1.18</f>
        <v>928285.4915</v>
      </c>
      <c r="S395" s="41">
        <f t="shared" si="9"/>
        <v>17851.64407</v>
      </c>
      <c r="T395" s="62">
        <f t="shared" si="10"/>
        <v>0.06047310931</v>
      </c>
      <c r="U395" s="38">
        <f t="shared" si="11"/>
        <v>16.53627557</v>
      </c>
      <c r="V395" s="130">
        <f>SUMIFS('Business - Dump'!$G:$G,'Business - Dump'!$B:$B,'Portfolio Wise '!$B395,'Business - Dump'!$A:$A,'Portfolio Wise '!$A395)</f>
        <v>10020</v>
      </c>
      <c r="W395" s="62">
        <f t="shared" si="12"/>
        <v>0.005189620758</v>
      </c>
      <c r="X395" s="23">
        <f t="shared" ref="X395:Y395" si="564">IFERROR(N395/Q395,0)</f>
        <v>0.6538461538</v>
      </c>
      <c r="Y395" s="49">
        <f t="shared" si="564"/>
        <v>0.6445314583</v>
      </c>
      <c r="Z395" s="49">
        <f t="shared" si="14"/>
        <v>0.3461538462</v>
      </c>
      <c r="AA395" s="23">
        <f t="shared" si="15"/>
        <v>0.6445314583</v>
      </c>
      <c r="AB395" s="23">
        <f>IFERROR(AVERAGEIFS('Business - Dump'!$O:$O,'Business - Dump'!$B:$B,'Portfolio Wise '!$B395,'Business - Dump'!$A:$A,'Portfolio Wise '!$A395),0)</f>
        <v>0.8512888889</v>
      </c>
      <c r="AC395" s="49">
        <f>F395/SUMIFS('Campaign - Dump'!$Q:$Q,'Campaign - Dump'!$A:$A,'Portfolio Wise '!$A395)</f>
        <v>0.06639314064</v>
      </c>
      <c r="AD395" s="49">
        <f t="shared" si="16"/>
        <v>1.888888889</v>
      </c>
    </row>
    <row r="396" ht="15.75" customHeight="1">
      <c r="A396" s="65">
        <v>45717.0</v>
      </c>
      <c r="B396" s="19" t="s">
        <v>140</v>
      </c>
      <c r="C396" s="13">
        <f>SUMIFS('Campaign - Dump'!$N:$N,'Campaign - Dump'!$J:$J,'Portfolio Wise '!$B396,'Campaign - Dump'!$A:$A,'Portfolio Wise '!$A396)</f>
        <v>333745</v>
      </c>
      <c r="D396" s="13">
        <f>SUMIFS('Campaign - Dump'!$O:$O,'Campaign - Dump'!$J:$J,'Portfolio Wise '!$B396,'Campaign - Dump'!$A:$A,'Portfolio Wise '!$A396)</f>
        <v>925</v>
      </c>
      <c r="E396" s="23">
        <f t="shared" si="2"/>
        <v>0.002771577102</v>
      </c>
      <c r="F396" s="36">
        <f>SUMIFS('Campaign - Dump'!$Q:$Q,'Campaign - Dump'!$J:$J,'Portfolio Wise '!$B396,'Campaign - Dump'!$A:$A,'Portfolio Wise '!$A396)</f>
        <v>45143.61</v>
      </c>
      <c r="G396" s="38">
        <f t="shared" si="3"/>
        <v>48.8039027</v>
      </c>
      <c r="H396" s="41">
        <f>SUMIFS('Campaign - Dump'!$T:$T,'Campaign - Dump'!$J:$J,'Portfolio Wise '!$B396,'Campaign - Dump'!$A:$A,'Portfolio Wise '!$A396)</f>
        <v>9</v>
      </c>
      <c r="I396" s="23">
        <f t="shared" si="4"/>
        <v>0.00972972973</v>
      </c>
      <c r="J396" s="36">
        <f>SUMIFS('Campaign - Dump'!$U:$U,'Campaign - Dump'!$J:$J,'Portfolio Wise '!$B396,'Campaign - Dump'!$A:$A,'Portfolio Wise '!$A396)</f>
        <v>213651.71</v>
      </c>
      <c r="K396" s="23">
        <f t="shared" si="5"/>
        <v>0.2112953367</v>
      </c>
      <c r="L396" s="38">
        <f t="shared" si="6"/>
        <v>4.732712116</v>
      </c>
      <c r="M396" s="41">
        <f t="shared" si="7"/>
        <v>23739.07889</v>
      </c>
      <c r="N396" s="13">
        <f t="shared" si="565"/>
        <v>13</v>
      </c>
      <c r="O396" s="36">
        <f t="shared" si="566"/>
        <v>413230.9002</v>
      </c>
      <c r="P396" s="41">
        <f t="shared" si="8"/>
        <v>31786.99232</v>
      </c>
      <c r="Q396" s="13">
        <f>SUMIFS('Business - Dump'!$W:$W,'Business - Dump'!$B:$B,'Portfolio Wise '!$B396,'Business - Dump'!$A:$A,'Portfolio Wise '!$A396)</f>
        <v>22</v>
      </c>
      <c r="R396" s="36">
        <f>SUMIFS('Business - Dump'!$U:$U,'Business - Dump'!$B:$B,'Portfolio Wise '!$B396,'Business - Dump'!$A:$A,'Portfolio Wise '!$A396)/1.18</f>
        <v>626882.6102</v>
      </c>
      <c r="S396" s="41">
        <f t="shared" si="9"/>
        <v>28494.6641</v>
      </c>
      <c r="T396" s="23">
        <f t="shared" si="10"/>
        <v>0.07201286057</v>
      </c>
      <c r="U396" s="38">
        <f t="shared" si="11"/>
        <v>13.88640851</v>
      </c>
      <c r="V396" s="41">
        <f>SUMIFS('Business - Dump'!$G:$G,'Business - Dump'!$B:$B,'Portfolio Wise '!$B396,'Business - Dump'!$A:$A,'Portfolio Wise '!$A396)</f>
        <v>3900</v>
      </c>
      <c r="W396" s="23">
        <f t="shared" si="12"/>
        <v>0.005641025641</v>
      </c>
      <c r="X396" s="23">
        <f t="shared" ref="X396:Y396" si="567">IFERROR(N396/Q396,0)</f>
        <v>0.5909090909</v>
      </c>
      <c r="Y396" s="49">
        <f t="shared" si="567"/>
        <v>0.6591838623</v>
      </c>
      <c r="Z396" s="49">
        <f t="shared" si="14"/>
        <v>0.4090909091</v>
      </c>
      <c r="AA396" s="23">
        <f t="shared" si="15"/>
        <v>0.6591838623</v>
      </c>
      <c r="AB396" s="23">
        <f>IFERROR(AVERAGEIFS('Business - Dump'!$O:$O,'Business - Dump'!$B:$B,'Portfolio Wise '!$B396,'Business - Dump'!$A:$A,'Portfolio Wise '!$A396),0)</f>
        <v>0.877475</v>
      </c>
      <c r="AC396" s="49">
        <f>F396/SUMIFS('Campaign - Dump'!$Q:$Q,'Campaign - Dump'!$A:$A,'Portfolio Wise '!$A396)</f>
        <v>0.05339193203</v>
      </c>
      <c r="AD396" s="49">
        <f t="shared" si="16"/>
        <v>1.444444444</v>
      </c>
    </row>
    <row r="397" ht="15.75" customHeight="1">
      <c r="A397" s="65">
        <v>45717.0</v>
      </c>
      <c r="B397" s="10" t="s">
        <v>152</v>
      </c>
      <c r="C397" s="13">
        <f>SUMIFS('Campaign - Dump'!$N:$N,'Campaign - Dump'!$J:$J,'Portfolio Wise '!$B397,'Campaign - Dump'!$A:$A,'Portfolio Wise '!$A397)</f>
        <v>111428</v>
      </c>
      <c r="D397" s="13">
        <f>SUMIFS('Campaign - Dump'!$O:$O,'Campaign - Dump'!$J:$J,'Portfolio Wise '!$B397,'Campaign - Dump'!$A:$A,'Portfolio Wise '!$A397)</f>
        <v>407</v>
      </c>
      <c r="E397" s="23">
        <f t="shared" si="2"/>
        <v>0.003652582834</v>
      </c>
      <c r="F397" s="36">
        <f>SUMIFS('Campaign - Dump'!$Q:$Q,'Campaign - Dump'!$J:$J,'Portfolio Wise '!$B397,'Campaign - Dump'!$A:$A,'Portfolio Wise '!$A397)</f>
        <v>15543.81</v>
      </c>
      <c r="G397" s="38">
        <f t="shared" si="3"/>
        <v>38.19117936</v>
      </c>
      <c r="H397" s="41">
        <f>SUMIFS('Campaign - Dump'!$T:$T,'Campaign - Dump'!$J:$J,'Portfolio Wise '!$B397,'Campaign - Dump'!$A:$A,'Portfolio Wise '!$A397)</f>
        <v>1</v>
      </c>
      <c r="I397" s="23">
        <f t="shared" si="4"/>
        <v>0.002457002457</v>
      </c>
      <c r="J397" s="36">
        <f>SUMIFS('Campaign - Dump'!$U:$U,'Campaign - Dump'!$J:$J,'Portfolio Wise '!$B397,'Campaign - Dump'!$A:$A,'Portfolio Wise '!$A397)</f>
        <v>14405.93</v>
      </c>
      <c r="K397" s="23">
        <f t="shared" si="5"/>
        <v>1.078986917</v>
      </c>
      <c r="L397" s="38">
        <f t="shared" si="6"/>
        <v>0.9267952966</v>
      </c>
      <c r="M397" s="41">
        <f t="shared" si="7"/>
        <v>14405.93</v>
      </c>
      <c r="N397" s="13">
        <f t="shared" si="565"/>
        <v>3</v>
      </c>
      <c r="O397" s="36">
        <f t="shared" si="566"/>
        <v>37384.20559</v>
      </c>
      <c r="P397" s="41">
        <f t="shared" si="8"/>
        <v>12461.40186</v>
      </c>
      <c r="Q397" s="13">
        <f>SUMIFS('Business - Dump'!$W:$W,'Business - Dump'!$B:$B,'Portfolio Wise '!$B397,'Business - Dump'!$A:$A,'Portfolio Wise '!$A397)</f>
        <v>4</v>
      </c>
      <c r="R397" s="36">
        <f>SUMIFS('Business - Dump'!$U:$U,'Business - Dump'!$B:$B,'Portfolio Wise '!$B397,'Business - Dump'!$A:$A,'Portfolio Wise '!$A397)/1.18</f>
        <v>51790.13559</v>
      </c>
      <c r="S397" s="41">
        <f t="shared" si="9"/>
        <v>12947.5339</v>
      </c>
      <c r="T397" s="23">
        <f t="shared" si="10"/>
        <v>0.3001307068</v>
      </c>
      <c r="U397" s="38">
        <f t="shared" si="11"/>
        <v>3.331881668</v>
      </c>
      <c r="V397" s="41">
        <f>SUMIFS('Business - Dump'!$G:$G,'Business - Dump'!$B:$B,'Portfolio Wise '!$B397,'Business - Dump'!$A:$A,'Portfolio Wise '!$A397)</f>
        <v>889</v>
      </c>
      <c r="W397" s="48">
        <f t="shared" si="12"/>
        <v>0.00449943757</v>
      </c>
      <c r="X397" s="23">
        <f t="shared" ref="X397:Y397" si="568">IFERROR(N397/Q397,0)</f>
        <v>0.75</v>
      </c>
      <c r="Y397" s="49">
        <f t="shared" si="568"/>
        <v>0.7218402726</v>
      </c>
      <c r="Z397" s="49">
        <f t="shared" si="14"/>
        <v>0.25</v>
      </c>
      <c r="AA397" s="23">
        <f t="shared" si="15"/>
        <v>0.7218402726</v>
      </c>
      <c r="AB397" s="23">
        <f>IFERROR(AVERAGEIFS('Business - Dump'!$O:$O,'Business - Dump'!$B:$B,'Portfolio Wise '!$B397,'Business - Dump'!$A:$A,'Portfolio Wise '!$A397),0)</f>
        <v>0.9721</v>
      </c>
      <c r="AC397" s="49">
        <f>F397/SUMIFS('Campaign - Dump'!$Q:$Q,'Campaign - Dump'!$A:$A,'Portfolio Wise '!$A397)</f>
        <v>0.01838386534</v>
      </c>
      <c r="AD397" s="49">
        <f t="shared" si="16"/>
        <v>3</v>
      </c>
    </row>
    <row r="398" ht="15.75" customHeight="1">
      <c r="A398" s="65">
        <v>45717.0</v>
      </c>
      <c r="B398" s="19" t="s">
        <v>158</v>
      </c>
      <c r="C398" s="13">
        <f>SUMIFS('Campaign - Dump'!$N:$N,'Campaign - Dump'!$J:$J,'Portfolio Wise '!$B398,'Campaign - Dump'!$A:$A,'Portfolio Wise '!$A398)</f>
        <v>1000483</v>
      </c>
      <c r="D398" s="13">
        <f>SUMIFS('Campaign - Dump'!$O:$O,'Campaign - Dump'!$J:$J,'Portfolio Wise '!$B398,'Campaign - Dump'!$A:$A,'Portfolio Wise '!$A398)</f>
        <v>6568</v>
      </c>
      <c r="E398" s="23">
        <f t="shared" si="2"/>
        <v>0.006564829188</v>
      </c>
      <c r="F398" s="36">
        <f>SUMIFS('Campaign - Dump'!$Q:$Q,'Campaign - Dump'!$J:$J,'Portfolio Wise '!$B398,'Campaign - Dump'!$A:$A,'Portfolio Wise '!$A398)</f>
        <v>72723.75</v>
      </c>
      <c r="G398" s="38">
        <f t="shared" si="3"/>
        <v>11.07243453</v>
      </c>
      <c r="H398" s="41">
        <f>SUMIFS('Campaign - Dump'!$T:$T,'Campaign - Dump'!$J:$J,'Portfolio Wise '!$B398,'Campaign - Dump'!$A:$A,'Portfolio Wise '!$A398)</f>
        <v>97</v>
      </c>
      <c r="I398" s="23">
        <f t="shared" si="4"/>
        <v>0.01476857491</v>
      </c>
      <c r="J398" s="36">
        <f>SUMIFS('Campaign - Dump'!$U:$U,'Campaign - Dump'!$J:$J,'Portfolio Wise '!$B398,'Campaign - Dump'!$A:$A,'Portfolio Wise '!$A398)</f>
        <v>296139.16</v>
      </c>
      <c r="K398" s="23">
        <f t="shared" si="5"/>
        <v>0.2455728921</v>
      </c>
      <c r="L398" s="38">
        <f t="shared" si="6"/>
        <v>4.072110693</v>
      </c>
      <c r="M398" s="41">
        <f t="shared" si="7"/>
        <v>3052.981031</v>
      </c>
      <c r="N398" s="13">
        <f t="shared" si="565"/>
        <v>27</v>
      </c>
      <c r="O398" s="36">
        <f t="shared" si="566"/>
        <v>55553.21288</v>
      </c>
      <c r="P398" s="41">
        <f t="shared" si="8"/>
        <v>2057.526403</v>
      </c>
      <c r="Q398" s="13">
        <f>SUMIFS('Business - Dump'!$W:$W,'Business - Dump'!$B:$B,'Portfolio Wise '!$B398,'Business - Dump'!$A:$A,'Portfolio Wise '!$A398)</f>
        <v>124</v>
      </c>
      <c r="R398" s="36">
        <f>SUMIFS('Business - Dump'!$U:$U,'Business - Dump'!$B:$B,'Portfolio Wise '!$B398,'Business - Dump'!$A:$A,'Portfolio Wise '!$A398)/1.18</f>
        <v>351692.3729</v>
      </c>
      <c r="S398" s="41">
        <f t="shared" si="9"/>
        <v>2836.228814</v>
      </c>
      <c r="T398" s="201">
        <f t="shared" si="10"/>
        <v>0.2067822779</v>
      </c>
      <c r="U398" s="38">
        <f t="shared" si="11"/>
        <v>4.836004371</v>
      </c>
      <c r="V398" s="41">
        <f>SUMIFS('Business - Dump'!$G:$G,'Business - Dump'!$B:$B,'Portfolio Wise '!$B398,'Business - Dump'!$A:$A,'Portfolio Wise '!$A398)</f>
        <v>9705</v>
      </c>
      <c r="W398" s="48">
        <f t="shared" si="12"/>
        <v>0.01277691911</v>
      </c>
      <c r="X398" s="23">
        <f t="shared" ref="X398:Y398" si="569">IFERROR(N398/Q398,0)</f>
        <v>0.2177419355</v>
      </c>
      <c r="Y398" s="49">
        <f t="shared" si="569"/>
        <v>0.1579596749</v>
      </c>
      <c r="Z398" s="49">
        <f t="shared" si="14"/>
        <v>0.7822580645</v>
      </c>
      <c r="AA398" s="23">
        <f t="shared" si="15"/>
        <v>0.1579596749</v>
      </c>
      <c r="AB398" s="23">
        <f>IFERROR(AVERAGEIFS('Business - Dump'!$O:$O,'Business - Dump'!$B:$B,'Portfolio Wise '!$B398,'Business - Dump'!$A:$A,'Portfolio Wise '!$A398),0)</f>
        <v>0.9773</v>
      </c>
      <c r="AC398" s="49">
        <f>F398/SUMIFS('Campaign - Dump'!$Q:$Q,'Campaign - Dump'!$A:$A,'Portfolio Wise '!$A398)</f>
        <v>0.08601132069</v>
      </c>
      <c r="AD398" s="49">
        <f t="shared" si="16"/>
        <v>0.2783505155</v>
      </c>
    </row>
    <row r="399" ht="15.75" customHeight="1">
      <c r="A399" s="65">
        <v>45717.0</v>
      </c>
      <c r="B399" s="33" t="s">
        <v>170</v>
      </c>
      <c r="C399" s="13">
        <f>SUMIFS('Campaign - Dump'!$N:$N,'Campaign - Dump'!$J:$J,'Portfolio Wise '!$B399,'Campaign - Dump'!$A:$A,'Portfolio Wise '!$A399)</f>
        <v>0</v>
      </c>
      <c r="D399" s="13">
        <f>SUMIFS('Campaign - Dump'!$O:$O,'Campaign - Dump'!$J:$J,'Portfolio Wise '!$B399,'Campaign - Dump'!$A:$A,'Portfolio Wise '!$A399)</f>
        <v>0</v>
      </c>
      <c r="E399" s="23">
        <f t="shared" si="2"/>
        <v>0</v>
      </c>
      <c r="F399" s="36">
        <f>SUMIFS('Campaign - Dump'!$Q:$Q,'Campaign - Dump'!$J:$J,'Portfolio Wise '!$B399,'Campaign - Dump'!$A:$A,'Portfolio Wise '!$A399)</f>
        <v>0</v>
      </c>
      <c r="G399" s="38">
        <f t="shared" si="3"/>
        <v>0</v>
      </c>
      <c r="H399" s="41">
        <f>SUMIFS('Campaign - Dump'!$T:$T,'Campaign - Dump'!$J:$J,'Portfolio Wise '!$B399,'Campaign - Dump'!$A:$A,'Portfolio Wise '!$A399)</f>
        <v>0</v>
      </c>
      <c r="I399" s="23">
        <f t="shared" si="4"/>
        <v>0</v>
      </c>
      <c r="J399" s="36">
        <f>SUMIFS('Campaign - Dump'!$U:$U,'Campaign - Dump'!$J:$J,'Portfolio Wise '!$B399,'Campaign - Dump'!$A:$A,'Portfolio Wise '!$A399)</f>
        <v>0</v>
      </c>
      <c r="K399" s="23">
        <f t="shared" si="5"/>
        <v>0</v>
      </c>
      <c r="L399" s="38">
        <f t="shared" si="6"/>
        <v>0</v>
      </c>
      <c r="M399" s="41">
        <f t="shared" si="7"/>
        <v>0</v>
      </c>
      <c r="N399" s="13">
        <f t="shared" si="565"/>
        <v>0</v>
      </c>
      <c r="O399" s="36">
        <f t="shared" si="566"/>
        <v>0</v>
      </c>
      <c r="P399" s="41">
        <f t="shared" si="8"/>
        <v>0</v>
      </c>
      <c r="Q399" s="13">
        <f>SUMIFS('Business - Dump'!$W:$W,'Business - Dump'!$B:$B,'Portfolio Wise '!$B399,'Business - Dump'!$A:$A,'Portfolio Wise '!$A399)</f>
        <v>0</v>
      </c>
      <c r="R399" s="36">
        <f>SUMIFS('Business - Dump'!$U:$U,'Business - Dump'!$B:$B,'Portfolio Wise '!$B399,'Business - Dump'!$A:$A,'Portfolio Wise '!$A399)/1.18</f>
        <v>0</v>
      </c>
      <c r="S399" s="41">
        <f t="shared" si="9"/>
        <v>0</v>
      </c>
      <c r="T399" s="23">
        <f t="shared" si="10"/>
        <v>0</v>
      </c>
      <c r="U399" s="38">
        <f t="shared" si="11"/>
        <v>0</v>
      </c>
      <c r="V399" s="41">
        <f>SUMIFS('Business - Dump'!$G:$G,'Business - Dump'!$B:$B,'Portfolio Wise '!$B399,'Business - Dump'!$A:$A,'Portfolio Wise '!$A399)</f>
        <v>0</v>
      </c>
      <c r="W399" s="48">
        <f t="shared" si="12"/>
        <v>0</v>
      </c>
      <c r="X399" s="23">
        <f t="shared" ref="X399:Y399" si="570">IFERROR(N399/Q399,0)</f>
        <v>0</v>
      </c>
      <c r="Y399" s="49">
        <f t="shared" si="570"/>
        <v>0</v>
      </c>
      <c r="Z399" s="49">
        <f t="shared" si="14"/>
        <v>0</v>
      </c>
      <c r="AA399" s="23">
        <f t="shared" si="15"/>
        <v>0</v>
      </c>
      <c r="AB399" s="23">
        <f>IFERROR(AVERAGEIFS('Business - Dump'!$O:$O,'Business - Dump'!$B:$B,'Portfolio Wise '!$B399,'Business - Dump'!$A:$A,'Portfolio Wise '!$A399),0)</f>
        <v>0</v>
      </c>
      <c r="AC399" s="49">
        <f>F399/SUMIFS('Campaign - Dump'!$Q:$Q,'Campaign - Dump'!$A:$A,'Portfolio Wise '!$A399)</f>
        <v>0</v>
      </c>
      <c r="AD399" s="49">
        <f t="shared" si="16"/>
        <v>0</v>
      </c>
    </row>
    <row r="400" ht="15.75" customHeight="1">
      <c r="A400" s="65">
        <v>45717.0</v>
      </c>
      <c r="B400" s="51" t="s">
        <v>176</v>
      </c>
      <c r="C400" s="13">
        <f>SUMIFS('Campaign - Dump'!$N:$N,'Campaign - Dump'!$J:$J,'Portfolio Wise '!$B400,'Campaign - Dump'!$A:$A,'Portfolio Wise '!$A400)</f>
        <v>335952</v>
      </c>
      <c r="D400" s="13">
        <f>SUMIFS('Campaign - Dump'!$O:$O,'Campaign - Dump'!$J:$J,'Portfolio Wise '!$B400,'Campaign - Dump'!$A:$A,'Portfolio Wise '!$A400)</f>
        <v>998</v>
      </c>
      <c r="E400" s="23">
        <f t="shared" si="2"/>
        <v>0.002970662476</v>
      </c>
      <c r="F400" s="36">
        <f>SUMIFS('Campaign - Dump'!$Q:$Q,'Campaign - Dump'!$J:$J,'Portfolio Wise '!$B400,'Campaign - Dump'!$A:$A,'Portfolio Wise '!$A400)</f>
        <v>21961.13</v>
      </c>
      <c r="G400" s="38">
        <f t="shared" si="3"/>
        <v>22.00514028</v>
      </c>
      <c r="H400" s="41">
        <f>SUMIFS('Campaign - Dump'!$T:$T,'Campaign - Dump'!$J:$J,'Portfolio Wise '!$B400,'Campaign - Dump'!$A:$A,'Portfolio Wise '!$A400)</f>
        <v>9</v>
      </c>
      <c r="I400" s="23">
        <f t="shared" si="4"/>
        <v>0.009018036072</v>
      </c>
      <c r="J400" s="36">
        <f>SUMIFS('Campaign - Dump'!$U:$U,'Campaign - Dump'!$J:$J,'Portfolio Wise '!$B400,'Campaign - Dump'!$A:$A,'Portfolio Wise '!$A400)</f>
        <v>148652.54</v>
      </c>
      <c r="K400" s="23">
        <f t="shared" si="5"/>
        <v>0.1477346435</v>
      </c>
      <c r="L400" s="38">
        <f t="shared" si="6"/>
        <v>6.76889304</v>
      </c>
      <c r="M400" s="41">
        <f t="shared" si="7"/>
        <v>16516.94889</v>
      </c>
      <c r="N400" s="13">
        <f t="shared" si="565"/>
        <v>35</v>
      </c>
      <c r="O400" s="36">
        <f t="shared" si="566"/>
        <v>648087.5786</v>
      </c>
      <c r="P400" s="41">
        <f t="shared" si="8"/>
        <v>18516.78796</v>
      </c>
      <c r="Q400" s="13">
        <f>SUMIFS('Business - Dump'!$W:$W,'Business - Dump'!$B:$B,'Portfolio Wise '!$B400,'Business - Dump'!$A:$A,'Portfolio Wise '!$A400)</f>
        <v>44</v>
      </c>
      <c r="R400" s="36">
        <f>SUMIFS('Business - Dump'!$U:$U,'Business - Dump'!$B:$B,'Portfolio Wise '!$B400,'Business - Dump'!$A:$A,'Portfolio Wise '!$A400)/1.18</f>
        <v>796740.1186</v>
      </c>
      <c r="S400" s="41">
        <f t="shared" si="9"/>
        <v>18107.72997</v>
      </c>
      <c r="T400" s="23">
        <f t="shared" si="10"/>
        <v>0.02756373061</v>
      </c>
      <c r="U400" s="38">
        <f t="shared" si="11"/>
        <v>36.27955932</v>
      </c>
      <c r="V400" s="41">
        <f>SUMIFS('Business - Dump'!$G:$G,'Business - Dump'!$B:$B,'Portfolio Wise '!$B400,'Business - Dump'!$A:$A,'Portfolio Wise '!$A400)</f>
        <v>4835</v>
      </c>
      <c r="W400" s="48">
        <f t="shared" si="12"/>
        <v>0.009100310238</v>
      </c>
      <c r="X400" s="23">
        <f t="shared" ref="X400:Y400" si="571">IFERROR(N400/Q400,0)</f>
        <v>0.7954545455</v>
      </c>
      <c r="Y400" s="49">
        <f t="shared" si="571"/>
        <v>0.8134240557</v>
      </c>
      <c r="Z400" s="49">
        <f t="shared" si="14"/>
        <v>0.2045454545</v>
      </c>
      <c r="AA400" s="23">
        <f t="shared" si="15"/>
        <v>0.8134240557</v>
      </c>
      <c r="AB400" s="23">
        <f>IFERROR(AVERAGEIFS('Business - Dump'!$O:$O,'Business - Dump'!$B:$B,'Portfolio Wise '!$B400,'Business - Dump'!$A:$A,'Portfolio Wise '!$A400),0)</f>
        <v>0.8897444444</v>
      </c>
      <c r="AC400" s="49">
        <f>F400/SUMIFS('Campaign - Dump'!$Q:$Q,'Campaign - Dump'!$A:$A,'Portfolio Wise '!$A400)</f>
        <v>0.02597371279</v>
      </c>
      <c r="AD400" s="49">
        <f t="shared" si="16"/>
        <v>3.888888889</v>
      </c>
    </row>
    <row r="401" ht="15.75" customHeight="1">
      <c r="A401" s="65">
        <v>45717.0</v>
      </c>
      <c r="B401" s="100" t="s">
        <v>182</v>
      </c>
      <c r="C401" s="13">
        <f>SUMIFS('Campaign - Dump'!$N:$N,'Campaign - Dump'!$J:$J,'Portfolio Wise '!$B401,'Campaign - Dump'!$A:$A,'Portfolio Wise '!$A401)</f>
        <v>440284</v>
      </c>
      <c r="D401" s="13">
        <f>SUMIFS('Campaign - Dump'!$O:$O,'Campaign - Dump'!$J:$J,'Portfolio Wise '!$B401,'Campaign - Dump'!$A:$A,'Portfolio Wise '!$A401)</f>
        <v>1695</v>
      </c>
      <c r="E401" s="23">
        <f t="shared" si="2"/>
        <v>0.003849787864</v>
      </c>
      <c r="F401" s="36">
        <f>SUMIFS('Campaign - Dump'!$Q:$Q,'Campaign - Dump'!$J:$J,'Portfolio Wise '!$B401,'Campaign - Dump'!$A:$A,'Portfolio Wise '!$A401)</f>
        <v>40840.52</v>
      </c>
      <c r="G401" s="38">
        <f t="shared" si="3"/>
        <v>24.09470206</v>
      </c>
      <c r="H401" s="41">
        <f>SUMIFS('Campaign - Dump'!$T:$T,'Campaign - Dump'!$J:$J,'Portfolio Wise '!$B401,'Campaign - Dump'!$A:$A,'Portfolio Wise '!$A401)</f>
        <v>3</v>
      </c>
      <c r="I401" s="23">
        <f t="shared" si="4"/>
        <v>0.001769911504</v>
      </c>
      <c r="J401" s="36">
        <f>SUMIFS('Campaign - Dump'!$U:$U,'Campaign - Dump'!$J:$J,'Portfolio Wise '!$B401,'Campaign - Dump'!$A:$A,'Portfolio Wise '!$A401)</f>
        <v>88440.67</v>
      </c>
      <c r="K401" s="23">
        <f t="shared" si="5"/>
        <v>0.4617843804</v>
      </c>
      <c r="L401" s="38">
        <f t="shared" si="6"/>
        <v>2.165512829</v>
      </c>
      <c r="M401" s="41">
        <f t="shared" si="7"/>
        <v>29480.22333</v>
      </c>
      <c r="N401" s="127">
        <f t="shared" si="565"/>
        <v>2</v>
      </c>
      <c r="O401" s="36">
        <f t="shared" si="566"/>
        <v>48081.44017</v>
      </c>
      <c r="P401" s="41">
        <f t="shared" si="8"/>
        <v>24040.72008</v>
      </c>
      <c r="Q401" s="206">
        <f>SUMIFS('Business - Dump'!$W:$W,'Business - Dump'!$B:$B,'Portfolio Wise '!$B401,'Business - Dump'!$A:$A,'Portfolio Wise '!$A401)</f>
        <v>5</v>
      </c>
      <c r="R401" s="36">
        <f>SUMIFS('Business - Dump'!$U:$U,'Business - Dump'!$B:$B,'Portfolio Wise '!$B401,'Business - Dump'!$A:$A,'Portfolio Wise '!$A401)/1.18</f>
        <v>136522.1102</v>
      </c>
      <c r="S401" s="41">
        <f t="shared" si="9"/>
        <v>27304.42203</v>
      </c>
      <c r="T401" s="23">
        <f t="shared" si="10"/>
        <v>0.2991494927</v>
      </c>
      <c r="U401" s="38">
        <f t="shared" si="11"/>
        <v>3.342810282</v>
      </c>
      <c r="V401" s="41">
        <f>SUMIFS('Business - Dump'!$G:$G,'Business - Dump'!$B:$B,'Portfolio Wise '!$B401,'Business - Dump'!$A:$A,'Portfolio Wise '!$A401)</f>
        <v>3379</v>
      </c>
      <c r="W401" s="23">
        <f t="shared" si="12"/>
        <v>0.00147972773</v>
      </c>
      <c r="X401" s="23">
        <f t="shared" ref="X401:Y401" si="572">IFERROR(N401/Q401,0)</f>
        <v>0.4</v>
      </c>
      <c r="Y401" s="49">
        <f t="shared" si="572"/>
        <v>0.3521879358</v>
      </c>
      <c r="Z401" s="49">
        <f t="shared" si="14"/>
        <v>0.6</v>
      </c>
      <c r="AA401" s="23">
        <f t="shared" si="15"/>
        <v>0.3521879358</v>
      </c>
      <c r="AB401" s="23">
        <f>IFERROR(AVERAGEIFS('Business - Dump'!$O:$O,'Business - Dump'!$B:$B,'Portfolio Wise '!$B401,'Business - Dump'!$A:$A,'Portfolio Wise '!$A401),0)</f>
        <v>0.86452</v>
      </c>
      <c r="AC401" s="49">
        <f>F401/SUMIFS('Campaign - Dump'!$Q:$Q,'Campaign - Dump'!$A:$A,'Portfolio Wise '!$A401)</f>
        <v>0.04830261177</v>
      </c>
      <c r="AD401" s="49">
        <f t="shared" si="16"/>
        <v>0.6666666667</v>
      </c>
    </row>
    <row r="402" ht="15.75" customHeight="1">
      <c r="A402" s="65">
        <v>45717.0</v>
      </c>
      <c r="B402" s="19" t="s">
        <v>196</v>
      </c>
      <c r="C402" s="13">
        <f>SUMIFS('Campaign - Dump'!$N:$N,'Campaign - Dump'!$J:$J,'Portfolio Wise '!$B402,'Campaign - Dump'!$A:$A,'Portfolio Wise '!$A402)</f>
        <v>618852</v>
      </c>
      <c r="D402" s="13">
        <f>SUMIFS('Campaign - Dump'!$O:$O,'Campaign - Dump'!$J:$J,'Portfolio Wise '!$B402,'Campaign - Dump'!$A:$A,'Portfolio Wise '!$A402)</f>
        <v>2772</v>
      </c>
      <c r="E402" s="23">
        <f t="shared" si="2"/>
        <v>0.004479261601</v>
      </c>
      <c r="F402" s="36">
        <f>SUMIFS('Campaign - Dump'!$Q:$Q,'Campaign - Dump'!$J:$J,'Portfolio Wise '!$B402,'Campaign - Dump'!$A:$A,'Portfolio Wise '!$A402)</f>
        <v>65539.74</v>
      </c>
      <c r="G402" s="38">
        <f t="shared" si="3"/>
        <v>23.64348485</v>
      </c>
      <c r="H402" s="199">
        <f>SUMIFS('Campaign - Dump'!$T:$T,'Campaign - Dump'!$J:$J,'Portfolio Wise '!$B402,'Campaign - Dump'!$A:$A,'Portfolio Wise '!$A402)</f>
        <v>11</v>
      </c>
      <c r="I402" s="23">
        <f t="shared" si="4"/>
        <v>0.003968253968</v>
      </c>
      <c r="J402" s="36">
        <f>SUMIFS('Campaign - Dump'!$U:$U,'Campaign - Dump'!$J:$J,'Portfolio Wise '!$B402,'Campaign - Dump'!$A:$A,'Portfolio Wise '!$A402)</f>
        <v>200642.4</v>
      </c>
      <c r="K402" s="23">
        <f t="shared" si="5"/>
        <v>0.3266495018</v>
      </c>
      <c r="L402" s="38">
        <f t="shared" si="6"/>
        <v>3.061385352</v>
      </c>
      <c r="M402" s="41">
        <f t="shared" si="7"/>
        <v>18240.21818</v>
      </c>
      <c r="N402" s="13">
        <v>0.0</v>
      </c>
      <c r="O402" s="36">
        <v>0.0</v>
      </c>
      <c r="P402" s="41">
        <f t="shared" si="8"/>
        <v>0</v>
      </c>
      <c r="Q402" s="13">
        <f>SUMIFS('Business - Dump'!$W:$W,'Business - Dump'!$B:$B,'Portfolio Wise '!$B402,'Business - Dump'!$A:$A,'Portfolio Wise '!$A402)</f>
        <v>0</v>
      </c>
      <c r="R402" s="36">
        <f>SUMIFS('Business - Dump'!$U:$U,'Business - Dump'!$B:$B,'Portfolio Wise '!$B402,'Business - Dump'!$A:$A,'Portfolio Wise '!$A402)/1.18</f>
        <v>0</v>
      </c>
      <c r="S402" s="41">
        <f t="shared" si="9"/>
        <v>0</v>
      </c>
      <c r="T402" s="23">
        <f t="shared" si="10"/>
        <v>0</v>
      </c>
      <c r="U402" s="38">
        <f t="shared" si="11"/>
        <v>0</v>
      </c>
      <c r="V402" s="41">
        <f>SUMIFS('Business - Dump'!$G:$G,'Business - Dump'!$B:$B,'Portfolio Wise '!$B402,'Business - Dump'!$A:$A,'Portfolio Wise '!$A402)</f>
        <v>0</v>
      </c>
      <c r="W402" s="48">
        <f t="shared" si="12"/>
        <v>0</v>
      </c>
      <c r="X402" s="23">
        <f t="shared" ref="X402:Y402" si="573">IFERROR(N402/Q402,0)</f>
        <v>0</v>
      </c>
      <c r="Y402" s="49">
        <f t="shared" si="573"/>
        <v>0</v>
      </c>
      <c r="Z402" s="49">
        <f t="shared" si="14"/>
        <v>0</v>
      </c>
      <c r="AA402" s="23">
        <f t="shared" si="15"/>
        <v>0</v>
      </c>
      <c r="AB402" s="23">
        <f>IFERROR(AVERAGEIFS('Business - Dump'!$O:$O,'Business - Dump'!$B:$B,'Portfolio Wise '!$B402,'Business - Dump'!$A:$A,'Portfolio Wise '!$A402),0)</f>
        <v>0</v>
      </c>
      <c r="AC402" s="49">
        <f>F402/SUMIFS('Campaign - Dump'!$Q:$Q,'Campaign - Dump'!$A:$A,'Portfolio Wise '!$A402)</f>
        <v>0.07751469905</v>
      </c>
      <c r="AD402" s="49">
        <f t="shared" si="16"/>
        <v>0</v>
      </c>
    </row>
    <row r="403" ht="15.75" customHeight="1">
      <c r="A403" s="65">
        <v>45717.0</v>
      </c>
      <c r="B403" s="19" t="s">
        <v>205</v>
      </c>
      <c r="C403" s="13">
        <f>SUMIFS('Campaign - Dump'!$N:$N,'Campaign - Dump'!$J:$J,'Portfolio Wise '!$B403,'Campaign - Dump'!$A:$A,'Portfolio Wise '!$A403)</f>
        <v>2053159</v>
      </c>
      <c r="D403" s="13">
        <f>SUMIFS('Campaign - Dump'!$O:$O,'Campaign - Dump'!$J:$J,'Portfolio Wise '!$B403,'Campaign - Dump'!$A:$A,'Portfolio Wise '!$A403)</f>
        <v>9252</v>
      </c>
      <c r="E403" s="23">
        <f t="shared" si="2"/>
        <v>0.004506226746</v>
      </c>
      <c r="F403" s="36">
        <f>SUMIFS('Campaign - Dump'!$Q:$Q,'Campaign - Dump'!$J:$J,'Portfolio Wise '!$B403,'Campaign - Dump'!$A:$A,'Portfolio Wise '!$A403)</f>
        <v>50434.16</v>
      </c>
      <c r="G403" s="38">
        <f t="shared" si="3"/>
        <v>5.451162992</v>
      </c>
      <c r="H403" s="41">
        <f>SUMIFS('Campaign - Dump'!$T:$T,'Campaign - Dump'!$J:$J,'Portfolio Wise '!$B403,'Campaign - Dump'!$A:$A,'Portfolio Wise '!$A403)</f>
        <v>3</v>
      </c>
      <c r="I403" s="23">
        <f t="shared" si="4"/>
        <v>0.0003242542153</v>
      </c>
      <c r="J403" s="36">
        <f>SUMIFS('Campaign - Dump'!$U:$U,'Campaign - Dump'!$J:$J,'Portfolio Wise '!$B403,'Campaign - Dump'!$A:$A,'Portfolio Wise '!$A403)</f>
        <v>80283.91</v>
      </c>
      <c r="K403" s="23">
        <f t="shared" si="5"/>
        <v>0.6281976052</v>
      </c>
      <c r="L403" s="38">
        <f t="shared" si="6"/>
        <v>1.591855798</v>
      </c>
      <c r="M403" s="41">
        <f t="shared" si="7"/>
        <v>26761.30333</v>
      </c>
      <c r="N403" s="13">
        <f t="shared" ref="N403:N414" si="575">IFERROR(Q403-H403,0)</f>
        <v>9</v>
      </c>
      <c r="O403" s="36">
        <f t="shared" ref="O403:O414" si="576">IFERROR(R403-J403,0)</f>
        <v>310112.0392</v>
      </c>
      <c r="P403" s="41">
        <f t="shared" si="8"/>
        <v>34456.89324</v>
      </c>
      <c r="Q403" s="127">
        <f>SUMIFS('Business - Dump'!$W:$W,'Business - Dump'!$B:$B,'Portfolio Wise '!$B403,'Business - Dump'!$A:$A,'Portfolio Wise '!$A403)</f>
        <v>12</v>
      </c>
      <c r="R403" s="36">
        <f>SUMIFS('Business - Dump'!$U:$U,'Business - Dump'!$B:$B,'Portfolio Wise '!$B403,'Business - Dump'!$A:$A,'Portfolio Wise '!$A403)/1.18</f>
        <v>390395.9492</v>
      </c>
      <c r="S403" s="41">
        <f t="shared" si="9"/>
        <v>32532.99576</v>
      </c>
      <c r="T403" s="23">
        <f t="shared" si="10"/>
        <v>0.1291872011</v>
      </c>
      <c r="U403" s="38">
        <f t="shared" si="11"/>
        <v>7.740704894</v>
      </c>
      <c r="V403" s="41">
        <f>SUMIFS('Business - Dump'!$G:$G,'Business - Dump'!$B:$B,'Portfolio Wise '!$B403,'Business - Dump'!$A:$A,'Portfolio Wise '!$A403)</f>
        <v>7773</v>
      </c>
      <c r="W403" s="48">
        <f t="shared" si="12"/>
        <v>0.001543805481</v>
      </c>
      <c r="X403" s="23">
        <f t="shared" ref="X403:Y403" si="574">IFERROR(N403/Q403,0)</f>
        <v>0.75</v>
      </c>
      <c r="Y403" s="49">
        <f t="shared" si="574"/>
        <v>0.7943526049</v>
      </c>
      <c r="Z403" s="49">
        <f t="shared" si="14"/>
        <v>0.25</v>
      </c>
      <c r="AA403" s="23">
        <f t="shared" si="15"/>
        <v>0.7943526049</v>
      </c>
      <c r="AB403" s="23">
        <f>IFERROR(AVERAGEIFS('Business - Dump'!$O:$O,'Business - Dump'!$B:$B,'Portfolio Wise '!$B403,'Business - Dump'!$A:$A,'Portfolio Wise '!$A403),0)</f>
        <v>0.7795444444</v>
      </c>
      <c r="AC403" s="49">
        <f>F403/SUMIFS('Campaign - Dump'!$Q:$Q,'Campaign - Dump'!$A:$A,'Portfolio Wise '!$A403)</f>
        <v>0.05964913401</v>
      </c>
      <c r="AD403" s="49">
        <f t="shared" si="16"/>
        <v>3</v>
      </c>
    </row>
    <row r="404" ht="15.75" customHeight="1">
      <c r="A404" s="65">
        <v>45717.0</v>
      </c>
      <c r="B404" s="10" t="s">
        <v>211</v>
      </c>
      <c r="C404" s="13">
        <f>SUMIFS('Campaign - Dump'!$N:$N,'Campaign - Dump'!$J:$J,'Portfolio Wise '!$B404,'Campaign - Dump'!$A:$A,'Portfolio Wise '!$A404)</f>
        <v>1426840</v>
      </c>
      <c r="D404" s="13">
        <f>SUMIFS('Campaign - Dump'!$O:$O,'Campaign - Dump'!$J:$J,'Portfolio Wise '!$B404,'Campaign - Dump'!$A:$A,'Portfolio Wise '!$A404)</f>
        <v>11634</v>
      </c>
      <c r="E404" s="23">
        <f t="shared" si="2"/>
        <v>0.008153682263</v>
      </c>
      <c r="F404" s="36">
        <f>SUMIFS('Campaign - Dump'!$Q:$Q,'Campaign - Dump'!$J:$J,'Portfolio Wise '!$B404,'Campaign - Dump'!$A:$A,'Portfolio Wise '!$A404)</f>
        <v>73789.97</v>
      </c>
      <c r="G404" s="38">
        <f t="shared" si="3"/>
        <v>6.34261389</v>
      </c>
      <c r="H404" s="41">
        <f>SUMIFS('Campaign - Dump'!$T:$T,'Campaign - Dump'!$J:$J,'Portfolio Wise '!$B404,'Campaign - Dump'!$A:$A,'Portfolio Wise '!$A404)</f>
        <v>173</v>
      </c>
      <c r="I404" s="23">
        <f t="shared" si="4"/>
        <v>0.01487020801</v>
      </c>
      <c r="J404" s="36">
        <f>SUMIFS('Campaign - Dump'!$U:$U,'Campaign - Dump'!$J:$J,'Portfolio Wise '!$B404,'Campaign - Dump'!$A:$A,'Portfolio Wise '!$A404)</f>
        <v>445403.6</v>
      </c>
      <c r="K404" s="23">
        <f t="shared" si="5"/>
        <v>0.1656699003</v>
      </c>
      <c r="L404" s="38">
        <f t="shared" si="6"/>
        <v>6.036099486</v>
      </c>
      <c r="M404" s="41">
        <f t="shared" si="7"/>
        <v>2574.587283</v>
      </c>
      <c r="N404" s="13">
        <f t="shared" si="575"/>
        <v>75</v>
      </c>
      <c r="O404" s="36">
        <f t="shared" si="576"/>
        <v>4634.535593</v>
      </c>
      <c r="P404" s="41">
        <f t="shared" si="8"/>
        <v>61.79380791</v>
      </c>
      <c r="Q404" s="13">
        <f>SUMIFS('Business - Dump'!$W:$W,'Business - Dump'!$B:$B,'Portfolio Wise '!$B404,'Business - Dump'!$A:$A,'Portfolio Wise '!$A404)</f>
        <v>248</v>
      </c>
      <c r="R404" s="36">
        <f>SUMIFS('Business - Dump'!$U:$U,'Business - Dump'!$B:$B,'Portfolio Wise '!$B404,'Business - Dump'!$A:$A,'Portfolio Wise '!$A404)/1.18</f>
        <v>450038.1356</v>
      </c>
      <c r="S404" s="41">
        <f t="shared" si="9"/>
        <v>1814.669902</v>
      </c>
      <c r="T404" s="23">
        <f t="shared" si="10"/>
        <v>0.1639638159</v>
      </c>
      <c r="U404" s="38">
        <f t="shared" si="11"/>
        <v>6.098906607</v>
      </c>
      <c r="V404" s="41">
        <f>SUMIFS('Business - Dump'!$G:$G,'Business - Dump'!$B:$B,'Portfolio Wise '!$B404,'Business - Dump'!$A:$A,'Portfolio Wise '!$A404)</f>
        <v>15996</v>
      </c>
      <c r="W404" s="48">
        <f t="shared" si="12"/>
        <v>0.01550387597</v>
      </c>
      <c r="X404" s="23">
        <f t="shared" ref="X404:Y404" si="577">IFERROR(N404/Q404,0)</f>
        <v>0.3024193548</v>
      </c>
      <c r="Y404" s="49">
        <f t="shared" si="577"/>
        <v>0.01029809526</v>
      </c>
      <c r="Z404" s="49">
        <f t="shared" si="14"/>
        <v>0.6975806452</v>
      </c>
      <c r="AA404" s="23">
        <f t="shared" si="15"/>
        <v>0.01029809526</v>
      </c>
      <c r="AB404" s="23">
        <f>IFERROR(AVERAGEIFS('Business - Dump'!$O:$O,'Business - Dump'!$B:$B,'Portfolio Wise '!$B404,'Business - Dump'!$A:$A,'Portfolio Wise '!$A404),0)</f>
        <v>0.99082</v>
      </c>
      <c r="AC404" s="49">
        <f>F404/SUMIFS('Campaign - Dump'!$Q:$Q,'Campaign - Dump'!$A:$A,'Portfolio Wise '!$A404)</f>
        <v>0.08727235289</v>
      </c>
      <c r="AD404" s="49">
        <f t="shared" si="16"/>
        <v>0.4335260116</v>
      </c>
    </row>
    <row r="405" ht="15.75" customHeight="1">
      <c r="A405" s="65">
        <v>45717.0</v>
      </c>
      <c r="B405" s="19" t="s">
        <v>217</v>
      </c>
      <c r="C405" s="13">
        <f>SUMIFS('Campaign - Dump'!$N:$N,'Campaign - Dump'!$J:$J,'Portfolio Wise '!$B405,'Campaign - Dump'!$A:$A,'Portfolio Wise '!$A405)</f>
        <v>160454</v>
      </c>
      <c r="D405" s="13">
        <f>SUMIFS('Campaign - Dump'!$O:$O,'Campaign - Dump'!$J:$J,'Portfolio Wise '!$B405,'Campaign - Dump'!$A:$A,'Portfolio Wise '!$A405)</f>
        <v>1096</v>
      </c>
      <c r="E405" s="23">
        <f t="shared" si="2"/>
        <v>0.006830618121</v>
      </c>
      <c r="F405" s="36">
        <f>SUMIFS('Campaign - Dump'!$Q:$Q,'Campaign - Dump'!$J:$J,'Portfolio Wise '!$B405,'Campaign - Dump'!$A:$A,'Portfolio Wise '!$A405)</f>
        <v>6352.16</v>
      </c>
      <c r="G405" s="38">
        <f t="shared" si="3"/>
        <v>5.795766423</v>
      </c>
      <c r="H405" s="41">
        <f>SUMIFS('Campaign - Dump'!$T:$T,'Campaign - Dump'!$J:$J,'Portfolio Wise '!$B405,'Campaign - Dump'!$A:$A,'Portfolio Wise '!$A405)</f>
        <v>13</v>
      </c>
      <c r="I405" s="23">
        <f t="shared" si="4"/>
        <v>0.01186131387</v>
      </c>
      <c r="J405" s="36">
        <f>SUMIFS('Campaign - Dump'!$U:$U,'Campaign - Dump'!$J:$J,'Portfolio Wise '!$B405,'Campaign - Dump'!$A:$A,'Portfolio Wise '!$A405)</f>
        <v>33930.55</v>
      </c>
      <c r="K405" s="23">
        <f t="shared" si="5"/>
        <v>0.1872106406</v>
      </c>
      <c r="L405" s="38">
        <f t="shared" si="6"/>
        <v>5.341576724</v>
      </c>
      <c r="M405" s="41">
        <f t="shared" si="7"/>
        <v>2610.042308</v>
      </c>
      <c r="N405" s="13">
        <f t="shared" si="575"/>
        <v>8</v>
      </c>
      <c r="O405" s="36">
        <f t="shared" si="576"/>
        <v>-6836.482203</v>
      </c>
      <c r="P405" s="41">
        <f t="shared" si="8"/>
        <v>-854.5602754</v>
      </c>
      <c r="Q405" s="13">
        <f>SUMIFS('Business - Dump'!$W:$W,'Business - Dump'!$B:$B,'Portfolio Wise '!$B405,'Business - Dump'!$A:$A,'Portfolio Wise '!$A405)</f>
        <v>21</v>
      </c>
      <c r="R405" s="36">
        <f>SUMIFS('Business - Dump'!$U:$U,'Business - Dump'!$B:$B,'Portfolio Wise '!$B405,'Business - Dump'!$A:$A,'Portfolio Wise '!$A405)/1.18</f>
        <v>27094.0678</v>
      </c>
      <c r="S405" s="41">
        <f t="shared" si="9"/>
        <v>1290.193705</v>
      </c>
      <c r="T405" s="201">
        <f t="shared" si="10"/>
        <v>0.2344483688</v>
      </c>
      <c r="U405" s="38">
        <f t="shared" si="11"/>
        <v>4.265331446</v>
      </c>
      <c r="V405" s="41">
        <f>SUMIFS('Business - Dump'!$G:$G,'Business - Dump'!$B:$B,'Portfolio Wise '!$B405,'Business - Dump'!$A:$A,'Portfolio Wise '!$A405)</f>
        <v>1902</v>
      </c>
      <c r="W405" s="48">
        <f t="shared" si="12"/>
        <v>0.01104100946</v>
      </c>
      <c r="X405" s="23">
        <f t="shared" ref="X405:Y405" si="578">IFERROR(N405/Q405,0)</f>
        <v>0.380952381</v>
      </c>
      <c r="Y405" s="49">
        <f t="shared" si="578"/>
        <v>-0.2523239498</v>
      </c>
      <c r="Z405" s="49">
        <f t="shared" si="14"/>
        <v>0.619047619</v>
      </c>
      <c r="AA405" s="23">
        <f t="shared" si="15"/>
        <v>-0.2523239498</v>
      </c>
      <c r="AB405" s="23">
        <f>IFERROR(AVERAGEIFS('Business - Dump'!$O:$O,'Business - Dump'!$B:$B,'Portfolio Wise '!$B405,'Business - Dump'!$A:$A,'Portfolio Wise '!$A405),0)</f>
        <v>0.9935</v>
      </c>
      <c r="AC405" s="49">
        <f>F405/SUMIFS('Campaign - Dump'!$Q:$Q,'Campaign - Dump'!$A:$A,'Portfolio Wise '!$A405)</f>
        <v>0.007512781874</v>
      </c>
      <c r="AD405" s="49">
        <f t="shared" si="16"/>
        <v>0.6153846154</v>
      </c>
    </row>
    <row r="406" ht="15.75" customHeight="1">
      <c r="A406" s="65">
        <v>45717.0</v>
      </c>
      <c r="B406" s="33" t="s">
        <v>230</v>
      </c>
      <c r="C406" s="13">
        <f>SUMIFS('Campaign - Dump'!$N:$N,'Campaign - Dump'!$J:$J,'Portfolio Wise '!$B406,'Campaign - Dump'!$A:$A,'Portfolio Wise '!$A406)</f>
        <v>562395</v>
      </c>
      <c r="D406" s="13">
        <f>SUMIFS('Campaign - Dump'!$O:$O,'Campaign - Dump'!$J:$J,'Portfolio Wise '!$B406,'Campaign - Dump'!$A:$A,'Portfolio Wise '!$A406)</f>
        <v>1286</v>
      </c>
      <c r="E406" s="23">
        <f t="shared" si="2"/>
        <v>0.002286649063</v>
      </c>
      <c r="F406" s="36">
        <f>SUMIFS('Campaign - Dump'!$Q:$Q,'Campaign - Dump'!$J:$J,'Portfolio Wise '!$B406,'Campaign - Dump'!$A:$A,'Portfolio Wise '!$A406)</f>
        <v>58534.9</v>
      </c>
      <c r="G406" s="38">
        <f t="shared" si="3"/>
        <v>45.51702955</v>
      </c>
      <c r="H406" s="41">
        <f>SUMIFS('Campaign - Dump'!$T:$T,'Campaign - Dump'!$J:$J,'Portfolio Wise '!$B406,'Campaign - Dump'!$A:$A,'Portfolio Wise '!$A406)</f>
        <v>5</v>
      </c>
      <c r="I406" s="23">
        <f t="shared" si="4"/>
        <v>0.003888024883</v>
      </c>
      <c r="J406" s="36">
        <f>SUMIFS('Campaign - Dump'!$U:$U,'Campaign - Dump'!$J:$J,'Portfolio Wise '!$B406,'Campaign - Dump'!$A:$A,'Portfolio Wise '!$A406)</f>
        <v>103199.1</v>
      </c>
      <c r="K406" s="23">
        <f t="shared" si="5"/>
        <v>0.56720359</v>
      </c>
      <c r="L406" s="38">
        <f t="shared" si="6"/>
        <v>1.763035386</v>
      </c>
      <c r="M406" s="41">
        <f t="shared" si="7"/>
        <v>20639.82</v>
      </c>
      <c r="N406" s="13">
        <f t="shared" si="575"/>
        <v>22</v>
      </c>
      <c r="O406" s="36">
        <f t="shared" si="576"/>
        <v>620353.9678</v>
      </c>
      <c r="P406" s="41">
        <f t="shared" si="8"/>
        <v>28197.90763</v>
      </c>
      <c r="Q406" s="13">
        <f>SUMIFS('Business - Dump'!$W:$W,'Business - Dump'!$B:$B,'Portfolio Wise '!$B406,'Business - Dump'!$A:$A,'Portfolio Wise '!$A406)</f>
        <v>27</v>
      </c>
      <c r="R406" s="36">
        <f>SUMIFS('Business - Dump'!$U:$U,'Business - Dump'!$B:$B,'Portfolio Wise '!$B406,'Business - Dump'!$A:$A,'Portfolio Wise '!$A406)/1.18</f>
        <v>723553.0678</v>
      </c>
      <c r="S406" s="41">
        <f t="shared" si="9"/>
        <v>26798.26177</v>
      </c>
      <c r="T406" s="23">
        <f t="shared" si="10"/>
        <v>0.08089924928</v>
      </c>
      <c r="U406" s="38">
        <f t="shared" si="11"/>
        <v>12.36105414</v>
      </c>
      <c r="V406" s="41">
        <f>SUMIFS('Business - Dump'!$G:$G,'Business - Dump'!$B:$B,'Portfolio Wise '!$B406,'Business - Dump'!$A:$A,'Portfolio Wise '!$A406)</f>
        <v>3653</v>
      </c>
      <c r="W406" s="23">
        <f t="shared" si="12"/>
        <v>0.007391185327</v>
      </c>
      <c r="X406" s="23">
        <f t="shared" ref="X406:Y406" si="579">IFERROR(N406/Q406,0)</f>
        <v>0.8148148148</v>
      </c>
      <c r="Y406" s="49">
        <f t="shared" si="579"/>
        <v>0.8573717608</v>
      </c>
      <c r="Z406" s="49">
        <f t="shared" si="14"/>
        <v>0.1851851852</v>
      </c>
      <c r="AA406" s="23">
        <f t="shared" si="15"/>
        <v>0.8573717608</v>
      </c>
      <c r="AB406" s="23">
        <f>IFERROR(AVERAGEIFS('Business - Dump'!$O:$O,'Business - Dump'!$B:$B,'Portfolio Wise '!$B406,'Business - Dump'!$A:$A,'Portfolio Wise '!$A406),0)</f>
        <v>0.9320625</v>
      </c>
      <c r="AC406" s="49">
        <f>F406/SUMIFS('Campaign - Dump'!$Q:$Q,'Campaign - Dump'!$A:$A,'Portfolio Wise '!$A406)</f>
        <v>0.06922998409</v>
      </c>
      <c r="AD406" s="49">
        <f t="shared" si="16"/>
        <v>4.4</v>
      </c>
    </row>
    <row r="407" ht="15.75" customHeight="1">
      <c r="A407" s="65">
        <v>45717.0</v>
      </c>
      <c r="B407" s="19" t="s">
        <v>232</v>
      </c>
      <c r="C407" s="13">
        <f>SUMIFS('Campaign - Dump'!$N:$N,'Campaign - Dump'!$J:$J,'Portfolio Wise '!$B407,'Campaign - Dump'!$A:$A,'Portfolio Wise '!$A407)</f>
        <v>0</v>
      </c>
      <c r="D407" s="13">
        <f>SUMIFS('Campaign - Dump'!$O:$O,'Campaign - Dump'!$J:$J,'Portfolio Wise '!$B407,'Campaign - Dump'!$A:$A,'Portfolio Wise '!$A407)</f>
        <v>0</v>
      </c>
      <c r="E407" s="23">
        <f t="shared" si="2"/>
        <v>0</v>
      </c>
      <c r="F407" s="36">
        <f>SUMIFS('Campaign - Dump'!$Q:$Q,'Campaign - Dump'!$J:$J,'Portfolio Wise '!$B407,'Campaign - Dump'!$A:$A,'Portfolio Wise '!$A407)</f>
        <v>0</v>
      </c>
      <c r="G407" s="38">
        <f t="shared" si="3"/>
        <v>0</v>
      </c>
      <c r="H407" s="41">
        <f>SUMIFS('Campaign - Dump'!$T:$T,'Campaign - Dump'!$J:$J,'Portfolio Wise '!$B407,'Campaign - Dump'!$A:$A,'Portfolio Wise '!$A407)</f>
        <v>0</v>
      </c>
      <c r="I407" s="23">
        <f t="shared" si="4"/>
        <v>0</v>
      </c>
      <c r="J407" s="36">
        <f>SUMIFS('Campaign - Dump'!$U:$U,'Campaign - Dump'!$J:$J,'Portfolio Wise '!$B407,'Campaign - Dump'!$A:$A,'Portfolio Wise '!$A407)</f>
        <v>0</v>
      </c>
      <c r="K407" s="23">
        <f t="shared" si="5"/>
        <v>0</v>
      </c>
      <c r="L407" s="38">
        <f t="shared" si="6"/>
        <v>0</v>
      </c>
      <c r="M407" s="41">
        <f t="shared" si="7"/>
        <v>0</v>
      </c>
      <c r="N407" s="13">
        <f t="shared" si="575"/>
        <v>4</v>
      </c>
      <c r="O407" s="36">
        <f t="shared" si="576"/>
        <v>70019.38983</v>
      </c>
      <c r="P407" s="41">
        <f t="shared" si="8"/>
        <v>17504.84746</v>
      </c>
      <c r="Q407" s="13">
        <f>SUMIFS('Business - Dump'!$W:$W,'Business - Dump'!$B:$B,'Portfolio Wise '!$B407,'Business - Dump'!$A:$A,'Portfolio Wise '!$A407)</f>
        <v>4</v>
      </c>
      <c r="R407" s="36">
        <f>SUMIFS('Business - Dump'!$U:$U,'Business - Dump'!$B:$B,'Portfolio Wise '!$B407,'Business - Dump'!$A:$A,'Portfolio Wise '!$A407)/1.18</f>
        <v>70019.38983</v>
      </c>
      <c r="S407" s="41">
        <f t="shared" si="9"/>
        <v>17504.84746</v>
      </c>
      <c r="T407" s="23">
        <f t="shared" si="10"/>
        <v>0</v>
      </c>
      <c r="U407" s="38">
        <f t="shared" si="11"/>
        <v>0</v>
      </c>
      <c r="V407" s="41">
        <f>SUMIFS('Business - Dump'!$G:$G,'Business - Dump'!$B:$B,'Portfolio Wise '!$B407,'Business - Dump'!$A:$A,'Portfolio Wise '!$A407)</f>
        <v>745</v>
      </c>
      <c r="W407" s="48">
        <f t="shared" si="12"/>
        <v>0.005369127517</v>
      </c>
      <c r="X407" s="23">
        <f t="shared" ref="X407:Y407" si="580">IFERROR(N407/Q407,0)</f>
        <v>1</v>
      </c>
      <c r="Y407" s="49">
        <f t="shared" si="580"/>
        <v>1</v>
      </c>
      <c r="Z407" s="49">
        <f t="shared" si="14"/>
        <v>0</v>
      </c>
      <c r="AA407" s="23">
        <f t="shared" si="15"/>
        <v>1</v>
      </c>
      <c r="AB407" s="23">
        <f>IFERROR(AVERAGEIFS('Business - Dump'!$O:$O,'Business - Dump'!$B:$B,'Portfolio Wise '!$B407,'Business - Dump'!$A:$A,'Portfolio Wise '!$A407),0)</f>
        <v>0.92318</v>
      </c>
      <c r="AC407" s="49">
        <f>F407/SUMIFS('Campaign - Dump'!$Q:$Q,'Campaign - Dump'!$A:$A,'Portfolio Wise '!$A407)</f>
        <v>0</v>
      </c>
      <c r="AD407" s="49">
        <f t="shared" si="16"/>
        <v>0</v>
      </c>
    </row>
    <row r="408" ht="15.75" customHeight="1">
      <c r="A408" s="65">
        <v>45717.0</v>
      </c>
      <c r="B408" s="10" t="s">
        <v>429</v>
      </c>
      <c r="C408" s="13">
        <f>SUMIFS('Campaign - Dump'!$N:$N,'Campaign - Dump'!$J:$J,'Portfolio Wise '!$B408,'Campaign - Dump'!$A:$A,'Portfolio Wise '!$A408)</f>
        <v>307228</v>
      </c>
      <c r="D408" s="13">
        <f>SUMIFS('Campaign - Dump'!$O:$O,'Campaign - Dump'!$J:$J,'Portfolio Wise '!$B408,'Campaign - Dump'!$A:$A,'Portfolio Wise '!$A408)</f>
        <v>1384</v>
      </c>
      <c r="E408" s="23">
        <f t="shared" si="2"/>
        <v>0.00450479774</v>
      </c>
      <c r="F408" s="36">
        <f>SUMIFS('Campaign - Dump'!$Q:$Q,'Campaign - Dump'!$J:$J,'Portfolio Wise '!$B408,'Campaign - Dump'!$A:$A,'Portfolio Wise '!$A408)</f>
        <v>67641.69</v>
      </c>
      <c r="G408" s="38">
        <f t="shared" si="3"/>
        <v>48.87405347</v>
      </c>
      <c r="H408" s="41">
        <f>SUMIFS('Campaign - Dump'!$T:$T,'Campaign - Dump'!$J:$J,'Portfolio Wise '!$B408,'Campaign - Dump'!$A:$A,'Portfolio Wise '!$A408)</f>
        <v>8</v>
      </c>
      <c r="I408" s="23">
        <f t="shared" si="4"/>
        <v>0.005780346821</v>
      </c>
      <c r="J408" s="36">
        <f>SUMIFS('Campaign - Dump'!$U:$U,'Campaign - Dump'!$J:$J,'Portfolio Wise '!$B408,'Campaign - Dump'!$A:$A,'Portfolio Wise '!$A408)</f>
        <v>119584.75</v>
      </c>
      <c r="K408" s="23">
        <f t="shared" si="5"/>
        <v>0.5656380935</v>
      </c>
      <c r="L408" s="38">
        <f t="shared" si="6"/>
        <v>1.767914876</v>
      </c>
      <c r="M408" s="41">
        <f t="shared" si="7"/>
        <v>14948.09375</v>
      </c>
      <c r="N408" s="13">
        <f t="shared" si="575"/>
        <v>3</v>
      </c>
      <c r="O408" s="36">
        <f t="shared" si="576"/>
        <v>25002.99576</v>
      </c>
      <c r="P408" s="41">
        <f t="shared" si="8"/>
        <v>8334.331921</v>
      </c>
      <c r="Q408" s="13">
        <f>SUMIFS('Business - Dump'!$W:$W,'Business - Dump'!$B:$B,'Portfolio Wise '!$B408,'Business - Dump'!$A:$A,'Portfolio Wise '!$A408)</f>
        <v>11</v>
      </c>
      <c r="R408" s="36">
        <f>SUMIFS('Business - Dump'!$U:$U,'Business - Dump'!$B:$B,'Portfolio Wise '!$B408,'Business - Dump'!$A:$A,'Portfolio Wise '!$A408)/1.18</f>
        <v>144587.7458</v>
      </c>
      <c r="S408" s="41">
        <f t="shared" si="9"/>
        <v>13144.34052</v>
      </c>
      <c r="T408" s="23">
        <f t="shared" si="10"/>
        <v>0.4678245009</v>
      </c>
      <c r="U408" s="38">
        <f t="shared" si="11"/>
        <v>2.137553715</v>
      </c>
      <c r="V408" s="41">
        <f>SUMIFS('Business - Dump'!$G:$G,'Business - Dump'!$B:$B,'Portfolio Wise '!$B408,'Business - Dump'!$A:$A,'Portfolio Wise '!$A408)</f>
        <v>2997</v>
      </c>
      <c r="W408" s="48">
        <f t="shared" si="12"/>
        <v>0.003670337004</v>
      </c>
      <c r="X408" s="23">
        <f t="shared" ref="X408:Y408" si="581">IFERROR(N408/Q408,0)</f>
        <v>0.2727272727</v>
      </c>
      <c r="Y408" s="49">
        <f t="shared" si="581"/>
        <v>0.1729261054</v>
      </c>
      <c r="Z408" s="49">
        <f t="shared" si="14"/>
        <v>0.7272727273</v>
      </c>
      <c r="AA408" s="23">
        <f t="shared" si="15"/>
        <v>0.1729261054</v>
      </c>
      <c r="AB408" s="23">
        <f>IFERROR(AVERAGEIFS('Business - Dump'!$O:$O,'Business - Dump'!$B:$B,'Portfolio Wise '!$B408,'Business - Dump'!$A:$A,'Portfolio Wise '!$A408),0)</f>
        <v>0.9346833333</v>
      </c>
      <c r="AC408" s="49">
        <f>F408/SUMIFS('Campaign - Dump'!$Q:$Q,'Campaign - Dump'!$A:$A,'Portfolio Wise '!$A408)</f>
        <v>0.08000070253</v>
      </c>
      <c r="AD408" s="49">
        <f t="shared" si="16"/>
        <v>0.375</v>
      </c>
    </row>
    <row r="409" ht="15.75" customHeight="1">
      <c r="A409" s="65">
        <v>45717.0</v>
      </c>
      <c r="B409" s="51" t="s">
        <v>239</v>
      </c>
      <c r="C409" s="13">
        <f>SUMIFS('Campaign - Dump'!$N:$N,'Campaign - Dump'!$J:$J,'Portfolio Wise '!$B409,'Campaign - Dump'!$A:$A,'Portfolio Wise '!$A409)</f>
        <v>0</v>
      </c>
      <c r="D409" s="13">
        <f>SUMIFS('Campaign - Dump'!$O:$O,'Campaign - Dump'!$J:$J,'Portfolio Wise '!$B409,'Campaign - Dump'!$A:$A,'Portfolio Wise '!$A409)</f>
        <v>0</v>
      </c>
      <c r="E409" s="23">
        <f t="shared" si="2"/>
        <v>0</v>
      </c>
      <c r="F409" s="36">
        <f>SUMIFS('Campaign - Dump'!$Q:$Q,'Campaign - Dump'!$J:$J,'Portfolio Wise '!$B409,'Campaign - Dump'!$A:$A,'Portfolio Wise '!$A409)</f>
        <v>0</v>
      </c>
      <c r="G409" s="38">
        <f t="shared" si="3"/>
        <v>0</v>
      </c>
      <c r="H409" s="41">
        <f>SUMIFS('Campaign - Dump'!$T:$T,'Campaign - Dump'!$J:$J,'Portfolio Wise '!$B409,'Campaign - Dump'!$A:$A,'Portfolio Wise '!$A409)</f>
        <v>0</v>
      </c>
      <c r="I409" s="23">
        <f t="shared" si="4"/>
        <v>0</v>
      </c>
      <c r="J409" s="36">
        <f>SUMIFS('Campaign - Dump'!$U:$U,'Campaign - Dump'!$J:$J,'Portfolio Wise '!$B409,'Campaign - Dump'!$A:$A,'Portfolio Wise '!$A409)</f>
        <v>0</v>
      </c>
      <c r="K409" s="23">
        <f t="shared" si="5"/>
        <v>0</v>
      </c>
      <c r="L409" s="38">
        <f t="shared" si="6"/>
        <v>0</v>
      </c>
      <c r="M409" s="41">
        <f t="shared" si="7"/>
        <v>0</v>
      </c>
      <c r="N409" s="13">
        <f t="shared" si="575"/>
        <v>0</v>
      </c>
      <c r="O409" s="36">
        <f t="shared" si="576"/>
        <v>0</v>
      </c>
      <c r="P409" s="41">
        <f t="shared" si="8"/>
        <v>0</v>
      </c>
      <c r="Q409" s="13">
        <f>SUMIFS('Business - Dump'!$W:$W,'Business - Dump'!$B:$B,'Portfolio Wise '!$B409,'Business - Dump'!$A:$A,'Portfolio Wise '!$A409)</f>
        <v>0</v>
      </c>
      <c r="R409" s="36">
        <f>SUMIFS('Business - Dump'!$U:$U,'Business - Dump'!$B:$B,'Portfolio Wise '!$B409,'Business - Dump'!$A:$A,'Portfolio Wise '!$A409)/1.18</f>
        <v>0</v>
      </c>
      <c r="S409" s="41">
        <f t="shared" si="9"/>
        <v>0</v>
      </c>
      <c r="T409" s="23">
        <f t="shared" si="10"/>
        <v>0</v>
      </c>
      <c r="U409" s="38">
        <f t="shared" si="11"/>
        <v>0</v>
      </c>
      <c r="V409" s="41">
        <f>SUMIFS('Business - Dump'!$G:$G,'Business - Dump'!$B:$B,'Portfolio Wise '!$B409,'Business - Dump'!$A:$A,'Portfolio Wise '!$A409)</f>
        <v>0</v>
      </c>
      <c r="W409" s="48">
        <f t="shared" si="12"/>
        <v>0</v>
      </c>
      <c r="X409" s="23">
        <f t="shared" ref="X409:Y409" si="582">IFERROR(N409/Q409,0)</f>
        <v>0</v>
      </c>
      <c r="Y409" s="49">
        <f t="shared" si="582"/>
        <v>0</v>
      </c>
      <c r="Z409" s="49">
        <f t="shared" si="14"/>
        <v>0</v>
      </c>
      <c r="AA409" s="23">
        <f t="shared" si="15"/>
        <v>0</v>
      </c>
      <c r="AB409" s="23">
        <f>IFERROR(AVERAGEIFS('Business - Dump'!$O:$O,'Business - Dump'!$B:$B,'Portfolio Wise '!$B409,'Business - Dump'!$A:$A,'Portfolio Wise '!$A409),0)</f>
        <v>0</v>
      </c>
      <c r="AC409" s="49">
        <f>F409/SUMIFS('Campaign - Dump'!$Q:$Q,'Campaign - Dump'!$A:$A,'Portfolio Wise '!$A409)</f>
        <v>0</v>
      </c>
      <c r="AD409" s="49">
        <f t="shared" si="16"/>
        <v>0</v>
      </c>
    </row>
    <row r="410" ht="15.75" customHeight="1">
      <c r="A410" s="65">
        <v>45717.0</v>
      </c>
      <c r="B410" s="19" t="s">
        <v>240</v>
      </c>
      <c r="C410" s="13">
        <f>SUMIFS('Campaign - Dump'!$N:$N,'Campaign - Dump'!$J:$J,'Portfolio Wise '!$B410,'Campaign - Dump'!$A:$A,'Portfolio Wise '!$A410)</f>
        <v>0</v>
      </c>
      <c r="D410" s="13">
        <f>SUMIFS('Campaign - Dump'!$O:$O,'Campaign - Dump'!$J:$J,'Portfolio Wise '!$B410,'Campaign - Dump'!$A:$A,'Portfolio Wise '!$A410)</f>
        <v>0</v>
      </c>
      <c r="E410" s="23">
        <f t="shared" si="2"/>
        <v>0</v>
      </c>
      <c r="F410" s="36">
        <f>SUMIFS('Campaign - Dump'!$Q:$Q,'Campaign - Dump'!$J:$J,'Portfolio Wise '!$B410,'Campaign - Dump'!$A:$A,'Portfolio Wise '!$A410)</f>
        <v>0</v>
      </c>
      <c r="G410" s="38">
        <f t="shared" si="3"/>
        <v>0</v>
      </c>
      <c r="H410" s="41">
        <f>SUMIFS('Campaign - Dump'!$T:$T,'Campaign - Dump'!$J:$J,'Portfolio Wise '!$B410,'Campaign - Dump'!$A:$A,'Portfolio Wise '!$A410)</f>
        <v>0</v>
      </c>
      <c r="I410" s="23">
        <f t="shared" si="4"/>
        <v>0</v>
      </c>
      <c r="J410" s="36">
        <f>SUMIFS('Campaign - Dump'!$U:$U,'Campaign - Dump'!$J:$J,'Portfolio Wise '!$B410,'Campaign - Dump'!$A:$A,'Portfolio Wise '!$A410)</f>
        <v>0</v>
      </c>
      <c r="K410" s="23">
        <f t="shared" si="5"/>
        <v>0</v>
      </c>
      <c r="L410" s="38">
        <f t="shared" si="6"/>
        <v>0</v>
      </c>
      <c r="M410" s="41">
        <f t="shared" si="7"/>
        <v>0</v>
      </c>
      <c r="N410" s="13">
        <f t="shared" si="575"/>
        <v>0</v>
      </c>
      <c r="O410" s="36">
        <f t="shared" si="576"/>
        <v>0</v>
      </c>
      <c r="P410" s="41">
        <f t="shared" si="8"/>
        <v>0</v>
      </c>
      <c r="Q410" s="13">
        <f>SUMIFS('Business - Dump'!$W:$W,'Business - Dump'!$B:$B,'Portfolio Wise '!$B410,'Business - Dump'!$A:$A,'Portfolio Wise '!$A410)</f>
        <v>0</v>
      </c>
      <c r="R410" s="36">
        <f>SUMIFS('Business - Dump'!$U:$U,'Business - Dump'!$B:$B,'Portfolio Wise '!$B410,'Business - Dump'!$A:$A,'Portfolio Wise '!$A410)/1.18</f>
        <v>0</v>
      </c>
      <c r="S410" s="41">
        <f t="shared" si="9"/>
        <v>0</v>
      </c>
      <c r="T410" s="23">
        <f t="shared" si="10"/>
        <v>0</v>
      </c>
      <c r="U410" s="38">
        <f t="shared" si="11"/>
        <v>0</v>
      </c>
      <c r="V410" s="41">
        <f>SUMIFS('Business - Dump'!$G:$G,'Business - Dump'!$B:$B,'Portfolio Wise '!$B410,'Business - Dump'!$A:$A,'Portfolio Wise '!$A410)</f>
        <v>0</v>
      </c>
      <c r="W410" s="48">
        <f t="shared" si="12"/>
        <v>0</v>
      </c>
      <c r="X410" s="23">
        <f t="shared" ref="X410:Y410" si="583">IFERROR(N410/Q410,0)</f>
        <v>0</v>
      </c>
      <c r="Y410" s="49">
        <f t="shared" si="583"/>
        <v>0</v>
      </c>
      <c r="Z410" s="49">
        <f t="shared" si="14"/>
        <v>0</v>
      </c>
      <c r="AA410" s="23">
        <f t="shared" si="15"/>
        <v>0</v>
      </c>
      <c r="AB410" s="23">
        <f>IFERROR(AVERAGEIFS('Business - Dump'!$O:$O,'Business - Dump'!$B:$B,'Portfolio Wise '!$B410,'Business - Dump'!$A:$A,'Portfolio Wise '!$A410),0)</f>
        <v>0</v>
      </c>
      <c r="AC410" s="49">
        <f>F410/SUMIFS('Campaign - Dump'!$Q:$Q,'Campaign - Dump'!$A:$A,'Portfolio Wise '!$A410)</f>
        <v>0</v>
      </c>
      <c r="AD410" s="49">
        <f t="shared" si="16"/>
        <v>0</v>
      </c>
    </row>
    <row r="411" ht="15.75" customHeight="1">
      <c r="A411" s="65">
        <v>45717.0</v>
      </c>
      <c r="B411" s="10" t="s">
        <v>241</v>
      </c>
      <c r="C411" s="13">
        <f>SUMIFS('Campaign - Dump'!$N:$N,'Campaign - Dump'!$J:$J,'Portfolio Wise '!$B411,'Campaign - Dump'!$A:$A,'Portfolio Wise '!$A411)</f>
        <v>143642</v>
      </c>
      <c r="D411" s="13">
        <f>SUMIFS('Campaign - Dump'!$O:$O,'Campaign - Dump'!$J:$J,'Portfolio Wise '!$B411,'Campaign - Dump'!$A:$A,'Portfolio Wise '!$A411)</f>
        <v>328</v>
      </c>
      <c r="E411" s="23">
        <f t="shared" si="2"/>
        <v>0.0022834547</v>
      </c>
      <c r="F411" s="36">
        <f>SUMIFS('Campaign - Dump'!$Q:$Q,'Campaign - Dump'!$J:$J,'Portfolio Wise '!$B411,'Campaign - Dump'!$A:$A,'Portfolio Wise '!$A411)</f>
        <v>5191.99</v>
      </c>
      <c r="G411" s="38">
        <f t="shared" si="3"/>
        <v>15.8292378</v>
      </c>
      <c r="H411" s="41">
        <f>SUMIFS('Campaign - Dump'!$T:$T,'Campaign - Dump'!$J:$J,'Portfolio Wise '!$B411,'Campaign - Dump'!$A:$A,'Portfolio Wise '!$A411)</f>
        <v>7</v>
      </c>
      <c r="I411" s="23">
        <f t="shared" si="4"/>
        <v>0.02134146341</v>
      </c>
      <c r="J411" s="36">
        <f>SUMIFS('Campaign - Dump'!$U:$U,'Campaign - Dump'!$J:$J,'Portfolio Wise '!$B411,'Campaign - Dump'!$A:$A,'Portfolio Wise '!$A411)</f>
        <v>13044.92</v>
      </c>
      <c r="K411" s="23">
        <f t="shared" si="5"/>
        <v>0.3980085735</v>
      </c>
      <c r="L411" s="38">
        <f t="shared" si="6"/>
        <v>2.512508691</v>
      </c>
      <c r="M411" s="41">
        <f t="shared" si="7"/>
        <v>1863.56</v>
      </c>
      <c r="N411" s="13">
        <f t="shared" si="575"/>
        <v>4</v>
      </c>
      <c r="O411" s="36">
        <f t="shared" si="576"/>
        <v>8132.198644</v>
      </c>
      <c r="P411" s="41">
        <f t="shared" si="8"/>
        <v>2033.049661</v>
      </c>
      <c r="Q411" s="13">
        <f>SUMIFS('Business - Dump'!$W:$W,'Business - Dump'!$B:$B,'Portfolio Wise '!$B411,'Business - Dump'!$A:$A,'Portfolio Wise '!$A411)</f>
        <v>11</v>
      </c>
      <c r="R411" s="36">
        <f>SUMIFS('Business - Dump'!$U:$U,'Business - Dump'!$B:$B,'Portfolio Wise '!$B411,'Business - Dump'!$A:$A,'Portfolio Wise '!$A411)/1.18</f>
        <v>21177.11864</v>
      </c>
      <c r="S411" s="41">
        <f t="shared" si="9"/>
        <v>1925.192604</v>
      </c>
      <c r="T411" s="201">
        <f t="shared" si="10"/>
        <v>0.2451698027</v>
      </c>
      <c r="U411" s="38">
        <f t="shared" si="11"/>
        <v>4.078805746</v>
      </c>
      <c r="V411" s="41">
        <f>SUMIFS('Business - Dump'!$G:$G,'Business - Dump'!$B:$B,'Portfolio Wise '!$B411,'Business - Dump'!$A:$A,'Portfolio Wise '!$A411)</f>
        <v>884</v>
      </c>
      <c r="W411" s="48">
        <f t="shared" si="12"/>
        <v>0.01244343891</v>
      </c>
      <c r="X411" s="23">
        <f t="shared" ref="X411:Y411" si="584">IFERROR(N411/Q411,0)</f>
        <v>0.3636363636</v>
      </c>
      <c r="Y411" s="49">
        <f t="shared" si="584"/>
        <v>0.3840087398</v>
      </c>
      <c r="Z411" s="49">
        <f t="shared" si="14"/>
        <v>0.6363636364</v>
      </c>
      <c r="AA411" s="23">
        <f t="shared" si="15"/>
        <v>0.3840087398</v>
      </c>
      <c r="AB411" s="23">
        <f>IFERROR(AVERAGEIFS('Business - Dump'!$O:$O,'Business - Dump'!$B:$B,'Portfolio Wise '!$B411,'Business - Dump'!$A:$A,'Portfolio Wise '!$A411),0)</f>
        <v>0.9982</v>
      </c>
      <c r="AC411" s="49">
        <f>F411/SUMIFS('Campaign - Dump'!$Q:$Q,'Campaign - Dump'!$A:$A,'Portfolio Wise '!$A411)</f>
        <v>0.006140633795</v>
      </c>
      <c r="AD411" s="49">
        <f t="shared" si="16"/>
        <v>0.5714285714</v>
      </c>
    </row>
    <row r="412" ht="15.75" customHeight="1">
      <c r="A412" s="65">
        <v>45717.0</v>
      </c>
      <c r="B412" s="19" t="s">
        <v>248</v>
      </c>
      <c r="C412" s="13">
        <f>SUMIFS('Campaign - Dump'!$N:$N,'Campaign - Dump'!$J:$J,'Portfolio Wise '!$B412,'Campaign - Dump'!$A:$A,'Portfolio Wise '!$A412)</f>
        <v>0</v>
      </c>
      <c r="D412" s="13">
        <f>SUMIFS('Campaign - Dump'!$O:$O,'Campaign - Dump'!$J:$J,'Portfolio Wise '!$B412,'Campaign - Dump'!$A:$A,'Portfolio Wise '!$A412)</f>
        <v>0</v>
      </c>
      <c r="E412" s="23">
        <f t="shared" si="2"/>
        <v>0</v>
      </c>
      <c r="F412" s="36">
        <f>SUMIFS('Campaign - Dump'!$Q:$Q,'Campaign - Dump'!$J:$J,'Portfolio Wise '!$B412,'Campaign - Dump'!$A:$A,'Portfolio Wise '!$A412)</f>
        <v>0</v>
      </c>
      <c r="G412" s="38">
        <f t="shared" si="3"/>
        <v>0</v>
      </c>
      <c r="H412" s="41">
        <f>SUMIFS('Campaign - Dump'!$T:$T,'Campaign - Dump'!$J:$J,'Portfolio Wise '!$B412,'Campaign - Dump'!$A:$A,'Portfolio Wise '!$A412)</f>
        <v>0</v>
      </c>
      <c r="I412" s="23">
        <f t="shared" si="4"/>
        <v>0</v>
      </c>
      <c r="J412" s="36">
        <f>SUMIFS('Campaign - Dump'!$U:$U,'Campaign - Dump'!$J:$J,'Portfolio Wise '!$B412,'Campaign - Dump'!$A:$A,'Portfolio Wise '!$A412)</f>
        <v>0</v>
      </c>
      <c r="K412" s="23">
        <f t="shared" si="5"/>
        <v>0</v>
      </c>
      <c r="L412" s="38">
        <f t="shared" si="6"/>
        <v>0</v>
      </c>
      <c r="M412" s="41">
        <f t="shared" si="7"/>
        <v>0</v>
      </c>
      <c r="N412" s="13">
        <f t="shared" si="575"/>
        <v>0</v>
      </c>
      <c r="O412" s="36">
        <f t="shared" si="576"/>
        <v>0</v>
      </c>
      <c r="P412" s="41">
        <f t="shared" si="8"/>
        <v>0</v>
      </c>
      <c r="Q412" s="13">
        <f>SUMIFS('Business - Dump'!$W:$W,'Business - Dump'!$B:$B,'Portfolio Wise '!$B412,'Business - Dump'!$A:$A,'Portfolio Wise '!$A412)</f>
        <v>0</v>
      </c>
      <c r="R412" s="36">
        <f>SUMIFS('Business - Dump'!$U:$U,'Business - Dump'!$B:$B,'Portfolio Wise '!$B412,'Business - Dump'!$A:$A,'Portfolio Wise '!$A412)/1.18</f>
        <v>0</v>
      </c>
      <c r="S412" s="41">
        <f t="shared" si="9"/>
        <v>0</v>
      </c>
      <c r="T412" s="23">
        <f t="shared" si="10"/>
        <v>0</v>
      </c>
      <c r="U412" s="38">
        <f t="shared" si="11"/>
        <v>0</v>
      </c>
      <c r="V412" s="41">
        <f>SUMIFS('Business - Dump'!$G:$G,'Business - Dump'!$B:$B,'Portfolio Wise '!$B412,'Business - Dump'!$A:$A,'Portfolio Wise '!$A412)</f>
        <v>0</v>
      </c>
      <c r="W412" s="48">
        <f t="shared" si="12"/>
        <v>0</v>
      </c>
      <c r="X412" s="23">
        <f t="shared" ref="X412:Y412" si="585">IFERROR(N412/Q412,0)</f>
        <v>0</v>
      </c>
      <c r="Y412" s="49">
        <f t="shared" si="585"/>
        <v>0</v>
      </c>
      <c r="Z412" s="49">
        <f t="shared" si="14"/>
        <v>0</v>
      </c>
      <c r="AA412" s="23">
        <f t="shared" si="15"/>
        <v>0</v>
      </c>
      <c r="AB412" s="23">
        <f>IFERROR(AVERAGEIFS('Business - Dump'!$O:$O,'Business - Dump'!$B:$B,'Portfolio Wise '!$B412,'Business - Dump'!$A:$A,'Portfolio Wise '!$A412),0)</f>
        <v>0</v>
      </c>
      <c r="AC412" s="49">
        <f>F412/SUMIFS('Campaign - Dump'!$Q:$Q,'Campaign - Dump'!$A:$A,'Portfolio Wise '!$A412)</f>
        <v>0</v>
      </c>
      <c r="AD412" s="49">
        <f t="shared" si="16"/>
        <v>0</v>
      </c>
    </row>
    <row r="413" ht="15.75" customHeight="1">
      <c r="A413" s="65">
        <v>45717.0</v>
      </c>
      <c r="B413" s="19" t="s">
        <v>321</v>
      </c>
      <c r="C413" s="13">
        <f>SUMIFS('Campaign - Dump'!$N:$N,'Campaign - Dump'!$J:$J,'Portfolio Wise '!$B413,'Campaign - Dump'!$A:$A,'Portfolio Wise '!$A413)</f>
        <v>39427</v>
      </c>
      <c r="D413" s="13">
        <f>SUMIFS('Campaign - Dump'!$O:$O,'Campaign - Dump'!$J:$J,'Portfolio Wise '!$B413,'Campaign - Dump'!$A:$A,'Portfolio Wise '!$A413)</f>
        <v>342</v>
      </c>
      <c r="E413" s="23">
        <f t="shared" si="2"/>
        <v>0.008674258757</v>
      </c>
      <c r="F413" s="36">
        <f>SUMIFS('Campaign - Dump'!$Q:$Q,'Campaign - Dump'!$J:$J,'Portfolio Wise '!$B413,'Campaign - Dump'!$A:$A,'Portfolio Wise '!$A413)</f>
        <v>1776.62</v>
      </c>
      <c r="G413" s="38">
        <f t="shared" si="3"/>
        <v>5.194795322</v>
      </c>
      <c r="H413" s="41">
        <f>SUMIFS('Campaign - Dump'!$T:$T,'Campaign - Dump'!$J:$J,'Portfolio Wise '!$B413,'Campaign - Dump'!$A:$A,'Portfolio Wise '!$A413)</f>
        <v>8</v>
      </c>
      <c r="I413" s="23">
        <f t="shared" si="4"/>
        <v>0.02339181287</v>
      </c>
      <c r="J413" s="36">
        <f>SUMIFS('Campaign - Dump'!$U:$U,'Campaign - Dump'!$J:$J,'Portfolio Wise '!$B413,'Campaign - Dump'!$A:$A,'Portfolio Wise '!$A413)</f>
        <v>3805.92</v>
      </c>
      <c r="K413" s="23">
        <f t="shared" si="5"/>
        <v>0.4668043469</v>
      </c>
      <c r="L413" s="38">
        <f t="shared" si="6"/>
        <v>2.142225124</v>
      </c>
      <c r="M413" s="41">
        <f t="shared" si="7"/>
        <v>475.74</v>
      </c>
      <c r="N413" s="13">
        <f t="shared" si="575"/>
        <v>6</v>
      </c>
      <c r="O413" s="36">
        <f t="shared" si="576"/>
        <v>2537.300339</v>
      </c>
      <c r="P413" s="41">
        <f t="shared" si="8"/>
        <v>422.8833898</v>
      </c>
      <c r="Q413" s="13">
        <f>SUMIFS('Business - Dump'!$W:$W,'Business - Dump'!$B:$B,'Portfolio Wise '!$B413,'Business - Dump'!$A:$A,'Portfolio Wise '!$A413)</f>
        <v>14</v>
      </c>
      <c r="R413" s="36">
        <f>SUMIFS('Business - Dump'!$U:$U,'Business - Dump'!$B:$B,'Portfolio Wise '!$B413,'Business - Dump'!$A:$A,'Portfolio Wise '!$A413)/1.18</f>
        <v>6343.220339</v>
      </c>
      <c r="S413" s="41">
        <f t="shared" si="9"/>
        <v>453.0871671</v>
      </c>
      <c r="T413" s="23">
        <f t="shared" si="10"/>
        <v>0.2800817101</v>
      </c>
      <c r="U413" s="38">
        <f t="shared" si="11"/>
        <v>3.570386655</v>
      </c>
      <c r="V413" s="41">
        <f>SUMIFS('Business - Dump'!$G:$G,'Business - Dump'!$B:$B,'Portfolio Wise '!$B413,'Business - Dump'!$A:$A,'Portfolio Wise '!$A413)</f>
        <v>571</v>
      </c>
      <c r="W413" s="48">
        <f t="shared" si="12"/>
        <v>0.02451838879</v>
      </c>
      <c r="X413" s="23">
        <f t="shared" ref="X413:Y413" si="586">IFERROR(N413/Q413,0)</f>
        <v>0.4285714286</v>
      </c>
      <c r="Y413" s="49">
        <f t="shared" si="586"/>
        <v>0.4000019238</v>
      </c>
      <c r="Z413" s="49">
        <f t="shared" si="14"/>
        <v>0.5714285714</v>
      </c>
      <c r="AA413" s="23">
        <f t="shared" si="15"/>
        <v>0.4000019238</v>
      </c>
      <c r="AB413" s="23">
        <f>IFERROR(AVERAGEIFS('Business - Dump'!$O:$O,'Business - Dump'!$B:$B,'Portfolio Wise '!$B413,'Business - Dump'!$A:$A,'Portfolio Wise '!$A413),0)</f>
        <v>1</v>
      </c>
      <c r="AC413" s="49">
        <f>F413/SUMIFS('Campaign - Dump'!$Q:$Q,'Campaign - Dump'!$A:$A,'Portfolio Wise '!$A413)</f>
        <v>0.002101231476</v>
      </c>
      <c r="AD413" s="49">
        <f t="shared" si="16"/>
        <v>0.75</v>
      </c>
    </row>
    <row r="414" ht="15.75" customHeight="1">
      <c r="A414" s="65">
        <v>45717.0</v>
      </c>
      <c r="B414" s="19" t="s">
        <v>1247</v>
      </c>
      <c r="C414" s="13">
        <f>SUMIFS('Campaign - Dump'!$N:$N,'Campaign - Dump'!$J:$J,'Portfolio Wise '!$B414,'Campaign - Dump'!$A:$A,'Portfolio Wise '!$A414)</f>
        <v>100397</v>
      </c>
      <c r="D414" s="13">
        <f>SUMIFS('Campaign - Dump'!$O:$O,'Campaign - Dump'!$J:$J,'Portfolio Wise '!$B414,'Campaign - Dump'!$A:$A,'Portfolio Wise '!$A414)</f>
        <v>215</v>
      </c>
      <c r="E414" s="23">
        <f t="shared" si="2"/>
        <v>0.002141498252</v>
      </c>
      <c r="F414" s="36">
        <f>SUMIFS('Campaign - Dump'!$Q:$Q,'Campaign - Dump'!$J:$J,'Portfolio Wise '!$B414,'Campaign - Dump'!$A:$A,'Portfolio Wise '!$A414)</f>
        <v>2716.07</v>
      </c>
      <c r="G414" s="38">
        <f t="shared" si="3"/>
        <v>12.63288372</v>
      </c>
      <c r="H414" s="41">
        <f>SUMIFS('Campaign - Dump'!$T:$T,'Campaign - Dump'!$J:$J,'Portfolio Wise '!$B414,'Campaign - Dump'!$A:$A,'Portfolio Wise '!$A414)</f>
        <v>0</v>
      </c>
      <c r="I414" s="23">
        <f t="shared" si="4"/>
        <v>0</v>
      </c>
      <c r="J414" s="36">
        <f>SUMIFS('Campaign - Dump'!$U:$U,'Campaign - Dump'!$J:$J,'Portfolio Wise '!$B414,'Campaign - Dump'!$A:$A,'Portfolio Wise '!$A414)</f>
        <v>0</v>
      </c>
      <c r="K414" s="23">
        <f t="shared" si="5"/>
        <v>0</v>
      </c>
      <c r="L414" s="38">
        <f t="shared" si="6"/>
        <v>0</v>
      </c>
      <c r="M414" s="41">
        <f t="shared" si="7"/>
        <v>0</v>
      </c>
      <c r="N414" s="13">
        <f t="shared" si="575"/>
        <v>0</v>
      </c>
      <c r="O414" s="36">
        <f t="shared" si="576"/>
        <v>0</v>
      </c>
      <c r="P414" s="41">
        <f t="shared" si="8"/>
        <v>0</v>
      </c>
      <c r="Q414" s="13">
        <f>SUMIFS('Business - Dump'!$W:$W,'Business - Dump'!$B:$B,'Portfolio Wise '!$B414,'Business - Dump'!$A:$A,'Portfolio Wise '!$A414)</f>
        <v>0</v>
      </c>
      <c r="R414" s="36">
        <f>SUMIFS('Business - Dump'!$U:$U,'Business - Dump'!$B:$B,'Portfolio Wise '!$B414,'Business - Dump'!$A:$A,'Portfolio Wise '!$A414)/1.18</f>
        <v>0</v>
      </c>
      <c r="S414" s="41">
        <f t="shared" si="9"/>
        <v>0</v>
      </c>
      <c r="T414" s="23">
        <f t="shared" si="10"/>
        <v>0</v>
      </c>
      <c r="U414" s="38">
        <f t="shared" si="11"/>
        <v>0</v>
      </c>
      <c r="V414" s="41">
        <f>SUMIFS('Business - Dump'!$G:$G,'Business - Dump'!$B:$B,'Portfolio Wise '!$B414,'Business - Dump'!$A:$A,'Portfolio Wise '!$A414)</f>
        <v>0</v>
      </c>
      <c r="W414" s="48">
        <f t="shared" si="12"/>
        <v>0</v>
      </c>
      <c r="X414" s="23">
        <f t="shared" ref="X414:Y414" si="587">IFERROR(N414/Q414,0)</f>
        <v>0</v>
      </c>
      <c r="Y414" s="49">
        <f t="shared" si="587"/>
        <v>0</v>
      </c>
      <c r="Z414" s="49">
        <f t="shared" si="14"/>
        <v>0</v>
      </c>
      <c r="AA414" s="23">
        <f t="shared" si="15"/>
        <v>0</v>
      </c>
      <c r="AB414" s="23">
        <f>IFERROR(AVERAGEIFS('Business - Dump'!$O:$O,'Business - Dump'!$B:$B,'Portfolio Wise '!$B414,'Business - Dump'!$A:$A,'Portfolio Wise '!$A414),0)</f>
        <v>0</v>
      </c>
      <c r="AC414" s="49">
        <f>F414/SUMIFS('Campaign - Dump'!$Q:$Q,'Campaign - Dump'!$A:$A,'Portfolio Wise '!$A414)</f>
        <v>0.003212331154</v>
      </c>
      <c r="AD414" s="49">
        <f t="shared" si="16"/>
        <v>0</v>
      </c>
    </row>
    <row r="415" ht="15.75" customHeight="1">
      <c r="A415" s="65">
        <v>45717.0</v>
      </c>
      <c r="B415" s="146" t="s">
        <v>1377</v>
      </c>
      <c r="C415" s="127">
        <f t="shared" ref="C415:D415" si="588">SUM(C390:C413)</f>
        <v>11543482</v>
      </c>
      <c r="D415" s="127">
        <f t="shared" si="588"/>
        <v>51075</v>
      </c>
      <c r="E415" s="62">
        <f t="shared" si="2"/>
        <v>0.004424574838</v>
      </c>
      <c r="F415" s="128">
        <f>SUM(F390:F413)</f>
        <v>842797.63</v>
      </c>
      <c r="G415" s="129">
        <f t="shared" si="3"/>
        <v>16.50117729</v>
      </c>
      <c r="H415" s="130">
        <f>SUM(H390:H413)</f>
        <v>458</v>
      </c>
      <c r="I415" s="62">
        <f t="shared" si="4"/>
        <v>0.008967205091</v>
      </c>
      <c r="J415" s="128">
        <f>SUM(J390:J413)</f>
        <v>3495437.8</v>
      </c>
      <c r="K415" s="62">
        <f t="shared" si="5"/>
        <v>0.241113611</v>
      </c>
      <c r="L415" s="129">
        <f t="shared" si="6"/>
        <v>4.147422436</v>
      </c>
      <c r="M415" s="130">
        <f t="shared" si="7"/>
        <v>7631.960262</v>
      </c>
      <c r="N415" s="127">
        <f t="shared" ref="N415:O415" si="589">SUM(N390:N413)</f>
        <v>254</v>
      </c>
      <c r="O415" s="128">
        <f t="shared" si="589"/>
        <v>2979384.693</v>
      </c>
      <c r="P415" s="130">
        <f t="shared" si="8"/>
        <v>11729.861</v>
      </c>
      <c r="Q415" s="127">
        <f t="shared" ref="Q415:R415" si="590">SUM(Q390:Q413)</f>
        <v>626</v>
      </c>
      <c r="R415" s="128">
        <f t="shared" si="590"/>
        <v>5083935.093</v>
      </c>
      <c r="S415" s="130">
        <f t="shared" si="9"/>
        <v>8121.302066</v>
      </c>
      <c r="T415" s="62">
        <f t="shared" si="10"/>
        <v>0.1657766306</v>
      </c>
      <c r="U415" s="129">
        <f t="shared" si="11"/>
        <v>6.032213324</v>
      </c>
      <c r="V415" s="130">
        <f>SUM(V390:V413)</f>
        <v>75517</v>
      </c>
      <c r="W415" s="131">
        <f t="shared" si="12"/>
        <v>0.008289524213</v>
      </c>
      <c r="X415" s="62">
        <f t="shared" ref="X415:Y415" si="591">IFERROR(N415/Q415,0)</f>
        <v>0.4057507987</v>
      </c>
      <c r="Y415" s="132">
        <f t="shared" si="591"/>
        <v>0.5860390895</v>
      </c>
      <c r="Z415" s="132">
        <f t="shared" si="14"/>
        <v>0.731629393</v>
      </c>
      <c r="AA415" s="62">
        <f t="shared" si="15"/>
        <v>0.5860390895</v>
      </c>
      <c r="AB415" s="62">
        <f>IFERROR(AVERAGEIFS('Business - Dump'!$O:$O,'Business - Dump'!$B:$B,'Portfolio Wise '!$B415,'Business - Dump'!$A:$A,'Portfolio Wise '!$A415),0)</f>
        <v>0</v>
      </c>
      <c r="AC415" s="132">
        <f>F415/SUMIFS('Campaign - Dump'!$Q:$Q,'Campaign - Dump'!$A:$A,'Portfolio Wise '!$A415)</f>
        <v>0.9967876688</v>
      </c>
      <c r="AD415" s="132">
        <f t="shared" si="16"/>
        <v>0.5545851528</v>
      </c>
    </row>
    <row r="416" ht="15.75" customHeight="1"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209"/>
      <c r="P416" s="155"/>
      <c r="Q416" s="155"/>
      <c r="R416" s="209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</row>
    <row r="417" ht="15.75" customHeight="1"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209"/>
      <c r="P417" s="155"/>
      <c r="Q417" s="155"/>
      <c r="R417" s="209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</row>
    <row r="418" ht="15.75" customHeight="1">
      <c r="A418" s="200">
        <v>45772.0</v>
      </c>
      <c r="B418" s="33" t="s">
        <v>90</v>
      </c>
      <c r="C418" s="13">
        <f>SUMIFS('Campaign - Dump'!$N:$N,'Campaign - Dump'!$J:$J,'Portfolio Wise '!$B418,'Campaign - Dump'!$A:$A,'Portfolio Wise '!$A418)</f>
        <v>136433</v>
      </c>
      <c r="D418" s="13">
        <f>SUMIFS('Campaign - Dump'!$O:$O,'Campaign - Dump'!$J:$J,'Portfolio Wise '!$B418,'Campaign - Dump'!$A:$A,'Portfolio Wise '!$A418)</f>
        <v>385</v>
      </c>
      <c r="E418" s="23">
        <f t="shared" ref="E418:E443" si="593">IFERROR(D418/C418,0)</f>
        <v>0.002821897928</v>
      </c>
      <c r="F418" s="36">
        <f>SUMIFS('Campaign - Dump'!$Q:$Q,'Campaign - Dump'!$J:$J,'Portfolio Wise '!$B418,'Campaign - Dump'!$A:$A,'Portfolio Wise '!$A418)</f>
        <v>10465.99</v>
      </c>
      <c r="G418" s="38">
        <f t="shared" ref="G418:G443" si="594">IFERROR(F418/D418,0)</f>
        <v>27.18438961</v>
      </c>
      <c r="H418" s="41">
        <f>SUMIFS('Campaign - Dump'!$T:$T,'Campaign - Dump'!$J:$J,'Portfolio Wise '!$B418,'Campaign - Dump'!$A:$A,'Portfolio Wise '!$A418)</f>
        <v>5</v>
      </c>
      <c r="I418" s="23">
        <f t="shared" ref="I418:I443" si="595">IFERROR(H418/D418,0)</f>
        <v>0.01298701299</v>
      </c>
      <c r="J418" s="36">
        <f>SUMIFS('Campaign - Dump'!$U:$U,'Campaign - Dump'!$J:$J,'Portfolio Wise '!$B418,'Campaign - Dump'!$A:$A,'Portfolio Wise '!$A418)</f>
        <v>73175.42</v>
      </c>
      <c r="K418" s="23">
        <f t="shared" ref="K418:K443" si="596">IFERROR(F418/J418,0)</f>
        <v>0.1430260325</v>
      </c>
      <c r="L418" s="38">
        <f t="shared" ref="L418:L443" si="597">IFERROR(J418/F418,0)</f>
        <v>6.991734179</v>
      </c>
      <c r="M418" s="41">
        <f t="shared" ref="M418:M443" si="598">IFERROR(J418/H418,0)</f>
        <v>14635.084</v>
      </c>
      <c r="N418" s="13">
        <v>0.0</v>
      </c>
      <c r="O418" s="36">
        <v>0.0</v>
      </c>
      <c r="P418" s="41">
        <f t="shared" ref="P418:P443" si="599">IFERROR(O418/N418,0)</f>
        <v>0</v>
      </c>
      <c r="Q418" s="13">
        <f>SUMIFS('Business - Dump'!$W:$W,'Business - Dump'!$B:$B,'Portfolio Wise '!$B418,'Business - Dump'!$A:$A,'Portfolio Wise '!$A418)</f>
        <v>0</v>
      </c>
      <c r="R418" s="36">
        <f>SUMIFS('Business - Dump'!$U:$U,'Business - Dump'!$B:$B,'Portfolio Wise '!$B418,'Business - Dump'!$A:$A,'Portfolio Wise '!$A418)/1.18</f>
        <v>0</v>
      </c>
      <c r="S418" s="41">
        <f t="shared" ref="S418:S443" si="600">IFERROR(R418/Q418,0)</f>
        <v>0</v>
      </c>
      <c r="T418" s="23">
        <f t="shared" ref="T418:T443" si="601">IFERROR(F418/R418,0)</f>
        <v>0</v>
      </c>
      <c r="U418" s="38">
        <f t="shared" ref="U418:U443" si="602">IFERROR(R418/F418,0)</f>
        <v>0</v>
      </c>
      <c r="V418" s="41">
        <f>SUMIFS('Business - Dump'!$G:$G,'Business - Dump'!$B:$B,'Portfolio Wise '!$B418,'Business - Dump'!$A:$A,'Portfolio Wise '!$A418)</f>
        <v>0</v>
      </c>
      <c r="W418" s="48">
        <f t="shared" ref="W418:W443" si="603">IFERROR(Q418/V418,0)</f>
        <v>0</v>
      </c>
      <c r="X418" s="23">
        <f t="shared" ref="X418:Y418" si="592">IFERROR(N418/Q418,0)</f>
        <v>0</v>
      </c>
      <c r="Y418" s="49">
        <f t="shared" si="592"/>
        <v>0</v>
      </c>
      <c r="Z418" s="49">
        <f t="shared" ref="Z418:Z443" si="605">IFERROR(H418/Q418,0)</f>
        <v>0</v>
      </c>
      <c r="AA418" s="23">
        <f t="shared" ref="AA418:AA443" si="606">IFERROR(O418/R418,0)</f>
        <v>0</v>
      </c>
      <c r="AB418" s="23">
        <f>IFERROR(AVERAGEIFS('Business - Dump'!$O:$O,'Business - Dump'!$B:$B,'Portfolio Wise '!$B418,'Business - Dump'!$A:$A,'Portfolio Wise '!$A418),0)</f>
        <v>0</v>
      </c>
      <c r="AC418" s="49">
        <f>F418/SUMIFS('Campaign - Dump'!$Q:$Q,'Campaign - Dump'!$A:$A,'Portfolio Wise '!$A418)</f>
        <v>0.01426934587</v>
      </c>
      <c r="AD418" s="49">
        <f t="shared" ref="AD418:AD443" si="607">IFERROR(N418/H418,0)</f>
        <v>0</v>
      </c>
    </row>
    <row r="419" ht="15.75" customHeight="1">
      <c r="A419" s="200">
        <v>45772.0</v>
      </c>
      <c r="B419" s="51" t="s">
        <v>110</v>
      </c>
      <c r="C419" s="13">
        <f>SUMIFS('Campaign - Dump'!$N:$N,'Campaign - Dump'!$J:$J,'Portfolio Wise '!$B419,'Campaign - Dump'!$A:$A,'Portfolio Wise '!$A419)</f>
        <v>0</v>
      </c>
      <c r="D419" s="13">
        <f>SUMIFS('Campaign - Dump'!$O:$O,'Campaign - Dump'!$J:$J,'Portfolio Wise '!$B419,'Campaign - Dump'!$A:$A,'Portfolio Wise '!$A419)</f>
        <v>0</v>
      </c>
      <c r="E419" s="23">
        <f t="shared" si="593"/>
        <v>0</v>
      </c>
      <c r="F419" s="36">
        <f>SUMIFS('Campaign - Dump'!$Q:$Q,'Campaign - Dump'!$J:$J,'Portfolio Wise '!$B419,'Campaign - Dump'!$A:$A,'Portfolio Wise '!$A419)</f>
        <v>0</v>
      </c>
      <c r="G419" s="38">
        <f t="shared" si="594"/>
        <v>0</v>
      </c>
      <c r="H419" s="41">
        <f>SUMIFS('Campaign - Dump'!$T:$T,'Campaign - Dump'!$J:$J,'Portfolio Wise '!$B419,'Campaign - Dump'!$A:$A,'Portfolio Wise '!$A419)</f>
        <v>0</v>
      </c>
      <c r="I419" s="23">
        <f t="shared" si="595"/>
        <v>0</v>
      </c>
      <c r="J419" s="36">
        <f>SUMIFS('Campaign - Dump'!$U:$U,'Campaign - Dump'!$J:$J,'Portfolio Wise '!$B419,'Campaign - Dump'!$A:$A,'Portfolio Wise '!$A419)</f>
        <v>0</v>
      </c>
      <c r="K419" s="23">
        <f t="shared" si="596"/>
        <v>0</v>
      </c>
      <c r="L419" s="38">
        <f t="shared" si="597"/>
        <v>0</v>
      </c>
      <c r="M419" s="41">
        <f t="shared" si="598"/>
        <v>0</v>
      </c>
      <c r="N419" s="13">
        <f t="shared" ref="N419:N421" si="608">IFERROR(Q419-H419,0)</f>
        <v>0</v>
      </c>
      <c r="O419" s="36">
        <f t="shared" ref="O419:O421" si="609">IFERROR(R419-J419,0)</f>
        <v>0</v>
      </c>
      <c r="P419" s="41">
        <f t="shared" si="599"/>
        <v>0</v>
      </c>
      <c r="Q419" s="13">
        <f>SUMIFS('Business - Dump'!$W:$W,'Business - Dump'!$B:$B,'Portfolio Wise '!$B419,'Business - Dump'!$A:$A,'Portfolio Wise '!$A419)</f>
        <v>0</v>
      </c>
      <c r="R419" s="36">
        <f>SUMIFS('Business - Dump'!$U:$U,'Business - Dump'!$B:$B,'Portfolio Wise '!$B419,'Business - Dump'!$A:$A,'Portfolio Wise '!$A419)/1.18</f>
        <v>0</v>
      </c>
      <c r="S419" s="41">
        <f t="shared" si="600"/>
        <v>0</v>
      </c>
      <c r="T419" s="23">
        <f t="shared" si="601"/>
        <v>0</v>
      </c>
      <c r="U419" s="38">
        <f t="shared" si="602"/>
        <v>0</v>
      </c>
      <c r="V419" s="41">
        <f>SUMIFS('Business - Dump'!$G:$G,'Business - Dump'!$B:$B,'Portfolio Wise '!$B419,'Business - Dump'!$A:$A,'Portfolio Wise '!$A419)</f>
        <v>0</v>
      </c>
      <c r="W419" s="48">
        <f t="shared" si="603"/>
        <v>0</v>
      </c>
      <c r="X419" s="23">
        <f t="shared" ref="X419:Y419" si="604">IFERROR(N419/Q419,0)</f>
        <v>0</v>
      </c>
      <c r="Y419" s="49">
        <f t="shared" si="604"/>
        <v>0</v>
      </c>
      <c r="Z419" s="49">
        <f t="shared" si="605"/>
        <v>0</v>
      </c>
      <c r="AA419" s="23">
        <f t="shared" si="606"/>
        <v>0</v>
      </c>
      <c r="AB419" s="23">
        <f>IFERROR(AVERAGEIFS('Business - Dump'!$O:$O,'Business - Dump'!$B:$B,'Portfolio Wise '!$B419,'Business - Dump'!$A:$A,'Portfolio Wise '!$A419),0)</f>
        <v>0</v>
      </c>
      <c r="AC419" s="49">
        <f>F419/SUMIFS('Campaign - Dump'!$Q:$Q,'Campaign - Dump'!$A:$A,'Portfolio Wise '!$A419)</f>
        <v>0</v>
      </c>
      <c r="AD419" s="49">
        <f t="shared" si="607"/>
        <v>0</v>
      </c>
    </row>
    <row r="420" ht="15.75" customHeight="1">
      <c r="A420" s="200">
        <v>45772.0</v>
      </c>
      <c r="B420" s="51" t="s">
        <v>119</v>
      </c>
      <c r="C420" s="13">
        <f>SUMIFS('Campaign - Dump'!$N:$N,'Campaign - Dump'!$J:$J,'Portfolio Wise '!$B420,'Campaign - Dump'!$A:$A,'Portfolio Wise '!$A420)</f>
        <v>36674</v>
      </c>
      <c r="D420" s="13">
        <f>SUMIFS('Campaign - Dump'!$O:$O,'Campaign - Dump'!$J:$J,'Portfolio Wise '!$B420,'Campaign - Dump'!$A:$A,'Portfolio Wise '!$A420)</f>
        <v>493</v>
      </c>
      <c r="E420" s="23">
        <f t="shared" si="593"/>
        <v>0.01344276599</v>
      </c>
      <c r="F420" s="36">
        <f>SUMIFS('Campaign - Dump'!$Q:$Q,'Campaign - Dump'!$J:$J,'Portfolio Wise '!$B420,'Campaign - Dump'!$A:$A,'Portfolio Wise '!$A420)</f>
        <v>2057.6</v>
      </c>
      <c r="G420" s="38">
        <f t="shared" si="594"/>
        <v>4.173630832</v>
      </c>
      <c r="H420" s="41">
        <f>SUMIFS('Campaign - Dump'!$T:$T,'Campaign - Dump'!$J:$J,'Portfolio Wise '!$B420,'Campaign - Dump'!$A:$A,'Portfolio Wise '!$A420)</f>
        <v>3</v>
      </c>
      <c r="I420" s="23">
        <f t="shared" si="595"/>
        <v>0.006085192698</v>
      </c>
      <c r="J420" s="36">
        <f>SUMIFS('Campaign - Dump'!$U:$U,'Campaign - Dump'!$J:$J,'Portfolio Wise '!$B420,'Campaign - Dump'!$A:$A,'Portfolio Wise '!$A420)</f>
        <v>46194.91</v>
      </c>
      <c r="K420" s="23">
        <f t="shared" si="596"/>
        <v>0.04454170384</v>
      </c>
      <c r="L420" s="38">
        <f t="shared" si="597"/>
        <v>22.45086995</v>
      </c>
      <c r="M420" s="41">
        <f t="shared" si="598"/>
        <v>15398.30333</v>
      </c>
      <c r="N420" s="13">
        <f t="shared" si="608"/>
        <v>9</v>
      </c>
      <c r="O420" s="36">
        <f t="shared" si="609"/>
        <v>24394.07305</v>
      </c>
      <c r="P420" s="41">
        <f t="shared" si="599"/>
        <v>2710.452561</v>
      </c>
      <c r="Q420" s="13">
        <f>SUMIFS('Business - Dump'!$W:$W,'Business - Dump'!$B:$B,'Portfolio Wise '!$B420,'Business - Dump'!$A:$A,'Portfolio Wise '!$A420)</f>
        <v>12</v>
      </c>
      <c r="R420" s="36">
        <f>SUMIFS('Business - Dump'!$U:$U,'Business - Dump'!$B:$B,'Portfolio Wise '!$B420,'Business - Dump'!$A:$A,'Portfolio Wise '!$A420)/1.18</f>
        <v>70588.98305</v>
      </c>
      <c r="S420" s="41">
        <f t="shared" si="600"/>
        <v>5882.415254</v>
      </c>
      <c r="T420" s="23">
        <f t="shared" si="601"/>
        <v>0.02914902455</v>
      </c>
      <c r="U420" s="38">
        <f t="shared" si="602"/>
        <v>34.30646532</v>
      </c>
      <c r="V420" s="41">
        <f>SUMIFS('Business - Dump'!$G:$G,'Business - Dump'!$B:$B,'Portfolio Wise '!$B420,'Business - Dump'!$A:$A,'Portfolio Wise '!$A420)</f>
        <v>2264</v>
      </c>
      <c r="W420" s="48">
        <f t="shared" si="603"/>
        <v>0.005300353357</v>
      </c>
      <c r="X420" s="23">
        <f t="shared" ref="X420:Y420" si="610">IFERROR(N420/Q420,0)</f>
        <v>0.75</v>
      </c>
      <c r="Y420" s="49">
        <f t="shared" si="610"/>
        <v>0.3455790408</v>
      </c>
      <c r="Z420" s="49">
        <f t="shared" si="605"/>
        <v>0.25</v>
      </c>
      <c r="AA420" s="23">
        <f t="shared" si="606"/>
        <v>0.3455790408</v>
      </c>
      <c r="AB420" s="23">
        <f>IFERROR(AVERAGEIFS('Business - Dump'!$O:$O,'Business - Dump'!$B:$B,'Portfolio Wise '!$B420,'Business - Dump'!$A:$A,'Portfolio Wise '!$A420),0)</f>
        <v>0.82802</v>
      </c>
      <c r="AC420" s="49">
        <f>F420/SUMIFS('Campaign - Dump'!$Q:$Q,'Campaign - Dump'!$A:$A,'Portfolio Wise '!$A420)</f>
        <v>0.00280533481</v>
      </c>
      <c r="AD420" s="49">
        <f t="shared" si="607"/>
        <v>3</v>
      </c>
    </row>
    <row r="421" ht="15.75" customHeight="1">
      <c r="A421" s="200">
        <v>45772.0</v>
      </c>
      <c r="B421" s="68" t="s">
        <v>413</v>
      </c>
      <c r="C421" s="13">
        <f>SUMIFS('Campaign - Dump'!$N:$N,'Campaign - Dump'!$J:$J,'Portfolio Wise '!$B421,'Campaign - Dump'!$A:$A,'Portfolio Wise '!$A421)</f>
        <v>1594760</v>
      </c>
      <c r="D421" s="13">
        <f>SUMIFS('Campaign - Dump'!$O:$O,'Campaign - Dump'!$J:$J,'Portfolio Wise '!$B421,'Campaign - Dump'!$A:$A,'Portfolio Wise '!$A421)</f>
        <v>12698</v>
      </c>
      <c r="E421" s="23">
        <f t="shared" si="593"/>
        <v>0.00796232662</v>
      </c>
      <c r="F421" s="36">
        <f>SUMIFS('Campaign - Dump'!$Q:$Q,'Campaign - Dump'!$J:$J,'Portfolio Wise '!$B421,'Campaign - Dump'!$A:$A,'Portfolio Wise '!$A421)</f>
        <v>181626.92</v>
      </c>
      <c r="G421" s="38">
        <f t="shared" si="594"/>
        <v>14.30358482</v>
      </c>
      <c r="H421" s="41">
        <f>SUMIFS('Campaign - Dump'!$T:$T,'Campaign - Dump'!$J:$J,'Portfolio Wise '!$B421,'Campaign - Dump'!$A:$A,'Portfolio Wise '!$A421)</f>
        <v>25</v>
      </c>
      <c r="I421" s="23">
        <f t="shared" si="595"/>
        <v>0.001968813986</v>
      </c>
      <c r="J421" s="36">
        <f>SUMIFS('Campaign - Dump'!$U:$U,'Campaign - Dump'!$J:$J,'Portfolio Wise '!$B421,'Campaign - Dump'!$A:$A,'Portfolio Wise '!$A421)</f>
        <v>365509.31</v>
      </c>
      <c r="K421" s="23">
        <f t="shared" si="596"/>
        <v>0.4969146203</v>
      </c>
      <c r="L421" s="38">
        <f t="shared" si="597"/>
        <v>2.012418148</v>
      </c>
      <c r="M421" s="41">
        <f t="shared" si="598"/>
        <v>14620.3724</v>
      </c>
      <c r="N421" s="13">
        <f t="shared" si="608"/>
        <v>35</v>
      </c>
      <c r="O421" s="36">
        <f t="shared" si="609"/>
        <v>505110.5629</v>
      </c>
      <c r="P421" s="41">
        <f t="shared" si="599"/>
        <v>14431.73037</v>
      </c>
      <c r="Q421" s="13">
        <f>SUMIFS('Business - Dump'!$W:$W,'Business - Dump'!$B:$B,'Portfolio Wise '!$B421,'Business - Dump'!$A:$A,'Portfolio Wise '!$A421)</f>
        <v>60</v>
      </c>
      <c r="R421" s="36">
        <f>SUMIFS('Business - Dump'!$U:$U,'Business - Dump'!$B:$B,'Portfolio Wise '!$B421,'Business - Dump'!$A:$A,'Portfolio Wise '!$A421)/1.18</f>
        <v>870619.8729</v>
      </c>
      <c r="S421" s="41">
        <f t="shared" si="600"/>
        <v>14510.33121</v>
      </c>
      <c r="T421" s="23">
        <f t="shared" si="601"/>
        <v>0.2086179349</v>
      </c>
      <c r="U421" s="38">
        <f t="shared" si="602"/>
        <v>4.793451724</v>
      </c>
      <c r="V421" s="41">
        <f>SUMIFS('Business - Dump'!$G:$G,'Business - Dump'!$B:$B,'Portfolio Wise '!$B421,'Business - Dump'!$A:$A,'Portfolio Wise '!$A421)</f>
        <v>18087</v>
      </c>
      <c r="W421" s="48">
        <f t="shared" si="603"/>
        <v>0.003317299718</v>
      </c>
      <c r="X421" s="23">
        <f t="shared" ref="X421:Y421" si="611">IFERROR(N421/Q421,0)</f>
        <v>0.5833333333</v>
      </c>
      <c r="Y421" s="49">
        <f t="shared" si="611"/>
        <v>0.5801734817</v>
      </c>
      <c r="Z421" s="49">
        <f t="shared" si="605"/>
        <v>0.4166666667</v>
      </c>
      <c r="AA421" s="23">
        <f t="shared" si="606"/>
        <v>0.5801734817</v>
      </c>
      <c r="AB421" s="23">
        <f>IFERROR(AVERAGEIFS('Business - Dump'!$O:$O,'Business - Dump'!$B:$B,'Portfolio Wise '!$B421,'Business - Dump'!$A:$A,'Portfolio Wise '!$A421),0)</f>
        <v>0.8848666667</v>
      </c>
      <c r="AC421" s="49">
        <f>F421/SUMIFS('Campaign - Dump'!$Q:$Q,'Campaign - Dump'!$A:$A,'Portfolio Wise '!$A421)</f>
        <v>0.2476304049</v>
      </c>
      <c r="AD421" s="49">
        <f t="shared" si="607"/>
        <v>1.4</v>
      </c>
    </row>
    <row r="422" ht="15.75" customHeight="1">
      <c r="A422" s="200">
        <v>45772.0</v>
      </c>
      <c r="B422" s="19" t="s">
        <v>128</v>
      </c>
      <c r="C422" s="13">
        <f>SUMIFS('Campaign - Dump'!$N:$N,'Campaign - Dump'!$J:$J,'Portfolio Wise '!$B422,'Campaign - Dump'!$A:$A,'Portfolio Wise '!$A422)</f>
        <v>1168035</v>
      </c>
      <c r="D422" s="13">
        <f>SUMIFS('Campaign - Dump'!$O:$O,'Campaign - Dump'!$J:$J,'Portfolio Wise '!$B422,'Campaign - Dump'!$A:$A,'Portfolio Wise '!$A422)</f>
        <v>3790</v>
      </c>
      <c r="E422" s="23">
        <f t="shared" si="593"/>
        <v>0.003244765782</v>
      </c>
      <c r="F422" s="36">
        <f>SUMIFS('Campaign - Dump'!$Q:$Q,'Campaign - Dump'!$J:$J,'Portfolio Wise '!$B422,'Campaign - Dump'!$A:$A,'Portfolio Wise '!$A422)</f>
        <v>128748.15</v>
      </c>
      <c r="G422" s="38">
        <f t="shared" si="594"/>
        <v>33.97048813</v>
      </c>
      <c r="H422" s="41">
        <f>SUMIFS('Campaign - Dump'!$T:$T,'Campaign - Dump'!$J:$J,'Portfolio Wise '!$B422,'Campaign - Dump'!$A:$A,'Portfolio Wise '!$A422)</f>
        <v>48</v>
      </c>
      <c r="I422" s="62">
        <f t="shared" si="595"/>
        <v>0.01266490765</v>
      </c>
      <c r="J422" s="36">
        <f>SUMIFS('Campaign - Dump'!$U:$U,'Campaign - Dump'!$J:$J,'Portfolio Wise '!$B422,'Campaign - Dump'!$A:$A,'Portfolio Wise '!$A422)</f>
        <v>924977.17</v>
      </c>
      <c r="K422" s="23">
        <f t="shared" si="596"/>
        <v>0.1391906246</v>
      </c>
      <c r="L422" s="38">
        <f t="shared" si="597"/>
        <v>7.184391931</v>
      </c>
      <c r="M422" s="41">
        <f t="shared" si="598"/>
        <v>19270.35771</v>
      </c>
      <c r="N422" s="13">
        <v>0.0</v>
      </c>
      <c r="O422" s="36">
        <v>0.0</v>
      </c>
      <c r="P422" s="41">
        <f t="shared" si="599"/>
        <v>0</v>
      </c>
      <c r="Q422" s="13">
        <f>SUMIFS('Business - Dump'!$W:$W,'Business - Dump'!$B:$B,'Portfolio Wise '!$B422,'Business - Dump'!$A:$A,'Portfolio Wise '!$A422)</f>
        <v>0</v>
      </c>
      <c r="R422" s="36">
        <f>SUMIFS('Business - Dump'!$U:$U,'Business - Dump'!$B:$B,'Portfolio Wise '!$B422,'Business - Dump'!$A:$A,'Portfolio Wise '!$A422)/1.18</f>
        <v>0</v>
      </c>
      <c r="S422" s="41">
        <f t="shared" si="600"/>
        <v>0</v>
      </c>
      <c r="T422" s="23">
        <f t="shared" si="601"/>
        <v>0</v>
      </c>
      <c r="U422" s="38">
        <f t="shared" si="602"/>
        <v>0</v>
      </c>
      <c r="V422" s="41">
        <f>SUMIFS('Business - Dump'!$G:$G,'Business - Dump'!$B:$B,'Portfolio Wise '!$B422,'Business - Dump'!$A:$A,'Portfolio Wise '!$A422)</f>
        <v>0</v>
      </c>
      <c r="W422" s="48">
        <f t="shared" si="603"/>
        <v>0</v>
      </c>
      <c r="X422" s="23">
        <f t="shared" ref="X422:Y422" si="612">IFERROR(N422/Q422,0)</f>
        <v>0</v>
      </c>
      <c r="Y422" s="49">
        <f t="shared" si="612"/>
        <v>0</v>
      </c>
      <c r="Z422" s="49">
        <f t="shared" si="605"/>
        <v>0</v>
      </c>
      <c r="AA422" s="23">
        <f t="shared" si="606"/>
        <v>0</v>
      </c>
      <c r="AB422" s="23">
        <f>IFERROR(AVERAGEIFS('Business - Dump'!$O:$O,'Business - Dump'!$B:$B,'Portfolio Wise '!$B422,'Business - Dump'!$A:$A,'Portfolio Wise '!$A422),0)</f>
        <v>0</v>
      </c>
      <c r="AC422" s="49">
        <f>F422/SUMIFS('Campaign - Dump'!$Q:$Q,'Campaign - Dump'!$A:$A,'Portfolio Wise '!$A422)</f>
        <v>0.1755354135</v>
      </c>
      <c r="AD422" s="49">
        <f t="shared" si="607"/>
        <v>0</v>
      </c>
    </row>
    <row r="423" ht="15.75" customHeight="1">
      <c r="A423" s="200">
        <v>45772.0</v>
      </c>
      <c r="B423" s="19" t="s">
        <v>134</v>
      </c>
      <c r="C423" s="13">
        <f>SUMIFS('Campaign - Dump'!$N:$N,'Campaign - Dump'!$J:$J,'Portfolio Wise '!$B423,'Campaign - Dump'!$A:$A,'Portfolio Wise '!$A423)</f>
        <v>2089510</v>
      </c>
      <c r="D423" s="13">
        <f>SUMIFS('Campaign - Dump'!$O:$O,'Campaign - Dump'!$J:$J,'Portfolio Wise '!$B423,'Campaign - Dump'!$A:$A,'Portfolio Wise '!$A423)</f>
        <v>5036</v>
      </c>
      <c r="E423" s="23">
        <f t="shared" si="593"/>
        <v>0.002410134433</v>
      </c>
      <c r="F423" s="36">
        <f>SUMIFS('Campaign - Dump'!$Q:$Q,'Campaign - Dump'!$J:$J,'Portfolio Wise '!$B423,'Campaign - Dump'!$A:$A,'Portfolio Wise '!$A423)</f>
        <v>82965.77</v>
      </c>
      <c r="G423" s="38">
        <f t="shared" si="594"/>
        <v>16.47453733</v>
      </c>
      <c r="H423" s="41">
        <f>SUMIFS('Campaign - Dump'!$T:$T,'Campaign - Dump'!$J:$J,'Portfolio Wise '!$B423,'Campaign - Dump'!$A:$A,'Portfolio Wise '!$A423)</f>
        <v>12</v>
      </c>
      <c r="I423" s="23">
        <f t="shared" si="595"/>
        <v>0.002382843527</v>
      </c>
      <c r="J423" s="36">
        <f>SUMIFS('Campaign - Dump'!$U:$U,'Campaign - Dump'!$J:$J,'Portfolio Wise '!$B423,'Campaign - Dump'!$A:$A,'Portfolio Wise '!$A423)</f>
        <v>212005.96</v>
      </c>
      <c r="K423" s="23">
        <f t="shared" si="596"/>
        <v>0.39133697</v>
      </c>
      <c r="L423" s="38">
        <f t="shared" si="597"/>
        <v>2.555342523</v>
      </c>
      <c r="M423" s="41">
        <f t="shared" si="598"/>
        <v>17667.16333</v>
      </c>
      <c r="N423" s="13">
        <f t="shared" ref="N423:N429" si="614">IFERROR(Q423-H423,0)</f>
        <v>23</v>
      </c>
      <c r="O423" s="36">
        <f t="shared" ref="O423:O429" si="615">IFERROR(R423-J423,0)</f>
        <v>436340.718</v>
      </c>
      <c r="P423" s="41">
        <f t="shared" si="599"/>
        <v>18971.33556</v>
      </c>
      <c r="Q423" s="198">
        <f>SUMIFS('Business - Dump'!$W:$W,'Business - Dump'!$B:$B,'Portfolio Wise '!$B423,'Business - Dump'!$A:$A,'Portfolio Wise '!$A423)</f>
        <v>35</v>
      </c>
      <c r="R423" s="36">
        <f>SUMIFS('Business - Dump'!$U:$U,'Business - Dump'!$B:$B,'Portfolio Wise '!$B423,'Business - Dump'!$A:$A,'Portfolio Wise '!$A423)/1.18</f>
        <v>648346.678</v>
      </c>
      <c r="S423" s="41">
        <f t="shared" si="600"/>
        <v>18524.1908</v>
      </c>
      <c r="T423" s="62">
        <f t="shared" si="601"/>
        <v>0.1279651347</v>
      </c>
      <c r="U423" s="38">
        <f t="shared" si="602"/>
        <v>7.814628587</v>
      </c>
      <c r="V423" s="130">
        <f>SUMIFS('Business - Dump'!$G:$G,'Business - Dump'!$B:$B,'Portfolio Wise '!$B423,'Business - Dump'!$A:$A,'Portfolio Wise '!$A423)</f>
        <v>9364</v>
      </c>
      <c r="W423" s="62">
        <f t="shared" si="603"/>
        <v>0.003737718924</v>
      </c>
      <c r="X423" s="23">
        <f t="shared" ref="X423:Y423" si="613">IFERROR(N423/Q423,0)</f>
        <v>0.6571428571</v>
      </c>
      <c r="Y423" s="49">
        <f t="shared" si="613"/>
        <v>0.6730052498</v>
      </c>
      <c r="Z423" s="49">
        <f t="shared" si="605"/>
        <v>0.3428571429</v>
      </c>
      <c r="AA423" s="23">
        <f t="shared" si="606"/>
        <v>0.6730052498</v>
      </c>
      <c r="AB423" s="23">
        <f>IFERROR(AVERAGEIFS('Business - Dump'!$O:$O,'Business - Dump'!$B:$B,'Portfolio Wise '!$B423,'Business - Dump'!$A:$A,'Portfolio Wise '!$A423),0)</f>
        <v>0.8310888889</v>
      </c>
      <c r="AC423" s="49">
        <f>F423/SUMIFS('Campaign - Dump'!$Q:$Q,'Campaign - Dump'!$A:$A,'Portfolio Wise '!$A423)</f>
        <v>0.1131156506</v>
      </c>
      <c r="AD423" s="49">
        <f t="shared" si="607"/>
        <v>1.916666667</v>
      </c>
    </row>
    <row r="424" ht="15.75" customHeight="1">
      <c r="A424" s="200">
        <v>45772.0</v>
      </c>
      <c r="B424" s="19" t="s">
        <v>140</v>
      </c>
      <c r="C424" s="13">
        <f>SUMIFS('Campaign - Dump'!$N:$N,'Campaign - Dump'!$J:$J,'Portfolio Wise '!$B424,'Campaign - Dump'!$A:$A,'Portfolio Wise '!$A424)</f>
        <v>223252</v>
      </c>
      <c r="D424" s="13">
        <f>SUMIFS('Campaign - Dump'!$O:$O,'Campaign - Dump'!$J:$J,'Portfolio Wise '!$B424,'Campaign - Dump'!$A:$A,'Portfolio Wise '!$A424)</f>
        <v>642</v>
      </c>
      <c r="E424" s="23">
        <f t="shared" si="593"/>
        <v>0.002875674126</v>
      </c>
      <c r="F424" s="36">
        <f>SUMIFS('Campaign - Dump'!$Q:$Q,'Campaign - Dump'!$J:$J,'Portfolio Wise '!$B424,'Campaign - Dump'!$A:$A,'Portfolio Wise '!$A424)</f>
        <v>37203.36</v>
      </c>
      <c r="G424" s="38">
        <f t="shared" si="594"/>
        <v>57.94915888</v>
      </c>
      <c r="H424" s="41">
        <f>SUMIFS('Campaign - Dump'!$T:$T,'Campaign - Dump'!$J:$J,'Portfolio Wise '!$B424,'Campaign - Dump'!$A:$A,'Portfolio Wise '!$A424)</f>
        <v>3</v>
      </c>
      <c r="I424" s="23">
        <f t="shared" si="595"/>
        <v>0.004672897196</v>
      </c>
      <c r="J424" s="36">
        <f>SUMIFS('Campaign - Dump'!$U:$U,'Campaign - Dump'!$J:$J,'Portfolio Wise '!$B424,'Campaign - Dump'!$A:$A,'Portfolio Wise '!$A424)</f>
        <v>48897.46</v>
      </c>
      <c r="K424" s="23">
        <f t="shared" si="596"/>
        <v>0.7608444283</v>
      </c>
      <c r="L424" s="38">
        <f t="shared" si="597"/>
        <v>1.314329136</v>
      </c>
      <c r="M424" s="41">
        <f t="shared" si="598"/>
        <v>16299.15333</v>
      </c>
      <c r="N424" s="13">
        <f t="shared" si="614"/>
        <v>16</v>
      </c>
      <c r="O424" s="36">
        <f t="shared" si="615"/>
        <v>496984.6586</v>
      </c>
      <c r="P424" s="41">
        <f t="shared" si="599"/>
        <v>31061.54117</v>
      </c>
      <c r="Q424" s="13">
        <f>SUMIFS('Business - Dump'!$W:$W,'Business - Dump'!$B:$B,'Portfolio Wise '!$B424,'Business - Dump'!$A:$A,'Portfolio Wise '!$A424)</f>
        <v>19</v>
      </c>
      <c r="R424" s="36">
        <f>SUMIFS('Business - Dump'!$U:$U,'Business - Dump'!$B:$B,'Portfolio Wise '!$B424,'Business - Dump'!$A:$A,'Portfolio Wise '!$A424)/1.18</f>
        <v>545882.1186</v>
      </c>
      <c r="S424" s="41">
        <f t="shared" si="600"/>
        <v>28730.63782</v>
      </c>
      <c r="T424" s="23">
        <f t="shared" si="601"/>
        <v>0.06815273615</v>
      </c>
      <c r="U424" s="38">
        <f t="shared" si="602"/>
        <v>14.6729252</v>
      </c>
      <c r="V424" s="41">
        <f>SUMIFS('Business - Dump'!$G:$G,'Business - Dump'!$B:$B,'Portfolio Wise '!$B424,'Business - Dump'!$A:$A,'Portfolio Wise '!$A424)</f>
        <v>4252</v>
      </c>
      <c r="W424" s="23">
        <f t="shared" si="603"/>
        <v>0.004468485419</v>
      </c>
      <c r="X424" s="23">
        <f t="shared" ref="X424:Y424" si="616">IFERROR(N424/Q424,0)</f>
        <v>0.8421052632</v>
      </c>
      <c r="Y424" s="49">
        <f t="shared" si="616"/>
        <v>0.9104248732</v>
      </c>
      <c r="Z424" s="49">
        <f t="shared" si="605"/>
        <v>0.1578947368</v>
      </c>
      <c r="AA424" s="23">
        <f t="shared" si="606"/>
        <v>0.9104248732</v>
      </c>
      <c r="AB424" s="23">
        <f>IFERROR(AVERAGEIFS('Business - Dump'!$O:$O,'Business - Dump'!$B:$B,'Portfolio Wise '!$B424,'Business - Dump'!$A:$A,'Portfolio Wise '!$A424),0)</f>
        <v>0.9042125</v>
      </c>
      <c r="AC424" s="49">
        <f>F424/SUMIFS('Campaign - Dump'!$Q:$Q,'Campaign - Dump'!$A:$A,'Portfolio Wise '!$A424)</f>
        <v>0.05072311472</v>
      </c>
      <c r="AD424" s="49">
        <f t="shared" si="607"/>
        <v>5.333333333</v>
      </c>
    </row>
    <row r="425" ht="15.75" customHeight="1">
      <c r="A425" s="200">
        <v>45772.0</v>
      </c>
      <c r="B425" s="10" t="s">
        <v>152</v>
      </c>
      <c r="C425" s="13">
        <f>SUMIFS('Campaign - Dump'!$N:$N,'Campaign - Dump'!$J:$J,'Portfolio Wise '!$B425,'Campaign - Dump'!$A:$A,'Portfolio Wise '!$A425)</f>
        <v>131836</v>
      </c>
      <c r="D425" s="13">
        <f>SUMIFS('Campaign - Dump'!$O:$O,'Campaign - Dump'!$J:$J,'Portfolio Wise '!$B425,'Campaign - Dump'!$A:$A,'Portfolio Wise '!$A425)</f>
        <v>606</v>
      </c>
      <c r="E425" s="23">
        <f t="shared" si="593"/>
        <v>0.004596620043</v>
      </c>
      <c r="F425" s="36">
        <f>SUMIFS('Campaign - Dump'!$Q:$Q,'Campaign - Dump'!$J:$J,'Portfolio Wise '!$B425,'Campaign - Dump'!$A:$A,'Portfolio Wise '!$A425)</f>
        <v>15763.38</v>
      </c>
      <c r="G425" s="38">
        <f t="shared" si="594"/>
        <v>26.01217822</v>
      </c>
      <c r="H425" s="41">
        <f>SUMIFS('Campaign - Dump'!$T:$T,'Campaign - Dump'!$J:$J,'Portfolio Wise '!$B425,'Campaign - Dump'!$A:$A,'Portfolio Wise '!$A425)</f>
        <v>3</v>
      </c>
      <c r="I425" s="23">
        <f t="shared" si="595"/>
        <v>0.00495049505</v>
      </c>
      <c r="J425" s="36">
        <f>SUMIFS('Campaign - Dump'!$U:$U,'Campaign - Dump'!$J:$J,'Portfolio Wise '!$B425,'Campaign - Dump'!$A:$A,'Portfolio Wise '!$A425)</f>
        <v>46033.9</v>
      </c>
      <c r="K425" s="23">
        <f t="shared" si="596"/>
        <v>0.342429818</v>
      </c>
      <c r="L425" s="38">
        <f t="shared" si="597"/>
        <v>2.920306432</v>
      </c>
      <c r="M425" s="41">
        <f t="shared" si="598"/>
        <v>15344.63333</v>
      </c>
      <c r="N425" s="13">
        <f t="shared" si="614"/>
        <v>0</v>
      </c>
      <c r="O425" s="36">
        <f t="shared" si="615"/>
        <v>-7553.586441</v>
      </c>
      <c r="P425" s="41">
        <f t="shared" si="599"/>
        <v>0</v>
      </c>
      <c r="Q425" s="13">
        <f>SUMIFS('Business - Dump'!$W:$W,'Business - Dump'!$B:$B,'Portfolio Wise '!$B425,'Business - Dump'!$A:$A,'Portfolio Wise '!$A425)</f>
        <v>3</v>
      </c>
      <c r="R425" s="36">
        <f>SUMIFS('Business - Dump'!$U:$U,'Business - Dump'!$B:$B,'Portfolio Wise '!$B425,'Business - Dump'!$A:$A,'Portfolio Wise '!$A425)/1.18</f>
        <v>38480.31356</v>
      </c>
      <c r="S425" s="41">
        <f t="shared" si="600"/>
        <v>12826.77119</v>
      </c>
      <c r="T425" s="23">
        <f t="shared" si="601"/>
        <v>0.4096479093</v>
      </c>
      <c r="U425" s="38">
        <f t="shared" si="602"/>
        <v>2.441120722</v>
      </c>
      <c r="V425" s="41">
        <f>SUMIFS('Business - Dump'!$G:$G,'Business - Dump'!$B:$B,'Portfolio Wise '!$B425,'Business - Dump'!$A:$A,'Portfolio Wise '!$A425)</f>
        <v>1133</v>
      </c>
      <c r="W425" s="48">
        <f t="shared" si="603"/>
        <v>0.002647837599</v>
      </c>
      <c r="X425" s="23">
        <f t="shared" ref="X425:Y425" si="617">IFERROR(N425/Q425,0)</f>
        <v>0</v>
      </c>
      <c r="Y425" s="49">
        <f t="shared" si="617"/>
        <v>-0.1962974244</v>
      </c>
      <c r="Z425" s="49">
        <f t="shared" si="605"/>
        <v>1</v>
      </c>
      <c r="AA425" s="23">
        <f t="shared" si="606"/>
        <v>-0.1962974244</v>
      </c>
      <c r="AB425" s="23">
        <f>IFERROR(AVERAGEIFS('Business - Dump'!$O:$O,'Business - Dump'!$B:$B,'Portfolio Wise '!$B425,'Business - Dump'!$A:$A,'Portfolio Wise '!$A425),0)</f>
        <v>0.9623</v>
      </c>
      <c r="AC425" s="49">
        <f>F425/SUMIFS('Campaign - Dump'!$Q:$Q,'Campaign - Dump'!$A:$A,'Portfolio Wise '!$A425)</f>
        <v>0.02149181504</v>
      </c>
      <c r="AD425" s="49">
        <f t="shared" si="607"/>
        <v>0</v>
      </c>
    </row>
    <row r="426" ht="15.75" customHeight="1">
      <c r="A426" s="200">
        <v>45772.0</v>
      </c>
      <c r="B426" s="19" t="s">
        <v>158</v>
      </c>
      <c r="C426" s="13">
        <f>SUMIFS('Campaign - Dump'!$N:$N,'Campaign - Dump'!$J:$J,'Portfolio Wise '!$B426,'Campaign - Dump'!$A:$A,'Portfolio Wise '!$A426)</f>
        <v>525673</v>
      </c>
      <c r="D426" s="13">
        <f>SUMIFS('Campaign - Dump'!$O:$O,'Campaign - Dump'!$J:$J,'Portfolio Wise '!$B426,'Campaign - Dump'!$A:$A,'Portfolio Wise '!$A426)</f>
        <v>2018</v>
      </c>
      <c r="E426" s="23">
        <f t="shared" si="593"/>
        <v>0.003838888434</v>
      </c>
      <c r="F426" s="36">
        <f>SUMIFS('Campaign - Dump'!$Q:$Q,'Campaign - Dump'!$J:$J,'Portfolio Wise '!$B426,'Campaign - Dump'!$A:$A,'Portfolio Wise '!$A426)</f>
        <v>19957.56</v>
      </c>
      <c r="G426" s="38">
        <f t="shared" si="594"/>
        <v>9.889772052</v>
      </c>
      <c r="H426" s="41">
        <f>SUMIFS('Campaign - Dump'!$T:$T,'Campaign - Dump'!$J:$J,'Portfolio Wise '!$B426,'Campaign - Dump'!$A:$A,'Portfolio Wise '!$A426)</f>
        <v>30</v>
      </c>
      <c r="I426" s="23">
        <f t="shared" si="595"/>
        <v>0.01486620416</v>
      </c>
      <c r="J426" s="36">
        <f>SUMIFS('Campaign - Dump'!$U:$U,'Campaign - Dump'!$J:$J,'Portfolio Wise '!$B426,'Campaign - Dump'!$A:$A,'Portfolio Wise '!$A426)</f>
        <v>91838.18</v>
      </c>
      <c r="K426" s="23">
        <f t="shared" si="596"/>
        <v>0.2173122333</v>
      </c>
      <c r="L426" s="38">
        <f t="shared" si="597"/>
        <v>4.601673752</v>
      </c>
      <c r="M426" s="41">
        <f t="shared" si="598"/>
        <v>3061.272667</v>
      </c>
      <c r="N426" s="13">
        <f t="shared" si="614"/>
        <v>17</v>
      </c>
      <c r="O426" s="36">
        <f t="shared" si="615"/>
        <v>42477.07424</v>
      </c>
      <c r="P426" s="41">
        <f t="shared" si="599"/>
        <v>2498.651426</v>
      </c>
      <c r="Q426" s="13">
        <f>SUMIFS('Business - Dump'!$W:$W,'Business - Dump'!$B:$B,'Portfolio Wise '!$B426,'Business - Dump'!$A:$A,'Portfolio Wise '!$A426)</f>
        <v>47</v>
      </c>
      <c r="R426" s="36">
        <f>SUMIFS('Business - Dump'!$U:$U,'Business - Dump'!$B:$B,'Portfolio Wise '!$B426,'Business - Dump'!$A:$A,'Portfolio Wise '!$A426)/1.18</f>
        <v>134315.2542</v>
      </c>
      <c r="S426" s="41">
        <f t="shared" si="600"/>
        <v>2857.771367</v>
      </c>
      <c r="T426" s="201">
        <f t="shared" si="601"/>
        <v>0.1485874416</v>
      </c>
      <c r="U426" s="38">
        <f t="shared" si="602"/>
        <v>6.730043865</v>
      </c>
      <c r="V426" s="41">
        <f>SUMIFS('Business - Dump'!$G:$G,'Business - Dump'!$B:$B,'Portfolio Wise '!$B426,'Business - Dump'!$A:$A,'Portfolio Wise '!$A426)</f>
        <v>4092</v>
      </c>
      <c r="W426" s="48">
        <f t="shared" si="603"/>
        <v>0.011485826</v>
      </c>
      <c r="X426" s="23">
        <f t="shared" ref="X426:Y426" si="618">IFERROR(N426/Q426,0)</f>
        <v>0.3617021277</v>
      </c>
      <c r="Y426" s="49">
        <f t="shared" si="618"/>
        <v>0.31624907</v>
      </c>
      <c r="Z426" s="49">
        <f t="shared" si="605"/>
        <v>0.6382978723</v>
      </c>
      <c r="AA426" s="23">
        <f t="shared" si="606"/>
        <v>0.31624907</v>
      </c>
      <c r="AB426" s="23">
        <f>IFERROR(AVERAGEIFS('Business - Dump'!$O:$O,'Business - Dump'!$B:$B,'Portfolio Wise '!$B426,'Business - Dump'!$A:$A,'Portfolio Wise '!$A426),0)</f>
        <v>0.9813</v>
      </c>
      <c r="AC426" s="49">
        <f>F426/SUMIFS('Campaign - Dump'!$Q:$Q,'Campaign - Dump'!$A:$A,'Portfolio Wise '!$A426)</f>
        <v>0.02721016611</v>
      </c>
      <c r="AD426" s="49">
        <f t="shared" si="607"/>
        <v>0.5666666667</v>
      </c>
    </row>
    <row r="427" ht="15.75" customHeight="1">
      <c r="A427" s="200">
        <v>45772.0</v>
      </c>
      <c r="B427" s="33" t="s">
        <v>170</v>
      </c>
      <c r="C427" s="13">
        <f>SUMIFS('Campaign - Dump'!$N:$N,'Campaign - Dump'!$J:$J,'Portfolio Wise '!$B427,'Campaign - Dump'!$A:$A,'Portfolio Wise '!$A427)</f>
        <v>0</v>
      </c>
      <c r="D427" s="13">
        <f>SUMIFS('Campaign - Dump'!$O:$O,'Campaign - Dump'!$J:$J,'Portfolio Wise '!$B427,'Campaign - Dump'!$A:$A,'Portfolio Wise '!$A427)</f>
        <v>0</v>
      </c>
      <c r="E427" s="23">
        <f t="shared" si="593"/>
        <v>0</v>
      </c>
      <c r="F427" s="36">
        <f>SUMIFS('Campaign - Dump'!$Q:$Q,'Campaign - Dump'!$J:$J,'Portfolio Wise '!$B427,'Campaign - Dump'!$A:$A,'Portfolio Wise '!$A427)</f>
        <v>0</v>
      </c>
      <c r="G427" s="38">
        <f t="shared" si="594"/>
        <v>0</v>
      </c>
      <c r="H427" s="41">
        <f>SUMIFS('Campaign - Dump'!$T:$T,'Campaign - Dump'!$J:$J,'Portfolio Wise '!$B427,'Campaign - Dump'!$A:$A,'Portfolio Wise '!$A427)</f>
        <v>0</v>
      </c>
      <c r="I427" s="23">
        <f t="shared" si="595"/>
        <v>0</v>
      </c>
      <c r="J427" s="36">
        <f>SUMIFS('Campaign - Dump'!$U:$U,'Campaign - Dump'!$J:$J,'Portfolio Wise '!$B427,'Campaign - Dump'!$A:$A,'Portfolio Wise '!$A427)</f>
        <v>0</v>
      </c>
      <c r="K427" s="23">
        <f t="shared" si="596"/>
        <v>0</v>
      </c>
      <c r="L427" s="38">
        <f t="shared" si="597"/>
        <v>0</v>
      </c>
      <c r="M427" s="41">
        <f t="shared" si="598"/>
        <v>0</v>
      </c>
      <c r="N427" s="13">
        <f t="shared" si="614"/>
        <v>0</v>
      </c>
      <c r="O427" s="36">
        <f t="shared" si="615"/>
        <v>0</v>
      </c>
      <c r="P427" s="41">
        <f t="shared" si="599"/>
        <v>0</v>
      </c>
      <c r="Q427" s="13">
        <f>SUMIFS('Business - Dump'!$W:$W,'Business - Dump'!$B:$B,'Portfolio Wise '!$B427,'Business - Dump'!$A:$A,'Portfolio Wise '!$A427)</f>
        <v>0</v>
      </c>
      <c r="R427" s="36">
        <f>SUMIFS('Business - Dump'!$U:$U,'Business - Dump'!$B:$B,'Portfolio Wise '!$B427,'Business - Dump'!$A:$A,'Portfolio Wise '!$A427)/1.18</f>
        <v>0</v>
      </c>
      <c r="S427" s="41">
        <f t="shared" si="600"/>
        <v>0</v>
      </c>
      <c r="T427" s="23">
        <f t="shared" si="601"/>
        <v>0</v>
      </c>
      <c r="U427" s="38">
        <f t="shared" si="602"/>
        <v>0</v>
      </c>
      <c r="V427" s="41">
        <f>SUMIFS('Business - Dump'!$G:$G,'Business - Dump'!$B:$B,'Portfolio Wise '!$B427,'Business - Dump'!$A:$A,'Portfolio Wise '!$A427)</f>
        <v>0</v>
      </c>
      <c r="W427" s="48">
        <f t="shared" si="603"/>
        <v>0</v>
      </c>
      <c r="X427" s="23">
        <f t="shared" ref="X427:Y427" si="619">IFERROR(N427/Q427,0)</f>
        <v>0</v>
      </c>
      <c r="Y427" s="49">
        <f t="shared" si="619"/>
        <v>0</v>
      </c>
      <c r="Z427" s="49">
        <f t="shared" si="605"/>
        <v>0</v>
      </c>
      <c r="AA427" s="23">
        <f t="shared" si="606"/>
        <v>0</v>
      </c>
      <c r="AB427" s="23">
        <f>IFERROR(AVERAGEIFS('Business - Dump'!$O:$O,'Business - Dump'!$B:$B,'Portfolio Wise '!$B427,'Business - Dump'!$A:$A,'Portfolio Wise '!$A427),0)</f>
        <v>0</v>
      </c>
      <c r="AC427" s="49">
        <f>F427/SUMIFS('Campaign - Dump'!$Q:$Q,'Campaign - Dump'!$A:$A,'Portfolio Wise '!$A427)</f>
        <v>0</v>
      </c>
      <c r="AD427" s="49">
        <f t="shared" si="607"/>
        <v>0</v>
      </c>
    </row>
    <row r="428" ht="15.75" customHeight="1">
      <c r="A428" s="200">
        <v>45772.0</v>
      </c>
      <c r="B428" s="51" t="s">
        <v>176</v>
      </c>
      <c r="C428" s="13">
        <f>SUMIFS('Campaign - Dump'!$N:$N,'Campaign - Dump'!$J:$J,'Portfolio Wise '!$B428,'Campaign - Dump'!$A:$A,'Portfolio Wise '!$A428)</f>
        <v>489872</v>
      </c>
      <c r="D428" s="13">
        <f>SUMIFS('Campaign - Dump'!$O:$O,'Campaign - Dump'!$J:$J,'Portfolio Wise '!$B428,'Campaign - Dump'!$A:$A,'Portfolio Wise '!$A428)</f>
        <v>1238</v>
      </c>
      <c r="E428" s="23">
        <f t="shared" si="593"/>
        <v>0.002527190776</v>
      </c>
      <c r="F428" s="36">
        <f>SUMIFS('Campaign - Dump'!$Q:$Q,'Campaign - Dump'!$J:$J,'Portfolio Wise '!$B428,'Campaign - Dump'!$A:$A,'Portfolio Wise '!$A428)</f>
        <v>29096.06</v>
      </c>
      <c r="G428" s="38">
        <f t="shared" si="594"/>
        <v>23.50247173</v>
      </c>
      <c r="H428" s="41">
        <f>SUMIFS('Campaign - Dump'!$T:$T,'Campaign - Dump'!$J:$J,'Portfolio Wise '!$B428,'Campaign - Dump'!$A:$A,'Portfolio Wise '!$A428)</f>
        <v>12</v>
      </c>
      <c r="I428" s="23">
        <f t="shared" si="595"/>
        <v>0.009693053312</v>
      </c>
      <c r="J428" s="36">
        <f>SUMIFS('Campaign - Dump'!$U:$U,'Campaign - Dump'!$J:$J,'Portfolio Wise '!$B428,'Campaign - Dump'!$A:$A,'Portfolio Wise '!$A428)</f>
        <v>215507.71</v>
      </c>
      <c r="K428" s="23">
        <f t="shared" si="596"/>
        <v>0.1350116894</v>
      </c>
      <c r="L428" s="38">
        <f t="shared" si="597"/>
        <v>7.406766071</v>
      </c>
      <c r="M428" s="41">
        <f t="shared" si="598"/>
        <v>17958.97583</v>
      </c>
      <c r="N428" s="13">
        <f t="shared" si="614"/>
        <v>18</v>
      </c>
      <c r="O428" s="36">
        <f t="shared" si="615"/>
        <v>352520.0951</v>
      </c>
      <c r="P428" s="41">
        <f t="shared" si="599"/>
        <v>19584.44973</v>
      </c>
      <c r="Q428" s="13">
        <f>SUMIFS('Business - Dump'!$W:$W,'Business - Dump'!$B:$B,'Portfolio Wise '!$B428,'Business - Dump'!$A:$A,'Portfolio Wise '!$A428)</f>
        <v>30</v>
      </c>
      <c r="R428" s="36">
        <f>SUMIFS('Business - Dump'!$U:$U,'Business - Dump'!$B:$B,'Portfolio Wise '!$B428,'Business - Dump'!$A:$A,'Portfolio Wise '!$A428)/1.18</f>
        <v>568027.8051</v>
      </c>
      <c r="S428" s="41">
        <f t="shared" si="600"/>
        <v>18934.26017</v>
      </c>
      <c r="T428" s="23">
        <f t="shared" si="601"/>
        <v>0.05122295025</v>
      </c>
      <c r="U428" s="38">
        <f t="shared" si="602"/>
        <v>19.5224991</v>
      </c>
      <c r="V428" s="41">
        <f>SUMIFS('Business - Dump'!$G:$G,'Business - Dump'!$B:$B,'Portfolio Wise '!$B428,'Business - Dump'!$A:$A,'Portfolio Wise '!$A428)</f>
        <v>4837</v>
      </c>
      <c r="W428" s="48">
        <f t="shared" si="603"/>
        <v>0.006202191441</v>
      </c>
      <c r="X428" s="23">
        <f t="shared" ref="X428:Y428" si="620">IFERROR(N428/Q428,0)</f>
        <v>0.6</v>
      </c>
      <c r="Y428" s="49">
        <f t="shared" si="620"/>
        <v>0.6206035901</v>
      </c>
      <c r="Z428" s="49">
        <f t="shared" si="605"/>
        <v>0.4</v>
      </c>
      <c r="AA428" s="23">
        <f t="shared" si="606"/>
        <v>0.6206035901</v>
      </c>
      <c r="AB428" s="23">
        <f>IFERROR(AVERAGEIFS('Business - Dump'!$O:$O,'Business - Dump'!$B:$B,'Portfolio Wise '!$B428,'Business - Dump'!$A:$A,'Portfolio Wise '!$A428),0)</f>
        <v>0.8947777778</v>
      </c>
      <c r="AC428" s="49">
        <f>F428/SUMIFS('Campaign - Dump'!$Q:$Q,'Campaign - Dump'!$A:$A,'Portfolio Wise '!$A428)</f>
        <v>0.0396696102</v>
      </c>
      <c r="AD428" s="49">
        <f t="shared" si="607"/>
        <v>1.5</v>
      </c>
    </row>
    <row r="429" ht="15.75" customHeight="1">
      <c r="A429" s="200">
        <v>45772.0</v>
      </c>
      <c r="B429" s="100" t="s">
        <v>182</v>
      </c>
      <c r="C429" s="13">
        <f>SUMIFS('Campaign - Dump'!$N:$N,'Campaign - Dump'!$J:$J,'Portfolio Wise '!$B429,'Campaign - Dump'!$A:$A,'Portfolio Wise '!$A429)</f>
        <v>212554</v>
      </c>
      <c r="D429" s="13">
        <f>SUMIFS('Campaign - Dump'!$O:$O,'Campaign - Dump'!$J:$J,'Portfolio Wise '!$B429,'Campaign - Dump'!$A:$A,'Portfolio Wise '!$A429)</f>
        <v>295</v>
      </c>
      <c r="E429" s="23">
        <f t="shared" si="593"/>
        <v>0.001387882609</v>
      </c>
      <c r="F429" s="36">
        <f>SUMIFS('Campaign - Dump'!$Q:$Q,'Campaign - Dump'!$J:$J,'Portfolio Wise '!$B429,'Campaign - Dump'!$A:$A,'Portfolio Wise '!$A429)</f>
        <v>7850.84</v>
      </c>
      <c r="G429" s="38">
        <f t="shared" si="594"/>
        <v>26.61301695</v>
      </c>
      <c r="H429" s="41">
        <f>SUMIFS('Campaign - Dump'!$T:$T,'Campaign - Dump'!$J:$J,'Portfolio Wise '!$B429,'Campaign - Dump'!$A:$A,'Portfolio Wise '!$A429)</f>
        <v>3</v>
      </c>
      <c r="I429" s="23">
        <f t="shared" si="595"/>
        <v>0.01016949153</v>
      </c>
      <c r="J429" s="36">
        <f>SUMIFS('Campaign - Dump'!$U:$U,'Campaign - Dump'!$J:$J,'Portfolio Wise '!$B429,'Campaign - Dump'!$A:$A,'Portfolio Wise '!$A429)</f>
        <v>87211.86</v>
      </c>
      <c r="K429" s="23">
        <f t="shared" si="596"/>
        <v>0.09002032522</v>
      </c>
      <c r="L429" s="38">
        <f t="shared" si="597"/>
        <v>11.10860239</v>
      </c>
      <c r="M429" s="41">
        <f t="shared" si="598"/>
        <v>29070.62</v>
      </c>
      <c r="N429" s="127">
        <f t="shared" si="614"/>
        <v>7</v>
      </c>
      <c r="O429" s="36">
        <f t="shared" si="615"/>
        <v>193327.3264</v>
      </c>
      <c r="P429" s="41">
        <f t="shared" si="599"/>
        <v>27618.18949</v>
      </c>
      <c r="Q429" s="206">
        <f>SUMIFS('Business - Dump'!$W:$W,'Business - Dump'!$B:$B,'Portfolio Wise '!$B429,'Business - Dump'!$A:$A,'Portfolio Wise '!$A429)</f>
        <v>10</v>
      </c>
      <c r="R429" s="36">
        <f>SUMIFS('Business - Dump'!$U:$U,'Business - Dump'!$B:$B,'Portfolio Wise '!$B429,'Business - Dump'!$A:$A,'Portfolio Wise '!$A429)/1.18</f>
        <v>280539.1864</v>
      </c>
      <c r="S429" s="41">
        <f t="shared" si="600"/>
        <v>28053.91864</v>
      </c>
      <c r="T429" s="23">
        <f t="shared" si="601"/>
        <v>0.02798482486</v>
      </c>
      <c r="U429" s="38">
        <f t="shared" si="602"/>
        <v>35.73365225</v>
      </c>
      <c r="V429" s="41">
        <f>SUMIFS('Business - Dump'!$G:$G,'Business - Dump'!$B:$B,'Portfolio Wise '!$B429,'Business - Dump'!$A:$A,'Portfolio Wise '!$A429)</f>
        <v>1909</v>
      </c>
      <c r="W429" s="23">
        <f t="shared" si="603"/>
        <v>0.005238344683</v>
      </c>
      <c r="X429" s="23">
        <f t="shared" ref="X429:Y429" si="621">IFERROR(N429/Q429,0)</f>
        <v>0.7</v>
      </c>
      <c r="Y429" s="49">
        <f t="shared" si="621"/>
        <v>0.6891277076</v>
      </c>
      <c r="Z429" s="49">
        <f t="shared" si="605"/>
        <v>0.3</v>
      </c>
      <c r="AA429" s="23">
        <f t="shared" si="606"/>
        <v>0.6891277076</v>
      </c>
      <c r="AB429" s="23">
        <f>IFERROR(AVERAGEIFS('Business - Dump'!$O:$O,'Business - Dump'!$B:$B,'Portfolio Wise '!$B429,'Business - Dump'!$A:$A,'Portfolio Wise '!$A429),0)</f>
        <v>0.8712777778</v>
      </c>
      <c r="AC429" s="49">
        <f>F429/SUMIFS('Campaign - Dump'!$Q:$Q,'Campaign - Dump'!$A:$A,'Portfolio Wise '!$A429)</f>
        <v>0.01070384659</v>
      </c>
      <c r="AD429" s="49">
        <f t="shared" si="607"/>
        <v>2.333333333</v>
      </c>
    </row>
    <row r="430" ht="15.75" customHeight="1">
      <c r="A430" s="200">
        <v>45772.0</v>
      </c>
      <c r="B430" s="19" t="s">
        <v>196</v>
      </c>
      <c r="C430" s="13">
        <f>SUMIFS('Campaign - Dump'!$N:$N,'Campaign - Dump'!$J:$J,'Portfolio Wise '!$B430,'Campaign - Dump'!$A:$A,'Portfolio Wise '!$A430)</f>
        <v>1067124</v>
      </c>
      <c r="D430" s="13">
        <f>SUMIFS('Campaign - Dump'!$O:$O,'Campaign - Dump'!$J:$J,'Portfolio Wise '!$B430,'Campaign - Dump'!$A:$A,'Portfolio Wise '!$A430)</f>
        <v>4222</v>
      </c>
      <c r="E430" s="23">
        <f t="shared" si="593"/>
        <v>0.003956428681</v>
      </c>
      <c r="F430" s="36">
        <f>SUMIFS('Campaign - Dump'!$Q:$Q,'Campaign - Dump'!$J:$J,'Portfolio Wise '!$B430,'Campaign - Dump'!$A:$A,'Portfolio Wise '!$A430)</f>
        <v>98069.86</v>
      </c>
      <c r="G430" s="38">
        <f t="shared" si="594"/>
        <v>23.22829465</v>
      </c>
      <c r="H430" s="199">
        <f>SUMIFS('Campaign - Dump'!$T:$T,'Campaign - Dump'!$J:$J,'Portfolio Wise '!$B430,'Campaign - Dump'!$A:$A,'Portfolio Wise '!$A430)</f>
        <v>17</v>
      </c>
      <c r="I430" s="23">
        <f t="shared" si="595"/>
        <v>0.004026527712</v>
      </c>
      <c r="J430" s="36">
        <f>SUMIFS('Campaign - Dump'!$U:$U,'Campaign - Dump'!$J:$J,'Portfolio Wise '!$B430,'Campaign - Dump'!$A:$A,'Portfolio Wise '!$A430)</f>
        <v>278669.51</v>
      </c>
      <c r="K430" s="23">
        <f t="shared" si="596"/>
        <v>0.3519217441</v>
      </c>
      <c r="L430" s="38">
        <f t="shared" si="597"/>
        <v>2.841540816</v>
      </c>
      <c r="M430" s="41">
        <f t="shared" si="598"/>
        <v>16392.32412</v>
      </c>
      <c r="N430" s="13">
        <v>0.0</v>
      </c>
      <c r="O430" s="36">
        <v>0.0</v>
      </c>
      <c r="P430" s="41">
        <f t="shared" si="599"/>
        <v>0</v>
      </c>
      <c r="Q430" s="13">
        <f>SUMIFS('Business - Dump'!$W:$W,'Business - Dump'!$B:$B,'Portfolio Wise '!$B430,'Business - Dump'!$A:$A,'Portfolio Wise '!$A430)</f>
        <v>0</v>
      </c>
      <c r="R430" s="36">
        <f>SUMIFS('Business - Dump'!$U:$U,'Business - Dump'!$B:$B,'Portfolio Wise '!$B430,'Business - Dump'!$A:$A,'Portfolio Wise '!$A430)/1.18</f>
        <v>0</v>
      </c>
      <c r="S430" s="41">
        <f t="shared" si="600"/>
        <v>0</v>
      </c>
      <c r="T430" s="23">
        <f t="shared" si="601"/>
        <v>0</v>
      </c>
      <c r="U430" s="38">
        <f t="shared" si="602"/>
        <v>0</v>
      </c>
      <c r="V430" s="41">
        <f>SUMIFS('Business - Dump'!$G:$G,'Business - Dump'!$B:$B,'Portfolio Wise '!$B430,'Business - Dump'!$A:$A,'Portfolio Wise '!$A430)</f>
        <v>0</v>
      </c>
      <c r="W430" s="48">
        <f t="shared" si="603"/>
        <v>0</v>
      </c>
      <c r="X430" s="23">
        <f t="shared" ref="X430:Y430" si="622">IFERROR(N430/Q430,0)</f>
        <v>0</v>
      </c>
      <c r="Y430" s="49">
        <f t="shared" si="622"/>
        <v>0</v>
      </c>
      <c r="Z430" s="49">
        <f t="shared" si="605"/>
        <v>0</v>
      </c>
      <c r="AA430" s="23">
        <f t="shared" si="606"/>
        <v>0</v>
      </c>
      <c r="AB430" s="23">
        <f>IFERROR(AVERAGEIFS('Business - Dump'!$O:$O,'Business - Dump'!$B:$B,'Portfolio Wise '!$B430,'Business - Dump'!$A:$A,'Portfolio Wise '!$A430),0)</f>
        <v>0</v>
      </c>
      <c r="AC430" s="49">
        <f>F430/SUMIFS('Campaign - Dump'!$Q:$Q,'Campaign - Dump'!$A:$A,'Portfolio Wise '!$A430)</f>
        <v>0.1337085887</v>
      </c>
      <c r="AD430" s="49">
        <f t="shared" si="607"/>
        <v>0</v>
      </c>
    </row>
    <row r="431" ht="15.75" customHeight="1">
      <c r="A431" s="200">
        <v>45772.0</v>
      </c>
      <c r="B431" s="19" t="s">
        <v>205</v>
      </c>
      <c r="C431" s="13">
        <f>SUMIFS('Campaign - Dump'!$N:$N,'Campaign - Dump'!$J:$J,'Portfolio Wise '!$B431,'Campaign - Dump'!$A:$A,'Portfolio Wise '!$A431)</f>
        <v>224269</v>
      </c>
      <c r="D431" s="13">
        <f>SUMIFS('Campaign - Dump'!$O:$O,'Campaign - Dump'!$J:$J,'Portfolio Wise '!$B431,'Campaign - Dump'!$A:$A,'Portfolio Wise '!$A431)</f>
        <v>265</v>
      </c>
      <c r="E431" s="23">
        <f t="shared" si="593"/>
        <v>0.001181616719</v>
      </c>
      <c r="F431" s="36">
        <f>SUMIFS('Campaign - Dump'!$Q:$Q,'Campaign - Dump'!$J:$J,'Portfolio Wise '!$B431,'Campaign - Dump'!$A:$A,'Portfolio Wise '!$A431)</f>
        <v>14901.2</v>
      </c>
      <c r="G431" s="38">
        <f t="shared" si="594"/>
        <v>56.2309434</v>
      </c>
      <c r="H431" s="41">
        <f>SUMIFS('Campaign - Dump'!$T:$T,'Campaign - Dump'!$J:$J,'Portfolio Wise '!$B431,'Campaign - Dump'!$A:$A,'Portfolio Wise '!$A431)</f>
        <v>0</v>
      </c>
      <c r="I431" s="23">
        <f t="shared" si="595"/>
        <v>0</v>
      </c>
      <c r="J431" s="36">
        <f>SUMIFS('Campaign - Dump'!$U:$U,'Campaign - Dump'!$J:$J,'Portfolio Wise '!$B431,'Campaign - Dump'!$A:$A,'Portfolio Wise '!$A431)</f>
        <v>0</v>
      </c>
      <c r="K431" s="23">
        <f t="shared" si="596"/>
        <v>0</v>
      </c>
      <c r="L431" s="38">
        <f t="shared" si="597"/>
        <v>0</v>
      </c>
      <c r="M431" s="41">
        <f t="shared" si="598"/>
        <v>0</v>
      </c>
      <c r="N431" s="13">
        <f t="shared" ref="N431:N442" si="624">IFERROR(Q431-H431,0)</f>
        <v>13</v>
      </c>
      <c r="O431" s="36">
        <f t="shared" ref="O431:O442" si="625">IFERROR(R431-J431,0)</f>
        <v>425476.3559</v>
      </c>
      <c r="P431" s="41">
        <f t="shared" si="599"/>
        <v>32728.95046</v>
      </c>
      <c r="Q431" s="127">
        <f>SUMIFS('Business - Dump'!$W:$W,'Business - Dump'!$B:$B,'Portfolio Wise '!$B431,'Business - Dump'!$A:$A,'Portfolio Wise '!$A431)</f>
        <v>13</v>
      </c>
      <c r="R431" s="36">
        <f>SUMIFS('Business - Dump'!$U:$U,'Business - Dump'!$B:$B,'Portfolio Wise '!$B431,'Business - Dump'!$A:$A,'Portfolio Wise '!$A431)/1.18</f>
        <v>425476.3559</v>
      </c>
      <c r="S431" s="41">
        <f t="shared" si="600"/>
        <v>32728.95046</v>
      </c>
      <c r="T431" s="23">
        <f t="shared" si="601"/>
        <v>0.03502239265</v>
      </c>
      <c r="U431" s="38">
        <f t="shared" si="602"/>
        <v>28.55316055</v>
      </c>
      <c r="V431" s="41">
        <f>SUMIFS('Business - Dump'!$G:$G,'Business - Dump'!$B:$B,'Portfolio Wise '!$B431,'Business - Dump'!$A:$A,'Portfolio Wise '!$A431)</f>
        <v>1898</v>
      </c>
      <c r="W431" s="48">
        <f t="shared" si="603"/>
        <v>0.006849315068</v>
      </c>
      <c r="X431" s="23">
        <f t="shared" ref="X431:Y431" si="623">IFERROR(N431/Q431,0)</f>
        <v>1</v>
      </c>
      <c r="Y431" s="49">
        <f t="shared" si="623"/>
        <v>1</v>
      </c>
      <c r="Z431" s="49">
        <f t="shared" si="605"/>
        <v>0</v>
      </c>
      <c r="AA431" s="23">
        <f t="shared" si="606"/>
        <v>1</v>
      </c>
      <c r="AB431" s="23">
        <f>IFERROR(AVERAGEIFS('Business - Dump'!$O:$O,'Business - Dump'!$B:$B,'Portfolio Wise '!$B431,'Business - Dump'!$A:$A,'Portfolio Wise '!$A431),0)</f>
        <v>0.8463222222</v>
      </c>
      <c r="AC431" s="49">
        <f>F431/SUMIFS('Campaign - Dump'!$Q:$Q,'Campaign - Dump'!$A:$A,'Portfolio Wise '!$A431)</f>
        <v>0.02031631759</v>
      </c>
      <c r="AD431" s="49">
        <f t="shared" si="607"/>
        <v>0</v>
      </c>
    </row>
    <row r="432" ht="15.75" customHeight="1">
      <c r="A432" s="200">
        <v>45772.0</v>
      </c>
      <c r="B432" s="10" t="s">
        <v>211</v>
      </c>
      <c r="C432" s="13">
        <f>SUMIFS('Campaign - Dump'!$N:$N,'Campaign - Dump'!$J:$J,'Portfolio Wise '!$B432,'Campaign - Dump'!$A:$A,'Portfolio Wise '!$A432)</f>
        <v>686032</v>
      </c>
      <c r="D432" s="13">
        <f>SUMIFS('Campaign - Dump'!$O:$O,'Campaign - Dump'!$J:$J,'Portfolio Wise '!$B432,'Campaign - Dump'!$A:$A,'Portfolio Wise '!$A432)</f>
        <v>4810</v>
      </c>
      <c r="E432" s="23">
        <f t="shared" si="593"/>
        <v>0.007011334748</v>
      </c>
      <c r="F432" s="36">
        <f>SUMIFS('Campaign - Dump'!$Q:$Q,'Campaign - Dump'!$J:$J,'Portfolio Wise '!$B432,'Campaign - Dump'!$A:$A,'Portfolio Wise '!$A432)</f>
        <v>34628.24</v>
      </c>
      <c r="G432" s="38">
        <f t="shared" si="594"/>
        <v>7.199218295</v>
      </c>
      <c r="H432" s="41">
        <f>SUMIFS('Campaign - Dump'!$T:$T,'Campaign - Dump'!$J:$J,'Portfolio Wise '!$B432,'Campaign - Dump'!$A:$A,'Portfolio Wise '!$A432)</f>
        <v>86</v>
      </c>
      <c r="I432" s="23">
        <f t="shared" si="595"/>
        <v>0.01787941788</v>
      </c>
      <c r="J432" s="36">
        <f>SUMIFS('Campaign - Dump'!$U:$U,'Campaign - Dump'!$J:$J,'Portfolio Wise '!$B432,'Campaign - Dump'!$A:$A,'Portfolio Wise '!$A432)</f>
        <v>218656.8</v>
      </c>
      <c r="K432" s="23">
        <f t="shared" si="596"/>
        <v>0.1583679995</v>
      </c>
      <c r="L432" s="38">
        <f t="shared" si="597"/>
        <v>6.31440697</v>
      </c>
      <c r="M432" s="41">
        <f t="shared" si="598"/>
        <v>2542.52093</v>
      </c>
      <c r="N432" s="13">
        <f t="shared" si="624"/>
        <v>45</v>
      </c>
      <c r="O432" s="36">
        <f t="shared" si="625"/>
        <v>18726.25085</v>
      </c>
      <c r="P432" s="41">
        <f t="shared" si="599"/>
        <v>416.1389077</v>
      </c>
      <c r="Q432" s="13">
        <f>SUMIFS('Business - Dump'!$W:$W,'Business - Dump'!$B:$B,'Portfolio Wise '!$B432,'Business - Dump'!$A:$A,'Portfolio Wise '!$A432)</f>
        <v>131</v>
      </c>
      <c r="R432" s="36">
        <f>SUMIFS('Business - Dump'!$U:$U,'Business - Dump'!$B:$B,'Portfolio Wise '!$B432,'Business - Dump'!$A:$A,'Portfolio Wise '!$A432)/1.18</f>
        <v>237383.0508</v>
      </c>
      <c r="S432" s="41">
        <f t="shared" si="600"/>
        <v>1812.084358</v>
      </c>
      <c r="T432" s="23">
        <f t="shared" si="601"/>
        <v>0.1458749472</v>
      </c>
      <c r="U432" s="38">
        <f t="shared" si="602"/>
        <v>6.855186716</v>
      </c>
      <c r="V432" s="41">
        <f>SUMIFS('Business - Dump'!$G:$G,'Business - Dump'!$B:$B,'Portfolio Wise '!$B432,'Business - Dump'!$A:$A,'Portfolio Wise '!$A432)</f>
        <v>7270</v>
      </c>
      <c r="W432" s="48">
        <f t="shared" si="603"/>
        <v>0.01801925722</v>
      </c>
      <c r="X432" s="23">
        <f t="shared" ref="X432:Y432" si="626">IFERROR(N432/Q432,0)</f>
        <v>0.3435114504</v>
      </c>
      <c r="Y432" s="49">
        <f t="shared" si="626"/>
        <v>0.07888621694</v>
      </c>
      <c r="Z432" s="49">
        <f t="shared" si="605"/>
        <v>0.6564885496</v>
      </c>
      <c r="AA432" s="23">
        <f t="shared" si="606"/>
        <v>0.07888621694</v>
      </c>
      <c r="AB432" s="23">
        <f>IFERROR(AVERAGEIFS('Business - Dump'!$O:$O,'Business - Dump'!$B:$B,'Portfolio Wise '!$B432,'Business - Dump'!$A:$A,'Portfolio Wise '!$A432),0)</f>
        <v>0.9738</v>
      </c>
      <c r="AC432" s="49">
        <f>F432/SUMIFS('Campaign - Dump'!$Q:$Q,'Campaign - Dump'!$A:$A,'Portfolio Wise '!$A432)</f>
        <v>0.0472121924</v>
      </c>
      <c r="AD432" s="49">
        <f t="shared" si="607"/>
        <v>0.523255814</v>
      </c>
    </row>
    <row r="433" ht="15.75" customHeight="1">
      <c r="A433" s="200">
        <v>45772.0</v>
      </c>
      <c r="B433" s="19" t="s">
        <v>217</v>
      </c>
      <c r="C433" s="13">
        <f>SUMIFS('Campaign - Dump'!$N:$N,'Campaign - Dump'!$J:$J,'Portfolio Wise '!$B433,'Campaign - Dump'!$A:$A,'Portfolio Wise '!$A433)</f>
        <v>297282</v>
      </c>
      <c r="D433" s="13">
        <f>SUMIFS('Campaign - Dump'!$O:$O,'Campaign - Dump'!$J:$J,'Portfolio Wise '!$B433,'Campaign - Dump'!$A:$A,'Portfolio Wise '!$A433)</f>
        <v>1789</v>
      </c>
      <c r="E433" s="23">
        <f t="shared" si="593"/>
        <v>0.006017855101</v>
      </c>
      <c r="F433" s="36">
        <f>SUMIFS('Campaign - Dump'!$Q:$Q,'Campaign - Dump'!$J:$J,'Portfolio Wise '!$B433,'Campaign - Dump'!$A:$A,'Portfolio Wise '!$A433)</f>
        <v>10026.17</v>
      </c>
      <c r="G433" s="38">
        <f t="shared" si="594"/>
        <v>5.604343208</v>
      </c>
      <c r="H433" s="41">
        <f>SUMIFS('Campaign - Dump'!$T:$T,'Campaign - Dump'!$J:$J,'Portfolio Wise '!$B433,'Campaign - Dump'!$A:$A,'Portfolio Wise '!$A433)</f>
        <v>20</v>
      </c>
      <c r="I433" s="23">
        <f t="shared" si="595"/>
        <v>0.01117942985</v>
      </c>
      <c r="J433" s="36">
        <f>SUMIFS('Campaign - Dump'!$U:$U,'Campaign - Dump'!$J:$J,'Portfolio Wise '!$B433,'Campaign - Dump'!$A:$A,'Portfolio Wise '!$A433)</f>
        <v>54406.81</v>
      </c>
      <c r="K433" s="23">
        <f t="shared" si="596"/>
        <v>0.1842815265</v>
      </c>
      <c r="L433" s="38">
        <f t="shared" si="597"/>
        <v>5.426479902</v>
      </c>
      <c r="M433" s="41">
        <f t="shared" si="598"/>
        <v>2720.3405</v>
      </c>
      <c r="N433" s="13">
        <f t="shared" si="624"/>
        <v>0</v>
      </c>
      <c r="O433" s="36">
        <f t="shared" si="625"/>
        <v>-36203.42017</v>
      </c>
      <c r="P433" s="41">
        <f t="shared" si="599"/>
        <v>0</v>
      </c>
      <c r="Q433" s="13">
        <f>SUMIFS('Business - Dump'!$W:$W,'Business - Dump'!$B:$B,'Portfolio Wise '!$B433,'Business - Dump'!$A:$A,'Portfolio Wise '!$A433)</f>
        <v>20</v>
      </c>
      <c r="R433" s="36">
        <f>SUMIFS('Business - Dump'!$U:$U,'Business - Dump'!$B:$B,'Portfolio Wise '!$B433,'Business - Dump'!$A:$A,'Portfolio Wise '!$A433)/1.18</f>
        <v>18203.38983</v>
      </c>
      <c r="S433" s="41">
        <f t="shared" si="600"/>
        <v>910.1694915</v>
      </c>
      <c r="T433" s="201">
        <f t="shared" si="601"/>
        <v>0.5507858752</v>
      </c>
      <c r="U433" s="38">
        <f t="shared" si="602"/>
        <v>1.81558759</v>
      </c>
      <c r="V433" s="41">
        <f>SUMIFS('Business - Dump'!$G:$G,'Business - Dump'!$B:$B,'Portfolio Wise '!$B433,'Business - Dump'!$A:$A,'Portfolio Wise '!$A433)</f>
        <v>2385</v>
      </c>
      <c r="W433" s="48">
        <f t="shared" si="603"/>
        <v>0.008385744235</v>
      </c>
      <c r="X433" s="23">
        <f t="shared" ref="X433:Y433" si="627">IFERROR(N433/Q433,0)</f>
        <v>0</v>
      </c>
      <c r="Y433" s="49">
        <f t="shared" si="627"/>
        <v>-1.988828482</v>
      </c>
      <c r="Z433" s="49">
        <f t="shared" si="605"/>
        <v>1</v>
      </c>
      <c r="AA433" s="23">
        <f t="shared" si="606"/>
        <v>-1.988828482</v>
      </c>
      <c r="AB433" s="23">
        <f>IFERROR(AVERAGEIFS('Business - Dump'!$O:$O,'Business - Dump'!$B:$B,'Portfolio Wise '!$B433,'Business - Dump'!$A:$A,'Portfolio Wise '!$A433),0)</f>
        <v>0.9928</v>
      </c>
      <c r="AC433" s="49">
        <f>F433/SUMIFS('Campaign - Dump'!$Q:$Q,'Campaign - Dump'!$A:$A,'Portfolio Wise '!$A433)</f>
        <v>0.01366969465</v>
      </c>
      <c r="AD433" s="49">
        <f t="shared" si="607"/>
        <v>0</v>
      </c>
    </row>
    <row r="434" ht="15.75" customHeight="1">
      <c r="A434" s="200">
        <v>45772.0</v>
      </c>
      <c r="B434" s="33" t="s">
        <v>230</v>
      </c>
      <c r="C434" s="13">
        <f>SUMIFS('Campaign - Dump'!$N:$N,'Campaign - Dump'!$J:$J,'Portfolio Wise '!$B434,'Campaign - Dump'!$A:$A,'Portfolio Wise '!$A434)</f>
        <v>354017</v>
      </c>
      <c r="D434" s="13">
        <f>SUMIFS('Campaign - Dump'!$O:$O,'Campaign - Dump'!$J:$J,'Portfolio Wise '!$B434,'Campaign - Dump'!$A:$A,'Portfolio Wise '!$A434)</f>
        <v>726</v>
      </c>
      <c r="E434" s="23">
        <f t="shared" si="593"/>
        <v>0.002050748975</v>
      </c>
      <c r="F434" s="36">
        <f>SUMIFS('Campaign - Dump'!$Q:$Q,'Campaign - Dump'!$J:$J,'Portfolio Wise '!$B434,'Campaign - Dump'!$A:$A,'Portfolio Wise '!$A434)</f>
        <v>31018.54</v>
      </c>
      <c r="G434" s="38">
        <f t="shared" si="594"/>
        <v>42.72526171</v>
      </c>
      <c r="H434" s="41">
        <f>SUMIFS('Campaign - Dump'!$T:$T,'Campaign - Dump'!$J:$J,'Portfolio Wise '!$B434,'Campaign - Dump'!$A:$A,'Portfolio Wise '!$A434)</f>
        <v>4</v>
      </c>
      <c r="I434" s="23">
        <f t="shared" si="595"/>
        <v>0.005509641873</v>
      </c>
      <c r="J434" s="36">
        <f>SUMIFS('Campaign - Dump'!$U:$U,'Campaign - Dump'!$J:$J,'Portfolio Wise '!$B434,'Campaign - Dump'!$A:$A,'Portfolio Wise '!$A434)</f>
        <v>87652.55</v>
      </c>
      <c r="K434" s="23">
        <f t="shared" si="596"/>
        <v>0.3538806344</v>
      </c>
      <c r="L434" s="38">
        <f t="shared" si="597"/>
        <v>2.825811595</v>
      </c>
      <c r="M434" s="41">
        <f t="shared" si="598"/>
        <v>21913.1375</v>
      </c>
      <c r="N434" s="13">
        <f t="shared" si="624"/>
        <v>10</v>
      </c>
      <c r="O434" s="36">
        <f t="shared" si="625"/>
        <v>249158.1958</v>
      </c>
      <c r="P434" s="41">
        <f t="shared" si="599"/>
        <v>24915.81958</v>
      </c>
      <c r="Q434" s="13">
        <f>SUMIFS('Business - Dump'!$W:$W,'Business - Dump'!$B:$B,'Portfolio Wise '!$B434,'Business - Dump'!$A:$A,'Portfolio Wise '!$A434)</f>
        <v>14</v>
      </c>
      <c r="R434" s="36">
        <f>SUMIFS('Business - Dump'!$U:$U,'Business - Dump'!$B:$B,'Portfolio Wise '!$B434,'Business - Dump'!$A:$A,'Portfolio Wise '!$A434)/1.18</f>
        <v>336810.7458</v>
      </c>
      <c r="S434" s="41">
        <f t="shared" si="600"/>
        <v>24057.91041</v>
      </c>
      <c r="T434" s="23">
        <f t="shared" si="601"/>
        <v>0.09209486452</v>
      </c>
      <c r="U434" s="38">
        <f t="shared" si="602"/>
        <v>10.85836876</v>
      </c>
      <c r="V434" s="41">
        <f>SUMIFS('Business - Dump'!$G:$G,'Business - Dump'!$B:$B,'Portfolio Wise '!$B434,'Business - Dump'!$A:$A,'Portfolio Wise '!$A434)</f>
        <v>2902</v>
      </c>
      <c r="W434" s="23">
        <f t="shared" si="603"/>
        <v>0.004824259132</v>
      </c>
      <c r="X434" s="23">
        <f t="shared" ref="X434:Y434" si="628">IFERROR(N434/Q434,0)</f>
        <v>0.7142857143</v>
      </c>
      <c r="Y434" s="49">
        <f t="shared" si="628"/>
        <v>0.739757264</v>
      </c>
      <c r="Z434" s="49">
        <f t="shared" si="605"/>
        <v>0.2857142857</v>
      </c>
      <c r="AA434" s="23">
        <f t="shared" si="606"/>
        <v>0.739757264</v>
      </c>
      <c r="AB434" s="23">
        <f>IFERROR(AVERAGEIFS('Business - Dump'!$O:$O,'Business - Dump'!$B:$B,'Portfolio Wise '!$B434,'Business - Dump'!$A:$A,'Portfolio Wise '!$A434),0)</f>
        <v>0.9396125</v>
      </c>
      <c r="AC434" s="49">
        <f>F434/SUMIFS('Campaign - Dump'!$Q:$Q,'Campaign - Dump'!$A:$A,'Portfolio Wise '!$A434)</f>
        <v>0.04229072221</v>
      </c>
      <c r="AD434" s="49">
        <f t="shared" si="607"/>
        <v>2.5</v>
      </c>
    </row>
    <row r="435" ht="15.75" customHeight="1">
      <c r="A435" s="200">
        <v>45772.0</v>
      </c>
      <c r="B435" s="19" t="s">
        <v>232</v>
      </c>
      <c r="C435" s="13">
        <f>SUMIFS('Campaign - Dump'!$N:$N,'Campaign - Dump'!$J:$J,'Portfolio Wise '!$B435,'Campaign - Dump'!$A:$A,'Portfolio Wise '!$A435)</f>
        <v>0</v>
      </c>
      <c r="D435" s="13">
        <f>SUMIFS('Campaign - Dump'!$O:$O,'Campaign - Dump'!$J:$J,'Portfolio Wise '!$B435,'Campaign - Dump'!$A:$A,'Portfolio Wise '!$A435)</f>
        <v>0</v>
      </c>
      <c r="E435" s="23">
        <f t="shared" si="593"/>
        <v>0</v>
      </c>
      <c r="F435" s="36">
        <f>SUMIFS('Campaign - Dump'!$Q:$Q,'Campaign - Dump'!$J:$J,'Portfolio Wise '!$B435,'Campaign - Dump'!$A:$A,'Portfolio Wise '!$A435)</f>
        <v>0</v>
      </c>
      <c r="G435" s="38">
        <f t="shared" si="594"/>
        <v>0</v>
      </c>
      <c r="H435" s="41">
        <f>SUMIFS('Campaign - Dump'!$T:$T,'Campaign - Dump'!$J:$J,'Portfolio Wise '!$B435,'Campaign - Dump'!$A:$A,'Portfolio Wise '!$A435)</f>
        <v>0</v>
      </c>
      <c r="I435" s="23">
        <f t="shared" si="595"/>
        <v>0</v>
      </c>
      <c r="J435" s="36">
        <f>SUMIFS('Campaign - Dump'!$U:$U,'Campaign - Dump'!$J:$J,'Portfolio Wise '!$B435,'Campaign - Dump'!$A:$A,'Portfolio Wise '!$A435)</f>
        <v>0</v>
      </c>
      <c r="K435" s="23">
        <f t="shared" si="596"/>
        <v>0</v>
      </c>
      <c r="L435" s="38">
        <f t="shared" si="597"/>
        <v>0</v>
      </c>
      <c r="M435" s="41">
        <f t="shared" si="598"/>
        <v>0</v>
      </c>
      <c r="N435" s="13">
        <f t="shared" si="624"/>
        <v>3</v>
      </c>
      <c r="O435" s="36">
        <f t="shared" si="625"/>
        <v>47951.59322</v>
      </c>
      <c r="P435" s="41">
        <f t="shared" si="599"/>
        <v>15983.86441</v>
      </c>
      <c r="Q435" s="13">
        <f>SUMIFS('Business - Dump'!$W:$W,'Business - Dump'!$B:$B,'Portfolio Wise '!$B435,'Business - Dump'!$A:$A,'Portfolio Wise '!$A435)</f>
        <v>3</v>
      </c>
      <c r="R435" s="36">
        <f>SUMIFS('Business - Dump'!$U:$U,'Business - Dump'!$B:$B,'Portfolio Wise '!$B435,'Business - Dump'!$A:$A,'Portfolio Wise '!$A435)/1.18</f>
        <v>47951.59322</v>
      </c>
      <c r="S435" s="41">
        <f t="shared" si="600"/>
        <v>15983.86441</v>
      </c>
      <c r="T435" s="23">
        <f t="shared" si="601"/>
        <v>0</v>
      </c>
      <c r="U435" s="38">
        <f t="shared" si="602"/>
        <v>0</v>
      </c>
      <c r="V435" s="41">
        <f>SUMIFS('Business - Dump'!$G:$G,'Business - Dump'!$B:$B,'Portfolio Wise '!$B435,'Business - Dump'!$A:$A,'Portfolio Wise '!$A435)</f>
        <v>747</v>
      </c>
      <c r="W435" s="48">
        <f t="shared" si="603"/>
        <v>0.004016064257</v>
      </c>
      <c r="X435" s="23">
        <f t="shared" ref="X435:Y435" si="629">IFERROR(N435/Q435,0)</f>
        <v>1</v>
      </c>
      <c r="Y435" s="49">
        <f t="shared" si="629"/>
        <v>1</v>
      </c>
      <c r="Z435" s="49">
        <f t="shared" si="605"/>
        <v>0</v>
      </c>
      <c r="AA435" s="23">
        <f t="shared" si="606"/>
        <v>1</v>
      </c>
      <c r="AB435" s="23">
        <f>IFERROR(AVERAGEIFS('Business - Dump'!$O:$O,'Business - Dump'!$B:$B,'Portfolio Wise '!$B435,'Business - Dump'!$A:$A,'Portfolio Wise '!$A435),0)</f>
        <v>0.89962</v>
      </c>
      <c r="AC435" s="49">
        <f>F435/SUMIFS('Campaign - Dump'!$Q:$Q,'Campaign - Dump'!$A:$A,'Portfolio Wise '!$A435)</f>
        <v>0</v>
      </c>
      <c r="AD435" s="49">
        <f t="shared" si="607"/>
        <v>0</v>
      </c>
    </row>
    <row r="436" ht="15.75" customHeight="1">
      <c r="A436" s="200">
        <v>45772.0</v>
      </c>
      <c r="B436" s="10" t="s">
        <v>429</v>
      </c>
      <c r="C436" s="13">
        <f>SUMIFS('Campaign - Dump'!$N:$N,'Campaign - Dump'!$J:$J,'Portfolio Wise '!$B436,'Campaign - Dump'!$A:$A,'Portfolio Wise '!$A436)</f>
        <v>65927</v>
      </c>
      <c r="D436" s="13">
        <f>SUMIFS('Campaign - Dump'!$O:$O,'Campaign - Dump'!$J:$J,'Portfolio Wise '!$B436,'Campaign - Dump'!$A:$A,'Portfolio Wise '!$A436)</f>
        <v>482</v>
      </c>
      <c r="E436" s="23">
        <f t="shared" si="593"/>
        <v>0.007311116841</v>
      </c>
      <c r="F436" s="36">
        <f>SUMIFS('Campaign - Dump'!$Q:$Q,'Campaign - Dump'!$J:$J,'Portfolio Wise '!$B436,'Campaign - Dump'!$A:$A,'Portfolio Wise '!$A436)</f>
        <v>18170.12</v>
      </c>
      <c r="G436" s="38">
        <f t="shared" si="594"/>
        <v>37.6973444</v>
      </c>
      <c r="H436" s="41">
        <f>SUMIFS('Campaign - Dump'!$T:$T,'Campaign - Dump'!$J:$J,'Portfolio Wise '!$B436,'Campaign - Dump'!$A:$A,'Portfolio Wise '!$A436)</f>
        <v>3</v>
      </c>
      <c r="I436" s="23">
        <f t="shared" si="595"/>
        <v>0.00622406639</v>
      </c>
      <c r="J436" s="36">
        <f>SUMIFS('Campaign - Dump'!$U:$U,'Campaign - Dump'!$J:$J,'Portfolio Wise '!$B436,'Campaign - Dump'!$A:$A,'Portfolio Wise '!$A436)</f>
        <v>40931.36</v>
      </c>
      <c r="K436" s="23">
        <f t="shared" si="596"/>
        <v>0.4439168403</v>
      </c>
      <c r="L436" s="38">
        <f t="shared" si="597"/>
        <v>2.252674171</v>
      </c>
      <c r="M436" s="41">
        <f t="shared" si="598"/>
        <v>13643.78667</v>
      </c>
      <c r="N436" s="13">
        <f t="shared" si="624"/>
        <v>8</v>
      </c>
      <c r="O436" s="36">
        <f t="shared" si="625"/>
        <v>103580.1146</v>
      </c>
      <c r="P436" s="41">
        <f t="shared" si="599"/>
        <v>12947.51432</v>
      </c>
      <c r="Q436" s="13">
        <f>SUMIFS('Business - Dump'!$W:$W,'Business - Dump'!$B:$B,'Portfolio Wise '!$B436,'Business - Dump'!$A:$A,'Portfolio Wise '!$A436)</f>
        <v>11</v>
      </c>
      <c r="R436" s="36">
        <f>SUMIFS('Business - Dump'!$U:$U,'Business - Dump'!$B:$B,'Portfolio Wise '!$B436,'Business - Dump'!$A:$A,'Portfolio Wise '!$A436)/1.18</f>
        <v>144511.4746</v>
      </c>
      <c r="S436" s="41">
        <f t="shared" si="600"/>
        <v>13137.40678</v>
      </c>
      <c r="T436" s="23">
        <f t="shared" si="601"/>
        <v>0.1257347906</v>
      </c>
      <c r="U436" s="38">
        <f t="shared" si="602"/>
        <v>7.953248222</v>
      </c>
      <c r="V436" s="41">
        <f>SUMIFS('Business - Dump'!$G:$G,'Business - Dump'!$B:$B,'Portfolio Wise '!$B436,'Business - Dump'!$A:$A,'Portfolio Wise '!$A436)</f>
        <v>2084</v>
      </c>
      <c r="W436" s="48">
        <f t="shared" si="603"/>
        <v>0.00527831094</v>
      </c>
      <c r="X436" s="23">
        <f t="shared" ref="X436:Y436" si="630">IFERROR(N436/Q436,0)</f>
        <v>0.7272727273</v>
      </c>
      <c r="Y436" s="49">
        <f t="shared" si="630"/>
        <v>0.7167604848</v>
      </c>
      <c r="Z436" s="49">
        <f t="shared" si="605"/>
        <v>0.2727272727</v>
      </c>
      <c r="AA436" s="23">
        <f t="shared" si="606"/>
        <v>0.7167604848</v>
      </c>
      <c r="AB436" s="23">
        <f>IFERROR(AVERAGEIFS('Business - Dump'!$O:$O,'Business - Dump'!$B:$B,'Portfolio Wise '!$B436,'Business - Dump'!$A:$A,'Portfolio Wise '!$A436),0)</f>
        <v>0.89938</v>
      </c>
      <c r="AC436" s="49">
        <f>F436/SUMIFS('Campaign - Dump'!$Q:$Q,'Campaign - Dump'!$A:$A,'Portfolio Wise '!$A436)</f>
        <v>0.02477316783</v>
      </c>
      <c r="AD436" s="49">
        <f t="shared" si="607"/>
        <v>2.666666667</v>
      </c>
    </row>
    <row r="437" ht="15.75" customHeight="1">
      <c r="A437" s="200">
        <v>45772.0</v>
      </c>
      <c r="B437" s="51" t="s">
        <v>239</v>
      </c>
      <c r="C437" s="13">
        <f>SUMIFS('Campaign - Dump'!$N:$N,'Campaign - Dump'!$J:$J,'Portfolio Wise '!$B437,'Campaign - Dump'!$A:$A,'Portfolio Wise '!$A437)</f>
        <v>0</v>
      </c>
      <c r="D437" s="13">
        <f>SUMIFS('Campaign - Dump'!$O:$O,'Campaign - Dump'!$J:$J,'Portfolio Wise '!$B437,'Campaign - Dump'!$A:$A,'Portfolio Wise '!$A437)</f>
        <v>0</v>
      </c>
      <c r="E437" s="23">
        <f t="shared" si="593"/>
        <v>0</v>
      </c>
      <c r="F437" s="36">
        <f>SUMIFS('Campaign - Dump'!$Q:$Q,'Campaign - Dump'!$J:$J,'Portfolio Wise '!$B437,'Campaign - Dump'!$A:$A,'Portfolio Wise '!$A437)</f>
        <v>0</v>
      </c>
      <c r="G437" s="38">
        <f t="shared" si="594"/>
        <v>0</v>
      </c>
      <c r="H437" s="41">
        <f>SUMIFS('Campaign - Dump'!$T:$T,'Campaign - Dump'!$J:$J,'Portfolio Wise '!$B437,'Campaign - Dump'!$A:$A,'Portfolio Wise '!$A437)</f>
        <v>0</v>
      </c>
      <c r="I437" s="23">
        <f t="shared" si="595"/>
        <v>0</v>
      </c>
      <c r="J437" s="36">
        <f>SUMIFS('Campaign - Dump'!$U:$U,'Campaign - Dump'!$J:$J,'Portfolio Wise '!$B437,'Campaign - Dump'!$A:$A,'Portfolio Wise '!$A437)</f>
        <v>0</v>
      </c>
      <c r="K437" s="23">
        <f t="shared" si="596"/>
        <v>0</v>
      </c>
      <c r="L437" s="38">
        <f t="shared" si="597"/>
        <v>0</v>
      </c>
      <c r="M437" s="41">
        <f t="shared" si="598"/>
        <v>0</v>
      </c>
      <c r="N437" s="13">
        <f t="shared" si="624"/>
        <v>0</v>
      </c>
      <c r="O437" s="36">
        <f t="shared" si="625"/>
        <v>0</v>
      </c>
      <c r="P437" s="41">
        <f t="shared" si="599"/>
        <v>0</v>
      </c>
      <c r="Q437" s="13">
        <f>SUMIFS('Business - Dump'!$W:$W,'Business - Dump'!$B:$B,'Portfolio Wise '!$B437,'Business - Dump'!$A:$A,'Portfolio Wise '!$A437)</f>
        <v>0</v>
      </c>
      <c r="R437" s="36">
        <f>SUMIFS('Business - Dump'!$U:$U,'Business - Dump'!$B:$B,'Portfolio Wise '!$B437,'Business - Dump'!$A:$A,'Portfolio Wise '!$A437)/1.18</f>
        <v>0</v>
      </c>
      <c r="S437" s="41">
        <f t="shared" si="600"/>
        <v>0</v>
      </c>
      <c r="T437" s="23">
        <f t="shared" si="601"/>
        <v>0</v>
      </c>
      <c r="U437" s="38">
        <f t="shared" si="602"/>
        <v>0</v>
      </c>
      <c r="V437" s="41">
        <f>SUMIFS('Business - Dump'!$G:$G,'Business - Dump'!$B:$B,'Portfolio Wise '!$B437,'Business - Dump'!$A:$A,'Portfolio Wise '!$A437)</f>
        <v>0</v>
      </c>
      <c r="W437" s="48">
        <f t="shared" si="603"/>
        <v>0</v>
      </c>
      <c r="X437" s="23">
        <f t="shared" ref="X437:Y437" si="631">IFERROR(N437/Q437,0)</f>
        <v>0</v>
      </c>
      <c r="Y437" s="49">
        <f t="shared" si="631"/>
        <v>0</v>
      </c>
      <c r="Z437" s="49">
        <f t="shared" si="605"/>
        <v>0</v>
      </c>
      <c r="AA437" s="23">
        <f t="shared" si="606"/>
        <v>0</v>
      </c>
      <c r="AB437" s="23">
        <f>IFERROR(AVERAGEIFS('Business - Dump'!$O:$O,'Business - Dump'!$B:$B,'Portfolio Wise '!$B437,'Business - Dump'!$A:$A,'Portfolio Wise '!$A437),0)</f>
        <v>0</v>
      </c>
      <c r="AC437" s="49">
        <f>F437/SUMIFS('Campaign - Dump'!$Q:$Q,'Campaign - Dump'!$A:$A,'Portfolio Wise '!$A437)</f>
        <v>0</v>
      </c>
      <c r="AD437" s="49">
        <f t="shared" si="607"/>
        <v>0</v>
      </c>
    </row>
    <row r="438" ht="15.75" customHeight="1">
      <c r="A438" s="200">
        <v>45772.0</v>
      </c>
      <c r="B438" s="19" t="s">
        <v>240</v>
      </c>
      <c r="C438" s="13">
        <f>SUMIFS('Campaign - Dump'!$N:$N,'Campaign - Dump'!$J:$J,'Portfolio Wise '!$B438,'Campaign - Dump'!$A:$A,'Portfolio Wise '!$A438)</f>
        <v>0</v>
      </c>
      <c r="D438" s="13">
        <f>SUMIFS('Campaign - Dump'!$O:$O,'Campaign - Dump'!$J:$J,'Portfolio Wise '!$B438,'Campaign - Dump'!$A:$A,'Portfolio Wise '!$A438)</f>
        <v>0</v>
      </c>
      <c r="E438" s="23">
        <f t="shared" si="593"/>
        <v>0</v>
      </c>
      <c r="F438" s="36">
        <f>SUMIFS('Campaign - Dump'!$Q:$Q,'Campaign - Dump'!$J:$J,'Portfolio Wise '!$B438,'Campaign - Dump'!$A:$A,'Portfolio Wise '!$A438)</f>
        <v>0</v>
      </c>
      <c r="G438" s="38">
        <f t="shared" si="594"/>
        <v>0</v>
      </c>
      <c r="H438" s="41">
        <f>SUMIFS('Campaign - Dump'!$T:$T,'Campaign - Dump'!$J:$J,'Portfolio Wise '!$B438,'Campaign - Dump'!$A:$A,'Portfolio Wise '!$A438)</f>
        <v>0</v>
      </c>
      <c r="I438" s="23">
        <f t="shared" si="595"/>
        <v>0</v>
      </c>
      <c r="J438" s="36">
        <f>SUMIFS('Campaign - Dump'!$U:$U,'Campaign - Dump'!$J:$J,'Portfolio Wise '!$B438,'Campaign - Dump'!$A:$A,'Portfolio Wise '!$A438)</f>
        <v>0</v>
      </c>
      <c r="K438" s="23">
        <f t="shared" si="596"/>
        <v>0</v>
      </c>
      <c r="L438" s="38">
        <f t="shared" si="597"/>
        <v>0</v>
      </c>
      <c r="M438" s="41">
        <f t="shared" si="598"/>
        <v>0</v>
      </c>
      <c r="N438" s="13">
        <f t="shared" si="624"/>
        <v>0</v>
      </c>
      <c r="O438" s="36">
        <f t="shared" si="625"/>
        <v>0</v>
      </c>
      <c r="P438" s="41">
        <f t="shared" si="599"/>
        <v>0</v>
      </c>
      <c r="Q438" s="13">
        <f>SUMIFS('Business - Dump'!$W:$W,'Business - Dump'!$B:$B,'Portfolio Wise '!$B438,'Business - Dump'!$A:$A,'Portfolio Wise '!$A438)</f>
        <v>0</v>
      </c>
      <c r="R438" s="36">
        <f>SUMIFS('Business - Dump'!$U:$U,'Business - Dump'!$B:$B,'Portfolio Wise '!$B438,'Business - Dump'!$A:$A,'Portfolio Wise '!$A438)/1.18</f>
        <v>0</v>
      </c>
      <c r="S438" s="41">
        <f t="shared" si="600"/>
        <v>0</v>
      </c>
      <c r="T438" s="23">
        <f t="shared" si="601"/>
        <v>0</v>
      </c>
      <c r="U438" s="38">
        <f t="shared" si="602"/>
        <v>0</v>
      </c>
      <c r="V438" s="41">
        <f>SUMIFS('Business - Dump'!$G:$G,'Business - Dump'!$B:$B,'Portfolio Wise '!$B438,'Business - Dump'!$A:$A,'Portfolio Wise '!$A438)</f>
        <v>0</v>
      </c>
      <c r="W438" s="48">
        <f t="shared" si="603"/>
        <v>0</v>
      </c>
      <c r="X438" s="23">
        <f t="shared" ref="X438:Y438" si="632">IFERROR(N438/Q438,0)</f>
        <v>0</v>
      </c>
      <c r="Y438" s="49">
        <f t="shared" si="632"/>
        <v>0</v>
      </c>
      <c r="Z438" s="49">
        <f t="shared" si="605"/>
        <v>0</v>
      </c>
      <c r="AA438" s="23">
        <f t="shared" si="606"/>
        <v>0</v>
      </c>
      <c r="AB438" s="23">
        <f>IFERROR(AVERAGEIFS('Business - Dump'!$O:$O,'Business - Dump'!$B:$B,'Portfolio Wise '!$B438,'Business - Dump'!$A:$A,'Portfolio Wise '!$A438),0)</f>
        <v>0</v>
      </c>
      <c r="AC438" s="49">
        <f>F438/SUMIFS('Campaign - Dump'!$Q:$Q,'Campaign - Dump'!$A:$A,'Portfolio Wise '!$A438)</f>
        <v>0</v>
      </c>
      <c r="AD438" s="49">
        <f t="shared" si="607"/>
        <v>0</v>
      </c>
    </row>
    <row r="439" ht="15.75" customHeight="1">
      <c r="A439" s="200">
        <v>45772.0</v>
      </c>
      <c r="B439" s="10" t="s">
        <v>241</v>
      </c>
      <c r="C439" s="13">
        <f>SUMIFS('Campaign - Dump'!$N:$N,'Campaign - Dump'!$J:$J,'Portfolio Wise '!$B439,'Campaign - Dump'!$A:$A,'Portfolio Wise '!$A439)</f>
        <v>154506</v>
      </c>
      <c r="D439" s="13">
        <f>SUMIFS('Campaign - Dump'!$O:$O,'Campaign - Dump'!$J:$J,'Portfolio Wise '!$B439,'Campaign - Dump'!$A:$A,'Portfolio Wise '!$A439)</f>
        <v>442</v>
      </c>
      <c r="E439" s="23">
        <f t="shared" si="593"/>
        <v>0.002860730328</v>
      </c>
      <c r="F439" s="36">
        <f>SUMIFS('Campaign - Dump'!$Q:$Q,'Campaign - Dump'!$J:$J,'Portfolio Wise '!$B439,'Campaign - Dump'!$A:$A,'Portfolio Wise '!$A439)</f>
        <v>6658.61</v>
      </c>
      <c r="G439" s="38">
        <f t="shared" si="594"/>
        <v>15.06472851</v>
      </c>
      <c r="H439" s="41">
        <f>SUMIFS('Campaign - Dump'!$T:$T,'Campaign - Dump'!$J:$J,'Portfolio Wise '!$B439,'Campaign - Dump'!$A:$A,'Portfolio Wise '!$A439)</f>
        <v>6</v>
      </c>
      <c r="I439" s="23">
        <f t="shared" si="595"/>
        <v>0.01357466063</v>
      </c>
      <c r="J439" s="36">
        <f>SUMIFS('Campaign - Dump'!$U:$U,'Campaign - Dump'!$J:$J,'Portfolio Wise '!$B439,'Campaign - Dump'!$A:$A,'Portfolio Wise '!$A439)</f>
        <v>23350.84</v>
      </c>
      <c r="K439" s="23">
        <f t="shared" si="596"/>
        <v>0.2851550522</v>
      </c>
      <c r="L439" s="38">
        <f t="shared" si="597"/>
        <v>3.506864045</v>
      </c>
      <c r="M439" s="41">
        <f t="shared" si="598"/>
        <v>3891.806667</v>
      </c>
      <c r="N439" s="13">
        <f t="shared" si="624"/>
        <v>3</v>
      </c>
      <c r="O439" s="36">
        <f t="shared" si="625"/>
        <v>-5561.856949</v>
      </c>
      <c r="P439" s="41">
        <f t="shared" si="599"/>
        <v>-1853.952316</v>
      </c>
      <c r="Q439" s="13">
        <f>SUMIFS('Business - Dump'!$W:$W,'Business - Dump'!$B:$B,'Portfolio Wise '!$B439,'Business - Dump'!$A:$A,'Portfolio Wise '!$A439)</f>
        <v>9</v>
      </c>
      <c r="R439" s="36">
        <f>SUMIFS('Business - Dump'!$U:$U,'Business - Dump'!$B:$B,'Portfolio Wise '!$B439,'Business - Dump'!$A:$A,'Portfolio Wise '!$A439)/1.18</f>
        <v>17788.98305</v>
      </c>
      <c r="S439" s="41">
        <f t="shared" si="600"/>
        <v>1976.553672</v>
      </c>
      <c r="T439" s="201">
        <f t="shared" si="601"/>
        <v>0.3743108856</v>
      </c>
      <c r="U439" s="38">
        <f t="shared" si="602"/>
        <v>2.671576057</v>
      </c>
      <c r="V439" s="41">
        <f>SUMIFS('Business - Dump'!$G:$G,'Business - Dump'!$B:$B,'Portfolio Wise '!$B439,'Business - Dump'!$A:$A,'Portfolio Wise '!$A439)</f>
        <v>729</v>
      </c>
      <c r="W439" s="48">
        <f t="shared" si="603"/>
        <v>0.01234567901</v>
      </c>
      <c r="X439" s="23">
        <f t="shared" ref="X439:Y439" si="633">IFERROR(N439/Q439,0)</f>
        <v>0.3333333333</v>
      </c>
      <c r="Y439" s="49">
        <f t="shared" si="633"/>
        <v>-0.3126573865</v>
      </c>
      <c r="Z439" s="49">
        <f t="shared" si="605"/>
        <v>0.6666666667</v>
      </c>
      <c r="AA439" s="23">
        <f t="shared" si="606"/>
        <v>-0.3126573865</v>
      </c>
      <c r="AB439" s="23">
        <f>IFERROR(AVERAGEIFS('Business - Dump'!$O:$O,'Business - Dump'!$B:$B,'Portfolio Wise '!$B439,'Business - Dump'!$A:$A,'Portfolio Wise '!$A439),0)</f>
        <v>0.99745</v>
      </c>
      <c r="AC439" s="49">
        <f>F439/SUMIFS('Campaign - Dump'!$Q:$Q,'Campaign - Dump'!$A:$A,'Portfolio Wise '!$A439)</f>
        <v>0.009078358485</v>
      </c>
      <c r="AD439" s="49">
        <f t="shared" si="607"/>
        <v>0.5</v>
      </c>
    </row>
    <row r="440" ht="15.75" customHeight="1">
      <c r="A440" s="200">
        <v>45772.0</v>
      </c>
      <c r="B440" s="19" t="s">
        <v>248</v>
      </c>
      <c r="C440" s="13">
        <f>SUMIFS('Campaign - Dump'!$N:$N,'Campaign - Dump'!$J:$J,'Portfolio Wise '!$B440,'Campaign - Dump'!$A:$A,'Portfolio Wise '!$A440)</f>
        <v>0</v>
      </c>
      <c r="D440" s="13">
        <f>SUMIFS('Campaign - Dump'!$O:$O,'Campaign - Dump'!$J:$J,'Portfolio Wise '!$B440,'Campaign - Dump'!$A:$A,'Portfolio Wise '!$A440)</f>
        <v>0</v>
      </c>
      <c r="E440" s="23">
        <f t="shared" si="593"/>
        <v>0</v>
      </c>
      <c r="F440" s="36">
        <f>SUMIFS('Campaign - Dump'!$Q:$Q,'Campaign - Dump'!$J:$J,'Portfolio Wise '!$B440,'Campaign - Dump'!$A:$A,'Portfolio Wise '!$A440)</f>
        <v>0</v>
      </c>
      <c r="G440" s="38">
        <f t="shared" si="594"/>
        <v>0</v>
      </c>
      <c r="H440" s="41">
        <f>SUMIFS('Campaign - Dump'!$T:$T,'Campaign - Dump'!$J:$J,'Portfolio Wise '!$B440,'Campaign - Dump'!$A:$A,'Portfolio Wise '!$A440)</f>
        <v>0</v>
      </c>
      <c r="I440" s="23">
        <f t="shared" si="595"/>
        <v>0</v>
      </c>
      <c r="J440" s="36">
        <f>SUMIFS('Campaign - Dump'!$U:$U,'Campaign - Dump'!$J:$J,'Portfolio Wise '!$B440,'Campaign - Dump'!$A:$A,'Portfolio Wise '!$A440)</f>
        <v>0</v>
      </c>
      <c r="K440" s="23">
        <f t="shared" si="596"/>
        <v>0</v>
      </c>
      <c r="L440" s="38">
        <f t="shared" si="597"/>
        <v>0</v>
      </c>
      <c r="M440" s="41">
        <f t="shared" si="598"/>
        <v>0</v>
      </c>
      <c r="N440" s="13">
        <f t="shared" si="624"/>
        <v>0</v>
      </c>
      <c r="O440" s="36">
        <f t="shared" si="625"/>
        <v>0</v>
      </c>
      <c r="P440" s="41">
        <f t="shared" si="599"/>
        <v>0</v>
      </c>
      <c r="Q440" s="13">
        <f>SUMIFS('Business - Dump'!$W:$W,'Business - Dump'!$B:$B,'Portfolio Wise '!$B440,'Business - Dump'!$A:$A,'Portfolio Wise '!$A440)</f>
        <v>0</v>
      </c>
      <c r="R440" s="36">
        <f>SUMIFS('Business - Dump'!$U:$U,'Business - Dump'!$B:$B,'Portfolio Wise '!$B440,'Business - Dump'!$A:$A,'Portfolio Wise '!$A440)/1.18</f>
        <v>0</v>
      </c>
      <c r="S440" s="41">
        <f t="shared" si="600"/>
        <v>0</v>
      </c>
      <c r="T440" s="23">
        <f t="shared" si="601"/>
        <v>0</v>
      </c>
      <c r="U440" s="38">
        <f t="shared" si="602"/>
        <v>0</v>
      </c>
      <c r="V440" s="41">
        <f>SUMIFS('Business - Dump'!$G:$G,'Business - Dump'!$B:$B,'Portfolio Wise '!$B440,'Business - Dump'!$A:$A,'Portfolio Wise '!$A440)</f>
        <v>17</v>
      </c>
      <c r="W440" s="48">
        <f t="shared" si="603"/>
        <v>0</v>
      </c>
      <c r="X440" s="23">
        <f t="shared" ref="X440:Y440" si="634">IFERROR(N440/Q440,0)</f>
        <v>0</v>
      </c>
      <c r="Y440" s="49">
        <f t="shared" si="634"/>
        <v>0</v>
      </c>
      <c r="Z440" s="49">
        <f t="shared" si="605"/>
        <v>0</v>
      </c>
      <c r="AA440" s="23">
        <f t="shared" si="606"/>
        <v>0</v>
      </c>
      <c r="AB440" s="23">
        <f>IFERROR(AVERAGEIFS('Business - Dump'!$O:$O,'Business - Dump'!$B:$B,'Portfolio Wise '!$B440,'Business - Dump'!$A:$A,'Portfolio Wise '!$A440),0)</f>
        <v>0.8077</v>
      </c>
      <c r="AC440" s="49">
        <f>F440/SUMIFS('Campaign - Dump'!$Q:$Q,'Campaign - Dump'!$A:$A,'Portfolio Wise '!$A440)</f>
        <v>0</v>
      </c>
      <c r="AD440" s="49">
        <f t="shared" si="607"/>
        <v>0</v>
      </c>
    </row>
    <row r="441" ht="15.75" customHeight="1">
      <c r="A441" s="200">
        <v>45772.0</v>
      </c>
      <c r="B441" s="19" t="s">
        <v>321</v>
      </c>
      <c r="C441" s="13">
        <f>SUMIFS('Campaign - Dump'!$N:$N,'Campaign - Dump'!$J:$J,'Portfolio Wise '!$B441,'Campaign - Dump'!$A:$A,'Portfolio Wise '!$A441)</f>
        <v>32889</v>
      </c>
      <c r="D441" s="13">
        <f>SUMIFS('Campaign - Dump'!$O:$O,'Campaign - Dump'!$J:$J,'Portfolio Wise '!$B441,'Campaign - Dump'!$A:$A,'Portfolio Wise '!$A441)</f>
        <v>236</v>
      </c>
      <c r="E441" s="23">
        <f t="shared" si="593"/>
        <v>0.007175651434</v>
      </c>
      <c r="F441" s="36">
        <f>SUMIFS('Campaign - Dump'!$Q:$Q,'Campaign - Dump'!$J:$J,'Portfolio Wise '!$B441,'Campaign - Dump'!$A:$A,'Portfolio Wise '!$A441)</f>
        <v>1266.08</v>
      </c>
      <c r="G441" s="38">
        <f t="shared" si="594"/>
        <v>5.364745763</v>
      </c>
      <c r="H441" s="41">
        <f>SUMIFS('Campaign - Dump'!$T:$T,'Campaign - Dump'!$J:$J,'Portfolio Wise '!$B441,'Campaign - Dump'!$A:$A,'Portfolio Wise '!$A441)</f>
        <v>4</v>
      </c>
      <c r="I441" s="23">
        <f t="shared" si="595"/>
        <v>0.01694915254</v>
      </c>
      <c r="J441" s="36">
        <f>SUMIFS('Campaign - Dump'!$U:$U,'Campaign - Dump'!$J:$J,'Portfolio Wise '!$B441,'Campaign - Dump'!$A:$A,'Portfolio Wise '!$A441)</f>
        <v>3810.17</v>
      </c>
      <c r="K441" s="23">
        <f t="shared" si="596"/>
        <v>0.3322896354</v>
      </c>
      <c r="L441" s="38">
        <f t="shared" si="597"/>
        <v>3.009422785</v>
      </c>
      <c r="M441" s="41">
        <f t="shared" si="598"/>
        <v>952.5425</v>
      </c>
      <c r="N441" s="13">
        <f t="shared" si="624"/>
        <v>10</v>
      </c>
      <c r="O441" s="36">
        <f t="shared" si="625"/>
        <v>2576.270678</v>
      </c>
      <c r="P441" s="41">
        <f t="shared" si="599"/>
        <v>257.6270678</v>
      </c>
      <c r="Q441" s="13">
        <f>SUMIFS('Business - Dump'!$W:$W,'Business - Dump'!$B:$B,'Portfolio Wise '!$B441,'Business - Dump'!$A:$A,'Portfolio Wise '!$A441)</f>
        <v>14</v>
      </c>
      <c r="R441" s="36">
        <f>SUMIFS('Business - Dump'!$U:$U,'Business - Dump'!$B:$B,'Portfolio Wise '!$B441,'Business - Dump'!$A:$A,'Portfolio Wise '!$A441)/1.18</f>
        <v>6386.440678</v>
      </c>
      <c r="S441" s="41">
        <f t="shared" si="600"/>
        <v>456.1743341</v>
      </c>
      <c r="T441" s="23">
        <f t="shared" si="601"/>
        <v>0.1982450106</v>
      </c>
      <c r="U441" s="38">
        <f t="shared" si="602"/>
        <v>5.044263141</v>
      </c>
      <c r="V441" s="41">
        <f>SUMIFS('Business - Dump'!$G:$G,'Business - Dump'!$B:$B,'Portfolio Wise '!$B441,'Business - Dump'!$A:$A,'Portfolio Wise '!$A441)</f>
        <v>464</v>
      </c>
      <c r="W441" s="48">
        <f t="shared" si="603"/>
        <v>0.03017241379</v>
      </c>
      <c r="X441" s="23">
        <f t="shared" ref="X441:Y441" si="635">IFERROR(N441/Q441,0)</f>
        <v>0.7142857143</v>
      </c>
      <c r="Y441" s="49">
        <f t="shared" si="635"/>
        <v>0.403396948</v>
      </c>
      <c r="Z441" s="49">
        <f t="shared" si="605"/>
        <v>0.2857142857</v>
      </c>
      <c r="AA441" s="23">
        <f t="shared" si="606"/>
        <v>0.403396948</v>
      </c>
      <c r="AB441" s="23">
        <f>IFERROR(AVERAGEIFS('Business - Dump'!$O:$O,'Business - Dump'!$B:$B,'Portfolio Wise '!$B441,'Business - Dump'!$A:$A,'Portfolio Wise '!$A441),0)</f>
        <v>0.9849</v>
      </c>
      <c r="AC441" s="49">
        <f>F441/SUMIFS('Campaign - Dump'!$Q:$Q,'Campaign - Dump'!$A:$A,'Portfolio Wise '!$A441)</f>
        <v>0.001726175299</v>
      </c>
      <c r="AD441" s="49">
        <f t="shared" si="607"/>
        <v>2.5</v>
      </c>
    </row>
    <row r="442" ht="15.75" customHeight="1">
      <c r="A442" s="200">
        <v>45772.0</v>
      </c>
      <c r="B442" s="19" t="s">
        <v>1247</v>
      </c>
      <c r="C442" s="13">
        <f>SUMIFS('Campaign - Dump'!$N:$N,'Campaign - Dump'!$J:$J,'Portfolio Wise '!$B442,'Campaign - Dump'!$A:$A,'Portfolio Wise '!$A442)</f>
        <v>44649</v>
      </c>
      <c r="D442" s="13">
        <f>SUMIFS('Campaign - Dump'!$O:$O,'Campaign - Dump'!$J:$J,'Portfolio Wise '!$B442,'Campaign - Dump'!$A:$A,'Portfolio Wise '!$A442)</f>
        <v>69</v>
      </c>
      <c r="E442" s="23">
        <f t="shared" si="593"/>
        <v>0.001545387355</v>
      </c>
      <c r="F442" s="36">
        <f>SUMIFS('Campaign - Dump'!$Q:$Q,'Campaign - Dump'!$J:$J,'Portfolio Wise '!$B442,'Campaign - Dump'!$A:$A,'Portfolio Wise '!$A442)</f>
        <v>460.22</v>
      </c>
      <c r="G442" s="38">
        <f t="shared" si="594"/>
        <v>6.669855072</v>
      </c>
      <c r="H442" s="41">
        <f>SUMIFS('Campaign - Dump'!$T:$T,'Campaign - Dump'!$J:$J,'Portfolio Wise '!$B442,'Campaign - Dump'!$A:$A,'Portfolio Wise '!$A442)</f>
        <v>1</v>
      </c>
      <c r="I442" s="23">
        <f t="shared" si="595"/>
        <v>0.01449275362</v>
      </c>
      <c r="J442" s="36">
        <f>SUMIFS('Campaign - Dump'!$U:$U,'Campaign - Dump'!$J:$J,'Portfolio Wise '!$B442,'Campaign - Dump'!$A:$A,'Portfolio Wise '!$A442)</f>
        <v>2118.64</v>
      </c>
      <c r="K442" s="23">
        <f t="shared" si="596"/>
        <v>0.2172242571</v>
      </c>
      <c r="L442" s="38">
        <f t="shared" si="597"/>
        <v>4.603537439</v>
      </c>
      <c r="M442" s="41">
        <f t="shared" si="598"/>
        <v>2118.64</v>
      </c>
      <c r="N442" s="13">
        <f t="shared" si="624"/>
        <v>-1</v>
      </c>
      <c r="O442" s="36">
        <f t="shared" si="625"/>
        <v>-2118.64</v>
      </c>
      <c r="P442" s="41">
        <f t="shared" si="599"/>
        <v>2118.64</v>
      </c>
      <c r="Q442" s="13">
        <f>SUMIFS('Business - Dump'!$W:$W,'Business - Dump'!$B:$B,'Portfolio Wise '!$B442,'Business - Dump'!$A:$A,'Portfolio Wise '!$A442)</f>
        <v>0</v>
      </c>
      <c r="R442" s="36">
        <f>SUMIFS('Business - Dump'!$U:$U,'Business - Dump'!$B:$B,'Portfolio Wise '!$B442,'Business - Dump'!$A:$A,'Portfolio Wise '!$A442)/1.18</f>
        <v>0</v>
      </c>
      <c r="S442" s="41">
        <f t="shared" si="600"/>
        <v>0</v>
      </c>
      <c r="T442" s="23">
        <f t="shared" si="601"/>
        <v>0</v>
      </c>
      <c r="U442" s="38">
        <f t="shared" si="602"/>
        <v>0</v>
      </c>
      <c r="V442" s="41">
        <f>SUMIFS('Business - Dump'!$G:$G,'Business - Dump'!$B:$B,'Portfolio Wise '!$B442,'Business - Dump'!$A:$A,'Portfolio Wise '!$A442)</f>
        <v>0</v>
      </c>
      <c r="W442" s="48">
        <f t="shared" si="603"/>
        <v>0</v>
      </c>
      <c r="X442" s="23">
        <f t="shared" ref="X442:Y442" si="636">IFERROR(N442/Q442,0)</f>
        <v>0</v>
      </c>
      <c r="Y442" s="49">
        <f t="shared" si="636"/>
        <v>0</v>
      </c>
      <c r="Z442" s="49">
        <f t="shared" si="605"/>
        <v>0</v>
      </c>
      <c r="AA442" s="23">
        <f t="shared" si="606"/>
        <v>0</v>
      </c>
      <c r="AB442" s="23">
        <f>IFERROR(AVERAGEIFS('Business - Dump'!$O:$O,'Business - Dump'!$B:$B,'Portfolio Wise '!$B442,'Business - Dump'!$A:$A,'Portfolio Wise '!$A442),0)</f>
        <v>0</v>
      </c>
      <c r="AC442" s="49">
        <f>F442/SUMIFS('Campaign - Dump'!$Q:$Q,'Campaign - Dump'!$A:$A,'Portfolio Wise '!$A442)</f>
        <v>0.0006274646123</v>
      </c>
      <c r="AD442" s="49">
        <f t="shared" si="607"/>
        <v>-1</v>
      </c>
    </row>
    <row r="443" ht="15.75" customHeight="1">
      <c r="A443" s="210">
        <v>45772.0</v>
      </c>
      <c r="B443" s="146" t="s">
        <v>1377</v>
      </c>
      <c r="C443" s="127">
        <f t="shared" ref="C443:D443" si="637">SUM(C418:C441)</f>
        <v>9490645</v>
      </c>
      <c r="D443" s="127">
        <f t="shared" si="637"/>
        <v>40173</v>
      </c>
      <c r="E443" s="62">
        <f t="shared" si="593"/>
        <v>0.00423290514</v>
      </c>
      <c r="F443" s="128">
        <f>SUM(F418:F441)</f>
        <v>730474.45</v>
      </c>
      <c r="G443" s="129">
        <f t="shared" si="594"/>
        <v>18.18321883</v>
      </c>
      <c r="H443" s="130">
        <f>SUM(H418:H441)</f>
        <v>284</v>
      </c>
      <c r="I443" s="62">
        <f t="shared" si="595"/>
        <v>0.007069424738</v>
      </c>
      <c r="J443" s="128">
        <f>SUM(J418:J441)</f>
        <v>2818829.92</v>
      </c>
      <c r="K443" s="62">
        <f t="shared" si="596"/>
        <v>0.2591410162</v>
      </c>
      <c r="L443" s="129">
        <f t="shared" si="597"/>
        <v>3.858902827</v>
      </c>
      <c r="M443" s="130">
        <f t="shared" si="598"/>
        <v>9925.457465</v>
      </c>
      <c r="N443" s="127">
        <f t="shared" ref="N443:O443" si="638">SUM(N418:N441)</f>
        <v>217</v>
      </c>
      <c r="O443" s="128">
        <f t="shared" si="638"/>
        <v>2849304.426</v>
      </c>
      <c r="P443" s="130">
        <f t="shared" si="599"/>
        <v>13130.43514</v>
      </c>
      <c r="Q443" s="127">
        <f t="shared" ref="Q443:R443" si="639">SUM(Q418:Q441)</f>
        <v>431</v>
      </c>
      <c r="R443" s="128">
        <f t="shared" si="639"/>
        <v>4391312.246</v>
      </c>
      <c r="S443" s="130">
        <f t="shared" si="600"/>
        <v>10188.6595</v>
      </c>
      <c r="T443" s="62">
        <f t="shared" si="601"/>
        <v>0.1663453677</v>
      </c>
      <c r="U443" s="129">
        <f t="shared" si="602"/>
        <v>6.011589106</v>
      </c>
      <c r="V443" s="130">
        <f>SUM(V418:V441)</f>
        <v>64434</v>
      </c>
      <c r="W443" s="131">
        <f t="shared" si="603"/>
        <v>0.006689015116</v>
      </c>
      <c r="X443" s="62">
        <f t="shared" ref="X443:Y443" si="640">IFERROR(N443/Q443,0)</f>
        <v>0.5034802784</v>
      </c>
      <c r="Y443" s="132">
        <f t="shared" si="640"/>
        <v>0.6488503359</v>
      </c>
      <c r="Z443" s="132">
        <f t="shared" si="605"/>
        <v>0.6589327146</v>
      </c>
      <c r="AA443" s="62">
        <f t="shared" si="606"/>
        <v>0.6488503359</v>
      </c>
      <c r="AB443" s="62">
        <f>IFERROR(AVERAGEIFS('Business - Dump'!$O:$O,'Business - Dump'!$B:$B,'Portfolio Wise '!$B443,'Business - Dump'!$A:$A,'Portfolio Wise '!$A443),0)</f>
        <v>0</v>
      </c>
      <c r="AC443" s="132">
        <f>F443/SUMIFS('Campaign - Dump'!$Q:$Q,'Campaign - Dump'!$A:$A,'Portfolio Wise '!$A443)</f>
        <v>0.9959299195</v>
      </c>
      <c r="AD443" s="132">
        <f t="shared" si="607"/>
        <v>0.764084507</v>
      </c>
    </row>
    <row r="444" ht="15.75" customHeight="1"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209"/>
      <c r="P444" s="155"/>
      <c r="Q444" s="155"/>
      <c r="R444" s="209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</row>
    <row r="445" ht="15.75" customHeight="1">
      <c r="A445" s="211" t="s">
        <v>464</v>
      </c>
      <c r="B445" s="68" t="s">
        <v>90</v>
      </c>
      <c r="C445" s="41">
        <f t="shared" ref="C445:C469" si="641">IFERROR(D445/E445,0)</f>
        <v>214700.3303</v>
      </c>
      <c r="D445" s="41">
        <f t="shared" ref="D445:D469" si="642">IFERROR(F445/G445,0)</f>
        <v>605.8624172</v>
      </c>
      <c r="E445" s="23">
        <v>0.002821897927920664</v>
      </c>
      <c r="F445" s="36">
        <f t="shared" ref="F445:F469" si="643">IFERROR($F$470*AC445,0)</f>
        <v>16470</v>
      </c>
      <c r="G445" s="38">
        <v>27.18438961038961</v>
      </c>
      <c r="H445" s="41">
        <f t="shared" ref="H445:H469" si="644">IFERROR(D445*I445,0)</f>
        <v>7.868343081</v>
      </c>
      <c r="I445" s="23">
        <v>0.012987012987012988</v>
      </c>
      <c r="J445" s="36">
        <f t="shared" ref="J445:J469" si="645">IFERROR(M445*H445,0)</f>
        <v>115153.8619</v>
      </c>
      <c r="K445" s="23">
        <f t="shared" ref="K445:K469" si="646">IFERROR(F445/J445,0)</f>
        <v>0.1430260325</v>
      </c>
      <c r="L445" s="38">
        <f t="shared" ref="L445:L469" si="647">IFERROR(J445/F445,0)</f>
        <v>6.991734179</v>
      </c>
      <c r="M445" s="41">
        <v>14635.083999999999</v>
      </c>
      <c r="N445" s="41">
        <f t="shared" ref="N445:N469" si="648">IFERROR(H445*X445,0)</f>
        <v>0</v>
      </c>
      <c r="O445" s="36">
        <f t="shared" ref="O445:O469" si="649">IFERROR(N445*P445,0)</f>
        <v>0</v>
      </c>
      <c r="P445" s="41">
        <v>0.0</v>
      </c>
      <c r="Q445" s="41">
        <f t="shared" ref="Q445:Q469" si="650">IFERROR(H445+N445,0)</f>
        <v>7.868343081</v>
      </c>
      <c r="R445" s="36">
        <f t="shared" ref="R445:R469" si="651">IFERROR(Q445*S445,0)</f>
        <v>0</v>
      </c>
      <c r="S445" s="41">
        <v>0.0</v>
      </c>
      <c r="T445" s="23">
        <f t="shared" ref="T445:T470" si="652">IFERROR(F445/R445,0)</f>
        <v>0</v>
      </c>
      <c r="U445" s="38">
        <f t="shared" ref="U445:U470" si="653">IFERROR(R445/F445,0)</f>
        <v>0</v>
      </c>
      <c r="V445" s="41"/>
      <c r="W445" s="48"/>
      <c r="X445" s="23">
        <v>0.0</v>
      </c>
      <c r="Y445" s="49">
        <v>0.0</v>
      </c>
      <c r="Z445" s="49">
        <v>0.0</v>
      </c>
      <c r="AA445" s="23">
        <v>0.0</v>
      </c>
      <c r="AB445" s="23">
        <v>0.0</v>
      </c>
      <c r="AC445" s="23">
        <v>0.0183</v>
      </c>
      <c r="AD445" s="49">
        <v>0.0</v>
      </c>
    </row>
    <row r="446" ht="15.75" customHeight="1">
      <c r="A446" s="211" t="s">
        <v>464</v>
      </c>
      <c r="B446" s="68" t="s">
        <v>110</v>
      </c>
      <c r="C446" s="41">
        <f t="shared" si="641"/>
        <v>0</v>
      </c>
      <c r="D446" s="41">
        <f t="shared" si="642"/>
        <v>0</v>
      </c>
      <c r="E446" s="23">
        <v>0.0</v>
      </c>
      <c r="F446" s="36">
        <f t="shared" si="643"/>
        <v>0</v>
      </c>
      <c r="G446" s="38">
        <v>0.0</v>
      </c>
      <c r="H446" s="41">
        <f t="shared" si="644"/>
        <v>0</v>
      </c>
      <c r="I446" s="23">
        <v>0.0</v>
      </c>
      <c r="J446" s="36">
        <f t="shared" si="645"/>
        <v>0</v>
      </c>
      <c r="K446" s="23">
        <f t="shared" si="646"/>
        <v>0</v>
      </c>
      <c r="L446" s="38">
        <f t="shared" si="647"/>
        <v>0</v>
      </c>
      <c r="M446" s="41">
        <v>0.0</v>
      </c>
      <c r="N446" s="41">
        <f t="shared" si="648"/>
        <v>0</v>
      </c>
      <c r="O446" s="36">
        <f t="shared" si="649"/>
        <v>0</v>
      </c>
      <c r="P446" s="41">
        <v>0.0</v>
      </c>
      <c r="Q446" s="41">
        <f t="shared" si="650"/>
        <v>0</v>
      </c>
      <c r="R446" s="36">
        <f t="shared" si="651"/>
        <v>0</v>
      </c>
      <c r="S446" s="41">
        <v>0.0</v>
      </c>
      <c r="T446" s="23">
        <f t="shared" si="652"/>
        <v>0</v>
      </c>
      <c r="U446" s="38">
        <f t="shared" si="653"/>
        <v>0</v>
      </c>
      <c r="V446" s="41"/>
      <c r="W446" s="48"/>
      <c r="X446" s="23">
        <v>0.0</v>
      </c>
      <c r="Y446" s="49">
        <v>0.0</v>
      </c>
      <c r="Z446" s="49">
        <v>0.0</v>
      </c>
      <c r="AA446" s="23">
        <v>0.0</v>
      </c>
      <c r="AB446" s="23">
        <v>0.0</v>
      </c>
      <c r="AC446" s="23">
        <v>0.0</v>
      </c>
      <c r="AD446" s="49">
        <v>0.0</v>
      </c>
    </row>
    <row r="447" ht="15.75" customHeight="1">
      <c r="A447" s="211" t="s">
        <v>464</v>
      </c>
      <c r="B447" s="68" t="s">
        <v>119</v>
      </c>
      <c r="C447" s="41">
        <f t="shared" si="641"/>
        <v>44915.66874</v>
      </c>
      <c r="D447" s="41">
        <f t="shared" si="642"/>
        <v>603.7908243</v>
      </c>
      <c r="E447" s="23">
        <v>0.013442765992256094</v>
      </c>
      <c r="F447" s="36">
        <f t="shared" si="643"/>
        <v>2520</v>
      </c>
      <c r="G447" s="38">
        <v>4.173630831643002</v>
      </c>
      <c r="H447" s="41">
        <f t="shared" si="644"/>
        <v>3.674183515</v>
      </c>
      <c r="I447" s="23">
        <v>0.006085192697768763</v>
      </c>
      <c r="J447" s="36">
        <f t="shared" si="645"/>
        <v>56576.19226</v>
      </c>
      <c r="K447" s="23">
        <f t="shared" si="646"/>
        <v>0.04454170384</v>
      </c>
      <c r="L447" s="38">
        <f t="shared" si="647"/>
        <v>22.45086995</v>
      </c>
      <c r="M447" s="41">
        <v>15398.303333333335</v>
      </c>
      <c r="N447" s="41">
        <f t="shared" si="648"/>
        <v>2.755637636</v>
      </c>
      <c r="O447" s="36">
        <f t="shared" si="649"/>
        <v>7469.025088</v>
      </c>
      <c r="P447" s="41">
        <v>2710.4525612052726</v>
      </c>
      <c r="Q447" s="41">
        <f t="shared" si="650"/>
        <v>6.429821151</v>
      </c>
      <c r="R447" s="36">
        <f t="shared" si="651"/>
        <v>37822.87802</v>
      </c>
      <c r="S447" s="41">
        <v>5882.415254237288</v>
      </c>
      <c r="T447" s="23">
        <f t="shared" si="652"/>
        <v>0.06662634183</v>
      </c>
      <c r="U447" s="38">
        <f t="shared" si="653"/>
        <v>15.00907858</v>
      </c>
      <c r="V447" s="41"/>
      <c r="W447" s="48"/>
      <c r="X447" s="23">
        <v>0.75</v>
      </c>
      <c r="Y447" s="49">
        <v>0.34557904075874896</v>
      </c>
      <c r="Z447" s="49">
        <v>0.25</v>
      </c>
      <c r="AA447" s="23">
        <v>0.34557904075874896</v>
      </c>
      <c r="AB447" s="23">
        <v>0.8280200000000001</v>
      </c>
      <c r="AC447" s="23">
        <v>0.0028</v>
      </c>
      <c r="AD447" s="49">
        <v>3.0</v>
      </c>
    </row>
    <row r="448" ht="15.75" customHeight="1">
      <c r="A448" s="211" t="s">
        <v>464</v>
      </c>
      <c r="B448" s="68" t="s">
        <v>413</v>
      </c>
      <c r="C448" s="41">
        <f t="shared" si="641"/>
        <v>1951886.582</v>
      </c>
      <c r="D448" s="41">
        <f t="shared" si="642"/>
        <v>15541.55849</v>
      </c>
      <c r="E448" s="23">
        <v>0.00796232661967945</v>
      </c>
      <c r="F448" s="36">
        <f t="shared" si="643"/>
        <v>222300</v>
      </c>
      <c r="G448" s="38">
        <v>14.303584816506536</v>
      </c>
      <c r="H448" s="41">
        <f t="shared" si="644"/>
        <v>30.59843772</v>
      </c>
      <c r="I448" s="23">
        <v>0.0019688139864545598</v>
      </c>
      <c r="J448" s="36">
        <f t="shared" si="645"/>
        <v>447360.5543</v>
      </c>
      <c r="K448" s="23">
        <f t="shared" si="646"/>
        <v>0.4969146203</v>
      </c>
      <c r="L448" s="38">
        <f t="shared" si="647"/>
        <v>2.012418148</v>
      </c>
      <c r="M448" s="41">
        <v>14620.3724</v>
      </c>
      <c r="N448" s="41">
        <f t="shared" si="648"/>
        <v>17.84908867</v>
      </c>
      <c r="O448" s="36">
        <f t="shared" si="649"/>
        <v>257593.235</v>
      </c>
      <c r="P448" s="41">
        <v>14431.730368038741</v>
      </c>
      <c r="Q448" s="41">
        <f t="shared" si="650"/>
        <v>48.44752639</v>
      </c>
      <c r="R448" s="36">
        <f t="shared" si="651"/>
        <v>702989.6545</v>
      </c>
      <c r="S448" s="41">
        <v>14510.331214689266</v>
      </c>
      <c r="T448" s="23">
        <f t="shared" si="652"/>
        <v>0.3162208698</v>
      </c>
      <c r="U448" s="38">
        <f t="shared" si="653"/>
        <v>3.162346624</v>
      </c>
      <c r="V448" s="41"/>
      <c r="W448" s="48"/>
      <c r="X448" s="23">
        <v>0.5833333333333334</v>
      </c>
      <c r="Y448" s="49">
        <v>0.580173481693761</v>
      </c>
      <c r="Z448" s="49">
        <v>0.4166666666666667</v>
      </c>
      <c r="AA448" s="23">
        <v>0.580173481693761</v>
      </c>
      <c r="AB448" s="23">
        <v>0.8848666666666668</v>
      </c>
      <c r="AC448" s="23">
        <v>0.247</v>
      </c>
      <c r="AD448" s="49">
        <v>1.4</v>
      </c>
    </row>
    <row r="449" ht="15.75" customHeight="1">
      <c r="A449" s="211" t="s">
        <v>464</v>
      </c>
      <c r="B449" s="68" t="s">
        <v>128</v>
      </c>
      <c r="C449" s="41">
        <f t="shared" si="641"/>
        <v>1432961.392</v>
      </c>
      <c r="D449" s="41">
        <f t="shared" si="642"/>
        <v>4649.624092</v>
      </c>
      <c r="E449" s="23">
        <v>0.0032447657818472906</v>
      </c>
      <c r="F449" s="36">
        <f t="shared" si="643"/>
        <v>157950</v>
      </c>
      <c r="G449" s="38">
        <v>33.97048812664907</v>
      </c>
      <c r="H449" s="41">
        <f t="shared" si="644"/>
        <v>58.88705974</v>
      </c>
      <c r="I449" s="62">
        <v>0.012664907651715039</v>
      </c>
      <c r="J449" s="36">
        <f t="shared" si="645"/>
        <v>1134774.706</v>
      </c>
      <c r="K449" s="23">
        <f t="shared" si="646"/>
        <v>0.1391906246</v>
      </c>
      <c r="L449" s="38">
        <f t="shared" si="647"/>
        <v>7.184391931</v>
      </c>
      <c r="M449" s="41">
        <v>19270.357708333333</v>
      </c>
      <c r="N449" s="41">
        <f t="shared" si="648"/>
        <v>0</v>
      </c>
      <c r="O449" s="36">
        <f t="shared" si="649"/>
        <v>0</v>
      </c>
      <c r="P449" s="41">
        <v>0.0</v>
      </c>
      <c r="Q449" s="41">
        <f t="shared" si="650"/>
        <v>58.88705974</v>
      </c>
      <c r="R449" s="36">
        <f t="shared" si="651"/>
        <v>0</v>
      </c>
      <c r="S449" s="41">
        <v>0.0</v>
      </c>
      <c r="T449" s="23">
        <f t="shared" si="652"/>
        <v>0</v>
      </c>
      <c r="U449" s="38">
        <f t="shared" si="653"/>
        <v>0</v>
      </c>
      <c r="V449" s="41"/>
      <c r="W449" s="48"/>
      <c r="X449" s="23">
        <v>0.0</v>
      </c>
      <c r="Y449" s="49">
        <v>0.0</v>
      </c>
      <c r="Z449" s="49">
        <v>0.0</v>
      </c>
      <c r="AA449" s="23">
        <v>0.0</v>
      </c>
      <c r="AB449" s="23">
        <v>0.0</v>
      </c>
      <c r="AC449" s="23">
        <v>0.1755</v>
      </c>
      <c r="AD449" s="49">
        <v>0.0</v>
      </c>
    </row>
    <row r="450" ht="15.75" customHeight="1">
      <c r="A450" s="211" t="s">
        <v>464</v>
      </c>
      <c r="B450" s="68" t="s">
        <v>134</v>
      </c>
      <c r="C450" s="41">
        <f t="shared" si="641"/>
        <v>2563602.108</v>
      </c>
      <c r="D450" s="41">
        <f t="shared" si="642"/>
        <v>6178.625715</v>
      </c>
      <c r="E450" s="23">
        <v>0.0024101344334317614</v>
      </c>
      <c r="F450" s="36">
        <f t="shared" si="643"/>
        <v>101790</v>
      </c>
      <c r="G450" s="38">
        <v>16.474537331215252</v>
      </c>
      <c r="H450" s="41">
        <f t="shared" si="644"/>
        <v>14.72269829</v>
      </c>
      <c r="I450" s="23">
        <v>0.0023828435266084196</v>
      </c>
      <c r="J450" s="36">
        <f t="shared" si="645"/>
        <v>260108.3154</v>
      </c>
      <c r="K450" s="23">
        <f t="shared" si="646"/>
        <v>0.39133697</v>
      </c>
      <c r="L450" s="38">
        <f t="shared" si="647"/>
        <v>2.555342523</v>
      </c>
      <c r="M450" s="41">
        <v>17667.163333333334</v>
      </c>
      <c r="N450" s="41">
        <f t="shared" si="648"/>
        <v>9.674916018</v>
      </c>
      <c r="O450" s="36">
        <f t="shared" si="649"/>
        <v>183546.0783</v>
      </c>
      <c r="P450" s="41">
        <v>18971.335563743545</v>
      </c>
      <c r="Q450" s="41">
        <f t="shared" si="650"/>
        <v>24.39761431</v>
      </c>
      <c r="R450" s="36">
        <f t="shared" si="651"/>
        <v>451946.0625</v>
      </c>
      <c r="S450" s="41">
        <v>18524.190799031472</v>
      </c>
      <c r="T450" s="23">
        <f t="shared" si="652"/>
        <v>0.2252259914</v>
      </c>
      <c r="U450" s="38">
        <f t="shared" si="653"/>
        <v>4.439984895</v>
      </c>
      <c r="V450" s="130"/>
      <c r="W450" s="62"/>
      <c r="X450" s="23">
        <v>0.6571428571428571</v>
      </c>
      <c r="Y450" s="49">
        <v>0.6730052498069796</v>
      </c>
      <c r="Z450" s="49">
        <v>0.34285714285714286</v>
      </c>
      <c r="AA450" s="23">
        <v>0.6730052498069796</v>
      </c>
      <c r="AB450" s="23">
        <v>0.8310888888888889</v>
      </c>
      <c r="AC450" s="23">
        <v>0.1131</v>
      </c>
      <c r="AD450" s="49">
        <v>1.9166666666666667</v>
      </c>
    </row>
    <row r="451" ht="15.75" customHeight="1">
      <c r="A451" s="211" t="s">
        <v>464</v>
      </c>
      <c r="B451" s="68" t="s">
        <v>140</v>
      </c>
      <c r="C451" s="41">
        <f t="shared" si="641"/>
        <v>273819.0518</v>
      </c>
      <c r="D451" s="41">
        <f t="shared" si="642"/>
        <v>787.4143626</v>
      </c>
      <c r="E451" s="23">
        <v>0.002875674126099654</v>
      </c>
      <c r="F451" s="36">
        <f t="shared" si="643"/>
        <v>45630</v>
      </c>
      <c r="G451" s="38">
        <v>57.94915887850468</v>
      </c>
      <c r="H451" s="41">
        <f t="shared" si="644"/>
        <v>3.679506367</v>
      </c>
      <c r="I451" s="23">
        <v>0.004672897196261682</v>
      </c>
      <c r="J451" s="36">
        <f t="shared" si="645"/>
        <v>59972.83847</v>
      </c>
      <c r="K451" s="23">
        <f t="shared" si="646"/>
        <v>0.7608444283</v>
      </c>
      <c r="L451" s="38">
        <f t="shared" si="647"/>
        <v>1.314329136</v>
      </c>
      <c r="M451" s="41">
        <v>16299.153333333334</v>
      </c>
      <c r="N451" s="41">
        <f t="shared" si="648"/>
        <v>3.098531678</v>
      </c>
      <c r="O451" s="36">
        <f t="shared" si="649"/>
        <v>96245.16926</v>
      </c>
      <c r="P451" s="41">
        <v>31061.541165254235</v>
      </c>
      <c r="Q451" s="41">
        <f t="shared" si="650"/>
        <v>6.778038045</v>
      </c>
      <c r="R451" s="36">
        <f t="shared" si="651"/>
        <v>194737.3562</v>
      </c>
      <c r="S451" s="41">
        <v>28730.637823371988</v>
      </c>
      <c r="T451" s="23">
        <f t="shared" si="652"/>
        <v>0.2343155976</v>
      </c>
      <c r="U451" s="38">
        <f t="shared" si="653"/>
        <v>4.267748328</v>
      </c>
      <c r="V451" s="41"/>
      <c r="W451" s="23"/>
      <c r="X451" s="23">
        <v>0.8421052631578947</v>
      </c>
      <c r="Y451" s="49">
        <v>0.9104248731915641</v>
      </c>
      <c r="Z451" s="49">
        <v>0.15789473684210525</v>
      </c>
      <c r="AA451" s="23">
        <v>0.9104248731915641</v>
      </c>
      <c r="AB451" s="23">
        <v>0.9042125</v>
      </c>
      <c r="AC451" s="23">
        <v>0.0507</v>
      </c>
      <c r="AD451" s="49">
        <v>5.333333333333333</v>
      </c>
    </row>
    <row r="452" ht="15.75" customHeight="1">
      <c r="A452" s="211" t="s">
        <v>464</v>
      </c>
      <c r="B452" s="68" t="s">
        <v>152</v>
      </c>
      <c r="C452" s="41">
        <f t="shared" si="641"/>
        <v>161079.7532</v>
      </c>
      <c r="D452" s="41">
        <f t="shared" si="642"/>
        <v>740.4224221</v>
      </c>
      <c r="E452" s="23">
        <v>0.004596620043083832</v>
      </c>
      <c r="F452" s="36">
        <f t="shared" si="643"/>
        <v>19260</v>
      </c>
      <c r="G452" s="38">
        <v>26.012178217821784</v>
      </c>
      <c r="H452" s="41">
        <f t="shared" si="644"/>
        <v>3.665457535</v>
      </c>
      <c r="I452" s="23">
        <v>0.0049504950495049506</v>
      </c>
      <c r="J452" s="36">
        <f t="shared" si="645"/>
        <v>56245.10188</v>
      </c>
      <c r="K452" s="23">
        <f t="shared" si="646"/>
        <v>0.342429818</v>
      </c>
      <c r="L452" s="38">
        <f t="shared" si="647"/>
        <v>2.920306432</v>
      </c>
      <c r="M452" s="41">
        <v>15344.633333333333</v>
      </c>
      <c r="N452" s="41">
        <f t="shared" si="648"/>
        <v>0</v>
      </c>
      <c r="O452" s="36">
        <f t="shared" si="649"/>
        <v>0</v>
      </c>
      <c r="P452" s="41">
        <v>0.0</v>
      </c>
      <c r="Q452" s="41">
        <f t="shared" si="650"/>
        <v>3.665457535</v>
      </c>
      <c r="R452" s="36">
        <f t="shared" si="651"/>
        <v>47015.9851</v>
      </c>
      <c r="S452" s="41">
        <v>12826.77118644068</v>
      </c>
      <c r="T452" s="23">
        <f t="shared" si="652"/>
        <v>0.4096479093</v>
      </c>
      <c r="U452" s="38">
        <f t="shared" si="653"/>
        <v>2.441120722</v>
      </c>
      <c r="V452" s="41"/>
      <c r="W452" s="48"/>
      <c r="X452" s="23">
        <v>0.0</v>
      </c>
      <c r="Y452" s="49">
        <v>-0.1962974243708592</v>
      </c>
      <c r="Z452" s="49">
        <v>1.0</v>
      </c>
      <c r="AA452" s="23">
        <v>-0.1962974243708592</v>
      </c>
      <c r="AB452" s="23">
        <v>0.9623</v>
      </c>
      <c r="AC452" s="23">
        <v>0.0214</v>
      </c>
      <c r="AD452" s="49">
        <v>0.0</v>
      </c>
    </row>
    <row r="453" ht="15.75" customHeight="1">
      <c r="A453" s="211" t="s">
        <v>464</v>
      </c>
      <c r="B453" s="68" t="s">
        <v>158</v>
      </c>
      <c r="C453" s="41">
        <f t="shared" si="641"/>
        <v>644792.0006</v>
      </c>
      <c r="D453" s="41">
        <f t="shared" si="642"/>
        <v>2475.284554</v>
      </c>
      <c r="E453" s="23">
        <v>0.0038388884344449877</v>
      </c>
      <c r="F453" s="36">
        <f t="shared" si="643"/>
        <v>24480</v>
      </c>
      <c r="G453" s="38">
        <v>9.889772051536173</v>
      </c>
      <c r="H453" s="41">
        <f t="shared" si="644"/>
        <v>36.79808554</v>
      </c>
      <c r="I453" s="23">
        <v>0.014866204162537165</v>
      </c>
      <c r="J453" s="36">
        <f t="shared" si="645"/>
        <v>112648.9734</v>
      </c>
      <c r="K453" s="23">
        <f t="shared" si="646"/>
        <v>0.2173122333</v>
      </c>
      <c r="L453" s="38">
        <f t="shared" si="647"/>
        <v>4.601673752</v>
      </c>
      <c r="M453" s="41">
        <v>3061.2726666666667</v>
      </c>
      <c r="N453" s="41">
        <f t="shared" si="648"/>
        <v>13.30994583</v>
      </c>
      <c r="O453" s="36">
        <f t="shared" si="649"/>
        <v>33256.91513</v>
      </c>
      <c r="P453" s="41">
        <v>2498.6514257228314</v>
      </c>
      <c r="Q453" s="41">
        <f t="shared" si="650"/>
        <v>50.10803137</v>
      </c>
      <c r="R453" s="36">
        <f t="shared" si="651"/>
        <v>143197.2973</v>
      </c>
      <c r="S453" s="41">
        <v>2857.7713667508115</v>
      </c>
      <c r="T453" s="23">
        <f t="shared" si="652"/>
        <v>0.1709529472</v>
      </c>
      <c r="U453" s="38">
        <f t="shared" si="653"/>
        <v>5.849562798</v>
      </c>
      <c r="V453" s="41"/>
      <c r="W453" s="48"/>
      <c r="X453" s="23">
        <v>0.3617021276595745</v>
      </c>
      <c r="Y453" s="49">
        <v>0.3162490699846049</v>
      </c>
      <c r="Z453" s="49">
        <v>0.6382978723404256</v>
      </c>
      <c r="AA453" s="23">
        <v>0.3162490699846049</v>
      </c>
      <c r="AB453" s="23">
        <v>0.9813000000000001</v>
      </c>
      <c r="AC453" s="23">
        <v>0.0272</v>
      </c>
      <c r="AD453" s="49">
        <v>0.5666666666666667</v>
      </c>
    </row>
    <row r="454" ht="15.75" customHeight="1">
      <c r="A454" s="211" t="s">
        <v>464</v>
      </c>
      <c r="B454" s="68" t="s">
        <v>170</v>
      </c>
      <c r="C454" s="41">
        <f t="shared" si="641"/>
        <v>0</v>
      </c>
      <c r="D454" s="41">
        <f t="shared" si="642"/>
        <v>0</v>
      </c>
      <c r="E454" s="23">
        <v>0.0</v>
      </c>
      <c r="F454" s="36">
        <f t="shared" si="643"/>
        <v>0</v>
      </c>
      <c r="G454" s="38">
        <v>0.0</v>
      </c>
      <c r="H454" s="41">
        <f t="shared" si="644"/>
        <v>0</v>
      </c>
      <c r="I454" s="23">
        <v>0.0</v>
      </c>
      <c r="J454" s="36">
        <f t="shared" si="645"/>
        <v>0</v>
      </c>
      <c r="K454" s="23">
        <f t="shared" si="646"/>
        <v>0</v>
      </c>
      <c r="L454" s="38">
        <f t="shared" si="647"/>
        <v>0</v>
      </c>
      <c r="M454" s="41">
        <v>0.0</v>
      </c>
      <c r="N454" s="41">
        <f t="shared" si="648"/>
        <v>0</v>
      </c>
      <c r="O454" s="36">
        <f t="shared" si="649"/>
        <v>0</v>
      </c>
      <c r="P454" s="41">
        <v>0.0</v>
      </c>
      <c r="Q454" s="41">
        <f t="shared" si="650"/>
        <v>0</v>
      </c>
      <c r="R454" s="36">
        <f t="shared" si="651"/>
        <v>0</v>
      </c>
      <c r="S454" s="41">
        <v>0.0</v>
      </c>
      <c r="T454" s="23">
        <f t="shared" si="652"/>
        <v>0</v>
      </c>
      <c r="U454" s="38">
        <f t="shared" si="653"/>
        <v>0</v>
      </c>
      <c r="V454" s="41"/>
      <c r="W454" s="48"/>
      <c r="X454" s="23">
        <v>0.0</v>
      </c>
      <c r="Y454" s="49">
        <v>0.0</v>
      </c>
      <c r="Z454" s="49">
        <v>0.0</v>
      </c>
      <c r="AA454" s="23">
        <v>0.0</v>
      </c>
      <c r="AB454" s="23">
        <v>0.0</v>
      </c>
      <c r="AC454" s="23">
        <v>0.0</v>
      </c>
      <c r="AD454" s="49">
        <v>0.0</v>
      </c>
    </row>
    <row r="455" ht="15.75" customHeight="1">
      <c r="A455" s="211" t="s">
        <v>464</v>
      </c>
      <c r="B455" s="68" t="s">
        <v>176</v>
      </c>
      <c r="C455" s="41">
        <f t="shared" si="641"/>
        <v>600048.188</v>
      </c>
      <c r="D455" s="41">
        <f t="shared" si="642"/>
        <v>1516.436246</v>
      </c>
      <c r="E455" s="23">
        <v>0.002527190776366071</v>
      </c>
      <c r="F455" s="36">
        <f t="shared" si="643"/>
        <v>35640</v>
      </c>
      <c r="G455" s="38">
        <v>23.502471728594504</v>
      </c>
      <c r="H455" s="41">
        <f t="shared" si="644"/>
        <v>14.69889738</v>
      </c>
      <c r="I455" s="23">
        <v>0.009693053311793215</v>
      </c>
      <c r="J455" s="36">
        <f t="shared" si="645"/>
        <v>263977.1428</v>
      </c>
      <c r="K455" s="23">
        <f t="shared" si="646"/>
        <v>0.1350116894</v>
      </c>
      <c r="L455" s="38">
        <f t="shared" si="647"/>
        <v>7.406766071</v>
      </c>
      <c r="M455" s="41">
        <v>17958.975833333334</v>
      </c>
      <c r="N455" s="41">
        <f t="shared" si="648"/>
        <v>8.819338426</v>
      </c>
      <c r="O455" s="36">
        <f t="shared" si="649"/>
        <v>172721.89</v>
      </c>
      <c r="P455" s="41">
        <v>19584.44972693033</v>
      </c>
      <c r="Q455" s="41">
        <f t="shared" si="650"/>
        <v>23.5182358</v>
      </c>
      <c r="R455" s="36">
        <f t="shared" si="651"/>
        <v>445300.3954</v>
      </c>
      <c r="S455" s="41">
        <v>18934.26016949153</v>
      </c>
      <c r="T455" s="23">
        <f t="shared" si="652"/>
        <v>0.08003585976</v>
      </c>
      <c r="U455" s="38">
        <f t="shared" si="653"/>
        <v>12.49439942</v>
      </c>
      <c r="V455" s="41"/>
      <c r="W455" s="48"/>
      <c r="X455" s="23">
        <v>0.6</v>
      </c>
      <c r="Y455" s="49">
        <v>0.620603590051639</v>
      </c>
      <c r="Z455" s="49">
        <v>0.4</v>
      </c>
      <c r="AA455" s="23">
        <v>0.620603590051639</v>
      </c>
      <c r="AB455" s="23">
        <v>0.8947777777777779</v>
      </c>
      <c r="AC455" s="23">
        <v>0.0396</v>
      </c>
      <c r="AD455" s="49">
        <v>1.5</v>
      </c>
    </row>
    <row r="456" ht="15.75" customHeight="1">
      <c r="A456" s="211" t="s">
        <v>464</v>
      </c>
      <c r="B456" s="68" t="s">
        <v>182</v>
      </c>
      <c r="C456" s="41">
        <f t="shared" si="641"/>
        <v>260723.0589</v>
      </c>
      <c r="D456" s="41">
        <f t="shared" si="642"/>
        <v>361.8529992</v>
      </c>
      <c r="E456" s="23">
        <v>0.0013878826086547418</v>
      </c>
      <c r="F456" s="36">
        <f t="shared" si="643"/>
        <v>9630</v>
      </c>
      <c r="G456" s="38">
        <v>26.61301694915254</v>
      </c>
      <c r="H456" s="41">
        <f t="shared" si="644"/>
        <v>3.679861009</v>
      </c>
      <c r="I456" s="23">
        <v>0.010169491525423728</v>
      </c>
      <c r="J456" s="36">
        <f t="shared" si="645"/>
        <v>106975.841</v>
      </c>
      <c r="K456" s="23">
        <f t="shared" si="646"/>
        <v>0.09002032522</v>
      </c>
      <c r="L456" s="38">
        <f t="shared" si="647"/>
        <v>11.10860239</v>
      </c>
      <c r="M456" s="41">
        <v>29070.62</v>
      </c>
      <c r="N456" s="41">
        <f t="shared" si="648"/>
        <v>2.575902706</v>
      </c>
      <c r="O456" s="36">
        <f t="shared" si="649"/>
        <v>71141.76904</v>
      </c>
      <c r="P456" s="41">
        <v>27618.189491525427</v>
      </c>
      <c r="Q456" s="41">
        <f t="shared" si="650"/>
        <v>6.255763714</v>
      </c>
      <c r="R456" s="36">
        <f t="shared" si="651"/>
        <v>175498.6863</v>
      </c>
      <c r="S456" s="41">
        <v>28053.918644067795</v>
      </c>
      <c r="T456" s="23">
        <f t="shared" si="652"/>
        <v>0.05487220562</v>
      </c>
      <c r="U456" s="38">
        <f t="shared" si="653"/>
        <v>18.22416265</v>
      </c>
      <c r="V456" s="41"/>
      <c r="W456" s="23"/>
      <c r="X456" s="23">
        <v>0.7</v>
      </c>
      <c r="Y456" s="49">
        <v>0.6891277075887523</v>
      </c>
      <c r="Z456" s="49">
        <v>0.3</v>
      </c>
      <c r="AA456" s="23">
        <v>0.6891277075887523</v>
      </c>
      <c r="AB456" s="23">
        <v>0.8712777777777778</v>
      </c>
      <c r="AC456" s="23">
        <v>0.0107</v>
      </c>
      <c r="AD456" s="49">
        <v>2.3333333333333335</v>
      </c>
    </row>
    <row r="457" ht="15.75" customHeight="1">
      <c r="A457" s="211" t="s">
        <v>464</v>
      </c>
      <c r="B457" s="68" t="s">
        <v>196</v>
      </c>
      <c r="C457" s="41">
        <f t="shared" si="641"/>
        <v>1309342.452</v>
      </c>
      <c r="D457" s="41">
        <f t="shared" si="642"/>
        <v>5180.320029</v>
      </c>
      <c r="E457" s="23">
        <v>0.003956428681202934</v>
      </c>
      <c r="F457" s="36">
        <f t="shared" si="643"/>
        <v>120330</v>
      </c>
      <c r="G457" s="38">
        <v>23.22829464708669</v>
      </c>
      <c r="H457" s="41">
        <f t="shared" si="644"/>
        <v>20.85870215</v>
      </c>
      <c r="I457" s="23">
        <v>0.004026527711984841</v>
      </c>
      <c r="J457" s="36">
        <f t="shared" si="645"/>
        <v>341922.6064</v>
      </c>
      <c r="K457" s="23">
        <f t="shared" si="646"/>
        <v>0.3519217441</v>
      </c>
      <c r="L457" s="38">
        <f t="shared" si="647"/>
        <v>2.841540816</v>
      </c>
      <c r="M457" s="41">
        <v>16392.32411764706</v>
      </c>
      <c r="N457" s="41">
        <f t="shared" si="648"/>
        <v>0</v>
      </c>
      <c r="O457" s="36">
        <f t="shared" si="649"/>
        <v>0</v>
      </c>
      <c r="P457" s="41">
        <v>0.0</v>
      </c>
      <c r="Q457" s="41">
        <f t="shared" si="650"/>
        <v>20.85870215</v>
      </c>
      <c r="R457" s="36">
        <f t="shared" si="651"/>
        <v>0</v>
      </c>
      <c r="S457" s="41">
        <v>0.0</v>
      </c>
      <c r="T457" s="23">
        <f t="shared" si="652"/>
        <v>0</v>
      </c>
      <c r="U457" s="38">
        <f t="shared" si="653"/>
        <v>0</v>
      </c>
      <c r="V457" s="41"/>
      <c r="W457" s="48"/>
      <c r="X457" s="23">
        <v>0.0</v>
      </c>
      <c r="Y457" s="49">
        <v>0.0</v>
      </c>
      <c r="Z457" s="49">
        <v>0.0</v>
      </c>
      <c r="AA457" s="23">
        <v>0.0</v>
      </c>
      <c r="AB457" s="23">
        <v>0.0</v>
      </c>
      <c r="AC457" s="23">
        <v>0.1337</v>
      </c>
      <c r="AD457" s="49">
        <v>0.0</v>
      </c>
    </row>
    <row r="458" ht="15.75" customHeight="1">
      <c r="A458" s="211" t="s">
        <v>464</v>
      </c>
      <c r="B458" s="68" t="s">
        <v>205</v>
      </c>
      <c r="C458" s="41">
        <f t="shared" si="641"/>
        <v>274970.7829</v>
      </c>
      <c r="D458" s="41">
        <f t="shared" si="642"/>
        <v>324.9100744</v>
      </c>
      <c r="E458" s="23">
        <v>0.0011816167192077371</v>
      </c>
      <c r="F458" s="36">
        <f t="shared" si="643"/>
        <v>18270</v>
      </c>
      <c r="G458" s="38">
        <v>56.23094339622641</v>
      </c>
      <c r="H458" s="41">
        <f t="shared" si="644"/>
        <v>0</v>
      </c>
      <c r="I458" s="23">
        <v>0.0</v>
      </c>
      <c r="J458" s="36">
        <f t="shared" si="645"/>
        <v>0</v>
      </c>
      <c r="K458" s="23">
        <f t="shared" si="646"/>
        <v>0</v>
      </c>
      <c r="L458" s="38">
        <f t="shared" si="647"/>
        <v>0</v>
      </c>
      <c r="M458" s="41">
        <v>0.0</v>
      </c>
      <c r="N458" s="41">
        <f t="shared" si="648"/>
        <v>0</v>
      </c>
      <c r="O458" s="36">
        <f t="shared" si="649"/>
        <v>0</v>
      </c>
      <c r="P458" s="41">
        <v>32728.95045632334</v>
      </c>
      <c r="Q458" s="41">
        <f t="shared" si="650"/>
        <v>0</v>
      </c>
      <c r="R458" s="36">
        <f t="shared" si="651"/>
        <v>0</v>
      </c>
      <c r="S458" s="41">
        <v>32728.95045632334</v>
      </c>
      <c r="T458" s="23">
        <f t="shared" si="652"/>
        <v>0</v>
      </c>
      <c r="U458" s="38">
        <f t="shared" si="653"/>
        <v>0</v>
      </c>
      <c r="V458" s="41"/>
      <c r="W458" s="48"/>
      <c r="X458" s="23">
        <v>1.0</v>
      </c>
      <c r="Y458" s="49">
        <v>1.0</v>
      </c>
      <c r="Z458" s="49">
        <v>0.0</v>
      </c>
      <c r="AA458" s="23">
        <v>1.0</v>
      </c>
      <c r="AB458" s="23">
        <v>0.8463222222222222</v>
      </c>
      <c r="AC458" s="23">
        <v>0.0203</v>
      </c>
      <c r="AD458" s="49">
        <v>0.0</v>
      </c>
    </row>
    <row r="459" ht="15.75" customHeight="1">
      <c r="A459" s="211" t="s">
        <v>464</v>
      </c>
      <c r="B459" s="68" t="s">
        <v>211</v>
      </c>
      <c r="C459" s="41">
        <f t="shared" si="641"/>
        <v>841803.3171</v>
      </c>
      <c r="D459" s="41">
        <f t="shared" si="642"/>
        <v>5902.164848</v>
      </c>
      <c r="E459" s="23">
        <v>0.007011334748233318</v>
      </c>
      <c r="F459" s="36">
        <f t="shared" si="643"/>
        <v>42490.97316</v>
      </c>
      <c r="G459" s="38">
        <v>7.1992182952182935</v>
      </c>
      <c r="H459" s="41">
        <f t="shared" si="644"/>
        <v>105.5272717</v>
      </c>
      <c r="I459" s="23">
        <v>0.01787941787941788</v>
      </c>
      <c r="J459" s="36">
        <f t="shared" si="645"/>
        <v>268305.2971</v>
      </c>
      <c r="K459" s="23">
        <f t="shared" si="646"/>
        <v>0.1583679995</v>
      </c>
      <c r="L459" s="38">
        <f t="shared" si="647"/>
        <v>6.31440697</v>
      </c>
      <c r="M459" s="41">
        <v>2542.520930232558</v>
      </c>
      <c r="N459" s="41">
        <f t="shared" si="648"/>
        <v>36.24982616</v>
      </c>
      <c r="O459" s="36">
        <f t="shared" si="649"/>
        <v>15084.96306</v>
      </c>
      <c r="P459" s="41">
        <v>416.13890772128104</v>
      </c>
      <c r="Q459" s="41">
        <f t="shared" si="650"/>
        <v>141.7770979</v>
      </c>
      <c r="R459" s="36">
        <f t="shared" si="651"/>
        <v>256912.0613</v>
      </c>
      <c r="S459" s="41">
        <v>1812.0843576141804</v>
      </c>
      <c r="T459" s="23">
        <f t="shared" si="652"/>
        <v>0.1653911184</v>
      </c>
      <c r="U459" s="38">
        <f t="shared" si="653"/>
        <v>6.046273885</v>
      </c>
      <c r="V459" s="41"/>
      <c r="W459" s="48"/>
      <c r="X459" s="23">
        <v>0.3435114503816794</v>
      </c>
      <c r="Y459" s="49">
        <v>0.07888621694179479</v>
      </c>
      <c r="Z459" s="49">
        <v>0.6564885496183206</v>
      </c>
      <c r="AA459" s="23">
        <v>0.07888621694179479</v>
      </c>
      <c r="AB459" s="23">
        <v>0.9738</v>
      </c>
      <c r="AC459" s="23">
        <v>0.04721219239737633</v>
      </c>
      <c r="AD459" s="49">
        <v>0.5232558139534884</v>
      </c>
    </row>
    <row r="460" ht="15.75" customHeight="1">
      <c r="A460" s="211" t="s">
        <v>464</v>
      </c>
      <c r="B460" s="68" t="s">
        <v>217</v>
      </c>
      <c r="C460" s="41">
        <f t="shared" si="641"/>
        <v>364783.2371</v>
      </c>
      <c r="D460" s="41">
        <f t="shared" si="642"/>
        <v>2195.212664</v>
      </c>
      <c r="E460" s="23">
        <v>0.006017855100544265</v>
      </c>
      <c r="F460" s="36">
        <f t="shared" si="643"/>
        <v>12302.72518</v>
      </c>
      <c r="G460" s="38">
        <v>5.604343208496366</v>
      </c>
      <c r="H460" s="41">
        <f t="shared" si="644"/>
        <v>24.54122598</v>
      </c>
      <c r="I460" s="23">
        <v>0.011179429849077696</v>
      </c>
      <c r="J460" s="36">
        <f t="shared" si="645"/>
        <v>66760.49095</v>
      </c>
      <c r="K460" s="23">
        <f t="shared" si="646"/>
        <v>0.1842815265</v>
      </c>
      <c r="L460" s="38">
        <f t="shared" si="647"/>
        <v>5.426479902</v>
      </c>
      <c r="M460" s="41">
        <v>2720.3405</v>
      </c>
      <c r="N460" s="41">
        <f t="shared" si="648"/>
        <v>0</v>
      </c>
      <c r="O460" s="36">
        <f t="shared" si="649"/>
        <v>0</v>
      </c>
      <c r="P460" s="41">
        <v>0.0</v>
      </c>
      <c r="Q460" s="41">
        <f t="shared" si="650"/>
        <v>24.54122598</v>
      </c>
      <c r="R460" s="36">
        <f t="shared" si="651"/>
        <v>22336.67517</v>
      </c>
      <c r="S460" s="41">
        <v>910.1694915254238</v>
      </c>
      <c r="T460" s="23">
        <f t="shared" si="652"/>
        <v>0.5507858752</v>
      </c>
      <c r="U460" s="38">
        <f t="shared" si="653"/>
        <v>1.81558759</v>
      </c>
      <c r="V460" s="41"/>
      <c r="W460" s="48"/>
      <c r="X460" s="23">
        <v>0.0</v>
      </c>
      <c r="Y460" s="49">
        <v>-1.9888284823091245</v>
      </c>
      <c r="Z460" s="49">
        <v>1.0</v>
      </c>
      <c r="AA460" s="23">
        <v>-1.9888284823091245</v>
      </c>
      <c r="AB460" s="23">
        <v>0.9928</v>
      </c>
      <c r="AC460" s="23">
        <v>0.013669694649476923</v>
      </c>
      <c r="AD460" s="49">
        <v>0.0</v>
      </c>
    </row>
    <row r="461" ht="15.75" customHeight="1">
      <c r="A461" s="211" t="s">
        <v>464</v>
      </c>
      <c r="B461" s="68" t="s">
        <v>230</v>
      </c>
      <c r="C461" s="41">
        <f t="shared" si="641"/>
        <v>434400.5599</v>
      </c>
      <c r="D461" s="41">
        <f t="shared" si="642"/>
        <v>890.8465031</v>
      </c>
      <c r="E461" s="23">
        <v>0.0020507489753316933</v>
      </c>
      <c r="F461" s="36">
        <f t="shared" si="643"/>
        <v>38061.64999</v>
      </c>
      <c r="G461" s="38">
        <v>42.725261707988984</v>
      </c>
      <c r="H461" s="41">
        <f t="shared" si="644"/>
        <v>4.908245196</v>
      </c>
      <c r="I461" s="23">
        <v>0.005509641873278237</v>
      </c>
      <c r="J461" s="36">
        <f t="shared" si="645"/>
        <v>107555.0519</v>
      </c>
      <c r="K461" s="23">
        <f t="shared" si="646"/>
        <v>0.3538806344</v>
      </c>
      <c r="L461" s="38">
        <f t="shared" si="647"/>
        <v>2.825811595</v>
      </c>
      <c r="M461" s="41">
        <v>21913.1375</v>
      </c>
      <c r="N461" s="41">
        <f t="shared" si="648"/>
        <v>3.505889426</v>
      </c>
      <c r="O461" s="36">
        <f t="shared" si="649"/>
        <v>87352.10839</v>
      </c>
      <c r="P461" s="41">
        <v>24915.819576271188</v>
      </c>
      <c r="Q461" s="41">
        <f t="shared" si="650"/>
        <v>8.414134622</v>
      </c>
      <c r="R461" s="36">
        <f t="shared" si="651"/>
        <v>202426.4969</v>
      </c>
      <c r="S461" s="41">
        <v>24057.910411622277</v>
      </c>
      <c r="T461" s="23">
        <f t="shared" si="652"/>
        <v>0.1880270151</v>
      </c>
      <c r="U461" s="38">
        <f t="shared" si="653"/>
        <v>5.3183847</v>
      </c>
      <c r="V461" s="41"/>
      <c r="W461" s="23"/>
      <c r="X461" s="23">
        <v>0.7142857142857143</v>
      </c>
      <c r="Y461" s="49">
        <v>0.7397572639747293</v>
      </c>
      <c r="Z461" s="49">
        <v>0.2857142857142857</v>
      </c>
      <c r="AA461" s="23">
        <v>0.7397572639747293</v>
      </c>
      <c r="AB461" s="23">
        <v>0.9396125</v>
      </c>
      <c r="AC461" s="23">
        <v>0.04229072220724225</v>
      </c>
      <c r="AD461" s="49">
        <v>2.5</v>
      </c>
    </row>
    <row r="462" ht="15.75" customHeight="1">
      <c r="A462" s="211" t="s">
        <v>464</v>
      </c>
      <c r="B462" s="68" t="s">
        <v>232</v>
      </c>
      <c r="C462" s="41">
        <f t="shared" si="641"/>
        <v>0</v>
      </c>
      <c r="D462" s="41">
        <f t="shared" si="642"/>
        <v>0</v>
      </c>
      <c r="E462" s="23">
        <v>0.0</v>
      </c>
      <c r="F462" s="36">
        <f t="shared" si="643"/>
        <v>0</v>
      </c>
      <c r="G462" s="38">
        <v>0.0</v>
      </c>
      <c r="H462" s="41">
        <f t="shared" si="644"/>
        <v>0</v>
      </c>
      <c r="I462" s="23">
        <v>0.0</v>
      </c>
      <c r="J462" s="36">
        <f t="shared" si="645"/>
        <v>0</v>
      </c>
      <c r="K462" s="23">
        <f t="shared" si="646"/>
        <v>0</v>
      </c>
      <c r="L462" s="38">
        <f t="shared" si="647"/>
        <v>0</v>
      </c>
      <c r="M462" s="41">
        <v>0.0</v>
      </c>
      <c r="N462" s="41">
        <f t="shared" si="648"/>
        <v>0</v>
      </c>
      <c r="O462" s="36">
        <f t="shared" si="649"/>
        <v>0</v>
      </c>
      <c r="P462" s="41">
        <v>15983.864406779663</v>
      </c>
      <c r="Q462" s="41">
        <f t="shared" si="650"/>
        <v>0</v>
      </c>
      <c r="R462" s="36">
        <f t="shared" si="651"/>
        <v>0</v>
      </c>
      <c r="S462" s="41">
        <v>15983.864406779663</v>
      </c>
      <c r="T462" s="23">
        <f t="shared" si="652"/>
        <v>0</v>
      </c>
      <c r="U462" s="38">
        <f t="shared" si="653"/>
        <v>0</v>
      </c>
      <c r="V462" s="41"/>
      <c r="W462" s="48"/>
      <c r="X462" s="23">
        <v>1.0</v>
      </c>
      <c r="Y462" s="49">
        <v>1.0</v>
      </c>
      <c r="Z462" s="49">
        <v>0.0</v>
      </c>
      <c r="AA462" s="23">
        <v>1.0</v>
      </c>
      <c r="AB462" s="23">
        <v>0.89962</v>
      </c>
      <c r="AC462" s="23">
        <v>0.0</v>
      </c>
      <c r="AD462" s="49">
        <v>0.0</v>
      </c>
    </row>
    <row r="463" ht="15.75" customHeight="1">
      <c r="A463" s="211" t="s">
        <v>464</v>
      </c>
      <c r="B463" s="68" t="s">
        <v>429</v>
      </c>
      <c r="C463" s="41">
        <f t="shared" si="641"/>
        <v>80896.47026</v>
      </c>
      <c r="D463" s="41">
        <f t="shared" si="642"/>
        <v>591.4435461</v>
      </c>
      <c r="E463" s="23">
        <v>0.007311116841354832</v>
      </c>
      <c r="F463" s="36">
        <f t="shared" si="643"/>
        <v>22295.85105</v>
      </c>
      <c r="G463" s="38">
        <v>37.69734439834025</v>
      </c>
      <c r="H463" s="41">
        <f t="shared" si="644"/>
        <v>3.681183897</v>
      </c>
      <c r="I463" s="23">
        <v>0.006224066390041493</v>
      </c>
      <c r="J463" s="36">
        <f t="shared" si="645"/>
        <v>50225.28777</v>
      </c>
      <c r="K463" s="23">
        <f t="shared" si="646"/>
        <v>0.4439168403</v>
      </c>
      <c r="L463" s="38">
        <f t="shared" si="647"/>
        <v>2.252674171</v>
      </c>
      <c r="M463" s="41">
        <v>13643.786666666667</v>
      </c>
      <c r="N463" s="41">
        <f t="shared" si="648"/>
        <v>2.677224652</v>
      </c>
      <c r="O463" s="36">
        <f t="shared" si="649"/>
        <v>34663.40453</v>
      </c>
      <c r="P463" s="41">
        <v>12947.514322033896</v>
      </c>
      <c r="Q463" s="41">
        <f t="shared" si="650"/>
        <v>6.35840855</v>
      </c>
      <c r="R463" s="36">
        <f t="shared" si="651"/>
        <v>83532.99959</v>
      </c>
      <c r="S463" s="41">
        <v>13137.406779661016</v>
      </c>
      <c r="T463" s="23">
        <f t="shared" si="652"/>
        <v>0.2669106959</v>
      </c>
      <c r="U463" s="38">
        <f t="shared" si="653"/>
        <v>3.746571476</v>
      </c>
      <c r="V463" s="41"/>
      <c r="W463" s="48"/>
      <c r="X463" s="23">
        <v>0.7272727272727273</v>
      </c>
      <c r="Y463" s="49">
        <v>0.7167604847987556</v>
      </c>
      <c r="Z463" s="49">
        <v>0.2727272727272727</v>
      </c>
      <c r="AA463" s="23">
        <v>0.7167604847987556</v>
      </c>
      <c r="AB463" s="23">
        <v>0.8993799999999998</v>
      </c>
      <c r="AC463" s="23">
        <v>0.02477316783421323</v>
      </c>
      <c r="AD463" s="49">
        <v>2.6666666666666665</v>
      </c>
    </row>
    <row r="464" ht="15.75" customHeight="1">
      <c r="A464" s="211" t="s">
        <v>464</v>
      </c>
      <c r="B464" s="68" t="s">
        <v>239</v>
      </c>
      <c r="C464" s="41">
        <f t="shared" si="641"/>
        <v>0</v>
      </c>
      <c r="D464" s="41">
        <f t="shared" si="642"/>
        <v>0</v>
      </c>
      <c r="E464" s="23">
        <v>0.0</v>
      </c>
      <c r="F464" s="36">
        <f t="shared" si="643"/>
        <v>0</v>
      </c>
      <c r="G464" s="38">
        <v>0.0</v>
      </c>
      <c r="H464" s="41">
        <f t="shared" si="644"/>
        <v>0</v>
      </c>
      <c r="I464" s="23">
        <v>0.0</v>
      </c>
      <c r="J464" s="36">
        <f t="shared" si="645"/>
        <v>0</v>
      </c>
      <c r="K464" s="23">
        <f t="shared" si="646"/>
        <v>0</v>
      </c>
      <c r="L464" s="38">
        <f t="shared" si="647"/>
        <v>0</v>
      </c>
      <c r="M464" s="41">
        <v>0.0</v>
      </c>
      <c r="N464" s="41">
        <f t="shared" si="648"/>
        <v>0</v>
      </c>
      <c r="O464" s="36">
        <f t="shared" si="649"/>
        <v>0</v>
      </c>
      <c r="P464" s="41">
        <v>0.0</v>
      </c>
      <c r="Q464" s="41">
        <f t="shared" si="650"/>
        <v>0</v>
      </c>
      <c r="R464" s="36">
        <f t="shared" si="651"/>
        <v>0</v>
      </c>
      <c r="S464" s="41">
        <v>0.0</v>
      </c>
      <c r="T464" s="23">
        <f t="shared" si="652"/>
        <v>0</v>
      </c>
      <c r="U464" s="38">
        <f t="shared" si="653"/>
        <v>0</v>
      </c>
      <c r="V464" s="41"/>
      <c r="W464" s="48"/>
      <c r="X464" s="23">
        <v>0.0</v>
      </c>
      <c r="Y464" s="49">
        <v>0.0</v>
      </c>
      <c r="Z464" s="49">
        <v>0.0</v>
      </c>
      <c r="AA464" s="23">
        <v>0.0</v>
      </c>
      <c r="AB464" s="23">
        <v>0.0</v>
      </c>
      <c r="AC464" s="23">
        <v>0.0</v>
      </c>
      <c r="AD464" s="49">
        <v>0.0</v>
      </c>
    </row>
    <row r="465" ht="15.75" customHeight="1">
      <c r="A465" s="211" t="s">
        <v>464</v>
      </c>
      <c r="B465" s="68" t="s">
        <v>240</v>
      </c>
      <c r="C465" s="41">
        <f t="shared" si="641"/>
        <v>0</v>
      </c>
      <c r="D465" s="41">
        <f t="shared" si="642"/>
        <v>0</v>
      </c>
      <c r="E465" s="23">
        <v>0.0</v>
      </c>
      <c r="F465" s="36">
        <f t="shared" si="643"/>
        <v>0</v>
      </c>
      <c r="G465" s="38">
        <v>0.0</v>
      </c>
      <c r="H465" s="41">
        <f t="shared" si="644"/>
        <v>0</v>
      </c>
      <c r="I465" s="23">
        <v>0.0</v>
      </c>
      <c r="J465" s="36">
        <f t="shared" si="645"/>
        <v>0</v>
      </c>
      <c r="K465" s="23">
        <f t="shared" si="646"/>
        <v>0</v>
      </c>
      <c r="L465" s="38">
        <f t="shared" si="647"/>
        <v>0</v>
      </c>
      <c r="M465" s="41">
        <v>0.0</v>
      </c>
      <c r="N465" s="41">
        <f t="shared" si="648"/>
        <v>0</v>
      </c>
      <c r="O465" s="36">
        <f t="shared" si="649"/>
        <v>0</v>
      </c>
      <c r="P465" s="41">
        <v>0.0</v>
      </c>
      <c r="Q465" s="41">
        <f t="shared" si="650"/>
        <v>0</v>
      </c>
      <c r="R465" s="36">
        <f t="shared" si="651"/>
        <v>0</v>
      </c>
      <c r="S465" s="41">
        <v>0.0</v>
      </c>
      <c r="T465" s="23">
        <f t="shared" si="652"/>
        <v>0</v>
      </c>
      <c r="U465" s="38">
        <f t="shared" si="653"/>
        <v>0</v>
      </c>
      <c r="V465" s="41"/>
      <c r="W465" s="48"/>
      <c r="X465" s="23">
        <v>0.0</v>
      </c>
      <c r="Y465" s="49">
        <v>0.0</v>
      </c>
      <c r="Z465" s="49">
        <v>0.0</v>
      </c>
      <c r="AA465" s="23">
        <v>0.0</v>
      </c>
      <c r="AB465" s="23">
        <v>0.0</v>
      </c>
      <c r="AC465" s="23">
        <v>0.0</v>
      </c>
      <c r="AD465" s="49">
        <v>0.0</v>
      </c>
    </row>
    <row r="466" ht="15.75" customHeight="1">
      <c r="A466" s="211" t="s">
        <v>464</v>
      </c>
      <c r="B466" s="68" t="s">
        <v>241</v>
      </c>
      <c r="C466" s="41">
        <f t="shared" si="641"/>
        <v>189588.3331</v>
      </c>
      <c r="D466" s="41">
        <f t="shared" si="642"/>
        <v>542.3610942</v>
      </c>
      <c r="E466" s="23">
        <v>0.002860730327624817</v>
      </c>
      <c r="F466" s="36">
        <f t="shared" si="643"/>
        <v>8170.522636</v>
      </c>
      <c r="G466" s="38">
        <v>15.06472850678733</v>
      </c>
      <c r="H466" s="41">
        <f t="shared" si="644"/>
        <v>7.362367794</v>
      </c>
      <c r="I466" s="23">
        <v>0.013574660633484163</v>
      </c>
      <c r="J466" s="36">
        <f t="shared" si="645"/>
        <v>28652.91206</v>
      </c>
      <c r="K466" s="23">
        <f t="shared" si="646"/>
        <v>0.2851550522</v>
      </c>
      <c r="L466" s="38">
        <f t="shared" si="647"/>
        <v>3.506864045</v>
      </c>
      <c r="M466" s="41">
        <v>3891.806666666667</v>
      </c>
      <c r="N466" s="41">
        <f t="shared" si="648"/>
        <v>2.454122598</v>
      </c>
      <c r="O466" s="36">
        <f t="shared" si="649"/>
        <v>-4549.826275</v>
      </c>
      <c r="P466" s="41">
        <v>-1853.9523163841804</v>
      </c>
      <c r="Q466" s="41">
        <f t="shared" si="650"/>
        <v>9.816490392</v>
      </c>
      <c r="R466" s="36">
        <f t="shared" si="651"/>
        <v>19402.82013</v>
      </c>
      <c r="S466" s="41">
        <v>1976.5536723163843</v>
      </c>
      <c r="T466" s="23">
        <f t="shared" si="652"/>
        <v>0.4210997463</v>
      </c>
      <c r="U466" s="38">
        <f t="shared" si="653"/>
        <v>2.374734273</v>
      </c>
      <c r="V466" s="41"/>
      <c r="W466" s="48"/>
      <c r="X466" s="23">
        <v>0.3333333333333333</v>
      </c>
      <c r="Y466" s="49">
        <v>-0.3126573864989757</v>
      </c>
      <c r="Z466" s="49">
        <v>0.6666666666666666</v>
      </c>
      <c r="AA466" s="23">
        <v>-0.3126573864989757</v>
      </c>
      <c r="AB466" s="23">
        <v>0.99745</v>
      </c>
      <c r="AC466" s="23">
        <v>0.009078358484840527</v>
      </c>
      <c r="AD466" s="49">
        <v>0.5</v>
      </c>
    </row>
    <row r="467" ht="15.75" customHeight="1">
      <c r="A467" s="211" t="s">
        <v>464</v>
      </c>
      <c r="B467" s="68" t="s">
        <v>248</v>
      </c>
      <c r="C467" s="41">
        <f t="shared" si="641"/>
        <v>0</v>
      </c>
      <c r="D467" s="41">
        <f t="shared" si="642"/>
        <v>0</v>
      </c>
      <c r="E467" s="23">
        <v>0.0</v>
      </c>
      <c r="F467" s="36">
        <f t="shared" si="643"/>
        <v>0</v>
      </c>
      <c r="G467" s="38">
        <v>0.0</v>
      </c>
      <c r="H467" s="41">
        <f t="shared" si="644"/>
        <v>0</v>
      </c>
      <c r="I467" s="23">
        <v>0.0</v>
      </c>
      <c r="J467" s="36">
        <f t="shared" si="645"/>
        <v>0</v>
      </c>
      <c r="K467" s="23">
        <f t="shared" si="646"/>
        <v>0</v>
      </c>
      <c r="L467" s="38">
        <f t="shared" si="647"/>
        <v>0</v>
      </c>
      <c r="M467" s="41">
        <v>0.0</v>
      </c>
      <c r="N467" s="41">
        <f t="shared" si="648"/>
        <v>0</v>
      </c>
      <c r="O467" s="36">
        <f t="shared" si="649"/>
        <v>0</v>
      </c>
      <c r="P467" s="41">
        <v>0.0</v>
      </c>
      <c r="Q467" s="41">
        <f t="shared" si="650"/>
        <v>0</v>
      </c>
      <c r="R467" s="36">
        <f t="shared" si="651"/>
        <v>0</v>
      </c>
      <c r="S467" s="41">
        <v>0.0</v>
      </c>
      <c r="T467" s="23">
        <f t="shared" si="652"/>
        <v>0</v>
      </c>
      <c r="U467" s="38">
        <f t="shared" si="653"/>
        <v>0</v>
      </c>
      <c r="V467" s="41"/>
      <c r="W467" s="48"/>
      <c r="X467" s="23">
        <v>0.0</v>
      </c>
      <c r="Y467" s="49">
        <v>0.0</v>
      </c>
      <c r="Z467" s="49">
        <v>0.0</v>
      </c>
      <c r="AA467" s="23">
        <v>0.0</v>
      </c>
      <c r="AB467" s="23">
        <v>0.8077</v>
      </c>
      <c r="AC467" s="23">
        <v>0.0</v>
      </c>
      <c r="AD467" s="49">
        <v>0.0</v>
      </c>
    </row>
    <row r="468" ht="15.75" customHeight="1">
      <c r="A468" s="211" t="s">
        <v>464</v>
      </c>
      <c r="B468" s="68" t="s">
        <v>321</v>
      </c>
      <c r="C468" s="41">
        <f t="shared" si="641"/>
        <v>40356.81906</v>
      </c>
      <c r="D468" s="41">
        <f t="shared" si="642"/>
        <v>289.5864666</v>
      </c>
      <c r="E468" s="23">
        <v>0.007175651433610022</v>
      </c>
      <c r="F468" s="36">
        <f t="shared" si="643"/>
        <v>1553.557769</v>
      </c>
      <c r="G468" s="38">
        <v>5.364745762711864</v>
      </c>
      <c r="H468" s="41">
        <f t="shared" si="644"/>
        <v>4.908245196</v>
      </c>
      <c r="I468" s="23">
        <v>0.01694915254237288</v>
      </c>
      <c r="J468" s="36">
        <f t="shared" si="645"/>
        <v>4675.31215</v>
      </c>
      <c r="K468" s="23">
        <f t="shared" si="646"/>
        <v>0.3322896354</v>
      </c>
      <c r="L468" s="38">
        <f t="shared" si="647"/>
        <v>3.009422785</v>
      </c>
      <c r="M468" s="41">
        <v>952.5425</v>
      </c>
      <c r="N468" s="41">
        <f t="shared" si="648"/>
        <v>3.505889426</v>
      </c>
      <c r="O468" s="36">
        <f t="shared" si="649"/>
        <v>903.2120128</v>
      </c>
      <c r="P468" s="41">
        <v>257.6270677966102</v>
      </c>
      <c r="Q468" s="41">
        <f t="shared" si="650"/>
        <v>8.414134622</v>
      </c>
      <c r="R468" s="36">
        <f t="shared" si="651"/>
        <v>3838.312259</v>
      </c>
      <c r="S468" s="41">
        <v>456.17433414043586</v>
      </c>
      <c r="T468" s="23">
        <f t="shared" si="652"/>
        <v>0.40475023</v>
      </c>
      <c r="U468" s="38">
        <f t="shared" si="653"/>
        <v>2.470659498</v>
      </c>
      <c r="V468" s="41"/>
      <c r="W468" s="48"/>
      <c r="X468" s="23">
        <v>0.7142857142857143</v>
      </c>
      <c r="Y468" s="49">
        <v>0.4033969479830149</v>
      </c>
      <c r="Z468" s="49">
        <v>0.2857142857142857</v>
      </c>
      <c r="AA468" s="23">
        <v>0.4033969479830149</v>
      </c>
      <c r="AB468" s="23">
        <v>0.9849</v>
      </c>
      <c r="AC468" s="23">
        <v>0.0017261752994223861</v>
      </c>
      <c r="AD468" s="49">
        <v>2.5</v>
      </c>
    </row>
    <row r="469" ht="15.75" customHeight="1">
      <c r="A469" s="211" t="s">
        <v>464</v>
      </c>
      <c r="B469" s="68" t="s">
        <v>1247</v>
      </c>
      <c r="C469" s="41">
        <f t="shared" si="641"/>
        <v>54787.05994</v>
      </c>
      <c r="D469" s="41">
        <f t="shared" si="642"/>
        <v>84.66722963</v>
      </c>
      <c r="E469" s="23">
        <v>0.0015453873546999932</v>
      </c>
      <c r="F469" s="36">
        <f t="shared" si="643"/>
        <v>564.718151</v>
      </c>
      <c r="G469" s="38">
        <v>6.669855072463768</v>
      </c>
      <c r="H469" s="41">
        <f t="shared" si="644"/>
        <v>1.227061299</v>
      </c>
      <c r="I469" s="23">
        <v>0.014492753623188406</v>
      </c>
      <c r="J469" s="36">
        <f t="shared" si="645"/>
        <v>2599.701151</v>
      </c>
      <c r="K469" s="23">
        <f t="shared" si="646"/>
        <v>0.2172242571</v>
      </c>
      <c r="L469" s="38">
        <f t="shared" si="647"/>
        <v>4.603537439</v>
      </c>
      <c r="M469" s="41">
        <v>2118.64</v>
      </c>
      <c r="N469" s="41">
        <f t="shared" si="648"/>
        <v>0</v>
      </c>
      <c r="O469" s="36">
        <f t="shared" si="649"/>
        <v>0</v>
      </c>
      <c r="P469" s="41">
        <v>2118.64</v>
      </c>
      <c r="Q469" s="41">
        <f t="shared" si="650"/>
        <v>1.227061299</v>
      </c>
      <c r="R469" s="36">
        <f t="shared" si="651"/>
        <v>0</v>
      </c>
      <c r="S469" s="41">
        <v>0.0</v>
      </c>
      <c r="T469" s="23">
        <f t="shared" si="652"/>
        <v>0</v>
      </c>
      <c r="U469" s="38">
        <f t="shared" si="653"/>
        <v>0</v>
      </c>
      <c r="V469" s="41"/>
      <c r="W469" s="48"/>
      <c r="X469" s="23">
        <v>0.0</v>
      </c>
      <c r="Y469" s="49">
        <v>0.0</v>
      </c>
      <c r="Z469" s="49">
        <v>0.0</v>
      </c>
      <c r="AA469" s="23">
        <v>0.0</v>
      </c>
      <c r="AB469" s="23">
        <v>0.0</v>
      </c>
      <c r="AC469" s="23">
        <v>6.27464612267922E-4</v>
      </c>
      <c r="AD469" s="49">
        <v>-1.0</v>
      </c>
    </row>
    <row r="470" ht="15.75" customHeight="1">
      <c r="A470" s="212" t="s">
        <v>464</v>
      </c>
      <c r="B470" s="31" t="s">
        <v>1377</v>
      </c>
      <c r="C470" s="130">
        <f t="shared" ref="C470:D470" si="654">SUM(C445:C469)</f>
        <v>11739457.16</v>
      </c>
      <c r="D470" s="130">
        <f t="shared" si="654"/>
        <v>49462.38457</v>
      </c>
      <c r="E470" s="62">
        <f>D470/C470</f>
        <v>0.004213345122</v>
      </c>
      <c r="F470" s="128">
        <v>900000.0</v>
      </c>
      <c r="G470" s="129">
        <f>F470/D470</f>
        <v>18.19564519</v>
      </c>
      <c r="H470" s="130">
        <f>SUM(H445:H469)</f>
        <v>351.2868334</v>
      </c>
      <c r="I470" s="62">
        <f>H470/D470</f>
        <v>0.007102100645</v>
      </c>
      <c r="J470" s="128">
        <f>SUM(J445:J469)</f>
        <v>3484490.186</v>
      </c>
      <c r="K470" s="62">
        <f>F470/J470</f>
        <v>0.2582874257</v>
      </c>
      <c r="L470" s="129">
        <f>J470/F470</f>
        <v>3.871655763</v>
      </c>
      <c r="M470" s="130">
        <f>J470/H470</f>
        <v>9919.216592</v>
      </c>
      <c r="N470" s="130">
        <f t="shared" ref="N470:O470" si="655">SUM(N445:N469)</f>
        <v>106.4763132</v>
      </c>
      <c r="O470" s="128">
        <f t="shared" si="655"/>
        <v>955427.9436</v>
      </c>
      <c r="P470" s="130">
        <f>O470/N470</f>
        <v>8973.150127</v>
      </c>
      <c r="Q470" s="130">
        <f t="shared" ref="Q470:R470" si="656">SUM(Q445:Q469)</f>
        <v>457.7631466</v>
      </c>
      <c r="R470" s="128">
        <f t="shared" si="656"/>
        <v>2786957.681</v>
      </c>
      <c r="S470" s="130">
        <f>R470/Q470</f>
        <v>6088.208938</v>
      </c>
      <c r="T470" s="62">
        <f t="shared" si="652"/>
        <v>0.322932783</v>
      </c>
      <c r="U470" s="129">
        <f t="shared" si="653"/>
        <v>3.096619645</v>
      </c>
      <c r="V470" s="130"/>
      <c r="W470" s="131"/>
      <c r="X470" s="62">
        <f>N470/Q470</f>
        <v>0.2326013224</v>
      </c>
      <c r="Y470" s="132">
        <v>0.648850335913161</v>
      </c>
      <c r="Z470" s="132">
        <v>0.6589327146171694</v>
      </c>
      <c r="AA470" s="62">
        <v>0.648850335913161</v>
      </c>
      <c r="AB470" s="62">
        <v>0.0</v>
      </c>
      <c r="AC470" s="62">
        <f>SUM(AC445:AC469)</f>
        <v>0.9996777755</v>
      </c>
      <c r="AD470" s="132">
        <v>0.7640845070422535</v>
      </c>
    </row>
    <row r="471" ht="15.75" customHeight="1"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209"/>
      <c r="P471" s="155"/>
      <c r="Q471" s="155"/>
      <c r="R471" s="209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</row>
    <row r="472" ht="15.75" customHeight="1"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209"/>
      <c r="P472" s="155"/>
      <c r="Q472" s="155"/>
      <c r="R472" s="209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</row>
    <row r="473" ht="15.75" customHeight="1">
      <c r="C473" s="92">
        <f t="shared" ref="C473:AD473" si="657">C470/C443-1</f>
        <v>0.2369504037</v>
      </c>
      <c r="D473" s="92">
        <f t="shared" si="657"/>
        <v>0.231234525</v>
      </c>
      <c r="E473" s="92">
        <f t="shared" si="657"/>
        <v>-0.004620944134</v>
      </c>
      <c r="F473" s="92">
        <f t="shared" si="657"/>
        <v>0.2320759474</v>
      </c>
      <c r="G473" s="92">
        <f t="shared" si="657"/>
        <v>0.000683397271</v>
      </c>
      <c r="H473" s="92">
        <f t="shared" si="657"/>
        <v>0.2369254697</v>
      </c>
      <c r="I473" s="92">
        <f t="shared" si="657"/>
        <v>0.004622145144</v>
      </c>
      <c r="J473" s="92">
        <f t="shared" si="657"/>
        <v>0.2361477227</v>
      </c>
      <c r="K473" s="92">
        <f t="shared" si="657"/>
        <v>-0.003293922971</v>
      </c>
      <c r="L473" s="92">
        <f t="shared" si="657"/>
        <v>0.003304808757</v>
      </c>
      <c r="M473" s="92">
        <f t="shared" si="657"/>
        <v>-0.0006287743325</v>
      </c>
      <c r="N473" s="92">
        <f t="shared" si="657"/>
        <v>-0.5093257455</v>
      </c>
      <c r="O473" s="92">
        <f t="shared" si="657"/>
        <v>-0.6646802865</v>
      </c>
      <c r="P473" s="92">
        <f t="shared" si="657"/>
        <v>-0.316614413</v>
      </c>
      <c r="Q473" s="92">
        <f t="shared" si="657"/>
        <v>0.06209546782</v>
      </c>
      <c r="R473" s="92">
        <f t="shared" si="657"/>
        <v>-0.3653474122</v>
      </c>
      <c r="S473" s="92">
        <f t="shared" si="657"/>
        <v>-0.4024524094</v>
      </c>
      <c r="T473" s="92">
        <f t="shared" si="657"/>
        <v>0.9413392004</v>
      </c>
      <c r="U473" s="92">
        <f t="shared" si="657"/>
        <v>-0.4848916666</v>
      </c>
      <c r="V473" s="92">
        <f t="shared" si="657"/>
        <v>-1</v>
      </c>
      <c r="W473" s="92">
        <f t="shared" si="657"/>
        <v>-1</v>
      </c>
      <c r="X473" s="92">
        <f t="shared" si="657"/>
        <v>-0.5380130418</v>
      </c>
      <c r="Y473" s="92">
        <f t="shared" si="657"/>
        <v>0</v>
      </c>
      <c r="Z473" s="92">
        <f t="shared" si="657"/>
        <v>0</v>
      </c>
      <c r="AA473" s="92">
        <f t="shared" si="657"/>
        <v>0</v>
      </c>
      <c r="AB473" s="92" t="str">
        <f t="shared" si="657"/>
        <v>#DIV/0!</v>
      </c>
      <c r="AC473" s="92">
        <f t="shared" si="657"/>
        <v>0.003763172424</v>
      </c>
      <c r="AD473" s="92">
        <f t="shared" si="657"/>
        <v>0</v>
      </c>
    </row>
    <row r="474" ht="15.75" customHeight="1"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209"/>
      <c r="P474" s="155"/>
      <c r="Q474" s="155"/>
      <c r="R474" s="209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</row>
    <row r="475" ht="15.75" customHeight="1"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209"/>
      <c r="P475" s="155"/>
      <c r="Q475" s="155"/>
      <c r="R475" s="209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</row>
    <row r="476" ht="15.75" customHeight="1"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209"/>
      <c r="P476" s="155"/>
      <c r="Q476" s="155"/>
      <c r="R476" s="209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</row>
    <row r="477" ht="15.75" customHeight="1"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209"/>
      <c r="P477" s="155"/>
      <c r="Q477" s="155"/>
      <c r="R477" s="209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</row>
    <row r="478" ht="15.75" customHeight="1"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209"/>
      <c r="P478" s="155"/>
      <c r="Q478" s="155"/>
      <c r="R478" s="209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</row>
    <row r="479" ht="15.75" customHeight="1"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209"/>
      <c r="P479" s="155"/>
      <c r="Q479" s="155"/>
      <c r="R479" s="209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</row>
    <row r="480" ht="15.75" customHeight="1"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209"/>
      <c r="P480" s="155"/>
      <c r="Q480" s="155"/>
      <c r="R480" s="209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</row>
    <row r="481" ht="15.75" customHeight="1"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209"/>
      <c r="P481" s="155"/>
      <c r="Q481" s="155"/>
      <c r="R481" s="209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</row>
    <row r="482" ht="15.75" customHeight="1"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209"/>
      <c r="P482" s="155"/>
      <c r="Q482" s="155"/>
      <c r="R482" s="209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</row>
    <row r="483" ht="15.75" customHeight="1"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209"/>
      <c r="P483" s="155"/>
      <c r="Q483" s="155"/>
      <c r="R483" s="209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</row>
    <row r="484" ht="15.75" customHeight="1"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209"/>
      <c r="P484" s="155"/>
      <c r="Q484" s="155"/>
      <c r="R484" s="209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</row>
    <row r="485" ht="15.75" customHeight="1"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209"/>
      <c r="P485" s="155"/>
      <c r="Q485" s="155"/>
      <c r="R485" s="209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</row>
    <row r="486" ht="15.75" customHeight="1"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209"/>
      <c r="P486" s="155"/>
      <c r="Q486" s="155"/>
      <c r="R486" s="209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</row>
    <row r="487" ht="15.75" customHeight="1"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209"/>
      <c r="P487" s="155"/>
      <c r="Q487" s="155"/>
      <c r="R487" s="209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</row>
    <row r="488" ht="15.75" customHeight="1"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209"/>
      <c r="P488" s="155"/>
      <c r="Q488" s="155"/>
      <c r="R488" s="209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</row>
    <row r="489" ht="15.75" customHeight="1"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209"/>
      <c r="P489" s="155"/>
      <c r="Q489" s="155"/>
      <c r="R489" s="209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</row>
    <row r="490" ht="15.75" customHeight="1"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209"/>
      <c r="P490" s="155"/>
      <c r="Q490" s="155"/>
      <c r="R490" s="209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</row>
    <row r="491" ht="15.75" customHeight="1"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209"/>
      <c r="P491" s="155"/>
      <c r="Q491" s="155"/>
      <c r="R491" s="209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</row>
    <row r="492" ht="15.75" customHeight="1"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209"/>
      <c r="P492" s="155"/>
      <c r="Q492" s="155"/>
      <c r="R492" s="209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</row>
    <row r="493" ht="15.75" customHeight="1"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209"/>
      <c r="P493" s="155"/>
      <c r="Q493" s="155"/>
      <c r="R493" s="209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</row>
    <row r="494" ht="15.75" customHeight="1"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209"/>
      <c r="P494" s="155"/>
      <c r="Q494" s="155"/>
      <c r="R494" s="209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</row>
    <row r="495" ht="15.75" customHeight="1"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209"/>
      <c r="P495" s="155"/>
      <c r="Q495" s="155"/>
      <c r="R495" s="209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</row>
    <row r="496" ht="15.75" customHeight="1"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209"/>
      <c r="P496" s="155"/>
      <c r="Q496" s="155"/>
      <c r="R496" s="209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</row>
    <row r="497" ht="15.75" customHeight="1"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209"/>
      <c r="P497" s="155"/>
      <c r="Q497" s="155"/>
      <c r="R497" s="209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</row>
    <row r="498" ht="15.75" customHeight="1"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209"/>
      <c r="P498" s="155"/>
      <c r="Q498" s="155"/>
      <c r="R498" s="209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</row>
    <row r="499" ht="15.75" customHeight="1"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209"/>
      <c r="P499" s="155"/>
      <c r="Q499" s="155"/>
      <c r="R499" s="209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</row>
    <row r="500" ht="15.75" customHeight="1"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209"/>
      <c r="P500" s="155"/>
      <c r="Q500" s="155"/>
      <c r="R500" s="209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</row>
    <row r="501" ht="15.75" customHeight="1"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209"/>
      <c r="P501" s="155"/>
      <c r="Q501" s="155"/>
      <c r="R501" s="209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</row>
    <row r="502" ht="15.75" customHeight="1"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209"/>
      <c r="P502" s="155"/>
      <c r="Q502" s="155"/>
      <c r="R502" s="209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</row>
    <row r="503" ht="15.75" customHeight="1"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209"/>
      <c r="P503" s="155"/>
      <c r="Q503" s="155"/>
      <c r="R503" s="209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</row>
    <row r="504" ht="15.75" customHeight="1"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209"/>
      <c r="P504" s="155"/>
      <c r="Q504" s="155"/>
      <c r="R504" s="209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</row>
    <row r="505" ht="15.75" customHeight="1"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209"/>
      <c r="P505" s="155"/>
      <c r="Q505" s="155"/>
      <c r="R505" s="209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</row>
    <row r="506" ht="15.75" customHeight="1"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209"/>
      <c r="P506" s="155"/>
      <c r="Q506" s="155"/>
      <c r="R506" s="209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</row>
    <row r="507" ht="15.75" customHeight="1"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209"/>
      <c r="P507" s="155"/>
      <c r="Q507" s="155"/>
      <c r="R507" s="209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</row>
    <row r="508" ht="15.75" customHeight="1"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209"/>
      <c r="P508" s="155"/>
      <c r="Q508" s="155"/>
      <c r="R508" s="209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</row>
    <row r="509" ht="15.75" customHeight="1"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209"/>
      <c r="P509" s="155"/>
      <c r="Q509" s="155"/>
      <c r="R509" s="209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</row>
    <row r="510" ht="15.75" customHeight="1"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209"/>
      <c r="P510" s="155"/>
      <c r="Q510" s="155"/>
      <c r="R510" s="209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</row>
    <row r="511" ht="15.75" customHeight="1"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209"/>
      <c r="P511" s="155"/>
      <c r="Q511" s="155"/>
      <c r="R511" s="209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</row>
    <row r="512" ht="15.75" customHeight="1"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209"/>
      <c r="P512" s="155"/>
      <c r="Q512" s="155"/>
      <c r="R512" s="209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</row>
    <row r="513" ht="15.75" customHeight="1"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209"/>
      <c r="P513" s="155"/>
      <c r="Q513" s="155"/>
      <c r="R513" s="209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</row>
    <row r="514" ht="15.75" customHeight="1"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209"/>
      <c r="P514" s="155"/>
      <c r="Q514" s="155"/>
      <c r="R514" s="209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</row>
    <row r="515" ht="15.75" customHeight="1"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209"/>
      <c r="P515" s="155"/>
      <c r="Q515" s="155"/>
      <c r="R515" s="209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</row>
    <row r="516" ht="15.75" customHeight="1"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209"/>
      <c r="P516" s="155"/>
      <c r="Q516" s="155"/>
      <c r="R516" s="209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</row>
    <row r="517" ht="15.75" customHeight="1"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209"/>
      <c r="P517" s="155"/>
      <c r="Q517" s="155"/>
      <c r="R517" s="209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</row>
    <row r="518" ht="15.75" customHeight="1"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209"/>
      <c r="P518" s="155"/>
      <c r="Q518" s="155"/>
      <c r="R518" s="209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</row>
    <row r="519" ht="15.75" customHeight="1"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209"/>
      <c r="P519" s="155"/>
      <c r="Q519" s="155"/>
      <c r="R519" s="209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</row>
    <row r="520" ht="15.75" customHeight="1"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209"/>
      <c r="P520" s="155"/>
      <c r="Q520" s="155"/>
      <c r="R520" s="209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</row>
    <row r="521" ht="15.75" customHeight="1"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209"/>
      <c r="P521" s="155"/>
      <c r="Q521" s="155"/>
      <c r="R521" s="209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</row>
    <row r="522" ht="15.75" customHeight="1"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209"/>
      <c r="P522" s="155"/>
      <c r="Q522" s="155"/>
      <c r="R522" s="209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</row>
    <row r="523" ht="15.75" customHeight="1"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209"/>
      <c r="P523" s="155"/>
      <c r="Q523" s="155"/>
      <c r="R523" s="209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</row>
    <row r="524" ht="15.75" customHeight="1"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209"/>
      <c r="P524" s="155"/>
      <c r="Q524" s="155"/>
      <c r="R524" s="209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</row>
    <row r="525" ht="15.75" customHeight="1"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209"/>
      <c r="P525" s="155"/>
      <c r="Q525" s="155"/>
      <c r="R525" s="209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</row>
    <row r="526" ht="15.75" customHeight="1"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209"/>
      <c r="P526" s="155"/>
      <c r="Q526" s="155"/>
      <c r="R526" s="209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</row>
    <row r="527" ht="15.75" customHeight="1"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209"/>
      <c r="P527" s="155"/>
      <c r="Q527" s="155"/>
      <c r="R527" s="209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</row>
    <row r="528" ht="15.75" customHeight="1"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209"/>
      <c r="P528" s="155"/>
      <c r="Q528" s="155"/>
      <c r="R528" s="209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</row>
    <row r="529" ht="15.75" customHeight="1"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209"/>
      <c r="P529" s="155"/>
      <c r="Q529" s="155"/>
      <c r="R529" s="209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</row>
    <row r="530" ht="15.75" customHeight="1"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209"/>
      <c r="P530" s="155"/>
      <c r="Q530" s="155"/>
      <c r="R530" s="209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</row>
    <row r="531" ht="15.75" customHeight="1"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209"/>
      <c r="P531" s="155"/>
      <c r="Q531" s="155"/>
      <c r="R531" s="209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</row>
    <row r="532" ht="15.75" customHeight="1"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209"/>
      <c r="P532" s="155"/>
      <c r="Q532" s="155"/>
      <c r="R532" s="209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</row>
    <row r="533" ht="15.75" customHeight="1"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209"/>
      <c r="P533" s="155"/>
      <c r="Q533" s="155"/>
      <c r="R533" s="209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</row>
    <row r="534" ht="15.75" customHeight="1"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209"/>
      <c r="P534" s="155"/>
      <c r="Q534" s="155"/>
      <c r="R534" s="209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</row>
    <row r="535" ht="15.75" customHeight="1"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209"/>
      <c r="P535" s="155"/>
      <c r="Q535" s="155"/>
      <c r="R535" s="209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</row>
    <row r="536" ht="15.75" customHeight="1"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209"/>
      <c r="P536" s="155"/>
      <c r="Q536" s="155"/>
      <c r="R536" s="209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</row>
    <row r="537" ht="15.75" customHeight="1"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209"/>
      <c r="P537" s="155"/>
      <c r="Q537" s="155"/>
      <c r="R537" s="209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</row>
    <row r="538" ht="15.75" customHeight="1"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209"/>
      <c r="P538" s="155"/>
      <c r="Q538" s="155"/>
      <c r="R538" s="209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</row>
    <row r="539" ht="15.75" customHeight="1"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209"/>
      <c r="P539" s="155"/>
      <c r="Q539" s="155"/>
      <c r="R539" s="209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</row>
    <row r="540" ht="15.75" customHeight="1"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209"/>
      <c r="P540" s="155"/>
      <c r="Q540" s="155"/>
      <c r="R540" s="209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</row>
    <row r="541" ht="15.75" customHeight="1"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209"/>
      <c r="P541" s="155"/>
      <c r="Q541" s="155"/>
      <c r="R541" s="209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</row>
    <row r="542" ht="15.75" customHeight="1"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209"/>
      <c r="P542" s="155"/>
      <c r="Q542" s="155"/>
      <c r="R542" s="209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</row>
    <row r="543" ht="15.75" customHeight="1"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209"/>
      <c r="P543" s="155"/>
      <c r="Q543" s="155"/>
      <c r="R543" s="209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</row>
    <row r="544" ht="15.75" customHeight="1"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209"/>
      <c r="P544" s="155"/>
      <c r="Q544" s="155"/>
      <c r="R544" s="209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</row>
    <row r="545" ht="15.75" customHeight="1"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209"/>
      <c r="P545" s="155"/>
      <c r="Q545" s="155"/>
      <c r="R545" s="209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</row>
    <row r="546" ht="15.75" customHeight="1"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209"/>
      <c r="P546" s="155"/>
      <c r="Q546" s="155"/>
      <c r="R546" s="209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</row>
    <row r="547" ht="15.75" customHeight="1"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209"/>
      <c r="P547" s="155"/>
      <c r="Q547" s="155"/>
      <c r="R547" s="209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</row>
    <row r="548" ht="15.75" customHeight="1"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209"/>
      <c r="P548" s="155"/>
      <c r="Q548" s="155"/>
      <c r="R548" s="209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</row>
    <row r="549" ht="15.75" customHeight="1"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209"/>
      <c r="P549" s="155"/>
      <c r="Q549" s="155"/>
      <c r="R549" s="209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</row>
    <row r="550" ht="15.75" customHeight="1"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209"/>
      <c r="P550" s="155"/>
      <c r="Q550" s="155"/>
      <c r="R550" s="209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</row>
    <row r="551" ht="15.75" customHeight="1"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209"/>
      <c r="P551" s="155"/>
      <c r="Q551" s="155"/>
      <c r="R551" s="209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</row>
    <row r="552" ht="15.75" customHeight="1"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209"/>
      <c r="P552" s="155"/>
      <c r="Q552" s="155"/>
      <c r="R552" s="209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</row>
    <row r="553" ht="15.75" customHeight="1"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209"/>
      <c r="P553" s="155"/>
      <c r="Q553" s="155"/>
      <c r="R553" s="209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</row>
    <row r="554" ht="15.75" customHeight="1"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209"/>
      <c r="P554" s="155"/>
      <c r="Q554" s="155"/>
      <c r="R554" s="209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</row>
    <row r="555" ht="15.75" customHeight="1"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209"/>
      <c r="P555" s="155"/>
      <c r="Q555" s="155"/>
      <c r="R555" s="209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</row>
    <row r="556" ht="15.75" customHeight="1"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209"/>
      <c r="P556" s="155"/>
      <c r="Q556" s="155"/>
      <c r="R556" s="209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</row>
    <row r="557" ht="15.75" customHeight="1"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209"/>
      <c r="P557" s="155"/>
      <c r="Q557" s="155"/>
      <c r="R557" s="209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</row>
    <row r="558" ht="15.75" customHeight="1"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209"/>
      <c r="P558" s="155"/>
      <c r="Q558" s="155"/>
      <c r="R558" s="209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</row>
    <row r="559" ht="15.75" customHeight="1"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209"/>
      <c r="P559" s="155"/>
      <c r="Q559" s="155"/>
      <c r="R559" s="209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</row>
    <row r="560" ht="15.75" customHeight="1"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209"/>
      <c r="P560" s="155"/>
      <c r="Q560" s="155"/>
      <c r="R560" s="209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</row>
    <row r="561" ht="15.75" customHeight="1"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209"/>
      <c r="P561" s="155"/>
      <c r="Q561" s="155"/>
      <c r="R561" s="209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</row>
    <row r="562" ht="15.75" customHeight="1"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209"/>
      <c r="P562" s="155"/>
      <c r="Q562" s="155"/>
      <c r="R562" s="209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</row>
    <row r="563" ht="15.75" customHeight="1"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209"/>
      <c r="P563" s="155"/>
      <c r="Q563" s="155"/>
      <c r="R563" s="209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</row>
    <row r="564" ht="15.75" customHeight="1"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209"/>
      <c r="P564" s="155"/>
      <c r="Q564" s="155"/>
      <c r="R564" s="209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</row>
    <row r="565" ht="15.75" customHeight="1"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209"/>
      <c r="P565" s="155"/>
      <c r="Q565" s="155"/>
      <c r="R565" s="209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</row>
    <row r="566" ht="15.75" customHeight="1"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209"/>
      <c r="P566" s="155"/>
      <c r="Q566" s="155"/>
      <c r="R566" s="209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</row>
    <row r="567" ht="15.75" customHeight="1"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209"/>
      <c r="P567" s="155"/>
      <c r="Q567" s="155"/>
      <c r="R567" s="209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</row>
    <row r="568" ht="15.75" customHeight="1"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209"/>
      <c r="P568" s="155"/>
      <c r="Q568" s="155"/>
      <c r="R568" s="209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</row>
    <row r="569" ht="15.75" customHeight="1"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209"/>
      <c r="P569" s="155"/>
      <c r="Q569" s="155"/>
      <c r="R569" s="209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</row>
    <row r="570" ht="15.75" customHeight="1"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209"/>
      <c r="P570" s="155"/>
      <c r="Q570" s="155"/>
      <c r="R570" s="209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</row>
    <row r="571" ht="15.75" customHeight="1"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209"/>
      <c r="P571" s="155"/>
      <c r="Q571" s="155"/>
      <c r="R571" s="209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</row>
    <row r="572" ht="15.75" customHeight="1"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209"/>
      <c r="P572" s="155"/>
      <c r="Q572" s="155"/>
      <c r="R572" s="209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</row>
    <row r="573" ht="15.75" customHeight="1"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209"/>
      <c r="P573" s="155"/>
      <c r="Q573" s="155"/>
      <c r="R573" s="209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</row>
    <row r="574" ht="15.75" customHeight="1"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209"/>
      <c r="P574" s="155"/>
      <c r="Q574" s="155"/>
      <c r="R574" s="209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</row>
    <row r="575" ht="15.75" customHeight="1"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209"/>
      <c r="P575" s="155"/>
      <c r="Q575" s="155"/>
      <c r="R575" s="209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</row>
    <row r="576" ht="15.75" customHeight="1"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209"/>
      <c r="P576" s="155"/>
      <c r="Q576" s="155"/>
      <c r="R576" s="209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</row>
    <row r="577" ht="15.75" customHeight="1"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209"/>
      <c r="P577" s="155"/>
      <c r="Q577" s="155"/>
      <c r="R577" s="209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</row>
    <row r="578" ht="15.75" customHeight="1"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209"/>
      <c r="P578" s="155"/>
      <c r="Q578" s="155"/>
      <c r="R578" s="209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</row>
    <row r="579" ht="15.75" customHeight="1"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209"/>
      <c r="P579" s="155"/>
      <c r="Q579" s="155"/>
      <c r="R579" s="209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</row>
    <row r="580" ht="15.75" customHeight="1"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209"/>
      <c r="P580" s="155"/>
      <c r="Q580" s="155"/>
      <c r="R580" s="209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</row>
    <row r="581" ht="15.75" customHeight="1"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209"/>
      <c r="P581" s="155"/>
      <c r="Q581" s="155"/>
      <c r="R581" s="209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</row>
    <row r="582" ht="15.75" customHeight="1"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209"/>
      <c r="P582" s="155"/>
      <c r="Q582" s="155"/>
      <c r="R582" s="209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</row>
    <row r="583" ht="15.75" customHeight="1"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209"/>
      <c r="P583" s="155"/>
      <c r="Q583" s="155"/>
      <c r="R583" s="209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</row>
    <row r="584" ht="15.75" customHeight="1"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209"/>
      <c r="P584" s="155"/>
      <c r="Q584" s="155"/>
      <c r="R584" s="209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</row>
    <row r="585" ht="15.75" customHeight="1"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209"/>
      <c r="P585" s="155"/>
      <c r="Q585" s="155"/>
      <c r="R585" s="209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</row>
    <row r="586" ht="15.75" customHeight="1"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209"/>
      <c r="P586" s="155"/>
      <c r="Q586" s="155"/>
      <c r="R586" s="209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</row>
    <row r="587" ht="15.75" customHeight="1"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209"/>
      <c r="P587" s="155"/>
      <c r="Q587" s="155"/>
      <c r="R587" s="209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</row>
    <row r="588" ht="15.75" customHeight="1"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209"/>
      <c r="P588" s="155"/>
      <c r="Q588" s="155"/>
      <c r="R588" s="209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</row>
    <row r="589" ht="15.75" customHeight="1"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209"/>
      <c r="P589" s="155"/>
      <c r="Q589" s="155"/>
      <c r="R589" s="209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</row>
    <row r="590" ht="15.75" customHeight="1"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209"/>
      <c r="P590" s="155"/>
      <c r="Q590" s="155"/>
      <c r="R590" s="209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</row>
    <row r="591" ht="15.75" customHeight="1"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209"/>
      <c r="P591" s="155"/>
      <c r="Q591" s="155"/>
      <c r="R591" s="209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</row>
    <row r="592" ht="15.75" customHeight="1"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209"/>
      <c r="P592" s="155"/>
      <c r="Q592" s="155"/>
      <c r="R592" s="209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</row>
    <row r="593" ht="15.75" customHeight="1"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209"/>
      <c r="P593" s="155"/>
      <c r="Q593" s="155"/>
      <c r="R593" s="209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</row>
    <row r="594" ht="15.75" customHeight="1"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209"/>
      <c r="P594" s="155"/>
      <c r="Q594" s="155"/>
      <c r="R594" s="209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</row>
    <row r="595" ht="15.75" customHeight="1"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209"/>
      <c r="P595" s="155"/>
      <c r="Q595" s="155"/>
      <c r="R595" s="209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</row>
    <row r="596" ht="15.75" customHeight="1"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209"/>
      <c r="P596" s="155"/>
      <c r="Q596" s="155"/>
      <c r="R596" s="209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</row>
    <row r="597" ht="15.75" customHeight="1"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209"/>
      <c r="P597" s="155"/>
      <c r="Q597" s="155"/>
      <c r="R597" s="209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</row>
    <row r="598" ht="15.75" customHeight="1"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209"/>
      <c r="P598" s="155"/>
      <c r="Q598" s="155"/>
      <c r="R598" s="209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</row>
    <row r="599" ht="15.75" customHeight="1"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209"/>
      <c r="P599" s="155"/>
      <c r="Q599" s="155"/>
      <c r="R599" s="209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</row>
    <row r="600" ht="15.75" customHeight="1"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209"/>
      <c r="P600" s="155"/>
      <c r="Q600" s="155"/>
      <c r="R600" s="209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</row>
    <row r="601" ht="15.75" customHeight="1"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209"/>
      <c r="P601" s="155"/>
      <c r="Q601" s="155"/>
      <c r="R601" s="209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</row>
    <row r="602" ht="15.75" customHeight="1"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209"/>
      <c r="P602" s="155"/>
      <c r="Q602" s="155"/>
      <c r="R602" s="209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</row>
    <row r="603" ht="15.75" customHeight="1"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209"/>
      <c r="P603" s="155"/>
      <c r="Q603" s="155"/>
      <c r="R603" s="209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</row>
    <row r="604" ht="15.75" customHeight="1"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209"/>
      <c r="P604" s="155"/>
      <c r="Q604" s="155"/>
      <c r="R604" s="209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</row>
    <row r="605" ht="15.75" customHeight="1"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209"/>
      <c r="P605" s="155"/>
      <c r="Q605" s="155"/>
      <c r="R605" s="209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</row>
    <row r="606" ht="15.75" customHeight="1"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209"/>
      <c r="P606" s="155"/>
      <c r="Q606" s="155"/>
      <c r="R606" s="209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</row>
    <row r="607" ht="15.75" customHeight="1"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209"/>
      <c r="P607" s="155"/>
      <c r="Q607" s="155"/>
      <c r="R607" s="209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</row>
    <row r="608" ht="15.75" customHeight="1"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209"/>
      <c r="P608" s="155"/>
      <c r="Q608" s="155"/>
      <c r="R608" s="209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</row>
    <row r="609" ht="15.75" customHeight="1"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209"/>
      <c r="P609" s="155"/>
      <c r="Q609" s="155"/>
      <c r="R609" s="209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</row>
    <row r="610" ht="15.75" customHeight="1"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209"/>
      <c r="P610" s="155"/>
      <c r="Q610" s="155"/>
      <c r="R610" s="209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</row>
    <row r="611" ht="15.75" customHeight="1"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209"/>
      <c r="P611" s="155"/>
      <c r="Q611" s="155"/>
      <c r="R611" s="209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</row>
    <row r="612" ht="15.75" customHeight="1"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209"/>
      <c r="P612" s="155"/>
      <c r="Q612" s="155"/>
      <c r="R612" s="209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</row>
    <row r="613" ht="15.75" customHeight="1"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209"/>
      <c r="P613" s="155"/>
      <c r="Q613" s="155"/>
      <c r="R613" s="209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</row>
    <row r="614" ht="15.75" customHeight="1"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209"/>
      <c r="P614" s="155"/>
      <c r="Q614" s="155"/>
      <c r="R614" s="209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</row>
    <row r="615" ht="15.75" customHeight="1"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209"/>
      <c r="P615" s="155"/>
      <c r="Q615" s="155"/>
      <c r="R615" s="209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</row>
    <row r="616" ht="15.75" customHeight="1"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209"/>
      <c r="P616" s="155"/>
      <c r="Q616" s="155"/>
      <c r="R616" s="209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</row>
    <row r="617" ht="15.75" customHeight="1"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209"/>
      <c r="P617" s="155"/>
      <c r="Q617" s="155"/>
      <c r="R617" s="209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</row>
    <row r="618" ht="15.75" customHeight="1"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209"/>
      <c r="P618" s="155"/>
      <c r="Q618" s="155"/>
      <c r="R618" s="209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</row>
    <row r="619" ht="15.75" customHeight="1"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209"/>
      <c r="P619" s="155"/>
      <c r="Q619" s="155"/>
      <c r="R619" s="209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</row>
    <row r="620" ht="15.75" customHeight="1"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209"/>
      <c r="P620" s="155"/>
      <c r="Q620" s="155"/>
      <c r="R620" s="209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</row>
    <row r="621" ht="15.75" customHeight="1"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209"/>
      <c r="P621" s="155"/>
      <c r="Q621" s="155"/>
      <c r="R621" s="209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</row>
    <row r="622" ht="15.75" customHeight="1"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209"/>
      <c r="P622" s="155"/>
      <c r="Q622" s="155"/>
      <c r="R622" s="209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</row>
    <row r="623" ht="15.75" customHeight="1"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209"/>
      <c r="P623" s="155"/>
      <c r="Q623" s="155"/>
      <c r="R623" s="209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</row>
    <row r="624" ht="15.75" customHeight="1"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209"/>
      <c r="P624" s="155"/>
      <c r="Q624" s="155"/>
      <c r="R624" s="209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</row>
    <row r="625" ht="15.75" customHeight="1"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209"/>
      <c r="P625" s="155"/>
      <c r="Q625" s="155"/>
      <c r="R625" s="209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</row>
    <row r="626" ht="15.75" customHeight="1"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209"/>
      <c r="P626" s="155"/>
      <c r="Q626" s="155"/>
      <c r="R626" s="209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</row>
    <row r="627" ht="15.75" customHeight="1"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209"/>
      <c r="P627" s="155"/>
      <c r="Q627" s="155"/>
      <c r="R627" s="209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</row>
    <row r="628" ht="15.75" customHeight="1"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209"/>
      <c r="P628" s="155"/>
      <c r="Q628" s="155"/>
      <c r="R628" s="209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</row>
    <row r="629" ht="15.75" customHeight="1"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209"/>
      <c r="P629" s="155"/>
      <c r="Q629" s="155"/>
      <c r="R629" s="209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</row>
    <row r="630" ht="15.75" customHeight="1"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209"/>
      <c r="P630" s="155"/>
      <c r="Q630" s="155"/>
      <c r="R630" s="209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</row>
    <row r="631" ht="15.75" customHeight="1"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209"/>
      <c r="P631" s="155"/>
      <c r="Q631" s="155"/>
      <c r="R631" s="209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</row>
    <row r="632" ht="15.75" customHeight="1"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209"/>
      <c r="P632" s="155"/>
      <c r="Q632" s="155"/>
      <c r="R632" s="209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</row>
    <row r="633" ht="15.75" customHeight="1"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209"/>
      <c r="P633" s="155"/>
      <c r="Q633" s="155"/>
      <c r="R633" s="209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</row>
    <row r="634" ht="15.75" customHeight="1"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209"/>
      <c r="P634" s="155"/>
      <c r="Q634" s="155"/>
      <c r="R634" s="209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</row>
    <row r="635" ht="15.75" customHeight="1"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209"/>
      <c r="P635" s="155"/>
      <c r="Q635" s="155"/>
      <c r="R635" s="209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</row>
    <row r="636" ht="15.75" customHeight="1"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209"/>
      <c r="P636" s="155"/>
      <c r="Q636" s="155"/>
      <c r="R636" s="209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</row>
    <row r="637" ht="15.75" customHeight="1"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209"/>
      <c r="P637" s="155"/>
      <c r="Q637" s="155"/>
      <c r="R637" s="209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</row>
    <row r="638" ht="15.75" customHeight="1"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209"/>
      <c r="P638" s="155"/>
      <c r="Q638" s="155"/>
      <c r="R638" s="209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</row>
    <row r="639" ht="15.75" customHeight="1"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209"/>
      <c r="P639" s="155"/>
      <c r="Q639" s="155"/>
      <c r="R639" s="209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</row>
    <row r="640" ht="15.75" customHeight="1"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209"/>
      <c r="P640" s="155"/>
      <c r="Q640" s="155"/>
      <c r="R640" s="209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</row>
    <row r="641" ht="15.75" customHeight="1"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209"/>
      <c r="P641" s="155"/>
      <c r="Q641" s="155"/>
      <c r="R641" s="209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</row>
    <row r="642" ht="15.75" customHeight="1"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209"/>
      <c r="P642" s="155"/>
      <c r="Q642" s="155"/>
      <c r="R642" s="209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</row>
    <row r="643" ht="15.75" customHeight="1"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209"/>
      <c r="P643" s="155"/>
      <c r="Q643" s="155"/>
      <c r="R643" s="209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</row>
    <row r="644" ht="15.75" customHeight="1"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209"/>
      <c r="P644" s="155"/>
      <c r="Q644" s="155"/>
      <c r="R644" s="209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</row>
    <row r="645" ht="15.75" customHeight="1"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209"/>
      <c r="P645" s="155"/>
      <c r="Q645" s="155"/>
      <c r="R645" s="209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</row>
    <row r="646" ht="15.75" customHeight="1"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209"/>
      <c r="P646" s="155"/>
      <c r="Q646" s="155"/>
      <c r="R646" s="209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</row>
    <row r="647" ht="15.75" customHeight="1"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209"/>
      <c r="P647" s="155"/>
      <c r="Q647" s="155"/>
      <c r="R647" s="209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</row>
    <row r="648" ht="15.75" customHeight="1"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209"/>
      <c r="P648" s="155"/>
      <c r="Q648" s="155"/>
      <c r="R648" s="209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</row>
    <row r="649" ht="15.75" customHeight="1"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209"/>
      <c r="P649" s="155"/>
      <c r="Q649" s="155"/>
      <c r="R649" s="209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</row>
    <row r="650" ht="15.75" customHeight="1"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209"/>
      <c r="P650" s="155"/>
      <c r="Q650" s="155"/>
      <c r="R650" s="209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</row>
    <row r="651" ht="15.75" customHeight="1"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209"/>
      <c r="P651" s="155"/>
      <c r="Q651" s="155"/>
      <c r="R651" s="209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</row>
    <row r="652" ht="15.75" customHeight="1"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209"/>
      <c r="P652" s="155"/>
      <c r="Q652" s="155"/>
      <c r="R652" s="209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</row>
    <row r="653" ht="15.75" customHeight="1"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209"/>
      <c r="P653" s="155"/>
      <c r="Q653" s="155"/>
      <c r="R653" s="209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</row>
    <row r="654" ht="15.75" customHeight="1"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209"/>
      <c r="P654" s="155"/>
      <c r="Q654" s="155"/>
      <c r="R654" s="209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</row>
    <row r="655" ht="15.75" customHeight="1"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209"/>
      <c r="P655" s="155"/>
      <c r="Q655" s="155"/>
      <c r="R655" s="209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</row>
    <row r="656" ht="15.75" customHeight="1"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209"/>
      <c r="P656" s="155"/>
      <c r="Q656" s="155"/>
      <c r="R656" s="209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</row>
    <row r="657" ht="15.75" customHeight="1"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209"/>
      <c r="P657" s="155"/>
      <c r="Q657" s="155"/>
      <c r="R657" s="209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</row>
    <row r="658" ht="15.75" customHeight="1"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209"/>
      <c r="P658" s="155"/>
      <c r="Q658" s="155"/>
      <c r="R658" s="209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</row>
    <row r="659" ht="15.75" customHeight="1"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209"/>
      <c r="P659" s="155"/>
      <c r="Q659" s="155"/>
      <c r="R659" s="209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</row>
    <row r="660" ht="15.75" customHeight="1"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209"/>
      <c r="P660" s="155"/>
      <c r="Q660" s="155"/>
      <c r="R660" s="209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</row>
    <row r="661" ht="15.75" customHeight="1"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209"/>
      <c r="P661" s="155"/>
      <c r="Q661" s="155"/>
      <c r="R661" s="209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</row>
    <row r="662" ht="15.75" customHeight="1"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209"/>
      <c r="P662" s="155"/>
      <c r="Q662" s="155"/>
      <c r="R662" s="209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</row>
    <row r="663" ht="15.75" customHeight="1"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209"/>
      <c r="P663" s="155"/>
      <c r="Q663" s="155"/>
      <c r="R663" s="209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</row>
    <row r="664" ht="15.75" customHeight="1"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209"/>
      <c r="P664" s="155"/>
      <c r="Q664" s="155"/>
      <c r="R664" s="209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</row>
    <row r="665" ht="15.75" customHeight="1"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209"/>
      <c r="P665" s="155"/>
      <c r="Q665" s="155"/>
      <c r="R665" s="209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</row>
    <row r="666" ht="15.75" customHeight="1"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209"/>
      <c r="P666" s="155"/>
      <c r="Q666" s="155"/>
      <c r="R666" s="209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</row>
    <row r="667" ht="15.75" customHeight="1"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209"/>
      <c r="P667" s="155"/>
      <c r="Q667" s="155"/>
      <c r="R667" s="209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</row>
    <row r="668" ht="15.75" customHeight="1"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209"/>
      <c r="P668" s="155"/>
      <c r="Q668" s="155"/>
      <c r="R668" s="209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</row>
    <row r="669" ht="15.75" customHeight="1"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209"/>
      <c r="P669" s="155"/>
      <c r="Q669" s="155"/>
      <c r="R669" s="209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</row>
    <row r="670" ht="15.75" customHeight="1"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209"/>
      <c r="P670" s="155"/>
      <c r="Q670" s="155"/>
      <c r="R670" s="209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</row>
    <row r="671" ht="15.75" customHeight="1"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209"/>
      <c r="P671" s="155"/>
      <c r="Q671" s="155"/>
      <c r="R671" s="209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</row>
    <row r="672" ht="15.75" customHeight="1"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209"/>
      <c r="P672" s="155"/>
      <c r="Q672" s="155"/>
      <c r="R672" s="209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</row>
    <row r="673" ht="15.75" customHeight="1"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209"/>
      <c r="P673" s="155"/>
      <c r="Q673" s="155"/>
      <c r="R673" s="209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</row>
    <row r="674" ht="15.75" customHeight="1"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209"/>
      <c r="P674" s="155"/>
      <c r="Q674" s="155"/>
      <c r="R674" s="209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</row>
    <row r="675" ht="15.75" customHeight="1"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209"/>
      <c r="P675" s="155"/>
      <c r="Q675" s="155"/>
      <c r="R675" s="209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</row>
    <row r="676" ht="15.75" customHeight="1"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209"/>
      <c r="P676" s="155"/>
      <c r="Q676" s="155"/>
      <c r="R676" s="209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</row>
    <row r="677" ht="15.75" customHeight="1"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209"/>
      <c r="P677" s="155"/>
      <c r="Q677" s="155"/>
      <c r="R677" s="209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</row>
    <row r="678" ht="15.75" customHeight="1"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209"/>
      <c r="P678" s="155"/>
      <c r="Q678" s="155"/>
      <c r="R678" s="209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</row>
    <row r="679" ht="15.75" customHeight="1"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209"/>
      <c r="P679" s="155"/>
      <c r="Q679" s="155"/>
      <c r="R679" s="209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</row>
    <row r="680" ht="15.75" customHeight="1"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209"/>
      <c r="P680" s="155"/>
      <c r="Q680" s="155"/>
      <c r="R680" s="209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</row>
    <row r="681" ht="15.75" customHeight="1"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209"/>
      <c r="P681" s="155"/>
      <c r="Q681" s="155"/>
      <c r="R681" s="209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</row>
    <row r="682" ht="15.75" customHeight="1"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209"/>
      <c r="P682" s="155"/>
      <c r="Q682" s="155"/>
      <c r="R682" s="209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</row>
    <row r="683" ht="15.75" customHeight="1"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209"/>
      <c r="P683" s="155"/>
      <c r="Q683" s="155"/>
      <c r="R683" s="209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</row>
    <row r="684" ht="15.75" customHeight="1"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209"/>
      <c r="P684" s="155"/>
      <c r="Q684" s="155"/>
      <c r="R684" s="209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</row>
    <row r="685" ht="15.75" customHeight="1"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209"/>
      <c r="P685" s="155"/>
      <c r="Q685" s="155"/>
      <c r="R685" s="209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</row>
    <row r="686" ht="15.75" customHeight="1"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209"/>
      <c r="P686" s="155"/>
      <c r="Q686" s="155"/>
      <c r="R686" s="209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</row>
    <row r="687" ht="15.75" customHeight="1"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209"/>
      <c r="P687" s="155"/>
      <c r="Q687" s="155"/>
      <c r="R687" s="209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</row>
    <row r="688" ht="15.75" customHeight="1"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209"/>
      <c r="P688" s="155"/>
      <c r="Q688" s="155"/>
      <c r="R688" s="209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</row>
    <row r="689" ht="15.75" customHeight="1"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209"/>
      <c r="P689" s="155"/>
      <c r="Q689" s="155"/>
      <c r="R689" s="209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</row>
    <row r="690" ht="15.75" customHeight="1"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209"/>
      <c r="P690" s="155"/>
      <c r="Q690" s="155"/>
      <c r="R690" s="209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</row>
    <row r="691" ht="15.75" customHeight="1"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209"/>
      <c r="P691" s="155"/>
      <c r="Q691" s="155"/>
      <c r="R691" s="209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</row>
    <row r="692" ht="15.75" customHeight="1"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209"/>
      <c r="P692" s="155"/>
      <c r="Q692" s="155"/>
      <c r="R692" s="209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</row>
    <row r="693" ht="15.75" customHeight="1"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209"/>
      <c r="P693" s="155"/>
      <c r="Q693" s="155"/>
      <c r="R693" s="209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</row>
    <row r="694" ht="15.75" customHeight="1"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209"/>
      <c r="P694" s="155"/>
      <c r="Q694" s="155"/>
      <c r="R694" s="209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</row>
    <row r="695" ht="15.75" customHeight="1"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209"/>
      <c r="P695" s="155"/>
      <c r="Q695" s="155"/>
      <c r="R695" s="209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</row>
    <row r="696" ht="15.75" customHeight="1"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209"/>
      <c r="P696" s="155"/>
      <c r="Q696" s="155"/>
      <c r="R696" s="209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</row>
    <row r="697" ht="15.75" customHeight="1"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209"/>
      <c r="P697" s="155"/>
      <c r="Q697" s="155"/>
      <c r="R697" s="209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</row>
    <row r="698" ht="15.75" customHeight="1"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209"/>
      <c r="P698" s="155"/>
      <c r="Q698" s="155"/>
      <c r="R698" s="209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</row>
    <row r="699" ht="15.75" customHeight="1"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209"/>
      <c r="P699" s="155"/>
      <c r="Q699" s="155"/>
      <c r="R699" s="209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</row>
    <row r="700" ht="15.75" customHeight="1"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209"/>
      <c r="P700" s="155"/>
      <c r="Q700" s="155"/>
      <c r="R700" s="209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</row>
    <row r="701" ht="15.75" customHeight="1"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209"/>
      <c r="P701" s="155"/>
      <c r="Q701" s="155"/>
      <c r="R701" s="209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</row>
    <row r="702" ht="15.75" customHeight="1"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209"/>
      <c r="P702" s="155"/>
      <c r="Q702" s="155"/>
      <c r="R702" s="209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</row>
    <row r="703" ht="15.75" customHeight="1"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209"/>
      <c r="P703" s="155"/>
      <c r="Q703" s="155"/>
      <c r="R703" s="209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</row>
    <row r="704" ht="15.75" customHeight="1"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209"/>
      <c r="P704" s="155"/>
      <c r="Q704" s="155"/>
      <c r="R704" s="209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</row>
    <row r="705" ht="15.75" customHeight="1"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209"/>
      <c r="P705" s="155"/>
      <c r="Q705" s="155"/>
      <c r="R705" s="209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</row>
    <row r="706" ht="15.75" customHeight="1"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209"/>
      <c r="P706" s="155"/>
      <c r="Q706" s="155"/>
      <c r="R706" s="209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</row>
    <row r="707" ht="15.75" customHeight="1"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209"/>
      <c r="P707" s="155"/>
      <c r="Q707" s="155"/>
      <c r="R707" s="209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</row>
    <row r="708" ht="15.75" customHeight="1"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209"/>
      <c r="P708" s="155"/>
      <c r="Q708" s="155"/>
      <c r="R708" s="209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</row>
    <row r="709" ht="15.75" customHeight="1"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209"/>
      <c r="P709" s="155"/>
      <c r="Q709" s="155"/>
      <c r="R709" s="209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</row>
    <row r="710" ht="15.75" customHeight="1"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209"/>
      <c r="P710" s="155"/>
      <c r="Q710" s="155"/>
      <c r="R710" s="209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</row>
    <row r="711" ht="15.75" customHeight="1"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209"/>
      <c r="P711" s="155"/>
      <c r="Q711" s="155"/>
      <c r="R711" s="209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</row>
    <row r="712" ht="15.75" customHeight="1"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209"/>
      <c r="P712" s="155"/>
      <c r="Q712" s="155"/>
      <c r="R712" s="209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</row>
    <row r="713" ht="15.75" customHeight="1"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209"/>
      <c r="P713" s="155"/>
      <c r="Q713" s="155"/>
      <c r="R713" s="209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</row>
    <row r="714" ht="15.75" customHeight="1"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209"/>
      <c r="P714" s="155"/>
      <c r="Q714" s="155"/>
      <c r="R714" s="209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</row>
    <row r="715" ht="15.75" customHeight="1"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209"/>
      <c r="P715" s="155"/>
      <c r="Q715" s="155"/>
      <c r="R715" s="209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</row>
    <row r="716" ht="15.75" customHeight="1"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209"/>
      <c r="P716" s="155"/>
      <c r="Q716" s="155"/>
      <c r="R716" s="209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</row>
    <row r="717" ht="15.75" customHeight="1"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209"/>
      <c r="P717" s="155"/>
      <c r="Q717" s="155"/>
      <c r="R717" s="209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</row>
    <row r="718" ht="15.75" customHeight="1"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209"/>
      <c r="P718" s="155"/>
      <c r="Q718" s="155"/>
      <c r="R718" s="209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</row>
    <row r="719" ht="15.75" customHeight="1"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209"/>
      <c r="P719" s="155"/>
      <c r="Q719" s="155"/>
      <c r="R719" s="209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</row>
    <row r="720" ht="15.75" customHeight="1"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209"/>
      <c r="P720" s="155"/>
      <c r="Q720" s="155"/>
      <c r="R720" s="209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</row>
    <row r="721" ht="15.75" customHeight="1"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209"/>
      <c r="P721" s="155"/>
      <c r="Q721" s="155"/>
      <c r="R721" s="209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</row>
    <row r="722" ht="15.75" customHeight="1"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209"/>
      <c r="P722" s="155"/>
      <c r="Q722" s="155"/>
      <c r="R722" s="209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</row>
    <row r="723" ht="15.75" customHeight="1"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209"/>
      <c r="P723" s="155"/>
      <c r="Q723" s="155"/>
      <c r="R723" s="209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</row>
    <row r="724" ht="15.75" customHeight="1"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209"/>
      <c r="P724" s="155"/>
      <c r="Q724" s="155"/>
      <c r="R724" s="209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</row>
    <row r="725" ht="15.75" customHeight="1"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209"/>
      <c r="P725" s="155"/>
      <c r="Q725" s="155"/>
      <c r="R725" s="209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</row>
    <row r="726" ht="15.75" customHeight="1"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209"/>
      <c r="P726" s="155"/>
      <c r="Q726" s="155"/>
      <c r="R726" s="209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</row>
    <row r="727" ht="15.75" customHeight="1"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209"/>
      <c r="P727" s="155"/>
      <c r="Q727" s="155"/>
      <c r="R727" s="209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</row>
    <row r="728" ht="15.75" customHeight="1"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209"/>
      <c r="P728" s="155"/>
      <c r="Q728" s="155"/>
      <c r="R728" s="209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</row>
    <row r="729" ht="15.75" customHeight="1"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209"/>
      <c r="P729" s="155"/>
      <c r="Q729" s="155"/>
      <c r="R729" s="209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</row>
    <row r="730" ht="15.75" customHeight="1"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209"/>
      <c r="P730" s="155"/>
      <c r="Q730" s="155"/>
      <c r="R730" s="209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</row>
    <row r="731" ht="15.75" customHeight="1"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209"/>
      <c r="P731" s="155"/>
      <c r="Q731" s="155"/>
      <c r="R731" s="209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</row>
    <row r="732" ht="15.75" customHeight="1"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209"/>
      <c r="P732" s="155"/>
      <c r="Q732" s="155"/>
      <c r="R732" s="209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</row>
    <row r="733" ht="15.75" customHeight="1"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209"/>
      <c r="P733" s="155"/>
      <c r="Q733" s="155"/>
      <c r="R733" s="209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</row>
    <row r="734" ht="15.75" customHeight="1"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209"/>
      <c r="P734" s="155"/>
      <c r="Q734" s="155"/>
      <c r="R734" s="209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</row>
    <row r="735" ht="15.75" customHeight="1"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209"/>
      <c r="P735" s="155"/>
      <c r="Q735" s="155"/>
      <c r="R735" s="209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</row>
    <row r="736" ht="15.75" customHeight="1"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209"/>
      <c r="P736" s="155"/>
      <c r="Q736" s="155"/>
      <c r="R736" s="209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</row>
    <row r="737" ht="15.75" customHeight="1"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209"/>
      <c r="P737" s="155"/>
      <c r="Q737" s="155"/>
      <c r="R737" s="209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</row>
    <row r="738" ht="15.75" customHeight="1"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209"/>
      <c r="P738" s="155"/>
      <c r="Q738" s="155"/>
      <c r="R738" s="209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</row>
    <row r="739" ht="15.75" customHeight="1"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209"/>
      <c r="P739" s="155"/>
      <c r="Q739" s="155"/>
      <c r="R739" s="209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</row>
    <row r="740" ht="15.75" customHeight="1"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209"/>
      <c r="P740" s="155"/>
      <c r="Q740" s="155"/>
      <c r="R740" s="209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</row>
    <row r="741" ht="15.75" customHeight="1"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209"/>
      <c r="P741" s="155"/>
      <c r="Q741" s="155"/>
      <c r="R741" s="209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</row>
    <row r="742" ht="15.75" customHeight="1"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209"/>
      <c r="P742" s="155"/>
      <c r="Q742" s="155"/>
      <c r="R742" s="209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</row>
    <row r="743" ht="15.75" customHeight="1"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209"/>
      <c r="P743" s="155"/>
      <c r="Q743" s="155"/>
      <c r="R743" s="209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</row>
    <row r="744" ht="15.75" customHeight="1"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209"/>
      <c r="P744" s="155"/>
      <c r="Q744" s="155"/>
      <c r="R744" s="209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</row>
    <row r="745" ht="15.75" customHeight="1"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209"/>
      <c r="P745" s="155"/>
      <c r="Q745" s="155"/>
      <c r="R745" s="209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</row>
    <row r="746" ht="15.75" customHeight="1"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209"/>
      <c r="P746" s="155"/>
      <c r="Q746" s="155"/>
      <c r="R746" s="209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</row>
    <row r="747" ht="15.75" customHeight="1"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209"/>
      <c r="P747" s="155"/>
      <c r="Q747" s="155"/>
      <c r="R747" s="209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</row>
    <row r="748" ht="15.75" customHeight="1"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209"/>
      <c r="P748" s="155"/>
      <c r="Q748" s="155"/>
      <c r="R748" s="209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</row>
    <row r="749" ht="15.75" customHeight="1"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209"/>
      <c r="P749" s="155"/>
      <c r="Q749" s="155"/>
      <c r="R749" s="209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</row>
    <row r="750" ht="15.75" customHeight="1"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209"/>
      <c r="P750" s="155"/>
      <c r="Q750" s="155"/>
      <c r="R750" s="209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</row>
    <row r="751" ht="15.75" customHeight="1"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209"/>
      <c r="P751" s="155"/>
      <c r="Q751" s="155"/>
      <c r="R751" s="209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</row>
    <row r="752" ht="15.75" customHeight="1"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209"/>
      <c r="P752" s="155"/>
      <c r="Q752" s="155"/>
      <c r="R752" s="209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</row>
    <row r="753" ht="15.75" customHeight="1"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209"/>
      <c r="P753" s="155"/>
      <c r="Q753" s="155"/>
      <c r="R753" s="209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</row>
    <row r="754" ht="15.75" customHeight="1"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209"/>
      <c r="P754" s="155"/>
      <c r="Q754" s="155"/>
      <c r="R754" s="209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</row>
    <row r="755" ht="15.75" customHeight="1"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209"/>
      <c r="P755" s="155"/>
      <c r="Q755" s="155"/>
      <c r="R755" s="209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</row>
    <row r="756" ht="15.75" customHeight="1"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209"/>
      <c r="P756" s="155"/>
      <c r="Q756" s="155"/>
      <c r="R756" s="209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</row>
    <row r="757" ht="15.75" customHeight="1"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209"/>
      <c r="P757" s="155"/>
      <c r="Q757" s="155"/>
      <c r="R757" s="209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</row>
    <row r="758" ht="15.75" customHeight="1"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209"/>
      <c r="P758" s="155"/>
      <c r="Q758" s="155"/>
      <c r="R758" s="209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</row>
    <row r="759" ht="15.75" customHeight="1"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209"/>
      <c r="P759" s="155"/>
      <c r="Q759" s="155"/>
      <c r="R759" s="209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</row>
    <row r="760" ht="15.75" customHeight="1"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209"/>
      <c r="P760" s="155"/>
      <c r="Q760" s="155"/>
      <c r="R760" s="209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</row>
    <row r="761" ht="15.75" customHeight="1"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209"/>
      <c r="P761" s="155"/>
      <c r="Q761" s="155"/>
      <c r="R761" s="209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</row>
    <row r="762" ht="15.75" customHeight="1"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209"/>
      <c r="P762" s="155"/>
      <c r="Q762" s="155"/>
      <c r="R762" s="209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</row>
    <row r="763" ht="15.75" customHeight="1"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209"/>
      <c r="P763" s="155"/>
      <c r="Q763" s="155"/>
      <c r="R763" s="209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</row>
    <row r="764" ht="15.75" customHeight="1"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209"/>
      <c r="P764" s="155"/>
      <c r="Q764" s="155"/>
      <c r="R764" s="209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</row>
    <row r="765" ht="15.75" customHeight="1"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209"/>
      <c r="P765" s="155"/>
      <c r="Q765" s="155"/>
      <c r="R765" s="209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</row>
    <row r="766" ht="15.75" customHeight="1"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209"/>
      <c r="P766" s="155"/>
      <c r="Q766" s="155"/>
      <c r="R766" s="209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</row>
    <row r="767" ht="15.75" customHeight="1"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209"/>
      <c r="P767" s="155"/>
      <c r="Q767" s="155"/>
      <c r="R767" s="209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</row>
    <row r="768" ht="15.75" customHeight="1"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209"/>
      <c r="P768" s="155"/>
      <c r="Q768" s="155"/>
      <c r="R768" s="209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</row>
    <row r="769" ht="15.75" customHeight="1"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209"/>
      <c r="P769" s="155"/>
      <c r="Q769" s="155"/>
      <c r="R769" s="209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</row>
    <row r="770" ht="15.75" customHeight="1"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209"/>
      <c r="P770" s="155"/>
      <c r="Q770" s="155"/>
      <c r="R770" s="209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</row>
    <row r="771" ht="15.75" customHeight="1"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209"/>
      <c r="P771" s="155"/>
      <c r="Q771" s="155"/>
      <c r="R771" s="209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</row>
    <row r="772" ht="15.75" customHeight="1"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209"/>
      <c r="P772" s="155"/>
      <c r="Q772" s="155"/>
      <c r="R772" s="209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</row>
    <row r="773" ht="15.75" customHeight="1"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209"/>
      <c r="P773" s="155"/>
      <c r="Q773" s="155"/>
      <c r="R773" s="209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</row>
    <row r="774" ht="15.75" customHeight="1"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209"/>
      <c r="P774" s="155"/>
      <c r="Q774" s="155"/>
      <c r="R774" s="209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</row>
    <row r="775" ht="15.75" customHeight="1"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209"/>
      <c r="P775" s="155"/>
      <c r="Q775" s="155"/>
      <c r="R775" s="209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</row>
    <row r="776" ht="15.75" customHeight="1"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209"/>
      <c r="P776" s="155"/>
      <c r="Q776" s="155"/>
      <c r="R776" s="209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</row>
    <row r="777" ht="15.75" customHeight="1"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209"/>
      <c r="P777" s="155"/>
      <c r="Q777" s="155"/>
      <c r="R777" s="209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</row>
    <row r="778" ht="15.75" customHeight="1"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209"/>
      <c r="P778" s="155"/>
      <c r="Q778" s="155"/>
      <c r="R778" s="209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</row>
    <row r="779" ht="15.75" customHeight="1"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209"/>
      <c r="P779" s="155"/>
      <c r="Q779" s="155"/>
      <c r="R779" s="209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</row>
    <row r="780" ht="15.75" customHeight="1"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209"/>
      <c r="P780" s="155"/>
      <c r="Q780" s="155"/>
      <c r="R780" s="209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</row>
    <row r="781" ht="15.75" customHeight="1"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209"/>
      <c r="P781" s="155"/>
      <c r="Q781" s="155"/>
      <c r="R781" s="209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</row>
    <row r="782" ht="15.75" customHeight="1"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209"/>
      <c r="P782" s="155"/>
      <c r="Q782" s="155"/>
      <c r="R782" s="209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</row>
    <row r="783" ht="15.75" customHeight="1"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209"/>
      <c r="P783" s="155"/>
      <c r="Q783" s="155"/>
      <c r="R783" s="209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</row>
    <row r="784" ht="15.75" customHeight="1"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209"/>
      <c r="P784" s="155"/>
      <c r="Q784" s="155"/>
      <c r="R784" s="209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</row>
    <row r="785" ht="15.75" customHeight="1"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209"/>
      <c r="P785" s="155"/>
      <c r="Q785" s="155"/>
      <c r="R785" s="209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</row>
    <row r="786" ht="15.75" customHeight="1"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209"/>
      <c r="P786" s="155"/>
      <c r="Q786" s="155"/>
      <c r="R786" s="209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</row>
    <row r="787" ht="15.75" customHeight="1"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209"/>
      <c r="P787" s="155"/>
      <c r="Q787" s="155"/>
      <c r="R787" s="209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</row>
    <row r="788" ht="15.75" customHeight="1"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209"/>
      <c r="P788" s="155"/>
      <c r="Q788" s="155"/>
      <c r="R788" s="209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</row>
    <row r="789" ht="15.75" customHeight="1"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209"/>
      <c r="P789" s="155"/>
      <c r="Q789" s="155"/>
      <c r="R789" s="209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</row>
    <row r="790" ht="15.75" customHeight="1"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209"/>
      <c r="P790" s="155"/>
      <c r="Q790" s="155"/>
      <c r="R790" s="209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</row>
    <row r="791" ht="15.75" customHeight="1"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209"/>
      <c r="P791" s="155"/>
      <c r="Q791" s="155"/>
      <c r="R791" s="209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</row>
    <row r="792" ht="15.75" customHeight="1"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209"/>
      <c r="P792" s="155"/>
      <c r="Q792" s="155"/>
      <c r="R792" s="209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</row>
    <row r="793" ht="15.75" customHeight="1"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209"/>
      <c r="P793" s="155"/>
      <c r="Q793" s="155"/>
      <c r="R793" s="209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</row>
    <row r="794" ht="15.75" customHeight="1"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209"/>
      <c r="P794" s="155"/>
      <c r="Q794" s="155"/>
      <c r="R794" s="209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</row>
    <row r="795" ht="15.75" customHeight="1"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209"/>
      <c r="P795" s="155"/>
      <c r="Q795" s="155"/>
      <c r="R795" s="209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</row>
    <row r="796" ht="15.75" customHeight="1"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209"/>
      <c r="P796" s="155"/>
      <c r="Q796" s="155"/>
      <c r="R796" s="209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</row>
    <row r="797" ht="15.75" customHeight="1"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209"/>
      <c r="P797" s="155"/>
      <c r="Q797" s="155"/>
      <c r="R797" s="209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</row>
    <row r="798" ht="15.75" customHeight="1"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209"/>
      <c r="P798" s="155"/>
      <c r="Q798" s="155"/>
      <c r="R798" s="209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</row>
    <row r="799" ht="15.75" customHeight="1"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209"/>
      <c r="P799" s="155"/>
      <c r="Q799" s="155"/>
      <c r="R799" s="209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</row>
    <row r="800" ht="15.75" customHeight="1"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209"/>
      <c r="P800" s="155"/>
      <c r="Q800" s="155"/>
      <c r="R800" s="209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</row>
    <row r="801" ht="15.75" customHeight="1"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209"/>
      <c r="P801" s="155"/>
      <c r="Q801" s="155"/>
      <c r="R801" s="209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</row>
    <row r="802" ht="15.75" customHeight="1"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209"/>
      <c r="P802" s="155"/>
      <c r="Q802" s="155"/>
      <c r="R802" s="209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</row>
    <row r="803" ht="15.75" customHeight="1"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209"/>
      <c r="P803" s="155"/>
      <c r="Q803" s="155"/>
      <c r="R803" s="209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</row>
    <row r="804" ht="15.75" customHeight="1"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209"/>
      <c r="P804" s="155"/>
      <c r="Q804" s="155"/>
      <c r="R804" s="209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</row>
    <row r="805" ht="15.75" customHeight="1"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209"/>
      <c r="P805" s="155"/>
      <c r="Q805" s="155"/>
      <c r="R805" s="209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</row>
    <row r="806" ht="15.75" customHeight="1"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209"/>
      <c r="P806" s="155"/>
      <c r="Q806" s="155"/>
      <c r="R806" s="209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</row>
    <row r="807" ht="15.75" customHeight="1"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209"/>
      <c r="P807" s="155"/>
      <c r="Q807" s="155"/>
      <c r="R807" s="209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</row>
    <row r="808" ht="15.75" customHeight="1"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209"/>
      <c r="P808" s="155"/>
      <c r="Q808" s="155"/>
      <c r="R808" s="209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</row>
    <row r="809" ht="15.75" customHeight="1"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209"/>
      <c r="P809" s="155"/>
      <c r="Q809" s="155"/>
      <c r="R809" s="209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</row>
    <row r="810" ht="15.75" customHeight="1"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209"/>
      <c r="P810" s="155"/>
      <c r="Q810" s="155"/>
      <c r="R810" s="209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</row>
    <row r="811" ht="15.75" customHeight="1"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209"/>
      <c r="P811" s="155"/>
      <c r="Q811" s="155"/>
      <c r="R811" s="209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</row>
    <row r="812" ht="15.75" customHeight="1"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209"/>
      <c r="P812" s="155"/>
      <c r="Q812" s="155"/>
      <c r="R812" s="209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</row>
    <row r="813" ht="15.75" customHeight="1"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209"/>
      <c r="P813" s="155"/>
      <c r="Q813" s="155"/>
      <c r="R813" s="209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</row>
    <row r="814" ht="15.75" customHeight="1"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209"/>
      <c r="P814" s="155"/>
      <c r="Q814" s="155"/>
      <c r="R814" s="209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</row>
    <row r="815" ht="15.75" customHeight="1"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209"/>
      <c r="P815" s="155"/>
      <c r="Q815" s="155"/>
      <c r="R815" s="209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</row>
    <row r="816" ht="15.75" customHeight="1"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209"/>
      <c r="P816" s="155"/>
      <c r="Q816" s="155"/>
      <c r="R816" s="209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</row>
    <row r="817" ht="15.75" customHeight="1"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209"/>
      <c r="P817" s="155"/>
      <c r="Q817" s="155"/>
      <c r="R817" s="209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</row>
    <row r="818" ht="15.75" customHeight="1"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209"/>
      <c r="P818" s="155"/>
      <c r="Q818" s="155"/>
      <c r="R818" s="209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</row>
    <row r="819" ht="15.75" customHeight="1"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209"/>
      <c r="P819" s="155"/>
      <c r="Q819" s="155"/>
      <c r="R819" s="209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</row>
    <row r="820" ht="15.75" customHeight="1"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209"/>
      <c r="P820" s="155"/>
      <c r="Q820" s="155"/>
      <c r="R820" s="209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</row>
    <row r="821" ht="15.75" customHeight="1"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209"/>
      <c r="P821" s="155"/>
      <c r="Q821" s="155"/>
      <c r="R821" s="209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</row>
    <row r="822" ht="15.75" customHeight="1"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209"/>
      <c r="P822" s="155"/>
      <c r="Q822" s="155"/>
      <c r="R822" s="209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</row>
    <row r="823" ht="15.75" customHeight="1"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209"/>
      <c r="P823" s="155"/>
      <c r="Q823" s="155"/>
      <c r="R823" s="209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</row>
    <row r="824" ht="15.75" customHeight="1"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209"/>
      <c r="P824" s="155"/>
      <c r="Q824" s="155"/>
      <c r="R824" s="209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</row>
    <row r="825" ht="15.75" customHeight="1"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209"/>
      <c r="P825" s="155"/>
      <c r="Q825" s="155"/>
      <c r="R825" s="209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</row>
    <row r="826" ht="15.75" customHeight="1"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209"/>
      <c r="P826" s="155"/>
      <c r="Q826" s="155"/>
      <c r="R826" s="209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</row>
    <row r="827" ht="15.75" customHeight="1"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209"/>
      <c r="P827" s="155"/>
      <c r="Q827" s="155"/>
      <c r="R827" s="209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</row>
    <row r="828" ht="15.75" customHeight="1"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209"/>
      <c r="P828" s="155"/>
      <c r="Q828" s="155"/>
      <c r="R828" s="209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</row>
    <row r="829" ht="15.75" customHeight="1"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209"/>
      <c r="P829" s="155"/>
      <c r="Q829" s="155"/>
      <c r="R829" s="209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</row>
    <row r="830" ht="15.75" customHeight="1"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209"/>
      <c r="P830" s="155"/>
      <c r="Q830" s="155"/>
      <c r="R830" s="209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</row>
    <row r="831" ht="15.75" customHeight="1"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209"/>
      <c r="P831" s="155"/>
      <c r="Q831" s="155"/>
      <c r="R831" s="209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</row>
    <row r="832" ht="15.75" customHeight="1"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209"/>
      <c r="P832" s="155"/>
      <c r="Q832" s="155"/>
      <c r="R832" s="209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</row>
    <row r="833" ht="15.75" customHeight="1"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209"/>
      <c r="P833" s="155"/>
      <c r="Q833" s="155"/>
      <c r="R833" s="209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</row>
    <row r="834" ht="15.75" customHeight="1"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209"/>
      <c r="P834" s="155"/>
      <c r="Q834" s="155"/>
      <c r="R834" s="209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</row>
    <row r="835" ht="15.75" customHeight="1"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209"/>
      <c r="P835" s="155"/>
      <c r="Q835" s="155"/>
      <c r="R835" s="209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</row>
    <row r="836" ht="15.75" customHeight="1"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209"/>
      <c r="P836" s="155"/>
      <c r="Q836" s="155"/>
      <c r="R836" s="209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</row>
    <row r="837" ht="15.75" customHeight="1"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209"/>
      <c r="P837" s="155"/>
      <c r="Q837" s="155"/>
      <c r="R837" s="209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</row>
    <row r="838" ht="15.75" customHeight="1"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209"/>
      <c r="P838" s="155"/>
      <c r="Q838" s="155"/>
      <c r="R838" s="209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</row>
    <row r="839" ht="15.75" customHeight="1"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209"/>
      <c r="P839" s="155"/>
      <c r="Q839" s="155"/>
      <c r="R839" s="209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</row>
    <row r="840" ht="15.75" customHeight="1"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209"/>
      <c r="P840" s="155"/>
      <c r="Q840" s="155"/>
      <c r="R840" s="209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</row>
    <row r="841" ht="15.75" customHeight="1"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209"/>
      <c r="P841" s="155"/>
      <c r="Q841" s="155"/>
      <c r="R841" s="209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</row>
    <row r="842" ht="15.75" customHeight="1"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209"/>
      <c r="P842" s="155"/>
      <c r="Q842" s="155"/>
      <c r="R842" s="209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</row>
    <row r="843" ht="15.75" customHeight="1"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209"/>
      <c r="P843" s="155"/>
      <c r="Q843" s="155"/>
      <c r="R843" s="209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</row>
    <row r="844" ht="15.75" customHeight="1"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209"/>
      <c r="P844" s="155"/>
      <c r="Q844" s="155"/>
      <c r="R844" s="209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</row>
    <row r="845" ht="15.75" customHeight="1"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209"/>
      <c r="P845" s="155"/>
      <c r="Q845" s="155"/>
      <c r="R845" s="209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</row>
    <row r="846" ht="15.75" customHeight="1"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209"/>
      <c r="P846" s="155"/>
      <c r="Q846" s="155"/>
      <c r="R846" s="209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</row>
    <row r="847" ht="15.75" customHeight="1"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209"/>
      <c r="P847" s="155"/>
      <c r="Q847" s="155"/>
      <c r="R847" s="209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</row>
    <row r="848" ht="15.75" customHeight="1"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209"/>
      <c r="P848" s="155"/>
      <c r="Q848" s="155"/>
      <c r="R848" s="209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</row>
    <row r="849" ht="15.75" customHeight="1"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209"/>
      <c r="P849" s="155"/>
      <c r="Q849" s="155"/>
      <c r="R849" s="209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</row>
    <row r="850" ht="15.75" customHeight="1"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209"/>
      <c r="P850" s="155"/>
      <c r="Q850" s="155"/>
      <c r="R850" s="209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</row>
    <row r="851" ht="15.75" customHeight="1"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209"/>
      <c r="P851" s="155"/>
      <c r="Q851" s="155"/>
      <c r="R851" s="209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</row>
    <row r="852" ht="15.75" customHeight="1"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209"/>
      <c r="P852" s="155"/>
      <c r="Q852" s="155"/>
      <c r="R852" s="209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</row>
    <row r="853" ht="15.75" customHeight="1"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209"/>
      <c r="P853" s="155"/>
      <c r="Q853" s="155"/>
      <c r="R853" s="209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</row>
    <row r="854" ht="15.75" customHeight="1"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209"/>
      <c r="P854" s="155"/>
      <c r="Q854" s="155"/>
      <c r="R854" s="209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</row>
    <row r="855" ht="15.75" customHeight="1"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209"/>
      <c r="P855" s="155"/>
      <c r="Q855" s="155"/>
      <c r="R855" s="209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</row>
    <row r="856" ht="15.75" customHeight="1"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209"/>
      <c r="P856" s="155"/>
      <c r="Q856" s="155"/>
      <c r="R856" s="209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</row>
    <row r="857" ht="15.75" customHeight="1"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209"/>
      <c r="P857" s="155"/>
      <c r="Q857" s="155"/>
      <c r="R857" s="209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</row>
    <row r="858" ht="15.75" customHeight="1"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209"/>
      <c r="P858" s="155"/>
      <c r="Q858" s="155"/>
      <c r="R858" s="209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</row>
    <row r="859" ht="15.75" customHeight="1"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209"/>
      <c r="P859" s="155"/>
      <c r="Q859" s="155"/>
      <c r="R859" s="209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</row>
    <row r="860" ht="15.75" customHeight="1"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209"/>
      <c r="P860" s="155"/>
      <c r="Q860" s="155"/>
      <c r="R860" s="209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</row>
    <row r="861" ht="15.75" customHeight="1"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209"/>
      <c r="P861" s="155"/>
      <c r="Q861" s="155"/>
      <c r="R861" s="209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</row>
    <row r="862" ht="15.75" customHeight="1"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209"/>
      <c r="P862" s="155"/>
      <c r="Q862" s="155"/>
      <c r="R862" s="209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</row>
    <row r="863" ht="15.75" customHeight="1"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209"/>
      <c r="P863" s="155"/>
      <c r="Q863" s="155"/>
      <c r="R863" s="209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</row>
    <row r="864" ht="15.75" customHeight="1"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209"/>
      <c r="P864" s="155"/>
      <c r="Q864" s="155"/>
      <c r="R864" s="209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</row>
    <row r="865" ht="15.75" customHeight="1"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209"/>
      <c r="P865" s="155"/>
      <c r="Q865" s="155"/>
      <c r="R865" s="209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</row>
    <row r="866" ht="15.75" customHeight="1"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209"/>
      <c r="P866" s="155"/>
      <c r="Q866" s="155"/>
      <c r="R866" s="209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</row>
    <row r="867" ht="15.75" customHeight="1"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209"/>
      <c r="P867" s="155"/>
      <c r="Q867" s="155"/>
      <c r="R867" s="209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</row>
    <row r="868" ht="15.75" customHeight="1"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209"/>
      <c r="P868" s="155"/>
      <c r="Q868" s="155"/>
      <c r="R868" s="209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</row>
    <row r="869" ht="15.75" customHeight="1"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209"/>
      <c r="P869" s="155"/>
      <c r="Q869" s="155"/>
      <c r="R869" s="209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</row>
    <row r="870" ht="15.75" customHeight="1"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209"/>
      <c r="P870" s="155"/>
      <c r="Q870" s="155"/>
      <c r="R870" s="209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</row>
    <row r="871" ht="15.75" customHeight="1"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209"/>
      <c r="P871" s="155"/>
      <c r="Q871" s="155"/>
      <c r="R871" s="209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</row>
    <row r="872" ht="15.75" customHeight="1"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209"/>
      <c r="P872" s="155"/>
      <c r="Q872" s="155"/>
      <c r="R872" s="209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</row>
    <row r="873" ht="15.75" customHeight="1"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209"/>
      <c r="P873" s="155"/>
      <c r="Q873" s="155"/>
      <c r="R873" s="209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</row>
    <row r="874" ht="15.75" customHeight="1"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209"/>
      <c r="P874" s="155"/>
      <c r="Q874" s="155"/>
      <c r="R874" s="209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</row>
    <row r="875" ht="15.75" customHeight="1"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209"/>
      <c r="P875" s="155"/>
      <c r="Q875" s="155"/>
      <c r="R875" s="209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</row>
    <row r="876" ht="15.75" customHeight="1"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209"/>
      <c r="P876" s="155"/>
      <c r="Q876" s="155"/>
      <c r="R876" s="209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</row>
    <row r="877" ht="15.75" customHeight="1"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209"/>
      <c r="P877" s="155"/>
      <c r="Q877" s="155"/>
      <c r="R877" s="209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</row>
    <row r="878" ht="15.75" customHeight="1"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209"/>
      <c r="P878" s="155"/>
      <c r="Q878" s="155"/>
      <c r="R878" s="209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</row>
    <row r="879" ht="15.75" customHeight="1"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209"/>
      <c r="P879" s="155"/>
      <c r="Q879" s="155"/>
      <c r="R879" s="209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</row>
    <row r="880" ht="15.75" customHeight="1"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209"/>
      <c r="P880" s="155"/>
      <c r="Q880" s="155"/>
      <c r="R880" s="209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</row>
    <row r="881" ht="15.75" customHeight="1"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209"/>
      <c r="P881" s="155"/>
      <c r="Q881" s="155"/>
      <c r="R881" s="209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</row>
    <row r="882" ht="15.75" customHeight="1"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209"/>
      <c r="P882" s="155"/>
      <c r="Q882" s="155"/>
      <c r="R882" s="209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</row>
    <row r="883" ht="15.75" customHeight="1"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209"/>
      <c r="P883" s="155"/>
      <c r="Q883" s="155"/>
      <c r="R883" s="209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</row>
    <row r="884" ht="15.75" customHeight="1"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209"/>
      <c r="P884" s="155"/>
      <c r="Q884" s="155"/>
      <c r="R884" s="209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</row>
    <row r="885" ht="15.75" customHeight="1"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209"/>
      <c r="P885" s="155"/>
      <c r="Q885" s="155"/>
      <c r="R885" s="209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</row>
    <row r="886" ht="15.75" customHeight="1"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209"/>
      <c r="P886" s="155"/>
      <c r="Q886" s="155"/>
      <c r="R886" s="209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</row>
    <row r="887" ht="15.75" customHeight="1"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209"/>
      <c r="P887" s="155"/>
      <c r="Q887" s="155"/>
      <c r="R887" s="209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</row>
    <row r="888" ht="15.75" customHeight="1"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209"/>
      <c r="P888" s="155"/>
      <c r="Q888" s="155"/>
      <c r="R888" s="209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</row>
    <row r="889" ht="15.75" customHeight="1"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209"/>
      <c r="P889" s="155"/>
      <c r="Q889" s="155"/>
      <c r="R889" s="209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</row>
    <row r="890" ht="15.75" customHeight="1"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209"/>
      <c r="P890" s="155"/>
      <c r="Q890" s="155"/>
      <c r="R890" s="209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</row>
    <row r="891" ht="15.75" customHeight="1"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209"/>
      <c r="P891" s="155"/>
      <c r="Q891" s="155"/>
      <c r="R891" s="209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</row>
    <row r="892" ht="15.75" customHeight="1"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209"/>
      <c r="P892" s="155"/>
      <c r="Q892" s="155"/>
      <c r="R892" s="209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</row>
    <row r="893" ht="15.75" customHeight="1"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209"/>
      <c r="P893" s="155"/>
      <c r="Q893" s="155"/>
      <c r="R893" s="209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</row>
    <row r="894" ht="15.75" customHeight="1"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209"/>
      <c r="P894" s="155"/>
      <c r="Q894" s="155"/>
      <c r="R894" s="209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</row>
    <row r="895" ht="15.75" customHeight="1"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209"/>
      <c r="P895" s="155"/>
      <c r="Q895" s="155"/>
      <c r="R895" s="209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</row>
    <row r="896" ht="15.75" customHeight="1"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209"/>
      <c r="P896" s="155"/>
      <c r="Q896" s="155"/>
      <c r="R896" s="209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</row>
    <row r="897" ht="15.75" customHeight="1"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209"/>
      <c r="P897" s="155"/>
      <c r="Q897" s="155"/>
      <c r="R897" s="209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</row>
    <row r="898" ht="15.75" customHeight="1"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209"/>
      <c r="P898" s="155"/>
      <c r="Q898" s="155"/>
      <c r="R898" s="209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</row>
    <row r="899" ht="15.75" customHeight="1"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209"/>
      <c r="P899" s="155"/>
      <c r="Q899" s="155"/>
      <c r="R899" s="209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</row>
    <row r="900" ht="15.75" customHeight="1"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209"/>
      <c r="P900" s="155"/>
      <c r="Q900" s="155"/>
      <c r="R900" s="209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</row>
    <row r="901" ht="15.75" customHeight="1"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209"/>
      <c r="P901" s="155"/>
      <c r="Q901" s="155"/>
      <c r="R901" s="209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</row>
    <row r="902" ht="15.75" customHeight="1"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209"/>
      <c r="P902" s="155"/>
      <c r="Q902" s="155"/>
      <c r="R902" s="209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</row>
    <row r="903" ht="15.75" customHeight="1"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209"/>
      <c r="P903" s="155"/>
      <c r="Q903" s="155"/>
      <c r="R903" s="209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</row>
    <row r="904" ht="15.75" customHeight="1"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209"/>
      <c r="P904" s="155"/>
      <c r="Q904" s="155"/>
      <c r="R904" s="209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</row>
    <row r="905" ht="15.75" customHeight="1"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209"/>
      <c r="P905" s="155"/>
      <c r="Q905" s="155"/>
      <c r="R905" s="209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</row>
    <row r="906" ht="15.75" customHeight="1"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209"/>
      <c r="P906" s="155"/>
      <c r="Q906" s="155"/>
      <c r="R906" s="209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</row>
    <row r="907" ht="15.75" customHeight="1"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209"/>
      <c r="P907" s="155"/>
      <c r="Q907" s="155"/>
      <c r="R907" s="209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</row>
    <row r="908" ht="15.75" customHeight="1"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209"/>
      <c r="P908" s="155"/>
      <c r="Q908" s="155"/>
      <c r="R908" s="209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</row>
    <row r="909" ht="15.75" customHeight="1"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209"/>
      <c r="P909" s="155"/>
      <c r="Q909" s="155"/>
      <c r="R909" s="209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</row>
    <row r="910" ht="15.75" customHeight="1"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209"/>
      <c r="P910" s="155"/>
      <c r="Q910" s="155"/>
      <c r="R910" s="209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</row>
    <row r="911" ht="15.75" customHeight="1"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209"/>
      <c r="P911" s="155"/>
      <c r="Q911" s="155"/>
      <c r="R911" s="209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</row>
    <row r="912" ht="15.75" customHeight="1"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209"/>
      <c r="P912" s="155"/>
      <c r="Q912" s="155"/>
      <c r="R912" s="209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</row>
    <row r="913" ht="15.75" customHeight="1"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209"/>
      <c r="P913" s="155"/>
      <c r="Q913" s="155"/>
      <c r="R913" s="209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</row>
    <row r="914" ht="15.75" customHeight="1"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209"/>
      <c r="P914" s="155"/>
      <c r="Q914" s="155"/>
      <c r="R914" s="209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</row>
    <row r="915" ht="15.75" customHeight="1"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209"/>
      <c r="P915" s="155"/>
      <c r="Q915" s="155"/>
      <c r="R915" s="209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</row>
    <row r="916" ht="15.75" customHeight="1"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209"/>
      <c r="P916" s="155"/>
      <c r="Q916" s="155"/>
      <c r="R916" s="209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</row>
    <row r="917" ht="15.75" customHeight="1"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209"/>
      <c r="P917" s="155"/>
      <c r="Q917" s="155"/>
      <c r="R917" s="209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</row>
    <row r="918" ht="15.75" customHeight="1"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209"/>
      <c r="P918" s="155"/>
      <c r="Q918" s="155"/>
      <c r="R918" s="209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</row>
    <row r="919" ht="15.75" customHeight="1"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209"/>
      <c r="P919" s="155"/>
      <c r="Q919" s="155"/>
      <c r="R919" s="209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</row>
    <row r="920" ht="15.75" customHeight="1"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209"/>
      <c r="P920" s="155"/>
      <c r="Q920" s="155"/>
      <c r="R920" s="209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</row>
    <row r="921" ht="15.75" customHeight="1"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209"/>
      <c r="P921" s="155"/>
      <c r="Q921" s="155"/>
      <c r="R921" s="209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</row>
    <row r="922" ht="15.75" customHeight="1"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209"/>
      <c r="P922" s="155"/>
      <c r="Q922" s="155"/>
      <c r="R922" s="209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</row>
    <row r="923" ht="15.75" customHeight="1"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209"/>
      <c r="P923" s="155"/>
      <c r="Q923" s="155"/>
      <c r="R923" s="209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</row>
    <row r="924" ht="15.75" customHeight="1"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209"/>
      <c r="P924" s="155"/>
      <c r="Q924" s="155"/>
      <c r="R924" s="209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</row>
    <row r="925" ht="15.75" customHeight="1"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209"/>
      <c r="P925" s="155"/>
      <c r="Q925" s="155"/>
      <c r="R925" s="209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</row>
    <row r="926" ht="15.75" customHeight="1"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209"/>
      <c r="P926" s="155"/>
      <c r="Q926" s="155"/>
      <c r="R926" s="209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</row>
    <row r="927" ht="15.75" customHeight="1"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209"/>
      <c r="P927" s="155"/>
      <c r="Q927" s="155"/>
      <c r="R927" s="209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</row>
    <row r="928" ht="15.75" customHeight="1"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209"/>
      <c r="P928" s="155"/>
      <c r="Q928" s="155"/>
      <c r="R928" s="209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</row>
    <row r="929" ht="15.75" customHeight="1"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209"/>
      <c r="P929" s="155"/>
      <c r="Q929" s="155"/>
      <c r="R929" s="209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</row>
    <row r="930" ht="15.75" customHeight="1"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209"/>
      <c r="P930" s="155"/>
      <c r="Q930" s="155"/>
      <c r="R930" s="209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</row>
    <row r="931" ht="15.75" customHeight="1"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209"/>
      <c r="P931" s="155"/>
      <c r="Q931" s="155"/>
      <c r="R931" s="209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</row>
    <row r="932" ht="15.75" customHeight="1"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209"/>
      <c r="P932" s="155"/>
      <c r="Q932" s="155"/>
      <c r="R932" s="209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</row>
    <row r="933" ht="15.75" customHeight="1"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209"/>
      <c r="P933" s="155"/>
      <c r="Q933" s="155"/>
      <c r="R933" s="209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</row>
    <row r="934" ht="15.75" customHeight="1"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209"/>
      <c r="P934" s="155"/>
      <c r="Q934" s="155"/>
      <c r="R934" s="209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</row>
    <row r="935" ht="15.75" customHeight="1"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209"/>
      <c r="P935" s="155"/>
      <c r="Q935" s="155"/>
      <c r="R935" s="209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</row>
    <row r="936" ht="15.75" customHeight="1"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209"/>
      <c r="P936" s="155"/>
      <c r="Q936" s="155"/>
      <c r="R936" s="209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</row>
    <row r="937" ht="15.75" customHeight="1"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209"/>
      <c r="P937" s="155"/>
      <c r="Q937" s="155"/>
      <c r="R937" s="209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</row>
    <row r="938" ht="15.75" customHeight="1"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209"/>
      <c r="P938" s="155"/>
      <c r="Q938" s="155"/>
      <c r="R938" s="209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</row>
    <row r="939" ht="15.75" customHeight="1"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209"/>
      <c r="P939" s="155"/>
      <c r="Q939" s="155"/>
      <c r="R939" s="209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</row>
    <row r="940" ht="15.75" customHeight="1"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209"/>
      <c r="P940" s="155"/>
      <c r="Q940" s="155"/>
      <c r="R940" s="209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</row>
    <row r="941" ht="15.75" customHeight="1"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209"/>
      <c r="P941" s="155"/>
      <c r="Q941" s="155"/>
      <c r="R941" s="209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</row>
    <row r="942" ht="15.75" customHeight="1"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209"/>
      <c r="P942" s="155"/>
      <c r="Q942" s="155"/>
      <c r="R942" s="209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</row>
    <row r="943" ht="15.75" customHeight="1"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209"/>
      <c r="P943" s="155"/>
      <c r="Q943" s="155"/>
      <c r="R943" s="209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</row>
    <row r="944" ht="15.75" customHeight="1"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209"/>
      <c r="P944" s="155"/>
      <c r="Q944" s="155"/>
      <c r="R944" s="209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</row>
    <row r="945" ht="15.75" customHeight="1"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209"/>
      <c r="P945" s="155"/>
      <c r="Q945" s="155"/>
      <c r="R945" s="209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</row>
    <row r="946" ht="15.75" customHeight="1"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209"/>
      <c r="P946" s="155"/>
      <c r="Q946" s="155"/>
      <c r="R946" s="209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</row>
    <row r="947" ht="15.75" customHeight="1"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209"/>
      <c r="P947" s="155"/>
      <c r="Q947" s="155"/>
      <c r="R947" s="209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</row>
    <row r="948" ht="15.75" customHeight="1"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209"/>
      <c r="P948" s="155"/>
      <c r="Q948" s="155"/>
      <c r="R948" s="209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</row>
    <row r="949" ht="15.75" customHeight="1"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209"/>
      <c r="P949" s="155"/>
      <c r="Q949" s="155"/>
      <c r="R949" s="209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</row>
    <row r="950" ht="15.75" customHeight="1"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209"/>
      <c r="P950" s="155"/>
      <c r="Q950" s="155"/>
      <c r="R950" s="209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</row>
    <row r="951" ht="15.75" customHeight="1"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209"/>
      <c r="P951" s="155"/>
      <c r="Q951" s="155"/>
      <c r="R951" s="209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</row>
    <row r="952" ht="15.75" customHeight="1"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209"/>
      <c r="P952" s="155"/>
      <c r="Q952" s="155"/>
      <c r="R952" s="209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</row>
    <row r="953" ht="15.75" customHeight="1"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209"/>
      <c r="P953" s="155"/>
      <c r="Q953" s="155"/>
      <c r="R953" s="209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</row>
    <row r="954" ht="15.75" customHeight="1"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209"/>
      <c r="P954" s="155"/>
      <c r="Q954" s="155"/>
      <c r="R954" s="209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</row>
    <row r="955" ht="15.75" customHeight="1"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209"/>
      <c r="P955" s="155"/>
      <c r="Q955" s="155"/>
      <c r="R955" s="209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</row>
    <row r="956" ht="15.75" customHeight="1"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209"/>
      <c r="P956" s="155"/>
      <c r="Q956" s="155"/>
      <c r="R956" s="209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</row>
    <row r="957" ht="15.75" customHeight="1"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209"/>
      <c r="P957" s="155"/>
      <c r="Q957" s="155"/>
      <c r="R957" s="209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</row>
    <row r="958" ht="15.75" customHeight="1"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209"/>
      <c r="P958" s="155"/>
      <c r="Q958" s="155"/>
      <c r="R958" s="209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</row>
    <row r="959" ht="15.75" customHeight="1"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209"/>
      <c r="P959" s="155"/>
      <c r="Q959" s="155"/>
      <c r="R959" s="209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</row>
    <row r="960" ht="15.75" customHeight="1"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209"/>
      <c r="P960" s="155"/>
      <c r="Q960" s="155"/>
      <c r="R960" s="209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</row>
    <row r="961" ht="15.75" customHeight="1"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209"/>
      <c r="P961" s="155"/>
      <c r="Q961" s="155"/>
      <c r="R961" s="209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</row>
    <row r="962" ht="15.75" customHeight="1"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209"/>
      <c r="P962" s="155"/>
      <c r="Q962" s="155"/>
      <c r="R962" s="209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</row>
    <row r="963" ht="15.75" customHeight="1"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209"/>
      <c r="P963" s="155"/>
      <c r="Q963" s="155"/>
      <c r="R963" s="209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</row>
    <row r="964" ht="15.75" customHeight="1"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209"/>
      <c r="P964" s="155"/>
      <c r="Q964" s="155"/>
      <c r="R964" s="209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</row>
    <row r="965" ht="15.75" customHeight="1"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209"/>
      <c r="P965" s="155"/>
      <c r="Q965" s="155"/>
      <c r="R965" s="209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</row>
    <row r="966" ht="15.75" customHeight="1"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209"/>
      <c r="P966" s="155"/>
      <c r="Q966" s="155"/>
      <c r="R966" s="209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</row>
    <row r="967" ht="15.75" customHeight="1"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209"/>
      <c r="P967" s="155"/>
      <c r="Q967" s="155"/>
      <c r="R967" s="209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</row>
    <row r="968" ht="15.75" customHeight="1"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209"/>
      <c r="P968" s="155"/>
      <c r="Q968" s="155"/>
      <c r="R968" s="209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</row>
    <row r="969" ht="15.75" customHeight="1"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209"/>
      <c r="P969" s="155"/>
      <c r="Q969" s="155"/>
      <c r="R969" s="209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</row>
    <row r="970" ht="15.75" customHeight="1"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209"/>
      <c r="P970" s="155"/>
      <c r="Q970" s="155"/>
      <c r="R970" s="209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</row>
    <row r="971" ht="15.75" customHeight="1"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209"/>
      <c r="P971" s="155"/>
      <c r="Q971" s="155"/>
      <c r="R971" s="209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</row>
    <row r="972" ht="15.75" customHeight="1"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209"/>
      <c r="P972" s="155"/>
      <c r="Q972" s="155"/>
      <c r="R972" s="209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</row>
    <row r="973" ht="15.75" customHeight="1"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209"/>
      <c r="P973" s="155"/>
      <c r="Q973" s="155"/>
      <c r="R973" s="209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</row>
    <row r="974" ht="15.75" customHeight="1"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209"/>
      <c r="P974" s="155"/>
      <c r="Q974" s="155"/>
      <c r="R974" s="209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</row>
    <row r="975" ht="15.75" customHeight="1"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209"/>
      <c r="P975" s="155"/>
      <c r="Q975" s="155"/>
      <c r="R975" s="209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</row>
    <row r="976" ht="15.75" customHeight="1"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209"/>
      <c r="P976" s="155"/>
      <c r="Q976" s="155"/>
      <c r="R976" s="209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</row>
    <row r="977" ht="15.75" customHeight="1"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209"/>
      <c r="P977" s="155"/>
      <c r="Q977" s="155"/>
      <c r="R977" s="209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</row>
    <row r="978" ht="15.75" customHeight="1"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209"/>
      <c r="P978" s="155"/>
      <c r="Q978" s="155"/>
      <c r="R978" s="209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</row>
    <row r="979" ht="15.75" customHeight="1"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209"/>
      <c r="P979" s="155"/>
      <c r="Q979" s="155"/>
      <c r="R979" s="209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</row>
    <row r="980" ht="15.75" customHeight="1"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209"/>
      <c r="P980" s="155"/>
      <c r="Q980" s="155"/>
      <c r="R980" s="209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</row>
    <row r="981" ht="15.75" customHeight="1"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209"/>
      <c r="P981" s="155"/>
      <c r="Q981" s="155"/>
      <c r="R981" s="209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</row>
    <row r="982" ht="15.75" customHeight="1"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209"/>
      <c r="P982" s="155"/>
      <c r="Q982" s="155"/>
      <c r="R982" s="209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</row>
    <row r="983" ht="15.75" customHeight="1"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209"/>
      <c r="P983" s="155"/>
      <c r="Q983" s="155"/>
      <c r="R983" s="209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</row>
    <row r="984" ht="15.75" customHeight="1"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209"/>
      <c r="P984" s="155"/>
      <c r="Q984" s="155"/>
      <c r="R984" s="209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</row>
    <row r="985" ht="15.75" customHeight="1"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209"/>
      <c r="P985" s="155"/>
      <c r="Q985" s="155"/>
      <c r="R985" s="209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</row>
    <row r="986" ht="15.75" customHeight="1"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209"/>
      <c r="P986" s="155"/>
      <c r="Q986" s="155"/>
      <c r="R986" s="209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</row>
    <row r="987" ht="15.75" customHeight="1"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209"/>
      <c r="P987" s="155"/>
      <c r="Q987" s="155"/>
      <c r="R987" s="209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</row>
    <row r="988" ht="15.75" customHeight="1"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209"/>
      <c r="P988" s="155"/>
      <c r="Q988" s="155"/>
      <c r="R988" s="209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</row>
    <row r="989" ht="15.75" customHeight="1"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209"/>
      <c r="P989" s="155"/>
      <c r="Q989" s="155"/>
      <c r="R989" s="209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</row>
    <row r="990" ht="15.75" customHeight="1"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209"/>
      <c r="P990" s="155"/>
      <c r="Q990" s="155"/>
      <c r="R990" s="209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</row>
    <row r="991" ht="15.75" customHeight="1"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209"/>
      <c r="P991" s="155"/>
      <c r="Q991" s="155"/>
      <c r="R991" s="209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</row>
    <row r="992" ht="15.75" customHeight="1"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209"/>
      <c r="P992" s="155"/>
      <c r="Q992" s="155"/>
      <c r="R992" s="209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</row>
    <row r="993" ht="15.75" customHeight="1"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209"/>
      <c r="P993" s="155"/>
      <c r="Q993" s="155"/>
      <c r="R993" s="209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</row>
    <row r="994" ht="15.75" customHeight="1"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209"/>
      <c r="P994" s="155"/>
      <c r="Q994" s="155"/>
      <c r="R994" s="209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</row>
    <row r="995" ht="15.75" customHeight="1"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209"/>
      <c r="P995" s="155"/>
      <c r="Q995" s="155"/>
      <c r="R995" s="209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</row>
    <row r="996" ht="15.75" customHeight="1"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209"/>
      <c r="P996" s="155"/>
      <c r="Q996" s="155"/>
      <c r="R996" s="209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</row>
    <row r="997" ht="15.75" customHeight="1"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209"/>
      <c r="P997" s="155"/>
      <c r="Q997" s="155"/>
      <c r="R997" s="209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</row>
    <row r="998" ht="15.75" customHeight="1"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209"/>
      <c r="P998" s="155"/>
      <c r="Q998" s="155"/>
      <c r="R998" s="209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</row>
    <row r="999" ht="15.75" customHeight="1"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209"/>
      <c r="P999" s="155"/>
      <c r="Q999" s="155"/>
      <c r="R999" s="209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</row>
    <row r="1000" ht="15.75" customHeight="1"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209"/>
      <c r="P1000" s="155"/>
      <c r="Q1000" s="155"/>
      <c r="R1000" s="209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</row>
  </sheetData>
  <autoFilter ref="$A$1:$AD$415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57"/>
    <col customWidth="1" min="3" max="3" width="15.57"/>
    <col customWidth="1" min="4" max="13" width="14.57"/>
    <col customWidth="1" min="14" max="14" width="19.43"/>
    <col customWidth="1" min="15" max="15" width="14.57"/>
    <col customWidth="1" min="16" max="16" width="10.71"/>
    <col customWidth="1" min="17" max="17" width="9.86"/>
    <col customWidth="1" min="18" max="26" width="8.71"/>
  </cols>
  <sheetData>
    <row r="1" ht="14.25" customHeight="1">
      <c r="A1" s="34" t="s">
        <v>93</v>
      </c>
      <c r="B1" s="35" t="s">
        <v>94</v>
      </c>
      <c r="C1" s="6"/>
      <c r="D1" s="35" t="s">
        <v>95</v>
      </c>
      <c r="E1" s="6"/>
      <c r="F1" s="35" t="s">
        <v>96</v>
      </c>
      <c r="G1" s="6"/>
      <c r="H1" s="35" t="s">
        <v>98</v>
      </c>
      <c r="I1" s="6"/>
      <c r="J1" s="37" t="s">
        <v>72</v>
      </c>
      <c r="K1" s="6"/>
    </row>
    <row r="2" ht="14.25" customHeight="1">
      <c r="A2" s="39" t="s">
        <v>99</v>
      </c>
      <c r="B2" s="40" t="s">
        <v>100</v>
      </c>
      <c r="C2" s="40" t="s">
        <v>93</v>
      </c>
      <c r="D2" s="40" t="s">
        <v>100</v>
      </c>
      <c r="E2" s="40" t="s">
        <v>93</v>
      </c>
      <c r="F2" s="40" t="s">
        <v>100</v>
      </c>
      <c r="G2" s="40" t="s">
        <v>93</v>
      </c>
      <c r="H2" s="40" t="s">
        <v>100</v>
      </c>
      <c r="I2" s="40" t="s">
        <v>93</v>
      </c>
      <c r="J2" s="40" t="s">
        <v>100</v>
      </c>
      <c r="K2" s="40" t="s">
        <v>93</v>
      </c>
    </row>
    <row r="3">
      <c r="A3" s="42" t="s">
        <v>102</v>
      </c>
      <c r="B3" s="43">
        <f t="shared" ref="B3:B4" si="1">(J3/31)*10</f>
        <v>48387.09677</v>
      </c>
      <c r="C3" s="44"/>
      <c r="D3" s="43">
        <f t="shared" ref="D3:D4" si="2">(J3/31)*7</f>
        <v>33870.96774</v>
      </c>
      <c r="E3" s="43"/>
      <c r="F3" s="43">
        <f t="shared" ref="F3:F4" si="3">(J3/31)*7</f>
        <v>33870.96774</v>
      </c>
      <c r="G3" s="43"/>
      <c r="H3" s="43">
        <f t="shared" ref="H3:H4" si="4">(J3/31)*7</f>
        <v>33870.96774</v>
      </c>
      <c r="I3" s="45"/>
      <c r="J3" s="43">
        <v>150000.0</v>
      </c>
      <c r="K3" s="43"/>
    </row>
    <row r="4" ht="14.25" customHeight="1">
      <c r="A4" s="42" t="s">
        <v>6</v>
      </c>
      <c r="B4" s="43">
        <f t="shared" si="1"/>
        <v>3374.145824</v>
      </c>
      <c r="C4" s="44"/>
      <c r="D4" s="43">
        <f t="shared" si="2"/>
        <v>2361.902077</v>
      </c>
      <c r="E4" s="43"/>
      <c r="F4" s="43">
        <f t="shared" si="3"/>
        <v>2361.902077</v>
      </c>
      <c r="G4" s="43"/>
      <c r="H4" s="43">
        <f t="shared" si="4"/>
        <v>2361.902077</v>
      </c>
      <c r="I4" s="45"/>
      <c r="J4" s="43">
        <v>10459.852054834286</v>
      </c>
      <c r="K4" s="43"/>
    </row>
    <row r="5">
      <c r="A5" s="42" t="s">
        <v>8</v>
      </c>
      <c r="B5" s="46">
        <f t="shared" ref="B5:K5" si="5">IFERROR(B3/B4,0)</f>
        <v>14.340547</v>
      </c>
      <c r="C5" s="46">
        <f t="shared" si="5"/>
        <v>0</v>
      </c>
      <c r="D5" s="46">
        <f t="shared" si="5"/>
        <v>14.340547</v>
      </c>
      <c r="E5" s="46">
        <f t="shared" si="5"/>
        <v>0</v>
      </c>
      <c r="F5" s="46">
        <f t="shared" si="5"/>
        <v>14.340547</v>
      </c>
      <c r="G5" s="46">
        <f t="shared" si="5"/>
        <v>0</v>
      </c>
      <c r="H5" s="46">
        <f t="shared" si="5"/>
        <v>14.340547</v>
      </c>
      <c r="I5" s="46">
        <f t="shared" si="5"/>
        <v>0</v>
      </c>
      <c r="J5" s="46">
        <f t="shared" si="5"/>
        <v>14.340547</v>
      </c>
      <c r="K5" s="46">
        <f t="shared" si="5"/>
        <v>0</v>
      </c>
    </row>
    <row r="6" ht="14.25" customHeight="1">
      <c r="A6" s="42" t="s">
        <v>9</v>
      </c>
      <c r="B6" s="43">
        <f>(J6/31)*10</f>
        <v>24.58748074</v>
      </c>
      <c r="C6" s="44"/>
      <c r="D6" s="43">
        <f>(J6/31)*7</f>
        <v>17.21123652</v>
      </c>
      <c r="E6" s="43"/>
      <c r="F6" s="43">
        <f>(J6/31)*7</f>
        <v>17.21123652</v>
      </c>
      <c r="G6" s="43"/>
      <c r="H6" s="43">
        <f>(J6/31)*7</f>
        <v>17.21123652</v>
      </c>
      <c r="I6" s="45"/>
      <c r="J6" s="43">
        <v>76.22119028367081</v>
      </c>
      <c r="K6" s="43"/>
    </row>
    <row r="7">
      <c r="A7" s="42" t="s">
        <v>23</v>
      </c>
      <c r="B7" s="43">
        <f t="shared" ref="B7:I7" si="6">IFERROR(B8-B6,0)</f>
        <v>18.20976869</v>
      </c>
      <c r="C7" s="43">
        <f t="shared" si="6"/>
        <v>0</v>
      </c>
      <c r="D7" s="43">
        <f t="shared" si="6"/>
        <v>12.74683808</v>
      </c>
      <c r="E7" s="43">
        <f t="shared" si="6"/>
        <v>0</v>
      </c>
      <c r="F7" s="43">
        <f t="shared" si="6"/>
        <v>12.74683808</v>
      </c>
      <c r="G7" s="43">
        <f t="shared" si="6"/>
        <v>0</v>
      </c>
      <c r="H7" s="43">
        <f t="shared" si="6"/>
        <v>12.74683808</v>
      </c>
      <c r="I7" s="43">
        <f t="shared" si="6"/>
        <v>0</v>
      </c>
      <c r="J7" s="43">
        <f>J8-J6</f>
        <v>56.45028293</v>
      </c>
      <c r="K7" s="43">
        <f>C7+E7+G7</f>
        <v>0</v>
      </c>
    </row>
    <row r="8" ht="14.25" customHeight="1">
      <c r="A8" s="42" t="s">
        <v>16</v>
      </c>
      <c r="B8" s="43">
        <f>(J8/31)*10</f>
        <v>42.79724942</v>
      </c>
      <c r="C8" s="44"/>
      <c r="D8" s="43">
        <f>(J8/31)*7</f>
        <v>29.9580746</v>
      </c>
      <c r="E8" s="43"/>
      <c r="F8" s="43">
        <f>(J8/31)*7</f>
        <v>29.9580746</v>
      </c>
      <c r="G8" s="43"/>
      <c r="H8" s="43">
        <f>(J8/31)*7</f>
        <v>29.9580746</v>
      </c>
      <c r="I8" s="43"/>
      <c r="J8" s="43">
        <v>132.67147321513127</v>
      </c>
      <c r="K8" s="43"/>
    </row>
    <row r="9">
      <c r="A9" s="42" t="s">
        <v>108</v>
      </c>
      <c r="B9" s="50">
        <v>0.06819521781160222</v>
      </c>
      <c r="C9" s="50">
        <v>0.0</v>
      </c>
      <c r="D9" s="50">
        <v>0.0700018467644643</v>
      </c>
      <c r="E9" s="50">
        <v>0.0</v>
      </c>
      <c r="F9" s="50">
        <v>0.071107128685709</v>
      </c>
      <c r="G9" s="50">
        <v>0.0</v>
      </c>
      <c r="H9" s="50">
        <v>0.071107128685709</v>
      </c>
      <c r="I9" s="50">
        <v>0.0</v>
      </c>
      <c r="J9" s="50">
        <v>0.07018219994417838</v>
      </c>
      <c r="K9" s="50">
        <v>0.0</v>
      </c>
    </row>
    <row r="10" ht="14.25" customHeight="1">
      <c r="A10" s="42" t="s">
        <v>11</v>
      </c>
      <c r="B10" s="43">
        <f>(J10/31)*10</f>
        <v>353443.8771</v>
      </c>
      <c r="C10" s="44"/>
      <c r="D10" s="43">
        <f>(J10/31)*7</f>
        <v>247410.714</v>
      </c>
      <c r="E10" s="43"/>
      <c r="F10" s="43">
        <f>(J10/31)*7</f>
        <v>247410.714</v>
      </c>
      <c r="G10" s="43"/>
      <c r="H10" s="43">
        <f>(J10/31)*7</f>
        <v>247410.714</v>
      </c>
      <c r="I10" s="45"/>
      <c r="J10" s="43">
        <v>1095676.0189883418</v>
      </c>
      <c r="K10" s="43"/>
    </row>
    <row r="11">
      <c r="A11" s="42" t="s">
        <v>112</v>
      </c>
      <c r="B11" s="43">
        <f t="shared" ref="B11:I11" si="7">IFERROR(B12-B10,0)</f>
        <v>218673.7934</v>
      </c>
      <c r="C11" s="43">
        <f t="shared" si="7"/>
        <v>0</v>
      </c>
      <c r="D11" s="43">
        <f t="shared" si="7"/>
        <v>153071.6554</v>
      </c>
      <c r="E11" s="43">
        <f t="shared" si="7"/>
        <v>0</v>
      </c>
      <c r="F11" s="43">
        <f t="shared" si="7"/>
        <v>153071.6554</v>
      </c>
      <c r="G11" s="43">
        <f t="shared" si="7"/>
        <v>0</v>
      </c>
      <c r="H11" s="43">
        <f t="shared" si="7"/>
        <v>153071.6554</v>
      </c>
      <c r="I11" s="43">
        <f t="shared" si="7"/>
        <v>0</v>
      </c>
      <c r="J11" s="43">
        <f>J12-J10</f>
        <v>677888.7595</v>
      </c>
      <c r="K11" s="43">
        <f>C11+E11+G11</f>
        <v>0</v>
      </c>
    </row>
    <row r="12">
      <c r="A12" s="42" t="s">
        <v>114</v>
      </c>
      <c r="B12" s="43">
        <f>(J12/31)*10</f>
        <v>572117.6705</v>
      </c>
      <c r="C12" s="52"/>
      <c r="D12" s="43">
        <f>(J12/31)*7</f>
        <v>400482.3693</v>
      </c>
      <c r="E12" s="53"/>
      <c r="F12" s="43">
        <f>(J12/31)*7</f>
        <v>400482.3693</v>
      </c>
      <c r="G12" s="53"/>
      <c r="H12" s="43">
        <f>(J12/31)*7</f>
        <v>400482.3693</v>
      </c>
      <c r="I12" s="53"/>
      <c r="J12" s="43">
        <v>1773564.7784675923</v>
      </c>
      <c r="K12" s="43"/>
    </row>
    <row r="13">
      <c r="A13" s="42" t="s">
        <v>14</v>
      </c>
      <c r="B13" s="43">
        <f t="shared" ref="B13:K13" si="8">B10/B6</f>
        <v>14374.95288</v>
      </c>
      <c r="C13" s="43" t="str">
        <f t="shared" si="8"/>
        <v>#DIV/0!</v>
      </c>
      <c r="D13" s="43">
        <f t="shared" si="8"/>
        <v>14374.95288</v>
      </c>
      <c r="E13" s="43" t="str">
        <f t="shared" si="8"/>
        <v>#DIV/0!</v>
      </c>
      <c r="F13" s="43">
        <f t="shared" si="8"/>
        <v>14374.95288</v>
      </c>
      <c r="G13" s="43" t="str">
        <f t="shared" si="8"/>
        <v>#DIV/0!</v>
      </c>
      <c r="H13" s="43">
        <f t="shared" si="8"/>
        <v>14374.95288</v>
      </c>
      <c r="I13" s="43" t="str">
        <f t="shared" si="8"/>
        <v>#DIV/0!</v>
      </c>
      <c r="J13" s="43">
        <f t="shared" si="8"/>
        <v>14374.95288</v>
      </c>
      <c r="K13" s="43" t="str">
        <f t="shared" si="8"/>
        <v>#DIV/0!</v>
      </c>
    </row>
    <row r="14">
      <c r="A14" s="42" t="s">
        <v>19</v>
      </c>
      <c r="B14" s="43">
        <f t="shared" ref="B14:K14" si="9">B12/B8</f>
        <v>13368.0944</v>
      </c>
      <c r="C14" s="43" t="str">
        <f t="shared" si="9"/>
        <v>#DIV/0!</v>
      </c>
      <c r="D14" s="43">
        <f t="shared" si="9"/>
        <v>13368.0944</v>
      </c>
      <c r="E14" s="43" t="str">
        <f t="shared" si="9"/>
        <v>#DIV/0!</v>
      </c>
      <c r="F14" s="43">
        <f t="shared" si="9"/>
        <v>13368.0944</v>
      </c>
      <c r="G14" s="43" t="str">
        <f t="shared" si="9"/>
        <v>#DIV/0!</v>
      </c>
      <c r="H14" s="43">
        <f t="shared" si="9"/>
        <v>13368.0944</v>
      </c>
      <c r="I14" s="43" t="str">
        <f t="shared" si="9"/>
        <v>#DIV/0!</v>
      </c>
      <c r="J14" s="43">
        <f t="shared" si="9"/>
        <v>13368.0944</v>
      </c>
      <c r="K14" s="43" t="str">
        <f t="shared" si="9"/>
        <v>#DIV/0!</v>
      </c>
    </row>
    <row r="15">
      <c r="A15" s="42" t="s">
        <v>13</v>
      </c>
      <c r="B15" s="54">
        <f t="shared" ref="B15:K15" si="10">B3/B10</f>
        <v>0.1369017825</v>
      </c>
      <c r="C15" s="54" t="str">
        <f t="shared" si="10"/>
        <v>#DIV/0!</v>
      </c>
      <c r="D15" s="54">
        <f t="shared" si="10"/>
        <v>0.1369017825</v>
      </c>
      <c r="E15" s="54" t="str">
        <f t="shared" si="10"/>
        <v>#DIV/0!</v>
      </c>
      <c r="F15" s="54">
        <f t="shared" si="10"/>
        <v>0.1369017825</v>
      </c>
      <c r="G15" s="54" t="str">
        <f t="shared" si="10"/>
        <v>#DIV/0!</v>
      </c>
      <c r="H15" s="54">
        <f t="shared" si="10"/>
        <v>0.1369017825</v>
      </c>
      <c r="I15" s="54" t="str">
        <f t="shared" si="10"/>
        <v>#DIV/0!</v>
      </c>
      <c r="J15" s="54">
        <f t="shared" si="10"/>
        <v>0.1369017825</v>
      </c>
      <c r="K15" s="54" t="str">
        <f t="shared" si="10"/>
        <v>#DIV/0!</v>
      </c>
    </row>
    <row r="16" ht="14.25" customHeight="1">
      <c r="A16" s="42" t="s">
        <v>118</v>
      </c>
      <c r="B16" s="50">
        <f t="shared" ref="B16:K16" si="11">IFERROR(B3/B12,0)</f>
        <v>0.08457542787</v>
      </c>
      <c r="C16" s="50">
        <f t="shared" si="11"/>
        <v>0</v>
      </c>
      <c r="D16" s="50">
        <f t="shared" si="11"/>
        <v>0.08457542787</v>
      </c>
      <c r="E16" s="50">
        <f t="shared" si="11"/>
        <v>0</v>
      </c>
      <c r="F16" s="50">
        <f t="shared" si="11"/>
        <v>0.08457542787</v>
      </c>
      <c r="G16" s="50">
        <f t="shared" si="11"/>
        <v>0</v>
      </c>
      <c r="H16" s="50">
        <f t="shared" si="11"/>
        <v>0.08457542787</v>
      </c>
      <c r="I16" s="50">
        <f t="shared" si="11"/>
        <v>0</v>
      </c>
      <c r="J16" s="50">
        <f t="shared" si="11"/>
        <v>0.08457542787</v>
      </c>
      <c r="K16" s="50">
        <f t="shared" si="11"/>
        <v>0</v>
      </c>
    </row>
    <row r="17">
      <c r="A17" s="42" t="s">
        <v>15</v>
      </c>
      <c r="B17" s="46">
        <f t="shared" ref="B17:K17" si="12">B10/B3</f>
        <v>7.304506793</v>
      </c>
      <c r="C17" s="46" t="str">
        <f t="shared" si="12"/>
        <v>#DIV/0!</v>
      </c>
      <c r="D17" s="46">
        <f t="shared" si="12"/>
        <v>7.304506793</v>
      </c>
      <c r="E17" s="46" t="str">
        <f t="shared" si="12"/>
        <v>#DIV/0!</v>
      </c>
      <c r="F17" s="46">
        <f t="shared" si="12"/>
        <v>7.304506793</v>
      </c>
      <c r="G17" s="46" t="str">
        <f t="shared" si="12"/>
        <v>#DIV/0!</v>
      </c>
      <c r="H17" s="46">
        <f t="shared" si="12"/>
        <v>7.304506793</v>
      </c>
      <c r="I17" s="46" t="str">
        <f t="shared" si="12"/>
        <v>#DIV/0!</v>
      </c>
      <c r="J17" s="46">
        <f t="shared" si="12"/>
        <v>7.304506793</v>
      </c>
      <c r="K17" s="46" t="str">
        <f t="shared" si="12"/>
        <v>#DIV/0!</v>
      </c>
    </row>
    <row r="18">
      <c r="A18" s="42" t="s">
        <v>122</v>
      </c>
      <c r="B18" s="55">
        <f t="shared" ref="B18:K18" si="13">B12/B3</f>
        <v>11.82376519</v>
      </c>
      <c r="C18" s="55" t="str">
        <f t="shared" si="13"/>
        <v>#DIV/0!</v>
      </c>
      <c r="D18" s="55">
        <f t="shared" si="13"/>
        <v>11.82376519</v>
      </c>
      <c r="E18" s="55" t="str">
        <f t="shared" si="13"/>
        <v>#DIV/0!</v>
      </c>
      <c r="F18" s="55">
        <f t="shared" si="13"/>
        <v>11.82376519</v>
      </c>
      <c r="G18" s="55" t="str">
        <f t="shared" si="13"/>
        <v>#DIV/0!</v>
      </c>
      <c r="H18" s="55">
        <f t="shared" si="13"/>
        <v>11.82376519</v>
      </c>
      <c r="I18" s="55" t="str">
        <f t="shared" si="13"/>
        <v>#DIV/0!</v>
      </c>
      <c r="J18" s="55">
        <f t="shared" si="13"/>
        <v>11.82376519</v>
      </c>
      <c r="K18" s="55" t="str">
        <f t="shared" si="13"/>
        <v>#DIV/0!</v>
      </c>
    </row>
    <row r="21" ht="15.75" customHeight="1"/>
    <row r="22" ht="15.75" customHeight="1"/>
    <row r="23" ht="15.75" customHeight="1">
      <c r="A23" s="56" t="s">
        <v>93</v>
      </c>
      <c r="B23" s="35" t="s">
        <v>94</v>
      </c>
      <c r="C23" s="6"/>
      <c r="D23" s="35" t="s">
        <v>95</v>
      </c>
      <c r="E23" s="6"/>
      <c r="F23" s="35" t="s">
        <v>96</v>
      </c>
      <c r="G23" s="6"/>
      <c r="H23" s="35" t="s">
        <v>98</v>
      </c>
      <c r="I23" s="6"/>
      <c r="J23" s="35" t="s">
        <v>72</v>
      </c>
      <c r="K23" s="6"/>
    </row>
    <row r="24" ht="15.75" customHeight="1">
      <c r="A24" s="57" t="s">
        <v>125</v>
      </c>
      <c r="B24" s="58" t="s">
        <v>100</v>
      </c>
      <c r="C24" s="58" t="s">
        <v>93</v>
      </c>
      <c r="D24" s="58" t="s">
        <v>100</v>
      </c>
      <c r="E24" s="58" t="s">
        <v>93</v>
      </c>
      <c r="F24" s="58" t="s">
        <v>100</v>
      </c>
      <c r="G24" s="58" t="s">
        <v>93</v>
      </c>
      <c r="H24" s="40" t="s">
        <v>100</v>
      </c>
      <c r="I24" s="40" t="s">
        <v>93</v>
      </c>
      <c r="J24" s="58" t="s">
        <v>100</v>
      </c>
      <c r="K24" s="58" t="s">
        <v>93</v>
      </c>
    </row>
    <row r="25" ht="15.75" customHeight="1">
      <c r="A25" s="59" t="s">
        <v>102</v>
      </c>
      <c r="B25" s="60">
        <v>48387.0</v>
      </c>
      <c r="C25" s="60">
        <v>80985.0</v>
      </c>
      <c r="D25" s="60">
        <v>33871.0</v>
      </c>
      <c r="E25" s="60">
        <v>61412.0</v>
      </c>
      <c r="F25" s="60">
        <v>59677.0</v>
      </c>
      <c r="G25" s="60">
        <v>58746.0</v>
      </c>
      <c r="H25" s="43">
        <v>32049.838709677424</v>
      </c>
      <c r="I25" s="61">
        <v>59840.44</v>
      </c>
      <c r="J25" s="63">
        <f t="shared" ref="J25:K25" si="14">B25+D25+F25+H25</f>
        <v>173984.8387</v>
      </c>
      <c r="K25" s="63">
        <f t="shared" si="14"/>
        <v>260983.44</v>
      </c>
    </row>
    <row r="26" ht="15.75" customHeight="1">
      <c r="A26" s="59" t="s">
        <v>6</v>
      </c>
      <c r="B26" s="60">
        <v>3374.0</v>
      </c>
      <c r="C26" s="60">
        <v>4179.0</v>
      </c>
      <c r="D26" s="60">
        <v>2362.0</v>
      </c>
      <c r="E26" s="60">
        <v>6807.0</v>
      </c>
      <c r="F26" s="60">
        <v>3011.0</v>
      </c>
      <c r="G26" s="60">
        <v>3131.0</v>
      </c>
      <c r="H26" s="43">
        <v>1975.1290322580646</v>
      </c>
      <c r="I26" s="61">
        <v>2971.0</v>
      </c>
      <c r="J26" s="63">
        <f t="shared" ref="J26:K26" si="15">B26+D26+F26+H26</f>
        <v>10722.12903</v>
      </c>
      <c r="K26" s="63">
        <f t="shared" si="15"/>
        <v>17088</v>
      </c>
    </row>
    <row r="27" ht="15.75" customHeight="1">
      <c r="A27" s="59" t="s">
        <v>8</v>
      </c>
      <c r="B27" s="64">
        <f t="shared" ref="B27:K27" si="16">B25/B26</f>
        <v>14.34113811</v>
      </c>
      <c r="C27" s="64">
        <f t="shared" si="16"/>
        <v>19.37903805</v>
      </c>
      <c r="D27" s="64">
        <f t="shared" si="16"/>
        <v>14.33996613</v>
      </c>
      <c r="E27" s="64">
        <f t="shared" si="16"/>
        <v>9.021889232</v>
      </c>
      <c r="F27" s="64">
        <f t="shared" si="16"/>
        <v>19.81966124</v>
      </c>
      <c r="G27" s="64">
        <f t="shared" si="16"/>
        <v>18.76269562</v>
      </c>
      <c r="H27" s="64">
        <f t="shared" si="16"/>
        <v>16.2267063</v>
      </c>
      <c r="I27" s="64">
        <f t="shared" si="16"/>
        <v>20.14151464</v>
      </c>
      <c r="J27" s="64">
        <f t="shared" si="16"/>
        <v>16.2267063</v>
      </c>
      <c r="K27" s="64">
        <f t="shared" si="16"/>
        <v>15.2729073</v>
      </c>
    </row>
    <row r="28" ht="15.75" customHeight="1">
      <c r="A28" s="59" t="s">
        <v>9</v>
      </c>
      <c r="B28" s="60">
        <v>25.0</v>
      </c>
      <c r="C28" s="60">
        <v>44.0</v>
      </c>
      <c r="D28" s="60">
        <v>17.0</v>
      </c>
      <c r="E28" s="60">
        <v>27.0</v>
      </c>
      <c r="F28" s="60">
        <v>18.0</v>
      </c>
      <c r="G28" s="60">
        <v>22.0</v>
      </c>
      <c r="H28" s="43">
        <v>13.548387096774194</v>
      </c>
      <c r="I28" s="45">
        <v>32.0</v>
      </c>
      <c r="J28" s="63">
        <f t="shared" ref="J28:K28" si="17">B28+D28+F28+H28</f>
        <v>73.5483871</v>
      </c>
      <c r="K28" s="63">
        <f t="shared" si="17"/>
        <v>125</v>
      </c>
    </row>
    <row r="29" ht="15.75" customHeight="1">
      <c r="A29" s="59" t="s">
        <v>23</v>
      </c>
      <c r="B29" s="60">
        <f t="shared" ref="B29:K29" si="18">B30-B28</f>
        <v>18</v>
      </c>
      <c r="C29" s="60">
        <f t="shared" si="18"/>
        <v>20</v>
      </c>
      <c r="D29" s="60">
        <f t="shared" si="18"/>
        <v>13</v>
      </c>
      <c r="E29" s="60">
        <f t="shared" si="18"/>
        <v>21</v>
      </c>
      <c r="F29" s="60">
        <f t="shared" si="18"/>
        <v>12</v>
      </c>
      <c r="G29" s="60">
        <f t="shared" si="18"/>
        <v>20</v>
      </c>
      <c r="H29" s="63">
        <f t="shared" si="18"/>
        <v>9.709677419</v>
      </c>
      <c r="I29" s="63">
        <f t="shared" si="18"/>
        <v>27</v>
      </c>
      <c r="J29" s="63">
        <f t="shared" si="18"/>
        <v>52.70967742</v>
      </c>
      <c r="K29" s="63">
        <f t="shared" si="18"/>
        <v>88</v>
      </c>
    </row>
    <row r="30" ht="15.75" customHeight="1">
      <c r="A30" s="59" t="s">
        <v>16</v>
      </c>
      <c r="B30" s="60">
        <v>43.0</v>
      </c>
      <c r="C30" s="60">
        <v>64.0</v>
      </c>
      <c r="D30" s="60">
        <v>30.0</v>
      </c>
      <c r="E30" s="60">
        <v>48.0</v>
      </c>
      <c r="F30" s="60">
        <v>30.0</v>
      </c>
      <c r="G30" s="60">
        <v>42.0</v>
      </c>
      <c r="H30" s="43">
        <v>23.258064516129032</v>
      </c>
      <c r="I30" s="43">
        <v>59.0</v>
      </c>
      <c r="J30" s="63">
        <f t="shared" ref="J30:K30" si="19">B30+D30+F30+H30</f>
        <v>126.2580645</v>
      </c>
      <c r="K30" s="63">
        <f t="shared" si="19"/>
        <v>213</v>
      </c>
    </row>
    <row r="31" ht="15.75" customHeight="1">
      <c r="A31" s="66" t="s">
        <v>108</v>
      </c>
      <c r="B31" s="67">
        <f t="shared" ref="B31:K31" si="20">B28/B26</f>
        <v>0.007409602845</v>
      </c>
      <c r="C31" s="67">
        <f t="shared" si="20"/>
        <v>0.01052883465</v>
      </c>
      <c r="D31" s="67">
        <f t="shared" si="20"/>
        <v>0.007197290432</v>
      </c>
      <c r="E31" s="67">
        <f t="shared" si="20"/>
        <v>0.003966505068</v>
      </c>
      <c r="F31" s="67">
        <f t="shared" si="20"/>
        <v>0.005978080372</v>
      </c>
      <c r="G31" s="67">
        <f t="shared" si="20"/>
        <v>0.007026509103</v>
      </c>
      <c r="H31" s="67">
        <f t="shared" si="20"/>
        <v>0.006859494684</v>
      </c>
      <c r="I31" s="67">
        <f t="shared" si="20"/>
        <v>0.01077078425</v>
      </c>
      <c r="J31" s="67">
        <f t="shared" si="20"/>
        <v>0.006859494684</v>
      </c>
      <c r="K31" s="67">
        <f t="shared" si="20"/>
        <v>0.007315074906</v>
      </c>
    </row>
    <row r="32" ht="15.75" customHeight="1">
      <c r="A32" s="59" t="s">
        <v>11</v>
      </c>
      <c r="B32" s="60">
        <v>353444.0</v>
      </c>
      <c r="C32" s="60">
        <v>733312.0</v>
      </c>
      <c r="D32" s="60">
        <v>247411.0</v>
      </c>
      <c r="E32" s="60">
        <v>461466.0</v>
      </c>
      <c r="F32" s="60">
        <v>557392.0</v>
      </c>
      <c r="G32" s="60">
        <v>420758.0</v>
      </c>
      <c r="H32" s="43">
        <v>261539.4193548387</v>
      </c>
      <c r="I32" s="43">
        <v>561450.8</v>
      </c>
      <c r="J32" s="63">
        <f t="shared" ref="J32:K32" si="21">B32+D32+F32+H32</f>
        <v>1419786.419</v>
      </c>
      <c r="K32" s="63">
        <f t="shared" si="21"/>
        <v>2176986.8</v>
      </c>
      <c r="O32" s="68">
        <f>23-14</f>
        <v>9</v>
      </c>
    </row>
    <row r="33" ht="15.75" customHeight="1">
      <c r="A33" s="66" t="s">
        <v>112</v>
      </c>
      <c r="B33" s="69">
        <f t="shared" ref="B33:K33" si="22">B34-B32</f>
        <v>218674</v>
      </c>
      <c r="C33" s="69">
        <f t="shared" si="22"/>
        <v>463584</v>
      </c>
      <c r="D33" s="69">
        <f t="shared" si="22"/>
        <v>153071</v>
      </c>
      <c r="E33" s="69">
        <f t="shared" si="22"/>
        <v>494179</v>
      </c>
      <c r="F33" s="69">
        <f t="shared" si="22"/>
        <v>261016</v>
      </c>
      <c r="G33" s="69">
        <f t="shared" si="22"/>
        <v>498598</v>
      </c>
      <c r="H33" s="69">
        <f t="shared" si="22"/>
        <v>142881.7419</v>
      </c>
      <c r="I33" s="69">
        <f t="shared" si="22"/>
        <v>600160.2</v>
      </c>
      <c r="J33" s="69">
        <f t="shared" si="22"/>
        <v>775642.7419</v>
      </c>
      <c r="K33" s="69">
        <f t="shared" si="22"/>
        <v>2056521.2</v>
      </c>
    </row>
    <row r="34" ht="15.75" customHeight="1">
      <c r="A34" s="59" t="s">
        <v>114</v>
      </c>
      <c r="B34" s="53">
        <v>572118.0</v>
      </c>
      <c r="C34" s="53">
        <v>1196896.0</v>
      </c>
      <c r="D34" s="53">
        <v>400482.0</v>
      </c>
      <c r="E34" s="53">
        <v>955645.0</v>
      </c>
      <c r="F34" s="53">
        <v>818408.0</v>
      </c>
      <c r="G34" s="53">
        <v>919356.0</v>
      </c>
      <c r="H34" s="53">
        <v>404421.1612903226</v>
      </c>
      <c r="I34" s="53">
        <v>1161611.0</v>
      </c>
      <c r="J34" s="53">
        <f t="shared" ref="J34:K34" si="23">B34+D34+F34+H34</f>
        <v>2195429.161</v>
      </c>
      <c r="K34" s="53">
        <f t="shared" si="23"/>
        <v>4233508</v>
      </c>
    </row>
    <row r="35" ht="15.75" customHeight="1">
      <c r="A35" s="59" t="s">
        <v>14</v>
      </c>
      <c r="B35" s="63">
        <f t="shared" ref="B35:K35" si="24">B32/B28</f>
        <v>14137.76</v>
      </c>
      <c r="C35" s="63">
        <f t="shared" si="24"/>
        <v>16666.18182</v>
      </c>
      <c r="D35" s="63">
        <f t="shared" si="24"/>
        <v>14553.58824</v>
      </c>
      <c r="E35" s="63">
        <f t="shared" si="24"/>
        <v>17091.33333</v>
      </c>
      <c r="F35" s="63">
        <f t="shared" si="24"/>
        <v>30966.22222</v>
      </c>
      <c r="G35" s="63">
        <f t="shared" si="24"/>
        <v>19125.36364</v>
      </c>
      <c r="H35" s="63">
        <f t="shared" si="24"/>
        <v>19304.1</v>
      </c>
      <c r="I35" s="63">
        <f t="shared" si="24"/>
        <v>17545.3375</v>
      </c>
      <c r="J35" s="63">
        <f t="shared" si="24"/>
        <v>19304.1136</v>
      </c>
      <c r="K35" s="63">
        <f t="shared" si="24"/>
        <v>17415.8944</v>
      </c>
    </row>
    <row r="36" ht="15.75" customHeight="1">
      <c r="A36" s="59" t="s">
        <v>19</v>
      </c>
      <c r="B36" s="63">
        <f t="shared" ref="B36:K36" si="25">B34/B30</f>
        <v>13305.06977</v>
      </c>
      <c r="C36" s="63">
        <f t="shared" si="25"/>
        <v>18701.5</v>
      </c>
      <c r="D36" s="63">
        <f t="shared" si="25"/>
        <v>13349.4</v>
      </c>
      <c r="E36" s="63">
        <f t="shared" si="25"/>
        <v>19909.27083</v>
      </c>
      <c r="F36" s="63">
        <f t="shared" si="25"/>
        <v>27280.26667</v>
      </c>
      <c r="G36" s="63">
        <f t="shared" si="25"/>
        <v>21889.42857</v>
      </c>
      <c r="H36" s="63">
        <f t="shared" si="25"/>
        <v>17388.42718</v>
      </c>
      <c r="I36" s="63">
        <f t="shared" si="25"/>
        <v>19688.32203</v>
      </c>
      <c r="J36" s="63">
        <f t="shared" si="25"/>
        <v>17388.42718</v>
      </c>
      <c r="K36" s="63">
        <f t="shared" si="25"/>
        <v>19875.62441</v>
      </c>
    </row>
    <row r="37" ht="15.75" customHeight="1">
      <c r="A37" s="59" t="s">
        <v>13</v>
      </c>
      <c r="B37" s="71">
        <f t="shared" ref="B37:K37" si="26">B25/B32</f>
        <v>0.1369014611</v>
      </c>
      <c r="C37" s="71">
        <f t="shared" si="26"/>
        <v>0.1104373036</v>
      </c>
      <c r="D37" s="71">
        <f t="shared" si="26"/>
        <v>0.1369017546</v>
      </c>
      <c r="E37" s="71">
        <f t="shared" si="26"/>
        <v>0.1330802269</v>
      </c>
      <c r="F37" s="71">
        <f t="shared" si="26"/>
        <v>0.107064687</v>
      </c>
      <c r="G37" s="71">
        <f t="shared" si="26"/>
        <v>0.1396194487</v>
      </c>
      <c r="H37" s="71">
        <f t="shared" si="26"/>
        <v>0.1225430522</v>
      </c>
      <c r="I37" s="71">
        <f t="shared" si="26"/>
        <v>0.1065818056</v>
      </c>
      <c r="J37" s="71">
        <f t="shared" si="26"/>
        <v>0.1225429659</v>
      </c>
      <c r="K37" s="71">
        <f t="shared" si="26"/>
        <v>0.1198828766</v>
      </c>
    </row>
    <row r="38" ht="15.75" customHeight="1">
      <c r="A38" s="59" t="s">
        <v>118</v>
      </c>
      <c r="B38" s="71">
        <f t="shared" ref="B38:K38" si="27">B25/B34</f>
        <v>0.08457521001</v>
      </c>
      <c r="C38" s="71">
        <f t="shared" si="27"/>
        <v>0.06766252039</v>
      </c>
      <c r="D38" s="71">
        <f t="shared" si="27"/>
        <v>0.08457558642</v>
      </c>
      <c r="E38" s="71">
        <f t="shared" si="27"/>
        <v>0.06426235684</v>
      </c>
      <c r="F38" s="71">
        <f t="shared" si="27"/>
        <v>0.07291839767</v>
      </c>
      <c r="G38" s="71">
        <f t="shared" si="27"/>
        <v>0.06389907718</v>
      </c>
      <c r="H38" s="71">
        <f t="shared" si="27"/>
        <v>0.07924866891</v>
      </c>
      <c r="I38" s="71">
        <f t="shared" si="27"/>
        <v>0.05151504247</v>
      </c>
      <c r="J38" s="71">
        <f t="shared" si="27"/>
        <v>0.07924866891</v>
      </c>
      <c r="K38" s="71">
        <f t="shared" si="27"/>
        <v>0.06164708795</v>
      </c>
    </row>
    <row r="39" ht="15.75" customHeight="1">
      <c r="A39" s="59" t="s">
        <v>15</v>
      </c>
      <c r="B39" s="64">
        <f t="shared" ref="B39:K39" si="28">B32/B25</f>
        <v>7.304523942</v>
      </c>
      <c r="C39" s="64">
        <f t="shared" si="28"/>
        <v>9.054911403</v>
      </c>
      <c r="D39" s="64">
        <f t="shared" si="28"/>
        <v>7.304508281</v>
      </c>
      <c r="E39" s="64">
        <f t="shared" si="28"/>
        <v>7.514264313</v>
      </c>
      <c r="F39" s="64">
        <f t="shared" si="28"/>
        <v>9.340147796</v>
      </c>
      <c r="G39" s="64">
        <f t="shared" si="28"/>
        <v>7.162325946</v>
      </c>
      <c r="H39" s="64">
        <f t="shared" si="28"/>
        <v>8.160397365</v>
      </c>
      <c r="I39" s="64">
        <f t="shared" si="28"/>
        <v>9.382464434</v>
      </c>
      <c r="J39" s="64">
        <f t="shared" si="28"/>
        <v>8.160403113</v>
      </c>
      <c r="K39" s="64">
        <f t="shared" si="28"/>
        <v>8.341474846</v>
      </c>
    </row>
    <row r="40" ht="15.75" customHeight="1">
      <c r="A40" s="59" t="s">
        <v>122</v>
      </c>
      <c r="B40" s="74">
        <f t="shared" ref="B40:K40" si="29">B34/B25</f>
        <v>11.82379565</v>
      </c>
      <c r="C40" s="74">
        <f t="shared" si="29"/>
        <v>14.77923072</v>
      </c>
      <c r="D40" s="74">
        <f t="shared" si="29"/>
        <v>11.82374303</v>
      </c>
      <c r="E40" s="74">
        <f t="shared" si="29"/>
        <v>15.56120954</v>
      </c>
      <c r="F40" s="74">
        <f t="shared" si="29"/>
        <v>13.71396015</v>
      </c>
      <c r="G40" s="74">
        <f t="shared" si="29"/>
        <v>15.64967828</v>
      </c>
      <c r="H40" s="74">
        <f t="shared" si="29"/>
        <v>12.61850847</v>
      </c>
      <c r="I40" s="74">
        <f t="shared" si="29"/>
        <v>19.4118058</v>
      </c>
      <c r="J40" s="74">
        <f t="shared" si="29"/>
        <v>12.61850847</v>
      </c>
      <c r="K40" s="74">
        <f t="shared" si="29"/>
        <v>16.22136638</v>
      </c>
    </row>
    <row r="41" ht="15.75" customHeight="1"/>
    <row r="42" ht="15.75" customHeight="1"/>
    <row r="43" ht="15.75" customHeight="1"/>
    <row r="44" ht="15.75" customHeight="1"/>
    <row r="45" ht="15.75" customHeight="1">
      <c r="A45" s="75" t="s">
        <v>93</v>
      </c>
      <c r="B45" s="37" t="s">
        <v>143</v>
      </c>
      <c r="C45" s="6"/>
      <c r="D45" s="37" t="s">
        <v>144</v>
      </c>
      <c r="E45" s="6"/>
      <c r="F45" s="37" t="s">
        <v>145</v>
      </c>
      <c r="G45" s="6"/>
      <c r="H45" s="37" t="s">
        <v>146</v>
      </c>
      <c r="I45" s="6"/>
      <c r="J45" s="37" t="s">
        <v>147</v>
      </c>
      <c r="K45" s="6"/>
      <c r="L45" s="37" t="s">
        <v>72</v>
      </c>
      <c r="M45" s="6"/>
    </row>
    <row r="46" ht="15.75" customHeight="1">
      <c r="A46" s="76" t="s">
        <v>148</v>
      </c>
      <c r="B46" s="77" t="s">
        <v>100</v>
      </c>
      <c r="C46" s="77" t="s">
        <v>93</v>
      </c>
      <c r="D46" s="77" t="s">
        <v>100</v>
      </c>
      <c r="E46" s="77" t="s">
        <v>93</v>
      </c>
      <c r="F46" s="77" t="s">
        <v>100</v>
      </c>
      <c r="G46" s="77" t="s">
        <v>93</v>
      </c>
      <c r="H46" s="77" t="s">
        <v>100</v>
      </c>
      <c r="I46" s="77" t="s">
        <v>93</v>
      </c>
      <c r="J46" s="77" t="s">
        <v>100</v>
      </c>
      <c r="K46" s="77" t="s">
        <v>93</v>
      </c>
      <c r="L46" s="77" t="s">
        <v>100</v>
      </c>
      <c r="M46" s="77" t="s">
        <v>93</v>
      </c>
    </row>
    <row r="47" ht="15.75" customHeight="1">
      <c r="A47" s="78" t="s">
        <v>102</v>
      </c>
      <c r="B47" s="79">
        <v>79032.0</v>
      </c>
      <c r="C47" s="79">
        <v>62042.0</v>
      </c>
      <c r="D47" s="79">
        <v>79032.0</v>
      </c>
      <c r="E47" s="79">
        <v>72966.0</v>
      </c>
      <c r="F47" s="79">
        <v>79032.0</v>
      </c>
      <c r="G47" s="79">
        <v>65180.0</v>
      </c>
      <c r="H47" s="79">
        <v>79032.0</v>
      </c>
      <c r="I47" s="79">
        <v>48640.0</v>
      </c>
      <c r="K47" s="80">
        <v>21389.46</v>
      </c>
      <c r="L47" s="79"/>
      <c r="M47" s="79"/>
    </row>
    <row r="48" ht="15.75" customHeight="1">
      <c r="A48" s="78" t="s">
        <v>6</v>
      </c>
      <c r="B48" s="79">
        <v>5477.0</v>
      </c>
      <c r="C48" s="79">
        <v>2950.0</v>
      </c>
      <c r="D48" s="79">
        <v>5477.0</v>
      </c>
      <c r="E48" s="79">
        <v>3118.0</v>
      </c>
      <c r="F48" s="79">
        <v>5477.0</v>
      </c>
      <c r="G48" s="79">
        <v>3196.0</v>
      </c>
      <c r="H48" s="79">
        <v>5477.0</v>
      </c>
      <c r="I48" s="79">
        <v>2855.0</v>
      </c>
      <c r="K48" s="81">
        <v>1314.0</v>
      </c>
      <c r="L48" s="79"/>
      <c r="M48" s="79"/>
    </row>
    <row r="49" ht="15.75" customHeight="1">
      <c r="A49" s="78" t="s">
        <v>8</v>
      </c>
      <c r="B49" s="79">
        <v>14.43</v>
      </c>
      <c r="C49" s="79">
        <v>21.03</v>
      </c>
      <c r="D49" s="79">
        <v>14.43</v>
      </c>
      <c r="E49" s="79">
        <v>23.4</v>
      </c>
      <c r="F49" s="79">
        <v>14.43</v>
      </c>
      <c r="G49" s="79">
        <v>20.39</v>
      </c>
      <c r="H49" s="79">
        <v>14.43</v>
      </c>
      <c r="I49" s="79">
        <v>17.04</v>
      </c>
      <c r="J49" s="79"/>
      <c r="K49" s="79"/>
      <c r="L49" s="79"/>
      <c r="M49" s="79"/>
    </row>
    <row r="50" ht="15.75" customHeight="1">
      <c r="A50" s="78" t="s">
        <v>9</v>
      </c>
      <c r="B50" s="79">
        <v>55.0</v>
      </c>
      <c r="C50" s="79">
        <v>19.0</v>
      </c>
      <c r="D50" s="79">
        <v>55.0</v>
      </c>
      <c r="E50" s="79">
        <v>18.0</v>
      </c>
      <c r="F50" s="79">
        <v>55.0</v>
      </c>
      <c r="G50" s="79">
        <v>15.0</v>
      </c>
      <c r="H50" s="79">
        <v>55.0</v>
      </c>
      <c r="I50" s="79">
        <v>14.0</v>
      </c>
      <c r="J50" s="79"/>
      <c r="K50" s="79">
        <v>5.0</v>
      </c>
      <c r="L50" s="79"/>
      <c r="M50" s="79"/>
    </row>
    <row r="51" ht="15.75" customHeight="1">
      <c r="A51" s="78" t="s">
        <v>23</v>
      </c>
      <c r="B51" s="79">
        <v>11.0</v>
      </c>
      <c r="C51" s="79">
        <v>17.0</v>
      </c>
      <c r="D51" s="79">
        <v>11.0</v>
      </c>
      <c r="E51" s="79">
        <v>14.0</v>
      </c>
      <c r="F51" s="79">
        <v>11.0</v>
      </c>
      <c r="G51" s="79">
        <v>28.0</v>
      </c>
      <c r="H51" s="79">
        <v>11.0</v>
      </c>
      <c r="I51" s="79">
        <v>18.0</v>
      </c>
      <c r="J51" s="79"/>
      <c r="K51" s="79"/>
      <c r="L51" s="79"/>
      <c r="M51" s="79"/>
    </row>
    <row r="52" ht="15.75" customHeight="1">
      <c r="A52" s="78" t="s">
        <v>16</v>
      </c>
      <c r="B52" s="79">
        <v>66.0</v>
      </c>
      <c r="C52" s="79">
        <v>36.0</v>
      </c>
      <c r="D52" s="79">
        <v>66.0</v>
      </c>
      <c r="E52" s="79">
        <v>32.0</v>
      </c>
      <c r="F52" s="79">
        <v>66.0</v>
      </c>
      <c r="G52" s="79">
        <v>43.0</v>
      </c>
      <c r="H52" s="79">
        <v>66.0</v>
      </c>
      <c r="I52" s="79">
        <v>32.0</v>
      </c>
      <c r="J52" s="79"/>
      <c r="K52" s="79">
        <v>14.0</v>
      </c>
      <c r="L52" s="79"/>
      <c r="M52" s="79"/>
    </row>
    <row r="53" ht="15.75" customHeight="1">
      <c r="A53" s="78" t="s">
        <v>108</v>
      </c>
      <c r="B53" s="67">
        <v>0.0101</v>
      </c>
      <c r="C53" s="67">
        <v>0.0064</v>
      </c>
      <c r="D53" s="67">
        <v>0.0101</v>
      </c>
      <c r="E53" s="67">
        <v>0.0058</v>
      </c>
      <c r="F53" s="67">
        <v>0.0101</v>
      </c>
      <c r="G53" s="67">
        <v>0.0047</v>
      </c>
      <c r="H53" s="67">
        <v>0.0101</v>
      </c>
      <c r="I53" s="67">
        <v>0.0049</v>
      </c>
      <c r="J53" s="67"/>
      <c r="K53" s="67"/>
      <c r="L53" s="67"/>
      <c r="M53" s="67"/>
    </row>
    <row r="54" ht="15.75" customHeight="1">
      <c r="A54" s="78" t="s">
        <v>11</v>
      </c>
      <c r="B54" s="79">
        <v>877901.0</v>
      </c>
      <c r="C54" s="79">
        <v>357028.0</v>
      </c>
      <c r="D54" s="79">
        <v>877901.0</v>
      </c>
      <c r="E54" s="79">
        <v>322519.0</v>
      </c>
      <c r="F54" s="79">
        <v>877901.0</v>
      </c>
      <c r="G54" s="79">
        <v>271545.0</v>
      </c>
      <c r="H54" s="79">
        <v>877901.0</v>
      </c>
      <c r="I54" s="79">
        <v>258972.0</v>
      </c>
      <c r="J54" s="79"/>
      <c r="K54" s="80">
        <v>89406.77</v>
      </c>
      <c r="L54" s="79"/>
      <c r="M54" s="79"/>
    </row>
    <row r="55" ht="15.75" customHeight="1">
      <c r="A55" s="78" t="s">
        <v>112</v>
      </c>
      <c r="B55" s="79">
        <v>244463.0</v>
      </c>
      <c r="C55" s="79">
        <v>206581.0</v>
      </c>
      <c r="D55" s="79">
        <v>244463.0</v>
      </c>
      <c r="E55" s="79">
        <v>209203.0</v>
      </c>
      <c r="F55" s="79">
        <v>244463.0</v>
      </c>
      <c r="G55" s="79">
        <v>375630.0</v>
      </c>
      <c r="H55" s="79">
        <v>244463.0</v>
      </c>
      <c r="I55" s="79">
        <v>297638.0</v>
      </c>
      <c r="J55" s="79"/>
      <c r="K55" s="79"/>
      <c r="L55" s="79"/>
      <c r="M55" s="79"/>
    </row>
    <row r="56" ht="15.75" customHeight="1">
      <c r="A56" s="78" t="s">
        <v>114</v>
      </c>
      <c r="B56" s="82">
        <v>1122364.0</v>
      </c>
      <c r="C56" s="82">
        <v>563608.0</v>
      </c>
      <c r="D56" s="82">
        <v>1122364.0</v>
      </c>
      <c r="E56" s="82">
        <v>531721.0</v>
      </c>
      <c r="F56" s="82">
        <v>1122364.0</v>
      </c>
      <c r="G56" s="82">
        <v>647175.0</v>
      </c>
      <c r="H56" s="82">
        <v>1122364.0</v>
      </c>
      <c r="I56" s="82">
        <v>556610.0</v>
      </c>
      <c r="J56" s="83"/>
      <c r="K56" s="82">
        <v>248297.6</v>
      </c>
      <c r="L56" s="82"/>
      <c r="M56" s="82"/>
    </row>
    <row r="57" ht="15.75" customHeight="1">
      <c r="A57" s="78" t="s">
        <v>14</v>
      </c>
      <c r="B57" s="79">
        <v>15869.0</v>
      </c>
      <c r="C57" s="79">
        <v>18791.0</v>
      </c>
      <c r="D57" s="79">
        <v>15869.0</v>
      </c>
      <c r="E57" s="79">
        <v>17918.0</v>
      </c>
      <c r="F57" s="79">
        <v>15869.0</v>
      </c>
      <c r="G57" s="79">
        <v>18103.0</v>
      </c>
      <c r="H57" s="79">
        <v>15869.0</v>
      </c>
      <c r="I57" s="79">
        <v>18498.0</v>
      </c>
      <c r="J57" s="79"/>
      <c r="K57" s="79"/>
      <c r="L57" s="79"/>
      <c r="M57" s="79"/>
    </row>
    <row r="58" ht="15.75" customHeight="1">
      <c r="A58" s="78" t="s">
        <v>19</v>
      </c>
      <c r="B58" s="79">
        <v>16909.0</v>
      </c>
      <c r="C58" s="79">
        <v>15656.0</v>
      </c>
      <c r="D58" s="79">
        <v>16909.0</v>
      </c>
      <c r="E58" s="79">
        <v>16616.0</v>
      </c>
      <c r="F58" s="79">
        <v>16909.0</v>
      </c>
      <c r="G58" s="79">
        <v>15051.0</v>
      </c>
      <c r="H58" s="79">
        <v>16909.0</v>
      </c>
      <c r="I58" s="79">
        <v>17394.0</v>
      </c>
      <c r="J58" s="79"/>
      <c r="K58" s="79"/>
      <c r="L58" s="79"/>
      <c r="M58" s="79"/>
    </row>
    <row r="59" ht="15.75" customHeight="1">
      <c r="A59" s="78" t="s">
        <v>13</v>
      </c>
      <c r="B59" s="67">
        <v>0.09</v>
      </c>
      <c r="C59" s="67">
        <v>0.1738</v>
      </c>
      <c r="D59" s="67">
        <v>0.09</v>
      </c>
      <c r="E59" s="67">
        <v>0.2262</v>
      </c>
      <c r="F59" s="67">
        <v>0.09</v>
      </c>
      <c r="G59" s="67">
        <v>0.24</v>
      </c>
      <c r="H59" s="67">
        <v>0.09</v>
      </c>
      <c r="I59" s="67">
        <v>0.1878</v>
      </c>
      <c r="J59" s="67"/>
      <c r="K59" s="67"/>
      <c r="L59" s="67"/>
      <c r="M59" s="67"/>
    </row>
    <row r="60" ht="15.75" customHeight="1">
      <c r="A60" s="78" t="s">
        <v>118</v>
      </c>
      <c r="B60" s="67">
        <v>0.0704</v>
      </c>
      <c r="C60" s="67">
        <v>0.1101</v>
      </c>
      <c r="D60" s="67">
        <v>0.0704</v>
      </c>
      <c r="E60" s="67">
        <v>0.1372</v>
      </c>
      <c r="F60" s="67">
        <v>0.0704</v>
      </c>
      <c r="G60" s="67">
        <v>0.1007</v>
      </c>
      <c r="H60" s="67">
        <v>0.0704</v>
      </c>
      <c r="I60" s="67">
        <v>0.0874</v>
      </c>
      <c r="J60" s="67"/>
      <c r="K60" s="67"/>
      <c r="L60" s="67"/>
      <c r="M60" s="67"/>
    </row>
    <row r="61" ht="15.75" customHeight="1">
      <c r="A61" s="78" t="s">
        <v>15</v>
      </c>
      <c r="B61" s="79">
        <v>11.11</v>
      </c>
      <c r="C61" s="79">
        <v>5.75</v>
      </c>
      <c r="D61" s="79">
        <v>11.11</v>
      </c>
      <c r="E61" s="79">
        <v>4.42</v>
      </c>
      <c r="F61" s="79">
        <v>11.11</v>
      </c>
      <c r="G61" s="79">
        <v>4.17</v>
      </c>
      <c r="H61" s="79">
        <v>11.11</v>
      </c>
      <c r="I61" s="79">
        <v>5.32</v>
      </c>
      <c r="J61" s="79"/>
      <c r="K61" s="79"/>
      <c r="L61" s="79"/>
      <c r="M61" s="79"/>
    </row>
    <row r="62" ht="15.75" customHeight="1">
      <c r="A62" s="78" t="s">
        <v>122</v>
      </c>
      <c r="B62" s="82">
        <v>14.2</v>
      </c>
      <c r="C62" s="82">
        <v>9.08</v>
      </c>
      <c r="D62" s="82">
        <v>14.2</v>
      </c>
      <c r="E62" s="82">
        <v>7.29</v>
      </c>
      <c r="F62" s="82">
        <v>14.2</v>
      </c>
      <c r="G62" s="82">
        <v>9.93</v>
      </c>
      <c r="H62" s="82">
        <v>14.2</v>
      </c>
      <c r="I62" s="82">
        <v>11.44</v>
      </c>
      <c r="J62" s="82"/>
      <c r="K62" s="82"/>
      <c r="L62" s="82"/>
      <c r="M62" s="82"/>
    </row>
    <row r="63" ht="15.75" customHeight="1"/>
    <row r="64" ht="15.75" customHeight="1"/>
    <row r="65" ht="15.75" customHeight="1"/>
    <row r="66" ht="15.75" customHeight="1">
      <c r="A66" s="88" t="s">
        <v>0</v>
      </c>
      <c r="B66" s="88" t="s">
        <v>18</v>
      </c>
      <c r="C66" s="88" t="s">
        <v>12</v>
      </c>
      <c r="D66" s="88" t="s">
        <v>6</v>
      </c>
      <c r="E66" s="88" t="s">
        <v>5</v>
      </c>
      <c r="F66" s="88" t="s">
        <v>8</v>
      </c>
      <c r="G66" s="88" t="s">
        <v>21</v>
      </c>
      <c r="H66" s="88" t="s">
        <v>10</v>
      </c>
      <c r="I66" s="88" t="s">
        <v>26</v>
      </c>
      <c r="J66" s="88" t="s">
        <v>28</v>
      </c>
      <c r="K66" s="88" t="s">
        <v>15</v>
      </c>
      <c r="L66" s="88" t="s">
        <v>14</v>
      </c>
      <c r="M66" s="90" t="s">
        <v>23</v>
      </c>
      <c r="N66" s="90" t="s">
        <v>160</v>
      </c>
      <c r="O66" s="90" t="s">
        <v>25</v>
      </c>
      <c r="P66" s="8" t="s">
        <v>16</v>
      </c>
      <c r="Q66" s="8" t="s">
        <v>161</v>
      </c>
      <c r="R66" s="8" t="s">
        <v>19</v>
      </c>
      <c r="S66" s="8" t="s">
        <v>22</v>
      </c>
      <c r="T66" s="8" t="s">
        <v>20</v>
      </c>
      <c r="U66" s="8" t="s">
        <v>162</v>
      </c>
      <c r="V66" s="8" t="s">
        <v>163</v>
      </c>
    </row>
    <row r="67" ht="15.75" customHeight="1">
      <c r="A67" s="10" t="s">
        <v>47</v>
      </c>
      <c r="B67" s="41">
        <v>323302.24999999994</v>
      </c>
      <c r="C67" s="41">
        <v>5457499.155975691</v>
      </c>
      <c r="D67" s="41">
        <v>21829.996623902764</v>
      </c>
      <c r="E67" s="17">
        <v>0.004</v>
      </c>
      <c r="F67" s="20">
        <v>14.81</v>
      </c>
      <c r="G67" s="41">
        <v>144.07797771775824</v>
      </c>
      <c r="H67" s="17">
        <v>0.0066</v>
      </c>
      <c r="I67" s="41">
        <v>2640373.393191135</v>
      </c>
      <c r="J67" s="17">
        <v>0.12244565516139341</v>
      </c>
      <c r="K67" s="20">
        <v>8.16688839372796</v>
      </c>
      <c r="L67" s="16">
        <v>18326.00259259259</v>
      </c>
      <c r="M67" s="41">
        <v>57.6311910871033</v>
      </c>
      <c r="N67" s="41">
        <v>1032917.1157654591</v>
      </c>
      <c r="O67" s="41">
        <v>17922.88336023312</v>
      </c>
      <c r="P67" s="41">
        <v>201.70916880486155</v>
      </c>
      <c r="Q67" s="41">
        <v>3673290.5089565944</v>
      </c>
      <c r="R67" s="16">
        <v>18210.825669061313</v>
      </c>
      <c r="S67" s="20">
        <v>11.361784549772217</v>
      </c>
      <c r="T67" s="17">
        <v>0.08801434278385856</v>
      </c>
      <c r="U67" s="17">
        <v>1.0</v>
      </c>
      <c r="V67" s="17">
        <v>0.9842614402691001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4.25" customHeight="1">
      <c r="A75" s="34" t="s">
        <v>93</v>
      </c>
      <c r="B75" s="35" t="s">
        <v>94</v>
      </c>
      <c r="C75" s="6"/>
      <c r="D75" s="35" t="s">
        <v>95</v>
      </c>
      <c r="E75" s="6"/>
      <c r="F75" s="35" t="s">
        <v>96</v>
      </c>
      <c r="G75" s="6"/>
      <c r="H75" s="35" t="s">
        <v>165</v>
      </c>
      <c r="I75" s="6"/>
      <c r="J75" s="37" t="s">
        <v>72</v>
      </c>
      <c r="K75" s="6"/>
    </row>
    <row r="76" ht="15.75" customHeight="1">
      <c r="A76" s="39" t="s">
        <v>166</v>
      </c>
      <c r="B76" s="40" t="s">
        <v>100</v>
      </c>
      <c r="C76" s="40" t="s">
        <v>93</v>
      </c>
      <c r="D76" s="40" t="s">
        <v>100</v>
      </c>
      <c r="E76" s="40" t="s">
        <v>93</v>
      </c>
      <c r="F76" s="40" t="s">
        <v>100</v>
      </c>
      <c r="G76" s="40" t="s">
        <v>93</v>
      </c>
      <c r="H76" s="40" t="s">
        <v>100</v>
      </c>
      <c r="I76" s="40" t="s">
        <v>93</v>
      </c>
      <c r="J76" s="40" t="s">
        <v>100</v>
      </c>
      <c r="K76" s="40" t="s">
        <v>93</v>
      </c>
    </row>
    <row r="77" ht="15.75" customHeight="1">
      <c r="A77" s="42" t="s">
        <v>102</v>
      </c>
      <c r="B77" s="43">
        <v>161290.32258064518</v>
      </c>
      <c r="C77" s="97">
        <v>188129.38999999993</v>
      </c>
      <c r="D77" s="43">
        <v>112903.22580645162</v>
      </c>
      <c r="E77" s="43">
        <v>112937.94000000002</v>
      </c>
      <c r="F77" s="43">
        <v>112903.22580645162</v>
      </c>
      <c r="G77" s="43">
        <v>115118.30999999997</v>
      </c>
      <c r="H77" s="43">
        <v>112903.22580645162</v>
      </c>
      <c r="I77" s="43">
        <v>138499.32</v>
      </c>
      <c r="J77" s="43">
        <f t="shared" ref="J77:K77" si="30">B77+D77+F77+H77</f>
        <v>500000</v>
      </c>
      <c r="K77" s="43">
        <f t="shared" si="30"/>
        <v>554684.96</v>
      </c>
    </row>
    <row r="78" ht="15.75" customHeight="1">
      <c r="A78" s="42" t="s">
        <v>6</v>
      </c>
      <c r="B78" s="43">
        <v>7872.258064516129</v>
      </c>
      <c r="C78" s="97">
        <v>10738.0</v>
      </c>
      <c r="D78" s="43">
        <v>5510.580645161291</v>
      </c>
      <c r="E78" s="43">
        <v>4365.0</v>
      </c>
      <c r="F78" s="43">
        <v>5510.580645161291</v>
      </c>
      <c r="G78" s="43">
        <v>4545.0</v>
      </c>
      <c r="H78" s="43">
        <v>5510.580645161291</v>
      </c>
      <c r="I78" s="43">
        <v>4809.0</v>
      </c>
      <c r="J78" s="43">
        <f t="shared" ref="J78:K78" si="31">B78+D78+F78+H78</f>
        <v>24404</v>
      </c>
      <c r="K78" s="43">
        <f t="shared" si="31"/>
        <v>24457</v>
      </c>
    </row>
    <row r="79" ht="15.75" customHeight="1">
      <c r="A79" s="42" t="s">
        <v>8</v>
      </c>
      <c r="B79" s="46">
        <f t="shared" ref="B79:K79" si="32">IFERROR(B77/B78,0)</f>
        <v>20.48844452</v>
      </c>
      <c r="C79" s="46">
        <f t="shared" si="32"/>
        <v>17.51996554</v>
      </c>
      <c r="D79" s="46">
        <f t="shared" si="32"/>
        <v>20.48844452</v>
      </c>
      <c r="E79" s="46">
        <f t="shared" si="32"/>
        <v>25.87352577</v>
      </c>
      <c r="F79" s="46">
        <f t="shared" si="32"/>
        <v>20.48844452</v>
      </c>
      <c r="G79" s="46">
        <f t="shared" si="32"/>
        <v>25.32856106</v>
      </c>
      <c r="H79" s="46">
        <f t="shared" si="32"/>
        <v>20.48844452</v>
      </c>
      <c r="I79" s="46">
        <f t="shared" si="32"/>
        <v>28.80002495</v>
      </c>
      <c r="J79" s="46">
        <f t="shared" si="32"/>
        <v>20.48844452</v>
      </c>
      <c r="K79" s="46">
        <f t="shared" si="32"/>
        <v>22.68000818</v>
      </c>
    </row>
    <row r="80" ht="15.75" customHeight="1">
      <c r="A80" s="42" t="s">
        <v>9</v>
      </c>
      <c r="B80" s="43">
        <v>66.12903225806451</v>
      </c>
      <c r="C80" s="97">
        <v>56.0</v>
      </c>
      <c r="D80" s="43">
        <v>46.29032258064517</v>
      </c>
      <c r="E80" s="43">
        <v>47.0</v>
      </c>
      <c r="F80" s="43">
        <v>46.29032258064517</v>
      </c>
      <c r="G80" s="43">
        <v>42.0</v>
      </c>
      <c r="H80" s="43">
        <v>46.29032258064517</v>
      </c>
      <c r="I80" s="43">
        <v>41.0</v>
      </c>
      <c r="J80" s="43">
        <f t="shared" ref="J80:K80" si="33">B80+D80+F80+H80</f>
        <v>205</v>
      </c>
      <c r="K80" s="43">
        <f t="shared" si="33"/>
        <v>186</v>
      </c>
    </row>
    <row r="81" ht="15.75" customHeight="1">
      <c r="A81" s="42" t="s">
        <v>23</v>
      </c>
      <c r="B81" s="43">
        <f t="shared" ref="B81:K81" si="34">B82-B80</f>
        <v>18.70967742</v>
      </c>
      <c r="C81" s="43">
        <f t="shared" si="34"/>
        <v>32</v>
      </c>
      <c r="D81" s="43">
        <f t="shared" si="34"/>
        <v>13.09677419</v>
      </c>
      <c r="E81" s="43">
        <f t="shared" si="34"/>
        <v>35</v>
      </c>
      <c r="F81" s="43">
        <f t="shared" si="34"/>
        <v>13.09677419</v>
      </c>
      <c r="G81" s="43">
        <f t="shared" si="34"/>
        <v>32</v>
      </c>
      <c r="H81" s="43">
        <f t="shared" si="34"/>
        <v>13.09677419</v>
      </c>
      <c r="I81" s="43">
        <f t="shared" si="34"/>
        <v>25</v>
      </c>
      <c r="J81" s="43">
        <f t="shared" si="34"/>
        <v>58</v>
      </c>
      <c r="K81" s="43">
        <f t="shared" si="34"/>
        <v>124</v>
      </c>
    </row>
    <row r="82" ht="15.75" customHeight="1">
      <c r="A82" s="42" t="s">
        <v>16</v>
      </c>
      <c r="B82" s="43">
        <v>84.83870967741936</v>
      </c>
      <c r="C82" s="44">
        <v>88.0</v>
      </c>
      <c r="D82" s="43">
        <v>59.38709677419355</v>
      </c>
      <c r="E82" s="43">
        <v>82.0</v>
      </c>
      <c r="F82" s="43">
        <v>59.38709677419355</v>
      </c>
      <c r="G82" s="43">
        <v>74.0</v>
      </c>
      <c r="H82" s="43">
        <v>59.38709677419355</v>
      </c>
      <c r="I82" s="43">
        <v>66.0</v>
      </c>
      <c r="J82" s="43">
        <f t="shared" ref="J82:K82" si="35">B82+D82+F82+H82</f>
        <v>263</v>
      </c>
      <c r="K82" s="43">
        <f t="shared" si="35"/>
        <v>310</v>
      </c>
    </row>
    <row r="83" ht="15.75" customHeight="1">
      <c r="A83" s="42" t="s">
        <v>108</v>
      </c>
      <c r="B83" s="50">
        <f t="shared" ref="B83:K83" si="36">B80/B78</f>
        <v>0.008400262252</v>
      </c>
      <c r="C83" s="50">
        <f t="shared" si="36"/>
        <v>0.005215123859</v>
      </c>
      <c r="D83" s="50">
        <f t="shared" si="36"/>
        <v>0.008400262252</v>
      </c>
      <c r="E83" s="50">
        <f t="shared" si="36"/>
        <v>0.0107674685</v>
      </c>
      <c r="F83" s="50">
        <f t="shared" si="36"/>
        <v>0.008400262252</v>
      </c>
      <c r="G83" s="50">
        <f t="shared" si="36"/>
        <v>0.009240924092</v>
      </c>
      <c r="H83" s="50">
        <f t="shared" si="36"/>
        <v>0.008400262252</v>
      </c>
      <c r="I83" s="50">
        <f t="shared" si="36"/>
        <v>0.008525681015</v>
      </c>
      <c r="J83" s="50">
        <f t="shared" si="36"/>
        <v>0.008400262252</v>
      </c>
      <c r="K83" s="50">
        <f t="shared" si="36"/>
        <v>0.00760518461</v>
      </c>
    </row>
    <row r="84" ht="15.75" customHeight="1">
      <c r="A84" s="42" t="s">
        <v>11</v>
      </c>
      <c r="B84" s="43">
        <v>1144718.7096774194</v>
      </c>
      <c r="C84" s="97">
        <v>1060628.78</v>
      </c>
      <c r="D84" s="43">
        <v>801303.0967741936</v>
      </c>
      <c r="E84" s="43">
        <v>854382.1599999998</v>
      </c>
      <c r="F84" s="43">
        <v>801303.0967741936</v>
      </c>
      <c r="G84" s="43">
        <v>788533.8899999999</v>
      </c>
      <c r="H84" s="43">
        <v>801303.0967741936</v>
      </c>
      <c r="I84" s="43">
        <f>673519</f>
        <v>673519</v>
      </c>
      <c r="J84" s="43">
        <f t="shared" ref="J84:K84" si="37">B84+D84+F84+H84</f>
        <v>3548628</v>
      </c>
      <c r="K84" s="43">
        <f t="shared" si="37"/>
        <v>3377063.83</v>
      </c>
    </row>
    <row r="85" ht="15.75" customHeight="1">
      <c r="A85" s="42" t="s">
        <v>112</v>
      </c>
      <c r="B85" s="43">
        <f t="shared" ref="B85:K85" si="38">B86-B84</f>
        <v>536875.4839</v>
      </c>
      <c r="C85" s="43">
        <f t="shared" si="38"/>
        <v>376178.4149</v>
      </c>
      <c r="D85" s="43">
        <f t="shared" si="38"/>
        <v>375812.8387</v>
      </c>
      <c r="E85" s="43">
        <f t="shared" si="38"/>
        <v>663958.7892</v>
      </c>
      <c r="F85" s="43">
        <f t="shared" si="38"/>
        <v>375812.8387</v>
      </c>
      <c r="G85" s="43">
        <f t="shared" si="38"/>
        <v>394906.3727</v>
      </c>
      <c r="H85" s="43">
        <f t="shared" si="38"/>
        <v>375812.8387</v>
      </c>
      <c r="I85" s="43">
        <f t="shared" si="38"/>
        <v>349845.7458</v>
      </c>
      <c r="J85" s="43">
        <f t="shared" si="38"/>
        <v>1664314</v>
      </c>
      <c r="K85" s="43">
        <f t="shared" si="38"/>
        <v>1784889.323</v>
      </c>
    </row>
    <row r="86" ht="15.75" customHeight="1">
      <c r="A86" s="42" t="s">
        <v>114</v>
      </c>
      <c r="B86" s="99">
        <v>1681594.193548387</v>
      </c>
      <c r="C86" s="99">
        <v>1436807.1949152544</v>
      </c>
      <c r="D86" s="99">
        <v>1177115.9354838708</v>
      </c>
      <c r="E86" s="99">
        <v>1518340.9491525425</v>
      </c>
      <c r="F86" s="99">
        <v>1177115.9354838708</v>
      </c>
      <c r="G86" s="99">
        <v>1183440.2627118644</v>
      </c>
      <c r="H86" s="99">
        <v>1177115.9354838708</v>
      </c>
      <c r="I86" s="99">
        <f>1207570.4/1.18</f>
        <v>1023364.746</v>
      </c>
      <c r="J86" s="99">
        <f t="shared" ref="J86:K86" si="39">B86+D86+F86+H86</f>
        <v>5212942</v>
      </c>
      <c r="K86" s="99">
        <f t="shared" si="39"/>
        <v>5161953.153</v>
      </c>
    </row>
    <row r="87" ht="15.75" customHeight="1">
      <c r="A87" s="42" t="s">
        <v>14</v>
      </c>
      <c r="B87" s="43">
        <f t="shared" ref="B87:K87" si="40">IFERROR(B84/B80,0)</f>
        <v>17310.38049</v>
      </c>
      <c r="C87" s="43">
        <f t="shared" si="40"/>
        <v>18939.79964</v>
      </c>
      <c r="D87" s="43">
        <f t="shared" si="40"/>
        <v>17310.38049</v>
      </c>
      <c r="E87" s="43">
        <f t="shared" si="40"/>
        <v>18178.34383</v>
      </c>
      <c r="F87" s="43">
        <f t="shared" si="40"/>
        <v>17310.38049</v>
      </c>
      <c r="G87" s="43">
        <f t="shared" si="40"/>
        <v>18774.61643</v>
      </c>
      <c r="H87" s="43">
        <f t="shared" si="40"/>
        <v>17310.38049</v>
      </c>
      <c r="I87" s="43">
        <f t="shared" si="40"/>
        <v>16427.29268</v>
      </c>
      <c r="J87" s="43">
        <f t="shared" si="40"/>
        <v>17310.38049</v>
      </c>
      <c r="K87" s="43">
        <f t="shared" si="40"/>
        <v>18156.25715</v>
      </c>
    </row>
    <row r="88" ht="15.75" customHeight="1">
      <c r="A88" s="42" t="s">
        <v>19</v>
      </c>
      <c r="B88" s="43">
        <f t="shared" ref="B88:K88" si="41">IFERROR(B86/B82,0)</f>
        <v>19821.07224</v>
      </c>
      <c r="C88" s="43">
        <f t="shared" si="41"/>
        <v>16327.35449</v>
      </c>
      <c r="D88" s="43">
        <f t="shared" si="41"/>
        <v>19821.07224</v>
      </c>
      <c r="E88" s="43">
        <f t="shared" si="41"/>
        <v>18516.35304</v>
      </c>
      <c r="F88" s="43">
        <f t="shared" si="41"/>
        <v>19821.07224</v>
      </c>
      <c r="G88" s="43">
        <f t="shared" si="41"/>
        <v>15992.43598</v>
      </c>
      <c r="H88" s="43">
        <f t="shared" si="41"/>
        <v>19821.07224</v>
      </c>
      <c r="I88" s="43">
        <f t="shared" si="41"/>
        <v>15505.52645</v>
      </c>
      <c r="J88" s="43">
        <f t="shared" si="41"/>
        <v>19821.07224</v>
      </c>
      <c r="K88" s="43">
        <f t="shared" si="41"/>
        <v>16651.46178</v>
      </c>
    </row>
    <row r="89" ht="15.75" customHeight="1">
      <c r="A89" s="42" t="s">
        <v>13</v>
      </c>
      <c r="B89" s="50">
        <f t="shared" ref="B89:K89" si="42">IFERROR(B77/B84,0)</f>
        <v>0.1408995251</v>
      </c>
      <c r="C89" s="50">
        <f t="shared" si="42"/>
        <v>0.1773753396</v>
      </c>
      <c r="D89" s="50">
        <f t="shared" si="42"/>
        <v>0.1408995251</v>
      </c>
      <c r="E89" s="50">
        <f t="shared" si="42"/>
        <v>0.1321866786</v>
      </c>
      <c r="F89" s="50">
        <f t="shared" si="42"/>
        <v>0.1408995251</v>
      </c>
      <c r="G89" s="50">
        <f t="shared" si="42"/>
        <v>0.1459903137</v>
      </c>
      <c r="H89" s="50">
        <f t="shared" si="42"/>
        <v>0.1408995251</v>
      </c>
      <c r="I89" s="50">
        <f t="shared" si="42"/>
        <v>0.205635357</v>
      </c>
      <c r="J89" s="50">
        <f t="shared" si="42"/>
        <v>0.1408995251</v>
      </c>
      <c r="K89" s="50">
        <f t="shared" si="42"/>
        <v>0.1642506591</v>
      </c>
    </row>
    <row r="90" ht="15.75" customHeight="1">
      <c r="A90" s="42" t="s">
        <v>118</v>
      </c>
      <c r="B90" s="50">
        <f t="shared" ref="B90:K90" si="43">IFERROR(B77/B86,0)</f>
        <v>0.09591512816</v>
      </c>
      <c r="C90" s="50">
        <f t="shared" si="43"/>
        <v>0.1309357238</v>
      </c>
      <c r="D90" s="50">
        <f t="shared" si="43"/>
        <v>0.09591512816</v>
      </c>
      <c r="E90" s="50">
        <f t="shared" si="43"/>
        <v>0.07438246335</v>
      </c>
      <c r="F90" s="50">
        <f t="shared" si="43"/>
        <v>0.09591512816</v>
      </c>
      <c r="G90" s="50">
        <f t="shared" si="43"/>
        <v>0.09727428889</v>
      </c>
      <c r="H90" s="50">
        <f t="shared" si="43"/>
        <v>0.09591512816</v>
      </c>
      <c r="I90" s="50">
        <f t="shared" si="43"/>
        <v>0.1353372007</v>
      </c>
      <c r="J90" s="50">
        <f t="shared" si="43"/>
        <v>0.09591512816</v>
      </c>
      <c r="K90" s="50">
        <f t="shared" si="43"/>
        <v>0.1074564111</v>
      </c>
    </row>
    <row r="91" ht="15.75" customHeight="1">
      <c r="A91" s="42" t="s">
        <v>15</v>
      </c>
      <c r="B91" s="46">
        <f t="shared" ref="B91:K91" si="44">IFERROR(B84/B77,0)</f>
        <v>7.097256</v>
      </c>
      <c r="C91" s="46">
        <f t="shared" si="44"/>
        <v>5.637762287</v>
      </c>
      <c r="D91" s="46">
        <f t="shared" si="44"/>
        <v>7.097256</v>
      </c>
      <c r="E91" s="46">
        <f t="shared" si="44"/>
        <v>7.565058828</v>
      </c>
      <c r="F91" s="46">
        <f t="shared" si="44"/>
        <v>7.097256</v>
      </c>
      <c r="G91" s="46">
        <f t="shared" si="44"/>
        <v>6.849769511</v>
      </c>
      <c r="H91" s="46">
        <f t="shared" si="44"/>
        <v>7.097256</v>
      </c>
      <c r="I91" s="46">
        <f t="shared" si="44"/>
        <v>4.862976945</v>
      </c>
      <c r="J91" s="46">
        <f t="shared" si="44"/>
        <v>7.097256</v>
      </c>
      <c r="K91" s="46">
        <f t="shared" si="44"/>
        <v>6.088255629</v>
      </c>
    </row>
    <row r="92" ht="15.75" customHeight="1">
      <c r="A92" s="42" t="s">
        <v>122</v>
      </c>
      <c r="B92" s="55">
        <f t="shared" ref="B92:K92" si="45">IFERROR(B86/B77,0)</f>
        <v>10.425884</v>
      </c>
      <c r="C92" s="55">
        <f t="shared" si="45"/>
        <v>7.637335107</v>
      </c>
      <c r="D92" s="55">
        <f t="shared" si="45"/>
        <v>10.425884</v>
      </c>
      <c r="E92" s="55">
        <f t="shared" si="45"/>
        <v>13.44402908</v>
      </c>
      <c r="F92" s="55">
        <f t="shared" si="45"/>
        <v>10.425884</v>
      </c>
      <c r="G92" s="55">
        <f t="shared" si="45"/>
        <v>10.28020879</v>
      </c>
      <c r="H92" s="55">
        <f t="shared" si="45"/>
        <v>10.425884</v>
      </c>
      <c r="I92" s="55">
        <f t="shared" si="45"/>
        <v>7.38895141</v>
      </c>
      <c r="J92" s="55">
        <f t="shared" si="45"/>
        <v>10.425884</v>
      </c>
      <c r="K92" s="55">
        <f t="shared" si="45"/>
        <v>9.306099002</v>
      </c>
    </row>
    <row r="93" ht="15.75" customHeight="1"/>
    <row r="94" ht="15.75" customHeight="1"/>
    <row r="95" ht="15.75" customHeight="1"/>
    <row r="96" ht="15.75" customHeight="1"/>
    <row r="97" ht="15.75" customHeight="1"/>
    <row r="98" ht="14.25" customHeight="1">
      <c r="A98" s="34" t="s">
        <v>93</v>
      </c>
      <c r="B98" s="35" t="s">
        <v>143</v>
      </c>
      <c r="C98" s="6"/>
      <c r="D98" s="35" t="s">
        <v>144</v>
      </c>
      <c r="E98" s="6"/>
      <c r="F98" s="35" t="s">
        <v>145</v>
      </c>
      <c r="G98" s="6"/>
      <c r="H98" s="35" t="s">
        <v>186</v>
      </c>
      <c r="I98" s="6"/>
      <c r="J98" s="37" t="s">
        <v>187</v>
      </c>
      <c r="K98" s="6"/>
      <c r="L98" s="37" t="s">
        <v>72</v>
      </c>
      <c r="M98" s="6"/>
    </row>
    <row r="99" ht="15.75" customHeight="1">
      <c r="A99" s="39" t="s">
        <v>189</v>
      </c>
      <c r="B99" s="40" t="s">
        <v>100</v>
      </c>
      <c r="C99" s="40" t="s">
        <v>93</v>
      </c>
      <c r="D99" s="40" t="s">
        <v>100</v>
      </c>
      <c r="E99" s="40" t="s">
        <v>93</v>
      </c>
      <c r="F99" s="40" t="s">
        <v>100</v>
      </c>
      <c r="G99" s="40" t="s">
        <v>93</v>
      </c>
      <c r="H99" s="40" t="s">
        <v>100</v>
      </c>
      <c r="I99" s="40" t="s">
        <v>93</v>
      </c>
      <c r="J99" s="40" t="s">
        <v>100</v>
      </c>
      <c r="K99" s="40" t="s">
        <v>93</v>
      </c>
      <c r="L99" s="40" t="s">
        <v>100</v>
      </c>
      <c r="M99" s="40" t="s">
        <v>93</v>
      </c>
    </row>
    <row r="100" ht="15.75" customHeight="1">
      <c r="A100" s="42" t="s">
        <v>102</v>
      </c>
      <c r="B100" s="43">
        <v>163333.3333333333</v>
      </c>
      <c r="C100" s="97">
        <v>136237.69</v>
      </c>
      <c r="D100" s="43">
        <v>163333.3333333333</v>
      </c>
      <c r="E100" s="43">
        <v>150207.69000000003</v>
      </c>
      <c r="F100" s="43">
        <v>163333.3333333333</v>
      </c>
      <c r="G100" s="43">
        <v>156220.18999999997</v>
      </c>
      <c r="H100" s="43">
        <v>163333.3333333333</v>
      </c>
      <c r="I100" s="43">
        <v>155071.04999999996</v>
      </c>
      <c r="J100" s="43">
        <v>46666.666666666664</v>
      </c>
      <c r="K100" s="43">
        <v>39139.83</v>
      </c>
      <c r="L100" s="43">
        <v>699999.9999999999</v>
      </c>
      <c r="M100" s="43">
        <v>636876.4499999998</v>
      </c>
    </row>
    <row r="101" ht="15.75" customHeight="1">
      <c r="A101" s="42" t="s">
        <v>6</v>
      </c>
      <c r="B101" s="43">
        <v>6154.400000000001</v>
      </c>
      <c r="C101" s="97">
        <v>4970.0</v>
      </c>
      <c r="D101" s="43">
        <v>6154.400000000001</v>
      </c>
      <c r="E101" s="43">
        <v>5927.0</v>
      </c>
      <c r="F101" s="43">
        <v>6154.400000000001</v>
      </c>
      <c r="G101" s="43">
        <v>6510.0</v>
      </c>
      <c r="H101" s="43">
        <v>6154.400000000001</v>
      </c>
      <c r="I101" s="43">
        <v>6510.0</v>
      </c>
      <c r="J101" s="43">
        <v>1758.4</v>
      </c>
      <c r="K101" s="43">
        <v>1276.0</v>
      </c>
      <c r="L101" s="43">
        <v>26376.000000000004</v>
      </c>
      <c r="M101" s="43">
        <v>25193.0</v>
      </c>
    </row>
    <row r="102" ht="15.75" customHeight="1">
      <c r="A102" s="42" t="s">
        <v>8</v>
      </c>
      <c r="B102" s="46">
        <v>26.539278131634813</v>
      </c>
      <c r="C102" s="46">
        <v>27.412010060362174</v>
      </c>
      <c r="D102" s="46">
        <v>14.4297873164436</v>
      </c>
      <c r="E102" s="46">
        <v>25.342954277037293</v>
      </c>
      <c r="F102" s="46">
        <v>14.4297873164436</v>
      </c>
      <c r="G102" s="46">
        <v>23.99695698924731</v>
      </c>
      <c r="H102" s="46">
        <v>14.4297873164436</v>
      </c>
      <c r="I102" s="46">
        <v>23.820437788018427</v>
      </c>
      <c r="J102" s="46">
        <v>26.539278131634816</v>
      </c>
      <c r="K102" s="46">
        <v>30.673847962382446</v>
      </c>
      <c r="L102" s="46">
        <v>26.539278131634813</v>
      </c>
      <c r="M102" s="46">
        <v>25.2798971936649</v>
      </c>
    </row>
    <row r="103" ht="15.75" customHeight="1">
      <c r="A103" s="42" t="s">
        <v>9</v>
      </c>
      <c r="B103" s="43">
        <v>47.83333333333333</v>
      </c>
      <c r="C103" s="97">
        <v>46.0</v>
      </c>
      <c r="D103" s="43">
        <v>47.83333333333333</v>
      </c>
      <c r="E103" s="43">
        <v>36.0</v>
      </c>
      <c r="F103" s="43">
        <v>47.83333333333333</v>
      </c>
      <c r="G103" s="43">
        <v>47.0</v>
      </c>
      <c r="H103" s="43">
        <v>47.83333333333333</v>
      </c>
      <c r="I103" s="43">
        <v>40.0</v>
      </c>
      <c r="J103" s="43">
        <v>13.666666666666666</v>
      </c>
      <c r="K103" s="43">
        <v>9.0</v>
      </c>
      <c r="L103" s="43">
        <v>204.99999999999997</v>
      </c>
      <c r="M103" s="43">
        <v>178.0</v>
      </c>
    </row>
    <row r="104" ht="15.75" customHeight="1">
      <c r="A104" s="42" t="s">
        <v>23</v>
      </c>
      <c r="B104" s="43">
        <v>13.533333333333346</v>
      </c>
      <c r="C104" s="43">
        <v>24.0</v>
      </c>
      <c r="D104" s="43">
        <v>13.533333333333346</v>
      </c>
      <c r="E104" s="43">
        <v>27.0</v>
      </c>
      <c r="F104" s="43">
        <v>13.533333333333346</v>
      </c>
      <c r="G104" s="43">
        <v>17.0</v>
      </c>
      <c r="H104" s="43">
        <v>13.533333333333346</v>
      </c>
      <c r="I104" s="43">
        <v>28.0</v>
      </c>
      <c r="J104" s="43">
        <v>3.866666666666669</v>
      </c>
      <c r="K104" s="43">
        <v>12.0</v>
      </c>
      <c r="L104" s="43">
        <v>58.000000000000085</v>
      </c>
      <c r="M104" s="43">
        <v>108.0</v>
      </c>
    </row>
    <row r="105" ht="15.75" customHeight="1">
      <c r="A105" s="42" t="s">
        <v>16</v>
      </c>
      <c r="B105" s="43">
        <v>61.366666666666674</v>
      </c>
      <c r="C105" s="44">
        <v>70.0</v>
      </c>
      <c r="D105" s="43">
        <v>61.366666666666674</v>
      </c>
      <c r="E105" s="43">
        <v>63.0</v>
      </c>
      <c r="F105" s="43">
        <v>61.366666666666674</v>
      </c>
      <c r="G105" s="43">
        <v>64.0</v>
      </c>
      <c r="H105" s="43">
        <v>61.366666666666674</v>
      </c>
      <c r="I105" s="43">
        <v>68.0</v>
      </c>
      <c r="J105" s="43">
        <v>17.533333333333335</v>
      </c>
      <c r="K105" s="43">
        <v>21.0</v>
      </c>
      <c r="L105" s="43">
        <v>263.00000000000006</v>
      </c>
      <c r="M105" s="43">
        <v>286.0</v>
      </c>
    </row>
    <row r="106" ht="15.75" customHeight="1">
      <c r="A106" s="42" t="s">
        <v>108</v>
      </c>
      <c r="B106" s="50">
        <v>0.007772217167121624</v>
      </c>
      <c r="C106" s="50">
        <v>0.00925553319919517</v>
      </c>
      <c r="D106" s="50">
        <v>0.007772217167121624</v>
      </c>
      <c r="E106" s="50">
        <v>0.006073899105787076</v>
      </c>
      <c r="F106" s="50">
        <v>0.007772217167121624</v>
      </c>
      <c r="G106" s="50">
        <v>0.007219662058371736</v>
      </c>
      <c r="H106" s="50">
        <v>0.007772217167121624</v>
      </c>
      <c r="I106" s="50">
        <v>0.006144393241167435</v>
      </c>
      <c r="J106" s="50">
        <v>0.007772217167121625</v>
      </c>
      <c r="K106" s="50">
        <v>0.007053291536050157</v>
      </c>
      <c r="L106" s="50">
        <v>0.0077722171671216235</v>
      </c>
      <c r="M106" s="50">
        <v>0.007065454689794784</v>
      </c>
    </row>
    <row r="107" ht="15.75" customHeight="1">
      <c r="A107" s="42" t="s">
        <v>11</v>
      </c>
      <c r="B107" s="43">
        <v>1207525.9000000001</v>
      </c>
      <c r="C107" s="97">
        <v>707399.98</v>
      </c>
      <c r="D107" s="43">
        <v>1207525.9000000001</v>
      </c>
      <c r="E107" s="43">
        <v>677365.2199999999</v>
      </c>
      <c r="F107" s="43">
        <v>1207525.9000000001</v>
      </c>
      <c r="G107" s="43">
        <v>845671.1199999999</v>
      </c>
      <c r="H107" s="43">
        <v>1207525.9000000001</v>
      </c>
      <c r="I107" s="43">
        <v>954651.6799999999</v>
      </c>
      <c r="J107" s="43">
        <v>345007.4</v>
      </c>
      <c r="K107" s="43">
        <v>194322.04</v>
      </c>
      <c r="L107" s="43">
        <v>5175111.000000001</v>
      </c>
      <c r="M107" s="43">
        <v>3379410.039999999</v>
      </c>
    </row>
    <row r="108" ht="15.75" customHeight="1">
      <c r="A108" s="42" t="s">
        <v>112</v>
      </c>
      <c r="B108" s="43">
        <v>150524.0333333332</v>
      </c>
      <c r="C108" s="43">
        <v>320376.29118644074</v>
      </c>
      <c r="D108" s="43">
        <v>150524.0333333332</v>
      </c>
      <c r="E108" s="43">
        <v>318256.8138983053</v>
      </c>
      <c r="F108" s="43">
        <v>150524.0333333332</v>
      </c>
      <c r="G108" s="43">
        <v>250219.93084745784</v>
      </c>
      <c r="H108" s="43">
        <v>150524.0333333332</v>
      </c>
      <c r="I108" s="43">
        <v>307205.4555932204</v>
      </c>
      <c r="J108" s="43">
        <v>43006.86666666664</v>
      </c>
      <c r="K108" s="43">
        <v>169644.16</v>
      </c>
      <c r="L108" s="43">
        <v>645102.9999999991</v>
      </c>
      <c r="M108" s="43">
        <v>1365702.6515254248</v>
      </c>
    </row>
    <row r="109" ht="15.75" customHeight="1">
      <c r="A109" s="42" t="s">
        <v>114</v>
      </c>
      <c r="B109" s="99">
        <v>1358049.9333333333</v>
      </c>
      <c r="C109" s="99">
        <v>1027776.2711864407</v>
      </c>
      <c r="D109" s="99">
        <v>1358049.9333333333</v>
      </c>
      <c r="E109" s="99">
        <v>995622.0338983051</v>
      </c>
      <c r="F109" s="99">
        <v>1358049.9333333333</v>
      </c>
      <c r="G109" s="99">
        <v>1095891.0508474577</v>
      </c>
      <c r="H109" s="99">
        <v>1358049.9333333333</v>
      </c>
      <c r="I109" s="99">
        <v>1261857.1355932204</v>
      </c>
      <c r="J109" s="99">
        <v>388014.26666666666</v>
      </c>
      <c r="K109" s="99">
        <v>363966.2</v>
      </c>
      <c r="L109" s="99">
        <v>5820214.0</v>
      </c>
      <c r="M109" s="99">
        <v>4745112.691525424</v>
      </c>
    </row>
    <row r="110" ht="15.75" customHeight="1">
      <c r="A110" s="42" t="s">
        <v>14</v>
      </c>
      <c r="B110" s="43">
        <v>25244.44390243903</v>
      </c>
      <c r="C110" s="43">
        <v>15378.260434782609</v>
      </c>
      <c r="D110" s="43">
        <v>25244.44390243903</v>
      </c>
      <c r="E110" s="43">
        <v>18815.70055555555</v>
      </c>
      <c r="F110" s="43">
        <v>25244.44390243903</v>
      </c>
      <c r="G110" s="43">
        <v>17993.002553191487</v>
      </c>
      <c r="H110" s="43">
        <v>25244.44390243903</v>
      </c>
      <c r="I110" s="43">
        <v>23866.291999999998</v>
      </c>
      <c r="J110" s="43">
        <v>25244.443902439027</v>
      </c>
      <c r="K110" s="43">
        <v>21591.33777777778</v>
      </c>
      <c r="L110" s="43">
        <v>25244.443902439034</v>
      </c>
      <c r="M110" s="43">
        <v>18985.449662921343</v>
      </c>
    </row>
    <row r="111" ht="15.75" customHeight="1">
      <c r="A111" s="42" t="s">
        <v>19</v>
      </c>
      <c r="B111" s="43">
        <v>22130.09125475285</v>
      </c>
      <c r="C111" s="43">
        <v>14682.518159806295</v>
      </c>
      <c r="D111" s="43">
        <v>16908.64788377862</v>
      </c>
      <c r="E111" s="43">
        <v>15803.524347592145</v>
      </c>
      <c r="F111" s="43">
        <v>16908.64788377862</v>
      </c>
      <c r="G111" s="43">
        <v>17123.297669491527</v>
      </c>
      <c r="H111" s="43">
        <v>16908.64788377862</v>
      </c>
      <c r="I111" s="43">
        <v>18556.722582253242</v>
      </c>
      <c r="J111" s="43">
        <v>22130.09125475285</v>
      </c>
      <c r="K111" s="43">
        <v>17331.72380952381</v>
      </c>
      <c r="L111" s="43">
        <v>22130.091254752846</v>
      </c>
      <c r="M111" s="43">
        <v>16591.303117221763</v>
      </c>
    </row>
    <row r="112" ht="15.75" customHeight="1">
      <c r="A112" s="42" t="s">
        <v>13</v>
      </c>
      <c r="B112" s="50">
        <v>0.13526279919406556</v>
      </c>
      <c r="C112" s="50">
        <v>0.19258933255836394</v>
      </c>
      <c r="D112" s="50">
        <v>0.09002412758722438</v>
      </c>
      <c r="E112" s="50">
        <v>0.22175288244058364</v>
      </c>
      <c r="F112" s="50">
        <v>0.09002412758722438</v>
      </c>
      <c r="G112" s="50">
        <v>0.18472924793742512</v>
      </c>
      <c r="H112" s="50">
        <v>0.09002412758722438</v>
      </c>
      <c r="I112" s="50">
        <v>0.16243730907172338</v>
      </c>
      <c r="J112" s="50">
        <v>0.13526279919406559</v>
      </c>
      <c r="K112" s="50">
        <v>0.20141734823286128</v>
      </c>
      <c r="L112" s="50">
        <v>0.13526279919406556</v>
      </c>
      <c r="M112" s="50">
        <v>0.18845787947058357</v>
      </c>
    </row>
    <row r="113" ht="15.75" customHeight="1">
      <c r="A113" s="42" t="s">
        <v>118</v>
      </c>
      <c r="B113" s="50">
        <v>0.12027049177229564</v>
      </c>
      <c r="C113" s="50">
        <v>0.13255578458016978</v>
      </c>
      <c r="D113" s="50">
        <v>0.07041590228179215</v>
      </c>
      <c r="E113" s="50">
        <v>0.15086818580327097</v>
      </c>
      <c r="F113" s="50">
        <v>0.07041590228179215</v>
      </c>
      <c r="G113" s="50">
        <v>0.142550840139806</v>
      </c>
      <c r="H113" s="50">
        <v>0.07041590228179215</v>
      </c>
      <c r="I113" s="50">
        <v>0.1228911305613836</v>
      </c>
      <c r="J113" s="50">
        <v>0.12027049177229565</v>
      </c>
      <c r="K113" s="50">
        <v>0.10753699107224791</v>
      </c>
      <c r="L113" s="50">
        <v>0.12027049177229564</v>
      </c>
      <c r="M113" s="50">
        <v>0.13421734980866418</v>
      </c>
    </row>
    <row r="114" ht="15.75" customHeight="1">
      <c r="A114" s="42" t="s">
        <v>15</v>
      </c>
      <c r="B114" s="46">
        <v>7.393015714285716</v>
      </c>
      <c r="C114" s="46">
        <v>5.192395584511158</v>
      </c>
      <c r="D114" s="46">
        <v>11.108133194971536</v>
      </c>
      <c r="E114" s="46">
        <v>4.509524246062234</v>
      </c>
      <c r="F114" s="46">
        <v>11.108133194971536</v>
      </c>
      <c r="G114" s="46">
        <v>5.413327944358537</v>
      </c>
      <c r="H114" s="46">
        <v>11.108133194971536</v>
      </c>
      <c r="I114" s="46">
        <v>6.156221164427533</v>
      </c>
      <c r="J114" s="46">
        <v>7.393015714285715</v>
      </c>
      <c r="K114" s="46">
        <v>4.964815636654528</v>
      </c>
      <c r="L114" s="46">
        <v>7.393015714285717</v>
      </c>
      <c r="M114" s="46">
        <v>5.306225469633867</v>
      </c>
    </row>
    <row r="115" ht="15.75" customHeight="1">
      <c r="A115" s="42" t="s">
        <v>122</v>
      </c>
      <c r="B115" s="55">
        <v>8.314591428571429</v>
      </c>
      <c r="C115" s="55">
        <v>7.543993671548899</v>
      </c>
      <c r="D115" s="55">
        <v>14.20133758988381</v>
      </c>
      <c r="E115" s="55">
        <v>6.628302678100601</v>
      </c>
      <c r="F115" s="55">
        <v>14.20133758988381</v>
      </c>
      <c r="G115" s="55">
        <v>7.015041083021714</v>
      </c>
      <c r="H115" s="55">
        <v>14.20133758988381</v>
      </c>
      <c r="I115" s="55">
        <v>8.137283752146004</v>
      </c>
      <c r="J115" s="55">
        <v>8.314591428571429</v>
      </c>
      <c r="K115" s="55">
        <v>9.299125724358026</v>
      </c>
      <c r="L115" s="55">
        <v>8.314591428571429</v>
      </c>
      <c r="M115" s="55">
        <v>7.450601590819421</v>
      </c>
    </row>
    <row r="116" ht="15.75" customHeight="1"/>
    <row r="117" ht="15.75" customHeight="1"/>
    <row r="118" ht="15.75" customHeight="1"/>
    <row r="119" ht="15.75" customHeight="1">
      <c r="A119" s="34" t="s">
        <v>93</v>
      </c>
      <c r="B119" s="35" t="s">
        <v>143</v>
      </c>
      <c r="C119" s="6"/>
      <c r="D119" s="35" t="s">
        <v>144</v>
      </c>
      <c r="E119" s="6"/>
      <c r="F119" s="35" t="s">
        <v>201</v>
      </c>
      <c r="G119" s="6"/>
      <c r="H119" s="35" t="s">
        <v>186</v>
      </c>
      <c r="I119" s="6"/>
      <c r="J119" s="35" t="s">
        <v>202</v>
      </c>
      <c r="K119" s="6"/>
      <c r="L119" s="37" t="s">
        <v>72</v>
      </c>
      <c r="M119" s="101"/>
    </row>
    <row r="120" ht="15.75" customHeight="1">
      <c r="A120" s="39" t="s">
        <v>204</v>
      </c>
      <c r="B120" s="40" t="s">
        <v>100</v>
      </c>
      <c r="C120" s="40" t="s">
        <v>93</v>
      </c>
      <c r="D120" s="40" t="s">
        <v>100</v>
      </c>
      <c r="E120" s="40" t="s">
        <v>93</v>
      </c>
      <c r="F120" s="40" t="s">
        <v>100</v>
      </c>
      <c r="G120" s="40" t="s">
        <v>93</v>
      </c>
      <c r="H120" s="40" t="s">
        <v>100</v>
      </c>
      <c r="I120" s="40" t="s">
        <v>93</v>
      </c>
      <c r="J120" s="40" t="s">
        <v>100</v>
      </c>
      <c r="K120" s="40" t="s">
        <v>93</v>
      </c>
      <c r="L120" s="40" t="s">
        <v>100</v>
      </c>
      <c r="M120" s="40" t="s">
        <v>93</v>
      </c>
    </row>
    <row r="121" ht="15.75" customHeight="1">
      <c r="A121" s="45" t="s">
        <v>102</v>
      </c>
      <c r="B121" s="102">
        <v>262500.0</v>
      </c>
      <c r="C121" s="102">
        <v>138778.0</v>
      </c>
      <c r="D121" s="102">
        <v>175000.0</v>
      </c>
      <c r="E121" s="102">
        <v>156034.0</v>
      </c>
      <c r="F121" s="102">
        <v>359375.0</v>
      </c>
      <c r="G121" s="102">
        <v>504665.0</v>
      </c>
      <c r="H121" s="102">
        <v>175000.0</v>
      </c>
      <c r="I121" s="102">
        <v>57775.0</v>
      </c>
      <c r="J121" s="102">
        <v>75000.0</v>
      </c>
      <c r="K121" s="102">
        <v>11786.0</v>
      </c>
      <c r="L121" s="102">
        <v>1021875.0</v>
      </c>
      <c r="M121" s="102">
        <v>869039.0</v>
      </c>
    </row>
    <row r="122" ht="15.75" customHeight="1">
      <c r="A122" s="45" t="s">
        <v>6</v>
      </c>
      <c r="B122" s="45">
        <v>7624.0</v>
      </c>
      <c r="C122" s="45">
        <v>5308.0</v>
      </c>
      <c r="D122" s="45">
        <v>8375.666667</v>
      </c>
      <c r="E122" s="45">
        <v>6320.0</v>
      </c>
      <c r="F122" s="45">
        <v>14149.61905</v>
      </c>
      <c r="G122" s="45">
        <v>14263.0</v>
      </c>
      <c r="H122" s="45">
        <v>8375.666667</v>
      </c>
      <c r="I122" s="45">
        <v>2824.0</v>
      </c>
      <c r="J122" s="45">
        <v>3589.571429</v>
      </c>
      <c r="K122" s="45">
        <v>820.0</v>
      </c>
      <c r="L122" s="45">
        <v>40918.0</v>
      </c>
      <c r="M122" s="45">
        <v>29535.0</v>
      </c>
    </row>
    <row r="123" ht="15.75" customHeight="1">
      <c r="A123" s="45" t="s">
        <v>8</v>
      </c>
      <c r="B123" s="45">
        <v>34.43</v>
      </c>
      <c r="C123" s="45">
        <v>26.15</v>
      </c>
      <c r="D123" s="45">
        <v>20.89</v>
      </c>
      <c r="E123" s="45">
        <v>24.69</v>
      </c>
      <c r="F123" s="45">
        <v>25.4</v>
      </c>
      <c r="G123" s="45">
        <v>35.38</v>
      </c>
      <c r="H123" s="45">
        <v>20.89</v>
      </c>
      <c r="I123" s="45">
        <v>20.46</v>
      </c>
      <c r="J123" s="45">
        <v>20.89</v>
      </c>
      <c r="K123" s="45">
        <v>14.37</v>
      </c>
      <c r="L123" s="45">
        <v>24.97</v>
      </c>
      <c r="M123" s="45">
        <v>29.42</v>
      </c>
    </row>
    <row r="124" ht="15.75" customHeight="1">
      <c r="A124" s="45" t="s">
        <v>9</v>
      </c>
      <c r="B124" s="45">
        <v>98.0</v>
      </c>
      <c r="C124" s="45">
        <v>29.0</v>
      </c>
      <c r="D124" s="45">
        <v>92.0</v>
      </c>
      <c r="E124" s="45">
        <v>43.0</v>
      </c>
      <c r="F124" s="45">
        <v>213.0</v>
      </c>
      <c r="G124" s="45">
        <v>139.0</v>
      </c>
      <c r="H124" s="45">
        <v>92.0</v>
      </c>
      <c r="I124" s="45">
        <v>30.0</v>
      </c>
      <c r="J124" s="45">
        <v>39.0</v>
      </c>
      <c r="K124" s="45">
        <v>13.0</v>
      </c>
      <c r="L124" s="45">
        <v>521.0</v>
      </c>
      <c r="M124" s="45">
        <v>254.0</v>
      </c>
    </row>
    <row r="125" ht="15.75" customHeight="1">
      <c r="A125" s="45" t="s">
        <v>23</v>
      </c>
      <c r="B125" s="45">
        <v>7.0</v>
      </c>
      <c r="C125" s="45">
        <v>19.0</v>
      </c>
      <c r="D125" s="45">
        <v>19.0</v>
      </c>
      <c r="E125" s="45">
        <v>33.0</v>
      </c>
      <c r="F125" s="45">
        <v>121.0</v>
      </c>
      <c r="G125" s="45">
        <v>65.0</v>
      </c>
      <c r="H125" s="45">
        <v>19.0</v>
      </c>
      <c r="I125" s="45">
        <v>37.0</v>
      </c>
      <c r="J125" s="45">
        <v>8.0</v>
      </c>
      <c r="K125" s="45">
        <v>14.0</v>
      </c>
      <c r="L125" s="45">
        <v>171.0</v>
      </c>
      <c r="M125" s="45">
        <v>168.0</v>
      </c>
    </row>
    <row r="126" ht="15.75" customHeight="1">
      <c r="A126" s="45" t="s">
        <v>16</v>
      </c>
      <c r="B126" s="45">
        <v>105.0</v>
      </c>
      <c r="C126" s="45">
        <v>48.0</v>
      </c>
      <c r="D126" s="45">
        <v>111.0</v>
      </c>
      <c r="E126" s="45">
        <v>76.0</v>
      </c>
      <c r="F126" s="45">
        <v>334.0</v>
      </c>
      <c r="G126" s="45">
        <v>204.0</v>
      </c>
      <c r="H126" s="45">
        <v>111.0</v>
      </c>
      <c r="I126" s="45">
        <v>67.0</v>
      </c>
      <c r="J126" s="45">
        <v>47.0</v>
      </c>
      <c r="K126" s="45">
        <v>27.0</v>
      </c>
      <c r="L126" s="45">
        <v>692.0</v>
      </c>
      <c r="M126" s="45">
        <v>422.0</v>
      </c>
    </row>
    <row r="127" ht="15.75" customHeight="1">
      <c r="A127" s="45" t="s">
        <v>108</v>
      </c>
      <c r="B127" s="50">
        <v>0.0129</v>
      </c>
      <c r="C127" s="50">
        <v>0.0055</v>
      </c>
      <c r="D127" s="50">
        <v>0.011</v>
      </c>
      <c r="E127" s="50">
        <v>0.0068</v>
      </c>
      <c r="F127" s="50">
        <v>0.015</v>
      </c>
      <c r="G127" s="50">
        <v>0.0097</v>
      </c>
      <c r="H127" s="50">
        <v>0.011</v>
      </c>
      <c r="I127" s="50">
        <v>0.0106</v>
      </c>
      <c r="J127" s="50">
        <v>0.011</v>
      </c>
      <c r="K127" s="50">
        <v>0.0159</v>
      </c>
      <c r="L127" s="50">
        <v>0.0127</v>
      </c>
      <c r="M127" s="50">
        <v>0.0086</v>
      </c>
    </row>
    <row r="128" ht="15.75" customHeight="1">
      <c r="A128" s="44" t="s">
        <v>11</v>
      </c>
      <c r="B128" s="103">
        <v>1578895.0</v>
      </c>
      <c r="C128" s="103">
        <v>549146.0</v>
      </c>
      <c r="D128" s="103">
        <v>1055425.0</v>
      </c>
      <c r="E128" s="103">
        <v>702881.0</v>
      </c>
      <c r="F128" s="103">
        <v>2949635.0</v>
      </c>
      <c r="G128" s="103">
        <v>2794062.0</v>
      </c>
      <c r="H128" s="103">
        <v>1055425.0</v>
      </c>
      <c r="I128" s="103">
        <v>565877.0</v>
      </c>
      <c r="J128" s="103">
        <v>452325.0</v>
      </c>
      <c r="K128" s="103">
        <v>224015.0</v>
      </c>
      <c r="L128" s="103">
        <v>6941020.0</v>
      </c>
      <c r="M128" s="103">
        <v>4835981.0</v>
      </c>
    </row>
    <row r="129" ht="15.75" customHeight="1">
      <c r="A129" s="45" t="s">
        <v>112</v>
      </c>
      <c r="B129" s="102">
        <v>61377.0</v>
      </c>
      <c r="C129" s="102">
        <v>298005.0</v>
      </c>
      <c r="D129" s="102">
        <v>140525.0</v>
      </c>
      <c r="E129" s="102">
        <v>476188.0</v>
      </c>
      <c r="F129" s="102">
        <v>1296435.0</v>
      </c>
      <c r="G129" s="102">
        <v>1114474.0</v>
      </c>
      <c r="H129" s="102">
        <v>140525.0</v>
      </c>
      <c r="I129" s="102">
        <v>417770.0</v>
      </c>
      <c r="J129" s="102">
        <v>60225.0</v>
      </c>
      <c r="K129" s="102">
        <v>266764.0</v>
      </c>
      <c r="L129" s="102">
        <v>1678921.0</v>
      </c>
      <c r="M129" s="102">
        <v>2573201.0</v>
      </c>
    </row>
    <row r="130" ht="15.75" customHeight="1">
      <c r="A130" s="52" t="s">
        <v>114</v>
      </c>
      <c r="B130" s="104">
        <v>1640272.0</v>
      </c>
      <c r="C130" s="104">
        <v>847151.0</v>
      </c>
      <c r="D130" s="104">
        <v>1195950.0</v>
      </c>
      <c r="E130" s="104">
        <v>1179069.0</v>
      </c>
      <c r="F130" s="104">
        <v>4246070.0</v>
      </c>
      <c r="G130" s="104">
        <v>3908536.0</v>
      </c>
      <c r="H130" s="104">
        <v>1195950.0</v>
      </c>
      <c r="I130" s="104">
        <v>983647.0</v>
      </c>
      <c r="J130" s="104">
        <v>512550.0</v>
      </c>
      <c r="K130" s="104">
        <v>490780.0</v>
      </c>
      <c r="L130" s="104">
        <v>8619941.0</v>
      </c>
      <c r="M130" s="104">
        <v>7409183.0</v>
      </c>
    </row>
    <row r="131" ht="15.75" customHeight="1">
      <c r="A131" s="45" t="s">
        <v>14</v>
      </c>
      <c r="B131" s="45">
        <v>16111.0</v>
      </c>
      <c r="C131" s="45">
        <v>18936.0</v>
      </c>
      <c r="D131" s="45">
        <v>11472.0</v>
      </c>
      <c r="E131" s="45">
        <v>16346.0</v>
      </c>
      <c r="F131" s="45">
        <v>13867.0</v>
      </c>
      <c r="G131" s="45">
        <v>20101.0</v>
      </c>
      <c r="H131" s="45">
        <v>11472.0</v>
      </c>
      <c r="I131" s="45">
        <v>18863.0</v>
      </c>
      <c r="J131" s="45">
        <v>11472.0</v>
      </c>
      <c r="K131" s="45">
        <v>17232.0</v>
      </c>
      <c r="L131" s="45">
        <v>13322.0</v>
      </c>
      <c r="M131" s="45">
        <v>19039.0</v>
      </c>
    </row>
    <row r="132" ht="15.75" customHeight="1">
      <c r="A132" s="45" t="s">
        <v>19</v>
      </c>
      <c r="B132" s="45">
        <v>15622.0</v>
      </c>
      <c r="C132" s="45">
        <v>17649.0</v>
      </c>
      <c r="D132" s="45">
        <v>10807.0</v>
      </c>
      <c r="E132" s="45">
        <v>15514.0</v>
      </c>
      <c r="F132" s="45">
        <v>12711.0</v>
      </c>
      <c r="G132" s="45">
        <v>19159.0</v>
      </c>
      <c r="H132" s="45">
        <v>10807.0</v>
      </c>
      <c r="I132" s="45">
        <v>14681.0</v>
      </c>
      <c r="J132" s="45">
        <v>10807.0</v>
      </c>
      <c r="K132" s="45">
        <v>18177.0</v>
      </c>
      <c r="L132" s="45">
        <v>12457.0</v>
      </c>
      <c r="M132" s="45">
        <v>17557.0</v>
      </c>
    </row>
    <row r="133" ht="15.75" customHeight="1">
      <c r="A133" s="45" t="s">
        <v>13</v>
      </c>
      <c r="B133" s="50">
        <v>0.1663</v>
      </c>
      <c r="C133" s="50">
        <v>0.2527</v>
      </c>
      <c r="D133" s="50">
        <v>0.1658</v>
      </c>
      <c r="E133" s="50">
        <v>0.222</v>
      </c>
      <c r="F133" s="50">
        <v>0.1218</v>
      </c>
      <c r="G133" s="50">
        <v>0.1806</v>
      </c>
      <c r="H133" s="50">
        <v>0.1658</v>
      </c>
      <c r="I133" s="50">
        <v>0.1021</v>
      </c>
      <c r="J133" s="50">
        <v>0.1658</v>
      </c>
      <c r="K133" s="50">
        <v>0.0526</v>
      </c>
      <c r="L133" s="50">
        <v>0.1472</v>
      </c>
      <c r="M133" s="50">
        <v>0.1797</v>
      </c>
    </row>
    <row r="134" ht="15.75" customHeight="1">
      <c r="A134" s="45" t="s">
        <v>118</v>
      </c>
      <c r="B134" s="50">
        <v>0.16</v>
      </c>
      <c r="C134" s="50">
        <v>0.1638</v>
      </c>
      <c r="D134" s="50">
        <v>0.1463</v>
      </c>
      <c r="E134" s="50">
        <v>0.1323</v>
      </c>
      <c r="F134" s="50">
        <v>0.0846</v>
      </c>
      <c r="G134" s="50">
        <v>0.1291</v>
      </c>
      <c r="H134" s="50">
        <v>0.1463</v>
      </c>
      <c r="I134" s="50">
        <v>0.0587</v>
      </c>
      <c r="J134" s="50">
        <v>0.1463</v>
      </c>
      <c r="K134" s="50">
        <v>0.024</v>
      </c>
      <c r="L134" s="50">
        <v>0.1185</v>
      </c>
      <c r="M134" s="50">
        <v>0.1173</v>
      </c>
    </row>
    <row r="135" ht="15.75" customHeight="1">
      <c r="A135" s="45" t="s">
        <v>15</v>
      </c>
      <c r="B135" s="45">
        <v>6.01</v>
      </c>
      <c r="C135" s="45">
        <v>3.96</v>
      </c>
      <c r="D135" s="45">
        <v>6.03</v>
      </c>
      <c r="E135" s="45">
        <v>4.5</v>
      </c>
      <c r="F135" s="45">
        <v>8.21</v>
      </c>
      <c r="G135" s="45">
        <v>5.54</v>
      </c>
      <c r="H135" s="45">
        <v>6.03</v>
      </c>
      <c r="I135" s="45">
        <v>9.79</v>
      </c>
      <c r="J135" s="45">
        <v>6.03</v>
      </c>
      <c r="K135" s="45">
        <v>19.01</v>
      </c>
      <c r="L135" s="45">
        <v>6.79</v>
      </c>
      <c r="M135" s="45">
        <v>5.56</v>
      </c>
    </row>
    <row r="136" ht="15.75" customHeight="1">
      <c r="A136" s="106" t="s">
        <v>122</v>
      </c>
      <c r="B136" s="106">
        <v>6.25</v>
      </c>
      <c r="C136" s="106">
        <v>6.1</v>
      </c>
      <c r="D136" s="106">
        <v>6.83</v>
      </c>
      <c r="E136" s="106">
        <v>7.56</v>
      </c>
      <c r="F136" s="106">
        <v>11.82</v>
      </c>
      <c r="G136" s="106">
        <v>7.74</v>
      </c>
      <c r="H136" s="106">
        <v>6.83</v>
      </c>
      <c r="I136" s="106">
        <v>17.03</v>
      </c>
      <c r="J136" s="106">
        <v>6.83</v>
      </c>
      <c r="K136" s="106">
        <v>41.64</v>
      </c>
      <c r="L136" s="106">
        <v>8.44</v>
      </c>
      <c r="M136" s="106">
        <v>8.53</v>
      </c>
    </row>
    <row r="137" ht="15.75" customHeight="1"/>
    <row r="138" ht="15.75" customHeight="1"/>
    <row r="139" ht="15.75" customHeight="1"/>
    <row r="140" ht="15.75" customHeight="1">
      <c r="A140" s="34" t="s">
        <v>93</v>
      </c>
      <c r="B140" s="35" t="s">
        <v>219</v>
      </c>
      <c r="C140" s="6"/>
      <c r="D140" s="35" t="s">
        <v>220</v>
      </c>
      <c r="E140" s="6"/>
      <c r="F140" s="35" t="s">
        <v>221</v>
      </c>
      <c r="G140" s="6"/>
      <c r="H140" s="35" t="s">
        <v>222</v>
      </c>
      <c r="I140" s="6"/>
      <c r="J140" s="35" t="s">
        <v>223</v>
      </c>
      <c r="K140" s="6"/>
      <c r="L140" s="37" t="s">
        <v>72</v>
      </c>
      <c r="M140" s="101"/>
    </row>
    <row r="141" ht="15.75" customHeight="1">
      <c r="A141" s="39" t="s">
        <v>224</v>
      </c>
      <c r="B141" s="40" t="s">
        <v>100</v>
      </c>
      <c r="C141" s="40" t="s">
        <v>93</v>
      </c>
      <c r="D141" s="40" t="s">
        <v>100</v>
      </c>
      <c r="E141" s="40" t="s">
        <v>93</v>
      </c>
      <c r="F141" s="40" t="s">
        <v>100</v>
      </c>
      <c r="G141" s="40" t="s">
        <v>93</v>
      </c>
      <c r="H141" s="40" t="s">
        <v>100</v>
      </c>
      <c r="I141" s="40" t="s">
        <v>93</v>
      </c>
      <c r="J141" s="40" t="s">
        <v>100</v>
      </c>
      <c r="K141" s="40" t="s">
        <v>93</v>
      </c>
      <c r="L141" s="40" t="s">
        <v>100</v>
      </c>
      <c r="M141" s="40" t="s">
        <v>93</v>
      </c>
    </row>
    <row r="142" ht="15.75" customHeight="1">
      <c r="A142" s="45" t="s">
        <v>102</v>
      </c>
      <c r="B142" s="102">
        <v>120000.0</v>
      </c>
      <c r="C142" s="102">
        <v>61153.0</v>
      </c>
      <c r="D142" s="102">
        <v>210000.0</v>
      </c>
      <c r="E142" s="102">
        <v>266223.0</v>
      </c>
      <c r="F142" s="102">
        <v>210000.0</v>
      </c>
      <c r="G142" s="102">
        <v>171418.0</v>
      </c>
      <c r="H142" s="102">
        <v>210000.0</v>
      </c>
      <c r="I142" s="102">
        <v>182726.0</v>
      </c>
      <c r="J142" s="102">
        <v>180000.0</v>
      </c>
      <c r="K142" s="61">
        <v>150252.8</v>
      </c>
      <c r="L142" s="102">
        <v>930000.0</v>
      </c>
      <c r="M142" s="102">
        <f t="shared" ref="M142:M143" si="46">C142+E142+G142+I142+K142</f>
        <v>831772.8</v>
      </c>
    </row>
    <row r="143" ht="15.75" customHeight="1">
      <c r="A143" s="45" t="s">
        <v>6</v>
      </c>
      <c r="B143" s="61">
        <v>4579.0</v>
      </c>
      <c r="C143" s="61">
        <v>2812.0</v>
      </c>
      <c r="D143" s="61">
        <v>8013.0</v>
      </c>
      <c r="E143" s="61">
        <v>7442.0</v>
      </c>
      <c r="F143" s="61">
        <v>8013.0</v>
      </c>
      <c r="G143" s="61">
        <v>5558.0</v>
      </c>
      <c r="H143" s="61">
        <v>8013.0</v>
      </c>
      <c r="I143" s="61">
        <v>8076.0</v>
      </c>
      <c r="J143" s="61">
        <v>6868.0</v>
      </c>
      <c r="K143" s="61">
        <v>7666.0</v>
      </c>
      <c r="L143" s="61">
        <v>35487.0</v>
      </c>
      <c r="M143" s="61">
        <f t="shared" si="46"/>
        <v>31554</v>
      </c>
    </row>
    <row r="144" ht="15.75" customHeight="1">
      <c r="A144" s="45" t="s">
        <v>8</v>
      </c>
      <c r="B144" s="45">
        <v>26.21</v>
      </c>
      <c r="C144" s="45">
        <v>21.75</v>
      </c>
      <c r="D144" s="45">
        <v>26.21</v>
      </c>
      <c r="E144" s="45">
        <v>35.77</v>
      </c>
      <c r="F144" s="45">
        <v>26.21</v>
      </c>
      <c r="G144" s="45">
        <v>30.84</v>
      </c>
      <c r="H144" s="45">
        <v>26.21</v>
      </c>
      <c r="I144" s="45">
        <v>0.08</v>
      </c>
      <c r="J144" s="45">
        <v>26.21</v>
      </c>
      <c r="K144" s="46">
        <f t="shared" ref="K144:M144" si="47">K142/K143</f>
        <v>19.59989564</v>
      </c>
      <c r="L144" s="46">
        <f t="shared" si="47"/>
        <v>26.20677995</v>
      </c>
      <c r="M144" s="46">
        <f t="shared" si="47"/>
        <v>26.36029663</v>
      </c>
    </row>
    <row r="145" ht="15.75" customHeight="1">
      <c r="A145" s="45" t="s">
        <v>9</v>
      </c>
      <c r="B145" s="45">
        <v>40.0</v>
      </c>
      <c r="C145" s="45">
        <v>18.0</v>
      </c>
      <c r="D145" s="45">
        <v>70.0</v>
      </c>
      <c r="E145" s="45">
        <v>79.0</v>
      </c>
      <c r="F145" s="45">
        <v>70.0</v>
      </c>
      <c r="G145" s="45">
        <v>43.0</v>
      </c>
      <c r="H145" s="45">
        <v>70.0</v>
      </c>
      <c r="I145" s="45">
        <v>24.0</v>
      </c>
      <c r="J145" s="45">
        <v>60.0</v>
      </c>
      <c r="K145" s="45">
        <v>48.0</v>
      </c>
      <c r="L145" s="45">
        <v>310.0</v>
      </c>
      <c r="M145" s="45">
        <f>C145+E145+G145+I145+K145</f>
        <v>212</v>
      </c>
    </row>
    <row r="146" ht="15.75" customHeight="1">
      <c r="A146" s="45" t="s">
        <v>23</v>
      </c>
      <c r="B146" s="45">
        <v>15.0</v>
      </c>
      <c r="C146" s="45">
        <v>16.0</v>
      </c>
      <c r="D146" s="45">
        <v>26.0</v>
      </c>
      <c r="E146" s="45">
        <v>57.0</v>
      </c>
      <c r="F146" s="45">
        <v>26.0</v>
      </c>
      <c r="G146" s="45">
        <v>50.0</v>
      </c>
      <c r="H146" s="45">
        <v>26.0</v>
      </c>
      <c r="I146" s="45">
        <v>27.0</v>
      </c>
      <c r="J146" s="45">
        <v>22.0</v>
      </c>
      <c r="K146" s="45">
        <f t="shared" ref="K146:M146" si="48">K147-K145</f>
        <v>26</v>
      </c>
      <c r="L146" s="45">
        <f t="shared" si="48"/>
        <v>113</v>
      </c>
      <c r="M146" s="45">
        <f t="shared" si="48"/>
        <v>176</v>
      </c>
    </row>
    <row r="147" ht="15.75" customHeight="1">
      <c r="A147" s="45" t="s">
        <v>16</v>
      </c>
      <c r="B147" s="45">
        <v>55.0</v>
      </c>
      <c r="C147" s="45">
        <v>34.0</v>
      </c>
      <c r="D147" s="45">
        <v>96.0</v>
      </c>
      <c r="E147" s="45">
        <v>136.0</v>
      </c>
      <c r="F147" s="45">
        <v>96.0</v>
      </c>
      <c r="G147" s="45">
        <v>93.0</v>
      </c>
      <c r="H147" s="45">
        <v>96.0</v>
      </c>
      <c r="I147" s="45">
        <v>51.0</v>
      </c>
      <c r="J147" s="45">
        <v>82.0</v>
      </c>
      <c r="K147" s="45">
        <v>74.0</v>
      </c>
      <c r="L147" s="45">
        <v>423.0</v>
      </c>
      <c r="M147" s="45">
        <f>C147+E147+G147+I147+K147</f>
        <v>388</v>
      </c>
    </row>
    <row r="148" ht="15.75" customHeight="1">
      <c r="A148" s="45" t="s">
        <v>108</v>
      </c>
      <c r="B148" s="50">
        <v>0.0087</v>
      </c>
      <c r="C148" s="50">
        <v>0.0064</v>
      </c>
      <c r="D148" s="50">
        <v>0.0087</v>
      </c>
      <c r="E148" s="50">
        <v>0.0106</v>
      </c>
      <c r="F148" s="50">
        <v>0.0087</v>
      </c>
      <c r="G148" s="50">
        <v>0.0077</v>
      </c>
      <c r="H148" s="50">
        <v>0.0087</v>
      </c>
      <c r="I148" s="50">
        <v>0.0</v>
      </c>
      <c r="J148" s="50">
        <v>0.0087</v>
      </c>
      <c r="K148" s="50">
        <f t="shared" ref="K148:M148" si="49">K145/K143</f>
        <v>0.006261414036</v>
      </c>
      <c r="L148" s="50">
        <f t="shared" si="49"/>
        <v>0.008735593316</v>
      </c>
      <c r="M148" s="50">
        <f t="shared" si="49"/>
        <v>0.00671864106</v>
      </c>
    </row>
    <row r="149" ht="15.75" customHeight="1">
      <c r="A149" s="44" t="s">
        <v>11</v>
      </c>
      <c r="B149" s="103">
        <v>721093.0</v>
      </c>
      <c r="C149" s="103">
        <v>256518.0</v>
      </c>
      <c r="D149" s="103">
        <v>1261912.0</v>
      </c>
      <c r="E149" s="103">
        <v>1456641.0</v>
      </c>
      <c r="F149" s="103">
        <v>1261912.0</v>
      </c>
      <c r="G149" s="103">
        <v>843320.0</v>
      </c>
      <c r="H149" s="103">
        <v>1261912.0</v>
      </c>
      <c r="I149" s="103">
        <v>422436.0</v>
      </c>
      <c r="J149" s="103">
        <v>1081639.0</v>
      </c>
      <c r="K149" s="123">
        <v>703630.57</v>
      </c>
      <c r="L149" s="103">
        <v>5588467.0</v>
      </c>
      <c r="M149" s="103">
        <f>C149+E149+G149+I149+K149</f>
        <v>3682545.57</v>
      </c>
    </row>
    <row r="150" ht="15.75" customHeight="1">
      <c r="A150" s="45" t="s">
        <v>112</v>
      </c>
      <c r="B150" s="102">
        <v>228894.0</v>
      </c>
      <c r="C150" s="102">
        <v>204092.0</v>
      </c>
      <c r="D150" s="102">
        <v>400565.0</v>
      </c>
      <c r="E150" s="102">
        <v>725880.0</v>
      </c>
      <c r="F150" s="102">
        <v>400565.0</v>
      </c>
      <c r="G150" s="102">
        <v>579797.0</v>
      </c>
      <c r="H150" s="102">
        <v>400565.0</v>
      </c>
      <c r="I150" s="102">
        <v>380570.0</v>
      </c>
      <c r="J150" s="102">
        <v>343341.0</v>
      </c>
      <c r="K150" s="102">
        <f t="shared" ref="K150:M150" si="50">K151-K149</f>
        <v>392665.3792</v>
      </c>
      <c r="L150" s="102">
        <f t="shared" si="50"/>
        <v>1773930</v>
      </c>
      <c r="M150" s="102">
        <f t="shared" si="50"/>
        <v>2283004.379</v>
      </c>
    </row>
    <row r="151" ht="15.75" customHeight="1">
      <c r="A151" s="52" t="s">
        <v>114</v>
      </c>
      <c r="B151" s="104">
        <v>949987.0</v>
      </c>
      <c r="C151" s="104">
        <v>460609.0</v>
      </c>
      <c r="D151" s="104">
        <v>1662477.0</v>
      </c>
      <c r="E151" s="104">
        <v>2182521.0</v>
      </c>
      <c r="F151" s="104">
        <v>1662477.0</v>
      </c>
      <c r="G151" s="104">
        <v>1423118.0</v>
      </c>
      <c r="H151" s="104">
        <v>1662477.0</v>
      </c>
      <c r="I151" s="104">
        <v>803006.0</v>
      </c>
      <c r="J151" s="104">
        <v>1424980.0</v>
      </c>
      <c r="K151" s="99">
        <v>1096295.9491525425</v>
      </c>
      <c r="L151" s="104">
        <v>7362397.0</v>
      </c>
      <c r="M151" s="104">
        <f>C151+E151+G151+I151+K151</f>
        <v>5965549.949</v>
      </c>
    </row>
    <row r="152" ht="15.75" customHeight="1">
      <c r="A152" s="45" t="s">
        <v>14</v>
      </c>
      <c r="B152" s="45">
        <v>18027.0</v>
      </c>
      <c r="C152" s="45">
        <v>14251.0</v>
      </c>
      <c r="D152" s="45">
        <v>18027.0</v>
      </c>
      <c r="E152" s="45">
        <v>18438.0</v>
      </c>
      <c r="F152" s="45">
        <v>18027.0</v>
      </c>
      <c r="G152" s="45">
        <v>19612.0</v>
      </c>
      <c r="H152" s="45">
        <v>18027.0</v>
      </c>
      <c r="I152" s="45">
        <v>17601.0</v>
      </c>
      <c r="J152" s="45">
        <v>18027.0</v>
      </c>
      <c r="K152" s="45">
        <v>0.0</v>
      </c>
      <c r="L152" s="45">
        <v>18027.0</v>
      </c>
      <c r="M152" s="102">
        <f>M149/M145</f>
        <v>17370.49797</v>
      </c>
    </row>
    <row r="153" ht="15.75" customHeight="1">
      <c r="A153" s="45" t="s">
        <v>19</v>
      </c>
      <c r="B153" s="45">
        <v>17405.0</v>
      </c>
      <c r="C153" s="45">
        <v>13547.0</v>
      </c>
      <c r="D153" s="45">
        <v>17405.0</v>
      </c>
      <c r="E153" s="45">
        <v>16048.0</v>
      </c>
      <c r="F153" s="45">
        <v>17405.0</v>
      </c>
      <c r="G153" s="45">
        <v>15302.0</v>
      </c>
      <c r="H153" s="45">
        <v>17405.0</v>
      </c>
      <c r="I153" s="45">
        <v>15745.0</v>
      </c>
      <c r="J153" s="45">
        <v>17405.0</v>
      </c>
      <c r="K153" s="45">
        <v>0.0</v>
      </c>
      <c r="L153" s="45">
        <v>17405.0</v>
      </c>
      <c r="M153" s="102">
        <f>M151/M147</f>
        <v>15375.12873</v>
      </c>
    </row>
    <row r="154" ht="15.75" customHeight="1">
      <c r="A154" s="45" t="s">
        <v>13</v>
      </c>
      <c r="B154" s="50">
        <v>0.1664</v>
      </c>
      <c r="C154" s="50">
        <v>0.2384</v>
      </c>
      <c r="D154" s="50">
        <v>0.1664</v>
      </c>
      <c r="E154" s="50">
        <v>0.1828</v>
      </c>
      <c r="F154" s="50">
        <v>0.1664</v>
      </c>
      <c r="G154" s="50">
        <v>0.2033</v>
      </c>
      <c r="H154" s="50">
        <v>0.1664</v>
      </c>
      <c r="I154" s="50">
        <v>0.4326</v>
      </c>
      <c r="J154" s="50">
        <v>0.1664</v>
      </c>
      <c r="K154" s="50">
        <v>0.0</v>
      </c>
      <c r="L154" s="50">
        <v>0.1664</v>
      </c>
      <c r="M154" s="50">
        <f>M142/M149</f>
        <v>0.2258689768</v>
      </c>
    </row>
    <row r="155" ht="15.75" customHeight="1">
      <c r="A155" s="45" t="s">
        <v>118</v>
      </c>
      <c r="B155" s="50">
        <v>0.1263</v>
      </c>
      <c r="C155" s="50">
        <v>0.1328</v>
      </c>
      <c r="D155" s="50">
        <v>0.1263</v>
      </c>
      <c r="E155" s="50">
        <v>0.122</v>
      </c>
      <c r="F155" s="50">
        <v>0.1263</v>
      </c>
      <c r="G155" s="50">
        <v>0.1205</v>
      </c>
      <c r="H155" s="50">
        <v>0.1263</v>
      </c>
      <c r="I155" s="50">
        <v>0.2276</v>
      </c>
      <c r="J155" s="50">
        <v>0.1263</v>
      </c>
      <c r="K155" s="50">
        <v>0.0</v>
      </c>
      <c r="L155" s="50">
        <v>0.1263</v>
      </c>
      <c r="M155" s="50">
        <f>M142/M151</f>
        <v>0.1394293581</v>
      </c>
    </row>
    <row r="156" ht="15.75" customHeight="1">
      <c r="A156" s="45" t="s">
        <v>15</v>
      </c>
      <c r="B156" s="45">
        <v>6.01</v>
      </c>
      <c r="C156" s="45">
        <v>4.19</v>
      </c>
      <c r="D156" s="45">
        <v>6.01</v>
      </c>
      <c r="E156" s="45">
        <v>5.47</v>
      </c>
      <c r="F156" s="45">
        <v>6.01</v>
      </c>
      <c r="G156" s="45">
        <v>4.92</v>
      </c>
      <c r="H156" s="45">
        <v>6.01</v>
      </c>
      <c r="I156" s="45">
        <v>2.31</v>
      </c>
      <c r="J156" s="45">
        <v>6.01</v>
      </c>
      <c r="K156" s="45">
        <v>0.0</v>
      </c>
      <c r="L156" s="45">
        <v>6.01</v>
      </c>
      <c r="M156" s="46">
        <f>M149/M142</f>
        <v>4.427345508</v>
      </c>
    </row>
    <row r="157" ht="15.75" customHeight="1">
      <c r="A157" s="106" t="s">
        <v>122</v>
      </c>
      <c r="B157" s="106">
        <v>7.92</v>
      </c>
      <c r="C157" s="106">
        <v>7.53</v>
      </c>
      <c r="D157" s="106">
        <v>7.92</v>
      </c>
      <c r="E157" s="106">
        <v>8.2</v>
      </c>
      <c r="F157" s="106">
        <v>7.92</v>
      </c>
      <c r="G157" s="106">
        <v>8.3</v>
      </c>
      <c r="H157" s="106">
        <v>7.92</v>
      </c>
      <c r="I157" s="106">
        <v>4.39</v>
      </c>
      <c r="J157" s="106">
        <v>7.92</v>
      </c>
      <c r="K157" s="106">
        <v>0.0</v>
      </c>
      <c r="L157" s="106">
        <v>7.92</v>
      </c>
      <c r="M157" s="55">
        <f>M151/M142</f>
        <v>7.172090683</v>
      </c>
    </row>
    <row r="158" ht="15.75" customHeight="1"/>
    <row r="159" ht="15.75" customHeight="1"/>
    <row r="160" ht="15.75" customHeight="1"/>
    <row r="161" ht="27.0" customHeight="1">
      <c r="A161" s="34" t="s">
        <v>93</v>
      </c>
      <c r="B161" s="35" t="s">
        <v>233</v>
      </c>
      <c r="C161" s="6"/>
      <c r="D161" s="35" t="s">
        <v>234</v>
      </c>
      <c r="E161" s="6"/>
      <c r="F161" s="35" t="s">
        <v>235</v>
      </c>
      <c r="G161" s="6"/>
      <c r="H161" s="35" t="s">
        <v>236</v>
      </c>
      <c r="I161" s="6"/>
      <c r="J161" s="35" t="s">
        <v>237</v>
      </c>
      <c r="K161" s="6"/>
      <c r="L161" s="37" t="s">
        <v>72</v>
      </c>
      <c r="M161" s="101"/>
    </row>
    <row r="162" ht="15.75" customHeight="1">
      <c r="A162" s="39" t="s">
        <v>238</v>
      </c>
      <c r="B162" s="40" t="s">
        <v>100</v>
      </c>
      <c r="C162" s="40" t="s">
        <v>93</v>
      </c>
      <c r="D162" s="40" t="s">
        <v>100</v>
      </c>
      <c r="E162" s="40" t="s">
        <v>93</v>
      </c>
      <c r="F162" s="40" t="s">
        <v>100</v>
      </c>
      <c r="G162" s="40" t="s">
        <v>93</v>
      </c>
      <c r="H162" s="40" t="s">
        <v>100</v>
      </c>
      <c r="I162" s="40" t="s">
        <v>93</v>
      </c>
      <c r="J162" s="40" t="s">
        <v>100</v>
      </c>
      <c r="K162" s="40" t="s">
        <v>93</v>
      </c>
      <c r="L162" s="40" t="s">
        <v>100</v>
      </c>
      <c r="M162" s="40" t="s">
        <v>93</v>
      </c>
    </row>
    <row r="163" ht="15.75" customHeight="1">
      <c r="A163" s="45" t="s">
        <v>102</v>
      </c>
      <c r="B163" s="102">
        <v>197370.0</v>
      </c>
      <c r="C163" s="102">
        <v>552589.0</v>
      </c>
      <c r="D163" s="102">
        <v>298065.0</v>
      </c>
      <c r="E163" s="102">
        <v>341579.0</v>
      </c>
      <c r="F163" s="102">
        <v>298065.0</v>
      </c>
      <c r="G163" s="102">
        <v>219508.0</v>
      </c>
      <c r="H163" s="102">
        <v>298065.0</v>
      </c>
      <c r="I163" s="102">
        <v>134005.0</v>
      </c>
      <c r="J163" s="102">
        <v>170323.0</v>
      </c>
      <c r="K163" s="103">
        <v>34622.87</v>
      </c>
      <c r="L163" s="102">
        <v>1320000.0</v>
      </c>
      <c r="M163" s="102">
        <f t="shared" ref="M163:M164" si="51">C163+E163+G163+I163+K163</f>
        <v>1282303.87</v>
      </c>
    </row>
    <row r="164" ht="15.75" customHeight="1">
      <c r="A164" s="45" t="s">
        <v>6</v>
      </c>
      <c r="B164" s="61">
        <v>7962.0</v>
      </c>
      <c r="C164" s="61">
        <v>12960.0</v>
      </c>
      <c r="D164" s="61">
        <v>11183.0</v>
      </c>
      <c r="E164" s="61">
        <v>6978.0</v>
      </c>
      <c r="F164" s="61">
        <v>11183.0</v>
      </c>
      <c r="G164" s="61">
        <v>4994.0</v>
      </c>
      <c r="H164" s="61">
        <v>11183.0</v>
      </c>
      <c r="I164" s="61">
        <v>3326.0</v>
      </c>
      <c r="J164" s="61">
        <v>6390.0</v>
      </c>
      <c r="K164" s="61">
        <v>1199.0</v>
      </c>
      <c r="L164" s="61">
        <v>49524.0</v>
      </c>
      <c r="M164" s="61">
        <f t="shared" si="51"/>
        <v>29457</v>
      </c>
    </row>
    <row r="165" ht="15.75" customHeight="1">
      <c r="A165" s="45" t="s">
        <v>8</v>
      </c>
      <c r="B165" s="124">
        <f t="shared" ref="B165:M165" si="52">B163/B164</f>
        <v>24.78899774</v>
      </c>
      <c r="C165" s="124">
        <f t="shared" si="52"/>
        <v>42.63804012</v>
      </c>
      <c r="D165" s="124">
        <f t="shared" si="52"/>
        <v>26.65340249</v>
      </c>
      <c r="E165" s="124">
        <f t="shared" si="52"/>
        <v>48.95084551</v>
      </c>
      <c r="F165" s="124">
        <f t="shared" si="52"/>
        <v>26.65340249</v>
      </c>
      <c r="G165" s="124">
        <f t="shared" si="52"/>
        <v>43.95434521</v>
      </c>
      <c r="H165" s="124">
        <f t="shared" si="52"/>
        <v>26.65340249</v>
      </c>
      <c r="I165" s="124">
        <f t="shared" si="52"/>
        <v>40.2901383</v>
      </c>
      <c r="J165" s="124">
        <f t="shared" si="52"/>
        <v>26.65461659</v>
      </c>
      <c r="K165" s="124">
        <f t="shared" si="52"/>
        <v>28.87645538</v>
      </c>
      <c r="L165" s="124">
        <f t="shared" si="52"/>
        <v>26.65374364</v>
      </c>
      <c r="M165" s="124">
        <f t="shared" si="52"/>
        <v>43.53138032</v>
      </c>
    </row>
    <row r="166" ht="15.75" customHeight="1">
      <c r="A166" s="45" t="s">
        <v>9</v>
      </c>
      <c r="B166" s="45">
        <v>65.0</v>
      </c>
      <c r="C166" s="45">
        <v>131.0</v>
      </c>
      <c r="D166" s="45">
        <v>110.0</v>
      </c>
      <c r="E166" s="45">
        <v>56.0</v>
      </c>
      <c r="F166" s="45">
        <v>110.0</v>
      </c>
      <c r="G166" s="45">
        <v>55.0</v>
      </c>
      <c r="H166" s="45">
        <v>110.0</v>
      </c>
      <c r="I166" s="45">
        <v>51.0</v>
      </c>
      <c r="J166" s="45">
        <v>63.0</v>
      </c>
      <c r="K166" s="45">
        <v>22.0</v>
      </c>
      <c r="L166" s="45">
        <v>487.0</v>
      </c>
      <c r="M166" s="45">
        <f>C166+E166+G166+I166+K166</f>
        <v>315</v>
      </c>
    </row>
    <row r="167" ht="15.75" customHeight="1">
      <c r="A167" s="45" t="s">
        <v>23</v>
      </c>
      <c r="B167" s="45">
        <f t="shared" ref="B167:M167" si="53">B168-B166</f>
        <v>38</v>
      </c>
      <c r="C167" s="45">
        <f t="shared" si="53"/>
        <v>62</v>
      </c>
      <c r="D167" s="45">
        <f t="shared" si="53"/>
        <v>47</v>
      </c>
      <c r="E167" s="45">
        <f t="shared" si="53"/>
        <v>64</v>
      </c>
      <c r="F167" s="45">
        <f t="shared" si="53"/>
        <v>47</v>
      </c>
      <c r="G167" s="45">
        <f t="shared" si="53"/>
        <v>75</v>
      </c>
      <c r="H167" s="45">
        <f t="shared" si="53"/>
        <v>47</v>
      </c>
      <c r="I167" s="45">
        <f t="shared" si="53"/>
        <v>57</v>
      </c>
      <c r="J167" s="45">
        <f t="shared" si="53"/>
        <v>27</v>
      </c>
      <c r="K167" s="45">
        <f t="shared" si="53"/>
        <v>39</v>
      </c>
      <c r="L167" s="45">
        <f t="shared" si="53"/>
        <v>210</v>
      </c>
      <c r="M167" s="45">
        <f t="shared" si="53"/>
        <v>297</v>
      </c>
    </row>
    <row r="168" ht="15.75" customHeight="1">
      <c r="A168" s="45" t="s">
        <v>16</v>
      </c>
      <c r="B168" s="45">
        <v>103.0</v>
      </c>
      <c r="C168" s="45">
        <v>193.0</v>
      </c>
      <c r="D168" s="45">
        <v>157.0</v>
      </c>
      <c r="E168" s="45">
        <v>120.0</v>
      </c>
      <c r="F168" s="45">
        <v>157.0</v>
      </c>
      <c r="G168" s="45">
        <v>130.0</v>
      </c>
      <c r="H168" s="45">
        <v>157.0</v>
      </c>
      <c r="I168" s="45">
        <v>108.0</v>
      </c>
      <c r="J168" s="45">
        <v>90.0</v>
      </c>
      <c r="K168" s="45">
        <v>61.0</v>
      </c>
      <c r="L168" s="45">
        <v>697.0</v>
      </c>
      <c r="M168" s="45">
        <f>C168+E168+G168+I168+K168</f>
        <v>612</v>
      </c>
    </row>
    <row r="169" ht="15.75" customHeight="1">
      <c r="A169" s="45" t="s">
        <v>108</v>
      </c>
      <c r="B169" s="50">
        <f t="shared" ref="B169:M169" si="54">B166/B164</f>
        <v>0.008163777945</v>
      </c>
      <c r="C169" s="50">
        <f t="shared" si="54"/>
        <v>0.01010802469</v>
      </c>
      <c r="D169" s="50">
        <f t="shared" si="54"/>
        <v>0.009836358759</v>
      </c>
      <c r="E169" s="50">
        <f t="shared" si="54"/>
        <v>0.008025222127</v>
      </c>
      <c r="F169" s="50">
        <f t="shared" si="54"/>
        <v>0.009836358759</v>
      </c>
      <c r="G169" s="50">
        <f t="shared" si="54"/>
        <v>0.01101321586</v>
      </c>
      <c r="H169" s="50">
        <f t="shared" si="54"/>
        <v>0.009836358759</v>
      </c>
      <c r="I169" s="50">
        <f t="shared" si="54"/>
        <v>0.01533373422</v>
      </c>
      <c r="J169" s="50">
        <f t="shared" si="54"/>
        <v>0.00985915493</v>
      </c>
      <c r="K169" s="50">
        <f t="shared" si="54"/>
        <v>0.01834862385</v>
      </c>
      <c r="L169" s="50">
        <f t="shared" si="54"/>
        <v>0.009833616025</v>
      </c>
      <c r="M169" s="50">
        <f t="shared" si="54"/>
        <v>0.01069355332</v>
      </c>
    </row>
    <row r="170" ht="15.75" customHeight="1">
      <c r="A170" s="44" t="s">
        <v>11</v>
      </c>
      <c r="B170" s="103">
        <v>785377.0</v>
      </c>
      <c r="C170" s="103">
        <v>2442700.0</v>
      </c>
      <c r="D170" s="103">
        <v>1482059.0</v>
      </c>
      <c r="E170" s="103">
        <v>896665.0</v>
      </c>
      <c r="F170" s="103">
        <v>1482059.0</v>
      </c>
      <c r="G170" s="103">
        <v>828185.0</v>
      </c>
      <c r="H170" s="103">
        <v>1482059.0</v>
      </c>
      <c r="I170" s="103">
        <v>907725.0</v>
      </c>
      <c r="J170" s="103">
        <v>846891.0</v>
      </c>
      <c r="K170" s="103">
        <v>369937.28</v>
      </c>
      <c r="L170" s="103">
        <v>6563403.0</v>
      </c>
      <c r="M170" s="103">
        <f>C170+E170+G170+I170+K170</f>
        <v>5445212.28</v>
      </c>
    </row>
    <row r="171" ht="15.75" customHeight="1">
      <c r="A171" s="45" t="s">
        <v>112</v>
      </c>
      <c r="B171" s="102">
        <f t="shared" ref="B171:M171" si="55">B172-B170</f>
        <v>377472</v>
      </c>
      <c r="C171" s="102">
        <f t="shared" si="55"/>
        <v>809964</v>
      </c>
      <c r="D171" s="102">
        <f t="shared" si="55"/>
        <v>564153</v>
      </c>
      <c r="E171" s="102">
        <f t="shared" si="55"/>
        <v>666882</v>
      </c>
      <c r="F171" s="102">
        <f t="shared" si="55"/>
        <v>564153</v>
      </c>
      <c r="G171" s="102">
        <f t="shared" si="55"/>
        <v>738707</v>
      </c>
      <c r="H171" s="102">
        <f t="shared" si="55"/>
        <v>564153</v>
      </c>
      <c r="I171" s="102">
        <f t="shared" si="55"/>
        <v>812438</v>
      </c>
      <c r="J171" s="102">
        <f t="shared" si="55"/>
        <v>322373</v>
      </c>
      <c r="K171" s="102">
        <f t="shared" si="55"/>
        <v>584437.8</v>
      </c>
      <c r="L171" s="102">
        <f t="shared" si="55"/>
        <v>1116086.831</v>
      </c>
      <c r="M171" s="102">
        <f t="shared" si="55"/>
        <v>3612428.8</v>
      </c>
    </row>
    <row r="172" ht="15.75" customHeight="1">
      <c r="A172" s="52" t="s">
        <v>114</v>
      </c>
      <c r="B172" s="104">
        <v>1162849.0</v>
      </c>
      <c r="C172" s="104">
        <v>3252664.0</v>
      </c>
      <c r="D172" s="104">
        <v>2046212.0</v>
      </c>
      <c r="E172" s="104">
        <v>1563547.0</v>
      </c>
      <c r="F172" s="104">
        <v>2046212.0</v>
      </c>
      <c r="G172" s="104">
        <v>1566892.0</v>
      </c>
      <c r="H172" s="104">
        <v>2046212.0</v>
      </c>
      <c r="I172" s="104">
        <v>1720163.0</v>
      </c>
      <c r="J172" s="104">
        <v>1169264.0</v>
      </c>
      <c r="K172" s="104">
        <v>954375.08</v>
      </c>
      <c r="L172" s="104">
        <f>9061798/1.18</f>
        <v>7679489.831</v>
      </c>
      <c r="M172" s="104">
        <f>C172+E172+G172+I172+K172</f>
        <v>9057641.08</v>
      </c>
    </row>
    <row r="173" ht="15.75" customHeight="1">
      <c r="A173" s="45" t="s">
        <v>14</v>
      </c>
      <c r="B173" s="102">
        <f t="shared" ref="B173:M173" si="56">B170/B166</f>
        <v>12082.72308</v>
      </c>
      <c r="C173" s="102">
        <f t="shared" si="56"/>
        <v>18646.56489</v>
      </c>
      <c r="D173" s="102">
        <f t="shared" si="56"/>
        <v>13473.26364</v>
      </c>
      <c r="E173" s="102">
        <f t="shared" si="56"/>
        <v>16011.875</v>
      </c>
      <c r="F173" s="102">
        <f t="shared" si="56"/>
        <v>13473.26364</v>
      </c>
      <c r="G173" s="102">
        <f t="shared" si="56"/>
        <v>15057.90909</v>
      </c>
      <c r="H173" s="102">
        <f t="shared" si="56"/>
        <v>13473.26364</v>
      </c>
      <c r="I173" s="102">
        <f t="shared" si="56"/>
        <v>17798.52941</v>
      </c>
      <c r="J173" s="102">
        <f t="shared" si="56"/>
        <v>13442.71429</v>
      </c>
      <c r="K173" s="102">
        <f t="shared" si="56"/>
        <v>16815.33091</v>
      </c>
      <c r="L173" s="102">
        <f t="shared" si="56"/>
        <v>13477.21355</v>
      </c>
      <c r="M173" s="102">
        <f t="shared" si="56"/>
        <v>17286.38819</v>
      </c>
    </row>
    <row r="174" ht="15.75" customHeight="1">
      <c r="A174" s="45" t="s">
        <v>19</v>
      </c>
      <c r="B174" s="102">
        <f t="shared" ref="B174:M174" si="57">B172/B168</f>
        <v>11289.79612</v>
      </c>
      <c r="C174" s="102">
        <f t="shared" si="57"/>
        <v>16853.18135</v>
      </c>
      <c r="D174" s="102">
        <f t="shared" si="57"/>
        <v>13033.19745</v>
      </c>
      <c r="E174" s="102">
        <f t="shared" si="57"/>
        <v>13029.55833</v>
      </c>
      <c r="F174" s="102">
        <f t="shared" si="57"/>
        <v>13033.19745</v>
      </c>
      <c r="G174" s="102">
        <f t="shared" si="57"/>
        <v>12053.01538</v>
      </c>
      <c r="H174" s="102">
        <f t="shared" si="57"/>
        <v>13033.19745</v>
      </c>
      <c r="I174" s="102">
        <f t="shared" si="57"/>
        <v>15927.43519</v>
      </c>
      <c r="J174" s="102">
        <f t="shared" si="57"/>
        <v>12991.82222</v>
      </c>
      <c r="K174" s="102">
        <f t="shared" si="57"/>
        <v>15645.49311</v>
      </c>
      <c r="L174" s="102">
        <f t="shared" si="57"/>
        <v>11017.91941</v>
      </c>
      <c r="M174" s="102">
        <f t="shared" si="57"/>
        <v>14800.06712</v>
      </c>
    </row>
    <row r="175" ht="15.75" customHeight="1">
      <c r="A175" s="45" t="s">
        <v>13</v>
      </c>
      <c r="B175" s="50">
        <f t="shared" ref="B175:M175" si="58">B163/B170</f>
        <v>0.2513060607</v>
      </c>
      <c r="C175" s="50">
        <f t="shared" si="58"/>
        <v>0.2262205756</v>
      </c>
      <c r="D175" s="50">
        <f t="shared" si="58"/>
        <v>0.2011154752</v>
      </c>
      <c r="E175" s="50">
        <f t="shared" si="58"/>
        <v>0.3809438308</v>
      </c>
      <c r="F175" s="50">
        <f t="shared" si="58"/>
        <v>0.2011154752</v>
      </c>
      <c r="G175" s="50">
        <f t="shared" si="58"/>
        <v>0.2650470607</v>
      </c>
      <c r="H175" s="50">
        <f t="shared" si="58"/>
        <v>0.2011154752</v>
      </c>
      <c r="I175" s="50">
        <f t="shared" si="58"/>
        <v>0.14762731</v>
      </c>
      <c r="J175" s="50">
        <f t="shared" si="58"/>
        <v>0.2011156099</v>
      </c>
      <c r="K175" s="50">
        <f t="shared" si="58"/>
        <v>0.0935911893</v>
      </c>
      <c r="L175" s="50">
        <f t="shared" si="58"/>
        <v>0.2011151837</v>
      </c>
      <c r="M175" s="50">
        <f t="shared" si="58"/>
        <v>0.2354919889</v>
      </c>
    </row>
    <row r="176" ht="15.75" customHeight="1">
      <c r="A176" s="45" t="s">
        <v>118</v>
      </c>
      <c r="B176" s="50">
        <f t="shared" ref="B176:M176" si="59">B163/B172</f>
        <v>0.1697296898</v>
      </c>
      <c r="C176" s="50">
        <f t="shared" si="59"/>
        <v>0.1698881286</v>
      </c>
      <c r="D176" s="50">
        <f t="shared" si="59"/>
        <v>0.1456667247</v>
      </c>
      <c r="E176" s="50">
        <f t="shared" si="59"/>
        <v>0.2184641715</v>
      </c>
      <c r="F176" s="50">
        <f t="shared" si="59"/>
        <v>0.1456667247</v>
      </c>
      <c r="G176" s="50">
        <f t="shared" si="59"/>
        <v>0.1400913401</v>
      </c>
      <c r="H176" s="50">
        <f t="shared" si="59"/>
        <v>0.1456667247</v>
      </c>
      <c r="I176" s="50">
        <f t="shared" si="59"/>
        <v>0.0779025011</v>
      </c>
      <c r="J176" s="50">
        <f t="shared" si="59"/>
        <v>0.1456668468</v>
      </c>
      <c r="K176" s="50">
        <f t="shared" si="59"/>
        <v>0.03627805328</v>
      </c>
      <c r="L176" s="50">
        <f t="shared" si="59"/>
        <v>0.1718864181</v>
      </c>
      <c r="M176" s="50">
        <f t="shared" si="59"/>
        <v>0.141571504</v>
      </c>
    </row>
    <row r="177" ht="15.75" customHeight="1">
      <c r="A177" s="45" t="s">
        <v>15</v>
      </c>
      <c r="B177" s="46">
        <f t="shared" ref="B177:M177" si="60">B170/B163</f>
        <v>3.979211633</v>
      </c>
      <c r="C177" s="46">
        <f t="shared" si="60"/>
        <v>4.420464396</v>
      </c>
      <c r="D177" s="46">
        <f t="shared" si="60"/>
        <v>4.972267794</v>
      </c>
      <c r="E177" s="46">
        <f t="shared" si="60"/>
        <v>2.625058918</v>
      </c>
      <c r="F177" s="46">
        <f t="shared" si="60"/>
        <v>4.972267794</v>
      </c>
      <c r="G177" s="46">
        <f t="shared" si="60"/>
        <v>3.772914882</v>
      </c>
      <c r="H177" s="46">
        <f t="shared" si="60"/>
        <v>4.972267794</v>
      </c>
      <c r="I177" s="46">
        <f t="shared" si="60"/>
        <v>6.77381441</v>
      </c>
      <c r="J177" s="46">
        <f t="shared" si="60"/>
        <v>4.972264462</v>
      </c>
      <c r="K177" s="46">
        <f t="shared" si="60"/>
        <v>10.68476646</v>
      </c>
      <c r="L177" s="46">
        <f t="shared" si="60"/>
        <v>4.972275</v>
      </c>
      <c r="M177" s="46">
        <f t="shared" si="60"/>
        <v>4.246428953</v>
      </c>
    </row>
    <row r="178" ht="15.75" customHeight="1">
      <c r="A178" s="106" t="s">
        <v>122</v>
      </c>
      <c r="B178" s="55">
        <f t="shared" ref="B178:M178" si="61">B172/B163</f>
        <v>5.891721133</v>
      </c>
      <c r="C178" s="55">
        <f t="shared" si="61"/>
        <v>5.886226472</v>
      </c>
      <c r="D178" s="55">
        <f t="shared" si="61"/>
        <v>6.864985825</v>
      </c>
      <c r="E178" s="55">
        <f t="shared" si="61"/>
        <v>4.577409618</v>
      </c>
      <c r="F178" s="55">
        <f t="shared" si="61"/>
        <v>6.864985825</v>
      </c>
      <c r="G178" s="55">
        <f t="shared" si="61"/>
        <v>7.138199974</v>
      </c>
      <c r="H178" s="55">
        <f t="shared" si="61"/>
        <v>6.864985825</v>
      </c>
      <c r="I178" s="55">
        <f t="shared" si="61"/>
        <v>12.83655834</v>
      </c>
      <c r="J178" s="55">
        <f t="shared" si="61"/>
        <v>6.864980067</v>
      </c>
      <c r="K178" s="55">
        <f t="shared" si="61"/>
        <v>27.56487489</v>
      </c>
      <c r="L178" s="55">
        <f t="shared" si="61"/>
        <v>5.817795326</v>
      </c>
      <c r="M178" s="55">
        <f t="shared" si="61"/>
        <v>7.063568388</v>
      </c>
    </row>
    <row r="179" ht="15.75" customHeight="1"/>
    <row r="180" ht="15.75" customHeight="1"/>
    <row r="181" ht="15.75" customHeight="1"/>
    <row r="182" ht="15.75" customHeight="1">
      <c r="A182" s="34" t="s">
        <v>93</v>
      </c>
      <c r="B182" s="35" t="s">
        <v>242</v>
      </c>
      <c r="C182" s="6"/>
      <c r="D182" s="35" t="s">
        <v>243</v>
      </c>
      <c r="E182" s="6"/>
      <c r="F182" s="35" t="s">
        <v>244</v>
      </c>
      <c r="G182" s="6"/>
      <c r="H182" s="35" t="s">
        <v>245</v>
      </c>
      <c r="I182" s="6"/>
      <c r="J182" s="35" t="s">
        <v>246</v>
      </c>
      <c r="K182" s="6"/>
      <c r="L182" s="37" t="s">
        <v>72</v>
      </c>
      <c r="M182" s="6"/>
    </row>
    <row r="183" ht="15.75" customHeight="1">
      <c r="A183" s="39" t="s">
        <v>247</v>
      </c>
      <c r="B183" s="40" t="s">
        <v>100</v>
      </c>
      <c r="C183" s="40" t="s">
        <v>93</v>
      </c>
      <c r="D183" s="40" t="s">
        <v>100</v>
      </c>
      <c r="E183" s="40" t="s">
        <v>93</v>
      </c>
      <c r="F183" s="40" t="s">
        <v>100</v>
      </c>
      <c r="G183" s="40" t="s">
        <v>93</v>
      </c>
      <c r="H183" s="40" t="s">
        <v>100</v>
      </c>
      <c r="I183" s="40" t="s">
        <v>93</v>
      </c>
      <c r="J183" s="40" t="s">
        <v>100</v>
      </c>
      <c r="K183" s="40" t="s">
        <v>93</v>
      </c>
      <c r="L183" s="40" t="s">
        <v>100</v>
      </c>
      <c r="M183" s="40" t="s">
        <v>93</v>
      </c>
    </row>
    <row r="184" ht="15.75" customHeight="1">
      <c r="A184" s="45" t="s">
        <v>102</v>
      </c>
      <c r="B184" s="102">
        <v>90000.0</v>
      </c>
      <c r="C184" s="102">
        <v>29014.0</v>
      </c>
      <c r="D184" s="102">
        <v>203226.0</v>
      </c>
      <c r="E184" s="102">
        <v>111162.0</v>
      </c>
      <c r="F184" s="102">
        <v>203226.0</v>
      </c>
      <c r="G184" s="102">
        <v>170183.0</v>
      </c>
      <c r="H184" s="102">
        <v>203226.0</v>
      </c>
      <c r="I184" s="102">
        <v>200265.0</v>
      </c>
      <c r="J184" s="102">
        <v>116129.0</v>
      </c>
      <c r="K184" s="102">
        <v>175727.0</v>
      </c>
      <c r="L184" s="102">
        <v>900000.0</v>
      </c>
      <c r="M184" s="102">
        <v>686350.0</v>
      </c>
    </row>
    <row r="185" ht="15.75" customHeight="1">
      <c r="A185" s="45" t="s">
        <v>6</v>
      </c>
      <c r="B185" s="61">
        <v>2852.0</v>
      </c>
      <c r="C185" s="61">
        <v>1333.0</v>
      </c>
      <c r="D185" s="61">
        <v>6441.0</v>
      </c>
      <c r="E185" s="61">
        <v>4725.0</v>
      </c>
      <c r="F185" s="61">
        <v>6441.0</v>
      </c>
      <c r="G185" s="61">
        <v>5744.0</v>
      </c>
      <c r="H185" s="61">
        <v>6441.0</v>
      </c>
      <c r="I185" s="61">
        <v>7231.0</v>
      </c>
      <c r="J185" s="61">
        <v>3681.0</v>
      </c>
      <c r="K185" s="61">
        <v>6435.0</v>
      </c>
      <c r="L185" s="61">
        <v>28524.0</v>
      </c>
      <c r="M185" s="61">
        <v>25468.0</v>
      </c>
    </row>
    <row r="186" ht="15.75" customHeight="1">
      <c r="A186" s="45" t="s">
        <v>8</v>
      </c>
      <c r="B186" s="45">
        <v>31.55</v>
      </c>
      <c r="C186" s="45">
        <v>21.77</v>
      </c>
      <c r="D186" s="45">
        <v>31.55</v>
      </c>
      <c r="E186" s="45">
        <v>23.53</v>
      </c>
      <c r="F186" s="45">
        <v>31.55</v>
      </c>
      <c r="G186" s="45">
        <v>29.63</v>
      </c>
      <c r="H186" s="45">
        <v>31.55</v>
      </c>
      <c r="I186" s="45">
        <v>27.7</v>
      </c>
      <c r="J186" s="45">
        <v>31.55</v>
      </c>
      <c r="K186" s="45">
        <v>27.31</v>
      </c>
      <c r="L186" s="45">
        <v>31.55</v>
      </c>
      <c r="M186" s="45">
        <v>26.95</v>
      </c>
    </row>
    <row r="187" ht="15.75" customHeight="1">
      <c r="A187" s="45" t="s">
        <v>9</v>
      </c>
      <c r="B187" s="45">
        <v>32.0</v>
      </c>
      <c r="C187" s="45">
        <v>17.0</v>
      </c>
      <c r="D187" s="45">
        <v>72.0</v>
      </c>
      <c r="E187" s="45">
        <v>30.0</v>
      </c>
      <c r="F187" s="45">
        <v>72.0</v>
      </c>
      <c r="G187" s="45">
        <v>50.0</v>
      </c>
      <c r="H187" s="45">
        <v>72.0</v>
      </c>
      <c r="I187" s="45">
        <v>58.0</v>
      </c>
      <c r="J187" s="45">
        <v>41.0</v>
      </c>
      <c r="K187" s="45">
        <v>55.0</v>
      </c>
      <c r="L187" s="45">
        <v>318.0</v>
      </c>
      <c r="M187" s="45">
        <v>210.0</v>
      </c>
    </row>
    <row r="188" ht="15.75" customHeight="1">
      <c r="A188" s="45" t="s">
        <v>23</v>
      </c>
      <c r="B188" s="45">
        <v>22.0</v>
      </c>
      <c r="C188" s="45">
        <v>14.0</v>
      </c>
      <c r="D188" s="45">
        <v>49.0</v>
      </c>
      <c r="E188" s="45">
        <v>43.0</v>
      </c>
      <c r="F188" s="45">
        <v>49.0</v>
      </c>
      <c r="G188" s="45">
        <v>44.0</v>
      </c>
      <c r="H188" s="45">
        <v>49.0</v>
      </c>
      <c r="I188" s="45">
        <v>39.0</v>
      </c>
      <c r="J188" s="45">
        <v>28.0</v>
      </c>
      <c r="K188" s="45">
        <v>31.0</v>
      </c>
      <c r="L188" s="45">
        <v>217.0</v>
      </c>
      <c r="M188" s="45">
        <v>171.0</v>
      </c>
    </row>
    <row r="189" ht="15.75" customHeight="1">
      <c r="A189" s="45" t="s">
        <v>16</v>
      </c>
      <c r="B189" s="45">
        <v>54.0</v>
      </c>
      <c r="C189" s="45">
        <v>31.0</v>
      </c>
      <c r="D189" s="45">
        <v>121.0</v>
      </c>
      <c r="E189" s="45">
        <v>73.0</v>
      </c>
      <c r="F189" s="45">
        <v>121.0</v>
      </c>
      <c r="G189" s="45">
        <v>94.0</v>
      </c>
      <c r="H189" s="45">
        <v>121.0</v>
      </c>
      <c r="I189" s="45">
        <v>97.0</v>
      </c>
      <c r="J189" s="45">
        <v>69.0</v>
      </c>
      <c r="K189" s="44">
        <v>86.0</v>
      </c>
      <c r="L189" s="45">
        <v>535.0</v>
      </c>
      <c r="M189" s="45">
        <v>381.0</v>
      </c>
    </row>
    <row r="190" ht="15.75" customHeight="1">
      <c r="A190" s="45" t="s">
        <v>108</v>
      </c>
      <c r="B190" s="50">
        <v>0.0111</v>
      </c>
      <c r="C190" s="50">
        <v>0.0128</v>
      </c>
      <c r="D190" s="50">
        <v>0.0111</v>
      </c>
      <c r="E190" s="50">
        <v>0.0063</v>
      </c>
      <c r="F190" s="50">
        <v>0.0111</v>
      </c>
      <c r="G190" s="50">
        <v>0.0087</v>
      </c>
      <c r="H190" s="50">
        <v>0.0111</v>
      </c>
      <c r="I190" s="50">
        <v>0.008</v>
      </c>
      <c r="J190" s="50">
        <v>0.0111</v>
      </c>
      <c r="K190" s="50">
        <v>0.0085</v>
      </c>
      <c r="L190" s="50">
        <v>0.0111</v>
      </c>
      <c r="M190" s="50">
        <v>0.0082</v>
      </c>
    </row>
    <row r="191" ht="15.75" customHeight="1">
      <c r="A191" s="44" t="s">
        <v>11</v>
      </c>
      <c r="B191" s="103">
        <v>352134.0</v>
      </c>
      <c r="C191" s="103">
        <v>108574.0</v>
      </c>
      <c r="D191" s="103">
        <v>795141.0</v>
      </c>
      <c r="E191" s="103">
        <v>538092.0</v>
      </c>
      <c r="F191" s="103">
        <v>795141.0</v>
      </c>
      <c r="G191" s="103">
        <v>691481.0</v>
      </c>
      <c r="H191" s="103">
        <v>795141.0</v>
      </c>
      <c r="I191" s="103">
        <v>599999.0</v>
      </c>
      <c r="J191" s="103">
        <v>454366.0</v>
      </c>
      <c r="K191" s="103">
        <v>815947.0</v>
      </c>
      <c r="L191" s="103">
        <v>3521338.0</v>
      </c>
      <c r="M191" s="103">
        <v>2754094.0</v>
      </c>
    </row>
    <row r="192" ht="15.75" customHeight="1">
      <c r="A192" s="45" t="s">
        <v>112</v>
      </c>
      <c r="B192" s="102">
        <v>326752.0</v>
      </c>
      <c r="C192" s="102">
        <v>87011.0</v>
      </c>
      <c r="D192" s="102">
        <v>737827.0</v>
      </c>
      <c r="E192" s="102">
        <v>302095.0</v>
      </c>
      <c r="F192" s="102">
        <v>737827.0</v>
      </c>
      <c r="G192" s="102">
        <v>386778.0</v>
      </c>
      <c r="H192" s="102">
        <v>737827.0</v>
      </c>
      <c r="I192" s="102">
        <v>391188.0</v>
      </c>
      <c r="J192" s="102">
        <v>421615.0</v>
      </c>
      <c r="K192" s="102">
        <v>327564.0</v>
      </c>
      <c r="L192" s="102">
        <v>3267520.0</v>
      </c>
      <c r="M192" s="102">
        <v>1494636.0</v>
      </c>
    </row>
    <row r="193" ht="15.75" customHeight="1">
      <c r="A193" s="52" t="s">
        <v>114</v>
      </c>
      <c r="B193" s="104">
        <v>678886.0</v>
      </c>
      <c r="C193" s="104">
        <v>195585.0</v>
      </c>
      <c r="D193" s="104">
        <v>1532968.0</v>
      </c>
      <c r="E193" s="104">
        <v>840188.0</v>
      </c>
      <c r="F193" s="104">
        <v>1532968.0</v>
      </c>
      <c r="G193" s="104">
        <v>1078259.0</v>
      </c>
      <c r="H193" s="104">
        <v>1532968.0</v>
      </c>
      <c r="I193" s="104">
        <v>991187.0</v>
      </c>
      <c r="J193" s="104">
        <v>875982.0</v>
      </c>
      <c r="K193" s="104">
        <v>1143511.0</v>
      </c>
      <c r="L193" s="104">
        <v>6788858.0</v>
      </c>
      <c r="M193" s="104">
        <v>4248730.0</v>
      </c>
    </row>
    <row r="194" ht="15.75" customHeight="1">
      <c r="A194" s="45" t="s">
        <v>14</v>
      </c>
      <c r="B194" s="45">
        <v>11073.0</v>
      </c>
      <c r="C194" s="45">
        <v>6387.0</v>
      </c>
      <c r="D194" s="45">
        <v>11073.0</v>
      </c>
      <c r="E194" s="45">
        <v>17936.0</v>
      </c>
      <c r="F194" s="45">
        <v>11073.0</v>
      </c>
      <c r="G194" s="45">
        <v>13830.0</v>
      </c>
      <c r="H194" s="45">
        <v>11073.0</v>
      </c>
      <c r="I194" s="45">
        <v>10345.0</v>
      </c>
      <c r="J194" s="45">
        <v>11073.0</v>
      </c>
      <c r="K194" s="45">
        <v>14835.0</v>
      </c>
      <c r="L194" s="45">
        <v>11073.0</v>
      </c>
      <c r="M194" s="45">
        <v>13115.0</v>
      </c>
    </row>
    <row r="195" ht="15.75" customHeight="1">
      <c r="A195" s="45" t="s">
        <v>19</v>
      </c>
      <c r="B195" s="45">
        <v>12689.0</v>
      </c>
      <c r="C195" s="45">
        <v>6309.0</v>
      </c>
      <c r="D195" s="45">
        <v>12689.0</v>
      </c>
      <c r="E195" s="45">
        <v>11509.0</v>
      </c>
      <c r="F195" s="45">
        <v>12689.0</v>
      </c>
      <c r="G195" s="45">
        <v>11471.0</v>
      </c>
      <c r="H195" s="45">
        <v>12689.0</v>
      </c>
      <c r="I195" s="45">
        <v>10218.0</v>
      </c>
      <c r="J195" s="45">
        <v>12689.0</v>
      </c>
      <c r="K195" s="45">
        <v>13297.0</v>
      </c>
      <c r="L195" s="45">
        <v>12689.0</v>
      </c>
      <c r="M195" s="45">
        <v>11152.0</v>
      </c>
    </row>
    <row r="196" ht="15.75" customHeight="1">
      <c r="A196" s="45" t="s">
        <v>13</v>
      </c>
      <c r="B196" s="50">
        <v>0.2556</v>
      </c>
      <c r="C196" s="50">
        <v>0.2672</v>
      </c>
      <c r="D196" s="50">
        <v>0.2556</v>
      </c>
      <c r="E196" s="50">
        <v>0.2066</v>
      </c>
      <c r="F196" s="50">
        <v>0.2556</v>
      </c>
      <c r="G196" s="50">
        <v>0.2461</v>
      </c>
      <c r="H196" s="50">
        <v>0.2556</v>
      </c>
      <c r="I196" s="50">
        <v>0.3338</v>
      </c>
      <c r="J196" s="50">
        <v>0.2556</v>
      </c>
      <c r="K196" s="50">
        <v>0.2154</v>
      </c>
      <c r="L196" s="50">
        <v>0.2556</v>
      </c>
      <c r="M196" s="50">
        <v>0.2492</v>
      </c>
    </row>
    <row r="197" ht="15.75" customHeight="1">
      <c r="A197" s="45" t="s">
        <v>118</v>
      </c>
      <c r="B197" s="50">
        <v>0.1326</v>
      </c>
      <c r="C197" s="50">
        <v>0.1483</v>
      </c>
      <c r="D197" s="50">
        <v>0.1326</v>
      </c>
      <c r="E197" s="50">
        <v>0.1323</v>
      </c>
      <c r="F197" s="50">
        <v>0.1326</v>
      </c>
      <c r="G197" s="50">
        <v>0.1578</v>
      </c>
      <c r="H197" s="50">
        <v>0.1326</v>
      </c>
      <c r="I197" s="50">
        <v>0.202</v>
      </c>
      <c r="J197" s="50">
        <v>0.1326</v>
      </c>
      <c r="K197" s="50">
        <v>0.1537</v>
      </c>
      <c r="L197" s="50">
        <v>0.1326</v>
      </c>
      <c r="M197" s="50">
        <v>0.1615</v>
      </c>
    </row>
    <row r="198" ht="15.75" customHeight="1">
      <c r="A198" s="45" t="s">
        <v>15</v>
      </c>
      <c r="B198" s="45">
        <v>3.91</v>
      </c>
      <c r="C198" s="45">
        <v>3.74</v>
      </c>
      <c r="D198" s="45">
        <v>3.91</v>
      </c>
      <c r="E198" s="45">
        <v>4.84</v>
      </c>
      <c r="F198" s="45">
        <v>3.91</v>
      </c>
      <c r="G198" s="45">
        <v>4.06</v>
      </c>
      <c r="H198" s="45">
        <v>3.91</v>
      </c>
      <c r="I198" s="45">
        <v>3.0</v>
      </c>
      <c r="J198" s="45">
        <v>3.91</v>
      </c>
      <c r="K198" s="45">
        <v>4.64</v>
      </c>
      <c r="L198" s="45">
        <v>3.91</v>
      </c>
      <c r="M198" s="45">
        <v>4.01</v>
      </c>
    </row>
    <row r="199" ht="15.75" customHeight="1">
      <c r="A199" s="106" t="s">
        <v>122</v>
      </c>
      <c r="B199" s="106">
        <v>7.54</v>
      </c>
      <c r="C199" s="106">
        <v>6.74</v>
      </c>
      <c r="D199" s="106">
        <v>7.54</v>
      </c>
      <c r="E199" s="106">
        <v>7.56</v>
      </c>
      <c r="F199" s="106">
        <v>7.54</v>
      </c>
      <c r="G199" s="106">
        <v>6.34</v>
      </c>
      <c r="H199" s="106">
        <v>7.54</v>
      </c>
      <c r="I199" s="106">
        <v>4.95</v>
      </c>
      <c r="J199" s="106">
        <v>7.54</v>
      </c>
      <c r="K199" s="106">
        <v>6.51</v>
      </c>
      <c r="L199" s="106">
        <v>7.54</v>
      </c>
      <c r="M199" s="106">
        <v>6.19</v>
      </c>
    </row>
    <row r="200" ht="15.75" customHeight="1"/>
    <row r="201" ht="15.75" customHeight="1"/>
    <row r="202" ht="15.75" customHeight="1">
      <c r="A202" s="34" t="s">
        <v>93</v>
      </c>
      <c r="B202" s="35" t="s">
        <v>250</v>
      </c>
      <c r="C202" s="6"/>
      <c r="D202" s="35" t="s">
        <v>251</v>
      </c>
      <c r="E202" s="6"/>
      <c r="F202" s="35" t="s">
        <v>252</v>
      </c>
      <c r="G202" s="6"/>
      <c r="H202" s="35" t="s">
        <v>253</v>
      </c>
      <c r="I202" s="6"/>
      <c r="J202" s="35" t="s">
        <v>246</v>
      </c>
      <c r="K202" s="6"/>
      <c r="L202" s="37" t="s">
        <v>72</v>
      </c>
      <c r="M202" s="6"/>
    </row>
    <row r="203" ht="15.75" customHeight="1">
      <c r="A203" s="39" t="s">
        <v>254</v>
      </c>
      <c r="B203" s="40" t="s">
        <v>100</v>
      </c>
      <c r="C203" s="40" t="s">
        <v>93</v>
      </c>
      <c r="D203" s="40" t="s">
        <v>100</v>
      </c>
      <c r="E203" s="40" t="s">
        <v>93</v>
      </c>
      <c r="F203" s="40" t="s">
        <v>100</v>
      </c>
      <c r="G203" s="40" t="s">
        <v>93</v>
      </c>
      <c r="H203" s="40" t="s">
        <v>100</v>
      </c>
      <c r="I203" s="40" t="s">
        <v>93</v>
      </c>
      <c r="J203" s="40" t="s">
        <v>100</v>
      </c>
      <c r="K203" s="40" t="s">
        <v>93</v>
      </c>
      <c r="L203" s="40" t="s">
        <v>100</v>
      </c>
      <c r="M203" s="40" t="s">
        <v>93</v>
      </c>
    </row>
    <row r="204" ht="15.75" customHeight="1">
      <c r="A204" s="45" t="s">
        <v>102</v>
      </c>
      <c r="B204" s="102">
        <v>206452.0</v>
      </c>
      <c r="C204" s="102">
        <v>202196.0</v>
      </c>
      <c r="D204" s="102">
        <v>180645.0</v>
      </c>
      <c r="E204" s="102">
        <v>201202.0</v>
      </c>
      <c r="F204" s="102">
        <v>180645.0</v>
      </c>
      <c r="G204" s="102">
        <v>115303.0</v>
      </c>
      <c r="H204" s="102">
        <v>180645.0</v>
      </c>
      <c r="I204" s="102">
        <v>115303.0</v>
      </c>
      <c r="J204" s="102">
        <v>51613.0</v>
      </c>
      <c r="K204" s="102">
        <v>26282.0</v>
      </c>
      <c r="L204" s="102">
        <v>800000.0</v>
      </c>
      <c r="M204" s="102">
        <v>660286.0</v>
      </c>
    </row>
    <row r="205" ht="15.75" customHeight="1">
      <c r="A205" s="45" t="s">
        <v>6</v>
      </c>
      <c r="B205" s="61">
        <v>8730.0</v>
      </c>
      <c r="C205" s="61">
        <v>9508.0</v>
      </c>
      <c r="D205" s="61">
        <v>7639.0</v>
      </c>
      <c r="E205" s="134">
        <v>13668.0</v>
      </c>
      <c r="F205" s="61">
        <v>7639.0</v>
      </c>
      <c r="G205" s="61">
        <v>6125.0</v>
      </c>
      <c r="H205" s="61">
        <v>7639.0</v>
      </c>
      <c r="I205" s="61">
        <v>5750.0</v>
      </c>
      <c r="J205" s="61">
        <v>2182.0</v>
      </c>
      <c r="K205" s="61">
        <v>1642.0</v>
      </c>
      <c r="L205" s="61">
        <v>33828.0</v>
      </c>
      <c r="M205" s="102">
        <v>36693.0</v>
      </c>
    </row>
    <row r="206" ht="15.75" customHeight="1">
      <c r="A206" s="45" t="s">
        <v>8</v>
      </c>
      <c r="B206" s="45">
        <v>23.65</v>
      </c>
      <c r="C206" s="45">
        <v>21.27</v>
      </c>
      <c r="D206" s="45">
        <v>23.65</v>
      </c>
      <c r="E206" s="45">
        <v>14.72</v>
      </c>
      <c r="F206" s="45">
        <v>23.65</v>
      </c>
      <c r="G206" s="45">
        <v>18.82</v>
      </c>
      <c r="H206" s="45">
        <v>23.65</v>
      </c>
      <c r="I206" s="45">
        <v>20.05</v>
      </c>
      <c r="J206" s="45">
        <v>23.65</v>
      </c>
      <c r="K206" s="45">
        <v>16.01</v>
      </c>
      <c r="L206" s="45">
        <v>23.65</v>
      </c>
      <c r="M206" s="45">
        <v>17.99</v>
      </c>
    </row>
    <row r="207" ht="15.75" customHeight="1">
      <c r="A207" s="45" t="s">
        <v>9</v>
      </c>
      <c r="B207" s="45">
        <v>87.0</v>
      </c>
      <c r="C207" s="45">
        <v>63.0</v>
      </c>
      <c r="D207" s="45">
        <v>76.0</v>
      </c>
      <c r="E207" s="45">
        <v>56.0</v>
      </c>
      <c r="F207" s="45">
        <v>76.0</v>
      </c>
      <c r="G207" s="45">
        <v>70.0</v>
      </c>
      <c r="H207" s="45">
        <v>76.0</v>
      </c>
      <c r="I207" s="45">
        <v>62.0</v>
      </c>
      <c r="J207" s="45">
        <v>22.0</v>
      </c>
      <c r="K207" s="45">
        <v>20.0</v>
      </c>
      <c r="L207" s="45">
        <v>336.0</v>
      </c>
      <c r="M207" s="102">
        <v>271.0</v>
      </c>
    </row>
    <row r="208" ht="15.75" customHeight="1">
      <c r="A208" s="45" t="s">
        <v>23</v>
      </c>
      <c r="B208" s="45">
        <v>63.0</v>
      </c>
      <c r="C208" s="45">
        <v>52.0</v>
      </c>
      <c r="D208" s="45">
        <v>55.0</v>
      </c>
      <c r="E208" s="45">
        <v>50.0</v>
      </c>
      <c r="F208" s="45">
        <v>55.0</v>
      </c>
      <c r="G208" s="45">
        <v>35.0</v>
      </c>
      <c r="H208" s="45">
        <v>55.0</v>
      </c>
      <c r="I208" s="45">
        <v>53.0</v>
      </c>
      <c r="J208" s="45">
        <v>4.0</v>
      </c>
      <c r="K208" s="45">
        <v>3.0</v>
      </c>
      <c r="L208" s="45">
        <v>29.0</v>
      </c>
      <c r="M208" s="45">
        <v>26.0</v>
      </c>
    </row>
    <row r="209" ht="15.75" customHeight="1">
      <c r="A209" s="45" t="s">
        <v>16</v>
      </c>
      <c r="B209" s="45">
        <v>150.0</v>
      </c>
      <c r="C209" s="45">
        <v>115.0</v>
      </c>
      <c r="D209" s="45">
        <v>131.0</v>
      </c>
      <c r="E209" s="45">
        <v>106.0</v>
      </c>
      <c r="F209" s="45">
        <v>131.0</v>
      </c>
      <c r="G209" s="45">
        <v>105.0</v>
      </c>
      <c r="H209" s="45">
        <v>131.0</v>
      </c>
      <c r="I209" s="45">
        <v>115.0</v>
      </c>
      <c r="J209" s="45">
        <v>37.0</v>
      </c>
      <c r="K209" s="44">
        <v>33.0</v>
      </c>
      <c r="L209" s="45">
        <v>580.0</v>
      </c>
      <c r="M209" s="102">
        <v>474.0</v>
      </c>
    </row>
    <row r="210" ht="15.75" customHeight="1">
      <c r="A210" s="45" t="s">
        <v>108</v>
      </c>
      <c r="B210" s="50">
        <v>0.0099</v>
      </c>
      <c r="C210" s="50">
        <v>0.0066</v>
      </c>
      <c r="D210" s="50">
        <v>0.0099</v>
      </c>
      <c r="E210" s="50">
        <v>0.0041</v>
      </c>
      <c r="F210" s="50">
        <v>0.0099</v>
      </c>
      <c r="G210" s="50">
        <v>0.0114</v>
      </c>
      <c r="H210" s="50">
        <v>0.0099</v>
      </c>
      <c r="I210" s="50">
        <v>0.0108</v>
      </c>
      <c r="J210" s="50">
        <v>0.0099</v>
      </c>
      <c r="K210" s="50">
        <v>0.0122</v>
      </c>
      <c r="L210" s="50">
        <v>0.0099</v>
      </c>
      <c r="M210" s="50">
        <v>0.0074</v>
      </c>
    </row>
    <row r="211" ht="15.75" customHeight="1">
      <c r="A211" s="44" t="s">
        <v>11</v>
      </c>
      <c r="B211" s="103">
        <v>1105819.0</v>
      </c>
      <c r="C211" s="103">
        <v>805715.0</v>
      </c>
      <c r="D211" s="103">
        <v>967592.0</v>
      </c>
      <c r="E211" s="103">
        <v>391303.0</v>
      </c>
      <c r="F211" s="103">
        <v>967592.0</v>
      </c>
      <c r="G211" s="103">
        <v>582788.0</v>
      </c>
      <c r="H211" s="103">
        <v>967592.0</v>
      </c>
      <c r="I211" s="103">
        <v>511274.0</v>
      </c>
      <c r="J211" s="103">
        <v>276455.0</v>
      </c>
      <c r="K211" s="103">
        <v>254342.0</v>
      </c>
      <c r="L211" s="103">
        <v>4285049.0</v>
      </c>
      <c r="M211" s="102">
        <v>2545422.0</v>
      </c>
    </row>
    <row r="212" ht="15.75" customHeight="1">
      <c r="A212" s="45" t="s">
        <v>112</v>
      </c>
      <c r="B212" s="102">
        <v>426102.0</v>
      </c>
      <c r="C212" s="102">
        <v>542210.0</v>
      </c>
      <c r="D212" s="102">
        <v>372839.0</v>
      </c>
      <c r="E212" s="102">
        <v>399058.0</v>
      </c>
      <c r="F212" s="102">
        <v>372839.0</v>
      </c>
      <c r="G212" s="102">
        <v>228579.0</v>
      </c>
      <c r="H212" s="102">
        <v>372839.0</v>
      </c>
      <c r="I212" s="102">
        <v>415827.0</v>
      </c>
      <c r="J212" s="102">
        <v>106525.0</v>
      </c>
      <c r="K212" s="102">
        <v>68669.0</v>
      </c>
      <c r="L212" s="102">
        <v>1651144.0</v>
      </c>
      <c r="M212" s="102">
        <v>1654343.0</v>
      </c>
    </row>
    <row r="213" ht="15.75" customHeight="1">
      <c r="A213" s="52" t="s">
        <v>114</v>
      </c>
      <c r="B213" s="104">
        <v>1531921.0</v>
      </c>
      <c r="C213" s="104">
        <v>1347925.0</v>
      </c>
      <c r="D213" s="104">
        <v>1340431.0</v>
      </c>
      <c r="E213" s="104">
        <v>790361.0</v>
      </c>
      <c r="F213" s="104">
        <v>1340431.0</v>
      </c>
      <c r="G213" s="104">
        <v>811367.0</v>
      </c>
      <c r="H213" s="104">
        <v>1340431.0</v>
      </c>
      <c r="I213" s="104">
        <v>927101.0</v>
      </c>
      <c r="J213" s="104">
        <v>382980.0</v>
      </c>
      <c r="K213" s="104">
        <v>323011.0</v>
      </c>
      <c r="L213" s="104">
        <v>5936193.0</v>
      </c>
      <c r="M213" s="104">
        <v>4199765.0</v>
      </c>
    </row>
    <row r="214" ht="15.75" customHeight="1">
      <c r="A214" s="45" t="s">
        <v>14</v>
      </c>
      <c r="B214" s="45">
        <v>12753.0</v>
      </c>
      <c r="C214" s="45">
        <v>12789.0</v>
      </c>
      <c r="D214" s="45">
        <v>12753.0</v>
      </c>
      <c r="E214" s="45">
        <v>6988.0</v>
      </c>
      <c r="F214" s="45">
        <v>12753.0</v>
      </c>
      <c r="G214" s="45">
        <v>8326.0</v>
      </c>
      <c r="H214" s="45">
        <v>12753.0</v>
      </c>
      <c r="I214" s="45">
        <v>8246.0</v>
      </c>
      <c r="J214" s="45">
        <v>12753.0</v>
      </c>
      <c r="K214" s="45">
        <v>12717.0</v>
      </c>
      <c r="L214" s="45">
        <v>12753.0</v>
      </c>
      <c r="M214" s="45">
        <v>9393.0</v>
      </c>
    </row>
    <row r="215" ht="15.75" customHeight="1">
      <c r="A215" s="45" t="s">
        <v>19</v>
      </c>
      <c r="B215" s="45">
        <v>10235.0</v>
      </c>
      <c r="C215" s="45">
        <v>11721.0</v>
      </c>
      <c r="D215" s="45">
        <v>10235.0</v>
      </c>
      <c r="E215" s="45">
        <v>7456.0</v>
      </c>
      <c r="F215" s="45">
        <v>10235.0</v>
      </c>
      <c r="G215" s="45">
        <v>7727.0</v>
      </c>
      <c r="H215" s="45">
        <v>10235.0</v>
      </c>
      <c r="I215" s="45">
        <v>8062.0</v>
      </c>
      <c r="J215" s="45">
        <v>10235.0</v>
      </c>
      <c r="K215" s="45">
        <v>9788.0</v>
      </c>
      <c r="L215" s="45">
        <v>10235.0</v>
      </c>
      <c r="M215" s="45">
        <v>8860.0</v>
      </c>
    </row>
    <row r="216" ht="15.75" customHeight="1">
      <c r="A216" s="45" t="s">
        <v>13</v>
      </c>
      <c r="B216" s="50">
        <v>0.1867</v>
      </c>
      <c r="C216" s="50">
        <v>0.251</v>
      </c>
      <c r="D216" s="50">
        <v>0.1867</v>
      </c>
      <c r="E216" s="50">
        <v>0.5142</v>
      </c>
      <c r="F216" s="50">
        <v>0.1867</v>
      </c>
      <c r="G216" s="50">
        <v>0.1978</v>
      </c>
      <c r="H216" s="50">
        <v>0.1867</v>
      </c>
      <c r="I216" s="50">
        <v>0.2255</v>
      </c>
      <c r="J216" s="50">
        <v>0.1867</v>
      </c>
      <c r="K216" s="50">
        <v>0.1033</v>
      </c>
      <c r="L216" s="50">
        <v>0.1867</v>
      </c>
      <c r="M216" s="50">
        <v>0.2594</v>
      </c>
    </row>
    <row r="217" ht="15.75" customHeight="1">
      <c r="A217" s="45" t="s">
        <v>118</v>
      </c>
      <c r="B217" s="50">
        <v>0.1348</v>
      </c>
      <c r="C217" s="50">
        <v>0.15</v>
      </c>
      <c r="D217" s="50">
        <v>0.1348</v>
      </c>
      <c r="E217" s="50">
        <v>0.2546</v>
      </c>
      <c r="F217" s="50">
        <v>0.1348</v>
      </c>
      <c r="G217" s="50">
        <v>0.1421</v>
      </c>
      <c r="H217" s="50">
        <v>0.1348</v>
      </c>
      <c r="I217" s="50">
        <v>0.1244</v>
      </c>
      <c r="J217" s="50">
        <v>0.1348</v>
      </c>
      <c r="K217" s="50">
        <v>0.0814</v>
      </c>
      <c r="L217" s="50">
        <v>0.1348</v>
      </c>
      <c r="M217" s="50">
        <v>0.1572</v>
      </c>
    </row>
    <row r="218" ht="15.75" customHeight="1">
      <c r="A218" s="45" t="s">
        <v>15</v>
      </c>
      <c r="B218" s="45">
        <v>5.36</v>
      </c>
      <c r="C218" s="45">
        <v>3.98</v>
      </c>
      <c r="D218" s="45">
        <v>5.36</v>
      </c>
      <c r="E218" s="45">
        <v>1.94</v>
      </c>
      <c r="F218" s="45">
        <v>5.36</v>
      </c>
      <c r="G218" s="45">
        <v>5.05</v>
      </c>
      <c r="H218" s="45">
        <v>5.36</v>
      </c>
      <c r="I218" s="45">
        <v>4.43</v>
      </c>
      <c r="J218" s="45">
        <v>5.36</v>
      </c>
      <c r="K218" s="45">
        <v>9.68</v>
      </c>
      <c r="L218" s="45">
        <v>5.36</v>
      </c>
      <c r="M218" s="45">
        <v>3.86</v>
      </c>
    </row>
    <row r="219" ht="15.75" customHeight="1">
      <c r="A219" s="106" t="s">
        <v>122</v>
      </c>
      <c r="B219" s="106">
        <v>7.42</v>
      </c>
      <c r="C219" s="106">
        <v>6.67</v>
      </c>
      <c r="D219" s="106">
        <v>7.42</v>
      </c>
      <c r="E219" s="106">
        <v>3.93</v>
      </c>
      <c r="F219" s="106">
        <v>7.42</v>
      </c>
      <c r="G219" s="106">
        <v>7.04</v>
      </c>
      <c r="H219" s="106">
        <v>7.42</v>
      </c>
      <c r="I219" s="106">
        <v>8.04</v>
      </c>
      <c r="J219" s="106">
        <v>7.42</v>
      </c>
      <c r="K219" s="106">
        <v>12.29</v>
      </c>
      <c r="L219" s="106">
        <v>7.42</v>
      </c>
      <c r="M219" s="106">
        <v>6.36</v>
      </c>
    </row>
    <row r="220" ht="15.75" customHeight="1"/>
    <row r="221" ht="14.25" customHeight="1">
      <c r="A221" s="34" t="s">
        <v>93</v>
      </c>
      <c r="B221" s="35" t="s">
        <v>258</v>
      </c>
      <c r="C221" s="6"/>
      <c r="D221" s="35" t="s">
        <v>259</v>
      </c>
      <c r="E221" s="6"/>
      <c r="F221" s="35" t="s">
        <v>261</v>
      </c>
      <c r="G221" s="6"/>
      <c r="H221" s="35" t="s">
        <v>262</v>
      </c>
      <c r="I221" s="6"/>
      <c r="J221" s="35" t="s">
        <v>246</v>
      </c>
      <c r="K221" s="6"/>
      <c r="L221" s="37" t="s">
        <v>72</v>
      </c>
      <c r="M221" s="6"/>
    </row>
    <row r="222" ht="15.75" customHeight="1">
      <c r="A222" s="39" t="s">
        <v>263</v>
      </c>
      <c r="B222" s="40" t="s">
        <v>100</v>
      </c>
      <c r="C222" s="40" t="s">
        <v>93</v>
      </c>
      <c r="D222" s="40" t="s">
        <v>100</v>
      </c>
      <c r="E222" s="40" t="s">
        <v>93</v>
      </c>
      <c r="F222" s="40" t="s">
        <v>100</v>
      </c>
      <c r="G222" s="40" t="s">
        <v>93</v>
      </c>
      <c r="H222" s="40" t="s">
        <v>100</v>
      </c>
      <c r="I222" s="40" t="s">
        <v>93</v>
      </c>
      <c r="J222" s="40" t="s">
        <v>100</v>
      </c>
      <c r="K222" s="40" t="s">
        <v>93</v>
      </c>
      <c r="L222" s="40" t="s">
        <v>100</v>
      </c>
      <c r="M222" s="40" t="s">
        <v>93</v>
      </c>
    </row>
    <row r="223" ht="15.75" customHeight="1">
      <c r="A223" s="45" t="s">
        <v>102</v>
      </c>
      <c r="B223" s="102">
        <v>112903.2258064516</v>
      </c>
      <c r="C223" s="102">
        <v>69427.11000000002</v>
      </c>
      <c r="D223" s="102">
        <v>158064.51612903224</v>
      </c>
      <c r="E223" s="102">
        <v>168006.0</v>
      </c>
      <c r="F223" s="102">
        <v>158064.51612903224</v>
      </c>
      <c r="G223" s="102">
        <v>209636.96999999997</v>
      </c>
      <c r="H223" s="102">
        <v>158064.51612903224</v>
      </c>
      <c r="I223" s="102">
        <v>166985.61999999997</v>
      </c>
      <c r="J223" s="102">
        <v>45161.290322580644</v>
      </c>
      <c r="K223" s="102">
        <v>129478.0</v>
      </c>
      <c r="L223" s="102">
        <v>700000.0</v>
      </c>
      <c r="M223" s="102">
        <f t="shared" ref="M223:M224" si="62">C223+E223+G223+I223+K223</f>
        <v>743533.7</v>
      </c>
    </row>
    <row r="224" ht="15.75" customHeight="1">
      <c r="A224" s="45" t="s">
        <v>6</v>
      </c>
      <c r="B224" s="61">
        <v>4654.193548387097</v>
      </c>
      <c r="C224" s="61">
        <v>4171.0</v>
      </c>
      <c r="D224" s="61">
        <v>6515.870967741936</v>
      </c>
      <c r="E224" s="134">
        <v>7733.0</v>
      </c>
      <c r="F224" s="61">
        <v>6515.870967741936</v>
      </c>
      <c r="G224" s="61">
        <v>7802.0</v>
      </c>
      <c r="H224" s="61">
        <v>6515.870967741936</v>
      </c>
      <c r="I224" s="61">
        <v>6513.0</v>
      </c>
      <c r="J224" s="61">
        <v>1861.6774193548388</v>
      </c>
      <c r="K224" s="61">
        <v>5483.0</v>
      </c>
      <c r="L224" s="61">
        <v>28856.0</v>
      </c>
      <c r="M224" s="61">
        <f t="shared" si="62"/>
        <v>31702</v>
      </c>
    </row>
    <row r="225" ht="15.75" customHeight="1">
      <c r="A225" s="45" t="s">
        <v>8</v>
      </c>
      <c r="B225" s="46">
        <v>24.258386470751315</v>
      </c>
      <c r="C225" s="46">
        <v>16.645195396787344</v>
      </c>
      <c r="D225" s="46">
        <v>24.258386470751315</v>
      </c>
      <c r="E225" s="46">
        <v>21.72585025216604</v>
      </c>
      <c r="F225" s="46">
        <v>24.258386470751315</v>
      </c>
      <c r="G225" s="46">
        <v>26.86964496283004</v>
      </c>
      <c r="H225" s="46">
        <v>24.258386470751315</v>
      </c>
      <c r="I225" s="46">
        <v>25.638817749117145</v>
      </c>
      <c r="J225" s="46">
        <v>24.258386470751315</v>
      </c>
      <c r="K225" s="46">
        <f>K223/K224</f>
        <v>23.61444465</v>
      </c>
      <c r="L225" s="46">
        <v>24.25838647075132</v>
      </c>
      <c r="M225" s="46">
        <v>23.42025630268126</v>
      </c>
    </row>
    <row r="226" ht="15.75" customHeight="1">
      <c r="A226" s="45" t="s">
        <v>9</v>
      </c>
      <c r="B226" s="43">
        <v>49.35483870967742</v>
      </c>
      <c r="C226" s="43">
        <v>32.0</v>
      </c>
      <c r="D226" s="43">
        <v>69.09677419354838</v>
      </c>
      <c r="E226" s="43">
        <v>57.0</v>
      </c>
      <c r="F226" s="43">
        <v>69.09677419354838</v>
      </c>
      <c r="G226" s="43">
        <v>84.0</v>
      </c>
      <c r="H226" s="43">
        <v>69.09677419354838</v>
      </c>
      <c r="I226" s="43">
        <v>44.0</v>
      </c>
      <c r="J226" s="43">
        <v>69.09677419354838</v>
      </c>
      <c r="K226" s="43">
        <v>49.0</v>
      </c>
      <c r="L226" s="43">
        <v>306.0</v>
      </c>
      <c r="M226" s="43">
        <f t="shared" ref="M226:M228" si="63">C226+E226+G226+I226+K226</f>
        <v>266</v>
      </c>
    </row>
    <row r="227" ht="15.75" customHeight="1">
      <c r="A227" s="45" t="s">
        <v>23</v>
      </c>
      <c r="B227" s="45">
        <v>30.0</v>
      </c>
      <c r="C227" s="45">
        <v>25.0</v>
      </c>
      <c r="D227" s="45">
        <v>42.0</v>
      </c>
      <c r="E227" s="45">
        <v>36.0</v>
      </c>
      <c r="F227" s="45">
        <v>42.0</v>
      </c>
      <c r="G227" s="45">
        <v>59.0</v>
      </c>
      <c r="H227" s="45">
        <v>42.0</v>
      </c>
      <c r="I227" s="45">
        <v>33.0</v>
      </c>
      <c r="J227" s="45">
        <v>-37.354838709677416</v>
      </c>
      <c r="K227" s="43">
        <f>K228-K226</f>
        <v>19</v>
      </c>
      <c r="L227" s="45">
        <v>186.0</v>
      </c>
      <c r="M227" s="43">
        <f t="shared" si="63"/>
        <v>172</v>
      </c>
    </row>
    <row r="228" ht="15.75" customHeight="1">
      <c r="A228" s="45" t="s">
        <v>16</v>
      </c>
      <c r="B228" s="43">
        <v>79.35483870967742</v>
      </c>
      <c r="C228" s="43">
        <v>57.0</v>
      </c>
      <c r="D228" s="43">
        <v>111.09677419354838</v>
      </c>
      <c r="E228" s="43">
        <v>93.0</v>
      </c>
      <c r="F228" s="43">
        <v>111.09677419354838</v>
      </c>
      <c r="G228" s="43">
        <v>143.0</v>
      </c>
      <c r="H228" s="43">
        <v>111.09677419354838</v>
      </c>
      <c r="I228" s="43">
        <v>77.0</v>
      </c>
      <c r="J228" s="43">
        <v>31.741935483870968</v>
      </c>
      <c r="K228" s="97">
        <v>68.0</v>
      </c>
      <c r="L228" s="43">
        <v>492.0</v>
      </c>
      <c r="M228" s="43">
        <f t="shared" si="63"/>
        <v>438</v>
      </c>
    </row>
    <row r="229" ht="15.75" customHeight="1">
      <c r="A229" s="45" t="s">
        <v>108</v>
      </c>
      <c r="B229" s="50">
        <v>0.010604380371499862</v>
      </c>
      <c r="C229" s="50">
        <v>0.007672021098058019</v>
      </c>
      <c r="D229" s="50">
        <v>0.01060438037149986</v>
      </c>
      <c r="E229" s="50">
        <v>0.007371007371007371</v>
      </c>
      <c r="F229" s="50">
        <v>0.01060438037149986</v>
      </c>
      <c r="G229" s="50">
        <v>0.0107664701358626</v>
      </c>
      <c r="H229" s="50">
        <v>0.01060438037149986</v>
      </c>
      <c r="I229" s="50">
        <v>0.00675571933056963</v>
      </c>
      <c r="J229" s="50">
        <v>0.037115331300249514</v>
      </c>
      <c r="K229" s="50">
        <f>K226/K224</f>
        <v>0.008936713478</v>
      </c>
      <c r="L229" s="50">
        <v>0.010604380371499862</v>
      </c>
      <c r="M229" s="50">
        <f>M226/M224</f>
        <v>0.008390637815</v>
      </c>
    </row>
    <row r="230" ht="15.75" customHeight="1">
      <c r="A230" s="44" t="s">
        <v>11</v>
      </c>
      <c r="B230" s="103">
        <v>472088.06451612903</v>
      </c>
      <c r="C230" s="103">
        <v>400647.43</v>
      </c>
      <c r="D230" s="103">
        <v>660923.2903225806</v>
      </c>
      <c r="E230" s="103">
        <v>459654.0</v>
      </c>
      <c r="F230" s="103">
        <v>660923.2903225806</v>
      </c>
      <c r="G230" s="103">
        <v>1051117.6699999997</v>
      </c>
      <c r="H230" s="103">
        <v>660923.2903225806</v>
      </c>
      <c r="I230" s="103">
        <v>663099.1799999999</v>
      </c>
      <c r="J230" s="103">
        <v>188835.2258064516</v>
      </c>
      <c r="K230" s="103">
        <v>538016.0</v>
      </c>
      <c r="L230" s="103">
        <v>2926946.0</v>
      </c>
      <c r="M230" s="103">
        <f>C230+E230+G230+I230+K230</f>
        <v>3112534.28</v>
      </c>
    </row>
    <row r="231" ht="15.75" customHeight="1">
      <c r="A231" s="45" t="s">
        <v>112</v>
      </c>
      <c r="B231" s="102">
        <v>212835.8064516129</v>
      </c>
      <c r="C231" s="102">
        <v>335981.37508474564</v>
      </c>
      <c r="D231" s="102">
        <v>297970.1290322582</v>
      </c>
      <c r="E231" s="102">
        <v>305555.0</v>
      </c>
      <c r="F231" s="102">
        <v>297970.1290322582</v>
      </c>
      <c r="G231" s="102">
        <v>781135.6859322046</v>
      </c>
      <c r="H231" s="102">
        <v>297970.1290322582</v>
      </c>
      <c r="I231" s="102">
        <v>450845.0827118645</v>
      </c>
      <c r="J231" s="102">
        <v>85134.32258064518</v>
      </c>
      <c r="K231" s="102">
        <f>K232-K230</f>
        <v>351814</v>
      </c>
      <c r="L231" s="102">
        <v>1319582.0</v>
      </c>
      <c r="M231" s="102">
        <v>1873517.143728815</v>
      </c>
    </row>
    <row r="232" ht="15.75" customHeight="1">
      <c r="A232" s="52" t="s">
        <v>114</v>
      </c>
      <c r="B232" s="104">
        <v>684923.8709677419</v>
      </c>
      <c r="C232" s="104">
        <v>736628.8050847456</v>
      </c>
      <c r="D232" s="104">
        <v>958893.4193548388</v>
      </c>
      <c r="E232" s="104">
        <v>765209.0</v>
      </c>
      <c r="F232" s="104">
        <v>958893.4193548388</v>
      </c>
      <c r="G232" s="104">
        <v>1832253.3559322043</v>
      </c>
      <c r="H232" s="104">
        <v>958893.4193548388</v>
      </c>
      <c r="I232" s="104">
        <v>1113944.2627118644</v>
      </c>
      <c r="J232" s="104">
        <v>273969.5483870968</v>
      </c>
      <c r="K232" s="104">
        <v>889830.0</v>
      </c>
      <c r="L232" s="104">
        <v>4246528.0</v>
      </c>
      <c r="M232" s="104">
        <f>C232+E232+G232+I232+K232</f>
        <v>5337865.424</v>
      </c>
    </row>
    <row r="233" ht="15.75" customHeight="1">
      <c r="A233" s="45" t="s">
        <v>14</v>
      </c>
      <c r="B233" s="43">
        <v>9565.183006535946</v>
      </c>
      <c r="C233" s="43">
        <v>12520.2321875</v>
      </c>
      <c r="D233" s="43">
        <v>9565.183006535948</v>
      </c>
      <c r="E233" s="43">
        <v>8064.105263157895</v>
      </c>
      <c r="F233" s="43">
        <v>9565.183006535948</v>
      </c>
      <c r="G233" s="43">
        <v>12513.305595238091</v>
      </c>
      <c r="H233" s="43">
        <v>9565.183006535948</v>
      </c>
      <c r="I233" s="43">
        <v>15070.435909090907</v>
      </c>
      <c r="J233" s="43">
        <v>2732.9094304388423</v>
      </c>
      <c r="K233" s="43">
        <f t="shared" ref="K233:K234" si="64">K230/K226</f>
        <v>10979.91837</v>
      </c>
      <c r="L233" s="43">
        <v>9565.183006535948</v>
      </c>
      <c r="M233" s="43">
        <f>M230/M226</f>
        <v>11701.25669</v>
      </c>
    </row>
    <row r="234" ht="15.75" customHeight="1">
      <c r="A234" s="45" t="s">
        <v>19</v>
      </c>
      <c r="B234" s="43">
        <v>8631.154471544714</v>
      </c>
      <c r="C234" s="43">
        <v>12923.312369907819</v>
      </c>
      <c r="D234" s="43">
        <v>8631.154471544716</v>
      </c>
      <c r="E234" s="43">
        <v>8228.053763440861</v>
      </c>
      <c r="F234" s="43">
        <v>8631.154471544716</v>
      </c>
      <c r="G234" s="43">
        <v>12812.960530994436</v>
      </c>
      <c r="H234" s="43">
        <v>8631.154471544716</v>
      </c>
      <c r="I234" s="43">
        <v>14466.80860664759</v>
      </c>
      <c r="J234" s="43">
        <v>8631.154471544716</v>
      </c>
      <c r="K234" s="43">
        <f t="shared" si="64"/>
        <v>18516.52632</v>
      </c>
      <c r="L234" s="43">
        <v>8631.154471544716</v>
      </c>
      <c r="M234" s="43">
        <v>11037.308743743955</v>
      </c>
    </row>
    <row r="235" ht="15.75" customHeight="1">
      <c r="A235" s="45" t="s">
        <v>13</v>
      </c>
      <c r="B235" s="50">
        <v>0.2391571282832003</v>
      </c>
      <c r="C235" s="50">
        <v>0.17328729651404481</v>
      </c>
      <c r="D235" s="50">
        <v>0.2391571282832003</v>
      </c>
      <c r="E235" s="50">
        <v>0.3655053583782584</v>
      </c>
      <c r="F235" s="50">
        <v>0.2391571282832003</v>
      </c>
      <c r="G235" s="50">
        <v>0.1994419616216708</v>
      </c>
      <c r="H235" s="50">
        <v>0.2391571282832003</v>
      </c>
      <c r="I235" s="50">
        <v>0.25182600889357154</v>
      </c>
      <c r="J235" s="50">
        <v>0.23915712828320032</v>
      </c>
      <c r="K235" s="50">
        <f>K223/K230</f>
        <v>0.2406582704</v>
      </c>
      <c r="L235" s="50">
        <v>0.2391571282832003</v>
      </c>
      <c r="M235" s="50">
        <v>0.23851285297535355</v>
      </c>
    </row>
    <row r="236" ht="15.75" customHeight="1">
      <c r="A236" s="45" t="s">
        <v>118</v>
      </c>
      <c r="B236" s="50">
        <v>0.1648405473836508</v>
      </c>
      <c r="C236" s="50">
        <v>0.09424978974588533</v>
      </c>
      <c r="D236" s="50">
        <v>0.1648405473836508</v>
      </c>
      <c r="E236" s="50">
        <v>0.21955570308242583</v>
      </c>
      <c r="F236" s="50">
        <v>0.1648405473836508</v>
      </c>
      <c r="G236" s="50">
        <v>0.11441483751210922</v>
      </c>
      <c r="H236" s="50">
        <v>0.1648405473836508</v>
      </c>
      <c r="I236" s="50">
        <v>0.14990482521403575</v>
      </c>
      <c r="J236" s="50">
        <v>0.1648405473836508</v>
      </c>
      <c r="K236" s="50">
        <f>K223/K232</f>
        <v>0.1455086927</v>
      </c>
      <c r="L236" s="50">
        <v>0.16484054738365084</v>
      </c>
      <c r="M236" s="50">
        <v>0.13805099139368665</v>
      </c>
    </row>
    <row r="237" ht="15.75" customHeight="1">
      <c r="A237" s="45" t="s">
        <v>15</v>
      </c>
      <c r="B237" s="46">
        <v>4.181351428571428</v>
      </c>
      <c r="C237" s="46">
        <v>5.770763466893551</v>
      </c>
      <c r="D237" s="46">
        <v>4.181351428571428</v>
      </c>
      <c r="E237" s="46">
        <v>2.7359380022142066</v>
      </c>
      <c r="F237" s="46">
        <v>4.181351428571428</v>
      </c>
      <c r="G237" s="46">
        <v>5.0139899942266855</v>
      </c>
      <c r="H237" s="46">
        <v>4.181351428571428</v>
      </c>
      <c r="I237" s="46">
        <v>3.970995706097328</v>
      </c>
      <c r="J237" s="46">
        <v>4.181351428571428</v>
      </c>
      <c r="K237" s="46">
        <f>K234/K230</f>
        <v>0.03441631163</v>
      </c>
      <c r="L237" s="46">
        <v>4.181351428571428</v>
      </c>
      <c r="M237" s="46">
        <v>4.192646172000357</v>
      </c>
    </row>
    <row r="238" ht="15.75" customHeight="1">
      <c r="A238" s="106" t="s">
        <v>122</v>
      </c>
      <c r="B238" s="55">
        <v>6.0664685714285715</v>
      </c>
      <c r="C238" s="55">
        <v>10.610103244751876</v>
      </c>
      <c r="D238" s="55">
        <v>6.066468571428572</v>
      </c>
      <c r="E238" s="55">
        <v>4.554652810018689</v>
      </c>
      <c r="F238" s="55">
        <v>6.066468571428572</v>
      </c>
      <c r="G238" s="55">
        <v>8.740125159852314</v>
      </c>
      <c r="H238" s="55">
        <v>6.066468571428572</v>
      </c>
      <c r="I238" s="55">
        <v>6.670899342780921</v>
      </c>
      <c r="J238" s="55">
        <v>6.0664685714285715</v>
      </c>
      <c r="K238" s="55">
        <f>K232/K223</f>
        <v>6.87244165</v>
      </c>
      <c r="L238" s="55">
        <v>6.0664685714285715</v>
      </c>
      <c r="M238" s="55">
        <v>7.243700243689318</v>
      </c>
    </row>
    <row r="239" ht="15.75" customHeight="1"/>
    <row r="240" ht="15.75" customHeight="1">
      <c r="A240" s="34" t="s">
        <v>93</v>
      </c>
      <c r="B240" s="35" t="s">
        <v>270</v>
      </c>
      <c r="C240" s="6"/>
      <c r="D240" s="35" t="s">
        <v>271</v>
      </c>
      <c r="E240" s="6"/>
      <c r="F240" s="35" t="s">
        <v>272</v>
      </c>
      <c r="G240" s="6"/>
      <c r="H240" s="35" t="s">
        <v>246</v>
      </c>
      <c r="I240" s="6"/>
      <c r="J240" s="35" t="s">
        <v>72</v>
      </c>
      <c r="K240" s="6"/>
      <c r="L240" s="37" t="s">
        <v>273</v>
      </c>
      <c r="M240" s="6"/>
    </row>
    <row r="241" ht="15.75" customHeight="1">
      <c r="A241" s="39" t="s">
        <v>274</v>
      </c>
      <c r="B241" s="40" t="s">
        <v>100</v>
      </c>
      <c r="C241" s="40" t="s">
        <v>93</v>
      </c>
      <c r="D241" s="40" t="s">
        <v>100</v>
      </c>
      <c r="E241" s="40" t="s">
        <v>93</v>
      </c>
      <c r="F241" s="40" t="s">
        <v>100</v>
      </c>
      <c r="G241" s="40" t="s">
        <v>93</v>
      </c>
      <c r="H241" s="40" t="s">
        <v>100</v>
      </c>
      <c r="I241" s="40" t="s">
        <v>93</v>
      </c>
      <c r="J241" s="40" t="s">
        <v>100</v>
      </c>
      <c r="K241" s="40" t="s">
        <v>93</v>
      </c>
      <c r="L241" s="40" t="s">
        <v>100</v>
      </c>
      <c r="M241" s="40" t="s">
        <v>93</v>
      </c>
    </row>
    <row r="242" ht="15.75" customHeight="1">
      <c r="A242" s="45" t="s">
        <v>102</v>
      </c>
      <c r="B242" s="102">
        <v>270000.0</v>
      </c>
      <c r="C242" s="102">
        <v>258978.91999999987</v>
      </c>
      <c r="D242" s="102">
        <v>210000.0</v>
      </c>
      <c r="E242" s="102">
        <v>143975.50000000003</v>
      </c>
      <c r="F242" s="102">
        <v>210000.0</v>
      </c>
      <c r="G242" s="102">
        <v>133474.38</v>
      </c>
      <c r="H242" s="102">
        <v>150000.0</v>
      </c>
      <c r="I242" s="102">
        <v>103794.0</v>
      </c>
      <c r="J242" s="102">
        <v>840000.0</v>
      </c>
      <c r="K242" s="102">
        <v>640222.7999999999</v>
      </c>
      <c r="L242" s="102">
        <v>480000.0</v>
      </c>
      <c r="M242" s="102">
        <v>640222.7999999999</v>
      </c>
    </row>
    <row r="243" ht="15.75" customHeight="1">
      <c r="A243" s="45" t="s">
        <v>6</v>
      </c>
      <c r="B243" s="61">
        <v>12122.357142857141</v>
      </c>
      <c r="C243" s="61">
        <v>10936.0</v>
      </c>
      <c r="D243" s="61">
        <v>9428.5</v>
      </c>
      <c r="E243" s="134">
        <v>8125.0</v>
      </c>
      <c r="F243" s="61">
        <v>9428.5</v>
      </c>
      <c r="G243" s="61">
        <v>7195.0</v>
      </c>
      <c r="H243" s="61">
        <v>6734.642857142857</v>
      </c>
      <c r="I243" s="61">
        <v>5206.0</v>
      </c>
      <c r="J243" s="61">
        <v>37714.0</v>
      </c>
      <c r="K243" s="61">
        <v>31462.0</v>
      </c>
      <c r="L243" s="61">
        <v>21550.85714285714</v>
      </c>
      <c r="M243" s="61">
        <v>31462.0</v>
      </c>
    </row>
    <row r="244" ht="15.75" customHeight="1">
      <c r="A244" s="45" t="s">
        <v>8</v>
      </c>
      <c r="B244" s="46">
        <v>22.27289600678793</v>
      </c>
      <c r="C244" s="46">
        <v>23.68132040965617</v>
      </c>
      <c r="D244" s="46">
        <v>22.27289600678793</v>
      </c>
      <c r="E244" s="46">
        <v>17.720061538461543</v>
      </c>
      <c r="F244" s="46">
        <v>22.27289600678793</v>
      </c>
      <c r="G244" s="46">
        <v>18.550990965948575</v>
      </c>
      <c r="H244" s="46">
        <v>22.27289600678793</v>
      </c>
      <c r="I244" s="46">
        <v>19.937379946215906</v>
      </c>
      <c r="J244" s="46">
        <v>22.27289600678793</v>
      </c>
      <c r="K244" s="46">
        <v>20.349081431568237</v>
      </c>
      <c r="L244" s="46">
        <v>22.27289600678793</v>
      </c>
      <c r="M244" s="46">
        <v>20.349081431568237</v>
      </c>
    </row>
    <row r="245" ht="15.75" customHeight="1">
      <c r="A245" s="45" t="s">
        <v>9</v>
      </c>
      <c r="B245" s="43">
        <v>123.75</v>
      </c>
      <c r="C245" s="43">
        <v>95.0</v>
      </c>
      <c r="D245" s="43">
        <v>96.25</v>
      </c>
      <c r="E245" s="43">
        <v>82.0</v>
      </c>
      <c r="F245" s="43">
        <v>96.25</v>
      </c>
      <c r="G245" s="43">
        <v>77.0</v>
      </c>
      <c r="H245" s="43">
        <v>68.75</v>
      </c>
      <c r="I245" s="43">
        <v>50.0</v>
      </c>
      <c r="J245" s="43">
        <v>385.0</v>
      </c>
      <c r="K245" s="43">
        <v>304.0</v>
      </c>
      <c r="L245" s="43">
        <v>220.0</v>
      </c>
      <c r="M245" s="43">
        <v>304.0</v>
      </c>
    </row>
    <row r="246" ht="15.75" customHeight="1">
      <c r="A246" s="45" t="s">
        <v>23</v>
      </c>
      <c r="B246" s="45">
        <v>67.17857142857144</v>
      </c>
      <c r="C246" s="45">
        <v>48.0</v>
      </c>
      <c r="D246" s="45">
        <v>52.25</v>
      </c>
      <c r="E246" s="45">
        <v>50.0</v>
      </c>
      <c r="F246" s="45">
        <v>52.25</v>
      </c>
      <c r="G246" s="45">
        <v>42.0</v>
      </c>
      <c r="H246" s="45">
        <v>37.321428571428584</v>
      </c>
      <c r="I246" s="45">
        <v>37.0</v>
      </c>
      <c r="J246" s="45">
        <v>209.0</v>
      </c>
      <c r="K246" s="45">
        <v>177.0</v>
      </c>
      <c r="L246" s="45">
        <v>119.42857142857144</v>
      </c>
      <c r="M246" s="45">
        <v>177.0</v>
      </c>
    </row>
    <row r="247" ht="15.75" customHeight="1">
      <c r="A247" s="45" t="s">
        <v>16</v>
      </c>
      <c r="B247" s="43">
        <v>190.92857142857144</v>
      </c>
      <c r="C247" s="43">
        <v>143.0</v>
      </c>
      <c r="D247" s="43">
        <v>148.5</v>
      </c>
      <c r="E247" s="43">
        <v>132.0</v>
      </c>
      <c r="F247" s="43">
        <v>148.5</v>
      </c>
      <c r="G247" s="43">
        <v>119.0</v>
      </c>
      <c r="H247" s="43">
        <v>106.07142857142858</v>
      </c>
      <c r="I247" s="43">
        <v>87.0</v>
      </c>
      <c r="J247" s="43">
        <v>594.0</v>
      </c>
      <c r="K247" s="97">
        <v>481.0</v>
      </c>
      <c r="L247" s="43">
        <v>339.42857142857144</v>
      </c>
      <c r="M247" s="43">
        <v>481.0</v>
      </c>
    </row>
    <row r="248" ht="15.75" customHeight="1">
      <c r="A248" s="45" t="s">
        <v>108</v>
      </c>
      <c r="B248" s="50">
        <v>0.010208410669777802</v>
      </c>
      <c r="C248" s="50">
        <v>0.008686905632772494</v>
      </c>
      <c r="D248" s="50">
        <v>0.010208410669777802</v>
      </c>
      <c r="E248" s="50">
        <v>0.010092307692307692</v>
      </c>
      <c r="F248" s="50">
        <v>0.010208410669777802</v>
      </c>
      <c r="G248" s="50">
        <v>0.010701876302988186</v>
      </c>
      <c r="H248" s="50">
        <v>0.010208410669777802</v>
      </c>
      <c r="I248" s="50">
        <v>0.009604302727621975</v>
      </c>
      <c r="J248" s="50">
        <v>0.010208410669777802</v>
      </c>
      <c r="K248" s="50">
        <v>0.009662449939609689</v>
      </c>
      <c r="L248" s="50">
        <v>0.010208410669777802</v>
      </c>
      <c r="M248" s="50">
        <v>0.009662449939609689</v>
      </c>
    </row>
    <row r="249" ht="15.75" customHeight="1">
      <c r="A249" s="44" t="s">
        <v>11</v>
      </c>
      <c r="B249" s="103">
        <v>1268824.5</v>
      </c>
      <c r="C249" s="103">
        <v>626100.8400000004</v>
      </c>
      <c r="D249" s="103">
        <v>986863.5</v>
      </c>
      <c r="E249" s="103">
        <v>576345.87</v>
      </c>
      <c r="F249" s="103">
        <v>986863.5</v>
      </c>
      <c r="G249" s="103">
        <v>542450.0000000001</v>
      </c>
      <c r="H249" s="103">
        <v>704902.5</v>
      </c>
      <c r="I249" s="103">
        <v>347738.0</v>
      </c>
      <c r="J249" s="103">
        <v>3947454.0</v>
      </c>
      <c r="K249" s="103">
        <v>2092634.7100000004</v>
      </c>
      <c r="L249" s="103">
        <v>2255688.0</v>
      </c>
      <c r="M249" s="103">
        <v>2092634.7100000004</v>
      </c>
    </row>
    <row r="250" ht="15.75" customHeight="1">
      <c r="A250" s="45" t="s">
        <v>112</v>
      </c>
      <c r="B250" s="102">
        <v>677516.7857142859</v>
      </c>
      <c r="C250" s="102">
        <v>395922.55830508424</v>
      </c>
      <c r="D250" s="102">
        <v>526957.5</v>
      </c>
      <c r="E250" s="102">
        <v>401860.1808474574</v>
      </c>
      <c r="F250" s="102">
        <v>526957.5</v>
      </c>
      <c r="G250" s="102">
        <v>335834.6525423726</v>
      </c>
      <c r="H250" s="102">
        <v>376398.2142857143</v>
      </c>
      <c r="I250" s="102">
        <v>453674.0</v>
      </c>
      <c r="J250" s="102">
        <v>2107830.0</v>
      </c>
      <c r="K250" s="102">
        <v>1587291.391694914</v>
      </c>
      <c r="L250" s="102">
        <v>1204474.285714286</v>
      </c>
      <c r="M250" s="102">
        <v>1587291.391694914</v>
      </c>
    </row>
    <row r="251" ht="15.75" customHeight="1">
      <c r="A251" s="52" t="s">
        <v>114</v>
      </c>
      <c r="B251" s="104">
        <v>1946341.285714286</v>
      </c>
      <c r="C251" s="104">
        <v>1022023.3983050847</v>
      </c>
      <c r="D251" s="104">
        <v>1513821.0</v>
      </c>
      <c r="E251" s="104">
        <v>978206.0508474574</v>
      </c>
      <c r="F251" s="104">
        <v>1513821.0</v>
      </c>
      <c r="G251" s="104">
        <v>878284.6525423727</v>
      </c>
      <c r="H251" s="104">
        <v>1081300.7142857143</v>
      </c>
      <c r="I251" s="104">
        <v>801412.0</v>
      </c>
      <c r="J251" s="104">
        <v>6055284.0</v>
      </c>
      <c r="K251" s="104">
        <v>3679926.1016949145</v>
      </c>
      <c r="L251" s="104">
        <v>3460162.285714286</v>
      </c>
      <c r="M251" s="104">
        <v>3679926.1016949145</v>
      </c>
    </row>
    <row r="252" ht="15.75" customHeight="1">
      <c r="A252" s="45" t="s">
        <v>14</v>
      </c>
      <c r="B252" s="43">
        <v>10253.127272727274</v>
      </c>
      <c r="C252" s="43">
        <v>6590.535157894741</v>
      </c>
      <c r="D252" s="43">
        <v>10253.127272727274</v>
      </c>
      <c r="E252" s="43">
        <v>7028.608170731707</v>
      </c>
      <c r="F252" s="43">
        <v>10253.127272727274</v>
      </c>
      <c r="G252" s="43">
        <v>7044.805194805196</v>
      </c>
      <c r="H252" s="43">
        <v>10253.127272727274</v>
      </c>
      <c r="I252" s="43">
        <v>6954.76</v>
      </c>
      <c r="J252" s="43">
        <v>10253.127272727274</v>
      </c>
      <c r="K252" s="43">
        <v>6883.666809210527</v>
      </c>
      <c r="L252" s="43">
        <v>10253.127272727274</v>
      </c>
      <c r="M252" s="43">
        <v>6883.666809210527</v>
      </c>
    </row>
    <row r="253" ht="15.75" customHeight="1">
      <c r="A253" s="45" t="s">
        <v>19</v>
      </c>
      <c r="B253" s="43">
        <v>10194.080808080807</v>
      </c>
      <c r="C253" s="43">
        <v>7147.016771364229</v>
      </c>
      <c r="D253" s="43">
        <v>10194.080808080807</v>
      </c>
      <c r="E253" s="43">
        <v>7410.651900359526</v>
      </c>
      <c r="F253" s="43">
        <v>10194.080808080807</v>
      </c>
      <c r="G253" s="43">
        <v>7380.543298675401</v>
      </c>
      <c r="H253" s="43">
        <v>10194.080808080807</v>
      </c>
      <c r="I253" s="43">
        <v>9211.632183908046</v>
      </c>
      <c r="J253" s="43">
        <v>10194.080808080807</v>
      </c>
      <c r="K253" s="43">
        <v>7650.574015997743</v>
      </c>
      <c r="L253" s="43">
        <v>10194.080808080807</v>
      </c>
      <c r="M253" s="43">
        <v>7650.574015997743</v>
      </c>
    </row>
    <row r="254" ht="15.75" customHeight="1">
      <c r="A254" s="45" t="s">
        <v>13</v>
      </c>
      <c r="B254" s="50">
        <v>0.2127953865960186</v>
      </c>
      <c r="C254" s="50">
        <v>0.41363771369480945</v>
      </c>
      <c r="D254" s="50">
        <v>0.2127953865960186</v>
      </c>
      <c r="E254" s="50">
        <v>0.24980746370230783</v>
      </c>
      <c r="F254" s="50">
        <v>0.2127953865960186</v>
      </c>
      <c r="G254" s="50">
        <v>0.24605840169600882</v>
      </c>
      <c r="H254" s="50">
        <v>0.2127953865960186</v>
      </c>
      <c r="I254" s="50">
        <v>0.29848334090608447</v>
      </c>
      <c r="J254" s="50">
        <v>0.2127953865960186</v>
      </c>
      <c r="K254" s="50">
        <v>0.3059410211159117</v>
      </c>
      <c r="L254" s="50">
        <v>0.2127953865960186</v>
      </c>
      <c r="M254" s="50">
        <v>0.3059410211159117</v>
      </c>
    </row>
    <row r="255" ht="15.75" customHeight="1">
      <c r="A255" s="45" t="s">
        <v>118</v>
      </c>
      <c r="B255" s="50">
        <v>0.1387218171765354</v>
      </c>
      <c r="C255" s="50">
        <v>0.2533982298541192</v>
      </c>
      <c r="D255" s="50">
        <v>0.1387218171765354</v>
      </c>
      <c r="E255" s="50">
        <v>0.1471832032476885</v>
      </c>
      <c r="F255" s="50">
        <v>0.1387218171765354</v>
      </c>
      <c r="G255" s="50">
        <v>0.15197166387187958</v>
      </c>
      <c r="H255" s="50">
        <v>0.1387218171765354</v>
      </c>
      <c r="I255" s="50">
        <v>0.1295139079524639</v>
      </c>
      <c r="J255" s="50">
        <v>0.1387218171765354</v>
      </c>
      <c r="K255" s="50">
        <v>0.1739770806009185</v>
      </c>
      <c r="L255" s="50">
        <v>0.1387218171765354</v>
      </c>
      <c r="M255" s="50">
        <v>0.1739770806009185</v>
      </c>
    </row>
    <row r="256" ht="15.75" customHeight="1">
      <c r="A256" s="45" t="s">
        <v>15</v>
      </c>
      <c r="B256" s="46">
        <v>4.69935</v>
      </c>
      <c r="C256" s="46">
        <v>2.4175745269151667</v>
      </c>
      <c r="D256" s="46">
        <v>4.69935</v>
      </c>
      <c r="E256" s="46">
        <v>4.003082955086107</v>
      </c>
      <c r="F256" s="46">
        <v>4.69935</v>
      </c>
      <c r="G256" s="46">
        <v>4.064075817396568</v>
      </c>
      <c r="H256" s="46">
        <v>4.69935</v>
      </c>
      <c r="I256" s="46">
        <v>3.350270728558491</v>
      </c>
      <c r="J256" s="46">
        <v>4.69935</v>
      </c>
      <c r="K256" s="46">
        <v>3.268603851659142</v>
      </c>
      <c r="L256" s="46">
        <v>4.69935</v>
      </c>
      <c r="M256" s="46">
        <v>3.268603851659142</v>
      </c>
    </row>
    <row r="257" ht="15.75" customHeight="1">
      <c r="A257" s="106" t="s">
        <v>122</v>
      </c>
      <c r="B257" s="55">
        <v>7.20867142857143</v>
      </c>
      <c r="C257" s="55">
        <v>3.946357480775212</v>
      </c>
      <c r="D257" s="55">
        <v>7.208671428571429</v>
      </c>
      <c r="E257" s="55">
        <v>6.794253542078042</v>
      </c>
      <c r="F257" s="55">
        <v>7.208671428571429</v>
      </c>
      <c r="G257" s="55">
        <v>6.580174056941659</v>
      </c>
      <c r="H257" s="55">
        <v>7.208671428571429</v>
      </c>
      <c r="I257" s="55">
        <v>7.7211784881592385</v>
      </c>
      <c r="J257" s="55">
        <v>7.208671428571429</v>
      </c>
      <c r="K257" s="55">
        <v>5.747883551936787</v>
      </c>
      <c r="L257" s="55">
        <v>7.208671428571429</v>
      </c>
      <c r="M257" s="55">
        <v>5.747883551936787</v>
      </c>
    </row>
    <row r="258" ht="15.75" customHeight="1"/>
    <row r="259" ht="15.0" customHeight="1">
      <c r="A259" s="34" t="s">
        <v>93</v>
      </c>
      <c r="B259" s="35" t="s">
        <v>277</v>
      </c>
      <c r="C259" s="6"/>
      <c r="D259" s="35" t="s">
        <v>278</v>
      </c>
      <c r="E259" s="6"/>
      <c r="F259" s="35" t="s">
        <v>279</v>
      </c>
      <c r="G259" s="6"/>
      <c r="H259" s="35" t="s">
        <v>280</v>
      </c>
      <c r="I259" s="6"/>
      <c r="J259" s="35" t="s">
        <v>281</v>
      </c>
      <c r="K259" s="6"/>
      <c r="L259" s="37" t="s">
        <v>246</v>
      </c>
      <c r="M259" s="6"/>
      <c r="N259" s="143" t="s">
        <v>72</v>
      </c>
      <c r="O259" s="101"/>
      <c r="P259" s="144" t="s">
        <v>273</v>
      </c>
      <c r="Q259" s="145"/>
    </row>
    <row r="260" ht="15.75" customHeight="1">
      <c r="A260" s="39" t="s">
        <v>283</v>
      </c>
      <c r="B260" s="40" t="s">
        <v>100</v>
      </c>
      <c r="C260" s="40" t="s">
        <v>93</v>
      </c>
      <c r="D260" s="40" t="s">
        <v>100</v>
      </c>
      <c r="E260" s="40" t="s">
        <v>93</v>
      </c>
      <c r="F260" s="40" t="s">
        <v>100</v>
      </c>
      <c r="G260" s="40" t="s">
        <v>93</v>
      </c>
      <c r="H260" s="40" t="s">
        <v>100</v>
      </c>
      <c r="I260" s="40" t="s">
        <v>93</v>
      </c>
      <c r="J260" s="40" t="s">
        <v>100</v>
      </c>
      <c r="K260" s="40" t="s">
        <v>93</v>
      </c>
      <c r="L260" s="40" t="s">
        <v>100</v>
      </c>
      <c r="M260" s="40" t="s">
        <v>93</v>
      </c>
      <c r="N260" s="39" t="s">
        <v>100</v>
      </c>
      <c r="O260" s="40" t="s">
        <v>93</v>
      </c>
      <c r="P260" s="40" t="s">
        <v>100</v>
      </c>
      <c r="Q260" s="40" t="s">
        <v>93</v>
      </c>
    </row>
    <row r="261" ht="15.75" customHeight="1">
      <c r="A261" s="45" t="s">
        <v>102</v>
      </c>
      <c r="B261" s="102">
        <v>54193.54838709677</v>
      </c>
      <c r="C261" s="102">
        <v>53629.0</v>
      </c>
      <c r="D261" s="102">
        <v>189677.4193548387</v>
      </c>
      <c r="E261" s="102">
        <v>159462.0</v>
      </c>
      <c r="F261" s="102">
        <v>189677.4193548387</v>
      </c>
      <c r="G261" s="102">
        <v>241323.0</v>
      </c>
      <c r="H261" s="102">
        <v>189677.4193548387</v>
      </c>
      <c r="I261" s="102">
        <v>200519.0</v>
      </c>
      <c r="J261" s="102">
        <v>189677.4193548387</v>
      </c>
      <c r="K261" s="102">
        <v>167041.0</v>
      </c>
      <c r="L261" s="102">
        <v>27096.774193548386</v>
      </c>
      <c r="M261" s="102">
        <v>23967.0</v>
      </c>
      <c r="N261" s="102">
        <v>840000.0</v>
      </c>
      <c r="O261" s="102">
        <v>845941.0</v>
      </c>
      <c r="P261" s="102">
        <v>839999.9999999999</v>
      </c>
      <c r="Q261" s="102">
        <v>845958.036732049</v>
      </c>
    </row>
    <row r="262" ht="15.75" customHeight="1">
      <c r="A262" s="45" t="s">
        <v>6</v>
      </c>
      <c r="B262" s="61">
        <v>2433.1612903225805</v>
      </c>
      <c r="C262" s="61">
        <v>2689.0</v>
      </c>
      <c r="D262" s="61">
        <v>8516.064516129032</v>
      </c>
      <c r="E262" s="134">
        <v>8434.0</v>
      </c>
      <c r="F262" s="61">
        <v>8516.064516129032</v>
      </c>
      <c r="G262" s="61">
        <v>19749.0</v>
      </c>
      <c r="H262" s="61">
        <v>8516.064516129032</v>
      </c>
      <c r="I262" s="61">
        <v>10552.0</v>
      </c>
      <c r="J262" s="61">
        <v>8516.064516129032</v>
      </c>
      <c r="K262" s="61">
        <v>8633.0</v>
      </c>
      <c r="L262" s="61">
        <v>1216.5806451612902</v>
      </c>
      <c r="M262" s="61">
        <v>1263.0</v>
      </c>
      <c r="N262" s="61">
        <v>37714.0</v>
      </c>
      <c r="O262" s="61">
        <v>51320.0</v>
      </c>
      <c r="P262" s="61">
        <v>37713.99999999999</v>
      </c>
      <c r="Q262" s="61">
        <v>51334.0</v>
      </c>
    </row>
    <row r="263" ht="15.75" customHeight="1">
      <c r="A263" s="45" t="s">
        <v>8</v>
      </c>
      <c r="B263" s="46">
        <v>22.27289600678793</v>
      </c>
      <c r="C263" s="46">
        <v>19.94384529564894</v>
      </c>
      <c r="D263" s="46">
        <v>22.272896006787928</v>
      </c>
      <c r="E263" s="46">
        <v>18.907042921508182</v>
      </c>
      <c r="F263" s="46">
        <v>22.272896006787928</v>
      </c>
      <c r="G263" s="46">
        <v>12.219504785052408</v>
      </c>
      <c r="H263" s="46">
        <v>22.272896006787928</v>
      </c>
      <c r="I263" s="46">
        <v>19.002937831690677</v>
      </c>
      <c r="J263" s="46">
        <v>22.272896006787928</v>
      </c>
      <c r="K263" s="46">
        <v>19.34912544885903</v>
      </c>
      <c r="L263" s="46">
        <v>22.27289600678793</v>
      </c>
      <c r="M263" s="46">
        <v>18.97624703087886</v>
      </c>
      <c r="N263" s="46">
        <v>22.27289600678793</v>
      </c>
      <c r="O263" s="46">
        <v>16.483651597817616</v>
      </c>
      <c r="P263" s="46">
        <v>22.27289600678793</v>
      </c>
      <c r="Q263" s="46">
        <v>16.479487994936086</v>
      </c>
    </row>
    <row r="264" ht="15.75" customHeight="1">
      <c r="A264" s="45" t="s">
        <v>9</v>
      </c>
      <c r="B264" s="43">
        <v>24.838709677419356</v>
      </c>
      <c r="C264" s="43">
        <v>45.0</v>
      </c>
      <c r="D264" s="43">
        <v>86.93548387096774</v>
      </c>
      <c r="E264" s="43">
        <v>93.0</v>
      </c>
      <c r="F264" s="43">
        <v>86.93548387096774</v>
      </c>
      <c r="G264" s="43">
        <v>101.0</v>
      </c>
      <c r="H264" s="43">
        <v>86.93548387096774</v>
      </c>
      <c r="I264" s="43">
        <v>121.0</v>
      </c>
      <c r="J264" s="43">
        <v>86.93548387096774</v>
      </c>
      <c r="K264" s="43">
        <v>65.0</v>
      </c>
      <c r="L264" s="43">
        <v>12.419354838709678</v>
      </c>
      <c r="M264" s="43">
        <v>14.0</v>
      </c>
      <c r="N264" s="43">
        <v>385.0</v>
      </c>
      <c r="O264" s="43">
        <v>439.0</v>
      </c>
      <c r="P264" s="43">
        <v>385.0</v>
      </c>
      <c r="Q264" s="43">
        <v>471.0</v>
      </c>
    </row>
    <row r="265" ht="15.75" customHeight="1">
      <c r="A265" s="45" t="s">
        <v>23</v>
      </c>
      <c r="B265" s="43">
        <v>13.483870967741932</v>
      </c>
      <c r="C265" s="43">
        <v>-4.0</v>
      </c>
      <c r="D265" s="43">
        <v>47.19354838709677</v>
      </c>
      <c r="E265" s="43">
        <v>53.0</v>
      </c>
      <c r="F265" s="43">
        <v>47.19354838709677</v>
      </c>
      <c r="G265" s="43">
        <v>47.0</v>
      </c>
      <c r="H265" s="43">
        <v>47.19354838709677</v>
      </c>
      <c r="I265" s="43">
        <v>43.0</v>
      </c>
      <c r="J265" s="43">
        <v>47.19354838709677</v>
      </c>
      <c r="K265" s="43">
        <v>41.0</v>
      </c>
      <c r="L265" s="43">
        <v>6.741935483870966</v>
      </c>
      <c r="M265" s="43">
        <v>11.0</v>
      </c>
      <c r="N265" s="43">
        <v>209.0</v>
      </c>
      <c r="O265" s="43">
        <v>191.0</v>
      </c>
      <c r="P265" s="43">
        <v>60.677419354838705</v>
      </c>
      <c r="Q265" s="43">
        <v>159.0</v>
      </c>
    </row>
    <row r="266" ht="15.75" customHeight="1">
      <c r="A266" s="45" t="s">
        <v>16</v>
      </c>
      <c r="B266" s="43">
        <v>38.32258064516129</v>
      </c>
      <c r="C266" s="43">
        <v>41.0</v>
      </c>
      <c r="D266" s="43">
        <v>134.1290322580645</v>
      </c>
      <c r="E266" s="43">
        <v>146.0</v>
      </c>
      <c r="F266" s="43">
        <v>134.1290322580645</v>
      </c>
      <c r="G266" s="43">
        <v>148.0</v>
      </c>
      <c r="H266" s="43">
        <v>134.1290322580645</v>
      </c>
      <c r="I266" s="43">
        <v>164.0</v>
      </c>
      <c r="J266" s="43">
        <v>134.1290322580645</v>
      </c>
      <c r="K266" s="97">
        <v>106.0</v>
      </c>
      <c r="L266" s="43">
        <v>19.161290322580644</v>
      </c>
      <c r="M266" s="43">
        <v>25.0</v>
      </c>
      <c r="N266" s="43">
        <v>594.0</v>
      </c>
      <c r="O266" s="43">
        <v>630.0</v>
      </c>
      <c r="P266" s="43">
        <v>593.9999999999999</v>
      </c>
      <c r="Q266" s="43">
        <v>630.0</v>
      </c>
    </row>
    <row r="267" ht="15.75" customHeight="1">
      <c r="A267" s="45" t="s">
        <v>108</v>
      </c>
      <c r="B267" s="50">
        <v>0.010208410669777802</v>
      </c>
      <c r="C267" s="50">
        <v>0.0167348456675344</v>
      </c>
      <c r="D267" s="50">
        <v>0.010208410669777802</v>
      </c>
      <c r="E267" s="50">
        <v>0.011026796300687692</v>
      </c>
      <c r="F267" s="50">
        <v>0.010208410669777802</v>
      </c>
      <c r="G267" s="50">
        <v>0.005114182996607423</v>
      </c>
      <c r="H267" s="50">
        <v>0.010208410669777802</v>
      </c>
      <c r="I267" s="50">
        <v>0.01146702047005307</v>
      </c>
      <c r="J267" s="50">
        <v>0.010208410669777802</v>
      </c>
      <c r="K267" s="50">
        <v>0.00752924823352253</v>
      </c>
      <c r="L267" s="50">
        <v>0.010208410669777802</v>
      </c>
      <c r="M267" s="50">
        <v>0.011084718923198733</v>
      </c>
      <c r="N267" s="50">
        <v>0.010208410669777802</v>
      </c>
      <c r="O267" s="50">
        <v>0.008554169914263445</v>
      </c>
      <c r="P267" s="50">
        <v>0.010208410669777804</v>
      </c>
      <c r="Q267" s="50">
        <v>0.00917520551681147</v>
      </c>
    </row>
    <row r="268" ht="15.75" customHeight="1">
      <c r="A268" s="44" t="s">
        <v>11</v>
      </c>
      <c r="B268" s="103">
        <v>254674.4516129032</v>
      </c>
      <c r="C268" s="103">
        <v>388282.0</v>
      </c>
      <c r="D268" s="103">
        <v>891360.5806451612</v>
      </c>
      <c r="E268" s="103">
        <v>685854.0</v>
      </c>
      <c r="F268" s="103">
        <v>891360.5806451612</v>
      </c>
      <c r="G268" s="103">
        <v>701022.0</v>
      </c>
      <c r="H268" s="103">
        <v>891360.5806451612</v>
      </c>
      <c r="I268" s="103">
        <v>802298.0</v>
      </c>
      <c r="J268" s="103">
        <v>891360.5806451612</v>
      </c>
      <c r="K268" s="103">
        <v>589659.0</v>
      </c>
      <c r="L268" s="103">
        <v>127337.2258064516</v>
      </c>
      <c r="M268" s="103">
        <v>168951.0</v>
      </c>
      <c r="N268" s="103">
        <v>3947454.0</v>
      </c>
      <c r="O268" s="103">
        <v>3336066.0</v>
      </c>
      <c r="P268" s="103">
        <v>3947453.9999999995</v>
      </c>
      <c r="Q268" s="103">
        <v>3892675.593220339</v>
      </c>
    </row>
    <row r="269" ht="15.75" customHeight="1">
      <c r="A269" s="45" t="s">
        <v>112</v>
      </c>
      <c r="B269" s="102">
        <v>135989.03225806454</v>
      </c>
      <c r="C269" s="102">
        <v>-103681.0</v>
      </c>
      <c r="D269" s="102">
        <v>475961.61290322593</v>
      </c>
      <c r="E269" s="102">
        <v>482161.0</v>
      </c>
      <c r="F269" s="102">
        <v>475961.61290322593</v>
      </c>
      <c r="G269" s="102">
        <v>467647.0</v>
      </c>
      <c r="H269" s="102">
        <v>475961.61290322593</v>
      </c>
      <c r="I269" s="102">
        <v>381755.0</v>
      </c>
      <c r="J269" s="102">
        <v>475961.61290322593</v>
      </c>
      <c r="K269" s="102">
        <v>484957.0</v>
      </c>
      <c r="L269" s="102">
        <v>67994.51612903227</v>
      </c>
      <c r="M269" s="102">
        <v>220268.0</v>
      </c>
      <c r="N269" s="102">
        <v>2107830.0</v>
      </c>
      <c r="O269" s="102">
        <v>1933107.0</v>
      </c>
      <c r="P269" s="102">
        <v>611950.6451612904</v>
      </c>
      <c r="Q269" s="102">
        <v>1393891.4565677969</v>
      </c>
    </row>
    <row r="270" ht="15.75" customHeight="1">
      <c r="A270" s="52" t="s">
        <v>114</v>
      </c>
      <c r="B270" s="104">
        <v>390663.48387096776</v>
      </c>
      <c r="C270" s="104">
        <v>284601.0</v>
      </c>
      <c r="D270" s="104">
        <v>1367322.1935483871</v>
      </c>
      <c r="E270" s="104">
        <v>1168015.0</v>
      </c>
      <c r="F270" s="104">
        <v>1367322.1935483871</v>
      </c>
      <c r="G270" s="104">
        <v>1168669.0</v>
      </c>
      <c r="H270" s="104">
        <v>1367322.1935483871</v>
      </c>
      <c r="I270" s="104">
        <v>1184053.0</v>
      </c>
      <c r="J270" s="104">
        <v>1367322.1935483871</v>
      </c>
      <c r="K270" s="104">
        <v>1074616.0</v>
      </c>
      <c r="L270" s="104">
        <v>195331.74193548388</v>
      </c>
      <c r="M270" s="104">
        <v>389219.0</v>
      </c>
      <c r="N270" s="104">
        <v>6055284.0</v>
      </c>
      <c r="O270" s="104">
        <v>5269173.0</v>
      </c>
      <c r="P270" s="104">
        <v>6055284.0</v>
      </c>
      <c r="Q270" s="104">
        <v>5286567.049788136</v>
      </c>
    </row>
    <row r="271" ht="15.75" customHeight="1">
      <c r="A271" s="45" t="s">
        <v>14</v>
      </c>
      <c r="B271" s="43">
        <v>10253.127272727272</v>
      </c>
      <c r="C271" s="43">
        <v>8628.488888888889</v>
      </c>
      <c r="D271" s="43">
        <v>10253.127272727272</v>
      </c>
      <c r="E271" s="43">
        <v>7374.774193548387</v>
      </c>
      <c r="F271" s="43">
        <v>10253.127272727272</v>
      </c>
      <c r="G271" s="43">
        <v>6940.811881188119</v>
      </c>
      <c r="H271" s="43">
        <v>10253.127272727272</v>
      </c>
      <c r="I271" s="43">
        <v>6630.561983471074</v>
      </c>
      <c r="J271" s="43">
        <v>10253.127272727272</v>
      </c>
      <c r="K271" s="43">
        <v>9071.676923076922</v>
      </c>
      <c r="L271" s="43">
        <v>10253.127272727272</v>
      </c>
      <c r="M271" s="43">
        <v>12067.92857142857</v>
      </c>
      <c r="N271" s="43">
        <v>10253.127272727274</v>
      </c>
      <c r="O271" s="43">
        <v>7599.239179954442</v>
      </c>
      <c r="P271" s="43">
        <v>10253.127272727272</v>
      </c>
      <c r="Q271" s="43">
        <v>8264.704019576091</v>
      </c>
    </row>
    <row r="272" ht="15.75" customHeight="1">
      <c r="A272" s="45" t="s">
        <v>19</v>
      </c>
      <c r="B272" s="43">
        <v>10194.08080808081</v>
      </c>
      <c r="C272" s="43">
        <v>6941.487804878048</v>
      </c>
      <c r="D272" s="43">
        <v>10194.08080808081</v>
      </c>
      <c r="E272" s="43">
        <v>8000.102739726028</v>
      </c>
      <c r="F272" s="43">
        <v>10194.08080808081</v>
      </c>
      <c r="G272" s="43">
        <v>7896.4121621621625</v>
      </c>
      <c r="H272" s="43">
        <v>10194.08080808081</v>
      </c>
      <c r="I272" s="43">
        <v>7219.835365853659</v>
      </c>
      <c r="J272" s="43">
        <v>10194.08080808081</v>
      </c>
      <c r="K272" s="43">
        <v>10137.88679245283</v>
      </c>
      <c r="L272" s="43">
        <v>10194.08080808081</v>
      </c>
      <c r="M272" s="43">
        <v>15568.76</v>
      </c>
      <c r="N272" s="43">
        <v>10194.080808080807</v>
      </c>
      <c r="O272" s="43">
        <v>8363.766666666666</v>
      </c>
      <c r="P272" s="43">
        <v>10194.08080808081</v>
      </c>
      <c r="Q272" s="43">
        <v>8391.376269504977</v>
      </c>
    </row>
    <row r="273" ht="15.75" customHeight="1">
      <c r="A273" s="45" t="s">
        <v>13</v>
      </c>
      <c r="B273" s="50">
        <v>0.2127953865960186</v>
      </c>
      <c r="C273" s="50">
        <v>0.13811868693372342</v>
      </c>
      <c r="D273" s="50">
        <v>0.2127953865960186</v>
      </c>
      <c r="E273" s="50">
        <v>0.23250137784426422</v>
      </c>
      <c r="F273" s="50">
        <v>0.2127953865960186</v>
      </c>
      <c r="G273" s="50">
        <v>0.3442445458202453</v>
      </c>
      <c r="H273" s="50">
        <v>0.2127953865960186</v>
      </c>
      <c r="I273" s="50">
        <v>0.2499308237088962</v>
      </c>
      <c r="J273" s="50">
        <v>0.2127953865960186</v>
      </c>
      <c r="K273" s="50">
        <v>0.2832840675712573</v>
      </c>
      <c r="L273" s="50">
        <v>0.2127953865960186</v>
      </c>
      <c r="M273" s="50">
        <v>0.14185769838592255</v>
      </c>
      <c r="N273" s="50">
        <v>0.2127953865960186</v>
      </c>
      <c r="O273" s="50">
        <v>0.2535744196907375</v>
      </c>
      <c r="P273" s="50">
        <v>0.2127953865960186</v>
      </c>
      <c r="Q273" s="50">
        <v>0.2173204564504188</v>
      </c>
    </row>
    <row r="274" ht="15.75" customHeight="1">
      <c r="A274" s="45" t="s">
        <v>118</v>
      </c>
      <c r="B274" s="50">
        <v>0.1387218171765354</v>
      </c>
      <c r="C274" s="50">
        <v>0.1884357398603659</v>
      </c>
      <c r="D274" s="50">
        <v>0.1387218171765354</v>
      </c>
      <c r="E274" s="50">
        <v>0.1365239316275904</v>
      </c>
      <c r="F274" s="50">
        <v>0.1387218171765354</v>
      </c>
      <c r="G274" s="50">
        <v>0.20649388321244083</v>
      </c>
      <c r="H274" s="50">
        <v>0.1387218171765354</v>
      </c>
      <c r="I274" s="50">
        <v>0.1693496828266978</v>
      </c>
      <c r="J274" s="50">
        <v>0.1387218171765354</v>
      </c>
      <c r="K274" s="50">
        <v>0.1554425022519672</v>
      </c>
      <c r="L274" s="50">
        <v>0.1387218171765354</v>
      </c>
      <c r="M274" s="50">
        <v>0.061577158360717234</v>
      </c>
      <c r="N274" s="50">
        <v>0.1387218171765354</v>
      </c>
      <c r="O274" s="50">
        <v>0.16054530758432112</v>
      </c>
      <c r="P274" s="50">
        <v>0.1387218171765354</v>
      </c>
      <c r="Q274" s="50">
        <v>0.16002029838360823</v>
      </c>
    </row>
    <row r="275" ht="15.75" customHeight="1">
      <c r="A275" s="45" t="s">
        <v>15</v>
      </c>
      <c r="B275" s="46">
        <v>4.69935</v>
      </c>
      <c r="C275" s="46">
        <v>7.24014991888717</v>
      </c>
      <c r="D275" s="46">
        <v>4.69935</v>
      </c>
      <c r="E275" s="46">
        <v>4.301049779884863</v>
      </c>
      <c r="F275" s="46">
        <v>4.69935</v>
      </c>
      <c r="G275" s="46">
        <v>2.904911674394898</v>
      </c>
      <c r="H275" s="46">
        <v>4.69935</v>
      </c>
      <c r="I275" s="46">
        <v>4.001107127005421</v>
      </c>
      <c r="J275" s="46">
        <v>4.69935</v>
      </c>
      <c r="K275" s="46">
        <v>3.530025562586431</v>
      </c>
      <c r="L275" s="46">
        <v>4.69935</v>
      </c>
      <c r="M275" s="46">
        <v>7.0493178119914885</v>
      </c>
      <c r="N275" s="46">
        <v>4.69935</v>
      </c>
      <c r="O275" s="46">
        <v>3.943615453087154</v>
      </c>
      <c r="P275" s="46">
        <v>4.69935</v>
      </c>
      <c r="Q275" s="46">
        <v>4.6014996302391244</v>
      </c>
    </row>
    <row r="276" ht="15.75" customHeight="1">
      <c r="A276" s="106" t="s">
        <v>122</v>
      </c>
      <c r="B276" s="55">
        <v>7.208671428571429</v>
      </c>
      <c r="C276" s="55">
        <v>5.306848906375282</v>
      </c>
      <c r="D276" s="55">
        <v>7.20867142857143</v>
      </c>
      <c r="E276" s="55">
        <v>7.324723131529769</v>
      </c>
      <c r="F276" s="55">
        <v>7.20867142857143</v>
      </c>
      <c r="G276" s="55">
        <v>4.842758460652321</v>
      </c>
      <c r="H276" s="55">
        <v>7.20867142857143</v>
      </c>
      <c r="I276" s="55">
        <v>5.904941676349872</v>
      </c>
      <c r="J276" s="55">
        <v>7.20867142857143</v>
      </c>
      <c r="K276" s="55">
        <v>6.433246927401057</v>
      </c>
      <c r="L276" s="55">
        <v>7.208671428571429</v>
      </c>
      <c r="M276" s="55">
        <v>16.239788041890932</v>
      </c>
      <c r="N276" s="55">
        <v>7.208671428571429</v>
      </c>
      <c r="O276" s="55">
        <v>6.2287712736467435</v>
      </c>
      <c r="P276" s="55">
        <v>7.20867142857143</v>
      </c>
      <c r="Q276" s="55">
        <v>6.249207194969433</v>
      </c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H182:I182"/>
    <mergeCell ref="J182:K182"/>
    <mergeCell ref="B161:C161"/>
    <mergeCell ref="D161:E161"/>
    <mergeCell ref="F161:G161"/>
    <mergeCell ref="H161:I161"/>
    <mergeCell ref="J161:K161"/>
    <mergeCell ref="L161:M161"/>
    <mergeCell ref="B182:C182"/>
    <mergeCell ref="L182:M182"/>
    <mergeCell ref="D182:E182"/>
    <mergeCell ref="F182:G182"/>
    <mergeCell ref="D202:E202"/>
    <mergeCell ref="F202:G202"/>
    <mergeCell ref="H202:I202"/>
    <mergeCell ref="J202:K202"/>
    <mergeCell ref="L202:M202"/>
    <mergeCell ref="B202:C202"/>
    <mergeCell ref="B221:C221"/>
    <mergeCell ref="D221:E221"/>
    <mergeCell ref="F221:G221"/>
    <mergeCell ref="H221:I221"/>
    <mergeCell ref="J221:K221"/>
    <mergeCell ref="L221:M221"/>
    <mergeCell ref="H259:I259"/>
    <mergeCell ref="J259:K259"/>
    <mergeCell ref="N259:O259"/>
    <mergeCell ref="B240:C240"/>
    <mergeCell ref="D240:E240"/>
    <mergeCell ref="F240:G240"/>
    <mergeCell ref="H240:I240"/>
    <mergeCell ref="J240:K240"/>
    <mergeCell ref="L240:M240"/>
    <mergeCell ref="B259:C259"/>
    <mergeCell ref="L259:M259"/>
    <mergeCell ref="B1:C1"/>
    <mergeCell ref="D1:E1"/>
    <mergeCell ref="F1:G1"/>
    <mergeCell ref="H1:I1"/>
    <mergeCell ref="J1:K1"/>
    <mergeCell ref="B23:C23"/>
    <mergeCell ref="D23:E23"/>
    <mergeCell ref="J23:K23"/>
    <mergeCell ref="F23:G23"/>
    <mergeCell ref="H23:I23"/>
    <mergeCell ref="D45:E45"/>
    <mergeCell ref="F45:G45"/>
    <mergeCell ref="H45:I45"/>
    <mergeCell ref="J45:K45"/>
    <mergeCell ref="L45:M45"/>
    <mergeCell ref="H98:I98"/>
    <mergeCell ref="J98:K98"/>
    <mergeCell ref="L98:M98"/>
    <mergeCell ref="B45:C45"/>
    <mergeCell ref="B75:C75"/>
    <mergeCell ref="D75:E75"/>
    <mergeCell ref="F75:G75"/>
    <mergeCell ref="H75:I75"/>
    <mergeCell ref="J75:K75"/>
    <mergeCell ref="B98:C98"/>
    <mergeCell ref="D98:E98"/>
    <mergeCell ref="F98:G98"/>
    <mergeCell ref="D119:E119"/>
    <mergeCell ref="F119:G119"/>
    <mergeCell ref="H119:I119"/>
    <mergeCell ref="J119:K119"/>
    <mergeCell ref="L119:M119"/>
    <mergeCell ref="B119:C119"/>
    <mergeCell ref="B140:C140"/>
    <mergeCell ref="D140:E140"/>
    <mergeCell ref="F140:G140"/>
    <mergeCell ref="H140:I140"/>
    <mergeCell ref="J140:K140"/>
    <mergeCell ref="L140:M140"/>
    <mergeCell ref="D259:E259"/>
    <mergeCell ref="F259:G25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29"/>
    <col customWidth="1" min="2" max="2" width="12.29"/>
    <col customWidth="1" min="3" max="3" width="9.86"/>
    <col customWidth="1" min="4" max="16" width="11.71"/>
    <col customWidth="1" min="17" max="17" width="12.29"/>
    <col customWidth="1" min="18" max="18" width="11.71"/>
    <col customWidth="1" min="19" max="19" width="11.86"/>
    <col customWidth="1" min="20" max="20" width="10.86"/>
    <col customWidth="1" min="21" max="26" width="8.71"/>
  </cols>
  <sheetData>
    <row r="1">
      <c r="A1" s="133" t="s">
        <v>255</v>
      </c>
      <c r="B1" s="12" t="s">
        <v>256</v>
      </c>
      <c r="C1" s="12" t="s">
        <v>231</v>
      </c>
      <c r="D1" s="12" t="s">
        <v>36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50</v>
      </c>
      <c r="J1" s="12" t="s">
        <v>54</v>
      </c>
      <c r="K1" s="12" t="s">
        <v>56</v>
      </c>
      <c r="L1" s="12" t="s">
        <v>58</v>
      </c>
      <c r="M1" s="12" t="s">
        <v>61</v>
      </c>
      <c r="N1" s="12" t="s">
        <v>63</v>
      </c>
      <c r="O1" s="12" t="s">
        <v>65</v>
      </c>
      <c r="P1" s="12" t="s">
        <v>67</v>
      </c>
      <c r="Q1" s="12" t="s">
        <v>70</v>
      </c>
      <c r="R1" s="135">
        <v>45658.0</v>
      </c>
      <c r="S1" s="135">
        <v>45689.0</v>
      </c>
      <c r="T1" s="135">
        <v>45717.0</v>
      </c>
      <c r="U1" s="136"/>
      <c r="V1" s="136"/>
      <c r="W1" s="136"/>
      <c r="X1" s="136"/>
      <c r="Y1" s="136"/>
      <c r="Z1" s="136"/>
    </row>
    <row r="2">
      <c r="A2" s="137" t="s">
        <v>211</v>
      </c>
      <c r="B2" s="137" t="s">
        <v>257</v>
      </c>
      <c r="C2" s="16">
        <f t="shared" ref="C2:C6" si="1">SUM(D2:P2)</f>
        <v>37060</v>
      </c>
      <c r="D2" s="16">
        <f>SUMIFS('Business - Dump'!$G:$G,'Business - Dump'!$B:$B,'Series wise Report'!$A2,'Business - Dump'!$A:$A,'Series wise Report'!D$1)</f>
        <v>133</v>
      </c>
      <c r="E2" s="16">
        <f>SUMIFS('Business - Dump'!$G:$G,'Business - Dump'!$B:$B,'Series wise Report'!$A2,'Business - Dump'!$A:$A,'Series wise Report'!E$1)</f>
        <v>166</v>
      </c>
      <c r="F2" s="16">
        <f>SUMIFS('Business - Dump'!$G:$G,'Business - Dump'!$B:$B,'Series wise Report'!$A2,'Business - Dump'!$A:$A,'Series wise Report'!F$1)</f>
        <v>299</v>
      </c>
      <c r="G2" s="16">
        <f>SUMIFS('Business - Dump'!$G:$G,'Business - Dump'!$B:$B,'Series wise Report'!$A2,'Business - Dump'!$A:$A,'Series wise Report'!G$1)</f>
        <v>477</v>
      </c>
      <c r="H2" s="16">
        <f>SUMIFS('Business - Dump'!$G:$G,'Business - Dump'!$B:$B,'Series wise Report'!$A2,'Business - Dump'!$A:$A,'Series wise Report'!H$1)</f>
        <v>2468</v>
      </c>
      <c r="I2" s="16">
        <f>SUMIFS('Business - Dump'!$G:$G,'Business - Dump'!$B:$B,'Series wise Report'!$A2,'Business - Dump'!$A:$A,'Series wise Report'!I$1)</f>
        <v>2656</v>
      </c>
      <c r="J2" s="16">
        <f>SUMIFS('Business - Dump'!$G:$G,'Business - Dump'!$B:$B,'Series wise Report'!$A2,'Business - Dump'!$A:$A,'Series wise Report'!J$1)</f>
        <v>1612</v>
      </c>
      <c r="K2" s="16">
        <f>SUMIFS('Business - Dump'!$G:$G,'Business - Dump'!$B:$B,'Series wise Report'!$A2,'Business - Dump'!$A:$A,'Series wise Report'!K$1)</f>
        <v>2202</v>
      </c>
      <c r="L2" s="16">
        <f>SUMIFS('Business - Dump'!$G:$G,'Business - Dump'!$B:$B,'Series wise Report'!$A2,'Business - Dump'!$A:$A,'Series wise Report'!L$1)</f>
        <v>3123</v>
      </c>
      <c r="M2" s="16">
        <f>SUMIFS('Business - Dump'!$G:$G,'Business - Dump'!$B:$B,'Series wise Report'!$A2,'Business - Dump'!$A:$A,'Series wise Report'!M$1)</f>
        <v>2215</v>
      </c>
      <c r="N2" s="16">
        <f>SUMIFS('Business - Dump'!$G:$G,'Business - Dump'!$B:$B,'Series wise Report'!$A2,'Business - Dump'!$A:$A,'Series wise Report'!N$1)</f>
        <v>4082</v>
      </c>
      <c r="O2" s="16">
        <f>SUMIFS('Business - Dump'!$G:$G,'Business - Dump'!$B:$B,'Series wise Report'!$A2,'Business - Dump'!$A:$A,'Series wise Report'!O$1)</f>
        <v>4194</v>
      </c>
      <c r="P2" s="16">
        <f>SUMIFS('Business - Dump'!$G:$G,'Business - Dump'!$B:$B,'Series wise Report'!$A2,'Business - Dump'!$A:$A,'Series wise Report'!P$1)</f>
        <v>13433</v>
      </c>
      <c r="Q2" s="16">
        <f>SUMIFS('Business - Dump'!$G:$G,'Business - Dump'!$B:$B,'Series wise Report'!$A2,'Business - Dump'!$A:$A,'Series wise Report'!Q$1)</f>
        <v>15979</v>
      </c>
      <c r="R2" s="16">
        <f>SUMIFS('Business - Dump'!$G:$G,'Business - Dump'!$B:$B,'Series wise Report'!$A2,'Business - Dump'!$A:$A,'Series wise Report'!R$1)</f>
        <v>7523</v>
      </c>
      <c r="S2" s="16">
        <f>SUMIFS('Business - Dump'!$G:$G,'Business - Dump'!$B:$B,'Series wise Report'!$A2,'Business - Dump'!$A:$A,'Series wise Report'!S$1)</f>
        <v>15825</v>
      </c>
      <c r="T2" s="16">
        <f>SUMIFS('Business - Dump'!$G:$G,'Business - Dump'!$B:$B,'Series wise Report'!$A2,'Business - Dump'!$A:$A,'Series wise Report'!T$1)</f>
        <v>15996</v>
      </c>
    </row>
    <row r="3">
      <c r="A3" s="10" t="s">
        <v>211</v>
      </c>
      <c r="B3" s="10" t="s">
        <v>260</v>
      </c>
      <c r="C3" s="16">
        <f t="shared" si="1"/>
        <v>53740</v>
      </c>
      <c r="D3" s="16">
        <f>SUMIFS('Business - Dump'!$K:$K,'Business - Dump'!$B:$B,'Series wise Report'!$A3,'Business - Dump'!$A:$A,'Series wise Report'!D$1)</f>
        <v>196</v>
      </c>
      <c r="E3" s="16">
        <f>SUMIFS('Business - Dump'!$K:$K,'Business - Dump'!$B:$B,'Series wise Report'!$A3,'Business - Dump'!$A:$A,'Series wise Report'!E$1)</f>
        <v>244</v>
      </c>
      <c r="F3" s="16">
        <f>SUMIFS('Business - Dump'!$K:$K,'Business - Dump'!$B:$B,'Series wise Report'!$A3,'Business - Dump'!$A:$A,'Series wise Report'!F$1)</f>
        <v>468</v>
      </c>
      <c r="G3" s="16">
        <f>SUMIFS('Business - Dump'!$K:$K,'Business - Dump'!$B:$B,'Series wise Report'!$A3,'Business - Dump'!$A:$A,'Series wise Report'!G$1)</f>
        <v>706</v>
      </c>
      <c r="H3" s="16">
        <f>SUMIFS('Business - Dump'!$K:$K,'Business - Dump'!$B:$B,'Series wise Report'!$A3,'Business - Dump'!$A:$A,'Series wise Report'!H$1)</f>
        <v>3536</v>
      </c>
      <c r="I3" s="16">
        <f>SUMIFS('Business - Dump'!$K:$K,'Business - Dump'!$B:$B,'Series wise Report'!$A3,'Business - Dump'!$A:$A,'Series wise Report'!I$1)</f>
        <v>3898</v>
      </c>
      <c r="J3" s="16">
        <f>SUMIFS('Business - Dump'!$K:$K,'Business - Dump'!$B:$B,'Series wise Report'!$A3,'Business - Dump'!$A:$A,'Series wise Report'!J$1)</f>
        <v>2398</v>
      </c>
      <c r="K3" s="16">
        <f>SUMIFS('Business - Dump'!$K:$K,'Business - Dump'!$B:$B,'Series wise Report'!$A3,'Business - Dump'!$A:$A,'Series wise Report'!K$1)</f>
        <v>3265</v>
      </c>
      <c r="L3" s="16">
        <f>SUMIFS('Business - Dump'!$K:$K,'Business - Dump'!$B:$B,'Series wise Report'!$A3,'Business - Dump'!$A:$A,'Series wise Report'!L$1)</f>
        <v>4669</v>
      </c>
      <c r="M3" s="16">
        <f>SUMIFS('Business - Dump'!$K:$K,'Business - Dump'!$B:$B,'Series wise Report'!$A3,'Business - Dump'!$A:$A,'Series wise Report'!M$1)</f>
        <v>3394</v>
      </c>
      <c r="N3" s="16">
        <f>SUMIFS('Business - Dump'!$K:$K,'Business - Dump'!$B:$B,'Series wise Report'!$A3,'Business - Dump'!$A:$A,'Series wise Report'!N$1)</f>
        <v>6066</v>
      </c>
      <c r="O3" s="16">
        <f>SUMIFS('Business - Dump'!$K:$K,'Business - Dump'!$B:$B,'Series wise Report'!$A3,'Business - Dump'!$A:$A,'Series wise Report'!O$1)</f>
        <v>6390</v>
      </c>
      <c r="P3" s="16">
        <f>SUMIFS('Business - Dump'!$K:$K,'Business - Dump'!$B:$B,'Series wise Report'!$A3,'Business - Dump'!$A:$A,'Series wise Report'!P$1)</f>
        <v>18510</v>
      </c>
      <c r="Q3" s="16">
        <f>SUMIFS('Business - Dump'!$K:$K,'Business - Dump'!$B:$B,'Series wise Report'!$A3,'Business - Dump'!$A:$A,'Series wise Report'!Q$1)</f>
        <v>21935</v>
      </c>
      <c r="R3" s="16">
        <f>SUMIFS('Business - Dump'!$K:$K,'Business - Dump'!$B:$B,'Series wise Report'!$A3,'Business - Dump'!$A:$A,'Series wise Report'!R$1)</f>
        <v>11138</v>
      </c>
      <c r="S3" s="16">
        <f>SUMIFS('Business - Dump'!$K:$K,'Business - Dump'!$B:$B,'Series wise Report'!$A3,'Business - Dump'!$A:$A,'Series wise Report'!S$1)</f>
        <v>21704</v>
      </c>
      <c r="T3" s="16">
        <f>SUMIFS('Business - Dump'!$K:$K,'Business - Dump'!$B:$B,'Series wise Report'!$A3,'Business - Dump'!$A:$A,'Series wise Report'!T$1)</f>
        <v>22365</v>
      </c>
    </row>
    <row r="4">
      <c r="A4" s="138" t="s">
        <v>211</v>
      </c>
      <c r="B4" s="138" t="s">
        <v>264</v>
      </c>
      <c r="C4" s="3">
        <f t="shared" si="1"/>
        <v>825</v>
      </c>
      <c r="D4" s="3">
        <f>SUMIFS('Business - Dump'!$Q:$Q,'Business - Dump'!$B:$B,'Series wise Report'!$A4,'Business - Dump'!$A:$A,'Series wise Report'!D$1)</f>
        <v>4</v>
      </c>
      <c r="E4" s="3">
        <f>SUMIFS('Business - Dump'!$Q:$Q,'Business - Dump'!$B:$B,'Series wise Report'!$A4,'Business - Dump'!$A:$A,'Series wise Report'!E$1)</f>
        <v>9</v>
      </c>
      <c r="F4" s="3">
        <f>SUMIFS('Business - Dump'!$Q:$Q,'Business - Dump'!$B:$B,'Series wise Report'!$A4,'Business - Dump'!$A:$A,'Series wise Report'!F$1)</f>
        <v>22</v>
      </c>
      <c r="G4" s="3">
        <f>SUMIFS('Business - Dump'!$Q:$Q,'Business - Dump'!$B:$B,'Series wise Report'!$A4,'Business - Dump'!$A:$A,'Series wise Report'!G$1)</f>
        <v>25</v>
      </c>
      <c r="H4" s="3">
        <f>SUMIFS('Business - Dump'!$Q:$Q,'Business - Dump'!$B:$B,'Series wise Report'!$A4,'Business - Dump'!$A:$A,'Series wise Report'!H$1)</f>
        <v>50</v>
      </c>
      <c r="I4" s="3">
        <f>SUMIFS('Business - Dump'!$Q:$Q,'Business - Dump'!$B:$B,'Series wise Report'!$A4,'Business - Dump'!$A:$A,'Series wise Report'!I$1)</f>
        <v>44</v>
      </c>
      <c r="J4" s="3">
        <f>SUMIFS('Business - Dump'!$Q:$Q,'Business - Dump'!$B:$B,'Series wise Report'!$A4,'Business - Dump'!$A:$A,'Series wise Report'!J$1)</f>
        <v>42</v>
      </c>
      <c r="K4" s="3">
        <f>SUMIFS('Business - Dump'!$Q:$Q,'Business - Dump'!$B:$B,'Series wise Report'!$A4,'Business - Dump'!$A:$A,'Series wise Report'!K$1)</f>
        <v>63</v>
      </c>
      <c r="L4" s="3">
        <f>SUMIFS('Business - Dump'!$Q:$Q,'Business - Dump'!$B:$B,'Series wise Report'!$A4,'Business - Dump'!$A:$A,'Series wise Report'!L$1)</f>
        <v>76</v>
      </c>
      <c r="M4" s="3">
        <f>SUMIFS('Business - Dump'!$Q:$Q,'Business - Dump'!$B:$B,'Series wise Report'!$A4,'Business - Dump'!$A:$A,'Series wise Report'!M$1)</f>
        <v>61</v>
      </c>
      <c r="N4" s="3">
        <f>SUMIFS('Business - Dump'!$Q:$Q,'Business - Dump'!$B:$B,'Series wise Report'!$A4,'Business - Dump'!$A:$A,'Series wise Report'!N$1)</f>
        <v>110</v>
      </c>
      <c r="O4" s="3">
        <f>SUMIFS('Business - Dump'!$Q:$Q,'Business - Dump'!$B:$B,'Series wise Report'!$A4,'Business - Dump'!$A:$A,'Series wise Report'!O$1)</f>
        <v>146</v>
      </c>
      <c r="P4" s="3">
        <f>SUMIFS('Business - Dump'!$Q:$Q,'Business - Dump'!$B:$B,'Series wise Report'!$A4,'Business - Dump'!$A:$A,'Series wise Report'!P$1)</f>
        <v>173</v>
      </c>
      <c r="Q4" s="3">
        <f>SUMIFS('Business - Dump'!$Q:$Q,'Business - Dump'!$B:$B,'Series wise Report'!$A4,'Business - Dump'!$A:$A,'Series wise Report'!Q$1)</f>
        <v>262</v>
      </c>
      <c r="R4" s="3">
        <f>SUMIFS('Business - Dump'!$Q:$Q,'Business - Dump'!$B:$B,'Series wise Report'!$A4,'Business - Dump'!$A:$A,'Series wise Report'!R$1)</f>
        <v>165</v>
      </c>
      <c r="S4" s="3">
        <f>SUMIFS('Business - Dump'!$Q:$Q,'Business - Dump'!$B:$B,'Series wise Report'!$A4,'Business - Dump'!$A:$A,'Series wise Report'!S$1)</f>
        <v>211</v>
      </c>
      <c r="T4" s="3">
        <f>SUMIFS('Business - Dump'!$Q:$Q,'Business - Dump'!$B:$B,'Series wise Report'!$A4,'Business - Dump'!$A:$A,'Series wise Report'!T$1)</f>
        <v>273</v>
      </c>
    </row>
    <row r="5">
      <c r="A5" s="137" t="s">
        <v>211</v>
      </c>
      <c r="B5" s="137" t="s">
        <v>268</v>
      </c>
      <c r="C5" s="141">
        <f t="shared" si="1"/>
        <v>744</v>
      </c>
      <c r="D5" s="141">
        <f>SUMIFS('Business - Dump'!$W:$W,'Business - Dump'!$B:$B,'Series wise Report'!$A5,'Business - Dump'!$A:$A,'Series wise Report'!D$1)</f>
        <v>3</v>
      </c>
      <c r="E5" s="141">
        <f>SUMIFS('Business - Dump'!$W:$W,'Business - Dump'!$B:$B,'Series wise Report'!$A5,'Business - Dump'!$A:$A,'Series wise Report'!E$1)</f>
        <v>9</v>
      </c>
      <c r="F5" s="141">
        <f>SUMIFS('Business - Dump'!$W:$W,'Business - Dump'!$B:$B,'Series wise Report'!$A5,'Business - Dump'!$A:$A,'Series wise Report'!F$1)</f>
        <v>17</v>
      </c>
      <c r="G5" s="141">
        <f>SUMIFS('Business - Dump'!$W:$W,'Business - Dump'!$B:$B,'Series wise Report'!$A5,'Business - Dump'!$A:$A,'Series wise Report'!G$1)</f>
        <v>21</v>
      </c>
      <c r="H5" s="141">
        <f>SUMIFS('Business - Dump'!$W:$W,'Business - Dump'!$B:$B,'Series wise Report'!$A5,'Business - Dump'!$A:$A,'Series wise Report'!H$1)</f>
        <v>44</v>
      </c>
      <c r="I5" s="141">
        <f>SUMIFS('Business - Dump'!$W:$W,'Business - Dump'!$B:$B,'Series wise Report'!$A5,'Business - Dump'!$A:$A,'Series wise Report'!I$1)</f>
        <v>40</v>
      </c>
      <c r="J5" s="141">
        <f>SUMIFS('Business - Dump'!$W:$W,'Business - Dump'!$B:$B,'Series wise Report'!$A5,'Business - Dump'!$A:$A,'Series wise Report'!J$1)</f>
        <v>37</v>
      </c>
      <c r="K5" s="141">
        <f>SUMIFS('Business - Dump'!$W:$W,'Business - Dump'!$B:$B,'Series wise Report'!$A5,'Business - Dump'!$A:$A,'Series wise Report'!K$1)</f>
        <v>60</v>
      </c>
      <c r="L5" s="141">
        <f>SUMIFS('Business - Dump'!$W:$W,'Business - Dump'!$B:$B,'Series wise Report'!$A5,'Business - Dump'!$A:$A,'Series wise Report'!L$1)</f>
        <v>60</v>
      </c>
      <c r="M5" s="141">
        <f>SUMIFS('Business - Dump'!$W:$W,'Business - Dump'!$B:$B,'Series wise Report'!$A5,'Business - Dump'!$A:$A,'Series wise Report'!M$1)</f>
        <v>58</v>
      </c>
      <c r="N5" s="141">
        <f>SUMIFS('Business - Dump'!$W:$W,'Business - Dump'!$B:$B,'Series wise Report'!$A5,'Business - Dump'!$A:$A,'Series wise Report'!N$1)</f>
        <v>102</v>
      </c>
      <c r="O5" s="141">
        <f>SUMIFS('Business - Dump'!$W:$W,'Business - Dump'!$B:$B,'Series wise Report'!$A5,'Business - Dump'!$A:$A,'Series wise Report'!O$1)</f>
        <v>132</v>
      </c>
      <c r="P5" s="141">
        <f>SUMIFS('Business - Dump'!$W:$W,'Business - Dump'!$B:$B,'Series wise Report'!$A5,'Business - Dump'!$A:$A,'Series wise Report'!P$1)</f>
        <v>161</v>
      </c>
      <c r="Q5" s="141">
        <f>SUMIFS('Business - Dump'!$W:$W,'Business - Dump'!$B:$B,'Series wise Report'!$A5,'Business - Dump'!$A:$A,'Series wise Report'!Q$1)</f>
        <v>248</v>
      </c>
      <c r="R5" s="141">
        <f>SUMIFS('Business - Dump'!$W:$W,'Business - Dump'!$B:$B,'Series wise Report'!$A5,'Business - Dump'!$A:$A,'Series wise Report'!R$1)</f>
        <v>149</v>
      </c>
      <c r="S5" s="141">
        <f>SUMIFS('Business - Dump'!$W:$W,'Business - Dump'!$B:$B,'Series wise Report'!$A5,'Business - Dump'!$A:$A,'Series wise Report'!S$1)</f>
        <v>204</v>
      </c>
      <c r="T5" s="141">
        <f>SUMIFS('Business - Dump'!$W:$W,'Business - Dump'!$B:$B,'Series wise Report'!$A5,'Business - Dump'!$A:$A,'Series wise Report'!T$1)</f>
        <v>248</v>
      </c>
    </row>
    <row r="6">
      <c r="A6" s="10" t="s">
        <v>211</v>
      </c>
      <c r="B6" s="10" t="s">
        <v>26</v>
      </c>
      <c r="C6" s="15">
        <f t="shared" si="1"/>
        <v>1412502.26</v>
      </c>
      <c r="D6" s="15">
        <f>SUMIFS('Business - Dump'!$U:$U,'Business - Dump'!$B:$B,'Series wise Report'!$A6,'Business - Dump'!$A:$A,'Series wise Report'!D$1)</f>
        <v>4880</v>
      </c>
      <c r="E6" s="15">
        <f>SUMIFS('Business - Dump'!$U:$U,'Business - Dump'!$B:$B,'Series wise Report'!$A6,'Business - Dump'!$A:$A,'Series wise Report'!E$1)</f>
        <v>10980</v>
      </c>
      <c r="F6" s="15">
        <f>SUMIFS('Business - Dump'!$U:$U,'Business - Dump'!$B:$B,'Series wise Report'!$A6,'Business - Dump'!$A:$A,'Series wise Report'!F$1)</f>
        <v>26418.3</v>
      </c>
      <c r="G6" s="15">
        <f>SUMIFS('Business - Dump'!$U:$U,'Business - Dump'!$B:$B,'Series wise Report'!$A6,'Business - Dump'!$A:$A,'Series wise Report'!G$1)</f>
        <v>25574.4</v>
      </c>
      <c r="H6" s="15">
        <f>SUMIFS('Business - Dump'!$U:$U,'Business - Dump'!$B:$B,'Series wise Report'!$A6,'Business - Dump'!$A:$A,'Series wise Report'!H$1)</f>
        <v>59419.44</v>
      </c>
      <c r="I6" s="15">
        <f>SUMIFS('Business - Dump'!$U:$U,'Business - Dump'!$B:$B,'Series wise Report'!$A6,'Business - Dump'!$A:$A,'Series wise Report'!I$1)</f>
        <v>49028.44</v>
      </c>
      <c r="J6" s="15">
        <f>SUMIFS('Business - Dump'!$U:$U,'Business - Dump'!$B:$B,'Series wise Report'!$A6,'Business - Dump'!$A:$A,'Series wise Report'!J$1)</f>
        <v>58536.99</v>
      </c>
      <c r="K6" s="15">
        <f>SUMIFS('Business - Dump'!$U:$U,'Business - Dump'!$B:$B,'Series wise Report'!$A6,'Business - Dump'!$A:$A,'Series wise Report'!K$1)</f>
        <v>81039</v>
      </c>
      <c r="L6" s="15">
        <f>SUMIFS('Business - Dump'!$U:$U,'Business - Dump'!$B:$B,'Series wise Report'!$A6,'Business - Dump'!$A:$A,'Series wise Report'!L$1)</f>
        <v>127292.11</v>
      </c>
      <c r="M6" s="15">
        <f>SUMIFS('Business - Dump'!$U:$U,'Business - Dump'!$B:$B,'Series wise Report'!$A6,'Business - Dump'!$A:$A,'Series wise Report'!M$1)</f>
        <v>135589</v>
      </c>
      <c r="N6" s="15">
        <f>SUMIFS('Business - Dump'!$U:$U,'Business - Dump'!$B:$B,'Series wise Report'!$A6,'Business - Dump'!$A:$A,'Series wise Report'!N$1)</f>
        <v>230434.58</v>
      </c>
      <c r="O6" s="15">
        <f>SUMIFS('Business - Dump'!$U:$U,'Business - Dump'!$B:$B,'Series wise Report'!$A6,'Business - Dump'!$A:$A,'Series wise Report'!O$1)</f>
        <v>254146</v>
      </c>
      <c r="P6" s="15">
        <f>SUMIFS('Business - Dump'!$U:$U,'Business - Dump'!$B:$B,'Series wise Report'!$A6,'Business - Dump'!$A:$A,'Series wise Report'!P$1)</f>
        <v>349164</v>
      </c>
      <c r="Q6" s="15">
        <f>SUMIFS('Business - Dump'!$U:$U,'Business - Dump'!$B:$B,'Series wise Report'!$A6,'Business - Dump'!$A:$A,'Series wise Report'!Q$1)</f>
        <v>486322</v>
      </c>
      <c r="R6" s="15">
        <f>SUMIFS('Business - Dump'!$U:$U,'Business - Dump'!$B:$B,'Series wise Report'!$A6,'Business - Dump'!$A:$A,'Series wise Report'!R$1)</f>
        <v>254321</v>
      </c>
      <c r="S6" s="15">
        <f>SUMIFS('Business - Dump'!$U:$U,'Business - Dump'!$B:$B,'Series wise Report'!$A6,'Business - Dump'!$A:$A,'Series wise Report'!S$1)</f>
        <v>423709</v>
      </c>
      <c r="T6" s="15">
        <f>SUMIFS('Business - Dump'!$U:$U,'Business - Dump'!$B:$B,'Series wise Report'!$A6,'Business - Dump'!$A:$A,'Series wise Report'!T$1)</f>
        <v>531045</v>
      </c>
    </row>
    <row r="7">
      <c r="A7" s="10" t="s">
        <v>211</v>
      </c>
      <c r="B7" s="10" t="s">
        <v>29</v>
      </c>
      <c r="C7" s="17">
        <f t="shared" ref="C7:T7" si="2">IFERROR(C5/C2,0)</f>
        <v>0.02007555316</v>
      </c>
      <c r="D7" s="17">
        <f t="shared" si="2"/>
        <v>0.02255639098</v>
      </c>
      <c r="E7" s="17">
        <f t="shared" si="2"/>
        <v>0.05421686747</v>
      </c>
      <c r="F7" s="17">
        <f t="shared" si="2"/>
        <v>0.05685618729</v>
      </c>
      <c r="G7" s="17">
        <f t="shared" si="2"/>
        <v>0.04402515723</v>
      </c>
      <c r="H7" s="17">
        <f t="shared" si="2"/>
        <v>0.01782820097</v>
      </c>
      <c r="I7" s="17">
        <f t="shared" si="2"/>
        <v>0.01506024096</v>
      </c>
      <c r="J7" s="17">
        <f t="shared" si="2"/>
        <v>0.0229528536</v>
      </c>
      <c r="K7" s="17">
        <f t="shared" si="2"/>
        <v>0.0272479564</v>
      </c>
      <c r="L7" s="17">
        <f t="shared" si="2"/>
        <v>0.01921229587</v>
      </c>
      <c r="M7" s="17">
        <f t="shared" si="2"/>
        <v>0.02618510158</v>
      </c>
      <c r="N7" s="17">
        <f t="shared" si="2"/>
        <v>0.0249877511</v>
      </c>
      <c r="O7" s="17">
        <f t="shared" si="2"/>
        <v>0.03147353362</v>
      </c>
      <c r="P7" s="17">
        <f t="shared" si="2"/>
        <v>0.01198540907</v>
      </c>
      <c r="Q7" s="17">
        <f t="shared" si="2"/>
        <v>0.01552037049</v>
      </c>
      <c r="R7" s="17">
        <f t="shared" si="2"/>
        <v>0.01980592849</v>
      </c>
      <c r="S7" s="17">
        <f t="shared" si="2"/>
        <v>0.01289099526</v>
      </c>
      <c r="T7" s="17">
        <f t="shared" si="2"/>
        <v>0.01550387597</v>
      </c>
    </row>
    <row r="8">
      <c r="A8" s="10" t="s">
        <v>211</v>
      </c>
      <c r="B8" s="10" t="s">
        <v>282</v>
      </c>
      <c r="C8" s="16">
        <f t="shared" ref="C8:T8" si="3">IFERROR(C6/C5,0)</f>
        <v>1898.524543</v>
      </c>
      <c r="D8" s="16">
        <f t="shared" si="3"/>
        <v>1626.666667</v>
      </c>
      <c r="E8" s="16">
        <f t="shared" si="3"/>
        <v>1220</v>
      </c>
      <c r="F8" s="16">
        <f t="shared" si="3"/>
        <v>1554.017647</v>
      </c>
      <c r="G8" s="16">
        <f t="shared" si="3"/>
        <v>1217.828571</v>
      </c>
      <c r="H8" s="16">
        <f t="shared" si="3"/>
        <v>1350.441818</v>
      </c>
      <c r="I8" s="16">
        <f t="shared" si="3"/>
        <v>1225.711</v>
      </c>
      <c r="J8" s="16">
        <f t="shared" si="3"/>
        <v>1582.080811</v>
      </c>
      <c r="K8" s="16">
        <f t="shared" si="3"/>
        <v>1350.65</v>
      </c>
      <c r="L8" s="16">
        <f t="shared" si="3"/>
        <v>2121.535167</v>
      </c>
      <c r="M8" s="16">
        <f t="shared" si="3"/>
        <v>2337.741379</v>
      </c>
      <c r="N8" s="16">
        <f t="shared" si="3"/>
        <v>2259.162549</v>
      </c>
      <c r="O8" s="16">
        <f t="shared" si="3"/>
        <v>1925.348485</v>
      </c>
      <c r="P8" s="16">
        <f t="shared" si="3"/>
        <v>2168.720497</v>
      </c>
      <c r="Q8" s="16">
        <f t="shared" si="3"/>
        <v>1960.975806</v>
      </c>
      <c r="R8" s="16">
        <f t="shared" si="3"/>
        <v>1706.852349</v>
      </c>
      <c r="S8" s="16">
        <f t="shared" si="3"/>
        <v>2077.004902</v>
      </c>
      <c r="T8" s="16">
        <f t="shared" si="3"/>
        <v>2141.310484</v>
      </c>
    </row>
    <row r="9">
      <c r="A9" s="10" t="s">
        <v>217</v>
      </c>
      <c r="B9" s="10" t="s">
        <v>257</v>
      </c>
      <c r="C9" s="16">
        <f t="shared" ref="C9:C13" si="4">SUM(D9:P9)</f>
        <v>12596</v>
      </c>
      <c r="D9" s="16">
        <f>SUMIFS('Business - Dump'!$G:$G,'Business - Dump'!$B:$B,'Series wise Report'!$A9,'Business - Dump'!$A:$A,'Series wise Report'!D$1)</f>
        <v>302</v>
      </c>
      <c r="E9" s="16">
        <f>SUMIFS('Business - Dump'!$G:$G,'Business - Dump'!$B:$B,'Series wise Report'!$A9,'Business - Dump'!$A:$A,'Series wise Report'!E$1)</f>
        <v>341</v>
      </c>
      <c r="F9" s="16">
        <f>SUMIFS('Business - Dump'!$G:$G,'Business - Dump'!$B:$B,'Series wise Report'!$A9,'Business - Dump'!$A:$A,'Series wise Report'!F$1)</f>
        <v>637</v>
      </c>
      <c r="G9" s="16">
        <f>SUMIFS('Business - Dump'!$G:$G,'Business - Dump'!$B:$B,'Series wise Report'!$A9,'Business - Dump'!$A:$A,'Series wise Report'!G$1)</f>
        <v>724</v>
      </c>
      <c r="H9" s="16">
        <f>SUMIFS('Business - Dump'!$G:$G,'Business - Dump'!$B:$B,'Series wise Report'!$A9,'Business - Dump'!$A:$A,'Series wise Report'!H$1)</f>
        <v>706</v>
      </c>
      <c r="I9" s="16">
        <f>SUMIFS('Business - Dump'!$G:$G,'Business - Dump'!$B:$B,'Series wise Report'!$A9,'Business - Dump'!$A:$A,'Series wise Report'!I$1)</f>
        <v>734</v>
      </c>
      <c r="J9" s="16">
        <f>SUMIFS('Business - Dump'!$G:$G,'Business - Dump'!$B:$B,'Series wise Report'!$A9,'Business - Dump'!$A:$A,'Series wise Report'!J$1)</f>
        <v>433</v>
      </c>
      <c r="K9" s="16">
        <f>SUMIFS('Business - Dump'!$G:$G,'Business - Dump'!$B:$B,'Series wise Report'!$A9,'Business - Dump'!$A:$A,'Series wise Report'!K$1)</f>
        <v>0</v>
      </c>
      <c r="L9" s="16">
        <f>SUMIFS('Business - Dump'!$G:$G,'Business - Dump'!$B:$B,'Series wise Report'!$A9,'Business - Dump'!$A:$A,'Series wise Report'!L$1)</f>
        <v>81</v>
      </c>
      <c r="M9" s="16">
        <f>SUMIFS('Business - Dump'!$G:$G,'Business - Dump'!$B:$B,'Series wise Report'!$A9,'Business - Dump'!$A:$A,'Series wise Report'!M$1)</f>
        <v>1034</v>
      </c>
      <c r="N9" s="16">
        <f>SUMIFS('Business - Dump'!$G:$G,'Business - Dump'!$B:$B,'Series wise Report'!$A9,'Business - Dump'!$A:$A,'Series wise Report'!N$1)</f>
        <v>2601</v>
      </c>
      <c r="O9" s="16">
        <f>SUMIFS('Business - Dump'!$G:$G,'Business - Dump'!$B:$B,'Series wise Report'!$A9,'Business - Dump'!$A:$A,'Series wise Report'!O$1)</f>
        <v>2538</v>
      </c>
      <c r="P9" s="16">
        <f>SUMIFS('Business - Dump'!$G:$G,'Business - Dump'!$B:$B,'Series wise Report'!$A9,'Business - Dump'!$A:$A,'Series wise Report'!P$1)</f>
        <v>2465</v>
      </c>
      <c r="Q9" s="16">
        <f>SUMIFS('Business - Dump'!$G:$G,'Business - Dump'!$B:$B,'Series wise Report'!$A9,'Business - Dump'!$A:$A,'Series wise Report'!Q$1)</f>
        <v>1960</v>
      </c>
      <c r="R9" s="16">
        <f>SUMIFS('Business - Dump'!$G:$G,'Business - Dump'!$B:$B,'Series wise Report'!$A9,'Business - Dump'!$A:$A,'Series wise Report'!R$1)</f>
        <v>1683</v>
      </c>
      <c r="S9" s="16">
        <f>SUMIFS('Business - Dump'!$G:$G,'Business - Dump'!$B:$B,'Series wise Report'!$A9,'Business - Dump'!$A:$A,'Series wise Report'!S$1)</f>
        <v>1525</v>
      </c>
      <c r="T9" s="16">
        <f>SUMIFS('Business - Dump'!$G:$G,'Business - Dump'!$B:$B,'Series wise Report'!$A9,'Business - Dump'!$A:$A,'Series wise Report'!T$1)</f>
        <v>1902</v>
      </c>
    </row>
    <row r="10">
      <c r="A10" s="10" t="s">
        <v>217</v>
      </c>
      <c r="B10" s="10" t="s">
        <v>260</v>
      </c>
      <c r="C10" s="16">
        <f t="shared" si="4"/>
        <v>16736</v>
      </c>
      <c r="D10" s="16">
        <f>SUMIFS('Business - Dump'!$K:$K,'Business - Dump'!$B:$B,'Series wise Report'!$A10,'Business - Dump'!$A:$A,'Series wise Report'!D$1)</f>
        <v>423</v>
      </c>
      <c r="E10" s="16">
        <f>SUMIFS('Business - Dump'!$K:$K,'Business - Dump'!$B:$B,'Series wise Report'!$A10,'Business - Dump'!$A:$A,'Series wise Report'!E$1)</f>
        <v>480</v>
      </c>
      <c r="F10" s="16">
        <f>SUMIFS('Business - Dump'!$K:$K,'Business - Dump'!$B:$B,'Series wise Report'!$A10,'Business - Dump'!$A:$A,'Series wise Report'!F$1)</f>
        <v>865</v>
      </c>
      <c r="G10" s="16">
        <f>SUMIFS('Business - Dump'!$K:$K,'Business - Dump'!$B:$B,'Series wise Report'!$A10,'Business - Dump'!$A:$A,'Series wise Report'!G$1)</f>
        <v>1044</v>
      </c>
      <c r="H10" s="16">
        <f>SUMIFS('Business - Dump'!$K:$K,'Business - Dump'!$B:$B,'Series wise Report'!$A10,'Business - Dump'!$A:$A,'Series wise Report'!H$1)</f>
        <v>965</v>
      </c>
      <c r="I10" s="16">
        <f>SUMIFS('Business - Dump'!$K:$K,'Business - Dump'!$B:$B,'Series wise Report'!$A10,'Business - Dump'!$A:$A,'Series wise Report'!I$1)</f>
        <v>947</v>
      </c>
      <c r="J10" s="16">
        <f>SUMIFS('Business - Dump'!$K:$K,'Business - Dump'!$B:$B,'Series wise Report'!$A10,'Business - Dump'!$A:$A,'Series wise Report'!J$1)</f>
        <v>594</v>
      </c>
      <c r="K10" s="16">
        <f>SUMIFS('Business - Dump'!$K:$K,'Business - Dump'!$B:$B,'Series wise Report'!$A10,'Business - Dump'!$A:$A,'Series wise Report'!K$1)</f>
        <v>0</v>
      </c>
      <c r="L10" s="16">
        <f>SUMIFS('Business - Dump'!$K:$K,'Business - Dump'!$B:$B,'Series wise Report'!$A10,'Business - Dump'!$A:$A,'Series wise Report'!L$1)</f>
        <v>129</v>
      </c>
      <c r="M10" s="16">
        <f>SUMIFS('Business - Dump'!$K:$K,'Business - Dump'!$B:$B,'Series wise Report'!$A10,'Business - Dump'!$A:$A,'Series wise Report'!M$1)</f>
        <v>1299</v>
      </c>
      <c r="N10" s="16">
        <f>SUMIFS('Business - Dump'!$K:$K,'Business - Dump'!$B:$B,'Series wise Report'!$A10,'Business - Dump'!$A:$A,'Series wise Report'!N$1)</f>
        <v>3416</v>
      </c>
      <c r="O10" s="16">
        <f>SUMIFS('Business - Dump'!$K:$K,'Business - Dump'!$B:$B,'Series wise Report'!$A10,'Business - Dump'!$A:$A,'Series wise Report'!O$1)</f>
        <v>3363</v>
      </c>
      <c r="P10" s="16">
        <f>SUMIFS('Business - Dump'!$K:$K,'Business - Dump'!$B:$B,'Series wise Report'!$A10,'Business - Dump'!$A:$A,'Series wise Report'!P$1)</f>
        <v>3211</v>
      </c>
      <c r="Q10" s="16">
        <f>SUMIFS('Business - Dump'!$K:$K,'Business - Dump'!$B:$B,'Series wise Report'!$A10,'Business - Dump'!$A:$A,'Series wise Report'!Q$1)</f>
        <v>2531</v>
      </c>
      <c r="R10" s="16">
        <f>SUMIFS('Business - Dump'!$K:$K,'Business - Dump'!$B:$B,'Series wise Report'!$A10,'Business - Dump'!$A:$A,'Series wise Report'!R$1)</f>
        <v>2201</v>
      </c>
      <c r="S10" s="16">
        <f>SUMIFS('Business - Dump'!$K:$K,'Business - Dump'!$B:$B,'Series wise Report'!$A10,'Business - Dump'!$A:$A,'Series wise Report'!S$1)</f>
        <v>1939</v>
      </c>
      <c r="T10" s="16">
        <f>SUMIFS('Business - Dump'!$K:$K,'Business - Dump'!$B:$B,'Series wise Report'!$A10,'Business - Dump'!$A:$A,'Series wise Report'!T$1)</f>
        <v>2496</v>
      </c>
    </row>
    <row r="11">
      <c r="A11" s="138" t="s">
        <v>217</v>
      </c>
      <c r="B11" s="138" t="s">
        <v>264</v>
      </c>
      <c r="C11" s="3">
        <f t="shared" si="4"/>
        <v>202</v>
      </c>
      <c r="D11" s="3">
        <f>SUMIFS('Business - Dump'!$Q:$Q,'Business - Dump'!$B:$B,'Series wise Report'!$A11,'Business - Dump'!$A:$A,'Series wise Report'!D$1)</f>
        <v>9</v>
      </c>
      <c r="E11" s="3">
        <f>SUMIFS('Business - Dump'!$Q:$Q,'Business - Dump'!$B:$B,'Series wise Report'!$A11,'Business - Dump'!$A:$A,'Series wise Report'!E$1)</f>
        <v>6</v>
      </c>
      <c r="F11" s="3">
        <f>SUMIFS('Business - Dump'!$Q:$Q,'Business - Dump'!$B:$B,'Series wise Report'!$A11,'Business - Dump'!$A:$A,'Series wise Report'!F$1)</f>
        <v>8</v>
      </c>
      <c r="G11" s="3">
        <f>SUMIFS('Business - Dump'!$Q:$Q,'Business - Dump'!$B:$B,'Series wise Report'!$A11,'Business - Dump'!$A:$A,'Series wise Report'!G$1)</f>
        <v>22</v>
      </c>
      <c r="H11" s="3">
        <f>SUMIFS('Business - Dump'!$Q:$Q,'Business - Dump'!$B:$B,'Series wise Report'!$A11,'Business - Dump'!$A:$A,'Series wise Report'!H$1)</f>
        <v>30</v>
      </c>
      <c r="I11" s="3">
        <f>SUMIFS('Business - Dump'!$Q:$Q,'Business - Dump'!$B:$B,'Series wise Report'!$A11,'Business - Dump'!$A:$A,'Series wise Report'!I$1)</f>
        <v>16</v>
      </c>
      <c r="J11" s="3">
        <f>SUMIFS('Business - Dump'!$Q:$Q,'Business - Dump'!$B:$B,'Series wise Report'!$A11,'Business - Dump'!$A:$A,'Series wise Report'!J$1)</f>
        <v>24</v>
      </c>
      <c r="K11" s="3">
        <f>SUMIFS('Business - Dump'!$Q:$Q,'Business - Dump'!$B:$B,'Series wise Report'!$A11,'Business - Dump'!$A:$A,'Series wise Report'!K$1)</f>
        <v>0</v>
      </c>
      <c r="L11" s="3">
        <f>SUMIFS('Business - Dump'!$Q:$Q,'Business - Dump'!$B:$B,'Series wise Report'!$A11,'Business - Dump'!$A:$A,'Series wise Report'!L$1)</f>
        <v>2</v>
      </c>
      <c r="M11" s="3">
        <f>SUMIFS('Business - Dump'!$Q:$Q,'Business - Dump'!$B:$B,'Series wise Report'!$A11,'Business - Dump'!$A:$A,'Series wise Report'!M$1)</f>
        <v>13</v>
      </c>
      <c r="N11" s="3">
        <f>SUMIFS('Business - Dump'!$Q:$Q,'Business - Dump'!$B:$B,'Series wise Report'!$A11,'Business - Dump'!$A:$A,'Series wise Report'!N$1)</f>
        <v>26</v>
      </c>
      <c r="O11" s="3">
        <f>SUMIFS('Business - Dump'!$Q:$Q,'Business - Dump'!$B:$B,'Series wise Report'!$A11,'Business - Dump'!$A:$A,'Series wise Report'!O$1)</f>
        <v>26</v>
      </c>
      <c r="P11" s="3">
        <f>SUMIFS('Business - Dump'!$Q:$Q,'Business - Dump'!$B:$B,'Series wise Report'!$A11,'Business - Dump'!$A:$A,'Series wise Report'!P$1)</f>
        <v>20</v>
      </c>
      <c r="Q11" s="3">
        <f>SUMIFS('Business - Dump'!$Q:$Q,'Business - Dump'!$B:$B,'Series wise Report'!$A11,'Business - Dump'!$A:$A,'Series wise Report'!Q$1)</f>
        <v>29</v>
      </c>
      <c r="R11" s="3">
        <f>SUMIFS('Business - Dump'!$Q:$Q,'Business - Dump'!$B:$B,'Series wise Report'!$A11,'Business - Dump'!$A:$A,'Series wise Report'!R$1)</f>
        <v>23</v>
      </c>
      <c r="S11" s="3">
        <f>SUMIFS('Business - Dump'!$Q:$Q,'Business - Dump'!$B:$B,'Series wise Report'!$A11,'Business - Dump'!$A:$A,'Series wise Report'!S$1)</f>
        <v>21</v>
      </c>
      <c r="T11" s="3">
        <f>SUMIFS('Business - Dump'!$Q:$Q,'Business - Dump'!$B:$B,'Series wise Report'!$A11,'Business - Dump'!$A:$A,'Series wise Report'!T$1)</f>
        <v>29</v>
      </c>
    </row>
    <row r="12">
      <c r="A12" s="137" t="s">
        <v>217</v>
      </c>
      <c r="B12" s="137" t="s">
        <v>268</v>
      </c>
      <c r="C12" s="141">
        <f t="shared" si="4"/>
        <v>174</v>
      </c>
      <c r="D12" s="141">
        <f>SUMIFS('Business - Dump'!$W:$W,'Business - Dump'!$B:$B,'Series wise Report'!$A12,'Business - Dump'!$A:$A,'Series wise Report'!D$1)</f>
        <v>8</v>
      </c>
      <c r="E12" s="141">
        <f>SUMIFS('Business - Dump'!$W:$W,'Business - Dump'!$B:$B,'Series wise Report'!$A12,'Business - Dump'!$A:$A,'Series wise Report'!E$1)</f>
        <v>4</v>
      </c>
      <c r="F12" s="141">
        <f>SUMIFS('Business - Dump'!$W:$W,'Business - Dump'!$B:$B,'Series wise Report'!$A12,'Business - Dump'!$A:$A,'Series wise Report'!F$1)</f>
        <v>7</v>
      </c>
      <c r="G12" s="141">
        <f>SUMIFS('Business - Dump'!$W:$W,'Business - Dump'!$B:$B,'Series wise Report'!$A12,'Business - Dump'!$A:$A,'Series wise Report'!G$1)</f>
        <v>22</v>
      </c>
      <c r="H12" s="141">
        <f>SUMIFS('Business - Dump'!$W:$W,'Business - Dump'!$B:$B,'Series wise Report'!$A12,'Business - Dump'!$A:$A,'Series wise Report'!H$1)</f>
        <v>19</v>
      </c>
      <c r="I12" s="141">
        <f>SUMIFS('Business - Dump'!$W:$W,'Business - Dump'!$B:$B,'Series wise Report'!$A12,'Business - Dump'!$A:$A,'Series wise Report'!I$1)</f>
        <v>15</v>
      </c>
      <c r="J12" s="141">
        <f>SUMIFS('Business - Dump'!$W:$W,'Business - Dump'!$B:$B,'Series wise Report'!$A12,'Business - Dump'!$A:$A,'Series wise Report'!J$1)</f>
        <v>18</v>
      </c>
      <c r="K12" s="141">
        <f>SUMIFS('Business - Dump'!$W:$W,'Business - Dump'!$B:$B,'Series wise Report'!$A12,'Business - Dump'!$A:$A,'Series wise Report'!K$1)</f>
        <v>0</v>
      </c>
      <c r="L12" s="141">
        <f>SUMIFS('Business - Dump'!$W:$W,'Business - Dump'!$B:$B,'Series wise Report'!$A12,'Business - Dump'!$A:$A,'Series wise Report'!L$1)</f>
        <v>2</v>
      </c>
      <c r="M12" s="141">
        <f>SUMIFS('Business - Dump'!$W:$W,'Business - Dump'!$B:$B,'Series wise Report'!$A12,'Business - Dump'!$A:$A,'Series wise Report'!M$1)</f>
        <v>12</v>
      </c>
      <c r="N12" s="141">
        <f>SUMIFS('Business - Dump'!$W:$W,'Business - Dump'!$B:$B,'Series wise Report'!$A12,'Business - Dump'!$A:$A,'Series wise Report'!N$1)</f>
        <v>25</v>
      </c>
      <c r="O12" s="141">
        <f>SUMIFS('Business - Dump'!$W:$W,'Business - Dump'!$B:$B,'Series wise Report'!$A12,'Business - Dump'!$A:$A,'Series wise Report'!O$1)</f>
        <v>23</v>
      </c>
      <c r="P12" s="141">
        <f>SUMIFS('Business - Dump'!$W:$W,'Business - Dump'!$B:$B,'Series wise Report'!$A12,'Business - Dump'!$A:$A,'Series wise Report'!P$1)</f>
        <v>19</v>
      </c>
      <c r="Q12" s="141">
        <f>SUMIFS('Business - Dump'!$W:$W,'Business - Dump'!$B:$B,'Series wise Report'!$A12,'Business - Dump'!$A:$A,'Series wise Report'!Q$1)</f>
        <v>27</v>
      </c>
      <c r="R12" s="141">
        <f>SUMIFS('Business - Dump'!$W:$W,'Business - Dump'!$B:$B,'Series wise Report'!$A12,'Business - Dump'!$A:$A,'Series wise Report'!R$1)</f>
        <v>22</v>
      </c>
      <c r="S12" s="141">
        <f>SUMIFS('Business - Dump'!$W:$W,'Business - Dump'!$B:$B,'Series wise Report'!$A12,'Business - Dump'!$A:$A,'Series wise Report'!S$1)</f>
        <v>20</v>
      </c>
      <c r="T12" s="141">
        <f>SUMIFS('Business - Dump'!$W:$W,'Business - Dump'!$B:$B,'Series wise Report'!$A12,'Business - Dump'!$A:$A,'Series wise Report'!T$1)</f>
        <v>21</v>
      </c>
    </row>
    <row r="13">
      <c r="A13" s="10" t="s">
        <v>217</v>
      </c>
      <c r="B13" s="10" t="s">
        <v>26</v>
      </c>
      <c r="C13" s="15">
        <f t="shared" si="4"/>
        <v>258487.57</v>
      </c>
      <c r="D13" s="15">
        <f>SUMIFS('Business - Dump'!$U:$U,'Business - Dump'!$B:$B,'Series wise Report'!$A13,'Business - Dump'!$A:$A,'Series wise Report'!D$1)</f>
        <v>9350</v>
      </c>
      <c r="E13" s="15">
        <f>SUMIFS('Business - Dump'!$U:$U,'Business - Dump'!$B:$B,'Series wise Report'!$A13,'Business - Dump'!$A:$A,'Series wise Report'!E$1)</f>
        <v>5300</v>
      </c>
      <c r="F13" s="15">
        <f>SUMIFS('Business - Dump'!$U:$U,'Business - Dump'!$B:$B,'Series wise Report'!$A13,'Business - Dump'!$A:$A,'Series wise Report'!F$1)</f>
        <v>14913</v>
      </c>
      <c r="G13" s="15">
        <f>SUMIFS('Business - Dump'!$U:$U,'Business - Dump'!$B:$B,'Series wise Report'!$A13,'Business - Dump'!$A:$A,'Series wise Report'!G$1)</f>
        <v>26496</v>
      </c>
      <c r="H13" s="15">
        <f>SUMIFS('Business - Dump'!$U:$U,'Business - Dump'!$B:$B,'Series wise Report'!$A13,'Business - Dump'!$A:$A,'Series wise Report'!H$1)</f>
        <v>54390.57</v>
      </c>
      <c r="I13" s="15">
        <f>SUMIFS('Business - Dump'!$U:$U,'Business - Dump'!$B:$B,'Series wise Report'!$A13,'Business - Dump'!$A:$A,'Series wise Report'!I$1)</f>
        <v>16999</v>
      </c>
      <c r="J13" s="15">
        <f>SUMIFS('Business - Dump'!$U:$U,'Business - Dump'!$B:$B,'Series wise Report'!$A13,'Business - Dump'!$A:$A,'Series wise Report'!J$1)</f>
        <v>24425</v>
      </c>
      <c r="K13" s="15">
        <f>SUMIFS('Business - Dump'!$U:$U,'Business - Dump'!$B:$B,'Series wise Report'!$A13,'Business - Dump'!$A:$A,'Series wise Report'!K$1)</f>
        <v>0</v>
      </c>
      <c r="L13" s="15">
        <f>SUMIFS('Business - Dump'!$U:$U,'Business - Dump'!$B:$B,'Series wise Report'!$A13,'Business - Dump'!$A:$A,'Series wise Report'!L$1)</f>
        <v>2998</v>
      </c>
      <c r="M13" s="15">
        <f>SUMIFS('Business - Dump'!$U:$U,'Business - Dump'!$B:$B,'Series wise Report'!$A13,'Business - Dump'!$A:$A,'Series wise Report'!M$1)</f>
        <v>13987</v>
      </c>
      <c r="N13" s="15">
        <f>SUMIFS('Business - Dump'!$U:$U,'Business - Dump'!$B:$B,'Series wise Report'!$A13,'Business - Dump'!$A:$A,'Series wise Report'!N$1)</f>
        <v>29474</v>
      </c>
      <c r="O13" s="15">
        <f>SUMIFS('Business - Dump'!$U:$U,'Business - Dump'!$B:$B,'Series wise Report'!$A13,'Business - Dump'!$A:$A,'Series wise Report'!O$1)</f>
        <v>38474</v>
      </c>
      <c r="P13" s="15">
        <f>SUMIFS('Business - Dump'!$U:$U,'Business - Dump'!$B:$B,'Series wise Report'!$A13,'Business - Dump'!$A:$A,'Series wise Report'!P$1)</f>
        <v>21681</v>
      </c>
      <c r="Q13" s="15">
        <f>SUMIFS('Business - Dump'!$U:$U,'Business - Dump'!$B:$B,'Series wise Report'!$A13,'Business - Dump'!$A:$A,'Series wise Report'!Q$1)</f>
        <v>34471</v>
      </c>
      <c r="R13" s="15">
        <f>SUMIFS('Business - Dump'!$U:$U,'Business - Dump'!$B:$B,'Series wise Report'!$A13,'Business - Dump'!$A:$A,'Series wise Report'!R$1)</f>
        <v>24477</v>
      </c>
      <c r="S13" s="15">
        <f>SUMIFS('Business - Dump'!$U:$U,'Business - Dump'!$B:$B,'Series wise Report'!$A13,'Business - Dump'!$A:$A,'Series wise Report'!S$1)</f>
        <v>23979</v>
      </c>
      <c r="T13" s="15">
        <f>SUMIFS('Business - Dump'!$U:$U,'Business - Dump'!$B:$B,'Series wise Report'!$A13,'Business - Dump'!$A:$A,'Series wise Report'!T$1)</f>
        <v>31971</v>
      </c>
    </row>
    <row r="14">
      <c r="A14" s="10" t="s">
        <v>217</v>
      </c>
      <c r="B14" s="10" t="s">
        <v>29</v>
      </c>
      <c r="C14" s="17">
        <f t="shared" ref="C14:T14" si="5">IFERROR(C12/C9,0)</f>
        <v>0.01381390918</v>
      </c>
      <c r="D14" s="17">
        <f t="shared" si="5"/>
        <v>0.02649006623</v>
      </c>
      <c r="E14" s="17">
        <f t="shared" si="5"/>
        <v>0.01173020528</v>
      </c>
      <c r="F14" s="17">
        <f t="shared" si="5"/>
        <v>0.01098901099</v>
      </c>
      <c r="G14" s="17">
        <f t="shared" si="5"/>
        <v>0.03038674033</v>
      </c>
      <c r="H14" s="17">
        <f t="shared" si="5"/>
        <v>0.0269121813</v>
      </c>
      <c r="I14" s="17">
        <f t="shared" si="5"/>
        <v>0.0204359673</v>
      </c>
      <c r="J14" s="17">
        <f t="shared" si="5"/>
        <v>0.0415704388</v>
      </c>
      <c r="K14" s="17">
        <f t="shared" si="5"/>
        <v>0</v>
      </c>
      <c r="L14" s="17">
        <f t="shared" si="5"/>
        <v>0.02469135802</v>
      </c>
      <c r="M14" s="17">
        <f t="shared" si="5"/>
        <v>0.01160541586</v>
      </c>
      <c r="N14" s="17">
        <f t="shared" si="5"/>
        <v>0.009611687812</v>
      </c>
      <c r="O14" s="17">
        <f t="shared" si="5"/>
        <v>0.009062253743</v>
      </c>
      <c r="P14" s="17">
        <f t="shared" si="5"/>
        <v>0.007707910751</v>
      </c>
      <c r="Q14" s="17">
        <f t="shared" si="5"/>
        <v>0.0137755102</v>
      </c>
      <c r="R14" s="17">
        <f t="shared" si="5"/>
        <v>0.01307189542</v>
      </c>
      <c r="S14" s="17">
        <f t="shared" si="5"/>
        <v>0.0131147541</v>
      </c>
      <c r="T14" s="17">
        <f t="shared" si="5"/>
        <v>0.01104100946</v>
      </c>
    </row>
    <row r="15">
      <c r="A15" s="10" t="s">
        <v>217</v>
      </c>
      <c r="B15" s="10" t="s">
        <v>282</v>
      </c>
      <c r="C15" s="16">
        <f t="shared" ref="C15:T15" si="6">IFERROR(C13/C12,0)</f>
        <v>1485.560747</v>
      </c>
      <c r="D15" s="16">
        <f t="shared" si="6"/>
        <v>1168.75</v>
      </c>
      <c r="E15" s="16">
        <f t="shared" si="6"/>
        <v>1325</v>
      </c>
      <c r="F15" s="16">
        <f t="shared" si="6"/>
        <v>2130.428571</v>
      </c>
      <c r="G15" s="16">
        <f t="shared" si="6"/>
        <v>1204.363636</v>
      </c>
      <c r="H15" s="16">
        <f t="shared" si="6"/>
        <v>2862.661579</v>
      </c>
      <c r="I15" s="16">
        <f t="shared" si="6"/>
        <v>1133.266667</v>
      </c>
      <c r="J15" s="16">
        <f t="shared" si="6"/>
        <v>1356.944444</v>
      </c>
      <c r="K15" s="16">
        <f t="shared" si="6"/>
        <v>0</v>
      </c>
      <c r="L15" s="16">
        <f t="shared" si="6"/>
        <v>1499</v>
      </c>
      <c r="M15" s="16">
        <f t="shared" si="6"/>
        <v>1165.583333</v>
      </c>
      <c r="N15" s="16">
        <f t="shared" si="6"/>
        <v>1178.96</v>
      </c>
      <c r="O15" s="16">
        <f t="shared" si="6"/>
        <v>1672.782609</v>
      </c>
      <c r="P15" s="16">
        <f t="shared" si="6"/>
        <v>1141.105263</v>
      </c>
      <c r="Q15" s="16">
        <f t="shared" si="6"/>
        <v>1276.703704</v>
      </c>
      <c r="R15" s="16">
        <f t="shared" si="6"/>
        <v>1112.590909</v>
      </c>
      <c r="S15" s="16">
        <f t="shared" si="6"/>
        <v>1198.95</v>
      </c>
      <c r="T15" s="16">
        <f t="shared" si="6"/>
        <v>1522.428571</v>
      </c>
    </row>
    <row r="16">
      <c r="A16" s="10" t="s">
        <v>241</v>
      </c>
      <c r="B16" s="10" t="s">
        <v>257</v>
      </c>
      <c r="C16" s="16">
        <f t="shared" ref="C16:C20" si="7">SUM(D16:P16)</f>
        <v>4381</v>
      </c>
      <c r="D16" s="16">
        <f>SUMIFS('Business - Dump'!$G:$G,'Business - Dump'!$B:$B,'Series wise Report'!$A16,'Business - Dump'!$A:$A,'Series wise Report'!D$1)</f>
        <v>0</v>
      </c>
      <c r="E16" s="16">
        <f>SUMIFS('Business - Dump'!$G:$G,'Business - Dump'!$B:$B,'Series wise Report'!$A16,'Business - Dump'!$A:$A,'Series wise Report'!E$1)</f>
        <v>95</v>
      </c>
      <c r="F16" s="16">
        <f>SUMIFS('Business - Dump'!$G:$G,'Business - Dump'!$B:$B,'Series wise Report'!$A16,'Business - Dump'!$A:$A,'Series wise Report'!F$1)</f>
        <v>0</v>
      </c>
      <c r="G16" s="16">
        <f>SUMIFS('Business - Dump'!$G:$G,'Business - Dump'!$B:$B,'Series wise Report'!$A16,'Business - Dump'!$A:$A,'Series wise Report'!G$1)</f>
        <v>71</v>
      </c>
      <c r="H16" s="16">
        <f>SUMIFS('Business - Dump'!$G:$G,'Business - Dump'!$B:$B,'Series wise Report'!$A16,'Business - Dump'!$A:$A,'Series wise Report'!H$1)</f>
        <v>187</v>
      </c>
      <c r="I16" s="16">
        <f>SUMIFS('Business - Dump'!$G:$G,'Business - Dump'!$B:$B,'Series wise Report'!$A16,'Business - Dump'!$A:$A,'Series wise Report'!I$1)</f>
        <v>298</v>
      </c>
      <c r="J16" s="16">
        <f>SUMIFS('Business - Dump'!$G:$G,'Business - Dump'!$B:$B,'Series wise Report'!$A16,'Business - Dump'!$A:$A,'Series wise Report'!J$1)</f>
        <v>295</v>
      </c>
      <c r="K16" s="16">
        <f>SUMIFS('Business - Dump'!$G:$G,'Business - Dump'!$B:$B,'Series wise Report'!$A16,'Business - Dump'!$A:$A,'Series wise Report'!K$1)</f>
        <v>690</v>
      </c>
      <c r="L16" s="16">
        <f>SUMIFS('Business - Dump'!$G:$G,'Business - Dump'!$B:$B,'Series wise Report'!$A16,'Business - Dump'!$A:$A,'Series wise Report'!L$1)</f>
        <v>724</v>
      </c>
      <c r="M16" s="16">
        <f>SUMIFS('Business - Dump'!$G:$G,'Business - Dump'!$B:$B,'Series wise Report'!$A16,'Business - Dump'!$A:$A,'Series wise Report'!M$1)</f>
        <v>680</v>
      </c>
      <c r="N16" s="16">
        <f>SUMIFS('Business - Dump'!$G:$G,'Business - Dump'!$B:$B,'Series wise Report'!$A16,'Business - Dump'!$A:$A,'Series wise Report'!N$1)</f>
        <v>291</v>
      </c>
      <c r="O16" s="16">
        <f>SUMIFS('Business - Dump'!$G:$G,'Business - Dump'!$B:$B,'Series wise Report'!$A16,'Business - Dump'!$A:$A,'Series wise Report'!O$1)</f>
        <v>471</v>
      </c>
      <c r="P16" s="16">
        <f>SUMIFS('Business - Dump'!$G:$G,'Business - Dump'!$B:$B,'Series wise Report'!$A16,'Business - Dump'!$A:$A,'Series wise Report'!P$1)</f>
        <v>579</v>
      </c>
      <c r="Q16" s="16">
        <f>SUMIFS('Business - Dump'!$G:$G,'Business - Dump'!$B:$B,'Series wise Report'!$A16,'Business - Dump'!$A:$A,'Series wise Report'!Q$1)</f>
        <v>348</v>
      </c>
      <c r="R16" s="16">
        <f>SUMIFS('Business - Dump'!$G:$G,'Business - Dump'!$B:$B,'Series wise Report'!$A16,'Business - Dump'!$A:$A,'Series wise Report'!R$1)</f>
        <v>271</v>
      </c>
      <c r="S16" s="16">
        <f>SUMIFS('Business - Dump'!$G:$G,'Business - Dump'!$B:$B,'Series wise Report'!$A16,'Business - Dump'!$A:$A,'Series wise Report'!S$1)</f>
        <v>286</v>
      </c>
      <c r="T16" s="16">
        <f>SUMIFS('Business - Dump'!$G:$G,'Business - Dump'!$B:$B,'Series wise Report'!$A16,'Business - Dump'!$A:$A,'Series wise Report'!T$1)</f>
        <v>884</v>
      </c>
    </row>
    <row r="17">
      <c r="A17" s="10" t="s">
        <v>241</v>
      </c>
      <c r="B17" s="10" t="s">
        <v>260</v>
      </c>
      <c r="C17" s="16">
        <f t="shared" si="7"/>
        <v>5361</v>
      </c>
      <c r="D17" s="16">
        <f>SUMIFS('Business - Dump'!$K:$K,'Business - Dump'!$B:$B,'Series wise Report'!$A17,'Business - Dump'!$A:$A,'Series wise Report'!D$1)</f>
        <v>0</v>
      </c>
      <c r="E17" s="16">
        <f>SUMIFS('Business - Dump'!$K:$K,'Business - Dump'!$B:$B,'Series wise Report'!$A17,'Business - Dump'!$A:$A,'Series wise Report'!E$1)</f>
        <v>135</v>
      </c>
      <c r="F17" s="16">
        <f>SUMIFS('Business - Dump'!$K:$K,'Business - Dump'!$B:$B,'Series wise Report'!$A17,'Business - Dump'!$A:$A,'Series wise Report'!F$1)</f>
        <v>0</v>
      </c>
      <c r="G17" s="16">
        <f>SUMIFS('Business - Dump'!$K:$K,'Business - Dump'!$B:$B,'Series wise Report'!$A17,'Business - Dump'!$A:$A,'Series wise Report'!G$1)</f>
        <v>84</v>
      </c>
      <c r="H17" s="16">
        <f>SUMIFS('Business - Dump'!$K:$K,'Business - Dump'!$B:$B,'Series wise Report'!$A17,'Business - Dump'!$A:$A,'Series wise Report'!H$1)</f>
        <v>229</v>
      </c>
      <c r="I17" s="16">
        <f>SUMIFS('Business - Dump'!$K:$K,'Business - Dump'!$B:$B,'Series wise Report'!$A17,'Business - Dump'!$A:$A,'Series wise Report'!I$1)</f>
        <v>362</v>
      </c>
      <c r="J17" s="16">
        <f>SUMIFS('Business - Dump'!$K:$K,'Business - Dump'!$B:$B,'Series wise Report'!$A17,'Business - Dump'!$A:$A,'Series wise Report'!J$1)</f>
        <v>378</v>
      </c>
      <c r="K17" s="16">
        <f>SUMIFS('Business - Dump'!$K:$K,'Business - Dump'!$B:$B,'Series wise Report'!$A17,'Business - Dump'!$A:$A,'Series wise Report'!K$1)</f>
        <v>790</v>
      </c>
      <c r="L17" s="16">
        <f>SUMIFS('Business - Dump'!$K:$K,'Business - Dump'!$B:$B,'Series wise Report'!$A17,'Business - Dump'!$A:$A,'Series wise Report'!L$1)</f>
        <v>872</v>
      </c>
      <c r="M17" s="16">
        <f>SUMIFS('Business - Dump'!$K:$K,'Business - Dump'!$B:$B,'Series wise Report'!$A17,'Business - Dump'!$A:$A,'Series wise Report'!M$1)</f>
        <v>875</v>
      </c>
      <c r="N17" s="16">
        <f>SUMIFS('Business - Dump'!$K:$K,'Business - Dump'!$B:$B,'Series wise Report'!$A17,'Business - Dump'!$A:$A,'Series wise Report'!N$1)</f>
        <v>370</v>
      </c>
      <c r="O17" s="16">
        <f>SUMIFS('Business - Dump'!$K:$K,'Business - Dump'!$B:$B,'Series wise Report'!$A17,'Business - Dump'!$A:$A,'Series wise Report'!O$1)</f>
        <v>573</v>
      </c>
      <c r="P17" s="16">
        <f>SUMIFS('Business - Dump'!$K:$K,'Business - Dump'!$B:$B,'Series wise Report'!$A17,'Business - Dump'!$A:$A,'Series wise Report'!P$1)</f>
        <v>693</v>
      </c>
      <c r="Q17" s="16">
        <f>SUMIFS('Business - Dump'!$K:$K,'Business - Dump'!$B:$B,'Series wise Report'!$A17,'Business - Dump'!$A:$A,'Series wise Report'!Q$1)</f>
        <v>431</v>
      </c>
      <c r="R17" s="16">
        <f>SUMIFS('Business - Dump'!$K:$K,'Business - Dump'!$B:$B,'Series wise Report'!$A17,'Business - Dump'!$A:$A,'Series wise Report'!R$1)</f>
        <v>342</v>
      </c>
      <c r="S17" s="16">
        <f>SUMIFS('Business - Dump'!$K:$K,'Business - Dump'!$B:$B,'Series wise Report'!$A17,'Business - Dump'!$A:$A,'Series wise Report'!S$1)</f>
        <v>353</v>
      </c>
      <c r="T17" s="16">
        <f>SUMIFS('Business - Dump'!$K:$K,'Business - Dump'!$B:$B,'Series wise Report'!$A17,'Business - Dump'!$A:$A,'Series wise Report'!T$1)</f>
        <v>1111</v>
      </c>
    </row>
    <row r="18">
      <c r="A18" s="138" t="s">
        <v>241</v>
      </c>
      <c r="B18" s="138" t="s">
        <v>264</v>
      </c>
      <c r="C18" s="3">
        <f t="shared" si="7"/>
        <v>40</v>
      </c>
      <c r="D18" s="3">
        <f>SUMIFS('Business - Dump'!$Q:$Q,'Business - Dump'!$B:$B,'Series wise Report'!$A18,'Business - Dump'!$A:$A,'Series wise Report'!D$1)</f>
        <v>0</v>
      </c>
      <c r="E18" s="3">
        <f>SUMIFS('Business - Dump'!$Q:$Q,'Business - Dump'!$B:$B,'Series wise Report'!$A18,'Business - Dump'!$A:$A,'Series wise Report'!E$1)</f>
        <v>4</v>
      </c>
      <c r="F18" s="3">
        <f>SUMIFS('Business - Dump'!$Q:$Q,'Business - Dump'!$B:$B,'Series wise Report'!$A18,'Business - Dump'!$A:$A,'Series wise Report'!F$1)</f>
        <v>0</v>
      </c>
      <c r="G18" s="3">
        <f>SUMIFS('Business - Dump'!$Q:$Q,'Business - Dump'!$B:$B,'Series wise Report'!$A18,'Business - Dump'!$A:$A,'Series wise Report'!G$1)</f>
        <v>1</v>
      </c>
      <c r="H18" s="3">
        <f>SUMIFS('Business - Dump'!$Q:$Q,'Business - Dump'!$B:$B,'Series wise Report'!$A18,'Business - Dump'!$A:$A,'Series wise Report'!H$1)</f>
        <v>3</v>
      </c>
      <c r="I18" s="3">
        <f>SUMIFS('Business - Dump'!$Q:$Q,'Business - Dump'!$B:$B,'Series wise Report'!$A18,'Business - Dump'!$A:$A,'Series wise Report'!I$1)</f>
        <v>3</v>
      </c>
      <c r="J18" s="3">
        <f>SUMIFS('Business - Dump'!$Q:$Q,'Business - Dump'!$B:$B,'Series wise Report'!$A18,'Business - Dump'!$A:$A,'Series wise Report'!J$1)</f>
        <v>5</v>
      </c>
      <c r="K18" s="3">
        <f>SUMIFS('Business - Dump'!$Q:$Q,'Business - Dump'!$B:$B,'Series wise Report'!$A18,'Business - Dump'!$A:$A,'Series wise Report'!K$1)</f>
        <v>4</v>
      </c>
      <c r="L18" s="3">
        <f>SUMIFS('Business - Dump'!$Q:$Q,'Business - Dump'!$B:$B,'Series wise Report'!$A18,'Business - Dump'!$A:$A,'Series wise Report'!L$1)</f>
        <v>5</v>
      </c>
      <c r="M18" s="3">
        <f>SUMIFS('Business - Dump'!$Q:$Q,'Business - Dump'!$B:$B,'Series wise Report'!$A18,'Business - Dump'!$A:$A,'Series wise Report'!M$1)</f>
        <v>8</v>
      </c>
      <c r="N18" s="3">
        <f>SUMIFS('Business - Dump'!$Q:$Q,'Business - Dump'!$B:$B,'Series wise Report'!$A18,'Business - Dump'!$A:$A,'Series wise Report'!N$1)</f>
        <v>1</v>
      </c>
      <c r="O18" s="3">
        <f>SUMIFS('Business - Dump'!$Q:$Q,'Business - Dump'!$B:$B,'Series wise Report'!$A18,'Business - Dump'!$A:$A,'Series wise Report'!O$1)</f>
        <v>1</v>
      </c>
      <c r="P18" s="3">
        <f>SUMIFS('Business - Dump'!$Q:$Q,'Business - Dump'!$B:$B,'Series wise Report'!$A18,'Business - Dump'!$A:$A,'Series wise Report'!P$1)</f>
        <v>5</v>
      </c>
      <c r="Q18" s="3">
        <f>SUMIFS('Business - Dump'!$Q:$Q,'Business - Dump'!$B:$B,'Series wise Report'!$A18,'Business - Dump'!$A:$A,'Series wise Report'!Q$1)</f>
        <v>2</v>
      </c>
      <c r="R18" s="3">
        <f>SUMIFS('Business - Dump'!$Q:$Q,'Business - Dump'!$B:$B,'Series wise Report'!$A18,'Business - Dump'!$A:$A,'Series wise Report'!R$1)</f>
        <v>6</v>
      </c>
      <c r="S18" s="24">
        <f>SUMIFS('Business - Dump'!$Q:$Q,'Business - Dump'!$B:$B,'Series wise Report'!$A18,'Business - Dump'!$A:$A,'Series wise Report'!S$1)</f>
        <v>7</v>
      </c>
      <c r="T18" s="24">
        <f>SUMIFS('Business - Dump'!$Q:$Q,'Business - Dump'!$B:$B,'Series wise Report'!$A18,'Business - Dump'!$A:$A,'Series wise Report'!T$1)</f>
        <v>11</v>
      </c>
    </row>
    <row r="19">
      <c r="A19" s="137" t="s">
        <v>241</v>
      </c>
      <c r="B19" s="137" t="s">
        <v>268</v>
      </c>
      <c r="C19" s="141">
        <f t="shared" si="7"/>
        <v>39</v>
      </c>
      <c r="D19" s="141">
        <f>SUMIFS('Business - Dump'!$W:$W,'Business - Dump'!$B:$B,'Series wise Report'!$A19,'Business - Dump'!$A:$A,'Series wise Report'!D$1)</f>
        <v>0</v>
      </c>
      <c r="E19" s="141">
        <f>SUMIFS('Business - Dump'!$W:$W,'Business - Dump'!$B:$B,'Series wise Report'!$A19,'Business - Dump'!$A:$A,'Series wise Report'!E$1)</f>
        <v>4</v>
      </c>
      <c r="F19" s="141">
        <f>SUMIFS('Business - Dump'!$W:$W,'Business - Dump'!$B:$B,'Series wise Report'!$A19,'Business - Dump'!$A:$A,'Series wise Report'!F$1)</f>
        <v>0</v>
      </c>
      <c r="G19" s="141">
        <f>SUMIFS('Business - Dump'!$W:$W,'Business - Dump'!$B:$B,'Series wise Report'!$A19,'Business - Dump'!$A:$A,'Series wise Report'!G$1)</f>
        <v>1</v>
      </c>
      <c r="H19" s="141">
        <f>SUMIFS('Business - Dump'!$W:$W,'Business - Dump'!$B:$B,'Series wise Report'!$A19,'Business - Dump'!$A:$A,'Series wise Report'!H$1)</f>
        <v>3</v>
      </c>
      <c r="I19" s="141">
        <f>SUMIFS('Business - Dump'!$W:$W,'Business - Dump'!$B:$B,'Series wise Report'!$A19,'Business - Dump'!$A:$A,'Series wise Report'!I$1)</f>
        <v>3</v>
      </c>
      <c r="J19" s="141">
        <f>SUMIFS('Business - Dump'!$W:$W,'Business - Dump'!$B:$B,'Series wise Report'!$A19,'Business - Dump'!$A:$A,'Series wise Report'!J$1)</f>
        <v>5</v>
      </c>
      <c r="K19" s="141">
        <f>SUMIFS('Business - Dump'!$W:$W,'Business - Dump'!$B:$B,'Series wise Report'!$A19,'Business - Dump'!$A:$A,'Series wise Report'!K$1)</f>
        <v>4</v>
      </c>
      <c r="L19" s="141">
        <f>SUMIFS('Business - Dump'!$W:$W,'Business - Dump'!$B:$B,'Series wise Report'!$A19,'Business - Dump'!$A:$A,'Series wise Report'!L$1)</f>
        <v>4</v>
      </c>
      <c r="M19" s="141">
        <f>SUMIFS('Business - Dump'!$W:$W,'Business - Dump'!$B:$B,'Series wise Report'!$A19,'Business - Dump'!$A:$A,'Series wise Report'!M$1)</f>
        <v>8</v>
      </c>
      <c r="N19" s="141">
        <f>SUMIFS('Business - Dump'!$W:$W,'Business - Dump'!$B:$B,'Series wise Report'!$A19,'Business - Dump'!$A:$A,'Series wise Report'!N$1)</f>
        <v>1</v>
      </c>
      <c r="O19" s="141">
        <f>SUMIFS('Business - Dump'!$W:$W,'Business - Dump'!$B:$B,'Series wise Report'!$A19,'Business - Dump'!$A:$A,'Series wise Report'!O$1)</f>
        <v>1</v>
      </c>
      <c r="P19" s="141">
        <f>SUMIFS('Business - Dump'!$W:$W,'Business - Dump'!$B:$B,'Series wise Report'!$A19,'Business - Dump'!$A:$A,'Series wise Report'!P$1)</f>
        <v>5</v>
      </c>
      <c r="Q19" s="141">
        <f>SUMIFS('Business - Dump'!$W:$W,'Business - Dump'!$B:$B,'Series wise Report'!$A19,'Business - Dump'!$A:$A,'Series wise Report'!Q$1)</f>
        <v>2</v>
      </c>
      <c r="R19" s="141">
        <f>SUMIFS('Business - Dump'!$W:$W,'Business - Dump'!$B:$B,'Series wise Report'!$A19,'Business - Dump'!$A:$A,'Series wise Report'!R$1)</f>
        <v>6</v>
      </c>
      <c r="S19" s="141">
        <f>SUMIFS('Business - Dump'!$W:$W,'Business - Dump'!$B:$B,'Series wise Report'!$A19,'Business - Dump'!$A:$A,'Series wise Report'!S$1)</f>
        <v>7</v>
      </c>
      <c r="T19" s="141">
        <f>SUMIFS('Business - Dump'!$W:$W,'Business - Dump'!$B:$B,'Series wise Report'!$A19,'Business - Dump'!$A:$A,'Series wise Report'!T$1)</f>
        <v>11</v>
      </c>
    </row>
    <row r="20">
      <c r="A20" s="10" t="s">
        <v>241</v>
      </c>
      <c r="B20" s="10" t="s">
        <v>26</v>
      </c>
      <c r="C20" s="15">
        <f t="shared" si="7"/>
        <v>115792.24</v>
      </c>
      <c r="D20" s="15">
        <f>SUMIFS('Business - Dump'!$U:$U,'Business - Dump'!$B:$B,'Series wise Report'!$A20,'Business - Dump'!$A:$A,'Series wise Report'!D$1)</f>
        <v>0</v>
      </c>
      <c r="E20" s="15">
        <f>SUMIFS('Business - Dump'!$U:$U,'Business - Dump'!$B:$B,'Series wise Report'!$A20,'Business - Dump'!$A:$A,'Series wise Report'!E$1)</f>
        <v>9980</v>
      </c>
      <c r="F20" s="15">
        <f>SUMIFS('Business - Dump'!$U:$U,'Business - Dump'!$B:$B,'Series wise Report'!$A20,'Business - Dump'!$A:$A,'Series wise Report'!F$1)</f>
        <v>0</v>
      </c>
      <c r="G20" s="15">
        <f>SUMIFS('Business - Dump'!$U:$U,'Business - Dump'!$B:$B,'Series wise Report'!$A20,'Business - Dump'!$A:$A,'Series wise Report'!G$1)</f>
        <v>2800</v>
      </c>
      <c r="H20" s="15">
        <f>SUMIFS('Business - Dump'!$U:$U,'Business - Dump'!$B:$B,'Series wise Report'!$A20,'Business - Dump'!$A:$A,'Series wise Report'!H$1)</f>
        <v>8454.24</v>
      </c>
      <c r="I20" s="15">
        <f>SUMIFS('Business - Dump'!$U:$U,'Business - Dump'!$B:$B,'Series wise Report'!$A20,'Business - Dump'!$A:$A,'Series wise Report'!I$1)</f>
        <v>7859</v>
      </c>
      <c r="J20" s="15">
        <f>SUMIFS('Business - Dump'!$U:$U,'Business - Dump'!$B:$B,'Series wise Report'!$A20,'Business - Dump'!$A:$A,'Series wise Report'!J$1)</f>
        <v>14108</v>
      </c>
      <c r="K20" s="15">
        <f>SUMIFS('Business - Dump'!$U:$U,'Business - Dump'!$B:$B,'Series wise Report'!$A20,'Business - Dump'!$A:$A,'Series wise Report'!K$1)</f>
        <v>12147</v>
      </c>
      <c r="L20" s="15">
        <f>SUMIFS('Business - Dump'!$U:$U,'Business - Dump'!$B:$B,'Series wise Report'!$A20,'Business - Dump'!$A:$A,'Series wise Report'!L$1)</f>
        <v>15697</v>
      </c>
      <c r="M20" s="15">
        <f>SUMIFS('Business - Dump'!$U:$U,'Business - Dump'!$B:$B,'Series wise Report'!$A20,'Business - Dump'!$A:$A,'Series wise Report'!M$1)</f>
        <v>27098</v>
      </c>
      <c r="N20" s="15">
        <f>SUMIFS('Business - Dump'!$U:$U,'Business - Dump'!$B:$B,'Series wise Report'!$A20,'Business - Dump'!$A:$A,'Series wise Report'!N$1)</f>
        <v>3400</v>
      </c>
      <c r="O20" s="15">
        <f>SUMIFS('Business - Dump'!$U:$U,'Business - Dump'!$B:$B,'Series wise Report'!$A20,'Business - Dump'!$A:$A,'Series wise Report'!O$1)</f>
        <v>2250</v>
      </c>
      <c r="P20" s="15">
        <f>SUMIFS('Business - Dump'!$U:$U,'Business - Dump'!$B:$B,'Series wise Report'!$A20,'Business - Dump'!$A:$A,'Series wise Report'!P$1)</f>
        <v>11999</v>
      </c>
      <c r="Q20" s="15">
        <f>SUMIFS('Business - Dump'!$U:$U,'Business - Dump'!$B:$B,'Series wise Report'!$A20,'Business - Dump'!$A:$A,'Series wise Report'!Q$1)</f>
        <v>5250</v>
      </c>
      <c r="R20" s="15">
        <f>SUMIFS('Business - Dump'!$U:$U,'Business - Dump'!$B:$B,'Series wise Report'!$A20,'Business - Dump'!$A:$A,'Series wise Report'!R$1)</f>
        <v>11046</v>
      </c>
      <c r="S20" s="15">
        <f>SUMIFS('Business - Dump'!$U:$U,'Business - Dump'!$B:$B,'Series wise Report'!$A20,'Business - Dump'!$A:$A,'Series wise Report'!S$1)</f>
        <v>13194</v>
      </c>
      <c r="T20" s="15">
        <f>SUMIFS('Business - Dump'!$U:$U,'Business - Dump'!$B:$B,'Series wise Report'!$A20,'Business - Dump'!$A:$A,'Series wise Report'!T$1)</f>
        <v>24989</v>
      </c>
    </row>
    <row r="21" ht="15.75" customHeight="1">
      <c r="A21" s="10" t="s">
        <v>241</v>
      </c>
      <c r="B21" s="10" t="s">
        <v>29</v>
      </c>
      <c r="C21" s="17">
        <f t="shared" ref="C21:T21" si="8">IFERROR(C19/C16,0)</f>
        <v>0.008902077151</v>
      </c>
      <c r="D21" s="17">
        <f t="shared" si="8"/>
        <v>0</v>
      </c>
      <c r="E21" s="17">
        <f t="shared" si="8"/>
        <v>0.04210526316</v>
      </c>
      <c r="F21" s="17">
        <f t="shared" si="8"/>
        <v>0</v>
      </c>
      <c r="G21" s="17">
        <f t="shared" si="8"/>
        <v>0.01408450704</v>
      </c>
      <c r="H21" s="17">
        <f t="shared" si="8"/>
        <v>0.01604278075</v>
      </c>
      <c r="I21" s="17">
        <f t="shared" si="8"/>
        <v>0.01006711409</v>
      </c>
      <c r="J21" s="17">
        <f t="shared" si="8"/>
        <v>0.01694915254</v>
      </c>
      <c r="K21" s="17">
        <f t="shared" si="8"/>
        <v>0.005797101449</v>
      </c>
      <c r="L21" s="17">
        <f t="shared" si="8"/>
        <v>0.005524861878</v>
      </c>
      <c r="M21" s="17">
        <f t="shared" si="8"/>
        <v>0.01176470588</v>
      </c>
      <c r="N21" s="17">
        <f t="shared" si="8"/>
        <v>0.003436426117</v>
      </c>
      <c r="O21" s="17">
        <f t="shared" si="8"/>
        <v>0.002123142251</v>
      </c>
      <c r="P21" s="17">
        <f t="shared" si="8"/>
        <v>0.008635578584</v>
      </c>
      <c r="Q21" s="17">
        <f t="shared" si="8"/>
        <v>0.005747126437</v>
      </c>
      <c r="R21" s="17">
        <f t="shared" si="8"/>
        <v>0.0221402214</v>
      </c>
      <c r="S21" s="17">
        <f t="shared" si="8"/>
        <v>0.02447552448</v>
      </c>
      <c r="T21" s="17">
        <f t="shared" si="8"/>
        <v>0.01244343891</v>
      </c>
    </row>
    <row r="22" ht="15.75" customHeight="1">
      <c r="A22" s="10" t="s">
        <v>241</v>
      </c>
      <c r="B22" s="10" t="s">
        <v>282</v>
      </c>
      <c r="C22" s="16">
        <f t="shared" ref="C22:T22" si="9">IFERROR(C20/C19,0)</f>
        <v>2969.031795</v>
      </c>
      <c r="D22" s="16">
        <f t="shared" si="9"/>
        <v>0</v>
      </c>
      <c r="E22" s="16">
        <f t="shared" si="9"/>
        <v>2495</v>
      </c>
      <c r="F22" s="16">
        <f t="shared" si="9"/>
        <v>0</v>
      </c>
      <c r="G22" s="16">
        <f t="shared" si="9"/>
        <v>2800</v>
      </c>
      <c r="H22" s="16">
        <f t="shared" si="9"/>
        <v>2818.08</v>
      </c>
      <c r="I22" s="16">
        <f t="shared" si="9"/>
        <v>2619.666667</v>
      </c>
      <c r="J22" s="16">
        <f t="shared" si="9"/>
        <v>2821.6</v>
      </c>
      <c r="K22" s="16">
        <f t="shared" si="9"/>
        <v>3036.75</v>
      </c>
      <c r="L22" s="16">
        <f t="shared" si="9"/>
        <v>3924.25</v>
      </c>
      <c r="M22" s="16">
        <f t="shared" si="9"/>
        <v>3387.25</v>
      </c>
      <c r="N22" s="16">
        <f t="shared" si="9"/>
        <v>3400</v>
      </c>
      <c r="O22" s="16">
        <f t="shared" si="9"/>
        <v>2250</v>
      </c>
      <c r="P22" s="16">
        <f t="shared" si="9"/>
        <v>2399.8</v>
      </c>
      <c r="Q22" s="16">
        <f t="shared" si="9"/>
        <v>2625</v>
      </c>
      <c r="R22" s="16">
        <f t="shared" si="9"/>
        <v>1841</v>
      </c>
      <c r="S22" s="16">
        <f t="shared" si="9"/>
        <v>1884.857143</v>
      </c>
      <c r="T22" s="16">
        <f t="shared" si="9"/>
        <v>2271.727273</v>
      </c>
    </row>
    <row r="23" ht="15.75" customHeight="1">
      <c r="A23" s="10" t="s">
        <v>240</v>
      </c>
      <c r="B23" s="10" t="s">
        <v>257</v>
      </c>
      <c r="C23" s="16">
        <f t="shared" ref="C23:C27" si="10">SUM(D23:P23)</f>
        <v>1633</v>
      </c>
      <c r="D23" s="16">
        <f>SUMIFS('Business - Dump'!$G:$G,'Business - Dump'!$B:$B,'Series wise Report'!$A23,'Business - Dump'!$A:$A,'Series wise Report'!D$1)</f>
        <v>0</v>
      </c>
      <c r="E23" s="16">
        <f>SUMIFS('Business - Dump'!$G:$G,'Business - Dump'!$B:$B,'Series wise Report'!$A23,'Business - Dump'!$A:$A,'Series wise Report'!E$1)</f>
        <v>0</v>
      </c>
      <c r="F23" s="16">
        <f>SUMIFS('Business - Dump'!$G:$G,'Business - Dump'!$B:$B,'Series wise Report'!$A23,'Business - Dump'!$A:$A,'Series wise Report'!F$1)</f>
        <v>0</v>
      </c>
      <c r="G23" s="16">
        <f>SUMIFS('Business - Dump'!$G:$G,'Business - Dump'!$B:$B,'Series wise Report'!$A23,'Business - Dump'!$A:$A,'Series wise Report'!G$1)</f>
        <v>0</v>
      </c>
      <c r="H23" s="16">
        <f>SUMIFS('Business - Dump'!$G:$G,'Business - Dump'!$B:$B,'Series wise Report'!$A23,'Business - Dump'!$A:$A,'Series wise Report'!H$1)</f>
        <v>0</v>
      </c>
      <c r="I23" s="16">
        <f>SUMIFS('Business - Dump'!$G:$G,'Business - Dump'!$B:$B,'Series wise Report'!$A23,'Business - Dump'!$A:$A,'Series wise Report'!I$1)</f>
        <v>0</v>
      </c>
      <c r="J23" s="16">
        <f>SUMIFS('Business - Dump'!$G:$G,'Business - Dump'!$B:$B,'Series wise Report'!$A23,'Business - Dump'!$A:$A,'Series wise Report'!J$1)</f>
        <v>0</v>
      </c>
      <c r="K23" s="16">
        <f>SUMIFS('Business - Dump'!$G:$G,'Business - Dump'!$B:$B,'Series wise Report'!$A23,'Business - Dump'!$A:$A,'Series wise Report'!K$1)</f>
        <v>43</v>
      </c>
      <c r="L23" s="16">
        <f>SUMIFS('Business - Dump'!$G:$G,'Business - Dump'!$B:$B,'Series wise Report'!$A23,'Business - Dump'!$A:$A,'Series wise Report'!L$1)</f>
        <v>170</v>
      </c>
      <c r="M23" s="16">
        <f>SUMIFS('Business - Dump'!$G:$G,'Business - Dump'!$B:$B,'Series wise Report'!$A23,'Business - Dump'!$A:$A,'Series wise Report'!M$1)</f>
        <v>836</v>
      </c>
      <c r="N23" s="16">
        <f>SUMIFS('Business - Dump'!$G:$G,'Business - Dump'!$B:$B,'Series wise Report'!$A23,'Business - Dump'!$A:$A,'Series wise Report'!N$1)</f>
        <v>501</v>
      </c>
      <c r="O23" s="16">
        <f>SUMIFS('Business - Dump'!$G:$G,'Business - Dump'!$B:$B,'Series wise Report'!$A23,'Business - Dump'!$A:$A,'Series wise Report'!O$1)</f>
        <v>83</v>
      </c>
      <c r="P23" s="16">
        <f>SUMIFS('Business - Dump'!$G:$G,'Business - Dump'!$B:$B,'Series wise Report'!$A23,'Business - Dump'!$A:$A,'Series wise Report'!P$1)</f>
        <v>0</v>
      </c>
      <c r="Q23" s="16">
        <f>SUMIFS('Business - Dump'!$G:$G,'Business - Dump'!$B:$B,'Series wise Report'!$A23,'Business - Dump'!$A:$A,'Series wise Report'!Q$1)</f>
        <v>0</v>
      </c>
      <c r="R23" s="16">
        <f>SUMIFS('Business - Dump'!$G:$G,'Business - Dump'!$B:$B,'Series wise Report'!$A23,'Business - Dump'!$A:$A,'Series wise Report'!R$1)</f>
        <v>6</v>
      </c>
      <c r="S23" s="16">
        <f>SUMIFS('Business - Dump'!$G:$G,'Business - Dump'!$B:$B,'Series wise Report'!$A23,'Business - Dump'!$A:$A,'Series wise Report'!S$1)</f>
        <v>0</v>
      </c>
      <c r="T23" s="16">
        <f>SUMIFS('Business - Dump'!$G:$G,'Business - Dump'!$B:$B,'Series wise Report'!$A23,'Business - Dump'!$A:$A,'Series wise Report'!T$1)</f>
        <v>0</v>
      </c>
    </row>
    <row r="24" ht="15.75" customHeight="1">
      <c r="A24" s="10" t="s">
        <v>240</v>
      </c>
      <c r="B24" s="10" t="s">
        <v>260</v>
      </c>
      <c r="C24" s="16">
        <f t="shared" si="10"/>
        <v>2460</v>
      </c>
      <c r="D24" s="16">
        <f>SUMIFS('Business - Dump'!$K:$K,'Business - Dump'!$B:$B,'Series wise Report'!$A24,'Business - Dump'!$A:$A,'Series wise Report'!D$1)</f>
        <v>0</v>
      </c>
      <c r="E24" s="16">
        <f>SUMIFS('Business - Dump'!$K:$K,'Business - Dump'!$B:$B,'Series wise Report'!$A24,'Business - Dump'!$A:$A,'Series wise Report'!E$1)</f>
        <v>0</v>
      </c>
      <c r="F24" s="16">
        <f>SUMIFS('Business - Dump'!$K:$K,'Business - Dump'!$B:$B,'Series wise Report'!$A24,'Business - Dump'!$A:$A,'Series wise Report'!F$1)</f>
        <v>0</v>
      </c>
      <c r="G24" s="16">
        <f>SUMIFS('Business - Dump'!$K:$K,'Business - Dump'!$B:$B,'Series wise Report'!$A24,'Business - Dump'!$A:$A,'Series wise Report'!G$1)</f>
        <v>0</v>
      </c>
      <c r="H24" s="16">
        <f>SUMIFS('Business - Dump'!$K:$K,'Business - Dump'!$B:$B,'Series wise Report'!$A24,'Business - Dump'!$A:$A,'Series wise Report'!H$1)</f>
        <v>0</v>
      </c>
      <c r="I24" s="16">
        <f>SUMIFS('Business - Dump'!$K:$K,'Business - Dump'!$B:$B,'Series wise Report'!$A24,'Business - Dump'!$A:$A,'Series wise Report'!I$1)</f>
        <v>0</v>
      </c>
      <c r="J24" s="16">
        <f>SUMIFS('Business - Dump'!$K:$K,'Business - Dump'!$B:$B,'Series wise Report'!$A24,'Business - Dump'!$A:$A,'Series wise Report'!J$1)</f>
        <v>0</v>
      </c>
      <c r="K24" s="16">
        <f>SUMIFS('Business - Dump'!$K:$K,'Business - Dump'!$B:$B,'Series wise Report'!$A24,'Business - Dump'!$A:$A,'Series wise Report'!K$1)</f>
        <v>84</v>
      </c>
      <c r="L24" s="16">
        <f>SUMIFS('Business - Dump'!$K:$K,'Business - Dump'!$B:$B,'Series wise Report'!$A24,'Business - Dump'!$A:$A,'Series wise Report'!L$1)</f>
        <v>278</v>
      </c>
      <c r="M24" s="16">
        <f>SUMIFS('Business - Dump'!$K:$K,'Business - Dump'!$B:$B,'Series wise Report'!$A24,'Business - Dump'!$A:$A,'Series wise Report'!M$1)</f>
        <v>1179</v>
      </c>
      <c r="N24" s="16">
        <f>SUMIFS('Business - Dump'!$K:$K,'Business - Dump'!$B:$B,'Series wise Report'!$A24,'Business - Dump'!$A:$A,'Series wise Report'!N$1)</f>
        <v>783</v>
      </c>
      <c r="O24" s="16">
        <f>SUMIFS('Business - Dump'!$K:$K,'Business - Dump'!$B:$B,'Series wise Report'!$A24,'Business - Dump'!$A:$A,'Series wise Report'!O$1)</f>
        <v>136</v>
      </c>
      <c r="P24" s="16">
        <f>SUMIFS('Business - Dump'!$K:$K,'Business - Dump'!$B:$B,'Series wise Report'!$A24,'Business - Dump'!$A:$A,'Series wise Report'!P$1)</f>
        <v>0</v>
      </c>
      <c r="Q24" s="16">
        <f>SUMIFS('Business - Dump'!$K:$K,'Business - Dump'!$B:$B,'Series wise Report'!$A24,'Business - Dump'!$A:$A,'Series wise Report'!Q$1)</f>
        <v>0</v>
      </c>
      <c r="R24" s="16">
        <f>SUMIFS('Business - Dump'!$K:$K,'Business - Dump'!$B:$B,'Series wise Report'!$A24,'Business - Dump'!$A:$A,'Series wise Report'!R$1)</f>
        <v>6</v>
      </c>
      <c r="S24" s="16">
        <f>SUMIFS('Business - Dump'!$K:$K,'Business - Dump'!$B:$B,'Series wise Report'!$A24,'Business - Dump'!$A:$A,'Series wise Report'!S$1)</f>
        <v>0</v>
      </c>
      <c r="T24" s="16">
        <f>SUMIFS('Business - Dump'!$K:$K,'Business - Dump'!$B:$B,'Series wise Report'!$A24,'Business - Dump'!$A:$A,'Series wise Report'!T$1)</f>
        <v>0</v>
      </c>
    </row>
    <row r="25" ht="15.75" customHeight="1">
      <c r="A25" s="138" t="s">
        <v>240</v>
      </c>
      <c r="B25" s="138" t="s">
        <v>264</v>
      </c>
      <c r="C25" s="3">
        <f t="shared" si="10"/>
        <v>56</v>
      </c>
      <c r="D25" s="3">
        <f>SUMIFS('Business - Dump'!$Q:$Q,'Business - Dump'!$B:$B,'Series wise Report'!$A25,'Business - Dump'!$A:$A,'Series wise Report'!D$1)</f>
        <v>0</v>
      </c>
      <c r="E25" s="3">
        <f>SUMIFS('Business - Dump'!$Q:$Q,'Business - Dump'!$B:$B,'Series wise Report'!$A25,'Business - Dump'!$A:$A,'Series wise Report'!E$1)</f>
        <v>0</v>
      </c>
      <c r="F25" s="3">
        <f>SUMIFS('Business - Dump'!$Q:$Q,'Business - Dump'!$B:$B,'Series wise Report'!$A25,'Business - Dump'!$A:$A,'Series wise Report'!F$1)</f>
        <v>0</v>
      </c>
      <c r="G25" s="3">
        <f>SUMIFS('Business - Dump'!$Q:$Q,'Business - Dump'!$B:$B,'Series wise Report'!$A25,'Business - Dump'!$A:$A,'Series wise Report'!G$1)</f>
        <v>0</v>
      </c>
      <c r="H25" s="3">
        <f>SUMIFS('Business - Dump'!$Q:$Q,'Business - Dump'!$B:$B,'Series wise Report'!$A25,'Business - Dump'!$A:$A,'Series wise Report'!H$1)</f>
        <v>0</v>
      </c>
      <c r="I25" s="3">
        <f>SUMIFS('Business - Dump'!$Q:$Q,'Business - Dump'!$B:$B,'Series wise Report'!$A25,'Business - Dump'!$A:$A,'Series wise Report'!I$1)</f>
        <v>0</v>
      </c>
      <c r="J25" s="3">
        <f>SUMIFS('Business - Dump'!$Q:$Q,'Business - Dump'!$B:$B,'Series wise Report'!$A25,'Business - Dump'!$A:$A,'Series wise Report'!J$1)</f>
        <v>0</v>
      </c>
      <c r="K25" s="3">
        <f>SUMIFS('Business - Dump'!$Q:$Q,'Business - Dump'!$B:$B,'Series wise Report'!$A25,'Business - Dump'!$A:$A,'Series wise Report'!K$1)</f>
        <v>5</v>
      </c>
      <c r="L25" s="3">
        <f>SUMIFS('Business - Dump'!$Q:$Q,'Business - Dump'!$B:$B,'Series wise Report'!$A25,'Business - Dump'!$A:$A,'Series wise Report'!L$1)</f>
        <v>7</v>
      </c>
      <c r="M25" s="3">
        <f>SUMIFS('Business - Dump'!$Q:$Q,'Business - Dump'!$B:$B,'Series wise Report'!$A25,'Business - Dump'!$A:$A,'Series wise Report'!M$1)</f>
        <v>19</v>
      </c>
      <c r="N25" s="3">
        <f>SUMIFS('Business - Dump'!$Q:$Q,'Business - Dump'!$B:$B,'Series wise Report'!$A25,'Business - Dump'!$A:$A,'Series wise Report'!N$1)</f>
        <v>21</v>
      </c>
      <c r="O25" s="3">
        <f>SUMIFS('Business - Dump'!$Q:$Q,'Business - Dump'!$B:$B,'Series wise Report'!$A25,'Business - Dump'!$A:$A,'Series wise Report'!O$1)</f>
        <v>4</v>
      </c>
      <c r="P25" s="3">
        <f>SUMIFS('Business - Dump'!$Q:$Q,'Business - Dump'!$B:$B,'Series wise Report'!$A25,'Business - Dump'!$A:$A,'Series wise Report'!P$1)</f>
        <v>0</v>
      </c>
      <c r="Q25" s="3">
        <f>SUMIFS('Business - Dump'!$Q:$Q,'Business - Dump'!$B:$B,'Series wise Report'!$A25,'Business - Dump'!$A:$A,'Series wise Report'!Q$1)</f>
        <v>0</v>
      </c>
      <c r="R25" s="3">
        <f>SUMIFS('Business - Dump'!$Q:$Q,'Business - Dump'!$B:$B,'Series wise Report'!$A25,'Business - Dump'!$A:$A,'Series wise Report'!R$1)</f>
        <v>0</v>
      </c>
      <c r="S25" s="3">
        <f>SUMIFS('Business - Dump'!$Q:$Q,'Business - Dump'!$B:$B,'Series wise Report'!$A25,'Business - Dump'!$A:$A,'Series wise Report'!S$1)</f>
        <v>0</v>
      </c>
      <c r="T25" s="3">
        <f>SUMIFS('Business - Dump'!$Q:$Q,'Business - Dump'!$B:$B,'Series wise Report'!$A25,'Business - Dump'!$A:$A,'Series wise Report'!T$1)</f>
        <v>0</v>
      </c>
    </row>
    <row r="26" ht="15.75" customHeight="1">
      <c r="A26" s="137" t="s">
        <v>240</v>
      </c>
      <c r="B26" s="137" t="s">
        <v>268</v>
      </c>
      <c r="C26" s="141">
        <f t="shared" si="10"/>
        <v>56</v>
      </c>
      <c r="D26" s="141">
        <f>SUMIFS('Business - Dump'!$W:$W,'Business - Dump'!$B:$B,'Series wise Report'!$A26,'Business - Dump'!$A:$A,'Series wise Report'!D$1)</f>
        <v>0</v>
      </c>
      <c r="E26" s="141">
        <f>SUMIFS('Business - Dump'!$W:$W,'Business - Dump'!$B:$B,'Series wise Report'!$A26,'Business - Dump'!$A:$A,'Series wise Report'!E$1)</f>
        <v>0</v>
      </c>
      <c r="F26" s="141">
        <f>SUMIFS('Business - Dump'!$W:$W,'Business - Dump'!$B:$B,'Series wise Report'!$A26,'Business - Dump'!$A:$A,'Series wise Report'!F$1)</f>
        <v>0</v>
      </c>
      <c r="G26" s="141">
        <f>SUMIFS('Business - Dump'!$W:$W,'Business - Dump'!$B:$B,'Series wise Report'!$A26,'Business - Dump'!$A:$A,'Series wise Report'!G$1)</f>
        <v>0</v>
      </c>
      <c r="H26" s="141">
        <f>SUMIFS('Business - Dump'!$W:$W,'Business - Dump'!$B:$B,'Series wise Report'!$A26,'Business - Dump'!$A:$A,'Series wise Report'!H$1)</f>
        <v>0</v>
      </c>
      <c r="I26" s="141">
        <f>SUMIFS('Business - Dump'!$W:$W,'Business - Dump'!$B:$B,'Series wise Report'!$A26,'Business - Dump'!$A:$A,'Series wise Report'!I$1)</f>
        <v>0</v>
      </c>
      <c r="J26" s="141">
        <f>SUMIFS('Business - Dump'!$W:$W,'Business - Dump'!$B:$B,'Series wise Report'!$A26,'Business - Dump'!$A:$A,'Series wise Report'!J$1)</f>
        <v>0</v>
      </c>
      <c r="K26" s="141">
        <f>SUMIFS('Business - Dump'!$W:$W,'Business - Dump'!$B:$B,'Series wise Report'!$A26,'Business - Dump'!$A:$A,'Series wise Report'!K$1)</f>
        <v>5</v>
      </c>
      <c r="L26" s="141">
        <f>SUMIFS('Business - Dump'!$W:$W,'Business - Dump'!$B:$B,'Series wise Report'!$A26,'Business - Dump'!$A:$A,'Series wise Report'!L$1)</f>
        <v>7</v>
      </c>
      <c r="M26" s="141">
        <f>SUMIFS('Business - Dump'!$W:$W,'Business - Dump'!$B:$B,'Series wise Report'!$A26,'Business - Dump'!$A:$A,'Series wise Report'!M$1)</f>
        <v>19</v>
      </c>
      <c r="N26" s="141">
        <f>SUMIFS('Business - Dump'!$W:$W,'Business - Dump'!$B:$B,'Series wise Report'!$A26,'Business - Dump'!$A:$A,'Series wise Report'!N$1)</f>
        <v>21</v>
      </c>
      <c r="O26" s="141">
        <f>SUMIFS('Business - Dump'!$W:$W,'Business - Dump'!$B:$B,'Series wise Report'!$A26,'Business - Dump'!$A:$A,'Series wise Report'!O$1)</f>
        <v>4</v>
      </c>
      <c r="P26" s="141">
        <f>SUMIFS('Business - Dump'!$W:$W,'Business - Dump'!$B:$B,'Series wise Report'!$A26,'Business - Dump'!$A:$A,'Series wise Report'!P$1)</f>
        <v>0</v>
      </c>
      <c r="Q26" s="141">
        <f>SUMIFS('Business - Dump'!$W:$W,'Business - Dump'!$B:$B,'Series wise Report'!$A26,'Business - Dump'!$A:$A,'Series wise Report'!Q$1)</f>
        <v>0</v>
      </c>
      <c r="R26" s="141">
        <f>SUMIFS('Business - Dump'!$W:$W,'Business - Dump'!$B:$B,'Series wise Report'!$A26,'Business - Dump'!$A:$A,'Series wise Report'!R$1)</f>
        <v>0</v>
      </c>
      <c r="S26" s="141">
        <f>SUMIFS('Business - Dump'!$W:$W,'Business - Dump'!$B:$B,'Series wise Report'!$A26,'Business - Dump'!$A:$A,'Series wise Report'!S$1)</f>
        <v>0</v>
      </c>
      <c r="T26" s="141">
        <f>SUMIFS('Business - Dump'!$W:$W,'Business - Dump'!$B:$B,'Series wise Report'!$A26,'Business - Dump'!$A:$A,'Series wise Report'!T$1)</f>
        <v>0</v>
      </c>
    </row>
    <row r="27" ht="15.75" customHeight="1">
      <c r="A27" s="10" t="s">
        <v>240</v>
      </c>
      <c r="B27" s="10" t="s">
        <v>26</v>
      </c>
      <c r="C27" s="15">
        <f t="shared" si="10"/>
        <v>189807</v>
      </c>
      <c r="D27" s="15">
        <f>SUMIFS('Business - Dump'!$U:$U,'Business - Dump'!$B:$B,'Series wise Report'!$A27,'Business - Dump'!$A:$A,'Series wise Report'!D$1)</f>
        <v>0</v>
      </c>
      <c r="E27" s="15">
        <f>SUMIFS('Business - Dump'!$U:$U,'Business - Dump'!$B:$B,'Series wise Report'!$A27,'Business - Dump'!$A:$A,'Series wise Report'!E$1)</f>
        <v>0</v>
      </c>
      <c r="F27" s="15">
        <f>SUMIFS('Business - Dump'!$U:$U,'Business - Dump'!$B:$B,'Series wise Report'!$A27,'Business - Dump'!$A:$A,'Series wise Report'!F$1)</f>
        <v>0</v>
      </c>
      <c r="G27" s="15">
        <f>SUMIFS('Business - Dump'!$U:$U,'Business - Dump'!$B:$B,'Series wise Report'!$A27,'Business - Dump'!$A:$A,'Series wise Report'!G$1)</f>
        <v>0</v>
      </c>
      <c r="H27" s="15">
        <f>SUMIFS('Business - Dump'!$U:$U,'Business - Dump'!$B:$B,'Series wise Report'!$A27,'Business - Dump'!$A:$A,'Series wise Report'!H$1)</f>
        <v>0</v>
      </c>
      <c r="I27" s="15">
        <f>SUMIFS('Business - Dump'!$U:$U,'Business - Dump'!$B:$B,'Series wise Report'!$A27,'Business - Dump'!$A:$A,'Series wise Report'!I$1)</f>
        <v>0</v>
      </c>
      <c r="J27" s="15">
        <f>SUMIFS('Business - Dump'!$U:$U,'Business - Dump'!$B:$B,'Series wise Report'!$A27,'Business - Dump'!$A:$A,'Series wise Report'!J$1)</f>
        <v>0</v>
      </c>
      <c r="K27" s="15">
        <f>SUMIFS('Business - Dump'!$U:$U,'Business - Dump'!$B:$B,'Series wise Report'!$A27,'Business - Dump'!$A:$A,'Series wise Report'!K$1)</f>
        <v>16450</v>
      </c>
      <c r="L27" s="15">
        <f>SUMIFS('Business - Dump'!$U:$U,'Business - Dump'!$B:$B,'Series wise Report'!$A27,'Business - Dump'!$A:$A,'Series wise Report'!L$1)</f>
        <v>23030</v>
      </c>
      <c r="M27" s="15">
        <f>SUMIFS('Business - Dump'!$U:$U,'Business - Dump'!$B:$B,'Series wise Report'!$A27,'Business - Dump'!$A:$A,'Series wise Report'!M$1)</f>
        <v>68077</v>
      </c>
      <c r="N27" s="15">
        <f>SUMIFS('Business - Dump'!$U:$U,'Business - Dump'!$B:$B,'Series wise Report'!$A27,'Business - Dump'!$A:$A,'Series wise Report'!N$1)</f>
        <v>69090</v>
      </c>
      <c r="O27" s="15">
        <f>SUMIFS('Business - Dump'!$U:$U,'Business - Dump'!$B:$B,'Series wise Report'!$A27,'Business - Dump'!$A:$A,'Series wise Report'!O$1)</f>
        <v>13160</v>
      </c>
      <c r="P27" s="15">
        <f>SUMIFS('Business - Dump'!$U:$U,'Business - Dump'!$B:$B,'Series wise Report'!$A27,'Business - Dump'!$A:$A,'Series wise Report'!P$1)</f>
        <v>0</v>
      </c>
      <c r="Q27" s="15">
        <f>SUMIFS('Business - Dump'!$U:$U,'Business - Dump'!$B:$B,'Series wise Report'!$A27,'Business - Dump'!$A:$A,'Series wise Report'!Q$1)</f>
        <v>0</v>
      </c>
      <c r="R27" s="15">
        <f>SUMIFS('Business - Dump'!$U:$U,'Business - Dump'!$B:$B,'Series wise Report'!$A27,'Business - Dump'!$A:$A,'Series wise Report'!R$1)</f>
        <v>0</v>
      </c>
      <c r="S27" s="15">
        <f>SUMIFS('Business - Dump'!$U:$U,'Business - Dump'!$B:$B,'Series wise Report'!$A27,'Business - Dump'!$A:$A,'Series wise Report'!S$1)</f>
        <v>0</v>
      </c>
      <c r="T27" s="15">
        <f>SUMIFS('Business - Dump'!$U:$U,'Business - Dump'!$B:$B,'Series wise Report'!$A27,'Business - Dump'!$A:$A,'Series wise Report'!T$1)</f>
        <v>0</v>
      </c>
    </row>
    <row r="28" ht="15.75" customHeight="1">
      <c r="A28" s="10" t="s">
        <v>240</v>
      </c>
      <c r="B28" s="10" t="s">
        <v>29</v>
      </c>
      <c r="C28" s="17">
        <f t="shared" ref="C28:T28" si="11">IFERROR(C26/C23,0)</f>
        <v>0.0342927128</v>
      </c>
      <c r="D28" s="17">
        <f t="shared" si="11"/>
        <v>0</v>
      </c>
      <c r="E28" s="17">
        <f t="shared" si="11"/>
        <v>0</v>
      </c>
      <c r="F28" s="17">
        <f t="shared" si="11"/>
        <v>0</v>
      </c>
      <c r="G28" s="17">
        <f t="shared" si="11"/>
        <v>0</v>
      </c>
      <c r="H28" s="17">
        <f t="shared" si="11"/>
        <v>0</v>
      </c>
      <c r="I28" s="17">
        <f t="shared" si="11"/>
        <v>0</v>
      </c>
      <c r="J28" s="17">
        <f t="shared" si="11"/>
        <v>0</v>
      </c>
      <c r="K28" s="17">
        <f t="shared" si="11"/>
        <v>0.1162790698</v>
      </c>
      <c r="L28" s="17">
        <f t="shared" si="11"/>
        <v>0.04117647059</v>
      </c>
      <c r="M28" s="17">
        <f t="shared" si="11"/>
        <v>0.02272727273</v>
      </c>
      <c r="N28" s="17">
        <f t="shared" si="11"/>
        <v>0.04191616766</v>
      </c>
      <c r="O28" s="17">
        <f t="shared" si="11"/>
        <v>0.04819277108</v>
      </c>
      <c r="P28" s="17">
        <f t="shared" si="11"/>
        <v>0</v>
      </c>
      <c r="Q28" s="17">
        <f t="shared" si="11"/>
        <v>0</v>
      </c>
      <c r="R28" s="17">
        <f t="shared" si="11"/>
        <v>0</v>
      </c>
      <c r="S28" s="17">
        <f t="shared" si="11"/>
        <v>0</v>
      </c>
      <c r="T28" s="17">
        <f t="shared" si="11"/>
        <v>0</v>
      </c>
    </row>
    <row r="29" ht="15.75" customHeight="1">
      <c r="A29" s="10" t="s">
        <v>240</v>
      </c>
      <c r="B29" s="10" t="s">
        <v>282</v>
      </c>
      <c r="C29" s="16">
        <f t="shared" ref="C29:T29" si="12">IFERROR(C27/C26,0)</f>
        <v>3389.410714</v>
      </c>
      <c r="D29" s="16">
        <f t="shared" si="12"/>
        <v>0</v>
      </c>
      <c r="E29" s="16">
        <f t="shared" si="12"/>
        <v>0</v>
      </c>
      <c r="F29" s="16">
        <f t="shared" si="12"/>
        <v>0</v>
      </c>
      <c r="G29" s="16">
        <f t="shared" si="12"/>
        <v>0</v>
      </c>
      <c r="H29" s="16">
        <f t="shared" si="12"/>
        <v>0</v>
      </c>
      <c r="I29" s="16">
        <f t="shared" si="12"/>
        <v>0</v>
      </c>
      <c r="J29" s="16">
        <f t="shared" si="12"/>
        <v>0</v>
      </c>
      <c r="K29" s="16">
        <f t="shared" si="12"/>
        <v>3290</v>
      </c>
      <c r="L29" s="16">
        <f t="shared" si="12"/>
        <v>3290</v>
      </c>
      <c r="M29" s="16">
        <f t="shared" si="12"/>
        <v>3583</v>
      </c>
      <c r="N29" s="16">
        <f t="shared" si="12"/>
        <v>3290</v>
      </c>
      <c r="O29" s="16">
        <f t="shared" si="12"/>
        <v>3290</v>
      </c>
      <c r="P29" s="16">
        <f t="shared" si="12"/>
        <v>0</v>
      </c>
      <c r="Q29" s="16">
        <f t="shared" si="12"/>
        <v>0</v>
      </c>
      <c r="R29" s="16">
        <f t="shared" si="12"/>
        <v>0</v>
      </c>
      <c r="S29" s="16">
        <f t="shared" si="12"/>
        <v>0</v>
      </c>
      <c r="T29" s="16">
        <f t="shared" si="12"/>
        <v>0</v>
      </c>
    </row>
    <row r="30" ht="15.75" customHeight="1">
      <c r="A30" s="10" t="s">
        <v>310</v>
      </c>
      <c r="B30" s="10" t="s">
        <v>257</v>
      </c>
      <c r="C30" s="16">
        <f t="shared" ref="C30:C34" si="13">SUM(D30:P30)</f>
        <v>79</v>
      </c>
      <c r="D30" s="16">
        <f>SUMIFS('Business - Dump'!$G:$G,'Business - Dump'!$B:$B,'Series wise Report'!$A30,'Business - Dump'!$A:$A,'Series wise Report'!D$1)</f>
        <v>0</v>
      </c>
      <c r="E30" s="16">
        <f>SUMIFS('Business - Dump'!$G:$G,'Business - Dump'!$B:$B,'Series wise Report'!$A30,'Business - Dump'!$A:$A,'Series wise Report'!E$1)</f>
        <v>0</v>
      </c>
      <c r="F30" s="16">
        <f>SUMIFS('Business - Dump'!$G:$G,'Business - Dump'!$B:$B,'Series wise Report'!$A30,'Business - Dump'!$A:$A,'Series wise Report'!F$1)</f>
        <v>0</v>
      </c>
      <c r="G30" s="16">
        <f>SUMIFS('Business - Dump'!$G:$G,'Business - Dump'!$B:$B,'Series wise Report'!$A30,'Business - Dump'!$A:$A,'Series wise Report'!G$1)</f>
        <v>0</v>
      </c>
      <c r="H30" s="16">
        <f>SUMIFS('Business - Dump'!$G:$G,'Business - Dump'!$B:$B,'Series wise Report'!$A30,'Business - Dump'!$A:$A,'Series wise Report'!H$1)</f>
        <v>0</v>
      </c>
      <c r="I30" s="16">
        <f>SUMIFS('Business - Dump'!$G:$G,'Business - Dump'!$B:$B,'Series wise Report'!$A30,'Business - Dump'!$A:$A,'Series wise Report'!I$1)</f>
        <v>0</v>
      </c>
      <c r="J30" s="16">
        <f>SUMIFS('Business - Dump'!$G:$G,'Business - Dump'!$B:$B,'Series wise Report'!$A30,'Business - Dump'!$A:$A,'Series wise Report'!J$1)</f>
        <v>0</v>
      </c>
      <c r="K30" s="16">
        <f>SUMIFS('Business - Dump'!$G:$G,'Business - Dump'!$B:$B,'Series wise Report'!$A30,'Business - Dump'!$A:$A,'Series wise Report'!K$1)</f>
        <v>0</v>
      </c>
      <c r="L30" s="16">
        <f>SUMIFS('Business - Dump'!$G:$G,'Business - Dump'!$B:$B,'Series wise Report'!$A30,'Business - Dump'!$A:$A,'Series wise Report'!L$1)</f>
        <v>0</v>
      </c>
      <c r="M30" s="16">
        <f>SUMIFS('Business - Dump'!$G:$G,'Business - Dump'!$B:$B,'Series wise Report'!$A30,'Business - Dump'!$A:$A,'Series wise Report'!M$1)</f>
        <v>13</v>
      </c>
      <c r="N30" s="16">
        <f>SUMIFS('Business - Dump'!$G:$G,'Business - Dump'!$B:$B,'Series wise Report'!$A30,'Business - Dump'!$A:$A,'Series wise Report'!N$1)</f>
        <v>22</v>
      </c>
      <c r="O30" s="16">
        <f>SUMIFS('Business - Dump'!$G:$G,'Business - Dump'!$B:$B,'Series wise Report'!$A30,'Business - Dump'!$A:$A,'Series wise Report'!O$1)</f>
        <v>22</v>
      </c>
      <c r="P30" s="16">
        <f>SUMIFS('Business - Dump'!$G:$G,'Business - Dump'!$B:$B,'Series wise Report'!$A30,'Business - Dump'!$A:$A,'Series wise Report'!P$1)</f>
        <v>22</v>
      </c>
      <c r="Q30" s="16">
        <f>SUMIFS('Business - Dump'!$G:$G,'Business - Dump'!$B:$B,'Series wise Report'!$A30,'Business - Dump'!$A:$A,'Series wise Report'!Q$1)</f>
        <v>25</v>
      </c>
      <c r="R30" s="16">
        <f>SUMIFS('Business - Dump'!$G:$G,'Business - Dump'!$B:$B,'Series wise Report'!$A30,'Business - Dump'!$A:$A,'Series wise Report'!R$1)</f>
        <v>36</v>
      </c>
      <c r="S30" s="16">
        <f>SUMIFS('Business - Dump'!$G:$G,'Business - Dump'!$B:$B,'Series wise Report'!$A30,'Business - Dump'!$A:$A,'Series wise Report'!S$1)</f>
        <v>39</v>
      </c>
      <c r="T30" s="16">
        <f>SUMIFS('Business - Dump'!$G:$G,'Business - Dump'!$B:$B,'Series wise Report'!$A30,'Business - Dump'!$A:$A,'Series wise Report'!T$1)</f>
        <v>53</v>
      </c>
    </row>
    <row r="31" ht="15.75" customHeight="1">
      <c r="A31" s="10" t="s">
        <v>310</v>
      </c>
      <c r="B31" s="10" t="s">
        <v>260</v>
      </c>
      <c r="C31" s="16">
        <f t="shared" si="13"/>
        <v>111</v>
      </c>
      <c r="D31" s="16">
        <f>SUMIFS('Business - Dump'!$K:$K,'Business - Dump'!$B:$B,'Series wise Report'!$A31,'Business - Dump'!$A:$A,'Series wise Report'!D$1)</f>
        <v>0</v>
      </c>
      <c r="E31" s="16">
        <f>SUMIFS('Business - Dump'!$K:$K,'Business - Dump'!$B:$B,'Series wise Report'!$A31,'Business - Dump'!$A:$A,'Series wise Report'!E$1)</f>
        <v>0</v>
      </c>
      <c r="F31" s="16">
        <f>SUMIFS('Business - Dump'!$K:$K,'Business - Dump'!$B:$B,'Series wise Report'!$A31,'Business - Dump'!$A:$A,'Series wise Report'!F$1)</f>
        <v>0</v>
      </c>
      <c r="G31" s="16">
        <f>SUMIFS('Business - Dump'!$K:$K,'Business - Dump'!$B:$B,'Series wise Report'!$A31,'Business - Dump'!$A:$A,'Series wise Report'!G$1)</f>
        <v>0</v>
      </c>
      <c r="H31" s="16">
        <f>SUMIFS('Business - Dump'!$K:$K,'Business - Dump'!$B:$B,'Series wise Report'!$A31,'Business - Dump'!$A:$A,'Series wise Report'!H$1)</f>
        <v>0</v>
      </c>
      <c r="I31" s="16">
        <f>SUMIFS('Business - Dump'!$K:$K,'Business - Dump'!$B:$B,'Series wise Report'!$A31,'Business - Dump'!$A:$A,'Series wise Report'!I$1)</f>
        <v>0</v>
      </c>
      <c r="J31" s="16">
        <f>SUMIFS('Business - Dump'!$K:$K,'Business - Dump'!$B:$B,'Series wise Report'!$A31,'Business - Dump'!$A:$A,'Series wise Report'!J$1)</f>
        <v>0</v>
      </c>
      <c r="K31" s="16">
        <f>SUMIFS('Business - Dump'!$K:$K,'Business - Dump'!$B:$B,'Series wise Report'!$A31,'Business - Dump'!$A:$A,'Series wise Report'!K$1)</f>
        <v>0</v>
      </c>
      <c r="L31" s="16">
        <f>SUMIFS('Business - Dump'!$K:$K,'Business - Dump'!$B:$B,'Series wise Report'!$A31,'Business - Dump'!$A:$A,'Series wise Report'!L$1)</f>
        <v>0</v>
      </c>
      <c r="M31" s="16">
        <f>SUMIFS('Business - Dump'!$K:$K,'Business - Dump'!$B:$B,'Series wise Report'!$A31,'Business - Dump'!$A:$A,'Series wise Report'!M$1)</f>
        <v>15</v>
      </c>
      <c r="N31" s="16">
        <f>SUMIFS('Business - Dump'!$K:$K,'Business - Dump'!$B:$B,'Series wise Report'!$A31,'Business - Dump'!$A:$A,'Series wise Report'!N$1)</f>
        <v>28</v>
      </c>
      <c r="O31" s="16">
        <f>SUMIFS('Business - Dump'!$K:$K,'Business - Dump'!$B:$B,'Series wise Report'!$A31,'Business - Dump'!$A:$A,'Series wise Report'!O$1)</f>
        <v>36</v>
      </c>
      <c r="P31" s="16">
        <f>SUMIFS('Business - Dump'!$K:$K,'Business - Dump'!$B:$B,'Series wise Report'!$A31,'Business - Dump'!$A:$A,'Series wise Report'!P$1)</f>
        <v>32</v>
      </c>
      <c r="Q31" s="16">
        <f>SUMIFS('Business - Dump'!$K:$K,'Business - Dump'!$B:$B,'Series wise Report'!$A31,'Business - Dump'!$A:$A,'Series wise Report'!Q$1)</f>
        <v>36</v>
      </c>
      <c r="R31" s="16">
        <f>SUMIFS('Business - Dump'!$K:$K,'Business - Dump'!$B:$B,'Series wise Report'!$A31,'Business - Dump'!$A:$A,'Series wise Report'!R$1)</f>
        <v>42</v>
      </c>
      <c r="S31" s="16">
        <f>SUMIFS('Business - Dump'!$K:$K,'Business - Dump'!$B:$B,'Series wise Report'!$A31,'Business - Dump'!$A:$A,'Series wise Report'!S$1)</f>
        <v>45</v>
      </c>
      <c r="T31" s="16">
        <f>SUMIFS('Business - Dump'!$K:$K,'Business - Dump'!$B:$B,'Series wise Report'!$A31,'Business - Dump'!$A:$A,'Series wise Report'!T$1)</f>
        <v>58</v>
      </c>
    </row>
    <row r="32" ht="15.75" customHeight="1">
      <c r="A32" s="138" t="s">
        <v>310</v>
      </c>
      <c r="B32" s="138" t="s">
        <v>264</v>
      </c>
      <c r="C32" s="3">
        <f t="shared" si="13"/>
        <v>1</v>
      </c>
      <c r="D32" s="3">
        <f>SUMIFS('Business - Dump'!$Q:$Q,'Business - Dump'!$B:$B,'Series wise Report'!$A32,'Business - Dump'!$A:$A,'Series wise Report'!D$1)</f>
        <v>0</v>
      </c>
      <c r="E32" s="3">
        <f>SUMIFS('Business - Dump'!$Q:$Q,'Business - Dump'!$B:$B,'Series wise Report'!$A32,'Business - Dump'!$A:$A,'Series wise Report'!E$1)</f>
        <v>0</v>
      </c>
      <c r="F32" s="3">
        <f>SUMIFS('Business - Dump'!$Q:$Q,'Business - Dump'!$B:$B,'Series wise Report'!$A32,'Business - Dump'!$A:$A,'Series wise Report'!F$1)</f>
        <v>0</v>
      </c>
      <c r="G32" s="3">
        <f>SUMIFS('Business - Dump'!$Q:$Q,'Business - Dump'!$B:$B,'Series wise Report'!$A32,'Business - Dump'!$A:$A,'Series wise Report'!G$1)</f>
        <v>0</v>
      </c>
      <c r="H32" s="3">
        <f>SUMIFS('Business - Dump'!$Q:$Q,'Business - Dump'!$B:$B,'Series wise Report'!$A32,'Business - Dump'!$A:$A,'Series wise Report'!H$1)</f>
        <v>0</v>
      </c>
      <c r="I32" s="3">
        <f>SUMIFS('Business - Dump'!$Q:$Q,'Business - Dump'!$B:$B,'Series wise Report'!$A32,'Business - Dump'!$A:$A,'Series wise Report'!I$1)</f>
        <v>0</v>
      </c>
      <c r="J32" s="3">
        <f>SUMIFS('Business - Dump'!$Q:$Q,'Business - Dump'!$B:$B,'Series wise Report'!$A32,'Business - Dump'!$A:$A,'Series wise Report'!J$1)</f>
        <v>0</v>
      </c>
      <c r="K32" s="3">
        <f>SUMIFS('Business - Dump'!$Q:$Q,'Business - Dump'!$B:$B,'Series wise Report'!$A32,'Business - Dump'!$A:$A,'Series wise Report'!K$1)</f>
        <v>0</v>
      </c>
      <c r="L32" s="3">
        <f>SUMIFS('Business - Dump'!$Q:$Q,'Business - Dump'!$B:$B,'Series wise Report'!$A32,'Business - Dump'!$A:$A,'Series wise Report'!L$1)</f>
        <v>0</v>
      </c>
      <c r="M32" s="3">
        <f>SUMIFS('Business - Dump'!$Q:$Q,'Business - Dump'!$B:$B,'Series wise Report'!$A32,'Business - Dump'!$A:$A,'Series wise Report'!M$1)</f>
        <v>0</v>
      </c>
      <c r="N32" s="3">
        <f>SUMIFS('Business - Dump'!$Q:$Q,'Business - Dump'!$B:$B,'Series wise Report'!$A32,'Business - Dump'!$A:$A,'Series wise Report'!N$1)</f>
        <v>0</v>
      </c>
      <c r="O32" s="3">
        <f>SUMIFS('Business - Dump'!$Q:$Q,'Business - Dump'!$B:$B,'Series wise Report'!$A32,'Business - Dump'!$A:$A,'Series wise Report'!O$1)</f>
        <v>1</v>
      </c>
      <c r="P32" s="3">
        <f>SUMIFS('Business - Dump'!$Q:$Q,'Business - Dump'!$B:$B,'Series wise Report'!$A32,'Business - Dump'!$A:$A,'Series wise Report'!P$1)</f>
        <v>0</v>
      </c>
      <c r="Q32" s="3">
        <f>SUMIFS('Business - Dump'!$Q:$Q,'Business - Dump'!$B:$B,'Series wise Report'!$A32,'Business - Dump'!$A:$A,'Series wise Report'!Q$1)</f>
        <v>1</v>
      </c>
      <c r="R32" s="3">
        <f>SUMIFS('Business - Dump'!$Q:$Q,'Business - Dump'!$B:$B,'Series wise Report'!$A32,'Business - Dump'!$A:$A,'Series wise Report'!R$1)</f>
        <v>0</v>
      </c>
      <c r="S32" s="3">
        <f>SUMIFS('Business - Dump'!$Q:$Q,'Business - Dump'!$B:$B,'Series wise Report'!$A32,'Business - Dump'!$A:$A,'Series wise Report'!S$1)</f>
        <v>0</v>
      </c>
      <c r="T32" s="3">
        <f>SUMIFS('Business - Dump'!$Q:$Q,'Business - Dump'!$B:$B,'Series wise Report'!$A32,'Business - Dump'!$A:$A,'Series wise Report'!T$1)</f>
        <v>0</v>
      </c>
    </row>
    <row r="33" ht="15.75" customHeight="1">
      <c r="A33" s="137" t="s">
        <v>310</v>
      </c>
      <c r="B33" s="137" t="s">
        <v>268</v>
      </c>
      <c r="C33" s="141">
        <f t="shared" si="13"/>
        <v>1</v>
      </c>
      <c r="D33" s="141">
        <f>SUMIFS('Business - Dump'!$W:$W,'Business - Dump'!$B:$B,'Series wise Report'!$A33,'Business - Dump'!$A:$A,'Series wise Report'!D$1)</f>
        <v>0</v>
      </c>
      <c r="E33" s="141">
        <f>SUMIFS('Business - Dump'!$W:$W,'Business - Dump'!$B:$B,'Series wise Report'!$A33,'Business - Dump'!$A:$A,'Series wise Report'!E$1)</f>
        <v>0</v>
      </c>
      <c r="F33" s="141">
        <f>SUMIFS('Business - Dump'!$W:$W,'Business - Dump'!$B:$B,'Series wise Report'!$A33,'Business - Dump'!$A:$A,'Series wise Report'!F$1)</f>
        <v>0</v>
      </c>
      <c r="G33" s="141">
        <f>SUMIFS('Business - Dump'!$W:$W,'Business - Dump'!$B:$B,'Series wise Report'!$A33,'Business - Dump'!$A:$A,'Series wise Report'!G$1)</f>
        <v>0</v>
      </c>
      <c r="H33" s="141">
        <f>SUMIFS('Business - Dump'!$W:$W,'Business - Dump'!$B:$B,'Series wise Report'!$A33,'Business - Dump'!$A:$A,'Series wise Report'!H$1)</f>
        <v>0</v>
      </c>
      <c r="I33" s="141">
        <f>SUMIFS('Business - Dump'!$W:$W,'Business - Dump'!$B:$B,'Series wise Report'!$A33,'Business - Dump'!$A:$A,'Series wise Report'!I$1)</f>
        <v>0</v>
      </c>
      <c r="J33" s="141">
        <f>SUMIFS('Business - Dump'!$W:$W,'Business - Dump'!$B:$B,'Series wise Report'!$A33,'Business - Dump'!$A:$A,'Series wise Report'!J$1)</f>
        <v>0</v>
      </c>
      <c r="K33" s="141">
        <f>SUMIFS('Business - Dump'!$W:$W,'Business - Dump'!$B:$B,'Series wise Report'!$A33,'Business - Dump'!$A:$A,'Series wise Report'!K$1)</f>
        <v>0</v>
      </c>
      <c r="L33" s="141">
        <f>SUMIFS('Business - Dump'!$W:$W,'Business - Dump'!$B:$B,'Series wise Report'!$A33,'Business - Dump'!$A:$A,'Series wise Report'!L$1)</f>
        <v>0</v>
      </c>
      <c r="M33" s="141">
        <f>SUMIFS('Business - Dump'!$W:$W,'Business - Dump'!$B:$B,'Series wise Report'!$A33,'Business - Dump'!$A:$A,'Series wise Report'!M$1)</f>
        <v>0</v>
      </c>
      <c r="N33" s="141">
        <f>SUMIFS('Business - Dump'!$W:$W,'Business - Dump'!$B:$B,'Series wise Report'!$A33,'Business - Dump'!$A:$A,'Series wise Report'!N$1)</f>
        <v>0</v>
      </c>
      <c r="O33" s="141">
        <f>SUMIFS('Business - Dump'!$W:$W,'Business - Dump'!$B:$B,'Series wise Report'!$A33,'Business - Dump'!$A:$A,'Series wise Report'!O$1)</f>
        <v>1</v>
      </c>
      <c r="P33" s="141">
        <f>SUMIFS('Business - Dump'!$W:$W,'Business - Dump'!$B:$B,'Series wise Report'!$A33,'Business - Dump'!$A:$A,'Series wise Report'!P$1)</f>
        <v>0</v>
      </c>
      <c r="Q33" s="141">
        <f>SUMIFS('Business - Dump'!$W:$W,'Business - Dump'!$B:$B,'Series wise Report'!$A33,'Business - Dump'!$A:$A,'Series wise Report'!Q$1)</f>
        <v>1</v>
      </c>
      <c r="R33" s="141">
        <f>SUMIFS('Business - Dump'!$W:$W,'Business - Dump'!$B:$B,'Series wise Report'!$A33,'Business - Dump'!$A:$A,'Series wise Report'!R$1)</f>
        <v>0</v>
      </c>
      <c r="S33" s="141">
        <f>SUMIFS('Business - Dump'!$W:$W,'Business - Dump'!$B:$B,'Series wise Report'!$A33,'Business - Dump'!$A:$A,'Series wise Report'!S$1)</f>
        <v>0</v>
      </c>
      <c r="T33" s="141">
        <f>SUMIFS('Business - Dump'!$W:$W,'Business - Dump'!$B:$B,'Series wise Report'!$A33,'Business - Dump'!$A:$A,'Series wise Report'!T$1)</f>
        <v>0</v>
      </c>
    </row>
    <row r="34" ht="15.75" customHeight="1">
      <c r="A34" s="10" t="s">
        <v>310</v>
      </c>
      <c r="B34" s="10" t="s">
        <v>26</v>
      </c>
      <c r="C34" s="15">
        <f t="shared" si="13"/>
        <v>7500</v>
      </c>
      <c r="D34" s="15">
        <f>SUMIFS('Business - Dump'!$U:$U,'Business - Dump'!$B:$B,'Series wise Report'!$A34,'Business - Dump'!$A:$A,'Series wise Report'!D$1)</f>
        <v>0</v>
      </c>
      <c r="E34" s="15">
        <f>SUMIFS('Business - Dump'!$U:$U,'Business - Dump'!$B:$B,'Series wise Report'!$A34,'Business - Dump'!$A:$A,'Series wise Report'!E$1)</f>
        <v>0</v>
      </c>
      <c r="F34" s="15">
        <f>SUMIFS('Business - Dump'!$U:$U,'Business - Dump'!$B:$B,'Series wise Report'!$A34,'Business - Dump'!$A:$A,'Series wise Report'!F$1)</f>
        <v>0</v>
      </c>
      <c r="G34" s="15">
        <f>SUMIFS('Business - Dump'!$U:$U,'Business - Dump'!$B:$B,'Series wise Report'!$A34,'Business - Dump'!$A:$A,'Series wise Report'!G$1)</f>
        <v>0</v>
      </c>
      <c r="H34" s="15">
        <f>SUMIFS('Business - Dump'!$U:$U,'Business - Dump'!$B:$B,'Series wise Report'!$A34,'Business - Dump'!$A:$A,'Series wise Report'!H$1)</f>
        <v>0</v>
      </c>
      <c r="I34" s="15">
        <f>SUMIFS('Business - Dump'!$U:$U,'Business - Dump'!$B:$B,'Series wise Report'!$A34,'Business - Dump'!$A:$A,'Series wise Report'!I$1)</f>
        <v>0</v>
      </c>
      <c r="J34" s="15">
        <f>SUMIFS('Business - Dump'!$U:$U,'Business - Dump'!$B:$B,'Series wise Report'!$A34,'Business - Dump'!$A:$A,'Series wise Report'!J$1)</f>
        <v>0</v>
      </c>
      <c r="K34" s="15">
        <f>SUMIFS('Business - Dump'!$U:$U,'Business - Dump'!$B:$B,'Series wise Report'!$A34,'Business - Dump'!$A:$A,'Series wise Report'!K$1)</f>
        <v>0</v>
      </c>
      <c r="L34" s="15">
        <f>SUMIFS('Business - Dump'!$U:$U,'Business - Dump'!$B:$B,'Series wise Report'!$A34,'Business - Dump'!$A:$A,'Series wise Report'!L$1)</f>
        <v>0</v>
      </c>
      <c r="M34" s="15">
        <f>SUMIFS('Business - Dump'!$U:$U,'Business - Dump'!$B:$B,'Series wise Report'!$A34,'Business - Dump'!$A:$A,'Series wise Report'!M$1)</f>
        <v>0</v>
      </c>
      <c r="N34" s="15">
        <f>SUMIFS('Business - Dump'!$U:$U,'Business - Dump'!$B:$B,'Series wise Report'!$A34,'Business - Dump'!$A:$A,'Series wise Report'!N$1)</f>
        <v>0</v>
      </c>
      <c r="O34" s="15">
        <f>SUMIFS('Business - Dump'!$U:$U,'Business - Dump'!$B:$B,'Series wise Report'!$A34,'Business - Dump'!$A:$A,'Series wise Report'!O$1)</f>
        <v>7500</v>
      </c>
      <c r="P34" s="15">
        <f>SUMIFS('Business - Dump'!$U:$U,'Business - Dump'!$B:$B,'Series wise Report'!$A34,'Business - Dump'!$A:$A,'Series wise Report'!P$1)</f>
        <v>0</v>
      </c>
      <c r="Q34" s="15">
        <f>SUMIFS('Business - Dump'!$U:$U,'Business - Dump'!$B:$B,'Series wise Report'!$A34,'Business - Dump'!$A:$A,'Series wise Report'!Q$1)</f>
        <v>4699</v>
      </c>
      <c r="R34" s="15">
        <f>SUMIFS('Business - Dump'!$U:$U,'Business - Dump'!$B:$B,'Series wise Report'!$A34,'Business - Dump'!$A:$A,'Series wise Report'!R$1)</f>
        <v>0</v>
      </c>
      <c r="S34" s="15">
        <f>SUMIFS('Business - Dump'!$U:$U,'Business - Dump'!$B:$B,'Series wise Report'!$A34,'Business - Dump'!$A:$A,'Series wise Report'!S$1)</f>
        <v>0</v>
      </c>
      <c r="T34" s="15">
        <f>SUMIFS('Business - Dump'!$U:$U,'Business - Dump'!$B:$B,'Series wise Report'!$A34,'Business - Dump'!$A:$A,'Series wise Report'!T$1)</f>
        <v>0</v>
      </c>
    </row>
    <row r="35" ht="15.75" customHeight="1">
      <c r="A35" s="10" t="s">
        <v>310</v>
      </c>
      <c r="B35" s="10" t="s">
        <v>29</v>
      </c>
      <c r="C35" s="17">
        <f t="shared" ref="C35:T35" si="14">IFERROR(C33/C30,0)</f>
        <v>0.01265822785</v>
      </c>
      <c r="D35" s="17">
        <f t="shared" si="14"/>
        <v>0</v>
      </c>
      <c r="E35" s="17">
        <f t="shared" si="14"/>
        <v>0</v>
      </c>
      <c r="F35" s="17">
        <f t="shared" si="14"/>
        <v>0</v>
      </c>
      <c r="G35" s="17">
        <f t="shared" si="14"/>
        <v>0</v>
      </c>
      <c r="H35" s="17">
        <f t="shared" si="14"/>
        <v>0</v>
      </c>
      <c r="I35" s="17">
        <f t="shared" si="14"/>
        <v>0</v>
      </c>
      <c r="J35" s="17">
        <f t="shared" si="14"/>
        <v>0</v>
      </c>
      <c r="K35" s="17">
        <f t="shared" si="14"/>
        <v>0</v>
      </c>
      <c r="L35" s="17">
        <f t="shared" si="14"/>
        <v>0</v>
      </c>
      <c r="M35" s="17">
        <f t="shared" si="14"/>
        <v>0</v>
      </c>
      <c r="N35" s="17">
        <f t="shared" si="14"/>
        <v>0</v>
      </c>
      <c r="O35" s="17">
        <f t="shared" si="14"/>
        <v>0.04545454545</v>
      </c>
      <c r="P35" s="17">
        <f t="shared" si="14"/>
        <v>0</v>
      </c>
      <c r="Q35" s="17">
        <f t="shared" si="14"/>
        <v>0.04</v>
      </c>
      <c r="R35" s="17">
        <f t="shared" si="14"/>
        <v>0</v>
      </c>
      <c r="S35" s="17">
        <f t="shared" si="14"/>
        <v>0</v>
      </c>
      <c r="T35" s="17">
        <f t="shared" si="14"/>
        <v>0</v>
      </c>
    </row>
    <row r="36" ht="15.75" customHeight="1">
      <c r="A36" s="10" t="s">
        <v>310</v>
      </c>
      <c r="B36" s="10" t="s">
        <v>282</v>
      </c>
      <c r="C36" s="16">
        <f t="shared" ref="C36:T36" si="15">IFERROR(C34/C33,0)</f>
        <v>7500</v>
      </c>
      <c r="D36" s="16">
        <f t="shared" si="15"/>
        <v>0</v>
      </c>
      <c r="E36" s="16">
        <f t="shared" si="15"/>
        <v>0</v>
      </c>
      <c r="F36" s="16">
        <f t="shared" si="15"/>
        <v>0</v>
      </c>
      <c r="G36" s="16">
        <f t="shared" si="15"/>
        <v>0</v>
      </c>
      <c r="H36" s="16">
        <f t="shared" si="15"/>
        <v>0</v>
      </c>
      <c r="I36" s="16">
        <f t="shared" si="15"/>
        <v>0</v>
      </c>
      <c r="J36" s="16">
        <f t="shared" si="15"/>
        <v>0</v>
      </c>
      <c r="K36" s="16">
        <f t="shared" si="15"/>
        <v>0</v>
      </c>
      <c r="L36" s="16">
        <f t="shared" si="15"/>
        <v>0</v>
      </c>
      <c r="M36" s="16">
        <f t="shared" si="15"/>
        <v>0</v>
      </c>
      <c r="N36" s="16">
        <f t="shared" si="15"/>
        <v>0</v>
      </c>
      <c r="O36" s="16">
        <f t="shared" si="15"/>
        <v>7500</v>
      </c>
      <c r="P36" s="16">
        <f t="shared" si="15"/>
        <v>0</v>
      </c>
      <c r="Q36" s="16">
        <f t="shared" si="15"/>
        <v>4699</v>
      </c>
      <c r="R36" s="16">
        <f t="shared" si="15"/>
        <v>0</v>
      </c>
      <c r="S36" s="16">
        <f t="shared" si="15"/>
        <v>0</v>
      </c>
      <c r="T36" s="16">
        <f t="shared" si="15"/>
        <v>0</v>
      </c>
    </row>
    <row r="37" ht="15.75" customHeight="1">
      <c r="A37" s="10" t="s">
        <v>285</v>
      </c>
      <c r="B37" s="10" t="s">
        <v>257</v>
      </c>
      <c r="C37" s="16">
        <f t="shared" ref="C37:C41" si="16">SUM(D37:P37)</f>
        <v>1973</v>
      </c>
      <c r="D37" s="16">
        <f>SUMIFS('Business - Dump'!$G:$G,'Business - Dump'!$B:$B,'Series wise Report'!$A37,'Business - Dump'!$A:$A,'Series wise Report'!D$1)</f>
        <v>41</v>
      </c>
      <c r="E37" s="16">
        <f>SUMIFS('Business - Dump'!$G:$G,'Business - Dump'!$B:$B,'Series wise Report'!$A37,'Business - Dump'!$A:$A,'Series wise Report'!E$1)</f>
        <v>79</v>
      </c>
      <c r="F37" s="16">
        <f>SUMIFS('Business - Dump'!$G:$G,'Business - Dump'!$B:$B,'Series wise Report'!$A37,'Business - Dump'!$A:$A,'Series wise Report'!F$1)</f>
        <v>0</v>
      </c>
      <c r="G37" s="16">
        <f>SUMIFS('Business - Dump'!$G:$G,'Business - Dump'!$B:$B,'Series wise Report'!$A37,'Business - Dump'!$A:$A,'Series wise Report'!G$1)</f>
        <v>0</v>
      </c>
      <c r="H37" s="16">
        <f>SUMIFS('Business - Dump'!$G:$G,'Business - Dump'!$B:$B,'Series wise Report'!$A37,'Business - Dump'!$A:$A,'Series wise Report'!H$1)</f>
        <v>0</v>
      </c>
      <c r="I37" s="16">
        <f>SUMIFS('Business - Dump'!$G:$G,'Business - Dump'!$B:$B,'Series wise Report'!$A37,'Business - Dump'!$A:$A,'Series wise Report'!I$1)</f>
        <v>0</v>
      </c>
      <c r="J37" s="16">
        <f>SUMIFS('Business - Dump'!$G:$G,'Business - Dump'!$B:$B,'Series wise Report'!$A37,'Business - Dump'!$A:$A,'Series wise Report'!J$1)</f>
        <v>92</v>
      </c>
      <c r="K37" s="16">
        <f>SUMIFS('Business - Dump'!$G:$G,'Business - Dump'!$B:$B,'Series wise Report'!$A37,'Business - Dump'!$A:$A,'Series wise Report'!K$1)</f>
        <v>122</v>
      </c>
      <c r="L37" s="16">
        <f>SUMIFS('Business - Dump'!$G:$G,'Business - Dump'!$B:$B,'Series wise Report'!$A37,'Business - Dump'!$A:$A,'Series wise Report'!L$1)</f>
        <v>258</v>
      </c>
      <c r="M37" s="16">
        <f>SUMIFS('Business - Dump'!$G:$G,'Business - Dump'!$B:$B,'Series wise Report'!$A37,'Business - Dump'!$A:$A,'Series wise Report'!M$1)</f>
        <v>304</v>
      </c>
      <c r="N37" s="16">
        <f>SUMIFS('Business - Dump'!$G:$G,'Business - Dump'!$B:$B,'Series wise Report'!$A37,'Business - Dump'!$A:$A,'Series wise Report'!N$1)</f>
        <v>691</v>
      </c>
      <c r="O37" s="16">
        <f>SUMIFS('Business - Dump'!$G:$G,'Business - Dump'!$B:$B,'Series wise Report'!$A37,'Business - Dump'!$A:$A,'Series wise Report'!O$1)</f>
        <v>221</v>
      </c>
      <c r="P37" s="16">
        <f>SUMIFS('Business - Dump'!$G:$G,'Business - Dump'!$B:$B,'Series wise Report'!$A37,'Business - Dump'!$A:$A,'Series wise Report'!P$1)</f>
        <v>165</v>
      </c>
      <c r="Q37" s="16">
        <f>SUMIFS('Business - Dump'!$G:$G,'Business - Dump'!$B:$B,'Series wise Report'!$A37,'Business - Dump'!$A:$A,'Series wise Report'!Q$1)</f>
        <v>62</v>
      </c>
      <c r="R37" s="16">
        <f>SUMIFS('Business - Dump'!$G:$G,'Business - Dump'!$B:$B,'Series wise Report'!$A37,'Business - Dump'!$A:$A,'Series wise Report'!R$1)</f>
        <v>11</v>
      </c>
      <c r="S37" s="16">
        <f>SUMIFS('Business - Dump'!$G:$G,'Business - Dump'!$B:$B,'Series wise Report'!$A37,'Business - Dump'!$A:$A,'Series wise Report'!S$1)</f>
        <v>0</v>
      </c>
      <c r="T37" s="16">
        <f>SUMIFS('Business - Dump'!$G:$G,'Business - Dump'!$B:$B,'Series wise Report'!$A37,'Business - Dump'!$A:$A,'Series wise Report'!T$1)</f>
        <v>0</v>
      </c>
    </row>
    <row r="38" ht="15.75" customHeight="1">
      <c r="A38" s="10" t="s">
        <v>285</v>
      </c>
      <c r="B38" s="10" t="s">
        <v>260</v>
      </c>
      <c r="C38" s="16">
        <f t="shared" si="16"/>
        <v>3055</v>
      </c>
      <c r="D38" s="16">
        <f>SUMIFS('Business - Dump'!$K:$K,'Business - Dump'!$B:$B,'Series wise Report'!$A38,'Business - Dump'!$A:$A,'Series wise Report'!D$1)</f>
        <v>66</v>
      </c>
      <c r="E38" s="16">
        <f>SUMIFS('Business - Dump'!$K:$K,'Business - Dump'!$B:$B,'Series wise Report'!$A38,'Business - Dump'!$A:$A,'Series wise Report'!E$1)</f>
        <v>118</v>
      </c>
      <c r="F38" s="16">
        <f>SUMIFS('Business - Dump'!$K:$K,'Business - Dump'!$B:$B,'Series wise Report'!$A38,'Business - Dump'!$A:$A,'Series wise Report'!F$1)</f>
        <v>0</v>
      </c>
      <c r="G38" s="16">
        <f>SUMIFS('Business - Dump'!$K:$K,'Business - Dump'!$B:$B,'Series wise Report'!$A38,'Business - Dump'!$A:$A,'Series wise Report'!G$1)</f>
        <v>0</v>
      </c>
      <c r="H38" s="16">
        <f>SUMIFS('Business - Dump'!$K:$K,'Business - Dump'!$B:$B,'Series wise Report'!$A38,'Business - Dump'!$A:$A,'Series wise Report'!H$1)</f>
        <v>0</v>
      </c>
      <c r="I38" s="16">
        <f>SUMIFS('Business - Dump'!$K:$K,'Business - Dump'!$B:$B,'Series wise Report'!$A38,'Business - Dump'!$A:$A,'Series wise Report'!I$1)</f>
        <v>0</v>
      </c>
      <c r="J38" s="16">
        <f>SUMIFS('Business - Dump'!$K:$K,'Business - Dump'!$B:$B,'Series wise Report'!$A38,'Business - Dump'!$A:$A,'Series wise Report'!J$1)</f>
        <v>160</v>
      </c>
      <c r="K38" s="16">
        <f>SUMIFS('Business - Dump'!$K:$K,'Business - Dump'!$B:$B,'Series wise Report'!$A38,'Business - Dump'!$A:$A,'Series wise Report'!K$1)</f>
        <v>228</v>
      </c>
      <c r="L38" s="16">
        <f>SUMIFS('Business - Dump'!$K:$K,'Business - Dump'!$B:$B,'Series wise Report'!$A38,'Business - Dump'!$A:$A,'Series wise Report'!L$1)</f>
        <v>450</v>
      </c>
      <c r="M38" s="16">
        <f>SUMIFS('Business - Dump'!$K:$K,'Business - Dump'!$B:$B,'Series wise Report'!$A38,'Business - Dump'!$A:$A,'Series wise Report'!M$1)</f>
        <v>456</v>
      </c>
      <c r="N38" s="16">
        <f>SUMIFS('Business - Dump'!$K:$K,'Business - Dump'!$B:$B,'Series wise Report'!$A38,'Business - Dump'!$A:$A,'Series wise Report'!N$1)</f>
        <v>935</v>
      </c>
      <c r="O38" s="16">
        <f>SUMIFS('Business - Dump'!$K:$K,'Business - Dump'!$B:$B,'Series wise Report'!$A38,'Business - Dump'!$A:$A,'Series wise Report'!O$1)</f>
        <v>369</v>
      </c>
      <c r="P38" s="16">
        <f>SUMIFS('Business - Dump'!$K:$K,'Business - Dump'!$B:$B,'Series wise Report'!$A38,'Business - Dump'!$A:$A,'Series wise Report'!P$1)</f>
        <v>273</v>
      </c>
      <c r="Q38" s="16">
        <f>SUMIFS('Business - Dump'!$K:$K,'Business - Dump'!$B:$B,'Series wise Report'!$A38,'Business - Dump'!$A:$A,'Series wise Report'!Q$1)</f>
        <v>136</v>
      </c>
      <c r="R38" s="16">
        <f>SUMIFS('Business - Dump'!$K:$K,'Business - Dump'!$B:$B,'Series wise Report'!$A38,'Business - Dump'!$A:$A,'Series wise Report'!R$1)</f>
        <v>23</v>
      </c>
      <c r="S38" s="16">
        <f>SUMIFS('Business - Dump'!$K:$K,'Business - Dump'!$B:$B,'Series wise Report'!$A38,'Business - Dump'!$A:$A,'Series wise Report'!S$1)</f>
        <v>0</v>
      </c>
      <c r="T38" s="16">
        <f>SUMIFS('Business - Dump'!$K:$K,'Business - Dump'!$B:$B,'Series wise Report'!$A38,'Business - Dump'!$A:$A,'Series wise Report'!T$1)</f>
        <v>0</v>
      </c>
    </row>
    <row r="39" ht="15.75" customHeight="1">
      <c r="A39" s="138" t="s">
        <v>285</v>
      </c>
      <c r="B39" s="138" t="s">
        <v>264</v>
      </c>
      <c r="C39" s="3">
        <f t="shared" si="16"/>
        <v>24</v>
      </c>
      <c r="D39" s="3">
        <f>SUMIFS('Business - Dump'!$Q:$Q,'Business - Dump'!$B:$B,'Series wise Report'!$A39,'Business - Dump'!$A:$A,'Series wise Report'!D$1)</f>
        <v>1</v>
      </c>
      <c r="E39" s="3">
        <f>SUMIFS('Business - Dump'!$Q:$Q,'Business - Dump'!$B:$B,'Series wise Report'!$A39,'Business - Dump'!$A:$A,'Series wise Report'!E$1)</f>
        <v>2</v>
      </c>
      <c r="F39" s="3">
        <f>SUMIFS('Business - Dump'!$Q:$Q,'Business - Dump'!$B:$B,'Series wise Report'!$A39,'Business - Dump'!$A:$A,'Series wise Report'!F$1)</f>
        <v>0</v>
      </c>
      <c r="G39" s="3">
        <f>SUMIFS('Business - Dump'!$Q:$Q,'Business - Dump'!$B:$B,'Series wise Report'!$A39,'Business - Dump'!$A:$A,'Series wise Report'!G$1)</f>
        <v>0</v>
      </c>
      <c r="H39" s="3">
        <f>SUMIFS('Business - Dump'!$Q:$Q,'Business - Dump'!$B:$B,'Series wise Report'!$A39,'Business - Dump'!$A:$A,'Series wise Report'!H$1)</f>
        <v>0</v>
      </c>
      <c r="I39" s="3">
        <f>SUMIFS('Business - Dump'!$Q:$Q,'Business - Dump'!$B:$B,'Series wise Report'!$A39,'Business - Dump'!$A:$A,'Series wise Report'!I$1)</f>
        <v>0</v>
      </c>
      <c r="J39" s="3">
        <f>SUMIFS('Business - Dump'!$Q:$Q,'Business - Dump'!$B:$B,'Series wise Report'!$A39,'Business - Dump'!$A:$A,'Series wise Report'!J$1)</f>
        <v>1</v>
      </c>
      <c r="K39" s="3">
        <f>SUMIFS('Business - Dump'!$Q:$Q,'Business - Dump'!$B:$B,'Series wise Report'!$A39,'Business - Dump'!$A:$A,'Series wise Report'!K$1)</f>
        <v>2</v>
      </c>
      <c r="L39" s="3">
        <f>SUMIFS('Business - Dump'!$Q:$Q,'Business - Dump'!$B:$B,'Series wise Report'!$A39,'Business - Dump'!$A:$A,'Series wise Report'!L$1)</f>
        <v>8</v>
      </c>
      <c r="M39" s="3">
        <f>SUMIFS('Business - Dump'!$Q:$Q,'Business - Dump'!$B:$B,'Series wise Report'!$A39,'Business - Dump'!$A:$A,'Series wise Report'!M$1)</f>
        <v>3</v>
      </c>
      <c r="N39" s="3">
        <f>SUMIFS('Business - Dump'!$Q:$Q,'Business - Dump'!$B:$B,'Series wise Report'!$A39,'Business - Dump'!$A:$A,'Series wise Report'!N$1)</f>
        <v>4</v>
      </c>
      <c r="O39" s="3">
        <f>SUMIFS('Business - Dump'!$Q:$Q,'Business - Dump'!$B:$B,'Series wise Report'!$A39,'Business - Dump'!$A:$A,'Series wise Report'!O$1)</f>
        <v>3</v>
      </c>
      <c r="P39" s="3">
        <f>SUMIFS('Business - Dump'!$Q:$Q,'Business - Dump'!$B:$B,'Series wise Report'!$A39,'Business - Dump'!$A:$A,'Series wise Report'!P$1)</f>
        <v>0</v>
      </c>
      <c r="Q39" s="3">
        <f>SUMIFS('Business - Dump'!$Q:$Q,'Business - Dump'!$B:$B,'Series wise Report'!$A39,'Business - Dump'!$A:$A,'Series wise Report'!Q$1)</f>
        <v>1</v>
      </c>
      <c r="R39" s="3">
        <f>SUMIFS('Business - Dump'!$Q:$Q,'Business - Dump'!$B:$B,'Series wise Report'!$A39,'Business - Dump'!$A:$A,'Series wise Report'!R$1)</f>
        <v>1</v>
      </c>
      <c r="S39" s="3">
        <f>SUMIFS('Business - Dump'!$Q:$Q,'Business - Dump'!$B:$B,'Series wise Report'!$A39,'Business - Dump'!$A:$A,'Series wise Report'!S$1)</f>
        <v>0</v>
      </c>
      <c r="T39" s="3">
        <f>SUMIFS('Business - Dump'!$Q:$Q,'Business - Dump'!$B:$B,'Series wise Report'!$A39,'Business - Dump'!$A:$A,'Series wise Report'!T$1)</f>
        <v>0</v>
      </c>
    </row>
    <row r="40" ht="15.75" customHeight="1">
      <c r="A40" s="137" t="s">
        <v>285</v>
      </c>
      <c r="B40" s="137" t="s">
        <v>268</v>
      </c>
      <c r="C40" s="141">
        <f t="shared" si="16"/>
        <v>21</v>
      </c>
      <c r="D40" s="141">
        <f>SUMIFS('Business - Dump'!$W:$W,'Business - Dump'!$B:$B,'Series wise Report'!$A40,'Business - Dump'!$A:$A,'Series wise Report'!D$1)</f>
        <v>1</v>
      </c>
      <c r="E40" s="141">
        <f>SUMIFS('Business - Dump'!$W:$W,'Business - Dump'!$B:$B,'Series wise Report'!$A40,'Business - Dump'!$A:$A,'Series wise Report'!E$1)</f>
        <v>2</v>
      </c>
      <c r="F40" s="141">
        <f>SUMIFS('Business - Dump'!$W:$W,'Business - Dump'!$B:$B,'Series wise Report'!$A40,'Business - Dump'!$A:$A,'Series wise Report'!F$1)</f>
        <v>0</v>
      </c>
      <c r="G40" s="141">
        <f>SUMIFS('Business - Dump'!$W:$W,'Business - Dump'!$B:$B,'Series wise Report'!$A40,'Business - Dump'!$A:$A,'Series wise Report'!G$1)</f>
        <v>0</v>
      </c>
      <c r="H40" s="141">
        <f>SUMIFS('Business - Dump'!$W:$W,'Business - Dump'!$B:$B,'Series wise Report'!$A40,'Business - Dump'!$A:$A,'Series wise Report'!H$1)</f>
        <v>0</v>
      </c>
      <c r="I40" s="141">
        <f>SUMIFS('Business - Dump'!$W:$W,'Business - Dump'!$B:$B,'Series wise Report'!$A40,'Business - Dump'!$A:$A,'Series wise Report'!I$1)</f>
        <v>0</v>
      </c>
      <c r="J40" s="141">
        <f>SUMIFS('Business - Dump'!$W:$W,'Business - Dump'!$B:$B,'Series wise Report'!$A40,'Business - Dump'!$A:$A,'Series wise Report'!J$1)</f>
        <v>1</v>
      </c>
      <c r="K40" s="141">
        <f>SUMIFS('Business - Dump'!$W:$W,'Business - Dump'!$B:$B,'Series wise Report'!$A40,'Business - Dump'!$A:$A,'Series wise Report'!K$1)</f>
        <v>1</v>
      </c>
      <c r="L40" s="141">
        <f>SUMIFS('Business - Dump'!$W:$W,'Business - Dump'!$B:$B,'Series wise Report'!$A40,'Business - Dump'!$A:$A,'Series wise Report'!L$1)</f>
        <v>8</v>
      </c>
      <c r="M40" s="141">
        <f>SUMIFS('Business - Dump'!$W:$W,'Business - Dump'!$B:$B,'Series wise Report'!$A40,'Business - Dump'!$A:$A,'Series wise Report'!M$1)</f>
        <v>3</v>
      </c>
      <c r="N40" s="141">
        <f>SUMIFS('Business - Dump'!$W:$W,'Business - Dump'!$B:$B,'Series wise Report'!$A40,'Business - Dump'!$A:$A,'Series wise Report'!N$1)</f>
        <v>2</v>
      </c>
      <c r="O40" s="141">
        <f>SUMIFS('Business - Dump'!$W:$W,'Business - Dump'!$B:$B,'Series wise Report'!$A40,'Business - Dump'!$A:$A,'Series wise Report'!O$1)</f>
        <v>3</v>
      </c>
      <c r="P40" s="141">
        <f>SUMIFS('Business - Dump'!$W:$W,'Business - Dump'!$B:$B,'Series wise Report'!$A40,'Business - Dump'!$A:$A,'Series wise Report'!P$1)</f>
        <v>0</v>
      </c>
      <c r="Q40" s="141">
        <f>SUMIFS('Business - Dump'!$W:$W,'Business - Dump'!$B:$B,'Series wise Report'!$A40,'Business - Dump'!$A:$A,'Series wise Report'!Q$1)</f>
        <v>1</v>
      </c>
      <c r="R40" s="141">
        <f>SUMIFS('Business - Dump'!$W:$W,'Business - Dump'!$B:$B,'Series wise Report'!$A40,'Business - Dump'!$A:$A,'Series wise Report'!R$1)</f>
        <v>1</v>
      </c>
      <c r="S40" s="141">
        <f>SUMIFS('Business - Dump'!$W:$W,'Business - Dump'!$B:$B,'Series wise Report'!$A40,'Business - Dump'!$A:$A,'Series wise Report'!S$1)</f>
        <v>0</v>
      </c>
      <c r="T40" s="141">
        <f>SUMIFS('Business - Dump'!$W:$W,'Business - Dump'!$B:$B,'Series wise Report'!$A40,'Business - Dump'!$A:$A,'Series wise Report'!T$1)</f>
        <v>0</v>
      </c>
    </row>
    <row r="41" ht="15.75" customHeight="1">
      <c r="A41" s="10" t="s">
        <v>285</v>
      </c>
      <c r="B41" s="10" t="s">
        <v>26</v>
      </c>
      <c r="C41" s="15">
        <f t="shared" si="16"/>
        <v>300070</v>
      </c>
      <c r="D41" s="15">
        <f>SUMIFS('Business - Dump'!$U:$U,'Business - Dump'!$B:$B,'Series wise Report'!$A41,'Business - Dump'!$A:$A,'Series wise Report'!D$1)</f>
        <v>14900</v>
      </c>
      <c r="E41" s="15">
        <f>SUMIFS('Business - Dump'!$U:$U,'Business - Dump'!$B:$B,'Series wise Report'!$A41,'Business - Dump'!$A:$A,'Series wise Report'!E$1)</f>
        <v>29800</v>
      </c>
      <c r="F41" s="15">
        <f>SUMIFS('Business - Dump'!$U:$U,'Business - Dump'!$B:$B,'Series wise Report'!$A41,'Business - Dump'!$A:$A,'Series wise Report'!F$1)</f>
        <v>0</v>
      </c>
      <c r="G41" s="15">
        <f>SUMIFS('Business - Dump'!$U:$U,'Business - Dump'!$B:$B,'Series wise Report'!$A41,'Business - Dump'!$A:$A,'Series wise Report'!G$1)</f>
        <v>0</v>
      </c>
      <c r="H41" s="15">
        <f>SUMIFS('Business - Dump'!$U:$U,'Business - Dump'!$B:$B,'Series wise Report'!$A41,'Business - Dump'!$A:$A,'Series wise Report'!H$1)</f>
        <v>0</v>
      </c>
      <c r="I41" s="15">
        <f>SUMIFS('Business - Dump'!$U:$U,'Business - Dump'!$B:$B,'Series wise Report'!$A41,'Business - Dump'!$A:$A,'Series wise Report'!I$1)</f>
        <v>0</v>
      </c>
      <c r="J41" s="15">
        <f>SUMIFS('Business - Dump'!$U:$U,'Business - Dump'!$B:$B,'Series wise Report'!$A41,'Business - Dump'!$A:$A,'Series wise Report'!J$1)</f>
        <v>12200</v>
      </c>
      <c r="K41" s="15">
        <f>SUMIFS('Business - Dump'!$U:$U,'Business - Dump'!$B:$B,'Series wise Report'!$A41,'Business - Dump'!$A:$A,'Series wise Report'!K$1)</f>
        <v>24400</v>
      </c>
      <c r="L41" s="15">
        <f>SUMIFS('Business - Dump'!$U:$U,'Business - Dump'!$B:$B,'Series wise Report'!$A41,'Business - Dump'!$A:$A,'Series wise Report'!L$1)</f>
        <v>98880</v>
      </c>
      <c r="M41" s="15">
        <f>SUMIFS('Business - Dump'!$U:$U,'Business - Dump'!$B:$B,'Series wise Report'!$A41,'Business - Dump'!$A:$A,'Series wise Report'!M$1)</f>
        <v>36590</v>
      </c>
      <c r="N41" s="15">
        <f>SUMIFS('Business - Dump'!$U:$U,'Business - Dump'!$B:$B,'Series wise Report'!$A41,'Business - Dump'!$A:$A,'Series wise Report'!N$1)</f>
        <v>47600</v>
      </c>
      <c r="O41" s="15">
        <f>SUMIFS('Business - Dump'!$U:$U,'Business - Dump'!$B:$B,'Series wise Report'!$A41,'Business - Dump'!$A:$A,'Series wise Report'!O$1)</f>
        <v>35700</v>
      </c>
      <c r="P41" s="15">
        <f>SUMIFS('Business - Dump'!$U:$U,'Business - Dump'!$B:$B,'Series wise Report'!$A41,'Business - Dump'!$A:$A,'Series wise Report'!P$1)</f>
        <v>0</v>
      </c>
      <c r="Q41" s="15">
        <f>SUMIFS('Business - Dump'!$U:$U,'Business - Dump'!$B:$B,'Series wise Report'!$A41,'Business - Dump'!$A:$A,'Series wise Report'!Q$1)</f>
        <v>12150</v>
      </c>
      <c r="R41" s="15">
        <f>SUMIFS('Business - Dump'!$U:$U,'Business - Dump'!$B:$B,'Series wise Report'!$A41,'Business - Dump'!$A:$A,'Series wise Report'!R$1)</f>
        <v>12150</v>
      </c>
      <c r="S41" s="15">
        <f>SUMIFS('Business - Dump'!$U:$U,'Business - Dump'!$B:$B,'Series wise Report'!$A41,'Business - Dump'!$A:$A,'Series wise Report'!S$1)</f>
        <v>0</v>
      </c>
      <c r="T41" s="15">
        <f>SUMIFS('Business - Dump'!$U:$U,'Business - Dump'!$B:$B,'Series wise Report'!$A41,'Business - Dump'!$A:$A,'Series wise Report'!T$1)</f>
        <v>0</v>
      </c>
    </row>
    <row r="42" ht="15.75" customHeight="1">
      <c r="A42" s="10" t="s">
        <v>285</v>
      </c>
      <c r="B42" s="10" t="s">
        <v>29</v>
      </c>
      <c r="C42" s="17">
        <f t="shared" ref="C42:T42" si="17">IFERROR(C40/C37,0)</f>
        <v>0.01064368981</v>
      </c>
      <c r="D42" s="17">
        <f t="shared" si="17"/>
        <v>0.0243902439</v>
      </c>
      <c r="E42" s="17">
        <f t="shared" si="17"/>
        <v>0.0253164557</v>
      </c>
      <c r="F42" s="17">
        <f t="shared" si="17"/>
        <v>0</v>
      </c>
      <c r="G42" s="17">
        <f t="shared" si="17"/>
        <v>0</v>
      </c>
      <c r="H42" s="17">
        <f t="shared" si="17"/>
        <v>0</v>
      </c>
      <c r="I42" s="17">
        <f t="shared" si="17"/>
        <v>0</v>
      </c>
      <c r="J42" s="17">
        <f t="shared" si="17"/>
        <v>0.01086956522</v>
      </c>
      <c r="K42" s="17">
        <f t="shared" si="17"/>
        <v>0.008196721311</v>
      </c>
      <c r="L42" s="17">
        <f t="shared" si="17"/>
        <v>0.03100775194</v>
      </c>
      <c r="M42" s="17">
        <f t="shared" si="17"/>
        <v>0.009868421053</v>
      </c>
      <c r="N42" s="17">
        <f t="shared" si="17"/>
        <v>0.002894356006</v>
      </c>
      <c r="O42" s="17">
        <f t="shared" si="17"/>
        <v>0.01357466063</v>
      </c>
      <c r="P42" s="17">
        <f t="shared" si="17"/>
        <v>0</v>
      </c>
      <c r="Q42" s="17">
        <f t="shared" si="17"/>
        <v>0.01612903226</v>
      </c>
      <c r="R42" s="17">
        <f t="shared" si="17"/>
        <v>0.09090909091</v>
      </c>
      <c r="S42" s="17">
        <f t="shared" si="17"/>
        <v>0</v>
      </c>
      <c r="T42" s="17">
        <f t="shared" si="17"/>
        <v>0</v>
      </c>
    </row>
    <row r="43" ht="15.75" customHeight="1">
      <c r="A43" s="10" t="s">
        <v>285</v>
      </c>
      <c r="B43" s="10" t="s">
        <v>282</v>
      </c>
      <c r="C43" s="16">
        <f t="shared" ref="C43:T43" si="18">IFERROR(C41/C40,0)</f>
        <v>14289.04762</v>
      </c>
      <c r="D43" s="16">
        <f t="shared" si="18"/>
        <v>14900</v>
      </c>
      <c r="E43" s="16">
        <f t="shared" si="18"/>
        <v>14900</v>
      </c>
      <c r="F43" s="16">
        <f t="shared" si="18"/>
        <v>0</v>
      </c>
      <c r="G43" s="16">
        <f t="shared" si="18"/>
        <v>0</v>
      </c>
      <c r="H43" s="16">
        <f t="shared" si="18"/>
        <v>0</v>
      </c>
      <c r="I43" s="16">
        <f t="shared" si="18"/>
        <v>0</v>
      </c>
      <c r="J43" s="16">
        <f t="shared" si="18"/>
        <v>12200</v>
      </c>
      <c r="K43" s="16">
        <f t="shared" si="18"/>
        <v>24400</v>
      </c>
      <c r="L43" s="16">
        <f t="shared" si="18"/>
        <v>12360</v>
      </c>
      <c r="M43" s="16">
        <f t="shared" si="18"/>
        <v>12196.66667</v>
      </c>
      <c r="N43" s="16">
        <f t="shared" si="18"/>
        <v>23800</v>
      </c>
      <c r="O43" s="16">
        <f t="shared" si="18"/>
        <v>11900</v>
      </c>
      <c r="P43" s="16">
        <f t="shared" si="18"/>
        <v>0</v>
      </c>
      <c r="Q43" s="16">
        <f t="shared" si="18"/>
        <v>12150</v>
      </c>
      <c r="R43" s="16">
        <f t="shared" si="18"/>
        <v>12150</v>
      </c>
      <c r="S43" s="16">
        <f t="shared" si="18"/>
        <v>0</v>
      </c>
      <c r="T43" s="16">
        <f t="shared" si="18"/>
        <v>0</v>
      </c>
    </row>
    <row r="44" ht="15.75" customHeight="1">
      <c r="A44" s="10" t="s">
        <v>158</v>
      </c>
      <c r="B44" s="10" t="s">
        <v>257</v>
      </c>
      <c r="C44" s="16">
        <f t="shared" ref="C44:C48" si="19">SUM(D44:P44)</f>
        <v>18375</v>
      </c>
      <c r="D44" s="16">
        <f>SUMIFS('Business - Dump'!$G:$G,'Business - Dump'!$B:$B,'Series wise Report'!$A44,'Business - Dump'!$A:$A,'Series wise Report'!D$1)</f>
        <v>0</v>
      </c>
      <c r="E44" s="16">
        <f>SUMIFS('Business - Dump'!$G:$G,'Business - Dump'!$B:$B,'Series wise Report'!$A44,'Business - Dump'!$A:$A,'Series wise Report'!E$1)</f>
        <v>112</v>
      </c>
      <c r="F44" s="16">
        <f>SUMIFS('Business - Dump'!$G:$G,'Business - Dump'!$B:$B,'Series wise Report'!$A44,'Business - Dump'!$A:$A,'Series wise Report'!F$1)</f>
        <v>673</v>
      </c>
      <c r="G44" s="16">
        <f>SUMIFS('Business - Dump'!$G:$G,'Business - Dump'!$B:$B,'Series wise Report'!$A44,'Business - Dump'!$A:$A,'Series wise Report'!G$1)</f>
        <v>1015</v>
      </c>
      <c r="H44" s="16">
        <f>SUMIFS('Business - Dump'!$G:$G,'Business - Dump'!$B:$B,'Series wise Report'!$A44,'Business - Dump'!$A:$A,'Series wise Report'!H$1)</f>
        <v>1029</v>
      </c>
      <c r="I44" s="16">
        <f>SUMIFS('Business - Dump'!$G:$G,'Business - Dump'!$B:$B,'Series wise Report'!$A44,'Business - Dump'!$A:$A,'Series wise Report'!I$1)</f>
        <v>1017</v>
      </c>
      <c r="J44" s="16">
        <f>SUMIFS('Business - Dump'!$G:$G,'Business - Dump'!$B:$B,'Series wise Report'!$A44,'Business - Dump'!$A:$A,'Series wise Report'!J$1)</f>
        <v>1537</v>
      </c>
      <c r="K44" s="16">
        <f>SUMIFS('Business - Dump'!$G:$G,'Business - Dump'!$B:$B,'Series wise Report'!$A44,'Business - Dump'!$A:$A,'Series wise Report'!K$1)</f>
        <v>3292</v>
      </c>
      <c r="L44" s="16">
        <f>SUMIFS('Business - Dump'!$G:$G,'Business - Dump'!$B:$B,'Series wise Report'!$A44,'Business - Dump'!$A:$A,'Series wise Report'!L$1)</f>
        <v>155</v>
      </c>
      <c r="M44" s="16">
        <f>SUMIFS('Business - Dump'!$G:$G,'Business - Dump'!$B:$B,'Series wise Report'!$A44,'Business - Dump'!$A:$A,'Series wise Report'!M$1)</f>
        <v>1864</v>
      </c>
      <c r="N44" s="16">
        <f>SUMIFS('Business - Dump'!$G:$G,'Business - Dump'!$B:$B,'Series wise Report'!$A44,'Business - Dump'!$A:$A,'Series wise Report'!N$1)</f>
        <v>3897</v>
      </c>
      <c r="O44" s="16">
        <f>SUMIFS('Business - Dump'!$G:$G,'Business - Dump'!$B:$B,'Series wise Report'!$A44,'Business - Dump'!$A:$A,'Series wise Report'!O$1)</f>
        <v>3073</v>
      </c>
      <c r="P44" s="16">
        <f>SUMIFS('Business - Dump'!$G:$G,'Business - Dump'!$B:$B,'Series wise Report'!$A44,'Business - Dump'!$A:$A,'Series wise Report'!P$1)</f>
        <v>711</v>
      </c>
      <c r="Q44" s="16">
        <f>SUMIFS('Business - Dump'!$G:$G,'Business - Dump'!$B:$B,'Series wise Report'!$A44,'Business - Dump'!$A:$A,'Series wise Report'!Q$1)</f>
        <v>1757</v>
      </c>
      <c r="R44" s="16">
        <f>SUMIFS('Business - Dump'!$G:$G,'Business - Dump'!$B:$B,'Series wise Report'!$A44,'Business - Dump'!$A:$A,'Series wise Report'!R$1)</f>
        <v>1340</v>
      </c>
      <c r="S44" s="16">
        <f>SUMIFS('Business - Dump'!$G:$G,'Business - Dump'!$B:$B,'Series wise Report'!$A44,'Business - Dump'!$A:$A,'Series wise Report'!S$1)</f>
        <v>7395</v>
      </c>
      <c r="T44" s="16">
        <f>SUMIFS('Business - Dump'!$G:$G,'Business - Dump'!$B:$B,'Series wise Report'!$A44,'Business - Dump'!$A:$A,'Series wise Report'!T$1)</f>
        <v>9705</v>
      </c>
    </row>
    <row r="45" ht="15.75" customHeight="1">
      <c r="A45" s="10" t="s">
        <v>158</v>
      </c>
      <c r="B45" s="10" t="s">
        <v>260</v>
      </c>
      <c r="C45" s="16">
        <f t="shared" si="19"/>
        <v>25244</v>
      </c>
      <c r="D45" s="16">
        <f>SUMIFS('Business - Dump'!$K:$K,'Business - Dump'!$B:$B,'Series wise Report'!$A45,'Business - Dump'!$A:$A,'Series wise Report'!D$1)</f>
        <v>0</v>
      </c>
      <c r="E45" s="16">
        <f>SUMIFS('Business - Dump'!$K:$K,'Business - Dump'!$B:$B,'Series wise Report'!$A45,'Business - Dump'!$A:$A,'Series wise Report'!E$1)</f>
        <v>160</v>
      </c>
      <c r="F45" s="16">
        <f>SUMIFS('Business - Dump'!$K:$K,'Business - Dump'!$B:$B,'Series wise Report'!$A45,'Business - Dump'!$A:$A,'Series wise Report'!F$1)</f>
        <v>853</v>
      </c>
      <c r="G45" s="16">
        <f>SUMIFS('Business - Dump'!$K:$K,'Business - Dump'!$B:$B,'Series wise Report'!$A45,'Business - Dump'!$A:$A,'Series wise Report'!G$1)</f>
        <v>1330</v>
      </c>
      <c r="H45" s="16">
        <f>SUMIFS('Business - Dump'!$K:$K,'Business - Dump'!$B:$B,'Series wise Report'!$A45,'Business - Dump'!$A:$A,'Series wise Report'!H$1)</f>
        <v>1294</v>
      </c>
      <c r="I45" s="16">
        <f>SUMIFS('Business - Dump'!$K:$K,'Business - Dump'!$B:$B,'Series wise Report'!$A45,'Business - Dump'!$A:$A,'Series wise Report'!I$1)</f>
        <v>1373</v>
      </c>
      <c r="J45" s="16">
        <f>SUMIFS('Business - Dump'!$K:$K,'Business - Dump'!$B:$B,'Series wise Report'!$A45,'Business - Dump'!$A:$A,'Series wise Report'!J$1)</f>
        <v>2468</v>
      </c>
      <c r="K45" s="16">
        <f>SUMIFS('Business - Dump'!$K:$K,'Business - Dump'!$B:$B,'Series wise Report'!$A45,'Business - Dump'!$A:$A,'Series wise Report'!K$1)</f>
        <v>4085</v>
      </c>
      <c r="L45" s="16">
        <f>SUMIFS('Business - Dump'!$K:$K,'Business - Dump'!$B:$B,'Series wise Report'!$A45,'Business - Dump'!$A:$A,'Series wise Report'!L$1)</f>
        <v>232</v>
      </c>
      <c r="M45" s="16">
        <f>SUMIFS('Business - Dump'!$K:$K,'Business - Dump'!$B:$B,'Series wise Report'!$A45,'Business - Dump'!$A:$A,'Series wise Report'!M$1)</f>
        <v>2579</v>
      </c>
      <c r="N45" s="16">
        <f>SUMIFS('Business - Dump'!$K:$K,'Business - Dump'!$B:$B,'Series wise Report'!$A45,'Business - Dump'!$A:$A,'Series wise Report'!N$1)</f>
        <v>5505</v>
      </c>
      <c r="O45" s="16">
        <f>SUMIFS('Business - Dump'!$K:$K,'Business - Dump'!$B:$B,'Series wise Report'!$A45,'Business - Dump'!$A:$A,'Series wise Report'!O$1)</f>
        <v>4312</v>
      </c>
      <c r="P45" s="16">
        <f>SUMIFS('Business - Dump'!$K:$K,'Business - Dump'!$B:$B,'Series wise Report'!$A45,'Business - Dump'!$A:$A,'Series wise Report'!P$1)</f>
        <v>1053</v>
      </c>
      <c r="Q45" s="16">
        <f>SUMIFS('Business - Dump'!$K:$K,'Business - Dump'!$B:$B,'Series wise Report'!$A45,'Business - Dump'!$A:$A,'Series wise Report'!Q$1)</f>
        <v>2438</v>
      </c>
      <c r="R45" s="16">
        <f>SUMIFS('Business - Dump'!$K:$K,'Business - Dump'!$B:$B,'Series wise Report'!$A45,'Business - Dump'!$A:$A,'Series wise Report'!R$1)</f>
        <v>1937</v>
      </c>
      <c r="S45" s="16">
        <f>SUMIFS('Business - Dump'!$K:$K,'Business - Dump'!$B:$B,'Series wise Report'!$A45,'Business - Dump'!$A:$A,'Series wise Report'!S$1)</f>
        <v>11112</v>
      </c>
      <c r="T45" s="16">
        <f>SUMIFS('Business - Dump'!$K:$K,'Business - Dump'!$B:$B,'Series wise Report'!$A45,'Business - Dump'!$A:$A,'Series wise Report'!T$1)</f>
        <v>14129</v>
      </c>
    </row>
    <row r="46" ht="15.75" customHeight="1">
      <c r="A46" s="138" t="s">
        <v>158</v>
      </c>
      <c r="B46" s="138" t="s">
        <v>264</v>
      </c>
      <c r="C46" s="3">
        <f t="shared" si="19"/>
        <v>108</v>
      </c>
      <c r="D46" s="3">
        <f>SUMIFS('Business - Dump'!$Q:$Q,'Business - Dump'!$B:$B,'Series wise Report'!$A46,'Business - Dump'!$A:$A,'Series wise Report'!D$1)</f>
        <v>0</v>
      </c>
      <c r="E46" s="3">
        <f>SUMIFS('Business - Dump'!$Q:$Q,'Business - Dump'!$B:$B,'Series wise Report'!$A46,'Business - Dump'!$A:$A,'Series wise Report'!E$1)</f>
        <v>1</v>
      </c>
      <c r="F46" s="3">
        <f>SUMIFS('Business - Dump'!$Q:$Q,'Business - Dump'!$B:$B,'Series wise Report'!$A46,'Business - Dump'!$A:$A,'Series wise Report'!F$1)</f>
        <v>1</v>
      </c>
      <c r="G46" s="3">
        <f>SUMIFS('Business - Dump'!$Q:$Q,'Business - Dump'!$B:$B,'Series wise Report'!$A46,'Business - Dump'!$A:$A,'Series wise Report'!G$1)</f>
        <v>2</v>
      </c>
      <c r="H46" s="3">
        <f>SUMIFS('Business - Dump'!$Q:$Q,'Business - Dump'!$B:$B,'Series wise Report'!$A46,'Business - Dump'!$A:$A,'Series wise Report'!H$1)</f>
        <v>2</v>
      </c>
      <c r="I46" s="3">
        <f>SUMIFS('Business - Dump'!$Q:$Q,'Business - Dump'!$B:$B,'Series wise Report'!$A46,'Business - Dump'!$A:$A,'Series wise Report'!I$1)</f>
        <v>3</v>
      </c>
      <c r="J46" s="3">
        <f>SUMIFS('Business - Dump'!$Q:$Q,'Business - Dump'!$B:$B,'Series wise Report'!$A46,'Business - Dump'!$A:$A,'Series wise Report'!J$1)</f>
        <v>1</v>
      </c>
      <c r="K46" s="3">
        <f>SUMIFS('Business - Dump'!$Q:$Q,'Business - Dump'!$B:$B,'Series wise Report'!$A46,'Business - Dump'!$A:$A,'Series wise Report'!K$1)</f>
        <v>3</v>
      </c>
      <c r="L46" s="3">
        <f>SUMIFS('Business - Dump'!$Q:$Q,'Business - Dump'!$B:$B,'Series wise Report'!$A46,'Business - Dump'!$A:$A,'Series wise Report'!L$1)</f>
        <v>2</v>
      </c>
      <c r="M46" s="3">
        <f>SUMIFS('Business - Dump'!$Q:$Q,'Business - Dump'!$B:$B,'Series wise Report'!$A46,'Business - Dump'!$A:$A,'Series wise Report'!M$1)</f>
        <v>16</v>
      </c>
      <c r="N46" s="3">
        <f>SUMIFS('Business - Dump'!$Q:$Q,'Business - Dump'!$B:$B,'Series wise Report'!$A46,'Business - Dump'!$A:$A,'Series wise Report'!N$1)</f>
        <v>43</v>
      </c>
      <c r="O46" s="3">
        <f>SUMIFS('Business - Dump'!$Q:$Q,'Business - Dump'!$B:$B,'Series wise Report'!$A46,'Business - Dump'!$A:$A,'Series wise Report'!O$1)</f>
        <v>24</v>
      </c>
      <c r="P46" s="3">
        <f>SUMIFS('Business - Dump'!$Q:$Q,'Business - Dump'!$B:$B,'Series wise Report'!$A46,'Business - Dump'!$A:$A,'Series wise Report'!P$1)</f>
        <v>10</v>
      </c>
      <c r="Q46" s="3">
        <f>SUMIFS('Business - Dump'!$Q:$Q,'Business - Dump'!$B:$B,'Series wise Report'!$A46,'Business - Dump'!$A:$A,'Series wise Report'!Q$1)</f>
        <v>11</v>
      </c>
      <c r="R46" s="3">
        <f>SUMIFS('Business - Dump'!$Q:$Q,'Business - Dump'!$B:$B,'Series wise Report'!$A46,'Business - Dump'!$A:$A,'Series wise Report'!R$1)</f>
        <v>10</v>
      </c>
      <c r="S46" s="24">
        <f>SUMIFS('Business - Dump'!$Q:$Q,'Business - Dump'!$B:$B,'Series wise Report'!$A46,'Business - Dump'!$A:$A,'Series wise Report'!S$1)</f>
        <v>100</v>
      </c>
      <c r="T46" s="24">
        <f>SUMIFS('Business - Dump'!$Q:$Q,'Business - Dump'!$B:$B,'Series wise Report'!$A46,'Business - Dump'!$A:$A,'Series wise Report'!T$1)</f>
        <v>129</v>
      </c>
    </row>
    <row r="47" ht="15.75" customHeight="1">
      <c r="A47" s="137" t="s">
        <v>158</v>
      </c>
      <c r="B47" s="137" t="s">
        <v>268</v>
      </c>
      <c r="C47" s="141">
        <f t="shared" si="19"/>
        <v>106</v>
      </c>
      <c r="D47" s="141">
        <f>SUMIFS('Business - Dump'!$W:$W,'Business - Dump'!$B:$B,'Series wise Report'!$A47,'Business - Dump'!$A:$A,'Series wise Report'!D$1)</f>
        <v>0</v>
      </c>
      <c r="E47" s="141">
        <f>SUMIFS('Business - Dump'!$W:$W,'Business - Dump'!$B:$B,'Series wise Report'!$A47,'Business - Dump'!$A:$A,'Series wise Report'!E$1)</f>
        <v>1</v>
      </c>
      <c r="F47" s="141">
        <f>SUMIFS('Business - Dump'!$W:$W,'Business - Dump'!$B:$B,'Series wise Report'!$A47,'Business - Dump'!$A:$A,'Series wise Report'!F$1)</f>
        <v>1</v>
      </c>
      <c r="G47" s="141">
        <f>SUMIFS('Business - Dump'!$W:$W,'Business - Dump'!$B:$B,'Series wise Report'!$A47,'Business - Dump'!$A:$A,'Series wise Report'!G$1)</f>
        <v>2</v>
      </c>
      <c r="H47" s="141">
        <f>SUMIFS('Business - Dump'!$W:$W,'Business - Dump'!$B:$B,'Series wise Report'!$A47,'Business - Dump'!$A:$A,'Series wise Report'!H$1)</f>
        <v>2</v>
      </c>
      <c r="I47" s="141">
        <f>SUMIFS('Business - Dump'!$W:$W,'Business - Dump'!$B:$B,'Series wise Report'!$A47,'Business - Dump'!$A:$A,'Series wise Report'!I$1)</f>
        <v>3</v>
      </c>
      <c r="J47" s="141">
        <f>SUMIFS('Business - Dump'!$W:$W,'Business - Dump'!$B:$B,'Series wise Report'!$A47,'Business - Dump'!$A:$A,'Series wise Report'!J$1)</f>
        <v>1</v>
      </c>
      <c r="K47" s="141">
        <f>SUMIFS('Business - Dump'!$W:$W,'Business - Dump'!$B:$B,'Series wise Report'!$A47,'Business - Dump'!$A:$A,'Series wise Report'!K$1)</f>
        <v>3</v>
      </c>
      <c r="L47" s="141">
        <f>SUMIFS('Business - Dump'!$W:$W,'Business - Dump'!$B:$B,'Series wise Report'!$A47,'Business - Dump'!$A:$A,'Series wise Report'!L$1)</f>
        <v>2</v>
      </c>
      <c r="M47" s="141">
        <f>SUMIFS('Business - Dump'!$W:$W,'Business - Dump'!$B:$B,'Series wise Report'!$A47,'Business - Dump'!$A:$A,'Series wise Report'!M$1)</f>
        <v>15</v>
      </c>
      <c r="N47" s="141">
        <f>SUMIFS('Business - Dump'!$W:$W,'Business - Dump'!$B:$B,'Series wise Report'!$A47,'Business - Dump'!$A:$A,'Series wise Report'!N$1)</f>
        <v>42</v>
      </c>
      <c r="O47" s="141">
        <f>SUMIFS('Business - Dump'!$W:$W,'Business - Dump'!$B:$B,'Series wise Report'!$A47,'Business - Dump'!$A:$A,'Series wise Report'!O$1)</f>
        <v>24</v>
      </c>
      <c r="P47" s="141">
        <f>SUMIFS('Business - Dump'!$W:$W,'Business - Dump'!$B:$B,'Series wise Report'!$A47,'Business - Dump'!$A:$A,'Series wise Report'!P$1)</f>
        <v>10</v>
      </c>
      <c r="Q47" s="141">
        <f>SUMIFS('Business - Dump'!$W:$W,'Business - Dump'!$B:$B,'Series wise Report'!$A47,'Business - Dump'!$A:$A,'Series wise Report'!Q$1)</f>
        <v>10</v>
      </c>
      <c r="R47" s="141">
        <f>SUMIFS('Business - Dump'!$W:$W,'Business - Dump'!$B:$B,'Series wise Report'!$A47,'Business - Dump'!$A:$A,'Series wise Report'!R$1)</f>
        <v>10</v>
      </c>
      <c r="S47" s="141">
        <f>SUMIFS('Business - Dump'!$W:$W,'Business - Dump'!$B:$B,'Series wise Report'!$A47,'Business - Dump'!$A:$A,'Series wise Report'!S$1)</f>
        <v>94</v>
      </c>
      <c r="T47" s="141">
        <f>SUMIFS('Business - Dump'!$W:$W,'Business - Dump'!$B:$B,'Series wise Report'!$A47,'Business - Dump'!$A:$A,'Series wise Report'!T$1)</f>
        <v>124</v>
      </c>
    </row>
    <row r="48" ht="15.75" customHeight="1">
      <c r="A48" s="10" t="s">
        <v>158</v>
      </c>
      <c r="B48" s="10" t="s">
        <v>26</v>
      </c>
      <c r="C48" s="15">
        <f t="shared" si="19"/>
        <v>462902.46</v>
      </c>
      <c r="D48" s="15">
        <f>SUMIFS('Business - Dump'!$U:$U,'Business - Dump'!$B:$B,'Series wise Report'!$A48,'Business - Dump'!$A:$A,'Series wise Report'!D$1)</f>
        <v>0</v>
      </c>
      <c r="E48" s="15">
        <f>SUMIFS('Business - Dump'!$U:$U,'Business - Dump'!$B:$B,'Series wise Report'!$A48,'Business - Dump'!$A:$A,'Series wise Report'!E$1)</f>
        <v>12950</v>
      </c>
      <c r="F48" s="15">
        <f>SUMIFS('Business - Dump'!$U:$U,'Business - Dump'!$B:$B,'Series wise Report'!$A48,'Business - Dump'!$A:$A,'Series wise Report'!F$1)</f>
        <v>10900</v>
      </c>
      <c r="G48" s="15">
        <f>SUMIFS('Business - Dump'!$U:$U,'Business - Dump'!$B:$B,'Series wise Report'!$A48,'Business - Dump'!$A:$A,'Series wise Report'!G$1)</f>
        <v>19647.46</v>
      </c>
      <c r="H48" s="15">
        <f>SUMIFS('Business - Dump'!$U:$U,'Business - Dump'!$B:$B,'Series wise Report'!$A48,'Business - Dump'!$A:$A,'Series wise Report'!H$1)</f>
        <v>17800</v>
      </c>
      <c r="I48" s="15">
        <f>SUMIFS('Business - Dump'!$U:$U,'Business - Dump'!$B:$B,'Series wise Report'!$A48,'Business - Dump'!$A:$A,'Series wise Report'!I$1)</f>
        <v>26700</v>
      </c>
      <c r="J48" s="15">
        <f>SUMIFS('Business - Dump'!$U:$U,'Business - Dump'!$B:$B,'Series wise Report'!$A48,'Business - Dump'!$A:$A,'Series wise Report'!J$1)</f>
        <v>7900</v>
      </c>
      <c r="K48" s="15">
        <f>SUMIFS('Business - Dump'!$U:$U,'Business - Dump'!$B:$B,'Series wise Report'!$A48,'Business - Dump'!$A:$A,'Series wise Report'!K$1)</f>
        <v>23700</v>
      </c>
      <c r="L48" s="15">
        <f>SUMIFS('Business - Dump'!$U:$U,'Business - Dump'!$B:$B,'Series wise Report'!$A48,'Business - Dump'!$A:$A,'Series wise Report'!L$1)</f>
        <v>11100</v>
      </c>
      <c r="M48" s="15">
        <f>SUMIFS('Business - Dump'!$U:$U,'Business - Dump'!$B:$B,'Series wise Report'!$A48,'Business - Dump'!$A:$A,'Series wise Report'!M$1)</f>
        <v>61937</v>
      </c>
      <c r="N48" s="15">
        <f>SUMIFS('Business - Dump'!$U:$U,'Business - Dump'!$B:$B,'Series wise Report'!$A48,'Business - Dump'!$A:$A,'Series wise Report'!N$1)</f>
        <v>148475</v>
      </c>
      <c r="O48" s="15">
        <f>SUMIFS('Business - Dump'!$U:$U,'Business - Dump'!$B:$B,'Series wise Report'!$A48,'Business - Dump'!$A:$A,'Series wise Report'!O$1)</f>
        <v>83499</v>
      </c>
      <c r="P48" s="15">
        <f>SUMIFS('Business - Dump'!$U:$U,'Business - Dump'!$B:$B,'Series wise Report'!$A48,'Business - Dump'!$A:$A,'Series wise Report'!P$1)</f>
        <v>38294</v>
      </c>
      <c r="Q48" s="15">
        <f>SUMIFS('Business - Dump'!$U:$U,'Business - Dump'!$B:$B,'Series wise Report'!$A48,'Business - Dump'!$A:$A,'Series wise Report'!Q$1)</f>
        <v>64729</v>
      </c>
      <c r="R48" s="15">
        <f>SUMIFS('Business - Dump'!$U:$U,'Business - Dump'!$B:$B,'Series wise Report'!$A48,'Business - Dump'!$A:$A,'Series wise Report'!R$1)</f>
        <v>55361</v>
      </c>
      <c r="S48" s="15">
        <f>SUMIFS('Business - Dump'!$U:$U,'Business - Dump'!$B:$B,'Series wise Report'!$A48,'Business - Dump'!$A:$A,'Series wise Report'!S$1)</f>
        <v>333292</v>
      </c>
      <c r="T48" s="15">
        <f>SUMIFS('Business - Dump'!$U:$U,'Business - Dump'!$B:$B,'Series wise Report'!$A48,'Business - Dump'!$A:$A,'Series wise Report'!T$1)</f>
        <v>414997</v>
      </c>
    </row>
    <row r="49" ht="15.75" customHeight="1">
      <c r="A49" s="10" t="s">
        <v>158</v>
      </c>
      <c r="B49" s="10" t="s">
        <v>29</v>
      </c>
      <c r="C49" s="17">
        <f t="shared" ref="C49:T49" si="20">IFERROR(C47/C44,0)</f>
        <v>0.005768707483</v>
      </c>
      <c r="D49" s="17">
        <f t="shared" si="20"/>
        <v>0</v>
      </c>
      <c r="E49" s="17">
        <f t="shared" si="20"/>
        <v>0.008928571429</v>
      </c>
      <c r="F49" s="17">
        <f t="shared" si="20"/>
        <v>0.001485884101</v>
      </c>
      <c r="G49" s="17">
        <f t="shared" si="20"/>
        <v>0.00197044335</v>
      </c>
      <c r="H49" s="17">
        <f t="shared" si="20"/>
        <v>0.001943634597</v>
      </c>
      <c r="I49" s="17">
        <f t="shared" si="20"/>
        <v>0.002949852507</v>
      </c>
      <c r="J49" s="17">
        <f t="shared" si="20"/>
        <v>0.0006506180872</v>
      </c>
      <c r="K49" s="17">
        <f t="shared" si="20"/>
        <v>0.0009113001215</v>
      </c>
      <c r="L49" s="17">
        <f t="shared" si="20"/>
        <v>0.01290322581</v>
      </c>
      <c r="M49" s="17">
        <f t="shared" si="20"/>
        <v>0.0080472103</v>
      </c>
      <c r="N49" s="17">
        <f t="shared" si="20"/>
        <v>0.01077752117</v>
      </c>
      <c r="O49" s="17">
        <f t="shared" si="20"/>
        <v>0.007809957696</v>
      </c>
      <c r="P49" s="17">
        <f t="shared" si="20"/>
        <v>0.01406469761</v>
      </c>
      <c r="Q49" s="17">
        <f t="shared" si="20"/>
        <v>0.005691519636</v>
      </c>
      <c r="R49" s="17">
        <f t="shared" si="20"/>
        <v>0.007462686567</v>
      </c>
      <c r="S49" s="17">
        <f t="shared" si="20"/>
        <v>0.01271129141</v>
      </c>
      <c r="T49" s="17">
        <f t="shared" si="20"/>
        <v>0.01277691911</v>
      </c>
    </row>
    <row r="50" ht="15.75" customHeight="1">
      <c r="A50" s="10" t="s">
        <v>158</v>
      </c>
      <c r="B50" s="10" t="s">
        <v>282</v>
      </c>
      <c r="C50" s="16">
        <f t="shared" ref="C50:T50" si="21">IFERROR(C48/C47,0)</f>
        <v>4367.00434</v>
      </c>
      <c r="D50" s="16">
        <f t="shared" si="21"/>
        <v>0</v>
      </c>
      <c r="E50" s="16">
        <f t="shared" si="21"/>
        <v>12950</v>
      </c>
      <c r="F50" s="16">
        <f t="shared" si="21"/>
        <v>10900</v>
      </c>
      <c r="G50" s="16">
        <f t="shared" si="21"/>
        <v>9823.73</v>
      </c>
      <c r="H50" s="16">
        <f t="shared" si="21"/>
        <v>8900</v>
      </c>
      <c r="I50" s="16">
        <f t="shared" si="21"/>
        <v>8900</v>
      </c>
      <c r="J50" s="16">
        <f t="shared" si="21"/>
        <v>7900</v>
      </c>
      <c r="K50" s="16">
        <f t="shared" si="21"/>
        <v>7900</v>
      </c>
      <c r="L50" s="16">
        <f t="shared" si="21"/>
        <v>5550</v>
      </c>
      <c r="M50" s="16">
        <f t="shared" si="21"/>
        <v>4129.133333</v>
      </c>
      <c r="N50" s="16">
        <f t="shared" si="21"/>
        <v>3535.119048</v>
      </c>
      <c r="O50" s="16">
        <f t="shared" si="21"/>
        <v>3479.125</v>
      </c>
      <c r="P50" s="16">
        <f t="shared" si="21"/>
        <v>3829.4</v>
      </c>
      <c r="Q50" s="16">
        <f t="shared" si="21"/>
        <v>6472.9</v>
      </c>
      <c r="R50" s="16">
        <f t="shared" si="21"/>
        <v>5536.1</v>
      </c>
      <c r="S50" s="16">
        <f t="shared" si="21"/>
        <v>3545.659574</v>
      </c>
      <c r="T50" s="16">
        <f t="shared" si="21"/>
        <v>3346.75</v>
      </c>
    </row>
    <row r="51" ht="15.75" customHeight="1">
      <c r="A51" s="10" t="s">
        <v>341</v>
      </c>
      <c r="B51" s="10" t="s">
        <v>257</v>
      </c>
      <c r="C51" s="16">
        <f t="shared" ref="C51:C55" si="22">SUM(D51:P51)</f>
        <v>4147</v>
      </c>
      <c r="D51" s="16">
        <f>SUMIFS('Business - Dump'!$G:$G,'Business - Dump'!$B:$B,'Series wise Report'!$A51,'Business - Dump'!$A:$A,'Series wise Report'!D$1)</f>
        <v>1280</v>
      </c>
      <c r="E51" s="16">
        <f>SUMIFS('Business - Dump'!$G:$G,'Business - Dump'!$B:$B,'Series wise Report'!$A51,'Business - Dump'!$A:$A,'Series wise Report'!E$1)</f>
        <v>0</v>
      </c>
      <c r="F51" s="16">
        <f>SUMIFS('Business - Dump'!$G:$G,'Business - Dump'!$B:$B,'Series wise Report'!$A51,'Business - Dump'!$A:$A,'Series wise Report'!F$1)</f>
        <v>196</v>
      </c>
      <c r="G51" s="16">
        <f>SUMIFS('Business - Dump'!$G:$G,'Business - Dump'!$B:$B,'Series wise Report'!$A51,'Business - Dump'!$A:$A,'Series wise Report'!G$1)</f>
        <v>0</v>
      </c>
      <c r="H51" s="16">
        <f>SUMIFS('Business - Dump'!$G:$G,'Business - Dump'!$B:$B,'Series wise Report'!$A51,'Business - Dump'!$A:$A,'Series wise Report'!H$1)</f>
        <v>0</v>
      </c>
      <c r="I51" s="16">
        <f>SUMIFS('Business - Dump'!$G:$G,'Business - Dump'!$B:$B,'Series wise Report'!$A51,'Business - Dump'!$A:$A,'Series wise Report'!I$1)</f>
        <v>96</v>
      </c>
      <c r="J51" s="16">
        <f>SUMIFS('Business - Dump'!$G:$G,'Business - Dump'!$B:$B,'Series wise Report'!$A51,'Business - Dump'!$A:$A,'Series wise Report'!J$1)</f>
        <v>933</v>
      </c>
      <c r="K51" s="16">
        <f>SUMIFS('Business - Dump'!$G:$G,'Business - Dump'!$B:$B,'Series wise Report'!$A51,'Business - Dump'!$A:$A,'Series wise Report'!K$1)</f>
        <v>937</v>
      </c>
      <c r="L51" s="16">
        <f>SUMIFS('Business - Dump'!$G:$G,'Business - Dump'!$B:$B,'Series wise Report'!$A51,'Business - Dump'!$A:$A,'Series wise Report'!L$1)</f>
        <v>465</v>
      </c>
      <c r="M51" s="16">
        <f>SUMIFS('Business - Dump'!$G:$G,'Business - Dump'!$B:$B,'Series wise Report'!$A51,'Business - Dump'!$A:$A,'Series wise Report'!M$1)</f>
        <v>240</v>
      </c>
      <c r="N51" s="16">
        <f>SUMIFS('Business - Dump'!$G:$G,'Business - Dump'!$B:$B,'Series wise Report'!$A51,'Business - Dump'!$A:$A,'Series wise Report'!N$1)</f>
        <v>0</v>
      </c>
      <c r="O51" s="16">
        <f>SUMIFS('Business - Dump'!$G:$G,'Business - Dump'!$B:$B,'Series wise Report'!$A51,'Business - Dump'!$A:$A,'Series wise Report'!O$1)</f>
        <v>0</v>
      </c>
      <c r="P51" s="16">
        <f>SUMIFS('Business - Dump'!$G:$G,'Business - Dump'!$B:$B,'Series wise Report'!$A51,'Business - Dump'!$A:$A,'Series wise Report'!P$1)</f>
        <v>0</v>
      </c>
      <c r="Q51" s="16">
        <f>SUMIFS('Business - Dump'!$G:$G,'Business - Dump'!$B:$B,'Series wise Report'!$A51,'Business - Dump'!$A:$A,'Series wise Report'!Q$1)</f>
        <v>0</v>
      </c>
      <c r="R51" s="16">
        <f>SUMIFS('Business - Dump'!$G:$G,'Business - Dump'!$B:$B,'Series wise Report'!$A51,'Business - Dump'!$A:$A,'Series wise Report'!R$1)</f>
        <v>0</v>
      </c>
      <c r="S51" s="16">
        <f>SUMIFS('Business - Dump'!$G:$G,'Business - Dump'!$B:$B,'Series wise Report'!$A51,'Business - Dump'!$A:$A,'Series wise Report'!S$1)</f>
        <v>0</v>
      </c>
      <c r="T51" s="16">
        <f>SUMIFS('Business - Dump'!$G:$G,'Business - Dump'!$B:$B,'Series wise Report'!$A51,'Business - Dump'!$A:$A,'Series wise Report'!T$1)</f>
        <v>0</v>
      </c>
    </row>
    <row r="52" ht="15.75" customHeight="1">
      <c r="A52" s="10" t="s">
        <v>341</v>
      </c>
      <c r="B52" s="10" t="s">
        <v>260</v>
      </c>
      <c r="C52" s="16">
        <f t="shared" si="22"/>
        <v>5250</v>
      </c>
      <c r="D52" s="16">
        <f>SUMIFS('Business - Dump'!$K:$K,'Business - Dump'!$B:$B,'Series wise Report'!$A52,'Business - Dump'!$A:$A,'Series wise Report'!D$1)</f>
        <v>1534</v>
      </c>
      <c r="E52" s="16">
        <f>SUMIFS('Business - Dump'!$K:$K,'Business - Dump'!$B:$B,'Series wise Report'!$A52,'Business - Dump'!$A:$A,'Series wise Report'!E$1)</f>
        <v>0</v>
      </c>
      <c r="F52" s="16">
        <f>SUMIFS('Business - Dump'!$K:$K,'Business - Dump'!$B:$B,'Series wise Report'!$A52,'Business - Dump'!$A:$A,'Series wise Report'!F$1)</f>
        <v>246</v>
      </c>
      <c r="G52" s="16">
        <f>SUMIFS('Business - Dump'!$K:$K,'Business - Dump'!$B:$B,'Series wise Report'!$A52,'Business - Dump'!$A:$A,'Series wise Report'!G$1)</f>
        <v>0</v>
      </c>
      <c r="H52" s="16">
        <f>SUMIFS('Business - Dump'!$K:$K,'Business - Dump'!$B:$B,'Series wise Report'!$A52,'Business - Dump'!$A:$A,'Series wise Report'!H$1)</f>
        <v>0</v>
      </c>
      <c r="I52" s="16">
        <f>SUMIFS('Business - Dump'!$K:$K,'Business - Dump'!$B:$B,'Series wise Report'!$A52,'Business - Dump'!$A:$A,'Series wise Report'!I$1)</f>
        <v>153</v>
      </c>
      <c r="J52" s="16">
        <f>SUMIFS('Business - Dump'!$K:$K,'Business - Dump'!$B:$B,'Series wise Report'!$A52,'Business - Dump'!$A:$A,'Series wise Report'!J$1)</f>
        <v>1236</v>
      </c>
      <c r="K52" s="16">
        <f>SUMIFS('Business - Dump'!$K:$K,'Business - Dump'!$B:$B,'Series wise Report'!$A52,'Business - Dump'!$A:$A,'Series wise Report'!K$1)</f>
        <v>1104</v>
      </c>
      <c r="L52" s="16">
        <f>SUMIFS('Business - Dump'!$K:$K,'Business - Dump'!$B:$B,'Series wise Report'!$A52,'Business - Dump'!$A:$A,'Series wise Report'!L$1)</f>
        <v>640</v>
      </c>
      <c r="M52" s="16">
        <f>SUMIFS('Business - Dump'!$K:$K,'Business - Dump'!$B:$B,'Series wise Report'!$A52,'Business - Dump'!$A:$A,'Series wise Report'!M$1)</f>
        <v>337</v>
      </c>
      <c r="N52" s="16">
        <f>SUMIFS('Business - Dump'!$K:$K,'Business - Dump'!$B:$B,'Series wise Report'!$A52,'Business - Dump'!$A:$A,'Series wise Report'!N$1)</f>
        <v>0</v>
      </c>
      <c r="O52" s="16">
        <f>SUMIFS('Business - Dump'!$K:$K,'Business - Dump'!$B:$B,'Series wise Report'!$A52,'Business - Dump'!$A:$A,'Series wise Report'!O$1)</f>
        <v>0</v>
      </c>
      <c r="P52" s="16">
        <f>SUMIFS('Business - Dump'!$K:$K,'Business - Dump'!$B:$B,'Series wise Report'!$A52,'Business - Dump'!$A:$A,'Series wise Report'!P$1)</f>
        <v>0</v>
      </c>
      <c r="Q52" s="16">
        <f>SUMIFS('Business - Dump'!$K:$K,'Business - Dump'!$B:$B,'Series wise Report'!$A52,'Business - Dump'!$A:$A,'Series wise Report'!Q$1)</f>
        <v>0</v>
      </c>
      <c r="R52" s="16">
        <f>SUMIFS('Business - Dump'!$K:$K,'Business - Dump'!$B:$B,'Series wise Report'!$A52,'Business - Dump'!$A:$A,'Series wise Report'!R$1)</f>
        <v>0</v>
      </c>
      <c r="S52" s="16">
        <f>SUMIFS('Business - Dump'!$K:$K,'Business - Dump'!$B:$B,'Series wise Report'!$A52,'Business - Dump'!$A:$A,'Series wise Report'!S$1)</f>
        <v>0</v>
      </c>
      <c r="T52" s="16">
        <f>SUMIFS('Business - Dump'!$K:$K,'Business - Dump'!$B:$B,'Series wise Report'!$A52,'Business - Dump'!$A:$A,'Series wise Report'!T$1)</f>
        <v>0</v>
      </c>
    </row>
    <row r="53" ht="15.75" customHeight="1">
      <c r="A53" s="138" t="s">
        <v>341</v>
      </c>
      <c r="B53" s="138" t="s">
        <v>264</v>
      </c>
      <c r="C53" s="3">
        <f t="shared" si="22"/>
        <v>8</v>
      </c>
      <c r="D53" s="3">
        <f>SUMIFS('Business - Dump'!$Q:$Q,'Business - Dump'!$B:$B,'Series wise Report'!$A53,'Business - Dump'!$A:$A,'Series wise Report'!D$1)</f>
        <v>2</v>
      </c>
      <c r="E53" s="3">
        <f>SUMIFS('Business - Dump'!$Q:$Q,'Business - Dump'!$B:$B,'Series wise Report'!$A53,'Business - Dump'!$A:$A,'Series wise Report'!E$1)</f>
        <v>0</v>
      </c>
      <c r="F53" s="3">
        <f>SUMIFS('Business - Dump'!$Q:$Q,'Business - Dump'!$B:$B,'Series wise Report'!$A53,'Business - Dump'!$A:$A,'Series wise Report'!F$1)</f>
        <v>1</v>
      </c>
      <c r="G53" s="3">
        <f>SUMIFS('Business - Dump'!$Q:$Q,'Business - Dump'!$B:$B,'Series wise Report'!$A53,'Business - Dump'!$A:$A,'Series wise Report'!G$1)</f>
        <v>0</v>
      </c>
      <c r="H53" s="3">
        <f>SUMIFS('Business - Dump'!$Q:$Q,'Business - Dump'!$B:$B,'Series wise Report'!$A53,'Business - Dump'!$A:$A,'Series wise Report'!H$1)</f>
        <v>0</v>
      </c>
      <c r="I53" s="3">
        <f>SUMIFS('Business - Dump'!$Q:$Q,'Business - Dump'!$B:$B,'Series wise Report'!$A53,'Business - Dump'!$A:$A,'Series wise Report'!I$1)</f>
        <v>1</v>
      </c>
      <c r="J53" s="3">
        <f>SUMIFS('Business - Dump'!$Q:$Q,'Business - Dump'!$B:$B,'Series wise Report'!$A53,'Business - Dump'!$A:$A,'Series wise Report'!J$1)</f>
        <v>0</v>
      </c>
      <c r="K53" s="3">
        <f>SUMIFS('Business - Dump'!$Q:$Q,'Business - Dump'!$B:$B,'Series wise Report'!$A53,'Business - Dump'!$A:$A,'Series wise Report'!K$1)</f>
        <v>1</v>
      </c>
      <c r="L53" s="3">
        <f>SUMIFS('Business - Dump'!$Q:$Q,'Business - Dump'!$B:$B,'Series wise Report'!$A53,'Business - Dump'!$A:$A,'Series wise Report'!L$1)</f>
        <v>1</v>
      </c>
      <c r="M53" s="3">
        <f>SUMIFS('Business - Dump'!$Q:$Q,'Business - Dump'!$B:$B,'Series wise Report'!$A53,'Business - Dump'!$A:$A,'Series wise Report'!M$1)</f>
        <v>2</v>
      </c>
      <c r="N53" s="3">
        <f>SUMIFS('Business - Dump'!$Q:$Q,'Business - Dump'!$B:$B,'Series wise Report'!$A53,'Business - Dump'!$A:$A,'Series wise Report'!N$1)</f>
        <v>0</v>
      </c>
      <c r="O53" s="3">
        <f>SUMIFS('Business - Dump'!$Q:$Q,'Business - Dump'!$B:$B,'Series wise Report'!$A53,'Business - Dump'!$A:$A,'Series wise Report'!O$1)</f>
        <v>0</v>
      </c>
      <c r="P53" s="3">
        <f>SUMIFS('Business - Dump'!$Q:$Q,'Business - Dump'!$B:$B,'Series wise Report'!$A53,'Business - Dump'!$A:$A,'Series wise Report'!P$1)</f>
        <v>0</v>
      </c>
      <c r="Q53" s="3">
        <f>SUMIFS('Business - Dump'!$Q:$Q,'Business - Dump'!$B:$B,'Series wise Report'!$A53,'Business - Dump'!$A:$A,'Series wise Report'!Q$1)</f>
        <v>0</v>
      </c>
      <c r="R53" s="3">
        <f>SUMIFS('Business - Dump'!$Q:$Q,'Business - Dump'!$B:$B,'Series wise Report'!$A53,'Business - Dump'!$A:$A,'Series wise Report'!R$1)</f>
        <v>0</v>
      </c>
      <c r="S53" s="3">
        <f>SUMIFS('Business - Dump'!$Q:$Q,'Business - Dump'!$B:$B,'Series wise Report'!$A53,'Business - Dump'!$A:$A,'Series wise Report'!S$1)</f>
        <v>0</v>
      </c>
      <c r="T53" s="3">
        <f>SUMIFS('Business - Dump'!$Q:$Q,'Business - Dump'!$B:$B,'Series wise Report'!$A53,'Business - Dump'!$A:$A,'Series wise Report'!T$1)</f>
        <v>0</v>
      </c>
    </row>
    <row r="54" ht="15.75" customHeight="1">
      <c r="A54" s="137" t="s">
        <v>341</v>
      </c>
      <c r="B54" s="137" t="s">
        <v>268</v>
      </c>
      <c r="C54" s="141">
        <f t="shared" si="22"/>
        <v>8</v>
      </c>
      <c r="D54" s="141">
        <f>SUMIFS('Business - Dump'!$W:$W,'Business - Dump'!$B:$B,'Series wise Report'!$A54,'Business - Dump'!$A:$A,'Series wise Report'!D$1)</f>
        <v>2</v>
      </c>
      <c r="E54" s="141">
        <f>SUMIFS('Business - Dump'!$W:$W,'Business - Dump'!$B:$B,'Series wise Report'!$A54,'Business - Dump'!$A:$A,'Series wise Report'!E$1)</f>
        <v>0</v>
      </c>
      <c r="F54" s="141">
        <f>SUMIFS('Business - Dump'!$W:$W,'Business - Dump'!$B:$B,'Series wise Report'!$A54,'Business - Dump'!$A:$A,'Series wise Report'!F$1)</f>
        <v>1</v>
      </c>
      <c r="G54" s="141">
        <f>SUMIFS('Business - Dump'!$W:$W,'Business - Dump'!$B:$B,'Series wise Report'!$A54,'Business - Dump'!$A:$A,'Series wise Report'!G$1)</f>
        <v>0</v>
      </c>
      <c r="H54" s="141">
        <f>SUMIFS('Business - Dump'!$W:$W,'Business - Dump'!$B:$B,'Series wise Report'!$A54,'Business - Dump'!$A:$A,'Series wise Report'!H$1)</f>
        <v>0</v>
      </c>
      <c r="I54" s="141">
        <f>SUMIFS('Business - Dump'!$W:$W,'Business - Dump'!$B:$B,'Series wise Report'!$A54,'Business - Dump'!$A:$A,'Series wise Report'!I$1)</f>
        <v>1</v>
      </c>
      <c r="J54" s="141">
        <f>SUMIFS('Business - Dump'!$W:$W,'Business - Dump'!$B:$B,'Series wise Report'!$A54,'Business - Dump'!$A:$A,'Series wise Report'!J$1)</f>
        <v>0</v>
      </c>
      <c r="K54" s="141">
        <f>SUMIFS('Business - Dump'!$W:$W,'Business - Dump'!$B:$B,'Series wise Report'!$A54,'Business - Dump'!$A:$A,'Series wise Report'!K$1)</f>
        <v>1</v>
      </c>
      <c r="L54" s="141">
        <f>SUMIFS('Business - Dump'!$W:$W,'Business - Dump'!$B:$B,'Series wise Report'!$A54,'Business - Dump'!$A:$A,'Series wise Report'!L$1)</f>
        <v>1</v>
      </c>
      <c r="M54" s="141">
        <f>SUMIFS('Business - Dump'!$W:$W,'Business - Dump'!$B:$B,'Series wise Report'!$A54,'Business - Dump'!$A:$A,'Series wise Report'!M$1)</f>
        <v>2</v>
      </c>
      <c r="N54" s="141">
        <f>SUMIFS('Business - Dump'!$W:$W,'Business - Dump'!$B:$B,'Series wise Report'!$A54,'Business - Dump'!$A:$A,'Series wise Report'!N$1)</f>
        <v>0</v>
      </c>
      <c r="O54" s="141">
        <f>SUMIFS('Business - Dump'!$W:$W,'Business - Dump'!$B:$B,'Series wise Report'!$A54,'Business - Dump'!$A:$A,'Series wise Report'!O$1)</f>
        <v>0</v>
      </c>
      <c r="P54" s="141">
        <f>SUMIFS('Business - Dump'!$W:$W,'Business - Dump'!$B:$B,'Series wise Report'!$A54,'Business - Dump'!$A:$A,'Series wise Report'!P$1)</f>
        <v>0</v>
      </c>
      <c r="Q54" s="141">
        <f>SUMIFS('Business - Dump'!$W:$W,'Business - Dump'!$B:$B,'Series wise Report'!$A54,'Business - Dump'!$A:$A,'Series wise Report'!Q$1)</f>
        <v>0</v>
      </c>
      <c r="R54" s="141">
        <f>SUMIFS('Business - Dump'!$W:$W,'Business - Dump'!$B:$B,'Series wise Report'!$A54,'Business - Dump'!$A:$A,'Series wise Report'!R$1)</f>
        <v>0</v>
      </c>
      <c r="S54" s="141">
        <f>SUMIFS('Business - Dump'!$W:$W,'Business - Dump'!$B:$B,'Series wise Report'!$A54,'Business - Dump'!$A:$A,'Series wise Report'!S$1)</f>
        <v>0</v>
      </c>
      <c r="T54" s="141">
        <f>SUMIFS('Business - Dump'!$W:$W,'Business - Dump'!$B:$B,'Series wise Report'!$A54,'Business - Dump'!$A:$A,'Series wise Report'!T$1)</f>
        <v>0</v>
      </c>
    </row>
    <row r="55" ht="15.75" customHeight="1">
      <c r="A55" s="10" t="s">
        <v>341</v>
      </c>
      <c r="B55" s="10" t="s">
        <v>26</v>
      </c>
      <c r="C55" s="15">
        <f t="shared" si="22"/>
        <v>41600</v>
      </c>
      <c r="D55" s="15">
        <f>SUMIFS('Business - Dump'!$U:$U,'Business - Dump'!$B:$B,'Series wise Report'!$A55,'Business - Dump'!$A:$A,'Series wise Report'!D$1)</f>
        <v>6600</v>
      </c>
      <c r="E55" s="15">
        <f>SUMIFS('Business - Dump'!$U:$U,'Business - Dump'!$B:$B,'Series wise Report'!$A55,'Business - Dump'!$A:$A,'Series wise Report'!E$1)</f>
        <v>0</v>
      </c>
      <c r="F55" s="15">
        <f>SUMIFS('Business - Dump'!$U:$U,'Business - Dump'!$B:$B,'Series wise Report'!$A55,'Business - Dump'!$A:$A,'Series wise Report'!F$1)</f>
        <v>25200</v>
      </c>
      <c r="G55" s="15">
        <f>SUMIFS('Business - Dump'!$U:$U,'Business - Dump'!$B:$B,'Series wise Report'!$A55,'Business - Dump'!$A:$A,'Series wise Report'!G$1)</f>
        <v>0</v>
      </c>
      <c r="H55" s="15">
        <f>SUMIFS('Business - Dump'!$U:$U,'Business - Dump'!$B:$B,'Series wise Report'!$A55,'Business - Dump'!$A:$A,'Series wise Report'!H$1)</f>
        <v>0</v>
      </c>
      <c r="I55" s="15">
        <f>SUMIFS('Business - Dump'!$U:$U,'Business - Dump'!$B:$B,'Series wise Report'!$A55,'Business - Dump'!$A:$A,'Series wise Report'!I$1)</f>
        <v>2600</v>
      </c>
      <c r="J55" s="15">
        <f>SUMIFS('Business - Dump'!$U:$U,'Business - Dump'!$B:$B,'Series wise Report'!$A55,'Business - Dump'!$A:$A,'Series wise Report'!J$1)</f>
        <v>0</v>
      </c>
      <c r="K55" s="15">
        <f>SUMIFS('Business - Dump'!$U:$U,'Business - Dump'!$B:$B,'Series wise Report'!$A55,'Business - Dump'!$A:$A,'Series wise Report'!K$1)</f>
        <v>1800</v>
      </c>
      <c r="L55" s="15">
        <f>SUMIFS('Business - Dump'!$U:$U,'Business - Dump'!$B:$B,'Series wise Report'!$A55,'Business - Dump'!$A:$A,'Series wise Report'!L$1)</f>
        <v>1800</v>
      </c>
      <c r="M55" s="15">
        <f>SUMIFS('Business - Dump'!$U:$U,'Business - Dump'!$B:$B,'Series wise Report'!$A55,'Business - Dump'!$A:$A,'Series wise Report'!M$1)</f>
        <v>3600</v>
      </c>
      <c r="N55" s="15">
        <f>SUMIFS('Business - Dump'!$U:$U,'Business - Dump'!$B:$B,'Series wise Report'!$A55,'Business - Dump'!$A:$A,'Series wise Report'!N$1)</f>
        <v>0</v>
      </c>
      <c r="O55" s="15">
        <f>SUMIFS('Business - Dump'!$U:$U,'Business - Dump'!$B:$B,'Series wise Report'!$A55,'Business - Dump'!$A:$A,'Series wise Report'!O$1)</f>
        <v>0</v>
      </c>
      <c r="P55" s="15">
        <f>SUMIFS('Business - Dump'!$U:$U,'Business - Dump'!$B:$B,'Series wise Report'!$A55,'Business - Dump'!$A:$A,'Series wise Report'!P$1)</f>
        <v>0</v>
      </c>
      <c r="Q55" s="15">
        <f>SUMIFS('Business - Dump'!$U:$U,'Business - Dump'!$B:$B,'Series wise Report'!$A55,'Business - Dump'!$A:$A,'Series wise Report'!Q$1)</f>
        <v>0</v>
      </c>
      <c r="R55" s="15">
        <f>SUMIFS('Business - Dump'!$U:$U,'Business - Dump'!$B:$B,'Series wise Report'!$A55,'Business - Dump'!$A:$A,'Series wise Report'!R$1)</f>
        <v>0</v>
      </c>
      <c r="S55" s="15">
        <f>SUMIFS('Business - Dump'!$U:$U,'Business - Dump'!$B:$B,'Series wise Report'!$A55,'Business - Dump'!$A:$A,'Series wise Report'!S$1)</f>
        <v>0</v>
      </c>
      <c r="T55" s="15">
        <f>SUMIFS('Business - Dump'!$U:$U,'Business - Dump'!$B:$B,'Series wise Report'!$A55,'Business - Dump'!$A:$A,'Series wise Report'!T$1)</f>
        <v>0</v>
      </c>
    </row>
    <row r="56" ht="15.75" customHeight="1">
      <c r="A56" s="10" t="s">
        <v>341</v>
      </c>
      <c r="B56" s="10" t="s">
        <v>29</v>
      </c>
      <c r="C56" s="17">
        <f t="shared" ref="C56:T56" si="23">IFERROR(C54/C51,0)</f>
        <v>0.001929105377</v>
      </c>
      <c r="D56" s="17">
        <f t="shared" si="23"/>
        <v>0.0015625</v>
      </c>
      <c r="E56" s="17">
        <f t="shared" si="23"/>
        <v>0</v>
      </c>
      <c r="F56" s="17">
        <f t="shared" si="23"/>
        <v>0.005102040816</v>
      </c>
      <c r="G56" s="17">
        <f t="shared" si="23"/>
        <v>0</v>
      </c>
      <c r="H56" s="17">
        <f t="shared" si="23"/>
        <v>0</v>
      </c>
      <c r="I56" s="17">
        <f t="shared" si="23"/>
        <v>0.01041666667</v>
      </c>
      <c r="J56" s="17">
        <f t="shared" si="23"/>
        <v>0</v>
      </c>
      <c r="K56" s="17">
        <f t="shared" si="23"/>
        <v>0.001067235859</v>
      </c>
      <c r="L56" s="17">
        <f t="shared" si="23"/>
        <v>0.002150537634</v>
      </c>
      <c r="M56" s="17">
        <f t="shared" si="23"/>
        <v>0.008333333333</v>
      </c>
      <c r="N56" s="17">
        <f t="shared" si="23"/>
        <v>0</v>
      </c>
      <c r="O56" s="17">
        <f t="shared" si="23"/>
        <v>0</v>
      </c>
      <c r="P56" s="17">
        <f t="shared" si="23"/>
        <v>0</v>
      </c>
      <c r="Q56" s="17">
        <f t="shared" si="23"/>
        <v>0</v>
      </c>
      <c r="R56" s="17">
        <f t="shared" si="23"/>
        <v>0</v>
      </c>
      <c r="S56" s="17">
        <f t="shared" si="23"/>
        <v>0</v>
      </c>
      <c r="T56" s="17">
        <f t="shared" si="23"/>
        <v>0</v>
      </c>
    </row>
    <row r="57" ht="15.75" customHeight="1">
      <c r="A57" s="10" t="s">
        <v>341</v>
      </c>
      <c r="B57" s="10" t="s">
        <v>282</v>
      </c>
      <c r="C57" s="16">
        <f t="shared" ref="C57:T57" si="24">IFERROR(C55/C54,0)</f>
        <v>5200</v>
      </c>
      <c r="D57" s="16">
        <f t="shared" si="24"/>
        <v>3300</v>
      </c>
      <c r="E57" s="16">
        <f t="shared" si="24"/>
        <v>0</v>
      </c>
      <c r="F57" s="16">
        <f t="shared" si="24"/>
        <v>25200</v>
      </c>
      <c r="G57" s="16">
        <f t="shared" si="24"/>
        <v>0</v>
      </c>
      <c r="H57" s="16">
        <f t="shared" si="24"/>
        <v>0</v>
      </c>
      <c r="I57" s="16">
        <f t="shared" si="24"/>
        <v>2600</v>
      </c>
      <c r="J57" s="16">
        <f t="shared" si="24"/>
        <v>0</v>
      </c>
      <c r="K57" s="16">
        <f t="shared" si="24"/>
        <v>1800</v>
      </c>
      <c r="L57" s="16">
        <f t="shared" si="24"/>
        <v>1800</v>
      </c>
      <c r="M57" s="16">
        <f t="shared" si="24"/>
        <v>1800</v>
      </c>
      <c r="N57" s="16">
        <f t="shared" si="24"/>
        <v>0</v>
      </c>
      <c r="O57" s="16">
        <f t="shared" si="24"/>
        <v>0</v>
      </c>
      <c r="P57" s="16">
        <f t="shared" si="24"/>
        <v>0</v>
      </c>
      <c r="Q57" s="16">
        <f t="shared" si="24"/>
        <v>0</v>
      </c>
      <c r="R57" s="16">
        <f t="shared" si="24"/>
        <v>0</v>
      </c>
      <c r="S57" s="16">
        <f t="shared" si="24"/>
        <v>0</v>
      </c>
      <c r="T57" s="16">
        <f t="shared" si="24"/>
        <v>0</v>
      </c>
    </row>
    <row r="58" ht="15.75" customHeight="1">
      <c r="A58" s="10" t="s">
        <v>248</v>
      </c>
      <c r="B58" s="10" t="s">
        <v>257</v>
      </c>
      <c r="C58" s="16">
        <f t="shared" ref="C58:C62" si="25">SUM(D58:P58)</f>
        <v>3853</v>
      </c>
      <c r="D58" s="16">
        <f>SUMIFS('Business - Dump'!$G:$G,'Business - Dump'!$B:$B,'Series wise Report'!$A58,'Business - Dump'!$A:$A,'Series wise Report'!D$1)</f>
        <v>0</v>
      </c>
      <c r="E58" s="16">
        <f>SUMIFS('Business - Dump'!$G:$G,'Business - Dump'!$B:$B,'Series wise Report'!$A58,'Business - Dump'!$A:$A,'Series wise Report'!E$1)</f>
        <v>371</v>
      </c>
      <c r="F58" s="16">
        <f>SUMIFS('Business - Dump'!$G:$G,'Business - Dump'!$B:$B,'Series wise Report'!$A58,'Business - Dump'!$A:$A,'Series wise Report'!F$1)</f>
        <v>355</v>
      </c>
      <c r="G58" s="16">
        <f>SUMIFS('Business - Dump'!$G:$G,'Business - Dump'!$B:$B,'Series wise Report'!$A58,'Business - Dump'!$A:$A,'Series wise Report'!G$1)</f>
        <v>239</v>
      </c>
      <c r="H58" s="16">
        <f>SUMIFS('Business - Dump'!$G:$G,'Business - Dump'!$B:$B,'Series wise Report'!$A58,'Business - Dump'!$A:$A,'Series wise Report'!H$1)</f>
        <v>354</v>
      </c>
      <c r="I58" s="16">
        <f>SUMIFS('Business - Dump'!$G:$G,'Business - Dump'!$B:$B,'Series wise Report'!$A58,'Business - Dump'!$A:$A,'Series wise Report'!I$1)</f>
        <v>126</v>
      </c>
      <c r="J58" s="16">
        <f>SUMIFS('Business - Dump'!$G:$G,'Business - Dump'!$B:$B,'Series wise Report'!$A58,'Business - Dump'!$A:$A,'Series wise Report'!J$1)</f>
        <v>665</v>
      </c>
      <c r="K58" s="16">
        <f>SUMIFS('Business - Dump'!$G:$G,'Business - Dump'!$B:$B,'Series wise Report'!$A58,'Business - Dump'!$A:$A,'Series wise Report'!K$1)</f>
        <v>227</v>
      </c>
      <c r="L58" s="16">
        <f>SUMIFS('Business - Dump'!$G:$G,'Business - Dump'!$B:$B,'Series wise Report'!$A58,'Business - Dump'!$A:$A,'Series wise Report'!L$1)</f>
        <v>0</v>
      </c>
      <c r="M58" s="16">
        <f>SUMIFS('Business - Dump'!$G:$G,'Business - Dump'!$B:$B,'Series wise Report'!$A58,'Business - Dump'!$A:$A,'Series wise Report'!M$1)</f>
        <v>72</v>
      </c>
      <c r="N58" s="16">
        <f>SUMIFS('Business - Dump'!$G:$G,'Business - Dump'!$B:$B,'Series wise Report'!$A58,'Business - Dump'!$A:$A,'Series wise Report'!N$1)</f>
        <v>630</v>
      </c>
      <c r="O58" s="16">
        <f>SUMIFS('Business - Dump'!$G:$G,'Business - Dump'!$B:$B,'Series wise Report'!$A58,'Business - Dump'!$A:$A,'Series wise Report'!O$1)</f>
        <v>524</v>
      </c>
      <c r="P58" s="16">
        <f>SUMIFS('Business - Dump'!$G:$G,'Business - Dump'!$B:$B,'Series wise Report'!$A58,'Business - Dump'!$A:$A,'Series wise Report'!P$1)</f>
        <v>290</v>
      </c>
      <c r="Q58" s="16">
        <f>SUMIFS('Business - Dump'!$G:$G,'Business - Dump'!$B:$B,'Series wise Report'!$A58,'Business - Dump'!$A:$A,'Series wise Report'!Q$1)</f>
        <v>87</v>
      </c>
      <c r="R58" s="16">
        <f>SUMIFS('Business - Dump'!$G:$G,'Business - Dump'!$B:$B,'Series wise Report'!$A58,'Business - Dump'!$A:$A,'Series wise Report'!R$1)</f>
        <v>0</v>
      </c>
      <c r="S58" s="16">
        <f>SUMIFS('Business - Dump'!$G:$G,'Business - Dump'!$B:$B,'Series wise Report'!$A58,'Business - Dump'!$A:$A,'Series wise Report'!S$1)</f>
        <v>0</v>
      </c>
      <c r="T58" s="16">
        <f>SUMIFS('Business - Dump'!$G:$G,'Business - Dump'!$B:$B,'Series wise Report'!$A58,'Business - Dump'!$A:$A,'Series wise Report'!T$1)</f>
        <v>0</v>
      </c>
    </row>
    <row r="59" ht="15.75" customHeight="1">
      <c r="A59" s="10" t="s">
        <v>248</v>
      </c>
      <c r="B59" s="10" t="s">
        <v>260</v>
      </c>
      <c r="C59" s="16">
        <f t="shared" si="25"/>
        <v>5617</v>
      </c>
      <c r="D59" s="16">
        <f>SUMIFS('Business - Dump'!$K:$K,'Business - Dump'!$B:$B,'Series wise Report'!$A59,'Business - Dump'!$A:$A,'Series wise Report'!D$1)</f>
        <v>0</v>
      </c>
      <c r="E59" s="16">
        <f>SUMIFS('Business - Dump'!$K:$K,'Business - Dump'!$B:$B,'Series wise Report'!$A59,'Business - Dump'!$A:$A,'Series wise Report'!E$1)</f>
        <v>542</v>
      </c>
      <c r="F59" s="16">
        <f>SUMIFS('Business - Dump'!$K:$K,'Business - Dump'!$B:$B,'Series wise Report'!$A59,'Business - Dump'!$A:$A,'Series wise Report'!F$1)</f>
        <v>490</v>
      </c>
      <c r="G59" s="16">
        <f>SUMIFS('Business - Dump'!$K:$K,'Business - Dump'!$B:$B,'Series wise Report'!$A59,'Business - Dump'!$A:$A,'Series wise Report'!G$1)</f>
        <v>317</v>
      </c>
      <c r="H59" s="16">
        <f>SUMIFS('Business - Dump'!$K:$K,'Business - Dump'!$B:$B,'Series wise Report'!$A59,'Business - Dump'!$A:$A,'Series wise Report'!H$1)</f>
        <v>487</v>
      </c>
      <c r="I59" s="16">
        <f>SUMIFS('Business - Dump'!$K:$K,'Business - Dump'!$B:$B,'Series wise Report'!$A59,'Business - Dump'!$A:$A,'Series wise Report'!I$1)</f>
        <v>188</v>
      </c>
      <c r="J59" s="16">
        <f>SUMIFS('Business - Dump'!$K:$K,'Business - Dump'!$B:$B,'Series wise Report'!$A59,'Business - Dump'!$A:$A,'Series wise Report'!J$1)</f>
        <v>1032</v>
      </c>
      <c r="K59" s="16">
        <f>SUMIFS('Business - Dump'!$K:$K,'Business - Dump'!$B:$B,'Series wise Report'!$A59,'Business - Dump'!$A:$A,'Series wise Report'!K$1)</f>
        <v>327</v>
      </c>
      <c r="L59" s="16">
        <f>SUMIFS('Business - Dump'!$K:$K,'Business - Dump'!$B:$B,'Series wise Report'!$A59,'Business - Dump'!$A:$A,'Series wise Report'!L$1)</f>
        <v>0</v>
      </c>
      <c r="M59" s="16">
        <f>SUMIFS('Business - Dump'!$K:$K,'Business - Dump'!$B:$B,'Series wise Report'!$A59,'Business - Dump'!$A:$A,'Series wise Report'!M$1)</f>
        <v>93</v>
      </c>
      <c r="N59" s="16">
        <f>SUMIFS('Business - Dump'!$K:$K,'Business - Dump'!$B:$B,'Series wise Report'!$A59,'Business - Dump'!$A:$A,'Series wise Report'!N$1)</f>
        <v>888</v>
      </c>
      <c r="O59" s="16">
        <f>SUMIFS('Business - Dump'!$K:$K,'Business - Dump'!$B:$B,'Series wise Report'!$A59,'Business - Dump'!$A:$A,'Series wise Report'!O$1)</f>
        <v>805</v>
      </c>
      <c r="P59" s="16">
        <f>SUMIFS('Business - Dump'!$K:$K,'Business - Dump'!$B:$B,'Series wise Report'!$A59,'Business - Dump'!$A:$A,'Series wise Report'!P$1)</f>
        <v>448</v>
      </c>
      <c r="Q59" s="16">
        <f>SUMIFS('Business - Dump'!$K:$K,'Business - Dump'!$B:$B,'Series wise Report'!$A59,'Business - Dump'!$A:$A,'Series wise Report'!Q$1)</f>
        <v>153</v>
      </c>
      <c r="R59" s="16">
        <f>SUMIFS('Business - Dump'!$K:$K,'Business - Dump'!$B:$B,'Series wise Report'!$A59,'Business - Dump'!$A:$A,'Series wise Report'!R$1)</f>
        <v>0</v>
      </c>
      <c r="S59" s="16">
        <f>SUMIFS('Business - Dump'!$K:$K,'Business - Dump'!$B:$B,'Series wise Report'!$A59,'Business - Dump'!$A:$A,'Series wise Report'!S$1)</f>
        <v>0</v>
      </c>
      <c r="T59" s="16">
        <f>SUMIFS('Business - Dump'!$K:$K,'Business - Dump'!$B:$B,'Series wise Report'!$A59,'Business - Dump'!$A:$A,'Series wise Report'!T$1)</f>
        <v>0</v>
      </c>
    </row>
    <row r="60" ht="15.75" customHeight="1">
      <c r="A60" s="138" t="s">
        <v>248</v>
      </c>
      <c r="B60" s="138" t="s">
        <v>264</v>
      </c>
      <c r="C60" s="3">
        <f t="shared" si="25"/>
        <v>37</v>
      </c>
      <c r="D60" s="3">
        <f>SUMIFS('Business - Dump'!$Q:$Q,'Business - Dump'!$B:$B,'Series wise Report'!$A60,'Business - Dump'!$A:$A,'Series wise Report'!D$1)</f>
        <v>0</v>
      </c>
      <c r="E60" s="3">
        <f>SUMIFS('Business - Dump'!$Q:$Q,'Business - Dump'!$B:$B,'Series wise Report'!$A60,'Business - Dump'!$A:$A,'Series wise Report'!E$1)</f>
        <v>6</v>
      </c>
      <c r="F60" s="3">
        <f>SUMIFS('Business - Dump'!$Q:$Q,'Business - Dump'!$B:$B,'Series wise Report'!$A60,'Business - Dump'!$A:$A,'Series wise Report'!F$1)</f>
        <v>3</v>
      </c>
      <c r="G60" s="3">
        <f>SUMIFS('Business - Dump'!$Q:$Q,'Business - Dump'!$B:$B,'Series wise Report'!$A60,'Business - Dump'!$A:$A,'Series wise Report'!G$1)</f>
        <v>4</v>
      </c>
      <c r="H60" s="3">
        <f>SUMIFS('Business - Dump'!$Q:$Q,'Business - Dump'!$B:$B,'Series wise Report'!$A60,'Business - Dump'!$A:$A,'Series wise Report'!H$1)</f>
        <v>4</v>
      </c>
      <c r="I60" s="3">
        <f>SUMIFS('Business - Dump'!$Q:$Q,'Business - Dump'!$B:$B,'Series wise Report'!$A60,'Business - Dump'!$A:$A,'Series wise Report'!I$1)</f>
        <v>1</v>
      </c>
      <c r="J60" s="3">
        <f>SUMIFS('Business - Dump'!$Q:$Q,'Business - Dump'!$B:$B,'Series wise Report'!$A60,'Business - Dump'!$A:$A,'Series wise Report'!J$1)</f>
        <v>4</v>
      </c>
      <c r="K60" s="3">
        <f>SUMIFS('Business - Dump'!$Q:$Q,'Business - Dump'!$B:$B,'Series wise Report'!$A60,'Business - Dump'!$A:$A,'Series wise Report'!K$1)</f>
        <v>2</v>
      </c>
      <c r="L60" s="3">
        <f>SUMIFS('Business - Dump'!$Q:$Q,'Business - Dump'!$B:$B,'Series wise Report'!$A60,'Business - Dump'!$A:$A,'Series wise Report'!L$1)</f>
        <v>0</v>
      </c>
      <c r="M60" s="3">
        <f>SUMIFS('Business - Dump'!$Q:$Q,'Business - Dump'!$B:$B,'Series wise Report'!$A60,'Business - Dump'!$A:$A,'Series wise Report'!M$1)</f>
        <v>1</v>
      </c>
      <c r="N60" s="3">
        <f>SUMIFS('Business - Dump'!$Q:$Q,'Business - Dump'!$B:$B,'Series wise Report'!$A60,'Business - Dump'!$A:$A,'Series wise Report'!N$1)</f>
        <v>6</v>
      </c>
      <c r="O60" s="3">
        <f>SUMIFS('Business - Dump'!$Q:$Q,'Business - Dump'!$B:$B,'Series wise Report'!$A60,'Business - Dump'!$A:$A,'Series wise Report'!O$1)</f>
        <v>5</v>
      </c>
      <c r="P60" s="3">
        <f>SUMIFS('Business - Dump'!$Q:$Q,'Business - Dump'!$B:$B,'Series wise Report'!$A60,'Business - Dump'!$A:$A,'Series wise Report'!P$1)</f>
        <v>1</v>
      </c>
      <c r="Q60" s="3">
        <f>SUMIFS('Business - Dump'!$Q:$Q,'Business - Dump'!$B:$B,'Series wise Report'!$A60,'Business - Dump'!$A:$A,'Series wise Report'!Q$1)</f>
        <v>3</v>
      </c>
      <c r="R60" s="3">
        <f>SUMIFS('Business - Dump'!$Q:$Q,'Business - Dump'!$B:$B,'Series wise Report'!$A60,'Business - Dump'!$A:$A,'Series wise Report'!R$1)</f>
        <v>0</v>
      </c>
      <c r="S60" s="3">
        <f>SUMIFS('Business - Dump'!$Q:$Q,'Business - Dump'!$B:$B,'Series wise Report'!$A60,'Business - Dump'!$A:$A,'Series wise Report'!S$1)</f>
        <v>0</v>
      </c>
      <c r="T60" s="3">
        <f>SUMIFS('Business - Dump'!$Q:$Q,'Business - Dump'!$B:$B,'Series wise Report'!$A60,'Business - Dump'!$A:$A,'Series wise Report'!T$1)</f>
        <v>0</v>
      </c>
    </row>
    <row r="61" ht="15.75" customHeight="1">
      <c r="A61" s="137" t="s">
        <v>248</v>
      </c>
      <c r="B61" s="137" t="s">
        <v>268</v>
      </c>
      <c r="C61" s="141">
        <f t="shared" si="25"/>
        <v>37</v>
      </c>
      <c r="D61" s="141">
        <f>SUMIFS('Business - Dump'!$W:$W,'Business - Dump'!$B:$B,'Series wise Report'!$A61,'Business - Dump'!$A:$A,'Series wise Report'!D$1)</f>
        <v>0</v>
      </c>
      <c r="E61" s="141">
        <f>SUMIFS('Business - Dump'!$W:$W,'Business - Dump'!$B:$B,'Series wise Report'!$A61,'Business - Dump'!$A:$A,'Series wise Report'!E$1)</f>
        <v>6</v>
      </c>
      <c r="F61" s="141">
        <f>SUMIFS('Business - Dump'!$W:$W,'Business - Dump'!$B:$B,'Series wise Report'!$A61,'Business - Dump'!$A:$A,'Series wise Report'!F$1)</f>
        <v>3</v>
      </c>
      <c r="G61" s="141">
        <f>SUMIFS('Business - Dump'!$W:$W,'Business - Dump'!$B:$B,'Series wise Report'!$A61,'Business - Dump'!$A:$A,'Series wise Report'!G$1)</f>
        <v>4</v>
      </c>
      <c r="H61" s="141">
        <f>SUMIFS('Business - Dump'!$W:$W,'Business - Dump'!$B:$B,'Series wise Report'!$A61,'Business - Dump'!$A:$A,'Series wise Report'!H$1)</f>
        <v>4</v>
      </c>
      <c r="I61" s="141">
        <f>SUMIFS('Business - Dump'!$W:$W,'Business - Dump'!$B:$B,'Series wise Report'!$A61,'Business - Dump'!$A:$A,'Series wise Report'!I$1)</f>
        <v>1</v>
      </c>
      <c r="J61" s="141">
        <f>SUMIFS('Business - Dump'!$W:$W,'Business - Dump'!$B:$B,'Series wise Report'!$A61,'Business - Dump'!$A:$A,'Series wise Report'!J$1)</f>
        <v>4</v>
      </c>
      <c r="K61" s="141">
        <f>SUMIFS('Business - Dump'!$W:$W,'Business - Dump'!$B:$B,'Series wise Report'!$A61,'Business - Dump'!$A:$A,'Series wise Report'!K$1)</f>
        <v>2</v>
      </c>
      <c r="L61" s="141">
        <f>SUMIFS('Business - Dump'!$W:$W,'Business - Dump'!$B:$B,'Series wise Report'!$A61,'Business - Dump'!$A:$A,'Series wise Report'!L$1)</f>
        <v>0</v>
      </c>
      <c r="M61" s="141">
        <f>SUMIFS('Business - Dump'!$W:$W,'Business - Dump'!$B:$B,'Series wise Report'!$A61,'Business - Dump'!$A:$A,'Series wise Report'!M$1)</f>
        <v>1</v>
      </c>
      <c r="N61" s="141">
        <f>SUMIFS('Business - Dump'!$W:$W,'Business - Dump'!$B:$B,'Series wise Report'!$A61,'Business - Dump'!$A:$A,'Series wise Report'!N$1)</f>
        <v>6</v>
      </c>
      <c r="O61" s="141">
        <f>SUMIFS('Business - Dump'!$W:$W,'Business - Dump'!$B:$B,'Series wise Report'!$A61,'Business - Dump'!$A:$A,'Series wise Report'!O$1)</f>
        <v>5</v>
      </c>
      <c r="P61" s="141">
        <f>SUMIFS('Business - Dump'!$W:$W,'Business - Dump'!$B:$B,'Series wise Report'!$A61,'Business - Dump'!$A:$A,'Series wise Report'!P$1)</f>
        <v>1</v>
      </c>
      <c r="Q61" s="141">
        <f>SUMIFS('Business - Dump'!$W:$W,'Business - Dump'!$B:$B,'Series wise Report'!$A61,'Business - Dump'!$A:$A,'Series wise Report'!Q$1)</f>
        <v>3</v>
      </c>
      <c r="R61" s="141">
        <f>SUMIFS('Business - Dump'!$W:$W,'Business - Dump'!$B:$B,'Series wise Report'!$A61,'Business - Dump'!$A:$A,'Series wise Report'!R$1)</f>
        <v>0</v>
      </c>
      <c r="S61" s="141">
        <f>SUMIFS('Business - Dump'!$W:$W,'Business - Dump'!$B:$B,'Series wise Report'!$A61,'Business - Dump'!$A:$A,'Series wise Report'!S$1)</f>
        <v>0</v>
      </c>
      <c r="T61" s="141">
        <f>SUMIFS('Business - Dump'!$W:$W,'Business - Dump'!$B:$B,'Series wise Report'!$A61,'Business - Dump'!$A:$A,'Series wise Report'!T$1)</f>
        <v>0</v>
      </c>
    </row>
    <row r="62" ht="15.75" customHeight="1">
      <c r="A62" s="10" t="s">
        <v>248</v>
      </c>
      <c r="B62" s="10" t="s">
        <v>26</v>
      </c>
      <c r="C62" s="15">
        <f t="shared" si="25"/>
        <v>432088.98</v>
      </c>
      <c r="D62" s="15">
        <f>SUMIFS('Business - Dump'!$U:$U,'Business - Dump'!$B:$B,'Series wise Report'!$A62,'Business - Dump'!$A:$A,'Series wise Report'!D$1)</f>
        <v>0</v>
      </c>
      <c r="E62" s="15">
        <f>SUMIFS('Business - Dump'!$U:$U,'Business - Dump'!$B:$B,'Series wise Report'!$A62,'Business - Dump'!$A:$A,'Series wise Report'!E$1)</f>
        <v>70400</v>
      </c>
      <c r="F62" s="15">
        <f>SUMIFS('Business - Dump'!$U:$U,'Business - Dump'!$B:$B,'Series wise Report'!$A62,'Business - Dump'!$A:$A,'Series wise Report'!F$1)</f>
        <v>32700</v>
      </c>
      <c r="G62" s="15">
        <f>SUMIFS('Business - Dump'!$U:$U,'Business - Dump'!$B:$B,'Series wise Report'!$A62,'Business - Dump'!$A:$A,'Series wise Report'!G$1)</f>
        <v>46100</v>
      </c>
      <c r="H62" s="15">
        <f>SUMIFS('Business - Dump'!$U:$U,'Business - Dump'!$B:$B,'Series wise Report'!$A62,'Business - Dump'!$A:$A,'Series wise Report'!H$1)</f>
        <v>48600</v>
      </c>
      <c r="I62" s="15">
        <f>SUMIFS('Business - Dump'!$U:$U,'Business - Dump'!$B:$B,'Series wise Report'!$A62,'Business - Dump'!$A:$A,'Series wise Report'!I$1)</f>
        <v>10900</v>
      </c>
      <c r="J62" s="15">
        <f>SUMIFS('Business - Dump'!$U:$U,'Business - Dump'!$B:$B,'Series wise Report'!$A62,'Business - Dump'!$A:$A,'Series wise Report'!J$1)</f>
        <v>44338.98</v>
      </c>
      <c r="K62" s="15">
        <f>SUMIFS('Business - Dump'!$U:$U,'Business - Dump'!$B:$B,'Series wise Report'!$A62,'Business - Dump'!$A:$A,'Series wise Report'!K$1)</f>
        <v>22200</v>
      </c>
      <c r="L62" s="15">
        <f>SUMIFS('Business - Dump'!$U:$U,'Business - Dump'!$B:$B,'Series wise Report'!$A62,'Business - Dump'!$A:$A,'Series wise Report'!L$1)</f>
        <v>0</v>
      </c>
      <c r="M62" s="15">
        <f>SUMIFS('Business - Dump'!$U:$U,'Business - Dump'!$B:$B,'Series wise Report'!$A62,'Business - Dump'!$A:$A,'Series wise Report'!M$1)</f>
        <v>11600</v>
      </c>
      <c r="N62" s="15">
        <f>SUMIFS('Business - Dump'!$U:$U,'Business - Dump'!$B:$B,'Series wise Report'!$A62,'Business - Dump'!$A:$A,'Series wise Report'!N$1)</f>
        <v>69900</v>
      </c>
      <c r="O62" s="15">
        <f>SUMIFS('Business - Dump'!$U:$U,'Business - Dump'!$B:$B,'Series wise Report'!$A62,'Business - Dump'!$A:$A,'Series wise Report'!O$1)</f>
        <v>63200</v>
      </c>
      <c r="P62" s="15">
        <f>SUMIFS('Business - Dump'!$U:$U,'Business - Dump'!$B:$B,'Series wise Report'!$A62,'Business - Dump'!$A:$A,'Series wise Report'!P$1)</f>
        <v>12150</v>
      </c>
      <c r="Q62" s="15">
        <f>SUMIFS('Business - Dump'!$U:$U,'Business - Dump'!$B:$B,'Series wise Report'!$A62,'Business - Dump'!$A:$A,'Series wise Report'!Q$1)</f>
        <v>38200</v>
      </c>
      <c r="R62" s="15">
        <f>SUMIFS('Business - Dump'!$U:$U,'Business - Dump'!$B:$B,'Series wise Report'!$A62,'Business - Dump'!$A:$A,'Series wise Report'!R$1)</f>
        <v>0</v>
      </c>
      <c r="S62" s="15">
        <f>SUMIFS('Business - Dump'!$U:$U,'Business - Dump'!$B:$B,'Series wise Report'!$A62,'Business - Dump'!$A:$A,'Series wise Report'!S$1)</f>
        <v>0</v>
      </c>
      <c r="T62" s="15">
        <f>SUMIFS('Business - Dump'!$U:$U,'Business - Dump'!$B:$B,'Series wise Report'!$A62,'Business - Dump'!$A:$A,'Series wise Report'!T$1)</f>
        <v>0</v>
      </c>
    </row>
    <row r="63" ht="15.75" customHeight="1">
      <c r="A63" s="10" t="s">
        <v>248</v>
      </c>
      <c r="B63" s="10" t="s">
        <v>29</v>
      </c>
      <c r="C63" s="17">
        <f t="shared" ref="C63:T63" si="26">IFERROR(C61/C58,0)</f>
        <v>0.009602906826</v>
      </c>
      <c r="D63" s="17">
        <f t="shared" si="26"/>
        <v>0</v>
      </c>
      <c r="E63" s="17">
        <f t="shared" si="26"/>
        <v>0.01617250674</v>
      </c>
      <c r="F63" s="17">
        <f t="shared" si="26"/>
        <v>0.008450704225</v>
      </c>
      <c r="G63" s="17">
        <f t="shared" si="26"/>
        <v>0.01673640167</v>
      </c>
      <c r="H63" s="17">
        <f t="shared" si="26"/>
        <v>0.01129943503</v>
      </c>
      <c r="I63" s="17">
        <f t="shared" si="26"/>
        <v>0.007936507937</v>
      </c>
      <c r="J63" s="17">
        <f t="shared" si="26"/>
        <v>0.006015037594</v>
      </c>
      <c r="K63" s="17">
        <f t="shared" si="26"/>
        <v>0.008810572687</v>
      </c>
      <c r="L63" s="17">
        <f t="shared" si="26"/>
        <v>0</v>
      </c>
      <c r="M63" s="17">
        <f t="shared" si="26"/>
        <v>0.01388888889</v>
      </c>
      <c r="N63" s="17">
        <f t="shared" si="26"/>
        <v>0.009523809524</v>
      </c>
      <c r="O63" s="17">
        <f t="shared" si="26"/>
        <v>0.009541984733</v>
      </c>
      <c r="P63" s="17">
        <f t="shared" si="26"/>
        <v>0.003448275862</v>
      </c>
      <c r="Q63" s="17">
        <f t="shared" si="26"/>
        <v>0.03448275862</v>
      </c>
      <c r="R63" s="17">
        <f t="shared" si="26"/>
        <v>0</v>
      </c>
      <c r="S63" s="17">
        <f t="shared" si="26"/>
        <v>0</v>
      </c>
      <c r="T63" s="17">
        <f t="shared" si="26"/>
        <v>0</v>
      </c>
    </row>
    <row r="64" ht="15.75" customHeight="1">
      <c r="A64" s="10" t="s">
        <v>248</v>
      </c>
      <c r="B64" s="10" t="s">
        <v>282</v>
      </c>
      <c r="C64" s="16">
        <f t="shared" ref="C64:T64" si="27">IFERROR(C62/C61,0)</f>
        <v>11678.08054</v>
      </c>
      <c r="D64" s="16">
        <f t="shared" si="27"/>
        <v>0</v>
      </c>
      <c r="E64" s="16">
        <f t="shared" si="27"/>
        <v>11733.33333</v>
      </c>
      <c r="F64" s="16">
        <f t="shared" si="27"/>
        <v>10900</v>
      </c>
      <c r="G64" s="16">
        <f t="shared" si="27"/>
        <v>11525</v>
      </c>
      <c r="H64" s="16">
        <f t="shared" si="27"/>
        <v>12150</v>
      </c>
      <c r="I64" s="16">
        <f t="shared" si="27"/>
        <v>10900</v>
      </c>
      <c r="J64" s="16">
        <f t="shared" si="27"/>
        <v>11084.745</v>
      </c>
      <c r="K64" s="16">
        <f t="shared" si="27"/>
        <v>11100</v>
      </c>
      <c r="L64" s="16">
        <f t="shared" si="27"/>
        <v>0</v>
      </c>
      <c r="M64" s="16">
        <f t="shared" si="27"/>
        <v>11600</v>
      </c>
      <c r="N64" s="16">
        <f t="shared" si="27"/>
        <v>11650</v>
      </c>
      <c r="O64" s="16">
        <f t="shared" si="27"/>
        <v>12640</v>
      </c>
      <c r="P64" s="16">
        <f t="shared" si="27"/>
        <v>12150</v>
      </c>
      <c r="Q64" s="16">
        <f t="shared" si="27"/>
        <v>12733.33333</v>
      </c>
      <c r="R64" s="16">
        <f t="shared" si="27"/>
        <v>0</v>
      </c>
      <c r="S64" s="16">
        <f t="shared" si="27"/>
        <v>0</v>
      </c>
      <c r="T64" s="16">
        <f t="shared" si="27"/>
        <v>0</v>
      </c>
    </row>
    <row r="65" ht="15.75" customHeight="1">
      <c r="A65" s="10" t="s">
        <v>170</v>
      </c>
      <c r="B65" s="10" t="s">
        <v>257</v>
      </c>
      <c r="C65" s="16">
        <f t="shared" ref="C65:C69" si="28">SUM(D65:P65)</f>
        <v>6699</v>
      </c>
      <c r="D65" s="16">
        <f>SUMIFS('Business - Dump'!$G:$G,'Business - Dump'!$B:$B,'Series wise Report'!$A65,'Business - Dump'!$A:$A,'Series wise Report'!D$1)</f>
        <v>92</v>
      </c>
      <c r="E65" s="16">
        <f>SUMIFS('Business - Dump'!$G:$G,'Business - Dump'!$B:$B,'Series wise Report'!$A65,'Business - Dump'!$A:$A,'Series wise Report'!E$1)</f>
        <v>150</v>
      </c>
      <c r="F65" s="16">
        <f>SUMIFS('Business - Dump'!$G:$G,'Business - Dump'!$B:$B,'Series wise Report'!$A65,'Business - Dump'!$A:$A,'Series wise Report'!F$1)</f>
        <v>0</v>
      </c>
      <c r="G65" s="16">
        <f>SUMIFS('Business - Dump'!$G:$G,'Business - Dump'!$B:$B,'Series wise Report'!$A65,'Business - Dump'!$A:$A,'Series wise Report'!G$1)</f>
        <v>592</v>
      </c>
      <c r="H65" s="16">
        <f>SUMIFS('Business - Dump'!$G:$G,'Business - Dump'!$B:$B,'Series wise Report'!$A65,'Business - Dump'!$A:$A,'Series wise Report'!H$1)</f>
        <v>979</v>
      </c>
      <c r="I65" s="16">
        <f>SUMIFS('Business - Dump'!$G:$G,'Business - Dump'!$B:$B,'Series wise Report'!$A65,'Business - Dump'!$A:$A,'Series wise Report'!I$1)</f>
        <v>1135</v>
      </c>
      <c r="J65" s="16">
        <f>SUMIFS('Business - Dump'!$G:$G,'Business - Dump'!$B:$B,'Series wise Report'!$A65,'Business - Dump'!$A:$A,'Series wise Report'!J$1)</f>
        <v>206</v>
      </c>
      <c r="K65" s="16">
        <f>SUMIFS('Business - Dump'!$G:$G,'Business - Dump'!$B:$B,'Series wise Report'!$A65,'Business - Dump'!$A:$A,'Series wise Report'!K$1)</f>
        <v>186</v>
      </c>
      <c r="L65" s="16">
        <f>SUMIFS('Business - Dump'!$G:$G,'Business - Dump'!$B:$B,'Series wise Report'!$A65,'Business - Dump'!$A:$A,'Series wise Report'!L$1)</f>
        <v>364</v>
      </c>
      <c r="M65" s="16">
        <f>SUMIFS('Business - Dump'!$G:$G,'Business - Dump'!$B:$B,'Series wise Report'!$A65,'Business - Dump'!$A:$A,'Series wise Report'!M$1)</f>
        <v>894</v>
      </c>
      <c r="N65" s="16">
        <f>SUMIFS('Business - Dump'!$G:$G,'Business - Dump'!$B:$B,'Series wise Report'!$A65,'Business - Dump'!$A:$A,'Series wise Report'!N$1)</f>
        <v>1010</v>
      </c>
      <c r="O65" s="16">
        <f>SUMIFS('Business - Dump'!$G:$G,'Business - Dump'!$B:$B,'Series wise Report'!$A65,'Business - Dump'!$A:$A,'Series wise Report'!O$1)</f>
        <v>748</v>
      </c>
      <c r="P65" s="16">
        <f>SUMIFS('Business - Dump'!$G:$G,'Business - Dump'!$B:$B,'Series wise Report'!$A65,'Business - Dump'!$A:$A,'Series wise Report'!P$1)</f>
        <v>343</v>
      </c>
      <c r="Q65" s="16">
        <f>SUMIFS('Business - Dump'!$G:$G,'Business - Dump'!$B:$B,'Series wise Report'!$A65,'Business - Dump'!$A:$A,'Series wise Report'!Q$1)</f>
        <v>160</v>
      </c>
      <c r="R65" s="16">
        <f>SUMIFS('Business - Dump'!$G:$G,'Business - Dump'!$B:$B,'Series wise Report'!$A65,'Business - Dump'!$A:$A,'Series wise Report'!R$1)</f>
        <v>27</v>
      </c>
      <c r="S65" s="16">
        <f>SUMIFS('Business - Dump'!$G:$G,'Business - Dump'!$B:$B,'Series wise Report'!$A65,'Business - Dump'!$A:$A,'Series wise Report'!S$1)</f>
        <v>7</v>
      </c>
      <c r="T65" s="16">
        <f>SUMIFS('Business - Dump'!$G:$G,'Business - Dump'!$B:$B,'Series wise Report'!$A65,'Business - Dump'!$A:$A,'Series wise Report'!T$1)</f>
        <v>0</v>
      </c>
    </row>
    <row r="66" ht="15.75" customHeight="1">
      <c r="A66" s="10" t="s">
        <v>170</v>
      </c>
      <c r="B66" s="10" t="s">
        <v>260</v>
      </c>
      <c r="C66" s="16">
        <f t="shared" si="28"/>
        <v>9180</v>
      </c>
      <c r="D66" s="16">
        <f>SUMIFS('Business - Dump'!$K:$K,'Business - Dump'!$B:$B,'Series wise Report'!$A66,'Business - Dump'!$A:$A,'Series wise Report'!D$1)</f>
        <v>136</v>
      </c>
      <c r="E66" s="16">
        <f>SUMIFS('Business - Dump'!$K:$K,'Business - Dump'!$B:$B,'Series wise Report'!$A66,'Business - Dump'!$A:$A,'Series wise Report'!E$1)</f>
        <v>216</v>
      </c>
      <c r="F66" s="16">
        <f>SUMIFS('Business - Dump'!$K:$K,'Business - Dump'!$B:$B,'Series wise Report'!$A66,'Business - Dump'!$A:$A,'Series wise Report'!F$1)</f>
        <v>0</v>
      </c>
      <c r="G66" s="16">
        <f>SUMIFS('Business - Dump'!$K:$K,'Business - Dump'!$B:$B,'Series wise Report'!$A66,'Business - Dump'!$A:$A,'Series wise Report'!G$1)</f>
        <v>822</v>
      </c>
      <c r="H66" s="16">
        <f>SUMIFS('Business - Dump'!$K:$K,'Business - Dump'!$B:$B,'Series wise Report'!$A66,'Business - Dump'!$A:$A,'Series wise Report'!H$1)</f>
        <v>1301</v>
      </c>
      <c r="I66" s="16">
        <f>SUMIFS('Business - Dump'!$K:$K,'Business - Dump'!$B:$B,'Series wise Report'!$A66,'Business - Dump'!$A:$A,'Series wise Report'!I$1)</f>
        <v>1500</v>
      </c>
      <c r="J66" s="16">
        <f>SUMIFS('Business - Dump'!$K:$K,'Business - Dump'!$B:$B,'Series wise Report'!$A66,'Business - Dump'!$A:$A,'Series wise Report'!J$1)</f>
        <v>254</v>
      </c>
      <c r="K66" s="16">
        <f>SUMIFS('Business - Dump'!$K:$K,'Business - Dump'!$B:$B,'Series wise Report'!$A66,'Business - Dump'!$A:$A,'Series wise Report'!K$1)</f>
        <v>243</v>
      </c>
      <c r="L66" s="16">
        <f>SUMIFS('Business - Dump'!$K:$K,'Business - Dump'!$B:$B,'Series wise Report'!$A66,'Business - Dump'!$A:$A,'Series wise Report'!L$1)</f>
        <v>502</v>
      </c>
      <c r="M66" s="16">
        <f>SUMIFS('Business - Dump'!$K:$K,'Business - Dump'!$B:$B,'Series wise Report'!$A66,'Business - Dump'!$A:$A,'Series wise Report'!M$1)</f>
        <v>1260</v>
      </c>
      <c r="N66" s="16">
        <f>SUMIFS('Business - Dump'!$K:$K,'Business - Dump'!$B:$B,'Series wise Report'!$A66,'Business - Dump'!$A:$A,'Series wise Report'!N$1)</f>
        <v>1423</v>
      </c>
      <c r="O66" s="16">
        <f>SUMIFS('Business - Dump'!$K:$K,'Business - Dump'!$B:$B,'Series wise Report'!$A66,'Business - Dump'!$A:$A,'Series wise Report'!O$1)</f>
        <v>1036</v>
      </c>
      <c r="P66" s="16">
        <f>SUMIFS('Business - Dump'!$K:$K,'Business - Dump'!$B:$B,'Series wise Report'!$A66,'Business - Dump'!$A:$A,'Series wise Report'!P$1)</f>
        <v>487</v>
      </c>
      <c r="Q66" s="16">
        <f>SUMIFS('Business - Dump'!$K:$K,'Business - Dump'!$B:$B,'Series wise Report'!$A66,'Business - Dump'!$A:$A,'Series wise Report'!Q$1)</f>
        <v>243</v>
      </c>
      <c r="R66" s="16">
        <f>SUMIFS('Business - Dump'!$K:$K,'Business - Dump'!$B:$B,'Series wise Report'!$A66,'Business - Dump'!$A:$A,'Series wise Report'!R$1)</f>
        <v>39</v>
      </c>
      <c r="S66" s="16">
        <f>SUMIFS('Business - Dump'!$K:$K,'Business - Dump'!$B:$B,'Series wise Report'!$A66,'Business - Dump'!$A:$A,'Series wise Report'!S$1)</f>
        <v>10</v>
      </c>
      <c r="T66" s="16">
        <f>SUMIFS('Business - Dump'!$K:$K,'Business - Dump'!$B:$B,'Series wise Report'!$A66,'Business - Dump'!$A:$A,'Series wise Report'!T$1)</f>
        <v>0</v>
      </c>
    </row>
    <row r="67" ht="15.75" customHeight="1">
      <c r="A67" s="138" t="s">
        <v>170</v>
      </c>
      <c r="B67" s="138" t="s">
        <v>264</v>
      </c>
      <c r="C67" s="3">
        <f t="shared" si="28"/>
        <v>64</v>
      </c>
      <c r="D67" s="3">
        <f>SUMIFS('Business - Dump'!$Q:$Q,'Business - Dump'!$B:$B,'Series wise Report'!$A67,'Business - Dump'!$A:$A,'Series wise Report'!D$1)</f>
        <v>1</v>
      </c>
      <c r="E67" s="3">
        <f>SUMIFS('Business - Dump'!$Q:$Q,'Business - Dump'!$B:$B,'Series wise Report'!$A67,'Business - Dump'!$A:$A,'Series wise Report'!E$1)</f>
        <v>3</v>
      </c>
      <c r="F67" s="3">
        <f>SUMIFS('Business - Dump'!$Q:$Q,'Business - Dump'!$B:$B,'Series wise Report'!$A67,'Business - Dump'!$A:$A,'Series wise Report'!F$1)</f>
        <v>0</v>
      </c>
      <c r="G67" s="3">
        <f>SUMIFS('Business - Dump'!$Q:$Q,'Business - Dump'!$B:$B,'Series wise Report'!$A67,'Business - Dump'!$A:$A,'Series wise Report'!G$1)</f>
        <v>6</v>
      </c>
      <c r="H67" s="3">
        <f>SUMIFS('Business - Dump'!$Q:$Q,'Business - Dump'!$B:$B,'Series wise Report'!$A67,'Business - Dump'!$A:$A,'Series wise Report'!H$1)</f>
        <v>7</v>
      </c>
      <c r="I67" s="3">
        <f>SUMIFS('Business - Dump'!$Q:$Q,'Business - Dump'!$B:$B,'Series wise Report'!$A67,'Business - Dump'!$A:$A,'Series wise Report'!I$1)</f>
        <v>17</v>
      </c>
      <c r="J67" s="3">
        <f>SUMIFS('Business - Dump'!$Q:$Q,'Business - Dump'!$B:$B,'Series wise Report'!$A67,'Business - Dump'!$A:$A,'Series wise Report'!J$1)</f>
        <v>1</v>
      </c>
      <c r="K67" s="3">
        <f>SUMIFS('Business - Dump'!$Q:$Q,'Business - Dump'!$B:$B,'Series wise Report'!$A67,'Business - Dump'!$A:$A,'Series wise Report'!K$1)</f>
        <v>2</v>
      </c>
      <c r="L67" s="3">
        <f>SUMIFS('Business - Dump'!$Q:$Q,'Business - Dump'!$B:$B,'Series wise Report'!$A67,'Business - Dump'!$A:$A,'Series wise Report'!L$1)</f>
        <v>4</v>
      </c>
      <c r="M67" s="3">
        <f>SUMIFS('Business - Dump'!$Q:$Q,'Business - Dump'!$B:$B,'Series wise Report'!$A67,'Business - Dump'!$A:$A,'Series wise Report'!M$1)</f>
        <v>3</v>
      </c>
      <c r="N67" s="3">
        <f>SUMIFS('Business - Dump'!$Q:$Q,'Business - Dump'!$B:$B,'Series wise Report'!$A67,'Business - Dump'!$A:$A,'Series wise Report'!N$1)</f>
        <v>10</v>
      </c>
      <c r="O67" s="3">
        <f>SUMIFS('Business - Dump'!$Q:$Q,'Business - Dump'!$B:$B,'Series wise Report'!$A67,'Business - Dump'!$A:$A,'Series wise Report'!O$1)</f>
        <v>7</v>
      </c>
      <c r="P67" s="3">
        <f>SUMIFS('Business - Dump'!$Q:$Q,'Business - Dump'!$B:$B,'Series wise Report'!$A67,'Business - Dump'!$A:$A,'Series wise Report'!P$1)</f>
        <v>3</v>
      </c>
      <c r="Q67" s="3">
        <f>SUMIFS('Business - Dump'!$Q:$Q,'Business - Dump'!$B:$B,'Series wise Report'!$A67,'Business - Dump'!$A:$A,'Series wise Report'!Q$1)</f>
        <v>1</v>
      </c>
      <c r="R67" s="3">
        <f>SUMIFS('Business - Dump'!$Q:$Q,'Business - Dump'!$B:$B,'Series wise Report'!$A67,'Business - Dump'!$A:$A,'Series wise Report'!R$1)</f>
        <v>0</v>
      </c>
      <c r="S67" s="3">
        <f>SUMIFS('Business - Dump'!$Q:$Q,'Business - Dump'!$B:$B,'Series wise Report'!$A67,'Business - Dump'!$A:$A,'Series wise Report'!S$1)</f>
        <v>2</v>
      </c>
      <c r="T67" s="3">
        <f>SUMIFS('Business - Dump'!$Q:$Q,'Business - Dump'!$B:$B,'Series wise Report'!$A67,'Business - Dump'!$A:$A,'Series wise Report'!T$1)</f>
        <v>0</v>
      </c>
    </row>
    <row r="68" ht="15.75" customHeight="1">
      <c r="A68" s="137" t="s">
        <v>170</v>
      </c>
      <c r="B68" s="137" t="s">
        <v>268</v>
      </c>
      <c r="C68" s="141">
        <f t="shared" si="28"/>
        <v>64</v>
      </c>
      <c r="D68" s="141">
        <f>SUMIFS('Business - Dump'!$W:$W,'Business - Dump'!$B:$B,'Series wise Report'!$A68,'Business - Dump'!$A:$A,'Series wise Report'!D$1)</f>
        <v>1</v>
      </c>
      <c r="E68" s="141">
        <f>SUMIFS('Business - Dump'!$W:$W,'Business - Dump'!$B:$B,'Series wise Report'!$A68,'Business - Dump'!$A:$A,'Series wise Report'!E$1)</f>
        <v>3</v>
      </c>
      <c r="F68" s="141">
        <f>SUMIFS('Business - Dump'!$W:$W,'Business - Dump'!$B:$B,'Series wise Report'!$A68,'Business - Dump'!$A:$A,'Series wise Report'!F$1)</f>
        <v>0</v>
      </c>
      <c r="G68" s="141">
        <f>SUMIFS('Business - Dump'!$W:$W,'Business - Dump'!$B:$B,'Series wise Report'!$A68,'Business - Dump'!$A:$A,'Series wise Report'!G$1)</f>
        <v>6</v>
      </c>
      <c r="H68" s="141">
        <f>SUMIFS('Business - Dump'!$W:$W,'Business - Dump'!$B:$B,'Series wise Report'!$A68,'Business - Dump'!$A:$A,'Series wise Report'!H$1)</f>
        <v>7</v>
      </c>
      <c r="I68" s="141">
        <f>SUMIFS('Business - Dump'!$W:$W,'Business - Dump'!$B:$B,'Series wise Report'!$A68,'Business - Dump'!$A:$A,'Series wise Report'!I$1)</f>
        <v>17</v>
      </c>
      <c r="J68" s="141">
        <f>SUMIFS('Business - Dump'!$W:$W,'Business - Dump'!$B:$B,'Series wise Report'!$A68,'Business - Dump'!$A:$A,'Series wise Report'!J$1)</f>
        <v>1</v>
      </c>
      <c r="K68" s="141">
        <f>SUMIFS('Business - Dump'!$W:$W,'Business - Dump'!$B:$B,'Series wise Report'!$A68,'Business - Dump'!$A:$A,'Series wise Report'!K$1)</f>
        <v>2</v>
      </c>
      <c r="L68" s="141">
        <f>SUMIFS('Business - Dump'!$W:$W,'Business - Dump'!$B:$B,'Series wise Report'!$A68,'Business - Dump'!$A:$A,'Series wise Report'!L$1)</f>
        <v>4</v>
      </c>
      <c r="M68" s="141">
        <f>SUMIFS('Business - Dump'!$W:$W,'Business - Dump'!$B:$B,'Series wise Report'!$A68,'Business - Dump'!$A:$A,'Series wise Report'!M$1)</f>
        <v>3</v>
      </c>
      <c r="N68" s="141">
        <f>SUMIFS('Business - Dump'!$W:$W,'Business - Dump'!$B:$B,'Series wise Report'!$A68,'Business - Dump'!$A:$A,'Series wise Report'!N$1)</f>
        <v>10</v>
      </c>
      <c r="O68" s="141">
        <f>SUMIFS('Business - Dump'!$W:$W,'Business - Dump'!$B:$B,'Series wise Report'!$A68,'Business - Dump'!$A:$A,'Series wise Report'!O$1)</f>
        <v>7</v>
      </c>
      <c r="P68" s="141">
        <f>SUMIFS('Business - Dump'!$W:$W,'Business - Dump'!$B:$B,'Series wise Report'!$A68,'Business - Dump'!$A:$A,'Series wise Report'!P$1)</f>
        <v>3</v>
      </c>
      <c r="Q68" s="141">
        <f>SUMIFS('Business - Dump'!$W:$W,'Business - Dump'!$B:$B,'Series wise Report'!$A68,'Business - Dump'!$A:$A,'Series wise Report'!Q$1)</f>
        <v>1</v>
      </c>
      <c r="R68" s="141">
        <f>SUMIFS('Business - Dump'!$W:$W,'Business - Dump'!$B:$B,'Series wise Report'!$A68,'Business - Dump'!$A:$A,'Series wise Report'!R$1)</f>
        <v>0</v>
      </c>
      <c r="S68" s="141">
        <f>SUMIFS('Business - Dump'!$W:$W,'Business - Dump'!$B:$B,'Series wise Report'!$A68,'Business - Dump'!$A:$A,'Series wise Report'!S$1)</f>
        <v>2</v>
      </c>
      <c r="T68" s="141">
        <f>SUMIFS('Business - Dump'!$W:$W,'Business - Dump'!$B:$B,'Series wise Report'!$A68,'Business - Dump'!$A:$A,'Series wise Report'!T$1)</f>
        <v>0</v>
      </c>
    </row>
    <row r="69" ht="15.75" customHeight="1">
      <c r="A69" s="10" t="s">
        <v>170</v>
      </c>
      <c r="B69" s="10" t="s">
        <v>26</v>
      </c>
      <c r="C69" s="15">
        <f t="shared" si="28"/>
        <v>466146</v>
      </c>
      <c r="D69" s="15">
        <f>SUMIFS('Business - Dump'!$U:$U,'Business - Dump'!$B:$B,'Series wise Report'!$A69,'Business - Dump'!$A:$A,'Series wise Report'!D$1)</f>
        <v>6500</v>
      </c>
      <c r="E69" s="15">
        <f>SUMIFS('Business - Dump'!$U:$U,'Business - Dump'!$B:$B,'Series wise Report'!$A69,'Business - Dump'!$A:$A,'Series wise Report'!E$1)</f>
        <v>19500</v>
      </c>
      <c r="F69" s="15">
        <f>SUMIFS('Business - Dump'!$U:$U,'Business - Dump'!$B:$B,'Series wise Report'!$A69,'Business - Dump'!$A:$A,'Series wise Report'!F$1)</f>
        <v>0</v>
      </c>
      <c r="G69" s="15">
        <f>SUMIFS('Business - Dump'!$U:$U,'Business - Dump'!$B:$B,'Series wise Report'!$A69,'Business - Dump'!$A:$A,'Series wise Report'!G$1)</f>
        <v>44400</v>
      </c>
      <c r="H69" s="15">
        <f>SUMIFS('Business - Dump'!$U:$U,'Business - Dump'!$B:$B,'Series wise Report'!$A69,'Business - Dump'!$A:$A,'Series wise Report'!H$1)</f>
        <v>41300</v>
      </c>
      <c r="I69" s="15">
        <f>SUMIFS('Business - Dump'!$U:$U,'Business - Dump'!$B:$B,'Series wise Report'!$A69,'Business - Dump'!$A:$A,'Series wise Report'!I$1)</f>
        <v>112300</v>
      </c>
      <c r="J69" s="15">
        <f>SUMIFS('Business - Dump'!$U:$U,'Business - Dump'!$B:$B,'Series wise Report'!$A69,'Business - Dump'!$A:$A,'Series wise Report'!J$1)</f>
        <v>6175</v>
      </c>
      <c r="K69" s="15">
        <f>SUMIFS('Business - Dump'!$U:$U,'Business - Dump'!$B:$B,'Series wise Report'!$A69,'Business - Dump'!$A:$A,'Series wise Report'!K$1)</f>
        <v>18900</v>
      </c>
      <c r="L69" s="15">
        <f>SUMIFS('Business - Dump'!$U:$U,'Business - Dump'!$B:$B,'Series wise Report'!$A69,'Business - Dump'!$A:$A,'Series wise Report'!L$1)</f>
        <v>30031</v>
      </c>
      <c r="M69" s="15">
        <f>SUMIFS('Business - Dump'!$U:$U,'Business - Dump'!$B:$B,'Series wise Report'!$A69,'Business - Dump'!$A:$A,'Series wise Report'!M$1)</f>
        <v>22440</v>
      </c>
      <c r="N69" s="15">
        <f>SUMIFS('Business - Dump'!$U:$U,'Business - Dump'!$B:$B,'Series wise Report'!$A69,'Business - Dump'!$A:$A,'Series wise Report'!N$1)</f>
        <v>80150</v>
      </c>
      <c r="O69" s="15">
        <f>SUMIFS('Business - Dump'!$U:$U,'Business - Dump'!$B:$B,'Series wise Report'!$A69,'Business - Dump'!$A:$A,'Series wise Report'!O$1)</f>
        <v>57750</v>
      </c>
      <c r="P69" s="15">
        <f>SUMIFS('Business - Dump'!$U:$U,'Business - Dump'!$B:$B,'Series wise Report'!$A69,'Business - Dump'!$A:$A,'Series wise Report'!P$1)</f>
        <v>26700</v>
      </c>
      <c r="Q69" s="15">
        <f>SUMIFS('Business - Dump'!$U:$U,'Business - Dump'!$B:$B,'Series wise Report'!$A69,'Business - Dump'!$A:$A,'Series wise Report'!Q$1)</f>
        <v>8900</v>
      </c>
      <c r="R69" s="15">
        <f>SUMIFS('Business - Dump'!$U:$U,'Business - Dump'!$B:$B,'Series wise Report'!$A69,'Business - Dump'!$A:$A,'Series wise Report'!R$1)</f>
        <v>0</v>
      </c>
      <c r="S69" s="15">
        <f>SUMIFS('Business - Dump'!$U:$U,'Business - Dump'!$B:$B,'Series wise Report'!$A69,'Business - Dump'!$A:$A,'Series wise Report'!S$1)</f>
        <v>13980</v>
      </c>
      <c r="T69" s="15">
        <f>SUMIFS('Business - Dump'!$U:$U,'Business - Dump'!$B:$B,'Series wise Report'!$A69,'Business - Dump'!$A:$A,'Series wise Report'!T$1)</f>
        <v>0</v>
      </c>
    </row>
    <row r="70" ht="15.75" customHeight="1">
      <c r="A70" s="10" t="s">
        <v>170</v>
      </c>
      <c r="B70" s="10" t="s">
        <v>29</v>
      </c>
      <c r="C70" s="17">
        <f t="shared" ref="C70:T70" si="29">IFERROR(C68/C65,0)</f>
        <v>0.009553664726</v>
      </c>
      <c r="D70" s="17">
        <f t="shared" si="29"/>
        <v>0.01086956522</v>
      </c>
      <c r="E70" s="17">
        <f t="shared" si="29"/>
        <v>0.02</v>
      </c>
      <c r="F70" s="17">
        <f t="shared" si="29"/>
        <v>0</v>
      </c>
      <c r="G70" s="17">
        <f t="shared" si="29"/>
        <v>0.01013513514</v>
      </c>
      <c r="H70" s="17">
        <f t="shared" si="29"/>
        <v>0.007150153218</v>
      </c>
      <c r="I70" s="17">
        <f t="shared" si="29"/>
        <v>0.01497797357</v>
      </c>
      <c r="J70" s="17">
        <f t="shared" si="29"/>
        <v>0.004854368932</v>
      </c>
      <c r="K70" s="17">
        <f t="shared" si="29"/>
        <v>0.01075268817</v>
      </c>
      <c r="L70" s="17">
        <f t="shared" si="29"/>
        <v>0.01098901099</v>
      </c>
      <c r="M70" s="17">
        <f t="shared" si="29"/>
        <v>0.003355704698</v>
      </c>
      <c r="N70" s="17">
        <f t="shared" si="29"/>
        <v>0.009900990099</v>
      </c>
      <c r="O70" s="17">
        <f t="shared" si="29"/>
        <v>0.00935828877</v>
      </c>
      <c r="P70" s="17">
        <f t="shared" si="29"/>
        <v>0.008746355685</v>
      </c>
      <c r="Q70" s="17">
        <f t="shared" si="29"/>
        <v>0.00625</v>
      </c>
      <c r="R70" s="17">
        <f t="shared" si="29"/>
        <v>0</v>
      </c>
      <c r="S70" s="17">
        <f t="shared" si="29"/>
        <v>0.2857142857</v>
      </c>
      <c r="T70" s="17">
        <f t="shared" si="29"/>
        <v>0</v>
      </c>
    </row>
    <row r="71" ht="15.75" customHeight="1">
      <c r="A71" s="10" t="s">
        <v>170</v>
      </c>
      <c r="B71" s="10" t="s">
        <v>282</v>
      </c>
      <c r="C71" s="16">
        <f t="shared" ref="C71:T71" si="30">IFERROR(C69/C68,0)</f>
        <v>7283.53125</v>
      </c>
      <c r="D71" s="16">
        <f t="shared" si="30"/>
        <v>6500</v>
      </c>
      <c r="E71" s="16">
        <f t="shared" si="30"/>
        <v>6500</v>
      </c>
      <c r="F71" s="16">
        <f t="shared" si="30"/>
        <v>0</v>
      </c>
      <c r="G71" s="16">
        <f t="shared" si="30"/>
        <v>7400</v>
      </c>
      <c r="H71" s="16">
        <f t="shared" si="30"/>
        <v>5900</v>
      </c>
      <c r="I71" s="16">
        <f t="shared" si="30"/>
        <v>6605.882353</v>
      </c>
      <c r="J71" s="16">
        <f t="shared" si="30"/>
        <v>6175</v>
      </c>
      <c r="K71" s="16">
        <f t="shared" si="30"/>
        <v>9450</v>
      </c>
      <c r="L71" s="16">
        <f t="shared" si="30"/>
        <v>7507.75</v>
      </c>
      <c r="M71" s="16">
        <f t="shared" si="30"/>
        <v>7480</v>
      </c>
      <c r="N71" s="16">
        <f t="shared" si="30"/>
        <v>8015</v>
      </c>
      <c r="O71" s="16">
        <f t="shared" si="30"/>
        <v>8250</v>
      </c>
      <c r="P71" s="16">
        <f t="shared" si="30"/>
        <v>8900</v>
      </c>
      <c r="Q71" s="16">
        <f t="shared" si="30"/>
        <v>8900</v>
      </c>
      <c r="R71" s="16">
        <f t="shared" si="30"/>
        <v>0</v>
      </c>
      <c r="S71" s="16">
        <f t="shared" si="30"/>
        <v>6990</v>
      </c>
      <c r="T71" s="16">
        <f t="shared" si="30"/>
        <v>0</v>
      </c>
    </row>
    <row r="72" ht="15.75" customHeight="1">
      <c r="A72" s="10" t="s">
        <v>182</v>
      </c>
      <c r="B72" s="10" t="s">
        <v>257</v>
      </c>
      <c r="C72" s="16">
        <f t="shared" ref="C72:C76" si="31">SUM(D72:P72)</f>
        <v>29891</v>
      </c>
      <c r="D72" s="16">
        <f>SUMIFS('Business - Dump'!$G:$G,'Business - Dump'!$B:$B,'Series wise Report'!$A72,'Business - Dump'!$A:$A,'Series wise Report'!D$1)</f>
        <v>0</v>
      </c>
      <c r="E72" s="16">
        <f>SUMIFS('Business - Dump'!$G:$G,'Business - Dump'!$B:$B,'Series wise Report'!$A72,'Business - Dump'!$A:$A,'Series wise Report'!E$1)</f>
        <v>0</v>
      </c>
      <c r="F72" s="16">
        <f>SUMIFS('Business - Dump'!$G:$G,'Business - Dump'!$B:$B,'Series wise Report'!$A72,'Business - Dump'!$A:$A,'Series wise Report'!F$1)</f>
        <v>57</v>
      </c>
      <c r="G72" s="16">
        <f>SUMIFS('Business - Dump'!$G:$G,'Business - Dump'!$B:$B,'Series wise Report'!$A72,'Business - Dump'!$A:$A,'Series wise Report'!G$1)</f>
        <v>1054</v>
      </c>
      <c r="H72" s="16">
        <f>SUMIFS('Business - Dump'!$G:$G,'Business - Dump'!$B:$B,'Series wise Report'!$A72,'Business - Dump'!$A:$A,'Series wise Report'!H$1)</f>
        <v>1593</v>
      </c>
      <c r="I72" s="16">
        <f>SUMIFS('Business - Dump'!$G:$G,'Business - Dump'!$B:$B,'Series wise Report'!$A72,'Business - Dump'!$A:$A,'Series wise Report'!I$1)</f>
        <v>1103</v>
      </c>
      <c r="J72" s="16">
        <f>SUMIFS('Business - Dump'!$G:$G,'Business - Dump'!$B:$B,'Series wise Report'!$A72,'Business - Dump'!$A:$A,'Series wise Report'!J$1)</f>
        <v>3750</v>
      </c>
      <c r="K72" s="16">
        <f>SUMIFS('Business - Dump'!$G:$G,'Business - Dump'!$B:$B,'Series wise Report'!$A72,'Business - Dump'!$A:$A,'Series wise Report'!K$1)</f>
        <v>2760</v>
      </c>
      <c r="L72" s="16">
        <f>SUMIFS('Business - Dump'!$G:$G,'Business - Dump'!$B:$B,'Series wise Report'!$A72,'Business - Dump'!$A:$A,'Series wise Report'!L$1)</f>
        <v>3693</v>
      </c>
      <c r="M72" s="16">
        <f>SUMIFS('Business - Dump'!$G:$G,'Business - Dump'!$B:$B,'Series wise Report'!$A72,'Business - Dump'!$A:$A,'Series wise Report'!M$1)</f>
        <v>4001</v>
      </c>
      <c r="N72" s="16">
        <f>SUMIFS('Business - Dump'!$G:$G,'Business - Dump'!$B:$B,'Series wise Report'!$A72,'Business - Dump'!$A:$A,'Series wise Report'!N$1)</f>
        <v>6082</v>
      </c>
      <c r="O72" s="16">
        <f>SUMIFS('Business - Dump'!$G:$G,'Business - Dump'!$B:$B,'Series wise Report'!$A72,'Business - Dump'!$A:$A,'Series wise Report'!O$1)</f>
        <v>4037</v>
      </c>
      <c r="P72" s="16">
        <f>SUMIFS('Business - Dump'!$G:$G,'Business - Dump'!$B:$B,'Series wise Report'!$A72,'Business - Dump'!$A:$A,'Series wise Report'!P$1)</f>
        <v>1761</v>
      </c>
      <c r="Q72" s="16">
        <f>SUMIFS('Business - Dump'!$G:$G,'Business - Dump'!$B:$B,'Series wise Report'!$A72,'Business - Dump'!$A:$A,'Series wise Report'!Q$1)</f>
        <v>3678</v>
      </c>
      <c r="R72" s="16">
        <f>SUMIFS('Business - Dump'!$G:$G,'Business - Dump'!$B:$B,'Series wise Report'!$A72,'Business - Dump'!$A:$A,'Series wise Report'!R$1)</f>
        <v>1762</v>
      </c>
      <c r="S72" s="16">
        <f>SUMIFS('Business - Dump'!$G:$G,'Business - Dump'!$B:$B,'Series wise Report'!$A72,'Business - Dump'!$A:$A,'Series wise Report'!S$1)</f>
        <v>2187</v>
      </c>
      <c r="T72" s="16">
        <f>SUMIFS('Business - Dump'!$G:$G,'Business - Dump'!$B:$B,'Series wise Report'!$A72,'Business - Dump'!$A:$A,'Series wise Report'!T$1)</f>
        <v>3379</v>
      </c>
    </row>
    <row r="73" ht="15.75" customHeight="1">
      <c r="A73" s="10" t="s">
        <v>182</v>
      </c>
      <c r="B73" s="10" t="s">
        <v>260</v>
      </c>
      <c r="C73" s="16">
        <f t="shared" si="31"/>
        <v>40604</v>
      </c>
      <c r="D73" s="16">
        <f>SUMIFS('Business - Dump'!$K:$K,'Business - Dump'!$B:$B,'Series wise Report'!$A73,'Business - Dump'!$A:$A,'Series wise Report'!D$1)</f>
        <v>0</v>
      </c>
      <c r="E73" s="16">
        <f>SUMIFS('Business - Dump'!$K:$K,'Business - Dump'!$B:$B,'Series wise Report'!$A73,'Business - Dump'!$A:$A,'Series wise Report'!E$1)</f>
        <v>0</v>
      </c>
      <c r="F73" s="16">
        <f>SUMIFS('Business - Dump'!$K:$K,'Business - Dump'!$B:$B,'Series wise Report'!$A73,'Business - Dump'!$A:$A,'Series wise Report'!F$1)</f>
        <v>79</v>
      </c>
      <c r="G73" s="16">
        <f>SUMIFS('Business - Dump'!$K:$K,'Business - Dump'!$B:$B,'Series wise Report'!$A73,'Business - Dump'!$A:$A,'Series wise Report'!G$1)</f>
        <v>1371</v>
      </c>
      <c r="H73" s="16">
        <f>SUMIFS('Business - Dump'!$K:$K,'Business - Dump'!$B:$B,'Series wise Report'!$A73,'Business - Dump'!$A:$A,'Series wise Report'!H$1)</f>
        <v>2152</v>
      </c>
      <c r="I73" s="16">
        <f>SUMIFS('Business - Dump'!$K:$K,'Business - Dump'!$B:$B,'Series wise Report'!$A73,'Business - Dump'!$A:$A,'Series wise Report'!I$1)</f>
        <v>1486</v>
      </c>
      <c r="J73" s="16">
        <f>SUMIFS('Business - Dump'!$K:$K,'Business - Dump'!$B:$B,'Series wise Report'!$A73,'Business - Dump'!$A:$A,'Series wise Report'!J$1)</f>
        <v>5576</v>
      </c>
      <c r="K73" s="16">
        <f>SUMIFS('Business - Dump'!$K:$K,'Business - Dump'!$B:$B,'Series wise Report'!$A73,'Business - Dump'!$A:$A,'Series wise Report'!K$1)</f>
        <v>3434</v>
      </c>
      <c r="L73" s="16">
        <f>SUMIFS('Business - Dump'!$K:$K,'Business - Dump'!$B:$B,'Series wise Report'!$A73,'Business - Dump'!$A:$A,'Series wise Report'!L$1)</f>
        <v>4896</v>
      </c>
      <c r="M73" s="16">
        <f>SUMIFS('Business - Dump'!$K:$K,'Business - Dump'!$B:$B,'Series wise Report'!$A73,'Business - Dump'!$A:$A,'Series wise Report'!M$1)</f>
        <v>5015</v>
      </c>
      <c r="N73" s="16">
        <f>SUMIFS('Business - Dump'!$K:$K,'Business - Dump'!$B:$B,'Series wise Report'!$A73,'Business - Dump'!$A:$A,'Series wise Report'!N$1)</f>
        <v>8309</v>
      </c>
      <c r="O73" s="16">
        <f>SUMIFS('Business - Dump'!$K:$K,'Business - Dump'!$B:$B,'Series wise Report'!$A73,'Business - Dump'!$A:$A,'Series wise Report'!O$1)</f>
        <v>5907</v>
      </c>
      <c r="P73" s="16">
        <f>SUMIFS('Business - Dump'!$K:$K,'Business - Dump'!$B:$B,'Series wise Report'!$A73,'Business - Dump'!$A:$A,'Series wise Report'!P$1)</f>
        <v>2379</v>
      </c>
      <c r="Q73" s="16">
        <f>SUMIFS('Business - Dump'!$K:$K,'Business - Dump'!$B:$B,'Series wise Report'!$A73,'Business - Dump'!$A:$A,'Series wise Report'!Q$1)</f>
        <v>4288</v>
      </c>
      <c r="R73" s="16">
        <f>SUMIFS('Business - Dump'!$K:$K,'Business - Dump'!$B:$B,'Series wise Report'!$A73,'Business - Dump'!$A:$A,'Series wise Report'!R$1)</f>
        <v>2313</v>
      </c>
      <c r="S73" s="16">
        <f>SUMIFS('Business - Dump'!$K:$K,'Business - Dump'!$B:$B,'Series wise Report'!$A73,'Business - Dump'!$A:$A,'Series wise Report'!S$1)</f>
        <v>2850</v>
      </c>
      <c r="T73" s="16">
        <f>SUMIFS('Business - Dump'!$K:$K,'Business - Dump'!$B:$B,'Series wise Report'!$A73,'Business - Dump'!$A:$A,'Series wise Report'!T$1)</f>
        <v>4148</v>
      </c>
    </row>
    <row r="74" ht="15.75" customHeight="1">
      <c r="A74" s="138" t="s">
        <v>182</v>
      </c>
      <c r="B74" s="138" t="s">
        <v>264</v>
      </c>
      <c r="C74" s="3">
        <f t="shared" si="31"/>
        <v>166</v>
      </c>
      <c r="D74" s="3">
        <f>SUMIFS('Business - Dump'!$Q:$Q,'Business - Dump'!$B:$B,'Series wise Report'!$A74,'Business - Dump'!$A:$A,'Series wise Report'!D$1)</f>
        <v>0</v>
      </c>
      <c r="E74" s="3">
        <f>SUMIFS('Business - Dump'!$Q:$Q,'Business - Dump'!$B:$B,'Series wise Report'!$A74,'Business - Dump'!$A:$A,'Series wise Report'!E$1)</f>
        <v>0</v>
      </c>
      <c r="F74" s="3">
        <f>SUMIFS('Business - Dump'!$Q:$Q,'Business - Dump'!$B:$B,'Series wise Report'!$A74,'Business - Dump'!$A:$A,'Series wise Report'!F$1)</f>
        <v>1</v>
      </c>
      <c r="G74" s="3">
        <f>SUMIFS('Business - Dump'!$Q:$Q,'Business - Dump'!$B:$B,'Series wise Report'!$A74,'Business - Dump'!$A:$A,'Series wise Report'!G$1)</f>
        <v>9</v>
      </c>
      <c r="H74" s="3">
        <f>SUMIFS('Business - Dump'!$Q:$Q,'Business - Dump'!$B:$B,'Series wise Report'!$A74,'Business - Dump'!$A:$A,'Series wise Report'!H$1)</f>
        <v>12</v>
      </c>
      <c r="I74" s="3">
        <f>SUMIFS('Business - Dump'!$Q:$Q,'Business - Dump'!$B:$B,'Series wise Report'!$A74,'Business - Dump'!$A:$A,'Series wise Report'!I$1)</f>
        <v>12</v>
      </c>
      <c r="J74" s="3">
        <f>SUMIFS('Business - Dump'!$Q:$Q,'Business - Dump'!$B:$B,'Series wise Report'!$A74,'Business - Dump'!$A:$A,'Series wise Report'!J$1)</f>
        <v>22</v>
      </c>
      <c r="K74" s="3">
        <f>SUMIFS('Business - Dump'!$Q:$Q,'Business - Dump'!$B:$B,'Series wise Report'!$A74,'Business - Dump'!$A:$A,'Series wise Report'!K$1)</f>
        <v>12</v>
      </c>
      <c r="L74" s="3">
        <f>SUMIFS('Business - Dump'!$Q:$Q,'Business - Dump'!$B:$B,'Series wise Report'!$A74,'Business - Dump'!$A:$A,'Series wise Report'!L$1)</f>
        <v>21</v>
      </c>
      <c r="M74" s="3">
        <f>SUMIFS('Business - Dump'!$Q:$Q,'Business - Dump'!$B:$B,'Series wise Report'!$A74,'Business - Dump'!$A:$A,'Series wise Report'!M$1)</f>
        <v>9</v>
      </c>
      <c r="N74" s="3">
        <f>SUMIFS('Business - Dump'!$Q:$Q,'Business - Dump'!$B:$B,'Series wise Report'!$A74,'Business - Dump'!$A:$A,'Series wise Report'!N$1)</f>
        <v>26</v>
      </c>
      <c r="O74" s="3">
        <f>SUMIFS('Business - Dump'!$Q:$Q,'Business - Dump'!$B:$B,'Series wise Report'!$A74,'Business - Dump'!$A:$A,'Series wise Report'!O$1)</f>
        <v>39</v>
      </c>
      <c r="P74" s="3">
        <f>SUMIFS('Business - Dump'!$Q:$Q,'Business - Dump'!$B:$B,'Series wise Report'!$A74,'Business - Dump'!$A:$A,'Series wise Report'!P$1)</f>
        <v>3</v>
      </c>
      <c r="Q74" s="3">
        <f>SUMIFS('Business - Dump'!$Q:$Q,'Business - Dump'!$B:$B,'Series wise Report'!$A74,'Business - Dump'!$A:$A,'Series wise Report'!Q$1)</f>
        <v>6</v>
      </c>
      <c r="R74" s="3">
        <f>SUMIFS('Business - Dump'!$Q:$Q,'Business - Dump'!$B:$B,'Series wise Report'!$A74,'Business - Dump'!$A:$A,'Series wise Report'!R$1)</f>
        <v>9</v>
      </c>
      <c r="S74" s="3">
        <f>SUMIFS('Business - Dump'!$Q:$Q,'Business - Dump'!$B:$B,'Series wise Report'!$A74,'Business - Dump'!$A:$A,'Series wise Report'!S$1)</f>
        <v>6</v>
      </c>
      <c r="T74" s="3">
        <f>SUMIFS('Business - Dump'!$Q:$Q,'Business - Dump'!$B:$B,'Series wise Report'!$A74,'Business - Dump'!$A:$A,'Series wise Report'!T$1)</f>
        <v>5</v>
      </c>
    </row>
    <row r="75" ht="15.75" customHeight="1">
      <c r="A75" s="137" t="s">
        <v>182</v>
      </c>
      <c r="B75" s="137" t="s">
        <v>268</v>
      </c>
      <c r="C75" s="141">
        <f t="shared" si="31"/>
        <v>165</v>
      </c>
      <c r="D75" s="141">
        <f>SUMIFS('Business - Dump'!$W:$W,'Business - Dump'!$B:$B,'Series wise Report'!$A75,'Business - Dump'!$A:$A,'Series wise Report'!D$1)</f>
        <v>0</v>
      </c>
      <c r="E75" s="141">
        <f>SUMIFS('Business - Dump'!$W:$W,'Business - Dump'!$B:$B,'Series wise Report'!$A75,'Business - Dump'!$A:$A,'Series wise Report'!E$1)</f>
        <v>0</v>
      </c>
      <c r="F75" s="141">
        <f>SUMIFS('Business - Dump'!$W:$W,'Business - Dump'!$B:$B,'Series wise Report'!$A75,'Business - Dump'!$A:$A,'Series wise Report'!F$1)</f>
        <v>1</v>
      </c>
      <c r="G75" s="141">
        <f>SUMIFS('Business - Dump'!$W:$W,'Business - Dump'!$B:$B,'Series wise Report'!$A75,'Business - Dump'!$A:$A,'Series wise Report'!G$1)</f>
        <v>9</v>
      </c>
      <c r="H75" s="141">
        <f>SUMIFS('Business - Dump'!$W:$W,'Business - Dump'!$B:$B,'Series wise Report'!$A75,'Business - Dump'!$A:$A,'Series wise Report'!H$1)</f>
        <v>12</v>
      </c>
      <c r="I75" s="141">
        <f>SUMIFS('Business - Dump'!$W:$W,'Business - Dump'!$B:$B,'Series wise Report'!$A75,'Business - Dump'!$A:$A,'Series wise Report'!I$1)</f>
        <v>12</v>
      </c>
      <c r="J75" s="141">
        <f>SUMIFS('Business - Dump'!$W:$W,'Business - Dump'!$B:$B,'Series wise Report'!$A75,'Business - Dump'!$A:$A,'Series wise Report'!J$1)</f>
        <v>22</v>
      </c>
      <c r="K75" s="141">
        <f>SUMIFS('Business - Dump'!$W:$W,'Business - Dump'!$B:$B,'Series wise Report'!$A75,'Business - Dump'!$A:$A,'Series wise Report'!K$1)</f>
        <v>12</v>
      </c>
      <c r="L75" s="141">
        <f>SUMIFS('Business - Dump'!$W:$W,'Business - Dump'!$B:$B,'Series wise Report'!$A75,'Business - Dump'!$A:$A,'Series wise Report'!L$1)</f>
        <v>20</v>
      </c>
      <c r="M75" s="141">
        <f>SUMIFS('Business - Dump'!$W:$W,'Business - Dump'!$B:$B,'Series wise Report'!$A75,'Business - Dump'!$A:$A,'Series wise Report'!M$1)</f>
        <v>9</v>
      </c>
      <c r="N75" s="141">
        <f>SUMIFS('Business - Dump'!$W:$W,'Business - Dump'!$B:$B,'Series wise Report'!$A75,'Business - Dump'!$A:$A,'Series wise Report'!N$1)</f>
        <v>26</v>
      </c>
      <c r="O75" s="141">
        <f>SUMIFS('Business - Dump'!$W:$W,'Business - Dump'!$B:$B,'Series wise Report'!$A75,'Business - Dump'!$A:$A,'Series wise Report'!O$1)</f>
        <v>39</v>
      </c>
      <c r="P75" s="141">
        <f>SUMIFS('Business - Dump'!$W:$W,'Business - Dump'!$B:$B,'Series wise Report'!$A75,'Business - Dump'!$A:$A,'Series wise Report'!P$1)</f>
        <v>3</v>
      </c>
      <c r="Q75" s="141">
        <f>SUMIFS('Business - Dump'!$W:$W,'Business - Dump'!$B:$B,'Series wise Report'!$A75,'Business - Dump'!$A:$A,'Series wise Report'!Q$1)</f>
        <v>6</v>
      </c>
      <c r="R75" s="141">
        <f>SUMIFS('Business - Dump'!$W:$W,'Business - Dump'!$B:$B,'Series wise Report'!$A75,'Business - Dump'!$A:$A,'Series wise Report'!R$1)</f>
        <v>9</v>
      </c>
      <c r="S75" s="141">
        <f>SUMIFS('Business - Dump'!$W:$W,'Business - Dump'!$B:$B,'Series wise Report'!$A75,'Business - Dump'!$A:$A,'Series wise Report'!S$1)</f>
        <v>6</v>
      </c>
      <c r="T75" s="141">
        <f>SUMIFS('Business - Dump'!$W:$W,'Business - Dump'!$B:$B,'Series wise Report'!$A75,'Business - Dump'!$A:$A,'Series wise Report'!T$1)</f>
        <v>5</v>
      </c>
    </row>
    <row r="76" ht="15.75" customHeight="1">
      <c r="A76" s="10" t="s">
        <v>182</v>
      </c>
      <c r="B76" s="10" t="s">
        <v>26</v>
      </c>
      <c r="C76" s="15">
        <f t="shared" si="31"/>
        <v>5230522.32</v>
      </c>
      <c r="D76" s="15">
        <f>SUMIFS('Business - Dump'!$U:$U,'Business - Dump'!$B:$B,'Series wise Report'!$A76,'Business - Dump'!$A:$A,'Series wise Report'!D$1)</f>
        <v>0</v>
      </c>
      <c r="E76" s="15">
        <f>SUMIFS('Business - Dump'!$U:$U,'Business - Dump'!$B:$B,'Series wise Report'!$A76,'Business - Dump'!$A:$A,'Series wise Report'!E$1)</f>
        <v>0</v>
      </c>
      <c r="F76" s="15">
        <f>SUMIFS('Business - Dump'!$U:$U,'Business - Dump'!$B:$B,'Series wise Report'!$A76,'Business - Dump'!$A:$A,'Series wise Report'!F$1)</f>
        <v>28999</v>
      </c>
      <c r="G76" s="15">
        <f>SUMIFS('Business - Dump'!$U:$U,'Business - Dump'!$B:$B,'Series wise Report'!$A76,'Business - Dump'!$A:$A,'Series wise Report'!G$1)</f>
        <v>278400</v>
      </c>
      <c r="H76" s="15">
        <f>SUMIFS('Business - Dump'!$U:$U,'Business - Dump'!$B:$B,'Series wise Report'!$A76,'Business - Dump'!$A:$A,'Series wise Report'!H$1)</f>
        <v>385994.9</v>
      </c>
      <c r="I76" s="15">
        <f>SUMIFS('Business - Dump'!$U:$U,'Business - Dump'!$B:$B,'Series wise Report'!$A76,'Business - Dump'!$A:$A,'Series wise Report'!I$1)</f>
        <v>388038.98</v>
      </c>
      <c r="J76" s="15">
        <f>SUMIFS('Business - Dump'!$U:$U,'Business - Dump'!$B:$B,'Series wise Report'!$A76,'Business - Dump'!$A:$A,'Series wise Report'!J$1)</f>
        <v>722201.76</v>
      </c>
      <c r="K76" s="15">
        <f>SUMIFS('Business - Dump'!$U:$U,'Business - Dump'!$B:$B,'Series wise Report'!$A76,'Business - Dump'!$A:$A,'Series wise Report'!K$1)</f>
        <v>393900</v>
      </c>
      <c r="L76" s="15">
        <f>SUMIFS('Business - Dump'!$U:$U,'Business - Dump'!$B:$B,'Series wise Report'!$A76,'Business - Dump'!$A:$A,'Series wise Report'!L$1)</f>
        <v>670826.32</v>
      </c>
      <c r="M76" s="15">
        <f>SUMIFS('Business - Dump'!$U:$U,'Business - Dump'!$B:$B,'Series wise Report'!$A76,'Business - Dump'!$A:$A,'Series wise Report'!M$1)</f>
        <v>293365.08</v>
      </c>
      <c r="N76" s="15">
        <f>SUMIFS('Business - Dump'!$U:$U,'Business - Dump'!$B:$B,'Series wise Report'!$A76,'Business - Dump'!$A:$A,'Series wise Report'!N$1)</f>
        <v>806726.52</v>
      </c>
      <c r="O76" s="15">
        <f>SUMIFS('Business - Dump'!$U:$U,'Business - Dump'!$B:$B,'Series wise Report'!$A76,'Business - Dump'!$A:$A,'Series wise Report'!O$1)</f>
        <v>1155776.68</v>
      </c>
      <c r="P76" s="15">
        <f>SUMIFS('Business - Dump'!$U:$U,'Business - Dump'!$B:$B,'Series wise Report'!$A76,'Business - Dump'!$A:$A,'Series wise Report'!P$1)</f>
        <v>106293.08</v>
      </c>
      <c r="Q76" s="15">
        <f>SUMIFS('Business - Dump'!$U:$U,'Business - Dump'!$B:$B,'Series wise Report'!$A76,'Business - Dump'!$A:$A,'Series wise Report'!Q$1)</f>
        <v>211002.08</v>
      </c>
      <c r="R76" s="15">
        <f>SUMIFS('Business - Dump'!$U:$U,'Business - Dump'!$B:$B,'Series wise Report'!$A76,'Business - Dump'!$A:$A,'Series wise Report'!R$1)</f>
        <v>298196.22</v>
      </c>
      <c r="S76" s="15">
        <f>SUMIFS('Business - Dump'!$U:$U,'Business - Dump'!$B:$B,'Series wise Report'!$A76,'Business - Dump'!$A:$A,'Series wise Report'!S$1)</f>
        <v>202296.09</v>
      </c>
      <c r="T76" s="15">
        <f>SUMIFS('Business - Dump'!$U:$U,'Business - Dump'!$B:$B,'Series wise Report'!$A76,'Business - Dump'!$A:$A,'Series wise Report'!T$1)</f>
        <v>161096.09</v>
      </c>
    </row>
    <row r="77" ht="15.75" customHeight="1">
      <c r="A77" s="10" t="s">
        <v>182</v>
      </c>
      <c r="B77" s="10" t="s">
        <v>29</v>
      </c>
      <c r="C77" s="17">
        <f t="shared" ref="C77:T77" si="32">IFERROR(C75/C72,0)</f>
        <v>0.005520056204</v>
      </c>
      <c r="D77" s="17">
        <f t="shared" si="32"/>
        <v>0</v>
      </c>
      <c r="E77" s="17">
        <f t="shared" si="32"/>
        <v>0</v>
      </c>
      <c r="F77" s="17">
        <f t="shared" si="32"/>
        <v>0.01754385965</v>
      </c>
      <c r="G77" s="17">
        <f t="shared" si="32"/>
        <v>0.008538899431</v>
      </c>
      <c r="H77" s="17">
        <f t="shared" si="32"/>
        <v>0.007532956685</v>
      </c>
      <c r="I77" s="17">
        <f t="shared" si="32"/>
        <v>0.01087941976</v>
      </c>
      <c r="J77" s="17">
        <f t="shared" si="32"/>
        <v>0.005866666667</v>
      </c>
      <c r="K77" s="17">
        <f t="shared" si="32"/>
        <v>0.004347826087</v>
      </c>
      <c r="L77" s="17">
        <f t="shared" si="32"/>
        <v>0.005415651232</v>
      </c>
      <c r="M77" s="17">
        <f t="shared" si="32"/>
        <v>0.002249437641</v>
      </c>
      <c r="N77" s="17">
        <f t="shared" si="32"/>
        <v>0.004274909569</v>
      </c>
      <c r="O77" s="17">
        <f t="shared" si="32"/>
        <v>0.009660639088</v>
      </c>
      <c r="P77" s="17">
        <f t="shared" si="32"/>
        <v>0.001703577513</v>
      </c>
      <c r="Q77" s="17">
        <f t="shared" si="32"/>
        <v>0.00163132137</v>
      </c>
      <c r="R77" s="17">
        <f t="shared" si="32"/>
        <v>0.005107832009</v>
      </c>
      <c r="S77" s="17">
        <f t="shared" si="32"/>
        <v>0.002743484225</v>
      </c>
      <c r="T77" s="17">
        <f t="shared" si="32"/>
        <v>0.00147972773</v>
      </c>
    </row>
    <row r="78" ht="15.75" customHeight="1">
      <c r="A78" s="10" t="s">
        <v>182</v>
      </c>
      <c r="B78" s="10" t="s">
        <v>282</v>
      </c>
      <c r="C78" s="16">
        <f t="shared" ref="C78:T78" si="33">IFERROR(C76/C75,0)</f>
        <v>31700.13527</v>
      </c>
      <c r="D78" s="16">
        <f t="shared" si="33"/>
        <v>0</v>
      </c>
      <c r="E78" s="16">
        <f t="shared" si="33"/>
        <v>0</v>
      </c>
      <c r="F78" s="16">
        <f t="shared" si="33"/>
        <v>28999</v>
      </c>
      <c r="G78" s="16">
        <f t="shared" si="33"/>
        <v>30933.33333</v>
      </c>
      <c r="H78" s="16">
        <f t="shared" si="33"/>
        <v>32166.24167</v>
      </c>
      <c r="I78" s="16">
        <f t="shared" si="33"/>
        <v>32336.58167</v>
      </c>
      <c r="J78" s="16">
        <f t="shared" si="33"/>
        <v>32827.35273</v>
      </c>
      <c r="K78" s="16">
        <f t="shared" si="33"/>
        <v>32825</v>
      </c>
      <c r="L78" s="16">
        <f t="shared" si="33"/>
        <v>33541.316</v>
      </c>
      <c r="M78" s="16">
        <f t="shared" si="33"/>
        <v>32596.12</v>
      </c>
      <c r="N78" s="16">
        <f t="shared" si="33"/>
        <v>31027.94308</v>
      </c>
      <c r="O78" s="16">
        <f t="shared" si="33"/>
        <v>29635.29949</v>
      </c>
      <c r="P78" s="16">
        <f t="shared" si="33"/>
        <v>35431.02667</v>
      </c>
      <c r="Q78" s="16">
        <f t="shared" si="33"/>
        <v>35167.01333</v>
      </c>
      <c r="R78" s="16">
        <f t="shared" si="33"/>
        <v>33132.91333</v>
      </c>
      <c r="S78" s="16">
        <f t="shared" si="33"/>
        <v>33716.015</v>
      </c>
      <c r="T78" s="16">
        <f t="shared" si="33"/>
        <v>32219.218</v>
      </c>
    </row>
    <row r="79" ht="15.75" customHeight="1">
      <c r="A79" s="10" t="s">
        <v>182</v>
      </c>
      <c r="B79" s="10" t="s">
        <v>282</v>
      </c>
      <c r="C79" s="16">
        <f t="shared" ref="C79:T79" si="34">IFERROR(C77/C76,0)</f>
        <v>0.000000001055354679</v>
      </c>
      <c r="D79" s="16">
        <f t="shared" si="34"/>
        <v>0</v>
      </c>
      <c r="E79" s="16">
        <f t="shared" si="34"/>
        <v>0</v>
      </c>
      <c r="F79" s="16">
        <f t="shared" si="34"/>
        <v>0.000000604981539</v>
      </c>
      <c r="G79" s="16">
        <f t="shared" si="34"/>
        <v>0.00000003067133416</v>
      </c>
      <c r="H79" s="16">
        <f t="shared" si="34"/>
        <v>0.00000001951568968</v>
      </c>
      <c r="I79" s="16">
        <f t="shared" si="34"/>
        <v>0.00000002803692496</v>
      </c>
      <c r="J79" s="16">
        <f t="shared" si="34"/>
        <v>0.000000008123307075</v>
      </c>
      <c r="K79" s="16">
        <f t="shared" si="34"/>
        <v>0.00000001103789309</v>
      </c>
      <c r="L79" s="16">
        <f t="shared" si="34"/>
        <v>0.000000008073104872</v>
      </c>
      <c r="M79" s="16">
        <f t="shared" si="34"/>
        <v>0.000000007667707556</v>
      </c>
      <c r="N79" s="16">
        <f t="shared" si="34"/>
        <v>0.000000005299081489</v>
      </c>
      <c r="O79" s="16">
        <f t="shared" si="34"/>
        <v>0.000000008358568965</v>
      </c>
      <c r="P79" s="16">
        <f t="shared" si="34"/>
        <v>0.00000001602717235</v>
      </c>
      <c r="Q79" s="16">
        <f t="shared" si="34"/>
        <v>0.000000007731304688</v>
      </c>
      <c r="R79" s="16">
        <f t="shared" si="34"/>
        <v>0.00000001712909711</v>
      </c>
      <c r="S79" s="16">
        <f t="shared" si="34"/>
        <v>0.0000000135617264</v>
      </c>
      <c r="T79" s="16">
        <f t="shared" si="34"/>
        <v>0.000000009185373339</v>
      </c>
    </row>
    <row r="80" ht="15.75" customHeight="1">
      <c r="A80" s="10" t="s">
        <v>140</v>
      </c>
      <c r="B80" s="10" t="s">
        <v>257</v>
      </c>
      <c r="C80" s="16">
        <f t="shared" ref="C80:C84" si="35">SUM(D80:P80)</f>
        <v>75781</v>
      </c>
      <c r="D80" s="16">
        <f>SUMIFS('Business - Dump'!$G:$G,'Business - Dump'!$B:$B,'Series wise Report'!$A80,'Business - Dump'!$A:$A,'Series wise Report'!D$1)</f>
        <v>3887</v>
      </c>
      <c r="E80" s="16">
        <f>SUMIFS('Business - Dump'!$G:$G,'Business - Dump'!$B:$B,'Series wise Report'!$A80,'Business - Dump'!$A:$A,'Series wise Report'!E$1)</f>
        <v>5585</v>
      </c>
      <c r="F80" s="16">
        <f>SUMIFS('Business - Dump'!$G:$G,'Business - Dump'!$B:$B,'Series wise Report'!$A80,'Business - Dump'!$A:$A,'Series wise Report'!F$1)</f>
        <v>3246</v>
      </c>
      <c r="G80" s="16">
        <f>SUMIFS('Business - Dump'!$G:$G,'Business - Dump'!$B:$B,'Series wise Report'!$A80,'Business - Dump'!$A:$A,'Series wise Report'!G$1)</f>
        <v>3702</v>
      </c>
      <c r="H80" s="16">
        <f>SUMIFS('Business - Dump'!$G:$G,'Business - Dump'!$B:$B,'Series wise Report'!$A80,'Business - Dump'!$A:$A,'Series wise Report'!H$1)</f>
        <v>3595</v>
      </c>
      <c r="I80" s="16">
        <f>SUMIFS('Business - Dump'!$G:$G,'Business - Dump'!$B:$B,'Series wise Report'!$A80,'Business - Dump'!$A:$A,'Series wise Report'!I$1)</f>
        <v>4661</v>
      </c>
      <c r="J80" s="16">
        <f>SUMIFS('Business - Dump'!$G:$G,'Business - Dump'!$B:$B,'Series wise Report'!$A80,'Business - Dump'!$A:$A,'Series wise Report'!J$1)</f>
        <v>2351</v>
      </c>
      <c r="K80" s="16">
        <f>SUMIFS('Business - Dump'!$G:$G,'Business - Dump'!$B:$B,'Series wise Report'!$A80,'Business - Dump'!$A:$A,'Series wise Report'!K$1)</f>
        <v>8804</v>
      </c>
      <c r="L80" s="16">
        <f>SUMIFS('Business - Dump'!$G:$G,'Business - Dump'!$B:$B,'Series wise Report'!$A80,'Business - Dump'!$A:$A,'Series wise Report'!L$1)</f>
        <v>11339</v>
      </c>
      <c r="M80" s="16">
        <f>SUMIFS('Business - Dump'!$G:$G,'Business - Dump'!$B:$B,'Series wise Report'!$A80,'Business - Dump'!$A:$A,'Series wise Report'!M$1)</f>
        <v>8653</v>
      </c>
      <c r="N80" s="16">
        <f>SUMIFS('Business - Dump'!$G:$G,'Business - Dump'!$B:$B,'Series wise Report'!$A80,'Business - Dump'!$A:$A,'Series wise Report'!N$1)</f>
        <v>8474</v>
      </c>
      <c r="O80" s="16">
        <f>SUMIFS('Business - Dump'!$G:$G,'Business - Dump'!$B:$B,'Series wise Report'!$A80,'Business - Dump'!$A:$A,'Series wise Report'!O$1)</f>
        <v>6941</v>
      </c>
      <c r="P80" s="16">
        <f>SUMIFS('Business - Dump'!$G:$G,'Business - Dump'!$B:$B,'Series wise Report'!$A80,'Business - Dump'!$A:$A,'Series wise Report'!P$1)</f>
        <v>4543</v>
      </c>
      <c r="Q80" s="16">
        <f>SUMIFS('Business - Dump'!$G:$G,'Business - Dump'!$B:$B,'Series wise Report'!$A80,'Business - Dump'!$A:$A,'Series wise Report'!Q$1)</f>
        <v>4328</v>
      </c>
      <c r="R80" s="16">
        <f>SUMIFS('Business - Dump'!$G:$G,'Business - Dump'!$B:$B,'Series wise Report'!$A80,'Business - Dump'!$A:$A,'Series wise Report'!R$1)</f>
        <v>4917</v>
      </c>
      <c r="S80" s="16">
        <f>SUMIFS('Business - Dump'!$G:$G,'Business - Dump'!$B:$B,'Series wise Report'!$A80,'Business - Dump'!$A:$A,'Series wise Report'!S$1)</f>
        <v>3734</v>
      </c>
      <c r="T80" s="16">
        <f>SUMIFS('Business - Dump'!$G:$G,'Business - Dump'!$B:$B,'Series wise Report'!$A80,'Business - Dump'!$A:$A,'Series wise Report'!T$1)</f>
        <v>3900</v>
      </c>
    </row>
    <row r="81" ht="15.75" customHeight="1">
      <c r="A81" s="10" t="s">
        <v>140</v>
      </c>
      <c r="B81" s="10" t="s">
        <v>260</v>
      </c>
      <c r="C81" s="16">
        <f t="shared" si="35"/>
        <v>103727</v>
      </c>
      <c r="D81" s="16">
        <f>SUMIFS('Business - Dump'!$K:$K,'Business - Dump'!$B:$B,'Series wise Report'!$A81,'Business - Dump'!$A:$A,'Series wise Report'!D$1)</f>
        <v>5173</v>
      </c>
      <c r="E81" s="16">
        <f>SUMIFS('Business - Dump'!$K:$K,'Business - Dump'!$B:$B,'Series wise Report'!$A81,'Business - Dump'!$A:$A,'Series wise Report'!E$1)</f>
        <v>7930</v>
      </c>
      <c r="F81" s="16">
        <f>SUMIFS('Business - Dump'!$K:$K,'Business - Dump'!$B:$B,'Series wise Report'!$A81,'Business - Dump'!$A:$A,'Series wise Report'!F$1)</f>
        <v>4529</v>
      </c>
      <c r="G81" s="16">
        <f>SUMIFS('Business - Dump'!$K:$K,'Business - Dump'!$B:$B,'Series wise Report'!$A81,'Business - Dump'!$A:$A,'Series wise Report'!G$1)</f>
        <v>4973</v>
      </c>
      <c r="H81" s="16">
        <f>SUMIFS('Business - Dump'!$K:$K,'Business - Dump'!$B:$B,'Series wise Report'!$A81,'Business - Dump'!$A:$A,'Series wise Report'!H$1)</f>
        <v>4925</v>
      </c>
      <c r="I81" s="16">
        <f>SUMIFS('Business - Dump'!$K:$K,'Business - Dump'!$B:$B,'Series wise Report'!$A81,'Business - Dump'!$A:$A,'Series wise Report'!I$1)</f>
        <v>6593</v>
      </c>
      <c r="J81" s="16">
        <f>SUMIFS('Business - Dump'!$K:$K,'Business - Dump'!$B:$B,'Series wise Report'!$A81,'Business - Dump'!$A:$A,'Series wise Report'!J$1)</f>
        <v>3912</v>
      </c>
      <c r="K81" s="16">
        <f>SUMIFS('Business - Dump'!$K:$K,'Business - Dump'!$B:$B,'Series wise Report'!$A81,'Business - Dump'!$A:$A,'Series wise Report'!K$1)</f>
        <v>11660</v>
      </c>
      <c r="L81" s="16">
        <f>SUMIFS('Business - Dump'!$K:$K,'Business - Dump'!$B:$B,'Series wise Report'!$A81,'Business - Dump'!$A:$A,'Series wise Report'!L$1)</f>
        <v>15488</v>
      </c>
      <c r="M81" s="16">
        <f>SUMIFS('Business - Dump'!$K:$K,'Business - Dump'!$B:$B,'Series wise Report'!$A81,'Business - Dump'!$A:$A,'Series wise Report'!M$1)</f>
        <v>11627</v>
      </c>
      <c r="N81" s="16">
        <f>SUMIFS('Business - Dump'!$K:$K,'Business - Dump'!$B:$B,'Series wise Report'!$A81,'Business - Dump'!$A:$A,'Series wise Report'!N$1)</f>
        <v>11403</v>
      </c>
      <c r="O81" s="16">
        <f>SUMIFS('Business - Dump'!$K:$K,'Business - Dump'!$B:$B,'Series wise Report'!$A81,'Business - Dump'!$A:$A,'Series wise Report'!O$1)</f>
        <v>9281</v>
      </c>
      <c r="P81" s="16">
        <f>SUMIFS('Business - Dump'!$K:$K,'Business - Dump'!$B:$B,'Series wise Report'!$A81,'Business - Dump'!$A:$A,'Series wise Report'!P$1)</f>
        <v>6233</v>
      </c>
      <c r="Q81" s="16">
        <f>SUMIFS('Business - Dump'!$K:$K,'Business - Dump'!$B:$B,'Series wise Report'!$A81,'Business - Dump'!$A:$A,'Series wise Report'!Q$1)</f>
        <v>5746</v>
      </c>
      <c r="R81" s="16">
        <f>SUMIFS('Business - Dump'!$K:$K,'Business - Dump'!$B:$B,'Series wise Report'!$A81,'Business - Dump'!$A:$A,'Series wise Report'!R$1)</f>
        <v>6949</v>
      </c>
      <c r="S81" s="16">
        <f>SUMIFS('Business - Dump'!$K:$K,'Business - Dump'!$B:$B,'Series wise Report'!$A81,'Business - Dump'!$A:$A,'Series wise Report'!S$1)</f>
        <v>4968</v>
      </c>
      <c r="T81" s="16">
        <f>SUMIFS('Business - Dump'!$K:$K,'Business - Dump'!$B:$B,'Series wise Report'!$A81,'Business - Dump'!$A:$A,'Series wise Report'!T$1)</f>
        <v>5186</v>
      </c>
    </row>
    <row r="82" ht="15.75" customHeight="1">
      <c r="A82" s="138" t="s">
        <v>140</v>
      </c>
      <c r="B82" s="138" t="s">
        <v>264</v>
      </c>
      <c r="C82" s="3">
        <f t="shared" si="35"/>
        <v>404</v>
      </c>
      <c r="D82" s="3">
        <f>SUMIFS('Business - Dump'!$Q:$Q,'Business - Dump'!$B:$B,'Series wise Report'!$A82,'Business - Dump'!$A:$A,'Series wise Report'!D$1)</f>
        <v>20</v>
      </c>
      <c r="E82" s="3">
        <f>SUMIFS('Business - Dump'!$Q:$Q,'Business - Dump'!$B:$B,'Series wise Report'!$A82,'Business - Dump'!$A:$A,'Series wise Report'!E$1)</f>
        <v>31</v>
      </c>
      <c r="F82" s="3">
        <f>SUMIFS('Business - Dump'!$Q:$Q,'Business - Dump'!$B:$B,'Series wise Report'!$A82,'Business - Dump'!$A:$A,'Series wise Report'!F$1)</f>
        <v>18</v>
      </c>
      <c r="G82" s="3">
        <f>SUMIFS('Business - Dump'!$Q:$Q,'Business - Dump'!$B:$B,'Series wise Report'!$A82,'Business - Dump'!$A:$A,'Series wise Report'!G$1)</f>
        <v>28</v>
      </c>
      <c r="H82" s="3">
        <f>SUMIFS('Business - Dump'!$Q:$Q,'Business - Dump'!$B:$B,'Series wise Report'!$A82,'Business - Dump'!$A:$A,'Series wise Report'!H$1)</f>
        <v>27</v>
      </c>
      <c r="I82" s="3">
        <f>SUMIFS('Business - Dump'!$Q:$Q,'Business - Dump'!$B:$B,'Series wise Report'!$A82,'Business - Dump'!$A:$A,'Series wise Report'!I$1)</f>
        <v>20</v>
      </c>
      <c r="J82" s="3">
        <f>SUMIFS('Business - Dump'!$Q:$Q,'Business - Dump'!$B:$B,'Series wise Report'!$A82,'Business - Dump'!$A:$A,'Series wise Report'!J$1)</f>
        <v>19</v>
      </c>
      <c r="K82" s="3">
        <f>SUMIFS('Business - Dump'!$Q:$Q,'Business - Dump'!$B:$B,'Series wise Report'!$A82,'Business - Dump'!$A:$A,'Series wise Report'!K$1)</f>
        <v>43</v>
      </c>
      <c r="L82" s="3">
        <f>SUMIFS('Business - Dump'!$Q:$Q,'Business - Dump'!$B:$B,'Series wise Report'!$A82,'Business - Dump'!$A:$A,'Series wise Report'!L$1)</f>
        <v>52</v>
      </c>
      <c r="M82" s="3">
        <f>SUMIFS('Business - Dump'!$Q:$Q,'Business - Dump'!$B:$B,'Series wise Report'!$A82,'Business - Dump'!$A:$A,'Series wise Report'!M$1)</f>
        <v>29</v>
      </c>
      <c r="N82" s="3">
        <f>SUMIFS('Business - Dump'!$Q:$Q,'Business - Dump'!$B:$B,'Series wise Report'!$A82,'Business - Dump'!$A:$A,'Series wise Report'!N$1)</f>
        <v>45</v>
      </c>
      <c r="O82" s="3">
        <f>SUMIFS('Business - Dump'!$Q:$Q,'Business - Dump'!$B:$B,'Series wise Report'!$A82,'Business - Dump'!$A:$A,'Series wise Report'!O$1)</f>
        <v>56</v>
      </c>
      <c r="P82" s="3">
        <f>SUMIFS('Business - Dump'!$Q:$Q,'Business - Dump'!$B:$B,'Series wise Report'!$A82,'Business - Dump'!$A:$A,'Series wise Report'!P$1)</f>
        <v>16</v>
      </c>
      <c r="Q82" s="3">
        <f>SUMIFS('Business - Dump'!$Q:$Q,'Business - Dump'!$B:$B,'Series wise Report'!$A82,'Business - Dump'!$A:$A,'Series wise Report'!Q$1)</f>
        <v>10</v>
      </c>
      <c r="R82" s="3">
        <f>SUMIFS('Business - Dump'!$Q:$Q,'Business - Dump'!$B:$B,'Series wise Report'!$A82,'Business - Dump'!$A:$A,'Series wise Report'!R$1)</f>
        <v>26</v>
      </c>
      <c r="S82" s="24">
        <f>SUMIFS('Business - Dump'!$Q:$Q,'Business - Dump'!$B:$B,'Series wise Report'!$A82,'Business - Dump'!$A:$A,'Series wise Report'!S$1)</f>
        <v>15</v>
      </c>
      <c r="T82" s="24">
        <f>SUMIFS('Business - Dump'!$Q:$Q,'Business - Dump'!$B:$B,'Series wise Report'!$A82,'Business - Dump'!$A:$A,'Series wise Report'!T$1)</f>
        <v>22</v>
      </c>
    </row>
    <row r="83" ht="15.75" customHeight="1">
      <c r="A83" s="137" t="s">
        <v>140</v>
      </c>
      <c r="B83" s="137" t="s">
        <v>268</v>
      </c>
      <c r="C83" s="141">
        <f t="shared" si="35"/>
        <v>402</v>
      </c>
      <c r="D83" s="141">
        <f>SUMIFS('Business - Dump'!$W:$W,'Business - Dump'!$B:$B,'Series wise Report'!$A83,'Business - Dump'!$A:$A,'Series wise Report'!D$1)</f>
        <v>20</v>
      </c>
      <c r="E83" s="141">
        <f>SUMIFS('Business - Dump'!$W:$W,'Business - Dump'!$B:$B,'Series wise Report'!$A83,'Business - Dump'!$A:$A,'Series wise Report'!E$1)</f>
        <v>30</v>
      </c>
      <c r="F83" s="141">
        <f>SUMIFS('Business - Dump'!$W:$W,'Business - Dump'!$B:$B,'Series wise Report'!$A83,'Business - Dump'!$A:$A,'Series wise Report'!F$1)</f>
        <v>18</v>
      </c>
      <c r="G83" s="141">
        <f>SUMIFS('Business - Dump'!$W:$W,'Business - Dump'!$B:$B,'Series wise Report'!$A83,'Business - Dump'!$A:$A,'Series wise Report'!G$1)</f>
        <v>28</v>
      </c>
      <c r="H83" s="141">
        <f>SUMIFS('Business - Dump'!$W:$W,'Business - Dump'!$B:$B,'Series wise Report'!$A83,'Business - Dump'!$A:$A,'Series wise Report'!H$1)</f>
        <v>27</v>
      </c>
      <c r="I83" s="141">
        <f>SUMIFS('Business - Dump'!$W:$W,'Business - Dump'!$B:$B,'Series wise Report'!$A83,'Business - Dump'!$A:$A,'Series wise Report'!I$1)</f>
        <v>20</v>
      </c>
      <c r="J83" s="141">
        <f>SUMIFS('Business - Dump'!$W:$W,'Business - Dump'!$B:$B,'Series wise Report'!$A83,'Business - Dump'!$A:$A,'Series wise Report'!J$1)</f>
        <v>19</v>
      </c>
      <c r="K83" s="141">
        <f>SUMIFS('Business - Dump'!$W:$W,'Business - Dump'!$B:$B,'Series wise Report'!$A83,'Business - Dump'!$A:$A,'Series wise Report'!K$1)</f>
        <v>43</v>
      </c>
      <c r="L83" s="141">
        <f>SUMIFS('Business - Dump'!$W:$W,'Business - Dump'!$B:$B,'Series wise Report'!$A83,'Business - Dump'!$A:$A,'Series wise Report'!L$1)</f>
        <v>52</v>
      </c>
      <c r="M83" s="141">
        <f>SUMIFS('Business - Dump'!$W:$W,'Business - Dump'!$B:$B,'Series wise Report'!$A83,'Business - Dump'!$A:$A,'Series wise Report'!M$1)</f>
        <v>29</v>
      </c>
      <c r="N83" s="141">
        <f>SUMIFS('Business - Dump'!$W:$W,'Business - Dump'!$B:$B,'Series wise Report'!$A83,'Business - Dump'!$A:$A,'Series wise Report'!N$1)</f>
        <v>44</v>
      </c>
      <c r="O83" s="141">
        <f>SUMIFS('Business - Dump'!$W:$W,'Business - Dump'!$B:$B,'Series wise Report'!$A83,'Business - Dump'!$A:$A,'Series wise Report'!O$1)</f>
        <v>56</v>
      </c>
      <c r="P83" s="141">
        <f>SUMIFS('Business - Dump'!$W:$W,'Business - Dump'!$B:$B,'Series wise Report'!$A83,'Business - Dump'!$A:$A,'Series wise Report'!P$1)</f>
        <v>16</v>
      </c>
      <c r="Q83" s="141">
        <f>SUMIFS('Business - Dump'!$W:$W,'Business - Dump'!$B:$B,'Series wise Report'!$A83,'Business - Dump'!$A:$A,'Series wise Report'!Q$1)</f>
        <v>10</v>
      </c>
      <c r="R83" s="141">
        <f>SUMIFS('Business - Dump'!$W:$W,'Business - Dump'!$B:$B,'Series wise Report'!$A83,'Business - Dump'!$A:$A,'Series wise Report'!R$1)</f>
        <v>26</v>
      </c>
      <c r="S83" s="141">
        <f>SUMIFS('Business - Dump'!$W:$W,'Business - Dump'!$B:$B,'Series wise Report'!$A83,'Business - Dump'!$A:$A,'Series wise Report'!S$1)</f>
        <v>15</v>
      </c>
      <c r="T83" s="141">
        <f>SUMIFS('Business - Dump'!$W:$W,'Business - Dump'!$B:$B,'Series wise Report'!$A83,'Business - Dump'!$A:$A,'Series wise Report'!T$1)</f>
        <v>22</v>
      </c>
    </row>
    <row r="84" ht="15.75" customHeight="1">
      <c r="A84" s="10" t="s">
        <v>140</v>
      </c>
      <c r="B84" s="10" t="s">
        <v>26</v>
      </c>
      <c r="C84" s="15">
        <f t="shared" si="35"/>
        <v>13016931.78</v>
      </c>
      <c r="D84" s="15">
        <f>SUMIFS('Business - Dump'!$U:$U,'Business - Dump'!$B:$B,'Series wise Report'!$A84,'Business - Dump'!$A:$A,'Series wise Report'!D$1)</f>
        <v>633360</v>
      </c>
      <c r="E84" s="15">
        <f>SUMIFS('Business - Dump'!$U:$U,'Business - Dump'!$B:$B,'Series wise Report'!$A84,'Business - Dump'!$A:$A,'Series wise Report'!E$1)</f>
        <v>986900</v>
      </c>
      <c r="F84" s="15">
        <f>SUMIFS('Business - Dump'!$U:$U,'Business - Dump'!$B:$B,'Series wise Report'!$A84,'Business - Dump'!$A:$A,'Series wise Report'!F$1)</f>
        <v>573525</v>
      </c>
      <c r="G84" s="15">
        <f>SUMIFS('Business - Dump'!$U:$U,'Business - Dump'!$B:$B,'Series wise Report'!$A84,'Business - Dump'!$A:$A,'Series wise Report'!G$1)</f>
        <v>908200</v>
      </c>
      <c r="H84" s="15">
        <f>SUMIFS('Business - Dump'!$U:$U,'Business - Dump'!$B:$B,'Series wise Report'!$A84,'Business - Dump'!$A:$A,'Series wise Report'!H$1)</f>
        <v>877300</v>
      </c>
      <c r="I84" s="15">
        <f>SUMIFS('Business - Dump'!$U:$U,'Business - Dump'!$B:$B,'Series wise Report'!$A84,'Business - Dump'!$A:$A,'Series wise Report'!I$1)</f>
        <v>654000</v>
      </c>
      <c r="J84" s="15">
        <f>SUMIFS('Business - Dump'!$U:$U,'Business - Dump'!$B:$B,'Series wise Report'!$A84,'Business - Dump'!$A:$A,'Series wise Report'!J$1)</f>
        <v>594300</v>
      </c>
      <c r="K84" s="15">
        <f>SUMIFS('Business - Dump'!$U:$U,'Business - Dump'!$B:$B,'Series wise Report'!$A84,'Business - Dump'!$A:$A,'Series wise Report'!K$1)</f>
        <v>1408350</v>
      </c>
      <c r="L84" s="15">
        <f>SUMIFS('Business - Dump'!$U:$U,'Business - Dump'!$B:$B,'Series wise Report'!$A84,'Business - Dump'!$A:$A,'Series wise Report'!L$1)</f>
        <v>1665509.33</v>
      </c>
      <c r="M84" s="15">
        <f>SUMIFS('Business - Dump'!$U:$U,'Business - Dump'!$B:$B,'Series wise Report'!$A84,'Business - Dump'!$A:$A,'Series wise Report'!M$1)</f>
        <v>976773.05</v>
      </c>
      <c r="N84" s="15">
        <f>SUMIFS('Business - Dump'!$U:$U,'Business - Dump'!$B:$B,'Series wise Report'!$A84,'Business - Dump'!$A:$A,'Series wise Report'!N$1)</f>
        <v>1464706.44</v>
      </c>
      <c r="O84" s="15">
        <f>SUMIFS('Business - Dump'!$U:$U,'Business - Dump'!$B:$B,'Series wise Report'!$A84,'Business - Dump'!$A:$A,'Series wise Report'!O$1)</f>
        <v>1726621.76</v>
      </c>
      <c r="P84" s="15">
        <f>SUMIFS('Business - Dump'!$U:$U,'Business - Dump'!$B:$B,'Series wise Report'!$A84,'Business - Dump'!$A:$A,'Series wise Report'!P$1)</f>
        <v>547386.2</v>
      </c>
      <c r="Q84" s="15">
        <f>SUMIFS('Business - Dump'!$U:$U,'Business - Dump'!$B:$B,'Series wise Report'!$A84,'Business - Dump'!$A:$A,'Series wise Report'!Q$1)</f>
        <v>346515.4</v>
      </c>
      <c r="R84" s="15">
        <f>SUMIFS('Business - Dump'!$U:$U,'Business - Dump'!$B:$B,'Series wise Report'!$A84,'Business - Dump'!$A:$A,'Series wise Report'!R$1)</f>
        <v>873656.64</v>
      </c>
      <c r="S84" s="15">
        <f>SUMIFS('Business - Dump'!$U:$U,'Business - Dump'!$B:$B,'Series wise Report'!$A84,'Business - Dump'!$A:$A,'Series wise Report'!S$1)</f>
        <v>511255.72</v>
      </c>
      <c r="T84" s="15">
        <f>SUMIFS('Business - Dump'!$U:$U,'Business - Dump'!$B:$B,'Series wise Report'!$A84,'Business - Dump'!$A:$A,'Series wise Report'!T$1)</f>
        <v>739721.48</v>
      </c>
    </row>
    <row r="85" ht="15.75" customHeight="1">
      <c r="A85" s="10" t="s">
        <v>140</v>
      </c>
      <c r="B85" s="10" t="s">
        <v>29</v>
      </c>
      <c r="C85" s="17">
        <f t="shared" ref="C85:T85" si="36">IFERROR(C83/C80,0)</f>
        <v>0.005304759768</v>
      </c>
      <c r="D85" s="17">
        <f t="shared" si="36"/>
        <v>0.005145356316</v>
      </c>
      <c r="E85" s="17">
        <f t="shared" si="36"/>
        <v>0.005371530886</v>
      </c>
      <c r="F85" s="17">
        <f t="shared" si="36"/>
        <v>0.005545286506</v>
      </c>
      <c r="G85" s="17">
        <f t="shared" si="36"/>
        <v>0.0075634792</v>
      </c>
      <c r="H85" s="17">
        <f t="shared" si="36"/>
        <v>0.007510431154</v>
      </c>
      <c r="I85" s="17">
        <f t="shared" si="36"/>
        <v>0.004290924694</v>
      </c>
      <c r="J85" s="17">
        <f t="shared" si="36"/>
        <v>0.008081667376</v>
      </c>
      <c r="K85" s="17">
        <f t="shared" si="36"/>
        <v>0.004884143571</v>
      </c>
      <c r="L85" s="17">
        <f t="shared" si="36"/>
        <v>0.004585942323</v>
      </c>
      <c r="M85" s="17">
        <f t="shared" si="36"/>
        <v>0.003351438807</v>
      </c>
      <c r="N85" s="17">
        <f t="shared" si="36"/>
        <v>0.00519235308</v>
      </c>
      <c r="O85" s="17">
        <f t="shared" si="36"/>
        <v>0.008068001729</v>
      </c>
      <c r="P85" s="17">
        <f t="shared" si="36"/>
        <v>0.003521901827</v>
      </c>
      <c r="Q85" s="17">
        <f t="shared" si="36"/>
        <v>0.002310536044</v>
      </c>
      <c r="R85" s="17">
        <f t="shared" si="36"/>
        <v>0.0052877771</v>
      </c>
      <c r="S85" s="17">
        <f t="shared" si="36"/>
        <v>0.004017139796</v>
      </c>
      <c r="T85" s="17">
        <f t="shared" si="36"/>
        <v>0.005641025641</v>
      </c>
    </row>
    <row r="86" ht="15.75" customHeight="1">
      <c r="A86" s="10" t="s">
        <v>205</v>
      </c>
      <c r="B86" s="10" t="s">
        <v>257</v>
      </c>
      <c r="C86" s="16">
        <f t="shared" ref="C86:C90" si="37">SUM(D86:P86)</f>
        <v>34958</v>
      </c>
      <c r="D86" s="16">
        <f>SUMIFS('Business - Dump'!$G:$G,'Business - Dump'!$B:$B,'Series wise Report'!$A86,'Business - Dump'!$A:$A,'Series wise Report'!D$1)</f>
        <v>0</v>
      </c>
      <c r="E86" s="16">
        <f>SUMIFS('Business - Dump'!$G:$G,'Business - Dump'!$B:$B,'Series wise Report'!$A86,'Business - Dump'!$A:$A,'Series wise Report'!E$1)</f>
        <v>129</v>
      </c>
      <c r="F86" s="16">
        <f>SUMIFS('Business - Dump'!$G:$G,'Business - Dump'!$B:$B,'Series wise Report'!$A86,'Business - Dump'!$A:$A,'Series wise Report'!F$1)</f>
        <v>0</v>
      </c>
      <c r="G86" s="16">
        <f>SUMIFS('Business - Dump'!$G:$G,'Business - Dump'!$B:$B,'Series wise Report'!$A86,'Business - Dump'!$A:$A,'Series wise Report'!G$1)</f>
        <v>412</v>
      </c>
      <c r="H86" s="16">
        <f>SUMIFS('Business - Dump'!$G:$G,'Business - Dump'!$B:$B,'Series wise Report'!$A86,'Business - Dump'!$A:$A,'Series wise Report'!H$1)</f>
        <v>1471</v>
      </c>
      <c r="I86" s="16">
        <f>SUMIFS('Business - Dump'!$G:$G,'Business - Dump'!$B:$B,'Series wise Report'!$A86,'Business - Dump'!$A:$A,'Series wise Report'!I$1)</f>
        <v>2601</v>
      </c>
      <c r="J86" s="16">
        <f>SUMIFS('Business - Dump'!$G:$G,'Business - Dump'!$B:$B,'Series wise Report'!$A86,'Business - Dump'!$A:$A,'Series wise Report'!J$1)</f>
        <v>5213</v>
      </c>
      <c r="K86" s="16">
        <f>SUMIFS('Business - Dump'!$G:$G,'Business - Dump'!$B:$B,'Series wise Report'!$A86,'Business - Dump'!$A:$A,'Series wise Report'!K$1)</f>
        <v>2794</v>
      </c>
      <c r="L86" s="16">
        <f>SUMIFS('Business - Dump'!$G:$G,'Business - Dump'!$B:$B,'Series wise Report'!$A86,'Business - Dump'!$A:$A,'Series wise Report'!L$1)</f>
        <v>4480</v>
      </c>
      <c r="M86" s="16">
        <f>SUMIFS('Business - Dump'!$G:$G,'Business - Dump'!$B:$B,'Series wise Report'!$A86,'Business - Dump'!$A:$A,'Series wise Report'!M$1)</f>
        <v>5173</v>
      </c>
      <c r="N86" s="16">
        <f>SUMIFS('Business - Dump'!$G:$G,'Business - Dump'!$B:$B,'Series wise Report'!$A86,'Business - Dump'!$A:$A,'Series wise Report'!N$1)</f>
        <v>5348</v>
      </c>
      <c r="O86" s="16">
        <f>SUMIFS('Business - Dump'!$G:$G,'Business - Dump'!$B:$B,'Series wise Report'!$A86,'Business - Dump'!$A:$A,'Series wise Report'!O$1)</f>
        <v>4547</v>
      </c>
      <c r="P86" s="16">
        <f>SUMIFS('Business - Dump'!$G:$G,'Business - Dump'!$B:$B,'Series wise Report'!$A86,'Business - Dump'!$A:$A,'Series wise Report'!P$1)</f>
        <v>2790</v>
      </c>
      <c r="Q86" s="16">
        <f>SUMIFS('Business - Dump'!$G:$G,'Business - Dump'!$B:$B,'Series wise Report'!$A86,'Business - Dump'!$A:$A,'Series wise Report'!Q$1)</f>
        <v>2641</v>
      </c>
      <c r="R86" s="16">
        <f>SUMIFS('Business - Dump'!$G:$G,'Business - Dump'!$B:$B,'Series wise Report'!$A86,'Business - Dump'!$A:$A,'Series wise Report'!R$1)</f>
        <v>2241</v>
      </c>
      <c r="S86" s="16">
        <f>SUMIFS('Business - Dump'!$G:$G,'Business - Dump'!$B:$B,'Series wise Report'!$A86,'Business - Dump'!$A:$A,'Series wise Report'!S$1)</f>
        <v>1874</v>
      </c>
      <c r="T86" s="16">
        <f>SUMIFS('Business - Dump'!$G:$G,'Business - Dump'!$B:$B,'Series wise Report'!$A86,'Business - Dump'!$A:$A,'Series wise Report'!T$1)</f>
        <v>7773</v>
      </c>
    </row>
    <row r="87" ht="15.75" customHeight="1">
      <c r="A87" s="10" t="s">
        <v>205</v>
      </c>
      <c r="B87" s="10" t="s">
        <v>260</v>
      </c>
      <c r="C87" s="16">
        <f t="shared" si="37"/>
        <v>48743</v>
      </c>
      <c r="D87" s="16">
        <f>SUMIFS('Business - Dump'!$K:$K,'Business - Dump'!$B:$B,'Series wise Report'!$A87,'Business - Dump'!$A:$A,'Series wise Report'!D$1)</f>
        <v>0</v>
      </c>
      <c r="E87" s="16">
        <f>SUMIFS('Business - Dump'!$K:$K,'Business - Dump'!$B:$B,'Series wise Report'!$A87,'Business - Dump'!$A:$A,'Series wise Report'!E$1)</f>
        <v>183</v>
      </c>
      <c r="F87" s="16">
        <f>SUMIFS('Business - Dump'!$K:$K,'Business - Dump'!$B:$B,'Series wise Report'!$A87,'Business - Dump'!$A:$A,'Series wise Report'!F$1)</f>
        <v>0</v>
      </c>
      <c r="G87" s="16">
        <f>SUMIFS('Business - Dump'!$K:$K,'Business - Dump'!$B:$B,'Series wise Report'!$A87,'Business - Dump'!$A:$A,'Series wise Report'!G$1)</f>
        <v>567</v>
      </c>
      <c r="H87" s="16">
        <f>SUMIFS('Business - Dump'!$K:$K,'Business - Dump'!$B:$B,'Series wise Report'!$A87,'Business - Dump'!$A:$A,'Series wise Report'!H$1)</f>
        <v>1998</v>
      </c>
      <c r="I87" s="16">
        <f>SUMIFS('Business - Dump'!$K:$K,'Business - Dump'!$B:$B,'Series wise Report'!$A87,'Business - Dump'!$A:$A,'Series wise Report'!I$1)</f>
        <v>3461</v>
      </c>
      <c r="J87" s="16">
        <f>SUMIFS('Business - Dump'!$K:$K,'Business - Dump'!$B:$B,'Series wise Report'!$A87,'Business - Dump'!$A:$A,'Series wise Report'!J$1)</f>
        <v>8496</v>
      </c>
      <c r="K87" s="16">
        <f>SUMIFS('Business - Dump'!$K:$K,'Business - Dump'!$B:$B,'Series wise Report'!$A87,'Business - Dump'!$A:$A,'Series wise Report'!K$1)</f>
        <v>3783</v>
      </c>
      <c r="L87" s="16">
        <f>SUMIFS('Business - Dump'!$K:$K,'Business - Dump'!$B:$B,'Series wise Report'!$A87,'Business - Dump'!$A:$A,'Series wise Report'!L$1)</f>
        <v>5842</v>
      </c>
      <c r="M87" s="16">
        <f>SUMIFS('Business - Dump'!$K:$K,'Business - Dump'!$B:$B,'Series wise Report'!$A87,'Business - Dump'!$A:$A,'Series wise Report'!M$1)</f>
        <v>6680</v>
      </c>
      <c r="N87" s="16">
        <f>SUMIFS('Business - Dump'!$K:$K,'Business - Dump'!$B:$B,'Series wise Report'!$A87,'Business - Dump'!$A:$A,'Series wise Report'!N$1)</f>
        <v>7357</v>
      </c>
      <c r="O87" s="16">
        <f>SUMIFS('Business - Dump'!$K:$K,'Business - Dump'!$B:$B,'Series wise Report'!$A87,'Business - Dump'!$A:$A,'Series wise Report'!O$1)</f>
        <v>6541</v>
      </c>
      <c r="P87" s="16">
        <f>SUMIFS('Business - Dump'!$K:$K,'Business - Dump'!$B:$B,'Series wise Report'!$A87,'Business - Dump'!$A:$A,'Series wise Report'!P$1)</f>
        <v>3835</v>
      </c>
      <c r="Q87" s="16">
        <f>SUMIFS('Business - Dump'!$K:$K,'Business - Dump'!$B:$B,'Series wise Report'!$A87,'Business - Dump'!$A:$A,'Series wise Report'!Q$1)</f>
        <v>3406</v>
      </c>
      <c r="R87" s="16">
        <f>SUMIFS('Business - Dump'!$K:$K,'Business - Dump'!$B:$B,'Series wise Report'!$A87,'Business - Dump'!$A:$A,'Series wise Report'!R$1)</f>
        <v>3025</v>
      </c>
      <c r="S87" s="16">
        <f>SUMIFS('Business - Dump'!$K:$K,'Business - Dump'!$B:$B,'Series wise Report'!$A87,'Business - Dump'!$A:$A,'Series wise Report'!S$1)</f>
        <v>2458</v>
      </c>
      <c r="T87" s="16">
        <f>SUMIFS('Business - Dump'!$K:$K,'Business - Dump'!$B:$B,'Series wise Report'!$A87,'Business - Dump'!$A:$A,'Series wise Report'!T$1)</f>
        <v>10245</v>
      </c>
    </row>
    <row r="88" ht="15.75" customHeight="1">
      <c r="A88" s="138" t="s">
        <v>205</v>
      </c>
      <c r="B88" s="138" t="s">
        <v>264</v>
      </c>
      <c r="C88" s="3">
        <f t="shared" si="37"/>
        <v>182</v>
      </c>
      <c r="D88" s="3">
        <f>SUMIFS('Business - Dump'!$Q:$Q,'Business - Dump'!$B:$B,'Series wise Report'!$A88,'Business - Dump'!$A:$A,'Series wise Report'!D$1)</f>
        <v>0</v>
      </c>
      <c r="E88" s="3">
        <f>SUMIFS('Business - Dump'!$Q:$Q,'Business - Dump'!$B:$B,'Series wise Report'!$A88,'Business - Dump'!$A:$A,'Series wise Report'!E$1)</f>
        <v>1</v>
      </c>
      <c r="F88" s="3">
        <f>SUMIFS('Business - Dump'!$Q:$Q,'Business - Dump'!$B:$B,'Series wise Report'!$A88,'Business - Dump'!$A:$A,'Series wise Report'!F$1)</f>
        <v>0</v>
      </c>
      <c r="G88" s="3">
        <f>SUMIFS('Business - Dump'!$Q:$Q,'Business - Dump'!$B:$B,'Series wise Report'!$A88,'Business - Dump'!$A:$A,'Series wise Report'!G$1)</f>
        <v>3</v>
      </c>
      <c r="H88" s="3">
        <f>SUMIFS('Business - Dump'!$Q:$Q,'Business - Dump'!$B:$B,'Series wise Report'!$A88,'Business - Dump'!$A:$A,'Series wise Report'!H$1)</f>
        <v>16</v>
      </c>
      <c r="I88" s="3">
        <f>SUMIFS('Business - Dump'!$Q:$Q,'Business - Dump'!$B:$B,'Series wise Report'!$A88,'Business - Dump'!$A:$A,'Series wise Report'!I$1)</f>
        <v>9</v>
      </c>
      <c r="J88" s="3">
        <f>SUMIFS('Business - Dump'!$Q:$Q,'Business - Dump'!$B:$B,'Series wise Report'!$A88,'Business - Dump'!$A:$A,'Series wise Report'!J$1)</f>
        <v>17</v>
      </c>
      <c r="K88" s="3">
        <f>SUMIFS('Business - Dump'!$Q:$Q,'Business - Dump'!$B:$B,'Series wise Report'!$A88,'Business - Dump'!$A:$A,'Series wise Report'!K$1)</f>
        <v>18</v>
      </c>
      <c r="L88" s="3">
        <f>SUMIFS('Business - Dump'!$Q:$Q,'Business - Dump'!$B:$B,'Series wise Report'!$A88,'Business - Dump'!$A:$A,'Series wise Report'!L$1)</f>
        <v>17</v>
      </c>
      <c r="M88" s="3">
        <f>SUMIFS('Business - Dump'!$Q:$Q,'Business - Dump'!$B:$B,'Series wise Report'!$A88,'Business - Dump'!$A:$A,'Series wise Report'!M$1)</f>
        <v>23</v>
      </c>
      <c r="N88" s="3">
        <f>SUMIFS('Business - Dump'!$Q:$Q,'Business - Dump'!$B:$B,'Series wise Report'!$A88,'Business - Dump'!$A:$A,'Series wise Report'!N$1)</f>
        <v>30</v>
      </c>
      <c r="O88" s="3">
        <f>SUMIFS('Business - Dump'!$Q:$Q,'Business - Dump'!$B:$B,'Series wise Report'!$A88,'Business - Dump'!$A:$A,'Series wise Report'!O$1)</f>
        <v>36</v>
      </c>
      <c r="P88" s="3">
        <f>SUMIFS('Business - Dump'!$Q:$Q,'Business - Dump'!$B:$B,'Series wise Report'!$A88,'Business - Dump'!$A:$A,'Series wise Report'!P$1)</f>
        <v>12</v>
      </c>
      <c r="Q88" s="3">
        <f>SUMIFS('Business - Dump'!$Q:$Q,'Business - Dump'!$B:$B,'Series wise Report'!$A88,'Business - Dump'!$A:$A,'Series wise Report'!Q$1)</f>
        <v>14</v>
      </c>
      <c r="R88" s="3">
        <f>SUMIFS('Business - Dump'!$Q:$Q,'Business - Dump'!$B:$B,'Series wise Report'!$A88,'Business - Dump'!$A:$A,'Series wise Report'!R$1)</f>
        <v>10</v>
      </c>
      <c r="S88" s="24">
        <f>SUMIFS('Business - Dump'!$Q:$Q,'Business - Dump'!$B:$B,'Series wise Report'!$A88,'Business - Dump'!$A:$A,'Series wise Report'!S$1)</f>
        <v>10</v>
      </c>
      <c r="T88" s="24">
        <f>SUMIFS('Business - Dump'!$Q:$Q,'Business - Dump'!$B:$B,'Series wise Report'!$A88,'Business - Dump'!$A:$A,'Series wise Report'!T$1)</f>
        <v>12</v>
      </c>
    </row>
    <row r="89" ht="15.75" customHeight="1">
      <c r="A89" s="137" t="s">
        <v>205</v>
      </c>
      <c r="B89" s="137" t="s">
        <v>268</v>
      </c>
      <c r="C89" s="141">
        <f t="shared" si="37"/>
        <v>180</v>
      </c>
      <c r="D89" s="141">
        <f>SUMIFS('Business - Dump'!$W:$W,'Business - Dump'!$B:$B,'Series wise Report'!$A89,'Business - Dump'!$A:$A,'Series wise Report'!D$1)</f>
        <v>0</v>
      </c>
      <c r="E89" s="141">
        <f>SUMIFS('Business - Dump'!$W:$W,'Business - Dump'!$B:$B,'Series wise Report'!$A89,'Business - Dump'!$A:$A,'Series wise Report'!E$1)</f>
        <v>1</v>
      </c>
      <c r="F89" s="141">
        <f>SUMIFS('Business - Dump'!$W:$W,'Business - Dump'!$B:$B,'Series wise Report'!$A89,'Business - Dump'!$A:$A,'Series wise Report'!F$1)</f>
        <v>0</v>
      </c>
      <c r="G89" s="141">
        <f>SUMIFS('Business - Dump'!$W:$W,'Business - Dump'!$B:$B,'Series wise Report'!$A89,'Business - Dump'!$A:$A,'Series wise Report'!G$1)</f>
        <v>3</v>
      </c>
      <c r="H89" s="141">
        <f>SUMIFS('Business - Dump'!$W:$W,'Business - Dump'!$B:$B,'Series wise Report'!$A89,'Business - Dump'!$A:$A,'Series wise Report'!H$1)</f>
        <v>15</v>
      </c>
      <c r="I89" s="141">
        <f>SUMIFS('Business - Dump'!$W:$W,'Business - Dump'!$B:$B,'Series wise Report'!$A89,'Business - Dump'!$A:$A,'Series wise Report'!I$1)</f>
        <v>9</v>
      </c>
      <c r="J89" s="141">
        <f>SUMIFS('Business - Dump'!$W:$W,'Business - Dump'!$B:$B,'Series wise Report'!$A89,'Business - Dump'!$A:$A,'Series wise Report'!J$1)</f>
        <v>17</v>
      </c>
      <c r="K89" s="141">
        <f>SUMIFS('Business - Dump'!$W:$W,'Business - Dump'!$B:$B,'Series wise Report'!$A89,'Business - Dump'!$A:$A,'Series wise Report'!K$1)</f>
        <v>18</v>
      </c>
      <c r="L89" s="141">
        <f>SUMIFS('Business - Dump'!$W:$W,'Business - Dump'!$B:$B,'Series wise Report'!$A89,'Business - Dump'!$A:$A,'Series wise Report'!L$1)</f>
        <v>17</v>
      </c>
      <c r="M89" s="141">
        <f>SUMIFS('Business - Dump'!$W:$W,'Business - Dump'!$B:$B,'Series wise Report'!$A89,'Business - Dump'!$A:$A,'Series wise Report'!M$1)</f>
        <v>23</v>
      </c>
      <c r="N89" s="141">
        <f>SUMIFS('Business - Dump'!$W:$W,'Business - Dump'!$B:$B,'Series wise Report'!$A89,'Business - Dump'!$A:$A,'Series wise Report'!N$1)</f>
        <v>29</v>
      </c>
      <c r="O89" s="141">
        <f>SUMIFS('Business - Dump'!$W:$W,'Business - Dump'!$B:$B,'Series wise Report'!$A89,'Business - Dump'!$A:$A,'Series wise Report'!O$1)</f>
        <v>36</v>
      </c>
      <c r="P89" s="141">
        <f>SUMIFS('Business - Dump'!$W:$W,'Business - Dump'!$B:$B,'Series wise Report'!$A89,'Business - Dump'!$A:$A,'Series wise Report'!P$1)</f>
        <v>12</v>
      </c>
      <c r="Q89" s="141">
        <f>SUMIFS('Business - Dump'!$W:$W,'Business - Dump'!$B:$B,'Series wise Report'!$A89,'Business - Dump'!$A:$A,'Series wise Report'!Q$1)</f>
        <v>14</v>
      </c>
      <c r="R89" s="141">
        <f>SUMIFS('Business - Dump'!$W:$W,'Business - Dump'!$B:$B,'Series wise Report'!$A89,'Business - Dump'!$A:$A,'Series wise Report'!R$1)</f>
        <v>10</v>
      </c>
      <c r="S89" s="141">
        <f>SUMIFS('Business - Dump'!$W:$W,'Business - Dump'!$B:$B,'Series wise Report'!$A89,'Business - Dump'!$A:$A,'Series wise Report'!S$1)</f>
        <v>10</v>
      </c>
      <c r="T89" s="141">
        <f>SUMIFS('Business - Dump'!$W:$W,'Business - Dump'!$B:$B,'Series wise Report'!$A89,'Business - Dump'!$A:$A,'Series wise Report'!T$1)</f>
        <v>12</v>
      </c>
    </row>
    <row r="90" ht="15.75" customHeight="1">
      <c r="A90" s="10" t="s">
        <v>205</v>
      </c>
      <c r="B90" s="10" t="s">
        <v>26</v>
      </c>
      <c r="C90" s="15">
        <f t="shared" si="37"/>
        <v>7129585.13</v>
      </c>
      <c r="D90" s="15">
        <f>SUMIFS('Business - Dump'!$U:$U,'Business - Dump'!$B:$B,'Series wise Report'!$A90,'Business - Dump'!$A:$A,'Series wise Report'!D$1)</f>
        <v>0</v>
      </c>
      <c r="E90" s="15">
        <f>SUMIFS('Business - Dump'!$U:$U,'Business - Dump'!$B:$B,'Series wise Report'!$A90,'Business - Dump'!$A:$A,'Series wise Report'!E$1)</f>
        <v>47990</v>
      </c>
      <c r="F90" s="15">
        <f>SUMIFS('Business - Dump'!$U:$U,'Business - Dump'!$B:$B,'Series wise Report'!$A90,'Business - Dump'!$A:$A,'Series wise Report'!F$1)</f>
        <v>0</v>
      </c>
      <c r="G90" s="15">
        <f>SUMIFS('Business - Dump'!$U:$U,'Business - Dump'!$B:$B,'Series wise Report'!$A90,'Business - Dump'!$A:$A,'Series wise Report'!G$1)</f>
        <v>121500</v>
      </c>
      <c r="H90" s="15">
        <f>SUMIFS('Business - Dump'!$U:$U,'Business - Dump'!$B:$B,'Series wise Report'!$A90,'Business - Dump'!$A:$A,'Series wise Report'!H$1)</f>
        <v>621771.19</v>
      </c>
      <c r="I90" s="15">
        <f>SUMIFS('Business - Dump'!$U:$U,'Business - Dump'!$B:$B,'Series wise Report'!$A90,'Business - Dump'!$A:$A,'Series wise Report'!I$1)</f>
        <v>353000</v>
      </c>
      <c r="J90" s="15">
        <f>SUMIFS('Business - Dump'!$U:$U,'Business - Dump'!$B:$B,'Series wise Report'!$A90,'Business - Dump'!$A:$A,'Series wise Report'!J$1)</f>
        <v>685088.16</v>
      </c>
      <c r="K90" s="15">
        <f>SUMIFS('Business - Dump'!$U:$U,'Business - Dump'!$B:$B,'Series wise Report'!$A90,'Business - Dump'!$A:$A,'Series wise Report'!K$1)</f>
        <v>709700</v>
      </c>
      <c r="L90" s="15">
        <f>SUMIFS('Business - Dump'!$U:$U,'Business - Dump'!$B:$B,'Series wise Report'!$A90,'Business - Dump'!$A:$A,'Series wise Report'!L$1)</f>
        <v>684332.24</v>
      </c>
      <c r="M90" s="15">
        <f>SUMIFS('Business - Dump'!$U:$U,'Business - Dump'!$B:$B,'Series wise Report'!$A90,'Business - Dump'!$A:$A,'Series wise Report'!M$1)</f>
        <v>914089.84</v>
      </c>
      <c r="N90" s="15">
        <f>SUMIFS('Business - Dump'!$U:$U,'Business - Dump'!$B:$B,'Series wise Report'!$A90,'Business - Dump'!$A:$A,'Series wise Report'!N$1)</f>
        <v>1150741.74</v>
      </c>
      <c r="O90" s="15">
        <f>SUMIFS('Business - Dump'!$U:$U,'Business - Dump'!$B:$B,'Series wise Report'!$A90,'Business - Dump'!$A:$A,'Series wise Report'!O$1)</f>
        <v>1363474.28</v>
      </c>
      <c r="P90" s="15">
        <f>SUMIFS('Business - Dump'!$U:$U,'Business - Dump'!$B:$B,'Series wise Report'!$A90,'Business - Dump'!$A:$A,'Series wise Report'!P$1)</f>
        <v>477897.68</v>
      </c>
      <c r="Q90" s="15">
        <f>SUMIFS('Business - Dump'!$U:$U,'Business - Dump'!$B:$B,'Series wise Report'!$A90,'Business - Dump'!$A:$A,'Series wise Report'!Q$1)</f>
        <v>555492.6</v>
      </c>
      <c r="R90" s="15">
        <f>SUMIFS('Business - Dump'!$U:$U,'Business - Dump'!$B:$B,'Series wise Report'!$A90,'Business - Dump'!$A:$A,'Series wise Report'!R$1)</f>
        <v>396460.1</v>
      </c>
      <c r="S90" s="15">
        <f>SUMIFS('Business - Dump'!$U:$U,'Business - Dump'!$B:$B,'Series wise Report'!$A90,'Business - Dump'!$A:$A,'Series wise Report'!S$1)</f>
        <v>396387.1</v>
      </c>
      <c r="T90" s="15">
        <f>SUMIFS('Business - Dump'!$U:$U,'Business - Dump'!$B:$B,'Series wise Report'!$A90,'Business - Dump'!$A:$A,'Series wise Report'!T$1)</f>
        <v>460667.22</v>
      </c>
    </row>
    <row r="91" ht="15.75" customHeight="1">
      <c r="A91" s="10" t="s">
        <v>205</v>
      </c>
      <c r="B91" s="10" t="s">
        <v>29</v>
      </c>
      <c r="C91" s="17">
        <f t="shared" ref="C91:T91" si="38">IFERROR(C89/C86,0)</f>
        <v>0.005149035986</v>
      </c>
      <c r="D91" s="17">
        <f t="shared" si="38"/>
        <v>0</v>
      </c>
      <c r="E91" s="17">
        <f t="shared" si="38"/>
        <v>0.007751937984</v>
      </c>
      <c r="F91" s="17">
        <f t="shared" si="38"/>
        <v>0</v>
      </c>
      <c r="G91" s="17">
        <f t="shared" si="38"/>
        <v>0.007281553398</v>
      </c>
      <c r="H91" s="17">
        <f t="shared" si="38"/>
        <v>0.0101971448</v>
      </c>
      <c r="I91" s="17">
        <f t="shared" si="38"/>
        <v>0.003460207612</v>
      </c>
      <c r="J91" s="17">
        <f t="shared" si="38"/>
        <v>0.003261078074</v>
      </c>
      <c r="K91" s="17">
        <f t="shared" si="38"/>
        <v>0.006442376521</v>
      </c>
      <c r="L91" s="17">
        <f t="shared" si="38"/>
        <v>0.003794642857</v>
      </c>
      <c r="M91" s="17">
        <f t="shared" si="38"/>
        <v>0.004446162768</v>
      </c>
      <c r="N91" s="17">
        <f t="shared" si="38"/>
        <v>0.005422587883</v>
      </c>
      <c r="O91" s="17">
        <f t="shared" si="38"/>
        <v>0.007917308115</v>
      </c>
      <c r="P91" s="17">
        <f t="shared" si="38"/>
        <v>0.004301075269</v>
      </c>
      <c r="Q91" s="17">
        <f t="shared" si="38"/>
        <v>0.00530102234</v>
      </c>
      <c r="R91" s="17">
        <f t="shared" si="38"/>
        <v>0.004462293619</v>
      </c>
      <c r="S91" s="17">
        <f t="shared" si="38"/>
        <v>0.005336179296</v>
      </c>
      <c r="T91" s="17">
        <f t="shared" si="38"/>
        <v>0.001543805481</v>
      </c>
    </row>
    <row r="92" ht="15.75" customHeight="1">
      <c r="A92" s="10" t="s">
        <v>205</v>
      </c>
      <c r="B92" s="10" t="s">
        <v>282</v>
      </c>
      <c r="C92" s="16">
        <f t="shared" ref="C92:T92" si="39">IFERROR(C90/C89,0)</f>
        <v>39608.80628</v>
      </c>
      <c r="D92" s="16">
        <f t="shared" si="39"/>
        <v>0</v>
      </c>
      <c r="E92" s="16">
        <f t="shared" si="39"/>
        <v>47990</v>
      </c>
      <c r="F92" s="16">
        <f t="shared" si="39"/>
        <v>0</v>
      </c>
      <c r="G92" s="16">
        <f t="shared" si="39"/>
        <v>40500</v>
      </c>
      <c r="H92" s="16">
        <f t="shared" si="39"/>
        <v>41451.41267</v>
      </c>
      <c r="I92" s="16">
        <f t="shared" si="39"/>
        <v>39222.22222</v>
      </c>
      <c r="J92" s="16">
        <f t="shared" si="39"/>
        <v>40299.30353</v>
      </c>
      <c r="K92" s="16">
        <f t="shared" si="39"/>
        <v>39427.77778</v>
      </c>
      <c r="L92" s="16">
        <f t="shared" si="39"/>
        <v>40254.83765</v>
      </c>
      <c r="M92" s="16">
        <f t="shared" si="39"/>
        <v>39743.03652</v>
      </c>
      <c r="N92" s="16">
        <f t="shared" si="39"/>
        <v>39680.74966</v>
      </c>
      <c r="O92" s="16">
        <f t="shared" si="39"/>
        <v>37874.28556</v>
      </c>
      <c r="P92" s="16">
        <f t="shared" si="39"/>
        <v>39824.80667</v>
      </c>
      <c r="Q92" s="16">
        <f t="shared" si="39"/>
        <v>39678.04286</v>
      </c>
      <c r="R92" s="16">
        <f t="shared" si="39"/>
        <v>39646.01</v>
      </c>
      <c r="S92" s="16">
        <f t="shared" si="39"/>
        <v>39638.71</v>
      </c>
      <c r="T92" s="16">
        <f t="shared" si="39"/>
        <v>38388.935</v>
      </c>
    </row>
    <row r="93" ht="15.75" customHeight="1">
      <c r="A93" s="10" t="s">
        <v>205</v>
      </c>
      <c r="B93" s="10" t="s">
        <v>282</v>
      </c>
      <c r="C93" s="16">
        <f t="shared" ref="C93:T93" si="40">IFERROR(C91/C90,0)</f>
        <v>0.0000000007222069576</v>
      </c>
      <c r="D93" s="16">
        <f t="shared" si="40"/>
        <v>0</v>
      </c>
      <c r="E93" s="16">
        <f t="shared" si="40"/>
        <v>0.0000001615323606</v>
      </c>
      <c r="F93" s="16">
        <f t="shared" si="40"/>
        <v>0</v>
      </c>
      <c r="G93" s="16">
        <f t="shared" si="40"/>
        <v>0.00000005993048064</v>
      </c>
      <c r="H93" s="16">
        <f t="shared" si="40"/>
        <v>0.00000001640015646</v>
      </c>
      <c r="I93" s="16">
        <f t="shared" si="40"/>
        <v>0.000000009802287854</v>
      </c>
      <c r="J93" s="16">
        <f t="shared" si="40"/>
        <v>0.000000004760085292</v>
      </c>
      <c r="K93" s="16">
        <f t="shared" si="40"/>
        <v>0.000000009077605356</v>
      </c>
      <c r="L93" s="16">
        <f t="shared" si="40"/>
        <v>0.000000005545030082</v>
      </c>
      <c r="M93" s="16">
        <f t="shared" si="40"/>
        <v>0.000000004864032586</v>
      </c>
      <c r="N93" s="16">
        <f t="shared" si="40"/>
        <v>0.000000004712254448</v>
      </c>
      <c r="O93" s="16">
        <f t="shared" si="40"/>
        <v>0.000000005806716145</v>
      </c>
      <c r="P93" s="16">
        <f t="shared" si="40"/>
        <v>0.000000008999991941</v>
      </c>
      <c r="Q93" s="16">
        <f t="shared" si="40"/>
        <v>0.000000009542921616</v>
      </c>
      <c r="R93" s="16">
        <f t="shared" si="40"/>
        <v>0.000000011255341</v>
      </c>
      <c r="S93" s="16">
        <f t="shared" si="40"/>
        <v>0.00000001346204076</v>
      </c>
      <c r="T93" s="16">
        <f t="shared" si="40"/>
        <v>0.000000003351237973</v>
      </c>
    </row>
    <row r="94" ht="15.75" customHeight="1">
      <c r="A94" s="10" t="s">
        <v>152</v>
      </c>
      <c r="B94" s="10" t="s">
        <v>257</v>
      </c>
      <c r="C94" s="16">
        <f t="shared" ref="C94:C98" si="41">SUM(D94:P94)</f>
        <v>23850</v>
      </c>
      <c r="D94" s="16">
        <f>SUMIFS('Business - Dump'!$G:$G,'Business - Dump'!$B:$B,'Series wise Report'!$A94,'Business - Dump'!$A:$A,'Series wise Report'!D$1)</f>
        <v>0</v>
      </c>
      <c r="E94" s="16">
        <f>SUMIFS('Business - Dump'!$G:$G,'Business - Dump'!$B:$B,'Series wise Report'!$A94,'Business - Dump'!$A:$A,'Series wise Report'!E$1)</f>
        <v>906</v>
      </c>
      <c r="F94" s="16">
        <f>SUMIFS('Business - Dump'!$G:$G,'Business - Dump'!$B:$B,'Series wise Report'!$A94,'Business - Dump'!$A:$A,'Series wise Report'!F$1)</f>
        <v>2685</v>
      </c>
      <c r="G94" s="16">
        <f>SUMIFS('Business - Dump'!$G:$G,'Business - Dump'!$B:$B,'Series wise Report'!$A94,'Business - Dump'!$A:$A,'Series wise Report'!G$1)</f>
        <v>2816</v>
      </c>
      <c r="H94" s="16">
        <f>SUMIFS('Business - Dump'!$G:$G,'Business - Dump'!$B:$B,'Series wise Report'!$A94,'Business - Dump'!$A:$A,'Series wise Report'!H$1)</f>
        <v>4086</v>
      </c>
      <c r="I94" s="16">
        <f>SUMIFS('Business - Dump'!$G:$G,'Business - Dump'!$B:$B,'Series wise Report'!$A94,'Business - Dump'!$A:$A,'Series wise Report'!I$1)</f>
        <v>4752</v>
      </c>
      <c r="J94" s="16">
        <f>SUMIFS('Business - Dump'!$G:$G,'Business - Dump'!$B:$B,'Series wise Report'!$A94,'Business - Dump'!$A:$A,'Series wise Report'!J$1)</f>
        <v>4395</v>
      </c>
      <c r="K94" s="16">
        <f>SUMIFS('Business - Dump'!$G:$G,'Business - Dump'!$B:$B,'Series wise Report'!$A94,'Business - Dump'!$A:$A,'Series wise Report'!K$1)</f>
        <v>2583</v>
      </c>
      <c r="L94" s="16">
        <f>SUMIFS('Business - Dump'!$G:$G,'Business - Dump'!$B:$B,'Series wise Report'!$A94,'Business - Dump'!$A:$A,'Series wise Report'!L$1)</f>
        <v>867</v>
      </c>
      <c r="M94" s="16">
        <f>SUMIFS('Business - Dump'!$G:$G,'Business - Dump'!$B:$B,'Series wise Report'!$A94,'Business - Dump'!$A:$A,'Series wise Report'!M$1)</f>
        <v>256</v>
      </c>
      <c r="N94" s="16">
        <f>SUMIFS('Business - Dump'!$G:$G,'Business - Dump'!$B:$B,'Series wise Report'!$A94,'Business - Dump'!$A:$A,'Series wise Report'!N$1)</f>
        <v>293</v>
      </c>
      <c r="O94" s="16">
        <f>SUMIFS('Business - Dump'!$G:$G,'Business - Dump'!$B:$B,'Series wise Report'!$A94,'Business - Dump'!$A:$A,'Series wise Report'!O$1)</f>
        <v>153</v>
      </c>
      <c r="P94" s="16">
        <f>SUMIFS('Business - Dump'!$G:$G,'Business - Dump'!$B:$B,'Series wise Report'!$A94,'Business - Dump'!$A:$A,'Series wise Report'!P$1)</f>
        <v>58</v>
      </c>
      <c r="Q94" s="16">
        <f>SUMIFS('Business - Dump'!$G:$G,'Business - Dump'!$B:$B,'Series wise Report'!$A94,'Business - Dump'!$A:$A,'Series wise Report'!Q$1)</f>
        <v>93</v>
      </c>
      <c r="R94" s="16">
        <f>SUMIFS('Business - Dump'!$G:$G,'Business - Dump'!$B:$B,'Series wise Report'!$A94,'Business - Dump'!$A:$A,'Series wise Report'!R$1)</f>
        <v>294</v>
      </c>
      <c r="S94" s="16">
        <f>SUMIFS('Business - Dump'!$G:$G,'Business - Dump'!$B:$B,'Series wise Report'!$A94,'Business - Dump'!$A:$A,'Series wise Report'!S$1)</f>
        <v>399</v>
      </c>
      <c r="T94" s="16">
        <f>SUMIFS('Business - Dump'!$G:$G,'Business - Dump'!$B:$B,'Series wise Report'!$A94,'Business - Dump'!$A:$A,'Series wise Report'!T$1)</f>
        <v>889</v>
      </c>
    </row>
    <row r="95" ht="15.75" customHeight="1">
      <c r="A95" s="10" t="s">
        <v>152</v>
      </c>
      <c r="B95" s="10" t="s">
        <v>260</v>
      </c>
      <c r="C95" s="16">
        <f t="shared" si="41"/>
        <v>37662</v>
      </c>
      <c r="D95" s="16">
        <f>SUMIFS('Business - Dump'!$K:$K,'Business - Dump'!$B:$B,'Series wise Report'!$A95,'Business - Dump'!$A:$A,'Series wise Report'!D$1)</f>
        <v>0</v>
      </c>
      <c r="E95" s="16">
        <f>SUMIFS('Business - Dump'!$K:$K,'Business - Dump'!$B:$B,'Series wise Report'!$A95,'Business - Dump'!$A:$A,'Series wise Report'!E$1)</f>
        <v>1365</v>
      </c>
      <c r="F95" s="16">
        <f>SUMIFS('Business - Dump'!$K:$K,'Business - Dump'!$B:$B,'Series wise Report'!$A95,'Business - Dump'!$A:$A,'Series wise Report'!F$1)</f>
        <v>3966</v>
      </c>
      <c r="G95" s="16">
        <f>SUMIFS('Business - Dump'!$K:$K,'Business - Dump'!$B:$B,'Series wise Report'!$A95,'Business - Dump'!$A:$A,'Series wise Report'!G$1)</f>
        <v>4291</v>
      </c>
      <c r="H95" s="16">
        <f>SUMIFS('Business - Dump'!$K:$K,'Business - Dump'!$B:$B,'Series wise Report'!$A95,'Business - Dump'!$A:$A,'Series wise Report'!H$1)</f>
        <v>6419</v>
      </c>
      <c r="I95" s="16">
        <f>SUMIFS('Business - Dump'!$K:$K,'Business - Dump'!$B:$B,'Series wise Report'!$A95,'Business - Dump'!$A:$A,'Series wise Report'!I$1)</f>
        <v>7299</v>
      </c>
      <c r="J95" s="16">
        <f>SUMIFS('Business - Dump'!$K:$K,'Business - Dump'!$B:$B,'Series wise Report'!$A95,'Business - Dump'!$A:$A,'Series wise Report'!J$1)</f>
        <v>8188</v>
      </c>
      <c r="K95" s="16">
        <f>SUMIFS('Business - Dump'!$K:$K,'Business - Dump'!$B:$B,'Series wise Report'!$A95,'Business - Dump'!$A:$A,'Series wise Report'!K$1)</f>
        <v>3841</v>
      </c>
      <c r="L95" s="16">
        <f>SUMIFS('Business - Dump'!$K:$K,'Business - Dump'!$B:$B,'Series wise Report'!$A95,'Business - Dump'!$A:$A,'Series wise Report'!L$1)</f>
        <v>1237</v>
      </c>
      <c r="M95" s="16">
        <f>SUMIFS('Business - Dump'!$K:$K,'Business - Dump'!$B:$B,'Series wise Report'!$A95,'Business - Dump'!$A:$A,'Series wise Report'!M$1)</f>
        <v>342</v>
      </c>
      <c r="N95" s="16">
        <f>SUMIFS('Business - Dump'!$K:$K,'Business - Dump'!$B:$B,'Series wise Report'!$A95,'Business - Dump'!$A:$A,'Series wise Report'!N$1)</f>
        <v>398</v>
      </c>
      <c r="O95" s="16">
        <f>SUMIFS('Business - Dump'!$K:$K,'Business - Dump'!$B:$B,'Series wise Report'!$A95,'Business - Dump'!$A:$A,'Series wise Report'!O$1)</f>
        <v>213</v>
      </c>
      <c r="P95" s="16">
        <f>SUMIFS('Business - Dump'!$K:$K,'Business - Dump'!$B:$B,'Series wise Report'!$A95,'Business - Dump'!$A:$A,'Series wise Report'!P$1)</f>
        <v>103</v>
      </c>
      <c r="Q95" s="16">
        <f>SUMIFS('Business - Dump'!$K:$K,'Business - Dump'!$B:$B,'Series wise Report'!$A95,'Business - Dump'!$A:$A,'Series wise Report'!Q$1)</f>
        <v>150</v>
      </c>
      <c r="R95" s="16">
        <f>SUMIFS('Business - Dump'!$K:$K,'Business - Dump'!$B:$B,'Series wise Report'!$A95,'Business - Dump'!$A:$A,'Series wise Report'!R$1)</f>
        <v>483</v>
      </c>
      <c r="S95" s="16">
        <f>SUMIFS('Business - Dump'!$K:$K,'Business - Dump'!$B:$B,'Series wise Report'!$A95,'Business - Dump'!$A:$A,'Series wise Report'!S$1)</f>
        <v>566</v>
      </c>
      <c r="T95" s="16">
        <f>SUMIFS('Business - Dump'!$K:$K,'Business - Dump'!$B:$B,'Series wise Report'!$A95,'Business - Dump'!$A:$A,'Series wise Report'!T$1)</f>
        <v>1319</v>
      </c>
    </row>
    <row r="96" ht="15.75" customHeight="1">
      <c r="A96" s="138" t="s">
        <v>152</v>
      </c>
      <c r="B96" s="138" t="s">
        <v>264</v>
      </c>
      <c r="C96" s="3">
        <f t="shared" si="41"/>
        <v>150</v>
      </c>
      <c r="D96" s="3">
        <f>SUMIFS('Business - Dump'!$Q:$Q,'Business - Dump'!$B:$B,'Series wise Report'!$A96,'Business - Dump'!$A:$A,'Series wise Report'!D$1)</f>
        <v>0</v>
      </c>
      <c r="E96" s="3">
        <f>SUMIFS('Business - Dump'!$Q:$Q,'Business - Dump'!$B:$B,'Series wise Report'!$A96,'Business - Dump'!$A:$A,'Series wise Report'!E$1)</f>
        <v>9</v>
      </c>
      <c r="F96" s="3">
        <f>SUMIFS('Business - Dump'!$Q:$Q,'Business - Dump'!$B:$B,'Series wise Report'!$A96,'Business - Dump'!$A:$A,'Series wise Report'!F$1)</f>
        <v>13</v>
      </c>
      <c r="G96" s="3">
        <f>SUMIFS('Business - Dump'!$Q:$Q,'Business - Dump'!$B:$B,'Series wise Report'!$A96,'Business - Dump'!$A:$A,'Series wise Report'!G$1)</f>
        <v>27</v>
      </c>
      <c r="H96" s="3">
        <f>SUMIFS('Business - Dump'!$Q:$Q,'Business - Dump'!$B:$B,'Series wise Report'!$A96,'Business - Dump'!$A:$A,'Series wise Report'!H$1)</f>
        <v>22</v>
      </c>
      <c r="I96" s="3">
        <f>SUMIFS('Business - Dump'!$Q:$Q,'Business - Dump'!$B:$B,'Series wise Report'!$A96,'Business - Dump'!$A:$A,'Series wise Report'!I$1)</f>
        <v>29</v>
      </c>
      <c r="J96" s="3">
        <f>SUMIFS('Business - Dump'!$Q:$Q,'Business - Dump'!$B:$B,'Series wise Report'!$A96,'Business - Dump'!$A:$A,'Series wise Report'!J$1)</f>
        <v>27</v>
      </c>
      <c r="K96" s="3">
        <f>SUMIFS('Business - Dump'!$Q:$Q,'Business - Dump'!$B:$B,'Series wise Report'!$A96,'Business - Dump'!$A:$A,'Series wise Report'!K$1)</f>
        <v>15</v>
      </c>
      <c r="L96" s="3">
        <f>SUMIFS('Business - Dump'!$Q:$Q,'Business - Dump'!$B:$B,'Series wise Report'!$A96,'Business - Dump'!$A:$A,'Series wise Report'!L$1)</f>
        <v>3</v>
      </c>
      <c r="M96" s="3">
        <f>SUMIFS('Business - Dump'!$Q:$Q,'Business - Dump'!$B:$B,'Series wise Report'!$A96,'Business - Dump'!$A:$A,'Series wise Report'!M$1)</f>
        <v>3</v>
      </c>
      <c r="N96" s="3">
        <f>SUMIFS('Business - Dump'!$Q:$Q,'Business - Dump'!$B:$B,'Series wise Report'!$A96,'Business - Dump'!$A:$A,'Series wise Report'!N$1)</f>
        <v>1</v>
      </c>
      <c r="O96" s="3">
        <f>SUMIFS('Business - Dump'!$Q:$Q,'Business - Dump'!$B:$B,'Series wise Report'!$A96,'Business - Dump'!$A:$A,'Series wise Report'!O$1)</f>
        <v>1</v>
      </c>
      <c r="P96" s="3">
        <f>SUMIFS('Business - Dump'!$Q:$Q,'Business - Dump'!$B:$B,'Series wise Report'!$A96,'Business - Dump'!$A:$A,'Series wise Report'!P$1)</f>
        <v>0</v>
      </c>
      <c r="Q96" s="3">
        <f>SUMIFS('Business - Dump'!$Q:$Q,'Business - Dump'!$B:$B,'Series wise Report'!$A96,'Business - Dump'!$A:$A,'Series wise Report'!Q$1)</f>
        <v>0</v>
      </c>
      <c r="R96" s="3">
        <f>SUMIFS('Business - Dump'!$Q:$Q,'Business - Dump'!$B:$B,'Series wise Report'!$A96,'Business - Dump'!$A:$A,'Series wise Report'!R$1)</f>
        <v>1</v>
      </c>
      <c r="S96" s="3">
        <f>SUMIFS('Business - Dump'!$Q:$Q,'Business - Dump'!$B:$B,'Series wise Report'!$A96,'Business - Dump'!$A:$A,'Series wise Report'!S$1)</f>
        <v>1</v>
      </c>
      <c r="T96" s="3">
        <f>SUMIFS('Business - Dump'!$Q:$Q,'Business - Dump'!$B:$B,'Series wise Report'!$A96,'Business - Dump'!$A:$A,'Series wise Report'!T$1)</f>
        <v>4</v>
      </c>
    </row>
    <row r="97" ht="15.75" customHeight="1">
      <c r="A97" s="137" t="s">
        <v>152</v>
      </c>
      <c r="B97" s="137" t="s">
        <v>268</v>
      </c>
      <c r="C97" s="141">
        <f t="shared" si="41"/>
        <v>150</v>
      </c>
      <c r="D97" s="141">
        <f>SUMIFS('Business - Dump'!$W:$W,'Business - Dump'!$B:$B,'Series wise Report'!$A97,'Business - Dump'!$A:$A,'Series wise Report'!D$1)</f>
        <v>0</v>
      </c>
      <c r="E97" s="141">
        <f>SUMIFS('Business - Dump'!$W:$W,'Business - Dump'!$B:$B,'Series wise Report'!$A97,'Business - Dump'!$A:$A,'Series wise Report'!E$1)</f>
        <v>9</v>
      </c>
      <c r="F97" s="141">
        <f>SUMIFS('Business - Dump'!$W:$W,'Business - Dump'!$B:$B,'Series wise Report'!$A97,'Business - Dump'!$A:$A,'Series wise Report'!F$1)</f>
        <v>13</v>
      </c>
      <c r="G97" s="141">
        <f>SUMIFS('Business - Dump'!$W:$W,'Business - Dump'!$B:$B,'Series wise Report'!$A97,'Business - Dump'!$A:$A,'Series wise Report'!G$1)</f>
        <v>27</v>
      </c>
      <c r="H97" s="141">
        <f>SUMIFS('Business - Dump'!$W:$W,'Business - Dump'!$B:$B,'Series wise Report'!$A97,'Business - Dump'!$A:$A,'Series wise Report'!H$1)</f>
        <v>22</v>
      </c>
      <c r="I97" s="141">
        <f>SUMIFS('Business - Dump'!$W:$W,'Business - Dump'!$B:$B,'Series wise Report'!$A97,'Business - Dump'!$A:$A,'Series wise Report'!I$1)</f>
        <v>29</v>
      </c>
      <c r="J97" s="141">
        <f>SUMIFS('Business - Dump'!$W:$W,'Business - Dump'!$B:$B,'Series wise Report'!$A97,'Business - Dump'!$A:$A,'Series wise Report'!J$1)</f>
        <v>27</v>
      </c>
      <c r="K97" s="141">
        <f>SUMIFS('Business - Dump'!$W:$W,'Business - Dump'!$B:$B,'Series wise Report'!$A97,'Business - Dump'!$A:$A,'Series wise Report'!K$1)</f>
        <v>15</v>
      </c>
      <c r="L97" s="141">
        <f>SUMIFS('Business - Dump'!$W:$W,'Business - Dump'!$B:$B,'Series wise Report'!$A97,'Business - Dump'!$A:$A,'Series wise Report'!L$1)</f>
        <v>3</v>
      </c>
      <c r="M97" s="141">
        <f>SUMIFS('Business - Dump'!$W:$W,'Business - Dump'!$B:$B,'Series wise Report'!$A97,'Business - Dump'!$A:$A,'Series wise Report'!M$1)</f>
        <v>3</v>
      </c>
      <c r="N97" s="141">
        <f>SUMIFS('Business - Dump'!$W:$W,'Business - Dump'!$B:$B,'Series wise Report'!$A97,'Business - Dump'!$A:$A,'Series wise Report'!N$1)</f>
        <v>1</v>
      </c>
      <c r="O97" s="141">
        <f>SUMIFS('Business - Dump'!$W:$W,'Business - Dump'!$B:$B,'Series wise Report'!$A97,'Business - Dump'!$A:$A,'Series wise Report'!O$1)</f>
        <v>1</v>
      </c>
      <c r="P97" s="141">
        <f>SUMIFS('Business - Dump'!$W:$W,'Business - Dump'!$B:$B,'Series wise Report'!$A97,'Business - Dump'!$A:$A,'Series wise Report'!P$1)</f>
        <v>0</v>
      </c>
      <c r="Q97" s="141">
        <f>SUMIFS('Business - Dump'!$W:$W,'Business - Dump'!$B:$B,'Series wise Report'!$A97,'Business - Dump'!$A:$A,'Series wise Report'!Q$1)</f>
        <v>0</v>
      </c>
      <c r="R97" s="141">
        <f>SUMIFS('Business - Dump'!$W:$W,'Business - Dump'!$B:$B,'Series wise Report'!$A97,'Business - Dump'!$A:$A,'Series wise Report'!R$1)</f>
        <v>1</v>
      </c>
      <c r="S97" s="141">
        <f>SUMIFS('Business - Dump'!$W:$W,'Business - Dump'!$B:$B,'Series wise Report'!$A97,'Business - Dump'!$A:$A,'Series wise Report'!S$1)</f>
        <v>1</v>
      </c>
      <c r="T97" s="141">
        <f>SUMIFS('Business - Dump'!$W:$W,'Business - Dump'!$B:$B,'Series wise Report'!$A97,'Business - Dump'!$A:$A,'Series wise Report'!T$1)</f>
        <v>4</v>
      </c>
    </row>
    <row r="98" ht="15.75" customHeight="1">
      <c r="A98" s="10" t="s">
        <v>152</v>
      </c>
      <c r="B98" s="10" t="s">
        <v>26</v>
      </c>
      <c r="C98" s="15">
        <f t="shared" si="41"/>
        <v>2270512.69</v>
      </c>
      <c r="D98" s="15">
        <f>SUMIFS('Business - Dump'!$U:$U,'Business - Dump'!$B:$B,'Series wise Report'!$A98,'Business - Dump'!$A:$A,'Series wise Report'!D$1)</f>
        <v>0</v>
      </c>
      <c r="E98" s="15">
        <f>SUMIFS('Business - Dump'!$U:$U,'Business - Dump'!$B:$B,'Series wise Report'!$A98,'Business - Dump'!$A:$A,'Series wise Report'!E$1)</f>
        <v>137700</v>
      </c>
      <c r="F98" s="15">
        <f>SUMIFS('Business - Dump'!$U:$U,'Business - Dump'!$B:$B,'Series wise Report'!$A98,'Business - Dump'!$A:$A,'Series wise Report'!F$1)</f>
        <v>197160</v>
      </c>
      <c r="G98" s="15">
        <f>SUMIFS('Business - Dump'!$U:$U,'Business - Dump'!$B:$B,'Series wise Report'!$A98,'Business - Dump'!$A:$A,'Series wise Report'!G$1)</f>
        <v>406953.86</v>
      </c>
      <c r="H98" s="15">
        <f>SUMIFS('Business - Dump'!$U:$U,'Business - Dump'!$B:$B,'Series wise Report'!$A98,'Business - Dump'!$A:$A,'Series wise Report'!H$1)</f>
        <v>325978</v>
      </c>
      <c r="I98" s="15">
        <f>SUMIFS('Business - Dump'!$U:$U,'Business - Dump'!$B:$B,'Series wise Report'!$A98,'Business - Dump'!$A:$A,'Series wise Report'!I$1)</f>
        <v>434871</v>
      </c>
      <c r="J98" s="15">
        <f>SUMIFS('Business - Dump'!$U:$U,'Business - Dump'!$B:$B,'Series wise Report'!$A98,'Business - Dump'!$A:$A,'Series wise Report'!J$1)</f>
        <v>406287.64</v>
      </c>
      <c r="K98" s="15">
        <f>SUMIFS('Business - Dump'!$U:$U,'Business - Dump'!$B:$B,'Series wise Report'!$A98,'Business - Dump'!$A:$A,'Series wise Report'!K$1)</f>
        <v>233915.19</v>
      </c>
      <c r="L98" s="15">
        <f>SUMIFS('Business - Dump'!$U:$U,'Business - Dump'!$B:$B,'Series wise Report'!$A98,'Business - Dump'!$A:$A,'Series wise Report'!L$1)</f>
        <v>47997</v>
      </c>
      <c r="M98" s="15">
        <f>SUMIFS('Business - Dump'!$U:$U,'Business - Dump'!$B:$B,'Series wise Report'!$A98,'Business - Dump'!$A:$A,'Series wise Report'!M$1)</f>
        <v>46650</v>
      </c>
      <c r="N98" s="15">
        <f>SUMIFS('Business - Dump'!$U:$U,'Business - Dump'!$B:$B,'Series wise Report'!$A98,'Business - Dump'!$A:$A,'Series wise Report'!N$1)</f>
        <v>16500</v>
      </c>
      <c r="O98" s="15">
        <f>SUMIFS('Business - Dump'!$U:$U,'Business - Dump'!$B:$B,'Series wise Report'!$A98,'Business - Dump'!$A:$A,'Series wise Report'!O$1)</f>
        <v>16500</v>
      </c>
      <c r="P98" s="15">
        <f>SUMIFS('Business - Dump'!$U:$U,'Business - Dump'!$B:$B,'Series wise Report'!$A98,'Business - Dump'!$A:$A,'Series wise Report'!P$1)</f>
        <v>0</v>
      </c>
      <c r="Q98" s="15">
        <f>SUMIFS('Business - Dump'!$U:$U,'Business - Dump'!$B:$B,'Series wise Report'!$A98,'Business - Dump'!$A:$A,'Series wise Report'!Q$1)</f>
        <v>0</v>
      </c>
      <c r="R98" s="15">
        <f>SUMIFS('Business - Dump'!$U:$U,'Business - Dump'!$B:$B,'Series wise Report'!$A98,'Business - Dump'!$A:$A,'Series wise Report'!R$1)</f>
        <v>15475.59</v>
      </c>
      <c r="S98" s="15">
        <f>SUMIFS('Business - Dump'!$U:$U,'Business - Dump'!$B:$B,'Series wise Report'!$A98,'Business - Dump'!$A:$A,'Series wise Report'!S$1)</f>
        <v>15325.59</v>
      </c>
      <c r="T98" s="15">
        <f>SUMIFS('Business - Dump'!$U:$U,'Business - Dump'!$B:$B,'Series wise Report'!$A98,'Business - Dump'!$A:$A,'Series wise Report'!T$1)</f>
        <v>61112.36</v>
      </c>
    </row>
    <row r="99" ht="15.75" customHeight="1">
      <c r="A99" s="10" t="s">
        <v>152</v>
      </c>
      <c r="B99" s="10" t="s">
        <v>29</v>
      </c>
      <c r="C99" s="17">
        <f t="shared" ref="C99:T99" si="42">IFERROR(C97/C94,0)</f>
        <v>0.006289308176</v>
      </c>
      <c r="D99" s="17">
        <f t="shared" si="42"/>
        <v>0</v>
      </c>
      <c r="E99" s="17">
        <f t="shared" si="42"/>
        <v>0.009933774834</v>
      </c>
      <c r="F99" s="17">
        <f t="shared" si="42"/>
        <v>0.004841713222</v>
      </c>
      <c r="G99" s="17">
        <f t="shared" si="42"/>
        <v>0.009588068182</v>
      </c>
      <c r="H99" s="17">
        <f t="shared" si="42"/>
        <v>0.005384238864</v>
      </c>
      <c r="I99" s="17">
        <f t="shared" si="42"/>
        <v>0.006102693603</v>
      </c>
      <c r="J99" s="17">
        <f t="shared" si="42"/>
        <v>0.00614334471</v>
      </c>
      <c r="K99" s="17">
        <f t="shared" si="42"/>
        <v>0.005807200929</v>
      </c>
      <c r="L99" s="17">
        <f t="shared" si="42"/>
        <v>0.003460207612</v>
      </c>
      <c r="M99" s="17">
        <f t="shared" si="42"/>
        <v>0.01171875</v>
      </c>
      <c r="N99" s="17">
        <f t="shared" si="42"/>
        <v>0.003412969283</v>
      </c>
      <c r="O99" s="17">
        <f t="shared" si="42"/>
        <v>0.006535947712</v>
      </c>
      <c r="P99" s="17">
        <f t="shared" si="42"/>
        <v>0</v>
      </c>
      <c r="Q99" s="17">
        <f t="shared" si="42"/>
        <v>0</v>
      </c>
      <c r="R99" s="17">
        <f t="shared" si="42"/>
        <v>0.003401360544</v>
      </c>
      <c r="S99" s="17">
        <f t="shared" si="42"/>
        <v>0.002506265664</v>
      </c>
      <c r="T99" s="17">
        <f t="shared" si="42"/>
        <v>0.00449943757</v>
      </c>
    </row>
    <row r="100" ht="15.75" customHeight="1">
      <c r="A100" s="10" t="s">
        <v>152</v>
      </c>
      <c r="B100" s="10" t="s">
        <v>282</v>
      </c>
      <c r="C100" s="16">
        <f t="shared" ref="C100:T100" si="43">IFERROR(C98/C97,0)</f>
        <v>15136.75127</v>
      </c>
      <c r="D100" s="16">
        <f t="shared" si="43"/>
        <v>0</v>
      </c>
      <c r="E100" s="16">
        <f t="shared" si="43"/>
        <v>15300</v>
      </c>
      <c r="F100" s="16">
        <f t="shared" si="43"/>
        <v>15166.15385</v>
      </c>
      <c r="G100" s="16">
        <f t="shared" si="43"/>
        <v>15072.36519</v>
      </c>
      <c r="H100" s="16">
        <f t="shared" si="43"/>
        <v>14817.18182</v>
      </c>
      <c r="I100" s="16">
        <f t="shared" si="43"/>
        <v>14995.55172</v>
      </c>
      <c r="J100" s="16">
        <f t="shared" si="43"/>
        <v>15047.69037</v>
      </c>
      <c r="K100" s="16">
        <f t="shared" si="43"/>
        <v>15594.346</v>
      </c>
      <c r="L100" s="16">
        <f t="shared" si="43"/>
        <v>15999</v>
      </c>
      <c r="M100" s="16">
        <f t="shared" si="43"/>
        <v>15550</v>
      </c>
      <c r="N100" s="16">
        <f t="shared" si="43"/>
        <v>16500</v>
      </c>
      <c r="O100" s="16">
        <f t="shared" si="43"/>
        <v>16500</v>
      </c>
      <c r="P100" s="16">
        <f t="shared" si="43"/>
        <v>0</v>
      </c>
      <c r="Q100" s="16">
        <f t="shared" si="43"/>
        <v>0</v>
      </c>
      <c r="R100" s="16">
        <f t="shared" si="43"/>
        <v>15475.59</v>
      </c>
      <c r="S100" s="16">
        <f t="shared" si="43"/>
        <v>15325.59</v>
      </c>
      <c r="T100" s="16">
        <f t="shared" si="43"/>
        <v>15278.09</v>
      </c>
    </row>
    <row r="101" ht="15.75" customHeight="1">
      <c r="A101" s="10" t="s">
        <v>395</v>
      </c>
      <c r="B101" s="10" t="s">
        <v>257</v>
      </c>
      <c r="C101" s="16">
        <f t="shared" ref="C101:C105" si="44">SUM(D101:P101)</f>
        <v>3905</v>
      </c>
      <c r="D101" s="16">
        <f>SUMIFS('Business - Dump'!$G:$G,'Business - Dump'!$B:$B,'Series wise Report'!$A101,'Business - Dump'!$A:$A,'Series wise Report'!D$1)</f>
        <v>0</v>
      </c>
      <c r="E101" s="16">
        <f>SUMIFS('Business - Dump'!$G:$G,'Business - Dump'!$B:$B,'Series wise Report'!$A101,'Business - Dump'!$A:$A,'Series wise Report'!E$1)</f>
        <v>0</v>
      </c>
      <c r="F101" s="16">
        <f>SUMIFS('Business - Dump'!$G:$G,'Business - Dump'!$B:$B,'Series wise Report'!$A101,'Business - Dump'!$A:$A,'Series wise Report'!F$1)</f>
        <v>1038</v>
      </c>
      <c r="G101" s="16">
        <f>SUMIFS('Business - Dump'!$G:$G,'Business - Dump'!$B:$B,'Series wise Report'!$A101,'Business - Dump'!$A:$A,'Series wise Report'!G$1)</f>
        <v>1588</v>
      </c>
      <c r="H101" s="16">
        <f>SUMIFS('Business - Dump'!$G:$G,'Business - Dump'!$B:$B,'Series wise Report'!$A101,'Business - Dump'!$A:$A,'Series wise Report'!H$1)</f>
        <v>863</v>
      </c>
      <c r="I101" s="16">
        <f>SUMIFS('Business - Dump'!$G:$G,'Business - Dump'!$B:$B,'Series wise Report'!$A101,'Business - Dump'!$A:$A,'Series wise Report'!I$1)</f>
        <v>0</v>
      </c>
      <c r="J101" s="16">
        <f>SUMIFS('Business - Dump'!$G:$G,'Business - Dump'!$B:$B,'Series wise Report'!$A101,'Business - Dump'!$A:$A,'Series wise Report'!J$1)</f>
        <v>0</v>
      </c>
      <c r="K101" s="16">
        <f>SUMIFS('Business - Dump'!$G:$G,'Business - Dump'!$B:$B,'Series wise Report'!$A101,'Business - Dump'!$A:$A,'Series wise Report'!K$1)</f>
        <v>0</v>
      </c>
      <c r="L101" s="16">
        <f>SUMIFS('Business - Dump'!$G:$G,'Business - Dump'!$B:$B,'Series wise Report'!$A101,'Business - Dump'!$A:$A,'Series wise Report'!L$1)</f>
        <v>416</v>
      </c>
      <c r="M101" s="16">
        <f>SUMIFS('Business - Dump'!$G:$G,'Business - Dump'!$B:$B,'Series wise Report'!$A101,'Business - Dump'!$A:$A,'Series wise Report'!M$1)</f>
        <v>0</v>
      </c>
      <c r="N101" s="16">
        <f>SUMIFS('Business - Dump'!$G:$G,'Business - Dump'!$B:$B,'Series wise Report'!$A101,'Business - Dump'!$A:$A,'Series wise Report'!N$1)</f>
        <v>0</v>
      </c>
      <c r="O101" s="16">
        <f>SUMIFS('Business - Dump'!$G:$G,'Business - Dump'!$B:$B,'Series wise Report'!$A101,'Business - Dump'!$A:$A,'Series wise Report'!O$1)</f>
        <v>0</v>
      </c>
      <c r="P101" s="16">
        <f>SUMIFS('Business - Dump'!$G:$G,'Business - Dump'!$B:$B,'Series wise Report'!$A101,'Business - Dump'!$A:$A,'Series wise Report'!P$1)</f>
        <v>0</v>
      </c>
      <c r="Q101" s="16">
        <f>SUMIFS('Business - Dump'!$G:$G,'Business - Dump'!$B:$B,'Series wise Report'!$A101,'Business - Dump'!$A:$A,'Series wise Report'!Q$1)</f>
        <v>0</v>
      </c>
      <c r="R101" s="16">
        <f>SUMIFS('Business - Dump'!$G:$G,'Business - Dump'!$B:$B,'Series wise Report'!$A101,'Business - Dump'!$A:$A,'Series wise Report'!R$1)</f>
        <v>0</v>
      </c>
      <c r="S101" s="16">
        <f>SUMIFS('Business - Dump'!$G:$G,'Business - Dump'!$B:$B,'Series wise Report'!$A101,'Business - Dump'!$A:$A,'Series wise Report'!S$1)</f>
        <v>138</v>
      </c>
      <c r="T101" s="16">
        <f>SUMIFS('Business - Dump'!$G:$G,'Business - Dump'!$B:$B,'Series wise Report'!$A101,'Business - Dump'!$A:$A,'Series wise Report'!T$1)</f>
        <v>275</v>
      </c>
    </row>
    <row r="102" ht="15.75" customHeight="1">
      <c r="A102" s="10" t="s">
        <v>395</v>
      </c>
      <c r="B102" s="10" t="s">
        <v>260</v>
      </c>
      <c r="C102" s="16">
        <f t="shared" si="44"/>
        <v>5505</v>
      </c>
      <c r="D102" s="16">
        <f>SUMIFS('Business - Dump'!$K:$K,'Business - Dump'!$B:$B,'Series wise Report'!$A102,'Business - Dump'!$A:$A,'Series wise Report'!D$1)</f>
        <v>0</v>
      </c>
      <c r="E102" s="16">
        <f>SUMIFS('Business - Dump'!$K:$K,'Business - Dump'!$B:$B,'Series wise Report'!$A102,'Business - Dump'!$A:$A,'Series wise Report'!E$1)</f>
        <v>0</v>
      </c>
      <c r="F102" s="16">
        <f>SUMIFS('Business - Dump'!$K:$K,'Business - Dump'!$B:$B,'Series wise Report'!$A102,'Business - Dump'!$A:$A,'Series wise Report'!F$1)</f>
        <v>1463</v>
      </c>
      <c r="G102" s="16">
        <f>SUMIFS('Business - Dump'!$K:$K,'Business - Dump'!$B:$B,'Series wise Report'!$A102,'Business - Dump'!$A:$A,'Series wise Report'!G$1)</f>
        <v>2291</v>
      </c>
      <c r="H102" s="16">
        <f>SUMIFS('Business - Dump'!$K:$K,'Business - Dump'!$B:$B,'Series wise Report'!$A102,'Business - Dump'!$A:$A,'Series wise Report'!H$1)</f>
        <v>1194</v>
      </c>
      <c r="I102" s="16">
        <f>SUMIFS('Business - Dump'!$K:$K,'Business - Dump'!$B:$B,'Series wise Report'!$A102,'Business - Dump'!$A:$A,'Series wise Report'!I$1)</f>
        <v>0</v>
      </c>
      <c r="J102" s="16">
        <f>SUMIFS('Business - Dump'!$K:$K,'Business - Dump'!$B:$B,'Series wise Report'!$A102,'Business - Dump'!$A:$A,'Series wise Report'!J$1)</f>
        <v>0</v>
      </c>
      <c r="K102" s="16">
        <f>SUMIFS('Business - Dump'!$K:$K,'Business - Dump'!$B:$B,'Series wise Report'!$A102,'Business - Dump'!$A:$A,'Series wise Report'!K$1)</f>
        <v>0</v>
      </c>
      <c r="L102" s="16">
        <f>SUMIFS('Business - Dump'!$K:$K,'Business - Dump'!$B:$B,'Series wise Report'!$A102,'Business - Dump'!$A:$A,'Series wise Report'!L$1)</f>
        <v>557</v>
      </c>
      <c r="M102" s="16">
        <f>SUMIFS('Business - Dump'!$K:$K,'Business - Dump'!$B:$B,'Series wise Report'!$A102,'Business - Dump'!$A:$A,'Series wise Report'!M$1)</f>
        <v>0</v>
      </c>
      <c r="N102" s="16">
        <f>SUMIFS('Business - Dump'!$K:$K,'Business - Dump'!$B:$B,'Series wise Report'!$A102,'Business - Dump'!$A:$A,'Series wise Report'!N$1)</f>
        <v>0</v>
      </c>
      <c r="O102" s="16">
        <f>SUMIFS('Business - Dump'!$K:$K,'Business - Dump'!$B:$B,'Series wise Report'!$A102,'Business - Dump'!$A:$A,'Series wise Report'!O$1)</f>
        <v>0</v>
      </c>
      <c r="P102" s="16">
        <f>SUMIFS('Business - Dump'!$K:$K,'Business - Dump'!$B:$B,'Series wise Report'!$A102,'Business - Dump'!$A:$A,'Series wise Report'!P$1)</f>
        <v>0</v>
      </c>
      <c r="Q102" s="16">
        <f>SUMIFS('Business - Dump'!$K:$K,'Business - Dump'!$B:$B,'Series wise Report'!$A102,'Business - Dump'!$A:$A,'Series wise Report'!Q$1)</f>
        <v>0</v>
      </c>
      <c r="R102" s="16">
        <f>SUMIFS('Business - Dump'!$K:$K,'Business - Dump'!$B:$B,'Series wise Report'!$A102,'Business - Dump'!$A:$A,'Series wise Report'!R$1)</f>
        <v>0</v>
      </c>
      <c r="S102" s="16">
        <f>SUMIFS('Business - Dump'!$K:$K,'Business - Dump'!$B:$B,'Series wise Report'!$A102,'Business - Dump'!$A:$A,'Series wise Report'!S$1)</f>
        <v>168</v>
      </c>
      <c r="T102" s="16">
        <f>SUMIFS('Business - Dump'!$K:$K,'Business - Dump'!$B:$B,'Series wise Report'!$A102,'Business - Dump'!$A:$A,'Series wise Report'!T$1)</f>
        <v>358</v>
      </c>
    </row>
    <row r="103" ht="15.75" customHeight="1">
      <c r="A103" s="138" t="s">
        <v>395</v>
      </c>
      <c r="B103" s="138" t="s">
        <v>264</v>
      </c>
      <c r="C103" s="3">
        <f t="shared" si="44"/>
        <v>11</v>
      </c>
      <c r="D103" s="3">
        <f>SUMIFS('Business - Dump'!$Q:$Q,'Business - Dump'!$B:$B,'Series wise Report'!$A103,'Business - Dump'!$A:$A,'Series wise Report'!D$1)</f>
        <v>0</v>
      </c>
      <c r="E103" s="3">
        <f>SUMIFS('Business - Dump'!$Q:$Q,'Business - Dump'!$B:$B,'Series wise Report'!$A103,'Business - Dump'!$A:$A,'Series wise Report'!E$1)</f>
        <v>0</v>
      </c>
      <c r="F103" s="3">
        <f>SUMIFS('Business - Dump'!$Q:$Q,'Business - Dump'!$B:$B,'Series wise Report'!$A103,'Business - Dump'!$A:$A,'Series wise Report'!F$1)</f>
        <v>2</v>
      </c>
      <c r="G103" s="3">
        <f>SUMIFS('Business - Dump'!$Q:$Q,'Business - Dump'!$B:$B,'Series wise Report'!$A103,'Business - Dump'!$A:$A,'Series wise Report'!G$1)</f>
        <v>4</v>
      </c>
      <c r="H103" s="3">
        <f>SUMIFS('Business - Dump'!$Q:$Q,'Business - Dump'!$B:$B,'Series wise Report'!$A103,'Business - Dump'!$A:$A,'Series wise Report'!H$1)</f>
        <v>4</v>
      </c>
      <c r="I103" s="3">
        <f>SUMIFS('Business - Dump'!$Q:$Q,'Business - Dump'!$B:$B,'Series wise Report'!$A103,'Business - Dump'!$A:$A,'Series wise Report'!I$1)</f>
        <v>0</v>
      </c>
      <c r="J103" s="3">
        <f>SUMIFS('Business - Dump'!$Q:$Q,'Business - Dump'!$B:$B,'Series wise Report'!$A103,'Business - Dump'!$A:$A,'Series wise Report'!J$1)</f>
        <v>0</v>
      </c>
      <c r="K103" s="3">
        <f>SUMIFS('Business - Dump'!$Q:$Q,'Business - Dump'!$B:$B,'Series wise Report'!$A103,'Business - Dump'!$A:$A,'Series wise Report'!K$1)</f>
        <v>0</v>
      </c>
      <c r="L103" s="3">
        <f>SUMIFS('Business - Dump'!$Q:$Q,'Business - Dump'!$B:$B,'Series wise Report'!$A103,'Business - Dump'!$A:$A,'Series wise Report'!L$1)</f>
        <v>1</v>
      </c>
      <c r="M103" s="3">
        <f>SUMIFS('Business - Dump'!$Q:$Q,'Business - Dump'!$B:$B,'Series wise Report'!$A103,'Business - Dump'!$A:$A,'Series wise Report'!M$1)</f>
        <v>0</v>
      </c>
      <c r="N103" s="3">
        <f>SUMIFS('Business - Dump'!$Q:$Q,'Business - Dump'!$B:$B,'Series wise Report'!$A103,'Business - Dump'!$A:$A,'Series wise Report'!N$1)</f>
        <v>0</v>
      </c>
      <c r="O103" s="3">
        <f>SUMIFS('Business - Dump'!$Q:$Q,'Business - Dump'!$B:$B,'Series wise Report'!$A103,'Business - Dump'!$A:$A,'Series wise Report'!O$1)</f>
        <v>0</v>
      </c>
      <c r="P103" s="3">
        <f>SUMIFS('Business - Dump'!$Q:$Q,'Business - Dump'!$B:$B,'Series wise Report'!$A103,'Business - Dump'!$A:$A,'Series wise Report'!P$1)</f>
        <v>0</v>
      </c>
      <c r="Q103" s="3">
        <f>SUMIFS('Business - Dump'!$Q:$Q,'Business - Dump'!$B:$B,'Series wise Report'!$A103,'Business - Dump'!$A:$A,'Series wise Report'!Q$1)</f>
        <v>0</v>
      </c>
      <c r="R103" s="3">
        <f>SUMIFS('Business - Dump'!$Q:$Q,'Business - Dump'!$B:$B,'Series wise Report'!$A103,'Business - Dump'!$A:$A,'Series wise Report'!R$1)</f>
        <v>0</v>
      </c>
      <c r="S103" s="3">
        <f>SUMIFS('Business - Dump'!$Q:$Q,'Business - Dump'!$B:$B,'Series wise Report'!$A103,'Business - Dump'!$A:$A,'Series wise Report'!S$1)</f>
        <v>2</v>
      </c>
      <c r="T103" s="3">
        <f>SUMIFS('Business - Dump'!$Q:$Q,'Business - Dump'!$B:$B,'Series wise Report'!$A103,'Business - Dump'!$A:$A,'Series wise Report'!T$1)</f>
        <v>0</v>
      </c>
    </row>
    <row r="104" ht="15.75" customHeight="1">
      <c r="A104" s="137" t="s">
        <v>395</v>
      </c>
      <c r="B104" s="137" t="s">
        <v>268</v>
      </c>
      <c r="C104" s="141">
        <f t="shared" si="44"/>
        <v>10</v>
      </c>
      <c r="D104" s="141">
        <f>SUMIFS('Business - Dump'!$W:$W,'Business - Dump'!$B:$B,'Series wise Report'!$A104,'Business - Dump'!$A:$A,'Series wise Report'!D$1)</f>
        <v>0</v>
      </c>
      <c r="E104" s="141">
        <f>SUMIFS('Business - Dump'!$W:$W,'Business - Dump'!$B:$B,'Series wise Report'!$A104,'Business - Dump'!$A:$A,'Series wise Report'!E$1)</f>
        <v>0</v>
      </c>
      <c r="F104" s="141">
        <f>SUMIFS('Business - Dump'!$W:$W,'Business - Dump'!$B:$B,'Series wise Report'!$A104,'Business - Dump'!$A:$A,'Series wise Report'!F$1)</f>
        <v>2</v>
      </c>
      <c r="G104" s="141">
        <f>SUMIFS('Business - Dump'!$W:$W,'Business - Dump'!$B:$B,'Series wise Report'!$A104,'Business - Dump'!$A:$A,'Series wise Report'!G$1)</f>
        <v>4</v>
      </c>
      <c r="H104" s="141">
        <f>SUMIFS('Business - Dump'!$W:$W,'Business - Dump'!$B:$B,'Series wise Report'!$A104,'Business - Dump'!$A:$A,'Series wise Report'!H$1)</f>
        <v>3</v>
      </c>
      <c r="I104" s="141">
        <f>SUMIFS('Business - Dump'!$W:$W,'Business - Dump'!$B:$B,'Series wise Report'!$A104,'Business - Dump'!$A:$A,'Series wise Report'!I$1)</f>
        <v>0</v>
      </c>
      <c r="J104" s="141">
        <f>SUMIFS('Business - Dump'!$W:$W,'Business - Dump'!$B:$B,'Series wise Report'!$A104,'Business - Dump'!$A:$A,'Series wise Report'!J$1)</f>
        <v>0</v>
      </c>
      <c r="K104" s="141">
        <f>SUMIFS('Business - Dump'!$W:$W,'Business - Dump'!$B:$B,'Series wise Report'!$A104,'Business - Dump'!$A:$A,'Series wise Report'!K$1)</f>
        <v>0</v>
      </c>
      <c r="L104" s="141">
        <f>SUMIFS('Business - Dump'!$W:$W,'Business - Dump'!$B:$B,'Series wise Report'!$A104,'Business - Dump'!$A:$A,'Series wise Report'!L$1)</f>
        <v>1</v>
      </c>
      <c r="M104" s="141">
        <f>SUMIFS('Business - Dump'!$W:$W,'Business - Dump'!$B:$B,'Series wise Report'!$A104,'Business - Dump'!$A:$A,'Series wise Report'!M$1)</f>
        <v>0</v>
      </c>
      <c r="N104" s="141">
        <f>SUMIFS('Business - Dump'!$W:$W,'Business - Dump'!$B:$B,'Series wise Report'!$A104,'Business - Dump'!$A:$A,'Series wise Report'!N$1)</f>
        <v>0</v>
      </c>
      <c r="O104" s="141">
        <f>SUMIFS('Business - Dump'!$W:$W,'Business - Dump'!$B:$B,'Series wise Report'!$A104,'Business - Dump'!$A:$A,'Series wise Report'!O$1)</f>
        <v>0</v>
      </c>
      <c r="P104" s="141">
        <f>SUMIFS('Business - Dump'!$W:$W,'Business - Dump'!$B:$B,'Series wise Report'!$A104,'Business - Dump'!$A:$A,'Series wise Report'!P$1)</f>
        <v>0</v>
      </c>
      <c r="Q104" s="141">
        <f>SUMIFS('Business - Dump'!$W:$W,'Business - Dump'!$B:$B,'Series wise Report'!$A104,'Business - Dump'!$A:$A,'Series wise Report'!Q$1)</f>
        <v>0</v>
      </c>
      <c r="R104" s="141">
        <f>SUMIFS('Business - Dump'!$W:$W,'Business - Dump'!$B:$B,'Series wise Report'!$A104,'Business - Dump'!$A:$A,'Series wise Report'!R$1)</f>
        <v>0</v>
      </c>
      <c r="S104" s="141">
        <f>SUMIFS('Business - Dump'!$W:$W,'Business - Dump'!$B:$B,'Series wise Report'!$A104,'Business - Dump'!$A:$A,'Series wise Report'!S$1)</f>
        <v>2</v>
      </c>
      <c r="T104" s="141">
        <f>SUMIFS('Business - Dump'!$W:$W,'Business - Dump'!$B:$B,'Series wise Report'!$A104,'Business - Dump'!$A:$A,'Series wise Report'!T$1)</f>
        <v>0</v>
      </c>
    </row>
    <row r="105" ht="15.75" customHeight="1">
      <c r="A105" s="10" t="s">
        <v>395</v>
      </c>
      <c r="B105" s="10" t="s">
        <v>26</v>
      </c>
      <c r="C105" s="15">
        <f t="shared" si="44"/>
        <v>181510</v>
      </c>
      <c r="D105" s="15">
        <f>SUMIFS('Business - Dump'!$U:$U,'Business - Dump'!$B:$B,'Series wise Report'!$A105,'Business - Dump'!$A:$A,'Series wise Report'!D$1)</f>
        <v>0</v>
      </c>
      <c r="E105" s="15">
        <f>SUMIFS('Business - Dump'!$U:$U,'Business - Dump'!$B:$B,'Series wise Report'!$A105,'Business - Dump'!$A:$A,'Series wise Report'!E$1)</f>
        <v>0</v>
      </c>
      <c r="F105" s="15">
        <f>SUMIFS('Business - Dump'!$U:$U,'Business - Dump'!$B:$B,'Series wise Report'!$A105,'Business - Dump'!$A:$A,'Series wise Report'!F$1)</f>
        <v>33000</v>
      </c>
      <c r="G105" s="15">
        <f>SUMIFS('Business - Dump'!$U:$U,'Business - Dump'!$B:$B,'Series wise Report'!$A105,'Business - Dump'!$A:$A,'Series wise Report'!G$1)</f>
        <v>66000</v>
      </c>
      <c r="H105" s="15">
        <f>SUMIFS('Business - Dump'!$U:$U,'Business - Dump'!$B:$B,'Series wise Report'!$A105,'Business - Dump'!$A:$A,'Series wise Report'!H$1)</f>
        <v>65010</v>
      </c>
      <c r="I105" s="15">
        <f>SUMIFS('Business - Dump'!$U:$U,'Business - Dump'!$B:$B,'Series wise Report'!$A105,'Business - Dump'!$A:$A,'Series wise Report'!I$1)</f>
        <v>0</v>
      </c>
      <c r="J105" s="15">
        <f>SUMIFS('Business - Dump'!$U:$U,'Business - Dump'!$B:$B,'Series wise Report'!$A105,'Business - Dump'!$A:$A,'Series wise Report'!J$1)</f>
        <v>0</v>
      </c>
      <c r="K105" s="15">
        <f>SUMIFS('Business - Dump'!$U:$U,'Business - Dump'!$B:$B,'Series wise Report'!$A105,'Business - Dump'!$A:$A,'Series wise Report'!K$1)</f>
        <v>0</v>
      </c>
      <c r="L105" s="15">
        <f>SUMIFS('Business - Dump'!$U:$U,'Business - Dump'!$B:$B,'Series wise Report'!$A105,'Business - Dump'!$A:$A,'Series wise Report'!L$1)</f>
        <v>17500</v>
      </c>
      <c r="M105" s="15">
        <f>SUMIFS('Business - Dump'!$U:$U,'Business - Dump'!$B:$B,'Series wise Report'!$A105,'Business - Dump'!$A:$A,'Series wise Report'!M$1)</f>
        <v>0</v>
      </c>
      <c r="N105" s="15">
        <f>SUMIFS('Business - Dump'!$U:$U,'Business - Dump'!$B:$B,'Series wise Report'!$A105,'Business - Dump'!$A:$A,'Series wise Report'!N$1)</f>
        <v>0</v>
      </c>
      <c r="O105" s="15">
        <f>SUMIFS('Business - Dump'!$U:$U,'Business - Dump'!$B:$B,'Series wise Report'!$A105,'Business - Dump'!$A:$A,'Series wise Report'!O$1)</f>
        <v>0</v>
      </c>
      <c r="P105" s="15">
        <f>SUMIFS('Business - Dump'!$U:$U,'Business - Dump'!$B:$B,'Series wise Report'!$A105,'Business - Dump'!$A:$A,'Series wise Report'!P$1)</f>
        <v>0</v>
      </c>
      <c r="Q105" s="15">
        <f>SUMIFS('Business - Dump'!$U:$U,'Business - Dump'!$B:$B,'Series wise Report'!$A105,'Business - Dump'!$A:$A,'Series wise Report'!Q$1)</f>
        <v>0</v>
      </c>
      <c r="R105" s="15">
        <f>SUMIFS('Business - Dump'!$U:$U,'Business - Dump'!$B:$B,'Series wise Report'!$A105,'Business - Dump'!$A:$A,'Series wise Report'!R$1)</f>
        <v>0</v>
      </c>
      <c r="S105" s="15">
        <f>SUMIFS('Business - Dump'!$U:$U,'Business - Dump'!$B:$B,'Series wise Report'!$A105,'Business - Dump'!$A:$A,'Series wise Report'!S$1)</f>
        <v>35805</v>
      </c>
      <c r="T105" s="15">
        <f>SUMIFS('Business - Dump'!$U:$U,'Business - Dump'!$B:$B,'Series wise Report'!$A105,'Business - Dump'!$A:$A,'Series wise Report'!T$1)</f>
        <v>0</v>
      </c>
    </row>
    <row r="106" ht="15.75" customHeight="1">
      <c r="A106" s="10" t="s">
        <v>395</v>
      </c>
      <c r="B106" s="10" t="s">
        <v>29</v>
      </c>
      <c r="C106" s="17">
        <f t="shared" ref="C106:T106" si="45">IFERROR(C104/C101,0)</f>
        <v>0.002560819462</v>
      </c>
      <c r="D106" s="17">
        <f t="shared" si="45"/>
        <v>0</v>
      </c>
      <c r="E106" s="17">
        <f t="shared" si="45"/>
        <v>0</v>
      </c>
      <c r="F106" s="17">
        <f t="shared" si="45"/>
        <v>0.001926782274</v>
      </c>
      <c r="G106" s="17">
        <f t="shared" si="45"/>
        <v>0.002518891688</v>
      </c>
      <c r="H106" s="17">
        <f t="shared" si="45"/>
        <v>0.003476245655</v>
      </c>
      <c r="I106" s="17">
        <f t="shared" si="45"/>
        <v>0</v>
      </c>
      <c r="J106" s="17">
        <f t="shared" si="45"/>
        <v>0</v>
      </c>
      <c r="K106" s="17">
        <f t="shared" si="45"/>
        <v>0</v>
      </c>
      <c r="L106" s="17">
        <f t="shared" si="45"/>
        <v>0.002403846154</v>
      </c>
      <c r="M106" s="17">
        <f t="shared" si="45"/>
        <v>0</v>
      </c>
      <c r="N106" s="17">
        <f t="shared" si="45"/>
        <v>0</v>
      </c>
      <c r="O106" s="17">
        <f t="shared" si="45"/>
        <v>0</v>
      </c>
      <c r="P106" s="17">
        <f t="shared" si="45"/>
        <v>0</v>
      </c>
      <c r="Q106" s="17">
        <f t="shared" si="45"/>
        <v>0</v>
      </c>
      <c r="R106" s="17">
        <f t="shared" si="45"/>
        <v>0</v>
      </c>
      <c r="S106" s="17">
        <f t="shared" si="45"/>
        <v>0.01449275362</v>
      </c>
      <c r="T106" s="17">
        <f t="shared" si="45"/>
        <v>0</v>
      </c>
    </row>
    <row r="107" ht="15.75" customHeight="1">
      <c r="A107" s="10" t="s">
        <v>395</v>
      </c>
      <c r="B107" s="10" t="s">
        <v>282</v>
      </c>
      <c r="C107" s="16">
        <f t="shared" ref="C107:T107" si="46">IFERROR(C105/C104,0)</f>
        <v>18151</v>
      </c>
      <c r="D107" s="16">
        <f t="shared" si="46"/>
        <v>0</v>
      </c>
      <c r="E107" s="16">
        <f t="shared" si="46"/>
        <v>0</v>
      </c>
      <c r="F107" s="16">
        <f t="shared" si="46"/>
        <v>16500</v>
      </c>
      <c r="G107" s="16">
        <f t="shared" si="46"/>
        <v>16500</v>
      </c>
      <c r="H107" s="16">
        <f t="shared" si="46"/>
        <v>21670</v>
      </c>
      <c r="I107" s="16">
        <f t="shared" si="46"/>
        <v>0</v>
      </c>
      <c r="J107" s="16">
        <f t="shared" si="46"/>
        <v>0</v>
      </c>
      <c r="K107" s="16">
        <f t="shared" si="46"/>
        <v>0</v>
      </c>
      <c r="L107" s="16">
        <f t="shared" si="46"/>
        <v>17500</v>
      </c>
      <c r="M107" s="16">
        <f t="shared" si="46"/>
        <v>0</v>
      </c>
      <c r="N107" s="16">
        <f t="shared" si="46"/>
        <v>0</v>
      </c>
      <c r="O107" s="16">
        <f t="shared" si="46"/>
        <v>0</v>
      </c>
      <c r="P107" s="16">
        <f t="shared" si="46"/>
        <v>0</v>
      </c>
      <c r="Q107" s="16">
        <f t="shared" si="46"/>
        <v>0</v>
      </c>
      <c r="R107" s="16">
        <f t="shared" si="46"/>
        <v>0</v>
      </c>
      <c r="S107" s="16">
        <f t="shared" si="46"/>
        <v>17902.5</v>
      </c>
      <c r="T107" s="16">
        <f t="shared" si="46"/>
        <v>0</v>
      </c>
    </row>
    <row r="108" ht="15.75" customHeight="1">
      <c r="A108" s="10" t="s">
        <v>232</v>
      </c>
      <c r="B108" s="10" t="s">
        <v>257</v>
      </c>
      <c r="C108" s="16">
        <f t="shared" ref="C108:C112" si="47">SUM(D108:P108)</f>
        <v>51101</v>
      </c>
      <c r="D108" s="16">
        <f>SUMIFS('Business - Dump'!$G:$G,'Business - Dump'!$B:$B,'Series wise Report'!$A108,'Business - Dump'!$A:$A,'Series wise Report'!D$1)</f>
        <v>5776</v>
      </c>
      <c r="E108" s="16">
        <f>SUMIFS('Business - Dump'!$G:$G,'Business - Dump'!$B:$B,'Series wise Report'!$A108,'Business - Dump'!$A:$A,'Series wise Report'!E$1)</f>
        <v>7682</v>
      </c>
      <c r="F108" s="16">
        <f>SUMIFS('Business - Dump'!$G:$G,'Business - Dump'!$B:$B,'Series wise Report'!$A108,'Business - Dump'!$A:$A,'Series wise Report'!F$1)</f>
        <v>2368</v>
      </c>
      <c r="G108" s="16">
        <f>SUMIFS('Business - Dump'!$G:$G,'Business - Dump'!$B:$B,'Series wise Report'!$A108,'Business - Dump'!$A:$A,'Series wise Report'!G$1)</f>
        <v>0</v>
      </c>
      <c r="H108" s="16">
        <f>SUMIFS('Business - Dump'!$G:$G,'Business - Dump'!$B:$B,'Series wise Report'!$A108,'Business - Dump'!$A:$A,'Series wise Report'!H$1)</f>
        <v>0</v>
      </c>
      <c r="I108" s="16">
        <f>SUMIFS('Business - Dump'!$G:$G,'Business - Dump'!$B:$B,'Series wise Report'!$A108,'Business - Dump'!$A:$A,'Series wise Report'!I$1)</f>
        <v>0</v>
      </c>
      <c r="J108" s="16">
        <f>SUMIFS('Business - Dump'!$G:$G,'Business - Dump'!$B:$B,'Series wise Report'!$A108,'Business - Dump'!$A:$A,'Series wise Report'!J$1)</f>
        <v>2703</v>
      </c>
      <c r="K108" s="16">
        <f>SUMIFS('Business - Dump'!$G:$G,'Business - Dump'!$B:$B,'Series wise Report'!$A108,'Business - Dump'!$A:$A,'Series wise Report'!K$1)</f>
        <v>5843</v>
      </c>
      <c r="L108" s="16">
        <f>SUMIFS('Business - Dump'!$G:$G,'Business - Dump'!$B:$B,'Series wise Report'!$A108,'Business - Dump'!$A:$A,'Series wise Report'!L$1)</f>
        <v>6229</v>
      </c>
      <c r="M108" s="16">
        <f>SUMIFS('Business - Dump'!$G:$G,'Business - Dump'!$B:$B,'Series wise Report'!$A108,'Business - Dump'!$A:$A,'Series wise Report'!M$1)</f>
        <v>4453</v>
      </c>
      <c r="N108" s="16">
        <f>SUMIFS('Business - Dump'!$G:$G,'Business - Dump'!$B:$B,'Series wise Report'!$A108,'Business - Dump'!$A:$A,'Series wise Report'!N$1)</f>
        <v>5731</v>
      </c>
      <c r="O108" s="16">
        <f>SUMIFS('Business - Dump'!$G:$G,'Business - Dump'!$B:$B,'Series wise Report'!$A108,'Business - Dump'!$A:$A,'Series wise Report'!O$1)</f>
        <v>6313</v>
      </c>
      <c r="P108" s="16">
        <f>SUMIFS('Business - Dump'!$G:$G,'Business - Dump'!$B:$B,'Series wise Report'!$A108,'Business - Dump'!$A:$A,'Series wise Report'!P$1)</f>
        <v>4003</v>
      </c>
      <c r="Q108" s="16">
        <f>SUMIFS('Business - Dump'!$G:$G,'Business - Dump'!$B:$B,'Series wise Report'!$A108,'Business - Dump'!$A:$A,'Series wise Report'!Q$1)</f>
        <v>1344</v>
      </c>
      <c r="R108" s="16">
        <f>SUMIFS('Business - Dump'!$G:$G,'Business - Dump'!$B:$B,'Series wise Report'!$A108,'Business - Dump'!$A:$A,'Series wise Report'!R$1)</f>
        <v>810</v>
      </c>
      <c r="S108" s="16">
        <f>SUMIFS('Business - Dump'!$G:$G,'Business - Dump'!$B:$B,'Series wise Report'!$A108,'Business - Dump'!$A:$A,'Series wise Report'!S$1)</f>
        <v>558</v>
      </c>
      <c r="T108" s="16">
        <f>SUMIFS('Business - Dump'!$G:$G,'Business - Dump'!$B:$B,'Series wise Report'!$A108,'Business - Dump'!$A:$A,'Series wise Report'!T$1)</f>
        <v>745</v>
      </c>
    </row>
    <row r="109" ht="15.75" customHeight="1">
      <c r="A109" s="10" t="s">
        <v>232</v>
      </c>
      <c r="B109" s="10" t="s">
        <v>260</v>
      </c>
      <c r="C109" s="16">
        <f t="shared" si="47"/>
        <v>70366</v>
      </c>
      <c r="D109" s="16">
        <f>SUMIFS('Business - Dump'!$K:$K,'Business - Dump'!$B:$B,'Series wise Report'!$A109,'Business - Dump'!$A:$A,'Series wise Report'!D$1)</f>
        <v>7444</v>
      </c>
      <c r="E109" s="16">
        <f>SUMIFS('Business - Dump'!$K:$K,'Business - Dump'!$B:$B,'Series wise Report'!$A109,'Business - Dump'!$A:$A,'Series wise Report'!E$1)</f>
        <v>11740</v>
      </c>
      <c r="F109" s="16">
        <f>SUMIFS('Business - Dump'!$K:$K,'Business - Dump'!$B:$B,'Series wise Report'!$A109,'Business - Dump'!$A:$A,'Series wise Report'!F$1)</f>
        <v>3245</v>
      </c>
      <c r="G109" s="16">
        <f>SUMIFS('Business - Dump'!$K:$K,'Business - Dump'!$B:$B,'Series wise Report'!$A109,'Business - Dump'!$A:$A,'Series wise Report'!G$1)</f>
        <v>0</v>
      </c>
      <c r="H109" s="16">
        <f>SUMIFS('Business - Dump'!$K:$K,'Business - Dump'!$B:$B,'Series wise Report'!$A109,'Business - Dump'!$A:$A,'Series wise Report'!H$1)</f>
        <v>0</v>
      </c>
      <c r="I109" s="16">
        <f>SUMIFS('Business - Dump'!$K:$K,'Business - Dump'!$B:$B,'Series wise Report'!$A109,'Business - Dump'!$A:$A,'Series wise Report'!I$1)</f>
        <v>0</v>
      </c>
      <c r="J109" s="16">
        <f>SUMIFS('Business - Dump'!$K:$K,'Business - Dump'!$B:$B,'Series wise Report'!$A109,'Business - Dump'!$A:$A,'Series wise Report'!J$1)</f>
        <v>3972</v>
      </c>
      <c r="K109" s="16">
        <f>SUMIFS('Business - Dump'!$K:$K,'Business - Dump'!$B:$B,'Series wise Report'!$A109,'Business - Dump'!$A:$A,'Series wise Report'!K$1)</f>
        <v>7611</v>
      </c>
      <c r="L109" s="16">
        <f>SUMIFS('Business - Dump'!$K:$K,'Business - Dump'!$B:$B,'Series wise Report'!$A109,'Business - Dump'!$A:$A,'Series wise Report'!L$1)</f>
        <v>8452</v>
      </c>
      <c r="M109" s="16">
        <f>SUMIFS('Business - Dump'!$K:$K,'Business - Dump'!$B:$B,'Series wise Report'!$A109,'Business - Dump'!$A:$A,'Series wise Report'!M$1)</f>
        <v>5871</v>
      </c>
      <c r="N109" s="16">
        <f>SUMIFS('Business - Dump'!$K:$K,'Business - Dump'!$B:$B,'Series wise Report'!$A109,'Business - Dump'!$A:$A,'Series wise Report'!N$1)</f>
        <v>8108</v>
      </c>
      <c r="O109" s="16">
        <f>SUMIFS('Business - Dump'!$K:$K,'Business - Dump'!$B:$B,'Series wise Report'!$A109,'Business - Dump'!$A:$A,'Series wise Report'!O$1)</f>
        <v>8801</v>
      </c>
      <c r="P109" s="16">
        <f>SUMIFS('Business - Dump'!$K:$K,'Business - Dump'!$B:$B,'Series wise Report'!$A109,'Business - Dump'!$A:$A,'Series wise Report'!P$1)</f>
        <v>5122</v>
      </c>
      <c r="Q109" s="16">
        <f>SUMIFS('Business - Dump'!$K:$K,'Business - Dump'!$B:$B,'Series wise Report'!$A109,'Business - Dump'!$A:$A,'Series wise Report'!Q$1)</f>
        <v>1753</v>
      </c>
      <c r="R109" s="16">
        <f>SUMIFS('Business - Dump'!$K:$K,'Business - Dump'!$B:$B,'Series wise Report'!$A109,'Business - Dump'!$A:$A,'Series wise Report'!R$1)</f>
        <v>1137</v>
      </c>
      <c r="S109" s="16">
        <f>SUMIFS('Business - Dump'!$K:$K,'Business - Dump'!$B:$B,'Series wise Report'!$A109,'Business - Dump'!$A:$A,'Series wise Report'!S$1)</f>
        <v>788</v>
      </c>
      <c r="T109" s="16">
        <f>SUMIFS('Business - Dump'!$K:$K,'Business - Dump'!$B:$B,'Series wise Report'!$A109,'Business - Dump'!$A:$A,'Series wise Report'!T$1)</f>
        <v>962</v>
      </c>
    </row>
    <row r="110" ht="15.75" customHeight="1">
      <c r="A110" s="138" t="s">
        <v>232</v>
      </c>
      <c r="B110" s="138" t="s">
        <v>264</v>
      </c>
      <c r="C110" s="3">
        <f t="shared" si="47"/>
        <v>282</v>
      </c>
      <c r="D110" s="3">
        <f>SUMIFS('Business - Dump'!$Q:$Q,'Business - Dump'!$B:$B,'Series wise Report'!$A110,'Business - Dump'!$A:$A,'Series wise Report'!D$1)</f>
        <v>21</v>
      </c>
      <c r="E110" s="3">
        <f>SUMIFS('Business - Dump'!$Q:$Q,'Business - Dump'!$B:$B,'Series wise Report'!$A110,'Business - Dump'!$A:$A,'Series wise Report'!E$1)</f>
        <v>52</v>
      </c>
      <c r="F110" s="3">
        <f>SUMIFS('Business - Dump'!$Q:$Q,'Business - Dump'!$B:$B,'Series wise Report'!$A110,'Business - Dump'!$A:$A,'Series wise Report'!F$1)</f>
        <v>13</v>
      </c>
      <c r="G110" s="3">
        <f>SUMIFS('Business - Dump'!$Q:$Q,'Business - Dump'!$B:$B,'Series wise Report'!$A110,'Business - Dump'!$A:$A,'Series wise Report'!G$1)</f>
        <v>0</v>
      </c>
      <c r="H110" s="3">
        <f>SUMIFS('Business - Dump'!$Q:$Q,'Business - Dump'!$B:$B,'Series wise Report'!$A110,'Business - Dump'!$A:$A,'Series wise Report'!H$1)</f>
        <v>0</v>
      </c>
      <c r="I110" s="3">
        <f>SUMIFS('Business - Dump'!$Q:$Q,'Business - Dump'!$B:$B,'Series wise Report'!$A110,'Business - Dump'!$A:$A,'Series wise Report'!I$1)</f>
        <v>0</v>
      </c>
      <c r="J110" s="3">
        <f>SUMIFS('Business - Dump'!$Q:$Q,'Business - Dump'!$B:$B,'Series wise Report'!$A110,'Business - Dump'!$A:$A,'Series wise Report'!J$1)</f>
        <v>22</v>
      </c>
      <c r="K110" s="3">
        <f>SUMIFS('Business - Dump'!$Q:$Q,'Business - Dump'!$B:$B,'Series wise Report'!$A110,'Business - Dump'!$A:$A,'Series wise Report'!K$1)</f>
        <v>28</v>
      </c>
      <c r="L110" s="3">
        <f>SUMIFS('Business - Dump'!$Q:$Q,'Business - Dump'!$B:$B,'Series wise Report'!$A110,'Business - Dump'!$A:$A,'Series wise Report'!L$1)</f>
        <v>30</v>
      </c>
      <c r="M110" s="3">
        <f>SUMIFS('Business - Dump'!$Q:$Q,'Business - Dump'!$B:$B,'Series wise Report'!$A110,'Business - Dump'!$A:$A,'Series wise Report'!M$1)</f>
        <v>17</v>
      </c>
      <c r="N110" s="3">
        <f>SUMIFS('Business - Dump'!$Q:$Q,'Business - Dump'!$B:$B,'Series wise Report'!$A110,'Business - Dump'!$A:$A,'Series wise Report'!N$1)</f>
        <v>41</v>
      </c>
      <c r="O110" s="3">
        <f>SUMIFS('Business - Dump'!$Q:$Q,'Business - Dump'!$B:$B,'Series wise Report'!$A110,'Business - Dump'!$A:$A,'Series wise Report'!O$1)</f>
        <v>48</v>
      </c>
      <c r="P110" s="3">
        <f>SUMIFS('Business - Dump'!$Q:$Q,'Business - Dump'!$B:$B,'Series wise Report'!$A110,'Business - Dump'!$A:$A,'Series wise Report'!P$1)</f>
        <v>10</v>
      </c>
      <c r="Q110" s="3">
        <f>SUMIFS('Business - Dump'!$Q:$Q,'Business - Dump'!$B:$B,'Series wise Report'!$A110,'Business - Dump'!$A:$A,'Series wise Report'!Q$1)</f>
        <v>6</v>
      </c>
      <c r="R110" s="3">
        <f>SUMIFS('Business - Dump'!$Q:$Q,'Business - Dump'!$B:$B,'Series wise Report'!$A110,'Business - Dump'!$A:$A,'Series wise Report'!R$1)</f>
        <v>3</v>
      </c>
      <c r="S110" s="24">
        <f>SUMIFS('Business - Dump'!$Q:$Q,'Business - Dump'!$B:$B,'Series wise Report'!$A110,'Business - Dump'!$A:$A,'Series wise Report'!S$1)</f>
        <v>3</v>
      </c>
      <c r="T110" s="24">
        <f>SUMIFS('Business - Dump'!$Q:$Q,'Business - Dump'!$B:$B,'Series wise Report'!$A110,'Business - Dump'!$A:$A,'Series wise Report'!T$1)</f>
        <v>4</v>
      </c>
    </row>
    <row r="111" ht="15.75" customHeight="1">
      <c r="A111" s="137" t="s">
        <v>232</v>
      </c>
      <c r="B111" s="137" t="s">
        <v>268</v>
      </c>
      <c r="C111" s="141">
        <f t="shared" si="47"/>
        <v>282</v>
      </c>
      <c r="D111" s="141">
        <f>SUMIFS('Business - Dump'!$W:$W,'Business - Dump'!$B:$B,'Series wise Report'!$A111,'Business - Dump'!$A:$A,'Series wise Report'!D$1)</f>
        <v>21</v>
      </c>
      <c r="E111" s="141">
        <f>SUMIFS('Business - Dump'!$W:$W,'Business - Dump'!$B:$B,'Series wise Report'!$A111,'Business - Dump'!$A:$A,'Series wise Report'!E$1)</f>
        <v>52</v>
      </c>
      <c r="F111" s="141">
        <f>SUMIFS('Business - Dump'!$W:$W,'Business - Dump'!$B:$B,'Series wise Report'!$A111,'Business - Dump'!$A:$A,'Series wise Report'!F$1)</f>
        <v>13</v>
      </c>
      <c r="G111" s="141">
        <f>SUMIFS('Business - Dump'!$W:$W,'Business - Dump'!$B:$B,'Series wise Report'!$A111,'Business - Dump'!$A:$A,'Series wise Report'!G$1)</f>
        <v>0</v>
      </c>
      <c r="H111" s="141">
        <f>SUMIFS('Business - Dump'!$W:$W,'Business - Dump'!$B:$B,'Series wise Report'!$A111,'Business - Dump'!$A:$A,'Series wise Report'!H$1)</f>
        <v>0</v>
      </c>
      <c r="I111" s="141">
        <f>SUMIFS('Business - Dump'!$W:$W,'Business - Dump'!$B:$B,'Series wise Report'!$A111,'Business - Dump'!$A:$A,'Series wise Report'!I$1)</f>
        <v>0</v>
      </c>
      <c r="J111" s="141">
        <f>SUMIFS('Business - Dump'!$W:$W,'Business - Dump'!$B:$B,'Series wise Report'!$A111,'Business - Dump'!$A:$A,'Series wise Report'!J$1)</f>
        <v>22</v>
      </c>
      <c r="K111" s="141">
        <f>SUMIFS('Business - Dump'!$W:$W,'Business - Dump'!$B:$B,'Series wise Report'!$A111,'Business - Dump'!$A:$A,'Series wise Report'!K$1)</f>
        <v>28</v>
      </c>
      <c r="L111" s="141">
        <f>SUMIFS('Business - Dump'!$W:$W,'Business - Dump'!$B:$B,'Series wise Report'!$A111,'Business - Dump'!$A:$A,'Series wise Report'!L$1)</f>
        <v>30</v>
      </c>
      <c r="M111" s="141">
        <f>SUMIFS('Business - Dump'!$W:$W,'Business - Dump'!$B:$B,'Series wise Report'!$A111,'Business - Dump'!$A:$A,'Series wise Report'!M$1)</f>
        <v>17</v>
      </c>
      <c r="N111" s="141">
        <f>SUMIFS('Business - Dump'!$W:$W,'Business - Dump'!$B:$B,'Series wise Report'!$A111,'Business - Dump'!$A:$A,'Series wise Report'!N$1)</f>
        <v>41</v>
      </c>
      <c r="O111" s="141">
        <f>SUMIFS('Business - Dump'!$W:$W,'Business - Dump'!$B:$B,'Series wise Report'!$A111,'Business - Dump'!$A:$A,'Series wise Report'!O$1)</f>
        <v>48</v>
      </c>
      <c r="P111" s="141">
        <f>SUMIFS('Business - Dump'!$W:$W,'Business - Dump'!$B:$B,'Series wise Report'!$A111,'Business - Dump'!$A:$A,'Series wise Report'!P$1)</f>
        <v>10</v>
      </c>
      <c r="Q111" s="141">
        <f>SUMIFS('Business - Dump'!$W:$W,'Business - Dump'!$B:$B,'Series wise Report'!$A111,'Business - Dump'!$A:$A,'Series wise Report'!Q$1)</f>
        <v>6</v>
      </c>
      <c r="R111" s="141">
        <f>SUMIFS('Business - Dump'!$W:$W,'Business - Dump'!$B:$B,'Series wise Report'!$A111,'Business - Dump'!$A:$A,'Series wise Report'!R$1)</f>
        <v>3</v>
      </c>
      <c r="S111" s="141">
        <f>SUMIFS('Business - Dump'!$W:$W,'Business - Dump'!$B:$B,'Series wise Report'!$A111,'Business - Dump'!$A:$A,'Series wise Report'!S$1)</f>
        <v>3</v>
      </c>
      <c r="T111" s="141">
        <f>SUMIFS('Business - Dump'!$W:$W,'Business - Dump'!$B:$B,'Series wise Report'!$A111,'Business - Dump'!$A:$A,'Series wise Report'!T$1)</f>
        <v>4</v>
      </c>
    </row>
    <row r="112" ht="15.75" customHeight="1">
      <c r="A112" s="10" t="s">
        <v>232</v>
      </c>
      <c r="B112" s="10" t="s">
        <v>26</v>
      </c>
      <c r="C112" s="15">
        <f t="shared" si="47"/>
        <v>4971682.2</v>
      </c>
      <c r="D112" s="15">
        <f>SUMIFS('Business - Dump'!$U:$U,'Business - Dump'!$B:$B,'Series wise Report'!$A112,'Business - Dump'!$A:$A,'Series wise Report'!D$1)</f>
        <v>380082</v>
      </c>
      <c r="E112" s="15">
        <f>SUMIFS('Business - Dump'!$U:$U,'Business - Dump'!$B:$B,'Series wise Report'!$A112,'Business - Dump'!$A:$A,'Series wise Report'!E$1)</f>
        <v>889958</v>
      </c>
      <c r="F112" s="15">
        <f>SUMIFS('Business - Dump'!$U:$U,'Business - Dump'!$B:$B,'Series wise Report'!$A112,'Business - Dump'!$A:$A,'Series wise Report'!F$1)</f>
        <v>234989</v>
      </c>
      <c r="G112" s="15">
        <f>SUMIFS('Business - Dump'!$U:$U,'Business - Dump'!$B:$B,'Series wise Report'!$A112,'Business - Dump'!$A:$A,'Series wise Report'!G$1)</f>
        <v>0</v>
      </c>
      <c r="H112" s="15">
        <f>SUMIFS('Business - Dump'!$U:$U,'Business - Dump'!$B:$B,'Series wise Report'!$A112,'Business - Dump'!$A:$A,'Series wise Report'!H$1)</f>
        <v>0</v>
      </c>
      <c r="I112" s="15">
        <f>SUMIFS('Business - Dump'!$U:$U,'Business - Dump'!$B:$B,'Series wise Report'!$A112,'Business - Dump'!$A:$A,'Series wise Report'!I$1)</f>
        <v>0</v>
      </c>
      <c r="J112" s="15">
        <f>SUMIFS('Business - Dump'!$U:$U,'Business - Dump'!$B:$B,'Series wise Report'!$A112,'Business - Dump'!$A:$A,'Series wise Report'!J$1)</f>
        <v>385969</v>
      </c>
      <c r="K112" s="15">
        <f>SUMIFS('Business - Dump'!$U:$U,'Business - Dump'!$B:$B,'Series wise Report'!$A112,'Business - Dump'!$A:$A,'Series wise Report'!K$1)</f>
        <v>522849.2</v>
      </c>
      <c r="L112" s="15">
        <f>SUMIFS('Business - Dump'!$U:$U,'Business - Dump'!$B:$B,'Series wise Report'!$A112,'Business - Dump'!$A:$A,'Series wise Report'!L$1)</f>
        <v>533954</v>
      </c>
      <c r="M112" s="15">
        <f>SUMIFS('Business - Dump'!$U:$U,'Business - Dump'!$B:$B,'Series wise Report'!$A112,'Business - Dump'!$A:$A,'Series wise Report'!M$1)</f>
        <v>329098.88</v>
      </c>
      <c r="N112" s="15">
        <f>SUMIFS('Business - Dump'!$U:$U,'Business - Dump'!$B:$B,'Series wise Report'!$A112,'Business - Dump'!$A:$A,'Series wise Report'!N$1)</f>
        <v>708220.88</v>
      </c>
      <c r="O112" s="15">
        <f>SUMIFS('Business - Dump'!$U:$U,'Business - Dump'!$B:$B,'Series wise Report'!$A112,'Business - Dump'!$A:$A,'Series wise Report'!O$1)</f>
        <v>799572.6</v>
      </c>
      <c r="P112" s="15">
        <f>SUMIFS('Business - Dump'!$U:$U,'Business - Dump'!$B:$B,'Series wise Report'!$A112,'Business - Dump'!$A:$A,'Series wise Report'!P$1)</f>
        <v>186988.64</v>
      </c>
      <c r="Q112" s="15">
        <f>SUMIFS('Business - Dump'!$U:$U,'Business - Dump'!$B:$B,'Series wise Report'!$A112,'Business - Dump'!$A:$A,'Series wise Report'!Q$1)</f>
        <v>106012.88</v>
      </c>
      <c r="R112" s="15">
        <f>SUMIFS('Business - Dump'!$U:$U,'Business - Dump'!$B:$B,'Series wise Report'!$A112,'Business - Dump'!$A:$A,'Series wise Report'!R$1)</f>
        <v>54392.44</v>
      </c>
      <c r="S112" s="15">
        <f>SUMIFS('Business - Dump'!$U:$U,'Business - Dump'!$B:$B,'Series wise Report'!$A112,'Business - Dump'!$A:$A,'Series wise Report'!S$1)</f>
        <v>58472.88</v>
      </c>
      <c r="T112" s="15">
        <f>SUMIFS('Business - Dump'!$U:$U,'Business - Dump'!$B:$B,'Series wise Report'!$A112,'Business - Dump'!$A:$A,'Series wise Report'!T$1)</f>
        <v>82622.88</v>
      </c>
    </row>
    <row r="113" ht="15.75" customHeight="1">
      <c r="A113" s="10" t="s">
        <v>232</v>
      </c>
      <c r="B113" s="10" t="s">
        <v>29</v>
      </c>
      <c r="C113" s="17">
        <f t="shared" ref="C113:T113" si="48">IFERROR(C111/C108,0)</f>
        <v>0.005518483004</v>
      </c>
      <c r="D113" s="17">
        <f t="shared" si="48"/>
        <v>0.003635734072</v>
      </c>
      <c r="E113" s="17">
        <f t="shared" si="48"/>
        <v>0.006769070555</v>
      </c>
      <c r="F113" s="17">
        <f t="shared" si="48"/>
        <v>0.005489864865</v>
      </c>
      <c r="G113" s="17">
        <f t="shared" si="48"/>
        <v>0</v>
      </c>
      <c r="H113" s="17">
        <f t="shared" si="48"/>
        <v>0</v>
      </c>
      <c r="I113" s="17">
        <f t="shared" si="48"/>
        <v>0</v>
      </c>
      <c r="J113" s="17">
        <f t="shared" si="48"/>
        <v>0.008139104698</v>
      </c>
      <c r="K113" s="17">
        <f t="shared" si="48"/>
        <v>0.004792058874</v>
      </c>
      <c r="L113" s="17">
        <f t="shared" si="48"/>
        <v>0.004816182373</v>
      </c>
      <c r="M113" s="17">
        <f t="shared" si="48"/>
        <v>0.003817651022</v>
      </c>
      <c r="N113" s="17">
        <f t="shared" si="48"/>
        <v>0.007154074333</v>
      </c>
      <c r="O113" s="17">
        <f t="shared" si="48"/>
        <v>0.00760335815</v>
      </c>
      <c r="P113" s="17">
        <f t="shared" si="48"/>
        <v>0.002498126405</v>
      </c>
      <c r="Q113" s="17">
        <f t="shared" si="48"/>
        <v>0.004464285714</v>
      </c>
      <c r="R113" s="17">
        <f t="shared" si="48"/>
        <v>0.003703703704</v>
      </c>
      <c r="S113" s="17">
        <f t="shared" si="48"/>
        <v>0.005376344086</v>
      </c>
      <c r="T113" s="17">
        <f t="shared" si="48"/>
        <v>0.005369127517</v>
      </c>
    </row>
    <row r="114" ht="15.75" customHeight="1">
      <c r="A114" s="10" t="s">
        <v>232</v>
      </c>
      <c r="B114" s="10" t="s">
        <v>282</v>
      </c>
      <c r="C114" s="16">
        <f t="shared" ref="C114:T114" si="49">IFERROR(C112/C111,0)</f>
        <v>17630.07872</v>
      </c>
      <c r="D114" s="16">
        <f t="shared" si="49"/>
        <v>18099.14286</v>
      </c>
      <c r="E114" s="16">
        <f t="shared" si="49"/>
        <v>17114.57692</v>
      </c>
      <c r="F114" s="16">
        <f t="shared" si="49"/>
        <v>18076.07692</v>
      </c>
      <c r="G114" s="16">
        <f t="shared" si="49"/>
        <v>0</v>
      </c>
      <c r="H114" s="16">
        <f t="shared" si="49"/>
        <v>0</v>
      </c>
      <c r="I114" s="16">
        <f t="shared" si="49"/>
        <v>0</v>
      </c>
      <c r="J114" s="16">
        <f t="shared" si="49"/>
        <v>17544.04545</v>
      </c>
      <c r="K114" s="16">
        <f t="shared" si="49"/>
        <v>18673.18571</v>
      </c>
      <c r="L114" s="16">
        <f t="shared" si="49"/>
        <v>17798.46667</v>
      </c>
      <c r="M114" s="16">
        <f t="shared" si="49"/>
        <v>19358.75765</v>
      </c>
      <c r="N114" s="16">
        <f t="shared" si="49"/>
        <v>17273.68</v>
      </c>
      <c r="O114" s="16">
        <f t="shared" si="49"/>
        <v>16657.7625</v>
      </c>
      <c r="P114" s="16">
        <f t="shared" si="49"/>
        <v>18698.864</v>
      </c>
      <c r="Q114" s="16">
        <f t="shared" si="49"/>
        <v>17668.81333</v>
      </c>
      <c r="R114" s="16">
        <f t="shared" si="49"/>
        <v>18130.81333</v>
      </c>
      <c r="S114" s="16">
        <f t="shared" si="49"/>
        <v>19490.96</v>
      </c>
      <c r="T114" s="16">
        <f t="shared" si="49"/>
        <v>20655.72</v>
      </c>
    </row>
    <row r="115" ht="15.75" customHeight="1">
      <c r="A115" s="10" t="s">
        <v>134</v>
      </c>
      <c r="B115" s="10" t="s">
        <v>257</v>
      </c>
      <c r="C115" s="16">
        <f t="shared" ref="C115:C119" si="50">SUM(D115:P115)</f>
        <v>257404</v>
      </c>
      <c r="D115" s="16">
        <f>SUMIFS('Business - Dump'!$G:$G,'Business - Dump'!$B:$B,'Series wise Report'!$A115,'Business - Dump'!$A:$A,'Series wise Report'!D$1)</f>
        <v>7626</v>
      </c>
      <c r="E115" s="16">
        <f>SUMIFS('Business - Dump'!$G:$G,'Business - Dump'!$B:$B,'Series wise Report'!$A115,'Business - Dump'!$A:$A,'Series wise Report'!E$1)</f>
        <v>10420</v>
      </c>
      <c r="F115" s="16">
        <f>SUMIFS('Business - Dump'!$G:$G,'Business - Dump'!$B:$B,'Series wise Report'!$A115,'Business - Dump'!$A:$A,'Series wise Report'!F$1)</f>
        <v>10214</v>
      </c>
      <c r="G115" s="16">
        <f>SUMIFS('Business - Dump'!$G:$G,'Business - Dump'!$B:$B,'Series wise Report'!$A115,'Business - Dump'!$A:$A,'Series wise Report'!G$1)</f>
        <v>13983</v>
      </c>
      <c r="H115" s="16">
        <f>SUMIFS('Business - Dump'!$G:$G,'Business - Dump'!$B:$B,'Series wise Report'!$A115,'Business - Dump'!$A:$A,'Series wise Report'!H$1)</f>
        <v>20449</v>
      </c>
      <c r="I115" s="16">
        <f>SUMIFS('Business - Dump'!$G:$G,'Business - Dump'!$B:$B,'Series wise Report'!$A115,'Business - Dump'!$A:$A,'Series wise Report'!I$1)</f>
        <v>19524</v>
      </c>
      <c r="J115" s="16">
        <f>SUMIFS('Business - Dump'!$G:$G,'Business - Dump'!$B:$B,'Series wise Report'!$A115,'Business - Dump'!$A:$A,'Series wise Report'!J$1)</f>
        <v>31397</v>
      </c>
      <c r="K115" s="16">
        <f>SUMIFS('Business - Dump'!$G:$G,'Business - Dump'!$B:$B,'Series wise Report'!$A115,'Business - Dump'!$A:$A,'Series wise Report'!K$1)</f>
        <v>21658</v>
      </c>
      <c r="L115" s="16">
        <f>SUMIFS('Business - Dump'!$G:$G,'Business - Dump'!$B:$B,'Series wise Report'!$A115,'Business - Dump'!$A:$A,'Series wise Report'!L$1)</f>
        <v>21550</v>
      </c>
      <c r="M115" s="16">
        <f>SUMIFS('Business - Dump'!$G:$G,'Business - Dump'!$B:$B,'Series wise Report'!$A115,'Business - Dump'!$A:$A,'Series wise Report'!M$1)</f>
        <v>26171</v>
      </c>
      <c r="N115" s="16">
        <f>SUMIFS('Business - Dump'!$G:$G,'Business - Dump'!$B:$B,'Series wise Report'!$A115,'Business - Dump'!$A:$A,'Series wise Report'!N$1)</f>
        <v>33483</v>
      </c>
      <c r="O115" s="16">
        <f>SUMIFS('Business - Dump'!$G:$G,'Business - Dump'!$B:$B,'Series wise Report'!$A115,'Business - Dump'!$A:$A,'Series wise Report'!O$1)</f>
        <v>24725</v>
      </c>
      <c r="P115" s="70">
        <f>SUMIFS('Business - Dump'!$G:$G,'Business - Dump'!$B:$B,'Series wise Report'!$A115,'Business - Dump'!$A:$A,'Series wise Report'!P$1)</f>
        <v>16204</v>
      </c>
      <c r="Q115" s="70">
        <f>SUMIFS('Business - Dump'!$G:$G,'Business - Dump'!$B:$B,'Series wise Report'!$A115,'Business - Dump'!$A:$A,'Series wise Report'!Q$1)</f>
        <v>15150</v>
      </c>
      <c r="R115" s="70">
        <f>SUMIFS('Business - Dump'!$G:$G,'Business - Dump'!$B:$B,'Series wise Report'!$A115,'Business - Dump'!$A:$A,'Series wise Report'!R$1)</f>
        <v>17865</v>
      </c>
      <c r="S115" s="70">
        <f>SUMIFS('Business - Dump'!$G:$G,'Business - Dump'!$B:$B,'Series wise Report'!$A115,'Business - Dump'!$A:$A,'Series wise Report'!S$1)</f>
        <v>12546</v>
      </c>
      <c r="T115" s="70">
        <f>SUMIFS('Business - Dump'!$G:$G,'Business - Dump'!$B:$B,'Series wise Report'!$A115,'Business - Dump'!$A:$A,'Series wise Report'!T$1)</f>
        <v>10020</v>
      </c>
    </row>
    <row r="116" ht="15.75" customHeight="1">
      <c r="A116" s="10" t="s">
        <v>134</v>
      </c>
      <c r="B116" s="10" t="s">
        <v>260</v>
      </c>
      <c r="C116" s="16">
        <f t="shared" si="50"/>
        <v>358397</v>
      </c>
      <c r="D116" s="16">
        <f>SUMIFS('Business - Dump'!$K:$K,'Business - Dump'!$B:$B,'Series wise Report'!$A116,'Business - Dump'!$A:$A,'Series wise Report'!D$1)</f>
        <v>10429</v>
      </c>
      <c r="E116" s="16">
        <f>SUMIFS('Business - Dump'!$K:$K,'Business - Dump'!$B:$B,'Series wise Report'!$A116,'Business - Dump'!$A:$A,'Series wise Report'!E$1)</f>
        <v>15300</v>
      </c>
      <c r="F116" s="16">
        <f>SUMIFS('Business - Dump'!$K:$K,'Business - Dump'!$B:$B,'Series wise Report'!$A116,'Business - Dump'!$A:$A,'Series wise Report'!F$1)</f>
        <v>14361</v>
      </c>
      <c r="G116" s="16">
        <f>SUMIFS('Business - Dump'!$K:$K,'Business - Dump'!$B:$B,'Series wise Report'!$A116,'Business - Dump'!$A:$A,'Series wise Report'!G$1)</f>
        <v>19294</v>
      </c>
      <c r="H116" s="16">
        <f>SUMIFS('Business - Dump'!$K:$K,'Business - Dump'!$B:$B,'Series wise Report'!$A116,'Business - Dump'!$A:$A,'Series wise Report'!H$1)</f>
        <v>27771</v>
      </c>
      <c r="I116" s="16">
        <f>SUMIFS('Business - Dump'!$K:$K,'Business - Dump'!$B:$B,'Series wise Report'!$A116,'Business - Dump'!$A:$A,'Series wise Report'!I$1)</f>
        <v>27619</v>
      </c>
      <c r="J116" s="16">
        <f>SUMIFS('Business - Dump'!$K:$K,'Business - Dump'!$B:$B,'Series wise Report'!$A116,'Business - Dump'!$A:$A,'Series wise Report'!J$1)</f>
        <v>48748</v>
      </c>
      <c r="K116" s="16">
        <f>SUMIFS('Business - Dump'!$K:$K,'Business - Dump'!$B:$B,'Series wise Report'!$A116,'Business - Dump'!$A:$A,'Series wise Report'!K$1)</f>
        <v>27949</v>
      </c>
      <c r="L116" s="16">
        <f>SUMIFS('Business - Dump'!$K:$K,'Business - Dump'!$B:$B,'Series wise Report'!$A116,'Business - Dump'!$A:$A,'Series wise Report'!L$1)</f>
        <v>29706</v>
      </c>
      <c r="M116" s="16">
        <f>SUMIFS('Business - Dump'!$K:$K,'Business - Dump'!$B:$B,'Series wise Report'!$A116,'Business - Dump'!$A:$A,'Series wise Report'!M$1)</f>
        <v>35276</v>
      </c>
      <c r="N116" s="16">
        <f>SUMIFS('Business - Dump'!$K:$K,'Business - Dump'!$B:$B,'Series wise Report'!$A116,'Business - Dump'!$A:$A,'Series wise Report'!N$1)</f>
        <v>45623</v>
      </c>
      <c r="O116" s="16">
        <f>SUMIFS('Business - Dump'!$K:$K,'Business - Dump'!$B:$B,'Series wise Report'!$A116,'Business - Dump'!$A:$A,'Series wise Report'!O$1)</f>
        <v>34650</v>
      </c>
      <c r="P116" s="16">
        <f>SUMIFS('Business - Dump'!$K:$K,'Business - Dump'!$B:$B,'Series wise Report'!$A116,'Business - Dump'!$A:$A,'Series wise Report'!P$1)</f>
        <v>21671</v>
      </c>
      <c r="Q116" s="16">
        <f>SUMIFS('Business - Dump'!$K:$K,'Business - Dump'!$B:$B,'Series wise Report'!$A116,'Business - Dump'!$A:$A,'Series wise Report'!Q$1)</f>
        <v>20387</v>
      </c>
      <c r="R116" s="16">
        <f>SUMIFS('Business - Dump'!$K:$K,'Business - Dump'!$B:$B,'Series wise Report'!$A116,'Business - Dump'!$A:$A,'Series wise Report'!R$1)</f>
        <v>23697</v>
      </c>
      <c r="S116" s="16">
        <f>SUMIFS('Business - Dump'!$K:$K,'Business - Dump'!$B:$B,'Series wise Report'!$A116,'Business - Dump'!$A:$A,'Series wise Report'!S$1)</f>
        <v>16775</v>
      </c>
      <c r="T116" s="16">
        <f>SUMIFS('Business - Dump'!$K:$K,'Business - Dump'!$B:$B,'Series wise Report'!$A116,'Business - Dump'!$A:$A,'Series wise Report'!T$1)</f>
        <v>13279</v>
      </c>
    </row>
    <row r="117" ht="15.75" customHeight="1">
      <c r="A117" s="138" t="s">
        <v>134</v>
      </c>
      <c r="B117" s="138" t="s">
        <v>264</v>
      </c>
      <c r="C117" s="3">
        <f t="shared" si="50"/>
        <v>1270</v>
      </c>
      <c r="D117" s="3">
        <f>SUMIFS('Business - Dump'!$Q:$Q,'Business - Dump'!$B:$B,'Series wise Report'!$A117,'Business - Dump'!$A:$A,'Series wise Report'!D$1)</f>
        <v>34</v>
      </c>
      <c r="E117" s="3">
        <f>SUMIFS('Business - Dump'!$Q:$Q,'Business - Dump'!$B:$B,'Series wise Report'!$A117,'Business - Dump'!$A:$A,'Series wise Report'!E$1)</f>
        <v>68</v>
      </c>
      <c r="F117" s="3">
        <f>SUMIFS('Business - Dump'!$Q:$Q,'Business - Dump'!$B:$B,'Series wise Report'!$A117,'Business - Dump'!$A:$A,'Series wise Report'!F$1)</f>
        <v>57</v>
      </c>
      <c r="G117" s="3">
        <f>SUMIFS('Business - Dump'!$Q:$Q,'Business - Dump'!$B:$B,'Series wise Report'!$A117,'Business - Dump'!$A:$A,'Series wise Report'!G$1)</f>
        <v>79</v>
      </c>
      <c r="H117" s="3">
        <f>SUMIFS('Business - Dump'!$Q:$Q,'Business - Dump'!$B:$B,'Series wise Report'!$A117,'Business - Dump'!$A:$A,'Series wise Report'!H$1)</f>
        <v>115</v>
      </c>
      <c r="I117" s="3">
        <f>SUMIFS('Business - Dump'!$Q:$Q,'Business - Dump'!$B:$B,'Series wise Report'!$A117,'Business - Dump'!$A:$A,'Series wise Report'!I$1)</f>
        <v>98</v>
      </c>
      <c r="J117" s="3">
        <f>SUMIFS('Business - Dump'!$Q:$Q,'Business - Dump'!$B:$B,'Series wise Report'!$A117,'Business - Dump'!$A:$A,'Series wise Report'!J$1)</f>
        <v>115</v>
      </c>
      <c r="K117" s="3">
        <f>SUMIFS('Business - Dump'!$Q:$Q,'Business - Dump'!$B:$B,'Series wise Report'!$A117,'Business - Dump'!$A:$A,'Series wise Report'!K$1)</f>
        <v>75</v>
      </c>
      <c r="L117" s="3">
        <f>SUMIFS('Business - Dump'!$Q:$Q,'Business - Dump'!$B:$B,'Series wise Report'!$A117,'Business - Dump'!$A:$A,'Series wise Report'!L$1)</f>
        <v>128</v>
      </c>
      <c r="M117" s="3">
        <f>SUMIFS('Business - Dump'!$Q:$Q,'Business - Dump'!$B:$B,'Series wise Report'!$A117,'Business - Dump'!$A:$A,'Series wise Report'!M$1)</f>
        <v>123</v>
      </c>
      <c r="N117" s="3">
        <f>SUMIFS('Business - Dump'!$Q:$Q,'Business - Dump'!$B:$B,'Series wise Report'!$A117,'Business - Dump'!$A:$A,'Series wise Report'!N$1)</f>
        <v>189</v>
      </c>
      <c r="O117" s="25">
        <f>SUMIFS('Business - Dump'!$Q:$Q,'Business - Dump'!$B:$B,'Series wise Report'!$A117,'Business - Dump'!$A:$A,'Series wise Report'!O$1)</f>
        <v>116</v>
      </c>
      <c r="P117" s="25">
        <f>SUMIFS('Business - Dump'!$Q:$Q,'Business - Dump'!$B:$B,'Series wise Report'!$A117,'Business - Dump'!$A:$A,'Series wise Report'!P$1)</f>
        <v>73</v>
      </c>
      <c r="Q117" s="25">
        <f>SUMIFS('Business - Dump'!$Q:$Q,'Business - Dump'!$B:$B,'Series wise Report'!$A117,'Business - Dump'!$A:$A,'Series wise Report'!Q$1)</f>
        <v>45</v>
      </c>
      <c r="R117" s="25">
        <f>SUMIFS('Business - Dump'!$Q:$Q,'Business - Dump'!$B:$B,'Series wise Report'!$A117,'Business - Dump'!$A:$A,'Series wise Report'!R$1)</f>
        <v>55</v>
      </c>
      <c r="S117" s="14">
        <f>SUMIFS('Business - Dump'!$Q:$Q,'Business - Dump'!$B:$B,'Series wise Report'!$A117,'Business - Dump'!$A:$A,'Series wise Report'!S$1)</f>
        <v>43</v>
      </c>
      <c r="T117" s="14">
        <f>SUMIFS('Business - Dump'!$Q:$Q,'Business - Dump'!$B:$B,'Series wise Report'!$A117,'Business - Dump'!$A:$A,'Series wise Report'!T$1)</f>
        <v>52</v>
      </c>
    </row>
    <row r="118" ht="15.75" customHeight="1">
      <c r="A118" s="137" t="s">
        <v>134</v>
      </c>
      <c r="B118" s="137" t="s">
        <v>268</v>
      </c>
      <c r="C118" s="141">
        <f t="shared" si="50"/>
        <v>1243</v>
      </c>
      <c r="D118" s="141">
        <f>SUMIFS('Business - Dump'!$W:$W,'Business - Dump'!$B:$B,'Series wise Report'!$A118,'Business - Dump'!$A:$A,'Series wise Report'!D$1)</f>
        <v>34</v>
      </c>
      <c r="E118" s="141">
        <f>SUMIFS('Business - Dump'!$W:$W,'Business - Dump'!$B:$B,'Series wise Report'!$A118,'Business - Dump'!$A:$A,'Series wise Report'!E$1)</f>
        <v>68</v>
      </c>
      <c r="F118" s="141">
        <f>SUMIFS('Business - Dump'!$W:$W,'Business - Dump'!$B:$B,'Series wise Report'!$A118,'Business - Dump'!$A:$A,'Series wise Report'!F$1)</f>
        <v>57</v>
      </c>
      <c r="G118" s="141">
        <f>SUMIFS('Business - Dump'!$W:$W,'Business - Dump'!$B:$B,'Series wise Report'!$A118,'Business - Dump'!$A:$A,'Series wise Report'!G$1)</f>
        <v>78</v>
      </c>
      <c r="H118" s="141">
        <f>SUMIFS('Business - Dump'!$W:$W,'Business - Dump'!$B:$B,'Series wise Report'!$A118,'Business - Dump'!$A:$A,'Series wise Report'!H$1)</f>
        <v>108</v>
      </c>
      <c r="I118" s="141">
        <f>SUMIFS('Business - Dump'!$W:$W,'Business - Dump'!$B:$B,'Series wise Report'!$A118,'Business - Dump'!$A:$A,'Series wise Report'!I$1)</f>
        <v>85</v>
      </c>
      <c r="J118" s="141">
        <f>SUMIFS('Business - Dump'!$W:$W,'Business - Dump'!$B:$B,'Series wise Report'!$A118,'Business - Dump'!$A:$A,'Series wise Report'!J$1)</f>
        <v>115</v>
      </c>
      <c r="K118" s="141">
        <f>SUMIFS('Business - Dump'!$W:$W,'Business - Dump'!$B:$B,'Series wise Report'!$A118,'Business - Dump'!$A:$A,'Series wise Report'!K$1)</f>
        <v>74</v>
      </c>
      <c r="L118" s="141">
        <f>SUMIFS('Business - Dump'!$W:$W,'Business - Dump'!$B:$B,'Series wise Report'!$A118,'Business - Dump'!$A:$A,'Series wise Report'!L$1)</f>
        <v>128</v>
      </c>
      <c r="M118" s="141">
        <f>SUMIFS('Business - Dump'!$W:$W,'Business - Dump'!$B:$B,'Series wise Report'!$A118,'Business - Dump'!$A:$A,'Series wise Report'!M$1)</f>
        <v>123</v>
      </c>
      <c r="N118" s="141">
        <f>SUMIFS('Business - Dump'!$W:$W,'Business - Dump'!$B:$B,'Series wise Report'!$A118,'Business - Dump'!$A:$A,'Series wise Report'!N$1)</f>
        <v>189</v>
      </c>
      <c r="O118" s="141">
        <f>SUMIFS('Business - Dump'!$W:$W,'Business - Dump'!$B:$B,'Series wise Report'!$A118,'Business - Dump'!$A:$A,'Series wise Report'!O$1)</f>
        <v>116</v>
      </c>
      <c r="P118" s="141">
        <f>SUMIFS('Business - Dump'!$W:$W,'Business - Dump'!$B:$B,'Series wise Report'!$A118,'Business - Dump'!$A:$A,'Series wise Report'!P$1)</f>
        <v>68</v>
      </c>
      <c r="Q118" s="141">
        <f>SUMIFS('Business - Dump'!$W:$W,'Business - Dump'!$B:$B,'Series wise Report'!$A118,'Business - Dump'!$A:$A,'Series wise Report'!Q$1)</f>
        <v>45</v>
      </c>
      <c r="R118" s="141">
        <f>SUMIFS('Business - Dump'!$W:$W,'Business - Dump'!$B:$B,'Series wise Report'!$A118,'Business - Dump'!$A:$A,'Series wise Report'!R$1)</f>
        <v>54</v>
      </c>
      <c r="S118" s="141">
        <f>SUMIFS('Business - Dump'!$W:$W,'Business - Dump'!$B:$B,'Series wise Report'!$A118,'Business - Dump'!$A:$A,'Series wise Report'!S$1)</f>
        <v>43</v>
      </c>
      <c r="T118" s="141">
        <f>SUMIFS('Business - Dump'!$W:$W,'Business - Dump'!$B:$B,'Series wise Report'!$A118,'Business - Dump'!$A:$A,'Series wise Report'!T$1)</f>
        <v>52</v>
      </c>
    </row>
    <row r="119" ht="15.75" customHeight="1">
      <c r="A119" s="10" t="s">
        <v>134</v>
      </c>
      <c r="B119" s="10" t="s">
        <v>26</v>
      </c>
      <c r="C119" s="15">
        <f t="shared" si="50"/>
        <v>28154062.32</v>
      </c>
      <c r="D119" s="15">
        <f>SUMIFS('Business - Dump'!$U:$U,'Business - Dump'!$B:$B,'Series wise Report'!$A119,'Business - Dump'!$A:$A,'Series wise Report'!D$1)</f>
        <v>771800</v>
      </c>
      <c r="E119" s="15">
        <f>SUMIFS('Business - Dump'!$U:$U,'Business - Dump'!$B:$B,'Series wise Report'!$A119,'Business - Dump'!$A:$A,'Series wise Report'!E$1)</f>
        <v>1540000</v>
      </c>
      <c r="F119" s="15">
        <f>SUMIFS('Business - Dump'!$U:$U,'Business - Dump'!$B:$B,'Series wise Report'!$A119,'Business - Dump'!$A:$A,'Series wise Report'!F$1)</f>
        <v>1282050</v>
      </c>
      <c r="G119" s="15">
        <f>SUMIFS('Business - Dump'!$U:$U,'Business - Dump'!$B:$B,'Series wise Report'!$A119,'Business - Dump'!$A:$A,'Series wise Report'!G$1)</f>
        <v>1766300</v>
      </c>
      <c r="H119" s="15">
        <f>SUMIFS('Business - Dump'!$U:$U,'Business - Dump'!$B:$B,'Series wise Report'!$A119,'Business - Dump'!$A:$A,'Series wise Report'!H$1)</f>
        <v>2617072.96</v>
      </c>
      <c r="I119" s="15">
        <f>SUMIFS('Business - Dump'!$U:$U,'Business - Dump'!$B:$B,'Series wise Report'!$A119,'Business - Dump'!$A:$A,'Series wise Report'!I$1)</f>
        <v>2262979.68</v>
      </c>
      <c r="J119" s="15">
        <f>SUMIFS('Business - Dump'!$U:$U,'Business - Dump'!$B:$B,'Series wise Report'!$A119,'Business - Dump'!$A:$A,'Series wise Report'!J$1)</f>
        <v>2554140.8</v>
      </c>
      <c r="K119" s="15">
        <f>SUMIFS('Business - Dump'!$U:$U,'Business - Dump'!$B:$B,'Series wise Report'!$A119,'Business - Dump'!$A:$A,'Series wise Report'!K$1)</f>
        <v>1729000</v>
      </c>
      <c r="L119" s="15">
        <f>SUMIFS('Business - Dump'!$U:$U,'Business - Dump'!$B:$B,'Series wise Report'!$A119,'Business - Dump'!$A:$A,'Series wise Report'!L$1)</f>
        <v>2840279.65</v>
      </c>
      <c r="M119" s="15">
        <f>SUMIFS('Business - Dump'!$U:$U,'Business - Dump'!$B:$B,'Series wise Report'!$A119,'Business - Dump'!$A:$A,'Series wise Report'!M$1)</f>
        <v>2706113.36</v>
      </c>
      <c r="N119" s="15">
        <f>SUMIFS('Business - Dump'!$U:$U,'Business - Dump'!$B:$B,'Series wise Report'!$A119,'Business - Dump'!$A:$A,'Series wise Report'!N$1)</f>
        <v>4028228.19</v>
      </c>
      <c r="O119" s="15">
        <f>SUMIFS('Business - Dump'!$U:$U,'Business - Dump'!$B:$B,'Series wise Report'!$A119,'Business - Dump'!$A:$A,'Series wise Report'!O$1)</f>
        <v>2419286.11</v>
      </c>
      <c r="P119" s="15">
        <f>SUMIFS('Business - Dump'!$U:$U,'Business - Dump'!$B:$B,'Series wise Report'!$A119,'Business - Dump'!$A:$A,'Series wise Report'!P$1)</f>
        <v>1636811.57</v>
      </c>
      <c r="Q119" s="15">
        <f>SUMIFS('Business - Dump'!$U:$U,'Business - Dump'!$B:$B,'Series wise Report'!$A119,'Business - Dump'!$A:$A,'Series wise Report'!Q$1)</f>
        <v>1027195.63</v>
      </c>
      <c r="R119" s="15">
        <f>SUMIFS('Business - Dump'!$U:$U,'Business - Dump'!$B:$B,'Series wise Report'!$A119,'Business - Dump'!$A:$A,'Series wise Report'!R$1)</f>
        <v>1235962.44</v>
      </c>
      <c r="S119" s="15">
        <f>SUMIFS('Business - Dump'!$U:$U,'Business - Dump'!$B:$B,'Series wise Report'!$A119,'Business - Dump'!$A:$A,'Series wise Report'!S$1)</f>
        <v>955165.86</v>
      </c>
      <c r="T119" s="15">
        <f>SUMIFS('Business - Dump'!$U:$U,'Business - Dump'!$B:$B,'Series wise Report'!$A119,'Business - Dump'!$A:$A,'Series wise Report'!T$1)</f>
        <v>1095376.88</v>
      </c>
    </row>
    <row r="120" ht="15.75" customHeight="1">
      <c r="A120" s="10" t="s">
        <v>134</v>
      </c>
      <c r="B120" s="10" t="s">
        <v>29</v>
      </c>
      <c r="C120" s="17">
        <f t="shared" ref="C120:T120" si="51">IFERROR(C118/C115,0)</f>
        <v>0.004828984787</v>
      </c>
      <c r="D120" s="17">
        <f t="shared" si="51"/>
        <v>0.004458431681</v>
      </c>
      <c r="E120" s="17">
        <f t="shared" si="51"/>
        <v>0.006525911708</v>
      </c>
      <c r="F120" s="17">
        <f t="shared" si="51"/>
        <v>0.00558057568</v>
      </c>
      <c r="G120" s="17">
        <f t="shared" si="51"/>
        <v>0.005578202103</v>
      </c>
      <c r="H120" s="17">
        <f t="shared" si="51"/>
        <v>0.005281431855</v>
      </c>
      <c r="I120" s="17">
        <f t="shared" si="51"/>
        <v>0.004353616062</v>
      </c>
      <c r="J120" s="17">
        <f t="shared" si="51"/>
        <v>0.003662770328</v>
      </c>
      <c r="K120" s="17">
        <f t="shared" si="51"/>
        <v>0.003416751316</v>
      </c>
      <c r="L120" s="17">
        <f t="shared" si="51"/>
        <v>0.005939675174</v>
      </c>
      <c r="M120" s="17">
        <f t="shared" si="51"/>
        <v>0.004699858622</v>
      </c>
      <c r="N120" s="17">
        <f t="shared" si="51"/>
        <v>0.005644655497</v>
      </c>
      <c r="O120" s="17">
        <f t="shared" si="51"/>
        <v>0.004691607685</v>
      </c>
      <c r="P120" s="17">
        <f t="shared" si="51"/>
        <v>0.004196494693</v>
      </c>
      <c r="Q120" s="17">
        <f t="shared" si="51"/>
        <v>0.00297029703</v>
      </c>
      <c r="R120" s="17">
        <f t="shared" si="51"/>
        <v>0.003022670025</v>
      </c>
      <c r="S120" s="17">
        <f t="shared" si="51"/>
        <v>0.003427387215</v>
      </c>
      <c r="T120" s="17">
        <f t="shared" si="51"/>
        <v>0.005189620758</v>
      </c>
    </row>
    <row r="121" ht="15.75" customHeight="1">
      <c r="A121" s="10" t="s">
        <v>134</v>
      </c>
      <c r="B121" s="10" t="s">
        <v>282</v>
      </c>
      <c r="C121" s="16">
        <f t="shared" ref="C121:T121" si="52">IFERROR(C119/C118,0)</f>
        <v>22650.09036</v>
      </c>
      <c r="D121" s="16">
        <f t="shared" si="52"/>
        <v>22700</v>
      </c>
      <c r="E121" s="16">
        <f t="shared" si="52"/>
        <v>22647.05882</v>
      </c>
      <c r="F121" s="16">
        <f t="shared" si="52"/>
        <v>22492.10526</v>
      </c>
      <c r="G121" s="16">
        <f t="shared" si="52"/>
        <v>22644.87179</v>
      </c>
      <c r="H121" s="16">
        <f t="shared" si="52"/>
        <v>24232.15704</v>
      </c>
      <c r="I121" s="16">
        <f t="shared" si="52"/>
        <v>26623.29035</v>
      </c>
      <c r="J121" s="16">
        <f t="shared" si="52"/>
        <v>22209.92</v>
      </c>
      <c r="K121" s="16">
        <f t="shared" si="52"/>
        <v>23364.86486</v>
      </c>
      <c r="L121" s="16">
        <f t="shared" si="52"/>
        <v>22189.68477</v>
      </c>
      <c r="M121" s="16">
        <f t="shared" si="52"/>
        <v>22000.92163</v>
      </c>
      <c r="N121" s="16">
        <f t="shared" si="52"/>
        <v>21313.37667</v>
      </c>
      <c r="O121" s="16">
        <f t="shared" si="52"/>
        <v>20855.91474</v>
      </c>
      <c r="P121" s="16">
        <f t="shared" si="52"/>
        <v>24070.75838</v>
      </c>
      <c r="Q121" s="16">
        <f t="shared" si="52"/>
        <v>22826.56956</v>
      </c>
      <c r="R121" s="16">
        <f t="shared" si="52"/>
        <v>22888.19333</v>
      </c>
      <c r="S121" s="16">
        <f t="shared" si="52"/>
        <v>22213.15953</v>
      </c>
      <c r="T121" s="16">
        <f t="shared" si="52"/>
        <v>21064.94</v>
      </c>
    </row>
    <row r="122" ht="15.75" customHeight="1">
      <c r="A122" s="10" t="s">
        <v>413</v>
      </c>
      <c r="B122" s="10" t="s">
        <v>257</v>
      </c>
      <c r="C122" s="16">
        <f t="shared" ref="C122:C126" si="53">SUM(D122:P122)</f>
        <v>3866</v>
      </c>
      <c r="D122" s="16">
        <f>SUMIFS('Business - Dump'!$G:$G,'Business - Dump'!$B:$B,'Series wise Report'!$A122,'Business - Dump'!$A:$A,'Series wise Report'!D$1)</f>
        <v>0</v>
      </c>
      <c r="E122" s="16">
        <f>SUMIFS('Business - Dump'!$G:$G,'Business - Dump'!$B:$B,'Series wise Report'!$A122,'Business - Dump'!$A:$A,'Series wise Report'!E$1)</f>
        <v>0</v>
      </c>
      <c r="F122" s="16">
        <f>SUMIFS('Business - Dump'!$G:$G,'Business - Dump'!$B:$B,'Series wise Report'!$A122,'Business - Dump'!$A:$A,'Series wise Report'!F$1)</f>
        <v>0</v>
      </c>
      <c r="G122" s="16">
        <f>SUMIFS('Business - Dump'!$G:$G,'Business - Dump'!$B:$B,'Series wise Report'!$A122,'Business - Dump'!$A:$A,'Series wise Report'!G$1)</f>
        <v>0</v>
      </c>
      <c r="H122" s="16">
        <f>SUMIFS('Business - Dump'!$G:$G,'Business - Dump'!$B:$B,'Series wise Report'!$A122,'Business - Dump'!$A:$A,'Series wise Report'!H$1)</f>
        <v>0</v>
      </c>
      <c r="I122" s="16">
        <f>SUMIFS('Business - Dump'!$G:$G,'Business - Dump'!$B:$B,'Series wise Report'!$A122,'Business - Dump'!$A:$A,'Series wise Report'!I$1)</f>
        <v>0</v>
      </c>
      <c r="J122" s="16">
        <f>SUMIFS('Business - Dump'!$G:$G,'Business - Dump'!$B:$B,'Series wise Report'!$A122,'Business - Dump'!$A:$A,'Series wise Report'!J$1)</f>
        <v>0</v>
      </c>
      <c r="K122" s="16">
        <f>SUMIFS('Business - Dump'!$G:$G,'Business - Dump'!$B:$B,'Series wise Report'!$A122,'Business - Dump'!$A:$A,'Series wise Report'!K$1)</f>
        <v>0</v>
      </c>
      <c r="L122" s="16">
        <f>SUMIFS('Business - Dump'!$G:$G,'Business - Dump'!$B:$B,'Series wise Report'!$A122,'Business - Dump'!$A:$A,'Series wise Report'!L$1)</f>
        <v>0</v>
      </c>
      <c r="M122" s="16">
        <f>SUMIFS('Business - Dump'!$G:$G,'Business - Dump'!$B:$B,'Series wise Report'!$A122,'Business - Dump'!$A:$A,'Series wise Report'!M$1)</f>
        <v>0</v>
      </c>
      <c r="N122" s="16">
        <f>SUMIFS('Business - Dump'!$G:$G,'Business - Dump'!$B:$B,'Series wise Report'!$A122,'Business - Dump'!$A:$A,'Series wise Report'!N$1)</f>
        <v>0</v>
      </c>
      <c r="O122" s="16">
        <f>SUMIFS('Business - Dump'!$G:$G,'Business - Dump'!$B:$B,'Series wise Report'!$A122,'Business - Dump'!$A:$A,'Series wise Report'!O$1)</f>
        <v>15</v>
      </c>
      <c r="P122" s="16">
        <f>SUMIFS('Business - Dump'!$G:$G,'Business - Dump'!$B:$B,'Series wise Report'!$A122,'Business - Dump'!$A:$A,'Series wise Report'!P$1)</f>
        <v>3851</v>
      </c>
      <c r="Q122" s="16">
        <f>SUMIFS('Business - Dump'!$G:$G,'Business - Dump'!$B:$B,'Series wise Report'!$A122,'Business - Dump'!$A:$A,'Series wise Report'!Q$1)</f>
        <v>11288</v>
      </c>
      <c r="R122" s="16">
        <f>SUMIFS('Business - Dump'!$G:$G,'Business - Dump'!$B:$B,'Series wise Report'!$A122,'Business - Dump'!$A:$A,'Series wise Report'!R$1)</f>
        <v>6512</v>
      </c>
      <c r="S122" s="16">
        <f>SUMIFS('Business - Dump'!$G:$G,'Business - Dump'!$B:$B,'Series wise Report'!$A122,'Business - Dump'!$A:$A,'Series wise Report'!S$1)</f>
        <v>107</v>
      </c>
      <c r="T122" s="16">
        <f>SUMIFS('Business - Dump'!$G:$G,'Business - Dump'!$B:$B,'Series wise Report'!$A122,'Business - Dump'!$A:$A,'Series wise Report'!T$1)</f>
        <v>6139</v>
      </c>
    </row>
    <row r="123" ht="15.75" customHeight="1">
      <c r="A123" s="10" t="s">
        <v>413</v>
      </c>
      <c r="B123" s="10" t="s">
        <v>260</v>
      </c>
      <c r="C123" s="16">
        <f t="shared" si="53"/>
        <v>5684</v>
      </c>
      <c r="D123" s="16">
        <f>SUMIFS('Business - Dump'!$K:$K,'Business - Dump'!$B:$B,'Series wise Report'!$A123,'Business - Dump'!$A:$A,'Series wise Report'!D$1)</f>
        <v>0</v>
      </c>
      <c r="E123" s="16">
        <f>SUMIFS('Business - Dump'!$K:$K,'Business - Dump'!$B:$B,'Series wise Report'!$A123,'Business - Dump'!$A:$A,'Series wise Report'!E$1)</f>
        <v>0</v>
      </c>
      <c r="F123" s="16">
        <f>SUMIFS('Business - Dump'!$K:$K,'Business - Dump'!$B:$B,'Series wise Report'!$A123,'Business - Dump'!$A:$A,'Series wise Report'!F$1)</f>
        <v>0</v>
      </c>
      <c r="G123" s="16">
        <f>SUMIFS('Business - Dump'!$K:$K,'Business - Dump'!$B:$B,'Series wise Report'!$A123,'Business - Dump'!$A:$A,'Series wise Report'!G$1)</f>
        <v>0</v>
      </c>
      <c r="H123" s="16">
        <f>SUMIFS('Business - Dump'!$K:$K,'Business - Dump'!$B:$B,'Series wise Report'!$A123,'Business - Dump'!$A:$A,'Series wise Report'!H$1)</f>
        <v>0</v>
      </c>
      <c r="I123" s="16">
        <f>SUMIFS('Business - Dump'!$K:$K,'Business - Dump'!$B:$B,'Series wise Report'!$A123,'Business - Dump'!$A:$A,'Series wise Report'!I$1)</f>
        <v>0</v>
      </c>
      <c r="J123" s="16">
        <f>SUMIFS('Business - Dump'!$K:$K,'Business - Dump'!$B:$B,'Series wise Report'!$A123,'Business - Dump'!$A:$A,'Series wise Report'!J$1)</f>
        <v>0</v>
      </c>
      <c r="K123" s="16">
        <f>SUMIFS('Business - Dump'!$K:$K,'Business - Dump'!$B:$B,'Series wise Report'!$A123,'Business - Dump'!$A:$A,'Series wise Report'!K$1)</f>
        <v>0</v>
      </c>
      <c r="L123" s="16">
        <f>SUMIFS('Business - Dump'!$K:$K,'Business - Dump'!$B:$B,'Series wise Report'!$A123,'Business - Dump'!$A:$A,'Series wise Report'!L$1)</f>
        <v>0</v>
      </c>
      <c r="M123" s="16">
        <f>SUMIFS('Business - Dump'!$K:$K,'Business - Dump'!$B:$B,'Series wise Report'!$A123,'Business - Dump'!$A:$A,'Series wise Report'!M$1)</f>
        <v>0</v>
      </c>
      <c r="N123" s="16">
        <f>SUMIFS('Business - Dump'!$K:$K,'Business - Dump'!$B:$B,'Series wise Report'!$A123,'Business - Dump'!$A:$A,'Series wise Report'!N$1)</f>
        <v>0</v>
      </c>
      <c r="O123" s="16">
        <f>SUMIFS('Business - Dump'!$K:$K,'Business - Dump'!$B:$B,'Series wise Report'!$A123,'Business - Dump'!$A:$A,'Series wise Report'!O$1)</f>
        <v>20</v>
      </c>
      <c r="P123" s="16">
        <f>SUMIFS('Business - Dump'!$K:$K,'Business - Dump'!$B:$B,'Series wise Report'!$A123,'Business - Dump'!$A:$A,'Series wise Report'!P$1)</f>
        <v>5664</v>
      </c>
      <c r="Q123" s="16">
        <f>SUMIFS('Business - Dump'!$K:$K,'Business - Dump'!$B:$B,'Series wise Report'!$A123,'Business - Dump'!$A:$A,'Series wise Report'!Q$1)</f>
        <v>15621</v>
      </c>
      <c r="R123" s="16">
        <f>SUMIFS('Business - Dump'!$K:$K,'Business - Dump'!$B:$B,'Series wise Report'!$A123,'Business - Dump'!$A:$A,'Series wise Report'!R$1)</f>
        <v>9540</v>
      </c>
      <c r="S123" s="16">
        <f>SUMIFS('Business - Dump'!$K:$K,'Business - Dump'!$B:$B,'Series wise Report'!$A123,'Business - Dump'!$A:$A,'Series wise Report'!S$1)</f>
        <v>173</v>
      </c>
      <c r="T123" s="16">
        <f>SUMIFS('Business - Dump'!$K:$K,'Business - Dump'!$B:$B,'Series wise Report'!$A123,'Business - Dump'!$A:$A,'Series wise Report'!T$1)</f>
        <v>8494</v>
      </c>
    </row>
    <row r="124" ht="15.75" customHeight="1">
      <c r="A124" s="138" t="s">
        <v>413</v>
      </c>
      <c r="B124" s="138" t="s">
        <v>264</v>
      </c>
      <c r="C124" s="3">
        <f t="shared" si="53"/>
        <v>27</v>
      </c>
      <c r="D124" s="3">
        <f>SUMIFS('Business - Dump'!$Q:$Q,'Business - Dump'!$B:$B,'Series wise Report'!$A124,'Business - Dump'!$A:$A,'Series wise Report'!D$1)</f>
        <v>0</v>
      </c>
      <c r="E124" s="3">
        <f>SUMIFS('Business - Dump'!$Q:$Q,'Business - Dump'!$B:$B,'Series wise Report'!$A124,'Business - Dump'!$A:$A,'Series wise Report'!E$1)</f>
        <v>0</v>
      </c>
      <c r="F124" s="3">
        <f>SUMIFS('Business - Dump'!$Q:$Q,'Business - Dump'!$B:$B,'Series wise Report'!$A124,'Business - Dump'!$A:$A,'Series wise Report'!F$1)</f>
        <v>0</v>
      </c>
      <c r="G124" s="3">
        <f>SUMIFS('Business - Dump'!$Q:$Q,'Business - Dump'!$B:$B,'Series wise Report'!$A124,'Business - Dump'!$A:$A,'Series wise Report'!G$1)</f>
        <v>0</v>
      </c>
      <c r="H124" s="3">
        <f>SUMIFS('Business - Dump'!$Q:$Q,'Business - Dump'!$B:$B,'Series wise Report'!$A124,'Business - Dump'!$A:$A,'Series wise Report'!H$1)</f>
        <v>0</v>
      </c>
      <c r="I124" s="3">
        <f>SUMIFS('Business - Dump'!$Q:$Q,'Business - Dump'!$B:$B,'Series wise Report'!$A124,'Business - Dump'!$A:$A,'Series wise Report'!I$1)</f>
        <v>0</v>
      </c>
      <c r="J124" s="3">
        <f>SUMIFS('Business - Dump'!$Q:$Q,'Business - Dump'!$B:$B,'Series wise Report'!$A124,'Business - Dump'!$A:$A,'Series wise Report'!J$1)</f>
        <v>0</v>
      </c>
      <c r="K124" s="3">
        <f>SUMIFS('Business - Dump'!$Q:$Q,'Business - Dump'!$B:$B,'Series wise Report'!$A124,'Business - Dump'!$A:$A,'Series wise Report'!K$1)</f>
        <v>0</v>
      </c>
      <c r="L124" s="3">
        <f>SUMIFS('Business - Dump'!$Q:$Q,'Business - Dump'!$B:$B,'Series wise Report'!$A124,'Business - Dump'!$A:$A,'Series wise Report'!L$1)</f>
        <v>0</v>
      </c>
      <c r="M124" s="3">
        <f>SUMIFS('Business - Dump'!$Q:$Q,'Business - Dump'!$B:$B,'Series wise Report'!$A124,'Business - Dump'!$A:$A,'Series wise Report'!M$1)</f>
        <v>0</v>
      </c>
      <c r="N124" s="3">
        <f>SUMIFS('Business - Dump'!$Q:$Q,'Business - Dump'!$B:$B,'Series wise Report'!$A124,'Business - Dump'!$A:$A,'Series wise Report'!N$1)</f>
        <v>0</v>
      </c>
      <c r="O124" s="3">
        <f>SUMIFS('Business - Dump'!$Q:$Q,'Business - Dump'!$B:$B,'Series wise Report'!$A124,'Business - Dump'!$A:$A,'Series wise Report'!O$1)</f>
        <v>0</v>
      </c>
      <c r="P124" s="3">
        <f>SUMIFS('Business - Dump'!$Q:$Q,'Business - Dump'!$B:$B,'Series wise Report'!$A124,'Business - Dump'!$A:$A,'Series wise Report'!P$1)</f>
        <v>27</v>
      </c>
      <c r="Q124" s="3">
        <f>SUMIFS('Business - Dump'!$Q:$Q,'Business - Dump'!$B:$B,'Series wise Report'!$A124,'Business - Dump'!$A:$A,'Series wise Report'!Q$1)</f>
        <v>50</v>
      </c>
      <c r="R124" s="3">
        <f>SUMIFS('Business - Dump'!$Q:$Q,'Business - Dump'!$B:$B,'Series wise Report'!$A124,'Business - Dump'!$A:$A,'Series wise Report'!R$1)</f>
        <v>51</v>
      </c>
      <c r="S124" s="154">
        <f>SUMIFS('Business - Dump'!$Q:$Q,'Business - Dump'!$B:$B,'Series wise Report'!$A124,'Business - Dump'!$A:$A,'Series wise Report'!S$1)</f>
        <v>0</v>
      </c>
      <c r="T124" s="154">
        <f>SUMIFS('Business - Dump'!$Q:$Q,'Business - Dump'!$B:$B,'Series wise Report'!$A124,'Business - Dump'!$A:$A,'Series wise Report'!T$1)</f>
        <v>24</v>
      </c>
    </row>
    <row r="125" ht="15.75" customHeight="1">
      <c r="A125" s="137" t="s">
        <v>413</v>
      </c>
      <c r="B125" s="137" t="s">
        <v>268</v>
      </c>
      <c r="C125" s="141">
        <f t="shared" si="53"/>
        <v>27</v>
      </c>
      <c r="D125" s="141">
        <f>SUMIFS('Business - Dump'!$W:$W,'Business - Dump'!$B:$B,'Series wise Report'!$A125,'Business - Dump'!$A:$A,'Series wise Report'!D$1)</f>
        <v>0</v>
      </c>
      <c r="E125" s="141">
        <f>SUMIFS('Business - Dump'!$W:$W,'Business - Dump'!$B:$B,'Series wise Report'!$A125,'Business - Dump'!$A:$A,'Series wise Report'!E$1)</f>
        <v>0</v>
      </c>
      <c r="F125" s="141">
        <f>SUMIFS('Business - Dump'!$W:$W,'Business - Dump'!$B:$B,'Series wise Report'!$A125,'Business - Dump'!$A:$A,'Series wise Report'!F$1)</f>
        <v>0</v>
      </c>
      <c r="G125" s="141">
        <f>SUMIFS('Business - Dump'!$W:$W,'Business - Dump'!$B:$B,'Series wise Report'!$A125,'Business - Dump'!$A:$A,'Series wise Report'!G$1)</f>
        <v>0</v>
      </c>
      <c r="H125" s="141">
        <f>SUMIFS('Business - Dump'!$W:$W,'Business - Dump'!$B:$B,'Series wise Report'!$A125,'Business - Dump'!$A:$A,'Series wise Report'!H$1)</f>
        <v>0</v>
      </c>
      <c r="I125" s="141">
        <f>SUMIFS('Business - Dump'!$W:$W,'Business - Dump'!$B:$B,'Series wise Report'!$A125,'Business - Dump'!$A:$A,'Series wise Report'!I$1)</f>
        <v>0</v>
      </c>
      <c r="J125" s="141">
        <f>SUMIFS('Business - Dump'!$W:$W,'Business - Dump'!$B:$B,'Series wise Report'!$A125,'Business - Dump'!$A:$A,'Series wise Report'!J$1)</f>
        <v>0</v>
      </c>
      <c r="K125" s="141">
        <f>SUMIFS('Business - Dump'!$W:$W,'Business - Dump'!$B:$B,'Series wise Report'!$A125,'Business - Dump'!$A:$A,'Series wise Report'!K$1)</f>
        <v>0</v>
      </c>
      <c r="L125" s="141">
        <f>SUMIFS('Business - Dump'!$W:$W,'Business - Dump'!$B:$B,'Series wise Report'!$A125,'Business - Dump'!$A:$A,'Series wise Report'!L$1)</f>
        <v>0</v>
      </c>
      <c r="M125" s="141">
        <f>SUMIFS('Business - Dump'!$W:$W,'Business - Dump'!$B:$B,'Series wise Report'!$A125,'Business - Dump'!$A:$A,'Series wise Report'!M$1)</f>
        <v>0</v>
      </c>
      <c r="N125" s="141">
        <f>SUMIFS('Business - Dump'!$W:$W,'Business - Dump'!$B:$B,'Series wise Report'!$A125,'Business - Dump'!$A:$A,'Series wise Report'!N$1)</f>
        <v>0</v>
      </c>
      <c r="O125" s="141">
        <f>SUMIFS('Business - Dump'!$W:$W,'Business - Dump'!$B:$B,'Series wise Report'!$A125,'Business - Dump'!$A:$A,'Series wise Report'!O$1)</f>
        <v>0</v>
      </c>
      <c r="P125" s="141">
        <f>SUMIFS('Business - Dump'!$W:$W,'Business - Dump'!$B:$B,'Series wise Report'!$A125,'Business - Dump'!$A:$A,'Series wise Report'!P$1)</f>
        <v>27</v>
      </c>
      <c r="Q125" s="141">
        <f>SUMIFS('Business - Dump'!$W:$W,'Business - Dump'!$B:$B,'Series wise Report'!$A125,'Business - Dump'!$A:$A,'Series wise Report'!Q$1)</f>
        <v>46</v>
      </c>
      <c r="R125" s="141">
        <f>SUMIFS('Business - Dump'!$W:$W,'Business - Dump'!$B:$B,'Series wise Report'!$A125,'Business - Dump'!$A:$A,'Series wise Report'!R$1)</f>
        <v>48</v>
      </c>
      <c r="S125" s="141">
        <f>SUMIFS('Business - Dump'!$W:$W,'Business - Dump'!$B:$B,'Series wise Report'!$A125,'Business - Dump'!$A:$A,'Series wise Report'!S$1)</f>
        <v>0</v>
      </c>
      <c r="T125" s="141">
        <f>SUMIFS('Business - Dump'!$W:$W,'Business - Dump'!$B:$B,'Series wise Report'!$A125,'Business - Dump'!$A:$A,'Series wise Report'!T$1)</f>
        <v>23</v>
      </c>
    </row>
    <row r="126" ht="15.75" customHeight="1">
      <c r="A126" s="10" t="s">
        <v>413</v>
      </c>
      <c r="B126" s="10" t="s">
        <v>26</v>
      </c>
      <c r="C126" s="15">
        <f t="shared" si="53"/>
        <v>438976</v>
      </c>
      <c r="D126" s="15">
        <f>SUMIFS('Business - Dump'!$U:$U,'Business - Dump'!$B:$B,'Series wise Report'!$A126,'Business - Dump'!$A:$A,'Series wise Report'!D$1)</f>
        <v>0</v>
      </c>
      <c r="E126" s="15">
        <f>SUMIFS('Business - Dump'!$U:$U,'Business - Dump'!$B:$B,'Series wise Report'!$A126,'Business - Dump'!$A:$A,'Series wise Report'!E$1)</f>
        <v>0</v>
      </c>
      <c r="F126" s="15">
        <f>SUMIFS('Business - Dump'!$U:$U,'Business - Dump'!$B:$B,'Series wise Report'!$A126,'Business - Dump'!$A:$A,'Series wise Report'!F$1)</f>
        <v>0</v>
      </c>
      <c r="G126" s="15">
        <f>SUMIFS('Business - Dump'!$U:$U,'Business - Dump'!$B:$B,'Series wise Report'!$A126,'Business - Dump'!$A:$A,'Series wise Report'!G$1)</f>
        <v>0</v>
      </c>
      <c r="H126" s="15">
        <f>SUMIFS('Business - Dump'!$U:$U,'Business - Dump'!$B:$B,'Series wise Report'!$A126,'Business - Dump'!$A:$A,'Series wise Report'!H$1)</f>
        <v>0</v>
      </c>
      <c r="I126" s="15">
        <f>SUMIFS('Business - Dump'!$U:$U,'Business - Dump'!$B:$B,'Series wise Report'!$A126,'Business - Dump'!$A:$A,'Series wise Report'!I$1)</f>
        <v>0</v>
      </c>
      <c r="J126" s="15">
        <f>SUMIFS('Business - Dump'!$U:$U,'Business - Dump'!$B:$B,'Series wise Report'!$A126,'Business - Dump'!$A:$A,'Series wise Report'!J$1)</f>
        <v>0</v>
      </c>
      <c r="K126" s="15">
        <f>SUMIFS('Business - Dump'!$U:$U,'Business - Dump'!$B:$B,'Series wise Report'!$A126,'Business - Dump'!$A:$A,'Series wise Report'!K$1)</f>
        <v>0</v>
      </c>
      <c r="L126" s="15">
        <f>SUMIFS('Business - Dump'!$U:$U,'Business - Dump'!$B:$B,'Series wise Report'!$A126,'Business - Dump'!$A:$A,'Series wise Report'!L$1)</f>
        <v>0</v>
      </c>
      <c r="M126" s="15">
        <f>SUMIFS('Business - Dump'!$U:$U,'Business - Dump'!$B:$B,'Series wise Report'!$A126,'Business - Dump'!$A:$A,'Series wise Report'!M$1)</f>
        <v>0</v>
      </c>
      <c r="N126" s="15">
        <f>SUMIFS('Business - Dump'!$U:$U,'Business - Dump'!$B:$B,'Series wise Report'!$A126,'Business - Dump'!$A:$A,'Series wise Report'!N$1)</f>
        <v>0</v>
      </c>
      <c r="O126" s="15">
        <f>SUMIFS('Business - Dump'!$U:$U,'Business - Dump'!$B:$B,'Series wise Report'!$A126,'Business - Dump'!$A:$A,'Series wise Report'!O$1)</f>
        <v>0</v>
      </c>
      <c r="P126" s="15">
        <f>SUMIFS('Business - Dump'!$U:$U,'Business - Dump'!$B:$B,'Series wise Report'!$A126,'Business - Dump'!$A:$A,'Series wise Report'!P$1)</f>
        <v>438976</v>
      </c>
      <c r="Q126" s="15">
        <f>SUMIFS('Business - Dump'!$U:$U,'Business - Dump'!$B:$B,'Series wise Report'!$A126,'Business - Dump'!$A:$A,'Series wise Report'!Q$1)</f>
        <v>829955</v>
      </c>
      <c r="R126" s="15">
        <f>SUMIFS('Business - Dump'!$U:$U,'Business - Dump'!$B:$B,'Series wise Report'!$A126,'Business - Dump'!$A:$A,'Series wise Report'!R$1)</f>
        <v>850722</v>
      </c>
      <c r="S126" s="15">
        <f>SUMIFS('Business - Dump'!$U:$U,'Business - Dump'!$B:$B,'Series wise Report'!$A126,'Business - Dump'!$A:$A,'Series wise Report'!S$1)</f>
        <v>0</v>
      </c>
      <c r="T126" s="15">
        <f>SUMIFS('Business - Dump'!$U:$U,'Business - Dump'!$B:$B,'Series wise Report'!$A126,'Business - Dump'!$A:$A,'Series wise Report'!T$1)</f>
        <v>398130</v>
      </c>
    </row>
    <row r="127" ht="15.75" customHeight="1">
      <c r="A127" s="10" t="s">
        <v>413</v>
      </c>
      <c r="B127" s="10" t="s">
        <v>29</v>
      </c>
      <c r="C127" s="17">
        <f t="shared" ref="C127:T127" si="54">IFERROR(C125/C122,0)</f>
        <v>0.006983962752</v>
      </c>
      <c r="D127" s="17">
        <f t="shared" si="54"/>
        <v>0</v>
      </c>
      <c r="E127" s="17">
        <f t="shared" si="54"/>
        <v>0</v>
      </c>
      <c r="F127" s="17">
        <f t="shared" si="54"/>
        <v>0</v>
      </c>
      <c r="G127" s="17">
        <f t="shared" si="54"/>
        <v>0</v>
      </c>
      <c r="H127" s="17">
        <f t="shared" si="54"/>
        <v>0</v>
      </c>
      <c r="I127" s="17">
        <f t="shared" si="54"/>
        <v>0</v>
      </c>
      <c r="J127" s="17">
        <f t="shared" si="54"/>
        <v>0</v>
      </c>
      <c r="K127" s="17">
        <f t="shared" si="54"/>
        <v>0</v>
      </c>
      <c r="L127" s="17">
        <f t="shared" si="54"/>
        <v>0</v>
      </c>
      <c r="M127" s="17">
        <f t="shared" si="54"/>
        <v>0</v>
      </c>
      <c r="N127" s="17">
        <f t="shared" si="54"/>
        <v>0</v>
      </c>
      <c r="O127" s="17">
        <f t="shared" si="54"/>
        <v>0</v>
      </c>
      <c r="P127" s="17">
        <f t="shared" si="54"/>
        <v>0.007011165931</v>
      </c>
      <c r="Q127" s="17">
        <f t="shared" si="54"/>
        <v>0.004075124026</v>
      </c>
      <c r="R127" s="17">
        <f t="shared" si="54"/>
        <v>0.007371007371</v>
      </c>
      <c r="S127" s="17">
        <f t="shared" si="54"/>
        <v>0</v>
      </c>
      <c r="T127" s="17">
        <f t="shared" si="54"/>
        <v>0.003746538524</v>
      </c>
    </row>
    <row r="128" ht="15.75" customHeight="1">
      <c r="A128" s="10" t="s">
        <v>413</v>
      </c>
      <c r="B128" s="10" t="s">
        <v>282</v>
      </c>
      <c r="C128" s="16">
        <f t="shared" ref="C128:T128" si="55">IFERROR(C126/C125,0)</f>
        <v>16258.37037</v>
      </c>
      <c r="D128" s="16">
        <f t="shared" si="55"/>
        <v>0</v>
      </c>
      <c r="E128" s="16">
        <f t="shared" si="55"/>
        <v>0</v>
      </c>
      <c r="F128" s="16">
        <f t="shared" si="55"/>
        <v>0</v>
      </c>
      <c r="G128" s="16">
        <f t="shared" si="55"/>
        <v>0</v>
      </c>
      <c r="H128" s="16">
        <f t="shared" si="55"/>
        <v>0</v>
      </c>
      <c r="I128" s="16">
        <f t="shared" si="55"/>
        <v>0</v>
      </c>
      <c r="J128" s="16">
        <f t="shared" si="55"/>
        <v>0</v>
      </c>
      <c r="K128" s="16">
        <f t="shared" si="55"/>
        <v>0</v>
      </c>
      <c r="L128" s="16">
        <f t="shared" si="55"/>
        <v>0</v>
      </c>
      <c r="M128" s="16">
        <f t="shared" si="55"/>
        <v>0</v>
      </c>
      <c r="N128" s="16">
        <f t="shared" si="55"/>
        <v>0</v>
      </c>
      <c r="O128" s="16">
        <f t="shared" si="55"/>
        <v>0</v>
      </c>
      <c r="P128" s="16">
        <f t="shared" si="55"/>
        <v>16258.37037</v>
      </c>
      <c r="Q128" s="16">
        <f t="shared" si="55"/>
        <v>18042.5</v>
      </c>
      <c r="R128" s="16">
        <f t="shared" si="55"/>
        <v>17723.375</v>
      </c>
      <c r="S128" s="16">
        <f t="shared" si="55"/>
        <v>0</v>
      </c>
      <c r="T128" s="16">
        <f t="shared" si="55"/>
        <v>17310</v>
      </c>
    </row>
    <row r="129" ht="15.75" customHeight="1">
      <c r="A129" s="10" t="s">
        <v>176</v>
      </c>
      <c r="B129" s="10" t="s">
        <v>257</v>
      </c>
      <c r="C129" s="16">
        <f t="shared" ref="C129:C133" si="56">SUM(D129:P129)</f>
        <v>84643</v>
      </c>
      <c r="D129" s="16">
        <f>SUMIFS('Business - Dump'!$G:$G,'Business - Dump'!$B:$B,'Series wise Report'!$A129,'Business - Dump'!$A:$A,'Series wise Report'!D$1)</f>
        <v>3527</v>
      </c>
      <c r="E129" s="16">
        <f>SUMIFS('Business - Dump'!$G:$G,'Business - Dump'!$B:$B,'Series wise Report'!$A129,'Business - Dump'!$A:$A,'Series wise Report'!E$1)</f>
        <v>4578</v>
      </c>
      <c r="F129" s="16">
        <f>SUMIFS('Business - Dump'!$G:$G,'Business - Dump'!$B:$B,'Series wise Report'!$A129,'Business - Dump'!$A:$A,'Series wise Report'!F$1)</f>
        <v>3785</v>
      </c>
      <c r="G129" s="16">
        <f>SUMIFS('Business - Dump'!$G:$G,'Business - Dump'!$B:$B,'Series wise Report'!$A129,'Business - Dump'!$A:$A,'Series wise Report'!G$1)</f>
        <v>4322</v>
      </c>
      <c r="H129" s="16">
        <f>SUMIFS('Business - Dump'!$G:$G,'Business - Dump'!$B:$B,'Series wise Report'!$A129,'Business - Dump'!$A:$A,'Series wise Report'!H$1)</f>
        <v>5005</v>
      </c>
      <c r="I129" s="16">
        <f>SUMIFS('Business - Dump'!$G:$G,'Business - Dump'!$B:$B,'Series wise Report'!$A129,'Business - Dump'!$A:$A,'Series wise Report'!I$1)</f>
        <v>5101</v>
      </c>
      <c r="J129" s="16">
        <f>SUMIFS('Business - Dump'!$G:$G,'Business - Dump'!$B:$B,'Series wise Report'!$A129,'Business - Dump'!$A:$A,'Series wise Report'!J$1)</f>
        <v>9288</v>
      </c>
      <c r="K129" s="16">
        <f>SUMIFS('Business - Dump'!$G:$G,'Business - Dump'!$B:$B,'Series wise Report'!$A129,'Business - Dump'!$A:$A,'Series wise Report'!K$1)</f>
        <v>6760</v>
      </c>
      <c r="L129" s="16">
        <f>SUMIFS('Business - Dump'!$G:$G,'Business - Dump'!$B:$B,'Series wise Report'!$A129,'Business - Dump'!$A:$A,'Series wise Report'!L$1)</f>
        <v>9035</v>
      </c>
      <c r="M129" s="16">
        <f>SUMIFS('Business - Dump'!$G:$G,'Business - Dump'!$B:$B,'Series wise Report'!$A129,'Business - Dump'!$A:$A,'Series wise Report'!M$1)</f>
        <v>9228</v>
      </c>
      <c r="N129" s="16">
        <f>SUMIFS('Business - Dump'!$G:$G,'Business - Dump'!$B:$B,'Series wise Report'!$A129,'Business - Dump'!$A:$A,'Series wise Report'!N$1)</f>
        <v>10441</v>
      </c>
      <c r="O129" s="16">
        <f>SUMIFS('Business - Dump'!$G:$G,'Business - Dump'!$B:$B,'Series wise Report'!$A129,'Business - Dump'!$A:$A,'Series wise Report'!O$1)</f>
        <v>8491</v>
      </c>
      <c r="P129" s="16">
        <f>SUMIFS('Business - Dump'!$G:$G,'Business - Dump'!$B:$B,'Series wise Report'!$A129,'Business - Dump'!$A:$A,'Series wise Report'!P$1)</f>
        <v>5082</v>
      </c>
      <c r="Q129" s="16">
        <f>SUMIFS('Business - Dump'!$G:$G,'Business - Dump'!$B:$B,'Series wise Report'!$A129,'Business - Dump'!$A:$A,'Series wise Report'!Q$1)</f>
        <v>4383</v>
      </c>
      <c r="R129" s="16">
        <f>SUMIFS('Business - Dump'!$G:$G,'Business - Dump'!$B:$B,'Series wise Report'!$A129,'Business - Dump'!$A:$A,'Series wise Report'!R$1)</f>
        <v>5360</v>
      </c>
      <c r="S129" s="16">
        <f>SUMIFS('Business - Dump'!$G:$G,'Business - Dump'!$B:$B,'Series wise Report'!$A129,'Business - Dump'!$A:$A,'Series wise Report'!S$1)</f>
        <v>4100</v>
      </c>
      <c r="T129" s="16">
        <f>SUMIFS('Business - Dump'!$G:$G,'Business - Dump'!$B:$B,'Series wise Report'!$A129,'Business - Dump'!$A:$A,'Series wise Report'!T$1)</f>
        <v>4835</v>
      </c>
    </row>
    <row r="130" ht="15.75" customHeight="1">
      <c r="A130" s="10" t="s">
        <v>176</v>
      </c>
      <c r="B130" s="10" t="s">
        <v>260</v>
      </c>
      <c r="C130" s="16">
        <f t="shared" si="56"/>
        <v>117699</v>
      </c>
      <c r="D130" s="16">
        <f>SUMIFS('Business - Dump'!$K:$K,'Business - Dump'!$B:$B,'Series wise Report'!$A130,'Business - Dump'!$A:$A,'Series wise Report'!D$1)</f>
        <v>4703</v>
      </c>
      <c r="E130" s="16">
        <f>SUMIFS('Business - Dump'!$K:$K,'Business - Dump'!$B:$B,'Series wise Report'!$A130,'Business - Dump'!$A:$A,'Series wise Report'!E$1)</f>
        <v>6726</v>
      </c>
      <c r="F130" s="16">
        <f>SUMIFS('Business - Dump'!$K:$K,'Business - Dump'!$B:$B,'Series wise Report'!$A130,'Business - Dump'!$A:$A,'Series wise Report'!F$1)</f>
        <v>5058</v>
      </c>
      <c r="G130" s="16">
        <f>SUMIFS('Business - Dump'!$K:$K,'Business - Dump'!$B:$B,'Series wise Report'!$A130,'Business - Dump'!$A:$A,'Series wise Report'!G$1)</f>
        <v>5878</v>
      </c>
      <c r="H130" s="16">
        <f>SUMIFS('Business - Dump'!$K:$K,'Business - Dump'!$B:$B,'Series wise Report'!$A130,'Business - Dump'!$A:$A,'Series wise Report'!H$1)</f>
        <v>6765</v>
      </c>
      <c r="I130" s="16">
        <f>SUMIFS('Business - Dump'!$K:$K,'Business - Dump'!$B:$B,'Series wise Report'!$A130,'Business - Dump'!$A:$A,'Series wise Report'!I$1)</f>
        <v>6923</v>
      </c>
      <c r="J130" s="16">
        <f>SUMIFS('Business - Dump'!$K:$K,'Business - Dump'!$B:$B,'Series wise Report'!$A130,'Business - Dump'!$A:$A,'Series wise Report'!J$1)</f>
        <v>14609</v>
      </c>
      <c r="K130" s="16">
        <f>SUMIFS('Business - Dump'!$K:$K,'Business - Dump'!$B:$B,'Series wise Report'!$A130,'Business - Dump'!$A:$A,'Series wise Report'!K$1)</f>
        <v>8860</v>
      </c>
      <c r="L130" s="16">
        <f>SUMIFS('Business - Dump'!$K:$K,'Business - Dump'!$B:$B,'Series wise Report'!$A130,'Business - Dump'!$A:$A,'Series wise Report'!L$1)</f>
        <v>12258</v>
      </c>
      <c r="M130" s="16">
        <f>SUMIFS('Business - Dump'!$K:$K,'Business - Dump'!$B:$B,'Series wise Report'!$A130,'Business - Dump'!$A:$A,'Series wise Report'!M$1)</f>
        <v>12294</v>
      </c>
      <c r="N130" s="16">
        <f>SUMIFS('Business - Dump'!$K:$K,'Business - Dump'!$B:$B,'Series wise Report'!$A130,'Business - Dump'!$A:$A,'Series wise Report'!N$1)</f>
        <v>14632</v>
      </c>
      <c r="O130" s="16">
        <f>SUMIFS('Business - Dump'!$K:$K,'Business - Dump'!$B:$B,'Series wise Report'!$A130,'Business - Dump'!$A:$A,'Series wise Report'!O$1)</f>
        <v>12064</v>
      </c>
      <c r="P130" s="16">
        <f>SUMIFS('Business - Dump'!$K:$K,'Business - Dump'!$B:$B,'Series wise Report'!$A130,'Business - Dump'!$A:$A,'Series wise Report'!P$1)</f>
        <v>6929</v>
      </c>
      <c r="Q130" s="16">
        <f>SUMIFS('Business - Dump'!$K:$K,'Business - Dump'!$B:$B,'Series wise Report'!$A130,'Business - Dump'!$A:$A,'Series wise Report'!Q$1)</f>
        <v>5698</v>
      </c>
      <c r="R130" s="16">
        <f>SUMIFS('Business - Dump'!$K:$K,'Business - Dump'!$B:$B,'Series wise Report'!$A130,'Business - Dump'!$A:$A,'Series wise Report'!R$1)</f>
        <v>7346</v>
      </c>
      <c r="S130" s="16">
        <f>SUMIFS('Business - Dump'!$K:$K,'Business - Dump'!$B:$B,'Series wise Report'!$A130,'Business - Dump'!$A:$A,'Series wise Report'!S$1)</f>
        <v>5599</v>
      </c>
      <c r="T130" s="16">
        <f>SUMIFS('Business - Dump'!$K:$K,'Business - Dump'!$B:$B,'Series wise Report'!$A130,'Business - Dump'!$A:$A,'Series wise Report'!T$1)</f>
        <v>6642</v>
      </c>
    </row>
    <row r="131" ht="15.75" customHeight="1">
      <c r="A131" s="138" t="s">
        <v>176</v>
      </c>
      <c r="B131" s="138" t="s">
        <v>264</v>
      </c>
      <c r="C131" s="3">
        <f t="shared" si="56"/>
        <v>505</v>
      </c>
      <c r="D131" s="3">
        <f>SUMIFS('Business - Dump'!$Q:$Q,'Business - Dump'!$B:$B,'Series wise Report'!$A131,'Business - Dump'!$A:$A,'Series wise Report'!D$1)</f>
        <v>15</v>
      </c>
      <c r="E131" s="3">
        <f>SUMIFS('Business - Dump'!$Q:$Q,'Business - Dump'!$B:$B,'Series wise Report'!$A131,'Business - Dump'!$A:$A,'Series wise Report'!E$1)</f>
        <v>22</v>
      </c>
      <c r="F131" s="3">
        <f>SUMIFS('Business - Dump'!$Q:$Q,'Business - Dump'!$B:$B,'Series wise Report'!$A131,'Business - Dump'!$A:$A,'Series wise Report'!F$1)</f>
        <v>23</v>
      </c>
      <c r="G131" s="3">
        <f>SUMIFS('Business - Dump'!$Q:$Q,'Business - Dump'!$B:$B,'Series wise Report'!$A131,'Business - Dump'!$A:$A,'Series wise Report'!G$1)</f>
        <v>19</v>
      </c>
      <c r="H131" s="3">
        <f>SUMIFS('Business - Dump'!$Q:$Q,'Business - Dump'!$B:$B,'Series wise Report'!$A131,'Business - Dump'!$A:$A,'Series wise Report'!H$1)</f>
        <v>28</v>
      </c>
      <c r="I131" s="3">
        <f>SUMIFS('Business - Dump'!$Q:$Q,'Business - Dump'!$B:$B,'Series wise Report'!$A131,'Business - Dump'!$A:$A,'Series wise Report'!I$1)</f>
        <v>20</v>
      </c>
      <c r="J131" s="3">
        <f>SUMIFS('Business - Dump'!$Q:$Q,'Business - Dump'!$B:$B,'Series wise Report'!$A131,'Business - Dump'!$A:$A,'Series wise Report'!J$1)</f>
        <v>50</v>
      </c>
      <c r="K131" s="3">
        <f>SUMIFS('Business - Dump'!$Q:$Q,'Business - Dump'!$B:$B,'Series wise Report'!$A131,'Business - Dump'!$A:$A,'Series wise Report'!K$1)</f>
        <v>32</v>
      </c>
      <c r="L131" s="3">
        <f>SUMIFS('Business - Dump'!$Q:$Q,'Business - Dump'!$B:$B,'Series wise Report'!$A131,'Business - Dump'!$A:$A,'Series wise Report'!L$1)</f>
        <v>57</v>
      </c>
      <c r="M131" s="3">
        <f>SUMIFS('Business - Dump'!$Q:$Q,'Business - Dump'!$B:$B,'Series wise Report'!$A131,'Business - Dump'!$A:$A,'Series wise Report'!M$1)</f>
        <v>50</v>
      </c>
      <c r="N131" s="3">
        <f>SUMIFS('Business - Dump'!$Q:$Q,'Business - Dump'!$B:$B,'Series wise Report'!$A131,'Business - Dump'!$A:$A,'Series wise Report'!N$1)</f>
        <v>100</v>
      </c>
      <c r="O131" s="3">
        <f>SUMIFS('Business - Dump'!$Q:$Q,'Business - Dump'!$B:$B,'Series wise Report'!$A131,'Business - Dump'!$A:$A,'Series wise Report'!O$1)</f>
        <v>69</v>
      </c>
      <c r="P131" s="3">
        <f>SUMIFS('Business - Dump'!$Q:$Q,'Business - Dump'!$B:$B,'Series wise Report'!$A131,'Business - Dump'!$A:$A,'Series wise Report'!P$1)</f>
        <v>20</v>
      </c>
      <c r="Q131" s="3">
        <f>SUMIFS('Business - Dump'!$Q:$Q,'Business - Dump'!$B:$B,'Series wise Report'!$A131,'Business - Dump'!$A:$A,'Series wise Report'!Q$1)</f>
        <v>18</v>
      </c>
      <c r="R131" s="3">
        <f>SUMIFS('Business - Dump'!$Q:$Q,'Business - Dump'!$B:$B,'Series wise Report'!$A131,'Business - Dump'!$A:$A,'Series wise Report'!R$1)</f>
        <v>37</v>
      </c>
      <c r="S131" s="24">
        <f>SUMIFS('Business - Dump'!$Q:$Q,'Business - Dump'!$B:$B,'Series wise Report'!$A131,'Business - Dump'!$A:$A,'Series wise Report'!S$1)</f>
        <v>29</v>
      </c>
      <c r="T131" s="24">
        <f>SUMIFS('Business - Dump'!$Q:$Q,'Business - Dump'!$B:$B,'Series wise Report'!$A131,'Business - Dump'!$A:$A,'Series wise Report'!T$1)</f>
        <v>45</v>
      </c>
    </row>
    <row r="132" ht="15.75" customHeight="1">
      <c r="A132" s="137" t="s">
        <v>176</v>
      </c>
      <c r="B132" s="137" t="s">
        <v>268</v>
      </c>
      <c r="C132" s="141">
        <f t="shared" si="56"/>
        <v>497</v>
      </c>
      <c r="D132" s="141">
        <f>SUMIFS('Business - Dump'!$W:$W,'Business - Dump'!$B:$B,'Series wise Report'!$A132,'Business - Dump'!$A:$A,'Series wise Report'!D$1)</f>
        <v>15</v>
      </c>
      <c r="E132" s="141">
        <f>SUMIFS('Business - Dump'!$W:$W,'Business - Dump'!$B:$B,'Series wise Report'!$A132,'Business - Dump'!$A:$A,'Series wise Report'!E$1)</f>
        <v>22</v>
      </c>
      <c r="F132" s="141">
        <f>SUMIFS('Business - Dump'!$W:$W,'Business - Dump'!$B:$B,'Series wise Report'!$A132,'Business - Dump'!$A:$A,'Series wise Report'!F$1)</f>
        <v>21</v>
      </c>
      <c r="G132" s="141">
        <f>SUMIFS('Business - Dump'!$W:$W,'Business - Dump'!$B:$B,'Series wise Report'!$A132,'Business - Dump'!$A:$A,'Series wise Report'!G$1)</f>
        <v>18</v>
      </c>
      <c r="H132" s="141">
        <f>SUMIFS('Business - Dump'!$W:$W,'Business - Dump'!$B:$B,'Series wise Report'!$A132,'Business - Dump'!$A:$A,'Series wise Report'!H$1)</f>
        <v>28</v>
      </c>
      <c r="I132" s="141">
        <f>SUMIFS('Business - Dump'!$W:$W,'Business - Dump'!$B:$B,'Series wise Report'!$A132,'Business - Dump'!$A:$A,'Series wise Report'!I$1)</f>
        <v>20</v>
      </c>
      <c r="J132" s="141">
        <f>SUMIFS('Business - Dump'!$W:$W,'Business - Dump'!$B:$B,'Series wise Report'!$A132,'Business - Dump'!$A:$A,'Series wise Report'!J$1)</f>
        <v>48</v>
      </c>
      <c r="K132" s="141">
        <f>SUMIFS('Business - Dump'!$W:$W,'Business - Dump'!$B:$B,'Series wise Report'!$A132,'Business - Dump'!$A:$A,'Series wise Report'!K$1)</f>
        <v>32</v>
      </c>
      <c r="L132" s="141">
        <f>SUMIFS('Business - Dump'!$W:$W,'Business - Dump'!$B:$B,'Series wise Report'!$A132,'Business - Dump'!$A:$A,'Series wise Report'!L$1)</f>
        <v>57</v>
      </c>
      <c r="M132" s="141">
        <f>SUMIFS('Business - Dump'!$W:$W,'Business - Dump'!$B:$B,'Series wise Report'!$A132,'Business - Dump'!$A:$A,'Series wise Report'!M$1)</f>
        <v>50</v>
      </c>
      <c r="N132" s="141">
        <f>SUMIFS('Business - Dump'!$W:$W,'Business - Dump'!$B:$B,'Series wise Report'!$A132,'Business - Dump'!$A:$A,'Series wise Report'!N$1)</f>
        <v>99</v>
      </c>
      <c r="O132" s="141">
        <f>SUMIFS('Business - Dump'!$W:$W,'Business - Dump'!$B:$B,'Series wise Report'!$A132,'Business - Dump'!$A:$A,'Series wise Report'!O$1)</f>
        <v>67</v>
      </c>
      <c r="P132" s="141">
        <f>SUMIFS('Business - Dump'!$W:$W,'Business - Dump'!$B:$B,'Series wise Report'!$A132,'Business - Dump'!$A:$A,'Series wise Report'!P$1)</f>
        <v>20</v>
      </c>
      <c r="Q132" s="141">
        <f>SUMIFS('Business - Dump'!$W:$W,'Business - Dump'!$B:$B,'Series wise Report'!$A132,'Business - Dump'!$A:$A,'Series wise Report'!Q$1)</f>
        <v>17</v>
      </c>
      <c r="R132" s="141">
        <f>SUMIFS('Business - Dump'!$W:$W,'Business - Dump'!$B:$B,'Series wise Report'!$A132,'Business - Dump'!$A:$A,'Series wise Report'!R$1)</f>
        <v>37</v>
      </c>
      <c r="S132" s="141">
        <f>SUMIFS('Business - Dump'!$W:$W,'Business - Dump'!$B:$B,'Series wise Report'!$A132,'Business - Dump'!$A:$A,'Series wise Report'!S$1)</f>
        <v>28</v>
      </c>
      <c r="T132" s="141">
        <f>SUMIFS('Business - Dump'!$W:$W,'Business - Dump'!$B:$B,'Series wise Report'!$A132,'Business - Dump'!$A:$A,'Series wise Report'!T$1)</f>
        <v>44</v>
      </c>
    </row>
    <row r="133" ht="15.75" customHeight="1">
      <c r="A133" s="10" t="s">
        <v>176</v>
      </c>
      <c r="B133" s="10" t="s">
        <v>26</v>
      </c>
      <c r="C133" s="15">
        <f t="shared" si="56"/>
        <v>10704965.11</v>
      </c>
      <c r="D133" s="15">
        <f>SUMIFS('Business - Dump'!$U:$U,'Business - Dump'!$B:$B,'Series wise Report'!$A133,'Business - Dump'!$A:$A,'Series wise Report'!D$1)</f>
        <v>330700</v>
      </c>
      <c r="E133" s="15">
        <f>SUMIFS('Business - Dump'!$U:$U,'Business - Dump'!$B:$B,'Series wise Report'!$A133,'Business - Dump'!$A:$A,'Series wise Report'!E$1)</f>
        <v>479400</v>
      </c>
      <c r="F133" s="15">
        <f>SUMIFS('Business - Dump'!$U:$U,'Business - Dump'!$B:$B,'Series wise Report'!$A133,'Business - Dump'!$A:$A,'Series wise Report'!F$1)</f>
        <v>474588</v>
      </c>
      <c r="G133" s="15">
        <f>SUMIFS('Business - Dump'!$U:$U,'Business - Dump'!$B:$B,'Series wise Report'!$A133,'Business - Dump'!$A:$A,'Series wise Report'!G$1)</f>
        <v>416900</v>
      </c>
      <c r="H133" s="15">
        <f>SUMIFS('Business - Dump'!$U:$U,'Business - Dump'!$B:$B,'Series wise Report'!$A133,'Business - Dump'!$A:$A,'Series wise Report'!H$1)</f>
        <v>623763.42</v>
      </c>
      <c r="I133" s="15">
        <f>SUMIFS('Business - Dump'!$U:$U,'Business - Dump'!$B:$B,'Series wise Report'!$A133,'Business - Dump'!$A:$A,'Series wise Report'!I$1)</f>
        <v>478094.08</v>
      </c>
      <c r="J133" s="15">
        <f>SUMIFS('Business - Dump'!$U:$U,'Business - Dump'!$B:$B,'Series wise Report'!$A133,'Business - Dump'!$A:$A,'Series wise Report'!J$1)</f>
        <v>993759.36</v>
      </c>
      <c r="K133" s="15">
        <f>SUMIFS('Business - Dump'!$U:$U,'Business - Dump'!$B:$B,'Series wise Report'!$A133,'Business - Dump'!$A:$A,'Series wise Report'!K$1)</f>
        <v>727888.48</v>
      </c>
      <c r="L133" s="15">
        <f>SUMIFS('Business - Dump'!$U:$U,'Business - Dump'!$B:$B,'Series wise Report'!$A133,'Business - Dump'!$A:$A,'Series wise Report'!L$1)</f>
        <v>1176014.73</v>
      </c>
      <c r="M133" s="15">
        <f>SUMIFS('Business - Dump'!$U:$U,'Business - Dump'!$B:$B,'Series wise Report'!$A133,'Business - Dump'!$A:$A,'Series wise Report'!M$1)</f>
        <v>1064878.31</v>
      </c>
      <c r="N133" s="15">
        <f>SUMIFS('Business - Dump'!$U:$U,'Business - Dump'!$B:$B,'Series wise Report'!$A133,'Business - Dump'!$A:$A,'Series wise Report'!N$1)</f>
        <v>2080384.63</v>
      </c>
      <c r="O133" s="15">
        <f>SUMIFS('Business - Dump'!$U:$U,'Business - Dump'!$B:$B,'Series wise Report'!$A133,'Business - Dump'!$A:$A,'Series wise Report'!O$1)</f>
        <v>1384567.1</v>
      </c>
      <c r="P133" s="15">
        <f>SUMIFS('Business - Dump'!$U:$U,'Business - Dump'!$B:$B,'Series wise Report'!$A133,'Business - Dump'!$A:$A,'Series wise Report'!P$1)</f>
        <v>474027</v>
      </c>
      <c r="Q133" s="15">
        <f>SUMIFS('Business - Dump'!$U:$U,'Business - Dump'!$B:$B,'Series wise Report'!$A133,'Business - Dump'!$A:$A,'Series wise Report'!Q$1)</f>
        <v>413845.85</v>
      </c>
      <c r="R133" s="15">
        <f>SUMIFS('Business - Dump'!$U:$U,'Business - Dump'!$B:$B,'Series wise Report'!$A133,'Business - Dump'!$A:$A,'Series wise Report'!R$1)</f>
        <v>800199.86</v>
      </c>
      <c r="S133" s="15">
        <f>SUMIFS('Business - Dump'!$U:$U,'Business - Dump'!$B:$B,'Series wise Report'!$A133,'Business - Dump'!$A:$A,'Series wise Report'!S$1)</f>
        <v>605242.8</v>
      </c>
      <c r="T133" s="15">
        <f>SUMIFS('Business - Dump'!$U:$U,'Business - Dump'!$B:$B,'Series wise Report'!$A133,'Business - Dump'!$A:$A,'Series wise Report'!T$1)</f>
        <v>940153.34</v>
      </c>
    </row>
    <row r="134" ht="15.75" customHeight="1">
      <c r="A134" s="10" t="s">
        <v>176</v>
      </c>
      <c r="B134" s="10" t="s">
        <v>29</v>
      </c>
      <c r="C134" s="17">
        <f t="shared" ref="C134:T134" si="57">IFERROR(C132/C129,0)</f>
        <v>0.005871720048</v>
      </c>
      <c r="D134" s="17">
        <f t="shared" si="57"/>
        <v>0.004252906153</v>
      </c>
      <c r="E134" s="17">
        <f t="shared" si="57"/>
        <v>0.004805591962</v>
      </c>
      <c r="F134" s="17">
        <f t="shared" si="57"/>
        <v>0.005548216645</v>
      </c>
      <c r="G134" s="17">
        <f t="shared" si="57"/>
        <v>0.004164738547</v>
      </c>
      <c r="H134" s="17">
        <f t="shared" si="57"/>
        <v>0.005594405594</v>
      </c>
      <c r="I134" s="17">
        <f t="shared" si="57"/>
        <v>0.003920799843</v>
      </c>
      <c r="J134" s="17">
        <f t="shared" si="57"/>
        <v>0.005167958656</v>
      </c>
      <c r="K134" s="17">
        <f t="shared" si="57"/>
        <v>0.004733727811</v>
      </c>
      <c r="L134" s="17">
        <f t="shared" si="57"/>
        <v>0.006308799115</v>
      </c>
      <c r="M134" s="17">
        <f t="shared" si="57"/>
        <v>0.005418292154</v>
      </c>
      <c r="N134" s="17">
        <f t="shared" si="57"/>
        <v>0.009481850397</v>
      </c>
      <c r="O134" s="17">
        <f t="shared" si="57"/>
        <v>0.007890707808</v>
      </c>
      <c r="P134" s="17">
        <f t="shared" si="57"/>
        <v>0.003935458481</v>
      </c>
      <c r="Q134" s="17">
        <f t="shared" si="57"/>
        <v>0.003878621948</v>
      </c>
      <c r="R134" s="17">
        <f t="shared" si="57"/>
        <v>0.006902985075</v>
      </c>
      <c r="S134" s="17">
        <f t="shared" si="57"/>
        <v>0.006829268293</v>
      </c>
      <c r="T134" s="17">
        <f t="shared" si="57"/>
        <v>0.009100310238</v>
      </c>
    </row>
    <row r="135" ht="15.75" customHeight="1">
      <c r="A135" s="10" t="s">
        <v>176</v>
      </c>
      <c r="B135" s="10" t="s">
        <v>282</v>
      </c>
      <c r="C135" s="16">
        <f t="shared" ref="C135:T135" si="58">IFERROR(C133/C132,0)</f>
        <v>21539.16521</v>
      </c>
      <c r="D135" s="16">
        <f t="shared" si="58"/>
        <v>22046.66667</v>
      </c>
      <c r="E135" s="16">
        <f t="shared" si="58"/>
        <v>21790.90909</v>
      </c>
      <c r="F135" s="16">
        <f t="shared" si="58"/>
        <v>22599.42857</v>
      </c>
      <c r="G135" s="16">
        <f t="shared" si="58"/>
        <v>23161.11111</v>
      </c>
      <c r="H135" s="16">
        <f t="shared" si="58"/>
        <v>22277.265</v>
      </c>
      <c r="I135" s="16">
        <f t="shared" si="58"/>
        <v>23904.704</v>
      </c>
      <c r="J135" s="16">
        <f t="shared" si="58"/>
        <v>20703.32</v>
      </c>
      <c r="K135" s="16">
        <f t="shared" si="58"/>
        <v>22746.515</v>
      </c>
      <c r="L135" s="16">
        <f t="shared" si="58"/>
        <v>20631.83737</v>
      </c>
      <c r="M135" s="16">
        <f t="shared" si="58"/>
        <v>21297.5662</v>
      </c>
      <c r="N135" s="16">
        <f t="shared" si="58"/>
        <v>21013.98616</v>
      </c>
      <c r="O135" s="16">
        <f t="shared" si="58"/>
        <v>20665.1806</v>
      </c>
      <c r="P135" s="16">
        <f t="shared" si="58"/>
        <v>23701.35</v>
      </c>
      <c r="Q135" s="16">
        <f t="shared" si="58"/>
        <v>24343.87353</v>
      </c>
      <c r="R135" s="16">
        <f t="shared" si="58"/>
        <v>21627.02324</v>
      </c>
      <c r="S135" s="16">
        <f t="shared" si="58"/>
        <v>21615.81429</v>
      </c>
      <c r="T135" s="16">
        <f t="shared" si="58"/>
        <v>21367.12136</v>
      </c>
    </row>
    <row r="136" ht="15.75" customHeight="1">
      <c r="A136" s="33" t="s">
        <v>230</v>
      </c>
      <c r="B136" s="10" t="s">
        <v>257</v>
      </c>
      <c r="C136" s="16">
        <f t="shared" ref="C136:C140" si="59">SUM(D136:P136)</f>
        <v>27760</v>
      </c>
      <c r="D136" s="16">
        <f>SUMIFS('Business - Dump'!$G:$G,'Business - Dump'!$B:$B,'Series wise Report'!$A136,'Business - Dump'!$A:$A,'Series wise Report'!D$1)</f>
        <v>0</v>
      </c>
      <c r="E136" s="16">
        <f>SUMIFS('Business - Dump'!$G:$G,'Business - Dump'!$B:$B,'Series wise Report'!$A136,'Business - Dump'!$A:$A,'Series wise Report'!E$1)</f>
        <v>0</v>
      </c>
      <c r="F136" s="16">
        <f>SUMIFS('Business - Dump'!$G:$G,'Business - Dump'!$B:$B,'Series wise Report'!$A136,'Business - Dump'!$A:$A,'Series wise Report'!F$1)</f>
        <v>0</v>
      </c>
      <c r="G136" s="16">
        <f>SUMIFS('Business - Dump'!$G:$G,'Business - Dump'!$B:$B,'Series wise Report'!$A136,'Business - Dump'!$A:$A,'Series wise Report'!G$1)</f>
        <v>0</v>
      </c>
      <c r="H136" s="16">
        <f>SUMIFS('Business - Dump'!$G:$G,'Business - Dump'!$B:$B,'Series wise Report'!$A136,'Business - Dump'!$A:$A,'Series wise Report'!H$1)</f>
        <v>1015</v>
      </c>
      <c r="I136" s="16">
        <f>SUMIFS('Business - Dump'!$G:$G,'Business - Dump'!$B:$B,'Series wise Report'!$A136,'Business - Dump'!$A:$A,'Series wise Report'!I$1)</f>
        <v>2802</v>
      </c>
      <c r="J136" s="16">
        <f>SUMIFS('Business - Dump'!$G:$G,'Business - Dump'!$B:$B,'Series wise Report'!$A136,'Business - Dump'!$A:$A,'Series wise Report'!J$1)</f>
        <v>4147</v>
      </c>
      <c r="K136" s="16">
        <f>SUMIFS('Business - Dump'!$G:$G,'Business - Dump'!$B:$B,'Series wise Report'!$A136,'Business - Dump'!$A:$A,'Series wise Report'!K$1)</f>
        <v>1074</v>
      </c>
      <c r="L136" s="16">
        <f>SUMIFS('Business - Dump'!$G:$G,'Business - Dump'!$B:$B,'Series wise Report'!$A136,'Business - Dump'!$A:$A,'Series wise Report'!L$1)</f>
        <v>1953</v>
      </c>
      <c r="M136" s="16">
        <f>SUMIFS('Business - Dump'!$G:$G,'Business - Dump'!$B:$B,'Series wise Report'!$A136,'Business - Dump'!$A:$A,'Series wise Report'!M$1)</f>
        <v>1755</v>
      </c>
      <c r="N136" s="16">
        <f>SUMIFS('Business - Dump'!$G:$G,'Business - Dump'!$B:$B,'Series wise Report'!$A136,'Business - Dump'!$A:$A,'Series wise Report'!N$1)</f>
        <v>7182</v>
      </c>
      <c r="O136" s="16">
        <f>SUMIFS('Business - Dump'!$G:$G,'Business - Dump'!$B:$B,'Series wise Report'!$A136,'Business - Dump'!$A:$A,'Series wise Report'!O$1)</f>
        <v>4357</v>
      </c>
      <c r="P136" s="16">
        <f>SUMIFS('Business - Dump'!$G:$G,'Business - Dump'!$B:$B,'Series wise Report'!$A136,'Business - Dump'!$A:$A,'Series wise Report'!P$1)</f>
        <v>3475</v>
      </c>
      <c r="Q136" s="16">
        <f>SUMIFS('Business - Dump'!$G:$G,'Business - Dump'!$B:$B,'Series wise Report'!$A136,'Business - Dump'!$A:$A,'Series wise Report'!Q$1)</f>
        <v>3081</v>
      </c>
      <c r="R136" s="16">
        <f>SUMIFS('Business - Dump'!$G:$G,'Business - Dump'!$B:$B,'Series wise Report'!$A136,'Business - Dump'!$A:$A,'Series wise Report'!R$1)</f>
        <v>5863</v>
      </c>
      <c r="S136" s="16">
        <f>SUMIFS('Business - Dump'!$G:$G,'Business - Dump'!$B:$B,'Series wise Report'!$A136,'Business - Dump'!$A:$A,'Series wise Report'!S$1)</f>
        <v>2991</v>
      </c>
      <c r="T136" s="16">
        <f>SUMIFS('Business - Dump'!$G:$G,'Business - Dump'!$B:$B,'Series wise Report'!$A136,'Business - Dump'!$A:$A,'Series wise Report'!T$1)</f>
        <v>3653</v>
      </c>
    </row>
    <row r="137" ht="15.75" customHeight="1">
      <c r="A137" s="33" t="s">
        <v>230</v>
      </c>
      <c r="B137" s="10" t="s">
        <v>260</v>
      </c>
      <c r="C137" s="16">
        <f t="shared" si="59"/>
        <v>39773</v>
      </c>
      <c r="D137" s="16">
        <f>SUMIFS('Business - Dump'!$K:$K,'Business - Dump'!$B:$B,'Series wise Report'!$A137,'Business - Dump'!$A:$A,'Series wise Report'!D$1)</f>
        <v>0</v>
      </c>
      <c r="E137" s="16">
        <f>SUMIFS('Business - Dump'!$K:$K,'Business - Dump'!$B:$B,'Series wise Report'!$A137,'Business - Dump'!$A:$A,'Series wise Report'!E$1)</f>
        <v>0</v>
      </c>
      <c r="F137" s="16">
        <f>SUMIFS('Business - Dump'!$K:$K,'Business - Dump'!$B:$B,'Series wise Report'!$A137,'Business - Dump'!$A:$A,'Series wise Report'!F$1)</f>
        <v>0</v>
      </c>
      <c r="G137" s="16">
        <f>SUMIFS('Business - Dump'!$K:$K,'Business - Dump'!$B:$B,'Series wise Report'!$A137,'Business - Dump'!$A:$A,'Series wise Report'!G$1)</f>
        <v>0</v>
      </c>
      <c r="H137" s="16">
        <f>SUMIFS('Business - Dump'!$K:$K,'Business - Dump'!$B:$B,'Series wise Report'!$A137,'Business - Dump'!$A:$A,'Series wise Report'!H$1)</f>
        <v>1384</v>
      </c>
      <c r="I137" s="16">
        <f>SUMIFS('Business - Dump'!$K:$K,'Business - Dump'!$B:$B,'Series wise Report'!$A137,'Business - Dump'!$A:$A,'Series wise Report'!I$1)</f>
        <v>3789</v>
      </c>
      <c r="J137" s="16">
        <f>SUMIFS('Business - Dump'!$K:$K,'Business - Dump'!$B:$B,'Series wise Report'!$A137,'Business - Dump'!$A:$A,'Series wise Report'!J$1)</f>
        <v>6771</v>
      </c>
      <c r="K137" s="16">
        <f>SUMIFS('Business - Dump'!$K:$K,'Business - Dump'!$B:$B,'Series wise Report'!$A137,'Business - Dump'!$A:$A,'Series wise Report'!K$1)</f>
        <v>1426</v>
      </c>
      <c r="L137" s="16">
        <f>SUMIFS('Business - Dump'!$K:$K,'Business - Dump'!$B:$B,'Series wise Report'!$A137,'Business - Dump'!$A:$A,'Series wise Report'!L$1)</f>
        <v>2607</v>
      </c>
      <c r="M137" s="16">
        <f>SUMIFS('Business - Dump'!$K:$K,'Business - Dump'!$B:$B,'Series wise Report'!$A137,'Business - Dump'!$A:$A,'Series wise Report'!M$1)</f>
        <v>2155</v>
      </c>
      <c r="N137" s="16">
        <f>SUMIFS('Business - Dump'!$K:$K,'Business - Dump'!$B:$B,'Series wise Report'!$A137,'Business - Dump'!$A:$A,'Series wise Report'!N$1)</f>
        <v>10999</v>
      </c>
      <c r="O137" s="16">
        <f>SUMIFS('Business - Dump'!$K:$K,'Business - Dump'!$B:$B,'Series wise Report'!$A137,'Business - Dump'!$A:$A,'Series wise Report'!O$1)</f>
        <v>5875</v>
      </c>
      <c r="P137" s="16">
        <f>SUMIFS('Business - Dump'!$K:$K,'Business - Dump'!$B:$B,'Series wise Report'!$A137,'Business - Dump'!$A:$A,'Series wise Report'!P$1)</f>
        <v>4767</v>
      </c>
      <c r="Q137" s="16">
        <f>SUMIFS('Business - Dump'!$K:$K,'Business - Dump'!$B:$B,'Series wise Report'!$A137,'Business - Dump'!$A:$A,'Series wise Report'!Q$1)</f>
        <v>4117</v>
      </c>
      <c r="R137" s="16">
        <f>SUMIFS('Business - Dump'!$K:$K,'Business - Dump'!$B:$B,'Series wise Report'!$A137,'Business - Dump'!$A:$A,'Series wise Report'!R$1)</f>
        <v>7984</v>
      </c>
      <c r="S137" s="16">
        <f>SUMIFS('Business - Dump'!$K:$K,'Business - Dump'!$B:$B,'Series wise Report'!$A137,'Business - Dump'!$A:$A,'Series wise Report'!S$1)</f>
        <v>4006</v>
      </c>
      <c r="T137" s="16">
        <f>SUMIFS('Business - Dump'!$K:$K,'Business - Dump'!$B:$B,'Series wise Report'!$A137,'Business - Dump'!$A:$A,'Series wise Report'!T$1)</f>
        <v>4972</v>
      </c>
    </row>
    <row r="138" ht="15.75" customHeight="1">
      <c r="A138" s="33" t="s">
        <v>230</v>
      </c>
      <c r="B138" s="138" t="s">
        <v>264</v>
      </c>
      <c r="C138" s="3">
        <f t="shared" si="59"/>
        <v>212</v>
      </c>
      <c r="D138" s="3">
        <f>SUMIFS('Business - Dump'!$Q:$Q,'Business - Dump'!$B:$B,'Series wise Report'!$A138,'Business - Dump'!$A:$A,'Series wise Report'!D$1)</f>
        <v>0</v>
      </c>
      <c r="E138" s="3">
        <f>SUMIFS('Business - Dump'!$Q:$Q,'Business - Dump'!$B:$B,'Series wise Report'!$A138,'Business - Dump'!$A:$A,'Series wise Report'!E$1)</f>
        <v>0</v>
      </c>
      <c r="F138" s="3">
        <f>SUMIFS('Business - Dump'!$Q:$Q,'Business - Dump'!$B:$B,'Series wise Report'!$A138,'Business - Dump'!$A:$A,'Series wise Report'!F$1)</f>
        <v>0</v>
      </c>
      <c r="G138" s="3">
        <f>SUMIFS('Business - Dump'!$Q:$Q,'Business - Dump'!$B:$B,'Series wise Report'!$A138,'Business - Dump'!$A:$A,'Series wise Report'!G$1)</f>
        <v>0</v>
      </c>
      <c r="H138" s="3">
        <f>SUMIFS('Business - Dump'!$Q:$Q,'Business - Dump'!$B:$B,'Series wise Report'!$A138,'Business - Dump'!$A:$A,'Series wise Report'!H$1)</f>
        <v>10</v>
      </c>
      <c r="I138" s="3">
        <f>SUMIFS('Business - Dump'!$Q:$Q,'Business - Dump'!$B:$B,'Series wise Report'!$A138,'Business - Dump'!$A:$A,'Series wise Report'!I$1)</f>
        <v>23</v>
      </c>
      <c r="J138" s="3">
        <f>SUMIFS('Business - Dump'!$Q:$Q,'Business - Dump'!$B:$B,'Series wise Report'!$A138,'Business - Dump'!$A:$A,'Series wise Report'!J$1)</f>
        <v>51</v>
      </c>
      <c r="K138" s="3">
        <f>SUMIFS('Business - Dump'!$Q:$Q,'Business - Dump'!$B:$B,'Series wise Report'!$A138,'Business - Dump'!$A:$A,'Series wise Report'!K$1)</f>
        <v>11</v>
      </c>
      <c r="L138" s="3">
        <f>SUMIFS('Business - Dump'!$Q:$Q,'Business - Dump'!$B:$B,'Series wise Report'!$A138,'Business - Dump'!$A:$A,'Series wise Report'!L$1)</f>
        <v>14</v>
      </c>
      <c r="M138" s="3">
        <f>SUMIFS('Business - Dump'!$Q:$Q,'Business - Dump'!$B:$B,'Series wise Report'!$A138,'Business - Dump'!$A:$A,'Series wise Report'!M$1)</f>
        <v>11</v>
      </c>
      <c r="N138" s="3">
        <f>SUMIFS('Business - Dump'!$Q:$Q,'Business - Dump'!$B:$B,'Series wise Report'!$A138,'Business - Dump'!$A:$A,'Series wise Report'!N$1)</f>
        <v>43</v>
      </c>
      <c r="O138" s="3">
        <f>SUMIFS('Business - Dump'!$Q:$Q,'Business - Dump'!$B:$B,'Series wise Report'!$A138,'Business - Dump'!$A:$A,'Series wise Report'!O$1)</f>
        <v>26</v>
      </c>
      <c r="P138" s="3">
        <f>SUMIFS('Business - Dump'!$Q:$Q,'Business - Dump'!$B:$B,'Series wise Report'!$A138,'Business - Dump'!$A:$A,'Series wise Report'!P$1)</f>
        <v>23</v>
      </c>
      <c r="Q138" s="3">
        <f>SUMIFS('Business - Dump'!$Q:$Q,'Business - Dump'!$B:$B,'Series wise Report'!$A138,'Business - Dump'!$A:$A,'Series wise Report'!Q$1)</f>
        <v>26</v>
      </c>
      <c r="R138" s="3">
        <f>SUMIFS('Business - Dump'!$Q:$Q,'Business - Dump'!$B:$B,'Series wise Report'!$A138,'Business - Dump'!$A:$A,'Series wise Report'!R$1)</f>
        <v>36</v>
      </c>
      <c r="S138" s="24">
        <f>SUMIFS('Business - Dump'!$Q:$Q,'Business - Dump'!$B:$B,'Series wise Report'!$A138,'Business - Dump'!$A:$A,'Series wise Report'!S$1)</f>
        <v>14</v>
      </c>
      <c r="T138" s="24">
        <f>SUMIFS('Business - Dump'!$Q:$Q,'Business - Dump'!$B:$B,'Series wise Report'!$A138,'Business - Dump'!$A:$A,'Series wise Report'!T$1)</f>
        <v>30</v>
      </c>
    </row>
    <row r="139" ht="15.75" customHeight="1">
      <c r="A139" s="33" t="s">
        <v>230</v>
      </c>
      <c r="B139" s="137" t="s">
        <v>268</v>
      </c>
      <c r="C139" s="141">
        <f t="shared" si="59"/>
        <v>212</v>
      </c>
      <c r="D139" s="141">
        <f>SUMIFS('Business - Dump'!$W:$W,'Business - Dump'!$B:$B,'Series wise Report'!$A139,'Business - Dump'!$A:$A,'Series wise Report'!D$1)</f>
        <v>0</v>
      </c>
      <c r="E139" s="141">
        <f>SUMIFS('Business - Dump'!$W:$W,'Business - Dump'!$B:$B,'Series wise Report'!$A139,'Business - Dump'!$A:$A,'Series wise Report'!E$1)</f>
        <v>0</v>
      </c>
      <c r="F139" s="141">
        <f>SUMIFS('Business - Dump'!$W:$W,'Business - Dump'!$B:$B,'Series wise Report'!$A139,'Business - Dump'!$A:$A,'Series wise Report'!F$1)</f>
        <v>0</v>
      </c>
      <c r="G139" s="141">
        <f>SUMIFS('Business - Dump'!$W:$W,'Business - Dump'!$B:$B,'Series wise Report'!$A139,'Business - Dump'!$A:$A,'Series wise Report'!G$1)</f>
        <v>0</v>
      </c>
      <c r="H139" s="141">
        <f>SUMIFS('Business - Dump'!$W:$W,'Business - Dump'!$B:$B,'Series wise Report'!$A139,'Business - Dump'!$A:$A,'Series wise Report'!H$1)</f>
        <v>10</v>
      </c>
      <c r="I139" s="141">
        <f>SUMIFS('Business - Dump'!$W:$W,'Business - Dump'!$B:$B,'Series wise Report'!$A139,'Business - Dump'!$A:$A,'Series wise Report'!I$1)</f>
        <v>23</v>
      </c>
      <c r="J139" s="141">
        <f>SUMIFS('Business - Dump'!$W:$W,'Business - Dump'!$B:$B,'Series wise Report'!$A139,'Business - Dump'!$A:$A,'Series wise Report'!J$1)</f>
        <v>51</v>
      </c>
      <c r="K139" s="141">
        <f>SUMIFS('Business - Dump'!$W:$W,'Business - Dump'!$B:$B,'Series wise Report'!$A139,'Business - Dump'!$A:$A,'Series wise Report'!K$1)</f>
        <v>11</v>
      </c>
      <c r="L139" s="141">
        <f>SUMIFS('Business - Dump'!$W:$W,'Business - Dump'!$B:$B,'Series wise Report'!$A139,'Business - Dump'!$A:$A,'Series wise Report'!L$1)</f>
        <v>14</v>
      </c>
      <c r="M139" s="141">
        <f>SUMIFS('Business - Dump'!$W:$W,'Business - Dump'!$B:$B,'Series wise Report'!$A139,'Business - Dump'!$A:$A,'Series wise Report'!M$1)</f>
        <v>11</v>
      </c>
      <c r="N139" s="141">
        <f>SUMIFS('Business - Dump'!$W:$W,'Business - Dump'!$B:$B,'Series wise Report'!$A139,'Business - Dump'!$A:$A,'Series wise Report'!N$1)</f>
        <v>43</v>
      </c>
      <c r="O139" s="141">
        <f>SUMIFS('Business - Dump'!$W:$W,'Business - Dump'!$B:$B,'Series wise Report'!$A139,'Business - Dump'!$A:$A,'Series wise Report'!O$1)</f>
        <v>26</v>
      </c>
      <c r="P139" s="141">
        <f>SUMIFS('Business - Dump'!$W:$W,'Business - Dump'!$B:$B,'Series wise Report'!$A139,'Business - Dump'!$A:$A,'Series wise Report'!P$1)</f>
        <v>23</v>
      </c>
      <c r="Q139" s="141">
        <f>SUMIFS('Business - Dump'!$W:$W,'Business - Dump'!$B:$B,'Series wise Report'!$A139,'Business - Dump'!$A:$A,'Series wise Report'!Q$1)</f>
        <v>26</v>
      </c>
      <c r="R139" s="141">
        <f>SUMIFS('Business - Dump'!$W:$W,'Business - Dump'!$B:$B,'Series wise Report'!$A139,'Business - Dump'!$A:$A,'Series wise Report'!R$1)</f>
        <v>36</v>
      </c>
      <c r="S139" s="141">
        <f>SUMIFS('Business - Dump'!$W:$W,'Business - Dump'!$B:$B,'Series wise Report'!$A139,'Business - Dump'!$A:$A,'Series wise Report'!S$1)</f>
        <v>14</v>
      </c>
      <c r="T139" s="141">
        <f>SUMIFS('Business - Dump'!$W:$W,'Business - Dump'!$B:$B,'Series wise Report'!$A139,'Business - Dump'!$A:$A,'Series wise Report'!T$1)</f>
        <v>27</v>
      </c>
    </row>
    <row r="140" ht="15.75" customHeight="1">
      <c r="A140" s="33" t="s">
        <v>230</v>
      </c>
      <c r="B140" s="10" t="s">
        <v>26</v>
      </c>
      <c r="C140" s="15">
        <f t="shared" si="59"/>
        <v>5653874.18</v>
      </c>
      <c r="D140" s="15">
        <f>SUMIFS('Business - Dump'!$U:$U,'Business - Dump'!$B:$B,'Series wise Report'!$A140,'Business - Dump'!$A:$A,'Series wise Report'!D$1)</f>
        <v>0</v>
      </c>
      <c r="E140" s="15">
        <f>SUMIFS('Business - Dump'!$U:$U,'Business - Dump'!$B:$B,'Series wise Report'!$A140,'Business - Dump'!$A:$A,'Series wise Report'!E$1)</f>
        <v>0</v>
      </c>
      <c r="F140" s="15">
        <f>SUMIFS('Business - Dump'!$U:$U,'Business - Dump'!$B:$B,'Series wise Report'!$A140,'Business - Dump'!$A:$A,'Series wise Report'!F$1)</f>
        <v>0</v>
      </c>
      <c r="G140" s="15">
        <f>SUMIFS('Business - Dump'!$U:$U,'Business - Dump'!$B:$B,'Series wise Report'!$A140,'Business - Dump'!$A:$A,'Series wise Report'!G$1)</f>
        <v>0</v>
      </c>
      <c r="H140" s="15">
        <f>SUMIFS('Business - Dump'!$U:$U,'Business - Dump'!$B:$B,'Series wise Report'!$A140,'Business - Dump'!$A:$A,'Series wise Report'!H$1)</f>
        <v>255000</v>
      </c>
      <c r="I140" s="15">
        <f>SUMIFS('Business - Dump'!$U:$U,'Business - Dump'!$B:$B,'Series wise Report'!$A140,'Business - Dump'!$A:$A,'Series wise Report'!I$1)</f>
        <v>592996.64</v>
      </c>
      <c r="J140" s="15">
        <f>SUMIFS('Business - Dump'!$U:$U,'Business - Dump'!$B:$B,'Series wise Report'!$A140,'Business - Dump'!$A:$A,'Series wise Report'!J$1)</f>
        <v>1363898.68</v>
      </c>
      <c r="K140" s="15">
        <f>SUMIFS('Business - Dump'!$U:$U,'Business - Dump'!$B:$B,'Series wise Report'!$A140,'Business - Dump'!$A:$A,'Series wise Report'!K$1)</f>
        <v>302750</v>
      </c>
      <c r="L140" s="15">
        <f>SUMIFS('Business - Dump'!$U:$U,'Business - Dump'!$B:$B,'Series wise Report'!$A140,'Business - Dump'!$A:$A,'Series wise Report'!L$1)</f>
        <v>375500</v>
      </c>
      <c r="M140" s="15">
        <f>SUMIFS('Business - Dump'!$U:$U,'Business - Dump'!$B:$B,'Series wise Report'!$A140,'Business - Dump'!$A:$A,'Series wise Report'!M$1)</f>
        <v>307462.72</v>
      </c>
      <c r="N140" s="15">
        <f>SUMIFS('Business - Dump'!$U:$U,'Business - Dump'!$B:$B,'Series wise Report'!$A140,'Business - Dump'!$A:$A,'Series wise Report'!N$1)</f>
        <v>1171746.42</v>
      </c>
      <c r="O140" s="15">
        <f>SUMIFS('Business - Dump'!$U:$U,'Business - Dump'!$B:$B,'Series wise Report'!$A140,'Business - Dump'!$A:$A,'Series wise Report'!O$1)</f>
        <v>677796.08</v>
      </c>
      <c r="P140" s="15">
        <f>SUMIFS('Business - Dump'!$U:$U,'Business - Dump'!$B:$B,'Series wise Report'!$A140,'Business - Dump'!$A:$A,'Series wise Report'!P$1)</f>
        <v>606723.64</v>
      </c>
      <c r="Q140" s="15">
        <f>SUMIFS('Business - Dump'!$U:$U,'Business - Dump'!$B:$B,'Series wise Report'!$A140,'Business - Dump'!$A:$A,'Series wise Report'!Q$1)</f>
        <v>706399.64</v>
      </c>
      <c r="R140" s="15">
        <f>SUMIFS('Business - Dump'!$U:$U,'Business - Dump'!$B:$B,'Series wise Report'!$A140,'Business - Dump'!$A:$A,'Series wise Report'!R$1)</f>
        <v>975217.34</v>
      </c>
      <c r="S140" s="15">
        <f>SUMIFS('Business - Dump'!$U:$U,'Business - Dump'!$B:$B,'Series wise Report'!$A140,'Business - Dump'!$A:$A,'Series wise Report'!S$1)</f>
        <v>393473.9</v>
      </c>
      <c r="T140" s="15">
        <f>SUMIFS('Business - Dump'!$U:$U,'Business - Dump'!$B:$B,'Series wise Report'!$A140,'Business - Dump'!$A:$A,'Series wise Report'!T$1)</f>
        <v>853792.62</v>
      </c>
    </row>
    <row r="141" ht="15.75" customHeight="1">
      <c r="A141" s="33" t="s">
        <v>230</v>
      </c>
      <c r="B141" s="10" t="s">
        <v>29</v>
      </c>
      <c r="C141" s="17">
        <f t="shared" ref="C141:T141" si="60">IFERROR(C139/C136,0)</f>
        <v>0.007636887608</v>
      </c>
      <c r="D141" s="17">
        <f t="shared" si="60"/>
        <v>0</v>
      </c>
      <c r="E141" s="17">
        <f t="shared" si="60"/>
        <v>0</v>
      </c>
      <c r="F141" s="17">
        <f t="shared" si="60"/>
        <v>0</v>
      </c>
      <c r="G141" s="17">
        <f t="shared" si="60"/>
        <v>0</v>
      </c>
      <c r="H141" s="17">
        <f t="shared" si="60"/>
        <v>0.009852216749</v>
      </c>
      <c r="I141" s="17">
        <f t="shared" si="60"/>
        <v>0.008208422555</v>
      </c>
      <c r="J141" s="17">
        <f t="shared" si="60"/>
        <v>0.01229804678</v>
      </c>
      <c r="K141" s="17">
        <f t="shared" si="60"/>
        <v>0.01024208566</v>
      </c>
      <c r="L141" s="17">
        <f t="shared" si="60"/>
        <v>0.007168458781</v>
      </c>
      <c r="M141" s="17">
        <f t="shared" si="60"/>
        <v>0.006267806268</v>
      </c>
      <c r="N141" s="17">
        <f t="shared" si="60"/>
        <v>0.005987190198</v>
      </c>
      <c r="O141" s="17">
        <f t="shared" si="60"/>
        <v>0.005967408768</v>
      </c>
      <c r="P141" s="17">
        <f t="shared" si="60"/>
        <v>0.006618705036</v>
      </c>
      <c r="Q141" s="17">
        <f t="shared" si="60"/>
        <v>0.008438818565</v>
      </c>
      <c r="R141" s="17">
        <f t="shared" si="60"/>
        <v>0.006140201262</v>
      </c>
      <c r="S141" s="17">
        <f t="shared" si="60"/>
        <v>0.004680708793</v>
      </c>
      <c r="T141" s="17">
        <f t="shared" si="60"/>
        <v>0.007391185327</v>
      </c>
    </row>
    <row r="142" ht="15.75" customHeight="1">
      <c r="A142" s="33" t="s">
        <v>230</v>
      </c>
      <c r="B142" s="10" t="s">
        <v>282</v>
      </c>
      <c r="C142" s="16">
        <f t="shared" ref="C142:T142" si="61">IFERROR(C140/C139,0)</f>
        <v>26669.21783</v>
      </c>
      <c r="D142" s="16">
        <f t="shared" si="61"/>
        <v>0</v>
      </c>
      <c r="E142" s="16">
        <f t="shared" si="61"/>
        <v>0</v>
      </c>
      <c r="F142" s="16">
        <f t="shared" si="61"/>
        <v>0</v>
      </c>
      <c r="G142" s="16">
        <f t="shared" si="61"/>
        <v>0</v>
      </c>
      <c r="H142" s="16">
        <f t="shared" si="61"/>
        <v>25500</v>
      </c>
      <c r="I142" s="16">
        <f t="shared" si="61"/>
        <v>25782.46261</v>
      </c>
      <c r="J142" s="16">
        <f t="shared" si="61"/>
        <v>26743.11137</v>
      </c>
      <c r="K142" s="16">
        <f t="shared" si="61"/>
        <v>27522.72727</v>
      </c>
      <c r="L142" s="16">
        <f t="shared" si="61"/>
        <v>26821.42857</v>
      </c>
      <c r="M142" s="16">
        <f t="shared" si="61"/>
        <v>27951.15636</v>
      </c>
      <c r="N142" s="16">
        <f t="shared" si="61"/>
        <v>27249.91674</v>
      </c>
      <c r="O142" s="16">
        <f t="shared" si="61"/>
        <v>26069.08</v>
      </c>
      <c r="P142" s="16">
        <f t="shared" si="61"/>
        <v>26379.2887</v>
      </c>
      <c r="Q142" s="16">
        <f t="shared" si="61"/>
        <v>27169.21692</v>
      </c>
      <c r="R142" s="16">
        <f t="shared" si="61"/>
        <v>27089.37056</v>
      </c>
      <c r="S142" s="16">
        <f t="shared" si="61"/>
        <v>28105.27857</v>
      </c>
      <c r="T142" s="16">
        <f t="shared" si="61"/>
        <v>31621.94889</v>
      </c>
    </row>
    <row r="143" ht="15.75" customHeight="1">
      <c r="A143" s="10" t="s">
        <v>119</v>
      </c>
      <c r="B143" s="10" t="s">
        <v>257</v>
      </c>
      <c r="C143" s="16">
        <f t="shared" ref="C143:C147" si="62">SUM(D143:P143)</f>
        <v>14682</v>
      </c>
      <c r="D143" s="16">
        <f>SUMIFS('Business - Dump'!$G:$G,'Business - Dump'!$B:$B,'Series wise Report'!$A143,'Business - Dump'!$A:$A,'Series wise Report'!D$1)</f>
        <v>1637</v>
      </c>
      <c r="E143" s="16">
        <f>SUMIFS('Business - Dump'!$G:$G,'Business - Dump'!$B:$B,'Series wise Report'!$A143,'Business - Dump'!$A:$A,'Series wise Report'!E$1)</f>
        <v>911</v>
      </c>
      <c r="F143" s="16">
        <f>SUMIFS('Business - Dump'!$G:$G,'Business - Dump'!$B:$B,'Series wise Report'!$A143,'Business - Dump'!$A:$A,'Series wise Report'!F$1)</f>
        <v>1059</v>
      </c>
      <c r="G143" s="16">
        <f>SUMIFS('Business - Dump'!$G:$G,'Business - Dump'!$B:$B,'Series wise Report'!$A143,'Business - Dump'!$A:$A,'Series wise Report'!G$1)</f>
        <v>724</v>
      </c>
      <c r="H143" s="16">
        <f>SUMIFS('Business - Dump'!$G:$G,'Business - Dump'!$B:$B,'Series wise Report'!$A143,'Business - Dump'!$A:$A,'Series wise Report'!H$1)</f>
        <v>585</v>
      </c>
      <c r="I143" s="16">
        <f>SUMIFS('Business - Dump'!$G:$G,'Business - Dump'!$B:$B,'Series wise Report'!$A143,'Business - Dump'!$A:$A,'Series wise Report'!I$1)</f>
        <v>379</v>
      </c>
      <c r="J143" s="16">
        <f>SUMIFS('Business - Dump'!$G:$G,'Business - Dump'!$B:$B,'Series wise Report'!$A143,'Business - Dump'!$A:$A,'Series wise Report'!J$1)</f>
        <v>1610</v>
      </c>
      <c r="K143" s="16">
        <f>SUMIFS('Business - Dump'!$G:$G,'Business - Dump'!$B:$B,'Series wise Report'!$A143,'Business - Dump'!$A:$A,'Series wise Report'!K$1)</f>
        <v>1293</v>
      </c>
      <c r="L143" s="16">
        <f>SUMIFS('Business - Dump'!$G:$G,'Business - Dump'!$B:$B,'Series wise Report'!$A143,'Business - Dump'!$A:$A,'Series wise Report'!L$1)</f>
        <v>900</v>
      </c>
      <c r="M143" s="16">
        <f>SUMIFS('Business - Dump'!$G:$G,'Business - Dump'!$B:$B,'Series wise Report'!$A143,'Business - Dump'!$A:$A,'Series wise Report'!M$1)</f>
        <v>1769</v>
      </c>
      <c r="N143" s="16">
        <f>SUMIFS('Business - Dump'!$G:$G,'Business - Dump'!$B:$B,'Series wise Report'!$A143,'Business - Dump'!$A:$A,'Series wise Report'!N$1)</f>
        <v>1365</v>
      </c>
      <c r="O143" s="16">
        <f>SUMIFS('Business - Dump'!$G:$G,'Business - Dump'!$B:$B,'Series wise Report'!$A143,'Business - Dump'!$A:$A,'Series wise Report'!O$1)</f>
        <v>1174</v>
      </c>
      <c r="P143" s="16">
        <f>SUMIFS('Business - Dump'!$G:$G,'Business - Dump'!$B:$B,'Series wise Report'!$A143,'Business - Dump'!$A:$A,'Series wise Report'!P$1)</f>
        <v>1276</v>
      </c>
      <c r="Q143" s="16">
        <f>SUMIFS('Business - Dump'!$G:$G,'Business - Dump'!$B:$B,'Series wise Report'!$A143,'Business - Dump'!$A:$A,'Series wise Report'!Q$1)</f>
        <v>1655</v>
      </c>
      <c r="R143" s="16">
        <f>SUMIFS('Business - Dump'!$G:$G,'Business - Dump'!$B:$B,'Series wise Report'!$A143,'Business - Dump'!$A:$A,'Series wise Report'!R$1)</f>
        <v>2017</v>
      </c>
      <c r="S143" s="16">
        <f>SUMIFS('Business - Dump'!$G:$G,'Business - Dump'!$B:$B,'Series wise Report'!$A143,'Business - Dump'!$A:$A,'Series wise Report'!S$1)</f>
        <v>1831</v>
      </c>
      <c r="T143" s="16">
        <f>SUMIFS('Business - Dump'!$G:$G,'Business - Dump'!$B:$B,'Series wise Report'!$A143,'Business - Dump'!$A:$A,'Series wise Report'!T$1)</f>
        <v>2129</v>
      </c>
    </row>
    <row r="144" ht="15.75" customHeight="1">
      <c r="A144" s="10" t="s">
        <v>119</v>
      </c>
      <c r="B144" s="10" t="s">
        <v>260</v>
      </c>
      <c r="C144" s="16">
        <f t="shared" si="62"/>
        <v>18895</v>
      </c>
      <c r="D144" s="16">
        <f>SUMIFS('Business - Dump'!$K:$K,'Business - Dump'!$B:$B,'Series wise Report'!$A144,'Business - Dump'!$A:$A,'Series wise Report'!D$1)</f>
        <v>2024</v>
      </c>
      <c r="E144" s="16">
        <f>SUMIFS('Business - Dump'!$K:$K,'Business - Dump'!$B:$B,'Series wise Report'!$A144,'Business - Dump'!$A:$A,'Series wise Report'!E$1)</f>
        <v>1331</v>
      </c>
      <c r="F144" s="16">
        <f>SUMIFS('Business - Dump'!$K:$K,'Business - Dump'!$B:$B,'Series wise Report'!$A144,'Business - Dump'!$A:$A,'Series wise Report'!F$1)</f>
        <v>1376</v>
      </c>
      <c r="G144" s="16">
        <f>SUMIFS('Business - Dump'!$K:$K,'Business - Dump'!$B:$B,'Series wise Report'!$A144,'Business - Dump'!$A:$A,'Series wise Report'!G$1)</f>
        <v>940</v>
      </c>
      <c r="H144" s="16">
        <f>SUMIFS('Business - Dump'!$K:$K,'Business - Dump'!$B:$B,'Series wise Report'!$A144,'Business - Dump'!$A:$A,'Series wise Report'!H$1)</f>
        <v>754</v>
      </c>
      <c r="I144" s="16">
        <f>SUMIFS('Business - Dump'!$K:$K,'Business - Dump'!$B:$B,'Series wise Report'!$A144,'Business - Dump'!$A:$A,'Series wise Report'!I$1)</f>
        <v>526</v>
      </c>
      <c r="J144" s="16">
        <f>SUMIFS('Business - Dump'!$K:$K,'Business - Dump'!$B:$B,'Series wise Report'!$A144,'Business - Dump'!$A:$A,'Series wise Report'!J$1)</f>
        <v>2341</v>
      </c>
      <c r="K144" s="16">
        <f>SUMIFS('Business - Dump'!$K:$K,'Business - Dump'!$B:$B,'Series wise Report'!$A144,'Business - Dump'!$A:$A,'Series wise Report'!K$1)</f>
        <v>1623</v>
      </c>
      <c r="L144" s="16">
        <f>SUMIFS('Business - Dump'!$K:$K,'Business - Dump'!$B:$B,'Series wise Report'!$A144,'Business - Dump'!$A:$A,'Series wise Report'!L$1)</f>
        <v>1143</v>
      </c>
      <c r="M144" s="16">
        <f>SUMIFS('Business - Dump'!$K:$K,'Business - Dump'!$B:$B,'Series wise Report'!$A144,'Business - Dump'!$A:$A,'Series wise Report'!M$1)</f>
        <v>2118</v>
      </c>
      <c r="N144" s="16">
        <f>SUMIFS('Business - Dump'!$K:$K,'Business - Dump'!$B:$B,'Series wise Report'!$A144,'Business - Dump'!$A:$A,'Series wise Report'!N$1)</f>
        <v>1682</v>
      </c>
      <c r="O144" s="16">
        <f>SUMIFS('Business - Dump'!$K:$K,'Business - Dump'!$B:$B,'Series wise Report'!$A144,'Business - Dump'!$A:$A,'Series wise Report'!O$1)</f>
        <v>1422</v>
      </c>
      <c r="P144" s="16">
        <f>SUMIFS('Business - Dump'!$K:$K,'Business - Dump'!$B:$B,'Series wise Report'!$A144,'Business - Dump'!$A:$A,'Series wise Report'!P$1)</f>
        <v>1615</v>
      </c>
      <c r="Q144" s="16">
        <f>SUMIFS('Business - Dump'!$K:$K,'Business - Dump'!$B:$B,'Series wise Report'!$A144,'Business - Dump'!$A:$A,'Series wise Report'!Q$1)</f>
        <v>2109</v>
      </c>
      <c r="R144" s="16">
        <f>SUMIFS('Business - Dump'!$K:$K,'Business - Dump'!$B:$B,'Series wise Report'!$A144,'Business - Dump'!$A:$A,'Series wise Report'!R$1)</f>
        <v>2517</v>
      </c>
      <c r="S144" s="16">
        <f>SUMIFS('Business - Dump'!$K:$K,'Business - Dump'!$B:$B,'Series wise Report'!$A144,'Business - Dump'!$A:$A,'Series wise Report'!S$1)</f>
        <v>2226</v>
      </c>
      <c r="T144" s="16">
        <f>SUMIFS('Business - Dump'!$K:$K,'Business - Dump'!$B:$B,'Series wise Report'!$A144,'Business - Dump'!$A:$A,'Series wise Report'!T$1)</f>
        <v>2586</v>
      </c>
    </row>
    <row r="145" ht="15.75" customHeight="1">
      <c r="A145" s="138" t="s">
        <v>119</v>
      </c>
      <c r="B145" s="138" t="s">
        <v>264</v>
      </c>
      <c r="C145" s="3">
        <f t="shared" si="62"/>
        <v>26</v>
      </c>
      <c r="D145" s="3">
        <f>SUMIFS('Business - Dump'!$Q:$Q,'Business - Dump'!$B:$B,'Series wise Report'!$A145,'Business - Dump'!$A:$A,'Series wise Report'!D$1)</f>
        <v>2</v>
      </c>
      <c r="E145" s="3">
        <f>SUMIFS('Business - Dump'!$Q:$Q,'Business - Dump'!$B:$B,'Series wise Report'!$A145,'Business - Dump'!$A:$A,'Series wise Report'!E$1)</f>
        <v>3</v>
      </c>
      <c r="F145" s="3">
        <f>SUMIFS('Business - Dump'!$Q:$Q,'Business - Dump'!$B:$B,'Series wise Report'!$A145,'Business - Dump'!$A:$A,'Series wise Report'!F$1)</f>
        <v>2</v>
      </c>
      <c r="G145" s="3">
        <f>SUMIFS('Business - Dump'!$Q:$Q,'Business - Dump'!$B:$B,'Series wise Report'!$A145,'Business - Dump'!$A:$A,'Series wise Report'!G$1)</f>
        <v>5</v>
      </c>
      <c r="H145" s="3">
        <f>SUMIFS('Business - Dump'!$Q:$Q,'Business - Dump'!$B:$B,'Series wise Report'!$A145,'Business - Dump'!$A:$A,'Series wise Report'!H$1)</f>
        <v>3</v>
      </c>
      <c r="I145" s="3">
        <f>SUMIFS('Business - Dump'!$Q:$Q,'Business - Dump'!$B:$B,'Series wise Report'!$A145,'Business - Dump'!$A:$A,'Series wise Report'!I$1)</f>
        <v>2</v>
      </c>
      <c r="J145" s="3">
        <f>SUMIFS('Business - Dump'!$Q:$Q,'Business - Dump'!$B:$B,'Series wise Report'!$A145,'Business - Dump'!$A:$A,'Series wise Report'!J$1)</f>
        <v>2</v>
      </c>
      <c r="K145" s="3">
        <f>SUMIFS('Business - Dump'!$Q:$Q,'Business - Dump'!$B:$B,'Series wise Report'!$A145,'Business - Dump'!$A:$A,'Series wise Report'!K$1)</f>
        <v>2</v>
      </c>
      <c r="L145" s="3">
        <f>SUMIFS('Business - Dump'!$Q:$Q,'Business - Dump'!$B:$B,'Series wise Report'!$A145,'Business - Dump'!$A:$A,'Series wise Report'!L$1)</f>
        <v>1</v>
      </c>
      <c r="M145" s="3">
        <f>SUMIFS('Business - Dump'!$Q:$Q,'Business - Dump'!$B:$B,'Series wise Report'!$A145,'Business - Dump'!$A:$A,'Series wise Report'!M$1)</f>
        <v>0</v>
      </c>
      <c r="N145" s="3">
        <f>SUMIFS('Business - Dump'!$Q:$Q,'Business - Dump'!$B:$B,'Series wise Report'!$A145,'Business - Dump'!$A:$A,'Series wise Report'!N$1)</f>
        <v>2</v>
      </c>
      <c r="O145" s="3">
        <f>SUMIFS('Business - Dump'!$Q:$Q,'Business - Dump'!$B:$B,'Series wise Report'!$A145,'Business - Dump'!$A:$A,'Series wise Report'!O$1)</f>
        <v>1</v>
      </c>
      <c r="P145" s="3">
        <f>SUMIFS('Business - Dump'!$Q:$Q,'Business - Dump'!$B:$B,'Series wise Report'!$A145,'Business - Dump'!$A:$A,'Series wise Report'!P$1)</f>
        <v>1</v>
      </c>
      <c r="Q145" s="3">
        <f>SUMIFS('Business - Dump'!$Q:$Q,'Business - Dump'!$B:$B,'Series wise Report'!$A145,'Business - Dump'!$A:$A,'Series wise Report'!Q$1)</f>
        <v>8</v>
      </c>
      <c r="R145" s="3">
        <f>SUMIFS('Business - Dump'!$Q:$Q,'Business - Dump'!$B:$B,'Series wise Report'!$A145,'Business - Dump'!$A:$A,'Series wise Report'!R$1)</f>
        <v>3</v>
      </c>
      <c r="S145" s="3">
        <f>SUMIFS('Business - Dump'!$Q:$Q,'Business - Dump'!$B:$B,'Series wise Report'!$A145,'Business - Dump'!$A:$A,'Series wise Report'!S$1)</f>
        <v>1</v>
      </c>
      <c r="T145" s="3">
        <f>SUMIFS('Business - Dump'!$Q:$Q,'Business - Dump'!$B:$B,'Series wise Report'!$A145,'Business - Dump'!$A:$A,'Series wise Report'!T$1)</f>
        <v>4</v>
      </c>
    </row>
    <row r="146" ht="15.75" customHeight="1">
      <c r="A146" s="137" t="s">
        <v>119</v>
      </c>
      <c r="B146" s="137" t="s">
        <v>268</v>
      </c>
      <c r="C146" s="141">
        <f t="shared" si="62"/>
        <v>26</v>
      </c>
      <c r="D146" s="141">
        <f>SUMIFS('Business - Dump'!$W:$W,'Business - Dump'!$B:$B,'Series wise Report'!$A146,'Business - Dump'!$A:$A,'Series wise Report'!D$1)</f>
        <v>2</v>
      </c>
      <c r="E146" s="141">
        <f>SUMIFS('Business - Dump'!$W:$W,'Business - Dump'!$B:$B,'Series wise Report'!$A146,'Business - Dump'!$A:$A,'Series wise Report'!E$1)</f>
        <v>3</v>
      </c>
      <c r="F146" s="141">
        <f>SUMIFS('Business - Dump'!$W:$W,'Business - Dump'!$B:$B,'Series wise Report'!$A146,'Business - Dump'!$A:$A,'Series wise Report'!F$1)</f>
        <v>2</v>
      </c>
      <c r="G146" s="141">
        <f>SUMIFS('Business - Dump'!$W:$W,'Business - Dump'!$B:$B,'Series wise Report'!$A146,'Business - Dump'!$A:$A,'Series wise Report'!G$1)</f>
        <v>5</v>
      </c>
      <c r="H146" s="141">
        <f>SUMIFS('Business - Dump'!$W:$W,'Business - Dump'!$B:$B,'Series wise Report'!$A146,'Business - Dump'!$A:$A,'Series wise Report'!H$1)</f>
        <v>3</v>
      </c>
      <c r="I146" s="141">
        <f>SUMIFS('Business - Dump'!$W:$W,'Business - Dump'!$B:$B,'Series wise Report'!$A146,'Business - Dump'!$A:$A,'Series wise Report'!I$1)</f>
        <v>2</v>
      </c>
      <c r="J146" s="141">
        <f>SUMIFS('Business - Dump'!$W:$W,'Business - Dump'!$B:$B,'Series wise Report'!$A146,'Business - Dump'!$A:$A,'Series wise Report'!J$1)</f>
        <v>2</v>
      </c>
      <c r="K146" s="141">
        <f>SUMIFS('Business - Dump'!$W:$W,'Business - Dump'!$B:$B,'Series wise Report'!$A146,'Business - Dump'!$A:$A,'Series wise Report'!K$1)</f>
        <v>2</v>
      </c>
      <c r="L146" s="141">
        <f>SUMIFS('Business - Dump'!$W:$W,'Business - Dump'!$B:$B,'Series wise Report'!$A146,'Business - Dump'!$A:$A,'Series wise Report'!L$1)</f>
        <v>1</v>
      </c>
      <c r="M146" s="141">
        <f>SUMIFS('Business - Dump'!$W:$W,'Business - Dump'!$B:$B,'Series wise Report'!$A146,'Business - Dump'!$A:$A,'Series wise Report'!M$1)</f>
        <v>0</v>
      </c>
      <c r="N146" s="141">
        <f>SUMIFS('Business - Dump'!$W:$W,'Business - Dump'!$B:$B,'Series wise Report'!$A146,'Business - Dump'!$A:$A,'Series wise Report'!N$1)</f>
        <v>2</v>
      </c>
      <c r="O146" s="141">
        <f>SUMIFS('Business - Dump'!$W:$W,'Business - Dump'!$B:$B,'Series wise Report'!$A146,'Business - Dump'!$A:$A,'Series wise Report'!O$1)</f>
        <v>1</v>
      </c>
      <c r="P146" s="141">
        <f>SUMIFS('Business - Dump'!$W:$W,'Business - Dump'!$B:$B,'Series wise Report'!$A146,'Business - Dump'!$A:$A,'Series wise Report'!P$1)</f>
        <v>1</v>
      </c>
      <c r="Q146" s="141">
        <f>SUMIFS('Business - Dump'!$W:$W,'Business - Dump'!$B:$B,'Series wise Report'!$A146,'Business - Dump'!$A:$A,'Series wise Report'!Q$1)</f>
        <v>7</v>
      </c>
      <c r="R146" s="141">
        <f>SUMIFS('Business - Dump'!$W:$W,'Business - Dump'!$B:$B,'Series wise Report'!$A146,'Business - Dump'!$A:$A,'Series wise Report'!R$1)</f>
        <v>3</v>
      </c>
      <c r="S146" s="141">
        <f>SUMIFS('Business - Dump'!$W:$W,'Business - Dump'!$B:$B,'Series wise Report'!$A146,'Business - Dump'!$A:$A,'Series wise Report'!S$1)</f>
        <v>1</v>
      </c>
      <c r="T146" s="141">
        <f>SUMIFS('Business - Dump'!$W:$W,'Business - Dump'!$B:$B,'Series wise Report'!$A146,'Business - Dump'!$A:$A,'Series wise Report'!T$1)</f>
        <v>4</v>
      </c>
    </row>
    <row r="147" ht="15.75" customHeight="1">
      <c r="A147" s="10" t="s">
        <v>119</v>
      </c>
      <c r="B147" s="10" t="s">
        <v>26</v>
      </c>
      <c r="C147" s="15">
        <f t="shared" si="62"/>
        <v>164050</v>
      </c>
      <c r="D147" s="15">
        <f>SUMIFS('Business - Dump'!$U:$U,'Business - Dump'!$B:$B,'Series wise Report'!$A147,'Business - Dump'!$A:$A,'Series wise Report'!D$1)</f>
        <v>11800</v>
      </c>
      <c r="E147" s="15">
        <f>SUMIFS('Business - Dump'!$U:$U,'Business - Dump'!$B:$B,'Series wise Report'!$A147,'Business - Dump'!$A:$A,'Series wise Report'!E$1)</f>
        <v>19150</v>
      </c>
      <c r="F147" s="15">
        <f>SUMIFS('Business - Dump'!$U:$U,'Business - Dump'!$B:$B,'Series wise Report'!$A147,'Business - Dump'!$A:$A,'Series wise Report'!F$1)</f>
        <v>11800</v>
      </c>
      <c r="G147" s="15">
        <f>SUMIFS('Business - Dump'!$U:$U,'Business - Dump'!$B:$B,'Series wise Report'!$A147,'Business - Dump'!$A:$A,'Series wise Report'!G$1)</f>
        <v>30950</v>
      </c>
      <c r="H147" s="15">
        <f>SUMIFS('Business - Dump'!$U:$U,'Business - Dump'!$B:$B,'Series wise Report'!$A147,'Business - Dump'!$A:$A,'Series wise Report'!H$1)</f>
        <v>22050</v>
      </c>
      <c r="I147" s="15">
        <f>SUMIFS('Business - Dump'!$U:$U,'Business - Dump'!$B:$B,'Series wise Report'!$A147,'Business - Dump'!$A:$A,'Series wise Report'!I$1)</f>
        <v>8900</v>
      </c>
      <c r="J147" s="15">
        <f>SUMIFS('Business - Dump'!$U:$U,'Business - Dump'!$B:$B,'Series wise Report'!$A147,'Business - Dump'!$A:$A,'Series wise Report'!J$1)</f>
        <v>11000</v>
      </c>
      <c r="K147" s="15">
        <f>SUMIFS('Business - Dump'!$U:$U,'Business - Dump'!$B:$B,'Series wise Report'!$A147,'Business - Dump'!$A:$A,'Series wise Report'!K$1)</f>
        <v>13800</v>
      </c>
      <c r="L147" s="15">
        <f>SUMIFS('Business - Dump'!$U:$U,'Business - Dump'!$B:$B,'Series wise Report'!$A147,'Business - Dump'!$A:$A,'Series wise Report'!L$1)</f>
        <v>8900</v>
      </c>
      <c r="M147" s="15">
        <f>SUMIFS('Business - Dump'!$U:$U,'Business - Dump'!$B:$B,'Series wise Report'!$A147,'Business - Dump'!$A:$A,'Series wise Report'!M$1)</f>
        <v>0</v>
      </c>
      <c r="N147" s="15">
        <f>SUMIFS('Business - Dump'!$U:$U,'Business - Dump'!$B:$B,'Series wise Report'!$A147,'Business - Dump'!$A:$A,'Series wise Report'!N$1)</f>
        <v>13900</v>
      </c>
      <c r="O147" s="15">
        <f>SUMIFS('Business - Dump'!$U:$U,'Business - Dump'!$B:$B,'Series wise Report'!$A147,'Business - Dump'!$A:$A,'Series wise Report'!O$1)</f>
        <v>5900</v>
      </c>
      <c r="P147" s="15">
        <f>SUMIFS('Business - Dump'!$U:$U,'Business - Dump'!$B:$B,'Series wise Report'!$A147,'Business - Dump'!$A:$A,'Series wise Report'!P$1)</f>
        <v>5900</v>
      </c>
      <c r="Q147" s="15">
        <f>SUMIFS('Business - Dump'!$U:$U,'Business - Dump'!$B:$B,'Series wise Report'!$A147,'Business - Dump'!$A:$A,'Series wise Report'!Q$1)</f>
        <v>56232</v>
      </c>
      <c r="R147" s="15">
        <f>SUMIFS('Business - Dump'!$U:$U,'Business - Dump'!$B:$B,'Series wise Report'!$A147,'Business - Dump'!$A:$A,'Series wise Report'!R$1)</f>
        <v>22513</v>
      </c>
      <c r="S147" s="15">
        <f>SUMIFS('Business - Dump'!$U:$U,'Business - Dump'!$B:$B,'Series wise Report'!$A147,'Business - Dump'!$A:$A,'Series wise Report'!S$1)</f>
        <v>8455</v>
      </c>
      <c r="T147" s="15">
        <f>SUMIFS('Business - Dump'!$U:$U,'Business - Dump'!$B:$B,'Series wise Report'!$A147,'Business - Dump'!$A:$A,'Series wise Report'!T$1)</f>
        <v>25270</v>
      </c>
    </row>
    <row r="148" ht="15.75" customHeight="1">
      <c r="A148" s="10" t="s">
        <v>119</v>
      </c>
      <c r="B148" s="10" t="s">
        <v>29</v>
      </c>
      <c r="C148" s="17">
        <f t="shared" ref="C148:T148" si="63">IFERROR(C146/C143,0)</f>
        <v>0.001770875902</v>
      </c>
      <c r="D148" s="17">
        <f t="shared" si="63"/>
        <v>0.001221747098</v>
      </c>
      <c r="E148" s="17">
        <f t="shared" si="63"/>
        <v>0.003293084523</v>
      </c>
      <c r="F148" s="17">
        <f t="shared" si="63"/>
        <v>0.001888574127</v>
      </c>
      <c r="G148" s="17">
        <f t="shared" si="63"/>
        <v>0.006906077348</v>
      </c>
      <c r="H148" s="17">
        <f t="shared" si="63"/>
        <v>0.005128205128</v>
      </c>
      <c r="I148" s="17">
        <f t="shared" si="63"/>
        <v>0.005277044855</v>
      </c>
      <c r="J148" s="17">
        <f t="shared" si="63"/>
        <v>0.001242236025</v>
      </c>
      <c r="K148" s="17">
        <f t="shared" si="63"/>
        <v>0.00154679041</v>
      </c>
      <c r="L148" s="17">
        <f t="shared" si="63"/>
        <v>0.001111111111</v>
      </c>
      <c r="M148" s="17">
        <f t="shared" si="63"/>
        <v>0</v>
      </c>
      <c r="N148" s="17">
        <f t="shared" si="63"/>
        <v>0.001465201465</v>
      </c>
      <c r="O148" s="17">
        <f t="shared" si="63"/>
        <v>0.0008517887564</v>
      </c>
      <c r="P148" s="17">
        <f t="shared" si="63"/>
        <v>0.0007836990596</v>
      </c>
      <c r="Q148" s="17">
        <f t="shared" si="63"/>
        <v>0.004229607251</v>
      </c>
      <c r="R148" s="17">
        <f t="shared" si="63"/>
        <v>0.001487357462</v>
      </c>
      <c r="S148" s="17">
        <f t="shared" si="63"/>
        <v>0.000546149645</v>
      </c>
      <c r="T148" s="17">
        <f t="shared" si="63"/>
        <v>0.001878816346</v>
      </c>
    </row>
    <row r="149" ht="15.75" customHeight="1">
      <c r="A149" s="10" t="s">
        <v>119</v>
      </c>
      <c r="B149" s="10" t="s">
        <v>282</v>
      </c>
      <c r="C149" s="16">
        <f t="shared" ref="C149:T149" si="64">IFERROR(C147/C146,0)</f>
        <v>6309.615385</v>
      </c>
      <c r="D149" s="16">
        <f t="shared" si="64"/>
        <v>5900</v>
      </c>
      <c r="E149" s="16">
        <f t="shared" si="64"/>
        <v>6383.333333</v>
      </c>
      <c r="F149" s="16">
        <f t="shared" si="64"/>
        <v>5900</v>
      </c>
      <c r="G149" s="16">
        <f t="shared" si="64"/>
        <v>6190</v>
      </c>
      <c r="H149" s="16">
        <f t="shared" si="64"/>
        <v>7350</v>
      </c>
      <c r="I149" s="16">
        <f t="shared" si="64"/>
        <v>4450</v>
      </c>
      <c r="J149" s="16">
        <f t="shared" si="64"/>
        <v>5500</v>
      </c>
      <c r="K149" s="16">
        <f t="shared" si="64"/>
        <v>6900</v>
      </c>
      <c r="L149" s="16">
        <f t="shared" si="64"/>
        <v>8900</v>
      </c>
      <c r="M149" s="16">
        <f t="shared" si="64"/>
        <v>0</v>
      </c>
      <c r="N149" s="16">
        <f t="shared" si="64"/>
        <v>6950</v>
      </c>
      <c r="O149" s="16">
        <f t="shared" si="64"/>
        <v>5900</v>
      </c>
      <c r="P149" s="16">
        <f t="shared" si="64"/>
        <v>5900</v>
      </c>
      <c r="Q149" s="16">
        <f t="shared" si="64"/>
        <v>8033.142857</v>
      </c>
      <c r="R149" s="16">
        <f t="shared" si="64"/>
        <v>7504.333333</v>
      </c>
      <c r="S149" s="16">
        <f t="shared" si="64"/>
        <v>8455</v>
      </c>
      <c r="T149" s="16">
        <f t="shared" si="64"/>
        <v>6317.5</v>
      </c>
    </row>
    <row r="150" ht="15.75" customHeight="1">
      <c r="A150" s="33" t="s">
        <v>321</v>
      </c>
      <c r="B150" s="10" t="s">
        <v>257</v>
      </c>
      <c r="C150" s="16">
        <f t="shared" ref="C150:C154" si="65">SUM(D150:P150)</f>
        <v>1</v>
      </c>
      <c r="D150" s="16">
        <f>SUMIFS('Business - Dump'!$G:$G,'Business - Dump'!$B:$B,'Series wise Report'!$A150,'Business - Dump'!$A:$A,'Series wise Report'!D$1)</f>
        <v>0</v>
      </c>
      <c r="E150" s="16">
        <f>SUMIFS('Business - Dump'!$G:$G,'Business - Dump'!$B:$B,'Series wise Report'!$A150,'Business - Dump'!$A:$A,'Series wise Report'!E$1)</f>
        <v>0</v>
      </c>
      <c r="F150" s="16">
        <f>SUMIFS('Business - Dump'!$G:$G,'Business - Dump'!$B:$B,'Series wise Report'!$A150,'Business - Dump'!$A:$A,'Series wise Report'!F$1)</f>
        <v>0</v>
      </c>
      <c r="G150" s="16">
        <f>SUMIFS('Business - Dump'!$G:$G,'Business - Dump'!$B:$B,'Series wise Report'!$A150,'Business - Dump'!$A:$A,'Series wise Report'!G$1)</f>
        <v>0</v>
      </c>
      <c r="H150" s="16">
        <f>SUMIFS('Business - Dump'!$G:$G,'Business - Dump'!$B:$B,'Series wise Report'!$A150,'Business - Dump'!$A:$A,'Series wise Report'!H$1)</f>
        <v>0</v>
      </c>
      <c r="I150" s="16">
        <f>SUMIFS('Business - Dump'!$G:$G,'Business - Dump'!$B:$B,'Series wise Report'!$A150,'Business - Dump'!$A:$A,'Series wise Report'!I$1)</f>
        <v>0</v>
      </c>
      <c r="J150" s="16">
        <f>SUMIFS('Business - Dump'!$G:$G,'Business - Dump'!$B:$B,'Series wise Report'!$A150,'Business - Dump'!$A:$A,'Series wise Report'!J$1)</f>
        <v>0</v>
      </c>
      <c r="K150" s="16">
        <f>SUMIFS('Business - Dump'!$G:$G,'Business - Dump'!$B:$B,'Series wise Report'!$A150,'Business - Dump'!$A:$A,'Series wise Report'!K$1)</f>
        <v>0</v>
      </c>
      <c r="L150" s="16">
        <f>SUMIFS('Business - Dump'!$G:$G,'Business - Dump'!$B:$B,'Series wise Report'!$A150,'Business - Dump'!$A:$A,'Series wise Report'!L$1)</f>
        <v>0</v>
      </c>
      <c r="M150" s="16">
        <f>SUMIFS('Business - Dump'!$G:$G,'Business - Dump'!$B:$B,'Series wise Report'!$A150,'Business - Dump'!$A:$A,'Series wise Report'!M$1)</f>
        <v>0</v>
      </c>
      <c r="N150" s="16">
        <f>SUMIFS('Business - Dump'!$G:$G,'Business - Dump'!$B:$B,'Series wise Report'!$A150,'Business - Dump'!$A:$A,'Series wise Report'!N$1)</f>
        <v>0</v>
      </c>
      <c r="O150" s="16">
        <f>SUMIFS('Business - Dump'!$G:$G,'Business - Dump'!$B:$B,'Series wise Report'!$A150,'Business - Dump'!$A:$A,'Series wise Report'!O$1)</f>
        <v>0</v>
      </c>
      <c r="P150" s="16">
        <f>SUMIFS('Business - Dump'!$G:$G,'Business - Dump'!$B:$B,'Series wise Report'!$A150,'Business - Dump'!$A:$A,'Series wise Report'!P$1)</f>
        <v>1</v>
      </c>
      <c r="Q150" s="16">
        <f>SUMIFS('Business - Dump'!$G:$G,'Business - Dump'!$B:$B,'Series wise Report'!$A150,'Business - Dump'!$A:$A,'Series wise Report'!Q$1)</f>
        <v>42</v>
      </c>
      <c r="R150" s="16">
        <f>SUMIFS('Business - Dump'!$G:$G,'Business - Dump'!$B:$B,'Series wise Report'!$A150,'Business - Dump'!$A:$A,'Series wise Report'!R$1)</f>
        <v>163</v>
      </c>
      <c r="S150" s="16">
        <f>SUMIFS('Business - Dump'!$G:$G,'Business - Dump'!$B:$B,'Series wise Report'!$A150,'Business - Dump'!$A:$A,'Series wise Report'!S$1)</f>
        <v>567</v>
      </c>
      <c r="T150" s="16">
        <f>SUMIFS('Business - Dump'!$G:$G,'Business - Dump'!$B:$B,'Series wise Report'!$A150,'Business - Dump'!$A:$A,'Series wise Report'!T$1)</f>
        <v>571</v>
      </c>
    </row>
    <row r="151" ht="15.75" customHeight="1">
      <c r="A151" s="33" t="s">
        <v>321</v>
      </c>
      <c r="B151" s="10" t="s">
        <v>260</v>
      </c>
      <c r="C151" s="16">
        <f t="shared" si="65"/>
        <v>3</v>
      </c>
      <c r="D151" s="16">
        <f>SUMIFS('Business - Dump'!$K:$K,'Business - Dump'!$B:$B,'Series wise Report'!$A151,'Business - Dump'!$A:$A,'Series wise Report'!D$1)</f>
        <v>0</v>
      </c>
      <c r="E151" s="16">
        <f>SUMIFS('Business - Dump'!$K:$K,'Business - Dump'!$B:$B,'Series wise Report'!$A151,'Business - Dump'!$A:$A,'Series wise Report'!E$1)</f>
        <v>0</v>
      </c>
      <c r="F151" s="16">
        <f>SUMIFS('Business - Dump'!$K:$K,'Business - Dump'!$B:$B,'Series wise Report'!$A151,'Business - Dump'!$A:$A,'Series wise Report'!F$1)</f>
        <v>0</v>
      </c>
      <c r="G151" s="16">
        <f>SUMIFS('Business - Dump'!$K:$K,'Business - Dump'!$B:$B,'Series wise Report'!$A151,'Business - Dump'!$A:$A,'Series wise Report'!G$1)</f>
        <v>0</v>
      </c>
      <c r="H151" s="16">
        <f>SUMIFS('Business - Dump'!$K:$K,'Business - Dump'!$B:$B,'Series wise Report'!$A151,'Business - Dump'!$A:$A,'Series wise Report'!H$1)</f>
        <v>0</v>
      </c>
      <c r="I151" s="16">
        <f>SUMIFS('Business - Dump'!$K:$K,'Business - Dump'!$B:$B,'Series wise Report'!$A151,'Business - Dump'!$A:$A,'Series wise Report'!I$1)</f>
        <v>0</v>
      </c>
      <c r="J151" s="16">
        <f>SUMIFS('Business - Dump'!$K:$K,'Business - Dump'!$B:$B,'Series wise Report'!$A151,'Business - Dump'!$A:$A,'Series wise Report'!J$1)</f>
        <v>0</v>
      </c>
      <c r="K151" s="16">
        <f>SUMIFS('Business - Dump'!$K:$K,'Business - Dump'!$B:$B,'Series wise Report'!$A151,'Business - Dump'!$A:$A,'Series wise Report'!K$1)</f>
        <v>0</v>
      </c>
      <c r="L151" s="16">
        <f>SUMIFS('Business - Dump'!$K:$K,'Business - Dump'!$B:$B,'Series wise Report'!$A151,'Business - Dump'!$A:$A,'Series wise Report'!L$1)</f>
        <v>0</v>
      </c>
      <c r="M151" s="16">
        <f>SUMIFS('Business - Dump'!$K:$K,'Business - Dump'!$B:$B,'Series wise Report'!$A151,'Business - Dump'!$A:$A,'Series wise Report'!M$1)</f>
        <v>0</v>
      </c>
      <c r="N151" s="16">
        <f>SUMIFS('Business - Dump'!$K:$K,'Business - Dump'!$B:$B,'Series wise Report'!$A151,'Business - Dump'!$A:$A,'Series wise Report'!N$1)</f>
        <v>0</v>
      </c>
      <c r="O151" s="16">
        <f>SUMIFS('Business - Dump'!$K:$K,'Business - Dump'!$B:$B,'Series wise Report'!$A151,'Business - Dump'!$A:$A,'Series wise Report'!O$1)</f>
        <v>0</v>
      </c>
      <c r="P151" s="16">
        <f>SUMIFS('Business - Dump'!$K:$K,'Business - Dump'!$B:$B,'Series wise Report'!$A151,'Business - Dump'!$A:$A,'Series wise Report'!P$1)</f>
        <v>3</v>
      </c>
      <c r="Q151" s="16">
        <f>SUMIFS('Business - Dump'!$K:$K,'Business - Dump'!$B:$B,'Series wise Report'!$A151,'Business - Dump'!$A:$A,'Series wise Report'!Q$1)</f>
        <v>56</v>
      </c>
      <c r="R151" s="16">
        <f>SUMIFS('Business - Dump'!$K:$K,'Business - Dump'!$B:$B,'Series wise Report'!$A151,'Business - Dump'!$A:$A,'Series wise Report'!R$1)</f>
        <v>230</v>
      </c>
      <c r="S151" s="16">
        <f>SUMIFS('Business - Dump'!$K:$K,'Business - Dump'!$B:$B,'Series wise Report'!$A151,'Business - Dump'!$A:$A,'Series wise Report'!S$1)</f>
        <v>776</v>
      </c>
      <c r="T151" s="16">
        <f>SUMIFS('Business - Dump'!$K:$K,'Business - Dump'!$B:$B,'Series wise Report'!$A151,'Business - Dump'!$A:$A,'Series wise Report'!T$1)</f>
        <v>805</v>
      </c>
    </row>
    <row r="152" ht="15.75" customHeight="1">
      <c r="A152" s="33" t="s">
        <v>321</v>
      </c>
      <c r="B152" s="138" t="s">
        <v>264</v>
      </c>
      <c r="C152" s="3">
        <f t="shared" si="65"/>
        <v>0</v>
      </c>
      <c r="D152" s="3">
        <f>SUMIFS('Business - Dump'!$Q:$Q,'Business - Dump'!$B:$B,'Series wise Report'!$A152,'Business - Dump'!$A:$A,'Series wise Report'!D$1)</f>
        <v>0</v>
      </c>
      <c r="E152" s="3">
        <f>SUMIFS('Business - Dump'!$Q:$Q,'Business - Dump'!$B:$B,'Series wise Report'!$A152,'Business - Dump'!$A:$A,'Series wise Report'!E$1)</f>
        <v>0</v>
      </c>
      <c r="F152" s="3">
        <f>SUMIFS('Business - Dump'!$Q:$Q,'Business - Dump'!$B:$B,'Series wise Report'!$A152,'Business - Dump'!$A:$A,'Series wise Report'!F$1)</f>
        <v>0</v>
      </c>
      <c r="G152" s="3">
        <f>SUMIFS('Business - Dump'!$Q:$Q,'Business - Dump'!$B:$B,'Series wise Report'!$A152,'Business - Dump'!$A:$A,'Series wise Report'!G$1)</f>
        <v>0</v>
      </c>
      <c r="H152" s="3">
        <f>SUMIFS('Business - Dump'!$Q:$Q,'Business - Dump'!$B:$B,'Series wise Report'!$A152,'Business - Dump'!$A:$A,'Series wise Report'!H$1)</f>
        <v>0</v>
      </c>
      <c r="I152" s="3">
        <f>SUMIFS('Business - Dump'!$Q:$Q,'Business - Dump'!$B:$B,'Series wise Report'!$A152,'Business - Dump'!$A:$A,'Series wise Report'!I$1)</f>
        <v>0</v>
      </c>
      <c r="J152" s="3">
        <f>SUMIFS('Business - Dump'!$Q:$Q,'Business - Dump'!$B:$B,'Series wise Report'!$A152,'Business - Dump'!$A:$A,'Series wise Report'!J$1)</f>
        <v>0</v>
      </c>
      <c r="K152" s="3">
        <f>SUMIFS('Business - Dump'!$Q:$Q,'Business - Dump'!$B:$B,'Series wise Report'!$A152,'Business - Dump'!$A:$A,'Series wise Report'!K$1)</f>
        <v>0</v>
      </c>
      <c r="L152" s="3">
        <f>SUMIFS('Business - Dump'!$Q:$Q,'Business - Dump'!$B:$B,'Series wise Report'!$A152,'Business - Dump'!$A:$A,'Series wise Report'!L$1)</f>
        <v>0</v>
      </c>
      <c r="M152" s="3">
        <f>SUMIFS('Business - Dump'!$Q:$Q,'Business - Dump'!$B:$B,'Series wise Report'!$A152,'Business - Dump'!$A:$A,'Series wise Report'!M$1)</f>
        <v>0</v>
      </c>
      <c r="N152" s="3">
        <f>SUMIFS('Business - Dump'!$Q:$Q,'Business - Dump'!$B:$B,'Series wise Report'!$A152,'Business - Dump'!$A:$A,'Series wise Report'!N$1)</f>
        <v>0</v>
      </c>
      <c r="O152" s="3">
        <f>SUMIFS('Business - Dump'!$Q:$Q,'Business - Dump'!$B:$B,'Series wise Report'!$A152,'Business - Dump'!$A:$A,'Series wise Report'!O$1)</f>
        <v>0</v>
      </c>
      <c r="P152" s="3">
        <f>SUMIFS('Business - Dump'!$Q:$Q,'Business - Dump'!$B:$B,'Series wise Report'!$A152,'Business - Dump'!$A:$A,'Series wise Report'!P$1)</f>
        <v>0</v>
      </c>
      <c r="Q152" s="3">
        <f>SUMIFS('Business - Dump'!$Q:$Q,'Business - Dump'!$B:$B,'Series wise Report'!$A152,'Business - Dump'!$A:$A,'Series wise Report'!Q$1)</f>
        <v>1</v>
      </c>
      <c r="R152" s="3">
        <f>SUMIFS('Business - Dump'!$Q:$Q,'Business - Dump'!$B:$B,'Series wise Report'!$A152,'Business - Dump'!$A:$A,'Series wise Report'!R$1)</f>
        <v>16</v>
      </c>
      <c r="S152" s="3">
        <f>SUMIFS('Business - Dump'!$Q:$Q,'Business - Dump'!$B:$B,'Series wise Report'!$A152,'Business - Dump'!$A:$A,'Series wise Report'!S$1)</f>
        <v>17</v>
      </c>
      <c r="T152" s="3">
        <f>SUMIFS('Business - Dump'!$Q:$Q,'Business - Dump'!$B:$B,'Series wise Report'!$A152,'Business - Dump'!$A:$A,'Series wise Report'!T$1)</f>
        <v>15</v>
      </c>
    </row>
    <row r="153" ht="15.75" customHeight="1">
      <c r="A153" s="33" t="s">
        <v>321</v>
      </c>
      <c r="B153" s="137" t="s">
        <v>268</v>
      </c>
      <c r="C153" s="141">
        <f t="shared" si="65"/>
        <v>0</v>
      </c>
      <c r="D153" s="141">
        <f>SUMIFS('Business - Dump'!$W:$W,'Business - Dump'!$B:$B,'Series wise Report'!$A153,'Business - Dump'!$A:$A,'Series wise Report'!D$1)</f>
        <v>0</v>
      </c>
      <c r="E153" s="141">
        <f>SUMIFS('Business - Dump'!$W:$W,'Business - Dump'!$B:$B,'Series wise Report'!$A153,'Business - Dump'!$A:$A,'Series wise Report'!E$1)</f>
        <v>0</v>
      </c>
      <c r="F153" s="141">
        <f>SUMIFS('Business - Dump'!$W:$W,'Business - Dump'!$B:$B,'Series wise Report'!$A153,'Business - Dump'!$A:$A,'Series wise Report'!F$1)</f>
        <v>0</v>
      </c>
      <c r="G153" s="141">
        <f>SUMIFS('Business - Dump'!$W:$W,'Business - Dump'!$B:$B,'Series wise Report'!$A153,'Business - Dump'!$A:$A,'Series wise Report'!G$1)</f>
        <v>0</v>
      </c>
      <c r="H153" s="141">
        <f>SUMIFS('Business - Dump'!$W:$W,'Business - Dump'!$B:$B,'Series wise Report'!$A153,'Business - Dump'!$A:$A,'Series wise Report'!H$1)</f>
        <v>0</v>
      </c>
      <c r="I153" s="141">
        <f>SUMIFS('Business - Dump'!$W:$W,'Business - Dump'!$B:$B,'Series wise Report'!$A153,'Business - Dump'!$A:$A,'Series wise Report'!I$1)</f>
        <v>0</v>
      </c>
      <c r="J153" s="141">
        <f>SUMIFS('Business - Dump'!$W:$W,'Business - Dump'!$B:$B,'Series wise Report'!$A153,'Business - Dump'!$A:$A,'Series wise Report'!J$1)</f>
        <v>0</v>
      </c>
      <c r="K153" s="141">
        <f>SUMIFS('Business - Dump'!$W:$W,'Business - Dump'!$B:$B,'Series wise Report'!$A153,'Business - Dump'!$A:$A,'Series wise Report'!K$1)</f>
        <v>0</v>
      </c>
      <c r="L153" s="141">
        <f>SUMIFS('Business - Dump'!$W:$W,'Business - Dump'!$B:$B,'Series wise Report'!$A153,'Business - Dump'!$A:$A,'Series wise Report'!L$1)</f>
        <v>0</v>
      </c>
      <c r="M153" s="141">
        <f>SUMIFS('Business - Dump'!$W:$W,'Business - Dump'!$B:$B,'Series wise Report'!$A153,'Business - Dump'!$A:$A,'Series wise Report'!M$1)</f>
        <v>0</v>
      </c>
      <c r="N153" s="141">
        <f>SUMIFS('Business - Dump'!$W:$W,'Business - Dump'!$B:$B,'Series wise Report'!$A153,'Business - Dump'!$A:$A,'Series wise Report'!N$1)</f>
        <v>0</v>
      </c>
      <c r="O153" s="141">
        <f>SUMIFS('Business - Dump'!$W:$W,'Business - Dump'!$B:$B,'Series wise Report'!$A153,'Business - Dump'!$A:$A,'Series wise Report'!O$1)</f>
        <v>0</v>
      </c>
      <c r="P153" s="141">
        <f>SUMIFS('Business - Dump'!$W:$W,'Business - Dump'!$B:$B,'Series wise Report'!$A153,'Business - Dump'!$A:$A,'Series wise Report'!P$1)</f>
        <v>0</v>
      </c>
      <c r="Q153" s="141">
        <f>SUMIFS('Business - Dump'!$W:$W,'Business - Dump'!$B:$B,'Series wise Report'!$A153,'Business - Dump'!$A:$A,'Series wise Report'!Q$1)</f>
        <v>1</v>
      </c>
      <c r="R153" s="141">
        <f>SUMIFS('Business - Dump'!$W:$W,'Business - Dump'!$B:$B,'Series wise Report'!$A153,'Business - Dump'!$A:$A,'Series wise Report'!R$1)</f>
        <v>6</v>
      </c>
      <c r="S153" s="141">
        <f>SUMIFS('Business - Dump'!$W:$W,'Business - Dump'!$B:$B,'Series wise Report'!$A153,'Business - Dump'!$A:$A,'Series wise Report'!S$1)</f>
        <v>16</v>
      </c>
      <c r="T153" s="141">
        <f>SUMIFS('Business - Dump'!$W:$W,'Business - Dump'!$B:$B,'Series wise Report'!$A153,'Business - Dump'!$A:$A,'Series wise Report'!T$1)</f>
        <v>14</v>
      </c>
    </row>
    <row r="154" ht="15.75" customHeight="1">
      <c r="A154" s="33" t="s">
        <v>321</v>
      </c>
      <c r="B154" s="10" t="s">
        <v>26</v>
      </c>
      <c r="C154" s="15">
        <f t="shared" si="65"/>
        <v>0</v>
      </c>
      <c r="D154" s="15">
        <f>SUMIFS('Business - Dump'!$U:$U,'Business - Dump'!$B:$B,'Series wise Report'!$A154,'Business - Dump'!$A:$A,'Series wise Report'!D$1)</f>
        <v>0</v>
      </c>
      <c r="E154" s="15">
        <f>SUMIFS('Business - Dump'!$U:$U,'Business - Dump'!$B:$B,'Series wise Report'!$A154,'Business - Dump'!$A:$A,'Series wise Report'!E$1)</f>
        <v>0</v>
      </c>
      <c r="F154" s="15">
        <f>SUMIFS('Business - Dump'!$U:$U,'Business - Dump'!$B:$B,'Series wise Report'!$A154,'Business - Dump'!$A:$A,'Series wise Report'!F$1)</f>
        <v>0</v>
      </c>
      <c r="G154" s="15">
        <f>SUMIFS('Business - Dump'!$U:$U,'Business - Dump'!$B:$B,'Series wise Report'!$A154,'Business - Dump'!$A:$A,'Series wise Report'!G$1)</f>
        <v>0</v>
      </c>
      <c r="H154" s="15">
        <f>SUMIFS('Business - Dump'!$U:$U,'Business - Dump'!$B:$B,'Series wise Report'!$A154,'Business - Dump'!$A:$A,'Series wise Report'!H$1)</f>
        <v>0</v>
      </c>
      <c r="I154" s="15">
        <f>SUMIFS('Business - Dump'!$U:$U,'Business - Dump'!$B:$B,'Series wise Report'!$A154,'Business - Dump'!$A:$A,'Series wise Report'!I$1)</f>
        <v>0</v>
      </c>
      <c r="J154" s="15">
        <f>SUMIFS('Business - Dump'!$U:$U,'Business - Dump'!$B:$B,'Series wise Report'!$A154,'Business - Dump'!$A:$A,'Series wise Report'!J$1)</f>
        <v>0</v>
      </c>
      <c r="K154" s="15">
        <f>SUMIFS('Business - Dump'!$U:$U,'Business - Dump'!$B:$B,'Series wise Report'!$A154,'Business - Dump'!$A:$A,'Series wise Report'!K$1)</f>
        <v>0</v>
      </c>
      <c r="L154" s="15">
        <f>SUMIFS('Business - Dump'!$U:$U,'Business - Dump'!$B:$B,'Series wise Report'!$A154,'Business - Dump'!$A:$A,'Series wise Report'!L$1)</f>
        <v>0</v>
      </c>
      <c r="M154" s="15">
        <f>SUMIFS('Business - Dump'!$U:$U,'Business - Dump'!$B:$B,'Series wise Report'!$A154,'Business - Dump'!$A:$A,'Series wise Report'!M$1)</f>
        <v>0</v>
      </c>
      <c r="N154" s="15">
        <f>SUMIFS('Business - Dump'!$U:$U,'Business - Dump'!$B:$B,'Series wise Report'!$A154,'Business - Dump'!$A:$A,'Series wise Report'!N$1)</f>
        <v>0</v>
      </c>
      <c r="O154" s="15">
        <f>SUMIFS('Business - Dump'!$U:$U,'Business - Dump'!$B:$B,'Series wise Report'!$A154,'Business - Dump'!$A:$A,'Series wise Report'!O$1)</f>
        <v>0</v>
      </c>
      <c r="P154" s="15">
        <f>SUMIFS('Business - Dump'!$U:$U,'Business - Dump'!$B:$B,'Series wise Report'!$A154,'Business - Dump'!$A:$A,'Series wise Report'!P$1)</f>
        <v>0</v>
      </c>
      <c r="Q154" s="15">
        <f>SUMIFS('Business - Dump'!$U:$U,'Business - Dump'!$B:$B,'Series wise Report'!$A154,'Business - Dump'!$A:$A,'Series wise Report'!Q$1)</f>
        <v>550</v>
      </c>
      <c r="R154" s="15">
        <f>SUMIFS('Business - Dump'!$U:$U,'Business - Dump'!$B:$B,'Series wise Report'!$A154,'Business - Dump'!$A:$A,'Series wise Report'!R$1)</f>
        <v>8327.8</v>
      </c>
      <c r="S154" s="15">
        <f>SUMIFS('Business - Dump'!$U:$U,'Business - Dump'!$B:$B,'Series wise Report'!$A154,'Business - Dump'!$A:$A,'Series wise Report'!S$1)</f>
        <v>8483</v>
      </c>
      <c r="T154" s="15">
        <f>SUMIFS('Business - Dump'!$U:$U,'Business - Dump'!$B:$B,'Series wise Report'!$A154,'Business - Dump'!$A:$A,'Series wise Report'!T$1)</f>
        <v>7485</v>
      </c>
    </row>
    <row r="155" ht="15.75" customHeight="1">
      <c r="A155" s="33" t="s">
        <v>321</v>
      </c>
      <c r="B155" s="10" t="s">
        <v>29</v>
      </c>
      <c r="C155" s="17">
        <f t="shared" ref="C155:T155" si="66">IFERROR(C153/C150,0)</f>
        <v>0</v>
      </c>
      <c r="D155" s="17">
        <f t="shared" si="66"/>
        <v>0</v>
      </c>
      <c r="E155" s="17">
        <f t="shared" si="66"/>
        <v>0</v>
      </c>
      <c r="F155" s="17">
        <f t="shared" si="66"/>
        <v>0</v>
      </c>
      <c r="G155" s="17">
        <f t="shared" si="66"/>
        <v>0</v>
      </c>
      <c r="H155" s="17">
        <f t="shared" si="66"/>
        <v>0</v>
      </c>
      <c r="I155" s="17">
        <f t="shared" si="66"/>
        <v>0</v>
      </c>
      <c r="J155" s="17">
        <f t="shared" si="66"/>
        <v>0</v>
      </c>
      <c r="K155" s="17">
        <f t="shared" si="66"/>
        <v>0</v>
      </c>
      <c r="L155" s="17">
        <f t="shared" si="66"/>
        <v>0</v>
      </c>
      <c r="M155" s="17">
        <f t="shared" si="66"/>
        <v>0</v>
      </c>
      <c r="N155" s="17">
        <f t="shared" si="66"/>
        <v>0</v>
      </c>
      <c r="O155" s="17">
        <f t="shared" si="66"/>
        <v>0</v>
      </c>
      <c r="P155" s="17">
        <f t="shared" si="66"/>
        <v>0</v>
      </c>
      <c r="Q155" s="17">
        <f t="shared" si="66"/>
        <v>0.02380952381</v>
      </c>
      <c r="R155" s="17">
        <f t="shared" si="66"/>
        <v>0.03680981595</v>
      </c>
      <c r="S155" s="17">
        <f t="shared" si="66"/>
        <v>0.02821869489</v>
      </c>
      <c r="T155" s="17">
        <f t="shared" si="66"/>
        <v>0.02451838879</v>
      </c>
    </row>
    <row r="156" ht="15.75" customHeight="1">
      <c r="A156" s="33" t="s">
        <v>321</v>
      </c>
      <c r="B156" s="10" t="s">
        <v>282</v>
      </c>
      <c r="C156" s="16">
        <f t="shared" ref="C156:T156" si="67">IFERROR(C154/C153,0)</f>
        <v>0</v>
      </c>
      <c r="D156" s="16">
        <f t="shared" si="67"/>
        <v>0</v>
      </c>
      <c r="E156" s="16">
        <f t="shared" si="67"/>
        <v>0</v>
      </c>
      <c r="F156" s="16">
        <f t="shared" si="67"/>
        <v>0</v>
      </c>
      <c r="G156" s="16">
        <f t="shared" si="67"/>
        <v>0</v>
      </c>
      <c r="H156" s="16">
        <f t="shared" si="67"/>
        <v>0</v>
      </c>
      <c r="I156" s="16">
        <f t="shared" si="67"/>
        <v>0</v>
      </c>
      <c r="J156" s="16">
        <f t="shared" si="67"/>
        <v>0</v>
      </c>
      <c r="K156" s="16">
        <f t="shared" si="67"/>
        <v>0</v>
      </c>
      <c r="L156" s="16">
        <f t="shared" si="67"/>
        <v>0</v>
      </c>
      <c r="M156" s="16">
        <f t="shared" si="67"/>
        <v>0</v>
      </c>
      <c r="N156" s="16">
        <f t="shared" si="67"/>
        <v>0</v>
      </c>
      <c r="O156" s="16">
        <f t="shared" si="67"/>
        <v>0</v>
      </c>
      <c r="P156" s="16">
        <f t="shared" si="67"/>
        <v>0</v>
      </c>
      <c r="Q156" s="16">
        <f t="shared" si="67"/>
        <v>550</v>
      </c>
      <c r="R156" s="16">
        <f t="shared" si="67"/>
        <v>1387.966667</v>
      </c>
      <c r="S156" s="16">
        <f t="shared" si="67"/>
        <v>530.1875</v>
      </c>
      <c r="T156" s="16">
        <f t="shared" si="67"/>
        <v>534.6428571</v>
      </c>
    </row>
    <row r="157" ht="15.75" customHeight="1">
      <c r="A157" s="33" t="s">
        <v>429</v>
      </c>
      <c r="B157" s="10" t="s">
        <v>257</v>
      </c>
      <c r="C157" s="16">
        <f t="shared" ref="C157:C161" si="68">SUM(D157:P157)</f>
        <v>0</v>
      </c>
      <c r="D157" s="16">
        <f>SUMIFS('Business - Dump'!$G:$G,'Business - Dump'!$B:$B,'Series wise Report'!$A157,'Business - Dump'!$A:$A,'Series wise Report'!D$1)</f>
        <v>0</v>
      </c>
      <c r="E157" s="16">
        <f>SUMIFS('Business - Dump'!$G:$G,'Business - Dump'!$B:$B,'Series wise Report'!$A157,'Business - Dump'!$A:$A,'Series wise Report'!E$1)</f>
        <v>0</v>
      </c>
      <c r="F157" s="16">
        <f>SUMIFS('Business - Dump'!$G:$G,'Business - Dump'!$B:$B,'Series wise Report'!$A157,'Business - Dump'!$A:$A,'Series wise Report'!F$1)</f>
        <v>0</v>
      </c>
      <c r="G157" s="16">
        <f>SUMIFS('Business - Dump'!$G:$G,'Business - Dump'!$B:$B,'Series wise Report'!$A157,'Business - Dump'!$A:$A,'Series wise Report'!G$1)</f>
        <v>0</v>
      </c>
      <c r="H157" s="16">
        <f>SUMIFS('Business - Dump'!$G:$G,'Business - Dump'!$B:$B,'Series wise Report'!$A157,'Business - Dump'!$A:$A,'Series wise Report'!H$1)</f>
        <v>0</v>
      </c>
      <c r="I157" s="16">
        <f>SUMIFS('Business - Dump'!$G:$G,'Business - Dump'!$B:$B,'Series wise Report'!$A157,'Business - Dump'!$A:$A,'Series wise Report'!I$1)</f>
        <v>0</v>
      </c>
      <c r="J157" s="16">
        <f>SUMIFS('Business - Dump'!$G:$G,'Business - Dump'!$B:$B,'Series wise Report'!$A157,'Business - Dump'!$A:$A,'Series wise Report'!J$1)</f>
        <v>0</v>
      </c>
      <c r="K157" s="16">
        <f>SUMIFS('Business - Dump'!$G:$G,'Business - Dump'!$B:$B,'Series wise Report'!$A157,'Business - Dump'!$A:$A,'Series wise Report'!K$1)</f>
        <v>0</v>
      </c>
      <c r="L157" s="16">
        <f>SUMIFS('Business - Dump'!$G:$G,'Business - Dump'!$B:$B,'Series wise Report'!$A157,'Business - Dump'!$A:$A,'Series wise Report'!L$1)</f>
        <v>0</v>
      </c>
      <c r="M157" s="16">
        <f>SUMIFS('Business - Dump'!$G:$G,'Business - Dump'!$B:$B,'Series wise Report'!$A157,'Business - Dump'!$A:$A,'Series wise Report'!M$1)</f>
        <v>0</v>
      </c>
      <c r="N157" s="16">
        <f>SUMIFS('Business - Dump'!$G:$G,'Business - Dump'!$B:$B,'Series wise Report'!$A157,'Business - Dump'!$A:$A,'Series wise Report'!N$1)</f>
        <v>0</v>
      </c>
      <c r="O157" s="16">
        <f>SUMIFS('Business - Dump'!$G:$G,'Business - Dump'!$B:$B,'Series wise Report'!$A157,'Business - Dump'!$A:$A,'Series wise Report'!O$1)</f>
        <v>0</v>
      </c>
      <c r="P157" s="16">
        <f>SUMIFS('Business - Dump'!$G:$G,'Business - Dump'!$B:$B,'Series wise Report'!$A157,'Business - Dump'!$A:$A,'Series wise Report'!P$1)</f>
        <v>0</v>
      </c>
      <c r="Q157" s="16">
        <f>SUMIFS('Business - Dump'!$G:$G,'Business - Dump'!$B:$B,'Series wise Report'!$A157,'Business - Dump'!$A:$A,'Series wise Report'!Q$1)</f>
        <v>253</v>
      </c>
      <c r="R157" s="16">
        <f>SUMIFS('Business - Dump'!$G:$G,'Business - Dump'!$B:$B,'Series wise Report'!$A157,'Business - Dump'!$A:$A,'Series wise Report'!R$1)</f>
        <v>1253</v>
      </c>
      <c r="S157" s="16">
        <f>SUMIFS('Business - Dump'!$G:$G,'Business - Dump'!$B:$B,'Series wise Report'!$A157,'Business - Dump'!$A:$A,'Series wise Report'!S$1)</f>
        <v>2723</v>
      </c>
      <c r="T157" s="16">
        <f>SUMIFS('Business - Dump'!$G:$G,'Business - Dump'!$B:$B,'Series wise Report'!$A157,'Business - Dump'!$A:$A,'Series wise Report'!T$1)</f>
        <v>2997</v>
      </c>
    </row>
    <row r="158" ht="15.75" customHeight="1">
      <c r="A158" s="33" t="s">
        <v>429</v>
      </c>
      <c r="B158" s="10" t="s">
        <v>260</v>
      </c>
      <c r="C158" s="16">
        <f t="shared" si="68"/>
        <v>0</v>
      </c>
      <c r="D158" s="16">
        <f>SUMIFS('Business - Dump'!$K:$K,'Business - Dump'!$B:$B,'Series wise Report'!$A158,'Business - Dump'!$A:$A,'Series wise Report'!D$1)</f>
        <v>0</v>
      </c>
      <c r="E158" s="16">
        <f>SUMIFS('Business - Dump'!$K:$K,'Business - Dump'!$B:$B,'Series wise Report'!$A158,'Business - Dump'!$A:$A,'Series wise Report'!E$1)</f>
        <v>0</v>
      </c>
      <c r="F158" s="16">
        <f>SUMIFS('Business - Dump'!$K:$K,'Business - Dump'!$B:$B,'Series wise Report'!$A158,'Business - Dump'!$A:$A,'Series wise Report'!F$1)</f>
        <v>0</v>
      </c>
      <c r="G158" s="16">
        <f>SUMIFS('Business - Dump'!$K:$K,'Business - Dump'!$B:$B,'Series wise Report'!$A158,'Business - Dump'!$A:$A,'Series wise Report'!G$1)</f>
        <v>0</v>
      </c>
      <c r="H158" s="16">
        <f>SUMIFS('Business - Dump'!$K:$K,'Business - Dump'!$B:$B,'Series wise Report'!$A158,'Business - Dump'!$A:$A,'Series wise Report'!H$1)</f>
        <v>0</v>
      </c>
      <c r="I158" s="16">
        <f>SUMIFS('Business - Dump'!$K:$K,'Business - Dump'!$B:$B,'Series wise Report'!$A158,'Business - Dump'!$A:$A,'Series wise Report'!I$1)</f>
        <v>0</v>
      </c>
      <c r="J158" s="16">
        <f>SUMIFS('Business - Dump'!$K:$K,'Business - Dump'!$B:$B,'Series wise Report'!$A158,'Business - Dump'!$A:$A,'Series wise Report'!J$1)</f>
        <v>0</v>
      </c>
      <c r="K158" s="16">
        <f>SUMIFS('Business - Dump'!$K:$K,'Business - Dump'!$B:$B,'Series wise Report'!$A158,'Business - Dump'!$A:$A,'Series wise Report'!K$1)</f>
        <v>0</v>
      </c>
      <c r="L158" s="16">
        <f>SUMIFS('Business - Dump'!$K:$K,'Business - Dump'!$B:$B,'Series wise Report'!$A158,'Business - Dump'!$A:$A,'Series wise Report'!L$1)</f>
        <v>0</v>
      </c>
      <c r="M158" s="16">
        <f>SUMIFS('Business - Dump'!$K:$K,'Business - Dump'!$B:$B,'Series wise Report'!$A158,'Business - Dump'!$A:$A,'Series wise Report'!M$1)</f>
        <v>0</v>
      </c>
      <c r="N158" s="16">
        <f>SUMIFS('Business - Dump'!$K:$K,'Business - Dump'!$B:$B,'Series wise Report'!$A158,'Business - Dump'!$A:$A,'Series wise Report'!N$1)</f>
        <v>0</v>
      </c>
      <c r="O158" s="16">
        <f>SUMIFS('Business - Dump'!$K:$K,'Business - Dump'!$B:$B,'Series wise Report'!$A158,'Business - Dump'!$A:$A,'Series wise Report'!O$1)</f>
        <v>0</v>
      </c>
      <c r="P158" s="16">
        <f>SUMIFS('Business - Dump'!$K:$K,'Business - Dump'!$B:$B,'Series wise Report'!$A158,'Business - Dump'!$A:$A,'Series wise Report'!P$1)</f>
        <v>0</v>
      </c>
      <c r="Q158" s="16">
        <f>SUMIFS('Business - Dump'!$K:$K,'Business - Dump'!$B:$B,'Series wise Report'!$A158,'Business - Dump'!$A:$A,'Series wise Report'!Q$1)</f>
        <v>370</v>
      </c>
      <c r="R158" s="16">
        <f>SUMIFS('Business - Dump'!$K:$K,'Business - Dump'!$B:$B,'Series wise Report'!$A158,'Business - Dump'!$A:$A,'Series wise Report'!R$1)</f>
        <v>1767</v>
      </c>
      <c r="S158" s="16">
        <f>SUMIFS('Business - Dump'!$K:$K,'Business - Dump'!$B:$B,'Series wise Report'!$A158,'Business - Dump'!$A:$A,'Series wise Report'!S$1)</f>
        <v>3751</v>
      </c>
      <c r="T158" s="16">
        <f>SUMIFS('Business - Dump'!$K:$K,'Business - Dump'!$B:$B,'Series wise Report'!$A158,'Business - Dump'!$A:$A,'Series wise Report'!T$1)</f>
        <v>3893</v>
      </c>
    </row>
    <row r="159" ht="15.75" customHeight="1">
      <c r="A159" s="33" t="s">
        <v>429</v>
      </c>
      <c r="B159" s="138" t="s">
        <v>264</v>
      </c>
      <c r="C159" s="3">
        <f t="shared" si="68"/>
        <v>0</v>
      </c>
      <c r="D159" s="3">
        <f>SUMIFS('Business - Dump'!$Q:$Q,'Business - Dump'!$B:$B,'Series wise Report'!$A159,'Business - Dump'!$A:$A,'Series wise Report'!D$1)</f>
        <v>0</v>
      </c>
      <c r="E159" s="3">
        <f>SUMIFS('Business - Dump'!$Q:$Q,'Business - Dump'!$B:$B,'Series wise Report'!$A159,'Business - Dump'!$A:$A,'Series wise Report'!E$1)</f>
        <v>0</v>
      </c>
      <c r="F159" s="3">
        <f>SUMIFS('Business - Dump'!$Q:$Q,'Business - Dump'!$B:$B,'Series wise Report'!$A159,'Business - Dump'!$A:$A,'Series wise Report'!F$1)</f>
        <v>0</v>
      </c>
      <c r="G159" s="3">
        <f>SUMIFS('Business - Dump'!$Q:$Q,'Business - Dump'!$B:$B,'Series wise Report'!$A159,'Business - Dump'!$A:$A,'Series wise Report'!G$1)</f>
        <v>0</v>
      </c>
      <c r="H159" s="3">
        <f>SUMIFS('Business - Dump'!$Q:$Q,'Business - Dump'!$B:$B,'Series wise Report'!$A159,'Business - Dump'!$A:$A,'Series wise Report'!H$1)</f>
        <v>0</v>
      </c>
      <c r="I159" s="3">
        <f>SUMIFS('Business - Dump'!$Q:$Q,'Business - Dump'!$B:$B,'Series wise Report'!$A159,'Business - Dump'!$A:$A,'Series wise Report'!I$1)</f>
        <v>0</v>
      </c>
      <c r="J159" s="3">
        <f>SUMIFS('Business - Dump'!$Q:$Q,'Business - Dump'!$B:$B,'Series wise Report'!$A159,'Business - Dump'!$A:$A,'Series wise Report'!J$1)</f>
        <v>0</v>
      </c>
      <c r="K159" s="3">
        <f>SUMIFS('Business - Dump'!$Q:$Q,'Business - Dump'!$B:$B,'Series wise Report'!$A159,'Business - Dump'!$A:$A,'Series wise Report'!K$1)</f>
        <v>0</v>
      </c>
      <c r="L159" s="3">
        <f>SUMIFS('Business - Dump'!$Q:$Q,'Business - Dump'!$B:$B,'Series wise Report'!$A159,'Business - Dump'!$A:$A,'Series wise Report'!L$1)</f>
        <v>0</v>
      </c>
      <c r="M159" s="3">
        <f>SUMIFS('Business - Dump'!$Q:$Q,'Business - Dump'!$B:$B,'Series wise Report'!$A159,'Business - Dump'!$A:$A,'Series wise Report'!M$1)</f>
        <v>0</v>
      </c>
      <c r="N159" s="3">
        <f>SUMIFS('Business - Dump'!$Q:$Q,'Business - Dump'!$B:$B,'Series wise Report'!$A159,'Business - Dump'!$A:$A,'Series wise Report'!N$1)</f>
        <v>0</v>
      </c>
      <c r="O159" s="3">
        <f>SUMIFS('Business - Dump'!$Q:$Q,'Business - Dump'!$B:$B,'Series wise Report'!$A159,'Business - Dump'!$A:$A,'Series wise Report'!O$1)</f>
        <v>0</v>
      </c>
      <c r="P159" s="3">
        <f>SUMIFS('Business - Dump'!$Q:$Q,'Business - Dump'!$B:$B,'Series wise Report'!$A159,'Business - Dump'!$A:$A,'Series wise Report'!P$1)</f>
        <v>0</v>
      </c>
      <c r="Q159" s="3">
        <f>SUMIFS('Business - Dump'!$Q:$Q,'Business - Dump'!$B:$B,'Series wise Report'!$A159,'Business - Dump'!$A:$A,'Series wise Report'!Q$1)</f>
        <v>0</v>
      </c>
      <c r="R159" s="3">
        <f>SUMIFS('Business - Dump'!$Q:$Q,'Business - Dump'!$B:$B,'Series wise Report'!$A159,'Business - Dump'!$A:$A,'Series wise Report'!R$1)</f>
        <v>7</v>
      </c>
      <c r="S159" s="3">
        <f>SUMIFS('Business - Dump'!$Q:$Q,'Business - Dump'!$B:$B,'Series wise Report'!$A159,'Business - Dump'!$A:$A,'Series wise Report'!S$1)</f>
        <v>12</v>
      </c>
      <c r="T159" s="3">
        <f>SUMIFS('Business - Dump'!$Q:$Q,'Business - Dump'!$B:$B,'Series wise Report'!$A159,'Business - Dump'!$A:$A,'Series wise Report'!T$1)</f>
        <v>11</v>
      </c>
    </row>
    <row r="160" ht="15.75" customHeight="1">
      <c r="A160" s="33" t="s">
        <v>429</v>
      </c>
      <c r="B160" s="137" t="s">
        <v>268</v>
      </c>
      <c r="C160" s="141">
        <f t="shared" si="68"/>
        <v>0</v>
      </c>
      <c r="D160" s="141">
        <f>SUMIFS('Business - Dump'!$W:$W,'Business - Dump'!$B:$B,'Series wise Report'!$A160,'Business - Dump'!$A:$A,'Series wise Report'!D$1)</f>
        <v>0</v>
      </c>
      <c r="E160" s="141">
        <f>SUMIFS('Business - Dump'!$W:$W,'Business - Dump'!$B:$B,'Series wise Report'!$A160,'Business - Dump'!$A:$A,'Series wise Report'!E$1)</f>
        <v>0</v>
      </c>
      <c r="F160" s="141">
        <f>SUMIFS('Business - Dump'!$W:$W,'Business - Dump'!$B:$B,'Series wise Report'!$A160,'Business - Dump'!$A:$A,'Series wise Report'!F$1)</f>
        <v>0</v>
      </c>
      <c r="G160" s="141">
        <f>SUMIFS('Business - Dump'!$W:$W,'Business - Dump'!$B:$B,'Series wise Report'!$A160,'Business - Dump'!$A:$A,'Series wise Report'!G$1)</f>
        <v>0</v>
      </c>
      <c r="H160" s="141">
        <f>SUMIFS('Business - Dump'!$W:$W,'Business - Dump'!$B:$B,'Series wise Report'!$A160,'Business - Dump'!$A:$A,'Series wise Report'!H$1)</f>
        <v>0</v>
      </c>
      <c r="I160" s="141">
        <f>SUMIFS('Business - Dump'!$W:$W,'Business - Dump'!$B:$B,'Series wise Report'!$A160,'Business - Dump'!$A:$A,'Series wise Report'!I$1)</f>
        <v>0</v>
      </c>
      <c r="J160" s="141">
        <f>SUMIFS('Business - Dump'!$W:$W,'Business - Dump'!$B:$B,'Series wise Report'!$A160,'Business - Dump'!$A:$A,'Series wise Report'!J$1)</f>
        <v>0</v>
      </c>
      <c r="K160" s="141">
        <f>SUMIFS('Business - Dump'!$W:$W,'Business - Dump'!$B:$B,'Series wise Report'!$A160,'Business - Dump'!$A:$A,'Series wise Report'!K$1)</f>
        <v>0</v>
      </c>
      <c r="L160" s="141">
        <f>SUMIFS('Business - Dump'!$W:$W,'Business - Dump'!$B:$B,'Series wise Report'!$A160,'Business - Dump'!$A:$A,'Series wise Report'!L$1)</f>
        <v>0</v>
      </c>
      <c r="M160" s="141">
        <f>SUMIFS('Business - Dump'!$W:$W,'Business - Dump'!$B:$B,'Series wise Report'!$A160,'Business - Dump'!$A:$A,'Series wise Report'!M$1)</f>
        <v>0</v>
      </c>
      <c r="N160" s="141">
        <f>SUMIFS('Business - Dump'!$W:$W,'Business - Dump'!$B:$B,'Series wise Report'!$A160,'Business - Dump'!$A:$A,'Series wise Report'!N$1)</f>
        <v>0</v>
      </c>
      <c r="O160" s="141">
        <f>SUMIFS('Business - Dump'!$W:$W,'Business - Dump'!$B:$B,'Series wise Report'!$A160,'Business - Dump'!$A:$A,'Series wise Report'!O$1)</f>
        <v>0</v>
      </c>
      <c r="P160" s="141">
        <f>SUMIFS('Business - Dump'!$W:$W,'Business - Dump'!$B:$B,'Series wise Report'!$A160,'Business - Dump'!$A:$A,'Series wise Report'!P$1)</f>
        <v>0</v>
      </c>
      <c r="Q160" s="141">
        <f>SUMIFS('Business - Dump'!$W:$W,'Business - Dump'!$B:$B,'Series wise Report'!$A160,'Business - Dump'!$A:$A,'Series wise Report'!Q$1)</f>
        <v>0</v>
      </c>
      <c r="R160" s="141">
        <f>SUMIFS('Business - Dump'!$W:$W,'Business - Dump'!$B:$B,'Series wise Report'!$A160,'Business - Dump'!$A:$A,'Series wise Report'!R$1)</f>
        <v>7</v>
      </c>
      <c r="S160" s="141">
        <f>SUMIFS('Business - Dump'!$W:$W,'Business - Dump'!$B:$B,'Series wise Report'!$A160,'Business - Dump'!$A:$A,'Series wise Report'!S$1)</f>
        <v>12</v>
      </c>
      <c r="T160" s="141">
        <f>SUMIFS('Business - Dump'!$W:$W,'Business - Dump'!$B:$B,'Series wise Report'!$A160,'Business - Dump'!$A:$A,'Series wise Report'!T$1)</f>
        <v>11</v>
      </c>
    </row>
    <row r="161" ht="15.75" customHeight="1">
      <c r="A161" s="33" t="s">
        <v>429</v>
      </c>
      <c r="B161" s="10" t="s">
        <v>26</v>
      </c>
      <c r="C161" s="15">
        <f t="shared" si="68"/>
        <v>0</v>
      </c>
      <c r="D161" s="15">
        <f>SUMIFS('Business - Dump'!$U:$U,'Business - Dump'!$B:$B,'Series wise Report'!$A161,'Business - Dump'!$A:$A,'Series wise Report'!D$1)</f>
        <v>0</v>
      </c>
      <c r="E161" s="15">
        <f>SUMIFS('Business - Dump'!$U:$U,'Business - Dump'!$B:$B,'Series wise Report'!$A161,'Business - Dump'!$A:$A,'Series wise Report'!E$1)</f>
        <v>0</v>
      </c>
      <c r="F161" s="15">
        <f>SUMIFS('Business - Dump'!$U:$U,'Business - Dump'!$B:$B,'Series wise Report'!$A161,'Business - Dump'!$A:$A,'Series wise Report'!F$1)</f>
        <v>0</v>
      </c>
      <c r="G161" s="15">
        <f>SUMIFS('Business - Dump'!$U:$U,'Business - Dump'!$B:$B,'Series wise Report'!$A161,'Business - Dump'!$A:$A,'Series wise Report'!G$1)</f>
        <v>0</v>
      </c>
      <c r="H161" s="15">
        <f>SUMIFS('Business - Dump'!$U:$U,'Business - Dump'!$B:$B,'Series wise Report'!$A161,'Business - Dump'!$A:$A,'Series wise Report'!H$1)</f>
        <v>0</v>
      </c>
      <c r="I161" s="15">
        <f>SUMIFS('Business - Dump'!$U:$U,'Business - Dump'!$B:$B,'Series wise Report'!$A161,'Business - Dump'!$A:$A,'Series wise Report'!I$1)</f>
        <v>0</v>
      </c>
      <c r="J161" s="15">
        <f>SUMIFS('Business - Dump'!$U:$U,'Business - Dump'!$B:$B,'Series wise Report'!$A161,'Business - Dump'!$A:$A,'Series wise Report'!J$1)</f>
        <v>0</v>
      </c>
      <c r="K161" s="15">
        <f>SUMIFS('Business - Dump'!$U:$U,'Business - Dump'!$B:$B,'Series wise Report'!$A161,'Business - Dump'!$A:$A,'Series wise Report'!K$1)</f>
        <v>0</v>
      </c>
      <c r="L161" s="15">
        <f>SUMIFS('Business - Dump'!$U:$U,'Business - Dump'!$B:$B,'Series wise Report'!$A161,'Business - Dump'!$A:$A,'Series wise Report'!L$1)</f>
        <v>0</v>
      </c>
      <c r="M161" s="15">
        <f>SUMIFS('Business - Dump'!$U:$U,'Business - Dump'!$B:$B,'Series wise Report'!$A161,'Business - Dump'!$A:$A,'Series wise Report'!M$1)</f>
        <v>0</v>
      </c>
      <c r="N161" s="15">
        <f>SUMIFS('Business - Dump'!$U:$U,'Business - Dump'!$B:$B,'Series wise Report'!$A161,'Business - Dump'!$A:$A,'Series wise Report'!N$1)</f>
        <v>0</v>
      </c>
      <c r="O161" s="15">
        <f>SUMIFS('Business - Dump'!$U:$U,'Business - Dump'!$B:$B,'Series wise Report'!$A161,'Business - Dump'!$A:$A,'Series wise Report'!O$1)</f>
        <v>0</v>
      </c>
      <c r="P161" s="15">
        <f>SUMIFS('Business - Dump'!$U:$U,'Business - Dump'!$B:$B,'Series wise Report'!$A161,'Business - Dump'!$A:$A,'Series wise Report'!P$1)</f>
        <v>0</v>
      </c>
      <c r="Q161" s="15">
        <f>SUMIFS('Business - Dump'!$U:$U,'Business - Dump'!$B:$B,'Series wise Report'!$A161,'Business - Dump'!$A:$A,'Series wise Report'!Q$1)</f>
        <v>0</v>
      </c>
      <c r="R161" s="15">
        <f>SUMIFS('Business - Dump'!$U:$U,'Business - Dump'!$B:$B,'Series wise Report'!$A161,'Business - Dump'!$A:$A,'Series wise Report'!R$1)</f>
        <v>109022.36</v>
      </c>
      <c r="S161" s="15">
        <f>SUMIFS('Business - Dump'!$U:$U,'Business - Dump'!$B:$B,'Series wise Report'!$A161,'Business - Dump'!$A:$A,'Series wise Report'!S$1)</f>
        <v>185542.36</v>
      </c>
      <c r="T161" s="15">
        <f>SUMIFS('Business - Dump'!$U:$U,'Business - Dump'!$B:$B,'Series wise Report'!$A161,'Business - Dump'!$A:$A,'Series wise Report'!T$1)</f>
        <v>170613.54</v>
      </c>
    </row>
    <row r="162" ht="15.75" customHeight="1">
      <c r="A162" s="33" t="s">
        <v>429</v>
      </c>
      <c r="B162" s="10" t="s">
        <v>29</v>
      </c>
      <c r="C162" s="17">
        <f t="shared" ref="C162:T162" si="69">IFERROR(C160/C157,0)</f>
        <v>0</v>
      </c>
      <c r="D162" s="17">
        <f t="shared" si="69"/>
        <v>0</v>
      </c>
      <c r="E162" s="17">
        <f t="shared" si="69"/>
        <v>0</v>
      </c>
      <c r="F162" s="17">
        <f t="shared" si="69"/>
        <v>0</v>
      </c>
      <c r="G162" s="17">
        <f t="shared" si="69"/>
        <v>0</v>
      </c>
      <c r="H162" s="17">
        <f t="shared" si="69"/>
        <v>0</v>
      </c>
      <c r="I162" s="17">
        <f t="shared" si="69"/>
        <v>0</v>
      </c>
      <c r="J162" s="17">
        <f t="shared" si="69"/>
        <v>0</v>
      </c>
      <c r="K162" s="17">
        <f t="shared" si="69"/>
        <v>0</v>
      </c>
      <c r="L162" s="17">
        <f t="shared" si="69"/>
        <v>0</v>
      </c>
      <c r="M162" s="17">
        <f t="shared" si="69"/>
        <v>0</v>
      </c>
      <c r="N162" s="17">
        <f t="shared" si="69"/>
        <v>0</v>
      </c>
      <c r="O162" s="17">
        <f t="shared" si="69"/>
        <v>0</v>
      </c>
      <c r="P162" s="17">
        <f t="shared" si="69"/>
        <v>0</v>
      </c>
      <c r="Q162" s="17">
        <f t="shared" si="69"/>
        <v>0</v>
      </c>
      <c r="R162" s="17">
        <f t="shared" si="69"/>
        <v>0.005586592179</v>
      </c>
      <c r="S162" s="17">
        <f t="shared" si="69"/>
        <v>0.00440690415</v>
      </c>
      <c r="T162" s="17">
        <f t="shared" si="69"/>
        <v>0.003670337004</v>
      </c>
    </row>
    <row r="163" ht="15.75" customHeight="1">
      <c r="A163" s="33" t="s">
        <v>429</v>
      </c>
      <c r="B163" s="10" t="s">
        <v>282</v>
      </c>
      <c r="C163" s="16">
        <f t="shared" ref="C163:T163" si="70">IFERROR(C161/C160,0)</f>
        <v>0</v>
      </c>
      <c r="D163" s="16">
        <f t="shared" si="70"/>
        <v>0</v>
      </c>
      <c r="E163" s="16">
        <f t="shared" si="70"/>
        <v>0</v>
      </c>
      <c r="F163" s="16">
        <f t="shared" si="70"/>
        <v>0</v>
      </c>
      <c r="G163" s="16">
        <f t="shared" si="70"/>
        <v>0</v>
      </c>
      <c r="H163" s="16">
        <f t="shared" si="70"/>
        <v>0</v>
      </c>
      <c r="I163" s="16">
        <f t="shared" si="70"/>
        <v>0</v>
      </c>
      <c r="J163" s="16">
        <f t="shared" si="70"/>
        <v>0</v>
      </c>
      <c r="K163" s="16">
        <f t="shared" si="70"/>
        <v>0</v>
      </c>
      <c r="L163" s="16">
        <f t="shared" si="70"/>
        <v>0</v>
      </c>
      <c r="M163" s="16">
        <f t="shared" si="70"/>
        <v>0</v>
      </c>
      <c r="N163" s="16">
        <f t="shared" si="70"/>
        <v>0</v>
      </c>
      <c r="O163" s="16">
        <f t="shared" si="70"/>
        <v>0</v>
      </c>
      <c r="P163" s="16">
        <f t="shared" si="70"/>
        <v>0</v>
      </c>
      <c r="Q163" s="16">
        <f t="shared" si="70"/>
        <v>0</v>
      </c>
      <c r="R163" s="16">
        <f t="shared" si="70"/>
        <v>15574.62286</v>
      </c>
      <c r="S163" s="16">
        <f t="shared" si="70"/>
        <v>15461.86333</v>
      </c>
      <c r="T163" s="16">
        <f t="shared" si="70"/>
        <v>15510.32182</v>
      </c>
    </row>
    <row r="164" ht="15.75" customHeight="1"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</row>
    <row r="165" ht="15.75" customHeight="1">
      <c r="Q165" s="155"/>
    </row>
    <row r="166" ht="15.75" customHeight="1">
      <c r="Q166" s="155"/>
    </row>
    <row r="167" ht="15.75" customHeight="1">
      <c r="Q167" s="155"/>
    </row>
    <row r="168" ht="15.75" customHeight="1">
      <c r="Q168" s="155"/>
    </row>
    <row r="169" ht="15.75" customHeight="1">
      <c r="Q169" s="155"/>
    </row>
    <row r="170" ht="15.75" customHeight="1">
      <c r="Q170" s="155"/>
    </row>
    <row r="171" ht="15.75" customHeight="1">
      <c r="Q171" s="155"/>
    </row>
    <row r="172" ht="15.75" customHeight="1">
      <c r="Q172" s="155"/>
    </row>
    <row r="173" ht="15.75" customHeight="1">
      <c r="Q173" s="155"/>
    </row>
    <row r="174" ht="15.75" customHeight="1">
      <c r="Q174" s="155"/>
    </row>
    <row r="175" ht="15.75" customHeight="1">
      <c r="Q175" s="155"/>
    </row>
    <row r="176" ht="15.75" customHeight="1">
      <c r="Q176" s="155"/>
    </row>
    <row r="177" ht="15.75" customHeight="1">
      <c r="Q177" s="155"/>
    </row>
    <row r="178" ht="15.75" customHeight="1">
      <c r="Q178" s="155"/>
    </row>
    <row r="179" ht="15.75" customHeight="1">
      <c r="Q179" s="155"/>
    </row>
    <row r="180" ht="15.75" customHeight="1">
      <c r="Q180" s="155"/>
    </row>
    <row r="181" ht="15.75" customHeight="1">
      <c r="Q181" s="155"/>
    </row>
    <row r="182" ht="15.75" customHeight="1">
      <c r="Q182" s="155"/>
    </row>
    <row r="183" ht="15.75" customHeight="1">
      <c r="Q183" s="155"/>
    </row>
    <row r="184" ht="15.75" customHeight="1">
      <c r="Q184" s="155"/>
    </row>
    <row r="185" ht="15.75" customHeight="1">
      <c r="Q185" s="155"/>
    </row>
    <row r="186" ht="15.75" customHeight="1">
      <c r="Q186" s="155"/>
    </row>
    <row r="187" ht="15.75" customHeight="1">
      <c r="Q187" s="155"/>
    </row>
    <row r="188" ht="15.75" customHeight="1">
      <c r="Q188" s="155"/>
    </row>
    <row r="189" ht="15.75" customHeight="1">
      <c r="Q189" s="155"/>
    </row>
    <row r="190" ht="15.75" customHeight="1">
      <c r="Q190" s="155"/>
    </row>
    <row r="191" ht="15.75" customHeight="1">
      <c r="Q191" s="155"/>
    </row>
    <row r="192" ht="15.75" customHeight="1">
      <c r="Q192" s="155"/>
    </row>
    <row r="193" ht="15.75" customHeight="1">
      <c r="Q193" s="155"/>
    </row>
    <row r="194" ht="15.75" customHeight="1">
      <c r="Q194" s="155"/>
    </row>
    <row r="195" ht="15.75" customHeight="1">
      <c r="Q195" s="155"/>
    </row>
    <row r="196" ht="15.75" customHeight="1">
      <c r="Q196" s="155"/>
    </row>
    <row r="197" ht="15.75" customHeight="1">
      <c r="Q197" s="155"/>
    </row>
    <row r="198" ht="15.75" customHeight="1">
      <c r="Q198" s="155"/>
    </row>
    <row r="199" ht="15.75" customHeight="1">
      <c r="Q199" s="155"/>
    </row>
    <row r="200" ht="15.75" customHeight="1">
      <c r="Q200" s="155"/>
    </row>
    <row r="201" ht="15.75" customHeight="1">
      <c r="Q201" s="155"/>
    </row>
    <row r="202" ht="15.75" customHeight="1">
      <c r="Q202" s="155"/>
    </row>
    <row r="203" ht="15.75" customHeight="1">
      <c r="Q203" s="155"/>
    </row>
    <row r="204" ht="15.75" customHeight="1">
      <c r="Q204" s="155"/>
    </row>
    <row r="205" ht="15.75" customHeight="1">
      <c r="Q205" s="155"/>
    </row>
    <row r="206" ht="15.75" customHeight="1">
      <c r="Q206" s="155"/>
    </row>
    <row r="207" ht="15.75" customHeight="1">
      <c r="Q207" s="155"/>
    </row>
    <row r="208" ht="15.75" customHeight="1">
      <c r="Q208" s="155"/>
    </row>
    <row r="209" ht="15.75" customHeight="1">
      <c r="Q209" s="155"/>
    </row>
    <row r="210" ht="15.75" customHeight="1">
      <c r="Q210" s="155"/>
    </row>
    <row r="211" ht="15.75" customHeight="1">
      <c r="Q211" s="155"/>
    </row>
    <row r="212" ht="15.75" customHeight="1">
      <c r="Q212" s="155"/>
    </row>
    <row r="213" ht="15.75" customHeight="1">
      <c r="Q213" s="155"/>
    </row>
    <row r="214" ht="15.75" customHeight="1">
      <c r="Q214" s="155"/>
    </row>
    <row r="215" ht="15.75" customHeight="1">
      <c r="Q215" s="155"/>
    </row>
    <row r="216" ht="15.75" customHeight="1">
      <c r="Q216" s="155"/>
    </row>
    <row r="217" ht="15.75" customHeight="1">
      <c r="Q217" s="155"/>
    </row>
    <row r="218" ht="15.75" customHeight="1">
      <c r="Q218" s="155"/>
    </row>
    <row r="219" ht="15.75" customHeight="1">
      <c r="Q219" s="155"/>
    </row>
    <row r="220" ht="15.75" customHeight="1">
      <c r="Q220" s="155"/>
    </row>
    <row r="221" ht="15.75" customHeight="1">
      <c r="Q221" s="155"/>
    </row>
    <row r="222" ht="15.75" customHeight="1">
      <c r="Q222" s="155"/>
    </row>
    <row r="223" ht="15.75" customHeight="1">
      <c r="Q223" s="155"/>
    </row>
    <row r="224" ht="15.75" customHeight="1">
      <c r="Q224" s="155"/>
    </row>
    <row r="225" ht="15.75" customHeight="1">
      <c r="Q225" s="155"/>
    </row>
    <row r="226" ht="15.75" customHeight="1">
      <c r="Q226" s="155"/>
    </row>
    <row r="227" ht="15.75" customHeight="1">
      <c r="Q227" s="155"/>
    </row>
    <row r="228" ht="15.75" customHeight="1">
      <c r="Q228" s="155"/>
    </row>
    <row r="229" ht="15.75" customHeight="1">
      <c r="Q229" s="155"/>
    </row>
    <row r="230" ht="15.75" customHeight="1">
      <c r="Q230" s="155"/>
    </row>
    <row r="231" ht="15.75" customHeight="1">
      <c r="Q231" s="155"/>
    </row>
    <row r="232" ht="15.75" customHeight="1">
      <c r="Q232" s="155"/>
    </row>
    <row r="233" ht="15.75" customHeight="1">
      <c r="Q233" s="155"/>
    </row>
    <row r="234" ht="15.75" customHeight="1">
      <c r="Q234" s="155"/>
    </row>
    <row r="235" ht="15.75" customHeight="1">
      <c r="Q235" s="155"/>
    </row>
    <row r="236" ht="15.75" customHeight="1">
      <c r="Q236" s="155"/>
    </row>
    <row r="237" ht="15.75" customHeight="1">
      <c r="Q237" s="155"/>
    </row>
    <row r="238" ht="15.75" customHeight="1">
      <c r="Q238" s="155"/>
    </row>
    <row r="239" ht="15.75" customHeight="1">
      <c r="Q239" s="155"/>
    </row>
    <row r="240" ht="15.75" customHeight="1">
      <c r="Q240" s="155"/>
    </row>
    <row r="241" ht="15.75" customHeight="1">
      <c r="Q241" s="155"/>
    </row>
    <row r="242" ht="15.75" customHeight="1">
      <c r="Q242" s="155"/>
    </row>
    <row r="243" ht="15.75" customHeight="1">
      <c r="Q243" s="155"/>
    </row>
    <row r="244" ht="15.75" customHeight="1">
      <c r="Q244" s="155"/>
    </row>
    <row r="245" ht="15.75" customHeight="1">
      <c r="Q245" s="155"/>
    </row>
    <row r="246" ht="15.75" customHeight="1">
      <c r="Q246" s="155"/>
    </row>
    <row r="247" ht="15.75" customHeight="1">
      <c r="Q247" s="155"/>
    </row>
    <row r="248" ht="15.75" customHeight="1">
      <c r="Q248" s="155"/>
    </row>
    <row r="249" ht="15.75" customHeight="1">
      <c r="Q249" s="155"/>
    </row>
    <row r="250" ht="15.75" customHeight="1">
      <c r="Q250" s="155"/>
    </row>
    <row r="251" ht="15.75" customHeight="1">
      <c r="Q251" s="155"/>
    </row>
    <row r="252" ht="15.75" customHeight="1">
      <c r="Q252" s="155"/>
    </row>
    <row r="253" ht="15.75" customHeight="1">
      <c r="Q253" s="155"/>
    </row>
    <row r="254" ht="15.75" customHeight="1">
      <c r="Q254" s="155"/>
    </row>
    <row r="255" ht="15.75" customHeight="1">
      <c r="Q255" s="155"/>
    </row>
    <row r="256" ht="15.75" customHeight="1">
      <c r="Q256" s="155"/>
    </row>
    <row r="257" ht="15.75" customHeight="1">
      <c r="Q257" s="155"/>
    </row>
    <row r="258" ht="15.75" customHeight="1">
      <c r="Q258" s="155"/>
    </row>
    <row r="259" ht="15.75" customHeight="1">
      <c r="Q259" s="155"/>
    </row>
    <row r="260" ht="15.75" customHeight="1">
      <c r="Q260" s="155"/>
    </row>
    <row r="261" ht="15.75" customHeight="1">
      <c r="Q261" s="155"/>
    </row>
    <row r="262" ht="15.75" customHeight="1">
      <c r="Q262" s="155"/>
    </row>
    <row r="263" ht="15.75" customHeight="1">
      <c r="Q263" s="155"/>
    </row>
    <row r="264" ht="15.75" customHeight="1">
      <c r="Q264" s="155"/>
    </row>
    <row r="265" ht="15.75" customHeight="1">
      <c r="Q265" s="155"/>
    </row>
    <row r="266" ht="15.75" customHeight="1">
      <c r="Q266" s="155"/>
    </row>
    <row r="267" ht="15.75" customHeight="1">
      <c r="Q267" s="155"/>
    </row>
    <row r="268" ht="15.75" customHeight="1">
      <c r="Q268" s="155"/>
    </row>
    <row r="269" ht="15.75" customHeight="1">
      <c r="Q269" s="155"/>
    </row>
    <row r="270" ht="15.75" customHeight="1">
      <c r="Q270" s="155"/>
    </row>
    <row r="271" ht="15.75" customHeight="1">
      <c r="Q271" s="155"/>
    </row>
    <row r="272" ht="15.75" customHeight="1">
      <c r="Q272" s="155"/>
    </row>
    <row r="273" ht="15.75" customHeight="1">
      <c r="Q273" s="155"/>
    </row>
    <row r="274" ht="15.75" customHeight="1">
      <c r="Q274" s="155"/>
    </row>
    <row r="275" ht="15.75" customHeight="1">
      <c r="Q275" s="155"/>
    </row>
    <row r="276" ht="15.75" customHeight="1">
      <c r="Q276" s="155"/>
    </row>
    <row r="277" ht="15.75" customHeight="1">
      <c r="Q277" s="155"/>
    </row>
    <row r="278" ht="15.75" customHeight="1">
      <c r="Q278" s="155"/>
    </row>
    <row r="279" ht="15.75" customHeight="1">
      <c r="Q279" s="155"/>
    </row>
    <row r="280" ht="15.75" customHeight="1">
      <c r="Q280" s="155"/>
    </row>
    <row r="281" ht="15.75" customHeight="1">
      <c r="Q281" s="155"/>
    </row>
    <row r="282" ht="15.75" customHeight="1">
      <c r="Q282" s="155"/>
    </row>
    <row r="283" ht="15.75" customHeight="1">
      <c r="Q283" s="155"/>
    </row>
    <row r="284" ht="15.75" customHeight="1">
      <c r="Q284" s="155"/>
    </row>
    <row r="285" ht="15.75" customHeight="1">
      <c r="Q285" s="155"/>
    </row>
    <row r="286" ht="15.75" customHeight="1">
      <c r="Q286" s="155"/>
    </row>
    <row r="287" ht="15.75" customHeight="1">
      <c r="Q287" s="155"/>
    </row>
    <row r="288" ht="15.75" customHeight="1">
      <c r="Q288" s="155"/>
    </row>
    <row r="289" ht="15.75" customHeight="1">
      <c r="Q289" s="155"/>
    </row>
    <row r="290" ht="15.75" customHeight="1">
      <c r="Q290" s="155"/>
    </row>
    <row r="291" ht="15.75" customHeight="1">
      <c r="Q291" s="155"/>
    </row>
    <row r="292" ht="15.75" customHeight="1">
      <c r="Q292" s="155"/>
    </row>
    <row r="293" ht="15.75" customHeight="1">
      <c r="Q293" s="155"/>
    </row>
    <row r="294" ht="15.75" customHeight="1">
      <c r="Q294" s="155"/>
    </row>
    <row r="295" ht="15.75" customHeight="1">
      <c r="Q295" s="155"/>
    </row>
    <row r="296" ht="15.75" customHeight="1">
      <c r="Q296" s="155"/>
    </row>
    <row r="297" ht="15.75" customHeight="1">
      <c r="Q297" s="155"/>
    </row>
    <row r="298" ht="15.75" customHeight="1">
      <c r="Q298" s="155"/>
    </row>
    <row r="299" ht="15.75" customHeight="1">
      <c r="Q299" s="155"/>
    </row>
    <row r="300" ht="15.75" customHeight="1">
      <c r="Q300" s="155"/>
    </row>
    <row r="301" ht="15.75" customHeight="1">
      <c r="Q301" s="155"/>
    </row>
    <row r="302" ht="15.75" customHeight="1">
      <c r="Q302" s="155"/>
    </row>
    <row r="303" ht="15.75" customHeight="1">
      <c r="Q303" s="155"/>
    </row>
    <row r="304" ht="15.75" customHeight="1">
      <c r="Q304" s="155"/>
    </row>
    <row r="305" ht="15.75" customHeight="1">
      <c r="Q305" s="155"/>
    </row>
    <row r="306" ht="15.75" customHeight="1">
      <c r="Q306" s="155"/>
    </row>
    <row r="307" ht="15.75" customHeight="1">
      <c r="Q307" s="155"/>
    </row>
    <row r="308" ht="15.75" customHeight="1">
      <c r="Q308" s="155"/>
    </row>
    <row r="309" ht="15.75" customHeight="1">
      <c r="Q309" s="155"/>
    </row>
    <row r="310" ht="15.75" customHeight="1">
      <c r="Q310" s="155"/>
    </row>
    <row r="311" ht="15.75" customHeight="1">
      <c r="Q311" s="155"/>
    </row>
    <row r="312" ht="15.75" customHeight="1">
      <c r="Q312" s="155"/>
    </row>
    <row r="313" ht="15.75" customHeight="1">
      <c r="Q313" s="155"/>
    </row>
    <row r="314" ht="15.75" customHeight="1">
      <c r="Q314" s="155"/>
    </row>
    <row r="315" ht="15.75" customHeight="1">
      <c r="Q315" s="155"/>
    </row>
    <row r="316" ht="15.75" customHeight="1">
      <c r="Q316" s="155"/>
    </row>
    <row r="317" ht="15.75" customHeight="1">
      <c r="Q317" s="155"/>
    </row>
    <row r="318" ht="15.75" customHeight="1">
      <c r="Q318" s="155"/>
    </row>
    <row r="319" ht="15.75" customHeight="1">
      <c r="Q319" s="155"/>
    </row>
    <row r="320" ht="15.75" customHeight="1">
      <c r="Q320" s="155"/>
    </row>
    <row r="321" ht="15.75" customHeight="1">
      <c r="Q321" s="155"/>
    </row>
    <row r="322" ht="15.75" customHeight="1">
      <c r="Q322" s="155"/>
    </row>
    <row r="323" ht="15.75" customHeight="1">
      <c r="Q323" s="155"/>
    </row>
    <row r="324" ht="15.75" customHeight="1">
      <c r="Q324" s="155"/>
    </row>
    <row r="325" ht="15.75" customHeight="1">
      <c r="Q325" s="155"/>
    </row>
    <row r="326" ht="15.75" customHeight="1">
      <c r="Q326" s="155"/>
    </row>
    <row r="327" ht="15.75" customHeight="1">
      <c r="Q327" s="155"/>
    </row>
    <row r="328" ht="15.75" customHeight="1">
      <c r="Q328" s="155"/>
    </row>
    <row r="329" ht="15.75" customHeight="1">
      <c r="Q329" s="155"/>
    </row>
    <row r="330" ht="15.75" customHeight="1">
      <c r="Q330" s="155"/>
    </row>
    <row r="331" ht="15.75" customHeight="1">
      <c r="Q331" s="155"/>
    </row>
    <row r="332" ht="15.75" customHeight="1">
      <c r="Q332" s="155"/>
    </row>
    <row r="333" ht="15.75" customHeight="1">
      <c r="Q333" s="155"/>
    </row>
    <row r="334" ht="15.75" customHeight="1">
      <c r="Q334" s="155"/>
    </row>
    <row r="335" ht="15.75" customHeight="1">
      <c r="Q335" s="155"/>
    </row>
    <row r="336" ht="15.75" customHeight="1">
      <c r="Q336" s="155"/>
    </row>
    <row r="337" ht="15.75" customHeight="1">
      <c r="Q337" s="155"/>
    </row>
    <row r="338" ht="15.75" customHeight="1">
      <c r="Q338" s="155"/>
    </row>
    <row r="339" ht="15.75" customHeight="1">
      <c r="Q339" s="155"/>
    </row>
    <row r="340" ht="15.75" customHeight="1">
      <c r="Q340" s="155"/>
    </row>
    <row r="341" ht="15.75" customHeight="1">
      <c r="Q341" s="155"/>
    </row>
    <row r="342" ht="15.75" customHeight="1">
      <c r="Q342" s="155"/>
    </row>
    <row r="343" ht="15.75" customHeight="1">
      <c r="Q343" s="155"/>
    </row>
    <row r="344" ht="15.75" customHeight="1">
      <c r="Q344" s="155"/>
    </row>
    <row r="345" ht="15.75" customHeight="1">
      <c r="Q345" s="155"/>
    </row>
    <row r="346" ht="15.75" customHeight="1">
      <c r="Q346" s="155"/>
    </row>
    <row r="347" ht="15.75" customHeight="1">
      <c r="Q347" s="155"/>
    </row>
    <row r="348" ht="15.75" customHeight="1">
      <c r="Q348" s="155"/>
    </row>
    <row r="349" ht="15.75" customHeight="1">
      <c r="Q349" s="155"/>
    </row>
    <row r="350" ht="15.75" customHeight="1">
      <c r="Q350" s="155"/>
    </row>
    <row r="351" ht="15.75" customHeight="1">
      <c r="Q351" s="155"/>
    </row>
    <row r="352" ht="15.75" customHeight="1">
      <c r="Q352" s="155"/>
    </row>
    <row r="353" ht="15.75" customHeight="1">
      <c r="Q353" s="155"/>
    </row>
    <row r="354" ht="15.75" customHeight="1">
      <c r="Q354" s="155"/>
    </row>
    <row r="355" ht="15.75" customHeight="1">
      <c r="Q355" s="155"/>
    </row>
    <row r="356" ht="15.75" customHeight="1">
      <c r="Q356" s="155"/>
    </row>
    <row r="357" ht="15.75" customHeight="1">
      <c r="Q357" s="155"/>
    </row>
    <row r="358" ht="15.75" customHeight="1">
      <c r="Q358" s="155"/>
    </row>
    <row r="359" ht="15.75" customHeight="1">
      <c r="Q359" s="155"/>
    </row>
    <row r="360" ht="15.75" customHeight="1">
      <c r="Q360" s="155"/>
    </row>
    <row r="361" ht="15.75" customHeight="1">
      <c r="Q361" s="155"/>
    </row>
    <row r="362" ht="15.75" customHeight="1">
      <c r="Q362" s="155"/>
    </row>
    <row r="363" ht="15.75" customHeight="1">
      <c r="Q363" s="155"/>
    </row>
    <row r="364" ht="15.75" customHeight="1">
      <c r="Q364" s="155"/>
    </row>
    <row r="365" ht="15.75" customHeight="1">
      <c r="Q365" s="155"/>
    </row>
    <row r="366" ht="15.75" customHeight="1">
      <c r="Q366" s="155"/>
    </row>
    <row r="367" ht="15.75" customHeight="1">
      <c r="Q367" s="155"/>
    </row>
    <row r="368" ht="15.75" customHeight="1">
      <c r="Q368" s="155"/>
    </row>
    <row r="369" ht="15.75" customHeight="1">
      <c r="Q369" s="155"/>
    </row>
    <row r="370" ht="15.75" customHeight="1">
      <c r="Q370" s="155"/>
    </row>
    <row r="371" ht="15.75" customHeight="1">
      <c r="Q371" s="155"/>
    </row>
    <row r="372" ht="15.75" customHeight="1">
      <c r="Q372" s="155"/>
    </row>
    <row r="373" ht="15.75" customHeight="1">
      <c r="Q373" s="155"/>
    </row>
    <row r="374" ht="15.75" customHeight="1">
      <c r="Q374" s="155"/>
    </row>
    <row r="375" ht="15.75" customHeight="1">
      <c r="Q375" s="155"/>
    </row>
    <row r="376" ht="15.75" customHeight="1">
      <c r="Q376" s="155"/>
    </row>
    <row r="377" ht="15.75" customHeight="1">
      <c r="Q377" s="155"/>
    </row>
    <row r="378" ht="15.75" customHeight="1">
      <c r="Q378" s="155"/>
    </row>
    <row r="379" ht="15.75" customHeight="1">
      <c r="Q379" s="155"/>
    </row>
    <row r="380" ht="15.75" customHeight="1">
      <c r="Q380" s="155"/>
    </row>
    <row r="381" ht="15.75" customHeight="1">
      <c r="Q381" s="155"/>
    </row>
    <row r="382" ht="15.75" customHeight="1">
      <c r="Q382" s="155"/>
    </row>
    <row r="383" ht="15.75" customHeight="1">
      <c r="Q383" s="155"/>
    </row>
    <row r="384" ht="15.75" customHeight="1">
      <c r="Q384" s="155"/>
    </row>
    <row r="385" ht="15.75" customHeight="1">
      <c r="Q385" s="155"/>
    </row>
    <row r="386" ht="15.75" customHeight="1">
      <c r="Q386" s="155"/>
    </row>
    <row r="387" ht="15.75" customHeight="1">
      <c r="Q387" s="155"/>
    </row>
    <row r="388" ht="15.75" customHeight="1">
      <c r="Q388" s="155"/>
    </row>
    <row r="389" ht="15.75" customHeight="1">
      <c r="Q389" s="155"/>
    </row>
    <row r="390" ht="15.75" customHeight="1">
      <c r="Q390" s="155"/>
    </row>
    <row r="391" ht="15.75" customHeight="1">
      <c r="Q391" s="155"/>
    </row>
    <row r="392" ht="15.75" customHeight="1">
      <c r="Q392" s="155"/>
    </row>
    <row r="393" ht="15.75" customHeight="1">
      <c r="Q393" s="155"/>
    </row>
    <row r="394" ht="15.75" customHeight="1">
      <c r="Q394" s="155"/>
    </row>
    <row r="395" ht="15.75" customHeight="1">
      <c r="Q395" s="155"/>
    </row>
    <row r="396" ht="15.75" customHeight="1">
      <c r="Q396" s="155"/>
    </row>
    <row r="397" ht="15.75" customHeight="1">
      <c r="Q397" s="155"/>
    </row>
    <row r="398" ht="15.75" customHeight="1">
      <c r="Q398" s="155"/>
    </row>
    <row r="399" ht="15.75" customHeight="1">
      <c r="Q399" s="155"/>
    </row>
    <row r="400" ht="15.75" customHeight="1">
      <c r="Q400" s="155"/>
    </row>
    <row r="401" ht="15.75" customHeight="1">
      <c r="Q401" s="155"/>
    </row>
    <row r="402" ht="15.75" customHeight="1">
      <c r="Q402" s="155"/>
    </row>
    <row r="403" ht="15.75" customHeight="1">
      <c r="Q403" s="155"/>
    </row>
    <row r="404" ht="15.75" customHeight="1">
      <c r="Q404" s="155"/>
    </row>
    <row r="405" ht="15.75" customHeight="1">
      <c r="Q405" s="155"/>
    </row>
    <row r="406" ht="15.75" customHeight="1">
      <c r="Q406" s="155"/>
    </row>
    <row r="407" ht="15.75" customHeight="1">
      <c r="Q407" s="155"/>
    </row>
    <row r="408" ht="15.75" customHeight="1">
      <c r="Q408" s="155"/>
    </row>
    <row r="409" ht="15.75" customHeight="1">
      <c r="Q409" s="155"/>
    </row>
    <row r="410" ht="15.75" customHeight="1">
      <c r="Q410" s="155"/>
    </row>
    <row r="411" ht="15.75" customHeight="1">
      <c r="Q411" s="155"/>
    </row>
    <row r="412" ht="15.75" customHeight="1">
      <c r="Q412" s="155"/>
    </row>
    <row r="413" ht="15.75" customHeight="1">
      <c r="Q413" s="155"/>
    </row>
    <row r="414" ht="15.75" customHeight="1">
      <c r="Q414" s="155"/>
    </row>
    <row r="415" ht="15.75" customHeight="1">
      <c r="Q415" s="155"/>
    </row>
    <row r="416" ht="15.75" customHeight="1">
      <c r="Q416" s="155"/>
    </row>
    <row r="417" ht="15.75" customHeight="1">
      <c r="Q417" s="155"/>
    </row>
    <row r="418" ht="15.75" customHeight="1">
      <c r="Q418" s="155"/>
    </row>
    <row r="419" ht="15.75" customHeight="1">
      <c r="Q419" s="155"/>
    </row>
    <row r="420" ht="15.75" customHeight="1">
      <c r="Q420" s="155"/>
    </row>
    <row r="421" ht="15.75" customHeight="1">
      <c r="Q421" s="155"/>
    </row>
    <row r="422" ht="15.75" customHeight="1">
      <c r="Q422" s="155"/>
    </row>
    <row r="423" ht="15.75" customHeight="1">
      <c r="Q423" s="155"/>
    </row>
    <row r="424" ht="15.75" customHeight="1">
      <c r="Q424" s="155"/>
    </row>
    <row r="425" ht="15.75" customHeight="1">
      <c r="Q425" s="155"/>
    </row>
    <row r="426" ht="15.75" customHeight="1">
      <c r="Q426" s="155"/>
    </row>
    <row r="427" ht="15.75" customHeight="1">
      <c r="Q427" s="155"/>
    </row>
    <row r="428" ht="15.75" customHeight="1">
      <c r="Q428" s="155"/>
    </row>
    <row r="429" ht="15.75" customHeight="1">
      <c r="Q429" s="155"/>
    </row>
    <row r="430" ht="15.75" customHeight="1">
      <c r="Q430" s="155"/>
    </row>
    <row r="431" ht="15.75" customHeight="1">
      <c r="Q431" s="155"/>
    </row>
    <row r="432" ht="15.75" customHeight="1">
      <c r="Q432" s="155"/>
    </row>
    <row r="433" ht="15.75" customHeight="1">
      <c r="Q433" s="155"/>
    </row>
    <row r="434" ht="15.75" customHeight="1">
      <c r="Q434" s="155"/>
    </row>
    <row r="435" ht="15.75" customHeight="1">
      <c r="Q435" s="155"/>
    </row>
    <row r="436" ht="15.75" customHeight="1">
      <c r="Q436" s="155"/>
    </row>
    <row r="437" ht="15.75" customHeight="1">
      <c r="Q437" s="155"/>
    </row>
    <row r="438" ht="15.75" customHeight="1">
      <c r="Q438" s="155"/>
    </row>
    <row r="439" ht="15.75" customHeight="1">
      <c r="Q439" s="155"/>
    </row>
    <row r="440" ht="15.75" customHeight="1">
      <c r="Q440" s="155"/>
    </row>
    <row r="441" ht="15.75" customHeight="1">
      <c r="Q441" s="155"/>
    </row>
    <row r="442" ht="15.75" customHeight="1">
      <c r="Q442" s="155"/>
    </row>
    <row r="443" ht="15.75" customHeight="1">
      <c r="Q443" s="155"/>
    </row>
    <row r="444" ht="15.75" customHeight="1">
      <c r="Q444" s="155"/>
    </row>
    <row r="445" ht="15.75" customHeight="1">
      <c r="Q445" s="155"/>
    </row>
    <row r="446" ht="15.75" customHeight="1">
      <c r="Q446" s="155"/>
    </row>
    <row r="447" ht="15.75" customHeight="1">
      <c r="Q447" s="155"/>
    </row>
    <row r="448" ht="15.75" customHeight="1">
      <c r="Q448" s="155"/>
    </row>
    <row r="449" ht="15.75" customHeight="1">
      <c r="Q449" s="155"/>
    </row>
    <row r="450" ht="15.75" customHeight="1">
      <c r="Q450" s="155"/>
    </row>
    <row r="451" ht="15.75" customHeight="1">
      <c r="Q451" s="155"/>
    </row>
    <row r="452" ht="15.75" customHeight="1">
      <c r="Q452" s="155"/>
    </row>
    <row r="453" ht="15.75" customHeight="1">
      <c r="Q453" s="155"/>
    </row>
    <row r="454" ht="15.75" customHeight="1">
      <c r="Q454" s="155"/>
    </row>
    <row r="455" ht="15.75" customHeight="1">
      <c r="Q455" s="155"/>
    </row>
    <row r="456" ht="15.75" customHeight="1">
      <c r="Q456" s="155"/>
    </row>
    <row r="457" ht="15.75" customHeight="1">
      <c r="Q457" s="155"/>
    </row>
    <row r="458" ht="15.75" customHeight="1">
      <c r="Q458" s="155"/>
    </row>
    <row r="459" ht="15.75" customHeight="1">
      <c r="Q459" s="155"/>
    </row>
    <row r="460" ht="15.75" customHeight="1">
      <c r="Q460" s="155"/>
    </row>
    <row r="461" ht="15.75" customHeight="1">
      <c r="Q461" s="155"/>
    </row>
    <row r="462" ht="15.75" customHeight="1">
      <c r="Q462" s="155"/>
    </row>
    <row r="463" ht="15.75" customHeight="1">
      <c r="Q463" s="155"/>
    </row>
    <row r="464" ht="15.75" customHeight="1">
      <c r="Q464" s="155"/>
    </row>
    <row r="465" ht="15.75" customHeight="1">
      <c r="Q465" s="155"/>
    </row>
    <row r="466" ht="15.75" customHeight="1">
      <c r="Q466" s="155"/>
    </row>
    <row r="467" ht="15.75" customHeight="1">
      <c r="Q467" s="155"/>
    </row>
    <row r="468" ht="15.75" customHeight="1">
      <c r="Q468" s="155"/>
    </row>
    <row r="469" ht="15.75" customHeight="1">
      <c r="Q469" s="155"/>
    </row>
    <row r="470" ht="15.75" customHeight="1">
      <c r="Q470" s="155"/>
    </row>
    <row r="471" ht="15.75" customHeight="1">
      <c r="Q471" s="155"/>
    </row>
    <row r="472" ht="15.75" customHeight="1">
      <c r="Q472" s="155"/>
    </row>
    <row r="473" ht="15.75" customHeight="1">
      <c r="Q473" s="155"/>
    </row>
    <row r="474" ht="15.75" customHeight="1">
      <c r="Q474" s="155"/>
    </row>
    <row r="475" ht="15.75" customHeight="1">
      <c r="Q475" s="155"/>
    </row>
    <row r="476" ht="15.75" customHeight="1">
      <c r="Q476" s="155"/>
    </row>
    <row r="477" ht="15.75" customHeight="1">
      <c r="Q477" s="155"/>
    </row>
    <row r="478" ht="15.75" customHeight="1">
      <c r="Q478" s="155"/>
    </row>
    <row r="479" ht="15.75" customHeight="1">
      <c r="Q479" s="155"/>
    </row>
    <row r="480" ht="15.75" customHeight="1">
      <c r="Q480" s="155"/>
    </row>
    <row r="481" ht="15.75" customHeight="1">
      <c r="Q481" s="155"/>
    </row>
    <row r="482" ht="15.75" customHeight="1">
      <c r="Q482" s="155"/>
    </row>
    <row r="483" ht="15.75" customHeight="1">
      <c r="Q483" s="155"/>
    </row>
    <row r="484" ht="15.75" customHeight="1">
      <c r="Q484" s="155"/>
    </row>
    <row r="485" ht="15.75" customHeight="1">
      <c r="Q485" s="155"/>
    </row>
    <row r="486" ht="15.75" customHeight="1">
      <c r="Q486" s="155"/>
    </row>
    <row r="487" ht="15.75" customHeight="1">
      <c r="Q487" s="155"/>
    </row>
    <row r="488" ht="15.75" customHeight="1">
      <c r="Q488" s="155"/>
    </row>
    <row r="489" ht="15.75" customHeight="1">
      <c r="Q489" s="155"/>
    </row>
    <row r="490" ht="15.75" customHeight="1">
      <c r="Q490" s="155"/>
    </row>
    <row r="491" ht="15.75" customHeight="1">
      <c r="Q491" s="155"/>
    </row>
    <row r="492" ht="15.75" customHeight="1">
      <c r="Q492" s="155"/>
    </row>
    <row r="493" ht="15.75" customHeight="1">
      <c r="Q493" s="155"/>
    </row>
    <row r="494" ht="15.75" customHeight="1">
      <c r="Q494" s="155"/>
    </row>
    <row r="495" ht="15.75" customHeight="1">
      <c r="Q495" s="155"/>
    </row>
    <row r="496" ht="15.75" customHeight="1">
      <c r="Q496" s="155"/>
    </row>
    <row r="497" ht="15.75" customHeight="1">
      <c r="Q497" s="155"/>
    </row>
    <row r="498" ht="15.75" customHeight="1">
      <c r="Q498" s="155"/>
    </row>
    <row r="499" ht="15.75" customHeight="1">
      <c r="Q499" s="155"/>
    </row>
    <row r="500" ht="15.75" customHeight="1">
      <c r="Q500" s="155"/>
    </row>
    <row r="501" ht="15.75" customHeight="1">
      <c r="Q501" s="155"/>
    </row>
    <row r="502" ht="15.75" customHeight="1">
      <c r="Q502" s="155"/>
    </row>
    <row r="503" ht="15.75" customHeight="1">
      <c r="Q503" s="155"/>
    </row>
    <row r="504" ht="15.75" customHeight="1">
      <c r="Q504" s="155"/>
    </row>
    <row r="505" ht="15.75" customHeight="1">
      <c r="Q505" s="155"/>
    </row>
    <row r="506" ht="15.75" customHeight="1">
      <c r="Q506" s="155"/>
    </row>
    <row r="507" ht="15.75" customHeight="1">
      <c r="Q507" s="155"/>
    </row>
    <row r="508" ht="15.75" customHeight="1">
      <c r="Q508" s="155"/>
    </row>
    <row r="509" ht="15.75" customHeight="1">
      <c r="Q509" s="155"/>
    </row>
    <row r="510" ht="15.75" customHeight="1">
      <c r="Q510" s="155"/>
    </row>
    <row r="511" ht="15.75" customHeight="1">
      <c r="Q511" s="155"/>
    </row>
    <row r="512" ht="15.75" customHeight="1">
      <c r="Q512" s="155"/>
    </row>
    <row r="513" ht="15.75" customHeight="1">
      <c r="Q513" s="155"/>
    </row>
    <row r="514" ht="15.75" customHeight="1">
      <c r="Q514" s="155"/>
    </row>
    <row r="515" ht="15.75" customHeight="1">
      <c r="Q515" s="155"/>
    </row>
    <row r="516" ht="15.75" customHeight="1">
      <c r="Q516" s="155"/>
    </row>
    <row r="517" ht="15.75" customHeight="1">
      <c r="Q517" s="155"/>
    </row>
    <row r="518" ht="15.75" customHeight="1">
      <c r="Q518" s="155"/>
    </row>
    <row r="519" ht="15.75" customHeight="1">
      <c r="Q519" s="155"/>
    </row>
    <row r="520" ht="15.75" customHeight="1">
      <c r="Q520" s="155"/>
    </row>
    <row r="521" ht="15.75" customHeight="1">
      <c r="Q521" s="155"/>
    </row>
    <row r="522" ht="15.75" customHeight="1">
      <c r="Q522" s="155"/>
    </row>
    <row r="523" ht="15.75" customHeight="1">
      <c r="Q523" s="155"/>
    </row>
    <row r="524" ht="15.75" customHeight="1">
      <c r="Q524" s="155"/>
    </row>
    <row r="525" ht="15.75" customHeight="1">
      <c r="Q525" s="155"/>
    </row>
    <row r="526" ht="15.75" customHeight="1">
      <c r="Q526" s="155"/>
    </row>
    <row r="527" ht="15.75" customHeight="1">
      <c r="Q527" s="155"/>
    </row>
    <row r="528" ht="15.75" customHeight="1">
      <c r="Q528" s="155"/>
    </row>
    <row r="529" ht="15.75" customHeight="1">
      <c r="Q529" s="155"/>
    </row>
    <row r="530" ht="15.75" customHeight="1">
      <c r="Q530" s="155"/>
    </row>
    <row r="531" ht="15.75" customHeight="1">
      <c r="Q531" s="155"/>
    </row>
    <row r="532" ht="15.75" customHeight="1">
      <c r="Q532" s="155"/>
    </row>
    <row r="533" ht="15.75" customHeight="1">
      <c r="Q533" s="155"/>
    </row>
    <row r="534" ht="15.75" customHeight="1">
      <c r="Q534" s="155"/>
    </row>
    <row r="535" ht="15.75" customHeight="1">
      <c r="Q535" s="155"/>
    </row>
    <row r="536" ht="15.75" customHeight="1">
      <c r="Q536" s="155"/>
    </row>
    <row r="537" ht="15.75" customHeight="1">
      <c r="Q537" s="155"/>
    </row>
    <row r="538" ht="15.75" customHeight="1">
      <c r="Q538" s="155"/>
    </row>
    <row r="539" ht="15.75" customHeight="1">
      <c r="Q539" s="155"/>
    </row>
    <row r="540" ht="15.75" customHeight="1">
      <c r="Q540" s="155"/>
    </row>
    <row r="541" ht="15.75" customHeight="1">
      <c r="Q541" s="155"/>
    </row>
    <row r="542" ht="15.75" customHeight="1">
      <c r="Q542" s="155"/>
    </row>
    <row r="543" ht="15.75" customHeight="1">
      <c r="Q543" s="155"/>
    </row>
    <row r="544" ht="15.75" customHeight="1">
      <c r="Q544" s="155"/>
    </row>
    <row r="545" ht="15.75" customHeight="1">
      <c r="Q545" s="155"/>
    </row>
    <row r="546" ht="15.75" customHeight="1">
      <c r="Q546" s="155"/>
    </row>
    <row r="547" ht="15.75" customHeight="1">
      <c r="Q547" s="155"/>
    </row>
    <row r="548" ht="15.75" customHeight="1">
      <c r="Q548" s="155"/>
    </row>
    <row r="549" ht="15.75" customHeight="1">
      <c r="Q549" s="155"/>
    </row>
    <row r="550" ht="15.75" customHeight="1">
      <c r="Q550" s="155"/>
    </row>
    <row r="551" ht="15.75" customHeight="1">
      <c r="Q551" s="155"/>
    </row>
    <row r="552" ht="15.75" customHeight="1">
      <c r="Q552" s="155"/>
    </row>
    <row r="553" ht="15.75" customHeight="1">
      <c r="Q553" s="155"/>
    </row>
    <row r="554" ht="15.75" customHeight="1">
      <c r="Q554" s="155"/>
    </row>
    <row r="555" ht="15.75" customHeight="1">
      <c r="Q555" s="155"/>
    </row>
    <row r="556" ht="15.75" customHeight="1">
      <c r="Q556" s="155"/>
    </row>
    <row r="557" ht="15.75" customHeight="1">
      <c r="Q557" s="155"/>
    </row>
    <row r="558" ht="15.75" customHeight="1">
      <c r="Q558" s="155"/>
    </row>
    <row r="559" ht="15.75" customHeight="1">
      <c r="Q559" s="155"/>
    </row>
    <row r="560" ht="15.75" customHeight="1">
      <c r="Q560" s="155"/>
    </row>
    <row r="561" ht="15.75" customHeight="1">
      <c r="Q561" s="155"/>
    </row>
    <row r="562" ht="15.75" customHeight="1">
      <c r="Q562" s="155"/>
    </row>
    <row r="563" ht="15.75" customHeight="1">
      <c r="Q563" s="155"/>
    </row>
    <row r="564" ht="15.75" customHeight="1">
      <c r="Q564" s="155"/>
    </row>
    <row r="565" ht="15.75" customHeight="1">
      <c r="Q565" s="155"/>
    </row>
    <row r="566" ht="15.75" customHeight="1">
      <c r="Q566" s="155"/>
    </row>
    <row r="567" ht="15.75" customHeight="1">
      <c r="Q567" s="155"/>
    </row>
    <row r="568" ht="15.75" customHeight="1">
      <c r="Q568" s="155"/>
    </row>
    <row r="569" ht="15.75" customHeight="1">
      <c r="Q569" s="155"/>
    </row>
    <row r="570" ht="15.75" customHeight="1">
      <c r="Q570" s="155"/>
    </row>
    <row r="571" ht="15.75" customHeight="1">
      <c r="Q571" s="155"/>
    </row>
    <row r="572" ht="15.75" customHeight="1">
      <c r="Q572" s="155"/>
    </row>
    <row r="573" ht="15.75" customHeight="1">
      <c r="Q573" s="155"/>
    </row>
    <row r="574" ht="15.75" customHeight="1">
      <c r="Q574" s="155"/>
    </row>
    <row r="575" ht="15.75" customHeight="1">
      <c r="Q575" s="155"/>
    </row>
    <row r="576" ht="15.75" customHeight="1">
      <c r="Q576" s="155"/>
    </row>
    <row r="577" ht="15.75" customHeight="1">
      <c r="Q577" s="155"/>
    </row>
    <row r="578" ht="15.75" customHeight="1">
      <c r="Q578" s="155"/>
    </row>
    <row r="579" ht="15.75" customHeight="1">
      <c r="Q579" s="155"/>
    </row>
    <row r="580" ht="15.75" customHeight="1">
      <c r="Q580" s="155"/>
    </row>
    <row r="581" ht="15.75" customHeight="1">
      <c r="Q581" s="155"/>
    </row>
    <row r="582" ht="15.75" customHeight="1">
      <c r="Q582" s="155"/>
    </row>
    <row r="583" ht="15.75" customHeight="1">
      <c r="Q583" s="155"/>
    </row>
    <row r="584" ht="15.75" customHeight="1">
      <c r="Q584" s="155"/>
    </row>
    <row r="585" ht="15.75" customHeight="1">
      <c r="Q585" s="155"/>
    </row>
    <row r="586" ht="15.75" customHeight="1">
      <c r="Q586" s="155"/>
    </row>
    <row r="587" ht="15.75" customHeight="1">
      <c r="Q587" s="155"/>
    </row>
    <row r="588" ht="15.75" customHeight="1">
      <c r="Q588" s="155"/>
    </row>
    <row r="589" ht="15.75" customHeight="1">
      <c r="Q589" s="155"/>
    </row>
    <row r="590" ht="15.75" customHeight="1">
      <c r="Q590" s="155"/>
    </row>
    <row r="591" ht="15.75" customHeight="1">
      <c r="Q591" s="155"/>
    </row>
    <row r="592" ht="15.75" customHeight="1">
      <c r="Q592" s="155"/>
    </row>
    <row r="593" ht="15.75" customHeight="1">
      <c r="Q593" s="155"/>
    </row>
    <row r="594" ht="15.75" customHeight="1">
      <c r="Q594" s="155"/>
    </row>
    <row r="595" ht="15.75" customHeight="1">
      <c r="Q595" s="155"/>
    </row>
    <row r="596" ht="15.75" customHeight="1">
      <c r="Q596" s="155"/>
    </row>
    <row r="597" ht="15.75" customHeight="1">
      <c r="Q597" s="155"/>
    </row>
    <row r="598" ht="15.75" customHeight="1">
      <c r="Q598" s="155"/>
    </row>
    <row r="599" ht="15.75" customHeight="1">
      <c r="Q599" s="155"/>
    </row>
    <row r="600" ht="15.75" customHeight="1">
      <c r="Q600" s="155"/>
    </row>
    <row r="601" ht="15.75" customHeight="1">
      <c r="Q601" s="155"/>
    </row>
    <row r="602" ht="15.75" customHeight="1">
      <c r="Q602" s="155"/>
    </row>
    <row r="603" ht="15.75" customHeight="1">
      <c r="Q603" s="155"/>
    </row>
    <row r="604" ht="15.75" customHeight="1">
      <c r="Q604" s="155"/>
    </row>
    <row r="605" ht="15.75" customHeight="1">
      <c r="Q605" s="155"/>
    </row>
    <row r="606" ht="15.75" customHeight="1">
      <c r="Q606" s="155"/>
    </row>
    <row r="607" ht="15.75" customHeight="1">
      <c r="Q607" s="155"/>
    </row>
    <row r="608" ht="15.75" customHeight="1">
      <c r="Q608" s="155"/>
    </row>
    <row r="609" ht="15.75" customHeight="1">
      <c r="Q609" s="155"/>
    </row>
    <row r="610" ht="15.75" customHeight="1">
      <c r="Q610" s="155"/>
    </row>
    <row r="611" ht="15.75" customHeight="1">
      <c r="Q611" s="155"/>
    </row>
    <row r="612" ht="15.75" customHeight="1">
      <c r="Q612" s="155"/>
    </row>
    <row r="613" ht="15.75" customHeight="1">
      <c r="Q613" s="155"/>
    </row>
    <row r="614" ht="15.75" customHeight="1">
      <c r="Q614" s="155"/>
    </row>
    <row r="615" ht="15.75" customHeight="1">
      <c r="Q615" s="155"/>
    </row>
    <row r="616" ht="15.75" customHeight="1">
      <c r="Q616" s="155"/>
    </row>
    <row r="617" ht="15.75" customHeight="1">
      <c r="Q617" s="155"/>
    </row>
    <row r="618" ht="15.75" customHeight="1">
      <c r="Q618" s="155"/>
    </row>
    <row r="619" ht="15.75" customHeight="1">
      <c r="Q619" s="155"/>
    </row>
    <row r="620" ht="15.75" customHeight="1">
      <c r="Q620" s="155"/>
    </row>
    <row r="621" ht="15.75" customHeight="1">
      <c r="Q621" s="155"/>
    </row>
    <row r="622" ht="15.75" customHeight="1">
      <c r="Q622" s="155"/>
    </row>
    <row r="623" ht="15.75" customHeight="1">
      <c r="Q623" s="155"/>
    </row>
    <row r="624" ht="15.75" customHeight="1">
      <c r="Q624" s="155"/>
    </row>
    <row r="625" ht="15.75" customHeight="1">
      <c r="Q625" s="155"/>
    </row>
    <row r="626" ht="15.75" customHeight="1">
      <c r="Q626" s="155"/>
    </row>
    <row r="627" ht="15.75" customHeight="1">
      <c r="Q627" s="155"/>
    </row>
    <row r="628" ht="15.75" customHeight="1">
      <c r="Q628" s="155"/>
    </row>
    <row r="629" ht="15.75" customHeight="1">
      <c r="Q629" s="155"/>
    </row>
    <row r="630" ht="15.75" customHeight="1">
      <c r="Q630" s="155"/>
    </row>
    <row r="631" ht="15.75" customHeight="1">
      <c r="Q631" s="155"/>
    </row>
    <row r="632" ht="15.75" customHeight="1">
      <c r="Q632" s="155"/>
    </row>
    <row r="633" ht="15.75" customHeight="1">
      <c r="Q633" s="155"/>
    </row>
    <row r="634" ht="15.75" customHeight="1">
      <c r="Q634" s="155"/>
    </row>
    <row r="635" ht="15.75" customHeight="1">
      <c r="Q635" s="155"/>
    </row>
    <row r="636" ht="15.75" customHeight="1">
      <c r="Q636" s="155"/>
    </row>
    <row r="637" ht="15.75" customHeight="1">
      <c r="Q637" s="155"/>
    </row>
    <row r="638" ht="15.75" customHeight="1">
      <c r="Q638" s="155"/>
    </row>
    <row r="639" ht="15.75" customHeight="1">
      <c r="Q639" s="155"/>
    </row>
    <row r="640" ht="15.75" customHeight="1">
      <c r="Q640" s="155"/>
    </row>
    <row r="641" ht="15.75" customHeight="1">
      <c r="Q641" s="155"/>
    </row>
    <row r="642" ht="15.75" customHeight="1">
      <c r="Q642" s="155"/>
    </row>
    <row r="643" ht="15.75" customHeight="1">
      <c r="Q643" s="155"/>
    </row>
    <row r="644" ht="15.75" customHeight="1">
      <c r="Q644" s="155"/>
    </row>
    <row r="645" ht="15.75" customHeight="1">
      <c r="Q645" s="155"/>
    </row>
    <row r="646" ht="15.75" customHeight="1">
      <c r="Q646" s="155"/>
    </row>
    <row r="647" ht="15.75" customHeight="1">
      <c r="Q647" s="155"/>
    </row>
    <row r="648" ht="15.75" customHeight="1">
      <c r="Q648" s="155"/>
    </row>
    <row r="649" ht="15.75" customHeight="1">
      <c r="Q649" s="155"/>
    </row>
    <row r="650" ht="15.75" customHeight="1">
      <c r="Q650" s="155"/>
    </row>
    <row r="651" ht="15.75" customHeight="1">
      <c r="Q651" s="155"/>
    </row>
    <row r="652" ht="15.75" customHeight="1">
      <c r="Q652" s="155"/>
    </row>
    <row r="653" ht="15.75" customHeight="1">
      <c r="Q653" s="155"/>
    </row>
    <row r="654" ht="15.75" customHeight="1">
      <c r="Q654" s="155"/>
    </row>
    <row r="655" ht="15.75" customHeight="1">
      <c r="Q655" s="155"/>
    </row>
    <row r="656" ht="15.75" customHeight="1">
      <c r="Q656" s="155"/>
    </row>
    <row r="657" ht="15.75" customHeight="1">
      <c r="Q657" s="155"/>
    </row>
    <row r="658" ht="15.75" customHeight="1">
      <c r="Q658" s="155"/>
    </row>
    <row r="659" ht="15.75" customHeight="1">
      <c r="Q659" s="155"/>
    </row>
    <row r="660" ht="15.75" customHeight="1">
      <c r="Q660" s="155"/>
    </row>
    <row r="661" ht="15.75" customHeight="1">
      <c r="Q661" s="155"/>
    </row>
    <row r="662" ht="15.75" customHeight="1">
      <c r="Q662" s="155"/>
    </row>
    <row r="663" ht="15.75" customHeight="1">
      <c r="Q663" s="155"/>
    </row>
    <row r="664" ht="15.75" customHeight="1">
      <c r="Q664" s="155"/>
    </row>
    <row r="665" ht="15.75" customHeight="1">
      <c r="Q665" s="155"/>
    </row>
    <row r="666" ht="15.75" customHeight="1">
      <c r="Q666" s="155"/>
    </row>
    <row r="667" ht="15.75" customHeight="1">
      <c r="Q667" s="155"/>
    </row>
    <row r="668" ht="15.75" customHeight="1">
      <c r="Q668" s="155"/>
    </row>
    <row r="669" ht="15.75" customHeight="1">
      <c r="Q669" s="155"/>
    </row>
    <row r="670" ht="15.75" customHeight="1">
      <c r="Q670" s="155"/>
    </row>
    <row r="671" ht="15.75" customHeight="1">
      <c r="Q671" s="155"/>
    </row>
    <row r="672" ht="15.75" customHeight="1">
      <c r="Q672" s="155"/>
    </row>
    <row r="673" ht="15.75" customHeight="1">
      <c r="Q673" s="155"/>
    </row>
    <row r="674" ht="15.75" customHeight="1">
      <c r="Q674" s="155"/>
    </row>
    <row r="675" ht="15.75" customHeight="1">
      <c r="Q675" s="155"/>
    </row>
    <row r="676" ht="15.75" customHeight="1">
      <c r="Q676" s="155"/>
    </row>
    <row r="677" ht="15.75" customHeight="1">
      <c r="Q677" s="155"/>
    </row>
    <row r="678" ht="15.75" customHeight="1">
      <c r="Q678" s="155"/>
    </row>
    <row r="679" ht="15.75" customHeight="1">
      <c r="Q679" s="155"/>
    </row>
    <row r="680" ht="15.75" customHeight="1">
      <c r="Q680" s="155"/>
    </row>
    <row r="681" ht="15.75" customHeight="1">
      <c r="Q681" s="155"/>
    </row>
    <row r="682" ht="15.75" customHeight="1">
      <c r="Q682" s="155"/>
    </row>
    <row r="683" ht="15.75" customHeight="1">
      <c r="Q683" s="155"/>
    </row>
    <row r="684" ht="15.75" customHeight="1">
      <c r="Q684" s="155"/>
    </row>
    <row r="685" ht="15.75" customHeight="1">
      <c r="Q685" s="155"/>
    </row>
    <row r="686" ht="15.75" customHeight="1">
      <c r="Q686" s="155"/>
    </row>
    <row r="687" ht="15.75" customHeight="1">
      <c r="Q687" s="155"/>
    </row>
    <row r="688" ht="15.75" customHeight="1">
      <c r="Q688" s="155"/>
    </row>
    <row r="689" ht="15.75" customHeight="1">
      <c r="Q689" s="155"/>
    </row>
    <row r="690" ht="15.75" customHeight="1">
      <c r="Q690" s="155"/>
    </row>
    <row r="691" ht="15.75" customHeight="1">
      <c r="Q691" s="155"/>
    </row>
    <row r="692" ht="15.75" customHeight="1">
      <c r="Q692" s="155"/>
    </row>
    <row r="693" ht="15.75" customHeight="1">
      <c r="Q693" s="155"/>
    </row>
    <row r="694" ht="15.75" customHeight="1">
      <c r="Q694" s="155"/>
    </row>
    <row r="695" ht="15.75" customHeight="1">
      <c r="Q695" s="155"/>
    </row>
    <row r="696" ht="15.75" customHeight="1">
      <c r="Q696" s="155"/>
    </row>
    <row r="697" ht="15.75" customHeight="1">
      <c r="Q697" s="155"/>
    </row>
    <row r="698" ht="15.75" customHeight="1">
      <c r="Q698" s="155"/>
    </row>
    <row r="699" ht="15.75" customHeight="1">
      <c r="Q699" s="155"/>
    </row>
    <row r="700" ht="15.75" customHeight="1">
      <c r="Q700" s="155"/>
    </row>
    <row r="701" ht="15.75" customHeight="1">
      <c r="Q701" s="155"/>
    </row>
    <row r="702" ht="15.75" customHeight="1">
      <c r="Q702" s="155"/>
    </row>
    <row r="703" ht="15.75" customHeight="1">
      <c r="Q703" s="155"/>
    </row>
    <row r="704" ht="15.75" customHeight="1">
      <c r="Q704" s="155"/>
    </row>
    <row r="705" ht="15.75" customHeight="1">
      <c r="Q705" s="155"/>
    </row>
    <row r="706" ht="15.75" customHeight="1">
      <c r="Q706" s="155"/>
    </row>
    <row r="707" ht="15.75" customHeight="1">
      <c r="Q707" s="155"/>
    </row>
    <row r="708" ht="15.75" customHeight="1">
      <c r="Q708" s="155"/>
    </row>
    <row r="709" ht="15.75" customHeight="1">
      <c r="Q709" s="155"/>
    </row>
    <row r="710" ht="15.75" customHeight="1">
      <c r="Q710" s="155"/>
    </row>
    <row r="711" ht="15.75" customHeight="1">
      <c r="Q711" s="155"/>
    </row>
    <row r="712" ht="15.75" customHeight="1">
      <c r="Q712" s="155"/>
    </row>
    <row r="713" ht="15.75" customHeight="1">
      <c r="Q713" s="155"/>
    </row>
    <row r="714" ht="15.75" customHeight="1">
      <c r="Q714" s="155"/>
    </row>
    <row r="715" ht="15.75" customHeight="1">
      <c r="Q715" s="155"/>
    </row>
    <row r="716" ht="15.75" customHeight="1">
      <c r="Q716" s="155"/>
    </row>
    <row r="717" ht="15.75" customHeight="1">
      <c r="Q717" s="155"/>
    </row>
    <row r="718" ht="15.75" customHeight="1">
      <c r="Q718" s="155"/>
    </row>
    <row r="719" ht="15.75" customHeight="1">
      <c r="Q719" s="155"/>
    </row>
    <row r="720" ht="15.75" customHeight="1">
      <c r="Q720" s="155"/>
    </row>
    <row r="721" ht="15.75" customHeight="1">
      <c r="Q721" s="155"/>
    </row>
    <row r="722" ht="15.75" customHeight="1">
      <c r="Q722" s="155"/>
    </row>
    <row r="723" ht="15.75" customHeight="1">
      <c r="Q723" s="155"/>
    </row>
    <row r="724" ht="15.75" customHeight="1">
      <c r="Q724" s="155"/>
    </row>
    <row r="725" ht="15.75" customHeight="1">
      <c r="Q725" s="155"/>
    </row>
    <row r="726" ht="15.75" customHeight="1">
      <c r="Q726" s="155"/>
    </row>
    <row r="727" ht="15.75" customHeight="1">
      <c r="Q727" s="155"/>
    </row>
    <row r="728" ht="15.75" customHeight="1">
      <c r="Q728" s="155"/>
    </row>
    <row r="729" ht="15.75" customHeight="1">
      <c r="Q729" s="155"/>
    </row>
    <row r="730" ht="15.75" customHeight="1">
      <c r="Q730" s="155"/>
    </row>
    <row r="731" ht="15.75" customHeight="1">
      <c r="Q731" s="155"/>
    </row>
    <row r="732" ht="15.75" customHeight="1">
      <c r="Q732" s="155"/>
    </row>
    <row r="733" ht="15.75" customHeight="1">
      <c r="Q733" s="155"/>
    </row>
    <row r="734" ht="15.75" customHeight="1">
      <c r="Q734" s="155"/>
    </row>
    <row r="735" ht="15.75" customHeight="1">
      <c r="Q735" s="155"/>
    </row>
    <row r="736" ht="15.75" customHeight="1">
      <c r="Q736" s="155"/>
    </row>
    <row r="737" ht="15.75" customHeight="1">
      <c r="Q737" s="155"/>
    </row>
    <row r="738" ht="15.75" customHeight="1">
      <c r="Q738" s="155"/>
    </row>
    <row r="739" ht="15.75" customHeight="1">
      <c r="Q739" s="155"/>
    </row>
    <row r="740" ht="15.75" customHeight="1">
      <c r="Q740" s="155"/>
    </row>
    <row r="741" ht="15.75" customHeight="1">
      <c r="Q741" s="155"/>
    </row>
    <row r="742" ht="15.75" customHeight="1">
      <c r="Q742" s="155"/>
    </row>
    <row r="743" ht="15.75" customHeight="1">
      <c r="Q743" s="155"/>
    </row>
    <row r="744" ht="15.75" customHeight="1">
      <c r="Q744" s="155"/>
    </row>
    <row r="745" ht="15.75" customHeight="1">
      <c r="Q745" s="155"/>
    </row>
    <row r="746" ht="15.75" customHeight="1">
      <c r="Q746" s="155"/>
    </row>
    <row r="747" ht="15.75" customHeight="1">
      <c r="Q747" s="155"/>
    </row>
    <row r="748" ht="15.75" customHeight="1">
      <c r="Q748" s="155"/>
    </row>
    <row r="749" ht="15.75" customHeight="1">
      <c r="Q749" s="155"/>
    </row>
    <row r="750" ht="15.75" customHeight="1">
      <c r="Q750" s="155"/>
    </row>
    <row r="751" ht="15.75" customHeight="1">
      <c r="Q751" s="155"/>
    </row>
    <row r="752" ht="15.75" customHeight="1">
      <c r="Q752" s="155"/>
    </row>
    <row r="753" ht="15.75" customHeight="1">
      <c r="Q753" s="155"/>
    </row>
    <row r="754" ht="15.75" customHeight="1">
      <c r="Q754" s="155"/>
    </row>
    <row r="755" ht="15.75" customHeight="1">
      <c r="Q755" s="155"/>
    </row>
    <row r="756" ht="15.75" customHeight="1">
      <c r="Q756" s="155"/>
    </row>
    <row r="757" ht="15.75" customHeight="1">
      <c r="Q757" s="155"/>
    </row>
    <row r="758" ht="15.75" customHeight="1">
      <c r="Q758" s="155"/>
    </row>
    <row r="759" ht="15.75" customHeight="1">
      <c r="Q759" s="155"/>
    </row>
    <row r="760" ht="15.75" customHeight="1">
      <c r="Q760" s="155"/>
    </row>
    <row r="761" ht="15.75" customHeight="1">
      <c r="Q761" s="155"/>
    </row>
    <row r="762" ht="15.75" customHeight="1">
      <c r="Q762" s="155"/>
    </row>
    <row r="763" ht="15.75" customHeight="1">
      <c r="Q763" s="155"/>
    </row>
    <row r="764" ht="15.75" customHeight="1">
      <c r="Q764" s="155"/>
    </row>
    <row r="765" ht="15.75" customHeight="1">
      <c r="Q765" s="155"/>
    </row>
    <row r="766" ht="15.75" customHeight="1">
      <c r="Q766" s="155"/>
    </row>
    <row r="767" ht="15.75" customHeight="1">
      <c r="Q767" s="155"/>
    </row>
    <row r="768" ht="15.75" customHeight="1">
      <c r="Q768" s="155"/>
    </row>
    <row r="769" ht="15.75" customHeight="1">
      <c r="Q769" s="155"/>
    </row>
    <row r="770" ht="15.75" customHeight="1">
      <c r="Q770" s="155"/>
    </row>
    <row r="771" ht="15.75" customHeight="1">
      <c r="Q771" s="155"/>
    </row>
    <row r="772" ht="15.75" customHeight="1">
      <c r="Q772" s="155"/>
    </row>
    <row r="773" ht="15.75" customHeight="1">
      <c r="Q773" s="155"/>
    </row>
    <row r="774" ht="15.75" customHeight="1">
      <c r="Q774" s="155"/>
    </row>
    <row r="775" ht="15.75" customHeight="1">
      <c r="Q775" s="155"/>
    </row>
    <row r="776" ht="15.75" customHeight="1">
      <c r="Q776" s="155"/>
    </row>
    <row r="777" ht="15.75" customHeight="1">
      <c r="Q777" s="155"/>
    </row>
    <row r="778" ht="15.75" customHeight="1">
      <c r="Q778" s="155"/>
    </row>
    <row r="779" ht="15.75" customHeight="1">
      <c r="Q779" s="155"/>
    </row>
    <row r="780" ht="15.75" customHeight="1">
      <c r="Q780" s="155"/>
    </row>
    <row r="781" ht="15.75" customHeight="1">
      <c r="Q781" s="155"/>
    </row>
    <row r="782" ht="15.75" customHeight="1">
      <c r="Q782" s="155"/>
    </row>
    <row r="783" ht="15.75" customHeight="1">
      <c r="Q783" s="155"/>
    </row>
    <row r="784" ht="15.75" customHeight="1">
      <c r="Q784" s="155"/>
    </row>
    <row r="785" ht="15.75" customHeight="1">
      <c r="Q785" s="155"/>
    </row>
    <row r="786" ht="15.75" customHeight="1">
      <c r="Q786" s="155"/>
    </row>
    <row r="787" ht="15.75" customHeight="1">
      <c r="Q787" s="155"/>
    </row>
    <row r="788" ht="15.75" customHeight="1">
      <c r="Q788" s="155"/>
    </row>
    <row r="789" ht="15.75" customHeight="1">
      <c r="Q789" s="155"/>
    </row>
    <row r="790" ht="15.75" customHeight="1">
      <c r="Q790" s="155"/>
    </row>
    <row r="791" ht="15.75" customHeight="1">
      <c r="Q791" s="155"/>
    </row>
    <row r="792" ht="15.75" customHeight="1">
      <c r="Q792" s="155"/>
    </row>
    <row r="793" ht="15.75" customHeight="1">
      <c r="Q793" s="155"/>
    </row>
    <row r="794" ht="15.75" customHeight="1">
      <c r="Q794" s="155"/>
    </row>
    <row r="795" ht="15.75" customHeight="1">
      <c r="Q795" s="155"/>
    </row>
    <row r="796" ht="15.75" customHeight="1">
      <c r="Q796" s="155"/>
    </row>
    <row r="797" ht="15.75" customHeight="1">
      <c r="Q797" s="155"/>
    </row>
    <row r="798" ht="15.75" customHeight="1">
      <c r="Q798" s="155"/>
    </row>
    <row r="799" ht="15.75" customHeight="1">
      <c r="Q799" s="155"/>
    </row>
    <row r="800" ht="15.75" customHeight="1">
      <c r="Q800" s="155"/>
    </row>
    <row r="801" ht="15.75" customHeight="1">
      <c r="Q801" s="155"/>
    </row>
    <row r="802" ht="15.75" customHeight="1">
      <c r="Q802" s="155"/>
    </row>
    <row r="803" ht="15.75" customHeight="1">
      <c r="Q803" s="155"/>
    </row>
    <row r="804" ht="15.75" customHeight="1">
      <c r="Q804" s="155"/>
    </row>
    <row r="805" ht="15.75" customHeight="1">
      <c r="Q805" s="155"/>
    </row>
    <row r="806" ht="15.75" customHeight="1">
      <c r="Q806" s="155"/>
    </row>
    <row r="807" ht="15.75" customHeight="1">
      <c r="Q807" s="155"/>
    </row>
    <row r="808" ht="15.75" customHeight="1">
      <c r="Q808" s="155"/>
    </row>
    <row r="809" ht="15.75" customHeight="1">
      <c r="Q809" s="155"/>
    </row>
    <row r="810" ht="15.75" customHeight="1">
      <c r="Q810" s="155"/>
    </row>
    <row r="811" ht="15.75" customHeight="1">
      <c r="Q811" s="155"/>
    </row>
    <row r="812" ht="15.75" customHeight="1">
      <c r="Q812" s="155"/>
    </row>
    <row r="813" ht="15.75" customHeight="1">
      <c r="Q813" s="155"/>
    </row>
    <row r="814" ht="15.75" customHeight="1">
      <c r="Q814" s="155"/>
    </row>
    <row r="815" ht="15.75" customHeight="1">
      <c r="Q815" s="155"/>
    </row>
    <row r="816" ht="15.75" customHeight="1">
      <c r="Q816" s="155"/>
    </row>
    <row r="817" ht="15.75" customHeight="1">
      <c r="Q817" s="155"/>
    </row>
    <row r="818" ht="15.75" customHeight="1">
      <c r="Q818" s="155"/>
    </row>
    <row r="819" ht="15.75" customHeight="1">
      <c r="Q819" s="155"/>
    </row>
    <row r="820" ht="15.75" customHeight="1">
      <c r="Q820" s="155"/>
    </row>
    <row r="821" ht="15.75" customHeight="1">
      <c r="Q821" s="155"/>
    </row>
    <row r="822" ht="15.75" customHeight="1">
      <c r="Q822" s="155"/>
    </row>
    <row r="823" ht="15.75" customHeight="1">
      <c r="Q823" s="155"/>
    </row>
    <row r="824" ht="15.75" customHeight="1">
      <c r="Q824" s="155"/>
    </row>
    <row r="825" ht="15.75" customHeight="1">
      <c r="Q825" s="155"/>
    </row>
    <row r="826" ht="15.75" customHeight="1">
      <c r="Q826" s="155"/>
    </row>
    <row r="827" ht="15.75" customHeight="1">
      <c r="Q827" s="155"/>
    </row>
    <row r="828" ht="15.75" customHeight="1">
      <c r="Q828" s="155"/>
    </row>
    <row r="829" ht="15.75" customHeight="1">
      <c r="Q829" s="155"/>
    </row>
    <row r="830" ht="15.75" customHeight="1">
      <c r="Q830" s="155"/>
    </row>
    <row r="831" ht="15.75" customHeight="1">
      <c r="Q831" s="155"/>
    </row>
    <row r="832" ht="15.75" customHeight="1">
      <c r="Q832" s="155"/>
    </row>
    <row r="833" ht="15.75" customHeight="1">
      <c r="Q833" s="155"/>
    </row>
    <row r="834" ht="15.75" customHeight="1">
      <c r="Q834" s="155"/>
    </row>
    <row r="835" ht="15.75" customHeight="1">
      <c r="Q835" s="155"/>
    </row>
    <row r="836" ht="15.75" customHeight="1">
      <c r="Q836" s="155"/>
    </row>
    <row r="837" ht="15.75" customHeight="1">
      <c r="Q837" s="155"/>
    </row>
    <row r="838" ht="15.75" customHeight="1">
      <c r="Q838" s="155"/>
    </row>
    <row r="839" ht="15.75" customHeight="1">
      <c r="Q839" s="155"/>
    </row>
    <row r="840" ht="15.75" customHeight="1">
      <c r="Q840" s="155"/>
    </row>
    <row r="841" ht="15.75" customHeight="1">
      <c r="Q841" s="155"/>
    </row>
    <row r="842" ht="15.75" customHeight="1">
      <c r="Q842" s="155"/>
    </row>
    <row r="843" ht="15.75" customHeight="1">
      <c r="Q843" s="155"/>
    </row>
    <row r="844" ht="15.75" customHeight="1">
      <c r="Q844" s="155"/>
    </row>
    <row r="845" ht="15.75" customHeight="1">
      <c r="Q845" s="155"/>
    </row>
    <row r="846" ht="15.75" customHeight="1">
      <c r="Q846" s="155"/>
    </row>
    <row r="847" ht="15.75" customHeight="1">
      <c r="Q847" s="155"/>
    </row>
    <row r="848" ht="15.75" customHeight="1">
      <c r="Q848" s="155"/>
    </row>
    <row r="849" ht="15.75" customHeight="1">
      <c r="Q849" s="155"/>
    </row>
    <row r="850" ht="15.75" customHeight="1">
      <c r="Q850" s="155"/>
    </row>
    <row r="851" ht="15.75" customHeight="1">
      <c r="Q851" s="155"/>
    </row>
    <row r="852" ht="15.75" customHeight="1">
      <c r="Q852" s="155"/>
    </row>
    <row r="853" ht="15.75" customHeight="1">
      <c r="Q853" s="155"/>
    </row>
    <row r="854" ht="15.75" customHeight="1">
      <c r="Q854" s="155"/>
    </row>
    <row r="855" ht="15.75" customHeight="1">
      <c r="Q855" s="155"/>
    </row>
    <row r="856" ht="15.75" customHeight="1">
      <c r="Q856" s="155"/>
    </row>
    <row r="857" ht="15.75" customHeight="1">
      <c r="Q857" s="155"/>
    </row>
    <row r="858" ht="15.75" customHeight="1">
      <c r="Q858" s="155"/>
    </row>
    <row r="859" ht="15.75" customHeight="1">
      <c r="Q859" s="155"/>
    </row>
    <row r="860" ht="15.75" customHeight="1">
      <c r="Q860" s="155"/>
    </row>
    <row r="861" ht="15.75" customHeight="1">
      <c r="Q861" s="155"/>
    </row>
    <row r="862" ht="15.75" customHeight="1">
      <c r="Q862" s="155"/>
    </row>
    <row r="863" ht="15.75" customHeight="1">
      <c r="Q863" s="155"/>
    </row>
    <row r="864" ht="15.75" customHeight="1">
      <c r="Q864" s="155"/>
    </row>
    <row r="865" ht="15.75" customHeight="1">
      <c r="Q865" s="155"/>
    </row>
    <row r="866" ht="15.75" customHeight="1">
      <c r="Q866" s="155"/>
    </row>
    <row r="867" ht="15.75" customHeight="1">
      <c r="Q867" s="155"/>
    </row>
    <row r="868" ht="15.75" customHeight="1">
      <c r="Q868" s="155"/>
    </row>
    <row r="869" ht="15.75" customHeight="1">
      <c r="Q869" s="155"/>
    </row>
    <row r="870" ht="15.75" customHeight="1">
      <c r="Q870" s="155"/>
    </row>
    <row r="871" ht="15.75" customHeight="1">
      <c r="Q871" s="155"/>
    </row>
    <row r="872" ht="15.75" customHeight="1">
      <c r="Q872" s="155"/>
    </row>
    <row r="873" ht="15.75" customHeight="1">
      <c r="Q873" s="155"/>
    </row>
    <row r="874" ht="15.75" customHeight="1">
      <c r="Q874" s="155"/>
    </row>
    <row r="875" ht="15.75" customHeight="1">
      <c r="Q875" s="155"/>
    </row>
    <row r="876" ht="15.75" customHeight="1">
      <c r="Q876" s="155"/>
    </row>
    <row r="877" ht="15.75" customHeight="1">
      <c r="Q877" s="155"/>
    </row>
    <row r="878" ht="15.75" customHeight="1">
      <c r="Q878" s="155"/>
    </row>
    <row r="879" ht="15.75" customHeight="1">
      <c r="Q879" s="155"/>
    </row>
    <row r="880" ht="15.75" customHeight="1">
      <c r="Q880" s="155"/>
    </row>
    <row r="881" ht="15.75" customHeight="1">
      <c r="Q881" s="155"/>
    </row>
    <row r="882" ht="15.75" customHeight="1">
      <c r="Q882" s="155"/>
    </row>
    <row r="883" ht="15.75" customHeight="1">
      <c r="Q883" s="155"/>
    </row>
    <row r="884" ht="15.75" customHeight="1">
      <c r="Q884" s="155"/>
    </row>
    <row r="885" ht="15.75" customHeight="1">
      <c r="Q885" s="155"/>
    </row>
    <row r="886" ht="15.75" customHeight="1">
      <c r="Q886" s="155"/>
    </row>
    <row r="887" ht="15.75" customHeight="1">
      <c r="Q887" s="155"/>
    </row>
    <row r="888" ht="15.75" customHeight="1">
      <c r="Q888" s="155"/>
    </row>
    <row r="889" ht="15.75" customHeight="1">
      <c r="Q889" s="155"/>
    </row>
    <row r="890" ht="15.75" customHeight="1">
      <c r="Q890" s="155"/>
    </row>
    <row r="891" ht="15.75" customHeight="1">
      <c r="Q891" s="155"/>
    </row>
    <row r="892" ht="15.75" customHeight="1">
      <c r="Q892" s="155"/>
    </row>
    <row r="893" ht="15.75" customHeight="1">
      <c r="Q893" s="155"/>
    </row>
    <row r="894" ht="15.75" customHeight="1">
      <c r="Q894" s="155"/>
    </row>
    <row r="895" ht="15.75" customHeight="1">
      <c r="Q895" s="155"/>
    </row>
    <row r="896" ht="15.75" customHeight="1">
      <c r="Q896" s="155"/>
    </row>
    <row r="897" ht="15.75" customHeight="1">
      <c r="Q897" s="155"/>
    </row>
    <row r="898" ht="15.75" customHeight="1">
      <c r="Q898" s="155"/>
    </row>
    <row r="899" ht="15.75" customHeight="1">
      <c r="Q899" s="155"/>
    </row>
    <row r="900" ht="15.75" customHeight="1">
      <c r="Q900" s="155"/>
    </row>
    <row r="901" ht="15.75" customHeight="1">
      <c r="Q901" s="155"/>
    </row>
    <row r="902" ht="15.75" customHeight="1">
      <c r="Q902" s="155"/>
    </row>
    <row r="903" ht="15.75" customHeight="1">
      <c r="Q903" s="155"/>
    </row>
    <row r="904" ht="15.75" customHeight="1">
      <c r="Q904" s="155"/>
    </row>
    <row r="905" ht="15.75" customHeight="1">
      <c r="Q905" s="155"/>
    </row>
    <row r="906" ht="15.75" customHeight="1">
      <c r="Q906" s="155"/>
    </row>
    <row r="907" ht="15.75" customHeight="1">
      <c r="Q907" s="155"/>
    </row>
    <row r="908" ht="15.75" customHeight="1">
      <c r="Q908" s="155"/>
    </row>
    <row r="909" ht="15.75" customHeight="1">
      <c r="Q909" s="155"/>
    </row>
    <row r="910" ht="15.75" customHeight="1">
      <c r="Q910" s="155"/>
    </row>
    <row r="911" ht="15.75" customHeight="1">
      <c r="Q911" s="155"/>
    </row>
    <row r="912" ht="15.75" customHeight="1">
      <c r="Q912" s="155"/>
    </row>
    <row r="913" ht="15.75" customHeight="1">
      <c r="Q913" s="155"/>
    </row>
    <row r="914" ht="15.75" customHeight="1">
      <c r="Q914" s="155"/>
    </row>
    <row r="915" ht="15.75" customHeight="1">
      <c r="Q915" s="155"/>
    </row>
    <row r="916" ht="15.75" customHeight="1">
      <c r="Q916" s="155"/>
    </row>
    <row r="917" ht="15.75" customHeight="1">
      <c r="Q917" s="155"/>
    </row>
    <row r="918" ht="15.75" customHeight="1">
      <c r="Q918" s="155"/>
    </row>
    <row r="919" ht="15.75" customHeight="1">
      <c r="Q919" s="155"/>
    </row>
    <row r="920" ht="15.75" customHeight="1">
      <c r="Q920" s="155"/>
    </row>
    <row r="921" ht="15.75" customHeight="1">
      <c r="Q921" s="155"/>
    </row>
    <row r="922" ht="15.75" customHeight="1">
      <c r="Q922" s="155"/>
    </row>
    <row r="923" ht="15.75" customHeight="1">
      <c r="Q923" s="155"/>
    </row>
    <row r="924" ht="15.75" customHeight="1">
      <c r="Q924" s="155"/>
    </row>
    <row r="925" ht="15.75" customHeight="1">
      <c r="Q925" s="155"/>
    </row>
    <row r="926" ht="15.75" customHeight="1">
      <c r="Q926" s="155"/>
    </row>
    <row r="927" ht="15.75" customHeight="1">
      <c r="Q927" s="155"/>
    </row>
    <row r="928" ht="15.75" customHeight="1">
      <c r="Q928" s="155"/>
    </row>
    <row r="929" ht="15.75" customHeight="1">
      <c r="Q929" s="155"/>
    </row>
    <row r="930" ht="15.75" customHeight="1">
      <c r="Q930" s="155"/>
    </row>
    <row r="931" ht="15.75" customHeight="1">
      <c r="Q931" s="155"/>
    </row>
    <row r="932" ht="15.75" customHeight="1">
      <c r="Q932" s="155"/>
    </row>
    <row r="933" ht="15.75" customHeight="1">
      <c r="Q933" s="155"/>
    </row>
    <row r="934" ht="15.75" customHeight="1">
      <c r="Q934" s="155"/>
    </row>
    <row r="935" ht="15.75" customHeight="1">
      <c r="Q935" s="155"/>
    </row>
    <row r="936" ht="15.75" customHeight="1">
      <c r="Q936" s="155"/>
    </row>
    <row r="937" ht="15.75" customHeight="1">
      <c r="Q937" s="155"/>
    </row>
    <row r="938" ht="15.75" customHeight="1">
      <c r="Q938" s="155"/>
    </row>
    <row r="939" ht="15.75" customHeight="1">
      <c r="Q939" s="155"/>
    </row>
    <row r="940" ht="15.75" customHeight="1">
      <c r="Q940" s="155"/>
    </row>
    <row r="941" ht="15.75" customHeight="1">
      <c r="Q941" s="155"/>
    </row>
    <row r="942" ht="15.75" customHeight="1">
      <c r="Q942" s="155"/>
    </row>
    <row r="943" ht="15.75" customHeight="1">
      <c r="Q943" s="155"/>
    </row>
    <row r="944" ht="15.75" customHeight="1">
      <c r="Q944" s="155"/>
    </row>
    <row r="945" ht="15.75" customHeight="1">
      <c r="Q945" s="155"/>
    </row>
    <row r="946" ht="15.75" customHeight="1">
      <c r="Q946" s="155"/>
    </row>
    <row r="947" ht="15.75" customHeight="1">
      <c r="Q947" s="155"/>
    </row>
    <row r="948" ht="15.75" customHeight="1">
      <c r="Q948" s="155"/>
    </row>
    <row r="949" ht="15.75" customHeight="1">
      <c r="Q949" s="155"/>
    </row>
    <row r="950" ht="15.75" customHeight="1">
      <c r="Q950" s="155"/>
    </row>
    <row r="951" ht="15.75" customHeight="1">
      <c r="Q951" s="155"/>
    </row>
    <row r="952" ht="15.75" customHeight="1">
      <c r="Q952" s="155"/>
    </row>
    <row r="953" ht="15.75" customHeight="1">
      <c r="Q953" s="155"/>
    </row>
    <row r="954" ht="15.75" customHeight="1">
      <c r="Q954" s="155"/>
    </row>
    <row r="955" ht="15.75" customHeight="1">
      <c r="Q955" s="155"/>
    </row>
    <row r="956" ht="15.75" customHeight="1">
      <c r="Q956" s="155"/>
    </row>
    <row r="957" ht="15.75" customHeight="1">
      <c r="Q957" s="155"/>
    </row>
    <row r="958" ht="15.75" customHeight="1">
      <c r="Q958" s="155"/>
    </row>
    <row r="959" ht="15.75" customHeight="1">
      <c r="Q959" s="155"/>
    </row>
    <row r="960" ht="15.75" customHeight="1">
      <c r="Q960" s="155"/>
    </row>
    <row r="961" ht="15.75" customHeight="1">
      <c r="Q961" s="155"/>
    </row>
    <row r="962" ht="15.75" customHeight="1">
      <c r="Q962" s="155"/>
    </row>
    <row r="963" ht="15.75" customHeight="1">
      <c r="Q963" s="155"/>
    </row>
    <row r="964" ht="15.75" customHeight="1">
      <c r="Q964" s="155"/>
    </row>
    <row r="965" ht="15.75" customHeight="1">
      <c r="Q965" s="155"/>
    </row>
    <row r="966" ht="15.75" customHeight="1">
      <c r="Q966" s="155"/>
    </row>
    <row r="967" ht="15.75" customHeight="1">
      <c r="Q967" s="155"/>
    </row>
    <row r="968" ht="15.75" customHeight="1">
      <c r="Q968" s="155"/>
    </row>
    <row r="969" ht="15.75" customHeight="1">
      <c r="Q969" s="155"/>
    </row>
    <row r="970" ht="15.75" customHeight="1">
      <c r="Q970" s="155"/>
    </row>
    <row r="971" ht="15.75" customHeight="1">
      <c r="Q971" s="155"/>
    </row>
    <row r="972" ht="15.75" customHeight="1">
      <c r="Q972" s="155"/>
    </row>
    <row r="973" ht="15.75" customHeight="1">
      <c r="Q973" s="155"/>
    </row>
    <row r="974" ht="15.75" customHeight="1">
      <c r="Q974" s="155"/>
    </row>
    <row r="975" ht="15.75" customHeight="1">
      <c r="Q975" s="155"/>
    </row>
    <row r="976" ht="15.75" customHeight="1">
      <c r="Q976" s="155"/>
    </row>
    <row r="977" ht="15.75" customHeight="1">
      <c r="Q977" s="155"/>
    </row>
    <row r="978" ht="15.75" customHeight="1">
      <c r="Q978" s="155"/>
    </row>
    <row r="979" ht="15.75" customHeight="1">
      <c r="Q979" s="155"/>
    </row>
    <row r="980" ht="15.75" customHeight="1">
      <c r="Q980" s="155"/>
    </row>
    <row r="981" ht="15.75" customHeight="1">
      <c r="Q981" s="155"/>
    </row>
    <row r="982" ht="15.75" customHeight="1">
      <c r="Q982" s="155"/>
    </row>
    <row r="983" ht="15.75" customHeight="1">
      <c r="Q983" s="155"/>
    </row>
    <row r="984" ht="15.75" customHeight="1">
      <c r="Q984" s="155"/>
    </row>
    <row r="985" ht="15.75" customHeight="1">
      <c r="Q985" s="155"/>
    </row>
    <row r="986" ht="15.75" customHeight="1">
      <c r="Q986" s="155"/>
    </row>
    <row r="987" ht="15.75" customHeight="1">
      <c r="Q987" s="155"/>
    </row>
    <row r="988" ht="15.75" customHeight="1">
      <c r="Q988" s="155"/>
    </row>
    <row r="989" ht="15.75" customHeight="1">
      <c r="Q989" s="155"/>
    </row>
    <row r="990" ht="15.75" customHeight="1">
      <c r="Q990" s="155"/>
    </row>
    <row r="991" ht="15.75" customHeight="1">
      <c r="Q991" s="155"/>
    </row>
    <row r="992" ht="15.75" customHeight="1">
      <c r="Q992" s="155"/>
    </row>
    <row r="993" ht="15.75" customHeight="1">
      <c r="Q993" s="155"/>
    </row>
    <row r="994" ht="15.75" customHeight="1">
      <c r="Q994" s="155"/>
    </row>
    <row r="995" ht="15.75" customHeight="1">
      <c r="Q995" s="155"/>
    </row>
    <row r="996" ht="15.75" customHeight="1">
      <c r="Q996" s="155"/>
    </row>
    <row r="997" ht="15.75" customHeight="1">
      <c r="Q997" s="155"/>
    </row>
    <row r="998" ht="15.75" customHeight="1">
      <c r="Q998" s="155"/>
    </row>
    <row r="999" ht="15.75" customHeight="1">
      <c r="Q999" s="155"/>
    </row>
    <row r="1000" ht="15.75" customHeight="1">
      <c r="Q1000" s="15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43"/>
    <col customWidth="1" min="2" max="11" width="8.71"/>
    <col customWidth="1" min="12" max="12" width="10.29"/>
    <col customWidth="1" min="13" max="26" width="8.71"/>
  </cols>
  <sheetData>
    <row r="1">
      <c r="A1" s="139" t="str">
        <f t="array" ref="A1:A26">UNIQUE('Business - Dump'!F:F)</f>
        <v>Series</v>
      </c>
      <c r="B1" s="140" t="s">
        <v>36</v>
      </c>
      <c r="C1" s="140" t="s">
        <v>45</v>
      </c>
      <c r="D1" s="140" t="s">
        <v>46</v>
      </c>
      <c r="E1" s="140" t="s">
        <v>47</v>
      </c>
      <c r="F1" s="140" t="s">
        <v>48</v>
      </c>
      <c r="G1" s="140" t="s">
        <v>50</v>
      </c>
      <c r="H1" s="140" t="s">
        <v>54</v>
      </c>
      <c r="I1" s="140" t="s">
        <v>56</v>
      </c>
      <c r="J1" s="140" t="s">
        <v>58</v>
      </c>
      <c r="K1" s="140" t="s">
        <v>61</v>
      </c>
      <c r="L1" s="140" t="s">
        <v>63</v>
      </c>
      <c r="M1" s="140" t="s">
        <v>65</v>
      </c>
      <c r="N1" s="100" t="s">
        <v>265</v>
      </c>
      <c r="O1" s="140" t="s">
        <v>266</v>
      </c>
    </row>
    <row r="2">
      <c r="A2" s="19" t="s">
        <v>267</v>
      </c>
      <c r="B2" s="3">
        <f>SUMIFS('Business - Dump'!$W:$W,'Business - Dump'!$F:$F,'Series Order '!$A2,'Business - Dump'!$A:$A,'Series Order '!B$1)</f>
        <v>21</v>
      </c>
      <c r="C2" s="3">
        <f>SUMIFS('Business - Dump'!$W:$W,'Business - Dump'!$F:$F,'Series Order '!$A2,'Business - Dump'!$A:$A,'Series Order '!C$1)</f>
        <v>52</v>
      </c>
      <c r="D2" s="3">
        <f>SUMIFS('Business - Dump'!$W:$W,'Business - Dump'!$F:$F,'Series Order '!$A2,'Business - Dump'!$A:$A,'Series Order '!D$1)</f>
        <v>13</v>
      </c>
      <c r="E2" s="3">
        <f>SUMIFS('Business - Dump'!$W:$W,'Business - Dump'!$F:$F,'Series Order '!$A2,'Business - Dump'!$A:$A,'Series Order '!E$1)</f>
        <v>0</v>
      </c>
      <c r="F2" s="3">
        <f>SUMIFS('Business - Dump'!$W:$W,'Business - Dump'!$F:$F,'Series Order '!$A2,'Business - Dump'!$A:$A,'Series Order '!F$1)</f>
        <v>1</v>
      </c>
      <c r="G2" s="3">
        <f>SUMIFS('Business - Dump'!$W:$W,'Business - Dump'!$F:$F,'Series Order '!$A2,'Business - Dump'!$A:$A,'Series Order '!G$1)</f>
        <v>0</v>
      </c>
      <c r="H2" s="3">
        <f>SUMIFS('Business - Dump'!$W:$W,'Business - Dump'!$F:$F,'Series Order '!$A2,'Business - Dump'!$A:$A,'Series Order '!H$1)</f>
        <v>27</v>
      </c>
      <c r="I2" s="3">
        <f>SUMIFS('Business - Dump'!$W:$W,'Business - Dump'!$F:$F,'Series Order '!$A2,'Business - Dump'!$A:$A,'Series Order '!I$1)</f>
        <v>30</v>
      </c>
      <c r="J2" s="3">
        <f>SUMIFS('Business - Dump'!$W:$W,'Business - Dump'!$F:$F,'Series Order '!$A2,'Business - Dump'!$A:$A,'Series Order '!J$1)</f>
        <v>43</v>
      </c>
      <c r="K2" s="3">
        <f>SUMIFS('Business - Dump'!$W:$W,'Business - Dump'!$F:$F,'Series Order '!$A2,'Business - Dump'!$A:$A,'Series Order '!K$1)</f>
        <v>29</v>
      </c>
      <c r="L2" s="3">
        <f>SUMIFS('Business - Dump'!$W:$W,'Business - Dump'!$F:$F,'Series Order '!$A2,'Business - Dump'!$A:$A,'Series Order '!L$1)</f>
        <v>59</v>
      </c>
      <c r="M2" s="3">
        <f>SUMIFS('Business - Dump'!$W:$W,'Business - Dump'!$F:$F,'Series Order '!$A2,'Business - Dump'!$A:$A,'Series Order '!M$1)</f>
        <v>53</v>
      </c>
      <c r="N2" s="3">
        <f>SUMIFS('Business - Dump'!$W:$W,'Business - Dump'!$F:$F,'Series Order '!$A2,'Business - Dump'!$A:$A,'Series Order '!N$1)</f>
        <v>0</v>
      </c>
      <c r="O2" s="142">
        <f t="shared" ref="O2:O26" si="1">N2-K2</f>
        <v>-29</v>
      </c>
    </row>
    <row r="3">
      <c r="A3" s="19" t="s">
        <v>269</v>
      </c>
      <c r="B3" s="3">
        <f>SUMIFS('Business - Dump'!$W:$W,'Business - Dump'!$F:$F,'Series Order '!$A3,'Business - Dump'!$A:$A,'Series Order '!B$1)</f>
        <v>42</v>
      </c>
      <c r="C3" s="3">
        <f>SUMIFS('Business - Dump'!$W:$W,'Business - Dump'!$F:$F,'Series Order '!$A3,'Business - Dump'!$A:$A,'Series Order '!C$1)</f>
        <v>82</v>
      </c>
      <c r="D3" s="3">
        <f>SUMIFS('Business - Dump'!$W:$W,'Business - Dump'!$F:$F,'Series Order '!$A3,'Business - Dump'!$A:$A,'Series Order '!D$1)</f>
        <v>70</v>
      </c>
      <c r="E3" s="3">
        <f>SUMIFS('Business - Dump'!$W:$W,'Business - Dump'!$F:$F,'Series Order '!$A3,'Business - Dump'!$A:$A,'Series Order '!E$1)</f>
        <v>88</v>
      </c>
      <c r="F3" s="3">
        <f>SUMIFS('Business - Dump'!$W:$W,'Business - Dump'!$F:$F,'Series Order '!$A3,'Business - Dump'!$A:$A,'Series Order '!F$1)</f>
        <v>124</v>
      </c>
      <c r="G3" s="3">
        <f>SUMIFS('Business - Dump'!$W:$W,'Business - Dump'!$F:$F,'Series Order '!$A3,'Business - Dump'!$A:$A,'Series Order '!G$1)</f>
        <v>92</v>
      </c>
      <c r="H3" s="3">
        <f>SUMIFS('Business - Dump'!$W:$W,'Business - Dump'!$F:$F,'Series Order '!$A3,'Business - Dump'!$A:$A,'Series Order '!H$1)</f>
        <v>136</v>
      </c>
      <c r="I3" s="3">
        <f>SUMIFS('Business - Dump'!$W:$W,'Business - Dump'!$F:$F,'Series Order '!$A3,'Business - Dump'!$A:$A,'Series Order '!I$1)</f>
        <v>87</v>
      </c>
      <c r="J3" s="3">
        <f>SUMIFS('Business - Dump'!$W:$W,'Business - Dump'!$F:$F,'Series Order '!$A3,'Business - Dump'!$A:$A,'Series Order '!J$1)</f>
        <v>150</v>
      </c>
      <c r="K3" s="3">
        <f>SUMIFS('Business - Dump'!$W:$W,'Business - Dump'!$F:$F,'Series Order '!$A3,'Business - Dump'!$A:$A,'Series Order '!K$1)</f>
        <v>140</v>
      </c>
      <c r="L3" s="3">
        <f>SUMIFS('Business - Dump'!$W:$W,'Business - Dump'!$F:$F,'Series Order '!$A3,'Business - Dump'!$A:$A,'Series Order '!L$1)</f>
        <v>228</v>
      </c>
      <c r="M3" s="3">
        <f>SUMIFS('Business - Dump'!$W:$W,'Business - Dump'!$F:$F,'Series Order '!$A3,'Business - Dump'!$A:$A,'Series Order '!M$1)</f>
        <v>152</v>
      </c>
      <c r="N3" s="3">
        <f>SUMIFS('Business - Dump'!$W:$W,'Business - Dump'!$F:$F,'Series Order '!$A3,'Business - Dump'!$A:$A,'Series Order '!N$1)</f>
        <v>0</v>
      </c>
      <c r="O3" s="142">
        <f t="shared" si="1"/>
        <v>-140</v>
      </c>
    </row>
    <row r="4">
      <c r="A4" s="19" t="s">
        <v>275</v>
      </c>
      <c r="B4" s="3">
        <f>SUMIFS('Business - Dump'!$W:$W,'Business - Dump'!$F:$F,'Series Order '!$A4,'Business - Dump'!$A:$A,'Series Order '!B$1)</f>
        <v>27</v>
      </c>
      <c r="C4" s="3">
        <f>SUMIFS('Business - Dump'!$W:$W,'Business - Dump'!$F:$F,'Series Order '!$A4,'Business - Dump'!$A:$A,'Series Order '!C$1)</f>
        <v>37</v>
      </c>
      <c r="D4" s="3">
        <f>SUMIFS('Business - Dump'!$W:$W,'Business - Dump'!$F:$F,'Series Order '!$A4,'Business - Dump'!$A:$A,'Series Order '!D$1)</f>
        <v>26</v>
      </c>
      <c r="E4" s="3">
        <f>SUMIFS('Business - Dump'!$W:$W,'Business - Dump'!$F:$F,'Series Order '!$A4,'Business - Dump'!$A:$A,'Series Order '!E$1)</f>
        <v>35</v>
      </c>
      <c r="F4" s="3">
        <f>SUMIFS('Business - Dump'!$W:$W,'Business - Dump'!$F:$F,'Series Order '!$A4,'Business - Dump'!$A:$A,'Series Order '!F$1)</f>
        <v>33</v>
      </c>
      <c r="G4" s="3">
        <f>SUMIFS('Business - Dump'!$W:$W,'Business - Dump'!$F:$F,'Series Order '!$A4,'Business - Dump'!$A:$A,'Series Order '!G$1)</f>
        <v>25</v>
      </c>
      <c r="H4" s="3">
        <f>SUMIFS('Business - Dump'!$W:$W,'Business - Dump'!$F:$F,'Series Order '!$A4,'Business - Dump'!$A:$A,'Series Order '!H$1)</f>
        <v>21</v>
      </c>
      <c r="I4" s="3">
        <f>SUMIFS('Business - Dump'!$W:$W,'Business - Dump'!$F:$F,'Series Order '!$A4,'Business - Dump'!$A:$A,'Series Order '!I$1)</f>
        <v>53</v>
      </c>
      <c r="J4" s="3">
        <f>SUMIFS('Business - Dump'!$W:$W,'Business - Dump'!$F:$F,'Series Order '!$A4,'Business - Dump'!$A:$A,'Series Order '!J$1)</f>
        <v>61</v>
      </c>
      <c r="K4" s="3">
        <f>SUMIFS('Business - Dump'!$W:$W,'Business - Dump'!$F:$F,'Series Order '!$A4,'Business - Dump'!$A:$A,'Series Order '!K$1)</f>
        <v>40</v>
      </c>
      <c r="L4" s="3">
        <f>SUMIFS('Business - Dump'!$W:$W,'Business - Dump'!$F:$F,'Series Order '!$A4,'Business - Dump'!$A:$A,'Series Order '!L$1)</f>
        <v>61</v>
      </c>
      <c r="M4" s="3">
        <f>SUMIFS('Business - Dump'!$W:$W,'Business - Dump'!$F:$F,'Series Order '!$A4,'Business - Dump'!$A:$A,'Series Order '!M$1)</f>
        <v>62</v>
      </c>
      <c r="N4" s="3">
        <f>SUMIFS('Business - Dump'!$W:$W,'Business - Dump'!$F:$F,'Series Order '!$A4,'Business - Dump'!$A:$A,'Series Order '!N$1)</f>
        <v>0</v>
      </c>
      <c r="O4" s="142">
        <f t="shared" si="1"/>
        <v>-40</v>
      </c>
    </row>
    <row r="5">
      <c r="A5" s="19" t="s">
        <v>276</v>
      </c>
      <c r="B5" s="3">
        <f>SUMIFS('Business - Dump'!$W:$W,'Business - Dump'!$F:$F,'Series Order '!$A5,'Business - Dump'!$A:$A,'Series Order '!B$1)</f>
        <v>8</v>
      </c>
      <c r="C5" s="3">
        <f>SUMIFS('Business - Dump'!$W:$W,'Business - Dump'!$F:$F,'Series Order '!$A5,'Business - Dump'!$A:$A,'Series Order '!C$1)</f>
        <v>4</v>
      </c>
      <c r="D5" s="3">
        <f>SUMIFS('Business - Dump'!$W:$W,'Business - Dump'!$F:$F,'Series Order '!$A5,'Business - Dump'!$A:$A,'Series Order '!D$1)</f>
        <v>5</v>
      </c>
      <c r="E5" s="3">
        <f>SUMIFS('Business - Dump'!$W:$W,'Business - Dump'!$F:$F,'Series Order '!$A5,'Business - Dump'!$A:$A,'Series Order '!E$1)</f>
        <v>21</v>
      </c>
      <c r="F5" s="3">
        <f>SUMIFS('Business - Dump'!$W:$W,'Business - Dump'!$F:$F,'Series Order '!$A5,'Business - Dump'!$A:$A,'Series Order '!F$1)</f>
        <v>14</v>
      </c>
      <c r="G5" s="3">
        <f>SUMIFS('Business - Dump'!$W:$W,'Business - Dump'!$F:$F,'Series Order '!$A5,'Business - Dump'!$A:$A,'Series Order '!G$1)</f>
        <v>15</v>
      </c>
      <c r="H5" s="3">
        <f>SUMIFS('Business - Dump'!$W:$W,'Business - Dump'!$F:$F,'Series Order '!$A5,'Business - Dump'!$A:$A,'Series Order '!H$1)</f>
        <v>18</v>
      </c>
      <c r="I5" s="3">
        <f>SUMIFS('Business - Dump'!$W:$W,'Business - Dump'!$F:$F,'Series Order '!$A5,'Business - Dump'!$A:$A,'Series Order '!I$1)</f>
        <v>0</v>
      </c>
      <c r="J5" s="3">
        <f>SUMIFS('Business - Dump'!$W:$W,'Business - Dump'!$F:$F,'Series Order '!$A5,'Business - Dump'!$A:$A,'Series Order '!J$1)</f>
        <v>2</v>
      </c>
      <c r="K5" s="3">
        <f>SUMIFS('Business - Dump'!$W:$W,'Business - Dump'!$F:$F,'Series Order '!$A5,'Business - Dump'!$A:$A,'Series Order '!K$1)</f>
        <v>12</v>
      </c>
      <c r="L5" s="3">
        <f>SUMIFS('Business - Dump'!$W:$W,'Business - Dump'!$F:$F,'Series Order '!$A5,'Business - Dump'!$A:$A,'Series Order '!L$1)</f>
        <v>25</v>
      </c>
      <c r="M5" s="3">
        <f>SUMIFS('Business - Dump'!$W:$W,'Business - Dump'!$F:$F,'Series Order '!$A5,'Business - Dump'!$A:$A,'Series Order '!M$1)</f>
        <v>23</v>
      </c>
      <c r="N5" s="3">
        <f>SUMIFS('Business - Dump'!$W:$W,'Business - Dump'!$F:$F,'Series Order '!$A5,'Business - Dump'!$A:$A,'Series Order '!N$1)</f>
        <v>0</v>
      </c>
      <c r="O5" s="3">
        <f t="shared" si="1"/>
        <v>-12</v>
      </c>
    </row>
    <row r="6">
      <c r="A6" s="19" t="s">
        <v>211</v>
      </c>
      <c r="B6" s="3">
        <f>SUMIFS('Business - Dump'!$W:$W,'Business - Dump'!$F:$F,'Series Order '!$A6,'Business - Dump'!$A:$A,'Series Order '!B$1)</f>
        <v>3</v>
      </c>
      <c r="C6" s="3">
        <f>SUMIFS('Business - Dump'!$W:$W,'Business - Dump'!$F:$F,'Series Order '!$A6,'Business - Dump'!$A:$A,'Series Order '!C$1)</f>
        <v>9</v>
      </c>
      <c r="D6" s="3">
        <f>SUMIFS('Business - Dump'!$W:$W,'Business - Dump'!$F:$F,'Series Order '!$A6,'Business - Dump'!$A:$A,'Series Order '!D$1)</f>
        <v>17</v>
      </c>
      <c r="E6" s="3">
        <f>SUMIFS('Business - Dump'!$W:$W,'Business - Dump'!$F:$F,'Series Order '!$A6,'Business - Dump'!$A:$A,'Series Order '!E$1)</f>
        <v>21</v>
      </c>
      <c r="F6" s="3">
        <f>SUMIFS('Business - Dump'!$W:$W,'Business - Dump'!$F:$F,'Series Order '!$A6,'Business - Dump'!$A:$A,'Series Order '!F$1)</f>
        <v>44</v>
      </c>
      <c r="G6" s="3">
        <f>SUMIFS('Business - Dump'!$W:$W,'Business - Dump'!$F:$F,'Series Order '!$A6,'Business - Dump'!$A:$A,'Series Order '!G$1)</f>
        <v>40</v>
      </c>
      <c r="H6" s="3">
        <f>SUMIFS('Business - Dump'!$W:$W,'Business - Dump'!$F:$F,'Series Order '!$A6,'Business - Dump'!$A:$A,'Series Order '!H$1)</f>
        <v>37</v>
      </c>
      <c r="I6" s="3">
        <f>SUMIFS('Business - Dump'!$W:$W,'Business - Dump'!$F:$F,'Series Order '!$A6,'Business - Dump'!$A:$A,'Series Order '!I$1)</f>
        <v>60</v>
      </c>
      <c r="J6" s="3">
        <f>SUMIFS('Business - Dump'!$W:$W,'Business - Dump'!$F:$F,'Series Order '!$A6,'Business - Dump'!$A:$A,'Series Order '!J$1)</f>
        <v>60</v>
      </c>
      <c r="K6" s="3">
        <f>SUMIFS('Business - Dump'!$W:$W,'Business - Dump'!$F:$F,'Series Order '!$A6,'Business - Dump'!$A:$A,'Series Order '!K$1)</f>
        <v>58</v>
      </c>
      <c r="L6" s="3">
        <f>SUMIFS('Business - Dump'!$W:$W,'Business - Dump'!$F:$F,'Series Order '!$A6,'Business - Dump'!$A:$A,'Series Order '!L$1)</f>
        <v>102</v>
      </c>
      <c r="M6" s="3">
        <f>SUMIFS('Business - Dump'!$W:$W,'Business - Dump'!$F:$F,'Series Order '!$A6,'Business - Dump'!$A:$A,'Series Order '!M$1)</f>
        <v>132</v>
      </c>
      <c r="N6" s="3">
        <f>SUMIFS('Business - Dump'!$W:$W,'Business - Dump'!$F:$F,'Series Order '!$A6,'Business - Dump'!$A:$A,'Series Order '!N$1)</f>
        <v>0</v>
      </c>
      <c r="O6" s="3">
        <f t="shared" si="1"/>
        <v>-58</v>
      </c>
    </row>
    <row r="7">
      <c r="A7" s="19" t="s">
        <v>284</v>
      </c>
      <c r="B7" s="3">
        <f>SUMIFS('Business - Dump'!$W:$W,'Business - Dump'!$F:$F,'Series Order '!$A7,'Business - Dump'!$A:$A,'Series Order '!B$1)</f>
        <v>2</v>
      </c>
      <c r="C7" s="3">
        <f>SUMIFS('Business - Dump'!$W:$W,'Business - Dump'!$F:$F,'Series Order '!$A7,'Business - Dump'!$A:$A,'Series Order '!C$1)</f>
        <v>0</v>
      </c>
      <c r="D7" s="3">
        <f>SUMIFS('Business - Dump'!$W:$W,'Business - Dump'!$F:$F,'Series Order '!$A7,'Business - Dump'!$A:$A,'Series Order '!D$1)</f>
        <v>0</v>
      </c>
      <c r="E7" s="3">
        <f>SUMIFS('Business - Dump'!$W:$W,'Business - Dump'!$F:$F,'Series Order '!$A7,'Business - Dump'!$A:$A,'Series Order '!E$1)</f>
        <v>0</v>
      </c>
      <c r="F7" s="3">
        <f>SUMIFS('Business - Dump'!$W:$W,'Business - Dump'!$F:$F,'Series Order '!$A7,'Business - Dump'!$A:$A,'Series Order '!F$1)</f>
        <v>0</v>
      </c>
      <c r="G7" s="3">
        <f>SUMIFS('Business - Dump'!$W:$W,'Business - Dump'!$F:$F,'Series Order '!$A7,'Business - Dump'!$A:$A,'Series Order '!G$1)</f>
        <v>1</v>
      </c>
      <c r="H7" s="3">
        <f>SUMIFS('Business - Dump'!$W:$W,'Business - Dump'!$F:$F,'Series Order '!$A7,'Business - Dump'!$A:$A,'Series Order '!H$1)</f>
        <v>0</v>
      </c>
      <c r="I7" s="3">
        <f>SUMIFS('Business - Dump'!$W:$W,'Business - Dump'!$F:$F,'Series Order '!$A7,'Business - Dump'!$A:$A,'Series Order '!I$1)</f>
        <v>1</v>
      </c>
      <c r="J7" s="3">
        <f>SUMIFS('Business - Dump'!$W:$W,'Business - Dump'!$F:$F,'Series Order '!$A7,'Business - Dump'!$A:$A,'Series Order '!J$1)</f>
        <v>1</v>
      </c>
      <c r="K7" s="3">
        <f>SUMIFS('Business - Dump'!$W:$W,'Business - Dump'!$F:$F,'Series Order '!$A7,'Business - Dump'!$A:$A,'Series Order '!K$1)</f>
        <v>2</v>
      </c>
      <c r="L7" s="3">
        <f>SUMIFS('Business - Dump'!$W:$W,'Business - Dump'!$F:$F,'Series Order '!$A7,'Business - Dump'!$A:$A,'Series Order '!L$1)</f>
        <v>0</v>
      </c>
      <c r="M7" s="3">
        <f>SUMIFS('Business - Dump'!$W:$W,'Business - Dump'!$F:$F,'Series Order '!$A7,'Business - Dump'!$A:$A,'Series Order '!M$1)</f>
        <v>0</v>
      </c>
      <c r="N7" s="3">
        <f>SUMIFS('Business - Dump'!$W:$W,'Business - Dump'!$F:$F,'Series Order '!$A7,'Business - Dump'!$A:$A,'Series Order '!N$1)</f>
        <v>0</v>
      </c>
      <c r="O7" s="142">
        <f t="shared" si="1"/>
        <v>-2</v>
      </c>
    </row>
    <row r="8">
      <c r="A8" s="19" t="s">
        <v>119</v>
      </c>
      <c r="B8" s="3">
        <f>SUMIFS('Business - Dump'!$W:$W,'Business - Dump'!$F:$F,'Series Order '!$A8,'Business - Dump'!$A:$A,'Series Order '!B$1)</f>
        <v>2</v>
      </c>
      <c r="C8" s="3">
        <f>SUMIFS('Business - Dump'!$W:$W,'Business - Dump'!$F:$F,'Series Order '!$A8,'Business - Dump'!$A:$A,'Series Order '!C$1)</f>
        <v>3</v>
      </c>
      <c r="D8" s="3">
        <f>SUMIFS('Business - Dump'!$W:$W,'Business - Dump'!$F:$F,'Series Order '!$A8,'Business - Dump'!$A:$A,'Series Order '!D$1)</f>
        <v>2</v>
      </c>
      <c r="E8" s="3">
        <f>SUMIFS('Business - Dump'!$W:$W,'Business - Dump'!$F:$F,'Series Order '!$A8,'Business - Dump'!$A:$A,'Series Order '!E$1)</f>
        <v>5</v>
      </c>
      <c r="F8" s="3">
        <f>SUMIFS('Business - Dump'!$W:$W,'Business - Dump'!$F:$F,'Series Order '!$A8,'Business - Dump'!$A:$A,'Series Order '!F$1)</f>
        <v>3</v>
      </c>
      <c r="G8" s="3">
        <f>SUMIFS('Business - Dump'!$W:$W,'Business - Dump'!$F:$F,'Series Order '!$A8,'Business - Dump'!$A:$A,'Series Order '!G$1)</f>
        <v>2</v>
      </c>
      <c r="H8" s="3">
        <f>SUMIFS('Business - Dump'!$W:$W,'Business - Dump'!$F:$F,'Series Order '!$A8,'Business - Dump'!$A:$A,'Series Order '!H$1)</f>
        <v>2</v>
      </c>
      <c r="I8" s="3">
        <f>SUMIFS('Business - Dump'!$W:$W,'Business - Dump'!$F:$F,'Series Order '!$A8,'Business - Dump'!$A:$A,'Series Order '!I$1)</f>
        <v>2</v>
      </c>
      <c r="J8" s="3">
        <f>SUMIFS('Business - Dump'!$W:$W,'Business - Dump'!$F:$F,'Series Order '!$A8,'Business - Dump'!$A:$A,'Series Order '!J$1)</f>
        <v>1</v>
      </c>
      <c r="K8" s="3">
        <f>SUMIFS('Business - Dump'!$W:$W,'Business - Dump'!$F:$F,'Series Order '!$A8,'Business - Dump'!$A:$A,'Series Order '!K$1)</f>
        <v>0</v>
      </c>
      <c r="L8" s="3">
        <f>SUMIFS('Business - Dump'!$W:$W,'Business - Dump'!$F:$F,'Series Order '!$A8,'Business - Dump'!$A:$A,'Series Order '!L$1)</f>
        <v>2</v>
      </c>
      <c r="M8" s="3">
        <f>SUMIFS('Business - Dump'!$W:$W,'Business - Dump'!$F:$F,'Series Order '!$A8,'Business - Dump'!$A:$A,'Series Order '!M$1)</f>
        <v>1</v>
      </c>
      <c r="N8" s="3">
        <f>SUMIFS('Business - Dump'!$W:$W,'Business - Dump'!$F:$F,'Series Order '!$A8,'Business - Dump'!$A:$A,'Series Order '!N$1)</f>
        <v>0</v>
      </c>
      <c r="O8" s="3">
        <f t="shared" si="1"/>
        <v>0</v>
      </c>
    </row>
    <row r="9" ht="15.0" customHeight="1">
      <c r="A9" s="19" t="s">
        <v>170</v>
      </c>
      <c r="B9" s="3">
        <f>SUMIFS('Business - Dump'!$W:$W,'Business - Dump'!$F:$F,'Series Order '!$A9,'Business - Dump'!$A:$A,'Series Order '!B$1)</f>
        <v>1</v>
      </c>
      <c r="C9" s="3">
        <f>SUMIFS('Business - Dump'!$W:$W,'Business - Dump'!$F:$F,'Series Order '!$A9,'Business - Dump'!$A:$A,'Series Order '!C$1)</f>
        <v>3</v>
      </c>
      <c r="D9" s="3">
        <f>SUMIFS('Business - Dump'!$W:$W,'Business - Dump'!$F:$F,'Series Order '!$A9,'Business - Dump'!$A:$A,'Series Order '!D$1)</f>
        <v>0</v>
      </c>
      <c r="E9" s="3">
        <f>SUMIFS('Business - Dump'!$W:$W,'Business - Dump'!$F:$F,'Series Order '!$A9,'Business - Dump'!$A:$A,'Series Order '!E$1)</f>
        <v>6</v>
      </c>
      <c r="F9" s="3">
        <f>SUMIFS('Business - Dump'!$W:$W,'Business - Dump'!$F:$F,'Series Order '!$A9,'Business - Dump'!$A:$A,'Series Order '!F$1)</f>
        <v>7</v>
      </c>
      <c r="G9" s="3">
        <f>SUMIFS('Business - Dump'!$W:$W,'Business - Dump'!$F:$F,'Series Order '!$A9,'Business - Dump'!$A:$A,'Series Order '!G$1)</f>
        <v>17</v>
      </c>
      <c r="H9" s="3">
        <f>SUMIFS('Business - Dump'!$W:$W,'Business - Dump'!$F:$F,'Series Order '!$A9,'Business - Dump'!$A:$A,'Series Order '!H$1)</f>
        <v>1</v>
      </c>
      <c r="I9" s="3">
        <f>SUMIFS('Business - Dump'!$W:$W,'Business - Dump'!$F:$F,'Series Order '!$A9,'Business - Dump'!$A:$A,'Series Order '!I$1)</f>
        <v>2</v>
      </c>
      <c r="J9" s="3">
        <f>SUMIFS('Business - Dump'!$W:$W,'Business - Dump'!$F:$F,'Series Order '!$A9,'Business - Dump'!$A:$A,'Series Order '!J$1)</f>
        <v>4</v>
      </c>
      <c r="K9" s="3">
        <f>SUMIFS('Business - Dump'!$W:$W,'Business - Dump'!$F:$F,'Series Order '!$A9,'Business - Dump'!$A:$A,'Series Order '!K$1)</f>
        <v>3</v>
      </c>
      <c r="L9" s="3">
        <f>SUMIFS('Business - Dump'!$W:$W,'Business - Dump'!$F:$F,'Series Order '!$A9,'Business - Dump'!$A:$A,'Series Order '!L$1)</f>
        <v>10</v>
      </c>
      <c r="M9" s="3">
        <f>SUMIFS('Business - Dump'!$W:$W,'Business - Dump'!$F:$F,'Series Order '!$A9,'Business - Dump'!$A:$A,'Series Order '!M$1)</f>
        <v>7</v>
      </c>
      <c r="N9" s="3">
        <f>SUMIFS('Business - Dump'!$W:$W,'Business - Dump'!$F:$F,'Series Order '!$A9,'Business - Dump'!$A:$A,'Series Order '!N$1)</f>
        <v>0</v>
      </c>
      <c r="O9" s="3">
        <f t="shared" si="1"/>
        <v>-3</v>
      </c>
    </row>
    <row r="10">
      <c r="A10" s="19" t="s">
        <v>285</v>
      </c>
      <c r="B10" s="3">
        <f>SUMIFS('Business - Dump'!$W:$W,'Business - Dump'!$F:$F,'Series Order '!$A10,'Business - Dump'!$A:$A,'Series Order '!B$1)</f>
        <v>1</v>
      </c>
      <c r="C10" s="3">
        <f>SUMIFS('Business - Dump'!$W:$W,'Business - Dump'!$F:$F,'Series Order '!$A10,'Business - Dump'!$A:$A,'Series Order '!C$1)</f>
        <v>2</v>
      </c>
      <c r="D10" s="3">
        <f>SUMIFS('Business - Dump'!$W:$W,'Business - Dump'!$F:$F,'Series Order '!$A10,'Business - Dump'!$A:$A,'Series Order '!D$1)</f>
        <v>0</v>
      </c>
      <c r="E10" s="3">
        <f>SUMIFS('Business - Dump'!$W:$W,'Business - Dump'!$F:$F,'Series Order '!$A10,'Business - Dump'!$A:$A,'Series Order '!E$1)</f>
        <v>0</v>
      </c>
      <c r="F10" s="3">
        <f>SUMIFS('Business - Dump'!$W:$W,'Business - Dump'!$F:$F,'Series Order '!$A10,'Business - Dump'!$A:$A,'Series Order '!F$1)</f>
        <v>0</v>
      </c>
      <c r="G10" s="3">
        <f>SUMIFS('Business - Dump'!$W:$W,'Business - Dump'!$F:$F,'Series Order '!$A10,'Business - Dump'!$A:$A,'Series Order '!G$1)</f>
        <v>0</v>
      </c>
      <c r="H10" s="3">
        <f>SUMIFS('Business - Dump'!$W:$W,'Business - Dump'!$F:$F,'Series Order '!$A10,'Business - Dump'!$A:$A,'Series Order '!H$1)</f>
        <v>1</v>
      </c>
      <c r="I10" s="3">
        <f>SUMIFS('Business - Dump'!$W:$W,'Business - Dump'!$F:$F,'Series Order '!$A10,'Business - Dump'!$A:$A,'Series Order '!I$1)</f>
        <v>1</v>
      </c>
      <c r="J10" s="3">
        <f>SUMIFS('Business - Dump'!$W:$W,'Business - Dump'!$F:$F,'Series Order '!$A10,'Business - Dump'!$A:$A,'Series Order '!J$1)</f>
        <v>8</v>
      </c>
      <c r="K10" s="3">
        <f>SUMIFS('Business - Dump'!$W:$W,'Business - Dump'!$F:$F,'Series Order '!$A10,'Business - Dump'!$A:$A,'Series Order '!K$1)</f>
        <v>3</v>
      </c>
      <c r="L10" s="3">
        <f>SUMIFS('Business - Dump'!$W:$W,'Business - Dump'!$F:$F,'Series Order '!$A10,'Business - Dump'!$A:$A,'Series Order '!L$1)</f>
        <v>2</v>
      </c>
      <c r="M10" s="3">
        <f>SUMIFS('Business - Dump'!$W:$W,'Business - Dump'!$F:$F,'Series Order '!$A10,'Business - Dump'!$A:$A,'Series Order '!M$1)</f>
        <v>3</v>
      </c>
      <c r="N10" s="3">
        <f>SUMIFS('Business - Dump'!$W:$W,'Business - Dump'!$F:$F,'Series Order '!$A10,'Business - Dump'!$A:$A,'Series Order '!N$1)</f>
        <v>0</v>
      </c>
      <c r="O10" s="142">
        <f t="shared" si="1"/>
        <v>-3</v>
      </c>
    </row>
    <row r="11">
      <c r="A11" s="146" t="s">
        <v>286</v>
      </c>
      <c r="B11" s="3">
        <f>SUMIFS('Business - Dump'!$W:$W,'Business - Dump'!$F:$F,'Series Order '!$A11,'Business - Dump'!$A:$A,'Series Order '!B$1)</f>
        <v>0</v>
      </c>
      <c r="C11" s="3">
        <f>SUMIFS('Business - Dump'!$W:$W,'Business - Dump'!$F:$F,'Series Order '!$A11,'Business - Dump'!$A:$A,'Series Order '!C$1)</f>
        <v>9</v>
      </c>
      <c r="D11" s="3">
        <f>SUMIFS('Business - Dump'!$W:$W,'Business - Dump'!$F:$F,'Series Order '!$A11,'Business - Dump'!$A:$A,'Series Order '!D$1)</f>
        <v>13</v>
      </c>
      <c r="E11" s="3">
        <f>SUMIFS('Business - Dump'!$W:$W,'Business - Dump'!$F:$F,'Series Order '!$A11,'Business - Dump'!$A:$A,'Series Order '!E$1)</f>
        <v>27</v>
      </c>
      <c r="F11" s="3">
        <f>SUMIFS('Business - Dump'!$W:$W,'Business - Dump'!$F:$F,'Series Order '!$A11,'Business - Dump'!$A:$A,'Series Order '!F$1)</f>
        <v>22</v>
      </c>
      <c r="G11" s="3">
        <f>SUMIFS('Business - Dump'!$W:$W,'Business - Dump'!$F:$F,'Series Order '!$A11,'Business - Dump'!$A:$A,'Series Order '!G$1)</f>
        <v>29</v>
      </c>
      <c r="H11" s="3">
        <f>SUMIFS('Business - Dump'!$W:$W,'Business - Dump'!$F:$F,'Series Order '!$A11,'Business - Dump'!$A:$A,'Series Order '!H$1)</f>
        <v>27</v>
      </c>
      <c r="I11" s="3">
        <f>SUMIFS('Business - Dump'!$W:$W,'Business - Dump'!$F:$F,'Series Order '!$A11,'Business - Dump'!$A:$A,'Series Order '!I$1)</f>
        <v>15</v>
      </c>
      <c r="J11" s="3">
        <f>SUMIFS('Business - Dump'!$W:$W,'Business - Dump'!$F:$F,'Series Order '!$A11,'Business - Dump'!$A:$A,'Series Order '!J$1)</f>
        <v>3</v>
      </c>
      <c r="K11" s="3">
        <f>SUMIFS('Business - Dump'!$W:$W,'Business - Dump'!$F:$F,'Series Order '!$A11,'Business - Dump'!$A:$A,'Series Order '!K$1)</f>
        <v>3</v>
      </c>
      <c r="L11" s="3">
        <f>SUMIFS('Business - Dump'!$W:$W,'Business - Dump'!$F:$F,'Series Order '!$A11,'Business - Dump'!$A:$A,'Series Order '!L$1)</f>
        <v>1</v>
      </c>
      <c r="M11" s="3">
        <f>SUMIFS('Business - Dump'!$W:$W,'Business - Dump'!$F:$F,'Series Order '!$A11,'Business - Dump'!$A:$A,'Series Order '!M$1)</f>
        <v>1</v>
      </c>
      <c r="N11" s="3">
        <f>SUMIFS('Business - Dump'!$W:$W,'Business - Dump'!$F:$F,'Series Order '!$A11,'Business - Dump'!$A:$A,'Series Order '!N$1)</f>
        <v>0</v>
      </c>
      <c r="O11" s="142">
        <f t="shared" si="1"/>
        <v>-3</v>
      </c>
    </row>
    <row r="12">
      <c r="A12" s="19" t="s">
        <v>248</v>
      </c>
      <c r="B12" s="3">
        <f>SUMIFS('Business - Dump'!$W:$W,'Business - Dump'!$F:$F,'Series Order '!$A12,'Business - Dump'!$A:$A,'Series Order '!B$1)</f>
        <v>0</v>
      </c>
      <c r="C12" s="3">
        <f>SUMIFS('Business - Dump'!$W:$W,'Business - Dump'!$F:$F,'Series Order '!$A12,'Business - Dump'!$A:$A,'Series Order '!C$1)</f>
        <v>6</v>
      </c>
      <c r="D12" s="3">
        <f>SUMIFS('Business - Dump'!$W:$W,'Business - Dump'!$F:$F,'Series Order '!$A12,'Business - Dump'!$A:$A,'Series Order '!D$1)</f>
        <v>3</v>
      </c>
      <c r="E12" s="3">
        <f>SUMIFS('Business - Dump'!$W:$W,'Business - Dump'!$F:$F,'Series Order '!$A12,'Business - Dump'!$A:$A,'Series Order '!E$1)</f>
        <v>4</v>
      </c>
      <c r="F12" s="3">
        <f>SUMIFS('Business - Dump'!$W:$W,'Business - Dump'!$F:$F,'Series Order '!$A12,'Business - Dump'!$A:$A,'Series Order '!F$1)</f>
        <v>4</v>
      </c>
      <c r="G12" s="3">
        <f>SUMIFS('Business - Dump'!$W:$W,'Business - Dump'!$F:$F,'Series Order '!$A12,'Business - Dump'!$A:$A,'Series Order '!G$1)</f>
        <v>1</v>
      </c>
      <c r="H12" s="3">
        <f>SUMIFS('Business - Dump'!$W:$W,'Business - Dump'!$F:$F,'Series Order '!$A12,'Business - Dump'!$A:$A,'Series Order '!H$1)</f>
        <v>4</v>
      </c>
      <c r="I12" s="3">
        <f>SUMIFS('Business - Dump'!$W:$W,'Business - Dump'!$F:$F,'Series Order '!$A12,'Business - Dump'!$A:$A,'Series Order '!I$1)</f>
        <v>2</v>
      </c>
      <c r="J12" s="3">
        <f>SUMIFS('Business - Dump'!$W:$W,'Business - Dump'!$F:$F,'Series Order '!$A12,'Business - Dump'!$A:$A,'Series Order '!J$1)</f>
        <v>0</v>
      </c>
      <c r="K12" s="3">
        <f>SUMIFS('Business - Dump'!$W:$W,'Business - Dump'!$F:$F,'Series Order '!$A12,'Business - Dump'!$A:$A,'Series Order '!K$1)</f>
        <v>1</v>
      </c>
      <c r="L12" s="3">
        <f>SUMIFS('Business - Dump'!$W:$W,'Business - Dump'!$F:$F,'Series Order '!$A12,'Business - Dump'!$A:$A,'Series Order '!L$1)</f>
        <v>6</v>
      </c>
      <c r="M12" s="3">
        <f>SUMIFS('Business - Dump'!$W:$W,'Business - Dump'!$F:$F,'Series Order '!$A12,'Business - Dump'!$A:$A,'Series Order '!M$1)</f>
        <v>5</v>
      </c>
      <c r="N12" s="3">
        <f>SUMIFS('Business - Dump'!$W:$W,'Business - Dump'!$F:$F,'Series Order '!$A12,'Business - Dump'!$A:$A,'Series Order '!N$1)</f>
        <v>0</v>
      </c>
      <c r="O12" s="3">
        <f t="shared" si="1"/>
        <v>-1</v>
      </c>
    </row>
    <row r="13">
      <c r="A13" s="19" t="s">
        <v>288</v>
      </c>
      <c r="B13" s="3">
        <f>SUMIFS('Business - Dump'!$W:$W,'Business - Dump'!$F:$F,'Series Order '!$A13,'Business - Dump'!$A:$A,'Series Order '!B$1)</f>
        <v>0</v>
      </c>
      <c r="C13" s="3">
        <f>SUMIFS('Business - Dump'!$W:$W,'Business - Dump'!$F:$F,'Series Order '!$A13,'Business - Dump'!$A:$A,'Series Order '!C$1)</f>
        <v>3</v>
      </c>
      <c r="D13" s="3">
        <f>SUMIFS('Business - Dump'!$W:$W,'Business - Dump'!$F:$F,'Series Order '!$A13,'Business - Dump'!$A:$A,'Series Order '!D$1)</f>
        <v>0</v>
      </c>
      <c r="E13" s="3">
        <f>SUMIFS('Business - Dump'!$W:$W,'Business - Dump'!$F:$F,'Series Order '!$A13,'Business - Dump'!$A:$A,'Series Order '!E$1)</f>
        <v>1</v>
      </c>
      <c r="F13" s="3">
        <f>SUMIFS('Business - Dump'!$W:$W,'Business - Dump'!$F:$F,'Series Order '!$A13,'Business - Dump'!$A:$A,'Series Order '!F$1)</f>
        <v>2</v>
      </c>
      <c r="G13" s="3">
        <f>SUMIFS('Business - Dump'!$W:$W,'Business - Dump'!$F:$F,'Series Order '!$A13,'Business - Dump'!$A:$A,'Series Order '!G$1)</f>
        <v>2</v>
      </c>
      <c r="H13" s="3">
        <f>SUMIFS('Business - Dump'!$W:$W,'Business - Dump'!$F:$F,'Series Order '!$A13,'Business - Dump'!$A:$A,'Series Order '!H$1)</f>
        <v>4</v>
      </c>
      <c r="I13" s="3">
        <f>SUMIFS('Business - Dump'!$W:$W,'Business - Dump'!$F:$F,'Series Order '!$A13,'Business - Dump'!$A:$A,'Series Order '!I$1)</f>
        <v>4</v>
      </c>
      <c r="J13" s="3">
        <f>SUMIFS('Business - Dump'!$W:$W,'Business - Dump'!$F:$F,'Series Order '!$A13,'Business - Dump'!$A:$A,'Series Order '!J$1)</f>
        <v>4</v>
      </c>
      <c r="K13" s="3">
        <f>SUMIFS('Business - Dump'!$W:$W,'Business - Dump'!$F:$F,'Series Order '!$A13,'Business - Dump'!$A:$A,'Series Order '!K$1)</f>
        <v>6</v>
      </c>
      <c r="L13" s="3">
        <f>SUMIFS('Business - Dump'!$W:$W,'Business - Dump'!$F:$F,'Series Order '!$A13,'Business - Dump'!$A:$A,'Series Order '!L$1)</f>
        <v>0</v>
      </c>
      <c r="M13" s="3">
        <f>SUMIFS('Business - Dump'!$W:$W,'Business - Dump'!$F:$F,'Series Order '!$A13,'Business - Dump'!$A:$A,'Series Order '!M$1)</f>
        <v>1</v>
      </c>
      <c r="N13" s="3">
        <f>SUMIFS('Business - Dump'!$W:$W,'Business - Dump'!$F:$F,'Series Order '!$A13,'Business - Dump'!$A:$A,'Series Order '!N$1)</f>
        <v>0</v>
      </c>
      <c r="O13" s="142">
        <f t="shared" si="1"/>
        <v>-6</v>
      </c>
    </row>
    <row r="14">
      <c r="A14" s="19" t="s">
        <v>290</v>
      </c>
      <c r="B14" s="3">
        <f>SUMIFS('Business - Dump'!$W:$W,'Business - Dump'!$F:$F,'Series Order '!$A14,'Business - Dump'!$A:$A,'Series Order '!B$1)</f>
        <v>0</v>
      </c>
      <c r="C14" s="3">
        <f>SUMIFS('Business - Dump'!$W:$W,'Business - Dump'!$F:$F,'Series Order '!$A14,'Business - Dump'!$A:$A,'Series Order '!C$1)</f>
        <v>1</v>
      </c>
      <c r="D14" s="3">
        <f>SUMIFS('Business - Dump'!$W:$W,'Business - Dump'!$F:$F,'Series Order '!$A14,'Business - Dump'!$A:$A,'Series Order '!D$1)</f>
        <v>0</v>
      </c>
      <c r="E14" s="3">
        <f>SUMIFS('Business - Dump'!$W:$W,'Business - Dump'!$F:$F,'Series Order '!$A14,'Business - Dump'!$A:$A,'Series Order '!E$1)</f>
        <v>0</v>
      </c>
      <c r="F14" s="3">
        <f>SUMIFS('Business - Dump'!$W:$W,'Business - Dump'!$F:$F,'Series Order '!$A14,'Business - Dump'!$A:$A,'Series Order '!F$1)</f>
        <v>1</v>
      </c>
      <c r="G14" s="3">
        <f>SUMIFS('Business - Dump'!$W:$W,'Business - Dump'!$F:$F,'Series Order '!$A14,'Business - Dump'!$A:$A,'Series Order '!G$1)</f>
        <v>1</v>
      </c>
      <c r="H14" s="3">
        <f>SUMIFS('Business - Dump'!$W:$W,'Business - Dump'!$F:$F,'Series Order '!$A14,'Business - Dump'!$A:$A,'Series Order '!H$1)</f>
        <v>1</v>
      </c>
      <c r="I14" s="3">
        <f>SUMIFS('Business - Dump'!$W:$W,'Business - Dump'!$F:$F,'Series Order '!$A14,'Business - Dump'!$A:$A,'Series Order '!I$1)</f>
        <v>0</v>
      </c>
      <c r="J14" s="3">
        <f>SUMIFS('Business - Dump'!$W:$W,'Business - Dump'!$F:$F,'Series Order '!$A14,'Business - Dump'!$A:$A,'Series Order '!J$1)</f>
        <v>0</v>
      </c>
      <c r="K14" s="3">
        <f>SUMIFS('Business - Dump'!$W:$W,'Business - Dump'!$F:$F,'Series Order '!$A14,'Business - Dump'!$A:$A,'Series Order '!K$1)</f>
        <v>2</v>
      </c>
      <c r="L14" s="3">
        <f>SUMIFS('Business - Dump'!$W:$W,'Business - Dump'!$F:$F,'Series Order '!$A14,'Business - Dump'!$A:$A,'Series Order '!L$1)</f>
        <v>1</v>
      </c>
      <c r="M14" s="3">
        <f>SUMIFS('Business - Dump'!$W:$W,'Business - Dump'!$F:$F,'Series Order '!$A14,'Business - Dump'!$A:$A,'Series Order '!M$1)</f>
        <v>0</v>
      </c>
      <c r="N14" s="3">
        <f>SUMIFS('Business - Dump'!$W:$W,'Business - Dump'!$F:$F,'Series Order '!$A14,'Business - Dump'!$A:$A,'Series Order '!N$1)</f>
        <v>0</v>
      </c>
      <c r="O14" s="142">
        <f t="shared" si="1"/>
        <v>-2</v>
      </c>
    </row>
    <row r="15">
      <c r="A15" s="146" t="s">
        <v>158</v>
      </c>
      <c r="B15" s="3">
        <f>SUMIFS('Business - Dump'!$W:$W,'Business - Dump'!$F:$F,'Series Order '!$A15,'Business - Dump'!$A:$A,'Series Order '!B$1)</f>
        <v>0</v>
      </c>
      <c r="C15" s="3">
        <f>SUMIFS('Business - Dump'!$W:$W,'Business - Dump'!$F:$F,'Series Order '!$A15,'Business - Dump'!$A:$A,'Series Order '!C$1)</f>
        <v>1</v>
      </c>
      <c r="D15" s="3">
        <f>SUMIFS('Business - Dump'!$W:$W,'Business - Dump'!$F:$F,'Series Order '!$A15,'Business - Dump'!$A:$A,'Series Order '!D$1)</f>
        <v>2</v>
      </c>
      <c r="E15" s="3">
        <f>SUMIFS('Business - Dump'!$W:$W,'Business - Dump'!$F:$F,'Series Order '!$A15,'Business - Dump'!$A:$A,'Series Order '!E$1)</f>
        <v>2</v>
      </c>
      <c r="F15" s="3">
        <f>SUMIFS('Business - Dump'!$W:$W,'Business - Dump'!$F:$F,'Series Order '!$A15,'Business - Dump'!$A:$A,'Series Order '!F$1)</f>
        <v>2</v>
      </c>
      <c r="G15" s="3">
        <f>SUMIFS('Business - Dump'!$W:$W,'Business - Dump'!$F:$F,'Series Order '!$A15,'Business - Dump'!$A:$A,'Series Order '!G$1)</f>
        <v>3</v>
      </c>
      <c r="H15" s="3">
        <f>SUMIFS('Business - Dump'!$W:$W,'Business - Dump'!$F:$F,'Series Order '!$A15,'Business - Dump'!$A:$A,'Series Order '!H$1)</f>
        <v>1</v>
      </c>
      <c r="I15" s="3">
        <f>SUMIFS('Business - Dump'!$W:$W,'Business - Dump'!$F:$F,'Series Order '!$A15,'Business - Dump'!$A:$A,'Series Order '!I$1)</f>
        <v>3</v>
      </c>
      <c r="J15" s="3">
        <f>SUMIFS('Business - Dump'!$W:$W,'Business - Dump'!$F:$F,'Series Order '!$A15,'Business - Dump'!$A:$A,'Series Order '!J$1)</f>
        <v>2</v>
      </c>
      <c r="K15" s="3">
        <f>SUMIFS('Business - Dump'!$W:$W,'Business - Dump'!$F:$F,'Series Order '!$A15,'Business - Dump'!$A:$A,'Series Order '!K$1)</f>
        <v>15</v>
      </c>
      <c r="L15" s="3">
        <f>SUMIFS('Business - Dump'!$W:$W,'Business - Dump'!$F:$F,'Series Order '!$A15,'Business - Dump'!$A:$A,'Series Order '!L$1)</f>
        <v>42</v>
      </c>
      <c r="M15" s="3">
        <f>SUMIFS('Business - Dump'!$W:$W,'Business - Dump'!$F:$F,'Series Order '!$A15,'Business - Dump'!$A:$A,'Series Order '!M$1)</f>
        <v>24</v>
      </c>
      <c r="N15" s="3">
        <f>SUMIFS('Business - Dump'!$W:$W,'Business - Dump'!$F:$F,'Series Order '!$A15,'Business - Dump'!$A:$A,'Series Order '!N$1)</f>
        <v>0</v>
      </c>
      <c r="O15" s="142">
        <f t="shared" si="1"/>
        <v>-15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9" t="s">
        <v>292</v>
      </c>
      <c r="B16" s="3">
        <f>SUMIFS('Business - Dump'!$W:$W,'Business - Dump'!$F:$F,'Series Order '!$A16,'Business - Dump'!$A:$A,'Series Order '!B$1)</f>
        <v>0</v>
      </c>
      <c r="C16" s="3">
        <f>SUMIFS('Business - Dump'!$W:$W,'Business - Dump'!$F:$F,'Series Order '!$A16,'Business - Dump'!$A:$A,'Series Order '!C$1)</f>
        <v>2</v>
      </c>
      <c r="D16" s="3">
        <f>SUMIFS('Business - Dump'!$W:$W,'Business - Dump'!$F:$F,'Series Order '!$A16,'Business - Dump'!$A:$A,'Series Order '!D$1)</f>
        <v>0</v>
      </c>
      <c r="E16" s="3">
        <f>SUMIFS('Business - Dump'!$W:$W,'Business - Dump'!$F:$F,'Series Order '!$A16,'Business - Dump'!$A:$A,'Series Order '!E$1)</f>
        <v>4</v>
      </c>
      <c r="F16" s="3">
        <f>SUMIFS('Business - Dump'!$W:$W,'Business - Dump'!$F:$F,'Series Order '!$A16,'Business - Dump'!$A:$A,'Series Order '!F$1)</f>
        <v>17</v>
      </c>
      <c r="G16" s="3">
        <f>SUMIFS('Business - Dump'!$W:$W,'Business - Dump'!$F:$F,'Series Order '!$A16,'Business - Dump'!$A:$A,'Series Order '!G$1)</f>
        <v>10</v>
      </c>
      <c r="H16" s="3">
        <f>SUMIFS('Business - Dump'!$W:$W,'Business - Dump'!$F:$F,'Series Order '!$A16,'Business - Dump'!$A:$A,'Series Order '!H$1)</f>
        <v>18</v>
      </c>
      <c r="I16" s="3">
        <f>SUMIFS('Business - Dump'!$W:$W,'Business - Dump'!$F:$F,'Series Order '!$A16,'Business - Dump'!$A:$A,'Series Order '!I$1)</f>
        <v>18</v>
      </c>
      <c r="J16" s="3">
        <f>SUMIFS('Business - Dump'!$W:$W,'Business - Dump'!$F:$F,'Series Order '!$A16,'Business - Dump'!$A:$A,'Series Order '!J$1)</f>
        <v>19</v>
      </c>
      <c r="K16" s="3">
        <f>SUMIFS('Business - Dump'!$W:$W,'Business - Dump'!$F:$F,'Series Order '!$A16,'Business - Dump'!$A:$A,'Series Order '!K$1)</f>
        <v>26</v>
      </c>
      <c r="L16" s="3">
        <f>SUMIFS('Business - Dump'!$W:$W,'Business - Dump'!$F:$F,'Series Order '!$A16,'Business - Dump'!$A:$A,'Series Order '!L$1)</f>
        <v>34</v>
      </c>
      <c r="M16" s="3">
        <f>SUMIFS('Business - Dump'!$W:$W,'Business - Dump'!$F:$F,'Series Order '!$A16,'Business - Dump'!$A:$A,'Series Order '!M$1)</f>
        <v>40</v>
      </c>
      <c r="N16" s="3">
        <f>SUMIFS('Business - Dump'!$W:$W,'Business - Dump'!$F:$F,'Series Order '!$A16,'Business - Dump'!$A:$A,'Series Order '!N$1)</f>
        <v>0</v>
      </c>
      <c r="O16" s="142">
        <f t="shared" si="1"/>
        <v>-26</v>
      </c>
    </row>
    <row r="17">
      <c r="A17" s="19" t="s">
        <v>294</v>
      </c>
      <c r="B17" s="3">
        <f>SUMIFS('Business - Dump'!$W:$W,'Business - Dump'!$F:$F,'Series Order '!$A17,'Business - Dump'!$A:$A,'Series Order '!B$1)</f>
        <v>0</v>
      </c>
      <c r="C17" s="3">
        <f>SUMIFS('Business - Dump'!$W:$W,'Business - Dump'!$F:$F,'Series Order '!$A17,'Business - Dump'!$A:$A,'Series Order '!C$1)</f>
        <v>0</v>
      </c>
      <c r="D17" s="3">
        <f>SUMIFS('Business - Dump'!$W:$W,'Business - Dump'!$F:$F,'Series Order '!$A17,'Business - Dump'!$A:$A,'Series Order '!D$1)</f>
        <v>2</v>
      </c>
      <c r="E17" s="3">
        <f>SUMIFS('Business - Dump'!$W:$W,'Business - Dump'!$F:$F,'Series Order '!$A17,'Business - Dump'!$A:$A,'Series Order '!E$1)</f>
        <v>4</v>
      </c>
      <c r="F17" s="3">
        <f>SUMIFS('Business - Dump'!$W:$W,'Business - Dump'!$F:$F,'Series Order '!$A17,'Business - Dump'!$A:$A,'Series Order '!F$1)</f>
        <v>3</v>
      </c>
      <c r="G17" s="3">
        <f>SUMIFS('Business - Dump'!$W:$W,'Business - Dump'!$F:$F,'Series Order '!$A17,'Business - Dump'!$A:$A,'Series Order '!G$1)</f>
        <v>0</v>
      </c>
      <c r="H17" s="3">
        <f>SUMIFS('Business - Dump'!$W:$W,'Business - Dump'!$F:$F,'Series Order '!$A17,'Business - Dump'!$A:$A,'Series Order '!H$1)</f>
        <v>0</v>
      </c>
      <c r="I17" s="3">
        <f>SUMIFS('Business - Dump'!$W:$W,'Business - Dump'!$F:$F,'Series Order '!$A17,'Business - Dump'!$A:$A,'Series Order '!I$1)</f>
        <v>0</v>
      </c>
      <c r="J17" s="3">
        <f>SUMIFS('Business - Dump'!$W:$W,'Business - Dump'!$F:$F,'Series Order '!$A17,'Business - Dump'!$A:$A,'Series Order '!J$1)</f>
        <v>1</v>
      </c>
      <c r="K17" s="3">
        <f>SUMIFS('Business - Dump'!$W:$W,'Business - Dump'!$F:$F,'Series Order '!$A17,'Business - Dump'!$A:$A,'Series Order '!K$1)</f>
        <v>0</v>
      </c>
      <c r="L17" s="3">
        <f>SUMIFS('Business - Dump'!$W:$W,'Business - Dump'!$F:$F,'Series Order '!$A17,'Business - Dump'!$A:$A,'Series Order '!L$1)</f>
        <v>0</v>
      </c>
      <c r="M17" s="3">
        <f>SUMIFS('Business - Dump'!$W:$W,'Business - Dump'!$F:$F,'Series Order '!$A17,'Business - Dump'!$A:$A,'Series Order '!M$1)</f>
        <v>0</v>
      </c>
      <c r="N17" s="3">
        <f>SUMIFS('Business - Dump'!$W:$W,'Business - Dump'!$F:$F,'Series Order '!$A17,'Business - Dump'!$A:$A,'Series Order '!N$1)</f>
        <v>0</v>
      </c>
      <c r="O17" s="3">
        <f t="shared" si="1"/>
        <v>0</v>
      </c>
    </row>
    <row r="18">
      <c r="A18" s="146" t="s">
        <v>295</v>
      </c>
      <c r="B18" s="3">
        <f>SUMIFS('Business - Dump'!$W:$W,'Business - Dump'!$F:$F,'Series Order '!$A18,'Business - Dump'!$A:$A,'Series Order '!B$1)</f>
        <v>0</v>
      </c>
      <c r="C18" s="3">
        <f>SUMIFS('Business - Dump'!$W:$W,'Business - Dump'!$F:$F,'Series Order '!$A18,'Business - Dump'!$A:$A,'Series Order '!C$1)</f>
        <v>0</v>
      </c>
      <c r="D18" s="3">
        <f>SUMIFS('Business - Dump'!$W:$W,'Business - Dump'!$F:$F,'Series Order '!$A18,'Business - Dump'!$A:$A,'Series Order '!D$1)</f>
        <v>2</v>
      </c>
      <c r="E18" s="3">
        <f>SUMIFS('Business - Dump'!$W:$W,'Business - Dump'!$F:$F,'Series Order '!$A18,'Business - Dump'!$A:$A,'Series Order '!E$1)</f>
        <v>1</v>
      </c>
      <c r="F18" s="3">
        <f>SUMIFS('Business - Dump'!$W:$W,'Business - Dump'!$F:$F,'Series Order '!$A18,'Business - Dump'!$A:$A,'Series Order '!F$1)</f>
        <v>5</v>
      </c>
      <c r="G18" s="3">
        <f>SUMIFS('Business - Dump'!$W:$W,'Business - Dump'!$F:$F,'Series Order '!$A18,'Business - Dump'!$A:$A,'Series Order '!G$1)</f>
        <v>0</v>
      </c>
      <c r="H18" s="3">
        <f>SUMIFS('Business - Dump'!$W:$W,'Business - Dump'!$F:$F,'Series Order '!$A18,'Business - Dump'!$A:$A,'Series Order '!H$1)</f>
        <v>0</v>
      </c>
      <c r="I18" s="3">
        <f>SUMIFS('Business - Dump'!$W:$W,'Business - Dump'!$F:$F,'Series Order '!$A18,'Business - Dump'!$A:$A,'Series Order '!I$1)</f>
        <v>0</v>
      </c>
      <c r="J18" s="3">
        <f>SUMIFS('Business - Dump'!$W:$W,'Business - Dump'!$F:$F,'Series Order '!$A18,'Business - Dump'!$A:$A,'Series Order '!J$1)</f>
        <v>0</v>
      </c>
      <c r="K18" s="3">
        <f>SUMIFS('Business - Dump'!$W:$W,'Business - Dump'!$F:$F,'Series Order '!$A18,'Business - Dump'!$A:$A,'Series Order '!K$1)</f>
        <v>0</v>
      </c>
      <c r="L18" s="3">
        <f>SUMIFS('Business - Dump'!$W:$W,'Business - Dump'!$F:$F,'Series Order '!$A18,'Business - Dump'!$A:$A,'Series Order '!L$1)</f>
        <v>0</v>
      </c>
      <c r="M18" s="3">
        <f>SUMIFS('Business - Dump'!$W:$W,'Business - Dump'!$F:$F,'Series Order '!$A18,'Business - Dump'!$A:$A,'Series Order '!M$1)</f>
        <v>0</v>
      </c>
      <c r="N18" s="3">
        <f>SUMIFS('Business - Dump'!$W:$W,'Business - Dump'!$F:$F,'Series Order '!$A18,'Business - Dump'!$A:$A,'Series Order '!N$1)</f>
        <v>0</v>
      </c>
      <c r="O18" s="3">
        <f t="shared" si="1"/>
        <v>0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19" t="s">
        <v>297</v>
      </c>
      <c r="B19" s="3">
        <f>SUMIFS('Business - Dump'!$W:$W,'Business - Dump'!$F:$F,'Series Order '!$A19,'Business - Dump'!$A:$A,'Series Order '!B$1)</f>
        <v>0</v>
      </c>
      <c r="C19" s="3">
        <f>SUMIFS('Business - Dump'!$W:$W,'Business - Dump'!$F:$F,'Series Order '!$A19,'Business - Dump'!$A:$A,'Series Order '!C$1)</f>
        <v>0</v>
      </c>
      <c r="D19" s="3">
        <f>SUMIFS('Business - Dump'!$W:$W,'Business - Dump'!$F:$F,'Series Order '!$A19,'Business - Dump'!$A:$A,'Series Order '!D$1)</f>
        <v>1</v>
      </c>
      <c r="E19" s="3">
        <f>SUMIFS('Business - Dump'!$W:$W,'Business - Dump'!$F:$F,'Series Order '!$A19,'Business - Dump'!$A:$A,'Series Order '!E$1)</f>
        <v>9</v>
      </c>
      <c r="F19" s="3">
        <f>SUMIFS('Business - Dump'!$W:$W,'Business - Dump'!$F:$F,'Series Order '!$A19,'Business - Dump'!$A:$A,'Series Order '!F$1)</f>
        <v>15</v>
      </c>
      <c r="G19" s="3">
        <f>SUMIFS('Business - Dump'!$W:$W,'Business - Dump'!$F:$F,'Series Order '!$A19,'Business - Dump'!$A:$A,'Series Order '!G$1)</f>
        <v>17</v>
      </c>
      <c r="H19" s="3">
        <f>SUMIFS('Business - Dump'!$W:$W,'Business - Dump'!$F:$F,'Series Order '!$A19,'Business - Dump'!$A:$A,'Series Order '!H$1)</f>
        <v>25</v>
      </c>
      <c r="I19" s="3">
        <f>SUMIFS('Business - Dump'!$W:$W,'Business - Dump'!$F:$F,'Series Order '!$A19,'Business - Dump'!$A:$A,'Series Order '!I$1)</f>
        <v>15</v>
      </c>
      <c r="J19" s="3">
        <f>SUMIFS('Business - Dump'!$W:$W,'Business - Dump'!$F:$F,'Series Order '!$A19,'Business - Dump'!$A:$A,'Series Order '!J$1)</f>
        <v>28</v>
      </c>
      <c r="K19" s="3">
        <f>SUMIFS('Business - Dump'!$W:$W,'Business - Dump'!$F:$F,'Series Order '!$A19,'Business - Dump'!$A:$A,'Series Order '!K$1)</f>
        <v>12</v>
      </c>
      <c r="L19" s="3">
        <f>SUMIFS('Business - Dump'!$W:$W,'Business - Dump'!$F:$F,'Series Order '!$A19,'Business - Dump'!$A:$A,'Series Order '!L$1)</f>
        <v>42</v>
      </c>
      <c r="M19" s="3">
        <f>SUMIFS('Business - Dump'!$W:$W,'Business - Dump'!$F:$F,'Series Order '!$A19,'Business - Dump'!$A:$A,'Series Order '!M$1)</f>
        <v>49</v>
      </c>
      <c r="N19" s="3">
        <f>SUMIFS('Business - Dump'!$W:$W,'Business - Dump'!$F:$F,'Series Order '!$A19,'Business - Dump'!$A:$A,'Series Order '!N$1)</f>
        <v>0</v>
      </c>
      <c r="O19" s="142">
        <f t="shared" si="1"/>
        <v>-12</v>
      </c>
    </row>
    <row r="20">
      <c r="A20" s="19" t="s">
        <v>299</v>
      </c>
      <c r="B20" s="3">
        <f>SUMIFS('Business - Dump'!$W:$W,'Business - Dump'!$F:$F,'Series Order '!$A20,'Business - Dump'!$A:$A,'Series Order '!B$1)</f>
        <v>0</v>
      </c>
      <c r="C20" s="3">
        <f>SUMIFS('Business - Dump'!$W:$W,'Business - Dump'!$F:$F,'Series Order '!$A20,'Business - Dump'!$A:$A,'Series Order '!C$1)</f>
        <v>0</v>
      </c>
      <c r="D20" s="3">
        <f>SUMIFS('Business - Dump'!$W:$W,'Business - Dump'!$F:$F,'Series Order '!$A20,'Business - Dump'!$A:$A,'Series Order '!D$1)</f>
        <v>0</v>
      </c>
      <c r="E20" s="3">
        <f>SUMIFS('Business - Dump'!$W:$W,'Business - Dump'!$F:$F,'Series Order '!$A20,'Business - Dump'!$A:$A,'Series Order '!E$1)</f>
        <v>0</v>
      </c>
      <c r="F20" s="3">
        <f>SUMIFS('Business - Dump'!$W:$W,'Business - Dump'!$F:$F,'Series Order '!$A20,'Business - Dump'!$A:$A,'Series Order '!F$1)</f>
        <v>10</v>
      </c>
      <c r="G20" s="3">
        <f>SUMIFS('Business - Dump'!$W:$W,'Business - Dump'!$F:$F,'Series Order '!$A20,'Business - Dump'!$A:$A,'Series Order '!G$1)</f>
        <v>25</v>
      </c>
      <c r="H20" s="3">
        <f>SUMIFS('Business - Dump'!$W:$W,'Business - Dump'!$F:$F,'Series Order '!$A20,'Business - Dump'!$A:$A,'Series Order '!H$1)</f>
        <v>67</v>
      </c>
      <c r="I20" s="3">
        <f>SUMIFS('Business - Dump'!$W:$W,'Business - Dump'!$F:$F,'Series Order '!$A20,'Business - Dump'!$A:$A,'Series Order '!I$1)</f>
        <v>15</v>
      </c>
      <c r="J20" s="3">
        <f>SUMIFS('Business - Dump'!$W:$W,'Business - Dump'!$F:$F,'Series Order '!$A20,'Business - Dump'!$A:$A,'Series Order '!J$1)</f>
        <v>17</v>
      </c>
      <c r="K20" s="3">
        <f>SUMIFS('Business - Dump'!$W:$W,'Business - Dump'!$F:$F,'Series Order '!$A20,'Business - Dump'!$A:$A,'Series Order '!K$1)</f>
        <v>15</v>
      </c>
      <c r="L20" s="3">
        <f>SUMIFS('Business - Dump'!$W:$W,'Business - Dump'!$F:$F,'Series Order '!$A20,'Business - Dump'!$A:$A,'Series Order '!L$1)</f>
        <v>47</v>
      </c>
      <c r="M20" s="3">
        <f>SUMIFS('Business - Dump'!$W:$W,'Business - Dump'!$F:$F,'Series Order '!$A20,'Business - Dump'!$A:$A,'Series Order '!M$1)</f>
        <v>32</v>
      </c>
      <c r="N20" s="3">
        <f>SUMIFS('Business - Dump'!$W:$W,'Business - Dump'!$F:$F,'Series Order '!$A20,'Business - Dump'!$A:$A,'Series Order '!N$1)</f>
        <v>0</v>
      </c>
      <c r="O20" s="3">
        <f t="shared" si="1"/>
        <v>-15</v>
      </c>
    </row>
    <row r="21" ht="15.75" customHeight="1">
      <c r="A21" s="19" t="s">
        <v>300</v>
      </c>
      <c r="B21" s="3">
        <f>SUMIFS('Business - Dump'!$W:$W,'Business - Dump'!$F:$F,'Series Order '!$A21,'Business - Dump'!$A:$A,'Series Order '!B$1)</f>
        <v>0</v>
      </c>
      <c r="C21" s="3">
        <f>SUMIFS('Business - Dump'!$W:$W,'Business - Dump'!$F:$F,'Series Order '!$A21,'Business - Dump'!$A:$A,'Series Order '!C$1)</f>
        <v>0</v>
      </c>
      <c r="D21" s="3">
        <f>SUMIFS('Business - Dump'!$W:$W,'Business - Dump'!$F:$F,'Series Order '!$A21,'Business - Dump'!$A:$A,'Series Order '!D$1)</f>
        <v>0</v>
      </c>
      <c r="E21" s="3">
        <f>SUMIFS('Business - Dump'!$W:$W,'Business - Dump'!$F:$F,'Series Order '!$A21,'Business - Dump'!$A:$A,'Series Order '!E$1)</f>
        <v>0</v>
      </c>
      <c r="F21" s="3">
        <f>SUMIFS('Business - Dump'!$W:$W,'Business - Dump'!$F:$F,'Series Order '!$A21,'Business - Dump'!$A:$A,'Series Order '!F$1)</f>
        <v>0</v>
      </c>
      <c r="G21" s="3">
        <f>SUMIFS('Business - Dump'!$W:$W,'Business - Dump'!$F:$F,'Series Order '!$A21,'Business - Dump'!$A:$A,'Series Order '!G$1)</f>
        <v>0</v>
      </c>
      <c r="H21" s="3">
        <f>SUMIFS('Business - Dump'!$W:$W,'Business - Dump'!$F:$F,'Series Order '!$A21,'Business - Dump'!$A:$A,'Series Order '!H$1)</f>
        <v>0</v>
      </c>
      <c r="I21" s="3">
        <f>SUMIFS('Business - Dump'!$W:$W,'Business - Dump'!$F:$F,'Series Order '!$A21,'Business - Dump'!$A:$A,'Series Order '!I$1)</f>
        <v>0</v>
      </c>
      <c r="J21" s="3">
        <f>SUMIFS('Business - Dump'!$W:$W,'Business - Dump'!$F:$F,'Series Order '!$A21,'Business - Dump'!$A:$A,'Series Order '!J$1)</f>
        <v>0</v>
      </c>
      <c r="K21" s="3">
        <f>SUMIFS('Business - Dump'!$W:$W,'Business - Dump'!$F:$F,'Series Order '!$A21,'Business - Dump'!$A:$A,'Series Order '!K$1)</f>
        <v>0</v>
      </c>
      <c r="L21" s="3">
        <f>SUMIFS('Business - Dump'!$W:$W,'Business - Dump'!$F:$F,'Series Order '!$A21,'Business - Dump'!$A:$A,'Series Order '!L$1)</f>
        <v>0</v>
      </c>
      <c r="M21" s="3">
        <f>SUMIFS('Business - Dump'!$W:$W,'Business - Dump'!$F:$F,'Series Order '!$A21,'Business - Dump'!$A:$A,'Series Order '!M$1)</f>
        <v>0</v>
      </c>
      <c r="N21" s="3">
        <f>SUMIFS('Business - Dump'!$W:$W,'Business - Dump'!$F:$F,'Series Order '!$A21,'Business - Dump'!$A:$A,'Series Order '!N$1)</f>
        <v>0</v>
      </c>
      <c r="O21" s="3">
        <f t="shared" si="1"/>
        <v>0</v>
      </c>
    </row>
    <row r="22" ht="15.75" customHeight="1">
      <c r="A22" s="19" t="s">
        <v>240</v>
      </c>
      <c r="B22" s="3">
        <f>SUMIFS('Business - Dump'!$W:$W,'Business - Dump'!$F:$F,'Series Order '!$A22,'Business - Dump'!$A:$A,'Series Order '!B$1)</f>
        <v>0</v>
      </c>
      <c r="C22" s="3">
        <f>SUMIFS('Business - Dump'!$W:$W,'Business - Dump'!$F:$F,'Series Order '!$A22,'Business - Dump'!$A:$A,'Series Order '!C$1)</f>
        <v>0</v>
      </c>
      <c r="D22" s="3">
        <f>SUMIFS('Business - Dump'!$W:$W,'Business - Dump'!$F:$F,'Series Order '!$A22,'Business - Dump'!$A:$A,'Series Order '!D$1)</f>
        <v>0</v>
      </c>
      <c r="E22" s="3">
        <f>SUMIFS('Business - Dump'!$W:$W,'Business - Dump'!$F:$F,'Series Order '!$A22,'Business - Dump'!$A:$A,'Series Order '!E$1)</f>
        <v>0</v>
      </c>
      <c r="F22" s="3">
        <f>SUMIFS('Business - Dump'!$W:$W,'Business - Dump'!$F:$F,'Series Order '!$A22,'Business - Dump'!$A:$A,'Series Order '!F$1)</f>
        <v>0</v>
      </c>
      <c r="G22" s="3">
        <f>SUMIFS('Business - Dump'!$W:$W,'Business - Dump'!$F:$F,'Series Order '!$A22,'Business - Dump'!$A:$A,'Series Order '!G$1)</f>
        <v>0</v>
      </c>
      <c r="H22" s="3">
        <f>SUMIFS('Business - Dump'!$W:$W,'Business - Dump'!$F:$F,'Series Order '!$A22,'Business - Dump'!$A:$A,'Series Order '!H$1)</f>
        <v>0</v>
      </c>
      <c r="I22" s="3">
        <f>SUMIFS('Business - Dump'!$W:$W,'Business - Dump'!$F:$F,'Series Order '!$A22,'Business - Dump'!$A:$A,'Series Order '!I$1)</f>
        <v>5</v>
      </c>
      <c r="J22" s="3">
        <f>SUMIFS('Business - Dump'!$W:$W,'Business - Dump'!$F:$F,'Series Order '!$A22,'Business - Dump'!$A:$A,'Series Order '!J$1)</f>
        <v>7</v>
      </c>
      <c r="K22" s="3">
        <f>SUMIFS('Business - Dump'!$W:$W,'Business - Dump'!$F:$F,'Series Order '!$A22,'Business - Dump'!$A:$A,'Series Order '!K$1)</f>
        <v>19</v>
      </c>
      <c r="L22" s="3">
        <f>SUMIFS('Business - Dump'!$W:$W,'Business - Dump'!$F:$F,'Series Order '!$A22,'Business - Dump'!$A:$A,'Series Order '!L$1)</f>
        <v>21</v>
      </c>
      <c r="M22" s="3">
        <f>SUMIFS('Business - Dump'!$W:$W,'Business - Dump'!$F:$F,'Series Order '!$A22,'Business - Dump'!$A:$A,'Series Order '!M$1)</f>
        <v>4</v>
      </c>
      <c r="N22" s="3">
        <f>SUMIFS('Business - Dump'!$W:$W,'Business - Dump'!$F:$F,'Series Order '!$A22,'Business - Dump'!$A:$A,'Series Order '!N$1)</f>
        <v>0</v>
      </c>
      <c r="O22" s="142">
        <f t="shared" si="1"/>
        <v>-19</v>
      </c>
    </row>
    <row r="23" ht="15.75" customHeight="1">
      <c r="A23" s="19" t="s">
        <v>303</v>
      </c>
      <c r="B23" s="3">
        <f>SUMIFS('Business - Dump'!$W:$W,'Business - Dump'!$F:$F,'Series Order '!$A23,'Business - Dump'!$A:$A,'Series Order '!B$1)</f>
        <v>0</v>
      </c>
      <c r="C23" s="3">
        <f>SUMIFS('Business - Dump'!$W:$W,'Business - Dump'!$F:$F,'Series Order '!$A23,'Business - Dump'!$A:$A,'Series Order '!C$1)</f>
        <v>0</v>
      </c>
      <c r="D23" s="3">
        <f>SUMIFS('Business - Dump'!$W:$W,'Business - Dump'!$F:$F,'Series Order '!$A23,'Business - Dump'!$A:$A,'Series Order '!D$1)</f>
        <v>0</v>
      </c>
      <c r="E23" s="3">
        <f>SUMIFS('Business - Dump'!$W:$W,'Business - Dump'!$F:$F,'Series Order '!$A23,'Business - Dump'!$A:$A,'Series Order '!E$1)</f>
        <v>0</v>
      </c>
      <c r="F23" s="3">
        <f>SUMIFS('Business - Dump'!$W:$W,'Business - Dump'!$F:$F,'Series Order '!$A23,'Business - Dump'!$A:$A,'Series Order '!F$1)</f>
        <v>0</v>
      </c>
      <c r="G23" s="3">
        <f>SUMIFS('Business - Dump'!$W:$W,'Business - Dump'!$F:$F,'Series Order '!$A23,'Business - Dump'!$A:$A,'Series Order '!G$1)</f>
        <v>0</v>
      </c>
      <c r="H23" s="3">
        <f>SUMIFS('Business - Dump'!$W:$W,'Business - Dump'!$F:$F,'Series Order '!$A23,'Business - Dump'!$A:$A,'Series Order '!H$1)</f>
        <v>0</v>
      </c>
      <c r="I23" s="3">
        <f>SUMIFS('Business - Dump'!$W:$W,'Business - Dump'!$F:$F,'Series Order '!$A23,'Business - Dump'!$A:$A,'Series Order '!I$1)</f>
        <v>0</v>
      </c>
      <c r="J23" s="3">
        <f>SUMIFS('Business - Dump'!$W:$W,'Business - Dump'!$F:$F,'Series Order '!$A23,'Business - Dump'!$A:$A,'Series Order '!J$1)</f>
        <v>0</v>
      </c>
      <c r="K23" s="3">
        <f>SUMIFS('Business - Dump'!$W:$W,'Business - Dump'!$F:$F,'Series Order '!$A23,'Business - Dump'!$A:$A,'Series Order '!K$1)</f>
        <v>0</v>
      </c>
      <c r="L23" s="3">
        <f>SUMIFS('Business - Dump'!$W:$W,'Business - Dump'!$F:$F,'Series Order '!$A23,'Business - Dump'!$A:$A,'Series Order '!L$1)</f>
        <v>0</v>
      </c>
      <c r="M23" s="3">
        <f>SUMIFS('Business - Dump'!$W:$W,'Business - Dump'!$F:$F,'Series Order '!$A23,'Business - Dump'!$A:$A,'Series Order '!M$1)</f>
        <v>1</v>
      </c>
      <c r="N23" s="3">
        <f>SUMIFS('Business - Dump'!$W:$W,'Business - Dump'!$F:$F,'Series Order '!$A23,'Business - Dump'!$A:$A,'Series Order '!N$1)</f>
        <v>0</v>
      </c>
      <c r="O23" s="3">
        <f t="shared" si="1"/>
        <v>0</v>
      </c>
    </row>
    <row r="24" ht="15.75" customHeight="1">
      <c r="A24" s="19" t="s">
        <v>217</v>
      </c>
      <c r="B24" s="3">
        <f>SUMIFS('Business - Dump'!$W:$W,'Business - Dump'!$F:$F,'Series Order '!$A24,'Business - Dump'!$A:$A,'Series Order '!B$1)</f>
        <v>0</v>
      </c>
      <c r="C24" s="3">
        <f>SUMIFS('Business - Dump'!$W:$W,'Business - Dump'!$F:$F,'Series Order '!$A24,'Business - Dump'!$A:$A,'Series Order '!C$1)</f>
        <v>0</v>
      </c>
      <c r="D24" s="3">
        <f>SUMIFS('Business - Dump'!$W:$W,'Business - Dump'!$F:$F,'Series Order '!$A24,'Business - Dump'!$A:$A,'Series Order '!D$1)</f>
        <v>0</v>
      </c>
      <c r="E24" s="3">
        <f>SUMIFS('Business - Dump'!$W:$W,'Business - Dump'!$F:$F,'Series Order '!$A24,'Business - Dump'!$A:$A,'Series Order '!E$1)</f>
        <v>0</v>
      </c>
      <c r="F24" s="3">
        <f>SUMIFS('Business - Dump'!$W:$W,'Business - Dump'!$F:$F,'Series Order '!$A24,'Business - Dump'!$A:$A,'Series Order '!F$1)</f>
        <v>0</v>
      </c>
      <c r="G24" s="3">
        <f>SUMIFS('Business - Dump'!$W:$W,'Business - Dump'!$F:$F,'Series Order '!$A24,'Business - Dump'!$A:$A,'Series Order '!G$1)</f>
        <v>0</v>
      </c>
      <c r="H24" s="3">
        <f>SUMIFS('Business - Dump'!$W:$W,'Business - Dump'!$F:$F,'Series Order '!$A24,'Business - Dump'!$A:$A,'Series Order '!H$1)</f>
        <v>0</v>
      </c>
      <c r="I24" s="3">
        <f>SUMIFS('Business - Dump'!$W:$W,'Business - Dump'!$F:$F,'Series Order '!$A24,'Business - Dump'!$A:$A,'Series Order '!I$1)</f>
        <v>0</v>
      </c>
      <c r="J24" s="3">
        <f>SUMIFS('Business - Dump'!$W:$W,'Business - Dump'!$F:$F,'Series Order '!$A24,'Business - Dump'!$A:$A,'Series Order '!J$1)</f>
        <v>0</v>
      </c>
      <c r="K24" s="3">
        <f>SUMIFS('Business - Dump'!$W:$W,'Business - Dump'!$F:$F,'Series Order '!$A24,'Business - Dump'!$A:$A,'Series Order '!K$1)</f>
        <v>0</v>
      </c>
      <c r="L24" s="3">
        <f>SUMIFS('Business - Dump'!$W:$W,'Business - Dump'!$F:$F,'Series Order '!$A24,'Business - Dump'!$A:$A,'Series Order '!L$1)</f>
        <v>0</v>
      </c>
      <c r="M24" s="3">
        <f>SUMIFS('Business - Dump'!$W:$W,'Business - Dump'!$F:$F,'Series Order '!$A24,'Business - Dump'!$A:$A,'Series Order '!M$1)</f>
        <v>0</v>
      </c>
      <c r="N24" s="3">
        <f>SUMIFS('Business - Dump'!$W:$W,'Business - Dump'!$F:$F,'Series Order '!$A24,'Business - Dump'!$A:$A,'Series Order '!N$1)</f>
        <v>0</v>
      </c>
      <c r="O24" s="3">
        <f t="shared" si="1"/>
        <v>0</v>
      </c>
    </row>
    <row r="25" ht="15.75" customHeight="1">
      <c r="A25" s="19" t="s">
        <v>305</v>
      </c>
      <c r="B25" s="3">
        <f>SUMIFS('Business - Dump'!$W:$W,'Business - Dump'!$F:$F,'Series Order '!$A25,'Business - Dump'!$A:$A,'Series Order '!B$1)</f>
        <v>0</v>
      </c>
      <c r="C25" s="3">
        <f>SUMIFS('Business - Dump'!$W:$W,'Business - Dump'!$F:$F,'Series Order '!$A25,'Business - Dump'!$A:$A,'Series Order '!C$1)</f>
        <v>0</v>
      </c>
      <c r="D25" s="3">
        <f>SUMIFS('Business - Dump'!$W:$W,'Business - Dump'!$F:$F,'Series Order '!$A25,'Business - Dump'!$A:$A,'Series Order '!D$1)</f>
        <v>0</v>
      </c>
      <c r="E25" s="3">
        <f>SUMIFS('Business - Dump'!$W:$W,'Business - Dump'!$F:$F,'Series Order '!$A25,'Business - Dump'!$A:$A,'Series Order '!E$1)</f>
        <v>0</v>
      </c>
      <c r="F25" s="3">
        <f>SUMIFS('Business - Dump'!$W:$W,'Business - Dump'!$F:$F,'Series Order '!$A25,'Business - Dump'!$A:$A,'Series Order '!F$1)</f>
        <v>0</v>
      </c>
      <c r="G25" s="3">
        <f>SUMIFS('Business - Dump'!$W:$W,'Business - Dump'!$F:$F,'Series Order '!$A25,'Business - Dump'!$A:$A,'Series Order '!G$1)</f>
        <v>0</v>
      </c>
      <c r="H25" s="3">
        <f>SUMIFS('Business - Dump'!$W:$W,'Business - Dump'!$F:$F,'Series Order '!$A25,'Business - Dump'!$A:$A,'Series Order '!H$1)</f>
        <v>0</v>
      </c>
      <c r="I25" s="3">
        <f>SUMIFS('Business - Dump'!$W:$W,'Business - Dump'!$F:$F,'Series Order '!$A25,'Business - Dump'!$A:$A,'Series Order '!I$1)</f>
        <v>0</v>
      </c>
      <c r="J25" s="3">
        <f>SUMIFS('Business - Dump'!$W:$W,'Business - Dump'!$F:$F,'Series Order '!$A25,'Business - Dump'!$A:$A,'Series Order '!J$1)</f>
        <v>0</v>
      </c>
      <c r="K25" s="3">
        <f>SUMIFS('Business - Dump'!$W:$W,'Business - Dump'!$F:$F,'Series Order '!$A25,'Business - Dump'!$A:$A,'Series Order '!K$1)</f>
        <v>0</v>
      </c>
      <c r="L25" s="3">
        <f>SUMIFS('Business - Dump'!$W:$W,'Business - Dump'!$F:$F,'Series Order '!$A25,'Business - Dump'!$A:$A,'Series Order '!L$1)</f>
        <v>0</v>
      </c>
      <c r="M25" s="3">
        <f>SUMIFS('Business - Dump'!$W:$W,'Business - Dump'!$F:$F,'Series Order '!$A25,'Business - Dump'!$A:$A,'Series Order '!M$1)</f>
        <v>0</v>
      </c>
      <c r="N25" s="3">
        <f>SUMIFS('Business - Dump'!$W:$W,'Business - Dump'!$F:$F,'Series Order '!$A25,'Business - Dump'!$A:$A,'Series Order '!N$1)</f>
        <v>0</v>
      </c>
      <c r="O25" s="3">
        <f t="shared" si="1"/>
        <v>0</v>
      </c>
    </row>
    <row r="26" ht="15.75" customHeight="1">
      <c r="A26" s="19"/>
      <c r="B26" s="25">
        <f t="shared" ref="B26:N26" si="2">SUM(B2:B25)</f>
        <v>107</v>
      </c>
      <c r="C26" s="25">
        <f t="shared" si="2"/>
        <v>214</v>
      </c>
      <c r="D26" s="25">
        <f t="shared" si="2"/>
        <v>156</v>
      </c>
      <c r="E26" s="25">
        <f t="shared" si="2"/>
        <v>228</v>
      </c>
      <c r="F26" s="25">
        <f t="shared" si="2"/>
        <v>307</v>
      </c>
      <c r="G26" s="25">
        <f t="shared" si="2"/>
        <v>280</v>
      </c>
      <c r="H26" s="25">
        <f t="shared" si="2"/>
        <v>390</v>
      </c>
      <c r="I26" s="25">
        <f t="shared" si="2"/>
        <v>313</v>
      </c>
      <c r="J26" s="25">
        <f t="shared" si="2"/>
        <v>411</v>
      </c>
      <c r="K26" s="25">
        <f t="shared" si="2"/>
        <v>386</v>
      </c>
      <c r="L26" s="25">
        <f t="shared" si="2"/>
        <v>683</v>
      </c>
      <c r="M26" s="25">
        <f t="shared" si="2"/>
        <v>590</v>
      </c>
      <c r="N26" s="25">
        <f t="shared" si="2"/>
        <v>0</v>
      </c>
      <c r="O26" s="149">
        <f t="shared" si="1"/>
        <v>-386</v>
      </c>
    </row>
    <row r="27" ht="15.75" customHeight="1">
      <c r="A27" s="1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50"/>
    </row>
    <row r="29" ht="15.75" customHeight="1">
      <c r="A29" s="150"/>
    </row>
    <row r="30" ht="15.75" customHeight="1">
      <c r="A30" s="150"/>
    </row>
    <row r="31" ht="15.75" customHeight="1">
      <c r="A31" s="150"/>
    </row>
    <row r="32" ht="15.75" customHeight="1">
      <c r="A32" s="150"/>
    </row>
    <row r="33" ht="15.75" customHeight="1">
      <c r="A33" s="150"/>
    </row>
    <row r="34" ht="15.75" customHeight="1">
      <c r="A34" s="150"/>
    </row>
    <row r="35" ht="15.75" customHeight="1">
      <c r="A35" s="150"/>
    </row>
    <row r="36" ht="15.75" customHeight="1">
      <c r="A36" s="150"/>
    </row>
    <row r="37" ht="15.75" customHeight="1">
      <c r="A37" s="150"/>
    </row>
    <row r="38" ht="15.75" customHeight="1">
      <c r="A38" s="150"/>
    </row>
    <row r="39" ht="15.75" customHeight="1">
      <c r="A39" s="150"/>
    </row>
    <row r="40" ht="15.75" customHeight="1">
      <c r="A40" s="150"/>
    </row>
    <row r="41" ht="15.75" customHeight="1">
      <c r="A41" s="150"/>
    </row>
    <row r="42" ht="15.75" customHeight="1">
      <c r="A42" s="150"/>
    </row>
    <row r="43" ht="15.75" customHeight="1">
      <c r="A43" s="150"/>
    </row>
    <row r="44" ht="15.75" customHeight="1">
      <c r="A44" s="150"/>
    </row>
    <row r="45" ht="15.75" customHeight="1">
      <c r="A45" s="150"/>
    </row>
    <row r="46" ht="15.75" customHeight="1">
      <c r="A46" s="150"/>
    </row>
    <row r="47" ht="15.75" customHeight="1">
      <c r="A47" s="150"/>
    </row>
    <row r="48" ht="15.75" customHeight="1">
      <c r="A48" s="150"/>
    </row>
    <row r="49" ht="15.75" customHeight="1">
      <c r="A49" s="150"/>
    </row>
    <row r="50" ht="15.75" customHeight="1">
      <c r="A50" s="150"/>
    </row>
    <row r="51" ht="15.75" customHeight="1">
      <c r="A51" s="150"/>
    </row>
    <row r="52" ht="15.75" customHeight="1">
      <c r="A52" s="150"/>
    </row>
    <row r="53" ht="15.75" customHeight="1">
      <c r="A53" s="150"/>
    </row>
    <row r="54" ht="15.75" customHeight="1">
      <c r="A54" s="150"/>
    </row>
    <row r="55" ht="15.75" customHeight="1">
      <c r="A55" s="150"/>
    </row>
    <row r="56" ht="15.75" customHeight="1">
      <c r="A56" s="150"/>
    </row>
    <row r="57" ht="15.75" customHeight="1">
      <c r="A57" s="150"/>
    </row>
    <row r="58" ht="15.75" customHeight="1">
      <c r="A58" s="150"/>
    </row>
    <row r="59" ht="15.75" customHeight="1">
      <c r="A59" s="150"/>
    </row>
    <row r="60" ht="15.75" customHeight="1">
      <c r="A60" s="150"/>
    </row>
    <row r="61" ht="15.75" customHeight="1">
      <c r="A61" s="150"/>
    </row>
    <row r="62" ht="15.75" customHeight="1">
      <c r="A62" s="150"/>
    </row>
    <row r="63" ht="15.75" customHeight="1">
      <c r="A63" s="150"/>
    </row>
    <row r="64" ht="15.75" customHeight="1">
      <c r="A64" s="150"/>
    </row>
    <row r="65" ht="15.75" customHeight="1">
      <c r="A65" s="150"/>
    </row>
    <row r="66" ht="15.75" customHeight="1">
      <c r="A66" s="150"/>
    </row>
    <row r="67" ht="15.75" customHeight="1">
      <c r="A67" s="150"/>
    </row>
    <row r="68" ht="15.75" customHeight="1">
      <c r="A68" s="150"/>
    </row>
    <row r="69" ht="15.75" customHeight="1">
      <c r="A69" s="150"/>
    </row>
    <row r="70" ht="15.75" customHeight="1">
      <c r="A70" s="150"/>
    </row>
    <row r="71" ht="15.75" customHeight="1">
      <c r="A71" s="150"/>
    </row>
    <row r="72" ht="15.75" customHeight="1">
      <c r="A72" s="150"/>
    </row>
    <row r="73" ht="15.75" customHeight="1">
      <c r="A73" s="150"/>
    </row>
    <row r="74" ht="15.75" customHeight="1">
      <c r="A74" s="150"/>
    </row>
    <row r="75" ht="15.75" customHeight="1">
      <c r="A75" s="150"/>
    </row>
    <row r="76" ht="15.75" customHeight="1">
      <c r="A76" s="150"/>
    </row>
    <row r="77" ht="15.75" customHeight="1">
      <c r="A77" s="150"/>
    </row>
    <row r="78" ht="15.75" customHeight="1">
      <c r="A78" s="150"/>
    </row>
    <row r="79" ht="15.75" customHeight="1">
      <c r="A79" s="150"/>
    </row>
    <row r="80" ht="15.75" customHeight="1">
      <c r="A80" s="150"/>
    </row>
    <row r="81" ht="15.75" customHeight="1">
      <c r="A81" s="150"/>
    </row>
    <row r="82" ht="15.75" customHeight="1">
      <c r="A82" s="150"/>
    </row>
    <row r="83" ht="15.75" customHeight="1">
      <c r="A83" s="150"/>
    </row>
    <row r="84" ht="15.75" customHeight="1">
      <c r="A84" s="150"/>
    </row>
    <row r="85" ht="15.75" customHeight="1">
      <c r="A85" s="150"/>
    </row>
    <row r="86" ht="15.75" customHeight="1">
      <c r="A86" s="150"/>
    </row>
    <row r="87" ht="15.75" customHeight="1">
      <c r="A87" s="150"/>
    </row>
    <row r="88" ht="15.75" customHeight="1">
      <c r="A88" s="150"/>
    </row>
    <row r="89" ht="15.75" customHeight="1">
      <c r="A89" s="150"/>
    </row>
    <row r="90" ht="15.75" customHeight="1">
      <c r="A90" s="150"/>
    </row>
    <row r="91" ht="15.75" customHeight="1">
      <c r="A91" s="150"/>
    </row>
    <row r="92" ht="15.75" customHeight="1">
      <c r="A92" s="150"/>
    </row>
    <row r="93" ht="15.75" customHeight="1">
      <c r="A93" s="150"/>
    </row>
    <row r="94" ht="15.75" customHeight="1">
      <c r="A94" s="150"/>
    </row>
    <row r="95" ht="15.75" customHeight="1">
      <c r="A95" s="150"/>
    </row>
    <row r="96" ht="15.75" customHeight="1">
      <c r="A96" s="150"/>
    </row>
    <row r="97" ht="15.75" customHeight="1">
      <c r="A97" s="150"/>
    </row>
    <row r="98" ht="15.75" customHeight="1">
      <c r="A98" s="150"/>
    </row>
    <row r="99" ht="15.75" customHeight="1">
      <c r="A99" s="150"/>
    </row>
    <row r="100" ht="15.75" customHeight="1">
      <c r="A100" s="150"/>
    </row>
    <row r="101" ht="15.75" customHeight="1">
      <c r="A101" s="150"/>
    </row>
    <row r="102" ht="15.75" customHeight="1">
      <c r="A102" s="150"/>
    </row>
    <row r="103" ht="15.75" customHeight="1">
      <c r="A103" s="150"/>
    </row>
    <row r="104" ht="15.75" customHeight="1">
      <c r="A104" s="150"/>
    </row>
    <row r="105" ht="15.75" customHeight="1">
      <c r="A105" s="150"/>
    </row>
    <row r="106" ht="15.75" customHeight="1">
      <c r="A106" s="150"/>
    </row>
    <row r="107" ht="15.75" customHeight="1">
      <c r="A107" s="150"/>
    </row>
    <row r="108" ht="15.75" customHeight="1">
      <c r="A108" s="150"/>
    </row>
    <row r="109" ht="15.75" customHeight="1">
      <c r="A109" s="150"/>
    </row>
    <row r="110" ht="15.75" customHeight="1">
      <c r="A110" s="150"/>
    </row>
    <row r="111" ht="15.75" customHeight="1">
      <c r="A111" s="150"/>
    </row>
    <row r="112" ht="15.75" customHeight="1">
      <c r="A112" s="150"/>
    </row>
    <row r="113" ht="15.75" customHeight="1">
      <c r="A113" s="150"/>
    </row>
    <row r="114" ht="15.75" customHeight="1">
      <c r="A114" s="150"/>
    </row>
    <row r="115" ht="15.75" customHeight="1">
      <c r="A115" s="150"/>
    </row>
    <row r="116" ht="15.75" customHeight="1">
      <c r="A116" s="150"/>
    </row>
    <row r="117" ht="15.75" customHeight="1">
      <c r="A117" s="150"/>
    </row>
    <row r="118" ht="15.75" customHeight="1">
      <c r="A118" s="150"/>
    </row>
    <row r="119" ht="15.75" customHeight="1">
      <c r="A119" s="150"/>
    </row>
    <row r="120" ht="15.75" customHeight="1">
      <c r="A120" s="150"/>
    </row>
    <row r="121" ht="15.75" customHeight="1">
      <c r="A121" s="150"/>
    </row>
    <row r="122" ht="15.75" customHeight="1">
      <c r="A122" s="150"/>
    </row>
    <row r="123" ht="15.75" customHeight="1">
      <c r="A123" s="150"/>
    </row>
    <row r="124" ht="15.75" customHeight="1">
      <c r="A124" s="150"/>
    </row>
    <row r="125" ht="15.75" customHeight="1">
      <c r="A125" s="150"/>
    </row>
    <row r="126" ht="15.75" customHeight="1">
      <c r="A126" s="150"/>
    </row>
    <row r="127" ht="15.75" customHeight="1">
      <c r="A127" s="150"/>
    </row>
    <row r="128" ht="15.75" customHeight="1">
      <c r="A128" s="150"/>
    </row>
    <row r="129" ht="15.75" customHeight="1">
      <c r="A129" s="150"/>
    </row>
    <row r="130" ht="15.75" customHeight="1">
      <c r="A130" s="150"/>
    </row>
    <row r="131" ht="15.75" customHeight="1">
      <c r="A131" s="150"/>
    </row>
    <row r="132" ht="15.75" customHeight="1">
      <c r="A132" s="150"/>
    </row>
    <row r="133" ht="15.75" customHeight="1">
      <c r="A133" s="150"/>
    </row>
    <row r="134" ht="15.75" customHeight="1">
      <c r="A134" s="150"/>
    </row>
    <row r="135" ht="15.75" customHeight="1">
      <c r="A135" s="150"/>
    </row>
    <row r="136" ht="15.75" customHeight="1">
      <c r="A136" s="150"/>
    </row>
    <row r="137" ht="15.75" customHeight="1">
      <c r="A137" s="150"/>
    </row>
    <row r="138" ht="15.75" customHeight="1">
      <c r="A138" s="150"/>
    </row>
    <row r="139" ht="15.75" customHeight="1">
      <c r="A139" s="150"/>
    </row>
    <row r="140" ht="15.75" customHeight="1">
      <c r="A140" s="150"/>
    </row>
    <row r="141" ht="15.75" customHeight="1">
      <c r="A141" s="150"/>
    </row>
    <row r="142" ht="15.75" customHeight="1">
      <c r="A142" s="150"/>
    </row>
    <row r="143" ht="15.75" customHeight="1">
      <c r="A143" s="150"/>
    </row>
    <row r="144" ht="15.75" customHeight="1">
      <c r="A144" s="150"/>
    </row>
    <row r="145" ht="15.75" customHeight="1">
      <c r="A145" s="150"/>
    </row>
    <row r="146" ht="15.75" customHeight="1">
      <c r="A146" s="150"/>
    </row>
    <row r="147" ht="15.75" customHeight="1">
      <c r="A147" s="150"/>
    </row>
    <row r="148" ht="15.75" customHeight="1">
      <c r="A148" s="150"/>
    </row>
    <row r="149" ht="15.75" customHeight="1">
      <c r="A149" s="150"/>
    </row>
    <row r="150" ht="15.75" customHeight="1">
      <c r="A150" s="150"/>
    </row>
    <row r="151" ht="15.75" customHeight="1">
      <c r="A151" s="150"/>
    </row>
    <row r="152" ht="15.75" customHeight="1">
      <c r="A152" s="150"/>
    </row>
    <row r="153" ht="15.75" customHeight="1">
      <c r="A153" s="150"/>
    </row>
    <row r="154" ht="15.75" customHeight="1">
      <c r="A154" s="150"/>
    </row>
    <row r="155" ht="15.75" customHeight="1">
      <c r="A155" s="150"/>
    </row>
    <row r="156" ht="15.75" customHeight="1">
      <c r="A156" s="150"/>
    </row>
    <row r="157" ht="15.75" customHeight="1">
      <c r="A157" s="150"/>
    </row>
    <row r="158" ht="15.75" customHeight="1">
      <c r="A158" s="150"/>
    </row>
    <row r="159" ht="15.75" customHeight="1">
      <c r="A159" s="150"/>
    </row>
    <row r="160" ht="15.75" customHeight="1">
      <c r="A160" s="150"/>
    </row>
    <row r="161" ht="15.75" customHeight="1">
      <c r="A161" s="150"/>
    </row>
    <row r="162" ht="15.75" customHeight="1">
      <c r="A162" s="150"/>
    </row>
    <row r="163" ht="15.75" customHeight="1">
      <c r="A163" s="150"/>
    </row>
    <row r="164" ht="15.75" customHeight="1">
      <c r="A164" s="150"/>
    </row>
    <row r="165" ht="15.75" customHeight="1">
      <c r="A165" s="150"/>
    </row>
    <row r="166" ht="15.75" customHeight="1">
      <c r="A166" s="150"/>
    </row>
    <row r="167" ht="15.75" customHeight="1">
      <c r="A167" s="150"/>
    </row>
    <row r="168" ht="15.75" customHeight="1">
      <c r="A168" s="150"/>
    </row>
    <row r="169" ht="15.75" customHeight="1">
      <c r="A169" s="150"/>
    </row>
    <row r="170" ht="15.75" customHeight="1">
      <c r="A170" s="150"/>
    </row>
    <row r="171" ht="15.75" customHeight="1">
      <c r="A171" s="150"/>
    </row>
    <row r="172" ht="15.75" customHeight="1">
      <c r="A172" s="150"/>
    </row>
    <row r="173" ht="15.75" customHeight="1">
      <c r="A173" s="150"/>
    </row>
    <row r="174" ht="15.75" customHeight="1">
      <c r="A174" s="150"/>
    </row>
    <row r="175" ht="15.75" customHeight="1">
      <c r="A175" s="150"/>
    </row>
    <row r="176" ht="15.75" customHeight="1">
      <c r="A176" s="150"/>
    </row>
    <row r="177" ht="15.75" customHeight="1">
      <c r="A177" s="150"/>
    </row>
    <row r="178" ht="15.75" customHeight="1">
      <c r="A178" s="150"/>
    </row>
    <row r="179" ht="15.75" customHeight="1">
      <c r="A179" s="150"/>
    </row>
    <row r="180" ht="15.75" customHeight="1">
      <c r="A180" s="150"/>
    </row>
    <row r="181" ht="15.75" customHeight="1">
      <c r="A181" s="150"/>
    </row>
    <row r="182" ht="15.75" customHeight="1">
      <c r="A182" s="150"/>
    </row>
    <row r="183" ht="15.75" customHeight="1">
      <c r="A183" s="150"/>
    </row>
    <row r="184" ht="15.75" customHeight="1">
      <c r="A184" s="150"/>
    </row>
    <row r="185" ht="15.75" customHeight="1">
      <c r="A185" s="150"/>
    </row>
    <row r="186" ht="15.75" customHeight="1">
      <c r="A186" s="150"/>
    </row>
    <row r="187" ht="15.75" customHeight="1">
      <c r="A187" s="150"/>
    </row>
    <row r="188" ht="15.75" customHeight="1">
      <c r="A188" s="150"/>
    </row>
    <row r="189" ht="15.75" customHeight="1">
      <c r="A189" s="150"/>
    </row>
    <row r="190" ht="15.75" customHeight="1">
      <c r="A190" s="150"/>
    </row>
    <row r="191" ht="15.75" customHeight="1">
      <c r="A191" s="150"/>
    </row>
    <row r="192" ht="15.75" customHeight="1">
      <c r="A192" s="150"/>
    </row>
    <row r="193" ht="15.75" customHeight="1">
      <c r="A193" s="150"/>
    </row>
    <row r="194" ht="15.75" customHeight="1">
      <c r="A194" s="150"/>
    </row>
    <row r="195" ht="15.75" customHeight="1">
      <c r="A195" s="150"/>
    </row>
    <row r="196" ht="15.75" customHeight="1">
      <c r="A196" s="150"/>
    </row>
    <row r="197" ht="15.75" customHeight="1">
      <c r="A197" s="150"/>
    </row>
    <row r="198" ht="15.75" customHeight="1">
      <c r="A198" s="150"/>
    </row>
    <row r="199" ht="15.75" customHeight="1">
      <c r="A199" s="150"/>
    </row>
    <row r="200" ht="15.75" customHeight="1">
      <c r="A200" s="150"/>
    </row>
    <row r="201" ht="15.75" customHeight="1">
      <c r="A201" s="150"/>
    </row>
    <row r="202" ht="15.75" customHeight="1">
      <c r="A202" s="150"/>
    </row>
    <row r="203" ht="15.75" customHeight="1">
      <c r="A203" s="150"/>
    </row>
    <row r="204" ht="15.75" customHeight="1">
      <c r="A204" s="150"/>
    </row>
    <row r="205" ht="15.75" customHeight="1">
      <c r="A205" s="150"/>
    </row>
    <row r="206" ht="15.75" customHeight="1">
      <c r="A206" s="150"/>
    </row>
    <row r="207" ht="15.75" customHeight="1">
      <c r="A207" s="150"/>
    </row>
    <row r="208" ht="15.75" customHeight="1">
      <c r="A208" s="150"/>
    </row>
    <row r="209" ht="15.75" customHeight="1">
      <c r="A209" s="150"/>
    </row>
    <row r="210" ht="15.75" customHeight="1">
      <c r="A210" s="150"/>
    </row>
    <row r="211" ht="15.75" customHeight="1">
      <c r="A211" s="150"/>
    </row>
    <row r="212" ht="15.75" customHeight="1">
      <c r="A212" s="150"/>
    </row>
    <row r="213" ht="15.75" customHeight="1">
      <c r="A213" s="150"/>
    </row>
    <row r="214" ht="15.75" customHeight="1">
      <c r="A214" s="150"/>
    </row>
    <row r="215" ht="15.75" customHeight="1">
      <c r="A215" s="150"/>
    </row>
    <row r="216" ht="15.75" customHeight="1">
      <c r="A216" s="150"/>
    </row>
    <row r="217" ht="15.75" customHeight="1">
      <c r="A217" s="150"/>
    </row>
    <row r="218" ht="15.75" customHeight="1">
      <c r="A218" s="150"/>
    </row>
    <row r="219" ht="15.75" customHeight="1">
      <c r="A219" s="150"/>
    </row>
    <row r="220" ht="15.75" customHeight="1">
      <c r="A220" s="150"/>
    </row>
    <row r="221" ht="15.75" customHeight="1">
      <c r="A221" s="150"/>
    </row>
    <row r="222" ht="15.75" customHeight="1">
      <c r="A222" s="150"/>
    </row>
    <row r="223" ht="15.75" customHeight="1">
      <c r="A223" s="150"/>
    </row>
    <row r="224" ht="15.75" customHeight="1">
      <c r="A224" s="150"/>
    </row>
    <row r="225" ht="15.75" customHeight="1">
      <c r="A225" s="150"/>
    </row>
    <row r="226" ht="15.75" customHeight="1">
      <c r="A226" s="150"/>
    </row>
    <row r="227" ht="15.75" customHeight="1">
      <c r="A227" s="150"/>
    </row>
    <row r="228" ht="15.75" customHeight="1">
      <c r="A228" s="150"/>
    </row>
    <row r="229" ht="15.75" customHeight="1">
      <c r="A229" s="150"/>
    </row>
    <row r="230" ht="15.75" customHeight="1">
      <c r="A230" s="150"/>
    </row>
    <row r="231" ht="15.75" customHeight="1">
      <c r="A231" s="150"/>
    </row>
    <row r="232" ht="15.75" customHeight="1">
      <c r="A232" s="150"/>
    </row>
    <row r="233" ht="15.75" customHeight="1">
      <c r="A233" s="150"/>
    </row>
    <row r="234" ht="15.75" customHeight="1">
      <c r="A234" s="150"/>
    </row>
    <row r="235" ht="15.75" customHeight="1">
      <c r="A235" s="150"/>
    </row>
    <row r="236" ht="15.75" customHeight="1">
      <c r="A236" s="150"/>
    </row>
    <row r="237" ht="15.75" customHeight="1">
      <c r="A237" s="150"/>
    </row>
    <row r="238" ht="15.75" customHeight="1">
      <c r="A238" s="150"/>
    </row>
    <row r="239" ht="15.75" customHeight="1">
      <c r="A239" s="150"/>
    </row>
    <row r="240" ht="15.75" customHeight="1">
      <c r="A240" s="150"/>
    </row>
    <row r="241" ht="15.75" customHeight="1">
      <c r="A241" s="150"/>
    </row>
    <row r="242" ht="15.75" customHeight="1">
      <c r="A242" s="150"/>
    </row>
    <row r="243" ht="15.75" customHeight="1">
      <c r="A243" s="150"/>
    </row>
    <row r="244" ht="15.75" customHeight="1">
      <c r="A244" s="150"/>
    </row>
    <row r="245" ht="15.75" customHeight="1">
      <c r="A245" s="150"/>
    </row>
    <row r="246" ht="15.75" customHeight="1">
      <c r="A246" s="150"/>
    </row>
    <row r="247" ht="15.75" customHeight="1">
      <c r="A247" s="150"/>
    </row>
    <row r="248" ht="15.75" customHeight="1">
      <c r="A248" s="150"/>
    </row>
    <row r="249" ht="15.75" customHeight="1">
      <c r="A249" s="150"/>
    </row>
    <row r="250" ht="15.75" customHeight="1">
      <c r="A250" s="150"/>
    </row>
    <row r="251" ht="15.75" customHeight="1">
      <c r="A251" s="150"/>
    </row>
    <row r="252" ht="15.75" customHeight="1">
      <c r="A252" s="150"/>
    </row>
    <row r="253" ht="15.75" customHeight="1">
      <c r="A253" s="150"/>
    </row>
    <row r="254" ht="15.75" customHeight="1">
      <c r="A254" s="150"/>
    </row>
    <row r="255" ht="15.75" customHeight="1">
      <c r="A255" s="150"/>
    </row>
    <row r="256" ht="15.75" customHeight="1">
      <c r="A256" s="150"/>
    </row>
    <row r="257" ht="15.75" customHeight="1">
      <c r="A257" s="150"/>
    </row>
    <row r="258" ht="15.75" customHeight="1">
      <c r="A258" s="150"/>
    </row>
    <row r="259" ht="15.75" customHeight="1">
      <c r="A259" s="150"/>
    </row>
    <row r="260" ht="15.75" customHeight="1">
      <c r="A260" s="150"/>
    </row>
    <row r="261" ht="15.75" customHeight="1">
      <c r="A261" s="150"/>
    </row>
    <row r="262" ht="15.75" customHeight="1">
      <c r="A262" s="150"/>
    </row>
    <row r="263" ht="15.75" customHeight="1">
      <c r="A263" s="150"/>
    </row>
    <row r="264" ht="15.75" customHeight="1">
      <c r="A264" s="150"/>
    </row>
    <row r="265" ht="15.75" customHeight="1">
      <c r="A265" s="150"/>
    </row>
    <row r="266" ht="15.75" customHeight="1">
      <c r="A266" s="150"/>
    </row>
    <row r="267" ht="15.75" customHeight="1">
      <c r="A267" s="150"/>
    </row>
    <row r="268" ht="15.75" customHeight="1">
      <c r="A268" s="150"/>
    </row>
    <row r="269" ht="15.75" customHeight="1">
      <c r="A269" s="150"/>
    </row>
    <row r="270" ht="15.75" customHeight="1">
      <c r="A270" s="150"/>
    </row>
    <row r="271" ht="15.75" customHeight="1">
      <c r="A271" s="150"/>
    </row>
    <row r="272" ht="15.75" customHeight="1">
      <c r="A272" s="150"/>
    </row>
    <row r="273" ht="15.75" customHeight="1">
      <c r="A273" s="150"/>
    </row>
    <row r="274" ht="15.75" customHeight="1">
      <c r="A274" s="150"/>
    </row>
    <row r="275" ht="15.75" customHeight="1">
      <c r="A275" s="150"/>
    </row>
    <row r="276" ht="15.75" customHeight="1">
      <c r="A276" s="150"/>
    </row>
    <row r="277" ht="15.75" customHeight="1">
      <c r="A277" s="150"/>
    </row>
    <row r="278" ht="15.75" customHeight="1">
      <c r="A278" s="150"/>
    </row>
    <row r="279" ht="15.75" customHeight="1">
      <c r="A279" s="150"/>
    </row>
    <row r="280" ht="15.75" customHeight="1">
      <c r="A280" s="150"/>
    </row>
    <row r="281" ht="15.75" customHeight="1">
      <c r="A281" s="150"/>
    </row>
    <row r="282" ht="15.75" customHeight="1">
      <c r="A282" s="150"/>
    </row>
    <row r="283" ht="15.75" customHeight="1">
      <c r="A283" s="150"/>
    </row>
    <row r="284" ht="15.75" customHeight="1">
      <c r="A284" s="150"/>
    </row>
    <row r="285" ht="15.75" customHeight="1">
      <c r="A285" s="150"/>
    </row>
    <row r="286" ht="15.75" customHeight="1">
      <c r="A286" s="150"/>
    </row>
    <row r="287" ht="15.75" customHeight="1">
      <c r="A287" s="150"/>
    </row>
    <row r="288" ht="15.75" customHeight="1">
      <c r="A288" s="150"/>
    </row>
    <row r="289" ht="15.75" customHeight="1">
      <c r="A289" s="150"/>
    </row>
    <row r="290" ht="15.75" customHeight="1">
      <c r="A290" s="150"/>
    </row>
    <row r="291" ht="15.75" customHeight="1">
      <c r="A291" s="150"/>
    </row>
    <row r="292" ht="15.75" customHeight="1">
      <c r="A292" s="150"/>
    </row>
    <row r="293" ht="15.75" customHeight="1">
      <c r="A293" s="150"/>
    </row>
    <row r="294" ht="15.75" customHeight="1">
      <c r="A294" s="150"/>
    </row>
    <row r="295" ht="15.75" customHeight="1">
      <c r="A295" s="150"/>
    </row>
    <row r="296" ht="15.75" customHeight="1">
      <c r="A296" s="150"/>
    </row>
    <row r="297" ht="15.75" customHeight="1">
      <c r="A297" s="150"/>
    </row>
    <row r="298" ht="15.75" customHeight="1">
      <c r="A298" s="150"/>
    </row>
    <row r="299" ht="15.75" customHeight="1">
      <c r="A299" s="150"/>
    </row>
    <row r="300" ht="15.75" customHeight="1">
      <c r="A300" s="150"/>
    </row>
    <row r="301" ht="15.75" customHeight="1">
      <c r="A301" s="150"/>
    </row>
    <row r="302" ht="15.75" customHeight="1">
      <c r="A302" s="150"/>
    </row>
    <row r="303" ht="15.75" customHeight="1">
      <c r="A303" s="150"/>
    </row>
    <row r="304" ht="15.75" customHeight="1">
      <c r="A304" s="150"/>
    </row>
    <row r="305" ht="15.75" customHeight="1">
      <c r="A305" s="150"/>
    </row>
    <row r="306" ht="15.75" customHeight="1">
      <c r="A306" s="150"/>
    </row>
    <row r="307" ht="15.75" customHeight="1">
      <c r="A307" s="150"/>
    </row>
    <row r="308" ht="15.75" customHeight="1">
      <c r="A308" s="150"/>
    </row>
    <row r="309" ht="15.75" customHeight="1">
      <c r="A309" s="150"/>
    </row>
    <row r="310" ht="15.75" customHeight="1">
      <c r="A310" s="150"/>
    </row>
    <row r="311" ht="15.75" customHeight="1">
      <c r="A311" s="150"/>
    </row>
    <row r="312" ht="15.75" customHeight="1">
      <c r="A312" s="150"/>
    </row>
    <row r="313" ht="15.75" customHeight="1">
      <c r="A313" s="150"/>
    </row>
    <row r="314" ht="15.75" customHeight="1">
      <c r="A314" s="150"/>
    </row>
    <row r="315" ht="15.75" customHeight="1">
      <c r="A315" s="150"/>
    </row>
    <row r="316" ht="15.75" customHeight="1">
      <c r="A316" s="150"/>
    </row>
    <row r="317" ht="15.75" customHeight="1">
      <c r="A317" s="150"/>
    </row>
    <row r="318" ht="15.75" customHeight="1">
      <c r="A318" s="150"/>
    </row>
    <row r="319" ht="15.75" customHeight="1">
      <c r="A319" s="150"/>
    </row>
    <row r="320" ht="15.75" customHeight="1">
      <c r="A320" s="150"/>
    </row>
    <row r="321" ht="15.75" customHeight="1">
      <c r="A321" s="150"/>
    </row>
    <row r="322" ht="15.75" customHeight="1">
      <c r="A322" s="150"/>
    </row>
    <row r="323" ht="15.75" customHeight="1">
      <c r="A323" s="150"/>
    </row>
    <row r="324" ht="15.75" customHeight="1">
      <c r="A324" s="150"/>
    </row>
    <row r="325" ht="15.75" customHeight="1">
      <c r="A325" s="150"/>
    </row>
    <row r="326" ht="15.75" customHeight="1">
      <c r="A326" s="150"/>
    </row>
    <row r="327" ht="15.75" customHeight="1">
      <c r="A327" s="150"/>
    </row>
    <row r="328" ht="15.75" customHeight="1">
      <c r="A328" s="150"/>
    </row>
    <row r="329" ht="15.75" customHeight="1">
      <c r="A329" s="150"/>
    </row>
    <row r="330" ht="15.75" customHeight="1">
      <c r="A330" s="150"/>
    </row>
    <row r="331" ht="15.75" customHeight="1">
      <c r="A331" s="150"/>
    </row>
    <row r="332" ht="15.75" customHeight="1">
      <c r="A332" s="150"/>
    </row>
    <row r="333" ht="15.75" customHeight="1">
      <c r="A333" s="150"/>
    </row>
    <row r="334" ht="15.75" customHeight="1">
      <c r="A334" s="150"/>
    </row>
    <row r="335" ht="15.75" customHeight="1">
      <c r="A335" s="150"/>
    </row>
    <row r="336" ht="15.75" customHeight="1">
      <c r="A336" s="150"/>
    </row>
    <row r="337" ht="15.75" customHeight="1">
      <c r="A337" s="150"/>
    </row>
    <row r="338" ht="15.75" customHeight="1">
      <c r="A338" s="150"/>
    </row>
    <row r="339" ht="15.75" customHeight="1">
      <c r="A339" s="150"/>
    </row>
    <row r="340" ht="15.75" customHeight="1">
      <c r="A340" s="150"/>
    </row>
    <row r="341" ht="15.75" customHeight="1">
      <c r="A341" s="150"/>
    </row>
    <row r="342" ht="15.75" customHeight="1">
      <c r="A342" s="150"/>
    </row>
    <row r="343" ht="15.75" customHeight="1">
      <c r="A343" s="150"/>
    </row>
    <row r="344" ht="15.75" customHeight="1">
      <c r="A344" s="150"/>
    </row>
    <row r="345" ht="15.75" customHeight="1">
      <c r="A345" s="150"/>
    </row>
    <row r="346" ht="15.75" customHeight="1">
      <c r="A346" s="150"/>
    </row>
    <row r="347" ht="15.75" customHeight="1">
      <c r="A347" s="150"/>
    </row>
    <row r="348" ht="15.75" customHeight="1">
      <c r="A348" s="150"/>
    </row>
    <row r="349" ht="15.75" customHeight="1">
      <c r="A349" s="150"/>
    </row>
    <row r="350" ht="15.75" customHeight="1">
      <c r="A350" s="150"/>
    </row>
    <row r="351" ht="15.75" customHeight="1">
      <c r="A351" s="150"/>
    </row>
    <row r="352" ht="15.75" customHeight="1">
      <c r="A352" s="150"/>
    </row>
    <row r="353" ht="15.75" customHeight="1">
      <c r="A353" s="150"/>
    </row>
    <row r="354" ht="15.75" customHeight="1">
      <c r="A354" s="150"/>
    </row>
    <row r="355" ht="15.75" customHeight="1">
      <c r="A355" s="150"/>
    </row>
    <row r="356" ht="15.75" customHeight="1">
      <c r="A356" s="150"/>
    </row>
    <row r="357" ht="15.75" customHeight="1">
      <c r="A357" s="150"/>
    </row>
    <row r="358" ht="15.75" customHeight="1">
      <c r="A358" s="150"/>
    </row>
    <row r="359" ht="15.75" customHeight="1">
      <c r="A359" s="150"/>
    </row>
    <row r="360" ht="15.75" customHeight="1">
      <c r="A360" s="150"/>
    </row>
    <row r="361" ht="15.75" customHeight="1">
      <c r="A361" s="150"/>
    </row>
    <row r="362" ht="15.75" customHeight="1">
      <c r="A362" s="150"/>
    </row>
    <row r="363" ht="15.75" customHeight="1">
      <c r="A363" s="150"/>
    </row>
    <row r="364" ht="15.75" customHeight="1">
      <c r="A364" s="150"/>
    </row>
    <row r="365" ht="15.75" customHeight="1">
      <c r="A365" s="150"/>
    </row>
    <row r="366" ht="15.75" customHeight="1">
      <c r="A366" s="150"/>
    </row>
    <row r="367" ht="15.75" customHeight="1">
      <c r="A367" s="150"/>
    </row>
    <row r="368" ht="15.75" customHeight="1">
      <c r="A368" s="150"/>
    </row>
    <row r="369" ht="15.75" customHeight="1">
      <c r="A369" s="150"/>
    </row>
    <row r="370" ht="15.75" customHeight="1">
      <c r="A370" s="150"/>
    </row>
    <row r="371" ht="15.75" customHeight="1">
      <c r="A371" s="150"/>
    </row>
    <row r="372" ht="15.75" customHeight="1">
      <c r="A372" s="150"/>
    </row>
    <row r="373" ht="15.75" customHeight="1">
      <c r="A373" s="150"/>
    </row>
    <row r="374" ht="15.75" customHeight="1">
      <c r="A374" s="150"/>
    </row>
    <row r="375" ht="15.75" customHeight="1">
      <c r="A375" s="150"/>
    </row>
    <row r="376" ht="15.75" customHeight="1">
      <c r="A376" s="150"/>
    </row>
    <row r="377" ht="15.75" customHeight="1">
      <c r="A377" s="150"/>
    </row>
    <row r="378" ht="15.75" customHeight="1">
      <c r="A378" s="150"/>
    </row>
    <row r="379" ht="15.75" customHeight="1">
      <c r="A379" s="150"/>
    </row>
    <row r="380" ht="15.75" customHeight="1">
      <c r="A380" s="150"/>
    </row>
    <row r="381" ht="15.75" customHeight="1">
      <c r="A381" s="150"/>
    </row>
    <row r="382" ht="15.75" customHeight="1">
      <c r="A382" s="150"/>
    </row>
    <row r="383" ht="15.75" customHeight="1">
      <c r="A383" s="150"/>
    </row>
    <row r="384" ht="15.75" customHeight="1">
      <c r="A384" s="150"/>
    </row>
    <row r="385" ht="15.75" customHeight="1">
      <c r="A385" s="150"/>
    </row>
    <row r="386" ht="15.75" customHeight="1">
      <c r="A386" s="150"/>
    </row>
    <row r="387" ht="15.75" customHeight="1">
      <c r="A387" s="150"/>
    </row>
    <row r="388" ht="15.75" customHeight="1">
      <c r="A388" s="150"/>
    </row>
    <row r="389" ht="15.75" customHeight="1">
      <c r="A389" s="150"/>
    </row>
    <row r="390" ht="15.75" customHeight="1">
      <c r="A390" s="150"/>
    </row>
    <row r="391" ht="15.75" customHeight="1">
      <c r="A391" s="150"/>
    </row>
    <row r="392" ht="15.75" customHeight="1">
      <c r="A392" s="150"/>
    </row>
    <row r="393" ht="15.75" customHeight="1">
      <c r="A393" s="150"/>
    </row>
    <row r="394" ht="15.75" customHeight="1">
      <c r="A394" s="150"/>
    </row>
    <row r="395" ht="15.75" customHeight="1">
      <c r="A395" s="150"/>
    </row>
    <row r="396" ht="15.75" customHeight="1">
      <c r="A396" s="150"/>
    </row>
    <row r="397" ht="15.75" customHeight="1">
      <c r="A397" s="150"/>
    </row>
    <row r="398" ht="15.75" customHeight="1">
      <c r="A398" s="150"/>
    </row>
    <row r="399" ht="15.75" customHeight="1">
      <c r="A399" s="150"/>
    </row>
    <row r="400" ht="15.75" customHeight="1">
      <c r="A400" s="150"/>
    </row>
    <row r="401" ht="15.75" customHeight="1">
      <c r="A401" s="150"/>
    </row>
    <row r="402" ht="15.75" customHeight="1">
      <c r="A402" s="150"/>
    </row>
    <row r="403" ht="15.75" customHeight="1">
      <c r="A403" s="150"/>
    </row>
    <row r="404" ht="15.75" customHeight="1">
      <c r="A404" s="150"/>
    </row>
    <row r="405" ht="15.75" customHeight="1">
      <c r="A405" s="150"/>
    </row>
    <row r="406" ht="15.75" customHeight="1">
      <c r="A406" s="150"/>
    </row>
    <row r="407" ht="15.75" customHeight="1">
      <c r="A407" s="150"/>
    </row>
    <row r="408" ht="15.75" customHeight="1">
      <c r="A408" s="150"/>
    </row>
    <row r="409" ht="15.75" customHeight="1">
      <c r="A409" s="150"/>
    </row>
    <row r="410" ht="15.75" customHeight="1">
      <c r="A410" s="150"/>
    </row>
    <row r="411" ht="15.75" customHeight="1">
      <c r="A411" s="150"/>
    </row>
    <row r="412" ht="15.75" customHeight="1">
      <c r="A412" s="150"/>
    </row>
    <row r="413" ht="15.75" customHeight="1">
      <c r="A413" s="150"/>
    </row>
    <row r="414" ht="15.75" customHeight="1">
      <c r="A414" s="150"/>
    </row>
    <row r="415" ht="15.75" customHeight="1">
      <c r="A415" s="150"/>
    </row>
    <row r="416" ht="15.75" customHeight="1">
      <c r="A416" s="150"/>
    </row>
    <row r="417" ht="15.75" customHeight="1">
      <c r="A417" s="150"/>
    </row>
    <row r="418" ht="15.75" customHeight="1">
      <c r="A418" s="150"/>
    </row>
    <row r="419" ht="15.75" customHeight="1">
      <c r="A419" s="150"/>
    </row>
    <row r="420" ht="15.75" customHeight="1">
      <c r="A420" s="150"/>
    </row>
    <row r="421" ht="15.75" customHeight="1">
      <c r="A421" s="150"/>
    </row>
    <row r="422" ht="15.75" customHeight="1">
      <c r="A422" s="150"/>
    </row>
    <row r="423" ht="15.75" customHeight="1">
      <c r="A423" s="150"/>
    </row>
    <row r="424" ht="15.75" customHeight="1">
      <c r="A424" s="150"/>
    </row>
    <row r="425" ht="15.75" customHeight="1">
      <c r="A425" s="150"/>
    </row>
    <row r="426" ht="15.75" customHeight="1">
      <c r="A426" s="150"/>
    </row>
    <row r="427" ht="15.75" customHeight="1">
      <c r="A427" s="150"/>
    </row>
    <row r="428" ht="15.75" customHeight="1">
      <c r="A428" s="150"/>
    </row>
    <row r="429" ht="15.75" customHeight="1">
      <c r="A429" s="150"/>
    </row>
    <row r="430" ht="15.75" customHeight="1">
      <c r="A430" s="150"/>
    </row>
    <row r="431" ht="15.75" customHeight="1">
      <c r="A431" s="150"/>
    </row>
    <row r="432" ht="15.75" customHeight="1">
      <c r="A432" s="150"/>
    </row>
    <row r="433" ht="15.75" customHeight="1">
      <c r="A433" s="150"/>
    </row>
    <row r="434" ht="15.75" customHeight="1">
      <c r="A434" s="150"/>
    </row>
    <row r="435" ht="15.75" customHeight="1">
      <c r="A435" s="150"/>
    </row>
    <row r="436" ht="15.75" customHeight="1">
      <c r="A436" s="150"/>
    </row>
    <row r="437" ht="15.75" customHeight="1">
      <c r="A437" s="150"/>
    </row>
    <row r="438" ht="15.75" customHeight="1">
      <c r="A438" s="150"/>
    </row>
    <row r="439" ht="15.75" customHeight="1">
      <c r="A439" s="150"/>
    </row>
    <row r="440" ht="15.75" customHeight="1">
      <c r="A440" s="150"/>
    </row>
    <row r="441" ht="15.75" customHeight="1">
      <c r="A441" s="150"/>
    </row>
    <row r="442" ht="15.75" customHeight="1">
      <c r="A442" s="150"/>
    </row>
    <row r="443" ht="15.75" customHeight="1">
      <c r="A443" s="150"/>
    </row>
    <row r="444" ht="15.75" customHeight="1">
      <c r="A444" s="150"/>
    </row>
    <row r="445" ht="15.75" customHeight="1">
      <c r="A445" s="150"/>
    </row>
    <row r="446" ht="15.75" customHeight="1">
      <c r="A446" s="150"/>
    </row>
    <row r="447" ht="15.75" customHeight="1">
      <c r="A447" s="150"/>
    </row>
    <row r="448" ht="15.75" customHeight="1">
      <c r="A448" s="150"/>
    </row>
    <row r="449" ht="15.75" customHeight="1">
      <c r="A449" s="150"/>
    </row>
    <row r="450" ht="15.75" customHeight="1">
      <c r="A450" s="150"/>
    </row>
    <row r="451" ht="15.75" customHeight="1">
      <c r="A451" s="150"/>
    </row>
    <row r="452" ht="15.75" customHeight="1">
      <c r="A452" s="150"/>
    </row>
    <row r="453" ht="15.75" customHeight="1">
      <c r="A453" s="150"/>
    </row>
    <row r="454" ht="15.75" customHeight="1">
      <c r="A454" s="150"/>
    </row>
    <row r="455" ht="15.75" customHeight="1">
      <c r="A455" s="150"/>
    </row>
    <row r="456" ht="15.75" customHeight="1">
      <c r="A456" s="150"/>
    </row>
    <row r="457" ht="15.75" customHeight="1">
      <c r="A457" s="150"/>
    </row>
    <row r="458" ht="15.75" customHeight="1">
      <c r="A458" s="150"/>
    </row>
    <row r="459" ht="15.75" customHeight="1">
      <c r="A459" s="150"/>
    </row>
    <row r="460" ht="15.75" customHeight="1">
      <c r="A460" s="150"/>
    </row>
    <row r="461" ht="15.75" customHeight="1">
      <c r="A461" s="150"/>
    </row>
    <row r="462" ht="15.75" customHeight="1">
      <c r="A462" s="150"/>
    </row>
    <row r="463" ht="15.75" customHeight="1">
      <c r="A463" s="150"/>
    </row>
    <row r="464" ht="15.75" customHeight="1">
      <c r="A464" s="150"/>
    </row>
    <row r="465" ht="15.75" customHeight="1">
      <c r="A465" s="150"/>
    </row>
    <row r="466" ht="15.75" customHeight="1">
      <c r="A466" s="150"/>
    </row>
    <row r="467" ht="15.75" customHeight="1">
      <c r="A467" s="150"/>
    </row>
    <row r="468" ht="15.75" customHeight="1">
      <c r="A468" s="150"/>
    </row>
    <row r="469" ht="15.75" customHeight="1">
      <c r="A469" s="150"/>
    </row>
    <row r="470" ht="15.75" customHeight="1">
      <c r="A470" s="150"/>
    </row>
    <row r="471" ht="15.75" customHeight="1">
      <c r="A471" s="150"/>
    </row>
    <row r="472" ht="15.75" customHeight="1">
      <c r="A472" s="150"/>
    </row>
    <row r="473" ht="15.75" customHeight="1">
      <c r="A473" s="150"/>
    </row>
    <row r="474" ht="15.75" customHeight="1">
      <c r="A474" s="150"/>
    </row>
    <row r="475" ht="15.75" customHeight="1">
      <c r="A475" s="150"/>
    </row>
    <row r="476" ht="15.75" customHeight="1">
      <c r="A476" s="150"/>
    </row>
    <row r="477" ht="15.75" customHeight="1">
      <c r="A477" s="150"/>
    </row>
    <row r="478" ht="15.75" customHeight="1">
      <c r="A478" s="150"/>
    </row>
    <row r="479" ht="15.75" customHeight="1">
      <c r="A479" s="150"/>
    </row>
    <row r="480" ht="15.75" customHeight="1">
      <c r="A480" s="150"/>
    </row>
    <row r="481" ht="15.75" customHeight="1">
      <c r="A481" s="150"/>
    </row>
    <row r="482" ht="15.75" customHeight="1">
      <c r="A482" s="150"/>
    </row>
    <row r="483" ht="15.75" customHeight="1">
      <c r="A483" s="150"/>
    </row>
    <row r="484" ht="15.75" customHeight="1">
      <c r="A484" s="150"/>
    </row>
    <row r="485" ht="15.75" customHeight="1">
      <c r="A485" s="150"/>
    </row>
    <row r="486" ht="15.75" customHeight="1">
      <c r="A486" s="150"/>
    </row>
    <row r="487" ht="15.75" customHeight="1">
      <c r="A487" s="150"/>
    </row>
    <row r="488" ht="15.75" customHeight="1">
      <c r="A488" s="150"/>
    </row>
    <row r="489" ht="15.75" customHeight="1">
      <c r="A489" s="150"/>
    </row>
    <row r="490" ht="15.75" customHeight="1">
      <c r="A490" s="150"/>
    </row>
    <row r="491" ht="15.75" customHeight="1">
      <c r="A491" s="150"/>
    </row>
    <row r="492" ht="15.75" customHeight="1">
      <c r="A492" s="150"/>
    </row>
    <row r="493" ht="15.75" customHeight="1">
      <c r="A493" s="150"/>
    </row>
    <row r="494" ht="15.75" customHeight="1">
      <c r="A494" s="150"/>
    </row>
    <row r="495" ht="15.75" customHeight="1">
      <c r="A495" s="150"/>
    </row>
    <row r="496" ht="15.75" customHeight="1">
      <c r="A496" s="150"/>
    </row>
    <row r="497" ht="15.75" customHeight="1">
      <c r="A497" s="150"/>
    </row>
    <row r="498" ht="15.75" customHeight="1">
      <c r="A498" s="150"/>
    </row>
    <row r="499" ht="15.75" customHeight="1">
      <c r="A499" s="150"/>
    </row>
    <row r="500" ht="15.75" customHeight="1">
      <c r="A500" s="150"/>
    </row>
    <row r="501" ht="15.75" customHeight="1">
      <c r="A501" s="150"/>
    </row>
    <row r="502" ht="15.75" customHeight="1">
      <c r="A502" s="150"/>
    </row>
    <row r="503" ht="15.75" customHeight="1">
      <c r="A503" s="150"/>
    </row>
    <row r="504" ht="15.75" customHeight="1">
      <c r="A504" s="150"/>
    </row>
    <row r="505" ht="15.75" customHeight="1">
      <c r="A505" s="150"/>
    </row>
    <row r="506" ht="15.75" customHeight="1">
      <c r="A506" s="150"/>
    </row>
    <row r="507" ht="15.75" customHeight="1">
      <c r="A507" s="150"/>
    </row>
    <row r="508" ht="15.75" customHeight="1">
      <c r="A508" s="150"/>
    </row>
    <row r="509" ht="15.75" customHeight="1">
      <c r="A509" s="150"/>
    </row>
    <row r="510" ht="15.75" customHeight="1">
      <c r="A510" s="150"/>
    </row>
    <row r="511" ht="15.75" customHeight="1">
      <c r="A511" s="150"/>
    </row>
    <row r="512" ht="15.75" customHeight="1">
      <c r="A512" s="150"/>
    </row>
    <row r="513" ht="15.75" customHeight="1">
      <c r="A513" s="150"/>
    </row>
    <row r="514" ht="15.75" customHeight="1">
      <c r="A514" s="150"/>
    </row>
    <row r="515" ht="15.75" customHeight="1">
      <c r="A515" s="150"/>
    </row>
    <row r="516" ht="15.75" customHeight="1">
      <c r="A516" s="150"/>
    </row>
    <row r="517" ht="15.75" customHeight="1">
      <c r="A517" s="150"/>
    </row>
    <row r="518" ht="15.75" customHeight="1">
      <c r="A518" s="150"/>
    </row>
    <row r="519" ht="15.75" customHeight="1">
      <c r="A519" s="150"/>
    </row>
    <row r="520" ht="15.75" customHeight="1">
      <c r="A520" s="150"/>
    </row>
    <row r="521" ht="15.75" customHeight="1">
      <c r="A521" s="150"/>
    </row>
    <row r="522" ht="15.75" customHeight="1">
      <c r="A522" s="150"/>
    </row>
    <row r="523" ht="15.75" customHeight="1">
      <c r="A523" s="150"/>
    </row>
    <row r="524" ht="15.75" customHeight="1">
      <c r="A524" s="150"/>
    </row>
    <row r="525" ht="15.75" customHeight="1">
      <c r="A525" s="150"/>
    </row>
    <row r="526" ht="15.75" customHeight="1">
      <c r="A526" s="150"/>
    </row>
    <row r="527" ht="15.75" customHeight="1">
      <c r="A527" s="150"/>
    </row>
    <row r="528" ht="15.75" customHeight="1">
      <c r="A528" s="150"/>
    </row>
    <row r="529" ht="15.75" customHeight="1">
      <c r="A529" s="150"/>
    </row>
    <row r="530" ht="15.75" customHeight="1">
      <c r="A530" s="150"/>
    </row>
    <row r="531" ht="15.75" customHeight="1">
      <c r="A531" s="150"/>
    </row>
    <row r="532" ht="15.75" customHeight="1">
      <c r="A532" s="150"/>
    </row>
    <row r="533" ht="15.75" customHeight="1">
      <c r="A533" s="150"/>
    </row>
    <row r="534" ht="15.75" customHeight="1">
      <c r="A534" s="150"/>
    </row>
    <row r="535" ht="15.75" customHeight="1">
      <c r="A535" s="150"/>
    </row>
    <row r="536" ht="15.75" customHeight="1">
      <c r="A536" s="150"/>
    </row>
    <row r="537" ht="15.75" customHeight="1">
      <c r="A537" s="150"/>
    </row>
    <row r="538" ht="15.75" customHeight="1">
      <c r="A538" s="150"/>
    </row>
    <row r="539" ht="15.75" customHeight="1">
      <c r="A539" s="150"/>
    </row>
    <row r="540" ht="15.75" customHeight="1">
      <c r="A540" s="150"/>
    </row>
    <row r="541" ht="15.75" customHeight="1">
      <c r="A541" s="150"/>
    </row>
    <row r="542" ht="15.75" customHeight="1">
      <c r="A542" s="150"/>
    </row>
    <row r="543" ht="15.75" customHeight="1">
      <c r="A543" s="150"/>
    </row>
    <row r="544" ht="15.75" customHeight="1">
      <c r="A544" s="150"/>
    </row>
    <row r="545" ht="15.75" customHeight="1">
      <c r="A545" s="150"/>
    </row>
    <row r="546" ht="15.75" customHeight="1">
      <c r="A546" s="150"/>
    </row>
    <row r="547" ht="15.75" customHeight="1">
      <c r="A547" s="150"/>
    </row>
    <row r="548" ht="15.75" customHeight="1">
      <c r="A548" s="150"/>
    </row>
    <row r="549" ht="15.75" customHeight="1">
      <c r="A549" s="150"/>
    </row>
    <row r="550" ht="15.75" customHeight="1">
      <c r="A550" s="150"/>
    </row>
    <row r="551" ht="15.75" customHeight="1">
      <c r="A551" s="150"/>
    </row>
    <row r="552" ht="15.75" customHeight="1">
      <c r="A552" s="150"/>
    </row>
    <row r="553" ht="15.75" customHeight="1">
      <c r="A553" s="150"/>
    </row>
    <row r="554" ht="15.75" customHeight="1">
      <c r="A554" s="150"/>
    </row>
    <row r="555" ht="15.75" customHeight="1">
      <c r="A555" s="150"/>
    </row>
    <row r="556" ht="15.75" customHeight="1">
      <c r="A556" s="150"/>
    </row>
    <row r="557" ht="15.75" customHeight="1">
      <c r="A557" s="150"/>
    </row>
    <row r="558" ht="15.75" customHeight="1">
      <c r="A558" s="150"/>
    </row>
    <row r="559" ht="15.75" customHeight="1">
      <c r="A559" s="150"/>
    </row>
    <row r="560" ht="15.75" customHeight="1">
      <c r="A560" s="150"/>
    </row>
    <row r="561" ht="15.75" customHeight="1">
      <c r="A561" s="150"/>
    </row>
    <row r="562" ht="15.75" customHeight="1">
      <c r="A562" s="150"/>
    </row>
    <row r="563" ht="15.75" customHeight="1">
      <c r="A563" s="150"/>
    </row>
    <row r="564" ht="15.75" customHeight="1">
      <c r="A564" s="150"/>
    </row>
    <row r="565" ht="15.75" customHeight="1">
      <c r="A565" s="150"/>
    </row>
    <row r="566" ht="15.75" customHeight="1">
      <c r="A566" s="150"/>
    </row>
    <row r="567" ht="15.75" customHeight="1">
      <c r="A567" s="150"/>
    </row>
    <row r="568" ht="15.75" customHeight="1">
      <c r="A568" s="150"/>
    </row>
    <row r="569" ht="15.75" customHeight="1">
      <c r="A569" s="150"/>
    </row>
    <row r="570" ht="15.75" customHeight="1">
      <c r="A570" s="150"/>
    </row>
    <row r="571" ht="15.75" customHeight="1">
      <c r="A571" s="150"/>
    </row>
    <row r="572" ht="15.75" customHeight="1">
      <c r="A572" s="150"/>
    </row>
    <row r="573" ht="15.75" customHeight="1">
      <c r="A573" s="150"/>
    </row>
    <row r="574" ht="15.75" customHeight="1">
      <c r="A574" s="150"/>
    </row>
    <row r="575" ht="15.75" customHeight="1">
      <c r="A575" s="150"/>
    </row>
    <row r="576" ht="15.75" customHeight="1">
      <c r="A576" s="150"/>
    </row>
    <row r="577" ht="15.75" customHeight="1">
      <c r="A577" s="150"/>
    </row>
    <row r="578" ht="15.75" customHeight="1">
      <c r="A578" s="150"/>
    </row>
    <row r="579" ht="15.75" customHeight="1">
      <c r="A579" s="150"/>
    </row>
    <row r="580" ht="15.75" customHeight="1">
      <c r="A580" s="150"/>
    </row>
    <row r="581" ht="15.75" customHeight="1">
      <c r="A581" s="150"/>
    </row>
    <row r="582" ht="15.75" customHeight="1">
      <c r="A582" s="150"/>
    </row>
    <row r="583" ht="15.75" customHeight="1">
      <c r="A583" s="150"/>
    </row>
    <row r="584" ht="15.75" customHeight="1">
      <c r="A584" s="150"/>
    </row>
    <row r="585" ht="15.75" customHeight="1">
      <c r="A585" s="150"/>
    </row>
    <row r="586" ht="15.75" customHeight="1">
      <c r="A586" s="150"/>
    </row>
    <row r="587" ht="15.75" customHeight="1">
      <c r="A587" s="150"/>
    </row>
    <row r="588" ht="15.75" customHeight="1">
      <c r="A588" s="150"/>
    </row>
    <row r="589" ht="15.75" customHeight="1">
      <c r="A589" s="150"/>
    </row>
    <row r="590" ht="15.75" customHeight="1">
      <c r="A590" s="150"/>
    </row>
    <row r="591" ht="15.75" customHeight="1">
      <c r="A591" s="150"/>
    </row>
    <row r="592" ht="15.75" customHeight="1">
      <c r="A592" s="150"/>
    </row>
    <row r="593" ht="15.75" customHeight="1">
      <c r="A593" s="150"/>
    </row>
    <row r="594" ht="15.75" customHeight="1">
      <c r="A594" s="150"/>
    </row>
    <row r="595" ht="15.75" customHeight="1">
      <c r="A595" s="150"/>
    </row>
    <row r="596" ht="15.75" customHeight="1">
      <c r="A596" s="150"/>
    </row>
    <row r="597" ht="15.75" customHeight="1">
      <c r="A597" s="150"/>
    </row>
    <row r="598" ht="15.75" customHeight="1">
      <c r="A598" s="150"/>
    </row>
    <row r="599" ht="15.75" customHeight="1">
      <c r="A599" s="150"/>
    </row>
    <row r="600" ht="15.75" customHeight="1">
      <c r="A600" s="150"/>
    </row>
    <row r="601" ht="15.75" customHeight="1">
      <c r="A601" s="150"/>
    </row>
    <row r="602" ht="15.75" customHeight="1">
      <c r="A602" s="150"/>
    </row>
    <row r="603" ht="15.75" customHeight="1">
      <c r="A603" s="150"/>
    </row>
    <row r="604" ht="15.75" customHeight="1">
      <c r="A604" s="150"/>
    </row>
    <row r="605" ht="15.75" customHeight="1">
      <c r="A605" s="150"/>
    </row>
    <row r="606" ht="15.75" customHeight="1">
      <c r="A606" s="150"/>
    </row>
    <row r="607" ht="15.75" customHeight="1">
      <c r="A607" s="150"/>
    </row>
    <row r="608" ht="15.75" customHeight="1">
      <c r="A608" s="150"/>
    </row>
    <row r="609" ht="15.75" customHeight="1">
      <c r="A609" s="150"/>
    </row>
    <row r="610" ht="15.75" customHeight="1">
      <c r="A610" s="150"/>
    </row>
    <row r="611" ht="15.75" customHeight="1">
      <c r="A611" s="150"/>
    </row>
    <row r="612" ht="15.75" customHeight="1">
      <c r="A612" s="150"/>
    </row>
    <row r="613" ht="15.75" customHeight="1">
      <c r="A613" s="150"/>
    </row>
    <row r="614" ht="15.75" customHeight="1">
      <c r="A614" s="150"/>
    </row>
    <row r="615" ht="15.75" customHeight="1">
      <c r="A615" s="150"/>
    </row>
    <row r="616" ht="15.75" customHeight="1">
      <c r="A616" s="150"/>
    </row>
    <row r="617" ht="15.75" customHeight="1">
      <c r="A617" s="150"/>
    </row>
    <row r="618" ht="15.75" customHeight="1">
      <c r="A618" s="150"/>
    </row>
    <row r="619" ht="15.75" customHeight="1">
      <c r="A619" s="150"/>
    </row>
    <row r="620" ht="15.75" customHeight="1">
      <c r="A620" s="150"/>
    </row>
    <row r="621" ht="15.75" customHeight="1">
      <c r="A621" s="150"/>
    </row>
    <row r="622" ht="15.75" customHeight="1">
      <c r="A622" s="150"/>
    </row>
    <row r="623" ht="15.75" customHeight="1">
      <c r="A623" s="150"/>
    </row>
    <row r="624" ht="15.75" customHeight="1">
      <c r="A624" s="150"/>
    </row>
    <row r="625" ht="15.75" customHeight="1">
      <c r="A625" s="150"/>
    </row>
    <row r="626" ht="15.75" customHeight="1">
      <c r="A626" s="150"/>
    </row>
    <row r="627" ht="15.75" customHeight="1">
      <c r="A627" s="150"/>
    </row>
    <row r="628" ht="15.75" customHeight="1">
      <c r="A628" s="150"/>
    </row>
    <row r="629" ht="15.75" customHeight="1">
      <c r="A629" s="150"/>
    </row>
    <row r="630" ht="15.75" customHeight="1">
      <c r="A630" s="150"/>
    </row>
    <row r="631" ht="15.75" customHeight="1">
      <c r="A631" s="150"/>
    </row>
    <row r="632" ht="15.75" customHeight="1">
      <c r="A632" s="150"/>
    </row>
    <row r="633" ht="15.75" customHeight="1">
      <c r="A633" s="150"/>
    </row>
    <row r="634" ht="15.75" customHeight="1">
      <c r="A634" s="150"/>
    </row>
    <row r="635" ht="15.75" customHeight="1">
      <c r="A635" s="150"/>
    </row>
    <row r="636" ht="15.75" customHeight="1">
      <c r="A636" s="150"/>
    </row>
    <row r="637" ht="15.75" customHeight="1">
      <c r="A637" s="150"/>
    </row>
    <row r="638" ht="15.75" customHeight="1">
      <c r="A638" s="150"/>
    </row>
    <row r="639" ht="15.75" customHeight="1">
      <c r="A639" s="150"/>
    </row>
    <row r="640" ht="15.75" customHeight="1">
      <c r="A640" s="150"/>
    </row>
    <row r="641" ht="15.75" customHeight="1">
      <c r="A641" s="150"/>
    </row>
    <row r="642" ht="15.75" customHeight="1">
      <c r="A642" s="150"/>
    </row>
    <row r="643" ht="15.75" customHeight="1">
      <c r="A643" s="150"/>
    </row>
    <row r="644" ht="15.75" customHeight="1">
      <c r="A644" s="150"/>
    </row>
    <row r="645" ht="15.75" customHeight="1">
      <c r="A645" s="150"/>
    </row>
    <row r="646" ht="15.75" customHeight="1">
      <c r="A646" s="150"/>
    </row>
    <row r="647" ht="15.75" customHeight="1">
      <c r="A647" s="150"/>
    </row>
    <row r="648" ht="15.75" customHeight="1">
      <c r="A648" s="150"/>
    </row>
    <row r="649" ht="15.75" customHeight="1">
      <c r="A649" s="150"/>
    </row>
    <row r="650" ht="15.75" customHeight="1">
      <c r="A650" s="150"/>
    </row>
    <row r="651" ht="15.75" customHeight="1">
      <c r="A651" s="150"/>
    </row>
    <row r="652" ht="15.75" customHeight="1">
      <c r="A652" s="150"/>
    </row>
    <row r="653" ht="15.75" customHeight="1">
      <c r="A653" s="150"/>
    </row>
    <row r="654" ht="15.75" customHeight="1">
      <c r="A654" s="150"/>
    </row>
    <row r="655" ht="15.75" customHeight="1">
      <c r="A655" s="150"/>
    </row>
    <row r="656" ht="15.75" customHeight="1">
      <c r="A656" s="150"/>
    </row>
    <row r="657" ht="15.75" customHeight="1">
      <c r="A657" s="150"/>
    </row>
    <row r="658" ht="15.75" customHeight="1">
      <c r="A658" s="150"/>
    </row>
    <row r="659" ht="15.75" customHeight="1">
      <c r="A659" s="150"/>
    </row>
    <row r="660" ht="15.75" customHeight="1">
      <c r="A660" s="150"/>
    </row>
    <row r="661" ht="15.75" customHeight="1">
      <c r="A661" s="150"/>
    </row>
    <row r="662" ht="15.75" customHeight="1">
      <c r="A662" s="150"/>
    </row>
    <row r="663" ht="15.75" customHeight="1">
      <c r="A663" s="150"/>
    </row>
    <row r="664" ht="15.75" customHeight="1">
      <c r="A664" s="150"/>
    </row>
    <row r="665" ht="15.75" customHeight="1">
      <c r="A665" s="150"/>
    </row>
    <row r="666" ht="15.75" customHeight="1">
      <c r="A666" s="150"/>
    </row>
    <row r="667" ht="15.75" customHeight="1">
      <c r="A667" s="150"/>
    </row>
    <row r="668" ht="15.75" customHeight="1">
      <c r="A668" s="150"/>
    </row>
    <row r="669" ht="15.75" customHeight="1">
      <c r="A669" s="150"/>
    </row>
    <row r="670" ht="15.75" customHeight="1">
      <c r="A670" s="150"/>
    </row>
    <row r="671" ht="15.75" customHeight="1">
      <c r="A671" s="150"/>
    </row>
    <row r="672" ht="15.75" customHeight="1">
      <c r="A672" s="150"/>
    </row>
    <row r="673" ht="15.75" customHeight="1">
      <c r="A673" s="150"/>
    </row>
    <row r="674" ht="15.75" customHeight="1">
      <c r="A674" s="150"/>
    </row>
    <row r="675" ht="15.75" customHeight="1">
      <c r="A675" s="150"/>
    </row>
    <row r="676" ht="15.75" customHeight="1">
      <c r="A676" s="150"/>
    </row>
    <row r="677" ht="15.75" customHeight="1">
      <c r="A677" s="150"/>
    </row>
    <row r="678" ht="15.75" customHeight="1">
      <c r="A678" s="150"/>
    </row>
    <row r="679" ht="15.75" customHeight="1">
      <c r="A679" s="150"/>
    </row>
    <row r="680" ht="15.75" customHeight="1">
      <c r="A680" s="150"/>
    </row>
    <row r="681" ht="15.75" customHeight="1">
      <c r="A681" s="150"/>
    </row>
    <row r="682" ht="15.75" customHeight="1">
      <c r="A682" s="150"/>
    </row>
    <row r="683" ht="15.75" customHeight="1">
      <c r="A683" s="150"/>
    </row>
    <row r="684" ht="15.75" customHeight="1">
      <c r="A684" s="150"/>
    </row>
    <row r="685" ht="15.75" customHeight="1">
      <c r="A685" s="150"/>
    </row>
    <row r="686" ht="15.75" customHeight="1">
      <c r="A686" s="150"/>
    </row>
    <row r="687" ht="15.75" customHeight="1">
      <c r="A687" s="150"/>
    </row>
    <row r="688" ht="15.75" customHeight="1">
      <c r="A688" s="150"/>
    </row>
    <row r="689" ht="15.75" customHeight="1">
      <c r="A689" s="150"/>
    </row>
    <row r="690" ht="15.75" customHeight="1">
      <c r="A690" s="150"/>
    </row>
    <row r="691" ht="15.75" customHeight="1">
      <c r="A691" s="150"/>
    </row>
    <row r="692" ht="15.75" customHeight="1">
      <c r="A692" s="150"/>
    </row>
    <row r="693" ht="15.75" customHeight="1">
      <c r="A693" s="150"/>
    </row>
    <row r="694" ht="15.75" customHeight="1">
      <c r="A694" s="150"/>
    </row>
    <row r="695" ht="15.75" customHeight="1">
      <c r="A695" s="150"/>
    </row>
    <row r="696" ht="15.75" customHeight="1">
      <c r="A696" s="150"/>
    </row>
    <row r="697" ht="15.75" customHeight="1">
      <c r="A697" s="150"/>
    </row>
    <row r="698" ht="15.75" customHeight="1">
      <c r="A698" s="150"/>
    </row>
    <row r="699" ht="15.75" customHeight="1">
      <c r="A699" s="150"/>
    </row>
    <row r="700" ht="15.75" customHeight="1">
      <c r="A700" s="150"/>
    </row>
    <row r="701" ht="15.75" customHeight="1">
      <c r="A701" s="150"/>
    </row>
    <row r="702" ht="15.75" customHeight="1">
      <c r="A702" s="150"/>
    </row>
    <row r="703" ht="15.75" customHeight="1">
      <c r="A703" s="150"/>
    </row>
    <row r="704" ht="15.75" customHeight="1">
      <c r="A704" s="150"/>
    </row>
    <row r="705" ht="15.75" customHeight="1">
      <c r="A705" s="150"/>
    </row>
    <row r="706" ht="15.75" customHeight="1">
      <c r="A706" s="150"/>
    </row>
    <row r="707" ht="15.75" customHeight="1">
      <c r="A707" s="150"/>
    </row>
    <row r="708" ht="15.75" customHeight="1">
      <c r="A708" s="150"/>
    </row>
    <row r="709" ht="15.75" customHeight="1">
      <c r="A709" s="150"/>
    </row>
    <row r="710" ht="15.75" customHeight="1">
      <c r="A710" s="150"/>
    </row>
    <row r="711" ht="15.75" customHeight="1">
      <c r="A711" s="150"/>
    </row>
    <row r="712" ht="15.75" customHeight="1">
      <c r="A712" s="150"/>
    </row>
    <row r="713" ht="15.75" customHeight="1">
      <c r="A713" s="150"/>
    </row>
    <row r="714" ht="15.75" customHeight="1">
      <c r="A714" s="150"/>
    </row>
    <row r="715" ht="15.75" customHeight="1">
      <c r="A715" s="150"/>
    </row>
    <row r="716" ht="15.75" customHeight="1">
      <c r="A716" s="150"/>
    </row>
    <row r="717" ht="15.75" customHeight="1">
      <c r="A717" s="150"/>
    </row>
    <row r="718" ht="15.75" customHeight="1">
      <c r="A718" s="150"/>
    </row>
    <row r="719" ht="15.75" customHeight="1">
      <c r="A719" s="150"/>
    </row>
    <row r="720" ht="15.75" customHeight="1">
      <c r="A720" s="150"/>
    </row>
    <row r="721" ht="15.75" customHeight="1">
      <c r="A721" s="150"/>
    </row>
    <row r="722" ht="15.75" customHeight="1">
      <c r="A722" s="150"/>
    </row>
    <row r="723" ht="15.75" customHeight="1">
      <c r="A723" s="150"/>
    </row>
    <row r="724" ht="15.75" customHeight="1">
      <c r="A724" s="150"/>
    </row>
    <row r="725" ht="15.75" customHeight="1">
      <c r="A725" s="150"/>
    </row>
    <row r="726" ht="15.75" customHeight="1">
      <c r="A726" s="150"/>
    </row>
    <row r="727" ht="15.75" customHeight="1">
      <c r="A727" s="150"/>
    </row>
    <row r="728" ht="15.75" customHeight="1">
      <c r="A728" s="150"/>
    </row>
    <row r="729" ht="15.75" customHeight="1">
      <c r="A729" s="150"/>
    </row>
    <row r="730" ht="15.75" customHeight="1">
      <c r="A730" s="150"/>
    </row>
    <row r="731" ht="15.75" customHeight="1">
      <c r="A731" s="150"/>
    </row>
    <row r="732" ht="15.75" customHeight="1">
      <c r="A732" s="150"/>
    </row>
    <row r="733" ht="15.75" customHeight="1">
      <c r="A733" s="150"/>
    </row>
    <row r="734" ht="15.75" customHeight="1">
      <c r="A734" s="150"/>
    </row>
    <row r="735" ht="15.75" customHeight="1">
      <c r="A735" s="150"/>
    </row>
    <row r="736" ht="15.75" customHeight="1">
      <c r="A736" s="150"/>
    </row>
    <row r="737" ht="15.75" customHeight="1">
      <c r="A737" s="150"/>
    </row>
    <row r="738" ht="15.75" customHeight="1">
      <c r="A738" s="150"/>
    </row>
    <row r="739" ht="15.75" customHeight="1">
      <c r="A739" s="150"/>
    </row>
    <row r="740" ht="15.75" customHeight="1">
      <c r="A740" s="150"/>
    </row>
    <row r="741" ht="15.75" customHeight="1">
      <c r="A741" s="150"/>
    </row>
    <row r="742" ht="15.75" customHeight="1">
      <c r="A742" s="150"/>
    </row>
    <row r="743" ht="15.75" customHeight="1">
      <c r="A743" s="150"/>
    </row>
    <row r="744" ht="15.75" customHeight="1">
      <c r="A744" s="150"/>
    </row>
    <row r="745" ht="15.75" customHeight="1">
      <c r="A745" s="150"/>
    </row>
    <row r="746" ht="15.75" customHeight="1">
      <c r="A746" s="150"/>
    </row>
    <row r="747" ht="15.75" customHeight="1">
      <c r="A747" s="150"/>
    </row>
    <row r="748" ht="15.75" customHeight="1">
      <c r="A748" s="150"/>
    </row>
    <row r="749" ht="15.75" customHeight="1">
      <c r="A749" s="150"/>
    </row>
    <row r="750" ht="15.75" customHeight="1">
      <c r="A750" s="150"/>
    </row>
    <row r="751" ht="15.75" customHeight="1">
      <c r="A751" s="150"/>
    </row>
    <row r="752" ht="15.75" customHeight="1">
      <c r="A752" s="150"/>
    </row>
    <row r="753" ht="15.75" customHeight="1">
      <c r="A753" s="150"/>
    </row>
    <row r="754" ht="15.75" customHeight="1">
      <c r="A754" s="150"/>
    </row>
    <row r="755" ht="15.75" customHeight="1">
      <c r="A755" s="150"/>
    </row>
    <row r="756" ht="15.75" customHeight="1">
      <c r="A756" s="150"/>
    </row>
    <row r="757" ht="15.75" customHeight="1">
      <c r="A757" s="150"/>
    </row>
    <row r="758" ht="15.75" customHeight="1">
      <c r="A758" s="150"/>
    </row>
    <row r="759" ht="15.75" customHeight="1">
      <c r="A759" s="150"/>
    </row>
    <row r="760" ht="15.75" customHeight="1">
      <c r="A760" s="150"/>
    </row>
    <row r="761" ht="15.75" customHeight="1">
      <c r="A761" s="150"/>
    </row>
    <row r="762" ht="15.75" customHeight="1">
      <c r="A762" s="150"/>
    </row>
    <row r="763" ht="15.75" customHeight="1">
      <c r="A763" s="150"/>
    </row>
    <row r="764" ht="15.75" customHeight="1">
      <c r="A764" s="150"/>
    </row>
    <row r="765" ht="15.75" customHeight="1">
      <c r="A765" s="150"/>
    </row>
    <row r="766" ht="15.75" customHeight="1">
      <c r="A766" s="150"/>
    </row>
    <row r="767" ht="15.75" customHeight="1">
      <c r="A767" s="150"/>
    </row>
    <row r="768" ht="15.75" customHeight="1">
      <c r="A768" s="150"/>
    </row>
    <row r="769" ht="15.75" customHeight="1">
      <c r="A769" s="150"/>
    </row>
    <row r="770" ht="15.75" customHeight="1">
      <c r="A770" s="150"/>
    </row>
    <row r="771" ht="15.75" customHeight="1">
      <c r="A771" s="150"/>
    </row>
    <row r="772" ht="15.75" customHeight="1">
      <c r="A772" s="150"/>
    </row>
    <row r="773" ht="15.75" customHeight="1">
      <c r="A773" s="150"/>
    </row>
    <row r="774" ht="15.75" customHeight="1">
      <c r="A774" s="150"/>
    </row>
    <row r="775" ht="15.75" customHeight="1">
      <c r="A775" s="150"/>
    </row>
    <row r="776" ht="15.75" customHeight="1">
      <c r="A776" s="150"/>
    </row>
    <row r="777" ht="15.75" customHeight="1">
      <c r="A777" s="150"/>
    </row>
    <row r="778" ht="15.75" customHeight="1">
      <c r="A778" s="150"/>
    </row>
    <row r="779" ht="15.75" customHeight="1">
      <c r="A779" s="150"/>
    </row>
    <row r="780" ht="15.75" customHeight="1">
      <c r="A780" s="150"/>
    </row>
    <row r="781" ht="15.75" customHeight="1">
      <c r="A781" s="150"/>
    </row>
    <row r="782" ht="15.75" customHeight="1">
      <c r="A782" s="150"/>
    </row>
    <row r="783" ht="15.75" customHeight="1">
      <c r="A783" s="150"/>
    </row>
    <row r="784" ht="15.75" customHeight="1">
      <c r="A784" s="150"/>
    </row>
    <row r="785" ht="15.75" customHeight="1">
      <c r="A785" s="150"/>
    </row>
    <row r="786" ht="15.75" customHeight="1">
      <c r="A786" s="150"/>
    </row>
    <row r="787" ht="15.75" customHeight="1">
      <c r="A787" s="150"/>
    </row>
    <row r="788" ht="15.75" customHeight="1">
      <c r="A788" s="150"/>
    </row>
    <row r="789" ht="15.75" customHeight="1">
      <c r="A789" s="150"/>
    </row>
    <row r="790" ht="15.75" customHeight="1">
      <c r="A790" s="150"/>
    </row>
    <row r="791" ht="15.75" customHeight="1">
      <c r="A791" s="150"/>
    </row>
    <row r="792" ht="15.75" customHeight="1">
      <c r="A792" s="150"/>
    </row>
    <row r="793" ht="15.75" customHeight="1">
      <c r="A793" s="150"/>
    </row>
    <row r="794" ht="15.75" customHeight="1">
      <c r="A794" s="150"/>
    </row>
    <row r="795" ht="15.75" customHeight="1">
      <c r="A795" s="150"/>
    </row>
    <row r="796" ht="15.75" customHeight="1">
      <c r="A796" s="150"/>
    </row>
    <row r="797" ht="15.75" customHeight="1">
      <c r="A797" s="150"/>
    </row>
    <row r="798" ht="15.75" customHeight="1">
      <c r="A798" s="150"/>
    </row>
    <row r="799" ht="15.75" customHeight="1">
      <c r="A799" s="150"/>
    </row>
    <row r="800" ht="15.75" customHeight="1">
      <c r="A800" s="150"/>
    </row>
    <row r="801" ht="15.75" customHeight="1">
      <c r="A801" s="150"/>
    </row>
    <row r="802" ht="15.75" customHeight="1">
      <c r="A802" s="150"/>
    </row>
    <row r="803" ht="15.75" customHeight="1">
      <c r="A803" s="150"/>
    </row>
    <row r="804" ht="15.75" customHeight="1">
      <c r="A804" s="150"/>
    </row>
    <row r="805" ht="15.75" customHeight="1">
      <c r="A805" s="150"/>
    </row>
    <row r="806" ht="15.75" customHeight="1">
      <c r="A806" s="150"/>
    </row>
    <row r="807" ht="15.75" customHeight="1">
      <c r="A807" s="150"/>
    </row>
    <row r="808" ht="15.75" customHeight="1">
      <c r="A808" s="150"/>
    </row>
    <row r="809" ht="15.75" customHeight="1">
      <c r="A809" s="150"/>
    </row>
    <row r="810" ht="15.75" customHeight="1">
      <c r="A810" s="150"/>
    </row>
    <row r="811" ht="15.75" customHeight="1">
      <c r="A811" s="150"/>
    </row>
    <row r="812" ht="15.75" customHeight="1">
      <c r="A812" s="150"/>
    </row>
    <row r="813" ht="15.75" customHeight="1">
      <c r="A813" s="150"/>
    </row>
    <row r="814" ht="15.75" customHeight="1">
      <c r="A814" s="150"/>
    </row>
    <row r="815" ht="15.75" customHeight="1">
      <c r="A815" s="150"/>
    </row>
    <row r="816" ht="15.75" customHeight="1">
      <c r="A816" s="150"/>
    </row>
    <row r="817" ht="15.75" customHeight="1">
      <c r="A817" s="150"/>
    </row>
    <row r="818" ht="15.75" customHeight="1">
      <c r="A818" s="150"/>
    </row>
    <row r="819" ht="15.75" customHeight="1">
      <c r="A819" s="150"/>
    </row>
    <row r="820" ht="15.75" customHeight="1">
      <c r="A820" s="150"/>
    </row>
    <row r="821" ht="15.75" customHeight="1">
      <c r="A821" s="150"/>
    </row>
    <row r="822" ht="15.75" customHeight="1">
      <c r="A822" s="150"/>
    </row>
    <row r="823" ht="15.75" customHeight="1">
      <c r="A823" s="150"/>
    </row>
    <row r="824" ht="15.75" customHeight="1">
      <c r="A824" s="150"/>
    </row>
    <row r="825" ht="15.75" customHeight="1">
      <c r="A825" s="150"/>
    </row>
    <row r="826" ht="15.75" customHeight="1">
      <c r="A826" s="150"/>
    </row>
    <row r="827" ht="15.75" customHeight="1">
      <c r="A827" s="150"/>
    </row>
    <row r="828" ht="15.75" customHeight="1">
      <c r="A828" s="150"/>
    </row>
    <row r="829" ht="15.75" customHeight="1">
      <c r="A829" s="150"/>
    </row>
    <row r="830" ht="15.75" customHeight="1">
      <c r="A830" s="150"/>
    </row>
    <row r="831" ht="15.75" customHeight="1">
      <c r="A831" s="150"/>
    </row>
    <row r="832" ht="15.75" customHeight="1">
      <c r="A832" s="150"/>
    </row>
    <row r="833" ht="15.75" customHeight="1">
      <c r="A833" s="150"/>
    </row>
    <row r="834" ht="15.75" customHeight="1">
      <c r="A834" s="150"/>
    </row>
    <row r="835" ht="15.75" customHeight="1">
      <c r="A835" s="150"/>
    </row>
    <row r="836" ht="15.75" customHeight="1">
      <c r="A836" s="150"/>
    </row>
    <row r="837" ht="15.75" customHeight="1">
      <c r="A837" s="150"/>
    </row>
    <row r="838" ht="15.75" customHeight="1">
      <c r="A838" s="150"/>
    </row>
    <row r="839" ht="15.75" customHeight="1">
      <c r="A839" s="150"/>
    </row>
    <row r="840" ht="15.75" customHeight="1">
      <c r="A840" s="150"/>
    </row>
    <row r="841" ht="15.75" customHeight="1">
      <c r="A841" s="150"/>
    </row>
    <row r="842" ht="15.75" customHeight="1">
      <c r="A842" s="150"/>
    </row>
    <row r="843" ht="15.75" customHeight="1">
      <c r="A843" s="150"/>
    </row>
    <row r="844" ht="15.75" customHeight="1">
      <c r="A844" s="150"/>
    </row>
    <row r="845" ht="15.75" customHeight="1">
      <c r="A845" s="150"/>
    </row>
    <row r="846" ht="15.75" customHeight="1">
      <c r="A846" s="150"/>
    </row>
    <row r="847" ht="15.75" customHeight="1">
      <c r="A847" s="150"/>
    </row>
    <row r="848" ht="15.75" customHeight="1">
      <c r="A848" s="150"/>
    </row>
    <row r="849" ht="15.75" customHeight="1">
      <c r="A849" s="150"/>
    </row>
    <row r="850" ht="15.75" customHeight="1">
      <c r="A850" s="150"/>
    </row>
    <row r="851" ht="15.75" customHeight="1">
      <c r="A851" s="150"/>
    </row>
    <row r="852" ht="15.75" customHeight="1">
      <c r="A852" s="150"/>
    </row>
    <row r="853" ht="15.75" customHeight="1">
      <c r="A853" s="150"/>
    </row>
    <row r="854" ht="15.75" customHeight="1">
      <c r="A854" s="150"/>
    </row>
    <row r="855" ht="15.75" customHeight="1">
      <c r="A855" s="150"/>
    </row>
    <row r="856" ht="15.75" customHeight="1">
      <c r="A856" s="150"/>
    </row>
    <row r="857" ht="15.75" customHeight="1">
      <c r="A857" s="150"/>
    </row>
    <row r="858" ht="15.75" customHeight="1">
      <c r="A858" s="150"/>
    </row>
    <row r="859" ht="15.75" customHeight="1">
      <c r="A859" s="150"/>
    </row>
    <row r="860" ht="15.75" customHeight="1">
      <c r="A860" s="150"/>
    </row>
    <row r="861" ht="15.75" customHeight="1">
      <c r="A861" s="150"/>
    </row>
    <row r="862" ht="15.75" customHeight="1">
      <c r="A862" s="150"/>
    </row>
    <row r="863" ht="15.75" customHeight="1">
      <c r="A863" s="150"/>
    </row>
    <row r="864" ht="15.75" customHeight="1">
      <c r="A864" s="150"/>
    </row>
    <row r="865" ht="15.75" customHeight="1">
      <c r="A865" s="150"/>
    </row>
    <row r="866" ht="15.75" customHeight="1">
      <c r="A866" s="150"/>
    </row>
    <row r="867" ht="15.75" customHeight="1">
      <c r="A867" s="150"/>
    </row>
    <row r="868" ht="15.75" customHeight="1">
      <c r="A868" s="150"/>
    </row>
    <row r="869" ht="15.75" customHeight="1">
      <c r="A869" s="150"/>
    </row>
    <row r="870" ht="15.75" customHeight="1">
      <c r="A870" s="150"/>
    </row>
    <row r="871" ht="15.75" customHeight="1">
      <c r="A871" s="150"/>
    </row>
    <row r="872" ht="15.75" customHeight="1">
      <c r="A872" s="150"/>
    </row>
    <row r="873" ht="15.75" customHeight="1">
      <c r="A873" s="150"/>
    </row>
    <row r="874" ht="15.75" customHeight="1">
      <c r="A874" s="150"/>
    </row>
    <row r="875" ht="15.75" customHeight="1">
      <c r="A875" s="150"/>
    </row>
    <row r="876" ht="15.75" customHeight="1">
      <c r="A876" s="150"/>
    </row>
    <row r="877" ht="15.75" customHeight="1">
      <c r="A877" s="150"/>
    </row>
    <row r="878" ht="15.75" customHeight="1">
      <c r="A878" s="150"/>
    </row>
    <row r="879" ht="15.75" customHeight="1">
      <c r="A879" s="150"/>
    </row>
    <row r="880" ht="15.75" customHeight="1">
      <c r="A880" s="150"/>
    </row>
    <row r="881" ht="15.75" customHeight="1">
      <c r="A881" s="150"/>
    </row>
    <row r="882" ht="15.75" customHeight="1">
      <c r="A882" s="150"/>
    </row>
    <row r="883" ht="15.75" customHeight="1">
      <c r="A883" s="150"/>
    </row>
    <row r="884" ht="15.75" customHeight="1">
      <c r="A884" s="150"/>
    </row>
    <row r="885" ht="15.75" customHeight="1">
      <c r="A885" s="150"/>
    </row>
    <row r="886" ht="15.75" customHeight="1">
      <c r="A886" s="150"/>
    </row>
    <row r="887" ht="15.75" customHeight="1">
      <c r="A887" s="150"/>
    </row>
    <row r="888" ht="15.75" customHeight="1">
      <c r="A888" s="150"/>
    </row>
    <row r="889" ht="15.75" customHeight="1">
      <c r="A889" s="150"/>
    </row>
    <row r="890" ht="15.75" customHeight="1">
      <c r="A890" s="150"/>
    </row>
    <row r="891" ht="15.75" customHeight="1">
      <c r="A891" s="150"/>
    </row>
    <row r="892" ht="15.75" customHeight="1">
      <c r="A892" s="150"/>
    </row>
    <row r="893" ht="15.75" customHeight="1">
      <c r="A893" s="150"/>
    </row>
    <row r="894" ht="15.75" customHeight="1">
      <c r="A894" s="150"/>
    </row>
    <row r="895" ht="15.75" customHeight="1">
      <c r="A895" s="150"/>
    </row>
    <row r="896" ht="15.75" customHeight="1">
      <c r="A896" s="150"/>
    </row>
    <row r="897" ht="15.75" customHeight="1">
      <c r="A897" s="150"/>
    </row>
    <row r="898" ht="15.75" customHeight="1">
      <c r="A898" s="150"/>
    </row>
    <row r="899" ht="15.75" customHeight="1">
      <c r="A899" s="150"/>
    </row>
    <row r="900" ht="15.75" customHeight="1">
      <c r="A900" s="150"/>
    </row>
    <row r="901" ht="15.75" customHeight="1">
      <c r="A901" s="150"/>
    </row>
    <row r="902" ht="15.75" customHeight="1">
      <c r="A902" s="150"/>
    </row>
    <row r="903" ht="15.75" customHeight="1">
      <c r="A903" s="150"/>
    </row>
    <row r="904" ht="15.75" customHeight="1">
      <c r="A904" s="150"/>
    </row>
    <row r="905" ht="15.75" customHeight="1">
      <c r="A905" s="150"/>
    </row>
    <row r="906" ht="15.75" customHeight="1">
      <c r="A906" s="150"/>
    </row>
    <row r="907" ht="15.75" customHeight="1">
      <c r="A907" s="150"/>
    </row>
    <row r="908" ht="15.75" customHeight="1">
      <c r="A908" s="150"/>
    </row>
    <row r="909" ht="15.75" customHeight="1">
      <c r="A909" s="150"/>
    </row>
    <row r="910" ht="15.75" customHeight="1">
      <c r="A910" s="150"/>
    </row>
    <row r="911" ht="15.75" customHeight="1">
      <c r="A911" s="150"/>
    </row>
    <row r="912" ht="15.75" customHeight="1">
      <c r="A912" s="150"/>
    </row>
    <row r="913" ht="15.75" customHeight="1">
      <c r="A913" s="150"/>
    </row>
    <row r="914" ht="15.75" customHeight="1">
      <c r="A914" s="150"/>
    </row>
    <row r="915" ht="15.75" customHeight="1">
      <c r="A915" s="150"/>
    </row>
    <row r="916" ht="15.75" customHeight="1">
      <c r="A916" s="150"/>
    </row>
    <row r="917" ht="15.75" customHeight="1">
      <c r="A917" s="150"/>
    </row>
    <row r="918" ht="15.75" customHeight="1">
      <c r="A918" s="150"/>
    </row>
    <row r="919" ht="15.75" customHeight="1">
      <c r="A919" s="150"/>
    </row>
    <row r="920" ht="15.75" customHeight="1">
      <c r="A920" s="150"/>
    </row>
    <row r="921" ht="15.75" customHeight="1">
      <c r="A921" s="150"/>
    </row>
    <row r="922" ht="15.75" customHeight="1">
      <c r="A922" s="150"/>
    </row>
    <row r="923" ht="15.75" customHeight="1">
      <c r="A923" s="150"/>
    </row>
    <row r="924" ht="15.75" customHeight="1">
      <c r="A924" s="150"/>
    </row>
    <row r="925" ht="15.75" customHeight="1">
      <c r="A925" s="150"/>
    </row>
    <row r="926" ht="15.75" customHeight="1">
      <c r="A926" s="150"/>
    </row>
    <row r="927" ht="15.75" customHeight="1">
      <c r="A927" s="150"/>
    </row>
    <row r="928" ht="15.75" customHeight="1">
      <c r="A928" s="150"/>
    </row>
    <row r="929" ht="15.75" customHeight="1">
      <c r="A929" s="150"/>
    </row>
    <row r="930" ht="15.75" customHeight="1">
      <c r="A930" s="150"/>
    </row>
    <row r="931" ht="15.75" customHeight="1">
      <c r="A931" s="150"/>
    </row>
    <row r="932" ht="15.75" customHeight="1">
      <c r="A932" s="150"/>
    </row>
    <row r="933" ht="15.75" customHeight="1">
      <c r="A933" s="150"/>
    </row>
    <row r="934" ht="15.75" customHeight="1">
      <c r="A934" s="150"/>
    </row>
    <row r="935" ht="15.75" customHeight="1">
      <c r="A935" s="150"/>
    </row>
    <row r="936" ht="15.75" customHeight="1">
      <c r="A936" s="150"/>
    </row>
    <row r="937" ht="15.75" customHeight="1">
      <c r="A937" s="150"/>
    </row>
    <row r="938" ht="15.75" customHeight="1">
      <c r="A938" s="150"/>
    </row>
    <row r="939" ht="15.75" customHeight="1">
      <c r="A939" s="150"/>
    </row>
    <row r="940" ht="15.75" customHeight="1">
      <c r="A940" s="150"/>
    </row>
    <row r="941" ht="15.75" customHeight="1">
      <c r="A941" s="150"/>
    </row>
    <row r="942" ht="15.75" customHeight="1">
      <c r="A942" s="150"/>
    </row>
    <row r="943" ht="15.75" customHeight="1">
      <c r="A943" s="150"/>
    </row>
    <row r="944" ht="15.75" customHeight="1">
      <c r="A944" s="150"/>
    </row>
    <row r="945" ht="15.75" customHeight="1">
      <c r="A945" s="150"/>
    </row>
    <row r="946" ht="15.75" customHeight="1">
      <c r="A946" s="150"/>
    </row>
    <row r="947" ht="15.75" customHeight="1">
      <c r="A947" s="150"/>
    </row>
    <row r="948" ht="15.75" customHeight="1">
      <c r="A948" s="150"/>
    </row>
    <row r="949" ht="15.75" customHeight="1">
      <c r="A949" s="150"/>
    </row>
    <row r="950" ht="15.75" customHeight="1">
      <c r="A950" s="150"/>
    </row>
    <row r="951" ht="15.75" customHeight="1">
      <c r="A951" s="150"/>
    </row>
    <row r="952" ht="15.75" customHeight="1">
      <c r="A952" s="150"/>
    </row>
    <row r="953" ht="15.75" customHeight="1">
      <c r="A953" s="150"/>
    </row>
    <row r="954" ht="15.75" customHeight="1">
      <c r="A954" s="150"/>
    </row>
    <row r="955" ht="15.75" customHeight="1">
      <c r="A955" s="150"/>
    </row>
    <row r="956" ht="15.75" customHeight="1">
      <c r="A956" s="150"/>
    </row>
    <row r="957" ht="15.75" customHeight="1">
      <c r="A957" s="150"/>
    </row>
    <row r="958" ht="15.75" customHeight="1">
      <c r="A958" s="150"/>
    </row>
    <row r="959" ht="15.75" customHeight="1">
      <c r="A959" s="150"/>
    </row>
    <row r="960" ht="15.75" customHeight="1">
      <c r="A960" s="150"/>
    </row>
    <row r="961" ht="15.75" customHeight="1">
      <c r="A961" s="150"/>
    </row>
    <row r="962" ht="15.75" customHeight="1">
      <c r="A962" s="150"/>
    </row>
    <row r="963" ht="15.75" customHeight="1">
      <c r="A963" s="150"/>
    </row>
    <row r="964" ht="15.75" customHeight="1">
      <c r="A964" s="150"/>
    </row>
    <row r="965" ht="15.75" customHeight="1">
      <c r="A965" s="150"/>
    </row>
    <row r="966" ht="15.75" customHeight="1">
      <c r="A966" s="150"/>
    </row>
    <row r="967" ht="15.75" customHeight="1">
      <c r="A967" s="150"/>
    </row>
    <row r="968" ht="15.75" customHeight="1">
      <c r="A968" s="150"/>
    </row>
    <row r="969" ht="15.75" customHeight="1">
      <c r="A969" s="150"/>
    </row>
    <row r="970" ht="15.75" customHeight="1">
      <c r="A970" s="150"/>
    </row>
    <row r="971" ht="15.75" customHeight="1">
      <c r="A971" s="150"/>
    </row>
    <row r="972" ht="15.75" customHeight="1">
      <c r="A972" s="150"/>
    </row>
    <row r="973" ht="15.75" customHeight="1">
      <c r="A973" s="150"/>
    </row>
    <row r="974" ht="15.75" customHeight="1">
      <c r="A974" s="150"/>
    </row>
    <row r="975" ht="15.75" customHeight="1">
      <c r="A975" s="150"/>
    </row>
    <row r="976" ht="15.75" customHeight="1">
      <c r="A976" s="150"/>
    </row>
    <row r="977" ht="15.75" customHeight="1">
      <c r="A977" s="150"/>
    </row>
    <row r="978" ht="15.75" customHeight="1">
      <c r="A978" s="150"/>
    </row>
    <row r="979" ht="15.75" customHeight="1">
      <c r="A979" s="150"/>
    </row>
    <row r="980" ht="15.75" customHeight="1">
      <c r="A980" s="150"/>
    </row>
    <row r="981" ht="15.75" customHeight="1">
      <c r="A981" s="150"/>
    </row>
    <row r="982" ht="15.75" customHeight="1">
      <c r="A982" s="150"/>
    </row>
    <row r="983" ht="15.75" customHeight="1">
      <c r="A983" s="150"/>
    </row>
    <row r="984" ht="15.75" customHeight="1">
      <c r="A984" s="150"/>
    </row>
    <row r="985" ht="15.75" customHeight="1">
      <c r="A985" s="150"/>
    </row>
    <row r="986" ht="15.75" customHeight="1">
      <c r="A986" s="150"/>
    </row>
    <row r="987" ht="15.75" customHeight="1">
      <c r="A987" s="150"/>
    </row>
    <row r="988" ht="15.75" customHeight="1">
      <c r="A988" s="150"/>
    </row>
    <row r="989" ht="15.75" customHeight="1">
      <c r="A989" s="150"/>
    </row>
    <row r="990" ht="15.75" customHeight="1">
      <c r="A990" s="150"/>
    </row>
    <row r="991" ht="15.75" customHeight="1">
      <c r="A991" s="150"/>
    </row>
    <row r="992" ht="15.75" customHeight="1">
      <c r="A992" s="150"/>
    </row>
    <row r="993" ht="15.75" customHeight="1">
      <c r="A993" s="150"/>
    </row>
    <row r="994" ht="15.75" customHeight="1">
      <c r="A994" s="150"/>
    </row>
    <row r="995" ht="15.75" customHeight="1">
      <c r="A995" s="150"/>
    </row>
    <row r="996" ht="15.75" customHeight="1">
      <c r="A996" s="150"/>
    </row>
    <row r="997" ht="15.75" customHeight="1">
      <c r="A997" s="150"/>
    </row>
    <row r="998" ht="15.75" customHeight="1">
      <c r="A998" s="150"/>
    </row>
    <row r="999" ht="15.75" customHeight="1">
      <c r="A999" s="150"/>
    </row>
    <row r="1000" ht="15.75" customHeight="1">
      <c r="A1000" s="150"/>
    </row>
  </sheetData>
  <conditionalFormatting sqref="C2:N25">
    <cfRule type="expression" dxfId="0" priority="1">
      <formula>C2&lt;B2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4.57"/>
    <col customWidth="1" min="2" max="2" width="38.71"/>
    <col customWidth="1" min="3" max="3" width="14.0"/>
    <col customWidth="1" min="4" max="4" width="8.86"/>
    <col customWidth="1" min="5" max="13" width="8.71"/>
    <col customWidth="1" min="14" max="14" width="10.29"/>
    <col customWidth="1" min="15" max="17" width="8.71"/>
    <col customWidth="1" min="18" max="18" width="11.86"/>
    <col customWidth="1" min="19" max="19" width="9.86"/>
    <col customWidth="1" min="20" max="26" width="8.71"/>
  </cols>
  <sheetData>
    <row r="1">
      <c r="A1" s="147" t="s">
        <v>255</v>
      </c>
      <c r="B1" s="147" t="s">
        <v>287</v>
      </c>
      <c r="C1" s="147" t="str">
        <f t="array" ref="C1:C146">UNIQUE('Business - Dump'!D:D)</f>
        <v>(Child) ASIN</v>
      </c>
      <c r="D1" s="140" t="s">
        <v>36</v>
      </c>
      <c r="E1" s="140" t="s">
        <v>45</v>
      </c>
      <c r="F1" s="140" t="s">
        <v>46</v>
      </c>
      <c r="G1" s="148" t="s">
        <v>47</v>
      </c>
      <c r="H1" s="148" t="s">
        <v>48</v>
      </c>
      <c r="I1" s="148" t="s">
        <v>50</v>
      </c>
      <c r="J1" s="148" t="s">
        <v>54</v>
      </c>
      <c r="K1" s="148" t="s">
        <v>56</v>
      </c>
      <c r="L1" s="148" t="s">
        <v>58</v>
      </c>
      <c r="M1" s="148" t="s">
        <v>61</v>
      </c>
      <c r="N1" s="148" t="s">
        <v>63</v>
      </c>
      <c r="O1" s="148" t="s">
        <v>65</v>
      </c>
      <c r="P1" s="148" t="s">
        <v>67</v>
      </c>
      <c r="Q1" s="148" t="s">
        <v>70</v>
      </c>
      <c r="R1" s="135">
        <v>45658.0</v>
      </c>
      <c r="S1" s="135">
        <v>45689.0</v>
      </c>
      <c r="T1" s="135">
        <v>45717.0</v>
      </c>
    </row>
    <row r="2">
      <c r="A2" s="10" t="str">
        <f t="array" ref="A2">_xlfn.XLOOKUP(C2,'Business - Dump'!$D:$D,'Business - Dump'!$B:$B)</f>
        <v>Standing Table  - M8</v>
      </c>
      <c r="B2" s="10" t="str">
        <f t="array" ref="B2">_xlfn.XLOOKUP(C2,'Referanc '!$A:$A,'Referanc '!$D:$D)</f>
        <v>IS MT 2S OF</v>
      </c>
      <c r="C2" s="10" t="s">
        <v>289</v>
      </c>
      <c r="D2" s="3">
        <f>SUMIFS('Business - Dump'!$W:$W,'Business - Dump'!$D:$D,'SKU Order Report '!$C2,'Business - Dump'!$A:$A,'SKU Order Report '!D$1)</f>
        <v>10</v>
      </c>
      <c r="E2" s="3">
        <f>SUMIFS('Business - Dump'!$W:$W,'Business - Dump'!$D:$D,'SKU Order Report '!$C2,'Business - Dump'!$A:$A,'SKU Order Report '!E$1)</f>
        <v>10</v>
      </c>
      <c r="F2" s="3">
        <f>SUMIFS('Business - Dump'!$W:$W,'Business - Dump'!$D:$D,'SKU Order Report '!$C2,'Business - Dump'!$A:$A,'SKU Order Report '!F$1)</f>
        <v>2</v>
      </c>
      <c r="G2" s="3">
        <f>SUMIFS('Business - Dump'!$W:$W,'Business - Dump'!$D:$D,'SKU Order Report '!$C2,'Business - Dump'!$A:$A,'SKU Order Report '!G$1)</f>
        <v>0</v>
      </c>
      <c r="H2" s="3">
        <f>SUMIFS('Business - Dump'!$W:$W,'Business - Dump'!$D:$D,'SKU Order Report '!$C2,'Business - Dump'!$A:$A,'SKU Order Report '!H$1)</f>
        <v>0</v>
      </c>
      <c r="I2" s="3">
        <f>SUMIFS('Business - Dump'!$W:$W,'Business - Dump'!$D:$D,'SKU Order Report '!$C2,'Business - Dump'!$A:$A,'SKU Order Report '!I$1)</f>
        <v>0</v>
      </c>
      <c r="J2" s="3">
        <f>SUMIFS('Business - Dump'!$W:$W,'Business - Dump'!$D:$D,'SKU Order Report '!$C2,'Business - Dump'!$A:$A,'SKU Order Report '!J$1)</f>
        <v>0</v>
      </c>
      <c r="K2" s="3">
        <f>SUMIFS('Business - Dump'!$W:$W,'Business - Dump'!$D:$D,'SKU Order Report '!$C2,'Business - Dump'!$A:$A,'SKU Order Report '!K$1)</f>
        <v>0</v>
      </c>
      <c r="L2" s="3">
        <f>SUMIFS('Business - Dump'!$W:$W,'Business - Dump'!$D:$D,'SKU Order Report '!$C2,'Business - Dump'!$A:$A,'SKU Order Report '!L$1)</f>
        <v>0</v>
      </c>
      <c r="M2" s="3">
        <f>SUMIFS('Business - Dump'!$W:$W,'Business - Dump'!$D:$D,'SKU Order Report '!$C2,'Business - Dump'!$A:$A,'SKU Order Report '!M$1)</f>
        <v>0</v>
      </c>
      <c r="N2" s="3">
        <f>SUMIFS('Business - Dump'!$W:$W,'Business - Dump'!$D:$D,'SKU Order Report '!$C2,'Business - Dump'!$A:$A,'SKU Order Report '!N$1)</f>
        <v>0</v>
      </c>
      <c r="O2" s="3">
        <f>SUMIFS('Business - Dump'!$W:$W,'Business - Dump'!$D:$D,'SKU Order Report '!$C2,'Business - Dump'!$A:$A,'SKU Order Report '!O$1)</f>
        <v>0</v>
      </c>
      <c r="P2" s="3">
        <f>SUMIFS('Business - Dump'!$W:$W,'Business - Dump'!$D:$D,'SKU Order Report '!$C2,'Business - Dump'!$A:$A,'SKU Order Report '!P$1)</f>
        <v>0</v>
      </c>
      <c r="Q2" s="3">
        <f>SUMIFS('Business - Dump'!$W:$W,'Business - Dump'!$D:$D,'SKU Order Report '!$C2,'Business - Dump'!$A:$A,'SKU Order Report '!Q$1)</f>
        <v>0</v>
      </c>
      <c r="R2" s="3">
        <f>SUMIFS('Business - Dump'!$W:$W,'Business - Dump'!$D:$D,'SKU Order Report '!$C2,'Business - Dump'!$A:$A,'SKU Order Report '!R$1)</f>
        <v>0</v>
      </c>
      <c r="S2" s="3">
        <f>SUMIFS('Business - Dump'!$W:$W,'Business - Dump'!$D:$D,'SKU Order Report '!$C2,'Business - Dump'!$A:$A,'SKU Order Report '!S$1)</f>
        <v>0</v>
      </c>
      <c r="T2" s="3">
        <f>SUMIFS('Business - Dump'!$W:$W,'Business - Dump'!$D:$D,'SKU Order Report '!$C2,'Business - Dump'!$A:$A,'SKU Order Report '!T$1)</f>
        <v>0</v>
      </c>
    </row>
    <row r="3">
      <c r="A3" s="10" t="str">
        <f t="array" ref="A3">_xlfn.XLOOKUP(C3,'Business - Dump'!$D:$D,'Business - Dump'!$B:$B)</f>
        <v>Standing Table  - SM3</v>
      </c>
      <c r="B3" s="10" t="str">
        <f t="array" ref="B3">_xlfn.XLOOKUP(C3,'Referanc '!$A:$A,'Referanc '!$D:$D)</f>
        <v>EY HAT 1M 2S WHT SM3 V02 WG 600X1200</v>
      </c>
      <c r="C3" s="10" t="s">
        <v>291</v>
      </c>
      <c r="D3" s="3">
        <f>SUMIFS('Business - Dump'!$W:$W,'Business - Dump'!$D:$D,'SKU Order Report '!$C3,'Business - Dump'!$A:$A,'SKU Order Report '!D$1)</f>
        <v>10</v>
      </c>
      <c r="E3" s="3">
        <f>SUMIFS('Business - Dump'!$W:$W,'Business - Dump'!$D:$D,'SKU Order Report '!$C3,'Business - Dump'!$A:$A,'SKU Order Report '!E$1)</f>
        <v>22</v>
      </c>
      <c r="F3" s="3">
        <f>SUMIFS('Business - Dump'!$W:$W,'Business - Dump'!$D:$D,'SKU Order Report '!$C3,'Business - Dump'!$A:$A,'SKU Order Report '!F$1)</f>
        <v>18</v>
      </c>
      <c r="G3" s="3">
        <f>SUMIFS('Business - Dump'!$W:$W,'Business - Dump'!$D:$D,'SKU Order Report '!$C3,'Business - Dump'!$A:$A,'SKU Order Report '!G$1)</f>
        <v>27</v>
      </c>
      <c r="H3" s="3">
        <f>SUMIFS('Business - Dump'!$W:$W,'Business - Dump'!$D:$D,'SKU Order Report '!$C3,'Business - Dump'!$A:$A,'SKU Order Report '!H$1)</f>
        <v>26</v>
      </c>
      <c r="I3" s="3">
        <f>SUMIFS('Business - Dump'!$W:$W,'Business - Dump'!$D:$D,'SKU Order Report '!$C3,'Business - Dump'!$A:$A,'SKU Order Report '!I$1)</f>
        <v>20</v>
      </c>
      <c r="J3" s="3">
        <f>SUMIFS('Business - Dump'!$W:$W,'Business - Dump'!$D:$D,'SKU Order Report '!$C3,'Business - Dump'!$A:$A,'SKU Order Report '!J$1)</f>
        <v>38</v>
      </c>
      <c r="K3" s="3">
        <f>SUMIFS('Business - Dump'!$W:$W,'Business - Dump'!$D:$D,'SKU Order Report '!$C3,'Business - Dump'!$A:$A,'SKU Order Report '!K$1)</f>
        <v>21</v>
      </c>
      <c r="L3" s="3">
        <f>SUMIFS('Business - Dump'!$W:$W,'Business - Dump'!$D:$D,'SKU Order Report '!$C3,'Business - Dump'!$A:$A,'SKU Order Report '!L$1)</f>
        <v>40</v>
      </c>
      <c r="M3" s="3">
        <f>SUMIFS('Business - Dump'!$W:$W,'Business - Dump'!$D:$D,'SKU Order Report '!$C3,'Business - Dump'!$A:$A,'SKU Order Report '!M$1)</f>
        <v>30</v>
      </c>
      <c r="N3" s="3">
        <f>SUMIFS('Business - Dump'!$W:$W,'Business - Dump'!$D:$D,'SKU Order Report '!$C3,'Business - Dump'!$A:$A,'SKU Order Report '!N$1)</f>
        <v>43</v>
      </c>
      <c r="O3" s="3">
        <f>SUMIFS('Business - Dump'!$W:$W,'Business - Dump'!$D:$D,'SKU Order Report '!$C3,'Business - Dump'!$A:$A,'SKU Order Report '!O$1)</f>
        <v>27</v>
      </c>
      <c r="P3" s="3">
        <f>SUMIFS('Business - Dump'!$W:$W,'Business - Dump'!$D:$D,'SKU Order Report '!$C3,'Business - Dump'!$A:$A,'SKU Order Report '!P$1)</f>
        <v>19</v>
      </c>
      <c r="Q3" s="3">
        <f>SUMIFS('Business - Dump'!$W:$W,'Business - Dump'!$D:$D,'SKU Order Report '!$C3,'Business - Dump'!$A:$A,'SKU Order Report '!Q$1)</f>
        <v>15</v>
      </c>
      <c r="R3" s="3">
        <f>SUMIFS('Business - Dump'!$W:$W,'Business - Dump'!$D:$D,'SKU Order Report '!$C3,'Business - Dump'!$A:$A,'SKU Order Report '!R$1)</f>
        <v>18</v>
      </c>
      <c r="S3" s="3">
        <f>SUMIFS('Business - Dump'!$W:$W,'Business - Dump'!$D:$D,'SKU Order Report '!$C3,'Business - Dump'!$A:$A,'SKU Order Report '!S$1)</f>
        <v>11</v>
      </c>
      <c r="T3" s="3">
        <f>SUMIFS('Business - Dump'!$W:$W,'Business - Dump'!$D:$D,'SKU Order Report '!$C3,'Business - Dump'!$A:$A,'SKU Order Report '!T$1)</f>
        <v>13</v>
      </c>
    </row>
    <row r="4">
      <c r="A4" s="10" t="str">
        <f t="array" ref="A4">_xlfn.XLOOKUP(C4,'Business - Dump'!$D:$D,'Business - Dump'!$B:$B)</f>
        <v>Standing Table  - E2</v>
      </c>
      <c r="B4" s="10" t="str">
        <f t="array" ref="B4">_xlfn.XLOOKUP(C4,'Referanc '!$A:$A,'Referanc '!$D:$D)</f>
        <v>EY HAT 2M 2S WHT E2 V03 WG 600X1200</v>
      </c>
      <c r="C4" s="10" t="s">
        <v>293</v>
      </c>
      <c r="D4" s="3">
        <f>SUMIFS('Business - Dump'!$W:$W,'Business - Dump'!$D:$D,'SKU Order Report '!$C4,'Business - Dump'!$A:$A,'SKU Order Report '!D$1)</f>
        <v>10</v>
      </c>
      <c r="E4" s="3">
        <f>SUMIFS('Business - Dump'!$W:$W,'Business - Dump'!$D:$D,'SKU Order Report '!$C4,'Business - Dump'!$A:$A,'SKU Order Report '!E$1)</f>
        <v>13</v>
      </c>
      <c r="F4" s="3">
        <f>SUMIFS('Business - Dump'!$W:$W,'Business - Dump'!$D:$D,'SKU Order Report '!$C4,'Business - Dump'!$A:$A,'SKU Order Report '!F$1)</f>
        <v>6</v>
      </c>
      <c r="G4" s="3">
        <f>SUMIFS('Business - Dump'!$W:$W,'Business - Dump'!$D:$D,'SKU Order Report '!$C4,'Business - Dump'!$A:$A,'SKU Order Report '!G$1)</f>
        <v>3</v>
      </c>
      <c r="H4" s="3">
        <f>SUMIFS('Business - Dump'!$W:$W,'Business - Dump'!$D:$D,'SKU Order Report '!$C4,'Business - Dump'!$A:$A,'SKU Order Report '!H$1)</f>
        <v>4</v>
      </c>
      <c r="I4" s="3">
        <f>SUMIFS('Business - Dump'!$W:$W,'Business - Dump'!$D:$D,'SKU Order Report '!$C4,'Business - Dump'!$A:$A,'SKU Order Report '!I$1)</f>
        <v>5</v>
      </c>
      <c r="J4" s="3">
        <f>SUMIFS('Business - Dump'!$W:$W,'Business - Dump'!$D:$D,'SKU Order Report '!$C4,'Business - Dump'!$A:$A,'SKU Order Report '!J$1)</f>
        <v>4</v>
      </c>
      <c r="K4" s="3">
        <f>SUMIFS('Business - Dump'!$W:$W,'Business - Dump'!$D:$D,'SKU Order Report '!$C4,'Business - Dump'!$A:$A,'SKU Order Report '!K$1)</f>
        <v>13</v>
      </c>
      <c r="L4" s="3">
        <f>SUMIFS('Business - Dump'!$W:$W,'Business - Dump'!$D:$D,'SKU Order Report '!$C4,'Business - Dump'!$A:$A,'SKU Order Report '!L$1)</f>
        <v>11</v>
      </c>
      <c r="M4" s="3">
        <f>SUMIFS('Business - Dump'!$W:$W,'Business - Dump'!$D:$D,'SKU Order Report '!$C4,'Business - Dump'!$A:$A,'SKU Order Report '!M$1)</f>
        <v>5</v>
      </c>
      <c r="N4" s="3">
        <f>SUMIFS('Business - Dump'!$W:$W,'Business - Dump'!$D:$D,'SKU Order Report '!$C4,'Business - Dump'!$A:$A,'SKU Order Report '!N$1)</f>
        <v>6</v>
      </c>
      <c r="O4" s="3">
        <f>SUMIFS('Business - Dump'!$W:$W,'Business - Dump'!$D:$D,'SKU Order Report '!$C4,'Business - Dump'!$A:$A,'SKU Order Report '!O$1)</f>
        <v>16</v>
      </c>
      <c r="P4" s="3">
        <f>SUMIFS('Business - Dump'!$W:$W,'Business - Dump'!$D:$D,'SKU Order Report '!$C4,'Business - Dump'!$A:$A,'SKU Order Report '!P$1)</f>
        <v>1</v>
      </c>
      <c r="Q4" s="3">
        <f>SUMIFS('Business - Dump'!$W:$W,'Business - Dump'!$D:$D,'SKU Order Report '!$C4,'Business - Dump'!$A:$A,'SKU Order Report '!Q$1)</f>
        <v>1</v>
      </c>
      <c r="R4" s="3">
        <f>SUMIFS('Business - Dump'!$W:$W,'Business - Dump'!$D:$D,'SKU Order Report '!$C4,'Business - Dump'!$A:$A,'SKU Order Report '!R$1)</f>
        <v>7</v>
      </c>
      <c r="S4" s="3">
        <f>SUMIFS('Business - Dump'!$W:$W,'Business - Dump'!$D:$D,'SKU Order Report '!$C4,'Business - Dump'!$A:$A,'SKU Order Report '!S$1)</f>
        <v>2</v>
      </c>
      <c r="T4" s="3">
        <f>SUMIFS('Business - Dump'!$W:$W,'Business - Dump'!$D:$D,'SKU Order Report '!$C4,'Business - Dump'!$A:$A,'SKU Order Report '!T$1)</f>
        <v>6</v>
      </c>
    </row>
    <row r="5">
      <c r="A5" s="10" t="str">
        <f t="array" ref="A5">_xlfn.XLOOKUP(C5,'Business - Dump'!$D:$D,'Business - Dump'!$B:$B)</f>
        <v>Standing Table  - SM3</v>
      </c>
      <c r="B5" s="10" t="str">
        <f t="array" ref="B5">_xlfn.XLOOKUP(C5,'Referanc '!$A:$A,'Referanc '!$D:$D)</f>
        <v>EY HAT 1M 2S WHT SM3 V02 PW 750x1500</v>
      </c>
      <c r="C5" s="10" t="s">
        <v>296</v>
      </c>
      <c r="D5" s="3">
        <f>SUMIFS('Business - Dump'!$W:$W,'Business - Dump'!$D:$D,'SKU Order Report '!$C5,'Business - Dump'!$A:$A,'SKU Order Report '!D$1)</f>
        <v>9</v>
      </c>
      <c r="E5" s="3">
        <f>SUMIFS('Business - Dump'!$W:$W,'Business - Dump'!$D:$D,'SKU Order Report '!$C5,'Business - Dump'!$A:$A,'SKU Order Report '!E$1)</f>
        <v>17</v>
      </c>
      <c r="F5" s="3">
        <f>SUMIFS('Business - Dump'!$W:$W,'Business - Dump'!$D:$D,'SKU Order Report '!$C5,'Business - Dump'!$A:$A,'SKU Order Report '!F$1)</f>
        <v>10</v>
      </c>
      <c r="G5" s="3">
        <f>SUMIFS('Business - Dump'!$W:$W,'Business - Dump'!$D:$D,'SKU Order Report '!$C5,'Business - Dump'!$A:$A,'SKU Order Report '!G$1)</f>
        <v>14</v>
      </c>
      <c r="H5" s="3">
        <f>SUMIFS('Business - Dump'!$W:$W,'Business - Dump'!$D:$D,'SKU Order Report '!$C5,'Business - Dump'!$A:$A,'SKU Order Report '!H$1)</f>
        <v>18</v>
      </c>
      <c r="I5" s="3">
        <f>SUMIFS('Business - Dump'!$W:$W,'Business - Dump'!$D:$D,'SKU Order Report '!$C5,'Business - Dump'!$A:$A,'SKU Order Report '!I$1)</f>
        <v>20</v>
      </c>
      <c r="J5" s="3">
        <f>SUMIFS('Business - Dump'!$W:$W,'Business - Dump'!$D:$D,'SKU Order Report '!$C5,'Business - Dump'!$A:$A,'SKU Order Report '!J$1)</f>
        <v>17</v>
      </c>
      <c r="K5" s="3">
        <f>SUMIFS('Business - Dump'!$W:$W,'Business - Dump'!$D:$D,'SKU Order Report '!$C5,'Business - Dump'!$A:$A,'SKU Order Report '!K$1)</f>
        <v>12</v>
      </c>
      <c r="L5" s="3">
        <f>SUMIFS('Business - Dump'!$W:$W,'Business - Dump'!$D:$D,'SKU Order Report '!$C5,'Business - Dump'!$A:$A,'SKU Order Report '!L$1)</f>
        <v>14</v>
      </c>
      <c r="M5" s="3">
        <f>SUMIFS('Business - Dump'!$W:$W,'Business - Dump'!$D:$D,'SKU Order Report '!$C5,'Business - Dump'!$A:$A,'SKU Order Report '!M$1)</f>
        <v>20</v>
      </c>
      <c r="N5" s="3">
        <f>SUMIFS('Business - Dump'!$W:$W,'Business - Dump'!$D:$D,'SKU Order Report '!$C5,'Business - Dump'!$A:$A,'SKU Order Report '!N$1)</f>
        <v>21</v>
      </c>
      <c r="O5" s="3">
        <f>SUMIFS('Business - Dump'!$W:$W,'Business - Dump'!$D:$D,'SKU Order Report '!$C5,'Business - Dump'!$A:$A,'SKU Order Report '!O$1)</f>
        <v>19</v>
      </c>
      <c r="P5" s="3">
        <f>SUMIFS('Business - Dump'!$W:$W,'Business - Dump'!$D:$D,'SKU Order Report '!$C5,'Business - Dump'!$A:$A,'SKU Order Report '!P$1)</f>
        <v>10</v>
      </c>
      <c r="Q5" s="3">
        <f>SUMIFS('Business - Dump'!$W:$W,'Business - Dump'!$D:$D,'SKU Order Report '!$C5,'Business - Dump'!$A:$A,'SKU Order Report '!Q$1)</f>
        <v>8</v>
      </c>
      <c r="R5" s="3">
        <f>SUMIFS('Business - Dump'!$W:$W,'Business - Dump'!$D:$D,'SKU Order Report '!$C5,'Business - Dump'!$A:$A,'SKU Order Report '!R$1)</f>
        <v>6</v>
      </c>
      <c r="S5" s="3">
        <f>SUMIFS('Business - Dump'!$W:$W,'Business - Dump'!$D:$D,'SKU Order Report '!$C5,'Business - Dump'!$A:$A,'SKU Order Report '!S$1)</f>
        <v>9</v>
      </c>
      <c r="T5" s="3">
        <f>SUMIFS('Business - Dump'!$W:$W,'Business - Dump'!$D:$D,'SKU Order Report '!$C5,'Business - Dump'!$A:$A,'SKU Order Report '!T$1)</f>
        <v>7</v>
      </c>
    </row>
    <row r="6">
      <c r="A6" s="10" t="str">
        <f t="array" ref="A6">_xlfn.XLOOKUP(C6,'Business - Dump'!$D:$D,'Business - Dump'!$B:$B)</f>
        <v>Standing Table - All Frames</v>
      </c>
      <c r="B6" s="10" t="str">
        <f t="array" ref="B6">_xlfn.XLOOKUP(C6,'Referanc '!$A:$A,'Referanc '!$D:$D)</f>
        <v>EY HAT 1M 2S WHT SM3 V02</v>
      </c>
      <c r="C6" s="10" t="s">
        <v>298</v>
      </c>
      <c r="D6" s="3">
        <f>SUMIFS('Business - Dump'!$W:$W,'Business - Dump'!$D:$D,'SKU Order Report '!$C6,'Business - Dump'!$A:$A,'SKU Order Report '!D$1)</f>
        <v>8</v>
      </c>
      <c r="E6" s="3">
        <f>SUMIFS('Business - Dump'!$W:$W,'Business - Dump'!$D:$D,'SKU Order Report '!$C6,'Business - Dump'!$A:$A,'SKU Order Report '!E$1)</f>
        <v>14</v>
      </c>
      <c r="F6" s="24">
        <f>SUMIFS('Business - Dump'!$W:$W,'Business - Dump'!$D:$D,'SKU Order Report '!$C6,'Business - Dump'!$A:$A,'SKU Order Report '!F$1)</f>
        <v>13</v>
      </c>
      <c r="G6" s="24">
        <f>SUMIFS('Business - Dump'!$W:$W,'Business - Dump'!$D:$D,'SKU Order Report '!$C6,'Business - Dump'!$A:$A,'SKU Order Report '!G$1)</f>
        <v>9</v>
      </c>
      <c r="H6" s="24">
        <f>SUMIFS('Business - Dump'!$W:$W,'Business - Dump'!$D:$D,'SKU Order Report '!$C6,'Business - Dump'!$A:$A,'SKU Order Report '!H$1)</f>
        <v>13</v>
      </c>
      <c r="I6" s="24">
        <f>SUMIFS('Business - Dump'!$W:$W,'Business - Dump'!$D:$D,'SKU Order Report '!$C6,'Business - Dump'!$A:$A,'SKU Order Report '!I$1)</f>
        <v>7</v>
      </c>
      <c r="J6" s="24">
        <f>SUMIFS('Business - Dump'!$W:$W,'Business - Dump'!$D:$D,'SKU Order Report '!$C6,'Business - Dump'!$A:$A,'SKU Order Report '!J$1)</f>
        <v>20</v>
      </c>
      <c r="K6" s="24">
        <f>SUMIFS('Business - Dump'!$W:$W,'Business - Dump'!$D:$D,'SKU Order Report '!$C6,'Business - Dump'!$A:$A,'SKU Order Report '!K$1)</f>
        <v>10</v>
      </c>
      <c r="L6" s="24">
        <f>SUMIFS('Business - Dump'!$W:$W,'Business - Dump'!$D:$D,'SKU Order Report '!$C6,'Business - Dump'!$A:$A,'SKU Order Report '!L$1)</f>
        <v>19</v>
      </c>
      <c r="M6" s="24">
        <f>SUMIFS('Business - Dump'!$W:$W,'Business - Dump'!$D:$D,'SKU Order Report '!$C6,'Business - Dump'!$A:$A,'SKU Order Report '!M$1)</f>
        <v>13</v>
      </c>
      <c r="N6" s="24">
        <f>SUMIFS('Business - Dump'!$W:$W,'Business - Dump'!$D:$D,'SKU Order Report '!$C6,'Business - Dump'!$A:$A,'SKU Order Report '!N$1)</f>
        <v>30</v>
      </c>
      <c r="O6" s="24">
        <f>SUMIFS('Business - Dump'!$W:$W,'Business - Dump'!$D:$D,'SKU Order Report '!$C6,'Business - Dump'!$A:$A,'SKU Order Report '!O$1)</f>
        <v>26</v>
      </c>
      <c r="P6" s="24">
        <f>SUMIFS('Business - Dump'!$W:$W,'Business - Dump'!$D:$D,'SKU Order Report '!$C6,'Business - Dump'!$A:$A,'SKU Order Report '!P$1)</f>
        <v>3</v>
      </c>
      <c r="Q6" s="24">
        <f>SUMIFS('Business - Dump'!$W:$W,'Business - Dump'!$D:$D,'SKU Order Report '!$C6,'Business - Dump'!$A:$A,'SKU Order Report '!Q$1)</f>
        <v>7</v>
      </c>
      <c r="R6" s="24">
        <f>SUMIFS('Business - Dump'!$W:$W,'Business - Dump'!$D:$D,'SKU Order Report '!$C6,'Business - Dump'!$A:$A,'SKU Order Report '!R$1)</f>
        <v>19</v>
      </c>
      <c r="S6" s="24">
        <f>SUMIFS('Business - Dump'!$W:$W,'Business - Dump'!$D:$D,'SKU Order Report '!$C6,'Business - Dump'!$A:$A,'SKU Order Report '!S$1)</f>
        <v>14</v>
      </c>
      <c r="T6" s="24">
        <f>SUMIFS('Business - Dump'!$W:$W,'Business - Dump'!$D:$D,'SKU Order Report '!$C6,'Business - Dump'!$A:$A,'SKU Order Report '!T$1)</f>
        <v>17</v>
      </c>
    </row>
    <row r="7">
      <c r="A7" s="10" t="str">
        <f t="array" ref="A7">_xlfn.XLOOKUP(C7,'Business - Dump'!$D:$D,'Business - Dump'!$B:$B)</f>
        <v>Standing Table  - SM3</v>
      </c>
      <c r="B7" s="10" t="str">
        <f t="array" ref="B7">_xlfn.XLOOKUP(C7,'Referanc '!$A:$A,'Referanc '!$D:$D)</f>
        <v>EY HAT 1M 2S WHT SM3 V02 WG 750x1500</v>
      </c>
      <c r="C7" s="10" t="s">
        <v>301</v>
      </c>
      <c r="D7" s="3">
        <f>SUMIFS('Business - Dump'!$W:$W,'Business - Dump'!$D:$D,'SKU Order Report '!$C7,'Business - Dump'!$A:$A,'SKU Order Report '!D$1)</f>
        <v>8</v>
      </c>
      <c r="E7" s="3">
        <f>SUMIFS('Business - Dump'!$W:$W,'Business - Dump'!$D:$D,'SKU Order Report '!$C7,'Business - Dump'!$A:$A,'SKU Order Report '!E$1)</f>
        <v>16</v>
      </c>
      <c r="F7" s="24">
        <f>SUMIFS('Business - Dump'!$W:$W,'Business - Dump'!$D:$D,'SKU Order Report '!$C7,'Business - Dump'!$A:$A,'SKU Order Report '!F$1)</f>
        <v>12</v>
      </c>
      <c r="G7" s="24">
        <f>SUMIFS('Business - Dump'!$W:$W,'Business - Dump'!$D:$D,'SKU Order Report '!$C7,'Business - Dump'!$A:$A,'SKU Order Report '!G$1)</f>
        <v>16</v>
      </c>
      <c r="H7" s="24">
        <f>SUMIFS('Business - Dump'!$W:$W,'Business - Dump'!$D:$D,'SKU Order Report '!$C7,'Business - Dump'!$A:$A,'SKU Order Report '!H$1)</f>
        <v>25</v>
      </c>
      <c r="I7" s="24">
        <f>SUMIFS('Business - Dump'!$W:$W,'Business - Dump'!$D:$D,'SKU Order Report '!$C7,'Business - Dump'!$A:$A,'SKU Order Report '!I$1)</f>
        <v>12</v>
      </c>
      <c r="J7" s="24">
        <f>SUMIFS('Business - Dump'!$W:$W,'Business - Dump'!$D:$D,'SKU Order Report '!$C7,'Business - Dump'!$A:$A,'SKU Order Report '!J$1)</f>
        <v>10</v>
      </c>
      <c r="K7" s="24">
        <f>SUMIFS('Business - Dump'!$W:$W,'Business - Dump'!$D:$D,'SKU Order Report '!$C7,'Business - Dump'!$A:$A,'SKU Order Report '!K$1)</f>
        <v>13</v>
      </c>
      <c r="L7" s="24">
        <f>SUMIFS('Business - Dump'!$W:$W,'Business - Dump'!$D:$D,'SKU Order Report '!$C7,'Business - Dump'!$A:$A,'SKU Order Report '!L$1)</f>
        <v>18</v>
      </c>
      <c r="M7" s="24">
        <f>SUMIFS('Business - Dump'!$W:$W,'Business - Dump'!$D:$D,'SKU Order Report '!$C7,'Business - Dump'!$A:$A,'SKU Order Report '!M$1)</f>
        <v>8</v>
      </c>
      <c r="N7" s="24">
        <f>SUMIFS('Business - Dump'!$W:$W,'Business - Dump'!$D:$D,'SKU Order Report '!$C7,'Business - Dump'!$A:$A,'SKU Order Report '!N$1)</f>
        <v>34</v>
      </c>
      <c r="O7" s="24">
        <f>SUMIFS('Business - Dump'!$W:$W,'Business - Dump'!$D:$D,'SKU Order Report '!$C7,'Business - Dump'!$A:$A,'SKU Order Report '!O$1)</f>
        <v>20</v>
      </c>
      <c r="P7" s="24">
        <f>SUMIFS('Business - Dump'!$W:$W,'Business - Dump'!$D:$D,'SKU Order Report '!$C7,'Business - Dump'!$A:$A,'SKU Order Report '!P$1)</f>
        <v>8</v>
      </c>
      <c r="Q7" s="24">
        <f>SUMIFS('Business - Dump'!$W:$W,'Business - Dump'!$D:$D,'SKU Order Report '!$C7,'Business - Dump'!$A:$A,'SKU Order Report '!Q$1)</f>
        <v>5</v>
      </c>
      <c r="R7" s="24">
        <f>SUMIFS('Business - Dump'!$W:$W,'Business - Dump'!$D:$D,'SKU Order Report '!$C7,'Business - Dump'!$A:$A,'SKU Order Report '!R$1)</f>
        <v>8</v>
      </c>
      <c r="S7" s="24">
        <f>SUMIFS('Business - Dump'!$W:$W,'Business - Dump'!$D:$D,'SKU Order Report '!$C7,'Business - Dump'!$A:$A,'SKU Order Report '!S$1)</f>
        <v>6</v>
      </c>
      <c r="T7" s="24">
        <f>SUMIFS('Business - Dump'!$W:$W,'Business - Dump'!$D:$D,'SKU Order Report '!$C7,'Business - Dump'!$A:$A,'SKU Order Report '!T$1)</f>
        <v>8</v>
      </c>
    </row>
    <row r="8">
      <c r="A8" s="10" t="str">
        <f t="array" ref="A8">_xlfn.XLOOKUP(C8,'Business - Dump'!$D:$D,'Business - Dump'!$B:$B)</f>
        <v>Standing Table  - M8</v>
      </c>
      <c r="B8" s="10" t="str">
        <f t="array" ref="B8">_xlfn.XLOOKUP(C8,'Referanc '!$A:$A,'Referanc '!$D:$D)</f>
        <v>IS MT 2S PW 600X1200</v>
      </c>
      <c r="C8" s="10" t="s">
        <v>302</v>
      </c>
      <c r="D8" s="3">
        <f>SUMIFS('Business - Dump'!$W:$W,'Business - Dump'!$D:$D,'SKU Order Report '!$C8,'Business - Dump'!$A:$A,'SKU Order Report '!D$1)</f>
        <v>7</v>
      </c>
      <c r="E8" s="3">
        <f>SUMIFS('Business - Dump'!$W:$W,'Business - Dump'!$D:$D,'SKU Order Report '!$C8,'Business - Dump'!$A:$A,'SKU Order Report '!E$1)</f>
        <v>10</v>
      </c>
      <c r="F8" s="24">
        <f>SUMIFS('Business - Dump'!$W:$W,'Business - Dump'!$D:$D,'SKU Order Report '!$C8,'Business - Dump'!$A:$A,'SKU Order Report '!F$1)</f>
        <v>2</v>
      </c>
      <c r="G8" s="24">
        <f>SUMIFS('Business - Dump'!$W:$W,'Business - Dump'!$D:$D,'SKU Order Report '!$C8,'Business - Dump'!$A:$A,'SKU Order Report '!G$1)</f>
        <v>0</v>
      </c>
      <c r="H8" s="24">
        <f>SUMIFS('Business - Dump'!$W:$W,'Business - Dump'!$D:$D,'SKU Order Report '!$C8,'Business - Dump'!$A:$A,'SKU Order Report '!H$1)</f>
        <v>0</v>
      </c>
      <c r="I8" s="24">
        <f>SUMIFS('Business - Dump'!$W:$W,'Business - Dump'!$D:$D,'SKU Order Report '!$C8,'Business - Dump'!$A:$A,'SKU Order Report '!I$1)</f>
        <v>0</v>
      </c>
      <c r="J8" s="24">
        <f>SUMIFS('Business - Dump'!$W:$W,'Business - Dump'!$D:$D,'SKU Order Report '!$C8,'Business - Dump'!$A:$A,'SKU Order Report '!J$1)</f>
        <v>0</v>
      </c>
      <c r="K8" s="24">
        <f>SUMIFS('Business - Dump'!$W:$W,'Business - Dump'!$D:$D,'SKU Order Report '!$C8,'Business - Dump'!$A:$A,'SKU Order Report '!K$1)</f>
        <v>0</v>
      </c>
      <c r="L8" s="24">
        <f>SUMIFS('Business - Dump'!$W:$W,'Business - Dump'!$D:$D,'SKU Order Report '!$C8,'Business - Dump'!$A:$A,'SKU Order Report '!L$1)</f>
        <v>0</v>
      </c>
      <c r="M8" s="24">
        <f>SUMIFS('Business - Dump'!$W:$W,'Business - Dump'!$D:$D,'SKU Order Report '!$C8,'Business - Dump'!$A:$A,'SKU Order Report '!M$1)</f>
        <v>0</v>
      </c>
      <c r="N8" s="24">
        <f>SUMIFS('Business - Dump'!$W:$W,'Business - Dump'!$D:$D,'SKU Order Report '!$C8,'Business - Dump'!$A:$A,'SKU Order Report '!N$1)</f>
        <v>0</v>
      </c>
      <c r="O8" s="24">
        <f>SUMIFS('Business - Dump'!$W:$W,'Business - Dump'!$D:$D,'SKU Order Report '!$C8,'Business - Dump'!$A:$A,'SKU Order Report '!O$1)</f>
        <v>0</v>
      </c>
      <c r="P8" s="24">
        <f>SUMIFS('Business - Dump'!$W:$W,'Business - Dump'!$D:$D,'SKU Order Report '!$C8,'Business - Dump'!$A:$A,'SKU Order Report '!P$1)</f>
        <v>0</v>
      </c>
      <c r="Q8" s="24">
        <f>SUMIFS('Business - Dump'!$W:$W,'Business - Dump'!$D:$D,'SKU Order Report '!$C8,'Business - Dump'!$A:$A,'SKU Order Report '!Q$1)</f>
        <v>0</v>
      </c>
      <c r="R8" s="24">
        <f>SUMIFS('Business - Dump'!$W:$W,'Business - Dump'!$D:$D,'SKU Order Report '!$C8,'Business - Dump'!$A:$A,'SKU Order Report '!R$1)</f>
        <v>0</v>
      </c>
      <c r="S8" s="24">
        <f>SUMIFS('Business - Dump'!$W:$W,'Business - Dump'!$D:$D,'SKU Order Report '!$C8,'Business - Dump'!$A:$A,'SKU Order Report '!S$1)</f>
        <v>0</v>
      </c>
      <c r="T8" s="24">
        <f>SUMIFS('Business - Dump'!$W:$W,'Business - Dump'!$D:$D,'SKU Order Report '!$C8,'Business - Dump'!$A:$A,'SKU Order Report '!T$1)</f>
        <v>0</v>
      </c>
    </row>
    <row r="9">
      <c r="A9" s="10" t="str">
        <f t="array" ref="A9">_xlfn.XLOOKUP(C9,'Business - Dump'!$D:$D,'Business - Dump'!$B:$B)</f>
        <v>Standing Table  - SM3</v>
      </c>
      <c r="B9" s="10" t="str">
        <f t="array" ref="B9">_xlfn.XLOOKUP(C9,'Referanc '!$A:$A,'Referanc '!$D:$D)</f>
        <v>EY HAT 1M 2S WHT SM3 V02 PW 600X1200</v>
      </c>
      <c r="C9" s="10" t="s">
        <v>304</v>
      </c>
      <c r="D9" s="3">
        <f>SUMIFS('Business - Dump'!$W:$W,'Business - Dump'!$D:$D,'SKU Order Report '!$C9,'Business - Dump'!$A:$A,'SKU Order Report '!D$1)</f>
        <v>7</v>
      </c>
      <c r="E9" s="3">
        <f>SUMIFS('Business - Dump'!$W:$W,'Business - Dump'!$D:$D,'SKU Order Report '!$C9,'Business - Dump'!$A:$A,'SKU Order Report '!E$1)</f>
        <v>13</v>
      </c>
      <c r="F9" s="3">
        <f>SUMIFS('Business - Dump'!$W:$W,'Business - Dump'!$D:$D,'SKU Order Report '!$C9,'Business - Dump'!$A:$A,'SKU Order Report '!F$1)</f>
        <v>17</v>
      </c>
      <c r="G9" s="3">
        <f>SUMIFS('Business - Dump'!$W:$W,'Business - Dump'!$D:$D,'SKU Order Report '!$C9,'Business - Dump'!$A:$A,'SKU Order Report '!G$1)</f>
        <v>18</v>
      </c>
      <c r="H9" s="3">
        <f>SUMIFS('Business - Dump'!$W:$W,'Business - Dump'!$D:$D,'SKU Order Report '!$C9,'Business - Dump'!$A:$A,'SKU Order Report '!H$1)</f>
        <v>23</v>
      </c>
      <c r="I9" s="3">
        <f>SUMIFS('Business - Dump'!$W:$W,'Business - Dump'!$D:$D,'SKU Order Report '!$C9,'Business - Dump'!$A:$A,'SKU Order Report '!I$1)</f>
        <v>21</v>
      </c>
      <c r="J9" s="3">
        <f>SUMIFS('Business - Dump'!$W:$W,'Business - Dump'!$D:$D,'SKU Order Report '!$C9,'Business - Dump'!$A:$A,'SKU Order Report '!J$1)</f>
        <v>21</v>
      </c>
      <c r="K9" s="3">
        <f>SUMIFS('Business - Dump'!$W:$W,'Business - Dump'!$D:$D,'SKU Order Report '!$C9,'Business - Dump'!$A:$A,'SKU Order Report '!K$1)</f>
        <v>21</v>
      </c>
      <c r="L9" s="3">
        <f>SUMIFS('Business - Dump'!$W:$W,'Business - Dump'!$D:$D,'SKU Order Report '!$C9,'Business - Dump'!$A:$A,'SKU Order Report '!L$1)</f>
        <v>32</v>
      </c>
      <c r="M9" s="3">
        <f>SUMIFS('Business - Dump'!$W:$W,'Business - Dump'!$D:$D,'SKU Order Report '!$C9,'Business - Dump'!$A:$A,'SKU Order Report '!M$1)</f>
        <v>38</v>
      </c>
      <c r="N9" s="3">
        <f>SUMIFS('Business - Dump'!$W:$W,'Business - Dump'!$D:$D,'SKU Order Report '!$C9,'Business - Dump'!$A:$A,'SKU Order Report '!N$1)</f>
        <v>54</v>
      </c>
      <c r="O9" s="3">
        <f>SUMIFS('Business - Dump'!$W:$W,'Business - Dump'!$D:$D,'SKU Order Report '!$C9,'Business - Dump'!$A:$A,'SKU Order Report '!O$1)</f>
        <v>28</v>
      </c>
      <c r="P9" s="3">
        <f>SUMIFS('Business - Dump'!$W:$W,'Business - Dump'!$D:$D,'SKU Order Report '!$C9,'Business - Dump'!$A:$A,'SKU Order Report '!P$1)</f>
        <v>21</v>
      </c>
      <c r="Q9" s="3">
        <f>SUMIFS('Business - Dump'!$W:$W,'Business - Dump'!$D:$D,'SKU Order Report '!$C9,'Business - Dump'!$A:$A,'SKU Order Report '!Q$1)</f>
        <v>11</v>
      </c>
      <c r="R9" s="3">
        <f>SUMIFS('Business - Dump'!$W:$W,'Business - Dump'!$D:$D,'SKU Order Report '!$C9,'Business - Dump'!$A:$A,'SKU Order Report '!R$1)</f>
        <v>10</v>
      </c>
      <c r="S9" s="3">
        <f>SUMIFS('Business - Dump'!$W:$W,'Business - Dump'!$D:$D,'SKU Order Report '!$C9,'Business - Dump'!$A:$A,'SKU Order Report '!S$1)</f>
        <v>9</v>
      </c>
      <c r="T9" s="3">
        <f>SUMIFS('Business - Dump'!$W:$W,'Business - Dump'!$D:$D,'SKU Order Report '!$C9,'Business - Dump'!$A:$A,'SKU Order Report '!T$1)</f>
        <v>10</v>
      </c>
    </row>
    <row r="10">
      <c r="A10" s="10" t="str">
        <f t="array" ref="A10">_xlfn.XLOOKUP(C10,'Business - Dump'!$D:$D,'Business - Dump'!$B:$B)</f>
        <v>Standing Table - All Frames</v>
      </c>
      <c r="B10" s="10" t="str">
        <f t="array" ref="B10">_xlfn.XLOOKUP(C10,'Referanc '!$A:$A,'Referanc '!$D:$D)</f>
        <v>EY HAT 2M2S WHT E2 V03</v>
      </c>
      <c r="C10" s="10" t="s">
        <v>306</v>
      </c>
      <c r="D10" s="3">
        <f>SUMIFS('Business - Dump'!$W:$W,'Business - Dump'!$D:$D,'SKU Order Report '!$C10,'Business - Dump'!$A:$A,'SKU Order Report '!D$1)</f>
        <v>7</v>
      </c>
      <c r="E10" s="3">
        <f>SUMIFS('Business - Dump'!$W:$W,'Business - Dump'!$D:$D,'SKU Order Report '!$C10,'Business - Dump'!$A:$A,'SKU Order Report '!E$1)</f>
        <v>7</v>
      </c>
      <c r="F10" s="3">
        <f>SUMIFS('Business - Dump'!$W:$W,'Business - Dump'!$D:$D,'SKU Order Report '!$C10,'Business - Dump'!$A:$A,'SKU Order Report '!F$1)</f>
        <v>8</v>
      </c>
      <c r="G10" s="3">
        <f>SUMIFS('Business - Dump'!$W:$W,'Business - Dump'!$D:$D,'SKU Order Report '!$C10,'Business - Dump'!$A:$A,'SKU Order Report '!G$1)</f>
        <v>7</v>
      </c>
      <c r="H10" s="3">
        <f>SUMIFS('Business - Dump'!$W:$W,'Business - Dump'!$D:$D,'SKU Order Report '!$C10,'Business - Dump'!$A:$A,'SKU Order Report '!H$1)</f>
        <v>6</v>
      </c>
      <c r="I10" s="3">
        <f>SUMIFS('Business - Dump'!$W:$W,'Business - Dump'!$D:$D,'SKU Order Report '!$C10,'Business - Dump'!$A:$A,'SKU Order Report '!I$1)</f>
        <v>5</v>
      </c>
      <c r="J10" s="3">
        <f>SUMIFS('Business - Dump'!$W:$W,'Business - Dump'!$D:$D,'SKU Order Report '!$C10,'Business - Dump'!$A:$A,'SKU Order Report '!J$1)</f>
        <v>2</v>
      </c>
      <c r="K10" s="3">
        <f>SUMIFS('Business - Dump'!$W:$W,'Business - Dump'!$D:$D,'SKU Order Report '!$C10,'Business - Dump'!$A:$A,'SKU Order Report '!K$1)</f>
        <v>9</v>
      </c>
      <c r="L10" s="3">
        <f>SUMIFS('Business - Dump'!$W:$W,'Business - Dump'!$D:$D,'SKU Order Report '!$C10,'Business - Dump'!$A:$A,'SKU Order Report '!L$1)</f>
        <v>9</v>
      </c>
      <c r="M10" s="3">
        <f>SUMIFS('Business - Dump'!$W:$W,'Business - Dump'!$D:$D,'SKU Order Report '!$C10,'Business - Dump'!$A:$A,'SKU Order Report '!M$1)</f>
        <v>10</v>
      </c>
      <c r="N10" s="3">
        <f>SUMIFS('Business - Dump'!$W:$W,'Business - Dump'!$D:$D,'SKU Order Report '!$C10,'Business - Dump'!$A:$A,'SKU Order Report '!N$1)</f>
        <v>17</v>
      </c>
      <c r="O10" s="3">
        <f>SUMIFS('Business - Dump'!$W:$W,'Business - Dump'!$D:$D,'SKU Order Report '!$C10,'Business - Dump'!$A:$A,'SKU Order Report '!O$1)</f>
        <v>6</v>
      </c>
      <c r="P10" s="3">
        <f>SUMIFS('Business - Dump'!$W:$W,'Business - Dump'!$D:$D,'SKU Order Report '!$C10,'Business - Dump'!$A:$A,'SKU Order Report '!P$1)</f>
        <v>2</v>
      </c>
      <c r="Q10" s="3">
        <f>SUMIFS('Business - Dump'!$W:$W,'Business - Dump'!$D:$D,'SKU Order Report '!$C10,'Business - Dump'!$A:$A,'SKU Order Report '!Q$1)</f>
        <v>0</v>
      </c>
      <c r="R10" s="3">
        <f>SUMIFS('Business - Dump'!$W:$W,'Business - Dump'!$D:$D,'SKU Order Report '!$C10,'Business - Dump'!$A:$A,'SKU Order Report '!R$1)</f>
        <v>4</v>
      </c>
      <c r="S10" s="3">
        <f>SUMIFS('Business - Dump'!$W:$W,'Business - Dump'!$D:$D,'SKU Order Report '!$C10,'Business - Dump'!$A:$A,'SKU Order Report '!S$1)</f>
        <v>2</v>
      </c>
      <c r="T10" s="3">
        <f>SUMIFS('Business - Dump'!$W:$W,'Business - Dump'!$D:$D,'SKU Order Report '!$C10,'Business - Dump'!$A:$A,'SKU Order Report '!T$1)</f>
        <v>5</v>
      </c>
    </row>
    <row r="11">
      <c r="A11" s="10" t="str">
        <f t="array" ref="A11">_xlfn.XLOOKUP(C11,'Business - Dump'!$D:$D,'Business - Dump'!$B:$B)</f>
        <v>Extension &amp; Holder</v>
      </c>
      <c r="B11" s="10" t="str">
        <f t="array" ref="B11">_xlfn.XLOOKUP(C11,'Referanc '!$A:$A,'Referanc '!$D:$D)</f>
        <v>EY HOR MH01-2 WHT V02</v>
      </c>
      <c r="C11" s="10" t="s">
        <v>307</v>
      </c>
      <c r="D11" s="3">
        <f>SUMIFS('Business - Dump'!$W:$W,'Business - Dump'!$D:$D,'SKU Order Report '!$C11,'Business - Dump'!$A:$A,'SKU Order Report '!D$1)</f>
        <v>4</v>
      </c>
      <c r="E11" s="3">
        <f>SUMIFS('Business - Dump'!$W:$W,'Business - Dump'!$D:$D,'SKU Order Report '!$C11,'Business - Dump'!$A:$A,'SKU Order Report '!E$1)</f>
        <v>3</v>
      </c>
      <c r="F11" s="3">
        <f>SUMIFS('Business - Dump'!$W:$W,'Business - Dump'!$D:$D,'SKU Order Report '!$C11,'Business - Dump'!$A:$A,'SKU Order Report '!F$1)</f>
        <v>2</v>
      </c>
      <c r="G11" s="3">
        <f>SUMIFS('Business - Dump'!$W:$W,'Business - Dump'!$D:$D,'SKU Order Report '!$C11,'Business - Dump'!$A:$A,'SKU Order Report '!G$1)</f>
        <v>11</v>
      </c>
      <c r="H11" s="3">
        <f>SUMIFS('Business - Dump'!$W:$W,'Business - Dump'!$D:$D,'SKU Order Report '!$C11,'Business - Dump'!$A:$A,'SKU Order Report '!H$1)</f>
        <v>1</v>
      </c>
      <c r="I11" s="3">
        <f>SUMIFS('Business - Dump'!$W:$W,'Business - Dump'!$D:$D,'SKU Order Report '!$C11,'Business - Dump'!$A:$A,'SKU Order Report '!I$1)</f>
        <v>3</v>
      </c>
      <c r="J11" s="3">
        <f>SUMIFS('Business - Dump'!$W:$W,'Business - Dump'!$D:$D,'SKU Order Report '!$C11,'Business - Dump'!$A:$A,'SKU Order Report '!J$1)</f>
        <v>4</v>
      </c>
      <c r="K11" s="3">
        <f>SUMIFS('Business - Dump'!$W:$W,'Business - Dump'!$D:$D,'SKU Order Report '!$C11,'Business - Dump'!$A:$A,'SKU Order Report '!K$1)</f>
        <v>0</v>
      </c>
      <c r="L11" s="3">
        <f>SUMIFS('Business - Dump'!$W:$W,'Business - Dump'!$D:$D,'SKU Order Report '!$C11,'Business - Dump'!$A:$A,'SKU Order Report '!L$1)</f>
        <v>0</v>
      </c>
      <c r="M11" s="3">
        <f>SUMIFS('Business - Dump'!$W:$W,'Business - Dump'!$D:$D,'SKU Order Report '!$C11,'Business - Dump'!$A:$A,'SKU Order Report '!M$1)</f>
        <v>12</v>
      </c>
      <c r="N11" s="3">
        <f>SUMIFS('Business - Dump'!$W:$W,'Business - Dump'!$D:$D,'SKU Order Report '!$C11,'Business - Dump'!$A:$A,'SKU Order Report '!N$1)</f>
        <v>21</v>
      </c>
      <c r="O11" s="3">
        <f>SUMIFS('Business - Dump'!$W:$W,'Business - Dump'!$D:$D,'SKU Order Report '!$C11,'Business - Dump'!$A:$A,'SKU Order Report '!O$1)</f>
        <v>23</v>
      </c>
      <c r="P11" s="3">
        <f>SUMIFS('Business - Dump'!$W:$W,'Business - Dump'!$D:$D,'SKU Order Report '!$C11,'Business - Dump'!$A:$A,'SKU Order Report '!P$1)</f>
        <v>18</v>
      </c>
      <c r="Q11" s="3">
        <f>SUMIFS('Business - Dump'!$W:$W,'Business - Dump'!$D:$D,'SKU Order Report '!$C11,'Business - Dump'!$A:$A,'SKU Order Report '!Q$1)</f>
        <v>27</v>
      </c>
      <c r="R11" s="3">
        <f>SUMIFS('Business - Dump'!$W:$W,'Business - Dump'!$D:$D,'SKU Order Report '!$C11,'Business - Dump'!$A:$A,'SKU Order Report '!R$1)</f>
        <v>22</v>
      </c>
      <c r="S11" s="3">
        <f>SUMIFS('Business - Dump'!$W:$W,'Business - Dump'!$D:$D,'SKU Order Report '!$C11,'Business - Dump'!$A:$A,'SKU Order Report '!S$1)</f>
        <v>20</v>
      </c>
      <c r="T11" s="3">
        <f>SUMIFS('Business - Dump'!$W:$W,'Business - Dump'!$D:$D,'SKU Order Report '!$C11,'Business - Dump'!$A:$A,'SKU Order Report '!T$1)</f>
        <v>21</v>
      </c>
    </row>
    <row r="12">
      <c r="A12" s="10" t="str">
        <f t="array" ref="A12">_xlfn.XLOOKUP(C12,'Business - Dump'!$D:$D,'Business - Dump'!$B:$B)</f>
        <v>Extension &amp; Holder</v>
      </c>
      <c r="B12" s="10" t="str">
        <f t="array" ref="B12">_xlfn.XLOOKUP(C12,'Referanc '!$A:$A,'Referanc '!$D:$D)</f>
        <v>EY VER MH02-4 WHT V02</v>
      </c>
      <c r="C12" s="10" t="s">
        <v>308</v>
      </c>
      <c r="D12" s="3">
        <f>SUMIFS('Business - Dump'!$W:$W,'Business - Dump'!$D:$D,'SKU Order Report '!$C12,'Business - Dump'!$A:$A,'SKU Order Report '!D$1)</f>
        <v>4</v>
      </c>
      <c r="E12" s="3">
        <f>SUMIFS('Business - Dump'!$W:$W,'Business - Dump'!$D:$D,'SKU Order Report '!$C12,'Business - Dump'!$A:$A,'SKU Order Report '!E$1)</f>
        <v>1</v>
      </c>
      <c r="F12" s="3">
        <f>SUMIFS('Business - Dump'!$W:$W,'Business - Dump'!$D:$D,'SKU Order Report '!$C12,'Business - Dump'!$A:$A,'SKU Order Report '!F$1)</f>
        <v>3</v>
      </c>
      <c r="G12" s="3">
        <f>SUMIFS('Business - Dump'!$W:$W,'Business - Dump'!$D:$D,'SKU Order Report '!$C12,'Business - Dump'!$A:$A,'SKU Order Report '!G$1)</f>
        <v>10</v>
      </c>
      <c r="H12" s="3">
        <f>SUMIFS('Business - Dump'!$W:$W,'Business - Dump'!$D:$D,'SKU Order Report '!$C12,'Business - Dump'!$A:$A,'SKU Order Report '!H$1)</f>
        <v>2</v>
      </c>
      <c r="I12" s="3">
        <f>SUMIFS('Business - Dump'!$W:$W,'Business - Dump'!$D:$D,'SKU Order Report '!$C12,'Business - Dump'!$A:$A,'SKU Order Report '!I$1)</f>
        <v>6</v>
      </c>
      <c r="J12" s="3">
        <f>SUMIFS('Business - Dump'!$W:$W,'Business - Dump'!$D:$D,'SKU Order Report '!$C12,'Business - Dump'!$A:$A,'SKU Order Report '!J$1)</f>
        <v>1</v>
      </c>
      <c r="K12" s="3">
        <f>SUMIFS('Business - Dump'!$W:$W,'Business - Dump'!$D:$D,'SKU Order Report '!$C12,'Business - Dump'!$A:$A,'SKU Order Report '!K$1)</f>
        <v>0</v>
      </c>
      <c r="L12" s="3">
        <f>SUMIFS('Business - Dump'!$W:$W,'Business - Dump'!$D:$D,'SKU Order Report '!$C12,'Business - Dump'!$A:$A,'SKU Order Report '!L$1)</f>
        <v>0</v>
      </c>
      <c r="M12" s="3">
        <f>SUMIFS('Business - Dump'!$W:$W,'Business - Dump'!$D:$D,'SKU Order Report '!$C12,'Business - Dump'!$A:$A,'SKU Order Report '!M$1)</f>
        <v>0</v>
      </c>
      <c r="N12" s="3">
        <f>SUMIFS('Business - Dump'!$W:$W,'Business - Dump'!$D:$D,'SKU Order Report '!$C12,'Business - Dump'!$A:$A,'SKU Order Report '!N$1)</f>
        <v>0</v>
      </c>
      <c r="O12" s="3">
        <f>SUMIFS('Business - Dump'!$W:$W,'Business - Dump'!$D:$D,'SKU Order Report '!$C12,'Business - Dump'!$A:$A,'SKU Order Report '!O$1)</f>
        <v>0</v>
      </c>
      <c r="P12" s="3">
        <f>SUMIFS('Business - Dump'!$W:$W,'Business - Dump'!$D:$D,'SKU Order Report '!$C12,'Business - Dump'!$A:$A,'SKU Order Report '!P$1)</f>
        <v>0</v>
      </c>
      <c r="Q12" s="3">
        <f>SUMIFS('Business - Dump'!$W:$W,'Business - Dump'!$D:$D,'SKU Order Report '!$C12,'Business - Dump'!$A:$A,'SKU Order Report '!Q$1)</f>
        <v>0</v>
      </c>
      <c r="R12" s="3">
        <f>SUMIFS('Business - Dump'!$W:$W,'Business - Dump'!$D:$D,'SKU Order Report '!$C12,'Business - Dump'!$A:$A,'SKU Order Report '!R$1)</f>
        <v>0</v>
      </c>
      <c r="S12" s="3">
        <f>SUMIFS('Business - Dump'!$W:$W,'Business - Dump'!$D:$D,'SKU Order Report '!$C12,'Business - Dump'!$A:$A,'SKU Order Report '!S$1)</f>
        <v>0</v>
      </c>
      <c r="T12" s="3">
        <f>SUMIFS('Business - Dump'!$W:$W,'Business - Dump'!$D:$D,'SKU Order Report '!$C12,'Business - Dump'!$A:$A,'SKU Order Report '!T$1)</f>
        <v>0</v>
      </c>
    </row>
    <row r="13">
      <c r="A13" s="10" t="str">
        <f t="array" ref="A13">_xlfn.XLOOKUP(C13,'Business - Dump'!$D:$D,'Business - Dump'!$B:$B)</f>
        <v>Standing Table  - E2</v>
      </c>
      <c r="B13" s="10" t="str">
        <f t="array" ref="B13">_xlfn.XLOOKUP(C13,'Referanc '!$A:$A,'Referanc '!$D:$D)</f>
        <v>EY HAT 2M 2S WHT E2 V03 WG 750X1500</v>
      </c>
      <c r="C13" s="10" t="s">
        <v>309</v>
      </c>
      <c r="D13" s="3">
        <f>SUMIFS('Business - Dump'!$W:$W,'Business - Dump'!$D:$D,'SKU Order Report '!$C13,'Business - Dump'!$A:$A,'SKU Order Report '!D$1)</f>
        <v>4</v>
      </c>
      <c r="E13" s="3">
        <f>SUMIFS('Business - Dump'!$W:$W,'Business - Dump'!$D:$D,'SKU Order Report '!$C13,'Business - Dump'!$A:$A,'SKU Order Report '!E$1)</f>
        <v>4</v>
      </c>
      <c r="F13" s="3">
        <f>SUMIFS('Business - Dump'!$W:$W,'Business - Dump'!$D:$D,'SKU Order Report '!$C13,'Business - Dump'!$A:$A,'SKU Order Report '!F$1)</f>
        <v>7</v>
      </c>
      <c r="G13" s="3">
        <f>SUMIFS('Business - Dump'!$W:$W,'Business - Dump'!$D:$D,'SKU Order Report '!$C13,'Business - Dump'!$A:$A,'SKU Order Report '!G$1)</f>
        <v>16</v>
      </c>
      <c r="H13" s="3">
        <f>SUMIFS('Business - Dump'!$W:$W,'Business - Dump'!$D:$D,'SKU Order Report '!$C13,'Business - Dump'!$A:$A,'SKU Order Report '!H$1)</f>
        <v>9</v>
      </c>
      <c r="I13" s="3">
        <f>SUMIFS('Business - Dump'!$W:$W,'Business - Dump'!$D:$D,'SKU Order Report '!$C13,'Business - Dump'!$A:$A,'SKU Order Report '!I$1)</f>
        <v>4</v>
      </c>
      <c r="J13" s="3">
        <f>SUMIFS('Business - Dump'!$W:$W,'Business - Dump'!$D:$D,'SKU Order Report '!$C13,'Business - Dump'!$A:$A,'SKU Order Report '!J$1)</f>
        <v>5</v>
      </c>
      <c r="K13" s="3">
        <f>SUMIFS('Business - Dump'!$W:$W,'Business - Dump'!$D:$D,'SKU Order Report '!$C13,'Business - Dump'!$A:$A,'SKU Order Report '!K$1)</f>
        <v>3</v>
      </c>
      <c r="L13" s="3">
        <f>SUMIFS('Business - Dump'!$W:$W,'Business - Dump'!$D:$D,'SKU Order Report '!$C13,'Business - Dump'!$A:$A,'SKU Order Report '!L$1)</f>
        <v>14</v>
      </c>
      <c r="M13" s="3">
        <f>SUMIFS('Business - Dump'!$W:$W,'Business - Dump'!$D:$D,'SKU Order Report '!$C13,'Business - Dump'!$A:$A,'SKU Order Report '!M$1)</f>
        <v>10</v>
      </c>
      <c r="N13" s="3">
        <f>SUMIFS('Business - Dump'!$W:$W,'Business - Dump'!$D:$D,'SKU Order Report '!$C13,'Business - Dump'!$A:$A,'SKU Order Report '!N$1)</f>
        <v>20</v>
      </c>
      <c r="O13" s="3">
        <f>SUMIFS('Business - Dump'!$W:$W,'Business - Dump'!$D:$D,'SKU Order Report '!$C13,'Business - Dump'!$A:$A,'SKU Order Report '!O$1)</f>
        <v>20</v>
      </c>
      <c r="P13" s="3">
        <f>SUMIFS('Business - Dump'!$W:$W,'Business - Dump'!$D:$D,'SKU Order Report '!$C13,'Business - Dump'!$A:$A,'SKU Order Report '!P$1)</f>
        <v>6</v>
      </c>
      <c r="Q13" s="3">
        <f>SUMIFS('Business - Dump'!$W:$W,'Business - Dump'!$D:$D,'SKU Order Report '!$C13,'Business - Dump'!$A:$A,'SKU Order Report '!Q$1)</f>
        <v>1</v>
      </c>
      <c r="R13" s="3">
        <f>SUMIFS('Business - Dump'!$W:$W,'Business - Dump'!$D:$D,'SKU Order Report '!$C13,'Business - Dump'!$A:$A,'SKU Order Report '!R$1)</f>
        <v>3</v>
      </c>
      <c r="S13" s="3">
        <f>SUMIFS('Business - Dump'!$W:$W,'Business - Dump'!$D:$D,'SKU Order Report '!$C13,'Business - Dump'!$A:$A,'SKU Order Report '!S$1)</f>
        <v>7</v>
      </c>
      <c r="T13" s="3">
        <f>SUMIFS('Business - Dump'!$W:$W,'Business - Dump'!$D:$D,'SKU Order Report '!$C13,'Business - Dump'!$A:$A,'SKU Order Report '!T$1)</f>
        <v>6</v>
      </c>
    </row>
    <row r="14">
      <c r="A14" s="10" t="str">
        <f t="array" ref="A14">_xlfn.XLOOKUP(C14,'Business - Dump'!$D:$D,'Business - Dump'!$B:$B)</f>
        <v>Standing Table  - E2</v>
      </c>
      <c r="B14" s="10" t="str">
        <f t="array" ref="B14">_xlfn.XLOOKUP(C14,'Referanc '!$A:$A,'Referanc '!$D:$D)</f>
        <v>EY HAT 2M 2S WHT E2 V03 PW 750X1500</v>
      </c>
      <c r="C14" s="10" t="s">
        <v>311</v>
      </c>
      <c r="D14" s="3">
        <f>SUMIFS('Business - Dump'!$W:$W,'Business - Dump'!$D:$D,'SKU Order Report '!$C14,'Business - Dump'!$A:$A,'SKU Order Report '!D$1)</f>
        <v>3</v>
      </c>
      <c r="E14" s="3">
        <f>SUMIFS('Business - Dump'!$W:$W,'Business - Dump'!$D:$D,'SKU Order Report '!$C14,'Business - Dump'!$A:$A,'SKU Order Report '!E$1)</f>
        <v>11</v>
      </c>
      <c r="F14" s="3">
        <f>SUMIFS('Business - Dump'!$W:$W,'Business - Dump'!$D:$D,'SKU Order Report '!$C14,'Business - Dump'!$A:$A,'SKU Order Report '!F$1)</f>
        <v>5</v>
      </c>
      <c r="G14" s="3">
        <f>SUMIFS('Business - Dump'!$W:$W,'Business - Dump'!$D:$D,'SKU Order Report '!$C14,'Business - Dump'!$A:$A,'SKU Order Report '!G$1)</f>
        <v>6</v>
      </c>
      <c r="H14" s="3">
        <f>SUMIFS('Business - Dump'!$W:$W,'Business - Dump'!$D:$D,'SKU Order Report '!$C14,'Business - Dump'!$A:$A,'SKU Order Report '!H$1)</f>
        <v>7</v>
      </c>
      <c r="I14" s="3">
        <f>SUMIFS('Business - Dump'!$W:$W,'Business - Dump'!$D:$D,'SKU Order Report '!$C14,'Business - Dump'!$A:$A,'SKU Order Report '!I$1)</f>
        <v>8</v>
      </c>
      <c r="J14" s="3">
        <f>SUMIFS('Business - Dump'!$W:$W,'Business - Dump'!$D:$D,'SKU Order Report '!$C14,'Business - Dump'!$A:$A,'SKU Order Report '!J$1)</f>
        <v>4</v>
      </c>
      <c r="K14" s="3">
        <f>SUMIFS('Business - Dump'!$W:$W,'Business - Dump'!$D:$D,'SKU Order Report '!$C14,'Business - Dump'!$A:$A,'SKU Order Report '!K$1)</f>
        <v>19</v>
      </c>
      <c r="L14" s="3">
        <f>SUMIFS('Business - Dump'!$W:$W,'Business - Dump'!$D:$D,'SKU Order Report '!$C14,'Business - Dump'!$A:$A,'SKU Order Report '!L$1)</f>
        <v>11</v>
      </c>
      <c r="M14" s="3">
        <f>SUMIFS('Business - Dump'!$W:$W,'Business - Dump'!$D:$D,'SKU Order Report '!$C14,'Business - Dump'!$A:$A,'SKU Order Report '!M$1)</f>
        <v>9</v>
      </c>
      <c r="N14" s="3">
        <f>SUMIFS('Business - Dump'!$W:$W,'Business - Dump'!$D:$D,'SKU Order Report '!$C14,'Business - Dump'!$A:$A,'SKU Order Report '!N$1)</f>
        <v>13</v>
      </c>
      <c r="O14" s="3">
        <f>SUMIFS('Business - Dump'!$W:$W,'Business - Dump'!$D:$D,'SKU Order Report '!$C14,'Business - Dump'!$A:$A,'SKU Order Report '!O$1)</f>
        <v>9</v>
      </c>
      <c r="P14" s="3">
        <f>SUMIFS('Business - Dump'!$W:$W,'Business - Dump'!$D:$D,'SKU Order Report '!$C14,'Business - Dump'!$A:$A,'SKU Order Report '!P$1)</f>
        <v>2</v>
      </c>
      <c r="Q14" s="3">
        <f>SUMIFS('Business - Dump'!$W:$W,'Business - Dump'!$D:$D,'SKU Order Report '!$C14,'Business - Dump'!$A:$A,'SKU Order Report '!Q$1)</f>
        <v>5</v>
      </c>
      <c r="R14" s="3">
        <f>SUMIFS('Business - Dump'!$W:$W,'Business - Dump'!$D:$D,'SKU Order Report '!$C14,'Business - Dump'!$A:$A,'SKU Order Report '!R$1)</f>
        <v>8</v>
      </c>
      <c r="S14" s="3">
        <f>SUMIFS('Business - Dump'!$W:$W,'Business - Dump'!$D:$D,'SKU Order Report '!$C14,'Business - Dump'!$A:$A,'SKU Order Report '!S$1)</f>
        <v>3</v>
      </c>
      <c r="T14" s="3">
        <f>SUMIFS('Business - Dump'!$W:$W,'Business - Dump'!$D:$D,'SKU Order Report '!$C14,'Business - Dump'!$A:$A,'SKU Order Report '!T$1)</f>
        <v>5</v>
      </c>
    </row>
    <row r="15">
      <c r="A15" s="10" t="str">
        <f t="array" ref="A15">_xlfn.XLOOKUP(C15,'Business - Dump'!$D:$D,'Business - Dump'!$B:$B)</f>
        <v>Standing Table  - E2</v>
      </c>
      <c r="B15" s="10" t="str">
        <f t="array" ref="B15">_xlfn.XLOOKUP(C15,'Referanc '!$A:$A,'Referanc '!$D:$D)</f>
        <v>EY HAT 2M 2S WHT E2 V03 PW 600X1200</v>
      </c>
      <c r="C15" s="10" t="s">
        <v>313</v>
      </c>
      <c r="D15" s="3">
        <f>SUMIFS('Business - Dump'!$W:$W,'Business - Dump'!$D:$D,'SKU Order Report '!$C15,'Business - Dump'!$A:$A,'SKU Order Report '!D$1)</f>
        <v>3</v>
      </c>
      <c r="E15" s="3">
        <f>SUMIFS('Business - Dump'!$W:$W,'Business - Dump'!$D:$D,'SKU Order Report '!$C15,'Business - Dump'!$A:$A,'SKU Order Report '!E$1)</f>
        <v>2</v>
      </c>
      <c r="F15" s="3">
        <f>SUMIFS('Business - Dump'!$W:$W,'Business - Dump'!$D:$D,'SKU Order Report '!$C15,'Business - Dump'!$A:$A,'SKU Order Report '!F$1)</f>
        <v>0</v>
      </c>
      <c r="G15" s="3">
        <f>SUMIFS('Business - Dump'!$W:$W,'Business - Dump'!$D:$D,'SKU Order Report '!$C15,'Business - Dump'!$A:$A,'SKU Order Report '!G$1)</f>
        <v>3</v>
      </c>
      <c r="H15" s="3">
        <f>SUMIFS('Business - Dump'!$W:$W,'Business - Dump'!$D:$D,'SKU Order Report '!$C15,'Business - Dump'!$A:$A,'SKU Order Report '!H$1)</f>
        <v>7</v>
      </c>
      <c r="I15" s="3">
        <f>SUMIFS('Business - Dump'!$W:$W,'Business - Dump'!$D:$D,'SKU Order Report '!$C15,'Business - Dump'!$A:$A,'SKU Order Report '!I$1)</f>
        <v>3</v>
      </c>
      <c r="J15" s="3">
        <f>SUMIFS('Business - Dump'!$W:$W,'Business - Dump'!$D:$D,'SKU Order Report '!$C15,'Business - Dump'!$A:$A,'SKU Order Report '!J$1)</f>
        <v>6</v>
      </c>
      <c r="K15" s="3">
        <f>SUMIFS('Business - Dump'!$W:$W,'Business - Dump'!$D:$D,'SKU Order Report '!$C15,'Business - Dump'!$A:$A,'SKU Order Report '!K$1)</f>
        <v>8</v>
      </c>
      <c r="L15" s="3">
        <f>SUMIFS('Business - Dump'!$W:$W,'Business - Dump'!$D:$D,'SKU Order Report '!$C15,'Business - Dump'!$A:$A,'SKU Order Report '!L$1)</f>
        <v>14</v>
      </c>
      <c r="M15" s="3">
        <f>SUMIFS('Business - Dump'!$W:$W,'Business - Dump'!$D:$D,'SKU Order Report '!$C15,'Business - Dump'!$A:$A,'SKU Order Report '!M$1)</f>
        <v>4</v>
      </c>
      <c r="N15" s="3">
        <f>SUMIFS('Business - Dump'!$W:$W,'Business - Dump'!$D:$D,'SKU Order Report '!$C15,'Business - Dump'!$A:$A,'SKU Order Report '!N$1)</f>
        <v>5</v>
      </c>
      <c r="O15" s="3">
        <f>SUMIFS('Business - Dump'!$W:$W,'Business - Dump'!$D:$D,'SKU Order Report '!$C15,'Business - Dump'!$A:$A,'SKU Order Report '!O$1)</f>
        <v>11</v>
      </c>
      <c r="P15" s="3">
        <f>SUMIFS('Business - Dump'!$W:$W,'Business - Dump'!$D:$D,'SKU Order Report '!$C15,'Business - Dump'!$A:$A,'SKU Order Report '!P$1)</f>
        <v>6</v>
      </c>
      <c r="Q15" s="3">
        <f>SUMIFS('Business - Dump'!$W:$W,'Business - Dump'!$D:$D,'SKU Order Report '!$C15,'Business - Dump'!$A:$A,'SKU Order Report '!Q$1)</f>
        <v>2</v>
      </c>
      <c r="R15" s="3">
        <f>SUMIFS('Business - Dump'!$W:$W,'Business - Dump'!$D:$D,'SKU Order Report '!$C15,'Business - Dump'!$A:$A,'SKU Order Report '!R$1)</f>
        <v>1</v>
      </c>
      <c r="S15" s="3">
        <f>SUMIFS('Business - Dump'!$W:$W,'Business - Dump'!$D:$D,'SKU Order Report '!$C15,'Business - Dump'!$A:$A,'SKU Order Report '!S$1)</f>
        <v>3</v>
      </c>
      <c r="T15" s="3">
        <f>SUMIFS('Business - Dump'!$W:$W,'Business - Dump'!$D:$D,'SKU Order Report '!$C15,'Business - Dump'!$A:$A,'SKU Order Report '!T$1)</f>
        <v>4</v>
      </c>
    </row>
    <row r="16">
      <c r="A16" s="10" t="str">
        <f t="array" ref="A16">_xlfn.XLOOKUP(C16,'Business - Dump'!$D:$D,'Business - Dump'!$B:$B)</f>
        <v>Desk Cable Tray</v>
      </c>
      <c r="B16" s="10" t="str">
        <f t="array" ref="B16">_xlfn.XLOOKUP(C16,'Referanc '!$A:$A,'Referanc '!$D:$D)</f>
        <v>EY CT DETACH1 WHT V02</v>
      </c>
      <c r="C16" s="10" t="s">
        <v>314</v>
      </c>
      <c r="D16" s="3">
        <f>SUMIFS('Business - Dump'!$W:$W,'Business - Dump'!$D:$D,'SKU Order Report '!$C16,'Business - Dump'!$A:$A,'SKU Order Report '!D$1)</f>
        <v>3</v>
      </c>
      <c r="E16" s="3">
        <f>SUMIFS('Business - Dump'!$W:$W,'Business - Dump'!$D:$D,'SKU Order Report '!$C16,'Business - Dump'!$A:$A,'SKU Order Report '!E$1)</f>
        <v>9</v>
      </c>
      <c r="F16" s="3">
        <f>SUMIFS('Business - Dump'!$W:$W,'Business - Dump'!$D:$D,'SKU Order Report '!$C16,'Business - Dump'!$A:$A,'SKU Order Report '!F$1)</f>
        <v>17</v>
      </c>
      <c r="G16" s="3">
        <f>SUMIFS('Business - Dump'!$W:$W,'Business - Dump'!$D:$D,'SKU Order Report '!$C16,'Business - Dump'!$A:$A,'SKU Order Report '!G$1)</f>
        <v>21</v>
      </c>
      <c r="H16" s="3">
        <f>SUMIFS('Business - Dump'!$W:$W,'Business - Dump'!$D:$D,'SKU Order Report '!$C16,'Business - Dump'!$A:$A,'SKU Order Report '!H$1)</f>
        <v>44</v>
      </c>
      <c r="I16" s="3">
        <f>SUMIFS('Business - Dump'!$W:$W,'Business - Dump'!$D:$D,'SKU Order Report '!$C16,'Business - Dump'!$A:$A,'SKU Order Report '!I$1)</f>
        <v>40</v>
      </c>
      <c r="J16" s="3">
        <f>SUMIFS('Business - Dump'!$W:$W,'Business - Dump'!$D:$D,'SKU Order Report '!$C16,'Business - Dump'!$A:$A,'SKU Order Report '!J$1)</f>
        <v>37</v>
      </c>
      <c r="K16" s="3">
        <f>SUMIFS('Business - Dump'!$W:$W,'Business - Dump'!$D:$D,'SKU Order Report '!$C16,'Business - Dump'!$A:$A,'SKU Order Report '!K$1)</f>
        <v>60</v>
      </c>
      <c r="L16" s="3">
        <f>SUMIFS('Business - Dump'!$W:$W,'Business - Dump'!$D:$D,'SKU Order Report '!$C16,'Business - Dump'!$A:$A,'SKU Order Report '!L$1)</f>
        <v>43</v>
      </c>
      <c r="M16" s="3">
        <f>SUMIFS('Business - Dump'!$W:$W,'Business - Dump'!$D:$D,'SKU Order Report '!$C16,'Business - Dump'!$A:$A,'SKU Order Report '!M$1)</f>
        <v>0</v>
      </c>
      <c r="N16" s="3">
        <f>SUMIFS('Business - Dump'!$W:$W,'Business - Dump'!$D:$D,'SKU Order Report '!$C16,'Business - Dump'!$A:$A,'SKU Order Report '!N$1)</f>
        <v>35</v>
      </c>
      <c r="O16" s="3">
        <f>SUMIFS('Business - Dump'!$W:$W,'Business - Dump'!$D:$D,'SKU Order Report '!$C16,'Business - Dump'!$A:$A,'SKU Order Report '!O$1)</f>
        <v>98</v>
      </c>
      <c r="P16" s="3">
        <f>SUMIFS('Business - Dump'!$W:$W,'Business - Dump'!$D:$D,'SKU Order Report '!$C16,'Business - Dump'!$A:$A,'SKU Order Report '!P$1)</f>
        <v>60</v>
      </c>
      <c r="Q16" s="3">
        <f>SUMIFS('Business - Dump'!$W:$W,'Business - Dump'!$D:$D,'SKU Order Report '!$C16,'Business - Dump'!$A:$A,'SKU Order Report '!Q$1)</f>
        <v>70</v>
      </c>
      <c r="R16" s="3">
        <f>SUMIFS('Business - Dump'!$W:$W,'Business - Dump'!$D:$D,'SKU Order Report '!$C16,'Business - Dump'!$A:$A,'SKU Order Report '!R$1)</f>
        <v>40</v>
      </c>
      <c r="S16" s="3">
        <f>SUMIFS('Business - Dump'!$W:$W,'Business - Dump'!$D:$D,'SKU Order Report '!$C16,'Business - Dump'!$A:$A,'SKU Order Report '!S$1)</f>
        <v>6</v>
      </c>
      <c r="T16" s="3">
        <f>SUMIFS('Business - Dump'!$W:$W,'Business - Dump'!$D:$D,'SKU Order Report '!$C16,'Business - Dump'!$A:$A,'SKU Order Report '!T$1)</f>
        <v>2</v>
      </c>
    </row>
    <row r="17">
      <c r="A17" s="10" t="str">
        <f t="array" ref="A17">_xlfn.XLOOKUP(C17,'Business - Dump'!$D:$D,'Business - Dump'!$B:$B)</f>
        <v>Standing Table  - M8</v>
      </c>
      <c r="B17" s="10" t="str">
        <f t="array" ref="B17">_xlfn.XLOOKUP(C17,'Referanc '!$A:$A,'Referanc '!$D:$D)</f>
        <v>IS MT 2S PW 750X1500</v>
      </c>
      <c r="C17" s="10" t="s">
        <v>315</v>
      </c>
      <c r="D17" s="3">
        <f>SUMIFS('Business - Dump'!$W:$W,'Business - Dump'!$D:$D,'SKU Order Report '!$C17,'Business - Dump'!$A:$A,'SKU Order Report '!D$1)</f>
        <v>2</v>
      </c>
      <c r="E17" s="3">
        <f>SUMIFS('Business - Dump'!$W:$W,'Business - Dump'!$D:$D,'SKU Order Report '!$C17,'Business - Dump'!$A:$A,'SKU Order Report '!E$1)</f>
        <v>11</v>
      </c>
      <c r="F17" s="3">
        <f>SUMIFS('Business - Dump'!$W:$W,'Business - Dump'!$D:$D,'SKU Order Report '!$C17,'Business - Dump'!$A:$A,'SKU Order Report '!F$1)</f>
        <v>2</v>
      </c>
      <c r="G17" s="3">
        <f>SUMIFS('Business - Dump'!$W:$W,'Business - Dump'!$D:$D,'SKU Order Report '!$C17,'Business - Dump'!$A:$A,'SKU Order Report '!G$1)</f>
        <v>0</v>
      </c>
      <c r="H17" s="3">
        <f>SUMIFS('Business - Dump'!$W:$W,'Business - Dump'!$D:$D,'SKU Order Report '!$C17,'Business - Dump'!$A:$A,'SKU Order Report '!H$1)</f>
        <v>0</v>
      </c>
      <c r="I17" s="3">
        <f>SUMIFS('Business - Dump'!$W:$W,'Business - Dump'!$D:$D,'SKU Order Report '!$C17,'Business - Dump'!$A:$A,'SKU Order Report '!I$1)</f>
        <v>0</v>
      </c>
      <c r="J17" s="3">
        <f>SUMIFS('Business - Dump'!$W:$W,'Business - Dump'!$D:$D,'SKU Order Report '!$C17,'Business - Dump'!$A:$A,'SKU Order Report '!J$1)</f>
        <v>0</v>
      </c>
      <c r="K17" s="3">
        <f>SUMIFS('Business - Dump'!$W:$W,'Business - Dump'!$D:$D,'SKU Order Report '!$C17,'Business - Dump'!$A:$A,'SKU Order Report '!K$1)</f>
        <v>0</v>
      </c>
      <c r="L17" s="3">
        <f>SUMIFS('Business - Dump'!$W:$W,'Business - Dump'!$D:$D,'SKU Order Report '!$C17,'Business - Dump'!$A:$A,'SKU Order Report '!L$1)</f>
        <v>0</v>
      </c>
      <c r="M17" s="3">
        <f>SUMIFS('Business - Dump'!$W:$W,'Business - Dump'!$D:$D,'SKU Order Report '!$C17,'Business - Dump'!$A:$A,'SKU Order Report '!M$1)</f>
        <v>0</v>
      </c>
      <c r="N17" s="3">
        <f>SUMIFS('Business - Dump'!$W:$W,'Business - Dump'!$D:$D,'SKU Order Report '!$C17,'Business - Dump'!$A:$A,'SKU Order Report '!N$1)</f>
        <v>0</v>
      </c>
      <c r="O17" s="3">
        <f>SUMIFS('Business - Dump'!$W:$W,'Business - Dump'!$D:$D,'SKU Order Report '!$C17,'Business - Dump'!$A:$A,'SKU Order Report '!O$1)</f>
        <v>0</v>
      </c>
      <c r="P17" s="3">
        <f>SUMIFS('Business - Dump'!$W:$W,'Business - Dump'!$D:$D,'SKU Order Report '!$C17,'Business - Dump'!$A:$A,'SKU Order Report '!P$1)</f>
        <v>0</v>
      </c>
      <c r="Q17" s="3">
        <f>SUMIFS('Business - Dump'!$W:$W,'Business - Dump'!$D:$D,'SKU Order Report '!$C17,'Business - Dump'!$A:$A,'SKU Order Report '!Q$1)</f>
        <v>0</v>
      </c>
      <c r="R17" s="3">
        <f>SUMIFS('Business - Dump'!$W:$W,'Business - Dump'!$D:$D,'SKU Order Report '!$C17,'Business - Dump'!$A:$A,'SKU Order Report '!R$1)</f>
        <v>0</v>
      </c>
      <c r="S17" s="3">
        <f>SUMIFS('Business - Dump'!$W:$W,'Business - Dump'!$D:$D,'SKU Order Report '!$C17,'Business - Dump'!$A:$A,'SKU Order Report '!S$1)</f>
        <v>0</v>
      </c>
      <c r="T17" s="3">
        <f>SUMIFS('Business - Dump'!$W:$W,'Business - Dump'!$D:$D,'SKU Order Report '!$C17,'Business - Dump'!$A:$A,'SKU Order Report '!T$1)</f>
        <v>0</v>
      </c>
    </row>
    <row r="18">
      <c r="A18" s="10" t="str">
        <f t="array" ref="A18">_xlfn.XLOOKUP(C18,'Business - Dump'!$D:$D,'Business - Dump'!$B:$B)</f>
        <v>Monitor Stand </v>
      </c>
      <c r="B18" s="10" t="str">
        <f t="array" ref="B18">_xlfn.XLOOKUP(C18,'Referanc '!$A:$A,'Referanc '!$D:$D)</f>
        <v>MR-HTADJ-BLACK</v>
      </c>
      <c r="C18" s="10" t="s">
        <v>316</v>
      </c>
      <c r="D18" s="3">
        <f>SUMIFS('Business - Dump'!$W:$W,'Business - Dump'!$D:$D,'SKU Order Report '!$C18,'Business - Dump'!$A:$A,'SKU Order Report '!D$1)</f>
        <v>2</v>
      </c>
      <c r="E18" s="3">
        <f>SUMIFS('Business - Dump'!$W:$W,'Business - Dump'!$D:$D,'SKU Order Report '!$C18,'Business - Dump'!$A:$A,'SKU Order Report '!E$1)</f>
        <v>0</v>
      </c>
      <c r="F18" s="24">
        <f>SUMIFS('Business - Dump'!$W:$W,'Business - Dump'!$D:$D,'SKU Order Report '!$C18,'Business - Dump'!$A:$A,'SKU Order Report '!F$1)</f>
        <v>0</v>
      </c>
      <c r="G18" s="24">
        <f>SUMIFS('Business - Dump'!$W:$W,'Business - Dump'!$D:$D,'SKU Order Report '!$C18,'Business - Dump'!$A:$A,'SKU Order Report '!G$1)</f>
        <v>0</v>
      </c>
      <c r="H18" s="24">
        <f>SUMIFS('Business - Dump'!$W:$W,'Business - Dump'!$D:$D,'SKU Order Report '!$C18,'Business - Dump'!$A:$A,'SKU Order Report '!H$1)</f>
        <v>0</v>
      </c>
      <c r="I18" s="24">
        <f>SUMIFS('Business - Dump'!$W:$W,'Business - Dump'!$D:$D,'SKU Order Report '!$C18,'Business - Dump'!$A:$A,'SKU Order Report '!I$1)</f>
        <v>1</v>
      </c>
      <c r="J18" s="24">
        <f>SUMIFS('Business - Dump'!$W:$W,'Business - Dump'!$D:$D,'SKU Order Report '!$C18,'Business - Dump'!$A:$A,'SKU Order Report '!J$1)</f>
        <v>0</v>
      </c>
      <c r="K18" s="24">
        <f>SUMIFS('Business - Dump'!$W:$W,'Business - Dump'!$D:$D,'SKU Order Report '!$C18,'Business - Dump'!$A:$A,'SKU Order Report '!K$1)</f>
        <v>1</v>
      </c>
      <c r="L18" s="24">
        <f>SUMIFS('Business - Dump'!$W:$W,'Business - Dump'!$D:$D,'SKU Order Report '!$C18,'Business - Dump'!$A:$A,'SKU Order Report '!L$1)</f>
        <v>1</v>
      </c>
      <c r="M18" s="24">
        <f>SUMIFS('Business - Dump'!$W:$W,'Business - Dump'!$D:$D,'SKU Order Report '!$C18,'Business - Dump'!$A:$A,'SKU Order Report '!M$1)</f>
        <v>2</v>
      </c>
      <c r="N18" s="24">
        <f>SUMIFS('Business - Dump'!$W:$W,'Business - Dump'!$D:$D,'SKU Order Report '!$C18,'Business - Dump'!$A:$A,'SKU Order Report '!N$1)</f>
        <v>0</v>
      </c>
      <c r="O18" s="24">
        <f>SUMIFS('Business - Dump'!$W:$W,'Business - Dump'!$D:$D,'SKU Order Report '!$C18,'Business - Dump'!$A:$A,'SKU Order Report '!O$1)</f>
        <v>0</v>
      </c>
      <c r="P18" s="24">
        <f>SUMIFS('Business - Dump'!$W:$W,'Business - Dump'!$D:$D,'SKU Order Report '!$C18,'Business - Dump'!$A:$A,'SKU Order Report '!P$1)</f>
        <v>0</v>
      </c>
      <c r="Q18" s="24">
        <f>SUMIFS('Business - Dump'!$W:$W,'Business - Dump'!$D:$D,'SKU Order Report '!$C18,'Business - Dump'!$A:$A,'SKU Order Report '!Q$1)</f>
        <v>0</v>
      </c>
      <c r="R18" s="24">
        <f>SUMIFS('Business - Dump'!$W:$W,'Business - Dump'!$D:$D,'SKU Order Report '!$C18,'Business - Dump'!$A:$A,'SKU Order Report '!R$1)</f>
        <v>0</v>
      </c>
      <c r="S18" s="24">
        <f>SUMIFS('Business - Dump'!$W:$W,'Business - Dump'!$D:$D,'SKU Order Report '!$C18,'Business - Dump'!$A:$A,'SKU Order Report '!S$1)</f>
        <v>0</v>
      </c>
      <c r="T18" s="24">
        <f>SUMIFS('Business - Dump'!$W:$W,'Business - Dump'!$D:$D,'SKU Order Report '!$C18,'Business - Dump'!$A:$A,'SKU Order Report '!T$1)</f>
        <v>0</v>
      </c>
    </row>
    <row r="19">
      <c r="A19" s="10" t="str">
        <f t="array" ref="A19">_xlfn.XLOOKUP(C19,'Business - Dump'!$D:$D,'Business - Dump'!$B:$B)</f>
        <v>Standing Table  - M8</v>
      </c>
      <c r="B19" s="10" t="str">
        <f t="array" ref="B19">_xlfn.XLOOKUP(C19,'Referanc '!$A:$A,'Referanc '!$D:$D)</f>
        <v>IS MT 2S WG 600X1200</v>
      </c>
      <c r="C19" s="10" t="s">
        <v>317</v>
      </c>
      <c r="D19" s="3">
        <f>SUMIFS('Business - Dump'!$W:$W,'Business - Dump'!$D:$D,'SKU Order Report '!$C19,'Business - Dump'!$A:$A,'SKU Order Report '!D$1)</f>
        <v>1</v>
      </c>
      <c r="E19" s="3">
        <f>SUMIFS('Business - Dump'!$W:$W,'Business - Dump'!$D:$D,'SKU Order Report '!$C19,'Business - Dump'!$A:$A,'SKU Order Report '!E$1)</f>
        <v>11</v>
      </c>
      <c r="F19" s="3">
        <f>SUMIFS('Business - Dump'!$W:$W,'Business - Dump'!$D:$D,'SKU Order Report '!$C19,'Business - Dump'!$A:$A,'SKU Order Report '!F$1)</f>
        <v>3</v>
      </c>
      <c r="G19" s="3">
        <f>SUMIFS('Business - Dump'!$W:$W,'Business - Dump'!$D:$D,'SKU Order Report '!$C19,'Business - Dump'!$A:$A,'SKU Order Report '!G$1)</f>
        <v>0</v>
      </c>
      <c r="H19" s="3">
        <f>SUMIFS('Business - Dump'!$W:$W,'Business - Dump'!$D:$D,'SKU Order Report '!$C19,'Business - Dump'!$A:$A,'SKU Order Report '!H$1)</f>
        <v>0</v>
      </c>
      <c r="I19" s="3">
        <f>SUMIFS('Business - Dump'!$W:$W,'Business - Dump'!$D:$D,'SKU Order Report '!$C19,'Business - Dump'!$A:$A,'SKU Order Report '!I$1)</f>
        <v>0</v>
      </c>
      <c r="J19" s="3">
        <f>SUMIFS('Business - Dump'!$W:$W,'Business - Dump'!$D:$D,'SKU Order Report '!$C19,'Business - Dump'!$A:$A,'SKU Order Report '!J$1)</f>
        <v>0</v>
      </c>
      <c r="K19" s="3">
        <f>SUMIFS('Business - Dump'!$W:$W,'Business - Dump'!$D:$D,'SKU Order Report '!$C19,'Business - Dump'!$A:$A,'SKU Order Report '!K$1)</f>
        <v>0</v>
      </c>
      <c r="L19" s="3">
        <f>SUMIFS('Business - Dump'!$W:$W,'Business - Dump'!$D:$D,'SKU Order Report '!$C19,'Business - Dump'!$A:$A,'SKU Order Report '!L$1)</f>
        <v>0</v>
      </c>
      <c r="M19" s="3">
        <f>SUMIFS('Business - Dump'!$W:$W,'Business - Dump'!$D:$D,'SKU Order Report '!$C19,'Business - Dump'!$A:$A,'SKU Order Report '!M$1)</f>
        <v>0</v>
      </c>
      <c r="N19" s="3">
        <f>SUMIFS('Business - Dump'!$W:$W,'Business - Dump'!$D:$D,'SKU Order Report '!$C19,'Business - Dump'!$A:$A,'SKU Order Report '!N$1)</f>
        <v>0</v>
      </c>
      <c r="O19" s="3">
        <f>SUMIFS('Business - Dump'!$W:$W,'Business - Dump'!$D:$D,'SKU Order Report '!$C19,'Business - Dump'!$A:$A,'SKU Order Report '!O$1)</f>
        <v>0</v>
      </c>
      <c r="P19" s="3">
        <f>SUMIFS('Business - Dump'!$W:$W,'Business - Dump'!$D:$D,'SKU Order Report '!$C19,'Business - Dump'!$A:$A,'SKU Order Report '!P$1)</f>
        <v>0</v>
      </c>
      <c r="Q19" s="3">
        <f>SUMIFS('Business - Dump'!$W:$W,'Business - Dump'!$D:$D,'SKU Order Report '!$C19,'Business - Dump'!$A:$A,'SKU Order Report '!Q$1)</f>
        <v>0</v>
      </c>
      <c r="R19" s="3">
        <f>SUMIFS('Business - Dump'!$W:$W,'Business - Dump'!$D:$D,'SKU Order Report '!$C19,'Business - Dump'!$A:$A,'SKU Order Report '!R$1)</f>
        <v>0</v>
      </c>
      <c r="S19" s="3">
        <f>SUMIFS('Business - Dump'!$W:$W,'Business - Dump'!$D:$D,'SKU Order Report '!$C19,'Business - Dump'!$A:$A,'SKU Order Report '!S$1)</f>
        <v>0</v>
      </c>
      <c r="T19" s="3">
        <f>SUMIFS('Business - Dump'!$W:$W,'Business - Dump'!$D:$D,'SKU Order Report '!$C19,'Business - Dump'!$A:$A,'SKU Order Report '!T$1)</f>
        <v>0</v>
      </c>
    </row>
    <row r="20">
      <c r="A20" s="10" t="str">
        <f t="array" ref="A20">_xlfn.XLOOKUP(C20,'Business - Dump'!$D:$D,'Business - Dump'!$B:$B)</f>
        <v>Standing Table  - M8</v>
      </c>
      <c r="B20" s="10" t="str">
        <f t="array" ref="B20">_xlfn.XLOOKUP(C20,'Referanc '!$A:$A,'Referanc '!$D:$D)</f>
        <v>IS MT 2S WG 750X1500</v>
      </c>
      <c r="C20" s="10" t="s">
        <v>319</v>
      </c>
      <c r="D20" s="3">
        <f>SUMIFS('Business - Dump'!$W:$W,'Business - Dump'!$D:$D,'SKU Order Report '!$C20,'Business - Dump'!$A:$A,'SKU Order Report '!D$1)</f>
        <v>1</v>
      </c>
      <c r="E20" s="3">
        <f>SUMIFS('Business - Dump'!$W:$W,'Business - Dump'!$D:$D,'SKU Order Report '!$C20,'Business - Dump'!$A:$A,'SKU Order Report '!E$1)</f>
        <v>10</v>
      </c>
      <c r="F20" s="24">
        <f>SUMIFS('Business - Dump'!$W:$W,'Business - Dump'!$D:$D,'SKU Order Report '!$C20,'Business - Dump'!$A:$A,'SKU Order Report '!F$1)</f>
        <v>4</v>
      </c>
      <c r="G20" s="24">
        <f>SUMIFS('Business - Dump'!$W:$W,'Business - Dump'!$D:$D,'SKU Order Report '!$C20,'Business - Dump'!$A:$A,'SKU Order Report '!G$1)</f>
        <v>0</v>
      </c>
      <c r="H20" s="24">
        <f>SUMIFS('Business - Dump'!$W:$W,'Business - Dump'!$D:$D,'SKU Order Report '!$C20,'Business - Dump'!$A:$A,'SKU Order Report '!H$1)</f>
        <v>0</v>
      </c>
      <c r="I20" s="24">
        <f>SUMIFS('Business - Dump'!$W:$W,'Business - Dump'!$D:$D,'SKU Order Report '!$C20,'Business - Dump'!$A:$A,'SKU Order Report '!I$1)</f>
        <v>0</v>
      </c>
      <c r="J20" s="24">
        <f>SUMIFS('Business - Dump'!$W:$W,'Business - Dump'!$D:$D,'SKU Order Report '!$C20,'Business - Dump'!$A:$A,'SKU Order Report '!J$1)</f>
        <v>0</v>
      </c>
      <c r="K20" s="24">
        <f>SUMIFS('Business - Dump'!$W:$W,'Business - Dump'!$D:$D,'SKU Order Report '!$C20,'Business - Dump'!$A:$A,'SKU Order Report '!K$1)</f>
        <v>0</v>
      </c>
      <c r="L20" s="24">
        <f>SUMIFS('Business - Dump'!$W:$W,'Business - Dump'!$D:$D,'SKU Order Report '!$C20,'Business - Dump'!$A:$A,'SKU Order Report '!L$1)</f>
        <v>0</v>
      </c>
      <c r="M20" s="24">
        <f>SUMIFS('Business - Dump'!$W:$W,'Business - Dump'!$D:$D,'SKU Order Report '!$C20,'Business - Dump'!$A:$A,'SKU Order Report '!M$1)</f>
        <v>0</v>
      </c>
      <c r="N20" s="24">
        <f>SUMIFS('Business - Dump'!$W:$W,'Business - Dump'!$D:$D,'SKU Order Report '!$C20,'Business - Dump'!$A:$A,'SKU Order Report '!N$1)</f>
        <v>0</v>
      </c>
      <c r="O20" s="24">
        <f>SUMIFS('Business - Dump'!$W:$W,'Business - Dump'!$D:$D,'SKU Order Report '!$C20,'Business - Dump'!$A:$A,'SKU Order Report '!O$1)</f>
        <v>0</v>
      </c>
      <c r="P20" s="24">
        <f>SUMIFS('Business - Dump'!$W:$W,'Business - Dump'!$D:$D,'SKU Order Report '!$C20,'Business - Dump'!$A:$A,'SKU Order Report '!P$1)</f>
        <v>0</v>
      </c>
      <c r="Q20" s="24">
        <f>SUMIFS('Business - Dump'!$W:$W,'Business - Dump'!$D:$D,'SKU Order Report '!$C20,'Business - Dump'!$A:$A,'SKU Order Report '!Q$1)</f>
        <v>0</v>
      </c>
      <c r="R20" s="24">
        <f>SUMIFS('Business - Dump'!$W:$W,'Business - Dump'!$D:$D,'SKU Order Report '!$C20,'Business - Dump'!$A:$A,'SKU Order Report '!R$1)</f>
        <v>0</v>
      </c>
      <c r="S20" s="24">
        <f>SUMIFS('Business - Dump'!$W:$W,'Business - Dump'!$D:$D,'SKU Order Report '!$C20,'Business - Dump'!$A:$A,'SKU Order Report '!S$1)</f>
        <v>0</v>
      </c>
      <c r="T20" s="24">
        <f>SUMIFS('Business - Dump'!$W:$W,'Business - Dump'!$D:$D,'SKU Order Report '!$C20,'Business - Dump'!$A:$A,'SKU Order Report '!T$1)</f>
        <v>0</v>
      </c>
    </row>
    <row r="21" ht="15.75" customHeight="1">
      <c r="A21" s="10" t="str">
        <f t="array" ref="A21">_xlfn.XLOOKUP(C21,'Business - Dump'!$D:$D,'Business - Dump'!$B:$B)</f>
        <v>TABLE TOP</v>
      </c>
      <c r="B21" s="10" t="str">
        <f t="array" ref="B21">_xlfn.XLOOKUP(C21,'Referanc '!$A:$A,'Referanc '!$D:$D)</f>
        <v>PW 750 X 1500</v>
      </c>
      <c r="C21" s="10" t="s">
        <v>323</v>
      </c>
      <c r="D21" s="3">
        <f>SUMIFS('Business - Dump'!$W:$W,'Business - Dump'!$D:$D,'SKU Order Report '!$C21,'Business - Dump'!$A:$A,'SKU Order Report '!D$1)</f>
        <v>1</v>
      </c>
      <c r="E21" s="3">
        <f>SUMIFS('Business - Dump'!$W:$W,'Business - Dump'!$D:$D,'SKU Order Report '!$C21,'Business - Dump'!$A:$A,'SKU Order Report '!E$1)</f>
        <v>2</v>
      </c>
      <c r="F21" s="3">
        <f>SUMIFS('Business - Dump'!$W:$W,'Business - Dump'!$D:$D,'SKU Order Report '!$C21,'Business - Dump'!$A:$A,'SKU Order Report '!F$1)</f>
        <v>1</v>
      </c>
      <c r="G21" s="3">
        <f>SUMIFS('Business - Dump'!$W:$W,'Business - Dump'!$D:$D,'SKU Order Report '!$C21,'Business - Dump'!$A:$A,'SKU Order Report '!G$1)</f>
        <v>0</v>
      </c>
      <c r="H21" s="3">
        <f>SUMIFS('Business - Dump'!$W:$W,'Business - Dump'!$D:$D,'SKU Order Report '!$C21,'Business - Dump'!$A:$A,'SKU Order Report '!H$1)</f>
        <v>2</v>
      </c>
      <c r="I21" s="3">
        <f>SUMIFS('Business - Dump'!$W:$W,'Business - Dump'!$D:$D,'SKU Order Report '!$C21,'Business - Dump'!$A:$A,'SKU Order Report '!I$1)</f>
        <v>0</v>
      </c>
      <c r="J21" s="3">
        <f>SUMIFS('Business - Dump'!$W:$W,'Business - Dump'!$D:$D,'SKU Order Report '!$C21,'Business - Dump'!$A:$A,'SKU Order Report '!J$1)</f>
        <v>0</v>
      </c>
      <c r="K21" s="3">
        <f>SUMIFS('Business - Dump'!$W:$W,'Business - Dump'!$D:$D,'SKU Order Report '!$C21,'Business - Dump'!$A:$A,'SKU Order Report '!K$1)</f>
        <v>0</v>
      </c>
      <c r="L21" s="3">
        <f>SUMIFS('Business - Dump'!$W:$W,'Business - Dump'!$D:$D,'SKU Order Report '!$C21,'Business - Dump'!$A:$A,'SKU Order Report '!L$1)</f>
        <v>1</v>
      </c>
      <c r="M21" s="3">
        <f>SUMIFS('Business - Dump'!$W:$W,'Business - Dump'!$D:$D,'SKU Order Report '!$C21,'Business - Dump'!$A:$A,'SKU Order Report '!M$1)</f>
        <v>0</v>
      </c>
      <c r="N21" s="3">
        <f>SUMIFS('Business - Dump'!$W:$W,'Business - Dump'!$D:$D,'SKU Order Report '!$C21,'Business - Dump'!$A:$A,'SKU Order Report '!N$1)</f>
        <v>0</v>
      </c>
      <c r="O21" s="3">
        <f>SUMIFS('Business - Dump'!$W:$W,'Business - Dump'!$D:$D,'SKU Order Report '!$C21,'Business - Dump'!$A:$A,'SKU Order Report '!O$1)</f>
        <v>0</v>
      </c>
      <c r="P21" s="3">
        <f>SUMIFS('Business - Dump'!$W:$W,'Business - Dump'!$D:$D,'SKU Order Report '!$C21,'Business - Dump'!$A:$A,'SKU Order Report '!P$1)</f>
        <v>0</v>
      </c>
      <c r="Q21" s="3">
        <f>SUMIFS('Business - Dump'!$W:$W,'Business - Dump'!$D:$D,'SKU Order Report '!$C21,'Business - Dump'!$A:$A,'SKU Order Report '!Q$1)</f>
        <v>2</v>
      </c>
      <c r="R21" s="3">
        <f>SUMIFS('Business - Dump'!$W:$W,'Business - Dump'!$D:$D,'SKU Order Report '!$C21,'Business - Dump'!$A:$A,'SKU Order Report '!R$1)</f>
        <v>2</v>
      </c>
      <c r="S21" s="3">
        <f>SUMIFS('Business - Dump'!$W:$W,'Business - Dump'!$D:$D,'SKU Order Report '!$C21,'Business - Dump'!$A:$A,'SKU Order Report '!S$1)</f>
        <v>0</v>
      </c>
      <c r="T21" s="3">
        <f>SUMIFS('Business - Dump'!$W:$W,'Business - Dump'!$D:$D,'SKU Order Report '!$C21,'Business - Dump'!$A:$A,'SKU Order Report '!T$1)</f>
        <v>1</v>
      </c>
    </row>
    <row r="22" ht="15.75" customHeight="1">
      <c r="A22" s="10" t="str">
        <f t="array" ref="A22">_xlfn.XLOOKUP(C22,'Business - Dump'!$D:$D,'Business - Dump'!$B:$B)</f>
        <v>TABLE TOP</v>
      </c>
      <c r="B22" s="10" t="str">
        <f t="array" ref="B22">_xlfn.XLOOKUP(C22,'Referanc '!$A:$A,'Referanc '!$D:$D)</f>
        <v>PW 600 X 1200</v>
      </c>
      <c r="C22" s="10" t="s">
        <v>324</v>
      </c>
      <c r="D22" s="3">
        <f>SUMIFS('Business - Dump'!$W:$W,'Business - Dump'!$D:$D,'SKU Order Report '!$C22,'Business - Dump'!$A:$A,'SKU Order Report '!D$1)</f>
        <v>1</v>
      </c>
      <c r="E22" s="3">
        <f>SUMIFS('Business - Dump'!$W:$W,'Business - Dump'!$D:$D,'SKU Order Report '!$C22,'Business - Dump'!$A:$A,'SKU Order Report '!E$1)</f>
        <v>1</v>
      </c>
      <c r="F22" s="3">
        <f>SUMIFS('Business - Dump'!$W:$W,'Business - Dump'!$D:$D,'SKU Order Report '!$C22,'Business - Dump'!$A:$A,'SKU Order Report '!F$1)</f>
        <v>0</v>
      </c>
      <c r="G22" s="3">
        <f>SUMIFS('Business - Dump'!$W:$W,'Business - Dump'!$D:$D,'SKU Order Report '!$C22,'Business - Dump'!$A:$A,'SKU Order Report '!G$1)</f>
        <v>0</v>
      </c>
      <c r="H22" s="3">
        <f>SUMIFS('Business - Dump'!$W:$W,'Business - Dump'!$D:$D,'SKU Order Report '!$C22,'Business - Dump'!$A:$A,'SKU Order Report '!H$1)</f>
        <v>0</v>
      </c>
      <c r="I22" s="3">
        <f>SUMIFS('Business - Dump'!$W:$W,'Business - Dump'!$D:$D,'SKU Order Report '!$C22,'Business - Dump'!$A:$A,'SKU Order Report '!I$1)</f>
        <v>2</v>
      </c>
      <c r="J22" s="3">
        <f>SUMIFS('Business - Dump'!$W:$W,'Business - Dump'!$D:$D,'SKU Order Report '!$C22,'Business - Dump'!$A:$A,'SKU Order Report '!J$1)</f>
        <v>2</v>
      </c>
      <c r="K22" s="3">
        <f>SUMIFS('Business - Dump'!$W:$W,'Business - Dump'!$D:$D,'SKU Order Report '!$C22,'Business - Dump'!$A:$A,'SKU Order Report '!K$1)</f>
        <v>1</v>
      </c>
      <c r="L22" s="3">
        <f>SUMIFS('Business - Dump'!$W:$W,'Business - Dump'!$D:$D,'SKU Order Report '!$C22,'Business - Dump'!$A:$A,'SKU Order Report '!L$1)</f>
        <v>0</v>
      </c>
      <c r="M22" s="3">
        <f>SUMIFS('Business - Dump'!$W:$W,'Business - Dump'!$D:$D,'SKU Order Report '!$C22,'Business - Dump'!$A:$A,'SKU Order Report '!M$1)</f>
        <v>0</v>
      </c>
      <c r="N22" s="3">
        <f>SUMIFS('Business - Dump'!$W:$W,'Business - Dump'!$D:$D,'SKU Order Report '!$C22,'Business - Dump'!$A:$A,'SKU Order Report '!N$1)</f>
        <v>1</v>
      </c>
      <c r="O22" s="3">
        <f>SUMIFS('Business - Dump'!$W:$W,'Business - Dump'!$D:$D,'SKU Order Report '!$C22,'Business - Dump'!$A:$A,'SKU Order Report '!O$1)</f>
        <v>1</v>
      </c>
      <c r="P22" s="3">
        <f>SUMIFS('Business - Dump'!$W:$W,'Business - Dump'!$D:$D,'SKU Order Report '!$C22,'Business - Dump'!$A:$A,'SKU Order Report '!P$1)</f>
        <v>0</v>
      </c>
      <c r="Q22" s="3">
        <f>SUMIFS('Business - Dump'!$W:$W,'Business - Dump'!$D:$D,'SKU Order Report '!$C22,'Business - Dump'!$A:$A,'SKU Order Report '!Q$1)</f>
        <v>3</v>
      </c>
      <c r="R22" s="3">
        <f>SUMIFS('Business - Dump'!$W:$W,'Business - Dump'!$D:$D,'SKU Order Report '!$C22,'Business - Dump'!$A:$A,'SKU Order Report '!R$1)</f>
        <v>1</v>
      </c>
      <c r="S22" s="3">
        <f>SUMIFS('Business - Dump'!$W:$W,'Business - Dump'!$D:$D,'SKU Order Report '!$C22,'Business - Dump'!$A:$A,'SKU Order Report '!S$1)</f>
        <v>0</v>
      </c>
      <c r="T22" s="3">
        <f>SUMIFS('Business - Dump'!$W:$W,'Business - Dump'!$D:$D,'SKU Order Report '!$C22,'Business - Dump'!$A:$A,'SKU Order Report '!T$1)</f>
        <v>1</v>
      </c>
    </row>
    <row r="23" ht="15.75" customHeight="1">
      <c r="A23" s="10" t="str">
        <f t="array" ref="A23">_xlfn.XLOOKUP(C23,'Business - Dump'!$D:$D,'Business - Dump'!$B:$B)</f>
        <v>Standing Desk Converter</v>
      </c>
      <c r="B23" s="10" t="str">
        <f t="array" ref="B23">_xlfn.XLOOKUP(C23,'Referanc '!$A:$A,'Referanc '!$D:$D)</f>
        <v>EY DC 1T P2601 WHT V02</v>
      </c>
      <c r="C23" s="10" t="s">
        <v>326</v>
      </c>
      <c r="D23" s="3">
        <f>SUMIFS('Business - Dump'!$W:$W,'Business - Dump'!$D:$D,'SKU Order Report '!$C23,'Business - Dump'!$A:$A,'SKU Order Report '!D$1)</f>
        <v>1</v>
      </c>
      <c r="E23" s="3">
        <f>SUMIFS('Business - Dump'!$W:$W,'Business - Dump'!$D:$D,'SKU Order Report '!$C23,'Business - Dump'!$A:$A,'SKU Order Report '!E$1)</f>
        <v>3</v>
      </c>
      <c r="F23" s="3">
        <f>SUMIFS('Business - Dump'!$W:$W,'Business - Dump'!$D:$D,'SKU Order Report '!$C23,'Business - Dump'!$A:$A,'SKU Order Report '!F$1)</f>
        <v>0</v>
      </c>
      <c r="G23" s="3">
        <f>SUMIFS('Business - Dump'!$W:$W,'Business - Dump'!$D:$D,'SKU Order Report '!$C23,'Business - Dump'!$A:$A,'SKU Order Report '!G$1)</f>
        <v>5</v>
      </c>
      <c r="H23" s="3">
        <f>SUMIFS('Business - Dump'!$W:$W,'Business - Dump'!$D:$D,'SKU Order Report '!$C23,'Business - Dump'!$A:$A,'SKU Order Report '!H$1)</f>
        <v>7</v>
      </c>
      <c r="I23" s="3">
        <f>SUMIFS('Business - Dump'!$W:$W,'Business - Dump'!$D:$D,'SKU Order Report '!$C23,'Business - Dump'!$A:$A,'SKU Order Report '!I$1)</f>
        <v>15</v>
      </c>
      <c r="J23" s="3">
        <f>SUMIFS('Business - Dump'!$W:$W,'Business - Dump'!$D:$D,'SKU Order Report '!$C23,'Business - Dump'!$A:$A,'SKU Order Report '!J$1)</f>
        <v>1</v>
      </c>
      <c r="K23" s="3">
        <f>SUMIFS('Business - Dump'!$W:$W,'Business - Dump'!$D:$D,'SKU Order Report '!$C23,'Business - Dump'!$A:$A,'SKU Order Report '!K$1)</f>
        <v>1</v>
      </c>
      <c r="L23" s="3">
        <f>SUMIFS('Business - Dump'!$W:$W,'Business - Dump'!$D:$D,'SKU Order Report '!$C23,'Business - Dump'!$A:$A,'SKU Order Report '!L$1)</f>
        <v>2</v>
      </c>
      <c r="M23" s="3">
        <f>SUMIFS('Business - Dump'!$W:$W,'Business - Dump'!$D:$D,'SKU Order Report '!$C23,'Business - Dump'!$A:$A,'SKU Order Report '!M$1)</f>
        <v>2</v>
      </c>
      <c r="N23" s="3">
        <f>SUMIFS('Business - Dump'!$W:$W,'Business - Dump'!$D:$D,'SKU Order Report '!$C23,'Business - Dump'!$A:$A,'SKU Order Report '!N$1)</f>
        <v>5</v>
      </c>
      <c r="O23" s="3">
        <f>SUMIFS('Business - Dump'!$W:$W,'Business - Dump'!$D:$D,'SKU Order Report '!$C23,'Business - Dump'!$A:$A,'SKU Order Report '!O$1)</f>
        <v>5</v>
      </c>
      <c r="P23" s="3">
        <f>SUMIFS('Business - Dump'!$W:$W,'Business - Dump'!$D:$D,'SKU Order Report '!$C23,'Business - Dump'!$A:$A,'SKU Order Report '!P$1)</f>
        <v>0</v>
      </c>
      <c r="Q23" s="3">
        <f>SUMIFS('Business - Dump'!$W:$W,'Business - Dump'!$D:$D,'SKU Order Report '!$C23,'Business - Dump'!$A:$A,'SKU Order Report '!Q$1)</f>
        <v>0</v>
      </c>
      <c r="R23" s="3">
        <f>SUMIFS('Business - Dump'!$W:$W,'Business - Dump'!$D:$D,'SKU Order Report '!$C23,'Business - Dump'!$A:$A,'SKU Order Report '!R$1)</f>
        <v>0</v>
      </c>
      <c r="S23" s="3">
        <f>SUMIFS('Business - Dump'!$W:$W,'Business - Dump'!$D:$D,'SKU Order Report '!$C23,'Business - Dump'!$A:$A,'SKU Order Report '!S$1)</f>
        <v>2</v>
      </c>
      <c r="T23" s="3">
        <f>SUMIFS('Business - Dump'!$W:$W,'Business - Dump'!$D:$D,'SKU Order Report '!$C23,'Business - Dump'!$A:$A,'SKU Order Report '!T$1)</f>
        <v>0</v>
      </c>
    </row>
    <row r="24" ht="15.75" customHeight="1">
      <c r="A24" s="10" t="str">
        <f t="array" ref="A24">_xlfn.XLOOKUP(C24,'Business - Dump'!$D:$D,'Business - Dump'!$B:$B)</f>
        <v>Laptop Table</v>
      </c>
      <c r="B24" s="10" t="str">
        <f t="array" ref="B24">_xlfn.XLOOKUP(C24,'Referanc '!$A:$A,'Referanc '!$D:$D)</f>
        <v>EY HAT 1L 1T GL P76 WHT V02</v>
      </c>
      <c r="C24" s="10" t="s">
        <v>328</v>
      </c>
      <c r="D24" s="3">
        <f>SUMIFS('Business - Dump'!$W:$W,'Business - Dump'!$D:$D,'SKU Order Report '!$C24,'Business - Dump'!$A:$A,'SKU Order Report '!D$1)</f>
        <v>1</v>
      </c>
      <c r="E24" s="3">
        <f>SUMIFS('Business - Dump'!$W:$W,'Business - Dump'!$D:$D,'SKU Order Report '!$C24,'Business - Dump'!$A:$A,'SKU Order Report '!E$1)</f>
        <v>2</v>
      </c>
      <c r="F24" s="3">
        <f>SUMIFS('Business - Dump'!$W:$W,'Business - Dump'!$D:$D,'SKU Order Report '!$C24,'Business - Dump'!$A:$A,'SKU Order Report '!F$1)</f>
        <v>0</v>
      </c>
      <c r="G24" s="3">
        <f>SUMIFS('Business - Dump'!$W:$W,'Business - Dump'!$D:$D,'SKU Order Report '!$C24,'Business - Dump'!$A:$A,'SKU Order Report '!G$1)</f>
        <v>0</v>
      </c>
      <c r="H24" s="3">
        <f>SUMIFS('Business - Dump'!$W:$W,'Business - Dump'!$D:$D,'SKU Order Report '!$C24,'Business - Dump'!$A:$A,'SKU Order Report '!H$1)</f>
        <v>0</v>
      </c>
      <c r="I24" s="3">
        <f>SUMIFS('Business - Dump'!$W:$W,'Business - Dump'!$D:$D,'SKU Order Report '!$C24,'Business - Dump'!$A:$A,'SKU Order Report '!I$1)</f>
        <v>0</v>
      </c>
      <c r="J24" s="3">
        <f>SUMIFS('Business - Dump'!$W:$W,'Business - Dump'!$D:$D,'SKU Order Report '!$C24,'Business - Dump'!$A:$A,'SKU Order Report '!J$1)</f>
        <v>1</v>
      </c>
      <c r="K24" s="3">
        <f>SUMIFS('Business - Dump'!$W:$W,'Business - Dump'!$D:$D,'SKU Order Report '!$C24,'Business - Dump'!$A:$A,'SKU Order Report '!K$1)</f>
        <v>1</v>
      </c>
      <c r="L24" s="3">
        <f>SUMIFS('Business - Dump'!$W:$W,'Business - Dump'!$D:$D,'SKU Order Report '!$C24,'Business - Dump'!$A:$A,'SKU Order Report '!L$1)</f>
        <v>8</v>
      </c>
      <c r="M24" s="3">
        <f>SUMIFS('Business - Dump'!$W:$W,'Business - Dump'!$D:$D,'SKU Order Report '!$C24,'Business - Dump'!$A:$A,'SKU Order Report '!M$1)</f>
        <v>3</v>
      </c>
      <c r="N24" s="3">
        <f>SUMIFS('Business - Dump'!$W:$W,'Business - Dump'!$D:$D,'SKU Order Report '!$C24,'Business - Dump'!$A:$A,'SKU Order Report '!N$1)</f>
        <v>2</v>
      </c>
      <c r="O24" s="3">
        <f>SUMIFS('Business - Dump'!$W:$W,'Business - Dump'!$D:$D,'SKU Order Report '!$C24,'Business - Dump'!$A:$A,'SKU Order Report '!O$1)</f>
        <v>3</v>
      </c>
      <c r="P24" s="3">
        <f>SUMIFS('Business - Dump'!$W:$W,'Business - Dump'!$D:$D,'SKU Order Report '!$C24,'Business - Dump'!$A:$A,'SKU Order Report '!P$1)</f>
        <v>0</v>
      </c>
      <c r="Q24" s="3">
        <f>SUMIFS('Business - Dump'!$W:$W,'Business - Dump'!$D:$D,'SKU Order Report '!$C24,'Business - Dump'!$A:$A,'SKU Order Report '!Q$1)</f>
        <v>1</v>
      </c>
      <c r="R24" s="3">
        <f>SUMIFS('Business - Dump'!$W:$W,'Business - Dump'!$D:$D,'SKU Order Report '!$C24,'Business - Dump'!$A:$A,'SKU Order Report '!R$1)</f>
        <v>1</v>
      </c>
      <c r="S24" s="3">
        <f>SUMIFS('Business - Dump'!$W:$W,'Business - Dump'!$D:$D,'SKU Order Report '!$C24,'Business - Dump'!$A:$A,'SKU Order Report '!S$1)</f>
        <v>0</v>
      </c>
      <c r="T24" s="3">
        <f>SUMIFS('Business - Dump'!$W:$W,'Business - Dump'!$D:$D,'SKU Order Report '!$C24,'Business - Dump'!$A:$A,'SKU Order Report '!T$1)</f>
        <v>0</v>
      </c>
    </row>
    <row r="25" ht="15.75" customHeight="1">
      <c r="A25" s="10" t="str">
        <f t="array" ref="A25">_xlfn.XLOOKUP(C25,'Business - Dump'!$D:$D,'Business - Dump'!$B:$B)</f>
        <v>Standing Table  - M3</v>
      </c>
      <c r="B25" s="10" t="str">
        <f t="array" ref="B25">_xlfn.XLOOKUP(C25,'Referanc '!$A:$A,'Referanc '!$D:$D)</f>
        <v>EY HAT MT 2S WHT M3 WG 600X1400 V02</v>
      </c>
      <c r="C25" s="10" t="s">
        <v>330</v>
      </c>
      <c r="D25" s="3">
        <f>SUMIFS('Business - Dump'!$W:$W,'Business - Dump'!$D:$D,'SKU Order Report '!$C25,'Business - Dump'!$A:$A,'SKU Order Report '!D$1)</f>
        <v>0</v>
      </c>
      <c r="E25" s="3">
        <f>SUMIFS('Business - Dump'!$W:$W,'Business - Dump'!$D:$D,'SKU Order Report '!$C25,'Business - Dump'!$A:$A,'SKU Order Report '!E$1)</f>
        <v>9</v>
      </c>
      <c r="F25" s="3">
        <f>SUMIFS('Business - Dump'!$W:$W,'Business - Dump'!$D:$D,'SKU Order Report '!$C25,'Business - Dump'!$A:$A,'SKU Order Report '!F$1)</f>
        <v>13</v>
      </c>
      <c r="G25" s="3">
        <f>SUMIFS('Business - Dump'!$W:$W,'Business - Dump'!$D:$D,'SKU Order Report '!$C25,'Business - Dump'!$A:$A,'SKU Order Report '!G$1)</f>
        <v>27</v>
      </c>
      <c r="H25" s="3">
        <f>SUMIFS('Business - Dump'!$W:$W,'Business - Dump'!$D:$D,'SKU Order Report '!$C25,'Business - Dump'!$A:$A,'SKU Order Report '!H$1)</f>
        <v>22</v>
      </c>
      <c r="I25" s="3">
        <f>SUMIFS('Business - Dump'!$W:$W,'Business - Dump'!$D:$D,'SKU Order Report '!$C25,'Business - Dump'!$A:$A,'SKU Order Report '!I$1)</f>
        <v>28</v>
      </c>
      <c r="J25" s="3">
        <f>SUMIFS('Business - Dump'!$W:$W,'Business - Dump'!$D:$D,'SKU Order Report '!$C25,'Business - Dump'!$A:$A,'SKU Order Report '!J$1)</f>
        <v>27</v>
      </c>
      <c r="K25" s="3">
        <f>SUMIFS('Business - Dump'!$W:$W,'Business - Dump'!$D:$D,'SKU Order Report '!$C25,'Business - Dump'!$A:$A,'SKU Order Report '!K$1)</f>
        <v>9</v>
      </c>
      <c r="L25" s="3">
        <f>SUMIFS('Business - Dump'!$W:$W,'Business - Dump'!$D:$D,'SKU Order Report '!$C25,'Business - Dump'!$A:$A,'SKU Order Report '!L$1)</f>
        <v>0</v>
      </c>
      <c r="M25" s="3">
        <f>SUMIFS('Business - Dump'!$W:$W,'Business - Dump'!$D:$D,'SKU Order Report '!$C25,'Business - Dump'!$A:$A,'SKU Order Report '!M$1)</f>
        <v>3</v>
      </c>
      <c r="N25" s="3">
        <f>SUMIFS('Business - Dump'!$W:$W,'Business - Dump'!$D:$D,'SKU Order Report '!$C25,'Business - Dump'!$A:$A,'SKU Order Report '!N$1)</f>
        <v>1</v>
      </c>
      <c r="O25" s="3">
        <f>SUMIFS('Business - Dump'!$W:$W,'Business - Dump'!$D:$D,'SKU Order Report '!$C25,'Business - Dump'!$A:$A,'SKU Order Report '!O$1)</f>
        <v>1</v>
      </c>
      <c r="P25" s="3">
        <f>SUMIFS('Business - Dump'!$W:$W,'Business - Dump'!$D:$D,'SKU Order Report '!$C25,'Business - Dump'!$A:$A,'SKU Order Report '!P$1)</f>
        <v>0</v>
      </c>
      <c r="Q25" s="3">
        <f>SUMIFS('Business - Dump'!$W:$W,'Business - Dump'!$D:$D,'SKU Order Report '!$C25,'Business - Dump'!$A:$A,'SKU Order Report '!Q$1)</f>
        <v>0</v>
      </c>
      <c r="R25" s="3">
        <f>SUMIFS('Business - Dump'!$W:$W,'Business - Dump'!$D:$D,'SKU Order Report '!$C25,'Business - Dump'!$A:$A,'SKU Order Report '!R$1)</f>
        <v>0</v>
      </c>
      <c r="S25" s="3">
        <f>SUMIFS('Business - Dump'!$W:$W,'Business - Dump'!$D:$D,'SKU Order Report '!$C25,'Business - Dump'!$A:$A,'SKU Order Report '!S$1)</f>
        <v>0</v>
      </c>
      <c r="T25" s="3">
        <f>SUMIFS('Business - Dump'!$W:$W,'Business - Dump'!$D:$D,'SKU Order Report '!$C25,'Business - Dump'!$A:$A,'SKU Order Report '!T$1)</f>
        <v>0</v>
      </c>
    </row>
    <row r="26" ht="15.75" customHeight="1">
      <c r="A26" s="10" t="str">
        <f t="array" ref="A26">_xlfn.XLOOKUP(C26,'Business - Dump'!$D:$D,'Business - Dump'!$B:$B)</f>
        <v>Single Leg Gas</v>
      </c>
      <c r="B26" s="10" t="str">
        <f t="array" ref="B26">_xlfn.XLOOKUP(C26,'Referanc '!$A:$A,'Referanc '!$D:$D)</f>
        <v>EY HAT 1L 1T GL TILT1 WHT V02</v>
      </c>
      <c r="C26" s="10" t="s">
        <v>332</v>
      </c>
      <c r="D26" s="3">
        <f>SUMIFS('Business - Dump'!$W:$W,'Business - Dump'!$D:$D,'SKU Order Report '!$C26,'Business - Dump'!$A:$A,'SKU Order Report '!D$1)</f>
        <v>0</v>
      </c>
      <c r="E26" s="3">
        <f>SUMIFS('Business - Dump'!$W:$W,'Business - Dump'!$D:$D,'SKU Order Report '!$C26,'Business - Dump'!$A:$A,'SKU Order Report '!E$1)</f>
        <v>2</v>
      </c>
      <c r="F26" s="3">
        <f>SUMIFS('Business - Dump'!$W:$W,'Business - Dump'!$D:$D,'SKU Order Report '!$C26,'Business - Dump'!$A:$A,'SKU Order Report '!F$1)</f>
        <v>2</v>
      </c>
      <c r="G26" s="3">
        <f>SUMIFS('Business - Dump'!$W:$W,'Business - Dump'!$D:$D,'SKU Order Report '!$C26,'Business - Dump'!$A:$A,'SKU Order Report '!G$1)</f>
        <v>3</v>
      </c>
      <c r="H26" s="3">
        <f>SUMIFS('Business - Dump'!$W:$W,'Business - Dump'!$D:$D,'SKU Order Report '!$C26,'Business - Dump'!$A:$A,'SKU Order Report '!H$1)</f>
        <v>2</v>
      </c>
      <c r="I26" s="3">
        <f>SUMIFS('Business - Dump'!$W:$W,'Business - Dump'!$D:$D,'SKU Order Report '!$C26,'Business - Dump'!$A:$A,'SKU Order Report '!I$1)</f>
        <v>0</v>
      </c>
      <c r="J26" s="3">
        <f>SUMIFS('Business - Dump'!$W:$W,'Business - Dump'!$D:$D,'SKU Order Report '!$C26,'Business - Dump'!$A:$A,'SKU Order Report '!J$1)</f>
        <v>2</v>
      </c>
      <c r="K26" s="3">
        <f>SUMIFS('Business - Dump'!$W:$W,'Business - Dump'!$D:$D,'SKU Order Report '!$C26,'Business - Dump'!$A:$A,'SKU Order Report '!K$1)</f>
        <v>0</v>
      </c>
      <c r="L26" s="3">
        <f>SUMIFS('Business - Dump'!$W:$W,'Business - Dump'!$D:$D,'SKU Order Report '!$C26,'Business - Dump'!$A:$A,'SKU Order Report '!L$1)</f>
        <v>0</v>
      </c>
      <c r="M26" s="3">
        <f>SUMIFS('Business - Dump'!$W:$W,'Business - Dump'!$D:$D,'SKU Order Report '!$C26,'Business - Dump'!$A:$A,'SKU Order Report '!M$1)</f>
        <v>1</v>
      </c>
      <c r="N26" s="3">
        <f>SUMIFS('Business - Dump'!$W:$W,'Business - Dump'!$D:$D,'SKU Order Report '!$C26,'Business - Dump'!$A:$A,'SKU Order Report '!N$1)</f>
        <v>3</v>
      </c>
      <c r="O26" s="3">
        <f>SUMIFS('Business - Dump'!$W:$W,'Business - Dump'!$D:$D,'SKU Order Report '!$C26,'Business - Dump'!$A:$A,'SKU Order Report '!O$1)</f>
        <v>2</v>
      </c>
      <c r="P26" s="3">
        <f>SUMIFS('Business - Dump'!$W:$W,'Business - Dump'!$D:$D,'SKU Order Report '!$C26,'Business - Dump'!$A:$A,'SKU Order Report '!P$1)</f>
        <v>0</v>
      </c>
      <c r="Q26" s="3">
        <f>SUMIFS('Business - Dump'!$W:$W,'Business - Dump'!$D:$D,'SKU Order Report '!$C26,'Business - Dump'!$A:$A,'SKU Order Report '!Q$1)</f>
        <v>0</v>
      </c>
      <c r="R26" s="3">
        <f>SUMIFS('Business - Dump'!$W:$W,'Business - Dump'!$D:$D,'SKU Order Report '!$C26,'Business - Dump'!$A:$A,'SKU Order Report '!R$1)</f>
        <v>0</v>
      </c>
      <c r="S26" s="3">
        <f>SUMIFS('Business - Dump'!$W:$W,'Business - Dump'!$D:$D,'SKU Order Report '!$C26,'Business - Dump'!$A:$A,'SKU Order Report '!S$1)</f>
        <v>0</v>
      </c>
      <c r="T26" s="3">
        <f>SUMIFS('Business - Dump'!$W:$W,'Business - Dump'!$D:$D,'SKU Order Report '!$C26,'Business - Dump'!$A:$A,'SKU Order Report '!T$1)</f>
        <v>0</v>
      </c>
    </row>
    <row r="27" ht="15.75" customHeight="1">
      <c r="A27" s="10" t="str">
        <f t="array" ref="A27">_xlfn.XLOOKUP(C27,'Business - Dump'!$D:$D,'Business - Dump'!$B:$B)</f>
        <v>Single Leg Gas</v>
      </c>
      <c r="B27" s="10" t="str">
        <f t="array" ref="B27">_xlfn.XLOOKUP(C27,'Referanc '!$A:$A,'Referanc '!$D:$D)</f>
        <v>EY HAT 1L 2T GL P77 BLK V02</v>
      </c>
      <c r="C27" s="10" t="s">
        <v>334</v>
      </c>
      <c r="D27" s="3">
        <f>SUMIFS('Business - Dump'!$W:$W,'Business - Dump'!$D:$D,'SKU Order Report '!$C27,'Business - Dump'!$A:$A,'SKU Order Report '!D$1)</f>
        <v>0</v>
      </c>
      <c r="E27" s="3">
        <f>SUMIFS('Business - Dump'!$W:$W,'Business - Dump'!$D:$D,'SKU Order Report '!$C27,'Business - Dump'!$A:$A,'SKU Order Report '!E$1)</f>
        <v>2</v>
      </c>
      <c r="F27" s="3">
        <f>SUMIFS('Business - Dump'!$W:$W,'Business - Dump'!$D:$D,'SKU Order Report '!$C27,'Business - Dump'!$A:$A,'SKU Order Report '!F$1)</f>
        <v>0</v>
      </c>
      <c r="G27" s="3">
        <f>SUMIFS('Business - Dump'!$W:$W,'Business - Dump'!$D:$D,'SKU Order Report '!$C27,'Business - Dump'!$A:$A,'SKU Order Report '!G$1)</f>
        <v>1</v>
      </c>
      <c r="H27" s="3">
        <f>SUMIFS('Business - Dump'!$W:$W,'Business - Dump'!$D:$D,'SKU Order Report '!$C27,'Business - Dump'!$A:$A,'SKU Order Report '!H$1)</f>
        <v>1</v>
      </c>
      <c r="I27" s="3">
        <f>SUMIFS('Business - Dump'!$W:$W,'Business - Dump'!$D:$D,'SKU Order Report '!$C27,'Business - Dump'!$A:$A,'SKU Order Report '!I$1)</f>
        <v>0</v>
      </c>
      <c r="J27" s="3">
        <f>SUMIFS('Business - Dump'!$W:$W,'Business - Dump'!$D:$D,'SKU Order Report '!$C27,'Business - Dump'!$A:$A,'SKU Order Report '!J$1)</f>
        <v>0</v>
      </c>
      <c r="K27" s="3">
        <f>SUMIFS('Business - Dump'!$W:$W,'Business - Dump'!$D:$D,'SKU Order Report '!$C27,'Business - Dump'!$A:$A,'SKU Order Report '!K$1)</f>
        <v>0</v>
      </c>
      <c r="L27" s="3">
        <f>SUMIFS('Business - Dump'!$W:$W,'Business - Dump'!$D:$D,'SKU Order Report '!$C27,'Business - Dump'!$A:$A,'SKU Order Report '!L$1)</f>
        <v>0</v>
      </c>
      <c r="M27" s="3">
        <f>SUMIFS('Business - Dump'!$W:$W,'Business - Dump'!$D:$D,'SKU Order Report '!$C27,'Business - Dump'!$A:$A,'SKU Order Report '!M$1)</f>
        <v>0</v>
      </c>
      <c r="N27" s="3">
        <f>SUMIFS('Business - Dump'!$W:$W,'Business - Dump'!$D:$D,'SKU Order Report '!$C27,'Business - Dump'!$A:$A,'SKU Order Report '!N$1)</f>
        <v>0</v>
      </c>
      <c r="O27" s="3">
        <f>SUMIFS('Business - Dump'!$W:$W,'Business - Dump'!$D:$D,'SKU Order Report '!$C27,'Business - Dump'!$A:$A,'SKU Order Report '!O$1)</f>
        <v>1</v>
      </c>
      <c r="P27" s="3">
        <f>SUMIFS('Business - Dump'!$W:$W,'Business - Dump'!$D:$D,'SKU Order Report '!$C27,'Business - Dump'!$A:$A,'SKU Order Report '!P$1)</f>
        <v>0</v>
      </c>
      <c r="Q27" s="3">
        <f>SUMIFS('Business - Dump'!$W:$W,'Business - Dump'!$D:$D,'SKU Order Report '!$C27,'Business - Dump'!$A:$A,'SKU Order Report '!Q$1)</f>
        <v>0</v>
      </c>
      <c r="R27" s="3">
        <f>SUMIFS('Business - Dump'!$W:$W,'Business - Dump'!$D:$D,'SKU Order Report '!$C27,'Business - Dump'!$A:$A,'SKU Order Report '!R$1)</f>
        <v>0</v>
      </c>
      <c r="S27" s="3">
        <f>SUMIFS('Business - Dump'!$W:$W,'Business - Dump'!$D:$D,'SKU Order Report '!$C27,'Business - Dump'!$A:$A,'SKU Order Report '!S$1)</f>
        <v>0</v>
      </c>
      <c r="T27" s="3">
        <f>SUMIFS('Business - Dump'!$W:$W,'Business - Dump'!$D:$D,'SKU Order Report '!$C27,'Business - Dump'!$A:$A,'SKU Order Report '!T$1)</f>
        <v>0</v>
      </c>
    </row>
    <row r="28" ht="15.75" customHeight="1">
      <c r="A28" s="10" t="str">
        <f t="array" ref="A28">_xlfn.XLOOKUP(C28,'Business - Dump'!$D:$D,'Business - Dump'!$B:$B)</f>
        <v>Single Leg Gas</v>
      </c>
      <c r="B28" s="10" t="str">
        <f t="array" ref="B28">_xlfn.XLOOKUP(C28,'Referanc '!$A:$A,'Referanc '!$D:$D)</f>
        <v>EY HAT 1L 1T GL TILT1 BLK V02</v>
      </c>
      <c r="C28" s="10" t="s">
        <v>335</v>
      </c>
      <c r="D28" s="3">
        <f>SUMIFS('Business - Dump'!$W:$W,'Business - Dump'!$D:$D,'SKU Order Report '!$C28,'Business - Dump'!$A:$A,'SKU Order Report '!D$1)</f>
        <v>0</v>
      </c>
      <c r="E28" s="3">
        <f>SUMIFS('Business - Dump'!$W:$W,'Business - Dump'!$D:$D,'SKU Order Report '!$C28,'Business - Dump'!$A:$A,'SKU Order Report '!E$1)</f>
        <v>2</v>
      </c>
      <c r="F28" s="3">
        <f>SUMIFS('Business - Dump'!$W:$W,'Business - Dump'!$D:$D,'SKU Order Report '!$C28,'Business - Dump'!$A:$A,'SKU Order Report '!F$1)</f>
        <v>1</v>
      </c>
      <c r="G28" s="3">
        <f>SUMIFS('Business - Dump'!$W:$W,'Business - Dump'!$D:$D,'SKU Order Report '!$C28,'Business - Dump'!$A:$A,'SKU Order Report '!G$1)</f>
        <v>0</v>
      </c>
      <c r="H28" s="3">
        <f>SUMIFS('Business - Dump'!$W:$W,'Business - Dump'!$D:$D,'SKU Order Report '!$C28,'Business - Dump'!$A:$A,'SKU Order Report '!H$1)</f>
        <v>0</v>
      </c>
      <c r="I28" s="3">
        <f>SUMIFS('Business - Dump'!$W:$W,'Business - Dump'!$D:$D,'SKU Order Report '!$C28,'Business - Dump'!$A:$A,'SKU Order Report '!I$1)</f>
        <v>1</v>
      </c>
      <c r="J28" s="3">
        <f>SUMIFS('Business - Dump'!$W:$W,'Business - Dump'!$D:$D,'SKU Order Report '!$C28,'Business - Dump'!$A:$A,'SKU Order Report '!J$1)</f>
        <v>2</v>
      </c>
      <c r="K28" s="3">
        <f>SUMIFS('Business - Dump'!$W:$W,'Business - Dump'!$D:$D,'SKU Order Report '!$C28,'Business - Dump'!$A:$A,'SKU Order Report '!K$1)</f>
        <v>2</v>
      </c>
      <c r="L28" s="3">
        <f>SUMIFS('Business - Dump'!$W:$W,'Business - Dump'!$D:$D,'SKU Order Report '!$C28,'Business - Dump'!$A:$A,'SKU Order Report '!L$1)</f>
        <v>0</v>
      </c>
      <c r="M28" s="3">
        <f>SUMIFS('Business - Dump'!$W:$W,'Business - Dump'!$D:$D,'SKU Order Report '!$C28,'Business - Dump'!$A:$A,'SKU Order Report '!M$1)</f>
        <v>0</v>
      </c>
      <c r="N28" s="3">
        <f>SUMIFS('Business - Dump'!$W:$W,'Business - Dump'!$D:$D,'SKU Order Report '!$C28,'Business - Dump'!$A:$A,'SKU Order Report '!N$1)</f>
        <v>3</v>
      </c>
      <c r="O28" s="3">
        <f>SUMIFS('Business - Dump'!$W:$W,'Business - Dump'!$D:$D,'SKU Order Report '!$C28,'Business - Dump'!$A:$A,'SKU Order Report '!O$1)</f>
        <v>1</v>
      </c>
      <c r="P28" s="3">
        <f>SUMIFS('Business - Dump'!$W:$W,'Business - Dump'!$D:$D,'SKU Order Report '!$C28,'Business - Dump'!$A:$A,'SKU Order Report '!P$1)</f>
        <v>0</v>
      </c>
      <c r="Q28" s="3">
        <f>SUMIFS('Business - Dump'!$W:$W,'Business - Dump'!$D:$D,'SKU Order Report '!$C28,'Business - Dump'!$A:$A,'SKU Order Report '!Q$1)</f>
        <v>0</v>
      </c>
      <c r="R28" s="3">
        <f>SUMIFS('Business - Dump'!$W:$W,'Business - Dump'!$D:$D,'SKU Order Report '!$C28,'Business - Dump'!$A:$A,'SKU Order Report '!R$1)</f>
        <v>0</v>
      </c>
      <c r="S28" s="3">
        <f>SUMIFS('Business - Dump'!$W:$W,'Business - Dump'!$D:$D,'SKU Order Report '!$C28,'Business - Dump'!$A:$A,'SKU Order Report '!S$1)</f>
        <v>0</v>
      </c>
      <c r="T28" s="3">
        <f>SUMIFS('Business - Dump'!$W:$W,'Business - Dump'!$D:$D,'SKU Order Report '!$C28,'Business - Dump'!$A:$A,'SKU Order Report '!T$1)</f>
        <v>0</v>
      </c>
    </row>
    <row r="29" ht="15.75" customHeight="1">
      <c r="A29" s="10" t="str">
        <f t="array" ref="A29">_xlfn.XLOOKUP(C29,'Business - Dump'!$D:$D,'Business - Dump'!$B:$B)</f>
        <v>Footrests</v>
      </c>
      <c r="B29" s="10" t="str">
        <f t="array" ref="B29">_xlfn.XLOOKUP(C29,'Referanc '!$A:$A,'Referanc '!$D:$D)</f>
        <v>EY FR-11B BLK V02</v>
      </c>
      <c r="C29" s="10" t="s">
        <v>337</v>
      </c>
      <c r="D29" s="3">
        <f>SUMIFS('Business - Dump'!$W:$W,'Business - Dump'!$D:$D,'SKU Order Report '!$C29,'Business - Dump'!$A:$A,'SKU Order Report '!D$1)</f>
        <v>0</v>
      </c>
      <c r="E29" s="3">
        <f>SUMIFS('Business - Dump'!$W:$W,'Business - Dump'!$D:$D,'SKU Order Report '!$C29,'Business - Dump'!$A:$A,'SKU Order Report '!E$1)</f>
        <v>2</v>
      </c>
      <c r="F29" s="3">
        <f>SUMIFS('Business - Dump'!$W:$W,'Business - Dump'!$D:$D,'SKU Order Report '!$C29,'Business - Dump'!$A:$A,'SKU Order Report '!F$1)</f>
        <v>0</v>
      </c>
      <c r="G29" s="3">
        <f>SUMIFS('Business - Dump'!$W:$W,'Business - Dump'!$D:$D,'SKU Order Report '!$C29,'Business - Dump'!$A:$A,'SKU Order Report '!G$1)</f>
        <v>0</v>
      </c>
      <c r="H29" s="3">
        <f>SUMIFS('Business - Dump'!$W:$W,'Business - Dump'!$D:$D,'SKU Order Report '!$C29,'Business - Dump'!$A:$A,'SKU Order Report '!H$1)</f>
        <v>0</v>
      </c>
      <c r="I29" s="3">
        <f>SUMIFS('Business - Dump'!$W:$W,'Business - Dump'!$D:$D,'SKU Order Report '!$C29,'Business - Dump'!$A:$A,'SKU Order Report '!I$1)</f>
        <v>1</v>
      </c>
      <c r="J29" s="3">
        <f>SUMIFS('Business - Dump'!$W:$W,'Business - Dump'!$D:$D,'SKU Order Report '!$C29,'Business - Dump'!$A:$A,'SKU Order Report '!J$1)</f>
        <v>1</v>
      </c>
      <c r="K29" s="3">
        <f>SUMIFS('Business - Dump'!$W:$W,'Business - Dump'!$D:$D,'SKU Order Report '!$C29,'Business - Dump'!$A:$A,'SKU Order Report '!K$1)</f>
        <v>1</v>
      </c>
      <c r="L29" s="3">
        <f>SUMIFS('Business - Dump'!$W:$W,'Business - Dump'!$D:$D,'SKU Order Report '!$C29,'Business - Dump'!$A:$A,'SKU Order Report '!L$1)</f>
        <v>0</v>
      </c>
      <c r="M29" s="3">
        <f>SUMIFS('Business - Dump'!$W:$W,'Business - Dump'!$D:$D,'SKU Order Report '!$C29,'Business - Dump'!$A:$A,'SKU Order Report '!M$1)</f>
        <v>1</v>
      </c>
      <c r="N29" s="3">
        <f>SUMIFS('Business - Dump'!$W:$W,'Business - Dump'!$D:$D,'SKU Order Report '!$C29,'Business - Dump'!$A:$A,'SKU Order Report '!N$1)</f>
        <v>0</v>
      </c>
      <c r="O29" s="3">
        <f>SUMIFS('Business - Dump'!$W:$W,'Business - Dump'!$D:$D,'SKU Order Report '!$C29,'Business - Dump'!$A:$A,'SKU Order Report '!O$1)</f>
        <v>1</v>
      </c>
      <c r="P29" s="3">
        <f>SUMIFS('Business - Dump'!$W:$W,'Business - Dump'!$D:$D,'SKU Order Report '!$C29,'Business - Dump'!$A:$A,'SKU Order Report '!P$1)</f>
        <v>4</v>
      </c>
      <c r="Q29" s="3">
        <f>SUMIFS('Business - Dump'!$W:$W,'Business - Dump'!$D:$D,'SKU Order Report '!$C29,'Business - Dump'!$A:$A,'SKU Order Report '!Q$1)</f>
        <v>2</v>
      </c>
      <c r="R29" s="3">
        <f>SUMIFS('Business - Dump'!$W:$W,'Business - Dump'!$D:$D,'SKU Order Report '!$C29,'Business - Dump'!$A:$A,'SKU Order Report '!R$1)</f>
        <v>6</v>
      </c>
      <c r="S29" s="3">
        <f>SUMIFS('Business - Dump'!$W:$W,'Business - Dump'!$D:$D,'SKU Order Report '!$C29,'Business - Dump'!$A:$A,'SKU Order Report '!S$1)</f>
        <v>7</v>
      </c>
      <c r="T29" s="3">
        <f>SUMIFS('Business - Dump'!$W:$W,'Business - Dump'!$D:$D,'SKU Order Report '!$C29,'Business - Dump'!$A:$A,'SKU Order Report '!T$1)</f>
        <v>10</v>
      </c>
    </row>
    <row r="30" ht="15.75" customHeight="1">
      <c r="A30" s="10" t="str">
        <f t="array" ref="A30">_xlfn.XLOOKUP(C30,'Business - Dump'!$D:$D,'Business - Dump'!$B:$B)</f>
        <v>Footrests</v>
      </c>
      <c r="B30" s="10" t="str">
        <f t="array" ref="B30">_xlfn.XLOOKUP(C30,'Referanc '!$A:$A,'Referanc '!$D:$D)</f>
        <v>EY AFM STM02-3 BLK V02</v>
      </c>
      <c r="C30" s="10" t="s">
        <v>339</v>
      </c>
      <c r="D30" s="3">
        <f>SUMIFS('Business - Dump'!$W:$W,'Business - Dump'!$D:$D,'SKU Order Report '!$C30,'Business - Dump'!$A:$A,'SKU Order Report '!D$1)</f>
        <v>0</v>
      </c>
      <c r="E30" s="3">
        <f>SUMIFS('Business - Dump'!$W:$W,'Business - Dump'!$D:$D,'SKU Order Report '!$C30,'Business - Dump'!$A:$A,'SKU Order Report '!E$1)</f>
        <v>1</v>
      </c>
      <c r="F30" s="3">
        <f>SUMIFS('Business - Dump'!$W:$W,'Business - Dump'!$D:$D,'SKU Order Report '!$C30,'Business - Dump'!$A:$A,'SKU Order Report '!F$1)</f>
        <v>0</v>
      </c>
      <c r="G30" s="3">
        <f>SUMIFS('Business - Dump'!$W:$W,'Business - Dump'!$D:$D,'SKU Order Report '!$C30,'Business - Dump'!$A:$A,'SKU Order Report '!G$1)</f>
        <v>0</v>
      </c>
      <c r="H30" s="3">
        <f>SUMIFS('Business - Dump'!$W:$W,'Business - Dump'!$D:$D,'SKU Order Report '!$C30,'Business - Dump'!$A:$A,'SKU Order Report '!H$1)</f>
        <v>1</v>
      </c>
      <c r="I30" s="3">
        <f>SUMIFS('Business - Dump'!$W:$W,'Business - Dump'!$D:$D,'SKU Order Report '!$C30,'Business - Dump'!$A:$A,'SKU Order Report '!I$1)</f>
        <v>1</v>
      </c>
      <c r="J30" s="3">
        <f>SUMIFS('Business - Dump'!$W:$W,'Business - Dump'!$D:$D,'SKU Order Report '!$C30,'Business - Dump'!$A:$A,'SKU Order Report '!J$1)</f>
        <v>1</v>
      </c>
      <c r="K30" s="3">
        <f>SUMIFS('Business - Dump'!$W:$W,'Business - Dump'!$D:$D,'SKU Order Report '!$C30,'Business - Dump'!$A:$A,'SKU Order Report '!K$1)</f>
        <v>0</v>
      </c>
      <c r="L30" s="3">
        <f>SUMIFS('Business - Dump'!$W:$W,'Business - Dump'!$D:$D,'SKU Order Report '!$C30,'Business - Dump'!$A:$A,'SKU Order Report '!L$1)</f>
        <v>0</v>
      </c>
      <c r="M30" s="3">
        <f>SUMIFS('Business - Dump'!$W:$W,'Business - Dump'!$D:$D,'SKU Order Report '!$C30,'Business - Dump'!$A:$A,'SKU Order Report '!M$1)</f>
        <v>2</v>
      </c>
      <c r="N30" s="3">
        <f>SUMIFS('Business - Dump'!$W:$W,'Business - Dump'!$D:$D,'SKU Order Report '!$C30,'Business - Dump'!$A:$A,'SKU Order Report '!N$1)</f>
        <v>1</v>
      </c>
      <c r="O30" s="3">
        <f>SUMIFS('Business - Dump'!$W:$W,'Business - Dump'!$D:$D,'SKU Order Report '!$C30,'Business - Dump'!$A:$A,'SKU Order Report '!O$1)</f>
        <v>0</v>
      </c>
      <c r="P30" s="3">
        <f>SUMIFS('Business - Dump'!$W:$W,'Business - Dump'!$D:$D,'SKU Order Report '!$C30,'Business - Dump'!$A:$A,'SKU Order Report '!P$1)</f>
        <v>1</v>
      </c>
      <c r="Q30" s="3">
        <f>SUMIFS('Business - Dump'!$W:$W,'Business - Dump'!$D:$D,'SKU Order Report '!$C30,'Business - Dump'!$A:$A,'SKU Order Report '!Q$1)</f>
        <v>0</v>
      </c>
      <c r="R30" s="3">
        <f>SUMIFS('Business - Dump'!$W:$W,'Business - Dump'!$D:$D,'SKU Order Report '!$C30,'Business - Dump'!$A:$A,'SKU Order Report '!R$1)</f>
        <v>0</v>
      </c>
      <c r="S30" s="3">
        <f>SUMIFS('Business - Dump'!$W:$W,'Business - Dump'!$D:$D,'SKU Order Report '!$C30,'Business - Dump'!$A:$A,'SKU Order Report '!S$1)</f>
        <v>0</v>
      </c>
      <c r="T30" s="3">
        <f>SUMIFS('Business - Dump'!$W:$W,'Business - Dump'!$D:$D,'SKU Order Report '!$C30,'Business - Dump'!$A:$A,'SKU Order Report '!T$1)</f>
        <v>1</v>
      </c>
    </row>
    <row r="31" ht="15.75" customHeight="1">
      <c r="A31" s="10" t="str">
        <f t="array" ref="A31">_xlfn.XLOOKUP(C31,'Business - Dump'!$D:$D,'Business - Dump'!$B:$B)</f>
        <v>Monitor Arm Stand</v>
      </c>
      <c r="B31" s="10" t="str">
        <f t="array" ref="B31">_xlfn.XLOOKUP(C31,'Referanc '!$A:$A,'Referanc '!$D:$D)</f>
        <v>EY SA MA GAM1 L 1S WHT V02</v>
      </c>
      <c r="C31" s="10" t="s">
        <v>342</v>
      </c>
      <c r="D31" s="3">
        <f>SUMIFS('Business - Dump'!$W:$W,'Business - Dump'!$D:$D,'SKU Order Report '!$C31,'Business - Dump'!$A:$A,'SKU Order Report '!D$1)</f>
        <v>0</v>
      </c>
      <c r="E31" s="3">
        <f>SUMIFS('Business - Dump'!$W:$W,'Business - Dump'!$D:$D,'SKU Order Report '!$C31,'Business - Dump'!$A:$A,'SKU Order Report '!E$1)</f>
        <v>1</v>
      </c>
      <c r="F31" s="3">
        <f>SUMIFS('Business - Dump'!$W:$W,'Business - Dump'!$D:$D,'SKU Order Report '!$C31,'Business - Dump'!$A:$A,'SKU Order Report '!F$1)</f>
        <v>1</v>
      </c>
      <c r="G31" s="3">
        <f>SUMIFS('Business - Dump'!$W:$W,'Business - Dump'!$D:$D,'SKU Order Report '!$C31,'Business - Dump'!$A:$A,'SKU Order Report '!G$1)</f>
        <v>2</v>
      </c>
      <c r="H31" s="3">
        <f>SUMIFS('Business - Dump'!$W:$W,'Business - Dump'!$D:$D,'SKU Order Report '!$C31,'Business - Dump'!$A:$A,'SKU Order Report '!H$1)</f>
        <v>2</v>
      </c>
      <c r="I31" s="3">
        <f>SUMIFS('Business - Dump'!$W:$W,'Business - Dump'!$D:$D,'SKU Order Report '!$C31,'Business - Dump'!$A:$A,'SKU Order Report '!I$1)</f>
        <v>3</v>
      </c>
      <c r="J31" s="3">
        <f>SUMIFS('Business - Dump'!$W:$W,'Business - Dump'!$D:$D,'SKU Order Report '!$C31,'Business - Dump'!$A:$A,'SKU Order Report '!J$1)</f>
        <v>1</v>
      </c>
      <c r="K31" s="3">
        <f>SUMIFS('Business - Dump'!$W:$W,'Business - Dump'!$D:$D,'SKU Order Report '!$C31,'Business - Dump'!$A:$A,'SKU Order Report '!K$1)</f>
        <v>3</v>
      </c>
      <c r="L31" s="3">
        <f>SUMIFS('Business - Dump'!$W:$W,'Business - Dump'!$D:$D,'SKU Order Report '!$C31,'Business - Dump'!$A:$A,'SKU Order Report '!L$1)</f>
        <v>1</v>
      </c>
      <c r="M31" s="3">
        <f>SUMIFS('Business - Dump'!$W:$W,'Business - Dump'!$D:$D,'SKU Order Report '!$C31,'Business - Dump'!$A:$A,'SKU Order Report '!M$1)</f>
        <v>0</v>
      </c>
      <c r="N31" s="3">
        <f>SUMIFS('Business - Dump'!$W:$W,'Business - Dump'!$D:$D,'SKU Order Report '!$C31,'Business - Dump'!$A:$A,'SKU Order Report '!N$1)</f>
        <v>0</v>
      </c>
      <c r="O31" s="3">
        <f>SUMIFS('Business - Dump'!$W:$W,'Business - Dump'!$D:$D,'SKU Order Report '!$C31,'Business - Dump'!$A:$A,'SKU Order Report '!O$1)</f>
        <v>0</v>
      </c>
      <c r="P31" s="3">
        <f>SUMIFS('Business - Dump'!$W:$W,'Business - Dump'!$D:$D,'SKU Order Report '!$C31,'Business - Dump'!$A:$A,'SKU Order Report '!P$1)</f>
        <v>0</v>
      </c>
      <c r="Q31" s="3">
        <f>SUMIFS('Business - Dump'!$W:$W,'Business - Dump'!$D:$D,'SKU Order Report '!$C31,'Business - Dump'!$A:$A,'SKU Order Report '!Q$1)</f>
        <v>0</v>
      </c>
      <c r="R31" s="3">
        <f>SUMIFS('Business - Dump'!$W:$W,'Business - Dump'!$D:$D,'SKU Order Report '!$C31,'Business - Dump'!$A:$A,'SKU Order Report '!R$1)</f>
        <v>0</v>
      </c>
      <c r="S31" s="3">
        <f>SUMIFS('Business - Dump'!$W:$W,'Business - Dump'!$D:$D,'SKU Order Report '!$C31,'Business - Dump'!$A:$A,'SKU Order Report '!S$1)</f>
        <v>0</v>
      </c>
      <c r="T31" s="3">
        <f>SUMIFS('Business - Dump'!$W:$W,'Business - Dump'!$D:$D,'SKU Order Report '!$C31,'Business - Dump'!$A:$A,'SKU Order Report '!T$1)</f>
        <v>0</v>
      </c>
    </row>
    <row r="32" ht="15.75" customHeight="1">
      <c r="A32" s="10" t="str">
        <f t="array" ref="A32">_xlfn.XLOOKUP(C32,'Business - Dump'!$D:$D,'Business - Dump'!$B:$B)</f>
        <v>Standing Table - All Frames</v>
      </c>
      <c r="B32" s="10" t="str">
        <f t="array" ref="B32">_xlfn.XLOOKUP(C32,'Referanc '!$A:$A,'Referanc '!$D:$D)</f>
        <v>EY HAT 2M 3S WHT E3 V03</v>
      </c>
      <c r="C32" s="10" t="s">
        <v>343</v>
      </c>
      <c r="D32" s="3">
        <f>SUMIFS('Business - Dump'!$W:$W,'Business - Dump'!$D:$D,'SKU Order Report '!$C32,'Business - Dump'!$A:$A,'SKU Order Report '!D$1)</f>
        <v>0</v>
      </c>
      <c r="E32" s="3">
        <f>SUMIFS('Business - Dump'!$W:$W,'Business - Dump'!$D:$D,'SKU Order Report '!$C32,'Business - Dump'!$A:$A,'SKU Order Report '!E$1)</f>
        <v>1</v>
      </c>
      <c r="F32" s="3">
        <f>SUMIFS('Business - Dump'!$W:$W,'Business - Dump'!$D:$D,'SKU Order Report '!$C32,'Business - Dump'!$A:$A,'SKU Order Report '!F$1)</f>
        <v>0</v>
      </c>
      <c r="G32" s="3">
        <f>SUMIFS('Business - Dump'!$W:$W,'Business - Dump'!$D:$D,'SKU Order Report '!$C32,'Business - Dump'!$A:$A,'SKU Order Report '!G$1)</f>
        <v>1</v>
      </c>
      <c r="H32" s="3">
        <f>SUMIFS('Business - Dump'!$W:$W,'Business - Dump'!$D:$D,'SKU Order Report '!$C32,'Business - Dump'!$A:$A,'SKU Order Report '!H$1)</f>
        <v>2</v>
      </c>
      <c r="I32" s="3">
        <f>SUMIFS('Business - Dump'!$W:$W,'Business - Dump'!$D:$D,'SKU Order Report '!$C32,'Business - Dump'!$A:$A,'SKU Order Report '!I$1)</f>
        <v>1</v>
      </c>
      <c r="J32" s="3">
        <f>SUMIFS('Business - Dump'!$W:$W,'Business - Dump'!$D:$D,'SKU Order Report '!$C32,'Business - Dump'!$A:$A,'SKU Order Report '!J$1)</f>
        <v>1</v>
      </c>
      <c r="K32" s="3">
        <f>SUMIFS('Business - Dump'!$W:$W,'Business - Dump'!$D:$D,'SKU Order Report '!$C32,'Business - Dump'!$A:$A,'SKU Order Report '!K$1)</f>
        <v>0</v>
      </c>
      <c r="L32" s="3">
        <f>SUMIFS('Business - Dump'!$W:$W,'Business - Dump'!$D:$D,'SKU Order Report '!$C32,'Business - Dump'!$A:$A,'SKU Order Report '!L$1)</f>
        <v>2</v>
      </c>
      <c r="M32" s="3">
        <f>SUMIFS('Business - Dump'!$W:$W,'Business - Dump'!$D:$D,'SKU Order Report '!$C32,'Business - Dump'!$A:$A,'SKU Order Report '!M$1)</f>
        <v>3</v>
      </c>
      <c r="N32" s="3">
        <f>SUMIFS('Business - Dump'!$W:$W,'Business - Dump'!$D:$D,'SKU Order Report '!$C32,'Business - Dump'!$A:$A,'SKU Order Report '!N$1)</f>
        <v>5</v>
      </c>
      <c r="O32" s="3">
        <f>SUMIFS('Business - Dump'!$W:$W,'Business - Dump'!$D:$D,'SKU Order Report '!$C32,'Business - Dump'!$A:$A,'SKU Order Report '!O$1)</f>
        <v>4</v>
      </c>
      <c r="P32" s="3">
        <f>SUMIFS('Business - Dump'!$W:$W,'Business - Dump'!$D:$D,'SKU Order Report '!$C32,'Business - Dump'!$A:$A,'SKU Order Report '!P$1)</f>
        <v>2</v>
      </c>
      <c r="Q32" s="3">
        <f>SUMIFS('Business - Dump'!$W:$W,'Business - Dump'!$D:$D,'SKU Order Report '!$C32,'Business - Dump'!$A:$A,'SKU Order Report '!Q$1)</f>
        <v>2</v>
      </c>
      <c r="R32" s="3">
        <f>SUMIFS('Business - Dump'!$W:$W,'Business - Dump'!$D:$D,'SKU Order Report '!$C32,'Business - Dump'!$A:$A,'SKU Order Report '!R$1)</f>
        <v>1</v>
      </c>
      <c r="S32" s="3">
        <f>SUMIFS('Business - Dump'!$W:$W,'Business - Dump'!$D:$D,'SKU Order Report '!$C32,'Business - Dump'!$A:$A,'SKU Order Report '!S$1)</f>
        <v>1</v>
      </c>
      <c r="T32" s="3">
        <f>SUMIFS('Business - Dump'!$W:$W,'Business - Dump'!$D:$D,'SKU Order Report '!$C32,'Business - Dump'!$A:$A,'SKU Order Report '!T$1)</f>
        <v>4</v>
      </c>
    </row>
    <row r="33" ht="15.75" customHeight="1">
      <c r="A33" s="10" t="str">
        <f t="array" ref="A33">_xlfn.XLOOKUP(C33,'Business - Dump'!$D:$D,'Business - Dump'!$B:$B)</f>
        <v>Standing Table  - E3</v>
      </c>
      <c r="B33" s="10" t="str">
        <f t="array" ref="B33">_xlfn.XLOOKUP(C33,'Referanc '!$A:$A,'Referanc '!$D:$D)</f>
        <v>EY HAT 2M 3S WHT E3 V03 WG 600X1200</v>
      </c>
      <c r="C33" s="10" t="s">
        <v>344</v>
      </c>
      <c r="D33" s="3">
        <f>SUMIFS('Business - Dump'!$W:$W,'Business - Dump'!$D:$D,'SKU Order Report '!$C33,'Business - Dump'!$A:$A,'SKU Order Report '!D$1)</f>
        <v>0</v>
      </c>
      <c r="E33" s="3">
        <f>SUMIFS('Business - Dump'!$W:$W,'Business - Dump'!$D:$D,'SKU Order Report '!$C33,'Business - Dump'!$A:$A,'SKU Order Report '!E$1)</f>
        <v>1</v>
      </c>
      <c r="F33" s="3">
        <f>SUMIFS('Business - Dump'!$W:$W,'Business - Dump'!$D:$D,'SKU Order Report '!$C33,'Business - Dump'!$A:$A,'SKU Order Report '!F$1)</f>
        <v>0</v>
      </c>
      <c r="G33" s="3">
        <f>SUMIFS('Business - Dump'!$W:$W,'Business - Dump'!$D:$D,'SKU Order Report '!$C33,'Business - Dump'!$A:$A,'SKU Order Report '!G$1)</f>
        <v>0</v>
      </c>
      <c r="H33" s="3">
        <f>SUMIFS('Business - Dump'!$W:$W,'Business - Dump'!$D:$D,'SKU Order Report '!$C33,'Business - Dump'!$A:$A,'SKU Order Report '!H$1)</f>
        <v>0</v>
      </c>
      <c r="I33" s="3">
        <f>SUMIFS('Business - Dump'!$W:$W,'Business - Dump'!$D:$D,'SKU Order Report '!$C33,'Business - Dump'!$A:$A,'SKU Order Report '!I$1)</f>
        <v>0</v>
      </c>
      <c r="J33" s="3">
        <f>SUMIFS('Business - Dump'!$W:$W,'Business - Dump'!$D:$D,'SKU Order Report '!$C33,'Business - Dump'!$A:$A,'SKU Order Report '!J$1)</f>
        <v>1</v>
      </c>
      <c r="K33" s="3">
        <f>SUMIFS('Business - Dump'!$W:$W,'Business - Dump'!$D:$D,'SKU Order Report '!$C33,'Business - Dump'!$A:$A,'SKU Order Report '!K$1)</f>
        <v>3</v>
      </c>
      <c r="L33" s="3">
        <f>SUMIFS('Business - Dump'!$W:$W,'Business - Dump'!$D:$D,'SKU Order Report '!$C33,'Business - Dump'!$A:$A,'SKU Order Report '!L$1)</f>
        <v>2</v>
      </c>
      <c r="M33" s="3">
        <f>SUMIFS('Business - Dump'!$W:$W,'Business - Dump'!$D:$D,'SKU Order Report '!$C33,'Business - Dump'!$A:$A,'SKU Order Report '!M$1)</f>
        <v>1</v>
      </c>
      <c r="N33" s="3">
        <f>SUMIFS('Business - Dump'!$W:$W,'Business - Dump'!$D:$D,'SKU Order Report '!$C33,'Business - Dump'!$A:$A,'SKU Order Report '!N$1)</f>
        <v>1</v>
      </c>
      <c r="O33" s="3">
        <f>SUMIFS('Business - Dump'!$W:$W,'Business - Dump'!$D:$D,'SKU Order Report '!$C33,'Business - Dump'!$A:$A,'SKU Order Report '!O$1)</f>
        <v>4</v>
      </c>
      <c r="P33" s="3">
        <f>SUMIFS('Business - Dump'!$W:$W,'Business - Dump'!$D:$D,'SKU Order Report '!$C33,'Business - Dump'!$A:$A,'SKU Order Report '!P$1)</f>
        <v>0</v>
      </c>
      <c r="Q33" s="3">
        <f>SUMIFS('Business - Dump'!$W:$W,'Business - Dump'!$D:$D,'SKU Order Report '!$C33,'Business - Dump'!$A:$A,'SKU Order Report '!Q$1)</f>
        <v>0</v>
      </c>
      <c r="R33" s="3">
        <f>SUMIFS('Business - Dump'!$W:$W,'Business - Dump'!$D:$D,'SKU Order Report '!$C33,'Business - Dump'!$A:$A,'SKU Order Report '!R$1)</f>
        <v>0</v>
      </c>
      <c r="S33" s="3">
        <f>SUMIFS('Business - Dump'!$W:$W,'Business - Dump'!$D:$D,'SKU Order Report '!$C33,'Business - Dump'!$A:$A,'SKU Order Report '!S$1)</f>
        <v>1</v>
      </c>
      <c r="T33" s="3">
        <f>SUMIFS('Business - Dump'!$W:$W,'Business - Dump'!$D:$D,'SKU Order Report '!$C33,'Business - Dump'!$A:$A,'SKU Order Report '!T$1)</f>
        <v>0</v>
      </c>
    </row>
    <row r="34" ht="15.75" customHeight="1">
      <c r="A34" s="10" t="str">
        <f t="array" ref="A34">_xlfn.XLOOKUP(C34,'Business - Dump'!$D:$D,'Business - Dump'!$B:$B)</f>
        <v>Footrests</v>
      </c>
      <c r="B34" s="10" t="str">
        <f t="array" ref="B34">_xlfn.XLOOKUP(C34,'Referanc '!$A:$A,'Referanc '!$D:$D)</f>
        <v>EY FR-11 CUSHION BLK V02</v>
      </c>
      <c r="C34" s="10" t="s">
        <v>345</v>
      </c>
      <c r="D34" s="3">
        <f>SUMIFS('Business - Dump'!$W:$W,'Business - Dump'!$D:$D,'SKU Order Report '!$C34,'Business - Dump'!$A:$A,'SKU Order Report '!D$1)</f>
        <v>0</v>
      </c>
      <c r="E34" s="3">
        <f>SUMIFS('Business - Dump'!$W:$W,'Business - Dump'!$D:$D,'SKU Order Report '!$C34,'Business - Dump'!$A:$A,'SKU Order Report '!E$1)</f>
        <v>1</v>
      </c>
      <c r="F34" s="3">
        <f>SUMIFS('Business - Dump'!$W:$W,'Business - Dump'!$D:$D,'SKU Order Report '!$C34,'Business - Dump'!$A:$A,'SKU Order Report '!F$1)</f>
        <v>0</v>
      </c>
      <c r="G34" s="3">
        <f>SUMIFS('Business - Dump'!$W:$W,'Business - Dump'!$D:$D,'SKU Order Report '!$C34,'Business - Dump'!$A:$A,'SKU Order Report '!G$1)</f>
        <v>1</v>
      </c>
      <c r="H34" s="3">
        <f>SUMIFS('Business - Dump'!$W:$W,'Business - Dump'!$D:$D,'SKU Order Report '!$C34,'Business - Dump'!$A:$A,'SKU Order Report '!H$1)</f>
        <v>2</v>
      </c>
      <c r="I34" s="3">
        <f>SUMIFS('Business - Dump'!$W:$W,'Business - Dump'!$D:$D,'SKU Order Report '!$C34,'Business - Dump'!$A:$A,'SKU Order Report '!I$1)</f>
        <v>1</v>
      </c>
      <c r="J34" s="3">
        <f>SUMIFS('Business - Dump'!$W:$W,'Business - Dump'!$D:$D,'SKU Order Report '!$C34,'Business - Dump'!$A:$A,'SKU Order Report '!J$1)</f>
        <v>3</v>
      </c>
      <c r="K34" s="3">
        <f>SUMIFS('Business - Dump'!$W:$W,'Business - Dump'!$D:$D,'SKU Order Report '!$C34,'Business - Dump'!$A:$A,'SKU Order Report '!K$1)</f>
        <v>3</v>
      </c>
      <c r="L34" s="3">
        <f>SUMIFS('Business - Dump'!$W:$W,'Business - Dump'!$D:$D,'SKU Order Report '!$C34,'Business - Dump'!$A:$A,'SKU Order Report '!L$1)</f>
        <v>4</v>
      </c>
      <c r="M34" s="3">
        <f>SUMIFS('Business - Dump'!$W:$W,'Business - Dump'!$D:$D,'SKU Order Report '!$C34,'Business - Dump'!$A:$A,'SKU Order Report '!M$1)</f>
        <v>5</v>
      </c>
      <c r="N34" s="3">
        <f>SUMIFS('Business - Dump'!$W:$W,'Business - Dump'!$D:$D,'SKU Order Report '!$C34,'Business - Dump'!$A:$A,'SKU Order Report '!N$1)</f>
        <v>0</v>
      </c>
      <c r="O34" s="3">
        <f>SUMIFS('Business - Dump'!$W:$W,'Business - Dump'!$D:$D,'SKU Order Report '!$C34,'Business - Dump'!$A:$A,'SKU Order Report '!O$1)</f>
        <v>0</v>
      </c>
      <c r="P34" s="3">
        <f>SUMIFS('Business - Dump'!$W:$W,'Business - Dump'!$D:$D,'SKU Order Report '!$C34,'Business - Dump'!$A:$A,'SKU Order Report '!P$1)</f>
        <v>0</v>
      </c>
      <c r="Q34" s="3">
        <f>SUMIFS('Business - Dump'!$W:$W,'Business - Dump'!$D:$D,'SKU Order Report '!$C34,'Business - Dump'!$A:$A,'SKU Order Report '!Q$1)</f>
        <v>0</v>
      </c>
      <c r="R34" s="3">
        <f>SUMIFS('Business - Dump'!$W:$W,'Business - Dump'!$D:$D,'SKU Order Report '!$C34,'Business - Dump'!$A:$A,'SKU Order Report '!R$1)</f>
        <v>0</v>
      </c>
      <c r="S34" s="3">
        <f>SUMIFS('Business - Dump'!$W:$W,'Business - Dump'!$D:$D,'SKU Order Report '!$C34,'Business - Dump'!$A:$A,'SKU Order Report '!S$1)</f>
        <v>0</v>
      </c>
      <c r="T34" s="3">
        <f>SUMIFS('Business - Dump'!$W:$W,'Business - Dump'!$D:$D,'SKU Order Report '!$C34,'Business - Dump'!$A:$A,'SKU Order Report '!T$1)</f>
        <v>0</v>
      </c>
    </row>
    <row r="35" ht="15.75" customHeight="1">
      <c r="A35" s="10" t="str">
        <f t="array" ref="A35">_xlfn.XLOOKUP(C35,'Business - Dump'!$D:$D,'Business - Dump'!$B:$B)</f>
        <v>Standing Table  - M4</v>
      </c>
      <c r="B35" s="10" t="str">
        <f t="array" ref="B35">_xlfn.XLOOKUP(C35,'Referanc '!$A:$A,'Referanc '!$D:$D)</f>
        <v>HAT MT 2S BLK M4 BLK 600X1400</v>
      </c>
      <c r="C35" s="10" t="s">
        <v>348</v>
      </c>
      <c r="D35" s="3">
        <f>SUMIFS('Business - Dump'!$W:$W,'Business - Dump'!$D:$D,'SKU Order Report '!$C35,'Business - Dump'!$A:$A,'SKU Order Report '!D$1)</f>
        <v>0</v>
      </c>
      <c r="E35" s="3">
        <f>SUMIFS('Business - Dump'!$W:$W,'Business - Dump'!$D:$D,'SKU Order Report '!$C35,'Business - Dump'!$A:$A,'SKU Order Report '!E$1)</f>
        <v>0</v>
      </c>
      <c r="F35" s="3">
        <f>SUMIFS('Business - Dump'!$W:$W,'Business - Dump'!$D:$D,'SKU Order Report '!$C35,'Business - Dump'!$A:$A,'SKU Order Report '!F$1)</f>
        <v>2</v>
      </c>
      <c r="G35" s="3">
        <f>SUMIFS('Business - Dump'!$W:$W,'Business - Dump'!$D:$D,'SKU Order Report '!$C35,'Business - Dump'!$A:$A,'SKU Order Report '!G$1)</f>
        <v>4</v>
      </c>
      <c r="H35" s="3">
        <f>SUMIFS('Business - Dump'!$W:$W,'Business - Dump'!$D:$D,'SKU Order Report '!$C35,'Business - Dump'!$A:$A,'SKU Order Report '!H$1)</f>
        <v>3</v>
      </c>
      <c r="I35" s="3">
        <f>SUMIFS('Business - Dump'!$W:$W,'Business - Dump'!$D:$D,'SKU Order Report '!$C35,'Business - Dump'!$A:$A,'SKU Order Report '!I$1)</f>
        <v>0</v>
      </c>
      <c r="J35" s="3">
        <f>SUMIFS('Business - Dump'!$W:$W,'Business - Dump'!$D:$D,'SKU Order Report '!$C35,'Business - Dump'!$A:$A,'SKU Order Report '!J$1)</f>
        <v>0</v>
      </c>
      <c r="K35" s="3">
        <f>SUMIFS('Business - Dump'!$W:$W,'Business - Dump'!$D:$D,'SKU Order Report '!$C35,'Business - Dump'!$A:$A,'SKU Order Report '!K$1)</f>
        <v>0</v>
      </c>
      <c r="L35" s="3">
        <f>SUMIFS('Business - Dump'!$W:$W,'Business - Dump'!$D:$D,'SKU Order Report '!$C35,'Business - Dump'!$A:$A,'SKU Order Report '!L$1)</f>
        <v>1</v>
      </c>
      <c r="M35" s="3">
        <f>SUMIFS('Business - Dump'!$W:$W,'Business - Dump'!$D:$D,'SKU Order Report '!$C35,'Business - Dump'!$A:$A,'SKU Order Report '!M$1)</f>
        <v>0</v>
      </c>
      <c r="N35" s="3">
        <f>SUMIFS('Business - Dump'!$W:$W,'Business - Dump'!$D:$D,'SKU Order Report '!$C35,'Business - Dump'!$A:$A,'SKU Order Report '!N$1)</f>
        <v>0</v>
      </c>
      <c r="O35" s="3">
        <f>SUMIFS('Business - Dump'!$W:$W,'Business - Dump'!$D:$D,'SKU Order Report '!$C35,'Business - Dump'!$A:$A,'SKU Order Report '!O$1)</f>
        <v>0</v>
      </c>
      <c r="P35" s="3">
        <f>SUMIFS('Business - Dump'!$W:$W,'Business - Dump'!$D:$D,'SKU Order Report '!$C35,'Business - Dump'!$A:$A,'SKU Order Report '!P$1)</f>
        <v>0</v>
      </c>
      <c r="Q35" s="3">
        <f>SUMIFS('Business - Dump'!$W:$W,'Business - Dump'!$D:$D,'SKU Order Report '!$C35,'Business - Dump'!$A:$A,'SKU Order Report '!Q$1)</f>
        <v>0</v>
      </c>
      <c r="R35" s="3">
        <f>SUMIFS('Business - Dump'!$W:$W,'Business - Dump'!$D:$D,'SKU Order Report '!$C35,'Business - Dump'!$A:$A,'SKU Order Report '!R$1)</f>
        <v>0</v>
      </c>
      <c r="S35" s="3">
        <f>SUMIFS('Business - Dump'!$W:$W,'Business - Dump'!$D:$D,'SKU Order Report '!$C35,'Business - Dump'!$A:$A,'SKU Order Report '!S$1)</f>
        <v>2</v>
      </c>
      <c r="T35" s="3">
        <f>SUMIFS('Business - Dump'!$W:$W,'Business - Dump'!$D:$D,'SKU Order Report '!$C35,'Business - Dump'!$A:$A,'SKU Order Report '!T$1)</f>
        <v>0</v>
      </c>
    </row>
    <row r="36" ht="15.75" customHeight="1">
      <c r="A36" s="10" t="str">
        <f t="array" ref="A36">_xlfn.XLOOKUP(C36,'Business - Dump'!$D:$D,'Business - Dump'!$B:$B)</f>
        <v>Extension &amp; Holder</v>
      </c>
      <c r="B36" s="10" t="str">
        <f t="array" ref="B36">_xlfn.XLOOKUP(C36,'Referanc '!$A:$A,'Referanc '!$D:$D)</f>
        <v>IS PDX CN NS4</v>
      </c>
      <c r="C36" s="10" t="s">
        <v>331</v>
      </c>
      <c r="D36" s="3">
        <f>SUMIFS('Business - Dump'!$W:$W,'Business - Dump'!$D:$D,'SKU Order Report '!$C36,'Business - Dump'!$A:$A,'SKU Order Report '!D$1)</f>
        <v>0</v>
      </c>
      <c r="E36" s="3">
        <f>SUMIFS('Business - Dump'!$W:$W,'Business - Dump'!$D:$D,'SKU Order Report '!$C36,'Business - Dump'!$A:$A,'SKU Order Report '!E$1)</f>
        <v>0</v>
      </c>
      <c r="F36" s="3">
        <f>SUMIFS('Business - Dump'!$W:$W,'Business - Dump'!$D:$D,'SKU Order Report '!$C36,'Business - Dump'!$A:$A,'SKU Order Report '!F$1)</f>
        <v>1</v>
      </c>
      <c r="G36" s="3">
        <f>SUMIFS('Business - Dump'!$W:$W,'Business - Dump'!$D:$D,'SKU Order Report '!$C36,'Business - Dump'!$A:$A,'SKU Order Report '!G$1)</f>
        <v>1</v>
      </c>
      <c r="H36" s="3">
        <f>SUMIFS('Business - Dump'!$W:$W,'Business - Dump'!$D:$D,'SKU Order Report '!$C36,'Business - Dump'!$A:$A,'SKU Order Report '!H$1)</f>
        <v>2</v>
      </c>
      <c r="I36" s="3">
        <f>SUMIFS('Business - Dump'!$W:$W,'Business - Dump'!$D:$D,'SKU Order Report '!$C36,'Business - Dump'!$A:$A,'SKU Order Report '!I$1)</f>
        <v>0</v>
      </c>
      <c r="J36" s="3">
        <f>SUMIFS('Business - Dump'!$W:$W,'Business - Dump'!$D:$D,'SKU Order Report '!$C36,'Business - Dump'!$A:$A,'SKU Order Report '!J$1)</f>
        <v>0</v>
      </c>
      <c r="K36" s="3">
        <f>SUMIFS('Business - Dump'!$W:$W,'Business - Dump'!$D:$D,'SKU Order Report '!$C36,'Business - Dump'!$A:$A,'SKU Order Report '!K$1)</f>
        <v>0</v>
      </c>
      <c r="L36" s="3">
        <f>SUMIFS('Business - Dump'!$W:$W,'Business - Dump'!$D:$D,'SKU Order Report '!$C36,'Business - Dump'!$A:$A,'SKU Order Report '!L$1)</f>
        <v>0</v>
      </c>
      <c r="M36" s="3">
        <f>SUMIFS('Business - Dump'!$W:$W,'Business - Dump'!$D:$D,'SKU Order Report '!$C36,'Business - Dump'!$A:$A,'SKU Order Report '!M$1)</f>
        <v>0</v>
      </c>
      <c r="N36" s="3">
        <f>SUMIFS('Business - Dump'!$W:$W,'Business - Dump'!$D:$D,'SKU Order Report '!$C36,'Business - Dump'!$A:$A,'SKU Order Report '!N$1)</f>
        <v>0</v>
      </c>
      <c r="O36" s="3">
        <f>SUMIFS('Business - Dump'!$W:$W,'Business - Dump'!$D:$D,'SKU Order Report '!$C36,'Business - Dump'!$A:$A,'SKU Order Report '!O$1)</f>
        <v>0</v>
      </c>
      <c r="P36" s="3">
        <f>SUMIFS('Business - Dump'!$W:$W,'Business - Dump'!$D:$D,'SKU Order Report '!$C36,'Business - Dump'!$A:$A,'SKU Order Report '!P$1)</f>
        <v>0</v>
      </c>
      <c r="Q36" s="3">
        <f>SUMIFS('Business - Dump'!$W:$W,'Business - Dump'!$D:$D,'SKU Order Report '!$C36,'Business - Dump'!$A:$A,'SKU Order Report '!Q$1)</f>
        <v>0</v>
      </c>
      <c r="R36" s="3">
        <f>SUMIFS('Business - Dump'!$W:$W,'Business - Dump'!$D:$D,'SKU Order Report '!$C36,'Business - Dump'!$A:$A,'SKU Order Report '!R$1)</f>
        <v>0</v>
      </c>
      <c r="S36" s="3">
        <f>SUMIFS('Business - Dump'!$W:$W,'Business - Dump'!$D:$D,'SKU Order Report '!$C36,'Business - Dump'!$A:$A,'SKU Order Report '!S$1)</f>
        <v>0</v>
      </c>
      <c r="T36" s="3">
        <f>SUMIFS('Business - Dump'!$W:$W,'Business - Dump'!$D:$D,'SKU Order Report '!$C36,'Business - Dump'!$A:$A,'SKU Order Report '!T$1)</f>
        <v>0</v>
      </c>
    </row>
    <row r="37" ht="15.75" customHeight="1">
      <c r="A37" s="10" t="str">
        <f t="array" ref="A37">_xlfn.XLOOKUP(C37,'Business - Dump'!$D:$D,'Business - Dump'!$B:$B)</f>
        <v>Extension &amp; Holder</v>
      </c>
      <c r="B37" s="10" t="str">
        <f t="array" ref="B37">_xlfn.XLOOKUP(C37,'Referanc '!$A:$A,'Referanc '!$D:$D)</f>
        <v>IS PDX CN NS3</v>
      </c>
      <c r="C37" s="10" t="s">
        <v>333</v>
      </c>
      <c r="D37" s="3">
        <f>SUMIFS('Business - Dump'!$W:$W,'Business - Dump'!$D:$D,'SKU Order Report '!$C37,'Business - Dump'!$A:$A,'SKU Order Report '!D$1)</f>
        <v>0</v>
      </c>
      <c r="E37" s="3">
        <f>SUMIFS('Business - Dump'!$W:$W,'Business - Dump'!$D:$D,'SKU Order Report '!$C37,'Business - Dump'!$A:$A,'SKU Order Report '!E$1)</f>
        <v>0</v>
      </c>
      <c r="F37" s="3">
        <f>SUMIFS('Business - Dump'!$W:$W,'Business - Dump'!$D:$D,'SKU Order Report '!$C37,'Business - Dump'!$A:$A,'SKU Order Report '!F$1)</f>
        <v>1</v>
      </c>
      <c r="G37" s="3">
        <f>SUMIFS('Business - Dump'!$W:$W,'Business - Dump'!$D:$D,'SKU Order Report '!$C37,'Business - Dump'!$A:$A,'SKU Order Report '!G$1)</f>
        <v>0</v>
      </c>
      <c r="H37" s="3">
        <f>SUMIFS('Business - Dump'!$W:$W,'Business - Dump'!$D:$D,'SKU Order Report '!$C37,'Business - Dump'!$A:$A,'SKU Order Report '!H$1)</f>
        <v>3</v>
      </c>
      <c r="I37" s="3">
        <f>SUMIFS('Business - Dump'!$W:$W,'Business - Dump'!$D:$D,'SKU Order Report '!$C37,'Business - Dump'!$A:$A,'SKU Order Report '!I$1)</f>
        <v>0</v>
      </c>
      <c r="J37" s="3">
        <f>SUMIFS('Business - Dump'!$W:$W,'Business - Dump'!$D:$D,'SKU Order Report '!$C37,'Business - Dump'!$A:$A,'SKU Order Report '!J$1)</f>
        <v>0</v>
      </c>
      <c r="K37" s="3">
        <f>SUMIFS('Business - Dump'!$W:$W,'Business - Dump'!$D:$D,'SKU Order Report '!$C37,'Business - Dump'!$A:$A,'SKU Order Report '!K$1)</f>
        <v>0</v>
      </c>
      <c r="L37" s="3">
        <f>SUMIFS('Business - Dump'!$W:$W,'Business - Dump'!$D:$D,'SKU Order Report '!$C37,'Business - Dump'!$A:$A,'SKU Order Report '!L$1)</f>
        <v>0</v>
      </c>
      <c r="M37" s="3">
        <f>SUMIFS('Business - Dump'!$W:$W,'Business - Dump'!$D:$D,'SKU Order Report '!$C37,'Business - Dump'!$A:$A,'SKU Order Report '!M$1)</f>
        <v>0</v>
      </c>
      <c r="N37" s="3">
        <f>SUMIFS('Business - Dump'!$W:$W,'Business - Dump'!$D:$D,'SKU Order Report '!$C37,'Business - Dump'!$A:$A,'SKU Order Report '!N$1)</f>
        <v>0</v>
      </c>
      <c r="O37" s="3">
        <f>SUMIFS('Business - Dump'!$W:$W,'Business - Dump'!$D:$D,'SKU Order Report '!$C37,'Business - Dump'!$A:$A,'SKU Order Report '!O$1)</f>
        <v>0</v>
      </c>
      <c r="P37" s="3">
        <f>SUMIFS('Business - Dump'!$W:$W,'Business - Dump'!$D:$D,'SKU Order Report '!$C37,'Business - Dump'!$A:$A,'SKU Order Report '!P$1)</f>
        <v>0</v>
      </c>
      <c r="Q37" s="3">
        <f>SUMIFS('Business - Dump'!$W:$W,'Business - Dump'!$D:$D,'SKU Order Report '!$C37,'Business - Dump'!$A:$A,'SKU Order Report '!Q$1)</f>
        <v>0</v>
      </c>
      <c r="R37" s="3">
        <f>SUMIFS('Business - Dump'!$W:$W,'Business - Dump'!$D:$D,'SKU Order Report '!$C37,'Business - Dump'!$A:$A,'SKU Order Report '!R$1)</f>
        <v>0</v>
      </c>
      <c r="S37" s="3">
        <f>SUMIFS('Business - Dump'!$W:$W,'Business - Dump'!$D:$D,'SKU Order Report '!$C37,'Business - Dump'!$A:$A,'SKU Order Report '!S$1)</f>
        <v>0</v>
      </c>
      <c r="T37" s="3">
        <f>SUMIFS('Business - Dump'!$W:$W,'Business - Dump'!$D:$D,'SKU Order Report '!$C37,'Business - Dump'!$A:$A,'SKU Order Report '!T$1)</f>
        <v>0</v>
      </c>
    </row>
    <row r="38" ht="15.75" customHeight="1">
      <c r="A38" s="10" t="str">
        <f t="array" ref="A38">_xlfn.XLOOKUP(C38,'Business - Dump'!$D:$D,'Business - Dump'!$B:$B)</f>
        <v>TABLE TOP</v>
      </c>
      <c r="B38" s="10" t="str">
        <f t="array" ref="B38">_xlfn.XLOOKUP(C38,'Referanc '!$A:$A,'Referanc '!$D:$D)</f>
        <v>WG 600 X 1200</v>
      </c>
      <c r="C38" s="10" t="s">
        <v>350</v>
      </c>
      <c r="D38" s="3">
        <f>SUMIFS('Business - Dump'!$W:$W,'Business - Dump'!$D:$D,'SKU Order Report '!$C38,'Business - Dump'!$A:$A,'SKU Order Report '!D$1)</f>
        <v>0</v>
      </c>
      <c r="E38" s="3">
        <f>SUMIFS('Business - Dump'!$W:$W,'Business - Dump'!$D:$D,'SKU Order Report '!$C38,'Business - Dump'!$A:$A,'SKU Order Report '!E$1)</f>
        <v>0</v>
      </c>
      <c r="F38" s="3">
        <f>SUMIFS('Business - Dump'!$W:$W,'Business - Dump'!$D:$D,'SKU Order Report '!$C38,'Business - Dump'!$A:$A,'SKU Order Report '!F$1)</f>
        <v>1</v>
      </c>
      <c r="G38" s="3">
        <f>SUMIFS('Business - Dump'!$W:$W,'Business - Dump'!$D:$D,'SKU Order Report '!$C38,'Business - Dump'!$A:$A,'SKU Order Report '!G$1)</f>
        <v>2</v>
      </c>
      <c r="H38" s="3">
        <f>SUMIFS('Business - Dump'!$W:$W,'Business - Dump'!$D:$D,'SKU Order Report '!$C38,'Business - Dump'!$A:$A,'SKU Order Report '!H$1)</f>
        <v>0</v>
      </c>
      <c r="I38" s="3">
        <f>SUMIFS('Business - Dump'!$W:$W,'Business - Dump'!$D:$D,'SKU Order Report '!$C38,'Business - Dump'!$A:$A,'SKU Order Report '!I$1)</f>
        <v>0</v>
      </c>
      <c r="J38" s="3">
        <f>SUMIFS('Business - Dump'!$W:$W,'Business - Dump'!$D:$D,'SKU Order Report '!$C38,'Business - Dump'!$A:$A,'SKU Order Report '!J$1)</f>
        <v>0</v>
      </c>
      <c r="K38" s="3">
        <f>SUMIFS('Business - Dump'!$W:$W,'Business - Dump'!$D:$D,'SKU Order Report '!$C38,'Business - Dump'!$A:$A,'SKU Order Report '!K$1)</f>
        <v>0</v>
      </c>
      <c r="L38" s="3">
        <f>SUMIFS('Business - Dump'!$W:$W,'Business - Dump'!$D:$D,'SKU Order Report '!$C38,'Business - Dump'!$A:$A,'SKU Order Report '!L$1)</f>
        <v>0</v>
      </c>
      <c r="M38" s="3">
        <f>SUMIFS('Business - Dump'!$W:$W,'Business - Dump'!$D:$D,'SKU Order Report '!$C38,'Business - Dump'!$A:$A,'SKU Order Report '!M$1)</f>
        <v>0</v>
      </c>
      <c r="N38" s="3">
        <f>SUMIFS('Business - Dump'!$W:$W,'Business - Dump'!$D:$D,'SKU Order Report '!$C38,'Business - Dump'!$A:$A,'SKU Order Report '!N$1)</f>
        <v>0</v>
      </c>
      <c r="O38" s="3">
        <f>SUMIFS('Business - Dump'!$W:$W,'Business - Dump'!$D:$D,'SKU Order Report '!$C38,'Business - Dump'!$A:$A,'SKU Order Report '!O$1)</f>
        <v>0</v>
      </c>
      <c r="P38" s="3">
        <f>SUMIFS('Business - Dump'!$W:$W,'Business - Dump'!$D:$D,'SKU Order Report '!$C38,'Business - Dump'!$A:$A,'SKU Order Report '!P$1)</f>
        <v>1</v>
      </c>
      <c r="Q38" s="3">
        <f>SUMIFS('Business - Dump'!$W:$W,'Business - Dump'!$D:$D,'SKU Order Report '!$C38,'Business - Dump'!$A:$A,'SKU Order Report '!Q$1)</f>
        <v>0</v>
      </c>
      <c r="R38" s="3">
        <f>SUMIFS('Business - Dump'!$W:$W,'Business - Dump'!$D:$D,'SKU Order Report '!$C38,'Business - Dump'!$A:$A,'SKU Order Report '!R$1)</f>
        <v>0</v>
      </c>
      <c r="S38" s="3">
        <f>SUMIFS('Business - Dump'!$W:$W,'Business - Dump'!$D:$D,'SKU Order Report '!$C38,'Business - Dump'!$A:$A,'SKU Order Report '!S$1)</f>
        <v>0</v>
      </c>
      <c r="T38" s="3">
        <f>SUMIFS('Business - Dump'!$W:$W,'Business - Dump'!$D:$D,'SKU Order Report '!$C38,'Business - Dump'!$A:$A,'SKU Order Report '!T$1)</f>
        <v>2</v>
      </c>
    </row>
    <row r="39" ht="15.75" customHeight="1">
      <c r="A39" s="10" t="str">
        <f t="array" ref="A39">_xlfn.XLOOKUP(C39,'Business - Dump'!$D:$D,'Business - Dump'!$B:$B)</f>
        <v>Monitor Stand </v>
      </c>
      <c r="B39" s="10" t="str">
        <f t="array" ref="B39">_xlfn.XLOOKUP(C39,'Referanc '!$A:$A,'Referanc '!$D:$D)</f>
        <v>QTY 2 - EY SA MA GAM1 L 1S WHT V02</v>
      </c>
      <c r="C39" s="10" t="s">
        <v>352</v>
      </c>
      <c r="D39" s="3">
        <f>SUMIFS('Business - Dump'!$W:$W,'Business - Dump'!$D:$D,'SKU Order Report '!$C39,'Business - Dump'!$A:$A,'SKU Order Report '!D$1)</f>
        <v>0</v>
      </c>
      <c r="E39" s="3">
        <f>SUMIFS('Business - Dump'!$W:$W,'Business - Dump'!$D:$D,'SKU Order Report '!$C39,'Business - Dump'!$A:$A,'SKU Order Report '!E$1)</f>
        <v>0</v>
      </c>
      <c r="F39" s="3">
        <f>SUMIFS('Business - Dump'!$W:$W,'Business - Dump'!$D:$D,'SKU Order Report '!$C39,'Business - Dump'!$A:$A,'SKU Order Report '!F$1)</f>
        <v>1</v>
      </c>
      <c r="G39" s="3">
        <f>SUMIFS('Business - Dump'!$W:$W,'Business - Dump'!$D:$D,'SKU Order Report '!$C39,'Business - Dump'!$A:$A,'SKU Order Report '!G$1)</f>
        <v>0</v>
      </c>
      <c r="H39" s="3">
        <f>SUMIFS('Business - Dump'!$W:$W,'Business - Dump'!$D:$D,'SKU Order Report '!$C39,'Business - Dump'!$A:$A,'SKU Order Report '!H$1)</f>
        <v>0</v>
      </c>
      <c r="I39" s="3">
        <f>SUMIFS('Business - Dump'!$W:$W,'Business - Dump'!$D:$D,'SKU Order Report '!$C39,'Business - Dump'!$A:$A,'SKU Order Report '!I$1)</f>
        <v>0</v>
      </c>
      <c r="J39" s="3">
        <f>SUMIFS('Business - Dump'!$W:$W,'Business - Dump'!$D:$D,'SKU Order Report '!$C39,'Business - Dump'!$A:$A,'SKU Order Report '!J$1)</f>
        <v>0</v>
      </c>
      <c r="K39" s="3">
        <f>SUMIFS('Business - Dump'!$W:$W,'Business - Dump'!$D:$D,'SKU Order Report '!$C39,'Business - Dump'!$A:$A,'SKU Order Report '!K$1)</f>
        <v>0</v>
      </c>
      <c r="L39" s="3">
        <f>SUMIFS('Business - Dump'!$W:$W,'Business - Dump'!$D:$D,'SKU Order Report '!$C39,'Business - Dump'!$A:$A,'SKU Order Report '!L$1)</f>
        <v>0</v>
      </c>
      <c r="M39" s="3">
        <f>SUMIFS('Business - Dump'!$W:$W,'Business - Dump'!$D:$D,'SKU Order Report '!$C39,'Business - Dump'!$A:$A,'SKU Order Report '!M$1)</f>
        <v>0</v>
      </c>
      <c r="N39" s="3">
        <f>SUMIFS('Business - Dump'!$W:$W,'Business - Dump'!$D:$D,'SKU Order Report '!$C39,'Business - Dump'!$A:$A,'SKU Order Report '!N$1)</f>
        <v>0</v>
      </c>
      <c r="O39" s="3">
        <f>SUMIFS('Business - Dump'!$W:$W,'Business - Dump'!$D:$D,'SKU Order Report '!$C39,'Business - Dump'!$A:$A,'SKU Order Report '!O$1)</f>
        <v>0</v>
      </c>
      <c r="P39" s="3">
        <f>SUMIFS('Business - Dump'!$W:$W,'Business - Dump'!$D:$D,'SKU Order Report '!$C39,'Business - Dump'!$A:$A,'SKU Order Report '!P$1)</f>
        <v>0</v>
      </c>
      <c r="Q39" s="3">
        <f>SUMIFS('Business - Dump'!$W:$W,'Business - Dump'!$D:$D,'SKU Order Report '!$C39,'Business - Dump'!$A:$A,'SKU Order Report '!Q$1)</f>
        <v>0</v>
      </c>
      <c r="R39" s="3">
        <f>SUMIFS('Business - Dump'!$W:$W,'Business - Dump'!$D:$D,'SKU Order Report '!$C39,'Business - Dump'!$A:$A,'SKU Order Report '!R$1)</f>
        <v>0</v>
      </c>
      <c r="S39" s="3">
        <f>SUMIFS('Business - Dump'!$W:$W,'Business - Dump'!$D:$D,'SKU Order Report '!$C39,'Business - Dump'!$A:$A,'SKU Order Report '!S$1)</f>
        <v>0</v>
      </c>
      <c r="T39" s="3">
        <f>SUMIFS('Business - Dump'!$W:$W,'Business - Dump'!$D:$D,'SKU Order Report '!$C39,'Business - Dump'!$A:$A,'SKU Order Report '!T$1)</f>
        <v>0</v>
      </c>
    </row>
    <row r="40" ht="15.75" customHeight="1">
      <c r="A40" s="10" t="str">
        <f t="array" ref="A40">_xlfn.XLOOKUP(C40,'Business - Dump'!$D:$D,'Business - Dump'!$B:$B)</f>
        <v>Standing Table  - E1A</v>
      </c>
      <c r="B40" s="10" t="str">
        <f t="array" ref="B40">_xlfn.XLOOKUP(C40,'Referanc '!$A:$A,'Referanc '!$D:$D)</f>
        <v>EY HAT 2M 3S BLK E1 A V02 PW 600X1200</v>
      </c>
      <c r="C40" s="10" t="s">
        <v>354</v>
      </c>
      <c r="D40" s="3">
        <f>SUMIFS('Business - Dump'!$W:$W,'Business - Dump'!$D:$D,'SKU Order Report '!$C40,'Business - Dump'!$A:$A,'SKU Order Report '!D$1)</f>
        <v>0</v>
      </c>
      <c r="E40" s="3">
        <f>SUMIFS('Business - Dump'!$W:$W,'Business - Dump'!$D:$D,'SKU Order Report '!$C40,'Business - Dump'!$A:$A,'SKU Order Report '!E$1)</f>
        <v>0</v>
      </c>
      <c r="F40" s="3">
        <f>SUMIFS('Business - Dump'!$W:$W,'Business - Dump'!$D:$D,'SKU Order Report '!$C40,'Business - Dump'!$A:$A,'SKU Order Report '!F$1)</f>
        <v>1</v>
      </c>
      <c r="G40" s="3">
        <f>SUMIFS('Business - Dump'!$W:$W,'Business - Dump'!$D:$D,'SKU Order Report '!$C40,'Business - Dump'!$A:$A,'SKU Order Report '!G$1)</f>
        <v>1</v>
      </c>
      <c r="H40" s="3">
        <f>SUMIFS('Business - Dump'!$W:$W,'Business - Dump'!$D:$D,'SKU Order Report '!$C40,'Business - Dump'!$A:$A,'SKU Order Report '!H$1)</f>
        <v>1</v>
      </c>
      <c r="I40" s="3">
        <f>SUMIFS('Business - Dump'!$W:$W,'Business - Dump'!$D:$D,'SKU Order Report '!$C40,'Business - Dump'!$A:$A,'SKU Order Report '!I$1)</f>
        <v>0</v>
      </c>
      <c r="J40" s="3">
        <f>SUMIFS('Business - Dump'!$W:$W,'Business - Dump'!$D:$D,'SKU Order Report '!$C40,'Business - Dump'!$A:$A,'SKU Order Report '!J$1)</f>
        <v>3</v>
      </c>
      <c r="K40" s="3">
        <f>SUMIFS('Business - Dump'!$W:$W,'Business - Dump'!$D:$D,'SKU Order Report '!$C40,'Business - Dump'!$A:$A,'SKU Order Report '!K$1)</f>
        <v>3</v>
      </c>
      <c r="L40" s="3">
        <f>SUMIFS('Business - Dump'!$W:$W,'Business - Dump'!$D:$D,'SKU Order Report '!$C40,'Business - Dump'!$A:$A,'SKU Order Report '!L$1)</f>
        <v>3</v>
      </c>
      <c r="M40" s="3">
        <f>SUMIFS('Business - Dump'!$W:$W,'Business - Dump'!$D:$D,'SKU Order Report '!$C40,'Business - Dump'!$A:$A,'SKU Order Report '!M$1)</f>
        <v>1</v>
      </c>
      <c r="N40" s="3">
        <f>SUMIFS('Business - Dump'!$W:$W,'Business - Dump'!$D:$D,'SKU Order Report '!$C40,'Business - Dump'!$A:$A,'SKU Order Report '!N$1)</f>
        <v>7</v>
      </c>
      <c r="O40" s="3">
        <f>SUMIFS('Business - Dump'!$W:$W,'Business - Dump'!$D:$D,'SKU Order Report '!$C40,'Business - Dump'!$A:$A,'SKU Order Report '!O$1)</f>
        <v>15</v>
      </c>
      <c r="P40" s="3">
        <f>SUMIFS('Business - Dump'!$W:$W,'Business - Dump'!$D:$D,'SKU Order Report '!$C40,'Business - Dump'!$A:$A,'SKU Order Report '!P$1)</f>
        <v>1</v>
      </c>
      <c r="Q40" s="3">
        <f>SUMIFS('Business - Dump'!$W:$W,'Business - Dump'!$D:$D,'SKU Order Report '!$C40,'Business - Dump'!$A:$A,'SKU Order Report '!Q$1)</f>
        <v>1</v>
      </c>
      <c r="R40" s="3">
        <f>SUMIFS('Business - Dump'!$W:$W,'Business - Dump'!$D:$D,'SKU Order Report '!$C40,'Business - Dump'!$A:$A,'SKU Order Report '!R$1)</f>
        <v>4</v>
      </c>
      <c r="S40" s="3">
        <f>SUMIFS('Business - Dump'!$W:$W,'Business - Dump'!$D:$D,'SKU Order Report '!$C40,'Business - Dump'!$A:$A,'SKU Order Report '!S$1)</f>
        <v>0</v>
      </c>
      <c r="T40" s="3">
        <f>SUMIFS('Business - Dump'!$W:$W,'Business - Dump'!$D:$D,'SKU Order Report '!$C40,'Business - Dump'!$A:$A,'SKU Order Report '!T$1)</f>
        <v>1</v>
      </c>
    </row>
    <row r="41" ht="15.75" customHeight="1">
      <c r="A41" s="10" t="str">
        <f t="array" ref="A41">_xlfn.XLOOKUP(C41,'Business - Dump'!$D:$D,'Business - Dump'!$B:$B)</f>
        <v>TABLE TOP</v>
      </c>
      <c r="B41" s="10" t="str">
        <f t="array" ref="B41">_xlfn.XLOOKUP(C41,'Referanc '!$A:$A,'Referanc '!$D:$D)</f>
        <v>WG 750 X 1500</v>
      </c>
      <c r="C41" s="10" t="s">
        <v>357</v>
      </c>
      <c r="D41" s="3">
        <f>SUMIFS('Business - Dump'!$W:$W,'Business - Dump'!$D:$D,'SKU Order Report '!$C41,'Business - Dump'!$A:$A,'SKU Order Report '!D$1)</f>
        <v>0</v>
      </c>
      <c r="E41" s="3">
        <f>SUMIFS('Business - Dump'!$W:$W,'Business - Dump'!$D:$D,'SKU Order Report '!$C41,'Business - Dump'!$A:$A,'SKU Order Report '!E$1)</f>
        <v>0</v>
      </c>
      <c r="F41" s="3">
        <f>SUMIFS('Business - Dump'!$W:$W,'Business - Dump'!$D:$D,'SKU Order Report '!$C41,'Business - Dump'!$A:$A,'SKU Order Report '!F$1)</f>
        <v>0</v>
      </c>
      <c r="G41" s="3">
        <f>SUMIFS('Business - Dump'!$W:$W,'Business - Dump'!$D:$D,'SKU Order Report '!$C41,'Business - Dump'!$A:$A,'SKU Order Report '!G$1)</f>
        <v>3</v>
      </c>
      <c r="H41" s="3">
        <f>SUMIFS('Business - Dump'!$W:$W,'Business - Dump'!$D:$D,'SKU Order Report '!$C41,'Business - Dump'!$A:$A,'SKU Order Report '!H$1)</f>
        <v>1</v>
      </c>
      <c r="I41" s="3">
        <f>SUMIFS('Business - Dump'!$W:$W,'Business - Dump'!$D:$D,'SKU Order Report '!$C41,'Business - Dump'!$A:$A,'SKU Order Report '!I$1)</f>
        <v>0</v>
      </c>
      <c r="J41" s="3">
        <f>SUMIFS('Business - Dump'!$W:$W,'Business - Dump'!$D:$D,'SKU Order Report '!$C41,'Business - Dump'!$A:$A,'SKU Order Report '!J$1)</f>
        <v>0</v>
      </c>
      <c r="K41" s="3">
        <f>SUMIFS('Business - Dump'!$W:$W,'Business - Dump'!$D:$D,'SKU Order Report '!$C41,'Business - Dump'!$A:$A,'SKU Order Report '!K$1)</f>
        <v>1</v>
      </c>
      <c r="L41" s="3">
        <f>SUMIFS('Business - Dump'!$W:$W,'Business - Dump'!$D:$D,'SKU Order Report '!$C41,'Business - Dump'!$A:$A,'SKU Order Report '!L$1)</f>
        <v>0</v>
      </c>
      <c r="M41" s="3">
        <f>SUMIFS('Business - Dump'!$W:$W,'Business - Dump'!$D:$D,'SKU Order Report '!$C41,'Business - Dump'!$A:$A,'SKU Order Report '!M$1)</f>
        <v>0</v>
      </c>
      <c r="N41" s="3">
        <f>SUMIFS('Business - Dump'!$W:$W,'Business - Dump'!$D:$D,'SKU Order Report '!$C41,'Business - Dump'!$A:$A,'SKU Order Report '!N$1)</f>
        <v>1</v>
      </c>
      <c r="O41" s="3">
        <f>SUMIFS('Business - Dump'!$W:$W,'Business - Dump'!$D:$D,'SKU Order Report '!$C41,'Business - Dump'!$A:$A,'SKU Order Report '!O$1)</f>
        <v>0</v>
      </c>
      <c r="P41" s="3">
        <f>SUMIFS('Business - Dump'!$W:$W,'Business - Dump'!$D:$D,'SKU Order Report '!$C41,'Business - Dump'!$A:$A,'SKU Order Report '!P$1)</f>
        <v>0</v>
      </c>
      <c r="Q41" s="3">
        <f>SUMIFS('Business - Dump'!$W:$W,'Business - Dump'!$D:$D,'SKU Order Report '!$C41,'Business - Dump'!$A:$A,'SKU Order Report '!Q$1)</f>
        <v>2</v>
      </c>
      <c r="R41" s="3">
        <f>SUMIFS('Business - Dump'!$W:$W,'Business - Dump'!$D:$D,'SKU Order Report '!$C41,'Business - Dump'!$A:$A,'SKU Order Report '!R$1)</f>
        <v>0</v>
      </c>
      <c r="S41" s="3">
        <f>SUMIFS('Business - Dump'!$W:$W,'Business - Dump'!$D:$D,'SKU Order Report '!$C41,'Business - Dump'!$A:$A,'SKU Order Report '!S$1)</f>
        <v>1</v>
      </c>
      <c r="T41" s="3">
        <f>SUMIFS('Business - Dump'!$W:$W,'Business - Dump'!$D:$D,'SKU Order Report '!$C41,'Business - Dump'!$A:$A,'SKU Order Report '!T$1)</f>
        <v>0</v>
      </c>
    </row>
    <row r="42" ht="15.75" customHeight="1">
      <c r="A42" s="10" t="str">
        <f t="array" ref="A42">_xlfn.XLOOKUP(C42,'Business - Dump'!$D:$D,'Business - Dump'!$B:$B)</f>
        <v>Standing Table  - SM3</v>
      </c>
      <c r="B42" s="10" t="str">
        <f t="array" ref="B42">_xlfn.XLOOKUP(C42,'Referanc '!$A:$A,'Referanc '!$D:$D)</f>
        <v>EY HAT 1M 2S BLK SM3 V02 PW 750x1500</v>
      </c>
      <c r="C42" s="10" t="s">
        <v>358</v>
      </c>
      <c r="D42" s="3">
        <f>SUMIFS('Business - Dump'!$W:$W,'Business - Dump'!$D:$D,'SKU Order Report '!$C42,'Business - Dump'!$A:$A,'SKU Order Report '!D$1)</f>
        <v>0</v>
      </c>
      <c r="E42" s="3">
        <f>SUMIFS('Business - Dump'!$W:$W,'Business - Dump'!$D:$D,'SKU Order Report '!$C42,'Business - Dump'!$A:$A,'SKU Order Report '!E$1)</f>
        <v>0</v>
      </c>
      <c r="F42" s="3">
        <f>SUMIFS('Business - Dump'!$W:$W,'Business - Dump'!$D:$D,'SKU Order Report '!$C42,'Business - Dump'!$A:$A,'SKU Order Report '!F$1)</f>
        <v>0</v>
      </c>
      <c r="G42" s="3">
        <f>SUMIFS('Business - Dump'!$W:$W,'Business - Dump'!$D:$D,'SKU Order Report '!$C42,'Business - Dump'!$A:$A,'SKU Order Report '!G$1)</f>
        <v>2</v>
      </c>
      <c r="H42" s="3">
        <f>SUMIFS('Business - Dump'!$W:$W,'Business - Dump'!$D:$D,'SKU Order Report '!$C42,'Business - Dump'!$A:$A,'SKU Order Report '!H$1)</f>
        <v>3</v>
      </c>
      <c r="I42" s="3">
        <f>SUMIFS('Business - Dump'!$W:$W,'Business - Dump'!$D:$D,'SKU Order Report '!$C42,'Business - Dump'!$A:$A,'SKU Order Report '!I$1)</f>
        <v>2</v>
      </c>
      <c r="J42" s="3">
        <f>SUMIFS('Business - Dump'!$W:$W,'Business - Dump'!$D:$D,'SKU Order Report '!$C42,'Business - Dump'!$A:$A,'SKU Order Report '!J$1)</f>
        <v>9</v>
      </c>
      <c r="K42" s="3">
        <f>SUMIFS('Business - Dump'!$W:$W,'Business - Dump'!$D:$D,'SKU Order Report '!$C42,'Business - Dump'!$A:$A,'SKU Order Report '!K$1)</f>
        <v>3</v>
      </c>
      <c r="L42" s="3">
        <f>SUMIFS('Business - Dump'!$W:$W,'Business - Dump'!$D:$D,'SKU Order Report '!$C42,'Business - Dump'!$A:$A,'SKU Order Report '!L$1)</f>
        <v>9</v>
      </c>
      <c r="M42" s="3">
        <f>SUMIFS('Business - Dump'!$W:$W,'Business - Dump'!$D:$D,'SKU Order Report '!$C42,'Business - Dump'!$A:$A,'SKU Order Report '!M$1)</f>
        <v>10</v>
      </c>
      <c r="N42" s="3">
        <f>SUMIFS('Business - Dump'!$W:$W,'Business - Dump'!$D:$D,'SKU Order Report '!$C42,'Business - Dump'!$A:$A,'SKU Order Report '!N$1)</f>
        <v>15</v>
      </c>
      <c r="O42" s="3">
        <f>SUMIFS('Business - Dump'!$W:$W,'Business - Dump'!$D:$D,'SKU Order Report '!$C42,'Business - Dump'!$A:$A,'SKU Order Report '!O$1)</f>
        <v>4</v>
      </c>
      <c r="P42" s="3">
        <f>SUMIFS('Business - Dump'!$W:$W,'Business - Dump'!$D:$D,'SKU Order Report '!$C42,'Business - Dump'!$A:$A,'SKU Order Report '!P$1)</f>
        <v>6</v>
      </c>
      <c r="Q42" s="3">
        <f>SUMIFS('Business - Dump'!$W:$W,'Business - Dump'!$D:$D,'SKU Order Report '!$C42,'Business - Dump'!$A:$A,'SKU Order Report '!Q$1)</f>
        <v>2</v>
      </c>
      <c r="R42" s="3">
        <f>SUMIFS('Business - Dump'!$W:$W,'Business - Dump'!$D:$D,'SKU Order Report '!$C42,'Business - Dump'!$A:$A,'SKU Order Report '!R$1)</f>
        <v>4</v>
      </c>
      <c r="S42" s="3">
        <f>SUMIFS('Business - Dump'!$W:$W,'Business - Dump'!$D:$D,'SKU Order Report '!$C42,'Business - Dump'!$A:$A,'SKU Order Report '!S$1)</f>
        <v>4</v>
      </c>
      <c r="T42" s="3">
        <f>SUMIFS('Business - Dump'!$W:$W,'Business - Dump'!$D:$D,'SKU Order Report '!$C42,'Business - Dump'!$A:$A,'SKU Order Report '!T$1)</f>
        <v>3</v>
      </c>
    </row>
    <row r="43" ht="15.75" customHeight="1">
      <c r="A43" s="10" t="str">
        <f t="array" ref="A43">_xlfn.XLOOKUP(C43,'Business - Dump'!$D:$D,'Business - Dump'!$B:$B)</f>
        <v>Standing Table  - E1A</v>
      </c>
      <c r="B43" s="10" t="str">
        <f t="array" ref="B43">_xlfn.XLOOKUP(C43,'Referanc '!$A:$A,'Referanc '!$D:$D)</f>
        <v>EY HAT 2M 3S BLK E1 A V02 PW 750X1500</v>
      </c>
      <c r="C43" s="10" t="s">
        <v>359</v>
      </c>
      <c r="D43" s="3">
        <f>SUMIFS('Business - Dump'!$W:$W,'Business - Dump'!$D:$D,'SKU Order Report '!$C43,'Business - Dump'!$A:$A,'SKU Order Report '!D$1)</f>
        <v>0</v>
      </c>
      <c r="E43" s="3">
        <f>SUMIFS('Business - Dump'!$W:$W,'Business - Dump'!$D:$D,'SKU Order Report '!$C43,'Business - Dump'!$A:$A,'SKU Order Report '!E$1)</f>
        <v>0</v>
      </c>
      <c r="F43" s="3">
        <f>SUMIFS('Business - Dump'!$W:$W,'Business - Dump'!$D:$D,'SKU Order Report '!$C43,'Business - Dump'!$A:$A,'SKU Order Report '!F$1)</f>
        <v>0</v>
      </c>
      <c r="G43" s="3">
        <f>SUMIFS('Business - Dump'!$W:$W,'Business - Dump'!$D:$D,'SKU Order Report '!$C43,'Business - Dump'!$A:$A,'SKU Order Report '!G$1)</f>
        <v>2</v>
      </c>
      <c r="H43" s="3">
        <f>SUMIFS('Business - Dump'!$W:$W,'Business - Dump'!$D:$D,'SKU Order Report '!$C43,'Business - Dump'!$A:$A,'SKU Order Report '!H$1)</f>
        <v>1</v>
      </c>
      <c r="I43" s="3">
        <f>SUMIFS('Business - Dump'!$W:$W,'Business - Dump'!$D:$D,'SKU Order Report '!$C43,'Business - Dump'!$A:$A,'SKU Order Report '!I$1)</f>
        <v>1</v>
      </c>
      <c r="J43" s="3">
        <f>SUMIFS('Business - Dump'!$W:$W,'Business - Dump'!$D:$D,'SKU Order Report '!$C43,'Business - Dump'!$A:$A,'SKU Order Report '!J$1)</f>
        <v>4</v>
      </c>
      <c r="K43" s="3">
        <f>SUMIFS('Business - Dump'!$W:$W,'Business - Dump'!$D:$D,'SKU Order Report '!$C43,'Business - Dump'!$A:$A,'SKU Order Report '!K$1)</f>
        <v>1</v>
      </c>
      <c r="L43" s="3">
        <f>SUMIFS('Business - Dump'!$W:$W,'Business - Dump'!$D:$D,'SKU Order Report '!$C43,'Business - Dump'!$A:$A,'SKU Order Report '!L$1)</f>
        <v>4</v>
      </c>
      <c r="M43" s="3">
        <f>SUMIFS('Business - Dump'!$W:$W,'Business - Dump'!$D:$D,'SKU Order Report '!$C43,'Business - Dump'!$A:$A,'SKU Order Report '!M$1)</f>
        <v>1</v>
      </c>
      <c r="N43" s="3">
        <f>SUMIFS('Business - Dump'!$W:$W,'Business - Dump'!$D:$D,'SKU Order Report '!$C43,'Business - Dump'!$A:$A,'SKU Order Report '!N$1)</f>
        <v>8</v>
      </c>
      <c r="O43" s="3">
        <f>SUMIFS('Business - Dump'!$W:$W,'Business - Dump'!$D:$D,'SKU Order Report '!$C43,'Business - Dump'!$A:$A,'SKU Order Report '!O$1)</f>
        <v>13</v>
      </c>
      <c r="P43" s="3">
        <f>SUMIFS('Business - Dump'!$W:$W,'Business - Dump'!$D:$D,'SKU Order Report '!$C43,'Business - Dump'!$A:$A,'SKU Order Report '!P$1)</f>
        <v>1</v>
      </c>
      <c r="Q43" s="3">
        <f>SUMIFS('Business - Dump'!$W:$W,'Business - Dump'!$D:$D,'SKU Order Report '!$C43,'Business - Dump'!$A:$A,'SKU Order Report '!Q$1)</f>
        <v>2</v>
      </c>
      <c r="R43" s="3">
        <f>SUMIFS('Business - Dump'!$W:$W,'Business - Dump'!$D:$D,'SKU Order Report '!$C43,'Business - Dump'!$A:$A,'SKU Order Report '!R$1)</f>
        <v>0</v>
      </c>
      <c r="S43" s="3">
        <f>SUMIFS('Business - Dump'!$W:$W,'Business - Dump'!$D:$D,'SKU Order Report '!$C43,'Business - Dump'!$A:$A,'SKU Order Report '!S$1)</f>
        <v>0</v>
      </c>
      <c r="T43" s="3">
        <f>SUMIFS('Business - Dump'!$W:$W,'Business - Dump'!$D:$D,'SKU Order Report '!$C43,'Business - Dump'!$A:$A,'SKU Order Report '!T$1)</f>
        <v>1</v>
      </c>
    </row>
    <row r="44" ht="15.75" customHeight="1">
      <c r="A44" s="10" t="str">
        <f t="array" ref="A44">_xlfn.XLOOKUP(C44,'Business - Dump'!$D:$D,'Business - Dump'!$B:$B)</f>
        <v>Standing Table  - E1A</v>
      </c>
      <c r="B44" s="10" t="str">
        <f t="array" ref="B44">_xlfn.XLOOKUP(C44,'Referanc '!$A:$A,'Referanc '!$D:$D)</f>
        <v>EY HAT 2M 3S WHT E1A V02 PW 600X1200</v>
      </c>
      <c r="C44" s="10" t="s">
        <v>360</v>
      </c>
      <c r="D44" s="3">
        <f>SUMIFS('Business - Dump'!$W:$W,'Business - Dump'!$D:$D,'SKU Order Report '!$C44,'Business - Dump'!$A:$A,'SKU Order Report '!D$1)</f>
        <v>0</v>
      </c>
      <c r="E44" s="3">
        <f>SUMIFS('Business - Dump'!$W:$W,'Business - Dump'!$D:$D,'SKU Order Report '!$C44,'Business - Dump'!$A:$A,'SKU Order Report '!E$1)</f>
        <v>0</v>
      </c>
      <c r="F44" s="3">
        <f>SUMIFS('Business - Dump'!$W:$W,'Business - Dump'!$D:$D,'SKU Order Report '!$C44,'Business - Dump'!$A:$A,'SKU Order Report '!F$1)</f>
        <v>0</v>
      </c>
      <c r="G44" s="3">
        <f>SUMIFS('Business - Dump'!$W:$W,'Business - Dump'!$D:$D,'SKU Order Report '!$C44,'Business - Dump'!$A:$A,'SKU Order Report '!G$1)</f>
        <v>2</v>
      </c>
      <c r="H44" s="3">
        <f>SUMIFS('Business - Dump'!$W:$W,'Business - Dump'!$D:$D,'SKU Order Report '!$C44,'Business - Dump'!$A:$A,'SKU Order Report '!H$1)</f>
        <v>1</v>
      </c>
      <c r="I44" s="3">
        <f>SUMIFS('Business - Dump'!$W:$W,'Business - Dump'!$D:$D,'SKU Order Report '!$C44,'Business - Dump'!$A:$A,'SKU Order Report '!I$1)</f>
        <v>0</v>
      </c>
      <c r="J44" s="3">
        <f>SUMIFS('Business - Dump'!$W:$W,'Business - Dump'!$D:$D,'SKU Order Report '!$C44,'Business - Dump'!$A:$A,'SKU Order Report '!J$1)</f>
        <v>0</v>
      </c>
      <c r="K44" s="3">
        <f>SUMIFS('Business - Dump'!$W:$W,'Business - Dump'!$D:$D,'SKU Order Report '!$C44,'Business - Dump'!$A:$A,'SKU Order Report '!K$1)</f>
        <v>0</v>
      </c>
      <c r="L44" s="3">
        <f>SUMIFS('Business - Dump'!$W:$W,'Business - Dump'!$D:$D,'SKU Order Report '!$C44,'Business - Dump'!$A:$A,'SKU Order Report '!L$1)</f>
        <v>0</v>
      </c>
      <c r="M44" s="3">
        <f>SUMIFS('Business - Dump'!$W:$W,'Business - Dump'!$D:$D,'SKU Order Report '!$C44,'Business - Dump'!$A:$A,'SKU Order Report '!M$1)</f>
        <v>0</v>
      </c>
      <c r="N44" s="3">
        <f>SUMIFS('Business - Dump'!$W:$W,'Business - Dump'!$D:$D,'SKU Order Report '!$C44,'Business - Dump'!$A:$A,'SKU Order Report '!N$1)</f>
        <v>0</v>
      </c>
      <c r="O44" s="3">
        <f>SUMIFS('Business - Dump'!$W:$W,'Business - Dump'!$D:$D,'SKU Order Report '!$C44,'Business - Dump'!$A:$A,'SKU Order Report '!O$1)</f>
        <v>0</v>
      </c>
      <c r="P44" s="3">
        <f>SUMIFS('Business - Dump'!$W:$W,'Business - Dump'!$D:$D,'SKU Order Report '!$C44,'Business - Dump'!$A:$A,'SKU Order Report '!P$1)</f>
        <v>0</v>
      </c>
      <c r="Q44" s="3">
        <f>SUMIFS('Business - Dump'!$W:$W,'Business - Dump'!$D:$D,'SKU Order Report '!$C44,'Business - Dump'!$A:$A,'SKU Order Report '!Q$1)</f>
        <v>0</v>
      </c>
      <c r="R44" s="3">
        <f>SUMIFS('Business - Dump'!$W:$W,'Business - Dump'!$D:$D,'SKU Order Report '!$C44,'Business - Dump'!$A:$A,'SKU Order Report '!R$1)</f>
        <v>0</v>
      </c>
      <c r="S44" s="3">
        <f>SUMIFS('Business - Dump'!$W:$W,'Business - Dump'!$D:$D,'SKU Order Report '!$C44,'Business - Dump'!$A:$A,'SKU Order Report '!S$1)</f>
        <v>0</v>
      </c>
      <c r="T44" s="3">
        <f>SUMIFS('Business - Dump'!$W:$W,'Business - Dump'!$D:$D,'SKU Order Report '!$C44,'Business - Dump'!$A:$A,'SKU Order Report '!T$1)</f>
        <v>0</v>
      </c>
    </row>
    <row r="45" ht="15.75" customHeight="1">
      <c r="A45" s="10" t="str">
        <f t="array" ref="A45">_xlfn.XLOOKUP(C45,'Business - Dump'!$D:$D,'Business - Dump'!$B:$B)</f>
        <v>Standing Table  - E1A</v>
      </c>
      <c r="B45" s="10" t="str">
        <f t="array" ref="B45">_xlfn.XLOOKUP(C45,'Referanc '!$A:$A,'Referanc '!$D:$D)</f>
        <v>EY HAT 2M 3S WHT E1-A V02</v>
      </c>
      <c r="C45" s="10" t="s">
        <v>361</v>
      </c>
      <c r="D45" s="3">
        <f>SUMIFS('Business - Dump'!$W:$W,'Business - Dump'!$D:$D,'SKU Order Report '!$C45,'Business - Dump'!$A:$A,'SKU Order Report '!D$1)</f>
        <v>0</v>
      </c>
      <c r="E45" s="3">
        <f>SUMIFS('Business - Dump'!$W:$W,'Business - Dump'!$D:$D,'SKU Order Report '!$C45,'Business - Dump'!$A:$A,'SKU Order Report '!E$1)</f>
        <v>0</v>
      </c>
      <c r="F45" s="3">
        <f>SUMIFS('Business - Dump'!$W:$W,'Business - Dump'!$D:$D,'SKU Order Report '!$C45,'Business - Dump'!$A:$A,'SKU Order Report '!F$1)</f>
        <v>0</v>
      </c>
      <c r="G45" s="3">
        <f>SUMIFS('Business - Dump'!$W:$W,'Business - Dump'!$D:$D,'SKU Order Report '!$C45,'Business - Dump'!$A:$A,'SKU Order Report '!G$1)</f>
        <v>2</v>
      </c>
      <c r="H45" s="3">
        <f>SUMIFS('Business - Dump'!$W:$W,'Business - Dump'!$D:$D,'SKU Order Report '!$C45,'Business - Dump'!$A:$A,'SKU Order Report '!H$1)</f>
        <v>1</v>
      </c>
      <c r="I45" s="3">
        <f>SUMIFS('Business - Dump'!$W:$W,'Business - Dump'!$D:$D,'SKU Order Report '!$C45,'Business - Dump'!$A:$A,'SKU Order Report '!I$1)</f>
        <v>0</v>
      </c>
      <c r="J45" s="3">
        <f>SUMIFS('Business - Dump'!$W:$W,'Business - Dump'!$D:$D,'SKU Order Report '!$C45,'Business - Dump'!$A:$A,'SKU Order Report '!J$1)</f>
        <v>0</v>
      </c>
      <c r="K45" s="3">
        <f>SUMIFS('Business - Dump'!$W:$W,'Business - Dump'!$D:$D,'SKU Order Report '!$C45,'Business - Dump'!$A:$A,'SKU Order Report '!K$1)</f>
        <v>0</v>
      </c>
      <c r="L45" s="3">
        <f>SUMIFS('Business - Dump'!$W:$W,'Business - Dump'!$D:$D,'SKU Order Report '!$C45,'Business - Dump'!$A:$A,'SKU Order Report '!L$1)</f>
        <v>0</v>
      </c>
      <c r="M45" s="3">
        <f>SUMIFS('Business - Dump'!$W:$W,'Business - Dump'!$D:$D,'SKU Order Report '!$C45,'Business - Dump'!$A:$A,'SKU Order Report '!M$1)</f>
        <v>0</v>
      </c>
      <c r="N45" s="3">
        <f>SUMIFS('Business - Dump'!$W:$W,'Business - Dump'!$D:$D,'SKU Order Report '!$C45,'Business - Dump'!$A:$A,'SKU Order Report '!N$1)</f>
        <v>0</v>
      </c>
      <c r="O45" s="3">
        <f>SUMIFS('Business - Dump'!$W:$W,'Business - Dump'!$D:$D,'SKU Order Report '!$C45,'Business - Dump'!$A:$A,'SKU Order Report '!O$1)</f>
        <v>0</v>
      </c>
      <c r="P45" s="3">
        <f>SUMIFS('Business - Dump'!$W:$W,'Business - Dump'!$D:$D,'SKU Order Report '!$C45,'Business - Dump'!$A:$A,'SKU Order Report '!P$1)</f>
        <v>0</v>
      </c>
      <c r="Q45" s="3">
        <f>SUMIFS('Business - Dump'!$W:$W,'Business - Dump'!$D:$D,'SKU Order Report '!$C45,'Business - Dump'!$A:$A,'SKU Order Report '!Q$1)</f>
        <v>0</v>
      </c>
      <c r="R45" s="3">
        <f>SUMIFS('Business - Dump'!$W:$W,'Business - Dump'!$D:$D,'SKU Order Report '!$C45,'Business - Dump'!$A:$A,'SKU Order Report '!R$1)</f>
        <v>0</v>
      </c>
      <c r="S45" s="3">
        <f>SUMIFS('Business - Dump'!$W:$W,'Business - Dump'!$D:$D,'SKU Order Report '!$C45,'Business - Dump'!$A:$A,'SKU Order Report '!S$1)</f>
        <v>0</v>
      </c>
      <c r="T45" s="3">
        <f>SUMIFS('Business - Dump'!$W:$W,'Business - Dump'!$D:$D,'SKU Order Report '!$C45,'Business - Dump'!$A:$A,'SKU Order Report '!T$1)</f>
        <v>0</v>
      </c>
    </row>
    <row r="46" ht="15.75" customHeight="1">
      <c r="A46" s="10" t="str">
        <f t="array" ref="A46">_xlfn.XLOOKUP(C46,'Business - Dump'!$D:$D,'Business - Dump'!$B:$B)</f>
        <v>Standing Desk Converter</v>
      </c>
      <c r="B46" s="10" t="str">
        <f t="array" ref="B46">_xlfn.XLOOKUP(C46,'Referanc '!$A:$A,'Referanc '!$D:$D)</f>
        <v>EY DC 2T Z25 BLK V02</v>
      </c>
      <c r="C46" s="10" t="s">
        <v>363</v>
      </c>
      <c r="D46" s="3">
        <f>SUMIFS('Business - Dump'!$W:$W,'Business - Dump'!$D:$D,'SKU Order Report '!$C46,'Business - Dump'!$A:$A,'SKU Order Report '!D$1)</f>
        <v>0</v>
      </c>
      <c r="E46" s="3">
        <f>SUMIFS('Business - Dump'!$W:$W,'Business - Dump'!$D:$D,'SKU Order Report '!$C46,'Business - Dump'!$A:$A,'SKU Order Report '!E$1)</f>
        <v>0</v>
      </c>
      <c r="F46" s="3">
        <f>SUMIFS('Business - Dump'!$W:$W,'Business - Dump'!$D:$D,'SKU Order Report '!$C46,'Business - Dump'!$A:$A,'SKU Order Report '!F$1)</f>
        <v>0</v>
      </c>
      <c r="G46" s="3">
        <f>SUMIFS('Business - Dump'!$W:$W,'Business - Dump'!$D:$D,'SKU Order Report '!$C46,'Business - Dump'!$A:$A,'SKU Order Report '!G$1)</f>
        <v>1</v>
      </c>
      <c r="H46" s="3">
        <f>SUMIFS('Business - Dump'!$W:$W,'Business - Dump'!$D:$D,'SKU Order Report '!$C46,'Business - Dump'!$A:$A,'SKU Order Report '!H$1)</f>
        <v>0</v>
      </c>
      <c r="I46" s="3">
        <f>SUMIFS('Business - Dump'!$W:$W,'Business - Dump'!$D:$D,'SKU Order Report '!$C46,'Business - Dump'!$A:$A,'SKU Order Report '!I$1)</f>
        <v>2</v>
      </c>
      <c r="J46" s="3">
        <f>SUMIFS('Business - Dump'!$W:$W,'Business - Dump'!$D:$D,'SKU Order Report '!$C46,'Business - Dump'!$A:$A,'SKU Order Report '!J$1)</f>
        <v>0</v>
      </c>
      <c r="K46" s="3">
        <f>SUMIFS('Business - Dump'!$W:$W,'Business - Dump'!$D:$D,'SKU Order Report '!$C46,'Business - Dump'!$A:$A,'SKU Order Report '!K$1)</f>
        <v>1</v>
      </c>
      <c r="L46" s="3">
        <f>SUMIFS('Business - Dump'!$W:$W,'Business - Dump'!$D:$D,'SKU Order Report '!$C46,'Business - Dump'!$A:$A,'SKU Order Report '!L$1)</f>
        <v>2</v>
      </c>
      <c r="M46" s="3">
        <f>SUMIFS('Business - Dump'!$W:$W,'Business - Dump'!$D:$D,'SKU Order Report '!$C46,'Business - Dump'!$A:$A,'SKU Order Report '!M$1)</f>
        <v>1</v>
      </c>
      <c r="N46" s="3">
        <f>SUMIFS('Business - Dump'!$W:$W,'Business - Dump'!$D:$D,'SKU Order Report '!$C46,'Business - Dump'!$A:$A,'SKU Order Report '!N$1)</f>
        <v>5</v>
      </c>
      <c r="O46" s="3">
        <f>SUMIFS('Business - Dump'!$W:$W,'Business - Dump'!$D:$D,'SKU Order Report '!$C46,'Business - Dump'!$A:$A,'SKU Order Report '!O$1)</f>
        <v>2</v>
      </c>
      <c r="P46" s="3">
        <f>SUMIFS('Business - Dump'!$W:$W,'Business - Dump'!$D:$D,'SKU Order Report '!$C46,'Business - Dump'!$A:$A,'SKU Order Report '!P$1)</f>
        <v>3</v>
      </c>
      <c r="Q46" s="3">
        <f>SUMIFS('Business - Dump'!$W:$W,'Business - Dump'!$D:$D,'SKU Order Report '!$C46,'Business - Dump'!$A:$A,'SKU Order Report '!Q$1)</f>
        <v>1</v>
      </c>
      <c r="R46" s="3">
        <f>SUMIFS('Business - Dump'!$W:$W,'Business - Dump'!$D:$D,'SKU Order Report '!$C46,'Business - Dump'!$A:$A,'SKU Order Report '!R$1)</f>
        <v>0</v>
      </c>
      <c r="S46" s="3">
        <f>SUMIFS('Business - Dump'!$W:$W,'Business - Dump'!$D:$D,'SKU Order Report '!$C46,'Business - Dump'!$A:$A,'SKU Order Report '!S$1)</f>
        <v>0</v>
      </c>
      <c r="T46" s="3">
        <f>SUMIFS('Business - Dump'!$W:$W,'Business - Dump'!$D:$D,'SKU Order Report '!$C46,'Business - Dump'!$A:$A,'SKU Order Report '!T$1)</f>
        <v>0</v>
      </c>
    </row>
    <row r="47" ht="15.75" customHeight="1">
      <c r="A47" s="10" t="str">
        <f t="array" ref="A47">_xlfn.XLOOKUP(C47,'Business - Dump'!$D:$D,'Business - Dump'!$B:$B)</f>
        <v>Standing Table  - E3</v>
      </c>
      <c r="B47" s="10" t="str">
        <f t="array" ref="B47">_xlfn.XLOOKUP(C47,'Referanc '!$A:$A,'Referanc '!$D:$D)</f>
        <v>EY HAT 2M 3S WHT E3 V03 PW 750X1500</v>
      </c>
      <c r="C47" s="10" t="s">
        <v>364</v>
      </c>
      <c r="D47" s="3">
        <f>SUMIFS('Business - Dump'!$W:$W,'Business - Dump'!$D:$D,'SKU Order Report '!$C47,'Business - Dump'!$A:$A,'SKU Order Report '!D$1)</f>
        <v>0</v>
      </c>
      <c r="E47" s="3">
        <f>SUMIFS('Business - Dump'!$W:$W,'Business - Dump'!$D:$D,'SKU Order Report '!$C47,'Business - Dump'!$A:$A,'SKU Order Report '!E$1)</f>
        <v>0</v>
      </c>
      <c r="F47" s="3">
        <f>SUMIFS('Business - Dump'!$W:$W,'Business - Dump'!$D:$D,'SKU Order Report '!$C47,'Business - Dump'!$A:$A,'SKU Order Report '!F$1)</f>
        <v>0</v>
      </c>
      <c r="G47" s="3">
        <f>SUMIFS('Business - Dump'!$W:$W,'Business - Dump'!$D:$D,'SKU Order Report '!$C47,'Business - Dump'!$A:$A,'SKU Order Report '!G$1)</f>
        <v>1</v>
      </c>
      <c r="H47" s="3">
        <f>SUMIFS('Business - Dump'!$W:$W,'Business - Dump'!$D:$D,'SKU Order Report '!$C47,'Business - Dump'!$A:$A,'SKU Order Report '!H$1)</f>
        <v>0</v>
      </c>
      <c r="I47" s="3">
        <f>SUMIFS('Business - Dump'!$W:$W,'Business - Dump'!$D:$D,'SKU Order Report '!$C47,'Business - Dump'!$A:$A,'SKU Order Report '!I$1)</f>
        <v>3</v>
      </c>
      <c r="J47" s="3">
        <f>SUMIFS('Business - Dump'!$W:$W,'Business - Dump'!$D:$D,'SKU Order Report '!$C47,'Business - Dump'!$A:$A,'SKU Order Report '!J$1)</f>
        <v>4</v>
      </c>
      <c r="K47" s="3">
        <f>SUMIFS('Business - Dump'!$W:$W,'Business - Dump'!$D:$D,'SKU Order Report '!$C47,'Business - Dump'!$A:$A,'SKU Order Report '!K$1)</f>
        <v>3</v>
      </c>
      <c r="L47" s="3">
        <f>SUMIFS('Business - Dump'!$W:$W,'Business - Dump'!$D:$D,'SKU Order Report '!$C47,'Business - Dump'!$A:$A,'SKU Order Report '!L$1)</f>
        <v>6</v>
      </c>
      <c r="M47" s="3">
        <f>SUMIFS('Business - Dump'!$W:$W,'Business - Dump'!$D:$D,'SKU Order Report '!$C47,'Business - Dump'!$A:$A,'SKU Order Report '!M$1)</f>
        <v>6</v>
      </c>
      <c r="N47" s="3">
        <f>SUMIFS('Business - Dump'!$W:$W,'Business - Dump'!$D:$D,'SKU Order Report '!$C47,'Business - Dump'!$A:$A,'SKU Order Report '!N$1)</f>
        <v>6</v>
      </c>
      <c r="O47" s="3">
        <f>SUMIFS('Business - Dump'!$W:$W,'Business - Dump'!$D:$D,'SKU Order Report '!$C47,'Business - Dump'!$A:$A,'SKU Order Report '!O$1)</f>
        <v>11</v>
      </c>
      <c r="P47" s="3">
        <f>SUMIFS('Business - Dump'!$W:$W,'Business - Dump'!$D:$D,'SKU Order Report '!$C47,'Business - Dump'!$A:$A,'SKU Order Report '!P$1)</f>
        <v>3</v>
      </c>
      <c r="Q47" s="3">
        <f>SUMIFS('Business - Dump'!$W:$W,'Business - Dump'!$D:$D,'SKU Order Report '!$C47,'Business - Dump'!$A:$A,'SKU Order Report '!Q$1)</f>
        <v>1</v>
      </c>
      <c r="R47" s="3">
        <f>SUMIFS('Business - Dump'!$W:$W,'Business - Dump'!$D:$D,'SKU Order Report '!$C47,'Business - Dump'!$A:$A,'SKU Order Report '!R$1)</f>
        <v>2</v>
      </c>
      <c r="S47" s="3">
        <f>SUMIFS('Business - Dump'!$W:$W,'Business - Dump'!$D:$D,'SKU Order Report '!$C47,'Business - Dump'!$A:$A,'SKU Order Report '!S$1)</f>
        <v>2</v>
      </c>
      <c r="T47" s="3">
        <f>SUMIFS('Business - Dump'!$W:$W,'Business - Dump'!$D:$D,'SKU Order Report '!$C47,'Business - Dump'!$A:$A,'SKU Order Report '!T$1)</f>
        <v>4</v>
      </c>
    </row>
    <row r="48" ht="15.75" customHeight="1">
      <c r="A48" s="10" t="str">
        <f t="array" ref="A48">_xlfn.XLOOKUP(C48,'Business - Dump'!$D:$D,'Business - Dump'!$B:$B)</f>
        <v>Standing Table  - E3</v>
      </c>
      <c r="B48" s="10" t="str">
        <f t="array" ref="B48">_xlfn.XLOOKUP(C48,'Referanc '!$A:$A,'Referanc '!$D:$D)</f>
        <v>EY HAT 2M 3S WHT E3 V03 WG 750X1500</v>
      </c>
      <c r="C48" s="10" t="s">
        <v>365</v>
      </c>
      <c r="D48" s="3">
        <f>SUMIFS('Business - Dump'!$W:$W,'Business - Dump'!$D:$D,'SKU Order Report '!$C48,'Business - Dump'!$A:$A,'SKU Order Report '!D$1)</f>
        <v>0</v>
      </c>
      <c r="E48" s="3">
        <f>SUMIFS('Business - Dump'!$W:$W,'Business - Dump'!$D:$D,'SKU Order Report '!$C48,'Business - Dump'!$A:$A,'SKU Order Report '!E$1)</f>
        <v>0</v>
      </c>
      <c r="F48" s="3">
        <f>SUMIFS('Business - Dump'!$W:$W,'Business - Dump'!$D:$D,'SKU Order Report '!$C48,'Business - Dump'!$A:$A,'SKU Order Report '!F$1)</f>
        <v>0</v>
      </c>
      <c r="G48" s="3">
        <f>SUMIFS('Business - Dump'!$W:$W,'Business - Dump'!$D:$D,'SKU Order Report '!$C48,'Business - Dump'!$A:$A,'SKU Order Report '!G$1)</f>
        <v>1</v>
      </c>
      <c r="H48" s="3">
        <f>SUMIFS('Business - Dump'!$W:$W,'Business - Dump'!$D:$D,'SKU Order Report '!$C48,'Business - Dump'!$A:$A,'SKU Order Report '!H$1)</f>
        <v>5</v>
      </c>
      <c r="I48" s="3">
        <f>SUMIFS('Business - Dump'!$W:$W,'Business - Dump'!$D:$D,'SKU Order Report '!$C48,'Business - Dump'!$A:$A,'SKU Order Report '!I$1)</f>
        <v>1</v>
      </c>
      <c r="J48" s="3">
        <f>SUMIFS('Business - Dump'!$W:$W,'Business - Dump'!$D:$D,'SKU Order Report '!$C48,'Business - Dump'!$A:$A,'SKU Order Report '!J$1)</f>
        <v>8</v>
      </c>
      <c r="K48" s="3">
        <f>SUMIFS('Business - Dump'!$W:$W,'Business - Dump'!$D:$D,'SKU Order Report '!$C48,'Business - Dump'!$A:$A,'SKU Order Report '!K$1)</f>
        <v>7</v>
      </c>
      <c r="L48" s="3">
        <f>SUMIFS('Business - Dump'!$W:$W,'Business - Dump'!$D:$D,'SKU Order Report '!$C48,'Business - Dump'!$A:$A,'SKU Order Report '!L$1)</f>
        <v>8</v>
      </c>
      <c r="M48" s="3">
        <f>SUMIFS('Business - Dump'!$W:$W,'Business - Dump'!$D:$D,'SKU Order Report '!$C48,'Business - Dump'!$A:$A,'SKU Order Report '!M$1)</f>
        <v>9</v>
      </c>
      <c r="N48" s="3">
        <f>SUMIFS('Business - Dump'!$W:$W,'Business - Dump'!$D:$D,'SKU Order Report '!$C48,'Business - Dump'!$A:$A,'SKU Order Report '!N$1)</f>
        <v>14</v>
      </c>
      <c r="O48" s="3">
        <f>SUMIFS('Business - Dump'!$W:$W,'Business - Dump'!$D:$D,'SKU Order Report '!$C48,'Business - Dump'!$A:$A,'SKU Order Report '!O$1)</f>
        <v>10</v>
      </c>
      <c r="P48" s="3">
        <f>SUMIFS('Business - Dump'!$W:$W,'Business - Dump'!$D:$D,'SKU Order Report '!$C48,'Business - Dump'!$A:$A,'SKU Order Report '!P$1)</f>
        <v>3</v>
      </c>
      <c r="Q48" s="3">
        <f>SUMIFS('Business - Dump'!$W:$W,'Business - Dump'!$D:$D,'SKU Order Report '!$C48,'Business - Dump'!$A:$A,'SKU Order Report '!Q$1)</f>
        <v>6</v>
      </c>
      <c r="R48" s="3">
        <f>SUMIFS('Business - Dump'!$W:$W,'Business - Dump'!$D:$D,'SKU Order Report '!$C48,'Business - Dump'!$A:$A,'SKU Order Report '!R$1)</f>
        <v>2</v>
      </c>
      <c r="S48" s="3">
        <f>SUMIFS('Business - Dump'!$W:$W,'Business - Dump'!$D:$D,'SKU Order Report '!$C48,'Business - Dump'!$A:$A,'SKU Order Report '!S$1)</f>
        <v>4</v>
      </c>
      <c r="T48" s="3">
        <f>SUMIFS('Business - Dump'!$W:$W,'Business - Dump'!$D:$D,'SKU Order Report '!$C48,'Business - Dump'!$A:$A,'SKU Order Report '!T$1)</f>
        <v>2</v>
      </c>
    </row>
    <row r="49" ht="15.75" customHeight="1">
      <c r="A49" s="10" t="str">
        <f t="array" ref="A49">_xlfn.XLOOKUP(C49,'Business - Dump'!$D:$D,'Business - Dump'!$B:$B)</f>
        <v>Standing Table  - E3</v>
      </c>
      <c r="B49" s="10" t="str">
        <f t="array" ref="B49">_xlfn.XLOOKUP(C49,'Referanc '!$A:$A,'Referanc '!$D:$D)</f>
        <v>EY HAT 2M 3S BLK E3 VO3 WG 7500 X 1500</v>
      </c>
      <c r="C49" s="10" t="s">
        <v>366</v>
      </c>
      <c r="D49" s="3">
        <f>SUMIFS('Business - Dump'!$W:$W,'Business - Dump'!$D:$D,'SKU Order Report '!$C49,'Business - Dump'!$A:$A,'SKU Order Report '!D$1)</f>
        <v>0</v>
      </c>
      <c r="E49" s="3">
        <f>SUMIFS('Business - Dump'!$W:$W,'Business - Dump'!$D:$D,'SKU Order Report '!$C49,'Business - Dump'!$A:$A,'SKU Order Report '!E$1)</f>
        <v>0</v>
      </c>
      <c r="F49" s="3">
        <f>SUMIFS('Business - Dump'!$W:$W,'Business - Dump'!$D:$D,'SKU Order Report '!$C49,'Business - Dump'!$A:$A,'SKU Order Report '!F$1)</f>
        <v>0</v>
      </c>
      <c r="G49" s="3">
        <f>SUMIFS('Business - Dump'!$W:$W,'Business - Dump'!$D:$D,'SKU Order Report '!$C49,'Business - Dump'!$A:$A,'SKU Order Report '!G$1)</f>
        <v>1</v>
      </c>
      <c r="H49" s="3">
        <f>SUMIFS('Business - Dump'!$W:$W,'Business - Dump'!$D:$D,'SKU Order Report '!$C49,'Business - Dump'!$A:$A,'SKU Order Report '!H$1)</f>
        <v>2</v>
      </c>
      <c r="I49" s="3">
        <f>SUMIFS('Business - Dump'!$W:$W,'Business - Dump'!$D:$D,'SKU Order Report '!$C49,'Business - Dump'!$A:$A,'SKU Order Report '!I$1)</f>
        <v>0</v>
      </c>
      <c r="J49" s="3">
        <f>SUMIFS('Business - Dump'!$W:$W,'Business - Dump'!$D:$D,'SKU Order Report '!$C49,'Business - Dump'!$A:$A,'SKU Order Report '!J$1)</f>
        <v>1</v>
      </c>
      <c r="K49" s="3">
        <f>SUMIFS('Business - Dump'!$W:$W,'Business - Dump'!$D:$D,'SKU Order Report '!$C49,'Business - Dump'!$A:$A,'SKU Order Report '!K$1)</f>
        <v>0</v>
      </c>
      <c r="L49" s="3">
        <f>SUMIFS('Business - Dump'!$W:$W,'Business - Dump'!$D:$D,'SKU Order Report '!$C49,'Business - Dump'!$A:$A,'SKU Order Report '!L$1)</f>
        <v>0</v>
      </c>
      <c r="M49" s="3">
        <f>SUMIFS('Business - Dump'!$W:$W,'Business - Dump'!$D:$D,'SKU Order Report '!$C49,'Business - Dump'!$A:$A,'SKU Order Report '!M$1)</f>
        <v>0</v>
      </c>
      <c r="N49" s="3">
        <f>SUMIFS('Business - Dump'!$W:$W,'Business - Dump'!$D:$D,'SKU Order Report '!$C49,'Business - Dump'!$A:$A,'SKU Order Report '!N$1)</f>
        <v>0</v>
      </c>
      <c r="O49" s="3">
        <f>SUMIFS('Business - Dump'!$W:$W,'Business - Dump'!$D:$D,'SKU Order Report '!$C49,'Business - Dump'!$A:$A,'SKU Order Report '!O$1)</f>
        <v>0</v>
      </c>
      <c r="P49" s="3">
        <f>SUMIFS('Business - Dump'!$W:$W,'Business - Dump'!$D:$D,'SKU Order Report '!$C49,'Business - Dump'!$A:$A,'SKU Order Report '!P$1)</f>
        <v>0</v>
      </c>
      <c r="Q49" s="3">
        <f>SUMIFS('Business - Dump'!$W:$W,'Business - Dump'!$D:$D,'SKU Order Report '!$C49,'Business - Dump'!$A:$A,'SKU Order Report '!Q$1)</f>
        <v>1</v>
      </c>
      <c r="R49" s="3">
        <f>SUMIFS('Business - Dump'!$W:$W,'Business - Dump'!$D:$D,'SKU Order Report '!$C49,'Business - Dump'!$A:$A,'SKU Order Report '!R$1)</f>
        <v>0</v>
      </c>
      <c r="S49" s="3">
        <f>SUMIFS('Business - Dump'!$W:$W,'Business - Dump'!$D:$D,'SKU Order Report '!$C49,'Business - Dump'!$A:$A,'SKU Order Report '!S$1)</f>
        <v>0</v>
      </c>
      <c r="T49" s="3">
        <f>SUMIFS('Business - Dump'!$W:$W,'Business - Dump'!$D:$D,'SKU Order Report '!$C49,'Business - Dump'!$A:$A,'SKU Order Report '!T$1)</f>
        <v>0</v>
      </c>
    </row>
    <row r="50" ht="15.75" customHeight="1">
      <c r="A50" s="10" t="str">
        <f t="array" ref="A50">_xlfn.XLOOKUP(C50,'Business - Dump'!$D:$D,'Business - Dump'!$B:$B)</f>
        <v>Standing Table - All Frames</v>
      </c>
      <c r="B50" s="10" t="str">
        <f t="array" ref="B50">_xlfn.XLOOKUP(C50,'Referanc '!$A:$A,'Referanc '!$D:$D)</f>
        <v>EY HAT 1M 2S BLK SM3 V02</v>
      </c>
      <c r="C50" s="10" t="s">
        <v>368</v>
      </c>
      <c r="D50" s="3">
        <f>SUMIFS('Business - Dump'!$W:$W,'Business - Dump'!$D:$D,'SKU Order Report '!$C50,'Business - Dump'!$A:$A,'SKU Order Report '!D$1)</f>
        <v>0</v>
      </c>
      <c r="E50" s="3">
        <f>SUMIFS('Business - Dump'!$W:$W,'Business - Dump'!$D:$D,'SKU Order Report '!$C50,'Business - Dump'!$A:$A,'SKU Order Report '!E$1)</f>
        <v>0</v>
      </c>
      <c r="F50" s="3">
        <f>SUMIFS('Business - Dump'!$W:$W,'Business - Dump'!$D:$D,'SKU Order Report '!$C50,'Business - Dump'!$A:$A,'SKU Order Report '!F$1)</f>
        <v>0</v>
      </c>
      <c r="G50" s="3">
        <f>SUMIFS('Business - Dump'!$W:$W,'Business - Dump'!$D:$D,'SKU Order Report '!$C50,'Business - Dump'!$A:$A,'SKU Order Report '!G$1)</f>
        <v>1</v>
      </c>
      <c r="H50" s="3">
        <f>SUMIFS('Business - Dump'!$W:$W,'Business - Dump'!$D:$D,'SKU Order Report '!$C50,'Business - Dump'!$A:$A,'SKU Order Report '!H$1)</f>
        <v>3</v>
      </c>
      <c r="I50" s="3">
        <f>SUMIFS('Business - Dump'!$W:$W,'Business - Dump'!$D:$D,'SKU Order Report '!$C50,'Business - Dump'!$A:$A,'SKU Order Report '!I$1)</f>
        <v>0</v>
      </c>
      <c r="J50" s="3">
        <f>SUMIFS('Business - Dump'!$W:$W,'Business - Dump'!$D:$D,'SKU Order Report '!$C50,'Business - Dump'!$A:$A,'SKU Order Report '!J$1)</f>
        <v>1</v>
      </c>
      <c r="K50" s="3">
        <f>SUMIFS('Business - Dump'!$W:$W,'Business - Dump'!$D:$D,'SKU Order Report '!$C50,'Business - Dump'!$A:$A,'SKU Order Report '!K$1)</f>
        <v>3</v>
      </c>
      <c r="L50" s="3">
        <f>SUMIFS('Business - Dump'!$W:$W,'Business - Dump'!$D:$D,'SKU Order Report '!$C50,'Business - Dump'!$A:$A,'SKU Order Report '!L$1)</f>
        <v>3</v>
      </c>
      <c r="M50" s="3">
        <f>SUMIFS('Business - Dump'!$W:$W,'Business - Dump'!$D:$D,'SKU Order Report '!$C50,'Business - Dump'!$A:$A,'SKU Order Report '!M$1)</f>
        <v>4</v>
      </c>
      <c r="N50" s="3">
        <f>SUMIFS('Business - Dump'!$W:$W,'Business - Dump'!$D:$D,'SKU Order Report '!$C50,'Business - Dump'!$A:$A,'SKU Order Report '!N$1)</f>
        <v>9</v>
      </c>
      <c r="O50" s="3">
        <f>SUMIFS('Business - Dump'!$W:$W,'Business - Dump'!$D:$D,'SKU Order Report '!$C50,'Business - Dump'!$A:$A,'SKU Order Report '!O$1)</f>
        <v>10</v>
      </c>
      <c r="P50" s="3">
        <f>SUMIFS('Business - Dump'!$W:$W,'Business - Dump'!$D:$D,'SKU Order Report '!$C50,'Business - Dump'!$A:$A,'SKU Order Report '!P$1)</f>
        <v>3</v>
      </c>
      <c r="Q50" s="3">
        <f>SUMIFS('Business - Dump'!$W:$W,'Business - Dump'!$D:$D,'SKU Order Report '!$C50,'Business - Dump'!$A:$A,'SKU Order Report '!Q$1)</f>
        <v>2</v>
      </c>
      <c r="R50" s="3">
        <f>SUMIFS('Business - Dump'!$W:$W,'Business - Dump'!$D:$D,'SKU Order Report '!$C50,'Business - Dump'!$A:$A,'SKU Order Report '!R$1)</f>
        <v>2</v>
      </c>
      <c r="S50" s="3">
        <f>SUMIFS('Business - Dump'!$W:$W,'Business - Dump'!$D:$D,'SKU Order Report '!$C50,'Business - Dump'!$A:$A,'SKU Order Report '!S$1)</f>
        <v>5</v>
      </c>
      <c r="T50" s="3">
        <f>SUMIFS('Business - Dump'!$W:$W,'Business - Dump'!$D:$D,'SKU Order Report '!$C50,'Business - Dump'!$A:$A,'SKU Order Report '!T$1)</f>
        <v>11</v>
      </c>
    </row>
    <row r="51" ht="15.75" customHeight="1">
      <c r="A51" s="10" t="str">
        <f t="array" ref="A51">_xlfn.XLOOKUP(C51,'Business - Dump'!$D:$D,'Business - Dump'!$B:$B)</f>
        <v>Standing Table  - SM3</v>
      </c>
      <c r="B51" s="10" t="str">
        <f t="array" ref="B51">_xlfn.XLOOKUP(C51,'Referanc '!$A:$A,'Referanc '!$D:$D)</f>
        <v>EY HAT 1M 2S BLK SM3 V02 PW 600X1200</v>
      </c>
      <c r="C51" s="10" t="s">
        <v>370</v>
      </c>
      <c r="D51" s="3">
        <f>SUMIFS('Business - Dump'!$W:$W,'Business - Dump'!$D:$D,'SKU Order Report '!$C51,'Business - Dump'!$A:$A,'SKU Order Report '!D$1)</f>
        <v>0</v>
      </c>
      <c r="E51" s="3">
        <f>SUMIFS('Business - Dump'!$W:$W,'Business - Dump'!$D:$D,'SKU Order Report '!$C51,'Business - Dump'!$A:$A,'SKU Order Report '!E$1)</f>
        <v>0</v>
      </c>
      <c r="F51" s="3">
        <f>SUMIFS('Business - Dump'!$W:$W,'Business - Dump'!$D:$D,'SKU Order Report '!$C51,'Business - Dump'!$A:$A,'SKU Order Report '!F$1)</f>
        <v>0</v>
      </c>
      <c r="G51" s="3">
        <f>SUMIFS('Business - Dump'!$W:$W,'Business - Dump'!$D:$D,'SKU Order Report '!$C51,'Business - Dump'!$A:$A,'SKU Order Report '!G$1)</f>
        <v>1</v>
      </c>
      <c r="H51" s="3">
        <f>SUMIFS('Business - Dump'!$W:$W,'Business - Dump'!$D:$D,'SKU Order Report '!$C51,'Business - Dump'!$A:$A,'SKU Order Report '!H$1)</f>
        <v>6</v>
      </c>
      <c r="I51" s="3">
        <f>SUMIFS('Business - Dump'!$W:$W,'Business - Dump'!$D:$D,'SKU Order Report '!$C51,'Business - Dump'!$A:$A,'SKU Order Report '!I$1)</f>
        <v>4</v>
      </c>
      <c r="J51" s="3">
        <f>SUMIFS('Business - Dump'!$W:$W,'Business - Dump'!$D:$D,'SKU Order Report '!$C51,'Business - Dump'!$A:$A,'SKU Order Report '!J$1)</f>
        <v>11</v>
      </c>
      <c r="K51" s="3">
        <f>SUMIFS('Business - Dump'!$W:$W,'Business - Dump'!$D:$D,'SKU Order Report '!$C51,'Business - Dump'!$A:$A,'SKU Order Report '!K$1)</f>
        <v>1</v>
      </c>
      <c r="L51" s="3">
        <f>SUMIFS('Business - Dump'!$W:$W,'Business - Dump'!$D:$D,'SKU Order Report '!$C51,'Business - Dump'!$A:$A,'SKU Order Report '!L$1)</f>
        <v>10</v>
      </c>
      <c r="M51" s="3">
        <f>SUMIFS('Business - Dump'!$W:$W,'Business - Dump'!$D:$D,'SKU Order Report '!$C51,'Business - Dump'!$A:$A,'SKU Order Report '!M$1)</f>
        <v>11</v>
      </c>
      <c r="N51" s="3">
        <f>SUMIFS('Business - Dump'!$W:$W,'Business - Dump'!$D:$D,'SKU Order Report '!$C51,'Business - Dump'!$A:$A,'SKU Order Report '!N$1)</f>
        <v>10</v>
      </c>
      <c r="O51" s="3">
        <f>SUMIFS('Business - Dump'!$W:$W,'Business - Dump'!$D:$D,'SKU Order Report '!$C51,'Business - Dump'!$A:$A,'SKU Order Report '!O$1)</f>
        <v>11</v>
      </c>
      <c r="P51" s="3">
        <f>SUMIFS('Business - Dump'!$W:$W,'Business - Dump'!$D:$D,'SKU Order Report '!$C51,'Business - Dump'!$A:$A,'SKU Order Report '!P$1)</f>
        <v>3</v>
      </c>
      <c r="Q51" s="3">
        <f>SUMIFS('Business - Dump'!$W:$W,'Business - Dump'!$D:$D,'SKU Order Report '!$C51,'Business - Dump'!$A:$A,'SKU Order Report '!Q$1)</f>
        <v>1</v>
      </c>
      <c r="R51" s="3">
        <f>SUMIFS('Business - Dump'!$W:$W,'Business - Dump'!$D:$D,'SKU Order Report '!$C51,'Business - Dump'!$A:$A,'SKU Order Report '!R$1)</f>
        <v>1</v>
      </c>
      <c r="S51" s="3">
        <f>SUMIFS('Business - Dump'!$W:$W,'Business - Dump'!$D:$D,'SKU Order Report '!$C51,'Business - Dump'!$A:$A,'SKU Order Report '!S$1)</f>
        <v>0</v>
      </c>
      <c r="T51" s="3">
        <f>SUMIFS('Business - Dump'!$W:$W,'Business - Dump'!$D:$D,'SKU Order Report '!$C51,'Business - Dump'!$A:$A,'SKU Order Report '!T$1)</f>
        <v>6</v>
      </c>
    </row>
    <row r="52" ht="15.75" customHeight="1">
      <c r="A52" s="10" t="str">
        <f t="array" ref="A52">_xlfn.XLOOKUP(C52,'Business - Dump'!$D:$D,'Business - Dump'!$B:$B)</f>
        <v>Standing Table  - E1A</v>
      </c>
      <c r="B52" s="10" t="str">
        <f t="array" ref="B52">_xlfn.XLOOKUP(C52,'Referanc '!$A:$A,'Referanc '!$D:$D)</f>
        <v>EY HAT 2M 3S BLK E1 A V02 CF 750X1500</v>
      </c>
      <c r="C52" s="10" t="s">
        <v>369</v>
      </c>
      <c r="D52" s="3">
        <f>SUMIFS('Business - Dump'!$W:$W,'Business - Dump'!$D:$D,'SKU Order Report '!$C52,'Business - Dump'!$A:$A,'SKU Order Report '!D$1)</f>
        <v>0</v>
      </c>
      <c r="E52" s="3">
        <f>SUMIFS('Business - Dump'!$W:$W,'Business - Dump'!$D:$D,'SKU Order Report '!$C52,'Business - Dump'!$A:$A,'SKU Order Report '!E$1)</f>
        <v>0</v>
      </c>
      <c r="F52" s="3">
        <f>SUMIFS('Business - Dump'!$W:$W,'Business - Dump'!$D:$D,'SKU Order Report '!$C52,'Business - Dump'!$A:$A,'SKU Order Report '!F$1)</f>
        <v>0</v>
      </c>
      <c r="G52" s="3">
        <f>SUMIFS('Business - Dump'!$W:$W,'Business - Dump'!$D:$D,'SKU Order Report '!$C52,'Business - Dump'!$A:$A,'SKU Order Report '!G$1)</f>
        <v>1</v>
      </c>
      <c r="H52" s="3">
        <f>SUMIFS('Business - Dump'!$W:$W,'Business - Dump'!$D:$D,'SKU Order Report '!$C52,'Business - Dump'!$A:$A,'SKU Order Report '!H$1)</f>
        <v>1</v>
      </c>
      <c r="I52" s="3">
        <f>SUMIFS('Business - Dump'!$W:$W,'Business - Dump'!$D:$D,'SKU Order Report '!$C52,'Business - Dump'!$A:$A,'SKU Order Report '!I$1)</f>
        <v>1</v>
      </c>
      <c r="J52" s="3">
        <f>SUMIFS('Business - Dump'!$W:$W,'Business - Dump'!$D:$D,'SKU Order Report '!$C52,'Business - Dump'!$A:$A,'SKU Order Report '!J$1)</f>
        <v>0</v>
      </c>
      <c r="K52" s="3">
        <f>SUMIFS('Business - Dump'!$W:$W,'Business - Dump'!$D:$D,'SKU Order Report '!$C52,'Business - Dump'!$A:$A,'SKU Order Report '!K$1)</f>
        <v>0</v>
      </c>
      <c r="L52" s="3">
        <f>SUMIFS('Business - Dump'!$W:$W,'Business - Dump'!$D:$D,'SKU Order Report '!$C52,'Business - Dump'!$A:$A,'SKU Order Report '!L$1)</f>
        <v>0</v>
      </c>
      <c r="M52" s="3">
        <f>SUMIFS('Business - Dump'!$W:$W,'Business - Dump'!$D:$D,'SKU Order Report '!$C52,'Business - Dump'!$A:$A,'SKU Order Report '!M$1)</f>
        <v>0</v>
      </c>
      <c r="N52" s="3">
        <f>SUMIFS('Business - Dump'!$W:$W,'Business - Dump'!$D:$D,'SKU Order Report '!$C52,'Business - Dump'!$A:$A,'SKU Order Report '!N$1)</f>
        <v>0</v>
      </c>
      <c r="O52" s="3">
        <f>SUMIFS('Business - Dump'!$W:$W,'Business - Dump'!$D:$D,'SKU Order Report '!$C52,'Business - Dump'!$A:$A,'SKU Order Report '!O$1)</f>
        <v>0</v>
      </c>
      <c r="P52" s="3">
        <f>SUMIFS('Business - Dump'!$W:$W,'Business - Dump'!$D:$D,'SKU Order Report '!$C52,'Business - Dump'!$A:$A,'SKU Order Report '!P$1)</f>
        <v>0</v>
      </c>
      <c r="Q52" s="3">
        <f>SUMIFS('Business - Dump'!$W:$W,'Business - Dump'!$D:$D,'SKU Order Report '!$C52,'Business - Dump'!$A:$A,'SKU Order Report '!Q$1)</f>
        <v>0</v>
      </c>
      <c r="R52" s="3">
        <f>SUMIFS('Business - Dump'!$W:$W,'Business - Dump'!$D:$D,'SKU Order Report '!$C52,'Business - Dump'!$A:$A,'SKU Order Report '!R$1)</f>
        <v>0</v>
      </c>
      <c r="S52" s="3">
        <f>SUMIFS('Business - Dump'!$W:$W,'Business - Dump'!$D:$D,'SKU Order Report '!$C52,'Business - Dump'!$A:$A,'SKU Order Report '!S$1)</f>
        <v>0</v>
      </c>
      <c r="T52" s="3">
        <f>SUMIFS('Business - Dump'!$W:$W,'Business - Dump'!$D:$D,'SKU Order Report '!$C52,'Business - Dump'!$A:$A,'SKU Order Report '!T$1)</f>
        <v>0</v>
      </c>
    </row>
    <row r="53" ht="15.75" customHeight="1">
      <c r="A53" s="10" t="str">
        <f t="array" ref="A53">_xlfn.XLOOKUP(C53,'Business - Dump'!$D:$D,'Business - Dump'!$B:$B)</f>
        <v>Standing Table  - E1A</v>
      </c>
      <c r="B53" s="10" t="str">
        <f t="array" ref="B53">_xlfn.XLOOKUP(C53,'Referanc '!$A:$A,'Referanc '!$D:$D)</f>
        <v>EY HAT 2M 3S BLK E1 A V02 WG 600X1200</v>
      </c>
      <c r="C53" s="10" t="s">
        <v>372</v>
      </c>
      <c r="D53" s="3">
        <f>SUMIFS('Business - Dump'!$W:$W,'Business - Dump'!$D:$D,'SKU Order Report '!$C53,'Business - Dump'!$A:$A,'SKU Order Report '!D$1)</f>
        <v>0</v>
      </c>
      <c r="E53" s="3">
        <f>SUMIFS('Business - Dump'!$W:$W,'Business - Dump'!$D:$D,'SKU Order Report '!$C53,'Business - Dump'!$A:$A,'SKU Order Report '!E$1)</f>
        <v>0</v>
      </c>
      <c r="F53" s="3">
        <f>SUMIFS('Business - Dump'!$W:$W,'Business - Dump'!$D:$D,'SKU Order Report '!$C53,'Business - Dump'!$A:$A,'SKU Order Report '!F$1)</f>
        <v>0</v>
      </c>
      <c r="G53" s="3">
        <f>SUMIFS('Business - Dump'!$W:$W,'Business - Dump'!$D:$D,'SKU Order Report '!$C53,'Business - Dump'!$A:$A,'SKU Order Report '!G$1)</f>
        <v>1</v>
      </c>
      <c r="H53" s="3">
        <f>SUMIFS('Business - Dump'!$W:$W,'Business - Dump'!$D:$D,'SKU Order Report '!$C53,'Business - Dump'!$A:$A,'SKU Order Report '!H$1)</f>
        <v>0</v>
      </c>
      <c r="I53" s="3">
        <f>SUMIFS('Business - Dump'!$W:$W,'Business - Dump'!$D:$D,'SKU Order Report '!$C53,'Business - Dump'!$A:$A,'SKU Order Report '!I$1)</f>
        <v>1</v>
      </c>
      <c r="J53" s="3">
        <f>SUMIFS('Business - Dump'!$W:$W,'Business - Dump'!$D:$D,'SKU Order Report '!$C53,'Business - Dump'!$A:$A,'SKU Order Report '!J$1)</f>
        <v>2</v>
      </c>
      <c r="K53" s="3">
        <f>SUMIFS('Business - Dump'!$W:$W,'Business - Dump'!$D:$D,'SKU Order Report '!$C53,'Business - Dump'!$A:$A,'SKU Order Report '!K$1)</f>
        <v>0</v>
      </c>
      <c r="L53" s="3">
        <f>SUMIFS('Business - Dump'!$W:$W,'Business - Dump'!$D:$D,'SKU Order Report '!$C53,'Business - Dump'!$A:$A,'SKU Order Report '!L$1)</f>
        <v>0</v>
      </c>
      <c r="M53" s="3">
        <f>SUMIFS('Business - Dump'!$W:$W,'Business - Dump'!$D:$D,'SKU Order Report '!$C53,'Business - Dump'!$A:$A,'SKU Order Report '!M$1)</f>
        <v>0</v>
      </c>
      <c r="N53" s="3">
        <f>SUMIFS('Business - Dump'!$W:$W,'Business - Dump'!$D:$D,'SKU Order Report '!$C53,'Business - Dump'!$A:$A,'SKU Order Report '!N$1)</f>
        <v>0</v>
      </c>
      <c r="O53" s="3">
        <f>SUMIFS('Business - Dump'!$W:$W,'Business - Dump'!$D:$D,'SKU Order Report '!$C53,'Business - Dump'!$A:$A,'SKU Order Report '!O$1)</f>
        <v>2</v>
      </c>
      <c r="P53" s="3">
        <f>SUMIFS('Business - Dump'!$W:$W,'Business - Dump'!$D:$D,'SKU Order Report '!$C53,'Business - Dump'!$A:$A,'SKU Order Report '!P$1)</f>
        <v>0</v>
      </c>
      <c r="Q53" s="3">
        <f>SUMIFS('Business - Dump'!$W:$W,'Business - Dump'!$D:$D,'SKU Order Report '!$C53,'Business - Dump'!$A:$A,'SKU Order Report '!Q$1)</f>
        <v>0</v>
      </c>
      <c r="R53" s="3">
        <f>SUMIFS('Business - Dump'!$W:$W,'Business - Dump'!$D:$D,'SKU Order Report '!$C53,'Business - Dump'!$A:$A,'SKU Order Report '!R$1)</f>
        <v>0</v>
      </c>
      <c r="S53" s="3">
        <f>SUMIFS('Business - Dump'!$W:$W,'Business - Dump'!$D:$D,'SKU Order Report '!$C53,'Business - Dump'!$A:$A,'SKU Order Report '!S$1)</f>
        <v>0</v>
      </c>
      <c r="T53" s="3">
        <f>SUMIFS('Business - Dump'!$W:$W,'Business - Dump'!$D:$D,'SKU Order Report '!$C53,'Business - Dump'!$A:$A,'SKU Order Report '!T$1)</f>
        <v>0</v>
      </c>
    </row>
    <row r="54" ht="15.75" customHeight="1">
      <c r="A54" s="10" t="str">
        <f t="array" ref="A54">_xlfn.XLOOKUP(C54,'Business - Dump'!$D:$D,'Business - Dump'!$B:$B)</f>
        <v>Extension &amp; Holder</v>
      </c>
      <c r="B54" s="10" t="str">
        <f t="array" ref="B54">_xlfn.XLOOKUP(C54,'Referanc '!$A:$A,'Referanc '!$D:$D)</f>
        <v>FBA EY HOR MH01-2 WHT V02</v>
      </c>
      <c r="C54" s="10" t="s">
        <v>338</v>
      </c>
      <c r="D54" s="3">
        <f>SUMIFS('Business - Dump'!$W:$W,'Business - Dump'!$D:$D,'SKU Order Report '!$C54,'Business - Dump'!$A:$A,'SKU Order Report '!D$1)</f>
        <v>0</v>
      </c>
      <c r="E54" s="3">
        <f>SUMIFS('Business - Dump'!$W:$W,'Business - Dump'!$D:$D,'SKU Order Report '!$C54,'Business - Dump'!$A:$A,'SKU Order Report '!E$1)</f>
        <v>0</v>
      </c>
      <c r="F54" s="3">
        <f>SUMIFS('Business - Dump'!$W:$W,'Business - Dump'!$D:$D,'SKU Order Report '!$C54,'Business - Dump'!$A:$A,'SKU Order Report '!F$1)</f>
        <v>0</v>
      </c>
      <c r="G54" s="3">
        <f>SUMIFS('Business - Dump'!$W:$W,'Business - Dump'!$D:$D,'SKU Order Report '!$C54,'Business - Dump'!$A:$A,'SKU Order Report '!G$1)</f>
        <v>0</v>
      </c>
      <c r="H54" s="3">
        <f>SUMIFS('Business - Dump'!$W:$W,'Business - Dump'!$D:$D,'SKU Order Report '!$C54,'Business - Dump'!$A:$A,'SKU Order Report '!H$1)</f>
        <v>11</v>
      </c>
      <c r="I54" s="3">
        <f>SUMIFS('Business - Dump'!$W:$W,'Business - Dump'!$D:$D,'SKU Order Report '!$C54,'Business - Dump'!$A:$A,'SKU Order Report '!I$1)</f>
        <v>6</v>
      </c>
      <c r="J54" s="3">
        <f>SUMIFS('Business - Dump'!$W:$W,'Business - Dump'!$D:$D,'SKU Order Report '!$C54,'Business - Dump'!$A:$A,'SKU Order Report '!J$1)</f>
        <v>13</v>
      </c>
      <c r="K54" s="3">
        <f>SUMIFS('Business - Dump'!$W:$W,'Business - Dump'!$D:$D,'SKU Order Report '!$C54,'Business - Dump'!$A:$A,'SKU Order Report '!K$1)</f>
        <v>0</v>
      </c>
      <c r="L54" s="3">
        <f>SUMIFS('Business - Dump'!$W:$W,'Business - Dump'!$D:$D,'SKU Order Report '!$C54,'Business - Dump'!$A:$A,'SKU Order Report '!L$1)</f>
        <v>2</v>
      </c>
      <c r="M54" s="3">
        <f>SUMIFS('Business - Dump'!$W:$W,'Business - Dump'!$D:$D,'SKU Order Report '!$C54,'Business - Dump'!$A:$A,'SKU Order Report '!M$1)</f>
        <v>0</v>
      </c>
      <c r="N54" s="3">
        <f>SUMIFS('Business - Dump'!$W:$W,'Business - Dump'!$D:$D,'SKU Order Report '!$C54,'Business - Dump'!$A:$A,'SKU Order Report '!N$1)</f>
        <v>0</v>
      </c>
      <c r="O54" s="3">
        <f>SUMIFS('Business - Dump'!$W:$W,'Business - Dump'!$D:$D,'SKU Order Report '!$C54,'Business - Dump'!$A:$A,'SKU Order Report '!O$1)</f>
        <v>0</v>
      </c>
      <c r="P54" s="3">
        <f>SUMIFS('Business - Dump'!$W:$W,'Business - Dump'!$D:$D,'SKU Order Report '!$C54,'Business - Dump'!$A:$A,'SKU Order Report '!P$1)</f>
        <v>0</v>
      </c>
      <c r="Q54" s="3">
        <f>SUMIFS('Business - Dump'!$W:$W,'Business - Dump'!$D:$D,'SKU Order Report '!$C54,'Business - Dump'!$A:$A,'SKU Order Report '!Q$1)</f>
        <v>0</v>
      </c>
      <c r="R54" s="3">
        <f>SUMIFS('Business - Dump'!$W:$W,'Business - Dump'!$D:$D,'SKU Order Report '!$C54,'Business - Dump'!$A:$A,'SKU Order Report '!R$1)</f>
        <v>0</v>
      </c>
      <c r="S54" s="3">
        <f>SUMIFS('Business - Dump'!$W:$W,'Business - Dump'!$D:$D,'SKU Order Report '!$C54,'Business - Dump'!$A:$A,'SKU Order Report '!S$1)</f>
        <v>0</v>
      </c>
      <c r="T54" s="3">
        <f>SUMIFS('Business - Dump'!$W:$W,'Business - Dump'!$D:$D,'SKU Order Report '!$C54,'Business - Dump'!$A:$A,'SKU Order Report '!T$1)</f>
        <v>0</v>
      </c>
    </row>
    <row r="55" ht="15.75" customHeight="1">
      <c r="A55" s="10" t="str">
        <f t="array" ref="A55">_xlfn.XLOOKUP(C55,'Business - Dump'!$D:$D,'Business - Dump'!$B:$B)</f>
        <v>Standing Table  - E4</v>
      </c>
      <c r="B55" s="10" t="str">
        <f t="array" ref="B55">_xlfn.XLOOKUP(C55,'Referanc '!$A:$A,'Referanc '!$D:$D)</f>
        <v>EY HAT 2M2S WHT E4 V02 WG 600X1200</v>
      </c>
      <c r="C55" s="10" t="s">
        <v>375</v>
      </c>
      <c r="D55" s="3">
        <f>SUMIFS('Business - Dump'!$W:$W,'Business - Dump'!$D:$D,'SKU Order Report '!$C55,'Business - Dump'!$A:$A,'SKU Order Report '!D$1)</f>
        <v>0</v>
      </c>
      <c r="E55" s="3">
        <f>SUMIFS('Business - Dump'!$W:$W,'Business - Dump'!$D:$D,'SKU Order Report '!$C55,'Business - Dump'!$A:$A,'SKU Order Report '!E$1)</f>
        <v>0</v>
      </c>
      <c r="F55" s="3">
        <f>SUMIFS('Business - Dump'!$W:$W,'Business - Dump'!$D:$D,'SKU Order Report '!$C55,'Business - Dump'!$A:$A,'SKU Order Report '!F$1)</f>
        <v>0</v>
      </c>
      <c r="G55" s="3">
        <f>SUMIFS('Business - Dump'!$W:$W,'Business - Dump'!$D:$D,'SKU Order Report '!$C55,'Business - Dump'!$A:$A,'SKU Order Report '!G$1)</f>
        <v>0</v>
      </c>
      <c r="H55" s="3">
        <f>SUMIFS('Business - Dump'!$W:$W,'Business - Dump'!$D:$D,'SKU Order Report '!$C55,'Business - Dump'!$A:$A,'SKU Order Report '!H$1)</f>
        <v>6</v>
      </c>
      <c r="I55" s="3">
        <f>SUMIFS('Business - Dump'!$W:$W,'Business - Dump'!$D:$D,'SKU Order Report '!$C55,'Business - Dump'!$A:$A,'SKU Order Report '!I$1)</f>
        <v>6</v>
      </c>
      <c r="J55" s="3">
        <f>SUMIFS('Business - Dump'!$W:$W,'Business - Dump'!$D:$D,'SKU Order Report '!$C55,'Business - Dump'!$A:$A,'SKU Order Report '!J$1)</f>
        <v>6</v>
      </c>
      <c r="K55" s="3">
        <f>SUMIFS('Business - Dump'!$W:$W,'Business - Dump'!$D:$D,'SKU Order Report '!$C55,'Business - Dump'!$A:$A,'SKU Order Report '!K$1)</f>
        <v>0</v>
      </c>
      <c r="L55" s="3">
        <f>SUMIFS('Business - Dump'!$W:$W,'Business - Dump'!$D:$D,'SKU Order Report '!$C55,'Business - Dump'!$A:$A,'SKU Order Report '!L$1)</f>
        <v>4</v>
      </c>
      <c r="M55" s="3">
        <f>SUMIFS('Business - Dump'!$W:$W,'Business - Dump'!$D:$D,'SKU Order Report '!$C55,'Business - Dump'!$A:$A,'SKU Order Report '!M$1)</f>
        <v>2</v>
      </c>
      <c r="N55" s="3">
        <f>SUMIFS('Business - Dump'!$W:$W,'Business - Dump'!$D:$D,'SKU Order Report '!$C55,'Business - Dump'!$A:$A,'SKU Order Report '!N$1)</f>
        <v>7</v>
      </c>
      <c r="O55" s="3">
        <f>SUMIFS('Business - Dump'!$W:$W,'Business - Dump'!$D:$D,'SKU Order Report '!$C55,'Business - Dump'!$A:$A,'SKU Order Report '!O$1)</f>
        <v>7</v>
      </c>
      <c r="P55" s="3">
        <f>SUMIFS('Business - Dump'!$W:$W,'Business - Dump'!$D:$D,'SKU Order Report '!$C55,'Business - Dump'!$A:$A,'SKU Order Report '!P$1)</f>
        <v>3</v>
      </c>
      <c r="Q55" s="3">
        <f>SUMIFS('Business - Dump'!$W:$W,'Business - Dump'!$D:$D,'SKU Order Report '!$C55,'Business - Dump'!$A:$A,'SKU Order Report '!Q$1)</f>
        <v>3</v>
      </c>
      <c r="R55" s="3">
        <f>SUMIFS('Business - Dump'!$W:$W,'Business - Dump'!$D:$D,'SKU Order Report '!$C55,'Business - Dump'!$A:$A,'SKU Order Report '!R$1)</f>
        <v>8</v>
      </c>
      <c r="S55" s="3">
        <f>SUMIFS('Business - Dump'!$W:$W,'Business - Dump'!$D:$D,'SKU Order Report '!$C55,'Business - Dump'!$A:$A,'SKU Order Report '!S$1)</f>
        <v>3</v>
      </c>
      <c r="T55" s="3">
        <f>SUMIFS('Business - Dump'!$W:$W,'Business - Dump'!$D:$D,'SKU Order Report '!$C55,'Business - Dump'!$A:$A,'SKU Order Report '!T$1)</f>
        <v>6</v>
      </c>
    </row>
    <row r="56" ht="15.75" customHeight="1">
      <c r="A56" s="10" t="str">
        <f t="array" ref="A56">_xlfn.XLOOKUP(C56,'Business - Dump'!$D:$D,'Business - Dump'!$B:$B)</f>
        <v>Standing Table  - E3</v>
      </c>
      <c r="B56" s="10" t="str">
        <f t="array" ref="B56">_xlfn.XLOOKUP(C56,'Referanc '!$A:$A,'Referanc '!$D:$D)</f>
        <v>EY HAT 2M 3S BLK E3 VO3</v>
      </c>
      <c r="C56" s="10" t="s">
        <v>376</v>
      </c>
      <c r="D56" s="3">
        <f>SUMIFS('Business - Dump'!$W:$W,'Business - Dump'!$D:$D,'SKU Order Report '!$C56,'Business - Dump'!$A:$A,'SKU Order Report '!D$1)</f>
        <v>0</v>
      </c>
      <c r="E56" s="3">
        <f>SUMIFS('Business - Dump'!$W:$W,'Business - Dump'!$D:$D,'SKU Order Report '!$C56,'Business - Dump'!$A:$A,'SKU Order Report '!E$1)</f>
        <v>0</v>
      </c>
      <c r="F56" s="3">
        <f>SUMIFS('Business - Dump'!$W:$W,'Business - Dump'!$D:$D,'SKU Order Report '!$C56,'Business - Dump'!$A:$A,'SKU Order Report '!F$1)</f>
        <v>0</v>
      </c>
      <c r="G56" s="3">
        <f>SUMIFS('Business - Dump'!$W:$W,'Business - Dump'!$D:$D,'SKU Order Report '!$C56,'Business - Dump'!$A:$A,'SKU Order Report '!G$1)</f>
        <v>0</v>
      </c>
      <c r="H56" s="3">
        <f>SUMIFS('Business - Dump'!$W:$W,'Business - Dump'!$D:$D,'SKU Order Report '!$C56,'Business - Dump'!$A:$A,'SKU Order Report '!H$1)</f>
        <v>3</v>
      </c>
      <c r="I56" s="3">
        <f>SUMIFS('Business - Dump'!$W:$W,'Business - Dump'!$D:$D,'SKU Order Report '!$C56,'Business - Dump'!$A:$A,'SKU Order Report '!I$1)</f>
        <v>2</v>
      </c>
      <c r="J56" s="3">
        <f>SUMIFS('Business - Dump'!$W:$W,'Business - Dump'!$D:$D,'SKU Order Report '!$C56,'Business - Dump'!$A:$A,'SKU Order Report '!J$1)</f>
        <v>0</v>
      </c>
      <c r="K56" s="3">
        <f>SUMIFS('Business - Dump'!$W:$W,'Business - Dump'!$D:$D,'SKU Order Report '!$C56,'Business - Dump'!$A:$A,'SKU Order Report '!K$1)</f>
        <v>3</v>
      </c>
      <c r="L56" s="3">
        <f>SUMIFS('Business - Dump'!$W:$W,'Business - Dump'!$D:$D,'SKU Order Report '!$C56,'Business - Dump'!$A:$A,'SKU Order Report '!L$1)</f>
        <v>1</v>
      </c>
      <c r="M56" s="3">
        <f>SUMIFS('Business - Dump'!$W:$W,'Business - Dump'!$D:$D,'SKU Order Report '!$C56,'Business - Dump'!$A:$A,'SKU Order Report '!M$1)</f>
        <v>2</v>
      </c>
      <c r="N56" s="3">
        <f>SUMIFS('Business - Dump'!$W:$W,'Business - Dump'!$D:$D,'SKU Order Report '!$C56,'Business - Dump'!$A:$A,'SKU Order Report '!N$1)</f>
        <v>4</v>
      </c>
      <c r="O56" s="3">
        <f>SUMIFS('Business - Dump'!$W:$W,'Business - Dump'!$D:$D,'SKU Order Report '!$C56,'Business - Dump'!$A:$A,'SKU Order Report '!O$1)</f>
        <v>2</v>
      </c>
      <c r="P56" s="3">
        <f>SUMIFS('Business - Dump'!$W:$W,'Business - Dump'!$D:$D,'SKU Order Report '!$C56,'Business - Dump'!$A:$A,'SKU Order Report '!P$1)</f>
        <v>2</v>
      </c>
      <c r="Q56" s="3">
        <f>SUMIFS('Business - Dump'!$W:$W,'Business - Dump'!$D:$D,'SKU Order Report '!$C56,'Business - Dump'!$A:$A,'SKU Order Report '!Q$1)</f>
        <v>2</v>
      </c>
      <c r="R56" s="3">
        <f>SUMIFS('Business - Dump'!$W:$W,'Business - Dump'!$D:$D,'SKU Order Report '!$C56,'Business - Dump'!$A:$A,'SKU Order Report '!R$1)</f>
        <v>0</v>
      </c>
      <c r="S56" s="3">
        <f>SUMIFS('Business - Dump'!$W:$W,'Business - Dump'!$D:$D,'SKU Order Report '!$C56,'Business - Dump'!$A:$A,'SKU Order Report '!S$1)</f>
        <v>1</v>
      </c>
      <c r="T56" s="3">
        <f>SUMIFS('Business - Dump'!$W:$W,'Business - Dump'!$D:$D,'SKU Order Report '!$C56,'Business - Dump'!$A:$A,'SKU Order Report '!T$1)</f>
        <v>1</v>
      </c>
    </row>
    <row r="57" ht="15.75" customHeight="1">
      <c r="A57" s="10" t="str">
        <f t="array" ref="A57">_xlfn.XLOOKUP(C57,'Business - Dump'!$D:$D,'Business - Dump'!$B:$B)</f>
        <v>Standing Table  - E3</v>
      </c>
      <c r="B57" s="10" t="str">
        <f t="array" ref="B57">_xlfn.XLOOKUP(C57,'Referanc '!$A:$A,'Referanc '!$D:$D)</f>
        <v>EY HAT 2M 3S BLK E3 VO3 PW 600 X 1200</v>
      </c>
      <c r="C57" s="10" t="s">
        <v>377</v>
      </c>
      <c r="D57" s="3">
        <f>SUMIFS('Business - Dump'!$W:$W,'Business - Dump'!$D:$D,'SKU Order Report '!$C57,'Business - Dump'!$A:$A,'SKU Order Report '!D$1)</f>
        <v>0</v>
      </c>
      <c r="E57" s="3">
        <f>SUMIFS('Business - Dump'!$W:$W,'Business - Dump'!$D:$D,'SKU Order Report '!$C57,'Business - Dump'!$A:$A,'SKU Order Report '!E$1)</f>
        <v>0</v>
      </c>
      <c r="F57" s="3">
        <f>SUMIFS('Business - Dump'!$W:$W,'Business - Dump'!$D:$D,'SKU Order Report '!$C57,'Business - Dump'!$A:$A,'SKU Order Report '!F$1)</f>
        <v>0</v>
      </c>
      <c r="G57" s="3">
        <f>SUMIFS('Business - Dump'!$W:$W,'Business - Dump'!$D:$D,'SKU Order Report '!$C57,'Business - Dump'!$A:$A,'SKU Order Report '!G$1)</f>
        <v>0</v>
      </c>
      <c r="H57" s="3">
        <f>SUMIFS('Business - Dump'!$W:$W,'Business - Dump'!$D:$D,'SKU Order Report '!$C57,'Business - Dump'!$A:$A,'SKU Order Report '!H$1)</f>
        <v>3</v>
      </c>
      <c r="I57" s="3">
        <f>SUMIFS('Business - Dump'!$W:$W,'Business - Dump'!$D:$D,'SKU Order Report '!$C57,'Business - Dump'!$A:$A,'SKU Order Report '!I$1)</f>
        <v>0</v>
      </c>
      <c r="J57" s="3">
        <f>SUMIFS('Business - Dump'!$W:$W,'Business - Dump'!$D:$D,'SKU Order Report '!$C57,'Business - Dump'!$A:$A,'SKU Order Report '!J$1)</f>
        <v>1</v>
      </c>
      <c r="K57" s="3">
        <f>SUMIFS('Business - Dump'!$W:$W,'Business - Dump'!$D:$D,'SKU Order Report '!$C57,'Business - Dump'!$A:$A,'SKU Order Report '!K$1)</f>
        <v>1</v>
      </c>
      <c r="L57" s="3">
        <f>SUMIFS('Business - Dump'!$W:$W,'Business - Dump'!$D:$D,'SKU Order Report '!$C57,'Business - Dump'!$A:$A,'SKU Order Report '!L$1)</f>
        <v>0</v>
      </c>
      <c r="M57" s="3">
        <f>SUMIFS('Business - Dump'!$W:$W,'Business - Dump'!$D:$D,'SKU Order Report '!$C57,'Business - Dump'!$A:$A,'SKU Order Report '!M$1)</f>
        <v>0</v>
      </c>
      <c r="N57" s="3">
        <f>SUMIFS('Business - Dump'!$W:$W,'Business - Dump'!$D:$D,'SKU Order Report '!$C57,'Business - Dump'!$A:$A,'SKU Order Report '!N$1)</f>
        <v>1</v>
      </c>
      <c r="O57" s="3">
        <f>SUMIFS('Business - Dump'!$W:$W,'Business - Dump'!$D:$D,'SKU Order Report '!$C57,'Business - Dump'!$A:$A,'SKU Order Report '!O$1)</f>
        <v>0</v>
      </c>
      <c r="P57" s="3">
        <f>SUMIFS('Business - Dump'!$W:$W,'Business - Dump'!$D:$D,'SKU Order Report '!$C57,'Business - Dump'!$A:$A,'SKU Order Report '!P$1)</f>
        <v>0</v>
      </c>
      <c r="Q57" s="3">
        <f>SUMIFS('Business - Dump'!$W:$W,'Business - Dump'!$D:$D,'SKU Order Report '!$C57,'Business - Dump'!$A:$A,'SKU Order Report '!Q$1)</f>
        <v>2</v>
      </c>
      <c r="R57" s="3">
        <f>SUMIFS('Business - Dump'!$W:$W,'Business - Dump'!$D:$D,'SKU Order Report '!$C57,'Business - Dump'!$A:$A,'SKU Order Report '!R$1)</f>
        <v>1</v>
      </c>
      <c r="S57" s="3">
        <f>SUMIFS('Business - Dump'!$W:$W,'Business - Dump'!$D:$D,'SKU Order Report '!$C57,'Business - Dump'!$A:$A,'SKU Order Report '!S$1)</f>
        <v>0</v>
      </c>
      <c r="T57" s="3">
        <f>SUMIFS('Business - Dump'!$W:$W,'Business - Dump'!$D:$D,'SKU Order Report '!$C57,'Business - Dump'!$A:$A,'SKU Order Report '!T$1)</f>
        <v>3</v>
      </c>
    </row>
    <row r="58" ht="15.75" customHeight="1">
      <c r="A58" s="10" t="str">
        <f t="array" ref="A58">_xlfn.XLOOKUP(C58,'Business - Dump'!$D:$D,'Business - Dump'!$B:$B)</f>
        <v>Standing Table  - SM3</v>
      </c>
      <c r="B58" s="10" t="str">
        <f t="array" ref="B58">_xlfn.XLOOKUP(C58,'Referanc '!$A:$A,'Referanc '!$D:$D)</f>
        <v>EY HAT 1M 2S BLK SM3 V02 CF 600X1200</v>
      </c>
      <c r="C58" s="10" t="s">
        <v>379</v>
      </c>
      <c r="D58" s="3">
        <f>SUMIFS('Business - Dump'!$W:$W,'Business - Dump'!$D:$D,'SKU Order Report '!$C58,'Business - Dump'!$A:$A,'SKU Order Report '!D$1)</f>
        <v>0</v>
      </c>
      <c r="E58" s="3">
        <f>SUMIFS('Business - Dump'!$W:$W,'Business - Dump'!$D:$D,'SKU Order Report '!$C58,'Business - Dump'!$A:$A,'SKU Order Report '!E$1)</f>
        <v>0</v>
      </c>
      <c r="F58" s="3">
        <f>SUMIFS('Business - Dump'!$W:$W,'Business - Dump'!$D:$D,'SKU Order Report '!$C58,'Business - Dump'!$A:$A,'SKU Order Report '!F$1)</f>
        <v>0</v>
      </c>
      <c r="G58" s="3">
        <f>SUMIFS('Business - Dump'!$W:$W,'Business - Dump'!$D:$D,'SKU Order Report '!$C58,'Business - Dump'!$A:$A,'SKU Order Report '!G$1)</f>
        <v>0</v>
      </c>
      <c r="H58" s="3">
        <f>SUMIFS('Business - Dump'!$W:$W,'Business - Dump'!$D:$D,'SKU Order Report '!$C58,'Business - Dump'!$A:$A,'SKU Order Report '!H$1)</f>
        <v>3</v>
      </c>
      <c r="I58" s="3">
        <f>SUMIFS('Business - Dump'!$W:$W,'Business - Dump'!$D:$D,'SKU Order Report '!$C58,'Business - Dump'!$A:$A,'SKU Order Report '!I$1)</f>
        <v>0</v>
      </c>
      <c r="J58" s="3">
        <f>SUMIFS('Business - Dump'!$W:$W,'Business - Dump'!$D:$D,'SKU Order Report '!$C58,'Business - Dump'!$A:$A,'SKU Order Report '!J$1)</f>
        <v>4</v>
      </c>
      <c r="K58" s="3">
        <f>SUMIFS('Business - Dump'!$W:$W,'Business - Dump'!$D:$D,'SKU Order Report '!$C58,'Business - Dump'!$A:$A,'SKU Order Report '!K$1)</f>
        <v>1</v>
      </c>
      <c r="L58" s="3">
        <f>SUMIFS('Business - Dump'!$W:$W,'Business - Dump'!$D:$D,'SKU Order Report '!$C58,'Business - Dump'!$A:$A,'SKU Order Report '!L$1)</f>
        <v>0</v>
      </c>
      <c r="M58" s="3">
        <f>SUMIFS('Business - Dump'!$W:$W,'Business - Dump'!$D:$D,'SKU Order Report '!$C58,'Business - Dump'!$A:$A,'SKU Order Report '!M$1)</f>
        <v>2</v>
      </c>
      <c r="N58" s="3">
        <f>SUMIFS('Business - Dump'!$W:$W,'Business - Dump'!$D:$D,'SKU Order Report '!$C58,'Business - Dump'!$A:$A,'SKU Order Report '!N$1)</f>
        <v>4</v>
      </c>
      <c r="O58" s="3">
        <f>SUMIFS('Business - Dump'!$W:$W,'Business - Dump'!$D:$D,'SKU Order Report '!$C58,'Business - Dump'!$A:$A,'SKU Order Report '!O$1)</f>
        <v>4</v>
      </c>
      <c r="P58" s="3">
        <f>SUMIFS('Business - Dump'!$W:$W,'Business - Dump'!$D:$D,'SKU Order Report '!$C58,'Business - Dump'!$A:$A,'SKU Order Report '!P$1)</f>
        <v>0</v>
      </c>
      <c r="Q58" s="3">
        <f>SUMIFS('Business - Dump'!$W:$W,'Business - Dump'!$D:$D,'SKU Order Report '!$C58,'Business - Dump'!$A:$A,'SKU Order Report '!Q$1)</f>
        <v>0</v>
      </c>
      <c r="R58" s="3">
        <f>SUMIFS('Business - Dump'!$W:$W,'Business - Dump'!$D:$D,'SKU Order Report '!$C58,'Business - Dump'!$A:$A,'SKU Order Report '!R$1)</f>
        <v>2</v>
      </c>
      <c r="S58" s="3">
        <f>SUMIFS('Business - Dump'!$W:$W,'Business - Dump'!$D:$D,'SKU Order Report '!$C58,'Business - Dump'!$A:$A,'SKU Order Report '!S$1)</f>
        <v>0</v>
      </c>
      <c r="T58" s="3">
        <f>SUMIFS('Business - Dump'!$W:$W,'Business - Dump'!$D:$D,'SKU Order Report '!$C58,'Business - Dump'!$A:$A,'SKU Order Report '!T$1)</f>
        <v>1</v>
      </c>
    </row>
    <row r="59" ht="15.75" customHeight="1">
      <c r="A59" s="10" t="str">
        <f t="array" ref="A59">_xlfn.XLOOKUP(C59,'Business - Dump'!$D:$D,'Business - Dump'!$B:$B)</f>
        <v>Standing Table  - E3</v>
      </c>
      <c r="B59" s="10" t="str">
        <f t="array" ref="B59">_xlfn.XLOOKUP(C59,'Referanc '!$A:$A,'Referanc '!$D:$D)</f>
        <v>EY HAT 2M 3S WHT E3 V03 PW 600X1200</v>
      </c>
      <c r="C59" s="10" t="s">
        <v>381</v>
      </c>
      <c r="D59" s="3">
        <f>SUMIFS('Business - Dump'!$W:$W,'Business - Dump'!$D:$D,'SKU Order Report '!$C59,'Business - Dump'!$A:$A,'SKU Order Report '!D$1)</f>
        <v>0</v>
      </c>
      <c r="E59" s="3">
        <f>SUMIFS('Business - Dump'!$W:$W,'Business - Dump'!$D:$D,'SKU Order Report '!$C59,'Business - Dump'!$A:$A,'SKU Order Report '!E$1)</f>
        <v>0</v>
      </c>
      <c r="F59" s="3">
        <f>SUMIFS('Business - Dump'!$W:$W,'Business - Dump'!$D:$D,'SKU Order Report '!$C59,'Business - Dump'!$A:$A,'SKU Order Report '!F$1)</f>
        <v>0</v>
      </c>
      <c r="G59" s="3">
        <f>SUMIFS('Business - Dump'!$W:$W,'Business - Dump'!$D:$D,'SKU Order Report '!$C59,'Business - Dump'!$A:$A,'SKU Order Report '!G$1)</f>
        <v>0</v>
      </c>
      <c r="H59" s="3">
        <f>SUMIFS('Business - Dump'!$W:$W,'Business - Dump'!$D:$D,'SKU Order Report '!$C59,'Business - Dump'!$A:$A,'SKU Order Report '!H$1)</f>
        <v>2</v>
      </c>
      <c r="I59" s="3">
        <f>SUMIFS('Business - Dump'!$W:$W,'Business - Dump'!$D:$D,'SKU Order Report '!$C59,'Business - Dump'!$A:$A,'SKU Order Report '!I$1)</f>
        <v>1</v>
      </c>
      <c r="J59" s="3">
        <f>SUMIFS('Business - Dump'!$W:$W,'Business - Dump'!$D:$D,'SKU Order Report '!$C59,'Business - Dump'!$A:$A,'SKU Order Report '!J$1)</f>
        <v>2</v>
      </c>
      <c r="K59" s="3">
        <f>SUMIFS('Business - Dump'!$W:$W,'Business - Dump'!$D:$D,'SKU Order Report '!$C59,'Business - Dump'!$A:$A,'SKU Order Report '!K$1)</f>
        <v>1</v>
      </c>
      <c r="L59" s="3">
        <f>SUMIFS('Business - Dump'!$W:$W,'Business - Dump'!$D:$D,'SKU Order Report '!$C59,'Business - Dump'!$A:$A,'SKU Order Report '!L$1)</f>
        <v>0</v>
      </c>
      <c r="M59" s="3">
        <f>SUMIFS('Business - Dump'!$W:$W,'Business - Dump'!$D:$D,'SKU Order Report '!$C59,'Business - Dump'!$A:$A,'SKU Order Report '!M$1)</f>
        <v>1</v>
      </c>
      <c r="N59" s="3">
        <f>SUMIFS('Business - Dump'!$W:$W,'Business - Dump'!$D:$D,'SKU Order Report '!$C59,'Business - Dump'!$A:$A,'SKU Order Report '!N$1)</f>
        <v>0</v>
      </c>
      <c r="O59" s="3">
        <f>SUMIFS('Business - Dump'!$W:$W,'Business - Dump'!$D:$D,'SKU Order Report '!$C59,'Business - Dump'!$A:$A,'SKU Order Report '!O$1)</f>
        <v>4</v>
      </c>
      <c r="P59" s="3">
        <f>SUMIFS('Business - Dump'!$W:$W,'Business - Dump'!$D:$D,'SKU Order Report '!$C59,'Business - Dump'!$A:$A,'SKU Order Report '!P$1)</f>
        <v>0</v>
      </c>
      <c r="Q59" s="3">
        <f>SUMIFS('Business - Dump'!$W:$W,'Business - Dump'!$D:$D,'SKU Order Report '!$C59,'Business - Dump'!$A:$A,'SKU Order Report '!Q$1)</f>
        <v>0</v>
      </c>
      <c r="R59" s="3">
        <f>SUMIFS('Business - Dump'!$W:$W,'Business - Dump'!$D:$D,'SKU Order Report '!$C59,'Business - Dump'!$A:$A,'SKU Order Report '!R$1)</f>
        <v>0</v>
      </c>
      <c r="S59" s="3">
        <f>SUMIFS('Business - Dump'!$W:$W,'Business - Dump'!$D:$D,'SKU Order Report '!$C59,'Business - Dump'!$A:$A,'SKU Order Report '!S$1)</f>
        <v>0</v>
      </c>
      <c r="T59" s="3">
        <f>SUMIFS('Business - Dump'!$W:$W,'Business - Dump'!$D:$D,'SKU Order Report '!$C59,'Business - Dump'!$A:$A,'SKU Order Report '!T$1)</f>
        <v>0</v>
      </c>
    </row>
    <row r="60" ht="15.75" customHeight="1">
      <c r="A60" s="10" t="str">
        <f t="array" ref="A60">_xlfn.XLOOKUP(C60,'Business - Dump'!$D:$D,'Business - Dump'!$B:$B)</f>
        <v>Standing Table  - SM3</v>
      </c>
      <c r="B60" s="10" t="str">
        <f t="array" ref="B60">_xlfn.XLOOKUP(C60,'Referanc '!$A:$A,'Referanc '!$D:$D)</f>
        <v>EY HAT 1M 2S BLK SM3 V02 WG 750x1500</v>
      </c>
      <c r="C60" s="10" t="s">
        <v>383</v>
      </c>
      <c r="D60" s="3">
        <f>SUMIFS('Business - Dump'!$W:$W,'Business - Dump'!$D:$D,'SKU Order Report '!$C60,'Business - Dump'!$A:$A,'SKU Order Report '!D$1)</f>
        <v>0</v>
      </c>
      <c r="E60" s="3">
        <f>SUMIFS('Business - Dump'!$W:$W,'Business - Dump'!$D:$D,'SKU Order Report '!$C60,'Business - Dump'!$A:$A,'SKU Order Report '!E$1)</f>
        <v>0</v>
      </c>
      <c r="F60" s="3">
        <f>SUMIFS('Business - Dump'!$W:$W,'Business - Dump'!$D:$D,'SKU Order Report '!$C60,'Business - Dump'!$A:$A,'SKU Order Report '!F$1)</f>
        <v>0</v>
      </c>
      <c r="G60" s="3">
        <f>SUMIFS('Business - Dump'!$W:$W,'Business - Dump'!$D:$D,'SKU Order Report '!$C60,'Business - Dump'!$A:$A,'SKU Order Report '!G$1)</f>
        <v>0</v>
      </c>
      <c r="H60" s="3">
        <f>SUMIFS('Business - Dump'!$W:$W,'Business - Dump'!$D:$D,'SKU Order Report '!$C60,'Business - Dump'!$A:$A,'SKU Order Report '!H$1)</f>
        <v>2</v>
      </c>
      <c r="I60" s="3">
        <f>SUMIFS('Business - Dump'!$W:$W,'Business - Dump'!$D:$D,'SKU Order Report '!$C60,'Business - Dump'!$A:$A,'SKU Order Report '!I$1)</f>
        <v>1</v>
      </c>
      <c r="J60" s="3">
        <f>SUMIFS('Business - Dump'!$W:$W,'Business - Dump'!$D:$D,'SKU Order Report '!$C60,'Business - Dump'!$A:$A,'SKU Order Report '!J$1)</f>
        <v>5</v>
      </c>
      <c r="K60" s="3">
        <f>SUMIFS('Business - Dump'!$W:$W,'Business - Dump'!$D:$D,'SKU Order Report '!$C60,'Business - Dump'!$A:$A,'SKU Order Report '!K$1)</f>
        <v>1</v>
      </c>
      <c r="L60" s="3">
        <f>SUMIFS('Business - Dump'!$W:$W,'Business - Dump'!$D:$D,'SKU Order Report '!$C60,'Business - Dump'!$A:$A,'SKU Order Report '!L$1)</f>
        <v>1</v>
      </c>
      <c r="M60" s="3">
        <f>SUMIFS('Business - Dump'!$W:$W,'Business - Dump'!$D:$D,'SKU Order Report '!$C60,'Business - Dump'!$A:$A,'SKU Order Report '!M$1)</f>
        <v>0</v>
      </c>
      <c r="N60" s="3">
        <f>SUMIFS('Business - Dump'!$W:$W,'Business - Dump'!$D:$D,'SKU Order Report '!$C60,'Business - Dump'!$A:$A,'SKU Order Report '!N$1)</f>
        <v>3</v>
      </c>
      <c r="O60" s="3">
        <f>SUMIFS('Business - Dump'!$W:$W,'Business - Dump'!$D:$D,'SKU Order Report '!$C60,'Business - Dump'!$A:$A,'SKU Order Report '!O$1)</f>
        <v>1</v>
      </c>
      <c r="P60" s="3">
        <f>SUMIFS('Business - Dump'!$W:$W,'Business - Dump'!$D:$D,'SKU Order Report '!$C60,'Business - Dump'!$A:$A,'SKU Order Report '!P$1)</f>
        <v>1</v>
      </c>
      <c r="Q60" s="3">
        <f>SUMIFS('Business - Dump'!$W:$W,'Business - Dump'!$D:$D,'SKU Order Report '!$C60,'Business - Dump'!$A:$A,'SKU Order Report '!Q$1)</f>
        <v>2</v>
      </c>
      <c r="R60" s="3">
        <f>SUMIFS('Business - Dump'!$W:$W,'Business - Dump'!$D:$D,'SKU Order Report '!$C60,'Business - Dump'!$A:$A,'SKU Order Report '!R$1)</f>
        <v>3</v>
      </c>
      <c r="S60" s="3">
        <f>SUMIFS('Business - Dump'!$W:$W,'Business - Dump'!$D:$D,'SKU Order Report '!$C60,'Business - Dump'!$A:$A,'SKU Order Report '!S$1)</f>
        <v>1</v>
      </c>
      <c r="T60" s="3">
        <f>SUMIFS('Business - Dump'!$W:$W,'Business - Dump'!$D:$D,'SKU Order Report '!$C60,'Business - Dump'!$A:$A,'SKU Order Report '!T$1)</f>
        <v>2</v>
      </c>
    </row>
    <row r="61" ht="15.75" customHeight="1">
      <c r="A61" s="10" t="str">
        <f t="array" ref="A61">_xlfn.XLOOKUP(C61,'Business - Dump'!$D:$D,'Business - Dump'!$B:$B)</f>
        <v>Standing Table  - SM3</v>
      </c>
      <c r="B61" s="10" t="str">
        <f t="array" ref="B61">_xlfn.XLOOKUP(C61,'Referanc '!$A:$A,'Referanc '!$D:$D)</f>
        <v>EY HAT 1M 2S BLK SM3 V02 CF 750x1500</v>
      </c>
      <c r="C61" s="10" t="s">
        <v>386</v>
      </c>
      <c r="D61" s="3">
        <f>SUMIFS('Business - Dump'!$W:$W,'Business - Dump'!$D:$D,'SKU Order Report '!$C61,'Business - Dump'!$A:$A,'SKU Order Report '!D$1)</f>
        <v>0</v>
      </c>
      <c r="E61" s="3">
        <f>SUMIFS('Business - Dump'!$W:$W,'Business - Dump'!$D:$D,'SKU Order Report '!$C61,'Business - Dump'!$A:$A,'SKU Order Report '!E$1)</f>
        <v>0</v>
      </c>
      <c r="F61" s="3">
        <f>SUMIFS('Business - Dump'!$W:$W,'Business - Dump'!$D:$D,'SKU Order Report '!$C61,'Business - Dump'!$A:$A,'SKU Order Report '!F$1)</f>
        <v>0</v>
      </c>
      <c r="G61" s="3">
        <f>SUMIFS('Business - Dump'!$W:$W,'Business - Dump'!$D:$D,'SKU Order Report '!$C61,'Business - Dump'!$A:$A,'SKU Order Report '!G$1)</f>
        <v>0</v>
      </c>
      <c r="H61" s="3">
        <f>SUMIFS('Business - Dump'!$W:$W,'Business - Dump'!$D:$D,'SKU Order Report '!$C61,'Business - Dump'!$A:$A,'SKU Order Report '!H$1)</f>
        <v>2</v>
      </c>
      <c r="I61" s="3">
        <f>SUMIFS('Business - Dump'!$W:$W,'Business - Dump'!$D:$D,'SKU Order Report '!$C61,'Business - Dump'!$A:$A,'SKU Order Report '!I$1)</f>
        <v>3</v>
      </c>
      <c r="J61" s="3">
        <f>SUMIFS('Business - Dump'!$W:$W,'Business - Dump'!$D:$D,'SKU Order Report '!$C61,'Business - Dump'!$A:$A,'SKU Order Report '!J$1)</f>
        <v>0</v>
      </c>
      <c r="K61" s="3">
        <f>SUMIFS('Business - Dump'!$W:$W,'Business - Dump'!$D:$D,'SKU Order Report '!$C61,'Business - Dump'!$A:$A,'SKU Order Report '!K$1)</f>
        <v>0</v>
      </c>
      <c r="L61" s="3">
        <f>SUMIFS('Business - Dump'!$W:$W,'Business - Dump'!$D:$D,'SKU Order Report '!$C61,'Business - Dump'!$A:$A,'SKU Order Report '!L$1)</f>
        <v>0</v>
      </c>
      <c r="M61" s="3">
        <f>SUMIFS('Business - Dump'!$W:$W,'Business - Dump'!$D:$D,'SKU Order Report '!$C61,'Business - Dump'!$A:$A,'SKU Order Report '!M$1)</f>
        <v>0</v>
      </c>
      <c r="N61" s="3">
        <f>SUMIFS('Business - Dump'!$W:$W,'Business - Dump'!$D:$D,'SKU Order Report '!$C61,'Business - Dump'!$A:$A,'SKU Order Report '!N$1)</f>
        <v>0</v>
      </c>
      <c r="O61" s="3">
        <f>SUMIFS('Business - Dump'!$W:$W,'Business - Dump'!$D:$D,'SKU Order Report '!$C61,'Business - Dump'!$A:$A,'SKU Order Report '!O$1)</f>
        <v>0</v>
      </c>
      <c r="P61" s="3">
        <f>SUMIFS('Business - Dump'!$W:$W,'Business - Dump'!$D:$D,'SKU Order Report '!$C61,'Business - Dump'!$A:$A,'SKU Order Report '!P$1)</f>
        <v>0</v>
      </c>
      <c r="Q61" s="3">
        <f>SUMIFS('Business - Dump'!$W:$W,'Business - Dump'!$D:$D,'SKU Order Report '!$C61,'Business - Dump'!$A:$A,'SKU Order Report '!Q$1)</f>
        <v>0</v>
      </c>
      <c r="R61" s="3">
        <f>SUMIFS('Business - Dump'!$W:$W,'Business - Dump'!$D:$D,'SKU Order Report '!$C61,'Business - Dump'!$A:$A,'SKU Order Report '!R$1)</f>
        <v>0</v>
      </c>
      <c r="S61" s="3">
        <f>SUMIFS('Business - Dump'!$W:$W,'Business - Dump'!$D:$D,'SKU Order Report '!$C61,'Business - Dump'!$A:$A,'SKU Order Report '!S$1)</f>
        <v>0</v>
      </c>
      <c r="T61" s="3">
        <f>SUMIFS('Business - Dump'!$W:$W,'Business - Dump'!$D:$D,'SKU Order Report '!$C61,'Business - Dump'!$A:$A,'SKU Order Report '!T$1)</f>
        <v>0</v>
      </c>
    </row>
    <row r="62" ht="15.75" customHeight="1">
      <c r="A62" s="10" t="str">
        <f t="array" ref="A62">_xlfn.XLOOKUP(C62,'Business - Dump'!$D:$D,'Business - Dump'!$B:$B)</f>
        <v>Standing Table - All Frames</v>
      </c>
      <c r="B62" s="10" t="str">
        <f t="array" ref="B62">_xlfn.XLOOKUP(C62,'Referanc '!$A:$A,'Referanc '!$D:$D)</f>
        <v>EY HAT 2M 3S BLK E1 A V02</v>
      </c>
      <c r="C62" s="10" t="s">
        <v>387</v>
      </c>
      <c r="D62" s="3">
        <f>SUMIFS('Business - Dump'!$W:$W,'Business - Dump'!$D:$D,'SKU Order Report '!$C62,'Business - Dump'!$A:$A,'SKU Order Report '!D$1)</f>
        <v>0</v>
      </c>
      <c r="E62" s="3">
        <f>SUMIFS('Business - Dump'!$W:$W,'Business - Dump'!$D:$D,'SKU Order Report '!$C62,'Business - Dump'!$A:$A,'SKU Order Report '!E$1)</f>
        <v>0</v>
      </c>
      <c r="F62" s="3">
        <f>SUMIFS('Business - Dump'!$W:$W,'Business - Dump'!$D:$D,'SKU Order Report '!$C62,'Business - Dump'!$A:$A,'SKU Order Report '!F$1)</f>
        <v>0</v>
      </c>
      <c r="G62" s="3">
        <f>SUMIFS('Business - Dump'!$W:$W,'Business - Dump'!$D:$D,'SKU Order Report '!$C62,'Business - Dump'!$A:$A,'SKU Order Report '!G$1)</f>
        <v>0</v>
      </c>
      <c r="H62" s="3">
        <f>SUMIFS('Business - Dump'!$W:$W,'Business - Dump'!$D:$D,'SKU Order Report '!$C62,'Business - Dump'!$A:$A,'SKU Order Report '!H$1)</f>
        <v>2</v>
      </c>
      <c r="I62" s="3">
        <f>SUMIFS('Business - Dump'!$W:$W,'Business - Dump'!$D:$D,'SKU Order Report '!$C62,'Business - Dump'!$A:$A,'SKU Order Report '!I$1)</f>
        <v>3</v>
      </c>
      <c r="J62" s="3">
        <f>SUMIFS('Business - Dump'!$W:$W,'Business - Dump'!$D:$D,'SKU Order Report '!$C62,'Business - Dump'!$A:$A,'SKU Order Report '!J$1)</f>
        <v>2</v>
      </c>
      <c r="K62" s="3">
        <f>SUMIFS('Business - Dump'!$W:$W,'Business - Dump'!$D:$D,'SKU Order Report '!$C62,'Business - Dump'!$A:$A,'SKU Order Report '!K$1)</f>
        <v>1</v>
      </c>
      <c r="L62" s="3">
        <f>SUMIFS('Business - Dump'!$W:$W,'Business - Dump'!$D:$D,'SKU Order Report '!$C62,'Business - Dump'!$A:$A,'SKU Order Report '!L$1)</f>
        <v>5</v>
      </c>
      <c r="M62" s="3">
        <f>SUMIFS('Business - Dump'!$W:$W,'Business - Dump'!$D:$D,'SKU Order Report '!$C62,'Business - Dump'!$A:$A,'SKU Order Report '!M$1)</f>
        <v>3</v>
      </c>
      <c r="N62" s="3">
        <f>SUMIFS('Business - Dump'!$W:$W,'Business - Dump'!$D:$D,'SKU Order Report '!$C62,'Business - Dump'!$A:$A,'SKU Order Report '!N$1)</f>
        <v>9</v>
      </c>
      <c r="O62" s="3">
        <f>SUMIFS('Business - Dump'!$W:$W,'Business - Dump'!$D:$D,'SKU Order Report '!$C62,'Business - Dump'!$A:$A,'SKU Order Report '!O$1)</f>
        <v>3</v>
      </c>
      <c r="P62" s="3">
        <f>SUMIFS('Business - Dump'!$W:$W,'Business - Dump'!$D:$D,'SKU Order Report '!$C62,'Business - Dump'!$A:$A,'SKU Order Report '!P$1)</f>
        <v>1</v>
      </c>
      <c r="Q62" s="3">
        <f>SUMIFS('Business - Dump'!$W:$W,'Business - Dump'!$D:$D,'SKU Order Report '!$C62,'Business - Dump'!$A:$A,'SKU Order Report '!Q$1)</f>
        <v>2</v>
      </c>
      <c r="R62" s="3">
        <f>SUMIFS('Business - Dump'!$W:$W,'Business - Dump'!$D:$D,'SKU Order Report '!$C62,'Business - Dump'!$A:$A,'SKU Order Report '!R$1)</f>
        <v>1</v>
      </c>
      <c r="S62" s="3">
        <f>SUMIFS('Business - Dump'!$W:$W,'Business - Dump'!$D:$D,'SKU Order Report '!$C62,'Business - Dump'!$A:$A,'SKU Order Report '!S$1)</f>
        <v>1</v>
      </c>
      <c r="T62" s="3">
        <f>SUMIFS('Business - Dump'!$W:$W,'Business - Dump'!$D:$D,'SKU Order Report '!$C62,'Business - Dump'!$A:$A,'SKU Order Report '!T$1)</f>
        <v>0</v>
      </c>
    </row>
    <row r="63" ht="15.75" customHeight="1">
      <c r="A63" s="10" t="str">
        <f t="array" ref="A63">_xlfn.XLOOKUP(C63,'Business - Dump'!$D:$D,'Business - Dump'!$B:$B)</f>
        <v>Standing Table  - E1A</v>
      </c>
      <c r="B63" s="10" t="str">
        <f t="array" ref="B63">_xlfn.XLOOKUP(C63,'Referanc '!$A:$A,'Referanc '!$D:$D)</f>
        <v>EY HAT 2M 3S WHT E1A V02 PW 750X1500</v>
      </c>
      <c r="C63" s="10" t="s">
        <v>374</v>
      </c>
      <c r="D63" s="3">
        <f>SUMIFS('Business - Dump'!$W:$W,'Business - Dump'!$D:$D,'SKU Order Report '!$C63,'Business - Dump'!$A:$A,'SKU Order Report '!D$1)</f>
        <v>0</v>
      </c>
      <c r="E63" s="3">
        <f>SUMIFS('Business - Dump'!$W:$W,'Business - Dump'!$D:$D,'SKU Order Report '!$C63,'Business - Dump'!$A:$A,'SKU Order Report '!E$1)</f>
        <v>0</v>
      </c>
      <c r="F63" s="3">
        <f>SUMIFS('Business - Dump'!$W:$W,'Business - Dump'!$D:$D,'SKU Order Report '!$C63,'Business - Dump'!$A:$A,'SKU Order Report '!F$1)</f>
        <v>0</v>
      </c>
      <c r="G63" s="3">
        <f>SUMIFS('Business - Dump'!$W:$W,'Business - Dump'!$D:$D,'SKU Order Report '!$C63,'Business - Dump'!$A:$A,'SKU Order Report '!G$1)</f>
        <v>0</v>
      </c>
      <c r="H63" s="3">
        <f>SUMIFS('Business - Dump'!$W:$W,'Business - Dump'!$D:$D,'SKU Order Report '!$C63,'Business - Dump'!$A:$A,'SKU Order Report '!H$1)</f>
        <v>2</v>
      </c>
      <c r="I63" s="3">
        <f>SUMIFS('Business - Dump'!$W:$W,'Business - Dump'!$D:$D,'SKU Order Report '!$C63,'Business - Dump'!$A:$A,'SKU Order Report '!I$1)</f>
        <v>0</v>
      </c>
      <c r="J63" s="3">
        <f>SUMIFS('Business - Dump'!$W:$W,'Business - Dump'!$D:$D,'SKU Order Report '!$C63,'Business - Dump'!$A:$A,'SKU Order Report '!J$1)</f>
        <v>0</v>
      </c>
      <c r="K63" s="3">
        <f>SUMIFS('Business - Dump'!$W:$W,'Business - Dump'!$D:$D,'SKU Order Report '!$C63,'Business - Dump'!$A:$A,'SKU Order Report '!K$1)</f>
        <v>0</v>
      </c>
      <c r="L63" s="3">
        <f>SUMIFS('Business - Dump'!$W:$W,'Business - Dump'!$D:$D,'SKU Order Report '!$C63,'Business - Dump'!$A:$A,'SKU Order Report '!L$1)</f>
        <v>0</v>
      </c>
      <c r="M63" s="3">
        <f>SUMIFS('Business - Dump'!$W:$W,'Business - Dump'!$D:$D,'SKU Order Report '!$C63,'Business - Dump'!$A:$A,'SKU Order Report '!M$1)</f>
        <v>0</v>
      </c>
      <c r="N63" s="3">
        <f>SUMIFS('Business - Dump'!$W:$W,'Business - Dump'!$D:$D,'SKU Order Report '!$C63,'Business - Dump'!$A:$A,'SKU Order Report '!N$1)</f>
        <v>0</v>
      </c>
      <c r="O63" s="3">
        <f>SUMIFS('Business - Dump'!$W:$W,'Business - Dump'!$D:$D,'SKU Order Report '!$C63,'Business - Dump'!$A:$A,'SKU Order Report '!O$1)</f>
        <v>0</v>
      </c>
      <c r="P63" s="3">
        <f>SUMIFS('Business - Dump'!$W:$W,'Business - Dump'!$D:$D,'SKU Order Report '!$C63,'Business - Dump'!$A:$A,'SKU Order Report '!P$1)</f>
        <v>0</v>
      </c>
      <c r="Q63" s="3">
        <f>SUMIFS('Business - Dump'!$W:$W,'Business - Dump'!$D:$D,'SKU Order Report '!$C63,'Business - Dump'!$A:$A,'SKU Order Report '!Q$1)</f>
        <v>0</v>
      </c>
      <c r="R63" s="3">
        <f>SUMIFS('Business - Dump'!$W:$W,'Business - Dump'!$D:$D,'SKU Order Report '!$C63,'Business - Dump'!$A:$A,'SKU Order Report '!R$1)</f>
        <v>0</v>
      </c>
      <c r="S63" s="3">
        <f>SUMIFS('Business - Dump'!$W:$W,'Business - Dump'!$D:$D,'SKU Order Report '!$C63,'Business - Dump'!$A:$A,'SKU Order Report '!S$1)</f>
        <v>0</v>
      </c>
      <c r="T63" s="3">
        <f>SUMIFS('Business - Dump'!$W:$W,'Business - Dump'!$D:$D,'SKU Order Report '!$C63,'Business - Dump'!$A:$A,'SKU Order Report '!T$1)</f>
        <v>0</v>
      </c>
    </row>
    <row r="64" ht="15.75" customHeight="1">
      <c r="A64" s="10" t="str">
        <f t="array" ref="A64">_xlfn.XLOOKUP(C64,'Business - Dump'!$D:$D,'Business - Dump'!$B:$B)</f>
        <v>Standing Table  - E4</v>
      </c>
      <c r="B64" s="10" t="str">
        <f t="array" ref="B64">_xlfn.XLOOKUP(C64,'Referanc '!$A:$A,'Referanc '!$D:$D)</f>
        <v>EY HAT 2M2S WHT E4 V02 PW 600X1200</v>
      </c>
      <c r="C64" s="10" t="s">
        <v>388</v>
      </c>
      <c r="D64" s="3">
        <f>SUMIFS('Business - Dump'!$W:$W,'Business - Dump'!$D:$D,'SKU Order Report '!$C64,'Business - Dump'!$A:$A,'SKU Order Report '!D$1)</f>
        <v>0</v>
      </c>
      <c r="E64" s="3">
        <f>SUMIFS('Business - Dump'!$W:$W,'Business - Dump'!$D:$D,'SKU Order Report '!$C64,'Business - Dump'!$A:$A,'SKU Order Report '!E$1)</f>
        <v>0</v>
      </c>
      <c r="F64" s="3">
        <f>SUMIFS('Business - Dump'!$W:$W,'Business - Dump'!$D:$D,'SKU Order Report '!$C64,'Business - Dump'!$A:$A,'SKU Order Report '!F$1)</f>
        <v>0</v>
      </c>
      <c r="G64" s="3">
        <f>SUMIFS('Business - Dump'!$W:$W,'Business - Dump'!$D:$D,'SKU Order Report '!$C64,'Business - Dump'!$A:$A,'SKU Order Report '!G$1)</f>
        <v>0</v>
      </c>
      <c r="H64" s="3">
        <f>SUMIFS('Business - Dump'!$W:$W,'Business - Dump'!$D:$D,'SKU Order Report '!$C64,'Business - Dump'!$A:$A,'SKU Order Report '!H$1)</f>
        <v>2</v>
      </c>
      <c r="I64" s="3">
        <f>SUMIFS('Business - Dump'!$W:$W,'Business - Dump'!$D:$D,'SKU Order Report '!$C64,'Business - Dump'!$A:$A,'SKU Order Report '!I$1)</f>
        <v>10</v>
      </c>
      <c r="J64" s="3">
        <f>SUMIFS('Business - Dump'!$W:$W,'Business - Dump'!$D:$D,'SKU Order Report '!$C64,'Business - Dump'!$A:$A,'SKU Order Report '!J$1)</f>
        <v>10</v>
      </c>
      <c r="K64" s="3">
        <f>SUMIFS('Business - Dump'!$W:$W,'Business - Dump'!$D:$D,'SKU Order Report '!$C64,'Business - Dump'!$A:$A,'SKU Order Report '!K$1)</f>
        <v>1</v>
      </c>
      <c r="L64" s="3">
        <f>SUMIFS('Business - Dump'!$W:$W,'Business - Dump'!$D:$D,'SKU Order Report '!$C64,'Business - Dump'!$A:$A,'SKU Order Report '!L$1)</f>
        <v>2</v>
      </c>
      <c r="M64" s="3">
        <f>SUMIFS('Business - Dump'!$W:$W,'Business - Dump'!$D:$D,'SKU Order Report '!$C64,'Business - Dump'!$A:$A,'SKU Order Report '!M$1)</f>
        <v>3</v>
      </c>
      <c r="N64" s="3">
        <f>SUMIFS('Business - Dump'!$W:$W,'Business - Dump'!$D:$D,'SKU Order Report '!$C64,'Business - Dump'!$A:$A,'SKU Order Report '!N$1)</f>
        <v>4</v>
      </c>
      <c r="O64" s="3">
        <f>SUMIFS('Business - Dump'!$W:$W,'Business - Dump'!$D:$D,'SKU Order Report '!$C64,'Business - Dump'!$A:$A,'SKU Order Report '!O$1)</f>
        <v>6</v>
      </c>
      <c r="P64" s="3">
        <f>SUMIFS('Business - Dump'!$W:$W,'Business - Dump'!$D:$D,'SKU Order Report '!$C64,'Business - Dump'!$A:$A,'SKU Order Report '!P$1)</f>
        <v>3</v>
      </c>
      <c r="Q64" s="3">
        <f>SUMIFS('Business - Dump'!$W:$W,'Business - Dump'!$D:$D,'SKU Order Report '!$C64,'Business - Dump'!$A:$A,'SKU Order Report '!Q$1)</f>
        <v>3</v>
      </c>
      <c r="R64" s="3">
        <f>SUMIFS('Business - Dump'!$W:$W,'Business - Dump'!$D:$D,'SKU Order Report '!$C64,'Business - Dump'!$A:$A,'SKU Order Report '!R$1)</f>
        <v>7</v>
      </c>
      <c r="S64" s="3">
        <f>SUMIFS('Business - Dump'!$W:$W,'Business - Dump'!$D:$D,'SKU Order Report '!$C64,'Business - Dump'!$A:$A,'SKU Order Report '!S$1)</f>
        <v>3</v>
      </c>
      <c r="T64" s="3">
        <f>SUMIFS('Business - Dump'!$W:$W,'Business - Dump'!$D:$D,'SKU Order Report '!$C64,'Business - Dump'!$A:$A,'SKU Order Report '!T$1)</f>
        <v>3</v>
      </c>
    </row>
    <row r="65" ht="15.75" customHeight="1">
      <c r="A65" s="10" t="str">
        <f t="array" ref="A65">_xlfn.XLOOKUP(C65,'Business - Dump'!$D:$D,'Business - Dump'!$B:$B)</f>
        <v>Standing Table - All Frames</v>
      </c>
      <c r="B65" s="10" t="str">
        <f t="array" ref="B65">_xlfn.XLOOKUP(C65,'Referanc '!$A:$A,'Referanc '!$D:$D)</f>
        <v>HAT MT 2S WHT M8 OF</v>
      </c>
      <c r="C65" s="10" t="s">
        <v>389</v>
      </c>
      <c r="D65" s="3">
        <f>SUMIFS('Business - Dump'!$W:$W,'Business - Dump'!$D:$D,'SKU Order Report '!$C65,'Business - Dump'!$A:$A,'SKU Order Report '!D$1)</f>
        <v>0</v>
      </c>
      <c r="E65" s="3">
        <f>SUMIFS('Business - Dump'!$W:$W,'Business - Dump'!$D:$D,'SKU Order Report '!$C65,'Business - Dump'!$A:$A,'SKU Order Report '!E$1)</f>
        <v>0</v>
      </c>
      <c r="F65" s="3">
        <f>SUMIFS('Business - Dump'!$W:$W,'Business - Dump'!$D:$D,'SKU Order Report '!$C65,'Business - Dump'!$A:$A,'SKU Order Report '!F$1)</f>
        <v>0</v>
      </c>
      <c r="G65" s="3">
        <f>SUMIFS('Business - Dump'!$W:$W,'Business - Dump'!$D:$D,'SKU Order Report '!$C65,'Business - Dump'!$A:$A,'SKU Order Report '!G$1)</f>
        <v>0</v>
      </c>
      <c r="H65" s="3">
        <f>SUMIFS('Business - Dump'!$W:$W,'Business - Dump'!$D:$D,'SKU Order Report '!$C65,'Business - Dump'!$A:$A,'SKU Order Report '!H$1)</f>
        <v>1</v>
      </c>
      <c r="I65" s="3">
        <f>SUMIFS('Business - Dump'!$W:$W,'Business - Dump'!$D:$D,'SKU Order Report '!$C65,'Business - Dump'!$A:$A,'SKU Order Report '!I$1)</f>
        <v>0</v>
      </c>
      <c r="J65" s="3">
        <f>SUMIFS('Business - Dump'!$W:$W,'Business - Dump'!$D:$D,'SKU Order Report '!$C65,'Business - Dump'!$A:$A,'SKU Order Report '!J$1)</f>
        <v>5</v>
      </c>
      <c r="K65" s="3">
        <f>SUMIFS('Business - Dump'!$W:$W,'Business - Dump'!$D:$D,'SKU Order Report '!$C65,'Business - Dump'!$A:$A,'SKU Order Report '!K$1)</f>
        <v>2</v>
      </c>
      <c r="L65" s="3">
        <f>SUMIFS('Business - Dump'!$W:$W,'Business - Dump'!$D:$D,'SKU Order Report '!$C65,'Business - Dump'!$A:$A,'SKU Order Report '!L$1)</f>
        <v>13</v>
      </c>
      <c r="M65" s="3">
        <f>SUMIFS('Business - Dump'!$W:$W,'Business - Dump'!$D:$D,'SKU Order Report '!$C65,'Business - Dump'!$A:$A,'SKU Order Report '!M$1)</f>
        <v>12</v>
      </c>
      <c r="N65" s="3">
        <f>SUMIFS('Business - Dump'!$W:$W,'Business - Dump'!$D:$D,'SKU Order Report '!$C65,'Business - Dump'!$A:$A,'SKU Order Report '!N$1)</f>
        <v>18</v>
      </c>
      <c r="O65" s="3">
        <f>SUMIFS('Business - Dump'!$W:$W,'Business - Dump'!$D:$D,'SKU Order Report '!$C65,'Business - Dump'!$A:$A,'SKU Order Report '!O$1)</f>
        <v>5</v>
      </c>
      <c r="P65" s="3">
        <f>SUMIFS('Business - Dump'!$W:$W,'Business - Dump'!$D:$D,'SKU Order Report '!$C65,'Business - Dump'!$A:$A,'SKU Order Report '!P$1)</f>
        <v>2</v>
      </c>
      <c r="Q65" s="3">
        <f>SUMIFS('Business - Dump'!$W:$W,'Business - Dump'!$D:$D,'SKU Order Report '!$C65,'Business - Dump'!$A:$A,'SKU Order Report '!Q$1)</f>
        <v>0</v>
      </c>
      <c r="R65" s="3">
        <f>SUMIFS('Business - Dump'!$W:$W,'Business - Dump'!$D:$D,'SKU Order Report '!$C65,'Business - Dump'!$A:$A,'SKU Order Report '!R$1)</f>
        <v>0</v>
      </c>
      <c r="S65" s="3">
        <f>SUMIFS('Business - Dump'!$W:$W,'Business - Dump'!$D:$D,'SKU Order Report '!$C65,'Business - Dump'!$A:$A,'SKU Order Report '!S$1)</f>
        <v>0</v>
      </c>
      <c r="T65" s="3">
        <f>SUMIFS('Business - Dump'!$W:$W,'Business - Dump'!$D:$D,'SKU Order Report '!$C65,'Business - Dump'!$A:$A,'SKU Order Report '!T$1)</f>
        <v>0</v>
      </c>
    </row>
    <row r="66" ht="15.75" customHeight="1">
      <c r="A66" s="10" t="str">
        <f t="array" ref="A66">_xlfn.XLOOKUP(C66,'Business - Dump'!$D:$D,'Business - Dump'!$B:$B)</f>
        <v>Single Leg Gas</v>
      </c>
      <c r="B66" s="10" t="str">
        <f t="array" ref="B66">_xlfn.XLOOKUP(C66,'Referanc '!$A:$A,'Referanc '!$D:$D)</f>
        <v>EY HAT 1L 2T GL P77 WHT V02</v>
      </c>
      <c r="C66" s="10" t="s">
        <v>362</v>
      </c>
      <c r="D66" s="3">
        <f>SUMIFS('Business - Dump'!$W:$W,'Business - Dump'!$D:$D,'SKU Order Report '!$C66,'Business - Dump'!$A:$A,'SKU Order Report '!D$1)</f>
        <v>0</v>
      </c>
      <c r="E66" s="3">
        <f>SUMIFS('Business - Dump'!$W:$W,'Business - Dump'!$D:$D,'SKU Order Report '!$C66,'Business - Dump'!$A:$A,'SKU Order Report '!E$1)</f>
        <v>0</v>
      </c>
      <c r="F66" s="3">
        <f>SUMIFS('Business - Dump'!$W:$W,'Business - Dump'!$D:$D,'SKU Order Report '!$C66,'Business - Dump'!$A:$A,'SKU Order Report '!F$1)</f>
        <v>0</v>
      </c>
      <c r="G66" s="3">
        <f>SUMIFS('Business - Dump'!$W:$W,'Business - Dump'!$D:$D,'SKU Order Report '!$C66,'Business - Dump'!$A:$A,'SKU Order Report '!G$1)</f>
        <v>0</v>
      </c>
      <c r="H66" s="3">
        <f>SUMIFS('Business - Dump'!$W:$W,'Business - Dump'!$D:$D,'SKU Order Report '!$C66,'Business - Dump'!$A:$A,'SKU Order Report '!H$1)</f>
        <v>1</v>
      </c>
      <c r="I66" s="3">
        <f>SUMIFS('Business - Dump'!$W:$W,'Business - Dump'!$D:$D,'SKU Order Report '!$C66,'Business - Dump'!$A:$A,'SKU Order Report '!I$1)</f>
        <v>0</v>
      </c>
      <c r="J66" s="3">
        <f>SUMIFS('Business - Dump'!$W:$W,'Business - Dump'!$D:$D,'SKU Order Report '!$C66,'Business - Dump'!$A:$A,'SKU Order Report '!J$1)</f>
        <v>0</v>
      </c>
      <c r="K66" s="3">
        <f>SUMIFS('Business - Dump'!$W:$W,'Business - Dump'!$D:$D,'SKU Order Report '!$C66,'Business - Dump'!$A:$A,'SKU Order Report '!K$1)</f>
        <v>0</v>
      </c>
      <c r="L66" s="3">
        <f>SUMIFS('Business - Dump'!$W:$W,'Business - Dump'!$D:$D,'SKU Order Report '!$C66,'Business - Dump'!$A:$A,'SKU Order Report '!L$1)</f>
        <v>0</v>
      </c>
      <c r="M66" s="3">
        <f>SUMIFS('Business - Dump'!$W:$W,'Business - Dump'!$D:$D,'SKU Order Report '!$C66,'Business - Dump'!$A:$A,'SKU Order Report '!M$1)</f>
        <v>0</v>
      </c>
      <c r="N66" s="3">
        <f>SUMIFS('Business - Dump'!$W:$W,'Business - Dump'!$D:$D,'SKU Order Report '!$C66,'Business - Dump'!$A:$A,'SKU Order Report '!N$1)</f>
        <v>0</v>
      </c>
      <c r="O66" s="3">
        <f>SUMIFS('Business - Dump'!$W:$W,'Business - Dump'!$D:$D,'SKU Order Report '!$C66,'Business - Dump'!$A:$A,'SKU Order Report '!O$1)</f>
        <v>1</v>
      </c>
      <c r="P66" s="3">
        <f>SUMIFS('Business - Dump'!$W:$W,'Business - Dump'!$D:$D,'SKU Order Report '!$C66,'Business - Dump'!$A:$A,'SKU Order Report '!P$1)</f>
        <v>1</v>
      </c>
      <c r="Q66" s="3">
        <f>SUMIFS('Business - Dump'!$W:$W,'Business - Dump'!$D:$D,'SKU Order Report '!$C66,'Business - Dump'!$A:$A,'SKU Order Report '!Q$1)</f>
        <v>3</v>
      </c>
      <c r="R66" s="3">
        <f>SUMIFS('Business - Dump'!$W:$W,'Business - Dump'!$D:$D,'SKU Order Report '!$C66,'Business - Dump'!$A:$A,'SKU Order Report '!R$1)</f>
        <v>0</v>
      </c>
      <c r="S66" s="3">
        <f>SUMIFS('Business - Dump'!$W:$W,'Business - Dump'!$D:$D,'SKU Order Report '!$C66,'Business - Dump'!$A:$A,'SKU Order Report '!S$1)</f>
        <v>0</v>
      </c>
      <c r="T66" s="3">
        <f>SUMIFS('Business - Dump'!$W:$W,'Business - Dump'!$D:$D,'SKU Order Report '!$C66,'Business - Dump'!$A:$A,'SKU Order Report '!T$1)</f>
        <v>0</v>
      </c>
    </row>
    <row r="67" ht="15.75" customHeight="1">
      <c r="A67" s="10" t="str">
        <f t="array" ref="A67">_xlfn.XLOOKUP(C67,'Business - Dump'!$D:$D,'Business - Dump'!$B:$B)</f>
        <v>Standing Table  - E1A</v>
      </c>
      <c r="B67" s="10" t="str">
        <f t="array" ref="B67">_xlfn.XLOOKUP(C67,'Referanc '!$A:$A,'Referanc '!$D:$D)</f>
        <v>EY HAT 2M 3S BLK E1 A V02 WG 750X1500</v>
      </c>
      <c r="C67" s="10" t="s">
        <v>367</v>
      </c>
      <c r="D67" s="3">
        <f>SUMIFS('Business - Dump'!$W:$W,'Business - Dump'!$D:$D,'SKU Order Report '!$C67,'Business - Dump'!$A:$A,'SKU Order Report '!D$1)</f>
        <v>0</v>
      </c>
      <c r="E67" s="3">
        <f>SUMIFS('Business - Dump'!$W:$W,'Business - Dump'!$D:$D,'SKU Order Report '!$C67,'Business - Dump'!$A:$A,'SKU Order Report '!E$1)</f>
        <v>0</v>
      </c>
      <c r="F67" s="3">
        <f>SUMIFS('Business - Dump'!$W:$W,'Business - Dump'!$D:$D,'SKU Order Report '!$C67,'Business - Dump'!$A:$A,'SKU Order Report '!F$1)</f>
        <v>0</v>
      </c>
      <c r="G67" s="3">
        <f>SUMIFS('Business - Dump'!$W:$W,'Business - Dump'!$D:$D,'SKU Order Report '!$C67,'Business - Dump'!$A:$A,'SKU Order Report '!G$1)</f>
        <v>0</v>
      </c>
      <c r="H67" s="3">
        <f>SUMIFS('Business - Dump'!$W:$W,'Business - Dump'!$D:$D,'SKU Order Report '!$C67,'Business - Dump'!$A:$A,'SKU Order Report '!H$1)</f>
        <v>1</v>
      </c>
      <c r="I67" s="3">
        <f>SUMIFS('Business - Dump'!$W:$W,'Business - Dump'!$D:$D,'SKU Order Report '!$C67,'Business - Dump'!$A:$A,'SKU Order Report '!I$1)</f>
        <v>2</v>
      </c>
      <c r="J67" s="3">
        <f>SUMIFS('Business - Dump'!$W:$W,'Business - Dump'!$D:$D,'SKU Order Report '!$C67,'Business - Dump'!$A:$A,'SKU Order Report '!J$1)</f>
        <v>2</v>
      </c>
      <c r="K67" s="3">
        <f>SUMIFS('Business - Dump'!$W:$W,'Business - Dump'!$D:$D,'SKU Order Report '!$C67,'Business - Dump'!$A:$A,'SKU Order Report '!K$1)</f>
        <v>0</v>
      </c>
      <c r="L67" s="3">
        <f>SUMIFS('Business - Dump'!$W:$W,'Business - Dump'!$D:$D,'SKU Order Report '!$C67,'Business - Dump'!$A:$A,'SKU Order Report '!L$1)</f>
        <v>1</v>
      </c>
      <c r="M67" s="3">
        <f>SUMIFS('Business - Dump'!$W:$W,'Business - Dump'!$D:$D,'SKU Order Report '!$C67,'Business - Dump'!$A:$A,'SKU Order Report '!M$1)</f>
        <v>0</v>
      </c>
      <c r="N67" s="3">
        <f>SUMIFS('Business - Dump'!$W:$W,'Business - Dump'!$D:$D,'SKU Order Report '!$C67,'Business - Dump'!$A:$A,'SKU Order Report '!N$1)</f>
        <v>1</v>
      </c>
      <c r="O67" s="3">
        <f>SUMIFS('Business - Dump'!$W:$W,'Business - Dump'!$D:$D,'SKU Order Report '!$C67,'Business - Dump'!$A:$A,'SKU Order Report '!O$1)</f>
        <v>1</v>
      </c>
      <c r="P67" s="3">
        <f>SUMIFS('Business - Dump'!$W:$W,'Business - Dump'!$D:$D,'SKU Order Report '!$C67,'Business - Dump'!$A:$A,'SKU Order Report '!P$1)</f>
        <v>1</v>
      </c>
      <c r="Q67" s="3">
        <f>SUMIFS('Business - Dump'!$W:$W,'Business - Dump'!$D:$D,'SKU Order Report '!$C67,'Business - Dump'!$A:$A,'SKU Order Report '!Q$1)</f>
        <v>1</v>
      </c>
      <c r="R67" s="3">
        <f>SUMIFS('Business - Dump'!$W:$W,'Business - Dump'!$D:$D,'SKU Order Report '!$C67,'Business - Dump'!$A:$A,'SKU Order Report '!R$1)</f>
        <v>1</v>
      </c>
      <c r="S67" s="3">
        <f>SUMIFS('Business - Dump'!$W:$W,'Business - Dump'!$D:$D,'SKU Order Report '!$C67,'Business - Dump'!$A:$A,'SKU Order Report '!S$1)</f>
        <v>0</v>
      </c>
      <c r="T67" s="3">
        <f>SUMIFS('Business - Dump'!$W:$W,'Business - Dump'!$D:$D,'SKU Order Report '!$C67,'Business - Dump'!$A:$A,'SKU Order Report '!T$1)</f>
        <v>0</v>
      </c>
    </row>
    <row r="68" ht="15.75" customHeight="1">
      <c r="A68" s="10" t="str">
        <f t="array" ref="A68">_xlfn.XLOOKUP(C68,'Business - Dump'!$D:$D,'Business - Dump'!$B:$B)</f>
        <v>Standing Table  - E1A</v>
      </c>
      <c r="B68" s="10" t="str">
        <f t="array" ref="B68">_xlfn.XLOOKUP(C68,'Referanc '!$A:$A,'Referanc '!$D:$D)</f>
        <v>EY HAT 2M 3S WHT E1A V02 WG 750X1500</v>
      </c>
      <c r="C68" s="10" t="s">
        <v>373</v>
      </c>
      <c r="D68" s="3">
        <f>SUMIFS('Business - Dump'!$W:$W,'Business - Dump'!$D:$D,'SKU Order Report '!$C68,'Business - Dump'!$A:$A,'SKU Order Report '!D$1)</f>
        <v>0</v>
      </c>
      <c r="E68" s="3">
        <f>SUMIFS('Business - Dump'!$W:$W,'Business - Dump'!$D:$D,'SKU Order Report '!$C68,'Business - Dump'!$A:$A,'SKU Order Report '!E$1)</f>
        <v>0</v>
      </c>
      <c r="F68" s="3">
        <f>SUMIFS('Business - Dump'!$W:$W,'Business - Dump'!$D:$D,'SKU Order Report '!$C68,'Business - Dump'!$A:$A,'SKU Order Report '!F$1)</f>
        <v>0</v>
      </c>
      <c r="G68" s="3">
        <f>SUMIFS('Business - Dump'!$W:$W,'Business - Dump'!$D:$D,'SKU Order Report '!$C68,'Business - Dump'!$A:$A,'SKU Order Report '!G$1)</f>
        <v>0</v>
      </c>
      <c r="H68" s="3">
        <f>SUMIFS('Business - Dump'!$W:$W,'Business - Dump'!$D:$D,'SKU Order Report '!$C68,'Business - Dump'!$A:$A,'SKU Order Report '!H$1)</f>
        <v>1</v>
      </c>
      <c r="I68" s="3">
        <f>SUMIFS('Business - Dump'!$W:$W,'Business - Dump'!$D:$D,'SKU Order Report '!$C68,'Business - Dump'!$A:$A,'SKU Order Report '!I$1)</f>
        <v>0</v>
      </c>
      <c r="J68" s="3">
        <f>SUMIFS('Business - Dump'!$W:$W,'Business - Dump'!$D:$D,'SKU Order Report '!$C68,'Business - Dump'!$A:$A,'SKU Order Report '!J$1)</f>
        <v>0</v>
      </c>
      <c r="K68" s="3">
        <f>SUMIFS('Business - Dump'!$W:$W,'Business - Dump'!$D:$D,'SKU Order Report '!$C68,'Business - Dump'!$A:$A,'SKU Order Report '!K$1)</f>
        <v>0</v>
      </c>
      <c r="L68" s="3">
        <f>SUMIFS('Business - Dump'!$W:$W,'Business - Dump'!$D:$D,'SKU Order Report '!$C68,'Business - Dump'!$A:$A,'SKU Order Report '!L$1)</f>
        <v>0</v>
      </c>
      <c r="M68" s="3">
        <f>SUMIFS('Business - Dump'!$W:$W,'Business - Dump'!$D:$D,'SKU Order Report '!$C68,'Business - Dump'!$A:$A,'SKU Order Report '!M$1)</f>
        <v>0</v>
      </c>
      <c r="N68" s="3">
        <f>SUMIFS('Business - Dump'!$W:$W,'Business - Dump'!$D:$D,'SKU Order Report '!$C68,'Business - Dump'!$A:$A,'SKU Order Report '!N$1)</f>
        <v>0</v>
      </c>
      <c r="O68" s="3">
        <f>SUMIFS('Business - Dump'!$W:$W,'Business - Dump'!$D:$D,'SKU Order Report '!$C68,'Business - Dump'!$A:$A,'SKU Order Report '!O$1)</f>
        <v>0</v>
      </c>
      <c r="P68" s="3">
        <f>SUMIFS('Business - Dump'!$W:$W,'Business - Dump'!$D:$D,'SKU Order Report '!$C68,'Business - Dump'!$A:$A,'SKU Order Report '!P$1)</f>
        <v>0</v>
      </c>
      <c r="Q68" s="3">
        <f>SUMIFS('Business - Dump'!$W:$W,'Business - Dump'!$D:$D,'SKU Order Report '!$C68,'Business - Dump'!$A:$A,'SKU Order Report '!Q$1)</f>
        <v>0</v>
      </c>
      <c r="R68" s="3">
        <f>SUMIFS('Business - Dump'!$W:$W,'Business - Dump'!$D:$D,'SKU Order Report '!$C68,'Business - Dump'!$A:$A,'SKU Order Report '!R$1)</f>
        <v>0</v>
      </c>
      <c r="S68" s="3">
        <f>SUMIFS('Business - Dump'!$W:$W,'Business - Dump'!$D:$D,'SKU Order Report '!$C68,'Business - Dump'!$A:$A,'SKU Order Report '!S$1)</f>
        <v>0</v>
      </c>
      <c r="T68" s="3">
        <f>SUMIFS('Business - Dump'!$W:$W,'Business - Dump'!$D:$D,'SKU Order Report '!$C68,'Business - Dump'!$A:$A,'SKU Order Report '!T$1)</f>
        <v>0</v>
      </c>
    </row>
    <row r="69" ht="15.75" customHeight="1">
      <c r="A69" s="10" t="str">
        <f t="array" ref="A69">_xlfn.XLOOKUP(C69,'Business - Dump'!$D:$D,'Business - Dump'!$B:$B)</f>
        <v>Standing Table  - E1A</v>
      </c>
      <c r="B69" s="10" t="str">
        <f t="array" ref="B69">_xlfn.XLOOKUP(C69,'Referanc '!$A:$A,'Referanc '!$D:$D)</f>
        <v>EY HAT 2M3S WHT E1A V02 WG 600X1200</v>
      </c>
      <c r="C69" s="10" t="s">
        <v>382</v>
      </c>
      <c r="D69" s="3">
        <f>SUMIFS('Business - Dump'!$W:$W,'Business - Dump'!$D:$D,'SKU Order Report '!$C69,'Business - Dump'!$A:$A,'SKU Order Report '!D$1)</f>
        <v>0</v>
      </c>
      <c r="E69" s="3">
        <f>SUMIFS('Business - Dump'!$W:$W,'Business - Dump'!$D:$D,'SKU Order Report '!$C69,'Business - Dump'!$A:$A,'SKU Order Report '!E$1)</f>
        <v>0</v>
      </c>
      <c r="F69" s="3">
        <f>SUMIFS('Business - Dump'!$W:$W,'Business - Dump'!$D:$D,'SKU Order Report '!$C69,'Business - Dump'!$A:$A,'SKU Order Report '!F$1)</f>
        <v>0</v>
      </c>
      <c r="G69" s="3">
        <f>SUMIFS('Business - Dump'!$W:$W,'Business - Dump'!$D:$D,'SKU Order Report '!$C69,'Business - Dump'!$A:$A,'SKU Order Report '!G$1)</f>
        <v>0</v>
      </c>
      <c r="H69" s="3">
        <f>SUMIFS('Business - Dump'!$W:$W,'Business - Dump'!$D:$D,'SKU Order Report '!$C69,'Business - Dump'!$A:$A,'SKU Order Report '!H$1)</f>
        <v>1</v>
      </c>
      <c r="I69" s="3">
        <f>SUMIFS('Business - Dump'!$W:$W,'Business - Dump'!$D:$D,'SKU Order Report '!$C69,'Business - Dump'!$A:$A,'SKU Order Report '!I$1)</f>
        <v>1</v>
      </c>
      <c r="J69" s="3">
        <f>SUMIFS('Business - Dump'!$W:$W,'Business - Dump'!$D:$D,'SKU Order Report '!$C69,'Business - Dump'!$A:$A,'SKU Order Report '!J$1)</f>
        <v>2</v>
      </c>
      <c r="K69" s="3">
        <f>SUMIFS('Business - Dump'!$W:$W,'Business - Dump'!$D:$D,'SKU Order Report '!$C69,'Business - Dump'!$A:$A,'SKU Order Report '!K$1)</f>
        <v>2</v>
      </c>
      <c r="L69" s="3">
        <f>SUMIFS('Business - Dump'!$W:$W,'Business - Dump'!$D:$D,'SKU Order Report '!$C69,'Business - Dump'!$A:$A,'SKU Order Report '!L$1)</f>
        <v>2</v>
      </c>
      <c r="M69" s="3">
        <f>SUMIFS('Business - Dump'!$W:$W,'Business - Dump'!$D:$D,'SKU Order Report '!$C69,'Business - Dump'!$A:$A,'SKU Order Report '!M$1)</f>
        <v>0</v>
      </c>
      <c r="N69" s="3">
        <f>SUMIFS('Business - Dump'!$W:$W,'Business - Dump'!$D:$D,'SKU Order Report '!$C69,'Business - Dump'!$A:$A,'SKU Order Report '!N$1)</f>
        <v>2</v>
      </c>
      <c r="O69" s="3">
        <f>SUMIFS('Business - Dump'!$W:$W,'Business - Dump'!$D:$D,'SKU Order Report '!$C69,'Business - Dump'!$A:$A,'SKU Order Report '!O$1)</f>
        <v>2</v>
      </c>
      <c r="P69" s="3">
        <f>SUMIFS('Business - Dump'!$W:$W,'Business - Dump'!$D:$D,'SKU Order Report '!$C69,'Business - Dump'!$A:$A,'SKU Order Report '!P$1)</f>
        <v>0</v>
      </c>
      <c r="Q69" s="3">
        <f>SUMIFS('Business - Dump'!$W:$W,'Business - Dump'!$D:$D,'SKU Order Report '!$C69,'Business - Dump'!$A:$A,'SKU Order Report '!Q$1)</f>
        <v>1</v>
      </c>
      <c r="R69" s="3">
        <f>SUMIFS('Business - Dump'!$W:$W,'Business - Dump'!$D:$D,'SKU Order Report '!$C69,'Business - Dump'!$A:$A,'SKU Order Report '!R$1)</f>
        <v>1</v>
      </c>
      <c r="S69" s="3">
        <f>SUMIFS('Business - Dump'!$W:$W,'Business - Dump'!$D:$D,'SKU Order Report '!$C69,'Business - Dump'!$A:$A,'SKU Order Report '!S$1)</f>
        <v>1</v>
      </c>
      <c r="T69" s="3">
        <f>SUMIFS('Business - Dump'!$W:$W,'Business - Dump'!$D:$D,'SKU Order Report '!$C69,'Business - Dump'!$A:$A,'SKU Order Report '!T$1)</f>
        <v>1</v>
      </c>
    </row>
    <row r="70" ht="15.75" customHeight="1">
      <c r="A70" s="10" t="str">
        <f t="array" ref="A70">_xlfn.XLOOKUP(C70,'Business - Dump'!$D:$D,'Business - Dump'!$B:$B)</f>
        <v>Standing Table  - E4</v>
      </c>
      <c r="B70" s="10" t="str">
        <f t="array" ref="B70">_xlfn.XLOOKUP(C70,'Referanc '!$A:$A,'Referanc '!$D:$D)</f>
        <v>EY HAT 2M2S WHT E4 V02 WG 750X1500</v>
      </c>
      <c r="C70" s="10" t="s">
        <v>396</v>
      </c>
      <c r="D70" s="3">
        <f>SUMIFS('Business - Dump'!$W:$W,'Business - Dump'!$D:$D,'SKU Order Report '!$C70,'Business - Dump'!$A:$A,'SKU Order Report '!D$1)</f>
        <v>0</v>
      </c>
      <c r="E70" s="3">
        <f>SUMIFS('Business - Dump'!$W:$W,'Business - Dump'!$D:$D,'SKU Order Report '!$C70,'Business - Dump'!$A:$A,'SKU Order Report '!E$1)</f>
        <v>0</v>
      </c>
      <c r="F70" s="3">
        <f>SUMIFS('Business - Dump'!$W:$W,'Business - Dump'!$D:$D,'SKU Order Report '!$C70,'Business - Dump'!$A:$A,'SKU Order Report '!F$1)</f>
        <v>0</v>
      </c>
      <c r="G70" s="3">
        <f>SUMIFS('Business - Dump'!$W:$W,'Business - Dump'!$D:$D,'SKU Order Report '!$C70,'Business - Dump'!$A:$A,'SKU Order Report '!G$1)</f>
        <v>0</v>
      </c>
      <c r="H70" s="3">
        <f>SUMIFS('Business - Dump'!$W:$W,'Business - Dump'!$D:$D,'SKU Order Report '!$C70,'Business - Dump'!$A:$A,'SKU Order Report '!H$1)</f>
        <v>1</v>
      </c>
      <c r="I70" s="3">
        <f>SUMIFS('Business - Dump'!$W:$W,'Business - Dump'!$D:$D,'SKU Order Report '!$C70,'Business - Dump'!$A:$A,'SKU Order Report '!I$1)</f>
        <v>3</v>
      </c>
      <c r="J70" s="3">
        <f>SUMIFS('Business - Dump'!$W:$W,'Business - Dump'!$D:$D,'SKU Order Report '!$C70,'Business - Dump'!$A:$A,'SKU Order Report '!J$1)</f>
        <v>15</v>
      </c>
      <c r="K70" s="3">
        <f>SUMIFS('Business - Dump'!$W:$W,'Business - Dump'!$D:$D,'SKU Order Report '!$C70,'Business - Dump'!$A:$A,'SKU Order Report '!K$1)</f>
        <v>4</v>
      </c>
      <c r="L70" s="3">
        <f>SUMIFS('Business - Dump'!$W:$W,'Business - Dump'!$D:$D,'SKU Order Report '!$C70,'Business - Dump'!$A:$A,'SKU Order Report '!L$1)</f>
        <v>5</v>
      </c>
      <c r="M70" s="3">
        <f>SUMIFS('Business - Dump'!$W:$W,'Business - Dump'!$D:$D,'SKU Order Report '!$C70,'Business - Dump'!$A:$A,'SKU Order Report '!M$1)</f>
        <v>3</v>
      </c>
      <c r="N70" s="3">
        <f>SUMIFS('Business - Dump'!$W:$W,'Business - Dump'!$D:$D,'SKU Order Report '!$C70,'Business - Dump'!$A:$A,'SKU Order Report '!N$1)</f>
        <v>16</v>
      </c>
      <c r="O70" s="3">
        <f>SUMIFS('Business - Dump'!$W:$W,'Business - Dump'!$D:$D,'SKU Order Report '!$C70,'Business - Dump'!$A:$A,'SKU Order Report '!O$1)</f>
        <v>6</v>
      </c>
      <c r="P70" s="3">
        <f>SUMIFS('Business - Dump'!$W:$W,'Business - Dump'!$D:$D,'SKU Order Report '!$C70,'Business - Dump'!$A:$A,'SKU Order Report '!P$1)</f>
        <v>5</v>
      </c>
      <c r="Q70" s="3">
        <f>SUMIFS('Business - Dump'!$W:$W,'Business - Dump'!$D:$D,'SKU Order Report '!$C70,'Business - Dump'!$A:$A,'SKU Order Report '!Q$1)</f>
        <v>8</v>
      </c>
      <c r="R70" s="3">
        <f>SUMIFS('Business - Dump'!$W:$W,'Business - Dump'!$D:$D,'SKU Order Report '!$C70,'Business - Dump'!$A:$A,'SKU Order Report '!R$1)</f>
        <v>8</v>
      </c>
      <c r="S70" s="3">
        <f>SUMIFS('Business - Dump'!$W:$W,'Business - Dump'!$D:$D,'SKU Order Report '!$C70,'Business - Dump'!$A:$A,'SKU Order Report '!S$1)</f>
        <v>2</v>
      </c>
      <c r="T70" s="3">
        <f>SUMIFS('Business - Dump'!$W:$W,'Business - Dump'!$D:$D,'SKU Order Report '!$C70,'Business - Dump'!$A:$A,'SKU Order Report '!T$1)</f>
        <v>9</v>
      </c>
    </row>
    <row r="71" ht="15.75" customHeight="1">
      <c r="A71" s="10" t="str">
        <f t="array" ref="A71">_xlfn.XLOOKUP(C71,'Business - Dump'!$D:$D,'Business - Dump'!$B:$B)</f>
        <v>Standing Table  - E1A</v>
      </c>
      <c r="B71" s="10" t="str">
        <f t="array" ref="B71">_xlfn.XLOOKUP(C71,'Referanc '!$A:$A,'Referanc '!$D:$D)</f>
        <v>EY HAT 2M3S WHT E1A V02 PW 600X1200</v>
      </c>
      <c r="C71" s="10" t="s">
        <v>384</v>
      </c>
      <c r="D71" s="3">
        <f>SUMIFS('Business - Dump'!$W:$W,'Business - Dump'!$D:$D,'SKU Order Report '!$C71,'Business - Dump'!$A:$A,'SKU Order Report '!D$1)</f>
        <v>0</v>
      </c>
      <c r="E71" s="3">
        <f>SUMIFS('Business - Dump'!$W:$W,'Business - Dump'!$D:$D,'SKU Order Report '!$C71,'Business - Dump'!$A:$A,'SKU Order Report '!E$1)</f>
        <v>0</v>
      </c>
      <c r="F71" s="3">
        <f>SUMIFS('Business - Dump'!$W:$W,'Business - Dump'!$D:$D,'SKU Order Report '!$C71,'Business - Dump'!$A:$A,'SKU Order Report '!F$1)</f>
        <v>0</v>
      </c>
      <c r="G71" s="3">
        <f>SUMIFS('Business - Dump'!$W:$W,'Business - Dump'!$D:$D,'SKU Order Report '!$C71,'Business - Dump'!$A:$A,'SKU Order Report '!G$1)</f>
        <v>0</v>
      </c>
      <c r="H71" s="3">
        <f>SUMIFS('Business - Dump'!$W:$W,'Business - Dump'!$D:$D,'SKU Order Report '!$C71,'Business - Dump'!$A:$A,'SKU Order Report '!H$1)</f>
        <v>1</v>
      </c>
      <c r="I71" s="3">
        <f>SUMIFS('Business - Dump'!$W:$W,'Business - Dump'!$D:$D,'SKU Order Report '!$C71,'Business - Dump'!$A:$A,'SKU Order Report '!I$1)</f>
        <v>3</v>
      </c>
      <c r="J71" s="3">
        <f>SUMIFS('Business - Dump'!$W:$W,'Business - Dump'!$D:$D,'SKU Order Report '!$C71,'Business - Dump'!$A:$A,'SKU Order Report '!J$1)</f>
        <v>0</v>
      </c>
      <c r="K71" s="3">
        <f>SUMIFS('Business - Dump'!$W:$W,'Business - Dump'!$D:$D,'SKU Order Report '!$C71,'Business - Dump'!$A:$A,'SKU Order Report '!K$1)</f>
        <v>0</v>
      </c>
      <c r="L71" s="3">
        <f>SUMIFS('Business - Dump'!$W:$W,'Business - Dump'!$D:$D,'SKU Order Report '!$C71,'Business - Dump'!$A:$A,'SKU Order Report '!L$1)</f>
        <v>2</v>
      </c>
      <c r="M71" s="3">
        <f>SUMIFS('Business - Dump'!$W:$W,'Business - Dump'!$D:$D,'SKU Order Report '!$C71,'Business - Dump'!$A:$A,'SKU Order Report '!M$1)</f>
        <v>0</v>
      </c>
      <c r="N71" s="3">
        <f>SUMIFS('Business - Dump'!$W:$W,'Business - Dump'!$D:$D,'SKU Order Report '!$C71,'Business - Dump'!$A:$A,'SKU Order Report '!N$1)</f>
        <v>1</v>
      </c>
      <c r="O71" s="3">
        <f>SUMIFS('Business - Dump'!$W:$W,'Business - Dump'!$D:$D,'SKU Order Report '!$C71,'Business - Dump'!$A:$A,'SKU Order Report '!O$1)</f>
        <v>1</v>
      </c>
      <c r="P71" s="3">
        <f>SUMIFS('Business - Dump'!$W:$W,'Business - Dump'!$D:$D,'SKU Order Report '!$C71,'Business - Dump'!$A:$A,'SKU Order Report '!P$1)</f>
        <v>0</v>
      </c>
      <c r="Q71" s="3">
        <f>SUMIFS('Business - Dump'!$W:$W,'Business - Dump'!$D:$D,'SKU Order Report '!$C71,'Business - Dump'!$A:$A,'SKU Order Report '!Q$1)</f>
        <v>0</v>
      </c>
      <c r="R71" s="3">
        <f>SUMIFS('Business - Dump'!$W:$W,'Business - Dump'!$D:$D,'SKU Order Report '!$C71,'Business - Dump'!$A:$A,'SKU Order Report '!R$1)</f>
        <v>0</v>
      </c>
      <c r="S71" s="3">
        <f>SUMIFS('Business - Dump'!$W:$W,'Business - Dump'!$D:$D,'SKU Order Report '!$C71,'Business - Dump'!$A:$A,'SKU Order Report '!S$1)</f>
        <v>2</v>
      </c>
      <c r="T71" s="3">
        <f>SUMIFS('Business - Dump'!$W:$W,'Business - Dump'!$D:$D,'SKU Order Report '!$C71,'Business - Dump'!$A:$A,'SKU Order Report '!T$1)</f>
        <v>2</v>
      </c>
    </row>
    <row r="72" ht="15.75" customHeight="1">
      <c r="A72" s="10" t="str">
        <f t="array" ref="A72">_xlfn.XLOOKUP(C72,'Business - Dump'!$D:$D,'Business - Dump'!$B:$B)</f>
        <v>Standing Table  - E4</v>
      </c>
      <c r="B72" s="10" t="str">
        <f t="array" ref="B72">_xlfn.XLOOKUP(C72,'Referanc '!$A:$A,'Referanc '!$D:$D)</f>
        <v>EY HAT 2M2S WHT E4 V02 PW 750X1500</v>
      </c>
      <c r="C72" s="10" t="s">
        <v>398</v>
      </c>
      <c r="D72" s="3">
        <f>SUMIFS('Business - Dump'!$W:$W,'Business - Dump'!$D:$D,'SKU Order Report '!$C72,'Business - Dump'!$A:$A,'SKU Order Report '!D$1)</f>
        <v>0</v>
      </c>
      <c r="E72" s="3">
        <f>SUMIFS('Business - Dump'!$W:$W,'Business - Dump'!$D:$D,'SKU Order Report '!$C72,'Business - Dump'!$A:$A,'SKU Order Report '!E$1)</f>
        <v>0</v>
      </c>
      <c r="F72" s="3">
        <f>SUMIFS('Business - Dump'!$W:$W,'Business - Dump'!$D:$D,'SKU Order Report '!$C72,'Business - Dump'!$A:$A,'SKU Order Report '!F$1)</f>
        <v>0</v>
      </c>
      <c r="G72" s="3">
        <f>SUMIFS('Business - Dump'!$W:$W,'Business - Dump'!$D:$D,'SKU Order Report '!$C72,'Business - Dump'!$A:$A,'SKU Order Report '!G$1)</f>
        <v>0</v>
      </c>
      <c r="H72" s="3">
        <f>SUMIFS('Business - Dump'!$W:$W,'Business - Dump'!$D:$D,'SKU Order Report '!$C72,'Business - Dump'!$A:$A,'SKU Order Report '!H$1)</f>
        <v>1</v>
      </c>
      <c r="I72" s="3">
        <f>SUMIFS('Business - Dump'!$W:$W,'Business - Dump'!$D:$D,'SKU Order Report '!$C72,'Business - Dump'!$A:$A,'SKU Order Report '!I$1)</f>
        <v>4</v>
      </c>
      <c r="J72" s="3">
        <f>SUMIFS('Business - Dump'!$W:$W,'Business - Dump'!$D:$D,'SKU Order Report '!$C72,'Business - Dump'!$A:$A,'SKU Order Report '!J$1)</f>
        <v>20</v>
      </c>
      <c r="K72" s="3">
        <f>SUMIFS('Business - Dump'!$W:$W,'Business - Dump'!$D:$D,'SKU Order Report '!$C72,'Business - Dump'!$A:$A,'SKU Order Report '!K$1)</f>
        <v>6</v>
      </c>
      <c r="L72" s="3">
        <f>SUMIFS('Business - Dump'!$W:$W,'Business - Dump'!$D:$D,'SKU Order Report '!$C72,'Business - Dump'!$A:$A,'SKU Order Report '!L$1)</f>
        <v>3</v>
      </c>
      <c r="M72" s="3">
        <f>SUMIFS('Business - Dump'!$W:$W,'Business - Dump'!$D:$D,'SKU Order Report '!$C72,'Business - Dump'!$A:$A,'SKU Order Report '!M$1)</f>
        <v>3</v>
      </c>
      <c r="N72" s="3">
        <f>SUMIFS('Business - Dump'!$W:$W,'Business - Dump'!$D:$D,'SKU Order Report '!$C72,'Business - Dump'!$A:$A,'SKU Order Report '!N$1)</f>
        <v>15</v>
      </c>
      <c r="O72" s="3">
        <f>SUMIFS('Business - Dump'!$W:$W,'Business - Dump'!$D:$D,'SKU Order Report '!$C72,'Business - Dump'!$A:$A,'SKU Order Report '!O$1)</f>
        <v>4</v>
      </c>
      <c r="P72" s="3">
        <f>SUMIFS('Business - Dump'!$W:$W,'Business - Dump'!$D:$D,'SKU Order Report '!$C72,'Business - Dump'!$A:$A,'SKU Order Report '!P$1)</f>
        <v>4</v>
      </c>
      <c r="Q72" s="3">
        <f>SUMIFS('Business - Dump'!$W:$W,'Business - Dump'!$D:$D,'SKU Order Report '!$C72,'Business - Dump'!$A:$A,'SKU Order Report '!Q$1)</f>
        <v>1</v>
      </c>
      <c r="R72" s="3">
        <f>SUMIFS('Business - Dump'!$W:$W,'Business - Dump'!$D:$D,'SKU Order Report '!$C72,'Business - Dump'!$A:$A,'SKU Order Report '!R$1)</f>
        <v>5</v>
      </c>
      <c r="S72" s="3">
        <f>SUMIFS('Business - Dump'!$W:$W,'Business - Dump'!$D:$D,'SKU Order Report '!$C72,'Business - Dump'!$A:$A,'SKU Order Report '!S$1)</f>
        <v>4</v>
      </c>
      <c r="T72" s="3">
        <f>SUMIFS('Business - Dump'!$W:$W,'Business - Dump'!$D:$D,'SKU Order Report '!$C72,'Business - Dump'!$A:$A,'SKU Order Report '!T$1)</f>
        <v>3</v>
      </c>
    </row>
    <row r="73" ht="15.75" customHeight="1">
      <c r="A73" s="10" t="str">
        <f t="array" ref="A73">_xlfn.XLOOKUP(C73,'Business - Dump'!$D:$D,'Business - Dump'!$B:$B)</f>
        <v>Standing Table - All Frames</v>
      </c>
      <c r="B73" s="10" t="str">
        <f t="array" ref="B73">_xlfn.XLOOKUP(C73,'Referanc '!$A:$A,'Referanc '!$D:$D)</f>
        <v>EY HAT 2M3S WHT E1A V02</v>
      </c>
      <c r="C73" s="10" t="s">
        <v>399</v>
      </c>
      <c r="D73" s="3">
        <f>SUMIFS('Business - Dump'!$W:$W,'Business - Dump'!$D:$D,'SKU Order Report '!$C73,'Business - Dump'!$A:$A,'SKU Order Report '!D$1)</f>
        <v>0</v>
      </c>
      <c r="E73" s="3">
        <f>SUMIFS('Business - Dump'!$W:$W,'Business - Dump'!$D:$D,'SKU Order Report '!$C73,'Business - Dump'!$A:$A,'SKU Order Report '!E$1)</f>
        <v>0</v>
      </c>
      <c r="F73" s="3">
        <f>SUMIFS('Business - Dump'!$W:$W,'Business - Dump'!$D:$D,'SKU Order Report '!$C73,'Business - Dump'!$A:$A,'SKU Order Report '!F$1)</f>
        <v>0</v>
      </c>
      <c r="G73" s="3">
        <f>SUMIFS('Business - Dump'!$W:$W,'Business - Dump'!$D:$D,'SKU Order Report '!$C73,'Business - Dump'!$A:$A,'SKU Order Report '!G$1)</f>
        <v>0</v>
      </c>
      <c r="H73" s="3">
        <f>SUMIFS('Business - Dump'!$W:$W,'Business - Dump'!$D:$D,'SKU Order Report '!$C73,'Business - Dump'!$A:$A,'SKU Order Report '!H$1)</f>
        <v>1</v>
      </c>
      <c r="I73" s="3">
        <f>SUMIFS('Business - Dump'!$W:$W,'Business - Dump'!$D:$D,'SKU Order Report '!$C73,'Business - Dump'!$A:$A,'SKU Order Report '!I$1)</f>
        <v>2</v>
      </c>
      <c r="J73" s="3">
        <f>SUMIFS('Business - Dump'!$W:$W,'Business - Dump'!$D:$D,'SKU Order Report '!$C73,'Business - Dump'!$A:$A,'SKU Order Report '!J$1)</f>
        <v>1</v>
      </c>
      <c r="K73" s="3">
        <f>SUMIFS('Business - Dump'!$W:$W,'Business - Dump'!$D:$D,'SKU Order Report '!$C73,'Business - Dump'!$A:$A,'SKU Order Report '!K$1)</f>
        <v>2</v>
      </c>
      <c r="L73" s="3">
        <f>SUMIFS('Business - Dump'!$W:$W,'Business - Dump'!$D:$D,'SKU Order Report '!$C73,'Business - Dump'!$A:$A,'SKU Order Report '!L$1)</f>
        <v>3</v>
      </c>
      <c r="M73" s="3">
        <f>SUMIFS('Business - Dump'!$W:$W,'Business - Dump'!$D:$D,'SKU Order Report '!$C73,'Business - Dump'!$A:$A,'SKU Order Report '!M$1)</f>
        <v>0</v>
      </c>
      <c r="N73" s="3">
        <f>SUMIFS('Business - Dump'!$W:$W,'Business - Dump'!$D:$D,'SKU Order Report '!$C73,'Business - Dump'!$A:$A,'SKU Order Report '!N$1)</f>
        <v>7</v>
      </c>
      <c r="O73" s="3">
        <f>SUMIFS('Business - Dump'!$W:$W,'Business - Dump'!$D:$D,'SKU Order Report '!$C73,'Business - Dump'!$A:$A,'SKU Order Report '!O$1)</f>
        <v>7</v>
      </c>
      <c r="P73" s="3">
        <f>SUMIFS('Business - Dump'!$W:$W,'Business - Dump'!$D:$D,'SKU Order Report '!$C73,'Business - Dump'!$A:$A,'SKU Order Report '!P$1)</f>
        <v>1</v>
      </c>
      <c r="Q73" s="3">
        <f>SUMIFS('Business - Dump'!$W:$W,'Business - Dump'!$D:$D,'SKU Order Report '!$C73,'Business - Dump'!$A:$A,'SKU Order Report '!Q$1)</f>
        <v>0</v>
      </c>
      <c r="R73" s="3">
        <f>SUMIFS('Business - Dump'!$W:$W,'Business - Dump'!$D:$D,'SKU Order Report '!$C73,'Business - Dump'!$A:$A,'SKU Order Report '!R$1)</f>
        <v>0</v>
      </c>
      <c r="S73" s="3">
        <f>SUMIFS('Business - Dump'!$W:$W,'Business - Dump'!$D:$D,'SKU Order Report '!$C73,'Business - Dump'!$A:$A,'SKU Order Report '!S$1)</f>
        <v>1</v>
      </c>
      <c r="T73" s="3">
        <f>SUMIFS('Business - Dump'!$W:$W,'Business - Dump'!$D:$D,'SKU Order Report '!$C73,'Business - Dump'!$A:$A,'SKU Order Report '!T$1)</f>
        <v>1</v>
      </c>
    </row>
    <row r="74" ht="15.75" customHeight="1">
      <c r="A74" s="10" t="str">
        <f t="array" ref="A74">_xlfn.XLOOKUP(C74,'Business - Dump'!$D:$D,'Business - Dump'!$B:$B)</f>
        <v>Standing Table  - E1A</v>
      </c>
      <c r="B74" s="10" t="str">
        <f t="array" ref="B74">_xlfn.XLOOKUP(C74,'Referanc '!$A:$A,'Referanc '!$D:$D)</f>
        <v>EY HAT 2M3S WHT E1A V02 WG 750X1500</v>
      </c>
      <c r="C74" s="10" t="s">
        <v>385</v>
      </c>
      <c r="D74" s="3">
        <f>SUMIFS('Business - Dump'!$W:$W,'Business - Dump'!$D:$D,'SKU Order Report '!$C74,'Business - Dump'!$A:$A,'SKU Order Report '!D$1)</f>
        <v>0</v>
      </c>
      <c r="E74" s="3">
        <f>SUMIFS('Business - Dump'!$W:$W,'Business - Dump'!$D:$D,'SKU Order Report '!$C74,'Business - Dump'!$A:$A,'SKU Order Report '!E$1)</f>
        <v>0</v>
      </c>
      <c r="F74" s="3">
        <f>SUMIFS('Business - Dump'!$W:$W,'Business - Dump'!$D:$D,'SKU Order Report '!$C74,'Business - Dump'!$A:$A,'SKU Order Report '!F$1)</f>
        <v>0</v>
      </c>
      <c r="G74" s="3">
        <f>SUMIFS('Business - Dump'!$W:$W,'Business - Dump'!$D:$D,'SKU Order Report '!$C74,'Business - Dump'!$A:$A,'SKU Order Report '!G$1)</f>
        <v>0</v>
      </c>
      <c r="H74" s="3">
        <f>SUMIFS('Business - Dump'!$W:$W,'Business - Dump'!$D:$D,'SKU Order Report '!$C74,'Business - Dump'!$A:$A,'SKU Order Report '!H$1)</f>
        <v>1</v>
      </c>
      <c r="I74" s="3">
        <f>SUMIFS('Business - Dump'!$W:$W,'Business - Dump'!$D:$D,'SKU Order Report '!$C74,'Business - Dump'!$A:$A,'SKU Order Report '!I$1)</f>
        <v>2</v>
      </c>
      <c r="J74" s="3">
        <f>SUMIFS('Business - Dump'!$W:$W,'Business - Dump'!$D:$D,'SKU Order Report '!$C74,'Business - Dump'!$A:$A,'SKU Order Report '!J$1)</f>
        <v>5</v>
      </c>
      <c r="K74" s="3">
        <f>SUMIFS('Business - Dump'!$W:$W,'Business - Dump'!$D:$D,'SKU Order Report '!$C74,'Business - Dump'!$A:$A,'SKU Order Report '!K$1)</f>
        <v>4</v>
      </c>
      <c r="L74" s="3">
        <f>SUMIFS('Business - Dump'!$W:$W,'Business - Dump'!$D:$D,'SKU Order Report '!$C74,'Business - Dump'!$A:$A,'SKU Order Report '!L$1)</f>
        <v>5</v>
      </c>
      <c r="M74" s="3">
        <f>SUMIFS('Business - Dump'!$W:$W,'Business - Dump'!$D:$D,'SKU Order Report '!$C74,'Business - Dump'!$A:$A,'SKU Order Report '!M$1)</f>
        <v>1</v>
      </c>
      <c r="N74" s="3">
        <f>SUMIFS('Business - Dump'!$W:$W,'Business - Dump'!$D:$D,'SKU Order Report '!$C74,'Business - Dump'!$A:$A,'SKU Order Report '!N$1)</f>
        <v>3</v>
      </c>
      <c r="O74" s="3">
        <f>SUMIFS('Business - Dump'!$W:$W,'Business - Dump'!$D:$D,'SKU Order Report '!$C74,'Business - Dump'!$A:$A,'SKU Order Report '!O$1)</f>
        <v>2</v>
      </c>
      <c r="P74" s="3">
        <f>SUMIFS('Business - Dump'!$W:$W,'Business - Dump'!$D:$D,'SKU Order Report '!$C74,'Business - Dump'!$A:$A,'SKU Order Report '!P$1)</f>
        <v>0</v>
      </c>
      <c r="Q74" s="3">
        <f>SUMIFS('Business - Dump'!$W:$W,'Business - Dump'!$D:$D,'SKU Order Report '!$C74,'Business - Dump'!$A:$A,'SKU Order Report '!Q$1)</f>
        <v>1</v>
      </c>
      <c r="R74" s="3">
        <f>SUMIFS('Business - Dump'!$W:$W,'Business - Dump'!$D:$D,'SKU Order Report '!$C74,'Business - Dump'!$A:$A,'SKU Order Report '!R$1)</f>
        <v>0</v>
      </c>
      <c r="S74" s="3">
        <f>SUMIFS('Business - Dump'!$W:$W,'Business - Dump'!$D:$D,'SKU Order Report '!$C74,'Business - Dump'!$A:$A,'SKU Order Report '!S$1)</f>
        <v>1</v>
      </c>
      <c r="T74" s="3">
        <f>SUMIFS('Business - Dump'!$W:$W,'Business - Dump'!$D:$D,'SKU Order Report '!$C74,'Business - Dump'!$A:$A,'SKU Order Report '!T$1)</f>
        <v>0</v>
      </c>
    </row>
    <row r="75" ht="15.75" customHeight="1">
      <c r="A75" s="10" t="str">
        <f t="array" ref="A75">_xlfn.XLOOKUP(C75,'Business - Dump'!$D:$D,'Business - Dump'!$B:$B)</f>
        <v>Standing Table  - SM3</v>
      </c>
      <c r="B75" s="10" t="str">
        <f t="array" ref="B75">_xlfn.XLOOKUP(C75,'Referanc '!$A:$A,'Referanc '!$D:$D)</f>
        <v>EY HAT 1M 2S BLK SM3 V02 WG 600X1200</v>
      </c>
      <c r="C75" s="10" t="s">
        <v>401</v>
      </c>
      <c r="D75" s="3">
        <f>SUMIFS('Business - Dump'!$W:$W,'Business - Dump'!$D:$D,'SKU Order Report '!$C75,'Business - Dump'!$A:$A,'SKU Order Report '!D$1)</f>
        <v>0</v>
      </c>
      <c r="E75" s="3">
        <f>SUMIFS('Business - Dump'!$W:$W,'Business - Dump'!$D:$D,'SKU Order Report '!$C75,'Business - Dump'!$A:$A,'SKU Order Report '!E$1)</f>
        <v>0</v>
      </c>
      <c r="F75" s="3">
        <f>SUMIFS('Business - Dump'!$W:$W,'Business - Dump'!$D:$D,'SKU Order Report '!$C75,'Business - Dump'!$A:$A,'SKU Order Report '!F$1)</f>
        <v>0</v>
      </c>
      <c r="G75" s="3">
        <f>SUMIFS('Business - Dump'!$W:$W,'Business - Dump'!$D:$D,'SKU Order Report '!$C75,'Business - Dump'!$A:$A,'SKU Order Report '!G$1)</f>
        <v>0</v>
      </c>
      <c r="H75" s="3">
        <f>SUMIFS('Business - Dump'!$W:$W,'Business - Dump'!$D:$D,'SKU Order Report '!$C75,'Business - Dump'!$A:$A,'SKU Order Report '!H$1)</f>
        <v>0</v>
      </c>
      <c r="I75" s="3">
        <f>SUMIFS('Business - Dump'!$W:$W,'Business - Dump'!$D:$D,'SKU Order Report '!$C75,'Business - Dump'!$A:$A,'SKU Order Report '!I$1)</f>
        <v>2</v>
      </c>
      <c r="J75" s="3">
        <f>SUMIFS('Business - Dump'!$W:$W,'Business - Dump'!$D:$D,'SKU Order Report '!$C75,'Business - Dump'!$A:$A,'SKU Order Report '!J$1)</f>
        <v>0</v>
      </c>
      <c r="K75" s="3">
        <f>SUMIFS('Business - Dump'!$W:$W,'Business - Dump'!$D:$D,'SKU Order Report '!$C75,'Business - Dump'!$A:$A,'SKU Order Report '!K$1)</f>
        <v>1</v>
      </c>
      <c r="L75" s="3">
        <f>SUMIFS('Business - Dump'!$W:$W,'Business - Dump'!$D:$D,'SKU Order Report '!$C75,'Business - Dump'!$A:$A,'SKU Order Report '!L$1)</f>
        <v>4</v>
      </c>
      <c r="M75" s="3">
        <f>SUMIFS('Business - Dump'!$W:$W,'Business - Dump'!$D:$D,'SKU Order Report '!$C75,'Business - Dump'!$A:$A,'SKU Order Report '!M$1)</f>
        <v>4</v>
      </c>
      <c r="N75" s="3">
        <f>SUMIFS('Business - Dump'!$W:$W,'Business - Dump'!$D:$D,'SKU Order Report '!$C75,'Business - Dump'!$A:$A,'SKU Order Report '!N$1)</f>
        <v>5</v>
      </c>
      <c r="O75" s="3">
        <f>SUMIFS('Business - Dump'!$W:$W,'Business - Dump'!$D:$D,'SKU Order Report '!$C75,'Business - Dump'!$A:$A,'SKU Order Report '!O$1)</f>
        <v>2</v>
      </c>
      <c r="P75" s="3">
        <f>SUMIFS('Business - Dump'!$W:$W,'Business - Dump'!$D:$D,'SKU Order Report '!$C75,'Business - Dump'!$A:$A,'SKU Order Report '!P$1)</f>
        <v>0</v>
      </c>
      <c r="Q75" s="3">
        <f>SUMIFS('Business - Dump'!$W:$W,'Business - Dump'!$D:$D,'SKU Order Report '!$C75,'Business - Dump'!$A:$A,'SKU Order Report '!Q$1)</f>
        <v>1</v>
      </c>
      <c r="R75" s="3">
        <f>SUMIFS('Business - Dump'!$W:$W,'Business - Dump'!$D:$D,'SKU Order Report '!$C75,'Business - Dump'!$A:$A,'SKU Order Report '!R$1)</f>
        <v>2</v>
      </c>
      <c r="S75" s="3">
        <f>SUMIFS('Business - Dump'!$W:$W,'Business - Dump'!$D:$D,'SKU Order Report '!$C75,'Business - Dump'!$A:$A,'SKU Order Report '!S$1)</f>
        <v>3</v>
      </c>
      <c r="T75" s="3">
        <f>SUMIFS('Business - Dump'!$W:$W,'Business - Dump'!$D:$D,'SKU Order Report '!$C75,'Business - Dump'!$A:$A,'SKU Order Report '!T$1)</f>
        <v>2</v>
      </c>
    </row>
    <row r="76" ht="15.75" customHeight="1">
      <c r="A76" s="10" t="str">
        <f t="array" ref="A76">_xlfn.XLOOKUP(C76,'Business - Dump'!$D:$D,'Business - Dump'!$B:$B)</f>
        <v>Standing Table - All Frames</v>
      </c>
      <c r="B76" s="10" t="str">
        <f t="array" ref="B76">_xlfn.XLOOKUP(C76,'Referanc '!$A:$A,'Referanc '!$D:$D)</f>
        <v>EY HAT 2M2S WHT E4 V02</v>
      </c>
      <c r="C76" s="10" t="s">
        <v>402</v>
      </c>
      <c r="D76" s="3">
        <f>SUMIFS('Business - Dump'!$W:$W,'Business - Dump'!$D:$D,'SKU Order Report '!$C76,'Business - Dump'!$A:$A,'SKU Order Report '!D$1)</f>
        <v>0</v>
      </c>
      <c r="E76" s="3">
        <f>SUMIFS('Business - Dump'!$W:$W,'Business - Dump'!$D:$D,'SKU Order Report '!$C76,'Business - Dump'!$A:$A,'SKU Order Report '!E$1)</f>
        <v>0</v>
      </c>
      <c r="F76" s="3">
        <f>SUMIFS('Business - Dump'!$W:$W,'Business - Dump'!$D:$D,'SKU Order Report '!$C76,'Business - Dump'!$A:$A,'SKU Order Report '!F$1)</f>
        <v>0</v>
      </c>
      <c r="G76" s="3">
        <f>SUMIFS('Business - Dump'!$W:$W,'Business - Dump'!$D:$D,'SKU Order Report '!$C76,'Business - Dump'!$A:$A,'SKU Order Report '!G$1)</f>
        <v>0</v>
      </c>
      <c r="H76" s="3">
        <f>SUMIFS('Business - Dump'!$W:$W,'Business - Dump'!$D:$D,'SKU Order Report '!$C76,'Business - Dump'!$A:$A,'SKU Order Report '!H$1)</f>
        <v>0</v>
      </c>
      <c r="I76" s="3">
        <f>SUMIFS('Business - Dump'!$W:$W,'Business - Dump'!$D:$D,'SKU Order Report '!$C76,'Business - Dump'!$A:$A,'SKU Order Report '!I$1)</f>
        <v>2</v>
      </c>
      <c r="J76" s="3">
        <f>SUMIFS('Business - Dump'!$W:$W,'Business - Dump'!$D:$D,'SKU Order Report '!$C76,'Business - Dump'!$A:$A,'SKU Order Report '!J$1)</f>
        <v>16</v>
      </c>
      <c r="K76" s="3">
        <f>SUMIFS('Business - Dump'!$W:$W,'Business - Dump'!$D:$D,'SKU Order Report '!$C76,'Business - Dump'!$A:$A,'SKU Order Report '!K$1)</f>
        <v>4</v>
      </c>
      <c r="L76" s="3">
        <f>SUMIFS('Business - Dump'!$W:$W,'Business - Dump'!$D:$D,'SKU Order Report '!$C76,'Business - Dump'!$A:$A,'SKU Order Report '!L$1)</f>
        <v>2</v>
      </c>
      <c r="M76" s="3">
        <f>SUMIFS('Business - Dump'!$W:$W,'Business - Dump'!$D:$D,'SKU Order Report '!$C76,'Business - Dump'!$A:$A,'SKU Order Report '!M$1)</f>
        <v>4</v>
      </c>
      <c r="N76" s="3">
        <f>SUMIFS('Business - Dump'!$W:$W,'Business - Dump'!$D:$D,'SKU Order Report '!$C76,'Business - Dump'!$A:$A,'SKU Order Report '!N$1)</f>
        <v>4</v>
      </c>
      <c r="O76" s="3">
        <f>SUMIFS('Business - Dump'!$W:$W,'Business - Dump'!$D:$D,'SKU Order Report '!$C76,'Business - Dump'!$A:$A,'SKU Order Report '!O$1)</f>
        <v>6</v>
      </c>
      <c r="P76" s="3">
        <f>SUMIFS('Business - Dump'!$W:$W,'Business - Dump'!$D:$D,'SKU Order Report '!$C76,'Business - Dump'!$A:$A,'SKU Order Report '!P$1)</f>
        <v>2</v>
      </c>
      <c r="Q76" s="3">
        <f>SUMIFS('Business - Dump'!$W:$W,'Business - Dump'!$D:$D,'SKU Order Report '!$C76,'Business - Dump'!$A:$A,'SKU Order Report '!Q$1)</f>
        <v>1</v>
      </c>
      <c r="R76" s="3">
        <f>SUMIFS('Business - Dump'!$W:$W,'Business - Dump'!$D:$D,'SKU Order Report '!$C76,'Business - Dump'!$A:$A,'SKU Order Report '!R$1)</f>
        <v>4</v>
      </c>
      <c r="S76" s="3">
        <f>SUMIFS('Business - Dump'!$W:$W,'Business - Dump'!$D:$D,'SKU Order Report '!$C76,'Business - Dump'!$A:$A,'SKU Order Report '!S$1)</f>
        <v>1</v>
      </c>
      <c r="T76" s="3">
        <f>SUMIFS('Business - Dump'!$W:$W,'Business - Dump'!$D:$D,'SKU Order Report '!$C76,'Business - Dump'!$A:$A,'SKU Order Report '!T$1)</f>
        <v>2</v>
      </c>
    </row>
    <row r="77" ht="15.75" customHeight="1">
      <c r="A77" s="10" t="str">
        <f t="array" ref="A77">_xlfn.XLOOKUP(C77,'Business - Dump'!$D:$D,'Business - Dump'!$B:$B)</f>
        <v>Standing Table  - M3</v>
      </c>
      <c r="B77" s="10" t="str">
        <f t="array" ref="B77">_xlfn.XLOOKUP(C77,'Referanc '!$A:$A,'Referanc '!$D:$D)</f>
        <v>HAT MT 2S BLK M3 BLK 600X1400</v>
      </c>
      <c r="C77" s="10" t="s">
        <v>403</v>
      </c>
      <c r="D77" s="3">
        <f>SUMIFS('Business - Dump'!$W:$W,'Business - Dump'!$D:$D,'SKU Order Report '!$C77,'Business - Dump'!$A:$A,'SKU Order Report '!D$1)</f>
        <v>0</v>
      </c>
      <c r="E77" s="3">
        <f>SUMIFS('Business - Dump'!$W:$W,'Business - Dump'!$D:$D,'SKU Order Report '!$C77,'Business - Dump'!$A:$A,'SKU Order Report '!E$1)</f>
        <v>0</v>
      </c>
      <c r="F77" s="3">
        <f>SUMIFS('Business - Dump'!$W:$W,'Business - Dump'!$D:$D,'SKU Order Report '!$C77,'Business - Dump'!$A:$A,'SKU Order Report '!F$1)</f>
        <v>0</v>
      </c>
      <c r="G77" s="3">
        <f>SUMIFS('Business - Dump'!$W:$W,'Business - Dump'!$D:$D,'SKU Order Report '!$C77,'Business - Dump'!$A:$A,'SKU Order Report '!G$1)</f>
        <v>0</v>
      </c>
      <c r="H77" s="3">
        <f>SUMIFS('Business - Dump'!$W:$W,'Business - Dump'!$D:$D,'SKU Order Report '!$C77,'Business - Dump'!$A:$A,'SKU Order Report '!H$1)</f>
        <v>0</v>
      </c>
      <c r="I77" s="3">
        <f>SUMIFS('Business - Dump'!$W:$W,'Business - Dump'!$D:$D,'SKU Order Report '!$C77,'Business - Dump'!$A:$A,'SKU Order Report '!I$1)</f>
        <v>1</v>
      </c>
      <c r="J77" s="3">
        <f>SUMIFS('Business - Dump'!$W:$W,'Business - Dump'!$D:$D,'SKU Order Report '!$C77,'Business - Dump'!$A:$A,'SKU Order Report '!J$1)</f>
        <v>0</v>
      </c>
      <c r="K77" s="3">
        <f>SUMIFS('Business - Dump'!$W:$W,'Business - Dump'!$D:$D,'SKU Order Report '!$C77,'Business - Dump'!$A:$A,'SKU Order Report '!K$1)</f>
        <v>6</v>
      </c>
      <c r="L77" s="3">
        <f>SUMIFS('Business - Dump'!$W:$W,'Business - Dump'!$D:$D,'SKU Order Report '!$C77,'Business - Dump'!$A:$A,'SKU Order Report '!L$1)</f>
        <v>3</v>
      </c>
      <c r="M77" s="3">
        <f>SUMIFS('Business - Dump'!$W:$W,'Business - Dump'!$D:$D,'SKU Order Report '!$C77,'Business - Dump'!$A:$A,'SKU Order Report '!M$1)</f>
        <v>0</v>
      </c>
      <c r="N77" s="3">
        <f>SUMIFS('Business - Dump'!$W:$W,'Business - Dump'!$D:$D,'SKU Order Report '!$C77,'Business - Dump'!$A:$A,'SKU Order Report '!N$1)</f>
        <v>0</v>
      </c>
      <c r="O77" s="3">
        <f>SUMIFS('Business - Dump'!$W:$W,'Business - Dump'!$D:$D,'SKU Order Report '!$C77,'Business - Dump'!$A:$A,'SKU Order Report '!O$1)</f>
        <v>0</v>
      </c>
      <c r="P77" s="3">
        <f>SUMIFS('Business - Dump'!$W:$W,'Business - Dump'!$D:$D,'SKU Order Report '!$C77,'Business - Dump'!$A:$A,'SKU Order Report '!P$1)</f>
        <v>0</v>
      </c>
      <c r="Q77" s="3">
        <f>SUMIFS('Business - Dump'!$W:$W,'Business - Dump'!$D:$D,'SKU Order Report '!$C77,'Business - Dump'!$A:$A,'SKU Order Report '!Q$1)</f>
        <v>0</v>
      </c>
      <c r="R77" s="3">
        <f>SUMIFS('Business - Dump'!$W:$W,'Business - Dump'!$D:$D,'SKU Order Report '!$C77,'Business - Dump'!$A:$A,'SKU Order Report '!R$1)</f>
        <v>1</v>
      </c>
      <c r="S77" s="3">
        <f>SUMIFS('Business - Dump'!$W:$W,'Business - Dump'!$D:$D,'SKU Order Report '!$C77,'Business - Dump'!$A:$A,'SKU Order Report '!S$1)</f>
        <v>1</v>
      </c>
      <c r="T77" s="3">
        <f>SUMIFS('Business - Dump'!$W:$W,'Business - Dump'!$D:$D,'SKU Order Report '!$C77,'Business - Dump'!$A:$A,'SKU Order Report '!T$1)</f>
        <v>4</v>
      </c>
    </row>
    <row r="78" ht="15.75" customHeight="1">
      <c r="A78" s="10" t="str">
        <f t="array" ref="A78">_xlfn.XLOOKUP(C78,'Business - Dump'!$D:$D,'Business - Dump'!$B:$B)</f>
        <v>Standing Table  - E3</v>
      </c>
      <c r="B78" s="10" t="str">
        <f t="array" ref="B78">_xlfn.XLOOKUP(C78,'Referanc '!$A:$A,'Referanc '!$D:$D)</f>
        <v>EY HAT 2M 3S BLK E3 VO3 WG 600 X 1200</v>
      </c>
      <c r="C78" s="10" t="s">
        <v>397</v>
      </c>
      <c r="D78" s="3">
        <f>SUMIFS('Business - Dump'!$W:$W,'Business - Dump'!$D:$D,'SKU Order Report '!$C78,'Business - Dump'!$A:$A,'SKU Order Report '!D$1)</f>
        <v>0</v>
      </c>
      <c r="E78" s="3">
        <f>SUMIFS('Business - Dump'!$W:$W,'Business - Dump'!$D:$D,'SKU Order Report '!$C78,'Business - Dump'!$A:$A,'SKU Order Report '!E$1)</f>
        <v>0</v>
      </c>
      <c r="F78" s="3">
        <f>SUMIFS('Business - Dump'!$W:$W,'Business - Dump'!$D:$D,'SKU Order Report '!$C78,'Business - Dump'!$A:$A,'SKU Order Report '!F$1)</f>
        <v>0</v>
      </c>
      <c r="G78" s="3">
        <f>SUMIFS('Business - Dump'!$W:$W,'Business - Dump'!$D:$D,'SKU Order Report '!$C78,'Business - Dump'!$A:$A,'SKU Order Report '!G$1)</f>
        <v>0</v>
      </c>
      <c r="H78" s="3">
        <f>SUMIFS('Business - Dump'!$W:$W,'Business - Dump'!$D:$D,'SKU Order Report '!$C78,'Business - Dump'!$A:$A,'SKU Order Report '!H$1)</f>
        <v>0</v>
      </c>
      <c r="I78" s="3">
        <f>SUMIFS('Business - Dump'!$W:$W,'Business - Dump'!$D:$D,'SKU Order Report '!$C78,'Business - Dump'!$A:$A,'SKU Order Report '!I$1)</f>
        <v>1</v>
      </c>
      <c r="J78" s="3">
        <f>SUMIFS('Business - Dump'!$W:$W,'Business - Dump'!$D:$D,'SKU Order Report '!$C78,'Business - Dump'!$A:$A,'SKU Order Report '!J$1)</f>
        <v>0</v>
      </c>
      <c r="K78" s="3">
        <f>SUMIFS('Business - Dump'!$W:$W,'Business - Dump'!$D:$D,'SKU Order Report '!$C78,'Business - Dump'!$A:$A,'SKU Order Report '!K$1)</f>
        <v>0</v>
      </c>
      <c r="L78" s="3">
        <f>SUMIFS('Business - Dump'!$W:$W,'Business - Dump'!$D:$D,'SKU Order Report '!$C78,'Business - Dump'!$A:$A,'SKU Order Report '!L$1)</f>
        <v>0</v>
      </c>
      <c r="M78" s="3">
        <f>SUMIFS('Business - Dump'!$W:$W,'Business - Dump'!$D:$D,'SKU Order Report '!$C78,'Business - Dump'!$A:$A,'SKU Order Report '!M$1)</f>
        <v>0</v>
      </c>
      <c r="N78" s="3">
        <f>SUMIFS('Business - Dump'!$W:$W,'Business - Dump'!$D:$D,'SKU Order Report '!$C78,'Business - Dump'!$A:$A,'SKU Order Report '!N$1)</f>
        <v>0</v>
      </c>
      <c r="O78" s="3">
        <f>SUMIFS('Business - Dump'!$W:$W,'Business - Dump'!$D:$D,'SKU Order Report '!$C78,'Business - Dump'!$A:$A,'SKU Order Report '!O$1)</f>
        <v>0</v>
      </c>
      <c r="P78" s="3">
        <f>SUMIFS('Business - Dump'!$W:$W,'Business - Dump'!$D:$D,'SKU Order Report '!$C78,'Business - Dump'!$A:$A,'SKU Order Report '!P$1)</f>
        <v>0</v>
      </c>
      <c r="Q78" s="3">
        <f>SUMIFS('Business - Dump'!$W:$W,'Business - Dump'!$D:$D,'SKU Order Report '!$C78,'Business - Dump'!$A:$A,'SKU Order Report '!Q$1)</f>
        <v>0</v>
      </c>
      <c r="R78" s="3">
        <f>SUMIFS('Business - Dump'!$W:$W,'Business - Dump'!$D:$D,'SKU Order Report '!$C78,'Business - Dump'!$A:$A,'SKU Order Report '!R$1)</f>
        <v>1</v>
      </c>
      <c r="S78" s="3">
        <f>SUMIFS('Business - Dump'!$W:$W,'Business - Dump'!$D:$D,'SKU Order Report '!$C78,'Business - Dump'!$A:$A,'SKU Order Report '!S$1)</f>
        <v>0</v>
      </c>
      <c r="T78" s="3">
        <f>SUMIFS('Business - Dump'!$W:$W,'Business - Dump'!$D:$D,'SKU Order Report '!$C78,'Business - Dump'!$A:$A,'SKU Order Report '!T$1)</f>
        <v>0</v>
      </c>
    </row>
    <row r="79" ht="15.75" customHeight="1">
      <c r="A79" s="10" t="str">
        <f t="array" ref="A79">_xlfn.XLOOKUP(C79,'Business - Dump'!$D:$D,'Business - Dump'!$B:$B)</f>
        <v>Standing Table  - E3</v>
      </c>
      <c r="B79" s="10" t="str">
        <f t="array" ref="B79">_xlfn.XLOOKUP(C79,'Referanc '!$A:$A,'Referanc '!$D:$D)</f>
        <v>EY HAT 2M 3S BLK E3 VO3 PW 7500 X 1500</v>
      </c>
      <c r="C79" s="10" t="s">
        <v>400</v>
      </c>
      <c r="D79" s="3">
        <f>SUMIFS('Business - Dump'!$W:$W,'Business - Dump'!$D:$D,'SKU Order Report '!$C79,'Business - Dump'!$A:$A,'SKU Order Report '!D$1)</f>
        <v>0</v>
      </c>
      <c r="E79" s="3">
        <f>SUMIFS('Business - Dump'!$W:$W,'Business - Dump'!$D:$D,'SKU Order Report '!$C79,'Business - Dump'!$A:$A,'SKU Order Report '!E$1)</f>
        <v>0</v>
      </c>
      <c r="F79" s="3">
        <f>SUMIFS('Business - Dump'!$W:$W,'Business - Dump'!$D:$D,'SKU Order Report '!$C79,'Business - Dump'!$A:$A,'SKU Order Report '!F$1)</f>
        <v>0</v>
      </c>
      <c r="G79" s="3">
        <f>SUMIFS('Business - Dump'!$W:$W,'Business - Dump'!$D:$D,'SKU Order Report '!$C79,'Business - Dump'!$A:$A,'SKU Order Report '!G$1)</f>
        <v>0</v>
      </c>
      <c r="H79" s="3">
        <f>SUMIFS('Business - Dump'!$W:$W,'Business - Dump'!$D:$D,'SKU Order Report '!$C79,'Business - Dump'!$A:$A,'SKU Order Report '!H$1)</f>
        <v>0</v>
      </c>
      <c r="I79" s="3">
        <f>SUMIFS('Business - Dump'!$W:$W,'Business - Dump'!$D:$D,'SKU Order Report '!$C79,'Business - Dump'!$A:$A,'SKU Order Report '!I$1)</f>
        <v>1</v>
      </c>
      <c r="J79" s="3">
        <f>SUMIFS('Business - Dump'!$W:$W,'Business - Dump'!$D:$D,'SKU Order Report '!$C79,'Business - Dump'!$A:$A,'SKU Order Report '!J$1)</f>
        <v>0</v>
      </c>
      <c r="K79" s="3">
        <f>SUMIFS('Business - Dump'!$W:$W,'Business - Dump'!$D:$D,'SKU Order Report '!$C79,'Business - Dump'!$A:$A,'SKU Order Report '!K$1)</f>
        <v>0</v>
      </c>
      <c r="L79" s="3">
        <f>SUMIFS('Business - Dump'!$W:$W,'Business - Dump'!$D:$D,'SKU Order Report '!$C79,'Business - Dump'!$A:$A,'SKU Order Report '!L$1)</f>
        <v>0</v>
      </c>
      <c r="M79" s="3">
        <f>SUMIFS('Business - Dump'!$W:$W,'Business - Dump'!$D:$D,'SKU Order Report '!$C79,'Business - Dump'!$A:$A,'SKU Order Report '!M$1)</f>
        <v>4</v>
      </c>
      <c r="N79" s="3">
        <f>SUMIFS('Business - Dump'!$W:$W,'Business - Dump'!$D:$D,'SKU Order Report '!$C79,'Business - Dump'!$A:$A,'SKU Order Report '!N$1)</f>
        <v>3</v>
      </c>
      <c r="O79" s="3">
        <f>SUMIFS('Business - Dump'!$W:$W,'Business - Dump'!$D:$D,'SKU Order Report '!$C79,'Business - Dump'!$A:$A,'SKU Order Report '!O$1)</f>
        <v>5</v>
      </c>
      <c r="P79" s="3">
        <f>SUMIFS('Business - Dump'!$W:$W,'Business - Dump'!$D:$D,'SKU Order Report '!$C79,'Business - Dump'!$A:$A,'SKU Order Report '!P$1)</f>
        <v>4</v>
      </c>
      <c r="Q79" s="3">
        <f>SUMIFS('Business - Dump'!$W:$W,'Business - Dump'!$D:$D,'SKU Order Report '!$C79,'Business - Dump'!$A:$A,'SKU Order Report '!Q$1)</f>
        <v>2</v>
      </c>
      <c r="R79" s="3">
        <f>SUMIFS('Business - Dump'!$W:$W,'Business - Dump'!$D:$D,'SKU Order Report '!$C79,'Business - Dump'!$A:$A,'SKU Order Report '!R$1)</f>
        <v>4</v>
      </c>
      <c r="S79" s="3">
        <f>SUMIFS('Business - Dump'!$W:$W,'Business - Dump'!$D:$D,'SKU Order Report '!$C79,'Business - Dump'!$A:$A,'SKU Order Report '!S$1)</f>
        <v>2</v>
      </c>
      <c r="T79" s="3">
        <f>SUMIFS('Business - Dump'!$W:$W,'Business - Dump'!$D:$D,'SKU Order Report '!$C79,'Business - Dump'!$A:$A,'SKU Order Report '!T$1)</f>
        <v>2</v>
      </c>
    </row>
    <row r="80" ht="15.75" customHeight="1">
      <c r="A80" s="10" t="str">
        <f t="array" ref="A80">_xlfn.XLOOKUP(C80,'Business - Dump'!$D:$D,'Business - Dump'!$B:$B)</f>
        <v>Standing Table  - E1A</v>
      </c>
      <c r="B80" s="10" t="str">
        <f t="array" ref="B80">_xlfn.XLOOKUP(C80,'Referanc '!$A:$A,'Referanc '!$D:$D)</f>
        <v>EY HAT 2M 3S BLK E1 A V02 CF 600X1200</v>
      </c>
      <c r="C80" s="10" t="s">
        <v>371</v>
      </c>
      <c r="D80" s="3">
        <f>SUMIFS('Business - Dump'!$W:$W,'Business - Dump'!$D:$D,'SKU Order Report '!$C80,'Business - Dump'!$A:$A,'SKU Order Report '!D$1)</f>
        <v>0</v>
      </c>
      <c r="E80" s="3">
        <f>SUMIFS('Business - Dump'!$W:$W,'Business - Dump'!$D:$D,'SKU Order Report '!$C80,'Business - Dump'!$A:$A,'SKU Order Report '!E$1)</f>
        <v>0</v>
      </c>
      <c r="F80" s="3">
        <f>SUMIFS('Business - Dump'!$W:$W,'Business - Dump'!$D:$D,'SKU Order Report '!$C80,'Business - Dump'!$A:$A,'SKU Order Report '!F$1)</f>
        <v>0</v>
      </c>
      <c r="G80" s="3">
        <f>SUMIFS('Business - Dump'!$W:$W,'Business - Dump'!$D:$D,'SKU Order Report '!$C80,'Business - Dump'!$A:$A,'SKU Order Report '!G$1)</f>
        <v>0</v>
      </c>
      <c r="H80" s="3">
        <f>SUMIFS('Business - Dump'!$W:$W,'Business - Dump'!$D:$D,'SKU Order Report '!$C80,'Business - Dump'!$A:$A,'SKU Order Report '!H$1)</f>
        <v>0</v>
      </c>
      <c r="I80" s="3">
        <f>SUMIFS('Business - Dump'!$W:$W,'Business - Dump'!$D:$D,'SKU Order Report '!$C80,'Business - Dump'!$A:$A,'SKU Order Report '!I$1)</f>
        <v>1</v>
      </c>
      <c r="J80" s="3">
        <f>SUMIFS('Business - Dump'!$W:$W,'Business - Dump'!$D:$D,'SKU Order Report '!$C80,'Business - Dump'!$A:$A,'SKU Order Report '!J$1)</f>
        <v>1</v>
      </c>
      <c r="K80" s="3">
        <f>SUMIFS('Business - Dump'!$W:$W,'Business - Dump'!$D:$D,'SKU Order Report '!$C80,'Business - Dump'!$A:$A,'SKU Order Report '!K$1)</f>
        <v>1</v>
      </c>
      <c r="L80" s="3">
        <f>SUMIFS('Business - Dump'!$W:$W,'Business - Dump'!$D:$D,'SKU Order Report '!$C80,'Business - Dump'!$A:$A,'SKU Order Report '!L$1)</f>
        <v>0</v>
      </c>
      <c r="M80" s="3">
        <f>SUMIFS('Business - Dump'!$W:$W,'Business - Dump'!$D:$D,'SKU Order Report '!$C80,'Business - Dump'!$A:$A,'SKU Order Report '!M$1)</f>
        <v>1</v>
      </c>
      <c r="N80" s="3">
        <f>SUMIFS('Business - Dump'!$W:$W,'Business - Dump'!$D:$D,'SKU Order Report '!$C80,'Business - Dump'!$A:$A,'SKU Order Report '!N$1)</f>
        <v>1</v>
      </c>
      <c r="O80" s="3">
        <f>SUMIFS('Business - Dump'!$W:$W,'Business - Dump'!$D:$D,'SKU Order Report '!$C80,'Business - Dump'!$A:$A,'SKU Order Report '!O$1)</f>
        <v>0</v>
      </c>
      <c r="P80" s="3">
        <f>SUMIFS('Business - Dump'!$W:$W,'Business - Dump'!$D:$D,'SKU Order Report '!$C80,'Business - Dump'!$A:$A,'SKU Order Report '!P$1)</f>
        <v>0</v>
      </c>
      <c r="Q80" s="3">
        <f>SUMIFS('Business - Dump'!$W:$W,'Business - Dump'!$D:$D,'SKU Order Report '!$C80,'Business - Dump'!$A:$A,'SKU Order Report '!Q$1)</f>
        <v>0</v>
      </c>
      <c r="R80" s="3">
        <f>SUMIFS('Business - Dump'!$W:$W,'Business - Dump'!$D:$D,'SKU Order Report '!$C80,'Business - Dump'!$A:$A,'SKU Order Report '!R$1)</f>
        <v>2</v>
      </c>
      <c r="S80" s="3">
        <f>SUMIFS('Business - Dump'!$W:$W,'Business - Dump'!$D:$D,'SKU Order Report '!$C80,'Business - Dump'!$A:$A,'SKU Order Report '!S$1)</f>
        <v>0</v>
      </c>
      <c r="T80" s="3">
        <f>SUMIFS('Business - Dump'!$W:$W,'Business - Dump'!$D:$D,'SKU Order Report '!$C80,'Business - Dump'!$A:$A,'SKU Order Report '!T$1)</f>
        <v>0</v>
      </c>
    </row>
    <row r="81" ht="15.75" customHeight="1">
      <c r="A81" s="10" t="str">
        <f t="array" ref="A81">_xlfn.XLOOKUP(C81,'Business - Dump'!$D:$D,'Business - Dump'!$B:$B)</f>
        <v>Standing Table  - M8</v>
      </c>
      <c r="B81" s="10" t="str">
        <f t="array" ref="B81">_xlfn.XLOOKUP(C81,'Referanc '!$A:$A,'Referanc '!$D:$D)</f>
        <v>HAT MT 2S WHT M8 WG 600X1200</v>
      </c>
      <c r="C81" s="10" t="s">
        <v>406</v>
      </c>
      <c r="D81" s="3">
        <f>SUMIFS('Business - Dump'!$W:$W,'Business - Dump'!$D:$D,'SKU Order Report '!$C81,'Business - Dump'!$A:$A,'SKU Order Report '!D$1)</f>
        <v>0</v>
      </c>
      <c r="E81" s="3">
        <f>SUMIFS('Business - Dump'!$W:$W,'Business - Dump'!$D:$D,'SKU Order Report '!$C81,'Business - Dump'!$A:$A,'SKU Order Report '!E$1)</f>
        <v>0</v>
      </c>
      <c r="F81" s="3">
        <f>SUMIFS('Business - Dump'!$W:$W,'Business - Dump'!$D:$D,'SKU Order Report '!$C81,'Business - Dump'!$A:$A,'SKU Order Report '!F$1)</f>
        <v>0</v>
      </c>
      <c r="G81" s="3">
        <f>SUMIFS('Business - Dump'!$W:$W,'Business - Dump'!$D:$D,'SKU Order Report '!$C81,'Business - Dump'!$A:$A,'SKU Order Report '!G$1)</f>
        <v>0</v>
      </c>
      <c r="H81" s="3">
        <f>SUMIFS('Business - Dump'!$W:$W,'Business - Dump'!$D:$D,'SKU Order Report '!$C81,'Business - Dump'!$A:$A,'SKU Order Report '!H$1)</f>
        <v>0</v>
      </c>
      <c r="I81" s="3">
        <f>SUMIFS('Business - Dump'!$W:$W,'Business - Dump'!$D:$D,'SKU Order Report '!$C81,'Business - Dump'!$A:$A,'SKU Order Report '!I$1)</f>
        <v>0</v>
      </c>
      <c r="J81" s="3">
        <f>SUMIFS('Business - Dump'!$W:$W,'Business - Dump'!$D:$D,'SKU Order Report '!$C81,'Business - Dump'!$A:$A,'SKU Order Report '!J$1)</f>
        <v>6</v>
      </c>
      <c r="K81" s="3">
        <f>SUMIFS('Business - Dump'!$W:$W,'Business - Dump'!$D:$D,'SKU Order Report '!$C81,'Business - Dump'!$A:$A,'SKU Order Report '!K$1)</f>
        <v>7</v>
      </c>
      <c r="L81" s="3">
        <f>SUMIFS('Business - Dump'!$W:$W,'Business - Dump'!$D:$D,'SKU Order Report '!$C81,'Business - Dump'!$A:$A,'SKU Order Report '!L$1)</f>
        <v>7</v>
      </c>
      <c r="M81" s="3">
        <f>SUMIFS('Business - Dump'!$W:$W,'Business - Dump'!$D:$D,'SKU Order Report '!$C81,'Business - Dump'!$A:$A,'SKU Order Report '!M$1)</f>
        <v>4</v>
      </c>
      <c r="N81" s="3">
        <f>SUMIFS('Business - Dump'!$W:$W,'Business - Dump'!$D:$D,'SKU Order Report '!$C81,'Business - Dump'!$A:$A,'SKU Order Report '!N$1)</f>
        <v>11</v>
      </c>
      <c r="O81" s="3">
        <f>SUMIFS('Business - Dump'!$W:$W,'Business - Dump'!$D:$D,'SKU Order Report '!$C81,'Business - Dump'!$A:$A,'SKU Order Report '!O$1)</f>
        <v>17</v>
      </c>
      <c r="P81" s="3">
        <f>SUMIFS('Business - Dump'!$W:$W,'Business - Dump'!$D:$D,'SKU Order Report '!$C81,'Business - Dump'!$A:$A,'SKU Order Report '!P$1)</f>
        <v>1</v>
      </c>
      <c r="Q81" s="3">
        <f>SUMIFS('Business - Dump'!$W:$W,'Business - Dump'!$D:$D,'SKU Order Report '!$C81,'Business - Dump'!$A:$A,'SKU Order Report '!Q$1)</f>
        <v>0</v>
      </c>
      <c r="R81" s="3">
        <f>SUMIFS('Business - Dump'!$W:$W,'Business - Dump'!$D:$D,'SKU Order Report '!$C81,'Business - Dump'!$A:$A,'SKU Order Report '!R$1)</f>
        <v>0</v>
      </c>
      <c r="S81" s="3">
        <f>SUMIFS('Business - Dump'!$W:$W,'Business - Dump'!$D:$D,'SKU Order Report '!$C81,'Business - Dump'!$A:$A,'SKU Order Report '!S$1)</f>
        <v>0</v>
      </c>
      <c r="T81" s="3">
        <f>SUMIFS('Business - Dump'!$W:$W,'Business - Dump'!$D:$D,'SKU Order Report '!$C81,'Business - Dump'!$A:$A,'SKU Order Report '!T$1)</f>
        <v>0</v>
      </c>
    </row>
    <row r="82" ht="15.75" customHeight="1">
      <c r="A82" s="10" t="str">
        <f t="array" ref="A82">_xlfn.XLOOKUP(C82,'Business - Dump'!$D:$D,'Business - Dump'!$B:$B)</f>
        <v>Standing Table  - M8</v>
      </c>
      <c r="B82" s="10" t="str">
        <f t="array" ref="B82">_xlfn.XLOOKUP(C82,'Referanc '!$A:$A,'Referanc '!$D:$D)</f>
        <v>HAT MT 2S WHT M8 PW 600X1200</v>
      </c>
      <c r="C82" s="126" t="s">
        <v>408</v>
      </c>
      <c r="D82" s="3">
        <f>SUMIFS('Business - Dump'!$W:$W,'Business - Dump'!$D:$D,'SKU Order Report '!$C82,'Business - Dump'!$A:$A,'SKU Order Report '!D$1)</f>
        <v>0</v>
      </c>
      <c r="E82" s="3">
        <f>SUMIFS('Business - Dump'!$W:$W,'Business - Dump'!$D:$D,'SKU Order Report '!$C82,'Business - Dump'!$A:$A,'SKU Order Report '!E$1)</f>
        <v>0</v>
      </c>
      <c r="F82" s="3">
        <f>SUMIFS('Business - Dump'!$W:$W,'Business - Dump'!$D:$D,'SKU Order Report '!$C82,'Business - Dump'!$A:$A,'SKU Order Report '!F$1)</f>
        <v>0</v>
      </c>
      <c r="G82" s="3">
        <f>SUMIFS('Business - Dump'!$W:$W,'Business - Dump'!$D:$D,'SKU Order Report '!$C82,'Business - Dump'!$A:$A,'SKU Order Report '!G$1)</f>
        <v>0</v>
      </c>
      <c r="H82" s="3">
        <f>SUMIFS('Business - Dump'!$W:$W,'Business - Dump'!$D:$D,'SKU Order Report '!$C82,'Business - Dump'!$A:$A,'SKU Order Report '!H$1)</f>
        <v>0</v>
      </c>
      <c r="I82" s="3">
        <f>SUMIFS('Business - Dump'!$W:$W,'Business - Dump'!$D:$D,'SKU Order Report '!$C82,'Business - Dump'!$A:$A,'SKU Order Report '!I$1)</f>
        <v>0</v>
      </c>
      <c r="J82" s="3">
        <f>SUMIFS('Business - Dump'!$W:$W,'Business - Dump'!$D:$D,'SKU Order Report '!$C82,'Business - Dump'!$A:$A,'SKU Order Report '!J$1)</f>
        <v>6</v>
      </c>
      <c r="K82" s="3">
        <f>SUMIFS('Business - Dump'!$W:$W,'Business - Dump'!$D:$D,'SKU Order Report '!$C82,'Business - Dump'!$A:$A,'SKU Order Report '!K$1)</f>
        <v>2</v>
      </c>
      <c r="L82" s="3">
        <f>SUMIFS('Business - Dump'!$W:$W,'Business - Dump'!$D:$D,'SKU Order Report '!$C82,'Business - Dump'!$A:$A,'SKU Order Report '!L$1)</f>
        <v>7</v>
      </c>
      <c r="M82" s="3">
        <f>SUMIFS('Business - Dump'!$W:$W,'Business - Dump'!$D:$D,'SKU Order Report '!$C82,'Business - Dump'!$A:$A,'SKU Order Report '!M$1)</f>
        <v>6</v>
      </c>
      <c r="N82" s="3">
        <f>SUMIFS('Business - Dump'!$W:$W,'Business - Dump'!$D:$D,'SKU Order Report '!$C82,'Business - Dump'!$A:$A,'SKU Order Report '!N$1)</f>
        <v>20</v>
      </c>
      <c r="O82" s="3">
        <f>SUMIFS('Business - Dump'!$W:$W,'Business - Dump'!$D:$D,'SKU Order Report '!$C82,'Business - Dump'!$A:$A,'SKU Order Report '!O$1)</f>
        <v>16</v>
      </c>
      <c r="P82" s="3">
        <f>SUMIFS('Business - Dump'!$W:$W,'Business - Dump'!$D:$D,'SKU Order Report '!$C82,'Business - Dump'!$A:$A,'SKU Order Report '!P$1)</f>
        <v>2</v>
      </c>
      <c r="Q82" s="3">
        <f>SUMIFS('Business - Dump'!$W:$W,'Business - Dump'!$D:$D,'SKU Order Report '!$C82,'Business - Dump'!$A:$A,'SKU Order Report '!Q$1)</f>
        <v>0</v>
      </c>
      <c r="R82" s="3">
        <f>SUMIFS('Business - Dump'!$W:$W,'Business - Dump'!$D:$D,'SKU Order Report '!$C82,'Business - Dump'!$A:$A,'SKU Order Report '!R$1)</f>
        <v>0</v>
      </c>
      <c r="S82" s="3">
        <f>SUMIFS('Business - Dump'!$W:$W,'Business - Dump'!$D:$D,'SKU Order Report '!$C82,'Business - Dump'!$A:$A,'SKU Order Report '!S$1)</f>
        <v>0</v>
      </c>
      <c r="T82" s="3">
        <f>SUMIFS('Business - Dump'!$W:$W,'Business - Dump'!$D:$D,'SKU Order Report '!$C82,'Business - Dump'!$A:$A,'SKU Order Report '!T$1)</f>
        <v>0</v>
      </c>
      <c r="U82" s="31"/>
      <c r="V82" s="31"/>
      <c r="W82" s="31"/>
      <c r="X82" s="31"/>
      <c r="Y82" s="31"/>
      <c r="Z82" s="31"/>
    </row>
    <row r="83" ht="15.75" customHeight="1">
      <c r="A83" s="10" t="str">
        <f t="array" ref="A83">_xlfn.XLOOKUP(C83,'Business - Dump'!$D:$D,'Business - Dump'!$B:$B)</f>
        <v>Standing Table  - M8</v>
      </c>
      <c r="B83" s="10" t="str">
        <f t="array" ref="B83">_xlfn.XLOOKUP(C83,'Referanc '!$A:$A,'Referanc '!$D:$D)</f>
        <v>HAT MT 2S WHT M8 WG 750X1500</v>
      </c>
      <c r="C83" s="10" t="s">
        <v>410</v>
      </c>
      <c r="D83" s="3">
        <f>SUMIFS('Business - Dump'!$W:$W,'Business - Dump'!$D:$D,'SKU Order Report '!$C83,'Business - Dump'!$A:$A,'SKU Order Report '!D$1)</f>
        <v>0</v>
      </c>
      <c r="E83" s="3">
        <f>SUMIFS('Business - Dump'!$W:$W,'Business - Dump'!$D:$D,'SKU Order Report '!$C83,'Business - Dump'!$A:$A,'SKU Order Report '!E$1)</f>
        <v>0</v>
      </c>
      <c r="F83" s="3">
        <f>SUMIFS('Business - Dump'!$W:$W,'Business - Dump'!$D:$D,'SKU Order Report '!$C83,'Business - Dump'!$A:$A,'SKU Order Report '!F$1)</f>
        <v>0</v>
      </c>
      <c r="G83" s="3">
        <f>SUMIFS('Business - Dump'!$W:$W,'Business - Dump'!$D:$D,'SKU Order Report '!$C83,'Business - Dump'!$A:$A,'SKU Order Report '!G$1)</f>
        <v>0</v>
      </c>
      <c r="H83" s="3">
        <f>SUMIFS('Business - Dump'!$W:$W,'Business - Dump'!$D:$D,'SKU Order Report '!$C83,'Business - Dump'!$A:$A,'SKU Order Report '!H$1)</f>
        <v>0</v>
      </c>
      <c r="I83" s="3">
        <f>SUMIFS('Business - Dump'!$W:$W,'Business - Dump'!$D:$D,'SKU Order Report '!$C83,'Business - Dump'!$A:$A,'SKU Order Report '!I$1)</f>
        <v>0</v>
      </c>
      <c r="J83" s="3">
        <f>SUMIFS('Business - Dump'!$W:$W,'Business - Dump'!$D:$D,'SKU Order Report '!$C83,'Business - Dump'!$A:$A,'SKU Order Report '!J$1)</f>
        <v>4</v>
      </c>
      <c r="K83" s="3">
        <f>SUMIFS('Business - Dump'!$W:$W,'Business - Dump'!$D:$D,'SKU Order Report '!$C83,'Business - Dump'!$A:$A,'SKU Order Report '!K$1)</f>
        <v>7</v>
      </c>
      <c r="L83" s="3">
        <f>SUMIFS('Business - Dump'!$W:$W,'Business - Dump'!$D:$D,'SKU Order Report '!$C83,'Business - Dump'!$A:$A,'SKU Order Report '!L$1)</f>
        <v>3</v>
      </c>
      <c r="M83" s="3">
        <f>SUMIFS('Business - Dump'!$W:$W,'Business - Dump'!$D:$D,'SKU Order Report '!$C83,'Business - Dump'!$A:$A,'SKU Order Report '!M$1)</f>
        <v>3</v>
      </c>
      <c r="N83" s="3">
        <f>SUMIFS('Business - Dump'!$W:$W,'Business - Dump'!$D:$D,'SKU Order Report '!$C83,'Business - Dump'!$A:$A,'SKU Order Report '!N$1)</f>
        <v>5</v>
      </c>
      <c r="O83" s="3">
        <f>SUMIFS('Business - Dump'!$W:$W,'Business - Dump'!$D:$D,'SKU Order Report '!$C83,'Business - Dump'!$A:$A,'SKU Order Report '!O$1)</f>
        <v>7</v>
      </c>
      <c r="P83" s="3">
        <f>SUMIFS('Business - Dump'!$W:$W,'Business - Dump'!$D:$D,'SKU Order Report '!$C83,'Business - Dump'!$A:$A,'SKU Order Report '!P$1)</f>
        <v>1</v>
      </c>
      <c r="Q83" s="3">
        <f>SUMIFS('Business - Dump'!$W:$W,'Business - Dump'!$D:$D,'SKU Order Report '!$C83,'Business - Dump'!$A:$A,'SKU Order Report '!Q$1)</f>
        <v>0</v>
      </c>
      <c r="R83" s="3">
        <f>SUMIFS('Business - Dump'!$W:$W,'Business - Dump'!$D:$D,'SKU Order Report '!$C83,'Business - Dump'!$A:$A,'SKU Order Report '!R$1)</f>
        <v>0</v>
      </c>
      <c r="S83" s="3">
        <f>SUMIFS('Business - Dump'!$W:$W,'Business - Dump'!$D:$D,'SKU Order Report '!$C83,'Business - Dump'!$A:$A,'SKU Order Report '!S$1)</f>
        <v>0</v>
      </c>
      <c r="T83" s="3">
        <f>SUMIFS('Business - Dump'!$W:$W,'Business - Dump'!$D:$D,'SKU Order Report '!$C83,'Business - Dump'!$A:$A,'SKU Order Report '!T$1)</f>
        <v>0</v>
      </c>
    </row>
    <row r="84" ht="15.75" customHeight="1">
      <c r="A84" s="10" t="str">
        <f t="array" ref="A84">_xlfn.XLOOKUP(C84,'Business - Dump'!$D:$D,'Business - Dump'!$B:$B)</f>
        <v>Standing Table  - M8</v>
      </c>
      <c r="B84" s="10" t="str">
        <f t="array" ref="B84">_xlfn.XLOOKUP(C84,'Referanc '!$A:$A,'Referanc '!$D:$D)</f>
        <v>HAT MT 2S WHT M8 PW 750X1500</v>
      </c>
      <c r="C84" s="10" t="s">
        <v>412</v>
      </c>
      <c r="D84" s="3">
        <f>SUMIFS('Business - Dump'!$W:$W,'Business - Dump'!$D:$D,'SKU Order Report '!$C84,'Business - Dump'!$A:$A,'SKU Order Report '!D$1)</f>
        <v>0</v>
      </c>
      <c r="E84" s="3">
        <f>SUMIFS('Business - Dump'!$W:$W,'Business - Dump'!$D:$D,'SKU Order Report '!$C84,'Business - Dump'!$A:$A,'SKU Order Report '!E$1)</f>
        <v>0</v>
      </c>
      <c r="F84" s="3">
        <f>SUMIFS('Business - Dump'!$W:$W,'Business - Dump'!$D:$D,'SKU Order Report '!$C84,'Business - Dump'!$A:$A,'SKU Order Report '!F$1)</f>
        <v>0</v>
      </c>
      <c r="G84" s="3">
        <f>SUMIFS('Business - Dump'!$W:$W,'Business - Dump'!$D:$D,'SKU Order Report '!$C84,'Business - Dump'!$A:$A,'SKU Order Report '!G$1)</f>
        <v>0</v>
      </c>
      <c r="H84" s="3">
        <f>SUMIFS('Business - Dump'!$W:$W,'Business - Dump'!$D:$D,'SKU Order Report '!$C84,'Business - Dump'!$A:$A,'SKU Order Report '!H$1)</f>
        <v>0</v>
      </c>
      <c r="I84" s="3">
        <f>SUMIFS('Business - Dump'!$W:$W,'Business - Dump'!$D:$D,'SKU Order Report '!$C84,'Business - Dump'!$A:$A,'SKU Order Report '!I$1)</f>
        <v>0</v>
      </c>
      <c r="J84" s="3">
        <f>SUMIFS('Business - Dump'!$W:$W,'Business - Dump'!$D:$D,'SKU Order Report '!$C84,'Business - Dump'!$A:$A,'SKU Order Report '!J$1)</f>
        <v>3</v>
      </c>
      <c r="K84" s="3">
        <f>SUMIFS('Business - Dump'!$W:$W,'Business - Dump'!$D:$D,'SKU Order Report '!$C84,'Business - Dump'!$A:$A,'SKU Order Report '!K$1)</f>
        <v>4</v>
      </c>
      <c r="L84" s="3">
        <f>SUMIFS('Business - Dump'!$W:$W,'Business - Dump'!$D:$D,'SKU Order Report '!$C84,'Business - Dump'!$A:$A,'SKU Order Report '!L$1)</f>
        <v>1</v>
      </c>
      <c r="M84" s="3">
        <f>SUMIFS('Business - Dump'!$W:$W,'Business - Dump'!$D:$D,'SKU Order Report '!$C84,'Business - Dump'!$A:$A,'SKU Order Report '!M$1)</f>
        <v>4</v>
      </c>
      <c r="N84" s="3">
        <f>SUMIFS('Business - Dump'!$W:$W,'Business - Dump'!$D:$D,'SKU Order Report '!$C84,'Business - Dump'!$A:$A,'SKU Order Report '!N$1)</f>
        <v>5</v>
      </c>
      <c r="O84" s="3">
        <f>SUMIFS('Business - Dump'!$W:$W,'Business - Dump'!$D:$D,'SKU Order Report '!$C84,'Business - Dump'!$A:$A,'SKU Order Report '!O$1)</f>
        <v>5</v>
      </c>
      <c r="P84" s="3">
        <f>SUMIFS('Business - Dump'!$W:$W,'Business - Dump'!$D:$D,'SKU Order Report '!$C84,'Business - Dump'!$A:$A,'SKU Order Report '!P$1)</f>
        <v>0</v>
      </c>
      <c r="Q84" s="3">
        <f>SUMIFS('Business - Dump'!$W:$W,'Business - Dump'!$D:$D,'SKU Order Report '!$C84,'Business - Dump'!$A:$A,'SKU Order Report '!Q$1)</f>
        <v>0</v>
      </c>
      <c r="R84" s="3">
        <f>SUMIFS('Business - Dump'!$W:$W,'Business - Dump'!$D:$D,'SKU Order Report '!$C84,'Business - Dump'!$A:$A,'SKU Order Report '!R$1)</f>
        <v>0</v>
      </c>
      <c r="S84" s="3">
        <f>SUMIFS('Business - Dump'!$W:$W,'Business - Dump'!$D:$D,'SKU Order Report '!$C84,'Business - Dump'!$A:$A,'SKU Order Report '!S$1)</f>
        <v>0</v>
      </c>
      <c r="T84" s="3">
        <f>SUMIFS('Business - Dump'!$W:$W,'Business - Dump'!$D:$D,'SKU Order Report '!$C84,'Business - Dump'!$A:$A,'SKU Order Report '!T$1)</f>
        <v>0</v>
      </c>
    </row>
    <row r="85" ht="15.75" customHeight="1">
      <c r="A85" s="10" t="str">
        <f t="array" ref="A85">_xlfn.XLOOKUP(C85,'Business - Dump'!$D:$D,'Business - Dump'!$B:$B)</f>
        <v>Standing Table  - E1A</v>
      </c>
      <c r="B85" s="10" t="str">
        <f t="array" ref="B85">_xlfn.XLOOKUP(C85,'Referanc '!$A:$A,'Referanc '!$D:$D)</f>
        <v>EY HAT 2M3S WHT E1A V02 PW 750X1500</v>
      </c>
      <c r="C85" s="10" t="s">
        <v>380</v>
      </c>
      <c r="D85" s="3">
        <f>SUMIFS('Business - Dump'!$W:$W,'Business - Dump'!$D:$D,'SKU Order Report '!$C85,'Business - Dump'!$A:$A,'SKU Order Report '!D$1)</f>
        <v>0</v>
      </c>
      <c r="E85" s="3">
        <f>SUMIFS('Business - Dump'!$W:$W,'Business - Dump'!$D:$D,'SKU Order Report '!$C85,'Business - Dump'!$A:$A,'SKU Order Report '!E$1)</f>
        <v>0</v>
      </c>
      <c r="F85" s="3">
        <f>SUMIFS('Business - Dump'!$W:$W,'Business - Dump'!$D:$D,'SKU Order Report '!$C85,'Business - Dump'!$A:$A,'SKU Order Report '!F$1)</f>
        <v>0</v>
      </c>
      <c r="G85" s="3">
        <f>SUMIFS('Business - Dump'!$W:$W,'Business - Dump'!$D:$D,'SKU Order Report '!$C85,'Business - Dump'!$A:$A,'SKU Order Report '!G$1)</f>
        <v>0</v>
      </c>
      <c r="H85" s="3">
        <f>SUMIFS('Business - Dump'!$W:$W,'Business - Dump'!$D:$D,'SKU Order Report '!$C85,'Business - Dump'!$A:$A,'SKU Order Report '!H$1)</f>
        <v>0</v>
      </c>
      <c r="I85" s="3">
        <f>SUMIFS('Business - Dump'!$W:$W,'Business - Dump'!$D:$D,'SKU Order Report '!$C85,'Business - Dump'!$A:$A,'SKU Order Report '!I$1)</f>
        <v>0</v>
      </c>
      <c r="J85" s="3">
        <f>SUMIFS('Business - Dump'!$W:$W,'Business - Dump'!$D:$D,'SKU Order Report '!$C85,'Business - Dump'!$A:$A,'SKU Order Report '!J$1)</f>
        <v>3</v>
      </c>
      <c r="K85" s="3">
        <f>SUMIFS('Business - Dump'!$W:$W,'Business - Dump'!$D:$D,'SKU Order Report '!$C85,'Business - Dump'!$A:$A,'SKU Order Report '!K$1)</f>
        <v>1</v>
      </c>
      <c r="L85" s="3">
        <f>SUMIFS('Business - Dump'!$W:$W,'Business - Dump'!$D:$D,'SKU Order Report '!$C85,'Business - Dump'!$A:$A,'SKU Order Report '!L$1)</f>
        <v>3</v>
      </c>
      <c r="M85" s="3">
        <f>SUMIFS('Business - Dump'!$W:$W,'Business - Dump'!$D:$D,'SKU Order Report '!$C85,'Business - Dump'!$A:$A,'SKU Order Report '!M$1)</f>
        <v>4</v>
      </c>
      <c r="N85" s="3">
        <f>SUMIFS('Business - Dump'!$W:$W,'Business - Dump'!$D:$D,'SKU Order Report '!$C85,'Business - Dump'!$A:$A,'SKU Order Report '!N$1)</f>
        <v>3</v>
      </c>
      <c r="O85" s="3">
        <f>SUMIFS('Business - Dump'!$W:$W,'Business - Dump'!$D:$D,'SKU Order Report '!$C85,'Business - Dump'!$A:$A,'SKU Order Report '!O$1)</f>
        <v>1</v>
      </c>
      <c r="P85" s="3">
        <f>SUMIFS('Business - Dump'!$W:$W,'Business - Dump'!$D:$D,'SKU Order Report '!$C85,'Business - Dump'!$A:$A,'SKU Order Report '!P$1)</f>
        <v>0</v>
      </c>
      <c r="Q85" s="3">
        <f>SUMIFS('Business - Dump'!$W:$W,'Business - Dump'!$D:$D,'SKU Order Report '!$C85,'Business - Dump'!$A:$A,'SKU Order Report '!Q$1)</f>
        <v>0</v>
      </c>
      <c r="R85" s="3">
        <f>SUMIFS('Business - Dump'!$W:$W,'Business - Dump'!$D:$D,'SKU Order Report '!$C85,'Business - Dump'!$A:$A,'SKU Order Report '!R$1)</f>
        <v>1</v>
      </c>
      <c r="S85" s="3">
        <f>SUMIFS('Business - Dump'!$W:$W,'Business - Dump'!$D:$D,'SKU Order Report '!$C85,'Business - Dump'!$A:$A,'SKU Order Report '!S$1)</f>
        <v>2</v>
      </c>
      <c r="T85" s="3">
        <f>SUMIFS('Business - Dump'!$W:$W,'Business - Dump'!$D:$D,'SKU Order Report '!$C85,'Business - Dump'!$A:$A,'SKU Order Report '!T$1)</f>
        <v>0</v>
      </c>
    </row>
    <row r="86" ht="15.75" customHeight="1">
      <c r="A86" s="10" t="str">
        <f t="array" ref="A86">_xlfn.XLOOKUP(C86,'Business - Dump'!$D:$D,'Business - Dump'!$B:$B)</f>
        <v>Standing Table  - M8</v>
      </c>
      <c r="B86" s="10" t="str">
        <f t="array" ref="B86">_xlfn.XLOOKUP(C86,'Referanc '!$A:$A,'Referanc '!$D:$D)</f>
        <v>HAT MT 2S BLK M8 OF</v>
      </c>
      <c r="C86" s="10" t="s">
        <v>414</v>
      </c>
      <c r="D86" s="3">
        <f>SUMIFS('Business - Dump'!$W:$W,'Business - Dump'!$D:$D,'SKU Order Report '!$C86,'Business - Dump'!$A:$A,'SKU Order Report '!D$1)</f>
        <v>0</v>
      </c>
      <c r="E86" s="3">
        <f>SUMIFS('Business - Dump'!$W:$W,'Business - Dump'!$D:$D,'SKU Order Report '!$C86,'Business - Dump'!$A:$A,'SKU Order Report '!E$1)</f>
        <v>0</v>
      </c>
      <c r="F86" s="3">
        <f>SUMIFS('Business - Dump'!$W:$W,'Business - Dump'!$D:$D,'SKU Order Report '!$C86,'Business - Dump'!$A:$A,'SKU Order Report '!F$1)</f>
        <v>0</v>
      </c>
      <c r="G86" s="3">
        <f>SUMIFS('Business - Dump'!$W:$W,'Business - Dump'!$D:$D,'SKU Order Report '!$C86,'Business - Dump'!$A:$A,'SKU Order Report '!G$1)</f>
        <v>0</v>
      </c>
      <c r="H86" s="3">
        <f>SUMIFS('Business - Dump'!$W:$W,'Business - Dump'!$D:$D,'SKU Order Report '!$C86,'Business - Dump'!$A:$A,'SKU Order Report '!H$1)</f>
        <v>0</v>
      </c>
      <c r="I86" s="3">
        <f>SUMIFS('Business - Dump'!$W:$W,'Business - Dump'!$D:$D,'SKU Order Report '!$C86,'Business - Dump'!$A:$A,'SKU Order Report '!I$1)</f>
        <v>0</v>
      </c>
      <c r="J86" s="3">
        <f>SUMIFS('Business - Dump'!$W:$W,'Business - Dump'!$D:$D,'SKU Order Report '!$C86,'Business - Dump'!$A:$A,'SKU Order Report '!J$1)</f>
        <v>1</v>
      </c>
      <c r="K86" s="3">
        <f>SUMIFS('Business - Dump'!$W:$W,'Business - Dump'!$D:$D,'SKU Order Report '!$C86,'Business - Dump'!$A:$A,'SKU Order Report '!K$1)</f>
        <v>0</v>
      </c>
      <c r="L86" s="3">
        <f>SUMIFS('Business - Dump'!$W:$W,'Business - Dump'!$D:$D,'SKU Order Report '!$C86,'Business - Dump'!$A:$A,'SKU Order Report '!L$1)</f>
        <v>1</v>
      </c>
      <c r="M86" s="3">
        <f>SUMIFS('Business - Dump'!$W:$W,'Business - Dump'!$D:$D,'SKU Order Report '!$C86,'Business - Dump'!$A:$A,'SKU Order Report '!M$1)</f>
        <v>0</v>
      </c>
      <c r="N86" s="3">
        <f>SUMIFS('Business - Dump'!$W:$W,'Business - Dump'!$D:$D,'SKU Order Report '!$C86,'Business - Dump'!$A:$A,'SKU Order Report '!N$1)</f>
        <v>0</v>
      </c>
      <c r="O86" s="3">
        <f>SUMIFS('Business - Dump'!$W:$W,'Business - Dump'!$D:$D,'SKU Order Report '!$C86,'Business - Dump'!$A:$A,'SKU Order Report '!O$1)</f>
        <v>0</v>
      </c>
      <c r="P86" s="3">
        <f>SUMIFS('Business - Dump'!$W:$W,'Business - Dump'!$D:$D,'SKU Order Report '!$C86,'Business - Dump'!$A:$A,'SKU Order Report '!P$1)</f>
        <v>1</v>
      </c>
      <c r="Q86" s="3">
        <f>SUMIFS('Business - Dump'!$W:$W,'Business - Dump'!$D:$D,'SKU Order Report '!$C86,'Business - Dump'!$A:$A,'SKU Order Report '!Q$1)</f>
        <v>0</v>
      </c>
      <c r="R86" s="3">
        <f>SUMIFS('Business - Dump'!$W:$W,'Business - Dump'!$D:$D,'SKU Order Report '!$C86,'Business - Dump'!$A:$A,'SKU Order Report '!R$1)</f>
        <v>0</v>
      </c>
      <c r="S86" s="3">
        <f>SUMIFS('Business - Dump'!$W:$W,'Business - Dump'!$D:$D,'SKU Order Report '!$C86,'Business - Dump'!$A:$A,'SKU Order Report '!S$1)</f>
        <v>1</v>
      </c>
      <c r="T86" s="3">
        <f>SUMIFS('Business - Dump'!$W:$W,'Business - Dump'!$D:$D,'SKU Order Report '!$C86,'Business - Dump'!$A:$A,'SKU Order Report '!T$1)</f>
        <v>0</v>
      </c>
    </row>
    <row r="87" ht="15.75" customHeight="1">
      <c r="A87" s="10" t="str">
        <f t="array" ref="A87">_xlfn.XLOOKUP(C87,'Business - Dump'!$D:$D,'Business - Dump'!$B:$B)</f>
        <v>Standing Table  - M8</v>
      </c>
      <c r="B87" s="10" t="str">
        <f t="array" ref="B87">_xlfn.XLOOKUP(C87,'Referanc '!$A:$A,'Referanc '!$D:$D)</f>
        <v>HAT MT 2S BLK M8 PW 750X1500</v>
      </c>
      <c r="C87" s="10" t="s">
        <v>415</v>
      </c>
      <c r="D87" s="3">
        <f>SUMIFS('Business - Dump'!$W:$W,'Business - Dump'!$D:$D,'SKU Order Report '!$C87,'Business - Dump'!$A:$A,'SKU Order Report '!D$1)</f>
        <v>0</v>
      </c>
      <c r="E87" s="3">
        <f>SUMIFS('Business - Dump'!$W:$W,'Business - Dump'!$D:$D,'SKU Order Report '!$C87,'Business - Dump'!$A:$A,'SKU Order Report '!E$1)</f>
        <v>0</v>
      </c>
      <c r="F87" s="3">
        <f>SUMIFS('Business - Dump'!$W:$W,'Business - Dump'!$D:$D,'SKU Order Report '!$C87,'Business - Dump'!$A:$A,'SKU Order Report '!F$1)</f>
        <v>0</v>
      </c>
      <c r="G87" s="3">
        <f>SUMIFS('Business - Dump'!$W:$W,'Business - Dump'!$D:$D,'SKU Order Report '!$C87,'Business - Dump'!$A:$A,'SKU Order Report '!G$1)</f>
        <v>0</v>
      </c>
      <c r="H87" s="3">
        <f>SUMIFS('Business - Dump'!$W:$W,'Business - Dump'!$D:$D,'SKU Order Report '!$C87,'Business - Dump'!$A:$A,'SKU Order Report '!H$1)</f>
        <v>0</v>
      </c>
      <c r="I87" s="3">
        <f>SUMIFS('Business - Dump'!$W:$W,'Business - Dump'!$D:$D,'SKU Order Report '!$C87,'Business - Dump'!$A:$A,'SKU Order Report '!I$1)</f>
        <v>0</v>
      </c>
      <c r="J87" s="3">
        <f>SUMIFS('Business - Dump'!$W:$W,'Business - Dump'!$D:$D,'SKU Order Report '!$C87,'Business - Dump'!$A:$A,'SKU Order Report '!J$1)</f>
        <v>1</v>
      </c>
      <c r="K87" s="3">
        <f>SUMIFS('Business - Dump'!$W:$W,'Business - Dump'!$D:$D,'SKU Order Report '!$C87,'Business - Dump'!$A:$A,'SKU Order Report '!K$1)</f>
        <v>1</v>
      </c>
      <c r="L87" s="3">
        <f>SUMIFS('Business - Dump'!$W:$W,'Business - Dump'!$D:$D,'SKU Order Report '!$C87,'Business - Dump'!$A:$A,'SKU Order Report '!L$1)</f>
        <v>2</v>
      </c>
      <c r="M87" s="3">
        <f>SUMIFS('Business - Dump'!$W:$W,'Business - Dump'!$D:$D,'SKU Order Report '!$C87,'Business - Dump'!$A:$A,'SKU Order Report '!M$1)</f>
        <v>0</v>
      </c>
      <c r="N87" s="3">
        <f>SUMIFS('Business - Dump'!$W:$W,'Business - Dump'!$D:$D,'SKU Order Report '!$C87,'Business - Dump'!$A:$A,'SKU Order Report '!N$1)</f>
        <v>0</v>
      </c>
      <c r="O87" s="3">
        <f>SUMIFS('Business - Dump'!$W:$W,'Business - Dump'!$D:$D,'SKU Order Report '!$C87,'Business - Dump'!$A:$A,'SKU Order Report '!O$1)</f>
        <v>1</v>
      </c>
      <c r="P87" s="3">
        <f>SUMIFS('Business - Dump'!$W:$W,'Business - Dump'!$D:$D,'SKU Order Report '!$C87,'Business - Dump'!$A:$A,'SKU Order Report '!P$1)</f>
        <v>1</v>
      </c>
      <c r="Q87" s="3">
        <f>SUMIFS('Business - Dump'!$W:$W,'Business - Dump'!$D:$D,'SKU Order Report '!$C87,'Business - Dump'!$A:$A,'SKU Order Report '!Q$1)</f>
        <v>3</v>
      </c>
      <c r="R87" s="3">
        <f>SUMIFS('Business - Dump'!$W:$W,'Business - Dump'!$D:$D,'SKU Order Report '!$C87,'Business - Dump'!$A:$A,'SKU Order Report '!R$1)</f>
        <v>0</v>
      </c>
      <c r="S87" s="3">
        <f>SUMIFS('Business - Dump'!$W:$W,'Business - Dump'!$D:$D,'SKU Order Report '!$C87,'Business - Dump'!$A:$A,'SKU Order Report '!S$1)</f>
        <v>0</v>
      </c>
      <c r="T87" s="3">
        <f>SUMIFS('Business - Dump'!$W:$W,'Business - Dump'!$D:$D,'SKU Order Report '!$C87,'Business - Dump'!$A:$A,'SKU Order Report '!T$1)</f>
        <v>4</v>
      </c>
    </row>
    <row r="88" ht="15.75" customHeight="1">
      <c r="A88" s="10" t="str">
        <f t="array" ref="A88">_xlfn.XLOOKUP(C88,'Business - Dump'!$D:$D,'Business - Dump'!$B:$B)</f>
        <v>Standing Table  - M8</v>
      </c>
      <c r="B88" s="10" t="str">
        <f t="array" ref="B88">_xlfn.XLOOKUP(C88,'Referanc '!$A:$A,'Referanc '!$D:$D)</f>
        <v>HAT MT 2S BLK M8 WG 750X1500</v>
      </c>
      <c r="C88" s="10" t="s">
        <v>416</v>
      </c>
      <c r="D88" s="3">
        <f>SUMIFS('Business - Dump'!$W:$W,'Business - Dump'!$D:$D,'SKU Order Report '!$C88,'Business - Dump'!$A:$A,'SKU Order Report '!D$1)</f>
        <v>0</v>
      </c>
      <c r="E88" s="3">
        <f>SUMIFS('Business - Dump'!$W:$W,'Business - Dump'!$D:$D,'SKU Order Report '!$C88,'Business - Dump'!$A:$A,'SKU Order Report '!E$1)</f>
        <v>0</v>
      </c>
      <c r="F88" s="3">
        <f>SUMIFS('Business - Dump'!$W:$W,'Business - Dump'!$D:$D,'SKU Order Report '!$C88,'Business - Dump'!$A:$A,'SKU Order Report '!F$1)</f>
        <v>0</v>
      </c>
      <c r="G88" s="3">
        <f>SUMIFS('Business - Dump'!$W:$W,'Business - Dump'!$D:$D,'SKU Order Report '!$C88,'Business - Dump'!$A:$A,'SKU Order Report '!G$1)</f>
        <v>0</v>
      </c>
      <c r="H88" s="3">
        <f>SUMIFS('Business - Dump'!$W:$W,'Business - Dump'!$D:$D,'SKU Order Report '!$C88,'Business - Dump'!$A:$A,'SKU Order Report '!H$1)</f>
        <v>0</v>
      </c>
      <c r="I88" s="3">
        <f>SUMIFS('Business - Dump'!$W:$W,'Business - Dump'!$D:$D,'SKU Order Report '!$C88,'Business - Dump'!$A:$A,'SKU Order Report '!I$1)</f>
        <v>0</v>
      </c>
      <c r="J88" s="3">
        <f>SUMIFS('Business - Dump'!$W:$W,'Business - Dump'!$D:$D,'SKU Order Report '!$C88,'Business - Dump'!$A:$A,'SKU Order Report '!J$1)</f>
        <v>1</v>
      </c>
      <c r="K88" s="3">
        <f>SUMIFS('Business - Dump'!$W:$W,'Business - Dump'!$D:$D,'SKU Order Report '!$C88,'Business - Dump'!$A:$A,'SKU Order Report '!K$1)</f>
        <v>2</v>
      </c>
      <c r="L88" s="3">
        <f>SUMIFS('Business - Dump'!$W:$W,'Business - Dump'!$D:$D,'SKU Order Report '!$C88,'Business - Dump'!$A:$A,'SKU Order Report '!L$1)</f>
        <v>1</v>
      </c>
      <c r="M88" s="3">
        <f>SUMIFS('Business - Dump'!$W:$W,'Business - Dump'!$D:$D,'SKU Order Report '!$C88,'Business - Dump'!$A:$A,'SKU Order Report '!M$1)</f>
        <v>0</v>
      </c>
      <c r="N88" s="3">
        <f>SUMIFS('Business - Dump'!$W:$W,'Business - Dump'!$D:$D,'SKU Order Report '!$C88,'Business - Dump'!$A:$A,'SKU Order Report '!N$1)</f>
        <v>0</v>
      </c>
      <c r="O88" s="3">
        <f>SUMIFS('Business - Dump'!$W:$W,'Business - Dump'!$D:$D,'SKU Order Report '!$C88,'Business - Dump'!$A:$A,'SKU Order Report '!O$1)</f>
        <v>0</v>
      </c>
      <c r="P88" s="3">
        <f>SUMIFS('Business - Dump'!$W:$W,'Business - Dump'!$D:$D,'SKU Order Report '!$C88,'Business - Dump'!$A:$A,'SKU Order Report '!P$1)</f>
        <v>4</v>
      </c>
      <c r="Q88" s="3">
        <f>SUMIFS('Business - Dump'!$W:$W,'Business - Dump'!$D:$D,'SKU Order Report '!$C88,'Business - Dump'!$A:$A,'SKU Order Report '!Q$1)</f>
        <v>1</v>
      </c>
      <c r="R88" s="3">
        <f>SUMIFS('Business - Dump'!$W:$W,'Business - Dump'!$D:$D,'SKU Order Report '!$C88,'Business - Dump'!$A:$A,'SKU Order Report '!R$1)</f>
        <v>2</v>
      </c>
      <c r="S88" s="3">
        <f>SUMIFS('Business - Dump'!$W:$W,'Business - Dump'!$D:$D,'SKU Order Report '!$C88,'Business - Dump'!$A:$A,'SKU Order Report '!S$1)</f>
        <v>2</v>
      </c>
      <c r="T88" s="3">
        <f>SUMIFS('Business - Dump'!$W:$W,'Business - Dump'!$D:$D,'SKU Order Report '!$C88,'Business - Dump'!$A:$A,'SKU Order Report '!T$1)</f>
        <v>0</v>
      </c>
    </row>
    <row r="89" ht="15.75" customHeight="1">
      <c r="A89" s="10" t="str">
        <f t="array" ref="A89">_xlfn.XLOOKUP(C89,'Business - Dump'!$D:$D,'Business - Dump'!$B:$B)</f>
        <v>Standing Table  - M8</v>
      </c>
      <c r="B89" s="10" t="str">
        <f t="array" ref="B89">_xlfn.XLOOKUP(C89,'Referanc '!$A:$A,'Referanc '!$D:$D)</f>
        <v>HAT MT 2S BLK M8 PW 600X1200</v>
      </c>
      <c r="C89" s="10" t="s">
        <v>417</v>
      </c>
      <c r="D89" s="3">
        <f>SUMIFS('Business - Dump'!$W:$W,'Business - Dump'!$D:$D,'SKU Order Report '!$C89,'Business - Dump'!$A:$A,'SKU Order Report '!D$1)</f>
        <v>0</v>
      </c>
      <c r="E89" s="3">
        <f>SUMIFS('Business - Dump'!$W:$W,'Business - Dump'!$D:$D,'SKU Order Report '!$C89,'Business - Dump'!$A:$A,'SKU Order Report '!E$1)</f>
        <v>0</v>
      </c>
      <c r="F89" s="3">
        <f>SUMIFS('Business - Dump'!$W:$W,'Business - Dump'!$D:$D,'SKU Order Report '!$C89,'Business - Dump'!$A:$A,'SKU Order Report '!F$1)</f>
        <v>0</v>
      </c>
      <c r="G89" s="3">
        <f>SUMIFS('Business - Dump'!$W:$W,'Business - Dump'!$D:$D,'SKU Order Report '!$C89,'Business - Dump'!$A:$A,'SKU Order Report '!G$1)</f>
        <v>0</v>
      </c>
      <c r="H89" s="3">
        <f>SUMIFS('Business - Dump'!$W:$W,'Business - Dump'!$D:$D,'SKU Order Report '!$C89,'Business - Dump'!$A:$A,'SKU Order Report '!H$1)</f>
        <v>0</v>
      </c>
      <c r="I89" s="3">
        <f>SUMIFS('Business - Dump'!$W:$W,'Business - Dump'!$D:$D,'SKU Order Report '!$C89,'Business - Dump'!$A:$A,'SKU Order Report '!I$1)</f>
        <v>0</v>
      </c>
      <c r="J89" s="3">
        <f>SUMIFS('Business - Dump'!$W:$W,'Business - Dump'!$D:$D,'SKU Order Report '!$C89,'Business - Dump'!$A:$A,'SKU Order Report '!J$1)</f>
        <v>0</v>
      </c>
      <c r="K89" s="3">
        <f>SUMIFS('Business - Dump'!$W:$W,'Business - Dump'!$D:$D,'SKU Order Report '!$C89,'Business - Dump'!$A:$A,'SKU Order Report '!K$1)</f>
        <v>3</v>
      </c>
      <c r="L89" s="3">
        <f>SUMIFS('Business - Dump'!$W:$W,'Business - Dump'!$D:$D,'SKU Order Report '!$C89,'Business - Dump'!$A:$A,'SKU Order Report '!L$1)</f>
        <v>6</v>
      </c>
      <c r="M89" s="3">
        <f>SUMIFS('Business - Dump'!$W:$W,'Business - Dump'!$D:$D,'SKU Order Report '!$C89,'Business - Dump'!$A:$A,'SKU Order Report '!M$1)</f>
        <v>0</v>
      </c>
      <c r="N89" s="3">
        <f>SUMIFS('Business - Dump'!$W:$W,'Business - Dump'!$D:$D,'SKU Order Report '!$C89,'Business - Dump'!$A:$A,'SKU Order Report '!N$1)</f>
        <v>0</v>
      </c>
      <c r="O89" s="3">
        <f>SUMIFS('Business - Dump'!$W:$W,'Business - Dump'!$D:$D,'SKU Order Report '!$C89,'Business - Dump'!$A:$A,'SKU Order Report '!O$1)</f>
        <v>0</v>
      </c>
      <c r="P89" s="3">
        <f>SUMIFS('Business - Dump'!$W:$W,'Business - Dump'!$D:$D,'SKU Order Report '!$C89,'Business - Dump'!$A:$A,'SKU Order Report '!P$1)</f>
        <v>0</v>
      </c>
      <c r="Q89" s="3">
        <f>SUMIFS('Business - Dump'!$W:$W,'Business - Dump'!$D:$D,'SKU Order Report '!$C89,'Business - Dump'!$A:$A,'SKU Order Report '!Q$1)</f>
        <v>0</v>
      </c>
      <c r="R89" s="3">
        <f>SUMIFS('Business - Dump'!$W:$W,'Business - Dump'!$D:$D,'SKU Order Report '!$C89,'Business - Dump'!$A:$A,'SKU Order Report '!R$1)</f>
        <v>0</v>
      </c>
      <c r="S89" s="3">
        <f>SUMIFS('Business - Dump'!$W:$W,'Business - Dump'!$D:$D,'SKU Order Report '!$C89,'Business - Dump'!$A:$A,'SKU Order Report '!S$1)</f>
        <v>0</v>
      </c>
      <c r="T89" s="3">
        <f>SUMIFS('Business - Dump'!$W:$W,'Business - Dump'!$D:$D,'SKU Order Report '!$C89,'Business - Dump'!$A:$A,'SKU Order Report '!T$1)</f>
        <v>0</v>
      </c>
    </row>
    <row r="90" ht="15.75" customHeight="1">
      <c r="A90" s="10" t="str">
        <f t="array" ref="A90">_xlfn.XLOOKUP(C90,'Business - Dump'!$D:$D,'Business - Dump'!$B:$B)</f>
        <v>Standing Table  - M8</v>
      </c>
      <c r="B90" s="10" t="str">
        <f t="array" ref="B90">_xlfn.XLOOKUP(C90,'Referanc '!$A:$A,'Referanc '!$D:$D)</f>
        <v>HAT MT 2S BLK M8 WG 600X1200</v>
      </c>
      <c r="C90" s="10" t="s">
        <v>418</v>
      </c>
      <c r="D90" s="3">
        <f>SUMIFS('Business - Dump'!$W:$W,'Business - Dump'!$D:$D,'SKU Order Report '!$C90,'Business - Dump'!$A:$A,'SKU Order Report '!D$1)</f>
        <v>0</v>
      </c>
      <c r="E90" s="3">
        <f>SUMIFS('Business - Dump'!$W:$W,'Business - Dump'!$D:$D,'SKU Order Report '!$C90,'Business - Dump'!$A:$A,'SKU Order Report '!E$1)</f>
        <v>0</v>
      </c>
      <c r="F90" s="3">
        <f>SUMIFS('Business - Dump'!$W:$W,'Business - Dump'!$D:$D,'SKU Order Report '!$C90,'Business - Dump'!$A:$A,'SKU Order Report '!F$1)</f>
        <v>0</v>
      </c>
      <c r="G90" s="3">
        <f>SUMIFS('Business - Dump'!$W:$W,'Business - Dump'!$D:$D,'SKU Order Report '!$C90,'Business - Dump'!$A:$A,'SKU Order Report '!G$1)</f>
        <v>0</v>
      </c>
      <c r="H90" s="3">
        <f>SUMIFS('Business - Dump'!$W:$W,'Business - Dump'!$D:$D,'SKU Order Report '!$C90,'Business - Dump'!$A:$A,'SKU Order Report '!H$1)</f>
        <v>0</v>
      </c>
      <c r="I90" s="3">
        <f>SUMIFS('Business - Dump'!$W:$W,'Business - Dump'!$D:$D,'SKU Order Report '!$C90,'Business - Dump'!$A:$A,'SKU Order Report '!I$1)</f>
        <v>0</v>
      </c>
      <c r="J90" s="3">
        <f>SUMIFS('Business - Dump'!$W:$W,'Business - Dump'!$D:$D,'SKU Order Report '!$C90,'Business - Dump'!$A:$A,'SKU Order Report '!J$1)</f>
        <v>0</v>
      </c>
      <c r="K90" s="3">
        <f>SUMIFS('Business - Dump'!$W:$W,'Business - Dump'!$D:$D,'SKU Order Report '!$C90,'Business - Dump'!$A:$A,'SKU Order Report '!K$1)</f>
        <v>2</v>
      </c>
      <c r="L90" s="3">
        <f>SUMIFS('Business - Dump'!$W:$W,'Business - Dump'!$D:$D,'SKU Order Report '!$C90,'Business - Dump'!$A:$A,'SKU Order Report '!L$1)</f>
        <v>2</v>
      </c>
      <c r="M90" s="3">
        <f>SUMIFS('Business - Dump'!$W:$W,'Business - Dump'!$D:$D,'SKU Order Report '!$C90,'Business - Dump'!$A:$A,'SKU Order Report '!M$1)</f>
        <v>0</v>
      </c>
      <c r="N90" s="3">
        <f>SUMIFS('Business - Dump'!$W:$W,'Business - Dump'!$D:$D,'SKU Order Report '!$C90,'Business - Dump'!$A:$A,'SKU Order Report '!N$1)</f>
        <v>0</v>
      </c>
      <c r="O90" s="3">
        <f>SUMIFS('Business - Dump'!$W:$W,'Business - Dump'!$D:$D,'SKU Order Report '!$C90,'Business - Dump'!$A:$A,'SKU Order Report '!O$1)</f>
        <v>1</v>
      </c>
      <c r="P90" s="3">
        <f>SUMIFS('Business - Dump'!$W:$W,'Business - Dump'!$D:$D,'SKU Order Report '!$C90,'Business - Dump'!$A:$A,'SKU Order Report '!P$1)</f>
        <v>0</v>
      </c>
      <c r="Q90" s="3">
        <f>SUMIFS('Business - Dump'!$W:$W,'Business - Dump'!$D:$D,'SKU Order Report '!$C90,'Business - Dump'!$A:$A,'SKU Order Report '!Q$1)</f>
        <v>0</v>
      </c>
      <c r="R90" s="3">
        <f>SUMIFS('Business - Dump'!$W:$W,'Business - Dump'!$D:$D,'SKU Order Report '!$C90,'Business - Dump'!$A:$A,'SKU Order Report '!R$1)</f>
        <v>0</v>
      </c>
      <c r="S90" s="3">
        <f>SUMIFS('Business - Dump'!$W:$W,'Business - Dump'!$D:$D,'SKU Order Report '!$C90,'Business - Dump'!$A:$A,'SKU Order Report '!S$1)</f>
        <v>0</v>
      </c>
      <c r="T90" s="3">
        <f>SUMIFS('Business - Dump'!$W:$W,'Business - Dump'!$D:$D,'SKU Order Report '!$C90,'Business - Dump'!$A:$A,'SKU Order Report '!T$1)</f>
        <v>0</v>
      </c>
    </row>
    <row r="91" ht="15.75" customHeight="1">
      <c r="A91" s="10" t="str">
        <f t="array" ref="A91">_xlfn.XLOOKUP(C91,'Business - Dump'!$D:$D,'Business - Dump'!$B:$B)</f>
        <v>Standing Table  - E2</v>
      </c>
      <c r="B91" s="10" t="str">
        <f t="array" ref="B91">_xlfn.XLOOKUP(C91,'Referanc '!$A:$A,'Referanc '!$D:$D)</f>
        <v>EY HAT 2M 2S BLK E2 VO3 WG 750 X 1500</v>
      </c>
      <c r="C91" s="10" t="s">
        <v>390</v>
      </c>
      <c r="D91" s="3">
        <f>SUMIFS('Business - Dump'!$W:$W,'Business - Dump'!$D:$D,'SKU Order Report '!$C91,'Business - Dump'!$A:$A,'SKU Order Report '!D$1)</f>
        <v>0</v>
      </c>
      <c r="E91" s="3">
        <f>SUMIFS('Business - Dump'!$W:$W,'Business - Dump'!$D:$D,'SKU Order Report '!$C91,'Business - Dump'!$A:$A,'SKU Order Report '!E$1)</f>
        <v>0</v>
      </c>
      <c r="F91" s="3">
        <f>SUMIFS('Business - Dump'!$W:$W,'Business - Dump'!$D:$D,'SKU Order Report '!$C91,'Business - Dump'!$A:$A,'SKU Order Report '!F$1)</f>
        <v>0</v>
      </c>
      <c r="G91" s="3">
        <f>SUMIFS('Business - Dump'!$W:$W,'Business - Dump'!$D:$D,'SKU Order Report '!$C91,'Business - Dump'!$A:$A,'SKU Order Report '!G$1)</f>
        <v>0</v>
      </c>
      <c r="H91" s="3">
        <f>SUMIFS('Business - Dump'!$W:$W,'Business - Dump'!$D:$D,'SKU Order Report '!$C91,'Business - Dump'!$A:$A,'SKU Order Report '!H$1)</f>
        <v>0</v>
      </c>
      <c r="I91" s="3">
        <f>SUMIFS('Business - Dump'!$W:$W,'Business - Dump'!$D:$D,'SKU Order Report '!$C91,'Business - Dump'!$A:$A,'SKU Order Report '!I$1)</f>
        <v>0</v>
      </c>
      <c r="J91" s="3">
        <f>SUMIFS('Business - Dump'!$W:$W,'Business - Dump'!$D:$D,'SKU Order Report '!$C91,'Business - Dump'!$A:$A,'SKU Order Report '!J$1)</f>
        <v>0</v>
      </c>
      <c r="K91" s="3">
        <f>SUMIFS('Business - Dump'!$W:$W,'Business - Dump'!$D:$D,'SKU Order Report '!$C91,'Business - Dump'!$A:$A,'SKU Order Report '!K$1)</f>
        <v>0</v>
      </c>
      <c r="L91" s="3">
        <f>SUMIFS('Business - Dump'!$W:$W,'Business - Dump'!$D:$D,'SKU Order Report '!$C91,'Business - Dump'!$A:$A,'SKU Order Report '!L$1)</f>
        <v>0</v>
      </c>
      <c r="M91" s="3">
        <f>SUMIFS('Business - Dump'!$W:$W,'Business - Dump'!$D:$D,'SKU Order Report '!$C91,'Business - Dump'!$A:$A,'SKU Order Report '!M$1)</f>
        <v>0</v>
      </c>
      <c r="N91" s="3">
        <f>SUMIFS('Business - Dump'!$W:$W,'Business - Dump'!$D:$D,'SKU Order Report '!$C91,'Business - Dump'!$A:$A,'SKU Order Report '!N$1)</f>
        <v>0</v>
      </c>
      <c r="O91" s="3">
        <f>SUMIFS('Business - Dump'!$W:$W,'Business - Dump'!$D:$D,'SKU Order Report '!$C91,'Business - Dump'!$A:$A,'SKU Order Report '!O$1)</f>
        <v>0</v>
      </c>
      <c r="P91" s="3">
        <f>SUMIFS('Business - Dump'!$W:$W,'Business - Dump'!$D:$D,'SKU Order Report '!$C91,'Business - Dump'!$A:$A,'SKU Order Report '!P$1)</f>
        <v>0</v>
      </c>
      <c r="Q91" s="3">
        <f>SUMIFS('Business - Dump'!$W:$W,'Business - Dump'!$D:$D,'SKU Order Report '!$C91,'Business - Dump'!$A:$A,'SKU Order Report '!Q$1)</f>
        <v>0</v>
      </c>
      <c r="R91" s="3">
        <f>SUMIFS('Business - Dump'!$W:$W,'Business - Dump'!$D:$D,'SKU Order Report '!$C91,'Business - Dump'!$A:$A,'SKU Order Report '!R$1)</f>
        <v>1</v>
      </c>
      <c r="S91" s="3">
        <f>SUMIFS('Business - Dump'!$W:$W,'Business - Dump'!$D:$D,'SKU Order Report '!$C91,'Business - Dump'!$A:$A,'SKU Order Report '!S$1)</f>
        <v>0</v>
      </c>
      <c r="T91" s="3">
        <f>SUMIFS('Business - Dump'!$W:$W,'Business - Dump'!$D:$D,'SKU Order Report '!$C91,'Business - Dump'!$A:$A,'SKU Order Report '!T$1)</f>
        <v>0</v>
      </c>
    </row>
    <row r="92" ht="15.75" customHeight="1">
      <c r="A92" s="10" t="str">
        <f t="array" ref="A92">_xlfn.XLOOKUP(C92,'Business - Dump'!$D:$D,'Business - Dump'!$B:$B)</f>
        <v>Standing Table  - E2</v>
      </c>
      <c r="B92" s="10" t="str">
        <f t="array" ref="B92">_xlfn.XLOOKUP(C92,'Referanc '!$A:$A,'Referanc '!$D:$D)</f>
        <v>EY HAT 2M 2S BLK E2 VO3 WG 600 X 1200</v>
      </c>
      <c r="C92" s="68" t="s">
        <v>393</v>
      </c>
      <c r="D92" s="3">
        <f>SUMIFS('Business - Dump'!$W:$W,'Business - Dump'!$D:$D,'SKU Order Report '!$C92,'Business - Dump'!$A:$A,'SKU Order Report '!D$1)</f>
        <v>0</v>
      </c>
      <c r="E92" s="3">
        <f>SUMIFS('Business - Dump'!$W:$W,'Business - Dump'!$D:$D,'SKU Order Report '!$C92,'Business - Dump'!$A:$A,'SKU Order Report '!E$1)</f>
        <v>0</v>
      </c>
      <c r="F92" s="3">
        <f>SUMIFS('Business - Dump'!$W:$W,'Business - Dump'!$D:$D,'SKU Order Report '!$C92,'Business - Dump'!$A:$A,'SKU Order Report '!F$1)</f>
        <v>0</v>
      </c>
      <c r="G92" s="3">
        <f>SUMIFS('Business - Dump'!$W:$W,'Business - Dump'!$D:$D,'SKU Order Report '!$C92,'Business - Dump'!$A:$A,'SKU Order Report '!G$1)</f>
        <v>0</v>
      </c>
      <c r="H92" s="3">
        <f>SUMIFS('Business - Dump'!$W:$W,'Business - Dump'!$D:$D,'SKU Order Report '!$C92,'Business - Dump'!$A:$A,'SKU Order Report '!H$1)</f>
        <v>0</v>
      </c>
      <c r="I92" s="3">
        <f>SUMIFS('Business - Dump'!$W:$W,'Business - Dump'!$D:$D,'SKU Order Report '!$C92,'Business - Dump'!$A:$A,'SKU Order Report '!I$1)</f>
        <v>0</v>
      </c>
      <c r="J92" s="3">
        <f>SUMIFS('Business - Dump'!$W:$W,'Business - Dump'!$D:$D,'SKU Order Report '!$C92,'Business - Dump'!$A:$A,'SKU Order Report '!J$1)</f>
        <v>0</v>
      </c>
      <c r="K92" s="3">
        <f>SUMIFS('Business - Dump'!$W:$W,'Business - Dump'!$D:$D,'SKU Order Report '!$C92,'Business - Dump'!$A:$A,'SKU Order Report '!K$1)</f>
        <v>0</v>
      </c>
      <c r="L92" s="3">
        <f>SUMIFS('Business - Dump'!$W:$W,'Business - Dump'!$D:$D,'SKU Order Report '!$C92,'Business - Dump'!$A:$A,'SKU Order Report '!L$1)</f>
        <v>0</v>
      </c>
      <c r="M92" s="3">
        <f>SUMIFS('Business - Dump'!$W:$W,'Business - Dump'!$D:$D,'SKU Order Report '!$C92,'Business - Dump'!$A:$A,'SKU Order Report '!M$1)</f>
        <v>0</v>
      </c>
      <c r="N92" s="3">
        <f>SUMIFS('Business - Dump'!$W:$W,'Business - Dump'!$D:$D,'SKU Order Report '!$C92,'Business - Dump'!$A:$A,'SKU Order Report '!N$1)</f>
        <v>0</v>
      </c>
      <c r="O92" s="3">
        <f>SUMIFS('Business - Dump'!$W:$W,'Business - Dump'!$D:$D,'SKU Order Report '!$C92,'Business - Dump'!$A:$A,'SKU Order Report '!O$1)</f>
        <v>0</v>
      </c>
      <c r="P92" s="3">
        <f>SUMIFS('Business - Dump'!$W:$W,'Business - Dump'!$D:$D,'SKU Order Report '!$C92,'Business - Dump'!$A:$A,'SKU Order Report '!P$1)</f>
        <v>0</v>
      </c>
      <c r="Q92" s="3">
        <f>SUMIFS('Business - Dump'!$W:$W,'Business - Dump'!$D:$D,'SKU Order Report '!$C92,'Business - Dump'!$A:$A,'SKU Order Report '!Q$1)</f>
        <v>0</v>
      </c>
      <c r="R92" s="3">
        <f>SUMIFS('Business - Dump'!$W:$W,'Business - Dump'!$D:$D,'SKU Order Report '!$C92,'Business - Dump'!$A:$A,'SKU Order Report '!R$1)</f>
        <v>1</v>
      </c>
      <c r="S92" s="3">
        <f>SUMIFS('Business - Dump'!$W:$W,'Business - Dump'!$D:$D,'SKU Order Report '!$C92,'Business - Dump'!$A:$A,'SKU Order Report '!S$1)</f>
        <v>0</v>
      </c>
      <c r="T92" s="3">
        <f>SUMIFS('Business - Dump'!$W:$W,'Business - Dump'!$D:$D,'SKU Order Report '!$C92,'Business - Dump'!$A:$A,'SKU Order Report '!T$1)</f>
        <v>0</v>
      </c>
    </row>
    <row r="93" ht="15.75" customHeight="1">
      <c r="A93" s="10" t="str">
        <f t="array" ref="A93">_xlfn.XLOOKUP(C93,'Business - Dump'!$D:$D,'Business - Dump'!$B:$B)</f>
        <v>Standing Table  - E1A</v>
      </c>
      <c r="B93" s="10" t="str">
        <f t="array" ref="B93">_xlfn.XLOOKUP(C93,'Referanc '!$A:$A,'Referanc '!$D:$D)</f>
        <v>EY HAT 2M 3S WHT E1A V02 CF 600X1200</v>
      </c>
      <c r="C93" s="68" t="s">
        <v>378</v>
      </c>
      <c r="D93" s="3">
        <f>SUMIFS('Business - Dump'!$W:$W,'Business - Dump'!$D:$D,'SKU Order Report '!$C93,'Business - Dump'!$A:$A,'SKU Order Report '!D$1)</f>
        <v>0</v>
      </c>
      <c r="E93" s="3">
        <f>SUMIFS('Business - Dump'!$W:$W,'Business - Dump'!$D:$D,'SKU Order Report '!$C93,'Business - Dump'!$A:$A,'SKU Order Report '!E$1)</f>
        <v>0</v>
      </c>
      <c r="F93" s="3">
        <f>SUMIFS('Business - Dump'!$W:$W,'Business - Dump'!$D:$D,'SKU Order Report '!$C93,'Business - Dump'!$A:$A,'SKU Order Report '!F$1)</f>
        <v>0</v>
      </c>
      <c r="G93" s="3">
        <f>SUMIFS('Business - Dump'!$W:$W,'Business - Dump'!$D:$D,'SKU Order Report '!$C93,'Business - Dump'!$A:$A,'SKU Order Report '!G$1)</f>
        <v>0</v>
      </c>
      <c r="H93" s="3">
        <f>SUMIFS('Business - Dump'!$W:$W,'Business - Dump'!$D:$D,'SKU Order Report '!$C93,'Business - Dump'!$A:$A,'SKU Order Report '!H$1)</f>
        <v>0</v>
      </c>
      <c r="I93" s="3">
        <f>SUMIFS('Business - Dump'!$W:$W,'Business - Dump'!$D:$D,'SKU Order Report '!$C93,'Business - Dump'!$A:$A,'SKU Order Report '!I$1)</f>
        <v>0</v>
      </c>
      <c r="J93" s="3">
        <f>SUMIFS('Business - Dump'!$W:$W,'Business - Dump'!$D:$D,'SKU Order Report '!$C93,'Business - Dump'!$A:$A,'SKU Order Report '!J$1)</f>
        <v>0</v>
      </c>
      <c r="K93" s="3">
        <f>SUMIFS('Business - Dump'!$W:$W,'Business - Dump'!$D:$D,'SKU Order Report '!$C93,'Business - Dump'!$A:$A,'SKU Order Report '!K$1)</f>
        <v>0</v>
      </c>
      <c r="L93" s="3">
        <f>SUMIFS('Business - Dump'!$W:$W,'Business - Dump'!$D:$D,'SKU Order Report '!$C93,'Business - Dump'!$A:$A,'SKU Order Report '!L$1)</f>
        <v>0</v>
      </c>
      <c r="M93" s="3">
        <f>SUMIFS('Business - Dump'!$W:$W,'Business - Dump'!$D:$D,'SKU Order Report '!$C93,'Business - Dump'!$A:$A,'SKU Order Report '!M$1)</f>
        <v>1</v>
      </c>
      <c r="N93" s="3">
        <f>SUMIFS('Business - Dump'!$W:$W,'Business - Dump'!$D:$D,'SKU Order Report '!$C93,'Business - Dump'!$A:$A,'SKU Order Report '!N$1)</f>
        <v>0</v>
      </c>
      <c r="O93" s="3">
        <f>SUMIFS('Business - Dump'!$W:$W,'Business - Dump'!$D:$D,'SKU Order Report '!$C93,'Business - Dump'!$A:$A,'SKU Order Report '!O$1)</f>
        <v>2</v>
      </c>
      <c r="P93" s="3">
        <f>SUMIFS('Business - Dump'!$W:$W,'Business - Dump'!$D:$D,'SKU Order Report '!$C93,'Business - Dump'!$A:$A,'SKU Order Report '!P$1)</f>
        <v>0</v>
      </c>
      <c r="Q93" s="3">
        <f>SUMIFS('Business - Dump'!$W:$W,'Business - Dump'!$D:$D,'SKU Order Report '!$C93,'Business - Dump'!$A:$A,'SKU Order Report '!Q$1)</f>
        <v>0</v>
      </c>
      <c r="R93" s="3">
        <f>SUMIFS('Business - Dump'!$W:$W,'Business - Dump'!$D:$D,'SKU Order Report '!$C93,'Business - Dump'!$A:$A,'SKU Order Report '!R$1)</f>
        <v>0</v>
      </c>
      <c r="S93" s="3">
        <f>SUMIFS('Business - Dump'!$W:$W,'Business - Dump'!$D:$D,'SKU Order Report '!$C93,'Business - Dump'!$A:$A,'SKU Order Report '!S$1)</f>
        <v>0</v>
      </c>
      <c r="T93" s="3">
        <f>SUMIFS('Business - Dump'!$W:$W,'Business - Dump'!$D:$D,'SKU Order Report '!$C93,'Business - Dump'!$A:$A,'SKU Order Report '!T$1)</f>
        <v>0</v>
      </c>
    </row>
    <row r="94" ht="15.75" customHeight="1">
      <c r="A94" s="10" t="str">
        <f t="array" ref="A94">_xlfn.XLOOKUP(C94,'Business - Dump'!$D:$D,'Business - Dump'!$B:$B)</f>
        <v>Keyboard Tray</v>
      </c>
      <c r="B94" s="10" t="str">
        <f t="array" ref="B94">_xlfn.XLOOKUP(C94,'Referanc '!$A:$A,'Referanc '!$D:$D)</f>
        <v>FBA EY KBT-08T BLK V02</v>
      </c>
      <c r="C94" s="68" t="s">
        <v>346</v>
      </c>
      <c r="D94" s="3">
        <f>SUMIFS('Business - Dump'!$W:$W,'Business - Dump'!$D:$D,'SKU Order Report '!$C94,'Business - Dump'!$A:$A,'SKU Order Report '!D$1)</f>
        <v>0</v>
      </c>
      <c r="E94" s="3">
        <f>SUMIFS('Business - Dump'!$W:$W,'Business - Dump'!$D:$D,'SKU Order Report '!$C94,'Business - Dump'!$A:$A,'SKU Order Report '!E$1)</f>
        <v>0</v>
      </c>
      <c r="F94" s="3">
        <f>SUMIFS('Business - Dump'!$W:$W,'Business - Dump'!$D:$D,'SKU Order Report '!$C94,'Business - Dump'!$A:$A,'SKU Order Report '!F$1)</f>
        <v>0</v>
      </c>
      <c r="G94" s="3">
        <f>SUMIFS('Business - Dump'!$W:$W,'Business - Dump'!$D:$D,'SKU Order Report '!$C94,'Business - Dump'!$A:$A,'SKU Order Report '!G$1)</f>
        <v>0</v>
      </c>
      <c r="H94" s="3">
        <f>SUMIFS('Business - Dump'!$W:$W,'Business - Dump'!$D:$D,'SKU Order Report '!$C94,'Business - Dump'!$A:$A,'SKU Order Report '!H$1)</f>
        <v>0</v>
      </c>
      <c r="I94" s="3">
        <f>SUMIFS('Business - Dump'!$W:$W,'Business - Dump'!$D:$D,'SKU Order Report '!$C94,'Business - Dump'!$A:$A,'SKU Order Report '!I$1)</f>
        <v>0</v>
      </c>
      <c r="J94" s="3">
        <f>SUMIFS('Business - Dump'!$W:$W,'Business - Dump'!$D:$D,'SKU Order Report '!$C94,'Business - Dump'!$A:$A,'SKU Order Report '!J$1)</f>
        <v>0</v>
      </c>
      <c r="K94" s="3">
        <f>SUMIFS('Business - Dump'!$W:$W,'Business - Dump'!$D:$D,'SKU Order Report '!$C94,'Business - Dump'!$A:$A,'SKU Order Report '!K$1)</f>
        <v>5</v>
      </c>
      <c r="L94" s="3">
        <f>SUMIFS('Business - Dump'!$W:$W,'Business - Dump'!$D:$D,'SKU Order Report '!$C94,'Business - Dump'!$A:$A,'SKU Order Report '!L$1)</f>
        <v>7</v>
      </c>
      <c r="M94" s="3">
        <f>SUMIFS('Business - Dump'!$W:$W,'Business - Dump'!$D:$D,'SKU Order Report '!$C94,'Business - Dump'!$A:$A,'SKU Order Report '!M$1)</f>
        <v>19</v>
      </c>
      <c r="N94" s="3">
        <f>SUMIFS('Business - Dump'!$W:$W,'Business - Dump'!$D:$D,'SKU Order Report '!$C94,'Business - Dump'!$A:$A,'SKU Order Report '!N$1)</f>
        <v>21</v>
      </c>
      <c r="O94" s="3">
        <f>SUMIFS('Business - Dump'!$W:$W,'Business - Dump'!$D:$D,'SKU Order Report '!$C94,'Business - Dump'!$A:$A,'SKU Order Report '!O$1)</f>
        <v>4</v>
      </c>
      <c r="P94" s="3">
        <f>SUMIFS('Business - Dump'!$W:$W,'Business - Dump'!$D:$D,'SKU Order Report '!$C94,'Business - Dump'!$A:$A,'SKU Order Report '!P$1)</f>
        <v>0</v>
      </c>
      <c r="Q94" s="3">
        <f>SUMIFS('Business - Dump'!$W:$W,'Business - Dump'!$D:$D,'SKU Order Report '!$C94,'Business - Dump'!$A:$A,'SKU Order Report '!Q$1)</f>
        <v>0</v>
      </c>
      <c r="R94" s="3">
        <f>SUMIFS('Business - Dump'!$W:$W,'Business - Dump'!$D:$D,'SKU Order Report '!$C94,'Business - Dump'!$A:$A,'SKU Order Report '!R$1)</f>
        <v>0</v>
      </c>
      <c r="S94" s="3">
        <f>SUMIFS('Business - Dump'!$W:$W,'Business - Dump'!$D:$D,'SKU Order Report '!$C94,'Business - Dump'!$A:$A,'SKU Order Report '!S$1)</f>
        <v>0</v>
      </c>
      <c r="T94" s="3">
        <f>SUMIFS('Business - Dump'!$W:$W,'Business - Dump'!$D:$D,'SKU Order Report '!$C94,'Business - Dump'!$A:$A,'SKU Order Report '!T$1)</f>
        <v>0</v>
      </c>
    </row>
    <row r="95" ht="15.75" customHeight="1">
      <c r="A95" s="10" t="str">
        <f t="array" ref="A95">_xlfn.XLOOKUP(C95,'Business - Dump'!$D:$D,'Business - Dump'!$B:$B)</f>
        <v>Standing Table - All Frames</v>
      </c>
      <c r="B95" s="10" t="str">
        <f t="array" ref="B95">_xlfn.XLOOKUP(C95,'Referanc '!$A:$A,'Referanc '!$D:$D)</f>
        <v>EY HAT 2M 2S BLK E2 VO3</v>
      </c>
      <c r="C95" s="31" t="s">
        <v>420</v>
      </c>
      <c r="D95" s="3">
        <f>SUMIFS('Business - Dump'!$W:$W,'Business - Dump'!$D:$D,'SKU Order Report '!$C95,'Business - Dump'!$A:$A,'SKU Order Report '!D$1)</f>
        <v>0</v>
      </c>
      <c r="E95" s="3">
        <f>SUMIFS('Business - Dump'!$W:$W,'Business - Dump'!$D:$D,'SKU Order Report '!$C95,'Business - Dump'!$A:$A,'SKU Order Report '!E$1)</f>
        <v>0</v>
      </c>
      <c r="F95" s="3">
        <f>SUMIFS('Business - Dump'!$W:$W,'Business - Dump'!$D:$D,'SKU Order Report '!$C95,'Business - Dump'!$A:$A,'SKU Order Report '!F$1)</f>
        <v>0</v>
      </c>
      <c r="G95" s="3">
        <f>SUMIFS('Business - Dump'!$W:$W,'Business - Dump'!$D:$D,'SKU Order Report '!$C95,'Business - Dump'!$A:$A,'SKU Order Report '!G$1)</f>
        <v>0</v>
      </c>
      <c r="H95" s="3">
        <f>SUMIFS('Business - Dump'!$W:$W,'Business - Dump'!$D:$D,'SKU Order Report '!$C95,'Business - Dump'!$A:$A,'SKU Order Report '!H$1)</f>
        <v>0</v>
      </c>
      <c r="I95" s="3">
        <f>SUMIFS('Business - Dump'!$W:$W,'Business - Dump'!$D:$D,'SKU Order Report '!$C95,'Business - Dump'!$A:$A,'SKU Order Report '!I$1)</f>
        <v>0</v>
      </c>
      <c r="J95" s="3">
        <f>SUMIFS('Business - Dump'!$W:$W,'Business - Dump'!$D:$D,'SKU Order Report '!$C95,'Business - Dump'!$A:$A,'SKU Order Report '!J$1)</f>
        <v>0</v>
      </c>
      <c r="K95" s="3">
        <f>SUMIFS('Business - Dump'!$W:$W,'Business - Dump'!$D:$D,'SKU Order Report '!$C95,'Business - Dump'!$A:$A,'SKU Order Report '!K$1)</f>
        <v>1</v>
      </c>
      <c r="L95" s="3">
        <f>SUMIFS('Business - Dump'!$W:$W,'Business - Dump'!$D:$D,'SKU Order Report '!$C95,'Business - Dump'!$A:$A,'SKU Order Report '!L$1)</f>
        <v>0</v>
      </c>
      <c r="M95" s="3">
        <f>SUMIFS('Business - Dump'!$W:$W,'Business - Dump'!$D:$D,'SKU Order Report '!$C95,'Business - Dump'!$A:$A,'SKU Order Report '!M$1)</f>
        <v>1</v>
      </c>
      <c r="N95" s="3">
        <f>SUMIFS('Business - Dump'!$W:$W,'Business - Dump'!$D:$D,'SKU Order Report '!$C95,'Business - Dump'!$A:$A,'SKU Order Report '!N$1)</f>
        <v>0</v>
      </c>
      <c r="O95" s="3">
        <f>SUMIFS('Business - Dump'!$W:$W,'Business - Dump'!$D:$D,'SKU Order Report '!$C95,'Business - Dump'!$A:$A,'SKU Order Report '!O$1)</f>
        <v>0</v>
      </c>
      <c r="P95" s="3">
        <f>SUMIFS('Business - Dump'!$W:$W,'Business - Dump'!$D:$D,'SKU Order Report '!$C95,'Business - Dump'!$A:$A,'SKU Order Report '!P$1)</f>
        <v>1</v>
      </c>
      <c r="Q95" s="3">
        <f>SUMIFS('Business - Dump'!$W:$W,'Business - Dump'!$D:$D,'SKU Order Report '!$C95,'Business - Dump'!$A:$A,'SKU Order Report '!Q$1)</f>
        <v>0</v>
      </c>
      <c r="R95" s="3">
        <f>SUMIFS('Business - Dump'!$W:$W,'Business - Dump'!$D:$D,'SKU Order Report '!$C95,'Business - Dump'!$A:$A,'SKU Order Report '!R$1)</f>
        <v>3</v>
      </c>
      <c r="S95" s="3">
        <f>SUMIFS('Business - Dump'!$W:$W,'Business - Dump'!$D:$D,'SKU Order Report '!$C95,'Business - Dump'!$A:$A,'SKU Order Report '!S$1)</f>
        <v>2</v>
      </c>
      <c r="T95" s="3">
        <f>SUMIFS('Business - Dump'!$W:$W,'Business - Dump'!$D:$D,'SKU Order Report '!$C95,'Business - Dump'!$A:$A,'SKU Order Report '!T$1)</f>
        <v>0</v>
      </c>
      <c r="U95" s="31"/>
      <c r="V95" s="31"/>
      <c r="W95" s="31"/>
      <c r="X95" s="31"/>
      <c r="Y95" s="31"/>
      <c r="Z95" s="31"/>
    </row>
    <row r="96" ht="15.75" customHeight="1">
      <c r="A96" s="10" t="str">
        <f t="array" ref="A96">_xlfn.XLOOKUP(C96,'Business - Dump'!$D:$D,'Business - Dump'!$B:$B)</f>
        <v>Standing Table  - E2</v>
      </c>
      <c r="B96" s="10" t="str">
        <f t="array" ref="B96">_xlfn.XLOOKUP(C96,'Referanc '!$A:$A,'Referanc '!$D:$D)</f>
        <v>EY HAT 2M 2S BLK E2 VO3 PW 750 X 1500</v>
      </c>
      <c r="C96" s="68" t="s">
        <v>392</v>
      </c>
      <c r="D96" s="3">
        <f>SUMIFS('Business - Dump'!$W:$W,'Business - Dump'!$D:$D,'SKU Order Report '!$C96,'Business - Dump'!$A:$A,'SKU Order Report '!D$1)</f>
        <v>0</v>
      </c>
      <c r="E96" s="3">
        <f>SUMIFS('Business - Dump'!$W:$W,'Business - Dump'!$D:$D,'SKU Order Report '!$C96,'Business - Dump'!$A:$A,'SKU Order Report '!E$1)</f>
        <v>0</v>
      </c>
      <c r="F96" s="3">
        <f>SUMIFS('Business - Dump'!$W:$W,'Business - Dump'!$D:$D,'SKU Order Report '!$C96,'Business - Dump'!$A:$A,'SKU Order Report '!F$1)</f>
        <v>0</v>
      </c>
      <c r="G96" s="3">
        <f>SUMIFS('Business - Dump'!$W:$W,'Business - Dump'!$D:$D,'SKU Order Report '!$C96,'Business - Dump'!$A:$A,'SKU Order Report '!G$1)</f>
        <v>0</v>
      </c>
      <c r="H96" s="3">
        <f>SUMIFS('Business - Dump'!$W:$W,'Business - Dump'!$D:$D,'SKU Order Report '!$C96,'Business - Dump'!$A:$A,'SKU Order Report '!H$1)</f>
        <v>0</v>
      </c>
      <c r="I96" s="3">
        <f>SUMIFS('Business - Dump'!$W:$W,'Business - Dump'!$D:$D,'SKU Order Report '!$C96,'Business - Dump'!$A:$A,'SKU Order Report '!I$1)</f>
        <v>0</v>
      </c>
      <c r="J96" s="3">
        <f>SUMIFS('Business - Dump'!$W:$W,'Business - Dump'!$D:$D,'SKU Order Report '!$C96,'Business - Dump'!$A:$A,'SKU Order Report '!J$1)</f>
        <v>0</v>
      </c>
      <c r="K96" s="3">
        <f>SUMIFS('Business - Dump'!$W:$W,'Business - Dump'!$D:$D,'SKU Order Report '!$C96,'Business - Dump'!$A:$A,'SKU Order Report '!K$1)</f>
        <v>0</v>
      </c>
      <c r="L96" s="3">
        <f>SUMIFS('Business - Dump'!$W:$W,'Business - Dump'!$D:$D,'SKU Order Report '!$C96,'Business - Dump'!$A:$A,'SKU Order Report '!L$1)</f>
        <v>1</v>
      </c>
      <c r="M96" s="3">
        <f>SUMIFS('Business - Dump'!$W:$W,'Business - Dump'!$D:$D,'SKU Order Report '!$C96,'Business - Dump'!$A:$A,'SKU Order Report '!M$1)</f>
        <v>1</v>
      </c>
      <c r="N96" s="3">
        <f>SUMIFS('Business - Dump'!$W:$W,'Business - Dump'!$D:$D,'SKU Order Report '!$C96,'Business - Dump'!$A:$A,'SKU Order Report '!N$1)</f>
        <v>0</v>
      </c>
      <c r="O96" s="3">
        <f>SUMIFS('Business - Dump'!$W:$W,'Business - Dump'!$D:$D,'SKU Order Report '!$C96,'Business - Dump'!$A:$A,'SKU Order Report '!O$1)</f>
        <v>0</v>
      </c>
      <c r="P96" s="3">
        <f>SUMIFS('Business - Dump'!$W:$W,'Business - Dump'!$D:$D,'SKU Order Report '!$C96,'Business - Dump'!$A:$A,'SKU Order Report '!P$1)</f>
        <v>1</v>
      </c>
      <c r="Q96" s="3">
        <f>SUMIFS('Business - Dump'!$W:$W,'Business - Dump'!$D:$D,'SKU Order Report '!$C96,'Business - Dump'!$A:$A,'SKU Order Report '!Q$1)</f>
        <v>1</v>
      </c>
      <c r="R96" s="3">
        <f>SUMIFS('Business - Dump'!$W:$W,'Business - Dump'!$D:$D,'SKU Order Report '!$C96,'Business - Dump'!$A:$A,'SKU Order Report '!R$1)</f>
        <v>4</v>
      </c>
      <c r="S96" s="3">
        <f>SUMIFS('Business - Dump'!$W:$W,'Business - Dump'!$D:$D,'SKU Order Report '!$C96,'Business - Dump'!$A:$A,'SKU Order Report '!S$1)</f>
        <v>0</v>
      </c>
      <c r="T96" s="3">
        <f>SUMIFS('Business - Dump'!$W:$W,'Business - Dump'!$D:$D,'SKU Order Report '!$C96,'Business - Dump'!$A:$A,'SKU Order Report '!T$1)</f>
        <v>1</v>
      </c>
    </row>
    <row r="97" ht="15.75" customHeight="1">
      <c r="A97" s="10" t="str">
        <f t="array" ref="A97">_xlfn.XLOOKUP(C97,'Business - Dump'!$D:$D,'Business - Dump'!$B:$B)</f>
        <v>Standing Table  - E2</v>
      </c>
      <c r="B97" s="10" t="str">
        <f t="array" ref="B97">_xlfn.XLOOKUP(C97,'Referanc '!$A:$A,'Referanc '!$D:$D)</f>
        <v>EY HAT 2M 2S BLK E2 VO3 PW 600 X 1200</v>
      </c>
      <c r="C97" s="68" t="s">
        <v>394</v>
      </c>
      <c r="D97" s="3">
        <f>SUMIFS('Business - Dump'!$W:$W,'Business - Dump'!$D:$D,'SKU Order Report '!$C97,'Business - Dump'!$A:$A,'SKU Order Report '!D$1)</f>
        <v>0</v>
      </c>
      <c r="E97" s="3">
        <f>SUMIFS('Business - Dump'!$W:$W,'Business - Dump'!$D:$D,'SKU Order Report '!$C97,'Business - Dump'!$A:$A,'SKU Order Report '!E$1)</f>
        <v>0</v>
      </c>
      <c r="F97" s="3">
        <f>SUMIFS('Business - Dump'!$W:$W,'Business - Dump'!$D:$D,'SKU Order Report '!$C97,'Business - Dump'!$A:$A,'SKU Order Report '!F$1)</f>
        <v>0</v>
      </c>
      <c r="G97" s="3">
        <f>SUMIFS('Business - Dump'!$W:$W,'Business - Dump'!$D:$D,'SKU Order Report '!$C97,'Business - Dump'!$A:$A,'SKU Order Report '!G$1)</f>
        <v>0</v>
      </c>
      <c r="H97" s="3">
        <f>SUMIFS('Business - Dump'!$W:$W,'Business - Dump'!$D:$D,'SKU Order Report '!$C97,'Business - Dump'!$A:$A,'SKU Order Report '!H$1)</f>
        <v>0</v>
      </c>
      <c r="I97" s="3">
        <f>SUMIFS('Business - Dump'!$W:$W,'Business - Dump'!$D:$D,'SKU Order Report '!$C97,'Business - Dump'!$A:$A,'SKU Order Report '!I$1)</f>
        <v>0</v>
      </c>
      <c r="J97" s="3">
        <f>SUMIFS('Business - Dump'!$W:$W,'Business - Dump'!$D:$D,'SKU Order Report '!$C97,'Business - Dump'!$A:$A,'SKU Order Report '!J$1)</f>
        <v>0</v>
      </c>
      <c r="K97" s="3">
        <f>SUMIFS('Business - Dump'!$W:$W,'Business - Dump'!$D:$D,'SKU Order Report '!$C97,'Business - Dump'!$A:$A,'SKU Order Report '!K$1)</f>
        <v>0</v>
      </c>
      <c r="L97" s="3">
        <f>SUMIFS('Business - Dump'!$W:$W,'Business - Dump'!$D:$D,'SKU Order Report '!$C97,'Business - Dump'!$A:$A,'SKU Order Report '!L$1)</f>
        <v>1</v>
      </c>
      <c r="M97" s="3">
        <f>SUMIFS('Business - Dump'!$W:$W,'Business - Dump'!$D:$D,'SKU Order Report '!$C97,'Business - Dump'!$A:$A,'SKU Order Report '!M$1)</f>
        <v>0</v>
      </c>
      <c r="N97" s="3">
        <f>SUMIFS('Business - Dump'!$W:$W,'Business - Dump'!$D:$D,'SKU Order Report '!$C97,'Business - Dump'!$A:$A,'SKU Order Report '!N$1)</f>
        <v>0</v>
      </c>
      <c r="O97" s="3">
        <f>SUMIFS('Business - Dump'!$W:$W,'Business - Dump'!$D:$D,'SKU Order Report '!$C97,'Business - Dump'!$A:$A,'SKU Order Report '!O$1)</f>
        <v>0</v>
      </c>
      <c r="P97" s="3">
        <f>SUMIFS('Business - Dump'!$W:$W,'Business - Dump'!$D:$D,'SKU Order Report '!$C97,'Business - Dump'!$A:$A,'SKU Order Report '!P$1)</f>
        <v>0</v>
      </c>
      <c r="Q97" s="3">
        <f>SUMIFS('Business - Dump'!$W:$W,'Business - Dump'!$D:$D,'SKU Order Report '!$C97,'Business - Dump'!$A:$A,'SKU Order Report '!Q$1)</f>
        <v>0</v>
      </c>
      <c r="R97" s="3">
        <f>SUMIFS('Business - Dump'!$W:$W,'Business - Dump'!$D:$D,'SKU Order Report '!$C97,'Business - Dump'!$A:$A,'SKU Order Report '!R$1)</f>
        <v>1</v>
      </c>
      <c r="S97" s="3">
        <f>SUMIFS('Business - Dump'!$W:$W,'Business - Dump'!$D:$D,'SKU Order Report '!$C97,'Business - Dump'!$A:$A,'SKU Order Report '!S$1)</f>
        <v>0</v>
      </c>
      <c r="T97" s="3">
        <f>SUMIFS('Business - Dump'!$W:$W,'Business - Dump'!$D:$D,'SKU Order Report '!$C97,'Business - Dump'!$A:$A,'SKU Order Report '!T$1)</f>
        <v>0</v>
      </c>
    </row>
    <row r="98" ht="15.75" customHeight="1">
      <c r="A98" s="10" t="str">
        <f t="array" ref="A98">_xlfn.XLOOKUP(C98,'Business - Dump'!$D:$D,'Business - Dump'!$B:$B)</f>
        <v>Standing Table  - E4</v>
      </c>
      <c r="B98" s="10" t="str">
        <f t="array" ref="B98">_xlfn.XLOOKUP(C98,'Referanc '!$A:$A,'Referanc '!$D:$D)</f>
        <v>EY HAT 2M 2S BLK E4 V02 PW 600X1200</v>
      </c>
      <c r="C98" s="68" t="s">
        <v>405</v>
      </c>
      <c r="D98" s="3">
        <f>SUMIFS('Business - Dump'!$W:$W,'Business - Dump'!$D:$D,'SKU Order Report '!$C98,'Business - Dump'!$A:$A,'SKU Order Report '!D$1)</f>
        <v>0</v>
      </c>
      <c r="E98" s="3">
        <f>SUMIFS('Business - Dump'!$W:$W,'Business - Dump'!$D:$D,'SKU Order Report '!$C98,'Business - Dump'!$A:$A,'SKU Order Report '!E$1)</f>
        <v>0</v>
      </c>
      <c r="F98" s="3">
        <f>SUMIFS('Business - Dump'!$W:$W,'Business - Dump'!$D:$D,'SKU Order Report '!$C98,'Business - Dump'!$A:$A,'SKU Order Report '!F$1)</f>
        <v>0</v>
      </c>
      <c r="G98" s="3">
        <f>SUMIFS('Business - Dump'!$W:$W,'Business - Dump'!$D:$D,'SKU Order Report '!$C98,'Business - Dump'!$A:$A,'SKU Order Report '!G$1)</f>
        <v>0</v>
      </c>
      <c r="H98" s="3">
        <f>SUMIFS('Business - Dump'!$W:$W,'Business - Dump'!$D:$D,'SKU Order Report '!$C98,'Business - Dump'!$A:$A,'SKU Order Report '!H$1)</f>
        <v>0</v>
      </c>
      <c r="I98" s="3">
        <f>SUMIFS('Business - Dump'!$W:$W,'Business - Dump'!$D:$D,'SKU Order Report '!$C98,'Business - Dump'!$A:$A,'SKU Order Report '!I$1)</f>
        <v>0</v>
      </c>
      <c r="J98" s="3">
        <f>SUMIFS('Business - Dump'!$W:$W,'Business - Dump'!$D:$D,'SKU Order Report '!$C98,'Business - Dump'!$A:$A,'SKU Order Report '!J$1)</f>
        <v>0</v>
      </c>
      <c r="K98" s="3">
        <f>SUMIFS('Business - Dump'!$W:$W,'Business - Dump'!$D:$D,'SKU Order Report '!$C98,'Business - Dump'!$A:$A,'SKU Order Report '!K$1)</f>
        <v>0</v>
      </c>
      <c r="L98" s="3">
        <f>SUMIFS('Business - Dump'!$W:$W,'Business - Dump'!$D:$D,'SKU Order Report '!$C98,'Business - Dump'!$A:$A,'SKU Order Report '!L$1)</f>
        <v>0</v>
      </c>
      <c r="M98" s="3">
        <f>SUMIFS('Business - Dump'!$W:$W,'Business - Dump'!$D:$D,'SKU Order Report '!$C98,'Business - Dump'!$A:$A,'SKU Order Report '!M$1)</f>
        <v>0</v>
      </c>
      <c r="N98" s="3">
        <f>SUMIFS('Business - Dump'!$W:$W,'Business - Dump'!$D:$D,'SKU Order Report '!$C98,'Business - Dump'!$A:$A,'SKU Order Report '!N$1)</f>
        <v>0</v>
      </c>
      <c r="O98" s="3">
        <f>SUMIFS('Business - Dump'!$W:$W,'Business - Dump'!$D:$D,'SKU Order Report '!$C98,'Business - Dump'!$A:$A,'SKU Order Report '!O$1)</f>
        <v>0</v>
      </c>
      <c r="P98" s="3">
        <f>SUMIFS('Business - Dump'!$W:$W,'Business - Dump'!$D:$D,'SKU Order Report '!$C98,'Business - Dump'!$A:$A,'SKU Order Report '!P$1)</f>
        <v>0</v>
      </c>
      <c r="Q98" s="3">
        <f>SUMIFS('Business - Dump'!$W:$W,'Business - Dump'!$D:$D,'SKU Order Report '!$C98,'Business - Dump'!$A:$A,'SKU Order Report '!Q$1)</f>
        <v>2</v>
      </c>
      <c r="R98" s="3">
        <f>SUMIFS('Business - Dump'!$W:$W,'Business - Dump'!$D:$D,'SKU Order Report '!$C98,'Business - Dump'!$A:$A,'SKU Order Report '!R$1)</f>
        <v>1</v>
      </c>
      <c r="S98" s="3">
        <f>SUMIFS('Business - Dump'!$W:$W,'Business - Dump'!$D:$D,'SKU Order Report '!$C98,'Business - Dump'!$A:$A,'SKU Order Report '!S$1)</f>
        <v>0</v>
      </c>
      <c r="T98" s="3">
        <f>SUMIFS('Business - Dump'!$W:$W,'Business - Dump'!$D:$D,'SKU Order Report '!$C98,'Business - Dump'!$A:$A,'SKU Order Report '!T$1)</f>
        <v>2</v>
      </c>
    </row>
    <row r="99" ht="15.75" customHeight="1">
      <c r="A99" s="10" t="str">
        <f t="array" ref="A99">_xlfn.XLOOKUP(C99,'Business - Dump'!$D:$D,'Business - Dump'!$B:$B)</f>
        <v>Desk Cable Tray</v>
      </c>
      <c r="B99" s="10" t="str">
        <f t="array" ref="B99">_xlfn.XLOOKUP(C99,'Referanc '!$A:$A,'Referanc '!$D:$D)</f>
        <v>EY CT CLAMP1 WHT V02</v>
      </c>
      <c r="C99" s="68" t="s">
        <v>325</v>
      </c>
      <c r="D99" s="3">
        <f>SUMIFS('Business - Dump'!$W:$W,'Business - Dump'!$D:$D,'SKU Order Report '!$C99,'Business - Dump'!$A:$A,'SKU Order Report '!D$1)</f>
        <v>0</v>
      </c>
      <c r="E99" s="3">
        <f>SUMIFS('Business - Dump'!$W:$W,'Business - Dump'!$D:$D,'SKU Order Report '!$C99,'Business - Dump'!$A:$A,'SKU Order Report '!E$1)</f>
        <v>0</v>
      </c>
      <c r="F99" s="3">
        <f>SUMIFS('Business - Dump'!$W:$W,'Business - Dump'!$D:$D,'SKU Order Report '!$C99,'Business - Dump'!$A:$A,'SKU Order Report '!F$1)</f>
        <v>0</v>
      </c>
      <c r="G99" s="3">
        <f>SUMIFS('Business - Dump'!$W:$W,'Business - Dump'!$D:$D,'SKU Order Report '!$C99,'Business - Dump'!$A:$A,'SKU Order Report '!G$1)</f>
        <v>0</v>
      </c>
      <c r="H99" s="3">
        <f>SUMIFS('Business - Dump'!$W:$W,'Business - Dump'!$D:$D,'SKU Order Report '!$C99,'Business - Dump'!$A:$A,'SKU Order Report '!H$1)</f>
        <v>0</v>
      </c>
      <c r="I99" s="3">
        <f>SUMIFS('Business - Dump'!$W:$W,'Business - Dump'!$D:$D,'SKU Order Report '!$C99,'Business - Dump'!$A:$A,'SKU Order Report '!I$1)</f>
        <v>0</v>
      </c>
      <c r="J99" s="3">
        <f>SUMIFS('Business - Dump'!$W:$W,'Business - Dump'!$D:$D,'SKU Order Report '!$C99,'Business - Dump'!$A:$A,'SKU Order Report '!J$1)</f>
        <v>0</v>
      </c>
      <c r="K99" s="3">
        <f>SUMIFS('Business - Dump'!$W:$W,'Business - Dump'!$D:$D,'SKU Order Report '!$C99,'Business - Dump'!$A:$A,'SKU Order Report '!K$1)</f>
        <v>0</v>
      </c>
      <c r="L99" s="3">
        <f>SUMIFS('Business - Dump'!$W:$W,'Business - Dump'!$D:$D,'SKU Order Report '!$C99,'Business - Dump'!$A:$A,'SKU Order Report '!L$1)</f>
        <v>17</v>
      </c>
      <c r="M99" s="3">
        <f>SUMIFS('Business - Dump'!$W:$W,'Business - Dump'!$D:$D,'SKU Order Report '!$C99,'Business - Dump'!$A:$A,'SKU Order Report '!M$1)</f>
        <v>58</v>
      </c>
      <c r="N99" s="3">
        <f>SUMIFS('Business - Dump'!$W:$W,'Business - Dump'!$D:$D,'SKU Order Report '!$C99,'Business - Dump'!$A:$A,'SKU Order Report '!N$1)</f>
        <v>67</v>
      </c>
      <c r="O99" s="3">
        <f>SUMIFS('Business - Dump'!$W:$W,'Business - Dump'!$D:$D,'SKU Order Report '!$C99,'Business - Dump'!$A:$A,'SKU Order Report '!O$1)</f>
        <v>34</v>
      </c>
      <c r="P99" s="3">
        <f>SUMIFS('Business - Dump'!$W:$W,'Business - Dump'!$D:$D,'SKU Order Report '!$C99,'Business - Dump'!$A:$A,'SKU Order Report '!P$1)</f>
        <v>101</v>
      </c>
      <c r="Q99" s="3">
        <f>SUMIFS('Business - Dump'!$W:$W,'Business - Dump'!$D:$D,'SKU Order Report '!$C99,'Business - Dump'!$A:$A,'SKU Order Report '!Q$1)</f>
        <v>109</v>
      </c>
      <c r="R99" s="3">
        <f>SUMIFS('Business - Dump'!$W:$W,'Business - Dump'!$D:$D,'SKU Order Report '!$C99,'Business - Dump'!$A:$A,'SKU Order Report '!R$1)</f>
        <v>16</v>
      </c>
      <c r="S99" s="3">
        <f>SUMIFS('Business - Dump'!$W:$W,'Business - Dump'!$D:$D,'SKU Order Report '!$C99,'Business - Dump'!$A:$A,'SKU Order Report '!S$1)</f>
        <v>136</v>
      </c>
      <c r="T99" s="3">
        <f>SUMIFS('Business - Dump'!$W:$W,'Business - Dump'!$D:$D,'SKU Order Report '!$C99,'Business - Dump'!$A:$A,'SKU Order Report '!T$1)</f>
        <v>135</v>
      </c>
    </row>
    <row r="100" ht="15.75" customHeight="1">
      <c r="A100" s="10" t="str">
        <f t="array" ref="A100">_xlfn.XLOOKUP(C100,'Business - Dump'!$D:$D,'Business - Dump'!$B:$B)</f>
        <v>Standing Table - All Frames</v>
      </c>
      <c r="B100" s="10" t="str">
        <f t="array" ref="B100">_xlfn.XLOOKUP(C100,'Referanc '!$A:$A,'Referanc '!$D:$D)</f>
        <v>EY HAT 2M 2S BLK E4 V02</v>
      </c>
      <c r="C100" s="68" t="s">
        <v>422</v>
      </c>
      <c r="D100" s="3">
        <f>SUMIFS('Business - Dump'!$W:$W,'Business - Dump'!$D:$D,'SKU Order Report '!$C100,'Business - Dump'!$A:$A,'SKU Order Report '!D$1)</f>
        <v>0</v>
      </c>
      <c r="E100" s="3">
        <f>SUMIFS('Business - Dump'!$W:$W,'Business - Dump'!$D:$D,'SKU Order Report '!$C100,'Business - Dump'!$A:$A,'SKU Order Report '!E$1)</f>
        <v>0</v>
      </c>
      <c r="F100" s="3">
        <f>SUMIFS('Business - Dump'!$W:$W,'Business - Dump'!$D:$D,'SKU Order Report '!$C100,'Business - Dump'!$A:$A,'SKU Order Report '!F$1)</f>
        <v>0</v>
      </c>
      <c r="G100" s="3">
        <f>SUMIFS('Business - Dump'!$W:$W,'Business - Dump'!$D:$D,'SKU Order Report '!$C100,'Business - Dump'!$A:$A,'SKU Order Report '!G$1)</f>
        <v>0</v>
      </c>
      <c r="H100" s="3">
        <f>SUMIFS('Business - Dump'!$W:$W,'Business - Dump'!$D:$D,'SKU Order Report '!$C100,'Business - Dump'!$A:$A,'SKU Order Report '!H$1)</f>
        <v>0</v>
      </c>
      <c r="I100" s="3">
        <f>SUMIFS('Business - Dump'!$W:$W,'Business - Dump'!$D:$D,'SKU Order Report '!$C100,'Business - Dump'!$A:$A,'SKU Order Report '!I$1)</f>
        <v>0</v>
      </c>
      <c r="J100" s="3">
        <f>SUMIFS('Business - Dump'!$W:$W,'Business - Dump'!$D:$D,'SKU Order Report '!$C100,'Business - Dump'!$A:$A,'SKU Order Report '!J$1)</f>
        <v>0</v>
      </c>
      <c r="K100" s="3">
        <f>SUMIFS('Business - Dump'!$W:$W,'Business - Dump'!$D:$D,'SKU Order Report '!$C100,'Business - Dump'!$A:$A,'SKU Order Report '!K$1)</f>
        <v>0</v>
      </c>
      <c r="L100" s="3">
        <f>SUMIFS('Business - Dump'!$W:$W,'Business - Dump'!$D:$D,'SKU Order Report '!$C100,'Business - Dump'!$A:$A,'SKU Order Report '!L$1)</f>
        <v>1</v>
      </c>
      <c r="M100" s="3">
        <f>SUMIFS('Business - Dump'!$W:$W,'Business - Dump'!$D:$D,'SKU Order Report '!$C100,'Business - Dump'!$A:$A,'SKU Order Report '!M$1)</f>
        <v>0</v>
      </c>
      <c r="N100" s="3">
        <f>SUMIFS('Business - Dump'!$W:$W,'Business - Dump'!$D:$D,'SKU Order Report '!$C100,'Business - Dump'!$A:$A,'SKU Order Report '!N$1)</f>
        <v>0</v>
      </c>
      <c r="O100" s="3">
        <f>SUMIFS('Business - Dump'!$W:$W,'Business - Dump'!$D:$D,'SKU Order Report '!$C100,'Business - Dump'!$A:$A,'SKU Order Report '!O$1)</f>
        <v>0</v>
      </c>
      <c r="P100" s="3">
        <f>SUMIFS('Business - Dump'!$W:$W,'Business - Dump'!$D:$D,'SKU Order Report '!$C100,'Business - Dump'!$A:$A,'SKU Order Report '!P$1)</f>
        <v>3</v>
      </c>
      <c r="Q100" s="3">
        <f>SUMIFS('Business - Dump'!$W:$W,'Business - Dump'!$D:$D,'SKU Order Report '!$C100,'Business - Dump'!$A:$A,'SKU Order Report '!Q$1)</f>
        <v>3</v>
      </c>
      <c r="R100" s="3">
        <f>SUMIFS('Business - Dump'!$W:$W,'Business - Dump'!$D:$D,'SKU Order Report '!$C100,'Business - Dump'!$A:$A,'SKU Order Report '!R$1)</f>
        <v>3</v>
      </c>
      <c r="S100" s="3">
        <f>SUMIFS('Business - Dump'!$W:$W,'Business - Dump'!$D:$D,'SKU Order Report '!$C100,'Business - Dump'!$A:$A,'SKU Order Report '!S$1)</f>
        <v>1</v>
      </c>
      <c r="T100" s="3">
        <f>SUMIFS('Business - Dump'!$W:$W,'Business - Dump'!$D:$D,'SKU Order Report '!$C100,'Business - Dump'!$A:$A,'SKU Order Report '!T$1)</f>
        <v>4</v>
      </c>
    </row>
    <row r="101" ht="15.75" customHeight="1">
      <c r="A101" s="10" t="str">
        <f t="array" ref="A101">_xlfn.XLOOKUP(C101,'Business - Dump'!$D:$D,'Business - Dump'!$B:$B)</f>
        <v>Monitor Arm Stand</v>
      </c>
      <c r="B101" s="10" t="str">
        <f t="array" ref="B101">_xlfn.XLOOKUP(C101,'Referanc '!$A:$A,'Referanc '!$D:$D)</f>
        <v>FBA EY MA G2 1S BLK WHT V02</v>
      </c>
      <c r="C101" s="68" t="s">
        <v>353</v>
      </c>
      <c r="D101" s="3">
        <f>SUMIFS('Business - Dump'!$W:$W,'Business - Dump'!$D:$D,'SKU Order Report '!$C101,'Business - Dump'!$A:$A,'SKU Order Report '!D$1)</f>
        <v>0</v>
      </c>
      <c r="E101" s="3">
        <f>SUMIFS('Business - Dump'!$W:$W,'Business - Dump'!$D:$D,'SKU Order Report '!$C101,'Business - Dump'!$A:$A,'SKU Order Report '!E$1)</f>
        <v>0</v>
      </c>
      <c r="F101" s="3">
        <f>SUMIFS('Business - Dump'!$W:$W,'Business - Dump'!$D:$D,'SKU Order Report '!$C101,'Business - Dump'!$A:$A,'SKU Order Report '!F$1)</f>
        <v>0</v>
      </c>
      <c r="G101" s="3">
        <f>SUMIFS('Business - Dump'!$W:$W,'Business - Dump'!$D:$D,'SKU Order Report '!$C101,'Business - Dump'!$A:$A,'SKU Order Report '!G$1)</f>
        <v>0</v>
      </c>
      <c r="H101" s="3">
        <f>SUMIFS('Business - Dump'!$W:$W,'Business - Dump'!$D:$D,'SKU Order Report '!$C101,'Business - Dump'!$A:$A,'SKU Order Report '!H$1)</f>
        <v>0</v>
      </c>
      <c r="I101" s="3">
        <f>SUMIFS('Business - Dump'!$W:$W,'Business - Dump'!$D:$D,'SKU Order Report '!$C101,'Business - Dump'!$A:$A,'SKU Order Report '!I$1)</f>
        <v>0</v>
      </c>
      <c r="J101" s="3">
        <f>SUMIFS('Business - Dump'!$W:$W,'Business - Dump'!$D:$D,'SKU Order Report '!$C101,'Business - Dump'!$A:$A,'SKU Order Report '!J$1)</f>
        <v>0</v>
      </c>
      <c r="K101" s="3">
        <f>SUMIFS('Business - Dump'!$W:$W,'Business - Dump'!$D:$D,'SKU Order Report '!$C101,'Business - Dump'!$A:$A,'SKU Order Report '!K$1)</f>
        <v>0</v>
      </c>
      <c r="L101" s="3">
        <f>SUMIFS('Business - Dump'!$W:$W,'Business - Dump'!$D:$D,'SKU Order Report '!$C101,'Business - Dump'!$A:$A,'SKU Order Report '!L$1)</f>
        <v>1</v>
      </c>
      <c r="M101" s="3">
        <f>SUMIFS('Business - Dump'!$W:$W,'Business - Dump'!$D:$D,'SKU Order Report '!$C101,'Business - Dump'!$A:$A,'SKU Order Report '!M$1)</f>
        <v>12</v>
      </c>
      <c r="N101" s="3">
        <f>SUMIFS('Business - Dump'!$W:$W,'Business - Dump'!$D:$D,'SKU Order Report '!$C101,'Business - Dump'!$A:$A,'SKU Order Report '!N$1)</f>
        <v>38</v>
      </c>
      <c r="O101" s="3">
        <f>SUMIFS('Business - Dump'!$W:$W,'Business - Dump'!$D:$D,'SKU Order Report '!$C101,'Business - Dump'!$A:$A,'SKU Order Report '!O$1)</f>
        <v>24</v>
      </c>
      <c r="P101" s="3">
        <f>SUMIFS('Business - Dump'!$W:$W,'Business - Dump'!$D:$D,'SKU Order Report '!$C101,'Business - Dump'!$A:$A,'SKU Order Report '!P$1)</f>
        <v>5</v>
      </c>
      <c r="Q101" s="3">
        <f>SUMIFS('Business - Dump'!$W:$W,'Business - Dump'!$D:$D,'SKU Order Report '!$C101,'Business - Dump'!$A:$A,'SKU Order Report '!Q$1)</f>
        <v>1</v>
      </c>
      <c r="R101" s="3">
        <f>SUMIFS('Business - Dump'!$W:$W,'Business - Dump'!$D:$D,'SKU Order Report '!$C101,'Business - Dump'!$A:$A,'SKU Order Report '!R$1)</f>
        <v>2</v>
      </c>
      <c r="S101" s="3">
        <f>SUMIFS('Business - Dump'!$W:$W,'Business - Dump'!$D:$D,'SKU Order Report '!$C101,'Business - Dump'!$A:$A,'SKU Order Report '!S$1)</f>
        <v>82</v>
      </c>
      <c r="T101" s="3">
        <f>SUMIFS('Business - Dump'!$W:$W,'Business - Dump'!$D:$D,'SKU Order Report '!$C101,'Business - Dump'!$A:$A,'SKU Order Report '!T$1)</f>
        <v>93</v>
      </c>
    </row>
    <row r="102" ht="15.75" customHeight="1">
      <c r="A102" s="10" t="str">
        <f t="array" ref="A102">_xlfn.XLOOKUP(C102,'Business - Dump'!$D:$D,'Business - Dump'!$B:$B)</f>
        <v>Standing Table  - E4</v>
      </c>
      <c r="B102" s="10" t="str">
        <f t="array" ref="B102">_xlfn.XLOOKUP(C102,'Referanc '!$A:$A,'Referanc '!$D:$D)</f>
        <v>EY HAT 2M 2S BLK E4 V02 WG 750X1500</v>
      </c>
      <c r="C102" s="68" t="s">
        <v>404</v>
      </c>
      <c r="D102" s="3">
        <f>SUMIFS('Business - Dump'!$W:$W,'Business - Dump'!$D:$D,'SKU Order Report '!$C102,'Business - Dump'!$A:$A,'SKU Order Report '!D$1)</f>
        <v>0</v>
      </c>
      <c r="E102" s="3">
        <f>SUMIFS('Business - Dump'!$W:$W,'Business - Dump'!$D:$D,'SKU Order Report '!$C102,'Business - Dump'!$A:$A,'SKU Order Report '!E$1)</f>
        <v>0</v>
      </c>
      <c r="F102" s="3">
        <f>SUMIFS('Business - Dump'!$W:$W,'Business - Dump'!$D:$D,'SKU Order Report '!$C102,'Business - Dump'!$A:$A,'SKU Order Report '!F$1)</f>
        <v>0</v>
      </c>
      <c r="G102" s="3">
        <f>SUMIFS('Business - Dump'!$W:$W,'Business - Dump'!$D:$D,'SKU Order Report '!$C102,'Business - Dump'!$A:$A,'SKU Order Report '!G$1)</f>
        <v>0</v>
      </c>
      <c r="H102" s="3">
        <f>SUMIFS('Business - Dump'!$W:$W,'Business - Dump'!$D:$D,'SKU Order Report '!$C102,'Business - Dump'!$A:$A,'SKU Order Report '!H$1)</f>
        <v>0</v>
      </c>
      <c r="I102" s="3">
        <f>SUMIFS('Business - Dump'!$W:$W,'Business - Dump'!$D:$D,'SKU Order Report '!$C102,'Business - Dump'!$A:$A,'SKU Order Report '!I$1)</f>
        <v>0</v>
      </c>
      <c r="J102" s="3">
        <f>SUMIFS('Business - Dump'!$W:$W,'Business - Dump'!$D:$D,'SKU Order Report '!$C102,'Business - Dump'!$A:$A,'SKU Order Report '!J$1)</f>
        <v>0</v>
      </c>
      <c r="K102" s="3">
        <f>SUMIFS('Business - Dump'!$W:$W,'Business - Dump'!$D:$D,'SKU Order Report '!$C102,'Business - Dump'!$A:$A,'SKU Order Report '!K$1)</f>
        <v>0</v>
      </c>
      <c r="L102" s="3">
        <f>SUMIFS('Business - Dump'!$W:$W,'Business - Dump'!$D:$D,'SKU Order Report '!$C102,'Business - Dump'!$A:$A,'SKU Order Report '!L$1)</f>
        <v>0</v>
      </c>
      <c r="M102" s="3">
        <f>SUMIFS('Business - Dump'!$W:$W,'Business - Dump'!$D:$D,'SKU Order Report '!$C102,'Business - Dump'!$A:$A,'SKU Order Report '!M$1)</f>
        <v>0</v>
      </c>
      <c r="N102" s="3">
        <f>SUMIFS('Business - Dump'!$W:$W,'Business - Dump'!$D:$D,'SKU Order Report '!$C102,'Business - Dump'!$A:$A,'SKU Order Report '!N$1)</f>
        <v>0</v>
      </c>
      <c r="O102" s="3">
        <f>SUMIFS('Business - Dump'!$W:$W,'Business - Dump'!$D:$D,'SKU Order Report '!$C102,'Business - Dump'!$A:$A,'SKU Order Report '!O$1)</f>
        <v>2</v>
      </c>
      <c r="P102" s="3">
        <f>SUMIFS('Business - Dump'!$W:$W,'Business - Dump'!$D:$D,'SKU Order Report '!$C102,'Business - Dump'!$A:$A,'SKU Order Report '!P$1)</f>
        <v>2</v>
      </c>
      <c r="Q102" s="3">
        <f>SUMIFS('Business - Dump'!$W:$W,'Business - Dump'!$D:$D,'SKU Order Report '!$C102,'Business - Dump'!$A:$A,'SKU Order Report '!Q$1)</f>
        <v>4</v>
      </c>
      <c r="R102" s="3">
        <f>SUMIFS('Business - Dump'!$W:$W,'Business - Dump'!$D:$D,'SKU Order Report '!$C102,'Business - Dump'!$A:$A,'SKU Order Report '!R$1)</f>
        <v>1</v>
      </c>
      <c r="S102" s="3">
        <f>SUMIFS('Business - Dump'!$W:$W,'Business - Dump'!$D:$D,'SKU Order Report '!$C102,'Business - Dump'!$A:$A,'SKU Order Report '!S$1)</f>
        <v>1</v>
      </c>
      <c r="T102" s="3">
        <f>SUMIFS('Business - Dump'!$W:$W,'Business - Dump'!$D:$D,'SKU Order Report '!$C102,'Business - Dump'!$A:$A,'SKU Order Report '!T$1)</f>
        <v>1</v>
      </c>
    </row>
    <row r="103" ht="15.75" customHeight="1">
      <c r="A103" s="10" t="str">
        <f t="array" ref="A103">_xlfn.XLOOKUP(C103,'Business - Dump'!$D:$D,'Business - Dump'!$B:$B)</f>
        <v>Standing Table  - E4</v>
      </c>
      <c r="B103" s="10" t="str">
        <f t="array" ref="B103">_xlfn.XLOOKUP(C103,'Referanc '!$A:$A,'Referanc '!$D:$D)</f>
        <v>EY HAT 2M 2S BLK E4 V02 PW 750X1500</v>
      </c>
      <c r="C103" s="68" t="s">
        <v>407</v>
      </c>
      <c r="D103" s="3">
        <f>SUMIFS('Business - Dump'!$W:$W,'Business - Dump'!$D:$D,'SKU Order Report '!$C103,'Business - Dump'!$A:$A,'SKU Order Report '!D$1)</f>
        <v>0</v>
      </c>
      <c r="E103" s="3">
        <f>SUMIFS('Business - Dump'!$W:$W,'Business - Dump'!$D:$D,'SKU Order Report '!$C103,'Business - Dump'!$A:$A,'SKU Order Report '!E$1)</f>
        <v>0</v>
      </c>
      <c r="F103" s="3">
        <f>SUMIFS('Business - Dump'!$W:$W,'Business - Dump'!$D:$D,'SKU Order Report '!$C103,'Business - Dump'!$A:$A,'SKU Order Report '!F$1)</f>
        <v>0</v>
      </c>
      <c r="G103" s="3">
        <f>SUMIFS('Business - Dump'!$W:$W,'Business - Dump'!$D:$D,'SKU Order Report '!$C103,'Business - Dump'!$A:$A,'SKU Order Report '!G$1)</f>
        <v>0</v>
      </c>
      <c r="H103" s="3">
        <f>SUMIFS('Business - Dump'!$W:$W,'Business - Dump'!$D:$D,'SKU Order Report '!$C103,'Business - Dump'!$A:$A,'SKU Order Report '!H$1)</f>
        <v>0</v>
      </c>
      <c r="I103" s="3">
        <f>SUMIFS('Business - Dump'!$W:$W,'Business - Dump'!$D:$D,'SKU Order Report '!$C103,'Business - Dump'!$A:$A,'SKU Order Report '!I$1)</f>
        <v>0</v>
      </c>
      <c r="J103" s="3">
        <f>SUMIFS('Business - Dump'!$W:$W,'Business - Dump'!$D:$D,'SKU Order Report '!$C103,'Business - Dump'!$A:$A,'SKU Order Report '!J$1)</f>
        <v>0</v>
      </c>
      <c r="K103" s="3">
        <f>SUMIFS('Business - Dump'!$W:$W,'Business - Dump'!$D:$D,'SKU Order Report '!$C103,'Business - Dump'!$A:$A,'SKU Order Report '!K$1)</f>
        <v>0</v>
      </c>
      <c r="L103" s="3">
        <f>SUMIFS('Business - Dump'!$W:$W,'Business - Dump'!$D:$D,'SKU Order Report '!$C103,'Business - Dump'!$A:$A,'SKU Order Report '!L$1)</f>
        <v>0</v>
      </c>
      <c r="M103" s="3">
        <f>SUMIFS('Business - Dump'!$W:$W,'Business - Dump'!$D:$D,'SKU Order Report '!$C103,'Business - Dump'!$A:$A,'SKU Order Report '!M$1)</f>
        <v>0</v>
      </c>
      <c r="N103" s="3">
        <f>SUMIFS('Business - Dump'!$W:$W,'Business - Dump'!$D:$D,'SKU Order Report '!$C103,'Business - Dump'!$A:$A,'SKU Order Report '!N$1)</f>
        <v>1</v>
      </c>
      <c r="O103" s="3">
        <f>SUMIFS('Business - Dump'!$W:$W,'Business - Dump'!$D:$D,'SKU Order Report '!$C103,'Business - Dump'!$A:$A,'SKU Order Report '!O$1)</f>
        <v>1</v>
      </c>
      <c r="P103" s="3">
        <f>SUMIFS('Business - Dump'!$W:$W,'Business - Dump'!$D:$D,'SKU Order Report '!$C103,'Business - Dump'!$A:$A,'SKU Order Report '!P$1)</f>
        <v>4</v>
      </c>
      <c r="Q103" s="3">
        <f>SUMIFS('Business - Dump'!$W:$W,'Business - Dump'!$D:$D,'SKU Order Report '!$C103,'Business - Dump'!$A:$A,'SKU Order Report '!Q$1)</f>
        <v>3</v>
      </c>
      <c r="R103" s="3">
        <f>SUMIFS('Business - Dump'!$W:$W,'Business - Dump'!$D:$D,'SKU Order Report '!$C103,'Business - Dump'!$A:$A,'SKU Order Report '!R$1)</f>
        <v>5</v>
      </c>
      <c r="S103" s="3">
        <f>SUMIFS('Business - Dump'!$W:$W,'Business - Dump'!$D:$D,'SKU Order Report '!$C103,'Business - Dump'!$A:$A,'SKU Order Report '!S$1)</f>
        <v>0</v>
      </c>
      <c r="T103" s="3">
        <f>SUMIFS('Business - Dump'!$W:$W,'Business - Dump'!$D:$D,'SKU Order Report '!$C103,'Business - Dump'!$A:$A,'SKU Order Report '!T$1)</f>
        <v>3</v>
      </c>
    </row>
    <row r="104" ht="15.75" customHeight="1">
      <c r="A104" s="10" t="str">
        <f t="array" ref="A104">_xlfn.XLOOKUP(C104,'Business - Dump'!$D:$D,'Business - Dump'!$B:$B)</f>
        <v>Standing Table  - E4</v>
      </c>
      <c r="B104" s="10" t="str">
        <f t="array" ref="B104">_xlfn.XLOOKUP(C104,'Referanc '!$A:$A,'Referanc '!$D:$D)</f>
        <v>EY HAT 2M 2S BLK E4 V02 WG 600X1200</v>
      </c>
      <c r="C104" s="68" t="s">
        <v>409</v>
      </c>
      <c r="D104" s="3">
        <f>SUMIFS('Business - Dump'!$W:$W,'Business - Dump'!$D:$D,'SKU Order Report '!$C104,'Business - Dump'!$A:$A,'SKU Order Report '!D$1)</f>
        <v>0</v>
      </c>
      <c r="E104" s="3">
        <f>SUMIFS('Business - Dump'!$W:$W,'Business - Dump'!$D:$D,'SKU Order Report '!$C104,'Business - Dump'!$A:$A,'SKU Order Report '!E$1)</f>
        <v>0</v>
      </c>
      <c r="F104" s="3">
        <f>SUMIFS('Business - Dump'!$W:$W,'Business - Dump'!$D:$D,'SKU Order Report '!$C104,'Business - Dump'!$A:$A,'SKU Order Report '!F$1)</f>
        <v>0</v>
      </c>
      <c r="G104" s="3">
        <f>SUMIFS('Business - Dump'!$W:$W,'Business - Dump'!$D:$D,'SKU Order Report '!$C104,'Business - Dump'!$A:$A,'SKU Order Report '!G$1)</f>
        <v>0</v>
      </c>
      <c r="H104" s="3">
        <f>SUMIFS('Business - Dump'!$W:$W,'Business - Dump'!$D:$D,'SKU Order Report '!$C104,'Business - Dump'!$A:$A,'SKU Order Report '!H$1)</f>
        <v>0</v>
      </c>
      <c r="I104" s="3">
        <f>SUMIFS('Business - Dump'!$W:$W,'Business - Dump'!$D:$D,'SKU Order Report '!$C104,'Business - Dump'!$A:$A,'SKU Order Report '!I$1)</f>
        <v>0</v>
      </c>
      <c r="J104" s="3">
        <f>SUMIFS('Business - Dump'!$W:$W,'Business - Dump'!$D:$D,'SKU Order Report '!$C104,'Business - Dump'!$A:$A,'SKU Order Report '!J$1)</f>
        <v>0</v>
      </c>
      <c r="K104" s="3">
        <f>SUMIFS('Business - Dump'!$W:$W,'Business - Dump'!$D:$D,'SKU Order Report '!$C104,'Business - Dump'!$A:$A,'SKU Order Report '!K$1)</f>
        <v>0</v>
      </c>
      <c r="L104" s="3">
        <f>SUMIFS('Business - Dump'!$W:$W,'Business - Dump'!$D:$D,'SKU Order Report '!$C104,'Business - Dump'!$A:$A,'SKU Order Report '!L$1)</f>
        <v>0</v>
      </c>
      <c r="M104" s="3">
        <f>SUMIFS('Business - Dump'!$W:$W,'Business - Dump'!$D:$D,'SKU Order Report '!$C104,'Business - Dump'!$A:$A,'SKU Order Report '!M$1)</f>
        <v>0</v>
      </c>
      <c r="N104" s="3">
        <f>SUMIFS('Business - Dump'!$W:$W,'Business - Dump'!$D:$D,'SKU Order Report '!$C104,'Business - Dump'!$A:$A,'SKU Order Report '!N$1)</f>
        <v>0</v>
      </c>
      <c r="O104" s="3">
        <f>SUMIFS('Business - Dump'!$W:$W,'Business - Dump'!$D:$D,'SKU Order Report '!$C104,'Business - Dump'!$A:$A,'SKU Order Report '!O$1)</f>
        <v>0</v>
      </c>
      <c r="P104" s="3">
        <f>SUMIFS('Business - Dump'!$W:$W,'Business - Dump'!$D:$D,'SKU Order Report '!$C104,'Business - Dump'!$A:$A,'SKU Order Report '!P$1)</f>
        <v>2</v>
      </c>
      <c r="Q104" s="3">
        <f>SUMIFS('Business - Dump'!$W:$W,'Business - Dump'!$D:$D,'SKU Order Report '!$C104,'Business - Dump'!$A:$A,'SKU Order Report '!Q$1)</f>
        <v>2</v>
      </c>
      <c r="R104" s="3">
        <f>SUMIFS('Business - Dump'!$W:$W,'Business - Dump'!$D:$D,'SKU Order Report '!$C104,'Business - Dump'!$A:$A,'SKU Order Report '!R$1)</f>
        <v>1</v>
      </c>
      <c r="S104" s="3">
        <f>SUMIFS('Business - Dump'!$W:$W,'Business - Dump'!$D:$D,'SKU Order Report '!$C104,'Business - Dump'!$A:$A,'SKU Order Report '!S$1)</f>
        <v>1</v>
      </c>
      <c r="T104" s="3">
        <f>SUMIFS('Business - Dump'!$W:$W,'Business - Dump'!$D:$D,'SKU Order Report '!$C104,'Business - Dump'!$A:$A,'SKU Order Report '!T$1)</f>
        <v>0</v>
      </c>
    </row>
    <row r="105" ht="15.75" customHeight="1">
      <c r="A105" s="10" t="str">
        <f t="array" ref="A105">_xlfn.XLOOKUP(C105,'Business - Dump'!$D:$D,'Business - Dump'!$B:$B)</f>
        <v>Monitor Arm Stand</v>
      </c>
      <c r="B105" s="10" t="str">
        <f t="array" ref="B105">_xlfn.XLOOKUP(C105,'Referanc '!$A:$A,'Referanc '!$D:$D)</f>
        <v>#N/A</v>
      </c>
      <c r="C105" s="68" t="s">
        <v>349</v>
      </c>
      <c r="D105" s="3">
        <f>SUMIFS('Business - Dump'!$W:$W,'Business - Dump'!$D:$D,'SKU Order Report '!$C105,'Business - Dump'!$A:$A,'SKU Order Report '!D$1)</f>
        <v>0</v>
      </c>
      <c r="E105" s="3">
        <f>SUMIFS('Business - Dump'!$W:$W,'Business - Dump'!$D:$D,'SKU Order Report '!$C105,'Business - Dump'!$A:$A,'SKU Order Report '!E$1)</f>
        <v>0</v>
      </c>
      <c r="F105" s="3">
        <f>SUMIFS('Business - Dump'!$W:$W,'Business - Dump'!$D:$D,'SKU Order Report '!$C105,'Business - Dump'!$A:$A,'SKU Order Report '!F$1)</f>
        <v>0</v>
      </c>
      <c r="G105" s="3">
        <f>SUMIFS('Business - Dump'!$W:$W,'Business - Dump'!$D:$D,'SKU Order Report '!$C105,'Business - Dump'!$A:$A,'SKU Order Report '!G$1)</f>
        <v>0</v>
      </c>
      <c r="H105" s="3">
        <f>SUMIFS('Business - Dump'!$W:$W,'Business - Dump'!$D:$D,'SKU Order Report '!$C105,'Business - Dump'!$A:$A,'SKU Order Report '!H$1)</f>
        <v>0</v>
      </c>
      <c r="I105" s="3">
        <f>SUMIFS('Business - Dump'!$W:$W,'Business - Dump'!$D:$D,'SKU Order Report '!$C105,'Business - Dump'!$A:$A,'SKU Order Report '!I$1)</f>
        <v>0</v>
      </c>
      <c r="J105" s="3">
        <f>SUMIFS('Business - Dump'!$W:$W,'Business - Dump'!$D:$D,'SKU Order Report '!$C105,'Business - Dump'!$A:$A,'SKU Order Report '!J$1)</f>
        <v>0</v>
      </c>
      <c r="K105" s="3">
        <f>SUMIFS('Business - Dump'!$W:$W,'Business - Dump'!$D:$D,'SKU Order Report '!$C105,'Business - Dump'!$A:$A,'SKU Order Report '!K$1)</f>
        <v>0</v>
      </c>
      <c r="L105" s="3">
        <f>SUMIFS('Business - Dump'!$W:$W,'Business - Dump'!$D:$D,'SKU Order Report '!$C105,'Business - Dump'!$A:$A,'SKU Order Report '!L$1)</f>
        <v>0</v>
      </c>
      <c r="M105" s="3">
        <f>SUMIFS('Business - Dump'!$W:$W,'Business - Dump'!$D:$D,'SKU Order Report '!$C105,'Business - Dump'!$A:$A,'SKU Order Report '!M$1)</f>
        <v>0</v>
      </c>
      <c r="N105" s="3">
        <f>SUMIFS('Business - Dump'!$W:$W,'Business - Dump'!$D:$D,'SKU Order Report '!$C105,'Business - Dump'!$A:$A,'SKU Order Report '!N$1)</f>
        <v>0</v>
      </c>
      <c r="O105" s="3">
        <f>SUMIFS('Business - Dump'!$W:$W,'Business - Dump'!$D:$D,'SKU Order Report '!$C105,'Business - Dump'!$A:$A,'SKU Order Report '!O$1)</f>
        <v>0</v>
      </c>
      <c r="P105" s="3">
        <f>SUMIFS('Business - Dump'!$W:$W,'Business - Dump'!$D:$D,'SKU Order Report '!$C105,'Business - Dump'!$A:$A,'SKU Order Report '!P$1)</f>
        <v>0</v>
      </c>
      <c r="Q105" s="3">
        <f>SUMIFS('Business - Dump'!$W:$W,'Business - Dump'!$D:$D,'SKU Order Report '!$C105,'Business - Dump'!$A:$A,'SKU Order Report '!Q$1)</f>
        <v>0</v>
      </c>
      <c r="R105" s="3">
        <f>SUMIFS('Business - Dump'!$W:$W,'Business - Dump'!$D:$D,'SKU Order Report '!$C105,'Business - Dump'!$A:$A,'SKU Order Report '!R$1)</f>
        <v>0</v>
      </c>
      <c r="S105" s="3">
        <f>SUMIFS('Business - Dump'!$W:$W,'Business - Dump'!$D:$D,'SKU Order Report '!$C105,'Business - Dump'!$A:$A,'SKU Order Report '!S$1)</f>
        <v>0</v>
      </c>
      <c r="T105" s="3">
        <f>SUMIFS('Business - Dump'!$W:$W,'Business - Dump'!$D:$D,'SKU Order Report '!$C105,'Business - Dump'!$A:$A,'SKU Order Report '!T$1)</f>
        <v>0</v>
      </c>
    </row>
    <row r="106" ht="15.75" customHeight="1">
      <c r="A106" s="10" t="str">
        <f t="array" ref="A106">_xlfn.XLOOKUP(C106,'Business - Dump'!$D:$D,'Business - Dump'!$B:$B)</f>
        <v>Monitor Arm Stand</v>
      </c>
      <c r="B106" s="10" t="str">
        <f t="array" ref="B106">_xlfn.XLOOKUP(C106,'Referanc '!$A:$A,'Referanc '!$D:$D)</f>
        <v>2X EY MA G2 1S BLK WHT V02</v>
      </c>
      <c r="C106" s="68" t="s">
        <v>351</v>
      </c>
      <c r="D106" s="3">
        <f>SUMIFS('Business - Dump'!$W:$W,'Business - Dump'!$D:$D,'SKU Order Report '!$C106,'Business - Dump'!$A:$A,'SKU Order Report '!D$1)</f>
        <v>0</v>
      </c>
      <c r="E106" s="3">
        <f>SUMIFS('Business - Dump'!$W:$W,'Business - Dump'!$D:$D,'SKU Order Report '!$C106,'Business - Dump'!$A:$A,'SKU Order Report '!E$1)</f>
        <v>0</v>
      </c>
      <c r="F106" s="3">
        <f>SUMIFS('Business - Dump'!$W:$W,'Business - Dump'!$D:$D,'SKU Order Report '!$C106,'Business - Dump'!$A:$A,'SKU Order Report '!F$1)</f>
        <v>0</v>
      </c>
      <c r="G106" s="3">
        <f>SUMIFS('Business - Dump'!$W:$W,'Business - Dump'!$D:$D,'SKU Order Report '!$C106,'Business - Dump'!$A:$A,'SKU Order Report '!G$1)</f>
        <v>0</v>
      </c>
      <c r="H106" s="3">
        <f>SUMIFS('Business - Dump'!$W:$W,'Business - Dump'!$D:$D,'SKU Order Report '!$C106,'Business - Dump'!$A:$A,'SKU Order Report '!H$1)</f>
        <v>0</v>
      </c>
      <c r="I106" s="3">
        <f>SUMIFS('Business - Dump'!$W:$W,'Business - Dump'!$D:$D,'SKU Order Report '!$C106,'Business - Dump'!$A:$A,'SKU Order Report '!I$1)</f>
        <v>0</v>
      </c>
      <c r="J106" s="3">
        <f>SUMIFS('Business - Dump'!$W:$W,'Business - Dump'!$D:$D,'SKU Order Report '!$C106,'Business - Dump'!$A:$A,'SKU Order Report '!J$1)</f>
        <v>0</v>
      </c>
      <c r="K106" s="3">
        <f>SUMIFS('Business - Dump'!$W:$W,'Business - Dump'!$D:$D,'SKU Order Report '!$C106,'Business - Dump'!$A:$A,'SKU Order Report '!K$1)</f>
        <v>0</v>
      </c>
      <c r="L106" s="3">
        <f>SUMIFS('Business - Dump'!$W:$W,'Business - Dump'!$D:$D,'SKU Order Report '!$C106,'Business - Dump'!$A:$A,'SKU Order Report '!L$1)</f>
        <v>0</v>
      </c>
      <c r="M106" s="3">
        <f>SUMIFS('Business - Dump'!$W:$W,'Business - Dump'!$D:$D,'SKU Order Report '!$C106,'Business - Dump'!$A:$A,'SKU Order Report '!M$1)</f>
        <v>0</v>
      </c>
      <c r="N106" s="3">
        <f>SUMIFS('Business - Dump'!$W:$W,'Business - Dump'!$D:$D,'SKU Order Report '!$C106,'Business - Dump'!$A:$A,'SKU Order Report '!N$1)</f>
        <v>0</v>
      </c>
      <c r="O106" s="3">
        <f>SUMIFS('Business - Dump'!$W:$W,'Business - Dump'!$D:$D,'SKU Order Report '!$C106,'Business - Dump'!$A:$A,'SKU Order Report '!O$1)</f>
        <v>0</v>
      </c>
      <c r="P106" s="3">
        <f>SUMIFS('Business - Dump'!$W:$W,'Business - Dump'!$D:$D,'SKU Order Report '!$C106,'Business - Dump'!$A:$A,'SKU Order Report '!P$1)</f>
        <v>0</v>
      </c>
      <c r="Q106" s="3">
        <f>SUMIFS('Business - Dump'!$W:$W,'Business - Dump'!$D:$D,'SKU Order Report '!$C106,'Business - Dump'!$A:$A,'SKU Order Report '!Q$1)</f>
        <v>0</v>
      </c>
      <c r="R106" s="3">
        <f>SUMIFS('Business - Dump'!$W:$W,'Business - Dump'!$D:$D,'SKU Order Report '!$C106,'Business - Dump'!$A:$A,'SKU Order Report '!R$1)</f>
        <v>0</v>
      </c>
      <c r="S106" s="3">
        <f>SUMIFS('Business - Dump'!$W:$W,'Business - Dump'!$D:$D,'SKU Order Report '!$C106,'Business - Dump'!$A:$A,'SKU Order Report '!S$1)</f>
        <v>0</v>
      </c>
      <c r="T106" s="3">
        <f>SUMIFS('Business - Dump'!$W:$W,'Business - Dump'!$D:$D,'SKU Order Report '!$C106,'Business - Dump'!$A:$A,'SKU Order Report '!T$1)</f>
        <v>0</v>
      </c>
    </row>
    <row r="107" ht="15.75" customHeight="1">
      <c r="A107" s="10" t="str">
        <f t="array" ref="A107">_xlfn.XLOOKUP(C107,'Business - Dump'!$D:$D,'Business - Dump'!$B:$B)</f>
        <v>Monitor Arm Stand</v>
      </c>
      <c r="B107" s="10" t="str">
        <f t="array" ref="B107">_xlfn.XLOOKUP(C107,'Referanc '!$A:$A,'Referanc '!$D:$D)</f>
        <v>EY MA GAM1 L 1S WHT V02</v>
      </c>
      <c r="C107" s="68" t="s">
        <v>355</v>
      </c>
      <c r="D107" s="3">
        <f>SUMIFS('Business - Dump'!$W:$W,'Business - Dump'!$D:$D,'SKU Order Report '!$C107,'Business - Dump'!$A:$A,'SKU Order Report '!D$1)</f>
        <v>0</v>
      </c>
      <c r="E107" s="3">
        <f>SUMIFS('Business - Dump'!$W:$W,'Business - Dump'!$D:$D,'SKU Order Report '!$C107,'Business - Dump'!$A:$A,'SKU Order Report '!E$1)</f>
        <v>0</v>
      </c>
      <c r="F107" s="3">
        <f>SUMIFS('Business - Dump'!$W:$W,'Business - Dump'!$D:$D,'SKU Order Report '!$C107,'Business - Dump'!$A:$A,'SKU Order Report '!F$1)</f>
        <v>0</v>
      </c>
      <c r="G107" s="3">
        <f>SUMIFS('Business - Dump'!$W:$W,'Business - Dump'!$D:$D,'SKU Order Report '!$C107,'Business - Dump'!$A:$A,'SKU Order Report '!G$1)</f>
        <v>0</v>
      </c>
      <c r="H107" s="3">
        <f>SUMIFS('Business - Dump'!$W:$W,'Business - Dump'!$D:$D,'SKU Order Report '!$C107,'Business - Dump'!$A:$A,'SKU Order Report '!H$1)</f>
        <v>0</v>
      </c>
      <c r="I107" s="3">
        <f>SUMIFS('Business - Dump'!$W:$W,'Business - Dump'!$D:$D,'SKU Order Report '!$C107,'Business - Dump'!$A:$A,'SKU Order Report '!I$1)</f>
        <v>0</v>
      </c>
      <c r="J107" s="3">
        <f>SUMIFS('Business - Dump'!$W:$W,'Business - Dump'!$D:$D,'SKU Order Report '!$C107,'Business - Dump'!$A:$A,'SKU Order Report '!J$1)</f>
        <v>0</v>
      </c>
      <c r="K107" s="3">
        <f>SUMIFS('Business - Dump'!$W:$W,'Business - Dump'!$D:$D,'SKU Order Report '!$C107,'Business - Dump'!$A:$A,'SKU Order Report '!K$1)</f>
        <v>0</v>
      </c>
      <c r="L107" s="3">
        <f>SUMIFS('Business - Dump'!$W:$W,'Business - Dump'!$D:$D,'SKU Order Report '!$C107,'Business - Dump'!$A:$A,'SKU Order Report '!L$1)</f>
        <v>0</v>
      </c>
      <c r="M107" s="3">
        <f>SUMIFS('Business - Dump'!$W:$W,'Business - Dump'!$D:$D,'SKU Order Report '!$C107,'Business - Dump'!$A:$A,'SKU Order Report '!M$1)</f>
        <v>3</v>
      </c>
      <c r="N107" s="3">
        <f>SUMIFS('Business - Dump'!$W:$W,'Business - Dump'!$D:$D,'SKU Order Report '!$C107,'Business - Dump'!$A:$A,'SKU Order Report '!N$1)</f>
        <v>4</v>
      </c>
      <c r="O107" s="3">
        <f>SUMIFS('Business - Dump'!$W:$W,'Business - Dump'!$D:$D,'SKU Order Report '!$C107,'Business - Dump'!$A:$A,'SKU Order Report '!O$1)</f>
        <v>0</v>
      </c>
      <c r="P107" s="3">
        <f>SUMIFS('Business - Dump'!$W:$W,'Business - Dump'!$D:$D,'SKU Order Report '!$C107,'Business - Dump'!$A:$A,'SKU Order Report '!P$1)</f>
        <v>5</v>
      </c>
      <c r="Q107" s="3">
        <f>SUMIFS('Business - Dump'!$W:$W,'Business - Dump'!$D:$D,'SKU Order Report '!$C107,'Business - Dump'!$A:$A,'SKU Order Report '!Q$1)</f>
        <v>9</v>
      </c>
      <c r="R107" s="3">
        <f>SUMIFS('Business - Dump'!$W:$W,'Business - Dump'!$D:$D,'SKU Order Report '!$C107,'Business - Dump'!$A:$A,'SKU Order Report '!R$1)</f>
        <v>8</v>
      </c>
      <c r="S107" s="3">
        <f>SUMIFS('Business - Dump'!$W:$W,'Business - Dump'!$D:$D,'SKU Order Report '!$C107,'Business - Dump'!$A:$A,'SKU Order Report '!S$1)</f>
        <v>12</v>
      </c>
      <c r="T107" s="3">
        <f>SUMIFS('Business - Dump'!$W:$W,'Business - Dump'!$D:$D,'SKU Order Report '!$C107,'Business - Dump'!$A:$A,'SKU Order Report '!T$1)</f>
        <v>10</v>
      </c>
    </row>
    <row r="108" ht="15.75" customHeight="1">
      <c r="A108" s="10" t="str">
        <f t="array" ref="A108">_xlfn.XLOOKUP(C108,'Business - Dump'!$D:$D,'Business - Dump'!$B:$B)</f>
        <v>Laptop Riser</v>
      </c>
      <c r="B108" s="10" t="str">
        <f t="array" ref="B108">_xlfn.XLOOKUP(C108,'Referanc '!$A:$A,'Referanc '!$D:$D)</f>
        <v>EY LR FLAT SIL/BLK VPIY</v>
      </c>
      <c r="C108" s="68" t="s">
        <v>347</v>
      </c>
      <c r="D108" s="3">
        <f>SUMIFS('Business - Dump'!$W:$W,'Business - Dump'!$D:$D,'SKU Order Report '!$C108,'Business - Dump'!$A:$A,'SKU Order Report '!D$1)</f>
        <v>0</v>
      </c>
      <c r="E108" s="3">
        <f>SUMIFS('Business - Dump'!$W:$W,'Business - Dump'!$D:$D,'SKU Order Report '!$C108,'Business - Dump'!$A:$A,'SKU Order Report '!E$1)</f>
        <v>0</v>
      </c>
      <c r="F108" s="3">
        <f>SUMIFS('Business - Dump'!$W:$W,'Business - Dump'!$D:$D,'SKU Order Report '!$C108,'Business - Dump'!$A:$A,'SKU Order Report '!F$1)</f>
        <v>0</v>
      </c>
      <c r="G108" s="3">
        <f>SUMIFS('Business - Dump'!$W:$W,'Business - Dump'!$D:$D,'SKU Order Report '!$C108,'Business - Dump'!$A:$A,'SKU Order Report '!G$1)</f>
        <v>0</v>
      </c>
      <c r="H108" s="3">
        <f>SUMIFS('Business - Dump'!$W:$W,'Business - Dump'!$D:$D,'SKU Order Report '!$C108,'Business - Dump'!$A:$A,'SKU Order Report '!H$1)</f>
        <v>0</v>
      </c>
      <c r="I108" s="3">
        <f>SUMIFS('Business - Dump'!$W:$W,'Business - Dump'!$D:$D,'SKU Order Report '!$C108,'Business - Dump'!$A:$A,'SKU Order Report '!I$1)</f>
        <v>0</v>
      </c>
      <c r="J108" s="3">
        <f>SUMIFS('Business - Dump'!$W:$W,'Business - Dump'!$D:$D,'SKU Order Report '!$C108,'Business - Dump'!$A:$A,'SKU Order Report '!J$1)</f>
        <v>0</v>
      </c>
      <c r="K108" s="3">
        <f>SUMIFS('Business - Dump'!$W:$W,'Business - Dump'!$D:$D,'SKU Order Report '!$C108,'Business - Dump'!$A:$A,'SKU Order Report '!K$1)</f>
        <v>0</v>
      </c>
      <c r="L108" s="3">
        <f>SUMIFS('Business - Dump'!$W:$W,'Business - Dump'!$D:$D,'SKU Order Report '!$C108,'Business - Dump'!$A:$A,'SKU Order Report '!L$1)</f>
        <v>0</v>
      </c>
      <c r="M108" s="3">
        <f>SUMIFS('Business - Dump'!$W:$W,'Business - Dump'!$D:$D,'SKU Order Report '!$C108,'Business - Dump'!$A:$A,'SKU Order Report '!M$1)</f>
        <v>0</v>
      </c>
      <c r="N108" s="3">
        <f>SUMIFS('Business - Dump'!$W:$W,'Business - Dump'!$D:$D,'SKU Order Report '!$C108,'Business - Dump'!$A:$A,'SKU Order Report '!N$1)</f>
        <v>0</v>
      </c>
      <c r="O108" s="3">
        <f>SUMIFS('Business - Dump'!$W:$W,'Business - Dump'!$D:$D,'SKU Order Report '!$C108,'Business - Dump'!$A:$A,'SKU Order Report '!O$1)</f>
        <v>1</v>
      </c>
      <c r="P108" s="3">
        <f>SUMIFS('Business - Dump'!$W:$W,'Business - Dump'!$D:$D,'SKU Order Report '!$C108,'Business - Dump'!$A:$A,'SKU Order Report '!P$1)</f>
        <v>0</v>
      </c>
      <c r="Q108" s="3">
        <f>SUMIFS('Business - Dump'!$W:$W,'Business - Dump'!$D:$D,'SKU Order Report '!$C108,'Business - Dump'!$A:$A,'SKU Order Report '!Q$1)</f>
        <v>1</v>
      </c>
      <c r="R108" s="3">
        <f>SUMIFS('Business - Dump'!$W:$W,'Business - Dump'!$D:$D,'SKU Order Report '!$C108,'Business - Dump'!$A:$A,'SKU Order Report '!R$1)</f>
        <v>0</v>
      </c>
      <c r="S108" s="3">
        <f>SUMIFS('Business - Dump'!$W:$W,'Business - Dump'!$D:$D,'SKU Order Report '!$C108,'Business - Dump'!$A:$A,'SKU Order Report '!S$1)</f>
        <v>0</v>
      </c>
      <c r="T108" s="3">
        <f>SUMIFS('Business - Dump'!$W:$W,'Business - Dump'!$D:$D,'SKU Order Report '!$C108,'Business - Dump'!$A:$A,'SKU Order Report '!T$1)</f>
        <v>0</v>
      </c>
    </row>
    <row r="109" ht="15.75" customHeight="1">
      <c r="A109" s="10" t="str">
        <f t="array" ref="A109">_xlfn.XLOOKUP(C109,'Business - Dump'!$D:$D,'Business - Dump'!$B:$B)</f>
        <v>Extension &amp; Holder</v>
      </c>
      <c r="B109" s="10" t="str">
        <f t="array" ref="B109">_xlfn.XLOOKUP(C109,'Referanc '!$A:$A,'Referanc '!$D:$D)</f>
        <v>EY CH HPS01-9 SIL V02</v>
      </c>
      <c r="C109" s="68" t="s">
        <v>336</v>
      </c>
      <c r="D109" s="3">
        <f>SUMIFS('Business - Dump'!$W:$W,'Business - Dump'!$D:$D,'SKU Order Report '!$C109,'Business - Dump'!$A:$A,'SKU Order Report '!D$1)</f>
        <v>0</v>
      </c>
      <c r="E109" s="3">
        <f>SUMIFS('Business - Dump'!$W:$W,'Business - Dump'!$D:$D,'SKU Order Report '!$C109,'Business - Dump'!$A:$A,'SKU Order Report '!E$1)</f>
        <v>0</v>
      </c>
      <c r="F109" s="3">
        <f>SUMIFS('Business - Dump'!$W:$W,'Business - Dump'!$D:$D,'SKU Order Report '!$C109,'Business - Dump'!$A:$A,'SKU Order Report '!F$1)</f>
        <v>0</v>
      </c>
      <c r="G109" s="3">
        <f>SUMIFS('Business - Dump'!$W:$W,'Business - Dump'!$D:$D,'SKU Order Report '!$C109,'Business - Dump'!$A:$A,'SKU Order Report '!G$1)</f>
        <v>0</v>
      </c>
      <c r="H109" s="3">
        <f>SUMIFS('Business - Dump'!$W:$W,'Business - Dump'!$D:$D,'SKU Order Report '!$C109,'Business - Dump'!$A:$A,'SKU Order Report '!H$1)</f>
        <v>0</v>
      </c>
      <c r="I109" s="3">
        <f>SUMIFS('Business - Dump'!$W:$W,'Business - Dump'!$D:$D,'SKU Order Report '!$C109,'Business - Dump'!$A:$A,'SKU Order Report '!I$1)</f>
        <v>0</v>
      </c>
      <c r="J109" s="3">
        <f>SUMIFS('Business - Dump'!$W:$W,'Business - Dump'!$D:$D,'SKU Order Report '!$C109,'Business - Dump'!$A:$A,'SKU Order Report '!J$1)</f>
        <v>0</v>
      </c>
      <c r="K109" s="3">
        <f>SUMIFS('Business - Dump'!$W:$W,'Business - Dump'!$D:$D,'SKU Order Report '!$C109,'Business - Dump'!$A:$A,'SKU Order Report '!K$1)</f>
        <v>0</v>
      </c>
      <c r="L109" s="3">
        <f>SUMIFS('Business - Dump'!$W:$W,'Business - Dump'!$D:$D,'SKU Order Report '!$C109,'Business - Dump'!$A:$A,'SKU Order Report '!L$1)</f>
        <v>0</v>
      </c>
      <c r="M109" s="3">
        <f>SUMIFS('Business - Dump'!$W:$W,'Business - Dump'!$D:$D,'SKU Order Report '!$C109,'Business - Dump'!$A:$A,'SKU Order Report '!M$1)</f>
        <v>0</v>
      </c>
      <c r="N109" s="3">
        <f>SUMIFS('Business - Dump'!$W:$W,'Business - Dump'!$D:$D,'SKU Order Report '!$C109,'Business - Dump'!$A:$A,'SKU Order Report '!N$1)</f>
        <v>0</v>
      </c>
      <c r="O109" s="3">
        <f>SUMIFS('Business - Dump'!$W:$W,'Business - Dump'!$D:$D,'SKU Order Report '!$C109,'Business - Dump'!$A:$A,'SKU Order Report '!O$1)</f>
        <v>0</v>
      </c>
      <c r="P109" s="3">
        <f>SUMIFS('Business - Dump'!$W:$W,'Business - Dump'!$D:$D,'SKU Order Report '!$C109,'Business - Dump'!$A:$A,'SKU Order Report '!P$1)</f>
        <v>1</v>
      </c>
      <c r="Q109" s="3">
        <f>SUMIFS('Business - Dump'!$W:$W,'Business - Dump'!$D:$D,'SKU Order Report '!$C109,'Business - Dump'!$A:$A,'SKU Order Report '!Q$1)</f>
        <v>0</v>
      </c>
      <c r="R109" s="3">
        <f>SUMIFS('Business - Dump'!$W:$W,'Business - Dump'!$D:$D,'SKU Order Report '!$C109,'Business - Dump'!$A:$A,'SKU Order Report '!R$1)</f>
        <v>0</v>
      </c>
      <c r="S109" s="3">
        <f>SUMIFS('Business - Dump'!$W:$W,'Business - Dump'!$D:$D,'SKU Order Report '!$C109,'Business - Dump'!$A:$A,'SKU Order Report '!S$1)</f>
        <v>0</v>
      </c>
      <c r="T109" s="3">
        <f>SUMIFS('Business - Dump'!$W:$W,'Business - Dump'!$D:$D,'SKU Order Report '!$C109,'Business - Dump'!$A:$A,'SKU Order Report '!T$1)</f>
        <v>0</v>
      </c>
    </row>
    <row r="110" ht="15.75" customHeight="1">
      <c r="A110" s="10" t="str">
        <f t="array" ref="A110">_xlfn.XLOOKUP(C110,'Business - Dump'!$D:$D,'Business - Dump'!$B:$B)</f>
        <v>Extension &amp; Holder</v>
      </c>
      <c r="B110" s="10" t="str">
        <f t="array" ref="B110">_xlfn.XLOOKUP(C110,'Referanc '!$A:$A,'Referanc '!$D:$D)</f>
        <v>EY HOR MH01-2 BLK V02</v>
      </c>
      <c r="C110" s="68" t="s">
        <v>340</v>
      </c>
      <c r="D110" s="3">
        <f>SUMIFS('Business - Dump'!$W:$W,'Business - Dump'!$D:$D,'SKU Order Report '!$C110,'Business - Dump'!$A:$A,'SKU Order Report '!D$1)</f>
        <v>0</v>
      </c>
      <c r="E110" s="3">
        <f>SUMIFS('Business - Dump'!$W:$W,'Business - Dump'!$D:$D,'SKU Order Report '!$C110,'Business - Dump'!$A:$A,'SKU Order Report '!E$1)</f>
        <v>0</v>
      </c>
      <c r="F110" s="3">
        <f>SUMIFS('Business - Dump'!$W:$W,'Business - Dump'!$D:$D,'SKU Order Report '!$C110,'Business - Dump'!$A:$A,'SKU Order Report '!F$1)</f>
        <v>0</v>
      </c>
      <c r="G110" s="3">
        <f>SUMIFS('Business - Dump'!$W:$W,'Business - Dump'!$D:$D,'SKU Order Report '!$C110,'Business - Dump'!$A:$A,'SKU Order Report '!G$1)</f>
        <v>0</v>
      </c>
      <c r="H110" s="3">
        <f>SUMIFS('Business - Dump'!$W:$W,'Business - Dump'!$D:$D,'SKU Order Report '!$C110,'Business - Dump'!$A:$A,'SKU Order Report '!H$1)</f>
        <v>0</v>
      </c>
      <c r="I110" s="3">
        <f>SUMIFS('Business - Dump'!$W:$W,'Business - Dump'!$D:$D,'SKU Order Report '!$C110,'Business - Dump'!$A:$A,'SKU Order Report '!I$1)</f>
        <v>0</v>
      </c>
      <c r="J110" s="3">
        <f>SUMIFS('Business - Dump'!$W:$W,'Business - Dump'!$D:$D,'SKU Order Report '!$C110,'Business - Dump'!$A:$A,'SKU Order Report '!J$1)</f>
        <v>0</v>
      </c>
      <c r="K110" s="3">
        <f>SUMIFS('Business - Dump'!$W:$W,'Business - Dump'!$D:$D,'SKU Order Report '!$C110,'Business - Dump'!$A:$A,'SKU Order Report '!K$1)</f>
        <v>0</v>
      </c>
      <c r="L110" s="3">
        <f>SUMIFS('Business - Dump'!$W:$W,'Business - Dump'!$D:$D,'SKU Order Report '!$C110,'Business - Dump'!$A:$A,'SKU Order Report '!L$1)</f>
        <v>0</v>
      </c>
      <c r="M110" s="3">
        <f>SUMIFS('Business - Dump'!$W:$W,'Business - Dump'!$D:$D,'SKU Order Report '!$C110,'Business - Dump'!$A:$A,'SKU Order Report '!M$1)</f>
        <v>0</v>
      </c>
      <c r="N110" s="3">
        <f>SUMIFS('Business - Dump'!$W:$W,'Business - Dump'!$D:$D,'SKU Order Report '!$C110,'Business - Dump'!$A:$A,'SKU Order Report '!N$1)</f>
        <v>4</v>
      </c>
      <c r="O110" s="3">
        <f>SUMIFS('Business - Dump'!$W:$W,'Business - Dump'!$D:$D,'SKU Order Report '!$C110,'Business - Dump'!$A:$A,'SKU Order Report '!O$1)</f>
        <v>0</v>
      </c>
      <c r="P110" s="3">
        <f>SUMIFS('Business - Dump'!$W:$W,'Business - Dump'!$D:$D,'SKU Order Report '!$C110,'Business - Dump'!$A:$A,'SKU Order Report '!P$1)</f>
        <v>0</v>
      </c>
      <c r="Q110" s="3">
        <f>SUMIFS('Business - Dump'!$W:$W,'Business - Dump'!$D:$D,'SKU Order Report '!$C110,'Business - Dump'!$A:$A,'SKU Order Report '!Q$1)</f>
        <v>0</v>
      </c>
      <c r="R110" s="3">
        <f>SUMIFS('Business - Dump'!$W:$W,'Business - Dump'!$D:$D,'SKU Order Report '!$C110,'Business - Dump'!$A:$A,'SKU Order Report '!R$1)</f>
        <v>0</v>
      </c>
      <c r="S110" s="3">
        <f>SUMIFS('Business - Dump'!$W:$W,'Business - Dump'!$D:$D,'SKU Order Report '!$C110,'Business - Dump'!$A:$A,'SKU Order Report '!S$1)</f>
        <v>0</v>
      </c>
      <c r="T110" s="3">
        <f>SUMIFS('Business - Dump'!$W:$W,'Business - Dump'!$D:$D,'SKU Order Report '!$C110,'Business - Dump'!$A:$A,'SKU Order Report '!T$1)</f>
        <v>0</v>
      </c>
    </row>
    <row r="111" ht="15.75" customHeight="1">
      <c r="A111" s="10" t="str">
        <f t="array" ref="A111">_xlfn.XLOOKUP(C111,'Business - Dump'!$D:$D,'Business - Dump'!$B:$B)</f>
        <v>TABLE TOP</v>
      </c>
      <c r="B111" s="10" t="str">
        <f t="array" ref="B111">_xlfn.XLOOKUP(C111,'Referanc '!$A:$A,'Referanc '!$D:$D)</f>
        <v>WHT 18X600X1200 RC</v>
      </c>
      <c r="C111" s="68" t="s">
        <v>425</v>
      </c>
      <c r="D111" s="3">
        <f>SUMIFS('Business - Dump'!$W:$W,'Business - Dump'!$D:$D,'SKU Order Report '!$C111,'Business - Dump'!$A:$A,'SKU Order Report '!D$1)</f>
        <v>0</v>
      </c>
      <c r="E111" s="3">
        <f>SUMIFS('Business - Dump'!$W:$W,'Business - Dump'!$D:$D,'SKU Order Report '!$C111,'Business - Dump'!$A:$A,'SKU Order Report '!E$1)</f>
        <v>0</v>
      </c>
      <c r="F111" s="3">
        <f>SUMIFS('Business - Dump'!$W:$W,'Business - Dump'!$D:$D,'SKU Order Report '!$C111,'Business - Dump'!$A:$A,'SKU Order Report '!F$1)</f>
        <v>0</v>
      </c>
      <c r="G111" s="3">
        <f>SUMIFS('Business - Dump'!$W:$W,'Business - Dump'!$D:$D,'SKU Order Report '!$C111,'Business - Dump'!$A:$A,'SKU Order Report '!G$1)</f>
        <v>0</v>
      </c>
      <c r="H111" s="3">
        <f>SUMIFS('Business - Dump'!$W:$W,'Business - Dump'!$D:$D,'SKU Order Report '!$C111,'Business - Dump'!$A:$A,'SKU Order Report '!H$1)</f>
        <v>0</v>
      </c>
      <c r="I111" s="3">
        <f>SUMIFS('Business - Dump'!$W:$W,'Business - Dump'!$D:$D,'SKU Order Report '!$C111,'Business - Dump'!$A:$A,'SKU Order Report '!I$1)</f>
        <v>0</v>
      </c>
      <c r="J111" s="3">
        <f>SUMIFS('Business - Dump'!$W:$W,'Business - Dump'!$D:$D,'SKU Order Report '!$C111,'Business - Dump'!$A:$A,'SKU Order Report '!J$1)</f>
        <v>0</v>
      </c>
      <c r="K111" s="3">
        <f>SUMIFS('Business - Dump'!$W:$W,'Business - Dump'!$D:$D,'SKU Order Report '!$C111,'Business - Dump'!$A:$A,'SKU Order Report '!K$1)</f>
        <v>0</v>
      </c>
      <c r="L111" s="3">
        <f>SUMIFS('Business - Dump'!$W:$W,'Business - Dump'!$D:$D,'SKU Order Report '!$C111,'Business - Dump'!$A:$A,'SKU Order Report '!L$1)</f>
        <v>0</v>
      </c>
      <c r="M111" s="3">
        <f>SUMIFS('Business - Dump'!$W:$W,'Business - Dump'!$D:$D,'SKU Order Report '!$C111,'Business - Dump'!$A:$A,'SKU Order Report '!M$1)</f>
        <v>0</v>
      </c>
      <c r="N111" s="3">
        <f>SUMIFS('Business - Dump'!$W:$W,'Business - Dump'!$D:$D,'SKU Order Report '!$C111,'Business - Dump'!$A:$A,'SKU Order Report '!N$1)</f>
        <v>0</v>
      </c>
      <c r="O111" s="3">
        <f>SUMIFS('Business - Dump'!$W:$W,'Business - Dump'!$D:$D,'SKU Order Report '!$C111,'Business - Dump'!$A:$A,'SKU Order Report '!O$1)</f>
        <v>0</v>
      </c>
      <c r="P111" s="3">
        <f>SUMIFS('Business - Dump'!$W:$W,'Business - Dump'!$D:$D,'SKU Order Report '!$C111,'Business - Dump'!$A:$A,'SKU Order Report '!P$1)</f>
        <v>0</v>
      </c>
      <c r="Q111" s="3">
        <f>SUMIFS('Business - Dump'!$W:$W,'Business - Dump'!$D:$D,'SKU Order Report '!$C111,'Business - Dump'!$A:$A,'SKU Order Report '!Q$1)</f>
        <v>0</v>
      </c>
      <c r="R111" s="3">
        <f>SUMIFS('Business - Dump'!$W:$W,'Business - Dump'!$D:$D,'SKU Order Report '!$C111,'Business - Dump'!$A:$A,'SKU Order Report '!R$1)</f>
        <v>0</v>
      </c>
      <c r="S111" s="3">
        <f>SUMIFS('Business - Dump'!$W:$W,'Business - Dump'!$D:$D,'SKU Order Report '!$C111,'Business - Dump'!$A:$A,'SKU Order Report '!S$1)</f>
        <v>0</v>
      </c>
      <c r="T111" s="3">
        <f>SUMIFS('Business - Dump'!$W:$W,'Business - Dump'!$D:$D,'SKU Order Report '!$C111,'Business - Dump'!$A:$A,'SKU Order Report '!T$1)</f>
        <v>0</v>
      </c>
    </row>
    <row r="112" ht="15.75" customHeight="1">
      <c r="A112" s="10" t="str">
        <f t="array" ref="A112">_xlfn.XLOOKUP(C112,'Business - Dump'!$D:$D,'Business - Dump'!$B:$B)</f>
        <v>TABLE TOP</v>
      </c>
      <c r="B112" s="10" t="str">
        <f t="array" ref="B112">_xlfn.XLOOKUP(C112,'Referanc '!$A:$A,'Referanc '!$D:$D)</f>
        <v>CF 750 X 1500</v>
      </c>
      <c r="C112" s="68" t="s">
        <v>428</v>
      </c>
      <c r="D112" s="3">
        <f>SUMIFS('Business - Dump'!$W:$W,'Business - Dump'!$D:$D,'SKU Order Report '!$C112,'Business - Dump'!$A:$A,'SKU Order Report '!D$1)</f>
        <v>0</v>
      </c>
      <c r="E112" s="3">
        <f>SUMIFS('Business - Dump'!$W:$W,'Business - Dump'!$D:$D,'SKU Order Report '!$C112,'Business - Dump'!$A:$A,'SKU Order Report '!E$1)</f>
        <v>0</v>
      </c>
      <c r="F112" s="3">
        <f>SUMIFS('Business - Dump'!$W:$W,'Business - Dump'!$D:$D,'SKU Order Report '!$C112,'Business - Dump'!$A:$A,'SKU Order Report '!F$1)</f>
        <v>0</v>
      </c>
      <c r="G112" s="3">
        <f>SUMIFS('Business - Dump'!$W:$W,'Business - Dump'!$D:$D,'SKU Order Report '!$C112,'Business - Dump'!$A:$A,'SKU Order Report '!G$1)</f>
        <v>0</v>
      </c>
      <c r="H112" s="3">
        <f>SUMIFS('Business - Dump'!$W:$W,'Business - Dump'!$D:$D,'SKU Order Report '!$C112,'Business - Dump'!$A:$A,'SKU Order Report '!H$1)</f>
        <v>0</v>
      </c>
      <c r="I112" s="3">
        <f>SUMIFS('Business - Dump'!$W:$W,'Business - Dump'!$D:$D,'SKU Order Report '!$C112,'Business - Dump'!$A:$A,'SKU Order Report '!I$1)</f>
        <v>0</v>
      </c>
      <c r="J112" s="3">
        <f>SUMIFS('Business - Dump'!$W:$W,'Business - Dump'!$D:$D,'SKU Order Report '!$C112,'Business - Dump'!$A:$A,'SKU Order Report '!J$1)</f>
        <v>0</v>
      </c>
      <c r="K112" s="3">
        <f>SUMIFS('Business - Dump'!$W:$W,'Business - Dump'!$D:$D,'SKU Order Report '!$C112,'Business - Dump'!$A:$A,'SKU Order Report '!K$1)</f>
        <v>0</v>
      </c>
      <c r="L112" s="3">
        <f>SUMIFS('Business - Dump'!$W:$W,'Business - Dump'!$D:$D,'SKU Order Report '!$C112,'Business - Dump'!$A:$A,'SKU Order Report '!L$1)</f>
        <v>0</v>
      </c>
      <c r="M112" s="3">
        <f>SUMIFS('Business - Dump'!$W:$W,'Business - Dump'!$D:$D,'SKU Order Report '!$C112,'Business - Dump'!$A:$A,'SKU Order Report '!M$1)</f>
        <v>0</v>
      </c>
      <c r="N112" s="3">
        <f>SUMIFS('Business - Dump'!$W:$W,'Business - Dump'!$D:$D,'SKU Order Report '!$C112,'Business - Dump'!$A:$A,'SKU Order Report '!N$1)</f>
        <v>0</v>
      </c>
      <c r="O112" s="3">
        <f>SUMIFS('Business - Dump'!$W:$W,'Business - Dump'!$D:$D,'SKU Order Report '!$C112,'Business - Dump'!$A:$A,'SKU Order Report '!O$1)</f>
        <v>0</v>
      </c>
      <c r="P112" s="3">
        <f>SUMIFS('Business - Dump'!$W:$W,'Business - Dump'!$D:$D,'SKU Order Report '!$C112,'Business - Dump'!$A:$A,'SKU Order Report '!P$1)</f>
        <v>0</v>
      </c>
      <c r="Q112" s="3">
        <f>SUMIFS('Business - Dump'!$W:$W,'Business - Dump'!$D:$D,'SKU Order Report '!$C112,'Business - Dump'!$A:$A,'SKU Order Report '!Q$1)</f>
        <v>0</v>
      </c>
      <c r="R112" s="3">
        <f>SUMIFS('Business - Dump'!$W:$W,'Business - Dump'!$D:$D,'SKU Order Report '!$C112,'Business - Dump'!$A:$A,'SKU Order Report '!R$1)</f>
        <v>0</v>
      </c>
      <c r="S112" s="3">
        <f>SUMIFS('Business - Dump'!$W:$W,'Business - Dump'!$D:$D,'SKU Order Report '!$C112,'Business - Dump'!$A:$A,'SKU Order Report '!S$1)</f>
        <v>0</v>
      </c>
      <c r="T112" s="3">
        <f>SUMIFS('Business - Dump'!$W:$W,'Business - Dump'!$D:$D,'SKU Order Report '!$C112,'Business - Dump'!$A:$A,'SKU Order Report '!T$1)</f>
        <v>0</v>
      </c>
    </row>
    <row r="113" ht="15.75" customHeight="1">
      <c r="A113" s="10" t="str">
        <f t="array" ref="A113">_xlfn.XLOOKUP(C113,'Business - Dump'!$D:$D,'Business - Dump'!$B:$B)</f>
        <v>TABLE TOP</v>
      </c>
      <c r="B113" s="10" t="str">
        <f t="array" ref="B113">_xlfn.XLOOKUP(C113,'Referanc '!$A:$A,'Referanc '!$D:$D)</f>
        <v>CF 600 X 1200</v>
      </c>
      <c r="C113" s="68" t="s">
        <v>431</v>
      </c>
      <c r="D113" s="3">
        <f>SUMIFS('Business - Dump'!$W:$W,'Business - Dump'!$D:$D,'SKU Order Report '!$C113,'Business - Dump'!$A:$A,'SKU Order Report '!D$1)</f>
        <v>0</v>
      </c>
      <c r="E113" s="3">
        <f>SUMIFS('Business - Dump'!$W:$W,'Business - Dump'!$D:$D,'SKU Order Report '!$C113,'Business - Dump'!$A:$A,'SKU Order Report '!E$1)</f>
        <v>0</v>
      </c>
      <c r="F113" s="3">
        <f>SUMIFS('Business - Dump'!$W:$W,'Business - Dump'!$D:$D,'SKU Order Report '!$C113,'Business - Dump'!$A:$A,'SKU Order Report '!F$1)</f>
        <v>0</v>
      </c>
      <c r="G113" s="3">
        <f>SUMIFS('Business - Dump'!$W:$W,'Business - Dump'!$D:$D,'SKU Order Report '!$C113,'Business - Dump'!$A:$A,'SKU Order Report '!G$1)</f>
        <v>0</v>
      </c>
      <c r="H113" s="3">
        <f>SUMIFS('Business - Dump'!$W:$W,'Business - Dump'!$D:$D,'SKU Order Report '!$C113,'Business - Dump'!$A:$A,'SKU Order Report '!H$1)</f>
        <v>0</v>
      </c>
      <c r="I113" s="3">
        <f>SUMIFS('Business - Dump'!$W:$W,'Business - Dump'!$D:$D,'SKU Order Report '!$C113,'Business - Dump'!$A:$A,'SKU Order Report '!I$1)</f>
        <v>0</v>
      </c>
      <c r="J113" s="3">
        <f>SUMIFS('Business - Dump'!$W:$W,'Business - Dump'!$D:$D,'SKU Order Report '!$C113,'Business - Dump'!$A:$A,'SKU Order Report '!J$1)</f>
        <v>0</v>
      </c>
      <c r="K113" s="3">
        <f>SUMIFS('Business - Dump'!$W:$W,'Business - Dump'!$D:$D,'SKU Order Report '!$C113,'Business - Dump'!$A:$A,'SKU Order Report '!K$1)</f>
        <v>0</v>
      </c>
      <c r="L113" s="3">
        <f>SUMIFS('Business - Dump'!$W:$W,'Business - Dump'!$D:$D,'SKU Order Report '!$C113,'Business - Dump'!$A:$A,'SKU Order Report '!L$1)</f>
        <v>0</v>
      </c>
      <c r="M113" s="3">
        <f>SUMIFS('Business - Dump'!$W:$W,'Business - Dump'!$D:$D,'SKU Order Report '!$C113,'Business - Dump'!$A:$A,'SKU Order Report '!M$1)</f>
        <v>0</v>
      </c>
      <c r="N113" s="3">
        <f>SUMIFS('Business - Dump'!$W:$W,'Business - Dump'!$D:$D,'SKU Order Report '!$C113,'Business - Dump'!$A:$A,'SKU Order Report '!N$1)</f>
        <v>0</v>
      </c>
      <c r="O113" s="3">
        <f>SUMIFS('Business - Dump'!$W:$W,'Business - Dump'!$D:$D,'SKU Order Report '!$C113,'Business - Dump'!$A:$A,'SKU Order Report '!O$1)</f>
        <v>0</v>
      </c>
      <c r="P113" s="3">
        <f>SUMIFS('Business - Dump'!$W:$W,'Business - Dump'!$D:$D,'SKU Order Report '!$C113,'Business - Dump'!$A:$A,'SKU Order Report '!P$1)</f>
        <v>0</v>
      </c>
      <c r="Q113" s="3">
        <f>SUMIFS('Business - Dump'!$W:$W,'Business - Dump'!$D:$D,'SKU Order Report '!$C113,'Business - Dump'!$A:$A,'SKU Order Report '!Q$1)</f>
        <v>0</v>
      </c>
      <c r="R113" s="3">
        <f>SUMIFS('Business - Dump'!$W:$W,'Business - Dump'!$D:$D,'SKU Order Report '!$C113,'Business - Dump'!$A:$A,'SKU Order Report '!R$1)</f>
        <v>0</v>
      </c>
      <c r="S113" s="3">
        <f>SUMIFS('Business - Dump'!$W:$W,'Business - Dump'!$D:$D,'SKU Order Report '!$C113,'Business - Dump'!$A:$A,'SKU Order Report '!S$1)</f>
        <v>0</v>
      </c>
      <c r="T113" s="3">
        <f>SUMIFS('Business - Dump'!$W:$W,'Business - Dump'!$D:$D,'SKU Order Report '!$C113,'Business - Dump'!$A:$A,'SKU Order Report '!T$1)</f>
        <v>0</v>
      </c>
    </row>
    <row r="114" ht="15.75" customHeight="1">
      <c r="A114" s="10" t="str">
        <f t="array" ref="A114">_xlfn.XLOOKUP(C114,'Business - Dump'!$D:$D,'Business - Dump'!$B:$B)</f>
        <v>Standing Table  - M8</v>
      </c>
      <c r="B114" s="10" t="str">
        <f t="array" ref="B114">_xlfn.XLOOKUP(C114,'Referanc '!$A:$A,'Referanc '!$D:$D)</f>
        <v>EY HAT MT 2S BLK M8 PW 600X1200</v>
      </c>
      <c r="C114" s="68" t="s">
        <v>421</v>
      </c>
      <c r="D114" s="3">
        <f>SUMIFS('Business - Dump'!$W:$W,'Business - Dump'!$D:$D,'SKU Order Report '!$C114,'Business - Dump'!$A:$A,'SKU Order Report '!D$1)</f>
        <v>0</v>
      </c>
      <c r="E114" s="3">
        <f>SUMIFS('Business - Dump'!$W:$W,'Business - Dump'!$D:$D,'SKU Order Report '!$C114,'Business - Dump'!$A:$A,'SKU Order Report '!E$1)</f>
        <v>0</v>
      </c>
      <c r="F114" s="3">
        <f>SUMIFS('Business - Dump'!$W:$W,'Business - Dump'!$D:$D,'SKU Order Report '!$C114,'Business - Dump'!$A:$A,'SKU Order Report '!F$1)</f>
        <v>0</v>
      </c>
      <c r="G114" s="3">
        <f>SUMIFS('Business - Dump'!$W:$W,'Business - Dump'!$D:$D,'SKU Order Report '!$C114,'Business - Dump'!$A:$A,'SKU Order Report '!G$1)</f>
        <v>0</v>
      </c>
      <c r="H114" s="3">
        <f>SUMIFS('Business - Dump'!$W:$W,'Business - Dump'!$D:$D,'SKU Order Report '!$C114,'Business - Dump'!$A:$A,'SKU Order Report '!H$1)</f>
        <v>0</v>
      </c>
      <c r="I114" s="3">
        <f>SUMIFS('Business - Dump'!$W:$W,'Business - Dump'!$D:$D,'SKU Order Report '!$C114,'Business - Dump'!$A:$A,'SKU Order Report '!I$1)</f>
        <v>0</v>
      </c>
      <c r="J114" s="3">
        <f>SUMIFS('Business - Dump'!$W:$W,'Business - Dump'!$D:$D,'SKU Order Report '!$C114,'Business - Dump'!$A:$A,'SKU Order Report '!J$1)</f>
        <v>0</v>
      </c>
      <c r="K114" s="3">
        <f>SUMIFS('Business - Dump'!$W:$W,'Business - Dump'!$D:$D,'SKU Order Report '!$C114,'Business - Dump'!$A:$A,'SKU Order Report '!K$1)</f>
        <v>0</v>
      </c>
      <c r="L114" s="3">
        <f>SUMIFS('Business - Dump'!$W:$W,'Business - Dump'!$D:$D,'SKU Order Report '!$C114,'Business - Dump'!$A:$A,'SKU Order Report '!L$1)</f>
        <v>0</v>
      </c>
      <c r="M114" s="3">
        <f>SUMIFS('Business - Dump'!$W:$W,'Business - Dump'!$D:$D,'SKU Order Report '!$C114,'Business - Dump'!$A:$A,'SKU Order Report '!M$1)</f>
        <v>0</v>
      </c>
      <c r="N114" s="3">
        <f>SUMIFS('Business - Dump'!$W:$W,'Business - Dump'!$D:$D,'SKU Order Report '!$C114,'Business - Dump'!$A:$A,'SKU Order Report '!N$1)</f>
        <v>0</v>
      </c>
      <c r="O114" s="3">
        <f>SUMIFS('Business - Dump'!$W:$W,'Business - Dump'!$D:$D,'SKU Order Report '!$C114,'Business - Dump'!$A:$A,'SKU Order Report '!O$1)</f>
        <v>1</v>
      </c>
      <c r="P114" s="3">
        <f>SUMIFS('Business - Dump'!$W:$W,'Business - Dump'!$D:$D,'SKU Order Report '!$C114,'Business - Dump'!$A:$A,'SKU Order Report '!P$1)</f>
        <v>0</v>
      </c>
      <c r="Q114" s="3">
        <f>SUMIFS('Business - Dump'!$W:$W,'Business - Dump'!$D:$D,'SKU Order Report '!$C114,'Business - Dump'!$A:$A,'SKU Order Report '!Q$1)</f>
        <v>2</v>
      </c>
      <c r="R114" s="3">
        <f>SUMIFS('Business - Dump'!$W:$W,'Business - Dump'!$D:$D,'SKU Order Report '!$C114,'Business - Dump'!$A:$A,'SKU Order Report '!R$1)</f>
        <v>1</v>
      </c>
      <c r="S114" s="3">
        <f>SUMIFS('Business - Dump'!$W:$W,'Business - Dump'!$D:$D,'SKU Order Report '!$C114,'Business - Dump'!$A:$A,'SKU Order Report '!S$1)</f>
        <v>0</v>
      </c>
      <c r="T114" s="3">
        <f>SUMIFS('Business - Dump'!$W:$W,'Business - Dump'!$D:$D,'SKU Order Report '!$C114,'Business - Dump'!$A:$A,'SKU Order Report '!T$1)</f>
        <v>0</v>
      </c>
    </row>
    <row r="115" ht="15.75" customHeight="1">
      <c r="A115" s="10" t="str">
        <f t="array" ref="A115">_xlfn.XLOOKUP(C115,'Business - Dump'!$D:$D,'Business - Dump'!$B:$B)</f>
        <v>Standing Table  - M3</v>
      </c>
      <c r="B115" s="10" t="str">
        <f t="array" ref="B115">_xlfn.XLOOKUP(C115,'Referanc '!$A:$A,'Referanc '!$D:$D)</f>
        <v>IS MT 2S FW 600X1200</v>
      </c>
      <c r="C115" s="68" t="s">
        <v>411</v>
      </c>
      <c r="D115" s="3">
        <f>SUMIFS('Business - Dump'!$W:$W,'Business - Dump'!$D:$D,'SKU Order Report '!$C115,'Business - Dump'!$A:$A,'SKU Order Report '!D$1)</f>
        <v>0</v>
      </c>
      <c r="E115" s="3">
        <f>SUMIFS('Business - Dump'!$W:$W,'Business - Dump'!$D:$D,'SKU Order Report '!$C115,'Business - Dump'!$A:$A,'SKU Order Report '!E$1)</f>
        <v>0</v>
      </c>
      <c r="F115" s="3">
        <f>SUMIFS('Business - Dump'!$W:$W,'Business - Dump'!$D:$D,'SKU Order Report '!$C115,'Business - Dump'!$A:$A,'SKU Order Report '!F$1)</f>
        <v>0</v>
      </c>
      <c r="G115" s="3">
        <f>SUMIFS('Business - Dump'!$W:$W,'Business - Dump'!$D:$D,'SKU Order Report '!$C115,'Business - Dump'!$A:$A,'SKU Order Report '!G$1)</f>
        <v>0</v>
      </c>
      <c r="H115" s="3">
        <f>SUMIFS('Business - Dump'!$W:$W,'Business - Dump'!$D:$D,'SKU Order Report '!$C115,'Business - Dump'!$A:$A,'SKU Order Report '!H$1)</f>
        <v>0</v>
      </c>
      <c r="I115" s="3">
        <f>SUMIFS('Business - Dump'!$W:$W,'Business - Dump'!$D:$D,'SKU Order Report '!$C115,'Business - Dump'!$A:$A,'SKU Order Report '!I$1)</f>
        <v>0</v>
      </c>
      <c r="J115" s="3">
        <f>SUMIFS('Business - Dump'!$W:$W,'Business - Dump'!$D:$D,'SKU Order Report '!$C115,'Business - Dump'!$A:$A,'SKU Order Report '!J$1)</f>
        <v>0</v>
      </c>
      <c r="K115" s="3">
        <f>SUMIFS('Business - Dump'!$W:$W,'Business - Dump'!$D:$D,'SKU Order Report '!$C115,'Business - Dump'!$A:$A,'SKU Order Report '!K$1)</f>
        <v>0</v>
      </c>
      <c r="L115" s="3">
        <f>SUMIFS('Business - Dump'!$W:$W,'Business - Dump'!$D:$D,'SKU Order Report '!$C115,'Business - Dump'!$A:$A,'SKU Order Report '!L$1)</f>
        <v>0</v>
      </c>
      <c r="M115" s="3">
        <f>SUMIFS('Business - Dump'!$W:$W,'Business - Dump'!$D:$D,'SKU Order Report '!$C115,'Business - Dump'!$A:$A,'SKU Order Report '!M$1)</f>
        <v>0</v>
      </c>
      <c r="N115" s="3">
        <f>SUMIFS('Business - Dump'!$W:$W,'Business - Dump'!$D:$D,'SKU Order Report '!$C115,'Business - Dump'!$A:$A,'SKU Order Report '!N$1)</f>
        <v>0</v>
      </c>
      <c r="O115" s="3">
        <f>SUMIFS('Business - Dump'!$W:$W,'Business - Dump'!$D:$D,'SKU Order Report '!$C115,'Business - Dump'!$A:$A,'SKU Order Report '!O$1)</f>
        <v>0</v>
      </c>
      <c r="P115" s="3">
        <f>SUMIFS('Business - Dump'!$W:$W,'Business - Dump'!$D:$D,'SKU Order Report '!$C115,'Business - Dump'!$A:$A,'SKU Order Report '!P$1)</f>
        <v>0</v>
      </c>
      <c r="Q115" s="3">
        <f>SUMIFS('Business - Dump'!$W:$W,'Business - Dump'!$D:$D,'SKU Order Report '!$C115,'Business - Dump'!$A:$A,'SKU Order Report '!Q$1)</f>
        <v>0</v>
      </c>
      <c r="R115" s="3">
        <f>SUMIFS('Business - Dump'!$W:$W,'Business - Dump'!$D:$D,'SKU Order Report '!$C115,'Business - Dump'!$A:$A,'SKU Order Report '!R$1)</f>
        <v>0</v>
      </c>
      <c r="S115" s="3">
        <f>SUMIFS('Business - Dump'!$W:$W,'Business - Dump'!$D:$D,'SKU Order Report '!$C115,'Business - Dump'!$A:$A,'SKU Order Report '!S$1)</f>
        <v>0</v>
      </c>
      <c r="T115" s="3">
        <f>SUMIFS('Business - Dump'!$W:$W,'Business - Dump'!$D:$D,'SKU Order Report '!$C115,'Business - Dump'!$A:$A,'SKU Order Report '!T$1)</f>
        <v>0</v>
      </c>
    </row>
    <row r="116" ht="15.75" customHeight="1">
      <c r="A116" s="10" t="str">
        <f t="array" ref="A116">_xlfn.XLOOKUP(C116,'Business - Dump'!$D:$D,'Business - Dump'!$B:$B)</f>
        <v>Standing Table  - SM4</v>
      </c>
      <c r="B116" s="10" t="str">
        <f t="array" ref="B116">_xlfn.XLOOKUP(C116,'Referanc '!$A:$A,'Referanc '!$D:$D)</f>
        <v>EY HAT 1M 2S WHT SM4 V04 WG 750x1500</v>
      </c>
      <c r="C116" s="68" t="s">
        <v>423</v>
      </c>
      <c r="D116" s="3">
        <f>SUMIFS('Business - Dump'!$W:$W,'Business - Dump'!$D:$D,'SKU Order Report '!$C116,'Business - Dump'!$A:$A,'SKU Order Report '!D$1)</f>
        <v>0</v>
      </c>
      <c r="E116" s="3">
        <f>SUMIFS('Business - Dump'!$W:$W,'Business - Dump'!$D:$D,'SKU Order Report '!$C116,'Business - Dump'!$A:$A,'SKU Order Report '!E$1)</f>
        <v>0</v>
      </c>
      <c r="F116" s="3">
        <f>SUMIFS('Business - Dump'!$W:$W,'Business - Dump'!$D:$D,'SKU Order Report '!$C116,'Business - Dump'!$A:$A,'SKU Order Report '!F$1)</f>
        <v>0</v>
      </c>
      <c r="G116" s="3">
        <f>SUMIFS('Business - Dump'!$W:$W,'Business - Dump'!$D:$D,'SKU Order Report '!$C116,'Business - Dump'!$A:$A,'SKU Order Report '!G$1)</f>
        <v>0</v>
      </c>
      <c r="H116" s="3">
        <f>SUMIFS('Business - Dump'!$W:$W,'Business - Dump'!$D:$D,'SKU Order Report '!$C116,'Business - Dump'!$A:$A,'SKU Order Report '!H$1)</f>
        <v>0</v>
      </c>
      <c r="I116" s="3">
        <f>SUMIFS('Business - Dump'!$W:$W,'Business - Dump'!$D:$D,'SKU Order Report '!$C116,'Business - Dump'!$A:$A,'SKU Order Report '!I$1)</f>
        <v>0</v>
      </c>
      <c r="J116" s="3">
        <f>SUMIFS('Business - Dump'!$W:$W,'Business - Dump'!$D:$D,'SKU Order Report '!$C116,'Business - Dump'!$A:$A,'SKU Order Report '!J$1)</f>
        <v>0</v>
      </c>
      <c r="K116" s="3">
        <f>SUMIFS('Business - Dump'!$W:$W,'Business - Dump'!$D:$D,'SKU Order Report '!$C116,'Business - Dump'!$A:$A,'SKU Order Report '!K$1)</f>
        <v>0</v>
      </c>
      <c r="L116" s="3">
        <f>SUMIFS('Business - Dump'!$W:$W,'Business - Dump'!$D:$D,'SKU Order Report '!$C116,'Business - Dump'!$A:$A,'SKU Order Report '!L$1)</f>
        <v>0</v>
      </c>
      <c r="M116" s="3">
        <f>SUMIFS('Business - Dump'!$W:$W,'Business - Dump'!$D:$D,'SKU Order Report '!$C116,'Business - Dump'!$A:$A,'SKU Order Report '!M$1)</f>
        <v>0</v>
      </c>
      <c r="N116" s="3">
        <f>SUMIFS('Business - Dump'!$W:$W,'Business - Dump'!$D:$D,'SKU Order Report '!$C116,'Business - Dump'!$A:$A,'SKU Order Report '!N$1)</f>
        <v>0</v>
      </c>
      <c r="O116" s="3">
        <f>SUMIFS('Business - Dump'!$W:$W,'Business - Dump'!$D:$D,'SKU Order Report '!$C116,'Business - Dump'!$A:$A,'SKU Order Report '!O$1)</f>
        <v>0</v>
      </c>
      <c r="P116" s="3">
        <f>SUMIFS('Business - Dump'!$W:$W,'Business - Dump'!$D:$D,'SKU Order Report '!$C116,'Business - Dump'!$A:$A,'SKU Order Report '!P$1)</f>
        <v>0</v>
      </c>
      <c r="Q116" s="3">
        <f>SUMIFS('Business - Dump'!$W:$W,'Business - Dump'!$D:$D,'SKU Order Report '!$C116,'Business - Dump'!$A:$A,'SKU Order Report '!Q$1)</f>
        <v>0</v>
      </c>
      <c r="R116" s="3">
        <f>SUMIFS('Business - Dump'!$W:$W,'Business - Dump'!$D:$D,'SKU Order Report '!$C116,'Business - Dump'!$A:$A,'SKU Order Report '!R$1)</f>
        <v>0</v>
      </c>
      <c r="S116" s="3">
        <f>SUMIFS('Business - Dump'!$W:$W,'Business - Dump'!$D:$D,'SKU Order Report '!$C116,'Business - Dump'!$A:$A,'SKU Order Report '!S$1)</f>
        <v>0</v>
      </c>
      <c r="T116" s="3">
        <f>SUMIFS('Business - Dump'!$W:$W,'Business - Dump'!$D:$D,'SKU Order Report '!$C116,'Business - Dump'!$A:$A,'SKU Order Report '!T$1)</f>
        <v>0</v>
      </c>
    </row>
    <row r="117" ht="15.75" customHeight="1">
      <c r="A117" s="10" t="str">
        <f t="array" ref="A117">_xlfn.XLOOKUP(C117,'Business - Dump'!$D:$D,'Business - Dump'!$B:$B)</f>
        <v>Standing Table  - SM4</v>
      </c>
      <c r="B117" s="10" t="str">
        <f t="array" ref="B117">_xlfn.XLOOKUP(C117,'Referanc '!$A:$A,'Referanc '!$D:$D)</f>
        <v>EY HAT 1M 2S WHT SM4 V04 PW 750x1500</v>
      </c>
      <c r="C117" s="68" t="s">
        <v>424</v>
      </c>
      <c r="D117" s="3">
        <f>SUMIFS('Business - Dump'!$W:$W,'Business - Dump'!$D:$D,'SKU Order Report '!$C117,'Business - Dump'!$A:$A,'SKU Order Report '!D$1)</f>
        <v>0</v>
      </c>
      <c r="E117" s="3">
        <f>SUMIFS('Business - Dump'!$W:$W,'Business - Dump'!$D:$D,'SKU Order Report '!$C117,'Business - Dump'!$A:$A,'SKU Order Report '!E$1)</f>
        <v>0</v>
      </c>
      <c r="F117" s="3">
        <f>SUMIFS('Business - Dump'!$W:$W,'Business - Dump'!$D:$D,'SKU Order Report '!$C117,'Business - Dump'!$A:$A,'SKU Order Report '!F$1)</f>
        <v>0</v>
      </c>
      <c r="G117" s="3">
        <f>SUMIFS('Business - Dump'!$W:$W,'Business - Dump'!$D:$D,'SKU Order Report '!$C117,'Business - Dump'!$A:$A,'SKU Order Report '!G$1)</f>
        <v>0</v>
      </c>
      <c r="H117" s="3">
        <f>SUMIFS('Business - Dump'!$W:$W,'Business - Dump'!$D:$D,'SKU Order Report '!$C117,'Business - Dump'!$A:$A,'SKU Order Report '!H$1)</f>
        <v>0</v>
      </c>
      <c r="I117" s="3">
        <f>SUMIFS('Business - Dump'!$W:$W,'Business - Dump'!$D:$D,'SKU Order Report '!$C117,'Business - Dump'!$A:$A,'SKU Order Report '!I$1)</f>
        <v>0</v>
      </c>
      <c r="J117" s="3">
        <f>SUMIFS('Business - Dump'!$W:$W,'Business - Dump'!$D:$D,'SKU Order Report '!$C117,'Business - Dump'!$A:$A,'SKU Order Report '!J$1)</f>
        <v>0</v>
      </c>
      <c r="K117" s="3">
        <f>SUMIFS('Business - Dump'!$W:$W,'Business - Dump'!$D:$D,'SKU Order Report '!$C117,'Business - Dump'!$A:$A,'SKU Order Report '!K$1)</f>
        <v>0</v>
      </c>
      <c r="L117" s="3">
        <f>SUMIFS('Business - Dump'!$W:$W,'Business - Dump'!$D:$D,'SKU Order Report '!$C117,'Business - Dump'!$A:$A,'SKU Order Report '!L$1)</f>
        <v>0</v>
      </c>
      <c r="M117" s="3">
        <f>SUMIFS('Business - Dump'!$W:$W,'Business - Dump'!$D:$D,'SKU Order Report '!$C117,'Business - Dump'!$A:$A,'SKU Order Report '!M$1)</f>
        <v>0</v>
      </c>
      <c r="N117" s="3">
        <f>SUMIFS('Business - Dump'!$W:$W,'Business - Dump'!$D:$D,'SKU Order Report '!$C117,'Business - Dump'!$A:$A,'SKU Order Report '!N$1)</f>
        <v>0</v>
      </c>
      <c r="O117" s="3">
        <f>SUMIFS('Business - Dump'!$W:$W,'Business - Dump'!$D:$D,'SKU Order Report '!$C117,'Business - Dump'!$A:$A,'SKU Order Report '!O$1)</f>
        <v>0</v>
      </c>
      <c r="P117" s="3">
        <f>SUMIFS('Business - Dump'!$W:$W,'Business - Dump'!$D:$D,'SKU Order Report '!$C117,'Business - Dump'!$A:$A,'SKU Order Report '!P$1)</f>
        <v>0</v>
      </c>
      <c r="Q117" s="3">
        <f>SUMIFS('Business - Dump'!$W:$W,'Business - Dump'!$D:$D,'SKU Order Report '!$C117,'Business - Dump'!$A:$A,'SKU Order Report '!Q$1)</f>
        <v>0</v>
      </c>
      <c r="R117" s="3">
        <f>SUMIFS('Business - Dump'!$W:$W,'Business - Dump'!$D:$D,'SKU Order Report '!$C117,'Business - Dump'!$A:$A,'SKU Order Report '!R$1)</f>
        <v>0</v>
      </c>
      <c r="S117" s="3">
        <f>SUMIFS('Business - Dump'!$W:$W,'Business - Dump'!$D:$D,'SKU Order Report '!$C117,'Business - Dump'!$A:$A,'SKU Order Report '!S$1)</f>
        <v>0</v>
      </c>
      <c r="T117" s="3">
        <f>SUMIFS('Business - Dump'!$W:$W,'Business - Dump'!$D:$D,'SKU Order Report '!$C117,'Business - Dump'!$A:$A,'SKU Order Report '!T$1)</f>
        <v>0</v>
      </c>
    </row>
    <row r="118" ht="15.75" customHeight="1">
      <c r="A118" s="10" t="str">
        <f t="array" ref="A118">_xlfn.XLOOKUP(C118,'Business - Dump'!$D:$D,'Business - Dump'!$B:$B)</f>
        <v>Standing Table  - SM4</v>
      </c>
      <c r="B118" s="10" t="str">
        <f t="array" ref="B118">_xlfn.XLOOKUP(C118,'Referanc '!$A:$A,'Referanc '!$D:$D)</f>
        <v>EY HAT 1M 2S WHT SM4 V04</v>
      </c>
      <c r="C118" s="68" t="s">
        <v>426</v>
      </c>
      <c r="D118" s="3">
        <f>SUMIFS('Business - Dump'!$W:$W,'Business - Dump'!$D:$D,'SKU Order Report '!$C118,'Business - Dump'!$A:$A,'SKU Order Report '!D$1)</f>
        <v>0</v>
      </c>
      <c r="E118" s="3">
        <f>SUMIFS('Business - Dump'!$W:$W,'Business - Dump'!$D:$D,'SKU Order Report '!$C118,'Business - Dump'!$A:$A,'SKU Order Report '!E$1)</f>
        <v>0</v>
      </c>
      <c r="F118" s="3">
        <f>SUMIFS('Business - Dump'!$W:$W,'Business - Dump'!$D:$D,'SKU Order Report '!$C118,'Business - Dump'!$A:$A,'SKU Order Report '!F$1)</f>
        <v>0</v>
      </c>
      <c r="G118" s="3">
        <f>SUMIFS('Business - Dump'!$W:$W,'Business - Dump'!$D:$D,'SKU Order Report '!$C118,'Business - Dump'!$A:$A,'SKU Order Report '!G$1)</f>
        <v>0</v>
      </c>
      <c r="H118" s="3">
        <f>SUMIFS('Business - Dump'!$W:$W,'Business - Dump'!$D:$D,'SKU Order Report '!$C118,'Business - Dump'!$A:$A,'SKU Order Report '!H$1)</f>
        <v>0</v>
      </c>
      <c r="I118" s="3">
        <f>SUMIFS('Business - Dump'!$W:$W,'Business - Dump'!$D:$D,'SKU Order Report '!$C118,'Business - Dump'!$A:$A,'SKU Order Report '!I$1)</f>
        <v>0</v>
      </c>
      <c r="J118" s="3">
        <f>SUMIFS('Business - Dump'!$W:$W,'Business - Dump'!$D:$D,'SKU Order Report '!$C118,'Business - Dump'!$A:$A,'SKU Order Report '!J$1)</f>
        <v>0</v>
      </c>
      <c r="K118" s="3">
        <f>SUMIFS('Business - Dump'!$W:$W,'Business - Dump'!$D:$D,'SKU Order Report '!$C118,'Business - Dump'!$A:$A,'SKU Order Report '!K$1)</f>
        <v>0</v>
      </c>
      <c r="L118" s="3">
        <f>SUMIFS('Business - Dump'!$W:$W,'Business - Dump'!$D:$D,'SKU Order Report '!$C118,'Business - Dump'!$A:$A,'SKU Order Report '!L$1)</f>
        <v>0</v>
      </c>
      <c r="M118" s="3">
        <f>SUMIFS('Business - Dump'!$W:$W,'Business - Dump'!$D:$D,'SKU Order Report '!$C118,'Business - Dump'!$A:$A,'SKU Order Report '!M$1)</f>
        <v>0</v>
      </c>
      <c r="N118" s="3">
        <f>SUMIFS('Business - Dump'!$W:$W,'Business - Dump'!$D:$D,'SKU Order Report '!$C118,'Business - Dump'!$A:$A,'SKU Order Report '!N$1)</f>
        <v>0</v>
      </c>
      <c r="O118" s="3">
        <f>SUMIFS('Business - Dump'!$W:$W,'Business - Dump'!$D:$D,'SKU Order Report '!$C118,'Business - Dump'!$A:$A,'SKU Order Report '!O$1)</f>
        <v>0</v>
      </c>
      <c r="P118" s="3">
        <f>SUMIFS('Business - Dump'!$W:$W,'Business - Dump'!$D:$D,'SKU Order Report '!$C118,'Business - Dump'!$A:$A,'SKU Order Report '!P$1)</f>
        <v>3</v>
      </c>
      <c r="Q118" s="3">
        <f>SUMIFS('Business - Dump'!$W:$W,'Business - Dump'!$D:$D,'SKU Order Report '!$C118,'Business - Dump'!$A:$A,'SKU Order Report '!Q$1)</f>
        <v>3</v>
      </c>
      <c r="R118" s="3">
        <f>SUMIFS('Business - Dump'!$W:$W,'Business - Dump'!$D:$D,'SKU Order Report '!$C118,'Business - Dump'!$A:$A,'SKU Order Report '!R$1)</f>
        <v>5</v>
      </c>
      <c r="S118" s="3">
        <f>SUMIFS('Business - Dump'!$W:$W,'Business - Dump'!$D:$D,'SKU Order Report '!$C118,'Business - Dump'!$A:$A,'SKU Order Report '!S$1)</f>
        <v>0</v>
      </c>
      <c r="T118" s="3">
        <f>SUMIFS('Business - Dump'!$W:$W,'Business - Dump'!$D:$D,'SKU Order Report '!$C118,'Business - Dump'!$A:$A,'SKU Order Report '!T$1)</f>
        <v>1</v>
      </c>
    </row>
    <row r="119" ht="15.75" customHeight="1">
      <c r="A119" s="10" t="str">
        <f t="array" ref="A119">_xlfn.XLOOKUP(C119,'Business - Dump'!$D:$D,'Business - Dump'!$B:$B)</f>
        <v>Standing Table  - SM4</v>
      </c>
      <c r="B119" s="10" t="str">
        <f t="array" ref="B119">_xlfn.XLOOKUP(C119,'Referanc '!$A:$A,'Referanc '!$D:$D)</f>
        <v>EY HAT 1M 2S WHT SM4 V04 PW 600x1200</v>
      </c>
      <c r="C119" s="68" t="s">
        <v>427</v>
      </c>
      <c r="D119" s="3">
        <f>SUMIFS('Business - Dump'!$W:$W,'Business - Dump'!$D:$D,'SKU Order Report '!$C119,'Business - Dump'!$A:$A,'SKU Order Report '!D$1)</f>
        <v>0</v>
      </c>
      <c r="E119" s="3">
        <f>SUMIFS('Business - Dump'!$W:$W,'Business - Dump'!$D:$D,'SKU Order Report '!$C119,'Business - Dump'!$A:$A,'SKU Order Report '!E$1)</f>
        <v>0</v>
      </c>
      <c r="F119" s="3">
        <f>SUMIFS('Business - Dump'!$W:$W,'Business - Dump'!$D:$D,'SKU Order Report '!$C119,'Business - Dump'!$A:$A,'SKU Order Report '!F$1)</f>
        <v>0</v>
      </c>
      <c r="G119" s="3">
        <f>SUMIFS('Business - Dump'!$W:$W,'Business - Dump'!$D:$D,'SKU Order Report '!$C119,'Business - Dump'!$A:$A,'SKU Order Report '!G$1)</f>
        <v>0</v>
      </c>
      <c r="H119" s="3">
        <f>SUMIFS('Business - Dump'!$W:$W,'Business - Dump'!$D:$D,'SKU Order Report '!$C119,'Business - Dump'!$A:$A,'SKU Order Report '!H$1)</f>
        <v>0</v>
      </c>
      <c r="I119" s="3">
        <f>SUMIFS('Business - Dump'!$W:$W,'Business - Dump'!$D:$D,'SKU Order Report '!$C119,'Business - Dump'!$A:$A,'SKU Order Report '!I$1)</f>
        <v>0</v>
      </c>
      <c r="J119" s="3">
        <f>SUMIFS('Business - Dump'!$W:$W,'Business - Dump'!$D:$D,'SKU Order Report '!$C119,'Business - Dump'!$A:$A,'SKU Order Report '!J$1)</f>
        <v>0</v>
      </c>
      <c r="K119" s="3">
        <f>SUMIFS('Business - Dump'!$W:$W,'Business - Dump'!$D:$D,'SKU Order Report '!$C119,'Business - Dump'!$A:$A,'SKU Order Report '!K$1)</f>
        <v>0</v>
      </c>
      <c r="L119" s="3">
        <f>SUMIFS('Business - Dump'!$W:$W,'Business - Dump'!$D:$D,'SKU Order Report '!$C119,'Business - Dump'!$A:$A,'SKU Order Report '!L$1)</f>
        <v>0</v>
      </c>
      <c r="M119" s="3">
        <f>SUMIFS('Business - Dump'!$W:$W,'Business - Dump'!$D:$D,'SKU Order Report '!$C119,'Business - Dump'!$A:$A,'SKU Order Report '!M$1)</f>
        <v>0</v>
      </c>
      <c r="N119" s="3">
        <f>SUMIFS('Business - Dump'!$W:$W,'Business - Dump'!$D:$D,'SKU Order Report '!$C119,'Business - Dump'!$A:$A,'SKU Order Report '!N$1)</f>
        <v>0</v>
      </c>
      <c r="O119" s="3">
        <f>SUMIFS('Business - Dump'!$W:$W,'Business - Dump'!$D:$D,'SKU Order Report '!$C119,'Business - Dump'!$A:$A,'SKU Order Report '!O$1)</f>
        <v>0</v>
      </c>
      <c r="P119" s="3">
        <f>SUMIFS('Business - Dump'!$W:$W,'Business - Dump'!$D:$D,'SKU Order Report '!$C119,'Business - Dump'!$A:$A,'SKU Order Report '!P$1)</f>
        <v>16</v>
      </c>
      <c r="Q119" s="3">
        <f>SUMIFS('Business - Dump'!$W:$W,'Business - Dump'!$D:$D,'SKU Order Report '!$C119,'Business - Dump'!$A:$A,'SKU Order Report '!Q$1)</f>
        <v>24</v>
      </c>
      <c r="R119" s="3">
        <f>SUMIFS('Business - Dump'!$W:$W,'Business - Dump'!$D:$D,'SKU Order Report '!$C119,'Business - Dump'!$A:$A,'SKU Order Report '!R$1)</f>
        <v>23</v>
      </c>
      <c r="S119" s="3">
        <f>SUMIFS('Business - Dump'!$W:$W,'Business - Dump'!$D:$D,'SKU Order Report '!$C119,'Business - Dump'!$A:$A,'SKU Order Report '!S$1)</f>
        <v>0</v>
      </c>
      <c r="T119" s="3">
        <f>SUMIFS('Business - Dump'!$W:$W,'Business - Dump'!$D:$D,'SKU Order Report '!$C119,'Business - Dump'!$A:$A,'SKU Order Report '!T$1)</f>
        <v>5</v>
      </c>
    </row>
    <row r="120" ht="15.75" customHeight="1">
      <c r="A120" s="10" t="str">
        <f t="array" ref="A120">_xlfn.XLOOKUP(C120,'Business - Dump'!$D:$D,'Business - Dump'!$B:$B)</f>
        <v>Standing Table  - SM4</v>
      </c>
      <c r="B120" s="10" t="str">
        <f t="array" ref="B120">_xlfn.XLOOKUP(C120,'Referanc '!$A:$A,'Referanc '!$D:$D)</f>
        <v>EY HAT 1M 2S WHT SM4 V04 WG 600x1200</v>
      </c>
      <c r="C120" s="68" t="s">
        <v>430</v>
      </c>
      <c r="D120" s="3">
        <f>SUMIFS('Business - Dump'!$W:$W,'Business - Dump'!$D:$D,'SKU Order Report '!$C120,'Business - Dump'!$A:$A,'SKU Order Report '!D$1)</f>
        <v>0</v>
      </c>
      <c r="E120" s="3">
        <f>SUMIFS('Business - Dump'!$W:$W,'Business - Dump'!$D:$D,'SKU Order Report '!$C120,'Business - Dump'!$A:$A,'SKU Order Report '!E$1)</f>
        <v>0</v>
      </c>
      <c r="F120" s="3">
        <f>SUMIFS('Business - Dump'!$W:$W,'Business - Dump'!$D:$D,'SKU Order Report '!$C120,'Business - Dump'!$A:$A,'SKU Order Report '!F$1)</f>
        <v>0</v>
      </c>
      <c r="G120" s="3">
        <f>SUMIFS('Business - Dump'!$W:$W,'Business - Dump'!$D:$D,'SKU Order Report '!$C120,'Business - Dump'!$A:$A,'SKU Order Report '!G$1)</f>
        <v>0</v>
      </c>
      <c r="H120" s="3">
        <f>SUMIFS('Business - Dump'!$W:$W,'Business - Dump'!$D:$D,'SKU Order Report '!$C120,'Business - Dump'!$A:$A,'SKU Order Report '!H$1)</f>
        <v>0</v>
      </c>
      <c r="I120" s="3">
        <f>SUMIFS('Business - Dump'!$W:$W,'Business - Dump'!$D:$D,'SKU Order Report '!$C120,'Business - Dump'!$A:$A,'SKU Order Report '!I$1)</f>
        <v>0</v>
      </c>
      <c r="J120" s="3">
        <f>SUMIFS('Business - Dump'!$W:$W,'Business - Dump'!$D:$D,'SKU Order Report '!$C120,'Business - Dump'!$A:$A,'SKU Order Report '!J$1)</f>
        <v>0</v>
      </c>
      <c r="K120" s="3">
        <f>SUMIFS('Business - Dump'!$W:$W,'Business - Dump'!$D:$D,'SKU Order Report '!$C120,'Business - Dump'!$A:$A,'SKU Order Report '!K$1)</f>
        <v>0</v>
      </c>
      <c r="L120" s="3">
        <f>SUMIFS('Business - Dump'!$W:$W,'Business - Dump'!$D:$D,'SKU Order Report '!$C120,'Business - Dump'!$A:$A,'SKU Order Report '!L$1)</f>
        <v>0</v>
      </c>
      <c r="M120" s="3">
        <f>SUMIFS('Business - Dump'!$W:$W,'Business - Dump'!$D:$D,'SKU Order Report '!$C120,'Business - Dump'!$A:$A,'SKU Order Report '!M$1)</f>
        <v>0</v>
      </c>
      <c r="N120" s="3">
        <f>SUMIFS('Business - Dump'!$W:$W,'Business - Dump'!$D:$D,'SKU Order Report '!$C120,'Business - Dump'!$A:$A,'SKU Order Report '!N$1)</f>
        <v>0</v>
      </c>
      <c r="O120" s="3">
        <f>SUMIFS('Business - Dump'!$W:$W,'Business - Dump'!$D:$D,'SKU Order Report '!$C120,'Business - Dump'!$A:$A,'SKU Order Report '!O$1)</f>
        <v>0</v>
      </c>
      <c r="P120" s="3">
        <f>SUMIFS('Business - Dump'!$W:$W,'Business - Dump'!$D:$D,'SKU Order Report '!$C120,'Business - Dump'!$A:$A,'SKU Order Report '!P$1)</f>
        <v>8</v>
      </c>
      <c r="Q120" s="3">
        <f>SUMIFS('Business - Dump'!$W:$W,'Business - Dump'!$D:$D,'SKU Order Report '!$C120,'Business - Dump'!$A:$A,'SKU Order Report '!Q$1)</f>
        <v>19</v>
      </c>
      <c r="R120" s="3">
        <f>SUMIFS('Business - Dump'!$W:$W,'Business - Dump'!$D:$D,'SKU Order Report '!$C120,'Business - Dump'!$A:$A,'SKU Order Report '!R$1)</f>
        <v>20</v>
      </c>
      <c r="S120" s="3">
        <f>SUMIFS('Business - Dump'!$W:$W,'Business - Dump'!$D:$D,'SKU Order Report '!$C120,'Business - Dump'!$A:$A,'SKU Order Report '!S$1)</f>
        <v>0</v>
      </c>
      <c r="T120" s="3">
        <f>SUMIFS('Business - Dump'!$W:$W,'Business - Dump'!$D:$D,'SKU Order Report '!$C120,'Business - Dump'!$A:$A,'SKU Order Report '!T$1)</f>
        <v>7</v>
      </c>
    </row>
    <row r="121" ht="15.75" customHeight="1">
      <c r="A121" s="10" t="str">
        <f t="array" ref="A121">_xlfn.XLOOKUP(C121,'Business - Dump'!$D:$D,'Business - Dump'!$B:$B)</f>
        <v>Cup and Headphone Holder</v>
      </c>
      <c r="B121" s="10" t="str">
        <f t="array" ref="B121">_xlfn.XLOOKUP(C121,'Referanc '!$A:$A,'Referanc '!$D:$D)</f>
        <v/>
      </c>
      <c r="C121" s="68" t="s">
        <v>322</v>
      </c>
      <c r="D121" s="3">
        <f>SUMIFS('Business - Dump'!$W:$W,'Business - Dump'!$D:$D,'SKU Order Report '!$C121,'Business - Dump'!$A:$A,'SKU Order Report '!D$1)</f>
        <v>0</v>
      </c>
      <c r="E121" s="3">
        <f>SUMIFS('Business - Dump'!$W:$W,'Business - Dump'!$D:$D,'SKU Order Report '!$C121,'Business - Dump'!$A:$A,'SKU Order Report '!E$1)</f>
        <v>0</v>
      </c>
      <c r="F121" s="3">
        <f>SUMIFS('Business - Dump'!$W:$W,'Business - Dump'!$D:$D,'SKU Order Report '!$C121,'Business - Dump'!$A:$A,'SKU Order Report '!F$1)</f>
        <v>0</v>
      </c>
      <c r="G121" s="3">
        <f>SUMIFS('Business - Dump'!$W:$W,'Business - Dump'!$D:$D,'SKU Order Report '!$C121,'Business - Dump'!$A:$A,'SKU Order Report '!G$1)</f>
        <v>0</v>
      </c>
      <c r="H121" s="3">
        <f>SUMIFS('Business - Dump'!$W:$W,'Business - Dump'!$D:$D,'SKU Order Report '!$C121,'Business - Dump'!$A:$A,'SKU Order Report '!H$1)</f>
        <v>0</v>
      </c>
      <c r="I121" s="3">
        <f>SUMIFS('Business - Dump'!$W:$W,'Business - Dump'!$D:$D,'SKU Order Report '!$C121,'Business - Dump'!$A:$A,'SKU Order Report '!I$1)</f>
        <v>0</v>
      </c>
      <c r="J121" s="3">
        <f>SUMIFS('Business - Dump'!$W:$W,'Business - Dump'!$D:$D,'SKU Order Report '!$C121,'Business - Dump'!$A:$A,'SKU Order Report '!J$1)</f>
        <v>0</v>
      </c>
      <c r="K121" s="3">
        <f>SUMIFS('Business - Dump'!$W:$W,'Business - Dump'!$D:$D,'SKU Order Report '!$C121,'Business - Dump'!$A:$A,'SKU Order Report '!K$1)</f>
        <v>0</v>
      </c>
      <c r="L121" s="3">
        <f>SUMIFS('Business - Dump'!$W:$W,'Business - Dump'!$D:$D,'SKU Order Report '!$C121,'Business - Dump'!$A:$A,'SKU Order Report '!L$1)</f>
        <v>0</v>
      </c>
      <c r="M121" s="3">
        <f>SUMIFS('Business - Dump'!$W:$W,'Business - Dump'!$D:$D,'SKU Order Report '!$C121,'Business - Dump'!$A:$A,'SKU Order Report '!M$1)</f>
        <v>0</v>
      </c>
      <c r="N121" s="3">
        <f>SUMIFS('Business - Dump'!$W:$W,'Business - Dump'!$D:$D,'SKU Order Report '!$C121,'Business - Dump'!$A:$A,'SKU Order Report '!N$1)</f>
        <v>0</v>
      </c>
      <c r="O121" s="3">
        <f>SUMIFS('Business - Dump'!$W:$W,'Business - Dump'!$D:$D,'SKU Order Report '!$C121,'Business - Dump'!$A:$A,'SKU Order Report '!O$1)</f>
        <v>0</v>
      </c>
      <c r="P121" s="3">
        <f>SUMIFS('Business - Dump'!$W:$W,'Business - Dump'!$D:$D,'SKU Order Report '!$C121,'Business - Dump'!$A:$A,'SKU Order Report '!P$1)</f>
        <v>0</v>
      </c>
      <c r="Q121" s="3">
        <f>SUMIFS('Business - Dump'!$W:$W,'Business - Dump'!$D:$D,'SKU Order Report '!$C121,'Business - Dump'!$A:$A,'SKU Order Report '!Q$1)</f>
        <v>1</v>
      </c>
      <c r="R121" s="3">
        <f>SUMIFS('Business - Dump'!$W:$W,'Business - Dump'!$D:$D,'SKU Order Report '!$C121,'Business - Dump'!$A:$A,'SKU Order Report '!R$1)</f>
        <v>6</v>
      </c>
      <c r="S121" s="3">
        <f>SUMIFS('Business - Dump'!$W:$W,'Business - Dump'!$D:$D,'SKU Order Report '!$C121,'Business - Dump'!$A:$A,'SKU Order Report '!S$1)</f>
        <v>16</v>
      </c>
      <c r="T121" s="3">
        <f>SUMIFS('Business - Dump'!$W:$W,'Business - Dump'!$D:$D,'SKU Order Report '!$C121,'Business - Dump'!$A:$A,'SKU Order Report '!T$1)</f>
        <v>14</v>
      </c>
    </row>
    <row r="122" ht="15.75" customHeight="1">
      <c r="A122" s="10" t="str">
        <f t="array" ref="A122">_xlfn.XLOOKUP(C122,'Business - Dump'!$D:$D,'Business - Dump'!$B:$B)</f>
        <v>Desk Cable Tray</v>
      </c>
      <c r="B122" s="10" t="str">
        <f t="array" ref="B122">_xlfn.XLOOKUP(C122,'Referanc '!$A:$A,'Referanc '!$D:$D)</f>
        <v/>
      </c>
      <c r="C122" s="68" t="s">
        <v>327</v>
      </c>
      <c r="D122" s="3">
        <f>SUMIFS('Business - Dump'!$W:$W,'Business - Dump'!$D:$D,'SKU Order Report '!$C122,'Business - Dump'!$A:$A,'SKU Order Report '!D$1)</f>
        <v>0</v>
      </c>
      <c r="E122" s="3">
        <f>SUMIFS('Business - Dump'!$W:$W,'Business - Dump'!$D:$D,'SKU Order Report '!$C122,'Business - Dump'!$A:$A,'SKU Order Report '!E$1)</f>
        <v>0</v>
      </c>
      <c r="F122" s="3">
        <f>SUMIFS('Business - Dump'!$W:$W,'Business - Dump'!$D:$D,'SKU Order Report '!$C122,'Business - Dump'!$A:$A,'SKU Order Report '!F$1)</f>
        <v>0</v>
      </c>
      <c r="G122" s="3">
        <f>SUMIFS('Business - Dump'!$W:$W,'Business - Dump'!$D:$D,'SKU Order Report '!$C122,'Business - Dump'!$A:$A,'SKU Order Report '!G$1)</f>
        <v>0</v>
      </c>
      <c r="H122" s="3">
        <f>SUMIFS('Business - Dump'!$W:$W,'Business - Dump'!$D:$D,'SKU Order Report '!$C122,'Business - Dump'!$A:$A,'SKU Order Report '!H$1)</f>
        <v>0</v>
      </c>
      <c r="I122" s="3">
        <f>SUMIFS('Business - Dump'!$W:$W,'Business - Dump'!$D:$D,'SKU Order Report '!$C122,'Business - Dump'!$A:$A,'SKU Order Report '!I$1)</f>
        <v>0</v>
      </c>
      <c r="J122" s="3">
        <f>SUMIFS('Business - Dump'!$W:$W,'Business - Dump'!$D:$D,'SKU Order Report '!$C122,'Business - Dump'!$A:$A,'SKU Order Report '!J$1)</f>
        <v>0</v>
      </c>
      <c r="K122" s="3">
        <f>SUMIFS('Business - Dump'!$W:$W,'Business - Dump'!$D:$D,'SKU Order Report '!$C122,'Business - Dump'!$A:$A,'SKU Order Report '!K$1)</f>
        <v>0</v>
      </c>
      <c r="L122" s="3">
        <f>SUMIFS('Business - Dump'!$W:$W,'Business - Dump'!$D:$D,'SKU Order Report '!$C122,'Business - Dump'!$A:$A,'SKU Order Report '!L$1)</f>
        <v>0</v>
      </c>
      <c r="M122" s="3">
        <f>SUMIFS('Business - Dump'!$W:$W,'Business - Dump'!$D:$D,'SKU Order Report '!$C122,'Business - Dump'!$A:$A,'SKU Order Report '!M$1)</f>
        <v>0</v>
      </c>
      <c r="N122" s="3">
        <f>SUMIFS('Business - Dump'!$W:$W,'Business - Dump'!$D:$D,'SKU Order Report '!$C122,'Business - Dump'!$A:$A,'SKU Order Report '!N$1)</f>
        <v>0</v>
      </c>
      <c r="O122" s="3">
        <f>SUMIFS('Business - Dump'!$W:$W,'Business - Dump'!$D:$D,'SKU Order Report '!$C122,'Business - Dump'!$A:$A,'SKU Order Report '!O$1)</f>
        <v>0</v>
      </c>
      <c r="P122" s="3">
        <f>SUMIFS('Business - Dump'!$W:$W,'Business - Dump'!$D:$D,'SKU Order Report '!$C122,'Business - Dump'!$A:$A,'SKU Order Report '!P$1)</f>
        <v>0</v>
      </c>
      <c r="Q122" s="3">
        <f>SUMIFS('Business - Dump'!$W:$W,'Business - Dump'!$D:$D,'SKU Order Report '!$C122,'Business - Dump'!$A:$A,'SKU Order Report '!Q$1)</f>
        <v>56</v>
      </c>
      <c r="R122" s="3">
        <f>SUMIFS('Business - Dump'!$W:$W,'Business - Dump'!$D:$D,'SKU Order Report '!$C122,'Business - Dump'!$A:$A,'SKU Order Report '!R$1)</f>
        <v>57</v>
      </c>
      <c r="S122" s="3">
        <f>SUMIFS('Business - Dump'!$W:$W,'Business - Dump'!$D:$D,'SKU Order Report '!$C122,'Business - Dump'!$A:$A,'SKU Order Report '!S$1)</f>
        <v>1</v>
      </c>
      <c r="T122" s="3">
        <f>SUMIFS('Business - Dump'!$W:$W,'Business - Dump'!$D:$D,'SKU Order Report '!$C122,'Business - Dump'!$A:$A,'SKU Order Report '!T$1)</f>
        <v>1</v>
      </c>
    </row>
    <row r="123" ht="15.75" customHeight="1">
      <c r="A123" s="10" t="str">
        <f t="array" ref="A123">_xlfn.XLOOKUP(C123,'Business - Dump'!$D:$D,'Business - Dump'!$B:$B)</f>
        <v>Desk Cable Tray</v>
      </c>
      <c r="B123" s="10" t="str">
        <f t="array" ref="B123">_xlfn.XLOOKUP(C123,'Referanc '!$A:$A,'Referanc '!$D:$D)</f>
        <v/>
      </c>
      <c r="C123" s="68" t="s">
        <v>329</v>
      </c>
      <c r="D123" s="3">
        <f>SUMIFS('Business - Dump'!$W:$W,'Business - Dump'!$D:$D,'SKU Order Report '!$C123,'Business - Dump'!$A:$A,'SKU Order Report '!D$1)</f>
        <v>0</v>
      </c>
      <c r="E123" s="3">
        <f>SUMIFS('Business - Dump'!$W:$W,'Business - Dump'!$D:$D,'SKU Order Report '!$C123,'Business - Dump'!$A:$A,'SKU Order Report '!E$1)</f>
        <v>0</v>
      </c>
      <c r="F123" s="3">
        <f>SUMIFS('Business - Dump'!$W:$W,'Business - Dump'!$D:$D,'SKU Order Report '!$C123,'Business - Dump'!$A:$A,'SKU Order Report '!F$1)</f>
        <v>0</v>
      </c>
      <c r="G123" s="3">
        <f>SUMIFS('Business - Dump'!$W:$W,'Business - Dump'!$D:$D,'SKU Order Report '!$C123,'Business - Dump'!$A:$A,'SKU Order Report '!G$1)</f>
        <v>0</v>
      </c>
      <c r="H123" s="3">
        <f>SUMIFS('Business - Dump'!$W:$W,'Business - Dump'!$D:$D,'SKU Order Report '!$C123,'Business - Dump'!$A:$A,'SKU Order Report '!H$1)</f>
        <v>0</v>
      </c>
      <c r="I123" s="3">
        <f>SUMIFS('Business - Dump'!$W:$W,'Business - Dump'!$D:$D,'SKU Order Report '!$C123,'Business - Dump'!$A:$A,'SKU Order Report '!I$1)</f>
        <v>0</v>
      </c>
      <c r="J123" s="3">
        <f>SUMIFS('Business - Dump'!$W:$W,'Business - Dump'!$D:$D,'SKU Order Report '!$C123,'Business - Dump'!$A:$A,'SKU Order Report '!J$1)</f>
        <v>0</v>
      </c>
      <c r="K123" s="3">
        <f>SUMIFS('Business - Dump'!$W:$W,'Business - Dump'!$D:$D,'SKU Order Report '!$C123,'Business - Dump'!$A:$A,'SKU Order Report '!K$1)</f>
        <v>0</v>
      </c>
      <c r="L123" s="3">
        <f>SUMIFS('Business - Dump'!$W:$W,'Business - Dump'!$D:$D,'SKU Order Report '!$C123,'Business - Dump'!$A:$A,'SKU Order Report '!L$1)</f>
        <v>0</v>
      </c>
      <c r="M123" s="3">
        <f>SUMIFS('Business - Dump'!$W:$W,'Business - Dump'!$D:$D,'SKU Order Report '!$C123,'Business - Dump'!$A:$A,'SKU Order Report '!M$1)</f>
        <v>0</v>
      </c>
      <c r="N123" s="3">
        <f>SUMIFS('Business - Dump'!$W:$W,'Business - Dump'!$D:$D,'SKU Order Report '!$C123,'Business - Dump'!$A:$A,'SKU Order Report '!N$1)</f>
        <v>0</v>
      </c>
      <c r="O123" s="3">
        <f>SUMIFS('Business - Dump'!$W:$W,'Business - Dump'!$D:$D,'SKU Order Report '!$C123,'Business - Dump'!$A:$A,'SKU Order Report '!O$1)</f>
        <v>0</v>
      </c>
      <c r="P123" s="3">
        <f>SUMIFS('Business - Dump'!$W:$W,'Business - Dump'!$D:$D,'SKU Order Report '!$C123,'Business - Dump'!$A:$A,'SKU Order Report '!P$1)</f>
        <v>0</v>
      </c>
      <c r="Q123" s="3">
        <f>SUMIFS('Business - Dump'!$W:$W,'Business - Dump'!$D:$D,'SKU Order Report '!$C123,'Business - Dump'!$A:$A,'SKU Order Report '!Q$1)</f>
        <v>13</v>
      </c>
      <c r="R123" s="3">
        <f>SUMIFS('Business - Dump'!$W:$W,'Business - Dump'!$D:$D,'SKU Order Report '!$C123,'Business - Dump'!$A:$A,'SKU Order Report '!R$1)</f>
        <v>35</v>
      </c>
      <c r="S123" s="3">
        <f>SUMIFS('Business - Dump'!$W:$W,'Business - Dump'!$D:$D,'SKU Order Report '!$C123,'Business - Dump'!$A:$A,'SKU Order Report '!S$1)</f>
        <v>29</v>
      </c>
      <c r="T123" s="3">
        <f>SUMIFS('Business - Dump'!$W:$W,'Business - Dump'!$D:$D,'SKU Order Report '!$C123,'Business - Dump'!$A:$A,'SKU Order Report '!T$1)</f>
        <v>8</v>
      </c>
    </row>
    <row r="124" ht="15.75" customHeight="1">
      <c r="A124" s="10" t="str">
        <f t="array" ref="A124">_xlfn.XLOOKUP(C124,'Business - Dump'!$D:$D,'Business - Dump'!$B:$B)</f>
        <v>Standing Table  - M14</v>
      </c>
      <c r="B124" s="10" t="str">
        <f t="array" ref="B124">_xlfn.XLOOKUP(C124,'Referanc '!$A:$A,'Referanc '!$D:$D)</f>
        <v/>
      </c>
      <c r="C124" s="68" t="s">
        <v>433</v>
      </c>
      <c r="D124" s="3">
        <f>SUMIFS('Business - Dump'!$W:$W,'Business - Dump'!$D:$D,'SKU Order Report '!$C124,'Business - Dump'!$A:$A,'SKU Order Report '!D$1)</f>
        <v>0</v>
      </c>
      <c r="E124" s="3">
        <f>SUMIFS('Business - Dump'!$W:$W,'Business - Dump'!$D:$D,'SKU Order Report '!$C124,'Business - Dump'!$A:$A,'SKU Order Report '!E$1)</f>
        <v>0</v>
      </c>
      <c r="F124" s="3">
        <f>SUMIFS('Business - Dump'!$W:$W,'Business - Dump'!$D:$D,'SKU Order Report '!$C124,'Business - Dump'!$A:$A,'SKU Order Report '!F$1)</f>
        <v>0</v>
      </c>
      <c r="G124" s="3">
        <f>SUMIFS('Business - Dump'!$W:$W,'Business - Dump'!$D:$D,'SKU Order Report '!$C124,'Business - Dump'!$A:$A,'SKU Order Report '!G$1)</f>
        <v>0</v>
      </c>
      <c r="H124" s="3">
        <f>SUMIFS('Business - Dump'!$W:$W,'Business - Dump'!$D:$D,'SKU Order Report '!$C124,'Business - Dump'!$A:$A,'SKU Order Report '!H$1)</f>
        <v>0</v>
      </c>
      <c r="I124" s="3">
        <f>SUMIFS('Business - Dump'!$W:$W,'Business - Dump'!$D:$D,'SKU Order Report '!$C124,'Business - Dump'!$A:$A,'SKU Order Report '!I$1)</f>
        <v>0</v>
      </c>
      <c r="J124" s="3">
        <f>SUMIFS('Business - Dump'!$W:$W,'Business - Dump'!$D:$D,'SKU Order Report '!$C124,'Business - Dump'!$A:$A,'SKU Order Report '!J$1)</f>
        <v>0</v>
      </c>
      <c r="K124" s="3">
        <f>SUMIFS('Business - Dump'!$W:$W,'Business - Dump'!$D:$D,'SKU Order Report '!$C124,'Business - Dump'!$A:$A,'SKU Order Report '!K$1)</f>
        <v>0</v>
      </c>
      <c r="L124" s="3">
        <f>SUMIFS('Business - Dump'!$W:$W,'Business - Dump'!$D:$D,'SKU Order Report '!$C124,'Business - Dump'!$A:$A,'SKU Order Report '!L$1)</f>
        <v>0</v>
      </c>
      <c r="M124" s="3">
        <f>SUMIFS('Business - Dump'!$W:$W,'Business - Dump'!$D:$D,'SKU Order Report '!$C124,'Business - Dump'!$A:$A,'SKU Order Report '!M$1)</f>
        <v>0</v>
      </c>
      <c r="N124" s="3">
        <f>SUMIFS('Business - Dump'!$W:$W,'Business - Dump'!$D:$D,'SKU Order Report '!$C124,'Business - Dump'!$A:$A,'SKU Order Report '!N$1)</f>
        <v>0</v>
      </c>
      <c r="O124" s="3">
        <f>SUMIFS('Business - Dump'!$W:$W,'Business - Dump'!$D:$D,'SKU Order Report '!$C124,'Business - Dump'!$A:$A,'SKU Order Report '!O$1)</f>
        <v>0</v>
      </c>
      <c r="P124" s="3">
        <f>SUMIFS('Business - Dump'!$W:$W,'Business - Dump'!$D:$D,'SKU Order Report '!$C124,'Business - Dump'!$A:$A,'SKU Order Report '!P$1)</f>
        <v>0</v>
      </c>
      <c r="Q124" s="3">
        <f>SUMIFS('Business - Dump'!$W:$W,'Business - Dump'!$D:$D,'SKU Order Report '!$C124,'Business - Dump'!$A:$A,'SKU Order Report '!Q$1)</f>
        <v>0</v>
      </c>
      <c r="R124" s="3">
        <f>SUMIFS('Business - Dump'!$W:$W,'Business - Dump'!$D:$D,'SKU Order Report '!$C124,'Business - Dump'!$A:$A,'SKU Order Report '!R$1)</f>
        <v>0</v>
      </c>
      <c r="S124" s="3">
        <f>SUMIFS('Business - Dump'!$W:$W,'Business - Dump'!$D:$D,'SKU Order Report '!$C124,'Business - Dump'!$A:$A,'SKU Order Report '!S$1)</f>
        <v>0</v>
      </c>
      <c r="T124" s="3">
        <f>SUMIFS('Business - Dump'!$W:$W,'Business - Dump'!$D:$D,'SKU Order Report '!$C124,'Business - Dump'!$A:$A,'SKU Order Report '!T$1)</f>
        <v>0</v>
      </c>
    </row>
    <row r="125" ht="15.75" customHeight="1">
      <c r="A125" s="10" t="str">
        <f t="array" ref="A125">_xlfn.XLOOKUP(C125,'Business - Dump'!$D:$D,'Business - Dump'!$B:$B)</f>
        <v>Standing Table  - M14</v>
      </c>
      <c r="B125" s="10" t="str">
        <f t="array" ref="B125">_xlfn.XLOOKUP(C125,'Referanc '!$A:$A,'Referanc '!$D:$D)</f>
        <v/>
      </c>
      <c r="C125" s="68" t="s">
        <v>435</v>
      </c>
      <c r="D125" s="3">
        <f>SUMIFS('Business - Dump'!$W:$W,'Business - Dump'!$D:$D,'SKU Order Report '!$C125,'Business - Dump'!$A:$A,'SKU Order Report '!D$1)</f>
        <v>0</v>
      </c>
      <c r="E125" s="3">
        <f>SUMIFS('Business - Dump'!$W:$W,'Business - Dump'!$D:$D,'SKU Order Report '!$C125,'Business - Dump'!$A:$A,'SKU Order Report '!E$1)</f>
        <v>0</v>
      </c>
      <c r="F125" s="3">
        <f>SUMIFS('Business - Dump'!$W:$W,'Business - Dump'!$D:$D,'SKU Order Report '!$C125,'Business - Dump'!$A:$A,'SKU Order Report '!F$1)</f>
        <v>0</v>
      </c>
      <c r="G125" s="3">
        <f>SUMIFS('Business - Dump'!$W:$W,'Business - Dump'!$D:$D,'SKU Order Report '!$C125,'Business - Dump'!$A:$A,'SKU Order Report '!G$1)</f>
        <v>0</v>
      </c>
      <c r="H125" s="3">
        <f>SUMIFS('Business - Dump'!$W:$W,'Business - Dump'!$D:$D,'SKU Order Report '!$C125,'Business - Dump'!$A:$A,'SKU Order Report '!H$1)</f>
        <v>0</v>
      </c>
      <c r="I125" s="3">
        <f>SUMIFS('Business - Dump'!$W:$W,'Business - Dump'!$D:$D,'SKU Order Report '!$C125,'Business - Dump'!$A:$A,'SKU Order Report '!I$1)</f>
        <v>0</v>
      </c>
      <c r="J125" s="3">
        <f>SUMIFS('Business - Dump'!$W:$W,'Business - Dump'!$D:$D,'SKU Order Report '!$C125,'Business - Dump'!$A:$A,'SKU Order Report '!J$1)</f>
        <v>0</v>
      </c>
      <c r="K125" s="3">
        <f>SUMIFS('Business - Dump'!$W:$W,'Business - Dump'!$D:$D,'SKU Order Report '!$C125,'Business - Dump'!$A:$A,'SKU Order Report '!K$1)</f>
        <v>0</v>
      </c>
      <c r="L125" s="3">
        <f>SUMIFS('Business - Dump'!$W:$W,'Business - Dump'!$D:$D,'SKU Order Report '!$C125,'Business - Dump'!$A:$A,'SKU Order Report '!L$1)</f>
        <v>0</v>
      </c>
      <c r="M125" s="3">
        <f>SUMIFS('Business - Dump'!$W:$W,'Business - Dump'!$D:$D,'SKU Order Report '!$C125,'Business - Dump'!$A:$A,'SKU Order Report '!M$1)</f>
        <v>0</v>
      </c>
      <c r="N125" s="3">
        <f>SUMIFS('Business - Dump'!$W:$W,'Business - Dump'!$D:$D,'SKU Order Report '!$C125,'Business - Dump'!$A:$A,'SKU Order Report '!N$1)</f>
        <v>0</v>
      </c>
      <c r="O125" s="3">
        <f>SUMIFS('Business - Dump'!$W:$W,'Business - Dump'!$D:$D,'SKU Order Report '!$C125,'Business - Dump'!$A:$A,'SKU Order Report '!O$1)</f>
        <v>0</v>
      </c>
      <c r="P125" s="3">
        <f>SUMIFS('Business - Dump'!$W:$W,'Business - Dump'!$D:$D,'SKU Order Report '!$C125,'Business - Dump'!$A:$A,'SKU Order Report '!P$1)</f>
        <v>0</v>
      </c>
      <c r="Q125" s="3">
        <f>SUMIFS('Business - Dump'!$W:$W,'Business - Dump'!$D:$D,'SKU Order Report '!$C125,'Business - Dump'!$A:$A,'SKU Order Report '!Q$1)</f>
        <v>0</v>
      </c>
      <c r="R125" s="3">
        <f>SUMIFS('Business - Dump'!$W:$W,'Business - Dump'!$D:$D,'SKU Order Report '!$C125,'Business - Dump'!$A:$A,'SKU Order Report '!R$1)</f>
        <v>1</v>
      </c>
      <c r="S125" s="3">
        <f>SUMIFS('Business - Dump'!$W:$W,'Business - Dump'!$D:$D,'SKU Order Report '!$C125,'Business - Dump'!$A:$A,'SKU Order Report '!S$1)</f>
        <v>2</v>
      </c>
      <c r="T125" s="3">
        <f>SUMIFS('Business - Dump'!$W:$W,'Business - Dump'!$D:$D,'SKU Order Report '!$C125,'Business - Dump'!$A:$A,'SKU Order Report '!T$1)</f>
        <v>2</v>
      </c>
    </row>
    <row r="126" ht="15.75" customHeight="1">
      <c r="A126" s="10" t="str">
        <f t="array" ref="A126">_xlfn.XLOOKUP(C126,'Business - Dump'!$D:$D,'Business - Dump'!$B:$B)</f>
        <v>Standing Table  - M14</v>
      </c>
      <c r="B126" s="10" t="str">
        <f t="array" ref="B126">_xlfn.XLOOKUP(C126,'Referanc '!$A:$A,'Referanc '!$D:$D)</f>
        <v/>
      </c>
      <c r="C126" s="68" t="s">
        <v>436</v>
      </c>
      <c r="D126" s="3">
        <f>SUMIFS('Business - Dump'!$W:$W,'Business - Dump'!$D:$D,'SKU Order Report '!$C126,'Business - Dump'!$A:$A,'SKU Order Report '!D$1)</f>
        <v>0</v>
      </c>
      <c r="E126" s="3">
        <f>SUMIFS('Business - Dump'!$W:$W,'Business - Dump'!$D:$D,'SKU Order Report '!$C126,'Business - Dump'!$A:$A,'SKU Order Report '!E$1)</f>
        <v>0</v>
      </c>
      <c r="F126" s="3">
        <f>SUMIFS('Business - Dump'!$W:$W,'Business - Dump'!$D:$D,'SKU Order Report '!$C126,'Business - Dump'!$A:$A,'SKU Order Report '!F$1)</f>
        <v>0</v>
      </c>
      <c r="G126" s="3">
        <f>SUMIFS('Business - Dump'!$W:$W,'Business - Dump'!$D:$D,'SKU Order Report '!$C126,'Business - Dump'!$A:$A,'SKU Order Report '!G$1)</f>
        <v>0</v>
      </c>
      <c r="H126" s="3">
        <f>SUMIFS('Business - Dump'!$W:$W,'Business - Dump'!$D:$D,'SKU Order Report '!$C126,'Business - Dump'!$A:$A,'SKU Order Report '!H$1)</f>
        <v>0</v>
      </c>
      <c r="I126" s="3">
        <f>SUMIFS('Business - Dump'!$W:$W,'Business - Dump'!$D:$D,'SKU Order Report '!$C126,'Business - Dump'!$A:$A,'SKU Order Report '!I$1)</f>
        <v>0</v>
      </c>
      <c r="J126" s="3">
        <f>SUMIFS('Business - Dump'!$W:$W,'Business - Dump'!$D:$D,'SKU Order Report '!$C126,'Business - Dump'!$A:$A,'SKU Order Report '!J$1)</f>
        <v>0</v>
      </c>
      <c r="K126" s="3">
        <f>SUMIFS('Business - Dump'!$W:$W,'Business - Dump'!$D:$D,'SKU Order Report '!$C126,'Business - Dump'!$A:$A,'SKU Order Report '!K$1)</f>
        <v>0</v>
      </c>
      <c r="L126" s="3">
        <f>SUMIFS('Business - Dump'!$W:$W,'Business - Dump'!$D:$D,'SKU Order Report '!$C126,'Business - Dump'!$A:$A,'SKU Order Report '!L$1)</f>
        <v>0</v>
      </c>
      <c r="M126" s="3">
        <f>SUMIFS('Business - Dump'!$W:$W,'Business - Dump'!$D:$D,'SKU Order Report '!$C126,'Business - Dump'!$A:$A,'SKU Order Report '!M$1)</f>
        <v>0</v>
      </c>
      <c r="N126" s="3">
        <f>SUMIFS('Business - Dump'!$W:$W,'Business - Dump'!$D:$D,'SKU Order Report '!$C126,'Business - Dump'!$A:$A,'SKU Order Report '!N$1)</f>
        <v>0</v>
      </c>
      <c r="O126" s="3">
        <f>SUMIFS('Business - Dump'!$W:$W,'Business - Dump'!$D:$D,'SKU Order Report '!$C126,'Business - Dump'!$A:$A,'SKU Order Report '!O$1)</f>
        <v>0</v>
      </c>
      <c r="P126" s="3">
        <f>SUMIFS('Business - Dump'!$W:$W,'Business - Dump'!$D:$D,'SKU Order Report '!$C126,'Business - Dump'!$A:$A,'SKU Order Report '!P$1)</f>
        <v>0</v>
      </c>
      <c r="Q126" s="3">
        <f>SUMIFS('Business - Dump'!$W:$W,'Business - Dump'!$D:$D,'SKU Order Report '!$C126,'Business - Dump'!$A:$A,'SKU Order Report '!Q$1)</f>
        <v>0</v>
      </c>
      <c r="R126" s="3">
        <f>SUMIFS('Business - Dump'!$W:$W,'Business - Dump'!$D:$D,'SKU Order Report '!$C126,'Business - Dump'!$A:$A,'SKU Order Report '!R$1)</f>
        <v>2</v>
      </c>
      <c r="S126" s="3">
        <f>SUMIFS('Business - Dump'!$W:$W,'Business - Dump'!$D:$D,'SKU Order Report '!$C126,'Business - Dump'!$A:$A,'SKU Order Report '!S$1)</f>
        <v>4</v>
      </c>
      <c r="T126" s="3">
        <f>SUMIFS('Business - Dump'!$W:$W,'Business - Dump'!$D:$D,'SKU Order Report '!$C126,'Business - Dump'!$A:$A,'SKU Order Report '!T$1)</f>
        <v>0</v>
      </c>
    </row>
    <row r="127" ht="15.75" customHeight="1">
      <c r="A127" s="10" t="str">
        <f t="array" ref="A127">_xlfn.XLOOKUP(C127,'Business - Dump'!$D:$D,'Business - Dump'!$B:$B)</f>
        <v>Standing Table  - M14</v>
      </c>
      <c r="B127" s="10" t="str">
        <f t="array" ref="B127">_xlfn.XLOOKUP(C127,'Referanc '!$A:$A,'Referanc '!$D:$D)</f>
        <v/>
      </c>
      <c r="C127" s="68" t="s">
        <v>437</v>
      </c>
      <c r="D127" s="3">
        <f>SUMIFS('Business - Dump'!$W:$W,'Business - Dump'!$D:$D,'SKU Order Report '!$C127,'Business - Dump'!$A:$A,'SKU Order Report '!D$1)</f>
        <v>0</v>
      </c>
      <c r="E127" s="3">
        <f>SUMIFS('Business - Dump'!$W:$W,'Business - Dump'!$D:$D,'SKU Order Report '!$C127,'Business - Dump'!$A:$A,'SKU Order Report '!E$1)</f>
        <v>0</v>
      </c>
      <c r="F127" s="3">
        <f>SUMIFS('Business - Dump'!$W:$W,'Business - Dump'!$D:$D,'SKU Order Report '!$C127,'Business - Dump'!$A:$A,'SKU Order Report '!F$1)</f>
        <v>0</v>
      </c>
      <c r="G127" s="3">
        <f>SUMIFS('Business - Dump'!$W:$W,'Business - Dump'!$D:$D,'SKU Order Report '!$C127,'Business - Dump'!$A:$A,'SKU Order Report '!G$1)</f>
        <v>0</v>
      </c>
      <c r="H127" s="3">
        <f>SUMIFS('Business - Dump'!$W:$W,'Business - Dump'!$D:$D,'SKU Order Report '!$C127,'Business - Dump'!$A:$A,'SKU Order Report '!H$1)</f>
        <v>0</v>
      </c>
      <c r="I127" s="3">
        <f>SUMIFS('Business - Dump'!$W:$W,'Business - Dump'!$D:$D,'SKU Order Report '!$C127,'Business - Dump'!$A:$A,'SKU Order Report '!I$1)</f>
        <v>0</v>
      </c>
      <c r="J127" s="3">
        <f>SUMIFS('Business - Dump'!$W:$W,'Business - Dump'!$D:$D,'SKU Order Report '!$C127,'Business - Dump'!$A:$A,'SKU Order Report '!J$1)</f>
        <v>0</v>
      </c>
      <c r="K127" s="3">
        <f>SUMIFS('Business - Dump'!$W:$W,'Business - Dump'!$D:$D,'SKU Order Report '!$C127,'Business - Dump'!$A:$A,'SKU Order Report '!K$1)</f>
        <v>0</v>
      </c>
      <c r="L127" s="3">
        <f>SUMIFS('Business - Dump'!$W:$W,'Business - Dump'!$D:$D,'SKU Order Report '!$C127,'Business - Dump'!$A:$A,'SKU Order Report '!L$1)</f>
        <v>0</v>
      </c>
      <c r="M127" s="3">
        <f>SUMIFS('Business - Dump'!$W:$W,'Business - Dump'!$D:$D,'SKU Order Report '!$C127,'Business - Dump'!$A:$A,'SKU Order Report '!M$1)</f>
        <v>0</v>
      </c>
      <c r="N127" s="3">
        <f>SUMIFS('Business - Dump'!$W:$W,'Business - Dump'!$D:$D,'SKU Order Report '!$C127,'Business - Dump'!$A:$A,'SKU Order Report '!N$1)</f>
        <v>0</v>
      </c>
      <c r="O127" s="3">
        <f>SUMIFS('Business - Dump'!$W:$W,'Business - Dump'!$D:$D,'SKU Order Report '!$C127,'Business - Dump'!$A:$A,'SKU Order Report '!O$1)</f>
        <v>0</v>
      </c>
      <c r="P127" s="3">
        <f>SUMIFS('Business - Dump'!$W:$W,'Business - Dump'!$D:$D,'SKU Order Report '!$C127,'Business - Dump'!$A:$A,'SKU Order Report '!P$1)</f>
        <v>0</v>
      </c>
      <c r="Q127" s="3">
        <f>SUMIFS('Business - Dump'!$W:$W,'Business - Dump'!$D:$D,'SKU Order Report '!$C127,'Business - Dump'!$A:$A,'SKU Order Report '!Q$1)</f>
        <v>0</v>
      </c>
      <c r="R127" s="3">
        <f>SUMIFS('Business - Dump'!$W:$W,'Business - Dump'!$D:$D,'SKU Order Report '!$C127,'Business - Dump'!$A:$A,'SKU Order Report '!R$1)</f>
        <v>4</v>
      </c>
      <c r="S127" s="3">
        <f>SUMIFS('Business - Dump'!$W:$W,'Business - Dump'!$D:$D,'SKU Order Report '!$C127,'Business - Dump'!$A:$A,'SKU Order Report '!S$1)</f>
        <v>6</v>
      </c>
      <c r="T127" s="3">
        <f>SUMIFS('Business - Dump'!$W:$W,'Business - Dump'!$D:$D,'SKU Order Report '!$C127,'Business - Dump'!$A:$A,'SKU Order Report '!T$1)</f>
        <v>5</v>
      </c>
    </row>
    <row r="128" ht="15.75" customHeight="1">
      <c r="A128" s="10" t="str">
        <f t="array" ref="A128">_xlfn.XLOOKUP(C128,'Business - Dump'!$D:$D,'Business - Dump'!$B:$B)</f>
        <v>Standing Table  - M14</v>
      </c>
      <c r="B128" s="10" t="str">
        <f t="array" ref="B128">_xlfn.XLOOKUP(C128,'Referanc '!$A:$A,'Referanc '!$D:$D)</f>
        <v/>
      </c>
      <c r="C128" s="68" t="s">
        <v>438</v>
      </c>
      <c r="D128" s="3">
        <f>SUMIFS('Business - Dump'!$W:$W,'Business - Dump'!$D:$D,'SKU Order Report '!$C128,'Business - Dump'!$A:$A,'SKU Order Report '!D$1)</f>
        <v>0</v>
      </c>
      <c r="E128" s="3">
        <f>SUMIFS('Business - Dump'!$W:$W,'Business - Dump'!$D:$D,'SKU Order Report '!$C128,'Business - Dump'!$A:$A,'SKU Order Report '!E$1)</f>
        <v>0</v>
      </c>
      <c r="F128" s="3">
        <f>SUMIFS('Business - Dump'!$W:$W,'Business - Dump'!$D:$D,'SKU Order Report '!$C128,'Business - Dump'!$A:$A,'SKU Order Report '!F$1)</f>
        <v>0</v>
      </c>
      <c r="G128" s="3">
        <f>SUMIFS('Business - Dump'!$W:$W,'Business - Dump'!$D:$D,'SKU Order Report '!$C128,'Business - Dump'!$A:$A,'SKU Order Report '!G$1)</f>
        <v>0</v>
      </c>
      <c r="H128" s="3">
        <f>SUMIFS('Business - Dump'!$W:$W,'Business - Dump'!$D:$D,'SKU Order Report '!$C128,'Business - Dump'!$A:$A,'SKU Order Report '!H$1)</f>
        <v>0</v>
      </c>
      <c r="I128" s="3">
        <f>SUMIFS('Business - Dump'!$W:$W,'Business - Dump'!$D:$D,'SKU Order Report '!$C128,'Business - Dump'!$A:$A,'SKU Order Report '!I$1)</f>
        <v>0</v>
      </c>
      <c r="J128" s="3">
        <f>SUMIFS('Business - Dump'!$W:$W,'Business - Dump'!$D:$D,'SKU Order Report '!$C128,'Business - Dump'!$A:$A,'SKU Order Report '!J$1)</f>
        <v>0</v>
      </c>
      <c r="K128" s="3">
        <f>SUMIFS('Business - Dump'!$W:$W,'Business - Dump'!$D:$D,'SKU Order Report '!$C128,'Business - Dump'!$A:$A,'SKU Order Report '!K$1)</f>
        <v>0</v>
      </c>
      <c r="L128" s="3">
        <f>SUMIFS('Business - Dump'!$W:$W,'Business - Dump'!$D:$D,'SKU Order Report '!$C128,'Business - Dump'!$A:$A,'SKU Order Report '!L$1)</f>
        <v>0</v>
      </c>
      <c r="M128" s="3">
        <f>SUMIFS('Business - Dump'!$W:$W,'Business - Dump'!$D:$D,'SKU Order Report '!$C128,'Business - Dump'!$A:$A,'SKU Order Report '!M$1)</f>
        <v>0</v>
      </c>
      <c r="N128" s="3">
        <f>SUMIFS('Business - Dump'!$W:$W,'Business - Dump'!$D:$D,'SKU Order Report '!$C128,'Business - Dump'!$A:$A,'SKU Order Report '!N$1)</f>
        <v>0</v>
      </c>
      <c r="O128" s="3">
        <f>SUMIFS('Business - Dump'!$W:$W,'Business - Dump'!$D:$D,'SKU Order Report '!$C128,'Business - Dump'!$A:$A,'SKU Order Report '!O$1)</f>
        <v>0</v>
      </c>
      <c r="P128" s="3">
        <f>SUMIFS('Business - Dump'!$W:$W,'Business - Dump'!$D:$D,'SKU Order Report '!$C128,'Business - Dump'!$A:$A,'SKU Order Report '!P$1)</f>
        <v>0</v>
      </c>
      <c r="Q128" s="3">
        <f>SUMIFS('Business - Dump'!$W:$W,'Business - Dump'!$D:$D,'SKU Order Report '!$C128,'Business - Dump'!$A:$A,'SKU Order Report '!Q$1)</f>
        <v>0</v>
      </c>
      <c r="R128" s="3">
        <f>SUMIFS('Business - Dump'!$W:$W,'Business - Dump'!$D:$D,'SKU Order Report '!$C128,'Business - Dump'!$A:$A,'SKU Order Report '!R$1)</f>
        <v>0</v>
      </c>
      <c r="S128" s="3">
        <f>SUMIFS('Business - Dump'!$W:$W,'Business - Dump'!$D:$D,'SKU Order Report '!$C128,'Business - Dump'!$A:$A,'SKU Order Report '!S$1)</f>
        <v>0</v>
      </c>
      <c r="T128" s="3">
        <f>SUMIFS('Business - Dump'!$W:$W,'Business - Dump'!$D:$D,'SKU Order Report '!$C128,'Business - Dump'!$A:$A,'SKU Order Report '!T$1)</f>
        <v>0</v>
      </c>
    </row>
    <row r="129" ht="15.75" customHeight="1">
      <c r="A129" s="10" t="str">
        <f t="array" ref="A129">_xlfn.XLOOKUP(C129,'Business - Dump'!$D:$D,'Business - Dump'!$B:$B)</f>
        <v>Standing Table  - M14</v>
      </c>
      <c r="B129" s="10" t="str">
        <f t="array" ref="B129">_xlfn.XLOOKUP(C129,'Referanc '!$A:$A,'Referanc '!$D:$D)</f>
        <v/>
      </c>
      <c r="C129" s="68" t="s">
        <v>439</v>
      </c>
      <c r="D129" s="3">
        <f>SUMIFS('Business - Dump'!$W:$W,'Business - Dump'!$D:$D,'SKU Order Report '!$C129,'Business - Dump'!$A:$A,'SKU Order Report '!D$1)</f>
        <v>0</v>
      </c>
      <c r="E129" s="3">
        <f>SUMIFS('Business - Dump'!$W:$W,'Business - Dump'!$D:$D,'SKU Order Report '!$C129,'Business - Dump'!$A:$A,'SKU Order Report '!E$1)</f>
        <v>0</v>
      </c>
      <c r="F129" s="3">
        <f>SUMIFS('Business - Dump'!$W:$W,'Business - Dump'!$D:$D,'SKU Order Report '!$C129,'Business - Dump'!$A:$A,'SKU Order Report '!F$1)</f>
        <v>0</v>
      </c>
      <c r="G129" s="3">
        <f>SUMIFS('Business - Dump'!$W:$W,'Business - Dump'!$D:$D,'SKU Order Report '!$C129,'Business - Dump'!$A:$A,'SKU Order Report '!G$1)</f>
        <v>0</v>
      </c>
      <c r="H129" s="3">
        <f>SUMIFS('Business - Dump'!$W:$W,'Business - Dump'!$D:$D,'SKU Order Report '!$C129,'Business - Dump'!$A:$A,'SKU Order Report '!H$1)</f>
        <v>0</v>
      </c>
      <c r="I129" s="3">
        <f>SUMIFS('Business - Dump'!$W:$W,'Business - Dump'!$D:$D,'SKU Order Report '!$C129,'Business - Dump'!$A:$A,'SKU Order Report '!I$1)</f>
        <v>0</v>
      </c>
      <c r="J129" s="3">
        <f>SUMIFS('Business - Dump'!$W:$W,'Business - Dump'!$D:$D,'SKU Order Report '!$C129,'Business - Dump'!$A:$A,'SKU Order Report '!J$1)</f>
        <v>0</v>
      </c>
      <c r="K129" s="3">
        <f>SUMIFS('Business - Dump'!$W:$W,'Business - Dump'!$D:$D,'SKU Order Report '!$C129,'Business - Dump'!$A:$A,'SKU Order Report '!K$1)</f>
        <v>0</v>
      </c>
      <c r="L129" s="3">
        <f>SUMIFS('Business - Dump'!$W:$W,'Business - Dump'!$D:$D,'SKU Order Report '!$C129,'Business - Dump'!$A:$A,'SKU Order Report '!L$1)</f>
        <v>0</v>
      </c>
      <c r="M129" s="3">
        <f>SUMIFS('Business - Dump'!$W:$W,'Business - Dump'!$D:$D,'SKU Order Report '!$C129,'Business - Dump'!$A:$A,'SKU Order Report '!M$1)</f>
        <v>0</v>
      </c>
      <c r="N129" s="3">
        <f>SUMIFS('Business - Dump'!$W:$W,'Business - Dump'!$D:$D,'SKU Order Report '!$C129,'Business - Dump'!$A:$A,'SKU Order Report '!N$1)</f>
        <v>0</v>
      </c>
      <c r="O129" s="3">
        <f>SUMIFS('Business - Dump'!$W:$W,'Business - Dump'!$D:$D,'SKU Order Report '!$C129,'Business - Dump'!$A:$A,'SKU Order Report '!O$1)</f>
        <v>0</v>
      </c>
      <c r="P129" s="3">
        <f>SUMIFS('Business - Dump'!$W:$W,'Business - Dump'!$D:$D,'SKU Order Report '!$C129,'Business - Dump'!$A:$A,'SKU Order Report '!P$1)</f>
        <v>0</v>
      </c>
      <c r="Q129" s="3">
        <f>SUMIFS('Business - Dump'!$W:$W,'Business - Dump'!$D:$D,'SKU Order Report '!$C129,'Business - Dump'!$A:$A,'SKU Order Report '!Q$1)</f>
        <v>0</v>
      </c>
      <c r="R129" s="3">
        <f>SUMIFS('Business - Dump'!$W:$W,'Business - Dump'!$D:$D,'SKU Order Report '!$C129,'Business - Dump'!$A:$A,'SKU Order Report '!R$1)</f>
        <v>0</v>
      </c>
      <c r="S129" s="3">
        <f>SUMIFS('Business - Dump'!$W:$W,'Business - Dump'!$D:$D,'SKU Order Report '!$C129,'Business - Dump'!$A:$A,'SKU Order Report '!S$1)</f>
        <v>0</v>
      </c>
      <c r="T129" s="3">
        <f>SUMIFS('Business - Dump'!$W:$W,'Business - Dump'!$D:$D,'SKU Order Report '!$C129,'Business - Dump'!$A:$A,'SKU Order Report '!T$1)</f>
        <v>0</v>
      </c>
    </row>
    <row r="130" ht="15.75" customHeight="1">
      <c r="A130" s="10" t="str">
        <f t="array" ref="A130">_xlfn.XLOOKUP(C130,'Business - Dump'!$D:$D,'Business - Dump'!$B:$B)</f>
        <v>Standing Table  - M14</v>
      </c>
      <c r="B130" s="10" t="str">
        <f t="array" ref="B130">_xlfn.XLOOKUP(C130,'Referanc '!$A:$A,'Referanc '!$D:$D)</f>
        <v/>
      </c>
      <c r="C130" s="68" t="s">
        <v>440</v>
      </c>
      <c r="D130" s="3">
        <f>SUMIFS('Business - Dump'!$W:$W,'Business - Dump'!$D:$D,'SKU Order Report '!$C130,'Business - Dump'!$A:$A,'SKU Order Report '!D$1)</f>
        <v>0</v>
      </c>
      <c r="E130" s="3">
        <f>SUMIFS('Business - Dump'!$W:$W,'Business - Dump'!$D:$D,'SKU Order Report '!$C130,'Business - Dump'!$A:$A,'SKU Order Report '!E$1)</f>
        <v>0</v>
      </c>
      <c r="F130" s="3">
        <f>SUMIFS('Business - Dump'!$W:$W,'Business - Dump'!$D:$D,'SKU Order Report '!$C130,'Business - Dump'!$A:$A,'SKU Order Report '!F$1)</f>
        <v>0</v>
      </c>
      <c r="G130" s="3">
        <f>SUMIFS('Business - Dump'!$W:$W,'Business - Dump'!$D:$D,'SKU Order Report '!$C130,'Business - Dump'!$A:$A,'SKU Order Report '!G$1)</f>
        <v>0</v>
      </c>
      <c r="H130" s="3">
        <f>SUMIFS('Business - Dump'!$W:$W,'Business - Dump'!$D:$D,'SKU Order Report '!$C130,'Business - Dump'!$A:$A,'SKU Order Report '!H$1)</f>
        <v>0</v>
      </c>
      <c r="I130" s="3">
        <f>SUMIFS('Business - Dump'!$W:$W,'Business - Dump'!$D:$D,'SKU Order Report '!$C130,'Business - Dump'!$A:$A,'SKU Order Report '!I$1)</f>
        <v>0</v>
      </c>
      <c r="J130" s="3">
        <f>SUMIFS('Business - Dump'!$W:$W,'Business - Dump'!$D:$D,'SKU Order Report '!$C130,'Business - Dump'!$A:$A,'SKU Order Report '!J$1)</f>
        <v>0</v>
      </c>
      <c r="K130" s="3">
        <f>SUMIFS('Business - Dump'!$W:$W,'Business - Dump'!$D:$D,'SKU Order Report '!$C130,'Business - Dump'!$A:$A,'SKU Order Report '!K$1)</f>
        <v>0</v>
      </c>
      <c r="L130" s="3">
        <f>SUMIFS('Business - Dump'!$W:$W,'Business - Dump'!$D:$D,'SKU Order Report '!$C130,'Business - Dump'!$A:$A,'SKU Order Report '!L$1)</f>
        <v>0</v>
      </c>
      <c r="M130" s="3">
        <f>SUMIFS('Business - Dump'!$W:$W,'Business - Dump'!$D:$D,'SKU Order Report '!$C130,'Business - Dump'!$A:$A,'SKU Order Report '!M$1)</f>
        <v>0</v>
      </c>
      <c r="N130" s="3">
        <f>SUMIFS('Business - Dump'!$W:$W,'Business - Dump'!$D:$D,'SKU Order Report '!$C130,'Business - Dump'!$A:$A,'SKU Order Report '!N$1)</f>
        <v>0</v>
      </c>
      <c r="O130" s="3">
        <f>SUMIFS('Business - Dump'!$W:$W,'Business - Dump'!$D:$D,'SKU Order Report '!$C130,'Business - Dump'!$A:$A,'SKU Order Report '!O$1)</f>
        <v>0</v>
      </c>
      <c r="P130" s="3">
        <f>SUMIFS('Business - Dump'!$W:$W,'Business - Dump'!$D:$D,'SKU Order Report '!$C130,'Business - Dump'!$A:$A,'SKU Order Report '!P$1)</f>
        <v>0</v>
      </c>
      <c r="Q130" s="3">
        <f>SUMIFS('Business - Dump'!$W:$W,'Business - Dump'!$D:$D,'SKU Order Report '!$C130,'Business - Dump'!$A:$A,'SKU Order Report '!Q$1)</f>
        <v>0</v>
      </c>
      <c r="R130" s="3">
        <f>SUMIFS('Business - Dump'!$W:$W,'Business - Dump'!$D:$D,'SKU Order Report '!$C130,'Business - Dump'!$A:$A,'SKU Order Report '!R$1)</f>
        <v>0</v>
      </c>
      <c r="S130" s="3">
        <f>SUMIFS('Business - Dump'!$W:$W,'Business - Dump'!$D:$D,'SKU Order Report '!$C130,'Business - Dump'!$A:$A,'SKU Order Report '!S$1)</f>
        <v>0</v>
      </c>
      <c r="T130" s="3">
        <f>SUMIFS('Business - Dump'!$W:$W,'Business - Dump'!$D:$D,'SKU Order Report '!$C130,'Business - Dump'!$A:$A,'SKU Order Report '!T$1)</f>
        <v>0</v>
      </c>
    </row>
    <row r="131" ht="15.75" customHeight="1">
      <c r="A131" s="10" t="str">
        <f t="array" ref="A131">_xlfn.XLOOKUP(C131,'Business - Dump'!$D:$D,'Business - Dump'!$B:$B)</f>
        <v>Standing Table  - M14</v>
      </c>
      <c r="B131" s="10" t="str">
        <f t="array" ref="B131">_xlfn.XLOOKUP(C131,'Referanc '!$A:$A,'Referanc '!$D:$D)</f>
        <v/>
      </c>
      <c r="C131" s="68" t="s">
        <v>441</v>
      </c>
      <c r="D131" s="3">
        <f>SUMIFS('Business - Dump'!$W:$W,'Business - Dump'!$D:$D,'SKU Order Report '!$C131,'Business - Dump'!$A:$A,'SKU Order Report '!D$1)</f>
        <v>0</v>
      </c>
      <c r="E131" s="3">
        <f>SUMIFS('Business - Dump'!$W:$W,'Business - Dump'!$D:$D,'SKU Order Report '!$C131,'Business - Dump'!$A:$A,'SKU Order Report '!E$1)</f>
        <v>0</v>
      </c>
      <c r="F131" s="3">
        <f>SUMIFS('Business - Dump'!$W:$W,'Business - Dump'!$D:$D,'SKU Order Report '!$C131,'Business - Dump'!$A:$A,'SKU Order Report '!F$1)</f>
        <v>0</v>
      </c>
      <c r="G131" s="3">
        <f>SUMIFS('Business - Dump'!$W:$W,'Business - Dump'!$D:$D,'SKU Order Report '!$C131,'Business - Dump'!$A:$A,'SKU Order Report '!G$1)</f>
        <v>0</v>
      </c>
      <c r="H131" s="3">
        <f>SUMIFS('Business - Dump'!$W:$W,'Business - Dump'!$D:$D,'SKU Order Report '!$C131,'Business - Dump'!$A:$A,'SKU Order Report '!H$1)</f>
        <v>0</v>
      </c>
      <c r="I131" s="3">
        <f>SUMIFS('Business - Dump'!$W:$W,'Business - Dump'!$D:$D,'SKU Order Report '!$C131,'Business - Dump'!$A:$A,'SKU Order Report '!I$1)</f>
        <v>0</v>
      </c>
      <c r="J131" s="3">
        <f>SUMIFS('Business - Dump'!$W:$W,'Business - Dump'!$D:$D,'SKU Order Report '!$C131,'Business - Dump'!$A:$A,'SKU Order Report '!J$1)</f>
        <v>0</v>
      </c>
      <c r="K131" s="3">
        <f>SUMIFS('Business - Dump'!$W:$W,'Business - Dump'!$D:$D,'SKU Order Report '!$C131,'Business - Dump'!$A:$A,'SKU Order Report '!K$1)</f>
        <v>0</v>
      </c>
      <c r="L131" s="3">
        <f>SUMIFS('Business - Dump'!$W:$W,'Business - Dump'!$D:$D,'SKU Order Report '!$C131,'Business - Dump'!$A:$A,'SKU Order Report '!L$1)</f>
        <v>0</v>
      </c>
      <c r="M131" s="3">
        <f>SUMIFS('Business - Dump'!$W:$W,'Business - Dump'!$D:$D,'SKU Order Report '!$C131,'Business - Dump'!$A:$A,'SKU Order Report '!M$1)</f>
        <v>0</v>
      </c>
      <c r="N131" s="3">
        <f>SUMIFS('Business - Dump'!$W:$W,'Business - Dump'!$D:$D,'SKU Order Report '!$C131,'Business - Dump'!$A:$A,'SKU Order Report '!N$1)</f>
        <v>0</v>
      </c>
      <c r="O131" s="3">
        <f>SUMIFS('Business - Dump'!$W:$W,'Business - Dump'!$D:$D,'SKU Order Report '!$C131,'Business - Dump'!$A:$A,'SKU Order Report '!O$1)</f>
        <v>0</v>
      </c>
      <c r="P131" s="3">
        <f>SUMIFS('Business - Dump'!$W:$W,'Business - Dump'!$D:$D,'SKU Order Report '!$C131,'Business - Dump'!$A:$A,'SKU Order Report '!P$1)</f>
        <v>0</v>
      </c>
      <c r="Q131" s="3">
        <f>SUMIFS('Business - Dump'!$W:$W,'Business - Dump'!$D:$D,'SKU Order Report '!$C131,'Business - Dump'!$A:$A,'SKU Order Report '!Q$1)</f>
        <v>0</v>
      </c>
      <c r="R131" s="3">
        <f>SUMIFS('Business - Dump'!$W:$W,'Business - Dump'!$D:$D,'SKU Order Report '!$C131,'Business - Dump'!$A:$A,'SKU Order Report '!R$1)</f>
        <v>0</v>
      </c>
      <c r="S131" s="3">
        <f>SUMIFS('Business - Dump'!$W:$W,'Business - Dump'!$D:$D,'SKU Order Report '!$C131,'Business - Dump'!$A:$A,'SKU Order Report '!S$1)</f>
        <v>0</v>
      </c>
      <c r="T131" s="3">
        <f>SUMIFS('Business - Dump'!$W:$W,'Business - Dump'!$D:$D,'SKU Order Report '!$C131,'Business - Dump'!$A:$A,'SKU Order Report '!T$1)</f>
        <v>2</v>
      </c>
    </row>
    <row r="132" ht="15.75" customHeight="1">
      <c r="A132" s="10" t="str">
        <f t="array" ref="A132">_xlfn.XLOOKUP(C132,'Business - Dump'!$D:$D,'Business - Dump'!$B:$B)</f>
        <v>Standing Table  - M14</v>
      </c>
      <c r="B132" s="10" t="str">
        <f t="array" ref="B132">_xlfn.XLOOKUP(C132,'Referanc '!$A:$A,'Referanc '!$D:$D)</f>
        <v/>
      </c>
      <c r="C132" s="68" t="s">
        <v>442</v>
      </c>
      <c r="D132" s="3">
        <f>SUMIFS('Business - Dump'!$W:$W,'Business - Dump'!$D:$D,'SKU Order Report '!$C132,'Business - Dump'!$A:$A,'SKU Order Report '!D$1)</f>
        <v>0</v>
      </c>
      <c r="E132" s="3">
        <f>SUMIFS('Business - Dump'!$W:$W,'Business - Dump'!$D:$D,'SKU Order Report '!$C132,'Business - Dump'!$A:$A,'SKU Order Report '!E$1)</f>
        <v>0</v>
      </c>
      <c r="F132" s="3">
        <f>SUMIFS('Business - Dump'!$W:$W,'Business - Dump'!$D:$D,'SKU Order Report '!$C132,'Business - Dump'!$A:$A,'SKU Order Report '!F$1)</f>
        <v>0</v>
      </c>
      <c r="G132" s="3">
        <f>SUMIFS('Business - Dump'!$W:$W,'Business - Dump'!$D:$D,'SKU Order Report '!$C132,'Business - Dump'!$A:$A,'SKU Order Report '!G$1)</f>
        <v>0</v>
      </c>
      <c r="H132" s="3">
        <f>SUMIFS('Business - Dump'!$W:$W,'Business - Dump'!$D:$D,'SKU Order Report '!$C132,'Business - Dump'!$A:$A,'SKU Order Report '!H$1)</f>
        <v>0</v>
      </c>
      <c r="I132" s="3">
        <f>SUMIFS('Business - Dump'!$W:$W,'Business - Dump'!$D:$D,'SKU Order Report '!$C132,'Business - Dump'!$A:$A,'SKU Order Report '!I$1)</f>
        <v>0</v>
      </c>
      <c r="J132" s="3">
        <f>SUMIFS('Business - Dump'!$W:$W,'Business - Dump'!$D:$D,'SKU Order Report '!$C132,'Business - Dump'!$A:$A,'SKU Order Report '!J$1)</f>
        <v>0</v>
      </c>
      <c r="K132" s="3">
        <f>SUMIFS('Business - Dump'!$W:$W,'Business - Dump'!$D:$D,'SKU Order Report '!$C132,'Business - Dump'!$A:$A,'SKU Order Report '!K$1)</f>
        <v>0</v>
      </c>
      <c r="L132" s="3">
        <f>SUMIFS('Business - Dump'!$W:$W,'Business - Dump'!$D:$D,'SKU Order Report '!$C132,'Business - Dump'!$A:$A,'SKU Order Report '!L$1)</f>
        <v>0</v>
      </c>
      <c r="M132" s="3">
        <f>SUMIFS('Business - Dump'!$W:$W,'Business - Dump'!$D:$D,'SKU Order Report '!$C132,'Business - Dump'!$A:$A,'SKU Order Report '!M$1)</f>
        <v>0</v>
      </c>
      <c r="N132" s="3">
        <f>SUMIFS('Business - Dump'!$W:$W,'Business - Dump'!$D:$D,'SKU Order Report '!$C132,'Business - Dump'!$A:$A,'SKU Order Report '!N$1)</f>
        <v>0</v>
      </c>
      <c r="O132" s="3">
        <f>SUMIFS('Business - Dump'!$W:$W,'Business - Dump'!$D:$D,'SKU Order Report '!$C132,'Business - Dump'!$A:$A,'SKU Order Report '!O$1)</f>
        <v>0</v>
      </c>
      <c r="P132" s="3">
        <f>SUMIFS('Business - Dump'!$W:$W,'Business - Dump'!$D:$D,'SKU Order Report '!$C132,'Business - Dump'!$A:$A,'SKU Order Report '!P$1)</f>
        <v>0</v>
      </c>
      <c r="Q132" s="3">
        <f>SUMIFS('Business - Dump'!$W:$W,'Business - Dump'!$D:$D,'SKU Order Report '!$C132,'Business - Dump'!$A:$A,'SKU Order Report '!Q$1)</f>
        <v>0</v>
      </c>
      <c r="R132" s="3">
        <f>SUMIFS('Business - Dump'!$W:$W,'Business - Dump'!$D:$D,'SKU Order Report '!$C132,'Business - Dump'!$A:$A,'SKU Order Report '!R$1)</f>
        <v>0</v>
      </c>
      <c r="S132" s="3">
        <f>SUMIFS('Business - Dump'!$W:$W,'Business - Dump'!$D:$D,'SKU Order Report '!$C132,'Business - Dump'!$A:$A,'SKU Order Report '!S$1)</f>
        <v>0</v>
      </c>
      <c r="T132" s="3">
        <f>SUMIFS('Business - Dump'!$W:$W,'Business - Dump'!$D:$D,'SKU Order Report '!$C132,'Business - Dump'!$A:$A,'SKU Order Report '!T$1)</f>
        <v>0</v>
      </c>
    </row>
    <row r="133" ht="15.75" customHeight="1">
      <c r="A133" s="10" t="str">
        <f t="array" ref="A133">_xlfn.XLOOKUP(C133,'Business - Dump'!$D:$D,'Business - Dump'!$B:$B)</f>
        <v>Standing Table  - M14</v>
      </c>
      <c r="B133" s="10" t="str">
        <f t="array" ref="B133">_xlfn.XLOOKUP(C133,'Referanc '!$A:$A,'Referanc '!$D:$D)</f>
        <v/>
      </c>
      <c r="C133" s="68" t="s">
        <v>443</v>
      </c>
      <c r="D133" s="3">
        <f>SUMIFS('Business - Dump'!$W:$W,'Business - Dump'!$D:$D,'SKU Order Report '!$C133,'Business - Dump'!$A:$A,'SKU Order Report '!D$1)</f>
        <v>0</v>
      </c>
      <c r="E133" s="3">
        <f>SUMIFS('Business - Dump'!$W:$W,'Business - Dump'!$D:$D,'SKU Order Report '!$C133,'Business - Dump'!$A:$A,'SKU Order Report '!E$1)</f>
        <v>0</v>
      </c>
      <c r="F133" s="3">
        <f>SUMIFS('Business - Dump'!$W:$W,'Business - Dump'!$D:$D,'SKU Order Report '!$C133,'Business - Dump'!$A:$A,'SKU Order Report '!F$1)</f>
        <v>0</v>
      </c>
      <c r="G133" s="3">
        <f>SUMIFS('Business - Dump'!$W:$W,'Business - Dump'!$D:$D,'SKU Order Report '!$C133,'Business - Dump'!$A:$A,'SKU Order Report '!G$1)</f>
        <v>0</v>
      </c>
      <c r="H133" s="3">
        <f>SUMIFS('Business - Dump'!$W:$W,'Business - Dump'!$D:$D,'SKU Order Report '!$C133,'Business - Dump'!$A:$A,'SKU Order Report '!H$1)</f>
        <v>0</v>
      </c>
      <c r="I133" s="3">
        <f>SUMIFS('Business - Dump'!$W:$W,'Business - Dump'!$D:$D,'SKU Order Report '!$C133,'Business - Dump'!$A:$A,'SKU Order Report '!I$1)</f>
        <v>0</v>
      </c>
      <c r="J133" s="3">
        <f>SUMIFS('Business - Dump'!$W:$W,'Business - Dump'!$D:$D,'SKU Order Report '!$C133,'Business - Dump'!$A:$A,'SKU Order Report '!J$1)</f>
        <v>0</v>
      </c>
      <c r="K133" s="3">
        <f>SUMIFS('Business - Dump'!$W:$W,'Business - Dump'!$D:$D,'SKU Order Report '!$C133,'Business - Dump'!$A:$A,'SKU Order Report '!K$1)</f>
        <v>0</v>
      </c>
      <c r="L133" s="3">
        <f>SUMIFS('Business - Dump'!$W:$W,'Business - Dump'!$D:$D,'SKU Order Report '!$C133,'Business - Dump'!$A:$A,'SKU Order Report '!L$1)</f>
        <v>0</v>
      </c>
      <c r="M133" s="3">
        <f>SUMIFS('Business - Dump'!$W:$W,'Business - Dump'!$D:$D,'SKU Order Report '!$C133,'Business - Dump'!$A:$A,'SKU Order Report '!M$1)</f>
        <v>0</v>
      </c>
      <c r="N133" s="3">
        <f>SUMIFS('Business - Dump'!$W:$W,'Business - Dump'!$D:$D,'SKU Order Report '!$C133,'Business - Dump'!$A:$A,'SKU Order Report '!N$1)</f>
        <v>0</v>
      </c>
      <c r="O133" s="3">
        <f>SUMIFS('Business - Dump'!$W:$W,'Business - Dump'!$D:$D,'SKU Order Report '!$C133,'Business - Dump'!$A:$A,'SKU Order Report '!O$1)</f>
        <v>0</v>
      </c>
      <c r="P133" s="3">
        <f>SUMIFS('Business - Dump'!$W:$W,'Business - Dump'!$D:$D,'SKU Order Report '!$C133,'Business - Dump'!$A:$A,'SKU Order Report '!P$1)</f>
        <v>0</v>
      </c>
      <c r="Q133" s="3">
        <f>SUMIFS('Business - Dump'!$W:$W,'Business - Dump'!$D:$D,'SKU Order Report '!$C133,'Business - Dump'!$A:$A,'SKU Order Report '!Q$1)</f>
        <v>0</v>
      </c>
      <c r="R133" s="3">
        <f>SUMIFS('Business - Dump'!$W:$W,'Business - Dump'!$D:$D,'SKU Order Report '!$C133,'Business - Dump'!$A:$A,'SKU Order Report '!R$1)</f>
        <v>0</v>
      </c>
      <c r="S133" s="3">
        <f>SUMIFS('Business - Dump'!$W:$W,'Business - Dump'!$D:$D,'SKU Order Report '!$C133,'Business - Dump'!$A:$A,'SKU Order Report '!S$1)</f>
        <v>0</v>
      </c>
      <c r="T133" s="3">
        <f>SUMIFS('Business - Dump'!$W:$W,'Business - Dump'!$D:$D,'SKU Order Report '!$C133,'Business - Dump'!$A:$A,'SKU Order Report '!T$1)</f>
        <v>0</v>
      </c>
    </row>
    <row r="134" ht="15.75" customHeight="1">
      <c r="A134" s="10" t="str">
        <f t="array" ref="A134">_xlfn.XLOOKUP(C134,'Business - Dump'!$D:$D,'Business - Dump'!$B:$B)</f>
        <v>Desk Cable Tray</v>
      </c>
      <c r="B134" s="10" t="str">
        <f t="array" ref="B134">_xlfn.XLOOKUP(C134,'Referanc '!$A:$A,'Referanc '!$D:$D)</f>
        <v/>
      </c>
      <c r="C134" s="68" t="s">
        <v>444</v>
      </c>
      <c r="D134" s="94">
        <f t="shared" ref="D134:T134" si="1">SUM(D2:D133)</f>
        <v>107</v>
      </c>
      <c r="E134" s="94">
        <f t="shared" si="1"/>
        <v>214</v>
      </c>
      <c r="F134" s="94">
        <f t="shared" si="1"/>
        <v>156</v>
      </c>
      <c r="G134" s="94">
        <f t="shared" si="1"/>
        <v>228</v>
      </c>
      <c r="H134" s="94">
        <f t="shared" si="1"/>
        <v>307</v>
      </c>
      <c r="I134" s="94">
        <f t="shared" si="1"/>
        <v>280</v>
      </c>
      <c r="J134" s="94">
        <f t="shared" si="1"/>
        <v>390</v>
      </c>
      <c r="K134" s="94">
        <f t="shared" si="1"/>
        <v>313</v>
      </c>
      <c r="L134" s="94">
        <f t="shared" si="1"/>
        <v>411</v>
      </c>
      <c r="M134" s="94">
        <f t="shared" si="1"/>
        <v>386</v>
      </c>
      <c r="N134" s="94">
        <f t="shared" si="1"/>
        <v>683</v>
      </c>
      <c r="O134" s="94">
        <f t="shared" si="1"/>
        <v>590</v>
      </c>
      <c r="P134" s="94">
        <f t="shared" si="1"/>
        <v>379</v>
      </c>
      <c r="Q134" s="94">
        <f t="shared" si="1"/>
        <v>471</v>
      </c>
      <c r="R134" s="94">
        <f t="shared" si="1"/>
        <v>427</v>
      </c>
      <c r="S134" s="94">
        <f t="shared" si="1"/>
        <v>446</v>
      </c>
      <c r="T134" s="94">
        <f t="shared" si="1"/>
        <v>491</v>
      </c>
    </row>
    <row r="135" ht="15.75" customHeight="1">
      <c r="A135" s="10" t="str">
        <f t="array" ref="A135">_xlfn.XLOOKUP(C135,'Business - Dump'!$D:$D,'Business - Dump'!$B:$B)</f>
        <v>Keyboard Tray</v>
      </c>
      <c r="B135" s="10" t="str">
        <f t="array" ref="B135">_xlfn.XLOOKUP(C135,'Referanc '!$A:$A,'Referanc '!$D:$D)</f>
        <v/>
      </c>
      <c r="C135" s="68" t="s">
        <v>445</v>
      </c>
    </row>
    <row r="136" ht="15.75" customHeight="1">
      <c r="A136" s="10" t="str">
        <f t="array" ref="A136">_xlfn.XLOOKUP(C136,'Business - Dump'!$D:$D,'Business - Dump'!$B:$B)</f>
        <v/>
      </c>
      <c r="B136" s="10" t="str">
        <f t="array" ref="B136">_xlfn.XLOOKUP(C136,'Referanc '!$A:$A,'Referanc '!$D:$D)</f>
        <v/>
      </c>
      <c r="C136" s="68" t="s">
        <v>446</v>
      </c>
      <c r="D136" s="94"/>
    </row>
    <row r="137" ht="15.75" customHeight="1">
      <c r="A137" s="10" t="str">
        <f t="array" ref="A137">_xlfn.XLOOKUP(C137,'Business - Dump'!$D:$D,'Business - Dump'!$B:$B)</f>
        <v>Monitor Arm Stand</v>
      </c>
      <c r="B137" s="10" t="str">
        <f t="array" ref="B137">_xlfn.XLOOKUP(C137,'Referanc '!$A:$A,'Referanc '!$D:$D)</f>
        <v/>
      </c>
      <c r="C137" s="68" t="s">
        <v>447</v>
      </c>
      <c r="D137" s="94"/>
    </row>
    <row r="138" ht="15.75" customHeight="1">
      <c r="A138" s="10" t="str">
        <f t="array" ref="A138">_xlfn.XLOOKUP(C138,'Business - Dump'!$D:$D,'Business - Dump'!$B:$B)</f>
        <v>Standing Table  - SM4</v>
      </c>
      <c r="B138" s="10" t="str">
        <f t="array" ref="B138">_xlfn.XLOOKUP(C138,'Referanc '!$A:$A,'Referanc '!$D:$D)</f>
        <v/>
      </c>
      <c r="C138" s="68" t="s">
        <v>448</v>
      </c>
      <c r="D138" s="94"/>
    </row>
    <row r="139" ht="15.75" customHeight="1">
      <c r="A139" s="10" t="str">
        <f t="array" ref="A139">_xlfn.XLOOKUP(C139,'Business - Dump'!$D:$D,'Business - Dump'!$B:$B)</f>
        <v>Standing Table  - M14</v>
      </c>
      <c r="B139" s="10" t="str">
        <f t="array" ref="B139">_xlfn.XLOOKUP(C139,'Referanc '!$A:$A,'Referanc '!$D:$D)</f>
        <v/>
      </c>
      <c r="C139" s="68" t="s">
        <v>449</v>
      </c>
      <c r="D139" s="94"/>
    </row>
    <row r="140" ht="15.75" customHeight="1">
      <c r="A140" s="10" t="str">
        <f t="array" ref="A140">_xlfn.XLOOKUP(C140,'Business - Dump'!$D:$D,'Business - Dump'!$B:$B)</f>
        <v>Standing Table  - SM4</v>
      </c>
      <c r="B140" s="10" t="str">
        <f t="array" ref="B140">_xlfn.XLOOKUP(C140,'Referanc '!$A:$A,'Referanc '!$D:$D)</f>
        <v/>
      </c>
      <c r="C140" s="68" t="s">
        <v>450</v>
      </c>
      <c r="D140" s="94"/>
    </row>
    <row r="141" ht="15.75" customHeight="1">
      <c r="A141" s="10" t="str">
        <f t="array" ref="A141">_xlfn.XLOOKUP(C141,'Business - Dump'!$D:$D,'Business - Dump'!$B:$B)</f>
        <v>Standing Table  - SM4</v>
      </c>
      <c r="B141" s="10" t="str">
        <f t="array" ref="B141">_xlfn.XLOOKUP(C141,'Referanc '!$A:$A,'Referanc '!$D:$D)</f>
        <v/>
      </c>
      <c r="C141" s="68" t="s">
        <v>451</v>
      </c>
      <c r="D141" s="94"/>
    </row>
    <row r="142" ht="15.75" customHeight="1">
      <c r="A142" s="10" t="str">
        <f t="array" ref="A142">_xlfn.XLOOKUP(C142,'Business - Dump'!$D:$D,'Business - Dump'!$B:$B)</f>
        <v>Standing Table  - SM4</v>
      </c>
      <c r="B142" s="10" t="str">
        <f t="array" ref="B142">_xlfn.XLOOKUP(C142,'Referanc '!$A:$A,'Referanc '!$D:$D)</f>
        <v/>
      </c>
      <c r="C142" s="68" t="s">
        <v>452</v>
      </c>
      <c r="D142" s="94"/>
    </row>
    <row r="143" ht="15.75" customHeight="1">
      <c r="A143" s="10" t="str">
        <f t="array" ref="A143">_xlfn.XLOOKUP(C143,'Business - Dump'!$D:$D,'Business - Dump'!$B:$B)</f>
        <v>Standing Table  - SM4</v>
      </c>
      <c r="B143" s="10" t="str">
        <f t="array" ref="B143">_xlfn.XLOOKUP(C143,'Referanc '!$A:$A,'Referanc '!$D:$D)</f>
        <v/>
      </c>
      <c r="C143" s="68" t="s">
        <v>453</v>
      </c>
      <c r="D143" s="94"/>
    </row>
    <row r="144" ht="15.75" customHeight="1">
      <c r="C144" s="68" t="s">
        <v>454</v>
      </c>
      <c r="D144" s="94"/>
    </row>
    <row r="145" ht="15.75" customHeight="1">
      <c r="C145" s="68"/>
      <c r="D145" s="94"/>
    </row>
    <row r="146" ht="15.75" customHeight="1">
      <c r="C146" s="68" t="s">
        <v>455</v>
      </c>
      <c r="D146" s="94"/>
    </row>
    <row r="147" ht="15.75" customHeight="1">
      <c r="D147" s="94"/>
    </row>
    <row r="148" ht="15.75" customHeight="1">
      <c r="D148" s="94"/>
    </row>
    <row r="149" ht="15.75" customHeight="1">
      <c r="D149" s="94"/>
    </row>
    <row r="150" ht="15.75" customHeight="1">
      <c r="D150" s="94"/>
    </row>
    <row r="151" ht="15.75" customHeight="1">
      <c r="D151" s="94"/>
    </row>
    <row r="152" ht="15.75" customHeight="1">
      <c r="D152" s="94"/>
    </row>
    <row r="153" ht="15.75" customHeight="1">
      <c r="D153" s="94"/>
    </row>
    <row r="154" ht="15.75" customHeight="1">
      <c r="D154" s="94"/>
    </row>
    <row r="155" ht="15.75" customHeight="1">
      <c r="D155" s="94"/>
    </row>
    <row r="156" ht="15.75" customHeight="1">
      <c r="D156" s="94"/>
    </row>
    <row r="157" ht="15.75" customHeight="1">
      <c r="D157" s="94"/>
    </row>
    <row r="158" ht="15.75" customHeight="1">
      <c r="D158" s="94"/>
    </row>
    <row r="159" ht="15.75" customHeight="1">
      <c r="D159" s="94"/>
    </row>
    <row r="160" ht="15.75" customHeight="1">
      <c r="D160" s="94"/>
    </row>
    <row r="161" ht="15.75" customHeight="1">
      <c r="D161" s="94"/>
    </row>
    <row r="162" ht="15.75" customHeight="1">
      <c r="D162" s="94"/>
    </row>
    <row r="163" ht="15.75" customHeight="1">
      <c r="D163" s="94"/>
    </row>
    <row r="164" ht="15.75" customHeight="1">
      <c r="D164" s="94"/>
    </row>
    <row r="165" ht="15.75" customHeight="1">
      <c r="D165" s="94"/>
    </row>
    <row r="166" ht="15.75" customHeight="1">
      <c r="D166" s="94"/>
    </row>
    <row r="167" ht="15.75" customHeight="1">
      <c r="D167" s="94"/>
    </row>
    <row r="168" ht="15.75" customHeight="1">
      <c r="D168" s="94"/>
    </row>
    <row r="169" ht="15.75" customHeight="1">
      <c r="D169" s="94"/>
    </row>
    <row r="170" ht="15.75" customHeight="1">
      <c r="D170" s="94"/>
    </row>
    <row r="171" ht="15.75" customHeight="1">
      <c r="D171" s="94"/>
    </row>
    <row r="172" ht="15.75" customHeight="1">
      <c r="D172" s="94"/>
    </row>
    <row r="173" ht="15.75" customHeight="1">
      <c r="D173" s="94"/>
    </row>
    <row r="174" ht="15.75" customHeight="1">
      <c r="D174" s="94"/>
    </row>
    <row r="175" ht="15.75" customHeight="1">
      <c r="D175" s="94"/>
    </row>
    <row r="176" ht="15.75" customHeight="1">
      <c r="D176" s="94"/>
    </row>
    <row r="177" ht="15.75" customHeight="1">
      <c r="D177" s="94"/>
    </row>
    <row r="178" ht="15.75" customHeight="1">
      <c r="D178" s="94"/>
    </row>
    <row r="179" ht="15.75" customHeight="1">
      <c r="D179" s="94"/>
    </row>
    <row r="180" ht="15.75" customHeight="1">
      <c r="D180" s="94"/>
    </row>
    <row r="181" ht="15.75" customHeight="1">
      <c r="D181" s="94"/>
    </row>
    <row r="182" ht="15.75" customHeight="1">
      <c r="D182" s="94"/>
    </row>
    <row r="183" ht="15.75" customHeight="1">
      <c r="D183" s="94"/>
    </row>
    <row r="184" ht="15.75" customHeight="1">
      <c r="D184" s="94"/>
    </row>
    <row r="185" ht="15.75" customHeight="1">
      <c r="D185" s="94"/>
    </row>
    <row r="186" ht="15.75" customHeight="1">
      <c r="D186" s="94"/>
    </row>
    <row r="187" ht="15.75" customHeight="1">
      <c r="D187" s="94"/>
    </row>
    <row r="188" ht="15.75" customHeight="1">
      <c r="D188" s="94"/>
    </row>
    <row r="189" ht="15.75" customHeight="1">
      <c r="D189" s="94"/>
    </row>
    <row r="190" ht="15.75" customHeight="1">
      <c r="D190" s="94"/>
    </row>
    <row r="191" ht="15.75" customHeight="1">
      <c r="D191" s="94"/>
    </row>
    <row r="192" ht="15.75" customHeight="1">
      <c r="D192" s="94"/>
    </row>
    <row r="193" ht="15.75" customHeight="1">
      <c r="D193" s="94"/>
    </row>
    <row r="194" ht="15.75" customHeight="1">
      <c r="D194" s="94"/>
    </row>
    <row r="195" ht="15.75" customHeight="1">
      <c r="D195" s="94"/>
    </row>
    <row r="196" ht="15.75" customHeight="1">
      <c r="D196" s="94"/>
    </row>
    <row r="197" ht="15.75" customHeight="1">
      <c r="D197" s="94"/>
    </row>
    <row r="198" ht="15.75" customHeight="1">
      <c r="D198" s="94"/>
    </row>
    <row r="199" ht="15.75" customHeight="1">
      <c r="D199" s="94"/>
    </row>
    <row r="200" ht="15.75" customHeight="1">
      <c r="D200" s="94"/>
    </row>
    <row r="201" ht="15.75" customHeight="1">
      <c r="D201" s="94"/>
    </row>
    <row r="202" ht="15.75" customHeight="1">
      <c r="D202" s="94"/>
    </row>
    <row r="203" ht="15.75" customHeight="1">
      <c r="D203" s="94"/>
    </row>
    <row r="204" ht="15.75" customHeight="1">
      <c r="D204" s="94"/>
    </row>
    <row r="205" ht="15.75" customHeight="1">
      <c r="D205" s="94"/>
    </row>
    <row r="206" ht="15.75" customHeight="1">
      <c r="D206" s="94"/>
    </row>
    <row r="207" ht="15.75" customHeight="1">
      <c r="D207" s="94"/>
    </row>
    <row r="208" ht="15.75" customHeight="1">
      <c r="D208" s="94"/>
    </row>
    <row r="209" ht="15.75" customHeight="1">
      <c r="D209" s="94"/>
    </row>
    <row r="210" ht="15.75" customHeight="1">
      <c r="D210" s="94"/>
    </row>
    <row r="211" ht="15.75" customHeight="1">
      <c r="D211" s="94"/>
    </row>
    <row r="212" ht="15.75" customHeight="1">
      <c r="D212" s="94"/>
    </row>
    <row r="213" ht="15.75" customHeight="1">
      <c r="D213" s="94"/>
    </row>
    <row r="214" ht="15.75" customHeight="1">
      <c r="D214" s="94"/>
    </row>
    <row r="215" ht="15.75" customHeight="1">
      <c r="D215" s="94"/>
    </row>
    <row r="216" ht="15.75" customHeight="1">
      <c r="D216" s="94"/>
    </row>
    <row r="217" ht="15.75" customHeight="1">
      <c r="D217" s="94"/>
    </row>
    <row r="218" ht="15.75" customHeight="1">
      <c r="D218" s="94"/>
    </row>
    <row r="219" ht="15.75" customHeight="1">
      <c r="D219" s="94"/>
    </row>
    <row r="220" ht="15.75" customHeight="1">
      <c r="D220" s="94"/>
    </row>
    <row r="221" ht="15.75" customHeight="1">
      <c r="D221" s="94"/>
    </row>
    <row r="222" ht="15.75" customHeight="1">
      <c r="D222" s="94"/>
    </row>
    <row r="223" ht="15.75" customHeight="1">
      <c r="D223" s="94"/>
    </row>
    <row r="224" ht="15.75" customHeight="1">
      <c r="D224" s="94"/>
    </row>
    <row r="225" ht="15.75" customHeight="1">
      <c r="D225" s="94"/>
    </row>
    <row r="226" ht="15.75" customHeight="1">
      <c r="D226" s="94"/>
    </row>
    <row r="227" ht="15.75" customHeight="1">
      <c r="D227" s="94"/>
    </row>
    <row r="228" ht="15.75" customHeight="1">
      <c r="D228" s="94"/>
    </row>
    <row r="229" ht="15.75" customHeight="1">
      <c r="D229" s="94"/>
    </row>
    <row r="230" ht="15.75" customHeight="1">
      <c r="D230" s="94"/>
    </row>
    <row r="231" ht="15.75" customHeight="1">
      <c r="D231" s="94"/>
    </row>
    <row r="232" ht="15.75" customHeight="1">
      <c r="D232" s="94"/>
    </row>
    <row r="233" ht="15.75" customHeight="1">
      <c r="D233" s="94"/>
    </row>
    <row r="234" ht="15.75" customHeight="1">
      <c r="D234" s="94"/>
    </row>
    <row r="235" ht="15.75" customHeight="1">
      <c r="D235" s="94"/>
    </row>
    <row r="236" ht="15.75" customHeight="1">
      <c r="D236" s="94"/>
    </row>
    <row r="237" ht="15.75" customHeight="1">
      <c r="D237" s="94"/>
    </row>
    <row r="238" ht="15.75" customHeight="1">
      <c r="D238" s="94"/>
    </row>
    <row r="239" ht="15.75" customHeight="1">
      <c r="D239" s="94"/>
    </row>
    <row r="240" ht="15.75" customHeight="1">
      <c r="D240" s="94"/>
    </row>
    <row r="241" ht="15.75" customHeight="1">
      <c r="D241" s="94"/>
    </row>
    <row r="242" ht="15.75" customHeight="1">
      <c r="D242" s="94"/>
    </row>
    <row r="243" ht="15.75" customHeight="1">
      <c r="D243" s="94"/>
    </row>
    <row r="244" ht="15.75" customHeight="1">
      <c r="D244" s="94"/>
    </row>
    <row r="245" ht="15.75" customHeight="1">
      <c r="D245" s="94"/>
    </row>
    <row r="246" ht="15.75" customHeight="1">
      <c r="D246" s="94"/>
    </row>
    <row r="247" ht="15.75" customHeight="1">
      <c r="D247" s="94"/>
    </row>
    <row r="248" ht="15.75" customHeight="1">
      <c r="D248" s="94"/>
    </row>
    <row r="249" ht="15.75" customHeight="1">
      <c r="D249" s="94"/>
    </row>
    <row r="250" ht="15.75" customHeight="1">
      <c r="D250" s="94"/>
    </row>
    <row r="251" ht="15.75" customHeight="1">
      <c r="D251" s="94"/>
    </row>
    <row r="252" ht="15.75" customHeight="1">
      <c r="D252" s="94"/>
    </row>
    <row r="253" ht="15.75" customHeight="1">
      <c r="D253" s="94"/>
    </row>
    <row r="254" ht="15.75" customHeight="1">
      <c r="D254" s="94"/>
    </row>
    <row r="255" ht="15.75" customHeight="1">
      <c r="D255" s="94"/>
    </row>
    <row r="256" ht="15.75" customHeight="1">
      <c r="D256" s="94"/>
    </row>
    <row r="257" ht="15.75" customHeight="1">
      <c r="D257" s="94"/>
    </row>
    <row r="258" ht="15.75" customHeight="1">
      <c r="D258" s="94"/>
    </row>
    <row r="259" ht="15.75" customHeight="1">
      <c r="D259" s="94"/>
    </row>
    <row r="260" ht="15.75" customHeight="1">
      <c r="D260" s="94"/>
    </row>
    <row r="261" ht="15.75" customHeight="1">
      <c r="D261" s="94"/>
    </row>
    <row r="262" ht="15.75" customHeight="1">
      <c r="D262" s="94"/>
    </row>
    <row r="263" ht="15.75" customHeight="1">
      <c r="D263" s="94"/>
    </row>
    <row r="264" ht="15.75" customHeight="1">
      <c r="D264" s="94"/>
    </row>
    <row r="265" ht="15.75" customHeight="1">
      <c r="D265" s="94"/>
    </row>
    <row r="266" ht="15.75" customHeight="1">
      <c r="D266" s="94"/>
    </row>
    <row r="267" ht="15.75" customHeight="1">
      <c r="D267" s="94"/>
    </row>
    <row r="268" ht="15.75" customHeight="1">
      <c r="D268" s="94"/>
    </row>
    <row r="269" ht="15.75" customHeight="1">
      <c r="D269" s="94"/>
    </row>
    <row r="270" ht="15.75" customHeight="1">
      <c r="D270" s="94"/>
    </row>
    <row r="271" ht="15.75" customHeight="1">
      <c r="D271" s="94"/>
    </row>
    <row r="272" ht="15.75" customHeight="1">
      <c r="D272" s="94"/>
    </row>
    <row r="273" ht="15.75" customHeight="1">
      <c r="D273" s="94"/>
    </row>
    <row r="274" ht="15.75" customHeight="1">
      <c r="D274" s="94"/>
    </row>
    <row r="275" ht="15.75" customHeight="1">
      <c r="D275" s="94"/>
    </row>
    <row r="276" ht="15.75" customHeight="1">
      <c r="D276" s="94"/>
    </row>
    <row r="277" ht="15.75" customHeight="1">
      <c r="D277" s="94"/>
    </row>
    <row r="278" ht="15.75" customHeight="1">
      <c r="D278" s="94"/>
    </row>
    <row r="279" ht="15.75" customHeight="1">
      <c r="D279" s="94"/>
    </row>
    <row r="280" ht="15.75" customHeight="1">
      <c r="D280" s="94"/>
    </row>
    <row r="281" ht="15.75" customHeight="1">
      <c r="D281" s="94"/>
    </row>
    <row r="282" ht="15.75" customHeight="1">
      <c r="D282" s="94"/>
    </row>
    <row r="283" ht="15.75" customHeight="1">
      <c r="D283" s="94"/>
    </row>
    <row r="284" ht="15.75" customHeight="1">
      <c r="D284" s="94"/>
    </row>
    <row r="285" ht="15.75" customHeight="1">
      <c r="D285" s="94"/>
    </row>
    <row r="286" ht="15.75" customHeight="1">
      <c r="D286" s="94"/>
    </row>
    <row r="287" ht="15.75" customHeight="1">
      <c r="D287" s="94"/>
    </row>
    <row r="288" ht="15.75" customHeight="1">
      <c r="D288" s="94"/>
    </row>
    <row r="289" ht="15.75" customHeight="1">
      <c r="D289" s="94"/>
    </row>
    <row r="290" ht="15.75" customHeight="1">
      <c r="D290" s="94"/>
    </row>
    <row r="291" ht="15.75" customHeight="1">
      <c r="D291" s="94"/>
    </row>
    <row r="292" ht="15.75" customHeight="1">
      <c r="D292" s="94"/>
    </row>
    <row r="293" ht="15.75" customHeight="1">
      <c r="D293" s="94"/>
    </row>
    <row r="294" ht="15.75" customHeight="1">
      <c r="D294" s="94"/>
    </row>
    <row r="295" ht="15.75" customHeight="1">
      <c r="D295" s="94"/>
    </row>
    <row r="296" ht="15.75" customHeight="1">
      <c r="D296" s="94"/>
    </row>
    <row r="297" ht="15.75" customHeight="1">
      <c r="D297" s="94"/>
    </row>
    <row r="298" ht="15.75" customHeight="1">
      <c r="D298" s="94"/>
    </row>
    <row r="299" ht="15.75" customHeight="1">
      <c r="D299" s="94"/>
    </row>
    <row r="300" ht="15.75" customHeight="1">
      <c r="D300" s="94"/>
    </row>
    <row r="301" ht="15.75" customHeight="1">
      <c r="D301" s="94"/>
    </row>
    <row r="302" ht="15.75" customHeight="1">
      <c r="D302" s="94"/>
    </row>
    <row r="303" ht="15.75" customHeight="1">
      <c r="D303" s="94"/>
    </row>
    <row r="304" ht="15.75" customHeight="1">
      <c r="D304" s="94"/>
    </row>
    <row r="305" ht="15.75" customHeight="1">
      <c r="D305" s="94"/>
    </row>
    <row r="306" ht="15.75" customHeight="1">
      <c r="D306" s="94"/>
    </row>
    <row r="307" ht="15.75" customHeight="1">
      <c r="D307" s="94"/>
    </row>
    <row r="308" ht="15.75" customHeight="1">
      <c r="D308" s="94"/>
    </row>
    <row r="309" ht="15.75" customHeight="1">
      <c r="D309" s="94"/>
    </row>
    <row r="310" ht="15.75" customHeight="1">
      <c r="D310" s="94"/>
    </row>
    <row r="311" ht="15.75" customHeight="1">
      <c r="D311" s="94"/>
    </row>
    <row r="312" ht="15.75" customHeight="1">
      <c r="D312" s="94"/>
    </row>
    <row r="313" ht="15.75" customHeight="1">
      <c r="D313" s="94"/>
    </row>
    <row r="314" ht="15.75" customHeight="1">
      <c r="D314" s="94"/>
    </row>
    <row r="315" ht="15.75" customHeight="1">
      <c r="D315" s="94"/>
    </row>
    <row r="316" ht="15.75" customHeight="1">
      <c r="D316" s="94"/>
    </row>
    <row r="317" ht="15.75" customHeight="1">
      <c r="D317" s="94"/>
    </row>
    <row r="318" ht="15.75" customHeight="1">
      <c r="D318" s="94"/>
    </row>
    <row r="319" ht="15.75" customHeight="1">
      <c r="D319" s="94"/>
    </row>
    <row r="320" ht="15.75" customHeight="1">
      <c r="D320" s="94"/>
    </row>
    <row r="321" ht="15.75" customHeight="1">
      <c r="D321" s="94"/>
    </row>
    <row r="322" ht="15.75" customHeight="1">
      <c r="D322" s="94"/>
    </row>
    <row r="323" ht="15.75" customHeight="1">
      <c r="D323" s="94"/>
    </row>
    <row r="324" ht="15.75" customHeight="1">
      <c r="D324" s="94"/>
    </row>
    <row r="325" ht="15.75" customHeight="1">
      <c r="D325" s="94"/>
    </row>
    <row r="326" ht="15.75" customHeight="1">
      <c r="D326" s="94"/>
    </row>
    <row r="327" ht="15.75" customHeight="1">
      <c r="D327" s="94"/>
    </row>
    <row r="328" ht="15.75" customHeight="1">
      <c r="D328" s="94"/>
    </row>
    <row r="329" ht="15.75" customHeight="1">
      <c r="D329" s="94"/>
    </row>
    <row r="330" ht="15.75" customHeight="1">
      <c r="D330" s="94"/>
    </row>
    <row r="331" ht="15.75" customHeight="1">
      <c r="D331" s="94"/>
    </row>
    <row r="332" ht="15.75" customHeight="1">
      <c r="D332" s="94"/>
    </row>
    <row r="333" ht="15.75" customHeight="1">
      <c r="D333" s="94"/>
    </row>
    <row r="334" ht="15.75" customHeight="1">
      <c r="D334" s="94"/>
    </row>
    <row r="335" ht="15.75" customHeight="1">
      <c r="D335" s="94"/>
    </row>
    <row r="336" ht="15.75" customHeight="1">
      <c r="D336" s="94"/>
    </row>
    <row r="337" ht="15.75" customHeight="1">
      <c r="D337" s="94"/>
    </row>
    <row r="338" ht="15.75" customHeight="1">
      <c r="D338" s="94"/>
    </row>
    <row r="339" ht="15.75" customHeight="1">
      <c r="D339" s="94"/>
    </row>
    <row r="340" ht="15.75" customHeight="1">
      <c r="D340" s="94"/>
    </row>
    <row r="341" ht="15.75" customHeight="1">
      <c r="D341" s="94"/>
    </row>
    <row r="342" ht="15.75" customHeight="1">
      <c r="D342" s="94"/>
    </row>
    <row r="343" ht="15.75" customHeight="1">
      <c r="D343" s="94"/>
    </row>
    <row r="344" ht="15.75" customHeight="1">
      <c r="D344" s="94"/>
    </row>
    <row r="345" ht="15.75" customHeight="1">
      <c r="D345" s="94"/>
    </row>
    <row r="346" ht="15.75" customHeight="1">
      <c r="D346" s="94"/>
    </row>
    <row r="347" ht="15.75" customHeight="1">
      <c r="D347" s="94"/>
    </row>
    <row r="348" ht="15.75" customHeight="1">
      <c r="D348" s="94"/>
    </row>
    <row r="349" ht="15.75" customHeight="1">
      <c r="D349" s="94"/>
    </row>
    <row r="350" ht="15.75" customHeight="1">
      <c r="D350" s="94"/>
    </row>
    <row r="351" ht="15.75" customHeight="1">
      <c r="D351" s="94"/>
    </row>
    <row r="352" ht="15.75" customHeight="1">
      <c r="D352" s="94"/>
    </row>
    <row r="353" ht="15.75" customHeight="1">
      <c r="D353" s="94"/>
    </row>
    <row r="354" ht="15.75" customHeight="1">
      <c r="D354" s="94"/>
    </row>
    <row r="355" ht="15.75" customHeight="1">
      <c r="D355" s="94"/>
    </row>
    <row r="356" ht="15.75" customHeight="1">
      <c r="D356" s="94"/>
    </row>
    <row r="357" ht="15.75" customHeight="1">
      <c r="D357" s="94"/>
    </row>
    <row r="358" ht="15.75" customHeight="1">
      <c r="D358" s="94"/>
    </row>
    <row r="359" ht="15.75" customHeight="1">
      <c r="D359" s="94"/>
    </row>
    <row r="360" ht="15.75" customHeight="1">
      <c r="D360" s="94"/>
    </row>
    <row r="361" ht="15.75" customHeight="1">
      <c r="D361" s="94"/>
    </row>
    <row r="362" ht="15.75" customHeight="1">
      <c r="D362" s="94"/>
    </row>
    <row r="363" ht="15.75" customHeight="1">
      <c r="D363" s="94"/>
    </row>
    <row r="364" ht="15.75" customHeight="1">
      <c r="D364" s="94"/>
    </row>
    <row r="365" ht="15.75" customHeight="1">
      <c r="D365" s="94"/>
    </row>
    <row r="366" ht="15.75" customHeight="1">
      <c r="D366" s="94"/>
    </row>
    <row r="367" ht="15.75" customHeight="1">
      <c r="D367" s="94"/>
    </row>
    <row r="368" ht="15.75" customHeight="1">
      <c r="D368" s="94"/>
    </row>
    <row r="369" ht="15.75" customHeight="1">
      <c r="D369" s="94"/>
    </row>
    <row r="370" ht="15.75" customHeight="1">
      <c r="D370" s="94"/>
    </row>
    <row r="371" ht="15.75" customHeight="1">
      <c r="D371" s="94"/>
    </row>
    <row r="372" ht="15.75" customHeight="1">
      <c r="D372" s="94"/>
    </row>
    <row r="373" ht="15.75" customHeight="1">
      <c r="D373" s="94"/>
    </row>
    <row r="374" ht="15.75" customHeight="1">
      <c r="D374" s="94"/>
    </row>
    <row r="375" ht="15.75" customHeight="1">
      <c r="D375" s="94"/>
    </row>
    <row r="376" ht="15.75" customHeight="1">
      <c r="D376" s="94"/>
    </row>
    <row r="377" ht="15.75" customHeight="1">
      <c r="D377" s="94"/>
    </row>
    <row r="378" ht="15.75" customHeight="1">
      <c r="D378" s="94"/>
    </row>
    <row r="379" ht="15.75" customHeight="1">
      <c r="D379" s="94"/>
    </row>
    <row r="380" ht="15.75" customHeight="1">
      <c r="D380" s="94"/>
    </row>
    <row r="381" ht="15.75" customHeight="1">
      <c r="D381" s="94"/>
    </row>
    <row r="382" ht="15.75" customHeight="1">
      <c r="D382" s="94"/>
    </row>
    <row r="383" ht="15.75" customHeight="1">
      <c r="D383" s="94"/>
    </row>
    <row r="384" ht="15.75" customHeight="1">
      <c r="D384" s="94"/>
    </row>
    <row r="385" ht="15.75" customHeight="1">
      <c r="D385" s="94"/>
    </row>
    <row r="386" ht="15.75" customHeight="1">
      <c r="D386" s="94"/>
    </row>
    <row r="387" ht="15.75" customHeight="1">
      <c r="D387" s="94"/>
    </row>
    <row r="388" ht="15.75" customHeight="1">
      <c r="D388" s="94"/>
    </row>
    <row r="389" ht="15.75" customHeight="1">
      <c r="D389" s="94"/>
    </row>
    <row r="390" ht="15.75" customHeight="1">
      <c r="D390" s="94"/>
    </row>
    <row r="391" ht="15.75" customHeight="1">
      <c r="D391" s="94"/>
    </row>
    <row r="392" ht="15.75" customHeight="1">
      <c r="D392" s="94"/>
    </row>
    <row r="393" ht="15.75" customHeight="1">
      <c r="D393" s="94"/>
    </row>
    <row r="394" ht="15.75" customHeight="1">
      <c r="D394" s="94"/>
    </row>
    <row r="395" ht="15.75" customHeight="1">
      <c r="D395" s="94"/>
    </row>
    <row r="396" ht="15.75" customHeight="1">
      <c r="D396" s="94"/>
    </row>
    <row r="397" ht="15.75" customHeight="1">
      <c r="D397" s="94"/>
    </row>
    <row r="398" ht="15.75" customHeight="1">
      <c r="D398" s="94"/>
    </row>
    <row r="399" ht="15.75" customHeight="1">
      <c r="D399" s="94"/>
    </row>
    <row r="400" ht="15.75" customHeight="1">
      <c r="D400" s="94"/>
    </row>
    <row r="401" ht="15.75" customHeight="1">
      <c r="D401" s="94"/>
    </row>
    <row r="402" ht="15.75" customHeight="1">
      <c r="D402" s="94"/>
    </row>
    <row r="403" ht="15.75" customHeight="1">
      <c r="D403" s="94"/>
    </row>
    <row r="404" ht="15.75" customHeight="1">
      <c r="D404" s="94"/>
    </row>
    <row r="405" ht="15.75" customHeight="1">
      <c r="D405" s="94"/>
    </row>
    <row r="406" ht="15.75" customHeight="1">
      <c r="D406" s="94"/>
    </row>
    <row r="407" ht="15.75" customHeight="1">
      <c r="D407" s="94"/>
    </row>
    <row r="408" ht="15.75" customHeight="1">
      <c r="D408" s="94"/>
    </row>
    <row r="409" ht="15.75" customHeight="1">
      <c r="D409" s="94"/>
    </row>
    <row r="410" ht="15.75" customHeight="1">
      <c r="D410" s="94"/>
    </row>
    <row r="411" ht="15.75" customHeight="1">
      <c r="D411" s="94"/>
    </row>
    <row r="412" ht="15.75" customHeight="1">
      <c r="D412" s="94"/>
    </row>
    <row r="413" ht="15.75" customHeight="1">
      <c r="D413" s="94"/>
    </row>
    <row r="414" ht="15.75" customHeight="1">
      <c r="D414" s="94"/>
    </row>
    <row r="415" ht="15.75" customHeight="1">
      <c r="D415" s="94"/>
    </row>
    <row r="416" ht="15.75" customHeight="1">
      <c r="D416" s="94"/>
    </row>
    <row r="417" ht="15.75" customHeight="1">
      <c r="D417" s="94"/>
    </row>
    <row r="418" ht="15.75" customHeight="1">
      <c r="D418" s="94"/>
    </row>
    <row r="419" ht="15.75" customHeight="1">
      <c r="D419" s="94"/>
    </row>
    <row r="420" ht="15.75" customHeight="1">
      <c r="D420" s="94"/>
    </row>
    <row r="421" ht="15.75" customHeight="1">
      <c r="D421" s="94"/>
    </row>
    <row r="422" ht="15.75" customHeight="1">
      <c r="D422" s="94"/>
    </row>
    <row r="423" ht="15.75" customHeight="1">
      <c r="D423" s="94"/>
    </row>
    <row r="424" ht="15.75" customHeight="1">
      <c r="D424" s="94"/>
    </row>
    <row r="425" ht="15.75" customHeight="1">
      <c r="D425" s="94"/>
    </row>
    <row r="426" ht="15.75" customHeight="1">
      <c r="D426" s="94"/>
    </row>
    <row r="427" ht="15.75" customHeight="1">
      <c r="D427" s="94"/>
    </row>
    <row r="428" ht="15.75" customHeight="1">
      <c r="D428" s="94"/>
    </row>
    <row r="429" ht="15.75" customHeight="1">
      <c r="D429" s="94"/>
    </row>
    <row r="430" ht="15.75" customHeight="1">
      <c r="D430" s="94"/>
    </row>
    <row r="431" ht="15.75" customHeight="1">
      <c r="D431" s="94"/>
    </row>
    <row r="432" ht="15.75" customHeight="1">
      <c r="D432" s="94"/>
    </row>
    <row r="433" ht="15.75" customHeight="1">
      <c r="D433" s="94"/>
    </row>
    <row r="434" ht="15.75" customHeight="1">
      <c r="D434" s="94"/>
    </row>
    <row r="435" ht="15.75" customHeight="1">
      <c r="D435" s="94"/>
    </row>
    <row r="436" ht="15.75" customHeight="1">
      <c r="D436" s="94"/>
    </row>
    <row r="437" ht="15.75" customHeight="1">
      <c r="D437" s="94"/>
    </row>
    <row r="438" ht="15.75" customHeight="1">
      <c r="D438" s="94"/>
    </row>
    <row r="439" ht="15.75" customHeight="1">
      <c r="D439" s="94"/>
    </row>
    <row r="440" ht="15.75" customHeight="1">
      <c r="D440" s="94"/>
    </row>
    <row r="441" ht="15.75" customHeight="1">
      <c r="D441" s="94"/>
    </row>
    <row r="442" ht="15.75" customHeight="1">
      <c r="D442" s="94"/>
    </row>
    <row r="443" ht="15.75" customHeight="1">
      <c r="D443" s="94"/>
    </row>
    <row r="444" ht="15.75" customHeight="1">
      <c r="D444" s="94"/>
    </row>
    <row r="445" ht="15.75" customHeight="1">
      <c r="D445" s="94"/>
    </row>
    <row r="446" ht="15.75" customHeight="1">
      <c r="D446" s="94"/>
    </row>
    <row r="447" ht="15.75" customHeight="1">
      <c r="D447" s="94"/>
    </row>
    <row r="448" ht="15.75" customHeight="1">
      <c r="D448" s="94"/>
    </row>
    <row r="449" ht="15.75" customHeight="1">
      <c r="D449" s="94"/>
    </row>
    <row r="450" ht="15.75" customHeight="1">
      <c r="D450" s="94"/>
    </row>
    <row r="451" ht="15.75" customHeight="1">
      <c r="D451" s="94"/>
    </row>
    <row r="452" ht="15.75" customHeight="1">
      <c r="D452" s="94"/>
    </row>
    <row r="453" ht="15.75" customHeight="1">
      <c r="D453" s="94"/>
    </row>
    <row r="454" ht="15.75" customHeight="1">
      <c r="D454" s="94"/>
    </row>
    <row r="455" ht="15.75" customHeight="1">
      <c r="D455" s="94"/>
    </row>
    <row r="456" ht="15.75" customHeight="1">
      <c r="D456" s="94"/>
    </row>
    <row r="457" ht="15.75" customHeight="1">
      <c r="D457" s="94"/>
    </row>
    <row r="458" ht="15.75" customHeight="1">
      <c r="D458" s="94"/>
    </row>
    <row r="459" ht="15.75" customHeight="1">
      <c r="D459" s="94"/>
    </row>
    <row r="460" ht="15.75" customHeight="1">
      <c r="D460" s="94"/>
    </row>
    <row r="461" ht="15.75" customHeight="1">
      <c r="D461" s="94"/>
    </row>
    <row r="462" ht="15.75" customHeight="1">
      <c r="D462" s="94"/>
    </row>
    <row r="463" ht="15.75" customHeight="1">
      <c r="D463" s="94"/>
    </row>
    <row r="464" ht="15.75" customHeight="1">
      <c r="D464" s="94"/>
    </row>
    <row r="465" ht="15.75" customHeight="1">
      <c r="D465" s="94"/>
    </row>
    <row r="466" ht="15.75" customHeight="1">
      <c r="D466" s="94"/>
    </row>
    <row r="467" ht="15.75" customHeight="1">
      <c r="D467" s="94"/>
    </row>
    <row r="468" ht="15.75" customHeight="1">
      <c r="D468" s="94"/>
    </row>
    <row r="469" ht="15.75" customHeight="1">
      <c r="D469" s="94"/>
    </row>
    <row r="470" ht="15.75" customHeight="1">
      <c r="D470" s="94"/>
    </row>
    <row r="471" ht="15.75" customHeight="1">
      <c r="D471" s="94"/>
    </row>
    <row r="472" ht="15.75" customHeight="1">
      <c r="D472" s="94"/>
    </row>
    <row r="473" ht="15.75" customHeight="1">
      <c r="D473" s="94"/>
    </row>
    <row r="474" ht="15.75" customHeight="1">
      <c r="D474" s="94"/>
    </row>
    <row r="475" ht="15.75" customHeight="1">
      <c r="D475" s="94"/>
    </row>
    <row r="476" ht="15.75" customHeight="1">
      <c r="D476" s="94"/>
    </row>
    <row r="477" ht="15.75" customHeight="1">
      <c r="D477" s="94"/>
    </row>
    <row r="478" ht="15.75" customHeight="1">
      <c r="D478" s="94"/>
    </row>
    <row r="479" ht="15.75" customHeight="1">
      <c r="D479" s="94"/>
    </row>
    <row r="480" ht="15.75" customHeight="1">
      <c r="D480" s="94"/>
    </row>
    <row r="481" ht="15.75" customHeight="1">
      <c r="D481" s="94"/>
    </row>
    <row r="482" ht="15.75" customHeight="1">
      <c r="D482" s="94"/>
    </row>
    <row r="483" ht="15.75" customHeight="1">
      <c r="D483" s="94"/>
    </row>
    <row r="484" ht="15.75" customHeight="1">
      <c r="D484" s="94"/>
    </row>
    <row r="485" ht="15.75" customHeight="1">
      <c r="D485" s="94"/>
    </row>
    <row r="486" ht="15.75" customHeight="1">
      <c r="D486" s="94"/>
    </row>
    <row r="487" ht="15.75" customHeight="1">
      <c r="D487" s="94"/>
    </row>
    <row r="488" ht="15.75" customHeight="1">
      <c r="D488" s="94"/>
    </row>
    <row r="489" ht="15.75" customHeight="1">
      <c r="D489" s="94"/>
    </row>
    <row r="490" ht="15.75" customHeight="1">
      <c r="D490" s="94"/>
    </row>
    <row r="491" ht="15.75" customHeight="1">
      <c r="D491" s="94"/>
    </row>
    <row r="492" ht="15.75" customHeight="1">
      <c r="D492" s="94"/>
    </row>
    <row r="493" ht="15.75" customHeight="1">
      <c r="D493" s="94"/>
    </row>
    <row r="494" ht="15.75" customHeight="1">
      <c r="D494" s="94"/>
    </row>
    <row r="495" ht="15.75" customHeight="1">
      <c r="D495" s="94"/>
    </row>
    <row r="496" ht="15.75" customHeight="1">
      <c r="D496" s="94"/>
    </row>
    <row r="497" ht="15.75" customHeight="1">
      <c r="D497" s="94"/>
    </row>
    <row r="498" ht="15.75" customHeight="1">
      <c r="D498" s="94"/>
    </row>
    <row r="499" ht="15.75" customHeight="1">
      <c r="D499" s="94"/>
    </row>
    <row r="500" ht="15.75" customHeight="1">
      <c r="D500" s="94"/>
    </row>
    <row r="501" ht="15.75" customHeight="1">
      <c r="D501" s="94"/>
    </row>
    <row r="502" ht="15.75" customHeight="1">
      <c r="D502" s="94"/>
    </row>
    <row r="503" ht="15.75" customHeight="1">
      <c r="D503" s="94"/>
    </row>
    <row r="504" ht="15.75" customHeight="1">
      <c r="D504" s="94"/>
    </row>
    <row r="505" ht="15.75" customHeight="1">
      <c r="D505" s="94"/>
    </row>
    <row r="506" ht="15.75" customHeight="1">
      <c r="D506" s="94"/>
    </row>
    <row r="507" ht="15.75" customHeight="1">
      <c r="D507" s="94"/>
    </row>
    <row r="508" ht="15.75" customHeight="1">
      <c r="D508" s="94"/>
    </row>
    <row r="509" ht="15.75" customHeight="1">
      <c r="D509" s="94"/>
    </row>
    <row r="510" ht="15.75" customHeight="1">
      <c r="D510" s="94"/>
    </row>
    <row r="511" ht="15.75" customHeight="1">
      <c r="D511" s="94"/>
    </row>
    <row r="512" ht="15.75" customHeight="1">
      <c r="D512" s="94"/>
    </row>
    <row r="513" ht="15.75" customHeight="1">
      <c r="D513" s="94"/>
    </row>
    <row r="514" ht="15.75" customHeight="1">
      <c r="D514" s="94"/>
    </row>
    <row r="515" ht="15.75" customHeight="1">
      <c r="D515" s="94"/>
    </row>
    <row r="516" ht="15.75" customHeight="1">
      <c r="D516" s="94"/>
    </row>
    <row r="517" ht="15.75" customHeight="1">
      <c r="D517" s="94"/>
    </row>
    <row r="518" ht="15.75" customHeight="1">
      <c r="D518" s="94"/>
    </row>
    <row r="519" ht="15.75" customHeight="1">
      <c r="D519" s="94"/>
    </row>
    <row r="520" ht="15.75" customHeight="1">
      <c r="D520" s="94"/>
    </row>
    <row r="521" ht="15.75" customHeight="1">
      <c r="D521" s="94"/>
    </row>
    <row r="522" ht="15.75" customHeight="1">
      <c r="D522" s="94"/>
    </row>
    <row r="523" ht="15.75" customHeight="1">
      <c r="D523" s="94"/>
    </row>
    <row r="524" ht="15.75" customHeight="1">
      <c r="D524" s="94"/>
    </row>
    <row r="525" ht="15.75" customHeight="1">
      <c r="D525" s="94"/>
    </row>
    <row r="526" ht="15.75" customHeight="1">
      <c r="D526" s="94"/>
    </row>
    <row r="527" ht="15.75" customHeight="1">
      <c r="D527" s="94"/>
    </row>
    <row r="528" ht="15.75" customHeight="1">
      <c r="D528" s="94"/>
    </row>
    <row r="529" ht="15.75" customHeight="1">
      <c r="D529" s="94"/>
    </row>
    <row r="530" ht="15.75" customHeight="1">
      <c r="D530" s="94"/>
    </row>
    <row r="531" ht="15.75" customHeight="1">
      <c r="D531" s="94"/>
    </row>
    <row r="532" ht="15.75" customHeight="1">
      <c r="D532" s="94"/>
    </row>
    <row r="533" ht="15.75" customHeight="1">
      <c r="D533" s="94"/>
    </row>
    <row r="534" ht="15.75" customHeight="1">
      <c r="D534" s="94"/>
    </row>
    <row r="535" ht="15.75" customHeight="1">
      <c r="D535" s="94"/>
    </row>
    <row r="536" ht="15.75" customHeight="1">
      <c r="D536" s="94"/>
    </row>
    <row r="537" ht="15.75" customHeight="1">
      <c r="D537" s="94"/>
    </row>
    <row r="538" ht="15.75" customHeight="1">
      <c r="D538" s="94"/>
    </row>
    <row r="539" ht="15.75" customHeight="1">
      <c r="D539" s="94"/>
    </row>
    <row r="540" ht="15.75" customHeight="1">
      <c r="D540" s="94"/>
    </row>
    <row r="541" ht="15.75" customHeight="1">
      <c r="D541" s="94"/>
    </row>
    <row r="542" ht="15.75" customHeight="1">
      <c r="D542" s="94"/>
    </row>
    <row r="543" ht="15.75" customHeight="1">
      <c r="D543" s="94"/>
    </row>
    <row r="544" ht="15.75" customHeight="1">
      <c r="D544" s="94"/>
    </row>
    <row r="545" ht="15.75" customHeight="1">
      <c r="D545" s="94"/>
    </row>
    <row r="546" ht="15.75" customHeight="1">
      <c r="D546" s="94"/>
    </row>
    <row r="547" ht="15.75" customHeight="1">
      <c r="D547" s="94"/>
    </row>
    <row r="548" ht="15.75" customHeight="1">
      <c r="D548" s="94"/>
    </row>
    <row r="549" ht="15.75" customHeight="1">
      <c r="D549" s="94"/>
    </row>
    <row r="550" ht="15.75" customHeight="1">
      <c r="D550" s="94"/>
    </row>
    <row r="551" ht="15.75" customHeight="1">
      <c r="D551" s="94"/>
    </row>
    <row r="552" ht="15.75" customHeight="1">
      <c r="D552" s="94"/>
    </row>
    <row r="553" ht="15.75" customHeight="1">
      <c r="D553" s="94"/>
    </row>
    <row r="554" ht="15.75" customHeight="1">
      <c r="D554" s="94"/>
    </row>
    <row r="555" ht="15.75" customHeight="1">
      <c r="D555" s="94"/>
    </row>
    <row r="556" ht="15.75" customHeight="1">
      <c r="D556" s="94"/>
    </row>
    <row r="557" ht="15.75" customHeight="1">
      <c r="D557" s="94"/>
    </row>
    <row r="558" ht="15.75" customHeight="1">
      <c r="D558" s="94"/>
    </row>
    <row r="559" ht="15.75" customHeight="1">
      <c r="D559" s="94"/>
    </row>
    <row r="560" ht="15.75" customHeight="1">
      <c r="D560" s="94"/>
    </row>
    <row r="561" ht="15.75" customHeight="1">
      <c r="D561" s="94"/>
    </row>
    <row r="562" ht="15.75" customHeight="1">
      <c r="D562" s="94"/>
    </row>
    <row r="563" ht="15.75" customHeight="1">
      <c r="D563" s="94"/>
    </row>
    <row r="564" ht="15.75" customHeight="1">
      <c r="D564" s="94"/>
    </row>
    <row r="565" ht="15.75" customHeight="1">
      <c r="D565" s="94"/>
    </row>
    <row r="566" ht="15.75" customHeight="1">
      <c r="D566" s="94"/>
    </row>
    <row r="567" ht="15.75" customHeight="1">
      <c r="D567" s="94"/>
    </row>
    <row r="568" ht="15.75" customHeight="1">
      <c r="D568" s="94"/>
    </row>
    <row r="569" ht="15.75" customHeight="1">
      <c r="D569" s="94"/>
    </row>
    <row r="570" ht="15.75" customHeight="1">
      <c r="D570" s="94"/>
    </row>
    <row r="571" ht="15.75" customHeight="1">
      <c r="D571" s="94"/>
    </row>
    <row r="572" ht="15.75" customHeight="1">
      <c r="D572" s="94"/>
    </row>
    <row r="573" ht="15.75" customHeight="1">
      <c r="D573" s="94"/>
    </row>
    <row r="574" ht="15.75" customHeight="1">
      <c r="D574" s="94"/>
    </row>
    <row r="575" ht="15.75" customHeight="1">
      <c r="D575" s="94"/>
    </row>
    <row r="576" ht="15.75" customHeight="1">
      <c r="D576" s="94"/>
    </row>
    <row r="577" ht="15.75" customHeight="1">
      <c r="D577" s="94"/>
    </row>
    <row r="578" ht="15.75" customHeight="1">
      <c r="D578" s="94"/>
    </row>
    <row r="579" ht="15.75" customHeight="1">
      <c r="D579" s="94"/>
    </row>
    <row r="580" ht="15.75" customHeight="1">
      <c r="D580" s="94"/>
    </row>
    <row r="581" ht="15.75" customHeight="1">
      <c r="D581" s="94"/>
    </row>
    <row r="582" ht="15.75" customHeight="1">
      <c r="D582" s="94"/>
    </row>
    <row r="583" ht="15.75" customHeight="1">
      <c r="D583" s="94"/>
    </row>
    <row r="584" ht="15.75" customHeight="1">
      <c r="D584" s="94"/>
    </row>
    <row r="585" ht="15.75" customHeight="1">
      <c r="D585" s="94"/>
    </row>
    <row r="586" ht="15.75" customHeight="1">
      <c r="D586" s="94"/>
    </row>
    <row r="587" ht="15.75" customHeight="1">
      <c r="D587" s="94"/>
    </row>
    <row r="588" ht="15.75" customHeight="1">
      <c r="D588" s="94"/>
    </row>
    <row r="589" ht="15.75" customHeight="1">
      <c r="D589" s="94"/>
    </row>
    <row r="590" ht="15.75" customHeight="1">
      <c r="D590" s="94"/>
    </row>
    <row r="591" ht="15.75" customHeight="1">
      <c r="D591" s="94"/>
    </row>
    <row r="592" ht="15.75" customHeight="1">
      <c r="D592" s="94"/>
    </row>
    <row r="593" ht="15.75" customHeight="1">
      <c r="D593" s="94"/>
    </row>
    <row r="594" ht="15.75" customHeight="1">
      <c r="D594" s="94"/>
    </row>
    <row r="595" ht="15.75" customHeight="1">
      <c r="D595" s="94"/>
    </row>
    <row r="596" ht="15.75" customHeight="1">
      <c r="D596" s="94"/>
    </row>
    <row r="597" ht="15.75" customHeight="1">
      <c r="D597" s="94"/>
    </row>
    <row r="598" ht="15.75" customHeight="1">
      <c r="D598" s="94"/>
    </row>
    <row r="599" ht="15.75" customHeight="1">
      <c r="D599" s="94"/>
    </row>
    <row r="600" ht="15.75" customHeight="1">
      <c r="D600" s="94"/>
    </row>
    <row r="601" ht="15.75" customHeight="1">
      <c r="D601" s="94"/>
    </row>
    <row r="602" ht="15.75" customHeight="1">
      <c r="D602" s="94"/>
    </row>
    <row r="603" ht="15.75" customHeight="1">
      <c r="D603" s="94"/>
    </row>
    <row r="604" ht="15.75" customHeight="1">
      <c r="D604" s="94"/>
    </row>
    <row r="605" ht="15.75" customHeight="1">
      <c r="D605" s="94"/>
    </row>
    <row r="606" ht="15.75" customHeight="1">
      <c r="D606" s="94"/>
    </row>
    <row r="607" ht="15.75" customHeight="1">
      <c r="D607" s="94"/>
    </row>
    <row r="608" ht="15.75" customHeight="1">
      <c r="D608" s="94"/>
    </row>
    <row r="609" ht="15.75" customHeight="1">
      <c r="D609" s="94"/>
    </row>
    <row r="610" ht="15.75" customHeight="1">
      <c r="D610" s="94"/>
    </row>
    <row r="611" ht="15.75" customHeight="1">
      <c r="D611" s="94"/>
    </row>
    <row r="612" ht="15.75" customHeight="1">
      <c r="D612" s="94"/>
    </row>
    <row r="613" ht="15.75" customHeight="1">
      <c r="D613" s="94"/>
    </row>
    <row r="614" ht="15.75" customHeight="1">
      <c r="D614" s="94"/>
    </row>
    <row r="615" ht="15.75" customHeight="1">
      <c r="D615" s="94"/>
    </row>
    <row r="616" ht="15.75" customHeight="1">
      <c r="D616" s="94"/>
    </row>
    <row r="617" ht="15.75" customHeight="1">
      <c r="D617" s="94"/>
    </row>
    <row r="618" ht="15.75" customHeight="1">
      <c r="D618" s="94"/>
    </row>
    <row r="619" ht="15.75" customHeight="1">
      <c r="D619" s="94"/>
    </row>
    <row r="620" ht="15.75" customHeight="1">
      <c r="D620" s="94"/>
    </row>
    <row r="621" ht="15.75" customHeight="1">
      <c r="D621" s="94"/>
    </row>
    <row r="622" ht="15.75" customHeight="1">
      <c r="D622" s="94"/>
    </row>
    <row r="623" ht="15.75" customHeight="1">
      <c r="D623" s="94"/>
    </row>
    <row r="624" ht="15.75" customHeight="1">
      <c r="D624" s="94"/>
    </row>
    <row r="625" ht="15.75" customHeight="1">
      <c r="D625" s="94"/>
    </row>
    <row r="626" ht="15.75" customHeight="1">
      <c r="D626" s="94"/>
    </row>
    <row r="627" ht="15.75" customHeight="1">
      <c r="D627" s="94"/>
    </row>
    <row r="628" ht="15.75" customHeight="1">
      <c r="D628" s="94"/>
    </row>
    <row r="629" ht="15.75" customHeight="1">
      <c r="D629" s="94"/>
    </row>
    <row r="630" ht="15.75" customHeight="1">
      <c r="D630" s="94"/>
    </row>
    <row r="631" ht="15.75" customHeight="1">
      <c r="D631" s="94"/>
    </row>
    <row r="632" ht="15.75" customHeight="1">
      <c r="D632" s="94"/>
    </row>
    <row r="633" ht="15.75" customHeight="1">
      <c r="D633" s="94"/>
    </row>
    <row r="634" ht="15.75" customHeight="1">
      <c r="D634" s="94"/>
    </row>
    <row r="635" ht="15.75" customHeight="1">
      <c r="D635" s="94"/>
    </row>
    <row r="636" ht="15.75" customHeight="1">
      <c r="D636" s="94"/>
    </row>
    <row r="637" ht="15.75" customHeight="1">
      <c r="D637" s="94"/>
    </row>
    <row r="638" ht="15.75" customHeight="1">
      <c r="D638" s="94"/>
    </row>
    <row r="639" ht="15.75" customHeight="1">
      <c r="D639" s="94"/>
    </row>
    <row r="640" ht="15.75" customHeight="1">
      <c r="D640" s="94"/>
    </row>
    <row r="641" ht="15.75" customHeight="1">
      <c r="D641" s="94"/>
    </row>
    <row r="642" ht="15.75" customHeight="1">
      <c r="D642" s="94"/>
    </row>
    <row r="643" ht="15.75" customHeight="1">
      <c r="D643" s="94"/>
    </row>
    <row r="644" ht="15.75" customHeight="1">
      <c r="D644" s="94"/>
    </row>
    <row r="645" ht="15.75" customHeight="1">
      <c r="D645" s="94"/>
    </row>
    <row r="646" ht="15.75" customHeight="1">
      <c r="D646" s="94"/>
    </row>
    <row r="647" ht="15.75" customHeight="1">
      <c r="D647" s="94"/>
    </row>
    <row r="648" ht="15.75" customHeight="1">
      <c r="D648" s="94"/>
    </row>
    <row r="649" ht="15.75" customHeight="1">
      <c r="D649" s="94"/>
    </row>
    <row r="650" ht="15.75" customHeight="1">
      <c r="D650" s="94"/>
    </row>
    <row r="651" ht="15.75" customHeight="1">
      <c r="D651" s="94"/>
    </row>
    <row r="652" ht="15.75" customHeight="1">
      <c r="D652" s="94"/>
    </row>
    <row r="653" ht="15.75" customHeight="1">
      <c r="D653" s="94"/>
    </row>
    <row r="654" ht="15.75" customHeight="1">
      <c r="D654" s="94"/>
    </row>
    <row r="655" ht="15.75" customHeight="1">
      <c r="D655" s="94"/>
    </row>
    <row r="656" ht="15.75" customHeight="1">
      <c r="D656" s="94"/>
    </row>
    <row r="657" ht="15.75" customHeight="1">
      <c r="D657" s="94"/>
    </row>
    <row r="658" ht="15.75" customHeight="1">
      <c r="D658" s="94"/>
    </row>
    <row r="659" ht="15.75" customHeight="1">
      <c r="D659" s="94"/>
    </row>
    <row r="660" ht="15.75" customHeight="1">
      <c r="D660" s="94"/>
    </row>
    <row r="661" ht="15.75" customHeight="1">
      <c r="D661" s="94"/>
    </row>
    <row r="662" ht="15.75" customHeight="1">
      <c r="D662" s="94"/>
    </row>
    <row r="663" ht="15.75" customHeight="1">
      <c r="D663" s="94"/>
    </row>
    <row r="664" ht="15.75" customHeight="1">
      <c r="D664" s="94"/>
    </row>
    <row r="665" ht="15.75" customHeight="1">
      <c r="D665" s="94"/>
    </row>
    <row r="666" ht="15.75" customHeight="1">
      <c r="D666" s="94"/>
    </row>
    <row r="667" ht="15.75" customHeight="1">
      <c r="D667" s="94"/>
    </row>
    <row r="668" ht="15.75" customHeight="1">
      <c r="D668" s="94"/>
    </row>
    <row r="669" ht="15.75" customHeight="1">
      <c r="D669" s="94"/>
    </row>
    <row r="670" ht="15.75" customHeight="1">
      <c r="D670" s="94"/>
    </row>
    <row r="671" ht="15.75" customHeight="1">
      <c r="D671" s="94"/>
    </row>
    <row r="672" ht="15.75" customHeight="1">
      <c r="D672" s="94"/>
    </row>
    <row r="673" ht="15.75" customHeight="1">
      <c r="D673" s="94"/>
    </row>
    <row r="674" ht="15.75" customHeight="1">
      <c r="D674" s="94"/>
    </row>
    <row r="675" ht="15.75" customHeight="1">
      <c r="D675" s="94"/>
    </row>
    <row r="676" ht="15.75" customHeight="1">
      <c r="D676" s="94"/>
    </row>
    <row r="677" ht="15.75" customHeight="1">
      <c r="D677" s="94"/>
    </row>
    <row r="678" ht="15.75" customHeight="1">
      <c r="D678" s="94"/>
    </row>
    <row r="679" ht="15.75" customHeight="1">
      <c r="D679" s="94"/>
    </row>
    <row r="680" ht="15.75" customHeight="1">
      <c r="D680" s="94"/>
    </row>
    <row r="681" ht="15.75" customHeight="1">
      <c r="D681" s="94"/>
    </row>
    <row r="682" ht="15.75" customHeight="1">
      <c r="D682" s="94"/>
    </row>
    <row r="683" ht="15.75" customHeight="1">
      <c r="D683" s="94"/>
    </row>
    <row r="684" ht="15.75" customHeight="1">
      <c r="D684" s="94"/>
    </row>
    <row r="685" ht="15.75" customHeight="1">
      <c r="D685" s="94"/>
    </row>
    <row r="686" ht="15.75" customHeight="1">
      <c r="D686" s="94"/>
    </row>
    <row r="687" ht="15.75" customHeight="1">
      <c r="D687" s="94"/>
    </row>
    <row r="688" ht="15.75" customHeight="1">
      <c r="D688" s="94"/>
    </row>
    <row r="689" ht="15.75" customHeight="1">
      <c r="D689" s="94"/>
    </row>
    <row r="690" ht="15.75" customHeight="1">
      <c r="D690" s="94"/>
    </row>
    <row r="691" ht="15.75" customHeight="1">
      <c r="D691" s="94"/>
    </row>
    <row r="692" ht="15.75" customHeight="1">
      <c r="D692" s="94"/>
    </row>
    <row r="693" ht="15.75" customHeight="1">
      <c r="D693" s="94"/>
    </row>
    <row r="694" ht="15.75" customHeight="1">
      <c r="D694" s="94"/>
    </row>
    <row r="695" ht="15.75" customHeight="1">
      <c r="D695" s="94"/>
    </row>
    <row r="696" ht="15.75" customHeight="1">
      <c r="D696" s="94"/>
    </row>
    <row r="697" ht="15.75" customHeight="1">
      <c r="D697" s="94"/>
    </row>
    <row r="698" ht="15.75" customHeight="1">
      <c r="D698" s="94"/>
    </row>
    <row r="699" ht="15.75" customHeight="1">
      <c r="D699" s="94"/>
    </row>
    <row r="700" ht="15.75" customHeight="1">
      <c r="D700" s="94"/>
    </row>
    <row r="701" ht="15.75" customHeight="1">
      <c r="D701" s="94"/>
    </row>
    <row r="702" ht="15.75" customHeight="1">
      <c r="D702" s="94"/>
    </row>
    <row r="703" ht="15.75" customHeight="1">
      <c r="D703" s="94"/>
    </row>
    <row r="704" ht="15.75" customHeight="1">
      <c r="D704" s="94"/>
    </row>
    <row r="705" ht="15.75" customHeight="1">
      <c r="D705" s="94"/>
    </row>
    <row r="706" ht="15.75" customHeight="1">
      <c r="D706" s="94"/>
    </row>
    <row r="707" ht="15.75" customHeight="1">
      <c r="D707" s="94"/>
    </row>
    <row r="708" ht="15.75" customHeight="1">
      <c r="D708" s="94"/>
    </row>
    <row r="709" ht="15.75" customHeight="1">
      <c r="D709" s="94"/>
    </row>
    <row r="710" ht="15.75" customHeight="1">
      <c r="D710" s="94"/>
    </row>
    <row r="711" ht="15.75" customHeight="1">
      <c r="D711" s="94"/>
    </row>
    <row r="712" ht="15.75" customHeight="1">
      <c r="D712" s="94"/>
    </row>
    <row r="713" ht="15.75" customHeight="1">
      <c r="D713" s="94"/>
    </row>
    <row r="714" ht="15.75" customHeight="1">
      <c r="D714" s="94"/>
    </row>
    <row r="715" ht="15.75" customHeight="1">
      <c r="D715" s="94"/>
    </row>
    <row r="716" ht="15.75" customHeight="1">
      <c r="D716" s="94"/>
    </row>
    <row r="717" ht="15.75" customHeight="1">
      <c r="D717" s="94"/>
    </row>
    <row r="718" ht="15.75" customHeight="1">
      <c r="D718" s="94"/>
    </row>
    <row r="719" ht="15.75" customHeight="1">
      <c r="D719" s="94"/>
    </row>
    <row r="720" ht="15.75" customHeight="1">
      <c r="D720" s="94"/>
    </row>
    <row r="721" ht="15.75" customHeight="1">
      <c r="D721" s="94"/>
    </row>
    <row r="722" ht="15.75" customHeight="1">
      <c r="D722" s="94"/>
    </row>
    <row r="723" ht="15.75" customHeight="1">
      <c r="D723" s="94"/>
    </row>
    <row r="724" ht="15.75" customHeight="1">
      <c r="D724" s="94"/>
    </row>
    <row r="725" ht="15.75" customHeight="1">
      <c r="D725" s="94"/>
    </row>
    <row r="726" ht="15.75" customHeight="1">
      <c r="D726" s="94"/>
    </row>
    <row r="727" ht="15.75" customHeight="1">
      <c r="D727" s="94"/>
    </row>
    <row r="728" ht="15.75" customHeight="1">
      <c r="D728" s="94"/>
    </row>
    <row r="729" ht="15.75" customHeight="1">
      <c r="D729" s="94"/>
    </row>
    <row r="730" ht="15.75" customHeight="1">
      <c r="D730" s="94"/>
    </row>
    <row r="731" ht="15.75" customHeight="1">
      <c r="D731" s="94"/>
    </row>
    <row r="732" ht="15.75" customHeight="1">
      <c r="D732" s="94"/>
    </row>
    <row r="733" ht="15.75" customHeight="1">
      <c r="D733" s="94"/>
    </row>
    <row r="734" ht="15.75" customHeight="1">
      <c r="D734" s="94"/>
    </row>
    <row r="735" ht="15.75" customHeight="1">
      <c r="D735" s="94"/>
    </row>
    <row r="736" ht="15.75" customHeight="1">
      <c r="D736" s="94"/>
    </row>
    <row r="737" ht="15.75" customHeight="1">
      <c r="D737" s="94"/>
    </row>
    <row r="738" ht="15.75" customHeight="1">
      <c r="D738" s="94"/>
    </row>
    <row r="739" ht="15.75" customHeight="1">
      <c r="D739" s="94"/>
    </row>
    <row r="740" ht="15.75" customHeight="1">
      <c r="D740" s="94"/>
    </row>
    <row r="741" ht="15.75" customHeight="1">
      <c r="D741" s="94"/>
    </row>
    <row r="742" ht="15.75" customHeight="1">
      <c r="D742" s="94"/>
    </row>
    <row r="743" ht="15.75" customHeight="1">
      <c r="D743" s="94"/>
    </row>
    <row r="744" ht="15.75" customHeight="1">
      <c r="D744" s="94"/>
    </row>
    <row r="745" ht="15.75" customHeight="1">
      <c r="D745" s="94"/>
    </row>
    <row r="746" ht="15.75" customHeight="1">
      <c r="D746" s="94"/>
    </row>
    <row r="747" ht="15.75" customHeight="1">
      <c r="D747" s="94"/>
    </row>
    <row r="748" ht="15.75" customHeight="1">
      <c r="D748" s="94"/>
    </row>
    <row r="749" ht="15.75" customHeight="1">
      <c r="D749" s="94"/>
    </row>
    <row r="750" ht="15.75" customHeight="1">
      <c r="D750" s="94"/>
    </row>
    <row r="751" ht="15.75" customHeight="1">
      <c r="D751" s="94"/>
    </row>
    <row r="752" ht="15.75" customHeight="1">
      <c r="D752" s="94"/>
    </row>
    <row r="753" ht="15.75" customHeight="1">
      <c r="D753" s="94"/>
    </row>
    <row r="754" ht="15.75" customHeight="1">
      <c r="D754" s="94"/>
    </row>
    <row r="755" ht="15.75" customHeight="1">
      <c r="D755" s="94"/>
    </row>
    <row r="756" ht="15.75" customHeight="1">
      <c r="D756" s="94"/>
    </row>
    <row r="757" ht="15.75" customHeight="1">
      <c r="D757" s="94"/>
    </row>
    <row r="758" ht="15.75" customHeight="1">
      <c r="D758" s="94"/>
    </row>
    <row r="759" ht="15.75" customHeight="1">
      <c r="D759" s="94"/>
    </row>
    <row r="760" ht="15.75" customHeight="1">
      <c r="D760" s="94"/>
    </row>
    <row r="761" ht="15.75" customHeight="1">
      <c r="D761" s="94"/>
    </row>
    <row r="762" ht="15.75" customHeight="1">
      <c r="D762" s="94"/>
    </row>
    <row r="763" ht="15.75" customHeight="1">
      <c r="D763" s="94"/>
    </row>
    <row r="764" ht="15.75" customHeight="1">
      <c r="D764" s="94"/>
    </row>
    <row r="765" ht="15.75" customHeight="1">
      <c r="D765" s="94"/>
    </row>
    <row r="766" ht="15.75" customHeight="1">
      <c r="D766" s="94"/>
    </row>
    <row r="767" ht="15.75" customHeight="1">
      <c r="D767" s="94"/>
    </row>
    <row r="768" ht="15.75" customHeight="1">
      <c r="D768" s="94"/>
    </row>
    <row r="769" ht="15.75" customHeight="1">
      <c r="D769" s="94"/>
    </row>
    <row r="770" ht="15.75" customHeight="1">
      <c r="D770" s="94"/>
    </row>
    <row r="771" ht="15.75" customHeight="1">
      <c r="D771" s="94"/>
    </row>
    <row r="772" ht="15.75" customHeight="1">
      <c r="D772" s="94"/>
    </row>
    <row r="773" ht="15.75" customHeight="1">
      <c r="D773" s="94"/>
    </row>
    <row r="774" ht="15.75" customHeight="1">
      <c r="D774" s="94"/>
    </row>
    <row r="775" ht="15.75" customHeight="1">
      <c r="D775" s="94"/>
    </row>
    <row r="776" ht="15.75" customHeight="1">
      <c r="D776" s="94"/>
    </row>
    <row r="777" ht="15.75" customHeight="1">
      <c r="D777" s="94"/>
    </row>
    <row r="778" ht="15.75" customHeight="1">
      <c r="D778" s="94"/>
    </row>
    <row r="779" ht="15.75" customHeight="1">
      <c r="D779" s="94"/>
    </row>
    <row r="780" ht="15.75" customHeight="1">
      <c r="D780" s="94"/>
    </row>
    <row r="781" ht="15.75" customHeight="1">
      <c r="D781" s="94"/>
    </row>
    <row r="782" ht="15.75" customHeight="1">
      <c r="D782" s="94"/>
    </row>
    <row r="783" ht="15.75" customHeight="1">
      <c r="D783" s="94"/>
    </row>
    <row r="784" ht="15.75" customHeight="1">
      <c r="D784" s="94"/>
    </row>
    <row r="785" ht="15.75" customHeight="1">
      <c r="D785" s="94"/>
    </row>
    <row r="786" ht="15.75" customHeight="1">
      <c r="D786" s="94"/>
    </row>
    <row r="787" ht="15.75" customHeight="1">
      <c r="D787" s="94"/>
    </row>
    <row r="788" ht="15.75" customHeight="1">
      <c r="D788" s="94"/>
    </row>
    <row r="789" ht="15.75" customHeight="1">
      <c r="D789" s="94"/>
    </row>
    <row r="790" ht="15.75" customHeight="1">
      <c r="D790" s="94"/>
    </row>
    <row r="791" ht="15.75" customHeight="1">
      <c r="D791" s="94"/>
    </row>
    <row r="792" ht="15.75" customHeight="1">
      <c r="D792" s="94"/>
    </row>
    <row r="793" ht="15.75" customHeight="1">
      <c r="D793" s="94"/>
    </row>
    <row r="794" ht="15.75" customHeight="1">
      <c r="D794" s="94"/>
    </row>
    <row r="795" ht="15.75" customHeight="1">
      <c r="D795" s="94"/>
    </row>
    <row r="796" ht="15.75" customHeight="1">
      <c r="D796" s="94"/>
    </row>
    <row r="797" ht="15.75" customHeight="1">
      <c r="D797" s="94"/>
    </row>
    <row r="798" ht="15.75" customHeight="1">
      <c r="D798" s="94"/>
    </row>
    <row r="799" ht="15.75" customHeight="1">
      <c r="D799" s="94"/>
    </row>
    <row r="800" ht="15.75" customHeight="1">
      <c r="D800" s="94"/>
    </row>
    <row r="801" ht="15.75" customHeight="1">
      <c r="D801" s="94"/>
    </row>
    <row r="802" ht="15.75" customHeight="1">
      <c r="D802" s="94"/>
    </row>
    <row r="803" ht="15.75" customHeight="1">
      <c r="D803" s="94"/>
    </row>
    <row r="804" ht="15.75" customHeight="1">
      <c r="D804" s="94"/>
    </row>
    <row r="805" ht="15.75" customHeight="1">
      <c r="D805" s="94"/>
    </row>
    <row r="806" ht="15.75" customHeight="1">
      <c r="D806" s="94"/>
    </row>
    <row r="807" ht="15.75" customHeight="1">
      <c r="D807" s="94"/>
    </row>
    <row r="808" ht="15.75" customHeight="1">
      <c r="D808" s="94"/>
    </row>
    <row r="809" ht="15.75" customHeight="1">
      <c r="D809" s="94"/>
    </row>
    <row r="810" ht="15.75" customHeight="1">
      <c r="D810" s="94"/>
    </row>
    <row r="811" ht="15.75" customHeight="1">
      <c r="D811" s="94"/>
    </row>
    <row r="812" ht="15.75" customHeight="1">
      <c r="D812" s="94"/>
    </row>
    <row r="813" ht="15.75" customHeight="1">
      <c r="D813" s="94"/>
    </row>
    <row r="814" ht="15.75" customHeight="1">
      <c r="D814" s="94"/>
    </row>
    <row r="815" ht="15.75" customHeight="1">
      <c r="D815" s="94"/>
    </row>
    <row r="816" ht="15.75" customHeight="1">
      <c r="D816" s="94"/>
    </row>
    <row r="817" ht="15.75" customHeight="1">
      <c r="D817" s="94"/>
    </row>
    <row r="818" ht="15.75" customHeight="1">
      <c r="D818" s="94"/>
    </row>
    <row r="819" ht="15.75" customHeight="1">
      <c r="D819" s="94"/>
    </row>
    <row r="820" ht="15.75" customHeight="1">
      <c r="D820" s="94"/>
    </row>
    <row r="821" ht="15.75" customHeight="1">
      <c r="D821" s="94"/>
    </row>
    <row r="822" ht="15.75" customHeight="1">
      <c r="D822" s="94"/>
    </row>
    <row r="823" ht="15.75" customHeight="1">
      <c r="D823" s="94"/>
    </row>
    <row r="824" ht="15.75" customHeight="1">
      <c r="D824" s="94"/>
    </row>
    <row r="825" ht="15.75" customHeight="1">
      <c r="D825" s="94"/>
    </row>
    <row r="826" ht="15.75" customHeight="1">
      <c r="D826" s="94"/>
    </row>
    <row r="827" ht="15.75" customHeight="1">
      <c r="D827" s="94"/>
    </row>
    <row r="828" ht="15.75" customHeight="1">
      <c r="D828" s="94"/>
    </row>
    <row r="829" ht="15.75" customHeight="1">
      <c r="D829" s="94"/>
    </row>
    <row r="830" ht="15.75" customHeight="1">
      <c r="D830" s="94"/>
    </row>
    <row r="831" ht="15.75" customHeight="1">
      <c r="D831" s="94"/>
    </row>
    <row r="832" ht="15.75" customHeight="1">
      <c r="D832" s="94"/>
    </row>
    <row r="833" ht="15.75" customHeight="1">
      <c r="D833" s="94"/>
    </row>
    <row r="834" ht="15.75" customHeight="1">
      <c r="D834" s="94"/>
    </row>
    <row r="835" ht="15.75" customHeight="1">
      <c r="D835" s="94"/>
    </row>
    <row r="836" ht="15.75" customHeight="1">
      <c r="D836" s="94"/>
    </row>
    <row r="837" ht="15.75" customHeight="1">
      <c r="D837" s="94"/>
    </row>
    <row r="838" ht="15.75" customHeight="1">
      <c r="D838" s="94"/>
    </row>
    <row r="839" ht="15.75" customHeight="1">
      <c r="D839" s="94"/>
    </row>
    <row r="840" ht="15.75" customHeight="1">
      <c r="D840" s="94"/>
    </row>
    <row r="841" ht="15.75" customHeight="1">
      <c r="D841" s="94"/>
    </row>
    <row r="842" ht="15.75" customHeight="1">
      <c r="D842" s="94"/>
    </row>
    <row r="843" ht="15.75" customHeight="1">
      <c r="D843" s="94"/>
    </row>
    <row r="844" ht="15.75" customHeight="1">
      <c r="D844" s="94"/>
    </row>
    <row r="845" ht="15.75" customHeight="1">
      <c r="D845" s="94"/>
    </row>
    <row r="846" ht="15.75" customHeight="1">
      <c r="D846" s="94"/>
    </row>
    <row r="847" ht="15.75" customHeight="1">
      <c r="D847" s="94"/>
    </row>
    <row r="848" ht="15.75" customHeight="1">
      <c r="D848" s="94"/>
    </row>
    <row r="849" ht="15.75" customHeight="1">
      <c r="D849" s="94"/>
    </row>
    <row r="850" ht="15.75" customHeight="1">
      <c r="D850" s="94"/>
    </row>
    <row r="851" ht="15.75" customHeight="1">
      <c r="D851" s="94"/>
    </row>
    <row r="852" ht="15.75" customHeight="1">
      <c r="D852" s="94"/>
    </row>
    <row r="853" ht="15.75" customHeight="1">
      <c r="D853" s="94"/>
    </row>
    <row r="854" ht="15.75" customHeight="1">
      <c r="D854" s="94"/>
    </row>
    <row r="855" ht="15.75" customHeight="1">
      <c r="D855" s="94"/>
    </row>
    <row r="856" ht="15.75" customHeight="1">
      <c r="D856" s="94"/>
    </row>
    <row r="857" ht="15.75" customHeight="1">
      <c r="D857" s="94"/>
    </row>
    <row r="858" ht="15.75" customHeight="1">
      <c r="D858" s="94"/>
    </row>
    <row r="859" ht="15.75" customHeight="1">
      <c r="D859" s="94"/>
    </row>
    <row r="860" ht="15.75" customHeight="1">
      <c r="D860" s="94"/>
    </row>
    <row r="861" ht="15.75" customHeight="1">
      <c r="D861" s="94"/>
    </row>
    <row r="862" ht="15.75" customHeight="1">
      <c r="D862" s="94"/>
    </row>
    <row r="863" ht="15.75" customHeight="1">
      <c r="D863" s="94"/>
    </row>
    <row r="864" ht="15.75" customHeight="1">
      <c r="D864" s="94"/>
    </row>
    <row r="865" ht="15.75" customHeight="1">
      <c r="D865" s="94"/>
    </row>
    <row r="866" ht="15.75" customHeight="1">
      <c r="D866" s="94"/>
    </row>
    <row r="867" ht="15.75" customHeight="1">
      <c r="D867" s="94"/>
    </row>
    <row r="868" ht="15.75" customHeight="1">
      <c r="D868" s="94"/>
    </row>
    <row r="869" ht="15.75" customHeight="1">
      <c r="D869" s="94"/>
    </row>
    <row r="870" ht="15.75" customHeight="1">
      <c r="D870" s="94"/>
    </row>
    <row r="871" ht="15.75" customHeight="1">
      <c r="D871" s="94"/>
    </row>
    <row r="872" ht="15.75" customHeight="1">
      <c r="D872" s="94"/>
    </row>
    <row r="873" ht="15.75" customHeight="1">
      <c r="D873" s="94"/>
    </row>
    <row r="874" ht="15.75" customHeight="1">
      <c r="D874" s="94"/>
    </row>
    <row r="875" ht="15.75" customHeight="1">
      <c r="D875" s="94"/>
    </row>
    <row r="876" ht="15.75" customHeight="1">
      <c r="D876" s="94"/>
    </row>
    <row r="877" ht="15.75" customHeight="1">
      <c r="D877" s="94"/>
    </row>
    <row r="878" ht="15.75" customHeight="1">
      <c r="D878" s="94"/>
    </row>
    <row r="879" ht="15.75" customHeight="1">
      <c r="D879" s="94"/>
    </row>
    <row r="880" ht="15.75" customHeight="1">
      <c r="D880" s="94"/>
    </row>
    <row r="881" ht="15.75" customHeight="1">
      <c r="D881" s="94"/>
    </row>
    <row r="882" ht="15.75" customHeight="1">
      <c r="D882" s="94"/>
    </row>
    <row r="883" ht="15.75" customHeight="1">
      <c r="D883" s="94"/>
    </row>
    <row r="884" ht="15.75" customHeight="1">
      <c r="D884" s="94"/>
    </row>
    <row r="885" ht="15.75" customHeight="1">
      <c r="D885" s="94"/>
    </row>
    <row r="886" ht="15.75" customHeight="1">
      <c r="D886" s="94"/>
    </row>
    <row r="887" ht="15.75" customHeight="1">
      <c r="D887" s="94"/>
    </row>
    <row r="888" ht="15.75" customHeight="1">
      <c r="D888" s="94"/>
    </row>
    <row r="889" ht="15.75" customHeight="1">
      <c r="D889" s="94"/>
    </row>
    <row r="890" ht="15.75" customHeight="1">
      <c r="D890" s="94"/>
    </row>
    <row r="891" ht="15.75" customHeight="1">
      <c r="D891" s="94"/>
    </row>
    <row r="892" ht="15.75" customHeight="1">
      <c r="D892" s="94"/>
    </row>
    <row r="893" ht="15.75" customHeight="1">
      <c r="D893" s="94"/>
    </row>
    <row r="894" ht="15.75" customHeight="1">
      <c r="D894" s="94"/>
    </row>
    <row r="895" ht="15.75" customHeight="1">
      <c r="D895" s="94"/>
    </row>
    <row r="896" ht="15.75" customHeight="1">
      <c r="D896" s="94"/>
    </row>
    <row r="897" ht="15.75" customHeight="1">
      <c r="D897" s="94"/>
    </row>
    <row r="898" ht="15.75" customHeight="1">
      <c r="D898" s="94"/>
    </row>
    <row r="899" ht="15.75" customHeight="1">
      <c r="D899" s="94"/>
    </row>
    <row r="900" ht="15.75" customHeight="1">
      <c r="D900" s="94"/>
    </row>
    <row r="901" ht="15.75" customHeight="1">
      <c r="D901" s="94"/>
    </row>
    <row r="902" ht="15.75" customHeight="1">
      <c r="D902" s="94"/>
    </row>
    <row r="903" ht="15.75" customHeight="1">
      <c r="D903" s="94"/>
    </row>
    <row r="904" ht="15.75" customHeight="1">
      <c r="D904" s="94"/>
    </row>
    <row r="905" ht="15.75" customHeight="1">
      <c r="D905" s="94"/>
    </row>
    <row r="906" ht="15.75" customHeight="1">
      <c r="D906" s="94"/>
    </row>
    <row r="907" ht="15.75" customHeight="1">
      <c r="D907" s="94"/>
    </row>
    <row r="908" ht="15.75" customHeight="1">
      <c r="D908" s="94"/>
    </row>
    <row r="909" ht="15.75" customHeight="1">
      <c r="D909" s="94"/>
    </row>
    <row r="910" ht="15.75" customHeight="1">
      <c r="D910" s="94"/>
    </row>
    <row r="911" ht="15.75" customHeight="1">
      <c r="D911" s="94"/>
    </row>
    <row r="912" ht="15.75" customHeight="1">
      <c r="D912" s="94"/>
    </row>
    <row r="913" ht="15.75" customHeight="1">
      <c r="D913" s="94"/>
    </row>
    <row r="914" ht="15.75" customHeight="1">
      <c r="D914" s="94"/>
    </row>
    <row r="915" ht="15.75" customHeight="1">
      <c r="D915" s="94"/>
    </row>
    <row r="916" ht="15.75" customHeight="1">
      <c r="D916" s="94"/>
    </row>
    <row r="917" ht="15.75" customHeight="1">
      <c r="D917" s="94"/>
    </row>
    <row r="918" ht="15.75" customHeight="1">
      <c r="D918" s="94"/>
    </row>
    <row r="919" ht="15.75" customHeight="1">
      <c r="D919" s="94"/>
    </row>
    <row r="920" ht="15.75" customHeight="1">
      <c r="D920" s="94"/>
    </row>
    <row r="921" ht="15.75" customHeight="1">
      <c r="D921" s="94"/>
    </row>
    <row r="922" ht="15.75" customHeight="1">
      <c r="D922" s="94"/>
    </row>
    <row r="923" ht="15.75" customHeight="1">
      <c r="D923" s="94"/>
    </row>
    <row r="924" ht="15.75" customHeight="1">
      <c r="D924" s="94"/>
    </row>
    <row r="925" ht="15.75" customHeight="1">
      <c r="D925" s="94"/>
    </row>
    <row r="926" ht="15.75" customHeight="1">
      <c r="D926" s="94"/>
    </row>
    <row r="927" ht="15.75" customHeight="1">
      <c r="D927" s="94"/>
    </row>
    <row r="928" ht="15.75" customHeight="1">
      <c r="D928" s="94"/>
    </row>
    <row r="929" ht="15.75" customHeight="1">
      <c r="D929" s="94"/>
    </row>
    <row r="930" ht="15.75" customHeight="1">
      <c r="D930" s="94"/>
    </row>
    <row r="931" ht="15.75" customHeight="1">
      <c r="D931" s="94"/>
    </row>
    <row r="932" ht="15.75" customHeight="1">
      <c r="D932" s="94"/>
    </row>
    <row r="933" ht="15.75" customHeight="1">
      <c r="D933" s="94"/>
    </row>
    <row r="934" ht="15.75" customHeight="1">
      <c r="D934" s="94"/>
    </row>
    <row r="935" ht="15.75" customHeight="1">
      <c r="D935" s="94"/>
    </row>
    <row r="936" ht="15.75" customHeight="1">
      <c r="D936" s="94"/>
    </row>
    <row r="937" ht="15.75" customHeight="1">
      <c r="D937" s="94"/>
    </row>
    <row r="938" ht="15.75" customHeight="1">
      <c r="D938" s="94"/>
    </row>
    <row r="939" ht="15.75" customHeight="1">
      <c r="D939" s="94"/>
    </row>
    <row r="940" ht="15.75" customHeight="1">
      <c r="D940" s="94"/>
    </row>
    <row r="941" ht="15.75" customHeight="1">
      <c r="D941" s="94"/>
    </row>
    <row r="942" ht="15.75" customHeight="1">
      <c r="D942" s="94"/>
    </row>
    <row r="943" ht="15.75" customHeight="1">
      <c r="D943" s="94"/>
    </row>
    <row r="944" ht="15.75" customHeight="1">
      <c r="D944" s="94"/>
    </row>
    <row r="945" ht="15.75" customHeight="1">
      <c r="D945" s="94"/>
    </row>
    <row r="946" ht="15.75" customHeight="1">
      <c r="D946" s="94"/>
    </row>
    <row r="947" ht="15.75" customHeight="1">
      <c r="D947" s="94"/>
    </row>
    <row r="948" ht="15.75" customHeight="1">
      <c r="D948" s="94"/>
    </row>
    <row r="949" ht="15.75" customHeight="1">
      <c r="D949" s="94"/>
    </row>
    <row r="950" ht="15.75" customHeight="1">
      <c r="D950" s="94"/>
    </row>
    <row r="951" ht="15.75" customHeight="1">
      <c r="D951" s="94"/>
    </row>
    <row r="952" ht="15.75" customHeight="1">
      <c r="D952" s="94"/>
    </row>
    <row r="953" ht="15.75" customHeight="1">
      <c r="D953" s="94"/>
    </row>
    <row r="954" ht="15.75" customHeight="1">
      <c r="D954" s="94"/>
    </row>
    <row r="955" ht="15.75" customHeight="1">
      <c r="D955" s="94"/>
    </row>
    <row r="956" ht="15.75" customHeight="1">
      <c r="D956" s="94"/>
    </row>
    <row r="957" ht="15.75" customHeight="1">
      <c r="D957" s="94"/>
    </row>
    <row r="958" ht="15.75" customHeight="1">
      <c r="D958" s="94"/>
    </row>
    <row r="959" ht="15.75" customHeight="1">
      <c r="D959" s="94"/>
    </row>
    <row r="960" ht="15.75" customHeight="1">
      <c r="D960" s="94"/>
    </row>
    <row r="961" ht="15.75" customHeight="1">
      <c r="D961" s="94"/>
    </row>
    <row r="962" ht="15.75" customHeight="1">
      <c r="D962" s="94"/>
    </row>
    <row r="963" ht="15.75" customHeight="1">
      <c r="D963" s="94"/>
    </row>
    <row r="964" ht="15.75" customHeight="1">
      <c r="D964" s="94"/>
    </row>
    <row r="965" ht="15.75" customHeight="1">
      <c r="D965" s="94"/>
    </row>
    <row r="966" ht="15.75" customHeight="1">
      <c r="D966" s="94"/>
    </row>
    <row r="967" ht="15.75" customHeight="1">
      <c r="D967" s="94"/>
    </row>
    <row r="968" ht="15.75" customHeight="1">
      <c r="D968" s="94"/>
    </row>
    <row r="969" ht="15.75" customHeight="1">
      <c r="D969" s="94"/>
    </row>
    <row r="970" ht="15.75" customHeight="1">
      <c r="D970" s="94"/>
    </row>
    <row r="971" ht="15.75" customHeight="1">
      <c r="D971" s="94"/>
    </row>
    <row r="972" ht="15.75" customHeight="1">
      <c r="D972" s="94"/>
    </row>
    <row r="973" ht="15.75" customHeight="1">
      <c r="D973" s="94"/>
    </row>
    <row r="974" ht="15.75" customHeight="1">
      <c r="D974" s="94"/>
    </row>
    <row r="975" ht="15.75" customHeight="1">
      <c r="D975" s="94"/>
    </row>
    <row r="976" ht="15.75" customHeight="1">
      <c r="D976" s="94"/>
    </row>
    <row r="977" ht="15.75" customHeight="1">
      <c r="D977" s="94"/>
    </row>
    <row r="978" ht="15.75" customHeight="1">
      <c r="D978" s="94"/>
    </row>
    <row r="979" ht="15.75" customHeight="1">
      <c r="D979" s="94"/>
    </row>
    <row r="980" ht="15.75" customHeight="1">
      <c r="D980" s="94"/>
    </row>
    <row r="981" ht="15.75" customHeight="1">
      <c r="D981" s="94"/>
    </row>
    <row r="982" ht="15.75" customHeight="1">
      <c r="D982" s="94"/>
    </row>
    <row r="983" ht="15.75" customHeight="1">
      <c r="D983" s="94"/>
    </row>
    <row r="984" ht="15.75" customHeight="1">
      <c r="D984" s="94"/>
    </row>
    <row r="985" ht="15.75" customHeight="1">
      <c r="D985" s="94"/>
    </row>
    <row r="986" ht="15.75" customHeight="1">
      <c r="D986" s="94"/>
    </row>
    <row r="987" ht="15.75" customHeight="1">
      <c r="D987" s="94"/>
    </row>
    <row r="988" ht="15.75" customHeight="1">
      <c r="D988" s="94"/>
    </row>
    <row r="989" ht="15.75" customHeight="1">
      <c r="D989" s="94"/>
    </row>
    <row r="990" ht="15.75" customHeight="1">
      <c r="D990" s="94"/>
    </row>
    <row r="991" ht="15.75" customHeight="1">
      <c r="D991" s="94"/>
    </row>
    <row r="992" ht="15.75" customHeight="1">
      <c r="D992" s="94"/>
    </row>
    <row r="993" ht="15.75" customHeight="1">
      <c r="D993" s="94"/>
    </row>
    <row r="994" ht="15.75" customHeight="1">
      <c r="D994" s="94"/>
    </row>
    <row r="995" ht="15.75" customHeight="1">
      <c r="D995" s="94"/>
    </row>
    <row r="996" ht="15.75" customHeight="1">
      <c r="D996" s="94"/>
    </row>
    <row r="997" ht="15.75" customHeight="1">
      <c r="D997" s="94"/>
    </row>
    <row r="998" ht="15.75" customHeight="1">
      <c r="D998" s="94"/>
    </row>
    <row r="999" ht="15.75" customHeight="1">
      <c r="D999" s="94"/>
    </row>
    <row r="1000" ht="15.75" customHeight="1">
      <c r="D1000" s="9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71"/>
    <col customWidth="1" min="3" max="3" width="10.71"/>
    <col customWidth="1" min="4" max="16" width="12.71"/>
    <col customWidth="1" min="17" max="19" width="12.43"/>
    <col customWidth="1" min="20" max="26" width="8.86"/>
  </cols>
  <sheetData>
    <row r="1"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T3" s="94"/>
      <c r="U3" s="94"/>
      <c r="V3" s="94"/>
      <c r="W3" s="94"/>
      <c r="X3" s="94"/>
      <c r="Y3" s="94"/>
      <c r="Z3" s="94"/>
    </row>
    <row r="4">
      <c r="T4" s="94"/>
      <c r="U4" s="94"/>
      <c r="V4" s="94"/>
      <c r="W4" s="94"/>
      <c r="X4" s="94"/>
      <c r="Y4" s="94"/>
      <c r="Z4" s="94"/>
    </row>
    <row r="5">
      <c r="T5" s="94"/>
      <c r="U5" s="94"/>
      <c r="V5" s="94"/>
      <c r="W5" s="94"/>
      <c r="X5" s="94"/>
      <c r="Y5" s="94"/>
      <c r="Z5" s="94"/>
    </row>
    <row r="6">
      <c r="T6" s="94"/>
      <c r="U6" s="94"/>
      <c r="V6" s="94"/>
      <c r="W6" s="94"/>
      <c r="X6" s="94"/>
      <c r="Y6" s="94"/>
      <c r="Z6" s="94"/>
    </row>
    <row r="7">
      <c r="T7" s="94"/>
      <c r="U7" s="94"/>
      <c r="V7" s="94"/>
      <c r="W7" s="94"/>
      <c r="X7" s="94"/>
      <c r="Y7" s="94"/>
      <c r="Z7" s="94"/>
    </row>
    <row r="8">
      <c r="T8" s="94"/>
      <c r="U8" s="94"/>
      <c r="V8" s="94"/>
      <c r="W8" s="94"/>
      <c r="X8" s="94"/>
      <c r="Y8" s="94"/>
      <c r="Z8" s="94"/>
    </row>
    <row r="9">
      <c r="T9" s="94"/>
      <c r="U9" s="94"/>
      <c r="V9" s="94"/>
      <c r="W9" s="94"/>
      <c r="X9" s="94"/>
      <c r="Y9" s="94"/>
      <c r="Z9" s="94"/>
    </row>
    <row r="10">
      <c r="T10" s="94"/>
      <c r="U10" s="94"/>
      <c r="V10" s="94"/>
      <c r="W10" s="94"/>
      <c r="X10" s="94"/>
      <c r="Y10" s="94"/>
      <c r="Z10" s="94"/>
    </row>
    <row r="11">
      <c r="T11" s="94"/>
      <c r="U11" s="94"/>
      <c r="V11" s="94"/>
      <c r="W11" s="94"/>
      <c r="X11" s="94"/>
      <c r="Y11" s="94"/>
      <c r="Z11" s="94"/>
    </row>
    <row r="12">
      <c r="T12" s="94"/>
      <c r="U12" s="94"/>
      <c r="V12" s="94"/>
      <c r="W12" s="94"/>
      <c r="X12" s="94"/>
      <c r="Y12" s="94"/>
      <c r="Z12" s="94"/>
    </row>
    <row r="13">
      <c r="T13" s="94"/>
      <c r="U13" s="94"/>
      <c r="V13" s="94"/>
      <c r="W13" s="94"/>
      <c r="X13" s="94"/>
      <c r="Y13" s="94"/>
      <c r="Z13" s="94"/>
    </row>
    <row r="14">
      <c r="T14" s="94"/>
      <c r="U14" s="94"/>
      <c r="V14" s="94"/>
      <c r="W14" s="94"/>
      <c r="X14" s="94"/>
      <c r="Y14" s="94"/>
      <c r="Z14" s="94"/>
    </row>
    <row r="15">
      <c r="T15" s="94"/>
      <c r="U15" s="94"/>
      <c r="V15" s="94"/>
      <c r="W15" s="94"/>
      <c r="X15" s="94"/>
      <c r="Y15" s="94"/>
      <c r="Z15" s="94"/>
    </row>
    <row r="16">
      <c r="T16" s="94"/>
      <c r="U16" s="94"/>
      <c r="V16" s="94"/>
      <c r="W16" s="94"/>
      <c r="X16" s="94"/>
      <c r="Y16" s="94"/>
      <c r="Z16" s="94"/>
    </row>
    <row r="17">
      <c r="T17" s="94"/>
      <c r="U17" s="94"/>
      <c r="V17" s="94"/>
      <c r="W17" s="94"/>
      <c r="X17" s="94"/>
      <c r="Y17" s="94"/>
      <c r="Z17" s="94"/>
    </row>
    <row r="18">
      <c r="T18" s="94"/>
      <c r="U18" s="94"/>
      <c r="V18" s="94"/>
      <c r="W18" s="94"/>
      <c r="X18" s="94"/>
      <c r="Y18" s="94"/>
      <c r="Z18" s="94"/>
    </row>
    <row r="19">
      <c r="T19" s="94"/>
      <c r="U19" s="94"/>
      <c r="V19" s="94"/>
      <c r="W19" s="94"/>
      <c r="X19" s="94"/>
      <c r="Y19" s="94"/>
      <c r="Z19" s="94"/>
    </row>
    <row r="20">
      <c r="T20" s="94"/>
      <c r="U20" s="94"/>
      <c r="V20" s="94"/>
      <c r="W20" s="94"/>
      <c r="X20" s="94"/>
      <c r="Y20" s="94"/>
      <c r="Z20" s="94"/>
    </row>
    <row r="21" ht="15.75" customHeight="1">
      <c r="T21" s="94"/>
      <c r="U21" s="94"/>
      <c r="V21" s="94"/>
      <c r="W21" s="94"/>
      <c r="X21" s="94"/>
      <c r="Y21" s="94"/>
      <c r="Z21" s="94"/>
    </row>
    <row r="22" ht="15.75" customHeight="1">
      <c r="T22" s="94"/>
      <c r="U22" s="94"/>
      <c r="V22" s="94"/>
      <c r="W22" s="94"/>
      <c r="X22" s="94"/>
      <c r="Y22" s="94"/>
      <c r="Z22" s="94"/>
    </row>
    <row r="23" ht="15.75" customHeight="1">
      <c r="T23" s="94"/>
      <c r="U23" s="94"/>
      <c r="V23" s="94"/>
      <c r="W23" s="94"/>
      <c r="X23" s="94"/>
      <c r="Y23" s="94"/>
      <c r="Z23" s="94"/>
    </row>
    <row r="24" ht="15.75" customHeight="1">
      <c r="T24" s="94"/>
      <c r="U24" s="94"/>
      <c r="V24" s="94"/>
      <c r="W24" s="94"/>
      <c r="X24" s="94"/>
      <c r="Y24" s="94"/>
      <c r="Z24" s="94"/>
    </row>
    <row r="25" ht="15.75" customHeight="1">
      <c r="T25" s="94"/>
      <c r="U25" s="94"/>
      <c r="V25" s="94"/>
      <c r="W25" s="94"/>
      <c r="X25" s="94"/>
      <c r="Y25" s="94"/>
      <c r="Z25" s="94"/>
    </row>
    <row r="26" ht="15.75" customHeight="1">
      <c r="T26" s="94"/>
      <c r="U26" s="94"/>
      <c r="V26" s="94"/>
      <c r="W26" s="94"/>
      <c r="X26" s="94"/>
      <c r="Y26" s="94"/>
      <c r="Z26" s="94"/>
    </row>
    <row r="27" ht="15.75" customHeight="1">
      <c r="T27" s="94"/>
      <c r="U27" s="94"/>
      <c r="V27" s="94"/>
      <c r="W27" s="94"/>
      <c r="X27" s="94"/>
      <c r="Y27" s="94"/>
      <c r="Z27" s="94"/>
    </row>
    <row r="28" ht="15.75" customHeight="1">
      <c r="T28" s="94"/>
      <c r="U28" s="94"/>
      <c r="V28" s="94"/>
      <c r="W28" s="94"/>
      <c r="X28" s="94"/>
      <c r="Y28" s="94"/>
      <c r="Z28" s="94"/>
    </row>
    <row r="29" ht="15.75" customHeight="1">
      <c r="T29" s="94"/>
      <c r="U29" s="94"/>
      <c r="V29" s="94"/>
      <c r="W29" s="94"/>
      <c r="X29" s="94"/>
      <c r="Y29" s="94"/>
      <c r="Z29" s="94"/>
    </row>
    <row r="30" ht="15.75" customHeight="1">
      <c r="T30" s="94"/>
      <c r="U30" s="94"/>
      <c r="V30" s="94"/>
      <c r="W30" s="94"/>
      <c r="X30" s="94"/>
      <c r="Y30" s="94"/>
      <c r="Z30" s="94"/>
    </row>
    <row r="31" ht="15.75" customHeight="1">
      <c r="T31" s="94"/>
      <c r="U31" s="94"/>
      <c r="V31" s="94"/>
      <c r="W31" s="94"/>
      <c r="X31" s="94"/>
      <c r="Y31" s="94"/>
      <c r="Z31" s="94"/>
    </row>
    <row r="32" ht="15.75" customHeight="1">
      <c r="T32" s="94"/>
      <c r="U32" s="94"/>
      <c r="V32" s="94"/>
      <c r="W32" s="94"/>
      <c r="X32" s="94"/>
      <c r="Y32" s="94"/>
      <c r="Z32" s="94"/>
    </row>
    <row r="33" ht="15.75" customHeight="1">
      <c r="T33" s="94"/>
      <c r="U33" s="94"/>
      <c r="V33" s="94"/>
      <c r="W33" s="94"/>
      <c r="X33" s="94"/>
      <c r="Y33" s="94"/>
      <c r="Z33" s="94"/>
    </row>
    <row r="34" ht="15.75" customHeight="1">
      <c r="T34" s="94"/>
      <c r="U34" s="94"/>
      <c r="V34" s="94"/>
      <c r="W34" s="94"/>
      <c r="X34" s="94"/>
      <c r="Y34" s="94"/>
      <c r="Z34" s="94"/>
    </row>
    <row r="35" ht="15.75" customHeight="1">
      <c r="T35" s="94"/>
      <c r="U35" s="94"/>
      <c r="V35" s="94"/>
      <c r="W35" s="94"/>
      <c r="X35" s="94"/>
      <c r="Y35" s="94"/>
      <c r="Z35" s="94"/>
    </row>
    <row r="36" ht="15.75" customHeight="1">
      <c r="T36" s="94"/>
      <c r="U36" s="94"/>
      <c r="V36" s="94"/>
      <c r="W36" s="94"/>
      <c r="X36" s="94"/>
      <c r="Y36" s="94"/>
      <c r="Z36" s="94"/>
    </row>
    <row r="37" ht="15.75" customHeight="1">
      <c r="T37" s="94"/>
      <c r="U37" s="94"/>
      <c r="V37" s="94"/>
      <c r="W37" s="94"/>
      <c r="X37" s="94"/>
      <c r="Y37" s="94"/>
      <c r="Z37" s="94"/>
    </row>
    <row r="38" ht="15.75" customHeight="1">
      <c r="T38" s="94"/>
      <c r="U38" s="94"/>
      <c r="V38" s="94"/>
      <c r="W38" s="94"/>
      <c r="X38" s="94"/>
      <c r="Y38" s="94"/>
      <c r="Z38" s="94"/>
    </row>
    <row r="39" ht="15.75" customHeight="1">
      <c r="T39" s="94"/>
      <c r="U39" s="94"/>
      <c r="V39" s="94"/>
      <c r="W39" s="94"/>
      <c r="X39" s="94"/>
      <c r="Y39" s="94"/>
      <c r="Z39" s="94"/>
    </row>
    <row r="40" ht="15.75" customHeight="1">
      <c r="T40" s="94"/>
      <c r="U40" s="94"/>
      <c r="V40" s="94"/>
      <c r="W40" s="94"/>
      <c r="X40" s="94"/>
      <c r="Y40" s="94"/>
      <c r="Z40" s="94"/>
    </row>
    <row r="41" ht="15.75" customHeight="1">
      <c r="T41" s="94"/>
      <c r="U41" s="94"/>
      <c r="V41" s="94"/>
      <c r="W41" s="94"/>
      <c r="X41" s="94"/>
      <c r="Y41" s="94"/>
      <c r="Z41" s="94"/>
    </row>
    <row r="42" ht="15.75" customHeight="1">
      <c r="T42" s="94"/>
      <c r="U42" s="94"/>
      <c r="V42" s="94"/>
      <c r="W42" s="94"/>
      <c r="X42" s="94"/>
      <c r="Y42" s="94"/>
      <c r="Z42" s="94"/>
    </row>
    <row r="43" ht="15.75" customHeight="1">
      <c r="T43" s="94"/>
      <c r="U43" s="94"/>
      <c r="V43" s="94"/>
      <c r="W43" s="94"/>
      <c r="X43" s="94"/>
      <c r="Y43" s="94"/>
      <c r="Z43" s="94"/>
    </row>
    <row r="44" ht="15.75" customHeight="1">
      <c r="T44" s="94"/>
      <c r="U44" s="94"/>
      <c r="V44" s="94"/>
      <c r="W44" s="94"/>
      <c r="X44" s="94"/>
      <c r="Y44" s="94"/>
      <c r="Z44" s="94"/>
    </row>
    <row r="45" ht="15.75" customHeight="1">
      <c r="T45" s="94"/>
      <c r="U45" s="94"/>
      <c r="V45" s="94"/>
      <c r="W45" s="94"/>
      <c r="X45" s="94"/>
      <c r="Y45" s="94"/>
      <c r="Z45" s="94"/>
    </row>
    <row r="46" ht="15.75" customHeight="1">
      <c r="T46" s="94"/>
      <c r="U46" s="94"/>
      <c r="V46" s="94"/>
      <c r="W46" s="94"/>
      <c r="X46" s="94"/>
      <c r="Y46" s="94"/>
      <c r="Z46" s="94"/>
    </row>
    <row r="47" ht="15.75" customHeight="1">
      <c r="T47" s="94"/>
      <c r="U47" s="94"/>
      <c r="V47" s="94"/>
      <c r="W47" s="94"/>
      <c r="X47" s="94"/>
      <c r="Y47" s="94"/>
      <c r="Z47" s="94"/>
    </row>
    <row r="48" ht="15.75" customHeight="1">
      <c r="T48" s="94"/>
      <c r="U48" s="94"/>
      <c r="V48" s="94"/>
      <c r="W48" s="94"/>
      <c r="X48" s="94"/>
      <c r="Y48" s="94"/>
      <c r="Z48" s="94"/>
    </row>
    <row r="49" ht="15.75" customHeight="1">
      <c r="T49" s="94"/>
      <c r="U49" s="94"/>
      <c r="V49" s="94"/>
      <c r="W49" s="94"/>
      <c r="X49" s="94"/>
      <c r="Y49" s="94"/>
      <c r="Z49" s="94"/>
    </row>
    <row r="50" ht="15.75" customHeight="1">
      <c r="T50" s="94"/>
      <c r="U50" s="94"/>
      <c r="V50" s="94"/>
      <c r="W50" s="94"/>
      <c r="X50" s="94"/>
      <c r="Y50" s="94"/>
      <c r="Z50" s="94"/>
    </row>
    <row r="51" ht="15.75" customHeight="1">
      <c r="T51" s="94"/>
      <c r="U51" s="94"/>
      <c r="V51" s="94"/>
      <c r="W51" s="94"/>
      <c r="X51" s="94"/>
      <c r="Y51" s="94"/>
      <c r="Z51" s="94"/>
    </row>
    <row r="52" ht="15.75" customHeight="1">
      <c r="T52" s="94"/>
      <c r="U52" s="94"/>
      <c r="V52" s="94"/>
      <c r="W52" s="94"/>
      <c r="X52" s="94"/>
      <c r="Y52" s="94"/>
      <c r="Z52" s="94"/>
    </row>
    <row r="53" ht="15.75" customHeight="1">
      <c r="T53" s="94"/>
      <c r="U53" s="94"/>
      <c r="V53" s="94"/>
      <c r="W53" s="94"/>
      <c r="X53" s="94"/>
      <c r="Y53" s="94"/>
      <c r="Z53" s="94"/>
    </row>
    <row r="54" ht="15.75" customHeight="1">
      <c r="T54" s="94"/>
      <c r="U54" s="94"/>
      <c r="V54" s="94"/>
      <c r="W54" s="94"/>
      <c r="X54" s="94"/>
      <c r="Y54" s="94"/>
      <c r="Z54" s="94"/>
    </row>
    <row r="55" ht="15.75" customHeight="1">
      <c r="T55" s="94"/>
      <c r="U55" s="94"/>
      <c r="V55" s="94"/>
      <c r="W55" s="94"/>
      <c r="X55" s="94"/>
      <c r="Y55" s="94"/>
      <c r="Z55" s="94"/>
    </row>
    <row r="56" ht="15.75" customHeight="1">
      <c r="T56" s="94"/>
      <c r="U56" s="94"/>
      <c r="V56" s="94"/>
      <c r="W56" s="94"/>
      <c r="X56" s="94"/>
      <c r="Y56" s="94"/>
      <c r="Z56" s="94"/>
    </row>
    <row r="57" ht="15.75" customHeight="1">
      <c r="T57" s="94"/>
      <c r="U57" s="94"/>
      <c r="V57" s="94"/>
      <c r="W57" s="94"/>
      <c r="X57" s="94"/>
      <c r="Y57" s="94"/>
      <c r="Z57" s="94"/>
    </row>
    <row r="58" ht="15.75" customHeight="1">
      <c r="T58" s="94"/>
      <c r="U58" s="94"/>
      <c r="V58" s="94"/>
      <c r="W58" s="94"/>
      <c r="X58" s="94"/>
      <c r="Y58" s="94"/>
      <c r="Z58" s="94"/>
    </row>
    <row r="59" ht="15.75" customHeight="1">
      <c r="T59" s="94"/>
      <c r="U59" s="94"/>
      <c r="V59" s="94"/>
      <c r="W59" s="94"/>
      <c r="X59" s="94"/>
      <c r="Y59" s="94"/>
      <c r="Z59" s="94"/>
    </row>
    <row r="60" ht="15.75" customHeight="1">
      <c r="T60" s="94"/>
      <c r="U60" s="94"/>
      <c r="V60" s="94"/>
      <c r="W60" s="94"/>
      <c r="X60" s="94"/>
      <c r="Y60" s="94"/>
      <c r="Z60" s="94"/>
    </row>
    <row r="61" ht="15.75" customHeight="1">
      <c r="T61" s="94"/>
      <c r="U61" s="94"/>
      <c r="V61" s="94"/>
      <c r="W61" s="94"/>
      <c r="X61" s="94"/>
      <c r="Y61" s="94"/>
      <c r="Z61" s="94"/>
    </row>
    <row r="62" ht="15.75" customHeight="1">
      <c r="T62" s="94"/>
      <c r="U62" s="94"/>
      <c r="V62" s="94"/>
      <c r="W62" s="94"/>
      <c r="X62" s="94"/>
      <c r="Y62" s="94"/>
      <c r="Z62" s="94"/>
    </row>
    <row r="63" ht="15.75" customHeight="1">
      <c r="T63" s="94"/>
      <c r="U63" s="94"/>
      <c r="V63" s="94"/>
      <c r="W63" s="94"/>
      <c r="X63" s="94"/>
      <c r="Y63" s="94"/>
      <c r="Z63" s="94"/>
    </row>
    <row r="64" ht="15.75" customHeight="1">
      <c r="T64" s="94"/>
      <c r="U64" s="94"/>
      <c r="V64" s="94"/>
      <c r="W64" s="94"/>
      <c r="X64" s="94"/>
      <c r="Y64" s="94"/>
      <c r="Z64" s="94"/>
    </row>
    <row r="65" ht="15.75" customHeight="1">
      <c r="T65" s="94"/>
      <c r="U65" s="94"/>
      <c r="V65" s="94"/>
      <c r="W65" s="94"/>
      <c r="X65" s="94"/>
      <c r="Y65" s="94"/>
      <c r="Z65" s="94"/>
    </row>
    <row r="66" ht="15.75" customHeight="1">
      <c r="T66" s="94"/>
      <c r="U66" s="94"/>
      <c r="V66" s="94"/>
      <c r="W66" s="94"/>
      <c r="X66" s="94"/>
      <c r="Y66" s="94"/>
      <c r="Z66" s="94"/>
    </row>
    <row r="67" ht="15.75" customHeight="1">
      <c r="T67" s="94"/>
      <c r="U67" s="94"/>
      <c r="V67" s="94"/>
      <c r="W67" s="94"/>
      <c r="X67" s="94"/>
      <c r="Y67" s="94"/>
      <c r="Z67" s="94"/>
    </row>
    <row r="68" ht="15.75" customHeight="1">
      <c r="T68" s="94"/>
      <c r="U68" s="94"/>
      <c r="V68" s="94"/>
      <c r="W68" s="94"/>
      <c r="X68" s="94"/>
      <c r="Y68" s="94"/>
      <c r="Z68" s="94"/>
    </row>
    <row r="69" ht="15.75" customHeight="1">
      <c r="T69" s="94"/>
      <c r="U69" s="94"/>
      <c r="V69" s="94"/>
      <c r="W69" s="94"/>
      <c r="X69" s="94"/>
      <c r="Y69" s="94"/>
      <c r="Z69" s="94"/>
    </row>
    <row r="70" ht="15.75" customHeight="1">
      <c r="T70" s="94"/>
      <c r="U70" s="94"/>
      <c r="V70" s="94"/>
      <c r="W70" s="94"/>
      <c r="X70" s="94"/>
      <c r="Y70" s="94"/>
      <c r="Z70" s="94"/>
    </row>
    <row r="71" ht="15.75" customHeight="1">
      <c r="T71" s="94"/>
      <c r="U71" s="94"/>
      <c r="V71" s="94"/>
      <c r="W71" s="94"/>
      <c r="X71" s="94"/>
      <c r="Y71" s="94"/>
      <c r="Z71" s="94"/>
    </row>
    <row r="72" ht="15.75" customHeight="1">
      <c r="T72" s="94"/>
      <c r="U72" s="94"/>
      <c r="V72" s="94"/>
      <c r="W72" s="94"/>
      <c r="X72" s="94"/>
      <c r="Y72" s="94"/>
      <c r="Z72" s="94"/>
    </row>
    <row r="73" ht="15.75" customHeight="1">
      <c r="T73" s="94"/>
      <c r="U73" s="94"/>
      <c r="V73" s="94"/>
      <c r="W73" s="94"/>
      <c r="X73" s="94"/>
      <c r="Y73" s="94"/>
      <c r="Z73" s="94"/>
    </row>
    <row r="74" ht="15.75" customHeight="1">
      <c r="T74" s="94"/>
      <c r="U74" s="94"/>
      <c r="V74" s="94"/>
      <c r="W74" s="94"/>
      <c r="X74" s="94"/>
      <c r="Y74" s="94"/>
      <c r="Z74" s="94"/>
    </row>
    <row r="75" ht="15.75" customHeight="1">
      <c r="T75" s="94"/>
      <c r="U75" s="94"/>
      <c r="V75" s="94"/>
      <c r="W75" s="94"/>
      <c r="X75" s="94"/>
      <c r="Y75" s="94"/>
      <c r="Z75" s="94"/>
    </row>
    <row r="76" ht="15.75" customHeight="1">
      <c r="T76" s="94"/>
      <c r="U76" s="94"/>
      <c r="V76" s="94"/>
      <c r="W76" s="94"/>
      <c r="X76" s="94"/>
      <c r="Y76" s="94"/>
      <c r="Z76" s="94"/>
    </row>
    <row r="77" ht="15.75" customHeight="1">
      <c r="T77" s="94"/>
      <c r="U77" s="94"/>
      <c r="V77" s="94"/>
      <c r="W77" s="94"/>
      <c r="X77" s="94"/>
      <c r="Y77" s="94"/>
      <c r="Z77" s="94"/>
    </row>
    <row r="78" ht="15.75" customHeight="1">
      <c r="T78" s="94"/>
      <c r="U78" s="94"/>
      <c r="V78" s="94"/>
      <c r="W78" s="94"/>
      <c r="X78" s="94"/>
      <c r="Y78" s="94"/>
      <c r="Z78" s="94"/>
    </row>
    <row r="79" ht="15.75" customHeight="1">
      <c r="T79" s="94"/>
      <c r="U79" s="94"/>
      <c r="V79" s="94"/>
      <c r="W79" s="94"/>
      <c r="X79" s="94"/>
      <c r="Y79" s="94"/>
      <c r="Z79" s="94"/>
    </row>
    <row r="80" ht="15.75" customHeight="1">
      <c r="T80" s="94"/>
      <c r="U80" s="94"/>
      <c r="V80" s="94"/>
      <c r="W80" s="94"/>
      <c r="X80" s="94"/>
      <c r="Y80" s="94"/>
      <c r="Z80" s="94"/>
    </row>
    <row r="81" ht="15.75" customHeight="1">
      <c r="T81" s="94"/>
      <c r="U81" s="94"/>
      <c r="V81" s="94"/>
      <c r="W81" s="94"/>
      <c r="X81" s="94"/>
      <c r="Y81" s="94"/>
      <c r="Z81" s="94"/>
    </row>
    <row r="82" ht="15.75" customHeight="1">
      <c r="T82" s="94"/>
      <c r="U82" s="94"/>
      <c r="V82" s="94"/>
      <c r="W82" s="94"/>
      <c r="X82" s="94"/>
      <c r="Y82" s="94"/>
      <c r="Z82" s="94"/>
    </row>
    <row r="83" ht="15.75" customHeight="1">
      <c r="T83" s="94"/>
      <c r="U83" s="94"/>
      <c r="V83" s="94"/>
      <c r="W83" s="94"/>
      <c r="X83" s="94"/>
      <c r="Y83" s="94"/>
      <c r="Z83" s="94"/>
    </row>
    <row r="84" ht="15.75" customHeight="1">
      <c r="T84" s="94"/>
      <c r="U84" s="94"/>
      <c r="V84" s="94"/>
      <c r="W84" s="94"/>
      <c r="X84" s="94"/>
      <c r="Y84" s="94"/>
      <c r="Z84" s="94"/>
    </row>
    <row r="85" ht="15.75" customHeight="1">
      <c r="T85" s="94"/>
      <c r="U85" s="94"/>
      <c r="V85" s="94"/>
      <c r="W85" s="94"/>
      <c r="X85" s="94"/>
      <c r="Y85" s="94"/>
      <c r="Z85" s="94"/>
    </row>
    <row r="86" ht="15.75" customHeight="1">
      <c r="T86" s="94"/>
      <c r="U86" s="94"/>
      <c r="V86" s="94"/>
      <c r="W86" s="94"/>
      <c r="X86" s="94"/>
      <c r="Y86" s="94"/>
      <c r="Z86" s="94"/>
    </row>
    <row r="87" ht="15.75" customHeight="1">
      <c r="T87" s="94"/>
      <c r="U87" s="94"/>
      <c r="V87" s="94"/>
      <c r="W87" s="94"/>
      <c r="X87" s="94"/>
      <c r="Y87" s="94"/>
      <c r="Z87" s="94"/>
    </row>
    <row r="88" ht="15.75" customHeight="1">
      <c r="T88" s="94"/>
      <c r="U88" s="94"/>
      <c r="V88" s="94"/>
      <c r="W88" s="94"/>
      <c r="X88" s="94"/>
      <c r="Y88" s="94"/>
      <c r="Z88" s="94"/>
    </row>
    <row r="89" ht="15.75" customHeight="1">
      <c r="T89" s="94"/>
      <c r="U89" s="94"/>
      <c r="V89" s="94"/>
      <c r="W89" s="94"/>
      <c r="X89" s="94"/>
      <c r="Y89" s="94"/>
      <c r="Z89" s="94"/>
    </row>
    <row r="90" ht="15.75" customHeight="1">
      <c r="T90" s="94"/>
      <c r="U90" s="94"/>
      <c r="V90" s="94"/>
      <c r="W90" s="94"/>
      <c r="X90" s="94"/>
      <c r="Y90" s="94"/>
      <c r="Z90" s="94"/>
    </row>
    <row r="91" ht="15.75" customHeight="1">
      <c r="T91" s="94"/>
      <c r="U91" s="94"/>
      <c r="V91" s="94"/>
      <c r="W91" s="94"/>
      <c r="X91" s="94"/>
      <c r="Y91" s="94"/>
      <c r="Z91" s="94"/>
    </row>
    <row r="92" ht="15.75" customHeight="1">
      <c r="T92" s="94"/>
      <c r="U92" s="94"/>
      <c r="V92" s="94"/>
      <c r="W92" s="94"/>
      <c r="X92" s="94"/>
      <c r="Y92" s="94"/>
      <c r="Z92" s="94"/>
    </row>
    <row r="93" ht="15.75" customHeight="1">
      <c r="T93" s="94"/>
      <c r="U93" s="94"/>
      <c r="V93" s="94"/>
      <c r="W93" s="94"/>
      <c r="X93" s="94"/>
      <c r="Y93" s="94"/>
      <c r="Z93" s="94"/>
    </row>
    <row r="94" ht="15.75" customHeight="1">
      <c r="T94" s="94"/>
      <c r="U94" s="94"/>
      <c r="V94" s="94"/>
      <c r="W94" s="94"/>
      <c r="X94" s="94"/>
      <c r="Y94" s="94"/>
      <c r="Z94" s="94"/>
    </row>
    <row r="95" ht="15.75" customHeight="1">
      <c r="T95" s="94"/>
      <c r="U95" s="94"/>
      <c r="V95" s="94"/>
      <c r="W95" s="94"/>
      <c r="X95" s="94"/>
      <c r="Y95" s="94"/>
      <c r="Z95" s="94"/>
    </row>
    <row r="96" ht="15.75" customHeight="1">
      <c r="T96" s="94"/>
      <c r="U96" s="94"/>
      <c r="V96" s="94"/>
      <c r="W96" s="94"/>
      <c r="X96" s="94"/>
      <c r="Y96" s="94"/>
      <c r="Z96" s="94"/>
    </row>
    <row r="97" ht="15.75" customHeight="1">
      <c r="T97" s="94"/>
      <c r="U97" s="94"/>
      <c r="V97" s="94"/>
      <c r="W97" s="94"/>
      <c r="X97" s="94"/>
      <c r="Y97" s="94"/>
      <c r="Z97" s="94"/>
    </row>
    <row r="98" ht="15.75" customHeight="1">
      <c r="T98" s="94"/>
      <c r="U98" s="94"/>
      <c r="V98" s="94"/>
      <c r="W98" s="94"/>
      <c r="X98" s="94"/>
      <c r="Y98" s="94"/>
      <c r="Z98" s="94"/>
    </row>
    <row r="99" ht="15.75" customHeight="1">
      <c r="T99" s="94"/>
      <c r="U99" s="94"/>
      <c r="V99" s="94"/>
      <c r="W99" s="94"/>
      <c r="X99" s="94"/>
      <c r="Y99" s="94"/>
      <c r="Z99" s="94"/>
    </row>
    <row r="100" ht="15.75" customHeight="1">
      <c r="T100" s="94"/>
      <c r="U100" s="94"/>
      <c r="V100" s="94"/>
      <c r="W100" s="94"/>
      <c r="X100" s="94"/>
      <c r="Y100" s="94"/>
      <c r="Z100" s="94"/>
    </row>
    <row r="101" ht="15.75" customHeight="1">
      <c r="T101" s="94"/>
      <c r="U101" s="94"/>
      <c r="V101" s="94"/>
      <c r="W101" s="94"/>
      <c r="X101" s="94"/>
      <c r="Y101" s="94"/>
      <c r="Z101" s="94"/>
    </row>
    <row r="102" ht="15.75" customHeight="1">
      <c r="T102" s="94"/>
      <c r="U102" s="94"/>
      <c r="V102" s="94"/>
      <c r="W102" s="94"/>
      <c r="X102" s="94"/>
      <c r="Y102" s="94"/>
      <c r="Z102" s="94"/>
    </row>
    <row r="103" ht="15.75" customHeight="1">
      <c r="T103" s="94"/>
      <c r="U103" s="94"/>
      <c r="V103" s="94"/>
      <c r="W103" s="94"/>
      <c r="X103" s="94"/>
      <c r="Y103" s="94"/>
      <c r="Z103" s="94"/>
    </row>
    <row r="104" ht="15.75" customHeight="1">
      <c r="T104" s="94"/>
      <c r="U104" s="94"/>
      <c r="V104" s="94"/>
      <c r="W104" s="94"/>
      <c r="X104" s="94"/>
      <c r="Y104" s="94"/>
      <c r="Z104" s="94"/>
    </row>
    <row r="105" ht="15.75" customHeight="1">
      <c r="T105" s="94"/>
      <c r="U105" s="94"/>
      <c r="V105" s="94"/>
      <c r="W105" s="94"/>
      <c r="X105" s="94"/>
      <c r="Y105" s="94"/>
      <c r="Z105" s="94"/>
    </row>
    <row r="106" ht="15.75" customHeight="1">
      <c r="T106" s="94"/>
      <c r="U106" s="94"/>
      <c r="V106" s="94"/>
      <c r="W106" s="94"/>
      <c r="X106" s="94"/>
      <c r="Y106" s="94"/>
      <c r="Z106" s="94"/>
    </row>
    <row r="107" ht="15.75" customHeight="1">
      <c r="T107" s="94"/>
      <c r="U107" s="94"/>
      <c r="V107" s="94"/>
      <c r="W107" s="94"/>
      <c r="X107" s="94"/>
      <c r="Y107" s="94"/>
      <c r="Z107" s="94"/>
    </row>
    <row r="108" ht="15.75" customHeight="1">
      <c r="T108" s="94"/>
      <c r="U108" s="94"/>
      <c r="V108" s="94"/>
      <c r="W108" s="94"/>
      <c r="X108" s="94"/>
      <c r="Y108" s="94"/>
      <c r="Z108" s="94"/>
    </row>
    <row r="109" ht="15.75" customHeight="1">
      <c r="T109" s="94"/>
      <c r="U109" s="94"/>
      <c r="V109" s="94"/>
      <c r="W109" s="94"/>
      <c r="X109" s="94"/>
      <c r="Y109" s="94"/>
      <c r="Z109" s="94"/>
    </row>
    <row r="110" ht="15.75" customHeight="1">
      <c r="T110" s="94"/>
      <c r="U110" s="94"/>
      <c r="V110" s="94"/>
      <c r="W110" s="94"/>
      <c r="X110" s="94"/>
      <c r="Y110" s="94"/>
      <c r="Z110" s="94"/>
    </row>
    <row r="111" ht="15.75" customHeight="1">
      <c r="T111" s="94"/>
      <c r="U111" s="94"/>
      <c r="V111" s="94"/>
      <c r="W111" s="94"/>
      <c r="X111" s="94"/>
      <c r="Y111" s="94"/>
      <c r="Z111" s="94"/>
    </row>
    <row r="112" ht="15.75" customHeight="1">
      <c r="T112" s="94"/>
      <c r="U112" s="94"/>
      <c r="V112" s="94"/>
      <c r="W112" s="94"/>
      <c r="X112" s="94"/>
      <c r="Y112" s="94"/>
      <c r="Z112" s="94"/>
    </row>
    <row r="113" ht="15.75" customHeight="1">
      <c r="T113" s="94"/>
      <c r="U113" s="94"/>
      <c r="V113" s="94"/>
      <c r="W113" s="94"/>
      <c r="X113" s="94"/>
      <c r="Y113" s="94"/>
      <c r="Z113" s="94"/>
    </row>
    <row r="114" ht="15.75" customHeight="1">
      <c r="T114" s="94"/>
      <c r="U114" s="94"/>
      <c r="V114" s="94"/>
      <c r="W114" s="94"/>
      <c r="X114" s="94"/>
      <c r="Y114" s="94"/>
      <c r="Z114" s="94"/>
    </row>
    <row r="115" ht="15.75" customHeight="1">
      <c r="T115" s="94"/>
      <c r="U115" s="94"/>
      <c r="V115" s="94"/>
      <c r="W115" s="94"/>
      <c r="X115" s="94"/>
      <c r="Y115" s="94"/>
      <c r="Z115" s="94"/>
    </row>
    <row r="116" ht="15.75" customHeight="1">
      <c r="T116" s="94"/>
      <c r="U116" s="94"/>
      <c r="V116" s="94"/>
      <c r="W116" s="94"/>
      <c r="X116" s="94"/>
      <c r="Y116" s="94"/>
      <c r="Z116" s="94"/>
    </row>
    <row r="117" ht="15.75" customHeight="1">
      <c r="T117" s="94"/>
      <c r="U117" s="94"/>
      <c r="V117" s="94"/>
      <c r="W117" s="94"/>
      <c r="X117" s="94"/>
      <c r="Y117" s="94"/>
      <c r="Z117" s="94"/>
    </row>
    <row r="118" ht="15.75" customHeight="1">
      <c r="T118" s="94"/>
      <c r="U118" s="94"/>
      <c r="V118" s="94"/>
      <c r="W118" s="94"/>
      <c r="X118" s="94"/>
      <c r="Y118" s="94"/>
      <c r="Z118" s="94"/>
    </row>
    <row r="119" ht="15.75" customHeight="1">
      <c r="T119" s="94"/>
      <c r="U119" s="94"/>
      <c r="V119" s="94"/>
      <c r="W119" s="94"/>
      <c r="X119" s="94"/>
      <c r="Y119" s="94"/>
      <c r="Z119" s="94"/>
    </row>
    <row r="120" ht="15.75" customHeight="1">
      <c r="T120" s="94"/>
      <c r="U120" s="94"/>
      <c r="V120" s="94"/>
      <c r="W120" s="94"/>
      <c r="X120" s="94"/>
      <c r="Y120" s="94"/>
      <c r="Z120" s="94"/>
    </row>
    <row r="121" ht="15.75" customHeight="1">
      <c r="T121" s="94"/>
      <c r="U121" s="94"/>
      <c r="V121" s="94"/>
      <c r="W121" s="94"/>
      <c r="X121" s="94"/>
      <c r="Y121" s="94"/>
      <c r="Z121" s="94"/>
    </row>
    <row r="122" ht="15.75" customHeight="1">
      <c r="T122" s="94"/>
      <c r="U122" s="94"/>
      <c r="V122" s="94"/>
      <c r="W122" s="94"/>
      <c r="X122" s="94"/>
      <c r="Y122" s="94"/>
      <c r="Z122" s="94"/>
    </row>
    <row r="123" ht="15.75" customHeight="1">
      <c r="T123" s="94"/>
      <c r="U123" s="94"/>
      <c r="V123" s="94"/>
      <c r="W123" s="94"/>
      <c r="X123" s="94"/>
      <c r="Y123" s="94"/>
      <c r="Z123" s="94"/>
    </row>
    <row r="124" ht="15.75" customHeight="1">
      <c r="T124" s="94"/>
      <c r="U124" s="94"/>
      <c r="V124" s="94"/>
      <c r="W124" s="94"/>
      <c r="X124" s="94"/>
      <c r="Y124" s="94"/>
      <c r="Z124" s="94"/>
    </row>
    <row r="125" ht="15.75" customHeight="1">
      <c r="T125" s="94"/>
      <c r="U125" s="94"/>
      <c r="V125" s="94"/>
      <c r="W125" s="94"/>
      <c r="X125" s="94"/>
      <c r="Y125" s="94"/>
      <c r="Z125" s="94"/>
    </row>
    <row r="126" ht="15.75" customHeight="1">
      <c r="T126" s="94"/>
      <c r="U126" s="94"/>
      <c r="V126" s="94"/>
      <c r="W126" s="94"/>
      <c r="X126" s="94"/>
      <c r="Y126" s="94"/>
      <c r="Z126" s="94"/>
    </row>
    <row r="127" ht="15.75" customHeight="1">
      <c r="T127" s="94"/>
      <c r="U127" s="94"/>
      <c r="V127" s="94"/>
      <c r="W127" s="94"/>
      <c r="X127" s="94"/>
      <c r="Y127" s="94"/>
      <c r="Z127" s="94"/>
    </row>
    <row r="128" ht="15.75" customHeight="1">
      <c r="T128" s="94"/>
      <c r="U128" s="94"/>
      <c r="V128" s="94"/>
      <c r="W128" s="94"/>
      <c r="X128" s="94"/>
      <c r="Y128" s="94"/>
      <c r="Z128" s="94"/>
    </row>
    <row r="129" ht="15.75" customHeight="1">
      <c r="T129" s="94"/>
      <c r="U129" s="94"/>
      <c r="V129" s="94"/>
      <c r="W129" s="94"/>
      <c r="X129" s="94"/>
      <c r="Y129" s="94"/>
      <c r="Z129" s="94"/>
    </row>
    <row r="130" ht="15.75" customHeight="1">
      <c r="T130" s="94"/>
      <c r="U130" s="94"/>
      <c r="V130" s="94"/>
      <c r="W130" s="94"/>
      <c r="X130" s="94"/>
      <c r="Y130" s="94"/>
      <c r="Z130" s="94"/>
    </row>
    <row r="131" ht="15.75" customHeight="1">
      <c r="T131" s="94"/>
      <c r="U131" s="94"/>
      <c r="V131" s="94"/>
      <c r="W131" s="94"/>
      <c r="X131" s="94"/>
      <c r="Y131" s="94"/>
      <c r="Z131" s="94"/>
    </row>
    <row r="132" ht="15.75" customHeight="1">
      <c r="T132" s="94"/>
      <c r="U132" s="94"/>
      <c r="V132" s="94"/>
      <c r="W132" s="94"/>
      <c r="X132" s="94"/>
      <c r="Y132" s="94"/>
      <c r="Z132" s="94"/>
    </row>
    <row r="133" ht="15.75" customHeight="1">
      <c r="T133" s="94"/>
      <c r="U133" s="94"/>
      <c r="V133" s="94"/>
      <c r="W133" s="94"/>
      <c r="X133" s="94"/>
      <c r="Y133" s="94"/>
      <c r="Z133" s="94"/>
    </row>
    <row r="134" ht="15.75" customHeight="1">
      <c r="T134" s="94"/>
      <c r="U134" s="94"/>
      <c r="V134" s="94"/>
      <c r="W134" s="94"/>
      <c r="X134" s="94"/>
      <c r="Y134" s="94"/>
      <c r="Z134" s="94"/>
    </row>
    <row r="135" ht="15.75" customHeight="1">
      <c r="T135" s="94"/>
      <c r="U135" s="94"/>
      <c r="V135" s="94"/>
      <c r="W135" s="94"/>
      <c r="X135" s="94"/>
      <c r="Y135" s="94"/>
      <c r="Z135" s="94"/>
    </row>
    <row r="136" ht="15.75" customHeight="1">
      <c r="T136" s="94"/>
      <c r="U136" s="94"/>
      <c r="V136" s="94"/>
      <c r="W136" s="94"/>
      <c r="X136" s="94"/>
      <c r="Y136" s="94"/>
      <c r="Z136" s="94"/>
    </row>
    <row r="137" ht="15.75" customHeight="1">
      <c r="T137" s="94"/>
      <c r="U137" s="94"/>
      <c r="V137" s="94"/>
      <c r="W137" s="94"/>
      <c r="X137" s="94"/>
      <c r="Y137" s="94"/>
      <c r="Z137" s="94"/>
    </row>
    <row r="138" ht="15.75" customHeight="1">
      <c r="T138" s="94"/>
      <c r="U138" s="94"/>
      <c r="V138" s="94"/>
      <c r="W138" s="94"/>
      <c r="X138" s="94"/>
      <c r="Y138" s="94"/>
      <c r="Z138" s="94"/>
    </row>
    <row r="139" ht="15.75" customHeight="1">
      <c r="T139" s="94"/>
      <c r="U139" s="94"/>
      <c r="V139" s="94"/>
      <c r="W139" s="94"/>
      <c r="X139" s="94"/>
      <c r="Y139" s="94"/>
      <c r="Z139" s="94"/>
    </row>
    <row r="140" ht="15.75" customHeight="1">
      <c r="T140" s="94"/>
      <c r="U140" s="94"/>
      <c r="V140" s="94"/>
      <c r="W140" s="94"/>
      <c r="X140" s="94"/>
      <c r="Y140" s="94"/>
      <c r="Z140" s="94"/>
    </row>
    <row r="141" ht="15.75" customHeight="1">
      <c r="T141" s="94"/>
      <c r="U141" s="94"/>
      <c r="V141" s="94"/>
      <c r="W141" s="94"/>
      <c r="X141" s="94"/>
      <c r="Y141" s="94"/>
      <c r="Z141" s="94"/>
    </row>
    <row r="142" ht="15.75" customHeight="1">
      <c r="T142" s="94"/>
      <c r="U142" s="94"/>
      <c r="V142" s="94"/>
      <c r="W142" s="94"/>
      <c r="X142" s="94"/>
      <c r="Y142" s="94"/>
      <c r="Z142" s="94"/>
    </row>
    <row r="143" ht="15.75" customHeight="1">
      <c r="T143" s="94"/>
      <c r="U143" s="94"/>
      <c r="V143" s="94"/>
      <c r="W143" s="94"/>
      <c r="X143" s="94"/>
      <c r="Y143" s="94"/>
      <c r="Z143" s="94"/>
    </row>
    <row r="144" ht="15.75" customHeight="1">
      <c r="T144" s="94"/>
      <c r="U144" s="94"/>
      <c r="V144" s="94"/>
      <c r="W144" s="94"/>
      <c r="X144" s="94"/>
      <c r="Y144" s="94"/>
      <c r="Z144" s="94"/>
    </row>
    <row r="145" ht="15.75" customHeight="1">
      <c r="T145" s="94"/>
      <c r="U145" s="94"/>
      <c r="V145" s="94"/>
      <c r="W145" s="94"/>
      <c r="X145" s="94"/>
      <c r="Y145" s="94"/>
      <c r="Z145" s="94"/>
    </row>
    <row r="146" ht="15.75" customHeight="1">
      <c r="T146" s="94"/>
      <c r="U146" s="94"/>
      <c r="V146" s="94"/>
      <c r="W146" s="94"/>
      <c r="X146" s="94"/>
      <c r="Y146" s="94"/>
      <c r="Z146" s="94"/>
    </row>
    <row r="147" ht="15.75" customHeight="1">
      <c r="T147" s="94"/>
      <c r="U147" s="94"/>
      <c r="V147" s="94"/>
      <c r="W147" s="94"/>
      <c r="X147" s="94"/>
      <c r="Y147" s="94"/>
      <c r="Z147" s="94"/>
    </row>
    <row r="148" ht="15.75" customHeight="1">
      <c r="T148" s="94"/>
      <c r="U148" s="94"/>
      <c r="V148" s="94"/>
      <c r="W148" s="94"/>
      <c r="X148" s="94"/>
      <c r="Y148" s="94"/>
      <c r="Z148" s="94"/>
    </row>
    <row r="149" ht="15.75" customHeight="1">
      <c r="T149" s="94"/>
      <c r="U149" s="94"/>
      <c r="V149" s="94"/>
      <c r="W149" s="94"/>
      <c r="X149" s="94"/>
      <c r="Y149" s="94"/>
      <c r="Z149" s="94"/>
    </row>
    <row r="150" ht="15.75" customHeight="1">
      <c r="T150" s="94"/>
      <c r="U150" s="94"/>
      <c r="V150" s="94"/>
      <c r="W150" s="94"/>
      <c r="X150" s="94"/>
      <c r="Y150" s="94"/>
      <c r="Z150" s="94"/>
    </row>
    <row r="151" ht="15.75" customHeight="1">
      <c r="T151" s="94"/>
      <c r="U151" s="94"/>
      <c r="V151" s="94"/>
      <c r="W151" s="94"/>
      <c r="X151" s="94"/>
      <c r="Y151" s="94"/>
      <c r="Z151" s="94"/>
    </row>
    <row r="152" ht="15.75" customHeight="1">
      <c r="T152" s="94"/>
      <c r="U152" s="94"/>
      <c r="V152" s="94"/>
      <c r="W152" s="94"/>
      <c r="X152" s="94"/>
      <c r="Y152" s="94"/>
      <c r="Z152" s="94"/>
    </row>
    <row r="153" ht="15.75" customHeight="1">
      <c r="T153" s="94"/>
      <c r="U153" s="94"/>
      <c r="V153" s="94"/>
      <c r="W153" s="94"/>
      <c r="X153" s="94"/>
      <c r="Y153" s="94"/>
      <c r="Z153" s="94"/>
    </row>
    <row r="154" ht="15.75" customHeight="1">
      <c r="T154" s="94"/>
      <c r="U154" s="94"/>
      <c r="V154" s="94"/>
      <c r="W154" s="94"/>
      <c r="X154" s="94"/>
      <c r="Y154" s="94"/>
      <c r="Z154" s="94"/>
    </row>
    <row r="155" ht="15.75" customHeight="1">
      <c r="T155" s="94"/>
      <c r="U155" s="94"/>
      <c r="V155" s="94"/>
      <c r="W155" s="94"/>
      <c r="X155" s="94"/>
      <c r="Y155" s="94"/>
      <c r="Z155" s="94"/>
    </row>
    <row r="156" ht="15.75" customHeight="1">
      <c r="T156" s="94"/>
      <c r="U156" s="94"/>
      <c r="V156" s="94"/>
      <c r="W156" s="94"/>
      <c r="X156" s="94"/>
      <c r="Y156" s="94"/>
      <c r="Z156" s="94"/>
    </row>
    <row r="157" ht="15.75" customHeight="1">
      <c r="T157" s="94"/>
      <c r="U157" s="94"/>
      <c r="V157" s="94"/>
      <c r="W157" s="94"/>
      <c r="X157" s="94"/>
      <c r="Y157" s="94"/>
      <c r="Z157" s="94"/>
    </row>
    <row r="158" ht="15.75" customHeight="1">
      <c r="T158" s="94"/>
      <c r="U158" s="94"/>
      <c r="V158" s="94"/>
      <c r="W158" s="94"/>
      <c r="X158" s="94"/>
      <c r="Y158" s="94"/>
      <c r="Z158" s="94"/>
    </row>
    <row r="159" ht="15.75" customHeight="1">
      <c r="T159" s="94"/>
      <c r="U159" s="94"/>
      <c r="V159" s="94"/>
      <c r="W159" s="94"/>
      <c r="X159" s="94"/>
      <c r="Y159" s="94"/>
      <c r="Z159" s="94"/>
    </row>
    <row r="160" ht="15.75" customHeight="1">
      <c r="T160" s="94"/>
      <c r="U160" s="94"/>
      <c r="V160" s="94"/>
      <c r="W160" s="94"/>
      <c r="X160" s="94"/>
      <c r="Y160" s="94"/>
      <c r="Z160" s="94"/>
    </row>
    <row r="161" ht="15.75" customHeight="1">
      <c r="T161" s="94"/>
      <c r="U161" s="94"/>
      <c r="V161" s="94"/>
      <c r="W161" s="94"/>
      <c r="X161" s="94"/>
      <c r="Y161" s="94"/>
      <c r="Z161" s="94"/>
    </row>
    <row r="162" ht="15.75" customHeight="1">
      <c r="T162" s="94"/>
      <c r="U162" s="94"/>
      <c r="V162" s="94"/>
      <c r="W162" s="94"/>
      <c r="X162" s="94"/>
      <c r="Y162" s="94"/>
      <c r="Z162" s="94"/>
    </row>
    <row r="163" ht="15.75" customHeight="1">
      <c r="T163" s="94"/>
      <c r="U163" s="94"/>
      <c r="V163" s="94"/>
      <c r="W163" s="94"/>
      <c r="X163" s="94"/>
      <c r="Y163" s="94"/>
      <c r="Z163" s="94"/>
    </row>
    <row r="164" ht="15.75" customHeight="1">
      <c r="T164" s="94"/>
      <c r="U164" s="94"/>
      <c r="V164" s="94"/>
      <c r="W164" s="94"/>
      <c r="X164" s="94"/>
      <c r="Y164" s="94"/>
      <c r="Z164" s="94"/>
    </row>
    <row r="165" ht="15.75" customHeight="1">
      <c r="T165" s="94"/>
      <c r="U165" s="94"/>
      <c r="V165" s="94"/>
      <c r="W165" s="94"/>
      <c r="X165" s="94"/>
      <c r="Y165" s="94"/>
      <c r="Z165" s="94"/>
    </row>
    <row r="166" ht="15.75" customHeight="1">
      <c r="T166" s="94"/>
      <c r="U166" s="94"/>
      <c r="V166" s="94"/>
      <c r="W166" s="94"/>
      <c r="X166" s="94"/>
      <c r="Y166" s="94"/>
      <c r="Z166" s="94"/>
    </row>
    <row r="167" ht="15.75" customHeight="1">
      <c r="T167" s="94"/>
      <c r="U167" s="94"/>
      <c r="V167" s="94"/>
      <c r="W167" s="94"/>
      <c r="X167" s="94"/>
      <c r="Y167" s="94"/>
      <c r="Z167" s="94"/>
    </row>
    <row r="168" ht="15.75" customHeight="1">
      <c r="T168" s="94"/>
      <c r="U168" s="94"/>
      <c r="V168" s="94"/>
      <c r="W168" s="94"/>
      <c r="X168" s="94"/>
      <c r="Y168" s="94"/>
      <c r="Z168" s="94"/>
    </row>
    <row r="169" ht="15.75" customHeight="1">
      <c r="T169" s="94"/>
      <c r="U169" s="94"/>
      <c r="V169" s="94"/>
      <c r="W169" s="94"/>
      <c r="X169" s="94"/>
      <c r="Y169" s="94"/>
      <c r="Z169" s="94"/>
    </row>
    <row r="170" ht="15.75" customHeight="1">
      <c r="T170" s="94"/>
      <c r="U170" s="94"/>
      <c r="V170" s="94"/>
      <c r="W170" s="94"/>
      <c r="X170" s="94"/>
      <c r="Y170" s="94"/>
      <c r="Z170" s="94"/>
    </row>
    <row r="171" ht="15.75" customHeight="1">
      <c r="T171" s="94"/>
      <c r="U171" s="94"/>
      <c r="V171" s="94"/>
      <c r="W171" s="94"/>
      <c r="X171" s="94"/>
      <c r="Y171" s="94"/>
      <c r="Z171" s="94"/>
    </row>
    <row r="172" ht="15.75" customHeight="1">
      <c r="T172" s="94"/>
      <c r="U172" s="94"/>
      <c r="V172" s="94"/>
      <c r="W172" s="94"/>
      <c r="X172" s="94"/>
      <c r="Y172" s="94"/>
      <c r="Z172" s="94"/>
    </row>
    <row r="173" ht="15.75" customHeight="1">
      <c r="T173" s="94"/>
      <c r="U173" s="94"/>
      <c r="V173" s="94"/>
      <c r="W173" s="94"/>
      <c r="X173" s="94"/>
      <c r="Y173" s="94"/>
      <c r="Z173" s="94"/>
    </row>
    <row r="174" ht="15.75" customHeight="1">
      <c r="T174" s="94"/>
      <c r="U174" s="94"/>
      <c r="V174" s="94"/>
      <c r="W174" s="94"/>
      <c r="X174" s="94"/>
      <c r="Y174" s="94"/>
      <c r="Z174" s="94"/>
    </row>
    <row r="175" ht="15.75" customHeight="1">
      <c r="T175" s="94"/>
      <c r="U175" s="94"/>
      <c r="V175" s="94"/>
      <c r="W175" s="94"/>
      <c r="X175" s="94"/>
      <c r="Y175" s="94"/>
      <c r="Z175" s="94"/>
    </row>
    <row r="176" ht="15.75" customHeight="1">
      <c r="T176" s="94"/>
      <c r="U176" s="94"/>
      <c r="V176" s="94"/>
      <c r="W176" s="94"/>
      <c r="X176" s="94"/>
      <c r="Y176" s="94"/>
      <c r="Z176" s="94"/>
    </row>
    <row r="177" ht="15.75" customHeight="1">
      <c r="T177" s="94"/>
      <c r="U177" s="94"/>
      <c r="V177" s="94"/>
      <c r="W177" s="94"/>
      <c r="X177" s="94"/>
      <c r="Y177" s="94"/>
      <c r="Z177" s="94"/>
    </row>
    <row r="178" ht="15.75" customHeight="1">
      <c r="T178" s="94"/>
      <c r="U178" s="94"/>
      <c r="V178" s="94"/>
      <c r="W178" s="94"/>
      <c r="X178" s="94"/>
      <c r="Y178" s="94"/>
      <c r="Z178" s="94"/>
    </row>
    <row r="179" ht="15.75" customHeight="1">
      <c r="T179" s="94"/>
      <c r="U179" s="94"/>
      <c r="V179" s="94"/>
      <c r="W179" s="94"/>
      <c r="X179" s="94"/>
      <c r="Y179" s="94"/>
      <c r="Z179" s="94"/>
    </row>
    <row r="180" ht="15.75" customHeight="1">
      <c r="T180" s="94"/>
      <c r="U180" s="94"/>
      <c r="V180" s="94"/>
      <c r="W180" s="94"/>
      <c r="X180" s="94"/>
      <c r="Y180" s="94"/>
      <c r="Z180" s="94"/>
    </row>
    <row r="181" ht="15.75" customHeight="1">
      <c r="T181" s="94"/>
      <c r="U181" s="94"/>
      <c r="V181" s="94"/>
      <c r="W181" s="94"/>
      <c r="X181" s="94"/>
      <c r="Y181" s="94"/>
      <c r="Z181" s="94"/>
    </row>
    <row r="182" ht="15.75" customHeight="1">
      <c r="T182" s="94"/>
      <c r="U182" s="94"/>
      <c r="V182" s="94"/>
      <c r="W182" s="94"/>
      <c r="X182" s="94"/>
      <c r="Y182" s="94"/>
      <c r="Z182" s="94"/>
    </row>
    <row r="183" ht="15.75" customHeight="1">
      <c r="T183" s="94"/>
      <c r="U183" s="94"/>
      <c r="V183" s="94"/>
      <c r="W183" s="94"/>
      <c r="X183" s="94"/>
      <c r="Y183" s="94"/>
      <c r="Z183" s="94"/>
    </row>
    <row r="184" ht="15.75" customHeight="1">
      <c r="T184" s="94"/>
      <c r="U184" s="94"/>
      <c r="V184" s="94"/>
      <c r="W184" s="94"/>
      <c r="X184" s="94"/>
      <c r="Y184" s="94"/>
      <c r="Z184" s="94"/>
    </row>
    <row r="185" ht="15.75" customHeight="1">
      <c r="T185" s="94"/>
      <c r="U185" s="94"/>
      <c r="V185" s="94"/>
      <c r="W185" s="94"/>
      <c r="X185" s="94"/>
      <c r="Y185" s="94"/>
      <c r="Z185" s="94"/>
    </row>
    <row r="186" ht="15.75" customHeight="1">
      <c r="T186" s="94"/>
      <c r="U186" s="94"/>
      <c r="V186" s="94"/>
      <c r="W186" s="94"/>
      <c r="X186" s="94"/>
      <c r="Y186" s="94"/>
      <c r="Z186" s="94"/>
    </row>
    <row r="187" ht="15.75" customHeight="1">
      <c r="T187" s="94"/>
      <c r="U187" s="94"/>
      <c r="V187" s="94"/>
      <c r="W187" s="94"/>
      <c r="X187" s="94"/>
      <c r="Y187" s="94"/>
      <c r="Z187" s="94"/>
    </row>
    <row r="188" ht="15.75" customHeight="1">
      <c r="T188" s="94"/>
      <c r="U188" s="94"/>
      <c r="V188" s="94"/>
      <c r="W188" s="94"/>
      <c r="X188" s="94"/>
      <c r="Y188" s="94"/>
      <c r="Z188" s="94"/>
    </row>
    <row r="189" ht="15.75" customHeight="1">
      <c r="T189" s="94"/>
      <c r="U189" s="94"/>
      <c r="V189" s="94"/>
      <c r="W189" s="94"/>
      <c r="X189" s="94"/>
      <c r="Y189" s="94"/>
      <c r="Z189" s="94"/>
    </row>
    <row r="190" ht="15.75" customHeight="1">
      <c r="T190" s="94"/>
      <c r="U190" s="94"/>
      <c r="V190" s="94"/>
      <c r="W190" s="94"/>
      <c r="X190" s="94"/>
      <c r="Y190" s="94"/>
      <c r="Z190" s="94"/>
    </row>
    <row r="191" ht="15.75" customHeight="1">
      <c r="T191" s="94"/>
      <c r="U191" s="94"/>
      <c r="V191" s="94"/>
      <c r="W191" s="94"/>
      <c r="X191" s="94"/>
      <c r="Y191" s="94"/>
      <c r="Z191" s="94"/>
    </row>
    <row r="192" ht="15.75" customHeight="1">
      <c r="T192" s="94"/>
      <c r="U192" s="94"/>
      <c r="V192" s="94"/>
      <c r="W192" s="94"/>
      <c r="X192" s="94"/>
      <c r="Y192" s="94"/>
      <c r="Z192" s="94"/>
    </row>
    <row r="193" ht="15.75" customHeight="1">
      <c r="T193" s="94"/>
      <c r="U193" s="94"/>
      <c r="V193" s="94"/>
      <c r="W193" s="94"/>
      <c r="X193" s="94"/>
      <c r="Y193" s="94"/>
      <c r="Z193" s="94"/>
    </row>
    <row r="194" ht="15.75" customHeight="1">
      <c r="T194" s="94"/>
      <c r="U194" s="94"/>
      <c r="V194" s="94"/>
      <c r="W194" s="94"/>
      <c r="X194" s="94"/>
      <c r="Y194" s="94"/>
      <c r="Z194" s="94"/>
    </row>
    <row r="195" ht="15.75" customHeight="1">
      <c r="T195" s="94"/>
      <c r="U195" s="94"/>
      <c r="V195" s="94"/>
      <c r="W195" s="94"/>
      <c r="X195" s="94"/>
      <c r="Y195" s="94"/>
      <c r="Z195" s="94"/>
    </row>
    <row r="196" ht="15.75" customHeight="1">
      <c r="T196" s="94"/>
      <c r="U196" s="94"/>
      <c r="V196" s="94"/>
      <c r="W196" s="94"/>
      <c r="X196" s="94"/>
      <c r="Y196" s="94"/>
      <c r="Z196" s="94"/>
    </row>
    <row r="197" ht="15.75" customHeight="1">
      <c r="T197" s="94"/>
      <c r="U197" s="94"/>
      <c r="V197" s="94"/>
      <c r="W197" s="94"/>
      <c r="X197" s="94"/>
      <c r="Y197" s="94"/>
      <c r="Z197" s="94"/>
    </row>
    <row r="198" ht="15.75" customHeight="1">
      <c r="T198" s="94"/>
      <c r="U198" s="94"/>
      <c r="V198" s="94"/>
      <c r="W198" s="94"/>
      <c r="X198" s="94"/>
      <c r="Y198" s="94"/>
      <c r="Z198" s="94"/>
    </row>
    <row r="199" ht="15.75" customHeight="1">
      <c r="T199" s="94"/>
      <c r="U199" s="94"/>
      <c r="V199" s="94"/>
      <c r="W199" s="94"/>
      <c r="X199" s="94"/>
      <c r="Y199" s="94"/>
      <c r="Z199" s="94"/>
    </row>
    <row r="200" ht="15.75" customHeight="1">
      <c r="T200" s="94"/>
      <c r="U200" s="94"/>
      <c r="V200" s="94"/>
      <c r="W200" s="94"/>
      <c r="X200" s="94"/>
      <c r="Y200" s="94"/>
      <c r="Z200" s="94"/>
    </row>
    <row r="201" ht="15.75" customHeight="1">
      <c r="T201" s="94"/>
      <c r="U201" s="94"/>
      <c r="V201" s="94"/>
      <c r="W201" s="94"/>
      <c r="X201" s="94"/>
      <c r="Y201" s="94"/>
      <c r="Z201" s="94"/>
    </row>
    <row r="202" ht="15.75" customHeight="1">
      <c r="T202" s="94"/>
      <c r="U202" s="94"/>
      <c r="V202" s="94"/>
      <c r="W202" s="94"/>
      <c r="X202" s="94"/>
      <c r="Y202" s="94"/>
      <c r="Z202" s="94"/>
    </row>
    <row r="203" ht="15.75" customHeight="1">
      <c r="T203" s="94"/>
      <c r="U203" s="94"/>
      <c r="V203" s="94"/>
      <c r="W203" s="94"/>
      <c r="X203" s="94"/>
      <c r="Y203" s="94"/>
      <c r="Z203" s="94"/>
    </row>
    <row r="204" ht="15.75" customHeight="1">
      <c r="T204" s="94"/>
      <c r="U204" s="94"/>
      <c r="V204" s="94"/>
      <c r="W204" s="94"/>
      <c r="X204" s="94"/>
      <c r="Y204" s="94"/>
      <c r="Z204" s="94"/>
    </row>
    <row r="205" ht="15.75" customHeight="1">
      <c r="T205" s="94"/>
      <c r="U205" s="94"/>
      <c r="V205" s="94"/>
      <c r="W205" s="94"/>
      <c r="X205" s="94"/>
      <c r="Y205" s="94"/>
      <c r="Z205" s="94"/>
    </row>
    <row r="206" ht="15.75" customHeight="1">
      <c r="T206" s="94"/>
      <c r="U206" s="94"/>
      <c r="V206" s="94"/>
      <c r="W206" s="94"/>
      <c r="X206" s="94"/>
      <c r="Y206" s="94"/>
      <c r="Z206" s="94"/>
    </row>
    <row r="207" ht="15.75" customHeight="1">
      <c r="T207" s="94"/>
      <c r="U207" s="94"/>
      <c r="V207" s="94"/>
      <c r="W207" s="94"/>
      <c r="X207" s="94"/>
      <c r="Y207" s="94"/>
      <c r="Z207" s="94"/>
    </row>
    <row r="208" ht="15.75" customHeight="1">
      <c r="T208" s="94"/>
      <c r="U208" s="94"/>
      <c r="V208" s="94"/>
      <c r="W208" s="94"/>
      <c r="X208" s="94"/>
      <c r="Y208" s="94"/>
      <c r="Z208" s="94"/>
    </row>
    <row r="209" ht="15.75" customHeight="1">
      <c r="T209" s="94"/>
      <c r="U209" s="94"/>
      <c r="V209" s="94"/>
      <c r="W209" s="94"/>
      <c r="X209" s="94"/>
      <c r="Y209" s="94"/>
      <c r="Z209" s="94"/>
    </row>
    <row r="210" ht="15.75" customHeight="1">
      <c r="T210" s="94"/>
      <c r="U210" s="94"/>
      <c r="V210" s="94"/>
      <c r="W210" s="94"/>
      <c r="X210" s="94"/>
      <c r="Y210" s="94"/>
      <c r="Z210" s="94"/>
    </row>
    <row r="211" ht="15.75" customHeight="1">
      <c r="T211" s="94"/>
      <c r="U211" s="94"/>
      <c r="V211" s="94"/>
      <c r="W211" s="94"/>
      <c r="X211" s="94"/>
      <c r="Y211" s="94"/>
      <c r="Z211" s="94"/>
    </row>
    <row r="212" ht="15.75" customHeight="1">
      <c r="T212" s="94"/>
      <c r="U212" s="94"/>
      <c r="V212" s="94"/>
      <c r="W212" s="94"/>
      <c r="X212" s="94"/>
      <c r="Y212" s="94"/>
      <c r="Z212" s="94"/>
    </row>
    <row r="213" ht="15.75" customHeight="1">
      <c r="T213" s="94"/>
      <c r="U213" s="94"/>
      <c r="V213" s="94"/>
      <c r="W213" s="94"/>
      <c r="X213" s="94"/>
      <c r="Y213" s="94"/>
      <c r="Z213" s="94"/>
    </row>
    <row r="214" ht="15.75" customHeight="1">
      <c r="T214" s="94"/>
      <c r="U214" s="94"/>
      <c r="V214" s="94"/>
      <c r="W214" s="94"/>
      <c r="X214" s="94"/>
      <c r="Y214" s="94"/>
      <c r="Z214" s="94"/>
    </row>
    <row r="215" ht="15.75" customHeight="1">
      <c r="T215" s="94"/>
      <c r="U215" s="94"/>
      <c r="V215" s="94"/>
      <c r="W215" s="94"/>
      <c r="X215" s="94"/>
      <c r="Y215" s="94"/>
      <c r="Z215" s="94"/>
    </row>
    <row r="216" ht="15.75" customHeight="1">
      <c r="T216" s="94"/>
      <c r="U216" s="94"/>
      <c r="V216" s="94"/>
      <c r="W216" s="94"/>
      <c r="X216" s="94"/>
      <c r="Y216" s="94"/>
      <c r="Z216" s="94"/>
    </row>
    <row r="217" ht="15.75" customHeight="1">
      <c r="T217" s="94"/>
      <c r="U217" s="94"/>
      <c r="V217" s="94"/>
      <c r="W217" s="94"/>
      <c r="X217" s="94"/>
      <c r="Y217" s="94"/>
      <c r="Z217" s="94"/>
    </row>
    <row r="218" ht="15.75" customHeight="1">
      <c r="T218" s="94"/>
      <c r="U218" s="94"/>
      <c r="V218" s="94"/>
      <c r="W218" s="94"/>
      <c r="X218" s="94"/>
      <c r="Y218" s="94"/>
      <c r="Z218" s="94"/>
    </row>
    <row r="219" ht="15.75" customHeight="1">
      <c r="T219" s="94"/>
      <c r="U219" s="94"/>
      <c r="V219" s="94"/>
      <c r="W219" s="94"/>
      <c r="X219" s="94"/>
      <c r="Y219" s="94"/>
      <c r="Z219" s="94"/>
    </row>
    <row r="220" ht="15.75" customHeight="1">
      <c r="T220" s="94"/>
      <c r="U220" s="94"/>
      <c r="V220" s="94"/>
      <c r="W220" s="94"/>
      <c r="X220" s="94"/>
      <c r="Y220" s="94"/>
      <c r="Z220" s="94"/>
    </row>
    <row r="221" ht="15.75" customHeight="1">
      <c r="T221" s="94"/>
      <c r="U221" s="94"/>
      <c r="V221" s="94"/>
      <c r="W221" s="94"/>
      <c r="X221" s="94"/>
      <c r="Y221" s="94"/>
      <c r="Z221" s="94"/>
    </row>
    <row r="222" ht="15.75" customHeight="1">
      <c r="T222" s="94"/>
      <c r="U222" s="94"/>
      <c r="V222" s="94"/>
      <c r="W222" s="94"/>
      <c r="X222" s="94"/>
      <c r="Y222" s="94"/>
      <c r="Z222" s="94"/>
    </row>
    <row r="223" ht="15.75" customHeight="1">
      <c r="T223" s="94"/>
      <c r="U223" s="94"/>
      <c r="V223" s="94"/>
      <c r="W223" s="94"/>
      <c r="X223" s="94"/>
      <c r="Y223" s="94"/>
      <c r="Z223" s="94"/>
    </row>
    <row r="224" ht="15.75" customHeight="1">
      <c r="T224" s="94"/>
      <c r="U224" s="94"/>
      <c r="V224" s="94"/>
      <c r="W224" s="94"/>
      <c r="X224" s="94"/>
      <c r="Y224" s="94"/>
      <c r="Z224" s="94"/>
    </row>
    <row r="225" ht="15.75" customHeight="1">
      <c r="T225" s="94"/>
      <c r="U225" s="94"/>
      <c r="V225" s="94"/>
      <c r="W225" s="94"/>
      <c r="X225" s="94"/>
      <c r="Y225" s="94"/>
      <c r="Z225" s="94"/>
    </row>
    <row r="226" ht="15.75" customHeight="1">
      <c r="T226" s="94"/>
      <c r="U226" s="94"/>
      <c r="V226" s="94"/>
      <c r="W226" s="94"/>
      <c r="X226" s="94"/>
      <c r="Y226" s="94"/>
      <c r="Z226" s="94"/>
    </row>
    <row r="227" ht="15.75" customHeight="1">
      <c r="T227" s="94"/>
      <c r="U227" s="94"/>
      <c r="V227" s="94"/>
      <c r="W227" s="94"/>
      <c r="X227" s="94"/>
      <c r="Y227" s="94"/>
      <c r="Z227" s="94"/>
    </row>
    <row r="228" ht="15.75" customHeight="1">
      <c r="T228" s="94"/>
      <c r="U228" s="94"/>
      <c r="V228" s="94"/>
      <c r="W228" s="94"/>
      <c r="X228" s="94"/>
      <c r="Y228" s="94"/>
      <c r="Z228" s="94"/>
    </row>
    <row r="229" ht="15.75" customHeight="1">
      <c r="T229" s="94"/>
      <c r="U229" s="94"/>
      <c r="V229" s="94"/>
      <c r="W229" s="94"/>
      <c r="X229" s="94"/>
      <c r="Y229" s="94"/>
      <c r="Z229" s="94"/>
    </row>
    <row r="230" ht="15.75" customHeight="1">
      <c r="T230" s="94"/>
      <c r="U230" s="94"/>
      <c r="V230" s="94"/>
      <c r="W230" s="94"/>
      <c r="X230" s="94"/>
      <c r="Y230" s="94"/>
      <c r="Z230" s="94"/>
    </row>
    <row r="231" ht="15.75" customHeight="1">
      <c r="T231" s="94"/>
      <c r="U231" s="94"/>
      <c r="V231" s="94"/>
      <c r="W231" s="94"/>
      <c r="X231" s="94"/>
      <c r="Y231" s="94"/>
      <c r="Z231" s="94"/>
    </row>
    <row r="232" ht="15.75" customHeight="1">
      <c r="T232" s="94"/>
      <c r="U232" s="94"/>
      <c r="V232" s="94"/>
      <c r="W232" s="94"/>
      <c r="X232" s="94"/>
      <c r="Y232" s="94"/>
      <c r="Z232" s="94"/>
    </row>
    <row r="233" ht="15.75" customHeight="1">
      <c r="T233" s="94"/>
      <c r="U233" s="94"/>
      <c r="V233" s="94"/>
      <c r="W233" s="94"/>
      <c r="X233" s="94"/>
      <c r="Y233" s="94"/>
      <c r="Z233" s="94"/>
    </row>
    <row r="234" ht="15.75" customHeight="1">
      <c r="T234" s="94"/>
      <c r="U234" s="94"/>
      <c r="V234" s="94"/>
      <c r="W234" s="94"/>
      <c r="X234" s="94"/>
      <c r="Y234" s="94"/>
      <c r="Z234" s="94"/>
    </row>
    <row r="235" ht="15.75" customHeight="1">
      <c r="T235" s="94"/>
      <c r="U235" s="94"/>
      <c r="V235" s="94"/>
      <c r="W235" s="94"/>
      <c r="X235" s="94"/>
      <c r="Y235" s="94"/>
      <c r="Z235" s="94"/>
    </row>
    <row r="236" ht="15.75" customHeight="1">
      <c r="T236" s="94"/>
      <c r="U236" s="94"/>
      <c r="V236" s="94"/>
      <c r="W236" s="94"/>
      <c r="X236" s="94"/>
      <c r="Y236" s="94"/>
      <c r="Z236" s="94"/>
    </row>
    <row r="237" ht="15.75" customHeight="1">
      <c r="T237" s="94"/>
      <c r="U237" s="94"/>
      <c r="V237" s="94"/>
      <c r="W237" s="94"/>
      <c r="X237" s="94"/>
      <c r="Y237" s="94"/>
      <c r="Z237" s="94"/>
    </row>
    <row r="238" ht="15.75" customHeight="1">
      <c r="T238" s="94"/>
      <c r="U238" s="94"/>
      <c r="V238" s="94"/>
      <c r="W238" s="94"/>
      <c r="X238" s="94"/>
      <c r="Y238" s="94"/>
      <c r="Z238" s="94"/>
    </row>
    <row r="239" ht="15.75" customHeight="1">
      <c r="T239" s="94"/>
      <c r="U239" s="94"/>
      <c r="V239" s="94"/>
      <c r="W239" s="94"/>
      <c r="X239" s="94"/>
      <c r="Y239" s="94"/>
      <c r="Z239" s="94"/>
    </row>
    <row r="240" ht="15.75" customHeight="1">
      <c r="T240" s="94"/>
      <c r="U240" s="94"/>
      <c r="V240" s="94"/>
      <c r="W240" s="94"/>
      <c r="X240" s="94"/>
      <c r="Y240" s="94"/>
      <c r="Z240" s="94"/>
    </row>
    <row r="241" ht="15.75" customHeight="1">
      <c r="T241" s="94"/>
      <c r="U241" s="94"/>
      <c r="V241" s="94"/>
      <c r="W241" s="94"/>
      <c r="X241" s="94"/>
      <c r="Y241" s="94"/>
      <c r="Z241" s="94"/>
    </row>
    <row r="242" ht="15.75" customHeight="1">
      <c r="T242" s="94"/>
      <c r="U242" s="94"/>
      <c r="V242" s="94"/>
      <c r="W242" s="94"/>
      <c r="X242" s="94"/>
      <c r="Y242" s="94"/>
      <c r="Z242" s="94"/>
    </row>
    <row r="243" ht="15.75" customHeight="1">
      <c r="T243" s="94"/>
      <c r="U243" s="94"/>
      <c r="V243" s="94"/>
      <c r="W243" s="94"/>
      <c r="X243" s="94"/>
      <c r="Y243" s="94"/>
      <c r="Z243" s="94"/>
    </row>
    <row r="244" ht="15.75" customHeight="1">
      <c r="T244" s="94"/>
      <c r="U244" s="94"/>
      <c r="V244" s="94"/>
      <c r="W244" s="94"/>
      <c r="X244" s="94"/>
      <c r="Y244" s="94"/>
      <c r="Z244" s="94"/>
    </row>
    <row r="245" ht="15.75" customHeight="1">
      <c r="T245" s="94"/>
      <c r="U245" s="94"/>
      <c r="V245" s="94"/>
      <c r="W245" s="94"/>
      <c r="X245" s="94"/>
      <c r="Y245" s="94"/>
      <c r="Z245" s="94"/>
    </row>
    <row r="246" ht="15.75" customHeight="1">
      <c r="T246" s="94"/>
      <c r="U246" s="94"/>
      <c r="V246" s="94"/>
      <c r="W246" s="94"/>
      <c r="X246" s="94"/>
      <c r="Y246" s="94"/>
      <c r="Z246" s="94"/>
    </row>
    <row r="247" ht="15.75" customHeight="1">
      <c r="T247" s="94"/>
      <c r="U247" s="94"/>
      <c r="V247" s="94"/>
      <c r="W247" s="94"/>
      <c r="X247" s="94"/>
      <c r="Y247" s="94"/>
      <c r="Z247" s="94"/>
    </row>
    <row r="248" ht="15.75" customHeight="1">
      <c r="T248" s="94"/>
      <c r="U248" s="94"/>
      <c r="V248" s="94"/>
      <c r="W248" s="94"/>
      <c r="X248" s="94"/>
      <c r="Y248" s="94"/>
      <c r="Z248" s="94"/>
    </row>
    <row r="249" ht="15.75" customHeight="1">
      <c r="T249" s="94"/>
      <c r="U249" s="94"/>
      <c r="V249" s="94"/>
      <c r="W249" s="94"/>
      <c r="X249" s="94"/>
      <c r="Y249" s="94"/>
      <c r="Z249" s="94"/>
    </row>
    <row r="250" ht="15.75" customHeight="1">
      <c r="T250" s="94"/>
      <c r="U250" s="94"/>
      <c r="V250" s="94"/>
      <c r="W250" s="94"/>
      <c r="X250" s="94"/>
      <c r="Y250" s="94"/>
      <c r="Z250" s="94"/>
    </row>
    <row r="251" ht="15.75" customHeight="1">
      <c r="T251" s="94"/>
      <c r="U251" s="94"/>
      <c r="V251" s="94"/>
      <c r="W251" s="94"/>
      <c r="X251" s="94"/>
      <c r="Y251" s="94"/>
      <c r="Z251" s="94"/>
    </row>
    <row r="252" ht="15.75" customHeight="1">
      <c r="T252" s="94"/>
      <c r="U252" s="94"/>
      <c r="V252" s="94"/>
      <c r="W252" s="94"/>
      <c r="X252" s="94"/>
      <c r="Y252" s="94"/>
      <c r="Z252" s="94"/>
    </row>
    <row r="253" ht="15.75" customHeight="1">
      <c r="T253" s="94"/>
      <c r="U253" s="94"/>
      <c r="V253" s="94"/>
      <c r="W253" s="94"/>
      <c r="X253" s="94"/>
      <c r="Y253" s="94"/>
      <c r="Z253" s="94"/>
    </row>
    <row r="254" ht="15.75" customHeight="1">
      <c r="T254" s="94"/>
      <c r="U254" s="94"/>
      <c r="V254" s="94"/>
      <c r="W254" s="94"/>
      <c r="X254" s="94"/>
      <c r="Y254" s="94"/>
      <c r="Z254" s="94"/>
    </row>
    <row r="255" ht="15.75" customHeight="1">
      <c r="T255" s="94"/>
      <c r="U255" s="94"/>
      <c r="V255" s="94"/>
      <c r="W255" s="94"/>
      <c r="X255" s="94"/>
      <c r="Y255" s="94"/>
      <c r="Z255" s="94"/>
    </row>
    <row r="256" ht="15.75" customHeight="1">
      <c r="T256" s="94"/>
      <c r="U256" s="94"/>
      <c r="V256" s="94"/>
      <c r="W256" s="94"/>
      <c r="X256" s="94"/>
      <c r="Y256" s="94"/>
      <c r="Z256" s="94"/>
    </row>
    <row r="257" ht="15.75" customHeight="1">
      <c r="T257" s="94"/>
      <c r="U257" s="94"/>
      <c r="V257" s="94"/>
      <c r="W257" s="94"/>
      <c r="X257" s="94"/>
      <c r="Y257" s="94"/>
      <c r="Z257" s="94"/>
    </row>
    <row r="258" ht="15.75" customHeight="1">
      <c r="T258" s="94"/>
      <c r="U258" s="94"/>
      <c r="V258" s="94"/>
      <c r="W258" s="94"/>
      <c r="X258" s="94"/>
      <c r="Y258" s="94"/>
      <c r="Z258" s="94"/>
    </row>
    <row r="259" ht="15.75" customHeight="1">
      <c r="T259" s="94"/>
      <c r="U259" s="94"/>
      <c r="V259" s="94"/>
      <c r="W259" s="94"/>
      <c r="X259" s="94"/>
      <c r="Y259" s="94"/>
      <c r="Z259" s="94"/>
    </row>
    <row r="260" ht="15.75" customHeight="1">
      <c r="T260" s="94"/>
      <c r="U260" s="94"/>
      <c r="V260" s="94"/>
      <c r="W260" s="94"/>
      <c r="X260" s="94"/>
      <c r="Y260" s="94"/>
      <c r="Z260" s="94"/>
    </row>
    <row r="261" ht="15.75" customHeight="1">
      <c r="T261" s="94"/>
      <c r="U261" s="94"/>
      <c r="V261" s="94"/>
      <c r="W261" s="94"/>
      <c r="X261" s="94"/>
      <c r="Y261" s="94"/>
      <c r="Z261" s="94"/>
    </row>
    <row r="262" ht="15.75" customHeight="1">
      <c r="T262" s="94"/>
      <c r="U262" s="94"/>
      <c r="V262" s="94"/>
      <c r="W262" s="94"/>
      <c r="X262" s="94"/>
      <c r="Y262" s="94"/>
      <c r="Z262" s="94"/>
    </row>
    <row r="263" ht="15.75" customHeight="1">
      <c r="T263" s="94"/>
      <c r="U263" s="94"/>
      <c r="V263" s="94"/>
      <c r="W263" s="94"/>
      <c r="X263" s="94"/>
      <c r="Y263" s="94"/>
      <c r="Z263" s="94"/>
    </row>
    <row r="264" ht="15.75" customHeight="1">
      <c r="T264" s="94"/>
      <c r="U264" s="94"/>
      <c r="V264" s="94"/>
      <c r="W264" s="94"/>
      <c r="X264" s="94"/>
      <c r="Y264" s="94"/>
      <c r="Z264" s="94"/>
    </row>
    <row r="265" ht="15.75" customHeight="1">
      <c r="T265" s="94"/>
      <c r="U265" s="94"/>
      <c r="V265" s="94"/>
      <c r="W265" s="94"/>
      <c r="X265" s="94"/>
      <c r="Y265" s="94"/>
      <c r="Z265" s="94"/>
    </row>
    <row r="266" ht="15.75" customHeight="1">
      <c r="T266" s="94"/>
      <c r="U266" s="94"/>
      <c r="V266" s="94"/>
      <c r="W266" s="94"/>
      <c r="X266" s="94"/>
      <c r="Y266" s="94"/>
      <c r="Z266" s="94"/>
    </row>
    <row r="267" ht="15.75" customHeight="1">
      <c r="T267" s="94"/>
      <c r="U267" s="94"/>
      <c r="V267" s="94"/>
      <c r="W267" s="94"/>
      <c r="X267" s="94"/>
      <c r="Y267" s="94"/>
      <c r="Z267" s="94"/>
    </row>
    <row r="268" ht="15.75" customHeight="1">
      <c r="T268" s="94"/>
      <c r="U268" s="94"/>
      <c r="V268" s="94"/>
      <c r="W268" s="94"/>
      <c r="X268" s="94"/>
      <c r="Y268" s="94"/>
      <c r="Z268" s="94"/>
    </row>
    <row r="269" ht="15.75" customHeight="1">
      <c r="T269" s="94"/>
      <c r="U269" s="94"/>
      <c r="V269" s="94"/>
      <c r="W269" s="94"/>
      <c r="X269" s="94"/>
      <c r="Y269" s="94"/>
      <c r="Z269" s="94"/>
    </row>
    <row r="270" ht="15.75" customHeight="1">
      <c r="T270" s="94"/>
      <c r="U270" s="94"/>
      <c r="V270" s="94"/>
      <c r="W270" s="94"/>
      <c r="X270" s="94"/>
      <c r="Y270" s="94"/>
      <c r="Z270" s="94"/>
    </row>
    <row r="271" ht="15.75" customHeight="1">
      <c r="T271" s="94"/>
      <c r="U271" s="94"/>
      <c r="V271" s="94"/>
      <c r="W271" s="94"/>
      <c r="X271" s="94"/>
      <c r="Y271" s="94"/>
      <c r="Z271" s="94"/>
    </row>
    <row r="272" ht="15.75" customHeight="1">
      <c r="T272" s="94"/>
      <c r="U272" s="94"/>
      <c r="V272" s="94"/>
      <c r="W272" s="94"/>
      <c r="X272" s="94"/>
      <c r="Y272" s="94"/>
      <c r="Z272" s="94"/>
    </row>
    <row r="273" ht="15.75" customHeight="1">
      <c r="T273" s="94"/>
      <c r="U273" s="94"/>
      <c r="V273" s="94"/>
      <c r="W273" s="94"/>
      <c r="X273" s="94"/>
      <c r="Y273" s="94"/>
      <c r="Z273" s="94"/>
    </row>
    <row r="274" ht="15.75" customHeight="1">
      <c r="T274" s="94"/>
      <c r="U274" s="94"/>
      <c r="V274" s="94"/>
      <c r="W274" s="94"/>
      <c r="X274" s="94"/>
      <c r="Y274" s="94"/>
      <c r="Z274" s="94"/>
    </row>
    <row r="275" ht="15.75" customHeight="1">
      <c r="T275" s="94"/>
      <c r="U275" s="94"/>
      <c r="V275" s="94"/>
      <c r="W275" s="94"/>
      <c r="X275" s="94"/>
      <c r="Y275" s="94"/>
      <c r="Z275" s="94"/>
    </row>
    <row r="276" ht="15.75" customHeight="1">
      <c r="T276" s="94"/>
      <c r="U276" s="94"/>
      <c r="V276" s="94"/>
      <c r="W276" s="94"/>
      <c r="X276" s="94"/>
      <c r="Y276" s="94"/>
      <c r="Z276" s="94"/>
    </row>
    <row r="277" ht="15.75" customHeight="1">
      <c r="T277" s="94"/>
      <c r="U277" s="94"/>
      <c r="V277" s="94"/>
      <c r="W277" s="94"/>
      <c r="X277" s="94"/>
      <c r="Y277" s="94"/>
      <c r="Z277" s="94"/>
    </row>
    <row r="278" ht="15.75" customHeight="1">
      <c r="T278" s="94"/>
      <c r="U278" s="94"/>
      <c r="V278" s="94"/>
      <c r="W278" s="94"/>
      <c r="X278" s="94"/>
      <c r="Y278" s="94"/>
      <c r="Z278" s="94"/>
    </row>
    <row r="279" ht="15.75" customHeight="1">
      <c r="T279" s="94"/>
      <c r="U279" s="94"/>
      <c r="V279" s="94"/>
      <c r="W279" s="94"/>
      <c r="X279" s="94"/>
      <c r="Y279" s="94"/>
      <c r="Z279" s="94"/>
    </row>
    <row r="280" ht="15.75" customHeight="1">
      <c r="T280" s="94"/>
      <c r="U280" s="94"/>
      <c r="V280" s="94"/>
      <c r="W280" s="94"/>
      <c r="X280" s="94"/>
      <c r="Y280" s="94"/>
      <c r="Z280" s="94"/>
    </row>
    <row r="281" ht="15.75" customHeight="1">
      <c r="T281" s="94"/>
      <c r="U281" s="94"/>
      <c r="V281" s="94"/>
      <c r="W281" s="94"/>
      <c r="X281" s="94"/>
      <c r="Y281" s="94"/>
      <c r="Z281" s="94"/>
    </row>
    <row r="282" ht="15.75" customHeight="1">
      <c r="T282" s="94"/>
      <c r="U282" s="94"/>
      <c r="V282" s="94"/>
      <c r="W282" s="94"/>
      <c r="X282" s="94"/>
      <c r="Y282" s="94"/>
      <c r="Z282" s="94"/>
    </row>
    <row r="283" ht="15.75" customHeight="1">
      <c r="T283" s="94"/>
      <c r="U283" s="94"/>
      <c r="V283" s="94"/>
      <c r="W283" s="94"/>
      <c r="X283" s="94"/>
      <c r="Y283" s="94"/>
      <c r="Z283" s="94"/>
    </row>
    <row r="284" ht="15.75" customHeight="1">
      <c r="T284" s="94"/>
      <c r="U284" s="94"/>
      <c r="V284" s="94"/>
      <c r="W284" s="94"/>
      <c r="X284" s="94"/>
      <c r="Y284" s="94"/>
      <c r="Z284" s="94"/>
    </row>
    <row r="285" ht="15.75" customHeight="1">
      <c r="T285" s="94"/>
      <c r="U285" s="94"/>
      <c r="V285" s="94"/>
      <c r="W285" s="94"/>
      <c r="X285" s="94"/>
      <c r="Y285" s="94"/>
      <c r="Z285" s="94"/>
    </row>
    <row r="286" ht="15.75" customHeight="1">
      <c r="T286" s="94"/>
      <c r="U286" s="94"/>
      <c r="V286" s="94"/>
      <c r="W286" s="94"/>
      <c r="X286" s="94"/>
      <c r="Y286" s="94"/>
      <c r="Z286" s="94"/>
    </row>
    <row r="287" ht="15.75" customHeight="1">
      <c r="T287" s="94"/>
      <c r="U287" s="94"/>
      <c r="V287" s="94"/>
      <c r="W287" s="94"/>
      <c r="X287" s="94"/>
      <c r="Y287" s="94"/>
      <c r="Z287" s="94"/>
    </row>
    <row r="288" ht="15.75" customHeight="1">
      <c r="T288" s="94"/>
      <c r="U288" s="94"/>
      <c r="V288" s="94"/>
      <c r="W288" s="94"/>
      <c r="X288" s="94"/>
      <c r="Y288" s="94"/>
      <c r="Z288" s="94"/>
    </row>
    <row r="289" ht="15.75" customHeight="1">
      <c r="T289" s="94"/>
      <c r="U289" s="94"/>
      <c r="V289" s="94"/>
      <c r="W289" s="94"/>
      <c r="X289" s="94"/>
      <c r="Y289" s="94"/>
      <c r="Z289" s="94"/>
    </row>
    <row r="290" ht="15.75" customHeight="1">
      <c r="T290" s="94"/>
      <c r="U290" s="94"/>
      <c r="V290" s="94"/>
      <c r="W290" s="94"/>
      <c r="X290" s="94"/>
      <c r="Y290" s="94"/>
      <c r="Z290" s="94"/>
    </row>
    <row r="291" ht="15.75" customHeight="1">
      <c r="T291" s="94"/>
      <c r="U291" s="94"/>
      <c r="V291" s="94"/>
      <c r="W291" s="94"/>
      <c r="X291" s="94"/>
      <c r="Y291" s="94"/>
      <c r="Z291" s="94"/>
    </row>
    <row r="292" ht="15.75" customHeight="1">
      <c r="T292" s="94"/>
      <c r="U292" s="94"/>
      <c r="V292" s="94"/>
      <c r="W292" s="94"/>
      <c r="X292" s="94"/>
      <c r="Y292" s="94"/>
      <c r="Z292" s="94"/>
    </row>
    <row r="293" ht="15.75" customHeight="1">
      <c r="T293" s="94"/>
      <c r="U293" s="94"/>
      <c r="V293" s="94"/>
      <c r="W293" s="94"/>
      <c r="X293" s="94"/>
      <c r="Y293" s="94"/>
      <c r="Z293" s="94"/>
    </row>
    <row r="294" ht="15.75" customHeight="1">
      <c r="T294" s="94"/>
      <c r="U294" s="94"/>
      <c r="V294" s="94"/>
      <c r="W294" s="94"/>
      <c r="X294" s="94"/>
      <c r="Y294" s="94"/>
      <c r="Z294" s="94"/>
    </row>
    <row r="295" ht="15.75" customHeight="1">
      <c r="T295" s="94"/>
      <c r="U295" s="94"/>
      <c r="V295" s="94"/>
      <c r="W295" s="94"/>
      <c r="X295" s="94"/>
      <c r="Y295" s="94"/>
      <c r="Z295" s="94"/>
    </row>
    <row r="296" ht="15.75" customHeight="1">
      <c r="T296" s="94"/>
      <c r="U296" s="94"/>
      <c r="V296" s="94"/>
      <c r="W296" s="94"/>
      <c r="X296" s="94"/>
      <c r="Y296" s="94"/>
      <c r="Z296" s="94"/>
    </row>
    <row r="297" ht="15.75" customHeight="1">
      <c r="T297" s="94"/>
      <c r="U297" s="94"/>
      <c r="V297" s="94"/>
      <c r="W297" s="94"/>
      <c r="X297" s="94"/>
      <c r="Y297" s="94"/>
      <c r="Z297" s="94"/>
    </row>
    <row r="298" ht="15.75" customHeight="1">
      <c r="T298" s="94"/>
      <c r="U298" s="94"/>
      <c r="V298" s="94"/>
      <c r="W298" s="94"/>
      <c r="X298" s="94"/>
      <c r="Y298" s="94"/>
      <c r="Z298" s="94"/>
    </row>
    <row r="299" ht="15.75" customHeight="1">
      <c r="T299" s="94"/>
      <c r="U299" s="94"/>
      <c r="V299" s="94"/>
      <c r="W299" s="94"/>
      <c r="X299" s="94"/>
      <c r="Y299" s="94"/>
      <c r="Z299" s="94"/>
    </row>
    <row r="300" ht="15.75" customHeight="1">
      <c r="T300" s="94"/>
      <c r="U300" s="94"/>
      <c r="V300" s="94"/>
      <c r="W300" s="94"/>
      <c r="X300" s="94"/>
      <c r="Y300" s="94"/>
      <c r="Z300" s="94"/>
    </row>
    <row r="301" ht="15.75" customHeight="1">
      <c r="T301" s="94"/>
      <c r="U301" s="94"/>
      <c r="V301" s="94"/>
      <c r="W301" s="94"/>
      <c r="X301" s="94"/>
      <c r="Y301" s="94"/>
      <c r="Z301" s="94"/>
    </row>
    <row r="302" ht="15.75" customHeight="1">
      <c r="T302" s="94"/>
      <c r="U302" s="94"/>
      <c r="V302" s="94"/>
      <c r="W302" s="94"/>
      <c r="X302" s="94"/>
      <c r="Y302" s="94"/>
      <c r="Z302" s="94"/>
    </row>
    <row r="303" ht="15.75" customHeight="1">
      <c r="T303" s="94"/>
      <c r="U303" s="94"/>
      <c r="V303" s="94"/>
      <c r="W303" s="94"/>
      <c r="X303" s="94"/>
      <c r="Y303" s="94"/>
      <c r="Z303" s="94"/>
    </row>
    <row r="304" ht="15.75" customHeight="1">
      <c r="T304" s="94"/>
      <c r="U304" s="94"/>
      <c r="V304" s="94"/>
      <c r="W304" s="94"/>
      <c r="X304" s="94"/>
      <c r="Y304" s="94"/>
      <c r="Z304" s="94"/>
    </row>
    <row r="305" ht="15.75" customHeight="1">
      <c r="T305" s="94"/>
      <c r="U305" s="94"/>
      <c r="V305" s="94"/>
      <c r="W305" s="94"/>
      <c r="X305" s="94"/>
      <c r="Y305" s="94"/>
      <c r="Z305" s="94"/>
    </row>
    <row r="306" ht="15.75" customHeight="1">
      <c r="T306" s="94"/>
      <c r="U306" s="94"/>
      <c r="V306" s="94"/>
      <c r="W306" s="94"/>
      <c r="X306" s="94"/>
      <c r="Y306" s="94"/>
      <c r="Z306" s="94"/>
    </row>
    <row r="307" ht="15.75" customHeight="1">
      <c r="T307" s="94"/>
      <c r="U307" s="94"/>
      <c r="V307" s="94"/>
      <c r="W307" s="94"/>
      <c r="X307" s="94"/>
      <c r="Y307" s="94"/>
      <c r="Z307" s="94"/>
    </row>
    <row r="308" ht="15.75" customHeight="1">
      <c r="T308" s="94"/>
      <c r="U308" s="94"/>
      <c r="V308" s="94"/>
      <c r="W308" s="94"/>
      <c r="X308" s="94"/>
      <c r="Y308" s="94"/>
      <c r="Z308" s="94"/>
    </row>
    <row r="309" ht="15.75" customHeight="1">
      <c r="T309" s="94"/>
      <c r="U309" s="94"/>
      <c r="V309" s="94"/>
      <c r="W309" s="94"/>
      <c r="X309" s="94"/>
      <c r="Y309" s="94"/>
      <c r="Z309" s="94"/>
    </row>
    <row r="310" ht="15.75" customHeight="1">
      <c r="T310" s="94"/>
      <c r="U310" s="94"/>
      <c r="V310" s="94"/>
      <c r="W310" s="94"/>
      <c r="X310" s="94"/>
      <c r="Y310" s="94"/>
      <c r="Z310" s="94"/>
    </row>
    <row r="311" ht="15.75" customHeight="1">
      <c r="T311" s="94"/>
      <c r="U311" s="94"/>
      <c r="V311" s="94"/>
      <c r="W311" s="94"/>
      <c r="X311" s="94"/>
      <c r="Y311" s="94"/>
      <c r="Z311" s="94"/>
    </row>
    <row r="312" ht="15.75" customHeight="1">
      <c r="T312" s="94"/>
      <c r="U312" s="94"/>
      <c r="V312" s="94"/>
      <c r="W312" s="94"/>
      <c r="X312" s="94"/>
      <c r="Y312" s="94"/>
      <c r="Z312" s="94"/>
    </row>
    <row r="313" ht="15.75" customHeight="1">
      <c r="T313" s="94"/>
      <c r="U313" s="94"/>
      <c r="V313" s="94"/>
      <c r="W313" s="94"/>
      <c r="X313" s="94"/>
      <c r="Y313" s="94"/>
      <c r="Z313" s="94"/>
    </row>
    <row r="314" ht="15.75" customHeight="1">
      <c r="T314" s="94"/>
      <c r="U314" s="94"/>
      <c r="V314" s="94"/>
      <c r="W314" s="94"/>
      <c r="X314" s="94"/>
      <c r="Y314" s="94"/>
      <c r="Z314" s="94"/>
    </row>
    <row r="315" ht="15.75" customHeight="1">
      <c r="T315" s="94"/>
      <c r="U315" s="94"/>
      <c r="V315" s="94"/>
      <c r="W315" s="94"/>
      <c r="X315" s="94"/>
      <c r="Y315" s="94"/>
      <c r="Z315" s="94"/>
    </row>
    <row r="316" ht="15.75" customHeight="1">
      <c r="T316" s="94"/>
      <c r="U316" s="94"/>
      <c r="V316" s="94"/>
      <c r="W316" s="94"/>
      <c r="X316" s="94"/>
      <c r="Y316" s="94"/>
      <c r="Z316" s="94"/>
    </row>
    <row r="317" ht="15.75" customHeight="1">
      <c r="T317" s="94"/>
      <c r="U317" s="94"/>
      <c r="V317" s="94"/>
      <c r="W317" s="94"/>
      <c r="X317" s="94"/>
      <c r="Y317" s="94"/>
      <c r="Z317" s="94"/>
    </row>
    <row r="318" ht="15.75" customHeight="1">
      <c r="T318" s="94"/>
      <c r="U318" s="94"/>
      <c r="V318" s="94"/>
      <c r="W318" s="94"/>
      <c r="X318" s="94"/>
      <c r="Y318" s="94"/>
      <c r="Z318" s="94"/>
    </row>
    <row r="319" ht="15.75" customHeight="1">
      <c r="T319" s="94"/>
      <c r="U319" s="94"/>
      <c r="V319" s="94"/>
      <c r="W319" s="94"/>
      <c r="X319" s="94"/>
      <c r="Y319" s="94"/>
      <c r="Z319" s="94"/>
    </row>
    <row r="320" ht="15.75" customHeight="1">
      <c r="T320" s="94"/>
      <c r="U320" s="94"/>
      <c r="V320" s="94"/>
      <c r="W320" s="94"/>
      <c r="X320" s="94"/>
      <c r="Y320" s="94"/>
      <c r="Z320" s="94"/>
    </row>
    <row r="321" ht="15.75" customHeight="1">
      <c r="T321" s="94"/>
      <c r="U321" s="94"/>
      <c r="V321" s="94"/>
      <c r="W321" s="94"/>
      <c r="X321" s="94"/>
      <c r="Y321" s="94"/>
      <c r="Z321" s="94"/>
    </row>
    <row r="322" ht="15.75" customHeight="1">
      <c r="T322" s="94"/>
      <c r="U322" s="94"/>
      <c r="V322" s="94"/>
      <c r="W322" s="94"/>
      <c r="X322" s="94"/>
      <c r="Y322" s="94"/>
      <c r="Z322" s="94"/>
    </row>
    <row r="323" ht="15.75" customHeight="1">
      <c r="T323" s="94"/>
      <c r="U323" s="94"/>
      <c r="V323" s="94"/>
      <c r="W323" s="94"/>
      <c r="X323" s="94"/>
      <c r="Y323" s="94"/>
      <c r="Z323" s="94"/>
    </row>
    <row r="324" ht="15.75" customHeight="1">
      <c r="T324" s="94"/>
      <c r="U324" s="94"/>
      <c r="V324" s="94"/>
      <c r="W324" s="94"/>
      <c r="X324" s="94"/>
      <c r="Y324" s="94"/>
      <c r="Z324" s="94"/>
    </row>
    <row r="325" ht="15.75" customHeight="1">
      <c r="T325" s="94"/>
      <c r="U325" s="94"/>
      <c r="V325" s="94"/>
      <c r="W325" s="94"/>
      <c r="X325" s="94"/>
      <c r="Y325" s="94"/>
      <c r="Z325" s="94"/>
    </row>
    <row r="326" ht="15.75" customHeight="1">
      <c r="T326" s="94"/>
      <c r="U326" s="94"/>
      <c r="V326" s="94"/>
      <c r="W326" s="94"/>
      <c r="X326" s="94"/>
      <c r="Y326" s="94"/>
      <c r="Z326" s="94"/>
    </row>
    <row r="327" ht="15.75" customHeight="1">
      <c r="T327" s="94"/>
      <c r="U327" s="94"/>
      <c r="V327" s="94"/>
      <c r="W327" s="94"/>
      <c r="X327" s="94"/>
      <c r="Y327" s="94"/>
      <c r="Z327" s="94"/>
    </row>
    <row r="328" ht="15.75" customHeight="1">
      <c r="T328" s="94"/>
      <c r="U328" s="94"/>
      <c r="V328" s="94"/>
      <c r="W328" s="94"/>
      <c r="X328" s="94"/>
      <c r="Y328" s="94"/>
      <c r="Z328" s="94"/>
    </row>
    <row r="329" ht="15.75" customHeight="1">
      <c r="T329" s="94"/>
      <c r="U329" s="94"/>
      <c r="V329" s="94"/>
      <c r="W329" s="94"/>
      <c r="X329" s="94"/>
      <c r="Y329" s="94"/>
      <c r="Z329" s="94"/>
    </row>
    <row r="330" ht="15.75" customHeight="1">
      <c r="T330" s="94"/>
      <c r="U330" s="94"/>
      <c r="V330" s="94"/>
      <c r="W330" s="94"/>
      <c r="X330" s="94"/>
      <c r="Y330" s="94"/>
      <c r="Z330" s="94"/>
    </row>
    <row r="331" ht="15.75" customHeight="1">
      <c r="T331" s="94"/>
      <c r="U331" s="94"/>
      <c r="V331" s="94"/>
      <c r="W331" s="94"/>
      <c r="X331" s="94"/>
      <c r="Y331" s="94"/>
      <c r="Z331" s="94"/>
    </row>
    <row r="332" ht="15.75" customHeight="1">
      <c r="T332" s="94"/>
      <c r="U332" s="94"/>
      <c r="V332" s="94"/>
      <c r="W332" s="94"/>
      <c r="X332" s="94"/>
      <c r="Y332" s="94"/>
      <c r="Z332" s="94"/>
    </row>
    <row r="333" ht="15.75" customHeight="1">
      <c r="T333" s="94"/>
      <c r="U333" s="94"/>
      <c r="V333" s="94"/>
      <c r="W333" s="94"/>
      <c r="X333" s="94"/>
      <c r="Y333" s="94"/>
      <c r="Z333" s="94"/>
    </row>
    <row r="334" ht="15.75" customHeight="1">
      <c r="T334" s="94"/>
      <c r="U334" s="94"/>
      <c r="V334" s="94"/>
      <c r="W334" s="94"/>
      <c r="X334" s="94"/>
      <c r="Y334" s="94"/>
      <c r="Z334" s="94"/>
    </row>
    <row r="335" ht="15.75" customHeight="1">
      <c r="T335" s="94"/>
      <c r="U335" s="94"/>
      <c r="V335" s="94"/>
      <c r="W335" s="94"/>
      <c r="X335" s="94"/>
      <c r="Y335" s="94"/>
      <c r="Z335" s="94"/>
    </row>
    <row r="336" ht="15.75" customHeight="1">
      <c r="T336" s="94"/>
      <c r="U336" s="94"/>
      <c r="V336" s="94"/>
      <c r="W336" s="94"/>
      <c r="X336" s="94"/>
      <c r="Y336" s="94"/>
      <c r="Z336" s="94"/>
    </row>
    <row r="337" ht="15.75" customHeight="1">
      <c r="T337" s="94"/>
      <c r="U337" s="94"/>
      <c r="V337" s="94"/>
      <c r="W337" s="94"/>
      <c r="X337" s="94"/>
      <c r="Y337" s="94"/>
      <c r="Z337" s="94"/>
    </row>
    <row r="338" ht="15.75" customHeight="1">
      <c r="T338" s="94"/>
      <c r="U338" s="94"/>
      <c r="V338" s="94"/>
      <c r="W338" s="94"/>
      <c r="X338" s="94"/>
      <c r="Y338" s="94"/>
      <c r="Z338" s="94"/>
    </row>
    <row r="339" ht="15.75" customHeight="1">
      <c r="T339" s="94"/>
      <c r="U339" s="94"/>
      <c r="V339" s="94"/>
      <c r="W339" s="94"/>
      <c r="X339" s="94"/>
      <c r="Y339" s="94"/>
      <c r="Z339" s="94"/>
    </row>
    <row r="340" ht="15.75" customHeight="1">
      <c r="T340" s="94"/>
      <c r="U340" s="94"/>
      <c r="V340" s="94"/>
      <c r="W340" s="94"/>
      <c r="X340" s="94"/>
      <c r="Y340" s="94"/>
      <c r="Z340" s="94"/>
    </row>
    <row r="341" ht="15.75" customHeight="1">
      <c r="T341" s="94"/>
      <c r="U341" s="94"/>
      <c r="V341" s="94"/>
      <c r="W341" s="94"/>
      <c r="X341" s="94"/>
      <c r="Y341" s="94"/>
      <c r="Z341" s="94"/>
    </row>
    <row r="342" ht="15.75" customHeight="1">
      <c r="T342" s="94"/>
      <c r="U342" s="94"/>
      <c r="V342" s="94"/>
      <c r="W342" s="94"/>
      <c r="X342" s="94"/>
      <c r="Y342" s="94"/>
      <c r="Z342" s="94"/>
    </row>
    <row r="343" ht="15.75" customHeight="1">
      <c r="T343" s="94"/>
      <c r="U343" s="94"/>
      <c r="V343" s="94"/>
      <c r="W343" s="94"/>
      <c r="X343" s="94"/>
      <c r="Y343" s="94"/>
      <c r="Z343" s="94"/>
    </row>
    <row r="344" ht="15.75" customHeight="1">
      <c r="T344" s="94"/>
      <c r="U344" s="94"/>
      <c r="V344" s="94"/>
      <c r="W344" s="94"/>
      <c r="X344" s="94"/>
      <c r="Y344" s="94"/>
      <c r="Z344" s="94"/>
    </row>
    <row r="345" ht="15.75" customHeight="1">
      <c r="T345" s="94"/>
      <c r="U345" s="94"/>
      <c r="V345" s="94"/>
      <c r="W345" s="94"/>
      <c r="X345" s="94"/>
      <c r="Y345" s="94"/>
      <c r="Z345" s="94"/>
    </row>
    <row r="346" ht="15.75" customHeight="1">
      <c r="T346" s="94"/>
      <c r="U346" s="94"/>
      <c r="V346" s="94"/>
      <c r="W346" s="94"/>
      <c r="X346" s="94"/>
      <c r="Y346" s="94"/>
      <c r="Z346" s="94"/>
    </row>
    <row r="347" ht="15.75" customHeight="1">
      <c r="T347" s="94"/>
      <c r="U347" s="94"/>
      <c r="V347" s="94"/>
      <c r="W347" s="94"/>
      <c r="X347" s="94"/>
      <c r="Y347" s="94"/>
      <c r="Z347" s="94"/>
    </row>
    <row r="348" ht="15.75" customHeight="1">
      <c r="T348" s="94"/>
      <c r="U348" s="94"/>
      <c r="V348" s="94"/>
      <c r="W348" s="94"/>
      <c r="X348" s="94"/>
      <c r="Y348" s="94"/>
      <c r="Z348" s="94"/>
    </row>
    <row r="349" ht="15.75" customHeight="1">
      <c r="T349" s="94"/>
      <c r="U349" s="94"/>
      <c r="V349" s="94"/>
      <c r="W349" s="94"/>
      <c r="X349" s="94"/>
      <c r="Y349" s="94"/>
      <c r="Z349" s="94"/>
    </row>
    <row r="350" ht="15.75" customHeight="1">
      <c r="T350" s="94"/>
      <c r="U350" s="94"/>
      <c r="V350" s="94"/>
      <c r="W350" s="94"/>
      <c r="X350" s="94"/>
      <c r="Y350" s="94"/>
      <c r="Z350" s="94"/>
    </row>
    <row r="351" ht="15.75" customHeight="1">
      <c r="T351" s="94"/>
      <c r="U351" s="94"/>
      <c r="V351" s="94"/>
      <c r="W351" s="94"/>
      <c r="X351" s="94"/>
      <c r="Y351" s="94"/>
      <c r="Z351" s="94"/>
    </row>
    <row r="352" ht="15.75" customHeight="1">
      <c r="T352" s="94"/>
      <c r="U352" s="94"/>
      <c r="V352" s="94"/>
      <c r="W352" s="94"/>
      <c r="X352" s="94"/>
      <c r="Y352" s="94"/>
      <c r="Z352" s="94"/>
    </row>
    <row r="353" ht="15.75" customHeight="1">
      <c r="T353" s="94"/>
      <c r="U353" s="94"/>
      <c r="V353" s="94"/>
      <c r="W353" s="94"/>
      <c r="X353" s="94"/>
      <c r="Y353" s="94"/>
      <c r="Z353" s="94"/>
    </row>
    <row r="354" ht="15.75" customHeight="1">
      <c r="T354" s="94"/>
      <c r="U354" s="94"/>
      <c r="V354" s="94"/>
      <c r="W354" s="94"/>
      <c r="X354" s="94"/>
      <c r="Y354" s="94"/>
      <c r="Z354" s="94"/>
    </row>
    <row r="355" ht="15.75" customHeight="1">
      <c r="T355" s="94"/>
      <c r="U355" s="94"/>
      <c r="V355" s="94"/>
      <c r="W355" s="94"/>
      <c r="X355" s="94"/>
      <c r="Y355" s="94"/>
      <c r="Z355" s="94"/>
    </row>
    <row r="356" ht="15.75" customHeight="1">
      <c r="T356" s="94"/>
      <c r="U356" s="94"/>
      <c r="V356" s="94"/>
      <c r="W356" s="94"/>
      <c r="X356" s="94"/>
      <c r="Y356" s="94"/>
      <c r="Z356" s="94"/>
    </row>
    <row r="357" ht="15.75" customHeight="1">
      <c r="T357" s="94"/>
      <c r="U357" s="94"/>
      <c r="V357" s="94"/>
      <c r="W357" s="94"/>
      <c r="X357" s="94"/>
      <c r="Y357" s="94"/>
      <c r="Z357" s="94"/>
    </row>
    <row r="358" ht="15.75" customHeight="1">
      <c r="T358" s="94"/>
      <c r="U358" s="94"/>
      <c r="V358" s="94"/>
      <c r="W358" s="94"/>
      <c r="X358" s="94"/>
      <c r="Y358" s="94"/>
      <c r="Z358" s="94"/>
    </row>
    <row r="359" ht="15.75" customHeight="1">
      <c r="T359" s="94"/>
      <c r="U359" s="94"/>
      <c r="V359" s="94"/>
      <c r="W359" s="94"/>
      <c r="X359" s="94"/>
      <c r="Y359" s="94"/>
      <c r="Z359" s="94"/>
    </row>
    <row r="360" ht="15.75" customHeight="1">
      <c r="T360" s="94"/>
      <c r="U360" s="94"/>
      <c r="V360" s="94"/>
      <c r="W360" s="94"/>
      <c r="X360" s="94"/>
      <c r="Y360" s="94"/>
      <c r="Z360" s="94"/>
    </row>
    <row r="361" ht="15.75" customHeight="1">
      <c r="T361" s="94"/>
      <c r="U361" s="94"/>
      <c r="V361" s="94"/>
      <c r="W361" s="94"/>
      <c r="X361" s="94"/>
      <c r="Y361" s="94"/>
      <c r="Z361" s="94"/>
    </row>
    <row r="362" ht="15.75" customHeight="1">
      <c r="T362" s="94"/>
      <c r="U362" s="94"/>
      <c r="V362" s="94"/>
      <c r="W362" s="94"/>
      <c r="X362" s="94"/>
      <c r="Y362" s="94"/>
      <c r="Z362" s="94"/>
    </row>
    <row r="363" ht="15.75" customHeight="1">
      <c r="T363" s="94"/>
      <c r="U363" s="94"/>
      <c r="V363" s="94"/>
      <c r="W363" s="94"/>
      <c r="X363" s="94"/>
      <c r="Y363" s="94"/>
      <c r="Z363" s="94"/>
    </row>
    <row r="364" ht="15.75" customHeight="1">
      <c r="T364" s="94"/>
      <c r="U364" s="94"/>
      <c r="V364" s="94"/>
      <c r="W364" s="94"/>
      <c r="X364" s="94"/>
      <c r="Y364" s="94"/>
      <c r="Z364" s="94"/>
    </row>
    <row r="365" ht="15.75" customHeight="1">
      <c r="T365" s="94"/>
      <c r="U365" s="94"/>
      <c r="V365" s="94"/>
      <c r="W365" s="94"/>
      <c r="X365" s="94"/>
      <c r="Y365" s="94"/>
      <c r="Z365" s="94"/>
    </row>
    <row r="366" ht="15.75" customHeight="1">
      <c r="T366" s="94"/>
      <c r="U366" s="94"/>
      <c r="V366" s="94"/>
      <c r="W366" s="94"/>
      <c r="X366" s="94"/>
      <c r="Y366" s="94"/>
      <c r="Z366" s="94"/>
    </row>
    <row r="367" ht="15.75" customHeight="1">
      <c r="T367" s="94"/>
      <c r="U367" s="94"/>
      <c r="V367" s="94"/>
      <c r="W367" s="94"/>
      <c r="X367" s="94"/>
      <c r="Y367" s="94"/>
      <c r="Z367" s="94"/>
    </row>
    <row r="368" ht="15.75" customHeight="1">
      <c r="T368" s="94"/>
      <c r="U368" s="94"/>
      <c r="V368" s="94"/>
      <c r="W368" s="94"/>
      <c r="X368" s="94"/>
      <c r="Y368" s="94"/>
      <c r="Z368" s="94"/>
    </row>
    <row r="369" ht="15.75" customHeight="1">
      <c r="T369" s="94"/>
      <c r="U369" s="94"/>
      <c r="V369" s="94"/>
      <c r="W369" s="94"/>
      <c r="X369" s="94"/>
      <c r="Y369" s="94"/>
      <c r="Z369" s="94"/>
    </row>
    <row r="370" ht="15.75" customHeight="1">
      <c r="T370" s="94"/>
      <c r="U370" s="94"/>
      <c r="V370" s="94"/>
      <c r="W370" s="94"/>
      <c r="X370" s="94"/>
      <c r="Y370" s="94"/>
      <c r="Z370" s="94"/>
    </row>
    <row r="371" ht="15.75" customHeight="1">
      <c r="T371" s="94"/>
      <c r="U371" s="94"/>
      <c r="V371" s="94"/>
      <c r="W371" s="94"/>
      <c r="X371" s="94"/>
      <c r="Y371" s="94"/>
      <c r="Z371" s="94"/>
    </row>
    <row r="372" ht="15.75" customHeight="1">
      <c r="T372" s="94"/>
      <c r="U372" s="94"/>
      <c r="V372" s="94"/>
      <c r="W372" s="94"/>
      <c r="X372" s="94"/>
      <c r="Y372" s="94"/>
      <c r="Z372" s="94"/>
    </row>
    <row r="373" ht="15.75" customHeight="1">
      <c r="T373" s="94"/>
      <c r="U373" s="94"/>
      <c r="V373" s="94"/>
      <c r="W373" s="94"/>
      <c r="X373" s="94"/>
      <c r="Y373" s="94"/>
      <c r="Z373" s="94"/>
    </row>
    <row r="374" ht="15.75" customHeight="1">
      <c r="T374" s="94"/>
      <c r="U374" s="94"/>
      <c r="V374" s="94"/>
      <c r="W374" s="94"/>
      <c r="X374" s="94"/>
      <c r="Y374" s="94"/>
      <c r="Z374" s="94"/>
    </row>
    <row r="375" ht="15.75" customHeight="1">
      <c r="T375" s="94"/>
      <c r="U375" s="94"/>
      <c r="V375" s="94"/>
      <c r="W375" s="94"/>
      <c r="X375" s="94"/>
      <c r="Y375" s="94"/>
      <c r="Z375" s="94"/>
    </row>
    <row r="376" ht="15.75" customHeight="1">
      <c r="T376" s="94"/>
      <c r="U376" s="94"/>
      <c r="V376" s="94"/>
      <c r="W376" s="94"/>
      <c r="X376" s="94"/>
      <c r="Y376" s="94"/>
      <c r="Z376" s="94"/>
    </row>
    <row r="377" ht="15.75" customHeight="1">
      <c r="T377" s="94"/>
      <c r="U377" s="94"/>
      <c r="V377" s="94"/>
      <c r="W377" s="94"/>
      <c r="X377" s="94"/>
      <c r="Y377" s="94"/>
      <c r="Z377" s="94"/>
    </row>
    <row r="378" ht="15.75" customHeight="1">
      <c r="T378" s="94"/>
      <c r="U378" s="94"/>
      <c r="V378" s="94"/>
      <c r="W378" s="94"/>
      <c r="X378" s="94"/>
      <c r="Y378" s="94"/>
      <c r="Z378" s="94"/>
    </row>
    <row r="379" ht="15.75" customHeight="1">
      <c r="T379" s="94"/>
      <c r="U379" s="94"/>
      <c r="V379" s="94"/>
      <c r="W379" s="94"/>
      <c r="X379" s="94"/>
      <c r="Y379" s="94"/>
      <c r="Z379" s="94"/>
    </row>
    <row r="380" ht="15.75" customHeight="1">
      <c r="T380" s="94"/>
      <c r="U380" s="94"/>
      <c r="V380" s="94"/>
      <c r="W380" s="94"/>
      <c r="X380" s="94"/>
      <c r="Y380" s="94"/>
      <c r="Z380" s="94"/>
    </row>
    <row r="381" ht="15.75" customHeight="1">
      <c r="T381" s="94"/>
      <c r="U381" s="94"/>
      <c r="V381" s="94"/>
      <c r="W381" s="94"/>
      <c r="X381" s="94"/>
      <c r="Y381" s="94"/>
      <c r="Z381" s="94"/>
    </row>
    <row r="382" ht="15.75" customHeight="1">
      <c r="T382" s="94"/>
      <c r="U382" s="94"/>
      <c r="V382" s="94"/>
      <c r="W382" s="94"/>
      <c r="X382" s="94"/>
      <c r="Y382" s="94"/>
      <c r="Z382" s="94"/>
    </row>
    <row r="383" ht="15.75" customHeight="1">
      <c r="T383" s="94"/>
      <c r="U383" s="94"/>
      <c r="V383" s="94"/>
      <c r="W383" s="94"/>
      <c r="X383" s="94"/>
      <c r="Y383" s="94"/>
      <c r="Z383" s="94"/>
    </row>
    <row r="384" ht="15.75" customHeight="1">
      <c r="T384" s="94"/>
      <c r="U384" s="94"/>
      <c r="V384" s="94"/>
      <c r="W384" s="94"/>
      <c r="X384" s="94"/>
      <c r="Y384" s="94"/>
      <c r="Z384" s="94"/>
    </row>
    <row r="385" ht="15.75" customHeight="1">
      <c r="T385" s="94"/>
      <c r="U385" s="94"/>
      <c r="V385" s="94"/>
      <c r="W385" s="94"/>
      <c r="X385" s="94"/>
      <c r="Y385" s="94"/>
      <c r="Z385" s="94"/>
    </row>
    <row r="386" ht="15.75" customHeight="1">
      <c r="T386" s="94"/>
      <c r="U386" s="94"/>
      <c r="V386" s="94"/>
      <c r="W386" s="94"/>
      <c r="X386" s="94"/>
      <c r="Y386" s="94"/>
      <c r="Z386" s="94"/>
    </row>
    <row r="387" ht="15.75" customHeight="1">
      <c r="T387" s="94"/>
      <c r="U387" s="94"/>
      <c r="V387" s="94"/>
      <c r="W387" s="94"/>
      <c r="X387" s="94"/>
      <c r="Y387" s="94"/>
      <c r="Z387" s="94"/>
    </row>
    <row r="388" ht="15.75" customHeight="1">
      <c r="T388" s="94"/>
      <c r="U388" s="94"/>
      <c r="V388" s="94"/>
      <c r="W388" s="94"/>
      <c r="X388" s="94"/>
      <c r="Y388" s="94"/>
      <c r="Z388" s="94"/>
    </row>
    <row r="389" ht="15.75" customHeight="1">
      <c r="T389" s="94"/>
      <c r="U389" s="94"/>
      <c r="V389" s="94"/>
      <c r="W389" s="94"/>
      <c r="X389" s="94"/>
      <c r="Y389" s="94"/>
      <c r="Z389" s="94"/>
    </row>
    <row r="390" ht="15.75" customHeight="1">
      <c r="T390" s="94"/>
      <c r="U390" s="94"/>
      <c r="V390" s="94"/>
      <c r="W390" s="94"/>
      <c r="X390" s="94"/>
      <c r="Y390" s="94"/>
      <c r="Z390" s="94"/>
    </row>
    <row r="391" ht="15.75" customHeight="1">
      <c r="T391" s="94"/>
      <c r="U391" s="94"/>
      <c r="V391" s="94"/>
      <c r="W391" s="94"/>
      <c r="X391" s="94"/>
      <c r="Y391" s="94"/>
      <c r="Z391" s="94"/>
    </row>
    <row r="392" ht="15.75" customHeight="1">
      <c r="T392" s="94"/>
      <c r="U392" s="94"/>
      <c r="V392" s="94"/>
      <c r="W392" s="94"/>
      <c r="X392" s="94"/>
      <c r="Y392" s="94"/>
      <c r="Z392" s="94"/>
    </row>
    <row r="393" ht="15.75" customHeight="1">
      <c r="T393" s="94"/>
      <c r="U393" s="94"/>
      <c r="V393" s="94"/>
      <c r="W393" s="94"/>
      <c r="X393" s="94"/>
      <c r="Y393" s="94"/>
      <c r="Z393" s="94"/>
    </row>
    <row r="394" ht="15.75" customHeight="1">
      <c r="T394" s="94"/>
      <c r="U394" s="94"/>
      <c r="V394" s="94"/>
      <c r="W394" s="94"/>
      <c r="X394" s="94"/>
      <c r="Y394" s="94"/>
      <c r="Z394" s="94"/>
    </row>
    <row r="395" ht="15.75" customHeight="1">
      <c r="T395" s="94"/>
      <c r="U395" s="94"/>
      <c r="V395" s="94"/>
      <c r="W395" s="94"/>
      <c r="X395" s="94"/>
      <c r="Y395" s="94"/>
      <c r="Z395" s="94"/>
    </row>
    <row r="396" ht="15.75" customHeight="1">
      <c r="T396" s="94"/>
      <c r="U396" s="94"/>
      <c r="V396" s="94"/>
      <c r="W396" s="94"/>
      <c r="X396" s="94"/>
      <c r="Y396" s="94"/>
      <c r="Z396" s="94"/>
    </row>
    <row r="397" ht="15.75" customHeight="1">
      <c r="T397" s="94"/>
      <c r="U397" s="94"/>
      <c r="V397" s="94"/>
      <c r="W397" s="94"/>
      <c r="X397" s="94"/>
      <c r="Y397" s="94"/>
      <c r="Z397" s="94"/>
    </row>
    <row r="398" ht="15.75" customHeight="1">
      <c r="T398" s="94"/>
      <c r="U398" s="94"/>
      <c r="V398" s="94"/>
      <c r="W398" s="94"/>
      <c r="X398" s="94"/>
      <c r="Y398" s="94"/>
      <c r="Z398" s="94"/>
    </row>
    <row r="399" ht="15.75" customHeight="1">
      <c r="T399" s="94"/>
      <c r="U399" s="94"/>
      <c r="V399" s="94"/>
      <c r="W399" s="94"/>
      <c r="X399" s="94"/>
      <c r="Y399" s="94"/>
      <c r="Z399" s="94"/>
    </row>
    <row r="400" ht="15.75" customHeight="1">
      <c r="T400" s="94"/>
      <c r="U400" s="94"/>
      <c r="V400" s="94"/>
      <c r="W400" s="94"/>
      <c r="X400" s="94"/>
      <c r="Y400" s="94"/>
      <c r="Z400" s="94"/>
    </row>
    <row r="401" ht="15.75" customHeight="1">
      <c r="T401" s="94"/>
      <c r="U401" s="94"/>
      <c r="V401" s="94"/>
      <c r="W401" s="94"/>
      <c r="X401" s="94"/>
      <c r="Y401" s="94"/>
      <c r="Z401" s="94"/>
    </row>
    <row r="402" ht="15.75" customHeight="1">
      <c r="T402" s="94"/>
      <c r="U402" s="94"/>
      <c r="V402" s="94"/>
      <c r="W402" s="94"/>
      <c r="X402" s="94"/>
      <c r="Y402" s="94"/>
      <c r="Z402" s="94"/>
    </row>
    <row r="403" ht="15.75" customHeight="1">
      <c r="T403" s="94"/>
      <c r="U403" s="94"/>
      <c r="V403" s="94"/>
      <c r="W403" s="94"/>
      <c r="X403" s="94"/>
      <c r="Y403" s="94"/>
      <c r="Z403" s="94"/>
    </row>
    <row r="404" ht="15.75" customHeight="1">
      <c r="T404" s="94"/>
      <c r="U404" s="94"/>
      <c r="V404" s="94"/>
      <c r="W404" s="94"/>
      <c r="X404" s="94"/>
      <c r="Y404" s="94"/>
      <c r="Z404" s="94"/>
    </row>
    <row r="405" ht="15.75" customHeight="1">
      <c r="T405" s="94"/>
      <c r="U405" s="94"/>
      <c r="V405" s="94"/>
      <c r="W405" s="94"/>
      <c r="X405" s="94"/>
      <c r="Y405" s="94"/>
      <c r="Z405" s="94"/>
    </row>
    <row r="406" ht="15.75" customHeight="1">
      <c r="T406" s="94"/>
      <c r="U406" s="94"/>
      <c r="V406" s="94"/>
      <c r="W406" s="94"/>
      <c r="X406" s="94"/>
      <c r="Y406" s="94"/>
      <c r="Z406" s="94"/>
    </row>
    <row r="407" ht="15.75" customHeight="1">
      <c r="T407" s="94"/>
      <c r="U407" s="94"/>
      <c r="V407" s="94"/>
      <c r="W407" s="94"/>
      <c r="X407" s="94"/>
      <c r="Y407" s="94"/>
      <c r="Z407" s="94"/>
    </row>
    <row r="408" ht="15.75" customHeight="1">
      <c r="T408" s="94"/>
      <c r="U408" s="94"/>
      <c r="V408" s="94"/>
      <c r="W408" s="94"/>
      <c r="X408" s="94"/>
      <c r="Y408" s="94"/>
      <c r="Z408" s="94"/>
    </row>
    <row r="409" ht="15.75" customHeight="1">
      <c r="T409" s="94"/>
      <c r="U409" s="94"/>
      <c r="V409" s="94"/>
      <c r="W409" s="94"/>
      <c r="X409" s="94"/>
      <c r="Y409" s="94"/>
      <c r="Z409" s="94"/>
    </row>
    <row r="410" ht="15.75" customHeight="1">
      <c r="T410" s="94"/>
      <c r="U410" s="94"/>
      <c r="V410" s="94"/>
      <c r="W410" s="94"/>
      <c r="X410" s="94"/>
      <c r="Y410" s="94"/>
      <c r="Z410" s="94"/>
    </row>
    <row r="411" ht="15.75" customHeight="1">
      <c r="T411" s="94"/>
      <c r="U411" s="94"/>
      <c r="V411" s="94"/>
      <c r="W411" s="94"/>
      <c r="X411" s="94"/>
      <c r="Y411" s="94"/>
      <c r="Z411" s="94"/>
    </row>
    <row r="412" ht="15.75" customHeight="1">
      <c r="T412" s="94"/>
      <c r="U412" s="94"/>
      <c r="V412" s="94"/>
      <c r="W412" s="94"/>
      <c r="X412" s="94"/>
      <c r="Y412" s="94"/>
      <c r="Z412" s="94"/>
    </row>
    <row r="413" ht="15.75" customHeight="1">
      <c r="T413" s="94"/>
      <c r="U413" s="94"/>
      <c r="V413" s="94"/>
      <c r="W413" s="94"/>
      <c r="X413" s="94"/>
      <c r="Y413" s="94"/>
      <c r="Z413" s="94"/>
    </row>
    <row r="414" ht="15.75" customHeight="1">
      <c r="T414" s="94"/>
      <c r="U414" s="94"/>
      <c r="V414" s="94"/>
      <c r="W414" s="94"/>
      <c r="X414" s="94"/>
      <c r="Y414" s="94"/>
      <c r="Z414" s="94"/>
    </row>
    <row r="415" ht="15.75" customHeight="1">
      <c r="T415" s="94"/>
      <c r="U415" s="94"/>
      <c r="V415" s="94"/>
      <c r="W415" s="94"/>
      <c r="X415" s="94"/>
      <c r="Y415" s="94"/>
      <c r="Z415" s="94"/>
    </row>
    <row r="416" ht="15.75" customHeight="1">
      <c r="T416" s="94"/>
      <c r="U416" s="94"/>
      <c r="V416" s="94"/>
      <c r="W416" s="94"/>
      <c r="X416" s="94"/>
      <c r="Y416" s="94"/>
      <c r="Z416" s="94"/>
    </row>
    <row r="417" ht="15.75" customHeight="1">
      <c r="T417" s="94"/>
      <c r="U417" s="94"/>
      <c r="V417" s="94"/>
      <c r="W417" s="94"/>
      <c r="X417" s="94"/>
      <c r="Y417" s="94"/>
      <c r="Z417" s="94"/>
    </row>
    <row r="418" ht="15.75" customHeight="1">
      <c r="T418" s="94"/>
      <c r="U418" s="94"/>
      <c r="V418" s="94"/>
      <c r="W418" s="94"/>
      <c r="X418" s="94"/>
      <c r="Y418" s="94"/>
      <c r="Z418" s="94"/>
    </row>
    <row r="419" ht="15.75" customHeight="1">
      <c r="T419" s="94"/>
      <c r="U419" s="94"/>
      <c r="V419" s="94"/>
      <c r="W419" s="94"/>
      <c r="X419" s="94"/>
      <c r="Y419" s="94"/>
      <c r="Z419" s="94"/>
    </row>
    <row r="420" ht="15.75" customHeight="1">
      <c r="T420" s="94"/>
      <c r="U420" s="94"/>
      <c r="V420" s="94"/>
      <c r="W420" s="94"/>
      <c r="X420" s="94"/>
      <c r="Y420" s="94"/>
      <c r="Z420" s="94"/>
    </row>
    <row r="421" ht="15.75" customHeight="1">
      <c r="T421" s="94"/>
      <c r="U421" s="94"/>
      <c r="V421" s="94"/>
      <c r="W421" s="94"/>
      <c r="X421" s="94"/>
      <c r="Y421" s="94"/>
      <c r="Z421" s="94"/>
    </row>
    <row r="422" ht="15.75" customHeight="1">
      <c r="T422" s="94"/>
      <c r="U422" s="94"/>
      <c r="V422" s="94"/>
      <c r="W422" s="94"/>
      <c r="X422" s="94"/>
      <c r="Y422" s="94"/>
      <c r="Z422" s="94"/>
    </row>
    <row r="423" ht="15.75" customHeight="1">
      <c r="T423" s="94"/>
      <c r="U423" s="94"/>
      <c r="V423" s="94"/>
      <c r="W423" s="94"/>
      <c r="X423" s="94"/>
      <c r="Y423" s="94"/>
      <c r="Z423" s="94"/>
    </row>
    <row r="424" ht="15.75" customHeight="1">
      <c r="T424" s="94"/>
      <c r="U424" s="94"/>
      <c r="V424" s="94"/>
      <c r="W424" s="94"/>
      <c r="X424" s="94"/>
      <c r="Y424" s="94"/>
      <c r="Z424" s="94"/>
    </row>
    <row r="425" ht="15.75" customHeight="1">
      <c r="T425" s="94"/>
      <c r="U425" s="94"/>
      <c r="V425" s="94"/>
      <c r="W425" s="94"/>
      <c r="X425" s="94"/>
      <c r="Y425" s="94"/>
      <c r="Z425" s="94"/>
    </row>
    <row r="426" ht="15.75" customHeight="1">
      <c r="T426" s="94"/>
      <c r="U426" s="94"/>
      <c r="V426" s="94"/>
      <c r="W426" s="94"/>
      <c r="X426" s="94"/>
      <c r="Y426" s="94"/>
      <c r="Z426" s="94"/>
    </row>
    <row r="427" ht="15.75" customHeight="1">
      <c r="T427" s="94"/>
      <c r="U427" s="94"/>
      <c r="V427" s="94"/>
      <c r="W427" s="94"/>
      <c r="X427" s="94"/>
      <c r="Y427" s="94"/>
      <c r="Z427" s="94"/>
    </row>
    <row r="428" ht="15.75" customHeight="1">
      <c r="T428" s="94"/>
      <c r="U428" s="94"/>
      <c r="V428" s="94"/>
      <c r="W428" s="94"/>
      <c r="X428" s="94"/>
      <c r="Y428" s="94"/>
      <c r="Z428" s="94"/>
    </row>
    <row r="429" ht="15.75" customHeight="1">
      <c r="T429" s="94"/>
      <c r="U429" s="94"/>
      <c r="V429" s="94"/>
      <c r="W429" s="94"/>
      <c r="X429" s="94"/>
      <c r="Y429" s="94"/>
      <c r="Z429" s="94"/>
    </row>
    <row r="430" ht="15.75" customHeight="1">
      <c r="T430" s="94"/>
      <c r="U430" s="94"/>
      <c r="V430" s="94"/>
      <c r="W430" s="94"/>
      <c r="X430" s="94"/>
      <c r="Y430" s="94"/>
      <c r="Z430" s="94"/>
    </row>
    <row r="431" ht="15.75" customHeight="1">
      <c r="T431" s="94"/>
      <c r="U431" s="94"/>
      <c r="V431" s="94"/>
      <c r="W431" s="94"/>
      <c r="X431" s="94"/>
      <c r="Y431" s="94"/>
      <c r="Z431" s="94"/>
    </row>
    <row r="432" ht="15.75" customHeight="1">
      <c r="T432" s="94"/>
      <c r="U432" s="94"/>
      <c r="V432" s="94"/>
      <c r="W432" s="94"/>
      <c r="X432" s="94"/>
      <c r="Y432" s="94"/>
      <c r="Z432" s="94"/>
    </row>
    <row r="433" ht="15.75" customHeight="1">
      <c r="T433" s="94"/>
      <c r="U433" s="94"/>
      <c r="V433" s="94"/>
      <c r="W433" s="94"/>
      <c r="X433" s="94"/>
      <c r="Y433" s="94"/>
      <c r="Z433" s="94"/>
    </row>
    <row r="434" ht="15.75" customHeight="1">
      <c r="T434" s="94"/>
      <c r="U434" s="94"/>
      <c r="V434" s="94"/>
      <c r="W434" s="94"/>
      <c r="X434" s="94"/>
      <c r="Y434" s="94"/>
      <c r="Z434" s="94"/>
    </row>
    <row r="435" ht="15.75" customHeight="1">
      <c r="T435" s="94"/>
      <c r="U435" s="94"/>
      <c r="V435" s="94"/>
      <c r="W435" s="94"/>
      <c r="X435" s="94"/>
      <c r="Y435" s="94"/>
      <c r="Z435" s="94"/>
    </row>
    <row r="436" ht="15.75" customHeight="1">
      <c r="T436" s="94"/>
      <c r="U436" s="94"/>
      <c r="V436" s="94"/>
      <c r="W436" s="94"/>
      <c r="X436" s="94"/>
      <c r="Y436" s="94"/>
      <c r="Z436" s="94"/>
    </row>
    <row r="437" ht="15.75" customHeight="1">
      <c r="T437" s="94"/>
      <c r="U437" s="94"/>
      <c r="V437" s="94"/>
      <c r="W437" s="94"/>
      <c r="X437" s="94"/>
      <c r="Y437" s="94"/>
      <c r="Z437" s="94"/>
    </row>
    <row r="438" ht="15.75" customHeight="1">
      <c r="T438" s="94"/>
      <c r="U438" s="94"/>
      <c r="V438" s="94"/>
      <c r="W438" s="94"/>
      <c r="X438" s="94"/>
      <c r="Y438" s="94"/>
      <c r="Z438" s="94"/>
    </row>
    <row r="439" ht="15.75" customHeight="1">
      <c r="T439" s="94"/>
      <c r="U439" s="94"/>
      <c r="V439" s="94"/>
      <c r="W439" s="94"/>
      <c r="X439" s="94"/>
      <c r="Y439" s="94"/>
      <c r="Z439" s="94"/>
    </row>
    <row r="440" ht="15.75" customHeight="1">
      <c r="T440" s="94"/>
      <c r="U440" s="94"/>
      <c r="V440" s="94"/>
      <c r="W440" s="94"/>
      <c r="X440" s="94"/>
      <c r="Y440" s="94"/>
      <c r="Z440" s="94"/>
    </row>
    <row r="441" ht="15.75" customHeight="1">
      <c r="T441" s="94"/>
      <c r="U441" s="94"/>
      <c r="V441" s="94"/>
      <c r="W441" s="94"/>
      <c r="X441" s="94"/>
      <c r="Y441" s="94"/>
      <c r="Z441" s="94"/>
    </row>
    <row r="442" ht="15.75" customHeight="1">
      <c r="T442" s="94"/>
      <c r="U442" s="94"/>
      <c r="V442" s="94"/>
      <c r="W442" s="94"/>
      <c r="X442" s="94"/>
      <c r="Y442" s="94"/>
      <c r="Z442" s="94"/>
    </row>
    <row r="443" ht="15.75" customHeight="1">
      <c r="T443" s="94"/>
      <c r="U443" s="94"/>
      <c r="V443" s="94"/>
      <c r="W443" s="94"/>
      <c r="X443" s="94"/>
      <c r="Y443" s="94"/>
      <c r="Z443" s="94"/>
    </row>
    <row r="444" ht="15.75" customHeight="1">
      <c r="T444" s="94"/>
      <c r="U444" s="94"/>
      <c r="V444" s="94"/>
      <c r="W444" s="94"/>
      <c r="X444" s="94"/>
      <c r="Y444" s="94"/>
      <c r="Z444" s="94"/>
    </row>
    <row r="445" ht="15.75" customHeight="1">
      <c r="T445" s="94"/>
      <c r="U445" s="94"/>
      <c r="V445" s="94"/>
      <c r="W445" s="94"/>
      <c r="X445" s="94"/>
      <c r="Y445" s="94"/>
      <c r="Z445" s="94"/>
    </row>
    <row r="446" ht="15.75" customHeight="1">
      <c r="T446" s="94"/>
      <c r="U446" s="94"/>
      <c r="V446" s="94"/>
      <c r="W446" s="94"/>
      <c r="X446" s="94"/>
      <c r="Y446" s="94"/>
      <c r="Z446" s="94"/>
    </row>
    <row r="447" ht="15.75" customHeight="1">
      <c r="T447" s="94"/>
      <c r="U447" s="94"/>
      <c r="V447" s="94"/>
      <c r="W447" s="94"/>
      <c r="X447" s="94"/>
      <c r="Y447" s="94"/>
      <c r="Z447" s="94"/>
    </row>
    <row r="448" ht="15.75" customHeight="1">
      <c r="T448" s="94"/>
      <c r="U448" s="94"/>
      <c r="V448" s="94"/>
      <c r="W448" s="94"/>
      <c r="X448" s="94"/>
      <c r="Y448" s="94"/>
      <c r="Z448" s="94"/>
    </row>
    <row r="449" ht="15.75" customHeight="1">
      <c r="T449" s="94"/>
      <c r="U449" s="94"/>
      <c r="V449" s="94"/>
      <c r="W449" s="94"/>
      <c r="X449" s="94"/>
      <c r="Y449" s="94"/>
      <c r="Z449" s="94"/>
    </row>
    <row r="450" ht="15.75" customHeight="1">
      <c r="T450" s="94"/>
      <c r="U450" s="94"/>
      <c r="V450" s="94"/>
      <c r="W450" s="94"/>
      <c r="X450" s="94"/>
      <c r="Y450" s="94"/>
      <c r="Z450" s="94"/>
    </row>
    <row r="451" ht="15.75" customHeight="1">
      <c r="T451" s="94"/>
      <c r="U451" s="94"/>
      <c r="V451" s="94"/>
      <c r="W451" s="94"/>
      <c r="X451" s="94"/>
      <c r="Y451" s="94"/>
      <c r="Z451" s="94"/>
    </row>
    <row r="452" ht="15.75" customHeight="1">
      <c r="T452" s="94"/>
      <c r="U452" s="94"/>
      <c r="V452" s="94"/>
      <c r="W452" s="94"/>
      <c r="X452" s="94"/>
      <c r="Y452" s="94"/>
      <c r="Z452" s="94"/>
    </row>
    <row r="453" ht="15.75" customHeight="1">
      <c r="T453" s="94"/>
      <c r="U453" s="94"/>
      <c r="V453" s="94"/>
      <c r="W453" s="94"/>
      <c r="X453" s="94"/>
      <c r="Y453" s="94"/>
      <c r="Z453" s="94"/>
    </row>
    <row r="454" ht="15.75" customHeight="1">
      <c r="T454" s="94"/>
      <c r="U454" s="94"/>
      <c r="V454" s="94"/>
      <c r="W454" s="94"/>
      <c r="X454" s="94"/>
      <c r="Y454" s="94"/>
      <c r="Z454" s="94"/>
    </row>
    <row r="455" ht="15.75" customHeight="1">
      <c r="T455" s="94"/>
      <c r="U455" s="94"/>
      <c r="V455" s="94"/>
      <c r="W455" s="94"/>
      <c r="X455" s="94"/>
      <c r="Y455" s="94"/>
      <c r="Z455" s="94"/>
    </row>
    <row r="456" ht="15.75" customHeight="1">
      <c r="T456" s="94"/>
      <c r="U456" s="94"/>
      <c r="V456" s="94"/>
      <c r="W456" s="94"/>
      <c r="X456" s="94"/>
      <c r="Y456" s="94"/>
      <c r="Z456" s="94"/>
    </row>
    <row r="457" ht="15.75" customHeight="1">
      <c r="T457" s="94"/>
      <c r="U457" s="94"/>
      <c r="V457" s="94"/>
      <c r="W457" s="94"/>
      <c r="X457" s="94"/>
      <c r="Y457" s="94"/>
      <c r="Z457" s="94"/>
    </row>
    <row r="458" ht="15.75" customHeight="1">
      <c r="T458" s="94"/>
      <c r="U458" s="94"/>
      <c r="V458" s="94"/>
      <c r="W458" s="94"/>
      <c r="X458" s="94"/>
      <c r="Y458" s="94"/>
      <c r="Z458" s="94"/>
    </row>
    <row r="459" ht="15.75" customHeight="1">
      <c r="T459" s="94"/>
      <c r="U459" s="94"/>
      <c r="V459" s="94"/>
      <c r="W459" s="94"/>
      <c r="X459" s="94"/>
      <c r="Y459" s="94"/>
      <c r="Z459" s="94"/>
    </row>
    <row r="460" ht="15.75" customHeight="1">
      <c r="T460" s="94"/>
      <c r="U460" s="94"/>
      <c r="V460" s="94"/>
      <c r="W460" s="94"/>
      <c r="X460" s="94"/>
      <c r="Y460" s="94"/>
      <c r="Z460" s="94"/>
    </row>
    <row r="461" ht="15.75" customHeight="1">
      <c r="T461" s="94"/>
      <c r="U461" s="94"/>
      <c r="V461" s="94"/>
      <c r="W461" s="94"/>
      <c r="X461" s="94"/>
      <c r="Y461" s="94"/>
      <c r="Z461" s="94"/>
    </row>
    <row r="462" ht="15.75" customHeight="1">
      <c r="T462" s="94"/>
      <c r="U462" s="94"/>
      <c r="V462" s="94"/>
      <c r="W462" s="94"/>
      <c r="X462" s="94"/>
      <c r="Y462" s="94"/>
      <c r="Z462" s="94"/>
    </row>
    <row r="463" ht="15.75" customHeight="1">
      <c r="T463" s="94"/>
      <c r="U463" s="94"/>
      <c r="V463" s="94"/>
      <c r="W463" s="94"/>
      <c r="X463" s="94"/>
      <c r="Y463" s="94"/>
      <c r="Z463" s="94"/>
    </row>
    <row r="464" ht="15.75" customHeight="1">
      <c r="T464" s="94"/>
      <c r="U464" s="94"/>
      <c r="V464" s="94"/>
      <c r="W464" s="94"/>
      <c r="X464" s="94"/>
      <c r="Y464" s="94"/>
      <c r="Z464" s="94"/>
    </row>
    <row r="465" ht="15.75" customHeight="1">
      <c r="T465" s="94"/>
      <c r="U465" s="94"/>
      <c r="V465" s="94"/>
      <c r="W465" s="94"/>
      <c r="X465" s="94"/>
      <c r="Y465" s="94"/>
      <c r="Z465" s="94"/>
    </row>
    <row r="466" ht="15.75" customHeight="1">
      <c r="T466" s="94"/>
      <c r="U466" s="94"/>
      <c r="V466" s="94"/>
      <c r="W466" s="94"/>
      <c r="X466" s="94"/>
      <c r="Y466" s="94"/>
      <c r="Z466" s="94"/>
    </row>
    <row r="467" ht="15.75" customHeight="1">
      <c r="T467" s="94"/>
      <c r="U467" s="94"/>
      <c r="V467" s="94"/>
      <c r="W467" s="94"/>
      <c r="X467" s="94"/>
      <c r="Y467" s="94"/>
      <c r="Z467" s="94"/>
    </row>
    <row r="468" ht="15.75" customHeight="1">
      <c r="T468" s="94"/>
      <c r="U468" s="94"/>
      <c r="V468" s="94"/>
      <c r="W468" s="94"/>
      <c r="X468" s="94"/>
      <c r="Y468" s="94"/>
      <c r="Z468" s="94"/>
    </row>
    <row r="469" ht="15.75" customHeight="1">
      <c r="T469" s="94"/>
      <c r="U469" s="94"/>
      <c r="V469" s="94"/>
      <c r="W469" s="94"/>
      <c r="X469" s="94"/>
      <c r="Y469" s="94"/>
      <c r="Z469" s="94"/>
    </row>
    <row r="470" ht="15.75" customHeight="1">
      <c r="T470" s="94"/>
      <c r="U470" s="94"/>
      <c r="V470" s="94"/>
      <c r="W470" s="94"/>
      <c r="X470" s="94"/>
      <c r="Y470" s="94"/>
      <c r="Z470" s="94"/>
    </row>
    <row r="471" ht="15.75" customHeight="1">
      <c r="T471" s="94"/>
      <c r="U471" s="94"/>
      <c r="V471" s="94"/>
      <c r="W471" s="94"/>
      <c r="X471" s="94"/>
      <c r="Y471" s="94"/>
      <c r="Z471" s="94"/>
    </row>
    <row r="472" ht="15.75" customHeight="1">
      <c r="T472" s="94"/>
      <c r="U472" s="94"/>
      <c r="V472" s="94"/>
      <c r="W472" s="94"/>
      <c r="X472" s="94"/>
      <c r="Y472" s="94"/>
      <c r="Z472" s="94"/>
    </row>
    <row r="473" ht="15.75" customHeight="1">
      <c r="T473" s="94"/>
      <c r="U473" s="94"/>
      <c r="V473" s="94"/>
      <c r="W473" s="94"/>
      <c r="X473" s="94"/>
      <c r="Y473" s="94"/>
      <c r="Z473" s="94"/>
    </row>
    <row r="474" ht="15.75" customHeight="1">
      <c r="T474" s="94"/>
      <c r="U474" s="94"/>
      <c r="V474" s="94"/>
      <c r="W474" s="94"/>
      <c r="X474" s="94"/>
      <c r="Y474" s="94"/>
      <c r="Z474" s="94"/>
    </row>
    <row r="475" ht="15.75" customHeight="1">
      <c r="T475" s="94"/>
      <c r="U475" s="94"/>
      <c r="V475" s="94"/>
      <c r="W475" s="94"/>
      <c r="X475" s="94"/>
      <c r="Y475" s="94"/>
      <c r="Z475" s="94"/>
    </row>
    <row r="476" ht="15.75" customHeight="1">
      <c r="T476" s="94"/>
      <c r="U476" s="94"/>
      <c r="V476" s="94"/>
      <c r="W476" s="94"/>
      <c r="X476" s="94"/>
      <c r="Y476" s="94"/>
      <c r="Z476" s="94"/>
    </row>
    <row r="477" ht="15.75" customHeight="1">
      <c r="T477" s="94"/>
      <c r="U477" s="94"/>
      <c r="V477" s="94"/>
      <c r="W477" s="94"/>
      <c r="X477" s="94"/>
      <c r="Y477" s="94"/>
      <c r="Z477" s="94"/>
    </row>
    <row r="478" ht="15.75" customHeight="1">
      <c r="T478" s="94"/>
      <c r="U478" s="94"/>
      <c r="V478" s="94"/>
      <c r="W478" s="94"/>
      <c r="X478" s="94"/>
      <c r="Y478" s="94"/>
      <c r="Z478" s="94"/>
    </row>
    <row r="479" ht="15.75" customHeight="1">
      <c r="T479" s="94"/>
      <c r="U479" s="94"/>
      <c r="V479" s="94"/>
      <c r="W479" s="94"/>
      <c r="X479" s="94"/>
      <c r="Y479" s="94"/>
      <c r="Z479" s="94"/>
    </row>
    <row r="480" ht="15.75" customHeight="1">
      <c r="T480" s="94"/>
      <c r="U480" s="94"/>
      <c r="V480" s="94"/>
      <c r="W480" s="94"/>
      <c r="X480" s="94"/>
      <c r="Y480" s="94"/>
      <c r="Z480" s="94"/>
    </row>
    <row r="481" ht="15.75" customHeight="1">
      <c r="T481" s="94"/>
      <c r="U481" s="94"/>
      <c r="V481" s="94"/>
      <c r="W481" s="94"/>
      <c r="X481" s="94"/>
      <c r="Y481" s="94"/>
      <c r="Z481" s="94"/>
    </row>
    <row r="482" ht="15.75" customHeight="1">
      <c r="T482" s="94"/>
      <c r="U482" s="94"/>
      <c r="V482" s="94"/>
      <c r="W482" s="94"/>
      <c r="X482" s="94"/>
      <c r="Y482" s="94"/>
      <c r="Z482" s="94"/>
    </row>
    <row r="483" ht="15.75" customHeight="1">
      <c r="T483" s="94"/>
      <c r="U483" s="94"/>
      <c r="V483" s="94"/>
      <c r="W483" s="94"/>
      <c r="X483" s="94"/>
      <c r="Y483" s="94"/>
      <c r="Z483" s="94"/>
    </row>
    <row r="484" ht="15.75" customHeight="1">
      <c r="T484" s="94"/>
      <c r="U484" s="94"/>
      <c r="V484" s="94"/>
      <c r="W484" s="94"/>
      <c r="X484" s="94"/>
      <c r="Y484" s="94"/>
      <c r="Z484" s="94"/>
    </row>
    <row r="485" ht="15.75" customHeight="1">
      <c r="T485" s="94"/>
      <c r="U485" s="94"/>
      <c r="V485" s="94"/>
      <c r="W485" s="94"/>
      <c r="X485" s="94"/>
      <c r="Y485" s="94"/>
      <c r="Z485" s="94"/>
    </row>
    <row r="486" ht="15.75" customHeight="1">
      <c r="T486" s="94"/>
      <c r="U486" s="94"/>
      <c r="V486" s="94"/>
      <c r="W486" s="94"/>
      <c r="X486" s="94"/>
      <c r="Y486" s="94"/>
      <c r="Z486" s="94"/>
    </row>
    <row r="487" ht="15.75" customHeight="1">
      <c r="T487" s="94"/>
      <c r="U487" s="94"/>
      <c r="V487" s="94"/>
      <c r="W487" s="94"/>
      <c r="X487" s="94"/>
      <c r="Y487" s="94"/>
      <c r="Z487" s="94"/>
    </row>
    <row r="488" ht="15.75" customHeight="1">
      <c r="T488" s="94"/>
      <c r="U488" s="94"/>
      <c r="V488" s="94"/>
      <c r="W488" s="94"/>
      <c r="X488" s="94"/>
      <c r="Y488" s="94"/>
      <c r="Z488" s="94"/>
    </row>
    <row r="489" ht="15.75" customHeight="1">
      <c r="T489" s="94"/>
      <c r="U489" s="94"/>
      <c r="V489" s="94"/>
      <c r="W489" s="94"/>
      <c r="X489" s="94"/>
      <c r="Y489" s="94"/>
      <c r="Z489" s="94"/>
    </row>
    <row r="490" ht="15.75" customHeight="1">
      <c r="T490" s="94"/>
      <c r="U490" s="94"/>
      <c r="V490" s="94"/>
      <c r="W490" s="94"/>
      <c r="X490" s="94"/>
      <c r="Y490" s="94"/>
      <c r="Z490" s="94"/>
    </row>
    <row r="491" ht="15.75" customHeight="1">
      <c r="T491" s="94"/>
      <c r="U491" s="94"/>
      <c r="V491" s="94"/>
      <c r="W491" s="94"/>
      <c r="X491" s="94"/>
      <c r="Y491" s="94"/>
      <c r="Z491" s="94"/>
    </row>
    <row r="492" ht="15.75" customHeight="1">
      <c r="T492" s="94"/>
      <c r="U492" s="94"/>
      <c r="V492" s="94"/>
      <c r="W492" s="94"/>
      <c r="X492" s="94"/>
      <c r="Y492" s="94"/>
      <c r="Z492" s="94"/>
    </row>
    <row r="493" ht="15.75" customHeight="1">
      <c r="T493" s="94"/>
      <c r="U493" s="94"/>
      <c r="V493" s="94"/>
      <c r="W493" s="94"/>
      <c r="X493" s="94"/>
      <c r="Y493" s="94"/>
      <c r="Z493" s="94"/>
    </row>
    <row r="494" ht="15.75" customHeight="1">
      <c r="T494" s="94"/>
      <c r="U494" s="94"/>
      <c r="V494" s="94"/>
      <c r="W494" s="94"/>
      <c r="X494" s="94"/>
      <c r="Y494" s="94"/>
      <c r="Z494" s="94"/>
    </row>
    <row r="495" ht="15.75" customHeight="1">
      <c r="T495" s="94"/>
      <c r="U495" s="94"/>
      <c r="V495" s="94"/>
      <c r="W495" s="94"/>
      <c r="X495" s="94"/>
      <c r="Y495" s="94"/>
      <c r="Z495" s="94"/>
    </row>
    <row r="496" ht="15.75" customHeight="1">
      <c r="T496" s="94"/>
      <c r="U496" s="94"/>
      <c r="V496" s="94"/>
      <c r="W496" s="94"/>
      <c r="X496" s="94"/>
      <c r="Y496" s="94"/>
      <c r="Z496" s="94"/>
    </row>
    <row r="497" ht="15.75" customHeight="1">
      <c r="T497" s="94"/>
      <c r="U497" s="94"/>
      <c r="V497" s="94"/>
      <c r="W497" s="94"/>
      <c r="X497" s="94"/>
      <c r="Y497" s="94"/>
      <c r="Z497" s="94"/>
    </row>
    <row r="498" ht="15.75" customHeight="1">
      <c r="T498" s="94"/>
      <c r="U498" s="94"/>
      <c r="V498" s="94"/>
      <c r="W498" s="94"/>
      <c r="X498" s="94"/>
      <c r="Y498" s="94"/>
      <c r="Z498" s="94"/>
    </row>
    <row r="499" ht="15.75" customHeight="1">
      <c r="T499" s="94"/>
      <c r="U499" s="94"/>
      <c r="V499" s="94"/>
      <c r="W499" s="94"/>
      <c r="X499" s="94"/>
      <c r="Y499" s="94"/>
      <c r="Z499" s="94"/>
    </row>
    <row r="500" ht="15.75" customHeight="1">
      <c r="T500" s="94"/>
      <c r="U500" s="94"/>
      <c r="V500" s="94"/>
      <c r="W500" s="94"/>
      <c r="X500" s="94"/>
      <c r="Y500" s="94"/>
      <c r="Z500" s="94"/>
    </row>
    <row r="501" ht="15.75" customHeight="1">
      <c r="T501" s="94"/>
      <c r="U501" s="94"/>
      <c r="V501" s="94"/>
      <c r="W501" s="94"/>
      <c r="X501" s="94"/>
      <c r="Y501" s="94"/>
      <c r="Z501" s="94"/>
    </row>
    <row r="502" ht="15.75" customHeight="1">
      <c r="T502" s="94"/>
      <c r="U502" s="94"/>
      <c r="V502" s="94"/>
      <c r="W502" s="94"/>
      <c r="X502" s="94"/>
      <c r="Y502" s="94"/>
      <c r="Z502" s="94"/>
    </row>
    <row r="503" ht="15.75" customHeight="1">
      <c r="T503" s="94"/>
      <c r="U503" s="94"/>
      <c r="V503" s="94"/>
      <c r="W503" s="94"/>
      <c r="X503" s="94"/>
      <c r="Y503" s="94"/>
      <c r="Z503" s="94"/>
    </row>
    <row r="504" ht="15.75" customHeight="1">
      <c r="T504" s="94"/>
      <c r="U504" s="94"/>
      <c r="V504" s="94"/>
      <c r="W504" s="94"/>
      <c r="X504" s="94"/>
      <c r="Y504" s="94"/>
      <c r="Z504" s="94"/>
    </row>
    <row r="505" ht="15.75" customHeight="1">
      <c r="T505" s="94"/>
      <c r="U505" s="94"/>
      <c r="V505" s="94"/>
      <c r="W505" s="94"/>
      <c r="X505" s="94"/>
      <c r="Y505" s="94"/>
      <c r="Z505" s="94"/>
    </row>
    <row r="506" ht="15.75" customHeight="1">
      <c r="T506" s="94"/>
      <c r="U506" s="94"/>
      <c r="V506" s="94"/>
      <c r="W506" s="94"/>
      <c r="X506" s="94"/>
      <c r="Y506" s="94"/>
      <c r="Z506" s="94"/>
    </row>
    <row r="507" ht="15.75" customHeight="1">
      <c r="T507" s="94"/>
      <c r="U507" s="94"/>
      <c r="V507" s="94"/>
      <c r="W507" s="94"/>
      <c r="X507" s="94"/>
      <c r="Y507" s="94"/>
      <c r="Z507" s="94"/>
    </row>
    <row r="508" ht="15.75" customHeight="1">
      <c r="T508" s="94"/>
      <c r="U508" s="94"/>
      <c r="V508" s="94"/>
      <c r="W508" s="94"/>
      <c r="X508" s="94"/>
      <c r="Y508" s="94"/>
      <c r="Z508" s="94"/>
    </row>
    <row r="509" ht="15.75" customHeight="1">
      <c r="T509" s="94"/>
      <c r="U509" s="94"/>
      <c r="V509" s="94"/>
      <c r="W509" s="94"/>
      <c r="X509" s="94"/>
      <c r="Y509" s="94"/>
      <c r="Z509" s="94"/>
    </row>
    <row r="510" ht="15.75" customHeight="1">
      <c r="T510" s="94"/>
      <c r="U510" s="94"/>
      <c r="V510" s="94"/>
      <c r="W510" s="94"/>
      <c r="X510" s="94"/>
      <c r="Y510" s="94"/>
      <c r="Z510" s="94"/>
    </row>
    <row r="511" ht="15.75" customHeight="1">
      <c r="T511" s="94"/>
      <c r="U511" s="94"/>
      <c r="V511" s="94"/>
      <c r="W511" s="94"/>
      <c r="X511" s="94"/>
      <c r="Y511" s="94"/>
      <c r="Z511" s="94"/>
    </row>
    <row r="512" ht="15.75" customHeight="1">
      <c r="T512" s="94"/>
      <c r="U512" s="94"/>
      <c r="V512" s="94"/>
      <c r="W512" s="94"/>
      <c r="X512" s="94"/>
      <c r="Y512" s="94"/>
      <c r="Z512" s="94"/>
    </row>
    <row r="513" ht="15.75" customHeight="1">
      <c r="T513" s="94"/>
      <c r="U513" s="94"/>
      <c r="V513" s="94"/>
      <c r="W513" s="94"/>
      <c r="X513" s="94"/>
      <c r="Y513" s="94"/>
      <c r="Z513" s="94"/>
    </row>
    <row r="514" ht="15.75" customHeight="1">
      <c r="T514" s="94"/>
      <c r="U514" s="94"/>
      <c r="V514" s="94"/>
      <c r="W514" s="94"/>
      <c r="X514" s="94"/>
      <c r="Y514" s="94"/>
      <c r="Z514" s="94"/>
    </row>
    <row r="515" ht="15.75" customHeight="1">
      <c r="T515" s="94"/>
      <c r="U515" s="94"/>
      <c r="V515" s="94"/>
      <c r="W515" s="94"/>
      <c r="X515" s="94"/>
      <c r="Y515" s="94"/>
      <c r="Z515" s="94"/>
    </row>
    <row r="516" ht="15.75" customHeight="1">
      <c r="T516" s="94"/>
      <c r="U516" s="94"/>
      <c r="V516" s="94"/>
      <c r="W516" s="94"/>
      <c r="X516" s="94"/>
      <c r="Y516" s="94"/>
      <c r="Z516" s="94"/>
    </row>
    <row r="517" ht="15.75" customHeight="1">
      <c r="T517" s="94"/>
      <c r="U517" s="94"/>
      <c r="V517" s="94"/>
      <c r="W517" s="94"/>
      <c r="X517" s="94"/>
      <c r="Y517" s="94"/>
      <c r="Z517" s="94"/>
    </row>
    <row r="518" ht="15.75" customHeight="1">
      <c r="T518" s="94"/>
      <c r="U518" s="94"/>
      <c r="V518" s="94"/>
      <c r="W518" s="94"/>
      <c r="X518" s="94"/>
      <c r="Y518" s="94"/>
      <c r="Z518" s="94"/>
    </row>
    <row r="519" ht="15.75" customHeight="1">
      <c r="T519" s="94"/>
      <c r="U519" s="94"/>
      <c r="V519" s="94"/>
      <c r="W519" s="94"/>
      <c r="X519" s="94"/>
      <c r="Y519" s="94"/>
      <c r="Z519" s="94"/>
    </row>
    <row r="520" ht="15.75" customHeight="1">
      <c r="T520" s="94"/>
      <c r="U520" s="94"/>
      <c r="V520" s="94"/>
      <c r="W520" s="94"/>
      <c r="X520" s="94"/>
      <c r="Y520" s="94"/>
      <c r="Z520" s="94"/>
    </row>
    <row r="521" ht="15.75" customHeight="1">
      <c r="T521" s="94"/>
      <c r="U521" s="94"/>
      <c r="V521" s="94"/>
      <c r="W521" s="94"/>
      <c r="X521" s="94"/>
      <c r="Y521" s="94"/>
      <c r="Z521" s="94"/>
    </row>
    <row r="522" ht="15.75" customHeight="1">
      <c r="T522" s="94"/>
      <c r="U522" s="94"/>
      <c r="V522" s="94"/>
      <c r="W522" s="94"/>
      <c r="X522" s="94"/>
      <c r="Y522" s="94"/>
      <c r="Z522" s="94"/>
    </row>
    <row r="523" ht="15.75" customHeight="1">
      <c r="T523" s="94"/>
      <c r="U523" s="94"/>
      <c r="V523" s="94"/>
      <c r="W523" s="94"/>
      <c r="X523" s="94"/>
      <c r="Y523" s="94"/>
      <c r="Z523" s="94"/>
    </row>
    <row r="524" ht="15.75" customHeight="1">
      <c r="T524" s="94"/>
      <c r="U524" s="94"/>
      <c r="V524" s="94"/>
      <c r="W524" s="94"/>
      <c r="X524" s="94"/>
      <c r="Y524" s="94"/>
      <c r="Z524" s="94"/>
    </row>
    <row r="525" ht="15.75" customHeight="1">
      <c r="T525" s="94"/>
      <c r="U525" s="94"/>
      <c r="V525" s="94"/>
      <c r="W525" s="94"/>
      <c r="X525" s="94"/>
      <c r="Y525" s="94"/>
      <c r="Z525" s="94"/>
    </row>
    <row r="526" ht="15.75" customHeight="1">
      <c r="T526" s="94"/>
      <c r="U526" s="94"/>
      <c r="V526" s="94"/>
      <c r="W526" s="94"/>
      <c r="X526" s="94"/>
      <c r="Y526" s="94"/>
      <c r="Z526" s="94"/>
    </row>
    <row r="527" ht="15.75" customHeight="1">
      <c r="T527" s="94"/>
      <c r="U527" s="94"/>
      <c r="V527" s="94"/>
      <c r="W527" s="94"/>
      <c r="X527" s="94"/>
      <c r="Y527" s="94"/>
      <c r="Z527" s="94"/>
    </row>
    <row r="528" ht="15.75" customHeight="1">
      <c r="T528" s="94"/>
      <c r="U528" s="94"/>
      <c r="V528" s="94"/>
      <c r="W528" s="94"/>
      <c r="X528" s="94"/>
      <c r="Y528" s="94"/>
      <c r="Z528" s="94"/>
    </row>
    <row r="529" ht="15.75" customHeight="1">
      <c r="T529" s="94"/>
      <c r="U529" s="94"/>
      <c r="V529" s="94"/>
      <c r="W529" s="94"/>
      <c r="X529" s="94"/>
      <c r="Y529" s="94"/>
      <c r="Z529" s="94"/>
    </row>
    <row r="530" ht="15.75" customHeight="1">
      <c r="T530" s="94"/>
      <c r="U530" s="94"/>
      <c r="V530" s="94"/>
      <c r="W530" s="94"/>
      <c r="X530" s="94"/>
      <c r="Y530" s="94"/>
      <c r="Z530" s="94"/>
    </row>
    <row r="531" ht="15.75" customHeight="1">
      <c r="T531" s="94"/>
      <c r="U531" s="94"/>
      <c r="V531" s="94"/>
      <c r="W531" s="94"/>
      <c r="X531" s="94"/>
      <c r="Y531" s="94"/>
      <c r="Z531" s="94"/>
    </row>
    <row r="532" ht="15.75" customHeight="1">
      <c r="T532" s="94"/>
      <c r="U532" s="94"/>
      <c r="V532" s="94"/>
      <c r="W532" s="94"/>
      <c r="X532" s="94"/>
      <c r="Y532" s="94"/>
      <c r="Z532" s="94"/>
    </row>
    <row r="533" ht="15.75" customHeight="1">
      <c r="T533" s="94"/>
      <c r="U533" s="94"/>
      <c r="V533" s="94"/>
      <c r="W533" s="94"/>
      <c r="X533" s="94"/>
      <c r="Y533" s="94"/>
      <c r="Z533" s="94"/>
    </row>
    <row r="534" ht="15.75" customHeight="1">
      <c r="T534" s="94"/>
      <c r="U534" s="94"/>
      <c r="V534" s="94"/>
      <c r="W534" s="94"/>
      <c r="X534" s="94"/>
      <c r="Y534" s="94"/>
      <c r="Z534" s="94"/>
    </row>
    <row r="535" ht="15.75" customHeight="1">
      <c r="T535" s="94"/>
      <c r="U535" s="94"/>
      <c r="V535" s="94"/>
      <c r="W535" s="94"/>
      <c r="X535" s="94"/>
      <c r="Y535" s="94"/>
      <c r="Z535" s="94"/>
    </row>
    <row r="536" ht="15.75" customHeight="1">
      <c r="T536" s="94"/>
      <c r="U536" s="94"/>
      <c r="V536" s="94"/>
      <c r="W536" s="94"/>
      <c r="X536" s="94"/>
      <c r="Y536" s="94"/>
      <c r="Z536" s="94"/>
    </row>
    <row r="537" ht="15.75" customHeight="1">
      <c r="T537" s="94"/>
      <c r="U537" s="94"/>
      <c r="V537" s="94"/>
      <c r="W537" s="94"/>
      <c r="X537" s="94"/>
      <c r="Y537" s="94"/>
      <c r="Z537" s="94"/>
    </row>
    <row r="538" ht="15.75" customHeight="1">
      <c r="T538" s="94"/>
      <c r="U538" s="94"/>
      <c r="V538" s="94"/>
      <c r="W538" s="94"/>
      <c r="X538" s="94"/>
      <c r="Y538" s="94"/>
      <c r="Z538" s="94"/>
    </row>
    <row r="539" ht="15.75" customHeight="1">
      <c r="T539" s="94"/>
      <c r="U539" s="94"/>
      <c r="V539" s="94"/>
      <c r="W539" s="94"/>
      <c r="X539" s="94"/>
      <c r="Y539" s="94"/>
      <c r="Z539" s="94"/>
    </row>
    <row r="540" ht="15.75" customHeight="1">
      <c r="T540" s="94"/>
      <c r="U540" s="94"/>
      <c r="V540" s="94"/>
      <c r="W540" s="94"/>
      <c r="X540" s="94"/>
      <c r="Y540" s="94"/>
      <c r="Z540" s="94"/>
    </row>
    <row r="541" ht="15.75" customHeight="1">
      <c r="T541" s="94"/>
      <c r="U541" s="94"/>
      <c r="V541" s="94"/>
      <c r="W541" s="94"/>
      <c r="X541" s="94"/>
      <c r="Y541" s="94"/>
      <c r="Z541" s="94"/>
    </row>
    <row r="542" ht="15.75" customHeight="1">
      <c r="T542" s="94"/>
      <c r="U542" s="94"/>
      <c r="V542" s="94"/>
      <c r="W542" s="94"/>
      <c r="X542" s="94"/>
      <c r="Y542" s="94"/>
      <c r="Z542" s="94"/>
    </row>
    <row r="543" ht="15.75" customHeight="1">
      <c r="T543" s="94"/>
      <c r="U543" s="94"/>
      <c r="V543" s="94"/>
      <c r="W543" s="94"/>
      <c r="X543" s="94"/>
      <c r="Y543" s="94"/>
      <c r="Z543" s="94"/>
    </row>
    <row r="544" ht="15.75" customHeight="1">
      <c r="T544" s="94"/>
      <c r="U544" s="94"/>
      <c r="V544" s="94"/>
      <c r="W544" s="94"/>
      <c r="X544" s="94"/>
      <c r="Y544" s="94"/>
      <c r="Z544" s="94"/>
    </row>
    <row r="545" ht="15.75" customHeight="1">
      <c r="T545" s="94"/>
      <c r="U545" s="94"/>
      <c r="V545" s="94"/>
      <c r="W545" s="94"/>
      <c r="X545" s="94"/>
      <c r="Y545" s="94"/>
      <c r="Z545" s="94"/>
    </row>
    <row r="546" ht="15.75" customHeight="1">
      <c r="T546" s="94"/>
      <c r="U546" s="94"/>
      <c r="V546" s="94"/>
      <c r="W546" s="94"/>
      <c r="X546" s="94"/>
      <c r="Y546" s="94"/>
      <c r="Z546" s="94"/>
    </row>
    <row r="547" ht="15.75" customHeight="1">
      <c r="T547" s="94"/>
      <c r="U547" s="94"/>
      <c r="V547" s="94"/>
      <c r="W547" s="94"/>
      <c r="X547" s="94"/>
      <c r="Y547" s="94"/>
      <c r="Z547" s="94"/>
    </row>
    <row r="548" ht="15.75" customHeight="1">
      <c r="T548" s="94"/>
      <c r="U548" s="94"/>
      <c r="V548" s="94"/>
      <c r="W548" s="94"/>
      <c r="X548" s="94"/>
      <c r="Y548" s="94"/>
      <c r="Z548" s="94"/>
    </row>
    <row r="549" ht="15.75" customHeight="1">
      <c r="T549" s="94"/>
      <c r="U549" s="94"/>
      <c r="V549" s="94"/>
      <c r="W549" s="94"/>
      <c r="X549" s="94"/>
      <c r="Y549" s="94"/>
      <c r="Z549" s="94"/>
    </row>
    <row r="550" ht="15.75" customHeight="1">
      <c r="T550" s="94"/>
      <c r="U550" s="94"/>
      <c r="V550" s="94"/>
      <c r="W550" s="94"/>
      <c r="X550" s="94"/>
      <c r="Y550" s="94"/>
      <c r="Z550" s="94"/>
    </row>
    <row r="551" ht="15.75" customHeight="1">
      <c r="T551" s="94"/>
      <c r="U551" s="94"/>
      <c r="V551" s="94"/>
      <c r="W551" s="94"/>
      <c r="X551" s="94"/>
      <c r="Y551" s="94"/>
      <c r="Z551" s="94"/>
    </row>
    <row r="552" ht="15.75" customHeight="1">
      <c r="T552" s="94"/>
      <c r="U552" s="94"/>
      <c r="V552" s="94"/>
      <c r="W552" s="94"/>
      <c r="X552" s="94"/>
      <c r="Y552" s="94"/>
      <c r="Z552" s="94"/>
    </row>
    <row r="553" ht="15.75" customHeight="1">
      <c r="T553" s="94"/>
      <c r="U553" s="94"/>
      <c r="V553" s="94"/>
      <c r="W553" s="94"/>
      <c r="X553" s="94"/>
      <c r="Y553" s="94"/>
      <c r="Z553" s="94"/>
    </row>
    <row r="554" ht="15.75" customHeight="1">
      <c r="T554" s="94"/>
      <c r="U554" s="94"/>
      <c r="V554" s="94"/>
      <c r="W554" s="94"/>
      <c r="X554" s="94"/>
      <c r="Y554" s="94"/>
      <c r="Z554" s="94"/>
    </row>
    <row r="555" ht="15.75" customHeight="1">
      <c r="T555" s="94"/>
      <c r="U555" s="94"/>
      <c r="V555" s="94"/>
      <c r="W555" s="94"/>
      <c r="X555" s="94"/>
      <c r="Y555" s="94"/>
      <c r="Z555" s="94"/>
    </row>
    <row r="556" ht="15.75" customHeight="1">
      <c r="T556" s="94"/>
      <c r="U556" s="94"/>
      <c r="V556" s="94"/>
      <c r="W556" s="94"/>
      <c r="X556" s="94"/>
      <c r="Y556" s="94"/>
      <c r="Z556" s="94"/>
    </row>
    <row r="557" ht="15.75" customHeight="1">
      <c r="T557" s="94"/>
      <c r="U557" s="94"/>
      <c r="V557" s="94"/>
      <c r="W557" s="94"/>
      <c r="X557" s="94"/>
      <c r="Y557" s="94"/>
      <c r="Z557" s="94"/>
    </row>
    <row r="558" ht="15.75" customHeight="1">
      <c r="T558" s="94"/>
      <c r="U558" s="94"/>
      <c r="V558" s="94"/>
      <c r="W558" s="94"/>
      <c r="X558" s="94"/>
      <c r="Y558" s="94"/>
      <c r="Z558" s="94"/>
    </row>
    <row r="559" ht="15.75" customHeight="1">
      <c r="T559" s="94"/>
      <c r="U559" s="94"/>
      <c r="V559" s="94"/>
      <c r="W559" s="94"/>
      <c r="X559" s="94"/>
      <c r="Y559" s="94"/>
      <c r="Z559" s="94"/>
    </row>
    <row r="560" ht="15.75" customHeight="1">
      <c r="T560" s="94"/>
      <c r="U560" s="94"/>
      <c r="V560" s="94"/>
      <c r="W560" s="94"/>
      <c r="X560" s="94"/>
      <c r="Y560" s="94"/>
      <c r="Z560" s="94"/>
    </row>
    <row r="561" ht="15.75" customHeight="1">
      <c r="T561" s="94"/>
      <c r="U561" s="94"/>
      <c r="V561" s="94"/>
      <c r="W561" s="94"/>
      <c r="X561" s="94"/>
      <c r="Y561" s="94"/>
      <c r="Z561" s="94"/>
    </row>
    <row r="562" ht="15.75" customHeight="1">
      <c r="T562" s="94"/>
      <c r="U562" s="94"/>
      <c r="V562" s="94"/>
      <c r="W562" s="94"/>
      <c r="X562" s="94"/>
      <c r="Y562" s="94"/>
      <c r="Z562" s="94"/>
    </row>
    <row r="563" ht="15.75" customHeight="1">
      <c r="T563" s="94"/>
      <c r="U563" s="94"/>
      <c r="V563" s="94"/>
      <c r="W563" s="94"/>
      <c r="X563" s="94"/>
      <c r="Y563" s="94"/>
      <c r="Z563" s="94"/>
    </row>
    <row r="564" ht="15.75" customHeight="1">
      <c r="T564" s="94"/>
      <c r="U564" s="94"/>
      <c r="V564" s="94"/>
      <c r="W564" s="94"/>
      <c r="X564" s="94"/>
      <c r="Y564" s="94"/>
      <c r="Z564" s="94"/>
    </row>
    <row r="565" ht="15.75" customHeight="1">
      <c r="T565" s="94"/>
      <c r="U565" s="94"/>
      <c r="V565" s="94"/>
      <c r="W565" s="94"/>
      <c r="X565" s="94"/>
      <c r="Y565" s="94"/>
      <c r="Z565" s="94"/>
    </row>
    <row r="566" ht="15.75" customHeight="1">
      <c r="T566" s="94"/>
      <c r="U566" s="94"/>
      <c r="V566" s="94"/>
      <c r="W566" s="94"/>
      <c r="X566" s="94"/>
      <c r="Y566" s="94"/>
      <c r="Z566" s="94"/>
    </row>
    <row r="567" ht="15.75" customHeight="1">
      <c r="T567" s="94"/>
      <c r="U567" s="94"/>
      <c r="V567" s="94"/>
      <c r="W567" s="94"/>
      <c r="X567" s="94"/>
      <c r="Y567" s="94"/>
      <c r="Z567" s="94"/>
    </row>
    <row r="568" ht="15.75" customHeight="1">
      <c r="T568" s="94"/>
      <c r="U568" s="94"/>
      <c r="V568" s="94"/>
      <c r="W568" s="94"/>
      <c r="X568" s="94"/>
      <c r="Y568" s="94"/>
      <c r="Z568" s="94"/>
    </row>
    <row r="569" ht="15.75" customHeight="1">
      <c r="T569" s="94"/>
      <c r="U569" s="94"/>
      <c r="V569" s="94"/>
      <c r="W569" s="94"/>
      <c r="X569" s="94"/>
      <c r="Y569" s="94"/>
      <c r="Z569" s="94"/>
    </row>
    <row r="570" ht="15.75" customHeight="1">
      <c r="T570" s="94"/>
      <c r="U570" s="94"/>
      <c r="V570" s="94"/>
      <c r="W570" s="94"/>
      <c r="X570" s="94"/>
      <c r="Y570" s="94"/>
      <c r="Z570" s="94"/>
    </row>
    <row r="571" ht="15.75" customHeight="1">
      <c r="T571" s="94"/>
      <c r="U571" s="94"/>
      <c r="V571" s="94"/>
      <c r="W571" s="94"/>
      <c r="X571" s="94"/>
      <c r="Y571" s="94"/>
      <c r="Z571" s="94"/>
    </row>
    <row r="572" ht="15.75" customHeight="1">
      <c r="T572" s="94"/>
      <c r="U572" s="94"/>
      <c r="V572" s="94"/>
      <c r="W572" s="94"/>
      <c r="X572" s="94"/>
      <c r="Y572" s="94"/>
      <c r="Z572" s="94"/>
    </row>
    <row r="573" ht="15.75" customHeight="1">
      <c r="T573" s="94"/>
      <c r="U573" s="94"/>
      <c r="V573" s="94"/>
      <c r="W573" s="94"/>
      <c r="X573" s="94"/>
      <c r="Y573" s="94"/>
      <c r="Z573" s="94"/>
    </row>
    <row r="574" ht="15.75" customHeight="1">
      <c r="T574" s="94"/>
      <c r="U574" s="94"/>
      <c r="V574" s="94"/>
      <c r="W574" s="94"/>
      <c r="X574" s="94"/>
      <c r="Y574" s="94"/>
      <c r="Z574" s="94"/>
    </row>
    <row r="575" ht="15.75" customHeight="1">
      <c r="T575" s="94"/>
      <c r="U575" s="94"/>
      <c r="V575" s="94"/>
      <c r="W575" s="94"/>
      <c r="X575" s="94"/>
      <c r="Y575" s="94"/>
      <c r="Z575" s="94"/>
    </row>
    <row r="576" ht="15.75" customHeight="1">
      <c r="T576" s="94"/>
      <c r="U576" s="94"/>
      <c r="V576" s="94"/>
      <c r="W576" s="94"/>
      <c r="X576" s="94"/>
      <c r="Y576" s="94"/>
      <c r="Z576" s="94"/>
    </row>
    <row r="577" ht="15.75" customHeight="1">
      <c r="T577" s="94"/>
      <c r="U577" s="94"/>
      <c r="V577" s="94"/>
      <c r="W577" s="94"/>
      <c r="X577" s="94"/>
      <c r="Y577" s="94"/>
      <c r="Z577" s="94"/>
    </row>
    <row r="578" ht="15.75" customHeight="1">
      <c r="T578" s="94"/>
      <c r="U578" s="94"/>
      <c r="V578" s="94"/>
      <c r="W578" s="94"/>
      <c r="X578" s="94"/>
      <c r="Y578" s="94"/>
      <c r="Z578" s="94"/>
    </row>
    <row r="579" ht="15.75" customHeight="1">
      <c r="T579" s="94"/>
      <c r="U579" s="94"/>
      <c r="V579" s="94"/>
      <c r="W579" s="94"/>
      <c r="X579" s="94"/>
      <c r="Y579" s="94"/>
      <c r="Z579" s="94"/>
    </row>
    <row r="580" ht="15.75" customHeight="1">
      <c r="T580" s="94"/>
      <c r="U580" s="94"/>
      <c r="V580" s="94"/>
      <c r="W580" s="94"/>
      <c r="X580" s="94"/>
      <c r="Y580" s="94"/>
      <c r="Z580" s="94"/>
    </row>
    <row r="581" ht="15.75" customHeight="1">
      <c r="T581" s="94"/>
      <c r="U581" s="94"/>
      <c r="V581" s="94"/>
      <c r="W581" s="94"/>
      <c r="X581" s="94"/>
      <c r="Y581" s="94"/>
      <c r="Z581" s="94"/>
    </row>
    <row r="582" ht="15.75" customHeight="1">
      <c r="T582" s="94"/>
      <c r="U582" s="94"/>
      <c r="V582" s="94"/>
      <c r="W582" s="94"/>
      <c r="X582" s="94"/>
      <c r="Y582" s="94"/>
      <c r="Z582" s="94"/>
    </row>
    <row r="583" ht="15.75" customHeight="1">
      <c r="T583" s="94"/>
      <c r="U583" s="94"/>
      <c r="V583" s="94"/>
      <c r="W583" s="94"/>
      <c r="X583" s="94"/>
      <c r="Y583" s="94"/>
      <c r="Z583" s="94"/>
    </row>
    <row r="584" ht="15.75" customHeight="1">
      <c r="T584" s="94"/>
      <c r="U584" s="94"/>
      <c r="V584" s="94"/>
      <c r="W584" s="94"/>
      <c r="X584" s="94"/>
      <c r="Y584" s="94"/>
      <c r="Z584" s="94"/>
    </row>
    <row r="585" ht="15.75" customHeight="1">
      <c r="T585" s="94"/>
      <c r="U585" s="94"/>
      <c r="V585" s="94"/>
      <c r="W585" s="94"/>
      <c r="X585" s="94"/>
      <c r="Y585" s="94"/>
      <c r="Z585" s="94"/>
    </row>
    <row r="586" ht="15.75" customHeight="1">
      <c r="T586" s="94"/>
      <c r="U586" s="94"/>
      <c r="V586" s="94"/>
      <c r="W586" s="94"/>
      <c r="X586" s="94"/>
      <c r="Y586" s="94"/>
      <c r="Z586" s="94"/>
    </row>
    <row r="587" ht="15.75" customHeight="1">
      <c r="T587" s="94"/>
      <c r="U587" s="94"/>
      <c r="V587" s="94"/>
      <c r="W587" s="94"/>
      <c r="X587" s="94"/>
      <c r="Y587" s="94"/>
      <c r="Z587" s="94"/>
    </row>
    <row r="588" ht="15.75" customHeight="1">
      <c r="T588" s="94"/>
      <c r="U588" s="94"/>
      <c r="V588" s="94"/>
      <c r="W588" s="94"/>
      <c r="X588" s="94"/>
      <c r="Y588" s="94"/>
      <c r="Z588" s="94"/>
    </row>
    <row r="589" ht="15.75" customHeight="1">
      <c r="T589" s="94"/>
      <c r="U589" s="94"/>
      <c r="V589" s="94"/>
      <c r="W589" s="94"/>
      <c r="X589" s="94"/>
      <c r="Y589" s="94"/>
      <c r="Z589" s="94"/>
    </row>
    <row r="590" ht="15.75" customHeight="1">
      <c r="T590" s="94"/>
      <c r="U590" s="94"/>
      <c r="V590" s="94"/>
      <c r="W590" s="94"/>
      <c r="X590" s="94"/>
      <c r="Y590" s="94"/>
      <c r="Z590" s="94"/>
    </row>
    <row r="591" ht="15.75" customHeight="1">
      <c r="T591" s="94"/>
      <c r="U591" s="94"/>
      <c r="V591" s="94"/>
      <c r="W591" s="94"/>
      <c r="X591" s="94"/>
      <c r="Y591" s="94"/>
      <c r="Z591" s="94"/>
    </row>
    <row r="592" ht="15.75" customHeight="1">
      <c r="T592" s="94"/>
      <c r="U592" s="94"/>
      <c r="V592" s="94"/>
      <c r="W592" s="94"/>
      <c r="X592" s="94"/>
      <c r="Y592" s="94"/>
      <c r="Z592" s="94"/>
    </row>
    <row r="593" ht="15.75" customHeight="1">
      <c r="T593" s="94"/>
      <c r="U593" s="94"/>
      <c r="V593" s="94"/>
      <c r="W593" s="94"/>
      <c r="X593" s="94"/>
      <c r="Y593" s="94"/>
      <c r="Z593" s="94"/>
    </row>
    <row r="594" ht="15.75" customHeight="1">
      <c r="T594" s="94"/>
      <c r="U594" s="94"/>
      <c r="V594" s="94"/>
      <c r="W594" s="94"/>
      <c r="X594" s="94"/>
      <c r="Y594" s="94"/>
      <c r="Z594" s="94"/>
    </row>
    <row r="595" ht="15.75" customHeight="1">
      <c r="T595" s="94"/>
      <c r="U595" s="94"/>
      <c r="V595" s="94"/>
      <c r="W595" s="94"/>
      <c r="X595" s="94"/>
      <c r="Y595" s="94"/>
      <c r="Z595" s="94"/>
    </row>
    <row r="596" ht="15.75" customHeight="1">
      <c r="T596" s="94"/>
      <c r="U596" s="94"/>
      <c r="V596" s="94"/>
      <c r="W596" s="94"/>
      <c r="X596" s="94"/>
      <c r="Y596" s="94"/>
      <c r="Z596" s="94"/>
    </row>
    <row r="597" ht="15.75" customHeight="1">
      <c r="T597" s="94"/>
      <c r="U597" s="94"/>
      <c r="V597" s="94"/>
      <c r="W597" s="94"/>
      <c r="X597" s="94"/>
      <c r="Y597" s="94"/>
      <c r="Z597" s="94"/>
    </row>
    <row r="598" ht="15.75" customHeight="1">
      <c r="T598" s="94"/>
      <c r="U598" s="94"/>
      <c r="V598" s="94"/>
      <c r="W598" s="94"/>
      <c r="X598" s="94"/>
      <c r="Y598" s="94"/>
      <c r="Z598" s="94"/>
    </row>
    <row r="599" ht="15.75" customHeight="1">
      <c r="T599" s="94"/>
      <c r="U599" s="94"/>
      <c r="V599" s="94"/>
      <c r="W599" s="94"/>
      <c r="X599" s="94"/>
      <c r="Y599" s="94"/>
      <c r="Z599" s="94"/>
    </row>
    <row r="600" ht="15.75" customHeight="1">
      <c r="T600" s="94"/>
      <c r="U600" s="94"/>
      <c r="V600" s="94"/>
      <c r="W600" s="94"/>
      <c r="X600" s="94"/>
      <c r="Y600" s="94"/>
      <c r="Z600" s="94"/>
    </row>
    <row r="601" ht="15.75" customHeight="1">
      <c r="T601" s="94"/>
      <c r="U601" s="94"/>
      <c r="V601" s="94"/>
      <c r="W601" s="94"/>
      <c r="X601" s="94"/>
      <c r="Y601" s="94"/>
      <c r="Z601" s="94"/>
    </row>
    <row r="602" ht="15.75" customHeight="1">
      <c r="T602" s="94"/>
      <c r="U602" s="94"/>
      <c r="V602" s="94"/>
      <c r="W602" s="94"/>
      <c r="X602" s="94"/>
      <c r="Y602" s="94"/>
      <c r="Z602" s="94"/>
    </row>
    <row r="603" ht="15.75" customHeight="1">
      <c r="T603" s="94"/>
      <c r="U603" s="94"/>
      <c r="V603" s="94"/>
      <c r="W603" s="94"/>
      <c r="X603" s="94"/>
      <c r="Y603" s="94"/>
      <c r="Z603" s="94"/>
    </row>
    <row r="604" ht="15.75" customHeight="1">
      <c r="T604" s="94"/>
      <c r="U604" s="94"/>
      <c r="V604" s="94"/>
      <c r="W604" s="94"/>
      <c r="X604" s="94"/>
      <c r="Y604" s="94"/>
      <c r="Z604" s="94"/>
    </row>
    <row r="605" ht="15.75" customHeight="1">
      <c r="T605" s="94"/>
      <c r="U605" s="94"/>
      <c r="V605" s="94"/>
      <c r="W605" s="94"/>
      <c r="X605" s="94"/>
      <c r="Y605" s="94"/>
      <c r="Z605" s="94"/>
    </row>
    <row r="606" ht="15.75" customHeight="1">
      <c r="T606" s="94"/>
      <c r="U606" s="94"/>
      <c r="V606" s="94"/>
      <c r="W606" s="94"/>
      <c r="X606" s="94"/>
      <c r="Y606" s="94"/>
      <c r="Z606" s="94"/>
    </row>
    <row r="607" ht="15.75" customHeight="1">
      <c r="T607" s="94"/>
      <c r="U607" s="94"/>
      <c r="V607" s="94"/>
      <c r="W607" s="94"/>
      <c r="X607" s="94"/>
      <c r="Y607" s="94"/>
      <c r="Z607" s="94"/>
    </row>
    <row r="608" ht="15.75" customHeight="1">
      <c r="T608" s="94"/>
      <c r="U608" s="94"/>
      <c r="V608" s="94"/>
      <c r="W608" s="94"/>
      <c r="X608" s="94"/>
      <c r="Y608" s="94"/>
      <c r="Z608" s="94"/>
    </row>
    <row r="609" ht="15.75" customHeight="1">
      <c r="T609" s="94"/>
      <c r="U609" s="94"/>
      <c r="V609" s="94"/>
      <c r="W609" s="94"/>
      <c r="X609" s="94"/>
      <c r="Y609" s="94"/>
      <c r="Z609" s="94"/>
    </row>
    <row r="610" ht="15.75" customHeight="1">
      <c r="T610" s="94"/>
      <c r="U610" s="94"/>
      <c r="V610" s="94"/>
      <c r="W610" s="94"/>
      <c r="X610" s="94"/>
      <c r="Y610" s="94"/>
      <c r="Z610" s="94"/>
    </row>
    <row r="611" ht="15.75" customHeight="1">
      <c r="T611" s="94"/>
      <c r="U611" s="94"/>
      <c r="V611" s="94"/>
      <c r="W611" s="94"/>
      <c r="X611" s="94"/>
      <c r="Y611" s="94"/>
      <c r="Z611" s="94"/>
    </row>
    <row r="612" ht="15.75" customHeight="1">
      <c r="T612" s="94"/>
      <c r="U612" s="94"/>
      <c r="V612" s="94"/>
      <c r="W612" s="94"/>
      <c r="X612" s="94"/>
      <c r="Y612" s="94"/>
      <c r="Z612" s="94"/>
    </row>
    <row r="613" ht="15.75" customHeight="1">
      <c r="T613" s="94"/>
      <c r="U613" s="94"/>
      <c r="V613" s="94"/>
      <c r="W613" s="94"/>
      <c r="X613" s="94"/>
      <c r="Y613" s="94"/>
      <c r="Z613" s="94"/>
    </row>
    <row r="614" ht="15.75" customHeight="1">
      <c r="T614" s="94"/>
      <c r="U614" s="94"/>
      <c r="V614" s="94"/>
      <c r="W614" s="94"/>
      <c r="X614" s="94"/>
      <c r="Y614" s="94"/>
      <c r="Z614" s="94"/>
    </row>
    <row r="615" ht="15.75" customHeight="1">
      <c r="T615" s="94"/>
      <c r="U615" s="94"/>
      <c r="V615" s="94"/>
      <c r="W615" s="94"/>
      <c r="X615" s="94"/>
      <c r="Y615" s="94"/>
      <c r="Z615" s="94"/>
    </row>
    <row r="616" ht="15.75" customHeight="1">
      <c r="T616" s="94"/>
      <c r="U616" s="94"/>
      <c r="V616" s="94"/>
      <c r="W616" s="94"/>
      <c r="X616" s="94"/>
      <c r="Y616" s="94"/>
      <c r="Z616" s="94"/>
    </row>
    <row r="617" ht="15.75" customHeight="1">
      <c r="T617" s="94"/>
      <c r="U617" s="94"/>
      <c r="V617" s="94"/>
      <c r="W617" s="94"/>
      <c r="X617" s="94"/>
      <c r="Y617" s="94"/>
      <c r="Z617" s="94"/>
    </row>
    <row r="618" ht="15.75" customHeight="1">
      <c r="T618" s="94"/>
      <c r="U618" s="94"/>
      <c r="V618" s="94"/>
      <c r="W618" s="94"/>
      <c r="X618" s="94"/>
      <c r="Y618" s="94"/>
      <c r="Z618" s="94"/>
    </row>
    <row r="619" ht="15.75" customHeight="1">
      <c r="T619" s="94"/>
      <c r="U619" s="94"/>
      <c r="V619" s="94"/>
      <c r="W619" s="94"/>
      <c r="X619" s="94"/>
      <c r="Y619" s="94"/>
      <c r="Z619" s="94"/>
    </row>
    <row r="620" ht="15.75" customHeight="1">
      <c r="T620" s="94"/>
      <c r="U620" s="94"/>
      <c r="V620" s="94"/>
      <c r="W620" s="94"/>
      <c r="X620" s="94"/>
      <c r="Y620" s="94"/>
      <c r="Z620" s="94"/>
    </row>
    <row r="621" ht="15.75" customHeight="1">
      <c r="T621" s="94"/>
      <c r="U621" s="94"/>
      <c r="V621" s="94"/>
      <c r="W621" s="94"/>
      <c r="X621" s="94"/>
      <c r="Y621" s="94"/>
      <c r="Z621" s="94"/>
    </row>
    <row r="622" ht="15.75" customHeight="1">
      <c r="T622" s="94"/>
      <c r="U622" s="94"/>
      <c r="V622" s="94"/>
      <c r="W622" s="94"/>
      <c r="X622" s="94"/>
      <c r="Y622" s="94"/>
      <c r="Z622" s="94"/>
    </row>
    <row r="623" ht="15.75" customHeight="1">
      <c r="T623" s="94"/>
      <c r="U623" s="94"/>
      <c r="V623" s="94"/>
      <c r="W623" s="94"/>
      <c r="X623" s="94"/>
      <c r="Y623" s="94"/>
      <c r="Z623" s="94"/>
    </row>
    <row r="624" ht="15.75" customHeight="1">
      <c r="T624" s="94"/>
      <c r="U624" s="94"/>
      <c r="V624" s="94"/>
      <c r="W624" s="94"/>
      <c r="X624" s="94"/>
      <c r="Y624" s="94"/>
      <c r="Z624" s="94"/>
    </row>
    <row r="625" ht="15.75" customHeight="1">
      <c r="T625" s="94"/>
      <c r="U625" s="94"/>
      <c r="V625" s="94"/>
      <c r="W625" s="94"/>
      <c r="X625" s="94"/>
      <c r="Y625" s="94"/>
      <c r="Z625" s="94"/>
    </row>
    <row r="626" ht="15.75" customHeight="1">
      <c r="T626" s="94"/>
      <c r="U626" s="94"/>
      <c r="V626" s="94"/>
      <c r="W626" s="94"/>
      <c r="X626" s="94"/>
      <c r="Y626" s="94"/>
      <c r="Z626" s="94"/>
    </row>
    <row r="627" ht="15.75" customHeight="1">
      <c r="T627" s="94"/>
      <c r="U627" s="94"/>
      <c r="V627" s="94"/>
      <c r="W627" s="94"/>
      <c r="X627" s="94"/>
      <c r="Y627" s="94"/>
      <c r="Z627" s="94"/>
    </row>
    <row r="628" ht="15.75" customHeight="1">
      <c r="T628" s="94"/>
      <c r="U628" s="94"/>
      <c r="V628" s="94"/>
      <c r="W628" s="94"/>
      <c r="X628" s="94"/>
      <c r="Y628" s="94"/>
      <c r="Z628" s="94"/>
    </row>
    <row r="629" ht="15.75" customHeight="1">
      <c r="T629" s="94"/>
      <c r="U629" s="94"/>
      <c r="V629" s="94"/>
      <c r="W629" s="94"/>
      <c r="X629" s="94"/>
      <c r="Y629" s="94"/>
      <c r="Z629" s="94"/>
    </row>
    <row r="630" ht="15.75" customHeight="1"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5.75" customHeight="1"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5.75" customHeight="1"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5.75" customHeight="1"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25.57"/>
    <col customWidth="1" min="2" max="3" width="21.14"/>
    <col customWidth="1" min="4" max="4" width="16.57"/>
    <col customWidth="1" min="5" max="5" width="13.71"/>
    <col customWidth="1" min="6" max="16" width="8.71"/>
    <col customWidth="1" min="17" max="20" width="11.71"/>
    <col customWidth="1" min="21" max="21" width="10.29"/>
    <col customWidth="1" min="22" max="26" width="8.71"/>
  </cols>
  <sheetData>
    <row r="1">
      <c r="A1" s="12" t="s">
        <v>255</v>
      </c>
      <c r="B1" s="12" t="s">
        <v>255</v>
      </c>
      <c r="C1" s="12" t="s">
        <v>434</v>
      </c>
      <c r="D1" s="12" t="s">
        <v>320</v>
      </c>
      <c r="E1" s="12" t="s">
        <v>256</v>
      </c>
      <c r="F1" s="12" t="s">
        <v>231</v>
      </c>
      <c r="G1" s="156" t="s">
        <v>36</v>
      </c>
      <c r="H1" s="156" t="s">
        <v>45</v>
      </c>
      <c r="I1" s="12" t="s">
        <v>46</v>
      </c>
      <c r="J1" s="12" t="s">
        <v>47</v>
      </c>
      <c r="K1" s="12" t="s">
        <v>48</v>
      </c>
      <c r="L1" s="12" t="s">
        <v>50</v>
      </c>
      <c r="M1" s="12" t="s">
        <v>54</v>
      </c>
      <c r="N1" s="12" t="s">
        <v>56</v>
      </c>
      <c r="O1" s="12" t="s">
        <v>58</v>
      </c>
      <c r="P1" s="12" t="s">
        <v>61</v>
      </c>
      <c r="Q1" s="12" t="s">
        <v>63</v>
      </c>
      <c r="R1" s="12" t="s">
        <v>65</v>
      </c>
      <c r="S1" s="12" t="s">
        <v>67</v>
      </c>
      <c r="T1" s="12" t="s">
        <v>70</v>
      </c>
      <c r="U1" s="135">
        <v>45658.0</v>
      </c>
      <c r="V1" s="135">
        <v>45689.0</v>
      </c>
      <c r="W1" s="135">
        <v>45717.0</v>
      </c>
      <c r="X1" s="157"/>
      <c r="Y1" s="157"/>
      <c r="Z1" s="157"/>
    </row>
    <row r="2">
      <c r="A2" s="10" t="s">
        <v>211</v>
      </c>
      <c r="B2" s="10" t="s">
        <v>211</v>
      </c>
      <c r="C2" s="10"/>
      <c r="D2" s="10" t="s">
        <v>314</v>
      </c>
      <c r="E2" s="10" t="s">
        <v>257</v>
      </c>
      <c r="F2" s="3">
        <f t="shared" ref="F2:F6" si="1">SUM(G2:S2)</f>
        <v>22252</v>
      </c>
      <c r="G2" s="3">
        <f>SUMIFS('Business - Dump'!$G:$G,'Business - Dump'!$D:$D,'SKU Repoprt'!$D2,'Business - Dump'!$A:$A,'SKU Repoprt'!G$1)</f>
        <v>133</v>
      </c>
      <c r="H2" s="3">
        <f>SUMIFS('Business - Dump'!$G:$G,'Business - Dump'!$D:$D,'SKU Repoprt'!$D2,'Business - Dump'!$A:$A,'SKU Repoprt'!H$1)</f>
        <v>166</v>
      </c>
      <c r="I2" s="3">
        <f>SUMIFS('Business - Dump'!$G:$G,'Business - Dump'!$D:$D,'SKU Repoprt'!$D2,'Business - Dump'!$A:$A,'SKU Repoprt'!I$1)</f>
        <v>299</v>
      </c>
      <c r="J2" s="3">
        <f>SUMIFS('Business - Dump'!$G:$G,'Business - Dump'!$D:$D,'SKU Repoprt'!$D2,'Business - Dump'!$A:$A,'SKU Repoprt'!J$1)</f>
        <v>477</v>
      </c>
      <c r="K2" s="3">
        <f>SUMIFS('Business - Dump'!$G:$G,'Business - Dump'!$D:$D,'SKU Repoprt'!$D2,'Business - Dump'!$A:$A,'SKU Repoprt'!K$1)</f>
        <v>2468</v>
      </c>
      <c r="L2" s="3">
        <f>SUMIFS('Business - Dump'!$G:$G,'Business - Dump'!$D:$D,'SKU Repoprt'!$D2,'Business - Dump'!$A:$A,'SKU Repoprt'!L$1)</f>
        <v>2656</v>
      </c>
      <c r="M2" s="3">
        <f>SUMIFS('Business - Dump'!$G:$G,'Business - Dump'!$D:$D,'SKU Repoprt'!$D2,'Business - Dump'!$A:$A,'SKU Repoprt'!M$1)</f>
        <v>1612</v>
      </c>
      <c r="N2" s="3">
        <f>SUMIFS('Business - Dump'!$G:$G,'Business - Dump'!$D:$D,'SKU Repoprt'!$D2,'Business - Dump'!$A:$A,'SKU Repoprt'!N$1)</f>
        <v>2202</v>
      </c>
      <c r="O2" s="3">
        <f>SUMIFS('Business - Dump'!$G:$G,'Business - Dump'!$D:$D,'SKU Repoprt'!$D2,'Business - Dump'!$A:$A,'SKU Repoprt'!O$1)</f>
        <v>2713</v>
      </c>
      <c r="P2" s="3">
        <f>SUMIFS('Business - Dump'!$G:$G,'Business - Dump'!$D:$D,'SKU Repoprt'!$D2,'Business - Dump'!$A:$A,'SKU Repoprt'!P$1)</f>
        <v>0</v>
      </c>
      <c r="Q2" s="3">
        <f>SUMIFS('Business - Dump'!$G:$G,'Business - Dump'!$D:$D,'SKU Repoprt'!$D2,'Business - Dump'!$A:$A,'SKU Repoprt'!Q$1)</f>
        <v>1474</v>
      </c>
      <c r="R2" s="3">
        <f>SUMIFS('Business - Dump'!$G:$G,'Business - Dump'!$D:$D,'SKU Repoprt'!$D2,'Business - Dump'!$A:$A,'SKU Repoprt'!R$1)</f>
        <v>3378</v>
      </c>
      <c r="S2" s="3">
        <f>SUMIFS('Business - Dump'!$G:$G,'Business - Dump'!$D:$D,'SKU Repoprt'!$D2,'Business - Dump'!$A:$A,'SKU Repoprt'!S$1)</f>
        <v>4674</v>
      </c>
      <c r="T2" s="3">
        <f>SUMIFS('Business - Dump'!$G:$G,'Business - Dump'!$D:$D,'SKU Repoprt'!$D2,'Business - Dump'!$A:$A,'SKU Repoprt'!T$1)</f>
        <v>4945</v>
      </c>
      <c r="U2" s="3">
        <f>SUMIFS('Business - Dump'!$G:$G,'Business - Dump'!$D:$D,'SKU Repoprt'!$D2,'Business - Dump'!$A:$A,'SKU Repoprt'!U$1)</f>
        <v>2201</v>
      </c>
      <c r="V2" s="3">
        <f>SUMIFS('Business - Dump'!$G:$G,'Business - Dump'!$D:$D,'SKU Repoprt'!$D2,'Business - Dump'!$A:$A,'SKU Repoprt'!V$1)</f>
        <v>411</v>
      </c>
      <c r="W2" s="3">
        <f>SUMIFS('Business - Dump'!$G:$G,'Business - Dump'!$D:$D,'SKU Repoprt'!$D2,'Business - Dump'!$A:$A,'SKU Repoprt'!W$1)</f>
        <v>64</v>
      </c>
    </row>
    <row r="3">
      <c r="A3" s="10" t="s">
        <v>211</v>
      </c>
      <c r="B3" s="10" t="s">
        <v>211</v>
      </c>
      <c r="C3" s="10"/>
      <c r="D3" s="10" t="s">
        <v>314</v>
      </c>
      <c r="E3" s="10" t="s">
        <v>260</v>
      </c>
      <c r="F3" s="3">
        <f t="shared" si="1"/>
        <v>32006</v>
      </c>
      <c r="G3" s="3">
        <f>SUMIFS('Business - Dump'!$K:$K,'Business - Dump'!$D:$D,'SKU Repoprt'!$D3,'Business - Dump'!$A:$A,'SKU Repoprt'!G$1)</f>
        <v>196</v>
      </c>
      <c r="H3" s="3">
        <f>SUMIFS('Business - Dump'!$K:$K,'Business - Dump'!$D:$D,'SKU Repoprt'!$D3,'Business - Dump'!$A:$A,'SKU Repoprt'!H$1)</f>
        <v>244</v>
      </c>
      <c r="I3" s="3">
        <f>SUMIFS('Business - Dump'!$K:$K,'Business - Dump'!$D:$D,'SKU Repoprt'!$D3,'Business - Dump'!$A:$A,'SKU Repoprt'!I$1)</f>
        <v>468</v>
      </c>
      <c r="J3" s="3">
        <f>SUMIFS('Business - Dump'!$K:$K,'Business - Dump'!$D:$D,'SKU Repoprt'!$D3,'Business - Dump'!$A:$A,'SKU Repoprt'!J$1)</f>
        <v>706</v>
      </c>
      <c r="K3" s="3">
        <f>SUMIFS('Business - Dump'!$K:$K,'Business - Dump'!$D:$D,'SKU Repoprt'!$D3,'Business - Dump'!$A:$A,'SKU Repoprt'!K$1)</f>
        <v>3536</v>
      </c>
      <c r="L3" s="3">
        <f>SUMIFS('Business - Dump'!$K:$K,'Business - Dump'!$D:$D,'SKU Repoprt'!$D3,'Business - Dump'!$A:$A,'SKU Repoprt'!L$1)</f>
        <v>3898</v>
      </c>
      <c r="M3" s="3">
        <f>SUMIFS('Business - Dump'!$K:$K,'Business - Dump'!$D:$D,'SKU Repoprt'!$D3,'Business - Dump'!$A:$A,'SKU Repoprt'!M$1)</f>
        <v>2398</v>
      </c>
      <c r="N3" s="3">
        <f>SUMIFS('Business - Dump'!$K:$K,'Business - Dump'!$D:$D,'SKU Repoprt'!$D3,'Business - Dump'!$A:$A,'SKU Repoprt'!N$1)</f>
        <v>3265</v>
      </c>
      <c r="O3" s="3">
        <f>SUMIFS('Business - Dump'!$K:$K,'Business - Dump'!$D:$D,'SKU Repoprt'!$D3,'Business - Dump'!$A:$A,'SKU Repoprt'!O$1)</f>
        <v>3978</v>
      </c>
      <c r="P3" s="3">
        <f>SUMIFS('Business - Dump'!$K:$K,'Business - Dump'!$D:$D,'SKU Repoprt'!$D3,'Business - Dump'!$A:$A,'SKU Repoprt'!P$1)</f>
        <v>0</v>
      </c>
      <c r="Q3" s="3">
        <f>SUMIFS('Business - Dump'!$K:$K,'Business - Dump'!$D:$D,'SKU Repoprt'!$D3,'Business - Dump'!$A:$A,'SKU Repoprt'!Q$1)</f>
        <v>2114</v>
      </c>
      <c r="R3" s="3">
        <f>SUMIFS('Business - Dump'!$K:$K,'Business - Dump'!$D:$D,'SKU Repoprt'!$D3,'Business - Dump'!$A:$A,'SKU Repoprt'!R$1)</f>
        <v>5120</v>
      </c>
      <c r="S3" s="3">
        <f>SUMIFS('Business - Dump'!$K:$K,'Business - Dump'!$D:$D,'SKU Repoprt'!$D3,'Business - Dump'!$A:$A,'SKU Repoprt'!S$1)</f>
        <v>6083</v>
      </c>
      <c r="T3" s="3">
        <f>SUMIFS('Business - Dump'!$K:$K,'Business - Dump'!$D:$D,'SKU Repoprt'!$D3,'Business - Dump'!$A:$A,'SKU Repoprt'!T$1)</f>
        <v>6631</v>
      </c>
      <c r="U3" s="3">
        <f>SUMIFS('Business - Dump'!$K:$K,'Business - Dump'!$D:$D,'SKU Repoprt'!$D3,'Business - Dump'!$A:$A,'SKU Repoprt'!U$1)</f>
        <v>3220</v>
      </c>
      <c r="V3" s="3">
        <f>SUMIFS('Business - Dump'!$K:$K,'Business - Dump'!$D:$D,'SKU Repoprt'!$D3,'Business - Dump'!$A:$A,'SKU Repoprt'!V$1)</f>
        <v>554</v>
      </c>
      <c r="W3" s="3">
        <f>SUMIFS('Business - Dump'!$K:$K,'Business - Dump'!$D:$D,'SKU Repoprt'!$D3,'Business - Dump'!$A:$A,'SKU Repoprt'!W$1)</f>
        <v>94</v>
      </c>
    </row>
    <row r="4">
      <c r="A4" s="10" t="s">
        <v>211</v>
      </c>
      <c r="B4" s="10" t="s">
        <v>211</v>
      </c>
      <c r="C4" s="10"/>
      <c r="D4" s="10" t="s">
        <v>314</v>
      </c>
      <c r="E4" s="10" t="s">
        <v>264</v>
      </c>
      <c r="F4" s="3">
        <f t="shared" si="1"/>
        <v>530</v>
      </c>
      <c r="G4" s="3">
        <f>SUMIFS('Business - Dump'!$Q:$Q,'Business - Dump'!$D:$D,'SKU Repoprt'!$D4,'Business - Dump'!$A:$A,'SKU Repoprt'!G$1)</f>
        <v>4</v>
      </c>
      <c r="H4" s="3">
        <f>SUMIFS('Business - Dump'!$Q:$Q,'Business - Dump'!$D:$D,'SKU Repoprt'!$D4,'Business - Dump'!$A:$A,'SKU Repoprt'!H$1)</f>
        <v>9</v>
      </c>
      <c r="I4" s="3">
        <f>SUMIFS('Business - Dump'!$Q:$Q,'Business - Dump'!$D:$D,'SKU Repoprt'!$D4,'Business - Dump'!$A:$A,'SKU Repoprt'!I$1)</f>
        <v>22</v>
      </c>
      <c r="J4" s="3">
        <f>SUMIFS('Business - Dump'!$Q:$Q,'Business - Dump'!$D:$D,'SKU Repoprt'!$D4,'Business - Dump'!$A:$A,'SKU Repoprt'!J$1)</f>
        <v>25</v>
      </c>
      <c r="K4" s="3">
        <f>SUMIFS('Business - Dump'!$Q:$Q,'Business - Dump'!$D:$D,'SKU Repoprt'!$D4,'Business - Dump'!$A:$A,'SKU Repoprt'!K$1)</f>
        <v>50</v>
      </c>
      <c r="L4" s="3">
        <f>SUMIFS('Business - Dump'!$Q:$Q,'Business - Dump'!$D:$D,'SKU Repoprt'!$D4,'Business - Dump'!$A:$A,'SKU Repoprt'!L$1)</f>
        <v>44</v>
      </c>
      <c r="M4" s="3">
        <f>SUMIFS('Business - Dump'!$Q:$Q,'Business - Dump'!$D:$D,'SKU Repoprt'!$D4,'Business - Dump'!$A:$A,'SKU Repoprt'!M$1)</f>
        <v>42</v>
      </c>
      <c r="N4" s="3">
        <f>SUMIFS('Business - Dump'!$Q:$Q,'Business - Dump'!$D:$D,'SKU Repoprt'!$D4,'Business - Dump'!$A:$A,'SKU Repoprt'!N$1)</f>
        <v>63</v>
      </c>
      <c r="O4" s="3">
        <f>SUMIFS('Business - Dump'!$Q:$Q,'Business - Dump'!$D:$D,'SKU Repoprt'!$D4,'Business - Dump'!$A:$A,'SKU Repoprt'!O$1)</f>
        <v>59</v>
      </c>
      <c r="P4" s="3">
        <f>SUMIFS('Business - Dump'!$Q:$Q,'Business - Dump'!$D:$D,'SKU Repoprt'!$D4,'Business - Dump'!$A:$A,'SKU Repoprt'!P$1)</f>
        <v>0</v>
      </c>
      <c r="Q4" s="3">
        <f>SUMIFS('Business - Dump'!$Q:$Q,'Business - Dump'!$D:$D,'SKU Repoprt'!$D4,'Business - Dump'!$A:$A,'SKU Repoprt'!Q$1)</f>
        <v>36</v>
      </c>
      <c r="R4" s="3">
        <f>SUMIFS('Business - Dump'!$Q:$Q,'Business - Dump'!$D:$D,'SKU Repoprt'!$D4,'Business - Dump'!$A:$A,'SKU Repoprt'!R$1)</f>
        <v>110</v>
      </c>
      <c r="S4" s="3">
        <f>SUMIFS('Business - Dump'!$Q:$Q,'Business - Dump'!$D:$D,'SKU Repoprt'!$D4,'Business - Dump'!$A:$A,'SKU Repoprt'!S$1)</f>
        <v>66</v>
      </c>
      <c r="T4" s="3">
        <f>SUMIFS('Business - Dump'!$Q:$Q,'Business - Dump'!$D:$D,'SKU Repoprt'!$D4,'Business - Dump'!$A:$A,'SKU Repoprt'!T$1)</f>
        <v>75</v>
      </c>
      <c r="U4" s="3">
        <f>SUMIFS('Business - Dump'!$Q:$Q,'Business - Dump'!$D:$D,'SKU Repoprt'!$D4,'Business - Dump'!$A:$A,'SKU Repoprt'!U$1)</f>
        <v>49</v>
      </c>
      <c r="V4" s="3">
        <f>SUMIFS('Business - Dump'!$Q:$Q,'Business - Dump'!$D:$D,'SKU Repoprt'!$D4,'Business - Dump'!$A:$A,'SKU Repoprt'!V$1)</f>
        <v>6</v>
      </c>
      <c r="W4" s="3">
        <f>SUMIFS('Business - Dump'!$Q:$Q,'Business - Dump'!$D:$D,'SKU Repoprt'!$D4,'Business - Dump'!$A:$A,'SKU Repoprt'!W$1)</f>
        <v>2</v>
      </c>
    </row>
    <row r="5">
      <c r="A5" s="10" t="s">
        <v>211</v>
      </c>
      <c r="B5" s="10" t="s">
        <v>211</v>
      </c>
      <c r="C5" s="10"/>
      <c r="D5" s="10" t="s">
        <v>314</v>
      </c>
      <c r="E5" s="10" t="s">
        <v>268</v>
      </c>
      <c r="F5" s="3">
        <f t="shared" si="1"/>
        <v>467</v>
      </c>
      <c r="G5" s="3">
        <f>SUMIFS('Business - Dump'!$W:$W,'Business - Dump'!$D:$D,'SKU Repoprt'!$D5,'Business - Dump'!$A:$A,'SKU Repoprt'!G$1)</f>
        <v>3</v>
      </c>
      <c r="H5" s="3">
        <f>SUMIFS('Business - Dump'!$W:$W,'Business - Dump'!$D:$D,'SKU Repoprt'!$D5,'Business - Dump'!$A:$A,'SKU Repoprt'!H$1)</f>
        <v>9</v>
      </c>
      <c r="I5" s="3">
        <f>SUMIFS('Business - Dump'!$W:$W,'Business - Dump'!$D:$D,'SKU Repoprt'!$D5,'Business - Dump'!$A:$A,'SKU Repoprt'!I$1)</f>
        <v>17</v>
      </c>
      <c r="J5" s="3">
        <f>SUMIFS('Business - Dump'!$W:$W,'Business - Dump'!$D:$D,'SKU Repoprt'!$D5,'Business - Dump'!$A:$A,'SKU Repoprt'!J$1)</f>
        <v>21</v>
      </c>
      <c r="K5" s="3">
        <f>SUMIFS('Business - Dump'!$W:$W,'Business - Dump'!$D:$D,'SKU Repoprt'!$D5,'Business - Dump'!$A:$A,'SKU Repoprt'!K$1)</f>
        <v>44</v>
      </c>
      <c r="L5" s="3">
        <f>SUMIFS('Business - Dump'!$W:$W,'Business - Dump'!$D:$D,'SKU Repoprt'!$D5,'Business - Dump'!$A:$A,'SKU Repoprt'!L$1)</f>
        <v>40</v>
      </c>
      <c r="M5" s="3">
        <f>SUMIFS('Business - Dump'!$W:$W,'Business - Dump'!$D:$D,'SKU Repoprt'!$D5,'Business - Dump'!$A:$A,'SKU Repoprt'!M$1)</f>
        <v>37</v>
      </c>
      <c r="N5" s="3">
        <f>SUMIFS('Business - Dump'!$W:$W,'Business - Dump'!$D:$D,'SKU Repoprt'!$D5,'Business - Dump'!$A:$A,'SKU Repoprt'!N$1)</f>
        <v>60</v>
      </c>
      <c r="O5" s="3">
        <f>SUMIFS('Business - Dump'!$W:$W,'Business - Dump'!$D:$D,'SKU Repoprt'!$D5,'Business - Dump'!$A:$A,'SKU Repoprt'!O$1)</f>
        <v>43</v>
      </c>
      <c r="P5" s="3">
        <f>SUMIFS('Business - Dump'!$W:$W,'Business - Dump'!$D:$D,'SKU Repoprt'!$D5,'Business - Dump'!$A:$A,'SKU Repoprt'!P$1)</f>
        <v>0</v>
      </c>
      <c r="Q5" s="3">
        <f>SUMIFS('Business - Dump'!$W:$W,'Business - Dump'!$D:$D,'SKU Repoprt'!$D5,'Business - Dump'!$A:$A,'SKU Repoprt'!Q$1)</f>
        <v>35</v>
      </c>
      <c r="R5" s="3">
        <f>SUMIFS('Business - Dump'!$W:$W,'Business - Dump'!$D:$D,'SKU Repoprt'!$D5,'Business - Dump'!$A:$A,'SKU Repoprt'!R$1)</f>
        <v>98</v>
      </c>
      <c r="S5" s="3">
        <f>SUMIFS('Business - Dump'!$W:$W,'Business - Dump'!$D:$D,'SKU Repoprt'!$D5,'Business - Dump'!$A:$A,'SKU Repoprt'!S$1)</f>
        <v>60</v>
      </c>
      <c r="T5" s="3">
        <f>SUMIFS('Business - Dump'!$W:$W,'Business - Dump'!$D:$D,'SKU Repoprt'!$D5,'Business - Dump'!$A:$A,'SKU Repoprt'!T$1)</f>
        <v>70</v>
      </c>
      <c r="U5" s="3">
        <f>SUMIFS('Business - Dump'!$W:$W,'Business - Dump'!$D:$D,'SKU Repoprt'!$D5,'Business - Dump'!$A:$A,'SKU Repoprt'!U$1)</f>
        <v>40</v>
      </c>
      <c r="V5" s="3">
        <f>SUMIFS('Business - Dump'!$W:$W,'Business - Dump'!$D:$D,'SKU Repoprt'!$D5,'Business - Dump'!$A:$A,'SKU Repoprt'!V$1)</f>
        <v>6</v>
      </c>
      <c r="W5" s="3">
        <f>SUMIFS('Business - Dump'!$W:$W,'Business - Dump'!$D:$D,'SKU Repoprt'!$D5,'Business - Dump'!$A:$A,'SKU Repoprt'!W$1)</f>
        <v>2</v>
      </c>
    </row>
    <row r="6">
      <c r="A6" s="10" t="s">
        <v>211</v>
      </c>
      <c r="B6" s="10" t="s">
        <v>211</v>
      </c>
      <c r="C6" s="10"/>
      <c r="D6" s="10" t="s">
        <v>314</v>
      </c>
      <c r="E6" s="10" t="s">
        <v>26</v>
      </c>
      <c r="F6" s="16">
        <f t="shared" si="1"/>
        <v>751744.57</v>
      </c>
      <c r="G6" s="16">
        <f>SUMIFS('Business - Dump'!$U:$U,'Business - Dump'!$D:$D,'SKU Repoprt'!$D6,'Business - Dump'!$A:$A,'SKU Repoprt'!G$1)</f>
        <v>4880</v>
      </c>
      <c r="H6" s="16">
        <f>SUMIFS('Business - Dump'!$U:$U,'Business - Dump'!$D:$D,'SKU Repoprt'!$D6,'Business - Dump'!$A:$A,'SKU Repoprt'!H$1)</f>
        <v>10980</v>
      </c>
      <c r="I6" s="16">
        <f>SUMIFS('Business - Dump'!$U:$U,'Business - Dump'!$D:$D,'SKU Repoprt'!$D6,'Business - Dump'!$A:$A,'SKU Repoprt'!I$1)</f>
        <v>26418.3</v>
      </c>
      <c r="J6" s="16">
        <f>SUMIFS('Business - Dump'!$U:$U,'Business - Dump'!$D:$D,'SKU Repoprt'!$D6,'Business - Dump'!$A:$A,'SKU Repoprt'!J$1)</f>
        <v>25574.4</v>
      </c>
      <c r="K6" s="16">
        <f>SUMIFS('Business - Dump'!$U:$U,'Business - Dump'!$D:$D,'SKU Repoprt'!$D6,'Business - Dump'!$A:$A,'SKU Repoprt'!K$1)</f>
        <v>59419.44</v>
      </c>
      <c r="L6" s="16">
        <f>SUMIFS('Business - Dump'!$U:$U,'Business - Dump'!$D:$D,'SKU Repoprt'!$D6,'Business - Dump'!$A:$A,'SKU Repoprt'!L$1)</f>
        <v>49028.44</v>
      </c>
      <c r="M6" s="16">
        <f>SUMIFS('Business - Dump'!$U:$U,'Business - Dump'!$D:$D,'SKU Repoprt'!$D6,'Business - Dump'!$A:$A,'SKU Repoprt'!M$1)</f>
        <v>58536.99</v>
      </c>
      <c r="N6" s="16">
        <f>SUMIFS('Business - Dump'!$U:$U,'Business - Dump'!$D:$D,'SKU Repoprt'!$D6,'Business - Dump'!$A:$A,'SKU Repoprt'!N$1)</f>
        <v>81039</v>
      </c>
      <c r="O6" s="16">
        <f>SUMIFS('Business - Dump'!$U:$U,'Business - Dump'!$D:$D,'SKU Repoprt'!$D6,'Business - Dump'!$A:$A,'SKU Repoprt'!O$1)</f>
        <v>92841</v>
      </c>
      <c r="P6" s="16">
        <f>SUMIFS('Business - Dump'!$U:$U,'Business - Dump'!$D:$D,'SKU Repoprt'!$D6,'Business - Dump'!$A:$A,'SKU Repoprt'!P$1)</f>
        <v>0</v>
      </c>
      <c r="Q6" s="16">
        <f>SUMIFS('Business - Dump'!$U:$U,'Business - Dump'!$D:$D,'SKU Repoprt'!$D6,'Business - Dump'!$A:$A,'SKU Repoprt'!Q$1)</f>
        <v>59529</v>
      </c>
      <c r="R6" s="16">
        <f>SUMIFS('Business - Dump'!$U:$U,'Business - Dump'!$D:$D,'SKU Repoprt'!$D6,'Business - Dump'!$A:$A,'SKU Repoprt'!R$1)</f>
        <v>174652</v>
      </c>
      <c r="S6" s="16">
        <f>SUMIFS('Business - Dump'!$U:$U,'Business - Dump'!$D:$D,'SKU Repoprt'!$D6,'Business - Dump'!$A:$A,'SKU Repoprt'!S$1)</f>
        <v>108846</v>
      </c>
      <c r="T6" s="16">
        <f>SUMIFS('Business - Dump'!$U:$U,'Business - Dump'!$D:$D,'SKU Repoprt'!$D6,'Business - Dump'!$A:$A,'SKU Repoprt'!T$1)</f>
        <v>124539</v>
      </c>
      <c r="U6" s="16">
        <f>SUMIFS('Business - Dump'!$U:$U,'Business - Dump'!$D:$D,'SKU Repoprt'!$D6,'Business - Dump'!$A:$A,'SKU Repoprt'!U$1)</f>
        <v>82364</v>
      </c>
      <c r="V6" s="16">
        <f>SUMIFS('Business - Dump'!$U:$U,'Business - Dump'!$D:$D,'SKU Repoprt'!$D6,'Business - Dump'!$A:$A,'SKU Repoprt'!V$1)</f>
        <v>10395</v>
      </c>
      <c r="W6" s="16">
        <f>SUMIFS('Business - Dump'!$U:$U,'Business - Dump'!$D:$D,'SKU Repoprt'!$D6,'Business - Dump'!$A:$A,'SKU Repoprt'!W$1)</f>
        <v>3599</v>
      </c>
    </row>
    <row r="7">
      <c r="A7" s="10" t="s">
        <v>211</v>
      </c>
      <c r="B7" s="10" t="s">
        <v>211</v>
      </c>
      <c r="C7" s="10"/>
      <c r="D7" s="10" t="s">
        <v>314</v>
      </c>
      <c r="E7" s="10" t="s">
        <v>29</v>
      </c>
      <c r="F7" s="17">
        <v>0.027042857142857143</v>
      </c>
      <c r="G7" s="17">
        <f t="shared" ref="G7:W7" si="2">IFERROR(G5/G2,0)</f>
        <v>0.02255639098</v>
      </c>
      <c r="H7" s="17">
        <f t="shared" si="2"/>
        <v>0.05421686747</v>
      </c>
      <c r="I7" s="17">
        <f t="shared" si="2"/>
        <v>0.05685618729</v>
      </c>
      <c r="J7" s="17">
        <f t="shared" si="2"/>
        <v>0.04402515723</v>
      </c>
      <c r="K7" s="17">
        <f t="shared" si="2"/>
        <v>0.01782820097</v>
      </c>
      <c r="L7" s="17">
        <f t="shared" si="2"/>
        <v>0.01506024096</v>
      </c>
      <c r="M7" s="17">
        <f t="shared" si="2"/>
        <v>0.0229528536</v>
      </c>
      <c r="N7" s="17">
        <f t="shared" si="2"/>
        <v>0.0272479564</v>
      </c>
      <c r="O7" s="17">
        <f t="shared" si="2"/>
        <v>0.01584961297</v>
      </c>
      <c r="P7" s="17">
        <f t="shared" si="2"/>
        <v>0</v>
      </c>
      <c r="Q7" s="17">
        <f t="shared" si="2"/>
        <v>0.0237449118</v>
      </c>
      <c r="R7" s="17">
        <f t="shared" si="2"/>
        <v>0.02901124926</v>
      </c>
      <c r="S7" s="17">
        <f t="shared" si="2"/>
        <v>0.01283697047</v>
      </c>
      <c r="T7" s="17">
        <f t="shared" si="2"/>
        <v>0.01415571284</v>
      </c>
      <c r="U7" s="17">
        <f t="shared" si="2"/>
        <v>0.01817355747</v>
      </c>
      <c r="V7" s="17">
        <f t="shared" si="2"/>
        <v>0.01459854015</v>
      </c>
      <c r="W7" s="17">
        <f t="shared" si="2"/>
        <v>0.03125</v>
      </c>
    </row>
    <row r="8">
      <c r="A8" s="10" t="s">
        <v>211</v>
      </c>
      <c r="B8" s="10" t="s">
        <v>211</v>
      </c>
      <c r="C8" s="10"/>
      <c r="D8" s="10" t="s">
        <v>325</v>
      </c>
      <c r="E8" s="10" t="s">
        <v>257</v>
      </c>
      <c r="F8" s="3">
        <f t="shared" ref="F8:F12" si="3">SUM(G8:S8)</f>
        <v>14796</v>
      </c>
      <c r="G8" s="3">
        <f>SUMIFS('Business - Dump'!$G:$G,'Business - Dump'!$D:$D,'SKU Repoprt'!$D8,'Business - Dump'!$A:$A,'SKU Repoprt'!G$1)</f>
        <v>0</v>
      </c>
      <c r="H8" s="3">
        <f>SUMIFS('Business - Dump'!$G:$G,'Business - Dump'!$D:$D,'SKU Repoprt'!$D8,'Business - Dump'!$A:$A,'SKU Repoprt'!H$1)</f>
        <v>0</v>
      </c>
      <c r="I8" s="3">
        <f>SUMIFS('Business - Dump'!$G:$G,'Business - Dump'!$D:$D,'SKU Repoprt'!$D8,'Business - Dump'!$A:$A,'SKU Repoprt'!I$1)</f>
        <v>0</v>
      </c>
      <c r="J8" s="3">
        <f>SUMIFS('Business - Dump'!$G:$G,'Business - Dump'!$D:$D,'SKU Repoprt'!$D8,'Business - Dump'!$A:$A,'SKU Repoprt'!J$1)</f>
        <v>0</v>
      </c>
      <c r="K8" s="3">
        <f>SUMIFS('Business - Dump'!$G:$G,'Business - Dump'!$D:$D,'SKU Repoprt'!$D8,'Business - Dump'!$A:$A,'SKU Repoprt'!K$1)</f>
        <v>0</v>
      </c>
      <c r="L8" s="3">
        <f>SUMIFS('Business - Dump'!$G:$G,'Business - Dump'!$D:$D,'SKU Repoprt'!$D8,'Business - Dump'!$A:$A,'SKU Repoprt'!L$1)</f>
        <v>0</v>
      </c>
      <c r="M8" s="3">
        <f>SUMIFS('Business - Dump'!$G:$G,'Business - Dump'!$D:$D,'SKU Repoprt'!$D8,'Business - Dump'!$A:$A,'SKU Repoprt'!M$1)</f>
        <v>0</v>
      </c>
      <c r="N8" s="3">
        <f>SUMIFS('Business - Dump'!$G:$G,'Business - Dump'!$D:$D,'SKU Repoprt'!$D8,'Business - Dump'!$A:$A,'SKU Repoprt'!N$1)</f>
        <v>0</v>
      </c>
      <c r="O8" s="3">
        <f>SUMIFS('Business - Dump'!$G:$G,'Business - Dump'!$D:$D,'SKU Repoprt'!$D8,'Business - Dump'!$A:$A,'SKU Repoprt'!O$1)</f>
        <v>410</v>
      </c>
      <c r="P8" s="3">
        <f>SUMIFS('Business - Dump'!$G:$G,'Business - Dump'!$D:$D,'SKU Repoprt'!$D8,'Business - Dump'!$A:$A,'SKU Repoprt'!P$1)</f>
        <v>2215</v>
      </c>
      <c r="Q8" s="3">
        <f>SUMIFS('Business - Dump'!$G:$G,'Business - Dump'!$D:$D,'SKU Repoprt'!$D8,'Business - Dump'!$A:$A,'SKU Repoprt'!Q$1)</f>
        <v>2608</v>
      </c>
      <c r="R8" s="3">
        <f>SUMIFS('Business - Dump'!$G:$G,'Business - Dump'!$D:$D,'SKU Repoprt'!$D8,'Business - Dump'!$A:$A,'SKU Repoprt'!R$1)</f>
        <v>816</v>
      </c>
      <c r="S8" s="3">
        <f>SUMIFS('Business - Dump'!$G:$G,'Business - Dump'!$D:$D,'SKU Repoprt'!$D8,'Business - Dump'!$A:$A,'SKU Repoprt'!S$1)</f>
        <v>8747</v>
      </c>
      <c r="T8" s="3">
        <f>SUMIFS('Business - Dump'!$G:$G,'Business - Dump'!$D:$D,'SKU Repoprt'!$D8,'Business - Dump'!$A:$A,'SKU Repoprt'!T$1)</f>
        <v>8114</v>
      </c>
      <c r="U8" s="3">
        <f>SUMIFS('Business - Dump'!$G:$G,'Business - Dump'!$D:$D,'SKU Repoprt'!$D8,'Business - Dump'!$A:$A,'SKU Repoprt'!U$1)</f>
        <v>1081</v>
      </c>
      <c r="V8" s="3">
        <f>SUMIFS('Business - Dump'!$G:$G,'Business - Dump'!$D:$D,'SKU Repoprt'!$D8,'Business - Dump'!$A:$A,'SKU Repoprt'!V$1)</f>
        <v>10892</v>
      </c>
      <c r="W8" s="3">
        <f>SUMIFS('Business - Dump'!$G:$G,'Business - Dump'!$D:$D,'SKU Repoprt'!$D8,'Business - Dump'!$A:$A,'SKU Repoprt'!W$1)</f>
        <v>10216</v>
      </c>
    </row>
    <row r="9">
      <c r="A9" s="10" t="s">
        <v>211</v>
      </c>
      <c r="B9" s="10" t="s">
        <v>211</v>
      </c>
      <c r="C9" s="10"/>
      <c r="D9" s="10" t="s">
        <v>325</v>
      </c>
      <c r="E9" s="10" t="s">
        <v>260</v>
      </c>
      <c r="F9" s="3">
        <f t="shared" si="3"/>
        <v>21698</v>
      </c>
      <c r="G9" s="3">
        <f>SUMIFS('Business - Dump'!$K:$K,'Business - Dump'!$D:$D,'SKU Repoprt'!$D9,'Business - Dump'!$A:$A,'SKU Repoprt'!G$1)</f>
        <v>0</v>
      </c>
      <c r="H9" s="3">
        <f>SUMIFS('Business - Dump'!$K:$K,'Business - Dump'!$D:$D,'SKU Repoprt'!$D9,'Business - Dump'!$A:$A,'SKU Repoprt'!H$1)</f>
        <v>0</v>
      </c>
      <c r="I9" s="3">
        <f>SUMIFS('Business - Dump'!$K:$K,'Business - Dump'!$D:$D,'SKU Repoprt'!$D9,'Business - Dump'!$A:$A,'SKU Repoprt'!I$1)</f>
        <v>0</v>
      </c>
      <c r="J9" s="3">
        <f>SUMIFS('Business - Dump'!$K:$K,'Business - Dump'!$D:$D,'SKU Repoprt'!$D9,'Business - Dump'!$A:$A,'SKU Repoprt'!J$1)</f>
        <v>0</v>
      </c>
      <c r="K9" s="3">
        <f>SUMIFS('Business - Dump'!$K:$K,'Business - Dump'!$D:$D,'SKU Repoprt'!$D9,'Business - Dump'!$A:$A,'SKU Repoprt'!K$1)</f>
        <v>0</v>
      </c>
      <c r="L9" s="3">
        <f>SUMIFS('Business - Dump'!$K:$K,'Business - Dump'!$D:$D,'SKU Repoprt'!$D9,'Business - Dump'!$A:$A,'SKU Repoprt'!L$1)</f>
        <v>0</v>
      </c>
      <c r="M9" s="3">
        <f>SUMIFS('Business - Dump'!$K:$K,'Business - Dump'!$D:$D,'SKU Repoprt'!$D9,'Business - Dump'!$A:$A,'SKU Repoprt'!M$1)</f>
        <v>0</v>
      </c>
      <c r="N9" s="3">
        <f>SUMIFS('Business - Dump'!$K:$K,'Business - Dump'!$D:$D,'SKU Repoprt'!$D9,'Business - Dump'!$A:$A,'SKU Repoprt'!N$1)</f>
        <v>0</v>
      </c>
      <c r="O9" s="3">
        <f>SUMIFS('Business - Dump'!$K:$K,'Business - Dump'!$D:$D,'SKU Repoprt'!$D9,'Business - Dump'!$A:$A,'SKU Repoprt'!O$1)</f>
        <v>691</v>
      </c>
      <c r="P9" s="3">
        <f>SUMIFS('Business - Dump'!$K:$K,'Business - Dump'!$D:$D,'SKU Repoprt'!$D9,'Business - Dump'!$A:$A,'SKU Repoprt'!P$1)</f>
        <v>3394</v>
      </c>
      <c r="Q9" s="3">
        <f>SUMIFS('Business - Dump'!$K:$K,'Business - Dump'!$D:$D,'SKU Repoprt'!$D9,'Business - Dump'!$A:$A,'SKU Repoprt'!Q$1)</f>
        <v>3952</v>
      </c>
      <c r="R9" s="3">
        <f>SUMIFS('Business - Dump'!$K:$K,'Business - Dump'!$D:$D,'SKU Repoprt'!$D9,'Business - Dump'!$A:$A,'SKU Repoprt'!R$1)</f>
        <v>1270</v>
      </c>
      <c r="S9" s="3">
        <f>SUMIFS('Business - Dump'!$K:$K,'Business - Dump'!$D:$D,'SKU Repoprt'!$D9,'Business - Dump'!$A:$A,'SKU Repoprt'!S$1)</f>
        <v>12391</v>
      </c>
      <c r="T9" s="3">
        <f>SUMIFS('Business - Dump'!$K:$K,'Business - Dump'!$D:$D,'SKU Repoprt'!$D9,'Business - Dump'!$A:$A,'SKU Repoprt'!T$1)</f>
        <v>11086</v>
      </c>
      <c r="U9" s="3">
        <f>SUMIFS('Business - Dump'!$K:$K,'Business - Dump'!$D:$D,'SKU Repoprt'!$D9,'Business - Dump'!$A:$A,'SKU Repoprt'!U$1)</f>
        <v>1595</v>
      </c>
      <c r="V9" s="3">
        <f>SUMIFS('Business - Dump'!$K:$K,'Business - Dump'!$D:$D,'SKU Repoprt'!$D9,'Business - Dump'!$A:$A,'SKU Repoprt'!V$1)</f>
        <v>15078</v>
      </c>
      <c r="W9" s="3">
        <f>SUMIFS('Business - Dump'!$K:$K,'Business - Dump'!$D:$D,'SKU Repoprt'!$D9,'Business - Dump'!$A:$A,'SKU Repoprt'!W$1)</f>
        <v>14215</v>
      </c>
    </row>
    <row r="10">
      <c r="A10" s="10" t="s">
        <v>211</v>
      </c>
      <c r="B10" s="10" t="s">
        <v>211</v>
      </c>
      <c r="C10" s="10"/>
      <c r="D10" s="10" t="s">
        <v>325</v>
      </c>
      <c r="E10" s="10" t="s">
        <v>264</v>
      </c>
      <c r="F10" s="3">
        <f t="shared" si="3"/>
        <v>295</v>
      </c>
      <c r="G10" s="3">
        <f>SUMIFS('Business - Dump'!$Q:$Q,'Business - Dump'!$D:$D,'SKU Repoprt'!$D10,'Business - Dump'!$A:$A,'SKU Repoprt'!G$1)</f>
        <v>0</v>
      </c>
      <c r="H10" s="3">
        <f>SUMIFS('Business - Dump'!$Q:$Q,'Business - Dump'!$D:$D,'SKU Repoprt'!$D10,'Business - Dump'!$A:$A,'SKU Repoprt'!H$1)</f>
        <v>0</v>
      </c>
      <c r="I10" s="3">
        <f>SUMIFS('Business - Dump'!$Q:$Q,'Business - Dump'!$D:$D,'SKU Repoprt'!$D10,'Business - Dump'!$A:$A,'SKU Repoprt'!I$1)</f>
        <v>0</v>
      </c>
      <c r="J10" s="3">
        <f>SUMIFS('Business - Dump'!$Q:$Q,'Business - Dump'!$D:$D,'SKU Repoprt'!$D10,'Business - Dump'!$A:$A,'SKU Repoprt'!J$1)</f>
        <v>0</v>
      </c>
      <c r="K10" s="3">
        <f>SUMIFS('Business - Dump'!$Q:$Q,'Business - Dump'!$D:$D,'SKU Repoprt'!$D10,'Business - Dump'!$A:$A,'SKU Repoprt'!K$1)</f>
        <v>0</v>
      </c>
      <c r="L10" s="3">
        <f>SUMIFS('Business - Dump'!$Q:$Q,'Business - Dump'!$D:$D,'SKU Repoprt'!$D10,'Business - Dump'!$A:$A,'SKU Repoprt'!L$1)</f>
        <v>0</v>
      </c>
      <c r="M10" s="3">
        <f>SUMIFS('Business - Dump'!$Q:$Q,'Business - Dump'!$D:$D,'SKU Repoprt'!$D10,'Business - Dump'!$A:$A,'SKU Repoprt'!M$1)</f>
        <v>0</v>
      </c>
      <c r="N10" s="3">
        <f>SUMIFS('Business - Dump'!$Q:$Q,'Business - Dump'!$D:$D,'SKU Repoprt'!$D10,'Business - Dump'!$A:$A,'SKU Repoprt'!N$1)</f>
        <v>0</v>
      </c>
      <c r="O10" s="3">
        <f>SUMIFS('Business - Dump'!$Q:$Q,'Business - Dump'!$D:$D,'SKU Repoprt'!$D10,'Business - Dump'!$A:$A,'SKU Repoprt'!O$1)</f>
        <v>17</v>
      </c>
      <c r="P10" s="3">
        <f>SUMIFS('Business - Dump'!$Q:$Q,'Business - Dump'!$D:$D,'SKU Repoprt'!$D10,'Business - Dump'!$A:$A,'SKU Repoprt'!P$1)</f>
        <v>61</v>
      </c>
      <c r="Q10" s="3">
        <f>SUMIFS('Business - Dump'!$Q:$Q,'Business - Dump'!$D:$D,'SKU Repoprt'!$D10,'Business - Dump'!$A:$A,'SKU Repoprt'!Q$1)</f>
        <v>74</v>
      </c>
      <c r="R10" s="3">
        <f>SUMIFS('Business - Dump'!$Q:$Q,'Business - Dump'!$D:$D,'SKU Repoprt'!$D10,'Business - Dump'!$A:$A,'SKU Repoprt'!R$1)</f>
        <v>36</v>
      </c>
      <c r="S10" s="3">
        <f>SUMIFS('Business - Dump'!$Q:$Q,'Business - Dump'!$D:$D,'SKU Repoprt'!$D10,'Business - Dump'!$A:$A,'SKU Repoprt'!S$1)</f>
        <v>107</v>
      </c>
      <c r="T10" s="3">
        <f>SUMIFS('Business - Dump'!$Q:$Q,'Business - Dump'!$D:$D,'SKU Repoprt'!$D10,'Business - Dump'!$A:$A,'SKU Repoprt'!T$1)</f>
        <v>115</v>
      </c>
      <c r="U10" s="3">
        <f>SUMIFS('Business - Dump'!$Q:$Q,'Business - Dump'!$D:$D,'SKU Repoprt'!$D10,'Business - Dump'!$A:$A,'SKU Repoprt'!U$1)</f>
        <v>16</v>
      </c>
      <c r="V10" s="3">
        <f>SUMIFS('Business - Dump'!$Q:$Q,'Business - Dump'!$D:$D,'SKU Repoprt'!$D10,'Business - Dump'!$A:$A,'SKU Repoprt'!V$1)</f>
        <v>138</v>
      </c>
      <c r="W10" s="3">
        <f>SUMIFS('Business - Dump'!$Q:$Q,'Business - Dump'!$D:$D,'SKU Repoprt'!$D10,'Business - Dump'!$A:$A,'SKU Repoprt'!W$1)</f>
        <v>139</v>
      </c>
    </row>
    <row r="11">
      <c r="A11" s="10" t="s">
        <v>211</v>
      </c>
      <c r="B11" s="10" t="s">
        <v>211</v>
      </c>
      <c r="C11" s="10"/>
      <c r="D11" s="10" t="s">
        <v>325</v>
      </c>
      <c r="E11" s="10" t="s">
        <v>268</v>
      </c>
      <c r="F11" s="3">
        <f t="shared" si="3"/>
        <v>277</v>
      </c>
      <c r="G11" s="3">
        <f>SUMIFS('Business - Dump'!$W:$W,'Business - Dump'!$D:$D,'SKU Repoprt'!$D11,'Business - Dump'!$A:$A,'SKU Repoprt'!G$1)</f>
        <v>0</v>
      </c>
      <c r="H11" s="3">
        <f>SUMIFS('Business - Dump'!$W:$W,'Business - Dump'!$D:$D,'SKU Repoprt'!$D11,'Business - Dump'!$A:$A,'SKU Repoprt'!H$1)</f>
        <v>0</v>
      </c>
      <c r="I11" s="3">
        <f>SUMIFS('Business - Dump'!$W:$W,'Business - Dump'!$D:$D,'SKU Repoprt'!$D11,'Business - Dump'!$A:$A,'SKU Repoprt'!I$1)</f>
        <v>0</v>
      </c>
      <c r="J11" s="3">
        <f>SUMIFS('Business - Dump'!$W:$W,'Business - Dump'!$D:$D,'SKU Repoprt'!$D11,'Business - Dump'!$A:$A,'SKU Repoprt'!J$1)</f>
        <v>0</v>
      </c>
      <c r="K11" s="3">
        <f>SUMIFS('Business - Dump'!$W:$W,'Business - Dump'!$D:$D,'SKU Repoprt'!$D11,'Business - Dump'!$A:$A,'SKU Repoprt'!K$1)</f>
        <v>0</v>
      </c>
      <c r="L11" s="3">
        <f>SUMIFS('Business - Dump'!$W:$W,'Business - Dump'!$D:$D,'SKU Repoprt'!$D11,'Business - Dump'!$A:$A,'SKU Repoprt'!L$1)</f>
        <v>0</v>
      </c>
      <c r="M11" s="3">
        <f>SUMIFS('Business - Dump'!$W:$W,'Business - Dump'!$D:$D,'SKU Repoprt'!$D11,'Business - Dump'!$A:$A,'SKU Repoprt'!M$1)</f>
        <v>0</v>
      </c>
      <c r="N11" s="3">
        <f>SUMIFS('Business - Dump'!$W:$W,'Business - Dump'!$D:$D,'SKU Repoprt'!$D11,'Business - Dump'!$A:$A,'SKU Repoprt'!N$1)</f>
        <v>0</v>
      </c>
      <c r="O11" s="3">
        <f>SUMIFS('Business - Dump'!$W:$W,'Business - Dump'!$D:$D,'SKU Repoprt'!$D11,'Business - Dump'!$A:$A,'SKU Repoprt'!O$1)</f>
        <v>17</v>
      </c>
      <c r="P11" s="3">
        <f>SUMIFS('Business - Dump'!$W:$W,'Business - Dump'!$D:$D,'SKU Repoprt'!$D11,'Business - Dump'!$A:$A,'SKU Repoprt'!P$1)</f>
        <v>58</v>
      </c>
      <c r="Q11" s="3">
        <f>SUMIFS('Business - Dump'!$W:$W,'Business - Dump'!$D:$D,'SKU Repoprt'!$D11,'Business - Dump'!$A:$A,'SKU Repoprt'!Q$1)</f>
        <v>67</v>
      </c>
      <c r="R11" s="3">
        <f>SUMIFS('Business - Dump'!$W:$W,'Business - Dump'!$D:$D,'SKU Repoprt'!$D11,'Business - Dump'!$A:$A,'SKU Repoprt'!R$1)</f>
        <v>34</v>
      </c>
      <c r="S11" s="3">
        <f>SUMIFS('Business - Dump'!$W:$W,'Business - Dump'!$D:$D,'SKU Repoprt'!$D11,'Business - Dump'!$A:$A,'SKU Repoprt'!S$1)</f>
        <v>101</v>
      </c>
      <c r="T11" s="3">
        <f>SUMIFS('Business - Dump'!$W:$W,'Business - Dump'!$D:$D,'SKU Repoprt'!$D11,'Business - Dump'!$A:$A,'SKU Repoprt'!T$1)</f>
        <v>109</v>
      </c>
      <c r="U11" s="3">
        <f>SUMIFS('Business - Dump'!$W:$W,'Business - Dump'!$D:$D,'SKU Repoprt'!$D11,'Business - Dump'!$A:$A,'SKU Repoprt'!U$1)</f>
        <v>16</v>
      </c>
      <c r="V11" s="3">
        <f>SUMIFS('Business - Dump'!$W:$W,'Business - Dump'!$D:$D,'SKU Repoprt'!$D11,'Business - Dump'!$A:$A,'SKU Repoprt'!V$1)</f>
        <v>136</v>
      </c>
      <c r="W11" s="3">
        <f>SUMIFS('Business - Dump'!$W:$W,'Business - Dump'!$D:$D,'SKU Repoprt'!$D11,'Business - Dump'!$A:$A,'SKU Repoprt'!W$1)</f>
        <v>135</v>
      </c>
    </row>
    <row r="12">
      <c r="A12" s="10" t="s">
        <v>211</v>
      </c>
      <c r="B12" s="10" t="s">
        <v>211</v>
      </c>
      <c r="C12" s="10"/>
      <c r="D12" s="10" t="s">
        <v>325</v>
      </c>
      <c r="E12" s="10" t="s">
        <v>26</v>
      </c>
      <c r="F12" s="16">
        <f t="shared" si="3"/>
        <v>660757.69</v>
      </c>
      <c r="G12" s="16">
        <f>SUMIFS('Business - Dump'!$U:$U,'Business - Dump'!$D:$D,'SKU Repoprt'!$D12,'Business - Dump'!$A:$A,'SKU Repoprt'!G$1)</f>
        <v>0</v>
      </c>
      <c r="H12" s="16">
        <f>SUMIFS('Business - Dump'!$U:$U,'Business - Dump'!$D:$D,'SKU Repoprt'!$D12,'Business - Dump'!$A:$A,'SKU Repoprt'!H$1)</f>
        <v>0</v>
      </c>
      <c r="I12" s="16">
        <f>SUMIFS('Business - Dump'!$U:$U,'Business - Dump'!$D:$D,'SKU Repoprt'!$D12,'Business - Dump'!$A:$A,'SKU Repoprt'!I$1)</f>
        <v>0</v>
      </c>
      <c r="J12" s="16">
        <f>SUMIFS('Business - Dump'!$U:$U,'Business - Dump'!$D:$D,'SKU Repoprt'!$D12,'Business - Dump'!$A:$A,'SKU Repoprt'!J$1)</f>
        <v>0</v>
      </c>
      <c r="K12" s="16">
        <f>SUMIFS('Business - Dump'!$U:$U,'Business - Dump'!$D:$D,'SKU Repoprt'!$D12,'Business - Dump'!$A:$A,'SKU Repoprt'!K$1)</f>
        <v>0</v>
      </c>
      <c r="L12" s="16">
        <f>SUMIFS('Business - Dump'!$U:$U,'Business - Dump'!$D:$D,'SKU Repoprt'!$D12,'Business - Dump'!$A:$A,'SKU Repoprt'!L$1)</f>
        <v>0</v>
      </c>
      <c r="M12" s="16">
        <f>SUMIFS('Business - Dump'!$U:$U,'Business - Dump'!$D:$D,'SKU Repoprt'!$D12,'Business - Dump'!$A:$A,'SKU Repoprt'!M$1)</f>
        <v>0</v>
      </c>
      <c r="N12" s="16">
        <f>SUMIFS('Business - Dump'!$U:$U,'Business - Dump'!$D:$D,'SKU Repoprt'!$D12,'Business - Dump'!$A:$A,'SKU Repoprt'!N$1)</f>
        <v>0</v>
      </c>
      <c r="O12" s="16">
        <f>SUMIFS('Business - Dump'!$U:$U,'Business - Dump'!$D:$D,'SKU Repoprt'!$D12,'Business - Dump'!$A:$A,'SKU Repoprt'!O$1)</f>
        <v>34451.11</v>
      </c>
      <c r="P12" s="16">
        <f>SUMIFS('Business - Dump'!$U:$U,'Business - Dump'!$D:$D,'SKU Repoprt'!$D12,'Business - Dump'!$A:$A,'SKU Repoprt'!P$1)</f>
        <v>135589</v>
      </c>
      <c r="Q12" s="16">
        <f>SUMIFS('Business - Dump'!$U:$U,'Business - Dump'!$D:$D,'SKU Repoprt'!$D12,'Business - Dump'!$A:$A,'SKU Repoprt'!Q$1)</f>
        <v>170905.58</v>
      </c>
      <c r="R12" s="16">
        <f>SUMIFS('Business - Dump'!$U:$U,'Business - Dump'!$D:$D,'SKU Repoprt'!$D12,'Business - Dump'!$A:$A,'SKU Repoprt'!R$1)</f>
        <v>79494</v>
      </c>
      <c r="S12" s="16">
        <f>SUMIFS('Business - Dump'!$U:$U,'Business - Dump'!$D:$D,'SKU Repoprt'!$D12,'Business - Dump'!$A:$A,'SKU Repoprt'!S$1)</f>
        <v>240318</v>
      </c>
      <c r="T12" s="16">
        <f>SUMIFS('Business - Dump'!$U:$U,'Business - Dump'!$D:$D,'SKU Repoprt'!$D12,'Business - Dump'!$A:$A,'SKU Repoprt'!T$1)</f>
        <v>264925</v>
      </c>
      <c r="U12" s="16">
        <f>SUMIFS('Business - Dump'!$U:$U,'Business - Dump'!$D:$D,'SKU Repoprt'!$D12,'Business - Dump'!$A:$A,'SKU Repoprt'!U$1)</f>
        <v>36990</v>
      </c>
      <c r="V12" s="16">
        <f>SUMIFS('Business - Dump'!$U:$U,'Business - Dump'!$D:$D,'SKU Repoprt'!$D12,'Business - Dump'!$A:$A,'SKU Repoprt'!V$1)</f>
        <v>310895</v>
      </c>
      <c r="W12" s="16">
        <f>SUMIFS('Business - Dump'!$U:$U,'Business - Dump'!$D:$D,'SKU Repoprt'!$D12,'Business - Dump'!$A:$A,'SKU Repoprt'!W$1)</f>
        <v>306564</v>
      </c>
    </row>
    <row r="13">
      <c r="A13" s="10" t="s">
        <v>211</v>
      </c>
      <c r="B13" s="10" t="s">
        <v>211</v>
      </c>
      <c r="C13" s="10"/>
      <c r="D13" s="10" t="s">
        <v>325</v>
      </c>
      <c r="E13" s="10" t="s">
        <v>29</v>
      </c>
      <c r="F13" s="17">
        <v>0.027042857142857143</v>
      </c>
      <c r="G13" s="17">
        <f t="shared" ref="G13:W13" si="4">IFERROR(G11/G8,0)</f>
        <v>0</v>
      </c>
      <c r="H13" s="17">
        <f t="shared" si="4"/>
        <v>0</v>
      </c>
      <c r="I13" s="17">
        <f t="shared" si="4"/>
        <v>0</v>
      </c>
      <c r="J13" s="17">
        <f t="shared" si="4"/>
        <v>0</v>
      </c>
      <c r="K13" s="17">
        <f t="shared" si="4"/>
        <v>0</v>
      </c>
      <c r="L13" s="17">
        <f t="shared" si="4"/>
        <v>0</v>
      </c>
      <c r="M13" s="17">
        <f t="shared" si="4"/>
        <v>0</v>
      </c>
      <c r="N13" s="17">
        <f t="shared" si="4"/>
        <v>0</v>
      </c>
      <c r="O13" s="17">
        <f t="shared" si="4"/>
        <v>0.04146341463</v>
      </c>
      <c r="P13" s="17">
        <f t="shared" si="4"/>
        <v>0.02618510158</v>
      </c>
      <c r="Q13" s="17">
        <f t="shared" si="4"/>
        <v>0.02569018405</v>
      </c>
      <c r="R13" s="17">
        <f t="shared" si="4"/>
        <v>0.04166666667</v>
      </c>
      <c r="S13" s="17">
        <f t="shared" si="4"/>
        <v>0.01154681605</v>
      </c>
      <c r="T13" s="17">
        <f t="shared" si="4"/>
        <v>0.0134335716</v>
      </c>
      <c r="U13" s="17">
        <f t="shared" si="4"/>
        <v>0.01480111008</v>
      </c>
      <c r="V13" s="17">
        <f t="shared" si="4"/>
        <v>0.01248622842</v>
      </c>
      <c r="W13" s="17">
        <f t="shared" si="4"/>
        <v>0.01321456539</v>
      </c>
    </row>
    <row r="14">
      <c r="A14" s="10" t="s">
        <v>211</v>
      </c>
      <c r="B14" s="10" t="s">
        <v>211</v>
      </c>
      <c r="C14" s="10"/>
      <c r="D14" s="10" t="s">
        <v>327</v>
      </c>
      <c r="E14" s="10" t="s">
        <v>257</v>
      </c>
      <c r="F14" s="3">
        <f t="shared" ref="F14:F18" si="5">SUM(G14:S14)</f>
        <v>6</v>
      </c>
      <c r="G14" s="3">
        <f>SUMIFS('Business - Dump'!$G:$G,'Business - Dump'!$D:$D,'SKU Repoprt'!$D14,'Business - Dump'!$A:$A,'SKU Repoprt'!G$1)</f>
        <v>0</v>
      </c>
      <c r="H14" s="3">
        <f>SUMIFS('Business - Dump'!$G:$G,'Business - Dump'!$D:$D,'SKU Repoprt'!$D14,'Business - Dump'!$A:$A,'SKU Repoprt'!H$1)</f>
        <v>0</v>
      </c>
      <c r="I14" s="3">
        <f>SUMIFS('Business - Dump'!$G:$G,'Business - Dump'!$D:$D,'SKU Repoprt'!$D14,'Business - Dump'!$A:$A,'SKU Repoprt'!I$1)</f>
        <v>0</v>
      </c>
      <c r="J14" s="3">
        <f>SUMIFS('Business - Dump'!$G:$G,'Business - Dump'!$D:$D,'SKU Repoprt'!$D14,'Business - Dump'!$A:$A,'SKU Repoprt'!J$1)</f>
        <v>0</v>
      </c>
      <c r="K14" s="3">
        <f>SUMIFS('Business - Dump'!$G:$G,'Business - Dump'!$D:$D,'SKU Repoprt'!$D14,'Business - Dump'!$A:$A,'SKU Repoprt'!K$1)</f>
        <v>0</v>
      </c>
      <c r="L14" s="3">
        <f>SUMIFS('Business - Dump'!$G:$G,'Business - Dump'!$D:$D,'SKU Repoprt'!$D14,'Business - Dump'!$A:$A,'SKU Repoprt'!L$1)</f>
        <v>0</v>
      </c>
      <c r="M14" s="3">
        <f>SUMIFS('Business - Dump'!$G:$G,'Business - Dump'!$D:$D,'SKU Repoprt'!$D14,'Business - Dump'!$A:$A,'SKU Repoprt'!M$1)</f>
        <v>0</v>
      </c>
      <c r="N14" s="3">
        <f>SUMIFS('Business - Dump'!$G:$G,'Business - Dump'!$D:$D,'SKU Repoprt'!$D14,'Business - Dump'!$A:$A,'SKU Repoprt'!N$1)</f>
        <v>0</v>
      </c>
      <c r="O14" s="3">
        <f>SUMIFS('Business - Dump'!$G:$G,'Business - Dump'!$D:$D,'SKU Repoprt'!$D14,'Business - Dump'!$A:$A,'SKU Repoprt'!O$1)</f>
        <v>0</v>
      </c>
      <c r="P14" s="3">
        <f>SUMIFS('Business - Dump'!$G:$G,'Business - Dump'!$D:$D,'SKU Repoprt'!$D14,'Business - Dump'!$A:$A,'SKU Repoprt'!P$1)</f>
        <v>0</v>
      </c>
      <c r="Q14" s="3">
        <f>SUMIFS('Business - Dump'!$G:$G,'Business - Dump'!$D:$D,'SKU Repoprt'!$D14,'Business - Dump'!$A:$A,'SKU Repoprt'!Q$1)</f>
        <v>0</v>
      </c>
      <c r="R14" s="3">
        <f>SUMIFS('Business - Dump'!$G:$G,'Business - Dump'!$D:$D,'SKU Repoprt'!$D14,'Business - Dump'!$A:$A,'SKU Repoprt'!R$1)</f>
        <v>0</v>
      </c>
      <c r="S14" s="3">
        <f>SUMIFS('Business - Dump'!$G:$G,'Business - Dump'!$D:$D,'SKU Repoprt'!$D14,'Business - Dump'!$A:$A,'SKU Repoprt'!S$1)</f>
        <v>6</v>
      </c>
      <c r="T14" s="3">
        <f>SUMIFS('Business - Dump'!$G:$G,'Business - Dump'!$D:$D,'SKU Repoprt'!$D14,'Business - Dump'!$A:$A,'SKU Repoprt'!T$1)</f>
        <v>1901</v>
      </c>
      <c r="U14" s="3">
        <f>SUMIFS('Business - Dump'!$G:$G,'Business - Dump'!$D:$D,'SKU Repoprt'!$D14,'Business - Dump'!$A:$A,'SKU Repoprt'!U$1)</f>
        <v>1694</v>
      </c>
      <c r="V14" s="3">
        <f>SUMIFS('Business - Dump'!$G:$G,'Business - Dump'!$D:$D,'SKU Repoprt'!$D14,'Business - Dump'!$A:$A,'SKU Repoprt'!V$1)</f>
        <v>21</v>
      </c>
      <c r="W14" s="3">
        <f>SUMIFS('Business - Dump'!$G:$G,'Business - Dump'!$D:$D,'SKU Repoprt'!$D14,'Business - Dump'!$A:$A,'SKU Repoprt'!W$1)</f>
        <v>3</v>
      </c>
    </row>
    <row r="15">
      <c r="A15" s="10" t="s">
        <v>211</v>
      </c>
      <c r="B15" s="10" t="s">
        <v>211</v>
      </c>
      <c r="C15" s="10"/>
      <c r="D15" s="10" t="s">
        <v>327</v>
      </c>
      <c r="E15" s="10" t="s">
        <v>260</v>
      </c>
      <c r="F15" s="3">
        <f t="shared" si="5"/>
        <v>17</v>
      </c>
      <c r="G15" s="3">
        <f>SUMIFS('Business - Dump'!$K:$K,'Business - Dump'!$D:$D,'SKU Repoprt'!$D15,'Business - Dump'!$A:$A,'SKU Repoprt'!G$1)</f>
        <v>0</v>
      </c>
      <c r="H15" s="3">
        <f>SUMIFS('Business - Dump'!$K:$K,'Business - Dump'!$D:$D,'SKU Repoprt'!$D15,'Business - Dump'!$A:$A,'SKU Repoprt'!H$1)</f>
        <v>0</v>
      </c>
      <c r="I15" s="3">
        <f>SUMIFS('Business - Dump'!$K:$K,'Business - Dump'!$D:$D,'SKU Repoprt'!$D15,'Business - Dump'!$A:$A,'SKU Repoprt'!I$1)</f>
        <v>0</v>
      </c>
      <c r="J15" s="3">
        <f>SUMIFS('Business - Dump'!$K:$K,'Business - Dump'!$D:$D,'SKU Repoprt'!$D15,'Business - Dump'!$A:$A,'SKU Repoprt'!J$1)</f>
        <v>0</v>
      </c>
      <c r="K15" s="3">
        <f>SUMIFS('Business - Dump'!$K:$K,'Business - Dump'!$D:$D,'SKU Repoprt'!$D15,'Business - Dump'!$A:$A,'SKU Repoprt'!K$1)</f>
        <v>0</v>
      </c>
      <c r="L15" s="3">
        <f>SUMIFS('Business - Dump'!$K:$K,'Business - Dump'!$D:$D,'SKU Repoprt'!$D15,'Business - Dump'!$A:$A,'SKU Repoprt'!L$1)</f>
        <v>0</v>
      </c>
      <c r="M15" s="3">
        <f>SUMIFS('Business - Dump'!$K:$K,'Business - Dump'!$D:$D,'SKU Repoprt'!$D15,'Business - Dump'!$A:$A,'SKU Repoprt'!M$1)</f>
        <v>0</v>
      </c>
      <c r="N15" s="3">
        <f>SUMIFS('Business - Dump'!$K:$K,'Business - Dump'!$D:$D,'SKU Repoprt'!$D15,'Business - Dump'!$A:$A,'SKU Repoprt'!N$1)</f>
        <v>0</v>
      </c>
      <c r="O15" s="3">
        <f>SUMIFS('Business - Dump'!$K:$K,'Business - Dump'!$D:$D,'SKU Repoprt'!$D15,'Business - Dump'!$A:$A,'SKU Repoprt'!O$1)</f>
        <v>0</v>
      </c>
      <c r="P15" s="3">
        <f>SUMIFS('Business - Dump'!$K:$K,'Business - Dump'!$D:$D,'SKU Repoprt'!$D15,'Business - Dump'!$A:$A,'SKU Repoprt'!P$1)</f>
        <v>0</v>
      </c>
      <c r="Q15" s="3">
        <f>SUMIFS('Business - Dump'!$K:$K,'Business - Dump'!$D:$D,'SKU Repoprt'!$D15,'Business - Dump'!$A:$A,'SKU Repoprt'!Q$1)</f>
        <v>0</v>
      </c>
      <c r="R15" s="3">
        <f>SUMIFS('Business - Dump'!$K:$K,'Business - Dump'!$D:$D,'SKU Repoprt'!$D15,'Business - Dump'!$A:$A,'SKU Repoprt'!R$1)</f>
        <v>0</v>
      </c>
      <c r="S15" s="3">
        <f>SUMIFS('Business - Dump'!$K:$K,'Business - Dump'!$D:$D,'SKU Repoprt'!$D15,'Business - Dump'!$A:$A,'SKU Repoprt'!S$1)</f>
        <v>17</v>
      </c>
      <c r="T15" s="3">
        <f>SUMIFS('Business - Dump'!$K:$K,'Business - Dump'!$D:$D,'SKU Repoprt'!$D15,'Business - Dump'!$A:$A,'SKU Repoprt'!T$1)</f>
        <v>2874</v>
      </c>
      <c r="U15" s="3">
        <f>SUMIFS('Business - Dump'!$K:$K,'Business - Dump'!$D:$D,'SKU Repoprt'!$D15,'Business - Dump'!$A:$A,'SKU Repoprt'!U$1)</f>
        <v>2632</v>
      </c>
      <c r="V15" s="3">
        <f>SUMIFS('Business - Dump'!$K:$K,'Business - Dump'!$D:$D,'SKU Repoprt'!$D15,'Business - Dump'!$A:$A,'SKU Repoprt'!V$1)</f>
        <v>27</v>
      </c>
      <c r="W15" s="3">
        <f>SUMIFS('Business - Dump'!$K:$K,'Business - Dump'!$D:$D,'SKU Repoprt'!$D15,'Business - Dump'!$A:$A,'SKU Repoprt'!W$1)</f>
        <v>8</v>
      </c>
    </row>
    <row r="16">
      <c r="A16" s="10" t="s">
        <v>211</v>
      </c>
      <c r="B16" s="10" t="s">
        <v>211</v>
      </c>
      <c r="C16" s="10"/>
      <c r="D16" s="10" t="s">
        <v>327</v>
      </c>
      <c r="E16" s="10" t="s">
        <v>264</v>
      </c>
      <c r="F16" s="3">
        <f t="shared" si="5"/>
        <v>0</v>
      </c>
      <c r="G16" s="3">
        <f>SUMIFS('Business - Dump'!$Q:$Q,'Business - Dump'!$D:$D,'SKU Repoprt'!$D16,'Business - Dump'!$A:$A,'SKU Repoprt'!G$1)</f>
        <v>0</v>
      </c>
      <c r="H16" s="3">
        <f>SUMIFS('Business - Dump'!$Q:$Q,'Business - Dump'!$D:$D,'SKU Repoprt'!$D16,'Business - Dump'!$A:$A,'SKU Repoprt'!H$1)</f>
        <v>0</v>
      </c>
      <c r="I16" s="3">
        <f>SUMIFS('Business - Dump'!$Q:$Q,'Business - Dump'!$D:$D,'SKU Repoprt'!$D16,'Business - Dump'!$A:$A,'SKU Repoprt'!I$1)</f>
        <v>0</v>
      </c>
      <c r="J16" s="3">
        <f>SUMIFS('Business - Dump'!$Q:$Q,'Business - Dump'!$D:$D,'SKU Repoprt'!$D16,'Business - Dump'!$A:$A,'SKU Repoprt'!J$1)</f>
        <v>0</v>
      </c>
      <c r="K16" s="3">
        <f>SUMIFS('Business - Dump'!$Q:$Q,'Business - Dump'!$D:$D,'SKU Repoprt'!$D16,'Business - Dump'!$A:$A,'SKU Repoprt'!K$1)</f>
        <v>0</v>
      </c>
      <c r="L16" s="3">
        <f>SUMIFS('Business - Dump'!$Q:$Q,'Business - Dump'!$D:$D,'SKU Repoprt'!$D16,'Business - Dump'!$A:$A,'SKU Repoprt'!L$1)</f>
        <v>0</v>
      </c>
      <c r="M16" s="3">
        <f>SUMIFS('Business - Dump'!$Q:$Q,'Business - Dump'!$D:$D,'SKU Repoprt'!$D16,'Business - Dump'!$A:$A,'SKU Repoprt'!M$1)</f>
        <v>0</v>
      </c>
      <c r="N16" s="3">
        <f>SUMIFS('Business - Dump'!$Q:$Q,'Business - Dump'!$D:$D,'SKU Repoprt'!$D16,'Business - Dump'!$A:$A,'SKU Repoprt'!N$1)</f>
        <v>0</v>
      </c>
      <c r="O16" s="3">
        <f>SUMIFS('Business - Dump'!$Q:$Q,'Business - Dump'!$D:$D,'SKU Repoprt'!$D16,'Business - Dump'!$A:$A,'SKU Repoprt'!O$1)</f>
        <v>0</v>
      </c>
      <c r="P16" s="3">
        <f>SUMIFS('Business - Dump'!$Q:$Q,'Business - Dump'!$D:$D,'SKU Repoprt'!$D16,'Business - Dump'!$A:$A,'SKU Repoprt'!P$1)</f>
        <v>0</v>
      </c>
      <c r="Q16" s="3">
        <f>SUMIFS('Business - Dump'!$Q:$Q,'Business - Dump'!$D:$D,'SKU Repoprt'!$D16,'Business - Dump'!$A:$A,'SKU Repoprt'!Q$1)</f>
        <v>0</v>
      </c>
      <c r="R16" s="3">
        <f>SUMIFS('Business - Dump'!$Q:$Q,'Business - Dump'!$D:$D,'SKU Repoprt'!$D16,'Business - Dump'!$A:$A,'SKU Repoprt'!R$1)</f>
        <v>0</v>
      </c>
      <c r="S16" s="3">
        <f>SUMIFS('Business - Dump'!$Q:$Q,'Business - Dump'!$D:$D,'SKU Repoprt'!$D16,'Business - Dump'!$A:$A,'SKU Repoprt'!S$1)</f>
        <v>0</v>
      </c>
      <c r="T16" s="3">
        <f>SUMIFS('Business - Dump'!$Q:$Q,'Business - Dump'!$D:$D,'SKU Repoprt'!$D16,'Business - Dump'!$A:$A,'SKU Repoprt'!T$1)</f>
        <v>59</v>
      </c>
      <c r="U16" s="3">
        <f>SUMIFS('Business - Dump'!$Q:$Q,'Business - Dump'!$D:$D,'SKU Repoprt'!$D16,'Business - Dump'!$A:$A,'SKU Repoprt'!U$1)</f>
        <v>61</v>
      </c>
      <c r="V16" s="3">
        <f>SUMIFS('Business - Dump'!$Q:$Q,'Business - Dump'!$D:$D,'SKU Repoprt'!$D16,'Business - Dump'!$A:$A,'SKU Repoprt'!V$1)</f>
        <v>2</v>
      </c>
      <c r="W16" s="3">
        <f>SUMIFS('Business - Dump'!$Q:$Q,'Business - Dump'!$D:$D,'SKU Repoprt'!$D16,'Business - Dump'!$A:$A,'SKU Repoprt'!W$1)</f>
        <v>1</v>
      </c>
    </row>
    <row r="17">
      <c r="A17" s="10" t="s">
        <v>211</v>
      </c>
      <c r="B17" s="10" t="s">
        <v>211</v>
      </c>
      <c r="C17" s="10"/>
      <c r="D17" s="10" t="s">
        <v>327</v>
      </c>
      <c r="E17" s="10" t="s">
        <v>268</v>
      </c>
      <c r="F17" s="3">
        <f t="shared" si="5"/>
        <v>0</v>
      </c>
      <c r="G17" s="3">
        <f>SUMIFS('Business - Dump'!$W:$W,'Business - Dump'!$D:$D,'SKU Repoprt'!$D17,'Business - Dump'!$A:$A,'SKU Repoprt'!G$1)</f>
        <v>0</v>
      </c>
      <c r="H17" s="3">
        <f>SUMIFS('Business - Dump'!$W:$W,'Business - Dump'!$D:$D,'SKU Repoprt'!$D17,'Business - Dump'!$A:$A,'SKU Repoprt'!H$1)</f>
        <v>0</v>
      </c>
      <c r="I17" s="3">
        <f>SUMIFS('Business - Dump'!$W:$W,'Business - Dump'!$D:$D,'SKU Repoprt'!$D17,'Business - Dump'!$A:$A,'SKU Repoprt'!I$1)</f>
        <v>0</v>
      </c>
      <c r="J17" s="3">
        <f>SUMIFS('Business - Dump'!$W:$W,'Business - Dump'!$D:$D,'SKU Repoprt'!$D17,'Business - Dump'!$A:$A,'SKU Repoprt'!J$1)</f>
        <v>0</v>
      </c>
      <c r="K17" s="3">
        <f>SUMIFS('Business - Dump'!$W:$W,'Business - Dump'!$D:$D,'SKU Repoprt'!$D17,'Business - Dump'!$A:$A,'SKU Repoprt'!K$1)</f>
        <v>0</v>
      </c>
      <c r="L17" s="3">
        <f>SUMIFS('Business - Dump'!$W:$W,'Business - Dump'!$D:$D,'SKU Repoprt'!$D17,'Business - Dump'!$A:$A,'SKU Repoprt'!L$1)</f>
        <v>0</v>
      </c>
      <c r="M17" s="3">
        <f>SUMIFS('Business - Dump'!$W:$W,'Business - Dump'!$D:$D,'SKU Repoprt'!$D17,'Business - Dump'!$A:$A,'SKU Repoprt'!M$1)</f>
        <v>0</v>
      </c>
      <c r="N17" s="3">
        <f>SUMIFS('Business - Dump'!$W:$W,'Business - Dump'!$D:$D,'SKU Repoprt'!$D17,'Business - Dump'!$A:$A,'SKU Repoprt'!N$1)</f>
        <v>0</v>
      </c>
      <c r="O17" s="3">
        <f>SUMIFS('Business - Dump'!$W:$W,'Business - Dump'!$D:$D,'SKU Repoprt'!$D17,'Business - Dump'!$A:$A,'SKU Repoprt'!O$1)</f>
        <v>0</v>
      </c>
      <c r="P17" s="3">
        <f>SUMIFS('Business - Dump'!$W:$W,'Business - Dump'!$D:$D,'SKU Repoprt'!$D17,'Business - Dump'!$A:$A,'SKU Repoprt'!P$1)</f>
        <v>0</v>
      </c>
      <c r="Q17" s="3">
        <f>SUMIFS('Business - Dump'!$W:$W,'Business - Dump'!$D:$D,'SKU Repoprt'!$D17,'Business - Dump'!$A:$A,'SKU Repoprt'!Q$1)</f>
        <v>0</v>
      </c>
      <c r="R17" s="3">
        <f>SUMIFS('Business - Dump'!$W:$W,'Business - Dump'!$D:$D,'SKU Repoprt'!$D17,'Business - Dump'!$A:$A,'SKU Repoprt'!R$1)</f>
        <v>0</v>
      </c>
      <c r="S17" s="3">
        <f>SUMIFS('Business - Dump'!$W:$W,'Business - Dump'!$D:$D,'SKU Repoprt'!$D17,'Business - Dump'!$A:$A,'SKU Repoprt'!S$1)</f>
        <v>0</v>
      </c>
      <c r="T17" s="3">
        <f>SUMIFS('Business - Dump'!$W:$W,'Business - Dump'!$D:$D,'SKU Repoprt'!$D17,'Business - Dump'!$A:$A,'SKU Repoprt'!T$1)</f>
        <v>56</v>
      </c>
      <c r="U17" s="3">
        <f>SUMIFS('Business - Dump'!$W:$W,'Business - Dump'!$D:$D,'SKU Repoprt'!$D17,'Business - Dump'!$A:$A,'SKU Repoprt'!U$1)</f>
        <v>57</v>
      </c>
      <c r="V17" s="3">
        <f>SUMIFS('Business - Dump'!$W:$W,'Business - Dump'!$D:$D,'SKU Repoprt'!$D17,'Business - Dump'!$A:$A,'SKU Repoprt'!V$1)</f>
        <v>1</v>
      </c>
      <c r="W17" s="3">
        <f>SUMIFS('Business - Dump'!$W:$W,'Business - Dump'!$D:$D,'SKU Repoprt'!$D17,'Business - Dump'!$A:$A,'SKU Repoprt'!W$1)</f>
        <v>1</v>
      </c>
    </row>
    <row r="18">
      <c r="A18" s="10" t="s">
        <v>211</v>
      </c>
      <c r="B18" s="10" t="s">
        <v>211</v>
      </c>
      <c r="C18" s="10"/>
      <c r="D18" s="10" t="s">
        <v>327</v>
      </c>
      <c r="E18" s="10" t="s">
        <v>26</v>
      </c>
      <c r="F18" s="16">
        <f t="shared" si="5"/>
        <v>0</v>
      </c>
      <c r="G18" s="16">
        <f>SUMIFS('Business - Dump'!$U:$U,'Business - Dump'!$D:$D,'SKU Repoprt'!$D18,'Business - Dump'!$A:$A,'SKU Repoprt'!G$1)</f>
        <v>0</v>
      </c>
      <c r="H18" s="16">
        <f>SUMIFS('Business - Dump'!$U:$U,'Business - Dump'!$D:$D,'SKU Repoprt'!$D18,'Business - Dump'!$A:$A,'SKU Repoprt'!H$1)</f>
        <v>0</v>
      </c>
      <c r="I18" s="16">
        <f>SUMIFS('Business - Dump'!$U:$U,'Business - Dump'!$D:$D,'SKU Repoprt'!$D18,'Business - Dump'!$A:$A,'SKU Repoprt'!I$1)</f>
        <v>0</v>
      </c>
      <c r="J18" s="16">
        <f>SUMIFS('Business - Dump'!$U:$U,'Business - Dump'!$D:$D,'SKU Repoprt'!$D18,'Business - Dump'!$A:$A,'SKU Repoprt'!J$1)</f>
        <v>0</v>
      </c>
      <c r="K18" s="16">
        <f>SUMIFS('Business - Dump'!$U:$U,'Business - Dump'!$D:$D,'SKU Repoprt'!$D18,'Business - Dump'!$A:$A,'SKU Repoprt'!K$1)</f>
        <v>0</v>
      </c>
      <c r="L18" s="16">
        <f>SUMIFS('Business - Dump'!$U:$U,'Business - Dump'!$D:$D,'SKU Repoprt'!$D18,'Business - Dump'!$A:$A,'SKU Repoprt'!L$1)</f>
        <v>0</v>
      </c>
      <c r="M18" s="16">
        <f>SUMIFS('Business - Dump'!$U:$U,'Business - Dump'!$D:$D,'SKU Repoprt'!$D18,'Business - Dump'!$A:$A,'SKU Repoprt'!M$1)</f>
        <v>0</v>
      </c>
      <c r="N18" s="16">
        <f>SUMIFS('Business - Dump'!$U:$U,'Business - Dump'!$D:$D,'SKU Repoprt'!$D18,'Business - Dump'!$A:$A,'SKU Repoprt'!N$1)</f>
        <v>0</v>
      </c>
      <c r="O18" s="16">
        <f>SUMIFS('Business - Dump'!$U:$U,'Business - Dump'!$D:$D,'SKU Repoprt'!$D18,'Business - Dump'!$A:$A,'SKU Repoprt'!O$1)</f>
        <v>0</v>
      </c>
      <c r="P18" s="16">
        <f>SUMIFS('Business - Dump'!$U:$U,'Business - Dump'!$D:$D,'SKU Repoprt'!$D18,'Business - Dump'!$A:$A,'SKU Repoprt'!P$1)</f>
        <v>0</v>
      </c>
      <c r="Q18" s="16">
        <f>SUMIFS('Business - Dump'!$U:$U,'Business - Dump'!$D:$D,'SKU Repoprt'!$D18,'Business - Dump'!$A:$A,'SKU Repoprt'!Q$1)</f>
        <v>0</v>
      </c>
      <c r="R18" s="16">
        <f>SUMIFS('Business - Dump'!$U:$U,'Business - Dump'!$D:$D,'SKU Repoprt'!$D18,'Business - Dump'!$A:$A,'SKU Repoprt'!R$1)</f>
        <v>0</v>
      </c>
      <c r="S18" s="16">
        <f>SUMIFS('Business - Dump'!$U:$U,'Business - Dump'!$D:$D,'SKU Repoprt'!$D18,'Business - Dump'!$A:$A,'SKU Repoprt'!S$1)</f>
        <v>0</v>
      </c>
      <c r="T18" s="16">
        <f>SUMIFS('Business - Dump'!$U:$U,'Business - Dump'!$D:$D,'SKU Repoprt'!$D18,'Business - Dump'!$A:$A,'SKU Repoprt'!T$1)</f>
        <v>78671</v>
      </c>
      <c r="U18" s="16">
        <f>SUMIFS('Business - Dump'!$U:$U,'Business - Dump'!$D:$D,'SKU Repoprt'!$D18,'Business - Dump'!$A:$A,'SKU Repoprt'!U$1)</f>
        <v>81055</v>
      </c>
      <c r="V18" s="16">
        <f>SUMIFS('Business - Dump'!$U:$U,'Business - Dump'!$D:$D,'SKU Repoprt'!$D18,'Business - Dump'!$A:$A,'SKU Repoprt'!V$1)</f>
        <v>2710</v>
      </c>
      <c r="W18" s="16">
        <f>SUMIFS('Business - Dump'!$U:$U,'Business - Dump'!$D:$D,'SKU Repoprt'!$D18,'Business - Dump'!$A:$A,'SKU Repoprt'!W$1)</f>
        <v>1355</v>
      </c>
    </row>
    <row r="19">
      <c r="A19" s="10" t="s">
        <v>211</v>
      </c>
      <c r="B19" s="10" t="s">
        <v>211</v>
      </c>
      <c r="C19" s="10"/>
      <c r="D19" s="10" t="s">
        <v>327</v>
      </c>
      <c r="E19" s="10" t="s">
        <v>29</v>
      </c>
      <c r="F19" s="17">
        <v>0.027042857142857143</v>
      </c>
      <c r="G19" s="17">
        <f t="shared" ref="G19:W19" si="6">IFERROR(G17/G14,0)</f>
        <v>0</v>
      </c>
      <c r="H19" s="17">
        <f t="shared" si="6"/>
        <v>0</v>
      </c>
      <c r="I19" s="17">
        <f t="shared" si="6"/>
        <v>0</v>
      </c>
      <c r="J19" s="17">
        <f t="shared" si="6"/>
        <v>0</v>
      </c>
      <c r="K19" s="17">
        <f t="shared" si="6"/>
        <v>0</v>
      </c>
      <c r="L19" s="17">
        <f t="shared" si="6"/>
        <v>0</v>
      </c>
      <c r="M19" s="17">
        <f t="shared" si="6"/>
        <v>0</v>
      </c>
      <c r="N19" s="17">
        <f t="shared" si="6"/>
        <v>0</v>
      </c>
      <c r="O19" s="17">
        <f t="shared" si="6"/>
        <v>0</v>
      </c>
      <c r="P19" s="17">
        <f t="shared" si="6"/>
        <v>0</v>
      </c>
      <c r="Q19" s="17">
        <f t="shared" si="6"/>
        <v>0</v>
      </c>
      <c r="R19" s="17">
        <f t="shared" si="6"/>
        <v>0</v>
      </c>
      <c r="S19" s="17">
        <f t="shared" si="6"/>
        <v>0</v>
      </c>
      <c r="T19" s="17">
        <f t="shared" si="6"/>
        <v>0.02945817991</v>
      </c>
      <c r="U19" s="17">
        <f t="shared" si="6"/>
        <v>0.03364817001</v>
      </c>
      <c r="V19" s="17">
        <f t="shared" si="6"/>
        <v>0.04761904762</v>
      </c>
      <c r="W19" s="17">
        <f t="shared" si="6"/>
        <v>0.3333333333</v>
      </c>
    </row>
    <row r="20">
      <c r="A20" s="10" t="s">
        <v>211</v>
      </c>
      <c r="B20" s="10" t="s">
        <v>211</v>
      </c>
      <c r="C20" s="10"/>
      <c r="D20" s="10" t="s">
        <v>329</v>
      </c>
      <c r="E20" s="10" t="s">
        <v>257</v>
      </c>
      <c r="F20" s="3">
        <f t="shared" ref="F20:F24" si="7">SUM(G20:S20)</f>
        <v>6</v>
      </c>
      <c r="G20" s="3">
        <f>SUMIFS('Business - Dump'!$G:$G,'Business - Dump'!$D:$D,'SKU Repoprt'!$D20,'Business - Dump'!$A:$A,'SKU Repoprt'!G$1)</f>
        <v>0</v>
      </c>
      <c r="H20" s="3">
        <f>SUMIFS('Business - Dump'!$G:$G,'Business - Dump'!$D:$D,'SKU Repoprt'!$D20,'Business - Dump'!$A:$A,'SKU Repoprt'!H$1)</f>
        <v>0</v>
      </c>
      <c r="I20" s="3">
        <f>SUMIFS('Business - Dump'!$G:$G,'Business - Dump'!$D:$D,'SKU Repoprt'!$D20,'Business - Dump'!$A:$A,'SKU Repoprt'!I$1)</f>
        <v>0</v>
      </c>
      <c r="J20" s="3">
        <f>SUMIFS('Business - Dump'!$G:$G,'Business - Dump'!$D:$D,'SKU Repoprt'!$D20,'Business - Dump'!$A:$A,'SKU Repoprt'!J$1)</f>
        <v>0</v>
      </c>
      <c r="K20" s="3">
        <f>SUMIFS('Business - Dump'!$G:$G,'Business - Dump'!$D:$D,'SKU Repoprt'!$D20,'Business - Dump'!$A:$A,'SKU Repoprt'!K$1)</f>
        <v>0</v>
      </c>
      <c r="L20" s="3">
        <f>SUMIFS('Business - Dump'!$G:$G,'Business - Dump'!$D:$D,'SKU Repoprt'!$D20,'Business - Dump'!$A:$A,'SKU Repoprt'!L$1)</f>
        <v>0</v>
      </c>
      <c r="M20" s="3">
        <f>SUMIFS('Business - Dump'!$G:$G,'Business - Dump'!$D:$D,'SKU Repoprt'!$D20,'Business - Dump'!$A:$A,'SKU Repoprt'!M$1)</f>
        <v>0</v>
      </c>
      <c r="N20" s="3">
        <f>SUMIFS('Business - Dump'!$G:$G,'Business - Dump'!$D:$D,'SKU Repoprt'!$D20,'Business - Dump'!$A:$A,'SKU Repoprt'!N$1)</f>
        <v>0</v>
      </c>
      <c r="O20" s="3">
        <f>SUMIFS('Business - Dump'!$G:$G,'Business - Dump'!$D:$D,'SKU Repoprt'!$D20,'Business - Dump'!$A:$A,'SKU Repoprt'!O$1)</f>
        <v>0</v>
      </c>
      <c r="P20" s="3">
        <f>SUMIFS('Business - Dump'!$G:$G,'Business - Dump'!$D:$D,'SKU Repoprt'!$D20,'Business - Dump'!$A:$A,'SKU Repoprt'!P$1)</f>
        <v>0</v>
      </c>
      <c r="Q20" s="3">
        <f>SUMIFS('Business - Dump'!$G:$G,'Business - Dump'!$D:$D,'SKU Repoprt'!$D20,'Business - Dump'!$A:$A,'SKU Repoprt'!Q$1)</f>
        <v>0</v>
      </c>
      <c r="R20" s="3">
        <f>SUMIFS('Business - Dump'!$G:$G,'Business - Dump'!$D:$D,'SKU Repoprt'!$D20,'Business - Dump'!$A:$A,'SKU Repoprt'!R$1)</f>
        <v>0</v>
      </c>
      <c r="S20" s="3">
        <f>SUMIFS('Business - Dump'!$G:$G,'Business - Dump'!$D:$D,'SKU Repoprt'!$D20,'Business - Dump'!$A:$A,'SKU Repoprt'!S$1)</f>
        <v>6</v>
      </c>
      <c r="T20" s="3">
        <f>SUMIFS('Business - Dump'!$G:$G,'Business - Dump'!$D:$D,'SKU Repoprt'!$D20,'Business - Dump'!$A:$A,'SKU Repoprt'!T$1)</f>
        <v>1019</v>
      </c>
      <c r="U20" s="3">
        <f>SUMIFS('Business - Dump'!$G:$G,'Business - Dump'!$D:$D,'SKU Repoprt'!$D20,'Business - Dump'!$A:$A,'SKU Repoprt'!U$1)</f>
        <v>2392</v>
      </c>
      <c r="V20" s="3">
        <f>SUMIFS('Business - Dump'!$G:$G,'Business - Dump'!$D:$D,'SKU Repoprt'!$D20,'Business - Dump'!$A:$A,'SKU Repoprt'!V$1)</f>
        <v>2329</v>
      </c>
      <c r="W20" s="3">
        <f>SUMIFS('Business - Dump'!$G:$G,'Business - Dump'!$D:$D,'SKU Repoprt'!$D20,'Business - Dump'!$A:$A,'SKU Repoprt'!W$1)</f>
        <v>593</v>
      </c>
    </row>
    <row r="21" ht="15.75" customHeight="1">
      <c r="A21" s="10" t="s">
        <v>211</v>
      </c>
      <c r="B21" s="10" t="s">
        <v>211</v>
      </c>
      <c r="C21" s="10"/>
      <c r="D21" s="10" t="s">
        <v>329</v>
      </c>
      <c r="E21" s="10" t="s">
        <v>260</v>
      </c>
      <c r="F21" s="3">
        <f t="shared" si="7"/>
        <v>19</v>
      </c>
      <c r="G21" s="3">
        <f>SUMIFS('Business - Dump'!$K:$K,'Business - Dump'!$D:$D,'SKU Repoprt'!$D21,'Business - Dump'!$A:$A,'SKU Repoprt'!G$1)</f>
        <v>0</v>
      </c>
      <c r="H21" s="3">
        <f>SUMIFS('Business - Dump'!$K:$K,'Business - Dump'!$D:$D,'SKU Repoprt'!$D21,'Business - Dump'!$A:$A,'SKU Repoprt'!H$1)</f>
        <v>0</v>
      </c>
      <c r="I21" s="3">
        <f>SUMIFS('Business - Dump'!$K:$K,'Business - Dump'!$D:$D,'SKU Repoprt'!$D21,'Business - Dump'!$A:$A,'SKU Repoprt'!I$1)</f>
        <v>0</v>
      </c>
      <c r="J21" s="3">
        <f>SUMIFS('Business - Dump'!$K:$K,'Business - Dump'!$D:$D,'SKU Repoprt'!$D21,'Business - Dump'!$A:$A,'SKU Repoprt'!J$1)</f>
        <v>0</v>
      </c>
      <c r="K21" s="3">
        <f>SUMIFS('Business - Dump'!$K:$K,'Business - Dump'!$D:$D,'SKU Repoprt'!$D21,'Business - Dump'!$A:$A,'SKU Repoprt'!K$1)</f>
        <v>0</v>
      </c>
      <c r="L21" s="3">
        <f>SUMIFS('Business - Dump'!$K:$K,'Business - Dump'!$D:$D,'SKU Repoprt'!$D21,'Business - Dump'!$A:$A,'SKU Repoprt'!L$1)</f>
        <v>0</v>
      </c>
      <c r="M21" s="3">
        <f>SUMIFS('Business - Dump'!$K:$K,'Business - Dump'!$D:$D,'SKU Repoprt'!$D21,'Business - Dump'!$A:$A,'SKU Repoprt'!M$1)</f>
        <v>0</v>
      </c>
      <c r="N21" s="3">
        <f>SUMIFS('Business - Dump'!$K:$K,'Business - Dump'!$D:$D,'SKU Repoprt'!$D21,'Business - Dump'!$A:$A,'SKU Repoprt'!N$1)</f>
        <v>0</v>
      </c>
      <c r="O21" s="3">
        <f>SUMIFS('Business - Dump'!$K:$K,'Business - Dump'!$D:$D,'SKU Repoprt'!$D21,'Business - Dump'!$A:$A,'SKU Repoprt'!O$1)</f>
        <v>0</v>
      </c>
      <c r="P21" s="3">
        <f>SUMIFS('Business - Dump'!$K:$K,'Business - Dump'!$D:$D,'SKU Repoprt'!$D21,'Business - Dump'!$A:$A,'SKU Repoprt'!P$1)</f>
        <v>0</v>
      </c>
      <c r="Q21" s="3">
        <f>SUMIFS('Business - Dump'!$K:$K,'Business - Dump'!$D:$D,'SKU Repoprt'!$D21,'Business - Dump'!$A:$A,'SKU Repoprt'!Q$1)</f>
        <v>0</v>
      </c>
      <c r="R21" s="3">
        <f>SUMIFS('Business - Dump'!$K:$K,'Business - Dump'!$D:$D,'SKU Repoprt'!$D21,'Business - Dump'!$A:$A,'SKU Repoprt'!R$1)</f>
        <v>0</v>
      </c>
      <c r="S21" s="3">
        <f>SUMIFS('Business - Dump'!$K:$K,'Business - Dump'!$D:$D,'SKU Repoprt'!$D21,'Business - Dump'!$A:$A,'SKU Repoprt'!S$1)</f>
        <v>19</v>
      </c>
      <c r="T21" s="3">
        <f>SUMIFS('Business - Dump'!$K:$K,'Business - Dump'!$D:$D,'SKU Repoprt'!$D21,'Business - Dump'!$A:$A,'SKU Repoprt'!T$1)</f>
        <v>1344</v>
      </c>
      <c r="U21" s="3">
        <f>SUMIFS('Business - Dump'!$K:$K,'Business - Dump'!$D:$D,'SKU Repoprt'!$D21,'Business - Dump'!$A:$A,'SKU Repoprt'!U$1)</f>
        <v>3471</v>
      </c>
      <c r="V21" s="3">
        <f>SUMIFS('Business - Dump'!$K:$K,'Business - Dump'!$D:$D,'SKU Repoprt'!$D21,'Business - Dump'!$A:$A,'SKU Repoprt'!V$1)</f>
        <v>3248</v>
      </c>
      <c r="W21" s="3">
        <f>SUMIFS('Business - Dump'!$K:$K,'Business - Dump'!$D:$D,'SKU Repoprt'!$D21,'Business - Dump'!$A:$A,'SKU Repoprt'!W$1)</f>
        <v>827</v>
      </c>
    </row>
    <row r="22" ht="15.75" customHeight="1">
      <c r="A22" s="10" t="s">
        <v>211</v>
      </c>
      <c r="B22" s="10" t="s">
        <v>211</v>
      </c>
      <c r="C22" s="10"/>
      <c r="D22" s="10" t="s">
        <v>329</v>
      </c>
      <c r="E22" s="10" t="s">
        <v>264</v>
      </c>
      <c r="F22" s="3">
        <f t="shared" si="7"/>
        <v>0</v>
      </c>
      <c r="G22" s="3">
        <f>SUMIFS('Business - Dump'!$Q:$Q,'Business - Dump'!$D:$D,'SKU Repoprt'!$D22,'Business - Dump'!$A:$A,'SKU Repoprt'!G$1)</f>
        <v>0</v>
      </c>
      <c r="H22" s="3">
        <f>SUMIFS('Business - Dump'!$Q:$Q,'Business - Dump'!$D:$D,'SKU Repoprt'!$D22,'Business - Dump'!$A:$A,'SKU Repoprt'!H$1)</f>
        <v>0</v>
      </c>
      <c r="I22" s="3">
        <f>SUMIFS('Business - Dump'!$Q:$Q,'Business - Dump'!$D:$D,'SKU Repoprt'!$D22,'Business - Dump'!$A:$A,'SKU Repoprt'!I$1)</f>
        <v>0</v>
      </c>
      <c r="J22" s="3">
        <f>SUMIFS('Business - Dump'!$Q:$Q,'Business - Dump'!$D:$D,'SKU Repoprt'!$D22,'Business - Dump'!$A:$A,'SKU Repoprt'!J$1)</f>
        <v>0</v>
      </c>
      <c r="K22" s="3">
        <f>SUMIFS('Business - Dump'!$Q:$Q,'Business - Dump'!$D:$D,'SKU Repoprt'!$D22,'Business - Dump'!$A:$A,'SKU Repoprt'!K$1)</f>
        <v>0</v>
      </c>
      <c r="L22" s="3">
        <f>SUMIFS('Business - Dump'!$Q:$Q,'Business - Dump'!$D:$D,'SKU Repoprt'!$D22,'Business - Dump'!$A:$A,'SKU Repoprt'!L$1)</f>
        <v>0</v>
      </c>
      <c r="M22" s="3">
        <f>SUMIFS('Business - Dump'!$Q:$Q,'Business - Dump'!$D:$D,'SKU Repoprt'!$D22,'Business - Dump'!$A:$A,'SKU Repoprt'!M$1)</f>
        <v>0</v>
      </c>
      <c r="N22" s="3">
        <f>SUMIFS('Business - Dump'!$Q:$Q,'Business - Dump'!$D:$D,'SKU Repoprt'!$D22,'Business - Dump'!$A:$A,'SKU Repoprt'!N$1)</f>
        <v>0</v>
      </c>
      <c r="O22" s="3">
        <f>SUMIFS('Business - Dump'!$Q:$Q,'Business - Dump'!$D:$D,'SKU Repoprt'!$D22,'Business - Dump'!$A:$A,'SKU Repoprt'!O$1)</f>
        <v>0</v>
      </c>
      <c r="P22" s="3">
        <f>SUMIFS('Business - Dump'!$Q:$Q,'Business - Dump'!$D:$D,'SKU Repoprt'!$D22,'Business - Dump'!$A:$A,'SKU Repoprt'!P$1)</f>
        <v>0</v>
      </c>
      <c r="Q22" s="3">
        <f>SUMIFS('Business - Dump'!$Q:$Q,'Business - Dump'!$D:$D,'SKU Repoprt'!$D22,'Business - Dump'!$A:$A,'SKU Repoprt'!Q$1)</f>
        <v>0</v>
      </c>
      <c r="R22" s="3">
        <f>SUMIFS('Business - Dump'!$Q:$Q,'Business - Dump'!$D:$D,'SKU Repoprt'!$D22,'Business - Dump'!$A:$A,'SKU Repoprt'!R$1)</f>
        <v>0</v>
      </c>
      <c r="S22" s="3">
        <f>SUMIFS('Business - Dump'!$Q:$Q,'Business - Dump'!$D:$D,'SKU Repoprt'!$D22,'Business - Dump'!$A:$A,'SKU Repoprt'!S$1)</f>
        <v>0</v>
      </c>
      <c r="T22" s="3">
        <f>SUMIFS('Business - Dump'!$Q:$Q,'Business - Dump'!$D:$D,'SKU Repoprt'!$D22,'Business - Dump'!$A:$A,'SKU Repoprt'!T$1)</f>
        <v>13</v>
      </c>
      <c r="U22" s="3">
        <f>SUMIFS('Business - Dump'!$Q:$Q,'Business - Dump'!$D:$D,'SKU Repoprt'!$D22,'Business - Dump'!$A:$A,'SKU Repoprt'!U$1)</f>
        <v>38</v>
      </c>
      <c r="V22" s="3">
        <f>SUMIFS('Business - Dump'!$Q:$Q,'Business - Dump'!$D:$D,'SKU Repoprt'!$D22,'Business - Dump'!$A:$A,'SKU Repoprt'!V$1)</f>
        <v>31</v>
      </c>
      <c r="W22" s="3">
        <f>SUMIFS('Business - Dump'!$Q:$Q,'Business - Dump'!$D:$D,'SKU Repoprt'!$D22,'Business - Dump'!$A:$A,'SKU Repoprt'!W$1)</f>
        <v>9</v>
      </c>
    </row>
    <row r="23" ht="15.75" customHeight="1">
      <c r="A23" s="10" t="s">
        <v>211</v>
      </c>
      <c r="B23" s="10" t="s">
        <v>211</v>
      </c>
      <c r="C23" s="10"/>
      <c r="D23" s="10" t="s">
        <v>329</v>
      </c>
      <c r="E23" s="10" t="s">
        <v>268</v>
      </c>
      <c r="F23" s="3">
        <f t="shared" si="7"/>
        <v>0</v>
      </c>
      <c r="G23" s="3">
        <f>SUMIFS('Business - Dump'!$W:$W,'Business - Dump'!$D:$D,'SKU Repoprt'!$D23,'Business - Dump'!$A:$A,'SKU Repoprt'!G$1)</f>
        <v>0</v>
      </c>
      <c r="H23" s="3">
        <f>SUMIFS('Business - Dump'!$W:$W,'Business - Dump'!$D:$D,'SKU Repoprt'!$D23,'Business - Dump'!$A:$A,'SKU Repoprt'!H$1)</f>
        <v>0</v>
      </c>
      <c r="I23" s="3">
        <f>SUMIFS('Business - Dump'!$W:$W,'Business - Dump'!$D:$D,'SKU Repoprt'!$D23,'Business - Dump'!$A:$A,'SKU Repoprt'!I$1)</f>
        <v>0</v>
      </c>
      <c r="J23" s="3">
        <f>SUMIFS('Business - Dump'!$W:$W,'Business - Dump'!$D:$D,'SKU Repoprt'!$D23,'Business - Dump'!$A:$A,'SKU Repoprt'!J$1)</f>
        <v>0</v>
      </c>
      <c r="K23" s="3">
        <f>SUMIFS('Business - Dump'!$W:$W,'Business - Dump'!$D:$D,'SKU Repoprt'!$D23,'Business - Dump'!$A:$A,'SKU Repoprt'!K$1)</f>
        <v>0</v>
      </c>
      <c r="L23" s="3">
        <f>SUMIFS('Business - Dump'!$W:$W,'Business - Dump'!$D:$D,'SKU Repoprt'!$D23,'Business - Dump'!$A:$A,'SKU Repoprt'!L$1)</f>
        <v>0</v>
      </c>
      <c r="M23" s="3">
        <f>SUMIFS('Business - Dump'!$W:$W,'Business - Dump'!$D:$D,'SKU Repoprt'!$D23,'Business - Dump'!$A:$A,'SKU Repoprt'!M$1)</f>
        <v>0</v>
      </c>
      <c r="N23" s="3">
        <f>SUMIFS('Business - Dump'!$W:$W,'Business - Dump'!$D:$D,'SKU Repoprt'!$D23,'Business - Dump'!$A:$A,'SKU Repoprt'!N$1)</f>
        <v>0</v>
      </c>
      <c r="O23" s="3">
        <f>SUMIFS('Business - Dump'!$W:$W,'Business - Dump'!$D:$D,'SKU Repoprt'!$D23,'Business - Dump'!$A:$A,'SKU Repoprt'!O$1)</f>
        <v>0</v>
      </c>
      <c r="P23" s="3">
        <f>SUMIFS('Business - Dump'!$W:$W,'Business - Dump'!$D:$D,'SKU Repoprt'!$D23,'Business - Dump'!$A:$A,'SKU Repoprt'!P$1)</f>
        <v>0</v>
      </c>
      <c r="Q23" s="3">
        <f>SUMIFS('Business - Dump'!$W:$W,'Business - Dump'!$D:$D,'SKU Repoprt'!$D23,'Business - Dump'!$A:$A,'SKU Repoprt'!Q$1)</f>
        <v>0</v>
      </c>
      <c r="R23" s="3">
        <f>SUMIFS('Business - Dump'!$W:$W,'Business - Dump'!$D:$D,'SKU Repoprt'!$D23,'Business - Dump'!$A:$A,'SKU Repoprt'!R$1)</f>
        <v>0</v>
      </c>
      <c r="S23" s="3">
        <f>SUMIFS('Business - Dump'!$W:$W,'Business - Dump'!$D:$D,'SKU Repoprt'!$D23,'Business - Dump'!$A:$A,'SKU Repoprt'!S$1)</f>
        <v>0</v>
      </c>
      <c r="T23" s="3">
        <f>SUMIFS('Business - Dump'!$W:$W,'Business - Dump'!$D:$D,'SKU Repoprt'!$D23,'Business - Dump'!$A:$A,'SKU Repoprt'!T$1)</f>
        <v>13</v>
      </c>
      <c r="U23" s="3">
        <f>SUMIFS('Business - Dump'!$W:$W,'Business - Dump'!$D:$D,'SKU Repoprt'!$D23,'Business - Dump'!$A:$A,'SKU Repoprt'!U$1)</f>
        <v>35</v>
      </c>
      <c r="V23" s="3">
        <f>SUMIFS('Business - Dump'!$W:$W,'Business - Dump'!$D:$D,'SKU Repoprt'!$D23,'Business - Dump'!$A:$A,'SKU Repoprt'!V$1)</f>
        <v>29</v>
      </c>
      <c r="W23" s="3">
        <f>SUMIFS('Business - Dump'!$W:$W,'Business - Dump'!$D:$D,'SKU Repoprt'!$D23,'Business - Dump'!$A:$A,'SKU Repoprt'!W$1)</f>
        <v>8</v>
      </c>
    </row>
    <row r="24" ht="15.75" customHeight="1">
      <c r="A24" s="10" t="s">
        <v>211</v>
      </c>
      <c r="B24" s="10" t="s">
        <v>211</v>
      </c>
      <c r="C24" s="10"/>
      <c r="D24" s="10" t="s">
        <v>329</v>
      </c>
      <c r="E24" s="10" t="s">
        <v>26</v>
      </c>
      <c r="F24" s="16">
        <f t="shared" si="7"/>
        <v>0</v>
      </c>
      <c r="G24" s="16">
        <f>SUMIFS('Business - Dump'!$U:$U,'Business - Dump'!$D:$D,'SKU Repoprt'!$D24,'Business - Dump'!$A:$A,'SKU Repoprt'!G$1)</f>
        <v>0</v>
      </c>
      <c r="H24" s="16">
        <f>SUMIFS('Business - Dump'!$U:$U,'Business - Dump'!$D:$D,'SKU Repoprt'!$D24,'Business - Dump'!$A:$A,'SKU Repoprt'!H$1)</f>
        <v>0</v>
      </c>
      <c r="I24" s="16">
        <f>SUMIFS('Business - Dump'!$U:$U,'Business - Dump'!$D:$D,'SKU Repoprt'!$D24,'Business - Dump'!$A:$A,'SKU Repoprt'!I$1)</f>
        <v>0</v>
      </c>
      <c r="J24" s="16">
        <f>SUMIFS('Business - Dump'!$U:$U,'Business - Dump'!$D:$D,'SKU Repoprt'!$D24,'Business - Dump'!$A:$A,'SKU Repoprt'!J$1)</f>
        <v>0</v>
      </c>
      <c r="K24" s="16">
        <f>SUMIFS('Business - Dump'!$U:$U,'Business - Dump'!$D:$D,'SKU Repoprt'!$D24,'Business - Dump'!$A:$A,'SKU Repoprt'!K$1)</f>
        <v>0</v>
      </c>
      <c r="L24" s="16">
        <f>SUMIFS('Business - Dump'!$U:$U,'Business - Dump'!$D:$D,'SKU Repoprt'!$D24,'Business - Dump'!$A:$A,'SKU Repoprt'!L$1)</f>
        <v>0</v>
      </c>
      <c r="M24" s="16">
        <f>SUMIFS('Business - Dump'!$U:$U,'Business - Dump'!$D:$D,'SKU Repoprt'!$D24,'Business - Dump'!$A:$A,'SKU Repoprt'!M$1)</f>
        <v>0</v>
      </c>
      <c r="N24" s="16">
        <f>SUMIFS('Business - Dump'!$U:$U,'Business - Dump'!$D:$D,'SKU Repoprt'!$D24,'Business - Dump'!$A:$A,'SKU Repoprt'!N$1)</f>
        <v>0</v>
      </c>
      <c r="O24" s="16">
        <f>SUMIFS('Business - Dump'!$U:$U,'Business - Dump'!$D:$D,'SKU Repoprt'!$D24,'Business - Dump'!$A:$A,'SKU Repoprt'!O$1)</f>
        <v>0</v>
      </c>
      <c r="P24" s="16">
        <f>SUMIFS('Business - Dump'!$U:$U,'Business - Dump'!$D:$D,'SKU Repoprt'!$D24,'Business - Dump'!$A:$A,'SKU Repoprt'!P$1)</f>
        <v>0</v>
      </c>
      <c r="Q24" s="16">
        <f>SUMIFS('Business - Dump'!$U:$U,'Business - Dump'!$D:$D,'SKU Repoprt'!$D24,'Business - Dump'!$A:$A,'SKU Repoprt'!Q$1)</f>
        <v>0</v>
      </c>
      <c r="R24" s="16">
        <f>SUMIFS('Business - Dump'!$U:$U,'Business - Dump'!$D:$D,'SKU Repoprt'!$D24,'Business - Dump'!$A:$A,'SKU Repoprt'!R$1)</f>
        <v>0</v>
      </c>
      <c r="S24" s="16">
        <f>SUMIFS('Business - Dump'!$U:$U,'Business - Dump'!$D:$D,'SKU Repoprt'!$D24,'Business - Dump'!$A:$A,'SKU Repoprt'!S$1)</f>
        <v>0</v>
      </c>
      <c r="T24" s="16">
        <f>SUMIFS('Business - Dump'!$U:$U,'Business - Dump'!$D:$D,'SKU Repoprt'!$D24,'Business - Dump'!$A:$A,'SKU Repoprt'!T$1)</f>
        <v>18187</v>
      </c>
      <c r="U24" s="16">
        <f>SUMIFS('Business - Dump'!$U:$U,'Business - Dump'!$D:$D,'SKU Repoprt'!$D24,'Business - Dump'!$A:$A,'SKU Repoprt'!U$1)</f>
        <v>52012</v>
      </c>
      <c r="V24" s="16">
        <f>SUMIFS('Business - Dump'!$U:$U,'Business - Dump'!$D:$D,'SKU Repoprt'!$D24,'Business - Dump'!$A:$A,'SKU Repoprt'!V$1)</f>
        <v>41943</v>
      </c>
      <c r="W24" s="16">
        <f>SUMIFS('Business - Dump'!$U:$U,'Business - Dump'!$D:$D,'SKU Repoprt'!$D24,'Business - Dump'!$A:$A,'SKU Repoprt'!W$1)</f>
        <v>12249</v>
      </c>
    </row>
    <row r="25" ht="15.75" customHeight="1">
      <c r="A25" s="10" t="s">
        <v>211</v>
      </c>
      <c r="B25" s="10" t="s">
        <v>211</v>
      </c>
      <c r="C25" s="10"/>
      <c r="D25" s="10" t="s">
        <v>329</v>
      </c>
      <c r="E25" s="10" t="s">
        <v>29</v>
      </c>
      <c r="F25" s="17">
        <v>0.027042857142857143</v>
      </c>
      <c r="G25" s="17">
        <f t="shared" ref="G25:W25" si="8">IFERROR(G23/G20,0)</f>
        <v>0</v>
      </c>
      <c r="H25" s="17">
        <f t="shared" si="8"/>
        <v>0</v>
      </c>
      <c r="I25" s="17">
        <f t="shared" si="8"/>
        <v>0</v>
      </c>
      <c r="J25" s="17">
        <f t="shared" si="8"/>
        <v>0</v>
      </c>
      <c r="K25" s="17">
        <f t="shared" si="8"/>
        <v>0</v>
      </c>
      <c r="L25" s="17">
        <f t="shared" si="8"/>
        <v>0</v>
      </c>
      <c r="M25" s="17">
        <f t="shared" si="8"/>
        <v>0</v>
      </c>
      <c r="N25" s="17">
        <f t="shared" si="8"/>
        <v>0</v>
      </c>
      <c r="O25" s="17">
        <f t="shared" si="8"/>
        <v>0</v>
      </c>
      <c r="P25" s="17">
        <f t="shared" si="8"/>
        <v>0</v>
      </c>
      <c r="Q25" s="17">
        <f t="shared" si="8"/>
        <v>0</v>
      </c>
      <c r="R25" s="17">
        <f t="shared" si="8"/>
        <v>0</v>
      </c>
      <c r="S25" s="17">
        <f t="shared" si="8"/>
        <v>0</v>
      </c>
      <c r="T25" s="17">
        <f t="shared" si="8"/>
        <v>0.0127576055</v>
      </c>
      <c r="U25" s="17">
        <f t="shared" si="8"/>
        <v>0.01463210702</v>
      </c>
      <c r="V25" s="17">
        <f t="shared" si="8"/>
        <v>0.01245169601</v>
      </c>
      <c r="W25" s="17">
        <f t="shared" si="8"/>
        <v>0.01349072513</v>
      </c>
    </row>
    <row r="26" ht="15.75" customHeight="1">
      <c r="A26" s="10" t="s">
        <v>217</v>
      </c>
      <c r="B26" s="10" t="s">
        <v>217</v>
      </c>
      <c r="C26" s="10"/>
      <c r="D26" s="10" t="s">
        <v>331</v>
      </c>
      <c r="E26" s="10" t="s">
        <v>257</v>
      </c>
      <c r="F26" s="3">
        <f t="shared" ref="F26:F30" si="9">SUM(G26:S26)</f>
        <v>566</v>
      </c>
      <c r="G26" s="3">
        <f>SUMIFS('Business - Dump'!$G:$G,'Business - Dump'!$D:$D,'SKU Repoprt'!$D26,'Business - Dump'!$A:$A,'SKU Repoprt'!G$1)</f>
        <v>0</v>
      </c>
      <c r="H26" s="3">
        <f>SUMIFS('Business - Dump'!$G:$G,'Business - Dump'!$D:$D,'SKU Repoprt'!$D26,'Business - Dump'!$A:$A,'SKU Repoprt'!H$1)</f>
        <v>0</v>
      </c>
      <c r="I26" s="3">
        <f>SUMIFS('Business - Dump'!$G:$G,'Business - Dump'!$D:$D,'SKU Repoprt'!$D26,'Business - Dump'!$A:$A,'SKU Repoprt'!I$1)</f>
        <v>177</v>
      </c>
      <c r="J26" s="3">
        <f>SUMIFS('Business - Dump'!$G:$G,'Business - Dump'!$D:$D,'SKU Repoprt'!$D26,'Business - Dump'!$A:$A,'SKU Repoprt'!J$1)</f>
        <v>207</v>
      </c>
      <c r="K26" s="3">
        <f>SUMIFS('Business - Dump'!$G:$G,'Business - Dump'!$D:$D,'SKU Repoprt'!$D26,'Business - Dump'!$A:$A,'SKU Repoprt'!K$1)</f>
        <v>182</v>
      </c>
      <c r="L26" s="3">
        <f>SUMIFS('Business - Dump'!$G:$G,'Business - Dump'!$D:$D,'SKU Repoprt'!$D26,'Business - Dump'!$A:$A,'SKU Repoprt'!L$1)</f>
        <v>0</v>
      </c>
      <c r="M26" s="3">
        <f>SUMIFS('Business - Dump'!$G:$G,'Business - Dump'!$D:$D,'SKU Repoprt'!$D26,'Business - Dump'!$A:$A,'SKU Repoprt'!M$1)</f>
        <v>0</v>
      </c>
      <c r="N26" s="3">
        <f>SUMIFS('Business - Dump'!$G:$G,'Business - Dump'!$D:$D,'SKU Repoprt'!$D26,'Business - Dump'!$A:$A,'SKU Repoprt'!N$1)</f>
        <v>0</v>
      </c>
      <c r="O26" s="3">
        <f>SUMIFS('Business - Dump'!$G:$G,'Business - Dump'!$D:$D,'SKU Repoprt'!$D26,'Business - Dump'!$A:$A,'SKU Repoprt'!O$1)</f>
        <v>0</v>
      </c>
      <c r="P26" s="3">
        <f>SUMIFS('Business - Dump'!$G:$G,'Business - Dump'!$D:$D,'SKU Repoprt'!$D26,'Business - Dump'!$A:$A,'SKU Repoprt'!P$1)</f>
        <v>0</v>
      </c>
      <c r="Q26" s="3">
        <f>SUMIFS('Business - Dump'!$G:$G,'Business - Dump'!$D:$D,'SKU Repoprt'!$D26,'Business - Dump'!$A:$A,'SKU Repoprt'!Q$1)</f>
        <v>0</v>
      </c>
      <c r="R26" s="3">
        <f>SUMIFS('Business - Dump'!$G:$G,'Business - Dump'!$D:$D,'SKU Repoprt'!$D26,'Business - Dump'!$A:$A,'SKU Repoprt'!R$1)</f>
        <v>0</v>
      </c>
      <c r="S26" s="3">
        <f>SUMIFS('Business - Dump'!$G:$G,'Business - Dump'!$D:$D,'SKU Repoprt'!$D26,'Business - Dump'!$A:$A,'SKU Repoprt'!S$1)</f>
        <v>0</v>
      </c>
      <c r="T26" s="3">
        <f>SUMIFS('Business - Dump'!$G:$G,'Business - Dump'!$D:$D,'SKU Repoprt'!$D26,'Business - Dump'!$A:$A,'SKU Repoprt'!T$1)</f>
        <v>0</v>
      </c>
      <c r="U26" s="3">
        <f>SUMIFS('Business - Dump'!$G:$G,'Business - Dump'!$D:$D,'SKU Repoprt'!$D26,'Business - Dump'!$A:$A,'SKU Repoprt'!U$1)</f>
        <v>0</v>
      </c>
      <c r="V26" s="3">
        <f>SUMIFS('Business - Dump'!$G:$G,'Business - Dump'!$D:$D,'SKU Repoprt'!$D26,'Business - Dump'!$A:$A,'SKU Repoprt'!V$1)</f>
        <v>0</v>
      </c>
      <c r="W26" s="3">
        <f>SUMIFS('Business - Dump'!$G:$G,'Business - Dump'!$D:$D,'SKU Repoprt'!$D26,'Business - Dump'!$A:$A,'SKU Repoprt'!W$1)</f>
        <v>0</v>
      </c>
    </row>
    <row r="27" ht="15.75" customHeight="1">
      <c r="A27" s="10" t="s">
        <v>217</v>
      </c>
      <c r="B27" s="10" t="s">
        <v>217</v>
      </c>
      <c r="C27" s="10"/>
      <c r="D27" s="10" t="s">
        <v>331</v>
      </c>
      <c r="E27" s="10" t="s">
        <v>260</v>
      </c>
      <c r="F27" s="3">
        <f t="shared" si="9"/>
        <v>785</v>
      </c>
      <c r="G27" s="3">
        <f>SUMIFS('Business - Dump'!$K:$K,'Business - Dump'!$D:$D,'SKU Repoprt'!$D27,'Business - Dump'!$A:$A,'SKU Repoprt'!G$1)</f>
        <v>0</v>
      </c>
      <c r="H27" s="3">
        <f>SUMIFS('Business - Dump'!$K:$K,'Business - Dump'!$D:$D,'SKU Repoprt'!$D27,'Business - Dump'!$A:$A,'SKU Repoprt'!H$1)</f>
        <v>0</v>
      </c>
      <c r="I27" s="3">
        <f>SUMIFS('Business - Dump'!$K:$K,'Business - Dump'!$D:$D,'SKU Repoprt'!$D27,'Business - Dump'!$A:$A,'SKU Repoprt'!I$1)</f>
        <v>249</v>
      </c>
      <c r="J27" s="3">
        <f>SUMIFS('Business - Dump'!$K:$K,'Business - Dump'!$D:$D,'SKU Repoprt'!$D27,'Business - Dump'!$A:$A,'SKU Repoprt'!J$1)</f>
        <v>287</v>
      </c>
      <c r="K27" s="3">
        <f>SUMIFS('Business - Dump'!$K:$K,'Business - Dump'!$D:$D,'SKU Repoprt'!$D27,'Business - Dump'!$A:$A,'SKU Repoprt'!K$1)</f>
        <v>249</v>
      </c>
      <c r="L27" s="3">
        <f>SUMIFS('Business - Dump'!$K:$K,'Business - Dump'!$D:$D,'SKU Repoprt'!$D27,'Business - Dump'!$A:$A,'SKU Repoprt'!L$1)</f>
        <v>0</v>
      </c>
      <c r="M27" s="3">
        <f>SUMIFS('Business - Dump'!$K:$K,'Business - Dump'!$D:$D,'SKU Repoprt'!$D27,'Business - Dump'!$A:$A,'SKU Repoprt'!M$1)</f>
        <v>0</v>
      </c>
      <c r="N27" s="3">
        <f>SUMIFS('Business - Dump'!$K:$K,'Business - Dump'!$D:$D,'SKU Repoprt'!$D27,'Business - Dump'!$A:$A,'SKU Repoprt'!N$1)</f>
        <v>0</v>
      </c>
      <c r="O27" s="3">
        <f>SUMIFS('Business - Dump'!$K:$K,'Business - Dump'!$D:$D,'SKU Repoprt'!$D27,'Business - Dump'!$A:$A,'SKU Repoprt'!O$1)</f>
        <v>0</v>
      </c>
      <c r="P27" s="3">
        <f>SUMIFS('Business - Dump'!$K:$K,'Business - Dump'!$D:$D,'SKU Repoprt'!$D27,'Business - Dump'!$A:$A,'SKU Repoprt'!P$1)</f>
        <v>0</v>
      </c>
      <c r="Q27" s="3">
        <f>SUMIFS('Business - Dump'!$K:$K,'Business - Dump'!$D:$D,'SKU Repoprt'!$D27,'Business - Dump'!$A:$A,'SKU Repoprt'!Q$1)</f>
        <v>0</v>
      </c>
      <c r="R27" s="3">
        <f>SUMIFS('Business - Dump'!$K:$K,'Business - Dump'!$D:$D,'SKU Repoprt'!$D27,'Business - Dump'!$A:$A,'SKU Repoprt'!R$1)</f>
        <v>0</v>
      </c>
      <c r="S27" s="3">
        <f>SUMIFS('Business - Dump'!$K:$K,'Business - Dump'!$D:$D,'SKU Repoprt'!$D27,'Business - Dump'!$A:$A,'SKU Repoprt'!S$1)</f>
        <v>0</v>
      </c>
      <c r="T27" s="3">
        <f>SUMIFS('Business - Dump'!$K:$K,'Business - Dump'!$D:$D,'SKU Repoprt'!$D27,'Business - Dump'!$A:$A,'SKU Repoprt'!T$1)</f>
        <v>0</v>
      </c>
      <c r="U27" s="3">
        <f>SUMIFS('Business - Dump'!$K:$K,'Business - Dump'!$D:$D,'SKU Repoprt'!$D27,'Business - Dump'!$A:$A,'SKU Repoprt'!U$1)</f>
        <v>0</v>
      </c>
      <c r="V27" s="3">
        <f>SUMIFS('Business - Dump'!$K:$K,'Business - Dump'!$D:$D,'SKU Repoprt'!$D27,'Business - Dump'!$A:$A,'SKU Repoprt'!V$1)</f>
        <v>0</v>
      </c>
      <c r="W27" s="3">
        <f>SUMIFS('Business - Dump'!$K:$K,'Business - Dump'!$D:$D,'SKU Repoprt'!$D27,'Business - Dump'!$A:$A,'SKU Repoprt'!W$1)</f>
        <v>0</v>
      </c>
    </row>
    <row r="28" ht="15.75" customHeight="1">
      <c r="A28" s="10" t="s">
        <v>217</v>
      </c>
      <c r="B28" s="10" t="s">
        <v>217</v>
      </c>
      <c r="C28" s="10"/>
      <c r="D28" s="10" t="s">
        <v>331</v>
      </c>
      <c r="E28" s="10" t="s">
        <v>264</v>
      </c>
      <c r="F28" s="3">
        <f t="shared" si="9"/>
        <v>7</v>
      </c>
      <c r="G28" s="3">
        <f>SUMIFS('Business - Dump'!$Q:$Q,'Business - Dump'!$D:$D,'SKU Repoprt'!$D28,'Business - Dump'!$A:$A,'SKU Repoprt'!G$1)</f>
        <v>0</v>
      </c>
      <c r="H28" s="3">
        <f>SUMIFS('Business - Dump'!$Q:$Q,'Business - Dump'!$D:$D,'SKU Repoprt'!$D28,'Business - Dump'!$A:$A,'SKU Repoprt'!H$1)</f>
        <v>0</v>
      </c>
      <c r="I28" s="3">
        <f>SUMIFS('Business - Dump'!$Q:$Q,'Business - Dump'!$D:$D,'SKU Repoprt'!$D28,'Business - Dump'!$A:$A,'SKU Repoprt'!I$1)</f>
        <v>1</v>
      </c>
      <c r="J28" s="3">
        <f>SUMIFS('Business - Dump'!$Q:$Q,'Business - Dump'!$D:$D,'SKU Repoprt'!$D28,'Business - Dump'!$A:$A,'SKU Repoprt'!J$1)</f>
        <v>1</v>
      </c>
      <c r="K28" s="3">
        <f>SUMIFS('Business - Dump'!$Q:$Q,'Business - Dump'!$D:$D,'SKU Repoprt'!$D28,'Business - Dump'!$A:$A,'SKU Repoprt'!K$1)</f>
        <v>5</v>
      </c>
      <c r="L28" s="3">
        <f>SUMIFS('Business - Dump'!$Q:$Q,'Business - Dump'!$D:$D,'SKU Repoprt'!$D28,'Business - Dump'!$A:$A,'SKU Repoprt'!L$1)</f>
        <v>0</v>
      </c>
      <c r="M28" s="3">
        <f>SUMIFS('Business - Dump'!$Q:$Q,'Business - Dump'!$D:$D,'SKU Repoprt'!$D28,'Business - Dump'!$A:$A,'SKU Repoprt'!M$1)</f>
        <v>0</v>
      </c>
      <c r="N28" s="3">
        <f>SUMIFS('Business - Dump'!$Q:$Q,'Business - Dump'!$D:$D,'SKU Repoprt'!$D28,'Business - Dump'!$A:$A,'SKU Repoprt'!N$1)</f>
        <v>0</v>
      </c>
      <c r="O28" s="3">
        <f>SUMIFS('Business - Dump'!$Q:$Q,'Business - Dump'!$D:$D,'SKU Repoprt'!$D28,'Business - Dump'!$A:$A,'SKU Repoprt'!O$1)</f>
        <v>0</v>
      </c>
      <c r="P28" s="3">
        <f>SUMIFS('Business - Dump'!$Q:$Q,'Business - Dump'!$D:$D,'SKU Repoprt'!$D28,'Business - Dump'!$A:$A,'SKU Repoprt'!P$1)</f>
        <v>0</v>
      </c>
      <c r="Q28" s="3">
        <f>SUMIFS('Business - Dump'!$Q:$Q,'Business - Dump'!$D:$D,'SKU Repoprt'!$D28,'Business - Dump'!$A:$A,'SKU Repoprt'!Q$1)</f>
        <v>0</v>
      </c>
      <c r="R28" s="3">
        <f>SUMIFS('Business - Dump'!$Q:$Q,'Business - Dump'!$D:$D,'SKU Repoprt'!$D28,'Business - Dump'!$A:$A,'SKU Repoprt'!R$1)</f>
        <v>0</v>
      </c>
      <c r="S28" s="3">
        <f>SUMIFS('Business - Dump'!$Q:$Q,'Business - Dump'!$D:$D,'SKU Repoprt'!$D28,'Business - Dump'!$A:$A,'SKU Repoprt'!S$1)</f>
        <v>0</v>
      </c>
      <c r="T28" s="3">
        <f>SUMIFS('Business - Dump'!$Q:$Q,'Business - Dump'!$D:$D,'SKU Repoprt'!$D28,'Business - Dump'!$A:$A,'SKU Repoprt'!T$1)</f>
        <v>0</v>
      </c>
      <c r="U28" s="3">
        <f>SUMIFS('Business - Dump'!$Q:$Q,'Business - Dump'!$D:$D,'SKU Repoprt'!$D28,'Business - Dump'!$A:$A,'SKU Repoprt'!U$1)</f>
        <v>0</v>
      </c>
      <c r="V28" s="3">
        <f>SUMIFS('Business - Dump'!$Q:$Q,'Business - Dump'!$D:$D,'SKU Repoprt'!$D28,'Business - Dump'!$A:$A,'SKU Repoprt'!V$1)</f>
        <v>0</v>
      </c>
      <c r="W28" s="3">
        <f>SUMIFS('Business - Dump'!$Q:$Q,'Business - Dump'!$D:$D,'SKU Repoprt'!$D28,'Business - Dump'!$A:$A,'SKU Repoprt'!W$1)</f>
        <v>0</v>
      </c>
    </row>
    <row r="29" ht="15.75" customHeight="1">
      <c r="A29" s="10" t="s">
        <v>217</v>
      </c>
      <c r="B29" s="10" t="s">
        <v>217</v>
      </c>
      <c r="C29" s="10"/>
      <c r="D29" s="10" t="s">
        <v>331</v>
      </c>
      <c r="E29" s="10" t="s">
        <v>268</v>
      </c>
      <c r="F29" s="3">
        <f t="shared" si="9"/>
        <v>4</v>
      </c>
      <c r="G29" s="3">
        <f>SUMIFS('Business - Dump'!$W:$W,'Business - Dump'!$D:$D,'SKU Repoprt'!$D29,'Business - Dump'!$A:$A,'SKU Repoprt'!G$1)</f>
        <v>0</v>
      </c>
      <c r="H29" s="3">
        <f>SUMIFS('Business - Dump'!$W:$W,'Business - Dump'!$D:$D,'SKU Repoprt'!$D29,'Business - Dump'!$A:$A,'SKU Repoprt'!H$1)</f>
        <v>0</v>
      </c>
      <c r="I29" s="3">
        <f>SUMIFS('Business - Dump'!$W:$W,'Business - Dump'!$D:$D,'SKU Repoprt'!$D29,'Business - Dump'!$A:$A,'SKU Repoprt'!I$1)</f>
        <v>1</v>
      </c>
      <c r="J29" s="3">
        <f>SUMIFS('Business - Dump'!$W:$W,'Business - Dump'!$D:$D,'SKU Repoprt'!$D29,'Business - Dump'!$A:$A,'SKU Repoprt'!J$1)</f>
        <v>1</v>
      </c>
      <c r="K29" s="3">
        <f>SUMIFS('Business - Dump'!$W:$W,'Business - Dump'!$D:$D,'SKU Repoprt'!$D29,'Business - Dump'!$A:$A,'SKU Repoprt'!K$1)</f>
        <v>2</v>
      </c>
      <c r="L29" s="3">
        <f>SUMIFS('Business - Dump'!$W:$W,'Business - Dump'!$D:$D,'SKU Repoprt'!$D29,'Business - Dump'!$A:$A,'SKU Repoprt'!L$1)</f>
        <v>0</v>
      </c>
      <c r="M29" s="3">
        <f>SUMIFS('Business - Dump'!$W:$W,'Business - Dump'!$D:$D,'SKU Repoprt'!$D29,'Business - Dump'!$A:$A,'SKU Repoprt'!M$1)</f>
        <v>0</v>
      </c>
      <c r="N29" s="3">
        <f>SUMIFS('Business - Dump'!$W:$W,'Business - Dump'!$D:$D,'SKU Repoprt'!$D29,'Business - Dump'!$A:$A,'SKU Repoprt'!N$1)</f>
        <v>0</v>
      </c>
      <c r="O29" s="3">
        <f>SUMIFS('Business - Dump'!$W:$W,'Business - Dump'!$D:$D,'SKU Repoprt'!$D29,'Business - Dump'!$A:$A,'SKU Repoprt'!O$1)</f>
        <v>0</v>
      </c>
      <c r="P29" s="3">
        <f>SUMIFS('Business - Dump'!$W:$W,'Business - Dump'!$D:$D,'SKU Repoprt'!$D29,'Business - Dump'!$A:$A,'SKU Repoprt'!P$1)</f>
        <v>0</v>
      </c>
      <c r="Q29" s="3">
        <f>SUMIFS('Business - Dump'!$W:$W,'Business - Dump'!$D:$D,'SKU Repoprt'!$D29,'Business - Dump'!$A:$A,'SKU Repoprt'!Q$1)</f>
        <v>0</v>
      </c>
      <c r="R29" s="3">
        <f>SUMIFS('Business - Dump'!$W:$W,'Business - Dump'!$D:$D,'SKU Repoprt'!$D29,'Business - Dump'!$A:$A,'SKU Repoprt'!R$1)</f>
        <v>0</v>
      </c>
      <c r="S29" s="3">
        <f>SUMIFS('Business - Dump'!$W:$W,'Business - Dump'!$D:$D,'SKU Repoprt'!$D29,'Business - Dump'!$A:$A,'SKU Repoprt'!S$1)</f>
        <v>0</v>
      </c>
      <c r="T29" s="3">
        <f>SUMIFS('Business - Dump'!$W:$W,'Business - Dump'!$D:$D,'SKU Repoprt'!$D29,'Business - Dump'!$A:$A,'SKU Repoprt'!T$1)</f>
        <v>0</v>
      </c>
      <c r="U29" s="3">
        <f>SUMIFS('Business - Dump'!$W:$W,'Business - Dump'!$D:$D,'SKU Repoprt'!$D29,'Business - Dump'!$A:$A,'SKU Repoprt'!U$1)</f>
        <v>0</v>
      </c>
      <c r="V29" s="3">
        <f>SUMIFS('Business - Dump'!$W:$W,'Business - Dump'!$D:$D,'SKU Repoprt'!$D29,'Business - Dump'!$A:$A,'SKU Repoprt'!V$1)</f>
        <v>0</v>
      </c>
      <c r="W29" s="3">
        <f>SUMIFS('Business - Dump'!$W:$W,'Business - Dump'!$D:$D,'SKU Repoprt'!$D29,'Business - Dump'!$A:$A,'SKU Repoprt'!W$1)</f>
        <v>0</v>
      </c>
    </row>
    <row r="30" ht="15.75" customHeight="1">
      <c r="A30" s="10" t="s">
        <v>217</v>
      </c>
      <c r="B30" s="10" t="s">
        <v>217</v>
      </c>
      <c r="C30" s="10"/>
      <c r="D30" s="10" t="s">
        <v>331</v>
      </c>
      <c r="E30" s="10" t="s">
        <v>26</v>
      </c>
      <c r="F30" s="16">
        <f t="shared" si="9"/>
        <v>29516.8</v>
      </c>
      <c r="G30" s="16">
        <f>SUMIFS('Business - Dump'!$U:$U,'Business - Dump'!$D:$D,'SKU Repoprt'!$D30,'Business - Dump'!$A:$A,'SKU Repoprt'!G$1)</f>
        <v>0</v>
      </c>
      <c r="H30" s="16">
        <f>SUMIFS('Business - Dump'!$U:$U,'Business - Dump'!$D:$D,'SKU Repoprt'!$D30,'Business - Dump'!$A:$A,'SKU Repoprt'!H$1)</f>
        <v>0</v>
      </c>
      <c r="I30" s="16">
        <f>SUMIFS('Business - Dump'!$U:$U,'Business - Dump'!$D:$D,'SKU Repoprt'!$D30,'Business - Dump'!$A:$A,'SKU Repoprt'!I$1)</f>
        <v>4306</v>
      </c>
      <c r="J30" s="16">
        <f>SUMIFS('Business - Dump'!$U:$U,'Business - Dump'!$D:$D,'SKU Repoprt'!$D30,'Business - Dump'!$A:$A,'SKU Repoprt'!J$1)</f>
        <v>4306</v>
      </c>
      <c r="K30" s="16">
        <f>SUMIFS('Business - Dump'!$U:$U,'Business - Dump'!$D:$D,'SKU Repoprt'!$D30,'Business - Dump'!$A:$A,'SKU Repoprt'!K$1)</f>
        <v>20904.8</v>
      </c>
      <c r="L30" s="16">
        <f>SUMIFS('Business - Dump'!$U:$U,'Business - Dump'!$D:$D,'SKU Repoprt'!$D30,'Business - Dump'!$A:$A,'SKU Repoprt'!L$1)</f>
        <v>0</v>
      </c>
      <c r="M30" s="16">
        <f>SUMIFS('Business - Dump'!$U:$U,'Business - Dump'!$D:$D,'SKU Repoprt'!$D30,'Business - Dump'!$A:$A,'SKU Repoprt'!M$1)</f>
        <v>0</v>
      </c>
      <c r="N30" s="16">
        <f>SUMIFS('Business - Dump'!$U:$U,'Business - Dump'!$D:$D,'SKU Repoprt'!$D30,'Business - Dump'!$A:$A,'SKU Repoprt'!N$1)</f>
        <v>0</v>
      </c>
      <c r="O30" s="16">
        <f>SUMIFS('Business - Dump'!$U:$U,'Business - Dump'!$D:$D,'SKU Repoprt'!$D30,'Business - Dump'!$A:$A,'SKU Repoprt'!O$1)</f>
        <v>0</v>
      </c>
      <c r="P30" s="16">
        <f>SUMIFS('Business - Dump'!$U:$U,'Business - Dump'!$D:$D,'SKU Repoprt'!$D30,'Business - Dump'!$A:$A,'SKU Repoprt'!P$1)</f>
        <v>0</v>
      </c>
      <c r="Q30" s="16">
        <f>SUMIFS('Business - Dump'!$U:$U,'Business - Dump'!$D:$D,'SKU Repoprt'!$D30,'Business - Dump'!$A:$A,'SKU Repoprt'!Q$1)</f>
        <v>0</v>
      </c>
      <c r="R30" s="16">
        <f>SUMIFS('Business - Dump'!$U:$U,'Business - Dump'!$D:$D,'SKU Repoprt'!$D30,'Business - Dump'!$A:$A,'SKU Repoprt'!R$1)</f>
        <v>0</v>
      </c>
      <c r="S30" s="16">
        <f>SUMIFS('Business - Dump'!$U:$U,'Business - Dump'!$D:$D,'SKU Repoprt'!$D30,'Business - Dump'!$A:$A,'SKU Repoprt'!S$1)</f>
        <v>0</v>
      </c>
      <c r="T30" s="16">
        <f>SUMIFS('Business - Dump'!$U:$U,'Business - Dump'!$D:$D,'SKU Repoprt'!$D30,'Business - Dump'!$A:$A,'SKU Repoprt'!T$1)</f>
        <v>0</v>
      </c>
      <c r="U30" s="16">
        <f>SUMIFS('Business - Dump'!$U:$U,'Business - Dump'!$D:$D,'SKU Repoprt'!$D30,'Business - Dump'!$A:$A,'SKU Repoprt'!U$1)</f>
        <v>0</v>
      </c>
      <c r="V30" s="16">
        <f>SUMIFS('Business - Dump'!$U:$U,'Business - Dump'!$D:$D,'SKU Repoprt'!$D30,'Business - Dump'!$A:$A,'SKU Repoprt'!V$1)</f>
        <v>0</v>
      </c>
      <c r="W30" s="16">
        <f>SUMIFS('Business - Dump'!$U:$U,'Business - Dump'!$D:$D,'SKU Repoprt'!$D30,'Business - Dump'!$A:$A,'SKU Repoprt'!W$1)</f>
        <v>0</v>
      </c>
    </row>
    <row r="31" ht="15.75" customHeight="1">
      <c r="A31" s="10" t="s">
        <v>217</v>
      </c>
      <c r="B31" s="10" t="s">
        <v>217</v>
      </c>
      <c r="C31" s="10"/>
      <c r="D31" s="10" t="s">
        <v>331</v>
      </c>
      <c r="E31" s="10" t="s">
        <v>29</v>
      </c>
      <c r="F31" s="17">
        <v>0.027042857142857143</v>
      </c>
      <c r="G31" s="17">
        <f t="shared" ref="G31:W31" si="10">IFERROR(G29/G26,0)</f>
        <v>0</v>
      </c>
      <c r="H31" s="17">
        <f t="shared" si="10"/>
        <v>0</v>
      </c>
      <c r="I31" s="17">
        <f t="shared" si="10"/>
        <v>0.005649717514</v>
      </c>
      <c r="J31" s="17">
        <f t="shared" si="10"/>
        <v>0.004830917874</v>
      </c>
      <c r="K31" s="17">
        <f t="shared" si="10"/>
        <v>0.01098901099</v>
      </c>
      <c r="L31" s="17">
        <f t="shared" si="10"/>
        <v>0</v>
      </c>
      <c r="M31" s="17">
        <f t="shared" si="10"/>
        <v>0</v>
      </c>
      <c r="N31" s="17">
        <f t="shared" si="10"/>
        <v>0</v>
      </c>
      <c r="O31" s="17">
        <f t="shared" si="10"/>
        <v>0</v>
      </c>
      <c r="P31" s="17">
        <f t="shared" si="10"/>
        <v>0</v>
      </c>
      <c r="Q31" s="17">
        <f t="shared" si="10"/>
        <v>0</v>
      </c>
      <c r="R31" s="17">
        <f t="shared" si="10"/>
        <v>0</v>
      </c>
      <c r="S31" s="17">
        <f t="shared" si="10"/>
        <v>0</v>
      </c>
      <c r="T31" s="17">
        <f t="shared" si="10"/>
        <v>0</v>
      </c>
      <c r="U31" s="17">
        <f t="shared" si="10"/>
        <v>0</v>
      </c>
      <c r="V31" s="17">
        <f t="shared" si="10"/>
        <v>0</v>
      </c>
      <c r="W31" s="17">
        <f t="shared" si="10"/>
        <v>0</v>
      </c>
    </row>
    <row r="32" ht="15.75" customHeight="1">
      <c r="A32" s="10" t="s">
        <v>217</v>
      </c>
      <c r="B32" s="10" t="s">
        <v>217</v>
      </c>
      <c r="C32" s="10"/>
      <c r="D32" s="10" t="s">
        <v>333</v>
      </c>
      <c r="E32" s="10" t="s">
        <v>257</v>
      </c>
      <c r="F32" s="3">
        <f t="shared" ref="F32:F36" si="11">SUM(G32:S32)</f>
        <v>212</v>
      </c>
      <c r="G32" s="3">
        <f>SUMIFS('Business - Dump'!$G:$G,'Business - Dump'!$D:$D,'SKU Repoprt'!$D32,'Business - Dump'!$A:$A,'SKU Repoprt'!G$1)</f>
        <v>0</v>
      </c>
      <c r="H32" s="3">
        <f>SUMIFS('Business - Dump'!$G:$G,'Business - Dump'!$D:$D,'SKU Repoprt'!$D32,'Business - Dump'!$A:$A,'SKU Repoprt'!H$1)</f>
        <v>0</v>
      </c>
      <c r="I32" s="3">
        <f>SUMIFS('Business - Dump'!$G:$G,'Business - Dump'!$D:$D,'SKU Repoprt'!$D32,'Business - Dump'!$A:$A,'SKU Repoprt'!I$1)</f>
        <v>55</v>
      </c>
      <c r="J32" s="3">
        <f>SUMIFS('Business - Dump'!$G:$G,'Business - Dump'!$D:$D,'SKU Repoprt'!$D32,'Business - Dump'!$A:$A,'SKU Repoprt'!J$1)</f>
        <v>0</v>
      </c>
      <c r="K32" s="3">
        <f>SUMIFS('Business - Dump'!$G:$G,'Business - Dump'!$D:$D,'SKU Repoprt'!$D32,'Business - Dump'!$A:$A,'SKU Repoprt'!K$1)</f>
        <v>157</v>
      </c>
      <c r="L32" s="3">
        <f>SUMIFS('Business - Dump'!$G:$G,'Business - Dump'!$D:$D,'SKU Repoprt'!$D32,'Business - Dump'!$A:$A,'SKU Repoprt'!L$1)</f>
        <v>0</v>
      </c>
      <c r="M32" s="3">
        <f>SUMIFS('Business - Dump'!$G:$G,'Business - Dump'!$D:$D,'SKU Repoprt'!$D32,'Business - Dump'!$A:$A,'SKU Repoprt'!M$1)</f>
        <v>0</v>
      </c>
      <c r="N32" s="3">
        <f>SUMIFS('Business - Dump'!$G:$G,'Business - Dump'!$D:$D,'SKU Repoprt'!$D32,'Business - Dump'!$A:$A,'SKU Repoprt'!N$1)</f>
        <v>0</v>
      </c>
      <c r="O32" s="3">
        <f>SUMIFS('Business - Dump'!$G:$G,'Business - Dump'!$D:$D,'SKU Repoprt'!$D32,'Business - Dump'!$A:$A,'SKU Repoprt'!O$1)</f>
        <v>0</v>
      </c>
      <c r="P32" s="3">
        <f>SUMIFS('Business - Dump'!$G:$G,'Business - Dump'!$D:$D,'SKU Repoprt'!$D32,'Business - Dump'!$A:$A,'SKU Repoprt'!P$1)</f>
        <v>0</v>
      </c>
      <c r="Q32" s="3">
        <f>SUMIFS('Business - Dump'!$G:$G,'Business - Dump'!$D:$D,'SKU Repoprt'!$D32,'Business - Dump'!$A:$A,'SKU Repoprt'!Q$1)</f>
        <v>0</v>
      </c>
      <c r="R32" s="3">
        <f>SUMIFS('Business - Dump'!$G:$G,'Business - Dump'!$D:$D,'SKU Repoprt'!$D32,'Business - Dump'!$A:$A,'SKU Repoprt'!R$1)</f>
        <v>0</v>
      </c>
      <c r="S32" s="3">
        <f>SUMIFS('Business - Dump'!$G:$G,'Business - Dump'!$D:$D,'SKU Repoprt'!$D32,'Business - Dump'!$A:$A,'SKU Repoprt'!S$1)</f>
        <v>0</v>
      </c>
      <c r="T32" s="3">
        <f>SUMIFS('Business - Dump'!$G:$G,'Business - Dump'!$D:$D,'SKU Repoprt'!$D32,'Business - Dump'!$A:$A,'SKU Repoprt'!T$1)</f>
        <v>0</v>
      </c>
      <c r="U32" s="3">
        <f>SUMIFS('Business - Dump'!$G:$G,'Business - Dump'!$D:$D,'SKU Repoprt'!$D32,'Business - Dump'!$A:$A,'SKU Repoprt'!U$1)</f>
        <v>0</v>
      </c>
      <c r="V32" s="3">
        <f>SUMIFS('Business - Dump'!$G:$G,'Business - Dump'!$D:$D,'SKU Repoprt'!$D32,'Business - Dump'!$A:$A,'SKU Repoprt'!V$1)</f>
        <v>0</v>
      </c>
      <c r="W32" s="3">
        <f>SUMIFS('Business - Dump'!$G:$G,'Business - Dump'!$D:$D,'SKU Repoprt'!$D32,'Business - Dump'!$A:$A,'SKU Repoprt'!W$1)</f>
        <v>0</v>
      </c>
    </row>
    <row r="33" ht="15.75" customHeight="1">
      <c r="A33" s="10" t="s">
        <v>217</v>
      </c>
      <c r="B33" s="10" t="s">
        <v>217</v>
      </c>
      <c r="C33" s="10"/>
      <c r="D33" s="10" t="s">
        <v>333</v>
      </c>
      <c r="E33" s="10" t="s">
        <v>260</v>
      </c>
      <c r="F33" s="3">
        <f t="shared" si="11"/>
        <v>289</v>
      </c>
      <c r="G33" s="3">
        <f>SUMIFS('Business - Dump'!$K:$K,'Business - Dump'!$D:$D,'SKU Repoprt'!$D33,'Business - Dump'!$A:$A,'SKU Repoprt'!G$1)</f>
        <v>0</v>
      </c>
      <c r="H33" s="3">
        <f>SUMIFS('Business - Dump'!$K:$K,'Business - Dump'!$D:$D,'SKU Repoprt'!$D33,'Business - Dump'!$A:$A,'SKU Repoprt'!H$1)</f>
        <v>0</v>
      </c>
      <c r="I33" s="3">
        <f>SUMIFS('Business - Dump'!$K:$K,'Business - Dump'!$D:$D,'SKU Repoprt'!$D33,'Business - Dump'!$A:$A,'SKU Repoprt'!I$1)</f>
        <v>72</v>
      </c>
      <c r="J33" s="3">
        <f>SUMIFS('Business - Dump'!$K:$K,'Business - Dump'!$D:$D,'SKU Repoprt'!$D33,'Business - Dump'!$A:$A,'SKU Repoprt'!J$1)</f>
        <v>0</v>
      </c>
      <c r="K33" s="3">
        <f>SUMIFS('Business - Dump'!$K:$K,'Business - Dump'!$D:$D,'SKU Repoprt'!$D33,'Business - Dump'!$A:$A,'SKU Repoprt'!K$1)</f>
        <v>217</v>
      </c>
      <c r="L33" s="3">
        <f>SUMIFS('Business - Dump'!$K:$K,'Business - Dump'!$D:$D,'SKU Repoprt'!$D33,'Business - Dump'!$A:$A,'SKU Repoprt'!L$1)</f>
        <v>0</v>
      </c>
      <c r="M33" s="3">
        <f>SUMIFS('Business - Dump'!$K:$K,'Business - Dump'!$D:$D,'SKU Repoprt'!$D33,'Business - Dump'!$A:$A,'SKU Repoprt'!M$1)</f>
        <v>0</v>
      </c>
      <c r="N33" s="3">
        <f>SUMIFS('Business - Dump'!$K:$K,'Business - Dump'!$D:$D,'SKU Repoprt'!$D33,'Business - Dump'!$A:$A,'SKU Repoprt'!N$1)</f>
        <v>0</v>
      </c>
      <c r="O33" s="3">
        <f>SUMIFS('Business - Dump'!$K:$K,'Business - Dump'!$D:$D,'SKU Repoprt'!$D33,'Business - Dump'!$A:$A,'SKU Repoprt'!O$1)</f>
        <v>0</v>
      </c>
      <c r="P33" s="3">
        <f>SUMIFS('Business - Dump'!$K:$K,'Business - Dump'!$D:$D,'SKU Repoprt'!$D33,'Business - Dump'!$A:$A,'SKU Repoprt'!P$1)</f>
        <v>0</v>
      </c>
      <c r="Q33" s="3">
        <f>SUMIFS('Business - Dump'!$K:$K,'Business - Dump'!$D:$D,'SKU Repoprt'!$D33,'Business - Dump'!$A:$A,'SKU Repoprt'!Q$1)</f>
        <v>0</v>
      </c>
      <c r="R33" s="3">
        <f>SUMIFS('Business - Dump'!$K:$K,'Business - Dump'!$D:$D,'SKU Repoprt'!$D33,'Business - Dump'!$A:$A,'SKU Repoprt'!R$1)</f>
        <v>0</v>
      </c>
      <c r="S33" s="3">
        <f>SUMIFS('Business - Dump'!$K:$K,'Business - Dump'!$D:$D,'SKU Repoprt'!$D33,'Business - Dump'!$A:$A,'SKU Repoprt'!S$1)</f>
        <v>0</v>
      </c>
      <c r="T33" s="3">
        <f>SUMIFS('Business - Dump'!$K:$K,'Business - Dump'!$D:$D,'SKU Repoprt'!$D33,'Business - Dump'!$A:$A,'SKU Repoprt'!T$1)</f>
        <v>0</v>
      </c>
      <c r="U33" s="3">
        <f>SUMIFS('Business - Dump'!$K:$K,'Business - Dump'!$D:$D,'SKU Repoprt'!$D33,'Business - Dump'!$A:$A,'SKU Repoprt'!U$1)</f>
        <v>0</v>
      </c>
      <c r="V33" s="3">
        <f>SUMIFS('Business - Dump'!$K:$K,'Business - Dump'!$D:$D,'SKU Repoprt'!$D33,'Business - Dump'!$A:$A,'SKU Repoprt'!V$1)</f>
        <v>0</v>
      </c>
      <c r="W33" s="3">
        <f>SUMIFS('Business - Dump'!$K:$K,'Business - Dump'!$D:$D,'SKU Repoprt'!$D33,'Business - Dump'!$A:$A,'SKU Repoprt'!W$1)</f>
        <v>0</v>
      </c>
    </row>
    <row r="34" ht="15.75" customHeight="1">
      <c r="A34" s="10" t="s">
        <v>217</v>
      </c>
      <c r="B34" s="10" t="s">
        <v>217</v>
      </c>
      <c r="C34" s="10"/>
      <c r="D34" s="10" t="s">
        <v>333</v>
      </c>
      <c r="E34" s="10" t="s">
        <v>264</v>
      </c>
      <c r="F34" s="3">
        <f t="shared" si="11"/>
        <v>4</v>
      </c>
      <c r="G34" s="3">
        <f>SUMIFS('Business - Dump'!$Q:$Q,'Business - Dump'!$D:$D,'SKU Repoprt'!$D34,'Business - Dump'!$A:$A,'SKU Repoprt'!G$1)</f>
        <v>0</v>
      </c>
      <c r="H34" s="3">
        <f>SUMIFS('Business - Dump'!$Q:$Q,'Business - Dump'!$D:$D,'SKU Repoprt'!$D34,'Business - Dump'!$A:$A,'SKU Repoprt'!H$1)</f>
        <v>0</v>
      </c>
      <c r="I34" s="3">
        <f>SUMIFS('Business - Dump'!$Q:$Q,'Business - Dump'!$D:$D,'SKU Repoprt'!$D34,'Business - Dump'!$A:$A,'SKU Repoprt'!I$1)</f>
        <v>1</v>
      </c>
      <c r="J34" s="3">
        <f>SUMIFS('Business - Dump'!$Q:$Q,'Business - Dump'!$D:$D,'SKU Repoprt'!$D34,'Business - Dump'!$A:$A,'SKU Repoprt'!J$1)</f>
        <v>0</v>
      </c>
      <c r="K34" s="3">
        <f>SUMIFS('Business - Dump'!$Q:$Q,'Business - Dump'!$D:$D,'SKU Repoprt'!$D34,'Business - Dump'!$A:$A,'SKU Repoprt'!K$1)</f>
        <v>3</v>
      </c>
      <c r="L34" s="3">
        <f>SUMIFS('Business - Dump'!$Q:$Q,'Business - Dump'!$D:$D,'SKU Repoprt'!$D34,'Business - Dump'!$A:$A,'SKU Repoprt'!L$1)</f>
        <v>0</v>
      </c>
      <c r="M34" s="3">
        <f>SUMIFS('Business - Dump'!$Q:$Q,'Business - Dump'!$D:$D,'SKU Repoprt'!$D34,'Business - Dump'!$A:$A,'SKU Repoprt'!M$1)</f>
        <v>0</v>
      </c>
      <c r="N34" s="3">
        <f>SUMIFS('Business - Dump'!$Q:$Q,'Business - Dump'!$D:$D,'SKU Repoprt'!$D34,'Business - Dump'!$A:$A,'SKU Repoprt'!N$1)</f>
        <v>0</v>
      </c>
      <c r="O34" s="3">
        <f>SUMIFS('Business - Dump'!$Q:$Q,'Business - Dump'!$D:$D,'SKU Repoprt'!$D34,'Business - Dump'!$A:$A,'SKU Repoprt'!O$1)</f>
        <v>0</v>
      </c>
      <c r="P34" s="3">
        <f>SUMIFS('Business - Dump'!$Q:$Q,'Business - Dump'!$D:$D,'SKU Repoprt'!$D34,'Business - Dump'!$A:$A,'SKU Repoprt'!P$1)</f>
        <v>0</v>
      </c>
      <c r="Q34" s="3">
        <f>SUMIFS('Business - Dump'!$Q:$Q,'Business - Dump'!$D:$D,'SKU Repoprt'!$D34,'Business - Dump'!$A:$A,'SKU Repoprt'!Q$1)</f>
        <v>0</v>
      </c>
      <c r="R34" s="3">
        <f>SUMIFS('Business - Dump'!$Q:$Q,'Business - Dump'!$D:$D,'SKU Repoprt'!$D34,'Business - Dump'!$A:$A,'SKU Repoprt'!R$1)</f>
        <v>0</v>
      </c>
      <c r="S34" s="3">
        <f>SUMIFS('Business - Dump'!$Q:$Q,'Business - Dump'!$D:$D,'SKU Repoprt'!$D34,'Business - Dump'!$A:$A,'SKU Repoprt'!S$1)</f>
        <v>0</v>
      </c>
      <c r="T34" s="3">
        <f>SUMIFS('Business - Dump'!$Q:$Q,'Business - Dump'!$D:$D,'SKU Repoprt'!$D34,'Business - Dump'!$A:$A,'SKU Repoprt'!T$1)</f>
        <v>0</v>
      </c>
      <c r="U34" s="3">
        <f>SUMIFS('Business - Dump'!$Q:$Q,'Business - Dump'!$D:$D,'SKU Repoprt'!$D34,'Business - Dump'!$A:$A,'SKU Repoprt'!U$1)</f>
        <v>0</v>
      </c>
      <c r="V34" s="3">
        <f>SUMIFS('Business - Dump'!$Q:$Q,'Business - Dump'!$D:$D,'SKU Repoprt'!$D34,'Business - Dump'!$A:$A,'SKU Repoprt'!V$1)</f>
        <v>0</v>
      </c>
      <c r="W34" s="3">
        <f>SUMIFS('Business - Dump'!$Q:$Q,'Business - Dump'!$D:$D,'SKU Repoprt'!$D34,'Business - Dump'!$A:$A,'SKU Repoprt'!W$1)</f>
        <v>0</v>
      </c>
    </row>
    <row r="35" ht="15.75" customHeight="1">
      <c r="A35" s="10" t="s">
        <v>217</v>
      </c>
      <c r="B35" s="10" t="s">
        <v>217</v>
      </c>
      <c r="C35" s="10"/>
      <c r="D35" s="10" t="s">
        <v>333</v>
      </c>
      <c r="E35" s="10" t="s">
        <v>268</v>
      </c>
      <c r="F35" s="3">
        <f t="shared" si="11"/>
        <v>4</v>
      </c>
      <c r="G35" s="3">
        <f>SUMIFS('Business - Dump'!$W:$W,'Business - Dump'!$D:$D,'SKU Repoprt'!$D35,'Business - Dump'!$A:$A,'SKU Repoprt'!G$1)</f>
        <v>0</v>
      </c>
      <c r="H35" s="3">
        <f>SUMIFS('Business - Dump'!$W:$W,'Business - Dump'!$D:$D,'SKU Repoprt'!$D35,'Business - Dump'!$A:$A,'SKU Repoprt'!H$1)</f>
        <v>0</v>
      </c>
      <c r="I35" s="3">
        <f>SUMIFS('Business - Dump'!$W:$W,'Business - Dump'!$D:$D,'SKU Repoprt'!$D35,'Business - Dump'!$A:$A,'SKU Repoprt'!I$1)</f>
        <v>1</v>
      </c>
      <c r="J35" s="3">
        <f>SUMIFS('Business - Dump'!$W:$W,'Business - Dump'!$D:$D,'SKU Repoprt'!$D35,'Business - Dump'!$A:$A,'SKU Repoprt'!J$1)</f>
        <v>0</v>
      </c>
      <c r="K35" s="3">
        <f>SUMIFS('Business - Dump'!$W:$W,'Business - Dump'!$D:$D,'SKU Repoprt'!$D35,'Business - Dump'!$A:$A,'SKU Repoprt'!K$1)</f>
        <v>3</v>
      </c>
      <c r="L35" s="3">
        <f>SUMIFS('Business - Dump'!$W:$W,'Business - Dump'!$D:$D,'SKU Repoprt'!$D35,'Business - Dump'!$A:$A,'SKU Repoprt'!L$1)</f>
        <v>0</v>
      </c>
      <c r="M35" s="3">
        <f>SUMIFS('Business - Dump'!$W:$W,'Business - Dump'!$D:$D,'SKU Repoprt'!$D35,'Business - Dump'!$A:$A,'SKU Repoprt'!M$1)</f>
        <v>0</v>
      </c>
      <c r="N35" s="3">
        <f>SUMIFS('Business - Dump'!$W:$W,'Business - Dump'!$D:$D,'SKU Repoprt'!$D35,'Business - Dump'!$A:$A,'SKU Repoprt'!N$1)</f>
        <v>0</v>
      </c>
      <c r="O35" s="3">
        <f>SUMIFS('Business - Dump'!$W:$W,'Business - Dump'!$D:$D,'SKU Repoprt'!$D35,'Business - Dump'!$A:$A,'SKU Repoprt'!O$1)</f>
        <v>0</v>
      </c>
      <c r="P35" s="3">
        <f>SUMIFS('Business - Dump'!$W:$W,'Business - Dump'!$D:$D,'SKU Repoprt'!$D35,'Business - Dump'!$A:$A,'SKU Repoprt'!P$1)</f>
        <v>0</v>
      </c>
      <c r="Q35" s="3">
        <f>SUMIFS('Business - Dump'!$W:$W,'Business - Dump'!$D:$D,'SKU Repoprt'!$D35,'Business - Dump'!$A:$A,'SKU Repoprt'!Q$1)</f>
        <v>0</v>
      </c>
      <c r="R35" s="3">
        <f>SUMIFS('Business - Dump'!$W:$W,'Business - Dump'!$D:$D,'SKU Repoprt'!$D35,'Business - Dump'!$A:$A,'SKU Repoprt'!R$1)</f>
        <v>0</v>
      </c>
      <c r="S35" s="3">
        <f>SUMIFS('Business - Dump'!$W:$W,'Business - Dump'!$D:$D,'SKU Repoprt'!$D35,'Business - Dump'!$A:$A,'SKU Repoprt'!S$1)</f>
        <v>0</v>
      </c>
      <c r="T35" s="3">
        <f>SUMIFS('Business - Dump'!$W:$W,'Business - Dump'!$D:$D,'SKU Repoprt'!$D35,'Business - Dump'!$A:$A,'SKU Repoprt'!T$1)</f>
        <v>0</v>
      </c>
      <c r="U35" s="3">
        <f>SUMIFS('Business - Dump'!$W:$W,'Business - Dump'!$D:$D,'SKU Repoprt'!$D35,'Business - Dump'!$A:$A,'SKU Repoprt'!U$1)</f>
        <v>0</v>
      </c>
      <c r="V35" s="3">
        <f>SUMIFS('Business - Dump'!$W:$W,'Business - Dump'!$D:$D,'SKU Repoprt'!$D35,'Business - Dump'!$A:$A,'SKU Repoprt'!V$1)</f>
        <v>0</v>
      </c>
      <c r="W35" s="3">
        <f>SUMIFS('Business - Dump'!$W:$W,'Business - Dump'!$D:$D,'SKU Repoprt'!$D35,'Business - Dump'!$A:$A,'SKU Repoprt'!W$1)</f>
        <v>0</v>
      </c>
    </row>
    <row r="36" ht="15.75" customHeight="1">
      <c r="A36" s="10" t="s">
        <v>217</v>
      </c>
      <c r="B36" s="10" t="s">
        <v>217</v>
      </c>
      <c r="C36" s="10"/>
      <c r="D36" s="10" t="s">
        <v>333</v>
      </c>
      <c r="E36" s="10" t="s">
        <v>26</v>
      </c>
      <c r="F36" s="16">
        <f t="shared" si="11"/>
        <v>14508</v>
      </c>
      <c r="G36" s="16">
        <f>SUMIFS('Business - Dump'!$U:$U,'Business - Dump'!$D:$D,'SKU Repoprt'!$D36,'Business - Dump'!$A:$A,'SKU Repoprt'!G$1)</f>
        <v>0</v>
      </c>
      <c r="H36" s="16">
        <f>SUMIFS('Business - Dump'!$U:$U,'Business - Dump'!$D:$D,'SKU Repoprt'!$D36,'Business - Dump'!$A:$A,'SKU Repoprt'!H$1)</f>
        <v>0</v>
      </c>
      <c r="I36" s="16">
        <f>SUMIFS('Business - Dump'!$U:$U,'Business - Dump'!$D:$D,'SKU Repoprt'!$D36,'Business - Dump'!$A:$A,'SKU Repoprt'!I$1)</f>
        <v>3627</v>
      </c>
      <c r="J36" s="16">
        <f>SUMIFS('Business - Dump'!$U:$U,'Business - Dump'!$D:$D,'SKU Repoprt'!$D36,'Business - Dump'!$A:$A,'SKU Repoprt'!J$1)</f>
        <v>0</v>
      </c>
      <c r="K36" s="16">
        <f>SUMIFS('Business - Dump'!$U:$U,'Business - Dump'!$D:$D,'SKU Repoprt'!$D36,'Business - Dump'!$A:$A,'SKU Repoprt'!K$1)</f>
        <v>10881</v>
      </c>
      <c r="L36" s="16">
        <f>SUMIFS('Business - Dump'!$U:$U,'Business - Dump'!$D:$D,'SKU Repoprt'!$D36,'Business - Dump'!$A:$A,'SKU Repoprt'!L$1)</f>
        <v>0</v>
      </c>
      <c r="M36" s="16">
        <f>SUMIFS('Business - Dump'!$U:$U,'Business - Dump'!$D:$D,'SKU Repoprt'!$D36,'Business - Dump'!$A:$A,'SKU Repoprt'!M$1)</f>
        <v>0</v>
      </c>
      <c r="N36" s="16">
        <f>SUMIFS('Business - Dump'!$U:$U,'Business - Dump'!$D:$D,'SKU Repoprt'!$D36,'Business - Dump'!$A:$A,'SKU Repoprt'!N$1)</f>
        <v>0</v>
      </c>
      <c r="O36" s="16">
        <f>SUMIFS('Business - Dump'!$U:$U,'Business - Dump'!$D:$D,'SKU Repoprt'!$D36,'Business - Dump'!$A:$A,'SKU Repoprt'!O$1)</f>
        <v>0</v>
      </c>
      <c r="P36" s="16">
        <f>SUMIFS('Business - Dump'!$U:$U,'Business - Dump'!$D:$D,'SKU Repoprt'!$D36,'Business - Dump'!$A:$A,'SKU Repoprt'!P$1)</f>
        <v>0</v>
      </c>
      <c r="Q36" s="16">
        <f>SUMIFS('Business - Dump'!$U:$U,'Business - Dump'!$D:$D,'SKU Repoprt'!$D36,'Business - Dump'!$A:$A,'SKU Repoprt'!Q$1)</f>
        <v>0</v>
      </c>
      <c r="R36" s="16">
        <f>SUMIFS('Business - Dump'!$U:$U,'Business - Dump'!$D:$D,'SKU Repoprt'!$D36,'Business - Dump'!$A:$A,'SKU Repoprt'!R$1)</f>
        <v>0</v>
      </c>
      <c r="S36" s="16">
        <f>SUMIFS('Business - Dump'!$U:$U,'Business - Dump'!$D:$D,'SKU Repoprt'!$D36,'Business - Dump'!$A:$A,'SKU Repoprt'!S$1)</f>
        <v>0</v>
      </c>
      <c r="T36" s="16">
        <f>SUMIFS('Business - Dump'!$U:$U,'Business - Dump'!$D:$D,'SKU Repoprt'!$D36,'Business - Dump'!$A:$A,'SKU Repoprt'!T$1)</f>
        <v>0</v>
      </c>
      <c r="U36" s="16">
        <f>SUMIFS('Business - Dump'!$U:$U,'Business - Dump'!$D:$D,'SKU Repoprt'!$D36,'Business - Dump'!$A:$A,'SKU Repoprt'!U$1)</f>
        <v>0</v>
      </c>
      <c r="V36" s="16">
        <f>SUMIFS('Business - Dump'!$U:$U,'Business - Dump'!$D:$D,'SKU Repoprt'!$D36,'Business - Dump'!$A:$A,'SKU Repoprt'!V$1)</f>
        <v>0</v>
      </c>
      <c r="W36" s="16">
        <f>SUMIFS('Business - Dump'!$U:$U,'Business - Dump'!$D:$D,'SKU Repoprt'!$D36,'Business - Dump'!$A:$A,'SKU Repoprt'!W$1)</f>
        <v>0</v>
      </c>
    </row>
    <row r="37" ht="15.75" customHeight="1">
      <c r="A37" s="10" t="s">
        <v>217</v>
      </c>
      <c r="B37" s="10" t="s">
        <v>217</v>
      </c>
      <c r="C37" s="10"/>
      <c r="D37" s="10" t="s">
        <v>333</v>
      </c>
      <c r="E37" s="10" t="s">
        <v>29</v>
      </c>
      <c r="F37" s="17">
        <v>0.027042857142857143</v>
      </c>
      <c r="G37" s="17">
        <f t="shared" ref="G37:W37" si="12">IFERROR(G35/G32,0)</f>
        <v>0</v>
      </c>
      <c r="H37" s="17">
        <f t="shared" si="12"/>
        <v>0</v>
      </c>
      <c r="I37" s="17">
        <f t="shared" si="12"/>
        <v>0.01818181818</v>
      </c>
      <c r="J37" s="17">
        <f t="shared" si="12"/>
        <v>0</v>
      </c>
      <c r="K37" s="17">
        <f t="shared" si="12"/>
        <v>0.01910828025</v>
      </c>
      <c r="L37" s="17">
        <f t="shared" si="12"/>
        <v>0</v>
      </c>
      <c r="M37" s="17">
        <f t="shared" si="12"/>
        <v>0</v>
      </c>
      <c r="N37" s="17">
        <f t="shared" si="12"/>
        <v>0</v>
      </c>
      <c r="O37" s="17">
        <f t="shared" si="12"/>
        <v>0</v>
      </c>
      <c r="P37" s="17">
        <f t="shared" si="12"/>
        <v>0</v>
      </c>
      <c r="Q37" s="17">
        <f t="shared" si="12"/>
        <v>0</v>
      </c>
      <c r="R37" s="17">
        <f t="shared" si="12"/>
        <v>0</v>
      </c>
      <c r="S37" s="17">
        <f t="shared" si="12"/>
        <v>0</v>
      </c>
      <c r="T37" s="17">
        <f t="shared" si="12"/>
        <v>0</v>
      </c>
      <c r="U37" s="17">
        <f t="shared" si="12"/>
        <v>0</v>
      </c>
      <c r="V37" s="17">
        <f t="shared" si="12"/>
        <v>0</v>
      </c>
      <c r="W37" s="17">
        <f t="shared" si="12"/>
        <v>0</v>
      </c>
    </row>
    <row r="38" ht="15.75" customHeight="1">
      <c r="A38" s="10" t="s">
        <v>217</v>
      </c>
      <c r="B38" s="10" t="s">
        <v>217</v>
      </c>
      <c r="C38" s="10"/>
      <c r="D38" s="10" t="s">
        <v>307</v>
      </c>
      <c r="E38" s="10" t="s">
        <v>257</v>
      </c>
      <c r="F38" s="3">
        <f t="shared" ref="F38:F42" si="13">SUM(G38:S38)</f>
        <v>9460</v>
      </c>
      <c r="G38" s="3">
        <f>SUMIFS('Business - Dump'!$G:$G,'Business - Dump'!$D:$D,'SKU Repoprt'!$D38,'Business - Dump'!$A:$A,'SKU Repoprt'!G$1)</f>
        <v>146</v>
      </c>
      <c r="H38" s="3">
        <f>SUMIFS('Business - Dump'!$G:$G,'Business - Dump'!$D:$D,'SKU Repoprt'!$D38,'Business - Dump'!$A:$A,'SKU Repoprt'!H$1)</f>
        <v>173</v>
      </c>
      <c r="I38" s="3">
        <f>SUMIFS('Business - Dump'!$G:$G,'Business - Dump'!$D:$D,'SKU Repoprt'!$D38,'Business - Dump'!$A:$A,'SKU Repoprt'!I$1)</f>
        <v>206</v>
      </c>
      <c r="J38" s="3">
        <f>SUMIFS('Business - Dump'!$G:$G,'Business - Dump'!$D:$D,'SKU Repoprt'!$D38,'Business - Dump'!$A:$A,'SKU Repoprt'!J$1)</f>
        <v>275</v>
      </c>
      <c r="K38" s="3">
        <f>SUMIFS('Business - Dump'!$G:$G,'Business - Dump'!$D:$D,'SKU Repoprt'!$D38,'Business - Dump'!$A:$A,'SKU Repoprt'!K$1)</f>
        <v>48</v>
      </c>
      <c r="L38" s="3">
        <f>SUMIFS('Business - Dump'!$G:$G,'Business - Dump'!$D:$D,'SKU Repoprt'!$D38,'Business - Dump'!$A:$A,'SKU Repoprt'!L$1)</f>
        <v>70</v>
      </c>
      <c r="M38" s="3">
        <f>SUMIFS('Business - Dump'!$G:$G,'Business - Dump'!$D:$D,'SKU Repoprt'!$D38,'Business - Dump'!$A:$A,'SKU Repoprt'!M$1)</f>
        <v>112</v>
      </c>
      <c r="N38" s="3">
        <f>SUMIFS('Business - Dump'!$G:$G,'Business - Dump'!$D:$D,'SKU Repoprt'!$D38,'Business - Dump'!$A:$A,'SKU Repoprt'!N$1)</f>
        <v>0</v>
      </c>
      <c r="O38" s="3">
        <f>SUMIFS('Business - Dump'!$G:$G,'Business - Dump'!$D:$D,'SKU Repoprt'!$D38,'Business - Dump'!$A:$A,'SKU Repoprt'!O$1)</f>
        <v>15</v>
      </c>
      <c r="P38" s="3">
        <f>SUMIFS('Business - Dump'!$G:$G,'Business - Dump'!$D:$D,'SKU Repoprt'!$D38,'Business - Dump'!$A:$A,'SKU Repoprt'!P$1)</f>
        <v>965</v>
      </c>
      <c r="Q38" s="3">
        <f>SUMIFS('Business - Dump'!$G:$G,'Business - Dump'!$D:$D,'SKU Repoprt'!$D38,'Business - Dump'!$A:$A,'SKU Repoprt'!Q$1)</f>
        <v>2473</v>
      </c>
      <c r="R38" s="3">
        <f>SUMIFS('Business - Dump'!$G:$G,'Business - Dump'!$D:$D,'SKU Repoprt'!$D38,'Business - Dump'!$A:$A,'SKU Repoprt'!R$1)</f>
        <v>2516</v>
      </c>
      <c r="S38" s="3">
        <f>SUMIFS('Business - Dump'!$G:$G,'Business - Dump'!$D:$D,'SKU Repoprt'!$D38,'Business - Dump'!$A:$A,'SKU Repoprt'!S$1)</f>
        <v>2461</v>
      </c>
      <c r="T38" s="3">
        <f>SUMIFS('Business - Dump'!$G:$G,'Business - Dump'!$D:$D,'SKU Repoprt'!$D38,'Business - Dump'!$A:$A,'SKU Repoprt'!T$1)</f>
        <v>1960</v>
      </c>
      <c r="U38" s="3">
        <f>SUMIFS('Business - Dump'!$G:$G,'Business - Dump'!$D:$D,'SKU Repoprt'!$D38,'Business - Dump'!$A:$A,'SKU Repoprt'!U$1)</f>
        <v>1628</v>
      </c>
      <c r="V38" s="3">
        <f>SUMIFS('Business - Dump'!$G:$G,'Business - Dump'!$D:$D,'SKU Repoprt'!$D38,'Business - Dump'!$A:$A,'SKU Repoprt'!V$1)</f>
        <v>1525</v>
      </c>
      <c r="W38" s="3">
        <f>SUMIFS('Business - Dump'!$G:$G,'Business - Dump'!$D:$D,'SKU Repoprt'!$D38,'Business - Dump'!$A:$A,'SKU Repoprt'!W$1)</f>
        <v>1902</v>
      </c>
    </row>
    <row r="39" ht="15.75" customHeight="1">
      <c r="A39" s="10" t="s">
        <v>217</v>
      </c>
      <c r="B39" s="10" t="s">
        <v>217</v>
      </c>
      <c r="C39" s="10"/>
      <c r="D39" s="10" t="s">
        <v>307</v>
      </c>
      <c r="E39" s="10" t="s">
        <v>260</v>
      </c>
      <c r="F39" s="3">
        <f t="shared" si="13"/>
        <v>12496</v>
      </c>
      <c r="G39" s="3">
        <f>SUMIFS('Business - Dump'!$K:$K,'Business - Dump'!$D:$D,'SKU Repoprt'!$D39,'Business - Dump'!$A:$A,'SKU Repoprt'!G$1)</f>
        <v>199</v>
      </c>
      <c r="H39" s="3">
        <f>SUMIFS('Business - Dump'!$K:$K,'Business - Dump'!$D:$D,'SKU Repoprt'!$D39,'Business - Dump'!$A:$A,'SKU Repoprt'!H$1)</f>
        <v>244</v>
      </c>
      <c r="I39" s="3">
        <f>SUMIFS('Business - Dump'!$K:$K,'Business - Dump'!$D:$D,'SKU Repoprt'!$D39,'Business - Dump'!$A:$A,'SKU Repoprt'!I$1)</f>
        <v>283</v>
      </c>
      <c r="J39" s="3">
        <f>SUMIFS('Business - Dump'!$K:$K,'Business - Dump'!$D:$D,'SKU Repoprt'!$D39,'Business - Dump'!$A:$A,'SKU Repoprt'!J$1)</f>
        <v>424</v>
      </c>
      <c r="K39" s="3">
        <f>SUMIFS('Business - Dump'!$K:$K,'Business - Dump'!$D:$D,'SKU Repoprt'!$D39,'Business - Dump'!$A:$A,'SKU Repoprt'!K$1)</f>
        <v>53</v>
      </c>
      <c r="L39" s="3">
        <f>SUMIFS('Business - Dump'!$K:$K,'Business - Dump'!$D:$D,'SKU Repoprt'!$D39,'Business - Dump'!$A:$A,'SKU Repoprt'!L$1)</f>
        <v>104</v>
      </c>
      <c r="M39" s="3">
        <f>SUMIFS('Business - Dump'!$K:$K,'Business - Dump'!$D:$D,'SKU Repoprt'!$D39,'Business - Dump'!$A:$A,'SKU Repoprt'!M$1)</f>
        <v>166</v>
      </c>
      <c r="N39" s="3">
        <f>SUMIFS('Business - Dump'!$K:$K,'Business - Dump'!$D:$D,'SKU Repoprt'!$D39,'Business - Dump'!$A:$A,'SKU Repoprt'!N$1)</f>
        <v>0</v>
      </c>
      <c r="O39" s="3">
        <f>SUMIFS('Business - Dump'!$K:$K,'Business - Dump'!$D:$D,'SKU Repoprt'!$D39,'Business - Dump'!$A:$A,'SKU Repoprt'!O$1)</f>
        <v>19</v>
      </c>
      <c r="P39" s="3">
        <f>SUMIFS('Business - Dump'!$K:$K,'Business - Dump'!$D:$D,'SKU Repoprt'!$D39,'Business - Dump'!$A:$A,'SKU Repoprt'!P$1)</f>
        <v>1216</v>
      </c>
      <c r="Q39" s="3">
        <f>SUMIFS('Business - Dump'!$K:$K,'Business - Dump'!$D:$D,'SKU Repoprt'!$D39,'Business - Dump'!$A:$A,'SKU Repoprt'!Q$1)</f>
        <v>3253</v>
      </c>
      <c r="R39" s="3">
        <f>SUMIFS('Business - Dump'!$K:$K,'Business - Dump'!$D:$D,'SKU Repoprt'!$D39,'Business - Dump'!$A:$A,'SKU Repoprt'!R$1)</f>
        <v>3329</v>
      </c>
      <c r="S39" s="3">
        <f>SUMIFS('Business - Dump'!$K:$K,'Business - Dump'!$D:$D,'SKU Repoprt'!$D39,'Business - Dump'!$A:$A,'SKU Repoprt'!S$1)</f>
        <v>3206</v>
      </c>
      <c r="T39" s="3">
        <f>SUMIFS('Business - Dump'!$K:$K,'Business - Dump'!$D:$D,'SKU Repoprt'!$D39,'Business - Dump'!$A:$A,'SKU Repoprt'!T$1)</f>
        <v>2531</v>
      </c>
      <c r="U39" s="3">
        <f>SUMIFS('Business - Dump'!$K:$K,'Business - Dump'!$D:$D,'SKU Repoprt'!$D39,'Business - Dump'!$A:$A,'SKU Repoprt'!U$1)</f>
        <v>2129</v>
      </c>
      <c r="V39" s="3">
        <f>SUMIFS('Business - Dump'!$K:$K,'Business - Dump'!$D:$D,'SKU Repoprt'!$D39,'Business - Dump'!$A:$A,'SKU Repoprt'!V$1)</f>
        <v>1939</v>
      </c>
      <c r="W39" s="3">
        <f>SUMIFS('Business - Dump'!$K:$K,'Business - Dump'!$D:$D,'SKU Repoprt'!$D39,'Business - Dump'!$A:$A,'SKU Repoprt'!W$1)</f>
        <v>2496</v>
      </c>
    </row>
    <row r="40" ht="15.75" customHeight="1">
      <c r="A40" s="10" t="s">
        <v>217</v>
      </c>
      <c r="B40" s="10" t="s">
        <v>217</v>
      </c>
      <c r="C40" s="10"/>
      <c r="D40" s="10" t="s">
        <v>307</v>
      </c>
      <c r="E40" s="10" t="s">
        <v>264</v>
      </c>
      <c r="F40" s="3">
        <f t="shared" si="13"/>
        <v>113</v>
      </c>
      <c r="G40" s="3">
        <f>SUMIFS('Business - Dump'!$Q:$Q,'Business - Dump'!$D:$D,'SKU Repoprt'!$D40,'Business - Dump'!$A:$A,'SKU Repoprt'!G$1)</f>
        <v>5</v>
      </c>
      <c r="H40" s="3">
        <f>SUMIFS('Business - Dump'!$Q:$Q,'Business - Dump'!$D:$D,'SKU Repoprt'!$D40,'Business - Dump'!$A:$A,'SKU Repoprt'!H$1)</f>
        <v>5</v>
      </c>
      <c r="I40" s="3">
        <f>SUMIFS('Business - Dump'!$Q:$Q,'Business - Dump'!$D:$D,'SKU Repoprt'!$D40,'Business - Dump'!$A:$A,'SKU Repoprt'!I$1)</f>
        <v>2</v>
      </c>
      <c r="J40" s="3">
        <f>SUMIFS('Business - Dump'!$Q:$Q,'Business - Dump'!$D:$D,'SKU Repoprt'!$D40,'Business - Dump'!$A:$A,'SKU Repoprt'!J$1)</f>
        <v>11</v>
      </c>
      <c r="K40" s="3">
        <f>SUMIFS('Business - Dump'!$Q:$Q,'Business - Dump'!$D:$D,'SKU Repoprt'!$D40,'Business - Dump'!$A:$A,'SKU Repoprt'!K$1)</f>
        <v>1</v>
      </c>
      <c r="L40" s="3">
        <f>SUMIFS('Business - Dump'!$Q:$Q,'Business - Dump'!$D:$D,'SKU Repoprt'!$D40,'Business - Dump'!$A:$A,'SKU Repoprt'!L$1)</f>
        <v>4</v>
      </c>
      <c r="M40" s="3">
        <f>SUMIFS('Business - Dump'!$Q:$Q,'Business - Dump'!$D:$D,'SKU Repoprt'!$D40,'Business - Dump'!$A:$A,'SKU Repoprt'!M$1)</f>
        <v>5</v>
      </c>
      <c r="N40" s="3">
        <f>SUMIFS('Business - Dump'!$Q:$Q,'Business - Dump'!$D:$D,'SKU Repoprt'!$D40,'Business - Dump'!$A:$A,'SKU Repoprt'!N$1)</f>
        <v>0</v>
      </c>
      <c r="O40" s="3">
        <f>SUMIFS('Business - Dump'!$Q:$Q,'Business - Dump'!$D:$D,'SKU Repoprt'!$D40,'Business - Dump'!$A:$A,'SKU Repoprt'!O$1)</f>
        <v>0</v>
      </c>
      <c r="P40" s="3">
        <f>SUMIFS('Business - Dump'!$Q:$Q,'Business - Dump'!$D:$D,'SKU Repoprt'!$D40,'Business - Dump'!$A:$A,'SKU Repoprt'!P$1)</f>
        <v>13</v>
      </c>
      <c r="Q40" s="3">
        <f>SUMIFS('Business - Dump'!$Q:$Q,'Business - Dump'!$D:$D,'SKU Repoprt'!$D40,'Business - Dump'!$A:$A,'SKU Repoprt'!Q$1)</f>
        <v>22</v>
      </c>
      <c r="R40" s="3">
        <f>SUMIFS('Business - Dump'!$Q:$Q,'Business - Dump'!$D:$D,'SKU Repoprt'!$D40,'Business - Dump'!$A:$A,'SKU Repoprt'!R$1)</f>
        <v>26</v>
      </c>
      <c r="S40" s="3">
        <f>SUMIFS('Business - Dump'!$Q:$Q,'Business - Dump'!$D:$D,'SKU Repoprt'!$D40,'Business - Dump'!$A:$A,'SKU Repoprt'!S$1)</f>
        <v>19</v>
      </c>
      <c r="T40" s="3">
        <f>SUMIFS('Business - Dump'!$Q:$Q,'Business - Dump'!$D:$D,'SKU Repoprt'!$D40,'Business - Dump'!$A:$A,'SKU Repoprt'!T$1)</f>
        <v>29</v>
      </c>
      <c r="U40" s="3">
        <f>SUMIFS('Business - Dump'!$Q:$Q,'Business - Dump'!$D:$D,'SKU Repoprt'!$D40,'Business - Dump'!$A:$A,'SKU Repoprt'!U$1)</f>
        <v>23</v>
      </c>
      <c r="V40" s="3">
        <f>SUMIFS('Business - Dump'!$Q:$Q,'Business - Dump'!$D:$D,'SKU Repoprt'!$D40,'Business - Dump'!$A:$A,'SKU Repoprt'!V$1)</f>
        <v>21</v>
      </c>
      <c r="W40" s="3">
        <f>SUMIFS('Business - Dump'!$Q:$Q,'Business - Dump'!$D:$D,'SKU Repoprt'!$D40,'Business - Dump'!$A:$A,'SKU Repoprt'!W$1)</f>
        <v>29</v>
      </c>
    </row>
    <row r="41" ht="15.75" customHeight="1">
      <c r="A41" s="10" t="s">
        <v>217</v>
      </c>
      <c r="B41" s="10" t="s">
        <v>217</v>
      </c>
      <c r="C41" s="10"/>
      <c r="D41" s="10" t="s">
        <v>307</v>
      </c>
      <c r="E41" s="10" t="s">
        <v>268</v>
      </c>
      <c r="F41" s="3">
        <f t="shared" si="13"/>
        <v>102</v>
      </c>
      <c r="G41" s="3">
        <f>SUMIFS('Business - Dump'!$W:$W,'Business - Dump'!$D:$D,'SKU Repoprt'!$D41,'Business - Dump'!$A:$A,'SKU Repoprt'!G$1)</f>
        <v>4</v>
      </c>
      <c r="H41" s="3">
        <f>SUMIFS('Business - Dump'!$W:$W,'Business - Dump'!$D:$D,'SKU Repoprt'!$D41,'Business - Dump'!$A:$A,'SKU Repoprt'!H$1)</f>
        <v>3</v>
      </c>
      <c r="I41" s="3">
        <f>SUMIFS('Business - Dump'!$W:$W,'Business - Dump'!$D:$D,'SKU Repoprt'!$D41,'Business - Dump'!$A:$A,'SKU Repoprt'!I$1)</f>
        <v>2</v>
      </c>
      <c r="J41" s="3">
        <f>SUMIFS('Business - Dump'!$W:$W,'Business - Dump'!$D:$D,'SKU Repoprt'!$D41,'Business - Dump'!$A:$A,'SKU Repoprt'!J$1)</f>
        <v>11</v>
      </c>
      <c r="K41" s="3">
        <f>SUMIFS('Business - Dump'!$W:$W,'Business - Dump'!$D:$D,'SKU Repoprt'!$D41,'Business - Dump'!$A:$A,'SKU Repoprt'!K$1)</f>
        <v>1</v>
      </c>
      <c r="L41" s="3">
        <f>SUMIFS('Business - Dump'!$W:$W,'Business - Dump'!$D:$D,'SKU Repoprt'!$D41,'Business - Dump'!$A:$A,'SKU Repoprt'!L$1)</f>
        <v>3</v>
      </c>
      <c r="M41" s="3">
        <f>SUMIFS('Business - Dump'!$W:$W,'Business - Dump'!$D:$D,'SKU Repoprt'!$D41,'Business - Dump'!$A:$A,'SKU Repoprt'!M$1)</f>
        <v>4</v>
      </c>
      <c r="N41" s="3">
        <f>SUMIFS('Business - Dump'!$W:$W,'Business - Dump'!$D:$D,'SKU Repoprt'!$D41,'Business - Dump'!$A:$A,'SKU Repoprt'!N$1)</f>
        <v>0</v>
      </c>
      <c r="O41" s="3">
        <f>SUMIFS('Business - Dump'!$W:$W,'Business - Dump'!$D:$D,'SKU Repoprt'!$D41,'Business - Dump'!$A:$A,'SKU Repoprt'!O$1)</f>
        <v>0</v>
      </c>
      <c r="P41" s="3">
        <f>SUMIFS('Business - Dump'!$W:$W,'Business - Dump'!$D:$D,'SKU Repoprt'!$D41,'Business - Dump'!$A:$A,'SKU Repoprt'!P$1)</f>
        <v>12</v>
      </c>
      <c r="Q41" s="3">
        <f>SUMIFS('Business - Dump'!$W:$W,'Business - Dump'!$D:$D,'SKU Repoprt'!$D41,'Business - Dump'!$A:$A,'SKU Repoprt'!Q$1)</f>
        <v>21</v>
      </c>
      <c r="R41" s="3">
        <f>SUMIFS('Business - Dump'!$W:$W,'Business - Dump'!$D:$D,'SKU Repoprt'!$D41,'Business - Dump'!$A:$A,'SKU Repoprt'!R$1)</f>
        <v>23</v>
      </c>
      <c r="S41" s="3">
        <f>SUMIFS('Business - Dump'!$W:$W,'Business - Dump'!$D:$D,'SKU Repoprt'!$D41,'Business - Dump'!$A:$A,'SKU Repoprt'!S$1)</f>
        <v>18</v>
      </c>
      <c r="T41" s="3">
        <f>SUMIFS('Business - Dump'!$W:$W,'Business - Dump'!$D:$D,'SKU Repoprt'!$D41,'Business - Dump'!$A:$A,'SKU Repoprt'!T$1)</f>
        <v>27</v>
      </c>
      <c r="U41" s="3">
        <f>SUMIFS('Business - Dump'!$W:$W,'Business - Dump'!$D:$D,'SKU Repoprt'!$D41,'Business - Dump'!$A:$A,'SKU Repoprt'!U$1)</f>
        <v>22</v>
      </c>
      <c r="V41" s="3">
        <f>SUMIFS('Business - Dump'!$W:$W,'Business - Dump'!$D:$D,'SKU Repoprt'!$D41,'Business - Dump'!$A:$A,'SKU Repoprt'!V$1)</f>
        <v>20</v>
      </c>
      <c r="W41" s="3">
        <f>SUMIFS('Business - Dump'!$W:$W,'Business - Dump'!$D:$D,'SKU Repoprt'!$D41,'Business - Dump'!$A:$A,'SKU Repoprt'!W$1)</f>
        <v>21</v>
      </c>
    </row>
    <row r="42" ht="15.75" customHeight="1">
      <c r="A42" s="10" t="s">
        <v>217</v>
      </c>
      <c r="B42" s="10" t="s">
        <v>217</v>
      </c>
      <c r="C42" s="10"/>
      <c r="D42" s="10" t="s">
        <v>307</v>
      </c>
      <c r="E42" s="10" t="s">
        <v>26</v>
      </c>
      <c r="F42" s="16">
        <f t="shared" si="13"/>
        <v>124484</v>
      </c>
      <c r="G42" s="16">
        <f>SUMIFS('Business - Dump'!$U:$U,'Business - Dump'!$D:$D,'SKU Repoprt'!$D42,'Business - Dump'!$A:$A,'SKU Repoprt'!G$1)</f>
        <v>3950</v>
      </c>
      <c r="H42" s="16">
        <f>SUMIFS('Business - Dump'!$U:$U,'Business - Dump'!$D:$D,'SKU Repoprt'!$D42,'Business - Dump'!$A:$A,'SKU Repoprt'!H$1)</f>
        <v>3950</v>
      </c>
      <c r="I42" s="16">
        <f>SUMIFS('Business - Dump'!$U:$U,'Business - Dump'!$D:$D,'SKU Repoprt'!$D42,'Business - Dump'!$A:$A,'SKU Repoprt'!I$1)</f>
        <v>1580</v>
      </c>
      <c r="J42" s="16">
        <f>SUMIFS('Business - Dump'!$U:$U,'Business - Dump'!$D:$D,'SKU Repoprt'!$D42,'Business - Dump'!$A:$A,'SKU Repoprt'!J$1)</f>
        <v>8690</v>
      </c>
      <c r="K42" s="16">
        <f>SUMIFS('Business - Dump'!$U:$U,'Business - Dump'!$D:$D,'SKU Repoprt'!$D42,'Business - Dump'!$A:$A,'SKU Repoprt'!K$1)</f>
        <v>790</v>
      </c>
      <c r="L42" s="16">
        <f>SUMIFS('Business - Dump'!$U:$U,'Business - Dump'!$D:$D,'SKU Repoprt'!$D42,'Business - Dump'!$A:$A,'SKU Repoprt'!L$1)</f>
        <v>3160</v>
      </c>
      <c r="M42" s="16">
        <f>SUMIFS('Business - Dump'!$U:$U,'Business - Dump'!$D:$D,'SKU Repoprt'!$D42,'Business - Dump'!$A:$A,'SKU Repoprt'!M$1)</f>
        <v>4944</v>
      </c>
      <c r="N42" s="16">
        <f>SUMIFS('Business - Dump'!$U:$U,'Business - Dump'!$D:$D,'SKU Repoprt'!$D42,'Business - Dump'!$A:$A,'SKU Repoprt'!N$1)</f>
        <v>0</v>
      </c>
      <c r="O42" s="16">
        <f>SUMIFS('Business - Dump'!$U:$U,'Business - Dump'!$D:$D,'SKU Repoprt'!$D42,'Business - Dump'!$A:$A,'SKU Repoprt'!O$1)</f>
        <v>0</v>
      </c>
      <c r="P42" s="16">
        <f>SUMIFS('Business - Dump'!$U:$U,'Business - Dump'!$D:$D,'SKU Repoprt'!$D42,'Business - Dump'!$A:$A,'SKU Repoprt'!P$1)</f>
        <v>13987</v>
      </c>
      <c r="Q42" s="16">
        <f>SUMIFS('Business - Dump'!$U:$U,'Business - Dump'!$D:$D,'SKU Repoprt'!$D42,'Business - Dump'!$A:$A,'SKU Repoprt'!Q$1)</f>
        <v>25478</v>
      </c>
      <c r="R42" s="16">
        <f>SUMIFS('Business - Dump'!$U:$U,'Business - Dump'!$D:$D,'SKU Repoprt'!$D42,'Business - Dump'!$A:$A,'SKU Repoprt'!R$1)</f>
        <v>38474</v>
      </c>
      <c r="S42" s="16">
        <f>SUMIFS('Business - Dump'!$U:$U,'Business - Dump'!$D:$D,'SKU Repoprt'!$D42,'Business - Dump'!$A:$A,'SKU Repoprt'!S$1)</f>
        <v>19481</v>
      </c>
      <c r="T42" s="16">
        <f>SUMIFS('Business - Dump'!$U:$U,'Business - Dump'!$D:$D,'SKU Repoprt'!$D42,'Business - Dump'!$A:$A,'SKU Repoprt'!T$1)</f>
        <v>34471</v>
      </c>
      <c r="U42" s="16">
        <f>SUMIFS('Business - Dump'!$U:$U,'Business - Dump'!$D:$D,'SKU Repoprt'!$D42,'Business - Dump'!$A:$A,'SKU Repoprt'!U$1)</f>
        <v>24477</v>
      </c>
      <c r="V42" s="16">
        <f>SUMIFS('Business - Dump'!$U:$U,'Business - Dump'!$D:$D,'SKU Repoprt'!$D42,'Business - Dump'!$A:$A,'SKU Repoprt'!V$1)</f>
        <v>23979</v>
      </c>
      <c r="W42" s="16">
        <f>SUMIFS('Business - Dump'!$U:$U,'Business - Dump'!$D:$D,'SKU Repoprt'!$D42,'Business - Dump'!$A:$A,'SKU Repoprt'!W$1)</f>
        <v>31971</v>
      </c>
    </row>
    <row r="43" ht="15.75" customHeight="1">
      <c r="A43" s="10" t="s">
        <v>217</v>
      </c>
      <c r="B43" s="10" t="s">
        <v>217</v>
      </c>
      <c r="C43" s="10"/>
      <c r="D43" s="10" t="s">
        <v>307</v>
      </c>
      <c r="E43" s="10" t="s">
        <v>29</v>
      </c>
      <c r="F43" s="17">
        <v>0.027042857142857143</v>
      </c>
      <c r="G43" s="17">
        <f t="shared" ref="G43:W43" si="14">IFERROR(G41/G38,0)</f>
        <v>0.02739726027</v>
      </c>
      <c r="H43" s="17">
        <f t="shared" si="14"/>
        <v>0.01734104046</v>
      </c>
      <c r="I43" s="17">
        <f t="shared" si="14"/>
        <v>0.009708737864</v>
      </c>
      <c r="J43" s="17">
        <f t="shared" si="14"/>
        <v>0.04</v>
      </c>
      <c r="K43" s="17">
        <f t="shared" si="14"/>
        <v>0.02083333333</v>
      </c>
      <c r="L43" s="17">
        <f t="shared" si="14"/>
        <v>0.04285714286</v>
      </c>
      <c r="M43" s="17">
        <f t="shared" si="14"/>
        <v>0.03571428571</v>
      </c>
      <c r="N43" s="17">
        <f t="shared" si="14"/>
        <v>0</v>
      </c>
      <c r="O43" s="17">
        <f t="shared" si="14"/>
        <v>0</v>
      </c>
      <c r="P43" s="17">
        <f t="shared" si="14"/>
        <v>0.01243523316</v>
      </c>
      <c r="Q43" s="17">
        <f t="shared" si="14"/>
        <v>0.008491710473</v>
      </c>
      <c r="R43" s="17">
        <f t="shared" si="14"/>
        <v>0.009141494436</v>
      </c>
      <c r="S43" s="17">
        <f t="shared" si="14"/>
        <v>0.007314099959</v>
      </c>
      <c r="T43" s="17">
        <f t="shared" si="14"/>
        <v>0.0137755102</v>
      </c>
      <c r="U43" s="17">
        <f t="shared" si="14"/>
        <v>0.01351351351</v>
      </c>
      <c r="V43" s="17">
        <f t="shared" si="14"/>
        <v>0.0131147541</v>
      </c>
      <c r="W43" s="17">
        <f t="shared" si="14"/>
        <v>0.01104100946</v>
      </c>
    </row>
    <row r="44" ht="15.75" customHeight="1">
      <c r="A44" s="10" t="s">
        <v>217</v>
      </c>
      <c r="B44" s="10" t="s">
        <v>217</v>
      </c>
      <c r="C44" s="10"/>
      <c r="D44" s="10" t="s">
        <v>308</v>
      </c>
      <c r="E44" s="10" t="s">
        <v>257</v>
      </c>
      <c r="F44" s="3">
        <f t="shared" ref="F44:F48" si="15">SUM(G44:S44)</f>
        <v>1094</v>
      </c>
      <c r="G44" s="3">
        <f>SUMIFS('Business - Dump'!$G:$G,'Business - Dump'!$D:$D,'SKU Repoprt'!$D44,'Business - Dump'!$A:$A,'SKU Repoprt'!G$1)</f>
        <v>156</v>
      </c>
      <c r="H44" s="3">
        <f>SUMIFS('Business - Dump'!$G:$G,'Business - Dump'!$D:$D,'SKU Repoprt'!$D44,'Business - Dump'!$A:$A,'SKU Repoprt'!H$1)</f>
        <v>168</v>
      </c>
      <c r="I44" s="3">
        <f>SUMIFS('Business - Dump'!$G:$G,'Business - Dump'!$D:$D,'SKU Repoprt'!$D44,'Business - Dump'!$A:$A,'SKU Repoprt'!I$1)</f>
        <v>199</v>
      </c>
      <c r="J44" s="3">
        <f>SUMIFS('Business - Dump'!$G:$G,'Business - Dump'!$D:$D,'SKU Repoprt'!$D44,'Business - Dump'!$A:$A,'SKU Repoprt'!J$1)</f>
        <v>242</v>
      </c>
      <c r="K44" s="3">
        <f>SUMIFS('Business - Dump'!$G:$G,'Business - Dump'!$D:$D,'SKU Repoprt'!$D44,'Business - Dump'!$A:$A,'SKU Repoprt'!K$1)</f>
        <v>177</v>
      </c>
      <c r="L44" s="3">
        <f>SUMIFS('Business - Dump'!$G:$G,'Business - Dump'!$D:$D,'SKU Repoprt'!$D44,'Business - Dump'!$A:$A,'SKU Repoprt'!L$1)</f>
        <v>112</v>
      </c>
      <c r="M44" s="3">
        <f>SUMIFS('Business - Dump'!$G:$G,'Business - Dump'!$D:$D,'SKU Repoprt'!$D44,'Business - Dump'!$A:$A,'SKU Repoprt'!M$1)</f>
        <v>40</v>
      </c>
      <c r="N44" s="3">
        <f>SUMIFS('Business - Dump'!$G:$G,'Business - Dump'!$D:$D,'SKU Repoprt'!$D44,'Business - Dump'!$A:$A,'SKU Repoprt'!N$1)</f>
        <v>0</v>
      </c>
      <c r="O44" s="3">
        <f>SUMIFS('Business - Dump'!$G:$G,'Business - Dump'!$D:$D,'SKU Repoprt'!$D44,'Business - Dump'!$A:$A,'SKU Repoprt'!O$1)</f>
        <v>0</v>
      </c>
      <c r="P44" s="3">
        <f>SUMIFS('Business - Dump'!$G:$G,'Business - Dump'!$D:$D,'SKU Repoprt'!$D44,'Business - Dump'!$A:$A,'SKU Repoprt'!P$1)</f>
        <v>0</v>
      </c>
      <c r="Q44" s="3">
        <f>SUMIFS('Business - Dump'!$G:$G,'Business - Dump'!$D:$D,'SKU Repoprt'!$D44,'Business - Dump'!$A:$A,'SKU Repoprt'!Q$1)</f>
        <v>0</v>
      </c>
      <c r="R44" s="3">
        <f>SUMIFS('Business - Dump'!$G:$G,'Business - Dump'!$D:$D,'SKU Repoprt'!$D44,'Business - Dump'!$A:$A,'SKU Repoprt'!R$1)</f>
        <v>0</v>
      </c>
      <c r="S44" s="3">
        <f>SUMIFS('Business - Dump'!$G:$G,'Business - Dump'!$D:$D,'SKU Repoprt'!$D44,'Business - Dump'!$A:$A,'SKU Repoprt'!S$1)</f>
        <v>0</v>
      </c>
      <c r="T44" s="3">
        <f>SUMIFS('Business - Dump'!$G:$G,'Business - Dump'!$D:$D,'SKU Repoprt'!$D44,'Business - Dump'!$A:$A,'SKU Repoprt'!T$1)</f>
        <v>0</v>
      </c>
      <c r="U44" s="3">
        <f>SUMIFS('Business - Dump'!$G:$G,'Business - Dump'!$D:$D,'SKU Repoprt'!$D44,'Business - Dump'!$A:$A,'SKU Repoprt'!U$1)</f>
        <v>0</v>
      </c>
      <c r="V44" s="3">
        <f>SUMIFS('Business - Dump'!$G:$G,'Business - Dump'!$D:$D,'SKU Repoprt'!$D44,'Business - Dump'!$A:$A,'SKU Repoprt'!V$1)</f>
        <v>0</v>
      </c>
      <c r="W44" s="3">
        <f>SUMIFS('Business - Dump'!$G:$G,'Business - Dump'!$D:$D,'SKU Repoprt'!$D44,'Business - Dump'!$A:$A,'SKU Repoprt'!W$1)</f>
        <v>0</v>
      </c>
    </row>
    <row r="45" ht="15.75" customHeight="1">
      <c r="A45" s="10" t="s">
        <v>217</v>
      </c>
      <c r="B45" s="10" t="s">
        <v>217</v>
      </c>
      <c r="C45" s="10"/>
      <c r="D45" s="10" t="s">
        <v>308</v>
      </c>
      <c r="E45" s="10" t="s">
        <v>260</v>
      </c>
      <c r="F45" s="3">
        <f t="shared" si="15"/>
        <v>1500</v>
      </c>
      <c r="G45" s="3">
        <f>SUMIFS('Business - Dump'!$K:$K,'Business - Dump'!$D:$D,'SKU Repoprt'!$D45,'Business - Dump'!$A:$A,'SKU Repoprt'!G$1)</f>
        <v>224</v>
      </c>
      <c r="H45" s="3">
        <f>SUMIFS('Business - Dump'!$K:$K,'Business - Dump'!$D:$D,'SKU Repoprt'!$D45,'Business - Dump'!$A:$A,'SKU Repoprt'!H$1)</f>
        <v>236</v>
      </c>
      <c r="I45" s="3">
        <f>SUMIFS('Business - Dump'!$K:$K,'Business - Dump'!$D:$D,'SKU Repoprt'!$D45,'Business - Dump'!$A:$A,'SKU Repoprt'!I$1)</f>
        <v>261</v>
      </c>
      <c r="J45" s="3">
        <f>SUMIFS('Business - Dump'!$K:$K,'Business - Dump'!$D:$D,'SKU Repoprt'!$D45,'Business - Dump'!$A:$A,'SKU Repoprt'!J$1)</f>
        <v>333</v>
      </c>
      <c r="K45" s="3">
        <f>SUMIFS('Business - Dump'!$K:$K,'Business - Dump'!$D:$D,'SKU Repoprt'!$D45,'Business - Dump'!$A:$A,'SKU Repoprt'!K$1)</f>
        <v>234</v>
      </c>
      <c r="L45" s="3">
        <f>SUMIFS('Business - Dump'!$K:$K,'Business - Dump'!$D:$D,'SKU Repoprt'!$D45,'Business - Dump'!$A:$A,'SKU Repoprt'!L$1)</f>
        <v>153</v>
      </c>
      <c r="M45" s="3">
        <f>SUMIFS('Business - Dump'!$K:$K,'Business - Dump'!$D:$D,'SKU Repoprt'!$D45,'Business - Dump'!$A:$A,'SKU Repoprt'!M$1)</f>
        <v>59</v>
      </c>
      <c r="N45" s="3">
        <f>SUMIFS('Business - Dump'!$K:$K,'Business - Dump'!$D:$D,'SKU Repoprt'!$D45,'Business - Dump'!$A:$A,'SKU Repoprt'!N$1)</f>
        <v>0</v>
      </c>
      <c r="O45" s="3">
        <f>SUMIFS('Business - Dump'!$K:$K,'Business - Dump'!$D:$D,'SKU Repoprt'!$D45,'Business - Dump'!$A:$A,'SKU Repoprt'!O$1)</f>
        <v>0</v>
      </c>
      <c r="P45" s="3">
        <f>SUMIFS('Business - Dump'!$K:$K,'Business - Dump'!$D:$D,'SKU Repoprt'!$D45,'Business - Dump'!$A:$A,'SKU Repoprt'!P$1)</f>
        <v>0</v>
      </c>
      <c r="Q45" s="3">
        <f>SUMIFS('Business - Dump'!$K:$K,'Business - Dump'!$D:$D,'SKU Repoprt'!$D45,'Business - Dump'!$A:$A,'SKU Repoprt'!Q$1)</f>
        <v>0</v>
      </c>
      <c r="R45" s="3">
        <f>SUMIFS('Business - Dump'!$K:$K,'Business - Dump'!$D:$D,'SKU Repoprt'!$D45,'Business - Dump'!$A:$A,'SKU Repoprt'!R$1)</f>
        <v>0</v>
      </c>
      <c r="S45" s="3">
        <f>SUMIFS('Business - Dump'!$K:$K,'Business - Dump'!$D:$D,'SKU Repoprt'!$D45,'Business - Dump'!$A:$A,'SKU Repoprt'!S$1)</f>
        <v>0</v>
      </c>
      <c r="T45" s="3">
        <f>SUMIFS('Business - Dump'!$K:$K,'Business - Dump'!$D:$D,'SKU Repoprt'!$D45,'Business - Dump'!$A:$A,'SKU Repoprt'!T$1)</f>
        <v>0</v>
      </c>
      <c r="U45" s="3">
        <f>SUMIFS('Business - Dump'!$K:$K,'Business - Dump'!$D:$D,'SKU Repoprt'!$D45,'Business - Dump'!$A:$A,'SKU Repoprt'!U$1)</f>
        <v>0</v>
      </c>
      <c r="V45" s="3">
        <f>SUMIFS('Business - Dump'!$K:$K,'Business - Dump'!$D:$D,'SKU Repoprt'!$D45,'Business - Dump'!$A:$A,'SKU Repoprt'!V$1)</f>
        <v>0</v>
      </c>
      <c r="W45" s="3">
        <f>SUMIFS('Business - Dump'!$K:$K,'Business - Dump'!$D:$D,'SKU Repoprt'!$D45,'Business - Dump'!$A:$A,'SKU Repoprt'!W$1)</f>
        <v>0</v>
      </c>
    </row>
    <row r="46" ht="15.75" customHeight="1">
      <c r="A46" s="10" t="s">
        <v>217</v>
      </c>
      <c r="B46" s="10" t="s">
        <v>217</v>
      </c>
      <c r="C46" s="10"/>
      <c r="D46" s="10" t="s">
        <v>308</v>
      </c>
      <c r="E46" s="10" t="s">
        <v>264</v>
      </c>
      <c r="F46" s="3">
        <f t="shared" si="15"/>
        <v>31</v>
      </c>
      <c r="G46" s="3">
        <f>SUMIFS('Business - Dump'!$Q:$Q,'Business - Dump'!$D:$D,'SKU Repoprt'!$D46,'Business - Dump'!$A:$A,'SKU Repoprt'!G$1)</f>
        <v>4</v>
      </c>
      <c r="H46" s="3">
        <f>SUMIFS('Business - Dump'!$Q:$Q,'Business - Dump'!$D:$D,'SKU Repoprt'!$D46,'Business - Dump'!$A:$A,'SKU Repoprt'!H$1)</f>
        <v>1</v>
      </c>
      <c r="I46" s="3">
        <f>SUMIFS('Business - Dump'!$Q:$Q,'Business - Dump'!$D:$D,'SKU Repoprt'!$D46,'Business - Dump'!$A:$A,'SKU Repoprt'!I$1)</f>
        <v>4</v>
      </c>
      <c r="J46" s="3">
        <f>SUMIFS('Business - Dump'!$Q:$Q,'Business - Dump'!$D:$D,'SKU Repoprt'!$D46,'Business - Dump'!$A:$A,'SKU Repoprt'!J$1)</f>
        <v>10</v>
      </c>
      <c r="K46" s="3">
        <f>SUMIFS('Business - Dump'!$Q:$Q,'Business - Dump'!$D:$D,'SKU Repoprt'!$D46,'Business - Dump'!$A:$A,'SKU Repoprt'!K$1)</f>
        <v>5</v>
      </c>
      <c r="L46" s="3">
        <f>SUMIFS('Business - Dump'!$Q:$Q,'Business - Dump'!$D:$D,'SKU Repoprt'!$D46,'Business - Dump'!$A:$A,'SKU Repoprt'!L$1)</f>
        <v>6</v>
      </c>
      <c r="M46" s="3">
        <f>SUMIFS('Business - Dump'!$Q:$Q,'Business - Dump'!$D:$D,'SKU Repoprt'!$D46,'Business - Dump'!$A:$A,'SKU Repoprt'!M$1)</f>
        <v>1</v>
      </c>
      <c r="N46" s="3">
        <f>SUMIFS('Business - Dump'!$Q:$Q,'Business - Dump'!$D:$D,'SKU Repoprt'!$D46,'Business - Dump'!$A:$A,'SKU Repoprt'!N$1)</f>
        <v>0</v>
      </c>
      <c r="O46" s="3">
        <f>SUMIFS('Business - Dump'!$Q:$Q,'Business - Dump'!$D:$D,'SKU Repoprt'!$D46,'Business - Dump'!$A:$A,'SKU Repoprt'!O$1)</f>
        <v>0</v>
      </c>
      <c r="P46" s="3">
        <f>SUMIFS('Business - Dump'!$Q:$Q,'Business - Dump'!$D:$D,'SKU Repoprt'!$D46,'Business - Dump'!$A:$A,'SKU Repoprt'!P$1)</f>
        <v>0</v>
      </c>
      <c r="Q46" s="3">
        <f>SUMIFS('Business - Dump'!$Q:$Q,'Business - Dump'!$D:$D,'SKU Repoprt'!$D46,'Business - Dump'!$A:$A,'SKU Repoprt'!Q$1)</f>
        <v>0</v>
      </c>
      <c r="R46" s="3">
        <f>SUMIFS('Business - Dump'!$Q:$Q,'Business - Dump'!$D:$D,'SKU Repoprt'!$D46,'Business - Dump'!$A:$A,'SKU Repoprt'!R$1)</f>
        <v>0</v>
      </c>
      <c r="S46" s="3">
        <f>SUMIFS('Business - Dump'!$Q:$Q,'Business - Dump'!$D:$D,'SKU Repoprt'!$D46,'Business - Dump'!$A:$A,'SKU Repoprt'!S$1)</f>
        <v>0</v>
      </c>
      <c r="T46" s="3">
        <f>SUMIFS('Business - Dump'!$Q:$Q,'Business - Dump'!$D:$D,'SKU Repoprt'!$D46,'Business - Dump'!$A:$A,'SKU Repoprt'!T$1)</f>
        <v>0</v>
      </c>
      <c r="U46" s="3">
        <f>SUMIFS('Business - Dump'!$Q:$Q,'Business - Dump'!$D:$D,'SKU Repoprt'!$D46,'Business - Dump'!$A:$A,'SKU Repoprt'!U$1)</f>
        <v>0</v>
      </c>
      <c r="V46" s="3">
        <f>SUMIFS('Business - Dump'!$Q:$Q,'Business - Dump'!$D:$D,'SKU Repoprt'!$D46,'Business - Dump'!$A:$A,'SKU Repoprt'!V$1)</f>
        <v>0</v>
      </c>
      <c r="W46" s="3">
        <f>SUMIFS('Business - Dump'!$Q:$Q,'Business - Dump'!$D:$D,'SKU Repoprt'!$D46,'Business - Dump'!$A:$A,'SKU Repoprt'!W$1)</f>
        <v>0</v>
      </c>
    </row>
    <row r="47" ht="15.75" customHeight="1">
      <c r="A47" s="10" t="s">
        <v>217</v>
      </c>
      <c r="B47" s="10" t="s">
        <v>217</v>
      </c>
      <c r="C47" s="10"/>
      <c r="D47" s="10" t="s">
        <v>308</v>
      </c>
      <c r="E47" s="10" t="s">
        <v>268</v>
      </c>
      <c r="F47" s="3">
        <f t="shared" si="15"/>
        <v>27</v>
      </c>
      <c r="G47" s="3">
        <f>SUMIFS('Business - Dump'!$W:$W,'Business - Dump'!$D:$D,'SKU Repoprt'!$D47,'Business - Dump'!$A:$A,'SKU Repoprt'!G$1)</f>
        <v>4</v>
      </c>
      <c r="H47" s="3">
        <f>SUMIFS('Business - Dump'!$W:$W,'Business - Dump'!$D:$D,'SKU Repoprt'!$D47,'Business - Dump'!$A:$A,'SKU Repoprt'!H$1)</f>
        <v>1</v>
      </c>
      <c r="I47" s="3">
        <f>SUMIFS('Business - Dump'!$W:$W,'Business - Dump'!$D:$D,'SKU Repoprt'!$D47,'Business - Dump'!$A:$A,'SKU Repoprt'!I$1)</f>
        <v>3</v>
      </c>
      <c r="J47" s="3">
        <f>SUMIFS('Business - Dump'!$W:$W,'Business - Dump'!$D:$D,'SKU Repoprt'!$D47,'Business - Dump'!$A:$A,'SKU Repoprt'!J$1)</f>
        <v>10</v>
      </c>
      <c r="K47" s="3">
        <f>SUMIFS('Business - Dump'!$W:$W,'Business - Dump'!$D:$D,'SKU Repoprt'!$D47,'Business - Dump'!$A:$A,'SKU Repoprt'!K$1)</f>
        <v>2</v>
      </c>
      <c r="L47" s="3">
        <f>SUMIFS('Business - Dump'!$W:$W,'Business - Dump'!$D:$D,'SKU Repoprt'!$D47,'Business - Dump'!$A:$A,'SKU Repoprt'!L$1)</f>
        <v>6</v>
      </c>
      <c r="M47" s="3">
        <f>SUMIFS('Business - Dump'!$W:$W,'Business - Dump'!$D:$D,'SKU Repoprt'!$D47,'Business - Dump'!$A:$A,'SKU Repoprt'!M$1)</f>
        <v>1</v>
      </c>
      <c r="N47" s="3">
        <f>SUMIFS('Business - Dump'!$W:$W,'Business - Dump'!$D:$D,'SKU Repoprt'!$D47,'Business - Dump'!$A:$A,'SKU Repoprt'!N$1)</f>
        <v>0</v>
      </c>
      <c r="O47" s="3">
        <f>SUMIFS('Business - Dump'!$W:$W,'Business - Dump'!$D:$D,'SKU Repoprt'!$D47,'Business - Dump'!$A:$A,'SKU Repoprt'!O$1)</f>
        <v>0</v>
      </c>
      <c r="P47" s="3">
        <f>SUMIFS('Business - Dump'!$W:$W,'Business - Dump'!$D:$D,'SKU Repoprt'!$D47,'Business - Dump'!$A:$A,'SKU Repoprt'!P$1)</f>
        <v>0</v>
      </c>
      <c r="Q47" s="3">
        <f>SUMIFS('Business - Dump'!$W:$W,'Business - Dump'!$D:$D,'SKU Repoprt'!$D47,'Business - Dump'!$A:$A,'SKU Repoprt'!Q$1)</f>
        <v>0</v>
      </c>
      <c r="R47" s="3">
        <f>SUMIFS('Business - Dump'!$W:$W,'Business - Dump'!$D:$D,'SKU Repoprt'!$D47,'Business - Dump'!$A:$A,'SKU Repoprt'!R$1)</f>
        <v>0</v>
      </c>
      <c r="S47" s="3">
        <f>SUMIFS('Business - Dump'!$W:$W,'Business - Dump'!$D:$D,'SKU Repoprt'!$D47,'Business - Dump'!$A:$A,'SKU Repoprt'!S$1)</f>
        <v>0</v>
      </c>
      <c r="T47" s="3">
        <f>SUMIFS('Business - Dump'!$W:$W,'Business - Dump'!$D:$D,'SKU Repoprt'!$D47,'Business - Dump'!$A:$A,'SKU Repoprt'!T$1)</f>
        <v>0</v>
      </c>
      <c r="U47" s="3">
        <f>SUMIFS('Business - Dump'!$W:$W,'Business - Dump'!$D:$D,'SKU Repoprt'!$D47,'Business - Dump'!$A:$A,'SKU Repoprt'!U$1)</f>
        <v>0</v>
      </c>
      <c r="V47" s="3">
        <f>SUMIFS('Business - Dump'!$W:$W,'Business - Dump'!$D:$D,'SKU Repoprt'!$D47,'Business - Dump'!$A:$A,'SKU Repoprt'!V$1)</f>
        <v>0</v>
      </c>
      <c r="W47" s="3">
        <f>SUMIFS('Business - Dump'!$W:$W,'Business - Dump'!$D:$D,'SKU Repoprt'!$D47,'Business - Dump'!$A:$A,'SKU Repoprt'!W$1)</f>
        <v>0</v>
      </c>
    </row>
    <row r="48" ht="15.75" customHeight="1">
      <c r="A48" s="10" t="s">
        <v>217</v>
      </c>
      <c r="B48" s="10" t="s">
        <v>217</v>
      </c>
      <c r="C48" s="10"/>
      <c r="D48" s="10" t="s">
        <v>308</v>
      </c>
      <c r="E48" s="10" t="s">
        <v>26</v>
      </c>
      <c r="F48" s="16">
        <f t="shared" si="15"/>
        <v>41999</v>
      </c>
      <c r="G48" s="16">
        <f>SUMIFS('Business - Dump'!$U:$U,'Business - Dump'!$D:$D,'SKU Repoprt'!$D48,'Business - Dump'!$A:$A,'SKU Repoprt'!G$1)</f>
        <v>5400</v>
      </c>
      <c r="H48" s="16">
        <f>SUMIFS('Business - Dump'!$U:$U,'Business - Dump'!$D:$D,'SKU Repoprt'!$D48,'Business - Dump'!$A:$A,'SKU Repoprt'!H$1)</f>
        <v>1350</v>
      </c>
      <c r="I48" s="16">
        <f>SUMIFS('Business - Dump'!$U:$U,'Business - Dump'!$D:$D,'SKU Repoprt'!$D48,'Business - Dump'!$A:$A,'SKU Repoprt'!I$1)</f>
        <v>5400</v>
      </c>
      <c r="J48" s="16">
        <f>SUMIFS('Business - Dump'!$U:$U,'Business - Dump'!$D:$D,'SKU Repoprt'!$D48,'Business - Dump'!$A:$A,'SKU Repoprt'!J$1)</f>
        <v>13500</v>
      </c>
      <c r="K48" s="16">
        <f>SUMIFS('Business - Dump'!$U:$U,'Business - Dump'!$D:$D,'SKU Repoprt'!$D48,'Business - Dump'!$A:$A,'SKU Repoprt'!K$1)</f>
        <v>6750</v>
      </c>
      <c r="L48" s="16">
        <f>SUMIFS('Business - Dump'!$U:$U,'Business - Dump'!$D:$D,'SKU Repoprt'!$D48,'Business - Dump'!$A:$A,'SKU Repoprt'!L$1)</f>
        <v>8100</v>
      </c>
      <c r="M48" s="16">
        <f>SUMIFS('Business - Dump'!$U:$U,'Business - Dump'!$D:$D,'SKU Repoprt'!$D48,'Business - Dump'!$A:$A,'SKU Repoprt'!M$1)</f>
        <v>1499</v>
      </c>
      <c r="N48" s="16">
        <f>SUMIFS('Business - Dump'!$U:$U,'Business - Dump'!$D:$D,'SKU Repoprt'!$D48,'Business - Dump'!$A:$A,'SKU Repoprt'!N$1)</f>
        <v>0</v>
      </c>
      <c r="O48" s="16">
        <f>SUMIFS('Business - Dump'!$U:$U,'Business - Dump'!$D:$D,'SKU Repoprt'!$D48,'Business - Dump'!$A:$A,'SKU Repoprt'!O$1)</f>
        <v>0</v>
      </c>
      <c r="P48" s="16">
        <f>SUMIFS('Business - Dump'!$U:$U,'Business - Dump'!$D:$D,'SKU Repoprt'!$D48,'Business - Dump'!$A:$A,'SKU Repoprt'!P$1)</f>
        <v>0</v>
      </c>
      <c r="Q48" s="16">
        <f>SUMIFS('Business - Dump'!$U:$U,'Business - Dump'!$D:$D,'SKU Repoprt'!$D48,'Business - Dump'!$A:$A,'SKU Repoprt'!Q$1)</f>
        <v>0</v>
      </c>
      <c r="R48" s="16">
        <f>SUMIFS('Business - Dump'!$U:$U,'Business - Dump'!$D:$D,'SKU Repoprt'!$D48,'Business - Dump'!$A:$A,'SKU Repoprt'!R$1)</f>
        <v>0</v>
      </c>
      <c r="S48" s="16">
        <f>SUMIFS('Business - Dump'!$U:$U,'Business - Dump'!$D:$D,'SKU Repoprt'!$D48,'Business - Dump'!$A:$A,'SKU Repoprt'!S$1)</f>
        <v>0</v>
      </c>
      <c r="T48" s="16">
        <f>SUMIFS('Business - Dump'!$U:$U,'Business - Dump'!$D:$D,'SKU Repoprt'!$D48,'Business - Dump'!$A:$A,'SKU Repoprt'!T$1)</f>
        <v>0</v>
      </c>
      <c r="U48" s="16">
        <f>SUMIFS('Business - Dump'!$U:$U,'Business - Dump'!$D:$D,'SKU Repoprt'!$D48,'Business - Dump'!$A:$A,'SKU Repoprt'!U$1)</f>
        <v>0</v>
      </c>
      <c r="V48" s="16">
        <f>SUMIFS('Business - Dump'!$U:$U,'Business - Dump'!$D:$D,'SKU Repoprt'!$D48,'Business - Dump'!$A:$A,'SKU Repoprt'!V$1)</f>
        <v>0</v>
      </c>
      <c r="W48" s="16">
        <f>SUMIFS('Business - Dump'!$U:$U,'Business - Dump'!$D:$D,'SKU Repoprt'!$D48,'Business - Dump'!$A:$A,'SKU Repoprt'!W$1)</f>
        <v>0</v>
      </c>
    </row>
    <row r="49" ht="15.75" customHeight="1">
      <c r="A49" s="10" t="s">
        <v>217</v>
      </c>
      <c r="B49" s="10" t="s">
        <v>217</v>
      </c>
      <c r="C49" s="10"/>
      <c r="D49" s="10" t="s">
        <v>308</v>
      </c>
      <c r="E49" s="10" t="s">
        <v>29</v>
      </c>
      <c r="F49" s="17">
        <v>0.027042857142857143</v>
      </c>
      <c r="G49" s="17">
        <f t="shared" ref="G49:W49" si="16">IFERROR(G47/G44,0)</f>
        <v>0.02564102564</v>
      </c>
      <c r="H49" s="17">
        <f t="shared" si="16"/>
        <v>0.005952380952</v>
      </c>
      <c r="I49" s="17">
        <f t="shared" si="16"/>
        <v>0.01507537688</v>
      </c>
      <c r="J49" s="17">
        <f t="shared" si="16"/>
        <v>0.04132231405</v>
      </c>
      <c r="K49" s="17">
        <f t="shared" si="16"/>
        <v>0.01129943503</v>
      </c>
      <c r="L49" s="17">
        <f t="shared" si="16"/>
        <v>0.05357142857</v>
      </c>
      <c r="M49" s="17">
        <f t="shared" si="16"/>
        <v>0.025</v>
      </c>
      <c r="N49" s="17">
        <f t="shared" si="16"/>
        <v>0</v>
      </c>
      <c r="O49" s="17">
        <f t="shared" si="16"/>
        <v>0</v>
      </c>
      <c r="P49" s="17">
        <f t="shared" si="16"/>
        <v>0</v>
      </c>
      <c r="Q49" s="17">
        <f t="shared" si="16"/>
        <v>0</v>
      </c>
      <c r="R49" s="17">
        <f t="shared" si="16"/>
        <v>0</v>
      </c>
      <c r="S49" s="17">
        <f t="shared" si="16"/>
        <v>0</v>
      </c>
      <c r="T49" s="17">
        <f t="shared" si="16"/>
        <v>0</v>
      </c>
      <c r="U49" s="17">
        <f t="shared" si="16"/>
        <v>0</v>
      </c>
      <c r="V49" s="17">
        <f t="shared" si="16"/>
        <v>0</v>
      </c>
      <c r="W49" s="17">
        <f t="shared" si="16"/>
        <v>0</v>
      </c>
    </row>
    <row r="50" ht="15.75" customHeight="1">
      <c r="A50" s="10" t="s">
        <v>217</v>
      </c>
      <c r="B50" s="10" t="s">
        <v>217</v>
      </c>
      <c r="C50" s="10"/>
      <c r="D50" s="10" t="s">
        <v>336</v>
      </c>
      <c r="E50" s="10" t="s">
        <v>257</v>
      </c>
      <c r="F50" s="3">
        <f t="shared" ref="F50:F54" si="17">SUM(G50:S50)</f>
        <v>22</v>
      </c>
      <c r="G50" s="3">
        <f>SUMIFS('Business - Dump'!$G:$G,'Business - Dump'!$D:$D,'SKU Repoprt'!$D50,'Business - Dump'!$A:$A,'SKU Repoprt'!G$1)</f>
        <v>0</v>
      </c>
      <c r="H50" s="3">
        <f>SUMIFS('Business - Dump'!$G:$G,'Business - Dump'!$D:$D,'SKU Repoprt'!$D50,'Business - Dump'!$A:$A,'SKU Repoprt'!H$1)</f>
        <v>0</v>
      </c>
      <c r="I50" s="3">
        <f>SUMIFS('Business - Dump'!$G:$G,'Business - Dump'!$D:$D,'SKU Repoprt'!$D50,'Business - Dump'!$A:$A,'SKU Repoprt'!I$1)</f>
        <v>0</v>
      </c>
      <c r="J50" s="3">
        <f>SUMIFS('Business - Dump'!$G:$G,'Business - Dump'!$D:$D,'SKU Repoprt'!$D50,'Business - Dump'!$A:$A,'SKU Repoprt'!J$1)</f>
        <v>0</v>
      </c>
      <c r="K50" s="3">
        <f>SUMIFS('Business - Dump'!$G:$G,'Business - Dump'!$D:$D,'SKU Repoprt'!$D50,'Business - Dump'!$A:$A,'SKU Repoprt'!K$1)</f>
        <v>0</v>
      </c>
      <c r="L50" s="3">
        <f>SUMIFS('Business - Dump'!$G:$G,'Business - Dump'!$D:$D,'SKU Repoprt'!$D50,'Business - Dump'!$A:$A,'SKU Repoprt'!L$1)</f>
        <v>0</v>
      </c>
      <c r="M50" s="3">
        <f>SUMIFS('Business - Dump'!$G:$G,'Business - Dump'!$D:$D,'SKU Repoprt'!$D50,'Business - Dump'!$A:$A,'SKU Repoprt'!M$1)</f>
        <v>0</v>
      </c>
      <c r="N50" s="3">
        <f>SUMIFS('Business - Dump'!$G:$G,'Business - Dump'!$D:$D,'SKU Repoprt'!$D50,'Business - Dump'!$A:$A,'SKU Repoprt'!N$1)</f>
        <v>0</v>
      </c>
      <c r="O50" s="3">
        <f>SUMIFS('Business - Dump'!$G:$G,'Business - Dump'!$D:$D,'SKU Repoprt'!$D50,'Business - Dump'!$A:$A,'SKU Repoprt'!O$1)</f>
        <v>0</v>
      </c>
      <c r="P50" s="3">
        <f>SUMIFS('Business - Dump'!$G:$G,'Business - Dump'!$D:$D,'SKU Repoprt'!$D50,'Business - Dump'!$A:$A,'SKU Repoprt'!P$1)</f>
        <v>4</v>
      </c>
      <c r="Q50" s="3">
        <f>SUMIFS('Business - Dump'!$G:$G,'Business - Dump'!$D:$D,'SKU Repoprt'!$D50,'Business - Dump'!$A:$A,'SKU Repoprt'!Q$1)</f>
        <v>0</v>
      </c>
      <c r="R50" s="3">
        <f>SUMIFS('Business - Dump'!$G:$G,'Business - Dump'!$D:$D,'SKU Repoprt'!$D50,'Business - Dump'!$A:$A,'SKU Repoprt'!R$1)</f>
        <v>14</v>
      </c>
      <c r="S50" s="3">
        <f>SUMIFS('Business - Dump'!$G:$G,'Business - Dump'!$D:$D,'SKU Repoprt'!$D50,'Business - Dump'!$A:$A,'SKU Repoprt'!S$1)</f>
        <v>4</v>
      </c>
      <c r="T50" s="3">
        <f>SUMIFS('Business - Dump'!$G:$G,'Business - Dump'!$D:$D,'SKU Repoprt'!$D50,'Business - Dump'!$A:$A,'SKU Repoprt'!T$1)</f>
        <v>0</v>
      </c>
      <c r="U50" s="3">
        <f>SUMIFS('Business - Dump'!$G:$G,'Business - Dump'!$D:$D,'SKU Repoprt'!$D50,'Business - Dump'!$A:$A,'SKU Repoprt'!U$1)</f>
        <v>0</v>
      </c>
      <c r="V50" s="3">
        <f>SUMIFS('Business - Dump'!$G:$G,'Business - Dump'!$D:$D,'SKU Repoprt'!$D50,'Business - Dump'!$A:$A,'SKU Repoprt'!V$1)</f>
        <v>0</v>
      </c>
      <c r="W50" s="3">
        <f>SUMIFS('Business - Dump'!$G:$G,'Business - Dump'!$D:$D,'SKU Repoprt'!$D50,'Business - Dump'!$A:$A,'SKU Repoprt'!W$1)</f>
        <v>0</v>
      </c>
    </row>
    <row r="51" ht="15.75" customHeight="1">
      <c r="A51" s="10" t="s">
        <v>217</v>
      </c>
      <c r="B51" s="10" t="s">
        <v>217</v>
      </c>
      <c r="C51" s="10"/>
      <c r="D51" s="10" t="s">
        <v>336</v>
      </c>
      <c r="E51" s="10" t="s">
        <v>260</v>
      </c>
      <c r="F51" s="3">
        <f t="shared" si="17"/>
        <v>35</v>
      </c>
      <c r="G51" s="3">
        <f>SUMIFS('Business - Dump'!$K:$K,'Business - Dump'!$D:$D,'SKU Repoprt'!$D51,'Business - Dump'!$A:$A,'SKU Repoprt'!G$1)</f>
        <v>0</v>
      </c>
      <c r="H51" s="3">
        <f>SUMIFS('Business - Dump'!$K:$K,'Business - Dump'!$D:$D,'SKU Repoprt'!$D51,'Business - Dump'!$A:$A,'SKU Repoprt'!H$1)</f>
        <v>0</v>
      </c>
      <c r="I51" s="3">
        <f>SUMIFS('Business - Dump'!$K:$K,'Business - Dump'!$D:$D,'SKU Repoprt'!$D51,'Business - Dump'!$A:$A,'SKU Repoprt'!I$1)</f>
        <v>0</v>
      </c>
      <c r="J51" s="3">
        <f>SUMIFS('Business - Dump'!$K:$K,'Business - Dump'!$D:$D,'SKU Repoprt'!$D51,'Business - Dump'!$A:$A,'SKU Repoprt'!J$1)</f>
        <v>0</v>
      </c>
      <c r="K51" s="3">
        <f>SUMIFS('Business - Dump'!$K:$K,'Business - Dump'!$D:$D,'SKU Repoprt'!$D51,'Business - Dump'!$A:$A,'SKU Repoprt'!K$1)</f>
        <v>0</v>
      </c>
      <c r="L51" s="3">
        <f>SUMIFS('Business - Dump'!$K:$K,'Business - Dump'!$D:$D,'SKU Repoprt'!$D51,'Business - Dump'!$A:$A,'SKU Repoprt'!L$1)</f>
        <v>0</v>
      </c>
      <c r="M51" s="3">
        <f>SUMIFS('Business - Dump'!$K:$K,'Business - Dump'!$D:$D,'SKU Repoprt'!$D51,'Business - Dump'!$A:$A,'SKU Repoprt'!M$1)</f>
        <v>0</v>
      </c>
      <c r="N51" s="3">
        <f>SUMIFS('Business - Dump'!$K:$K,'Business - Dump'!$D:$D,'SKU Repoprt'!$D51,'Business - Dump'!$A:$A,'SKU Repoprt'!N$1)</f>
        <v>0</v>
      </c>
      <c r="O51" s="3">
        <f>SUMIFS('Business - Dump'!$K:$K,'Business - Dump'!$D:$D,'SKU Repoprt'!$D51,'Business - Dump'!$A:$A,'SKU Repoprt'!O$1)</f>
        <v>0</v>
      </c>
      <c r="P51" s="3">
        <f>SUMIFS('Business - Dump'!$K:$K,'Business - Dump'!$D:$D,'SKU Repoprt'!$D51,'Business - Dump'!$A:$A,'SKU Repoprt'!P$1)</f>
        <v>8</v>
      </c>
      <c r="Q51" s="3">
        <f>SUMIFS('Business - Dump'!$K:$K,'Business - Dump'!$D:$D,'SKU Repoprt'!$D51,'Business - Dump'!$A:$A,'SKU Repoprt'!Q$1)</f>
        <v>0</v>
      </c>
      <c r="R51" s="3">
        <f>SUMIFS('Business - Dump'!$K:$K,'Business - Dump'!$D:$D,'SKU Repoprt'!$D51,'Business - Dump'!$A:$A,'SKU Repoprt'!R$1)</f>
        <v>22</v>
      </c>
      <c r="S51" s="3">
        <f>SUMIFS('Business - Dump'!$K:$K,'Business - Dump'!$D:$D,'SKU Repoprt'!$D51,'Business - Dump'!$A:$A,'SKU Repoprt'!S$1)</f>
        <v>5</v>
      </c>
      <c r="T51" s="3">
        <f>SUMIFS('Business - Dump'!$K:$K,'Business - Dump'!$D:$D,'SKU Repoprt'!$D51,'Business - Dump'!$A:$A,'SKU Repoprt'!T$1)</f>
        <v>0</v>
      </c>
      <c r="U51" s="3">
        <f>SUMIFS('Business - Dump'!$K:$K,'Business - Dump'!$D:$D,'SKU Repoprt'!$D51,'Business - Dump'!$A:$A,'SKU Repoprt'!U$1)</f>
        <v>0</v>
      </c>
      <c r="V51" s="3">
        <f>SUMIFS('Business - Dump'!$K:$K,'Business - Dump'!$D:$D,'SKU Repoprt'!$D51,'Business - Dump'!$A:$A,'SKU Repoprt'!V$1)</f>
        <v>0</v>
      </c>
      <c r="W51" s="3">
        <f>SUMIFS('Business - Dump'!$K:$K,'Business - Dump'!$D:$D,'SKU Repoprt'!$D51,'Business - Dump'!$A:$A,'SKU Repoprt'!W$1)</f>
        <v>0</v>
      </c>
    </row>
    <row r="52" ht="15.75" customHeight="1">
      <c r="A52" s="10" t="s">
        <v>217</v>
      </c>
      <c r="B52" s="10" t="s">
        <v>217</v>
      </c>
      <c r="C52" s="10"/>
      <c r="D52" s="10" t="s">
        <v>336</v>
      </c>
      <c r="E52" s="10" t="s">
        <v>264</v>
      </c>
      <c r="F52" s="3">
        <f t="shared" si="17"/>
        <v>1</v>
      </c>
      <c r="G52" s="3">
        <f>SUMIFS('Business - Dump'!$Q:$Q,'Business - Dump'!$D:$D,'SKU Repoprt'!$D52,'Business - Dump'!$A:$A,'SKU Repoprt'!G$1)</f>
        <v>0</v>
      </c>
      <c r="H52" s="3">
        <f>SUMIFS('Business - Dump'!$Q:$Q,'Business - Dump'!$D:$D,'SKU Repoprt'!$D52,'Business - Dump'!$A:$A,'SKU Repoprt'!H$1)</f>
        <v>0</v>
      </c>
      <c r="I52" s="3">
        <f>SUMIFS('Business - Dump'!$Q:$Q,'Business - Dump'!$D:$D,'SKU Repoprt'!$D52,'Business - Dump'!$A:$A,'SKU Repoprt'!I$1)</f>
        <v>0</v>
      </c>
      <c r="J52" s="3">
        <f>SUMIFS('Business - Dump'!$Q:$Q,'Business - Dump'!$D:$D,'SKU Repoprt'!$D52,'Business - Dump'!$A:$A,'SKU Repoprt'!J$1)</f>
        <v>0</v>
      </c>
      <c r="K52" s="3">
        <f>SUMIFS('Business - Dump'!$Q:$Q,'Business - Dump'!$D:$D,'SKU Repoprt'!$D52,'Business - Dump'!$A:$A,'SKU Repoprt'!K$1)</f>
        <v>0</v>
      </c>
      <c r="L52" s="3">
        <f>SUMIFS('Business - Dump'!$Q:$Q,'Business - Dump'!$D:$D,'SKU Repoprt'!$D52,'Business - Dump'!$A:$A,'SKU Repoprt'!L$1)</f>
        <v>0</v>
      </c>
      <c r="M52" s="3">
        <f>SUMIFS('Business - Dump'!$Q:$Q,'Business - Dump'!$D:$D,'SKU Repoprt'!$D52,'Business - Dump'!$A:$A,'SKU Repoprt'!M$1)</f>
        <v>0</v>
      </c>
      <c r="N52" s="3">
        <f>SUMIFS('Business - Dump'!$Q:$Q,'Business - Dump'!$D:$D,'SKU Repoprt'!$D52,'Business - Dump'!$A:$A,'SKU Repoprt'!N$1)</f>
        <v>0</v>
      </c>
      <c r="O52" s="3">
        <f>SUMIFS('Business - Dump'!$Q:$Q,'Business - Dump'!$D:$D,'SKU Repoprt'!$D52,'Business - Dump'!$A:$A,'SKU Repoprt'!O$1)</f>
        <v>0</v>
      </c>
      <c r="P52" s="3">
        <f>SUMIFS('Business - Dump'!$Q:$Q,'Business - Dump'!$D:$D,'SKU Repoprt'!$D52,'Business - Dump'!$A:$A,'SKU Repoprt'!P$1)</f>
        <v>0</v>
      </c>
      <c r="Q52" s="3">
        <f>SUMIFS('Business - Dump'!$Q:$Q,'Business - Dump'!$D:$D,'SKU Repoprt'!$D52,'Business - Dump'!$A:$A,'SKU Repoprt'!Q$1)</f>
        <v>0</v>
      </c>
      <c r="R52" s="3">
        <f>SUMIFS('Business - Dump'!$Q:$Q,'Business - Dump'!$D:$D,'SKU Repoprt'!$D52,'Business - Dump'!$A:$A,'SKU Repoprt'!R$1)</f>
        <v>0</v>
      </c>
      <c r="S52" s="3">
        <f>SUMIFS('Business - Dump'!$Q:$Q,'Business - Dump'!$D:$D,'SKU Repoprt'!$D52,'Business - Dump'!$A:$A,'SKU Repoprt'!S$1)</f>
        <v>1</v>
      </c>
      <c r="T52" s="3">
        <f>SUMIFS('Business - Dump'!$Q:$Q,'Business - Dump'!$D:$D,'SKU Repoprt'!$D52,'Business - Dump'!$A:$A,'SKU Repoprt'!T$1)</f>
        <v>0</v>
      </c>
      <c r="U52" s="3">
        <f>SUMIFS('Business - Dump'!$Q:$Q,'Business - Dump'!$D:$D,'SKU Repoprt'!$D52,'Business - Dump'!$A:$A,'SKU Repoprt'!U$1)</f>
        <v>0</v>
      </c>
      <c r="V52" s="3">
        <f>SUMIFS('Business - Dump'!$Q:$Q,'Business - Dump'!$D:$D,'SKU Repoprt'!$D52,'Business - Dump'!$A:$A,'SKU Repoprt'!V$1)</f>
        <v>0</v>
      </c>
      <c r="W52" s="3">
        <f>SUMIFS('Business - Dump'!$Q:$Q,'Business - Dump'!$D:$D,'SKU Repoprt'!$D52,'Business - Dump'!$A:$A,'SKU Repoprt'!W$1)</f>
        <v>0</v>
      </c>
    </row>
    <row r="53" ht="15.75" customHeight="1">
      <c r="A53" s="10" t="s">
        <v>217</v>
      </c>
      <c r="B53" s="10" t="s">
        <v>217</v>
      </c>
      <c r="C53" s="10"/>
      <c r="D53" s="10" t="s">
        <v>336</v>
      </c>
      <c r="E53" s="10" t="s">
        <v>268</v>
      </c>
      <c r="F53" s="3">
        <f t="shared" si="17"/>
        <v>1</v>
      </c>
      <c r="G53" s="3">
        <f>SUMIFS('Business - Dump'!$W:$W,'Business - Dump'!$D:$D,'SKU Repoprt'!$D53,'Business - Dump'!$A:$A,'SKU Repoprt'!G$1)</f>
        <v>0</v>
      </c>
      <c r="H53" s="3">
        <f>SUMIFS('Business - Dump'!$W:$W,'Business - Dump'!$D:$D,'SKU Repoprt'!$D53,'Business - Dump'!$A:$A,'SKU Repoprt'!H$1)</f>
        <v>0</v>
      </c>
      <c r="I53" s="3">
        <f>SUMIFS('Business - Dump'!$W:$W,'Business - Dump'!$D:$D,'SKU Repoprt'!$D53,'Business - Dump'!$A:$A,'SKU Repoprt'!I$1)</f>
        <v>0</v>
      </c>
      <c r="J53" s="3">
        <f>SUMIFS('Business - Dump'!$W:$W,'Business - Dump'!$D:$D,'SKU Repoprt'!$D53,'Business - Dump'!$A:$A,'SKU Repoprt'!J$1)</f>
        <v>0</v>
      </c>
      <c r="K53" s="3">
        <f>SUMIFS('Business - Dump'!$W:$W,'Business - Dump'!$D:$D,'SKU Repoprt'!$D53,'Business - Dump'!$A:$A,'SKU Repoprt'!K$1)</f>
        <v>0</v>
      </c>
      <c r="L53" s="3">
        <f>SUMIFS('Business - Dump'!$W:$W,'Business - Dump'!$D:$D,'SKU Repoprt'!$D53,'Business - Dump'!$A:$A,'SKU Repoprt'!L$1)</f>
        <v>0</v>
      </c>
      <c r="M53" s="3">
        <f>SUMIFS('Business - Dump'!$W:$W,'Business - Dump'!$D:$D,'SKU Repoprt'!$D53,'Business - Dump'!$A:$A,'SKU Repoprt'!M$1)</f>
        <v>0</v>
      </c>
      <c r="N53" s="3">
        <f>SUMIFS('Business - Dump'!$W:$W,'Business - Dump'!$D:$D,'SKU Repoprt'!$D53,'Business - Dump'!$A:$A,'SKU Repoprt'!N$1)</f>
        <v>0</v>
      </c>
      <c r="O53" s="3">
        <f>SUMIFS('Business - Dump'!$W:$W,'Business - Dump'!$D:$D,'SKU Repoprt'!$D53,'Business - Dump'!$A:$A,'SKU Repoprt'!O$1)</f>
        <v>0</v>
      </c>
      <c r="P53" s="3">
        <f>SUMIFS('Business - Dump'!$W:$W,'Business - Dump'!$D:$D,'SKU Repoprt'!$D53,'Business - Dump'!$A:$A,'SKU Repoprt'!P$1)</f>
        <v>0</v>
      </c>
      <c r="Q53" s="3">
        <f>SUMIFS('Business - Dump'!$W:$W,'Business - Dump'!$D:$D,'SKU Repoprt'!$D53,'Business - Dump'!$A:$A,'SKU Repoprt'!Q$1)</f>
        <v>0</v>
      </c>
      <c r="R53" s="3">
        <f>SUMIFS('Business - Dump'!$W:$W,'Business - Dump'!$D:$D,'SKU Repoprt'!$D53,'Business - Dump'!$A:$A,'SKU Repoprt'!R$1)</f>
        <v>0</v>
      </c>
      <c r="S53" s="3">
        <f>SUMIFS('Business - Dump'!$W:$W,'Business - Dump'!$D:$D,'SKU Repoprt'!$D53,'Business - Dump'!$A:$A,'SKU Repoprt'!S$1)</f>
        <v>1</v>
      </c>
      <c r="T53" s="3">
        <f>SUMIFS('Business - Dump'!$W:$W,'Business - Dump'!$D:$D,'SKU Repoprt'!$D53,'Business - Dump'!$A:$A,'SKU Repoprt'!T$1)</f>
        <v>0</v>
      </c>
      <c r="U53" s="3">
        <f>SUMIFS('Business - Dump'!$W:$W,'Business - Dump'!$D:$D,'SKU Repoprt'!$D53,'Business - Dump'!$A:$A,'SKU Repoprt'!U$1)</f>
        <v>0</v>
      </c>
      <c r="V53" s="3">
        <f>SUMIFS('Business - Dump'!$W:$W,'Business - Dump'!$D:$D,'SKU Repoprt'!$D53,'Business - Dump'!$A:$A,'SKU Repoprt'!V$1)</f>
        <v>0</v>
      </c>
      <c r="W53" s="3">
        <f>SUMIFS('Business - Dump'!$W:$W,'Business - Dump'!$D:$D,'SKU Repoprt'!$D53,'Business - Dump'!$A:$A,'SKU Repoprt'!W$1)</f>
        <v>0</v>
      </c>
    </row>
    <row r="54" ht="15.75" customHeight="1">
      <c r="A54" s="10" t="s">
        <v>217</v>
      </c>
      <c r="B54" s="10" t="s">
        <v>217</v>
      </c>
      <c r="C54" s="10"/>
      <c r="D54" s="10" t="s">
        <v>336</v>
      </c>
      <c r="E54" s="10" t="s">
        <v>26</v>
      </c>
      <c r="F54" s="16">
        <f t="shared" si="17"/>
        <v>2200</v>
      </c>
      <c r="G54" s="16">
        <f>SUMIFS('Business - Dump'!$U:$U,'Business - Dump'!$D:$D,'SKU Repoprt'!$D54,'Business - Dump'!$A:$A,'SKU Repoprt'!G$1)</f>
        <v>0</v>
      </c>
      <c r="H54" s="16">
        <f>SUMIFS('Business - Dump'!$U:$U,'Business - Dump'!$D:$D,'SKU Repoprt'!$D54,'Business - Dump'!$A:$A,'SKU Repoprt'!H$1)</f>
        <v>0</v>
      </c>
      <c r="I54" s="16">
        <f>SUMIFS('Business - Dump'!$U:$U,'Business - Dump'!$D:$D,'SKU Repoprt'!$D54,'Business - Dump'!$A:$A,'SKU Repoprt'!I$1)</f>
        <v>0</v>
      </c>
      <c r="J54" s="16">
        <f>SUMIFS('Business - Dump'!$U:$U,'Business - Dump'!$D:$D,'SKU Repoprt'!$D54,'Business - Dump'!$A:$A,'SKU Repoprt'!J$1)</f>
        <v>0</v>
      </c>
      <c r="K54" s="16">
        <f>SUMIFS('Business - Dump'!$U:$U,'Business - Dump'!$D:$D,'SKU Repoprt'!$D54,'Business - Dump'!$A:$A,'SKU Repoprt'!K$1)</f>
        <v>0</v>
      </c>
      <c r="L54" s="16">
        <f>SUMIFS('Business - Dump'!$U:$U,'Business - Dump'!$D:$D,'SKU Repoprt'!$D54,'Business - Dump'!$A:$A,'SKU Repoprt'!L$1)</f>
        <v>0</v>
      </c>
      <c r="M54" s="16">
        <f>SUMIFS('Business - Dump'!$U:$U,'Business - Dump'!$D:$D,'SKU Repoprt'!$D54,'Business - Dump'!$A:$A,'SKU Repoprt'!M$1)</f>
        <v>0</v>
      </c>
      <c r="N54" s="16">
        <f>SUMIFS('Business - Dump'!$U:$U,'Business - Dump'!$D:$D,'SKU Repoprt'!$D54,'Business - Dump'!$A:$A,'SKU Repoprt'!N$1)</f>
        <v>0</v>
      </c>
      <c r="O54" s="16">
        <f>SUMIFS('Business - Dump'!$U:$U,'Business - Dump'!$D:$D,'SKU Repoprt'!$D54,'Business - Dump'!$A:$A,'SKU Repoprt'!O$1)</f>
        <v>0</v>
      </c>
      <c r="P54" s="16">
        <f>SUMIFS('Business - Dump'!$U:$U,'Business - Dump'!$D:$D,'SKU Repoprt'!$D54,'Business - Dump'!$A:$A,'SKU Repoprt'!P$1)</f>
        <v>0</v>
      </c>
      <c r="Q54" s="16">
        <f>SUMIFS('Business - Dump'!$U:$U,'Business - Dump'!$D:$D,'SKU Repoprt'!$D54,'Business - Dump'!$A:$A,'SKU Repoprt'!Q$1)</f>
        <v>0</v>
      </c>
      <c r="R54" s="16">
        <f>SUMIFS('Business - Dump'!$U:$U,'Business - Dump'!$D:$D,'SKU Repoprt'!$D54,'Business - Dump'!$A:$A,'SKU Repoprt'!R$1)</f>
        <v>0</v>
      </c>
      <c r="S54" s="16">
        <f>SUMIFS('Business - Dump'!$U:$U,'Business - Dump'!$D:$D,'SKU Repoprt'!$D54,'Business - Dump'!$A:$A,'SKU Repoprt'!S$1)</f>
        <v>2200</v>
      </c>
      <c r="T54" s="16">
        <f>SUMIFS('Business - Dump'!$U:$U,'Business - Dump'!$D:$D,'SKU Repoprt'!$D54,'Business - Dump'!$A:$A,'SKU Repoprt'!T$1)</f>
        <v>0</v>
      </c>
      <c r="U54" s="16">
        <f>SUMIFS('Business - Dump'!$U:$U,'Business - Dump'!$D:$D,'SKU Repoprt'!$D54,'Business - Dump'!$A:$A,'SKU Repoprt'!U$1)</f>
        <v>0</v>
      </c>
      <c r="V54" s="16">
        <f>SUMIFS('Business - Dump'!$U:$U,'Business - Dump'!$D:$D,'SKU Repoprt'!$D54,'Business - Dump'!$A:$A,'SKU Repoprt'!V$1)</f>
        <v>0</v>
      </c>
      <c r="W54" s="16">
        <f>SUMIFS('Business - Dump'!$U:$U,'Business - Dump'!$D:$D,'SKU Repoprt'!$D54,'Business - Dump'!$A:$A,'SKU Repoprt'!W$1)</f>
        <v>0</v>
      </c>
    </row>
    <row r="55" ht="15.75" customHeight="1">
      <c r="A55" s="10" t="s">
        <v>217</v>
      </c>
      <c r="B55" s="10" t="s">
        <v>217</v>
      </c>
      <c r="C55" s="10"/>
      <c r="D55" s="10" t="s">
        <v>336</v>
      </c>
      <c r="E55" s="10" t="s">
        <v>29</v>
      </c>
      <c r="F55" s="17">
        <v>0.027042857142857143</v>
      </c>
      <c r="G55" s="17">
        <f t="shared" ref="G55:W55" si="18">IFERROR(G53/G50,0)</f>
        <v>0</v>
      </c>
      <c r="H55" s="17">
        <f t="shared" si="18"/>
        <v>0</v>
      </c>
      <c r="I55" s="17">
        <f t="shared" si="18"/>
        <v>0</v>
      </c>
      <c r="J55" s="17">
        <f t="shared" si="18"/>
        <v>0</v>
      </c>
      <c r="K55" s="17">
        <f t="shared" si="18"/>
        <v>0</v>
      </c>
      <c r="L55" s="17">
        <f t="shared" si="18"/>
        <v>0</v>
      </c>
      <c r="M55" s="17">
        <f t="shared" si="18"/>
        <v>0</v>
      </c>
      <c r="N55" s="17">
        <f t="shared" si="18"/>
        <v>0</v>
      </c>
      <c r="O55" s="17">
        <f t="shared" si="18"/>
        <v>0</v>
      </c>
      <c r="P55" s="17">
        <f t="shared" si="18"/>
        <v>0</v>
      </c>
      <c r="Q55" s="17">
        <f t="shared" si="18"/>
        <v>0</v>
      </c>
      <c r="R55" s="17">
        <f t="shared" si="18"/>
        <v>0</v>
      </c>
      <c r="S55" s="17">
        <f t="shared" si="18"/>
        <v>0.25</v>
      </c>
      <c r="T55" s="17">
        <f t="shared" si="18"/>
        <v>0</v>
      </c>
      <c r="U55" s="17">
        <f t="shared" si="18"/>
        <v>0</v>
      </c>
      <c r="V55" s="17">
        <f t="shared" si="18"/>
        <v>0</v>
      </c>
      <c r="W55" s="17">
        <f t="shared" si="18"/>
        <v>0</v>
      </c>
    </row>
    <row r="56" ht="15.75" customHeight="1">
      <c r="A56" s="10" t="s">
        <v>217</v>
      </c>
      <c r="B56" s="10" t="s">
        <v>217</v>
      </c>
      <c r="C56" s="10"/>
      <c r="D56" s="10" t="s">
        <v>338</v>
      </c>
      <c r="E56" s="10" t="s">
        <v>257</v>
      </c>
      <c r="F56" s="3">
        <f t="shared" ref="F56:F60" si="19">SUM(G56:S56)</f>
        <v>1041</v>
      </c>
      <c r="G56" s="3">
        <f>SUMIFS('Business - Dump'!$G:$G,'Business - Dump'!$D:$D,'SKU Repoprt'!$D56,'Business - Dump'!$A:$A,'SKU Repoprt'!G$1)</f>
        <v>0</v>
      </c>
      <c r="H56" s="3">
        <f>SUMIFS('Business - Dump'!$G:$G,'Business - Dump'!$D:$D,'SKU Repoprt'!$D56,'Business - Dump'!$A:$A,'SKU Repoprt'!H$1)</f>
        <v>0</v>
      </c>
      <c r="I56" s="3">
        <f>SUMIFS('Business - Dump'!$G:$G,'Business - Dump'!$D:$D,'SKU Repoprt'!$D56,'Business - Dump'!$A:$A,'SKU Repoprt'!I$1)</f>
        <v>0</v>
      </c>
      <c r="J56" s="3">
        <f>SUMIFS('Business - Dump'!$G:$G,'Business - Dump'!$D:$D,'SKU Repoprt'!$D56,'Business - Dump'!$A:$A,'SKU Repoprt'!J$1)</f>
        <v>0</v>
      </c>
      <c r="K56" s="3">
        <f>SUMIFS('Business - Dump'!$G:$G,'Business - Dump'!$D:$D,'SKU Repoprt'!$D56,'Business - Dump'!$A:$A,'SKU Repoprt'!K$1)</f>
        <v>142</v>
      </c>
      <c r="L56" s="3">
        <f>SUMIFS('Business - Dump'!$G:$G,'Business - Dump'!$D:$D,'SKU Repoprt'!$D56,'Business - Dump'!$A:$A,'SKU Repoprt'!L$1)</f>
        <v>552</v>
      </c>
      <c r="M56" s="3">
        <f>SUMIFS('Business - Dump'!$G:$G,'Business - Dump'!$D:$D,'SKU Repoprt'!$D56,'Business - Dump'!$A:$A,'SKU Repoprt'!M$1)</f>
        <v>281</v>
      </c>
      <c r="N56" s="3">
        <f>SUMIFS('Business - Dump'!$G:$G,'Business - Dump'!$D:$D,'SKU Repoprt'!$D56,'Business - Dump'!$A:$A,'SKU Repoprt'!N$1)</f>
        <v>0</v>
      </c>
      <c r="O56" s="3">
        <f>SUMIFS('Business - Dump'!$G:$G,'Business - Dump'!$D:$D,'SKU Repoprt'!$D56,'Business - Dump'!$A:$A,'SKU Repoprt'!O$1)</f>
        <v>66</v>
      </c>
      <c r="P56" s="3">
        <f>SUMIFS('Business - Dump'!$G:$G,'Business - Dump'!$D:$D,'SKU Repoprt'!$D56,'Business - Dump'!$A:$A,'SKU Repoprt'!P$1)</f>
        <v>0</v>
      </c>
      <c r="Q56" s="3">
        <f>SUMIFS('Business - Dump'!$G:$G,'Business - Dump'!$D:$D,'SKU Repoprt'!$D56,'Business - Dump'!$A:$A,'SKU Repoprt'!Q$1)</f>
        <v>0</v>
      </c>
      <c r="R56" s="3">
        <f>SUMIFS('Business - Dump'!$G:$G,'Business - Dump'!$D:$D,'SKU Repoprt'!$D56,'Business - Dump'!$A:$A,'SKU Repoprt'!R$1)</f>
        <v>0</v>
      </c>
      <c r="S56" s="3">
        <f>SUMIFS('Business - Dump'!$G:$G,'Business - Dump'!$D:$D,'SKU Repoprt'!$D56,'Business - Dump'!$A:$A,'SKU Repoprt'!S$1)</f>
        <v>0</v>
      </c>
      <c r="T56" s="3">
        <f>SUMIFS('Business - Dump'!$G:$G,'Business - Dump'!$D:$D,'SKU Repoprt'!$D56,'Business - Dump'!$A:$A,'SKU Repoprt'!T$1)</f>
        <v>0</v>
      </c>
      <c r="U56" s="3">
        <f>SUMIFS('Business - Dump'!$G:$G,'Business - Dump'!$D:$D,'SKU Repoprt'!$D56,'Business - Dump'!$A:$A,'SKU Repoprt'!U$1)</f>
        <v>0</v>
      </c>
      <c r="V56" s="3">
        <f>SUMIFS('Business - Dump'!$G:$G,'Business - Dump'!$D:$D,'SKU Repoprt'!$D56,'Business - Dump'!$A:$A,'SKU Repoprt'!V$1)</f>
        <v>0</v>
      </c>
      <c r="W56" s="3">
        <f>SUMIFS('Business - Dump'!$G:$G,'Business - Dump'!$D:$D,'SKU Repoprt'!$D56,'Business - Dump'!$A:$A,'SKU Repoprt'!W$1)</f>
        <v>0</v>
      </c>
    </row>
    <row r="57" ht="15.75" customHeight="1">
      <c r="A57" s="10" t="s">
        <v>217</v>
      </c>
      <c r="B57" s="10" t="s">
        <v>217</v>
      </c>
      <c r="C57" s="10"/>
      <c r="D57" s="10" t="s">
        <v>338</v>
      </c>
      <c r="E57" s="10" t="s">
        <v>260</v>
      </c>
      <c r="F57" s="3">
        <f t="shared" si="19"/>
        <v>1381</v>
      </c>
      <c r="G57" s="3">
        <f>SUMIFS('Business - Dump'!$K:$K,'Business - Dump'!$D:$D,'SKU Repoprt'!$D57,'Business - Dump'!$A:$A,'SKU Repoprt'!G$1)</f>
        <v>0</v>
      </c>
      <c r="H57" s="3">
        <f>SUMIFS('Business - Dump'!$K:$K,'Business - Dump'!$D:$D,'SKU Repoprt'!$D57,'Business - Dump'!$A:$A,'SKU Repoprt'!H$1)</f>
        <v>0</v>
      </c>
      <c r="I57" s="3">
        <f>SUMIFS('Business - Dump'!$K:$K,'Business - Dump'!$D:$D,'SKU Repoprt'!$D57,'Business - Dump'!$A:$A,'SKU Repoprt'!I$1)</f>
        <v>0</v>
      </c>
      <c r="J57" s="3">
        <f>SUMIFS('Business - Dump'!$K:$K,'Business - Dump'!$D:$D,'SKU Repoprt'!$D57,'Business - Dump'!$A:$A,'SKU Repoprt'!J$1)</f>
        <v>0</v>
      </c>
      <c r="K57" s="3">
        <f>SUMIFS('Business - Dump'!$K:$K,'Business - Dump'!$D:$D,'SKU Repoprt'!$D57,'Business - Dump'!$A:$A,'SKU Repoprt'!K$1)</f>
        <v>212</v>
      </c>
      <c r="L57" s="3">
        <f>SUMIFS('Business - Dump'!$K:$K,'Business - Dump'!$D:$D,'SKU Repoprt'!$D57,'Business - Dump'!$A:$A,'SKU Repoprt'!L$1)</f>
        <v>690</v>
      </c>
      <c r="M57" s="3">
        <f>SUMIFS('Business - Dump'!$K:$K,'Business - Dump'!$D:$D,'SKU Repoprt'!$D57,'Business - Dump'!$A:$A,'SKU Repoprt'!M$1)</f>
        <v>369</v>
      </c>
      <c r="N57" s="3">
        <f>SUMIFS('Business - Dump'!$K:$K,'Business - Dump'!$D:$D,'SKU Repoprt'!$D57,'Business - Dump'!$A:$A,'SKU Repoprt'!N$1)</f>
        <v>0</v>
      </c>
      <c r="O57" s="3">
        <f>SUMIFS('Business - Dump'!$K:$K,'Business - Dump'!$D:$D,'SKU Repoprt'!$D57,'Business - Dump'!$A:$A,'SKU Repoprt'!O$1)</f>
        <v>110</v>
      </c>
      <c r="P57" s="3">
        <f>SUMIFS('Business - Dump'!$K:$K,'Business - Dump'!$D:$D,'SKU Repoprt'!$D57,'Business - Dump'!$A:$A,'SKU Repoprt'!P$1)</f>
        <v>0</v>
      </c>
      <c r="Q57" s="3">
        <f>SUMIFS('Business - Dump'!$K:$K,'Business - Dump'!$D:$D,'SKU Repoprt'!$D57,'Business - Dump'!$A:$A,'SKU Repoprt'!Q$1)</f>
        <v>0</v>
      </c>
      <c r="R57" s="3">
        <f>SUMIFS('Business - Dump'!$K:$K,'Business - Dump'!$D:$D,'SKU Repoprt'!$D57,'Business - Dump'!$A:$A,'SKU Repoprt'!R$1)</f>
        <v>0</v>
      </c>
      <c r="S57" s="3">
        <f>SUMIFS('Business - Dump'!$K:$K,'Business - Dump'!$D:$D,'SKU Repoprt'!$D57,'Business - Dump'!$A:$A,'SKU Repoprt'!S$1)</f>
        <v>0</v>
      </c>
      <c r="T57" s="3">
        <f>SUMIFS('Business - Dump'!$K:$K,'Business - Dump'!$D:$D,'SKU Repoprt'!$D57,'Business - Dump'!$A:$A,'SKU Repoprt'!T$1)</f>
        <v>0</v>
      </c>
      <c r="U57" s="3">
        <f>SUMIFS('Business - Dump'!$K:$K,'Business - Dump'!$D:$D,'SKU Repoprt'!$D57,'Business - Dump'!$A:$A,'SKU Repoprt'!U$1)</f>
        <v>0</v>
      </c>
      <c r="V57" s="3">
        <f>SUMIFS('Business - Dump'!$K:$K,'Business - Dump'!$D:$D,'SKU Repoprt'!$D57,'Business - Dump'!$A:$A,'SKU Repoprt'!V$1)</f>
        <v>0</v>
      </c>
      <c r="W57" s="3">
        <f>SUMIFS('Business - Dump'!$K:$K,'Business - Dump'!$D:$D,'SKU Repoprt'!$D57,'Business - Dump'!$A:$A,'SKU Repoprt'!W$1)</f>
        <v>0</v>
      </c>
    </row>
    <row r="58" ht="15.75" customHeight="1">
      <c r="A58" s="10" t="s">
        <v>217</v>
      </c>
      <c r="B58" s="10" t="s">
        <v>217</v>
      </c>
      <c r="C58" s="10"/>
      <c r="D58" s="10" t="s">
        <v>338</v>
      </c>
      <c r="E58" s="10" t="s">
        <v>264</v>
      </c>
      <c r="F58" s="3">
        <f t="shared" si="19"/>
        <v>42</v>
      </c>
      <c r="G58" s="3">
        <f>SUMIFS('Business - Dump'!$Q:$Q,'Business - Dump'!$D:$D,'SKU Repoprt'!$D58,'Business - Dump'!$A:$A,'SKU Repoprt'!G$1)</f>
        <v>0</v>
      </c>
      <c r="H58" s="3">
        <f>SUMIFS('Business - Dump'!$Q:$Q,'Business - Dump'!$D:$D,'SKU Repoprt'!$D58,'Business - Dump'!$A:$A,'SKU Repoprt'!H$1)</f>
        <v>0</v>
      </c>
      <c r="I58" s="3">
        <f>SUMIFS('Business - Dump'!$Q:$Q,'Business - Dump'!$D:$D,'SKU Repoprt'!$D58,'Business - Dump'!$A:$A,'SKU Repoprt'!I$1)</f>
        <v>0</v>
      </c>
      <c r="J58" s="3">
        <f>SUMIFS('Business - Dump'!$Q:$Q,'Business - Dump'!$D:$D,'SKU Repoprt'!$D58,'Business - Dump'!$A:$A,'SKU Repoprt'!J$1)</f>
        <v>0</v>
      </c>
      <c r="K58" s="3">
        <f>SUMIFS('Business - Dump'!$Q:$Q,'Business - Dump'!$D:$D,'SKU Repoprt'!$D58,'Business - Dump'!$A:$A,'SKU Repoprt'!K$1)</f>
        <v>16</v>
      </c>
      <c r="L58" s="3">
        <f>SUMIFS('Business - Dump'!$Q:$Q,'Business - Dump'!$D:$D,'SKU Repoprt'!$D58,'Business - Dump'!$A:$A,'SKU Repoprt'!L$1)</f>
        <v>6</v>
      </c>
      <c r="M58" s="3">
        <f>SUMIFS('Business - Dump'!$Q:$Q,'Business - Dump'!$D:$D,'SKU Repoprt'!$D58,'Business - Dump'!$A:$A,'SKU Repoprt'!M$1)</f>
        <v>18</v>
      </c>
      <c r="N58" s="3">
        <f>SUMIFS('Business - Dump'!$Q:$Q,'Business - Dump'!$D:$D,'SKU Repoprt'!$D58,'Business - Dump'!$A:$A,'SKU Repoprt'!N$1)</f>
        <v>0</v>
      </c>
      <c r="O58" s="3">
        <f>SUMIFS('Business - Dump'!$Q:$Q,'Business - Dump'!$D:$D,'SKU Repoprt'!$D58,'Business - Dump'!$A:$A,'SKU Repoprt'!O$1)</f>
        <v>2</v>
      </c>
      <c r="P58" s="3">
        <f>SUMIFS('Business - Dump'!$Q:$Q,'Business - Dump'!$D:$D,'SKU Repoprt'!$D58,'Business - Dump'!$A:$A,'SKU Repoprt'!P$1)</f>
        <v>0</v>
      </c>
      <c r="Q58" s="3">
        <f>SUMIFS('Business - Dump'!$Q:$Q,'Business - Dump'!$D:$D,'SKU Repoprt'!$D58,'Business - Dump'!$A:$A,'SKU Repoprt'!Q$1)</f>
        <v>0</v>
      </c>
      <c r="R58" s="3">
        <f>SUMIFS('Business - Dump'!$Q:$Q,'Business - Dump'!$D:$D,'SKU Repoprt'!$D58,'Business - Dump'!$A:$A,'SKU Repoprt'!R$1)</f>
        <v>0</v>
      </c>
      <c r="S58" s="3">
        <f>SUMIFS('Business - Dump'!$Q:$Q,'Business - Dump'!$D:$D,'SKU Repoprt'!$D58,'Business - Dump'!$A:$A,'SKU Repoprt'!S$1)</f>
        <v>0</v>
      </c>
      <c r="T58" s="3">
        <f>SUMIFS('Business - Dump'!$Q:$Q,'Business - Dump'!$D:$D,'SKU Repoprt'!$D58,'Business - Dump'!$A:$A,'SKU Repoprt'!T$1)</f>
        <v>0</v>
      </c>
      <c r="U58" s="3">
        <f>SUMIFS('Business - Dump'!$Q:$Q,'Business - Dump'!$D:$D,'SKU Repoprt'!$D58,'Business - Dump'!$A:$A,'SKU Repoprt'!U$1)</f>
        <v>0</v>
      </c>
      <c r="V58" s="3">
        <f>SUMIFS('Business - Dump'!$Q:$Q,'Business - Dump'!$D:$D,'SKU Repoprt'!$D58,'Business - Dump'!$A:$A,'SKU Repoprt'!V$1)</f>
        <v>0</v>
      </c>
      <c r="W58" s="3">
        <f>SUMIFS('Business - Dump'!$Q:$Q,'Business - Dump'!$D:$D,'SKU Repoprt'!$D58,'Business - Dump'!$A:$A,'SKU Repoprt'!W$1)</f>
        <v>0</v>
      </c>
    </row>
    <row r="59" ht="15.75" customHeight="1">
      <c r="A59" s="10" t="s">
        <v>217</v>
      </c>
      <c r="B59" s="10" t="s">
        <v>217</v>
      </c>
      <c r="C59" s="10"/>
      <c r="D59" s="10" t="s">
        <v>338</v>
      </c>
      <c r="E59" s="10" t="s">
        <v>268</v>
      </c>
      <c r="F59" s="3">
        <f t="shared" si="19"/>
        <v>32</v>
      </c>
      <c r="G59" s="3">
        <f>SUMIFS('Business - Dump'!$W:$W,'Business - Dump'!$D:$D,'SKU Repoprt'!$D59,'Business - Dump'!$A:$A,'SKU Repoprt'!G$1)</f>
        <v>0</v>
      </c>
      <c r="H59" s="3">
        <f>SUMIFS('Business - Dump'!$W:$W,'Business - Dump'!$D:$D,'SKU Repoprt'!$D59,'Business - Dump'!$A:$A,'SKU Repoprt'!H$1)</f>
        <v>0</v>
      </c>
      <c r="I59" s="3">
        <f>SUMIFS('Business - Dump'!$W:$W,'Business - Dump'!$D:$D,'SKU Repoprt'!$D59,'Business - Dump'!$A:$A,'SKU Repoprt'!I$1)</f>
        <v>0</v>
      </c>
      <c r="J59" s="3">
        <f>SUMIFS('Business - Dump'!$W:$W,'Business - Dump'!$D:$D,'SKU Repoprt'!$D59,'Business - Dump'!$A:$A,'SKU Repoprt'!J$1)</f>
        <v>0</v>
      </c>
      <c r="K59" s="3">
        <f>SUMIFS('Business - Dump'!$W:$W,'Business - Dump'!$D:$D,'SKU Repoprt'!$D59,'Business - Dump'!$A:$A,'SKU Repoprt'!K$1)</f>
        <v>11</v>
      </c>
      <c r="L59" s="3">
        <f>SUMIFS('Business - Dump'!$W:$W,'Business - Dump'!$D:$D,'SKU Repoprt'!$D59,'Business - Dump'!$A:$A,'SKU Repoprt'!L$1)</f>
        <v>6</v>
      </c>
      <c r="M59" s="3">
        <f>SUMIFS('Business - Dump'!$W:$W,'Business - Dump'!$D:$D,'SKU Repoprt'!$D59,'Business - Dump'!$A:$A,'SKU Repoprt'!M$1)</f>
        <v>13</v>
      </c>
      <c r="N59" s="3">
        <f>SUMIFS('Business - Dump'!$W:$W,'Business - Dump'!$D:$D,'SKU Repoprt'!$D59,'Business - Dump'!$A:$A,'SKU Repoprt'!N$1)</f>
        <v>0</v>
      </c>
      <c r="O59" s="3">
        <f>SUMIFS('Business - Dump'!$W:$W,'Business - Dump'!$D:$D,'SKU Repoprt'!$D59,'Business - Dump'!$A:$A,'SKU Repoprt'!O$1)</f>
        <v>2</v>
      </c>
      <c r="P59" s="3">
        <f>SUMIFS('Business - Dump'!$W:$W,'Business - Dump'!$D:$D,'SKU Repoprt'!$D59,'Business - Dump'!$A:$A,'SKU Repoprt'!P$1)</f>
        <v>0</v>
      </c>
      <c r="Q59" s="3">
        <f>SUMIFS('Business - Dump'!$W:$W,'Business - Dump'!$D:$D,'SKU Repoprt'!$D59,'Business - Dump'!$A:$A,'SKU Repoprt'!Q$1)</f>
        <v>0</v>
      </c>
      <c r="R59" s="3">
        <f>SUMIFS('Business - Dump'!$W:$W,'Business - Dump'!$D:$D,'SKU Repoprt'!$D59,'Business - Dump'!$A:$A,'SKU Repoprt'!R$1)</f>
        <v>0</v>
      </c>
      <c r="S59" s="3">
        <f>SUMIFS('Business - Dump'!$W:$W,'Business - Dump'!$D:$D,'SKU Repoprt'!$D59,'Business - Dump'!$A:$A,'SKU Repoprt'!S$1)</f>
        <v>0</v>
      </c>
      <c r="T59" s="3">
        <f>SUMIFS('Business - Dump'!$W:$W,'Business - Dump'!$D:$D,'SKU Repoprt'!$D59,'Business - Dump'!$A:$A,'SKU Repoprt'!T$1)</f>
        <v>0</v>
      </c>
      <c r="U59" s="3">
        <f>SUMIFS('Business - Dump'!$W:$W,'Business - Dump'!$D:$D,'SKU Repoprt'!$D59,'Business - Dump'!$A:$A,'SKU Repoprt'!U$1)</f>
        <v>0</v>
      </c>
      <c r="V59" s="3">
        <f>SUMIFS('Business - Dump'!$W:$W,'Business - Dump'!$D:$D,'SKU Repoprt'!$D59,'Business - Dump'!$A:$A,'SKU Repoprt'!V$1)</f>
        <v>0</v>
      </c>
      <c r="W59" s="3">
        <f>SUMIFS('Business - Dump'!$W:$W,'Business - Dump'!$D:$D,'SKU Repoprt'!$D59,'Business - Dump'!$A:$A,'SKU Repoprt'!W$1)</f>
        <v>0</v>
      </c>
    </row>
    <row r="60" ht="15.75" customHeight="1">
      <c r="A60" s="10" t="s">
        <v>217</v>
      </c>
      <c r="B60" s="10" t="s">
        <v>217</v>
      </c>
      <c r="C60" s="10"/>
      <c r="D60" s="10" t="s">
        <v>338</v>
      </c>
      <c r="E60" s="10" t="s">
        <v>26</v>
      </c>
      <c r="F60" s="16">
        <f t="shared" si="19"/>
        <v>41783.77</v>
      </c>
      <c r="G60" s="16">
        <f>SUMIFS('Business - Dump'!$U:$U,'Business - Dump'!$D:$D,'SKU Repoprt'!$D60,'Business - Dump'!$A:$A,'SKU Repoprt'!G$1)</f>
        <v>0</v>
      </c>
      <c r="H60" s="16">
        <f>SUMIFS('Business - Dump'!$U:$U,'Business - Dump'!$D:$D,'SKU Repoprt'!$D60,'Business - Dump'!$A:$A,'SKU Repoprt'!H$1)</f>
        <v>0</v>
      </c>
      <c r="I60" s="16">
        <f>SUMIFS('Business - Dump'!$U:$U,'Business - Dump'!$D:$D,'SKU Repoprt'!$D60,'Business - Dump'!$A:$A,'SKU Repoprt'!I$1)</f>
        <v>0</v>
      </c>
      <c r="J60" s="16">
        <f>SUMIFS('Business - Dump'!$U:$U,'Business - Dump'!$D:$D,'SKU Repoprt'!$D60,'Business - Dump'!$A:$A,'SKU Repoprt'!J$1)</f>
        <v>0</v>
      </c>
      <c r="K60" s="16">
        <f>SUMIFS('Business - Dump'!$U:$U,'Business - Dump'!$D:$D,'SKU Repoprt'!$D60,'Business - Dump'!$A:$A,'SKU Repoprt'!K$1)</f>
        <v>15064.77</v>
      </c>
      <c r="L60" s="16">
        <f>SUMIFS('Business - Dump'!$U:$U,'Business - Dump'!$D:$D,'SKU Repoprt'!$D60,'Business - Dump'!$A:$A,'SKU Repoprt'!L$1)</f>
        <v>5739</v>
      </c>
      <c r="M60" s="16">
        <f>SUMIFS('Business - Dump'!$U:$U,'Business - Dump'!$D:$D,'SKU Repoprt'!$D60,'Business - Dump'!$A:$A,'SKU Repoprt'!M$1)</f>
        <v>17982</v>
      </c>
      <c r="N60" s="16">
        <f>SUMIFS('Business - Dump'!$U:$U,'Business - Dump'!$D:$D,'SKU Repoprt'!$D60,'Business - Dump'!$A:$A,'SKU Repoprt'!N$1)</f>
        <v>0</v>
      </c>
      <c r="O60" s="16">
        <f>SUMIFS('Business - Dump'!$U:$U,'Business - Dump'!$D:$D,'SKU Repoprt'!$D60,'Business - Dump'!$A:$A,'SKU Repoprt'!O$1)</f>
        <v>2998</v>
      </c>
      <c r="P60" s="16">
        <f>SUMIFS('Business - Dump'!$U:$U,'Business - Dump'!$D:$D,'SKU Repoprt'!$D60,'Business - Dump'!$A:$A,'SKU Repoprt'!P$1)</f>
        <v>0</v>
      </c>
      <c r="Q60" s="16">
        <f>SUMIFS('Business - Dump'!$U:$U,'Business - Dump'!$D:$D,'SKU Repoprt'!$D60,'Business - Dump'!$A:$A,'SKU Repoprt'!Q$1)</f>
        <v>0</v>
      </c>
      <c r="R60" s="16">
        <f>SUMIFS('Business - Dump'!$U:$U,'Business - Dump'!$D:$D,'SKU Repoprt'!$D60,'Business - Dump'!$A:$A,'SKU Repoprt'!R$1)</f>
        <v>0</v>
      </c>
      <c r="S60" s="16">
        <f>SUMIFS('Business - Dump'!$U:$U,'Business - Dump'!$D:$D,'SKU Repoprt'!$D60,'Business - Dump'!$A:$A,'SKU Repoprt'!S$1)</f>
        <v>0</v>
      </c>
      <c r="T60" s="16">
        <f>SUMIFS('Business - Dump'!$U:$U,'Business - Dump'!$D:$D,'SKU Repoprt'!$D60,'Business - Dump'!$A:$A,'SKU Repoprt'!T$1)</f>
        <v>0</v>
      </c>
      <c r="U60" s="16">
        <f>SUMIFS('Business - Dump'!$U:$U,'Business - Dump'!$D:$D,'SKU Repoprt'!$D60,'Business - Dump'!$A:$A,'SKU Repoprt'!U$1)</f>
        <v>0</v>
      </c>
      <c r="V60" s="16">
        <f>SUMIFS('Business - Dump'!$U:$U,'Business - Dump'!$D:$D,'SKU Repoprt'!$D60,'Business - Dump'!$A:$A,'SKU Repoprt'!V$1)</f>
        <v>0</v>
      </c>
      <c r="W60" s="16">
        <f>SUMIFS('Business - Dump'!$U:$U,'Business - Dump'!$D:$D,'SKU Repoprt'!$D60,'Business - Dump'!$A:$A,'SKU Repoprt'!W$1)</f>
        <v>0</v>
      </c>
    </row>
    <row r="61" ht="15.75" customHeight="1">
      <c r="A61" s="10" t="s">
        <v>217</v>
      </c>
      <c r="B61" s="10" t="s">
        <v>217</v>
      </c>
      <c r="C61" s="10"/>
      <c r="D61" s="10" t="s">
        <v>338</v>
      </c>
      <c r="E61" s="10" t="s">
        <v>29</v>
      </c>
      <c r="F61" s="17">
        <v>0.027042857142857143</v>
      </c>
      <c r="G61" s="17">
        <f t="shared" ref="G61:W61" si="20">IFERROR(G59/G56,0)</f>
        <v>0</v>
      </c>
      <c r="H61" s="17">
        <f t="shared" si="20"/>
        <v>0</v>
      </c>
      <c r="I61" s="17">
        <f t="shared" si="20"/>
        <v>0</v>
      </c>
      <c r="J61" s="17">
        <f t="shared" si="20"/>
        <v>0</v>
      </c>
      <c r="K61" s="17">
        <f t="shared" si="20"/>
        <v>0.07746478873</v>
      </c>
      <c r="L61" s="17">
        <f t="shared" si="20"/>
        <v>0.01086956522</v>
      </c>
      <c r="M61" s="17">
        <f t="shared" si="20"/>
        <v>0.0462633452</v>
      </c>
      <c r="N61" s="17">
        <f t="shared" si="20"/>
        <v>0</v>
      </c>
      <c r="O61" s="17">
        <f t="shared" si="20"/>
        <v>0.0303030303</v>
      </c>
      <c r="P61" s="17">
        <f t="shared" si="20"/>
        <v>0</v>
      </c>
      <c r="Q61" s="17">
        <f t="shared" si="20"/>
        <v>0</v>
      </c>
      <c r="R61" s="17">
        <f t="shared" si="20"/>
        <v>0</v>
      </c>
      <c r="S61" s="17">
        <f t="shared" si="20"/>
        <v>0</v>
      </c>
      <c r="T61" s="17">
        <f t="shared" si="20"/>
        <v>0</v>
      </c>
      <c r="U61" s="17">
        <f t="shared" si="20"/>
        <v>0</v>
      </c>
      <c r="V61" s="17">
        <f t="shared" si="20"/>
        <v>0</v>
      </c>
      <c r="W61" s="17">
        <f t="shared" si="20"/>
        <v>0</v>
      </c>
    </row>
    <row r="62" ht="15.75" customHeight="1">
      <c r="A62" s="10" t="s">
        <v>217</v>
      </c>
      <c r="B62" s="10" t="s">
        <v>217</v>
      </c>
      <c r="C62" s="10"/>
      <c r="D62" s="10" t="s">
        <v>340</v>
      </c>
      <c r="E62" s="10" t="s">
        <v>257</v>
      </c>
      <c r="F62" s="3">
        <f t="shared" ref="F62:F66" si="21">SUM(G62:S62)</f>
        <v>201</v>
      </c>
      <c r="G62" s="3">
        <f>SUMIFS('Business - Dump'!$G:$G,'Business - Dump'!$D:$D,'SKU Repoprt'!$D62,'Business - Dump'!$A:$A,'SKU Repoprt'!G$1)</f>
        <v>0</v>
      </c>
      <c r="H62" s="3">
        <f>SUMIFS('Business - Dump'!$G:$G,'Business - Dump'!$D:$D,'SKU Repoprt'!$D62,'Business - Dump'!$A:$A,'SKU Repoprt'!H$1)</f>
        <v>0</v>
      </c>
      <c r="I62" s="3">
        <f>SUMIFS('Business - Dump'!$G:$G,'Business - Dump'!$D:$D,'SKU Repoprt'!$D62,'Business - Dump'!$A:$A,'SKU Repoprt'!I$1)</f>
        <v>0</v>
      </c>
      <c r="J62" s="3">
        <f>SUMIFS('Business - Dump'!$G:$G,'Business - Dump'!$D:$D,'SKU Repoprt'!$D62,'Business - Dump'!$A:$A,'SKU Repoprt'!J$1)</f>
        <v>0</v>
      </c>
      <c r="K62" s="3">
        <f>SUMIFS('Business - Dump'!$G:$G,'Business - Dump'!$D:$D,'SKU Repoprt'!$D62,'Business - Dump'!$A:$A,'SKU Repoprt'!K$1)</f>
        <v>0</v>
      </c>
      <c r="L62" s="3">
        <f>SUMIFS('Business - Dump'!$G:$G,'Business - Dump'!$D:$D,'SKU Repoprt'!$D62,'Business - Dump'!$A:$A,'SKU Repoprt'!L$1)</f>
        <v>0</v>
      </c>
      <c r="M62" s="3">
        <f>SUMIFS('Business - Dump'!$G:$G,'Business - Dump'!$D:$D,'SKU Repoprt'!$D62,'Business - Dump'!$A:$A,'SKU Repoprt'!M$1)</f>
        <v>0</v>
      </c>
      <c r="N62" s="3">
        <f>SUMIFS('Business - Dump'!$G:$G,'Business - Dump'!$D:$D,'SKU Repoprt'!$D62,'Business - Dump'!$A:$A,'SKU Repoprt'!N$1)</f>
        <v>0</v>
      </c>
      <c r="O62" s="3">
        <f>SUMIFS('Business - Dump'!$G:$G,'Business - Dump'!$D:$D,'SKU Repoprt'!$D62,'Business - Dump'!$A:$A,'SKU Repoprt'!O$1)</f>
        <v>0</v>
      </c>
      <c r="P62" s="3">
        <f>SUMIFS('Business - Dump'!$G:$G,'Business - Dump'!$D:$D,'SKU Repoprt'!$D62,'Business - Dump'!$A:$A,'SKU Repoprt'!P$1)</f>
        <v>65</v>
      </c>
      <c r="Q62" s="3">
        <f>SUMIFS('Business - Dump'!$G:$G,'Business - Dump'!$D:$D,'SKU Repoprt'!$D62,'Business - Dump'!$A:$A,'SKU Repoprt'!Q$1)</f>
        <v>128</v>
      </c>
      <c r="R62" s="3">
        <f>SUMIFS('Business - Dump'!$G:$G,'Business - Dump'!$D:$D,'SKU Repoprt'!$D62,'Business - Dump'!$A:$A,'SKU Repoprt'!R$1)</f>
        <v>8</v>
      </c>
      <c r="S62" s="3">
        <f>SUMIFS('Business - Dump'!$G:$G,'Business - Dump'!$D:$D,'SKU Repoprt'!$D62,'Business - Dump'!$A:$A,'SKU Repoprt'!S$1)</f>
        <v>0</v>
      </c>
      <c r="T62" s="3">
        <f>SUMIFS('Business - Dump'!$G:$G,'Business - Dump'!$D:$D,'SKU Repoprt'!$D62,'Business - Dump'!$A:$A,'SKU Repoprt'!T$1)</f>
        <v>0</v>
      </c>
      <c r="U62" s="3">
        <f>SUMIFS('Business - Dump'!$G:$G,'Business - Dump'!$D:$D,'SKU Repoprt'!$D62,'Business - Dump'!$A:$A,'SKU Repoprt'!U$1)</f>
        <v>55</v>
      </c>
      <c r="V62" s="3">
        <f>SUMIFS('Business - Dump'!$G:$G,'Business - Dump'!$D:$D,'SKU Repoprt'!$D62,'Business - Dump'!$A:$A,'SKU Repoprt'!V$1)</f>
        <v>0</v>
      </c>
      <c r="W62" s="3">
        <f>SUMIFS('Business - Dump'!$G:$G,'Business - Dump'!$D:$D,'SKU Repoprt'!$D62,'Business - Dump'!$A:$A,'SKU Repoprt'!W$1)</f>
        <v>0</v>
      </c>
    </row>
    <row r="63" ht="15.75" customHeight="1">
      <c r="A63" s="10" t="s">
        <v>217</v>
      </c>
      <c r="B63" s="10" t="s">
        <v>217</v>
      </c>
      <c r="C63" s="10"/>
      <c r="D63" s="10" t="s">
        <v>340</v>
      </c>
      <c r="E63" s="10" t="s">
        <v>260</v>
      </c>
      <c r="F63" s="3">
        <f t="shared" si="21"/>
        <v>250</v>
      </c>
      <c r="G63" s="3">
        <f>SUMIFS('Business - Dump'!$K:$K,'Business - Dump'!$D:$D,'SKU Repoprt'!$D63,'Business - Dump'!$A:$A,'SKU Repoprt'!G$1)</f>
        <v>0</v>
      </c>
      <c r="H63" s="3">
        <f>SUMIFS('Business - Dump'!$K:$K,'Business - Dump'!$D:$D,'SKU Repoprt'!$D63,'Business - Dump'!$A:$A,'SKU Repoprt'!H$1)</f>
        <v>0</v>
      </c>
      <c r="I63" s="3">
        <f>SUMIFS('Business - Dump'!$K:$K,'Business - Dump'!$D:$D,'SKU Repoprt'!$D63,'Business - Dump'!$A:$A,'SKU Repoprt'!I$1)</f>
        <v>0</v>
      </c>
      <c r="J63" s="3">
        <f>SUMIFS('Business - Dump'!$K:$K,'Business - Dump'!$D:$D,'SKU Repoprt'!$D63,'Business - Dump'!$A:$A,'SKU Repoprt'!J$1)</f>
        <v>0</v>
      </c>
      <c r="K63" s="3">
        <f>SUMIFS('Business - Dump'!$K:$K,'Business - Dump'!$D:$D,'SKU Repoprt'!$D63,'Business - Dump'!$A:$A,'SKU Repoprt'!K$1)</f>
        <v>0</v>
      </c>
      <c r="L63" s="3">
        <f>SUMIFS('Business - Dump'!$K:$K,'Business - Dump'!$D:$D,'SKU Repoprt'!$D63,'Business - Dump'!$A:$A,'SKU Repoprt'!L$1)</f>
        <v>0</v>
      </c>
      <c r="M63" s="3">
        <f>SUMIFS('Business - Dump'!$K:$K,'Business - Dump'!$D:$D,'SKU Repoprt'!$D63,'Business - Dump'!$A:$A,'SKU Repoprt'!M$1)</f>
        <v>0</v>
      </c>
      <c r="N63" s="3">
        <f>SUMIFS('Business - Dump'!$K:$K,'Business - Dump'!$D:$D,'SKU Repoprt'!$D63,'Business - Dump'!$A:$A,'SKU Repoprt'!N$1)</f>
        <v>0</v>
      </c>
      <c r="O63" s="3">
        <f>SUMIFS('Business - Dump'!$K:$K,'Business - Dump'!$D:$D,'SKU Repoprt'!$D63,'Business - Dump'!$A:$A,'SKU Repoprt'!O$1)</f>
        <v>0</v>
      </c>
      <c r="P63" s="3">
        <f>SUMIFS('Business - Dump'!$K:$K,'Business - Dump'!$D:$D,'SKU Repoprt'!$D63,'Business - Dump'!$A:$A,'SKU Repoprt'!P$1)</f>
        <v>75</v>
      </c>
      <c r="Q63" s="3">
        <f>SUMIFS('Business - Dump'!$K:$K,'Business - Dump'!$D:$D,'SKU Repoprt'!$D63,'Business - Dump'!$A:$A,'SKU Repoprt'!Q$1)</f>
        <v>163</v>
      </c>
      <c r="R63" s="3">
        <f>SUMIFS('Business - Dump'!$K:$K,'Business - Dump'!$D:$D,'SKU Repoprt'!$D63,'Business - Dump'!$A:$A,'SKU Repoprt'!R$1)</f>
        <v>12</v>
      </c>
      <c r="S63" s="3">
        <f>SUMIFS('Business - Dump'!$K:$K,'Business - Dump'!$D:$D,'SKU Repoprt'!$D63,'Business - Dump'!$A:$A,'SKU Repoprt'!S$1)</f>
        <v>0</v>
      </c>
      <c r="T63" s="3">
        <f>SUMIFS('Business - Dump'!$K:$K,'Business - Dump'!$D:$D,'SKU Repoprt'!$D63,'Business - Dump'!$A:$A,'SKU Repoprt'!T$1)</f>
        <v>0</v>
      </c>
      <c r="U63" s="3">
        <f>SUMIFS('Business - Dump'!$K:$K,'Business - Dump'!$D:$D,'SKU Repoprt'!$D63,'Business - Dump'!$A:$A,'SKU Repoprt'!U$1)</f>
        <v>72</v>
      </c>
      <c r="V63" s="3">
        <f>SUMIFS('Business - Dump'!$K:$K,'Business - Dump'!$D:$D,'SKU Repoprt'!$D63,'Business - Dump'!$A:$A,'SKU Repoprt'!V$1)</f>
        <v>0</v>
      </c>
      <c r="W63" s="3">
        <f>SUMIFS('Business - Dump'!$K:$K,'Business - Dump'!$D:$D,'SKU Repoprt'!$D63,'Business - Dump'!$A:$A,'SKU Repoprt'!W$1)</f>
        <v>0</v>
      </c>
    </row>
    <row r="64" ht="15.75" customHeight="1">
      <c r="A64" s="10" t="s">
        <v>217</v>
      </c>
      <c r="B64" s="10" t="s">
        <v>217</v>
      </c>
      <c r="C64" s="10"/>
      <c r="D64" s="10" t="s">
        <v>340</v>
      </c>
      <c r="E64" s="10" t="s">
        <v>264</v>
      </c>
      <c r="F64" s="3">
        <f t="shared" si="21"/>
        <v>4</v>
      </c>
      <c r="G64" s="3">
        <f>SUMIFS('Business - Dump'!$Q:$Q,'Business - Dump'!$D:$D,'SKU Repoprt'!$D64,'Business - Dump'!$A:$A,'SKU Repoprt'!G$1)</f>
        <v>0</v>
      </c>
      <c r="H64" s="3">
        <f>SUMIFS('Business - Dump'!$Q:$Q,'Business - Dump'!$D:$D,'SKU Repoprt'!$D64,'Business - Dump'!$A:$A,'SKU Repoprt'!H$1)</f>
        <v>0</v>
      </c>
      <c r="I64" s="3">
        <f>SUMIFS('Business - Dump'!$Q:$Q,'Business - Dump'!$D:$D,'SKU Repoprt'!$D64,'Business - Dump'!$A:$A,'SKU Repoprt'!I$1)</f>
        <v>0</v>
      </c>
      <c r="J64" s="3">
        <f>SUMIFS('Business - Dump'!$Q:$Q,'Business - Dump'!$D:$D,'SKU Repoprt'!$D64,'Business - Dump'!$A:$A,'SKU Repoprt'!J$1)</f>
        <v>0</v>
      </c>
      <c r="K64" s="3">
        <f>SUMIFS('Business - Dump'!$Q:$Q,'Business - Dump'!$D:$D,'SKU Repoprt'!$D64,'Business - Dump'!$A:$A,'SKU Repoprt'!K$1)</f>
        <v>0</v>
      </c>
      <c r="L64" s="3">
        <f>SUMIFS('Business - Dump'!$Q:$Q,'Business - Dump'!$D:$D,'SKU Repoprt'!$D64,'Business - Dump'!$A:$A,'SKU Repoprt'!L$1)</f>
        <v>0</v>
      </c>
      <c r="M64" s="3">
        <f>SUMIFS('Business - Dump'!$Q:$Q,'Business - Dump'!$D:$D,'SKU Repoprt'!$D64,'Business - Dump'!$A:$A,'SKU Repoprt'!M$1)</f>
        <v>0</v>
      </c>
      <c r="N64" s="3">
        <f>SUMIFS('Business - Dump'!$Q:$Q,'Business - Dump'!$D:$D,'SKU Repoprt'!$D64,'Business - Dump'!$A:$A,'SKU Repoprt'!N$1)</f>
        <v>0</v>
      </c>
      <c r="O64" s="3">
        <f>SUMIFS('Business - Dump'!$Q:$Q,'Business - Dump'!$D:$D,'SKU Repoprt'!$D64,'Business - Dump'!$A:$A,'SKU Repoprt'!O$1)</f>
        <v>0</v>
      </c>
      <c r="P64" s="3">
        <f>SUMIFS('Business - Dump'!$Q:$Q,'Business - Dump'!$D:$D,'SKU Repoprt'!$D64,'Business - Dump'!$A:$A,'SKU Repoprt'!P$1)</f>
        <v>0</v>
      </c>
      <c r="Q64" s="3">
        <f>SUMIFS('Business - Dump'!$Q:$Q,'Business - Dump'!$D:$D,'SKU Repoprt'!$D64,'Business - Dump'!$A:$A,'SKU Repoprt'!Q$1)</f>
        <v>4</v>
      </c>
      <c r="R64" s="3">
        <f>SUMIFS('Business - Dump'!$Q:$Q,'Business - Dump'!$D:$D,'SKU Repoprt'!$D64,'Business - Dump'!$A:$A,'SKU Repoprt'!R$1)</f>
        <v>0</v>
      </c>
      <c r="S64" s="3">
        <f>SUMIFS('Business - Dump'!$Q:$Q,'Business - Dump'!$D:$D,'SKU Repoprt'!$D64,'Business - Dump'!$A:$A,'SKU Repoprt'!S$1)</f>
        <v>0</v>
      </c>
      <c r="T64" s="3">
        <f>SUMIFS('Business - Dump'!$Q:$Q,'Business - Dump'!$D:$D,'SKU Repoprt'!$D64,'Business - Dump'!$A:$A,'SKU Repoprt'!T$1)</f>
        <v>0</v>
      </c>
      <c r="U64" s="3">
        <f>SUMIFS('Business - Dump'!$Q:$Q,'Business - Dump'!$D:$D,'SKU Repoprt'!$D64,'Business - Dump'!$A:$A,'SKU Repoprt'!U$1)</f>
        <v>0</v>
      </c>
      <c r="V64" s="3">
        <f>SUMIFS('Business - Dump'!$Q:$Q,'Business - Dump'!$D:$D,'SKU Repoprt'!$D64,'Business - Dump'!$A:$A,'SKU Repoprt'!V$1)</f>
        <v>0</v>
      </c>
      <c r="W64" s="3">
        <f>SUMIFS('Business - Dump'!$Q:$Q,'Business - Dump'!$D:$D,'SKU Repoprt'!$D64,'Business - Dump'!$A:$A,'SKU Repoprt'!W$1)</f>
        <v>0</v>
      </c>
    </row>
    <row r="65" ht="15.75" customHeight="1">
      <c r="A65" s="10" t="s">
        <v>217</v>
      </c>
      <c r="B65" s="10" t="s">
        <v>217</v>
      </c>
      <c r="C65" s="10"/>
      <c r="D65" s="10" t="s">
        <v>340</v>
      </c>
      <c r="E65" s="10" t="s">
        <v>268</v>
      </c>
      <c r="F65" s="3">
        <f t="shared" si="21"/>
        <v>4</v>
      </c>
      <c r="G65" s="3">
        <f>SUMIFS('Business - Dump'!$W:$W,'Business - Dump'!$D:$D,'SKU Repoprt'!$D65,'Business - Dump'!$A:$A,'SKU Repoprt'!G$1)</f>
        <v>0</v>
      </c>
      <c r="H65" s="3">
        <f>SUMIFS('Business - Dump'!$W:$W,'Business - Dump'!$D:$D,'SKU Repoprt'!$D65,'Business - Dump'!$A:$A,'SKU Repoprt'!H$1)</f>
        <v>0</v>
      </c>
      <c r="I65" s="3">
        <f>SUMIFS('Business - Dump'!$W:$W,'Business - Dump'!$D:$D,'SKU Repoprt'!$D65,'Business - Dump'!$A:$A,'SKU Repoprt'!I$1)</f>
        <v>0</v>
      </c>
      <c r="J65" s="3">
        <f>SUMIFS('Business - Dump'!$W:$W,'Business - Dump'!$D:$D,'SKU Repoprt'!$D65,'Business - Dump'!$A:$A,'SKU Repoprt'!J$1)</f>
        <v>0</v>
      </c>
      <c r="K65" s="3">
        <f>SUMIFS('Business - Dump'!$W:$W,'Business - Dump'!$D:$D,'SKU Repoprt'!$D65,'Business - Dump'!$A:$A,'SKU Repoprt'!K$1)</f>
        <v>0</v>
      </c>
      <c r="L65" s="3">
        <f>SUMIFS('Business - Dump'!$W:$W,'Business - Dump'!$D:$D,'SKU Repoprt'!$D65,'Business - Dump'!$A:$A,'SKU Repoprt'!L$1)</f>
        <v>0</v>
      </c>
      <c r="M65" s="3">
        <f>SUMIFS('Business - Dump'!$W:$W,'Business - Dump'!$D:$D,'SKU Repoprt'!$D65,'Business - Dump'!$A:$A,'SKU Repoprt'!M$1)</f>
        <v>0</v>
      </c>
      <c r="N65" s="3">
        <f>SUMIFS('Business - Dump'!$W:$W,'Business - Dump'!$D:$D,'SKU Repoprt'!$D65,'Business - Dump'!$A:$A,'SKU Repoprt'!N$1)</f>
        <v>0</v>
      </c>
      <c r="O65" s="3">
        <f>SUMIFS('Business - Dump'!$W:$W,'Business - Dump'!$D:$D,'SKU Repoprt'!$D65,'Business - Dump'!$A:$A,'SKU Repoprt'!O$1)</f>
        <v>0</v>
      </c>
      <c r="P65" s="3">
        <f>SUMIFS('Business - Dump'!$W:$W,'Business - Dump'!$D:$D,'SKU Repoprt'!$D65,'Business - Dump'!$A:$A,'SKU Repoprt'!P$1)</f>
        <v>0</v>
      </c>
      <c r="Q65" s="3">
        <f>SUMIFS('Business - Dump'!$W:$W,'Business - Dump'!$D:$D,'SKU Repoprt'!$D65,'Business - Dump'!$A:$A,'SKU Repoprt'!Q$1)</f>
        <v>4</v>
      </c>
      <c r="R65" s="3">
        <f>SUMIFS('Business - Dump'!$W:$W,'Business - Dump'!$D:$D,'SKU Repoprt'!$D65,'Business - Dump'!$A:$A,'SKU Repoprt'!R$1)</f>
        <v>0</v>
      </c>
      <c r="S65" s="3">
        <f>SUMIFS('Business - Dump'!$W:$W,'Business - Dump'!$D:$D,'SKU Repoprt'!$D65,'Business - Dump'!$A:$A,'SKU Repoprt'!S$1)</f>
        <v>0</v>
      </c>
      <c r="T65" s="3">
        <f>SUMIFS('Business - Dump'!$W:$W,'Business - Dump'!$D:$D,'SKU Repoprt'!$D65,'Business - Dump'!$A:$A,'SKU Repoprt'!T$1)</f>
        <v>0</v>
      </c>
      <c r="U65" s="3">
        <f>SUMIFS('Business - Dump'!$W:$W,'Business - Dump'!$D:$D,'SKU Repoprt'!$D65,'Business - Dump'!$A:$A,'SKU Repoprt'!U$1)</f>
        <v>0</v>
      </c>
      <c r="V65" s="3">
        <f>SUMIFS('Business - Dump'!$W:$W,'Business - Dump'!$D:$D,'SKU Repoprt'!$D65,'Business - Dump'!$A:$A,'SKU Repoprt'!V$1)</f>
        <v>0</v>
      </c>
      <c r="W65" s="3">
        <f>SUMIFS('Business - Dump'!$W:$W,'Business - Dump'!$D:$D,'SKU Repoprt'!$D65,'Business - Dump'!$A:$A,'SKU Repoprt'!W$1)</f>
        <v>0</v>
      </c>
    </row>
    <row r="66" ht="15.75" customHeight="1">
      <c r="A66" s="10" t="s">
        <v>217</v>
      </c>
      <c r="B66" s="10" t="s">
        <v>217</v>
      </c>
      <c r="C66" s="10"/>
      <c r="D66" s="10" t="s">
        <v>340</v>
      </c>
      <c r="E66" s="10" t="s">
        <v>26</v>
      </c>
      <c r="F66" s="16">
        <f t="shared" si="21"/>
        <v>3996</v>
      </c>
      <c r="G66" s="16">
        <f>SUMIFS('Business - Dump'!$U:$U,'Business - Dump'!$D:$D,'SKU Repoprt'!$D66,'Business - Dump'!$A:$A,'SKU Repoprt'!G$1)</f>
        <v>0</v>
      </c>
      <c r="H66" s="16">
        <f>SUMIFS('Business - Dump'!$U:$U,'Business - Dump'!$D:$D,'SKU Repoprt'!$D66,'Business - Dump'!$A:$A,'SKU Repoprt'!H$1)</f>
        <v>0</v>
      </c>
      <c r="I66" s="16">
        <f>SUMIFS('Business - Dump'!$U:$U,'Business - Dump'!$D:$D,'SKU Repoprt'!$D66,'Business - Dump'!$A:$A,'SKU Repoprt'!I$1)</f>
        <v>0</v>
      </c>
      <c r="J66" s="16">
        <f>SUMIFS('Business - Dump'!$U:$U,'Business - Dump'!$D:$D,'SKU Repoprt'!$D66,'Business - Dump'!$A:$A,'SKU Repoprt'!J$1)</f>
        <v>0</v>
      </c>
      <c r="K66" s="16">
        <f>SUMIFS('Business - Dump'!$U:$U,'Business - Dump'!$D:$D,'SKU Repoprt'!$D66,'Business - Dump'!$A:$A,'SKU Repoprt'!K$1)</f>
        <v>0</v>
      </c>
      <c r="L66" s="16">
        <f>SUMIFS('Business - Dump'!$U:$U,'Business - Dump'!$D:$D,'SKU Repoprt'!$D66,'Business - Dump'!$A:$A,'SKU Repoprt'!L$1)</f>
        <v>0</v>
      </c>
      <c r="M66" s="16">
        <f>SUMIFS('Business - Dump'!$U:$U,'Business - Dump'!$D:$D,'SKU Repoprt'!$D66,'Business - Dump'!$A:$A,'SKU Repoprt'!M$1)</f>
        <v>0</v>
      </c>
      <c r="N66" s="16">
        <f>SUMIFS('Business - Dump'!$U:$U,'Business - Dump'!$D:$D,'SKU Repoprt'!$D66,'Business - Dump'!$A:$A,'SKU Repoprt'!N$1)</f>
        <v>0</v>
      </c>
      <c r="O66" s="16">
        <f>SUMIFS('Business - Dump'!$U:$U,'Business - Dump'!$D:$D,'SKU Repoprt'!$D66,'Business - Dump'!$A:$A,'SKU Repoprt'!O$1)</f>
        <v>0</v>
      </c>
      <c r="P66" s="16">
        <f>SUMIFS('Business - Dump'!$U:$U,'Business - Dump'!$D:$D,'SKU Repoprt'!$D66,'Business - Dump'!$A:$A,'SKU Repoprt'!P$1)</f>
        <v>0</v>
      </c>
      <c r="Q66" s="16">
        <f>SUMIFS('Business - Dump'!$U:$U,'Business - Dump'!$D:$D,'SKU Repoprt'!$D66,'Business - Dump'!$A:$A,'SKU Repoprt'!Q$1)</f>
        <v>3996</v>
      </c>
      <c r="R66" s="16">
        <f>SUMIFS('Business - Dump'!$U:$U,'Business - Dump'!$D:$D,'SKU Repoprt'!$D66,'Business - Dump'!$A:$A,'SKU Repoprt'!R$1)</f>
        <v>0</v>
      </c>
      <c r="S66" s="16">
        <f>SUMIFS('Business - Dump'!$U:$U,'Business - Dump'!$D:$D,'SKU Repoprt'!$D66,'Business - Dump'!$A:$A,'SKU Repoprt'!S$1)</f>
        <v>0</v>
      </c>
      <c r="T66" s="16">
        <f>SUMIFS('Business - Dump'!$U:$U,'Business - Dump'!$D:$D,'SKU Repoprt'!$D66,'Business - Dump'!$A:$A,'SKU Repoprt'!T$1)</f>
        <v>0</v>
      </c>
      <c r="U66" s="16">
        <f>SUMIFS('Business - Dump'!$U:$U,'Business - Dump'!$D:$D,'SKU Repoprt'!$D66,'Business - Dump'!$A:$A,'SKU Repoprt'!U$1)</f>
        <v>0</v>
      </c>
      <c r="V66" s="16">
        <f>SUMIFS('Business - Dump'!$U:$U,'Business - Dump'!$D:$D,'SKU Repoprt'!$D66,'Business - Dump'!$A:$A,'SKU Repoprt'!V$1)</f>
        <v>0</v>
      </c>
      <c r="W66" s="16">
        <f>SUMIFS('Business - Dump'!$U:$U,'Business - Dump'!$D:$D,'SKU Repoprt'!$D66,'Business - Dump'!$A:$A,'SKU Repoprt'!W$1)</f>
        <v>0</v>
      </c>
    </row>
    <row r="67" ht="15.75" customHeight="1">
      <c r="A67" s="10" t="s">
        <v>217</v>
      </c>
      <c r="B67" s="10" t="s">
        <v>217</v>
      </c>
      <c r="C67" s="10"/>
      <c r="D67" s="10" t="s">
        <v>340</v>
      </c>
      <c r="E67" s="10" t="s">
        <v>29</v>
      </c>
      <c r="F67" s="17">
        <v>0.027042857142857143</v>
      </c>
      <c r="G67" s="17">
        <f t="shared" ref="G67:W67" si="22">IFERROR(G65/G62,0)</f>
        <v>0</v>
      </c>
      <c r="H67" s="17">
        <f t="shared" si="22"/>
        <v>0</v>
      </c>
      <c r="I67" s="17">
        <f t="shared" si="22"/>
        <v>0</v>
      </c>
      <c r="J67" s="17">
        <f t="shared" si="22"/>
        <v>0</v>
      </c>
      <c r="K67" s="17">
        <f t="shared" si="22"/>
        <v>0</v>
      </c>
      <c r="L67" s="17">
        <f t="shared" si="22"/>
        <v>0</v>
      </c>
      <c r="M67" s="17">
        <f t="shared" si="22"/>
        <v>0</v>
      </c>
      <c r="N67" s="17">
        <f t="shared" si="22"/>
        <v>0</v>
      </c>
      <c r="O67" s="17">
        <f t="shared" si="22"/>
        <v>0</v>
      </c>
      <c r="P67" s="17">
        <f t="shared" si="22"/>
        <v>0</v>
      </c>
      <c r="Q67" s="17">
        <f t="shared" si="22"/>
        <v>0.03125</v>
      </c>
      <c r="R67" s="17">
        <f t="shared" si="22"/>
        <v>0</v>
      </c>
      <c r="S67" s="17">
        <f t="shared" si="22"/>
        <v>0</v>
      </c>
      <c r="T67" s="17">
        <f t="shared" si="22"/>
        <v>0</v>
      </c>
      <c r="U67" s="17">
        <f t="shared" si="22"/>
        <v>0</v>
      </c>
      <c r="V67" s="17">
        <f t="shared" si="22"/>
        <v>0</v>
      </c>
      <c r="W67" s="17">
        <f t="shared" si="22"/>
        <v>0</v>
      </c>
    </row>
    <row r="68" ht="15.75" customHeight="1">
      <c r="A68" s="10" t="s">
        <v>241</v>
      </c>
      <c r="B68" s="10" t="s">
        <v>241</v>
      </c>
      <c r="C68" s="10"/>
      <c r="D68" s="10" t="s">
        <v>339</v>
      </c>
      <c r="E68" s="10" t="s">
        <v>257</v>
      </c>
      <c r="F68" s="3">
        <f t="shared" ref="F68:F72" si="23">SUM(G68:S68)</f>
        <v>1061</v>
      </c>
      <c r="G68" s="3">
        <f>SUMIFS('Business - Dump'!$G:$G,'Business - Dump'!$D:$D,'SKU Repoprt'!$D68,'Business - Dump'!$A:$A,'SKU Repoprt'!G$1)</f>
        <v>0</v>
      </c>
      <c r="H68" s="3">
        <f>SUMIFS('Business - Dump'!$G:$G,'Business - Dump'!$D:$D,'SKU Repoprt'!$D68,'Business - Dump'!$A:$A,'SKU Repoprt'!H$1)</f>
        <v>44</v>
      </c>
      <c r="I68" s="3">
        <f>SUMIFS('Business - Dump'!$G:$G,'Business - Dump'!$D:$D,'SKU Repoprt'!$D68,'Business - Dump'!$A:$A,'SKU Repoprt'!I$1)</f>
        <v>0</v>
      </c>
      <c r="J68" s="3">
        <f>SUMIFS('Business - Dump'!$G:$G,'Business - Dump'!$D:$D,'SKU Repoprt'!$D68,'Business - Dump'!$A:$A,'SKU Repoprt'!J$1)</f>
        <v>0</v>
      </c>
      <c r="K68" s="3">
        <f>SUMIFS('Business - Dump'!$G:$G,'Business - Dump'!$D:$D,'SKU Repoprt'!$D68,'Business - Dump'!$A:$A,'SKU Repoprt'!K$1)</f>
        <v>77</v>
      </c>
      <c r="L68" s="3">
        <f>SUMIFS('Business - Dump'!$G:$G,'Business - Dump'!$D:$D,'SKU Repoprt'!$D68,'Business - Dump'!$A:$A,'SKU Repoprt'!L$1)</f>
        <v>89</v>
      </c>
      <c r="M68" s="3">
        <f>SUMIFS('Business - Dump'!$G:$G,'Business - Dump'!$D:$D,'SKU Repoprt'!$D68,'Business - Dump'!$A:$A,'SKU Repoprt'!M$1)</f>
        <v>77</v>
      </c>
      <c r="N68" s="3">
        <f>SUMIFS('Business - Dump'!$G:$G,'Business - Dump'!$D:$D,'SKU Repoprt'!$D68,'Business - Dump'!$A:$A,'SKU Repoprt'!N$1)</f>
        <v>96</v>
      </c>
      <c r="O68" s="3">
        <f>SUMIFS('Business - Dump'!$G:$G,'Business - Dump'!$D:$D,'SKU Repoprt'!$D68,'Business - Dump'!$A:$A,'SKU Repoprt'!O$1)</f>
        <v>110</v>
      </c>
      <c r="P68" s="3">
        <f>SUMIFS('Business - Dump'!$G:$G,'Business - Dump'!$D:$D,'SKU Repoprt'!$D68,'Business - Dump'!$A:$A,'SKU Repoprt'!P$1)</f>
        <v>125</v>
      </c>
      <c r="Q68" s="3">
        <f>SUMIFS('Business - Dump'!$G:$G,'Business - Dump'!$D:$D,'SKU Repoprt'!$D68,'Business - Dump'!$A:$A,'SKU Repoprt'!Q$1)</f>
        <v>124</v>
      </c>
      <c r="R68" s="3">
        <f>SUMIFS('Business - Dump'!$G:$G,'Business - Dump'!$D:$D,'SKU Repoprt'!$D68,'Business - Dump'!$A:$A,'SKU Repoprt'!R$1)</f>
        <v>130</v>
      </c>
      <c r="S68" s="3">
        <f>SUMIFS('Business - Dump'!$G:$G,'Business - Dump'!$D:$D,'SKU Repoprt'!$D68,'Business - Dump'!$A:$A,'SKU Repoprt'!S$1)</f>
        <v>189</v>
      </c>
      <c r="T68" s="3">
        <f>SUMIFS('Business - Dump'!$G:$G,'Business - Dump'!$D:$D,'SKU Repoprt'!$D68,'Business - Dump'!$A:$A,'SKU Repoprt'!T$1)</f>
        <v>178</v>
      </c>
      <c r="U68" s="3">
        <f>SUMIFS('Business - Dump'!$G:$G,'Business - Dump'!$D:$D,'SKU Repoprt'!$D68,'Business - Dump'!$A:$A,'SKU Repoprt'!U$1)</f>
        <v>147</v>
      </c>
      <c r="V68" s="3">
        <f>SUMIFS('Business - Dump'!$G:$G,'Business - Dump'!$D:$D,'SKU Repoprt'!$D68,'Business - Dump'!$A:$A,'SKU Repoprt'!V$1)</f>
        <v>157</v>
      </c>
      <c r="W68" s="3">
        <f>SUMIFS('Business - Dump'!$G:$G,'Business - Dump'!$D:$D,'SKU Repoprt'!$D68,'Business - Dump'!$A:$A,'SKU Repoprt'!W$1)</f>
        <v>395</v>
      </c>
    </row>
    <row r="69" ht="15.75" customHeight="1">
      <c r="A69" s="10" t="s">
        <v>241</v>
      </c>
      <c r="B69" s="10" t="s">
        <v>241</v>
      </c>
      <c r="C69" s="10"/>
      <c r="D69" s="10" t="s">
        <v>339</v>
      </c>
      <c r="E69" s="10" t="s">
        <v>260</v>
      </c>
      <c r="F69" s="3">
        <f t="shared" si="23"/>
        <v>1265</v>
      </c>
      <c r="G69" s="3">
        <f>SUMIFS('Business - Dump'!$K:$K,'Business - Dump'!$D:$D,'SKU Repoprt'!$D69,'Business - Dump'!$A:$A,'SKU Repoprt'!G$1)</f>
        <v>0</v>
      </c>
      <c r="H69" s="3">
        <f>SUMIFS('Business - Dump'!$K:$K,'Business - Dump'!$D:$D,'SKU Repoprt'!$D69,'Business - Dump'!$A:$A,'SKU Repoprt'!H$1)</f>
        <v>62</v>
      </c>
      <c r="I69" s="3">
        <f>SUMIFS('Business - Dump'!$K:$K,'Business - Dump'!$D:$D,'SKU Repoprt'!$D69,'Business - Dump'!$A:$A,'SKU Repoprt'!I$1)</f>
        <v>0</v>
      </c>
      <c r="J69" s="3">
        <f>SUMIFS('Business - Dump'!$K:$K,'Business - Dump'!$D:$D,'SKU Repoprt'!$D69,'Business - Dump'!$A:$A,'SKU Repoprt'!J$1)</f>
        <v>0</v>
      </c>
      <c r="K69" s="3">
        <f>SUMIFS('Business - Dump'!$K:$K,'Business - Dump'!$D:$D,'SKU Repoprt'!$D69,'Business - Dump'!$A:$A,'SKU Repoprt'!K$1)</f>
        <v>90</v>
      </c>
      <c r="L69" s="3">
        <f>SUMIFS('Business - Dump'!$K:$K,'Business - Dump'!$D:$D,'SKU Repoprt'!$D69,'Business - Dump'!$A:$A,'SKU Repoprt'!L$1)</f>
        <v>117</v>
      </c>
      <c r="M69" s="3">
        <f>SUMIFS('Business - Dump'!$K:$K,'Business - Dump'!$D:$D,'SKU Repoprt'!$D69,'Business - Dump'!$A:$A,'SKU Repoprt'!M$1)</f>
        <v>93</v>
      </c>
      <c r="N69" s="3">
        <f>SUMIFS('Business - Dump'!$K:$K,'Business - Dump'!$D:$D,'SKU Repoprt'!$D69,'Business - Dump'!$A:$A,'SKU Repoprt'!N$1)</f>
        <v>105</v>
      </c>
      <c r="O69" s="3">
        <f>SUMIFS('Business - Dump'!$K:$K,'Business - Dump'!$D:$D,'SKU Repoprt'!$D69,'Business - Dump'!$A:$A,'SKU Repoprt'!O$1)</f>
        <v>127</v>
      </c>
      <c r="P69" s="3">
        <f>SUMIFS('Business - Dump'!$K:$K,'Business - Dump'!$D:$D,'SKU Repoprt'!$D69,'Business - Dump'!$A:$A,'SKU Repoprt'!P$1)</f>
        <v>154</v>
      </c>
      <c r="Q69" s="3">
        <f>SUMIFS('Business - Dump'!$K:$K,'Business - Dump'!$D:$D,'SKU Repoprt'!$D69,'Business - Dump'!$A:$A,'SKU Repoprt'!Q$1)</f>
        <v>147</v>
      </c>
      <c r="R69" s="3">
        <f>SUMIFS('Business - Dump'!$K:$K,'Business - Dump'!$D:$D,'SKU Repoprt'!$D69,'Business - Dump'!$A:$A,'SKU Repoprt'!R$1)</f>
        <v>155</v>
      </c>
      <c r="S69" s="3">
        <f>SUMIFS('Business - Dump'!$K:$K,'Business - Dump'!$D:$D,'SKU Repoprt'!$D69,'Business - Dump'!$A:$A,'SKU Repoprt'!S$1)</f>
        <v>215</v>
      </c>
      <c r="T69" s="3">
        <f>SUMIFS('Business - Dump'!$K:$K,'Business - Dump'!$D:$D,'SKU Repoprt'!$D69,'Business - Dump'!$A:$A,'SKU Repoprt'!T$1)</f>
        <v>206</v>
      </c>
      <c r="U69" s="3">
        <f>SUMIFS('Business - Dump'!$K:$K,'Business - Dump'!$D:$D,'SKU Repoprt'!$D69,'Business - Dump'!$A:$A,'SKU Repoprt'!U$1)</f>
        <v>166</v>
      </c>
      <c r="V69" s="3">
        <f>SUMIFS('Business - Dump'!$K:$K,'Business - Dump'!$D:$D,'SKU Repoprt'!$D69,'Business - Dump'!$A:$A,'SKU Repoprt'!V$1)</f>
        <v>188</v>
      </c>
      <c r="W69" s="3">
        <f>SUMIFS('Business - Dump'!$K:$K,'Business - Dump'!$D:$D,'SKU Repoprt'!$D69,'Business - Dump'!$A:$A,'SKU Repoprt'!W$1)</f>
        <v>473</v>
      </c>
    </row>
    <row r="70" ht="15.75" customHeight="1">
      <c r="A70" s="10" t="s">
        <v>241</v>
      </c>
      <c r="B70" s="10" t="s">
        <v>241</v>
      </c>
      <c r="C70" s="10"/>
      <c r="D70" s="10" t="s">
        <v>339</v>
      </c>
      <c r="E70" s="10" t="s">
        <v>264</v>
      </c>
      <c r="F70" s="3">
        <f t="shared" si="23"/>
        <v>8</v>
      </c>
      <c r="G70" s="3">
        <f>SUMIFS('Business - Dump'!$Q:$Q,'Business - Dump'!$D:$D,'SKU Repoprt'!$D70,'Business - Dump'!$A:$A,'SKU Repoprt'!G$1)</f>
        <v>0</v>
      </c>
      <c r="H70" s="3">
        <f>SUMIFS('Business - Dump'!$Q:$Q,'Business - Dump'!$D:$D,'SKU Repoprt'!$D70,'Business - Dump'!$A:$A,'SKU Repoprt'!H$1)</f>
        <v>1</v>
      </c>
      <c r="I70" s="3">
        <f>SUMIFS('Business - Dump'!$Q:$Q,'Business - Dump'!$D:$D,'SKU Repoprt'!$D70,'Business - Dump'!$A:$A,'SKU Repoprt'!I$1)</f>
        <v>0</v>
      </c>
      <c r="J70" s="3">
        <f>SUMIFS('Business - Dump'!$Q:$Q,'Business - Dump'!$D:$D,'SKU Repoprt'!$D70,'Business - Dump'!$A:$A,'SKU Repoprt'!J$1)</f>
        <v>0</v>
      </c>
      <c r="K70" s="3">
        <f>SUMIFS('Business - Dump'!$Q:$Q,'Business - Dump'!$D:$D,'SKU Repoprt'!$D70,'Business - Dump'!$A:$A,'SKU Repoprt'!K$1)</f>
        <v>1</v>
      </c>
      <c r="L70" s="3">
        <f>SUMIFS('Business - Dump'!$Q:$Q,'Business - Dump'!$D:$D,'SKU Repoprt'!$D70,'Business - Dump'!$A:$A,'SKU Repoprt'!L$1)</f>
        <v>1</v>
      </c>
      <c r="M70" s="3">
        <f>SUMIFS('Business - Dump'!$Q:$Q,'Business - Dump'!$D:$D,'SKU Repoprt'!$D70,'Business - Dump'!$A:$A,'SKU Repoprt'!M$1)</f>
        <v>1</v>
      </c>
      <c r="N70" s="3">
        <f>SUMIFS('Business - Dump'!$Q:$Q,'Business - Dump'!$D:$D,'SKU Repoprt'!$D70,'Business - Dump'!$A:$A,'SKU Repoprt'!N$1)</f>
        <v>0</v>
      </c>
      <c r="O70" s="3">
        <f>SUMIFS('Business - Dump'!$Q:$Q,'Business - Dump'!$D:$D,'SKU Repoprt'!$D70,'Business - Dump'!$A:$A,'SKU Repoprt'!O$1)</f>
        <v>0</v>
      </c>
      <c r="P70" s="3">
        <f>SUMIFS('Business - Dump'!$Q:$Q,'Business - Dump'!$D:$D,'SKU Repoprt'!$D70,'Business - Dump'!$A:$A,'SKU Repoprt'!P$1)</f>
        <v>2</v>
      </c>
      <c r="Q70" s="3">
        <f>SUMIFS('Business - Dump'!$Q:$Q,'Business - Dump'!$D:$D,'SKU Repoprt'!$D70,'Business - Dump'!$A:$A,'SKU Repoprt'!Q$1)</f>
        <v>1</v>
      </c>
      <c r="R70" s="3">
        <f>SUMIFS('Business - Dump'!$Q:$Q,'Business - Dump'!$D:$D,'SKU Repoprt'!$D70,'Business - Dump'!$A:$A,'SKU Repoprt'!R$1)</f>
        <v>0</v>
      </c>
      <c r="S70" s="3">
        <f>SUMIFS('Business - Dump'!$Q:$Q,'Business - Dump'!$D:$D,'SKU Repoprt'!$D70,'Business - Dump'!$A:$A,'SKU Repoprt'!S$1)</f>
        <v>1</v>
      </c>
      <c r="T70" s="3">
        <f>SUMIFS('Business - Dump'!$Q:$Q,'Business - Dump'!$D:$D,'SKU Repoprt'!$D70,'Business - Dump'!$A:$A,'SKU Repoprt'!T$1)</f>
        <v>0</v>
      </c>
      <c r="U70" s="3">
        <f>SUMIFS('Business - Dump'!$Q:$Q,'Business - Dump'!$D:$D,'SKU Repoprt'!$D70,'Business - Dump'!$A:$A,'SKU Repoprt'!U$1)</f>
        <v>0</v>
      </c>
      <c r="V70" s="3">
        <f>SUMIFS('Business - Dump'!$Q:$Q,'Business - Dump'!$D:$D,'SKU Repoprt'!$D70,'Business - Dump'!$A:$A,'SKU Repoprt'!V$1)</f>
        <v>0</v>
      </c>
      <c r="W70" s="3">
        <f>SUMIFS('Business - Dump'!$Q:$Q,'Business - Dump'!$D:$D,'SKU Repoprt'!$D70,'Business - Dump'!$A:$A,'SKU Repoprt'!W$1)</f>
        <v>1</v>
      </c>
    </row>
    <row r="71" ht="15.75" customHeight="1">
      <c r="A71" s="10" t="s">
        <v>241</v>
      </c>
      <c r="B71" s="10" t="s">
        <v>241</v>
      </c>
      <c r="C71" s="10"/>
      <c r="D71" s="10" t="s">
        <v>339</v>
      </c>
      <c r="E71" s="10" t="s">
        <v>268</v>
      </c>
      <c r="F71" s="3">
        <f t="shared" si="23"/>
        <v>8</v>
      </c>
      <c r="G71" s="3">
        <f>SUMIFS('Business - Dump'!$W:$W,'Business - Dump'!$D:$D,'SKU Repoprt'!$D71,'Business - Dump'!$A:$A,'SKU Repoprt'!G$1)</f>
        <v>0</v>
      </c>
      <c r="H71" s="3">
        <f>SUMIFS('Business - Dump'!$W:$W,'Business - Dump'!$D:$D,'SKU Repoprt'!$D71,'Business - Dump'!$A:$A,'SKU Repoprt'!H$1)</f>
        <v>1</v>
      </c>
      <c r="I71" s="3">
        <f>SUMIFS('Business - Dump'!$W:$W,'Business - Dump'!$D:$D,'SKU Repoprt'!$D71,'Business - Dump'!$A:$A,'SKU Repoprt'!I$1)</f>
        <v>0</v>
      </c>
      <c r="J71" s="3">
        <f>SUMIFS('Business - Dump'!$W:$W,'Business - Dump'!$D:$D,'SKU Repoprt'!$D71,'Business - Dump'!$A:$A,'SKU Repoprt'!J$1)</f>
        <v>0</v>
      </c>
      <c r="K71" s="3">
        <f>SUMIFS('Business - Dump'!$W:$W,'Business - Dump'!$D:$D,'SKU Repoprt'!$D71,'Business - Dump'!$A:$A,'SKU Repoprt'!K$1)</f>
        <v>1</v>
      </c>
      <c r="L71" s="3">
        <f>SUMIFS('Business - Dump'!$W:$W,'Business - Dump'!$D:$D,'SKU Repoprt'!$D71,'Business - Dump'!$A:$A,'SKU Repoprt'!L$1)</f>
        <v>1</v>
      </c>
      <c r="M71" s="3">
        <f>SUMIFS('Business - Dump'!$W:$W,'Business - Dump'!$D:$D,'SKU Repoprt'!$D71,'Business - Dump'!$A:$A,'SKU Repoprt'!M$1)</f>
        <v>1</v>
      </c>
      <c r="N71" s="3">
        <f>SUMIFS('Business - Dump'!$W:$W,'Business - Dump'!$D:$D,'SKU Repoprt'!$D71,'Business - Dump'!$A:$A,'SKU Repoprt'!N$1)</f>
        <v>0</v>
      </c>
      <c r="O71" s="3">
        <f>SUMIFS('Business - Dump'!$W:$W,'Business - Dump'!$D:$D,'SKU Repoprt'!$D71,'Business - Dump'!$A:$A,'SKU Repoprt'!O$1)</f>
        <v>0</v>
      </c>
      <c r="P71" s="3">
        <f>SUMIFS('Business - Dump'!$W:$W,'Business - Dump'!$D:$D,'SKU Repoprt'!$D71,'Business - Dump'!$A:$A,'SKU Repoprt'!P$1)</f>
        <v>2</v>
      </c>
      <c r="Q71" s="3">
        <f>SUMIFS('Business - Dump'!$W:$W,'Business - Dump'!$D:$D,'SKU Repoprt'!$D71,'Business - Dump'!$A:$A,'SKU Repoprt'!Q$1)</f>
        <v>1</v>
      </c>
      <c r="R71" s="3">
        <f>SUMIFS('Business - Dump'!$W:$W,'Business - Dump'!$D:$D,'SKU Repoprt'!$D71,'Business - Dump'!$A:$A,'SKU Repoprt'!R$1)</f>
        <v>0</v>
      </c>
      <c r="S71" s="3">
        <f>SUMIFS('Business - Dump'!$W:$W,'Business - Dump'!$D:$D,'SKU Repoprt'!$D71,'Business - Dump'!$A:$A,'SKU Repoprt'!S$1)</f>
        <v>1</v>
      </c>
      <c r="T71" s="3">
        <f>SUMIFS('Business - Dump'!$W:$W,'Business - Dump'!$D:$D,'SKU Repoprt'!$D71,'Business - Dump'!$A:$A,'SKU Repoprt'!T$1)</f>
        <v>0</v>
      </c>
      <c r="U71" s="3">
        <f>SUMIFS('Business - Dump'!$W:$W,'Business - Dump'!$D:$D,'SKU Repoprt'!$D71,'Business - Dump'!$A:$A,'SKU Repoprt'!U$1)</f>
        <v>0</v>
      </c>
      <c r="V71" s="3">
        <f>SUMIFS('Business - Dump'!$W:$W,'Business - Dump'!$D:$D,'SKU Repoprt'!$D71,'Business - Dump'!$A:$A,'SKU Repoprt'!V$1)</f>
        <v>0</v>
      </c>
      <c r="W71" s="3">
        <f>SUMIFS('Business - Dump'!$W:$W,'Business - Dump'!$D:$D,'SKU Repoprt'!$D71,'Business - Dump'!$A:$A,'SKU Repoprt'!W$1)</f>
        <v>1</v>
      </c>
    </row>
    <row r="72" ht="15.75" customHeight="1">
      <c r="A72" s="10" t="s">
        <v>241</v>
      </c>
      <c r="B72" s="10" t="s">
        <v>241</v>
      </c>
      <c r="C72" s="10"/>
      <c r="D72" s="10" t="s">
        <v>339</v>
      </c>
      <c r="E72" s="10" t="s">
        <v>26</v>
      </c>
      <c r="F72" s="16">
        <f t="shared" si="23"/>
        <v>24799</v>
      </c>
      <c r="G72" s="16">
        <f>SUMIFS('Business - Dump'!$U:$U,'Business - Dump'!$D:$D,'SKU Repoprt'!$D72,'Business - Dump'!$A:$A,'SKU Repoprt'!G$1)</f>
        <v>0</v>
      </c>
      <c r="H72" s="16">
        <f>SUMIFS('Business - Dump'!$U:$U,'Business - Dump'!$D:$D,'SKU Repoprt'!$D72,'Business - Dump'!$A:$A,'SKU Repoprt'!H$1)</f>
        <v>2900</v>
      </c>
      <c r="I72" s="16">
        <f>SUMIFS('Business - Dump'!$U:$U,'Business - Dump'!$D:$D,'SKU Repoprt'!$D72,'Business - Dump'!$A:$A,'SKU Repoprt'!I$1)</f>
        <v>0</v>
      </c>
      <c r="J72" s="16">
        <f>SUMIFS('Business - Dump'!$U:$U,'Business - Dump'!$D:$D,'SKU Repoprt'!$D72,'Business - Dump'!$A:$A,'SKU Repoprt'!J$1)</f>
        <v>0</v>
      </c>
      <c r="K72" s="16">
        <f>SUMIFS('Business - Dump'!$U:$U,'Business - Dump'!$D:$D,'SKU Repoprt'!$D72,'Business - Dump'!$A:$A,'SKU Repoprt'!K$1)</f>
        <v>2900</v>
      </c>
      <c r="L72" s="16">
        <f>SUMIFS('Business - Dump'!$U:$U,'Business - Dump'!$D:$D,'SKU Repoprt'!$D72,'Business - Dump'!$A:$A,'SKU Repoprt'!L$1)</f>
        <v>2900</v>
      </c>
      <c r="M72" s="16">
        <f>SUMIFS('Business - Dump'!$U:$U,'Business - Dump'!$D:$D,'SKU Repoprt'!$D72,'Business - Dump'!$A:$A,'SKU Repoprt'!M$1)</f>
        <v>2900</v>
      </c>
      <c r="N72" s="16">
        <f>SUMIFS('Business - Dump'!$U:$U,'Business - Dump'!$D:$D,'SKU Repoprt'!$D72,'Business - Dump'!$A:$A,'SKU Repoprt'!N$1)</f>
        <v>0</v>
      </c>
      <c r="O72" s="16">
        <f>SUMIFS('Business - Dump'!$U:$U,'Business - Dump'!$D:$D,'SKU Repoprt'!$D72,'Business - Dump'!$A:$A,'SKU Repoprt'!O$1)</f>
        <v>0</v>
      </c>
      <c r="P72" s="16">
        <f>SUMIFS('Business - Dump'!$U:$U,'Business - Dump'!$D:$D,'SKU Repoprt'!$D72,'Business - Dump'!$A:$A,'SKU Repoprt'!P$1)</f>
        <v>6800</v>
      </c>
      <c r="Q72" s="16">
        <f>SUMIFS('Business - Dump'!$U:$U,'Business - Dump'!$D:$D,'SKU Repoprt'!$D72,'Business - Dump'!$A:$A,'SKU Repoprt'!Q$1)</f>
        <v>3400</v>
      </c>
      <c r="R72" s="16">
        <f>SUMIFS('Business - Dump'!$U:$U,'Business - Dump'!$D:$D,'SKU Repoprt'!$D72,'Business - Dump'!$A:$A,'SKU Repoprt'!R$1)</f>
        <v>0</v>
      </c>
      <c r="S72" s="16">
        <f>SUMIFS('Business - Dump'!$U:$U,'Business - Dump'!$D:$D,'SKU Repoprt'!$D72,'Business - Dump'!$A:$A,'SKU Repoprt'!S$1)</f>
        <v>2999</v>
      </c>
      <c r="T72" s="16">
        <f>SUMIFS('Business - Dump'!$U:$U,'Business - Dump'!$D:$D,'SKU Repoprt'!$D72,'Business - Dump'!$A:$A,'SKU Repoprt'!T$1)</f>
        <v>0</v>
      </c>
      <c r="U72" s="16">
        <f>SUMIFS('Business - Dump'!$U:$U,'Business - Dump'!$D:$D,'SKU Repoprt'!$D72,'Business - Dump'!$A:$A,'SKU Repoprt'!U$1)</f>
        <v>0</v>
      </c>
      <c r="V72" s="16">
        <f>SUMIFS('Business - Dump'!$U:$U,'Business - Dump'!$D:$D,'SKU Repoprt'!$D72,'Business - Dump'!$A:$A,'SKU Repoprt'!V$1)</f>
        <v>0</v>
      </c>
      <c r="W72" s="16">
        <f>SUMIFS('Business - Dump'!$U:$U,'Business - Dump'!$D:$D,'SKU Repoprt'!$D72,'Business - Dump'!$A:$A,'SKU Repoprt'!W$1)</f>
        <v>2999</v>
      </c>
    </row>
    <row r="73" ht="15.75" customHeight="1">
      <c r="A73" s="10" t="s">
        <v>241</v>
      </c>
      <c r="B73" s="10" t="s">
        <v>241</v>
      </c>
      <c r="C73" s="10"/>
      <c r="D73" s="10" t="s">
        <v>339</v>
      </c>
      <c r="E73" s="10" t="s">
        <v>29</v>
      </c>
      <c r="F73" s="17">
        <v>0.027042857142857143</v>
      </c>
      <c r="G73" s="17">
        <f t="shared" ref="G73:W73" si="24">IFERROR(G71/G68,0)</f>
        <v>0</v>
      </c>
      <c r="H73" s="17">
        <f t="shared" si="24"/>
        <v>0.02272727273</v>
      </c>
      <c r="I73" s="17">
        <f t="shared" si="24"/>
        <v>0</v>
      </c>
      <c r="J73" s="17">
        <f t="shared" si="24"/>
        <v>0</v>
      </c>
      <c r="K73" s="17">
        <f t="shared" si="24"/>
        <v>0.01298701299</v>
      </c>
      <c r="L73" s="17">
        <f t="shared" si="24"/>
        <v>0.01123595506</v>
      </c>
      <c r="M73" s="17">
        <f t="shared" si="24"/>
        <v>0.01298701299</v>
      </c>
      <c r="N73" s="17">
        <f t="shared" si="24"/>
        <v>0</v>
      </c>
      <c r="O73" s="17">
        <f t="shared" si="24"/>
        <v>0</v>
      </c>
      <c r="P73" s="17">
        <f t="shared" si="24"/>
        <v>0.016</v>
      </c>
      <c r="Q73" s="17">
        <f t="shared" si="24"/>
        <v>0.008064516129</v>
      </c>
      <c r="R73" s="17">
        <f t="shared" si="24"/>
        <v>0</v>
      </c>
      <c r="S73" s="17">
        <f t="shared" si="24"/>
        <v>0.005291005291</v>
      </c>
      <c r="T73" s="17">
        <f t="shared" si="24"/>
        <v>0</v>
      </c>
      <c r="U73" s="17">
        <f t="shared" si="24"/>
        <v>0</v>
      </c>
      <c r="V73" s="17">
        <f t="shared" si="24"/>
        <v>0</v>
      </c>
      <c r="W73" s="17">
        <f t="shared" si="24"/>
        <v>0.00253164557</v>
      </c>
    </row>
    <row r="74" ht="15.75" customHeight="1">
      <c r="A74" s="10" t="s">
        <v>241</v>
      </c>
      <c r="B74" s="10" t="s">
        <v>241</v>
      </c>
      <c r="C74" s="10"/>
      <c r="D74" s="10" t="s">
        <v>337</v>
      </c>
      <c r="E74" s="10" t="s">
        <v>257</v>
      </c>
      <c r="F74" s="3">
        <f t="shared" ref="F74:F78" si="25">SUM(G74:S74)</f>
        <v>1855</v>
      </c>
      <c r="G74" s="3">
        <f>SUMIFS('Business - Dump'!$G:$G,'Business - Dump'!$D:$D,'SKU Repoprt'!$D74,'Business - Dump'!$A:$A,'SKU Repoprt'!G$1)</f>
        <v>0</v>
      </c>
      <c r="H74" s="3">
        <f>SUMIFS('Business - Dump'!$G:$G,'Business - Dump'!$D:$D,'SKU Repoprt'!$D74,'Business - Dump'!$A:$A,'SKU Repoprt'!H$1)</f>
        <v>26</v>
      </c>
      <c r="I74" s="3">
        <f>SUMIFS('Business - Dump'!$G:$G,'Business - Dump'!$D:$D,'SKU Repoprt'!$D74,'Business - Dump'!$A:$A,'SKU Repoprt'!I$1)</f>
        <v>0</v>
      </c>
      <c r="J74" s="3">
        <f>SUMIFS('Business - Dump'!$G:$G,'Business - Dump'!$D:$D,'SKU Repoprt'!$D74,'Business - Dump'!$A:$A,'SKU Repoprt'!J$1)</f>
        <v>0</v>
      </c>
      <c r="K74" s="3">
        <f>SUMIFS('Business - Dump'!$G:$G,'Business - Dump'!$D:$D,'SKU Repoprt'!$D74,'Business - Dump'!$A:$A,'SKU Repoprt'!K$1)</f>
        <v>0</v>
      </c>
      <c r="L74" s="3">
        <f>SUMIFS('Business - Dump'!$G:$G,'Business - Dump'!$D:$D,'SKU Repoprt'!$D74,'Business - Dump'!$A:$A,'SKU Repoprt'!L$1)</f>
        <v>61</v>
      </c>
      <c r="M74" s="3">
        <f>SUMIFS('Business - Dump'!$G:$G,'Business - Dump'!$D:$D,'SKU Repoprt'!$D74,'Business - Dump'!$A:$A,'SKU Repoprt'!M$1)</f>
        <v>79</v>
      </c>
      <c r="N74" s="3">
        <f>SUMIFS('Business - Dump'!$G:$G,'Business - Dump'!$D:$D,'SKU Repoprt'!$D74,'Business - Dump'!$A:$A,'SKU Repoprt'!N$1)</f>
        <v>245</v>
      </c>
      <c r="O74" s="3">
        <f>SUMIFS('Business - Dump'!$G:$G,'Business - Dump'!$D:$D,'SKU Repoprt'!$D74,'Business - Dump'!$A:$A,'SKU Repoprt'!O$1)</f>
        <v>316</v>
      </c>
      <c r="P74" s="3">
        <f>SUMIFS('Business - Dump'!$G:$G,'Business - Dump'!$D:$D,'SKU Repoprt'!$D74,'Business - Dump'!$A:$A,'SKU Repoprt'!P$1)</f>
        <v>230</v>
      </c>
      <c r="Q74" s="3">
        <f>SUMIFS('Business - Dump'!$G:$G,'Business - Dump'!$D:$D,'SKU Repoprt'!$D74,'Business - Dump'!$A:$A,'SKU Repoprt'!Q$1)</f>
        <v>167</v>
      </c>
      <c r="R74" s="3">
        <f>SUMIFS('Business - Dump'!$G:$G,'Business - Dump'!$D:$D,'SKU Repoprt'!$D74,'Business - Dump'!$A:$A,'SKU Repoprt'!R$1)</f>
        <v>341</v>
      </c>
      <c r="S74" s="3">
        <f>SUMIFS('Business - Dump'!$G:$G,'Business - Dump'!$D:$D,'SKU Repoprt'!$D74,'Business - Dump'!$A:$A,'SKU Repoprt'!S$1)</f>
        <v>390</v>
      </c>
      <c r="T74" s="3">
        <f>SUMIFS('Business - Dump'!$G:$G,'Business - Dump'!$D:$D,'SKU Repoprt'!$D74,'Business - Dump'!$A:$A,'SKU Repoprt'!T$1)</f>
        <v>170</v>
      </c>
      <c r="U74" s="3">
        <f>SUMIFS('Business - Dump'!$G:$G,'Business - Dump'!$D:$D,'SKU Repoprt'!$D74,'Business - Dump'!$A:$A,'SKU Repoprt'!U$1)</f>
        <v>124</v>
      </c>
      <c r="V74" s="3">
        <f>SUMIFS('Business - Dump'!$G:$G,'Business - Dump'!$D:$D,'SKU Repoprt'!$D74,'Business - Dump'!$A:$A,'SKU Repoprt'!V$1)</f>
        <v>129</v>
      </c>
      <c r="W74" s="3">
        <f>SUMIFS('Business - Dump'!$G:$G,'Business - Dump'!$D:$D,'SKU Repoprt'!$D74,'Business - Dump'!$A:$A,'SKU Repoprt'!W$1)</f>
        <v>489</v>
      </c>
    </row>
    <row r="75" ht="15.75" customHeight="1">
      <c r="A75" s="10" t="s">
        <v>241</v>
      </c>
      <c r="B75" s="10" t="s">
        <v>241</v>
      </c>
      <c r="C75" s="10"/>
      <c r="D75" s="10" t="s">
        <v>337</v>
      </c>
      <c r="E75" s="10" t="s">
        <v>260</v>
      </c>
      <c r="F75" s="3">
        <f t="shared" si="25"/>
        <v>2271</v>
      </c>
      <c r="G75" s="3">
        <f>SUMIFS('Business - Dump'!$K:$K,'Business - Dump'!$D:$D,'SKU Repoprt'!$D75,'Business - Dump'!$A:$A,'SKU Repoprt'!G$1)</f>
        <v>0</v>
      </c>
      <c r="H75" s="3">
        <f>SUMIFS('Business - Dump'!$K:$K,'Business - Dump'!$D:$D,'SKU Repoprt'!$D75,'Business - Dump'!$A:$A,'SKU Repoprt'!H$1)</f>
        <v>43</v>
      </c>
      <c r="I75" s="3">
        <f>SUMIFS('Business - Dump'!$K:$K,'Business - Dump'!$D:$D,'SKU Repoprt'!$D75,'Business - Dump'!$A:$A,'SKU Repoprt'!I$1)</f>
        <v>0</v>
      </c>
      <c r="J75" s="3">
        <f>SUMIFS('Business - Dump'!$K:$K,'Business - Dump'!$D:$D,'SKU Repoprt'!$D75,'Business - Dump'!$A:$A,'SKU Repoprt'!J$1)</f>
        <v>0</v>
      </c>
      <c r="K75" s="3">
        <f>SUMIFS('Business - Dump'!$K:$K,'Business - Dump'!$D:$D,'SKU Repoprt'!$D75,'Business - Dump'!$A:$A,'SKU Repoprt'!K$1)</f>
        <v>0</v>
      </c>
      <c r="L75" s="3">
        <f>SUMIFS('Business - Dump'!$K:$K,'Business - Dump'!$D:$D,'SKU Repoprt'!$D75,'Business - Dump'!$A:$A,'SKU Repoprt'!L$1)</f>
        <v>76</v>
      </c>
      <c r="M75" s="3">
        <f>SUMIFS('Business - Dump'!$K:$K,'Business - Dump'!$D:$D,'SKU Repoprt'!$D75,'Business - Dump'!$A:$A,'SKU Repoprt'!M$1)</f>
        <v>102</v>
      </c>
      <c r="N75" s="3">
        <f>SUMIFS('Business - Dump'!$K:$K,'Business - Dump'!$D:$D,'SKU Repoprt'!$D75,'Business - Dump'!$A:$A,'SKU Repoprt'!N$1)</f>
        <v>265</v>
      </c>
      <c r="O75" s="3">
        <f>SUMIFS('Business - Dump'!$K:$K,'Business - Dump'!$D:$D,'SKU Repoprt'!$D75,'Business - Dump'!$A:$A,'SKU Repoprt'!O$1)</f>
        <v>378</v>
      </c>
      <c r="P75" s="3">
        <f>SUMIFS('Business - Dump'!$K:$K,'Business - Dump'!$D:$D,'SKU Repoprt'!$D75,'Business - Dump'!$A:$A,'SKU Repoprt'!P$1)</f>
        <v>288</v>
      </c>
      <c r="Q75" s="3">
        <f>SUMIFS('Business - Dump'!$K:$K,'Business - Dump'!$D:$D,'SKU Repoprt'!$D75,'Business - Dump'!$A:$A,'SKU Repoprt'!Q$1)</f>
        <v>223</v>
      </c>
      <c r="R75" s="3">
        <f>SUMIFS('Business - Dump'!$K:$K,'Business - Dump'!$D:$D,'SKU Repoprt'!$D75,'Business - Dump'!$A:$A,'SKU Repoprt'!R$1)</f>
        <v>418</v>
      </c>
      <c r="S75" s="3">
        <f>SUMIFS('Business - Dump'!$K:$K,'Business - Dump'!$D:$D,'SKU Repoprt'!$D75,'Business - Dump'!$A:$A,'SKU Repoprt'!S$1)</f>
        <v>478</v>
      </c>
      <c r="T75" s="3">
        <f>SUMIFS('Business - Dump'!$K:$K,'Business - Dump'!$D:$D,'SKU Repoprt'!$D75,'Business - Dump'!$A:$A,'SKU Repoprt'!T$1)</f>
        <v>225</v>
      </c>
      <c r="U75" s="3">
        <f>SUMIFS('Business - Dump'!$K:$K,'Business - Dump'!$D:$D,'SKU Repoprt'!$D75,'Business - Dump'!$A:$A,'SKU Repoprt'!U$1)</f>
        <v>176</v>
      </c>
      <c r="V75" s="3">
        <f>SUMIFS('Business - Dump'!$K:$K,'Business - Dump'!$D:$D,'SKU Repoprt'!$D75,'Business - Dump'!$A:$A,'SKU Repoprt'!V$1)</f>
        <v>165</v>
      </c>
      <c r="W75" s="3">
        <f>SUMIFS('Business - Dump'!$K:$K,'Business - Dump'!$D:$D,'SKU Repoprt'!$D75,'Business - Dump'!$A:$A,'SKU Repoprt'!W$1)</f>
        <v>638</v>
      </c>
    </row>
    <row r="76" ht="15.75" customHeight="1">
      <c r="A76" s="10" t="s">
        <v>241</v>
      </c>
      <c r="B76" s="10" t="s">
        <v>241</v>
      </c>
      <c r="C76" s="10"/>
      <c r="D76" s="10" t="s">
        <v>337</v>
      </c>
      <c r="E76" s="10" t="s">
        <v>264</v>
      </c>
      <c r="F76" s="3">
        <f t="shared" si="25"/>
        <v>11</v>
      </c>
      <c r="G76" s="3">
        <f>SUMIFS('Business - Dump'!$Q:$Q,'Business - Dump'!$D:$D,'SKU Repoprt'!$D76,'Business - Dump'!$A:$A,'SKU Repoprt'!G$1)</f>
        <v>0</v>
      </c>
      <c r="H76" s="3">
        <f>SUMIFS('Business - Dump'!$Q:$Q,'Business - Dump'!$D:$D,'SKU Repoprt'!$D76,'Business - Dump'!$A:$A,'SKU Repoprt'!H$1)</f>
        <v>2</v>
      </c>
      <c r="I76" s="3">
        <f>SUMIFS('Business - Dump'!$Q:$Q,'Business - Dump'!$D:$D,'SKU Repoprt'!$D76,'Business - Dump'!$A:$A,'SKU Repoprt'!I$1)</f>
        <v>0</v>
      </c>
      <c r="J76" s="3">
        <f>SUMIFS('Business - Dump'!$Q:$Q,'Business - Dump'!$D:$D,'SKU Repoprt'!$D76,'Business - Dump'!$A:$A,'SKU Repoprt'!J$1)</f>
        <v>0</v>
      </c>
      <c r="K76" s="3">
        <f>SUMIFS('Business - Dump'!$Q:$Q,'Business - Dump'!$D:$D,'SKU Repoprt'!$D76,'Business - Dump'!$A:$A,'SKU Repoprt'!K$1)</f>
        <v>0</v>
      </c>
      <c r="L76" s="3">
        <f>SUMIFS('Business - Dump'!$Q:$Q,'Business - Dump'!$D:$D,'SKU Repoprt'!$D76,'Business - Dump'!$A:$A,'SKU Repoprt'!L$1)</f>
        <v>1</v>
      </c>
      <c r="M76" s="3">
        <f>SUMIFS('Business - Dump'!$Q:$Q,'Business - Dump'!$D:$D,'SKU Repoprt'!$D76,'Business - Dump'!$A:$A,'SKU Repoprt'!M$1)</f>
        <v>1</v>
      </c>
      <c r="N76" s="3">
        <f>SUMIFS('Business - Dump'!$Q:$Q,'Business - Dump'!$D:$D,'SKU Repoprt'!$D76,'Business - Dump'!$A:$A,'SKU Repoprt'!N$1)</f>
        <v>1</v>
      </c>
      <c r="O76" s="3">
        <f>SUMIFS('Business - Dump'!$Q:$Q,'Business - Dump'!$D:$D,'SKU Repoprt'!$D76,'Business - Dump'!$A:$A,'SKU Repoprt'!O$1)</f>
        <v>0</v>
      </c>
      <c r="P76" s="3">
        <f>SUMIFS('Business - Dump'!$Q:$Q,'Business - Dump'!$D:$D,'SKU Repoprt'!$D76,'Business - Dump'!$A:$A,'SKU Repoprt'!P$1)</f>
        <v>1</v>
      </c>
      <c r="Q76" s="3">
        <f>SUMIFS('Business - Dump'!$Q:$Q,'Business - Dump'!$D:$D,'SKU Repoprt'!$D76,'Business - Dump'!$A:$A,'SKU Repoprt'!Q$1)</f>
        <v>0</v>
      </c>
      <c r="R76" s="3">
        <f>SUMIFS('Business - Dump'!$Q:$Q,'Business - Dump'!$D:$D,'SKU Repoprt'!$D76,'Business - Dump'!$A:$A,'SKU Repoprt'!R$1)</f>
        <v>1</v>
      </c>
      <c r="S76" s="3">
        <f>SUMIFS('Business - Dump'!$Q:$Q,'Business - Dump'!$D:$D,'SKU Repoprt'!$D76,'Business - Dump'!$A:$A,'SKU Repoprt'!S$1)</f>
        <v>4</v>
      </c>
      <c r="T76" s="3">
        <f>SUMIFS('Business - Dump'!$Q:$Q,'Business - Dump'!$D:$D,'SKU Repoprt'!$D76,'Business - Dump'!$A:$A,'SKU Repoprt'!T$1)</f>
        <v>2</v>
      </c>
      <c r="U76" s="3">
        <f>SUMIFS('Business - Dump'!$Q:$Q,'Business - Dump'!$D:$D,'SKU Repoprt'!$D76,'Business - Dump'!$A:$A,'SKU Repoprt'!U$1)</f>
        <v>6</v>
      </c>
      <c r="V76" s="3">
        <f>SUMIFS('Business - Dump'!$Q:$Q,'Business - Dump'!$D:$D,'SKU Repoprt'!$D76,'Business - Dump'!$A:$A,'SKU Repoprt'!V$1)</f>
        <v>7</v>
      </c>
      <c r="W76" s="3">
        <f>SUMIFS('Business - Dump'!$Q:$Q,'Business - Dump'!$D:$D,'SKU Repoprt'!$D76,'Business - Dump'!$A:$A,'SKU Repoprt'!W$1)</f>
        <v>10</v>
      </c>
    </row>
    <row r="77" ht="15.75" customHeight="1">
      <c r="A77" s="10" t="s">
        <v>241</v>
      </c>
      <c r="B77" s="10" t="s">
        <v>241</v>
      </c>
      <c r="C77" s="10"/>
      <c r="D77" s="10" t="s">
        <v>337</v>
      </c>
      <c r="E77" s="10" t="s">
        <v>268</v>
      </c>
      <c r="F77" s="3">
        <f t="shared" si="25"/>
        <v>11</v>
      </c>
      <c r="G77" s="3">
        <f>SUMIFS('Business - Dump'!$W:$W,'Business - Dump'!$D:$D,'SKU Repoprt'!$D77,'Business - Dump'!$A:$A,'SKU Repoprt'!G$1)</f>
        <v>0</v>
      </c>
      <c r="H77" s="3">
        <f>SUMIFS('Business - Dump'!$W:$W,'Business - Dump'!$D:$D,'SKU Repoprt'!$D77,'Business - Dump'!$A:$A,'SKU Repoprt'!H$1)</f>
        <v>2</v>
      </c>
      <c r="I77" s="3">
        <f>SUMIFS('Business - Dump'!$W:$W,'Business - Dump'!$D:$D,'SKU Repoprt'!$D77,'Business - Dump'!$A:$A,'SKU Repoprt'!I$1)</f>
        <v>0</v>
      </c>
      <c r="J77" s="3">
        <f>SUMIFS('Business - Dump'!$W:$W,'Business - Dump'!$D:$D,'SKU Repoprt'!$D77,'Business - Dump'!$A:$A,'SKU Repoprt'!J$1)</f>
        <v>0</v>
      </c>
      <c r="K77" s="3">
        <f>SUMIFS('Business - Dump'!$W:$W,'Business - Dump'!$D:$D,'SKU Repoprt'!$D77,'Business - Dump'!$A:$A,'SKU Repoprt'!K$1)</f>
        <v>0</v>
      </c>
      <c r="L77" s="3">
        <f>SUMIFS('Business - Dump'!$W:$W,'Business - Dump'!$D:$D,'SKU Repoprt'!$D77,'Business - Dump'!$A:$A,'SKU Repoprt'!L$1)</f>
        <v>1</v>
      </c>
      <c r="M77" s="3">
        <f>SUMIFS('Business - Dump'!$W:$W,'Business - Dump'!$D:$D,'SKU Repoprt'!$D77,'Business - Dump'!$A:$A,'SKU Repoprt'!M$1)</f>
        <v>1</v>
      </c>
      <c r="N77" s="3">
        <f>SUMIFS('Business - Dump'!$W:$W,'Business - Dump'!$D:$D,'SKU Repoprt'!$D77,'Business - Dump'!$A:$A,'SKU Repoprt'!N$1)</f>
        <v>1</v>
      </c>
      <c r="O77" s="3">
        <f>SUMIFS('Business - Dump'!$W:$W,'Business - Dump'!$D:$D,'SKU Repoprt'!$D77,'Business - Dump'!$A:$A,'SKU Repoprt'!O$1)</f>
        <v>0</v>
      </c>
      <c r="P77" s="3">
        <f>SUMIFS('Business - Dump'!$W:$W,'Business - Dump'!$D:$D,'SKU Repoprt'!$D77,'Business - Dump'!$A:$A,'SKU Repoprt'!P$1)</f>
        <v>1</v>
      </c>
      <c r="Q77" s="3">
        <f>SUMIFS('Business - Dump'!$W:$W,'Business - Dump'!$D:$D,'SKU Repoprt'!$D77,'Business - Dump'!$A:$A,'SKU Repoprt'!Q$1)</f>
        <v>0</v>
      </c>
      <c r="R77" s="3">
        <f>SUMIFS('Business - Dump'!$W:$W,'Business - Dump'!$D:$D,'SKU Repoprt'!$D77,'Business - Dump'!$A:$A,'SKU Repoprt'!R$1)</f>
        <v>1</v>
      </c>
      <c r="S77" s="3">
        <f>SUMIFS('Business - Dump'!$W:$W,'Business - Dump'!$D:$D,'SKU Repoprt'!$D77,'Business - Dump'!$A:$A,'SKU Repoprt'!S$1)</f>
        <v>4</v>
      </c>
      <c r="T77" s="3">
        <f>SUMIFS('Business - Dump'!$W:$W,'Business - Dump'!$D:$D,'SKU Repoprt'!$D77,'Business - Dump'!$A:$A,'SKU Repoprt'!T$1)</f>
        <v>2</v>
      </c>
      <c r="U77" s="3">
        <f>SUMIFS('Business - Dump'!$W:$W,'Business - Dump'!$D:$D,'SKU Repoprt'!$D77,'Business - Dump'!$A:$A,'SKU Repoprt'!U$1)</f>
        <v>6</v>
      </c>
      <c r="V77" s="3">
        <f>SUMIFS('Business - Dump'!$W:$W,'Business - Dump'!$D:$D,'SKU Repoprt'!$D77,'Business - Dump'!$A:$A,'SKU Repoprt'!V$1)</f>
        <v>7</v>
      </c>
      <c r="W77" s="3">
        <f>SUMIFS('Business - Dump'!$W:$W,'Business - Dump'!$D:$D,'SKU Repoprt'!$D77,'Business - Dump'!$A:$A,'SKU Repoprt'!W$1)</f>
        <v>10</v>
      </c>
    </row>
    <row r="78" ht="15.75" customHeight="1">
      <c r="A78" s="10" t="s">
        <v>241</v>
      </c>
      <c r="B78" s="10" t="s">
        <v>241</v>
      </c>
      <c r="C78" s="10"/>
      <c r="D78" s="10" t="s">
        <v>337</v>
      </c>
      <c r="E78" s="10" t="s">
        <v>26</v>
      </c>
      <c r="F78" s="16">
        <f t="shared" si="25"/>
        <v>24889</v>
      </c>
      <c r="G78" s="16">
        <f>SUMIFS('Business - Dump'!$U:$U,'Business - Dump'!$D:$D,'SKU Repoprt'!$D78,'Business - Dump'!$A:$A,'SKU Repoprt'!G$1)</f>
        <v>0</v>
      </c>
      <c r="H78" s="16">
        <f>SUMIFS('Business - Dump'!$U:$U,'Business - Dump'!$D:$D,'SKU Repoprt'!$D78,'Business - Dump'!$A:$A,'SKU Repoprt'!H$1)</f>
        <v>3980</v>
      </c>
      <c r="I78" s="16">
        <f>SUMIFS('Business - Dump'!$U:$U,'Business - Dump'!$D:$D,'SKU Repoprt'!$D78,'Business - Dump'!$A:$A,'SKU Repoprt'!I$1)</f>
        <v>0</v>
      </c>
      <c r="J78" s="16">
        <f>SUMIFS('Business - Dump'!$U:$U,'Business - Dump'!$D:$D,'SKU Repoprt'!$D78,'Business - Dump'!$A:$A,'SKU Repoprt'!J$1)</f>
        <v>0</v>
      </c>
      <c r="K78" s="16">
        <f>SUMIFS('Business - Dump'!$U:$U,'Business - Dump'!$D:$D,'SKU Repoprt'!$D78,'Business - Dump'!$A:$A,'SKU Repoprt'!K$1)</f>
        <v>0</v>
      </c>
      <c r="L78" s="16">
        <f>SUMIFS('Business - Dump'!$U:$U,'Business - Dump'!$D:$D,'SKU Repoprt'!$D78,'Business - Dump'!$A:$A,'SKU Repoprt'!L$1)</f>
        <v>2159</v>
      </c>
      <c r="M78" s="16">
        <f>SUMIFS('Business - Dump'!$U:$U,'Business - Dump'!$D:$D,'SKU Repoprt'!$D78,'Business - Dump'!$A:$A,'SKU Repoprt'!M$1)</f>
        <v>2250</v>
      </c>
      <c r="N78" s="16">
        <f>SUMIFS('Business - Dump'!$U:$U,'Business - Dump'!$D:$D,'SKU Repoprt'!$D78,'Business - Dump'!$A:$A,'SKU Repoprt'!N$1)</f>
        <v>2250</v>
      </c>
      <c r="O78" s="16">
        <f>SUMIFS('Business - Dump'!$U:$U,'Business - Dump'!$D:$D,'SKU Repoprt'!$D78,'Business - Dump'!$A:$A,'SKU Repoprt'!O$1)</f>
        <v>0</v>
      </c>
      <c r="P78" s="16">
        <f>SUMIFS('Business - Dump'!$U:$U,'Business - Dump'!$D:$D,'SKU Repoprt'!$D78,'Business - Dump'!$A:$A,'SKU Repoprt'!P$1)</f>
        <v>3000</v>
      </c>
      <c r="Q78" s="16">
        <f>SUMIFS('Business - Dump'!$U:$U,'Business - Dump'!$D:$D,'SKU Repoprt'!$D78,'Business - Dump'!$A:$A,'SKU Repoprt'!Q$1)</f>
        <v>0</v>
      </c>
      <c r="R78" s="16">
        <f>SUMIFS('Business - Dump'!$U:$U,'Business - Dump'!$D:$D,'SKU Repoprt'!$D78,'Business - Dump'!$A:$A,'SKU Repoprt'!R$1)</f>
        <v>2250</v>
      </c>
      <c r="S78" s="16">
        <f>SUMIFS('Business - Dump'!$U:$U,'Business - Dump'!$D:$D,'SKU Repoprt'!$D78,'Business - Dump'!$A:$A,'SKU Repoprt'!S$1)</f>
        <v>9000</v>
      </c>
      <c r="T78" s="16">
        <f>SUMIFS('Business - Dump'!$U:$U,'Business - Dump'!$D:$D,'SKU Repoprt'!$D78,'Business - Dump'!$A:$A,'SKU Repoprt'!T$1)</f>
        <v>5250</v>
      </c>
      <c r="U78" s="16">
        <f>SUMIFS('Business - Dump'!$U:$U,'Business - Dump'!$D:$D,'SKU Repoprt'!$D78,'Business - Dump'!$A:$A,'SKU Repoprt'!U$1)</f>
        <v>11046</v>
      </c>
      <c r="V78" s="16">
        <f>SUMIFS('Business - Dump'!$U:$U,'Business - Dump'!$D:$D,'SKU Repoprt'!$D78,'Business - Dump'!$A:$A,'SKU Repoprt'!V$1)</f>
        <v>13194</v>
      </c>
      <c r="W78" s="16">
        <f>SUMIFS('Business - Dump'!$U:$U,'Business - Dump'!$D:$D,'SKU Repoprt'!$D78,'Business - Dump'!$A:$A,'SKU Repoprt'!W$1)</f>
        <v>21990</v>
      </c>
    </row>
    <row r="79" ht="15.75" customHeight="1">
      <c r="A79" s="10" t="s">
        <v>241</v>
      </c>
      <c r="B79" s="10" t="s">
        <v>241</v>
      </c>
      <c r="C79" s="10"/>
      <c r="D79" s="10" t="s">
        <v>337</v>
      </c>
      <c r="E79" s="10" t="s">
        <v>29</v>
      </c>
      <c r="F79" s="17">
        <v>0.027042857142857143</v>
      </c>
      <c r="G79" s="17">
        <f t="shared" ref="G79:W79" si="26">IFERROR(G77/G74,0)</f>
        <v>0</v>
      </c>
      <c r="H79" s="17">
        <f t="shared" si="26"/>
        <v>0.07692307692</v>
      </c>
      <c r="I79" s="17">
        <f t="shared" si="26"/>
        <v>0</v>
      </c>
      <c r="J79" s="17">
        <f t="shared" si="26"/>
        <v>0</v>
      </c>
      <c r="K79" s="17">
        <f t="shared" si="26"/>
        <v>0</v>
      </c>
      <c r="L79" s="17">
        <f t="shared" si="26"/>
        <v>0.01639344262</v>
      </c>
      <c r="M79" s="17">
        <f t="shared" si="26"/>
        <v>0.01265822785</v>
      </c>
      <c r="N79" s="17">
        <f t="shared" si="26"/>
        <v>0.004081632653</v>
      </c>
      <c r="O79" s="17">
        <f t="shared" si="26"/>
        <v>0</v>
      </c>
      <c r="P79" s="17">
        <f t="shared" si="26"/>
        <v>0.004347826087</v>
      </c>
      <c r="Q79" s="17">
        <f t="shared" si="26"/>
        <v>0</v>
      </c>
      <c r="R79" s="17">
        <f t="shared" si="26"/>
        <v>0.00293255132</v>
      </c>
      <c r="S79" s="17">
        <f t="shared" si="26"/>
        <v>0.01025641026</v>
      </c>
      <c r="T79" s="17">
        <f t="shared" si="26"/>
        <v>0.01176470588</v>
      </c>
      <c r="U79" s="17">
        <f t="shared" si="26"/>
        <v>0.04838709677</v>
      </c>
      <c r="V79" s="17">
        <f t="shared" si="26"/>
        <v>0.05426356589</v>
      </c>
      <c r="W79" s="17">
        <f t="shared" si="26"/>
        <v>0.02044989775</v>
      </c>
    </row>
    <row r="80" ht="15.75" customHeight="1">
      <c r="A80" s="10" t="s">
        <v>241</v>
      </c>
      <c r="B80" s="10" t="s">
        <v>241</v>
      </c>
      <c r="C80" s="10"/>
      <c r="D80" s="10" t="s">
        <v>345</v>
      </c>
      <c r="E80" s="10" t="s">
        <v>257</v>
      </c>
      <c r="F80" s="3">
        <f t="shared" ref="F80:F84" si="27">SUM(G80:S80)</f>
        <v>1465</v>
      </c>
      <c r="G80" s="3">
        <f>SUMIFS('Business - Dump'!$G:$G,'Business - Dump'!$D:$D,'SKU Repoprt'!$D80,'Business - Dump'!$A:$A,'SKU Repoprt'!G$1)</f>
        <v>0</v>
      </c>
      <c r="H80" s="3">
        <f>SUMIFS('Business - Dump'!$G:$G,'Business - Dump'!$D:$D,'SKU Repoprt'!$D80,'Business - Dump'!$A:$A,'SKU Repoprt'!H$1)</f>
        <v>25</v>
      </c>
      <c r="I80" s="3">
        <f>SUMIFS('Business - Dump'!$G:$G,'Business - Dump'!$D:$D,'SKU Repoprt'!$D80,'Business - Dump'!$A:$A,'SKU Repoprt'!I$1)</f>
        <v>0</v>
      </c>
      <c r="J80" s="3">
        <f>SUMIFS('Business - Dump'!$G:$G,'Business - Dump'!$D:$D,'SKU Repoprt'!$D80,'Business - Dump'!$A:$A,'SKU Repoprt'!J$1)</f>
        <v>71</v>
      </c>
      <c r="K80" s="3">
        <f>SUMIFS('Business - Dump'!$G:$G,'Business - Dump'!$D:$D,'SKU Repoprt'!$D80,'Business - Dump'!$A:$A,'SKU Repoprt'!K$1)</f>
        <v>110</v>
      </c>
      <c r="L80" s="3">
        <f>SUMIFS('Business - Dump'!$G:$G,'Business - Dump'!$D:$D,'SKU Repoprt'!$D80,'Business - Dump'!$A:$A,'SKU Repoprt'!L$1)</f>
        <v>148</v>
      </c>
      <c r="M80" s="3">
        <f>SUMIFS('Business - Dump'!$G:$G,'Business - Dump'!$D:$D,'SKU Repoprt'!$D80,'Business - Dump'!$A:$A,'SKU Repoprt'!M$1)</f>
        <v>139</v>
      </c>
      <c r="N80" s="3">
        <f>SUMIFS('Business - Dump'!$G:$G,'Business - Dump'!$D:$D,'SKU Repoprt'!$D80,'Business - Dump'!$A:$A,'SKU Repoprt'!N$1)</f>
        <v>349</v>
      </c>
      <c r="O80" s="3">
        <f>SUMIFS('Business - Dump'!$G:$G,'Business - Dump'!$D:$D,'SKU Repoprt'!$D80,'Business - Dump'!$A:$A,'SKU Repoprt'!O$1)</f>
        <v>298</v>
      </c>
      <c r="P80" s="3">
        <f>SUMIFS('Business - Dump'!$G:$G,'Business - Dump'!$D:$D,'SKU Repoprt'!$D80,'Business - Dump'!$A:$A,'SKU Repoprt'!P$1)</f>
        <v>325</v>
      </c>
      <c r="Q80" s="3">
        <f>SUMIFS('Business - Dump'!$G:$G,'Business - Dump'!$D:$D,'SKU Repoprt'!$D80,'Business - Dump'!$A:$A,'SKU Repoprt'!Q$1)</f>
        <v>0</v>
      </c>
      <c r="R80" s="3">
        <f>SUMIFS('Business - Dump'!$G:$G,'Business - Dump'!$D:$D,'SKU Repoprt'!$D80,'Business - Dump'!$A:$A,'SKU Repoprt'!R$1)</f>
        <v>0</v>
      </c>
      <c r="S80" s="3">
        <f>SUMIFS('Business - Dump'!$G:$G,'Business - Dump'!$D:$D,'SKU Repoprt'!$D80,'Business - Dump'!$A:$A,'SKU Repoprt'!S$1)</f>
        <v>0</v>
      </c>
      <c r="T80" s="3">
        <f>SUMIFS('Business - Dump'!$G:$G,'Business - Dump'!$D:$D,'SKU Repoprt'!$D80,'Business - Dump'!$A:$A,'SKU Repoprt'!T$1)</f>
        <v>0</v>
      </c>
      <c r="U80" s="3">
        <f>SUMIFS('Business - Dump'!$G:$G,'Business - Dump'!$D:$D,'SKU Repoprt'!$D80,'Business - Dump'!$A:$A,'SKU Repoprt'!U$1)</f>
        <v>0</v>
      </c>
      <c r="V80" s="3">
        <f>SUMIFS('Business - Dump'!$G:$G,'Business - Dump'!$D:$D,'SKU Repoprt'!$D80,'Business - Dump'!$A:$A,'SKU Repoprt'!V$1)</f>
        <v>0</v>
      </c>
      <c r="W80" s="3">
        <f>SUMIFS('Business - Dump'!$G:$G,'Business - Dump'!$D:$D,'SKU Repoprt'!$D80,'Business - Dump'!$A:$A,'SKU Repoprt'!W$1)</f>
        <v>0</v>
      </c>
    </row>
    <row r="81" ht="15.75" customHeight="1">
      <c r="A81" s="10" t="s">
        <v>241</v>
      </c>
      <c r="B81" s="10" t="s">
        <v>241</v>
      </c>
      <c r="C81" s="10"/>
      <c r="D81" s="10" t="s">
        <v>345</v>
      </c>
      <c r="E81" s="10" t="s">
        <v>260</v>
      </c>
      <c r="F81" s="3">
        <f t="shared" si="27"/>
        <v>1825</v>
      </c>
      <c r="G81" s="3">
        <f>SUMIFS('Business - Dump'!$K:$K,'Business - Dump'!$D:$D,'SKU Repoprt'!$D81,'Business - Dump'!$A:$A,'SKU Repoprt'!G$1)</f>
        <v>0</v>
      </c>
      <c r="H81" s="3">
        <f>SUMIFS('Business - Dump'!$K:$K,'Business - Dump'!$D:$D,'SKU Repoprt'!$D81,'Business - Dump'!$A:$A,'SKU Repoprt'!H$1)</f>
        <v>30</v>
      </c>
      <c r="I81" s="3">
        <f>SUMIFS('Business - Dump'!$K:$K,'Business - Dump'!$D:$D,'SKU Repoprt'!$D81,'Business - Dump'!$A:$A,'SKU Repoprt'!I$1)</f>
        <v>0</v>
      </c>
      <c r="J81" s="3">
        <f>SUMIFS('Business - Dump'!$K:$K,'Business - Dump'!$D:$D,'SKU Repoprt'!$D81,'Business - Dump'!$A:$A,'SKU Repoprt'!J$1)</f>
        <v>84</v>
      </c>
      <c r="K81" s="3">
        <f>SUMIFS('Business - Dump'!$K:$K,'Business - Dump'!$D:$D,'SKU Repoprt'!$D81,'Business - Dump'!$A:$A,'SKU Repoprt'!K$1)</f>
        <v>139</v>
      </c>
      <c r="L81" s="3">
        <f>SUMIFS('Business - Dump'!$K:$K,'Business - Dump'!$D:$D,'SKU Repoprt'!$D81,'Business - Dump'!$A:$A,'SKU Repoprt'!L$1)</f>
        <v>169</v>
      </c>
      <c r="M81" s="3">
        <f>SUMIFS('Business - Dump'!$K:$K,'Business - Dump'!$D:$D,'SKU Repoprt'!$D81,'Business - Dump'!$A:$A,'SKU Repoprt'!M$1)</f>
        <v>183</v>
      </c>
      <c r="N81" s="3">
        <f>SUMIFS('Business - Dump'!$K:$K,'Business - Dump'!$D:$D,'SKU Repoprt'!$D81,'Business - Dump'!$A:$A,'SKU Repoprt'!N$1)</f>
        <v>420</v>
      </c>
      <c r="O81" s="3">
        <f>SUMIFS('Business - Dump'!$K:$K,'Business - Dump'!$D:$D,'SKU Repoprt'!$D81,'Business - Dump'!$A:$A,'SKU Repoprt'!O$1)</f>
        <v>367</v>
      </c>
      <c r="P81" s="3">
        <f>SUMIFS('Business - Dump'!$K:$K,'Business - Dump'!$D:$D,'SKU Repoprt'!$D81,'Business - Dump'!$A:$A,'SKU Repoprt'!P$1)</f>
        <v>433</v>
      </c>
      <c r="Q81" s="3">
        <f>SUMIFS('Business - Dump'!$K:$K,'Business - Dump'!$D:$D,'SKU Repoprt'!$D81,'Business - Dump'!$A:$A,'SKU Repoprt'!Q$1)</f>
        <v>0</v>
      </c>
      <c r="R81" s="3">
        <f>SUMIFS('Business - Dump'!$K:$K,'Business - Dump'!$D:$D,'SKU Repoprt'!$D81,'Business - Dump'!$A:$A,'SKU Repoprt'!R$1)</f>
        <v>0</v>
      </c>
      <c r="S81" s="3">
        <f>SUMIFS('Business - Dump'!$K:$K,'Business - Dump'!$D:$D,'SKU Repoprt'!$D81,'Business - Dump'!$A:$A,'SKU Repoprt'!S$1)</f>
        <v>0</v>
      </c>
      <c r="T81" s="3">
        <f>SUMIFS('Business - Dump'!$K:$K,'Business - Dump'!$D:$D,'SKU Repoprt'!$D81,'Business - Dump'!$A:$A,'SKU Repoprt'!T$1)</f>
        <v>0</v>
      </c>
      <c r="U81" s="3">
        <f>SUMIFS('Business - Dump'!$K:$K,'Business - Dump'!$D:$D,'SKU Repoprt'!$D81,'Business - Dump'!$A:$A,'SKU Repoprt'!U$1)</f>
        <v>0</v>
      </c>
      <c r="V81" s="3">
        <f>SUMIFS('Business - Dump'!$K:$K,'Business - Dump'!$D:$D,'SKU Repoprt'!$D81,'Business - Dump'!$A:$A,'SKU Repoprt'!V$1)</f>
        <v>0</v>
      </c>
      <c r="W81" s="3">
        <f>SUMIFS('Business - Dump'!$K:$K,'Business - Dump'!$D:$D,'SKU Repoprt'!$D81,'Business - Dump'!$A:$A,'SKU Repoprt'!W$1)</f>
        <v>0</v>
      </c>
    </row>
    <row r="82" ht="15.75" customHeight="1">
      <c r="A82" s="10" t="s">
        <v>241</v>
      </c>
      <c r="B82" s="10" t="s">
        <v>241</v>
      </c>
      <c r="C82" s="10"/>
      <c r="D82" s="10" t="s">
        <v>345</v>
      </c>
      <c r="E82" s="10" t="s">
        <v>264</v>
      </c>
      <c r="F82" s="3">
        <f t="shared" si="27"/>
        <v>21</v>
      </c>
      <c r="G82" s="3">
        <f>SUMIFS('Business - Dump'!$Q:$Q,'Business - Dump'!$D:$D,'SKU Repoprt'!$D82,'Business - Dump'!$A:$A,'SKU Repoprt'!G$1)</f>
        <v>0</v>
      </c>
      <c r="H82" s="3">
        <f>SUMIFS('Business - Dump'!$Q:$Q,'Business - Dump'!$D:$D,'SKU Repoprt'!$D82,'Business - Dump'!$A:$A,'SKU Repoprt'!H$1)</f>
        <v>1</v>
      </c>
      <c r="I82" s="3">
        <f>SUMIFS('Business - Dump'!$Q:$Q,'Business - Dump'!$D:$D,'SKU Repoprt'!$D82,'Business - Dump'!$A:$A,'SKU Repoprt'!I$1)</f>
        <v>0</v>
      </c>
      <c r="J82" s="3">
        <f>SUMIFS('Business - Dump'!$Q:$Q,'Business - Dump'!$D:$D,'SKU Repoprt'!$D82,'Business - Dump'!$A:$A,'SKU Repoprt'!J$1)</f>
        <v>1</v>
      </c>
      <c r="K82" s="3">
        <f>SUMIFS('Business - Dump'!$Q:$Q,'Business - Dump'!$D:$D,'SKU Repoprt'!$D82,'Business - Dump'!$A:$A,'SKU Repoprt'!K$1)</f>
        <v>2</v>
      </c>
      <c r="L82" s="3">
        <f>SUMIFS('Business - Dump'!$Q:$Q,'Business - Dump'!$D:$D,'SKU Repoprt'!$D82,'Business - Dump'!$A:$A,'SKU Repoprt'!L$1)</f>
        <v>1</v>
      </c>
      <c r="M82" s="3">
        <f>SUMIFS('Business - Dump'!$Q:$Q,'Business - Dump'!$D:$D,'SKU Repoprt'!$D82,'Business - Dump'!$A:$A,'SKU Repoprt'!M$1)</f>
        <v>3</v>
      </c>
      <c r="N82" s="3">
        <f>SUMIFS('Business - Dump'!$Q:$Q,'Business - Dump'!$D:$D,'SKU Repoprt'!$D82,'Business - Dump'!$A:$A,'SKU Repoprt'!N$1)</f>
        <v>3</v>
      </c>
      <c r="O82" s="3">
        <f>SUMIFS('Business - Dump'!$Q:$Q,'Business - Dump'!$D:$D,'SKU Repoprt'!$D82,'Business - Dump'!$A:$A,'SKU Repoprt'!O$1)</f>
        <v>5</v>
      </c>
      <c r="P82" s="3">
        <f>SUMIFS('Business - Dump'!$Q:$Q,'Business - Dump'!$D:$D,'SKU Repoprt'!$D82,'Business - Dump'!$A:$A,'SKU Repoprt'!P$1)</f>
        <v>5</v>
      </c>
      <c r="Q82" s="3">
        <f>SUMIFS('Business - Dump'!$Q:$Q,'Business - Dump'!$D:$D,'SKU Repoprt'!$D82,'Business - Dump'!$A:$A,'SKU Repoprt'!Q$1)</f>
        <v>0</v>
      </c>
      <c r="R82" s="3">
        <f>SUMIFS('Business - Dump'!$Q:$Q,'Business - Dump'!$D:$D,'SKU Repoprt'!$D82,'Business - Dump'!$A:$A,'SKU Repoprt'!R$1)</f>
        <v>0</v>
      </c>
      <c r="S82" s="3">
        <f>SUMIFS('Business - Dump'!$Q:$Q,'Business - Dump'!$D:$D,'SKU Repoprt'!$D82,'Business - Dump'!$A:$A,'SKU Repoprt'!S$1)</f>
        <v>0</v>
      </c>
      <c r="T82" s="3">
        <f>SUMIFS('Business - Dump'!$Q:$Q,'Business - Dump'!$D:$D,'SKU Repoprt'!$D82,'Business - Dump'!$A:$A,'SKU Repoprt'!T$1)</f>
        <v>0</v>
      </c>
      <c r="U82" s="3">
        <f>SUMIFS('Business - Dump'!$Q:$Q,'Business - Dump'!$D:$D,'SKU Repoprt'!$D82,'Business - Dump'!$A:$A,'SKU Repoprt'!U$1)</f>
        <v>0</v>
      </c>
      <c r="V82" s="3">
        <f>SUMIFS('Business - Dump'!$Q:$Q,'Business - Dump'!$D:$D,'SKU Repoprt'!$D82,'Business - Dump'!$A:$A,'SKU Repoprt'!V$1)</f>
        <v>0</v>
      </c>
      <c r="W82" s="3">
        <f>SUMIFS('Business - Dump'!$Q:$Q,'Business - Dump'!$D:$D,'SKU Repoprt'!$D82,'Business - Dump'!$A:$A,'SKU Repoprt'!W$1)</f>
        <v>0</v>
      </c>
    </row>
    <row r="83" ht="15.75" customHeight="1">
      <c r="A83" s="10" t="s">
        <v>241</v>
      </c>
      <c r="B83" s="10" t="s">
        <v>241</v>
      </c>
      <c r="C83" s="10"/>
      <c r="D83" s="10" t="s">
        <v>345</v>
      </c>
      <c r="E83" s="10" t="s">
        <v>268</v>
      </c>
      <c r="F83" s="3">
        <f t="shared" si="27"/>
        <v>20</v>
      </c>
      <c r="G83" s="3">
        <f>SUMIFS('Business - Dump'!$W:$W,'Business - Dump'!$D:$D,'SKU Repoprt'!$D83,'Business - Dump'!$A:$A,'SKU Repoprt'!G$1)</f>
        <v>0</v>
      </c>
      <c r="H83" s="3">
        <f>SUMIFS('Business - Dump'!$W:$W,'Business - Dump'!$D:$D,'SKU Repoprt'!$D83,'Business - Dump'!$A:$A,'SKU Repoprt'!H$1)</f>
        <v>1</v>
      </c>
      <c r="I83" s="3">
        <f>SUMIFS('Business - Dump'!$W:$W,'Business - Dump'!$D:$D,'SKU Repoprt'!$D83,'Business - Dump'!$A:$A,'SKU Repoprt'!I$1)</f>
        <v>0</v>
      </c>
      <c r="J83" s="3">
        <f>SUMIFS('Business - Dump'!$W:$W,'Business - Dump'!$D:$D,'SKU Repoprt'!$D83,'Business - Dump'!$A:$A,'SKU Repoprt'!J$1)</f>
        <v>1</v>
      </c>
      <c r="K83" s="3">
        <f>SUMIFS('Business - Dump'!$W:$W,'Business - Dump'!$D:$D,'SKU Repoprt'!$D83,'Business - Dump'!$A:$A,'SKU Repoprt'!K$1)</f>
        <v>2</v>
      </c>
      <c r="L83" s="3">
        <f>SUMIFS('Business - Dump'!$W:$W,'Business - Dump'!$D:$D,'SKU Repoprt'!$D83,'Business - Dump'!$A:$A,'SKU Repoprt'!L$1)</f>
        <v>1</v>
      </c>
      <c r="M83" s="3">
        <f>SUMIFS('Business - Dump'!$W:$W,'Business - Dump'!$D:$D,'SKU Repoprt'!$D83,'Business - Dump'!$A:$A,'SKU Repoprt'!M$1)</f>
        <v>3</v>
      </c>
      <c r="N83" s="3">
        <f>SUMIFS('Business - Dump'!$W:$W,'Business - Dump'!$D:$D,'SKU Repoprt'!$D83,'Business - Dump'!$A:$A,'SKU Repoprt'!N$1)</f>
        <v>3</v>
      </c>
      <c r="O83" s="3">
        <f>SUMIFS('Business - Dump'!$W:$W,'Business - Dump'!$D:$D,'SKU Repoprt'!$D83,'Business - Dump'!$A:$A,'SKU Repoprt'!O$1)</f>
        <v>4</v>
      </c>
      <c r="P83" s="3">
        <f>SUMIFS('Business - Dump'!$W:$W,'Business - Dump'!$D:$D,'SKU Repoprt'!$D83,'Business - Dump'!$A:$A,'SKU Repoprt'!P$1)</f>
        <v>5</v>
      </c>
      <c r="Q83" s="3">
        <f>SUMIFS('Business - Dump'!$W:$W,'Business - Dump'!$D:$D,'SKU Repoprt'!$D83,'Business - Dump'!$A:$A,'SKU Repoprt'!Q$1)</f>
        <v>0</v>
      </c>
      <c r="R83" s="3">
        <f>SUMIFS('Business - Dump'!$W:$W,'Business - Dump'!$D:$D,'SKU Repoprt'!$D83,'Business - Dump'!$A:$A,'SKU Repoprt'!R$1)</f>
        <v>0</v>
      </c>
      <c r="S83" s="3">
        <f>SUMIFS('Business - Dump'!$W:$W,'Business - Dump'!$D:$D,'SKU Repoprt'!$D83,'Business - Dump'!$A:$A,'SKU Repoprt'!S$1)</f>
        <v>0</v>
      </c>
      <c r="T83" s="3">
        <f>SUMIFS('Business - Dump'!$W:$W,'Business - Dump'!$D:$D,'SKU Repoprt'!$D83,'Business - Dump'!$A:$A,'SKU Repoprt'!T$1)</f>
        <v>0</v>
      </c>
      <c r="U83" s="3">
        <f>SUMIFS('Business - Dump'!$W:$W,'Business - Dump'!$D:$D,'SKU Repoprt'!$D83,'Business - Dump'!$A:$A,'SKU Repoprt'!U$1)</f>
        <v>0</v>
      </c>
      <c r="V83" s="3">
        <f>SUMIFS('Business - Dump'!$W:$W,'Business - Dump'!$D:$D,'SKU Repoprt'!$D83,'Business - Dump'!$A:$A,'SKU Repoprt'!V$1)</f>
        <v>0</v>
      </c>
      <c r="W83" s="3">
        <f>SUMIFS('Business - Dump'!$W:$W,'Business - Dump'!$D:$D,'SKU Repoprt'!$D83,'Business - Dump'!$A:$A,'SKU Repoprt'!W$1)</f>
        <v>0</v>
      </c>
    </row>
    <row r="84" ht="15.75" customHeight="1">
      <c r="A84" s="10" t="s">
        <v>241</v>
      </c>
      <c r="B84" s="10" t="s">
        <v>241</v>
      </c>
      <c r="C84" s="10"/>
      <c r="D84" s="10" t="s">
        <v>345</v>
      </c>
      <c r="E84" s="10" t="s">
        <v>26</v>
      </c>
      <c r="F84" s="16">
        <f t="shared" si="27"/>
        <v>66104.24</v>
      </c>
      <c r="G84" s="16">
        <f>SUMIFS('Business - Dump'!$U:$U,'Business - Dump'!$D:$D,'SKU Repoprt'!$D84,'Business - Dump'!$A:$A,'SKU Repoprt'!G$1)</f>
        <v>0</v>
      </c>
      <c r="H84" s="16">
        <f>SUMIFS('Business - Dump'!$U:$U,'Business - Dump'!$D:$D,'SKU Repoprt'!$D84,'Business - Dump'!$A:$A,'SKU Repoprt'!H$1)</f>
        <v>3100</v>
      </c>
      <c r="I84" s="16">
        <f>SUMIFS('Business - Dump'!$U:$U,'Business - Dump'!$D:$D,'SKU Repoprt'!$D84,'Business - Dump'!$A:$A,'SKU Repoprt'!I$1)</f>
        <v>0</v>
      </c>
      <c r="J84" s="16">
        <f>SUMIFS('Business - Dump'!$U:$U,'Business - Dump'!$D:$D,'SKU Repoprt'!$D84,'Business - Dump'!$A:$A,'SKU Repoprt'!J$1)</f>
        <v>2800</v>
      </c>
      <c r="K84" s="16">
        <f>SUMIFS('Business - Dump'!$U:$U,'Business - Dump'!$D:$D,'SKU Repoprt'!$D84,'Business - Dump'!$A:$A,'SKU Repoprt'!K$1)</f>
        <v>5554.24</v>
      </c>
      <c r="L84" s="16">
        <f>SUMIFS('Business - Dump'!$U:$U,'Business - Dump'!$D:$D,'SKU Repoprt'!$D84,'Business - Dump'!$A:$A,'SKU Repoprt'!L$1)</f>
        <v>2800</v>
      </c>
      <c r="M84" s="16">
        <f>SUMIFS('Business - Dump'!$U:$U,'Business - Dump'!$D:$D,'SKU Repoprt'!$D84,'Business - Dump'!$A:$A,'SKU Repoprt'!M$1)</f>
        <v>8958</v>
      </c>
      <c r="N84" s="16">
        <f>SUMIFS('Business - Dump'!$U:$U,'Business - Dump'!$D:$D,'SKU Repoprt'!$D84,'Business - Dump'!$A:$A,'SKU Repoprt'!N$1)</f>
        <v>9897</v>
      </c>
      <c r="O84" s="16">
        <f>SUMIFS('Business - Dump'!$U:$U,'Business - Dump'!$D:$D,'SKU Repoprt'!$D84,'Business - Dump'!$A:$A,'SKU Repoprt'!O$1)</f>
        <v>15697</v>
      </c>
      <c r="P84" s="16">
        <f>SUMIFS('Business - Dump'!$U:$U,'Business - Dump'!$D:$D,'SKU Repoprt'!$D84,'Business - Dump'!$A:$A,'SKU Repoprt'!P$1)</f>
        <v>17298</v>
      </c>
      <c r="Q84" s="16">
        <f>SUMIFS('Business - Dump'!$U:$U,'Business - Dump'!$D:$D,'SKU Repoprt'!$D84,'Business - Dump'!$A:$A,'SKU Repoprt'!Q$1)</f>
        <v>0</v>
      </c>
      <c r="R84" s="16">
        <f>SUMIFS('Business - Dump'!$U:$U,'Business - Dump'!$D:$D,'SKU Repoprt'!$D84,'Business - Dump'!$A:$A,'SKU Repoprt'!R$1)</f>
        <v>0</v>
      </c>
      <c r="S84" s="16">
        <f>SUMIFS('Business - Dump'!$U:$U,'Business - Dump'!$D:$D,'SKU Repoprt'!$D84,'Business - Dump'!$A:$A,'SKU Repoprt'!S$1)</f>
        <v>0</v>
      </c>
      <c r="T84" s="16">
        <f>SUMIFS('Business - Dump'!$U:$U,'Business - Dump'!$D:$D,'SKU Repoprt'!$D84,'Business - Dump'!$A:$A,'SKU Repoprt'!T$1)</f>
        <v>0</v>
      </c>
      <c r="U84" s="16">
        <f>SUMIFS('Business - Dump'!$U:$U,'Business - Dump'!$D:$D,'SKU Repoprt'!$D84,'Business - Dump'!$A:$A,'SKU Repoprt'!U$1)</f>
        <v>0</v>
      </c>
      <c r="V84" s="16">
        <f>SUMIFS('Business - Dump'!$U:$U,'Business - Dump'!$D:$D,'SKU Repoprt'!$D84,'Business - Dump'!$A:$A,'SKU Repoprt'!V$1)</f>
        <v>0</v>
      </c>
      <c r="W84" s="16">
        <f>SUMIFS('Business - Dump'!$U:$U,'Business - Dump'!$D:$D,'SKU Repoprt'!$D84,'Business - Dump'!$A:$A,'SKU Repoprt'!W$1)</f>
        <v>0</v>
      </c>
    </row>
    <row r="85" ht="15.75" customHeight="1">
      <c r="A85" s="10" t="s">
        <v>241</v>
      </c>
      <c r="B85" s="10" t="s">
        <v>241</v>
      </c>
      <c r="C85" s="10"/>
      <c r="D85" s="10" t="s">
        <v>345</v>
      </c>
      <c r="E85" s="10" t="s">
        <v>29</v>
      </c>
      <c r="F85" s="17">
        <v>0.027042857142857143</v>
      </c>
      <c r="G85" s="17">
        <f t="shared" ref="G85:W85" si="28">IFERROR(G83/G80,0)</f>
        <v>0</v>
      </c>
      <c r="H85" s="17">
        <f t="shared" si="28"/>
        <v>0.04</v>
      </c>
      <c r="I85" s="17">
        <f t="shared" si="28"/>
        <v>0</v>
      </c>
      <c r="J85" s="17">
        <f t="shared" si="28"/>
        <v>0.01408450704</v>
      </c>
      <c r="K85" s="17">
        <f t="shared" si="28"/>
        <v>0.01818181818</v>
      </c>
      <c r="L85" s="17">
        <f t="shared" si="28"/>
        <v>0.006756756757</v>
      </c>
      <c r="M85" s="17">
        <f t="shared" si="28"/>
        <v>0.02158273381</v>
      </c>
      <c r="N85" s="17">
        <f t="shared" si="28"/>
        <v>0.008595988539</v>
      </c>
      <c r="O85" s="17">
        <f t="shared" si="28"/>
        <v>0.01342281879</v>
      </c>
      <c r="P85" s="17">
        <f t="shared" si="28"/>
        <v>0.01538461538</v>
      </c>
      <c r="Q85" s="17">
        <f t="shared" si="28"/>
        <v>0</v>
      </c>
      <c r="R85" s="17">
        <f t="shared" si="28"/>
        <v>0</v>
      </c>
      <c r="S85" s="17">
        <f t="shared" si="28"/>
        <v>0</v>
      </c>
      <c r="T85" s="17">
        <f t="shared" si="28"/>
        <v>0</v>
      </c>
      <c r="U85" s="17">
        <f t="shared" si="28"/>
        <v>0</v>
      </c>
      <c r="V85" s="17">
        <f t="shared" si="28"/>
        <v>0</v>
      </c>
      <c r="W85" s="17">
        <f t="shared" si="28"/>
        <v>0</v>
      </c>
    </row>
    <row r="86" ht="15.75" customHeight="1">
      <c r="A86" s="10" t="s">
        <v>240</v>
      </c>
      <c r="B86" s="10" t="s">
        <v>240</v>
      </c>
      <c r="C86" s="10"/>
      <c r="D86" s="10" t="s">
        <v>346</v>
      </c>
      <c r="E86" s="10" t="s">
        <v>257</v>
      </c>
      <c r="F86" s="3">
        <f t="shared" ref="F86:F90" si="29">SUM(G86:S86)</f>
        <v>1633</v>
      </c>
      <c r="G86" s="3">
        <f>SUMIFS('Business - Dump'!$G:$G,'Business - Dump'!$D:$D,'SKU Repoprt'!$D86,'Business - Dump'!$A:$A,'SKU Repoprt'!G$1)</f>
        <v>0</v>
      </c>
      <c r="H86" s="3">
        <f>SUMIFS('Business - Dump'!$G:$G,'Business - Dump'!$D:$D,'SKU Repoprt'!$D86,'Business - Dump'!$A:$A,'SKU Repoprt'!H$1)</f>
        <v>0</v>
      </c>
      <c r="I86" s="3">
        <f>SUMIFS('Business - Dump'!$G:$G,'Business - Dump'!$D:$D,'SKU Repoprt'!$D86,'Business - Dump'!$A:$A,'SKU Repoprt'!I$1)</f>
        <v>0</v>
      </c>
      <c r="J86" s="3">
        <f>SUMIFS('Business - Dump'!$G:$G,'Business - Dump'!$D:$D,'SKU Repoprt'!$D86,'Business - Dump'!$A:$A,'SKU Repoprt'!J$1)</f>
        <v>0</v>
      </c>
      <c r="K86" s="3">
        <f>SUMIFS('Business - Dump'!$G:$G,'Business - Dump'!$D:$D,'SKU Repoprt'!$D86,'Business - Dump'!$A:$A,'SKU Repoprt'!K$1)</f>
        <v>0</v>
      </c>
      <c r="L86" s="3">
        <f>SUMIFS('Business - Dump'!$G:$G,'Business - Dump'!$D:$D,'SKU Repoprt'!$D86,'Business - Dump'!$A:$A,'SKU Repoprt'!L$1)</f>
        <v>0</v>
      </c>
      <c r="M86" s="3">
        <f>SUMIFS('Business - Dump'!$G:$G,'Business - Dump'!$D:$D,'SKU Repoprt'!$D86,'Business - Dump'!$A:$A,'SKU Repoprt'!M$1)</f>
        <v>0</v>
      </c>
      <c r="N86" s="3">
        <f>SUMIFS('Business - Dump'!$G:$G,'Business - Dump'!$D:$D,'SKU Repoprt'!$D86,'Business - Dump'!$A:$A,'SKU Repoprt'!N$1)</f>
        <v>43</v>
      </c>
      <c r="O86" s="3">
        <f>SUMIFS('Business - Dump'!$G:$G,'Business - Dump'!$D:$D,'SKU Repoprt'!$D86,'Business - Dump'!$A:$A,'SKU Repoprt'!O$1)</f>
        <v>170</v>
      </c>
      <c r="P86" s="3">
        <f>SUMIFS('Business - Dump'!$G:$G,'Business - Dump'!$D:$D,'SKU Repoprt'!$D86,'Business - Dump'!$A:$A,'SKU Repoprt'!P$1)</f>
        <v>836</v>
      </c>
      <c r="Q86" s="3">
        <f>SUMIFS('Business - Dump'!$G:$G,'Business - Dump'!$D:$D,'SKU Repoprt'!$D86,'Business - Dump'!$A:$A,'SKU Repoprt'!Q$1)</f>
        <v>501</v>
      </c>
      <c r="R86" s="3">
        <f>SUMIFS('Business - Dump'!$G:$G,'Business - Dump'!$D:$D,'SKU Repoprt'!$D86,'Business - Dump'!$A:$A,'SKU Repoprt'!R$1)</f>
        <v>83</v>
      </c>
      <c r="S86" s="3">
        <f>SUMIFS('Business - Dump'!$G:$G,'Business - Dump'!$D:$D,'SKU Repoprt'!$D86,'Business - Dump'!$A:$A,'SKU Repoprt'!S$1)</f>
        <v>0</v>
      </c>
      <c r="T86" s="3">
        <f>SUMIFS('Business - Dump'!$G:$G,'Business - Dump'!$D:$D,'SKU Repoprt'!$D86,'Business - Dump'!$A:$A,'SKU Repoprt'!T$1)</f>
        <v>0</v>
      </c>
      <c r="U86" s="3">
        <f>SUMIFS('Business - Dump'!$G:$G,'Business - Dump'!$D:$D,'SKU Repoprt'!$D86,'Business - Dump'!$A:$A,'SKU Repoprt'!U$1)</f>
        <v>0</v>
      </c>
      <c r="V86" s="3">
        <f>SUMIFS('Business - Dump'!$G:$G,'Business - Dump'!$D:$D,'SKU Repoprt'!$D86,'Business - Dump'!$A:$A,'SKU Repoprt'!V$1)</f>
        <v>0</v>
      </c>
      <c r="W86" s="3">
        <f>SUMIFS('Business - Dump'!$G:$G,'Business - Dump'!$D:$D,'SKU Repoprt'!$D86,'Business - Dump'!$A:$A,'SKU Repoprt'!W$1)</f>
        <v>0</v>
      </c>
    </row>
    <row r="87" ht="15.75" customHeight="1">
      <c r="A87" s="10" t="s">
        <v>240</v>
      </c>
      <c r="B87" s="10" t="s">
        <v>240</v>
      </c>
      <c r="C87" s="10"/>
      <c r="D87" s="10" t="s">
        <v>346</v>
      </c>
      <c r="E87" s="10" t="s">
        <v>260</v>
      </c>
      <c r="F87" s="3">
        <f t="shared" si="29"/>
        <v>2460</v>
      </c>
      <c r="G87" s="3">
        <f>SUMIFS('Business - Dump'!$K:$K,'Business - Dump'!$D:$D,'SKU Repoprt'!$D87,'Business - Dump'!$A:$A,'SKU Repoprt'!G$1)</f>
        <v>0</v>
      </c>
      <c r="H87" s="3">
        <f>SUMIFS('Business - Dump'!$K:$K,'Business - Dump'!$D:$D,'SKU Repoprt'!$D87,'Business - Dump'!$A:$A,'SKU Repoprt'!H$1)</f>
        <v>0</v>
      </c>
      <c r="I87" s="3">
        <f>SUMIFS('Business - Dump'!$K:$K,'Business - Dump'!$D:$D,'SKU Repoprt'!$D87,'Business - Dump'!$A:$A,'SKU Repoprt'!I$1)</f>
        <v>0</v>
      </c>
      <c r="J87" s="3">
        <f>SUMIFS('Business - Dump'!$K:$K,'Business - Dump'!$D:$D,'SKU Repoprt'!$D87,'Business - Dump'!$A:$A,'SKU Repoprt'!J$1)</f>
        <v>0</v>
      </c>
      <c r="K87" s="3">
        <f>SUMIFS('Business - Dump'!$K:$K,'Business - Dump'!$D:$D,'SKU Repoprt'!$D87,'Business - Dump'!$A:$A,'SKU Repoprt'!K$1)</f>
        <v>0</v>
      </c>
      <c r="L87" s="3">
        <f>SUMIFS('Business - Dump'!$K:$K,'Business - Dump'!$D:$D,'SKU Repoprt'!$D87,'Business - Dump'!$A:$A,'SKU Repoprt'!L$1)</f>
        <v>0</v>
      </c>
      <c r="M87" s="3">
        <f>SUMIFS('Business - Dump'!$K:$K,'Business - Dump'!$D:$D,'SKU Repoprt'!$D87,'Business - Dump'!$A:$A,'SKU Repoprt'!M$1)</f>
        <v>0</v>
      </c>
      <c r="N87" s="3">
        <f>SUMIFS('Business - Dump'!$K:$K,'Business - Dump'!$D:$D,'SKU Repoprt'!$D87,'Business - Dump'!$A:$A,'SKU Repoprt'!N$1)</f>
        <v>84</v>
      </c>
      <c r="O87" s="3">
        <f>SUMIFS('Business - Dump'!$K:$K,'Business - Dump'!$D:$D,'SKU Repoprt'!$D87,'Business - Dump'!$A:$A,'SKU Repoprt'!O$1)</f>
        <v>278</v>
      </c>
      <c r="P87" s="3">
        <f>SUMIFS('Business - Dump'!$K:$K,'Business - Dump'!$D:$D,'SKU Repoprt'!$D87,'Business - Dump'!$A:$A,'SKU Repoprt'!P$1)</f>
        <v>1179</v>
      </c>
      <c r="Q87" s="3">
        <f>SUMIFS('Business - Dump'!$K:$K,'Business - Dump'!$D:$D,'SKU Repoprt'!$D87,'Business - Dump'!$A:$A,'SKU Repoprt'!Q$1)</f>
        <v>783</v>
      </c>
      <c r="R87" s="3">
        <f>SUMIFS('Business - Dump'!$K:$K,'Business - Dump'!$D:$D,'SKU Repoprt'!$D87,'Business - Dump'!$A:$A,'SKU Repoprt'!R$1)</f>
        <v>136</v>
      </c>
      <c r="S87" s="3">
        <f>SUMIFS('Business - Dump'!$K:$K,'Business - Dump'!$D:$D,'SKU Repoprt'!$D87,'Business - Dump'!$A:$A,'SKU Repoprt'!S$1)</f>
        <v>0</v>
      </c>
      <c r="T87" s="3">
        <f>SUMIFS('Business - Dump'!$K:$K,'Business - Dump'!$D:$D,'SKU Repoprt'!$D87,'Business - Dump'!$A:$A,'SKU Repoprt'!T$1)</f>
        <v>0</v>
      </c>
      <c r="U87" s="3">
        <f>SUMIFS('Business - Dump'!$K:$K,'Business - Dump'!$D:$D,'SKU Repoprt'!$D87,'Business - Dump'!$A:$A,'SKU Repoprt'!U$1)</f>
        <v>0</v>
      </c>
      <c r="V87" s="3">
        <f>SUMIFS('Business - Dump'!$K:$K,'Business - Dump'!$D:$D,'SKU Repoprt'!$D87,'Business - Dump'!$A:$A,'SKU Repoprt'!V$1)</f>
        <v>0</v>
      </c>
      <c r="W87" s="3">
        <f>SUMIFS('Business - Dump'!$K:$K,'Business - Dump'!$D:$D,'SKU Repoprt'!$D87,'Business - Dump'!$A:$A,'SKU Repoprt'!W$1)</f>
        <v>0</v>
      </c>
    </row>
    <row r="88" ht="15.75" customHeight="1">
      <c r="A88" s="10" t="s">
        <v>240</v>
      </c>
      <c r="B88" s="10" t="s">
        <v>240</v>
      </c>
      <c r="C88" s="10"/>
      <c r="D88" s="10" t="s">
        <v>346</v>
      </c>
      <c r="E88" s="10" t="s">
        <v>264</v>
      </c>
      <c r="F88" s="3">
        <f t="shared" si="29"/>
        <v>56</v>
      </c>
      <c r="G88" s="3">
        <f>SUMIFS('Business - Dump'!$Q:$Q,'Business - Dump'!$D:$D,'SKU Repoprt'!$D88,'Business - Dump'!$A:$A,'SKU Repoprt'!G$1)</f>
        <v>0</v>
      </c>
      <c r="H88" s="3">
        <f>SUMIFS('Business - Dump'!$Q:$Q,'Business - Dump'!$D:$D,'SKU Repoprt'!$D88,'Business - Dump'!$A:$A,'SKU Repoprt'!H$1)</f>
        <v>0</v>
      </c>
      <c r="I88" s="3">
        <f>SUMIFS('Business - Dump'!$Q:$Q,'Business - Dump'!$D:$D,'SKU Repoprt'!$D88,'Business - Dump'!$A:$A,'SKU Repoprt'!I$1)</f>
        <v>0</v>
      </c>
      <c r="J88" s="3">
        <f>SUMIFS('Business - Dump'!$Q:$Q,'Business - Dump'!$D:$D,'SKU Repoprt'!$D88,'Business - Dump'!$A:$A,'SKU Repoprt'!J$1)</f>
        <v>0</v>
      </c>
      <c r="K88" s="3">
        <f>SUMIFS('Business - Dump'!$Q:$Q,'Business - Dump'!$D:$D,'SKU Repoprt'!$D88,'Business - Dump'!$A:$A,'SKU Repoprt'!K$1)</f>
        <v>0</v>
      </c>
      <c r="L88" s="3">
        <f>SUMIFS('Business - Dump'!$Q:$Q,'Business - Dump'!$D:$D,'SKU Repoprt'!$D88,'Business - Dump'!$A:$A,'SKU Repoprt'!L$1)</f>
        <v>0</v>
      </c>
      <c r="M88" s="3">
        <f>SUMIFS('Business - Dump'!$Q:$Q,'Business - Dump'!$D:$D,'SKU Repoprt'!$D88,'Business - Dump'!$A:$A,'SKU Repoprt'!M$1)</f>
        <v>0</v>
      </c>
      <c r="N88" s="3">
        <f>SUMIFS('Business - Dump'!$Q:$Q,'Business - Dump'!$D:$D,'SKU Repoprt'!$D88,'Business - Dump'!$A:$A,'SKU Repoprt'!N$1)</f>
        <v>5</v>
      </c>
      <c r="O88" s="3">
        <f>SUMIFS('Business - Dump'!$Q:$Q,'Business - Dump'!$D:$D,'SKU Repoprt'!$D88,'Business - Dump'!$A:$A,'SKU Repoprt'!O$1)</f>
        <v>7</v>
      </c>
      <c r="P88" s="3">
        <f>SUMIFS('Business - Dump'!$Q:$Q,'Business - Dump'!$D:$D,'SKU Repoprt'!$D88,'Business - Dump'!$A:$A,'SKU Repoprt'!P$1)</f>
        <v>19</v>
      </c>
      <c r="Q88" s="3">
        <f>SUMIFS('Business - Dump'!$Q:$Q,'Business - Dump'!$D:$D,'SKU Repoprt'!$D88,'Business - Dump'!$A:$A,'SKU Repoprt'!Q$1)</f>
        <v>21</v>
      </c>
      <c r="R88" s="3">
        <f>SUMIFS('Business - Dump'!$Q:$Q,'Business - Dump'!$D:$D,'SKU Repoprt'!$D88,'Business - Dump'!$A:$A,'SKU Repoprt'!R$1)</f>
        <v>4</v>
      </c>
      <c r="S88" s="3">
        <f>SUMIFS('Business - Dump'!$Q:$Q,'Business - Dump'!$D:$D,'SKU Repoprt'!$D88,'Business - Dump'!$A:$A,'SKU Repoprt'!S$1)</f>
        <v>0</v>
      </c>
      <c r="T88" s="3">
        <f>SUMIFS('Business - Dump'!$Q:$Q,'Business - Dump'!$D:$D,'SKU Repoprt'!$D88,'Business - Dump'!$A:$A,'SKU Repoprt'!T$1)</f>
        <v>0</v>
      </c>
      <c r="U88" s="3">
        <f>SUMIFS('Business - Dump'!$Q:$Q,'Business - Dump'!$D:$D,'SKU Repoprt'!$D88,'Business - Dump'!$A:$A,'SKU Repoprt'!U$1)</f>
        <v>0</v>
      </c>
      <c r="V88" s="3">
        <f>SUMIFS('Business - Dump'!$Q:$Q,'Business - Dump'!$D:$D,'SKU Repoprt'!$D88,'Business - Dump'!$A:$A,'SKU Repoprt'!V$1)</f>
        <v>0</v>
      </c>
      <c r="W88" s="3">
        <f>SUMIFS('Business - Dump'!$Q:$Q,'Business - Dump'!$D:$D,'SKU Repoprt'!$D88,'Business - Dump'!$A:$A,'SKU Repoprt'!W$1)</f>
        <v>0</v>
      </c>
    </row>
    <row r="89" ht="15.75" customHeight="1">
      <c r="A89" s="10" t="s">
        <v>240</v>
      </c>
      <c r="B89" s="10" t="s">
        <v>240</v>
      </c>
      <c r="C89" s="10"/>
      <c r="D89" s="10" t="s">
        <v>346</v>
      </c>
      <c r="E89" s="10" t="s">
        <v>268</v>
      </c>
      <c r="F89" s="3">
        <f t="shared" si="29"/>
        <v>56</v>
      </c>
      <c r="G89" s="3">
        <f>SUMIFS('Business - Dump'!$W:$W,'Business - Dump'!$D:$D,'SKU Repoprt'!$D89,'Business - Dump'!$A:$A,'SKU Repoprt'!G$1)</f>
        <v>0</v>
      </c>
      <c r="H89" s="3">
        <f>SUMIFS('Business - Dump'!$W:$W,'Business - Dump'!$D:$D,'SKU Repoprt'!$D89,'Business - Dump'!$A:$A,'SKU Repoprt'!H$1)</f>
        <v>0</v>
      </c>
      <c r="I89" s="3">
        <f>SUMIFS('Business - Dump'!$W:$W,'Business - Dump'!$D:$D,'SKU Repoprt'!$D89,'Business - Dump'!$A:$A,'SKU Repoprt'!I$1)</f>
        <v>0</v>
      </c>
      <c r="J89" s="3">
        <f>SUMIFS('Business - Dump'!$W:$W,'Business - Dump'!$D:$D,'SKU Repoprt'!$D89,'Business - Dump'!$A:$A,'SKU Repoprt'!J$1)</f>
        <v>0</v>
      </c>
      <c r="K89" s="3">
        <f>SUMIFS('Business - Dump'!$W:$W,'Business - Dump'!$D:$D,'SKU Repoprt'!$D89,'Business - Dump'!$A:$A,'SKU Repoprt'!K$1)</f>
        <v>0</v>
      </c>
      <c r="L89" s="3">
        <f>SUMIFS('Business - Dump'!$W:$W,'Business - Dump'!$D:$D,'SKU Repoprt'!$D89,'Business - Dump'!$A:$A,'SKU Repoprt'!L$1)</f>
        <v>0</v>
      </c>
      <c r="M89" s="3">
        <f>SUMIFS('Business - Dump'!$W:$W,'Business - Dump'!$D:$D,'SKU Repoprt'!$D89,'Business - Dump'!$A:$A,'SKU Repoprt'!M$1)</f>
        <v>0</v>
      </c>
      <c r="N89" s="3">
        <f>SUMIFS('Business - Dump'!$W:$W,'Business - Dump'!$D:$D,'SKU Repoprt'!$D89,'Business - Dump'!$A:$A,'SKU Repoprt'!N$1)</f>
        <v>5</v>
      </c>
      <c r="O89" s="3">
        <f>SUMIFS('Business - Dump'!$W:$W,'Business - Dump'!$D:$D,'SKU Repoprt'!$D89,'Business - Dump'!$A:$A,'SKU Repoprt'!O$1)</f>
        <v>7</v>
      </c>
      <c r="P89" s="3">
        <f>SUMIFS('Business - Dump'!$W:$W,'Business - Dump'!$D:$D,'SKU Repoprt'!$D89,'Business - Dump'!$A:$A,'SKU Repoprt'!P$1)</f>
        <v>19</v>
      </c>
      <c r="Q89" s="3">
        <f>SUMIFS('Business - Dump'!$W:$W,'Business - Dump'!$D:$D,'SKU Repoprt'!$D89,'Business - Dump'!$A:$A,'SKU Repoprt'!Q$1)</f>
        <v>21</v>
      </c>
      <c r="R89" s="3">
        <f>SUMIFS('Business - Dump'!$W:$W,'Business - Dump'!$D:$D,'SKU Repoprt'!$D89,'Business - Dump'!$A:$A,'SKU Repoprt'!R$1)</f>
        <v>4</v>
      </c>
      <c r="S89" s="3">
        <f>SUMIFS('Business - Dump'!$W:$W,'Business - Dump'!$D:$D,'SKU Repoprt'!$D89,'Business - Dump'!$A:$A,'SKU Repoprt'!S$1)</f>
        <v>0</v>
      </c>
      <c r="T89" s="3">
        <f>SUMIFS('Business - Dump'!$W:$W,'Business - Dump'!$D:$D,'SKU Repoprt'!$D89,'Business - Dump'!$A:$A,'SKU Repoprt'!T$1)</f>
        <v>0</v>
      </c>
      <c r="U89" s="3">
        <f>SUMIFS('Business - Dump'!$W:$W,'Business - Dump'!$D:$D,'SKU Repoprt'!$D89,'Business - Dump'!$A:$A,'SKU Repoprt'!U$1)</f>
        <v>0</v>
      </c>
      <c r="V89" s="3">
        <f>SUMIFS('Business - Dump'!$W:$W,'Business - Dump'!$D:$D,'SKU Repoprt'!$D89,'Business - Dump'!$A:$A,'SKU Repoprt'!V$1)</f>
        <v>0</v>
      </c>
      <c r="W89" s="3">
        <f>SUMIFS('Business - Dump'!$W:$W,'Business - Dump'!$D:$D,'SKU Repoprt'!$D89,'Business - Dump'!$A:$A,'SKU Repoprt'!W$1)</f>
        <v>0</v>
      </c>
    </row>
    <row r="90" ht="15.75" customHeight="1">
      <c r="A90" s="10" t="s">
        <v>240</v>
      </c>
      <c r="B90" s="10" t="s">
        <v>240</v>
      </c>
      <c r="C90" s="10"/>
      <c r="D90" s="10" t="s">
        <v>346</v>
      </c>
      <c r="E90" s="10" t="s">
        <v>26</v>
      </c>
      <c r="F90" s="16">
        <f t="shared" si="29"/>
        <v>189807</v>
      </c>
      <c r="G90" s="16">
        <f>SUMIFS('Business - Dump'!$U:$U,'Business - Dump'!$D:$D,'SKU Repoprt'!$D90,'Business - Dump'!$A:$A,'SKU Repoprt'!G$1)</f>
        <v>0</v>
      </c>
      <c r="H90" s="16">
        <f>SUMIFS('Business - Dump'!$U:$U,'Business - Dump'!$D:$D,'SKU Repoprt'!$D90,'Business - Dump'!$A:$A,'SKU Repoprt'!H$1)</f>
        <v>0</v>
      </c>
      <c r="I90" s="16">
        <f>SUMIFS('Business - Dump'!$U:$U,'Business - Dump'!$D:$D,'SKU Repoprt'!$D90,'Business - Dump'!$A:$A,'SKU Repoprt'!I$1)</f>
        <v>0</v>
      </c>
      <c r="J90" s="16">
        <f>SUMIFS('Business - Dump'!$U:$U,'Business - Dump'!$D:$D,'SKU Repoprt'!$D90,'Business - Dump'!$A:$A,'SKU Repoprt'!J$1)</f>
        <v>0</v>
      </c>
      <c r="K90" s="16">
        <f>SUMIFS('Business - Dump'!$U:$U,'Business - Dump'!$D:$D,'SKU Repoprt'!$D90,'Business - Dump'!$A:$A,'SKU Repoprt'!K$1)</f>
        <v>0</v>
      </c>
      <c r="L90" s="16">
        <f>SUMIFS('Business - Dump'!$U:$U,'Business - Dump'!$D:$D,'SKU Repoprt'!$D90,'Business - Dump'!$A:$A,'SKU Repoprt'!L$1)</f>
        <v>0</v>
      </c>
      <c r="M90" s="16">
        <f>SUMIFS('Business - Dump'!$U:$U,'Business - Dump'!$D:$D,'SKU Repoprt'!$D90,'Business - Dump'!$A:$A,'SKU Repoprt'!M$1)</f>
        <v>0</v>
      </c>
      <c r="N90" s="16">
        <f>SUMIFS('Business - Dump'!$U:$U,'Business - Dump'!$D:$D,'SKU Repoprt'!$D90,'Business - Dump'!$A:$A,'SKU Repoprt'!N$1)</f>
        <v>16450</v>
      </c>
      <c r="O90" s="16">
        <f>SUMIFS('Business - Dump'!$U:$U,'Business - Dump'!$D:$D,'SKU Repoprt'!$D90,'Business - Dump'!$A:$A,'SKU Repoprt'!O$1)</f>
        <v>23030</v>
      </c>
      <c r="P90" s="16">
        <f>SUMIFS('Business - Dump'!$U:$U,'Business - Dump'!$D:$D,'SKU Repoprt'!$D90,'Business - Dump'!$A:$A,'SKU Repoprt'!P$1)</f>
        <v>68077</v>
      </c>
      <c r="Q90" s="16">
        <f>SUMIFS('Business - Dump'!$U:$U,'Business - Dump'!$D:$D,'SKU Repoprt'!$D90,'Business - Dump'!$A:$A,'SKU Repoprt'!Q$1)</f>
        <v>69090</v>
      </c>
      <c r="R90" s="16">
        <f>SUMIFS('Business - Dump'!$U:$U,'Business - Dump'!$D:$D,'SKU Repoprt'!$D90,'Business - Dump'!$A:$A,'SKU Repoprt'!R$1)</f>
        <v>13160</v>
      </c>
      <c r="S90" s="16">
        <f>SUMIFS('Business - Dump'!$U:$U,'Business - Dump'!$D:$D,'SKU Repoprt'!$D90,'Business - Dump'!$A:$A,'SKU Repoprt'!S$1)</f>
        <v>0</v>
      </c>
      <c r="T90" s="16">
        <f>SUMIFS('Business - Dump'!$U:$U,'Business - Dump'!$D:$D,'SKU Repoprt'!$D90,'Business - Dump'!$A:$A,'SKU Repoprt'!T$1)</f>
        <v>0</v>
      </c>
      <c r="U90" s="16">
        <f>SUMIFS('Business - Dump'!$U:$U,'Business - Dump'!$D:$D,'SKU Repoprt'!$D90,'Business - Dump'!$A:$A,'SKU Repoprt'!U$1)</f>
        <v>0</v>
      </c>
      <c r="V90" s="16">
        <f>SUMIFS('Business - Dump'!$U:$U,'Business - Dump'!$D:$D,'SKU Repoprt'!$D90,'Business - Dump'!$A:$A,'SKU Repoprt'!V$1)</f>
        <v>0</v>
      </c>
      <c r="W90" s="16">
        <f>SUMIFS('Business - Dump'!$U:$U,'Business - Dump'!$D:$D,'SKU Repoprt'!$D90,'Business - Dump'!$A:$A,'SKU Repoprt'!W$1)</f>
        <v>0</v>
      </c>
    </row>
    <row r="91" ht="15.75" customHeight="1">
      <c r="A91" s="10" t="s">
        <v>240</v>
      </c>
      <c r="B91" s="10" t="s">
        <v>240</v>
      </c>
      <c r="C91" s="10"/>
      <c r="D91" s="10" t="s">
        <v>346</v>
      </c>
      <c r="E91" s="10" t="s">
        <v>29</v>
      </c>
      <c r="F91" s="17">
        <v>0.027042857142857143</v>
      </c>
      <c r="G91" s="17">
        <f t="shared" ref="G91:W91" si="30">IFERROR(G89/G86,0)</f>
        <v>0</v>
      </c>
      <c r="H91" s="17">
        <f t="shared" si="30"/>
        <v>0</v>
      </c>
      <c r="I91" s="17">
        <f t="shared" si="30"/>
        <v>0</v>
      </c>
      <c r="J91" s="17">
        <f t="shared" si="30"/>
        <v>0</v>
      </c>
      <c r="K91" s="17">
        <f t="shared" si="30"/>
        <v>0</v>
      </c>
      <c r="L91" s="17">
        <f t="shared" si="30"/>
        <v>0</v>
      </c>
      <c r="M91" s="17">
        <f t="shared" si="30"/>
        <v>0</v>
      </c>
      <c r="N91" s="17">
        <f t="shared" si="30"/>
        <v>0.1162790698</v>
      </c>
      <c r="O91" s="17">
        <f t="shared" si="30"/>
        <v>0.04117647059</v>
      </c>
      <c r="P91" s="17">
        <f t="shared" si="30"/>
        <v>0.02272727273</v>
      </c>
      <c r="Q91" s="17">
        <f t="shared" si="30"/>
        <v>0.04191616766</v>
      </c>
      <c r="R91" s="17">
        <f t="shared" si="30"/>
        <v>0.04819277108</v>
      </c>
      <c r="S91" s="17">
        <f t="shared" si="30"/>
        <v>0</v>
      </c>
      <c r="T91" s="17">
        <f t="shared" si="30"/>
        <v>0</v>
      </c>
      <c r="U91" s="17">
        <f t="shared" si="30"/>
        <v>0</v>
      </c>
      <c r="V91" s="17">
        <f t="shared" si="30"/>
        <v>0</v>
      </c>
      <c r="W91" s="17">
        <f t="shared" si="30"/>
        <v>0</v>
      </c>
    </row>
    <row r="92" ht="15.75" customHeight="1">
      <c r="A92" s="10" t="s">
        <v>310</v>
      </c>
      <c r="B92" s="10" t="s">
        <v>310</v>
      </c>
      <c r="C92" s="10"/>
      <c r="D92" s="10" t="s">
        <v>347</v>
      </c>
      <c r="E92" s="10" t="s">
        <v>257</v>
      </c>
      <c r="F92" s="3">
        <f t="shared" ref="F92:F96" si="31">SUM(G92:S92)</f>
        <v>79</v>
      </c>
      <c r="G92" s="3">
        <f>SUMIFS('Business - Dump'!$G:$G,'Business - Dump'!$D:$D,'SKU Repoprt'!$D92,'Business - Dump'!$A:$A,'SKU Repoprt'!G$1)</f>
        <v>0</v>
      </c>
      <c r="H92" s="3">
        <f>SUMIFS('Business - Dump'!$G:$G,'Business - Dump'!$D:$D,'SKU Repoprt'!$D92,'Business - Dump'!$A:$A,'SKU Repoprt'!H$1)</f>
        <v>0</v>
      </c>
      <c r="I92" s="3">
        <f>SUMIFS('Business - Dump'!$G:$G,'Business - Dump'!$D:$D,'SKU Repoprt'!$D92,'Business - Dump'!$A:$A,'SKU Repoprt'!I$1)</f>
        <v>0</v>
      </c>
      <c r="J92" s="3">
        <f>SUMIFS('Business - Dump'!$G:$G,'Business - Dump'!$D:$D,'SKU Repoprt'!$D92,'Business - Dump'!$A:$A,'SKU Repoprt'!J$1)</f>
        <v>0</v>
      </c>
      <c r="K92" s="3">
        <f>SUMIFS('Business - Dump'!$G:$G,'Business - Dump'!$D:$D,'SKU Repoprt'!$D92,'Business - Dump'!$A:$A,'SKU Repoprt'!K$1)</f>
        <v>0</v>
      </c>
      <c r="L92" s="3">
        <f>SUMIFS('Business - Dump'!$G:$G,'Business - Dump'!$D:$D,'SKU Repoprt'!$D92,'Business - Dump'!$A:$A,'SKU Repoprt'!L$1)</f>
        <v>0</v>
      </c>
      <c r="M92" s="3">
        <f>SUMIFS('Business - Dump'!$G:$G,'Business - Dump'!$D:$D,'SKU Repoprt'!$D92,'Business - Dump'!$A:$A,'SKU Repoprt'!M$1)</f>
        <v>0</v>
      </c>
      <c r="N92" s="3">
        <f>SUMIFS('Business - Dump'!$G:$G,'Business - Dump'!$D:$D,'SKU Repoprt'!$D92,'Business - Dump'!$A:$A,'SKU Repoprt'!N$1)</f>
        <v>0</v>
      </c>
      <c r="O92" s="3">
        <f>SUMIFS('Business - Dump'!$G:$G,'Business - Dump'!$D:$D,'SKU Repoprt'!$D92,'Business - Dump'!$A:$A,'SKU Repoprt'!O$1)</f>
        <v>0</v>
      </c>
      <c r="P92" s="3">
        <f>SUMIFS('Business - Dump'!$G:$G,'Business - Dump'!$D:$D,'SKU Repoprt'!$D92,'Business - Dump'!$A:$A,'SKU Repoprt'!P$1)</f>
        <v>13</v>
      </c>
      <c r="Q92" s="3">
        <f>SUMIFS('Business - Dump'!$G:$G,'Business - Dump'!$D:$D,'SKU Repoprt'!$D92,'Business - Dump'!$A:$A,'SKU Repoprt'!Q$1)</f>
        <v>22</v>
      </c>
      <c r="R92" s="3">
        <f>SUMIFS('Business - Dump'!$G:$G,'Business - Dump'!$D:$D,'SKU Repoprt'!$D92,'Business - Dump'!$A:$A,'SKU Repoprt'!R$1)</f>
        <v>22</v>
      </c>
      <c r="S92" s="3">
        <f>SUMIFS('Business - Dump'!$G:$G,'Business - Dump'!$D:$D,'SKU Repoprt'!$D92,'Business - Dump'!$A:$A,'SKU Repoprt'!S$1)</f>
        <v>22</v>
      </c>
      <c r="T92" s="3">
        <f>SUMIFS('Business - Dump'!$G:$G,'Business - Dump'!$D:$D,'SKU Repoprt'!$D92,'Business - Dump'!$A:$A,'SKU Repoprt'!T$1)</f>
        <v>25</v>
      </c>
      <c r="U92" s="3">
        <f>SUMIFS('Business - Dump'!$G:$G,'Business - Dump'!$D:$D,'SKU Repoprt'!$D92,'Business - Dump'!$A:$A,'SKU Repoprt'!U$1)</f>
        <v>36</v>
      </c>
      <c r="V92" s="3">
        <f>SUMIFS('Business - Dump'!$G:$G,'Business - Dump'!$D:$D,'SKU Repoprt'!$D92,'Business - Dump'!$A:$A,'SKU Repoprt'!V$1)</f>
        <v>39</v>
      </c>
      <c r="W92" s="3">
        <f>SUMIFS('Business - Dump'!$G:$G,'Business - Dump'!$D:$D,'SKU Repoprt'!$D92,'Business - Dump'!$A:$A,'SKU Repoprt'!W$1)</f>
        <v>53</v>
      </c>
    </row>
    <row r="93" ht="15.75" customHeight="1">
      <c r="A93" s="10" t="s">
        <v>310</v>
      </c>
      <c r="B93" s="10" t="s">
        <v>310</v>
      </c>
      <c r="C93" s="10"/>
      <c r="D93" s="10" t="s">
        <v>347</v>
      </c>
      <c r="E93" s="10" t="s">
        <v>260</v>
      </c>
      <c r="F93" s="3">
        <f t="shared" si="31"/>
        <v>111</v>
      </c>
      <c r="G93" s="3">
        <f>SUMIFS('Business - Dump'!$K:$K,'Business - Dump'!$D:$D,'SKU Repoprt'!$D93,'Business - Dump'!$A:$A,'SKU Repoprt'!G$1)</f>
        <v>0</v>
      </c>
      <c r="H93" s="3">
        <f>SUMIFS('Business - Dump'!$K:$K,'Business - Dump'!$D:$D,'SKU Repoprt'!$D93,'Business - Dump'!$A:$A,'SKU Repoprt'!H$1)</f>
        <v>0</v>
      </c>
      <c r="I93" s="3">
        <f>SUMIFS('Business - Dump'!$K:$K,'Business - Dump'!$D:$D,'SKU Repoprt'!$D93,'Business - Dump'!$A:$A,'SKU Repoprt'!I$1)</f>
        <v>0</v>
      </c>
      <c r="J93" s="3">
        <f>SUMIFS('Business - Dump'!$K:$K,'Business - Dump'!$D:$D,'SKU Repoprt'!$D93,'Business - Dump'!$A:$A,'SKU Repoprt'!J$1)</f>
        <v>0</v>
      </c>
      <c r="K93" s="3">
        <f>SUMIFS('Business - Dump'!$K:$K,'Business - Dump'!$D:$D,'SKU Repoprt'!$D93,'Business - Dump'!$A:$A,'SKU Repoprt'!K$1)</f>
        <v>0</v>
      </c>
      <c r="L93" s="3">
        <f>SUMIFS('Business - Dump'!$K:$K,'Business - Dump'!$D:$D,'SKU Repoprt'!$D93,'Business - Dump'!$A:$A,'SKU Repoprt'!L$1)</f>
        <v>0</v>
      </c>
      <c r="M93" s="3">
        <f>SUMIFS('Business - Dump'!$K:$K,'Business - Dump'!$D:$D,'SKU Repoprt'!$D93,'Business - Dump'!$A:$A,'SKU Repoprt'!M$1)</f>
        <v>0</v>
      </c>
      <c r="N93" s="3">
        <f>SUMIFS('Business - Dump'!$K:$K,'Business - Dump'!$D:$D,'SKU Repoprt'!$D93,'Business - Dump'!$A:$A,'SKU Repoprt'!N$1)</f>
        <v>0</v>
      </c>
      <c r="O93" s="3">
        <f>SUMIFS('Business - Dump'!$K:$K,'Business - Dump'!$D:$D,'SKU Repoprt'!$D93,'Business - Dump'!$A:$A,'SKU Repoprt'!O$1)</f>
        <v>0</v>
      </c>
      <c r="P93" s="3">
        <f>SUMIFS('Business - Dump'!$K:$K,'Business - Dump'!$D:$D,'SKU Repoprt'!$D93,'Business - Dump'!$A:$A,'SKU Repoprt'!P$1)</f>
        <v>15</v>
      </c>
      <c r="Q93" s="3">
        <f>SUMIFS('Business - Dump'!$K:$K,'Business - Dump'!$D:$D,'SKU Repoprt'!$D93,'Business - Dump'!$A:$A,'SKU Repoprt'!Q$1)</f>
        <v>28</v>
      </c>
      <c r="R93" s="3">
        <f>SUMIFS('Business - Dump'!$K:$K,'Business - Dump'!$D:$D,'SKU Repoprt'!$D93,'Business - Dump'!$A:$A,'SKU Repoprt'!R$1)</f>
        <v>36</v>
      </c>
      <c r="S93" s="3">
        <f>SUMIFS('Business - Dump'!$K:$K,'Business - Dump'!$D:$D,'SKU Repoprt'!$D93,'Business - Dump'!$A:$A,'SKU Repoprt'!S$1)</f>
        <v>32</v>
      </c>
      <c r="T93" s="3">
        <f>SUMIFS('Business - Dump'!$K:$K,'Business - Dump'!$D:$D,'SKU Repoprt'!$D93,'Business - Dump'!$A:$A,'SKU Repoprt'!T$1)</f>
        <v>36</v>
      </c>
      <c r="U93" s="3">
        <f>SUMIFS('Business - Dump'!$K:$K,'Business - Dump'!$D:$D,'SKU Repoprt'!$D93,'Business - Dump'!$A:$A,'SKU Repoprt'!U$1)</f>
        <v>42</v>
      </c>
      <c r="V93" s="3">
        <f>SUMIFS('Business - Dump'!$K:$K,'Business - Dump'!$D:$D,'SKU Repoprt'!$D93,'Business - Dump'!$A:$A,'SKU Repoprt'!V$1)</f>
        <v>45</v>
      </c>
      <c r="W93" s="3">
        <f>SUMIFS('Business - Dump'!$K:$K,'Business - Dump'!$D:$D,'SKU Repoprt'!$D93,'Business - Dump'!$A:$A,'SKU Repoprt'!W$1)</f>
        <v>58</v>
      </c>
    </row>
    <row r="94" ht="15.75" customHeight="1">
      <c r="A94" s="10" t="s">
        <v>310</v>
      </c>
      <c r="B94" s="10" t="s">
        <v>310</v>
      </c>
      <c r="C94" s="10"/>
      <c r="D94" s="10" t="s">
        <v>347</v>
      </c>
      <c r="E94" s="10" t="s">
        <v>264</v>
      </c>
      <c r="F94" s="3">
        <f t="shared" si="31"/>
        <v>1</v>
      </c>
      <c r="G94" s="3">
        <f>SUMIFS('Business - Dump'!$Q:$Q,'Business - Dump'!$D:$D,'SKU Repoprt'!$D94,'Business - Dump'!$A:$A,'SKU Repoprt'!G$1)</f>
        <v>0</v>
      </c>
      <c r="H94" s="3">
        <f>SUMIFS('Business - Dump'!$Q:$Q,'Business - Dump'!$D:$D,'SKU Repoprt'!$D94,'Business - Dump'!$A:$A,'SKU Repoprt'!H$1)</f>
        <v>0</v>
      </c>
      <c r="I94" s="3">
        <f>SUMIFS('Business - Dump'!$Q:$Q,'Business - Dump'!$D:$D,'SKU Repoprt'!$D94,'Business - Dump'!$A:$A,'SKU Repoprt'!I$1)</f>
        <v>0</v>
      </c>
      <c r="J94" s="3">
        <f>SUMIFS('Business - Dump'!$Q:$Q,'Business - Dump'!$D:$D,'SKU Repoprt'!$D94,'Business - Dump'!$A:$A,'SKU Repoprt'!J$1)</f>
        <v>0</v>
      </c>
      <c r="K94" s="3">
        <f>SUMIFS('Business - Dump'!$Q:$Q,'Business - Dump'!$D:$D,'SKU Repoprt'!$D94,'Business - Dump'!$A:$A,'SKU Repoprt'!K$1)</f>
        <v>0</v>
      </c>
      <c r="L94" s="3">
        <f>SUMIFS('Business - Dump'!$Q:$Q,'Business - Dump'!$D:$D,'SKU Repoprt'!$D94,'Business - Dump'!$A:$A,'SKU Repoprt'!L$1)</f>
        <v>0</v>
      </c>
      <c r="M94" s="3">
        <f>SUMIFS('Business - Dump'!$Q:$Q,'Business - Dump'!$D:$D,'SKU Repoprt'!$D94,'Business - Dump'!$A:$A,'SKU Repoprt'!M$1)</f>
        <v>0</v>
      </c>
      <c r="N94" s="3">
        <f>SUMIFS('Business - Dump'!$Q:$Q,'Business - Dump'!$D:$D,'SKU Repoprt'!$D94,'Business - Dump'!$A:$A,'SKU Repoprt'!N$1)</f>
        <v>0</v>
      </c>
      <c r="O94" s="3">
        <f>SUMIFS('Business - Dump'!$Q:$Q,'Business - Dump'!$D:$D,'SKU Repoprt'!$D94,'Business - Dump'!$A:$A,'SKU Repoprt'!O$1)</f>
        <v>0</v>
      </c>
      <c r="P94" s="3">
        <f>SUMIFS('Business - Dump'!$Q:$Q,'Business - Dump'!$D:$D,'SKU Repoprt'!$D94,'Business - Dump'!$A:$A,'SKU Repoprt'!P$1)</f>
        <v>0</v>
      </c>
      <c r="Q94" s="3">
        <f>SUMIFS('Business - Dump'!$Q:$Q,'Business - Dump'!$D:$D,'SKU Repoprt'!$D94,'Business - Dump'!$A:$A,'SKU Repoprt'!Q$1)</f>
        <v>0</v>
      </c>
      <c r="R94" s="3">
        <f>SUMIFS('Business - Dump'!$Q:$Q,'Business - Dump'!$D:$D,'SKU Repoprt'!$D94,'Business - Dump'!$A:$A,'SKU Repoprt'!R$1)</f>
        <v>1</v>
      </c>
      <c r="S94" s="3">
        <f>SUMIFS('Business - Dump'!$Q:$Q,'Business - Dump'!$D:$D,'SKU Repoprt'!$D94,'Business - Dump'!$A:$A,'SKU Repoprt'!S$1)</f>
        <v>0</v>
      </c>
      <c r="T94" s="3">
        <f>SUMIFS('Business - Dump'!$Q:$Q,'Business - Dump'!$D:$D,'SKU Repoprt'!$D94,'Business - Dump'!$A:$A,'SKU Repoprt'!T$1)</f>
        <v>1</v>
      </c>
      <c r="U94" s="3">
        <f>SUMIFS('Business - Dump'!$Q:$Q,'Business - Dump'!$D:$D,'SKU Repoprt'!$D94,'Business - Dump'!$A:$A,'SKU Repoprt'!U$1)</f>
        <v>0</v>
      </c>
      <c r="V94" s="3">
        <f>SUMIFS('Business - Dump'!$Q:$Q,'Business - Dump'!$D:$D,'SKU Repoprt'!$D94,'Business - Dump'!$A:$A,'SKU Repoprt'!V$1)</f>
        <v>0</v>
      </c>
      <c r="W94" s="3">
        <f>SUMIFS('Business - Dump'!$Q:$Q,'Business - Dump'!$D:$D,'SKU Repoprt'!$D94,'Business - Dump'!$A:$A,'SKU Repoprt'!W$1)</f>
        <v>0</v>
      </c>
    </row>
    <row r="95" ht="15.75" customHeight="1">
      <c r="A95" s="10" t="s">
        <v>310</v>
      </c>
      <c r="B95" s="10" t="s">
        <v>310</v>
      </c>
      <c r="C95" s="10"/>
      <c r="D95" s="10" t="s">
        <v>347</v>
      </c>
      <c r="E95" s="10" t="s">
        <v>268</v>
      </c>
      <c r="F95" s="3">
        <f t="shared" si="31"/>
        <v>1</v>
      </c>
      <c r="G95" s="3">
        <f>SUMIFS('Business - Dump'!$W:$W,'Business - Dump'!$D:$D,'SKU Repoprt'!$D95,'Business - Dump'!$A:$A,'SKU Repoprt'!G$1)</f>
        <v>0</v>
      </c>
      <c r="H95" s="3">
        <f>SUMIFS('Business - Dump'!$W:$W,'Business - Dump'!$D:$D,'SKU Repoprt'!$D95,'Business - Dump'!$A:$A,'SKU Repoprt'!H$1)</f>
        <v>0</v>
      </c>
      <c r="I95" s="3">
        <f>SUMIFS('Business - Dump'!$W:$W,'Business - Dump'!$D:$D,'SKU Repoprt'!$D95,'Business - Dump'!$A:$A,'SKU Repoprt'!I$1)</f>
        <v>0</v>
      </c>
      <c r="J95" s="3">
        <f>SUMIFS('Business - Dump'!$W:$W,'Business - Dump'!$D:$D,'SKU Repoprt'!$D95,'Business - Dump'!$A:$A,'SKU Repoprt'!J$1)</f>
        <v>0</v>
      </c>
      <c r="K95" s="3">
        <f>SUMIFS('Business - Dump'!$W:$W,'Business - Dump'!$D:$D,'SKU Repoprt'!$D95,'Business - Dump'!$A:$A,'SKU Repoprt'!K$1)</f>
        <v>0</v>
      </c>
      <c r="L95" s="3">
        <f>SUMIFS('Business - Dump'!$W:$W,'Business - Dump'!$D:$D,'SKU Repoprt'!$D95,'Business - Dump'!$A:$A,'SKU Repoprt'!L$1)</f>
        <v>0</v>
      </c>
      <c r="M95" s="3">
        <f>SUMIFS('Business - Dump'!$W:$W,'Business - Dump'!$D:$D,'SKU Repoprt'!$D95,'Business - Dump'!$A:$A,'SKU Repoprt'!M$1)</f>
        <v>0</v>
      </c>
      <c r="N95" s="3">
        <f>SUMIFS('Business - Dump'!$W:$W,'Business - Dump'!$D:$D,'SKU Repoprt'!$D95,'Business - Dump'!$A:$A,'SKU Repoprt'!N$1)</f>
        <v>0</v>
      </c>
      <c r="O95" s="3">
        <f>SUMIFS('Business - Dump'!$W:$W,'Business - Dump'!$D:$D,'SKU Repoprt'!$D95,'Business - Dump'!$A:$A,'SKU Repoprt'!O$1)</f>
        <v>0</v>
      </c>
      <c r="P95" s="3">
        <f>SUMIFS('Business - Dump'!$W:$W,'Business - Dump'!$D:$D,'SKU Repoprt'!$D95,'Business - Dump'!$A:$A,'SKU Repoprt'!P$1)</f>
        <v>0</v>
      </c>
      <c r="Q95" s="3">
        <f>SUMIFS('Business - Dump'!$W:$W,'Business - Dump'!$D:$D,'SKU Repoprt'!$D95,'Business - Dump'!$A:$A,'SKU Repoprt'!Q$1)</f>
        <v>0</v>
      </c>
      <c r="R95" s="3">
        <f>SUMIFS('Business - Dump'!$W:$W,'Business - Dump'!$D:$D,'SKU Repoprt'!$D95,'Business - Dump'!$A:$A,'SKU Repoprt'!R$1)</f>
        <v>1</v>
      </c>
      <c r="S95" s="3">
        <f>SUMIFS('Business - Dump'!$W:$W,'Business - Dump'!$D:$D,'SKU Repoprt'!$D95,'Business - Dump'!$A:$A,'SKU Repoprt'!S$1)</f>
        <v>0</v>
      </c>
      <c r="T95" s="3">
        <f>SUMIFS('Business - Dump'!$W:$W,'Business - Dump'!$D:$D,'SKU Repoprt'!$D95,'Business - Dump'!$A:$A,'SKU Repoprt'!T$1)</f>
        <v>1</v>
      </c>
      <c r="U95" s="3">
        <f>SUMIFS('Business - Dump'!$W:$W,'Business - Dump'!$D:$D,'SKU Repoprt'!$D95,'Business - Dump'!$A:$A,'SKU Repoprt'!U$1)</f>
        <v>0</v>
      </c>
      <c r="V95" s="3">
        <f>SUMIFS('Business - Dump'!$W:$W,'Business - Dump'!$D:$D,'SKU Repoprt'!$D95,'Business - Dump'!$A:$A,'SKU Repoprt'!V$1)</f>
        <v>0</v>
      </c>
      <c r="W95" s="3">
        <f>SUMIFS('Business - Dump'!$W:$W,'Business - Dump'!$D:$D,'SKU Repoprt'!$D95,'Business - Dump'!$A:$A,'SKU Repoprt'!W$1)</f>
        <v>0</v>
      </c>
    </row>
    <row r="96" ht="15.75" customHeight="1">
      <c r="A96" s="10" t="s">
        <v>310</v>
      </c>
      <c r="B96" s="10" t="s">
        <v>310</v>
      </c>
      <c r="C96" s="10"/>
      <c r="D96" s="10" t="s">
        <v>347</v>
      </c>
      <c r="E96" s="10" t="s">
        <v>26</v>
      </c>
      <c r="F96" s="16">
        <f t="shared" si="31"/>
        <v>7500</v>
      </c>
      <c r="G96" s="16">
        <f>SUMIFS('Business - Dump'!$U:$U,'Business - Dump'!$D:$D,'SKU Repoprt'!$D96,'Business - Dump'!$A:$A,'SKU Repoprt'!G$1)</f>
        <v>0</v>
      </c>
      <c r="H96" s="16">
        <f>SUMIFS('Business - Dump'!$U:$U,'Business - Dump'!$D:$D,'SKU Repoprt'!$D96,'Business - Dump'!$A:$A,'SKU Repoprt'!H$1)</f>
        <v>0</v>
      </c>
      <c r="I96" s="16">
        <f>SUMIFS('Business - Dump'!$U:$U,'Business - Dump'!$D:$D,'SKU Repoprt'!$D96,'Business - Dump'!$A:$A,'SKU Repoprt'!I$1)</f>
        <v>0</v>
      </c>
      <c r="J96" s="16">
        <f>SUMIFS('Business - Dump'!$U:$U,'Business - Dump'!$D:$D,'SKU Repoprt'!$D96,'Business - Dump'!$A:$A,'SKU Repoprt'!J$1)</f>
        <v>0</v>
      </c>
      <c r="K96" s="16">
        <f>SUMIFS('Business - Dump'!$U:$U,'Business - Dump'!$D:$D,'SKU Repoprt'!$D96,'Business - Dump'!$A:$A,'SKU Repoprt'!K$1)</f>
        <v>0</v>
      </c>
      <c r="L96" s="16">
        <f>SUMIFS('Business - Dump'!$U:$U,'Business - Dump'!$D:$D,'SKU Repoprt'!$D96,'Business - Dump'!$A:$A,'SKU Repoprt'!L$1)</f>
        <v>0</v>
      </c>
      <c r="M96" s="16">
        <f>SUMIFS('Business - Dump'!$U:$U,'Business - Dump'!$D:$D,'SKU Repoprt'!$D96,'Business - Dump'!$A:$A,'SKU Repoprt'!M$1)</f>
        <v>0</v>
      </c>
      <c r="N96" s="16">
        <f>SUMIFS('Business - Dump'!$U:$U,'Business - Dump'!$D:$D,'SKU Repoprt'!$D96,'Business - Dump'!$A:$A,'SKU Repoprt'!N$1)</f>
        <v>0</v>
      </c>
      <c r="O96" s="16">
        <f>SUMIFS('Business - Dump'!$U:$U,'Business - Dump'!$D:$D,'SKU Repoprt'!$D96,'Business - Dump'!$A:$A,'SKU Repoprt'!O$1)</f>
        <v>0</v>
      </c>
      <c r="P96" s="16">
        <f>SUMIFS('Business - Dump'!$U:$U,'Business - Dump'!$D:$D,'SKU Repoprt'!$D96,'Business - Dump'!$A:$A,'SKU Repoprt'!P$1)</f>
        <v>0</v>
      </c>
      <c r="Q96" s="16">
        <f>SUMIFS('Business - Dump'!$U:$U,'Business - Dump'!$D:$D,'SKU Repoprt'!$D96,'Business - Dump'!$A:$A,'SKU Repoprt'!Q$1)</f>
        <v>0</v>
      </c>
      <c r="R96" s="16">
        <f>SUMIFS('Business - Dump'!$U:$U,'Business - Dump'!$D:$D,'SKU Repoprt'!$D96,'Business - Dump'!$A:$A,'SKU Repoprt'!R$1)</f>
        <v>7500</v>
      </c>
      <c r="S96" s="16">
        <f>SUMIFS('Business - Dump'!$U:$U,'Business - Dump'!$D:$D,'SKU Repoprt'!$D96,'Business - Dump'!$A:$A,'SKU Repoprt'!S$1)</f>
        <v>0</v>
      </c>
      <c r="T96" s="16">
        <f>SUMIFS('Business - Dump'!$U:$U,'Business - Dump'!$D:$D,'SKU Repoprt'!$D96,'Business - Dump'!$A:$A,'SKU Repoprt'!T$1)</f>
        <v>4699</v>
      </c>
      <c r="U96" s="16">
        <f>SUMIFS('Business - Dump'!$U:$U,'Business - Dump'!$D:$D,'SKU Repoprt'!$D96,'Business - Dump'!$A:$A,'SKU Repoprt'!U$1)</f>
        <v>0</v>
      </c>
      <c r="V96" s="16">
        <f>SUMIFS('Business - Dump'!$U:$U,'Business - Dump'!$D:$D,'SKU Repoprt'!$D96,'Business - Dump'!$A:$A,'SKU Repoprt'!V$1)</f>
        <v>0</v>
      </c>
      <c r="W96" s="16">
        <f>SUMIFS('Business - Dump'!$U:$U,'Business - Dump'!$D:$D,'SKU Repoprt'!$D96,'Business - Dump'!$A:$A,'SKU Repoprt'!W$1)</f>
        <v>0</v>
      </c>
    </row>
    <row r="97" ht="15.75" customHeight="1">
      <c r="A97" s="10" t="s">
        <v>310</v>
      </c>
      <c r="B97" s="10" t="s">
        <v>310</v>
      </c>
      <c r="C97" s="10"/>
      <c r="D97" s="10" t="s">
        <v>347</v>
      </c>
      <c r="E97" s="10" t="s">
        <v>29</v>
      </c>
      <c r="F97" s="17">
        <v>0.027042857142857143</v>
      </c>
      <c r="G97" s="17">
        <f t="shared" ref="G97:W97" si="32">IFERROR(G95/G92,0)</f>
        <v>0</v>
      </c>
      <c r="H97" s="17">
        <f t="shared" si="32"/>
        <v>0</v>
      </c>
      <c r="I97" s="17">
        <f t="shared" si="32"/>
        <v>0</v>
      </c>
      <c r="J97" s="17">
        <f t="shared" si="32"/>
        <v>0</v>
      </c>
      <c r="K97" s="17">
        <f t="shared" si="32"/>
        <v>0</v>
      </c>
      <c r="L97" s="17">
        <f t="shared" si="32"/>
        <v>0</v>
      </c>
      <c r="M97" s="17">
        <f t="shared" si="32"/>
        <v>0</v>
      </c>
      <c r="N97" s="17">
        <f t="shared" si="32"/>
        <v>0</v>
      </c>
      <c r="O97" s="17">
        <f t="shared" si="32"/>
        <v>0</v>
      </c>
      <c r="P97" s="17">
        <f t="shared" si="32"/>
        <v>0</v>
      </c>
      <c r="Q97" s="17">
        <f t="shared" si="32"/>
        <v>0</v>
      </c>
      <c r="R97" s="17">
        <f t="shared" si="32"/>
        <v>0.04545454545</v>
      </c>
      <c r="S97" s="17">
        <f t="shared" si="32"/>
        <v>0</v>
      </c>
      <c r="T97" s="17">
        <f t="shared" si="32"/>
        <v>0.04</v>
      </c>
      <c r="U97" s="17">
        <f t="shared" si="32"/>
        <v>0</v>
      </c>
      <c r="V97" s="17">
        <f t="shared" si="32"/>
        <v>0</v>
      </c>
      <c r="W97" s="17">
        <f t="shared" si="32"/>
        <v>0</v>
      </c>
    </row>
    <row r="98" ht="15.75" customHeight="1">
      <c r="A98" s="10" t="s">
        <v>285</v>
      </c>
      <c r="B98" s="10" t="s">
        <v>285</v>
      </c>
      <c r="C98" s="10"/>
      <c r="D98" s="10" t="s">
        <v>328</v>
      </c>
      <c r="E98" s="10" t="s">
        <v>257</v>
      </c>
      <c r="F98" s="3">
        <f t="shared" ref="F98:F102" si="33">SUM(G98:S98)</f>
        <v>1973</v>
      </c>
      <c r="G98" s="3">
        <f>SUMIFS('Business - Dump'!$G:$G,'Business - Dump'!$D:$D,'SKU Repoprt'!$D98,'Business - Dump'!$A:$A,'SKU Repoprt'!G$1)</f>
        <v>41</v>
      </c>
      <c r="H98" s="3">
        <f>SUMIFS('Business - Dump'!$G:$G,'Business - Dump'!$D:$D,'SKU Repoprt'!$D98,'Business - Dump'!$A:$A,'SKU Repoprt'!H$1)</f>
        <v>79</v>
      </c>
      <c r="I98" s="3">
        <f>SUMIFS('Business - Dump'!$G:$G,'Business - Dump'!$D:$D,'SKU Repoprt'!$D98,'Business - Dump'!$A:$A,'SKU Repoprt'!I$1)</f>
        <v>0</v>
      </c>
      <c r="J98" s="3">
        <f>SUMIFS('Business - Dump'!$G:$G,'Business - Dump'!$D:$D,'SKU Repoprt'!$D98,'Business - Dump'!$A:$A,'SKU Repoprt'!J$1)</f>
        <v>0</v>
      </c>
      <c r="K98" s="3">
        <f>SUMIFS('Business - Dump'!$G:$G,'Business - Dump'!$D:$D,'SKU Repoprt'!$D98,'Business - Dump'!$A:$A,'SKU Repoprt'!K$1)</f>
        <v>0</v>
      </c>
      <c r="L98" s="3">
        <f>SUMIFS('Business - Dump'!$G:$G,'Business - Dump'!$D:$D,'SKU Repoprt'!$D98,'Business - Dump'!$A:$A,'SKU Repoprt'!L$1)</f>
        <v>0</v>
      </c>
      <c r="M98" s="3">
        <f>SUMIFS('Business - Dump'!$G:$G,'Business - Dump'!$D:$D,'SKU Repoprt'!$D98,'Business - Dump'!$A:$A,'SKU Repoprt'!M$1)</f>
        <v>92</v>
      </c>
      <c r="N98" s="3">
        <f>SUMIFS('Business - Dump'!$G:$G,'Business - Dump'!$D:$D,'SKU Repoprt'!$D98,'Business - Dump'!$A:$A,'SKU Repoprt'!N$1)</f>
        <v>122</v>
      </c>
      <c r="O98" s="3">
        <f>SUMIFS('Business - Dump'!$G:$G,'Business - Dump'!$D:$D,'SKU Repoprt'!$D98,'Business - Dump'!$A:$A,'SKU Repoprt'!O$1)</f>
        <v>258</v>
      </c>
      <c r="P98" s="3">
        <f>SUMIFS('Business - Dump'!$G:$G,'Business - Dump'!$D:$D,'SKU Repoprt'!$D98,'Business - Dump'!$A:$A,'SKU Repoprt'!P$1)</f>
        <v>304</v>
      </c>
      <c r="Q98" s="3">
        <f>SUMIFS('Business - Dump'!$G:$G,'Business - Dump'!$D:$D,'SKU Repoprt'!$D98,'Business - Dump'!$A:$A,'SKU Repoprt'!Q$1)</f>
        <v>691</v>
      </c>
      <c r="R98" s="3">
        <f>SUMIFS('Business - Dump'!$G:$G,'Business - Dump'!$D:$D,'SKU Repoprt'!$D98,'Business - Dump'!$A:$A,'SKU Repoprt'!R$1)</f>
        <v>221</v>
      </c>
      <c r="S98" s="3">
        <f>SUMIFS('Business - Dump'!$G:$G,'Business - Dump'!$D:$D,'SKU Repoprt'!$D98,'Business - Dump'!$A:$A,'SKU Repoprt'!S$1)</f>
        <v>165</v>
      </c>
      <c r="T98" s="3">
        <f>SUMIFS('Business - Dump'!$G:$G,'Business - Dump'!$D:$D,'SKU Repoprt'!$D98,'Business - Dump'!$A:$A,'SKU Repoprt'!T$1)</f>
        <v>62</v>
      </c>
      <c r="U98" s="3">
        <f>SUMIFS('Business - Dump'!$G:$G,'Business - Dump'!$D:$D,'SKU Repoprt'!$D98,'Business - Dump'!$A:$A,'SKU Repoprt'!U$1)</f>
        <v>11</v>
      </c>
      <c r="V98" s="3">
        <f>SUMIFS('Business - Dump'!$G:$G,'Business - Dump'!$D:$D,'SKU Repoprt'!$D98,'Business - Dump'!$A:$A,'SKU Repoprt'!V$1)</f>
        <v>0</v>
      </c>
      <c r="W98" s="3">
        <f>SUMIFS('Business - Dump'!$G:$G,'Business - Dump'!$D:$D,'SKU Repoprt'!$D98,'Business - Dump'!$A:$A,'SKU Repoprt'!W$1)</f>
        <v>0</v>
      </c>
    </row>
    <row r="99" ht="15.75" customHeight="1">
      <c r="A99" s="10" t="s">
        <v>285</v>
      </c>
      <c r="B99" s="10" t="s">
        <v>285</v>
      </c>
      <c r="C99" s="10"/>
      <c r="D99" s="10" t="s">
        <v>328</v>
      </c>
      <c r="E99" s="10" t="s">
        <v>260</v>
      </c>
      <c r="F99" s="3">
        <f t="shared" si="33"/>
        <v>3055</v>
      </c>
      <c r="G99" s="3">
        <f>SUMIFS('Business - Dump'!$K:$K,'Business - Dump'!$D:$D,'SKU Repoprt'!$D99,'Business - Dump'!$A:$A,'SKU Repoprt'!G$1)</f>
        <v>66</v>
      </c>
      <c r="H99" s="3">
        <f>SUMIFS('Business - Dump'!$K:$K,'Business - Dump'!$D:$D,'SKU Repoprt'!$D99,'Business - Dump'!$A:$A,'SKU Repoprt'!H$1)</f>
        <v>118</v>
      </c>
      <c r="I99" s="3">
        <f>SUMIFS('Business - Dump'!$K:$K,'Business - Dump'!$D:$D,'SKU Repoprt'!$D99,'Business - Dump'!$A:$A,'SKU Repoprt'!I$1)</f>
        <v>0</v>
      </c>
      <c r="J99" s="3">
        <f>SUMIFS('Business - Dump'!$K:$K,'Business - Dump'!$D:$D,'SKU Repoprt'!$D99,'Business - Dump'!$A:$A,'SKU Repoprt'!J$1)</f>
        <v>0</v>
      </c>
      <c r="K99" s="3">
        <f>SUMIFS('Business - Dump'!$K:$K,'Business - Dump'!$D:$D,'SKU Repoprt'!$D99,'Business - Dump'!$A:$A,'SKU Repoprt'!K$1)</f>
        <v>0</v>
      </c>
      <c r="L99" s="3">
        <f>SUMIFS('Business - Dump'!$K:$K,'Business - Dump'!$D:$D,'SKU Repoprt'!$D99,'Business - Dump'!$A:$A,'SKU Repoprt'!L$1)</f>
        <v>0</v>
      </c>
      <c r="M99" s="3">
        <f>SUMIFS('Business - Dump'!$K:$K,'Business - Dump'!$D:$D,'SKU Repoprt'!$D99,'Business - Dump'!$A:$A,'SKU Repoprt'!M$1)</f>
        <v>160</v>
      </c>
      <c r="N99" s="3">
        <f>SUMIFS('Business - Dump'!$K:$K,'Business - Dump'!$D:$D,'SKU Repoprt'!$D99,'Business - Dump'!$A:$A,'SKU Repoprt'!N$1)</f>
        <v>228</v>
      </c>
      <c r="O99" s="3">
        <f>SUMIFS('Business - Dump'!$K:$K,'Business - Dump'!$D:$D,'SKU Repoprt'!$D99,'Business - Dump'!$A:$A,'SKU Repoprt'!O$1)</f>
        <v>450</v>
      </c>
      <c r="P99" s="3">
        <f>SUMIFS('Business - Dump'!$K:$K,'Business - Dump'!$D:$D,'SKU Repoprt'!$D99,'Business - Dump'!$A:$A,'SKU Repoprt'!P$1)</f>
        <v>456</v>
      </c>
      <c r="Q99" s="3">
        <f>SUMIFS('Business - Dump'!$K:$K,'Business - Dump'!$D:$D,'SKU Repoprt'!$D99,'Business - Dump'!$A:$A,'SKU Repoprt'!Q$1)</f>
        <v>935</v>
      </c>
      <c r="R99" s="3">
        <f>SUMIFS('Business - Dump'!$K:$K,'Business - Dump'!$D:$D,'SKU Repoprt'!$D99,'Business - Dump'!$A:$A,'SKU Repoprt'!R$1)</f>
        <v>369</v>
      </c>
      <c r="S99" s="3">
        <f>SUMIFS('Business - Dump'!$K:$K,'Business - Dump'!$D:$D,'SKU Repoprt'!$D99,'Business - Dump'!$A:$A,'SKU Repoprt'!S$1)</f>
        <v>273</v>
      </c>
      <c r="T99" s="3">
        <f>SUMIFS('Business - Dump'!$K:$K,'Business - Dump'!$D:$D,'SKU Repoprt'!$D99,'Business - Dump'!$A:$A,'SKU Repoprt'!T$1)</f>
        <v>136</v>
      </c>
      <c r="U99" s="3">
        <f>SUMIFS('Business - Dump'!$K:$K,'Business - Dump'!$D:$D,'SKU Repoprt'!$D99,'Business - Dump'!$A:$A,'SKU Repoprt'!U$1)</f>
        <v>23</v>
      </c>
      <c r="V99" s="3">
        <f>SUMIFS('Business - Dump'!$K:$K,'Business - Dump'!$D:$D,'SKU Repoprt'!$D99,'Business - Dump'!$A:$A,'SKU Repoprt'!V$1)</f>
        <v>0</v>
      </c>
      <c r="W99" s="3">
        <f>SUMIFS('Business - Dump'!$K:$K,'Business - Dump'!$D:$D,'SKU Repoprt'!$D99,'Business - Dump'!$A:$A,'SKU Repoprt'!W$1)</f>
        <v>0</v>
      </c>
    </row>
    <row r="100" ht="15.75" customHeight="1">
      <c r="A100" s="10" t="s">
        <v>285</v>
      </c>
      <c r="B100" s="10" t="s">
        <v>285</v>
      </c>
      <c r="C100" s="10"/>
      <c r="D100" s="10" t="s">
        <v>328</v>
      </c>
      <c r="E100" s="10" t="s">
        <v>264</v>
      </c>
      <c r="F100" s="3">
        <f t="shared" si="33"/>
        <v>24</v>
      </c>
      <c r="G100" s="3">
        <f>SUMIFS('Business - Dump'!$Q:$Q,'Business - Dump'!$D:$D,'SKU Repoprt'!$D100,'Business - Dump'!$A:$A,'SKU Repoprt'!G$1)</f>
        <v>1</v>
      </c>
      <c r="H100" s="3">
        <f>SUMIFS('Business - Dump'!$Q:$Q,'Business - Dump'!$D:$D,'SKU Repoprt'!$D100,'Business - Dump'!$A:$A,'SKU Repoprt'!H$1)</f>
        <v>2</v>
      </c>
      <c r="I100" s="3">
        <f>SUMIFS('Business - Dump'!$Q:$Q,'Business - Dump'!$D:$D,'SKU Repoprt'!$D100,'Business - Dump'!$A:$A,'SKU Repoprt'!I$1)</f>
        <v>0</v>
      </c>
      <c r="J100" s="3">
        <f>SUMIFS('Business - Dump'!$Q:$Q,'Business - Dump'!$D:$D,'SKU Repoprt'!$D100,'Business - Dump'!$A:$A,'SKU Repoprt'!J$1)</f>
        <v>0</v>
      </c>
      <c r="K100" s="3">
        <f>SUMIFS('Business - Dump'!$Q:$Q,'Business - Dump'!$D:$D,'SKU Repoprt'!$D100,'Business - Dump'!$A:$A,'SKU Repoprt'!K$1)</f>
        <v>0</v>
      </c>
      <c r="L100" s="3">
        <f>SUMIFS('Business - Dump'!$Q:$Q,'Business - Dump'!$D:$D,'SKU Repoprt'!$D100,'Business - Dump'!$A:$A,'SKU Repoprt'!L$1)</f>
        <v>0</v>
      </c>
      <c r="M100" s="3">
        <f>SUMIFS('Business - Dump'!$Q:$Q,'Business - Dump'!$D:$D,'SKU Repoprt'!$D100,'Business - Dump'!$A:$A,'SKU Repoprt'!M$1)</f>
        <v>1</v>
      </c>
      <c r="N100" s="3">
        <f>SUMIFS('Business - Dump'!$Q:$Q,'Business - Dump'!$D:$D,'SKU Repoprt'!$D100,'Business - Dump'!$A:$A,'SKU Repoprt'!N$1)</f>
        <v>2</v>
      </c>
      <c r="O100" s="3">
        <f>SUMIFS('Business - Dump'!$Q:$Q,'Business - Dump'!$D:$D,'SKU Repoprt'!$D100,'Business - Dump'!$A:$A,'SKU Repoprt'!O$1)</f>
        <v>8</v>
      </c>
      <c r="P100" s="3">
        <f>SUMIFS('Business - Dump'!$Q:$Q,'Business - Dump'!$D:$D,'SKU Repoprt'!$D100,'Business - Dump'!$A:$A,'SKU Repoprt'!P$1)</f>
        <v>3</v>
      </c>
      <c r="Q100" s="3">
        <f>SUMIFS('Business - Dump'!$Q:$Q,'Business - Dump'!$D:$D,'SKU Repoprt'!$D100,'Business - Dump'!$A:$A,'SKU Repoprt'!Q$1)</f>
        <v>4</v>
      </c>
      <c r="R100" s="3">
        <f>SUMIFS('Business - Dump'!$Q:$Q,'Business - Dump'!$D:$D,'SKU Repoprt'!$D100,'Business - Dump'!$A:$A,'SKU Repoprt'!R$1)</f>
        <v>3</v>
      </c>
      <c r="S100" s="3">
        <f>SUMIFS('Business - Dump'!$Q:$Q,'Business - Dump'!$D:$D,'SKU Repoprt'!$D100,'Business - Dump'!$A:$A,'SKU Repoprt'!S$1)</f>
        <v>0</v>
      </c>
      <c r="T100" s="3">
        <f>SUMIFS('Business - Dump'!$Q:$Q,'Business - Dump'!$D:$D,'SKU Repoprt'!$D100,'Business - Dump'!$A:$A,'SKU Repoprt'!T$1)</f>
        <v>1</v>
      </c>
      <c r="U100" s="3">
        <f>SUMIFS('Business - Dump'!$Q:$Q,'Business - Dump'!$D:$D,'SKU Repoprt'!$D100,'Business - Dump'!$A:$A,'SKU Repoprt'!U$1)</f>
        <v>1</v>
      </c>
      <c r="V100" s="3">
        <f>SUMIFS('Business - Dump'!$Q:$Q,'Business - Dump'!$D:$D,'SKU Repoprt'!$D100,'Business - Dump'!$A:$A,'SKU Repoprt'!V$1)</f>
        <v>0</v>
      </c>
      <c r="W100" s="3">
        <f>SUMIFS('Business - Dump'!$Q:$Q,'Business - Dump'!$D:$D,'SKU Repoprt'!$D100,'Business - Dump'!$A:$A,'SKU Repoprt'!W$1)</f>
        <v>0</v>
      </c>
    </row>
    <row r="101" ht="15.75" customHeight="1">
      <c r="A101" s="10" t="s">
        <v>285</v>
      </c>
      <c r="B101" s="10" t="s">
        <v>285</v>
      </c>
      <c r="C101" s="10"/>
      <c r="D101" s="10" t="s">
        <v>328</v>
      </c>
      <c r="E101" s="10" t="s">
        <v>268</v>
      </c>
      <c r="F101" s="3">
        <f t="shared" si="33"/>
        <v>21</v>
      </c>
      <c r="G101" s="3">
        <f>SUMIFS('Business - Dump'!$W:$W,'Business - Dump'!$D:$D,'SKU Repoprt'!$D101,'Business - Dump'!$A:$A,'SKU Repoprt'!G$1)</f>
        <v>1</v>
      </c>
      <c r="H101" s="3">
        <f>SUMIFS('Business - Dump'!$W:$W,'Business - Dump'!$D:$D,'SKU Repoprt'!$D101,'Business - Dump'!$A:$A,'SKU Repoprt'!H$1)</f>
        <v>2</v>
      </c>
      <c r="I101" s="3">
        <f>SUMIFS('Business - Dump'!$W:$W,'Business - Dump'!$D:$D,'SKU Repoprt'!$D101,'Business - Dump'!$A:$A,'SKU Repoprt'!I$1)</f>
        <v>0</v>
      </c>
      <c r="J101" s="3">
        <f>SUMIFS('Business - Dump'!$W:$W,'Business - Dump'!$D:$D,'SKU Repoprt'!$D101,'Business - Dump'!$A:$A,'SKU Repoprt'!J$1)</f>
        <v>0</v>
      </c>
      <c r="K101" s="3">
        <f>SUMIFS('Business - Dump'!$W:$W,'Business - Dump'!$D:$D,'SKU Repoprt'!$D101,'Business - Dump'!$A:$A,'SKU Repoprt'!K$1)</f>
        <v>0</v>
      </c>
      <c r="L101" s="3">
        <f>SUMIFS('Business - Dump'!$W:$W,'Business - Dump'!$D:$D,'SKU Repoprt'!$D101,'Business - Dump'!$A:$A,'SKU Repoprt'!L$1)</f>
        <v>0</v>
      </c>
      <c r="M101" s="3">
        <f>SUMIFS('Business - Dump'!$W:$W,'Business - Dump'!$D:$D,'SKU Repoprt'!$D101,'Business - Dump'!$A:$A,'SKU Repoprt'!M$1)</f>
        <v>1</v>
      </c>
      <c r="N101" s="3">
        <f>SUMIFS('Business - Dump'!$W:$W,'Business - Dump'!$D:$D,'SKU Repoprt'!$D101,'Business - Dump'!$A:$A,'SKU Repoprt'!N$1)</f>
        <v>1</v>
      </c>
      <c r="O101" s="3">
        <f>SUMIFS('Business - Dump'!$W:$W,'Business - Dump'!$D:$D,'SKU Repoprt'!$D101,'Business - Dump'!$A:$A,'SKU Repoprt'!O$1)</f>
        <v>8</v>
      </c>
      <c r="P101" s="3">
        <f>SUMIFS('Business - Dump'!$W:$W,'Business - Dump'!$D:$D,'SKU Repoprt'!$D101,'Business - Dump'!$A:$A,'SKU Repoprt'!P$1)</f>
        <v>3</v>
      </c>
      <c r="Q101" s="3">
        <f>SUMIFS('Business - Dump'!$W:$W,'Business - Dump'!$D:$D,'SKU Repoprt'!$D101,'Business - Dump'!$A:$A,'SKU Repoprt'!Q$1)</f>
        <v>2</v>
      </c>
      <c r="R101" s="3">
        <f>SUMIFS('Business - Dump'!$W:$W,'Business - Dump'!$D:$D,'SKU Repoprt'!$D101,'Business - Dump'!$A:$A,'SKU Repoprt'!R$1)</f>
        <v>3</v>
      </c>
      <c r="S101" s="3">
        <f>SUMIFS('Business - Dump'!$W:$W,'Business - Dump'!$D:$D,'SKU Repoprt'!$D101,'Business - Dump'!$A:$A,'SKU Repoprt'!S$1)</f>
        <v>0</v>
      </c>
      <c r="T101" s="3">
        <f>SUMIFS('Business - Dump'!$W:$W,'Business - Dump'!$D:$D,'SKU Repoprt'!$D101,'Business - Dump'!$A:$A,'SKU Repoprt'!T$1)</f>
        <v>1</v>
      </c>
      <c r="U101" s="3">
        <f>SUMIFS('Business - Dump'!$W:$W,'Business - Dump'!$D:$D,'SKU Repoprt'!$D101,'Business - Dump'!$A:$A,'SKU Repoprt'!U$1)</f>
        <v>1</v>
      </c>
      <c r="V101" s="3">
        <f>SUMIFS('Business - Dump'!$W:$W,'Business - Dump'!$D:$D,'SKU Repoprt'!$D101,'Business - Dump'!$A:$A,'SKU Repoprt'!V$1)</f>
        <v>0</v>
      </c>
      <c r="W101" s="3">
        <f>SUMIFS('Business - Dump'!$W:$W,'Business - Dump'!$D:$D,'SKU Repoprt'!$D101,'Business - Dump'!$A:$A,'SKU Repoprt'!W$1)</f>
        <v>0</v>
      </c>
    </row>
    <row r="102" ht="15.75" customHeight="1">
      <c r="A102" s="10" t="s">
        <v>285</v>
      </c>
      <c r="B102" s="10" t="s">
        <v>285</v>
      </c>
      <c r="C102" s="10"/>
      <c r="D102" s="10" t="s">
        <v>328</v>
      </c>
      <c r="E102" s="10" t="s">
        <v>26</v>
      </c>
      <c r="F102" s="16">
        <f t="shared" si="33"/>
        <v>300070</v>
      </c>
      <c r="G102" s="16">
        <f>SUMIFS('Business - Dump'!$U:$U,'Business - Dump'!$D:$D,'SKU Repoprt'!$D102,'Business - Dump'!$A:$A,'SKU Repoprt'!G$1)</f>
        <v>14900</v>
      </c>
      <c r="H102" s="16">
        <f>SUMIFS('Business - Dump'!$U:$U,'Business - Dump'!$D:$D,'SKU Repoprt'!$D102,'Business - Dump'!$A:$A,'SKU Repoprt'!H$1)</f>
        <v>29800</v>
      </c>
      <c r="I102" s="16">
        <f>SUMIFS('Business - Dump'!$U:$U,'Business - Dump'!$D:$D,'SKU Repoprt'!$D102,'Business - Dump'!$A:$A,'SKU Repoprt'!I$1)</f>
        <v>0</v>
      </c>
      <c r="J102" s="16">
        <f>SUMIFS('Business - Dump'!$U:$U,'Business - Dump'!$D:$D,'SKU Repoprt'!$D102,'Business - Dump'!$A:$A,'SKU Repoprt'!J$1)</f>
        <v>0</v>
      </c>
      <c r="K102" s="16">
        <f>SUMIFS('Business - Dump'!$U:$U,'Business - Dump'!$D:$D,'SKU Repoprt'!$D102,'Business - Dump'!$A:$A,'SKU Repoprt'!K$1)</f>
        <v>0</v>
      </c>
      <c r="L102" s="16">
        <f>SUMIFS('Business - Dump'!$U:$U,'Business - Dump'!$D:$D,'SKU Repoprt'!$D102,'Business - Dump'!$A:$A,'SKU Repoprt'!L$1)</f>
        <v>0</v>
      </c>
      <c r="M102" s="16">
        <f>SUMIFS('Business - Dump'!$U:$U,'Business - Dump'!$D:$D,'SKU Repoprt'!$D102,'Business - Dump'!$A:$A,'SKU Repoprt'!M$1)</f>
        <v>12200</v>
      </c>
      <c r="N102" s="16">
        <f>SUMIFS('Business - Dump'!$U:$U,'Business - Dump'!$D:$D,'SKU Repoprt'!$D102,'Business - Dump'!$A:$A,'SKU Repoprt'!N$1)</f>
        <v>24400</v>
      </c>
      <c r="O102" s="16">
        <f>SUMIFS('Business - Dump'!$U:$U,'Business - Dump'!$D:$D,'SKU Repoprt'!$D102,'Business - Dump'!$A:$A,'SKU Repoprt'!O$1)</f>
        <v>98880</v>
      </c>
      <c r="P102" s="16">
        <f>SUMIFS('Business - Dump'!$U:$U,'Business - Dump'!$D:$D,'SKU Repoprt'!$D102,'Business - Dump'!$A:$A,'SKU Repoprt'!P$1)</f>
        <v>36590</v>
      </c>
      <c r="Q102" s="16">
        <f>SUMIFS('Business - Dump'!$U:$U,'Business - Dump'!$D:$D,'SKU Repoprt'!$D102,'Business - Dump'!$A:$A,'SKU Repoprt'!Q$1)</f>
        <v>47600</v>
      </c>
      <c r="R102" s="16">
        <f>SUMIFS('Business - Dump'!$U:$U,'Business - Dump'!$D:$D,'SKU Repoprt'!$D102,'Business - Dump'!$A:$A,'SKU Repoprt'!R$1)</f>
        <v>35700</v>
      </c>
      <c r="S102" s="16">
        <f>SUMIFS('Business - Dump'!$U:$U,'Business - Dump'!$D:$D,'SKU Repoprt'!$D102,'Business - Dump'!$A:$A,'SKU Repoprt'!S$1)</f>
        <v>0</v>
      </c>
      <c r="T102" s="16">
        <f>SUMIFS('Business - Dump'!$U:$U,'Business - Dump'!$D:$D,'SKU Repoprt'!$D102,'Business - Dump'!$A:$A,'SKU Repoprt'!T$1)</f>
        <v>12150</v>
      </c>
      <c r="U102" s="16">
        <f>SUMIFS('Business - Dump'!$U:$U,'Business - Dump'!$D:$D,'SKU Repoprt'!$D102,'Business - Dump'!$A:$A,'SKU Repoprt'!U$1)</f>
        <v>12150</v>
      </c>
      <c r="V102" s="16">
        <f>SUMIFS('Business - Dump'!$U:$U,'Business - Dump'!$D:$D,'SKU Repoprt'!$D102,'Business - Dump'!$A:$A,'SKU Repoprt'!V$1)</f>
        <v>0</v>
      </c>
      <c r="W102" s="16">
        <f>SUMIFS('Business - Dump'!$U:$U,'Business - Dump'!$D:$D,'SKU Repoprt'!$D102,'Business - Dump'!$A:$A,'SKU Repoprt'!W$1)</f>
        <v>0</v>
      </c>
    </row>
    <row r="103" ht="15.75" customHeight="1">
      <c r="A103" s="10" t="s">
        <v>285</v>
      </c>
      <c r="B103" s="10" t="s">
        <v>285</v>
      </c>
      <c r="C103" s="10"/>
      <c r="D103" s="10" t="s">
        <v>328</v>
      </c>
      <c r="E103" s="10" t="s">
        <v>29</v>
      </c>
      <c r="F103" s="17">
        <v>0.027042857142857143</v>
      </c>
      <c r="G103" s="17">
        <f t="shared" ref="G103:W103" si="34">IFERROR(G101/G98,0)</f>
        <v>0.0243902439</v>
      </c>
      <c r="H103" s="17">
        <f t="shared" si="34"/>
        <v>0.0253164557</v>
      </c>
      <c r="I103" s="17">
        <f t="shared" si="34"/>
        <v>0</v>
      </c>
      <c r="J103" s="17">
        <f t="shared" si="34"/>
        <v>0</v>
      </c>
      <c r="K103" s="17">
        <f t="shared" si="34"/>
        <v>0</v>
      </c>
      <c r="L103" s="17">
        <f t="shared" si="34"/>
        <v>0</v>
      </c>
      <c r="M103" s="17">
        <f t="shared" si="34"/>
        <v>0.01086956522</v>
      </c>
      <c r="N103" s="17">
        <f t="shared" si="34"/>
        <v>0.008196721311</v>
      </c>
      <c r="O103" s="17">
        <f t="shared" si="34"/>
        <v>0.03100775194</v>
      </c>
      <c r="P103" s="17">
        <f t="shared" si="34"/>
        <v>0.009868421053</v>
      </c>
      <c r="Q103" s="17">
        <f t="shared" si="34"/>
        <v>0.002894356006</v>
      </c>
      <c r="R103" s="17">
        <f t="shared" si="34"/>
        <v>0.01357466063</v>
      </c>
      <c r="S103" s="17">
        <f t="shared" si="34"/>
        <v>0</v>
      </c>
      <c r="T103" s="17">
        <f t="shared" si="34"/>
        <v>0.01612903226</v>
      </c>
      <c r="U103" s="17">
        <f t="shared" si="34"/>
        <v>0.09090909091</v>
      </c>
      <c r="V103" s="17">
        <f t="shared" si="34"/>
        <v>0</v>
      </c>
      <c r="W103" s="17">
        <f t="shared" si="34"/>
        <v>0</v>
      </c>
    </row>
    <row r="104" ht="15.75" customHeight="1">
      <c r="A104" s="10" t="s">
        <v>158</v>
      </c>
      <c r="B104" s="10" t="s">
        <v>158</v>
      </c>
      <c r="C104" s="10"/>
      <c r="D104" s="10" t="s">
        <v>342</v>
      </c>
      <c r="E104" s="10" t="s">
        <v>257</v>
      </c>
      <c r="F104" s="3">
        <f t="shared" ref="F104:F108" si="35">SUM(G104:S104)</f>
        <v>8758</v>
      </c>
      <c r="G104" s="3">
        <f>SUMIFS('Business - Dump'!$G:$G,'Business - Dump'!$D:$D,'SKU Repoprt'!$D104,'Business - Dump'!$A:$A,'SKU Repoprt'!G$1)</f>
        <v>0</v>
      </c>
      <c r="H104" s="3">
        <f>SUMIFS('Business - Dump'!$G:$G,'Business - Dump'!$D:$D,'SKU Repoprt'!$D104,'Business - Dump'!$A:$A,'SKU Repoprt'!H$1)</f>
        <v>112</v>
      </c>
      <c r="I104" s="3">
        <f>SUMIFS('Business - Dump'!$G:$G,'Business - Dump'!$D:$D,'SKU Repoprt'!$D104,'Business - Dump'!$A:$A,'SKU Repoprt'!I$1)</f>
        <v>673</v>
      </c>
      <c r="J104" s="3">
        <f>SUMIFS('Business - Dump'!$G:$G,'Business - Dump'!$D:$D,'SKU Repoprt'!$D104,'Business - Dump'!$A:$A,'SKU Repoprt'!J$1)</f>
        <v>1015</v>
      </c>
      <c r="K104" s="3">
        <f>SUMIFS('Business - Dump'!$G:$G,'Business - Dump'!$D:$D,'SKU Repoprt'!$D104,'Business - Dump'!$A:$A,'SKU Repoprt'!K$1)</f>
        <v>1029</v>
      </c>
      <c r="L104" s="3">
        <f>SUMIFS('Business - Dump'!$G:$G,'Business - Dump'!$D:$D,'SKU Repoprt'!$D104,'Business - Dump'!$A:$A,'SKU Repoprt'!L$1)</f>
        <v>1017</v>
      </c>
      <c r="M104" s="3">
        <f>SUMIFS('Business - Dump'!$G:$G,'Business - Dump'!$D:$D,'SKU Repoprt'!$D104,'Business - Dump'!$A:$A,'SKU Repoprt'!M$1)</f>
        <v>1537</v>
      </c>
      <c r="N104" s="3">
        <f>SUMIFS('Business - Dump'!$G:$G,'Business - Dump'!$D:$D,'SKU Repoprt'!$D104,'Business - Dump'!$A:$A,'SKU Repoprt'!N$1)</f>
        <v>3292</v>
      </c>
      <c r="O104" s="3">
        <f>SUMIFS('Business - Dump'!$G:$G,'Business - Dump'!$D:$D,'SKU Repoprt'!$D104,'Business - Dump'!$A:$A,'SKU Repoprt'!O$1)</f>
        <v>83</v>
      </c>
      <c r="P104" s="3">
        <f>SUMIFS('Business - Dump'!$G:$G,'Business - Dump'!$D:$D,'SKU Repoprt'!$D104,'Business - Dump'!$A:$A,'SKU Repoprt'!P$1)</f>
        <v>0</v>
      </c>
      <c r="Q104" s="3">
        <f>SUMIFS('Business - Dump'!$G:$G,'Business - Dump'!$D:$D,'SKU Repoprt'!$D104,'Business - Dump'!$A:$A,'SKU Repoprt'!Q$1)</f>
        <v>0</v>
      </c>
      <c r="R104" s="3">
        <f>SUMIFS('Business - Dump'!$G:$G,'Business - Dump'!$D:$D,'SKU Repoprt'!$D104,'Business - Dump'!$A:$A,'SKU Repoprt'!R$1)</f>
        <v>0</v>
      </c>
      <c r="S104" s="3">
        <f>SUMIFS('Business - Dump'!$G:$G,'Business - Dump'!$D:$D,'SKU Repoprt'!$D104,'Business - Dump'!$A:$A,'SKU Repoprt'!S$1)</f>
        <v>0</v>
      </c>
      <c r="T104" s="3">
        <f>SUMIFS('Business - Dump'!$G:$G,'Business - Dump'!$D:$D,'SKU Repoprt'!$D104,'Business - Dump'!$A:$A,'SKU Repoprt'!T$1)</f>
        <v>0</v>
      </c>
      <c r="U104" s="3">
        <f>SUMIFS('Business - Dump'!$G:$G,'Business - Dump'!$D:$D,'SKU Repoprt'!$D104,'Business - Dump'!$A:$A,'SKU Repoprt'!U$1)</f>
        <v>0</v>
      </c>
      <c r="V104" s="3">
        <f>SUMIFS('Business - Dump'!$G:$G,'Business - Dump'!$D:$D,'SKU Repoprt'!$D104,'Business - Dump'!$A:$A,'SKU Repoprt'!V$1)</f>
        <v>0</v>
      </c>
      <c r="W104" s="3">
        <f>SUMIFS('Business - Dump'!$G:$G,'Business - Dump'!$D:$D,'SKU Repoprt'!$D104,'Business - Dump'!$A:$A,'SKU Repoprt'!W$1)</f>
        <v>0</v>
      </c>
    </row>
    <row r="105" ht="15.75" customHeight="1">
      <c r="A105" s="10" t="s">
        <v>158</v>
      </c>
      <c r="B105" s="10" t="s">
        <v>158</v>
      </c>
      <c r="C105" s="10"/>
      <c r="D105" s="10" t="s">
        <v>342</v>
      </c>
      <c r="E105" s="10" t="s">
        <v>260</v>
      </c>
      <c r="F105" s="3">
        <f t="shared" si="35"/>
        <v>11666</v>
      </c>
      <c r="G105" s="3">
        <f>SUMIFS('Business - Dump'!$K:$K,'Business - Dump'!$D:$D,'SKU Repoprt'!$D105,'Business - Dump'!$A:$A,'SKU Repoprt'!G$1)</f>
        <v>0</v>
      </c>
      <c r="H105" s="3">
        <f>SUMIFS('Business - Dump'!$K:$K,'Business - Dump'!$D:$D,'SKU Repoprt'!$D105,'Business - Dump'!$A:$A,'SKU Repoprt'!H$1)</f>
        <v>160</v>
      </c>
      <c r="I105" s="3">
        <f>SUMIFS('Business - Dump'!$K:$K,'Business - Dump'!$D:$D,'SKU Repoprt'!$D105,'Business - Dump'!$A:$A,'SKU Repoprt'!I$1)</f>
        <v>853</v>
      </c>
      <c r="J105" s="3">
        <f>SUMIFS('Business - Dump'!$K:$K,'Business - Dump'!$D:$D,'SKU Repoprt'!$D105,'Business - Dump'!$A:$A,'SKU Repoprt'!J$1)</f>
        <v>1330</v>
      </c>
      <c r="K105" s="3">
        <f>SUMIFS('Business - Dump'!$K:$K,'Business - Dump'!$D:$D,'SKU Repoprt'!$D105,'Business - Dump'!$A:$A,'SKU Repoprt'!K$1)</f>
        <v>1294</v>
      </c>
      <c r="L105" s="3">
        <f>SUMIFS('Business - Dump'!$K:$K,'Business - Dump'!$D:$D,'SKU Repoprt'!$D105,'Business - Dump'!$A:$A,'SKU Repoprt'!L$1)</f>
        <v>1373</v>
      </c>
      <c r="M105" s="3">
        <f>SUMIFS('Business - Dump'!$K:$K,'Business - Dump'!$D:$D,'SKU Repoprt'!$D105,'Business - Dump'!$A:$A,'SKU Repoprt'!M$1)</f>
        <v>2468</v>
      </c>
      <c r="N105" s="3">
        <f>SUMIFS('Business - Dump'!$K:$K,'Business - Dump'!$D:$D,'SKU Repoprt'!$D105,'Business - Dump'!$A:$A,'SKU Repoprt'!N$1)</f>
        <v>4085</v>
      </c>
      <c r="O105" s="3">
        <f>SUMIFS('Business - Dump'!$K:$K,'Business - Dump'!$D:$D,'SKU Repoprt'!$D105,'Business - Dump'!$A:$A,'SKU Repoprt'!O$1)</f>
        <v>103</v>
      </c>
      <c r="P105" s="3">
        <f>SUMIFS('Business - Dump'!$K:$K,'Business - Dump'!$D:$D,'SKU Repoprt'!$D105,'Business - Dump'!$A:$A,'SKU Repoprt'!P$1)</f>
        <v>0</v>
      </c>
      <c r="Q105" s="3">
        <f>SUMIFS('Business - Dump'!$K:$K,'Business - Dump'!$D:$D,'SKU Repoprt'!$D105,'Business - Dump'!$A:$A,'SKU Repoprt'!Q$1)</f>
        <v>0</v>
      </c>
      <c r="R105" s="3">
        <f>SUMIFS('Business - Dump'!$K:$K,'Business - Dump'!$D:$D,'SKU Repoprt'!$D105,'Business - Dump'!$A:$A,'SKU Repoprt'!R$1)</f>
        <v>0</v>
      </c>
      <c r="S105" s="3">
        <f>SUMIFS('Business - Dump'!$K:$K,'Business - Dump'!$D:$D,'SKU Repoprt'!$D105,'Business - Dump'!$A:$A,'SKU Repoprt'!S$1)</f>
        <v>0</v>
      </c>
      <c r="T105" s="3">
        <f>SUMIFS('Business - Dump'!$K:$K,'Business - Dump'!$D:$D,'SKU Repoprt'!$D105,'Business - Dump'!$A:$A,'SKU Repoprt'!T$1)</f>
        <v>0</v>
      </c>
      <c r="U105" s="3">
        <f>SUMIFS('Business - Dump'!$K:$K,'Business - Dump'!$D:$D,'SKU Repoprt'!$D105,'Business - Dump'!$A:$A,'SKU Repoprt'!U$1)</f>
        <v>0</v>
      </c>
      <c r="V105" s="3">
        <f>SUMIFS('Business - Dump'!$K:$K,'Business - Dump'!$D:$D,'SKU Repoprt'!$D105,'Business - Dump'!$A:$A,'SKU Repoprt'!V$1)</f>
        <v>0</v>
      </c>
      <c r="W105" s="3">
        <f>SUMIFS('Business - Dump'!$K:$K,'Business - Dump'!$D:$D,'SKU Repoprt'!$D105,'Business - Dump'!$A:$A,'SKU Repoprt'!W$1)</f>
        <v>0</v>
      </c>
    </row>
    <row r="106" ht="15.75" customHeight="1">
      <c r="A106" s="10" t="s">
        <v>158</v>
      </c>
      <c r="B106" s="10" t="s">
        <v>158</v>
      </c>
      <c r="C106" s="10"/>
      <c r="D106" s="10" t="s">
        <v>342</v>
      </c>
      <c r="E106" s="10" t="s">
        <v>264</v>
      </c>
      <c r="F106" s="3">
        <f t="shared" si="35"/>
        <v>14</v>
      </c>
      <c r="G106" s="3">
        <f>SUMIFS('Business - Dump'!$Q:$Q,'Business - Dump'!$D:$D,'SKU Repoprt'!$D106,'Business - Dump'!$A:$A,'SKU Repoprt'!G$1)</f>
        <v>0</v>
      </c>
      <c r="H106" s="3">
        <f>SUMIFS('Business - Dump'!$Q:$Q,'Business - Dump'!$D:$D,'SKU Repoprt'!$D106,'Business - Dump'!$A:$A,'SKU Repoprt'!H$1)</f>
        <v>1</v>
      </c>
      <c r="I106" s="3">
        <f>SUMIFS('Business - Dump'!$Q:$Q,'Business - Dump'!$D:$D,'SKU Repoprt'!$D106,'Business - Dump'!$A:$A,'SKU Repoprt'!I$1)</f>
        <v>1</v>
      </c>
      <c r="J106" s="3">
        <f>SUMIFS('Business - Dump'!$Q:$Q,'Business - Dump'!$D:$D,'SKU Repoprt'!$D106,'Business - Dump'!$A:$A,'SKU Repoprt'!J$1)</f>
        <v>2</v>
      </c>
      <c r="K106" s="3">
        <f>SUMIFS('Business - Dump'!$Q:$Q,'Business - Dump'!$D:$D,'SKU Repoprt'!$D106,'Business - Dump'!$A:$A,'SKU Repoprt'!K$1)</f>
        <v>2</v>
      </c>
      <c r="L106" s="3">
        <f>SUMIFS('Business - Dump'!$Q:$Q,'Business - Dump'!$D:$D,'SKU Repoprt'!$D106,'Business - Dump'!$A:$A,'SKU Repoprt'!L$1)</f>
        <v>3</v>
      </c>
      <c r="M106" s="3">
        <f>SUMIFS('Business - Dump'!$Q:$Q,'Business - Dump'!$D:$D,'SKU Repoprt'!$D106,'Business - Dump'!$A:$A,'SKU Repoprt'!M$1)</f>
        <v>1</v>
      </c>
      <c r="N106" s="3">
        <f>SUMIFS('Business - Dump'!$Q:$Q,'Business - Dump'!$D:$D,'SKU Repoprt'!$D106,'Business - Dump'!$A:$A,'SKU Repoprt'!N$1)</f>
        <v>3</v>
      </c>
      <c r="O106" s="3">
        <f>SUMIFS('Business - Dump'!$Q:$Q,'Business - Dump'!$D:$D,'SKU Repoprt'!$D106,'Business - Dump'!$A:$A,'SKU Repoprt'!O$1)</f>
        <v>1</v>
      </c>
      <c r="P106" s="3">
        <f>SUMIFS('Business - Dump'!$Q:$Q,'Business - Dump'!$D:$D,'SKU Repoprt'!$D106,'Business - Dump'!$A:$A,'SKU Repoprt'!P$1)</f>
        <v>0</v>
      </c>
      <c r="Q106" s="3">
        <f>SUMIFS('Business - Dump'!$Q:$Q,'Business - Dump'!$D:$D,'SKU Repoprt'!$D106,'Business - Dump'!$A:$A,'SKU Repoprt'!Q$1)</f>
        <v>0</v>
      </c>
      <c r="R106" s="3">
        <f>SUMIFS('Business - Dump'!$Q:$Q,'Business - Dump'!$D:$D,'SKU Repoprt'!$D106,'Business - Dump'!$A:$A,'SKU Repoprt'!R$1)</f>
        <v>0</v>
      </c>
      <c r="S106" s="3">
        <f>SUMIFS('Business - Dump'!$Q:$Q,'Business - Dump'!$D:$D,'SKU Repoprt'!$D106,'Business - Dump'!$A:$A,'SKU Repoprt'!S$1)</f>
        <v>0</v>
      </c>
      <c r="T106" s="3">
        <f>SUMIFS('Business - Dump'!$Q:$Q,'Business - Dump'!$D:$D,'SKU Repoprt'!$D106,'Business - Dump'!$A:$A,'SKU Repoprt'!T$1)</f>
        <v>0</v>
      </c>
      <c r="U106" s="3">
        <f>SUMIFS('Business - Dump'!$Q:$Q,'Business - Dump'!$D:$D,'SKU Repoprt'!$D106,'Business - Dump'!$A:$A,'SKU Repoprt'!U$1)</f>
        <v>0</v>
      </c>
      <c r="V106" s="3">
        <f>SUMIFS('Business - Dump'!$Q:$Q,'Business - Dump'!$D:$D,'SKU Repoprt'!$D106,'Business - Dump'!$A:$A,'SKU Repoprt'!V$1)</f>
        <v>0</v>
      </c>
      <c r="W106" s="3">
        <f>SUMIFS('Business - Dump'!$Q:$Q,'Business - Dump'!$D:$D,'SKU Repoprt'!$D106,'Business - Dump'!$A:$A,'SKU Repoprt'!W$1)</f>
        <v>0</v>
      </c>
    </row>
    <row r="107" ht="15.75" customHeight="1">
      <c r="A107" s="10" t="s">
        <v>158</v>
      </c>
      <c r="B107" s="10" t="s">
        <v>158</v>
      </c>
      <c r="C107" s="10"/>
      <c r="D107" s="10" t="s">
        <v>342</v>
      </c>
      <c r="E107" s="10" t="s">
        <v>268</v>
      </c>
      <c r="F107" s="3">
        <f t="shared" si="35"/>
        <v>14</v>
      </c>
      <c r="G107" s="3">
        <f>SUMIFS('Business - Dump'!$W:$W,'Business - Dump'!$D:$D,'SKU Repoprt'!$D107,'Business - Dump'!$A:$A,'SKU Repoprt'!G$1)</f>
        <v>0</v>
      </c>
      <c r="H107" s="3">
        <f>SUMIFS('Business - Dump'!$W:$W,'Business - Dump'!$D:$D,'SKU Repoprt'!$D107,'Business - Dump'!$A:$A,'SKU Repoprt'!H$1)</f>
        <v>1</v>
      </c>
      <c r="I107" s="3">
        <f>SUMIFS('Business - Dump'!$W:$W,'Business - Dump'!$D:$D,'SKU Repoprt'!$D107,'Business - Dump'!$A:$A,'SKU Repoprt'!I$1)</f>
        <v>1</v>
      </c>
      <c r="J107" s="3">
        <f>SUMIFS('Business - Dump'!$W:$W,'Business - Dump'!$D:$D,'SKU Repoprt'!$D107,'Business - Dump'!$A:$A,'SKU Repoprt'!J$1)</f>
        <v>2</v>
      </c>
      <c r="K107" s="3">
        <f>SUMIFS('Business - Dump'!$W:$W,'Business - Dump'!$D:$D,'SKU Repoprt'!$D107,'Business - Dump'!$A:$A,'SKU Repoprt'!K$1)</f>
        <v>2</v>
      </c>
      <c r="L107" s="3">
        <f>SUMIFS('Business - Dump'!$W:$W,'Business - Dump'!$D:$D,'SKU Repoprt'!$D107,'Business - Dump'!$A:$A,'SKU Repoprt'!L$1)</f>
        <v>3</v>
      </c>
      <c r="M107" s="3">
        <f>SUMIFS('Business - Dump'!$W:$W,'Business - Dump'!$D:$D,'SKU Repoprt'!$D107,'Business - Dump'!$A:$A,'SKU Repoprt'!M$1)</f>
        <v>1</v>
      </c>
      <c r="N107" s="3">
        <f>SUMIFS('Business - Dump'!$W:$W,'Business - Dump'!$D:$D,'SKU Repoprt'!$D107,'Business - Dump'!$A:$A,'SKU Repoprt'!N$1)</f>
        <v>3</v>
      </c>
      <c r="O107" s="3">
        <f>SUMIFS('Business - Dump'!$W:$W,'Business - Dump'!$D:$D,'SKU Repoprt'!$D107,'Business - Dump'!$A:$A,'SKU Repoprt'!O$1)</f>
        <v>1</v>
      </c>
      <c r="P107" s="3">
        <f>SUMIFS('Business - Dump'!$W:$W,'Business - Dump'!$D:$D,'SKU Repoprt'!$D107,'Business - Dump'!$A:$A,'SKU Repoprt'!P$1)</f>
        <v>0</v>
      </c>
      <c r="Q107" s="3">
        <f>SUMIFS('Business - Dump'!$W:$W,'Business - Dump'!$D:$D,'SKU Repoprt'!$D107,'Business - Dump'!$A:$A,'SKU Repoprt'!Q$1)</f>
        <v>0</v>
      </c>
      <c r="R107" s="3">
        <f>SUMIFS('Business - Dump'!$W:$W,'Business - Dump'!$D:$D,'SKU Repoprt'!$D107,'Business - Dump'!$A:$A,'SKU Repoprt'!R$1)</f>
        <v>0</v>
      </c>
      <c r="S107" s="3">
        <f>SUMIFS('Business - Dump'!$W:$W,'Business - Dump'!$D:$D,'SKU Repoprt'!$D107,'Business - Dump'!$A:$A,'SKU Repoprt'!S$1)</f>
        <v>0</v>
      </c>
      <c r="T107" s="3">
        <f>SUMIFS('Business - Dump'!$W:$W,'Business - Dump'!$D:$D,'SKU Repoprt'!$D107,'Business - Dump'!$A:$A,'SKU Repoprt'!T$1)</f>
        <v>0</v>
      </c>
      <c r="U107" s="3">
        <f>SUMIFS('Business - Dump'!$W:$W,'Business - Dump'!$D:$D,'SKU Repoprt'!$D107,'Business - Dump'!$A:$A,'SKU Repoprt'!U$1)</f>
        <v>0</v>
      </c>
      <c r="V107" s="3">
        <f>SUMIFS('Business - Dump'!$W:$W,'Business - Dump'!$D:$D,'SKU Repoprt'!$D107,'Business - Dump'!$A:$A,'SKU Repoprt'!V$1)</f>
        <v>0</v>
      </c>
      <c r="W107" s="3">
        <f>SUMIFS('Business - Dump'!$W:$W,'Business - Dump'!$D:$D,'SKU Repoprt'!$D107,'Business - Dump'!$A:$A,'SKU Repoprt'!W$1)</f>
        <v>0</v>
      </c>
    </row>
    <row r="108" ht="15.75" customHeight="1">
      <c r="A108" s="10" t="s">
        <v>158</v>
      </c>
      <c r="B108" s="10" t="s">
        <v>158</v>
      </c>
      <c r="C108" s="10"/>
      <c r="D108" s="10" t="s">
        <v>342</v>
      </c>
      <c r="E108" s="10" t="s">
        <v>26</v>
      </c>
      <c r="F108" s="16">
        <f t="shared" si="35"/>
        <v>127497.46</v>
      </c>
      <c r="G108" s="16">
        <f>SUMIFS('Business - Dump'!$U:$U,'Business - Dump'!$D:$D,'SKU Repoprt'!$D108,'Business - Dump'!$A:$A,'SKU Repoprt'!G$1)</f>
        <v>0</v>
      </c>
      <c r="H108" s="16">
        <f>SUMIFS('Business - Dump'!$U:$U,'Business - Dump'!$D:$D,'SKU Repoprt'!$D108,'Business - Dump'!$A:$A,'SKU Repoprt'!H$1)</f>
        <v>12950</v>
      </c>
      <c r="I108" s="16">
        <f>SUMIFS('Business - Dump'!$U:$U,'Business - Dump'!$D:$D,'SKU Repoprt'!$D108,'Business - Dump'!$A:$A,'SKU Repoprt'!I$1)</f>
        <v>10900</v>
      </c>
      <c r="J108" s="16">
        <f>SUMIFS('Business - Dump'!$U:$U,'Business - Dump'!$D:$D,'SKU Repoprt'!$D108,'Business - Dump'!$A:$A,'SKU Repoprt'!J$1)</f>
        <v>19647.46</v>
      </c>
      <c r="K108" s="16">
        <f>SUMIFS('Business - Dump'!$U:$U,'Business - Dump'!$D:$D,'SKU Repoprt'!$D108,'Business - Dump'!$A:$A,'SKU Repoprt'!K$1)</f>
        <v>17800</v>
      </c>
      <c r="L108" s="16">
        <f>SUMIFS('Business - Dump'!$U:$U,'Business - Dump'!$D:$D,'SKU Repoprt'!$D108,'Business - Dump'!$A:$A,'SKU Repoprt'!L$1)</f>
        <v>26700</v>
      </c>
      <c r="M108" s="16">
        <f>SUMIFS('Business - Dump'!$U:$U,'Business - Dump'!$D:$D,'SKU Repoprt'!$D108,'Business - Dump'!$A:$A,'SKU Repoprt'!M$1)</f>
        <v>7900</v>
      </c>
      <c r="N108" s="16">
        <f>SUMIFS('Business - Dump'!$U:$U,'Business - Dump'!$D:$D,'SKU Repoprt'!$D108,'Business - Dump'!$A:$A,'SKU Repoprt'!N$1)</f>
        <v>23700</v>
      </c>
      <c r="O108" s="16">
        <f>SUMIFS('Business - Dump'!$U:$U,'Business - Dump'!$D:$D,'SKU Repoprt'!$D108,'Business - Dump'!$A:$A,'SKU Repoprt'!O$1)</f>
        <v>7900</v>
      </c>
      <c r="P108" s="16">
        <f>SUMIFS('Business - Dump'!$U:$U,'Business - Dump'!$D:$D,'SKU Repoprt'!$D108,'Business - Dump'!$A:$A,'SKU Repoprt'!P$1)</f>
        <v>0</v>
      </c>
      <c r="Q108" s="16">
        <f>SUMIFS('Business - Dump'!$U:$U,'Business - Dump'!$D:$D,'SKU Repoprt'!$D108,'Business - Dump'!$A:$A,'SKU Repoprt'!Q$1)</f>
        <v>0</v>
      </c>
      <c r="R108" s="16">
        <f>SUMIFS('Business - Dump'!$U:$U,'Business - Dump'!$D:$D,'SKU Repoprt'!$D108,'Business - Dump'!$A:$A,'SKU Repoprt'!R$1)</f>
        <v>0</v>
      </c>
      <c r="S108" s="16">
        <f>SUMIFS('Business - Dump'!$U:$U,'Business - Dump'!$D:$D,'SKU Repoprt'!$D108,'Business - Dump'!$A:$A,'SKU Repoprt'!S$1)</f>
        <v>0</v>
      </c>
      <c r="T108" s="16">
        <f>SUMIFS('Business - Dump'!$U:$U,'Business - Dump'!$D:$D,'SKU Repoprt'!$D108,'Business - Dump'!$A:$A,'SKU Repoprt'!T$1)</f>
        <v>0</v>
      </c>
      <c r="U108" s="16">
        <f>SUMIFS('Business - Dump'!$U:$U,'Business - Dump'!$D:$D,'SKU Repoprt'!$D108,'Business - Dump'!$A:$A,'SKU Repoprt'!U$1)</f>
        <v>0</v>
      </c>
      <c r="V108" s="16">
        <f>SUMIFS('Business - Dump'!$U:$U,'Business - Dump'!$D:$D,'SKU Repoprt'!$D108,'Business - Dump'!$A:$A,'SKU Repoprt'!V$1)</f>
        <v>0</v>
      </c>
      <c r="W108" s="16">
        <f>SUMIFS('Business - Dump'!$U:$U,'Business - Dump'!$D:$D,'SKU Repoprt'!$D108,'Business - Dump'!$A:$A,'SKU Repoprt'!W$1)</f>
        <v>0</v>
      </c>
    </row>
    <row r="109" ht="15.75" customHeight="1">
      <c r="A109" s="10" t="s">
        <v>158</v>
      </c>
      <c r="B109" s="10" t="s">
        <v>158</v>
      </c>
      <c r="C109" s="10"/>
      <c r="D109" s="10" t="s">
        <v>342</v>
      </c>
      <c r="E109" s="10" t="s">
        <v>29</v>
      </c>
      <c r="F109" s="17">
        <v>0.027042857142857143</v>
      </c>
      <c r="G109" s="17">
        <f t="shared" ref="G109:W109" si="36">IFERROR(G107/G104,0)</f>
        <v>0</v>
      </c>
      <c r="H109" s="17">
        <f t="shared" si="36"/>
        <v>0.008928571429</v>
      </c>
      <c r="I109" s="17">
        <f t="shared" si="36"/>
        <v>0.001485884101</v>
      </c>
      <c r="J109" s="17">
        <f t="shared" si="36"/>
        <v>0.00197044335</v>
      </c>
      <c r="K109" s="17">
        <f t="shared" si="36"/>
        <v>0.001943634597</v>
      </c>
      <c r="L109" s="17">
        <f t="shared" si="36"/>
        <v>0.002949852507</v>
      </c>
      <c r="M109" s="17">
        <f t="shared" si="36"/>
        <v>0.0006506180872</v>
      </c>
      <c r="N109" s="17">
        <f t="shared" si="36"/>
        <v>0.0009113001215</v>
      </c>
      <c r="O109" s="17">
        <f t="shared" si="36"/>
        <v>0.01204819277</v>
      </c>
      <c r="P109" s="17">
        <f t="shared" si="36"/>
        <v>0</v>
      </c>
      <c r="Q109" s="17">
        <f t="shared" si="36"/>
        <v>0</v>
      </c>
      <c r="R109" s="17">
        <f t="shared" si="36"/>
        <v>0</v>
      </c>
      <c r="S109" s="17">
        <f t="shared" si="36"/>
        <v>0</v>
      </c>
      <c r="T109" s="17">
        <f t="shared" si="36"/>
        <v>0</v>
      </c>
      <c r="U109" s="17">
        <f t="shared" si="36"/>
        <v>0</v>
      </c>
      <c r="V109" s="17">
        <f t="shared" si="36"/>
        <v>0</v>
      </c>
      <c r="W109" s="17">
        <f t="shared" si="36"/>
        <v>0</v>
      </c>
    </row>
    <row r="110" ht="15.75" customHeight="1">
      <c r="A110" s="10" t="s">
        <v>158</v>
      </c>
      <c r="B110" s="10" t="s">
        <v>158</v>
      </c>
      <c r="C110" s="10"/>
      <c r="D110" s="10" t="s">
        <v>349</v>
      </c>
      <c r="E110" s="10" t="s">
        <v>257</v>
      </c>
      <c r="F110" s="3">
        <f t="shared" ref="F110:F114" si="37">SUM(G110:S110)</f>
        <v>10</v>
      </c>
      <c r="G110" s="3">
        <f>SUMIFS('Business - Dump'!$G:$G,'Business - Dump'!$D:$D,'SKU Repoprt'!$D110,'Business - Dump'!$A:$A,'SKU Repoprt'!G$1)</f>
        <v>0</v>
      </c>
      <c r="H110" s="3">
        <f>SUMIFS('Business - Dump'!$G:$G,'Business - Dump'!$D:$D,'SKU Repoprt'!$D110,'Business - Dump'!$A:$A,'SKU Repoprt'!H$1)</f>
        <v>0</v>
      </c>
      <c r="I110" s="3">
        <f>SUMIFS('Business - Dump'!$G:$G,'Business - Dump'!$D:$D,'SKU Repoprt'!$D110,'Business - Dump'!$A:$A,'SKU Repoprt'!I$1)</f>
        <v>0</v>
      </c>
      <c r="J110" s="3">
        <f>SUMIFS('Business - Dump'!$G:$G,'Business - Dump'!$D:$D,'SKU Repoprt'!$D110,'Business - Dump'!$A:$A,'SKU Repoprt'!J$1)</f>
        <v>0</v>
      </c>
      <c r="K110" s="3">
        <f>SUMIFS('Business - Dump'!$G:$G,'Business - Dump'!$D:$D,'SKU Repoprt'!$D110,'Business - Dump'!$A:$A,'SKU Repoprt'!K$1)</f>
        <v>0</v>
      </c>
      <c r="L110" s="3">
        <f>SUMIFS('Business - Dump'!$G:$G,'Business - Dump'!$D:$D,'SKU Repoprt'!$D110,'Business - Dump'!$A:$A,'SKU Repoprt'!L$1)</f>
        <v>0</v>
      </c>
      <c r="M110" s="3">
        <f>SUMIFS('Business - Dump'!$G:$G,'Business - Dump'!$D:$D,'SKU Repoprt'!$D110,'Business - Dump'!$A:$A,'SKU Repoprt'!M$1)</f>
        <v>0</v>
      </c>
      <c r="N110" s="3">
        <f>SUMIFS('Business - Dump'!$G:$G,'Business - Dump'!$D:$D,'SKU Repoprt'!$D110,'Business - Dump'!$A:$A,'SKU Repoprt'!N$1)</f>
        <v>0</v>
      </c>
      <c r="O110" s="3">
        <f>SUMIFS('Business - Dump'!$G:$G,'Business - Dump'!$D:$D,'SKU Repoprt'!$D110,'Business - Dump'!$A:$A,'SKU Repoprt'!O$1)</f>
        <v>10</v>
      </c>
      <c r="P110" s="3">
        <f>SUMIFS('Business - Dump'!$G:$G,'Business - Dump'!$D:$D,'SKU Repoprt'!$D110,'Business - Dump'!$A:$A,'SKU Repoprt'!P$1)</f>
        <v>0</v>
      </c>
      <c r="Q110" s="3">
        <f>SUMIFS('Business - Dump'!$G:$G,'Business - Dump'!$D:$D,'SKU Repoprt'!$D110,'Business - Dump'!$A:$A,'SKU Repoprt'!Q$1)</f>
        <v>0</v>
      </c>
      <c r="R110" s="3">
        <f>SUMIFS('Business - Dump'!$G:$G,'Business - Dump'!$D:$D,'SKU Repoprt'!$D110,'Business - Dump'!$A:$A,'SKU Repoprt'!R$1)</f>
        <v>0</v>
      </c>
      <c r="S110" s="3">
        <f>SUMIFS('Business - Dump'!$G:$G,'Business - Dump'!$D:$D,'SKU Repoprt'!$D110,'Business - Dump'!$A:$A,'SKU Repoprt'!S$1)</f>
        <v>0</v>
      </c>
      <c r="T110" s="3">
        <f>SUMIFS('Business - Dump'!$G:$G,'Business - Dump'!$D:$D,'SKU Repoprt'!$D110,'Business - Dump'!$A:$A,'SKU Repoprt'!T$1)</f>
        <v>0</v>
      </c>
      <c r="U110" s="3">
        <f>SUMIFS('Business - Dump'!$G:$G,'Business - Dump'!$D:$D,'SKU Repoprt'!$D110,'Business - Dump'!$A:$A,'SKU Repoprt'!U$1)</f>
        <v>0</v>
      </c>
      <c r="V110" s="3">
        <f>SUMIFS('Business - Dump'!$G:$G,'Business - Dump'!$D:$D,'SKU Repoprt'!$D110,'Business - Dump'!$A:$A,'SKU Repoprt'!V$1)</f>
        <v>0</v>
      </c>
      <c r="W110" s="3">
        <f>SUMIFS('Business - Dump'!$G:$G,'Business - Dump'!$D:$D,'SKU Repoprt'!$D110,'Business - Dump'!$A:$A,'SKU Repoprt'!W$1)</f>
        <v>0</v>
      </c>
    </row>
    <row r="111" ht="15.75" customHeight="1">
      <c r="A111" s="10" t="s">
        <v>158</v>
      </c>
      <c r="B111" s="10" t="s">
        <v>158</v>
      </c>
      <c r="C111" s="10"/>
      <c r="D111" s="10" t="s">
        <v>349</v>
      </c>
      <c r="E111" s="10" t="s">
        <v>260</v>
      </c>
      <c r="F111" s="3">
        <f t="shared" si="37"/>
        <v>26</v>
      </c>
      <c r="G111" s="3">
        <f>SUMIFS('Business - Dump'!$K:$K,'Business - Dump'!$D:$D,'SKU Repoprt'!$D111,'Business - Dump'!$A:$A,'SKU Repoprt'!G$1)</f>
        <v>0</v>
      </c>
      <c r="H111" s="3">
        <f>SUMIFS('Business - Dump'!$K:$K,'Business - Dump'!$D:$D,'SKU Repoprt'!$D111,'Business - Dump'!$A:$A,'SKU Repoprt'!H$1)</f>
        <v>0</v>
      </c>
      <c r="I111" s="3">
        <f>SUMIFS('Business - Dump'!$K:$K,'Business - Dump'!$D:$D,'SKU Repoprt'!$D111,'Business - Dump'!$A:$A,'SKU Repoprt'!I$1)</f>
        <v>0</v>
      </c>
      <c r="J111" s="3">
        <f>SUMIFS('Business - Dump'!$K:$K,'Business - Dump'!$D:$D,'SKU Repoprt'!$D111,'Business - Dump'!$A:$A,'SKU Repoprt'!J$1)</f>
        <v>0</v>
      </c>
      <c r="K111" s="3">
        <f>SUMIFS('Business - Dump'!$K:$K,'Business - Dump'!$D:$D,'SKU Repoprt'!$D111,'Business - Dump'!$A:$A,'SKU Repoprt'!K$1)</f>
        <v>0</v>
      </c>
      <c r="L111" s="3">
        <f>SUMIFS('Business - Dump'!$K:$K,'Business - Dump'!$D:$D,'SKU Repoprt'!$D111,'Business - Dump'!$A:$A,'SKU Repoprt'!L$1)</f>
        <v>0</v>
      </c>
      <c r="M111" s="3">
        <f>SUMIFS('Business - Dump'!$K:$K,'Business - Dump'!$D:$D,'SKU Repoprt'!$D111,'Business - Dump'!$A:$A,'SKU Repoprt'!M$1)</f>
        <v>0</v>
      </c>
      <c r="N111" s="3">
        <f>SUMIFS('Business - Dump'!$K:$K,'Business - Dump'!$D:$D,'SKU Repoprt'!$D111,'Business - Dump'!$A:$A,'SKU Repoprt'!N$1)</f>
        <v>0</v>
      </c>
      <c r="O111" s="3">
        <f>SUMIFS('Business - Dump'!$K:$K,'Business - Dump'!$D:$D,'SKU Repoprt'!$D111,'Business - Dump'!$A:$A,'SKU Repoprt'!O$1)</f>
        <v>26</v>
      </c>
      <c r="P111" s="3">
        <f>SUMIFS('Business - Dump'!$K:$K,'Business - Dump'!$D:$D,'SKU Repoprt'!$D111,'Business - Dump'!$A:$A,'SKU Repoprt'!P$1)</f>
        <v>0</v>
      </c>
      <c r="Q111" s="3">
        <f>SUMIFS('Business - Dump'!$K:$K,'Business - Dump'!$D:$D,'SKU Repoprt'!$D111,'Business - Dump'!$A:$A,'SKU Repoprt'!Q$1)</f>
        <v>0</v>
      </c>
      <c r="R111" s="3">
        <f>SUMIFS('Business - Dump'!$K:$K,'Business - Dump'!$D:$D,'SKU Repoprt'!$D111,'Business - Dump'!$A:$A,'SKU Repoprt'!R$1)</f>
        <v>0</v>
      </c>
      <c r="S111" s="3">
        <f>SUMIFS('Business - Dump'!$K:$K,'Business - Dump'!$D:$D,'SKU Repoprt'!$D111,'Business - Dump'!$A:$A,'SKU Repoprt'!S$1)</f>
        <v>0</v>
      </c>
      <c r="T111" s="3">
        <f>SUMIFS('Business - Dump'!$K:$K,'Business - Dump'!$D:$D,'SKU Repoprt'!$D111,'Business - Dump'!$A:$A,'SKU Repoprt'!T$1)</f>
        <v>0</v>
      </c>
      <c r="U111" s="3">
        <f>SUMIFS('Business - Dump'!$K:$K,'Business - Dump'!$D:$D,'SKU Repoprt'!$D111,'Business - Dump'!$A:$A,'SKU Repoprt'!U$1)</f>
        <v>0</v>
      </c>
      <c r="V111" s="3">
        <f>SUMIFS('Business - Dump'!$K:$K,'Business - Dump'!$D:$D,'SKU Repoprt'!$D111,'Business - Dump'!$A:$A,'SKU Repoprt'!V$1)</f>
        <v>0</v>
      </c>
      <c r="W111" s="3">
        <f>SUMIFS('Business - Dump'!$K:$K,'Business - Dump'!$D:$D,'SKU Repoprt'!$D111,'Business - Dump'!$A:$A,'SKU Repoprt'!W$1)</f>
        <v>0</v>
      </c>
    </row>
    <row r="112" ht="15.75" customHeight="1">
      <c r="A112" s="10" t="s">
        <v>158</v>
      </c>
      <c r="B112" s="10" t="s">
        <v>158</v>
      </c>
      <c r="C112" s="10"/>
      <c r="D112" s="10" t="s">
        <v>349</v>
      </c>
      <c r="E112" s="10" t="s">
        <v>264</v>
      </c>
      <c r="F112" s="3">
        <f t="shared" si="37"/>
        <v>0</v>
      </c>
      <c r="G112" s="3">
        <f>SUMIFS('Business - Dump'!$Q:$Q,'Business - Dump'!$D:$D,'SKU Repoprt'!$D112,'Business - Dump'!$A:$A,'SKU Repoprt'!G$1)</f>
        <v>0</v>
      </c>
      <c r="H112" s="3">
        <f>SUMIFS('Business - Dump'!$Q:$Q,'Business - Dump'!$D:$D,'SKU Repoprt'!$D112,'Business - Dump'!$A:$A,'SKU Repoprt'!H$1)</f>
        <v>0</v>
      </c>
      <c r="I112" s="3">
        <f>SUMIFS('Business - Dump'!$Q:$Q,'Business - Dump'!$D:$D,'SKU Repoprt'!$D112,'Business - Dump'!$A:$A,'SKU Repoprt'!I$1)</f>
        <v>0</v>
      </c>
      <c r="J112" s="3">
        <f>SUMIFS('Business - Dump'!$Q:$Q,'Business - Dump'!$D:$D,'SKU Repoprt'!$D112,'Business - Dump'!$A:$A,'SKU Repoprt'!J$1)</f>
        <v>0</v>
      </c>
      <c r="K112" s="3">
        <f>SUMIFS('Business - Dump'!$Q:$Q,'Business - Dump'!$D:$D,'SKU Repoprt'!$D112,'Business - Dump'!$A:$A,'SKU Repoprt'!K$1)</f>
        <v>0</v>
      </c>
      <c r="L112" s="3">
        <f>SUMIFS('Business - Dump'!$Q:$Q,'Business - Dump'!$D:$D,'SKU Repoprt'!$D112,'Business - Dump'!$A:$A,'SKU Repoprt'!L$1)</f>
        <v>0</v>
      </c>
      <c r="M112" s="3">
        <f>SUMIFS('Business - Dump'!$Q:$Q,'Business - Dump'!$D:$D,'SKU Repoprt'!$D112,'Business - Dump'!$A:$A,'SKU Repoprt'!M$1)</f>
        <v>0</v>
      </c>
      <c r="N112" s="3">
        <f>SUMIFS('Business - Dump'!$Q:$Q,'Business - Dump'!$D:$D,'SKU Repoprt'!$D112,'Business - Dump'!$A:$A,'SKU Repoprt'!N$1)</f>
        <v>0</v>
      </c>
      <c r="O112" s="3">
        <f>SUMIFS('Business - Dump'!$Q:$Q,'Business - Dump'!$D:$D,'SKU Repoprt'!$D112,'Business - Dump'!$A:$A,'SKU Repoprt'!O$1)</f>
        <v>0</v>
      </c>
      <c r="P112" s="3">
        <f>SUMIFS('Business - Dump'!$Q:$Q,'Business - Dump'!$D:$D,'SKU Repoprt'!$D112,'Business - Dump'!$A:$A,'SKU Repoprt'!P$1)</f>
        <v>0</v>
      </c>
      <c r="Q112" s="3">
        <f>SUMIFS('Business - Dump'!$Q:$Q,'Business - Dump'!$D:$D,'SKU Repoprt'!$D112,'Business - Dump'!$A:$A,'SKU Repoprt'!Q$1)</f>
        <v>0</v>
      </c>
      <c r="R112" s="3">
        <f>SUMIFS('Business - Dump'!$Q:$Q,'Business - Dump'!$D:$D,'SKU Repoprt'!$D112,'Business - Dump'!$A:$A,'SKU Repoprt'!R$1)</f>
        <v>0</v>
      </c>
      <c r="S112" s="3">
        <f>SUMIFS('Business - Dump'!$Q:$Q,'Business - Dump'!$D:$D,'SKU Repoprt'!$D112,'Business - Dump'!$A:$A,'SKU Repoprt'!S$1)</f>
        <v>0</v>
      </c>
      <c r="T112" s="3">
        <f>SUMIFS('Business - Dump'!$Q:$Q,'Business - Dump'!$D:$D,'SKU Repoprt'!$D112,'Business - Dump'!$A:$A,'SKU Repoprt'!T$1)</f>
        <v>0</v>
      </c>
      <c r="U112" s="3">
        <f>SUMIFS('Business - Dump'!$Q:$Q,'Business - Dump'!$D:$D,'SKU Repoprt'!$D112,'Business - Dump'!$A:$A,'SKU Repoprt'!U$1)</f>
        <v>0</v>
      </c>
      <c r="V112" s="3">
        <f>SUMIFS('Business - Dump'!$Q:$Q,'Business - Dump'!$D:$D,'SKU Repoprt'!$D112,'Business - Dump'!$A:$A,'SKU Repoprt'!V$1)</f>
        <v>0</v>
      </c>
      <c r="W112" s="3">
        <f>SUMIFS('Business - Dump'!$Q:$Q,'Business - Dump'!$D:$D,'SKU Repoprt'!$D112,'Business - Dump'!$A:$A,'SKU Repoprt'!W$1)</f>
        <v>0</v>
      </c>
    </row>
    <row r="113" ht="15.75" customHeight="1">
      <c r="A113" s="10" t="s">
        <v>158</v>
      </c>
      <c r="B113" s="10" t="s">
        <v>158</v>
      </c>
      <c r="C113" s="10"/>
      <c r="D113" s="10" t="s">
        <v>349</v>
      </c>
      <c r="E113" s="10" t="s">
        <v>268</v>
      </c>
      <c r="F113" s="3">
        <f t="shared" si="37"/>
        <v>0</v>
      </c>
      <c r="G113" s="3">
        <f>SUMIFS('Business - Dump'!$W:$W,'Business - Dump'!$D:$D,'SKU Repoprt'!$D113,'Business - Dump'!$A:$A,'SKU Repoprt'!G$1)</f>
        <v>0</v>
      </c>
      <c r="H113" s="3">
        <f>SUMIFS('Business - Dump'!$W:$W,'Business - Dump'!$D:$D,'SKU Repoprt'!$D113,'Business - Dump'!$A:$A,'SKU Repoprt'!H$1)</f>
        <v>0</v>
      </c>
      <c r="I113" s="3">
        <f>SUMIFS('Business - Dump'!$W:$W,'Business - Dump'!$D:$D,'SKU Repoprt'!$D113,'Business - Dump'!$A:$A,'SKU Repoprt'!I$1)</f>
        <v>0</v>
      </c>
      <c r="J113" s="3">
        <f>SUMIFS('Business - Dump'!$W:$W,'Business - Dump'!$D:$D,'SKU Repoprt'!$D113,'Business - Dump'!$A:$A,'SKU Repoprt'!J$1)</f>
        <v>0</v>
      </c>
      <c r="K113" s="3">
        <f>SUMIFS('Business - Dump'!$W:$W,'Business - Dump'!$D:$D,'SKU Repoprt'!$D113,'Business - Dump'!$A:$A,'SKU Repoprt'!K$1)</f>
        <v>0</v>
      </c>
      <c r="L113" s="3">
        <f>SUMIFS('Business - Dump'!$W:$W,'Business - Dump'!$D:$D,'SKU Repoprt'!$D113,'Business - Dump'!$A:$A,'SKU Repoprt'!L$1)</f>
        <v>0</v>
      </c>
      <c r="M113" s="3">
        <f>SUMIFS('Business - Dump'!$W:$W,'Business - Dump'!$D:$D,'SKU Repoprt'!$D113,'Business - Dump'!$A:$A,'SKU Repoprt'!M$1)</f>
        <v>0</v>
      </c>
      <c r="N113" s="3">
        <f>SUMIFS('Business - Dump'!$W:$W,'Business - Dump'!$D:$D,'SKU Repoprt'!$D113,'Business - Dump'!$A:$A,'SKU Repoprt'!N$1)</f>
        <v>0</v>
      </c>
      <c r="O113" s="3">
        <f>SUMIFS('Business - Dump'!$W:$W,'Business - Dump'!$D:$D,'SKU Repoprt'!$D113,'Business - Dump'!$A:$A,'SKU Repoprt'!O$1)</f>
        <v>0</v>
      </c>
      <c r="P113" s="3">
        <f>SUMIFS('Business - Dump'!$W:$W,'Business - Dump'!$D:$D,'SKU Repoprt'!$D113,'Business - Dump'!$A:$A,'SKU Repoprt'!P$1)</f>
        <v>0</v>
      </c>
      <c r="Q113" s="3">
        <f>SUMIFS('Business - Dump'!$W:$W,'Business - Dump'!$D:$D,'SKU Repoprt'!$D113,'Business - Dump'!$A:$A,'SKU Repoprt'!Q$1)</f>
        <v>0</v>
      </c>
      <c r="R113" s="3">
        <f>SUMIFS('Business - Dump'!$W:$W,'Business - Dump'!$D:$D,'SKU Repoprt'!$D113,'Business - Dump'!$A:$A,'SKU Repoprt'!R$1)</f>
        <v>0</v>
      </c>
      <c r="S113" s="3">
        <f>SUMIFS('Business - Dump'!$W:$W,'Business - Dump'!$D:$D,'SKU Repoprt'!$D113,'Business - Dump'!$A:$A,'SKU Repoprt'!S$1)</f>
        <v>0</v>
      </c>
      <c r="T113" s="3">
        <f>SUMIFS('Business - Dump'!$W:$W,'Business - Dump'!$D:$D,'SKU Repoprt'!$D113,'Business - Dump'!$A:$A,'SKU Repoprt'!T$1)</f>
        <v>0</v>
      </c>
      <c r="U113" s="3">
        <f>SUMIFS('Business - Dump'!$W:$W,'Business - Dump'!$D:$D,'SKU Repoprt'!$D113,'Business - Dump'!$A:$A,'SKU Repoprt'!U$1)</f>
        <v>0</v>
      </c>
      <c r="V113" s="3">
        <f>SUMIFS('Business - Dump'!$W:$W,'Business - Dump'!$D:$D,'SKU Repoprt'!$D113,'Business - Dump'!$A:$A,'SKU Repoprt'!V$1)</f>
        <v>0</v>
      </c>
      <c r="W113" s="3">
        <f>SUMIFS('Business - Dump'!$W:$W,'Business - Dump'!$D:$D,'SKU Repoprt'!$D113,'Business - Dump'!$A:$A,'SKU Repoprt'!W$1)</f>
        <v>0</v>
      </c>
    </row>
    <row r="114" ht="15.75" customHeight="1">
      <c r="A114" s="10" t="s">
        <v>158</v>
      </c>
      <c r="B114" s="10" t="s">
        <v>158</v>
      </c>
      <c r="C114" s="10"/>
      <c r="D114" s="10" t="s">
        <v>349</v>
      </c>
      <c r="E114" s="10" t="s">
        <v>26</v>
      </c>
      <c r="F114" s="16">
        <f t="shared" si="37"/>
        <v>0</v>
      </c>
      <c r="G114" s="16">
        <f>SUMIFS('Business - Dump'!$U:$U,'Business - Dump'!$D:$D,'SKU Repoprt'!$D114,'Business - Dump'!$A:$A,'SKU Repoprt'!G$1)</f>
        <v>0</v>
      </c>
      <c r="H114" s="16">
        <f>SUMIFS('Business - Dump'!$U:$U,'Business - Dump'!$D:$D,'SKU Repoprt'!$D114,'Business - Dump'!$A:$A,'SKU Repoprt'!H$1)</f>
        <v>0</v>
      </c>
      <c r="I114" s="16">
        <f>SUMIFS('Business - Dump'!$U:$U,'Business - Dump'!$D:$D,'SKU Repoprt'!$D114,'Business - Dump'!$A:$A,'SKU Repoprt'!I$1)</f>
        <v>0</v>
      </c>
      <c r="J114" s="16">
        <f>SUMIFS('Business - Dump'!$U:$U,'Business - Dump'!$D:$D,'SKU Repoprt'!$D114,'Business - Dump'!$A:$A,'SKU Repoprt'!J$1)</f>
        <v>0</v>
      </c>
      <c r="K114" s="16">
        <f>SUMIFS('Business - Dump'!$U:$U,'Business - Dump'!$D:$D,'SKU Repoprt'!$D114,'Business - Dump'!$A:$A,'SKU Repoprt'!K$1)</f>
        <v>0</v>
      </c>
      <c r="L114" s="16">
        <f>SUMIFS('Business - Dump'!$U:$U,'Business - Dump'!$D:$D,'SKU Repoprt'!$D114,'Business - Dump'!$A:$A,'SKU Repoprt'!L$1)</f>
        <v>0</v>
      </c>
      <c r="M114" s="16">
        <f>SUMIFS('Business - Dump'!$U:$U,'Business - Dump'!$D:$D,'SKU Repoprt'!$D114,'Business - Dump'!$A:$A,'SKU Repoprt'!M$1)</f>
        <v>0</v>
      </c>
      <c r="N114" s="16">
        <f>SUMIFS('Business - Dump'!$U:$U,'Business - Dump'!$D:$D,'SKU Repoprt'!$D114,'Business - Dump'!$A:$A,'SKU Repoprt'!N$1)</f>
        <v>0</v>
      </c>
      <c r="O114" s="16">
        <f>SUMIFS('Business - Dump'!$U:$U,'Business - Dump'!$D:$D,'SKU Repoprt'!$D114,'Business - Dump'!$A:$A,'SKU Repoprt'!O$1)</f>
        <v>0</v>
      </c>
      <c r="P114" s="16">
        <f>SUMIFS('Business - Dump'!$U:$U,'Business - Dump'!$D:$D,'SKU Repoprt'!$D114,'Business - Dump'!$A:$A,'SKU Repoprt'!P$1)</f>
        <v>0</v>
      </c>
      <c r="Q114" s="16">
        <f>SUMIFS('Business - Dump'!$U:$U,'Business - Dump'!$D:$D,'SKU Repoprt'!$D114,'Business - Dump'!$A:$A,'SKU Repoprt'!Q$1)</f>
        <v>0</v>
      </c>
      <c r="R114" s="16">
        <f>SUMIFS('Business - Dump'!$U:$U,'Business - Dump'!$D:$D,'SKU Repoprt'!$D114,'Business - Dump'!$A:$A,'SKU Repoprt'!R$1)</f>
        <v>0</v>
      </c>
      <c r="S114" s="16">
        <f>SUMIFS('Business - Dump'!$U:$U,'Business - Dump'!$D:$D,'SKU Repoprt'!$D114,'Business - Dump'!$A:$A,'SKU Repoprt'!S$1)</f>
        <v>0</v>
      </c>
      <c r="T114" s="16">
        <f>SUMIFS('Business - Dump'!$U:$U,'Business - Dump'!$D:$D,'SKU Repoprt'!$D114,'Business - Dump'!$A:$A,'SKU Repoprt'!T$1)</f>
        <v>0</v>
      </c>
      <c r="U114" s="16">
        <f>SUMIFS('Business - Dump'!$U:$U,'Business - Dump'!$D:$D,'SKU Repoprt'!$D114,'Business - Dump'!$A:$A,'SKU Repoprt'!U$1)</f>
        <v>0</v>
      </c>
      <c r="V114" s="16">
        <f>SUMIFS('Business - Dump'!$U:$U,'Business - Dump'!$D:$D,'SKU Repoprt'!$D114,'Business - Dump'!$A:$A,'SKU Repoprt'!V$1)</f>
        <v>0</v>
      </c>
      <c r="W114" s="16">
        <f>SUMIFS('Business - Dump'!$U:$U,'Business - Dump'!$D:$D,'SKU Repoprt'!$D114,'Business - Dump'!$A:$A,'SKU Repoprt'!W$1)</f>
        <v>0</v>
      </c>
    </row>
    <row r="115" ht="15.75" customHeight="1">
      <c r="A115" s="10" t="s">
        <v>158</v>
      </c>
      <c r="B115" s="10" t="s">
        <v>158</v>
      </c>
      <c r="C115" s="10"/>
      <c r="D115" s="10" t="s">
        <v>349</v>
      </c>
      <c r="E115" s="10" t="s">
        <v>29</v>
      </c>
      <c r="F115" s="17">
        <v>0.027042857142857143</v>
      </c>
      <c r="G115" s="17">
        <f t="shared" ref="G115:W115" si="38">IFERROR(G113/G110,0)</f>
        <v>0</v>
      </c>
      <c r="H115" s="17">
        <f t="shared" si="38"/>
        <v>0</v>
      </c>
      <c r="I115" s="17">
        <f t="shared" si="38"/>
        <v>0</v>
      </c>
      <c r="J115" s="17">
        <f t="shared" si="38"/>
        <v>0</v>
      </c>
      <c r="K115" s="17">
        <f t="shared" si="38"/>
        <v>0</v>
      </c>
      <c r="L115" s="17">
        <f t="shared" si="38"/>
        <v>0</v>
      </c>
      <c r="M115" s="17">
        <f t="shared" si="38"/>
        <v>0</v>
      </c>
      <c r="N115" s="17">
        <f t="shared" si="38"/>
        <v>0</v>
      </c>
      <c r="O115" s="17">
        <f t="shared" si="38"/>
        <v>0</v>
      </c>
      <c r="P115" s="17">
        <f t="shared" si="38"/>
        <v>0</v>
      </c>
      <c r="Q115" s="17">
        <f t="shared" si="38"/>
        <v>0</v>
      </c>
      <c r="R115" s="17">
        <f t="shared" si="38"/>
        <v>0</v>
      </c>
      <c r="S115" s="17">
        <f t="shared" si="38"/>
        <v>0</v>
      </c>
      <c r="T115" s="17">
        <f t="shared" si="38"/>
        <v>0</v>
      </c>
      <c r="U115" s="17">
        <f t="shared" si="38"/>
        <v>0</v>
      </c>
      <c r="V115" s="17">
        <f t="shared" si="38"/>
        <v>0</v>
      </c>
      <c r="W115" s="17">
        <f t="shared" si="38"/>
        <v>0</v>
      </c>
    </row>
    <row r="116" ht="15.75" customHeight="1">
      <c r="A116" s="10" t="s">
        <v>158</v>
      </c>
      <c r="B116" s="10" t="s">
        <v>158</v>
      </c>
      <c r="C116" s="10"/>
      <c r="D116" s="10" t="s">
        <v>351</v>
      </c>
      <c r="E116" s="10" t="s">
        <v>257</v>
      </c>
      <c r="F116" s="3">
        <f t="shared" ref="F116:F120" si="39">SUM(G116:S116)</f>
        <v>3</v>
      </c>
      <c r="G116" s="3">
        <f>SUMIFS('Business - Dump'!$G:$G,'Business - Dump'!$D:$D,'SKU Repoprt'!$D116,'Business - Dump'!$A:$A,'SKU Repoprt'!G$1)</f>
        <v>0</v>
      </c>
      <c r="H116" s="3">
        <f>SUMIFS('Business - Dump'!$G:$G,'Business - Dump'!$D:$D,'SKU Repoprt'!$D116,'Business - Dump'!$A:$A,'SKU Repoprt'!H$1)</f>
        <v>0</v>
      </c>
      <c r="I116" s="3">
        <f>SUMIFS('Business - Dump'!$G:$G,'Business - Dump'!$D:$D,'SKU Repoprt'!$D116,'Business - Dump'!$A:$A,'SKU Repoprt'!I$1)</f>
        <v>0</v>
      </c>
      <c r="J116" s="3">
        <f>SUMIFS('Business - Dump'!$G:$G,'Business - Dump'!$D:$D,'SKU Repoprt'!$D116,'Business - Dump'!$A:$A,'SKU Repoprt'!J$1)</f>
        <v>0</v>
      </c>
      <c r="K116" s="3">
        <f>SUMIFS('Business - Dump'!$G:$G,'Business - Dump'!$D:$D,'SKU Repoprt'!$D116,'Business - Dump'!$A:$A,'SKU Repoprt'!K$1)</f>
        <v>0</v>
      </c>
      <c r="L116" s="3">
        <f>SUMIFS('Business - Dump'!$G:$G,'Business - Dump'!$D:$D,'SKU Repoprt'!$D116,'Business - Dump'!$A:$A,'SKU Repoprt'!L$1)</f>
        <v>0</v>
      </c>
      <c r="M116" s="3">
        <f>SUMIFS('Business - Dump'!$G:$G,'Business - Dump'!$D:$D,'SKU Repoprt'!$D116,'Business - Dump'!$A:$A,'SKU Repoprt'!M$1)</f>
        <v>0</v>
      </c>
      <c r="N116" s="3">
        <f>SUMIFS('Business - Dump'!$G:$G,'Business - Dump'!$D:$D,'SKU Repoprt'!$D116,'Business - Dump'!$A:$A,'SKU Repoprt'!N$1)</f>
        <v>0</v>
      </c>
      <c r="O116" s="3">
        <f>SUMIFS('Business - Dump'!$G:$G,'Business - Dump'!$D:$D,'SKU Repoprt'!$D116,'Business - Dump'!$A:$A,'SKU Repoprt'!O$1)</f>
        <v>3</v>
      </c>
      <c r="P116" s="3">
        <f>SUMIFS('Business - Dump'!$G:$G,'Business - Dump'!$D:$D,'SKU Repoprt'!$D116,'Business - Dump'!$A:$A,'SKU Repoprt'!P$1)</f>
        <v>0</v>
      </c>
      <c r="Q116" s="3">
        <f>SUMIFS('Business - Dump'!$G:$G,'Business - Dump'!$D:$D,'SKU Repoprt'!$D116,'Business - Dump'!$A:$A,'SKU Repoprt'!Q$1)</f>
        <v>0</v>
      </c>
      <c r="R116" s="3">
        <f>SUMIFS('Business - Dump'!$G:$G,'Business - Dump'!$D:$D,'SKU Repoprt'!$D116,'Business - Dump'!$A:$A,'SKU Repoprt'!R$1)</f>
        <v>0</v>
      </c>
      <c r="S116" s="3">
        <f>SUMIFS('Business - Dump'!$G:$G,'Business - Dump'!$D:$D,'SKU Repoprt'!$D116,'Business - Dump'!$A:$A,'SKU Repoprt'!S$1)</f>
        <v>0</v>
      </c>
      <c r="T116" s="3">
        <f>SUMIFS('Business - Dump'!$G:$G,'Business - Dump'!$D:$D,'SKU Repoprt'!$D116,'Business - Dump'!$A:$A,'SKU Repoprt'!T$1)</f>
        <v>0</v>
      </c>
      <c r="U116" s="3">
        <f>SUMIFS('Business - Dump'!$G:$G,'Business - Dump'!$D:$D,'SKU Repoprt'!$D116,'Business - Dump'!$A:$A,'SKU Repoprt'!U$1)</f>
        <v>0</v>
      </c>
      <c r="V116" s="3">
        <f>SUMIFS('Business - Dump'!$G:$G,'Business - Dump'!$D:$D,'SKU Repoprt'!$D116,'Business - Dump'!$A:$A,'SKU Repoprt'!V$1)</f>
        <v>0</v>
      </c>
      <c r="W116" s="3">
        <f>SUMIFS('Business - Dump'!$G:$G,'Business - Dump'!$D:$D,'SKU Repoprt'!$D116,'Business - Dump'!$A:$A,'SKU Repoprt'!W$1)</f>
        <v>0</v>
      </c>
    </row>
    <row r="117" ht="15.75" customHeight="1">
      <c r="A117" s="10" t="s">
        <v>158</v>
      </c>
      <c r="B117" s="10" t="s">
        <v>158</v>
      </c>
      <c r="C117" s="10"/>
      <c r="D117" s="10" t="s">
        <v>351</v>
      </c>
      <c r="E117" s="10" t="s">
        <v>260</v>
      </c>
      <c r="F117" s="3">
        <f t="shared" si="39"/>
        <v>10</v>
      </c>
      <c r="G117" s="3">
        <f>SUMIFS('Business - Dump'!$K:$K,'Business - Dump'!$D:$D,'SKU Repoprt'!$D117,'Business - Dump'!$A:$A,'SKU Repoprt'!G$1)</f>
        <v>0</v>
      </c>
      <c r="H117" s="3">
        <f>SUMIFS('Business - Dump'!$K:$K,'Business - Dump'!$D:$D,'SKU Repoprt'!$D117,'Business - Dump'!$A:$A,'SKU Repoprt'!H$1)</f>
        <v>0</v>
      </c>
      <c r="I117" s="3">
        <f>SUMIFS('Business - Dump'!$K:$K,'Business - Dump'!$D:$D,'SKU Repoprt'!$D117,'Business - Dump'!$A:$A,'SKU Repoprt'!I$1)</f>
        <v>0</v>
      </c>
      <c r="J117" s="3">
        <f>SUMIFS('Business - Dump'!$K:$K,'Business - Dump'!$D:$D,'SKU Repoprt'!$D117,'Business - Dump'!$A:$A,'SKU Repoprt'!J$1)</f>
        <v>0</v>
      </c>
      <c r="K117" s="3">
        <f>SUMIFS('Business - Dump'!$K:$K,'Business - Dump'!$D:$D,'SKU Repoprt'!$D117,'Business - Dump'!$A:$A,'SKU Repoprt'!K$1)</f>
        <v>0</v>
      </c>
      <c r="L117" s="3">
        <f>SUMIFS('Business - Dump'!$K:$K,'Business - Dump'!$D:$D,'SKU Repoprt'!$D117,'Business - Dump'!$A:$A,'SKU Repoprt'!L$1)</f>
        <v>0</v>
      </c>
      <c r="M117" s="3">
        <f>SUMIFS('Business - Dump'!$K:$K,'Business - Dump'!$D:$D,'SKU Repoprt'!$D117,'Business - Dump'!$A:$A,'SKU Repoprt'!M$1)</f>
        <v>0</v>
      </c>
      <c r="N117" s="3">
        <f>SUMIFS('Business - Dump'!$K:$K,'Business - Dump'!$D:$D,'SKU Repoprt'!$D117,'Business - Dump'!$A:$A,'SKU Repoprt'!N$1)</f>
        <v>0</v>
      </c>
      <c r="O117" s="3">
        <f>SUMIFS('Business - Dump'!$K:$K,'Business - Dump'!$D:$D,'SKU Repoprt'!$D117,'Business - Dump'!$A:$A,'SKU Repoprt'!O$1)</f>
        <v>10</v>
      </c>
      <c r="P117" s="3">
        <f>SUMIFS('Business - Dump'!$K:$K,'Business - Dump'!$D:$D,'SKU Repoprt'!$D117,'Business - Dump'!$A:$A,'SKU Repoprt'!P$1)</f>
        <v>0</v>
      </c>
      <c r="Q117" s="3">
        <f>SUMIFS('Business - Dump'!$K:$K,'Business - Dump'!$D:$D,'SKU Repoprt'!$D117,'Business - Dump'!$A:$A,'SKU Repoprt'!Q$1)</f>
        <v>0</v>
      </c>
      <c r="R117" s="3">
        <f>SUMIFS('Business - Dump'!$K:$K,'Business - Dump'!$D:$D,'SKU Repoprt'!$D117,'Business - Dump'!$A:$A,'SKU Repoprt'!R$1)</f>
        <v>0</v>
      </c>
      <c r="S117" s="3">
        <f>SUMIFS('Business - Dump'!$K:$K,'Business - Dump'!$D:$D,'SKU Repoprt'!$D117,'Business - Dump'!$A:$A,'SKU Repoprt'!S$1)</f>
        <v>0</v>
      </c>
      <c r="T117" s="3">
        <f>SUMIFS('Business - Dump'!$K:$K,'Business - Dump'!$D:$D,'SKU Repoprt'!$D117,'Business - Dump'!$A:$A,'SKU Repoprt'!T$1)</f>
        <v>0</v>
      </c>
      <c r="U117" s="3">
        <f>SUMIFS('Business - Dump'!$K:$K,'Business - Dump'!$D:$D,'SKU Repoprt'!$D117,'Business - Dump'!$A:$A,'SKU Repoprt'!U$1)</f>
        <v>0</v>
      </c>
      <c r="V117" s="3">
        <f>SUMIFS('Business - Dump'!$K:$K,'Business - Dump'!$D:$D,'SKU Repoprt'!$D117,'Business - Dump'!$A:$A,'SKU Repoprt'!V$1)</f>
        <v>0</v>
      </c>
      <c r="W117" s="3">
        <f>SUMIFS('Business - Dump'!$K:$K,'Business - Dump'!$D:$D,'SKU Repoprt'!$D117,'Business - Dump'!$A:$A,'SKU Repoprt'!W$1)</f>
        <v>0</v>
      </c>
    </row>
    <row r="118" ht="15.75" customHeight="1">
      <c r="A118" s="10" t="s">
        <v>158</v>
      </c>
      <c r="B118" s="10" t="s">
        <v>158</v>
      </c>
      <c r="C118" s="10"/>
      <c r="D118" s="10" t="s">
        <v>351</v>
      </c>
      <c r="E118" s="10" t="s">
        <v>264</v>
      </c>
      <c r="F118" s="3">
        <f t="shared" si="39"/>
        <v>0</v>
      </c>
      <c r="G118" s="3">
        <f>SUMIFS('Business - Dump'!$Q:$Q,'Business - Dump'!$D:$D,'SKU Repoprt'!$D118,'Business - Dump'!$A:$A,'SKU Repoprt'!G$1)</f>
        <v>0</v>
      </c>
      <c r="H118" s="3">
        <f>SUMIFS('Business - Dump'!$Q:$Q,'Business - Dump'!$D:$D,'SKU Repoprt'!$D118,'Business - Dump'!$A:$A,'SKU Repoprt'!H$1)</f>
        <v>0</v>
      </c>
      <c r="I118" s="3">
        <f>SUMIFS('Business - Dump'!$Q:$Q,'Business - Dump'!$D:$D,'SKU Repoprt'!$D118,'Business - Dump'!$A:$A,'SKU Repoprt'!I$1)</f>
        <v>0</v>
      </c>
      <c r="J118" s="3">
        <f>SUMIFS('Business - Dump'!$Q:$Q,'Business - Dump'!$D:$D,'SKU Repoprt'!$D118,'Business - Dump'!$A:$A,'SKU Repoprt'!J$1)</f>
        <v>0</v>
      </c>
      <c r="K118" s="3">
        <f>SUMIFS('Business - Dump'!$Q:$Q,'Business - Dump'!$D:$D,'SKU Repoprt'!$D118,'Business - Dump'!$A:$A,'SKU Repoprt'!K$1)</f>
        <v>0</v>
      </c>
      <c r="L118" s="3">
        <f>SUMIFS('Business - Dump'!$Q:$Q,'Business - Dump'!$D:$D,'SKU Repoprt'!$D118,'Business - Dump'!$A:$A,'SKU Repoprt'!L$1)</f>
        <v>0</v>
      </c>
      <c r="M118" s="3">
        <f>SUMIFS('Business - Dump'!$Q:$Q,'Business - Dump'!$D:$D,'SKU Repoprt'!$D118,'Business - Dump'!$A:$A,'SKU Repoprt'!M$1)</f>
        <v>0</v>
      </c>
      <c r="N118" s="3">
        <f>SUMIFS('Business - Dump'!$Q:$Q,'Business - Dump'!$D:$D,'SKU Repoprt'!$D118,'Business - Dump'!$A:$A,'SKU Repoprt'!N$1)</f>
        <v>0</v>
      </c>
      <c r="O118" s="3">
        <f>SUMIFS('Business - Dump'!$Q:$Q,'Business - Dump'!$D:$D,'SKU Repoprt'!$D118,'Business - Dump'!$A:$A,'SKU Repoprt'!O$1)</f>
        <v>0</v>
      </c>
      <c r="P118" s="3">
        <f>SUMIFS('Business - Dump'!$Q:$Q,'Business - Dump'!$D:$D,'SKU Repoprt'!$D118,'Business - Dump'!$A:$A,'SKU Repoprt'!P$1)</f>
        <v>0</v>
      </c>
      <c r="Q118" s="3">
        <f>SUMIFS('Business - Dump'!$Q:$Q,'Business - Dump'!$D:$D,'SKU Repoprt'!$D118,'Business - Dump'!$A:$A,'SKU Repoprt'!Q$1)</f>
        <v>0</v>
      </c>
      <c r="R118" s="3">
        <f>SUMIFS('Business - Dump'!$Q:$Q,'Business - Dump'!$D:$D,'SKU Repoprt'!$D118,'Business - Dump'!$A:$A,'SKU Repoprt'!R$1)</f>
        <v>0</v>
      </c>
      <c r="S118" s="3">
        <f>SUMIFS('Business - Dump'!$Q:$Q,'Business - Dump'!$D:$D,'SKU Repoprt'!$D118,'Business - Dump'!$A:$A,'SKU Repoprt'!S$1)</f>
        <v>0</v>
      </c>
      <c r="T118" s="3">
        <f>SUMIFS('Business - Dump'!$Q:$Q,'Business - Dump'!$D:$D,'SKU Repoprt'!$D118,'Business - Dump'!$A:$A,'SKU Repoprt'!T$1)</f>
        <v>0</v>
      </c>
      <c r="U118" s="3">
        <f>SUMIFS('Business - Dump'!$Q:$Q,'Business - Dump'!$D:$D,'SKU Repoprt'!$D118,'Business - Dump'!$A:$A,'SKU Repoprt'!U$1)</f>
        <v>0</v>
      </c>
      <c r="V118" s="3">
        <f>SUMIFS('Business - Dump'!$Q:$Q,'Business - Dump'!$D:$D,'SKU Repoprt'!$D118,'Business - Dump'!$A:$A,'SKU Repoprt'!V$1)</f>
        <v>0</v>
      </c>
      <c r="W118" s="3">
        <f>SUMIFS('Business - Dump'!$Q:$Q,'Business - Dump'!$D:$D,'SKU Repoprt'!$D118,'Business - Dump'!$A:$A,'SKU Repoprt'!W$1)</f>
        <v>0</v>
      </c>
    </row>
    <row r="119" ht="15.75" customHeight="1">
      <c r="A119" s="10" t="s">
        <v>158</v>
      </c>
      <c r="B119" s="10" t="s">
        <v>158</v>
      </c>
      <c r="C119" s="10"/>
      <c r="D119" s="10" t="s">
        <v>351</v>
      </c>
      <c r="E119" s="10" t="s">
        <v>268</v>
      </c>
      <c r="F119" s="3">
        <f t="shared" si="39"/>
        <v>0</v>
      </c>
      <c r="G119" s="3">
        <f>SUMIFS('Business - Dump'!$W:$W,'Business - Dump'!$D:$D,'SKU Repoprt'!$D119,'Business - Dump'!$A:$A,'SKU Repoprt'!G$1)</f>
        <v>0</v>
      </c>
      <c r="H119" s="3">
        <f>SUMIFS('Business - Dump'!$W:$W,'Business - Dump'!$D:$D,'SKU Repoprt'!$D119,'Business - Dump'!$A:$A,'SKU Repoprt'!H$1)</f>
        <v>0</v>
      </c>
      <c r="I119" s="3">
        <f>SUMIFS('Business - Dump'!$W:$W,'Business - Dump'!$D:$D,'SKU Repoprt'!$D119,'Business - Dump'!$A:$A,'SKU Repoprt'!I$1)</f>
        <v>0</v>
      </c>
      <c r="J119" s="3">
        <f>SUMIFS('Business - Dump'!$W:$W,'Business - Dump'!$D:$D,'SKU Repoprt'!$D119,'Business - Dump'!$A:$A,'SKU Repoprt'!J$1)</f>
        <v>0</v>
      </c>
      <c r="K119" s="3">
        <f>SUMIFS('Business - Dump'!$W:$W,'Business - Dump'!$D:$D,'SKU Repoprt'!$D119,'Business - Dump'!$A:$A,'SKU Repoprt'!K$1)</f>
        <v>0</v>
      </c>
      <c r="L119" s="3">
        <f>SUMIFS('Business - Dump'!$W:$W,'Business - Dump'!$D:$D,'SKU Repoprt'!$D119,'Business - Dump'!$A:$A,'SKU Repoprt'!L$1)</f>
        <v>0</v>
      </c>
      <c r="M119" s="3">
        <f>SUMIFS('Business - Dump'!$W:$W,'Business - Dump'!$D:$D,'SKU Repoprt'!$D119,'Business - Dump'!$A:$A,'SKU Repoprt'!M$1)</f>
        <v>0</v>
      </c>
      <c r="N119" s="3">
        <f>SUMIFS('Business - Dump'!$W:$W,'Business - Dump'!$D:$D,'SKU Repoprt'!$D119,'Business - Dump'!$A:$A,'SKU Repoprt'!N$1)</f>
        <v>0</v>
      </c>
      <c r="O119" s="3">
        <f>SUMIFS('Business - Dump'!$W:$W,'Business - Dump'!$D:$D,'SKU Repoprt'!$D119,'Business - Dump'!$A:$A,'SKU Repoprt'!O$1)</f>
        <v>0</v>
      </c>
      <c r="P119" s="3">
        <f>SUMIFS('Business - Dump'!$W:$W,'Business - Dump'!$D:$D,'SKU Repoprt'!$D119,'Business - Dump'!$A:$A,'SKU Repoprt'!P$1)</f>
        <v>0</v>
      </c>
      <c r="Q119" s="3">
        <f>SUMIFS('Business - Dump'!$W:$W,'Business - Dump'!$D:$D,'SKU Repoprt'!$D119,'Business - Dump'!$A:$A,'SKU Repoprt'!Q$1)</f>
        <v>0</v>
      </c>
      <c r="R119" s="3">
        <f>SUMIFS('Business - Dump'!$W:$W,'Business - Dump'!$D:$D,'SKU Repoprt'!$D119,'Business - Dump'!$A:$A,'SKU Repoprt'!R$1)</f>
        <v>0</v>
      </c>
      <c r="S119" s="3">
        <f>SUMIFS('Business - Dump'!$W:$W,'Business - Dump'!$D:$D,'SKU Repoprt'!$D119,'Business - Dump'!$A:$A,'SKU Repoprt'!S$1)</f>
        <v>0</v>
      </c>
      <c r="T119" s="3">
        <f>SUMIFS('Business - Dump'!$W:$W,'Business - Dump'!$D:$D,'SKU Repoprt'!$D119,'Business - Dump'!$A:$A,'SKU Repoprt'!T$1)</f>
        <v>0</v>
      </c>
      <c r="U119" s="3">
        <f>SUMIFS('Business - Dump'!$W:$W,'Business - Dump'!$D:$D,'SKU Repoprt'!$D119,'Business - Dump'!$A:$A,'SKU Repoprt'!U$1)</f>
        <v>0</v>
      </c>
      <c r="V119" s="3">
        <f>SUMIFS('Business - Dump'!$W:$W,'Business - Dump'!$D:$D,'SKU Repoprt'!$D119,'Business - Dump'!$A:$A,'SKU Repoprt'!V$1)</f>
        <v>0</v>
      </c>
      <c r="W119" s="3">
        <f>SUMIFS('Business - Dump'!$W:$W,'Business - Dump'!$D:$D,'SKU Repoprt'!$D119,'Business - Dump'!$A:$A,'SKU Repoprt'!W$1)</f>
        <v>0</v>
      </c>
    </row>
    <row r="120" ht="15.75" customHeight="1">
      <c r="A120" s="10" t="s">
        <v>158</v>
      </c>
      <c r="B120" s="10" t="s">
        <v>158</v>
      </c>
      <c r="C120" s="10"/>
      <c r="D120" s="10" t="s">
        <v>351</v>
      </c>
      <c r="E120" s="10" t="s">
        <v>26</v>
      </c>
      <c r="F120" s="16">
        <f t="shared" si="39"/>
        <v>0</v>
      </c>
      <c r="G120" s="16">
        <f>SUMIFS('Business - Dump'!$U:$U,'Business - Dump'!$D:$D,'SKU Repoprt'!$D120,'Business - Dump'!$A:$A,'SKU Repoprt'!G$1)</f>
        <v>0</v>
      </c>
      <c r="H120" s="16">
        <f>SUMIFS('Business - Dump'!$U:$U,'Business - Dump'!$D:$D,'SKU Repoprt'!$D120,'Business - Dump'!$A:$A,'SKU Repoprt'!H$1)</f>
        <v>0</v>
      </c>
      <c r="I120" s="16">
        <f>SUMIFS('Business - Dump'!$U:$U,'Business - Dump'!$D:$D,'SKU Repoprt'!$D120,'Business - Dump'!$A:$A,'SKU Repoprt'!I$1)</f>
        <v>0</v>
      </c>
      <c r="J120" s="16">
        <f>SUMIFS('Business - Dump'!$U:$U,'Business - Dump'!$D:$D,'SKU Repoprt'!$D120,'Business - Dump'!$A:$A,'SKU Repoprt'!J$1)</f>
        <v>0</v>
      </c>
      <c r="K120" s="16">
        <f>SUMIFS('Business - Dump'!$U:$U,'Business - Dump'!$D:$D,'SKU Repoprt'!$D120,'Business - Dump'!$A:$A,'SKU Repoprt'!K$1)</f>
        <v>0</v>
      </c>
      <c r="L120" s="16">
        <f>SUMIFS('Business - Dump'!$U:$U,'Business - Dump'!$D:$D,'SKU Repoprt'!$D120,'Business - Dump'!$A:$A,'SKU Repoprt'!L$1)</f>
        <v>0</v>
      </c>
      <c r="M120" s="16">
        <f>SUMIFS('Business - Dump'!$U:$U,'Business - Dump'!$D:$D,'SKU Repoprt'!$D120,'Business - Dump'!$A:$A,'SKU Repoprt'!M$1)</f>
        <v>0</v>
      </c>
      <c r="N120" s="16">
        <f>SUMIFS('Business - Dump'!$U:$U,'Business - Dump'!$D:$D,'SKU Repoprt'!$D120,'Business - Dump'!$A:$A,'SKU Repoprt'!N$1)</f>
        <v>0</v>
      </c>
      <c r="O120" s="16">
        <f>SUMIFS('Business - Dump'!$U:$U,'Business - Dump'!$D:$D,'SKU Repoprt'!$D120,'Business - Dump'!$A:$A,'SKU Repoprt'!O$1)</f>
        <v>0</v>
      </c>
      <c r="P120" s="16">
        <f>SUMIFS('Business - Dump'!$U:$U,'Business - Dump'!$D:$D,'SKU Repoprt'!$D120,'Business - Dump'!$A:$A,'SKU Repoprt'!P$1)</f>
        <v>0</v>
      </c>
      <c r="Q120" s="16">
        <f>SUMIFS('Business - Dump'!$U:$U,'Business - Dump'!$D:$D,'SKU Repoprt'!$D120,'Business - Dump'!$A:$A,'SKU Repoprt'!Q$1)</f>
        <v>0</v>
      </c>
      <c r="R120" s="16">
        <f>SUMIFS('Business - Dump'!$U:$U,'Business - Dump'!$D:$D,'SKU Repoprt'!$D120,'Business - Dump'!$A:$A,'SKU Repoprt'!R$1)</f>
        <v>0</v>
      </c>
      <c r="S120" s="16">
        <f>SUMIFS('Business - Dump'!$U:$U,'Business - Dump'!$D:$D,'SKU Repoprt'!$D120,'Business - Dump'!$A:$A,'SKU Repoprt'!S$1)</f>
        <v>0</v>
      </c>
      <c r="T120" s="16">
        <f>SUMIFS('Business - Dump'!$U:$U,'Business - Dump'!$D:$D,'SKU Repoprt'!$D120,'Business - Dump'!$A:$A,'SKU Repoprt'!T$1)</f>
        <v>0</v>
      </c>
      <c r="U120" s="16">
        <f>SUMIFS('Business - Dump'!$U:$U,'Business - Dump'!$D:$D,'SKU Repoprt'!$D120,'Business - Dump'!$A:$A,'SKU Repoprt'!U$1)</f>
        <v>0</v>
      </c>
      <c r="V120" s="16">
        <f>SUMIFS('Business - Dump'!$U:$U,'Business - Dump'!$D:$D,'SKU Repoprt'!$D120,'Business - Dump'!$A:$A,'SKU Repoprt'!V$1)</f>
        <v>0</v>
      </c>
      <c r="W120" s="16">
        <f>SUMIFS('Business - Dump'!$U:$U,'Business - Dump'!$D:$D,'SKU Repoprt'!$D120,'Business - Dump'!$A:$A,'SKU Repoprt'!W$1)</f>
        <v>0</v>
      </c>
    </row>
    <row r="121" ht="15.75" customHeight="1">
      <c r="A121" s="10" t="s">
        <v>158</v>
      </c>
      <c r="B121" s="10" t="s">
        <v>158</v>
      </c>
      <c r="C121" s="10"/>
      <c r="D121" s="10" t="s">
        <v>351</v>
      </c>
      <c r="E121" s="10" t="s">
        <v>29</v>
      </c>
      <c r="F121" s="17">
        <v>0.027042857142857143</v>
      </c>
      <c r="G121" s="17">
        <f t="shared" ref="G121:W121" si="40">IFERROR(G119/G116,0)</f>
        <v>0</v>
      </c>
      <c r="H121" s="17">
        <f t="shared" si="40"/>
        <v>0</v>
      </c>
      <c r="I121" s="17">
        <f t="shared" si="40"/>
        <v>0</v>
      </c>
      <c r="J121" s="17">
        <f t="shared" si="40"/>
        <v>0</v>
      </c>
      <c r="K121" s="17">
        <f t="shared" si="40"/>
        <v>0</v>
      </c>
      <c r="L121" s="17">
        <f t="shared" si="40"/>
        <v>0</v>
      </c>
      <c r="M121" s="17">
        <f t="shared" si="40"/>
        <v>0</v>
      </c>
      <c r="N121" s="17">
        <f t="shared" si="40"/>
        <v>0</v>
      </c>
      <c r="O121" s="17">
        <f t="shared" si="40"/>
        <v>0</v>
      </c>
      <c r="P121" s="17">
        <f t="shared" si="40"/>
        <v>0</v>
      </c>
      <c r="Q121" s="17">
        <f t="shared" si="40"/>
        <v>0</v>
      </c>
      <c r="R121" s="17">
        <f t="shared" si="40"/>
        <v>0</v>
      </c>
      <c r="S121" s="17">
        <f t="shared" si="40"/>
        <v>0</v>
      </c>
      <c r="T121" s="17">
        <f t="shared" si="40"/>
        <v>0</v>
      </c>
      <c r="U121" s="17">
        <f t="shared" si="40"/>
        <v>0</v>
      </c>
      <c r="V121" s="17">
        <f t="shared" si="40"/>
        <v>0</v>
      </c>
      <c r="W121" s="17">
        <f t="shared" si="40"/>
        <v>0</v>
      </c>
    </row>
    <row r="122" ht="15.75" customHeight="1">
      <c r="A122" s="10" t="s">
        <v>158</v>
      </c>
      <c r="B122" s="10" t="s">
        <v>158</v>
      </c>
      <c r="C122" s="10"/>
      <c r="D122" s="10" t="s">
        <v>353</v>
      </c>
      <c r="E122" s="10" t="s">
        <v>257</v>
      </c>
      <c r="F122" s="3">
        <f t="shared" ref="F122:F126" si="41">SUM(G122:S122)</f>
        <v>6394</v>
      </c>
      <c r="G122" s="3">
        <f>SUMIFS('Business - Dump'!$G:$G,'Business - Dump'!$D:$D,'SKU Repoprt'!$D122,'Business - Dump'!$A:$A,'SKU Repoprt'!G$1)</f>
        <v>0</v>
      </c>
      <c r="H122" s="3">
        <f>SUMIFS('Business - Dump'!$G:$G,'Business - Dump'!$D:$D,'SKU Repoprt'!$D122,'Business - Dump'!$A:$A,'SKU Repoprt'!H$1)</f>
        <v>0</v>
      </c>
      <c r="I122" s="3">
        <f>SUMIFS('Business - Dump'!$G:$G,'Business - Dump'!$D:$D,'SKU Repoprt'!$D122,'Business - Dump'!$A:$A,'SKU Repoprt'!I$1)</f>
        <v>0</v>
      </c>
      <c r="J122" s="3">
        <f>SUMIFS('Business - Dump'!$G:$G,'Business - Dump'!$D:$D,'SKU Repoprt'!$D122,'Business - Dump'!$A:$A,'SKU Repoprt'!J$1)</f>
        <v>0</v>
      </c>
      <c r="K122" s="3">
        <f>SUMIFS('Business - Dump'!$G:$G,'Business - Dump'!$D:$D,'SKU Repoprt'!$D122,'Business - Dump'!$A:$A,'SKU Repoprt'!K$1)</f>
        <v>0</v>
      </c>
      <c r="L122" s="3">
        <f>SUMIFS('Business - Dump'!$G:$G,'Business - Dump'!$D:$D,'SKU Repoprt'!$D122,'Business - Dump'!$A:$A,'SKU Repoprt'!L$1)</f>
        <v>0</v>
      </c>
      <c r="M122" s="3">
        <f>SUMIFS('Business - Dump'!$G:$G,'Business - Dump'!$D:$D,'SKU Repoprt'!$D122,'Business - Dump'!$A:$A,'SKU Repoprt'!M$1)</f>
        <v>0</v>
      </c>
      <c r="N122" s="3">
        <f>SUMIFS('Business - Dump'!$G:$G,'Business - Dump'!$D:$D,'SKU Repoprt'!$D122,'Business - Dump'!$A:$A,'SKU Repoprt'!N$1)</f>
        <v>0</v>
      </c>
      <c r="O122" s="3">
        <f>SUMIFS('Business - Dump'!$G:$G,'Business - Dump'!$D:$D,'SKU Repoprt'!$D122,'Business - Dump'!$A:$A,'SKU Repoprt'!O$1)</f>
        <v>26</v>
      </c>
      <c r="P122" s="3">
        <f>SUMIFS('Business - Dump'!$G:$G,'Business - Dump'!$D:$D,'SKU Repoprt'!$D122,'Business - Dump'!$A:$A,'SKU Repoprt'!P$1)</f>
        <v>1237</v>
      </c>
      <c r="Q122" s="3">
        <f>SUMIFS('Business - Dump'!$G:$G,'Business - Dump'!$D:$D,'SKU Repoprt'!$D122,'Business - Dump'!$A:$A,'SKU Repoprt'!Q$1)</f>
        <v>2638</v>
      </c>
      <c r="R122" s="3">
        <f>SUMIFS('Business - Dump'!$G:$G,'Business - Dump'!$D:$D,'SKU Repoprt'!$D122,'Business - Dump'!$A:$A,'SKU Repoprt'!R$1)</f>
        <v>2350</v>
      </c>
      <c r="S122" s="3">
        <f>SUMIFS('Business - Dump'!$G:$G,'Business - Dump'!$D:$D,'SKU Repoprt'!$D122,'Business - Dump'!$A:$A,'SKU Repoprt'!S$1)</f>
        <v>143</v>
      </c>
      <c r="T122" s="3">
        <f>SUMIFS('Business - Dump'!$G:$G,'Business - Dump'!$D:$D,'SKU Repoprt'!$D122,'Business - Dump'!$A:$A,'SKU Repoprt'!T$1)</f>
        <v>21</v>
      </c>
      <c r="U122" s="3">
        <f>SUMIFS('Business - Dump'!$G:$G,'Business - Dump'!$D:$D,'SKU Repoprt'!$D122,'Business - Dump'!$A:$A,'SKU Repoprt'!U$1)</f>
        <v>270</v>
      </c>
      <c r="V122" s="3">
        <f>SUMIFS('Business - Dump'!$G:$G,'Business - Dump'!$D:$D,'SKU Repoprt'!$D122,'Business - Dump'!$A:$A,'SKU Repoprt'!V$1)</f>
        <v>5274</v>
      </c>
      <c r="W122" s="3">
        <f>SUMIFS('Business - Dump'!$G:$G,'Business - Dump'!$D:$D,'SKU Repoprt'!$D122,'Business - Dump'!$A:$A,'SKU Repoprt'!W$1)</f>
        <v>5863</v>
      </c>
    </row>
    <row r="123" ht="15.75" customHeight="1">
      <c r="A123" s="10" t="s">
        <v>158</v>
      </c>
      <c r="B123" s="10" t="s">
        <v>158</v>
      </c>
      <c r="C123" s="10"/>
      <c r="D123" s="10" t="s">
        <v>353</v>
      </c>
      <c r="E123" s="10" t="s">
        <v>260</v>
      </c>
      <c r="F123" s="3">
        <f t="shared" si="41"/>
        <v>9376</v>
      </c>
      <c r="G123" s="3">
        <f>SUMIFS('Business - Dump'!$K:$K,'Business - Dump'!$D:$D,'SKU Repoprt'!$D123,'Business - Dump'!$A:$A,'SKU Repoprt'!G$1)</f>
        <v>0</v>
      </c>
      <c r="H123" s="3">
        <f>SUMIFS('Business - Dump'!$K:$K,'Business - Dump'!$D:$D,'SKU Repoprt'!$D123,'Business - Dump'!$A:$A,'SKU Repoprt'!H$1)</f>
        <v>0</v>
      </c>
      <c r="I123" s="3">
        <f>SUMIFS('Business - Dump'!$K:$K,'Business - Dump'!$D:$D,'SKU Repoprt'!$D123,'Business - Dump'!$A:$A,'SKU Repoprt'!I$1)</f>
        <v>0</v>
      </c>
      <c r="J123" s="3">
        <f>SUMIFS('Business - Dump'!$K:$K,'Business - Dump'!$D:$D,'SKU Repoprt'!$D123,'Business - Dump'!$A:$A,'SKU Repoprt'!J$1)</f>
        <v>0</v>
      </c>
      <c r="K123" s="3">
        <f>SUMIFS('Business - Dump'!$K:$K,'Business - Dump'!$D:$D,'SKU Repoprt'!$D123,'Business - Dump'!$A:$A,'SKU Repoprt'!K$1)</f>
        <v>0</v>
      </c>
      <c r="L123" s="3">
        <f>SUMIFS('Business - Dump'!$K:$K,'Business - Dump'!$D:$D,'SKU Repoprt'!$D123,'Business - Dump'!$A:$A,'SKU Repoprt'!L$1)</f>
        <v>0</v>
      </c>
      <c r="M123" s="3">
        <f>SUMIFS('Business - Dump'!$K:$K,'Business - Dump'!$D:$D,'SKU Repoprt'!$D123,'Business - Dump'!$A:$A,'SKU Repoprt'!M$1)</f>
        <v>0</v>
      </c>
      <c r="N123" s="3">
        <f>SUMIFS('Business - Dump'!$K:$K,'Business - Dump'!$D:$D,'SKU Repoprt'!$D123,'Business - Dump'!$A:$A,'SKU Repoprt'!N$1)</f>
        <v>0</v>
      </c>
      <c r="O123" s="3">
        <f>SUMIFS('Business - Dump'!$K:$K,'Business - Dump'!$D:$D,'SKU Repoprt'!$D123,'Business - Dump'!$A:$A,'SKU Repoprt'!O$1)</f>
        <v>41</v>
      </c>
      <c r="P123" s="3">
        <f>SUMIFS('Business - Dump'!$K:$K,'Business - Dump'!$D:$D,'SKU Repoprt'!$D123,'Business - Dump'!$A:$A,'SKU Repoprt'!P$1)</f>
        <v>1759</v>
      </c>
      <c r="Q123" s="3">
        <f>SUMIFS('Business - Dump'!$K:$K,'Business - Dump'!$D:$D,'SKU Repoprt'!$D123,'Business - Dump'!$A:$A,'SKU Repoprt'!Q$1)</f>
        <v>3909</v>
      </c>
      <c r="R123" s="3">
        <f>SUMIFS('Business - Dump'!$K:$K,'Business - Dump'!$D:$D,'SKU Repoprt'!$D123,'Business - Dump'!$A:$A,'SKU Repoprt'!R$1)</f>
        <v>3414</v>
      </c>
      <c r="S123" s="3">
        <f>SUMIFS('Business - Dump'!$K:$K,'Business - Dump'!$D:$D,'SKU Repoprt'!$D123,'Business - Dump'!$A:$A,'SKU Repoprt'!S$1)</f>
        <v>253</v>
      </c>
      <c r="T123" s="3">
        <f>SUMIFS('Business - Dump'!$K:$K,'Business - Dump'!$D:$D,'SKU Repoprt'!$D123,'Business - Dump'!$A:$A,'SKU Repoprt'!T$1)</f>
        <v>28</v>
      </c>
      <c r="U123" s="3">
        <f>SUMIFS('Business - Dump'!$K:$K,'Business - Dump'!$D:$D,'SKU Repoprt'!$D123,'Business - Dump'!$A:$A,'SKU Repoprt'!U$1)</f>
        <v>396</v>
      </c>
      <c r="V123" s="3">
        <f>SUMIFS('Business - Dump'!$K:$K,'Business - Dump'!$D:$D,'SKU Repoprt'!$D123,'Business - Dump'!$A:$A,'SKU Repoprt'!V$1)</f>
        <v>8380</v>
      </c>
      <c r="W123" s="3">
        <f>SUMIFS('Business - Dump'!$K:$K,'Business - Dump'!$D:$D,'SKU Repoprt'!$D123,'Business - Dump'!$A:$A,'SKU Repoprt'!W$1)</f>
        <v>9292</v>
      </c>
    </row>
    <row r="124" ht="15.75" customHeight="1">
      <c r="A124" s="10" t="s">
        <v>158</v>
      </c>
      <c r="B124" s="10" t="s">
        <v>158</v>
      </c>
      <c r="C124" s="10"/>
      <c r="D124" s="10" t="s">
        <v>353</v>
      </c>
      <c r="E124" s="10" t="s">
        <v>264</v>
      </c>
      <c r="F124" s="3">
        <f t="shared" si="41"/>
        <v>82</v>
      </c>
      <c r="G124" s="3">
        <f>SUMIFS('Business - Dump'!$Q:$Q,'Business - Dump'!$D:$D,'SKU Repoprt'!$D124,'Business - Dump'!$A:$A,'SKU Repoprt'!G$1)</f>
        <v>0</v>
      </c>
      <c r="H124" s="3">
        <f>SUMIFS('Business - Dump'!$Q:$Q,'Business - Dump'!$D:$D,'SKU Repoprt'!$D124,'Business - Dump'!$A:$A,'SKU Repoprt'!H$1)</f>
        <v>0</v>
      </c>
      <c r="I124" s="3">
        <f>SUMIFS('Business - Dump'!$Q:$Q,'Business - Dump'!$D:$D,'SKU Repoprt'!$D124,'Business - Dump'!$A:$A,'SKU Repoprt'!I$1)</f>
        <v>0</v>
      </c>
      <c r="J124" s="3">
        <f>SUMIFS('Business - Dump'!$Q:$Q,'Business - Dump'!$D:$D,'SKU Repoprt'!$D124,'Business - Dump'!$A:$A,'SKU Repoprt'!J$1)</f>
        <v>0</v>
      </c>
      <c r="K124" s="3">
        <f>SUMIFS('Business - Dump'!$Q:$Q,'Business - Dump'!$D:$D,'SKU Repoprt'!$D124,'Business - Dump'!$A:$A,'SKU Repoprt'!K$1)</f>
        <v>0</v>
      </c>
      <c r="L124" s="3">
        <f>SUMIFS('Business - Dump'!$Q:$Q,'Business - Dump'!$D:$D,'SKU Repoprt'!$D124,'Business - Dump'!$A:$A,'SKU Repoprt'!L$1)</f>
        <v>0</v>
      </c>
      <c r="M124" s="3">
        <f>SUMIFS('Business - Dump'!$Q:$Q,'Business - Dump'!$D:$D,'SKU Repoprt'!$D124,'Business - Dump'!$A:$A,'SKU Repoprt'!M$1)</f>
        <v>0</v>
      </c>
      <c r="N124" s="3">
        <f>SUMIFS('Business - Dump'!$Q:$Q,'Business - Dump'!$D:$D,'SKU Repoprt'!$D124,'Business - Dump'!$A:$A,'SKU Repoprt'!N$1)</f>
        <v>0</v>
      </c>
      <c r="O124" s="3">
        <f>SUMIFS('Business - Dump'!$Q:$Q,'Business - Dump'!$D:$D,'SKU Repoprt'!$D124,'Business - Dump'!$A:$A,'SKU Repoprt'!O$1)</f>
        <v>1</v>
      </c>
      <c r="P124" s="3">
        <f>SUMIFS('Business - Dump'!$Q:$Q,'Business - Dump'!$D:$D,'SKU Repoprt'!$D124,'Business - Dump'!$A:$A,'SKU Repoprt'!P$1)</f>
        <v>13</v>
      </c>
      <c r="Q124" s="3">
        <f>SUMIFS('Business - Dump'!$Q:$Q,'Business - Dump'!$D:$D,'SKU Repoprt'!$D124,'Business - Dump'!$A:$A,'SKU Repoprt'!Q$1)</f>
        <v>39</v>
      </c>
      <c r="R124" s="3">
        <f>SUMIFS('Business - Dump'!$Q:$Q,'Business - Dump'!$D:$D,'SKU Repoprt'!$D124,'Business - Dump'!$A:$A,'SKU Repoprt'!R$1)</f>
        <v>24</v>
      </c>
      <c r="S124" s="3">
        <f>SUMIFS('Business - Dump'!$Q:$Q,'Business - Dump'!$D:$D,'SKU Repoprt'!$D124,'Business - Dump'!$A:$A,'SKU Repoprt'!S$1)</f>
        <v>5</v>
      </c>
      <c r="T124" s="3">
        <f>SUMIFS('Business - Dump'!$Q:$Q,'Business - Dump'!$D:$D,'SKU Repoprt'!$D124,'Business - Dump'!$A:$A,'SKU Repoprt'!T$1)</f>
        <v>1</v>
      </c>
      <c r="U124" s="3">
        <f>SUMIFS('Business - Dump'!$Q:$Q,'Business - Dump'!$D:$D,'SKU Repoprt'!$D124,'Business - Dump'!$A:$A,'SKU Repoprt'!U$1)</f>
        <v>2</v>
      </c>
      <c r="V124" s="3">
        <f>SUMIFS('Business - Dump'!$Q:$Q,'Business - Dump'!$D:$D,'SKU Repoprt'!$D124,'Business - Dump'!$A:$A,'SKU Repoprt'!V$1)</f>
        <v>88</v>
      </c>
      <c r="W124" s="3">
        <f>SUMIFS('Business - Dump'!$Q:$Q,'Business - Dump'!$D:$D,'SKU Repoprt'!$D124,'Business - Dump'!$A:$A,'SKU Repoprt'!W$1)</f>
        <v>97</v>
      </c>
    </row>
    <row r="125" ht="15.75" customHeight="1">
      <c r="A125" s="10" t="s">
        <v>158</v>
      </c>
      <c r="B125" s="10" t="s">
        <v>158</v>
      </c>
      <c r="C125" s="10"/>
      <c r="D125" s="10" t="s">
        <v>353</v>
      </c>
      <c r="E125" s="10" t="s">
        <v>268</v>
      </c>
      <c r="F125" s="3">
        <f t="shared" si="41"/>
        <v>80</v>
      </c>
      <c r="G125" s="3">
        <f>SUMIFS('Business - Dump'!$W:$W,'Business - Dump'!$D:$D,'SKU Repoprt'!$D125,'Business - Dump'!$A:$A,'SKU Repoprt'!G$1)</f>
        <v>0</v>
      </c>
      <c r="H125" s="3">
        <f>SUMIFS('Business - Dump'!$W:$W,'Business - Dump'!$D:$D,'SKU Repoprt'!$D125,'Business - Dump'!$A:$A,'SKU Repoprt'!H$1)</f>
        <v>0</v>
      </c>
      <c r="I125" s="3">
        <f>SUMIFS('Business - Dump'!$W:$W,'Business - Dump'!$D:$D,'SKU Repoprt'!$D125,'Business - Dump'!$A:$A,'SKU Repoprt'!I$1)</f>
        <v>0</v>
      </c>
      <c r="J125" s="3">
        <f>SUMIFS('Business - Dump'!$W:$W,'Business - Dump'!$D:$D,'SKU Repoprt'!$D125,'Business - Dump'!$A:$A,'SKU Repoprt'!J$1)</f>
        <v>0</v>
      </c>
      <c r="K125" s="3">
        <f>SUMIFS('Business - Dump'!$W:$W,'Business - Dump'!$D:$D,'SKU Repoprt'!$D125,'Business - Dump'!$A:$A,'SKU Repoprt'!K$1)</f>
        <v>0</v>
      </c>
      <c r="L125" s="3">
        <f>SUMIFS('Business - Dump'!$W:$W,'Business - Dump'!$D:$D,'SKU Repoprt'!$D125,'Business - Dump'!$A:$A,'SKU Repoprt'!L$1)</f>
        <v>0</v>
      </c>
      <c r="M125" s="3">
        <f>SUMIFS('Business - Dump'!$W:$W,'Business - Dump'!$D:$D,'SKU Repoprt'!$D125,'Business - Dump'!$A:$A,'SKU Repoprt'!M$1)</f>
        <v>0</v>
      </c>
      <c r="N125" s="3">
        <f>SUMIFS('Business - Dump'!$W:$W,'Business - Dump'!$D:$D,'SKU Repoprt'!$D125,'Business - Dump'!$A:$A,'SKU Repoprt'!N$1)</f>
        <v>0</v>
      </c>
      <c r="O125" s="3">
        <f>SUMIFS('Business - Dump'!$W:$W,'Business - Dump'!$D:$D,'SKU Repoprt'!$D125,'Business - Dump'!$A:$A,'SKU Repoprt'!O$1)</f>
        <v>1</v>
      </c>
      <c r="P125" s="3">
        <f>SUMIFS('Business - Dump'!$W:$W,'Business - Dump'!$D:$D,'SKU Repoprt'!$D125,'Business - Dump'!$A:$A,'SKU Repoprt'!P$1)</f>
        <v>12</v>
      </c>
      <c r="Q125" s="3">
        <f>SUMIFS('Business - Dump'!$W:$W,'Business - Dump'!$D:$D,'SKU Repoprt'!$D125,'Business - Dump'!$A:$A,'SKU Repoprt'!Q$1)</f>
        <v>38</v>
      </c>
      <c r="R125" s="3">
        <f>SUMIFS('Business - Dump'!$W:$W,'Business - Dump'!$D:$D,'SKU Repoprt'!$D125,'Business - Dump'!$A:$A,'SKU Repoprt'!R$1)</f>
        <v>24</v>
      </c>
      <c r="S125" s="3">
        <f>SUMIFS('Business - Dump'!$W:$W,'Business - Dump'!$D:$D,'SKU Repoprt'!$D125,'Business - Dump'!$A:$A,'SKU Repoprt'!S$1)</f>
        <v>5</v>
      </c>
      <c r="T125" s="3">
        <f>SUMIFS('Business - Dump'!$W:$W,'Business - Dump'!$D:$D,'SKU Repoprt'!$D125,'Business - Dump'!$A:$A,'SKU Repoprt'!T$1)</f>
        <v>1</v>
      </c>
      <c r="U125" s="3">
        <f>SUMIFS('Business - Dump'!$W:$W,'Business - Dump'!$D:$D,'SKU Repoprt'!$D125,'Business - Dump'!$A:$A,'SKU Repoprt'!U$1)</f>
        <v>2</v>
      </c>
      <c r="V125" s="3">
        <f>SUMIFS('Business - Dump'!$W:$W,'Business - Dump'!$D:$D,'SKU Repoprt'!$D125,'Business - Dump'!$A:$A,'SKU Repoprt'!V$1)</f>
        <v>82</v>
      </c>
      <c r="W125" s="3">
        <f>SUMIFS('Business - Dump'!$W:$W,'Business - Dump'!$D:$D,'SKU Repoprt'!$D125,'Business - Dump'!$A:$A,'SKU Repoprt'!W$1)</f>
        <v>93</v>
      </c>
    </row>
    <row r="126" ht="15.75" customHeight="1">
      <c r="A126" s="10" t="s">
        <v>158</v>
      </c>
      <c r="B126" s="10" t="s">
        <v>158</v>
      </c>
      <c r="C126" s="10"/>
      <c r="D126" s="10" t="s">
        <v>353</v>
      </c>
      <c r="E126" s="10" t="s">
        <v>26</v>
      </c>
      <c r="F126" s="16">
        <f t="shared" si="41"/>
        <v>261860</v>
      </c>
      <c r="G126" s="16">
        <f>SUMIFS('Business - Dump'!$U:$U,'Business - Dump'!$D:$D,'SKU Repoprt'!$D126,'Business - Dump'!$A:$A,'SKU Repoprt'!G$1)</f>
        <v>0</v>
      </c>
      <c r="H126" s="16">
        <f>SUMIFS('Business - Dump'!$U:$U,'Business - Dump'!$D:$D,'SKU Repoprt'!$D126,'Business - Dump'!$A:$A,'SKU Repoprt'!H$1)</f>
        <v>0</v>
      </c>
      <c r="I126" s="16">
        <f>SUMIFS('Business - Dump'!$U:$U,'Business - Dump'!$D:$D,'SKU Repoprt'!$D126,'Business - Dump'!$A:$A,'SKU Repoprt'!I$1)</f>
        <v>0</v>
      </c>
      <c r="J126" s="16">
        <f>SUMIFS('Business - Dump'!$U:$U,'Business - Dump'!$D:$D,'SKU Repoprt'!$D126,'Business - Dump'!$A:$A,'SKU Repoprt'!J$1)</f>
        <v>0</v>
      </c>
      <c r="K126" s="16">
        <f>SUMIFS('Business - Dump'!$U:$U,'Business - Dump'!$D:$D,'SKU Repoprt'!$D126,'Business - Dump'!$A:$A,'SKU Repoprt'!K$1)</f>
        <v>0</v>
      </c>
      <c r="L126" s="16">
        <f>SUMIFS('Business - Dump'!$U:$U,'Business - Dump'!$D:$D,'SKU Repoprt'!$D126,'Business - Dump'!$A:$A,'SKU Repoprt'!L$1)</f>
        <v>0</v>
      </c>
      <c r="M126" s="16">
        <f>SUMIFS('Business - Dump'!$U:$U,'Business - Dump'!$D:$D,'SKU Repoprt'!$D126,'Business - Dump'!$A:$A,'SKU Repoprt'!M$1)</f>
        <v>0</v>
      </c>
      <c r="N126" s="16">
        <f>SUMIFS('Business - Dump'!$U:$U,'Business - Dump'!$D:$D,'SKU Repoprt'!$D126,'Business - Dump'!$A:$A,'SKU Repoprt'!N$1)</f>
        <v>0</v>
      </c>
      <c r="O126" s="16">
        <f>SUMIFS('Business - Dump'!$U:$U,'Business - Dump'!$D:$D,'SKU Repoprt'!$D126,'Business - Dump'!$A:$A,'SKU Repoprt'!O$1)</f>
        <v>3200</v>
      </c>
      <c r="P126" s="16">
        <f>SUMIFS('Business - Dump'!$U:$U,'Business - Dump'!$D:$D,'SKU Repoprt'!$D126,'Business - Dump'!$A:$A,'SKU Repoprt'!P$1)</f>
        <v>37687</v>
      </c>
      <c r="Q126" s="16">
        <f>SUMIFS('Business - Dump'!$U:$U,'Business - Dump'!$D:$D,'SKU Repoprt'!$D126,'Business - Dump'!$A:$A,'SKU Repoprt'!Q$1)</f>
        <v>122479</v>
      </c>
      <c r="R126" s="16">
        <f>SUMIFS('Business - Dump'!$U:$U,'Business - Dump'!$D:$D,'SKU Repoprt'!$D126,'Business - Dump'!$A:$A,'SKU Repoprt'!R$1)</f>
        <v>83499</v>
      </c>
      <c r="S126" s="16">
        <f>SUMIFS('Business - Dump'!$U:$U,'Business - Dump'!$D:$D,'SKU Repoprt'!$D126,'Business - Dump'!$A:$A,'SKU Repoprt'!S$1)</f>
        <v>14995</v>
      </c>
      <c r="T126" s="16">
        <f>SUMIFS('Business - Dump'!$U:$U,'Business - Dump'!$D:$D,'SKU Repoprt'!$D126,'Business - Dump'!$A:$A,'SKU Repoprt'!T$1)</f>
        <v>2999</v>
      </c>
      <c r="U126" s="16">
        <f>SUMIFS('Business - Dump'!$U:$U,'Business - Dump'!$D:$D,'SKU Repoprt'!$D126,'Business - Dump'!$A:$A,'SKU Repoprt'!U$1)</f>
        <v>5998</v>
      </c>
      <c r="V126" s="16">
        <f>SUMIFS('Business - Dump'!$U:$U,'Business - Dump'!$D:$D,'SKU Repoprt'!$D126,'Business - Dump'!$A:$A,'SKU Repoprt'!V$1)</f>
        <v>265422</v>
      </c>
      <c r="W126" s="16">
        <f>SUMIFS('Business - Dump'!$U:$U,'Business - Dump'!$D:$D,'SKU Repoprt'!$D126,'Business - Dump'!$A:$A,'SKU Repoprt'!W$1)</f>
        <v>289407</v>
      </c>
    </row>
    <row r="127" ht="15.75" customHeight="1">
      <c r="A127" s="10" t="s">
        <v>158</v>
      </c>
      <c r="B127" s="10" t="s">
        <v>158</v>
      </c>
      <c r="C127" s="10"/>
      <c r="D127" s="10" t="s">
        <v>353</v>
      </c>
      <c r="E127" s="10" t="s">
        <v>29</v>
      </c>
      <c r="F127" s="17">
        <v>0.027042857142857143</v>
      </c>
      <c r="G127" s="17">
        <f t="shared" ref="G127:W127" si="42">IFERROR(G125/G122,0)</f>
        <v>0</v>
      </c>
      <c r="H127" s="17">
        <f t="shared" si="42"/>
        <v>0</v>
      </c>
      <c r="I127" s="17">
        <f t="shared" si="42"/>
        <v>0</v>
      </c>
      <c r="J127" s="17">
        <f t="shared" si="42"/>
        <v>0</v>
      </c>
      <c r="K127" s="17">
        <f t="shared" si="42"/>
        <v>0</v>
      </c>
      <c r="L127" s="17">
        <f t="shared" si="42"/>
        <v>0</v>
      </c>
      <c r="M127" s="17">
        <f t="shared" si="42"/>
        <v>0</v>
      </c>
      <c r="N127" s="17">
        <f t="shared" si="42"/>
        <v>0</v>
      </c>
      <c r="O127" s="17">
        <f t="shared" si="42"/>
        <v>0.03846153846</v>
      </c>
      <c r="P127" s="17">
        <f t="shared" si="42"/>
        <v>0.009700889248</v>
      </c>
      <c r="Q127" s="17">
        <f t="shared" si="42"/>
        <v>0.01440485216</v>
      </c>
      <c r="R127" s="17">
        <f t="shared" si="42"/>
        <v>0.01021276596</v>
      </c>
      <c r="S127" s="17">
        <f t="shared" si="42"/>
        <v>0.03496503497</v>
      </c>
      <c r="T127" s="17">
        <f t="shared" si="42"/>
        <v>0.04761904762</v>
      </c>
      <c r="U127" s="17">
        <f t="shared" si="42"/>
        <v>0.007407407407</v>
      </c>
      <c r="V127" s="17">
        <f t="shared" si="42"/>
        <v>0.01554797118</v>
      </c>
      <c r="W127" s="17">
        <f t="shared" si="42"/>
        <v>0.01586218659</v>
      </c>
    </row>
    <row r="128" ht="15.75" customHeight="1">
      <c r="A128" s="10" t="s">
        <v>158</v>
      </c>
      <c r="B128" s="10" t="s">
        <v>158</v>
      </c>
      <c r="C128" s="10"/>
      <c r="D128" s="10" t="s">
        <v>355</v>
      </c>
      <c r="E128" s="10" t="s">
        <v>257</v>
      </c>
      <c r="F128" s="3">
        <f t="shared" ref="F128:F132" si="43">SUM(G128:S128)</f>
        <v>3210</v>
      </c>
      <c r="G128" s="3">
        <f>SUMIFS('Business - Dump'!$G:$G,'Business - Dump'!$D:$D,'SKU Repoprt'!$D128,'Business - Dump'!$A:$A,'SKU Repoprt'!G$1)</f>
        <v>0</v>
      </c>
      <c r="H128" s="3">
        <f>SUMIFS('Business - Dump'!$G:$G,'Business - Dump'!$D:$D,'SKU Repoprt'!$D128,'Business - Dump'!$A:$A,'SKU Repoprt'!H$1)</f>
        <v>0</v>
      </c>
      <c r="I128" s="3">
        <f>SUMIFS('Business - Dump'!$G:$G,'Business - Dump'!$D:$D,'SKU Repoprt'!$D128,'Business - Dump'!$A:$A,'SKU Repoprt'!I$1)</f>
        <v>0</v>
      </c>
      <c r="J128" s="3">
        <f>SUMIFS('Business - Dump'!$G:$G,'Business - Dump'!$D:$D,'SKU Repoprt'!$D128,'Business - Dump'!$A:$A,'SKU Repoprt'!J$1)</f>
        <v>0</v>
      </c>
      <c r="K128" s="3">
        <f>SUMIFS('Business - Dump'!$G:$G,'Business - Dump'!$D:$D,'SKU Repoprt'!$D128,'Business - Dump'!$A:$A,'SKU Repoprt'!K$1)</f>
        <v>0</v>
      </c>
      <c r="L128" s="3">
        <f>SUMIFS('Business - Dump'!$G:$G,'Business - Dump'!$D:$D,'SKU Repoprt'!$D128,'Business - Dump'!$A:$A,'SKU Repoprt'!L$1)</f>
        <v>0</v>
      </c>
      <c r="M128" s="3">
        <f>SUMIFS('Business - Dump'!$G:$G,'Business - Dump'!$D:$D,'SKU Repoprt'!$D128,'Business - Dump'!$A:$A,'SKU Repoprt'!M$1)</f>
        <v>0</v>
      </c>
      <c r="N128" s="3">
        <f>SUMIFS('Business - Dump'!$G:$G,'Business - Dump'!$D:$D,'SKU Repoprt'!$D128,'Business - Dump'!$A:$A,'SKU Repoprt'!N$1)</f>
        <v>0</v>
      </c>
      <c r="O128" s="3">
        <f>SUMIFS('Business - Dump'!$G:$G,'Business - Dump'!$D:$D,'SKU Repoprt'!$D128,'Business - Dump'!$A:$A,'SKU Repoprt'!O$1)</f>
        <v>33</v>
      </c>
      <c r="P128" s="3">
        <f>SUMIFS('Business - Dump'!$G:$G,'Business - Dump'!$D:$D,'SKU Repoprt'!$D128,'Business - Dump'!$A:$A,'SKU Repoprt'!P$1)</f>
        <v>627</v>
      </c>
      <c r="Q128" s="3">
        <f>SUMIFS('Business - Dump'!$G:$G,'Business - Dump'!$D:$D,'SKU Repoprt'!$D128,'Business - Dump'!$A:$A,'SKU Repoprt'!Q$1)</f>
        <v>1259</v>
      </c>
      <c r="R128" s="3">
        <f>SUMIFS('Business - Dump'!$G:$G,'Business - Dump'!$D:$D,'SKU Repoprt'!$D128,'Business - Dump'!$A:$A,'SKU Repoprt'!R$1)</f>
        <v>723</v>
      </c>
      <c r="S128" s="3">
        <f>SUMIFS('Business - Dump'!$G:$G,'Business - Dump'!$D:$D,'SKU Repoprt'!$D128,'Business - Dump'!$A:$A,'SKU Repoprt'!S$1)</f>
        <v>568</v>
      </c>
      <c r="T128" s="3">
        <f>SUMIFS('Business - Dump'!$G:$G,'Business - Dump'!$D:$D,'SKU Repoprt'!$D128,'Business - Dump'!$A:$A,'SKU Repoprt'!T$1)</f>
        <v>1736</v>
      </c>
      <c r="U128" s="3">
        <f>SUMIFS('Business - Dump'!$G:$G,'Business - Dump'!$D:$D,'SKU Repoprt'!$D128,'Business - Dump'!$A:$A,'SKU Repoprt'!U$1)</f>
        <v>1070</v>
      </c>
      <c r="V128" s="3">
        <f>SUMIFS('Business - Dump'!$G:$G,'Business - Dump'!$D:$D,'SKU Repoprt'!$D128,'Business - Dump'!$A:$A,'SKU Repoprt'!V$1)</f>
        <v>2121</v>
      </c>
      <c r="W128" s="3">
        <f>SUMIFS('Business - Dump'!$G:$G,'Business - Dump'!$D:$D,'SKU Repoprt'!$D128,'Business - Dump'!$A:$A,'SKU Repoprt'!W$1)</f>
        <v>2074</v>
      </c>
    </row>
    <row r="129" ht="15.75" customHeight="1">
      <c r="A129" s="10" t="s">
        <v>158</v>
      </c>
      <c r="B129" s="10" t="s">
        <v>158</v>
      </c>
      <c r="C129" s="10"/>
      <c r="D129" s="10" t="s">
        <v>355</v>
      </c>
      <c r="E129" s="10" t="s">
        <v>260</v>
      </c>
      <c r="F129" s="3">
        <f t="shared" si="43"/>
        <v>4166</v>
      </c>
      <c r="G129" s="3">
        <f>SUMIFS('Business - Dump'!$K:$K,'Business - Dump'!$D:$D,'SKU Repoprt'!$D129,'Business - Dump'!$A:$A,'SKU Repoprt'!G$1)</f>
        <v>0</v>
      </c>
      <c r="H129" s="3">
        <f>SUMIFS('Business - Dump'!$K:$K,'Business - Dump'!$D:$D,'SKU Repoprt'!$D129,'Business - Dump'!$A:$A,'SKU Repoprt'!H$1)</f>
        <v>0</v>
      </c>
      <c r="I129" s="3">
        <f>SUMIFS('Business - Dump'!$K:$K,'Business - Dump'!$D:$D,'SKU Repoprt'!$D129,'Business - Dump'!$A:$A,'SKU Repoprt'!I$1)</f>
        <v>0</v>
      </c>
      <c r="J129" s="3">
        <f>SUMIFS('Business - Dump'!$K:$K,'Business - Dump'!$D:$D,'SKU Repoprt'!$D129,'Business - Dump'!$A:$A,'SKU Repoprt'!J$1)</f>
        <v>0</v>
      </c>
      <c r="K129" s="3">
        <f>SUMIFS('Business - Dump'!$K:$K,'Business - Dump'!$D:$D,'SKU Repoprt'!$D129,'Business - Dump'!$A:$A,'SKU Repoprt'!K$1)</f>
        <v>0</v>
      </c>
      <c r="L129" s="3">
        <f>SUMIFS('Business - Dump'!$K:$K,'Business - Dump'!$D:$D,'SKU Repoprt'!$D129,'Business - Dump'!$A:$A,'SKU Repoprt'!L$1)</f>
        <v>0</v>
      </c>
      <c r="M129" s="3">
        <f>SUMIFS('Business - Dump'!$K:$K,'Business - Dump'!$D:$D,'SKU Repoprt'!$D129,'Business - Dump'!$A:$A,'SKU Repoprt'!M$1)</f>
        <v>0</v>
      </c>
      <c r="N129" s="3">
        <f>SUMIFS('Business - Dump'!$K:$K,'Business - Dump'!$D:$D,'SKU Repoprt'!$D129,'Business - Dump'!$A:$A,'SKU Repoprt'!N$1)</f>
        <v>0</v>
      </c>
      <c r="O129" s="3">
        <f>SUMIFS('Business - Dump'!$K:$K,'Business - Dump'!$D:$D,'SKU Repoprt'!$D129,'Business - Dump'!$A:$A,'SKU Repoprt'!O$1)</f>
        <v>52</v>
      </c>
      <c r="P129" s="3">
        <f>SUMIFS('Business - Dump'!$K:$K,'Business - Dump'!$D:$D,'SKU Repoprt'!$D129,'Business - Dump'!$A:$A,'SKU Repoprt'!P$1)</f>
        <v>820</v>
      </c>
      <c r="Q129" s="3">
        <f>SUMIFS('Business - Dump'!$K:$K,'Business - Dump'!$D:$D,'SKU Repoprt'!$D129,'Business - Dump'!$A:$A,'SKU Repoprt'!Q$1)</f>
        <v>1596</v>
      </c>
      <c r="R129" s="3">
        <f>SUMIFS('Business - Dump'!$K:$K,'Business - Dump'!$D:$D,'SKU Repoprt'!$D129,'Business - Dump'!$A:$A,'SKU Repoprt'!R$1)</f>
        <v>898</v>
      </c>
      <c r="S129" s="3">
        <f>SUMIFS('Business - Dump'!$K:$K,'Business - Dump'!$D:$D,'SKU Repoprt'!$D129,'Business - Dump'!$A:$A,'SKU Repoprt'!S$1)</f>
        <v>800</v>
      </c>
      <c r="T129" s="3">
        <f>SUMIFS('Business - Dump'!$K:$K,'Business - Dump'!$D:$D,'SKU Repoprt'!$D129,'Business - Dump'!$A:$A,'SKU Repoprt'!T$1)</f>
        <v>2410</v>
      </c>
      <c r="U129" s="3">
        <f>SUMIFS('Business - Dump'!$K:$K,'Business - Dump'!$D:$D,'SKU Repoprt'!$D129,'Business - Dump'!$A:$A,'SKU Repoprt'!U$1)</f>
        <v>1541</v>
      </c>
      <c r="V129" s="3">
        <f>SUMIFS('Business - Dump'!$K:$K,'Business - Dump'!$D:$D,'SKU Repoprt'!$D129,'Business - Dump'!$A:$A,'SKU Repoprt'!V$1)</f>
        <v>2732</v>
      </c>
      <c r="W129" s="3">
        <f>SUMIFS('Business - Dump'!$K:$K,'Business - Dump'!$D:$D,'SKU Repoprt'!$D129,'Business - Dump'!$A:$A,'SKU Repoprt'!W$1)</f>
        <v>2584</v>
      </c>
    </row>
    <row r="130" ht="15.75" customHeight="1">
      <c r="A130" s="10" t="s">
        <v>158</v>
      </c>
      <c r="B130" s="10" t="s">
        <v>158</v>
      </c>
      <c r="C130" s="10"/>
      <c r="D130" s="10" t="s">
        <v>355</v>
      </c>
      <c r="E130" s="10" t="s">
        <v>264</v>
      </c>
      <c r="F130" s="3">
        <f t="shared" si="43"/>
        <v>12</v>
      </c>
      <c r="G130" s="3">
        <f>SUMIFS('Business - Dump'!$Q:$Q,'Business - Dump'!$D:$D,'SKU Repoprt'!$D130,'Business - Dump'!$A:$A,'SKU Repoprt'!G$1)</f>
        <v>0</v>
      </c>
      <c r="H130" s="3">
        <f>SUMIFS('Business - Dump'!$Q:$Q,'Business - Dump'!$D:$D,'SKU Repoprt'!$D130,'Business - Dump'!$A:$A,'SKU Repoprt'!H$1)</f>
        <v>0</v>
      </c>
      <c r="I130" s="3">
        <f>SUMIFS('Business - Dump'!$Q:$Q,'Business - Dump'!$D:$D,'SKU Repoprt'!$D130,'Business - Dump'!$A:$A,'SKU Repoprt'!I$1)</f>
        <v>0</v>
      </c>
      <c r="J130" s="3">
        <f>SUMIFS('Business - Dump'!$Q:$Q,'Business - Dump'!$D:$D,'SKU Repoprt'!$D130,'Business - Dump'!$A:$A,'SKU Repoprt'!J$1)</f>
        <v>0</v>
      </c>
      <c r="K130" s="3">
        <f>SUMIFS('Business - Dump'!$Q:$Q,'Business - Dump'!$D:$D,'SKU Repoprt'!$D130,'Business - Dump'!$A:$A,'SKU Repoprt'!K$1)</f>
        <v>0</v>
      </c>
      <c r="L130" s="3">
        <f>SUMIFS('Business - Dump'!$Q:$Q,'Business - Dump'!$D:$D,'SKU Repoprt'!$D130,'Business - Dump'!$A:$A,'SKU Repoprt'!L$1)</f>
        <v>0</v>
      </c>
      <c r="M130" s="3">
        <f>SUMIFS('Business - Dump'!$Q:$Q,'Business - Dump'!$D:$D,'SKU Repoprt'!$D130,'Business - Dump'!$A:$A,'SKU Repoprt'!M$1)</f>
        <v>0</v>
      </c>
      <c r="N130" s="3">
        <f>SUMIFS('Business - Dump'!$Q:$Q,'Business - Dump'!$D:$D,'SKU Repoprt'!$D130,'Business - Dump'!$A:$A,'SKU Repoprt'!N$1)</f>
        <v>0</v>
      </c>
      <c r="O130" s="3">
        <f>SUMIFS('Business - Dump'!$Q:$Q,'Business - Dump'!$D:$D,'SKU Repoprt'!$D130,'Business - Dump'!$A:$A,'SKU Repoprt'!O$1)</f>
        <v>0</v>
      </c>
      <c r="P130" s="3">
        <f>SUMIFS('Business - Dump'!$Q:$Q,'Business - Dump'!$D:$D,'SKU Repoprt'!$D130,'Business - Dump'!$A:$A,'SKU Repoprt'!P$1)</f>
        <v>3</v>
      </c>
      <c r="Q130" s="3">
        <f>SUMIFS('Business - Dump'!$Q:$Q,'Business - Dump'!$D:$D,'SKU Repoprt'!$D130,'Business - Dump'!$A:$A,'SKU Repoprt'!Q$1)</f>
        <v>4</v>
      </c>
      <c r="R130" s="3">
        <f>SUMIFS('Business - Dump'!$Q:$Q,'Business - Dump'!$D:$D,'SKU Repoprt'!$D130,'Business - Dump'!$A:$A,'SKU Repoprt'!R$1)</f>
        <v>0</v>
      </c>
      <c r="S130" s="3">
        <f>SUMIFS('Business - Dump'!$Q:$Q,'Business - Dump'!$D:$D,'SKU Repoprt'!$D130,'Business - Dump'!$A:$A,'SKU Repoprt'!S$1)</f>
        <v>5</v>
      </c>
      <c r="T130" s="3">
        <f>SUMIFS('Business - Dump'!$Q:$Q,'Business - Dump'!$D:$D,'SKU Repoprt'!$D130,'Business - Dump'!$A:$A,'SKU Repoprt'!T$1)</f>
        <v>10</v>
      </c>
      <c r="U130" s="3">
        <f>SUMIFS('Business - Dump'!$Q:$Q,'Business - Dump'!$D:$D,'SKU Repoprt'!$D130,'Business - Dump'!$A:$A,'SKU Repoprt'!U$1)</f>
        <v>8</v>
      </c>
      <c r="V130" s="3">
        <f>SUMIFS('Business - Dump'!$Q:$Q,'Business - Dump'!$D:$D,'SKU Repoprt'!$D130,'Business - Dump'!$A:$A,'SKU Repoprt'!V$1)</f>
        <v>12</v>
      </c>
      <c r="W130" s="3">
        <f>SUMIFS('Business - Dump'!$Q:$Q,'Business - Dump'!$D:$D,'SKU Repoprt'!$D130,'Business - Dump'!$A:$A,'SKU Repoprt'!W$1)</f>
        <v>10</v>
      </c>
    </row>
    <row r="131" ht="15.75" customHeight="1">
      <c r="A131" s="10" t="s">
        <v>158</v>
      </c>
      <c r="B131" s="10" t="s">
        <v>158</v>
      </c>
      <c r="C131" s="10"/>
      <c r="D131" s="10" t="s">
        <v>355</v>
      </c>
      <c r="E131" s="10" t="s">
        <v>268</v>
      </c>
      <c r="F131" s="3">
        <f t="shared" si="43"/>
        <v>12</v>
      </c>
      <c r="G131" s="3">
        <f>SUMIFS('Business - Dump'!$W:$W,'Business - Dump'!$D:$D,'SKU Repoprt'!$D131,'Business - Dump'!$A:$A,'SKU Repoprt'!G$1)</f>
        <v>0</v>
      </c>
      <c r="H131" s="3">
        <f>SUMIFS('Business - Dump'!$W:$W,'Business - Dump'!$D:$D,'SKU Repoprt'!$D131,'Business - Dump'!$A:$A,'SKU Repoprt'!H$1)</f>
        <v>0</v>
      </c>
      <c r="I131" s="3">
        <f>SUMIFS('Business - Dump'!$W:$W,'Business - Dump'!$D:$D,'SKU Repoprt'!$D131,'Business - Dump'!$A:$A,'SKU Repoprt'!I$1)</f>
        <v>0</v>
      </c>
      <c r="J131" s="3">
        <f>SUMIFS('Business - Dump'!$W:$W,'Business - Dump'!$D:$D,'SKU Repoprt'!$D131,'Business - Dump'!$A:$A,'SKU Repoprt'!J$1)</f>
        <v>0</v>
      </c>
      <c r="K131" s="3">
        <f>SUMIFS('Business - Dump'!$W:$W,'Business - Dump'!$D:$D,'SKU Repoprt'!$D131,'Business - Dump'!$A:$A,'SKU Repoprt'!K$1)</f>
        <v>0</v>
      </c>
      <c r="L131" s="3">
        <f>SUMIFS('Business - Dump'!$W:$W,'Business - Dump'!$D:$D,'SKU Repoprt'!$D131,'Business - Dump'!$A:$A,'SKU Repoprt'!L$1)</f>
        <v>0</v>
      </c>
      <c r="M131" s="3">
        <f>SUMIFS('Business - Dump'!$W:$W,'Business - Dump'!$D:$D,'SKU Repoprt'!$D131,'Business - Dump'!$A:$A,'SKU Repoprt'!M$1)</f>
        <v>0</v>
      </c>
      <c r="N131" s="3">
        <f>SUMIFS('Business - Dump'!$W:$W,'Business - Dump'!$D:$D,'SKU Repoprt'!$D131,'Business - Dump'!$A:$A,'SKU Repoprt'!N$1)</f>
        <v>0</v>
      </c>
      <c r="O131" s="3">
        <f>SUMIFS('Business - Dump'!$W:$W,'Business - Dump'!$D:$D,'SKU Repoprt'!$D131,'Business - Dump'!$A:$A,'SKU Repoprt'!O$1)</f>
        <v>0</v>
      </c>
      <c r="P131" s="3">
        <f>SUMIFS('Business - Dump'!$W:$W,'Business - Dump'!$D:$D,'SKU Repoprt'!$D131,'Business - Dump'!$A:$A,'SKU Repoprt'!P$1)</f>
        <v>3</v>
      </c>
      <c r="Q131" s="3">
        <f>SUMIFS('Business - Dump'!$W:$W,'Business - Dump'!$D:$D,'SKU Repoprt'!$D131,'Business - Dump'!$A:$A,'SKU Repoprt'!Q$1)</f>
        <v>4</v>
      </c>
      <c r="R131" s="3">
        <f>SUMIFS('Business - Dump'!$W:$W,'Business - Dump'!$D:$D,'SKU Repoprt'!$D131,'Business - Dump'!$A:$A,'SKU Repoprt'!R$1)</f>
        <v>0</v>
      </c>
      <c r="S131" s="3">
        <f>SUMIFS('Business - Dump'!$W:$W,'Business - Dump'!$D:$D,'SKU Repoprt'!$D131,'Business - Dump'!$A:$A,'SKU Repoprt'!S$1)</f>
        <v>5</v>
      </c>
      <c r="T131" s="3">
        <f>SUMIFS('Business - Dump'!$W:$W,'Business - Dump'!$D:$D,'SKU Repoprt'!$D131,'Business - Dump'!$A:$A,'SKU Repoprt'!T$1)</f>
        <v>9</v>
      </c>
      <c r="U131" s="3">
        <f>SUMIFS('Business - Dump'!$W:$W,'Business - Dump'!$D:$D,'SKU Repoprt'!$D131,'Business - Dump'!$A:$A,'SKU Repoprt'!U$1)</f>
        <v>8</v>
      </c>
      <c r="V131" s="3">
        <f>SUMIFS('Business - Dump'!$W:$W,'Business - Dump'!$D:$D,'SKU Repoprt'!$D131,'Business - Dump'!$A:$A,'SKU Repoprt'!V$1)</f>
        <v>12</v>
      </c>
      <c r="W131" s="3">
        <f>SUMIFS('Business - Dump'!$W:$W,'Business - Dump'!$D:$D,'SKU Repoprt'!$D131,'Business - Dump'!$A:$A,'SKU Repoprt'!W$1)</f>
        <v>10</v>
      </c>
    </row>
    <row r="132" ht="15.75" customHeight="1">
      <c r="A132" s="10" t="s">
        <v>158</v>
      </c>
      <c r="B132" s="10" t="s">
        <v>158</v>
      </c>
      <c r="C132" s="10"/>
      <c r="D132" s="10" t="s">
        <v>355</v>
      </c>
      <c r="E132" s="10" t="s">
        <v>26</v>
      </c>
      <c r="F132" s="16">
        <f t="shared" si="43"/>
        <v>73545</v>
      </c>
      <c r="G132" s="16">
        <f>SUMIFS('Business - Dump'!$U:$U,'Business - Dump'!$D:$D,'SKU Repoprt'!$D132,'Business - Dump'!$A:$A,'SKU Repoprt'!G$1)</f>
        <v>0</v>
      </c>
      <c r="H132" s="16">
        <f>SUMIFS('Business - Dump'!$U:$U,'Business - Dump'!$D:$D,'SKU Repoprt'!$D132,'Business - Dump'!$A:$A,'SKU Repoprt'!H$1)</f>
        <v>0</v>
      </c>
      <c r="I132" s="16">
        <f>SUMIFS('Business - Dump'!$U:$U,'Business - Dump'!$D:$D,'SKU Repoprt'!$D132,'Business - Dump'!$A:$A,'SKU Repoprt'!I$1)</f>
        <v>0</v>
      </c>
      <c r="J132" s="16">
        <f>SUMIFS('Business - Dump'!$U:$U,'Business - Dump'!$D:$D,'SKU Repoprt'!$D132,'Business - Dump'!$A:$A,'SKU Repoprt'!J$1)</f>
        <v>0</v>
      </c>
      <c r="K132" s="16">
        <f>SUMIFS('Business - Dump'!$U:$U,'Business - Dump'!$D:$D,'SKU Repoprt'!$D132,'Business - Dump'!$A:$A,'SKU Repoprt'!K$1)</f>
        <v>0</v>
      </c>
      <c r="L132" s="16">
        <f>SUMIFS('Business - Dump'!$U:$U,'Business - Dump'!$D:$D,'SKU Repoprt'!$D132,'Business - Dump'!$A:$A,'SKU Repoprt'!L$1)</f>
        <v>0</v>
      </c>
      <c r="M132" s="16">
        <f>SUMIFS('Business - Dump'!$U:$U,'Business - Dump'!$D:$D,'SKU Repoprt'!$D132,'Business - Dump'!$A:$A,'SKU Repoprt'!M$1)</f>
        <v>0</v>
      </c>
      <c r="N132" s="16">
        <f>SUMIFS('Business - Dump'!$U:$U,'Business - Dump'!$D:$D,'SKU Repoprt'!$D132,'Business - Dump'!$A:$A,'SKU Repoprt'!N$1)</f>
        <v>0</v>
      </c>
      <c r="O132" s="16">
        <f>SUMIFS('Business - Dump'!$U:$U,'Business - Dump'!$D:$D,'SKU Repoprt'!$D132,'Business - Dump'!$A:$A,'SKU Repoprt'!O$1)</f>
        <v>0</v>
      </c>
      <c r="P132" s="16">
        <f>SUMIFS('Business - Dump'!$U:$U,'Business - Dump'!$D:$D,'SKU Repoprt'!$D132,'Business - Dump'!$A:$A,'SKU Repoprt'!P$1)</f>
        <v>24250</v>
      </c>
      <c r="Q132" s="16">
        <f>SUMIFS('Business - Dump'!$U:$U,'Business - Dump'!$D:$D,'SKU Repoprt'!$D132,'Business - Dump'!$A:$A,'SKU Repoprt'!Q$1)</f>
        <v>25996</v>
      </c>
      <c r="R132" s="16">
        <f>SUMIFS('Business - Dump'!$U:$U,'Business - Dump'!$D:$D,'SKU Repoprt'!$D132,'Business - Dump'!$A:$A,'SKU Repoprt'!R$1)</f>
        <v>0</v>
      </c>
      <c r="S132" s="16">
        <f>SUMIFS('Business - Dump'!$U:$U,'Business - Dump'!$D:$D,'SKU Repoprt'!$D132,'Business - Dump'!$A:$A,'SKU Repoprt'!S$1)</f>
        <v>23299</v>
      </c>
      <c r="T132" s="16">
        <f>SUMIFS('Business - Dump'!$U:$U,'Business - Dump'!$D:$D,'SKU Repoprt'!$D132,'Business - Dump'!$A:$A,'SKU Repoprt'!T$1)</f>
        <v>61730</v>
      </c>
      <c r="U132" s="16">
        <f>SUMIFS('Business - Dump'!$U:$U,'Business - Dump'!$D:$D,'SKU Repoprt'!$D132,'Business - Dump'!$A:$A,'SKU Repoprt'!U$1)</f>
        <v>49363</v>
      </c>
      <c r="V132" s="16">
        <f>SUMIFS('Business - Dump'!$U:$U,'Business - Dump'!$D:$D,'SKU Repoprt'!$D132,'Business - Dump'!$A:$A,'SKU Repoprt'!V$1)</f>
        <v>67870</v>
      </c>
      <c r="W132" s="16">
        <f>SUMIFS('Business - Dump'!$U:$U,'Business - Dump'!$D:$D,'SKU Repoprt'!$D132,'Business - Dump'!$A:$A,'SKU Repoprt'!W$1)</f>
        <v>58890</v>
      </c>
    </row>
    <row r="133" ht="15.75" customHeight="1">
      <c r="A133" s="10" t="s">
        <v>158</v>
      </c>
      <c r="B133" s="10" t="s">
        <v>158</v>
      </c>
      <c r="C133" s="10"/>
      <c r="D133" s="10" t="s">
        <v>355</v>
      </c>
      <c r="E133" s="10" t="s">
        <v>29</v>
      </c>
      <c r="F133" s="17">
        <v>0.027042857142857143</v>
      </c>
      <c r="G133" s="17">
        <f t="shared" ref="G133:W133" si="44">IFERROR(G131/G128,0)</f>
        <v>0</v>
      </c>
      <c r="H133" s="17">
        <f t="shared" si="44"/>
        <v>0</v>
      </c>
      <c r="I133" s="17">
        <f t="shared" si="44"/>
        <v>0</v>
      </c>
      <c r="J133" s="17">
        <f t="shared" si="44"/>
        <v>0</v>
      </c>
      <c r="K133" s="17">
        <f t="shared" si="44"/>
        <v>0</v>
      </c>
      <c r="L133" s="17">
        <f t="shared" si="44"/>
        <v>0</v>
      </c>
      <c r="M133" s="17">
        <f t="shared" si="44"/>
        <v>0</v>
      </c>
      <c r="N133" s="17">
        <f t="shared" si="44"/>
        <v>0</v>
      </c>
      <c r="O133" s="17">
        <f t="shared" si="44"/>
        <v>0</v>
      </c>
      <c r="P133" s="17">
        <f t="shared" si="44"/>
        <v>0.004784688995</v>
      </c>
      <c r="Q133" s="17">
        <f t="shared" si="44"/>
        <v>0.003177124702</v>
      </c>
      <c r="R133" s="17">
        <f t="shared" si="44"/>
        <v>0</v>
      </c>
      <c r="S133" s="17">
        <f t="shared" si="44"/>
        <v>0.008802816901</v>
      </c>
      <c r="T133" s="17">
        <f t="shared" si="44"/>
        <v>0.005184331797</v>
      </c>
      <c r="U133" s="17">
        <f t="shared" si="44"/>
        <v>0.007476635514</v>
      </c>
      <c r="V133" s="17">
        <f t="shared" si="44"/>
        <v>0.005657708628</v>
      </c>
      <c r="W133" s="17">
        <f t="shared" si="44"/>
        <v>0.004821600771</v>
      </c>
    </row>
    <row r="134" ht="15.75" customHeight="1">
      <c r="A134" s="10" t="s">
        <v>341</v>
      </c>
      <c r="B134" s="10" t="s">
        <v>341</v>
      </c>
      <c r="C134" s="10"/>
      <c r="D134" s="10" t="s">
        <v>316</v>
      </c>
      <c r="E134" s="10" t="s">
        <v>257</v>
      </c>
      <c r="F134" s="3">
        <f t="shared" ref="F134:F138" si="45">SUM(G134:S134)</f>
        <v>2006</v>
      </c>
      <c r="G134" s="3">
        <f>SUMIFS('Business - Dump'!$G:$G,'Business - Dump'!$D:$D,'SKU Repoprt'!$D134,'Business - Dump'!$A:$A,'SKU Repoprt'!G$1)</f>
        <v>1280</v>
      </c>
      <c r="H134" s="3">
        <f>SUMIFS('Business - Dump'!$G:$G,'Business - Dump'!$D:$D,'SKU Repoprt'!$D134,'Business - Dump'!$A:$A,'SKU Repoprt'!H$1)</f>
        <v>0</v>
      </c>
      <c r="I134" s="3">
        <f>SUMIFS('Business - Dump'!$G:$G,'Business - Dump'!$D:$D,'SKU Repoprt'!$D134,'Business - Dump'!$A:$A,'SKU Repoprt'!I$1)</f>
        <v>0</v>
      </c>
      <c r="J134" s="3">
        <f>SUMIFS('Business - Dump'!$G:$G,'Business - Dump'!$D:$D,'SKU Repoprt'!$D134,'Business - Dump'!$A:$A,'SKU Repoprt'!J$1)</f>
        <v>0</v>
      </c>
      <c r="K134" s="3">
        <f>SUMIFS('Business - Dump'!$G:$G,'Business - Dump'!$D:$D,'SKU Repoprt'!$D134,'Business - Dump'!$A:$A,'SKU Repoprt'!K$1)</f>
        <v>0</v>
      </c>
      <c r="L134" s="3">
        <f>SUMIFS('Business - Dump'!$G:$G,'Business - Dump'!$D:$D,'SKU Repoprt'!$D134,'Business - Dump'!$A:$A,'SKU Repoprt'!L$1)</f>
        <v>96</v>
      </c>
      <c r="M134" s="3">
        <f>SUMIFS('Business - Dump'!$G:$G,'Business - Dump'!$D:$D,'SKU Repoprt'!$D134,'Business - Dump'!$A:$A,'SKU Repoprt'!M$1)</f>
        <v>138</v>
      </c>
      <c r="N134" s="3">
        <f>SUMIFS('Business - Dump'!$G:$G,'Business - Dump'!$D:$D,'SKU Repoprt'!$D134,'Business - Dump'!$A:$A,'SKU Repoprt'!N$1)</f>
        <v>150</v>
      </c>
      <c r="O134" s="3">
        <f>SUMIFS('Business - Dump'!$G:$G,'Business - Dump'!$D:$D,'SKU Repoprt'!$D134,'Business - Dump'!$A:$A,'SKU Repoprt'!O$1)</f>
        <v>203</v>
      </c>
      <c r="P134" s="3">
        <f>SUMIFS('Business - Dump'!$G:$G,'Business - Dump'!$D:$D,'SKU Repoprt'!$D134,'Business - Dump'!$A:$A,'SKU Repoprt'!P$1)</f>
        <v>139</v>
      </c>
      <c r="Q134" s="3">
        <f>SUMIFS('Business - Dump'!$G:$G,'Business - Dump'!$D:$D,'SKU Repoprt'!$D134,'Business - Dump'!$A:$A,'SKU Repoprt'!Q$1)</f>
        <v>0</v>
      </c>
      <c r="R134" s="3">
        <f>SUMIFS('Business - Dump'!$G:$G,'Business - Dump'!$D:$D,'SKU Repoprt'!$D134,'Business - Dump'!$A:$A,'SKU Repoprt'!R$1)</f>
        <v>0</v>
      </c>
      <c r="S134" s="3">
        <f>SUMIFS('Business - Dump'!$G:$G,'Business - Dump'!$D:$D,'SKU Repoprt'!$D134,'Business - Dump'!$A:$A,'SKU Repoprt'!S$1)</f>
        <v>0</v>
      </c>
      <c r="T134" s="3">
        <f>SUMIFS('Business - Dump'!$G:$G,'Business - Dump'!$D:$D,'SKU Repoprt'!$D134,'Business - Dump'!$A:$A,'SKU Repoprt'!T$1)</f>
        <v>0</v>
      </c>
      <c r="U134" s="3">
        <f>SUMIFS('Business - Dump'!$G:$G,'Business - Dump'!$D:$D,'SKU Repoprt'!$D134,'Business - Dump'!$A:$A,'SKU Repoprt'!U$1)</f>
        <v>0</v>
      </c>
      <c r="V134" s="3">
        <f>SUMIFS('Business - Dump'!$G:$G,'Business - Dump'!$D:$D,'SKU Repoprt'!$D134,'Business - Dump'!$A:$A,'SKU Repoprt'!V$1)</f>
        <v>0</v>
      </c>
      <c r="W134" s="3">
        <f>SUMIFS('Business - Dump'!$G:$G,'Business - Dump'!$D:$D,'SKU Repoprt'!$D134,'Business - Dump'!$A:$A,'SKU Repoprt'!W$1)</f>
        <v>0</v>
      </c>
    </row>
    <row r="135" ht="15.75" customHeight="1">
      <c r="A135" s="10" t="s">
        <v>341</v>
      </c>
      <c r="B135" s="10" t="s">
        <v>341</v>
      </c>
      <c r="C135" s="10"/>
      <c r="D135" s="10" t="s">
        <v>316</v>
      </c>
      <c r="E135" s="10" t="s">
        <v>260</v>
      </c>
      <c r="F135" s="3">
        <f t="shared" si="45"/>
        <v>2673</v>
      </c>
      <c r="G135" s="3">
        <f>SUMIFS('Business - Dump'!$K:$K,'Business - Dump'!$D:$D,'SKU Repoprt'!$D135,'Business - Dump'!$A:$A,'SKU Repoprt'!G$1)</f>
        <v>1534</v>
      </c>
      <c r="H135" s="3">
        <f>SUMIFS('Business - Dump'!$K:$K,'Business - Dump'!$D:$D,'SKU Repoprt'!$D135,'Business - Dump'!$A:$A,'SKU Repoprt'!H$1)</f>
        <v>0</v>
      </c>
      <c r="I135" s="3">
        <f>SUMIFS('Business - Dump'!$K:$K,'Business - Dump'!$D:$D,'SKU Repoprt'!$D135,'Business - Dump'!$A:$A,'SKU Repoprt'!I$1)</f>
        <v>0</v>
      </c>
      <c r="J135" s="3">
        <f>SUMIFS('Business - Dump'!$K:$K,'Business - Dump'!$D:$D,'SKU Repoprt'!$D135,'Business - Dump'!$A:$A,'SKU Repoprt'!J$1)</f>
        <v>0</v>
      </c>
      <c r="K135" s="3">
        <f>SUMIFS('Business - Dump'!$K:$K,'Business - Dump'!$D:$D,'SKU Repoprt'!$D135,'Business - Dump'!$A:$A,'SKU Repoprt'!K$1)</f>
        <v>0</v>
      </c>
      <c r="L135" s="3">
        <f>SUMIFS('Business - Dump'!$K:$K,'Business - Dump'!$D:$D,'SKU Repoprt'!$D135,'Business - Dump'!$A:$A,'SKU Repoprt'!L$1)</f>
        <v>153</v>
      </c>
      <c r="M135" s="3">
        <f>SUMIFS('Business - Dump'!$K:$K,'Business - Dump'!$D:$D,'SKU Repoprt'!$D135,'Business - Dump'!$A:$A,'SKU Repoprt'!M$1)</f>
        <v>214</v>
      </c>
      <c r="N135" s="3">
        <f>SUMIFS('Business - Dump'!$K:$K,'Business - Dump'!$D:$D,'SKU Repoprt'!$D135,'Business - Dump'!$A:$A,'SKU Repoprt'!N$1)</f>
        <v>245</v>
      </c>
      <c r="O135" s="3">
        <f>SUMIFS('Business - Dump'!$K:$K,'Business - Dump'!$D:$D,'SKU Repoprt'!$D135,'Business - Dump'!$A:$A,'SKU Repoprt'!O$1)</f>
        <v>315</v>
      </c>
      <c r="P135" s="3">
        <f>SUMIFS('Business - Dump'!$K:$K,'Business - Dump'!$D:$D,'SKU Repoprt'!$D135,'Business - Dump'!$A:$A,'SKU Repoprt'!P$1)</f>
        <v>212</v>
      </c>
      <c r="Q135" s="3">
        <f>SUMIFS('Business - Dump'!$K:$K,'Business - Dump'!$D:$D,'SKU Repoprt'!$D135,'Business - Dump'!$A:$A,'SKU Repoprt'!Q$1)</f>
        <v>0</v>
      </c>
      <c r="R135" s="3">
        <f>SUMIFS('Business - Dump'!$K:$K,'Business - Dump'!$D:$D,'SKU Repoprt'!$D135,'Business - Dump'!$A:$A,'SKU Repoprt'!R$1)</f>
        <v>0</v>
      </c>
      <c r="S135" s="3">
        <f>SUMIFS('Business - Dump'!$K:$K,'Business - Dump'!$D:$D,'SKU Repoprt'!$D135,'Business - Dump'!$A:$A,'SKU Repoprt'!S$1)</f>
        <v>0</v>
      </c>
      <c r="T135" s="3">
        <f>SUMIFS('Business - Dump'!$K:$K,'Business - Dump'!$D:$D,'SKU Repoprt'!$D135,'Business - Dump'!$A:$A,'SKU Repoprt'!T$1)</f>
        <v>0</v>
      </c>
      <c r="U135" s="3">
        <f>SUMIFS('Business - Dump'!$K:$K,'Business - Dump'!$D:$D,'SKU Repoprt'!$D135,'Business - Dump'!$A:$A,'SKU Repoprt'!U$1)</f>
        <v>0</v>
      </c>
      <c r="V135" s="3">
        <f>SUMIFS('Business - Dump'!$K:$K,'Business - Dump'!$D:$D,'SKU Repoprt'!$D135,'Business - Dump'!$A:$A,'SKU Repoprt'!V$1)</f>
        <v>0</v>
      </c>
      <c r="W135" s="3">
        <f>SUMIFS('Business - Dump'!$K:$K,'Business - Dump'!$D:$D,'SKU Repoprt'!$D135,'Business - Dump'!$A:$A,'SKU Repoprt'!W$1)</f>
        <v>0</v>
      </c>
    </row>
    <row r="136" ht="15.75" customHeight="1">
      <c r="A136" s="10" t="s">
        <v>341</v>
      </c>
      <c r="B136" s="10" t="s">
        <v>341</v>
      </c>
      <c r="C136" s="10"/>
      <c r="D136" s="10" t="s">
        <v>316</v>
      </c>
      <c r="E136" s="10" t="s">
        <v>264</v>
      </c>
      <c r="F136" s="3">
        <f t="shared" si="45"/>
        <v>7</v>
      </c>
      <c r="G136" s="3">
        <f>SUMIFS('Business - Dump'!$Q:$Q,'Business - Dump'!$D:$D,'SKU Repoprt'!$D136,'Business - Dump'!$A:$A,'SKU Repoprt'!G$1)</f>
        <v>2</v>
      </c>
      <c r="H136" s="3">
        <f>SUMIFS('Business - Dump'!$Q:$Q,'Business - Dump'!$D:$D,'SKU Repoprt'!$D136,'Business - Dump'!$A:$A,'SKU Repoprt'!H$1)</f>
        <v>0</v>
      </c>
      <c r="I136" s="3">
        <f>SUMIFS('Business - Dump'!$Q:$Q,'Business - Dump'!$D:$D,'SKU Repoprt'!$D136,'Business - Dump'!$A:$A,'SKU Repoprt'!I$1)</f>
        <v>0</v>
      </c>
      <c r="J136" s="3">
        <f>SUMIFS('Business - Dump'!$Q:$Q,'Business - Dump'!$D:$D,'SKU Repoprt'!$D136,'Business - Dump'!$A:$A,'SKU Repoprt'!J$1)</f>
        <v>0</v>
      </c>
      <c r="K136" s="3">
        <f>SUMIFS('Business - Dump'!$Q:$Q,'Business - Dump'!$D:$D,'SKU Repoprt'!$D136,'Business - Dump'!$A:$A,'SKU Repoprt'!K$1)</f>
        <v>0</v>
      </c>
      <c r="L136" s="3">
        <f>SUMIFS('Business - Dump'!$Q:$Q,'Business - Dump'!$D:$D,'SKU Repoprt'!$D136,'Business - Dump'!$A:$A,'SKU Repoprt'!L$1)</f>
        <v>1</v>
      </c>
      <c r="M136" s="3">
        <f>SUMIFS('Business - Dump'!$Q:$Q,'Business - Dump'!$D:$D,'SKU Repoprt'!$D136,'Business - Dump'!$A:$A,'SKU Repoprt'!M$1)</f>
        <v>0</v>
      </c>
      <c r="N136" s="3">
        <f>SUMIFS('Business - Dump'!$Q:$Q,'Business - Dump'!$D:$D,'SKU Repoprt'!$D136,'Business - Dump'!$A:$A,'SKU Repoprt'!N$1)</f>
        <v>1</v>
      </c>
      <c r="O136" s="3">
        <f>SUMIFS('Business - Dump'!$Q:$Q,'Business - Dump'!$D:$D,'SKU Repoprt'!$D136,'Business - Dump'!$A:$A,'SKU Repoprt'!O$1)</f>
        <v>1</v>
      </c>
      <c r="P136" s="3">
        <f>SUMIFS('Business - Dump'!$Q:$Q,'Business - Dump'!$D:$D,'SKU Repoprt'!$D136,'Business - Dump'!$A:$A,'SKU Repoprt'!P$1)</f>
        <v>2</v>
      </c>
      <c r="Q136" s="3">
        <f>SUMIFS('Business - Dump'!$Q:$Q,'Business - Dump'!$D:$D,'SKU Repoprt'!$D136,'Business - Dump'!$A:$A,'SKU Repoprt'!Q$1)</f>
        <v>0</v>
      </c>
      <c r="R136" s="3">
        <f>SUMIFS('Business - Dump'!$Q:$Q,'Business - Dump'!$D:$D,'SKU Repoprt'!$D136,'Business - Dump'!$A:$A,'SKU Repoprt'!R$1)</f>
        <v>0</v>
      </c>
      <c r="S136" s="3">
        <f>SUMIFS('Business - Dump'!$Q:$Q,'Business - Dump'!$D:$D,'SKU Repoprt'!$D136,'Business - Dump'!$A:$A,'SKU Repoprt'!S$1)</f>
        <v>0</v>
      </c>
      <c r="T136" s="3">
        <f>SUMIFS('Business - Dump'!$Q:$Q,'Business - Dump'!$D:$D,'SKU Repoprt'!$D136,'Business - Dump'!$A:$A,'SKU Repoprt'!T$1)</f>
        <v>0</v>
      </c>
      <c r="U136" s="3">
        <f>SUMIFS('Business - Dump'!$Q:$Q,'Business - Dump'!$D:$D,'SKU Repoprt'!$D136,'Business - Dump'!$A:$A,'SKU Repoprt'!U$1)</f>
        <v>0</v>
      </c>
      <c r="V136" s="3">
        <f>SUMIFS('Business - Dump'!$Q:$Q,'Business - Dump'!$D:$D,'SKU Repoprt'!$D136,'Business - Dump'!$A:$A,'SKU Repoprt'!V$1)</f>
        <v>0</v>
      </c>
      <c r="W136" s="3">
        <f>SUMIFS('Business - Dump'!$Q:$Q,'Business - Dump'!$D:$D,'SKU Repoprt'!$D136,'Business - Dump'!$A:$A,'SKU Repoprt'!W$1)</f>
        <v>0</v>
      </c>
    </row>
    <row r="137" ht="15.75" customHeight="1">
      <c r="A137" s="10" t="s">
        <v>341</v>
      </c>
      <c r="B137" s="10" t="s">
        <v>341</v>
      </c>
      <c r="C137" s="10"/>
      <c r="D137" s="10" t="s">
        <v>316</v>
      </c>
      <c r="E137" s="10" t="s">
        <v>268</v>
      </c>
      <c r="F137" s="3">
        <f t="shared" si="45"/>
        <v>7</v>
      </c>
      <c r="G137" s="3">
        <f>SUMIFS('Business - Dump'!$W:$W,'Business - Dump'!$D:$D,'SKU Repoprt'!$D137,'Business - Dump'!$A:$A,'SKU Repoprt'!G$1)</f>
        <v>2</v>
      </c>
      <c r="H137" s="3">
        <f>SUMIFS('Business - Dump'!$W:$W,'Business - Dump'!$D:$D,'SKU Repoprt'!$D137,'Business - Dump'!$A:$A,'SKU Repoprt'!H$1)</f>
        <v>0</v>
      </c>
      <c r="I137" s="3">
        <f>SUMIFS('Business - Dump'!$W:$W,'Business - Dump'!$D:$D,'SKU Repoprt'!$D137,'Business - Dump'!$A:$A,'SKU Repoprt'!I$1)</f>
        <v>0</v>
      </c>
      <c r="J137" s="3">
        <f>SUMIFS('Business - Dump'!$W:$W,'Business - Dump'!$D:$D,'SKU Repoprt'!$D137,'Business - Dump'!$A:$A,'SKU Repoprt'!J$1)</f>
        <v>0</v>
      </c>
      <c r="K137" s="3">
        <f>SUMIFS('Business - Dump'!$W:$W,'Business - Dump'!$D:$D,'SKU Repoprt'!$D137,'Business - Dump'!$A:$A,'SKU Repoprt'!K$1)</f>
        <v>0</v>
      </c>
      <c r="L137" s="3">
        <f>SUMIFS('Business - Dump'!$W:$W,'Business - Dump'!$D:$D,'SKU Repoprt'!$D137,'Business - Dump'!$A:$A,'SKU Repoprt'!L$1)</f>
        <v>1</v>
      </c>
      <c r="M137" s="3">
        <f>SUMIFS('Business - Dump'!$W:$W,'Business - Dump'!$D:$D,'SKU Repoprt'!$D137,'Business - Dump'!$A:$A,'SKU Repoprt'!M$1)</f>
        <v>0</v>
      </c>
      <c r="N137" s="3">
        <f>SUMIFS('Business - Dump'!$W:$W,'Business - Dump'!$D:$D,'SKU Repoprt'!$D137,'Business - Dump'!$A:$A,'SKU Repoprt'!N$1)</f>
        <v>1</v>
      </c>
      <c r="O137" s="3">
        <f>SUMIFS('Business - Dump'!$W:$W,'Business - Dump'!$D:$D,'SKU Repoprt'!$D137,'Business - Dump'!$A:$A,'SKU Repoprt'!O$1)</f>
        <v>1</v>
      </c>
      <c r="P137" s="3">
        <f>SUMIFS('Business - Dump'!$W:$W,'Business - Dump'!$D:$D,'SKU Repoprt'!$D137,'Business - Dump'!$A:$A,'SKU Repoprt'!P$1)</f>
        <v>2</v>
      </c>
      <c r="Q137" s="3">
        <f>SUMIFS('Business - Dump'!$W:$W,'Business - Dump'!$D:$D,'SKU Repoprt'!$D137,'Business - Dump'!$A:$A,'SKU Repoprt'!Q$1)</f>
        <v>0</v>
      </c>
      <c r="R137" s="3">
        <f>SUMIFS('Business - Dump'!$W:$W,'Business - Dump'!$D:$D,'SKU Repoprt'!$D137,'Business - Dump'!$A:$A,'SKU Repoprt'!R$1)</f>
        <v>0</v>
      </c>
      <c r="S137" s="3">
        <f>SUMIFS('Business - Dump'!$W:$W,'Business - Dump'!$D:$D,'SKU Repoprt'!$D137,'Business - Dump'!$A:$A,'SKU Repoprt'!S$1)</f>
        <v>0</v>
      </c>
      <c r="T137" s="3">
        <f>SUMIFS('Business - Dump'!$W:$W,'Business - Dump'!$D:$D,'SKU Repoprt'!$D137,'Business - Dump'!$A:$A,'SKU Repoprt'!T$1)</f>
        <v>0</v>
      </c>
      <c r="U137" s="3">
        <f>SUMIFS('Business - Dump'!$W:$W,'Business - Dump'!$D:$D,'SKU Repoprt'!$D137,'Business - Dump'!$A:$A,'SKU Repoprt'!U$1)</f>
        <v>0</v>
      </c>
      <c r="V137" s="3">
        <f>SUMIFS('Business - Dump'!$W:$W,'Business - Dump'!$D:$D,'SKU Repoprt'!$D137,'Business - Dump'!$A:$A,'SKU Repoprt'!V$1)</f>
        <v>0</v>
      </c>
      <c r="W137" s="3">
        <f>SUMIFS('Business - Dump'!$W:$W,'Business - Dump'!$D:$D,'SKU Repoprt'!$D137,'Business - Dump'!$A:$A,'SKU Repoprt'!W$1)</f>
        <v>0</v>
      </c>
    </row>
    <row r="138" ht="15.75" customHeight="1">
      <c r="A138" s="10" t="s">
        <v>341</v>
      </c>
      <c r="B138" s="10" t="s">
        <v>341</v>
      </c>
      <c r="C138" s="10"/>
      <c r="D138" s="10" t="s">
        <v>316</v>
      </c>
      <c r="E138" s="10" t="s">
        <v>26</v>
      </c>
      <c r="F138" s="16">
        <f t="shared" si="45"/>
        <v>16400</v>
      </c>
      <c r="G138" s="16">
        <f>SUMIFS('Business - Dump'!$U:$U,'Business - Dump'!$D:$D,'SKU Repoprt'!$D138,'Business - Dump'!$A:$A,'SKU Repoprt'!G$1)</f>
        <v>6600</v>
      </c>
      <c r="H138" s="16">
        <f>SUMIFS('Business - Dump'!$U:$U,'Business - Dump'!$D:$D,'SKU Repoprt'!$D138,'Business - Dump'!$A:$A,'SKU Repoprt'!H$1)</f>
        <v>0</v>
      </c>
      <c r="I138" s="16">
        <f>SUMIFS('Business - Dump'!$U:$U,'Business - Dump'!$D:$D,'SKU Repoprt'!$D138,'Business - Dump'!$A:$A,'SKU Repoprt'!I$1)</f>
        <v>0</v>
      </c>
      <c r="J138" s="16">
        <f>SUMIFS('Business - Dump'!$U:$U,'Business - Dump'!$D:$D,'SKU Repoprt'!$D138,'Business - Dump'!$A:$A,'SKU Repoprt'!J$1)</f>
        <v>0</v>
      </c>
      <c r="K138" s="16">
        <f>SUMIFS('Business - Dump'!$U:$U,'Business - Dump'!$D:$D,'SKU Repoprt'!$D138,'Business - Dump'!$A:$A,'SKU Repoprt'!K$1)</f>
        <v>0</v>
      </c>
      <c r="L138" s="16">
        <f>SUMIFS('Business - Dump'!$U:$U,'Business - Dump'!$D:$D,'SKU Repoprt'!$D138,'Business - Dump'!$A:$A,'SKU Repoprt'!L$1)</f>
        <v>2600</v>
      </c>
      <c r="M138" s="16">
        <f>SUMIFS('Business - Dump'!$U:$U,'Business - Dump'!$D:$D,'SKU Repoprt'!$D138,'Business - Dump'!$A:$A,'SKU Repoprt'!M$1)</f>
        <v>0</v>
      </c>
      <c r="N138" s="16">
        <f>SUMIFS('Business - Dump'!$U:$U,'Business - Dump'!$D:$D,'SKU Repoprt'!$D138,'Business - Dump'!$A:$A,'SKU Repoprt'!N$1)</f>
        <v>1800</v>
      </c>
      <c r="O138" s="16">
        <f>SUMIFS('Business - Dump'!$U:$U,'Business - Dump'!$D:$D,'SKU Repoprt'!$D138,'Business - Dump'!$A:$A,'SKU Repoprt'!O$1)</f>
        <v>1800</v>
      </c>
      <c r="P138" s="16">
        <f>SUMIFS('Business - Dump'!$U:$U,'Business - Dump'!$D:$D,'SKU Repoprt'!$D138,'Business - Dump'!$A:$A,'SKU Repoprt'!P$1)</f>
        <v>3600</v>
      </c>
      <c r="Q138" s="16">
        <f>SUMIFS('Business - Dump'!$U:$U,'Business - Dump'!$D:$D,'SKU Repoprt'!$D138,'Business - Dump'!$A:$A,'SKU Repoprt'!Q$1)</f>
        <v>0</v>
      </c>
      <c r="R138" s="16">
        <f>SUMIFS('Business - Dump'!$U:$U,'Business - Dump'!$D:$D,'SKU Repoprt'!$D138,'Business - Dump'!$A:$A,'SKU Repoprt'!R$1)</f>
        <v>0</v>
      </c>
      <c r="S138" s="16">
        <f>SUMIFS('Business - Dump'!$U:$U,'Business - Dump'!$D:$D,'SKU Repoprt'!$D138,'Business - Dump'!$A:$A,'SKU Repoprt'!S$1)</f>
        <v>0</v>
      </c>
      <c r="T138" s="16">
        <f>SUMIFS('Business - Dump'!$U:$U,'Business - Dump'!$D:$D,'SKU Repoprt'!$D138,'Business - Dump'!$A:$A,'SKU Repoprt'!T$1)</f>
        <v>0</v>
      </c>
      <c r="U138" s="16">
        <f>SUMIFS('Business - Dump'!$U:$U,'Business - Dump'!$D:$D,'SKU Repoprt'!$D138,'Business - Dump'!$A:$A,'SKU Repoprt'!U$1)</f>
        <v>0</v>
      </c>
      <c r="V138" s="16">
        <f>SUMIFS('Business - Dump'!$U:$U,'Business - Dump'!$D:$D,'SKU Repoprt'!$D138,'Business - Dump'!$A:$A,'SKU Repoprt'!V$1)</f>
        <v>0</v>
      </c>
      <c r="W138" s="16">
        <f>SUMIFS('Business - Dump'!$U:$U,'Business - Dump'!$D:$D,'SKU Repoprt'!$D138,'Business - Dump'!$A:$A,'SKU Repoprt'!W$1)</f>
        <v>0</v>
      </c>
    </row>
    <row r="139" ht="15.75" customHeight="1">
      <c r="A139" s="10" t="s">
        <v>341</v>
      </c>
      <c r="B139" s="10" t="s">
        <v>341</v>
      </c>
      <c r="C139" s="10"/>
      <c r="D139" s="10" t="s">
        <v>316</v>
      </c>
      <c r="E139" s="10" t="s">
        <v>29</v>
      </c>
      <c r="F139" s="17">
        <v>0.027042857142857143</v>
      </c>
      <c r="G139" s="17">
        <f t="shared" ref="G139:W139" si="46">IFERROR(G137/G134,0)</f>
        <v>0.0015625</v>
      </c>
      <c r="H139" s="17">
        <f t="shared" si="46"/>
        <v>0</v>
      </c>
      <c r="I139" s="17">
        <f t="shared" si="46"/>
        <v>0</v>
      </c>
      <c r="J139" s="17">
        <f t="shared" si="46"/>
        <v>0</v>
      </c>
      <c r="K139" s="17">
        <f t="shared" si="46"/>
        <v>0</v>
      </c>
      <c r="L139" s="17">
        <f t="shared" si="46"/>
        <v>0.01041666667</v>
      </c>
      <c r="M139" s="17">
        <f t="shared" si="46"/>
        <v>0</v>
      </c>
      <c r="N139" s="17">
        <f t="shared" si="46"/>
        <v>0.006666666667</v>
      </c>
      <c r="O139" s="17">
        <f t="shared" si="46"/>
        <v>0.004926108374</v>
      </c>
      <c r="P139" s="17">
        <f t="shared" si="46"/>
        <v>0.01438848921</v>
      </c>
      <c r="Q139" s="17">
        <f t="shared" si="46"/>
        <v>0</v>
      </c>
      <c r="R139" s="17">
        <f t="shared" si="46"/>
        <v>0</v>
      </c>
      <c r="S139" s="17">
        <f t="shared" si="46"/>
        <v>0</v>
      </c>
      <c r="T139" s="17">
        <f t="shared" si="46"/>
        <v>0</v>
      </c>
      <c r="U139" s="17">
        <f t="shared" si="46"/>
        <v>0</v>
      </c>
      <c r="V139" s="17">
        <f t="shared" si="46"/>
        <v>0</v>
      </c>
      <c r="W139" s="17">
        <f t="shared" si="46"/>
        <v>0</v>
      </c>
    </row>
    <row r="140" ht="15.75" customHeight="1">
      <c r="A140" s="10" t="s">
        <v>341</v>
      </c>
      <c r="B140" s="10" t="s">
        <v>341</v>
      </c>
      <c r="C140" s="10"/>
      <c r="D140" s="10" t="s">
        <v>352</v>
      </c>
      <c r="E140" s="10" t="s">
        <v>257</v>
      </c>
      <c r="F140" s="3">
        <f t="shared" ref="F140:F144" si="47">SUM(G140:S140)</f>
        <v>2141</v>
      </c>
      <c r="G140" s="3">
        <f>SUMIFS('Business - Dump'!$G:$G,'Business - Dump'!$D:$D,'SKU Repoprt'!$D140,'Business - Dump'!$A:$A,'SKU Repoprt'!G$1)</f>
        <v>0</v>
      </c>
      <c r="H140" s="3">
        <f>SUMIFS('Business - Dump'!$G:$G,'Business - Dump'!$D:$D,'SKU Repoprt'!$D140,'Business - Dump'!$A:$A,'SKU Repoprt'!H$1)</f>
        <v>0</v>
      </c>
      <c r="I140" s="3">
        <f>SUMIFS('Business - Dump'!$G:$G,'Business - Dump'!$D:$D,'SKU Repoprt'!$D140,'Business - Dump'!$A:$A,'SKU Repoprt'!I$1)</f>
        <v>196</v>
      </c>
      <c r="J140" s="3">
        <f>SUMIFS('Business - Dump'!$G:$G,'Business - Dump'!$D:$D,'SKU Repoprt'!$D140,'Business - Dump'!$A:$A,'SKU Repoprt'!J$1)</f>
        <v>0</v>
      </c>
      <c r="K140" s="3">
        <f>SUMIFS('Business - Dump'!$G:$G,'Business - Dump'!$D:$D,'SKU Repoprt'!$D140,'Business - Dump'!$A:$A,'SKU Repoprt'!K$1)</f>
        <v>0</v>
      </c>
      <c r="L140" s="3">
        <f>SUMIFS('Business - Dump'!$G:$G,'Business - Dump'!$D:$D,'SKU Repoprt'!$D140,'Business - Dump'!$A:$A,'SKU Repoprt'!L$1)</f>
        <v>0</v>
      </c>
      <c r="M140" s="3">
        <f>SUMIFS('Business - Dump'!$G:$G,'Business - Dump'!$D:$D,'SKU Repoprt'!$D140,'Business - Dump'!$A:$A,'SKU Repoprt'!M$1)</f>
        <v>795</v>
      </c>
      <c r="N140" s="3">
        <f>SUMIFS('Business - Dump'!$G:$G,'Business - Dump'!$D:$D,'SKU Repoprt'!$D140,'Business - Dump'!$A:$A,'SKU Repoprt'!N$1)</f>
        <v>787</v>
      </c>
      <c r="O140" s="3">
        <f>SUMIFS('Business - Dump'!$G:$G,'Business - Dump'!$D:$D,'SKU Repoprt'!$D140,'Business - Dump'!$A:$A,'SKU Repoprt'!O$1)</f>
        <v>262</v>
      </c>
      <c r="P140" s="3">
        <f>SUMIFS('Business - Dump'!$G:$G,'Business - Dump'!$D:$D,'SKU Repoprt'!$D140,'Business - Dump'!$A:$A,'SKU Repoprt'!P$1)</f>
        <v>101</v>
      </c>
      <c r="Q140" s="3">
        <f>SUMIFS('Business - Dump'!$G:$G,'Business - Dump'!$D:$D,'SKU Repoprt'!$D140,'Business - Dump'!$A:$A,'SKU Repoprt'!Q$1)</f>
        <v>0</v>
      </c>
      <c r="R140" s="3">
        <f>SUMIFS('Business - Dump'!$G:$G,'Business - Dump'!$D:$D,'SKU Repoprt'!$D140,'Business - Dump'!$A:$A,'SKU Repoprt'!R$1)</f>
        <v>0</v>
      </c>
      <c r="S140" s="3">
        <f>SUMIFS('Business - Dump'!$G:$G,'Business - Dump'!$D:$D,'SKU Repoprt'!$D140,'Business - Dump'!$A:$A,'SKU Repoprt'!S$1)</f>
        <v>0</v>
      </c>
      <c r="T140" s="3">
        <f>SUMIFS('Business - Dump'!$G:$G,'Business - Dump'!$D:$D,'SKU Repoprt'!$D140,'Business - Dump'!$A:$A,'SKU Repoprt'!T$1)</f>
        <v>0</v>
      </c>
      <c r="U140" s="3">
        <f>SUMIFS('Business - Dump'!$G:$G,'Business - Dump'!$D:$D,'SKU Repoprt'!$D140,'Business - Dump'!$A:$A,'SKU Repoprt'!U$1)</f>
        <v>0</v>
      </c>
      <c r="V140" s="3">
        <f>SUMIFS('Business - Dump'!$G:$G,'Business - Dump'!$D:$D,'SKU Repoprt'!$D140,'Business - Dump'!$A:$A,'SKU Repoprt'!V$1)</f>
        <v>0</v>
      </c>
      <c r="W140" s="3">
        <f>SUMIFS('Business - Dump'!$G:$G,'Business - Dump'!$D:$D,'SKU Repoprt'!$D140,'Business - Dump'!$A:$A,'SKU Repoprt'!W$1)</f>
        <v>0</v>
      </c>
    </row>
    <row r="141" ht="15.75" customHeight="1">
      <c r="A141" s="10" t="s">
        <v>341</v>
      </c>
      <c r="B141" s="10" t="s">
        <v>341</v>
      </c>
      <c r="C141" s="10"/>
      <c r="D141" s="10" t="s">
        <v>352</v>
      </c>
      <c r="E141" s="10" t="s">
        <v>260</v>
      </c>
      <c r="F141" s="3">
        <f t="shared" si="47"/>
        <v>2577</v>
      </c>
      <c r="G141" s="3">
        <f>SUMIFS('Business - Dump'!$K:$K,'Business - Dump'!$D:$D,'SKU Repoprt'!$D141,'Business - Dump'!$A:$A,'SKU Repoprt'!G$1)</f>
        <v>0</v>
      </c>
      <c r="H141" s="3">
        <f>SUMIFS('Business - Dump'!$K:$K,'Business - Dump'!$D:$D,'SKU Repoprt'!$D141,'Business - Dump'!$A:$A,'SKU Repoprt'!H$1)</f>
        <v>0</v>
      </c>
      <c r="I141" s="3">
        <f>SUMIFS('Business - Dump'!$K:$K,'Business - Dump'!$D:$D,'SKU Repoprt'!$D141,'Business - Dump'!$A:$A,'SKU Repoprt'!I$1)</f>
        <v>246</v>
      </c>
      <c r="J141" s="3">
        <f>SUMIFS('Business - Dump'!$K:$K,'Business - Dump'!$D:$D,'SKU Repoprt'!$D141,'Business - Dump'!$A:$A,'SKU Repoprt'!J$1)</f>
        <v>0</v>
      </c>
      <c r="K141" s="3">
        <f>SUMIFS('Business - Dump'!$K:$K,'Business - Dump'!$D:$D,'SKU Repoprt'!$D141,'Business - Dump'!$A:$A,'SKU Repoprt'!K$1)</f>
        <v>0</v>
      </c>
      <c r="L141" s="3">
        <f>SUMIFS('Business - Dump'!$K:$K,'Business - Dump'!$D:$D,'SKU Repoprt'!$D141,'Business - Dump'!$A:$A,'SKU Repoprt'!L$1)</f>
        <v>0</v>
      </c>
      <c r="M141" s="3">
        <f>SUMIFS('Business - Dump'!$K:$K,'Business - Dump'!$D:$D,'SKU Repoprt'!$D141,'Business - Dump'!$A:$A,'SKU Repoprt'!M$1)</f>
        <v>1022</v>
      </c>
      <c r="N141" s="3">
        <f>SUMIFS('Business - Dump'!$K:$K,'Business - Dump'!$D:$D,'SKU Repoprt'!$D141,'Business - Dump'!$A:$A,'SKU Repoprt'!N$1)</f>
        <v>859</v>
      </c>
      <c r="O141" s="3">
        <f>SUMIFS('Business - Dump'!$K:$K,'Business - Dump'!$D:$D,'SKU Repoprt'!$D141,'Business - Dump'!$A:$A,'SKU Repoprt'!O$1)</f>
        <v>325</v>
      </c>
      <c r="P141" s="3">
        <f>SUMIFS('Business - Dump'!$K:$K,'Business - Dump'!$D:$D,'SKU Repoprt'!$D141,'Business - Dump'!$A:$A,'SKU Repoprt'!P$1)</f>
        <v>125</v>
      </c>
      <c r="Q141" s="3">
        <f>SUMIFS('Business - Dump'!$K:$K,'Business - Dump'!$D:$D,'SKU Repoprt'!$D141,'Business - Dump'!$A:$A,'SKU Repoprt'!Q$1)</f>
        <v>0</v>
      </c>
      <c r="R141" s="3">
        <f>SUMIFS('Business - Dump'!$K:$K,'Business - Dump'!$D:$D,'SKU Repoprt'!$D141,'Business - Dump'!$A:$A,'SKU Repoprt'!R$1)</f>
        <v>0</v>
      </c>
      <c r="S141" s="3">
        <f>SUMIFS('Business - Dump'!$K:$K,'Business - Dump'!$D:$D,'SKU Repoprt'!$D141,'Business - Dump'!$A:$A,'SKU Repoprt'!S$1)</f>
        <v>0</v>
      </c>
      <c r="T141" s="3">
        <f>SUMIFS('Business - Dump'!$K:$K,'Business - Dump'!$D:$D,'SKU Repoprt'!$D141,'Business - Dump'!$A:$A,'SKU Repoprt'!T$1)</f>
        <v>0</v>
      </c>
      <c r="U141" s="3">
        <f>SUMIFS('Business - Dump'!$K:$K,'Business - Dump'!$D:$D,'SKU Repoprt'!$D141,'Business - Dump'!$A:$A,'SKU Repoprt'!U$1)</f>
        <v>0</v>
      </c>
      <c r="V141" s="3">
        <f>SUMIFS('Business - Dump'!$K:$K,'Business - Dump'!$D:$D,'SKU Repoprt'!$D141,'Business - Dump'!$A:$A,'SKU Repoprt'!V$1)</f>
        <v>0</v>
      </c>
      <c r="W141" s="3">
        <f>SUMIFS('Business - Dump'!$K:$K,'Business - Dump'!$D:$D,'SKU Repoprt'!$D141,'Business - Dump'!$A:$A,'SKU Repoprt'!W$1)</f>
        <v>0</v>
      </c>
    </row>
    <row r="142" ht="15.75" customHeight="1">
      <c r="A142" s="10" t="s">
        <v>341</v>
      </c>
      <c r="B142" s="10" t="s">
        <v>341</v>
      </c>
      <c r="C142" s="10"/>
      <c r="D142" s="10" t="s">
        <v>352</v>
      </c>
      <c r="E142" s="10" t="s">
        <v>264</v>
      </c>
      <c r="F142" s="3">
        <f t="shared" si="47"/>
        <v>1</v>
      </c>
      <c r="G142" s="3">
        <f>SUMIFS('Business - Dump'!$Q:$Q,'Business - Dump'!$D:$D,'SKU Repoprt'!$D142,'Business - Dump'!$A:$A,'SKU Repoprt'!G$1)</f>
        <v>0</v>
      </c>
      <c r="H142" s="3">
        <f>SUMIFS('Business - Dump'!$Q:$Q,'Business - Dump'!$D:$D,'SKU Repoprt'!$D142,'Business - Dump'!$A:$A,'SKU Repoprt'!H$1)</f>
        <v>0</v>
      </c>
      <c r="I142" s="3">
        <f>SUMIFS('Business - Dump'!$Q:$Q,'Business - Dump'!$D:$D,'SKU Repoprt'!$D142,'Business - Dump'!$A:$A,'SKU Repoprt'!I$1)</f>
        <v>1</v>
      </c>
      <c r="J142" s="3">
        <f>SUMIFS('Business - Dump'!$Q:$Q,'Business - Dump'!$D:$D,'SKU Repoprt'!$D142,'Business - Dump'!$A:$A,'SKU Repoprt'!J$1)</f>
        <v>0</v>
      </c>
      <c r="K142" s="3">
        <f>SUMIFS('Business - Dump'!$Q:$Q,'Business - Dump'!$D:$D,'SKU Repoprt'!$D142,'Business - Dump'!$A:$A,'SKU Repoprt'!K$1)</f>
        <v>0</v>
      </c>
      <c r="L142" s="3">
        <f>SUMIFS('Business - Dump'!$Q:$Q,'Business - Dump'!$D:$D,'SKU Repoprt'!$D142,'Business - Dump'!$A:$A,'SKU Repoprt'!L$1)</f>
        <v>0</v>
      </c>
      <c r="M142" s="3">
        <f>SUMIFS('Business - Dump'!$Q:$Q,'Business - Dump'!$D:$D,'SKU Repoprt'!$D142,'Business - Dump'!$A:$A,'SKU Repoprt'!M$1)</f>
        <v>0</v>
      </c>
      <c r="N142" s="3">
        <f>SUMIFS('Business - Dump'!$Q:$Q,'Business - Dump'!$D:$D,'SKU Repoprt'!$D142,'Business - Dump'!$A:$A,'SKU Repoprt'!N$1)</f>
        <v>0</v>
      </c>
      <c r="O142" s="3">
        <f>SUMIFS('Business - Dump'!$Q:$Q,'Business - Dump'!$D:$D,'SKU Repoprt'!$D142,'Business - Dump'!$A:$A,'SKU Repoprt'!O$1)</f>
        <v>0</v>
      </c>
      <c r="P142" s="3">
        <f>SUMIFS('Business - Dump'!$Q:$Q,'Business - Dump'!$D:$D,'SKU Repoprt'!$D142,'Business - Dump'!$A:$A,'SKU Repoprt'!P$1)</f>
        <v>0</v>
      </c>
      <c r="Q142" s="3">
        <f>SUMIFS('Business - Dump'!$Q:$Q,'Business - Dump'!$D:$D,'SKU Repoprt'!$D142,'Business - Dump'!$A:$A,'SKU Repoprt'!Q$1)</f>
        <v>0</v>
      </c>
      <c r="R142" s="3">
        <f>SUMIFS('Business - Dump'!$Q:$Q,'Business - Dump'!$D:$D,'SKU Repoprt'!$D142,'Business - Dump'!$A:$A,'SKU Repoprt'!R$1)</f>
        <v>0</v>
      </c>
      <c r="S142" s="3">
        <f>SUMIFS('Business - Dump'!$Q:$Q,'Business - Dump'!$D:$D,'SKU Repoprt'!$D142,'Business - Dump'!$A:$A,'SKU Repoprt'!S$1)</f>
        <v>0</v>
      </c>
      <c r="T142" s="3">
        <f>SUMIFS('Business - Dump'!$Q:$Q,'Business - Dump'!$D:$D,'SKU Repoprt'!$D142,'Business - Dump'!$A:$A,'SKU Repoprt'!T$1)</f>
        <v>0</v>
      </c>
      <c r="U142" s="3">
        <f>SUMIFS('Business - Dump'!$Q:$Q,'Business - Dump'!$D:$D,'SKU Repoprt'!$D142,'Business - Dump'!$A:$A,'SKU Repoprt'!U$1)</f>
        <v>0</v>
      </c>
      <c r="V142" s="3">
        <f>SUMIFS('Business - Dump'!$Q:$Q,'Business - Dump'!$D:$D,'SKU Repoprt'!$D142,'Business - Dump'!$A:$A,'SKU Repoprt'!V$1)</f>
        <v>0</v>
      </c>
      <c r="W142" s="3">
        <f>SUMIFS('Business - Dump'!$Q:$Q,'Business - Dump'!$D:$D,'SKU Repoprt'!$D142,'Business - Dump'!$A:$A,'SKU Repoprt'!W$1)</f>
        <v>0</v>
      </c>
    </row>
    <row r="143" ht="15.75" customHeight="1">
      <c r="A143" s="10" t="s">
        <v>341</v>
      </c>
      <c r="B143" s="10" t="s">
        <v>341</v>
      </c>
      <c r="C143" s="10"/>
      <c r="D143" s="10" t="s">
        <v>352</v>
      </c>
      <c r="E143" s="10" t="s">
        <v>268</v>
      </c>
      <c r="F143" s="3">
        <f t="shared" si="47"/>
        <v>1</v>
      </c>
      <c r="G143" s="3">
        <f>SUMIFS('Business - Dump'!$W:$W,'Business - Dump'!$D:$D,'SKU Repoprt'!$D143,'Business - Dump'!$A:$A,'SKU Repoprt'!G$1)</f>
        <v>0</v>
      </c>
      <c r="H143" s="3">
        <f>SUMIFS('Business - Dump'!$W:$W,'Business - Dump'!$D:$D,'SKU Repoprt'!$D143,'Business - Dump'!$A:$A,'SKU Repoprt'!H$1)</f>
        <v>0</v>
      </c>
      <c r="I143" s="3">
        <f>SUMIFS('Business - Dump'!$W:$W,'Business - Dump'!$D:$D,'SKU Repoprt'!$D143,'Business - Dump'!$A:$A,'SKU Repoprt'!I$1)</f>
        <v>1</v>
      </c>
      <c r="J143" s="3">
        <f>SUMIFS('Business - Dump'!$W:$W,'Business - Dump'!$D:$D,'SKU Repoprt'!$D143,'Business - Dump'!$A:$A,'SKU Repoprt'!J$1)</f>
        <v>0</v>
      </c>
      <c r="K143" s="3">
        <f>SUMIFS('Business - Dump'!$W:$W,'Business - Dump'!$D:$D,'SKU Repoprt'!$D143,'Business - Dump'!$A:$A,'SKU Repoprt'!K$1)</f>
        <v>0</v>
      </c>
      <c r="L143" s="3">
        <f>SUMIFS('Business - Dump'!$W:$W,'Business - Dump'!$D:$D,'SKU Repoprt'!$D143,'Business - Dump'!$A:$A,'SKU Repoprt'!L$1)</f>
        <v>0</v>
      </c>
      <c r="M143" s="3">
        <f>SUMIFS('Business - Dump'!$W:$W,'Business - Dump'!$D:$D,'SKU Repoprt'!$D143,'Business - Dump'!$A:$A,'SKU Repoprt'!M$1)</f>
        <v>0</v>
      </c>
      <c r="N143" s="3">
        <f>SUMIFS('Business - Dump'!$W:$W,'Business - Dump'!$D:$D,'SKU Repoprt'!$D143,'Business - Dump'!$A:$A,'SKU Repoprt'!N$1)</f>
        <v>0</v>
      </c>
      <c r="O143" s="3">
        <f>SUMIFS('Business - Dump'!$W:$W,'Business - Dump'!$D:$D,'SKU Repoprt'!$D143,'Business - Dump'!$A:$A,'SKU Repoprt'!O$1)</f>
        <v>0</v>
      </c>
      <c r="P143" s="3">
        <f>SUMIFS('Business - Dump'!$W:$W,'Business - Dump'!$D:$D,'SKU Repoprt'!$D143,'Business - Dump'!$A:$A,'SKU Repoprt'!P$1)</f>
        <v>0</v>
      </c>
      <c r="Q143" s="3">
        <f>SUMIFS('Business - Dump'!$W:$W,'Business - Dump'!$D:$D,'SKU Repoprt'!$D143,'Business - Dump'!$A:$A,'SKU Repoprt'!Q$1)</f>
        <v>0</v>
      </c>
      <c r="R143" s="3">
        <f>SUMIFS('Business - Dump'!$W:$W,'Business - Dump'!$D:$D,'SKU Repoprt'!$D143,'Business - Dump'!$A:$A,'SKU Repoprt'!R$1)</f>
        <v>0</v>
      </c>
      <c r="S143" s="3">
        <f>SUMIFS('Business - Dump'!$W:$W,'Business - Dump'!$D:$D,'SKU Repoprt'!$D143,'Business - Dump'!$A:$A,'SKU Repoprt'!S$1)</f>
        <v>0</v>
      </c>
      <c r="T143" s="3">
        <f>SUMIFS('Business - Dump'!$W:$W,'Business - Dump'!$D:$D,'SKU Repoprt'!$D143,'Business - Dump'!$A:$A,'SKU Repoprt'!T$1)</f>
        <v>0</v>
      </c>
      <c r="U143" s="3">
        <f>SUMIFS('Business - Dump'!$W:$W,'Business - Dump'!$D:$D,'SKU Repoprt'!$D143,'Business - Dump'!$A:$A,'SKU Repoprt'!U$1)</f>
        <v>0</v>
      </c>
      <c r="V143" s="3">
        <f>SUMIFS('Business - Dump'!$W:$W,'Business - Dump'!$D:$D,'SKU Repoprt'!$D143,'Business - Dump'!$A:$A,'SKU Repoprt'!V$1)</f>
        <v>0</v>
      </c>
      <c r="W143" s="3">
        <f>SUMIFS('Business - Dump'!$W:$W,'Business - Dump'!$D:$D,'SKU Repoprt'!$D143,'Business - Dump'!$A:$A,'SKU Repoprt'!W$1)</f>
        <v>0</v>
      </c>
    </row>
    <row r="144" ht="15.75" customHeight="1">
      <c r="A144" s="10" t="s">
        <v>341</v>
      </c>
      <c r="B144" s="10" t="s">
        <v>341</v>
      </c>
      <c r="C144" s="10"/>
      <c r="D144" s="10" t="s">
        <v>352</v>
      </c>
      <c r="E144" s="10" t="s">
        <v>26</v>
      </c>
      <c r="F144" s="16">
        <f t="shared" si="47"/>
        <v>25200</v>
      </c>
      <c r="G144" s="16">
        <f>SUMIFS('Business - Dump'!$U:$U,'Business - Dump'!$D:$D,'SKU Repoprt'!$D144,'Business - Dump'!$A:$A,'SKU Repoprt'!G$1)</f>
        <v>0</v>
      </c>
      <c r="H144" s="16">
        <f>SUMIFS('Business - Dump'!$U:$U,'Business - Dump'!$D:$D,'SKU Repoprt'!$D144,'Business - Dump'!$A:$A,'SKU Repoprt'!H$1)</f>
        <v>0</v>
      </c>
      <c r="I144" s="16">
        <f>SUMIFS('Business - Dump'!$U:$U,'Business - Dump'!$D:$D,'SKU Repoprt'!$D144,'Business - Dump'!$A:$A,'SKU Repoprt'!I$1)</f>
        <v>25200</v>
      </c>
      <c r="J144" s="16">
        <f>SUMIFS('Business - Dump'!$U:$U,'Business - Dump'!$D:$D,'SKU Repoprt'!$D144,'Business - Dump'!$A:$A,'SKU Repoprt'!J$1)</f>
        <v>0</v>
      </c>
      <c r="K144" s="16">
        <f>SUMIFS('Business - Dump'!$U:$U,'Business - Dump'!$D:$D,'SKU Repoprt'!$D144,'Business - Dump'!$A:$A,'SKU Repoprt'!K$1)</f>
        <v>0</v>
      </c>
      <c r="L144" s="16">
        <f>SUMIFS('Business - Dump'!$U:$U,'Business - Dump'!$D:$D,'SKU Repoprt'!$D144,'Business - Dump'!$A:$A,'SKU Repoprt'!L$1)</f>
        <v>0</v>
      </c>
      <c r="M144" s="16">
        <f>SUMIFS('Business - Dump'!$U:$U,'Business - Dump'!$D:$D,'SKU Repoprt'!$D144,'Business - Dump'!$A:$A,'SKU Repoprt'!M$1)</f>
        <v>0</v>
      </c>
      <c r="N144" s="16">
        <f>SUMIFS('Business - Dump'!$U:$U,'Business - Dump'!$D:$D,'SKU Repoprt'!$D144,'Business - Dump'!$A:$A,'SKU Repoprt'!N$1)</f>
        <v>0</v>
      </c>
      <c r="O144" s="16">
        <f>SUMIFS('Business - Dump'!$U:$U,'Business - Dump'!$D:$D,'SKU Repoprt'!$D144,'Business - Dump'!$A:$A,'SKU Repoprt'!O$1)</f>
        <v>0</v>
      </c>
      <c r="P144" s="16">
        <f>SUMIFS('Business - Dump'!$U:$U,'Business - Dump'!$D:$D,'SKU Repoprt'!$D144,'Business - Dump'!$A:$A,'SKU Repoprt'!P$1)</f>
        <v>0</v>
      </c>
      <c r="Q144" s="16">
        <f>SUMIFS('Business - Dump'!$U:$U,'Business - Dump'!$D:$D,'SKU Repoprt'!$D144,'Business - Dump'!$A:$A,'SKU Repoprt'!Q$1)</f>
        <v>0</v>
      </c>
      <c r="R144" s="16">
        <f>SUMIFS('Business - Dump'!$U:$U,'Business - Dump'!$D:$D,'SKU Repoprt'!$D144,'Business - Dump'!$A:$A,'SKU Repoprt'!R$1)</f>
        <v>0</v>
      </c>
      <c r="S144" s="16">
        <f>SUMIFS('Business - Dump'!$U:$U,'Business - Dump'!$D:$D,'SKU Repoprt'!$D144,'Business - Dump'!$A:$A,'SKU Repoprt'!S$1)</f>
        <v>0</v>
      </c>
      <c r="T144" s="16">
        <f>SUMIFS('Business - Dump'!$U:$U,'Business - Dump'!$D:$D,'SKU Repoprt'!$D144,'Business - Dump'!$A:$A,'SKU Repoprt'!T$1)</f>
        <v>0</v>
      </c>
      <c r="U144" s="16">
        <f>SUMIFS('Business - Dump'!$U:$U,'Business - Dump'!$D:$D,'SKU Repoprt'!$D144,'Business - Dump'!$A:$A,'SKU Repoprt'!U$1)</f>
        <v>0</v>
      </c>
      <c r="V144" s="16">
        <f>SUMIFS('Business - Dump'!$U:$U,'Business - Dump'!$D:$D,'SKU Repoprt'!$D144,'Business - Dump'!$A:$A,'SKU Repoprt'!V$1)</f>
        <v>0</v>
      </c>
      <c r="W144" s="16">
        <f>SUMIFS('Business - Dump'!$U:$U,'Business - Dump'!$D:$D,'SKU Repoprt'!$D144,'Business - Dump'!$A:$A,'SKU Repoprt'!W$1)</f>
        <v>0</v>
      </c>
    </row>
    <row r="145" ht="15.75" customHeight="1">
      <c r="A145" s="10" t="s">
        <v>341</v>
      </c>
      <c r="B145" s="10" t="s">
        <v>341</v>
      </c>
      <c r="C145" s="10"/>
      <c r="D145" s="10" t="s">
        <v>352</v>
      </c>
      <c r="E145" s="10" t="s">
        <v>29</v>
      </c>
      <c r="F145" s="17">
        <v>0.027042857142857143</v>
      </c>
      <c r="G145" s="17">
        <f t="shared" ref="G145:W145" si="48">IFERROR(G143/G140,0)</f>
        <v>0</v>
      </c>
      <c r="H145" s="17">
        <f t="shared" si="48"/>
        <v>0</v>
      </c>
      <c r="I145" s="17">
        <f t="shared" si="48"/>
        <v>0.005102040816</v>
      </c>
      <c r="J145" s="17">
        <f t="shared" si="48"/>
        <v>0</v>
      </c>
      <c r="K145" s="17">
        <f t="shared" si="48"/>
        <v>0</v>
      </c>
      <c r="L145" s="17">
        <f t="shared" si="48"/>
        <v>0</v>
      </c>
      <c r="M145" s="17">
        <f t="shared" si="48"/>
        <v>0</v>
      </c>
      <c r="N145" s="17">
        <f t="shared" si="48"/>
        <v>0</v>
      </c>
      <c r="O145" s="17">
        <f t="shared" si="48"/>
        <v>0</v>
      </c>
      <c r="P145" s="17">
        <f t="shared" si="48"/>
        <v>0</v>
      </c>
      <c r="Q145" s="17">
        <f t="shared" si="48"/>
        <v>0</v>
      </c>
      <c r="R145" s="17">
        <f t="shared" si="48"/>
        <v>0</v>
      </c>
      <c r="S145" s="17">
        <f t="shared" si="48"/>
        <v>0</v>
      </c>
      <c r="T145" s="17">
        <f t="shared" si="48"/>
        <v>0</v>
      </c>
      <c r="U145" s="17">
        <f t="shared" si="48"/>
        <v>0</v>
      </c>
      <c r="V145" s="17">
        <f t="shared" si="48"/>
        <v>0</v>
      </c>
      <c r="W145" s="17">
        <f t="shared" si="48"/>
        <v>0</v>
      </c>
    </row>
    <row r="146" ht="15.75" customHeight="1">
      <c r="A146" s="10" t="s">
        <v>248</v>
      </c>
      <c r="B146" s="10" t="s">
        <v>248</v>
      </c>
      <c r="C146" s="10"/>
      <c r="D146" s="10" t="s">
        <v>332</v>
      </c>
      <c r="E146" s="10" t="s">
        <v>257</v>
      </c>
      <c r="F146" s="3">
        <f t="shared" ref="F146:F150" si="49">SUM(G146:S146)</f>
        <v>1405</v>
      </c>
      <c r="G146" s="3">
        <f>SUMIFS('Business - Dump'!$G:$G,'Business - Dump'!$D:$D,'SKU Repoprt'!$D146,'Business - Dump'!$A:$A,'SKU Repoprt'!G$1)</f>
        <v>0</v>
      </c>
      <c r="H146" s="3">
        <f>SUMIFS('Business - Dump'!$G:$G,'Business - Dump'!$D:$D,'SKU Repoprt'!$D146,'Business - Dump'!$A:$A,'SKU Repoprt'!H$1)</f>
        <v>154</v>
      </c>
      <c r="I146" s="3">
        <f>SUMIFS('Business - Dump'!$G:$G,'Business - Dump'!$D:$D,'SKU Repoprt'!$D146,'Business - Dump'!$A:$A,'SKU Repoprt'!I$1)</f>
        <v>200</v>
      </c>
      <c r="J146" s="3">
        <f>SUMIFS('Business - Dump'!$G:$G,'Business - Dump'!$D:$D,'SKU Repoprt'!$D146,'Business - Dump'!$A:$A,'SKU Repoprt'!J$1)</f>
        <v>174</v>
      </c>
      <c r="K146" s="3">
        <f>SUMIFS('Business - Dump'!$G:$G,'Business - Dump'!$D:$D,'SKU Repoprt'!$D146,'Business - Dump'!$A:$A,'SKU Repoprt'!K$1)</f>
        <v>203</v>
      </c>
      <c r="L146" s="3">
        <f>SUMIFS('Business - Dump'!$G:$G,'Business - Dump'!$D:$D,'SKU Repoprt'!$D146,'Business - Dump'!$A:$A,'SKU Repoprt'!L$1)</f>
        <v>0</v>
      </c>
      <c r="M146" s="3">
        <f>SUMIFS('Business - Dump'!$G:$G,'Business - Dump'!$D:$D,'SKU Repoprt'!$D146,'Business - Dump'!$A:$A,'SKU Repoprt'!M$1)</f>
        <v>251</v>
      </c>
      <c r="N146" s="3">
        <f>SUMIFS('Business - Dump'!$G:$G,'Business - Dump'!$D:$D,'SKU Repoprt'!$D146,'Business - Dump'!$A:$A,'SKU Repoprt'!N$1)</f>
        <v>0</v>
      </c>
      <c r="O146" s="3">
        <f>SUMIFS('Business - Dump'!$G:$G,'Business - Dump'!$D:$D,'SKU Repoprt'!$D146,'Business - Dump'!$A:$A,'SKU Repoprt'!O$1)</f>
        <v>0</v>
      </c>
      <c r="P146" s="3">
        <f>SUMIFS('Business - Dump'!$G:$G,'Business - Dump'!$D:$D,'SKU Repoprt'!$D146,'Business - Dump'!$A:$A,'SKU Repoprt'!P$1)</f>
        <v>38</v>
      </c>
      <c r="Q146" s="3">
        <f>SUMIFS('Business - Dump'!$G:$G,'Business - Dump'!$D:$D,'SKU Repoprt'!$D146,'Business - Dump'!$A:$A,'SKU Repoprt'!Q$1)</f>
        <v>245</v>
      </c>
      <c r="R146" s="3">
        <f>SUMIFS('Business - Dump'!$G:$G,'Business - Dump'!$D:$D,'SKU Repoprt'!$D146,'Business - Dump'!$A:$A,'SKU Repoprt'!R$1)</f>
        <v>140</v>
      </c>
      <c r="S146" s="3">
        <f>SUMIFS('Business - Dump'!$G:$G,'Business - Dump'!$D:$D,'SKU Repoprt'!$D146,'Business - Dump'!$A:$A,'SKU Repoprt'!S$1)</f>
        <v>0</v>
      </c>
      <c r="T146" s="3">
        <f>SUMIFS('Business - Dump'!$G:$G,'Business - Dump'!$D:$D,'SKU Repoprt'!$D146,'Business - Dump'!$A:$A,'SKU Repoprt'!T$1)</f>
        <v>0</v>
      </c>
      <c r="U146" s="3">
        <f>SUMIFS('Business - Dump'!$G:$G,'Business - Dump'!$D:$D,'SKU Repoprt'!$D146,'Business - Dump'!$A:$A,'SKU Repoprt'!U$1)</f>
        <v>0</v>
      </c>
      <c r="V146" s="3">
        <f>SUMIFS('Business - Dump'!$G:$G,'Business - Dump'!$D:$D,'SKU Repoprt'!$D146,'Business - Dump'!$A:$A,'SKU Repoprt'!V$1)</f>
        <v>0</v>
      </c>
      <c r="W146" s="3">
        <f>SUMIFS('Business - Dump'!$G:$G,'Business - Dump'!$D:$D,'SKU Repoprt'!$D146,'Business - Dump'!$A:$A,'SKU Repoprt'!W$1)</f>
        <v>0</v>
      </c>
    </row>
    <row r="147" ht="15.75" customHeight="1">
      <c r="A147" s="10" t="s">
        <v>248</v>
      </c>
      <c r="B147" s="10" t="s">
        <v>248</v>
      </c>
      <c r="C147" s="10"/>
      <c r="D147" s="10" t="s">
        <v>332</v>
      </c>
      <c r="E147" s="10" t="s">
        <v>260</v>
      </c>
      <c r="F147" s="3">
        <f t="shared" si="49"/>
        <v>2088</v>
      </c>
      <c r="G147" s="3">
        <f>SUMIFS('Business - Dump'!$K:$K,'Business - Dump'!$D:$D,'SKU Repoprt'!$D147,'Business - Dump'!$A:$A,'SKU Repoprt'!G$1)</f>
        <v>0</v>
      </c>
      <c r="H147" s="3">
        <f>SUMIFS('Business - Dump'!$K:$K,'Business - Dump'!$D:$D,'SKU Repoprt'!$D147,'Business - Dump'!$A:$A,'SKU Repoprt'!H$1)</f>
        <v>236</v>
      </c>
      <c r="I147" s="3">
        <f>SUMIFS('Business - Dump'!$K:$K,'Business - Dump'!$D:$D,'SKU Repoprt'!$D147,'Business - Dump'!$A:$A,'SKU Repoprt'!I$1)</f>
        <v>291</v>
      </c>
      <c r="J147" s="3">
        <f>SUMIFS('Business - Dump'!$K:$K,'Business - Dump'!$D:$D,'SKU Repoprt'!$D147,'Business - Dump'!$A:$A,'SKU Repoprt'!J$1)</f>
        <v>230</v>
      </c>
      <c r="K147" s="3">
        <f>SUMIFS('Business - Dump'!$K:$K,'Business - Dump'!$D:$D,'SKU Repoprt'!$D147,'Business - Dump'!$A:$A,'SKU Repoprt'!K$1)</f>
        <v>285</v>
      </c>
      <c r="L147" s="3">
        <f>SUMIFS('Business - Dump'!$K:$K,'Business - Dump'!$D:$D,'SKU Repoprt'!$D147,'Business - Dump'!$A:$A,'SKU Repoprt'!L$1)</f>
        <v>0</v>
      </c>
      <c r="M147" s="3">
        <f>SUMIFS('Business - Dump'!$K:$K,'Business - Dump'!$D:$D,'SKU Repoprt'!$D147,'Business - Dump'!$A:$A,'SKU Repoprt'!M$1)</f>
        <v>408</v>
      </c>
      <c r="N147" s="3">
        <f>SUMIFS('Business - Dump'!$K:$K,'Business - Dump'!$D:$D,'SKU Repoprt'!$D147,'Business - Dump'!$A:$A,'SKU Repoprt'!N$1)</f>
        <v>0</v>
      </c>
      <c r="O147" s="3">
        <f>SUMIFS('Business - Dump'!$K:$K,'Business - Dump'!$D:$D,'SKU Repoprt'!$D147,'Business - Dump'!$A:$A,'SKU Repoprt'!O$1)</f>
        <v>0</v>
      </c>
      <c r="P147" s="3">
        <f>SUMIFS('Business - Dump'!$K:$K,'Business - Dump'!$D:$D,'SKU Repoprt'!$D147,'Business - Dump'!$A:$A,'SKU Repoprt'!P$1)</f>
        <v>51</v>
      </c>
      <c r="Q147" s="3">
        <f>SUMIFS('Business - Dump'!$K:$K,'Business - Dump'!$D:$D,'SKU Repoprt'!$D147,'Business - Dump'!$A:$A,'SKU Repoprt'!Q$1)</f>
        <v>350</v>
      </c>
      <c r="R147" s="3">
        <f>SUMIFS('Business - Dump'!$K:$K,'Business - Dump'!$D:$D,'SKU Repoprt'!$D147,'Business - Dump'!$A:$A,'SKU Repoprt'!R$1)</f>
        <v>237</v>
      </c>
      <c r="S147" s="3">
        <f>SUMIFS('Business - Dump'!$K:$K,'Business - Dump'!$D:$D,'SKU Repoprt'!$D147,'Business - Dump'!$A:$A,'SKU Repoprt'!S$1)</f>
        <v>0</v>
      </c>
      <c r="T147" s="3">
        <f>SUMIFS('Business - Dump'!$K:$K,'Business - Dump'!$D:$D,'SKU Repoprt'!$D147,'Business - Dump'!$A:$A,'SKU Repoprt'!T$1)</f>
        <v>0</v>
      </c>
      <c r="U147" s="3">
        <f>SUMIFS('Business - Dump'!$K:$K,'Business - Dump'!$D:$D,'SKU Repoprt'!$D147,'Business - Dump'!$A:$A,'SKU Repoprt'!U$1)</f>
        <v>0</v>
      </c>
      <c r="V147" s="3">
        <f>SUMIFS('Business - Dump'!$K:$K,'Business - Dump'!$D:$D,'SKU Repoprt'!$D147,'Business - Dump'!$A:$A,'SKU Repoprt'!V$1)</f>
        <v>0</v>
      </c>
      <c r="W147" s="3">
        <f>SUMIFS('Business - Dump'!$K:$K,'Business - Dump'!$D:$D,'SKU Repoprt'!$D147,'Business - Dump'!$A:$A,'SKU Repoprt'!W$1)</f>
        <v>0</v>
      </c>
    </row>
    <row r="148" ht="15.75" customHeight="1">
      <c r="A148" s="10" t="s">
        <v>248</v>
      </c>
      <c r="B148" s="10" t="s">
        <v>248</v>
      </c>
      <c r="C148" s="10"/>
      <c r="D148" s="10" t="s">
        <v>332</v>
      </c>
      <c r="E148" s="10" t="s">
        <v>264</v>
      </c>
      <c r="F148" s="3">
        <f t="shared" si="49"/>
        <v>17</v>
      </c>
      <c r="G148" s="3">
        <f>SUMIFS('Business - Dump'!$Q:$Q,'Business - Dump'!$D:$D,'SKU Repoprt'!$D148,'Business - Dump'!$A:$A,'SKU Repoprt'!G$1)</f>
        <v>0</v>
      </c>
      <c r="H148" s="3">
        <f>SUMIFS('Business - Dump'!$Q:$Q,'Business - Dump'!$D:$D,'SKU Repoprt'!$D148,'Business - Dump'!$A:$A,'SKU Repoprt'!H$1)</f>
        <v>2</v>
      </c>
      <c r="I148" s="3">
        <f>SUMIFS('Business - Dump'!$Q:$Q,'Business - Dump'!$D:$D,'SKU Repoprt'!$D148,'Business - Dump'!$A:$A,'SKU Repoprt'!I$1)</f>
        <v>2</v>
      </c>
      <c r="J148" s="3">
        <f>SUMIFS('Business - Dump'!$Q:$Q,'Business - Dump'!$D:$D,'SKU Repoprt'!$D148,'Business - Dump'!$A:$A,'SKU Repoprt'!J$1)</f>
        <v>3</v>
      </c>
      <c r="K148" s="3">
        <f>SUMIFS('Business - Dump'!$Q:$Q,'Business - Dump'!$D:$D,'SKU Repoprt'!$D148,'Business - Dump'!$A:$A,'SKU Repoprt'!K$1)</f>
        <v>2</v>
      </c>
      <c r="L148" s="3">
        <f>SUMIFS('Business - Dump'!$Q:$Q,'Business - Dump'!$D:$D,'SKU Repoprt'!$D148,'Business - Dump'!$A:$A,'SKU Repoprt'!L$1)</f>
        <v>0</v>
      </c>
      <c r="M148" s="3">
        <f>SUMIFS('Business - Dump'!$Q:$Q,'Business - Dump'!$D:$D,'SKU Repoprt'!$D148,'Business - Dump'!$A:$A,'SKU Repoprt'!M$1)</f>
        <v>2</v>
      </c>
      <c r="N148" s="3">
        <f>SUMIFS('Business - Dump'!$Q:$Q,'Business - Dump'!$D:$D,'SKU Repoprt'!$D148,'Business - Dump'!$A:$A,'SKU Repoprt'!N$1)</f>
        <v>0</v>
      </c>
      <c r="O148" s="3">
        <f>SUMIFS('Business - Dump'!$Q:$Q,'Business - Dump'!$D:$D,'SKU Repoprt'!$D148,'Business - Dump'!$A:$A,'SKU Repoprt'!O$1)</f>
        <v>0</v>
      </c>
      <c r="P148" s="3">
        <f>SUMIFS('Business - Dump'!$Q:$Q,'Business - Dump'!$D:$D,'SKU Repoprt'!$D148,'Business - Dump'!$A:$A,'SKU Repoprt'!P$1)</f>
        <v>1</v>
      </c>
      <c r="Q148" s="3">
        <f>SUMIFS('Business - Dump'!$Q:$Q,'Business - Dump'!$D:$D,'SKU Repoprt'!$D148,'Business - Dump'!$A:$A,'SKU Repoprt'!Q$1)</f>
        <v>3</v>
      </c>
      <c r="R148" s="3">
        <f>SUMIFS('Business - Dump'!$Q:$Q,'Business - Dump'!$D:$D,'SKU Repoprt'!$D148,'Business - Dump'!$A:$A,'SKU Repoprt'!R$1)</f>
        <v>2</v>
      </c>
      <c r="S148" s="3">
        <f>SUMIFS('Business - Dump'!$Q:$Q,'Business - Dump'!$D:$D,'SKU Repoprt'!$D148,'Business - Dump'!$A:$A,'SKU Repoprt'!S$1)</f>
        <v>0</v>
      </c>
      <c r="T148" s="3">
        <f>SUMIFS('Business - Dump'!$Q:$Q,'Business - Dump'!$D:$D,'SKU Repoprt'!$D148,'Business - Dump'!$A:$A,'SKU Repoprt'!T$1)</f>
        <v>0</v>
      </c>
      <c r="U148" s="3">
        <f>SUMIFS('Business - Dump'!$Q:$Q,'Business - Dump'!$D:$D,'SKU Repoprt'!$D148,'Business - Dump'!$A:$A,'SKU Repoprt'!U$1)</f>
        <v>0</v>
      </c>
      <c r="V148" s="3">
        <f>SUMIFS('Business - Dump'!$Q:$Q,'Business - Dump'!$D:$D,'SKU Repoprt'!$D148,'Business - Dump'!$A:$A,'SKU Repoprt'!V$1)</f>
        <v>0</v>
      </c>
      <c r="W148" s="3">
        <f>SUMIFS('Business - Dump'!$Q:$Q,'Business - Dump'!$D:$D,'SKU Repoprt'!$D148,'Business - Dump'!$A:$A,'SKU Repoprt'!W$1)</f>
        <v>0</v>
      </c>
    </row>
    <row r="149" ht="15.75" customHeight="1">
      <c r="A149" s="10" t="s">
        <v>248</v>
      </c>
      <c r="B149" s="10" t="s">
        <v>248</v>
      </c>
      <c r="C149" s="10"/>
      <c r="D149" s="10" t="s">
        <v>332</v>
      </c>
      <c r="E149" s="10" t="s">
        <v>268</v>
      </c>
      <c r="F149" s="3">
        <f t="shared" si="49"/>
        <v>17</v>
      </c>
      <c r="G149" s="3">
        <f>SUMIFS('Business - Dump'!$W:$W,'Business - Dump'!$D:$D,'SKU Repoprt'!$D149,'Business - Dump'!$A:$A,'SKU Repoprt'!G$1)</f>
        <v>0</v>
      </c>
      <c r="H149" s="3">
        <f>SUMIFS('Business - Dump'!$W:$W,'Business - Dump'!$D:$D,'SKU Repoprt'!$D149,'Business - Dump'!$A:$A,'SKU Repoprt'!H$1)</f>
        <v>2</v>
      </c>
      <c r="I149" s="3">
        <f>SUMIFS('Business - Dump'!$W:$W,'Business - Dump'!$D:$D,'SKU Repoprt'!$D149,'Business - Dump'!$A:$A,'SKU Repoprt'!I$1)</f>
        <v>2</v>
      </c>
      <c r="J149" s="3">
        <f>SUMIFS('Business - Dump'!$W:$W,'Business - Dump'!$D:$D,'SKU Repoprt'!$D149,'Business - Dump'!$A:$A,'SKU Repoprt'!J$1)</f>
        <v>3</v>
      </c>
      <c r="K149" s="3">
        <f>SUMIFS('Business - Dump'!$W:$W,'Business - Dump'!$D:$D,'SKU Repoprt'!$D149,'Business - Dump'!$A:$A,'SKU Repoprt'!K$1)</f>
        <v>2</v>
      </c>
      <c r="L149" s="3">
        <f>SUMIFS('Business - Dump'!$W:$W,'Business - Dump'!$D:$D,'SKU Repoprt'!$D149,'Business - Dump'!$A:$A,'SKU Repoprt'!L$1)</f>
        <v>0</v>
      </c>
      <c r="M149" s="3">
        <f>SUMIFS('Business - Dump'!$W:$W,'Business - Dump'!$D:$D,'SKU Repoprt'!$D149,'Business - Dump'!$A:$A,'SKU Repoprt'!M$1)</f>
        <v>2</v>
      </c>
      <c r="N149" s="3">
        <f>SUMIFS('Business - Dump'!$W:$W,'Business - Dump'!$D:$D,'SKU Repoprt'!$D149,'Business - Dump'!$A:$A,'SKU Repoprt'!N$1)</f>
        <v>0</v>
      </c>
      <c r="O149" s="3">
        <f>SUMIFS('Business - Dump'!$W:$W,'Business - Dump'!$D:$D,'SKU Repoprt'!$D149,'Business - Dump'!$A:$A,'SKU Repoprt'!O$1)</f>
        <v>0</v>
      </c>
      <c r="P149" s="3">
        <f>SUMIFS('Business - Dump'!$W:$W,'Business - Dump'!$D:$D,'SKU Repoprt'!$D149,'Business - Dump'!$A:$A,'SKU Repoprt'!P$1)</f>
        <v>1</v>
      </c>
      <c r="Q149" s="3">
        <f>SUMIFS('Business - Dump'!$W:$W,'Business - Dump'!$D:$D,'SKU Repoprt'!$D149,'Business - Dump'!$A:$A,'SKU Repoprt'!Q$1)</f>
        <v>3</v>
      </c>
      <c r="R149" s="3">
        <f>SUMIFS('Business - Dump'!$W:$W,'Business - Dump'!$D:$D,'SKU Repoprt'!$D149,'Business - Dump'!$A:$A,'SKU Repoprt'!R$1)</f>
        <v>2</v>
      </c>
      <c r="S149" s="3">
        <f>SUMIFS('Business - Dump'!$W:$W,'Business - Dump'!$D:$D,'SKU Repoprt'!$D149,'Business - Dump'!$A:$A,'SKU Repoprt'!S$1)</f>
        <v>0</v>
      </c>
      <c r="T149" s="3">
        <f>SUMIFS('Business - Dump'!$W:$W,'Business - Dump'!$D:$D,'SKU Repoprt'!$D149,'Business - Dump'!$A:$A,'SKU Repoprt'!T$1)</f>
        <v>0</v>
      </c>
      <c r="U149" s="3">
        <f>SUMIFS('Business - Dump'!$W:$W,'Business - Dump'!$D:$D,'SKU Repoprt'!$D149,'Business - Dump'!$A:$A,'SKU Repoprt'!U$1)</f>
        <v>0</v>
      </c>
      <c r="V149" s="3">
        <f>SUMIFS('Business - Dump'!$W:$W,'Business - Dump'!$D:$D,'SKU Repoprt'!$D149,'Business - Dump'!$A:$A,'SKU Repoprt'!V$1)</f>
        <v>0</v>
      </c>
      <c r="W149" s="3">
        <f>SUMIFS('Business - Dump'!$W:$W,'Business - Dump'!$D:$D,'SKU Repoprt'!$D149,'Business - Dump'!$A:$A,'SKU Repoprt'!W$1)</f>
        <v>0</v>
      </c>
    </row>
    <row r="150" ht="15.75" customHeight="1">
      <c r="A150" s="10" t="s">
        <v>248</v>
      </c>
      <c r="B150" s="10" t="s">
        <v>248</v>
      </c>
      <c r="C150" s="10"/>
      <c r="D150" s="10" t="s">
        <v>332</v>
      </c>
      <c r="E150" s="10" t="s">
        <v>26</v>
      </c>
      <c r="F150" s="16">
        <f t="shared" si="49"/>
        <v>190769.49</v>
      </c>
      <c r="G150" s="16">
        <f>SUMIFS('Business - Dump'!$U:$U,'Business - Dump'!$D:$D,'SKU Repoprt'!$D150,'Business - Dump'!$A:$A,'SKU Repoprt'!G$1)</f>
        <v>0</v>
      </c>
      <c r="H150" s="16">
        <f>SUMIFS('Business - Dump'!$U:$U,'Business - Dump'!$D:$D,'SKU Repoprt'!$D150,'Business - Dump'!$A:$A,'SKU Repoprt'!H$1)</f>
        <v>21800</v>
      </c>
      <c r="I150" s="16">
        <f>SUMIFS('Business - Dump'!$U:$U,'Business - Dump'!$D:$D,'SKU Repoprt'!$D150,'Business - Dump'!$A:$A,'SKU Repoprt'!I$1)</f>
        <v>21800</v>
      </c>
      <c r="J150" s="16">
        <f>SUMIFS('Business - Dump'!$U:$U,'Business - Dump'!$D:$D,'SKU Repoprt'!$D150,'Business - Dump'!$A:$A,'SKU Repoprt'!J$1)</f>
        <v>32700</v>
      </c>
      <c r="K150" s="16">
        <f>SUMIFS('Business - Dump'!$U:$U,'Business - Dump'!$D:$D,'SKU Repoprt'!$D150,'Business - Dump'!$A:$A,'SKU Repoprt'!K$1)</f>
        <v>21800</v>
      </c>
      <c r="L150" s="16">
        <f>SUMIFS('Business - Dump'!$U:$U,'Business - Dump'!$D:$D,'SKU Repoprt'!$D150,'Business - Dump'!$A:$A,'SKU Repoprt'!L$1)</f>
        <v>0</v>
      </c>
      <c r="M150" s="16">
        <f>SUMIFS('Business - Dump'!$U:$U,'Business - Dump'!$D:$D,'SKU Repoprt'!$D150,'Business - Dump'!$A:$A,'SKU Repoprt'!M$1)</f>
        <v>22169.49</v>
      </c>
      <c r="N150" s="16">
        <f>SUMIFS('Business - Dump'!$U:$U,'Business - Dump'!$D:$D,'SKU Repoprt'!$D150,'Business - Dump'!$A:$A,'SKU Repoprt'!N$1)</f>
        <v>0</v>
      </c>
      <c r="O150" s="16">
        <f>SUMIFS('Business - Dump'!$U:$U,'Business - Dump'!$D:$D,'SKU Repoprt'!$D150,'Business - Dump'!$A:$A,'SKU Repoprt'!O$1)</f>
        <v>0</v>
      </c>
      <c r="P150" s="16">
        <f>SUMIFS('Business - Dump'!$U:$U,'Business - Dump'!$D:$D,'SKU Repoprt'!$D150,'Business - Dump'!$A:$A,'SKU Repoprt'!P$1)</f>
        <v>11600</v>
      </c>
      <c r="Q150" s="16">
        <f>SUMIFS('Business - Dump'!$U:$U,'Business - Dump'!$D:$D,'SKU Repoprt'!$D150,'Business - Dump'!$A:$A,'SKU Repoprt'!Q$1)</f>
        <v>35100</v>
      </c>
      <c r="R150" s="16">
        <f>SUMIFS('Business - Dump'!$U:$U,'Business - Dump'!$D:$D,'SKU Repoprt'!$D150,'Business - Dump'!$A:$A,'SKU Repoprt'!R$1)</f>
        <v>23800</v>
      </c>
      <c r="S150" s="16">
        <f>SUMIFS('Business - Dump'!$U:$U,'Business - Dump'!$D:$D,'SKU Repoprt'!$D150,'Business - Dump'!$A:$A,'SKU Repoprt'!S$1)</f>
        <v>0</v>
      </c>
      <c r="T150" s="16">
        <f>SUMIFS('Business - Dump'!$U:$U,'Business - Dump'!$D:$D,'SKU Repoprt'!$D150,'Business - Dump'!$A:$A,'SKU Repoprt'!T$1)</f>
        <v>0</v>
      </c>
      <c r="U150" s="16">
        <f>SUMIFS('Business - Dump'!$U:$U,'Business - Dump'!$D:$D,'SKU Repoprt'!$D150,'Business - Dump'!$A:$A,'SKU Repoprt'!U$1)</f>
        <v>0</v>
      </c>
      <c r="V150" s="16">
        <f>SUMIFS('Business - Dump'!$U:$U,'Business - Dump'!$D:$D,'SKU Repoprt'!$D150,'Business - Dump'!$A:$A,'SKU Repoprt'!V$1)</f>
        <v>0</v>
      </c>
      <c r="W150" s="16">
        <f>SUMIFS('Business - Dump'!$U:$U,'Business - Dump'!$D:$D,'SKU Repoprt'!$D150,'Business - Dump'!$A:$A,'SKU Repoprt'!W$1)</f>
        <v>0</v>
      </c>
    </row>
    <row r="151" ht="15.75" customHeight="1">
      <c r="A151" s="10" t="s">
        <v>248</v>
      </c>
      <c r="B151" s="10" t="s">
        <v>248</v>
      </c>
      <c r="C151" s="10"/>
      <c r="D151" s="10" t="s">
        <v>332</v>
      </c>
      <c r="E151" s="10" t="s">
        <v>29</v>
      </c>
      <c r="F151" s="17">
        <v>0.027042857142857143</v>
      </c>
      <c r="G151" s="17">
        <f t="shared" ref="G151:W151" si="50">IFERROR(G149/G146,0)</f>
        <v>0</v>
      </c>
      <c r="H151" s="17">
        <f t="shared" si="50"/>
        <v>0.01298701299</v>
      </c>
      <c r="I151" s="17">
        <f t="shared" si="50"/>
        <v>0.01</v>
      </c>
      <c r="J151" s="17">
        <f t="shared" si="50"/>
        <v>0.01724137931</v>
      </c>
      <c r="K151" s="17">
        <f t="shared" si="50"/>
        <v>0.009852216749</v>
      </c>
      <c r="L151" s="17">
        <f t="shared" si="50"/>
        <v>0</v>
      </c>
      <c r="M151" s="17">
        <f t="shared" si="50"/>
        <v>0.00796812749</v>
      </c>
      <c r="N151" s="17">
        <f t="shared" si="50"/>
        <v>0</v>
      </c>
      <c r="O151" s="17">
        <f t="shared" si="50"/>
        <v>0</v>
      </c>
      <c r="P151" s="17">
        <f t="shared" si="50"/>
        <v>0.02631578947</v>
      </c>
      <c r="Q151" s="17">
        <f t="shared" si="50"/>
        <v>0.01224489796</v>
      </c>
      <c r="R151" s="17">
        <f t="shared" si="50"/>
        <v>0.01428571429</v>
      </c>
      <c r="S151" s="17">
        <f t="shared" si="50"/>
        <v>0</v>
      </c>
      <c r="T151" s="17">
        <f t="shared" si="50"/>
        <v>0</v>
      </c>
      <c r="U151" s="17">
        <f t="shared" si="50"/>
        <v>0</v>
      </c>
      <c r="V151" s="17">
        <f t="shared" si="50"/>
        <v>0</v>
      </c>
      <c r="W151" s="17">
        <f t="shared" si="50"/>
        <v>0</v>
      </c>
    </row>
    <row r="152" ht="15.75" customHeight="1">
      <c r="A152" s="10" t="s">
        <v>248</v>
      </c>
      <c r="B152" s="10" t="s">
        <v>248</v>
      </c>
      <c r="C152" s="10"/>
      <c r="D152" s="10" t="s">
        <v>334</v>
      </c>
      <c r="E152" s="10" t="s">
        <v>257</v>
      </c>
      <c r="F152" s="3">
        <f t="shared" ref="F152:F156" si="51">SUM(G152:S152)</f>
        <v>422</v>
      </c>
      <c r="G152" s="3">
        <f>SUMIFS('Business - Dump'!$G:$G,'Business - Dump'!$D:$D,'SKU Repoprt'!$D152,'Business - Dump'!$A:$A,'SKU Repoprt'!G$1)</f>
        <v>0</v>
      </c>
      <c r="H152" s="3">
        <f>SUMIFS('Business - Dump'!$G:$G,'Business - Dump'!$D:$D,'SKU Repoprt'!$D152,'Business - Dump'!$A:$A,'SKU Repoprt'!H$1)</f>
        <v>79</v>
      </c>
      <c r="I152" s="3">
        <f>SUMIFS('Business - Dump'!$G:$G,'Business - Dump'!$D:$D,'SKU Repoprt'!$D152,'Business - Dump'!$A:$A,'SKU Repoprt'!I$1)</f>
        <v>0</v>
      </c>
      <c r="J152" s="3">
        <f>SUMIFS('Business - Dump'!$G:$G,'Business - Dump'!$D:$D,'SKU Repoprt'!$D152,'Business - Dump'!$A:$A,'SKU Repoprt'!J$1)</f>
        <v>65</v>
      </c>
      <c r="K152" s="3">
        <f>SUMIFS('Business - Dump'!$G:$G,'Business - Dump'!$D:$D,'SKU Repoprt'!$D152,'Business - Dump'!$A:$A,'SKU Repoprt'!K$1)</f>
        <v>76</v>
      </c>
      <c r="L152" s="3">
        <f>SUMIFS('Business - Dump'!$G:$G,'Business - Dump'!$D:$D,'SKU Repoprt'!$D152,'Business - Dump'!$A:$A,'SKU Repoprt'!L$1)</f>
        <v>0</v>
      </c>
      <c r="M152" s="3">
        <f>SUMIFS('Business - Dump'!$G:$G,'Business - Dump'!$D:$D,'SKU Repoprt'!$D152,'Business - Dump'!$A:$A,'SKU Repoprt'!M$1)</f>
        <v>0</v>
      </c>
      <c r="N152" s="3">
        <f>SUMIFS('Business - Dump'!$G:$G,'Business - Dump'!$D:$D,'SKU Repoprt'!$D152,'Business - Dump'!$A:$A,'SKU Repoprt'!N$1)</f>
        <v>0</v>
      </c>
      <c r="O152" s="3">
        <f>SUMIFS('Business - Dump'!$G:$G,'Business - Dump'!$D:$D,'SKU Repoprt'!$D152,'Business - Dump'!$A:$A,'SKU Repoprt'!O$1)</f>
        <v>0</v>
      </c>
      <c r="P152" s="3">
        <f>SUMIFS('Business - Dump'!$G:$G,'Business - Dump'!$D:$D,'SKU Repoprt'!$D152,'Business - Dump'!$A:$A,'SKU Repoprt'!P$1)</f>
        <v>0</v>
      </c>
      <c r="Q152" s="3">
        <f>SUMIFS('Business - Dump'!$G:$G,'Business - Dump'!$D:$D,'SKU Repoprt'!$D152,'Business - Dump'!$A:$A,'SKU Repoprt'!Q$1)</f>
        <v>0</v>
      </c>
      <c r="R152" s="3">
        <f>SUMIFS('Business - Dump'!$G:$G,'Business - Dump'!$D:$D,'SKU Repoprt'!$D152,'Business - Dump'!$A:$A,'SKU Repoprt'!R$1)</f>
        <v>128</v>
      </c>
      <c r="S152" s="3">
        <f>SUMIFS('Business - Dump'!$G:$G,'Business - Dump'!$D:$D,'SKU Repoprt'!$D152,'Business - Dump'!$A:$A,'SKU Repoprt'!S$1)</f>
        <v>74</v>
      </c>
      <c r="T152" s="3">
        <f>SUMIFS('Business - Dump'!$G:$G,'Business - Dump'!$D:$D,'SKU Repoprt'!$D152,'Business - Dump'!$A:$A,'SKU Repoprt'!T$1)</f>
        <v>0</v>
      </c>
      <c r="U152" s="3">
        <f>SUMIFS('Business - Dump'!$G:$G,'Business - Dump'!$D:$D,'SKU Repoprt'!$D152,'Business - Dump'!$A:$A,'SKU Repoprt'!U$1)</f>
        <v>0</v>
      </c>
      <c r="V152" s="3">
        <f>SUMIFS('Business - Dump'!$G:$G,'Business - Dump'!$D:$D,'SKU Repoprt'!$D152,'Business - Dump'!$A:$A,'SKU Repoprt'!V$1)</f>
        <v>0</v>
      </c>
      <c r="W152" s="3">
        <f>SUMIFS('Business - Dump'!$G:$G,'Business - Dump'!$D:$D,'SKU Repoprt'!$D152,'Business - Dump'!$A:$A,'SKU Repoprt'!W$1)</f>
        <v>0</v>
      </c>
    </row>
    <row r="153" ht="15.75" customHeight="1">
      <c r="A153" s="10" t="s">
        <v>248</v>
      </c>
      <c r="B153" s="10" t="s">
        <v>248</v>
      </c>
      <c r="C153" s="10"/>
      <c r="D153" s="10" t="s">
        <v>334</v>
      </c>
      <c r="E153" s="10" t="s">
        <v>260</v>
      </c>
      <c r="F153" s="3">
        <f t="shared" si="51"/>
        <v>615</v>
      </c>
      <c r="G153" s="3">
        <f>SUMIFS('Business - Dump'!$K:$K,'Business - Dump'!$D:$D,'SKU Repoprt'!$D153,'Business - Dump'!$A:$A,'SKU Repoprt'!G$1)</f>
        <v>0</v>
      </c>
      <c r="H153" s="3">
        <f>SUMIFS('Business - Dump'!$K:$K,'Business - Dump'!$D:$D,'SKU Repoprt'!$D153,'Business - Dump'!$A:$A,'SKU Repoprt'!H$1)</f>
        <v>118</v>
      </c>
      <c r="I153" s="3">
        <f>SUMIFS('Business - Dump'!$K:$K,'Business - Dump'!$D:$D,'SKU Repoprt'!$D153,'Business - Dump'!$A:$A,'SKU Repoprt'!I$1)</f>
        <v>0</v>
      </c>
      <c r="J153" s="3">
        <f>SUMIFS('Business - Dump'!$K:$K,'Business - Dump'!$D:$D,'SKU Repoprt'!$D153,'Business - Dump'!$A:$A,'SKU Repoprt'!J$1)</f>
        <v>87</v>
      </c>
      <c r="K153" s="3">
        <f>SUMIFS('Business - Dump'!$K:$K,'Business - Dump'!$D:$D,'SKU Repoprt'!$D153,'Business - Dump'!$A:$A,'SKU Repoprt'!K$1)</f>
        <v>109</v>
      </c>
      <c r="L153" s="3">
        <f>SUMIFS('Business - Dump'!$K:$K,'Business - Dump'!$D:$D,'SKU Repoprt'!$D153,'Business - Dump'!$A:$A,'SKU Repoprt'!L$1)</f>
        <v>0</v>
      </c>
      <c r="M153" s="3">
        <f>SUMIFS('Business - Dump'!$K:$K,'Business - Dump'!$D:$D,'SKU Repoprt'!$D153,'Business - Dump'!$A:$A,'SKU Repoprt'!M$1)</f>
        <v>0</v>
      </c>
      <c r="N153" s="3">
        <f>SUMIFS('Business - Dump'!$K:$K,'Business - Dump'!$D:$D,'SKU Repoprt'!$D153,'Business - Dump'!$A:$A,'SKU Repoprt'!N$1)</f>
        <v>0</v>
      </c>
      <c r="O153" s="3">
        <f>SUMIFS('Business - Dump'!$K:$K,'Business - Dump'!$D:$D,'SKU Repoprt'!$D153,'Business - Dump'!$A:$A,'SKU Repoprt'!O$1)</f>
        <v>0</v>
      </c>
      <c r="P153" s="3">
        <f>SUMIFS('Business - Dump'!$K:$K,'Business - Dump'!$D:$D,'SKU Repoprt'!$D153,'Business - Dump'!$A:$A,'SKU Repoprt'!P$1)</f>
        <v>0</v>
      </c>
      <c r="Q153" s="3">
        <f>SUMIFS('Business - Dump'!$K:$K,'Business - Dump'!$D:$D,'SKU Repoprt'!$D153,'Business - Dump'!$A:$A,'SKU Repoprt'!Q$1)</f>
        <v>0</v>
      </c>
      <c r="R153" s="3">
        <f>SUMIFS('Business - Dump'!$K:$K,'Business - Dump'!$D:$D,'SKU Repoprt'!$D153,'Business - Dump'!$A:$A,'SKU Repoprt'!R$1)</f>
        <v>199</v>
      </c>
      <c r="S153" s="3">
        <f>SUMIFS('Business - Dump'!$K:$K,'Business - Dump'!$D:$D,'SKU Repoprt'!$D153,'Business - Dump'!$A:$A,'SKU Repoprt'!S$1)</f>
        <v>102</v>
      </c>
      <c r="T153" s="3">
        <f>SUMIFS('Business - Dump'!$K:$K,'Business - Dump'!$D:$D,'SKU Repoprt'!$D153,'Business - Dump'!$A:$A,'SKU Repoprt'!T$1)</f>
        <v>0</v>
      </c>
      <c r="U153" s="3">
        <f>SUMIFS('Business - Dump'!$K:$K,'Business - Dump'!$D:$D,'SKU Repoprt'!$D153,'Business - Dump'!$A:$A,'SKU Repoprt'!U$1)</f>
        <v>0</v>
      </c>
      <c r="V153" s="3">
        <f>SUMIFS('Business - Dump'!$K:$K,'Business - Dump'!$D:$D,'SKU Repoprt'!$D153,'Business - Dump'!$A:$A,'SKU Repoprt'!V$1)</f>
        <v>0</v>
      </c>
      <c r="W153" s="3">
        <f>SUMIFS('Business - Dump'!$K:$K,'Business - Dump'!$D:$D,'SKU Repoprt'!$D153,'Business - Dump'!$A:$A,'SKU Repoprt'!W$1)</f>
        <v>0</v>
      </c>
    </row>
    <row r="154" ht="15.75" customHeight="1">
      <c r="A154" s="10" t="s">
        <v>248</v>
      </c>
      <c r="B154" s="10" t="s">
        <v>248</v>
      </c>
      <c r="C154" s="10"/>
      <c r="D154" s="10" t="s">
        <v>334</v>
      </c>
      <c r="E154" s="10" t="s">
        <v>264</v>
      </c>
      <c r="F154" s="3">
        <f t="shared" si="51"/>
        <v>5</v>
      </c>
      <c r="G154" s="3">
        <f>SUMIFS('Business - Dump'!$Q:$Q,'Business - Dump'!$D:$D,'SKU Repoprt'!$D154,'Business - Dump'!$A:$A,'SKU Repoprt'!G$1)</f>
        <v>0</v>
      </c>
      <c r="H154" s="3">
        <f>SUMIFS('Business - Dump'!$Q:$Q,'Business - Dump'!$D:$D,'SKU Repoprt'!$D154,'Business - Dump'!$A:$A,'SKU Repoprt'!H$1)</f>
        <v>2</v>
      </c>
      <c r="I154" s="3">
        <f>SUMIFS('Business - Dump'!$Q:$Q,'Business - Dump'!$D:$D,'SKU Repoprt'!$D154,'Business - Dump'!$A:$A,'SKU Repoprt'!I$1)</f>
        <v>0</v>
      </c>
      <c r="J154" s="3">
        <f>SUMIFS('Business - Dump'!$Q:$Q,'Business - Dump'!$D:$D,'SKU Repoprt'!$D154,'Business - Dump'!$A:$A,'SKU Repoprt'!J$1)</f>
        <v>1</v>
      </c>
      <c r="K154" s="3">
        <f>SUMIFS('Business - Dump'!$Q:$Q,'Business - Dump'!$D:$D,'SKU Repoprt'!$D154,'Business - Dump'!$A:$A,'SKU Repoprt'!K$1)</f>
        <v>1</v>
      </c>
      <c r="L154" s="3">
        <f>SUMIFS('Business - Dump'!$Q:$Q,'Business - Dump'!$D:$D,'SKU Repoprt'!$D154,'Business - Dump'!$A:$A,'SKU Repoprt'!L$1)</f>
        <v>0</v>
      </c>
      <c r="M154" s="3">
        <f>SUMIFS('Business - Dump'!$Q:$Q,'Business - Dump'!$D:$D,'SKU Repoprt'!$D154,'Business - Dump'!$A:$A,'SKU Repoprt'!M$1)</f>
        <v>0</v>
      </c>
      <c r="N154" s="3">
        <f>SUMIFS('Business - Dump'!$Q:$Q,'Business - Dump'!$D:$D,'SKU Repoprt'!$D154,'Business - Dump'!$A:$A,'SKU Repoprt'!N$1)</f>
        <v>0</v>
      </c>
      <c r="O154" s="3">
        <f>SUMIFS('Business - Dump'!$Q:$Q,'Business - Dump'!$D:$D,'SKU Repoprt'!$D154,'Business - Dump'!$A:$A,'SKU Repoprt'!O$1)</f>
        <v>0</v>
      </c>
      <c r="P154" s="3">
        <f>SUMIFS('Business - Dump'!$Q:$Q,'Business - Dump'!$D:$D,'SKU Repoprt'!$D154,'Business - Dump'!$A:$A,'SKU Repoprt'!P$1)</f>
        <v>0</v>
      </c>
      <c r="Q154" s="3">
        <f>SUMIFS('Business - Dump'!$Q:$Q,'Business - Dump'!$D:$D,'SKU Repoprt'!$D154,'Business - Dump'!$A:$A,'SKU Repoprt'!Q$1)</f>
        <v>0</v>
      </c>
      <c r="R154" s="3">
        <f>SUMIFS('Business - Dump'!$Q:$Q,'Business - Dump'!$D:$D,'SKU Repoprt'!$D154,'Business - Dump'!$A:$A,'SKU Repoprt'!R$1)</f>
        <v>1</v>
      </c>
      <c r="S154" s="3">
        <f>SUMIFS('Business - Dump'!$Q:$Q,'Business - Dump'!$D:$D,'SKU Repoprt'!$D154,'Business - Dump'!$A:$A,'SKU Repoprt'!S$1)</f>
        <v>0</v>
      </c>
      <c r="T154" s="3">
        <f>SUMIFS('Business - Dump'!$Q:$Q,'Business - Dump'!$D:$D,'SKU Repoprt'!$D154,'Business - Dump'!$A:$A,'SKU Repoprt'!T$1)</f>
        <v>0</v>
      </c>
      <c r="U154" s="3">
        <f>SUMIFS('Business - Dump'!$Q:$Q,'Business - Dump'!$D:$D,'SKU Repoprt'!$D154,'Business - Dump'!$A:$A,'SKU Repoprt'!U$1)</f>
        <v>0</v>
      </c>
      <c r="V154" s="3">
        <f>SUMIFS('Business - Dump'!$Q:$Q,'Business - Dump'!$D:$D,'SKU Repoprt'!$D154,'Business - Dump'!$A:$A,'SKU Repoprt'!V$1)</f>
        <v>0</v>
      </c>
      <c r="W154" s="3">
        <f>SUMIFS('Business - Dump'!$Q:$Q,'Business - Dump'!$D:$D,'SKU Repoprt'!$D154,'Business - Dump'!$A:$A,'SKU Repoprt'!W$1)</f>
        <v>0</v>
      </c>
    </row>
    <row r="155" ht="15.75" customHeight="1">
      <c r="A155" s="10" t="s">
        <v>248</v>
      </c>
      <c r="B155" s="10" t="s">
        <v>248</v>
      </c>
      <c r="C155" s="10"/>
      <c r="D155" s="10" t="s">
        <v>334</v>
      </c>
      <c r="E155" s="10" t="s">
        <v>268</v>
      </c>
      <c r="F155" s="3">
        <f t="shared" si="51"/>
        <v>5</v>
      </c>
      <c r="G155" s="3">
        <f>SUMIFS('Business - Dump'!$W:$W,'Business - Dump'!$D:$D,'SKU Repoprt'!$D155,'Business - Dump'!$A:$A,'SKU Repoprt'!G$1)</f>
        <v>0</v>
      </c>
      <c r="H155" s="3">
        <f>SUMIFS('Business - Dump'!$W:$W,'Business - Dump'!$D:$D,'SKU Repoprt'!$D155,'Business - Dump'!$A:$A,'SKU Repoprt'!H$1)</f>
        <v>2</v>
      </c>
      <c r="I155" s="3">
        <f>SUMIFS('Business - Dump'!$W:$W,'Business - Dump'!$D:$D,'SKU Repoprt'!$D155,'Business - Dump'!$A:$A,'SKU Repoprt'!I$1)</f>
        <v>0</v>
      </c>
      <c r="J155" s="3">
        <f>SUMIFS('Business - Dump'!$W:$W,'Business - Dump'!$D:$D,'SKU Repoprt'!$D155,'Business - Dump'!$A:$A,'SKU Repoprt'!J$1)</f>
        <v>1</v>
      </c>
      <c r="K155" s="3">
        <f>SUMIFS('Business - Dump'!$W:$W,'Business - Dump'!$D:$D,'SKU Repoprt'!$D155,'Business - Dump'!$A:$A,'SKU Repoprt'!K$1)</f>
        <v>1</v>
      </c>
      <c r="L155" s="3">
        <f>SUMIFS('Business - Dump'!$W:$W,'Business - Dump'!$D:$D,'SKU Repoprt'!$D155,'Business - Dump'!$A:$A,'SKU Repoprt'!L$1)</f>
        <v>0</v>
      </c>
      <c r="M155" s="3">
        <f>SUMIFS('Business - Dump'!$W:$W,'Business - Dump'!$D:$D,'SKU Repoprt'!$D155,'Business - Dump'!$A:$A,'SKU Repoprt'!M$1)</f>
        <v>0</v>
      </c>
      <c r="N155" s="3">
        <f>SUMIFS('Business - Dump'!$W:$W,'Business - Dump'!$D:$D,'SKU Repoprt'!$D155,'Business - Dump'!$A:$A,'SKU Repoprt'!N$1)</f>
        <v>0</v>
      </c>
      <c r="O155" s="3">
        <f>SUMIFS('Business - Dump'!$W:$W,'Business - Dump'!$D:$D,'SKU Repoprt'!$D155,'Business - Dump'!$A:$A,'SKU Repoprt'!O$1)</f>
        <v>0</v>
      </c>
      <c r="P155" s="3">
        <f>SUMIFS('Business - Dump'!$W:$W,'Business - Dump'!$D:$D,'SKU Repoprt'!$D155,'Business - Dump'!$A:$A,'SKU Repoprt'!P$1)</f>
        <v>0</v>
      </c>
      <c r="Q155" s="3">
        <f>SUMIFS('Business - Dump'!$W:$W,'Business - Dump'!$D:$D,'SKU Repoprt'!$D155,'Business - Dump'!$A:$A,'SKU Repoprt'!Q$1)</f>
        <v>0</v>
      </c>
      <c r="R155" s="3">
        <f>SUMIFS('Business - Dump'!$W:$W,'Business - Dump'!$D:$D,'SKU Repoprt'!$D155,'Business - Dump'!$A:$A,'SKU Repoprt'!R$1)</f>
        <v>1</v>
      </c>
      <c r="S155" s="3">
        <f>SUMIFS('Business - Dump'!$W:$W,'Business - Dump'!$D:$D,'SKU Repoprt'!$D155,'Business - Dump'!$A:$A,'SKU Repoprt'!S$1)</f>
        <v>0</v>
      </c>
      <c r="T155" s="3">
        <f>SUMIFS('Business - Dump'!$W:$W,'Business - Dump'!$D:$D,'SKU Repoprt'!$D155,'Business - Dump'!$A:$A,'SKU Repoprt'!T$1)</f>
        <v>0</v>
      </c>
      <c r="U155" s="3">
        <f>SUMIFS('Business - Dump'!$W:$W,'Business - Dump'!$D:$D,'SKU Repoprt'!$D155,'Business - Dump'!$A:$A,'SKU Repoprt'!U$1)</f>
        <v>0</v>
      </c>
      <c r="V155" s="3">
        <f>SUMIFS('Business - Dump'!$W:$W,'Business - Dump'!$D:$D,'SKU Repoprt'!$D155,'Business - Dump'!$A:$A,'SKU Repoprt'!V$1)</f>
        <v>0</v>
      </c>
      <c r="W155" s="3">
        <f>SUMIFS('Business - Dump'!$W:$W,'Business - Dump'!$D:$D,'SKU Repoprt'!$D155,'Business - Dump'!$A:$A,'SKU Repoprt'!W$1)</f>
        <v>0</v>
      </c>
    </row>
    <row r="156" ht="15.75" customHeight="1">
      <c r="A156" s="10" t="s">
        <v>248</v>
      </c>
      <c r="B156" s="10" t="s">
        <v>248</v>
      </c>
      <c r="C156" s="10"/>
      <c r="D156" s="10" t="s">
        <v>334</v>
      </c>
      <c r="E156" s="10" t="s">
        <v>26</v>
      </c>
      <c r="F156" s="16">
        <f t="shared" si="51"/>
        <v>67500</v>
      </c>
      <c r="G156" s="16">
        <f>SUMIFS('Business - Dump'!$U:$U,'Business - Dump'!$D:$D,'SKU Repoprt'!$D156,'Business - Dump'!$A:$A,'SKU Repoprt'!G$1)</f>
        <v>0</v>
      </c>
      <c r="H156" s="16">
        <f>SUMIFS('Business - Dump'!$U:$U,'Business - Dump'!$D:$D,'SKU Repoprt'!$D156,'Business - Dump'!$A:$A,'SKU Repoprt'!H$1)</f>
        <v>26800</v>
      </c>
      <c r="I156" s="16">
        <f>SUMIFS('Business - Dump'!$U:$U,'Business - Dump'!$D:$D,'SKU Repoprt'!$D156,'Business - Dump'!$A:$A,'SKU Repoprt'!I$1)</f>
        <v>0</v>
      </c>
      <c r="J156" s="16">
        <f>SUMIFS('Business - Dump'!$U:$U,'Business - Dump'!$D:$D,'SKU Repoprt'!$D156,'Business - Dump'!$A:$A,'SKU Repoprt'!J$1)</f>
        <v>13400</v>
      </c>
      <c r="K156" s="16">
        <f>SUMIFS('Business - Dump'!$U:$U,'Business - Dump'!$D:$D,'SKU Repoprt'!$D156,'Business - Dump'!$A:$A,'SKU Repoprt'!K$1)</f>
        <v>13400</v>
      </c>
      <c r="L156" s="16">
        <f>SUMIFS('Business - Dump'!$U:$U,'Business - Dump'!$D:$D,'SKU Repoprt'!$D156,'Business - Dump'!$A:$A,'SKU Repoprt'!L$1)</f>
        <v>0</v>
      </c>
      <c r="M156" s="16">
        <f>SUMIFS('Business - Dump'!$U:$U,'Business - Dump'!$D:$D,'SKU Repoprt'!$D156,'Business - Dump'!$A:$A,'SKU Repoprt'!M$1)</f>
        <v>0</v>
      </c>
      <c r="N156" s="16">
        <f>SUMIFS('Business - Dump'!$U:$U,'Business - Dump'!$D:$D,'SKU Repoprt'!$D156,'Business - Dump'!$A:$A,'SKU Repoprt'!N$1)</f>
        <v>0</v>
      </c>
      <c r="O156" s="16">
        <f>SUMIFS('Business - Dump'!$U:$U,'Business - Dump'!$D:$D,'SKU Repoprt'!$D156,'Business - Dump'!$A:$A,'SKU Repoprt'!O$1)</f>
        <v>0</v>
      </c>
      <c r="P156" s="16">
        <f>SUMIFS('Business - Dump'!$U:$U,'Business - Dump'!$D:$D,'SKU Repoprt'!$D156,'Business - Dump'!$A:$A,'SKU Repoprt'!P$1)</f>
        <v>0</v>
      </c>
      <c r="Q156" s="16">
        <f>SUMIFS('Business - Dump'!$U:$U,'Business - Dump'!$D:$D,'SKU Repoprt'!$D156,'Business - Dump'!$A:$A,'SKU Repoprt'!Q$1)</f>
        <v>0</v>
      </c>
      <c r="R156" s="16">
        <f>SUMIFS('Business - Dump'!$U:$U,'Business - Dump'!$D:$D,'SKU Repoprt'!$D156,'Business - Dump'!$A:$A,'SKU Repoprt'!R$1)</f>
        <v>13900</v>
      </c>
      <c r="S156" s="16">
        <f>SUMIFS('Business - Dump'!$U:$U,'Business - Dump'!$D:$D,'SKU Repoprt'!$D156,'Business - Dump'!$A:$A,'SKU Repoprt'!S$1)</f>
        <v>0</v>
      </c>
      <c r="T156" s="16">
        <f>SUMIFS('Business - Dump'!$U:$U,'Business - Dump'!$D:$D,'SKU Repoprt'!$D156,'Business - Dump'!$A:$A,'SKU Repoprt'!T$1)</f>
        <v>0</v>
      </c>
      <c r="U156" s="16">
        <f>SUMIFS('Business - Dump'!$U:$U,'Business - Dump'!$D:$D,'SKU Repoprt'!$D156,'Business - Dump'!$A:$A,'SKU Repoprt'!U$1)</f>
        <v>0</v>
      </c>
      <c r="V156" s="16">
        <f>SUMIFS('Business - Dump'!$U:$U,'Business - Dump'!$D:$D,'SKU Repoprt'!$D156,'Business - Dump'!$A:$A,'SKU Repoprt'!V$1)</f>
        <v>0</v>
      </c>
      <c r="W156" s="16">
        <f>SUMIFS('Business - Dump'!$U:$U,'Business - Dump'!$D:$D,'SKU Repoprt'!$D156,'Business - Dump'!$A:$A,'SKU Repoprt'!W$1)</f>
        <v>0</v>
      </c>
    </row>
    <row r="157" ht="15.75" customHeight="1">
      <c r="A157" s="10" t="s">
        <v>248</v>
      </c>
      <c r="B157" s="10" t="s">
        <v>248</v>
      </c>
      <c r="C157" s="10"/>
      <c r="D157" s="10" t="s">
        <v>334</v>
      </c>
      <c r="E157" s="10" t="s">
        <v>29</v>
      </c>
      <c r="F157" s="17">
        <v>0.027042857142857143</v>
      </c>
      <c r="G157" s="17">
        <f t="shared" ref="G157:W157" si="52">IFERROR(G155/G152,0)</f>
        <v>0</v>
      </c>
      <c r="H157" s="17">
        <f t="shared" si="52"/>
        <v>0.0253164557</v>
      </c>
      <c r="I157" s="17">
        <f t="shared" si="52"/>
        <v>0</v>
      </c>
      <c r="J157" s="17">
        <f t="shared" si="52"/>
        <v>0.01538461538</v>
      </c>
      <c r="K157" s="17">
        <f t="shared" si="52"/>
        <v>0.01315789474</v>
      </c>
      <c r="L157" s="17">
        <f t="shared" si="52"/>
        <v>0</v>
      </c>
      <c r="M157" s="17">
        <f t="shared" si="52"/>
        <v>0</v>
      </c>
      <c r="N157" s="17">
        <f t="shared" si="52"/>
        <v>0</v>
      </c>
      <c r="O157" s="17">
        <f t="shared" si="52"/>
        <v>0</v>
      </c>
      <c r="P157" s="17">
        <f t="shared" si="52"/>
        <v>0</v>
      </c>
      <c r="Q157" s="17">
        <f t="shared" si="52"/>
        <v>0</v>
      </c>
      <c r="R157" s="17">
        <f t="shared" si="52"/>
        <v>0.0078125</v>
      </c>
      <c r="S157" s="17">
        <f t="shared" si="52"/>
        <v>0</v>
      </c>
      <c r="T157" s="17">
        <f t="shared" si="52"/>
        <v>0</v>
      </c>
      <c r="U157" s="17">
        <f t="shared" si="52"/>
        <v>0</v>
      </c>
      <c r="V157" s="17">
        <f t="shared" si="52"/>
        <v>0</v>
      </c>
      <c r="W157" s="17">
        <f t="shared" si="52"/>
        <v>0</v>
      </c>
    </row>
    <row r="158" ht="15.75" customHeight="1">
      <c r="A158" s="10" t="s">
        <v>248</v>
      </c>
      <c r="B158" s="10" t="s">
        <v>248</v>
      </c>
      <c r="C158" s="10"/>
      <c r="D158" s="10" t="s">
        <v>335</v>
      </c>
      <c r="E158" s="10" t="s">
        <v>257</v>
      </c>
      <c r="F158" s="3">
        <f t="shared" ref="F158:F162" si="53">SUM(G158:S158)</f>
        <v>1173</v>
      </c>
      <c r="G158" s="3">
        <f>SUMIFS('Business - Dump'!$G:$G,'Business - Dump'!$D:$D,'SKU Repoprt'!$D158,'Business - Dump'!$A:$A,'SKU Repoprt'!G$1)</f>
        <v>0</v>
      </c>
      <c r="H158" s="3">
        <f>SUMIFS('Business - Dump'!$G:$G,'Business - Dump'!$D:$D,'SKU Repoprt'!$D158,'Business - Dump'!$A:$A,'SKU Repoprt'!H$1)</f>
        <v>138</v>
      </c>
      <c r="I158" s="3">
        <f>SUMIFS('Business - Dump'!$G:$G,'Business - Dump'!$D:$D,'SKU Repoprt'!$D158,'Business - Dump'!$A:$A,'SKU Repoprt'!I$1)</f>
        <v>155</v>
      </c>
      <c r="J158" s="3">
        <f>SUMIFS('Business - Dump'!$G:$G,'Business - Dump'!$D:$D,'SKU Repoprt'!$D158,'Business - Dump'!$A:$A,'SKU Repoprt'!J$1)</f>
        <v>0</v>
      </c>
      <c r="K158" s="3">
        <f>SUMIFS('Business - Dump'!$G:$G,'Business - Dump'!$D:$D,'SKU Repoprt'!$D158,'Business - Dump'!$A:$A,'SKU Repoprt'!K$1)</f>
        <v>0</v>
      </c>
      <c r="L158" s="3">
        <f>SUMIFS('Business - Dump'!$G:$G,'Business - Dump'!$D:$D,'SKU Repoprt'!$D158,'Business - Dump'!$A:$A,'SKU Repoprt'!L$1)</f>
        <v>126</v>
      </c>
      <c r="M158" s="3">
        <f>SUMIFS('Business - Dump'!$G:$G,'Business - Dump'!$D:$D,'SKU Repoprt'!$D158,'Business - Dump'!$A:$A,'SKU Repoprt'!M$1)</f>
        <v>265</v>
      </c>
      <c r="N158" s="3">
        <f>SUMIFS('Business - Dump'!$G:$G,'Business - Dump'!$D:$D,'SKU Repoprt'!$D158,'Business - Dump'!$A:$A,'SKU Repoprt'!N$1)</f>
        <v>146</v>
      </c>
      <c r="O158" s="3">
        <f>SUMIFS('Business - Dump'!$G:$G,'Business - Dump'!$D:$D,'SKU Repoprt'!$D158,'Business - Dump'!$A:$A,'SKU Repoprt'!O$1)</f>
        <v>0</v>
      </c>
      <c r="P158" s="3">
        <f>SUMIFS('Business - Dump'!$G:$G,'Business - Dump'!$D:$D,'SKU Repoprt'!$D158,'Business - Dump'!$A:$A,'SKU Repoprt'!P$1)</f>
        <v>14</v>
      </c>
      <c r="Q158" s="3">
        <f>SUMIFS('Business - Dump'!$G:$G,'Business - Dump'!$D:$D,'SKU Repoprt'!$D158,'Business - Dump'!$A:$A,'SKU Repoprt'!Q$1)</f>
        <v>219</v>
      </c>
      <c r="R158" s="3">
        <f>SUMIFS('Business - Dump'!$G:$G,'Business - Dump'!$D:$D,'SKU Repoprt'!$D158,'Business - Dump'!$A:$A,'SKU Repoprt'!R$1)</f>
        <v>110</v>
      </c>
      <c r="S158" s="3">
        <f>SUMIFS('Business - Dump'!$G:$G,'Business - Dump'!$D:$D,'SKU Repoprt'!$D158,'Business - Dump'!$A:$A,'SKU Repoprt'!S$1)</f>
        <v>0</v>
      </c>
      <c r="T158" s="3">
        <f>SUMIFS('Business - Dump'!$G:$G,'Business - Dump'!$D:$D,'SKU Repoprt'!$D158,'Business - Dump'!$A:$A,'SKU Repoprt'!T$1)</f>
        <v>0</v>
      </c>
      <c r="U158" s="3">
        <f>SUMIFS('Business - Dump'!$G:$G,'Business - Dump'!$D:$D,'SKU Repoprt'!$D158,'Business - Dump'!$A:$A,'SKU Repoprt'!U$1)</f>
        <v>0</v>
      </c>
      <c r="V158" s="3">
        <f>SUMIFS('Business - Dump'!$G:$G,'Business - Dump'!$D:$D,'SKU Repoprt'!$D158,'Business - Dump'!$A:$A,'SKU Repoprt'!V$1)</f>
        <v>0</v>
      </c>
      <c r="W158" s="3">
        <f>SUMIFS('Business - Dump'!$G:$G,'Business - Dump'!$D:$D,'SKU Repoprt'!$D158,'Business - Dump'!$A:$A,'SKU Repoprt'!W$1)</f>
        <v>0</v>
      </c>
    </row>
    <row r="159" ht="15.75" customHeight="1">
      <c r="A159" s="10" t="s">
        <v>248</v>
      </c>
      <c r="B159" s="10" t="s">
        <v>248</v>
      </c>
      <c r="C159" s="10"/>
      <c r="D159" s="10" t="s">
        <v>335</v>
      </c>
      <c r="E159" s="10" t="s">
        <v>260</v>
      </c>
      <c r="F159" s="3">
        <f t="shared" si="53"/>
        <v>1690</v>
      </c>
      <c r="G159" s="3">
        <f>SUMIFS('Business - Dump'!$K:$K,'Business - Dump'!$D:$D,'SKU Repoprt'!$D159,'Business - Dump'!$A:$A,'SKU Repoprt'!G$1)</f>
        <v>0</v>
      </c>
      <c r="H159" s="3">
        <f>SUMIFS('Business - Dump'!$K:$K,'Business - Dump'!$D:$D,'SKU Repoprt'!$D159,'Business - Dump'!$A:$A,'SKU Repoprt'!H$1)</f>
        <v>188</v>
      </c>
      <c r="I159" s="3">
        <f>SUMIFS('Business - Dump'!$K:$K,'Business - Dump'!$D:$D,'SKU Repoprt'!$D159,'Business - Dump'!$A:$A,'SKU Repoprt'!I$1)</f>
        <v>199</v>
      </c>
      <c r="J159" s="3">
        <f>SUMIFS('Business - Dump'!$K:$K,'Business - Dump'!$D:$D,'SKU Repoprt'!$D159,'Business - Dump'!$A:$A,'SKU Repoprt'!J$1)</f>
        <v>0</v>
      </c>
      <c r="K159" s="3">
        <f>SUMIFS('Business - Dump'!$K:$K,'Business - Dump'!$D:$D,'SKU Repoprt'!$D159,'Business - Dump'!$A:$A,'SKU Repoprt'!K$1)</f>
        <v>0</v>
      </c>
      <c r="L159" s="3">
        <f>SUMIFS('Business - Dump'!$K:$K,'Business - Dump'!$D:$D,'SKU Repoprt'!$D159,'Business - Dump'!$A:$A,'SKU Repoprt'!L$1)</f>
        <v>188</v>
      </c>
      <c r="M159" s="3">
        <f>SUMIFS('Business - Dump'!$K:$K,'Business - Dump'!$D:$D,'SKU Repoprt'!$D159,'Business - Dump'!$A:$A,'SKU Repoprt'!M$1)</f>
        <v>419</v>
      </c>
      <c r="N159" s="3">
        <f>SUMIFS('Business - Dump'!$K:$K,'Business - Dump'!$D:$D,'SKU Repoprt'!$D159,'Business - Dump'!$A:$A,'SKU Repoprt'!N$1)</f>
        <v>209</v>
      </c>
      <c r="O159" s="3">
        <f>SUMIFS('Business - Dump'!$K:$K,'Business - Dump'!$D:$D,'SKU Repoprt'!$D159,'Business - Dump'!$A:$A,'SKU Repoprt'!O$1)</f>
        <v>0</v>
      </c>
      <c r="P159" s="3">
        <f>SUMIFS('Business - Dump'!$K:$K,'Business - Dump'!$D:$D,'SKU Repoprt'!$D159,'Business - Dump'!$A:$A,'SKU Repoprt'!P$1)</f>
        <v>20</v>
      </c>
      <c r="Q159" s="3">
        <f>SUMIFS('Business - Dump'!$K:$K,'Business - Dump'!$D:$D,'SKU Repoprt'!$D159,'Business - Dump'!$A:$A,'SKU Repoprt'!Q$1)</f>
        <v>299</v>
      </c>
      <c r="R159" s="3">
        <f>SUMIFS('Business - Dump'!$K:$K,'Business - Dump'!$D:$D,'SKU Repoprt'!$D159,'Business - Dump'!$A:$A,'SKU Repoprt'!R$1)</f>
        <v>168</v>
      </c>
      <c r="S159" s="3">
        <f>SUMIFS('Business - Dump'!$K:$K,'Business - Dump'!$D:$D,'SKU Repoprt'!$D159,'Business - Dump'!$A:$A,'SKU Repoprt'!S$1)</f>
        <v>0</v>
      </c>
      <c r="T159" s="3">
        <f>SUMIFS('Business - Dump'!$K:$K,'Business - Dump'!$D:$D,'SKU Repoprt'!$D159,'Business - Dump'!$A:$A,'SKU Repoprt'!T$1)</f>
        <v>0</v>
      </c>
      <c r="U159" s="3">
        <f>SUMIFS('Business - Dump'!$K:$K,'Business - Dump'!$D:$D,'SKU Repoprt'!$D159,'Business - Dump'!$A:$A,'SKU Repoprt'!U$1)</f>
        <v>0</v>
      </c>
      <c r="V159" s="3">
        <f>SUMIFS('Business - Dump'!$K:$K,'Business - Dump'!$D:$D,'SKU Repoprt'!$D159,'Business - Dump'!$A:$A,'SKU Repoprt'!V$1)</f>
        <v>0</v>
      </c>
      <c r="W159" s="3">
        <f>SUMIFS('Business - Dump'!$K:$K,'Business - Dump'!$D:$D,'SKU Repoprt'!$D159,'Business - Dump'!$A:$A,'SKU Repoprt'!W$1)</f>
        <v>0</v>
      </c>
    </row>
    <row r="160" ht="15.75" customHeight="1">
      <c r="A160" s="10" t="s">
        <v>248</v>
      </c>
      <c r="B160" s="10" t="s">
        <v>248</v>
      </c>
      <c r="C160" s="10"/>
      <c r="D160" s="10" t="s">
        <v>335</v>
      </c>
      <c r="E160" s="10" t="s">
        <v>264</v>
      </c>
      <c r="F160" s="3">
        <f t="shared" si="53"/>
        <v>12</v>
      </c>
      <c r="G160" s="3">
        <f>SUMIFS('Business - Dump'!$Q:$Q,'Business - Dump'!$D:$D,'SKU Repoprt'!$D160,'Business - Dump'!$A:$A,'SKU Repoprt'!G$1)</f>
        <v>0</v>
      </c>
      <c r="H160" s="3">
        <f>SUMIFS('Business - Dump'!$Q:$Q,'Business - Dump'!$D:$D,'SKU Repoprt'!$D160,'Business - Dump'!$A:$A,'SKU Repoprt'!H$1)</f>
        <v>2</v>
      </c>
      <c r="I160" s="3">
        <f>SUMIFS('Business - Dump'!$Q:$Q,'Business - Dump'!$D:$D,'SKU Repoprt'!$D160,'Business - Dump'!$A:$A,'SKU Repoprt'!I$1)</f>
        <v>1</v>
      </c>
      <c r="J160" s="3">
        <f>SUMIFS('Business - Dump'!$Q:$Q,'Business - Dump'!$D:$D,'SKU Repoprt'!$D160,'Business - Dump'!$A:$A,'SKU Repoprt'!J$1)</f>
        <v>0</v>
      </c>
      <c r="K160" s="3">
        <f>SUMIFS('Business - Dump'!$Q:$Q,'Business - Dump'!$D:$D,'SKU Repoprt'!$D160,'Business - Dump'!$A:$A,'SKU Repoprt'!K$1)</f>
        <v>0</v>
      </c>
      <c r="L160" s="3">
        <f>SUMIFS('Business - Dump'!$Q:$Q,'Business - Dump'!$D:$D,'SKU Repoprt'!$D160,'Business - Dump'!$A:$A,'SKU Repoprt'!L$1)</f>
        <v>1</v>
      </c>
      <c r="M160" s="3">
        <f>SUMIFS('Business - Dump'!$Q:$Q,'Business - Dump'!$D:$D,'SKU Repoprt'!$D160,'Business - Dump'!$A:$A,'SKU Repoprt'!M$1)</f>
        <v>2</v>
      </c>
      <c r="N160" s="3">
        <f>SUMIFS('Business - Dump'!$Q:$Q,'Business - Dump'!$D:$D,'SKU Repoprt'!$D160,'Business - Dump'!$A:$A,'SKU Repoprt'!N$1)</f>
        <v>2</v>
      </c>
      <c r="O160" s="3">
        <f>SUMIFS('Business - Dump'!$Q:$Q,'Business - Dump'!$D:$D,'SKU Repoprt'!$D160,'Business - Dump'!$A:$A,'SKU Repoprt'!O$1)</f>
        <v>0</v>
      </c>
      <c r="P160" s="3">
        <f>SUMIFS('Business - Dump'!$Q:$Q,'Business - Dump'!$D:$D,'SKU Repoprt'!$D160,'Business - Dump'!$A:$A,'SKU Repoprt'!P$1)</f>
        <v>0</v>
      </c>
      <c r="Q160" s="3">
        <f>SUMIFS('Business - Dump'!$Q:$Q,'Business - Dump'!$D:$D,'SKU Repoprt'!$D160,'Business - Dump'!$A:$A,'SKU Repoprt'!Q$1)</f>
        <v>3</v>
      </c>
      <c r="R160" s="3">
        <f>SUMIFS('Business - Dump'!$Q:$Q,'Business - Dump'!$D:$D,'SKU Repoprt'!$D160,'Business - Dump'!$A:$A,'SKU Repoprt'!R$1)</f>
        <v>1</v>
      </c>
      <c r="S160" s="3">
        <f>SUMIFS('Business - Dump'!$Q:$Q,'Business - Dump'!$D:$D,'SKU Repoprt'!$D160,'Business - Dump'!$A:$A,'SKU Repoprt'!S$1)</f>
        <v>0</v>
      </c>
      <c r="T160" s="3">
        <f>SUMIFS('Business - Dump'!$Q:$Q,'Business - Dump'!$D:$D,'SKU Repoprt'!$D160,'Business - Dump'!$A:$A,'SKU Repoprt'!T$1)</f>
        <v>0</v>
      </c>
      <c r="U160" s="3">
        <f>SUMIFS('Business - Dump'!$Q:$Q,'Business - Dump'!$D:$D,'SKU Repoprt'!$D160,'Business - Dump'!$A:$A,'SKU Repoprt'!U$1)</f>
        <v>0</v>
      </c>
      <c r="V160" s="3">
        <f>SUMIFS('Business - Dump'!$Q:$Q,'Business - Dump'!$D:$D,'SKU Repoprt'!$D160,'Business - Dump'!$A:$A,'SKU Repoprt'!V$1)</f>
        <v>0</v>
      </c>
      <c r="W160" s="3">
        <f>SUMIFS('Business - Dump'!$Q:$Q,'Business - Dump'!$D:$D,'SKU Repoprt'!$D160,'Business - Dump'!$A:$A,'SKU Repoprt'!W$1)</f>
        <v>0</v>
      </c>
    </row>
    <row r="161" ht="15.75" customHeight="1">
      <c r="A161" s="10" t="s">
        <v>248</v>
      </c>
      <c r="B161" s="10" t="s">
        <v>248</v>
      </c>
      <c r="C161" s="10"/>
      <c r="D161" s="10" t="s">
        <v>335</v>
      </c>
      <c r="E161" s="10" t="s">
        <v>268</v>
      </c>
      <c r="F161" s="3">
        <f t="shared" si="53"/>
        <v>12</v>
      </c>
      <c r="G161" s="3">
        <f>SUMIFS('Business - Dump'!$W:$W,'Business - Dump'!$D:$D,'SKU Repoprt'!$D161,'Business - Dump'!$A:$A,'SKU Repoprt'!G$1)</f>
        <v>0</v>
      </c>
      <c r="H161" s="3">
        <f>SUMIFS('Business - Dump'!$W:$W,'Business - Dump'!$D:$D,'SKU Repoprt'!$D161,'Business - Dump'!$A:$A,'SKU Repoprt'!H$1)</f>
        <v>2</v>
      </c>
      <c r="I161" s="3">
        <f>SUMIFS('Business - Dump'!$W:$W,'Business - Dump'!$D:$D,'SKU Repoprt'!$D161,'Business - Dump'!$A:$A,'SKU Repoprt'!I$1)</f>
        <v>1</v>
      </c>
      <c r="J161" s="3">
        <f>SUMIFS('Business - Dump'!$W:$W,'Business - Dump'!$D:$D,'SKU Repoprt'!$D161,'Business - Dump'!$A:$A,'SKU Repoprt'!J$1)</f>
        <v>0</v>
      </c>
      <c r="K161" s="3">
        <f>SUMIFS('Business - Dump'!$W:$W,'Business - Dump'!$D:$D,'SKU Repoprt'!$D161,'Business - Dump'!$A:$A,'SKU Repoprt'!K$1)</f>
        <v>0</v>
      </c>
      <c r="L161" s="3">
        <f>SUMIFS('Business - Dump'!$W:$W,'Business - Dump'!$D:$D,'SKU Repoprt'!$D161,'Business - Dump'!$A:$A,'SKU Repoprt'!L$1)</f>
        <v>1</v>
      </c>
      <c r="M161" s="3">
        <f>SUMIFS('Business - Dump'!$W:$W,'Business - Dump'!$D:$D,'SKU Repoprt'!$D161,'Business - Dump'!$A:$A,'SKU Repoprt'!M$1)</f>
        <v>2</v>
      </c>
      <c r="N161" s="3">
        <f>SUMIFS('Business - Dump'!$W:$W,'Business - Dump'!$D:$D,'SKU Repoprt'!$D161,'Business - Dump'!$A:$A,'SKU Repoprt'!N$1)</f>
        <v>2</v>
      </c>
      <c r="O161" s="3">
        <f>SUMIFS('Business - Dump'!$W:$W,'Business - Dump'!$D:$D,'SKU Repoprt'!$D161,'Business - Dump'!$A:$A,'SKU Repoprt'!O$1)</f>
        <v>0</v>
      </c>
      <c r="P161" s="3">
        <f>SUMIFS('Business - Dump'!$W:$W,'Business - Dump'!$D:$D,'SKU Repoprt'!$D161,'Business - Dump'!$A:$A,'SKU Repoprt'!P$1)</f>
        <v>0</v>
      </c>
      <c r="Q161" s="3">
        <f>SUMIFS('Business - Dump'!$W:$W,'Business - Dump'!$D:$D,'SKU Repoprt'!$D161,'Business - Dump'!$A:$A,'SKU Repoprt'!Q$1)</f>
        <v>3</v>
      </c>
      <c r="R161" s="3">
        <f>SUMIFS('Business - Dump'!$W:$W,'Business - Dump'!$D:$D,'SKU Repoprt'!$D161,'Business - Dump'!$A:$A,'SKU Repoprt'!R$1)</f>
        <v>1</v>
      </c>
      <c r="S161" s="3">
        <f>SUMIFS('Business - Dump'!$W:$W,'Business - Dump'!$D:$D,'SKU Repoprt'!$D161,'Business - Dump'!$A:$A,'SKU Repoprt'!S$1)</f>
        <v>0</v>
      </c>
      <c r="T161" s="3">
        <f>SUMIFS('Business - Dump'!$W:$W,'Business - Dump'!$D:$D,'SKU Repoprt'!$D161,'Business - Dump'!$A:$A,'SKU Repoprt'!T$1)</f>
        <v>0</v>
      </c>
      <c r="U161" s="3">
        <f>SUMIFS('Business - Dump'!$W:$W,'Business - Dump'!$D:$D,'SKU Repoprt'!$D161,'Business - Dump'!$A:$A,'SKU Repoprt'!U$1)</f>
        <v>0</v>
      </c>
      <c r="V161" s="3">
        <f>SUMIFS('Business - Dump'!$W:$W,'Business - Dump'!$D:$D,'SKU Repoprt'!$D161,'Business - Dump'!$A:$A,'SKU Repoprt'!V$1)</f>
        <v>0</v>
      </c>
      <c r="W161" s="3">
        <f>SUMIFS('Business - Dump'!$W:$W,'Business - Dump'!$D:$D,'SKU Repoprt'!$D161,'Business - Dump'!$A:$A,'SKU Repoprt'!W$1)</f>
        <v>0</v>
      </c>
    </row>
    <row r="162" ht="15.75" customHeight="1">
      <c r="A162" s="10" t="s">
        <v>248</v>
      </c>
      <c r="B162" s="10" t="s">
        <v>248</v>
      </c>
      <c r="C162" s="10"/>
      <c r="D162" s="10" t="s">
        <v>335</v>
      </c>
      <c r="E162" s="10" t="s">
        <v>26</v>
      </c>
      <c r="F162" s="16">
        <f t="shared" si="53"/>
        <v>134369.49</v>
      </c>
      <c r="G162" s="16">
        <f>SUMIFS('Business - Dump'!$U:$U,'Business - Dump'!$D:$D,'SKU Repoprt'!$D162,'Business - Dump'!$A:$A,'SKU Repoprt'!G$1)</f>
        <v>0</v>
      </c>
      <c r="H162" s="16">
        <f>SUMIFS('Business - Dump'!$U:$U,'Business - Dump'!$D:$D,'SKU Repoprt'!$D162,'Business - Dump'!$A:$A,'SKU Repoprt'!H$1)</f>
        <v>21800</v>
      </c>
      <c r="I162" s="16">
        <f>SUMIFS('Business - Dump'!$U:$U,'Business - Dump'!$D:$D,'SKU Repoprt'!$D162,'Business - Dump'!$A:$A,'SKU Repoprt'!I$1)</f>
        <v>10900</v>
      </c>
      <c r="J162" s="16">
        <f>SUMIFS('Business - Dump'!$U:$U,'Business - Dump'!$D:$D,'SKU Repoprt'!$D162,'Business - Dump'!$A:$A,'SKU Repoprt'!J$1)</f>
        <v>0</v>
      </c>
      <c r="K162" s="16">
        <f>SUMIFS('Business - Dump'!$U:$U,'Business - Dump'!$D:$D,'SKU Repoprt'!$D162,'Business - Dump'!$A:$A,'SKU Repoprt'!K$1)</f>
        <v>0</v>
      </c>
      <c r="L162" s="16">
        <f>SUMIFS('Business - Dump'!$U:$U,'Business - Dump'!$D:$D,'SKU Repoprt'!$D162,'Business - Dump'!$A:$A,'SKU Repoprt'!L$1)</f>
        <v>10900</v>
      </c>
      <c r="M162" s="16">
        <f>SUMIFS('Business - Dump'!$U:$U,'Business - Dump'!$D:$D,'SKU Repoprt'!$D162,'Business - Dump'!$A:$A,'SKU Repoprt'!M$1)</f>
        <v>22169.49</v>
      </c>
      <c r="N162" s="16">
        <f>SUMIFS('Business - Dump'!$U:$U,'Business - Dump'!$D:$D,'SKU Repoprt'!$D162,'Business - Dump'!$A:$A,'SKU Repoprt'!N$1)</f>
        <v>22200</v>
      </c>
      <c r="O162" s="16">
        <f>SUMIFS('Business - Dump'!$U:$U,'Business - Dump'!$D:$D,'SKU Repoprt'!$D162,'Business - Dump'!$A:$A,'SKU Repoprt'!O$1)</f>
        <v>0</v>
      </c>
      <c r="P162" s="16">
        <f>SUMIFS('Business - Dump'!$U:$U,'Business - Dump'!$D:$D,'SKU Repoprt'!$D162,'Business - Dump'!$A:$A,'SKU Repoprt'!P$1)</f>
        <v>0</v>
      </c>
      <c r="Q162" s="16">
        <f>SUMIFS('Business - Dump'!$U:$U,'Business - Dump'!$D:$D,'SKU Repoprt'!$D162,'Business - Dump'!$A:$A,'SKU Repoprt'!Q$1)</f>
        <v>34800</v>
      </c>
      <c r="R162" s="16">
        <f>SUMIFS('Business - Dump'!$U:$U,'Business - Dump'!$D:$D,'SKU Repoprt'!$D162,'Business - Dump'!$A:$A,'SKU Repoprt'!R$1)</f>
        <v>11600</v>
      </c>
      <c r="S162" s="16">
        <f>SUMIFS('Business - Dump'!$U:$U,'Business - Dump'!$D:$D,'SKU Repoprt'!$D162,'Business - Dump'!$A:$A,'SKU Repoprt'!S$1)</f>
        <v>0</v>
      </c>
      <c r="T162" s="16">
        <f>SUMIFS('Business - Dump'!$U:$U,'Business - Dump'!$D:$D,'SKU Repoprt'!$D162,'Business - Dump'!$A:$A,'SKU Repoprt'!T$1)</f>
        <v>0</v>
      </c>
      <c r="U162" s="16">
        <f>SUMIFS('Business - Dump'!$U:$U,'Business - Dump'!$D:$D,'SKU Repoprt'!$D162,'Business - Dump'!$A:$A,'SKU Repoprt'!U$1)</f>
        <v>0</v>
      </c>
      <c r="V162" s="16">
        <f>SUMIFS('Business - Dump'!$U:$U,'Business - Dump'!$D:$D,'SKU Repoprt'!$D162,'Business - Dump'!$A:$A,'SKU Repoprt'!V$1)</f>
        <v>0</v>
      </c>
      <c r="W162" s="16">
        <f>SUMIFS('Business - Dump'!$U:$U,'Business - Dump'!$D:$D,'SKU Repoprt'!$D162,'Business - Dump'!$A:$A,'SKU Repoprt'!W$1)</f>
        <v>0</v>
      </c>
    </row>
    <row r="163" ht="15.75" customHeight="1">
      <c r="A163" s="10" t="s">
        <v>248</v>
      </c>
      <c r="B163" s="10" t="s">
        <v>248</v>
      </c>
      <c r="C163" s="10"/>
      <c r="D163" s="10" t="s">
        <v>335</v>
      </c>
      <c r="E163" s="10" t="s">
        <v>29</v>
      </c>
      <c r="F163" s="17">
        <v>0.027042857142857143</v>
      </c>
      <c r="G163" s="17">
        <f t="shared" ref="G163:W163" si="54">IFERROR(G161/G158,0)</f>
        <v>0</v>
      </c>
      <c r="H163" s="17">
        <f t="shared" si="54"/>
        <v>0.01449275362</v>
      </c>
      <c r="I163" s="17">
        <f t="shared" si="54"/>
        <v>0.006451612903</v>
      </c>
      <c r="J163" s="17">
        <f t="shared" si="54"/>
        <v>0</v>
      </c>
      <c r="K163" s="17">
        <f t="shared" si="54"/>
        <v>0</v>
      </c>
      <c r="L163" s="17">
        <f t="shared" si="54"/>
        <v>0.007936507937</v>
      </c>
      <c r="M163" s="17">
        <f t="shared" si="54"/>
        <v>0.007547169811</v>
      </c>
      <c r="N163" s="17">
        <f t="shared" si="54"/>
        <v>0.01369863014</v>
      </c>
      <c r="O163" s="17">
        <f t="shared" si="54"/>
        <v>0</v>
      </c>
      <c r="P163" s="17">
        <f t="shared" si="54"/>
        <v>0</v>
      </c>
      <c r="Q163" s="17">
        <f t="shared" si="54"/>
        <v>0.01369863014</v>
      </c>
      <c r="R163" s="17">
        <f t="shared" si="54"/>
        <v>0.009090909091</v>
      </c>
      <c r="S163" s="17">
        <f t="shared" si="54"/>
        <v>0</v>
      </c>
      <c r="T163" s="17">
        <f t="shared" si="54"/>
        <v>0</v>
      </c>
      <c r="U163" s="17">
        <f t="shared" si="54"/>
        <v>0</v>
      </c>
      <c r="V163" s="17">
        <f t="shared" si="54"/>
        <v>0</v>
      </c>
      <c r="W163" s="17">
        <f t="shared" si="54"/>
        <v>0</v>
      </c>
    </row>
    <row r="164" ht="15.75" customHeight="1">
      <c r="A164" s="10" t="s">
        <v>248</v>
      </c>
      <c r="B164" s="10" t="s">
        <v>248</v>
      </c>
      <c r="C164" s="10"/>
      <c r="D164" s="10" t="s">
        <v>362</v>
      </c>
      <c r="E164" s="10" t="s">
        <v>257</v>
      </c>
      <c r="F164" s="3">
        <f t="shared" ref="F164:F168" si="55">SUM(G164:S164)</f>
        <v>853</v>
      </c>
      <c r="G164" s="3">
        <f>SUMIFS('Business - Dump'!$G:$G,'Business - Dump'!$D:$D,'SKU Repoprt'!$D164,'Business - Dump'!$A:$A,'SKU Repoprt'!G$1)</f>
        <v>0</v>
      </c>
      <c r="H164" s="3">
        <f>SUMIFS('Business - Dump'!$G:$G,'Business - Dump'!$D:$D,'SKU Repoprt'!$D164,'Business - Dump'!$A:$A,'SKU Repoprt'!H$1)</f>
        <v>0</v>
      </c>
      <c r="I164" s="3">
        <f>SUMIFS('Business - Dump'!$G:$G,'Business - Dump'!$D:$D,'SKU Repoprt'!$D164,'Business - Dump'!$A:$A,'SKU Repoprt'!I$1)</f>
        <v>0</v>
      </c>
      <c r="J164" s="3">
        <f>SUMIFS('Business - Dump'!$G:$G,'Business - Dump'!$D:$D,'SKU Repoprt'!$D164,'Business - Dump'!$A:$A,'SKU Repoprt'!J$1)</f>
        <v>0</v>
      </c>
      <c r="K164" s="3">
        <f>SUMIFS('Business - Dump'!$G:$G,'Business - Dump'!$D:$D,'SKU Repoprt'!$D164,'Business - Dump'!$A:$A,'SKU Repoprt'!K$1)</f>
        <v>75</v>
      </c>
      <c r="L164" s="3">
        <f>SUMIFS('Business - Dump'!$G:$G,'Business - Dump'!$D:$D,'SKU Repoprt'!$D164,'Business - Dump'!$A:$A,'SKU Repoprt'!L$1)</f>
        <v>0</v>
      </c>
      <c r="M164" s="3">
        <f>SUMIFS('Business - Dump'!$G:$G,'Business - Dump'!$D:$D,'SKU Repoprt'!$D164,'Business - Dump'!$A:$A,'SKU Repoprt'!M$1)</f>
        <v>149</v>
      </c>
      <c r="N164" s="3">
        <f>SUMIFS('Business - Dump'!$G:$G,'Business - Dump'!$D:$D,'SKU Repoprt'!$D164,'Business - Dump'!$A:$A,'SKU Repoprt'!N$1)</f>
        <v>81</v>
      </c>
      <c r="O164" s="3">
        <f>SUMIFS('Business - Dump'!$G:$G,'Business - Dump'!$D:$D,'SKU Repoprt'!$D164,'Business - Dump'!$A:$A,'SKU Repoprt'!O$1)</f>
        <v>0</v>
      </c>
      <c r="P164" s="3">
        <f>SUMIFS('Business - Dump'!$G:$G,'Business - Dump'!$D:$D,'SKU Repoprt'!$D164,'Business - Dump'!$A:$A,'SKU Repoprt'!P$1)</f>
        <v>20</v>
      </c>
      <c r="Q164" s="3">
        <f>SUMIFS('Business - Dump'!$G:$G,'Business - Dump'!$D:$D,'SKU Repoprt'!$D164,'Business - Dump'!$A:$A,'SKU Repoprt'!Q$1)</f>
        <v>166</v>
      </c>
      <c r="R164" s="3">
        <f>SUMIFS('Business - Dump'!$G:$G,'Business - Dump'!$D:$D,'SKU Repoprt'!$D164,'Business - Dump'!$A:$A,'SKU Repoprt'!R$1)</f>
        <v>146</v>
      </c>
      <c r="S164" s="3">
        <f>SUMIFS('Business - Dump'!$G:$G,'Business - Dump'!$D:$D,'SKU Repoprt'!$D164,'Business - Dump'!$A:$A,'SKU Repoprt'!S$1)</f>
        <v>216</v>
      </c>
      <c r="T164" s="3">
        <f>SUMIFS('Business - Dump'!$G:$G,'Business - Dump'!$D:$D,'SKU Repoprt'!$D164,'Business - Dump'!$A:$A,'SKU Repoprt'!T$1)</f>
        <v>87</v>
      </c>
      <c r="U164" s="3">
        <f>SUMIFS('Business - Dump'!$G:$G,'Business - Dump'!$D:$D,'SKU Repoprt'!$D164,'Business - Dump'!$A:$A,'SKU Repoprt'!U$1)</f>
        <v>0</v>
      </c>
      <c r="V164" s="3">
        <f>SUMIFS('Business - Dump'!$G:$G,'Business - Dump'!$D:$D,'SKU Repoprt'!$D164,'Business - Dump'!$A:$A,'SKU Repoprt'!V$1)</f>
        <v>0</v>
      </c>
      <c r="W164" s="3">
        <f>SUMIFS('Business - Dump'!$G:$G,'Business - Dump'!$D:$D,'SKU Repoprt'!$D164,'Business - Dump'!$A:$A,'SKU Repoprt'!W$1)</f>
        <v>0</v>
      </c>
    </row>
    <row r="165" ht="15.75" customHeight="1">
      <c r="A165" s="10" t="s">
        <v>248</v>
      </c>
      <c r="B165" s="10" t="s">
        <v>248</v>
      </c>
      <c r="C165" s="10"/>
      <c r="D165" s="10" t="s">
        <v>362</v>
      </c>
      <c r="E165" s="10" t="s">
        <v>260</v>
      </c>
      <c r="F165" s="3">
        <f t="shared" si="55"/>
        <v>1224</v>
      </c>
      <c r="G165" s="3">
        <f>SUMIFS('Business - Dump'!$K:$K,'Business - Dump'!$D:$D,'SKU Repoprt'!$D165,'Business - Dump'!$A:$A,'SKU Repoprt'!G$1)</f>
        <v>0</v>
      </c>
      <c r="H165" s="3">
        <f>SUMIFS('Business - Dump'!$K:$K,'Business - Dump'!$D:$D,'SKU Repoprt'!$D165,'Business - Dump'!$A:$A,'SKU Repoprt'!H$1)</f>
        <v>0</v>
      </c>
      <c r="I165" s="3">
        <f>SUMIFS('Business - Dump'!$K:$K,'Business - Dump'!$D:$D,'SKU Repoprt'!$D165,'Business - Dump'!$A:$A,'SKU Repoprt'!I$1)</f>
        <v>0</v>
      </c>
      <c r="J165" s="3">
        <f>SUMIFS('Business - Dump'!$K:$K,'Business - Dump'!$D:$D,'SKU Repoprt'!$D165,'Business - Dump'!$A:$A,'SKU Repoprt'!J$1)</f>
        <v>0</v>
      </c>
      <c r="K165" s="3">
        <f>SUMIFS('Business - Dump'!$K:$K,'Business - Dump'!$D:$D,'SKU Repoprt'!$D165,'Business - Dump'!$A:$A,'SKU Repoprt'!K$1)</f>
        <v>93</v>
      </c>
      <c r="L165" s="3">
        <f>SUMIFS('Business - Dump'!$K:$K,'Business - Dump'!$D:$D,'SKU Repoprt'!$D165,'Business - Dump'!$A:$A,'SKU Repoprt'!L$1)</f>
        <v>0</v>
      </c>
      <c r="M165" s="3">
        <f>SUMIFS('Business - Dump'!$K:$K,'Business - Dump'!$D:$D,'SKU Repoprt'!$D165,'Business - Dump'!$A:$A,'SKU Repoprt'!M$1)</f>
        <v>205</v>
      </c>
      <c r="N165" s="3">
        <f>SUMIFS('Business - Dump'!$K:$K,'Business - Dump'!$D:$D,'SKU Repoprt'!$D165,'Business - Dump'!$A:$A,'SKU Repoprt'!N$1)</f>
        <v>118</v>
      </c>
      <c r="O165" s="3">
        <f>SUMIFS('Business - Dump'!$K:$K,'Business - Dump'!$D:$D,'SKU Repoprt'!$D165,'Business - Dump'!$A:$A,'SKU Repoprt'!O$1)</f>
        <v>0</v>
      </c>
      <c r="P165" s="3">
        <f>SUMIFS('Business - Dump'!$K:$K,'Business - Dump'!$D:$D,'SKU Repoprt'!$D165,'Business - Dump'!$A:$A,'SKU Repoprt'!P$1)</f>
        <v>22</v>
      </c>
      <c r="Q165" s="3">
        <f>SUMIFS('Business - Dump'!$K:$K,'Business - Dump'!$D:$D,'SKU Repoprt'!$D165,'Business - Dump'!$A:$A,'SKU Repoprt'!Q$1)</f>
        <v>239</v>
      </c>
      <c r="R165" s="3">
        <f>SUMIFS('Business - Dump'!$K:$K,'Business - Dump'!$D:$D,'SKU Repoprt'!$D165,'Business - Dump'!$A:$A,'SKU Repoprt'!R$1)</f>
        <v>201</v>
      </c>
      <c r="S165" s="3">
        <f>SUMIFS('Business - Dump'!$K:$K,'Business - Dump'!$D:$D,'SKU Repoprt'!$D165,'Business - Dump'!$A:$A,'SKU Repoprt'!S$1)</f>
        <v>346</v>
      </c>
      <c r="T165" s="3">
        <f>SUMIFS('Business - Dump'!$K:$K,'Business - Dump'!$D:$D,'SKU Repoprt'!$D165,'Business - Dump'!$A:$A,'SKU Repoprt'!T$1)</f>
        <v>153</v>
      </c>
      <c r="U165" s="3">
        <f>SUMIFS('Business - Dump'!$K:$K,'Business - Dump'!$D:$D,'SKU Repoprt'!$D165,'Business - Dump'!$A:$A,'SKU Repoprt'!U$1)</f>
        <v>0</v>
      </c>
      <c r="V165" s="3">
        <f>SUMIFS('Business - Dump'!$K:$K,'Business - Dump'!$D:$D,'SKU Repoprt'!$D165,'Business - Dump'!$A:$A,'SKU Repoprt'!V$1)</f>
        <v>0</v>
      </c>
      <c r="W165" s="3">
        <f>SUMIFS('Business - Dump'!$K:$K,'Business - Dump'!$D:$D,'SKU Repoprt'!$D165,'Business - Dump'!$A:$A,'SKU Repoprt'!W$1)</f>
        <v>0</v>
      </c>
    </row>
    <row r="166" ht="15.75" customHeight="1">
      <c r="A166" s="10" t="s">
        <v>248</v>
      </c>
      <c r="B166" s="10" t="s">
        <v>248</v>
      </c>
      <c r="C166" s="10"/>
      <c r="D166" s="10" t="s">
        <v>362</v>
      </c>
      <c r="E166" s="10" t="s">
        <v>264</v>
      </c>
      <c r="F166" s="3">
        <f t="shared" si="55"/>
        <v>3</v>
      </c>
      <c r="G166" s="3">
        <f>SUMIFS('Business - Dump'!$Q:$Q,'Business - Dump'!$D:$D,'SKU Repoprt'!$D166,'Business - Dump'!$A:$A,'SKU Repoprt'!G$1)</f>
        <v>0</v>
      </c>
      <c r="H166" s="3">
        <f>SUMIFS('Business - Dump'!$Q:$Q,'Business - Dump'!$D:$D,'SKU Repoprt'!$D166,'Business - Dump'!$A:$A,'SKU Repoprt'!H$1)</f>
        <v>0</v>
      </c>
      <c r="I166" s="3">
        <f>SUMIFS('Business - Dump'!$Q:$Q,'Business - Dump'!$D:$D,'SKU Repoprt'!$D166,'Business - Dump'!$A:$A,'SKU Repoprt'!I$1)</f>
        <v>0</v>
      </c>
      <c r="J166" s="3">
        <f>SUMIFS('Business - Dump'!$Q:$Q,'Business - Dump'!$D:$D,'SKU Repoprt'!$D166,'Business - Dump'!$A:$A,'SKU Repoprt'!J$1)</f>
        <v>0</v>
      </c>
      <c r="K166" s="3">
        <f>SUMIFS('Business - Dump'!$Q:$Q,'Business - Dump'!$D:$D,'SKU Repoprt'!$D166,'Business - Dump'!$A:$A,'SKU Repoprt'!K$1)</f>
        <v>1</v>
      </c>
      <c r="L166" s="3">
        <f>SUMIFS('Business - Dump'!$Q:$Q,'Business - Dump'!$D:$D,'SKU Repoprt'!$D166,'Business - Dump'!$A:$A,'SKU Repoprt'!L$1)</f>
        <v>0</v>
      </c>
      <c r="M166" s="3">
        <f>SUMIFS('Business - Dump'!$Q:$Q,'Business - Dump'!$D:$D,'SKU Repoprt'!$D166,'Business - Dump'!$A:$A,'SKU Repoprt'!M$1)</f>
        <v>0</v>
      </c>
      <c r="N166" s="3">
        <f>SUMIFS('Business - Dump'!$Q:$Q,'Business - Dump'!$D:$D,'SKU Repoprt'!$D166,'Business - Dump'!$A:$A,'SKU Repoprt'!N$1)</f>
        <v>0</v>
      </c>
      <c r="O166" s="3">
        <f>SUMIFS('Business - Dump'!$Q:$Q,'Business - Dump'!$D:$D,'SKU Repoprt'!$D166,'Business - Dump'!$A:$A,'SKU Repoprt'!O$1)</f>
        <v>0</v>
      </c>
      <c r="P166" s="3">
        <f>SUMIFS('Business - Dump'!$Q:$Q,'Business - Dump'!$D:$D,'SKU Repoprt'!$D166,'Business - Dump'!$A:$A,'SKU Repoprt'!P$1)</f>
        <v>0</v>
      </c>
      <c r="Q166" s="3">
        <f>SUMIFS('Business - Dump'!$Q:$Q,'Business - Dump'!$D:$D,'SKU Repoprt'!$D166,'Business - Dump'!$A:$A,'SKU Repoprt'!Q$1)</f>
        <v>0</v>
      </c>
      <c r="R166" s="3">
        <f>SUMIFS('Business - Dump'!$Q:$Q,'Business - Dump'!$D:$D,'SKU Repoprt'!$D166,'Business - Dump'!$A:$A,'SKU Repoprt'!R$1)</f>
        <v>1</v>
      </c>
      <c r="S166" s="3">
        <f>SUMIFS('Business - Dump'!$Q:$Q,'Business - Dump'!$D:$D,'SKU Repoprt'!$D166,'Business - Dump'!$A:$A,'SKU Repoprt'!S$1)</f>
        <v>1</v>
      </c>
      <c r="T166" s="3">
        <f>SUMIFS('Business - Dump'!$Q:$Q,'Business - Dump'!$D:$D,'SKU Repoprt'!$D166,'Business - Dump'!$A:$A,'SKU Repoprt'!T$1)</f>
        <v>3</v>
      </c>
      <c r="U166" s="3">
        <f>SUMIFS('Business - Dump'!$Q:$Q,'Business - Dump'!$D:$D,'SKU Repoprt'!$D166,'Business - Dump'!$A:$A,'SKU Repoprt'!U$1)</f>
        <v>0</v>
      </c>
      <c r="V166" s="3">
        <f>SUMIFS('Business - Dump'!$Q:$Q,'Business - Dump'!$D:$D,'SKU Repoprt'!$D166,'Business - Dump'!$A:$A,'SKU Repoprt'!V$1)</f>
        <v>0</v>
      </c>
      <c r="W166" s="3">
        <f>SUMIFS('Business - Dump'!$Q:$Q,'Business - Dump'!$D:$D,'SKU Repoprt'!$D166,'Business - Dump'!$A:$A,'SKU Repoprt'!W$1)</f>
        <v>0</v>
      </c>
    </row>
    <row r="167" ht="15.75" customHeight="1">
      <c r="A167" s="10" t="s">
        <v>248</v>
      </c>
      <c r="B167" s="10" t="s">
        <v>248</v>
      </c>
      <c r="C167" s="10"/>
      <c r="D167" s="10" t="s">
        <v>362</v>
      </c>
      <c r="E167" s="10" t="s">
        <v>268</v>
      </c>
      <c r="F167" s="3">
        <f t="shared" si="55"/>
        <v>3</v>
      </c>
      <c r="G167" s="3">
        <f>SUMIFS('Business - Dump'!$W:$W,'Business - Dump'!$D:$D,'SKU Repoprt'!$D167,'Business - Dump'!$A:$A,'SKU Repoprt'!G$1)</f>
        <v>0</v>
      </c>
      <c r="H167" s="3">
        <f>SUMIFS('Business - Dump'!$W:$W,'Business - Dump'!$D:$D,'SKU Repoprt'!$D167,'Business - Dump'!$A:$A,'SKU Repoprt'!H$1)</f>
        <v>0</v>
      </c>
      <c r="I167" s="3">
        <f>SUMIFS('Business - Dump'!$W:$W,'Business - Dump'!$D:$D,'SKU Repoprt'!$D167,'Business - Dump'!$A:$A,'SKU Repoprt'!I$1)</f>
        <v>0</v>
      </c>
      <c r="J167" s="3">
        <f>SUMIFS('Business - Dump'!$W:$W,'Business - Dump'!$D:$D,'SKU Repoprt'!$D167,'Business - Dump'!$A:$A,'SKU Repoprt'!J$1)</f>
        <v>0</v>
      </c>
      <c r="K167" s="3">
        <f>SUMIFS('Business - Dump'!$W:$W,'Business - Dump'!$D:$D,'SKU Repoprt'!$D167,'Business - Dump'!$A:$A,'SKU Repoprt'!K$1)</f>
        <v>1</v>
      </c>
      <c r="L167" s="3">
        <f>SUMIFS('Business - Dump'!$W:$W,'Business - Dump'!$D:$D,'SKU Repoprt'!$D167,'Business - Dump'!$A:$A,'SKU Repoprt'!L$1)</f>
        <v>0</v>
      </c>
      <c r="M167" s="3">
        <f>SUMIFS('Business - Dump'!$W:$W,'Business - Dump'!$D:$D,'SKU Repoprt'!$D167,'Business - Dump'!$A:$A,'SKU Repoprt'!M$1)</f>
        <v>0</v>
      </c>
      <c r="N167" s="3">
        <f>SUMIFS('Business - Dump'!$W:$W,'Business - Dump'!$D:$D,'SKU Repoprt'!$D167,'Business - Dump'!$A:$A,'SKU Repoprt'!N$1)</f>
        <v>0</v>
      </c>
      <c r="O167" s="3">
        <f>SUMIFS('Business - Dump'!$W:$W,'Business - Dump'!$D:$D,'SKU Repoprt'!$D167,'Business - Dump'!$A:$A,'SKU Repoprt'!O$1)</f>
        <v>0</v>
      </c>
      <c r="P167" s="3">
        <f>SUMIFS('Business - Dump'!$W:$W,'Business - Dump'!$D:$D,'SKU Repoprt'!$D167,'Business - Dump'!$A:$A,'SKU Repoprt'!P$1)</f>
        <v>0</v>
      </c>
      <c r="Q167" s="3">
        <f>SUMIFS('Business - Dump'!$W:$W,'Business - Dump'!$D:$D,'SKU Repoprt'!$D167,'Business - Dump'!$A:$A,'SKU Repoprt'!Q$1)</f>
        <v>0</v>
      </c>
      <c r="R167" s="3">
        <f>SUMIFS('Business - Dump'!$W:$W,'Business - Dump'!$D:$D,'SKU Repoprt'!$D167,'Business - Dump'!$A:$A,'SKU Repoprt'!R$1)</f>
        <v>1</v>
      </c>
      <c r="S167" s="3">
        <f>SUMIFS('Business - Dump'!$W:$W,'Business - Dump'!$D:$D,'SKU Repoprt'!$D167,'Business - Dump'!$A:$A,'SKU Repoprt'!S$1)</f>
        <v>1</v>
      </c>
      <c r="T167" s="3">
        <f>SUMIFS('Business - Dump'!$W:$W,'Business - Dump'!$D:$D,'SKU Repoprt'!$D167,'Business - Dump'!$A:$A,'SKU Repoprt'!T$1)</f>
        <v>3</v>
      </c>
      <c r="U167" s="3">
        <f>SUMIFS('Business - Dump'!$W:$W,'Business - Dump'!$D:$D,'SKU Repoprt'!$D167,'Business - Dump'!$A:$A,'SKU Repoprt'!U$1)</f>
        <v>0</v>
      </c>
      <c r="V167" s="3">
        <f>SUMIFS('Business - Dump'!$W:$W,'Business - Dump'!$D:$D,'SKU Repoprt'!$D167,'Business - Dump'!$A:$A,'SKU Repoprt'!V$1)</f>
        <v>0</v>
      </c>
      <c r="W167" s="3">
        <f>SUMIFS('Business - Dump'!$W:$W,'Business - Dump'!$D:$D,'SKU Repoprt'!$D167,'Business - Dump'!$A:$A,'SKU Repoprt'!W$1)</f>
        <v>0</v>
      </c>
    </row>
    <row r="168" ht="15.75" customHeight="1">
      <c r="A168" s="10" t="s">
        <v>248</v>
      </c>
      <c r="B168" s="10" t="s">
        <v>248</v>
      </c>
      <c r="C168" s="10"/>
      <c r="D168" s="10" t="s">
        <v>362</v>
      </c>
      <c r="E168" s="10" t="s">
        <v>26</v>
      </c>
      <c r="F168" s="16">
        <f t="shared" si="55"/>
        <v>39450</v>
      </c>
      <c r="G168" s="16">
        <f>SUMIFS('Business - Dump'!$U:$U,'Business - Dump'!$D:$D,'SKU Repoprt'!$D168,'Business - Dump'!$A:$A,'SKU Repoprt'!G$1)</f>
        <v>0</v>
      </c>
      <c r="H168" s="16">
        <f>SUMIFS('Business - Dump'!$U:$U,'Business - Dump'!$D:$D,'SKU Repoprt'!$D168,'Business - Dump'!$A:$A,'SKU Repoprt'!H$1)</f>
        <v>0</v>
      </c>
      <c r="I168" s="16">
        <f>SUMIFS('Business - Dump'!$U:$U,'Business - Dump'!$D:$D,'SKU Repoprt'!$D168,'Business - Dump'!$A:$A,'SKU Repoprt'!I$1)</f>
        <v>0</v>
      </c>
      <c r="J168" s="16">
        <f>SUMIFS('Business - Dump'!$U:$U,'Business - Dump'!$D:$D,'SKU Repoprt'!$D168,'Business - Dump'!$A:$A,'SKU Repoprt'!J$1)</f>
        <v>0</v>
      </c>
      <c r="K168" s="16">
        <f>SUMIFS('Business - Dump'!$U:$U,'Business - Dump'!$D:$D,'SKU Repoprt'!$D168,'Business - Dump'!$A:$A,'SKU Repoprt'!K$1)</f>
        <v>13400</v>
      </c>
      <c r="L168" s="16">
        <f>SUMIFS('Business - Dump'!$U:$U,'Business - Dump'!$D:$D,'SKU Repoprt'!$D168,'Business - Dump'!$A:$A,'SKU Repoprt'!L$1)</f>
        <v>0</v>
      </c>
      <c r="M168" s="16">
        <f>SUMIFS('Business - Dump'!$U:$U,'Business - Dump'!$D:$D,'SKU Repoprt'!$D168,'Business - Dump'!$A:$A,'SKU Repoprt'!M$1)</f>
        <v>0</v>
      </c>
      <c r="N168" s="16">
        <f>SUMIFS('Business - Dump'!$U:$U,'Business - Dump'!$D:$D,'SKU Repoprt'!$D168,'Business - Dump'!$A:$A,'SKU Repoprt'!N$1)</f>
        <v>0</v>
      </c>
      <c r="O168" s="16">
        <f>SUMIFS('Business - Dump'!$U:$U,'Business - Dump'!$D:$D,'SKU Repoprt'!$D168,'Business - Dump'!$A:$A,'SKU Repoprt'!O$1)</f>
        <v>0</v>
      </c>
      <c r="P168" s="16">
        <f>SUMIFS('Business - Dump'!$U:$U,'Business - Dump'!$D:$D,'SKU Repoprt'!$D168,'Business - Dump'!$A:$A,'SKU Repoprt'!P$1)</f>
        <v>0</v>
      </c>
      <c r="Q168" s="16">
        <f>SUMIFS('Business - Dump'!$U:$U,'Business - Dump'!$D:$D,'SKU Repoprt'!$D168,'Business - Dump'!$A:$A,'SKU Repoprt'!Q$1)</f>
        <v>0</v>
      </c>
      <c r="R168" s="16">
        <f>SUMIFS('Business - Dump'!$U:$U,'Business - Dump'!$D:$D,'SKU Repoprt'!$D168,'Business - Dump'!$A:$A,'SKU Repoprt'!R$1)</f>
        <v>13900</v>
      </c>
      <c r="S168" s="16">
        <f>SUMIFS('Business - Dump'!$U:$U,'Business - Dump'!$D:$D,'SKU Repoprt'!$D168,'Business - Dump'!$A:$A,'SKU Repoprt'!S$1)</f>
        <v>12150</v>
      </c>
      <c r="T168" s="16">
        <f>SUMIFS('Business - Dump'!$U:$U,'Business - Dump'!$D:$D,'SKU Repoprt'!$D168,'Business - Dump'!$A:$A,'SKU Repoprt'!T$1)</f>
        <v>38200</v>
      </c>
      <c r="U168" s="16">
        <f>SUMIFS('Business - Dump'!$U:$U,'Business - Dump'!$D:$D,'SKU Repoprt'!$D168,'Business - Dump'!$A:$A,'SKU Repoprt'!U$1)</f>
        <v>0</v>
      </c>
      <c r="V168" s="16">
        <f>SUMIFS('Business - Dump'!$U:$U,'Business - Dump'!$D:$D,'SKU Repoprt'!$D168,'Business - Dump'!$A:$A,'SKU Repoprt'!V$1)</f>
        <v>0</v>
      </c>
      <c r="W168" s="16">
        <f>SUMIFS('Business - Dump'!$U:$U,'Business - Dump'!$D:$D,'SKU Repoprt'!$D168,'Business - Dump'!$A:$A,'SKU Repoprt'!W$1)</f>
        <v>0</v>
      </c>
    </row>
    <row r="169" ht="15.75" customHeight="1">
      <c r="A169" s="10" t="s">
        <v>248</v>
      </c>
      <c r="B169" s="10" t="s">
        <v>248</v>
      </c>
      <c r="C169" s="10"/>
      <c r="D169" s="10" t="s">
        <v>362</v>
      </c>
      <c r="E169" s="10" t="s">
        <v>29</v>
      </c>
      <c r="F169" s="17">
        <v>0.027042857142857143</v>
      </c>
      <c r="G169" s="17">
        <f t="shared" ref="G169:W169" si="56">IFERROR(G167/G164,0)</f>
        <v>0</v>
      </c>
      <c r="H169" s="17">
        <f t="shared" si="56"/>
        <v>0</v>
      </c>
      <c r="I169" s="17">
        <f t="shared" si="56"/>
        <v>0</v>
      </c>
      <c r="J169" s="17">
        <f t="shared" si="56"/>
        <v>0</v>
      </c>
      <c r="K169" s="17">
        <f t="shared" si="56"/>
        <v>0.01333333333</v>
      </c>
      <c r="L169" s="17">
        <f t="shared" si="56"/>
        <v>0</v>
      </c>
      <c r="M169" s="17">
        <f t="shared" si="56"/>
        <v>0</v>
      </c>
      <c r="N169" s="17">
        <f t="shared" si="56"/>
        <v>0</v>
      </c>
      <c r="O169" s="17">
        <f t="shared" si="56"/>
        <v>0</v>
      </c>
      <c r="P169" s="17">
        <f t="shared" si="56"/>
        <v>0</v>
      </c>
      <c r="Q169" s="17">
        <f t="shared" si="56"/>
        <v>0</v>
      </c>
      <c r="R169" s="17">
        <f t="shared" si="56"/>
        <v>0.006849315068</v>
      </c>
      <c r="S169" s="17">
        <f t="shared" si="56"/>
        <v>0.00462962963</v>
      </c>
      <c r="T169" s="17">
        <f t="shared" si="56"/>
        <v>0.03448275862</v>
      </c>
      <c r="U169" s="17">
        <f t="shared" si="56"/>
        <v>0</v>
      </c>
      <c r="V169" s="17">
        <f t="shared" si="56"/>
        <v>0</v>
      </c>
      <c r="W169" s="17">
        <f t="shared" si="56"/>
        <v>0</v>
      </c>
    </row>
    <row r="170" ht="15.75" customHeight="1">
      <c r="A170" s="10" t="s">
        <v>170</v>
      </c>
      <c r="B170" s="10" t="s">
        <v>170</v>
      </c>
      <c r="C170" s="10"/>
      <c r="D170" s="10" t="s">
        <v>363</v>
      </c>
      <c r="E170" s="10" t="s">
        <v>257</v>
      </c>
      <c r="F170" s="3">
        <f t="shared" ref="F170:F174" si="57">SUM(G170:S170)</f>
        <v>1738</v>
      </c>
      <c r="G170" s="3">
        <f>SUMIFS('Business - Dump'!$G:$G,'Business - Dump'!$D:$D,'SKU Repoprt'!$D170,'Business - Dump'!$A:$A,'SKU Repoprt'!G$1)</f>
        <v>0</v>
      </c>
      <c r="H170" s="3">
        <f>SUMIFS('Business - Dump'!$G:$G,'Business - Dump'!$D:$D,'SKU Repoprt'!$D170,'Business - Dump'!$A:$A,'SKU Repoprt'!H$1)</f>
        <v>0</v>
      </c>
      <c r="I170" s="3">
        <f>SUMIFS('Business - Dump'!$G:$G,'Business - Dump'!$D:$D,'SKU Repoprt'!$D170,'Business - Dump'!$A:$A,'SKU Repoprt'!I$1)</f>
        <v>0</v>
      </c>
      <c r="J170" s="3">
        <f>SUMIFS('Business - Dump'!$G:$G,'Business - Dump'!$D:$D,'SKU Repoprt'!$D170,'Business - Dump'!$A:$A,'SKU Repoprt'!J$1)</f>
        <v>67</v>
      </c>
      <c r="K170" s="3">
        <f>SUMIFS('Business - Dump'!$G:$G,'Business - Dump'!$D:$D,'SKU Repoprt'!$D170,'Business - Dump'!$A:$A,'SKU Repoprt'!K$1)</f>
        <v>0</v>
      </c>
      <c r="L170" s="3">
        <f>SUMIFS('Business - Dump'!$G:$G,'Business - Dump'!$D:$D,'SKU Repoprt'!$D170,'Business - Dump'!$A:$A,'SKU Repoprt'!L$1)</f>
        <v>71</v>
      </c>
      <c r="M170" s="3">
        <f>SUMIFS('Business - Dump'!$G:$G,'Business - Dump'!$D:$D,'SKU Repoprt'!$D170,'Business - Dump'!$A:$A,'SKU Repoprt'!M$1)</f>
        <v>76</v>
      </c>
      <c r="N170" s="3">
        <f>SUMIFS('Business - Dump'!$G:$G,'Business - Dump'!$D:$D,'SKU Repoprt'!$D170,'Business - Dump'!$A:$A,'SKU Repoprt'!N$1)</f>
        <v>108</v>
      </c>
      <c r="O170" s="3">
        <f>SUMIFS('Business - Dump'!$G:$G,'Business - Dump'!$D:$D,'SKU Repoprt'!$D170,'Business - Dump'!$A:$A,'SKU Repoprt'!O$1)</f>
        <v>121</v>
      </c>
      <c r="P170" s="3">
        <f>SUMIFS('Business - Dump'!$G:$G,'Business - Dump'!$D:$D,'SKU Repoprt'!$D170,'Business - Dump'!$A:$A,'SKU Repoprt'!P$1)</f>
        <v>386</v>
      </c>
      <c r="Q170" s="3">
        <f>SUMIFS('Business - Dump'!$G:$G,'Business - Dump'!$D:$D,'SKU Repoprt'!$D170,'Business - Dump'!$A:$A,'SKU Repoprt'!Q$1)</f>
        <v>432</v>
      </c>
      <c r="R170" s="3">
        <f>SUMIFS('Business - Dump'!$G:$G,'Business - Dump'!$D:$D,'SKU Repoprt'!$D170,'Business - Dump'!$A:$A,'SKU Repoprt'!R$1)</f>
        <v>298</v>
      </c>
      <c r="S170" s="3">
        <f>SUMIFS('Business - Dump'!$G:$G,'Business - Dump'!$D:$D,'SKU Repoprt'!$D170,'Business - Dump'!$A:$A,'SKU Repoprt'!S$1)</f>
        <v>179</v>
      </c>
      <c r="T170" s="3">
        <f>SUMIFS('Business - Dump'!$G:$G,'Business - Dump'!$D:$D,'SKU Repoprt'!$D170,'Business - Dump'!$A:$A,'SKU Repoprt'!T$1)</f>
        <v>160</v>
      </c>
      <c r="U170" s="3">
        <f>SUMIFS('Business - Dump'!$G:$G,'Business - Dump'!$D:$D,'SKU Repoprt'!$D170,'Business - Dump'!$A:$A,'SKU Repoprt'!U$1)</f>
        <v>0</v>
      </c>
      <c r="V170" s="3">
        <f>SUMIFS('Business - Dump'!$G:$G,'Business - Dump'!$D:$D,'SKU Repoprt'!$D170,'Business - Dump'!$A:$A,'SKU Repoprt'!V$1)</f>
        <v>0</v>
      </c>
      <c r="W170" s="3">
        <f>SUMIFS('Business - Dump'!$G:$G,'Business - Dump'!$D:$D,'SKU Repoprt'!$D170,'Business - Dump'!$A:$A,'SKU Repoprt'!W$1)</f>
        <v>0</v>
      </c>
    </row>
    <row r="171" ht="15.75" customHeight="1">
      <c r="A171" s="10" t="s">
        <v>170</v>
      </c>
      <c r="B171" s="10" t="s">
        <v>170</v>
      </c>
      <c r="C171" s="10"/>
      <c r="D171" s="10" t="s">
        <v>363</v>
      </c>
      <c r="E171" s="10" t="s">
        <v>260</v>
      </c>
      <c r="F171" s="3">
        <f t="shared" si="57"/>
        <v>2371</v>
      </c>
      <c r="G171" s="3">
        <f>SUMIFS('Business - Dump'!$K:$K,'Business - Dump'!$D:$D,'SKU Repoprt'!$D171,'Business - Dump'!$A:$A,'SKU Repoprt'!G$1)</f>
        <v>0</v>
      </c>
      <c r="H171" s="3">
        <f>SUMIFS('Business - Dump'!$K:$K,'Business - Dump'!$D:$D,'SKU Repoprt'!$D171,'Business - Dump'!$A:$A,'SKU Repoprt'!H$1)</f>
        <v>0</v>
      </c>
      <c r="I171" s="3">
        <f>SUMIFS('Business - Dump'!$K:$K,'Business - Dump'!$D:$D,'SKU Repoprt'!$D171,'Business - Dump'!$A:$A,'SKU Repoprt'!I$1)</f>
        <v>0</v>
      </c>
      <c r="J171" s="3">
        <f>SUMIFS('Business - Dump'!$K:$K,'Business - Dump'!$D:$D,'SKU Repoprt'!$D171,'Business - Dump'!$A:$A,'SKU Repoprt'!J$1)</f>
        <v>87</v>
      </c>
      <c r="K171" s="3">
        <f>SUMIFS('Business - Dump'!$K:$K,'Business - Dump'!$D:$D,'SKU Repoprt'!$D171,'Business - Dump'!$A:$A,'SKU Repoprt'!K$1)</f>
        <v>0</v>
      </c>
      <c r="L171" s="3">
        <f>SUMIFS('Business - Dump'!$K:$K,'Business - Dump'!$D:$D,'SKU Repoprt'!$D171,'Business - Dump'!$A:$A,'SKU Repoprt'!L$1)</f>
        <v>87</v>
      </c>
      <c r="M171" s="3">
        <f>SUMIFS('Business - Dump'!$K:$K,'Business - Dump'!$D:$D,'SKU Repoprt'!$D171,'Business - Dump'!$A:$A,'SKU Repoprt'!M$1)</f>
        <v>92</v>
      </c>
      <c r="N171" s="3">
        <f>SUMIFS('Business - Dump'!$K:$K,'Business - Dump'!$D:$D,'SKU Repoprt'!$D171,'Business - Dump'!$A:$A,'SKU Repoprt'!N$1)</f>
        <v>142</v>
      </c>
      <c r="O171" s="3">
        <f>SUMIFS('Business - Dump'!$K:$K,'Business - Dump'!$D:$D,'SKU Repoprt'!$D171,'Business - Dump'!$A:$A,'SKU Repoprt'!O$1)</f>
        <v>165</v>
      </c>
      <c r="P171" s="3">
        <f>SUMIFS('Business - Dump'!$K:$K,'Business - Dump'!$D:$D,'SKU Repoprt'!$D171,'Business - Dump'!$A:$A,'SKU Repoprt'!P$1)</f>
        <v>530</v>
      </c>
      <c r="Q171" s="3">
        <f>SUMIFS('Business - Dump'!$K:$K,'Business - Dump'!$D:$D,'SKU Repoprt'!$D171,'Business - Dump'!$A:$A,'SKU Repoprt'!Q$1)</f>
        <v>628</v>
      </c>
      <c r="R171" s="3">
        <f>SUMIFS('Business - Dump'!$K:$K,'Business - Dump'!$D:$D,'SKU Repoprt'!$D171,'Business - Dump'!$A:$A,'SKU Repoprt'!R$1)</f>
        <v>392</v>
      </c>
      <c r="S171" s="3">
        <f>SUMIFS('Business - Dump'!$K:$K,'Business - Dump'!$D:$D,'SKU Repoprt'!$D171,'Business - Dump'!$A:$A,'SKU Repoprt'!S$1)</f>
        <v>248</v>
      </c>
      <c r="T171" s="3">
        <f>SUMIFS('Business - Dump'!$K:$K,'Business - Dump'!$D:$D,'SKU Repoprt'!$D171,'Business - Dump'!$A:$A,'SKU Repoprt'!T$1)</f>
        <v>243</v>
      </c>
      <c r="U171" s="3">
        <f>SUMIFS('Business - Dump'!$K:$K,'Business - Dump'!$D:$D,'SKU Repoprt'!$D171,'Business - Dump'!$A:$A,'SKU Repoprt'!U$1)</f>
        <v>0</v>
      </c>
      <c r="V171" s="3">
        <f>SUMIFS('Business - Dump'!$K:$K,'Business - Dump'!$D:$D,'SKU Repoprt'!$D171,'Business - Dump'!$A:$A,'SKU Repoprt'!V$1)</f>
        <v>0</v>
      </c>
      <c r="W171" s="3">
        <f>SUMIFS('Business - Dump'!$K:$K,'Business - Dump'!$D:$D,'SKU Repoprt'!$D171,'Business - Dump'!$A:$A,'SKU Repoprt'!W$1)</f>
        <v>0</v>
      </c>
    </row>
    <row r="172" ht="15.75" customHeight="1">
      <c r="A172" s="10" t="s">
        <v>170</v>
      </c>
      <c r="B172" s="10" t="s">
        <v>170</v>
      </c>
      <c r="C172" s="10"/>
      <c r="D172" s="10" t="s">
        <v>363</v>
      </c>
      <c r="E172" s="10" t="s">
        <v>264</v>
      </c>
      <c r="F172" s="3">
        <f t="shared" si="57"/>
        <v>17</v>
      </c>
      <c r="G172" s="3">
        <f>SUMIFS('Business - Dump'!$Q:$Q,'Business - Dump'!$D:$D,'SKU Repoprt'!$D172,'Business - Dump'!$A:$A,'SKU Repoprt'!G$1)</f>
        <v>0</v>
      </c>
      <c r="H172" s="3">
        <f>SUMIFS('Business - Dump'!$Q:$Q,'Business - Dump'!$D:$D,'SKU Repoprt'!$D172,'Business - Dump'!$A:$A,'SKU Repoprt'!H$1)</f>
        <v>0</v>
      </c>
      <c r="I172" s="3">
        <f>SUMIFS('Business - Dump'!$Q:$Q,'Business - Dump'!$D:$D,'SKU Repoprt'!$D172,'Business - Dump'!$A:$A,'SKU Repoprt'!I$1)</f>
        <v>0</v>
      </c>
      <c r="J172" s="3">
        <f>SUMIFS('Business - Dump'!$Q:$Q,'Business - Dump'!$D:$D,'SKU Repoprt'!$D172,'Business - Dump'!$A:$A,'SKU Repoprt'!J$1)</f>
        <v>1</v>
      </c>
      <c r="K172" s="3">
        <f>SUMIFS('Business - Dump'!$Q:$Q,'Business - Dump'!$D:$D,'SKU Repoprt'!$D172,'Business - Dump'!$A:$A,'SKU Repoprt'!K$1)</f>
        <v>0</v>
      </c>
      <c r="L172" s="3">
        <f>SUMIFS('Business - Dump'!$Q:$Q,'Business - Dump'!$D:$D,'SKU Repoprt'!$D172,'Business - Dump'!$A:$A,'SKU Repoprt'!L$1)</f>
        <v>2</v>
      </c>
      <c r="M172" s="3">
        <f>SUMIFS('Business - Dump'!$Q:$Q,'Business - Dump'!$D:$D,'SKU Repoprt'!$D172,'Business - Dump'!$A:$A,'SKU Repoprt'!M$1)</f>
        <v>0</v>
      </c>
      <c r="N172" s="3">
        <f>SUMIFS('Business - Dump'!$Q:$Q,'Business - Dump'!$D:$D,'SKU Repoprt'!$D172,'Business - Dump'!$A:$A,'SKU Repoprt'!N$1)</f>
        <v>1</v>
      </c>
      <c r="O172" s="3">
        <f>SUMIFS('Business - Dump'!$Q:$Q,'Business - Dump'!$D:$D,'SKU Repoprt'!$D172,'Business - Dump'!$A:$A,'SKU Repoprt'!O$1)</f>
        <v>2</v>
      </c>
      <c r="P172" s="3">
        <f>SUMIFS('Business - Dump'!$Q:$Q,'Business - Dump'!$D:$D,'SKU Repoprt'!$D172,'Business - Dump'!$A:$A,'SKU Repoprt'!P$1)</f>
        <v>1</v>
      </c>
      <c r="Q172" s="3">
        <f>SUMIFS('Business - Dump'!$Q:$Q,'Business - Dump'!$D:$D,'SKU Repoprt'!$D172,'Business - Dump'!$A:$A,'SKU Repoprt'!Q$1)</f>
        <v>5</v>
      </c>
      <c r="R172" s="3">
        <f>SUMIFS('Business - Dump'!$Q:$Q,'Business - Dump'!$D:$D,'SKU Repoprt'!$D172,'Business - Dump'!$A:$A,'SKU Repoprt'!R$1)</f>
        <v>2</v>
      </c>
      <c r="S172" s="3">
        <f>SUMIFS('Business - Dump'!$Q:$Q,'Business - Dump'!$D:$D,'SKU Repoprt'!$D172,'Business - Dump'!$A:$A,'SKU Repoprt'!S$1)</f>
        <v>3</v>
      </c>
      <c r="T172" s="3">
        <f>SUMIFS('Business - Dump'!$Q:$Q,'Business - Dump'!$D:$D,'SKU Repoprt'!$D172,'Business - Dump'!$A:$A,'SKU Repoprt'!T$1)</f>
        <v>1</v>
      </c>
      <c r="U172" s="3">
        <f>SUMIFS('Business - Dump'!$Q:$Q,'Business - Dump'!$D:$D,'SKU Repoprt'!$D172,'Business - Dump'!$A:$A,'SKU Repoprt'!U$1)</f>
        <v>0</v>
      </c>
      <c r="V172" s="3">
        <f>SUMIFS('Business - Dump'!$Q:$Q,'Business - Dump'!$D:$D,'SKU Repoprt'!$D172,'Business - Dump'!$A:$A,'SKU Repoprt'!V$1)</f>
        <v>0</v>
      </c>
      <c r="W172" s="3">
        <f>SUMIFS('Business - Dump'!$Q:$Q,'Business - Dump'!$D:$D,'SKU Repoprt'!$D172,'Business - Dump'!$A:$A,'SKU Repoprt'!W$1)</f>
        <v>0</v>
      </c>
    </row>
    <row r="173" ht="15.75" customHeight="1">
      <c r="A173" s="10" t="s">
        <v>170</v>
      </c>
      <c r="B173" s="10" t="s">
        <v>170</v>
      </c>
      <c r="C173" s="10"/>
      <c r="D173" s="10" t="s">
        <v>363</v>
      </c>
      <c r="E173" s="10" t="s">
        <v>268</v>
      </c>
      <c r="F173" s="3">
        <f t="shared" si="57"/>
        <v>17</v>
      </c>
      <c r="G173" s="3">
        <f>SUMIFS('Business - Dump'!$W:$W,'Business - Dump'!$D:$D,'SKU Repoprt'!$D173,'Business - Dump'!$A:$A,'SKU Repoprt'!G$1)</f>
        <v>0</v>
      </c>
      <c r="H173" s="3">
        <f>SUMIFS('Business - Dump'!$W:$W,'Business - Dump'!$D:$D,'SKU Repoprt'!$D173,'Business - Dump'!$A:$A,'SKU Repoprt'!H$1)</f>
        <v>0</v>
      </c>
      <c r="I173" s="3">
        <f>SUMIFS('Business - Dump'!$W:$W,'Business - Dump'!$D:$D,'SKU Repoprt'!$D173,'Business - Dump'!$A:$A,'SKU Repoprt'!I$1)</f>
        <v>0</v>
      </c>
      <c r="J173" s="3">
        <f>SUMIFS('Business - Dump'!$W:$W,'Business - Dump'!$D:$D,'SKU Repoprt'!$D173,'Business - Dump'!$A:$A,'SKU Repoprt'!J$1)</f>
        <v>1</v>
      </c>
      <c r="K173" s="3">
        <f>SUMIFS('Business - Dump'!$W:$W,'Business - Dump'!$D:$D,'SKU Repoprt'!$D173,'Business - Dump'!$A:$A,'SKU Repoprt'!K$1)</f>
        <v>0</v>
      </c>
      <c r="L173" s="3">
        <f>SUMIFS('Business - Dump'!$W:$W,'Business - Dump'!$D:$D,'SKU Repoprt'!$D173,'Business - Dump'!$A:$A,'SKU Repoprt'!L$1)</f>
        <v>2</v>
      </c>
      <c r="M173" s="3">
        <f>SUMIFS('Business - Dump'!$W:$W,'Business - Dump'!$D:$D,'SKU Repoprt'!$D173,'Business - Dump'!$A:$A,'SKU Repoprt'!M$1)</f>
        <v>0</v>
      </c>
      <c r="N173" s="3">
        <f>SUMIFS('Business - Dump'!$W:$W,'Business - Dump'!$D:$D,'SKU Repoprt'!$D173,'Business - Dump'!$A:$A,'SKU Repoprt'!N$1)</f>
        <v>1</v>
      </c>
      <c r="O173" s="3">
        <f>SUMIFS('Business - Dump'!$W:$W,'Business - Dump'!$D:$D,'SKU Repoprt'!$D173,'Business - Dump'!$A:$A,'SKU Repoprt'!O$1)</f>
        <v>2</v>
      </c>
      <c r="P173" s="3">
        <f>SUMIFS('Business - Dump'!$W:$W,'Business - Dump'!$D:$D,'SKU Repoprt'!$D173,'Business - Dump'!$A:$A,'SKU Repoprt'!P$1)</f>
        <v>1</v>
      </c>
      <c r="Q173" s="3">
        <f>SUMIFS('Business - Dump'!$W:$W,'Business - Dump'!$D:$D,'SKU Repoprt'!$D173,'Business - Dump'!$A:$A,'SKU Repoprt'!Q$1)</f>
        <v>5</v>
      </c>
      <c r="R173" s="3">
        <f>SUMIFS('Business - Dump'!$W:$W,'Business - Dump'!$D:$D,'SKU Repoprt'!$D173,'Business - Dump'!$A:$A,'SKU Repoprt'!R$1)</f>
        <v>2</v>
      </c>
      <c r="S173" s="3">
        <f>SUMIFS('Business - Dump'!$W:$W,'Business - Dump'!$D:$D,'SKU Repoprt'!$D173,'Business - Dump'!$A:$A,'SKU Repoprt'!S$1)</f>
        <v>3</v>
      </c>
      <c r="T173" s="3">
        <f>SUMIFS('Business - Dump'!$W:$W,'Business - Dump'!$D:$D,'SKU Repoprt'!$D173,'Business - Dump'!$A:$A,'SKU Repoprt'!T$1)</f>
        <v>1</v>
      </c>
      <c r="U173" s="3">
        <f>SUMIFS('Business - Dump'!$W:$W,'Business - Dump'!$D:$D,'SKU Repoprt'!$D173,'Business - Dump'!$A:$A,'SKU Repoprt'!U$1)</f>
        <v>0</v>
      </c>
      <c r="V173" s="3">
        <f>SUMIFS('Business - Dump'!$W:$W,'Business - Dump'!$D:$D,'SKU Repoprt'!$D173,'Business - Dump'!$A:$A,'SKU Repoprt'!V$1)</f>
        <v>0</v>
      </c>
      <c r="W173" s="3">
        <f>SUMIFS('Business - Dump'!$W:$W,'Business - Dump'!$D:$D,'SKU Repoprt'!$D173,'Business - Dump'!$A:$A,'SKU Repoprt'!W$1)</f>
        <v>0</v>
      </c>
    </row>
    <row r="174" ht="15.75" customHeight="1">
      <c r="A174" s="10" t="s">
        <v>170</v>
      </c>
      <c r="B174" s="10" t="s">
        <v>170</v>
      </c>
      <c r="C174" s="10"/>
      <c r="D174" s="10" t="s">
        <v>363</v>
      </c>
      <c r="E174" s="10" t="s">
        <v>26</v>
      </c>
      <c r="F174" s="16">
        <f t="shared" si="57"/>
        <v>167650</v>
      </c>
      <c r="G174" s="16">
        <f>SUMIFS('Business - Dump'!$U:$U,'Business - Dump'!$D:$D,'SKU Repoprt'!$D174,'Business - Dump'!$A:$A,'SKU Repoprt'!G$1)</f>
        <v>0</v>
      </c>
      <c r="H174" s="16">
        <f>SUMIFS('Business - Dump'!$U:$U,'Business - Dump'!$D:$D,'SKU Repoprt'!$D174,'Business - Dump'!$A:$A,'SKU Repoprt'!H$1)</f>
        <v>0</v>
      </c>
      <c r="I174" s="16">
        <f>SUMIFS('Business - Dump'!$U:$U,'Business - Dump'!$D:$D,'SKU Repoprt'!$D174,'Business - Dump'!$A:$A,'SKU Repoprt'!I$1)</f>
        <v>0</v>
      </c>
      <c r="J174" s="16">
        <f>SUMIFS('Business - Dump'!$U:$U,'Business - Dump'!$D:$D,'SKU Repoprt'!$D174,'Business - Dump'!$A:$A,'SKU Repoprt'!J$1)</f>
        <v>11900</v>
      </c>
      <c r="K174" s="16">
        <f>SUMIFS('Business - Dump'!$U:$U,'Business - Dump'!$D:$D,'SKU Repoprt'!$D174,'Business - Dump'!$A:$A,'SKU Repoprt'!K$1)</f>
        <v>0</v>
      </c>
      <c r="L174" s="16">
        <f>SUMIFS('Business - Dump'!$U:$U,'Business - Dump'!$D:$D,'SKU Repoprt'!$D174,'Business - Dump'!$A:$A,'SKU Repoprt'!L$1)</f>
        <v>23800</v>
      </c>
      <c r="M174" s="16">
        <f>SUMIFS('Business - Dump'!$U:$U,'Business - Dump'!$D:$D,'SKU Repoprt'!$D174,'Business - Dump'!$A:$A,'SKU Repoprt'!M$1)</f>
        <v>0</v>
      </c>
      <c r="N174" s="16">
        <f>SUMIFS('Business - Dump'!$U:$U,'Business - Dump'!$D:$D,'SKU Repoprt'!$D174,'Business - Dump'!$A:$A,'SKU Repoprt'!N$1)</f>
        <v>11900</v>
      </c>
      <c r="O174" s="16">
        <f>SUMIFS('Business - Dump'!$U:$U,'Business - Dump'!$D:$D,'SKU Repoprt'!$D174,'Business - Dump'!$A:$A,'SKU Repoprt'!O$1)</f>
        <v>16900</v>
      </c>
      <c r="P174" s="16">
        <f>SUMIFS('Business - Dump'!$U:$U,'Business - Dump'!$D:$D,'SKU Repoprt'!$D174,'Business - Dump'!$A:$A,'SKU Repoprt'!P$1)</f>
        <v>8450</v>
      </c>
      <c r="Q174" s="16">
        <f>SUMIFS('Business - Dump'!$U:$U,'Business - Dump'!$D:$D,'SKU Repoprt'!$D174,'Business - Dump'!$A:$A,'SKU Repoprt'!Q$1)</f>
        <v>45200</v>
      </c>
      <c r="R174" s="16">
        <f>SUMIFS('Business - Dump'!$U:$U,'Business - Dump'!$D:$D,'SKU Repoprt'!$D174,'Business - Dump'!$A:$A,'SKU Repoprt'!R$1)</f>
        <v>22800</v>
      </c>
      <c r="S174" s="16">
        <f>SUMIFS('Business - Dump'!$U:$U,'Business - Dump'!$D:$D,'SKU Repoprt'!$D174,'Business - Dump'!$A:$A,'SKU Repoprt'!S$1)</f>
        <v>26700</v>
      </c>
      <c r="T174" s="16">
        <f>SUMIFS('Business - Dump'!$U:$U,'Business - Dump'!$D:$D,'SKU Repoprt'!$D174,'Business - Dump'!$A:$A,'SKU Repoprt'!T$1)</f>
        <v>8900</v>
      </c>
      <c r="U174" s="16">
        <f>SUMIFS('Business - Dump'!$U:$U,'Business - Dump'!$D:$D,'SKU Repoprt'!$D174,'Business - Dump'!$A:$A,'SKU Repoprt'!U$1)</f>
        <v>0</v>
      </c>
      <c r="V174" s="16">
        <f>SUMIFS('Business - Dump'!$U:$U,'Business - Dump'!$D:$D,'SKU Repoprt'!$D174,'Business - Dump'!$A:$A,'SKU Repoprt'!V$1)</f>
        <v>0</v>
      </c>
      <c r="W174" s="16">
        <f>SUMIFS('Business - Dump'!$U:$U,'Business - Dump'!$D:$D,'SKU Repoprt'!$D174,'Business - Dump'!$A:$A,'SKU Repoprt'!W$1)</f>
        <v>0</v>
      </c>
    </row>
    <row r="175" ht="15.75" customHeight="1">
      <c r="A175" s="10" t="s">
        <v>170</v>
      </c>
      <c r="B175" s="10" t="s">
        <v>170</v>
      </c>
      <c r="C175" s="10"/>
      <c r="D175" s="10" t="s">
        <v>363</v>
      </c>
      <c r="E175" s="10" t="s">
        <v>29</v>
      </c>
      <c r="F175" s="17">
        <v>0.027042857142857143</v>
      </c>
      <c r="G175" s="17">
        <f t="shared" ref="G175:W175" si="58">IFERROR(G173/G170,0)</f>
        <v>0</v>
      </c>
      <c r="H175" s="17">
        <f t="shared" si="58"/>
        <v>0</v>
      </c>
      <c r="I175" s="17">
        <f t="shared" si="58"/>
        <v>0</v>
      </c>
      <c r="J175" s="17">
        <f t="shared" si="58"/>
        <v>0.01492537313</v>
      </c>
      <c r="K175" s="17">
        <f t="shared" si="58"/>
        <v>0</v>
      </c>
      <c r="L175" s="17">
        <f t="shared" si="58"/>
        <v>0.02816901408</v>
      </c>
      <c r="M175" s="17">
        <f t="shared" si="58"/>
        <v>0</v>
      </c>
      <c r="N175" s="17">
        <f t="shared" si="58"/>
        <v>0.009259259259</v>
      </c>
      <c r="O175" s="17">
        <f t="shared" si="58"/>
        <v>0.01652892562</v>
      </c>
      <c r="P175" s="17">
        <f t="shared" si="58"/>
        <v>0.002590673575</v>
      </c>
      <c r="Q175" s="17">
        <f t="shared" si="58"/>
        <v>0.01157407407</v>
      </c>
      <c r="R175" s="17">
        <f t="shared" si="58"/>
        <v>0.006711409396</v>
      </c>
      <c r="S175" s="17">
        <f t="shared" si="58"/>
        <v>0.01675977654</v>
      </c>
      <c r="T175" s="17">
        <f t="shared" si="58"/>
        <v>0.00625</v>
      </c>
      <c r="U175" s="17">
        <f t="shared" si="58"/>
        <v>0</v>
      </c>
      <c r="V175" s="17">
        <f t="shared" si="58"/>
        <v>0</v>
      </c>
      <c r="W175" s="17">
        <f t="shared" si="58"/>
        <v>0</v>
      </c>
    </row>
    <row r="176" ht="15.75" customHeight="1">
      <c r="A176" s="10" t="s">
        <v>170</v>
      </c>
      <c r="B176" s="10" t="s">
        <v>170</v>
      </c>
      <c r="C176" s="10"/>
      <c r="D176" s="10" t="s">
        <v>326</v>
      </c>
      <c r="E176" s="10" t="s">
        <v>257</v>
      </c>
      <c r="F176" s="3">
        <f t="shared" ref="F176:F180" si="59">SUM(G176:S176)</f>
        <v>4961</v>
      </c>
      <c r="G176" s="3">
        <f>SUMIFS('Business - Dump'!$G:$G,'Business - Dump'!$D:$D,'SKU Repoprt'!$D176,'Business - Dump'!$A:$A,'SKU Repoprt'!G$1)</f>
        <v>92</v>
      </c>
      <c r="H176" s="3">
        <f>SUMIFS('Business - Dump'!$G:$G,'Business - Dump'!$D:$D,'SKU Repoprt'!$D176,'Business - Dump'!$A:$A,'SKU Repoprt'!H$1)</f>
        <v>150</v>
      </c>
      <c r="I176" s="3">
        <f>SUMIFS('Business - Dump'!$G:$G,'Business - Dump'!$D:$D,'SKU Repoprt'!$D176,'Business - Dump'!$A:$A,'SKU Repoprt'!I$1)</f>
        <v>0</v>
      </c>
      <c r="J176" s="3">
        <f>SUMIFS('Business - Dump'!$G:$G,'Business - Dump'!$D:$D,'SKU Repoprt'!$D176,'Business - Dump'!$A:$A,'SKU Repoprt'!J$1)</f>
        <v>525</v>
      </c>
      <c r="K176" s="3">
        <f>SUMIFS('Business - Dump'!$G:$G,'Business - Dump'!$D:$D,'SKU Repoprt'!$D176,'Business - Dump'!$A:$A,'SKU Repoprt'!K$1)</f>
        <v>979</v>
      </c>
      <c r="L176" s="3">
        <f>SUMIFS('Business - Dump'!$G:$G,'Business - Dump'!$D:$D,'SKU Repoprt'!$D176,'Business - Dump'!$A:$A,'SKU Repoprt'!L$1)</f>
        <v>1064</v>
      </c>
      <c r="M176" s="3">
        <f>SUMIFS('Business - Dump'!$G:$G,'Business - Dump'!$D:$D,'SKU Repoprt'!$D176,'Business - Dump'!$A:$A,'SKU Repoprt'!M$1)</f>
        <v>130</v>
      </c>
      <c r="N176" s="3">
        <f>SUMIFS('Business - Dump'!$G:$G,'Business - Dump'!$D:$D,'SKU Repoprt'!$D176,'Business - Dump'!$A:$A,'SKU Repoprt'!N$1)</f>
        <v>78</v>
      </c>
      <c r="O176" s="3">
        <f>SUMIFS('Business - Dump'!$G:$G,'Business - Dump'!$D:$D,'SKU Repoprt'!$D176,'Business - Dump'!$A:$A,'SKU Repoprt'!O$1)</f>
        <v>243</v>
      </c>
      <c r="P176" s="3">
        <f>SUMIFS('Business - Dump'!$G:$G,'Business - Dump'!$D:$D,'SKU Repoprt'!$D176,'Business - Dump'!$A:$A,'SKU Repoprt'!P$1)</f>
        <v>508</v>
      </c>
      <c r="Q176" s="3">
        <f>SUMIFS('Business - Dump'!$G:$G,'Business - Dump'!$D:$D,'SKU Repoprt'!$D176,'Business - Dump'!$A:$A,'SKU Repoprt'!Q$1)</f>
        <v>578</v>
      </c>
      <c r="R176" s="3">
        <f>SUMIFS('Business - Dump'!$G:$G,'Business - Dump'!$D:$D,'SKU Repoprt'!$D176,'Business - Dump'!$A:$A,'SKU Repoprt'!R$1)</f>
        <v>450</v>
      </c>
      <c r="S176" s="3">
        <f>SUMIFS('Business - Dump'!$G:$G,'Business - Dump'!$D:$D,'SKU Repoprt'!$D176,'Business - Dump'!$A:$A,'SKU Repoprt'!S$1)</f>
        <v>164</v>
      </c>
      <c r="T176" s="3">
        <f>SUMIFS('Business - Dump'!$G:$G,'Business - Dump'!$D:$D,'SKU Repoprt'!$D176,'Business - Dump'!$A:$A,'SKU Repoprt'!T$1)</f>
        <v>0</v>
      </c>
      <c r="U176" s="3">
        <f>SUMIFS('Business - Dump'!$G:$G,'Business - Dump'!$D:$D,'SKU Repoprt'!$D176,'Business - Dump'!$A:$A,'SKU Repoprt'!U$1)</f>
        <v>27</v>
      </c>
      <c r="V176" s="3">
        <f>SUMIFS('Business - Dump'!$G:$G,'Business - Dump'!$D:$D,'SKU Repoprt'!$D176,'Business - Dump'!$A:$A,'SKU Repoprt'!V$1)</f>
        <v>7</v>
      </c>
      <c r="W176" s="3">
        <f>SUMIFS('Business - Dump'!$G:$G,'Business - Dump'!$D:$D,'SKU Repoprt'!$D176,'Business - Dump'!$A:$A,'SKU Repoprt'!W$1)</f>
        <v>0</v>
      </c>
    </row>
    <row r="177" ht="15.75" customHeight="1">
      <c r="A177" s="10" t="s">
        <v>170</v>
      </c>
      <c r="B177" s="10" t="s">
        <v>170</v>
      </c>
      <c r="C177" s="10"/>
      <c r="D177" s="10" t="s">
        <v>326</v>
      </c>
      <c r="E177" s="10" t="s">
        <v>260</v>
      </c>
      <c r="F177" s="3">
        <f t="shared" si="59"/>
        <v>6809</v>
      </c>
      <c r="G177" s="3">
        <f>SUMIFS('Business - Dump'!$K:$K,'Business - Dump'!$D:$D,'SKU Repoprt'!$D177,'Business - Dump'!$A:$A,'SKU Repoprt'!G$1)</f>
        <v>136</v>
      </c>
      <c r="H177" s="3">
        <f>SUMIFS('Business - Dump'!$K:$K,'Business - Dump'!$D:$D,'SKU Repoprt'!$D177,'Business - Dump'!$A:$A,'SKU Repoprt'!H$1)</f>
        <v>216</v>
      </c>
      <c r="I177" s="3">
        <f>SUMIFS('Business - Dump'!$K:$K,'Business - Dump'!$D:$D,'SKU Repoprt'!$D177,'Business - Dump'!$A:$A,'SKU Repoprt'!I$1)</f>
        <v>0</v>
      </c>
      <c r="J177" s="3">
        <f>SUMIFS('Business - Dump'!$K:$K,'Business - Dump'!$D:$D,'SKU Repoprt'!$D177,'Business - Dump'!$A:$A,'SKU Repoprt'!J$1)</f>
        <v>735</v>
      </c>
      <c r="K177" s="3">
        <f>SUMIFS('Business - Dump'!$K:$K,'Business - Dump'!$D:$D,'SKU Repoprt'!$D177,'Business - Dump'!$A:$A,'SKU Repoprt'!K$1)</f>
        <v>1301</v>
      </c>
      <c r="L177" s="3">
        <f>SUMIFS('Business - Dump'!$K:$K,'Business - Dump'!$D:$D,'SKU Repoprt'!$D177,'Business - Dump'!$A:$A,'SKU Repoprt'!L$1)</f>
        <v>1413</v>
      </c>
      <c r="M177" s="3">
        <f>SUMIFS('Business - Dump'!$K:$K,'Business - Dump'!$D:$D,'SKU Repoprt'!$D177,'Business - Dump'!$A:$A,'SKU Repoprt'!M$1)</f>
        <v>162</v>
      </c>
      <c r="N177" s="3">
        <f>SUMIFS('Business - Dump'!$K:$K,'Business - Dump'!$D:$D,'SKU Repoprt'!$D177,'Business - Dump'!$A:$A,'SKU Repoprt'!N$1)</f>
        <v>101</v>
      </c>
      <c r="O177" s="3">
        <f>SUMIFS('Business - Dump'!$K:$K,'Business - Dump'!$D:$D,'SKU Repoprt'!$D177,'Business - Dump'!$A:$A,'SKU Repoprt'!O$1)</f>
        <v>337</v>
      </c>
      <c r="P177" s="3">
        <f>SUMIFS('Business - Dump'!$K:$K,'Business - Dump'!$D:$D,'SKU Repoprt'!$D177,'Business - Dump'!$A:$A,'SKU Repoprt'!P$1)</f>
        <v>730</v>
      </c>
      <c r="Q177" s="3">
        <f>SUMIFS('Business - Dump'!$K:$K,'Business - Dump'!$D:$D,'SKU Repoprt'!$D177,'Business - Dump'!$A:$A,'SKU Repoprt'!Q$1)</f>
        <v>795</v>
      </c>
      <c r="R177" s="3">
        <f>SUMIFS('Business - Dump'!$K:$K,'Business - Dump'!$D:$D,'SKU Repoprt'!$D177,'Business - Dump'!$A:$A,'SKU Repoprt'!R$1)</f>
        <v>644</v>
      </c>
      <c r="S177" s="3">
        <f>SUMIFS('Business - Dump'!$K:$K,'Business - Dump'!$D:$D,'SKU Repoprt'!$D177,'Business - Dump'!$A:$A,'SKU Repoprt'!S$1)</f>
        <v>239</v>
      </c>
      <c r="T177" s="3">
        <f>SUMIFS('Business - Dump'!$K:$K,'Business - Dump'!$D:$D,'SKU Repoprt'!$D177,'Business - Dump'!$A:$A,'SKU Repoprt'!T$1)</f>
        <v>0</v>
      </c>
      <c r="U177" s="3">
        <f>SUMIFS('Business - Dump'!$K:$K,'Business - Dump'!$D:$D,'SKU Repoprt'!$D177,'Business - Dump'!$A:$A,'SKU Repoprt'!U$1)</f>
        <v>39</v>
      </c>
      <c r="V177" s="3">
        <f>SUMIFS('Business - Dump'!$K:$K,'Business - Dump'!$D:$D,'SKU Repoprt'!$D177,'Business - Dump'!$A:$A,'SKU Repoprt'!V$1)</f>
        <v>10</v>
      </c>
      <c r="W177" s="3">
        <f>SUMIFS('Business - Dump'!$K:$K,'Business - Dump'!$D:$D,'SKU Repoprt'!$D177,'Business - Dump'!$A:$A,'SKU Repoprt'!W$1)</f>
        <v>0</v>
      </c>
    </row>
    <row r="178" ht="15.75" customHeight="1">
      <c r="A178" s="10" t="s">
        <v>170</v>
      </c>
      <c r="B178" s="10" t="s">
        <v>170</v>
      </c>
      <c r="C178" s="10"/>
      <c r="D178" s="10" t="s">
        <v>326</v>
      </c>
      <c r="E178" s="10" t="s">
        <v>264</v>
      </c>
      <c r="F178" s="3">
        <f t="shared" si="59"/>
        <v>47</v>
      </c>
      <c r="G178" s="3">
        <f>SUMIFS('Business - Dump'!$Q:$Q,'Business - Dump'!$D:$D,'SKU Repoprt'!$D178,'Business - Dump'!$A:$A,'SKU Repoprt'!G$1)</f>
        <v>1</v>
      </c>
      <c r="H178" s="3">
        <f>SUMIFS('Business - Dump'!$Q:$Q,'Business - Dump'!$D:$D,'SKU Repoprt'!$D178,'Business - Dump'!$A:$A,'SKU Repoprt'!H$1)</f>
        <v>3</v>
      </c>
      <c r="I178" s="3">
        <f>SUMIFS('Business - Dump'!$Q:$Q,'Business - Dump'!$D:$D,'SKU Repoprt'!$D178,'Business - Dump'!$A:$A,'SKU Repoprt'!I$1)</f>
        <v>0</v>
      </c>
      <c r="J178" s="3">
        <f>SUMIFS('Business - Dump'!$Q:$Q,'Business - Dump'!$D:$D,'SKU Repoprt'!$D178,'Business - Dump'!$A:$A,'SKU Repoprt'!J$1)</f>
        <v>5</v>
      </c>
      <c r="K178" s="3">
        <f>SUMIFS('Business - Dump'!$Q:$Q,'Business - Dump'!$D:$D,'SKU Repoprt'!$D178,'Business - Dump'!$A:$A,'SKU Repoprt'!K$1)</f>
        <v>7</v>
      </c>
      <c r="L178" s="3">
        <f>SUMIFS('Business - Dump'!$Q:$Q,'Business - Dump'!$D:$D,'SKU Repoprt'!$D178,'Business - Dump'!$A:$A,'SKU Repoprt'!L$1)</f>
        <v>15</v>
      </c>
      <c r="M178" s="3">
        <f>SUMIFS('Business - Dump'!$Q:$Q,'Business - Dump'!$D:$D,'SKU Repoprt'!$D178,'Business - Dump'!$A:$A,'SKU Repoprt'!M$1)</f>
        <v>1</v>
      </c>
      <c r="N178" s="3">
        <f>SUMIFS('Business - Dump'!$Q:$Q,'Business - Dump'!$D:$D,'SKU Repoprt'!$D178,'Business - Dump'!$A:$A,'SKU Repoprt'!N$1)</f>
        <v>1</v>
      </c>
      <c r="O178" s="3">
        <f>SUMIFS('Business - Dump'!$Q:$Q,'Business - Dump'!$D:$D,'SKU Repoprt'!$D178,'Business - Dump'!$A:$A,'SKU Repoprt'!O$1)</f>
        <v>2</v>
      </c>
      <c r="P178" s="3">
        <f>SUMIFS('Business - Dump'!$Q:$Q,'Business - Dump'!$D:$D,'SKU Repoprt'!$D178,'Business - Dump'!$A:$A,'SKU Repoprt'!P$1)</f>
        <v>2</v>
      </c>
      <c r="Q178" s="3">
        <f>SUMIFS('Business - Dump'!$Q:$Q,'Business - Dump'!$D:$D,'SKU Repoprt'!$D178,'Business - Dump'!$A:$A,'SKU Repoprt'!Q$1)</f>
        <v>5</v>
      </c>
      <c r="R178" s="3">
        <f>SUMIFS('Business - Dump'!$Q:$Q,'Business - Dump'!$D:$D,'SKU Repoprt'!$D178,'Business - Dump'!$A:$A,'SKU Repoprt'!R$1)</f>
        <v>5</v>
      </c>
      <c r="S178" s="3">
        <f>SUMIFS('Business - Dump'!$Q:$Q,'Business - Dump'!$D:$D,'SKU Repoprt'!$D178,'Business - Dump'!$A:$A,'SKU Repoprt'!S$1)</f>
        <v>0</v>
      </c>
      <c r="T178" s="3">
        <f>SUMIFS('Business - Dump'!$Q:$Q,'Business - Dump'!$D:$D,'SKU Repoprt'!$D178,'Business - Dump'!$A:$A,'SKU Repoprt'!T$1)</f>
        <v>0</v>
      </c>
      <c r="U178" s="3">
        <f>SUMIFS('Business - Dump'!$Q:$Q,'Business - Dump'!$D:$D,'SKU Repoprt'!$D178,'Business - Dump'!$A:$A,'SKU Repoprt'!U$1)</f>
        <v>0</v>
      </c>
      <c r="V178" s="3">
        <f>SUMIFS('Business - Dump'!$Q:$Q,'Business - Dump'!$D:$D,'SKU Repoprt'!$D178,'Business - Dump'!$A:$A,'SKU Repoprt'!V$1)</f>
        <v>2</v>
      </c>
      <c r="W178" s="3">
        <f>SUMIFS('Business - Dump'!$Q:$Q,'Business - Dump'!$D:$D,'SKU Repoprt'!$D178,'Business - Dump'!$A:$A,'SKU Repoprt'!W$1)</f>
        <v>0</v>
      </c>
    </row>
    <row r="179" ht="15.75" customHeight="1">
      <c r="A179" s="10" t="s">
        <v>170</v>
      </c>
      <c r="B179" s="10" t="s">
        <v>170</v>
      </c>
      <c r="C179" s="10"/>
      <c r="D179" s="10" t="s">
        <v>326</v>
      </c>
      <c r="E179" s="10" t="s">
        <v>268</v>
      </c>
      <c r="F179" s="3">
        <f t="shared" si="59"/>
        <v>47</v>
      </c>
      <c r="G179" s="3">
        <f>SUMIFS('Business - Dump'!$W:$W,'Business - Dump'!$D:$D,'SKU Repoprt'!$D179,'Business - Dump'!$A:$A,'SKU Repoprt'!G$1)</f>
        <v>1</v>
      </c>
      <c r="H179" s="3">
        <f>SUMIFS('Business - Dump'!$W:$W,'Business - Dump'!$D:$D,'SKU Repoprt'!$D179,'Business - Dump'!$A:$A,'SKU Repoprt'!H$1)</f>
        <v>3</v>
      </c>
      <c r="I179" s="3">
        <f>SUMIFS('Business - Dump'!$W:$W,'Business - Dump'!$D:$D,'SKU Repoprt'!$D179,'Business - Dump'!$A:$A,'SKU Repoprt'!I$1)</f>
        <v>0</v>
      </c>
      <c r="J179" s="3">
        <f>SUMIFS('Business - Dump'!$W:$W,'Business - Dump'!$D:$D,'SKU Repoprt'!$D179,'Business - Dump'!$A:$A,'SKU Repoprt'!J$1)</f>
        <v>5</v>
      </c>
      <c r="K179" s="3">
        <f>SUMIFS('Business - Dump'!$W:$W,'Business - Dump'!$D:$D,'SKU Repoprt'!$D179,'Business - Dump'!$A:$A,'SKU Repoprt'!K$1)</f>
        <v>7</v>
      </c>
      <c r="L179" s="3">
        <f>SUMIFS('Business - Dump'!$W:$W,'Business - Dump'!$D:$D,'SKU Repoprt'!$D179,'Business - Dump'!$A:$A,'SKU Repoprt'!L$1)</f>
        <v>15</v>
      </c>
      <c r="M179" s="3">
        <f>SUMIFS('Business - Dump'!$W:$W,'Business - Dump'!$D:$D,'SKU Repoprt'!$D179,'Business - Dump'!$A:$A,'SKU Repoprt'!M$1)</f>
        <v>1</v>
      </c>
      <c r="N179" s="3">
        <f>SUMIFS('Business - Dump'!$W:$W,'Business - Dump'!$D:$D,'SKU Repoprt'!$D179,'Business - Dump'!$A:$A,'SKU Repoprt'!N$1)</f>
        <v>1</v>
      </c>
      <c r="O179" s="3">
        <f>SUMIFS('Business - Dump'!$W:$W,'Business - Dump'!$D:$D,'SKU Repoprt'!$D179,'Business - Dump'!$A:$A,'SKU Repoprt'!O$1)</f>
        <v>2</v>
      </c>
      <c r="P179" s="3">
        <f>SUMIFS('Business - Dump'!$W:$W,'Business - Dump'!$D:$D,'SKU Repoprt'!$D179,'Business - Dump'!$A:$A,'SKU Repoprt'!P$1)</f>
        <v>2</v>
      </c>
      <c r="Q179" s="3">
        <f>SUMIFS('Business - Dump'!$W:$W,'Business - Dump'!$D:$D,'SKU Repoprt'!$D179,'Business - Dump'!$A:$A,'SKU Repoprt'!Q$1)</f>
        <v>5</v>
      </c>
      <c r="R179" s="3">
        <f>SUMIFS('Business - Dump'!$W:$W,'Business - Dump'!$D:$D,'SKU Repoprt'!$D179,'Business - Dump'!$A:$A,'SKU Repoprt'!R$1)</f>
        <v>5</v>
      </c>
      <c r="S179" s="3">
        <f>SUMIFS('Business - Dump'!$W:$W,'Business - Dump'!$D:$D,'SKU Repoprt'!$D179,'Business - Dump'!$A:$A,'SKU Repoprt'!S$1)</f>
        <v>0</v>
      </c>
      <c r="T179" s="3">
        <f>SUMIFS('Business - Dump'!$W:$W,'Business - Dump'!$D:$D,'SKU Repoprt'!$D179,'Business - Dump'!$A:$A,'SKU Repoprt'!T$1)</f>
        <v>0</v>
      </c>
      <c r="U179" s="3">
        <f>SUMIFS('Business - Dump'!$W:$W,'Business - Dump'!$D:$D,'SKU Repoprt'!$D179,'Business - Dump'!$A:$A,'SKU Repoprt'!U$1)</f>
        <v>0</v>
      </c>
      <c r="V179" s="3">
        <f>SUMIFS('Business - Dump'!$W:$W,'Business - Dump'!$D:$D,'SKU Repoprt'!$D179,'Business - Dump'!$A:$A,'SKU Repoprt'!V$1)</f>
        <v>2</v>
      </c>
      <c r="W179" s="3">
        <f>SUMIFS('Business - Dump'!$W:$W,'Business - Dump'!$D:$D,'SKU Repoprt'!$D179,'Business - Dump'!$A:$A,'SKU Repoprt'!W$1)</f>
        <v>0</v>
      </c>
    </row>
    <row r="180" ht="15.75" customHeight="1">
      <c r="A180" s="10" t="s">
        <v>170</v>
      </c>
      <c r="B180" s="10" t="s">
        <v>170</v>
      </c>
      <c r="C180" s="10"/>
      <c r="D180" s="10" t="s">
        <v>326</v>
      </c>
      <c r="E180" s="10" t="s">
        <v>26</v>
      </c>
      <c r="F180" s="16">
        <f t="shared" si="59"/>
        <v>298496</v>
      </c>
      <c r="G180" s="16">
        <f>SUMIFS('Business - Dump'!$U:$U,'Business - Dump'!$D:$D,'SKU Repoprt'!$D180,'Business - Dump'!$A:$A,'SKU Repoprt'!G$1)</f>
        <v>6500</v>
      </c>
      <c r="H180" s="16">
        <f>SUMIFS('Business - Dump'!$U:$U,'Business - Dump'!$D:$D,'SKU Repoprt'!$D180,'Business - Dump'!$A:$A,'SKU Repoprt'!H$1)</f>
        <v>19500</v>
      </c>
      <c r="I180" s="16">
        <f>SUMIFS('Business - Dump'!$U:$U,'Business - Dump'!$D:$D,'SKU Repoprt'!$D180,'Business - Dump'!$A:$A,'SKU Repoprt'!I$1)</f>
        <v>0</v>
      </c>
      <c r="J180" s="16">
        <f>SUMIFS('Business - Dump'!$U:$U,'Business - Dump'!$D:$D,'SKU Repoprt'!$D180,'Business - Dump'!$A:$A,'SKU Repoprt'!J$1)</f>
        <v>32500</v>
      </c>
      <c r="K180" s="16">
        <f>SUMIFS('Business - Dump'!$U:$U,'Business - Dump'!$D:$D,'SKU Repoprt'!$D180,'Business - Dump'!$A:$A,'SKU Repoprt'!K$1)</f>
        <v>41300</v>
      </c>
      <c r="L180" s="16">
        <f>SUMIFS('Business - Dump'!$U:$U,'Business - Dump'!$D:$D,'SKU Repoprt'!$D180,'Business - Dump'!$A:$A,'SKU Repoprt'!L$1)</f>
        <v>88500</v>
      </c>
      <c r="M180" s="16">
        <f>SUMIFS('Business - Dump'!$U:$U,'Business - Dump'!$D:$D,'SKU Repoprt'!$D180,'Business - Dump'!$A:$A,'SKU Repoprt'!M$1)</f>
        <v>6175</v>
      </c>
      <c r="N180" s="16">
        <f>SUMIFS('Business - Dump'!$U:$U,'Business - Dump'!$D:$D,'SKU Repoprt'!$D180,'Business - Dump'!$A:$A,'SKU Repoprt'!N$1)</f>
        <v>7000</v>
      </c>
      <c r="O180" s="16">
        <f>SUMIFS('Business - Dump'!$U:$U,'Business - Dump'!$D:$D,'SKU Repoprt'!$D180,'Business - Dump'!$A:$A,'SKU Repoprt'!O$1)</f>
        <v>13131</v>
      </c>
      <c r="P180" s="16">
        <f>SUMIFS('Business - Dump'!$U:$U,'Business - Dump'!$D:$D,'SKU Repoprt'!$D180,'Business - Dump'!$A:$A,'SKU Repoprt'!P$1)</f>
        <v>13990</v>
      </c>
      <c r="Q180" s="16">
        <f>SUMIFS('Business - Dump'!$U:$U,'Business - Dump'!$D:$D,'SKU Repoprt'!$D180,'Business - Dump'!$A:$A,'SKU Repoprt'!Q$1)</f>
        <v>34950</v>
      </c>
      <c r="R180" s="16">
        <f>SUMIFS('Business - Dump'!$U:$U,'Business - Dump'!$D:$D,'SKU Repoprt'!$D180,'Business - Dump'!$A:$A,'SKU Repoprt'!R$1)</f>
        <v>34950</v>
      </c>
      <c r="S180" s="16">
        <f>SUMIFS('Business - Dump'!$U:$U,'Business - Dump'!$D:$D,'SKU Repoprt'!$D180,'Business - Dump'!$A:$A,'SKU Repoprt'!S$1)</f>
        <v>0</v>
      </c>
      <c r="T180" s="16">
        <f>SUMIFS('Business - Dump'!$U:$U,'Business - Dump'!$D:$D,'SKU Repoprt'!$D180,'Business - Dump'!$A:$A,'SKU Repoprt'!T$1)</f>
        <v>0</v>
      </c>
      <c r="U180" s="16">
        <f>SUMIFS('Business - Dump'!$U:$U,'Business - Dump'!$D:$D,'SKU Repoprt'!$D180,'Business - Dump'!$A:$A,'SKU Repoprt'!U$1)</f>
        <v>0</v>
      </c>
      <c r="V180" s="16">
        <f>SUMIFS('Business - Dump'!$U:$U,'Business - Dump'!$D:$D,'SKU Repoprt'!$D180,'Business - Dump'!$A:$A,'SKU Repoprt'!V$1)</f>
        <v>13980</v>
      </c>
      <c r="W180" s="16">
        <f>SUMIFS('Business - Dump'!$U:$U,'Business - Dump'!$D:$D,'SKU Repoprt'!$D180,'Business - Dump'!$A:$A,'SKU Repoprt'!W$1)</f>
        <v>0</v>
      </c>
    </row>
    <row r="181" ht="15.75" customHeight="1">
      <c r="A181" s="10" t="s">
        <v>170</v>
      </c>
      <c r="B181" s="10" t="s">
        <v>170</v>
      </c>
      <c r="C181" s="10"/>
      <c r="D181" s="10" t="s">
        <v>326</v>
      </c>
      <c r="E181" s="10" t="s">
        <v>29</v>
      </c>
      <c r="F181" s="17">
        <v>0.027042857142857143</v>
      </c>
      <c r="G181" s="17">
        <f t="shared" ref="G181:W181" si="60">IFERROR(G179/G176,0)</f>
        <v>0.01086956522</v>
      </c>
      <c r="H181" s="17">
        <f t="shared" si="60"/>
        <v>0.02</v>
      </c>
      <c r="I181" s="17">
        <f t="shared" si="60"/>
        <v>0</v>
      </c>
      <c r="J181" s="17">
        <f t="shared" si="60"/>
        <v>0.009523809524</v>
      </c>
      <c r="K181" s="17">
        <f t="shared" si="60"/>
        <v>0.007150153218</v>
      </c>
      <c r="L181" s="17">
        <f t="shared" si="60"/>
        <v>0.01409774436</v>
      </c>
      <c r="M181" s="17">
        <f t="shared" si="60"/>
        <v>0.007692307692</v>
      </c>
      <c r="N181" s="17">
        <f t="shared" si="60"/>
        <v>0.01282051282</v>
      </c>
      <c r="O181" s="17">
        <f t="shared" si="60"/>
        <v>0.008230452675</v>
      </c>
      <c r="P181" s="17">
        <f t="shared" si="60"/>
        <v>0.003937007874</v>
      </c>
      <c r="Q181" s="17">
        <f t="shared" si="60"/>
        <v>0.008650519031</v>
      </c>
      <c r="R181" s="17">
        <f t="shared" si="60"/>
        <v>0.01111111111</v>
      </c>
      <c r="S181" s="17">
        <f t="shared" si="60"/>
        <v>0</v>
      </c>
      <c r="T181" s="17">
        <f t="shared" si="60"/>
        <v>0</v>
      </c>
      <c r="U181" s="17">
        <f t="shared" si="60"/>
        <v>0</v>
      </c>
      <c r="V181" s="17">
        <f t="shared" si="60"/>
        <v>0.2857142857</v>
      </c>
      <c r="W181" s="17">
        <f t="shared" si="60"/>
        <v>0</v>
      </c>
    </row>
    <row r="182" ht="15.75" customHeight="1">
      <c r="A182" s="10" t="s">
        <v>182</v>
      </c>
      <c r="B182" s="10" t="s">
        <v>182</v>
      </c>
      <c r="C182" s="10"/>
      <c r="D182" s="10" t="s">
        <v>354</v>
      </c>
      <c r="E182" s="10" t="s">
        <v>257</v>
      </c>
      <c r="F182" s="3">
        <f t="shared" ref="F182:F186" si="61">SUM(G182:S182)</f>
        <v>2767</v>
      </c>
      <c r="G182" s="3">
        <f>SUMIFS('Business - Dump'!$G:$G,'Business - Dump'!$D:$D,'SKU Repoprt'!$D182,'Business - Dump'!$A:$A,'SKU Repoprt'!G$1)</f>
        <v>0</v>
      </c>
      <c r="H182" s="3">
        <f>SUMIFS('Business - Dump'!$G:$G,'Business - Dump'!$D:$D,'SKU Repoprt'!$D182,'Business - Dump'!$A:$A,'SKU Repoprt'!H$1)</f>
        <v>0</v>
      </c>
      <c r="I182" s="3">
        <f>SUMIFS('Business - Dump'!$G:$G,'Business - Dump'!$D:$D,'SKU Repoprt'!$D182,'Business - Dump'!$A:$A,'SKU Repoprt'!I$1)</f>
        <v>57</v>
      </c>
      <c r="J182" s="3">
        <f>SUMIFS('Business - Dump'!$G:$G,'Business - Dump'!$D:$D,'SKU Repoprt'!$D182,'Business - Dump'!$A:$A,'SKU Repoprt'!J$1)</f>
        <v>104</v>
      </c>
      <c r="K182" s="3">
        <f>SUMIFS('Business - Dump'!$G:$G,'Business - Dump'!$D:$D,'SKU Repoprt'!$D182,'Business - Dump'!$A:$A,'SKU Repoprt'!K$1)</f>
        <v>132</v>
      </c>
      <c r="L182" s="3">
        <f>SUMIFS('Business - Dump'!$G:$G,'Business - Dump'!$D:$D,'SKU Repoprt'!$D182,'Business - Dump'!$A:$A,'SKU Repoprt'!L$1)</f>
        <v>0</v>
      </c>
      <c r="M182" s="3">
        <f>SUMIFS('Business - Dump'!$G:$G,'Business - Dump'!$D:$D,'SKU Repoprt'!$D182,'Business - Dump'!$A:$A,'SKU Repoprt'!M$1)</f>
        <v>300</v>
      </c>
      <c r="N182" s="3">
        <f>SUMIFS('Business - Dump'!$G:$G,'Business - Dump'!$D:$D,'SKU Repoprt'!$D182,'Business - Dump'!$A:$A,'SKU Repoprt'!N$1)</f>
        <v>303</v>
      </c>
      <c r="O182" s="3">
        <f>SUMIFS('Business - Dump'!$G:$G,'Business - Dump'!$D:$D,'SKU Repoprt'!$D182,'Business - Dump'!$A:$A,'SKU Repoprt'!O$1)</f>
        <v>394</v>
      </c>
      <c r="P182" s="3">
        <f>SUMIFS('Business - Dump'!$G:$G,'Business - Dump'!$D:$D,'SKU Repoprt'!$D182,'Business - Dump'!$A:$A,'SKU Repoprt'!P$1)</f>
        <v>276</v>
      </c>
      <c r="Q182" s="3">
        <f>SUMIFS('Business - Dump'!$G:$G,'Business - Dump'!$D:$D,'SKU Repoprt'!$D182,'Business - Dump'!$A:$A,'SKU Repoprt'!Q$1)</f>
        <v>457</v>
      </c>
      <c r="R182" s="3">
        <f>SUMIFS('Business - Dump'!$G:$G,'Business - Dump'!$D:$D,'SKU Repoprt'!$D182,'Business - Dump'!$A:$A,'SKU Repoprt'!R$1)</f>
        <v>574</v>
      </c>
      <c r="S182" s="3">
        <f>SUMIFS('Business - Dump'!$G:$G,'Business - Dump'!$D:$D,'SKU Repoprt'!$D182,'Business - Dump'!$A:$A,'SKU Repoprt'!S$1)</f>
        <v>170</v>
      </c>
      <c r="T182" s="3">
        <f>SUMIFS('Business - Dump'!$G:$G,'Business - Dump'!$D:$D,'SKU Repoprt'!$D182,'Business - Dump'!$A:$A,'SKU Repoprt'!T$1)</f>
        <v>91</v>
      </c>
      <c r="U182" s="3">
        <f>SUMIFS('Business - Dump'!$G:$G,'Business - Dump'!$D:$D,'SKU Repoprt'!$D182,'Business - Dump'!$A:$A,'SKU Repoprt'!U$1)</f>
        <v>112</v>
      </c>
      <c r="V182" s="3">
        <f>SUMIFS('Business - Dump'!$G:$G,'Business - Dump'!$D:$D,'SKU Repoprt'!$D182,'Business - Dump'!$A:$A,'SKU Repoprt'!V$1)</f>
        <v>109</v>
      </c>
      <c r="W182" s="3">
        <f>SUMIFS('Business - Dump'!$G:$G,'Business - Dump'!$D:$D,'SKU Repoprt'!$D182,'Business - Dump'!$A:$A,'SKU Repoprt'!W$1)</f>
        <v>157</v>
      </c>
    </row>
    <row r="183" ht="15.75" customHeight="1">
      <c r="A183" s="10" t="s">
        <v>182</v>
      </c>
      <c r="B183" s="10" t="s">
        <v>182</v>
      </c>
      <c r="C183" s="10"/>
      <c r="D183" s="10" t="s">
        <v>354</v>
      </c>
      <c r="E183" s="10" t="s">
        <v>260</v>
      </c>
      <c r="F183" s="3">
        <f t="shared" si="61"/>
        <v>4151</v>
      </c>
      <c r="G183" s="3">
        <f>SUMIFS('Business - Dump'!$K:$K,'Business - Dump'!$D:$D,'SKU Repoprt'!$D183,'Business - Dump'!$A:$A,'SKU Repoprt'!G$1)</f>
        <v>0</v>
      </c>
      <c r="H183" s="3">
        <f>SUMIFS('Business - Dump'!$K:$K,'Business - Dump'!$D:$D,'SKU Repoprt'!$D183,'Business - Dump'!$A:$A,'SKU Repoprt'!H$1)</f>
        <v>0</v>
      </c>
      <c r="I183" s="3">
        <f>SUMIFS('Business - Dump'!$K:$K,'Business - Dump'!$D:$D,'SKU Repoprt'!$D183,'Business - Dump'!$A:$A,'SKU Repoprt'!I$1)</f>
        <v>79</v>
      </c>
      <c r="J183" s="3">
        <f>SUMIFS('Business - Dump'!$K:$K,'Business - Dump'!$D:$D,'SKU Repoprt'!$D183,'Business - Dump'!$A:$A,'SKU Repoprt'!J$1)</f>
        <v>144</v>
      </c>
      <c r="K183" s="3">
        <f>SUMIFS('Business - Dump'!$K:$K,'Business - Dump'!$D:$D,'SKU Repoprt'!$D183,'Business - Dump'!$A:$A,'SKU Repoprt'!K$1)</f>
        <v>190</v>
      </c>
      <c r="L183" s="3">
        <f>SUMIFS('Business - Dump'!$K:$K,'Business - Dump'!$D:$D,'SKU Repoprt'!$D183,'Business - Dump'!$A:$A,'SKU Repoprt'!L$1)</f>
        <v>0</v>
      </c>
      <c r="M183" s="3">
        <f>SUMIFS('Business - Dump'!$K:$K,'Business - Dump'!$D:$D,'SKU Repoprt'!$D183,'Business - Dump'!$A:$A,'SKU Repoprt'!M$1)</f>
        <v>475</v>
      </c>
      <c r="N183" s="3">
        <f>SUMIFS('Business - Dump'!$K:$K,'Business - Dump'!$D:$D,'SKU Repoprt'!$D183,'Business - Dump'!$A:$A,'SKU Repoprt'!N$1)</f>
        <v>390</v>
      </c>
      <c r="O183" s="3">
        <f>SUMIFS('Business - Dump'!$K:$K,'Business - Dump'!$D:$D,'SKU Repoprt'!$D183,'Business - Dump'!$A:$A,'SKU Repoprt'!O$1)</f>
        <v>570</v>
      </c>
      <c r="P183" s="3">
        <f>SUMIFS('Business - Dump'!$K:$K,'Business - Dump'!$D:$D,'SKU Repoprt'!$D183,'Business - Dump'!$A:$A,'SKU Repoprt'!P$1)</f>
        <v>394</v>
      </c>
      <c r="Q183" s="3">
        <f>SUMIFS('Business - Dump'!$K:$K,'Business - Dump'!$D:$D,'SKU Repoprt'!$D183,'Business - Dump'!$A:$A,'SKU Repoprt'!Q$1)</f>
        <v>718</v>
      </c>
      <c r="R183" s="3">
        <f>SUMIFS('Business - Dump'!$K:$K,'Business - Dump'!$D:$D,'SKU Repoprt'!$D183,'Business - Dump'!$A:$A,'SKU Repoprt'!R$1)</f>
        <v>939</v>
      </c>
      <c r="S183" s="3">
        <f>SUMIFS('Business - Dump'!$K:$K,'Business - Dump'!$D:$D,'SKU Repoprt'!$D183,'Business - Dump'!$A:$A,'SKU Repoprt'!S$1)</f>
        <v>252</v>
      </c>
      <c r="T183" s="3">
        <f>SUMIFS('Business - Dump'!$K:$K,'Business - Dump'!$D:$D,'SKU Repoprt'!$D183,'Business - Dump'!$A:$A,'SKU Repoprt'!T$1)</f>
        <v>117</v>
      </c>
      <c r="U183" s="3">
        <f>SUMIFS('Business - Dump'!$K:$K,'Business - Dump'!$D:$D,'SKU Repoprt'!$D183,'Business - Dump'!$A:$A,'SKU Repoprt'!U$1)</f>
        <v>163</v>
      </c>
      <c r="V183" s="3">
        <f>SUMIFS('Business - Dump'!$K:$K,'Business - Dump'!$D:$D,'SKU Repoprt'!$D183,'Business - Dump'!$A:$A,'SKU Repoprt'!V$1)</f>
        <v>142</v>
      </c>
      <c r="W183" s="3">
        <f>SUMIFS('Business - Dump'!$K:$K,'Business - Dump'!$D:$D,'SKU Repoprt'!$D183,'Business - Dump'!$A:$A,'SKU Repoprt'!W$1)</f>
        <v>195</v>
      </c>
    </row>
    <row r="184" ht="15.75" customHeight="1">
      <c r="A184" s="10" t="s">
        <v>182</v>
      </c>
      <c r="B184" s="10" t="s">
        <v>182</v>
      </c>
      <c r="C184" s="10"/>
      <c r="D184" s="10" t="s">
        <v>354</v>
      </c>
      <c r="E184" s="10" t="s">
        <v>264</v>
      </c>
      <c r="F184" s="3">
        <f t="shared" si="61"/>
        <v>37</v>
      </c>
      <c r="G184" s="3">
        <f>SUMIFS('Business - Dump'!$Q:$Q,'Business - Dump'!$D:$D,'SKU Repoprt'!$D184,'Business - Dump'!$A:$A,'SKU Repoprt'!G$1)</f>
        <v>0</v>
      </c>
      <c r="H184" s="3">
        <f>SUMIFS('Business - Dump'!$Q:$Q,'Business - Dump'!$D:$D,'SKU Repoprt'!$D184,'Business - Dump'!$A:$A,'SKU Repoprt'!H$1)</f>
        <v>0</v>
      </c>
      <c r="I184" s="3">
        <f>SUMIFS('Business - Dump'!$Q:$Q,'Business - Dump'!$D:$D,'SKU Repoprt'!$D184,'Business - Dump'!$A:$A,'SKU Repoprt'!I$1)</f>
        <v>1</v>
      </c>
      <c r="J184" s="3">
        <f>SUMIFS('Business - Dump'!$Q:$Q,'Business - Dump'!$D:$D,'SKU Repoprt'!$D184,'Business - Dump'!$A:$A,'SKU Repoprt'!J$1)</f>
        <v>1</v>
      </c>
      <c r="K184" s="3">
        <f>SUMIFS('Business - Dump'!$Q:$Q,'Business - Dump'!$D:$D,'SKU Repoprt'!$D184,'Business - Dump'!$A:$A,'SKU Repoprt'!K$1)</f>
        <v>1</v>
      </c>
      <c r="L184" s="3">
        <f>SUMIFS('Business - Dump'!$Q:$Q,'Business - Dump'!$D:$D,'SKU Repoprt'!$D184,'Business - Dump'!$A:$A,'SKU Repoprt'!L$1)</f>
        <v>0</v>
      </c>
      <c r="M184" s="3">
        <f>SUMIFS('Business - Dump'!$Q:$Q,'Business - Dump'!$D:$D,'SKU Repoprt'!$D184,'Business - Dump'!$A:$A,'SKU Repoprt'!M$1)</f>
        <v>3</v>
      </c>
      <c r="N184" s="3">
        <f>SUMIFS('Business - Dump'!$Q:$Q,'Business - Dump'!$D:$D,'SKU Repoprt'!$D184,'Business - Dump'!$A:$A,'SKU Repoprt'!N$1)</f>
        <v>3</v>
      </c>
      <c r="O184" s="3">
        <f>SUMIFS('Business - Dump'!$Q:$Q,'Business - Dump'!$D:$D,'SKU Repoprt'!$D184,'Business - Dump'!$A:$A,'SKU Repoprt'!O$1)</f>
        <v>4</v>
      </c>
      <c r="P184" s="3">
        <f>SUMIFS('Business - Dump'!$Q:$Q,'Business - Dump'!$D:$D,'SKU Repoprt'!$D184,'Business - Dump'!$A:$A,'SKU Repoprt'!P$1)</f>
        <v>1</v>
      </c>
      <c r="Q184" s="3">
        <f>SUMIFS('Business - Dump'!$Q:$Q,'Business - Dump'!$D:$D,'SKU Repoprt'!$D184,'Business - Dump'!$A:$A,'SKU Repoprt'!Q$1)</f>
        <v>7</v>
      </c>
      <c r="R184" s="3">
        <f>SUMIFS('Business - Dump'!$Q:$Q,'Business - Dump'!$D:$D,'SKU Repoprt'!$D184,'Business - Dump'!$A:$A,'SKU Repoprt'!R$1)</f>
        <v>15</v>
      </c>
      <c r="S184" s="3">
        <f>SUMIFS('Business - Dump'!$Q:$Q,'Business - Dump'!$D:$D,'SKU Repoprt'!$D184,'Business - Dump'!$A:$A,'SKU Repoprt'!S$1)</f>
        <v>1</v>
      </c>
      <c r="T184" s="3">
        <f>SUMIFS('Business - Dump'!$Q:$Q,'Business - Dump'!$D:$D,'SKU Repoprt'!$D184,'Business - Dump'!$A:$A,'SKU Repoprt'!T$1)</f>
        <v>1</v>
      </c>
      <c r="U184" s="3">
        <f>SUMIFS('Business - Dump'!$Q:$Q,'Business - Dump'!$D:$D,'SKU Repoprt'!$D184,'Business - Dump'!$A:$A,'SKU Repoprt'!U$1)</f>
        <v>4</v>
      </c>
      <c r="V184" s="3">
        <f>SUMIFS('Business - Dump'!$Q:$Q,'Business - Dump'!$D:$D,'SKU Repoprt'!$D184,'Business - Dump'!$A:$A,'SKU Repoprt'!V$1)</f>
        <v>0</v>
      </c>
      <c r="W184" s="3">
        <f>SUMIFS('Business - Dump'!$Q:$Q,'Business - Dump'!$D:$D,'SKU Repoprt'!$D184,'Business - Dump'!$A:$A,'SKU Repoprt'!W$1)</f>
        <v>1</v>
      </c>
    </row>
    <row r="185" ht="15.75" customHeight="1">
      <c r="A185" s="10" t="s">
        <v>182</v>
      </c>
      <c r="B185" s="10" t="s">
        <v>182</v>
      </c>
      <c r="C185" s="10"/>
      <c r="D185" s="10" t="s">
        <v>354</v>
      </c>
      <c r="E185" s="10" t="s">
        <v>268</v>
      </c>
      <c r="F185" s="3">
        <f t="shared" si="61"/>
        <v>36</v>
      </c>
      <c r="G185" s="3">
        <f>SUMIFS('Business - Dump'!$W:$W,'Business - Dump'!$D:$D,'SKU Repoprt'!$D185,'Business - Dump'!$A:$A,'SKU Repoprt'!G$1)</f>
        <v>0</v>
      </c>
      <c r="H185" s="3">
        <f>SUMIFS('Business - Dump'!$W:$W,'Business - Dump'!$D:$D,'SKU Repoprt'!$D185,'Business - Dump'!$A:$A,'SKU Repoprt'!H$1)</f>
        <v>0</v>
      </c>
      <c r="I185" s="3">
        <f>SUMIFS('Business - Dump'!$W:$W,'Business - Dump'!$D:$D,'SKU Repoprt'!$D185,'Business - Dump'!$A:$A,'SKU Repoprt'!I$1)</f>
        <v>1</v>
      </c>
      <c r="J185" s="3">
        <f>SUMIFS('Business - Dump'!$W:$W,'Business - Dump'!$D:$D,'SKU Repoprt'!$D185,'Business - Dump'!$A:$A,'SKU Repoprt'!J$1)</f>
        <v>1</v>
      </c>
      <c r="K185" s="3">
        <f>SUMIFS('Business - Dump'!$W:$W,'Business - Dump'!$D:$D,'SKU Repoprt'!$D185,'Business - Dump'!$A:$A,'SKU Repoprt'!K$1)</f>
        <v>1</v>
      </c>
      <c r="L185" s="3">
        <f>SUMIFS('Business - Dump'!$W:$W,'Business - Dump'!$D:$D,'SKU Repoprt'!$D185,'Business - Dump'!$A:$A,'SKU Repoprt'!L$1)</f>
        <v>0</v>
      </c>
      <c r="M185" s="3">
        <f>SUMIFS('Business - Dump'!$W:$W,'Business - Dump'!$D:$D,'SKU Repoprt'!$D185,'Business - Dump'!$A:$A,'SKU Repoprt'!M$1)</f>
        <v>3</v>
      </c>
      <c r="N185" s="3">
        <f>SUMIFS('Business - Dump'!$W:$W,'Business - Dump'!$D:$D,'SKU Repoprt'!$D185,'Business - Dump'!$A:$A,'SKU Repoprt'!N$1)</f>
        <v>3</v>
      </c>
      <c r="O185" s="3">
        <f>SUMIFS('Business - Dump'!$W:$W,'Business - Dump'!$D:$D,'SKU Repoprt'!$D185,'Business - Dump'!$A:$A,'SKU Repoprt'!O$1)</f>
        <v>3</v>
      </c>
      <c r="P185" s="3">
        <f>SUMIFS('Business - Dump'!$W:$W,'Business - Dump'!$D:$D,'SKU Repoprt'!$D185,'Business - Dump'!$A:$A,'SKU Repoprt'!P$1)</f>
        <v>1</v>
      </c>
      <c r="Q185" s="3">
        <f>SUMIFS('Business - Dump'!$W:$W,'Business - Dump'!$D:$D,'SKU Repoprt'!$D185,'Business - Dump'!$A:$A,'SKU Repoprt'!Q$1)</f>
        <v>7</v>
      </c>
      <c r="R185" s="3">
        <f>SUMIFS('Business - Dump'!$W:$W,'Business - Dump'!$D:$D,'SKU Repoprt'!$D185,'Business - Dump'!$A:$A,'SKU Repoprt'!R$1)</f>
        <v>15</v>
      </c>
      <c r="S185" s="3">
        <f>SUMIFS('Business - Dump'!$W:$W,'Business - Dump'!$D:$D,'SKU Repoprt'!$D185,'Business - Dump'!$A:$A,'SKU Repoprt'!S$1)</f>
        <v>1</v>
      </c>
      <c r="T185" s="3">
        <f>SUMIFS('Business - Dump'!$W:$W,'Business - Dump'!$D:$D,'SKU Repoprt'!$D185,'Business - Dump'!$A:$A,'SKU Repoprt'!T$1)</f>
        <v>1</v>
      </c>
      <c r="U185" s="3">
        <f>SUMIFS('Business - Dump'!$W:$W,'Business - Dump'!$D:$D,'SKU Repoprt'!$D185,'Business - Dump'!$A:$A,'SKU Repoprt'!U$1)</f>
        <v>4</v>
      </c>
      <c r="V185" s="3">
        <f>SUMIFS('Business - Dump'!$W:$W,'Business - Dump'!$D:$D,'SKU Repoprt'!$D185,'Business - Dump'!$A:$A,'SKU Repoprt'!V$1)</f>
        <v>0</v>
      </c>
      <c r="W185" s="3">
        <f>SUMIFS('Business - Dump'!$W:$W,'Business - Dump'!$D:$D,'SKU Repoprt'!$D185,'Business - Dump'!$A:$A,'SKU Repoprt'!W$1)</f>
        <v>1</v>
      </c>
    </row>
    <row r="186" ht="15.75" customHeight="1">
      <c r="A186" s="10" t="s">
        <v>182</v>
      </c>
      <c r="B186" s="10" t="s">
        <v>182</v>
      </c>
      <c r="C186" s="10"/>
      <c r="D186" s="10" t="s">
        <v>354</v>
      </c>
      <c r="E186" s="10" t="s">
        <v>26</v>
      </c>
      <c r="F186" s="16">
        <f t="shared" si="61"/>
        <v>1079344.2</v>
      </c>
      <c r="G186" s="16">
        <f>SUMIFS('Business - Dump'!$U:$U,'Business - Dump'!$D:$D,'SKU Repoprt'!$D186,'Business - Dump'!$A:$A,'SKU Repoprt'!G$1)</f>
        <v>0</v>
      </c>
      <c r="H186" s="16">
        <f>SUMIFS('Business - Dump'!$U:$U,'Business - Dump'!$D:$D,'SKU Repoprt'!$D186,'Business - Dump'!$A:$A,'SKU Repoprt'!H$1)</f>
        <v>0</v>
      </c>
      <c r="I186" s="16">
        <f>SUMIFS('Business - Dump'!$U:$U,'Business - Dump'!$D:$D,'SKU Repoprt'!$D186,'Business - Dump'!$A:$A,'SKU Repoprt'!I$1)</f>
        <v>28999</v>
      </c>
      <c r="J186" s="16">
        <f>SUMIFS('Business - Dump'!$U:$U,'Business - Dump'!$D:$D,'SKU Repoprt'!$D186,'Business - Dump'!$A:$A,'SKU Repoprt'!J$1)</f>
        <v>29900</v>
      </c>
      <c r="K186" s="16">
        <f>SUMIFS('Business - Dump'!$U:$U,'Business - Dump'!$D:$D,'SKU Repoprt'!$D186,'Business - Dump'!$A:$A,'SKU Repoprt'!K$1)</f>
        <v>30300</v>
      </c>
      <c r="L186" s="16">
        <f>SUMIFS('Business - Dump'!$U:$U,'Business - Dump'!$D:$D,'SKU Repoprt'!$D186,'Business - Dump'!$A:$A,'SKU Repoprt'!L$1)</f>
        <v>0</v>
      </c>
      <c r="M186" s="16">
        <f>SUMIFS('Business - Dump'!$U:$U,'Business - Dump'!$D:$D,'SKU Repoprt'!$D186,'Business - Dump'!$A:$A,'SKU Repoprt'!M$1)</f>
        <v>91062.72</v>
      </c>
      <c r="N186" s="16">
        <f>SUMIFS('Business - Dump'!$U:$U,'Business - Dump'!$D:$D,'SKU Repoprt'!$D186,'Business - Dump'!$A:$A,'SKU Repoprt'!N$1)</f>
        <v>91350</v>
      </c>
      <c r="O186" s="16">
        <f>SUMIFS('Business - Dump'!$U:$U,'Business - Dump'!$D:$D,'SKU Repoprt'!$D186,'Business - Dump'!$A:$A,'SKU Repoprt'!O$1)</f>
        <v>119731.36</v>
      </c>
      <c r="P186" s="16">
        <f>SUMIFS('Business - Dump'!$U:$U,'Business - Dump'!$D:$D,'SKU Repoprt'!$D186,'Business - Dump'!$A:$A,'SKU Repoprt'!P$1)</f>
        <v>32320</v>
      </c>
      <c r="Q186" s="16">
        <f>SUMIFS('Business - Dump'!$U:$U,'Business - Dump'!$D:$D,'SKU Repoprt'!$D186,'Business - Dump'!$A:$A,'SKU Repoprt'!Q$1)</f>
        <v>202075.4</v>
      </c>
      <c r="R186" s="16">
        <f>SUMIFS('Business - Dump'!$U:$U,'Business - Dump'!$D:$D,'SKU Repoprt'!$D186,'Business - Dump'!$A:$A,'SKU Repoprt'!R$1)</f>
        <v>420310.64</v>
      </c>
      <c r="S186" s="16">
        <f>SUMIFS('Business - Dump'!$U:$U,'Business - Dump'!$D:$D,'SKU Repoprt'!$D186,'Business - Dump'!$A:$A,'SKU Repoprt'!S$1)</f>
        <v>33295.08</v>
      </c>
      <c r="T186" s="16">
        <f>SUMIFS('Business - Dump'!$U:$U,'Business - Dump'!$D:$D,'SKU Repoprt'!$D186,'Business - Dump'!$A:$A,'SKU Repoprt'!T$1)</f>
        <v>33350</v>
      </c>
      <c r="U186" s="16">
        <f>SUMIFS('Business - Dump'!$U:$U,'Business - Dump'!$D:$D,'SKU Repoprt'!$D186,'Business - Dump'!$A:$A,'SKU Repoprt'!U$1)</f>
        <v>130540.1</v>
      </c>
      <c r="V186" s="16">
        <f>SUMIFS('Business - Dump'!$U:$U,'Business - Dump'!$D:$D,'SKU Repoprt'!$D186,'Business - Dump'!$A:$A,'SKU Repoprt'!V$1)</f>
        <v>0</v>
      </c>
      <c r="W186" s="16">
        <f>SUMIFS('Business - Dump'!$U:$U,'Business - Dump'!$D:$D,'SKU Repoprt'!$D186,'Business - Dump'!$A:$A,'SKU Repoprt'!W$1)</f>
        <v>31345</v>
      </c>
    </row>
    <row r="187" ht="15.75" customHeight="1">
      <c r="A187" s="10" t="s">
        <v>182</v>
      </c>
      <c r="B187" s="10" t="s">
        <v>182</v>
      </c>
      <c r="C187" s="10"/>
      <c r="D187" s="10" t="s">
        <v>354</v>
      </c>
      <c r="E187" s="10" t="s">
        <v>29</v>
      </c>
      <c r="F187" s="17">
        <v>0.027042857142857143</v>
      </c>
      <c r="G187" s="17">
        <f t="shared" ref="G187:W187" si="62">IFERROR(G185/G182,0)</f>
        <v>0</v>
      </c>
      <c r="H187" s="17">
        <f t="shared" si="62"/>
        <v>0</v>
      </c>
      <c r="I187" s="17">
        <f t="shared" si="62"/>
        <v>0.01754385965</v>
      </c>
      <c r="J187" s="17">
        <f t="shared" si="62"/>
        <v>0.009615384615</v>
      </c>
      <c r="K187" s="17">
        <f t="shared" si="62"/>
        <v>0.007575757576</v>
      </c>
      <c r="L187" s="17">
        <f t="shared" si="62"/>
        <v>0</v>
      </c>
      <c r="M187" s="17">
        <f t="shared" si="62"/>
        <v>0.01</v>
      </c>
      <c r="N187" s="17">
        <f t="shared" si="62"/>
        <v>0.009900990099</v>
      </c>
      <c r="O187" s="17">
        <f t="shared" si="62"/>
        <v>0.007614213198</v>
      </c>
      <c r="P187" s="17">
        <f t="shared" si="62"/>
        <v>0.003623188406</v>
      </c>
      <c r="Q187" s="17">
        <f t="shared" si="62"/>
        <v>0.01531728665</v>
      </c>
      <c r="R187" s="17">
        <f t="shared" si="62"/>
        <v>0.02613240418</v>
      </c>
      <c r="S187" s="17">
        <f t="shared" si="62"/>
        <v>0.005882352941</v>
      </c>
      <c r="T187" s="17">
        <f t="shared" si="62"/>
        <v>0.01098901099</v>
      </c>
      <c r="U187" s="17">
        <f t="shared" si="62"/>
        <v>0.03571428571</v>
      </c>
      <c r="V187" s="17">
        <f t="shared" si="62"/>
        <v>0</v>
      </c>
      <c r="W187" s="17">
        <f t="shared" si="62"/>
        <v>0.006369426752</v>
      </c>
    </row>
    <row r="188" ht="15.75" customHeight="1">
      <c r="A188" s="10" t="s">
        <v>182</v>
      </c>
      <c r="B188" s="10" t="s">
        <v>182</v>
      </c>
      <c r="C188" s="10"/>
      <c r="D188" s="10" t="s">
        <v>367</v>
      </c>
      <c r="E188" s="10" t="s">
        <v>257</v>
      </c>
      <c r="F188" s="3">
        <f t="shared" ref="F188:F192" si="63">SUM(G188:S188)</f>
        <v>4682</v>
      </c>
      <c r="G188" s="3">
        <f>SUMIFS('Business - Dump'!$G:$G,'Business - Dump'!$D:$D,'SKU Repoprt'!$D188,'Business - Dump'!$A:$A,'SKU Repoprt'!G$1)</f>
        <v>0</v>
      </c>
      <c r="H188" s="3">
        <f>SUMIFS('Business - Dump'!$G:$G,'Business - Dump'!$D:$D,'SKU Repoprt'!$D188,'Business - Dump'!$A:$A,'SKU Repoprt'!H$1)</f>
        <v>0</v>
      </c>
      <c r="I188" s="3">
        <f>SUMIFS('Business - Dump'!$G:$G,'Business - Dump'!$D:$D,'SKU Repoprt'!$D188,'Business - Dump'!$A:$A,'SKU Repoprt'!I$1)</f>
        <v>0</v>
      </c>
      <c r="J188" s="3">
        <f>SUMIFS('Business - Dump'!$G:$G,'Business - Dump'!$D:$D,'SKU Repoprt'!$D188,'Business - Dump'!$A:$A,'SKU Repoprt'!J$1)</f>
        <v>0</v>
      </c>
      <c r="K188" s="3">
        <f>SUMIFS('Business - Dump'!$G:$G,'Business - Dump'!$D:$D,'SKU Repoprt'!$D188,'Business - Dump'!$A:$A,'SKU Repoprt'!K$1)</f>
        <v>121</v>
      </c>
      <c r="L188" s="3">
        <f>SUMIFS('Business - Dump'!$G:$G,'Business - Dump'!$D:$D,'SKU Repoprt'!$D188,'Business - Dump'!$A:$A,'SKU Repoprt'!L$1)</f>
        <v>129</v>
      </c>
      <c r="M188" s="3">
        <f>SUMIFS('Business - Dump'!$G:$G,'Business - Dump'!$D:$D,'SKU Repoprt'!$D188,'Business - Dump'!$A:$A,'SKU Repoprt'!M$1)</f>
        <v>434</v>
      </c>
      <c r="N188" s="3">
        <f>SUMIFS('Business - Dump'!$G:$G,'Business - Dump'!$D:$D,'SKU Repoprt'!$D188,'Business - Dump'!$A:$A,'SKU Repoprt'!N$1)</f>
        <v>663</v>
      </c>
      <c r="O188" s="3">
        <f>SUMIFS('Business - Dump'!$G:$G,'Business - Dump'!$D:$D,'SKU Repoprt'!$D188,'Business - Dump'!$A:$A,'SKU Repoprt'!O$1)</f>
        <v>764</v>
      </c>
      <c r="P188" s="3">
        <f>SUMIFS('Business - Dump'!$G:$G,'Business - Dump'!$D:$D,'SKU Repoprt'!$D188,'Business - Dump'!$A:$A,'SKU Repoprt'!P$1)</f>
        <v>933</v>
      </c>
      <c r="Q188" s="3">
        <f>SUMIFS('Business - Dump'!$G:$G,'Business - Dump'!$D:$D,'SKU Repoprt'!$D188,'Business - Dump'!$A:$A,'SKU Repoprt'!Q$1)</f>
        <v>808</v>
      </c>
      <c r="R188" s="3">
        <f>SUMIFS('Business - Dump'!$G:$G,'Business - Dump'!$D:$D,'SKU Repoprt'!$D188,'Business - Dump'!$A:$A,'SKU Repoprt'!R$1)</f>
        <v>465</v>
      </c>
      <c r="S188" s="3">
        <f>SUMIFS('Business - Dump'!$G:$G,'Business - Dump'!$D:$D,'SKU Repoprt'!$D188,'Business - Dump'!$A:$A,'SKU Repoprt'!S$1)</f>
        <v>365</v>
      </c>
      <c r="T188" s="3">
        <f>SUMIFS('Business - Dump'!$G:$G,'Business - Dump'!$D:$D,'SKU Repoprt'!$D188,'Business - Dump'!$A:$A,'SKU Repoprt'!T$1)</f>
        <v>190</v>
      </c>
      <c r="U188" s="3">
        <f>SUMIFS('Business - Dump'!$G:$G,'Business - Dump'!$D:$D,'SKU Repoprt'!$D188,'Business - Dump'!$A:$A,'SKU Repoprt'!U$1)</f>
        <v>85</v>
      </c>
      <c r="V188" s="3">
        <f>SUMIFS('Business - Dump'!$G:$G,'Business - Dump'!$D:$D,'SKU Repoprt'!$D188,'Business - Dump'!$A:$A,'SKU Repoprt'!V$1)</f>
        <v>47</v>
      </c>
      <c r="W188" s="3">
        <f>SUMIFS('Business - Dump'!$G:$G,'Business - Dump'!$D:$D,'SKU Repoprt'!$D188,'Business - Dump'!$A:$A,'SKU Repoprt'!W$1)</f>
        <v>58</v>
      </c>
    </row>
    <row r="189" ht="15.75" customHeight="1">
      <c r="A189" s="10" t="s">
        <v>182</v>
      </c>
      <c r="B189" s="10" t="s">
        <v>182</v>
      </c>
      <c r="C189" s="10"/>
      <c r="D189" s="10" t="s">
        <v>367</v>
      </c>
      <c r="E189" s="10" t="s">
        <v>260</v>
      </c>
      <c r="F189" s="3">
        <f t="shared" si="63"/>
        <v>6117</v>
      </c>
      <c r="G189" s="3">
        <f>SUMIFS('Business - Dump'!$K:$K,'Business - Dump'!$D:$D,'SKU Repoprt'!$D189,'Business - Dump'!$A:$A,'SKU Repoprt'!G$1)</f>
        <v>0</v>
      </c>
      <c r="H189" s="3">
        <f>SUMIFS('Business - Dump'!$K:$K,'Business - Dump'!$D:$D,'SKU Repoprt'!$D189,'Business - Dump'!$A:$A,'SKU Repoprt'!H$1)</f>
        <v>0</v>
      </c>
      <c r="I189" s="3">
        <f>SUMIFS('Business - Dump'!$K:$K,'Business - Dump'!$D:$D,'SKU Repoprt'!$D189,'Business - Dump'!$A:$A,'SKU Repoprt'!I$1)</f>
        <v>0</v>
      </c>
      <c r="J189" s="3">
        <f>SUMIFS('Business - Dump'!$K:$K,'Business - Dump'!$D:$D,'SKU Repoprt'!$D189,'Business - Dump'!$A:$A,'SKU Repoprt'!J$1)</f>
        <v>0</v>
      </c>
      <c r="K189" s="3">
        <f>SUMIFS('Business - Dump'!$K:$K,'Business - Dump'!$D:$D,'SKU Repoprt'!$D189,'Business - Dump'!$A:$A,'SKU Repoprt'!K$1)</f>
        <v>167</v>
      </c>
      <c r="L189" s="3">
        <f>SUMIFS('Business - Dump'!$K:$K,'Business - Dump'!$D:$D,'SKU Repoprt'!$D189,'Business - Dump'!$A:$A,'SKU Repoprt'!L$1)</f>
        <v>177</v>
      </c>
      <c r="M189" s="3">
        <f>SUMIFS('Business - Dump'!$K:$K,'Business - Dump'!$D:$D,'SKU Repoprt'!$D189,'Business - Dump'!$A:$A,'SKU Repoprt'!M$1)</f>
        <v>711</v>
      </c>
      <c r="N189" s="3">
        <f>SUMIFS('Business - Dump'!$K:$K,'Business - Dump'!$D:$D,'SKU Repoprt'!$D189,'Business - Dump'!$A:$A,'SKU Repoprt'!N$1)</f>
        <v>789</v>
      </c>
      <c r="O189" s="3">
        <f>SUMIFS('Business - Dump'!$K:$K,'Business - Dump'!$D:$D,'SKU Repoprt'!$D189,'Business - Dump'!$A:$A,'SKU Repoprt'!O$1)</f>
        <v>990</v>
      </c>
      <c r="P189" s="3">
        <f>SUMIFS('Business - Dump'!$K:$K,'Business - Dump'!$D:$D,'SKU Repoprt'!$D189,'Business - Dump'!$A:$A,'SKU Repoprt'!P$1)</f>
        <v>1087</v>
      </c>
      <c r="Q189" s="3">
        <f>SUMIFS('Business - Dump'!$K:$K,'Business - Dump'!$D:$D,'SKU Repoprt'!$D189,'Business - Dump'!$A:$A,'SKU Repoprt'!Q$1)</f>
        <v>999</v>
      </c>
      <c r="R189" s="3">
        <f>SUMIFS('Business - Dump'!$K:$K,'Business - Dump'!$D:$D,'SKU Repoprt'!$D189,'Business - Dump'!$A:$A,'SKU Repoprt'!R$1)</f>
        <v>641</v>
      </c>
      <c r="S189" s="3">
        <f>SUMIFS('Business - Dump'!$K:$K,'Business - Dump'!$D:$D,'SKU Repoprt'!$D189,'Business - Dump'!$A:$A,'SKU Repoprt'!S$1)</f>
        <v>556</v>
      </c>
      <c r="T189" s="3">
        <f>SUMIFS('Business - Dump'!$K:$K,'Business - Dump'!$D:$D,'SKU Repoprt'!$D189,'Business - Dump'!$A:$A,'SKU Repoprt'!T$1)</f>
        <v>235</v>
      </c>
      <c r="U189" s="3">
        <f>SUMIFS('Business - Dump'!$K:$K,'Business - Dump'!$D:$D,'SKU Repoprt'!$D189,'Business - Dump'!$A:$A,'SKU Repoprt'!U$1)</f>
        <v>118</v>
      </c>
      <c r="V189" s="3">
        <f>SUMIFS('Business - Dump'!$K:$K,'Business - Dump'!$D:$D,'SKU Repoprt'!$D189,'Business - Dump'!$A:$A,'SKU Repoprt'!V$1)</f>
        <v>64</v>
      </c>
      <c r="W189" s="3">
        <f>SUMIFS('Business - Dump'!$K:$K,'Business - Dump'!$D:$D,'SKU Repoprt'!$D189,'Business - Dump'!$A:$A,'SKU Repoprt'!W$1)</f>
        <v>72</v>
      </c>
    </row>
    <row r="190" ht="15.75" customHeight="1">
      <c r="A190" s="10" t="s">
        <v>182</v>
      </c>
      <c r="B190" s="10" t="s">
        <v>182</v>
      </c>
      <c r="C190" s="10"/>
      <c r="D190" s="10" t="s">
        <v>367</v>
      </c>
      <c r="E190" s="10" t="s">
        <v>264</v>
      </c>
      <c r="F190" s="3">
        <f t="shared" si="63"/>
        <v>9</v>
      </c>
      <c r="G190" s="3">
        <f>SUMIFS('Business - Dump'!$Q:$Q,'Business - Dump'!$D:$D,'SKU Repoprt'!$D190,'Business - Dump'!$A:$A,'SKU Repoprt'!G$1)</f>
        <v>0</v>
      </c>
      <c r="H190" s="3">
        <f>SUMIFS('Business - Dump'!$Q:$Q,'Business - Dump'!$D:$D,'SKU Repoprt'!$D190,'Business - Dump'!$A:$A,'SKU Repoprt'!H$1)</f>
        <v>0</v>
      </c>
      <c r="I190" s="3">
        <f>SUMIFS('Business - Dump'!$Q:$Q,'Business - Dump'!$D:$D,'SKU Repoprt'!$D190,'Business - Dump'!$A:$A,'SKU Repoprt'!I$1)</f>
        <v>0</v>
      </c>
      <c r="J190" s="3">
        <f>SUMIFS('Business - Dump'!$Q:$Q,'Business - Dump'!$D:$D,'SKU Repoprt'!$D190,'Business - Dump'!$A:$A,'SKU Repoprt'!J$1)</f>
        <v>0</v>
      </c>
      <c r="K190" s="3">
        <f>SUMIFS('Business - Dump'!$Q:$Q,'Business - Dump'!$D:$D,'SKU Repoprt'!$D190,'Business - Dump'!$A:$A,'SKU Repoprt'!K$1)</f>
        <v>1</v>
      </c>
      <c r="L190" s="3">
        <f>SUMIFS('Business - Dump'!$Q:$Q,'Business - Dump'!$D:$D,'SKU Repoprt'!$D190,'Business - Dump'!$A:$A,'SKU Repoprt'!L$1)</f>
        <v>2</v>
      </c>
      <c r="M190" s="3">
        <f>SUMIFS('Business - Dump'!$Q:$Q,'Business - Dump'!$D:$D,'SKU Repoprt'!$D190,'Business - Dump'!$A:$A,'SKU Repoprt'!M$1)</f>
        <v>2</v>
      </c>
      <c r="N190" s="3">
        <f>SUMIFS('Business - Dump'!$Q:$Q,'Business - Dump'!$D:$D,'SKU Repoprt'!$D190,'Business - Dump'!$A:$A,'SKU Repoprt'!N$1)</f>
        <v>0</v>
      </c>
      <c r="O190" s="3">
        <f>SUMIFS('Business - Dump'!$Q:$Q,'Business - Dump'!$D:$D,'SKU Repoprt'!$D190,'Business - Dump'!$A:$A,'SKU Repoprt'!O$1)</f>
        <v>1</v>
      </c>
      <c r="P190" s="3">
        <f>SUMIFS('Business - Dump'!$Q:$Q,'Business - Dump'!$D:$D,'SKU Repoprt'!$D190,'Business - Dump'!$A:$A,'SKU Repoprt'!P$1)</f>
        <v>0</v>
      </c>
      <c r="Q190" s="3">
        <f>SUMIFS('Business - Dump'!$Q:$Q,'Business - Dump'!$D:$D,'SKU Repoprt'!$D190,'Business - Dump'!$A:$A,'SKU Repoprt'!Q$1)</f>
        <v>1</v>
      </c>
      <c r="R190" s="3">
        <f>SUMIFS('Business - Dump'!$Q:$Q,'Business - Dump'!$D:$D,'SKU Repoprt'!$D190,'Business - Dump'!$A:$A,'SKU Repoprt'!R$1)</f>
        <v>1</v>
      </c>
      <c r="S190" s="3">
        <f>SUMIFS('Business - Dump'!$Q:$Q,'Business - Dump'!$D:$D,'SKU Repoprt'!$D190,'Business - Dump'!$A:$A,'SKU Repoprt'!S$1)</f>
        <v>1</v>
      </c>
      <c r="T190" s="3">
        <f>SUMIFS('Business - Dump'!$Q:$Q,'Business - Dump'!$D:$D,'SKU Repoprt'!$D190,'Business - Dump'!$A:$A,'SKU Repoprt'!T$1)</f>
        <v>1</v>
      </c>
      <c r="U190" s="3">
        <f>SUMIFS('Business - Dump'!$Q:$Q,'Business - Dump'!$D:$D,'SKU Repoprt'!$D190,'Business - Dump'!$A:$A,'SKU Repoprt'!U$1)</f>
        <v>1</v>
      </c>
      <c r="V190" s="3">
        <f>SUMIFS('Business - Dump'!$Q:$Q,'Business - Dump'!$D:$D,'SKU Repoprt'!$D190,'Business - Dump'!$A:$A,'SKU Repoprt'!V$1)</f>
        <v>0</v>
      </c>
      <c r="W190" s="3">
        <f>SUMIFS('Business - Dump'!$Q:$Q,'Business - Dump'!$D:$D,'SKU Repoprt'!$D190,'Business - Dump'!$A:$A,'SKU Repoprt'!W$1)</f>
        <v>0</v>
      </c>
    </row>
    <row r="191" ht="15.75" customHeight="1">
      <c r="A191" s="10" t="s">
        <v>182</v>
      </c>
      <c r="B191" s="10" t="s">
        <v>182</v>
      </c>
      <c r="C191" s="10"/>
      <c r="D191" s="10" t="s">
        <v>367</v>
      </c>
      <c r="E191" s="10" t="s">
        <v>268</v>
      </c>
      <c r="F191" s="3">
        <f t="shared" si="63"/>
        <v>9</v>
      </c>
      <c r="G191" s="3">
        <f>SUMIFS('Business - Dump'!$W:$W,'Business - Dump'!$D:$D,'SKU Repoprt'!$D191,'Business - Dump'!$A:$A,'SKU Repoprt'!G$1)</f>
        <v>0</v>
      </c>
      <c r="H191" s="3">
        <f>SUMIFS('Business - Dump'!$W:$W,'Business - Dump'!$D:$D,'SKU Repoprt'!$D191,'Business - Dump'!$A:$A,'SKU Repoprt'!H$1)</f>
        <v>0</v>
      </c>
      <c r="I191" s="3">
        <f>SUMIFS('Business - Dump'!$W:$W,'Business - Dump'!$D:$D,'SKU Repoprt'!$D191,'Business - Dump'!$A:$A,'SKU Repoprt'!I$1)</f>
        <v>0</v>
      </c>
      <c r="J191" s="3">
        <f>SUMIFS('Business - Dump'!$W:$W,'Business - Dump'!$D:$D,'SKU Repoprt'!$D191,'Business - Dump'!$A:$A,'SKU Repoprt'!J$1)</f>
        <v>0</v>
      </c>
      <c r="K191" s="3">
        <f>SUMIFS('Business - Dump'!$W:$W,'Business - Dump'!$D:$D,'SKU Repoprt'!$D191,'Business - Dump'!$A:$A,'SKU Repoprt'!K$1)</f>
        <v>1</v>
      </c>
      <c r="L191" s="3">
        <f>SUMIFS('Business - Dump'!$W:$W,'Business - Dump'!$D:$D,'SKU Repoprt'!$D191,'Business - Dump'!$A:$A,'SKU Repoprt'!L$1)</f>
        <v>2</v>
      </c>
      <c r="M191" s="3">
        <f>SUMIFS('Business - Dump'!$W:$W,'Business - Dump'!$D:$D,'SKU Repoprt'!$D191,'Business - Dump'!$A:$A,'SKU Repoprt'!M$1)</f>
        <v>2</v>
      </c>
      <c r="N191" s="3">
        <f>SUMIFS('Business - Dump'!$W:$W,'Business - Dump'!$D:$D,'SKU Repoprt'!$D191,'Business - Dump'!$A:$A,'SKU Repoprt'!N$1)</f>
        <v>0</v>
      </c>
      <c r="O191" s="3">
        <f>SUMIFS('Business - Dump'!$W:$W,'Business - Dump'!$D:$D,'SKU Repoprt'!$D191,'Business - Dump'!$A:$A,'SKU Repoprt'!O$1)</f>
        <v>1</v>
      </c>
      <c r="P191" s="3">
        <f>SUMIFS('Business - Dump'!$W:$W,'Business - Dump'!$D:$D,'SKU Repoprt'!$D191,'Business - Dump'!$A:$A,'SKU Repoprt'!P$1)</f>
        <v>0</v>
      </c>
      <c r="Q191" s="3">
        <f>SUMIFS('Business - Dump'!$W:$W,'Business - Dump'!$D:$D,'SKU Repoprt'!$D191,'Business - Dump'!$A:$A,'SKU Repoprt'!Q$1)</f>
        <v>1</v>
      </c>
      <c r="R191" s="3">
        <f>SUMIFS('Business - Dump'!$W:$W,'Business - Dump'!$D:$D,'SKU Repoprt'!$D191,'Business - Dump'!$A:$A,'SKU Repoprt'!R$1)</f>
        <v>1</v>
      </c>
      <c r="S191" s="3">
        <f>SUMIFS('Business - Dump'!$W:$W,'Business - Dump'!$D:$D,'SKU Repoprt'!$D191,'Business - Dump'!$A:$A,'SKU Repoprt'!S$1)</f>
        <v>1</v>
      </c>
      <c r="T191" s="3">
        <f>SUMIFS('Business - Dump'!$W:$W,'Business - Dump'!$D:$D,'SKU Repoprt'!$D191,'Business - Dump'!$A:$A,'SKU Repoprt'!T$1)</f>
        <v>1</v>
      </c>
      <c r="U191" s="3">
        <f>SUMIFS('Business - Dump'!$W:$W,'Business - Dump'!$D:$D,'SKU Repoprt'!$D191,'Business - Dump'!$A:$A,'SKU Repoprt'!U$1)</f>
        <v>1</v>
      </c>
      <c r="V191" s="3">
        <f>SUMIFS('Business - Dump'!$W:$W,'Business - Dump'!$D:$D,'SKU Repoprt'!$D191,'Business - Dump'!$A:$A,'SKU Repoprt'!V$1)</f>
        <v>0</v>
      </c>
      <c r="W191" s="3">
        <f>SUMIFS('Business - Dump'!$W:$W,'Business - Dump'!$D:$D,'SKU Repoprt'!$D191,'Business - Dump'!$A:$A,'SKU Repoprt'!W$1)</f>
        <v>0</v>
      </c>
    </row>
    <row r="192" ht="15.75" customHeight="1">
      <c r="A192" s="10" t="s">
        <v>182</v>
      </c>
      <c r="B192" s="10" t="s">
        <v>182</v>
      </c>
      <c r="C192" s="10"/>
      <c r="D192" s="10" t="s">
        <v>367</v>
      </c>
      <c r="E192" s="10" t="s">
        <v>26</v>
      </c>
      <c r="F192" s="16">
        <f t="shared" si="63"/>
        <v>298744.42</v>
      </c>
      <c r="G192" s="16">
        <f>SUMIFS('Business - Dump'!$U:$U,'Business - Dump'!$D:$D,'SKU Repoprt'!$D192,'Business - Dump'!$A:$A,'SKU Repoprt'!G$1)</f>
        <v>0</v>
      </c>
      <c r="H192" s="16">
        <f>SUMIFS('Business - Dump'!$U:$U,'Business - Dump'!$D:$D,'SKU Repoprt'!$D192,'Business - Dump'!$A:$A,'SKU Repoprt'!H$1)</f>
        <v>0</v>
      </c>
      <c r="I192" s="16">
        <f>SUMIFS('Business - Dump'!$U:$U,'Business - Dump'!$D:$D,'SKU Repoprt'!$D192,'Business - Dump'!$A:$A,'SKU Repoprt'!I$1)</f>
        <v>0</v>
      </c>
      <c r="J192" s="16">
        <f>SUMIFS('Business - Dump'!$U:$U,'Business - Dump'!$D:$D,'SKU Repoprt'!$D192,'Business - Dump'!$A:$A,'SKU Repoprt'!J$1)</f>
        <v>0</v>
      </c>
      <c r="K192" s="16">
        <f>SUMIFS('Business - Dump'!$U:$U,'Business - Dump'!$D:$D,'SKU Repoprt'!$D192,'Business - Dump'!$A:$A,'SKU Repoprt'!K$1)</f>
        <v>33238.98</v>
      </c>
      <c r="L192" s="16">
        <f>SUMIFS('Business - Dump'!$U:$U,'Business - Dump'!$D:$D,'SKU Repoprt'!$D192,'Business - Dump'!$A:$A,'SKU Repoprt'!L$1)</f>
        <v>66600</v>
      </c>
      <c r="M192" s="16">
        <f>SUMIFS('Business - Dump'!$U:$U,'Business - Dump'!$D:$D,'SKU Repoprt'!$D192,'Business - Dump'!$A:$A,'SKU Repoprt'!M$1)</f>
        <v>67281.36</v>
      </c>
      <c r="N192" s="16">
        <f>SUMIFS('Business - Dump'!$U:$U,'Business - Dump'!$D:$D,'SKU Repoprt'!$D192,'Business - Dump'!$A:$A,'SKU Repoprt'!N$1)</f>
        <v>0</v>
      </c>
      <c r="O192" s="16">
        <f>SUMIFS('Business - Dump'!$U:$U,'Business - Dump'!$D:$D,'SKU Repoprt'!$D192,'Business - Dump'!$A:$A,'SKU Repoprt'!O$1)</f>
        <v>32400</v>
      </c>
      <c r="P192" s="16">
        <f>SUMIFS('Business - Dump'!$U:$U,'Business - Dump'!$D:$D,'SKU Repoprt'!$D192,'Business - Dump'!$A:$A,'SKU Repoprt'!P$1)</f>
        <v>0</v>
      </c>
      <c r="Q192" s="16">
        <f>SUMIFS('Business - Dump'!$U:$U,'Business - Dump'!$D:$D,'SKU Repoprt'!$D192,'Business - Dump'!$A:$A,'SKU Repoprt'!Q$1)</f>
        <v>31335.08</v>
      </c>
      <c r="R192" s="16">
        <f>SUMIFS('Business - Dump'!$U:$U,'Business - Dump'!$D:$D,'SKU Repoprt'!$D192,'Business - Dump'!$A:$A,'SKU Repoprt'!R$1)</f>
        <v>31390</v>
      </c>
      <c r="S192" s="16">
        <f>SUMIFS('Business - Dump'!$U:$U,'Business - Dump'!$D:$D,'SKU Repoprt'!$D192,'Business - Dump'!$A:$A,'SKU Repoprt'!S$1)</f>
        <v>36499</v>
      </c>
      <c r="T192" s="16">
        <f>SUMIFS('Business - Dump'!$U:$U,'Business - Dump'!$D:$D,'SKU Repoprt'!$D192,'Business - Dump'!$A:$A,'SKU Repoprt'!T$1)</f>
        <v>36499</v>
      </c>
      <c r="U192" s="16">
        <f>SUMIFS('Business - Dump'!$U:$U,'Business - Dump'!$D:$D,'SKU Repoprt'!$D192,'Business - Dump'!$A:$A,'SKU Repoprt'!U$1)</f>
        <v>34616.03</v>
      </c>
      <c r="V192" s="16">
        <f>SUMIFS('Business - Dump'!$U:$U,'Business - Dump'!$D:$D,'SKU Repoprt'!$D192,'Business - Dump'!$A:$A,'SKU Repoprt'!V$1)</f>
        <v>0</v>
      </c>
      <c r="W192" s="16">
        <f>SUMIFS('Business - Dump'!$U:$U,'Business - Dump'!$D:$D,'SKU Repoprt'!$D192,'Business - Dump'!$A:$A,'SKU Repoprt'!W$1)</f>
        <v>0</v>
      </c>
    </row>
    <row r="193" ht="15.75" customHeight="1">
      <c r="A193" s="10" t="s">
        <v>182</v>
      </c>
      <c r="B193" s="10" t="s">
        <v>182</v>
      </c>
      <c r="C193" s="10"/>
      <c r="D193" s="10" t="s">
        <v>367</v>
      </c>
      <c r="E193" s="10" t="s">
        <v>29</v>
      </c>
      <c r="F193" s="17">
        <v>0.027042857142857143</v>
      </c>
      <c r="G193" s="17">
        <f t="shared" ref="G193:W193" si="64">IFERROR(G191/G188,0)</f>
        <v>0</v>
      </c>
      <c r="H193" s="17">
        <f t="shared" si="64"/>
        <v>0</v>
      </c>
      <c r="I193" s="17">
        <f t="shared" si="64"/>
        <v>0</v>
      </c>
      <c r="J193" s="17">
        <f t="shared" si="64"/>
        <v>0</v>
      </c>
      <c r="K193" s="17">
        <f t="shared" si="64"/>
        <v>0.00826446281</v>
      </c>
      <c r="L193" s="17">
        <f t="shared" si="64"/>
        <v>0.01550387597</v>
      </c>
      <c r="M193" s="17">
        <f t="shared" si="64"/>
        <v>0.004608294931</v>
      </c>
      <c r="N193" s="17">
        <f t="shared" si="64"/>
        <v>0</v>
      </c>
      <c r="O193" s="17">
        <f t="shared" si="64"/>
        <v>0.001308900524</v>
      </c>
      <c r="P193" s="17">
        <f t="shared" si="64"/>
        <v>0</v>
      </c>
      <c r="Q193" s="17">
        <f t="shared" si="64"/>
        <v>0.001237623762</v>
      </c>
      <c r="R193" s="17">
        <f t="shared" si="64"/>
        <v>0.002150537634</v>
      </c>
      <c r="S193" s="17">
        <f t="shared" si="64"/>
        <v>0.002739726027</v>
      </c>
      <c r="T193" s="17">
        <f t="shared" si="64"/>
        <v>0.005263157895</v>
      </c>
      <c r="U193" s="17">
        <f t="shared" si="64"/>
        <v>0.01176470588</v>
      </c>
      <c r="V193" s="17">
        <f t="shared" si="64"/>
        <v>0</v>
      </c>
      <c r="W193" s="17">
        <f t="shared" si="64"/>
        <v>0</v>
      </c>
    </row>
    <row r="194" ht="15.75" customHeight="1">
      <c r="A194" s="10" t="s">
        <v>182</v>
      </c>
      <c r="B194" s="10" t="s">
        <v>182</v>
      </c>
      <c r="C194" s="10"/>
      <c r="D194" s="10" t="s">
        <v>369</v>
      </c>
      <c r="E194" s="10" t="s">
        <v>257</v>
      </c>
      <c r="F194" s="3">
        <f t="shared" ref="F194:F198" si="65">SUM(G194:S194)</f>
        <v>380</v>
      </c>
      <c r="G194" s="3">
        <f>SUMIFS('Business - Dump'!$G:$G,'Business - Dump'!$D:$D,'SKU Repoprt'!$D194,'Business - Dump'!$A:$A,'SKU Repoprt'!G$1)</f>
        <v>0</v>
      </c>
      <c r="H194" s="3">
        <f>SUMIFS('Business - Dump'!$G:$G,'Business - Dump'!$D:$D,'SKU Repoprt'!$D194,'Business - Dump'!$A:$A,'SKU Repoprt'!H$1)</f>
        <v>0</v>
      </c>
      <c r="I194" s="3">
        <f>SUMIFS('Business - Dump'!$G:$G,'Business - Dump'!$D:$D,'SKU Repoprt'!$D194,'Business - Dump'!$A:$A,'SKU Repoprt'!I$1)</f>
        <v>0</v>
      </c>
      <c r="J194" s="3">
        <f>SUMIFS('Business - Dump'!$G:$G,'Business - Dump'!$D:$D,'SKU Repoprt'!$D194,'Business - Dump'!$A:$A,'SKU Repoprt'!J$1)</f>
        <v>133</v>
      </c>
      <c r="K194" s="3">
        <f>SUMIFS('Business - Dump'!$G:$G,'Business - Dump'!$D:$D,'SKU Repoprt'!$D194,'Business - Dump'!$A:$A,'SKU Repoprt'!K$1)</f>
        <v>147</v>
      </c>
      <c r="L194" s="3">
        <f>SUMIFS('Business - Dump'!$G:$G,'Business - Dump'!$D:$D,'SKU Repoprt'!$D194,'Business - Dump'!$A:$A,'SKU Repoprt'!L$1)</f>
        <v>100</v>
      </c>
      <c r="M194" s="3">
        <f>SUMIFS('Business - Dump'!$G:$G,'Business - Dump'!$D:$D,'SKU Repoprt'!$D194,'Business - Dump'!$A:$A,'SKU Repoprt'!M$1)</f>
        <v>0</v>
      </c>
      <c r="N194" s="3">
        <f>SUMIFS('Business - Dump'!$G:$G,'Business - Dump'!$D:$D,'SKU Repoprt'!$D194,'Business - Dump'!$A:$A,'SKU Repoprt'!N$1)</f>
        <v>0</v>
      </c>
      <c r="O194" s="3">
        <f>SUMIFS('Business - Dump'!$G:$G,'Business - Dump'!$D:$D,'SKU Repoprt'!$D194,'Business - Dump'!$A:$A,'SKU Repoprt'!O$1)</f>
        <v>0</v>
      </c>
      <c r="P194" s="3">
        <f>SUMIFS('Business - Dump'!$G:$G,'Business - Dump'!$D:$D,'SKU Repoprt'!$D194,'Business - Dump'!$A:$A,'SKU Repoprt'!P$1)</f>
        <v>0</v>
      </c>
      <c r="Q194" s="3">
        <f>SUMIFS('Business - Dump'!$G:$G,'Business - Dump'!$D:$D,'SKU Repoprt'!$D194,'Business - Dump'!$A:$A,'SKU Repoprt'!Q$1)</f>
        <v>0</v>
      </c>
      <c r="R194" s="3">
        <f>SUMIFS('Business - Dump'!$G:$G,'Business - Dump'!$D:$D,'SKU Repoprt'!$D194,'Business - Dump'!$A:$A,'SKU Repoprt'!R$1)</f>
        <v>0</v>
      </c>
      <c r="S194" s="3">
        <f>SUMIFS('Business - Dump'!$G:$G,'Business - Dump'!$D:$D,'SKU Repoprt'!$D194,'Business - Dump'!$A:$A,'SKU Repoprt'!S$1)</f>
        <v>0</v>
      </c>
      <c r="T194" s="3">
        <f>SUMIFS('Business - Dump'!$G:$G,'Business - Dump'!$D:$D,'SKU Repoprt'!$D194,'Business - Dump'!$A:$A,'SKU Repoprt'!T$1)</f>
        <v>0</v>
      </c>
      <c r="U194" s="3">
        <f>SUMIFS('Business - Dump'!$G:$G,'Business - Dump'!$D:$D,'SKU Repoprt'!$D194,'Business - Dump'!$A:$A,'SKU Repoprt'!U$1)</f>
        <v>0</v>
      </c>
      <c r="V194" s="3">
        <f>SUMIFS('Business - Dump'!$G:$G,'Business - Dump'!$D:$D,'SKU Repoprt'!$D194,'Business - Dump'!$A:$A,'SKU Repoprt'!V$1)</f>
        <v>0</v>
      </c>
      <c r="W194" s="3">
        <f>SUMIFS('Business - Dump'!$G:$G,'Business - Dump'!$D:$D,'SKU Repoprt'!$D194,'Business - Dump'!$A:$A,'SKU Repoprt'!W$1)</f>
        <v>0</v>
      </c>
    </row>
    <row r="195" ht="15.75" customHeight="1">
      <c r="A195" s="10" t="s">
        <v>182</v>
      </c>
      <c r="B195" s="10" t="s">
        <v>182</v>
      </c>
      <c r="C195" s="10"/>
      <c r="D195" s="10" t="s">
        <v>369</v>
      </c>
      <c r="E195" s="10" t="s">
        <v>260</v>
      </c>
      <c r="F195" s="3">
        <f t="shared" si="65"/>
        <v>467</v>
      </c>
      <c r="G195" s="3">
        <f>SUMIFS('Business - Dump'!$K:$K,'Business - Dump'!$D:$D,'SKU Repoprt'!$D195,'Business - Dump'!$A:$A,'SKU Repoprt'!G$1)</f>
        <v>0</v>
      </c>
      <c r="H195" s="3">
        <f>SUMIFS('Business - Dump'!$K:$K,'Business - Dump'!$D:$D,'SKU Repoprt'!$D195,'Business - Dump'!$A:$A,'SKU Repoprt'!H$1)</f>
        <v>0</v>
      </c>
      <c r="I195" s="3">
        <f>SUMIFS('Business - Dump'!$K:$K,'Business - Dump'!$D:$D,'SKU Repoprt'!$D195,'Business - Dump'!$A:$A,'SKU Repoprt'!I$1)</f>
        <v>0</v>
      </c>
      <c r="J195" s="3">
        <f>SUMIFS('Business - Dump'!$K:$K,'Business - Dump'!$D:$D,'SKU Repoprt'!$D195,'Business - Dump'!$A:$A,'SKU Repoprt'!J$1)</f>
        <v>164</v>
      </c>
      <c r="K195" s="3">
        <f>SUMIFS('Business - Dump'!$K:$K,'Business - Dump'!$D:$D,'SKU Repoprt'!$D195,'Business - Dump'!$A:$A,'SKU Repoprt'!K$1)</f>
        <v>189</v>
      </c>
      <c r="L195" s="3">
        <f>SUMIFS('Business - Dump'!$K:$K,'Business - Dump'!$D:$D,'SKU Repoprt'!$D195,'Business - Dump'!$A:$A,'SKU Repoprt'!L$1)</f>
        <v>114</v>
      </c>
      <c r="M195" s="3">
        <f>SUMIFS('Business - Dump'!$K:$K,'Business - Dump'!$D:$D,'SKU Repoprt'!$D195,'Business - Dump'!$A:$A,'SKU Repoprt'!M$1)</f>
        <v>0</v>
      </c>
      <c r="N195" s="3">
        <f>SUMIFS('Business - Dump'!$K:$K,'Business - Dump'!$D:$D,'SKU Repoprt'!$D195,'Business - Dump'!$A:$A,'SKU Repoprt'!N$1)</f>
        <v>0</v>
      </c>
      <c r="O195" s="3">
        <f>SUMIFS('Business - Dump'!$K:$K,'Business - Dump'!$D:$D,'SKU Repoprt'!$D195,'Business - Dump'!$A:$A,'SKU Repoprt'!O$1)</f>
        <v>0</v>
      </c>
      <c r="P195" s="3">
        <f>SUMIFS('Business - Dump'!$K:$K,'Business - Dump'!$D:$D,'SKU Repoprt'!$D195,'Business - Dump'!$A:$A,'SKU Repoprt'!P$1)</f>
        <v>0</v>
      </c>
      <c r="Q195" s="3">
        <f>SUMIFS('Business - Dump'!$K:$K,'Business - Dump'!$D:$D,'SKU Repoprt'!$D195,'Business - Dump'!$A:$A,'SKU Repoprt'!Q$1)</f>
        <v>0</v>
      </c>
      <c r="R195" s="3">
        <f>SUMIFS('Business - Dump'!$K:$K,'Business - Dump'!$D:$D,'SKU Repoprt'!$D195,'Business - Dump'!$A:$A,'SKU Repoprt'!R$1)</f>
        <v>0</v>
      </c>
      <c r="S195" s="3">
        <f>SUMIFS('Business - Dump'!$K:$K,'Business - Dump'!$D:$D,'SKU Repoprt'!$D195,'Business - Dump'!$A:$A,'SKU Repoprt'!S$1)</f>
        <v>0</v>
      </c>
      <c r="T195" s="3">
        <f>SUMIFS('Business - Dump'!$K:$K,'Business - Dump'!$D:$D,'SKU Repoprt'!$D195,'Business - Dump'!$A:$A,'SKU Repoprt'!T$1)</f>
        <v>0</v>
      </c>
      <c r="U195" s="3">
        <f>SUMIFS('Business - Dump'!$K:$K,'Business - Dump'!$D:$D,'SKU Repoprt'!$D195,'Business - Dump'!$A:$A,'SKU Repoprt'!U$1)</f>
        <v>0</v>
      </c>
      <c r="V195" s="3">
        <f>SUMIFS('Business - Dump'!$K:$K,'Business - Dump'!$D:$D,'SKU Repoprt'!$D195,'Business - Dump'!$A:$A,'SKU Repoprt'!V$1)</f>
        <v>0</v>
      </c>
      <c r="W195" s="3">
        <f>SUMIFS('Business - Dump'!$K:$K,'Business - Dump'!$D:$D,'SKU Repoprt'!$D195,'Business - Dump'!$A:$A,'SKU Repoprt'!W$1)</f>
        <v>0</v>
      </c>
    </row>
    <row r="196" ht="15.75" customHeight="1">
      <c r="A196" s="10" t="s">
        <v>182</v>
      </c>
      <c r="B196" s="10" t="s">
        <v>182</v>
      </c>
      <c r="C196" s="10"/>
      <c r="D196" s="10" t="s">
        <v>369</v>
      </c>
      <c r="E196" s="10" t="s">
        <v>264</v>
      </c>
      <c r="F196" s="3">
        <f t="shared" si="65"/>
        <v>3</v>
      </c>
      <c r="G196" s="3">
        <f>SUMIFS('Business - Dump'!$Q:$Q,'Business - Dump'!$D:$D,'SKU Repoprt'!$D196,'Business - Dump'!$A:$A,'SKU Repoprt'!G$1)</f>
        <v>0</v>
      </c>
      <c r="H196" s="3">
        <f>SUMIFS('Business - Dump'!$Q:$Q,'Business - Dump'!$D:$D,'SKU Repoprt'!$D196,'Business - Dump'!$A:$A,'SKU Repoprt'!H$1)</f>
        <v>0</v>
      </c>
      <c r="I196" s="3">
        <f>SUMIFS('Business - Dump'!$Q:$Q,'Business - Dump'!$D:$D,'SKU Repoprt'!$D196,'Business - Dump'!$A:$A,'SKU Repoprt'!I$1)</f>
        <v>0</v>
      </c>
      <c r="J196" s="3">
        <f>SUMIFS('Business - Dump'!$Q:$Q,'Business - Dump'!$D:$D,'SKU Repoprt'!$D196,'Business - Dump'!$A:$A,'SKU Repoprt'!J$1)</f>
        <v>1</v>
      </c>
      <c r="K196" s="3">
        <f>SUMIFS('Business - Dump'!$Q:$Q,'Business - Dump'!$D:$D,'SKU Repoprt'!$D196,'Business - Dump'!$A:$A,'SKU Repoprt'!K$1)</f>
        <v>1</v>
      </c>
      <c r="L196" s="3">
        <f>SUMIFS('Business - Dump'!$Q:$Q,'Business - Dump'!$D:$D,'SKU Repoprt'!$D196,'Business - Dump'!$A:$A,'SKU Repoprt'!L$1)</f>
        <v>1</v>
      </c>
      <c r="M196" s="3">
        <f>SUMIFS('Business - Dump'!$Q:$Q,'Business - Dump'!$D:$D,'SKU Repoprt'!$D196,'Business - Dump'!$A:$A,'SKU Repoprt'!M$1)</f>
        <v>0</v>
      </c>
      <c r="N196" s="3">
        <f>SUMIFS('Business - Dump'!$Q:$Q,'Business - Dump'!$D:$D,'SKU Repoprt'!$D196,'Business - Dump'!$A:$A,'SKU Repoprt'!N$1)</f>
        <v>0</v>
      </c>
      <c r="O196" s="3">
        <f>SUMIFS('Business - Dump'!$Q:$Q,'Business - Dump'!$D:$D,'SKU Repoprt'!$D196,'Business - Dump'!$A:$A,'SKU Repoprt'!O$1)</f>
        <v>0</v>
      </c>
      <c r="P196" s="3">
        <f>SUMIFS('Business - Dump'!$Q:$Q,'Business - Dump'!$D:$D,'SKU Repoprt'!$D196,'Business - Dump'!$A:$A,'SKU Repoprt'!P$1)</f>
        <v>0</v>
      </c>
      <c r="Q196" s="3">
        <f>SUMIFS('Business - Dump'!$Q:$Q,'Business - Dump'!$D:$D,'SKU Repoprt'!$D196,'Business - Dump'!$A:$A,'SKU Repoprt'!Q$1)</f>
        <v>0</v>
      </c>
      <c r="R196" s="3">
        <f>SUMIFS('Business - Dump'!$Q:$Q,'Business - Dump'!$D:$D,'SKU Repoprt'!$D196,'Business - Dump'!$A:$A,'SKU Repoprt'!R$1)</f>
        <v>0</v>
      </c>
      <c r="S196" s="3">
        <f>SUMIFS('Business - Dump'!$Q:$Q,'Business - Dump'!$D:$D,'SKU Repoprt'!$D196,'Business - Dump'!$A:$A,'SKU Repoprt'!S$1)</f>
        <v>0</v>
      </c>
      <c r="T196" s="3">
        <f>SUMIFS('Business - Dump'!$Q:$Q,'Business - Dump'!$D:$D,'SKU Repoprt'!$D196,'Business - Dump'!$A:$A,'SKU Repoprt'!T$1)</f>
        <v>0</v>
      </c>
      <c r="U196" s="3">
        <f>SUMIFS('Business - Dump'!$Q:$Q,'Business - Dump'!$D:$D,'SKU Repoprt'!$D196,'Business - Dump'!$A:$A,'SKU Repoprt'!U$1)</f>
        <v>0</v>
      </c>
      <c r="V196" s="3">
        <f>SUMIFS('Business - Dump'!$Q:$Q,'Business - Dump'!$D:$D,'SKU Repoprt'!$D196,'Business - Dump'!$A:$A,'SKU Repoprt'!V$1)</f>
        <v>0</v>
      </c>
      <c r="W196" s="3">
        <f>SUMIFS('Business - Dump'!$Q:$Q,'Business - Dump'!$D:$D,'SKU Repoprt'!$D196,'Business - Dump'!$A:$A,'SKU Repoprt'!W$1)</f>
        <v>0</v>
      </c>
    </row>
    <row r="197" ht="15.75" customHeight="1">
      <c r="A197" s="10" t="s">
        <v>182</v>
      </c>
      <c r="B197" s="10" t="s">
        <v>182</v>
      </c>
      <c r="C197" s="10"/>
      <c r="D197" s="10" t="s">
        <v>369</v>
      </c>
      <c r="E197" s="10" t="s">
        <v>268</v>
      </c>
      <c r="F197" s="3">
        <f t="shared" si="65"/>
        <v>3</v>
      </c>
      <c r="G197" s="3">
        <f>SUMIFS('Business - Dump'!$W:$W,'Business - Dump'!$D:$D,'SKU Repoprt'!$D197,'Business - Dump'!$A:$A,'SKU Repoprt'!G$1)</f>
        <v>0</v>
      </c>
      <c r="H197" s="3">
        <f>SUMIFS('Business - Dump'!$W:$W,'Business - Dump'!$D:$D,'SKU Repoprt'!$D197,'Business - Dump'!$A:$A,'SKU Repoprt'!H$1)</f>
        <v>0</v>
      </c>
      <c r="I197" s="3">
        <f>SUMIFS('Business - Dump'!$W:$W,'Business - Dump'!$D:$D,'SKU Repoprt'!$D197,'Business - Dump'!$A:$A,'SKU Repoprt'!I$1)</f>
        <v>0</v>
      </c>
      <c r="J197" s="3">
        <f>SUMIFS('Business - Dump'!$W:$W,'Business - Dump'!$D:$D,'SKU Repoprt'!$D197,'Business - Dump'!$A:$A,'SKU Repoprt'!J$1)</f>
        <v>1</v>
      </c>
      <c r="K197" s="3">
        <f>SUMIFS('Business - Dump'!$W:$W,'Business - Dump'!$D:$D,'SKU Repoprt'!$D197,'Business - Dump'!$A:$A,'SKU Repoprt'!K$1)</f>
        <v>1</v>
      </c>
      <c r="L197" s="3">
        <f>SUMIFS('Business - Dump'!$W:$W,'Business - Dump'!$D:$D,'SKU Repoprt'!$D197,'Business - Dump'!$A:$A,'SKU Repoprt'!L$1)</f>
        <v>1</v>
      </c>
      <c r="M197" s="3">
        <f>SUMIFS('Business - Dump'!$W:$W,'Business - Dump'!$D:$D,'SKU Repoprt'!$D197,'Business - Dump'!$A:$A,'SKU Repoprt'!M$1)</f>
        <v>0</v>
      </c>
      <c r="N197" s="3">
        <f>SUMIFS('Business - Dump'!$W:$W,'Business - Dump'!$D:$D,'SKU Repoprt'!$D197,'Business - Dump'!$A:$A,'SKU Repoprt'!N$1)</f>
        <v>0</v>
      </c>
      <c r="O197" s="3">
        <f>SUMIFS('Business - Dump'!$W:$W,'Business - Dump'!$D:$D,'SKU Repoprt'!$D197,'Business - Dump'!$A:$A,'SKU Repoprt'!O$1)</f>
        <v>0</v>
      </c>
      <c r="P197" s="3">
        <f>SUMIFS('Business - Dump'!$W:$W,'Business - Dump'!$D:$D,'SKU Repoprt'!$D197,'Business - Dump'!$A:$A,'SKU Repoprt'!P$1)</f>
        <v>0</v>
      </c>
      <c r="Q197" s="3">
        <f>SUMIFS('Business - Dump'!$W:$W,'Business - Dump'!$D:$D,'SKU Repoprt'!$D197,'Business - Dump'!$A:$A,'SKU Repoprt'!Q$1)</f>
        <v>0</v>
      </c>
      <c r="R197" s="3">
        <f>SUMIFS('Business - Dump'!$W:$W,'Business - Dump'!$D:$D,'SKU Repoprt'!$D197,'Business - Dump'!$A:$A,'SKU Repoprt'!R$1)</f>
        <v>0</v>
      </c>
      <c r="S197" s="3">
        <f>SUMIFS('Business - Dump'!$W:$W,'Business - Dump'!$D:$D,'SKU Repoprt'!$D197,'Business - Dump'!$A:$A,'SKU Repoprt'!S$1)</f>
        <v>0</v>
      </c>
      <c r="T197" s="3">
        <f>SUMIFS('Business - Dump'!$W:$W,'Business - Dump'!$D:$D,'SKU Repoprt'!$D197,'Business - Dump'!$A:$A,'SKU Repoprt'!T$1)</f>
        <v>0</v>
      </c>
      <c r="U197" s="3">
        <f>SUMIFS('Business - Dump'!$W:$W,'Business - Dump'!$D:$D,'SKU Repoprt'!$D197,'Business - Dump'!$A:$A,'SKU Repoprt'!U$1)</f>
        <v>0</v>
      </c>
      <c r="V197" s="3">
        <f>SUMIFS('Business - Dump'!$W:$W,'Business - Dump'!$D:$D,'SKU Repoprt'!$D197,'Business - Dump'!$A:$A,'SKU Repoprt'!V$1)</f>
        <v>0</v>
      </c>
      <c r="W197" s="3">
        <f>SUMIFS('Business - Dump'!$W:$W,'Business - Dump'!$D:$D,'SKU Repoprt'!$D197,'Business - Dump'!$A:$A,'SKU Repoprt'!W$1)</f>
        <v>0</v>
      </c>
    </row>
    <row r="198" ht="15.75" customHeight="1">
      <c r="A198" s="10" t="s">
        <v>182</v>
      </c>
      <c r="B198" s="10" t="s">
        <v>182</v>
      </c>
      <c r="C198" s="10"/>
      <c r="D198" s="10" t="s">
        <v>369</v>
      </c>
      <c r="E198" s="10" t="s">
        <v>26</v>
      </c>
      <c r="F198" s="16">
        <f t="shared" si="65"/>
        <v>120000</v>
      </c>
      <c r="G198" s="16">
        <f>SUMIFS('Business - Dump'!$U:$U,'Business - Dump'!$D:$D,'SKU Repoprt'!$D198,'Business - Dump'!$A:$A,'SKU Repoprt'!G$1)</f>
        <v>0</v>
      </c>
      <c r="H198" s="16">
        <f>SUMIFS('Business - Dump'!$U:$U,'Business - Dump'!$D:$D,'SKU Repoprt'!$D198,'Business - Dump'!$A:$A,'SKU Repoprt'!H$1)</f>
        <v>0</v>
      </c>
      <c r="I198" s="16">
        <f>SUMIFS('Business - Dump'!$U:$U,'Business - Dump'!$D:$D,'SKU Repoprt'!$D198,'Business - Dump'!$A:$A,'SKU Repoprt'!I$1)</f>
        <v>0</v>
      </c>
      <c r="J198" s="16">
        <f>SUMIFS('Business - Dump'!$U:$U,'Business - Dump'!$D:$D,'SKU Repoprt'!$D198,'Business - Dump'!$A:$A,'SKU Repoprt'!J$1)</f>
        <v>40000</v>
      </c>
      <c r="K198" s="16">
        <f>SUMIFS('Business - Dump'!$U:$U,'Business - Dump'!$D:$D,'SKU Repoprt'!$D198,'Business - Dump'!$A:$A,'SKU Repoprt'!K$1)</f>
        <v>40000</v>
      </c>
      <c r="L198" s="16">
        <f>SUMIFS('Business - Dump'!$U:$U,'Business - Dump'!$D:$D,'SKU Repoprt'!$D198,'Business - Dump'!$A:$A,'SKU Repoprt'!L$1)</f>
        <v>40000</v>
      </c>
      <c r="M198" s="16">
        <f>SUMIFS('Business - Dump'!$U:$U,'Business - Dump'!$D:$D,'SKU Repoprt'!$D198,'Business - Dump'!$A:$A,'SKU Repoprt'!M$1)</f>
        <v>0</v>
      </c>
      <c r="N198" s="16">
        <f>SUMIFS('Business - Dump'!$U:$U,'Business - Dump'!$D:$D,'SKU Repoprt'!$D198,'Business - Dump'!$A:$A,'SKU Repoprt'!N$1)</f>
        <v>0</v>
      </c>
      <c r="O198" s="16">
        <f>SUMIFS('Business - Dump'!$U:$U,'Business - Dump'!$D:$D,'SKU Repoprt'!$D198,'Business - Dump'!$A:$A,'SKU Repoprt'!O$1)</f>
        <v>0</v>
      </c>
      <c r="P198" s="16">
        <f>SUMIFS('Business - Dump'!$U:$U,'Business - Dump'!$D:$D,'SKU Repoprt'!$D198,'Business - Dump'!$A:$A,'SKU Repoprt'!P$1)</f>
        <v>0</v>
      </c>
      <c r="Q198" s="16">
        <f>SUMIFS('Business - Dump'!$U:$U,'Business - Dump'!$D:$D,'SKU Repoprt'!$D198,'Business - Dump'!$A:$A,'SKU Repoprt'!Q$1)</f>
        <v>0</v>
      </c>
      <c r="R198" s="16">
        <f>SUMIFS('Business - Dump'!$U:$U,'Business - Dump'!$D:$D,'SKU Repoprt'!$D198,'Business - Dump'!$A:$A,'SKU Repoprt'!R$1)</f>
        <v>0</v>
      </c>
      <c r="S198" s="16">
        <f>SUMIFS('Business - Dump'!$U:$U,'Business - Dump'!$D:$D,'SKU Repoprt'!$D198,'Business - Dump'!$A:$A,'SKU Repoprt'!S$1)</f>
        <v>0</v>
      </c>
      <c r="T198" s="16">
        <f>SUMIFS('Business - Dump'!$U:$U,'Business - Dump'!$D:$D,'SKU Repoprt'!$D198,'Business - Dump'!$A:$A,'SKU Repoprt'!T$1)</f>
        <v>0</v>
      </c>
      <c r="U198" s="16">
        <f>SUMIFS('Business - Dump'!$U:$U,'Business - Dump'!$D:$D,'SKU Repoprt'!$D198,'Business - Dump'!$A:$A,'SKU Repoprt'!U$1)</f>
        <v>0</v>
      </c>
      <c r="V198" s="16">
        <f>SUMIFS('Business - Dump'!$U:$U,'Business - Dump'!$D:$D,'SKU Repoprt'!$D198,'Business - Dump'!$A:$A,'SKU Repoprt'!V$1)</f>
        <v>0</v>
      </c>
      <c r="W198" s="16">
        <f>SUMIFS('Business - Dump'!$U:$U,'Business - Dump'!$D:$D,'SKU Repoprt'!$D198,'Business - Dump'!$A:$A,'SKU Repoprt'!W$1)</f>
        <v>0</v>
      </c>
    </row>
    <row r="199" ht="15.75" customHeight="1">
      <c r="A199" s="10" t="s">
        <v>182</v>
      </c>
      <c r="B199" s="10" t="s">
        <v>182</v>
      </c>
      <c r="C199" s="10"/>
      <c r="D199" s="10" t="s">
        <v>369</v>
      </c>
      <c r="E199" s="10" t="s">
        <v>29</v>
      </c>
      <c r="F199" s="17">
        <v>0.027042857142857143</v>
      </c>
      <c r="G199" s="17">
        <f t="shared" ref="G199:W199" si="66">IFERROR(G197/G194,0)</f>
        <v>0</v>
      </c>
      <c r="H199" s="17">
        <f t="shared" si="66"/>
        <v>0</v>
      </c>
      <c r="I199" s="17">
        <f t="shared" si="66"/>
        <v>0</v>
      </c>
      <c r="J199" s="17">
        <f t="shared" si="66"/>
        <v>0.007518796992</v>
      </c>
      <c r="K199" s="17">
        <f t="shared" si="66"/>
        <v>0.006802721088</v>
      </c>
      <c r="L199" s="17">
        <f t="shared" si="66"/>
        <v>0.01</v>
      </c>
      <c r="M199" s="17">
        <f t="shared" si="66"/>
        <v>0</v>
      </c>
      <c r="N199" s="17">
        <f t="shared" si="66"/>
        <v>0</v>
      </c>
      <c r="O199" s="17">
        <f t="shared" si="66"/>
        <v>0</v>
      </c>
      <c r="P199" s="17">
        <f t="shared" si="66"/>
        <v>0</v>
      </c>
      <c r="Q199" s="17">
        <f t="shared" si="66"/>
        <v>0</v>
      </c>
      <c r="R199" s="17">
        <f t="shared" si="66"/>
        <v>0</v>
      </c>
      <c r="S199" s="17">
        <f t="shared" si="66"/>
        <v>0</v>
      </c>
      <c r="T199" s="17">
        <f t="shared" si="66"/>
        <v>0</v>
      </c>
      <c r="U199" s="17">
        <f t="shared" si="66"/>
        <v>0</v>
      </c>
      <c r="V199" s="17">
        <f t="shared" si="66"/>
        <v>0</v>
      </c>
      <c r="W199" s="17">
        <f t="shared" si="66"/>
        <v>0</v>
      </c>
    </row>
    <row r="200" ht="15.75" customHeight="1">
      <c r="A200" s="10" t="s">
        <v>182</v>
      </c>
      <c r="B200" s="10" t="s">
        <v>182</v>
      </c>
      <c r="C200" s="10"/>
      <c r="D200" s="10" t="s">
        <v>359</v>
      </c>
      <c r="E200" s="10" t="s">
        <v>257</v>
      </c>
      <c r="F200" s="3">
        <f t="shared" ref="F200:F204" si="67">SUM(G200:S200)</f>
        <v>4612</v>
      </c>
      <c r="G200" s="3">
        <f>SUMIFS('Business - Dump'!$G:$G,'Business - Dump'!$D:$D,'SKU Repoprt'!$D200,'Business - Dump'!$A:$A,'SKU Repoprt'!G$1)</f>
        <v>0</v>
      </c>
      <c r="H200" s="3">
        <f>SUMIFS('Business - Dump'!$G:$G,'Business - Dump'!$D:$D,'SKU Repoprt'!$D200,'Business - Dump'!$A:$A,'SKU Repoprt'!H$1)</f>
        <v>0</v>
      </c>
      <c r="I200" s="3">
        <f>SUMIFS('Business - Dump'!$G:$G,'Business - Dump'!$D:$D,'SKU Repoprt'!$D200,'Business - Dump'!$A:$A,'SKU Repoprt'!I$1)</f>
        <v>0</v>
      </c>
      <c r="J200" s="3">
        <f>SUMIFS('Business - Dump'!$G:$G,'Business - Dump'!$D:$D,'SKU Repoprt'!$D200,'Business - Dump'!$A:$A,'SKU Repoprt'!J$1)</f>
        <v>433</v>
      </c>
      <c r="K200" s="3">
        <f>SUMIFS('Business - Dump'!$G:$G,'Business - Dump'!$D:$D,'SKU Repoprt'!$D200,'Business - Dump'!$A:$A,'SKU Repoprt'!K$1)</f>
        <v>256</v>
      </c>
      <c r="L200" s="3">
        <f>SUMIFS('Business - Dump'!$G:$G,'Business - Dump'!$D:$D,'SKU Repoprt'!$D200,'Business - Dump'!$A:$A,'SKU Repoprt'!L$1)</f>
        <v>249</v>
      </c>
      <c r="M200" s="3">
        <f>SUMIFS('Business - Dump'!$G:$G,'Business - Dump'!$D:$D,'SKU Repoprt'!$D200,'Business - Dump'!$A:$A,'SKU Repoprt'!M$1)</f>
        <v>615</v>
      </c>
      <c r="N200" s="3">
        <f>SUMIFS('Business - Dump'!$G:$G,'Business - Dump'!$D:$D,'SKU Repoprt'!$D200,'Business - Dump'!$A:$A,'SKU Repoprt'!N$1)</f>
        <v>388</v>
      </c>
      <c r="O200" s="3">
        <f>SUMIFS('Business - Dump'!$G:$G,'Business - Dump'!$D:$D,'SKU Repoprt'!$D200,'Business - Dump'!$A:$A,'SKU Repoprt'!O$1)</f>
        <v>418</v>
      </c>
      <c r="P200" s="3">
        <f>SUMIFS('Business - Dump'!$G:$G,'Business - Dump'!$D:$D,'SKU Repoprt'!$D200,'Business - Dump'!$A:$A,'SKU Repoprt'!P$1)</f>
        <v>457</v>
      </c>
      <c r="Q200" s="3">
        <f>SUMIFS('Business - Dump'!$G:$G,'Business - Dump'!$D:$D,'SKU Repoprt'!$D200,'Business - Dump'!$A:$A,'SKU Repoprt'!Q$1)</f>
        <v>720</v>
      </c>
      <c r="R200" s="3">
        <f>SUMIFS('Business - Dump'!$G:$G,'Business - Dump'!$D:$D,'SKU Repoprt'!$D200,'Business - Dump'!$A:$A,'SKU Repoprt'!R$1)</f>
        <v>810</v>
      </c>
      <c r="S200" s="3">
        <f>SUMIFS('Business - Dump'!$G:$G,'Business - Dump'!$D:$D,'SKU Repoprt'!$D200,'Business - Dump'!$A:$A,'SKU Repoprt'!S$1)</f>
        <v>266</v>
      </c>
      <c r="T200" s="3">
        <f>SUMIFS('Business - Dump'!$G:$G,'Business - Dump'!$D:$D,'SKU Repoprt'!$D200,'Business - Dump'!$A:$A,'SKU Repoprt'!T$1)</f>
        <v>376</v>
      </c>
      <c r="U200" s="3">
        <f>SUMIFS('Business - Dump'!$G:$G,'Business - Dump'!$D:$D,'SKU Repoprt'!$D200,'Business - Dump'!$A:$A,'SKU Repoprt'!U$1)</f>
        <v>266</v>
      </c>
      <c r="V200" s="3">
        <f>SUMIFS('Business - Dump'!$G:$G,'Business - Dump'!$D:$D,'SKU Repoprt'!$D200,'Business - Dump'!$A:$A,'SKU Repoprt'!V$1)</f>
        <v>186</v>
      </c>
      <c r="W200" s="3">
        <f>SUMIFS('Business - Dump'!$G:$G,'Business - Dump'!$D:$D,'SKU Repoprt'!$D200,'Business - Dump'!$A:$A,'SKU Repoprt'!W$1)</f>
        <v>122</v>
      </c>
    </row>
    <row r="201" ht="15.75" customHeight="1">
      <c r="A201" s="10" t="s">
        <v>182</v>
      </c>
      <c r="B201" s="10" t="s">
        <v>182</v>
      </c>
      <c r="C201" s="10"/>
      <c r="D201" s="10" t="s">
        <v>359</v>
      </c>
      <c r="E201" s="10" t="s">
        <v>260</v>
      </c>
      <c r="F201" s="3">
        <f t="shared" si="67"/>
        <v>6695</v>
      </c>
      <c r="G201" s="3">
        <f>SUMIFS('Business - Dump'!$K:$K,'Business - Dump'!$D:$D,'SKU Repoprt'!$D201,'Business - Dump'!$A:$A,'SKU Repoprt'!G$1)</f>
        <v>0</v>
      </c>
      <c r="H201" s="3">
        <f>SUMIFS('Business - Dump'!$K:$K,'Business - Dump'!$D:$D,'SKU Repoprt'!$D201,'Business - Dump'!$A:$A,'SKU Repoprt'!H$1)</f>
        <v>0</v>
      </c>
      <c r="I201" s="3">
        <f>SUMIFS('Business - Dump'!$K:$K,'Business - Dump'!$D:$D,'SKU Repoprt'!$D201,'Business - Dump'!$A:$A,'SKU Repoprt'!I$1)</f>
        <v>0</v>
      </c>
      <c r="J201" s="3">
        <f>SUMIFS('Business - Dump'!$K:$K,'Business - Dump'!$D:$D,'SKU Repoprt'!$D201,'Business - Dump'!$A:$A,'SKU Repoprt'!J$1)</f>
        <v>564</v>
      </c>
      <c r="K201" s="3">
        <f>SUMIFS('Business - Dump'!$K:$K,'Business - Dump'!$D:$D,'SKU Repoprt'!$D201,'Business - Dump'!$A:$A,'SKU Repoprt'!K$1)</f>
        <v>389</v>
      </c>
      <c r="L201" s="3">
        <f>SUMIFS('Business - Dump'!$K:$K,'Business - Dump'!$D:$D,'SKU Repoprt'!$D201,'Business - Dump'!$A:$A,'SKU Repoprt'!L$1)</f>
        <v>347</v>
      </c>
      <c r="M201" s="3">
        <f>SUMIFS('Business - Dump'!$K:$K,'Business - Dump'!$D:$D,'SKU Repoprt'!$D201,'Business - Dump'!$A:$A,'SKU Repoprt'!M$1)</f>
        <v>941</v>
      </c>
      <c r="N201" s="3">
        <f>SUMIFS('Business - Dump'!$K:$K,'Business - Dump'!$D:$D,'SKU Repoprt'!$D201,'Business - Dump'!$A:$A,'SKU Repoprt'!N$1)</f>
        <v>494</v>
      </c>
      <c r="O201" s="3">
        <f>SUMIFS('Business - Dump'!$K:$K,'Business - Dump'!$D:$D,'SKU Repoprt'!$D201,'Business - Dump'!$A:$A,'SKU Repoprt'!O$1)</f>
        <v>588</v>
      </c>
      <c r="P201" s="3">
        <f>SUMIFS('Business - Dump'!$K:$K,'Business - Dump'!$D:$D,'SKU Repoprt'!$D201,'Business - Dump'!$A:$A,'SKU Repoprt'!P$1)</f>
        <v>592</v>
      </c>
      <c r="Q201" s="3">
        <f>SUMIFS('Business - Dump'!$K:$K,'Business - Dump'!$D:$D,'SKU Repoprt'!$D201,'Business - Dump'!$A:$A,'SKU Repoprt'!Q$1)</f>
        <v>1047</v>
      </c>
      <c r="R201" s="3">
        <f>SUMIFS('Business - Dump'!$K:$K,'Business - Dump'!$D:$D,'SKU Repoprt'!$D201,'Business - Dump'!$A:$A,'SKU Repoprt'!R$1)</f>
        <v>1362</v>
      </c>
      <c r="S201" s="3">
        <f>SUMIFS('Business - Dump'!$K:$K,'Business - Dump'!$D:$D,'SKU Repoprt'!$D201,'Business - Dump'!$A:$A,'SKU Repoprt'!S$1)</f>
        <v>371</v>
      </c>
      <c r="T201" s="3">
        <f>SUMIFS('Business - Dump'!$K:$K,'Business - Dump'!$D:$D,'SKU Repoprt'!$D201,'Business - Dump'!$A:$A,'SKU Repoprt'!T$1)</f>
        <v>498</v>
      </c>
      <c r="U201" s="3">
        <f>SUMIFS('Business - Dump'!$K:$K,'Business - Dump'!$D:$D,'SKU Repoprt'!$D201,'Business - Dump'!$A:$A,'SKU Repoprt'!U$1)</f>
        <v>375</v>
      </c>
      <c r="V201" s="3">
        <f>SUMIFS('Business - Dump'!$K:$K,'Business - Dump'!$D:$D,'SKU Repoprt'!$D201,'Business - Dump'!$A:$A,'SKU Repoprt'!V$1)</f>
        <v>232</v>
      </c>
      <c r="W201" s="3">
        <f>SUMIFS('Business - Dump'!$K:$K,'Business - Dump'!$D:$D,'SKU Repoprt'!$D201,'Business - Dump'!$A:$A,'SKU Repoprt'!W$1)</f>
        <v>150</v>
      </c>
    </row>
    <row r="202" ht="15.75" customHeight="1">
      <c r="A202" s="10" t="s">
        <v>182</v>
      </c>
      <c r="B202" s="10" t="s">
        <v>182</v>
      </c>
      <c r="C202" s="10"/>
      <c r="D202" s="10" t="s">
        <v>359</v>
      </c>
      <c r="E202" s="10" t="s">
        <v>264</v>
      </c>
      <c r="F202" s="3">
        <f t="shared" si="67"/>
        <v>36</v>
      </c>
      <c r="G202" s="3">
        <f>SUMIFS('Business - Dump'!$Q:$Q,'Business - Dump'!$D:$D,'SKU Repoprt'!$D202,'Business - Dump'!$A:$A,'SKU Repoprt'!G$1)</f>
        <v>0</v>
      </c>
      <c r="H202" s="3">
        <f>SUMIFS('Business - Dump'!$Q:$Q,'Business - Dump'!$D:$D,'SKU Repoprt'!$D202,'Business - Dump'!$A:$A,'SKU Repoprt'!H$1)</f>
        <v>0</v>
      </c>
      <c r="I202" s="3">
        <f>SUMIFS('Business - Dump'!$Q:$Q,'Business - Dump'!$D:$D,'SKU Repoprt'!$D202,'Business - Dump'!$A:$A,'SKU Repoprt'!I$1)</f>
        <v>0</v>
      </c>
      <c r="J202" s="3">
        <f>SUMIFS('Business - Dump'!$Q:$Q,'Business - Dump'!$D:$D,'SKU Repoprt'!$D202,'Business - Dump'!$A:$A,'SKU Repoprt'!J$1)</f>
        <v>2</v>
      </c>
      <c r="K202" s="3">
        <f>SUMIFS('Business - Dump'!$Q:$Q,'Business - Dump'!$D:$D,'SKU Repoprt'!$D202,'Business - Dump'!$A:$A,'SKU Repoprt'!K$1)</f>
        <v>1</v>
      </c>
      <c r="L202" s="3">
        <f>SUMIFS('Business - Dump'!$Q:$Q,'Business - Dump'!$D:$D,'SKU Repoprt'!$D202,'Business - Dump'!$A:$A,'SKU Repoprt'!L$1)</f>
        <v>1</v>
      </c>
      <c r="M202" s="3">
        <f>SUMIFS('Business - Dump'!$Q:$Q,'Business - Dump'!$D:$D,'SKU Repoprt'!$D202,'Business - Dump'!$A:$A,'SKU Repoprt'!M$1)</f>
        <v>4</v>
      </c>
      <c r="N202" s="3">
        <f>SUMIFS('Business - Dump'!$Q:$Q,'Business - Dump'!$D:$D,'SKU Repoprt'!$D202,'Business - Dump'!$A:$A,'SKU Repoprt'!N$1)</f>
        <v>1</v>
      </c>
      <c r="O202" s="3">
        <f>SUMIFS('Business - Dump'!$Q:$Q,'Business - Dump'!$D:$D,'SKU Repoprt'!$D202,'Business - Dump'!$A:$A,'SKU Repoprt'!O$1)</f>
        <v>4</v>
      </c>
      <c r="P202" s="3">
        <f>SUMIFS('Business - Dump'!$Q:$Q,'Business - Dump'!$D:$D,'SKU Repoprt'!$D202,'Business - Dump'!$A:$A,'SKU Repoprt'!P$1)</f>
        <v>1</v>
      </c>
      <c r="Q202" s="3">
        <f>SUMIFS('Business - Dump'!$Q:$Q,'Business - Dump'!$D:$D,'SKU Repoprt'!$D202,'Business - Dump'!$A:$A,'SKU Repoprt'!Q$1)</f>
        <v>8</v>
      </c>
      <c r="R202" s="3">
        <f>SUMIFS('Business - Dump'!$Q:$Q,'Business - Dump'!$D:$D,'SKU Repoprt'!$D202,'Business - Dump'!$A:$A,'SKU Repoprt'!R$1)</f>
        <v>13</v>
      </c>
      <c r="S202" s="3">
        <f>SUMIFS('Business - Dump'!$Q:$Q,'Business - Dump'!$D:$D,'SKU Repoprt'!$D202,'Business - Dump'!$A:$A,'SKU Repoprt'!S$1)</f>
        <v>1</v>
      </c>
      <c r="T202" s="3">
        <f>SUMIFS('Business - Dump'!$Q:$Q,'Business - Dump'!$D:$D,'SKU Repoprt'!$D202,'Business - Dump'!$A:$A,'SKU Repoprt'!T$1)</f>
        <v>2</v>
      </c>
      <c r="U202" s="3">
        <f>SUMIFS('Business - Dump'!$Q:$Q,'Business - Dump'!$D:$D,'SKU Repoprt'!$D202,'Business - Dump'!$A:$A,'SKU Repoprt'!U$1)</f>
        <v>0</v>
      </c>
      <c r="V202" s="3">
        <f>SUMIFS('Business - Dump'!$Q:$Q,'Business - Dump'!$D:$D,'SKU Repoprt'!$D202,'Business - Dump'!$A:$A,'SKU Repoprt'!V$1)</f>
        <v>0</v>
      </c>
      <c r="W202" s="3">
        <f>SUMIFS('Business - Dump'!$Q:$Q,'Business - Dump'!$D:$D,'SKU Repoprt'!$D202,'Business - Dump'!$A:$A,'SKU Repoprt'!W$1)</f>
        <v>1</v>
      </c>
    </row>
    <row r="203" ht="15.75" customHeight="1">
      <c r="A203" s="10" t="s">
        <v>182</v>
      </c>
      <c r="B203" s="10" t="s">
        <v>182</v>
      </c>
      <c r="C203" s="10"/>
      <c r="D203" s="10" t="s">
        <v>359</v>
      </c>
      <c r="E203" s="10" t="s">
        <v>268</v>
      </c>
      <c r="F203" s="3">
        <f t="shared" si="67"/>
        <v>36</v>
      </c>
      <c r="G203" s="3">
        <f>SUMIFS('Business - Dump'!$W:$W,'Business - Dump'!$D:$D,'SKU Repoprt'!$D203,'Business - Dump'!$A:$A,'SKU Repoprt'!G$1)</f>
        <v>0</v>
      </c>
      <c r="H203" s="3">
        <f>SUMIFS('Business - Dump'!$W:$W,'Business - Dump'!$D:$D,'SKU Repoprt'!$D203,'Business - Dump'!$A:$A,'SKU Repoprt'!H$1)</f>
        <v>0</v>
      </c>
      <c r="I203" s="3">
        <f>SUMIFS('Business - Dump'!$W:$W,'Business - Dump'!$D:$D,'SKU Repoprt'!$D203,'Business - Dump'!$A:$A,'SKU Repoprt'!I$1)</f>
        <v>0</v>
      </c>
      <c r="J203" s="3">
        <f>SUMIFS('Business - Dump'!$W:$W,'Business - Dump'!$D:$D,'SKU Repoprt'!$D203,'Business - Dump'!$A:$A,'SKU Repoprt'!J$1)</f>
        <v>2</v>
      </c>
      <c r="K203" s="3">
        <f>SUMIFS('Business - Dump'!$W:$W,'Business - Dump'!$D:$D,'SKU Repoprt'!$D203,'Business - Dump'!$A:$A,'SKU Repoprt'!K$1)</f>
        <v>1</v>
      </c>
      <c r="L203" s="3">
        <f>SUMIFS('Business - Dump'!$W:$W,'Business - Dump'!$D:$D,'SKU Repoprt'!$D203,'Business - Dump'!$A:$A,'SKU Repoprt'!L$1)</f>
        <v>1</v>
      </c>
      <c r="M203" s="3">
        <f>SUMIFS('Business - Dump'!$W:$W,'Business - Dump'!$D:$D,'SKU Repoprt'!$D203,'Business - Dump'!$A:$A,'SKU Repoprt'!M$1)</f>
        <v>4</v>
      </c>
      <c r="N203" s="3">
        <f>SUMIFS('Business - Dump'!$W:$W,'Business - Dump'!$D:$D,'SKU Repoprt'!$D203,'Business - Dump'!$A:$A,'SKU Repoprt'!N$1)</f>
        <v>1</v>
      </c>
      <c r="O203" s="3">
        <f>SUMIFS('Business - Dump'!$W:$W,'Business - Dump'!$D:$D,'SKU Repoprt'!$D203,'Business - Dump'!$A:$A,'SKU Repoprt'!O$1)</f>
        <v>4</v>
      </c>
      <c r="P203" s="3">
        <f>SUMIFS('Business - Dump'!$W:$W,'Business - Dump'!$D:$D,'SKU Repoprt'!$D203,'Business - Dump'!$A:$A,'SKU Repoprt'!P$1)</f>
        <v>1</v>
      </c>
      <c r="Q203" s="3">
        <f>SUMIFS('Business - Dump'!$W:$W,'Business - Dump'!$D:$D,'SKU Repoprt'!$D203,'Business - Dump'!$A:$A,'SKU Repoprt'!Q$1)</f>
        <v>8</v>
      </c>
      <c r="R203" s="3">
        <f>SUMIFS('Business - Dump'!$W:$W,'Business - Dump'!$D:$D,'SKU Repoprt'!$D203,'Business - Dump'!$A:$A,'SKU Repoprt'!R$1)</f>
        <v>13</v>
      </c>
      <c r="S203" s="3">
        <f>SUMIFS('Business - Dump'!$W:$W,'Business - Dump'!$D:$D,'SKU Repoprt'!$D203,'Business - Dump'!$A:$A,'SKU Repoprt'!S$1)</f>
        <v>1</v>
      </c>
      <c r="T203" s="3">
        <f>SUMIFS('Business - Dump'!$W:$W,'Business - Dump'!$D:$D,'SKU Repoprt'!$D203,'Business - Dump'!$A:$A,'SKU Repoprt'!T$1)</f>
        <v>2</v>
      </c>
      <c r="U203" s="3">
        <f>SUMIFS('Business - Dump'!$W:$W,'Business - Dump'!$D:$D,'SKU Repoprt'!$D203,'Business - Dump'!$A:$A,'SKU Repoprt'!U$1)</f>
        <v>0</v>
      </c>
      <c r="V203" s="3">
        <f>SUMIFS('Business - Dump'!$W:$W,'Business - Dump'!$D:$D,'SKU Repoprt'!$D203,'Business - Dump'!$A:$A,'SKU Repoprt'!V$1)</f>
        <v>0</v>
      </c>
      <c r="W203" s="3">
        <f>SUMIFS('Business - Dump'!$W:$W,'Business - Dump'!$D:$D,'SKU Repoprt'!$D203,'Business - Dump'!$A:$A,'SKU Repoprt'!W$1)</f>
        <v>1</v>
      </c>
    </row>
    <row r="204" ht="15.75" customHeight="1">
      <c r="A204" s="10" t="s">
        <v>182</v>
      </c>
      <c r="B204" s="10" t="s">
        <v>182</v>
      </c>
      <c r="C204" s="10"/>
      <c r="D204" s="10" t="s">
        <v>359</v>
      </c>
      <c r="E204" s="10" t="s">
        <v>26</v>
      </c>
      <c r="F204" s="16">
        <f t="shared" si="67"/>
        <v>1168493.54</v>
      </c>
      <c r="G204" s="16">
        <f>SUMIFS('Business - Dump'!$U:$U,'Business - Dump'!$D:$D,'SKU Repoprt'!$D204,'Business - Dump'!$A:$A,'SKU Repoprt'!G$1)</f>
        <v>0</v>
      </c>
      <c r="H204" s="16">
        <f>SUMIFS('Business - Dump'!$U:$U,'Business - Dump'!$D:$D,'SKU Repoprt'!$D204,'Business - Dump'!$A:$A,'SKU Repoprt'!H$1)</f>
        <v>0</v>
      </c>
      <c r="I204" s="16">
        <f>SUMIFS('Business - Dump'!$U:$U,'Business - Dump'!$D:$D,'SKU Repoprt'!$D204,'Business - Dump'!$A:$A,'SKU Repoprt'!I$1)</f>
        <v>0</v>
      </c>
      <c r="J204" s="16">
        <f>SUMIFS('Business - Dump'!$U:$U,'Business - Dump'!$D:$D,'SKU Repoprt'!$D204,'Business - Dump'!$A:$A,'SKU Repoprt'!J$1)</f>
        <v>65800</v>
      </c>
      <c r="K204" s="16">
        <f>SUMIFS('Business - Dump'!$U:$U,'Business - Dump'!$D:$D,'SKU Repoprt'!$D204,'Business - Dump'!$A:$A,'SKU Repoprt'!K$1)</f>
        <v>33238.98</v>
      </c>
      <c r="L204" s="16">
        <f>SUMIFS('Business - Dump'!$U:$U,'Business - Dump'!$D:$D,'SKU Repoprt'!$D204,'Business - Dump'!$A:$A,'SKU Repoprt'!L$1)</f>
        <v>33300</v>
      </c>
      <c r="M204" s="16">
        <f>SUMIFS('Business - Dump'!$U:$U,'Business - Dump'!$D:$D,'SKU Repoprt'!$D204,'Business - Dump'!$A:$A,'SKU Repoprt'!M$1)</f>
        <v>131875.44</v>
      </c>
      <c r="N204" s="16">
        <f>SUMIFS('Business - Dump'!$U:$U,'Business - Dump'!$D:$D,'SKU Repoprt'!$D204,'Business - Dump'!$A:$A,'SKU Repoprt'!N$1)</f>
        <v>35450</v>
      </c>
      <c r="O204" s="16">
        <f>SUMIFS('Business - Dump'!$U:$U,'Business - Dump'!$D:$D,'SKU Repoprt'!$D204,'Business - Dump'!$A:$A,'SKU Repoprt'!O$1)</f>
        <v>132544.08</v>
      </c>
      <c r="P204" s="16">
        <f>SUMIFS('Business - Dump'!$U:$U,'Business - Dump'!$D:$D,'SKU Repoprt'!$D204,'Business - Dump'!$A:$A,'SKU Repoprt'!P$1)</f>
        <v>32400</v>
      </c>
      <c r="Q204" s="16">
        <f>SUMIFS('Business - Dump'!$U:$U,'Business - Dump'!$D:$D,'SKU Repoprt'!$D204,'Business - Dump'!$A:$A,'SKU Repoprt'!Q$1)</f>
        <v>259755.4</v>
      </c>
      <c r="R204" s="16">
        <f>SUMIFS('Business - Dump'!$U:$U,'Business - Dump'!$D:$D,'SKU Repoprt'!$D204,'Business - Dump'!$A:$A,'SKU Repoprt'!R$1)</f>
        <v>407630.64</v>
      </c>
      <c r="S204" s="16">
        <f>SUMIFS('Business - Dump'!$U:$U,'Business - Dump'!$D:$D,'SKU Repoprt'!$D204,'Business - Dump'!$A:$A,'SKU Repoprt'!S$1)</f>
        <v>36499</v>
      </c>
      <c r="T204" s="16">
        <f>SUMIFS('Business - Dump'!$U:$U,'Business - Dump'!$D:$D,'SKU Repoprt'!$D204,'Business - Dump'!$A:$A,'SKU Repoprt'!T$1)</f>
        <v>72998</v>
      </c>
      <c r="U204" s="16">
        <f>SUMIFS('Business - Dump'!$U:$U,'Business - Dump'!$D:$D,'SKU Repoprt'!$D204,'Business - Dump'!$A:$A,'SKU Repoprt'!U$1)</f>
        <v>0</v>
      </c>
      <c r="V204" s="16">
        <f>SUMIFS('Business - Dump'!$U:$U,'Business - Dump'!$D:$D,'SKU Repoprt'!$D204,'Business - Dump'!$A:$A,'SKU Repoprt'!V$1)</f>
        <v>0</v>
      </c>
      <c r="W204" s="16">
        <f>SUMIFS('Business - Dump'!$U:$U,'Business - Dump'!$D:$D,'SKU Repoprt'!$D204,'Business - Dump'!$A:$A,'SKU Repoprt'!W$1)</f>
        <v>34622.03</v>
      </c>
    </row>
    <row r="205" ht="15.75" customHeight="1">
      <c r="A205" s="10" t="s">
        <v>182</v>
      </c>
      <c r="B205" s="10" t="s">
        <v>182</v>
      </c>
      <c r="C205" s="10"/>
      <c r="D205" s="10" t="s">
        <v>359</v>
      </c>
      <c r="E205" s="10" t="s">
        <v>29</v>
      </c>
      <c r="F205" s="17">
        <v>0.027042857142857143</v>
      </c>
      <c r="G205" s="17">
        <f t="shared" ref="G205:W205" si="68">IFERROR(G203/G200,0)</f>
        <v>0</v>
      </c>
      <c r="H205" s="17">
        <f t="shared" si="68"/>
        <v>0</v>
      </c>
      <c r="I205" s="17">
        <f t="shared" si="68"/>
        <v>0</v>
      </c>
      <c r="J205" s="17">
        <f t="shared" si="68"/>
        <v>0.004618937644</v>
      </c>
      <c r="K205" s="17">
        <f t="shared" si="68"/>
        <v>0.00390625</v>
      </c>
      <c r="L205" s="17">
        <f t="shared" si="68"/>
        <v>0.004016064257</v>
      </c>
      <c r="M205" s="17">
        <f t="shared" si="68"/>
        <v>0.006504065041</v>
      </c>
      <c r="N205" s="17">
        <f t="shared" si="68"/>
        <v>0.002577319588</v>
      </c>
      <c r="O205" s="17">
        <f t="shared" si="68"/>
        <v>0.00956937799</v>
      </c>
      <c r="P205" s="17">
        <f t="shared" si="68"/>
        <v>0.002188183807</v>
      </c>
      <c r="Q205" s="17">
        <f t="shared" si="68"/>
        <v>0.01111111111</v>
      </c>
      <c r="R205" s="17">
        <f t="shared" si="68"/>
        <v>0.01604938272</v>
      </c>
      <c r="S205" s="17">
        <f t="shared" si="68"/>
        <v>0.003759398496</v>
      </c>
      <c r="T205" s="17">
        <f t="shared" si="68"/>
        <v>0.005319148936</v>
      </c>
      <c r="U205" s="17">
        <f t="shared" si="68"/>
        <v>0</v>
      </c>
      <c r="V205" s="17">
        <f t="shared" si="68"/>
        <v>0</v>
      </c>
      <c r="W205" s="17">
        <f t="shared" si="68"/>
        <v>0.008196721311</v>
      </c>
    </row>
    <row r="206" ht="15.75" customHeight="1">
      <c r="A206" s="10" t="s">
        <v>182</v>
      </c>
      <c r="B206" s="10" t="s">
        <v>182</v>
      </c>
      <c r="C206" s="10"/>
      <c r="D206" s="10" t="s">
        <v>371</v>
      </c>
      <c r="E206" s="10" t="s">
        <v>257</v>
      </c>
      <c r="F206" s="3">
        <f t="shared" ref="F206:F210" si="69">SUM(G206:S206)</f>
        <v>1768</v>
      </c>
      <c r="G206" s="3">
        <f>SUMIFS('Business - Dump'!$G:$G,'Business - Dump'!$D:$D,'SKU Repoprt'!$D206,'Business - Dump'!$A:$A,'SKU Repoprt'!G$1)</f>
        <v>0</v>
      </c>
      <c r="H206" s="3">
        <f>SUMIFS('Business - Dump'!$G:$G,'Business - Dump'!$D:$D,'SKU Repoprt'!$D206,'Business - Dump'!$A:$A,'SKU Repoprt'!H$1)</f>
        <v>0</v>
      </c>
      <c r="I206" s="3">
        <f>SUMIFS('Business - Dump'!$G:$G,'Business - Dump'!$D:$D,'SKU Repoprt'!$D206,'Business - Dump'!$A:$A,'SKU Repoprt'!I$1)</f>
        <v>0</v>
      </c>
      <c r="J206" s="3">
        <f>SUMIFS('Business - Dump'!$G:$G,'Business - Dump'!$D:$D,'SKU Repoprt'!$D206,'Business - Dump'!$A:$A,'SKU Repoprt'!J$1)</f>
        <v>0</v>
      </c>
      <c r="K206" s="3">
        <f>SUMIFS('Business - Dump'!$G:$G,'Business - Dump'!$D:$D,'SKU Repoprt'!$D206,'Business - Dump'!$A:$A,'SKU Repoprt'!K$1)</f>
        <v>0</v>
      </c>
      <c r="L206" s="3">
        <f>SUMIFS('Business - Dump'!$G:$G,'Business - Dump'!$D:$D,'SKU Repoprt'!$D206,'Business - Dump'!$A:$A,'SKU Repoprt'!L$1)</f>
        <v>112</v>
      </c>
      <c r="M206" s="3">
        <f>SUMIFS('Business - Dump'!$G:$G,'Business - Dump'!$D:$D,'SKU Repoprt'!$D206,'Business - Dump'!$A:$A,'SKU Repoprt'!M$1)</f>
        <v>246</v>
      </c>
      <c r="N206" s="3">
        <f>SUMIFS('Business - Dump'!$G:$G,'Business - Dump'!$D:$D,'SKU Repoprt'!$D206,'Business - Dump'!$A:$A,'SKU Repoprt'!N$1)</f>
        <v>195</v>
      </c>
      <c r="O206" s="3">
        <f>SUMIFS('Business - Dump'!$G:$G,'Business - Dump'!$D:$D,'SKU Repoprt'!$D206,'Business - Dump'!$A:$A,'SKU Repoprt'!O$1)</f>
        <v>219</v>
      </c>
      <c r="P206" s="3">
        <f>SUMIFS('Business - Dump'!$G:$G,'Business - Dump'!$D:$D,'SKU Repoprt'!$D206,'Business - Dump'!$A:$A,'SKU Repoprt'!P$1)</f>
        <v>256</v>
      </c>
      <c r="Q206" s="3">
        <f>SUMIFS('Business - Dump'!$G:$G,'Business - Dump'!$D:$D,'SKU Repoprt'!$D206,'Business - Dump'!$A:$A,'SKU Repoprt'!Q$1)</f>
        <v>371</v>
      </c>
      <c r="R206" s="3">
        <f>SUMIFS('Business - Dump'!$G:$G,'Business - Dump'!$D:$D,'SKU Repoprt'!$D206,'Business - Dump'!$A:$A,'SKU Repoprt'!R$1)</f>
        <v>302</v>
      </c>
      <c r="S206" s="3">
        <f>SUMIFS('Business - Dump'!$G:$G,'Business - Dump'!$D:$D,'SKU Repoprt'!$D206,'Business - Dump'!$A:$A,'SKU Repoprt'!S$1)</f>
        <v>67</v>
      </c>
      <c r="T206" s="3">
        <f>SUMIFS('Business - Dump'!$G:$G,'Business - Dump'!$D:$D,'SKU Repoprt'!$D206,'Business - Dump'!$A:$A,'SKU Repoprt'!T$1)</f>
        <v>103</v>
      </c>
      <c r="U206" s="3">
        <f>SUMIFS('Business - Dump'!$G:$G,'Business - Dump'!$D:$D,'SKU Repoprt'!$D206,'Business - Dump'!$A:$A,'SKU Repoprt'!U$1)</f>
        <v>108</v>
      </c>
      <c r="V206" s="3">
        <f>SUMIFS('Business - Dump'!$G:$G,'Business - Dump'!$D:$D,'SKU Repoprt'!$D206,'Business - Dump'!$A:$A,'SKU Repoprt'!V$1)</f>
        <v>134</v>
      </c>
      <c r="W206" s="3">
        <f>SUMIFS('Business - Dump'!$G:$G,'Business - Dump'!$D:$D,'SKU Repoprt'!$D206,'Business - Dump'!$A:$A,'SKU Repoprt'!W$1)</f>
        <v>358</v>
      </c>
    </row>
    <row r="207" ht="15.75" customHeight="1">
      <c r="A207" s="10" t="s">
        <v>182</v>
      </c>
      <c r="B207" s="10" t="s">
        <v>182</v>
      </c>
      <c r="C207" s="10"/>
      <c r="D207" s="10" t="s">
        <v>371</v>
      </c>
      <c r="E207" s="10" t="s">
        <v>260</v>
      </c>
      <c r="F207" s="3">
        <f t="shared" si="69"/>
        <v>2194</v>
      </c>
      <c r="G207" s="3">
        <f>SUMIFS('Business - Dump'!$K:$K,'Business - Dump'!$D:$D,'SKU Repoprt'!$D207,'Business - Dump'!$A:$A,'SKU Repoprt'!G$1)</f>
        <v>0</v>
      </c>
      <c r="H207" s="3">
        <f>SUMIFS('Business - Dump'!$K:$K,'Business - Dump'!$D:$D,'SKU Repoprt'!$D207,'Business - Dump'!$A:$A,'SKU Repoprt'!H$1)</f>
        <v>0</v>
      </c>
      <c r="I207" s="3">
        <f>SUMIFS('Business - Dump'!$K:$K,'Business - Dump'!$D:$D,'SKU Repoprt'!$D207,'Business - Dump'!$A:$A,'SKU Repoprt'!I$1)</f>
        <v>0</v>
      </c>
      <c r="J207" s="3">
        <f>SUMIFS('Business - Dump'!$K:$K,'Business - Dump'!$D:$D,'SKU Repoprt'!$D207,'Business - Dump'!$A:$A,'SKU Repoprt'!J$1)</f>
        <v>0</v>
      </c>
      <c r="K207" s="3">
        <f>SUMIFS('Business - Dump'!$K:$K,'Business - Dump'!$D:$D,'SKU Repoprt'!$D207,'Business - Dump'!$A:$A,'SKU Repoprt'!K$1)</f>
        <v>0</v>
      </c>
      <c r="L207" s="3">
        <f>SUMIFS('Business - Dump'!$K:$K,'Business - Dump'!$D:$D,'SKU Repoprt'!$D207,'Business - Dump'!$A:$A,'SKU Repoprt'!L$1)</f>
        <v>145</v>
      </c>
      <c r="M207" s="3">
        <f>SUMIFS('Business - Dump'!$K:$K,'Business - Dump'!$D:$D,'SKU Repoprt'!$D207,'Business - Dump'!$A:$A,'SKU Repoprt'!M$1)</f>
        <v>350</v>
      </c>
      <c r="N207" s="3">
        <f>SUMIFS('Business - Dump'!$K:$K,'Business - Dump'!$D:$D,'SKU Repoprt'!$D207,'Business - Dump'!$A:$A,'SKU Repoprt'!N$1)</f>
        <v>234</v>
      </c>
      <c r="O207" s="3">
        <f>SUMIFS('Business - Dump'!$K:$K,'Business - Dump'!$D:$D,'SKU Repoprt'!$D207,'Business - Dump'!$A:$A,'SKU Repoprt'!O$1)</f>
        <v>267</v>
      </c>
      <c r="P207" s="3">
        <f>SUMIFS('Business - Dump'!$K:$K,'Business - Dump'!$D:$D,'SKU Repoprt'!$D207,'Business - Dump'!$A:$A,'SKU Repoprt'!P$1)</f>
        <v>309</v>
      </c>
      <c r="Q207" s="3">
        <f>SUMIFS('Business - Dump'!$K:$K,'Business - Dump'!$D:$D,'SKU Repoprt'!$D207,'Business - Dump'!$A:$A,'SKU Repoprt'!Q$1)</f>
        <v>426</v>
      </c>
      <c r="R207" s="3">
        <f>SUMIFS('Business - Dump'!$K:$K,'Business - Dump'!$D:$D,'SKU Repoprt'!$D207,'Business - Dump'!$A:$A,'SKU Repoprt'!R$1)</f>
        <v>385</v>
      </c>
      <c r="S207" s="3">
        <f>SUMIFS('Business - Dump'!$K:$K,'Business - Dump'!$D:$D,'SKU Repoprt'!$D207,'Business - Dump'!$A:$A,'SKU Repoprt'!S$1)</f>
        <v>78</v>
      </c>
      <c r="T207" s="3">
        <f>SUMIFS('Business - Dump'!$K:$K,'Business - Dump'!$D:$D,'SKU Repoprt'!$D207,'Business - Dump'!$A:$A,'SKU Repoprt'!T$1)</f>
        <v>116</v>
      </c>
      <c r="U207" s="3">
        <f>SUMIFS('Business - Dump'!$K:$K,'Business - Dump'!$D:$D,'SKU Repoprt'!$D207,'Business - Dump'!$A:$A,'SKU Repoprt'!U$1)</f>
        <v>125</v>
      </c>
      <c r="V207" s="3">
        <f>SUMIFS('Business - Dump'!$K:$K,'Business - Dump'!$D:$D,'SKU Repoprt'!$D207,'Business - Dump'!$A:$A,'SKU Repoprt'!V$1)</f>
        <v>166</v>
      </c>
      <c r="W207" s="3">
        <f>SUMIFS('Business - Dump'!$K:$K,'Business - Dump'!$D:$D,'SKU Repoprt'!$D207,'Business - Dump'!$A:$A,'SKU Repoprt'!W$1)</f>
        <v>432</v>
      </c>
    </row>
    <row r="208" ht="15.75" customHeight="1">
      <c r="A208" s="10" t="s">
        <v>182</v>
      </c>
      <c r="B208" s="10" t="s">
        <v>182</v>
      </c>
      <c r="C208" s="10"/>
      <c r="D208" s="10" t="s">
        <v>371</v>
      </c>
      <c r="E208" s="10" t="s">
        <v>264</v>
      </c>
      <c r="F208" s="3">
        <f t="shared" si="69"/>
        <v>5</v>
      </c>
      <c r="G208" s="3">
        <f>SUMIFS('Business - Dump'!$Q:$Q,'Business - Dump'!$D:$D,'SKU Repoprt'!$D208,'Business - Dump'!$A:$A,'SKU Repoprt'!G$1)</f>
        <v>0</v>
      </c>
      <c r="H208" s="3">
        <f>SUMIFS('Business - Dump'!$Q:$Q,'Business - Dump'!$D:$D,'SKU Repoprt'!$D208,'Business - Dump'!$A:$A,'SKU Repoprt'!H$1)</f>
        <v>0</v>
      </c>
      <c r="I208" s="3">
        <f>SUMIFS('Business - Dump'!$Q:$Q,'Business - Dump'!$D:$D,'SKU Repoprt'!$D208,'Business - Dump'!$A:$A,'SKU Repoprt'!I$1)</f>
        <v>0</v>
      </c>
      <c r="J208" s="3">
        <f>SUMIFS('Business - Dump'!$Q:$Q,'Business - Dump'!$D:$D,'SKU Repoprt'!$D208,'Business - Dump'!$A:$A,'SKU Repoprt'!J$1)</f>
        <v>0</v>
      </c>
      <c r="K208" s="3">
        <f>SUMIFS('Business - Dump'!$Q:$Q,'Business - Dump'!$D:$D,'SKU Repoprt'!$D208,'Business - Dump'!$A:$A,'SKU Repoprt'!K$1)</f>
        <v>0</v>
      </c>
      <c r="L208" s="3">
        <f>SUMIFS('Business - Dump'!$Q:$Q,'Business - Dump'!$D:$D,'SKU Repoprt'!$D208,'Business - Dump'!$A:$A,'SKU Repoprt'!L$1)</f>
        <v>1</v>
      </c>
      <c r="M208" s="3">
        <f>SUMIFS('Business - Dump'!$Q:$Q,'Business - Dump'!$D:$D,'SKU Repoprt'!$D208,'Business - Dump'!$A:$A,'SKU Repoprt'!M$1)</f>
        <v>1</v>
      </c>
      <c r="N208" s="3">
        <f>SUMIFS('Business - Dump'!$Q:$Q,'Business - Dump'!$D:$D,'SKU Repoprt'!$D208,'Business - Dump'!$A:$A,'SKU Repoprt'!N$1)</f>
        <v>1</v>
      </c>
      <c r="O208" s="3">
        <f>SUMIFS('Business - Dump'!$Q:$Q,'Business - Dump'!$D:$D,'SKU Repoprt'!$D208,'Business - Dump'!$A:$A,'SKU Repoprt'!O$1)</f>
        <v>0</v>
      </c>
      <c r="P208" s="3">
        <f>SUMIFS('Business - Dump'!$Q:$Q,'Business - Dump'!$D:$D,'SKU Repoprt'!$D208,'Business - Dump'!$A:$A,'SKU Repoprt'!P$1)</f>
        <v>1</v>
      </c>
      <c r="Q208" s="3">
        <f>SUMIFS('Business - Dump'!$Q:$Q,'Business - Dump'!$D:$D,'SKU Repoprt'!$D208,'Business - Dump'!$A:$A,'SKU Repoprt'!Q$1)</f>
        <v>1</v>
      </c>
      <c r="R208" s="3">
        <f>SUMIFS('Business - Dump'!$Q:$Q,'Business - Dump'!$D:$D,'SKU Repoprt'!$D208,'Business - Dump'!$A:$A,'SKU Repoprt'!R$1)</f>
        <v>0</v>
      </c>
      <c r="S208" s="3">
        <f>SUMIFS('Business - Dump'!$Q:$Q,'Business - Dump'!$D:$D,'SKU Repoprt'!$D208,'Business - Dump'!$A:$A,'SKU Repoprt'!S$1)</f>
        <v>0</v>
      </c>
      <c r="T208" s="3">
        <f>SUMIFS('Business - Dump'!$Q:$Q,'Business - Dump'!$D:$D,'SKU Repoprt'!$D208,'Business - Dump'!$A:$A,'SKU Repoprt'!T$1)</f>
        <v>0</v>
      </c>
      <c r="U208" s="3">
        <f>SUMIFS('Business - Dump'!$Q:$Q,'Business - Dump'!$D:$D,'SKU Repoprt'!$D208,'Business - Dump'!$A:$A,'SKU Repoprt'!U$1)</f>
        <v>2</v>
      </c>
      <c r="V208" s="3">
        <f>SUMIFS('Business - Dump'!$Q:$Q,'Business - Dump'!$D:$D,'SKU Repoprt'!$D208,'Business - Dump'!$A:$A,'SKU Repoprt'!V$1)</f>
        <v>0</v>
      </c>
      <c r="W208" s="3">
        <f>SUMIFS('Business - Dump'!$Q:$Q,'Business - Dump'!$D:$D,'SKU Repoprt'!$D208,'Business - Dump'!$A:$A,'SKU Repoprt'!W$1)</f>
        <v>0</v>
      </c>
    </row>
    <row r="209" ht="15.75" customHeight="1">
      <c r="A209" s="10" t="s">
        <v>182</v>
      </c>
      <c r="B209" s="10" t="s">
        <v>182</v>
      </c>
      <c r="C209" s="10"/>
      <c r="D209" s="10" t="s">
        <v>371</v>
      </c>
      <c r="E209" s="10" t="s">
        <v>268</v>
      </c>
      <c r="F209" s="3">
        <f t="shared" si="69"/>
        <v>5</v>
      </c>
      <c r="G209" s="3">
        <f>SUMIFS('Business - Dump'!$W:$W,'Business - Dump'!$D:$D,'SKU Repoprt'!$D209,'Business - Dump'!$A:$A,'SKU Repoprt'!G$1)</f>
        <v>0</v>
      </c>
      <c r="H209" s="3">
        <f>SUMIFS('Business - Dump'!$W:$W,'Business - Dump'!$D:$D,'SKU Repoprt'!$D209,'Business - Dump'!$A:$A,'SKU Repoprt'!H$1)</f>
        <v>0</v>
      </c>
      <c r="I209" s="3">
        <f>SUMIFS('Business - Dump'!$W:$W,'Business - Dump'!$D:$D,'SKU Repoprt'!$D209,'Business - Dump'!$A:$A,'SKU Repoprt'!I$1)</f>
        <v>0</v>
      </c>
      <c r="J209" s="3">
        <f>SUMIFS('Business - Dump'!$W:$W,'Business - Dump'!$D:$D,'SKU Repoprt'!$D209,'Business - Dump'!$A:$A,'SKU Repoprt'!J$1)</f>
        <v>0</v>
      </c>
      <c r="K209" s="3">
        <f>SUMIFS('Business - Dump'!$W:$W,'Business - Dump'!$D:$D,'SKU Repoprt'!$D209,'Business - Dump'!$A:$A,'SKU Repoprt'!K$1)</f>
        <v>0</v>
      </c>
      <c r="L209" s="3">
        <f>SUMIFS('Business - Dump'!$W:$W,'Business - Dump'!$D:$D,'SKU Repoprt'!$D209,'Business - Dump'!$A:$A,'SKU Repoprt'!L$1)</f>
        <v>1</v>
      </c>
      <c r="M209" s="3">
        <f>SUMIFS('Business - Dump'!$W:$W,'Business - Dump'!$D:$D,'SKU Repoprt'!$D209,'Business - Dump'!$A:$A,'SKU Repoprt'!M$1)</f>
        <v>1</v>
      </c>
      <c r="N209" s="3">
        <f>SUMIFS('Business - Dump'!$W:$W,'Business - Dump'!$D:$D,'SKU Repoprt'!$D209,'Business - Dump'!$A:$A,'SKU Repoprt'!N$1)</f>
        <v>1</v>
      </c>
      <c r="O209" s="3">
        <f>SUMIFS('Business - Dump'!$W:$W,'Business - Dump'!$D:$D,'SKU Repoprt'!$D209,'Business - Dump'!$A:$A,'SKU Repoprt'!O$1)</f>
        <v>0</v>
      </c>
      <c r="P209" s="3">
        <f>SUMIFS('Business - Dump'!$W:$W,'Business - Dump'!$D:$D,'SKU Repoprt'!$D209,'Business - Dump'!$A:$A,'SKU Repoprt'!P$1)</f>
        <v>1</v>
      </c>
      <c r="Q209" s="3">
        <f>SUMIFS('Business - Dump'!$W:$W,'Business - Dump'!$D:$D,'SKU Repoprt'!$D209,'Business - Dump'!$A:$A,'SKU Repoprt'!Q$1)</f>
        <v>1</v>
      </c>
      <c r="R209" s="3">
        <f>SUMIFS('Business - Dump'!$W:$W,'Business - Dump'!$D:$D,'SKU Repoprt'!$D209,'Business - Dump'!$A:$A,'SKU Repoprt'!R$1)</f>
        <v>0</v>
      </c>
      <c r="S209" s="3">
        <f>SUMIFS('Business - Dump'!$W:$W,'Business - Dump'!$D:$D,'SKU Repoprt'!$D209,'Business - Dump'!$A:$A,'SKU Repoprt'!S$1)</f>
        <v>0</v>
      </c>
      <c r="T209" s="3">
        <f>SUMIFS('Business - Dump'!$W:$W,'Business - Dump'!$D:$D,'SKU Repoprt'!$D209,'Business - Dump'!$A:$A,'SKU Repoprt'!T$1)</f>
        <v>0</v>
      </c>
      <c r="U209" s="3">
        <f>SUMIFS('Business - Dump'!$W:$W,'Business - Dump'!$D:$D,'SKU Repoprt'!$D209,'Business - Dump'!$A:$A,'SKU Repoprt'!U$1)</f>
        <v>2</v>
      </c>
      <c r="V209" s="3">
        <f>SUMIFS('Business - Dump'!$W:$W,'Business - Dump'!$D:$D,'SKU Repoprt'!$D209,'Business - Dump'!$A:$A,'SKU Repoprt'!V$1)</f>
        <v>0</v>
      </c>
      <c r="W209" s="3">
        <f>SUMIFS('Business - Dump'!$W:$W,'Business - Dump'!$D:$D,'SKU Repoprt'!$D209,'Business - Dump'!$A:$A,'SKU Repoprt'!W$1)</f>
        <v>0</v>
      </c>
    </row>
    <row r="210" ht="15.75" customHeight="1">
      <c r="A210" s="10" t="s">
        <v>182</v>
      </c>
      <c r="B210" s="10" t="s">
        <v>182</v>
      </c>
      <c r="C210" s="10"/>
      <c r="D210" s="10" t="s">
        <v>371</v>
      </c>
      <c r="E210" s="10" t="s">
        <v>26</v>
      </c>
      <c r="F210" s="16">
        <f t="shared" si="69"/>
        <v>157635.42</v>
      </c>
      <c r="G210" s="16">
        <f>SUMIFS('Business - Dump'!$U:$U,'Business - Dump'!$D:$D,'SKU Repoprt'!$D210,'Business - Dump'!$A:$A,'SKU Repoprt'!G$1)</f>
        <v>0</v>
      </c>
      <c r="H210" s="16">
        <f>SUMIFS('Business - Dump'!$U:$U,'Business - Dump'!$D:$D,'SKU Repoprt'!$D210,'Business - Dump'!$A:$A,'SKU Repoprt'!H$1)</f>
        <v>0</v>
      </c>
      <c r="I210" s="16">
        <f>SUMIFS('Business - Dump'!$U:$U,'Business - Dump'!$D:$D,'SKU Repoprt'!$D210,'Business - Dump'!$A:$A,'SKU Repoprt'!I$1)</f>
        <v>0</v>
      </c>
      <c r="J210" s="16">
        <f>SUMIFS('Business - Dump'!$U:$U,'Business - Dump'!$D:$D,'SKU Repoprt'!$D210,'Business - Dump'!$A:$A,'SKU Repoprt'!J$1)</f>
        <v>0</v>
      </c>
      <c r="K210" s="16">
        <f>SUMIFS('Business - Dump'!$U:$U,'Business - Dump'!$D:$D,'SKU Repoprt'!$D210,'Business - Dump'!$A:$A,'SKU Repoprt'!K$1)</f>
        <v>0</v>
      </c>
      <c r="L210" s="16">
        <f>SUMIFS('Business - Dump'!$U:$U,'Business - Dump'!$D:$D,'SKU Repoprt'!$D210,'Business - Dump'!$A:$A,'SKU Repoprt'!L$1)</f>
        <v>32238.98</v>
      </c>
      <c r="M210" s="16">
        <f>SUMIFS('Business - Dump'!$U:$U,'Business - Dump'!$D:$D,'SKU Repoprt'!$D210,'Business - Dump'!$A:$A,'SKU Repoprt'!M$1)</f>
        <v>31381.36</v>
      </c>
      <c r="N210" s="16">
        <f>SUMIFS('Business - Dump'!$U:$U,'Business - Dump'!$D:$D,'SKU Repoprt'!$D210,'Business - Dump'!$A:$A,'SKU Repoprt'!N$1)</f>
        <v>31450</v>
      </c>
      <c r="O210" s="16">
        <f>SUMIFS('Business - Dump'!$U:$U,'Business - Dump'!$D:$D,'SKU Repoprt'!$D210,'Business - Dump'!$A:$A,'SKU Repoprt'!O$1)</f>
        <v>0</v>
      </c>
      <c r="P210" s="16">
        <f>SUMIFS('Business - Dump'!$U:$U,'Business - Dump'!$D:$D,'SKU Repoprt'!$D210,'Business - Dump'!$A:$A,'SKU Repoprt'!P$1)</f>
        <v>33320</v>
      </c>
      <c r="Q210" s="16">
        <f>SUMIFS('Business - Dump'!$U:$U,'Business - Dump'!$D:$D,'SKU Repoprt'!$D210,'Business - Dump'!$A:$A,'SKU Repoprt'!Q$1)</f>
        <v>29245.08</v>
      </c>
      <c r="R210" s="16">
        <f>SUMIFS('Business - Dump'!$U:$U,'Business - Dump'!$D:$D,'SKU Repoprt'!$D210,'Business - Dump'!$A:$A,'SKU Repoprt'!R$1)</f>
        <v>0</v>
      </c>
      <c r="S210" s="16">
        <f>SUMIFS('Business - Dump'!$U:$U,'Business - Dump'!$D:$D,'SKU Repoprt'!$D210,'Business - Dump'!$A:$A,'SKU Repoprt'!S$1)</f>
        <v>0</v>
      </c>
      <c r="T210" s="16">
        <f>SUMIFS('Business - Dump'!$U:$U,'Business - Dump'!$D:$D,'SKU Repoprt'!$D210,'Business - Dump'!$A:$A,'SKU Repoprt'!T$1)</f>
        <v>0</v>
      </c>
      <c r="U210" s="16">
        <f>SUMIFS('Business - Dump'!$U:$U,'Business - Dump'!$D:$D,'SKU Repoprt'!$D210,'Business - Dump'!$A:$A,'SKU Repoprt'!U$1)</f>
        <v>65306.03</v>
      </c>
      <c r="V210" s="16">
        <f>SUMIFS('Business - Dump'!$U:$U,'Business - Dump'!$D:$D,'SKU Repoprt'!$D210,'Business - Dump'!$A:$A,'SKU Repoprt'!V$1)</f>
        <v>0</v>
      </c>
      <c r="W210" s="16">
        <f>SUMIFS('Business - Dump'!$U:$U,'Business - Dump'!$D:$D,'SKU Repoprt'!$D210,'Business - Dump'!$A:$A,'SKU Repoprt'!W$1)</f>
        <v>0</v>
      </c>
    </row>
    <row r="211" ht="15.75" customHeight="1">
      <c r="A211" s="10" t="s">
        <v>182</v>
      </c>
      <c r="B211" s="10" t="s">
        <v>182</v>
      </c>
      <c r="C211" s="10"/>
      <c r="D211" s="10" t="s">
        <v>371</v>
      </c>
      <c r="E211" s="10" t="s">
        <v>29</v>
      </c>
      <c r="F211" s="17">
        <v>0.027042857142857143</v>
      </c>
      <c r="G211" s="17">
        <f t="shared" ref="G211:W211" si="70">IFERROR(G209/G206,0)</f>
        <v>0</v>
      </c>
      <c r="H211" s="17">
        <f t="shared" si="70"/>
        <v>0</v>
      </c>
      <c r="I211" s="17">
        <f t="shared" si="70"/>
        <v>0</v>
      </c>
      <c r="J211" s="17">
        <f t="shared" si="70"/>
        <v>0</v>
      </c>
      <c r="K211" s="17">
        <f t="shared" si="70"/>
        <v>0</v>
      </c>
      <c r="L211" s="17">
        <f t="shared" si="70"/>
        <v>0.008928571429</v>
      </c>
      <c r="M211" s="17">
        <f t="shared" si="70"/>
        <v>0.00406504065</v>
      </c>
      <c r="N211" s="17">
        <f t="shared" si="70"/>
        <v>0.005128205128</v>
      </c>
      <c r="O211" s="17">
        <f t="shared" si="70"/>
        <v>0</v>
      </c>
      <c r="P211" s="17">
        <f t="shared" si="70"/>
        <v>0.00390625</v>
      </c>
      <c r="Q211" s="17">
        <f t="shared" si="70"/>
        <v>0.00269541779</v>
      </c>
      <c r="R211" s="17">
        <f t="shared" si="70"/>
        <v>0</v>
      </c>
      <c r="S211" s="17">
        <f t="shared" si="70"/>
        <v>0</v>
      </c>
      <c r="T211" s="17">
        <f t="shared" si="70"/>
        <v>0</v>
      </c>
      <c r="U211" s="17">
        <f t="shared" si="70"/>
        <v>0.01851851852</v>
      </c>
      <c r="V211" s="17">
        <f t="shared" si="70"/>
        <v>0</v>
      </c>
      <c r="W211" s="17">
        <f t="shared" si="70"/>
        <v>0</v>
      </c>
    </row>
    <row r="212" ht="15.75" customHeight="1">
      <c r="A212" s="10" t="s">
        <v>182</v>
      </c>
      <c r="B212" s="10" t="s">
        <v>182</v>
      </c>
      <c r="C212" s="10"/>
      <c r="D212" s="10" t="s">
        <v>372</v>
      </c>
      <c r="E212" s="10" t="s">
        <v>257</v>
      </c>
      <c r="F212" s="3">
        <f t="shared" ref="F212:F216" si="71">SUM(G212:S212)</f>
        <v>1398</v>
      </c>
      <c r="G212" s="3">
        <f>SUMIFS('Business - Dump'!$G:$G,'Business - Dump'!$D:$D,'SKU Repoprt'!$D212,'Business - Dump'!$A:$A,'SKU Repoprt'!G$1)</f>
        <v>0</v>
      </c>
      <c r="H212" s="3">
        <f>SUMIFS('Business - Dump'!$G:$G,'Business - Dump'!$D:$D,'SKU Repoprt'!$D212,'Business - Dump'!$A:$A,'SKU Repoprt'!H$1)</f>
        <v>0</v>
      </c>
      <c r="I212" s="3">
        <f>SUMIFS('Business - Dump'!$G:$G,'Business - Dump'!$D:$D,'SKU Repoprt'!$D212,'Business - Dump'!$A:$A,'SKU Repoprt'!I$1)</f>
        <v>0</v>
      </c>
      <c r="J212" s="3">
        <f>SUMIFS('Business - Dump'!$G:$G,'Business - Dump'!$D:$D,'SKU Repoprt'!$D212,'Business - Dump'!$A:$A,'SKU Repoprt'!J$1)</f>
        <v>73</v>
      </c>
      <c r="K212" s="3">
        <f>SUMIFS('Business - Dump'!$G:$G,'Business - Dump'!$D:$D,'SKU Repoprt'!$D212,'Business - Dump'!$A:$A,'SKU Repoprt'!K$1)</f>
        <v>0</v>
      </c>
      <c r="L212" s="3">
        <f>SUMIFS('Business - Dump'!$G:$G,'Business - Dump'!$D:$D,'SKU Repoprt'!$D212,'Business - Dump'!$A:$A,'SKU Repoprt'!L$1)</f>
        <v>63</v>
      </c>
      <c r="M212" s="3">
        <f>SUMIFS('Business - Dump'!$G:$G,'Business - Dump'!$D:$D,'SKU Repoprt'!$D212,'Business - Dump'!$A:$A,'SKU Repoprt'!M$1)</f>
        <v>259</v>
      </c>
      <c r="N212" s="3">
        <f>SUMIFS('Business - Dump'!$G:$G,'Business - Dump'!$D:$D,'SKU Repoprt'!$D212,'Business - Dump'!$A:$A,'SKU Repoprt'!N$1)</f>
        <v>146</v>
      </c>
      <c r="O212" s="3">
        <f>SUMIFS('Business - Dump'!$G:$G,'Business - Dump'!$D:$D,'SKU Repoprt'!$D212,'Business - Dump'!$A:$A,'SKU Repoprt'!O$1)</f>
        <v>249</v>
      </c>
      <c r="P212" s="3">
        <f>SUMIFS('Business - Dump'!$G:$G,'Business - Dump'!$D:$D,'SKU Repoprt'!$D212,'Business - Dump'!$A:$A,'SKU Repoprt'!P$1)</f>
        <v>135</v>
      </c>
      <c r="Q212" s="3">
        <f>SUMIFS('Business - Dump'!$G:$G,'Business - Dump'!$D:$D,'SKU Repoprt'!$D212,'Business - Dump'!$A:$A,'SKU Repoprt'!Q$1)</f>
        <v>230</v>
      </c>
      <c r="R212" s="3">
        <f>SUMIFS('Business - Dump'!$G:$G,'Business - Dump'!$D:$D,'SKU Repoprt'!$D212,'Business - Dump'!$A:$A,'SKU Repoprt'!R$1)</f>
        <v>190</v>
      </c>
      <c r="S212" s="3">
        <f>SUMIFS('Business - Dump'!$G:$G,'Business - Dump'!$D:$D,'SKU Repoprt'!$D212,'Business - Dump'!$A:$A,'SKU Repoprt'!S$1)</f>
        <v>53</v>
      </c>
      <c r="T212" s="3">
        <f>SUMIFS('Business - Dump'!$G:$G,'Business - Dump'!$D:$D,'SKU Repoprt'!$D212,'Business - Dump'!$A:$A,'SKU Repoprt'!T$1)</f>
        <v>44</v>
      </c>
      <c r="U212" s="3">
        <f>SUMIFS('Business - Dump'!$G:$G,'Business - Dump'!$D:$D,'SKU Repoprt'!$D212,'Business - Dump'!$A:$A,'SKU Repoprt'!U$1)</f>
        <v>50</v>
      </c>
      <c r="V212" s="3">
        <f>SUMIFS('Business - Dump'!$G:$G,'Business - Dump'!$D:$D,'SKU Repoprt'!$D212,'Business - Dump'!$A:$A,'SKU Repoprt'!V$1)</f>
        <v>34</v>
      </c>
      <c r="W212" s="3">
        <f>SUMIFS('Business - Dump'!$G:$G,'Business - Dump'!$D:$D,'SKU Repoprt'!$D212,'Business - Dump'!$A:$A,'SKU Repoprt'!W$1)</f>
        <v>109</v>
      </c>
    </row>
    <row r="213" ht="15.75" customHeight="1">
      <c r="A213" s="10" t="s">
        <v>182</v>
      </c>
      <c r="B213" s="10" t="s">
        <v>182</v>
      </c>
      <c r="C213" s="10"/>
      <c r="D213" s="10" t="s">
        <v>372</v>
      </c>
      <c r="E213" s="10" t="s">
        <v>260</v>
      </c>
      <c r="F213" s="3">
        <f t="shared" si="71"/>
        <v>1809</v>
      </c>
      <c r="G213" s="3">
        <f>SUMIFS('Business - Dump'!$K:$K,'Business - Dump'!$D:$D,'SKU Repoprt'!$D213,'Business - Dump'!$A:$A,'SKU Repoprt'!G$1)</f>
        <v>0</v>
      </c>
      <c r="H213" s="3">
        <f>SUMIFS('Business - Dump'!$K:$K,'Business - Dump'!$D:$D,'SKU Repoprt'!$D213,'Business - Dump'!$A:$A,'SKU Repoprt'!H$1)</f>
        <v>0</v>
      </c>
      <c r="I213" s="3">
        <f>SUMIFS('Business - Dump'!$K:$K,'Business - Dump'!$D:$D,'SKU Repoprt'!$D213,'Business - Dump'!$A:$A,'SKU Repoprt'!I$1)</f>
        <v>0</v>
      </c>
      <c r="J213" s="3">
        <f>SUMIFS('Business - Dump'!$K:$K,'Business - Dump'!$D:$D,'SKU Repoprt'!$D213,'Business - Dump'!$A:$A,'SKU Repoprt'!J$1)</f>
        <v>86</v>
      </c>
      <c r="K213" s="3">
        <f>SUMIFS('Business - Dump'!$K:$K,'Business - Dump'!$D:$D,'SKU Repoprt'!$D213,'Business - Dump'!$A:$A,'SKU Repoprt'!K$1)</f>
        <v>0</v>
      </c>
      <c r="L213" s="3">
        <f>SUMIFS('Business - Dump'!$K:$K,'Business - Dump'!$D:$D,'SKU Repoprt'!$D213,'Business - Dump'!$A:$A,'SKU Repoprt'!L$1)</f>
        <v>89</v>
      </c>
      <c r="M213" s="3">
        <f>SUMIFS('Business - Dump'!$K:$K,'Business - Dump'!$D:$D,'SKU Repoprt'!$D213,'Business - Dump'!$A:$A,'SKU Repoprt'!M$1)</f>
        <v>369</v>
      </c>
      <c r="N213" s="3">
        <f>SUMIFS('Business - Dump'!$K:$K,'Business - Dump'!$D:$D,'SKU Repoprt'!$D213,'Business - Dump'!$A:$A,'SKU Repoprt'!N$1)</f>
        <v>177</v>
      </c>
      <c r="O213" s="3">
        <f>SUMIFS('Business - Dump'!$K:$K,'Business - Dump'!$D:$D,'SKU Repoprt'!$D213,'Business - Dump'!$A:$A,'SKU Repoprt'!O$1)</f>
        <v>318</v>
      </c>
      <c r="P213" s="3">
        <f>SUMIFS('Business - Dump'!$K:$K,'Business - Dump'!$D:$D,'SKU Repoprt'!$D213,'Business - Dump'!$A:$A,'SKU Repoprt'!P$1)</f>
        <v>156</v>
      </c>
      <c r="Q213" s="3">
        <f>SUMIFS('Business - Dump'!$K:$K,'Business - Dump'!$D:$D,'SKU Repoprt'!$D213,'Business - Dump'!$A:$A,'SKU Repoprt'!Q$1)</f>
        <v>288</v>
      </c>
      <c r="R213" s="3">
        <f>SUMIFS('Business - Dump'!$K:$K,'Business - Dump'!$D:$D,'SKU Repoprt'!$D213,'Business - Dump'!$A:$A,'SKU Repoprt'!R$1)</f>
        <v>255</v>
      </c>
      <c r="S213" s="3">
        <f>SUMIFS('Business - Dump'!$K:$K,'Business - Dump'!$D:$D,'SKU Repoprt'!$D213,'Business - Dump'!$A:$A,'SKU Repoprt'!S$1)</f>
        <v>71</v>
      </c>
      <c r="T213" s="3">
        <f>SUMIFS('Business - Dump'!$K:$K,'Business - Dump'!$D:$D,'SKU Repoprt'!$D213,'Business - Dump'!$A:$A,'SKU Repoprt'!T$1)</f>
        <v>62</v>
      </c>
      <c r="U213" s="3">
        <f>SUMIFS('Business - Dump'!$K:$K,'Business - Dump'!$D:$D,'SKU Repoprt'!$D213,'Business - Dump'!$A:$A,'SKU Repoprt'!U$1)</f>
        <v>81</v>
      </c>
      <c r="V213" s="3">
        <f>SUMIFS('Business - Dump'!$K:$K,'Business - Dump'!$D:$D,'SKU Repoprt'!$D213,'Business - Dump'!$A:$A,'SKU Repoprt'!V$1)</f>
        <v>36</v>
      </c>
      <c r="W213" s="3">
        <f>SUMIFS('Business - Dump'!$K:$K,'Business - Dump'!$D:$D,'SKU Repoprt'!$D213,'Business - Dump'!$A:$A,'SKU Repoprt'!W$1)</f>
        <v>120</v>
      </c>
    </row>
    <row r="214" ht="15.75" customHeight="1">
      <c r="A214" s="10" t="s">
        <v>182</v>
      </c>
      <c r="B214" s="10" t="s">
        <v>182</v>
      </c>
      <c r="C214" s="10"/>
      <c r="D214" s="10" t="s">
        <v>372</v>
      </c>
      <c r="E214" s="10" t="s">
        <v>264</v>
      </c>
      <c r="F214" s="3">
        <f t="shared" si="71"/>
        <v>6</v>
      </c>
      <c r="G214" s="3">
        <f>SUMIFS('Business - Dump'!$Q:$Q,'Business - Dump'!$D:$D,'SKU Repoprt'!$D214,'Business - Dump'!$A:$A,'SKU Repoprt'!G$1)</f>
        <v>0</v>
      </c>
      <c r="H214" s="3">
        <f>SUMIFS('Business - Dump'!$Q:$Q,'Business - Dump'!$D:$D,'SKU Repoprt'!$D214,'Business - Dump'!$A:$A,'SKU Repoprt'!H$1)</f>
        <v>0</v>
      </c>
      <c r="I214" s="3">
        <f>SUMIFS('Business - Dump'!$Q:$Q,'Business - Dump'!$D:$D,'SKU Repoprt'!$D214,'Business - Dump'!$A:$A,'SKU Repoprt'!I$1)</f>
        <v>0</v>
      </c>
      <c r="J214" s="3">
        <f>SUMIFS('Business - Dump'!$Q:$Q,'Business - Dump'!$D:$D,'SKU Repoprt'!$D214,'Business - Dump'!$A:$A,'SKU Repoprt'!J$1)</f>
        <v>1</v>
      </c>
      <c r="K214" s="3">
        <f>SUMIFS('Business - Dump'!$Q:$Q,'Business - Dump'!$D:$D,'SKU Repoprt'!$D214,'Business - Dump'!$A:$A,'SKU Repoprt'!K$1)</f>
        <v>0</v>
      </c>
      <c r="L214" s="3">
        <f>SUMIFS('Business - Dump'!$Q:$Q,'Business - Dump'!$D:$D,'SKU Repoprt'!$D214,'Business - Dump'!$A:$A,'SKU Repoprt'!L$1)</f>
        <v>1</v>
      </c>
      <c r="M214" s="3">
        <f>SUMIFS('Business - Dump'!$Q:$Q,'Business - Dump'!$D:$D,'SKU Repoprt'!$D214,'Business - Dump'!$A:$A,'SKU Repoprt'!M$1)</f>
        <v>2</v>
      </c>
      <c r="N214" s="3">
        <f>SUMIFS('Business - Dump'!$Q:$Q,'Business - Dump'!$D:$D,'SKU Repoprt'!$D214,'Business - Dump'!$A:$A,'SKU Repoprt'!N$1)</f>
        <v>0</v>
      </c>
      <c r="O214" s="3">
        <f>SUMIFS('Business - Dump'!$Q:$Q,'Business - Dump'!$D:$D,'SKU Repoprt'!$D214,'Business - Dump'!$A:$A,'SKU Repoprt'!O$1)</f>
        <v>0</v>
      </c>
      <c r="P214" s="3">
        <f>SUMIFS('Business - Dump'!$Q:$Q,'Business - Dump'!$D:$D,'SKU Repoprt'!$D214,'Business - Dump'!$A:$A,'SKU Repoprt'!P$1)</f>
        <v>0</v>
      </c>
      <c r="Q214" s="3">
        <f>SUMIFS('Business - Dump'!$Q:$Q,'Business - Dump'!$D:$D,'SKU Repoprt'!$D214,'Business - Dump'!$A:$A,'SKU Repoprt'!Q$1)</f>
        <v>0</v>
      </c>
      <c r="R214" s="3">
        <f>SUMIFS('Business - Dump'!$Q:$Q,'Business - Dump'!$D:$D,'SKU Repoprt'!$D214,'Business - Dump'!$A:$A,'SKU Repoprt'!R$1)</f>
        <v>2</v>
      </c>
      <c r="S214" s="3">
        <f>SUMIFS('Business - Dump'!$Q:$Q,'Business - Dump'!$D:$D,'SKU Repoprt'!$D214,'Business - Dump'!$A:$A,'SKU Repoprt'!S$1)</f>
        <v>0</v>
      </c>
      <c r="T214" s="3">
        <f>SUMIFS('Business - Dump'!$Q:$Q,'Business - Dump'!$D:$D,'SKU Repoprt'!$D214,'Business - Dump'!$A:$A,'SKU Repoprt'!T$1)</f>
        <v>0</v>
      </c>
      <c r="U214" s="3">
        <f>SUMIFS('Business - Dump'!$Q:$Q,'Business - Dump'!$D:$D,'SKU Repoprt'!$D214,'Business - Dump'!$A:$A,'SKU Repoprt'!U$1)</f>
        <v>0</v>
      </c>
      <c r="V214" s="3">
        <f>SUMIFS('Business - Dump'!$Q:$Q,'Business - Dump'!$D:$D,'SKU Repoprt'!$D214,'Business - Dump'!$A:$A,'SKU Repoprt'!V$1)</f>
        <v>0</v>
      </c>
      <c r="W214" s="3">
        <f>SUMIFS('Business - Dump'!$Q:$Q,'Business - Dump'!$D:$D,'SKU Repoprt'!$D214,'Business - Dump'!$A:$A,'SKU Repoprt'!W$1)</f>
        <v>0</v>
      </c>
    </row>
    <row r="215" ht="15.75" customHeight="1">
      <c r="A215" s="10" t="s">
        <v>182</v>
      </c>
      <c r="B215" s="10" t="s">
        <v>182</v>
      </c>
      <c r="C215" s="10"/>
      <c r="D215" s="10" t="s">
        <v>372</v>
      </c>
      <c r="E215" s="10" t="s">
        <v>268</v>
      </c>
      <c r="F215" s="3">
        <f t="shared" si="71"/>
        <v>6</v>
      </c>
      <c r="G215" s="3">
        <f>SUMIFS('Business - Dump'!$W:$W,'Business - Dump'!$D:$D,'SKU Repoprt'!$D215,'Business - Dump'!$A:$A,'SKU Repoprt'!G$1)</f>
        <v>0</v>
      </c>
      <c r="H215" s="3">
        <f>SUMIFS('Business - Dump'!$W:$W,'Business - Dump'!$D:$D,'SKU Repoprt'!$D215,'Business - Dump'!$A:$A,'SKU Repoprt'!H$1)</f>
        <v>0</v>
      </c>
      <c r="I215" s="3">
        <f>SUMIFS('Business - Dump'!$W:$W,'Business - Dump'!$D:$D,'SKU Repoprt'!$D215,'Business - Dump'!$A:$A,'SKU Repoprt'!I$1)</f>
        <v>0</v>
      </c>
      <c r="J215" s="3">
        <f>SUMIFS('Business - Dump'!$W:$W,'Business - Dump'!$D:$D,'SKU Repoprt'!$D215,'Business - Dump'!$A:$A,'SKU Repoprt'!J$1)</f>
        <v>1</v>
      </c>
      <c r="K215" s="3">
        <f>SUMIFS('Business - Dump'!$W:$W,'Business - Dump'!$D:$D,'SKU Repoprt'!$D215,'Business - Dump'!$A:$A,'SKU Repoprt'!K$1)</f>
        <v>0</v>
      </c>
      <c r="L215" s="3">
        <f>SUMIFS('Business - Dump'!$W:$W,'Business - Dump'!$D:$D,'SKU Repoprt'!$D215,'Business - Dump'!$A:$A,'SKU Repoprt'!L$1)</f>
        <v>1</v>
      </c>
      <c r="M215" s="3">
        <f>SUMIFS('Business - Dump'!$W:$W,'Business - Dump'!$D:$D,'SKU Repoprt'!$D215,'Business - Dump'!$A:$A,'SKU Repoprt'!M$1)</f>
        <v>2</v>
      </c>
      <c r="N215" s="3">
        <f>SUMIFS('Business - Dump'!$W:$W,'Business - Dump'!$D:$D,'SKU Repoprt'!$D215,'Business - Dump'!$A:$A,'SKU Repoprt'!N$1)</f>
        <v>0</v>
      </c>
      <c r="O215" s="3">
        <f>SUMIFS('Business - Dump'!$W:$W,'Business - Dump'!$D:$D,'SKU Repoprt'!$D215,'Business - Dump'!$A:$A,'SKU Repoprt'!O$1)</f>
        <v>0</v>
      </c>
      <c r="P215" s="3">
        <f>SUMIFS('Business - Dump'!$W:$W,'Business - Dump'!$D:$D,'SKU Repoprt'!$D215,'Business - Dump'!$A:$A,'SKU Repoprt'!P$1)</f>
        <v>0</v>
      </c>
      <c r="Q215" s="3">
        <f>SUMIFS('Business - Dump'!$W:$W,'Business - Dump'!$D:$D,'SKU Repoprt'!$D215,'Business - Dump'!$A:$A,'SKU Repoprt'!Q$1)</f>
        <v>0</v>
      </c>
      <c r="R215" s="3">
        <f>SUMIFS('Business - Dump'!$W:$W,'Business - Dump'!$D:$D,'SKU Repoprt'!$D215,'Business - Dump'!$A:$A,'SKU Repoprt'!R$1)</f>
        <v>2</v>
      </c>
      <c r="S215" s="3">
        <f>SUMIFS('Business - Dump'!$W:$W,'Business - Dump'!$D:$D,'SKU Repoprt'!$D215,'Business - Dump'!$A:$A,'SKU Repoprt'!S$1)</f>
        <v>0</v>
      </c>
      <c r="T215" s="3">
        <f>SUMIFS('Business - Dump'!$W:$W,'Business - Dump'!$D:$D,'SKU Repoprt'!$D215,'Business - Dump'!$A:$A,'SKU Repoprt'!T$1)</f>
        <v>0</v>
      </c>
      <c r="U215" s="3">
        <f>SUMIFS('Business - Dump'!$W:$W,'Business - Dump'!$D:$D,'SKU Repoprt'!$D215,'Business - Dump'!$A:$A,'SKU Repoprt'!U$1)</f>
        <v>0</v>
      </c>
      <c r="V215" s="3">
        <f>SUMIFS('Business - Dump'!$W:$W,'Business - Dump'!$D:$D,'SKU Repoprt'!$D215,'Business - Dump'!$A:$A,'SKU Repoprt'!V$1)</f>
        <v>0</v>
      </c>
      <c r="W215" s="3">
        <f>SUMIFS('Business - Dump'!$W:$W,'Business - Dump'!$D:$D,'SKU Repoprt'!$D215,'Business - Dump'!$A:$A,'SKU Repoprt'!W$1)</f>
        <v>0</v>
      </c>
    </row>
    <row r="216" ht="15.75" customHeight="1">
      <c r="A216" s="10" t="s">
        <v>182</v>
      </c>
      <c r="B216" s="10" t="s">
        <v>182</v>
      </c>
      <c r="C216" s="10"/>
      <c r="D216" s="10" t="s">
        <v>372</v>
      </c>
      <c r="E216" s="10" t="s">
        <v>26</v>
      </c>
      <c r="F216" s="16">
        <f t="shared" si="71"/>
        <v>177507.8</v>
      </c>
      <c r="G216" s="16">
        <f>SUMIFS('Business - Dump'!$U:$U,'Business - Dump'!$D:$D,'SKU Repoprt'!$D216,'Business - Dump'!$A:$A,'SKU Repoprt'!G$1)</f>
        <v>0</v>
      </c>
      <c r="H216" s="16">
        <f>SUMIFS('Business - Dump'!$U:$U,'Business - Dump'!$D:$D,'SKU Repoprt'!$D216,'Business - Dump'!$A:$A,'SKU Repoprt'!H$1)</f>
        <v>0</v>
      </c>
      <c r="I216" s="16">
        <f>SUMIFS('Business - Dump'!$U:$U,'Business - Dump'!$D:$D,'SKU Repoprt'!$D216,'Business - Dump'!$A:$A,'SKU Repoprt'!I$1)</f>
        <v>0</v>
      </c>
      <c r="J216" s="16">
        <f>SUMIFS('Business - Dump'!$U:$U,'Business - Dump'!$D:$D,'SKU Repoprt'!$D216,'Business - Dump'!$A:$A,'SKU Repoprt'!J$1)</f>
        <v>29900</v>
      </c>
      <c r="K216" s="16">
        <f>SUMIFS('Business - Dump'!$U:$U,'Business - Dump'!$D:$D,'SKU Repoprt'!$D216,'Business - Dump'!$A:$A,'SKU Repoprt'!K$1)</f>
        <v>0</v>
      </c>
      <c r="L216" s="16">
        <f>SUMIFS('Business - Dump'!$U:$U,'Business - Dump'!$D:$D,'SKU Repoprt'!$D216,'Business - Dump'!$A:$A,'SKU Repoprt'!L$1)</f>
        <v>30300</v>
      </c>
      <c r="M216" s="16">
        <f>SUMIFS('Business - Dump'!$U:$U,'Business - Dump'!$D:$D,'SKU Repoprt'!$D216,'Business - Dump'!$A:$A,'SKU Repoprt'!M$1)</f>
        <v>60762.72</v>
      </c>
      <c r="N216" s="16">
        <f>SUMIFS('Business - Dump'!$U:$U,'Business - Dump'!$D:$D,'SKU Repoprt'!$D216,'Business - Dump'!$A:$A,'SKU Repoprt'!N$1)</f>
        <v>0</v>
      </c>
      <c r="O216" s="16">
        <f>SUMIFS('Business - Dump'!$U:$U,'Business - Dump'!$D:$D,'SKU Repoprt'!$D216,'Business - Dump'!$A:$A,'SKU Repoprt'!O$1)</f>
        <v>0</v>
      </c>
      <c r="P216" s="16">
        <f>SUMIFS('Business - Dump'!$U:$U,'Business - Dump'!$D:$D,'SKU Repoprt'!$D216,'Business - Dump'!$A:$A,'SKU Repoprt'!P$1)</f>
        <v>0</v>
      </c>
      <c r="Q216" s="16">
        <f>SUMIFS('Business - Dump'!$U:$U,'Business - Dump'!$D:$D,'SKU Repoprt'!$D216,'Business - Dump'!$A:$A,'SKU Repoprt'!Q$1)</f>
        <v>0</v>
      </c>
      <c r="R216" s="16">
        <f>SUMIFS('Business - Dump'!$U:$U,'Business - Dump'!$D:$D,'SKU Repoprt'!$D216,'Business - Dump'!$A:$A,'SKU Repoprt'!R$1)</f>
        <v>56545.08</v>
      </c>
      <c r="S216" s="16">
        <f>SUMIFS('Business - Dump'!$U:$U,'Business - Dump'!$D:$D,'SKU Repoprt'!$D216,'Business - Dump'!$A:$A,'SKU Repoprt'!S$1)</f>
        <v>0</v>
      </c>
      <c r="T216" s="16">
        <f>SUMIFS('Business - Dump'!$U:$U,'Business - Dump'!$D:$D,'SKU Repoprt'!$D216,'Business - Dump'!$A:$A,'SKU Repoprt'!T$1)</f>
        <v>0</v>
      </c>
      <c r="U216" s="16">
        <f>SUMIFS('Business - Dump'!$U:$U,'Business - Dump'!$D:$D,'SKU Repoprt'!$D216,'Business - Dump'!$A:$A,'SKU Repoprt'!U$1)</f>
        <v>0</v>
      </c>
      <c r="V216" s="16">
        <f>SUMIFS('Business - Dump'!$U:$U,'Business - Dump'!$D:$D,'SKU Repoprt'!$D216,'Business - Dump'!$A:$A,'SKU Repoprt'!V$1)</f>
        <v>0</v>
      </c>
      <c r="W216" s="16">
        <f>SUMIFS('Business - Dump'!$U:$U,'Business - Dump'!$D:$D,'SKU Repoprt'!$D216,'Business - Dump'!$A:$A,'SKU Repoprt'!W$1)</f>
        <v>0</v>
      </c>
    </row>
    <row r="217" ht="15.75" customHeight="1">
      <c r="A217" s="10" t="s">
        <v>182</v>
      </c>
      <c r="B217" s="10" t="s">
        <v>182</v>
      </c>
      <c r="C217" s="10"/>
      <c r="D217" s="10" t="s">
        <v>372</v>
      </c>
      <c r="E217" s="10" t="s">
        <v>29</v>
      </c>
      <c r="F217" s="17">
        <v>0.027042857142857143</v>
      </c>
      <c r="G217" s="17">
        <f t="shared" ref="G217:W217" si="72">IFERROR(G215/G212,0)</f>
        <v>0</v>
      </c>
      <c r="H217" s="17">
        <f t="shared" si="72"/>
        <v>0</v>
      </c>
      <c r="I217" s="17">
        <f t="shared" si="72"/>
        <v>0</v>
      </c>
      <c r="J217" s="17">
        <f t="shared" si="72"/>
        <v>0.01369863014</v>
      </c>
      <c r="K217" s="17">
        <f t="shared" si="72"/>
        <v>0</v>
      </c>
      <c r="L217" s="17">
        <f t="shared" si="72"/>
        <v>0.01587301587</v>
      </c>
      <c r="M217" s="17">
        <f t="shared" si="72"/>
        <v>0.007722007722</v>
      </c>
      <c r="N217" s="17">
        <f t="shared" si="72"/>
        <v>0</v>
      </c>
      <c r="O217" s="17">
        <f t="shared" si="72"/>
        <v>0</v>
      </c>
      <c r="P217" s="17">
        <f t="shared" si="72"/>
        <v>0</v>
      </c>
      <c r="Q217" s="17">
        <f t="shared" si="72"/>
        <v>0</v>
      </c>
      <c r="R217" s="17">
        <f t="shared" si="72"/>
        <v>0.01052631579</v>
      </c>
      <c r="S217" s="17">
        <f t="shared" si="72"/>
        <v>0</v>
      </c>
      <c r="T217" s="17">
        <f t="shared" si="72"/>
        <v>0</v>
      </c>
      <c r="U217" s="17">
        <f t="shared" si="72"/>
        <v>0</v>
      </c>
      <c r="V217" s="17">
        <f t="shared" si="72"/>
        <v>0</v>
      </c>
      <c r="W217" s="17">
        <f t="shared" si="72"/>
        <v>0</v>
      </c>
    </row>
    <row r="218" ht="15.75" customHeight="1">
      <c r="A218" s="10" t="s">
        <v>182</v>
      </c>
      <c r="B218" s="10" t="s">
        <v>182</v>
      </c>
      <c r="C218" s="10"/>
      <c r="D218" s="10" t="s">
        <v>373</v>
      </c>
      <c r="E218" s="10" t="s">
        <v>257</v>
      </c>
      <c r="F218" s="3">
        <f t="shared" ref="F218:F222" si="73">SUM(G218:S218)</f>
        <v>151</v>
      </c>
      <c r="G218" s="3">
        <f>SUMIFS('Business - Dump'!$G:$G,'Business - Dump'!$D:$D,'SKU Repoprt'!$D218,'Business - Dump'!$A:$A,'SKU Repoprt'!G$1)</f>
        <v>0</v>
      </c>
      <c r="H218" s="3">
        <f>SUMIFS('Business - Dump'!$G:$G,'Business - Dump'!$D:$D,'SKU Repoprt'!$D218,'Business - Dump'!$A:$A,'SKU Repoprt'!H$1)</f>
        <v>0</v>
      </c>
      <c r="I218" s="3">
        <f>SUMIFS('Business - Dump'!$G:$G,'Business - Dump'!$D:$D,'SKU Repoprt'!$D218,'Business - Dump'!$A:$A,'SKU Repoprt'!I$1)</f>
        <v>0</v>
      </c>
      <c r="J218" s="3">
        <f>SUMIFS('Business - Dump'!$G:$G,'Business - Dump'!$D:$D,'SKU Repoprt'!$D218,'Business - Dump'!$A:$A,'SKU Repoprt'!J$1)</f>
        <v>0</v>
      </c>
      <c r="K218" s="3">
        <f>SUMIFS('Business - Dump'!$G:$G,'Business - Dump'!$D:$D,'SKU Repoprt'!$D218,'Business - Dump'!$A:$A,'SKU Repoprt'!K$1)</f>
        <v>151</v>
      </c>
      <c r="L218" s="3">
        <f>SUMIFS('Business - Dump'!$G:$G,'Business - Dump'!$D:$D,'SKU Repoprt'!$D218,'Business - Dump'!$A:$A,'SKU Repoprt'!L$1)</f>
        <v>0</v>
      </c>
      <c r="M218" s="3">
        <f>SUMIFS('Business - Dump'!$G:$G,'Business - Dump'!$D:$D,'SKU Repoprt'!$D218,'Business - Dump'!$A:$A,'SKU Repoprt'!M$1)</f>
        <v>0</v>
      </c>
      <c r="N218" s="3">
        <f>SUMIFS('Business - Dump'!$G:$G,'Business - Dump'!$D:$D,'SKU Repoprt'!$D218,'Business - Dump'!$A:$A,'SKU Repoprt'!N$1)</f>
        <v>0</v>
      </c>
      <c r="O218" s="3">
        <f>SUMIFS('Business - Dump'!$G:$G,'Business - Dump'!$D:$D,'SKU Repoprt'!$D218,'Business - Dump'!$A:$A,'SKU Repoprt'!O$1)</f>
        <v>0</v>
      </c>
      <c r="P218" s="3">
        <f>SUMIFS('Business - Dump'!$G:$G,'Business - Dump'!$D:$D,'SKU Repoprt'!$D218,'Business - Dump'!$A:$A,'SKU Repoprt'!P$1)</f>
        <v>0</v>
      </c>
      <c r="Q218" s="3">
        <f>SUMIFS('Business - Dump'!$G:$G,'Business - Dump'!$D:$D,'SKU Repoprt'!$D218,'Business - Dump'!$A:$A,'SKU Repoprt'!Q$1)</f>
        <v>0</v>
      </c>
      <c r="R218" s="3">
        <f>SUMIFS('Business - Dump'!$G:$G,'Business - Dump'!$D:$D,'SKU Repoprt'!$D218,'Business - Dump'!$A:$A,'SKU Repoprt'!R$1)</f>
        <v>0</v>
      </c>
      <c r="S218" s="3">
        <f>SUMIFS('Business - Dump'!$G:$G,'Business - Dump'!$D:$D,'SKU Repoprt'!$D218,'Business - Dump'!$A:$A,'SKU Repoprt'!S$1)</f>
        <v>0</v>
      </c>
      <c r="T218" s="3">
        <f>SUMIFS('Business - Dump'!$G:$G,'Business - Dump'!$D:$D,'SKU Repoprt'!$D218,'Business - Dump'!$A:$A,'SKU Repoprt'!T$1)</f>
        <v>0</v>
      </c>
      <c r="U218" s="3">
        <f>SUMIFS('Business - Dump'!$G:$G,'Business - Dump'!$D:$D,'SKU Repoprt'!$D218,'Business - Dump'!$A:$A,'SKU Repoprt'!U$1)</f>
        <v>0</v>
      </c>
      <c r="V218" s="3">
        <f>SUMIFS('Business - Dump'!$G:$G,'Business - Dump'!$D:$D,'SKU Repoprt'!$D218,'Business - Dump'!$A:$A,'SKU Repoprt'!V$1)</f>
        <v>0</v>
      </c>
      <c r="W218" s="3">
        <f>SUMIFS('Business - Dump'!$G:$G,'Business - Dump'!$D:$D,'SKU Repoprt'!$D218,'Business - Dump'!$A:$A,'SKU Repoprt'!W$1)</f>
        <v>0</v>
      </c>
    </row>
    <row r="219" ht="15.75" customHeight="1">
      <c r="A219" s="10" t="s">
        <v>182</v>
      </c>
      <c r="B219" s="10" t="s">
        <v>182</v>
      </c>
      <c r="C219" s="10"/>
      <c r="D219" s="10" t="s">
        <v>373</v>
      </c>
      <c r="E219" s="10" t="s">
        <v>260</v>
      </c>
      <c r="F219" s="3">
        <f t="shared" si="73"/>
        <v>174</v>
      </c>
      <c r="G219" s="3">
        <f>SUMIFS('Business - Dump'!$K:$K,'Business - Dump'!$D:$D,'SKU Repoprt'!$D219,'Business - Dump'!$A:$A,'SKU Repoprt'!G$1)</f>
        <v>0</v>
      </c>
      <c r="H219" s="3">
        <f>SUMIFS('Business - Dump'!$K:$K,'Business - Dump'!$D:$D,'SKU Repoprt'!$D219,'Business - Dump'!$A:$A,'SKU Repoprt'!H$1)</f>
        <v>0</v>
      </c>
      <c r="I219" s="3">
        <f>SUMIFS('Business - Dump'!$K:$K,'Business - Dump'!$D:$D,'SKU Repoprt'!$D219,'Business - Dump'!$A:$A,'SKU Repoprt'!I$1)</f>
        <v>0</v>
      </c>
      <c r="J219" s="3">
        <f>SUMIFS('Business - Dump'!$K:$K,'Business - Dump'!$D:$D,'SKU Repoprt'!$D219,'Business - Dump'!$A:$A,'SKU Repoprt'!J$1)</f>
        <v>0</v>
      </c>
      <c r="K219" s="3">
        <f>SUMIFS('Business - Dump'!$K:$K,'Business - Dump'!$D:$D,'SKU Repoprt'!$D219,'Business - Dump'!$A:$A,'SKU Repoprt'!K$1)</f>
        <v>174</v>
      </c>
      <c r="L219" s="3">
        <f>SUMIFS('Business - Dump'!$K:$K,'Business - Dump'!$D:$D,'SKU Repoprt'!$D219,'Business - Dump'!$A:$A,'SKU Repoprt'!L$1)</f>
        <v>0</v>
      </c>
      <c r="M219" s="3">
        <f>SUMIFS('Business - Dump'!$K:$K,'Business - Dump'!$D:$D,'SKU Repoprt'!$D219,'Business - Dump'!$A:$A,'SKU Repoprt'!M$1)</f>
        <v>0</v>
      </c>
      <c r="N219" s="3">
        <f>SUMIFS('Business - Dump'!$K:$K,'Business - Dump'!$D:$D,'SKU Repoprt'!$D219,'Business - Dump'!$A:$A,'SKU Repoprt'!N$1)</f>
        <v>0</v>
      </c>
      <c r="O219" s="3">
        <f>SUMIFS('Business - Dump'!$K:$K,'Business - Dump'!$D:$D,'SKU Repoprt'!$D219,'Business - Dump'!$A:$A,'SKU Repoprt'!O$1)</f>
        <v>0</v>
      </c>
      <c r="P219" s="3">
        <f>SUMIFS('Business - Dump'!$K:$K,'Business - Dump'!$D:$D,'SKU Repoprt'!$D219,'Business - Dump'!$A:$A,'SKU Repoprt'!P$1)</f>
        <v>0</v>
      </c>
      <c r="Q219" s="3">
        <f>SUMIFS('Business - Dump'!$K:$K,'Business - Dump'!$D:$D,'SKU Repoprt'!$D219,'Business - Dump'!$A:$A,'SKU Repoprt'!Q$1)</f>
        <v>0</v>
      </c>
      <c r="R219" s="3">
        <f>SUMIFS('Business - Dump'!$K:$K,'Business - Dump'!$D:$D,'SKU Repoprt'!$D219,'Business - Dump'!$A:$A,'SKU Repoprt'!R$1)</f>
        <v>0</v>
      </c>
      <c r="S219" s="3">
        <f>SUMIFS('Business - Dump'!$K:$K,'Business - Dump'!$D:$D,'SKU Repoprt'!$D219,'Business - Dump'!$A:$A,'SKU Repoprt'!S$1)</f>
        <v>0</v>
      </c>
      <c r="T219" s="3">
        <f>SUMIFS('Business - Dump'!$K:$K,'Business - Dump'!$D:$D,'SKU Repoprt'!$D219,'Business - Dump'!$A:$A,'SKU Repoprt'!T$1)</f>
        <v>0</v>
      </c>
      <c r="U219" s="3">
        <f>SUMIFS('Business - Dump'!$K:$K,'Business - Dump'!$D:$D,'SKU Repoprt'!$D219,'Business - Dump'!$A:$A,'SKU Repoprt'!U$1)</f>
        <v>0</v>
      </c>
      <c r="V219" s="3">
        <f>SUMIFS('Business - Dump'!$K:$K,'Business - Dump'!$D:$D,'SKU Repoprt'!$D219,'Business - Dump'!$A:$A,'SKU Repoprt'!V$1)</f>
        <v>0</v>
      </c>
      <c r="W219" s="3">
        <f>SUMIFS('Business - Dump'!$K:$K,'Business - Dump'!$D:$D,'SKU Repoprt'!$D219,'Business - Dump'!$A:$A,'SKU Repoprt'!W$1)</f>
        <v>0</v>
      </c>
    </row>
    <row r="220" ht="15.75" customHeight="1">
      <c r="A220" s="10" t="s">
        <v>182</v>
      </c>
      <c r="B220" s="10" t="s">
        <v>182</v>
      </c>
      <c r="C220" s="10"/>
      <c r="D220" s="10" t="s">
        <v>373</v>
      </c>
      <c r="E220" s="10" t="s">
        <v>264</v>
      </c>
      <c r="F220" s="3">
        <f t="shared" si="73"/>
        <v>1</v>
      </c>
      <c r="G220" s="3">
        <f>SUMIFS('Business - Dump'!$Q:$Q,'Business - Dump'!$D:$D,'SKU Repoprt'!$D220,'Business - Dump'!$A:$A,'SKU Repoprt'!G$1)</f>
        <v>0</v>
      </c>
      <c r="H220" s="3">
        <f>SUMIFS('Business - Dump'!$Q:$Q,'Business - Dump'!$D:$D,'SKU Repoprt'!$D220,'Business - Dump'!$A:$A,'SKU Repoprt'!H$1)</f>
        <v>0</v>
      </c>
      <c r="I220" s="3">
        <f>SUMIFS('Business - Dump'!$Q:$Q,'Business - Dump'!$D:$D,'SKU Repoprt'!$D220,'Business - Dump'!$A:$A,'SKU Repoprt'!I$1)</f>
        <v>0</v>
      </c>
      <c r="J220" s="3">
        <f>SUMIFS('Business - Dump'!$Q:$Q,'Business - Dump'!$D:$D,'SKU Repoprt'!$D220,'Business - Dump'!$A:$A,'SKU Repoprt'!J$1)</f>
        <v>0</v>
      </c>
      <c r="K220" s="3">
        <f>SUMIFS('Business - Dump'!$Q:$Q,'Business - Dump'!$D:$D,'SKU Repoprt'!$D220,'Business - Dump'!$A:$A,'SKU Repoprt'!K$1)</f>
        <v>1</v>
      </c>
      <c r="L220" s="3">
        <f>SUMIFS('Business - Dump'!$Q:$Q,'Business - Dump'!$D:$D,'SKU Repoprt'!$D220,'Business - Dump'!$A:$A,'SKU Repoprt'!L$1)</f>
        <v>0</v>
      </c>
      <c r="M220" s="3">
        <f>SUMIFS('Business - Dump'!$Q:$Q,'Business - Dump'!$D:$D,'SKU Repoprt'!$D220,'Business - Dump'!$A:$A,'SKU Repoprt'!M$1)</f>
        <v>0</v>
      </c>
      <c r="N220" s="3">
        <f>SUMIFS('Business - Dump'!$Q:$Q,'Business - Dump'!$D:$D,'SKU Repoprt'!$D220,'Business - Dump'!$A:$A,'SKU Repoprt'!N$1)</f>
        <v>0</v>
      </c>
      <c r="O220" s="3">
        <f>SUMIFS('Business - Dump'!$Q:$Q,'Business - Dump'!$D:$D,'SKU Repoprt'!$D220,'Business - Dump'!$A:$A,'SKU Repoprt'!O$1)</f>
        <v>0</v>
      </c>
      <c r="P220" s="3">
        <f>SUMIFS('Business - Dump'!$Q:$Q,'Business - Dump'!$D:$D,'SKU Repoprt'!$D220,'Business - Dump'!$A:$A,'SKU Repoprt'!P$1)</f>
        <v>0</v>
      </c>
      <c r="Q220" s="3">
        <f>SUMIFS('Business - Dump'!$Q:$Q,'Business - Dump'!$D:$D,'SKU Repoprt'!$D220,'Business - Dump'!$A:$A,'SKU Repoprt'!Q$1)</f>
        <v>0</v>
      </c>
      <c r="R220" s="3">
        <f>SUMIFS('Business - Dump'!$Q:$Q,'Business - Dump'!$D:$D,'SKU Repoprt'!$D220,'Business - Dump'!$A:$A,'SKU Repoprt'!R$1)</f>
        <v>0</v>
      </c>
      <c r="S220" s="3">
        <f>SUMIFS('Business - Dump'!$Q:$Q,'Business - Dump'!$D:$D,'SKU Repoprt'!$D220,'Business - Dump'!$A:$A,'SKU Repoprt'!S$1)</f>
        <v>0</v>
      </c>
      <c r="T220" s="3">
        <f>SUMIFS('Business - Dump'!$Q:$Q,'Business - Dump'!$D:$D,'SKU Repoprt'!$D220,'Business - Dump'!$A:$A,'SKU Repoprt'!T$1)</f>
        <v>0</v>
      </c>
      <c r="U220" s="3">
        <f>SUMIFS('Business - Dump'!$Q:$Q,'Business - Dump'!$D:$D,'SKU Repoprt'!$D220,'Business - Dump'!$A:$A,'SKU Repoprt'!U$1)</f>
        <v>0</v>
      </c>
      <c r="V220" s="3">
        <f>SUMIFS('Business - Dump'!$Q:$Q,'Business - Dump'!$D:$D,'SKU Repoprt'!$D220,'Business - Dump'!$A:$A,'SKU Repoprt'!V$1)</f>
        <v>0</v>
      </c>
      <c r="W220" s="3">
        <f>SUMIFS('Business - Dump'!$Q:$Q,'Business - Dump'!$D:$D,'SKU Repoprt'!$D220,'Business - Dump'!$A:$A,'SKU Repoprt'!W$1)</f>
        <v>0</v>
      </c>
    </row>
    <row r="221" ht="15.75" customHeight="1">
      <c r="A221" s="10" t="s">
        <v>182</v>
      </c>
      <c r="B221" s="10" t="s">
        <v>182</v>
      </c>
      <c r="C221" s="10"/>
      <c r="D221" s="10" t="s">
        <v>373</v>
      </c>
      <c r="E221" s="10" t="s">
        <v>268</v>
      </c>
      <c r="F221" s="3">
        <f t="shared" si="73"/>
        <v>1</v>
      </c>
      <c r="G221" s="3">
        <f>SUMIFS('Business - Dump'!$W:$W,'Business - Dump'!$D:$D,'SKU Repoprt'!$D221,'Business - Dump'!$A:$A,'SKU Repoprt'!G$1)</f>
        <v>0</v>
      </c>
      <c r="H221" s="3">
        <f>SUMIFS('Business - Dump'!$W:$W,'Business - Dump'!$D:$D,'SKU Repoprt'!$D221,'Business - Dump'!$A:$A,'SKU Repoprt'!H$1)</f>
        <v>0</v>
      </c>
      <c r="I221" s="3">
        <f>SUMIFS('Business - Dump'!$W:$W,'Business - Dump'!$D:$D,'SKU Repoprt'!$D221,'Business - Dump'!$A:$A,'SKU Repoprt'!I$1)</f>
        <v>0</v>
      </c>
      <c r="J221" s="3">
        <f>SUMIFS('Business - Dump'!$W:$W,'Business - Dump'!$D:$D,'SKU Repoprt'!$D221,'Business - Dump'!$A:$A,'SKU Repoprt'!J$1)</f>
        <v>0</v>
      </c>
      <c r="K221" s="3">
        <f>SUMIFS('Business - Dump'!$W:$W,'Business - Dump'!$D:$D,'SKU Repoprt'!$D221,'Business - Dump'!$A:$A,'SKU Repoprt'!K$1)</f>
        <v>1</v>
      </c>
      <c r="L221" s="3">
        <f>SUMIFS('Business - Dump'!$W:$W,'Business - Dump'!$D:$D,'SKU Repoprt'!$D221,'Business - Dump'!$A:$A,'SKU Repoprt'!L$1)</f>
        <v>0</v>
      </c>
      <c r="M221" s="3">
        <f>SUMIFS('Business - Dump'!$W:$W,'Business - Dump'!$D:$D,'SKU Repoprt'!$D221,'Business - Dump'!$A:$A,'SKU Repoprt'!M$1)</f>
        <v>0</v>
      </c>
      <c r="N221" s="3">
        <f>SUMIFS('Business - Dump'!$W:$W,'Business - Dump'!$D:$D,'SKU Repoprt'!$D221,'Business - Dump'!$A:$A,'SKU Repoprt'!N$1)</f>
        <v>0</v>
      </c>
      <c r="O221" s="3">
        <f>SUMIFS('Business - Dump'!$W:$W,'Business - Dump'!$D:$D,'SKU Repoprt'!$D221,'Business - Dump'!$A:$A,'SKU Repoprt'!O$1)</f>
        <v>0</v>
      </c>
      <c r="P221" s="3">
        <f>SUMIFS('Business - Dump'!$W:$W,'Business - Dump'!$D:$D,'SKU Repoprt'!$D221,'Business - Dump'!$A:$A,'SKU Repoprt'!P$1)</f>
        <v>0</v>
      </c>
      <c r="Q221" s="3">
        <f>SUMIFS('Business - Dump'!$W:$W,'Business - Dump'!$D:$D,'SKU Repoprt'!$D221,'Business - Dump'!$A:$A,'SKU Repoprt'!Q$1)</f>
        <v>0</v>
      </c>
      <c r="R221" s="3">
        <f>SUMIFS('Business - Dump'!$W:$W,'Business - Dump'!$D:$D,'SKU Repoprt'!$D221,'Business - Dump'!$A:$A,'SKU Repoprt'!R$1)</f>
        <v>0</v>
      </c>
      <c r="S221" s="3">
        <f>SUMIFS('Business - Dump'!$W:$W,'Business - Dump'!$D:$D,'SKU Repoprt'!$D221,'Business - Dump'!$A:$A,'SKU Repoprt'!S$1)</f>
        <v>0</v>
      </c>
      <c r="T221" s="3">
        <f>SUMIFS('Business - Dump'!$W:$W,'Business - Dump'!$D:$D,'SKU Repoprt'!$D221,'Business - Dump'!$A:$A,'SKU Repoprt'!T$1)</f>
        <v>0</v>
      </c>
      <c r="U221" s="3">
        <f>SUMIFS('Business - Dump'!$W:$W,'Business - Dump'!$D:$D,'SKU Repoprt'!$D221,'Business - Dump'!$A:$A,'SKU Repoprt'!U$1)</f>
        <v>0</v>
      </c>
      <c r="V221" s="3">
        <f>SUMIFS('Business - Dump'!$W:$W,'Business - Dump'!$D:$D,'SKU Repoprt'!$D221,'Business - Dump'!$A:$A,'SKU Repoprt'!V$1)</f>
        <v>0</v>
      </c>
      <c r="W221" s="3">
        <f>SUMIFS('Business - Dump'!$W:$W,'Business - Dump'!$D:$D,'SKU Repoprt'!$D221,'Business - Dump'!$A:$A,'SKU Repoprt'!W$1)</f>
        <v>0</v>
      </c>
    </row>
    <row r="222" ht="15.75" customHeight="1">
      <c r="A222" s="10" t="s">
        <v>182</v>
      </c>
      <c r="B222" s="10" t="s">
        <v>182</v>
      </c>
      <c r="C222" s="10"/>
      <c r="D222" s="10" t="s">
        <v>373</v>
      </c>
      <c r="E222" s="10" t="s">
        <v>26</v>
      </c>
      <c r="F222" s="16">
        <f t="shared" si="73"/>
        <v>33238.98</v>
      </c>
      <c r="G222" s="16">
        <f>SUMIFS('Business - Dump'!$U:$U,'Business - Dump'!$D:$D,'SKU Repoprt'!$D222,'Business - Dump'!$A:$A,'SKU Repoprt'!G$1)</f>
        <v>0</v>
      </c>
      <c r="H222" s="16">
        <f>SUMIFS('Business - Dump'!$U:$U,'Business - Dump'!$D:$D,'SKU Repoprt'!$D222,'Business - Dump'!$A:$A,'SKU Repoprt'!H$1)</f>
        <v>0</v>
      </c>
      <c r="I222" s="16">
        <f>SUMIFS('Business - Dump'!$U:$U,'Business - Dump'!$D:$D,'SKU Repoprt'!$D222,'Business - Dump'!$A:$A,'SKU Repoprt'!I$1)</f>
        <v>0</v>
      </c>
      <c r="J222" s="16">
        <f>SUMIFS('Business - Dump'!$U:$U,'Business - Dump'!$D:$D,'SKU Repoprt'!$D222,'Business - Dump'!$A:$A,'SKU Repoprt'!J$1)</f>
        <v>0</v>
      </c>
      <c r="K222" s="16">
        <f>SUMIFS('Business - Dump'!$U:$U,'Business - Dump'!$D:$D,'SKU Repoprt'!$D222,'Business - Dump'!$A:$A,'SKU Repoprt'!K$1)</f>
        <v>33238.98</v>
      </c>
      <c r="L222" s="16">
        <f>SUMIFS('Business - Dump'!$U:$U,'Business - Dump'!$D:$D,'SKU Repoprt'!$D222,'Business - Dump'!$A:$A,'SKU Repoprt'!L$1)</f>
        <v>0</v>
      </c>
      <c r="M222" s="16">
        <f>SUMIFS('Business - Dump'!$U:$U,'Business - Dump'!$D:$D,'SKU Repoprt'!$D222,'Business - Dump'!$A:$A,'SKU Repoprt'!M$1)</f>
        <v>0</v>
      </c>
      <c r="N222" s="16">
        <f>SUMIFS('Business - Dump'!$U:$U,'Business - Dump'!$D:$D,'SKU Repoprt'!$D222,'Business - Dump'!$A:$A,'SKU Repoprt'!N$1)</f>
        <v>0</v>
      </c>
      <c r="O222" s="16">
        <f>SUMIFS('Business - Dump'!$U:$U,'Business - Dump'!$D:$D,'SKU Repoprt'!$D222,'Business - Dump'!$A:$A,'SKU Repoprt'!O$1)</f>
        <v>0</v>
      </c>
      <c r="P222" s="16">
        <f>SUMIFS('Business - Dump'!$U:$U,'Business - Dump'!$D:$D,'SKU Repoprt'!$D222,'Business - Dump'!$A:$A,'SKU Repoprt'!P$1)</f>
        <v>0</v>
      </c>
      <c r="Q222" s="16">
        <f>SUMIFS('Business - Dump'!$U:$U,'Business - Dump'!$D:$D,'SKU Repoprt'!$D222,'Business - Dump'!$A:$A,'SKU Repoprt'!Q$1)</f>
        <v>0</v>
      </c>
      <c r="R222" s="16">
        <f>SUMIFS('Business - Dump'!$U:$U,'Business - Dump'!$D:$D,'SKU Repoprt'!$D222,'Business - Dump'!$A:$A,'SKU Repoprt'!R$1)</f>
        <v>0</v>
      </c>
      <c r="S222" s="16">
        <f>SUMIFS('Business - Dump'!$U:$U,'Business - Dump'!$D:$D,'SKU Repoprt'!$D222,'Business - Dump'!$A:$A,'SKU Repoprt'!S$1)</f>
        <v>0</v>
      </c>
      <c r="T222" s="16">
        <f>SUMIFS('Business - Dump'!$U:$U,'Business - Dump'!$D:$D,'SKU Repoprt'!$D222,'Business - Dump'!$A:$A,'SKU Repoprt'!T$1)</f>
        <v>0</v>
      </c>
      <c r="U222" s="16">
        <f>SUMIFS('Business - Dump'!$U:$U,'Business - Dump'!$D:$D,'SKU Repoprt'!$D222,'Business - Dump'!$A:$A,'SKU Repoprt'!U$1)</f>
        <v>0</v>
      </c>
      <c r="V222" s="16">
        <f>SUMIFS('Business - Dump'!$U:$U,'Business - Dump'!$D:$D,'SKU Repoprt'!$D222,'Business - Dump'!$A:$A,'SKU Repoprt'!V$1)</f>
        <v>0</v>
      </c>
      <c r="W222" s="16">
        <f>SUMIFS('Business - Dump'!$U:$U,'Business - Dump'!$D:$D,'SKU Repoprt'!$D222,'Business - Dump'!$A:$A,'SKU Repoprt'!W$1)</f>
        <v>0</v>
      </c>
    </row>
    <row r="223" ht="15.75" customHeight="1">
      <c r="A223" s="10" t="s">
        <v>182</v>
      </c>
      <c r="B223" s="10" t="s">
        <v>182</v>
      </c>
      <c r="C223" s="10"/>
      <c r="D223" s="10" t="s">
        <v>373</v>
      </c>
      <c r="E223" s="10" t="s">
        <v>29</v>
      </c>
      <c r="F223" s="17">
        <v>0.027042857142857143</v>
      </c>
      <c r="G223" s="17">
        <f t="shared" ref="G223:W223" si="74">IFERROR(G221/G218,0)</f>
        <v>0</v>
      </c>
      <c r="H223" s="17">
        <f t="shared" si="74"/>
        <v>0</v>
      </c>
      <c r="I223" s="17">
        <f t="shared" si="74"/>
        <v>0</v>
      </c>
      <c r="J223" s="17">
        <f t="shared" si="74"/>
        <v>0</v>
      </c>
      <c r="K223" s="17">
        <f t="shared" si="74"/>
        <v>0.006622516556</v>
      </c>
      <c r="L223" s="17">
        <f t="shared" si="74"/>
        <v>0</v>
      </c>
      <c r="M223" s="17">
        <f t="shared" si="74"/>
        <v>0</v>
      </c>
      <c r="N223" s="17">
        <f t="shared" si="74"/>
        <v>0</v>
      </c>
      <c r="O223" s="17">
        <f t="shared" si="74"/>
        <v>0</v>
      </c>
      <c r="P223" s="17">
        <f t="shared" si="74"/>
        <v>0</v>
      </c>
      <c r="Q223" s="17">
        <f t="shared" si="74"/>
        <v>0</v>
      </c>
      <c r="R223" s="17">
        <f t="shared" si="74"/>
        <v>0</v>
      </c>
      <c r="S223" s="17">
        <f t="shared" si="74"/>
        <v>0</v>
      </c>
      <c r="T223" s="17">
        <f t="shared" si="74"/>
        <v>0</v>
      </c>
      <c r="U223" s="17">
        <f t="shared" si="74"/>
        <v>0</v>
      </c>
      <c r="V223" s="17">
        <f t="shared" si="74"/>
        <v>0</v>
      </c>
      <c r="W223" s="17">
        <f t="shared" si="74"/>
        <v>0</v>
      </c>
    </row>
    <row r="224" ht="15.75" customHeight="1">
      <c r="A224" s="10" t="s">
        <v>182</v>
      </c>
      <c r="B224" s="10" t="s">
        <v>182</v>
      </c>
      <c r="C224" s="10"/>
      <c r="D224" s="10" t="s">
        <v>374</v>
      </c>
      <c r="E224" s="10" t="s">
        <v>257</v>
      </c>
      <c r="F224" s="3">
        <f t="shared" ref="F224:F228" si="75">SUM(G224:S224)</f>
        <v>143</v>
      </c>
      <c r="G224" s="3">
        <f>SUMIFS('Business - Dump'!$G:$G,'Business - Dump'!$D:$D,'SKU Repoprt'!$D224,'Business - Dump'!$A:$A,'SKU Repoprt'!G$1)</f>
        <v>0</v>
      </c>
      <c r="H224" s="3">
        <f>SUMIFS('Business - Dump'!$G:$G,'Business - Dump'!$D:$D,'SKU Repoprt'!$D224,'Business - Dump'!$A:$A,'SKU Repoprt'!H$1)</f>
        <v>0</v>
      </c>
      <c r="I224" s="3">
        <f>SUMIFS('Business - Dump'!$G:$G,'Business - Dump'!$D:$D,'SKU Repoprt'!$D224,'Business - Dump'!$A:$A,'SKU Repoprt'!I$1)</f>
        <v>0</v>
      </c>
      <c r="J224" s="3">
        <f>SUMIFS('Business - Dump'!$G:$G,'Business - Dump'!$D:$D,'SKU Repoprt'!$D224,'Business - Dump'!$A:$A,'SKU Repoprt'!J$1)</f>
        <v>0</v>
      </c>
      <c r="K224" s="3">
        <f>SUMIFS('Business - Dump'!$G:$G,'Business - Dump'!$D:$D,'SKU Repoprt'!$D224,'Business - Dump'!$A:$A,'SKU Repoprt'!K$1)</f>
        <v>143</v>
      </c>
      <c r="L224" s="3">
        <f>SUMIFS('Business - Dump'!$G:$G,'Business - Dump'!$D:$D,'SKU Repoprt'!$D224,'Business - Dump'!$A:$A,'SKU Repoprt'!L$1)</f>
        <v>0</v>
      </c>
      <c r="M224" s="3">
        <f>SUMIFS('Business - Dump'!$G:$G,'Business - Dump'!$D:$D,'SKU Repoprt'!$D224,'Business - Dump'!$A:$A,'SKU Repoprt'!M$1)</f>
        <v>0</v>
      </c>
      <c r="N224" s="3">
        <f>SUMIFS('Business - Dump'!$G:$G,'Business - Dump'!$D:$D,'SKU Repoprt'!$D224,'Business - Dump'!$A:$A,'SKU Repoprt'!N$1)</f>
        <v>0</v>
      </c>
      <c r="O224" s="3">
        <f>SUMIFS('Business - Dump'!$G:$G,'Business - Dump'!$D:$D,'SKU Repoprt'!$D224,'Business - Dump'!$A:$A,'SKU Repoprt'!O$1)</f>
        <v>0</v>
      </c>
      <c r="P224" s="3">
        <f>SUMIFS('Business - Dump'!$G:$G,'Business - Dump'!$D:$D,'SKU Repoprt'!$D224,'Business - Dump'!$A:$A,'SKU Repoprt'!P$1)</f>
        <v>0</v>
      </c>
      <c r="Q224" s="3">
        <f>SUMIFS('Business - Dump'!$G:$G,'Business - Dump'!$D:$D,'SKU Repoprt'!$D224,'Business - Dump'!$A:$A,'SKU Repoprt'!Q$1)</f>
        <v>0</v>
      </c>
      <c r="R224" s="3">
        <f>SUMIFS('Business - Dump'!$G:$G,'Business - Dump'!$D:$D,'SKU Repoprt'!$D224,'Business - Dump'!$A:$A,'SKU Repoprt'!R$1)</f>
        <v>0</v>
      </c>
      <c r="S224" s="3">
        <f>SUMIFS('Business - Dump'!$G:$G,'Business - Dump'!$D:$D,'SKU Repoprt'!$D224,'Business - Dump'!$A:$A,'SKU Repoprt'!S$1)</f>
        <v>0</v>
      </c>
      <c r="T224" s="3">
        <f>SUMIFS('Business - Dump'!$G:$G,'Business - Dump'!$D:$D,'SKU Repoprt'!$D224,'Business - Dump'!$A:$A,'SKU Repoprt'!T$1)</f>
        <v>0</v>
      </c>
      <c r="U224" s="3">
        <f>SUMIFS('Business - Dump'!$G:$G,'Business - Dump'!$D:$D,'SKU Repoprt'!$D224,'Business - Dump'!$A:$A,'SKU Repoprt'!U$1)</f>
        <v>0</v>
      </c>
      <c r="V224" s="3">
        <f>SUMIFS('Business - Dump'!$G:$G,'Business - Dump'!$D:$D,'SKU Repoprt'!$D224,'Business - Dump'!$A:$A,'SKU Repoprt'!V$1)</f>
        <v>0</v>
      </c>
      <c r="W224" s="3">
        <f>SUMIFS('Business - Dump'!$G:$G,'Business - Dump'!$D:$D,'SKU Repoprt'!$D224,'Business - Dump'!$A:$A,'SKU Repoprt'!W$1)</f>
        <v>0</v>
      </c>
    </row>
    <row r="225" ht="15.75" customHeight="1">
      <c r="A225" s="10" t="s">
        <v>182</v>
      </c>
      <c r="B225" s="10" t="s">
        <v>182</v>
      </c>
      <c r="C225" s="10"/>
      <c r="D225" s="10" t="s">
        <v>374</v>
      </c>
      <c r="E225" s="10" t="s">
        <v>260</v>
      </c>
      <c r="F225" s="3">
        <f t="shared" si="75"/>
        <v>181</v>
      </c>
      <c r="G225" s="3">
        <f>SUMIFS('Business - Dump'!$K:$K,'Business - Dump'!$D:$D,'SKU Repoprt'!$D225,'Business - Dump'!$A:$A,'SKU Repoprt'!G$1)</f>
        <v>0</v>
      </c>
      <c r="H225" s="3">
        <f>SUMIFS('Business - Dump'!$K:$K,'Business - Dump'!$D:$D,'SKU Repoprt'!$D225,'Business - Dump'!$A:$A,'SKU Repoprt'!H$1)</f>
        <v>0</v>
      </c>
      <c r="I225" s="3">
        <f>SUMIFS('Business - Dump'!$K:$K,'Business - Dump'!$D:$D,'SKU Repoprt'!$D225,'Business - Dump'!$A:$A,'SKU Repoprt'!I$1)</f>
        <v>0</v>
      </c>
      <c r="J225" s="3">
        <f>SUMIFS('Business - Dump'!$K:$K,'Business - Dump'!$D:$D,'SKU Repoprt'!$D225,'Business - Dump'!$A:$A,'SKU Repoprt'!J$1)</f>
        <v>0</v>
      </c>
      <c r="K225" s="3">
        <f>SUMIFS('Business - Dump'!$K:$K,'Business - Dump'!$D:$D,'SKU Repoprt'!$D225,'Business - Dump'!$A:$A,'SKU Repoprt'!K$1)</f>
        <v>181</v>
      </c>
      <c r="L225" s="3">
        <f>SUMIFS('Business - Dump'!$K:$K,'Business - Dump'!$D:$D,'SKU Repoprt'!$D225,'Business - Dump'!$A:$A,'SKU Repoprt'!L$1)</f>
        <v>0</v>
      </c>
      <c r="M225" s="3">
        <f>SUMIFS('Business - Dump'!$K:$K,'Business - Dump'!$D:$D,'SKU Repoprt'!$D225,'Business - Dump'!$A:$A,'SKU Repoprt'!M$1)</f>
        <v>0</v>
      </c>
      <c r="N225" s="3">
        <f>SUMIFS('Business - Dump'!$K:$K,'Business - Dump'!$D:$D,'SKU Repoprt'!$D225,'Business - Dump'!$A:$A,'SKU Repoprt'!N$1)</f>
        <v>0</v>
      </c>
      <c r="O225" s="3">
        <f>SUMIFS('Business - Dump'!$K:$K,'Business - Dump'!$D:$D,'SKU Repoprt'!$D225,'Business - Dump'!$A:$A,'SKU Repoprt'!O$1)</f>
        <v>0</v>
      </c>
      <c r="P225" s="3">
        <f>SUMIFS('Business - Dump'!$K:$K,'Business - Dump'!$D:$D,'SKU Repoprt'!$D225,'Business - Dump'!$A:$A,'SKU Repoprt'!P$1)</f>
        <v>0</v>
      </c>
      <c r="Q225" s="3">
        <f>SUMIFS('Business - Dump'!$K:$K,'Business - Dump'!$D:$D,'SKU Repoprt'!$D225,'Business - Dump'!$A:$A,'SKU Repoprt'!Q$1)</f>
        <v>0</v>
      </c>
      <c r="R225" s="3">
        <f>SUMIFS('Business - Dump'!$K:$K,'Business - Dump'!$D:$D,'SKU Repoprt'!$D225,'Business - Dump'!$A:$A,'SKU Repoprt'!R$1)</f>
        <v>0</v>
      </c>
      <c r="S225" s="3">
        <f>SUMIFS('Business - Dump'!$K:$K,'Business - Dump'!$D:$D,'SKU Repoprt'!$D225,'Business - Dump'!$A:$A,'SKU Repoprt'!S$1)</f>
        <v>0</v>
      </c>
      <c r="T225" s="3">
        <f>SUMIFS('Business - Dump'!$K:$K,'Business - Dump'!$D:$D,'SKU Repoprt'!$D225,'Business - Dump'!$A:$A,'SKU Repoprt'!T$1)</f>
        <v>0</v>
      </c>
      <c r="U225" s="3">
        <f>SUMIFS('Business - Dump'!$K:$K,'Business - Dump'!$D:$D,'SKU Repoprt'!$D225,'Business - Dump'!$A:$A,'SKU Repoprt'!U$1)</f>
        <v>0</v>
      </c>
      <c r="V225" s="3">
        <f>SUMIFS('Business - Dump'!$K:$K,'Business - Dump'!$D:$D,'SKU Repoprt'!$D225,'Business - Dump'!$A:$A,'SKU Repoprt'!V$1)</f>
        <v>0</v>
      </c>
      <c r="W225" s="3">
        <f>SUMIFS('Business - Dump'!$K:$K,'Business - Dump'!$D:$D,'SKU Repoprt'!$D225,'Business - Dump'!$A:$A,'SKU Repoprt'!W$1)</f>
        <v>0</v>
      </c>
    </row>
    <row r="226" ht="15.75" customHeight="1">
      <c r="A226" s="10" t="s">
        <v>182</v>
      </c>
      <c r="B226" s="10" t="s">
        <v>182</v>
      </c>
      <c r="C226" s="10"/>
      <c r="D226" s="10" t="s">
        <v>374</v>
      </c>
      <c r="E226" s="10" t="s">
        <v>264</v>
      </c>
      <c r="F226" s="3">
        <f t="shared" si="75"/>
        <v>2</v>
      </c>
      <c r="G226" s="3">
        <f>SUMIFS('Business - Dump'!$Q:$Q,'Business - Dump'!$D:$D,'SKU Repoprt'!$D226,'Business - Dump'!$A:$A,'SKU Repoprt'!G$1)</f>
        <v>0</v>
      </c>
      <c r="H226" s="3">
        <f>SUMIFS('Business - Dump'!$Q:$Q,'Business - Dump'!$D:$D,'SKU Repoprt'!$D226,'Business - Dump'!$A:$A,'SKU Repoprt'!H$1)</f>
        <v>0</v>
      </c>
      <c r="I226" s="3">
        <f>SUMIFS('Business - Dump'!$Q:$Q,'Business - Dump'!$D:$D,'SKU Repoprt'!$D226,'Business - Dump'!$A:$A,'SKU Repoprt'!I$1)</f>
        <v>0</v>
      </c>
      <c r="J226" s="3">
        <f>SUMIFS('Business - Dump'!$Q:$Q,'Business - Dump'!$D:$D,'SKU Repoprt'!$D226,'Business - Dump'!$A:$A,'SKU Repoprt'!J$1)</f>
        <v>0</v>
      </c>
      <c r="K226" s="3">
        <f>SUMIFS('Business - Dump'!$Q:$Q,'Business - Dump'!$D:$D,'SKU Repoprt'!$D226,'Business - Dump'!$A:$A,'SKU Repoprt'!K$1)</f>
        <v>2</v>
      </c>
      <c r="L226" s="3">
        <f>SUMIFS('Business - Dump'!$Q:$Q,'Business - Dump'!$D:$D,'SKU Repoprt'!$D226,'Business - Dump'!$A:$A,'SKU Repoprt'!L$1)</f>
        <v>0</v>
      </c>
      <c r="M226" s="3">
        <f>SUMIFS('Business - Dump'!$Q:$Q,'Business - Dump'!$D:$D,'SKU Repoprt'!$D226,'Business - Dump'!$A:$A,'SKU Repoprt'!M$1)</f>
        <v>0</v>
      </c>
      <c r="N226" s="3">
        <f>SUMIFS('Business - Dump'!$Q:$Q,'Business - Dump'!$D:$D,'SKU Repoprt'!$D226,'Business - Dump'!$A:$A,'SKU Repoprt'!N$1)</f>
        <v>0</v>
      </c>
      <c r="O226" s="3">
        <f>SUMIFS('Business - Dump'!$Q:$Q,'Business - Dump'!$D:$D,'SKU Repoprt'!$D226,'Business - Dump'!$A:$A,'SKU Repoprt'!O$1)</f>
        <v>0</v>
      </c>
      <c r="P226" s="3">
        <f>SUMIFS('Business - Dump'!$Q:$Q,'Business - Dump'!$D:$D,'SKU Repoprt'!$D226,'Business - Dump'!$A:$A,'SKU Repoprt'!P$1)</f>
        <v>0</v>
      </c>
      <c r="Q226" s="3">
        <f>SUMIFS('Business - Dump'!$Q:$Q,'Business - Dump'!$D:$D,'SKU Repoprt'!$D226,'Business - Dump'!$A:$A,'SKU Repoprt'!Q$1)</f>
        <v>0</v>
      </c>
      <c r="R226" s="3">
        <f>SUMIFS('Business - Dump'!$Q:$Q,'Business - Dump'!$D:$D,'SKU Repoprt'!$D226,'Business - Dump'!$A:$A,'SKU Repoprt'!R$1)</f>
        <v>0</v>
      </c>
      <c r="S226" s="3">
        <f>SUMIFS('Business - Dump'!$Q:$Q,'Business - Dump'!$D:$D,'SKU Repoprt'!$D226,'Business - Dump'!$A:$A,'SKU Repoprt'!S$1)</f>
        <v>0</v>
      </c>
      <c r="T226" s="3">
        <f>SUMIFS('Business - Dump'!$Q:$Q,'Business - Dump'!$D:$D,'SKU Repoprt'!$D226,'Business - Dump'!$A:$A,'SKU Repoprt'!T$1)</f>
        <v>0</v>
      </c>
      <c r="U226" s="3">
        <f>SUMIFS('Business - Dump'!$Q:$Q,'Business - Dump'!$D:$D,'SKU Repoprt'!$D226,'Business - Dump'!$A:$A,'SKU Repoprt'!U$1)</f>
        <v>0</v>
      </c>
      <c r="V226" s="3">
        <f>SUMIFS('Business - Dump'!$Q:$Q,'Business - Dump'!$D:$D,'SKU Repoprt'!$D226,'Business - Dump'!$A:$A,'SKU Repoprt'!V$1)</f>
        <v>0</v>
      </c>
      <c r="W226" s="3">
        <f>SUMIFS('Business - Dump'!$Q:$Q,'Business - Dump'!$D:$D,'SKU Repoprt'!$D226,'Business - Dump'!$A:$A,'SKU Repoprt'!W$1)</f>
        <v>0</v>
      </c>
    </row>
    <row r="227" ht="15.75" customHeight="1">
      <c r="A227" s="10" t="s">
        <v>182</v>
      </c>
      <c r="B227" s="10" t="s">
        <v>182</v>
      </c>
      <c r="C227" s="10"/>
      <c r="D227" s="10" t="s">
        <v>374</v>
      </c>
      <c r="E227" s="10" t="s">
        <v>268</v>
      </c>
      <c r="F227" s="3">
        <f t="shared" si="75"/>
        <v>2</v>
      </c>
      <c r="G227" s="3">
        <f>SUMIFS('Business - Dump'!$W:$W,'Business - Dump'!$D:$D,'SKU Repoprt'!$D227,'Business - Dump'!$A:$A,'SKU Repoprt'!G$1)</f>
        <v>0</v>
      </c>
      <c r="H227" s="3">
        <f>SUMIFS('Business - Dump'!$W:$W,'Business - Dump'!$D:$D,'SKU Repoprt'!$D227,'Business - Dump'!$A:$A,'SKU Repoprt'!H$1)</f>
        <v>0</v>
      </c>
      <c r="I227" s="3">
        <f>SUMIFS('Business - Dump'!$W:$W,'Business - Dump'!$D:$D,'SKU Repoprt'!$D227,'Business - Dump'!$A:$A,'SKU Repoprt'!I$1)</f>
        <v>0</v>
      </c>
      <c r="J227" s="3">
        <f>SUMIFS('Business - Dump'!$W:$W,'Business - Dump'!$D:$D,'SKU Repoprt'!$D227,'Business - Dump'!$A:$A,'SKU Repoprt'!J$1)</f>
        <v>0</v>
      </c>
      <c r="K227" s="3">
        <f>SUMIFS('Business - Dump'!$W:$W,'Business - Dump'!$D:$D,'SKU Repoprt'!$D227,'Business - Dump'!$A:$A,'SKU Repoprt'!K$1)</f>
        <v>2</v>
      </c>
      <c r="L227" s="3">
        <f>SUMIFS('Business - Dump'!$W:$W,'Business - Dump'!$D:$D,'SKU Repoprt'!$D227,'Business - Dump'!$A:$A,'SKU Repoprt'!L$1)</f>
        <v>0</v>
      </c>
      <c r="M227" s="3">
        <f>SUMIFS('Business - Dump'!$W:$W,'Business - Dump'!$D:$D,'SKU Repoprt'!$D227,'Business - Dump'!$A:$A,'SKU Repoprt'!M$1)</f>
        <v>0</v>
      </c>
      <c r="N227" s="3">
        <f>SUMIFS('Business - Dump'!$W:$W,'Business - Dump'!$D:$D,'SKU Repoprt'!$D227,'Business - Dump'!$A:$A,'SKU Repoprt'!N$1)</f>
        <v>0</v>
      </c>
      <c r="O227" s="3">
        <f>SUMIFS('Business - Dump'!$W:$W,'Business - Dump'!$D:$D,'SKU Repoprt'!$D227,'Business - Dump'!$A:$A,'SKU Repoprt'!O$1)</f>
        <v>0</v>
      </c>
      <c r="P227" s="3">
        <f>SUMIFS('Business - Dump'!$W:$W,'Business - Dump'!$D:$D,'SKU Repoprt'!$D227,'Business - Dump'!$A:$A,'SKU Repoprt'!P$1)</f>
        <v>0</v>
      </c>
      <c r="Q227" s="3">
        <f>SUMIFS('Business - Dump'!$W:$W,'Business - Dump'!$D:$D,'SKU Repoprt'!$D227,'Business - Dump'!$A:$A,'SKU Repoprt'!Q$1)</f>
        <v>0</v>
      </c>
      <c r="R227" s="3">
        <f>SUMIFS('Business - Dump'!$W:$W,'Business - Dump'!$D:$D,'SKU Repoprt'!$D227,'Business - Dump'!$A:$A,'SKU Repoprt'!R$1)</f>
        <v>0</v>
      </c>
      <c r="S227" s="3">
        <f>SUMIFS('Business - Dump'!$W:$W,'Business - Dump'!$D:$D,'SKU Repoprt'!$D227,'Business - Dump'!$A:$A,'SKU Repoprt'!S$1)</f>
        <v>0</v>
      </c>
      <c r="T227" s="3">
        <f>SUMIFS('Business - Dump'!$W:$W,'Business - Dump'!$D:$D,'SKU Repoprt'!$D227,'Business - Dump'!$A:$A,'SKU Repoprt'!T$1)</f>
        <v>0</v>
      </c>
      <c r="U227" s="3">
        <f>SUMIFS('Business - Dump'!$W:$W,'Business - Dump'!$D:$D,'SKU Repoprt'!$D227,'Business - Dump'!$A:$A,'SKU Repoprt'!U$1)</f>
        <v>0</v>
      </c>
      <c r="V227" s="3">
        <f>SUMIFS('Business - Dump'!$W:$W,'Business - Dump'!$D:$D,'SKU Repoprt'!$D227,'Business - Dump'!$A:$A,'SKU Repoprt'!V$1)</f>
        <v>0</v>
      </c>
      <c r="W227" s="3">
        <f>SUMIFS('Business - Dump'!$W:$W,'Business - Dump'!$D:$D,'SKU Repoprt'!$D227,'Business - Dump'!$A:$A,'SKU Repoprt'!W$1)</f>
        <v>0</v>
      </c>
    </row>
    <row r="228" ht="15.75" customHeight="1">
      <c r="A228" s="10" t="s">
        <v>182</v>
      </c>
      <c r="B228" s="10" t="s">
        <v>182</v>
      </c>
      <c r="C228" s="10"/>
      <c r="D228" s="10" t="s">
        <v>374</v>
      </c>
      <c r="E228" s="10" t="s">
        <v>26</v>
      </c>
      <c r="F228" s="16">
        <f t="shared" si="75"/>
        <v>66138.98</v>
      </c>
      <c r="G228" s="16">
        <f>SUMIFS('Business - Dump'!$U:$U,'Business - Dump'!$D:$D,'SKU Repoprt'!$D228,'Business - Dump'!$A:$A,'SKU Repoprt'!G$1)</f>
        <v>0</v>
      </c>
      <c r="H228" s="16">
        <f>SUMIFS('Business - Dump'!$U:$U,'Business - Dump'!$D:$D,'SKU Repoprt'!$D228,'Business - Dump'!$A:$A,'SKU Repoprt'!H$1)</f>
        <v>0</v>
      </c>
      <c r="I228" s="16">
        <f>SUMIFS('Business - Dump'!$U:$U,'Business - Dump'!$D:$D,'SKU Repoprt'!$D228,'Business - Dump'!$A:$A,'SKU Repoprt'!I$1)</f>
        <v>0</v>
      </c>
      <c r="J228" s="16">
        <f>SUMIFS('Business - Dump'!$U:$U,'Business - Dump'!$D:$D,'SKU Repoprt'!$D228,'Business - Dump'!$A:$A,'SKU Repoprt'!J$1)</f>
        <v>0</v>
      </c>
      <c r="K228" s="16">
        <f>SUMIFS('Business - Dump'!$U:$U,'Business - Dump'!$D:$D,'SKU Repoprt'!$D228,'Business - Dump'!$A:$A,'SKU Repoprt'!K$1)</f>
        <v>66138.98</v>
      </c>
      <c r="L228" s="16">
        <f>SUMIFS('Business - Dump'!$U:$U,'Business - Dump'!$D:$D,'SKU Repoprt'!$D228,'Business - Dump'!$A:$A,'SKU Repoprt'!L$1)</f>
        <v>0</v>
      </c>
      <c r="M228" s="16">
        <f>SUMIFS('Business - Dump'!$U:$U,'Business - Dump'!$D:$D,'SKU Repoprt'!$D228,'Business - Dump'!$A:$A,'SKU Repoprt'!M$1)</f>
        <v>0</v>
      </c>
      <c r="N228" s="16">
        <f>SUMIFS('Business - Dump'!$U:$U,'Business - Dump'!$D:$D,'SKU Repoprt'!$D228,'Business - Dump'!$A:$A,'SKU Repoprt'!N$1)</f>
        <v>0</v>
      </c>
      <c r="O228" s="16">
        <f>SUMIFS('Business - Dump'!$U:$U,'Business - Dump'!$D:$D,'SKU Repoprt'!$D228,'Business - Dump'!$A:$A,'SKU Repoprt'!O$1)</f>
        <v>0</v>
      </c>
      <c r="P228" s="16">
        <f>SUMIFS('Business - Dump'!$U:$U,'Business - Dump'!$D:$D,'SKU Repoprt'!$D228,'Business - Dump'!$A:$A,'SKU Repoprt'!P$1)</f>
        <v>0</v>
      </c>
      <c r="Q228" s="16">
        <f>SUMIFS('Business - Dump'!$U:$U,'Business - Dump'!$D:$D,'SKU Repoprt'!$D228,'Business - Dump'!$A:$A,'SKU Repoprt'!Q$1)</f>
        <v>0</v>
      </c>
      <c r="R228" s="16">
        <f>SUMIFS('Business - Dump'!$U:$U,'Business - Dump'!$D:$D,'SKU Repoprt'!$D228,'Business - Dump'!$A:$A,'SKU Repoprt'!R$1)</f>
        <v>0</v>
      </c>
      <c r="S228" s="16">
        <f>SUMIFS('Business - Dump'!$U:$U,'Business - Dump'!$D:$D,'SKU Repoprt'!$D228,'Business - Dump'!$A:$A,'SKU Repoprt'!S$1)</f>
        <v>0</v>
      </c>
      <c r="T228" s="16">
        <f>SUMIFS('Business - Dump'!$U:$U,'Business - Dump'!$D:$D,'SKU Repoprt'!$D228,'Business - Dump'!$A:$A,'SKU Repoprt'!T$1)</f>
        <v>0</v>
      </c>
      <c r="U228" s="16">
        <f>SUMIFS('Business - Dump'!$U:$U,'Business - Dump'!$D:$D,'SKU Repoprt'!$D228,'Business - Dump'!$A:$A,'SKU Repoprt'!U$1)</f>
        <v>0</v>
      </c>
      <c r="V228" s="16">
        <f>SUMIFS('Business - Dump'!$U:$U,'Business - Dump'!$D:$D,'SKU Repoprt'!$D228,'Business - Dump'!$A:$A,'SKU Repoprt'!V$1)</f>
        <v>0</v>
      </c>
      <c r="W228" s="16">
        <f>SUMIFS('Business - Dump'!$U:$U,'Business - Dump'!$D:$D,'SKU Repoprt'!$D228,'Business - Dump'!$A:$A,'SKU Repoprt'!W$1)</f>
        <v>0</v>
      </c>
    </row>
    <row r="229" ht="15.75" customHeight="1">
      <c r="A229" s="10" t="s">
        <v>182</v>
      </c>
      <c r="B229" s="10" t="s">
        <v>182</v>
      </c>
      <c r="C229" s="10"/>
      <c r="D229" s="10" t="s">
        <v>374</v>
      </c>
      <c r="E229" s="10" t="s">
        <v>29</v>
      </c>
      <c r="F229" s="17">
        <v>0.027042857142857143</v>
      </c>
      <c r="G229" s="17">
        <f t="shared" ref="G229:W229" si="76">IFERROR(G227/G224,0)</f>
        <v>0</v>
      </c>
      <c r="H229" s="17">
        <f t="shared" si="76"/>
        <v>0</v>
      </c>
      <c r="I229" s="17">
        <f t="shared" si="76"/>
        <v>0</v>
      </c>
      <c r="J229" s="17">
        <f t="shared" si="76"/>
        <v>0</v>
      </c>
      <c r="K229" s="17">
        <f t="shared" si="76"/>
        <v>0.01398601399</v>
      </c>
      <c r="L229" s="17">
        <f t="shared" si="76"/>
        <v>0</v>
      </c>
      <c r="M229" s="17">
        <f t="shared" si="76"/>
        <v>0</v>
      </c>
      <c r="N229" s="17">
        <f t="shared" si="76"/>
        <v>0</v>
      </c>
      <c r="O229" s="17">
        <f t="shared" si="76"/>
        <v>0</v>
      </c>
      <c r="P229" s="17">
        <f t="shared" si="76"/>
        <v>0</v>
      </c>
      <c r="Q229" s="17">
        <f t="shared" si="76"/>
        <v>0</v>
      </c>
      <c r="R229" s="17">
        <f t="shared" si="76"/>
        <v>0</v>
      </c>
      <c r="S229" s="17">
        <f t="shared" si="76"/>
        <v>0</v>
      </c>
      <c r="T229" s="17">
        <f t="shared" si="76"/>
        <v>0</v>
      </c>
      <c r="U229" s="17">
        <f t="shared" si="76"/>
        <v>0</v>
      </c>
      <c r="V229" s="17">
        <f t="shared" si="76"/>
        <v>0</v>
      </c>
      <c r="W229" s="17">
        <f t="shared" si="76"/>
        <v>0</v>
      </c>
    </row>
    <row r="230" ht="15.75" customHeight="1">
      <c r="A230" s="10" t="s">
        <v>182</v>
      </c>
      <c r="B230" s="10" t="s">
        <v>182</v>
      </c>
      <c r="C230" s="10"/>
      <c r="D230" s="10" t="s">
        <v>360</v>
      </c>
      <c r="E230" s="10" t="s">
        <v>257</v>
      </c>
      <c r="F230" s="3">
        <f t="shared" ref="F230:F234" si="77">SUM(G230:S230)</f>
        <v>314</v>
      </c>
      <c r="G230" s="3">
        <f>SUMIFS('Business - Dump'!$G:$G,'Business - Dump'!$D:$D,'SKU Repoprt'!$D230,'Business - Dump'!$A:$A,'SKU Repoprt'!G$1)</f>
        <v>0</v>
      </c>
      <c r="H230" s="3">
        <f>SUMIFS('Business - Dump'!$G:$G,'Business - Dump'!$D:$D,'SKU Repoprt'!$D230,'Business - Dump'!$A:$A,'SKU Repoprt'!H$1)</f>
        <v>0</v>
      </c>
      <c r="I230" s="3">
        <f>SUMIFS('Business - Dump'!$G:$G,'Business - Dump'!$D:$D,'SKU Repoprt'!$D230,'Business - Dump'!$A:$A,'SKU Repoprt'!I$1)</f>
        <v>0</v>
      </c>
      <c r="J230" s="3">
        <f>SUMIFS('Business - Dump'!$G:$G,'Business - Dump'!$D:$D,'SKU Repoprt'!$D230,'Business - Dump'!$A:$A,'SKU Repoprt'!J$1)</f>
        <v>120</v>
      </c>
      <c r="K230" s="3">
        <f>SUMIFS('Business - Dump'!$G:$G,'Business - Dump'!$D:$D,'SKU Repoprt'!$D230,'Business - Dump'!$A:$A,'SKU Repoprt'!K$1)</f>
        <v>194</v>
      </c>
      <c r="L230" s="3">
        <f>SUMIFS('Business - Dump'!$G:$G,'Business - Dump'!$D:$D,'SKU Repoprt'!$D230,'Business - Dump'!$A:$A,'SKU Repoprt'!L$1)</f>
        <v>0</v>
      </c>
      <c r="M230" s="3">
        <f>SUMIFS('Business - Dump'!$G:$G,'Business - Dump'!$D:$D,'SKU Repoprt'!$D230,'Business - Dump'!$A:$A,'SKU Repoprt'!M$1)</f>
        <v>0</v>
      </c>
      <c r="N230" s="3">
        <f>SUMIFS('Business - Dump'!$G:$G,'Business - Dump'!$D:$D,'SKU Repoprt'!$D230,'Business - Dump'!$A:$A,'SKU Repoprt'!N$1)</f>
        <v>0</v>
      </c>
      <c r="O230" s="3">
        <f>SUMIFS('Business - Dump'!$G:$G,'Business - Dump'!$D:$D,'SKU Repoprt'!$D230,'Business - Dump'!$A:$A,'SKU Repoprt'!O$1)</f>
        <v>0</v>
      </c>
      <c r="P230" s="3">
        <f>SUMIFS('Business - Dump'!$G:$G,'Business - Dump'!$D:$D,'SKU Repoprt'!$D230,'Business - Dump'!$A:$A,'SKU Repoprt'!P$1)</f>
        <v>0</v>
      </c>
      <c r="Q230" s="3">
        <f>SUMIFS('Business - Dump'!$G:$G,'Business - Dump'!$D:$D,'SKU Repoprt'!$D230,'Business - Dump'!$A:$A,'SKU Repoprt'!Q$1)</f>
        <v>0</v>
      </c>
      <c r="R230" s="3">
        <f>SUMIFS('Business - Dump'!$G:$G,'Business - Dump'!$D:$D,'SKU Repoprt'!$D230,'Business - Dump'!$A:$A,'SKU Repoprt'!R$1)</f>
        <v>0</v>
      </c>
      <c r="S230" s="3">
        <f>SUMIFS('Business - Dump'!$G:$G,'Business - Dump'!$D:$D,'SKU Repoprt'!$D230,'Business - Dump'!$A:$A,'SKU Repoprt'!S$1)</f>
        <v>0</v>
      </c>
      <c r="T230" s="3">
        <f>SUMIFS('Business - Dump'!$G:$G,'Business - Dump'!$D:$D,'SKU Repoprt'!$D230,'Business - Dump'!$A:$A,'SKU Repoprt'!T$1)</f>
        <v>0</v>
      </c>
      <c r="U230" s="3">
        <f>SUMIFS('Business - Dump'!$G:$G,'Business - Dump'!$D:$D,'SKU Repoprt'!$D230,'Business - Dump'!$A:$A,'SKU Repoprt'!U$1)</f>
        <v>0</v>
      </c>
      <c r="V230" s="3">
        <f>SUMIFS('Business - Dump'!$G:$G,'Business - Dump'!$D:$D,'SKU Repoprt'!$D230,'Business - Dump'!$A:$A,'SKU Repoprt'!V$1)</f>
        <v>0</v>
      </c>
      <c r="W230" s="3">
        <f>SUMIFS('Business - Dump'!$G:$G,'Business - Dump'!$D:$D,'SKU Repoprt'!$D230,'Business - Dump'!$A:$A,'SKU Repoprt'!W$1)</f>
        <v>0</v>
      </c>
    </row>
    <row r="231" ht="15.75" customHeight="1">
      <c r="A231" s="10" t="s">
        <v>182</v>
      </c>
      <c r="B231" s="10" t="s">
        <v>182</v>
      </c>
      <c r="C231" s="10"/>
      <c r="D231" s="10" t="s">
        <v>360</v>
      </c>
      <c r="E231" s="10" t="s">
        <v>260</v>
      </c>
      <c r="F231" s="3">
        <f t="shared" si="77"/>
        <v>385</v>
      </c>
      <c r="G231" s="3">
        <f>SUMIFS('Business - Dump'!$K:$K,'Business - Dump'!$D:$D,'SKU Repoprt'!$D231,'Business - Dump'!$A:$A,'SKU Repoprt'!G$1)</f>
        <v>0</v>
      </c>
      <c r="H231" s="3">
        <f>SUMIFS('Business - Dump'!$K:$K,'Business - Dump'!$D:$D,'SKU Repoprt'!$D231,'Business - Dump'!$A:$A,'SKU Repoprt'!H$1)</f>
        <v>0</v>
      </c>
      <c r="I231" s="3">
        <f>SUMIFS('Business - Dump'!$K:$K,'Business - Dump'!$D:$D,'SKU Repoprt'!$D231,'Business - Dump'!$A:$A,'SKU Repoprt'!I$1)</f>
        <v>0</v>
      </c>
      <c r="J231" s="3">
        <f>SUMIFS('Business - Dump'!$K:$K,'Business - Dump'!$D:$D,'SKU Repoprt'!$D231,'Business - Dump'!$A:$A,'SKU Repoprt'!J$1)</f>
        <v>147</v>
      </c>
      <c r="K231" s="3">
        <f>SUMIFS('Business - Dump'!$K:$K,'Business - Dump'!$D:$D,'SKU Repoprt'!$D231,'Business - Dump'!$A:$A,'SKU Repoprt'!K$1)</f>
        <v>238</v>
      </c>
      <c r="L231" s="3">
        <f>SUMIFS('Business - Dump'!$K:$K,'Business - Dump'!$D:$D,'SKU Repoprt'!$D231,'Business - Dump'!$A:$A,'SKU Repoprt'!L$1)</f>
        <v>0</v>
      </c>
      <c r="M231" s="3">
        <f>SUMIFS('Business - Dump'!$K:$K,'Business - Dump'!$D:$D,'SKU Repoprt'!$D231,'Business - Dump'!$A:$A,'SKU Repoprt'!M$1)</f>
        <v>0</v>
      </c>
      <c r="N231" s="3">
        <f>SUMIFS('Business - Dump'!$K:$K,'Business - Dump'!$D:$D,'SKU Repoprt'!$D231,'Business - Dump'!$A:$A,'SKU Repoprt'!N$1)</f>
        <v>0</v>
      </c>
      <c r="O231" s="3">
        <f>SUMIFS('Business - Dump'!$K:$K,'Business - Dump'!$D:$D,'SKU Repoprt'!$D231,'Business - Dump'!$A:$A,'SKU Repoprt'!O$1)</f>
        <v>0</v>
      </c>
      <c r="P231" s="3">
        <f>SUMIFS('Business - Dump'!$K:$K,'Business - Dump'!$D:$D,'SKU Repoprt'!$D231,'Business - Dump'!$A:$A,'SKU Repoprt'!P$1)</f>
        <v>0</v>
      </c>
      <c r="Q231" s="3">
        <f>SUMIFS('Business - Dump'!$K:$K,'Business - Dump'!$D:$D,'SKU Repoprt'!$D231,'Business - Dump'!$A:$A,'SKU Repoprt'!Q$1)</f>
        <v>0</v>
      </c>
      <c r="R231" s="3">
        <f>SUMIFS('Business - Dump'!$K:$K,'Business - Dump'!$D:$D,'SKU Repoprt'!$D231,'Business - Dump'!$A:$A,'SKU Repoprt'!R$1)</f>
        <v>0</v>
      </c>
      <c r="S231" s="3">
        <f>SUMIFS('Business - Dump'!$K:$K,'Business - Dump'!$D:$D,'SKU Repoprt'!$D231,'Business - Dump'!$A:$A,'SKU Repoprt'!S$1)</f>
        <v>0</v>
      </c>
      <c r="T231" s="3">
        <f>SUMIFS('Business - Dump'!$K:$K,'Business - Dump'!$D:$D,'SKU Repoprt'!$D231,'Business - Dump'!$A:$A,'SKU Repoprt'!T$1)</f>
        <v>0</v>
      </c>
      <c r="U231" s="3">
        <f>SUMIFS('Business - Dump'!$K:$K,'Business - Dump'!$D:$D,'SKU Repoprt'!$D231,'Business - Dump'!$A:$A,'SKU Repoprt'!U$1)</f>
        <v>0</v>
      </c>
      <c r="V231" s="3">
        <f>SUMIFS('Business - Dump'!$K:$K,'Business - Dump'!$D:$D,'SKU Repoprt'!$D231,'Business - Dump'!$A:$A,'SKU Repoprt'!V$1)</f>
        <v>0</v>
      </c>
      <c r="W231" s="3">
        <f>SUMIFS('Business - Dump'!$K:$K,'Business - Dump'!$D:$D,'SKU Repoprt'!$D231,'Business - Dump'!$A:$A,'SKU Repoprt'!W$1)</f>
        <v>0</v>
      </c>
    </row>
    <row r="232" ht="15.75" customHeight="1">
      <c r="A232" s="10" t="s">
        <v>182</v>
      </c>
      <c r="B232" s="10" t="s">
        <v>182</v>
      </c>
      <c r="C232" s="10"/>
      <c r="D232" s="10" t="s">
        <v>360</v>
      </c>
      <c r="E232" s="10" t="s">
        <v>264</v>
      </c>
      <c r="F232" s="3">
        <f t="shared" si="77"/>
        <v>3</v>
      </c>
      <c r="G232" s="3">
        <f>SUMIFS('Business - Dump'!$Q:$Q,'Business - Dump'!$D:$D,'SKU Repoprt'!$D232,'Business - Dump'!$A:$A,'SKU Repoprt'!G$1)</f>
        <v>0</v>
      </c>
      <c r="H232" s="3">
        <f>SUMIFS('Business - Dump'!$Q:$Q,'Business - Dump'!$D:$D,'SKU Repoprt'!$D232,'Business - Dump'!$A:$A,'SKU Repoprt'!H$1)</f>
        <v>0</v>
      </c>
      <c r="I232" s="3">
        <f>SUMIFS('Business - Dump'!$Q:$Q,'Business - Dump'!$D:$D,'SKU Repoprt'!$D232,'Business - Dump'!$A:$A,'SKU Repoprt'!I$1)</f>
        <v>0</v>
      </c>
      <c r="J232" s="3">
        <f>SUMIFS('Business - Dump'!$Q:$Q,'Business - Dump'!$D:$D,'SKU Repoprt'!$D232,'Business - Dump'!$A:$A,'SKU Repoprt'!J$1)</f>
        <v>2</v>
      </c>
      <c r="K232" s="3">
        <f>SUMIFS('Business - Dump'!$Q:$Q,'Business - Dump'!$D:$D,'SKU Repoprt'!$D232,'Business - Dump'!$A:$A,'SKU Repoprt'!K$1)</f>
        <v>1</v>
      </c>
      <c r="L232" s="3">
        <f>SUMIFS('Business - Dump'!$Q:$Q,'Business - Dump'!$D:$D,'SKU Repoprt'!$D232,'Business - Dump'!$A:$A,'SKU Repoprt'!L$1)</f>
        <v>0</v>
      </c>
      <c r="M232" s="3">
        <f>SUMIFS('Business - Dump'!$Q:$Q,'Business - Dump'!$D:$D,'SKU Repoprt'!$D232,'Business - Dump'!$A:$A,'SKU Repoprt'!M$1)</f>
        <v>0</v>
      </c>
      <c r="N232" s="3">
        <f>SUMIFS('Business - Dump'!$Q:$Q,'Business - Dump'!$D:$D,'SKU Repoprt'!$D232,'Business - Dump'!$A:$A,'SKU Repoprt'!N$1)</f>
        <v>0</v>
      </c>
      <c r="O232" s="3">
        <f>SUMIFS('Business - Dump'!$Q:$Q,'Business - Dump'!$D:$D,'SKU Repoprt'!$D232,'Business - Dump'!$A:$A,'SKU Repoprt'!O$1)</f>
        <v>0</v>
      </c>
      <c r="P232" s="3">
        <f>SUMIFS('Business - Dump'!$Q:$Q,'Business - Dump'!$D:$D,'SKU Repoprt'!$D232,'Business - Dump'!$A:$A,'SKU Repoprt'!P$1)</f>
        <v>0</v>
      </c>
      <c r="Q232" s="3">
        <f>SUMIFS('Business - Dump'!$Q:$Q,'Business - Dump'!$D:$D,'SKU Repoprt'!$D232,'Business - Dump'!$A:$A,'SKU Repoprt'!Q$1)</f>
        <v>0</v>
      </c>
      <c r="R232" s="3">
        <f>SUMIFS('Business - Dump'!$Q:$Q,'Business - Dump'!$D:$D,'SKU Repoprt'!$D232,'Business - Dump'!$A:$A,'SKU Repoprt'!R$1)</f>
        <v>0</v>
      </c>
      <c r="S232" s="3">
        <f>SUMIFS('Business - Dump'!$Q:$Q,'Business - Dump'!$D:$D,'SKU Repoprt'!$D232,'Business - Dump'!$A:$A,'SKU Repoprt'!S$1)</f>
        <v>0</v>
      </c>
      <c r="T232" s="3">
        <f>SUMIFS('Business - Dump'!$Q:$Q,'Business - Dump'!$D:$D,'SKU Repoprt'!$D232,'Business - Dump'!$A:$A,'SKU Repoprt'!T$1)</f>
        <v>0</v>
      </c>
      <c r="U232" s="3">
        <f>SUMIFS('Business - Dump'!$Q:$Q,'Business - Dump'!$D:$D,'SKU Repoprt'!$D232,'Business - Dump'!$A:$A,'SKU Repoprt'!U$1)</f>
        <v>0</v>
      </c>
      <c r="V232" s="3">
        <f>SUMIFS('Business - Dump'!$Q:$Q,'Business - Dump'!$D:$D,'SKU Repoprt'!$D232,'Business - Dump'!$A:$A,'SKU Repoprt'!V$1)</f>
        <v>0</v>
      </c>
      <c r="W232" s="3">
        <f>SUMIFS('Business - Dump'!$Q:$Q,'Business - Dump'!$D:$D,'SKU Repoprt'!$D232,'Business - Dump'!$A:$A,'SKU Repoprt'!W$1)</f>
        <v>0</v>
      </c>
    </row>
    <row r="233" ht="15.75" customHeight="1">
      <c r="A233" s="10" t="s">
        <v>182</v>
      </c>
      <c r="B233" s="10" t="s">
        <v>182</v>
      </c>
      <c r="C233" s="10"/>
      <c r="D233" s="10" t="s">
        <v>360</v>
      </c>
      <c r="E233" s="10" t="s">
        <v>268</v>
      </c>
      <c r="F233" s="3">
        <f t="shared" si="77"/>
        <v>3</v>
      </c>
      <c r="G233" s="3">
        <f>SUMIFS('Business - Dump'!$W:$W,'Business - Dump'!$D:$D,'SKU Repoprt'!$D233,'Business - Dump'!$A:$A,'SKU Repoprt'!G$1)</f>
        <v>0</v>
      </c>
      <c r="H233" s="3">
        <f>SUMIFS('Business - Dump'!$W:$W,'Business - Dump'!$D:$D,'SKU Repoprt'!$D233,'Business - Dump'!$A:$A,'SKU Repoprt'!H$1)</f>
        <v>0</v>
      </c>
      <c r="I233" s="3">
        <f>SUMIFS('Business - Dump'!$W:$W,'Business - Dump'!$D:$D,'SKU Repoprt'!$D233,'Business - Dump'!$A:$A,'SKU Repoprt'!I$1)</f>
        <v>0</v>
      </c>
      <c r="J233" s="3">
        <f>SUMIFS('Business - Dump'!$W:$W,'Business - Dump'!$D:$D,'SKU Repoprt'!$D233,'Business - Dump'!$A:$A,'SKU Repoprt'!J$1)</f>
        <v>2</v>
      </c>
      <c r="K233" s="3">
        <f>SUMIFS('Business - Dump'!$W:$W,'Business - Dump'!$D:$D,'SKU Repoprt'!$D233,'Business - Dump'!$A:$A,'SKU Repoprt'!K$1)</f>
        <v>1</v>
      </c>
      <c r="L233" s="3">
        <f>SUMIFS('Business - Dump'!$W:$W,'Business - Dump'!$D:$D,'SKU Repoprt'!$D233,'Business - Dump'!$A:$A,'SKU Repoprt'!L$1)</f>
        <v>0</v>
      </c>
      <c r="M233" s="3">
        <f>SUMIFS('Business - Dump'!$W:$W,'Business - Dump'!$D:$D,'SKU Repoprt'!$D233,'Business - Dump'!$A:$A,'SKU Repoprt'!M$1)</f>
        <v>0</v>
      </c>
      <c r="N233" s="3">
        <f>SUMIFS('Business - Dump'!$W:$W,'Business - Dump'!$D:$D,'SKU Repoprt'!$D233,'Business - Dump'!$A:$A,'SKU Repoprt'!N$1)</f>
        <v>0</v>
      </c>
      <c r="O233" s="3">
        <f>SUMIFS('Business - Dump'!$W:$W,'Business - Dump'!$D:$D,'SKU Repoprt'!$D233,'Business - Dump'!$A:$A,'SKU Repoprt'!O$1)</f>
        <v>0</v>
      </c>
      <c r="P233" s="3">
        <f>SUMIFS('Business - Dump'!$W:$W,'Business - Dump'!$D:$D,'SKU Repoprt'!$D233,'Business - Dump'!$A:$A,'SKU Repoprt'!P$1)</f>
        <v>0</v>
      </c>
      <c r="Q233" s="3">
        <f>SUMIFS('Business - Dump'!$W:$W,'Business - Dump'!$D:$D,'SKU Repoprt'!$D233,'Business - Dump'!$A:$A,'SKU Repoprt'!Q$1)</f>
        <v>0</v>
      </c>
      <c r="R233" s="3">
        <f>SUMIFS('Business - Dump'!$W:$W,'Business - Dump'!$D:$D,'SKU Repoprt'!$D233,'Business - Dump'!$A:$A,'SKU Repoprt'!R$1)</f>
        <v>0</v>
      </c>
      <c r="S233" s="3">
        <f>SUMIFS('Business - Dump'!$W:$W,'Business - Dump'!$D:$D,'SKU Repoprt'!$D233,'Business - Dump'!$A:$A,'SKU Repoprt'!S$1)</f>
        <v>0</v>
      </c>
      <c r="T233" s="3">
        <f>SUMIFS('Business - Dump'!$W:$W,'Business - Dump'!$D:$D,'SKU Repoprt'!$D233,'Business - Dump'!$A:$A,'SKU Repoprt'!T$1)</f>
        <v>0</v>
      </c>
      <c r="U233" s="3">
        <f>SUMIFS('Business - Dump'!$W:$W,'Business - Dump'!$D:$D,'SKU Repoprt'!$D233,'Business - Dump'!$A:$A,'SKU Repoprt'!U$1)</f>
        <v>0</v>
      </c>
      <c r="V233" s="3">
        <f>SUMIFS('Business - Dump'!$W:$W,'Business - Dump'!$D:$D,'SKU Repoprt'!$D233,'Business - Dump'!$A:$A,'SKU Repoprt'!V$1)</f>
        <v>0</v>
      </c>
      <c r="W233" s="3">
        <f>SUMIFS('Business - Dump'!$W:$W,'Business - Dump'!$D:$D,'SKU Repoprt'!$D233,'Business - Dump'!$A:$A,'SKU Repoprt'!W$1)</f>
        <v>0</v>
      </c>
    </row>
    <row r="234" ht="15.75" customHeight="1">
      <c r="A234" s="10" t="s">
        <v>182</v>
      </c>
      <c r="B234" s="10" t="s">
        <v>182</v>
      </c>
      <c r="C234" s="10"/>
      <c r="D234" s="10" t="s">
        <v>360</v>
      </c>
      <c r="E234" s="10" t="s">
        <v>26</v>
      </c>
      <c r="F234" s="16">
        <f t="shared" si="77"/>
        <v>90100</v>
      </c>
      <c r="G234" s="16">
        <f>SUMIFS('Business - Dump'!$U:$U,'Business - Dump'!$D:$D,'SKU Repoprt'!$D234,'Business - Dump'!$A:$A,'SKU Repoprt'!G$1)</f>
        <v>0</v>
      </c>
      <c r="H234" s="16">
        <f>SUMIFS('Business - Dump'!$U:$U,'Business - Dump'!$D:$D,'SKU Repoprt'!$D234,'Business - Dump'!$A:$A,'SKU Repoprt'!H$1)</f>
        <v>0</v>
      </c>
      <c r="I234" s="16">
        <f>SUMIFS('Business - Dump'!$U:$U,'Business - Dump'!$D:$D,'SKU Repoprt'!$D234,'Business - Dump'!$A:$A,'SKU Repoprt'!I$1)</f>
        <v>0</v>
      </c>
      <c r="J234" s="16">
        <f>SUMIFS('Business - Dump'!$U:$U,'Business - Dump'!$D:$D,'SKU Repoprt'!$D234,'Business - Dump'!$A:$A,'SKU Repoprt'!J$1)</f>
        <v>59800</v>
      </c>
      <c r="K234" s="16">
        <f>SUMIFS('Business - Dump'!$U:$U,'Business - Dump'!$D:$D,'SKU Repoprt'!$D234,'Business - Dump'!$A:$A,'SKU Repoprt'!K$1)</f>
        <v>30300</v>
      </c>
      <c r="L234" s="16">
        <f>SUMIFS('Business - Dump'!$U:$U,'Business - Dump'!$D:$D,'SKU Repoprt'!$D234,'Business - Dump'!$A:$A,'SKU Repoprt'!L$1)</f>
        <v>0</v>
      </c>
      <c r="M234" s="16">
        <f>SUMIFS('Business - Dump'!$U:$U,'Business - Dump'!$D:$D,'SKU Repoprt'!$D234,'Business - Dump'!$A:$A,'SKU Repoprt'!M$1)</f>
        <v>0</v>
      </c>
      <c r="N234" s="16">
        <f>SUMIFS('Business - Dump'!$U:$U,'Business - Dump'!$D:$D,'SKU Repoprt'!$D234,'Business - Dump'!$A:$A,'SKU Repoprt'!N$1)</f>
        <v>0</v>
      </c>
      <c r="O234" s="16">
        <f>SUMIFS('Business - Dump'!$U:$U,'Business - Dump'!$D:$D,'SKU Repoprt'!$D234,'Business - Dump'!$A:$A,'SKU Repoprt'!O$1)</f>
        <v>0</v>
      </c>
      <c r="P234" s="16">
        <f>SUMIFS('Business - Dump'!$U:$U,'Business - Dump'!$D:$D,'SKU Repoprt'!$D234,'Business - Dump'!$A:$A,'SKU Repoprt'!P$1)</f>
        <v>0</v>
      </c>
      <c r="Q234" s="16">
        <f>SUMIFS('Business - Dump'!$U:$U,'Business - Dump'!$D:$D,'SKU Repoprt'!$D234,'Business - Dump'!$A:$A,'SKU Repoprt'!Q$1)</f>
        <v>0</v>
      </c>
      <c r="R234" s="16">
        <f>SUMIFS('Business - Dump'!$U:$U,'Business - Dump'!$D:$D,'SKU Repoprt'!$D234,'Business - Dump'!$A:$A,'SKU Repoprt'!R$1)</f>
        <v>0</v>
      </c>
      <c r="S234" s="16">
        <f>SUMIFS('Business - Dump'!$U:$U,'Business - Dump'!$D:$D,'SKU Repoprt'!$D234,'Business - Dump'!$A:$A,'SKU Repoprt'!S$1)</f>
        <v>0</v>
      </c>
      <c r="T234" s="16">
        <f>SUMIFS('Business - Dump'!$U:$U,'Business - Dump'!$D:$D,'SKU Repoprt'!$D234,'Business - Dump'!$A:$A,'SKU Repoprt'!T$1)</f>
        <v>0</v>
      </c>
      <c r="U234" s="16">
        <f>SUMIFS('Business - Dump'!$U:$U,'Business - Dump'!$D:$D,'SKU Repoprt'!$D234,'Business - Dump'!$A:$A,'SKU Repoprt'!U$1)</f>
        <v>0</v>
      </c>
      <c r="V234" s="16">
        <f>SUMIFS('Business - Dump'!$U:$U,'Business - Dump'!$D:$D,'SKU Repoprt'!$D234,'Business - Dump'!$A:$A,'SKU Repoprt'!V$1)</f>
        <v>0</v>
      </c>
      <c r="W234" s="16">
        <f>SUMIFS('Business - Dump'!$U:$U,'Business - Dump'!$D:$D,'SKU Repoprt'!$D234,'Business - Dump'!$A:$A,'SKU Repoprt'!W$1)</f>
        <v>0</v>
      </c>
    </row>
    <row r="235" ht="15.75" customHeight="1">
      <c r="A235" s="10" t="s">
        <v>182</v>
      </c>
      <c r="B235" s="10" t="s">
        <v>182</v>
      </c>
      <c r="C235" s="10"/>
      <c r="D235" s="10" t="s">
        <v>360</v>
      </c>
      <c r="E235" s="10" t="s">
        <v>29</v>
      </c>
      <c r="F235" s="17">
        <v>0.027042857142857143</v>
      </c>
      <c r="G235" s="17">
        <f t="shared" ref="G235:W235" si="78">IFERROR(G233/G230,0)</f>
        <v>0</v>
      </c>
      <c r="H235" s="17">
        <f t="shared" si="78"/>
        <v>0</v>
      </c>
      <c r="I235" s="17">
        <f t="shared" si="78"/>
        <v>0</v>
      </c>
      <c r="J235" s="17">
        <f t="shared" si="78"/>
        <v>0.01666666667</v>
      </c>
      <c r="K235" s="17">
        <f t="shared" si="78"/>
        <v>0.005154639175</v>
      </c>
      <c r="L235" s="17">
        <f t="shared" si="78"/>
        <v>0</v>
      </c>
      <c r="M235" s="17">
        <f t="shared" si="78"/>
        <v>0</v>
      </c>
      <c r="N235" s="17">
        <f t="shared" si="78"/>
        <v>0</v>
      </c>
      <c r="O235" s="17">
        <f t="shared" si="78"/>
        <v>0</v>
      </c>
      <c r="P235" s="17">
        <f t="shared" si="78"/>
        <v>0</v>
      </c>
      <c r="Q235" s="17">
        <f t="shared" si="78"/>
        <v>0</v>
      </c>
      <c r="R235" s="17">
        <f t="shared" si="78"/>
        <v>0</v>
      </c>
      <c r="S235" s="17">
        <f t="shared" si="78"/>
        <v>0</v>
      </c>
      <c r="T235" s="17">
        <f t="shared" si="78"/>
        <v>0</v>
      </c>
      <c r="U235" s="17">
        <f t="shared" si="78"/>
        <v>0</v>
      </c>
      <c r="V235" s="17">
        <f t="shared" si="78"/>
        <v>0</v>
      </c>
      <c r="W235" s="17">
        <f t="shared" si="78"/>
        <v>0</v>
      </c>
    </row>
    <row r="236" ht="15.75" customHeight="1">
      <c r="A236" s="10" t="s">
        <v>182</v>
      </c>
      <c r="B236" s="10" t="s">
        <v>182</v>
      </c>
      <c r="C236" s="10"/>
      <c r="D236" s="10" t="s">
        <v>361</v>
      </c>
      <c r="E236" s="10" t="s">
        <v>257</v>
      </c>
      <c r="F236" s="3">
        <f t="shared" ref="F236:F240" si="79">SUM(G236:S236)</f>
        <v>327</v>
      </c>
      <c r="G236" s="3">
        <f>SUMIFS('Business - Dump'!$G:$G,'Business - Dump'!$D:$D,'SKU Repoprt'!$D236,'Business - Dump'!$A:$A,'SKU Repoprt'!G$1)</f>
        <v>0</v>
      </c>
      <c r="H236" s="3">
        <f>SUMIFS('Business - Dump'!$G:$G,'Business - Dump'!$D:$D,'SKU Repoprt'!$D236,'Business - Dump'!$A:$A,'SKU Repoprt'!H$1)</f>
        <v>0</v>
      </c>
      <c r="I236" s="3">
        <f>SUMIFS('Business - Dump'!$G:$G,'Business - Dump'!$D:$D,'SKU Repoprt'!$D236,'Business - Dump'!$A:$A,'SKU Repoprt'!I$1)</f>
        <v>0</v>
      </c>
      <c r="J236" s="3">
        <f>SUMIFS('Business - Dump'!$G:$G,'Business - Dump'!$D:$D,'SKU Repoprt'!$D236,'Business - Dump'!$A:$A,'SKU Repoprt'!J$1)</f>
        <v>191</v>
      </c>
      <c r="K236" s="3">
        <f>SUMIFS('Business - Dump'!$G:$G,'Business - Dump'!$D:$D,'SKU Repoprt'!$D236,'Business - Dump'!$A:$A,'SKU Repoprt'!K$1)</f>
        <v>136</v>
      </c>
      <c r="L236" s="3">
        <f>SUMIFS('Business - Dump'!$G:$G,'Business - Dump'!$D:$D,'SKU Repoprt'!$D236,'Business - Dump'!$A:$A,'SKU Repoprt'!L$1)</f>
        <v>0</v>
      </c>
      <c r="M236" s="3">
        <f>SUMIFS('Business - Dump'!$G:$G,'Business - Dump'!$D:$D,'SKU Repoprt'!$D236,'Business - Dump'!$A:$A,'SKU Repoprt'!M$1)</f>
        <v>0</v>
      </c>
      <c r="N236" s="3">
        <f>SUMIFS('Business - Dump'!$G:$G,'Business - Dump'!$D:$D,'SKU Repoprt'!$D236,'Business - Dump'!$A:$A,'SKU Repoprt'!N$1)</f>
        <v>0</v>
      </c>
      <c r="O236" s="3">
        <f>SUMIFS('Business - Dump'!$G:$G,'Business - Dump'!$D:$D,'SKU Repoprt'!$D236,'Business - Dump'!$A:$A,'SKU Repoprt'!O$1)</f>
        <v>0</v>
      </c>
      <c r="P236" s="3">
        <f>SUMIFS('Business - Dump'!$G:$G,'Business - Dump'!$D:$D,'SKU Repoprt'!$D236,'Business - Dump'!$A:$A,'SKU Repoprt'!P$1)</f>
        <v>0</v>
      </c>
      <c r="Q236" s="3">
        <f>SUMIFS('Business - Dump'!$G:$G,'Business - Dump'!$D:$D,'SKU Repoprt'!$D236,'Business - Dump'!$A:$A,'SKU Repoprt'!Q$1)</f>
        <v>0</v>
      </c>
      <c r="R236" s="3">
        <f>SUMIFS('Business - Dump'!$G:$G,'Business - Dump'!$D:$D,'SKU Repoprt'!$D236,'Business - Dump'!$A:$A,'SKU Repoprt'!R$1)</f>
        <v>0</v>
      </c>
      <c r="S236" s="3">
        <f>SUMIFS('Business - Dump'!$G:$G,'Business - Dump'!$D:$D,'SKU Repoprt'!$D236,'Business - Dump'!$A:$A,'SKU Repoprt'!S$1)</f>
        <v>0</v>
      </c>
      <c r="T236" s="3">
        <f>SUMIFS('Business - Dump'!$G:$G,'Business - Dump'!$D:$D,'SKU Repoprt'!$D236,'Business - Dump'!$A:$A,'SKU Repoprt'!T$1)</f>
        <v>0</v>
      </c>
      <c r="U236" s="3">
        <f>SUMIFS('Business - Dump'!$G:$G,'Business - Dump'!$D:$D,'SKU Repoprt'!$D236,'Business - Dump'!$A:$A,'SKU Repoprt'!U$1)</f>
        <v>0</v>
      </c>
      <c r="V236" s="3">
        <f>SUMIFS('Business - Dump'!$G:$G,'Business - Dump'!$D:$D,'SKU Repoprt'!$D236,'Business - Dump'!$A:$A,'SKU Repoprt'!V$1)</f>
        <v>0</v>
      </c>
      <c r="W236" s="3">
        <f>SUMIFS('Business - Dump'!$G:$G,'Business - Dump'!$D:$D,'SKU Repoprt'!$D236,'Business - Dump'!$A:$A,'SKU Repoprt'!W$1)</f>
        <v>0</v>
      </c>
    </row>
    <row r="237" ht="15.75" customHeight="1">
      <c r="A237" s="10" t="s">
        <v>182</v>
      </c>
      <c r="B237" s="10" t="s">
        <v>182</v>
      </c>
      <c r="C237" s="10"/>
      <c r="D237" s="10" t="s">
        <v>361</v>
      </c>
      <c r="E237" s="10" t="s">
        <v>260</v>
      </c>
      <c r="F237" s="3">
        <f t="shared" si="79"/>
        <v>453</v>
      </c>
      <c r="G237" s="3">
        <f>SUMIFS('Business - Dump'!$K:$K,'Business - Dump'!$D:$D,'SKU Repoprt'!$D237,'Business - Dump'!$A:$A,'SKU Repoprt'!G$1)</f>
        <v>0</v>
      </c>
      <c r="H237" s="3">
        <f>SUMIFS('Business - Dump'!$K:$K,'Business - Dump'!$D:$D,'SKU Repoprt'!$D237,'Business - Dump'!$A:$A,'SKU Repoprt'!H$1)</f>
        <v>0</v>
      </c>
      <c r="I237" s="3">
        <f>SUMIFS('Business - Dump'!$K:$K,'Business - Dump'!$D:$D,'SKU Repoprt'!$D237,'Business - Dump'!$A:$A,'SKU Repoprt'!I$1)</f>
        <v>0</v>
      </c>
      <c r="J237" s="3">
        <f>SUMIFS('Business - Dump'!$K:$K,'Business - Dump'!$D:$D,'SKU Repoprt'!$D237,'Business - Dump'!$A:$A,'SKU Repoprt'!J$1)</f>
        <v>266</v>
      </c>
      <c r="K237" s="3">
        <f>SUMIFS('Business - Dump'!$K:$K,'Business - Dump'!$D:$D,'SKU Repoprt'!$D237,'Business - Dump'!$A:$A,'SKU Repoprt'!K$1)</f>
        <v>187</v>
      </c>
      <c r="L237" s="3">
        <f>SUMIFS('Business - Dump'!$K:$K,'Business - Dump'!$D:$D,'SKU Repoprt'!$D237,'Business - Dump'!$A:$A,'SKU Repoprt'!L$1)</f>
        <v>0</v>
      </c>
      <c r="M237" s="3">
        <f>SUMIFS('Business - Dump'!$K:$K,'Business - Dump'!$D:$D,'SKU Repoprt'!$D237,'Business - Dump'!$A:$A,'SKU Repoprt'!M$1)</f>
        <v>0</v>
      </c>
      <c r="N237" s="3">
        <f>SUMIFS('Business - Dump'!$K:$K,'Business - Dump'!$D:$D,'SKU Repoprt'!$D237,'Business - Dump'!$A:$A,'SKU Repoprt'!N$1)</f>
        <v>0</v>
      </c>
      <c r="O237" s="3">
        <f>SUMIFS('Business - Dump'!$K:$K,'Business - Dump'!$D:$D,'SKU Repoprt'!$D237,'Business - Dump'!$A:$A,'SKU Repoprt'!O$1)</f>
        <v>0</v>
      </c>
      <c r="P237" s="3">
        <f>SUMIFS('Business - Dump'!$K:$K,'Business - Dump'!$D:$D,'SKU Repoprt'!$D237,'Business - Dump'!$A:$A,'SKU Repoprt'!P$1)</f>
        <v>0</v>
      </c>
      <c r="Q237" s="3">
        <f>SUMIFS('Business - Dump'!$K:$K,'Business - Dump'!$D:$D,'SKU Repoprt'!$D237,'Business - Dump'!$A:$A,'SKU Repoprt'!Q$1)</f>
        <v>0</v>
      </c>
      <c r="R237" s="3">
        <f>SUMIFS('Business - Dump'!$K:$K,'Business - Dump'!$D:$D,'SKU Repoprt'!$D237,'Business - Dump'!$A:$A,'SKU Repoprt'!R$1)</f>
        <v>0</v>
      </c>
      <c r="S237" s="3">
        <f>SUMIFS('Business - Dump'!$K:$K,'Business - Dump'!$D:$D,'SKU Repoprt'!$D237,'Business - Dump'!$A:$A,'SKU Repoprt'!S$1)</f>
        <v>0</v>
      </c>
      <c r="T237" s="3">
        <f>SUMIFS('Business - Dump'!$K:$K,'Business - Dump'!$D:$D,'SKU Repoprt'!$D237,'Business - Dump'!$A:$A,'SKU Repoprt'!T$1)</f>
        <v>0</v>
      </c>
      <c r="U237" s="3">
        <f>SUMIFS('Business - Dump'!$K:$K,'Business - Dump'!$D:$D,'SKU Repoprt'!$D237,'Business - Dump'!$A:$A,'SKU Repoprt'!U$1)</f>
        <v>0</v>
      </c>
      <c r="V237" s="3">
        <f>SUMIFS('Business - Dump'!$K:$K,'Business - Dump'!$D:$D,'SKU Repoprt'!$D237,'Business - Dump'!$A:$A,'SKU Repoprt'!V$1)</f>
        <v>0</v>
      </c>
      <c r="W237" s="3">
        <f>SUMIFS('Business - Dump'!$K:$K,'Business - Dump'!$D:$D,'SKU Repoprt'!$D237,'Business - Dump'!$A:$A,'SKU Repoprt'!W$1)</f>
        <v>0</v>
      </c>
    </row>
    <row r="238" ht="15.75" customHeight="1">
      <c r="A238" s="10" t="s">
        <v>182</v>
      </c>
      <c r="B238" s="10" t="s">
        <v>182</v>
      </c>
      <c r="C238" s="10"/>
      <c r="D238" s="10" t="s">
        <v>361</v>
      </c>
      <c r="E238" s="10" t="s">
        <v>264</v>
      </c>
      <c r="F238" s="3">
        <f t="shared" si="79"/>
        <v>3</v>
      </c>
      <c r="G238" s="3">
        <f>SUMIFS('Business - Dump'!$Q:$Q,'Business - Dump'!$D:$D,'SKU Repoprt'!$D238,'Business - Dump'!$A:$A,'SKU Repoprt'!G$1)</f>
        <v>0</v>
      </c>
      <c r="H238" s="3">
        <f>SUMIFS('Business - Dump'!$Q:$Q,'Business - Dump'!$D:$D,'SKU Repoprt'!$D238,'Business - Dump'!$A:$A,'SKU Repoprt'!H$1)</f>
        <v>0</v>
      </c>
      <c r="I238" s="3">
        <f>SUMIFS('Business - Dump'!$Q:$Q,'Business - Dump'!$D:$D,'SKU Repoprt'!$D238,'Business - Dump'!$A:$A,'SKU Repoprt'!I$1)</f>
        <v>0</v>
      </c>
      <c r="J238" s="3">
        <f>SUMIFS('Business - Dump'!$Q:$Q,'Business - Dump'!$D:$D,'SKU Repoprt'!$D238,'Business - Dump'!$A:$A,'SKU Repoprt'!J$1)</f>
        <v>2</v>
      </c>
      <c r="K238" s="3">
        <f>SUMIFS('Business - Dump'!$Q:$Q,'Business - Dump'!$D:$D,'SKU Repoprt'!$D238,'Business - Dump'!$A:$A,'SKU Repoprt'!K$1)</f>
        <v>1</v>
      </c>
      <c r="L238" s="3">
        <f>SUMIFS('Business - Dump'!$Q:$Q,'Business - Dump'!$D:$D,'SKU Repoprt'!$D238,'Business - Dump'!$A:$A,'SKU Repoprt'!L$1)</f>
        <v>0</v>
      </c>
      <c r="M238" s="3">
        <f>SUMIFS('Business - Dump'!$Q:$Q,'Business - Dump'!$D:$D,'SKU Repoprt'!$D238,'Business - Dump'!$A:$A,'SKU Repoprt'!M$1)</f>
        <v>0</v>
      </c>
      <c r="N238" s="3">
        <f>SUMIFS('Business - Dump'!$Q:$Q,'Business - Dump'!$D:$D,'SKU Repoprt'!$D238,'Business - Dump'!$A:$A,'SKU Repoprt'!N$1)</f>
        <v>0</v>
      </c>
      <c r="O238" s="3">
        <f>SUMIFS('Business - Dump'!$Q:$Q,'Business - Dump'!$D:$D,'SKU Repoprt'!$D238,'Business - Dump'!$A:$A,'SKU Repoprt'!O$1)</f>
        <v>0</v>
      </c>
      <c r="P238" s="3">
        <f>SUMIFS('Business - Dump'!$Q:$Q,'Business - Dump'!$D:$D,'SKU Repoprt'!$D238,'Business - Dump'!$A:$A,'SKU Repoprt'!P$1)</f>
        <v>0</v>
      </c>
      <c r="Q238" s="3">
        <f>SUMIFS('Business - Dump'!$Q:$Q,'Business - Dump'!$D:$D,'SKU Repoprt'!$D238,'Business - Dump'!$A:$A,'SKU Repoprt'!Q$1)</f>
        <v>0</v>
      </c>
      <c r="R238" s="3">
        <f>SUMIFS('Business - Dump'!$Q:$Q,'Business - Dump'!$D:$D,'SKU Repoprt'!$D238,'Business - Dump'!$A:$A,'SKU Repoprt'!R$1)</f>
        <v>0</v>
      </c>
      <c r="S238" s="3">
        <f>SUMIFS('Business - Dump'!$Q:$Q,'Business - Dump'!$D:$D,'SKU Repoprt'!$D238,'Business - Dump'!$A:$A,'SKU Repoprt'!S$1)</f>
        <v>0</v>
      </c>
      <c r="T238" s="3">
        <f>SUMIFS('Business - Dump'!$Q:$Q,'Business - Dump'!$D:$D,'SKU Repoprt'!$D238,'Business - Dump'!$A:$A,'SKU Repoprt'!T$1)</f>
        <v>0</v>
      </c>
      <c r="U238" s="3">
        <f>SUMIFS('Business - Dump'!$Q:$Q,'Business - Dump'!$D:$D,'SKU Repoprt'!$D238,'Business - Dump'!$A:$A,'SKU Repoprt'!U$1)</f>
        <v>0</v>
      </c>
      <c r="V238" s="3">
        <f>SUMIFS('Business - Dump'!$Q:$Q,'Business - Dump'!$D:$D,'SKU Repoprt'!$D238,'Business - Dump'!$A:$A,'SKU Repoprt'!V$1)</f>
        <v>0</v>
      </c>
      <c r="W238" s="3">
        <f>SUMIFS('Business - Dump'!$Q:$Q,'Business - Dump'!$D:$D,'SKU Repoprt'!$D238,'Business - Dump'!$A:$A,'SKU Repoprt'!W$1)</f>
        <v>0</v>
      </c>
    </row>
    <row r="239" ht="15.75" customHeight="1">
      <c r="A239" s="10" t="s">
        <v>182</v>
      </c>
      <c r="B239" s="10" t="s">
        <v>182</v>
      </c>
      <c r="C239" s="10"/>
      <c r="D239" s="10" t="s">
        <v>361</v>
      </c>
      <c r="E239" s="10" t="s">
        <v>268</v>
      </c>
      <c r="F239" s="3">
        <f t="shared" si="79"/>
        <v>3</v>
      </c>
      <c r="G239" s="3">
        <f>SUMIFS('Business - Dump'!$W:$W,'Business - Dump'!$D:$D,'SKU Repoprt'!$D239,'Business - Dump'!$A:$A,'SKU Repoprt'!G$1)</f>
        <v>0</v>
      </c>
      <c r="H239" s="3">
        <f>SUMIFS('Business - Dump'!$W:$W,'Business - Dump'!$D:$D,'SKU Repoprt'!$D239,'Business - Dump'!$A:$A,'SKU Repoprt'!H$1)</f>
        <v>0</v>
      </c>
      <c r="I239" s="3">
        <f>SUMIFS('Business - Dump'!$W:$W,'Business - Dump'!$D:$D,'SKU Repoprt'!$D239,'Business - Dump'!$A:$A,'SKU Repoprt'!I$1)</f>
        <v>0</v>
      </c>
      <c r="J239" s="3">
        <f>SUMIFS('Business - Dump'!$W:$W,'Business - Dump'!$D:$D,'SKU Repoprt'!$D239,'Business - Dump'!$A:$A,'SKU Repoprt'!J$1)</f>
        <v>2</v>
      </c>
      <c r="K239" s="3">
        <f>SUMIFS('Business - Dump'!$W:$W,'Business - Dump'!$D:$D,'SKU Repoprt'!$D239,'Business - Dump'!$A:$A,'SKU Repoprt'!K$1)</f>
        <v>1</v>
      </c>
      <c r="L239" s="3">
        <f>SUMIFS('Business - Dump'!$W:$W,'Business - Dump'!$D:$D,'SKU Repoprt'!$D239,'Business - Dump'!$A:$A,'SKU Repoprt'!L$1)</f>
        <v>0</v>
      </c>
      <c r="M239" s="3">
        <f>SUMIFS('Business - Dump'!$W:$W,'Business - Dump'!$D:$D,'SKU Repoprt'!$D239,'Business - Dump'!$A:$A,'SKU Repoprt'!M$1)</f>
        <v>0</v>
      </c>
      <c r="N239" s="3">
        <f>SUMIFS('Business - Dump'!$W:$W,'Business - Dump'!$D:$D,'SKU Repoprt'!$D239,'Business - Dump'!$A:$A,'SKU Repoprt'!N$1)</f>
        <v>0</v>
      </c>
      <c r="O239" s="3">
        <f>SUMIFS('Business - Dump'!$W:$W,'Business - Dump'!$D:$D,'SKU Repoprt'!$D239,'Business - Dump'!$A:$A,'SKU Repoprt'!O$1)</f>
        <v>0</v>
      </c>
      <c r="P239" s="3">
        <f>SUMIFS('Business - Dump'!$W:$W,'Business - Dump'!$D:$D,'SKU Repoprt'!$D239,'Business - Dump'!$A:$A,'SKU Repoprt'!P$1)</f>
        <v>0</v>
      </c>
      <c r="Q239" s="3">
        <f>SUMIFS('Business - Dump'!$W:$W,'Business - Dump'!$D:$D,'SKU Repoprt'!$D239,'Business - Dump'!$A:$A,'SKU Repoprt'!Q$1)</f>
        <v>0</v>
      </c>
      <c r="R239" s="3">
        <f>SUMIFS('Business - Dump'!$W:$W,'Business - Dump'!$D:$D,'SKU Repoprt'!$D239,'Business - Dump'!$A:$A,'SKU Repoprt'!R$1)</f>
        <v>0</v>
      </c>
      <c r="S239" s="3">
        <f>SUMIFS('Business - Dump'!$W:$W,'Business - Dump'!$D:$D,'SKU Repoprt'!$D239,'Business - Dump'!$A:$A,'SKU Repoprt'!S$1)</f>
        <v>0</v>
      </c>
      <c r="T239" s="3">
        <f>SUMIFS('Business - Dump'!$W:$W,'Business - Dump'!$D:$D,'SKU Repoprt'!$D239,'Business - Dump'!$A:$A,'SKU Repoprt'!T$1)</f>
        <v>0</v>
      </c>
      <c r="U239" s="3">
        <f>SUMIFS('Business - Dump'!$W:$W,'Business - Dump'!$D:$D,'SKU Repoprt'!$D239,'Business - Dump'!$A:$A,'SKU Repoprt'!U$1)</f>
        <v>0</v>
      </c>
      <c r="V239" s="3">
        <f>SUMIFS('Business - Dump'!$W:$W,'Business - Dump'!$D:$D,'SKU Repoprt'!$D239,'Business - Dump'!$A:$A,'SKU Repoprt'!V$1)</f>
        <v>0</v>
      </c>
      <c r="W239" s="3">
        <f>SUMIFS('Business - Dump'!$W:$W,'Business - Dump'!$D:$D,'SKU Repoprt'!$D239,'Business - Dump'!$A:$A,'SKU Repoprt'!W$1)</f>
        <v>0</v>
      </c>
    </row>
    <row r="240" ht="15.75" customHeight="1">
      <c r="A240" s="10" t="s">
        <v>182</v>
      </c>
      <c r="B240" s="10" t="s">
        <v>182</v>
      </c>
      <c r="C240" s="10"/>
      <c r="D240" s="10" t="s">
        <v>361</v>
      </c>
      <c r="E240" s="10" t="s">
        <v>26</v>
      </c>
      <c r="F240" s="16">
        <f t="shared" si="79"/>
        <v>79838.98</v>
      </c>
      <c r="G240" s="16">
        <f>SUMIFS('Business - Dump'!$U:$U,'Business - Dump'!$D:$D,'SKU Repoprt'!$D240,'Business - Dump'!$A:$A,'SKU Repoprt'!G$1)</f>
        <v>0</v>
      </c>
      <c r="H240" s="16">
        <f>SUMIFS('Business - Dump'!$U:$U,'Business - Dump'!$D:$D,'SKU Repoprt'!$D240,'Business - Dump'!$A:$A,'SKU Repoprt'!H$1)</f>
        <v>0</v>
      </c>
      <c r="I240" s="16">
        <f>SUMIFS('Business - Dump'!$U:$U,'Business - Dump'!$D:$D,'SKU Repoprt'!$D240,'Business - Dump'!$A:$A,'SKU Repoprt'!I$1)</f>
        <v>0</v>
      </c>
      <c r="J240" s="16">
        <f>SUMIFS('Business - Dump'!$U:$U,'Business - Dump'!$D:$D,'SKU Repoprt'!$D240,'Business - Dump'!$A:$A,'SKU Repoprt'!J$1)</f>
        <v>53000</v>
      </c>
      <c r="K240" s="16">
        <f>SUMIFS('Business - Dump'!$U:$U,'Business - Dump'!$D:$D,'SKU Repoprt'!$D240,'Business - Dump'!$A:$A,'SKU Repoprt'!K$1)</f>
        <v>26838.98</v>
      </c>
      <c r="L240" s="16">
        <f>SUMIFS('Business - Dump'!$U:$U,'Business - Dump'!$D:$D,'SKU Repoprt'!$D240,'Business - Dump'!$A:$A,'SKU Repoprt'!L$1)</f>
        <v>0</v>
      </c>
      <c r="M240" s="16">
        <f>SUMIFS('Business - Dump'!$U:$U,'Business - Dump'!$D:$D,'SKU Repoprt'!$D240,'Business - Dump'!$A:$A,'SKU Repoprt'!M$1)</f>
        <v>0</v>
      </c>
      <c r="N240" s="16">
        <f>SUMIFS('Business - Dump'!$U:$U,'Business - Dump'!$D:$D,'SKU Repoprt'!$D240,'Business - Dump'!$A:$A,'SKU Repoprt'!N$1)</f>
        <v>0</v>
      </c>
      <c r="O240" s="16">
        <f>SUMIFS('Business - Dump'!$U:$U,'Business - Dump'!$D:$D,'SKU Repoprt'!$D240,'Business - Dump'!$A:$A,'SKU Repoprt'!O$1)</f>
        <v>0</v>
      </c>
      <c r="P240" s="16">
        <f>SUMIFS('Business - Dump'!$U:$U,'Business - Dump'!$D:$D,'SKU Repoprt'!$D240,'Business - Dump'!$A:$A,'SKU Repoprt'!P$1)</f>
        <v>0</v>
      </c>
      <c r="Q240" s="16">
        <f>SUMIFS('Business - Dump'!$U:$U,'Business - Dump'!$D:$D,'SKU Repoprt'!$D240,'Business - Dump'!$A:$A,'SKU Repoprt'!Q$1)</f>
        <v>0</v>
      </c>
      <c r="R240" s="16">
        <f>SUMIFS('Business - Dump'!$U:$U,'Business - Dump'!$D:$D,'SKU Repoprt'!$D240,'Business - Dump'!$A:$A,'SKU Repoprt'!R$1)</f>
        <v>0</v>
      </c>
      <c r="S240" s="16">
        <f>SUMIFS('Business - Dump'!$U:$U,'Business - Dump'!$D:$D,'SKU Repoprt'!$D240,'Business - Dump'!$A:$A,'SKU Repoprt'!S$1)</f>
        <v>0</v>
      </c>
      <c r="T240" s="16">
        <f>SUMIFS('Business - Dump'!$U:$U,'Business - Dump'!$D:$D,'SKU Repoprt'!$D240,'Business - Dump'!$A:$A,'SKU Repoprt'!T$1)</f>
        <v>0</v>
      </c>
      <c r="U240" s="16">
        <f>SUMIFS('Business - Dump'!$U:$U,'Business - Dump'!$D:$D,'SKU Repoprt'!$D240,'Business - Dump'!$A:$A,'SKU Repoprt'!U$1)</f>
        <v>0</v>
      </c>
      <c r="V240" s="16">
        <f>SUMIFS('Business - Dump'!$U:$U,'Business - Dump'!$D:$D,'SKU Repoprt'!$D240,'Business - Dump'!$A:$A,'SKU Repoprt'!V$1)</f>
        <v>0</v>
      </c>
      <c r="W240" s="16">
        <f>SUMIFS('Business - Dump'!$U:$U,'Business - Dump'!$D:$D,'SKU Repoprt'!$D240,'Business - Dump'!$A:$A,'SKU Repoprt'!W$1)</f>
        <v>0</v>
      </c>
    </row>
    <row r="241" ht="15.75" customHeight="1">
      <c r="A241" s="10" t="s">
        <v>182</v>
      </c>
      <c r="B241" s="10" t="s">
        <v>182</v>
      </c>
      <c r="C241" s="10"/>
      <c r="D241" s="10" t="s">
        <v>361</v>
      </c>
      <c r="E241" s="10" t="s">
        <v>29</v>
      </c>
      <c r="F241" s="17">
        <v>0.027042857142857143</v>
      </c>
      <c r="G241" s="17">
        <f t="shared" ref="G241:W241" si="80">IFERROR(G239/G236,0)</f>
        <v>0</v>
      </c>
      <c r="H241" s="17">
        <f t="shared" si="80"/>
        <v>0</v>
      </c>
      <c r="I241" s="17">
        <f t="shared" si="80"/>
        <v>0</v>
      </c>
      <c r="J241" s="17">
        <f t="shared" si="80"/>
        <v>0.01047120419</v>
      </c>
      <c r="K241" s="17">
        <f t="shared" si="80"/>
        <v>0.007352941176</v>
      </c>
      <c r="L241" s="17">
        <f t="shared" si="80"/>
        <v>0</v>
      </c>
      <c r="M241" s="17">
        <f t="shared" si="80"/>
        <v>0</v>
      </c>
      <c r="N241" s="17">
        <f t="shared" si="80"/>
        <v>0</v>
      </c>
      <c r="O241" s="17">
        <f t="shared" si="80"/>
        <v>0</v>
      </c>
      <c r="P241" s="17">
        <f t="shared" si="80"/>
        <v>0</v>
      </c>
      <c r="Q241" s="17">
        <f t="shared" si="80"/>
        <v>0</v>
      </c>
      <c r="R241" s="17">
        <f t="shared" si="80"/>
        <v>0</v>
      </c>
      <c r="S241" s="17">
        <f t="shared" si="80"/>
        <v>0</v>
      </c>
      <c r="T241" s="17">
        <f t="shared" si="80"/>
        <v>0</v>
      </c>
      <c r="U241" s="17">
        <f t="shared" si="80"/>
        <v>0</v>
      </c>
      <c r="V241" s="17">
        <f t="shared" si="80"/>
        <v>0</v>
      </c>
      <c r="W241" s="17">
        <f t="shared" si="80"/>
        <v>0</v>
      </c>
    </row>
    <row r="242" ht="15.75" customHeight="1">
      <c r="A242" s="10" t="s">
        <v>182</v>
      </c>
      <c r="B242" s="10" t="s">
        <v>182</v>
      </c>
      <c r="C242" s="10"/>
      <c r="D242" s="10" t="s">
        <v>378</v>
      </c>
      <c r="E242" s="10" t="s">
        <v>257</v>
      </c>
      <c r="F242" s="3">
        <f t="shared" ref="F242:F246" si="81">SUM(G242:S242)</f>
        <v>2715</v>
      </c>
      <c r="G242" s="3">
        <f>SUMIFS('Business - Dump'!$G:$G,'Business - Dump'!$D:$D,'SKU Repoprt'!$D242,'Business - Dump'!$A:$A,'SKU Repoprt'!G$1)</f>
        <v>0</v>
      </c>
      <c r="H242" s="3">
        <f>SUMIFS('Business - Dump'!$G:$G,'Business - Dump'!$D:$D,'SKU Repoprt'!$D242,'Business - Dump'!$A:$A,'SKU Repoprt'!H$1)</f>
        <v>0</v>
      </c>
      <c r="I242" s="3">
        <f>SUMIFS('Business - Dump'!$G:$G,'Business - Dump'!$D:$D,'SKU Repoprt'!$D242,'Business - Dump'!$A:$A,'SKU Repoprt'!I$1)</f>
        <v>0</v>
      </c>
      <c r="J242" s="3">
        <f>SUMIFS('Business - Dump'!$G:$G,'Business - Dump'!$D:$D,'SKU Repoprt'!$D242,'Business - Dump'!$A:$A,'SKU Repoprt'!J$1)</f>
        <v>0</v>
      </c>
      <c r="K242" s="3">
        <f>SUMIFS('Business - Dump'!$G:$G,'Business - Dump'!$D:$D,'SKU Repoprt'!$D242,'Business - Dump'!$A:$A,'SKU Repoprt'!K$1)</f>
        <v>0</v>
      </c>
      <c r="L242" s="3">
        <f>SUMIFS('Business - Dump'!$G:$G,'Business - Dump'!$D:$D,'SKU Repoprt'!$D242,'Business - Dump'!$A:$A,'SKU Repoprt'!L$1)</f>
        <v>0</v>
      </c>
      <c r="M242" s="3">
        <f>SUMIFS('Business - Dump'!$G:$G,'Business - Dump'!$D:$D,'SKU Repoprt'!$D242,'Business - Dump'!$A:$A,'SKU Repoprt'!M$1)</f>
        <v>104</v>
      </c>
      <c r="N242" s="3">
        <f>SUMIFS('Business - Dump'!$G:$G,'Business - Dump'!$D:$D,'SKU Repoprt'!$D242,'Business - Dump'!$A:$A,'SKU Repoprt'!N$1)</f>
        <v>96</v>
      </c>
      <c r="O242" s="3">
        <f>SUMIFS('Business - Dump'!$G:$G,'Business - Dump'!$D:$D,'SKU Repoprt'!$D242,'Business - Dump'!$A:$A,'SKU Repoprt'!O$1)</f>
        <v>86</v>
      </c>
      <c r="P242" s="3">
        <f>SUMIFS('Business - Dump'!$G:$G,'Business - Dump'!$D:$D,'SKU Repoprt'!$D242,'Business - Dump'!$A:$A,'SKU Repoprt'!P$1)</f>
        <v>468</v>
      </c>
      <c r="Q242" s="3">
        <f>SUMIFS('Business - Dump'!$G:$G,'Business - Dump'!$D:$D,'SKU Repoprt'!$D242,'Business - Dump'!$A:$A,'SKU Repoprt'!Q$1)</f>
        <v>1485</v>
      </c>
      <c r="R242" s="3">
        <f>SUMIFS('Business - Dump'!$G:$G,'Business - Dump'!$D:$D,'SKU Repoprt'!$D242,'Business - Dump'!$A:$A,'SKU Repoprt'!R$1)</f>
        <v>342</v>
      </c>
      <c r="S242" s="3">
        <f>SUMIFS('Business - Dump'!$G:$G,'Business - Dump'!$D:$D,'SKU Repoprt'!$D242,'Business - Dump'!$A:$A,'SKU Repoprt'!S$1)</f>
        <v>134</v>
      </c>
      <c r="T242" s="3">
        <f>SUMIFS('Business - Dump'!$G:$G,'Business - Dump'!$D:$D,'SKU Repoprt'!$D242,'Business - Dump'!$A:$A,'SKU Repoprt'!T$1)</f>
        <v>119</v>
      </c>
      <c r="U242" s="3">
        <f>SUMIFS('Business - Dump'!$G:$G,'Business - Dump'!$D:$D,'SKU Repoprt'!$D242,'Business - Dump'!$A:$A,'SKU Repoprt'!U$1)</f>
        <v>91</v>
      </c>
      <c r="V242" s="3">
        <f>SUMIFS('Business - Dump'!$G:$G,'Business - Dump'!$D:$D,'SKU Repoprt'!$D242,'Business - Dump'!$A:$A,'SKU Repoprt'!V$1)</f>
        <v>38</v>
      </c>
      <c r="W242" s="3">
        <f>SUMIFS('Business - Dump'!$G:$G,'Business - Dump'!$D:$D,'SKU Repoprt'!$D242,'Business - Dump'!$A:$A,'SKU Repoprt'!W$1)</f>
        <v>84</v>
      </c>
    </row>
    <row r="243" ht="15.75" customHeight="1">
      <c r="A243" s="10" t="s">
        <v>182</v>
      </c>
      <c r="B243" s="10" t="s">
        <v>182</v>
      </c>
      <c r="C243" s="10"/>
      <c r="D243" s="10" t="s">
        <v>378</v>
      </c>
      <c r="E243" s="10" t="s">
        <v>260</v>
      </c>
      <c r="F243" s="3">
        <f t="shared" si="81"/>
        <v>3666</v>
      </c>
      <c r="G243" s="3">
        <f>SUMIFS('Business - Dump'!$K:$K,'Business - Dump'!$D:$D,'SKU Repoprt'!$D243,'Business - Dump'!$A:$A,'SKU Repoprt'!G$1)</f>
        <v>0</v>
      </c>
      <c r="H243" s="3">
        <f>SUMIFS('Business - Dump'!$K:$K,'Business - Dump'!$D:$D,'SKU Repoprt'!$D243,'Business - Dump'!$A:$A,'SKU Repoprt'!H$1)</f>
        <v>0</v>
      </c>
      <c r="I243" s="3">
        <f>SUMIFS('Business - Dump'!$K:$K,'Business - Dump'!$D:$D,'SKU Repoprt'!$D243,'Business - Dump'!$A:$A,'SKU Repoprt'!I$1)</f>
        <v>0</v>
      </c>
      <c r="J243" s="3">
        <f>SUMIFS('Business - Dump'!$K:$K,'Business - Dump'!$D:$D,'SKU Repoprt'!$D243,'Business - Dump'!$A:$A,'SKU Repoprt'!J$1)</f>
        <v>0</v>
      </c>
      <c r="K243" s="3">
        <f>SUMIFS('Business - Dump'!$K:$K,'Business - Dump'!$D:$D,'SKU Repoprt'!$D243,'Business - Dump'!$A:$A,'SKU Repoprt'!K$1)</f>
        <v>0</v>
      </c>
      <c r="L243" s="3">
        <f>SUMIFS('Business - Dump'!$K:$K,'Business - Dump'!$D:$D,'SKU Repoprt'!$D243,'Business - Dump'!$A:$A,'SKU Repoprt'!L$1)</f>
        <v>0</v>
      </c>
      <c r="M243" s="3">
        <f>SUMIFS('Business - Dump'!$K:$K,'Business - Dump'!$D:$D,'SKU Repoprt'!$D243,'Business - Dump'!$A:$A,'SKU Repoprt'!M$1)</f>
        <v>146</v>
      </c>
      <c r="N243" s="3">
        <f>SUMIFS('Business - Dump'!$K:$K,'Business - Dump'!$D:$D,'SKU Repoprt'!$D243,'Business - Dump'!$A:$A,'SKU Repoprt'!N$1)</f>
        <v>125</v>
      </c>
      <c r="O243" s="3">
        <f>SUMIFS('Business - Dump'!$K:$K,'Business - Dump'!$D:$D,'SKU Repoprt'!$D243,'Business - Dump'!$A:$A,'SKU Repoprt'!O$1)</f>
        <v>111</v>
      </c>
      <c r="P243" s="3">
        <f>SUMIFS('Business - Dump'!$K:$K,'Business - Dump'!$D:$D,'SKU Repoprt'!$D243,'Business - Dump'!$A:$A,'SKU Repoprt'!P$1)</f>
        <v>608</v>
      </c>
      <c r="Q243" s="3">
        <f>SUMIFS('Business - Dump'!$K:$K,'Business - Dump'!$D:$D,'SKU Repoprt'!$D243,'Business - Dump'!$A:$A,'SKU Repoprt'!Q$1)</f>
        <v>2041</v>
      </c>
      <c r="R243" s="3">
        <f>SUMIFS('Business - Dump'!$K:$K,'Business - Dump'!$D:$D,'SKU Repoprt'!$D243,'Business - Dump'!$A:$A,'SKU Repoprt'!R$1)</f>
        <v>464</v>
      </c>
      <c r="S243" s="3">
        <f>SUMIFS('Business - Dump'!$K:$K,'Business - Dump'!$D:$D,'SKU Repoprt'!$D243,'Business - Dump'!$A:$A,'SKU Repoprt'!S$1)</f>
        <v>171</v>
      </c>
      <c r="T243" s="3">
        <f>SUMIFS('Business - Dump'!$K:$K,'Business - Dump'!$D:$D,'SKU Repoprt'!$D243,'Business - Dump'!$A:$A,'SKU Repoprt'!T$1)</f>
        <v>134</v>
      </c>
      <c r="U243" s="3">
        <f>SUMIFS('Business - Dump'!$K:$K,'Business - Dump'!$D:$D,'SKU Repoprt'!$D243,'Business - Dump'!$A:$A,'SKU Repoprt'!U$1)</f>
        <v>112</v>
      </c>
      <c r="V243" s="3">
        <f>SUMIFS('Business - Dump'!$K:$K,'Business - Dump'!$D:$D,'SKU Repoprt'!$D243,'Business - Dump'!$A:$A,'SKU Repoprt'!V$1)</f>
        <v>47</v>
      </c>
      <c r="W243" s="3">
        <f>SUMIFS('Business - Dump'!$K:$K,'Business - Dump'!$D:$D,'SKU Repoprt'!$D243,'Business - Dump'!$A:$A,'SKU Repoprt'!W$1)</f>
        <v>106</v>
      </c>
    </row>
    <row r="244" ht="15.75" customHeight="1">
      <c r="A244" s="10" t="s">
        <v>182</v>
      </c>
      <c r="B244" s="10" t="s">
        <v>182</v>
      </c>
      <c r="C244" s="10"/>
      <c r="D244" s="10" t="s">
        <v>378</v>
      </c>
      <c r="E244" s="10" t="s">
        <v>264</v>
      </c>
      <c r="F244" s="3">
        <f t="shared" si="81"/>
        <v>3</v>
      </c>
      <c r="G244" s="3">
        <f>SUMIFS('Business - Dump'!$Q:$Q,'Business - Dump'!$D:$D,'SKU Repoprt'!$D244,'Business - Dump'!$A:$A,'SKU Repoprt'!G$1)</f>
        <v>0</v>
      </c>
      <c r="H244" s="3">
        <f>SUMIFS('Business - Dump'!$Q:$Q,'Business - Dump'!$D:$D,'SKU Repoprt'!$D244,'Business - Dump'!$A:$A,'SKU Repoprt'!H$1)</f>
        <v>0</v>
      </c>
      <c r="I244" s="3">
        <f>SUMIFS('Business - Dump'!$Q:$Q,'Business - Dump'!$D:$D,'SKU Repoprt'!$D244,'Business - Dump'!$A:$A,'SKU Repoprt'!I$1)</f>
        <v>0</v>
      </c>
      <c r="J244" s="3">
        <f>SUMIFS('Business - Dump'!$Q:$Q,'Business - Dump'!$D:$D,'SKU Repoprt'!$D244,'Business - Dump'!$A:$A,'SKU Repoprt'!J$1)</f>
        <v>0</v>
      </c>
      <c r="K244" s="3">
        <f>SUMIFS('Business - Dump'!$Q:$Q,'Business - Dump'!$D:$D,'SKU Repoprt'!$D244,'Business - Dump'!$A:$A,'SKU Repoprt'!K$1)</f>
        <v>0</v>
      </c>
      <c r="L244" s="3">
        <f>SUMIFS('Business - Dump'!$Q:$Q,'Business - Dump'!$D:$D,'SKU Repoprt'!$D244,'Business - Dump'!$A:$A,'SKU Repoprt'!L$1)</f>
        <v>0</v>
      </c>
      <c r="M244" s="3">
        <f>SUMIFS('Business - Dump'!$Q:$Q,'Business - Dump'!$D:$D,'SKU Repoprt'!$D244,'Business - Dump'!$A:$A,'SKU Repoprt'!M$1)</f>
        <v>0</v>
      </c>
      <c r="N244" s="3">
        <f>SUMIFS('Business - Dump'!$Q:$Q,'Business - Dump'!$D:$D,'SKU Repoprt'!$D244,'Business - Dump'!$A:$A,'SKU Repoprt'!N$1)</f>
        <v>0</v>
      </c>
      <c r="O244" s="3">
        <f>SUMIFS('Business - Dump'!$Q:$Q,'Business - Dump'!$D:$D,'SKU Repoprt'!$D244,'Business - Dump'!$A:$A,'SKU Repoprt'!O$1)</f>
        <v>0</v>
      </c>
      <c r="P244" s="3">
        <f>SUMIFS('Business - Dump'!$Q:$Q,'Business - Dump'!$D:$D,'SKU Repoprt'!$D244,'Business - Dump'!$A:$A,'SKU Repoprt'!P$1)</f>
        <v>1</v>
      </c>
      <c r="Q244" s="3">
        <f>SUMIFS('Business - Dump'!$Q:$Q,'Business - Dump'!$D:$D,'SKU Repoprt'!$D244,'Business - Dump'!$A:$A,'SKU Repoprt'!Q$1)</f>
        <v>0</v>
      </c>
      <c r="R244" s="3">
        <f>SUMIFS('Business - Dump'!$Q:$Q,'Business - Dump'!$D:$D,'SKU Repoprt'!$D244,'Business - Dump'!$A:$A,'SKU Repoprt'!R$1)</f>
        <v>2</v>
      </c>
      <c r="S244" s="3">
        <f>SUMIFS('Business - Dump'!$Q:$Q,'Business - Dump'!$D:$D,'SKU Repoprt'!$D244,'Business - Dump'!$A:$A,'SKU Repoprt'!S$1)</f>
        <v>0</v>
      </c>
      <c r="T244" s="3">
        <f>SUMIFS('Business - Dump'!$Q:$Q,'Business - Dump'!$D:$D,'SKU Repoprt'!$D244,'Business - Dump'!$A:$A,'SKU Repoprt'!T$1)</f>
        <v>0</v>
      </c>
      <c r="U244" s="3">
        <f>SUMIFS('Business - Dump'!$Q:$Q,'Business - Dump'!$D:$D,'SKU Repoprt'!$D244,'Business - Dump'!$A:$A,'SKU Repoprt'!U$1)</f>
        <v>0</v>
      </c>
      <c r="V244" s="3">
        <f>SUMIFS('Business - Dump'!$Q:$Q,'Business - Dump'!$D:$D,'SKU Repoprt'!$D244,'Business - Dump'!$A:$A,'SKU Repoprt'!V$1)</f>
        <v>0</v>
      </c>
      <c r="W244" s="3">
        <f>SUMIFS('Business - Dump'!$Q:$Q,'Business - Dump'!$D:$D,'SKU Repoprt'!$D244,'Business - Dump'!$A:$A,'SKU Repoprt'!W$1)</f>
        <v>0</v>
      </c>
    </row>
    <row r="245" ht="15.75" customHeight="1">
      <c r="A245" s="10" t="s">
        <v>182</v>
      </c>
      <c r="B245" s="10" t="s">
        <v>182</v>
      </c>
      <c r="C245" s="10"/>
      <c r="D245" s="10" t="s">
        <v>378</v>
      </c>
      <c r="E245" s="10" t="s">
        <v>268</v>
      </c>
      <c r="F245" s="3">
        <f t="shared" si="81"/>
        <v>3</v>
      </c>
      <c r="G245" s="3">
        <f>SUMIFS('Business - Dump'!$W:$W,'Business - Dump'!$D:$D,'SKU Repoprt'!$D245,'Business - Dump'!$A:$A,'SKU Repoprt'!G$1)</f>
        <v>0</v>
      </c>
      <c r="H245" s="3">
        <f>SUMIFS('Business - Dump'!$W:$W,'Business - Dump'!$D:$D,'SKU Repoprt'!$D245,'Business - Dump'!$A:$A,'SKU Repoprt'!H$1)</f>
        <v>0</v>
      </c>
      <c r="I245" s="3">
        <f>SUMIFS('Business - Dump'!$W:$W,'Business - Dump'!$D:$D,'SKU Repoprt'!$D245,'Business - Dump'!$A:$A,'SKU Repoprt'!I$1)</f>
        <v>0</v>
      </c>
      <c r="J245" s="3">
        <f>SUMIFS('Business - Dump'!$W:$W,'Business - Dump'!$D:$D,'SKU Repoprt'!$D245,'Business - Dump'!$A:$A,'SKU Repoprt'!J$1)</f>
        <v>0</v>
      </c>
      <c r="K245" s="3">
        <f>SUMIFS('Business - Dump'!$W:$W,'Business - Dump'!$D:$D,'SKU Repoprt'!$D245,'Business - Dump'!$A:$A,'SKU Repoprt'!K$1)</f>
        <v>0</v>
      </c>
      <c r="L245" s="3">
        <f>SUMIFS('Business - Dump'!$W:$W,'Business - Dump'!$D:$D,'SKU Repoprt'!$D245,'Business - Dump'!$A:$A,'SKU Repoprt'!L$1)</f>
        <v>0</v>
      </c>
      <c r="M245" s="3">
        <f>SUMIFS('Business - Dump'!$W:$W,'Business - Dump'!$D:$D,'SKU Repoprt'!$D245,'Business - Dump'!$A:$A,'SKU Repoprt'!M$1)</f>
        <v>0</v>
      </c>
      <c r="N245" s="3">
        <f>SUMIFS('Business - Dump'!$W:$W,'Business - Dump'!$D:$D,'SKU Repoprt'!$D245,'Business - Dump'!$A:$A,'SKU Repoprt'!N$1)</f>
        <v>0</v>
      </c>
      <c r="O245" s="3">
        <f>SUMIFS('Business - Dump'!$W:$W,'Business - Dump'!$D:$D,'SKU Repoprt'!$D245,'Business - Dump'!$A:$A,'SKU Repoprt'!O$1)</f>
        <v>0</v>
      </c>
      <c r="P245" s="3">
        <f>SUMIFS('Business - Dump'!$W:$W,'Business - Dump'!$D:$D,'SKU Repoprt'!$D245,'Business - Dump'!$A:$A,'SKU Repoprt'!P$1)</f>
        <v>1</v>
      </c>
      <c r="Q245" s="3">
        <f>SUMIFS('Business - Dump'!$W:$W,'Business - Dump'!$D:$D,'SKU Repoprt'!$D245,'Business - Dump'!$A:$A,'SKU Repoprt'!Q$1)</f>
        <v>0</v>
      </c>
      <c r="R245" s="3">
        <f>SUMIFS('Business - Dump'!$W:$W,'Business - Dump'!$D:$D,'SKU Repoprt'!$D245,'Business - Dump'!$A:$A,'SKU Repoprt'!R$1)</f>
        <v>2</v>
      </c>
      <c r="S245" s="3">
        <f>SUMIFS('Business - Dump'!$W:$W,'Business - Dump'!$D:$D,'SKU Repoprt'!$D245,'Business - Dump'!$A:$A,'SKU Repoprt'!S$1)</f>
        <v>0</v>
      </c>
      <c r="T245" s="3">
        <f>SUMIFS('Business - Dump'!$W:$W,'Business - Dump'!$D:$D,'SKU Repoprt'!$D245,'Business - Dump'!$A:$A,'SKU Repoprt'!T$1)</f>
        <v>0</v>
      </c>
      <c r="U245" s="3">
        <f>SUMIFS('Business - Dump'!$W:$W,'Business - Dump'!$D:$D,'SKU Repoprt'!$D245,'Business - Dump'!$A:$A,'SKU Repoprt'!U$1)</f>
        <v>0</v>
      </c>
      <c r="V245" s="3">
        <f>SUMIFS('Business - Dump'!$W:$W,'Business - Dump'!$D:$D,'SKU Repoprt'!$D245,'Business - Dump'!$A:$A,'SKU Repoprt'!V$1)</f>
        <v>0</v>
      </c>
      <c r="W245" s="3">
        <f>SUMIFS('Business - Dump'!$W:$W,'Business - Dump'!$D:$D,'SKU Repoprt'!$D245,'Business - Dump'!$A:$A,'SKU Repoprt'!W$1)</f>
        <v>0</v>
      </c>
    </row>
    <row r="246" ht="15.75" customHeight="1">
      <c r="A246" s="10" t="s">
        <v>182</v>
      </c>
      <c r="B246" s="10" t="s">
        <v>182</v>
      </c>
      <c r="C246" s="10"/>
      <c r="D246" s="10" t="s">
        <v>378</v>
      </c>
      <c r="E246" s="10" t="s">
        <v>26</v>
      </c>
      <c r="F246" s="16">
        <f t="shared" si="81"/>
        <v>91590.16</v>
      </c>
      <c r="G246" s="16">
        <f>SUMIFS('Business - Dump'!$U:$U,'Business - Dump'!$D:$D,'SKU Repoprt'!$D246,'Business - Dump'!$A:$A,'SKU Repoprt'!G$1)</f>
        <v>0</v>
      </c>
      <c r="H246" s="16">
        <f>SUMIFS('Business - Dump'!$U:$U,'Business - Dump'!$D:$D,'SKU Repoprt'!$D246,'Business - Dump'!$A:$A,'SKU Repoprt'!H$1)</f>
        <v>0</v>
      </c>
      <c r="I246" s="16">
        <f>SUMIFS('Business - Dump'!$U:$U,'Business - Dump'!$D:$D,'SKU Repoprt'!$D246,'Business - Dump'!$A:$A,'SKU Repoprt'!I$1)</f>
        <v>0</v>
      </c>
      <c r="J246" s="16">
        <f>SUMIFS('Business - Dump'!$U:$U,'Business - Dump'!$D:$D,'SKU Repoprt'!$D246,'Business - Dump'!$A:$A,'SKU Repoprt'!J$1)</f>
        <v>0</v>
      </c>
      <c r="K246" s="16">
        <f>SUMIFS('Business - Dump'!$U:$U,'Business - Dump'!$D:$D,'SKU Repoprt'!$D246,'Business - Dump'!$A:$A,'SKU Repoprt'!K$1)</f>
        <v>0</v>
      </c>
      <c r="L246" s="16">
        <f>SUMIFS('Business - Dump'!$U:$U,'Business - Dump'!$D:$D,'SKU Repoprt'!$D246,'Business - Dump'!$A:$A,'SKU Repoprt'!L$1)</f>
        <v>0</v>
      </c>
      <c r="M246" s="16">
        <f>SUMIFS('Business - Dump'!$U:$U,'Business - Dump'!$D:$D,'SKU Repoprt'!$D246,'Business - Dump'!$A:$A,'SKU Repoprt'!M$1)</f>
        <v>0</v>
      </c>
      <c r="N246" s="16">
        <f>SUMIFS('Business - Dump'!$U:$U,'Business - Dump'!$D:$D,'SKU Repoprt'!$D246,'Business - Dump'!$A:$A,'SKU Repoprt'!N$1)</f>
        <v>0</v>
      </c>
      <c r="O246" s="16">
        <f>SUMIFS('Business - Dump'!$U:$U,'Business - Dump'!$D:$D,'SKU Repoprt'!$D246,'Business - Dump'!$A:$A,'SKU Repoprt'!O$1)</f>
        <v>0</v>
      </c>
      <c r="P246" s="16">
        <f>SUMIFS('Business - Dump'!$U:$U,'Business - Dump'!$D:$D,'SKU Repoprt'!$D246,'Business - Dump'!$A:$A,'SKU Repoprt'!P$1)</f>
        <v>29900</v>
      </c>
      <c r="Q246" s="16">
        <f>SUMIFS('Business - Dump'!$U:$U,'Business - Dump'!$D:$D,'SKU Repoprt'!$D246,'Business - Dump'!$A:$A,'SKU Repoprt'!Q$1)</f>
        <v>0</v>
      </c>
      <c r="R246" s="16">
        <f>SUMIFS('Business - Dump'!$U:$U,'Business - Dump'!$D:$D,'SKU Repoprt'!$D246,'Business - Dump'!$A:$A,'SKU Repoprt'!R$1)</f>
        <v>61690.16</v>
      </c>
      <c r="S246" s="16">
        <f>SUMIFS('Business - Dump'!$U:$U,'Business - Dump'!$D:$D,'SKU Repoprt'!$D246,'Business - Dump'!$A:$A,'SKU Repoprt'!S$1)</f>
        <v>0</v>
      </c>
      <c r="T246" s="16">
        <f>SUMIFS('Business - Dump'!$U:$U,'Business - Dump'!$D:$D,'SKU Repoprt'!$D246,'Business - Dump'!$A:$A,'SKU Repoprt'!T$1)</f>
        <v>0</v>
      </c>
      <c r="U246" s="16">
        <f>SUMIFS('Business - Dump'!$U:$U,'Business - Dump'!$D:$D,'SKU Repoprt'!$D246,'Business - Dump'!$A:$A,'SKU Repoprt'!U$1)</f>
        <v>0</v>
      </c>
      <c r="V246" s="16">
        <f>SUMIFS('Business - Dump'!$U:$U,'Business - Dump'!$D:$D,'SKU Repoprt'!$D246,'Business - Dump'!$A:$A,'SKU Repoprt'!V$1)</f>
        <v>0</v>
      </c>
      <c r="W246" s="16">
        <f>SUMIFS('Business - Dump'!$U:$U,'Business - Dump'!$D:$D,'SKU Repoprt'!$D246,'Business - Dump'!$A:$A,'SKU Repoprt'!W$1)</f>
        <v>0</v>
      </c>
    </row>
    <row r="247" ht="15.75" customHeight="1">
      <c r="A247" s="10" t="s">
        <v>182</v>
      </c>
      <c r="B247" s="10" t="s">
        <v>182</v>
      </c>
      <c r="C247" s="10"/>
      <c r="D247" s="10" t="s">
        <v>378</v>
      </c>
      <c r="E247" s="10" t="s">
        <v>29</v>
      </c>
      <c r="F247" s="17">
        <v>0.027042857142857143</v>
      </c>
      <c r="G247" s="17">
        <f t="shared" ref="G247:W247" si="82">IFERROR(G245/G242,0)</f>
        <v>0</v>
      </c>
      <c r="H247" s="17">
        <f t="shared" si="82"/>
        <v>0</v>
      </c>
      <c r="I247" s="17">
        <f t="shared" si="82"/>
        <v>0</v>
      </c>
      <c r="J247" s="17">
        <f t="shared" si="82"/>
        <v>0</v>
      </c>
      <c r="K247" s="17">
        <f t="shared" si="82"/>
        <v>0</v>
      </c>
      <c r="L247" s="17">
        <f t="shared" si="82"/>
        <v>0</v>
      </c>
      <c r="M247" s="17">
        <f t="shared" si="82"/>
        <v>0</v>
      </c>
      <c r="N247" s="17">
        <f t="shared" si="82"/>
        <v>0</v>
      </c>
      <c r="O247" s="17">
        <f t="shared" si="82"/>
        <v>0</v>
      </c>
      <c r="P247" s="17">
        <f t="shared" si="82"/>
        <v>0.002136752137</v>
      </c>
      <c r="Q247" s="17">
        <f t="shared" si="82"/>
        <v>0</v>
      </c>
      <c r="R247" s="17">
        <f t="shared" si="82"/>
        <v>0.005847953216</v>
      </c>
      <c r="S247" s="17">
        <f t="shared" si="82"/>
        <v>0</v>
      </c>
      <c r="T247" s="17">
        <f t="shared" si="82"/>
        <v>0</v>
      </c>
      <c r="U247" s="17">
        <f t="shared" si="82"/>
        <v>0</v>
      </c>
      <c r="V247" s="17">
        <f t="shared" si="82"/>
        <v>0</v>
      </c>
      <c r="W247" s="17">
        <f t="shared" si="82"/>
        <v>0</v>
      </c>
    </row>
    <row r="248" ht="15.75" customHeight="1">
      <c r="A248" s="10" t="s">
        <v>182</v>
      </c>
      <c r="B248" s="10" t="s">
        <v>182</v>
      </c>
      <c r="C248" s="10"/>
      <c r="D248" s="10" t="s">
        <v>380</v>
      </c>
      <c r="E248" s="10" t="s">
        <v>257</v>
      </c>
      <c r="F248" s="3">
        <f t="shared" ref="F248:F252" si="83">SUM(G248:S248)</f>
        <v>2806</v>
      </c>
      <c r="G248" s="3">
        <f>SUMIFS('Business - Dump'!$G:$G,'Business - Dump'!$D:$D,'SKU Repoprt'!$D248,'Business - Dump'!$A:$A,'SKU Repoprt'!G$1)</f>
        <v>0</v>
      </c>
      <c r="H248" s="3">
        <f>SUMIFS('Business - Dump'!$G:$G,'Business - Dump'!$D:$D,'SKU Repoprt'!$D248,'Business - Dump'!$A:$A,'SKU Repoprt'!H$1)</f>
        <v>0</v>
      </c>
      <c r="I248" s="3">
        <f>SUMIFS('Business - Dump'!$G:$G,'Business - Dump'!$D:$D,'SKU Repoprt'!$D248,'Business - Dump'!$A:$A,'SKU Repoprt'!I$1)</f>
        <v>0</v>
      </c>
      <c r="J248" s="3">
        <f>SUMIFS('Business - Dump'!$G:$G,'Business - Dump'!$D:$D,'SKU Repoprt'!$D248,'Business - Dump'!$A:$A,'SKU Repoprt'!J$1)</f>
        <v>0</v>
      </c>
      <c r="K248" s="3">
        <f>SUMIFS('Business - Dump'!$G:$G,'Business - Dump'!$D:$D,'SKU Repoprt'!$D248,'Business - Dump'!$A:$A,'SKU Repoprt'!K$1)</f>
        <v>0</v>
      </c>
      <c r="L248" s="3">
        <f>SUMIFS('Business - Dump'!$G:$G,'Business - Dump'!$D:$D,'SKU Repoprt'!$D248,'Business - Dump'!$A:$A,'SKU Repoprt'!L$1)</f>
        <v>0</v>
      </c>
      <c r="M248" s="3">
        <f>SUMIFS('Business - Dump'!$G:$G,'Business - Dump'!$D:$D,'SKU Repoprt'!$D248,'Business - Dump'!$A:$A,'SKU Repoprt'!M$1)</f>
        <v>371</v>
      </c>
      <c r="N248" s="3">
        <f>SUMIFS('Business - Dump'!$G:$G,'Business - Dump'!$D:$D,'SKU Repoprt'!$D248,'Business - Dump'!$A:$A,'SKU Repoprt'!N$1)</f>
        <v>229</v>
      </c>
      <c r="O248" s="3">
        <f>SUMIFS('Business - Dump'!$G:$G,'Business - Dump'!$D:$D,'SKU Repoprt'!$D248,'Business - Dump'!$A:$A,'SKU Repoprt'!O$1)</f>
        <v>439</v>
      </c>
      <c r="P248" s="3">
        <f>SUMIFS('Business - Dump'!$G:$G,'Business - Dump'!$D:$D,'SKU Repoprt'!$D248,'Business - Dump'!$A:$A,'SKU Repoprt'!P$1)</f>
        <v>481</v>
      </c>
      <c r="Q248" s="3">
        <f>SUMIFS('Business - Dump'!$G:$G,'Business - Dump'!$D:$D,'SKU Repoprt'!$D248,'Business - Dump'!$A:$A,'SKU Repoprt'!Q$1)</f>
        <v>674</v>
      </c>
      <c r="R248" s="3">
        <f>SUMIFS('Business - Dump'!$G:$G,'Business - Dump'!$D:$D,'SKU Repoprt'!$D248,'Business - Dump'!$A:$A,'SKU Repoprt'!R$1)</f>
        <v>417</v>
      </c>
      <c r="S248" s="3">
        <f>SUMIFS('Business - Dump'!$G:$G,'Business - Dump'!$D:$D,'SKU Repoprt'!$D248,'Business - Dump'!$A:$A,'SKU Repoprt'!S$1)</f>
        <v>195</v>
      </c>
      <c r="T248" s="3">
        <f>SUMIFS('Business - Dump'!$G:$G,'Business - Dump'!$D:$D,'SKU Repoprt'!$D248,'Business - Dump'!$A:$A,'SKU Repoprt'!T$1)</f>
        <v>231</v>
      </c>
      <c r="U248" s="3">
        <f>SUMIFS('Business - Dump'!$G:$G,'Business - Dump'!$D:$D,'SKU Repoprt'!$D248,'Business - Dump'!$A:$A,'SKU Repoprt'!U$1)</f>
        <v>241</v>
      </c>
      <c r="V248" s="3">
        <f>SUMIFS('Business - Dump'!$G:$G,'Business - Dump'!$D:$D,'SKU Repoprt'!$D248,'Business - Dump'!$A:$A,'SKU Repoprt'!V$1)</f>
        <v>241</v>
      </c>
      <c r="W248" s="3">
        <f>SUMIFS('Business - Dump'!$G:$G,'Business - Dump'!$D:$D,'SKU Repoprt'!$D248,'Business - Dump'!$A:$A,'SKU Repoprt'!W$1)</f>
        <v>320</v>
      </c>
    </row>
    <row r="249" ht="15.75" customHeight="1">
      <c r="A249" s="10" t="s">
        <v>182</v>
      </c>
      <c r="B249" s="10" t="s">
        <v>182</v>
      </c>
      <c r="C249" s="10"/>
      <c r="D249" s="10" t="s">
        <v>380</v>
      </c>
      <c r="E249" s="10" t="s">
        <v>260</v>
      </c>
      <c r="F249" s="3">
        <f t="shared" si="83"/>
        <v>3726</v>
      </c>
      <c r="G249" s="3">
        <f>SUMIFS('Business - Dump'!$K:$K,'Business - Dump'!$D:$D,'SKU Repoprt'!$D249,'Business - Dump'!$A:$A,'SKU Repoprt'!G$1)</f>
        <v>0</v>
      </c>
      <c r="H249" s="3">
        <f>SUMIFS('Business - Dump'!$K:$K,'Business - Dump'!$D:$D,'SKU Repoprt'!$D249,'Business - Dump'!$A:$A,'SKU Repoprt'!H$1)</f>
        <v>0</v>
      </c>
      <c r="I249" s="3">
        <f>SUMIFS('Business - Dump'!$K:$K,'Business - Dump'!$D:$D,'SKU Repoprt'!$D249,'Business - Dump'!$A:$A,'SKU Repoprt'!I$1)</f>
        <v>0</v>
      </c>
      <c r="J249" s="3">
        <f>SUMIFS('Business - Dump'!$K:$K,'Business - Dump'!$D:$D,'SKU Repoprt'!$D249,'Business - Dump'!$A:$A,'SKU Repoprt'!J$1)</f>
        <v>0</v>
      </c>
      <c r="K249" s="3">
        <f>SUMIFS('Business - Dump'!$K:$K,'Business - Dump'!$D:$D,'SKU Repoprt'!$D249,'Business - Dump'!$A:$A,'SKU Repoprt'!K$1)</f>
        <v>0</v>
      </c>
      <c r="L249" s="3">
        <f>SUMIFS('Business - Dump'!$K:$K,'Business - Dump'!$D:$D,'SKU Repoprt'!$D249,'Business - Dump'!$A:$A,'SKU Repoprt'!L$1)</f>
        <v>0</v>
      </c>
      <c r="M249" s="3">
        <f>SUMIFS('Business - Dump'!$K:$K,'Business - Dump'!$D:$D,'SKU Repoprt'!$D249,'Business - Dump'!$A:$A,'SKU Repoprt'!M$1)</f>
        <v>550</v>
      </c>
      <c r="N249" s="3">
        <f>SUMIFS('Business - Dump'!$K:$K,'Business - Dump'!$D:$D,'SKU Repoprt'!$D249,'Business - Dump'!$A:$A,'SKU Repoprt'!N$1)</f>
        <v>287</v>
      </c>
      <c r="O249" s="3">
        <f>SUMIFS('Business - Dump'!$K:$K,'Business - Dump'!$D:$D,'SKU Repoprt'!$D249,'Business - Dump'!$A:$A,'SKU Repoprt'!O$1)</f>
        <v>549</v>
      </c>
      <c r="P249" s="3">
        <f>SUMIFS('Business - Dump'!$K:$K,'Business - Dump'!$D:$D,'SKU Repoprt'!$D249,'Business - Dump'!$A:$A,'SKU Repoprt'!P$1)</f>
        <v>638</v>
      </c>
      <c r="Q249" s="3">
        <f>SUMIFS('Business - Dump'!$K:$K,'Business - Dump'!$D:$D,'SKU Repoprt'!$D249,'Business - Dump'!$A:$A,'SKU Repoprt'!Q$1)</f>
        <v>919</v>
      </c>
      <c r="R249" s="3">
        <f>SUMIFS('Business - Dump'!$K:$K,'Business - Dump'!$D:$D,'SKU Repoprt'!$D249,'Business - Dump'!$A:$A,'SKU Repoprt'!R$1)</f>
        <v>548</v>
      </c>
      <c r="S249" s="3">
        <f>SUMIFS('Business - Dump'!$K:$K,'Business - Dump'!$D:$D,'SKU Repoprt'!$D249,'Business - Dump'!$A:$A,'SKU Repoprt'!S$1)</f>
        <v>235</v>
      </c>
      <c r="T249" s="3">
        <f>SUMIFS('Business - Dump'!$K:$K,'Business - Dump'!$D:$D,'SKU Repoprt'!$D249,'Business - Dump'!$A:$A,'SKU Repoprt'!T$1)</f>
        <v>265</v>
      </c>
      <c r="U249" s="3">
        <f>SUMIFS('Business - Dump'!$K:$K,'Business - Dump'!$D:$D,'SKU Repoprt'!$D249,'Business - Dump'!$A:$A,'SKU Repoprt'!U$1)</f>
        <v>307</v>
      </c>
      <c r="V249" s="3">
        <f>SUMIFS('Business - Dump'!$K:$K,'Business - Dump'!$D:$D,'SKU Repoprt'!$D249,'Business - Dump'!$A:$A,'SKU Repoprt'!V$1)</f>
        <v>329</v>
      </c>
      <c r="W249" s="3">
        <f>SUMIFS('Business - Dump'!$K:$K,'Business - Dump'!$D:$D,'SKU Repoprt'!$D249,'Business - Dump'!$A:$A,'SKU Repoprt'!W$1)</f>
        <v>396</v>
      </c>
    </row>
    <row r="250" ht="15.75" customHeight="1">
      <c r="A250" s="10" t="s">
        <v>182</v>
      </c>
      <c r="B250" s="10" t="s">
        <v>182</v>
      </c>
      <c r="C250" s="10"/>
      <c r="D250" s="10" t="s">
        <v>380</v>
      </c>
      <c r="E250" s="10" t="s">
        <v>264</v>
      </c>
      <c r="F250" s="3">
        <f t="shared" si="83"/>
        <v>15</v>
      </c>
      <c r="G250" s="3">
        <f>SUMIFS('Business - Dump'!$Q:$Q,'Business - Dump'!$D:$D,'SKU Repoprt'!$D250,'Business - Dump'!$A:$A,'SKU Repoprt'!G$1)</f>
        <v>0</v>
      </c>
      <c r="H250" s="3">
        <f>SUMIFS('Business - Dump'!$Q:$Q,'Business - Dump'!$D:$D,'SKU Repoprt'!$D250,'Business - Dump'!$A:$A,'SKU Repoprt'!H$1)</f>
        <v>0</v>
      </c>
      <c r="I250" s="3">
        <f>SUMIFS('Business - Dump'!$Q:$Q,'Business - Dump'!$D:$D,'SKU Repoprt'!$D250,'Business - Dump'!$A:$A,'SKU Repoprt'!I$1)</f>
        <v>0</v>
      </c>
      <c r="J250" s="3">
        <f>SUMIFS('Business - Dump'!$Q:$Q,'Business - Dump'!$D:$D,'SKU Repoprt'!$D250,'Business - Dump'!$A:$A,'SKU Repoprt'!J$1)</f>
        <v>0</v>
      </c>
      <c r="K250" s="3">
        <f>SUMIFS('Business - Dump'!$Q:$Q,'Business - Dump'!$D:$D,'SKU Repoprt'!$D250,'Business - Dump'!$A:$A,'SKU Repoprt'!K$1)</f>
        <v>0</v>
      </c>
      <c r="L250" s="3">
        <f>SUMIFS('Business - Dump'!$Q:$Q,'Business - Dump'!$D:$D,'SKU Repoprt'!$D250,'Business - Dump'!$A:$A,'SKU Repoprt'!L$1)</f>
        <v>0</v>
      </c>
      <c r="M250" s="3">
        <f>SUMIFS('Business - Dump'!$Q:$Q,'Business - Dump'!$D:$D,'SKU Repoprt'!$D250,'Business - Dump'!$A:$A,'SKU Repoprt'!M$1)</f>
        <v>3</v>
      </c>
      <c r="N250" s="3">
        <f>SUMIFS('Business - Dump'!$Q:$Q,'Business - Dump'!$D:$D,'SKU Repoprt'!$D250,'Business - Dump'!$A:$A,'SKU Repoprt'!N$1)</f>
        <v>1</v>
      </c>
      <c r="O250" s="3">
        <f>SUMIFS('Business - Dump'!$Q:$Q,'Business - Dump'!$D:$D,'SKU Repoprt'!$D250,'Business - Dump'!$A:$A,'SKU Repoprt'!O$1)</f>
        <v>3</v>
      </c>
      <c r="P250" s="3">
        <f>SUMIFS('Business - Dump'!$Q:$Q,'Business - Dump'!$D:$D,'SKU Repoprt'!$D250,'Business - Dump'!$A:$A,'SKU Repoprt'!P$1)</f>
        <v>4</v>
      </c>
      <c r="Q250" s="3">
        <f>SUMIFS('Business - Dump'!$Q:$Q,'Business - Dump'!$D:$D,'SKU Repoprt'!$D250,'Business - Dump'!$A:$A,'SKU Repoprt'!Q$1)</f>
        <v>3</v>
      </c>
      <c r="R250" s="3">
        <f>SUMIFS('Business - Dump'!$Q:$Q,'Business - Dump'!$D:$D,'SKU Repoprt'!$D250,'Business - Dump'!$A:$A,'SKU Repoprt'!R$1)</f>
        <v>1</v>
      </c>
      <c r="S250" s="3">
        <f>SUMIFS('Business - Dump'!$Q:$Q,'Business - Dump'!$D:$D,'SKU Repoprt'!$D250,'Business - Dump'!$A:$A,'SKU Repoprt'!S$1)</f>
        <v>0</v>
      </c>
      <c r="T250" s="3">
        <f>SUMIFS('Business - Dump'!$Q:$Q,'Business - Dump'!$D:$D,'SKU Repoprt'!$D250,'Business - Dump'!$A:$A,'SKU Repoprt'!T$1)</f>
        <v>0</v>
      </c>
      <c r="U250" s="3">
        <f>SUMIFS('Business - Dump'!$Q:$Q,'Business - Dump'!$D:$D,'SKU Repoprt'!$D250,'Business - Dump'!$A:$A,'SKU Repoprt'!U$1)</f>
        <v>1</v>
      </c>
      <c r="V250" s="3">
        <f>SUMIFS('Business - Dump'!$Q:$Q,'Business - Dump'!$D:$D,'SKU Repoprt'!$D250,'Business - Dump'!$A:$A,'SKU Repoprt'!V$1)</f>
        <v>2</v>
      </c>
      <c r="W250" s="3">
        <f>SUMIFS('Business - Dump'!$Q:$Q,'Business - Dump'!$D:$D,'SKU Repoprt'!$D250,'Business - Dump'!$A:$A,'SKU Repoprt'!W$1)</f>
        <v>0</v>
      </c>
    </row>
    <row r="251" ht="15.75" customHeight="1">
      <c r="A251" s="10" t="s">
        <v>182</v>
      </c>
      <c r="B251" s="10" t="s">
        <v>182</v>
      </c>
      <c r="C251" s="10"/>
      <c r="D251" s="10" t="s">
        <v>380</v>
      </c>
      <c r="E251" s="10" t="s">
        <v>268</v>
      </c>
      <c r="F251" s="3">
        <f t="shared" si="83"/>
        <v>15</v>
      </c>
      <c r="G251" s="3">
        <f>SUMIFS('Business - Dump'!$W:$W,'Business - Dump'!$D:$D,'SKU Repoprt'!$D251,'Business - Dump'!$A:$A,'SKU Repoprt'!G$1)</f>
        <v>0</v>
      </c>
      <c r="H251" s="3">
        <f>SUMIFS('Business - Dump'!$W:$W,'Business - Dump'!$D:$D,'SKU Repoprt'!$D251,'Business - Dump'!$A:$A,'SKU Repoprt'!H$1)</f>
        <v>0</v>
      </c>
      <c r="I251" s="3">
        <f>SUMIFS('Business - Dump'!$W:$W,'Business - Dump'!$D:$D,'SKU Repoprt'!$D251,'Business - Dump'!$A:$A,'SKU Repoprt'!I$1)</f>
        <v>0</v>
      </c>
      <c r="J251" s="3">
        <f>SUMIFS('Business - Dump'!$W:$W,'Business - Dump'!$D:$D,'SKU Repoprt'!$D251,'Business - Dump'!$A:$A,'SKU Repoprt'!J$1)</f>
        <v>0</v>
      </c>
      <c r="K251" s="3">
        <f>SUMIFS('Business - Dump'!$W:$W,'Business - Dump'!$D:$D,'SKU Repoprt'!$D251,'Business - Dump'!$A:$A,'SKU Repoprt'!K$1)</f>
        <v>0</v>
      </c>
      <c r="L251" s="3">
        <f>SUMIFS('Business - Dump'!$W:$W,'Business - Dump'!$D:$D,'SKU Repoprt'!$D251,'Business - Dump'!$A:$A,'SKU Repoprt'!L$1)</f>
        <v>0</v>
      </c>
      <c r="M251" s="3">
        <f>SUMIFS('Business - Dump'!$W:$W,'Business - Dump'!$D:$D,'SKU Repoprt'!$D251,'Business - Dump'!$A:$A,'SKU Repoprt'!M$1)</f>
        <v>3</v>
      </c>
      <c r="N251" s="3">
        <f>SUMIFS('Business - Dump'!$W:$W,'Business - Dump'!$D:$D,'SKU Repoprt'!$D251,'Business - Dump'!$A:$A,'SKU Repoprt'!N$1)</f>
        <v>1</v>
      </c>
      <c r="O251" s="3">
        <f>SUMIFS('Business - Dump'!$W:$W,'Business - Dump'!$D:$D,'SKU Repoprt'!$D251,'Business - Dump'!$A:$A,'SKU Repoprt'!O$1)</f>
        <v>3</v>
      </c>
      <c r="P251" s="3">
        <f>SUMIFS('Business - Dump'!$W:$W,'Business - Dump'!$D:$D,'SKU Repoprt'!$D251,'Business - Dump'!$A:$A,'SKU Repoprt'!P$1)</f>
        <v>4</v>
      </c>
      <c r="Q251" s="3">
        <f>SUMIFS('Business - Dump'!$W:$W,'Business - Dump'!$D:$D,'SKU Repoprt'!$D251,'Business - Dump'!$A:$A,'SKU Repoprt'!Q$1)</f>
        <v>3</v>
      </c>
      <c r="R251" s="3">
        <f>SUMIFS('Business - Dump'!$W:$W,'Business - Dump'!$D:$D,'SKU Repoprt'!$D251,'Business - Dump'!$A:$A,'SKU Repoprt'!R$1)</f>
        <v>1</v>
      </c>
      <c r="S251" s="3">
        <f>SUMIFS('Business - Dump'!$W:$W,'Business - Dump'!$D:$D,'SKU Repoprt'!$D251,'Business - Dump'!$A:$A,'SKU Repoprt'!S$1)</f>
        <v>0</v>
      </c>
      <c r="T251" s="3">
        <f>SUMIFS('Business - Dump'!$W:$W,'Business - Dump'!$D:$D,'SKU Repoprt'!$D251,'Business - Dump'!$A:$A,'SKU Repoprt'!T$1)</f>
        <v>0</v>
      </c>
      <c r="U251" s="3">
        <f>SUMIFS('Business - Dump'!$W:$W,'Business - Dump'!$D:$D,'SKU Repoprt'!$D251,'Business - Dump'!$A:$A,'SKU Repoprt'!U$1)</f>
        <v>1</v>
      </c>
      <c r="V251" s="3">
        <f>SUMIFS('Business - Dump'!$W:$W,'Business - Dump'!$D:$D,'SKU Repoprt'!$D251,'Business - Dump'!$A:$A,'SKU Repoprt'!V$1)</f>
        <v>2</v>
      </c>
      <c r="W251" s="3">
        <f>SUMIFS('Business - Dump'!$W:$W,'Business - Dump'!$D:$D,'SKU Repoprt'!$D251,'Business - Dump'!$A:$A,'SKU Repoprt'!W$1)</f>
        <v>0</v>
      </c>
    </row>
    <row r="252" ht="15.75" customHeight="1">
      <c r="A252" s="10" t="s">
        <v>182</v>
      </c>
      <c r="B252" s="10" t="s">
        <v>182</v>
      </c>
      <c r="C252" s="10"/>
      <c r="D252" s="10" t="s">
        <v>380</v>
      </c>
      <c r="E252" s="10" t="s">
        <v>26</v>
      </c>
      <c r="F252" s="16">
        <f t="shared" si="83"/>
        <v>502047.12</v>
      </c>
      <c r="G252" s="16">
        <f>SUMIFS('Business - Dump'!$U:$U,'Business - Dump'!$D:$D,'SKU Repoprt'!$D252,'Business - Dump'!$A:$A,'SKU Repoprt'!G$1)</f>
        <v>0</v>
      </c>
      <c r="H252" s="16">
        <f>SUMIFS('Business - Dump'!$U:$U,'Business - Dump'!$D:$D,'SKU Repoprt'!$D252,'Business - Dump'!$A:$A,'SKU Repoprt'!H$1)</f>
        <v>0</v>
      </c>
      <c r="I252" s="16">
        <f>SUMIFS('Business - Dump'!$U:$U,'Business - Dump'!$D:$D,'SKU Repoprt'!$D252,'Business - Dump'!$A:$A,'SKU Repoprt'!I$1)</f>
        <v>0</v>
      </c>
      <c r="J252" s="16">
        <f>SUMIFS('Business - Dump'!$U:$U,'Business - Dump'!$D:$D,'SKU Repoprt'!$D252,'Business - Dump'!$A:$A,'SKU Repoprt'!J$1)</f>
        <v>0</v>
      </c>
      <c r="K252" s="16">
        <f>SUMIFS('Business - Dump'!$U:$U,'Business - Dump'!$D:$D,'SKU Repoprt'!$D252,'Business - Dump'!$A:$A,'SKU Repoprt'!K$1)</f>
        <v>0</v>
      </c>
      <c r="L252" s="16">
        <f>SUMIFS('Business - Dump'!$U:$U,'Business - Dump'!$D:$D,'SKU Repoprt'!$D252,'Business - Dump'!$A:$A,'SKU Repoprt'!L$1)</f>
        <v>0</v>
      </c>
      <c r="M252" s="16">
        <f>SUMIFS('Business - Dump'!$U:$U,'Business - Dump'!$D:$D,'SKU Repoprt'!$D252,'Business - Dump'!$A:$A,'SKU Repoprt'!M$1)</f>
        <v>104644.08</v>
      </c>
      <c r="N252" s="16">
        <f>SUMIFS('Business - Dump'!$U:$U,'Business - Dump'!$D:$D,'SKU Repoprt'!$D252,'Business - Dump'!$A:$A,'SKU Repoprt'!N$1)</f>
        <v>34950</v>
      </c>
      <c r="O252" s="16">
        <f>SUMIFS('Business - Dump'!$U:$U,'Business - Dump'!$D:$D,'SKU Repoprt'!$D252,'Business - Dump'!$A:$A,'SKU Repoprt'!O$1)</f>
        <v>99612.72</v>
      </c>
      <c r="P252" s="16">
        <f>SUMIFS('Business - Dump'!$U:$U,'Business - Dump'!$D:$D,'SKU Repoprt'!$D252,'Business - Dump'!$A:$A,'SKU Repoprt'!P$1)</f>
        <v>133025.08</v>
      </c>
      <c r="Q252" s="16">
        <f>SUMIFS('Business - Dump'!$U:$U,'Business - Dump'!$D:$D,'SKU Repoprt'!$D252,'Business - Dump'!$A:$A,'SKU Repoprt'!Q$1)</f>
        <v>98480.16</v>
      </c>
      <c r="R252" s="16">
        <f>SUMIFS('Business - Dump'!$U:$U,'Business - Dump'!$D:$D,'SKU Repoprt'!$D252,'Business - Dump'!$A:$A,'SKU Repoprt'!R$1)</f>
        <v>31335.08</v>
      </c>
      <c r="S252" s="16">
        <f>SUMIFS('Business - Dump'!$U:$U,'Business - Dump'!$D:$D,'SKU Repoprt'!$D252,'Business - Dump'!$A:$A,'SKU Repoprt'!S$1)</f>
        <v>0</v>
      </c>
      <c r="T252" s="16">
        <f>SUMIFS('Business - Dump'!$U:$U,'Business - Dump'!$D:$D,'SKU Repoprt'!$D252,'Business - Dump'!$A:$A,'SKU Repoprt'!T$1)</f>
        <v>0</v>
      </c>
      <c r="U252" s="16">
        <f>SUMIFS('Business - Dump'!$U:$U,'Business - Dump'!$D:$D,'SKU Repoprt'!$D252,'Business - Dump'!$A:$A,'SKU Repoprt'!U$1)</f>
        <v>35442.03</v>
      </c>
      <c r="V252" s="16">
        <f>SUMIFS('Business - Dump'!$U:$U,'Business - Dump'!$D:$D,'SKU Repoprt'!$D252,'Business - Dump'!$A:$A,'SKU Repoprt'!V$1)</f>
        <v>70942.03</v>
      </c>
      <c r="W252" s="16">
        <f>SUMIFS('Business - Dump'!$U:$U,'Business - Dump'!$D:$D,'SKU Repoprt'!$D252,'Business - Dump'!$A:$A,'SKU Repoprt'!W$1)</f>
        <v>0</v>
      </c>
    </row>
    <row r="253" ht="15.75" customHeight="1">
      <c r="A253" s="10" t="s">
        <v>182</v>
      </c>
      <c r="B253" s="10" t="s">
        <v>182</v>
      </c>
      <c r="C253" s="10"/>
      <c r="D253" s="10" t="s">
        <v>380</v>
      </c>
      <c r="E253" s="10" t="s">
        <v>29</v>
      </c>
      <c r="F253" s="17">
        <v>0.027042857142857143</v>
      </c>
      <c r="G253" s="17">
        <f t="shared" ref="G253:W253" si="84">IFERROR(G251/G248,0)</f>
        <v>0</v>
      </c>
      <c r="H253" s="17">
        <f t="shared" si="84"/>
        <v>0</v>
      </c>
      <c r="I253" s="17">
        <f t="shared" si="84"/>
        <v>0</v>
      </c>
      <c r="J253" s="17">
        <f t="shared" si="84"/>
        <v>0</v>
      </c>
      <c r="K253" s="17">
        <f t="shared" si="84"/>
        <v>0</v>
      </c>
      <c r="L253" s="17">
        <f t="shared" si="84"/>
        <v>0</v>
      </c>
      <c r="M253" s="17">
        <f t="shared" si="84"/>
        <v>0.008086253369</v>
      </c>
      <c r="N253" s="17">
        <f t="shared" si="84"/>
        <v>0.004366812227</v>
      </c>
      <c r="O253" s="17">
        <f t="shared" si="84"/>
        <v>0.006833712984</v>
      </c>
      <c r="P253" s="17">
        <f t="shared" si="84"/>
        <v>0.008316008316</v>
      </c>
      <c r="Q253" s="17">
        <f t="shared" si="84"/>
        <v>0.004451038576</v>
      </c>
      <c r="R253" s="17">
        <f t="shared" si="84"/>
        <v>0.002398081535</v>
      </c>
      <c r="S253" s="17">
        <f t="shared" si="84"/>
        <v>0</v>
      </c>
      <c r="T253" s="17">
        <f t="shared" si="84"/>
        <v>0</v>
      </c>
      <c r="U253" s="17">
        <f t="shared" si="84"/>
        <v>0.004149377593</v>
      </c>
      <c r="V253" s="17">
        <f t="shared" si="84"/>
        <v>0.008298755187</v>
      </c>
      <c r="W253" s="17">
        <f t="shared" si="84"/>
        <v>0</v>
      </c>
    </row>
    <row r="254" ht="15.75" customHeight="1">
      <c r="A254" s="10" t="s">
        <v>182</v>
      </c>
      <c r="B254" s="10" t="s">
        <v>182</v>
      </c>
      <c r="C254" s="10"/>
      <c r="D254" s="10" t="s">
        <v>382</v>
      </c>
      <c r="E254" s="10" t="s">
        <v>257</v>
      </c>
      <c r="F254" s="3">
        <f t="shared" ref="F254:F258" si="85">SUM(G254:S254)</f>
        <v>2506</v>
      </c>
      <c r="G254" s="3">
        <f>SUMIFS('Business - Dump'!$G:$G,'Business - Dump'!$D:$D,'SKU Repoprt'!$D254,'Business - Dump'!$A:$A,'SKU Repoprt'!G$1)</f>
        <v>0</v>
      </c>
      <c r="H254" s="3">
        <f>SUMIFS('Business - Dump'!$G:$G,'Business - Dump'!$D:$D,'SKU Repoprt'!$D254,'Business - Dump'!$A:$A,'SKU Repoprt'!H$1)</f>
        <v>0</v>
      </c>
      <c r="I254" s="3">
        <f>SUMIFS('Business - Dump'!$G:$G,'Business - Dump'!$D:$D,'SKU Repoprt'!$D254,'Business - Dump'!$A:$A,'SKU Repoprt'!I$1)</f>
        <v>0</v>
      </c>
      <c r="J254" s="3">
        <f>SUMIFS('Business - Dump'!$G:$G,'Business - Dump'!$D:$D,'SKU Repoprt'!$D254,'Business - Dump'!$A:$A,'SKU Repoprt'!J$1)</f>
        <v>0</v>
      </c>
      <c r="K254" s="3">
        <f>SUMIFS('Business - Dump'!$G:$G,'Business - Dump'!$D:$D,'SKU Repoprt'!$D254,'Business - Dump'!$A:$A,'SKU Repoprt'!K$1)</f>
        <v>101</v>
      </c>
      <c r="L254" s="3">
        <f>SUMIFS('Business - Dump'!$G:$G,'Business - Dump'!$D:$D,'SKU Repoprt'!$D254,'Business - Dump'!$A:$A,'SKU Repoprt'!L$1)</f>
        <v>193</v>
      </c>
      <c r="M254" s="3">
        <f>SUMIFS('Business - Dump'!$G:$G,'Business - Dump'!$D:$D,'SKU Repoprt'!$D254,'Business - Dump'!$A:$A,'SKU Repoprt'!M$1)</f>
        <v>736</v>
      </c>
      <c r="N254" s="3">
        <f>SUMIFS('Business - Dump'!$G:$G,'Business - Dump'!$D:$D,'SKU Repoprt'!$D254,'Business - Dump'!$A:$A,'SKU Repoprt'!N$1)</f>
        <v>235</v>
      </c>
      <c r="O254" s="3">
        <f>SUMIFS('Business - Dump'!$G:$G,'Business - Dump'!$D:$D,'SKU Repoprt'!$D254,'Business - Dump'!$A:$A,'SKU Repoprt'!O$1)</f>
        <v>221</v>
      </c>
      <c r="P254" s="3">
        <f>SUMIFS('Business - Dump'!$G:$G,'Business - Dump'!$D:$D,'SKU Repoprt'!$D254,'Business - Dump'!$A:$A,'SKU Repoprt'!P$1)</f>
        <v>250</v>
      </c>
      <c r="Q254" s="3">
        <f>SUMIFS('Business - Dump'!$G:$G,'Business - Dump'!$D:$D,'SKU Repoprt'!$D254,'Business - Dump'!$A:$A,'SKU Repoprt'!Q$1)</f>
        <v>353</v>
      </c>
      <c r="R254" s="3">
        <f>SUMIFS('Business - Dump'!$G:$G,'Business - Dump'!$D:$D,'SKU Repoprt'!$D254,'Business - Dump'!$A:$A,'SKU Repoprt'!R$1)</f>
        <v>254</v>
      </c>
      <c r="S254" s="3">
        <f>SUMIFS('Business - Dump'!$G:$G,'Business - Dump'!$D:$D,'SKU Repoprt'!$D254,'Business - Dump'!$A:$A,'SKU Repoprt'!S$1)</f>
        <v>163</v>
      </c>
      <c r="T254" s="3">
        <f>SUMIFS('Business - Dump'!$G:$G,'Business - Dump'!$D:$D,'SKU Repoprt'!$D254,'Business - Dump'!$A:$A,'SKU Repoprt'!T$1)</f>
        <v>516</v>
      </c>
      <c r="U254" s="3">
        <f>SUMIFS('Business - Dump'!$G:$G,'Business - Dump'!$D:$D,'SKU Repoprt'!$D254,'Business - Dump'!$A:$A,'SKU Repoprt'!U$1)</f>
        <v>353</v>
      </c>
      <c r="V254" s="3">
        <f>SUMIFS('Business - Dump'!$G:$G,'Business - Dump'!$D:$D,'SKU Repoprt'!$D254,'Business - Dump'!$A:$A,'SKU Repoprt'!V$1)</f>
        <v>704</v>
      </c>
      <c r="W254" s="3">
        <f>SUMIFS('Business - Dump'!$G:$G,'Business - Dump'!$D:$D,'SKU Repoprt'!$D254,'Business - Dump'!$A:$A,'SKU Repoprt'!W$1)</f>
        <v>1548</v>
      </c>
    </row>
    <row r="255" ht="15.75" customHeight="1">
      <c r="A255" s="10" t="s">
        <v>182</v>
      </c>
      <c r="B255" s="10" t="s">
        <v>182</v>
      </c>
      <c r="C255" s="10"/>
      <c r="D255" s="10" t="s">
        <v>382</v>
      </c>
      <c r="E255" s="10" t="s">
        <v>260</v>
      </c>
      <c r="F255" s="3">
        <f t="shared" si="85"/>
        <v>3335</v>
      </c>
      <c r="G255" s="3">
        <f>SUMIFS('Business - Dump'!$K:$K,'Business - Dump'!$D:$D,'SKU Repoprt'!$D255,'Business - Dump'!$A:$A,'SKU Repoprt'!G$1)</f>
        <v>0</v>
      </c>
      <c r="H255" s="3">
        <f>SUMIFS('Business - Dump'!$K:$K,'Business - Dump'!$D:$D,'SKU Repoprt'!$D255,'Business - Dump'!$A:$A,'SKU Repoprt'!H$1)</f>
        <v>0</v>
      </c>
      <c r="I255" s="3">
        <f>SUMIFS('Business - Dump'!$K:$K,'Business - Dump'!$D:$D,'SKU Repoprt'!$D255,'Business - Dump'!$A:$A,'SKU Repoprt'!I$1)</f>
        <v>0</v>
      </c>
      <c r="J255" s="3">
        <f>SUMIFS('Business - Dump'!$K:$K,'Business - Dump'!$D:$D,'SKU Repoprt'!$D255,'Business - Dump'!$A:$A,'SKU Repoprt'!J$1)</f>
        <v>0</v>
      </c>
      <c r="K255" s="3">
        <f>SUMIFS('Business - Dump'!$K:$K,'Business - Dump'!$D:$D,'SKU Repoprt'!$D255,'Business - Dump'!$A:$A,'SKU Repoprt'!K$1)</f>
        <v>144</v>
      </c>
      <c r="L255" s="3">
        <f>SUMIFS('Business - Dump'!$K:$K,'Business - Dump'!$D:$D,'SKU Repoprt'!$D255,'Business - Dump'!$A:$A,'SKU Repoprt'!L$1)</f>
        <v>242</v>
      </c>
      <c r="M255" s="3">
        <f>SUMIFS('Business - Dump'!$K:$K,'Business - Dump'!$D:$D,'SKU Repoprt'!$D255,'Business - Dump'!$A:$A,'SKU Repoprt'!M$1)</f>
        <v>965</v>
      </c>
      <c r="N255" s="3">
        <f>SUMIFS('Business - Dump'!$K:$K,'Business - Dump'!$D:$D,'SKU Repoprt'!$D255,'Business - Dump'!$A:$A,'SKU Repoprt'!N$1)</f>
        <v>299</v>
      </c>
      <c r="O255" s="3">
        <f>SUMIFS('Business - Dump'!$K:$K,'Business - Dump'!$D:$D,'SKU Repoprt'!$D255,'Business - Dump'!$A:$A,'SKU Repoprt'!O$1)</f>
        <v>275</v>
      </c>
      <c r="P255" s="3">
        <f>SUMIFS('Business - Dump'!$K:$K,'Business - Dump'!$D:$D,'SKU Repoprt'!$D255,'Business - Dump'!$A:$A,'SKU Repoprt'!P$1)</f>
        <v>316</v>
      </c>
      <c r="Q255" s="3">
        <f>SUMIFS('Business - Dump'!$K:$K,'Business - Dump'!$D:$D,'SKU Repoprt'!$D255,'Business - Dump'!$A:$A,'SKU Repoprt'!Q$1)</f>
        <v>515</v>
      </c>
      <c r="R255" s="3">
        <f>SUMIFS('Business - Dump'!$K:$K,'Business - Dump'!$D:$D,'SKU Repoprt'!$D255,'Business - Dump'!$A:$A,'SKU Repoprt'!R$1)</f>
        <v>360</v>
      </c>
      <c r="S255" s="3">
        <f>SUMIFS('Business - Dump'!$K:$K,'Business - Dump'!$D:$D,'SKU Repoprt'!$D255,'Business - Dump'!$A:$A,'SKU Repoprt'!S$1)</f>
        <v>219</v>
      </c>
      <c r="T255" s="3">
        <f>SUMIFS('Business - Dump'!$K:$K,'Business - Dump'!$D:$D,'SKU Repoprt'!$D255,'Business - Dump'!$A:$A,'SKU Repoprt'!T$1)</f>
        <v>609</v>
      </c>
      <c r="U255" s="3">
        <f>SUMIFS('Business - Dump'!$K:$K,'Business - Dump'!$D:$D,'SKU Repoprt'!$D255,'Business - Dump'!$A:$A,'SKU Repoprt'!U$1)</f>
        <v>487</v>
      </c>
      <c r="V255" s="3">
        <f>SUMIFS('Business - Dump'!$K:$K,'Business - Dump'!$D:$D,'SKU Repoprt'!$D255,'Business - Dump'!$A:$A,'SKU Repoprt'!V$1)</f>
        <v>902</v>
      </c>
      <c r="W255" s="3">
        <f>SUMIFS('Business - Dump'!$K:$K,'Business - Dump'!$D:$D,'SKU Repoprt'!$D255,'Business - Dump'!$A:$A,'SKU Repoprt'!W$1)</f>
        <v>1923</v>
      </c>
    </row>
    <row r="256" ht="15.75" customHeight="1">
      <c r="A256" s="10" t="s">
        <v>182</v>
      </c>
      <c r="B256" s="10" t="s">
        <v>182</v>
      </c>
      <c r="C256" s="10"/>
      <c r="D256" s="10" t="s">
        <v>382</v>
      </c>
      <c r="E256" s="10" t="s">
        <v>264</v>
      </c>
      <c r="F256" s="3">
        <f t="shared" si="85"/>
        <v>12</v>
      </c>
      <c r="G256" s="3">
        <f>SUMIFS('Business - Dump'!$Q:$Q,'Business - Dump'!$D:$D,'SKU Repoprt'!$D256,'Business - Dump'!$A:$A,'SKU Repoprt'!G$1)</f>
        <v>0</v>
      </c>
      <c r="H256" s="3">
        <f>SUMIFS('Business - Dump'!$Q:$Q,'Business - Dump'!$D:$D,'SKU Repoprt'!$D256,'Business - Dump'!$A:$A,'SKU Repoprt'!H$1)</f>
        <v>0</v>
      </c>
      <c r="I256" s="3">
        <f>SUMIFS('Business - Dump'!$Q:$Q,'Business - Dump'!$D:$D,'SKU Repoprt'!$D256,'Business - Dump'!$A:$A,'SKU Repoprt'!I$1)</f>
        <v>0</v>
      </c>
      <c r="J256" s="3">
        <f>SUMIFS('Business - Dump'!$Q:$Q,'Business - Dump'!$D:$D,'SKU Repoprt'!$D256,'Business - Dump'!$A:$A,'SKU Repoprt'!J$1)</f>
        <v>0</v>
      </c>
      <c r="K256" s="3">
        <f>SUMIFS('Business - Dump'!$Q:$Q,'Business - Dump'!$D:$D,'SKU Repoprt'!$D256,'Business - Dump'!$A:$A,'SKU Repoprt'!K$1)</f>
        <v>1</v>
      </c>
      <c r="L256" s="3">
        <f>SUMIFS('Business - Dump'!$Q:$Q,'Business - Dump'!$D:$D,'SKU Repoprt'!$D256,'Business - Dump'!$A:$A,'SKU Repoprt'!L$1)</f>
        <v>1</v>
      </c>
      <c r="M256" s="3">
        <f>SUMIFS('Business - Dump'!$Q:$Q,'Business - Dump'!$D:$D,'SKU Repoprt'!$D256,'Business - Dump'!$A:$A,'SKU Repoprt'!M$1)</f>
        <v>2</v>
      </c>
      <c r="N256" s="3">
        <f>SUMIFS('Business - Dump'!$Q:$Q,'Business - Dump'!$D:$D,'SKU Repoprt'!$D256,'Business - Dump'!$A:$A,'SKU Repoprt'!N$1)</f>
        <v>2</v>
      </c>
      <c r="O256" s="3">
        <f>SUMIFS('Business - Dump'!$Q:$Q,'Business - Dump'!$D:$D,'SKU Repoprt'!$D256,'Business - Dump'!$A:$A,'SKU Repoprt'!O$1)</f>
        <v>2</v>
      </c>
      <c r="P256" s="3">
        <f>SUMIFS('Business - Dump'!$Q:$Q,'Business - Dump'!$D:$D,'SKU Repoprt'!$D256,'Business - Dump'!$A:$A,'SKU Repoprt'!P$1)</f>
        <v>0</v>
      </c>
      <c r="Q256" s="3">
        <f>SUMIFS('Business - Dump'!$Q:$Q,'Business - Dump'!$D:$D,'SKU Repoprt'!$D256,'Business - Dump'!$A:$A,'SKU Repoprt'!Q$1)</f>
        <v>2</v>
      </c>
      <c r="R256" s="3">
        <f>SUMIFS('Business - Dump'!$Q:$Q,'Business - Dump'!$D:$D,'SKU Repoprt'!$D256,'Business - Dump'!$A:$A,'SKU Repoprt'!R$1)</f>
        <v>2</v>
      </c>
      <c r="S256" s="3">
        <f>SUMIFS('Business - Dump'!$Q:$Q,'Business - Dump'!$D:$D,'SKU Repoprt'!$D256,'Business - Dump'!$A:$A,'SKU Repoprt'!S$1)</f>
        <v>0</v>
      </c>
      <c r="T256" s="3">
        <f>SUMIFS('Business - Dump'!$Q:$Q,'Business - Dump'!$D:$D,'SKU Repoprt'!$D256,'Business - Dump'!$A:$A,'SKU Repoprt'!T$1)</f>
        <v>1</v>
      </c>
      <c r="U256" s="3">
        <f>SUMIFS('Business - Dump'!$Q:$Q,'Business - Dump'!$D:$D,'SKU Repoprt'!$D256,'Business - Dump'!$A:$A,'SKU Repoprt'!U$1)</f>
        <v>1</v>
      </c>
      <c r="V256" s="3">
        <f>SUMIFS('Business - Dump'!$Q:$Q,'Business - Dump'!$D:$D,'SKU Repoprt'!$D256,'Business - Dump'!$A:$A,'SKU Repoprt'!V$1)</f>
        <v>1</v>
      </c>
      <c r="W256" s="3">
        <f>SUMIFS('Business - Dump'!$Q:$Q,'Business - Dump'!$D:$D,'SKU Repoprt'!$D256,'Business - Dump'!$A:$A,'SKU Repoprt'!W$1)</f>
        <v>1</v>
      </c>
    </row>
    <row r="257" ht="15.75" customHeight="1">
      <c r="A257" s="10" t="s">
        <v>182</v>
      </c>
      <c r="B257" s="10" t="s">
        <v>182</v>
      </c>
      <c r="C257" s="10"/>
      <c r="D257" s="10" t="s">
        <v>382</v>
      </c>
      <c r="E257" s="10" t="s">
        <v>268</v>
      </c>
      <c r="F257" s="3">
        <f t="shared" si="85"/>
        <v>12</v>
      </c>
      <c r="G257" s="3">
        <f>SUMIFS('Business - Dump'!$W:$W,'Business - Dump'!$D:$D,'SKU Repoprt'!$D257,'Business - Dump'!$A:$A,'SKU Repoprt'!G$1)</f>
        <v>0</v>
      </c>
      <c r="H257" s="3">
        <f>SUMIFS('Business - Dump'!$W:$W,'Business - Dump'!$D:$D,'SKU Repoprt'!$D257,'Business - Dump'!$A:$A,'SKU Repoprt'!H$1)</f>
        <v>0</v>
      </c>
      <c r="I257" s="3">
        <f>SUMIFS('Business - Dump'!$W:$W,'Business - Dump'!$D:$D,'SKU Repoprt'!$D257,'Business - Dump'!$A:$A,'SKU Repoprt'!I$1)</f>
        <v>0</v>
      </c>
      <c r="J257" s="3">
        <f>SUMIFS('Business - Dump'!$W:$W,'Business - Dump'!$D:$D,'SKU Repoprt'!$D257,'Business - Dump'!$A:$A,'SKU Repoprt'!J$1)</f>
        <v>0</v>
      </c>
      <c r="K257" s="3">
        <f>SUMIFS('Business - Dump'!$W:$W,'Business - Dump'!$D:$D,'SKU Repoprt'!$D257,'Business - Dump'!$A:$A,'SKU Repoprt'!K$1)</f>
        <v>1</v>
      </c>
      <c r="L257" s="3">
        <f>SUMIFS('Business - Dump'!$W:$W,'Business - Dump'!$D:$D,'SKU Repoprt'!$D257,'Business - Dump'!$A:$A,'SKU Repoprt'!L$1)</f>
        <v>1</v>
      </c>
      <c r="M257" s="3">
        <f>SUMIFS('Business - Dump'!$W:$W,'Business - Dump'!$D:$D,'SKU Repoprt'!$D257,'Business - Dump'!$A:$A,'SKU Repoprt'!M$1)</f>
        <v>2</v>
      </c>
      <c r="N257" s="3">
        <f>SUMIFS('Business - Dump'!$W:$W,'Business - Dump'!$D:$D,'SKU Repoprt'!$D257,'Business - Dump'!$A:$A,'SKU Repoprt'!N$1)</f>
        <v>2</v>
      </c>
      <c r="O257" s="3">
        <f>SUMIFS('Business - Dump'!$W:$W,'Business - Dump'!$D:$D,'SKU Repoprt'!$D257,'Business - Dump'!$A:$A,'SKU Repoprt'!O$1)</f>
        <v>2</v>
      </c>
      <c r="P257" s="3">
        <f>SUMIFS('Business - Dump'!$W:$W,'Business - Dump'!$D:$D,'SKU Repoprt'!$D257,'Business - Dump'!$A:$A,'SKU Repoprt'!P$1)</f>
        <v>0</v>
      </c>
      <c r="Q257" s="3">
        <f>SUMIFS('Business - Dump'!$W:$W,'Business - Dump'!$D:$D,'SKU Repoprt'!$D257,'Business - Dump'!$A:$A,'SKU Repoprt'!Q$1)</f>
        <v>2</v>
      </c>
      <c r="R257" s="3">
        <f>SUMIFS('Business - Dump'!$W:$W,'Business - Dump'!$D:$D,'SKU Repoprt'!$D257,'Business - Dump'!$A:$A,'SKU Repoprt'!R$1)</f>
        <v>2</v>
      </c>
      <c r="S257" s="3">
        <f>SUMIFS('Business - Dump'!$W:$W,'Business - Dump'!$D:$D,'SKU Repoprt'!$D257,'Business - Dump'!$A:$A,'SKU Repoprt'!S$1)</f>
        <v>0</v>
      </c>
      <c r="T257" s="3">
        <f>SUMIFS('Business - Dump'!$W:$W,'Business - Dump'!$D:$D,'SKU Repoprt'!$D257,'Business - Dump'!$A:$A,'SKU Repoprt'!T$1)</f>
        <v>1</v>
      </c>
      <c r="U257" s="3">
        <f>SUMIFS('Business - Dump'!$W:$W,'Business - Dump'!$D:$D,'SKU Repoprt'!$D257,'Business - Dump'!$A:$A,'SKU Repoprt'!U$1)</f>
        <v>1</v>
      </c>
      <c r="V257" s="3">
        <f>SUMIFS('Business - Dump'!$W:$W,'Business - Dump'!$D:$D,'SKU Repoprt'!$D257,'Business - Dump'!$A:$A,'SKU Repoprt'!V$1)</f>
        <v>1</v>
      </c>
      <c r="W257" s="3">
        <f>SUMIFS('Business - Dump'!$W:$W,'Business - Dump'!$D:$D,'SKU Repoprt'!$D257,'Business - Dump'!$A:$A,'SKU Repoprt'!W$1)</f>
        <v>1</v>
      </c>
    </row>
    <row r="258" ht="15.75" customHeight="1">
      <c r="A258" s="10" t="s">
        <v>182</v>
      </c>
      <c r="B258" s="10" t="s">
        <v>182</v>
      </c>
      <c r="C258" s="10"/>
      <c r="D258" s="10" t="s">
        <v>382</v>
      </c>
      <c r="E258" s="10" t="s">
        <v>26</v>
      </c>
      <c r="F258" s="16">
        <f t="shared" si="85"/>
        <v>352871.52</v>
      </c>
      <c r="G258" s="16">
        <f>SUMIFS('Business - Dump'!$U:$U,'Business - Dump'!$D:$D,'SKU Repoprt'!$D258,'Business - Dump'!$A:$A,'SKU Repoprt'!G$1)</f>
        <v>0</v>
      </c>
      <c r="H258" s="16">
        <f>SUMIFS('Business - Dump'!$U:$U,'Business - Dump'!$D:$D,'SKU Repoprt'!$D258,'Business - Dump'!$A:$A,'SKU Repoprt'!H$1)</f>
        <v>0</v>
      </c>
      <c r="I258" s="16">
        <f>SUMIFS('Business - Dump'!$U:$U,'Business - Dump'!$D:$D,'SKU Repoprt'!$D258,'Business - Dump'!$A:$A,'SKU Repoprt'!I$1)</f>
        <v>0</v>
      </c>
      <c r="J258" s="16">
        <f>SUMIFS('Business - Dump'!$U:$U,'Business - Dump'!$D:$D,'SKU Repoprt'!$D258,'Business - Dump'!$A:$A,'SKU Repoprt'!J$1)</f>
        <v>0</v>
      </c>
      <c r="K258" s="16">
        <f>SUMIFS('Business - Dump'!$U:$U,'Business - Dump'!$D:$D,'SKU Repoprt'!$D258,'Business - Dump'!$A:$A,'SKU Repoprt'!K$1)</f>
        <v>29900</v>
      </c>
      <c r="L258" s="16">
        <f>SUMIFS('Business - Dump'!$U:$U,'Business - Dump'!$D:$D,'SKU Repoprt'!$D258,'Business - Dump'!$A:$A,'SKU Repoprt'!L$1)</f>
        <v>30000</v>
      </c>
      <c r="M258" s="16">
        <f>SUMIFS('Business - Dump'!$U:$U,'Business - Dump'!$D:$D,'SKU Repoprt'!$D258,'Business - Dump'!$A:$A,'SKU Repoprt'!M$1)</f>
        <v>60650</v>
      </c>
      <c r="N258" s="16">
        <f>SUMIFS('Business - Dump'!$U:$U,'Business - Dump'!$D:$D,'SKU Repoprt'!$D258,'Business - Dump'!$A:$A,'SKU Repoprt'!N$1)</f>
        <v>60900</v>
      </c>
      <c r="O258" s="16">
        <f>SUMIFS('Business - Dump'!$U:$U,'Business - Dump'!$D:$D,'SKU Repoprt'!$D258,'Business - Dump'!$A:$A,'SKU Repoprt'!O$1)</f>
        <v>59331.36</v>
      </c>
      <c r="P258" s="16">
        <f>SUMIFS('Business - Dump'!$U:$U,'Business - Dump'!$D:$D,'SKU Repoprt'!$D258,'Business - Dump'!$A:$A,'SKU Repoprt'!P$1)</f>
        <v>0</v>
      </c>
      <c r="Q258" s="16">
        <f>SUMIFS('Business - Dump'!$U:$U,'Business - Dump'!$D:$D,'SKU Repoprt'!$D258,'Business - Dump'!$A:$A,'SKU Repoprt'!Q$1)</f>
        <v>56045.08</v>
      </c>
      <c r="R258" s="16">
        <f>SUMIFS('Business - Dump'!$U:$U,'Business - Dump'!$D:$D,'SKU Repoprt'!$D258,'Business - Dump'!$A:$A,'SKU Repoprt'!R$1)</f>
        <v>56045.08</v>
      </c>
      <c r="S258" s="16">
        <f>SUMIFS('Business - Dump'!$U:$U,'Business - Dump'!$D:$D,'SKU Repoprt'!$D258,'Business - Dump'!$A:$A,'SKU Repoprt'!S$1)</f>
        <v>0</v>
      </c>
      <c r="T258" s="16">
        <f>SUMIFS('Business - Dump'!$U:$U,'Business - Dump'!$D:$D,'SKU Repoprt'!$D258,'Business - Dump'!$A:$A,'SKU Repoprt'!T$1)</f>
        <v>32295.08</v>
      </c>
      <c r="U258" s="16">
        <f>SUMIFS('Business - Dump'!$U:$U,'Business - Dump'!$D:$D,'SKU Repoprt'!$D258,'Business - Dump'!$A:$A,'SKU Repoprt'!U$1)</f>
        <v>32292.03</v>
      </c>
      <c r="V258" s="16">
        <f>SUMIFS('Business - Dump'!$U:$U,'Business - Dump'!$D:$D,'SKU Repoprt'!$D258,'Business - Dump'!$A:$A,'SKU Repoprt'!V$1)</f>
        <v>31932.03</v>
      </c>
      <c r="W258" s="16">
        <f>SUMIFS('Business - Dump'!$U:$U,'Business - Dump'!$D:$D,'SKU Repoprt'!$D258,'Business - Dump'!$A:$A,'SKU Repoprt'!W$1)</f>
        <v>31950</v>
      </c>
    </row>
    <row r="259" ht="15.75" customHeight="1">
      <c r="A259" s="10" t="s">
        <v>182</v>
      </c>
      <c r="B259" s="10" t="s">
        <v>182</v>
      </c>
      <c r="C259" s="10"/>
      <c r="D259" s="10" t="s">
        <v>382</v>
      </c>
      <c r="E259" s="10" t="s">
        <v>29</v>
      </c>
      <c r="F259" s="17">
        <v>0.027042857142857143</v>
      </c>
      <c r="G259" s="17">
        <f t="shared" ref="G259:W259" si="86">IFERROR(G257/G254,0)</f>
        <v>0</v>
      </c>
      <c r="H259" s="17">
        <f t="shared" si="86"/>
        <v>0</v>
      </c>
      <c r="I259" s="17">
        <f t="shared" si="86"/>
        <v>0</v>
      </c>
      <c r="J259" s="17">
        <f t="shared" si="86"/>
        <v>0</v>
      </c>
      <c r="K259" s="17">
        <f t="shared" si="86"/>
        <v>0.009900990099</v>
      </c>
      <c r="L259" s="17">
        <f t="shared" si="86"/>
        <v>0.00518134715</v>
      </c>
      <c r="M259" s="17">
        <f t="shared" si="86"/>
        <v>0.002717391304</v>
      </c>
      <c r="N259" s="17">
        <f t="shared" si="86"/>
        <v>0.008510638298</v>
      </c>
      <c r="O259" s="17">
        <f t="shared" si="86"/>
        <v>0.009049773756</v>
      </c>
      <c r="P259" s="17">
        <f t="shared" si="86"/>
        <v>0</v>
      </c>
      <c r="Q259" s="17">
        <f t="shared" si="86"/>
        <v>0.00566572238</v>
      </c>
      <c r="R259" s="17">
        <f t="shared" si="86"/>
        <v>0.007874015748</v>
      </c>
      <c r="S259" s="17">
        <f t="shared" si="86"/>
        <v>0</v>
      </c>
      <c r="T259" s="17">
        <f t="shared" si="86"/>
        <v>0.001937984496</v>
      </c>
      <c r="U259" s="17">
        <f t="shared" si="86"/>
        <v>0.00283286119</v>
      </c>
      <c r="V259" s="17">
        <f t="shared" si="86"/>
        <v>0.001420454545</v>
      </c>
      <c r="W259" s="17">
        <f t="shared" si="86"/>
        <v>0.000645994832</v>
      </c>
    </row>
    <row r="260" ht="15.75" customHeight="1">
      <c r="A260" s="10" t="s">
        <v>182</v>
      </c>
      <c r="B260" s="10" t="s">
        <v>182</v>
      </c>
      <c r="C260" s="10"/>
      <c r="D260" s="10" t="s">
        <v>384</v>
      </c>
      <c r="E260" s="10" t="s">
        <v>257</v>
      </c>
      <c r="F260" s="3">
        <f t="shared" ref="F260:F264" si="87">SUM(G260:S260)</f>
        <v>1361</v>
      </c>
      <c r="G260" s="3">
        <f>SUMIFS('Business - Dump'!$G:$G,'Business - Dump'!$D:$D,'SKU Repoprt'!$D260,'Business - Dump'!$A:$A,'SKU Repoprt'!G$1)</f>
        <v>0</v>
      </c>
      <c r="H260" s="3">
        <f>SUMIFS('Business - Dump'!$G:$G,'Business - Dump'!$D:$D,'SKU Repoprt'!$D260,'Business - Dump'!$A:$A,'SKU Repoprt'!H$1)</f>
        <v>0</v>
      </c>
      <c r="I260" s="3">
        <f>SUMIFS('Business - Dump'!$G:$G,'Business - Dump'!$D:$D,'SKU Repoprt'!$D260,'Business - Dump'!$A:$A,'SKU Repoprt'!I$1)</f>
        <v>0</v>
      </c>
      <c r="J260" s="3">
        <f>SUMIFS('Business - Dump'!$G:$G,'Business - Dump'!$D:$D,'SKU Repoprt'!$D260,'Business - Dump'!$A:$A,'SKU Repoprt'!J$1)</f>
        <v>0</v>
      </c>
      <c r="K260" s="3">
        <f>SUMIFS('Business - Dump'!$G:$G,'Business - Dump'!$D:$D,'SKU Repoprt'!$D260,'Business - Dump'!$A:$A,'SKU Repoprt'!K$1)</f>
        <v>116</v>
      </c>
      <c r="L260" s="3">
        <f>SUMIFS('Business - Dump'!$G:$G,'Business - Dump'!$D:$D,'SKU Repoprt'!$D260,'Business - Dump'!$A:$A,'SKU Repoprt'!L$1)</f>
        <v>126</v>
      </c>
      <c r="M260" s="3">
        <f>SUMIFS('Business - Dump'!$G:$G,'Business - Dump'!$D:$D,'SKU Repoprt'!$D260,'Business - Dump'!$A:$A,'SKU Repoprt'!M$1)</f>
        <v>198</v>
      </c>
      <c r="N260" s="3">
        <f>SUMIFS('Business - Dump'!$G:$G,'Business - Dump'!$D:$D,'SKU Repoprt'!$D260,'Business - Dump'!$A:$A,'SKU Repoprt'!N$1)</f>
        <v>112</v>
      </c>
      <c r="O260" s="3">
        <f>SUMIFS('Business - Dump'!$G:$G,'Business - Dump'!$D:$D,'SKU Repoprt'!$D260,'Business - Dump'!$A:$A,'SKU Repoprt'!O$1)</f>
        <v>194</v>
      </c>
      <c r="P260" s="3">
        <f>SUMIFS('Business - Dump'!$G:$G,'Business - Dump'!$D:$D,'SKU Repoprt'!$D260,'Business - Dump'!$A:$A,'SKU Repoprt'!P$1)</f>
        <v>155</v>
      </c>
      <c r="Q260" s="3">
        <f>SUMIFS('Business - Dump'!$G:$G,'Business - Dump'!$D:$D,'SKU Repoprt'!$D260,'Business - Dump'!$A:$A,'SKU Repoprt'!Q$1)</f>
        <v>253</v>
      </c>
      <c r="R260" s="3">
        <f>SUMIFS('Business - Dump'!$G:$G,'Business - Dump'!$D:$D,'SKU Repoprt'!$D260,'Business - Dump'!$A:$A,'SKU Repoprt'!R$1)</f>
        <v>157</v>
      </c>
      <c r="S260" s="3">
        <f>SUMIFS('Business - Dump'!$G:$G,'Business - Dump'!$D:$D,'SKU Repoprt'!$D260,'Business - Dump'!$A:$A,'SKU Repoprt'!S$1)</f>
        <v>50</v>
      </c>
      <c r="T260" s="3">
        <f>SUMIFS('Business - Dump'!$G:$G,'Business - Dump'!$D:$D,'SKU Repoprt'!$D260,'Business - Dump'!$A:$A,'SKU Repoprt'!T$1)</f>
        <v>79</v>
      </c>
      <c r="U260" s="3">
        <f>SUMIFS('Business - Dump'!$G:$G,'Business - Dump'!$D:$D,'SKU Repoprt'!$D260,'Business - Dump'!$A:$A,'SKU Repoprt'!U$1)</f>
        <v>97</v>
      </c>
      <c r="V260" s="3">
        <f>SUMIFS('Business - Dump'!$G:$G,'Business - Dump'!$D:$D,'SKU Repoprt'!$D260,'Business - Dump'!$A:$A,'SKU Repoprt'!V$1)</f>
        <v>324</v>
      </c>
      <c r="W260" s="3">
        <f>SUMIFS('Business - Dump'!$G:$G,'Business - Dump'!$D:$D,'SKU Repoprt'!$D260,'Business - Dump'!$A:$A,'SKU Repoprt'!W$1)</f>
        <v>362</v>
      </c>
    </row>
    <row r="261" ht="15.75" customHeight="1">
      <c r="A261" s="10" t="s">
        <v>182</v>
      </c>
      <c r="B261" s="10" t="s">
        <v>182</v>
      </c>
      <c r="C261" s="10"/>
      <c r="D261" s="10" t="s">
        <v>384</v>
      </c>
      <c r="E261" s="10" t="s">
        <v>260</v>
      </c>
      <c r="F261" s="3">
        <f t="shared" si="87"/>
        <v>1920</v>
      </c>
      <c r="G261" s="3">
        <f>SUMIFS('Business - Dump'!$K:$K,'Business - Dump'!$D:$D,'SKU Repoprt'!$D261,'Business - Dump'!$A:$A,'SKU Repoprt'!G$1)</f>
        <v>0</v>
      </c>
      <c r="H261" s="3">
        <f>SUMIFS('Business - Dump'!$K:$K,'Business - Dump'!$D:$D,'SKU Repoprt'!$D261,'Business - Dump'!$A:$A,'SKU Repoprt'!H$1)</f>
        <v>0</v>
      </c>
      <c r="I261" s="3">
        <f>SUMIFS('Business - Dump'!$K:$K,'Business - Dump'!$D:$D,'SKU Repoprt'!$D261,'Business - Dump'!$A:$A,'SKU Repoprt'!I$1)</f>
        <v>0</v>
      </c>
      <c r="J261" s="3">
        <f>SUMIFS('Business - Dump'!$K:$K,'Business - Dump'!$D:$D,'SKU Repoprt'!$D261,'Business - Dump'!$A:$A,'SKU Repoprt'!J$1)</f>
        <v>0</v>
      </c>
      <c r="K261" s="3">
        <f>SUMIFS('Business - Dump'!$K:$K,'Business - Dump'!$D:$D,'SKU Repoprt'!$D261,'Business - Dump'!$A:$A,'SKU Repoprt'!K$1)</f>
        <v>168</v>
      </c>
      <c r="L261" s="3">
        <f>SUMIFS('Business - Dump'!$K:$K,'Business - Dump'!$D:$D,'SKU Repoprt'!$D261,'Business - Dump'!$A:$A,'SKU Repoprt'!L$1)</f>
        <v>181</v>
      </c>
      <c r="M261" s="3">
        <f>SUMIFS('Business - Dump'!$K:$K,'Business - Dump'!$D:$D,'SKU Repoprt'!$D261,'Business - Dump'!$A:$A,'SKU Repoprt'!M$1)</f>
        <v>282</v>
      </c>
      <c r="N261" s="3">
        <f>SUMIFS('Business - Dump'!$K:$K,'Business - Dump'!$D:$D,'SKU Repoprt'!$D261,'Business - Dump'!$A:$A,'SKU Repoprt'!N$1)</f>
        <v>136</v>
      </c>
      <c r="O261" s="3">
        <f>SUMIFS('Business - Dump'!$K:$K,'Business - Dump'!$D:$D,'SKU Repoprt'!$D261,'Business - Dump'!$A:$A,'SKU Repoprt'!O$1)</f>
        <v>269</v>
      </c>
      <c r="P261" s="3">
        <f>SUMIFS('Business - Dump'!$K:$K,'Business - Dump'!$D:$D,'SKU Repoprt'!$D261,'Business - Dump'!$A:$A,'SKU Repoprt'!P$1)</f>
        <v>191</v>
      </c>
      <c r="Q261" s="3">
        <f>SUMIFS('Business - Dump'!$K:$K,'Business - Dump'!$D:$D,'SKU Repoprt'!$D261,'Business - Dump'!$A:$A,'SKU Repoprt'!Q$1)</f>
        <v>377</v>
      </c>
      <c r="R261" s="3">
        <f>SUMIFS('Business - Dump'!$K:$K,'Business - Dump'!$D:$D,'SKU Repoprt'!$D261,'Business - Dump'!$A:$A,'SKU Repoprt'!R$1)</f>
        <v>249</v>
      </c>
      <c r="S261" s="3">
        <f>SUMIFS('Business - Dump'!$K:$K,'Business - Dump'!$D:$D,'SKU Repoprt'!$D261,'Business - Dump'!$A:$A,'SKU Repoprt'!S$1)</f>
        <v>67</v>
      </c>
      <c r="T261" s="3">
        <f>SUMIFS('Business - Dump'!$K:$K,'Business - Dump'!$D:$D,'SKU Repoprt'!$D261,'Business - Dump'!$A:$A,'SKU Repoprt'!T$1)</f>
        <v>115</v>
      </c>
      <c r="U261" s="3">
        <f>SUMIFS('Business - Dump'!$K:$K,'Business - Dump'!$D:$D,'SKU Repoprt'!$D261,'Business - Dump'!$A:$A,'SKU Repoprt'!U$1)</f>
        <v>130</v>
      </c>
      <c r="V261" s="3">
        <f>SUMIFS('Business - Dump'!$K:$K,'Business - Dump'!$D:$D,'SKU Repoprt'!$D261,'Business - Dump'!$A:$A,'SKU Repoprt'!V$1)</f>
        <v>447</v>
      </c>
      <c r="W261" s="3">
        <f>SUMIFS('Business - Dump'!$K:$K,'Business - Dump'!$D:$D,'SKU Repoprt'!$D261,'Business - Dump'!$A:$A,'SKU Repoprt'!W$1)</f>
        <v>445</v>
      </c>
    </row>
    <row r="262" ht="15.75" customHeight="1">
      <c r="A262" s="10" t="s">
        <v>182</v>
      </c>
      <c r="B262" s="10" t="s">
        <v>182</v>
      </c>
      <c r="C262" s="10"/>
      <c r="D262" s="10" t="s">
        <v>384</v>
      </c>
      <c r="E262" s="10" t="s">
        <v>264</v>
      </c>
      <c r="F262" s="3">
        <f t="shared" si="87"/>
        <v>8</v>
      </c>
      <c r="G262" s="3">
        <f>SUMIFS('Business - Dump'!$Q:$Q,'Business - Dump'!$D:$D,'SKU Repoprt'!$D262,'Business - Dump'!$A:$A,'SKU Repoprt'!G$1)</f>
        <v>0</v>
      </c>
      <c r="H262" s="3">
        <f>SUMIFS('Business - Dump'!$Q:$Q,'Business - Dump'!$D:$D,'SKU Repoprt'!$D262,'Business - Dump'!$A:$A,'SKU Repoprt'!H$1)</f>
        <v>0</v>
      </c>
      <c r="I262" s="3">
        <f>SUMIFS('Business - Dump'!$Q:$Q,'Business - Dump'!$D:$D,'SKU Repoprt'!$D262,'Business - Dump'!$A:$A,'SKU Repoprt'!I$1)</f>
        <v>0</v>
      </c>
      <c r="J262" s="3">
        <f>SUMIFS('Business - Dump'!$Q:$Q,'Business - Dump'!$D:$D,'SKU Repoprt'!$D262,'Business - Dump'!$A:$A,'SKU Repoprt'!J$1)</f>
        <v>0</v>
      </c>
      <c r="K262" s="3">
        <f>SUMIFS('Business - Dump'!$Q:$Q,'Business - Dump'!$D:$D,'SKU Repoprt'!$D262,'Business - Dump'!$A:$A,'SKU Repoprt'!K$1)</f>
        <v>1</v>
      </c>
      <c r="L262" s="3">
        <f>SUMIFS('Business - Dump'!$Q:$Q,'Business - Dump'!$D:$D,'SKU Repoprt'!$D262,'Business - Dump'!$A:$A,'SKU Repoprt'!L$1)</f>
        <v>3</v>
      </c>
      <c r="M262" s="3">
        <f>SUMIFS('Business - Dump'!$Q:$Q,'Business - Dump'!$D:$D,'SKU Repoprt'!$D262,'Business - Dump'!$A:$A,'SKU Repoprt'!M$1)</f>
        <v>0</v>
      </c>
      <c r="N262" s="3">
        <f>SUMIFS('Business - Dump'!$Q:$Q,'Business - Dump'!$D:$D,'SKU Repoprt'!$D262,'Business - Dump'!$A:$A,'SKU Repoprt'!N$1)</f>
        <v>0</v>
      </c>
      <c r="O262" s="3">
        <f>SUMIFS('Business - Dump'!$Q:$Q,'Business - Dump'!$D:$D,'SKU Repoprt'!$D262,'Business - Dump'!$A:$A,'SKU Repoprt'!O$1)</f>
        <v>2</v>
      </c>
      <c r="P262" s="3">
        <f>SUMIFS('Business - Dump'!$Q:$Q,'Business - Dump'!$D:$D,'SKU Repoprt'!$D262,'Business - Dump'!$A:$A,'SKU Repoprt'!P$1)</f>
        <v>0</v>
      </c>
      <c r="Q262" s="3">
        <f>SUMIFS('Business - Dump'!$Q:$Q,'Business - Dump'!$D:$D,'SKU Repoprt'!$D262,'Business - Dump'!$A:$A,'SKU Repoprt'!Q$1)</f>
        <v>1</v>
      </c>
      <c r="R262" s="3">
        <f>SUMIFS('Business - Dump'!$Q:$Q,'Business - Dump'!$D:$D,'SKU Repoprt'!$D262,'Business - Dump'!$A:$A,'SKU Repoprt'!R$1)</f>
        <v>1</v>
      </c>
      <c r="S262" s="3">
        <f>SUMIFS('Business - Dump'!$Q:$Q,'Business - Dump'!$D:$D,'SKU Repoprt'!$D262,'Business - Dump'!$A:$A,'SKU Repoprt'!S$1)</f>
        <v>0</v>
      </c>
      <c r="T262" s="3">
        <f>SUMIFS('Business - Dump'!$Q:$Q,'Business - Dump'!$D:$D,'SKU Repoprt'!$D262,'Business - Dump'!$A:$A,'SKU Repoprt'!T$1)</f>
        <v>0</v>
      </c>
      <c r="U262" s="3">
        <f>SUMIFS('Business - Dump'!$Q:$Q,'Business - Dump'!$D:$D,'SKU Repoprt'!$D262,'Business - Dump'!$A:$A,'SKU Repoprt'!U$1)</f>
        <v>0</v>
      </c>
      <c r="V262" s="3">
        <f>SUMIFS('Business - Dump'!$Q:$Q,'Business - Dump'!$D:$D,'SKU Repoprt'!$D262,'Business - Dump'!$A:$A,'SKU Repoprt'!V$1)</f>
        <v>2</v>
      </c>
      <c r="W262" s="3">
        <f>SUMIFS('Business - Dump'!$Q:$Q,'Business - Dump'!$D:$D,'SKU Repoprt'!$D262,'Business - Dump'!$A:$A,'SKU Repoprt'!W$1)</f>
        <v>2</v>
      </c>
    </row>
    <row r="263" ht="15.75" customHeight="1">
      <c r="A263" s="10" t="s">
        <v>182</v>
      </c>
      <c r="B263" s="10" t="s">
        <v>182</v>
      </c>
      <c r="C263" s="10"/>
      <c r="D263" s="10" t="s">
        <v>384</v>
      </c>
      <c r="E263" s="10" t="s">
        <v>268</v>
      </c>
      <c r="F263" s="3">
        <f t="shared" si="87"/>
        <v>8</v>
      </c>
      <c r="G263" s="3">
        <f>SUMIFS('Business - Dump'!$W:$W,'Business - Dump'!$D:$D,'SKU Repoprt'!$D263,'Business - Dump'!$A:$A,'SKU Repoprt'!G$1)</f>
        <v>0</v>
      </c>
      <c r="H263" s="3">
        <f>SUMIFS('Business - Dump'!$W:$W,'Business - Dump'!$D:$D,'SKU Repoprt'!$D263,'Business - Dump'!$A:$A,'SKU Repoprt'!H$1)</f>
        <v>0</v>
      </c>
      <c r="I263" s="3">
        <f>SUMIFS('Business - Dump'!$W:$W,'Business - Dump'!$D:$D,'SKU Repoprt'!$D263,'Business - Dump'!$A:$A,'SKU Repoprt'!I$1)</f>
        <v>0</v>
      </c>
      <c r="J263" s="3">
        <f>SUMIFS('Business - Dump'!$W:$W,'Business - Dump'!$D:$D,'SKU Repoprt'!$D263,'Business - Dump'!$A:$A,'SKU Repoprt'!J$1)</f>
        <v>0</v>
      </c>
      <c r="K263" s="3">
        <f>SUMIFS('Business - Dump'!$W:$W,'Business - Dump'!$D:$D,'SKU Repoprt'!$D263,'Business - Dump'!$A:$A,'SKU Repoprt'!K$1)</f>
        <v>1</v>
      </c>
      <c r="L263" s="3">
        <f>SUMIFS('Business - Dump'!$W:$W,'Business - Dump'!$D:$D,'SKU Repoprt'!$D263,'Business - Dump'!$A:$A,'SKU Repoprt'!L$1)</f>
        <v>3</v>
      </c>
      <c r="M263" s="3">
        <f>SUMIFS('Business - Dump'!$W:$W,'Business - Dump'!$D:$D,'SKU Repoprt'!$D263,'Business - Dump'!$A:$A,'SKU Repoprt'!M$1)</f>
        <v>0</v>
      </c>
      <c r="N263" s="3">
        <f>SUMIFS('Business - Dump'!$W:$W,'Business - Dump'!$D:$D,'SKU Repoprt'!$D263,'Business - Dump'!$A:$A,'SKU Repoprt'!N$1)</f>
        <v>0</v>
      </c>
      <c r="O263" s="3">
        <f>SUMIFS('Business - Dump'!$W:$W,'Business - Dump'!$D:$D,'SKU Repoprt'!$D263,'Business - Dump'!$A:$A,'SKU Repoprt'!O$1)</f>
        <v>2</v>
      </c>
      <c r="P263" s="3">
        <f>SUMIFS('Business - Dump'!$W:$W,'Business - Dump'!$D:$D,'SKU Repoprt'!$D263,'Business - Dump'!$A:$A,'SKU Repoprt'!P$1)</f>
        <v>0</v>
      </c>
      <c r="Q263" s="3">
        <f>SUMIFS('Business - Dump'!$W:$W,'Business - Dump'!$D:$D,'SKU Repoprt'!$D263,'Business - Dump'!$A:$A,'SKU Repoprt'!Q$1)</f>
        <v>1</v>
      </c>
      <c r="R263" s="3">
        <f>SUMIFS('Business - Dump'!$W:$W,'Business - Dump'!$D:$D,'SKU Repoprt'!$D263,'Business - Dump'!$A:$A,'SKU Repoprt'!R$1)</f>
        <v>1</v>
      </c>
      <c r="S263" s="3">
        <f>SUMIFS('Business - Dump'!$W:$W,'Business - Dump'!$D:$D,'SKU Repoprt'!$D263,'Business - Dump'!$A:$A,'SKU Repoprt'!S$1)</f>
        <v>0</v>
      </c>
      <c r="T263" s="3">
        <f>SUMIFS('Business - Dump'!$W:$W,'Business - Dump'!$D:$D,'SKU Repoprt'!$D263,'Business - Dump'!$A:$A,'SKU Repoprt'!T$1)</f>
        <v>0</v>
      </c>
      <c r="U263" s="3">
        <f>SUMIFS('Business - Dump'!$W:$W,'Business - Dump'!$D:$D,'SKU Repoprt'!$D263,'Business - Dump'!$A:$A,'SKU Repoprt'!U$1)</f>
        <v>0</v>
      </c>
      <c r="V263" s="3">
        <f>SUMIFS('Business - Dump'!$W:$W,'Business - Dump'!$D:$D,'SKU Repoprt'!$D263,'Business - Dump'!$A:$A,'SKU Repoprt'!V$1)</f>
        <v>2</v>
      </c>
      <c r="W263" s="3">
        <f>SUMIFS('Business - Dump'!$W:$W,'Business - Dump'!$D:$D,'SKU Repoprt'!$D263,'Business - Dump'!$A:$A,'SKU Repoprt'!W$1)</f>
        <v>2</v>
      </c>
    </row>
    <row r="264" ht="15.75" customHeight="1">
      <c r="A264" s="10" t="s">
        <v>182</v>
      </c>
      <c r="B264" s="10" t="s">
        <v>182</v>
      </c>
      <c r="C264" s="10"/>
      <c r="D264" s="10" t="s">
        <v>384</v>
      </c>
      <c r="E264" s="10" t="s">
        <v>26</v>
      </c>
      <c r="F264" s="16">
        <f t="shared" si="87"/>
        <v>238376.44</v>
      </c>
      <c r="G264" s="16">
        <f>SUMIFS('Business - Dump'!$U:$U,'Business - Dump'!$D:$D,'SKU Repoprt'!$D264,'Business - Dump'!$A:$A,'SKU Repoprt'!G$1)</f>
        <v>0</v>
      </c>
      <c r="H264" s="16">
        <f>SUMIFS('Business - Dump'!$U:$U,'Business - Dump'!$D:$D,'SKU Repoprt'!$D264,'Business - Dump'!$A:$A,'SKU Repoprt'!H$1)</f>
        <v>0</v>
      </c>
      <c r="I264" s="16">
        <f>SUMIFS('Business - Dump'!$U:$U,'Business - Dump'!$D:$D,'SKU Repoprt'!$D264,'Business - Dump'!$A:$A,'SKU Repoprt'!I$1)</f>
        <v>0</v>
      </c>
      <c r="J264" s="16">
        <f>SUMIFS('Business - Dump'!$U:$U,'Business - Dump'!$D:$D,'SKU Repoprt'!$D264,'Business - Dump'!$A:$A,'SKU Repoprt'!J$1)</f>
        <v>0</v>
      </c>
      <c r="K264" s="16">
        <f>SUMIFS('Business - Dump'!$U:$U,'Business - Dump'!$D:$D,'SKU Repoprt'!$D264,'Business - Dump'!$A:$A,'SKU Repoprt'!K$1)</f>
        <v>29900</v>
      </c>
      <c r="L264" s="16">
        <f>SUMIFS('Business - Dump'!$U:$U,'Business - Dump'!$D:$D,'SKU Repoprt'!$D264,'Business - Dump'!$A:$A,'SKU Repoprt'!L$1)</f>
        <v>89800</v>
      </c>
      <c r="M264" s="16">
        <f>SUMIFS('Business - Dump'!$U:$U,'Business - Dump'!$D:$D,'SKU Repoprt'!$D264,'Business - Dump'!$A:$A,'SKU Repoprt'!M$1)</f>
        <v>0</v>
      </c>
      <c r="N264" s="16">
        <f>SUMIFS('Business - Dump'!$U:$U,'Business - Dump'!$D:$D,'SKU Repoprt'!$D264,'Business - Dump'!$A:$A,'SKU Repoprt'!N$1)</f>
        <v>0</v>
      </c>
      <c r="O264" s="16">
        <f>SUMIFS('Business - Dump'!$U:$U,'Business - Dump'!$D:$D,'SKU Repoprt'!$D264,'Business - Dump'!$A:$A,'SKU Repoprt'!O$1)</f>
        <v>59331.36</v>
      </c>
      <c r="P264" s="16">
        <f>SUMIFS('Business - Dump'!$U:$U,'Business - Dump'!$D:$D,'SKU Repoprt'!$D264,'Business - Dump'!$A:$A,'SKU Repoprt'!P$1)</f>
        <v>0</v>
      </c>
      <c r="Q264" s="16">
        <f>SUMIFS('Business - Dump'!$U:$U,'Business - Dump'!$D:$D,'SKU Repoprt'!$D264,'Business - Dump'!$A:$A,'SKU Repoprt'!Q$1)</f>
        <v>31295.08</v>
      </c>
      <c r="R264" s="16">
        <f>SUMIFS('Business - Dump'!$U:$U,'Business - Dump'!$D:$D,'SKU Repoprt'!$D264,'Business - Dump'!$A:$A,'SKU Repoprt'!R$1)</f>
        <v>28050</v>
      </c>
      <c r="S264" s="16">
        <f>SUMIFS('Business - Dump'!$U:$U,'Business - Dump'!$D:$D,'SKU Repoprt'!$D264,'Business - Dump'!$A:$A,'SKU Repoprt'!S$1)</f>
        <v>0</v>
      </c>
      <c r="T264" s="16">
        <f>SUMIFS('Business - Dump'!$U:$U,'Business - Dump'!$D:$D,'SKU Repoprt'!$D264,'Business - Dump'!$A:$A,'SKU Repoprt'!T$1)</f>
        <v>0</v>
      </c>
      <c r="U264" s="16">
        <f>SUMIFS('Business - Dump'!$U:$U,'Business - Dump'!$D:$D,'SKU Repoprt'!$D264,'Business - Dump'!$A:$A,'SKU Repoprt'!U$1)</f>
        <v>0</v>
      </c>
      <c r="V264" s="16">
        <f>SUMIFS('Business - Dump'!$U:$U,'Business - Dump'!$D:$D,'SKU Repoprt'!$D264,'Business - Dump'!$A:$A,'SKU Repoprt'!V$1)</f>
        <v>63980</v>
      </c>
      <c r="W264" s="16">
        <f>SUMIFS('Business - Dump'!$U:$U,'Business - Dump'!$D:$D,'SKU Repoprt'!$D264,'Business - Dump'!$A:$A,'SKU Repoprt'!W$1)</f>
        <v>63179.06</v>
      </c>
    </row>
    <row r="265" ht="15.75" customHeight="1">
      <c r="A265" s="10" t="s">
        <v>182</v>
      </c>
      <c r="B265" s="10" t="s">
        <v>182</v>
      </c>
      <c r="C265" s="10"/>
      <c r="D265" s="10" t="s">
        <v>384</v>
      </c>
      <c r="E265" s="10" t="s">
        <v>29</v>
      </c>
      <c r="F265" s="17">
        <v>0.027042857142857143</v>
      </c>
      <c r="G265" s="17">
        <f t="shared" ref="G265:W265" si="88">IFERROR(G263/G260,0)</f>
        <v>0</v>
      </c>
      <c r="H265" s="17">
        <f t="shared" si="88"/>
        <v>0</v>
      </c>
      <c r="I265" s="17">
        <f t="shared" si="88"/>
        <v>0</v>
      </c>
      <c r="J265" s="17">
        <f t="shared" si="88"/>
        <v>0</v>
      </c>
      <c r="K265" s="17">
        <f t="shared" si="88"/>
        <v>0.008620689655</v>
      </c>
      <c r="L265" s="17">
        <f t="shared" si="88"/>
        <v>0.02380952381</v>
      </c>
      <c r="M265" s="17">
        <f t="shared" si="88"/>
        <v>0</v>
      </c>
      <c r="N265" s="17">
        <f t="shared" si="88"/>
        <v>0</v>
      </c>
      <c r="O265" s="17">
        <f t="shared" si="88"/>
        <v>0.01030927835</v>
      </c>
      <c r="P265" s="17">
        <f t="shared" si="88"/>
        <v>0</v>
      </c>
      <c r="Q265" s="17">
        <f t="shared" si="88"/>
        <v>0.00395256917</v>
      </c>
      <c r="R265" s="17">
        <f t="shared" si="88"/>
        <v>0.006369426752</v>
      </c>
      <c r="S265" s="17">
        <f t="shared" si="88"/>
        <v>0</v>
      </c>
      <c r="T265" s="17">
        <f t="shared" si="88"/>
        <v>0</v>
      </c>
      <c r="U265" s="17">
        <f t="shared" si="88"/>
        <v>0</v>
      </c>
      <c r="V265" s="17">
        <f t="shared" si="88"/>
        <v>0.006172839506</v>
      </c>
      <c r="W265" s="17">
        <f t="shared" si="88"/>
        <v>0.005524861878</v>
      </c>
    </row>
    <row r="266" ht="15.75" customHeight="1">
      <c r="A266" s="10" t="s">
        <v>182</v>
      </c>
      <c r="B266" s="10" t="s">
        <v>182</v>
      </c>
      <c r="C266" s="10"/>
      <c r="D266" s="10" t="s">
        <v>385</v>
      </c>
      <c r="E266" s="10" t="s">
        <v>257</v>
      </c>
      <c r="F266" s="3">
        <f t="shared" ref="F266:F270" si="89">SUM(G266:S266)</f>
        <v>3961</v>
      </c>
      <c r="G266" s="3">
        <f>SUMIFS('Business - Dump'!$G:$G,'Business - Dump'!$D:$D,'SKU Repoprt'!$D266,'Business - Dump'!$A:$A,'SKU Repoprt'!G$1)</f>
        <v>0</v>
      </c>
      <c r="H266" s="3">
        <f>SUMIFS('Business - Dump'!$G:$G,'Business - Dump'!$D:$D,'SKU Repoprt'!$D266,'Business - Dump'!$A:$A,'SKU Repoprt'!H$1)</f>
        <v>0</v>
      </c>
      <c r="I266" s="3">
        <f>SUMIFS('Business - Dump'!$G:$G,'Business - Dump'!$D:$D,'SKU Repoprt'!$D266,'Business - Dump'!$A:$A,'SKU Repoprt'!I$1)</f>
        <v>0</v>
      </c>
      <c r="J266" s="3">
        <f>SUMIFS('Business - Dump'!$G:$G,'Business - Dump'!$D:$D,'SKU Repoprt'!$D266,'Business - Dump'!$A:$A,'SKU Repoprt'!J$1)</f>
        <v>0</v>
      </c>
      <c r="K266" s="3">
        <f>SUMIFS('Business - Dump'!$G:$G,'Business - Dump'!$D:$D,'SKU Repoprt'!$D266,'Business - Dump'!$A:$A,'SKU Repoprt'!K$1)</f>
        <v>96</v>
      </c>
      <c r="L266" s="3">
        <f>SUMIFS('Business - Dump'!$G:$G,'Business - Dump'!$D:$D,'SKU Repoprt'!$D266,'Business - Dump'!$A:$A,'SKU Repoprt'!L$1)</f>
        <v>131</v>
      </c>
      <c r="M266" s="3">
        <f>SUMIFS('Business - Dump'!$G:$G,'Business - Dump'!$D:$D,'SKU Repoprt'!$D266,'Business - Dump'!$A:$A,'SKU Repoprt'!M$1)</f>
        <v>487</v>
      </c>
      <c r="N266" s="3">
        <f>SUMIFS('Business - Dump'!$G:$G,'Business - Dump'!$D:$D,'SKU Repoprt'!$D266,'Business - Dump'!$A:$A,'SKU Repoprt'!N$1)</f>
        <v>393</v>
      </c>
      <c r="O266" s="3">
        <f>SUMIFS('Business - Dump'!$G:$G,'Business - Dump'!$D:$D,'SKU Repoprt'!$D266,'Business - Dump'!$A:$A,'SKU Repoprt'!O$1)</f>
        <v>709</v>
      </c>
      <c r="P266" s="3">
        <f>SUMIFS('Business - Dump'!$G:$G,'Business - Dump'!$D:$D,'SKU Repoprt'!$D266,'Business - Dump'!$A:$A,'SKU Repoprt'!P$1)</f>
        <v>590</v>
      </c>
      <c r="Q266" s="3">
        <f>SUMIFS('Business - Dump'!$G:$G,'Business - Dump'!$D:$D,'SKU Repoprt'!$D266,'Business - Dump'!$A:$A,'SKU Repoprt'!Q$1)</f>
        <v>731</v>
      </c>
      <c r="R266" s="3">
        <f>SUMIFS('Business - Dump'!$G:$G,'Business - Dump'!$D:$D,'SKU Repoprt'!$D266,'Business - Dump'!$A:$A,'SKU Repoprt'!R$1)</f>
        <v>526</v>
      </c>
      <c r="S266" s="3">
        <f>SUMIFS('Business - Dump'!$G:$G,'Business - Dump'!$D:$D,'SKU Repoprt'!$D266,'Business - Dump'!$A:$A,'SKU Repoprt'!S$1)</f>
        <v>298</v>
      </c>
      <c r="T266" s="3">
        <f>SUMIFS('Business - Dump'!$G:$G,'Business - Dump'!$D:$D,'SKU Repoprt'!$D266,'Business - Dump'!$A:$A,'SKU Repoprt'!T$1)</f>
        <v>1929</v>
      </c>
      <c r="U266" s="3">
        <f>SUMIFS('Business - Dump'!$G:$G,'Business - Dump'!$D:$D,'SKU Repoprt'!$D266,'Business - Dump'!$A:$A,'SKU Repoprt'!U$1)</f>
        <v>359</v>
      </c>
      <c r="V266" s="3">
        <f>SUMIFS('Business - Dump'!$G:$G,'Business - Dump'!$D:$D,'SKU Repoprt'!$D266,'Business - Dump'!$A:$A,'SKU Repoprt'!V$1)</f>
        <v>370</v>
      </c>
      <c r="W266" s="3">
        <f>SUMIFS('Business - Dump'!$G:$G,'Business - Dump'!$D:$D,'SKU Repoprt'!$D266,'Business - Dump'!$A:$A,'SKU Repoprt'!W$1)</f>
        <v>261</v>
      </c>
    </row>
    <row r="267" ht="15.75" customHeight="1">
      <c r="A267" s="10" t="s">
        <v>182</v>
      </c>
      <c r="B267" s="10" t="s">
        <v>182</v>
      </c>
      <c r="C267" s="10"/>
      <c r="D267" s="10" t="s">
        <v>385</v>
      </c>
      <c r="E267" s="10" t="s">
        <v>260</v>
      </c>
      <c r="F267" s="3">
        <f t="shared" si="89"/>
        <v>5331</v>
      </c>
      <c r="G267" s="3">
        <f>SUMIFS('Business - Dump'!$K:$K,'Business - Dump'!$D:$D,'SKU Repoprt'!$D267,'Business - Dump'!$A:$A,'SKU Repoprt'!G$1)</f>
        <v>0</v>
      </c>
      <c r="H267" s="3">
        <f>SUMIFS('Business - Dump'!$K:$K,'Business - Dump'!$D:$D,'SKU Repoprt'!$D267,'Business - Dump'!$A:$A,'SKU Repoprt'!H$1)</f>
        <v>0</v>
      </c>
      <c r="I267" s="3">
        <f>SUMIFS('Business - Dump'!$K:$K,'Business - Dump'!$D:$D,'SKU Repoprt'!$D267,'Business - Dump'!$A:$A,'SKU Repoprt'!I$1)</f>
        <v>0</v>
      </c>
      <c r="J267" s="3">
        <f>SUMIFS('Business - Dump'!$K:$K,'Business - Dump'!$D:$D,'SKU Repoprt'!$D267,'Business - Dump'!$A:$A,'SKU Repoprt'!J$1)</f>
        <v>0</v>
      </c>
      <c r="K267" s="3">
        <f>SUMIFS('Business - Dump'!$K:$K,'Business - Dump'!$D:$D,'SKU Repoprt'!$D267,'Business - Dump'!$A:$A,'SKU Repoprt'!K$1)</f>
        <v>125</v>
      </c>
      <c r="L267" s="3">
        <f>SUMIFS('Business - Dump'!$K:$K,'Business - Dump'!$D:$D,'SKU Repoprt'!$D267,'Business - Dump'!$A:$A,'SKU Repoprt'!L$1)</f>
        <v>191</v>
      </c>
      <c r="M267" s="3">
        <f>SUMIFS('Business - Dump'!$K:$K,'Business - Dump'!$D:$D,'SKU Repoprt'!$D267,'Business - Dump'!$A:$A,'SKU Repoprt'!M$1)</f>
        <v>787</v>
      </c>
      <c r="N267" s="3">
        <f>SUMIFS('Business - Dump'!$K:$K,'Business - Dump'!$D:$D,'SKU Repoprt'!$D267,'Business - Dump'!$A:$A,'SKU Repoprt'!N$1)</f>
        <v>503</v>
      </c>
      <c r="O267" s="3">
        <f>SUMIFS('Business - Dump'!$K:$K,'Business - Dump'!$D:$D,'SKU Repoprt'!$D267,'Business - Dump'!$A:$A,'SKU Repoprt'!O$1)</f>
        <v>959</v>
      </c>
      <c r="P267" s="3">
        <f>SUMIFS('Business - Dump'!$K:$K,'Business - Dump'!$D:$D,'SKU Repoprt'!$D267,'Business - Dump'!$A:$A,'SKU Repoprt'!P$1)</f>
        <v>724</v>
      </c>
      <c r="Q267" s="3">
        <f>SUMIFS('Business - Dump'!$K:$K,'Business - Dump'!$D:$D,'SKU Repoprt'!$D267,'Business - Dump'!$A:$A,'SKU Repoprt'!Q$1)</f>
        <v>979</v>
      </c>
      <c r="R267" s="3">
        <f>SUMIFS('Business - Dump'!$K:$K,'Business - Dump'!$D:$D,'SKU Repoprt'!$D267,'Business - Dump'!$A:$A,'SKU Repoprt'!R$1)</f>
        <v>704</v>
      </c>
      <c r="S267" s="3">
        <f>SUMIFS('Business - Dump'!$K:$K,'Business - Dump'!$D:$D,'SKU Repoprt'!$D267,'Business - Dump'!$A:$A,'SKU Repoprt'!S$1)</f>
        <v>359</v>
      </c>
      <c r="T267" s="3">
        <f>SUMIFS('Business - Dump'!$K:$K,'Business - Dump'!$D:$D,'SKU Repoprt'!$D267,'Business - Dump'!$A:$A,'SKU Repoprt'!T$1)</f>
        <v>2137</v>
      </c>
      <c r="U267" s="3">
        <f>SUMIFS('Business - Dump'!$K:$K,'Business - Dump'!$D:$D,'SKU Repoprt'!$D267,'Business - Dump'!$A:$A,'SKU Repoprt'!U$1)</f>
        <v>415</v>
      </c>
      <c r="V267" s="3">
        <f>SUMIFS('Business - Dump'!$K:$K,'Business - Dump'!$D:$D,'SKU Repoprt'!$D267,'Business - Dump'!$A:$A,'SKU Repoprt'!V$1)</f>
        <v>485</v>
      </c>
      <c r="W267" s="3">
        <f>SUMIFS('Business - Dump'!$K:$K,'Business - Dump'!$D:$D,'SKU Repoprt'!$D267,'Business - Dump'!$A:$A,'SKU Repoprt'!W$1)</f>
        <v>309</v>
      </c>
    </row>
    <row r="268" ht="15.75" customHeight="1">
      <c r="A268" s="10" t="s">
        <v>182</v>
      </c>
      <c r="B268" s="10" t="s">
        <v>182</v>
      </c>
      <c r="C268" s="10"/>
      <c r="D268" s="10" t="s">
        <v>385</v>
      </c>
      <c r="E268" s="10" t="s">
        <v>264</v>
      </c>
      <c r="F268" s="3">
        <f t="shared" si="89"/>
        <v>23</v>
      </c>
      <c r="G268" s="3">
        <f>SUMIFS('Business - Dump'!$Q:$Q,'Business - Dump'!$D:$D,'SKU Repoprt'!$D268,'Business - Dump'!$A:$A,'SKU Repoprt'!G$1)</f>
        <v>0</v>
      </c>
      <c r="H268" s="3">
        <f>SUMIFS('Business - Dump'!$Q:$Q,'Business - Dump'!$D:$D,'SKU Repoprt'!$D268,'Business - Dump'!$A:$A,'SKU Repoprt'!H$1)</f>
        <v>0</v>
      </c>
      <c r="I268" s="3">
        <f>SUMIFS('Business - Dump'!$Q:$Q,'Business - Dump'!$D:$D,'SKU Repoprt'!$D268,'Business - Dump'!$A:$A,'SKU Repoprt'!I$1)</f>
        <v>0</v>
      </c>
      <c r="J268" s="3">
        <f>SUMIFS('Business - Dump'!$Q:$Q,'Business - Dump'!$D:$D,'SKU Repoprt'!$D268,'Business - Dump'!$A:$A,'SKU Repoprt'!J$1)</f>
        <v>0</v>
      </c>
      <c r="K268" s="3">
        <f>SUMIFS('Business - Dump'!$Q:$Q,'Business - Dump'!$D:$D,'SKU Repoprt'!$D268,'Business - Dump'!$A:$A,'SKU Repoprt'!K$1)</f>
        <v>1</v>
      </c>
      <c r="L268" s="3">
        <f>SUMIFS('Business - Dump'!$Q:$Q,'Business - Dump'!$D:$D,'SKU Repoprt'!$D268,'Business - Dump'!$A:$A,'SKU Repoprt'!L$1)</f>
        <v>2</v>
      </c>
      <c r="M268" s="3">
        <f>SUMIFS('Business - Dump'!$Q:$Q,'Business - Dump'!$D:$D,'SKU Repoprt'!$D268,'Business - Dump'!$A:$A,'SKU Repoprt'!M$1)</f>
        <v>5</v>
      </c>
      <c r="N268" s="3">
        <f>SUMIFS('Business - Dump'!$Q:$Q,'Business - Dump'!$D:$D,'SKU Repoprt'!$D268,'Business - Dump'!$A:$A,'SKU Repoprt'!N$1)</f>
        <v>4</v>
      </c>
      <c r="O268" s="3">
        <f>SUMIFS('Business - Dump'!$Q:$Q,'Business - Dump'!$D:$D,'SKU Repoprt'!$D268,'Business - Dump'!$A:$A,'SKU Repoprt'!O$1)</f>
        <v>5</v>
      </c>
      <c r="P268" s="3">
        <f>SUMIFS('Business - Dump'!$Q:$Q,'Business - Dump'!$D:$D,'SKU Repoprt'!$D268,'Business - Dump'!$A:$A,'SKU Repoprt'!P$1)</f>
        <v>1</v>
      </c>
      <c r="Q268" s="3">
        <f>SUMIFS('Business - Dump'!$Q:$Q,'Business - Dump'!$D:$D,'SKU Repoprt'!$D268,'Business - Dump'!$A:$A,'SKU Repoprt'!Q$1)</f>
        <v>3</v>
      </c>
      <c r="R268" s="3">
        <f>SUMIFS('Business - Dump'!$Q:$Q,'Business - Dump'!$D:$D,'SKU Repoprt'!$D268,'Business - Dump'!$A:$A,'SKU Repoprt'!R$1)</f>
        <v>2</v>
      </c>
      <c r="S268" s="3">
        <f>SUMIFS('Business - Dump'!$Q:$Q,'Business - Dump'!$D:$D,'SKU Repoprt'!$D268,'Business - Dump'!$A:$A,'SKU Repoprt'!S$1)</f>
        <v>0</v>
      </c>
      <c r="T268" s="3">
        <f>SUMIFS('Business - Dump'!$Q:$Q,'Business - Dump'!$D:$D,'SKU Repoprt'!$D268,'Business - Dump'!$A:$A,'SKU Repoprt'!T$1)</f>
        <v>1</v>
      </c>
      <c r="U268" s="3">
        <f>SUMIFS('Business - Dump'!$Q:$Q,'Business - Dump'!$D:$D,'SKU Repoprt'!$D268,'Business - Dump'!$A:$A,'SKU Repoprt'!U$1)</f>
        <v>0</v>
      </c>
      <c r="V268" s="3">
        <f>SUMIFS('Business - Dump'!$Q:$Q,'Business - Dump'!$D:$D,'SKU Repoprt'!$D268,'Business - Dump'!$A:$A,'SKU Repoprt'!V$1)</f>
        <v>1</v>
      </c>
      <c r="W268" s="3">
        <f>SUMIFS('Business - Dump'!$Q:$Q,'Business - Dump'!$D:$D,'SKU Repoprt'!$D268,'Business - Dump'!$A:$A,'SKU Repoprt'!W$1)</f>
        <v>0</v>
      </c>
    </row>
    <row r="269" ht="15.75" customHeight="1">
      <c r="A269" s="10" t="s">
        <v>182</v>
      </c>
      <c r="B269" s="10" t="s">
        <v>182</v>
      </c>
      <c r="C269" s="10"/>
      <c r="D269" s="10" t="s">
        <v>385</v>
      </c>
      <c r="E269" s="10" t="s">
        <v>268</v>
      </c>
      <c r="F269" s="3">
        <f t="shared" si="89"/>
        <v>23</v>
      </c>
      <c r="G269" s="3">
        <f>SUMIFS('Business - Dump'!$W:$W,'Business - Dump'!$D:$D,'SKU Repoprt'!$D269,'Business - Dump'!$A:$A,'SKU Repoprt'!G$1)</f>
        <v>0</v>
      </c>
      <c r="H269" s="3">
        <f>SUMIFS('Business - Dump'!$W:$W,'Business - Dump'!$D:$D,'SKU Repoprt'!$D269,'Business - Dump'!$A:$A,'SKU Repoprt'!H$1)</f>
        <v>0</v>
      </c>
      <c r="I269" s="3">
        <f>SUMIFS('Business - Dump'!$W:$W,'Business - Dump'!$D:$D,'SKU Repoprt'!$D269,'Business - Dump'!$A:$A,'SKU Repoprt'!I$1)</f>
        <v>0</v>
      </c>
      <c r="J269" s="3">
        <f>SUMIFS('Business - Dump'!$W:$W,'Business - Dump'!$D:$D,'SKU Repoprt'!$D269,'Business - Dump'!$A:$A,'SKU Repoprt'!J$1)</f>
        <v>0</v>
      </c>
      <c r="K269" s="3">
        <f>SUMIFS('Business - Dump'!$W:$W,'Business - Dump'!$D:$D,'SKU Repoprt'!$D269,'Business - Dump'!$A:$A,'SKU Repoprt'!K$1)</f>
        <v>1</v>
      </c>
      <c r="L269" s="3">
        <f>SUMIFS('Business - Dump'!$W:$W,'Business - Dump'!$D:$D,'SKU Repoprt'!$D269,'Business - Dump'!$A:$A,'SKU Repoprt'!L$1)</f>
        <v>2</v>
      </c>
      <c r="M269" s="3">
        <f>SUMIFS('Business - Dump'!$W:$W,'Business - Dump'!$D:$D,'SKU Repoprt'!$D269,'Business - Dump'!$A:$A,'SKU Repoprt'!M$1)</f>
        <v>5</v>
      </c>
      <c r="N269" s="3">
        <f>SUMIFS('Business - Dump'!$W:$W,'Business - Dump'!$D:$D,'SKU Repoprt'!$D269,'Business - Dump'!$A:$A,'SKU Repoprt'!N$1)</f>
        <v>4</v>
      </c>
      <c r="O269" s="3">
        <f>SUMIFS('Business - Dump'!$W:$W,'Business - Dump'!$D:$D,'SKU Repoprt'!$D269,'Business - Dump'!$A:$A,'SKU Repoprt'!O$1)</f>
        <v>5</v>
      </c>
      <c r="P269" s="3">
        <f>SUMIFS('Business - Dump'!$W:$W,'Business - Dump'!$D:$D,'SKU Repoprt'!$D269,'Business - Dump'!$A:$A,'SKU Repoprt'!P$1)</f>
        <v>1</v>
      </c>
      <c r="Q269" s="3">
        <f>SUMIFS('Business - Dump'!$W:$W,'Business - Dump'!$D:$D,'SKU Repoprt'!$D269,'Business - Dump'!$A:$A,'SKU Repoprt'!Q$1)</f>
        <v>3</v>
      </c>
      <c r="R269" s="3">
        <f>SUMIFS('Business - Dump'!$W:$W,'Business - Dump'!$D:$D,'SKU Repoprt'!$D269,'Business - Dump'!$A:$A,'SKU Repoprt'!R$1)</f>
        <v>2</v>
      </c>
      <c r="S269" s="3">
        <f>SUMIFS('Business - Dump'!$W:$W,'Business - Dump'!$D:$D,'SKU Repoprt'!$D269,'Business - Dump'!$A:$A,'SKU Repoprt'!S$1)</f>
        <v>0</v>
      </c>
      <c r="T269" s="3">
        <f>SUMIFS('Business - Dump'!$W:$W,'Business - Dump'!$D:$D,'SKU Repoprt'!$D269,'Business - Dump'!$A:$A,'SKU Repoprt'!T$1)</f>
        <v>1</v>
      </c>
      <c r="U269" s="3">
        <f>SUMIFS('Business - Dump'!$W:$W,'Business - Dump'!$D:$D,'SKU Repoprt'!$D269,'Business - Dump'!$A:$A,'SKU Repoprt'!U$1)</f>
        <v>0</v>
      </c>
      <c r="V269" s="3">
        <f>SUMIFS('Business - Dump'!$W:$W,'Business - Dump'!$D:$D,'SKU Repoprt'!$D269,'Business - Dump'!$A:$A,'SKU Repoprt'!V$1)</f>
        <v>1</v>
      </c>
      <c r="W269" s="3">
        <f>SUMIFS('Business - Dump'!$W:$W,'Business - Dump'!$D:$D,'SKU Repoprt'!$D269,'Business - Dump'!$A:$A,'SKU Repoprt'!W$1)</f>
        <v>0</v>
      </c>
    </row>
    <row r="270" ht="15.75" customHeight="1">
      <c r="A270" s="10" t="s">
        <v>182</v>
      </c>
      <c r="B270" s="10" t="s">
        <v>182</v>
      </c>
      <c r="C270" s="10"/>
      <c r="D270" s="10" t="s">
        <v>385</v>
      </c>
      <c r="E270" s="10" t="s">
        <v>26</v>
      </c>
      <c r="F270" s="16">
        <f t="shared" si="89"/>
        <v>774594.76</v>
      </c>
      <c r="G270" s="16">
        <f>SUMIFS('Business - Dump'!$U:$U,'Business - Dump'!$D:$D,'SKU Repoprt'!$D270,'Business - Dump'!$A:$A,'SKU Repoprt'!G$1)</f>
        <v>0</v>
      </c>
      <c r="H270" s="16">
        <f>SUMIFS('Business - Dump'!$U:$U,'Business - Dump'!$D:$D,'SKU Repoprt'!$D270,'Business - Dump'!$A:$A,'SKU Repoprt'!H$1)</f>
        <v>0</v>
      </c>
      <c r="I270" s="16">
        <f>SUMIFS('Business - Dump'!$U:$U,'Business - Dump'!$D:$D,'SKU Repoprt'!$D270,'Business - Dump'!$A:$A,'SKU Repoprt'!I$1)</f>
        <v>0</v>
      </c>
      <c r="J270" s="16">
        <f>SUMIFS('Business - Dump'!$U:$U,'Business - Dump'!$D:$D,'SKU Repoprt'!$D270,'Business - Dump'!$A:$A,'SKU Repoprt'!J$1)</f>
        <v>0</v>
      </c>
      <c r="K270" s="16">
        <f>SUMIFS('Business - Dump'!$U:$U,'Business - Dump'!$D:$D,'SKU Repoprt'!$D270,'Business - Dump'!$A:$A,'SKU Repoprt'!K$1)</f>
        <v>32900</v>
      </c>
      <c r="L270" s="16">
        <f>SUMIFS('Business - Dump'!$U:$U,'Business - Dump'!$D:$D,'SKU Repoprt'!$D270,'Business - Dump'!$A:$A,'SKU Repoprt'!L$1)</f>
        <v>65800</v>
      </c>
      <c r="M270" s="16">
        <f>SUMIFS('Business - Dump'!$U:$U,'Business - Dump'!$D:$D,'SKU Repoprt'!$D270,'Business - Dump'!$A:$A,'SKU Repoprt'!M$1)</f>
        <v>174544.08</v>
      </c>
      <c r="N270" s="16">
        <f>SUMIFS('Business - Dump'!$U:$U,'Business - Dump'!$D:$D,'SKU Repoprt'!$D270,'Business - Dump'!$A:$A,'SKU Repoprt'!N$1)</f>
        <v>139800</v>
      </c>
      <c r="O270" s="16">
        <f>SUMIFS('Business - Dump'!$U:$U,'Business - Dump'!$D:$D,'SKU Repoprt'!$D270,'Business - Dump'!$A:$A,'SKU Repoprt'!O$1)</f>
        <v>167875.44</v>
      </c>
      <c r="P270" s="16">
        <f>SUMIFS('Business - Dump'!$U:$U,'Business - Dump'!$D:$D,'SKU Repoprt'!$D270,'Business - Dump'!$A:$A,'SKU Repoprt'!P$1)</f>
        <v>32400</v>
      </c>
      <c r="Q270" s="16">
        <f>SUMIFS('Business - Dump'!$U:$U,'Business - Dump'!$D:$D,'SKU Repoprt'!$D270,'Business - Dump'!$A:$A,'SKU Repoprt'!Q$1)</f>
        <v>98495.24</v>
      </c>
      <c r="R270" s="16">
        <f>SUMIFS('Business - Dump'!$U:$U,'Business - Dump'!$D:$D,'SKU Repoprt'!$D270,'Business - Dump'!$A:$A,'SKU Repoprt'!R$1)</f>
        <v>62780</v>
      </c>
      <c r="S270" s="16">
        <f>SUMIFS('Business - Dump'!$U:$U,'Business - Dump'!$D:$D,'SKU Repoprt'!$D270,'Business - Dump'!$A:$A,'SKU Repoprt'!S$1)</f>
        <v>0</v>
      </c>
      <c r="T270" s="16">
        <f>SUMIFS('Business - Dump'!$U:$U,'Business - Dump'!$D:$D,'SKU Repoprt'!$D270,'Business - Dump'!$A:$A,'SKU Repoprt'!T$1)</f>
        <v>35860</v>
      </c>
      <c r="U270" s="16">
        <f>SUMIFS('Business - Dump'!$U:$U,'Business - Dump'!$D:$D,'SKU Repoprt'!$D270,'Business - Dump'!$A:$A,'SKU Repoprt'!U$1)</f>
        <v>0</v>
      </c>
      <c r="V270" s="16">
        <f>SUMIFS('Business - Dump'!$U:$U,'Business - Dump'!$D:$D,'SKU Repoprt'!$D270,'Business - Dump'!$A:$A,'SKU Repoprt'!V$1)</f>
        <v>35442.03</v>
      </c>
      <c r="W270" s="16">
        <f>SUMIFS('Business - Dump'!$U:$U,'Business - Dump'!$D:$D,'SKU Repoprt'!$D270,'Business - Dump'!$A:$A,'SKU Repoprt'!W$1)</f>
        <v>0</v>
      </c>
    </row>
    <row r="271" ht="15.75" customHeight="1">
      <c r="A271" s="10" t="s">
        <v>182</v>
      </c>
      <c r="B271" s="10" t="s">
        <v>182</v>
      </c>
      <c r="C271" s="10"/>
      <c r="D271" s="10" t="s">
        <v>385</v>
      </c>
      <c r="E271" s="10" t="s">
        <v>29</v>
      </c>
      <c r="F271" s="17">
        <v>0.027042857142857143</v>
      </c>
      <c r="G271" s="17">
        <f t="shared" ref="G271:W271" si="90">IFERROR(G269/G266,0)</f>
        <v>0</v>
      </c>
      <c r="H271" s="17">
        <f t="shared" si="90"/>
        <v>0</v>
      </c>
      <c r="I271" s="17">
        <f t="shared" si="90"/>
        <v>0</v>
      </c>
      <c r="J271" s="17">
        <f t="shared" si="90"/>
        <v>0</v>
      </c>
      <c r="K271" s="17">
        <f t="shared" si="90"/>
        <v>0.01041666667</v>
      </c>
      <c r="L271" s="17">
        <f t="shared" si="90"/>
        <v>0.01526717557</v>
      </c>
      <c r="M271" s="17">
        <f t="shared" si="90"/>
        <v>0.01026694045</v>
      </c>
      <c r="N271" s="17">
        <f t="shared" si="90"/>
        <v>0.01017811705</v>
      </c>
      <c r="O271" s="17">
        <f t="shared" si="90"/>
        <v>0.007052186178</v>
      </c>
      <c r="P271" s="17">
        <f t="shared" si="90"/>
        <v>0.001694915254</v>
      </c>
      <c r="Q271" s="17">
        <f t="shared" si="90"/>
        <v>0.004103967168</v>
      </c>
      <c r="R271" s="17">
        <f t="shared" si="90"/>
        <v>0.003802281369</v>
      </c>
      <c r="S271" s="17">
        <f t="shared" si="90"/>
        <v>0</v>
      </c>
      <c r="T271" s="17">
        <f t="shared" si="90"/>
        <v>0.0005184033178</v>
      </c>
      <c r="U271" s="17">
        <f t="shared" si="90"/>
        <v>0</v>
      </c>
      <c r="V271" s="17">
        <f t="shared" si="90"/>
        <v>0.002702702703</v>
      </c>
      <c r="W271" s="17">
        <f t="shared" si="90"/>
        <v>0</v>
      </c>
    </row>
    <row r="272" ht="15.75" customHeight="1">
      <c r="A272" s="10" t="s">
        <v>140</v>
      </c>
      <c r="B272" s="10" t="s">
        <v>140</v>
      </c>
      <c r="C272" s="10"/>
      <c r="D272" s="10" t="s">
        <v>311</v>
      </c>
      <c r="E272" s="10" t="s">
        <v>257</v>
      </c>
      <c r="F272" s="3">
        <f t="shared" ref="F272:F276" si="91">SUM(G272:S272)</f>
        <v>28761</v>
      </c>
      <c r="G272" s="3">
        <f>SUMIFS('Business - Dump'!$G:$G,'Business - Dump'!$D:$D,'SKU Repoprt'!$D272,'Business - Dump'!$A:$A,'SKU Repoprt'!G$1)</f>
        <v>610</v>
      </c>
      <c r="H272" s="3">
        <f>SUMIFS('Business - Dump'!$G:$G,'Business - Dump'!$D:$D,'SKU Repoprt'!$D272,'Business - Dump'!$A:$A,'SKU Repoprt'!H$1)</f>
        <v>1447</v>
      </c>
      <c r="I272" s="3">
        <f>SUMIFS('Business - Dump'!$G:$G,'Business - Dump'!$D:$D,'SKU Repoprt'!$D272,'Business - Dump'!$A:$A,'SKU Repoprt'!I$1)</f>
        <v>791</v>
      </c>
      <c r="J272" s="3">
        <f>SUMIFS('Business - Dump'!$G:$G,'Business - Dump'!$D:$D,'SKU Repoprt'!$D272,'Business - Dump'!$A:$A,'SKU Repoprt'!J$1)</f>
        <v>1138</v>
      </c>
      <c r="K272" s="3">
        <f>SUMIFS('Business - Dump'!$G:$G,'Business - Dump'!$D:$D,'SKU Repoprt'!$D272,'Business - Dump'!$A:$A,'SKU Repoprt'!K$1)</f>
        <v>1161</v>
      </c>
      <c r="L272" s="3">
        <f>SUMIFS('Business - Dump'!$G:$G,'Business - Dump'!$D:$D,'SKU Repoprt'!$D272,'Business - Dump'!$A:$A,'SKU Repoprt'!L$1)</f>
        <v>2097</v>
      </c>
      <c r="M272" s="3">
        <f>SUMIFS('Business - Dump'!$G:$G,'Business - Dump'!$D:$D,'SKU Repoprt'!$D272,'Business - Dump'!$A:$A,'SKU Repoprt'!M$1)</f>
        <v>891</v>
      </c>
      <c r="N272" s="3">
        <f>SUMIFS('Business - Dump'!$G:$G,'Business - Dump'!$D:$D,'SKU Repoprt'!$D272,'Business - Dump'!$A:$A,'SKU Repoprt'!N$1)</f>
        <v>5404</v>
      </c>
      <c r="O272" s="3">
        <f>SUMIFS('Business - Dump'!$G:$G,'Business - Dump'!$D:$D,'SKU Repoprt'!$D272,'Business - Dump'!$A:$A,'SKU Repoprt'!O$1)</f>
        <v>5697</v>
      </c>
      <c r="P272" s="3">
        <f>SUMIFS('Business - Dump'!$G:$G,'Business - Dump'!$D:$D,'SKU Repoprt'!$D272,'Business - Dump'!$A:$A,'SKU Repoprt'!P$1)</f>
        <v>3126</v>
      </c>
      <c r="Q272" s="3">
        <f>SUMIFS('Business - Dump'!$G:$G,'Business - Dump'!$D:$D,'SKU Repoprt'!$D272,'Business - Dump'!$A:$A,'SKU Repoprt'!Q$1)</f>
        <v>2824</v>
      </c>
      <c r="R272" s="3">
        <f>SUMIFS('Business - Dump'!$G:$G,'Business - Dump'!$D:$D,'SKU Repoprt'!$D272,'Business - Dump'!$A:$A,'SKU Repoprt'!R$1)</f>
        <v>2010</v>
      </c>
      <c r="S272" s="3">
        <f>SUMIFS('Business - Dump'!$G:$G,'Business - Dump'!$D:$D,'SKU Repoprt'!$D272,'Business - Dump'!$A:$A,'SKU Repoprt'!S$1)</f>
        <v>1565</v>
      </c>
      <c r="T272" s="3">
        <f>SUMIFS('Business - Dump'!$G:$G,'Business - Dump'!$D:$D,'SKU Repoprt'!$D272,'Business - Dump'!$A:$A,'SKU Repoprt'!T$1)</f>
        <v>1835</v>
      </c>
      <c r="U272" s="3">
        <f>SUMIFS('Business - Dump'!$G:$G,'Business - Dump'!$D:$D,'SKU Repoprt'!$D272,'Business - Dump'!$A:$A,'SKU Repoprt'!U$1)</f>
        <v>1828</v>
      </c>
      <c r="V272" s="3">
        <f>SUMIFS('Business - Dump'!$G:$G,'Business - Dump'!$D:$D,'SKU Repoprt'!$D272,'Business - Dump'!$A:$A,'SKU Repoprt'!V$1)</f>
        <v>1235</v>
      </c>
      <c r="W272" s="3">
        <f>SUMIFS('Business - Dump'!$G:$G,'Business - Dump'!$D:$D,'SKU Repoprt'!$D272,'Business - Dump'!$A:$A,'SKU Repoprt'!W$1)</f>
        <v>1179</v>
      </c>
    </row>
    <row r="273" ht="15.75" customHeight="1">
      <c r="A273" s="10" t="s">
        <v>140</v>
      </c>
      <c r="B273" s="10" t="s">
        <v>140</v>
      </c>
      <c r="C273" s="10"/>
      <c r="D273" s="10" t="s">
        <v>311</v>
      </c>
      <c r="E273" s="10" t="s">
        <v>260</v>
      </c>
      <c r="F273" s="3">
        <f t="shared" si="91"/>
        <v>40372</v>
      </c>
      <c r="G273" s="3">
        <f>SUMIFS('Business - Dump'!$K:$K,'Business - Dump'!$D:$D,'SKU Repoprt'!$D273,'Business - Dump'!$A:$A,'SKU Repoprt'!G$1)</f>
        <v>800</v>
      </c>
      <c r="H273" s="3">
        <f>SUMIFS('Business - Dump'!$K:$K,'Business - Dump'!$D:$D,'SKU Repoprt'!$D273,'Business - Dump'!$A:$A,'SKU Repoprt'!H$1)</f>
        <v>2135</v>
      </c>
      <c r="I273" s="3">
        <f>SUMIFS('Business - Dump'!$K:$K,'Business - Dump'!$D:$D,'SKU Repoprt'!$D273,'Business - Dump'!$A:$A,'SKU Repoprt'!I$1)</f>
        <v>1181</v>
      </c>
      <c r="J273" s="3">
        <f>SUMIFS('Business - Dump'!$K:$K,'Business - Dump'!$D:$D,'SKU Repoprt'!$D273,'Business - Dump'!$A:$A,'SKU Repoprt'!J$1)</f>
        <v>1621</v>
      </c>
      <c r="K273" s="3">
        <f>SUMIFS('Business - Dump'!$K:$K,'Business - Dump'!$D:$D,'SKU Repoprt'!$D273,'Business - Dump'!$A:$A,'SKU Repoprt'!K$1)</f>
        <v>1647</v>
      </c>
      <c r="L273" s="3">
        <f>SUMIFS('Business - Dump'!$K:$K,'Business - Dump'!$D:$D,'SKU Repoprt'!$D273,'Business - Dump'!$A:$A,'SKU Repoprt'!L$1)</f>
        <v>3132</v>
      </c>
      <c r="M273" s="3">
        <f>SUMIFS('Business - Dump'!$K:$K,'Business - Dump'!$D:$D,'SKU Repoprt'!$D273,'Business - Dump'!$A:$A,'SKU Repoprt'!M$1)</f>
        <v>1525</v>
      </c>
      <c r="N273" s="3">
        <f>SUMIFS('Business - Dump'!$K:$K,'Business - Dump'!$D:$D,'SKU Repoprt'!$D273,'Business - Dump'!$A:$A,'SKU Repoprt'!N$1)</f>
        <v>7201</v>
      </c>
      <c r="O273" s="3">
        <f>SUMIFS('Business - Dump'!$K:$K,'Business - Dump'!$D:$D,'SKU Repoprt'!$D273,'Business - Dump'!$A:$A,'SKU Repoprt'!O$1)</f>
        <v>7723</v>
      </c>
      <c r="P273" s="3">
        <f>SUMIFS('Business - Dump'!$K:$K,'Business - Dump'!$D:$D,'SKU Repoprt'!$D273,'Business - Dump'!$A:$A,'SKU Repoprt'!P$1)</f>
        <v>4247</v>
      </c>
      <c r="Q273" s="3">
        <f>SUMIFS('Business - Dump'!$K:$K,'Business - Dump'!$D:$D,'SKU Repoprt'!$D273,'Business - Dump'!$A:$A,'SKU Repoprt'!Q$1)</f>
        <v>4034</v>
      </c>
      <c r="R273" s="3">
        <f>SUMIFS('Business - Dump'!$K:$K,'Business - Dump'!$D:$D,'SKU Repoprt'!$D273,'Business - Dump'!$A:$A,'SKU Repoprt'!R$1)</f>
        <v>2865</v>
      </c>
      <c r="S273" s="3">
        <f>SUMIFS('Business - Dump'!$K:$K,'Business - Dump'!$D:$D,'SKU Repoprt'!$D273,'Business - Dump'!$A:$A,'SKU Repoprt'!S$1)</f>
        <v>2261</v>
      </c>
      <c r="T273" s="3">
        <f>SUMIFS('Business - Dump'!$K:$K,'Business - Dump'!$D:$D,'SKU Repoprt'!$D273,'Business - Dump'!$A:$A,'SKU Repoprt'!T$1)</f>
        <v>2484</v>
      </c>
      <c r="U273" s="3">
        <f>SUMIFS('Business - Dump'!$K:$K,'Business - Dump'!$D:$D,'SKU Repoprt'!$D273,'Business - Dump'!$A:$A,'SKU Repoprt'!U$1)</f>
        <v>2541</v>
      </c>
      <c r="V273" s="3">
        <f>SUMIFS('Business - Dump'!$K:$K,'Business - Dump'!$D:$D,'SKU Repoprt'!$D273,'Business - Dump'!$A:$A,'SKU Repoprt'!V$1)</f>
        <v>1696</v>
      </c>
      <c r="W273" s="3">
        <f>SUMIFS('Business - Dump'!$K:$K,'Business - Dump'!$D:$D,'SKU Repoprt'!$D273,'Business - Dump'!$A:$A,'SKU Repoprt'!W$1)</f>
        <v>1606</v>
      </c>
    </row>
    <row r="274" ht="15.75" customHeight="1">
      <c r="A274" s="10" t="s">
        <v>140</v>
      </c>
      <c r="B274" s="10" t="s">
        <v>140</v>
      </c>
      <c r="C274" s="10"/>
      <c r="D274" s="10" t="s">
        <v>311</v>
      </c>
      <c r="E274" s="10" t="s">
        <v>264</v>
      </c>
      <c r="F274" s="3">
        <f t="shared" si="91"/>
        <v>107</v>
      </c>
      <c r="G274" s="3">
        <f>SUMIFS('Business - Dump'!$Q:$Q,'Business - Dump'!$D:$D,'SKU Repoprt'!$D274,'Business - Dump'!$A:$A,'SKU Repoprt'!G$1)</f>
        <v>3</v>
      </c>
      <c r="H274" s="3">
        <f>SUMIFS('Business - Dump'!$Q:$Q,'Business - Dump'!$D:$D,'SKU Repoprt'!$D274,'Business - Dump'!$A:$A,'SKU Repoprt'!H$1)</f>
        <v>11</v>
      </c>
      <c r="I274" s="3">
        <f>SUMIFS('Business - Dump'!$Q:$Q,'Business - Dump'!$D:$D,'SKU Repoprt'!$D274,'Business - Dump'!$A:$A,'SKU Repoprt'!I$1)</f>
        <v>5</v>
      </c>
      <c r="J274" s="3">
        <f>SUMIFS('Business - Dump'!$Q:$Q,'Business - Dump'!$D:$D,'SKU Repoprt'!$D274,'Business - Dump'!$A:$A,'SKU Repoprt'!J$1)</f>
        <v>6</v>
      </c>
      <c r="K274" s="3">
        <f>SUMIFS('Business - Dump'!$Q:$Q,'Business - Dump'!$D:$D,'SKU Repoprt'!$D274,'Business - Dump'!$A:$A,'SKU Repoprt'!K$1)</f>
        <v>7</v>
      </c>
      <c r="L274" s="3">
        <f>SUMIFS('Business - Dump'!$Q:$Q,'Business - Dump'!$D:$D,'SKU Repoprt'!$D274,'Business - Dump'!$A:$A,'SKU Repoprt'!L$1)</f>
        <v>8</v>
      </c>
      <c r="M274" s="3">
        <f>SUMIFS('Business - Dump'!$Q:$Q,'Business - Dump'!$D:$D,'SKU Repoprt'!$D274,'Business - Dump'!$A:$A,'SKU Repoprt'!M$1)</f>
        <v>4</v>
      </c>
      <c r="N274" s="3">
        <f>SUMIFS('Business - Dump'!$Q:$Q,'Business - Dump'!$D:$D,'SKU Repoprt'!$D274,'Business - Dump'!$A:$A,'SKU Repoprt'!N$1)</f>
        <v>19</v>
      </c>
      <c r="O274" s="3">
        <f>SUMIFS('Business - Dump'!$Q:$Q,'Business - Dump'!$D:$D,'SKU Repoprt'!$D274,'Business - Dump'!$A:$A,'SKU Repoprt'!O$1)</f>
        <v>11</v>
      </c>
      <c r="P274" s="3">
        <f>SUMIFS('Business - Dump'!$Q:$Q,'Business - Dump'!$D:$D,'SKU Repoprt'!$D274,'Business - Dump'!$A:$A,'SKU Repoprt'!P$1)</f>
        <v>9</v>
      </c>
      <c r="Q274" s="3">
        <f>SUMIFS('Business - Dump'!$Q:$Q,'Business - Dump'!$D:$D,'SKU Repoprt'!$D274,'Business - Dump'!$A:$A,'SKU Repoprt'!Q$1)</f>
        <v>13</v>
      </c>
      <c r="R274" s="3">
        <f>SUMIFS('Business - Dump'!$Q:$Q,'Business - Dump'!$D:$D,'SKU Repoprt'!$D274,'Business - Dump'!$A:$A,'SKU Repoprt'!R$1)</f>
        <v>9</v>
      </c>
      <c r="S274" s="3">
        <f>SUMIFS('Business - Dump'!$Q:$Q,'Business - Dump'!$D:$D,'SKU Repoprt'!$D274,'Business - Dump'!$A:$A,'SKU Repoprt'!S$1)</f>
        <v>2</v>
      </c>
      <c r="T274" s="3">
        <f>SUMIFS('Business - Dump'!$Q:$Q,'Business - Dump'!$D:$D,'SKU Repoprt'!$D274,'Business - Dump'!$A:$A,'SKU Repoprt'!T$1)</f>
        <v>5</v>
      </c>
      <c r="U274" s="3">
        <f>SUMIFS('Business - Dump'!$Q:$Q,'Business - Dump'!$D:$D,'SKU Repoprt'!$D274,'Business - Dump'!$A:$A,'SKU Repoprt'!U$1)</f>
        <v>8</v>
      </c>
      <c r="V274" s="3">
        <f>SUMIFS('Business - Dump'!$Q:$Q,'Business - Dump'!$D:$D,'SKU Repoprt'!$D274,'Business - Dump'!$A:$A,'SKU Repoprt'!V$1)</f>
        <v>3</v>
      </c>
      <c r="W274" s="3">
        <f>SUMIFS('Business - Dump'!$Q:$Q,'Business - Dump'!$D:$D,'SKU Repoprt'!$D274,'Business - Dump'!$A:$A,'SKU Repoprt'!W$1)</f>
        <v>5</v>
      </c>
    </row>
    <row r="275" ht="15.75" customHeight="1">
      <c r="A275" s="10" t="s">
        <v>140</v>
      </c>
      <c r="B275" s="10" t="s">
        <v>140</v>
      </c>
      <c r="C275" s="10"/>
      <c r="D275" s="10" t="s">
        <v>311</v>
      </c>
      <c r="E275" s="10" t="s">
        <v>268</v>
      </c>
      <c r="F275" s="3">
        <f t="shared" si="91"/>
        <v>107</v>
      </c>
      <c r="G275" s="3">
        <f>SUMIFS('Business - Dump'!$W:$W,'Business - Dump'!$D:$D,'SKU Repoprt'!$D275,'Business - Dump'!$A:$A,'SKU Repoprt'!G$1)</f>
        <v>3</v>
      </c>
      <c r="H275" s="3">
        <f>SUMIFS('Business - Dump'!$W:$W,'Business - Dump'!$D:$D,'SKU Repoprt'!$D275,'Business - Dump'!$A:$A,'SKU Repoprt'!H$1)</f>
        <v>11</v>
      </c>
      <c r="I275" s="3">
        <f>SUMIFS('Business - Dump'!$W:$W,'Business - Dump'!$D:$D,'SKU Repoprt'!$D275,'Business - Dump'!$A:$A,'SKU Repoprt'!I$1)</f>
        <v>5</v>
      </c>
      <c r="J275" s="3">
        <f>SUMIFS('Business - Dump'!$W:$W,'Business - Dump'!$D:$D,'SKU Repoprt'!$D275,'Business - Dump'!$A:$A,'SKU Repoprt'!J$1)</f>
        <v>6</v>
      </c>
      <c r="K275" s="3">
        <f>SUMIFS('Business - Dump'!$W:$W,'Business - Dump'!$D:$D,'SKU Repoprt'!$D275,'Business - Dump'!$A:$A,'SKU Repoprt'!K$1)</f>
        <v>7</v>
      </c>
      <c r="L275" s="3">
        <f>SUMIFS('Business - Dump'!$W:$W,'Business - Dump'!$D:$D,'SKU Repoprt'!$D275,'Business - Dump'!$A:$A,'SKU Repoprt'!L$1)</f>
        <v>8</v>
      </c>
      <c r="M275" s="3">
        <f>SUMIFS('Business - Dump'!$W:$W,'Business - Dump'!$D:$D,'SKU Repoprt'!$D275,'Business - Dump'!$A:$A,'SKU Repoprt'!M$1)</f>
        <v>4</v>
      </c>
      <c r="N275" s="3">
        <f>SUMIFS('Business - Dump'!$W:$W,'Business - Dump'!$D:$D,'SKU Repoprt'!$D275,'Business - Dump'!$A:$A,'SKU Repoprt'!N$1)</f>
        <v>19</v>
      </c>
      <c r="O275" s="3">
        <f>SUMIFS('Business - Dump'!$W:$W,'Business - Dump'!$D:$D,'SKU Repoprt'!$D275,'Business - Dump'!$A:$A,'SKU Repoprt'!O$1)</f>
        <v>11</v>
      </c>
      <c r="P275" s="3">
        <f>SUMIFS('Business - Dump'!$W:$W,'Business - Dump'!$D:$D,'SKU Repoprt'!$D275,'Business - Dump'!$A:$A,'SKU Repoprt'!P$1)</f>
        <v>9</v>
      </c>
      <c r="Q275" s="3">
        <f>SUMIFS('Business - Dump'!$W:$W,'Business - Dump'!$D:$D,'SKU Repoprt'!$D275,'Business - Dump'!$A:$A,'SKU Repoprt'!Q$1)</f>
        <v>13</v>
      </c>
      <c r="R275" s="3">
        <f>SUMIFS('Business - Dump'!$W:$W,'Business - Dump'!$D:$D,'SKU Repoprt'!$D275,'Business - Dump'!$A:$A,'SKU Repoprt'!R$1)</f>
        <v>9</v>
      </c>
      <c r="S275" s="3">
        <f>SUMIFS('Business - Dump'!$W:$W,'Business - Dump'!$D:$D,'SKU Repoprt'!$D275,'Business - Dump'!$A:$A,'SKU Repoprt'!S$1)</f>
        <v>2</v>
      </c>
      <c r="T275" s="3">
        <f>SUMIFS('Business - Dump'!$W:$W,'Business - Dump'!$D:$D,'SKU Repoprt'!$D275,'Business - Dump'!$A:$A,'SKU Repoprt'!T$1)</f>
        <v>5</v>
      </c>
      <c r="U275" s="3">
        <f>SUMIFS('Business - Dump'!$W:$W,'Business - Dump'!$D:$D,'SKU Repoprt'!$D275,'Business - Dump'!$A:$A,'SKU Repoprt'!U$1)</f>
        <v>8</v>
      </c>
      <c r="V275" s="3">
        <f>SUMIFS('Business - Dump'!$W:$W,'Business - Dump'!$D:$D,'SKU Repoprt'!$D275,'Business - Dump'!$A:$A,'SKU Repoprt'!V$1)</f>
        <v>3</v>
      </c>
      <c r="W275" s="3">
        <f>SUMIFS('Business - Dump'!$W:$W,'Business - Dump'!$D:$D,'SKU Repoprt'!$D275,'Business - Dump'!$A:$A,'SKU Repoprt'!W$1)</f>
        <v>5</v>
      </c>
    </row>
    <row r="276" ht="15.75" customHeight="1">
      <c r="A276" s="10" t="s">
        <v>140</v>
      </c>
      <c r="B276" s="10" t="s">
        <v>140</v>
      </c>
      <c r="C276" s="10"/>
      <c r="D276" s="10" t="s">
        <v>311</v>
      </c>
      <c r="E276" s="10" t="s">
        <v>26</v>
      </c>
      <c r="F276" s="16">
        <f t="shared" si="91"/>
        <v>3615389.18</v>
      </c>
      <c r="G276" s="16">
        <f>SUMIFS('Business - Dump'!$U:$U,'Business - Dump'!$D:$D,'SKU Repoprt'!$D276,'Business - Dump'!$A:$A,'SKU Repoprt'!G$1)</f>
        <v>101700</v>
      </c>
      <c r="H276" s="16">
        <f>SUMIFS('Business - Dump'!$U:$U,'Business - Dump'!$D:$D,'SKU Repoprt'!$D276,'Business - Dump'!$A:$A,'SKU Repoprt'!H$1)</f>
        <v>372900</v>
      </c>
      <c r="I276" s="16">
        <f>SUMIFS('Business - Dump'!$U:$U,'Business - Dump'!$D:$D,'SKU Repoprt'!$D276,'Business - Dump'!$A:$A,'SKU Repoprt'!I$1)</f>
        <v>167513</v>
      </c>
      <c r="J276" s="16">
        <f>SUMIFS('Business - Dump'!$U:$U,'Business - Dump'!$D:$D,'SKU Repoprt'!$D276,'Business - Dump'!$A:$A,'SKU Repoprt'!J$1)</f>
        <v>200400</v>
      </c>
      <c r="K276" s="16">
        <f>SUMIFS('Business - Dump'!$U:$U,'Business - Dump'!$D:$D,'SKU Repoprt'!$D276,'Business - Dump'!$A:$A,'SKU Repoprt'!K$1)</f>
        <v>237300</v>
      </c>
      <c r="L276" s="16">
        <f>SUMIFS('Business - Dump'!$U:$U,'Business - Dump'!$D:$D,'SKU Repoprt'!$D276,'Business - Dump'!$A:$A,'SKU Repoprt'!L$1)</f>
        <v>271200</v>
      </c>
      <c r="M276" s="16">
        <f>SUMIFS('Business - Dump'!$U:$U,'Business - Dump'!$D:$D,'SKU Repoprt'!$D276,'Business - Dump'!$A:$A,'SKU Repoprt'!M$1)</f>
        <v>132150</v>
      </c>
      <c r="N276" s="16">
        <f>SUMIFS('Business - Dump'!$U:$U,'Business - Dump'!$D:$D,'SKU Repoprt'!$D276,'Business - Dump'!$A:$A,'SKU Repoprt'!N$1)</f>
        <v>664050</v>
      </c>
      <c r="O276" s="16">
        <f>SUMIFS('Business - Dump'!$U:$U,'Business - Dump'!$D:$D,'SKU Repoprt'!$D276,'Business - Dump'!$A:$A,'SKU Repoprt'!O$1)</f>
        <v>368700</v>
      </c>
      <c r="P276" s="16">
        <f>SUMIFS('Business - Dump'!$U:$U,'Business - Dump'!$D:$D,'SKU Repoprt'!$D276,'Business - Dump'!$A:$A,'SKU Repoprt'!P$1)</f>
        <v>311239.83</v>
      </c>
      <c r="Q276" s="16">
        <f>SUMIFS('Business - Dump'!$U:$U,'Business - Dump'!$D:$D,'SKU Repoprt'!$D276,'Business - Dump'!$A:$A,'SKU Repoprt'!Q$1)</f>
        <v>428880.63</v>
      </c>
      <c r="R276" s="16">
        <f>SUMIFS('Business - Dump'!$U:$U,'Business - Dump'!$D:$D,'SKU Repoprt'!$D276,'Business - Dump'!$A:$A,'SKU Repoprt'!R$1)</f>
        <v>289145.56</v>
      </c>
      <c r="S276" s="16">
        <f>SUMIFS('Business - Dump'!$U:$U,'Business - Dump'!$D:$D,'SKU Repoprt'!$D276,'Business - Dump'!$A:$A,'SKU Repoprt'!S$1)</f>
        <v>70210.16</v>
      </c>
      <c r="T276" s="16">
        <f>SUMIFS('Business - Dump'!$U:$U,'Business - Dump'!$D:$D,'SKU Repoprt'!$D276,'Business - Dump'!$A:$A,'SKU Repoprt'!T$1)</f>
        <v>177530.16</v>
      </c>
      <c r="U276" s="16">
        <f>SUMIFS('Business - Dump'!$U:$U,'Business - Dump'!$D:$D,'SKU Repoprt'!$D276,'Business - Dump'!$A:$A,'SKU Repoprt'!U$1)</f>
        <v>272893.4</v>
      </c>
      <c r="V276" s="16">
        <f>SUMIFS('Business - Dump'!$U:$U,'Business - Dump'!$D:$D,'SKU Repoprt'!$D276,'Business - Dump'!$A:$A,'SKU Repoprt'!V$1)</f>
        <v>104345.1</v>
      </c>
      <c r="W276" s="16">
        <f>SUMIFS('Business - Dump'!$U:$U,'Business - Dump'!$D:$D,'SKU Repoprt'!$D276,'Business - Dump'!$A:$A,'SKU Repoprt'!W$1)</f>
        <v>173605.4</v>
      </c>
    </row>
    <row r="277" ht="15.75" customHeight="1">
      <c r="A277" s="10" t="s">
        <v>140</v>
      </c>
      <c r="B277" s="10" t="s">
        <v>140</v>
      </c>
      <c r="C277" s="10"/>
      <c r="D277" s="10" t="s">
        <v>311</v>
      </c>
      <c r="E277" s="10" t="s">
        <v>29</v>
      </c>
      <c r="F277" s="17">
        <v>0.027042857142857143</v>
      </c>
      <c r="G277" s="17">
        <f t="shared" ref="G277:W277" si="92">IFERROR(G275/G272,0)</f>
        <v>0.004918032787</v>
      </c>
      <c r="H277" s="17">
        <f t="shared" si="92"/>
        <v>0.007601935038</v>
      </c>
      <c r="I277" s="17">
        <f t="shared" si="92"/>
        <v>0.006321112516</v>
      </c>
      <c r="J277" s="17">
        <f t="shared" si="92"/>
        <v>0.005272407733</v>
      </c>
      <c r="K277" s="17">
        <f t="shared" si="92"/>
        <v>0.006029285099</v>
      </c>
      <c r="L277" s="17">
        <f t="shared" si="92"/>
        <v>0.003814973772</v>
      </c>
      <c r="M277" s="17">
        <f t="shared" si="92"/>
        <v>0.004489337823</v>
      </c>
      <c r="N277" s="17">
        <f t="shared" si="92"/>
        <v>0.003515914138</v>
      </c>
      <c r="O277" s="17">
        <f t="shared" si="92"/>
        <v>0.001930840793</v>
      </c>
      <c r="P277" s="17">
        <f t="shared" si="92"/>
        <v>0.002879078695</v>
      </c>
      <c r="Q277" s="17">
        <f t="shared" si="92"/>
        <v>0.004603399433</v>
      </c>
      <c r="R277" s="17">
        <f t="shared" si="92"/>
        <v>0.00447761194</v>
      </c>
      <c r="S277" s="17">
        <f t="shared" si="92"/>
        <v>0.001277955272</v>
      </c>
      <c r="T277" s="17">
        <f t="shared" si="92"/>
        <v>0.00272479564</v>
      </c>
      <c r="U277" s="17">
        <f t="shared" si="92"/>
        <v>0.004376367615</v>
      </c>
      <c r="V277" s="17">
        <f t="shared" si="92"/>
        <v>0.002429149798</v>
      </c>
      <c r="W277" s="17">
        <f t="shared" si="92"/>
        <v>0.004240882103</v>
      </c>
    </row>
    <row r="278" ht="15.75" customHeight="1">
      <c r="A278" s="10" t="s">
        <v>140</v>
      </c>
      <c r="B278" s="10" t="s">
        <v>140</v>
      </c>
      <c r="C278" s="10"/>
      <c r="D278" s="10" t="s">
        <v>313</v>
      </c>
      <c r="E278" s="10" t="s">
        <v>257</v>
      </c>
      <c r="F278" s="3">
        <f t="shared" ref="F278:F282" si="93">SUM(G278:S278)</f>
        <v>10951</v>
      </c>
      <c r="G278" s="3">
        <f>SUMIFS('Business - Dump'!$G:$G,'Business - Dump'!$D:$D,'SKU Repoprt'!$D278,'Business - Dump'!$A:$A,'SKU Repoprt'!G$1)</f>
        <v>352</v>
      </c>
      <c r="H278" s="3">
        <f>SUMIFS('Business - Dump'!$G:$G,'Business - Dump'!$D:$D,'SKU Repoprt'!$D278,'Business - Dump'!$A:$A,'SKU Repoprt'!H$1)</f>
        <v>666</v>
      </c>
      <c r="I278" s="3">
        <f>SUMIFS('Business - Dump'!$G:$G,'Business - Dump'!$D:$D,'SKU Repoprt'!$D278,'Business - Dump'!$A:$A,'SKU Repoprt'!I$1)</f>
        <v>0</v>
      </c>
      <c r="J278" s="3">
        <f>SUMIFS('Business - Dump'!$G:$G,'Business - Dump'!$D:$D,'SKU Repoprt'!$D278,'Business - Dump'!$A:$A,'SKU Repoprt'!J$1)</f>
        <v>506</v>
      </c>
      <c r="K278" s="3">
        <f>SUMIFS('Business - Dump'!$G:$G,'Business - Dump'!$D:$D,'SKU Repoprt'!$D278,'Business - Dump'!$A:$A,'SKU Repoprt'!K$1)</f>
        <v>523</v>
      </c>
      <c r="L278" s="3">
        <f>SUMIFS('Business - Dump'!$G:$G,'Business - Dump'!$D:$D,'SKU Repoprt'!$D278,'Business - Dump'!$A:$A,'SKU Repoprt'!L$1)</f>
        <v>532</v>
      </c>
      <c r="M278" s="3">
        <f>SUMIFS('Business - Dump'!$G:$G,'Business - Dump'!$D:$D,'SKU Repoprt'!$D278,'Business - Dump'!$A:$A,'SKU Repoprt'!M$1)</f>
        <v>323</v>
      </c>
      <c r="N278" s="3">
        <f>SUMIFS('Business - Dump'!$G:$G,'Business - Dump'!$D:$D,'SKU Repoprt'!$D278,'Business - Dump'!$A:$A,'SKU Repoprt'!N$1)</f>
        <v>1025</v>
      </c>
      <c r="O278" s="3">
        <f>SUMIFS('Business - Dump'!$G:$G,'Business - Dump'!$D:$D,'SKU Repoprt'!$D278,'Business - Dump'!$A:$A,'SKU Repoprt'!O$1)</f>
        <v>1797</v>
      </c>
      <c r="P278" s="3">
        <f>SUMIFS('Business - Dump'!$G:$G,'Business - Dump'!$D:$D,'SKU Repoprt'!$D278,'Business - Dump'!$A:$A,'SKU Repoprt'!P$1)</f>
        <v>1398</v>
      </c>
      <c r="Q278" s="3">
        <f>SUMIFS('Business - Dump'!$G:$G,'Business - Dump'!$D:$D,'SKU Repoprt'!$D278,'Business - Dump'!$A:$A,'SKU Repoprt'!Q$1)</f>
        <v>1370</v>
      </c>
      <c r="R278" s="3">
        <f>SUMIFS('Business - Dump'!$G:$G,'Business - Dump'!$D:$D,'SKU Repoprt'!$D278,'Business - Dump'!$A:$A,'SKU Repoprt'!R$1)</f>
        <v>1762</v>
      </c>
      <c r="S278" s="3">
        <f>SUMIFS('Business - Dump'!$G:$G,'Business - Dump'!$D:$D,'SKU Repoprt'!$D278,'Business - Dump'!$A:$A,'SKU Repoprt'!S$1)</f>
        <v>697</v>
      </c>
      <c r="T278" s="3">
        <f>SUMIFS('Business - Dump'!$G:$G,'Business - Dump'!$D:$D,'SKU Repoprt'!$D278,'Business - Dump'!$A:$A,'SKU Repoprt'!T$1)</f>
        <v>771</v>
      </c>
      <c r="U278" s="3">
        <f>SUMIFS('Business - Dump'!$G:$G,'Business - Dump'!$D:$D,'SKU Repoprt'!$D278,'Business - Dump'!$A:$A,'SKU Repoprt'!U$1)</f>
        <v>778</v>
      </c>
      <c r="V278" s="3">
        <f>SUMIFS('Business - Dump'!$G:$G,'Business - Dump'!$D:$D,'SKU Repoprt'!$D278,'Business - Dump'!$A:$A,'SKU Repoprt'!V$1)</f>
        <v>645</v>
      </c>
      <c r="W278" s="3">
        <f>SUMIFS('Business - Dump'!$G:$G,'Business - Dump'!$D:$D,'SKU Repoprt'!$D278,'Business - Dump'!$A:$A,'SKU Repoprt'!W$1)</f>
        <v>854</v>
      </c>
    </row>
    <row r="279" ht="15.75" customHeight="1">
      <c r="A279" s="10" t="s">
        <v>140</v>
      </c>
      <c r="B279" s="10" t="s">
        <v>140</v>
      </c>
      <c r="C279" s="10"/>
      <c r="D279" s="10" t="s">
        <v>313</v>
      </c>
      <c r="E279" s="10" t="s">
        <v>260</v>
      </c>
      <c r="F279" s="3">
        <f t="shared" si="93"/>
        <v>14452</v>
      </c>
      <c r="G279" s="3">
        <f>SUMIFS('Business - Dump'!$K:$K,'Business - Dump'!$D:$D,'SKU Repoprt'!$D279,'Business - Dump'!$A:$A,'SKU Repoprt'!G$1)</f>
        <v>471</v>
      </c>
      <c r="H279" s="3">
        <f>SUMIFS('Business - Dump'!$K:$K,'Business - Dump'!$D:$D,'SKU Repoprt'!$D279,'Business - Dump'!$A:$A,'SKU Repoprt'!H$1)</f>
        <v>876</v>
      </c>
      <c r="I279" s="3">
        <f>SUMIFS('Business - Dump'!$K:$K,'Business - Dump'!$D:$D,'SKU Repoprt'!$D279,'Business - Dump'!$A:$A,'SKU Repoprt'!I$1)</f>
        <v>0</v>
      </c>
      <c r="J279" s="3">
        <f>SUMIFS('Business - Dump'!$K:$K,'Business - Dump'!$D:$D,'SKU Repoprt'!$D279,'Business - Dump'!$A:$A,'SKU Repoprt'!J$1)</f>
        <v>622</v>
      </c>
      <c r="K279" s="3">
        <f>SUMIFS('Business - Dump'!$K:$K,'Business - Dump'!$D:$D,'SKU Repoprt'!$D279,'Business - Dump'!$A:$A,'SKU Repoprt'!K$1)</f>
        <v>699</v>
      </c>
      <c r="L279" s="3">
        <f>SUMIFS('Business - Dump'!$K:$K,'Business - Dump'!$D:$D,'SKU Repoprt'!$D279,'Business - Dump'!$A:$A,'SKU Repoprt'!L$1)</f>
        <v>722</v>
      </c>
      <c r="M279" s="3">
        <f>SUMIFS('Business - Dump'!$K:$K,'Business - Dump'!$D:$D,'SKU Repoprt'!$D279,'Business - Dump'!$A:$A,'SKU Repoprt'!M$1)</f>
        <v>526</v>
      </c>
      <c r="N279" s="3">
        <f>SUMIFS('Business - Dump'!$K:$K,'Business - Dump'!$D:$D,'SKU Repoprt'!$D279,'Business - Dump'!$A:$A,'SKU Repoprt'!N$1)</f>
        <v>1346</v>
      </c>
      <c r="O279" s="3">
        <f>SUMIFS('Business - Dump'!$K:$K,'Business - Dump'!$D:$D,'SKU Repoprt'!$D279,'Business - Dump'!$A:$A,'SKU Repoprt'!O$1)</f>
        <v>2487</v>
      </c>
      <c r="P279" s="3">
        <f>SUMIFS('Business - Dump'!$K:$K,'Business - Dump'!$D:$D,'SKU Repoprt'!$D279,'Business - Dump'!$A:$A,'SKU Repoprt'!P$1)</f>
        <v>1812</v>
      </c>
      <c r="Q279" s="3">
        <f>SUMIFS('Business - Dump'!$K:$K,'Business - Dump'!$D:$D,'SKU Repoprt'!$D279,'Business - Dump'!$A:$A,'SKU Repoprt'!Q$1)</f>
        <v>1805</v>
      </c>
      <c r="R279" s="3">
        <f>SUMIFS('Business - Dump'!$K:$K,'Business - Dump'!$D:$D,'SKU Repoprt'!$D279,'Business - Dump'!$A:$A,'SKU Repoprt'!R$1)</f>
        <v>2175</v>
      </c>
      <c r="S279" s="3">
        <f>SUMIFS('Business - Dump'!$K:$K,'Business - Dump'!$D:$D,'SKU Repoprt'!$D279,'Business - Dump'!$A:$A,'SKU Repoprt'!S$1)</f>
        <v>911</v>
      </c>
      <c r="T279" s="3">
        <f>SUMIFS('Business - Dump'!$K:$K,'Business - Dump'!$D:$D,'SKU Repoprt'!$D279,'Business - Dump'!$A:$A,'SKU Repoprt'!T$1)</f>
        <v>971</v>
      </c>
      <c r="U279" s="3">
        <f>SUMIFS('Business - Dump'!$K:$K,'Business - Dump'!$D:$D,'SKU Repoprt'!$D279,'Business - Dump'!$A:$A,'SKU Repoprt'!U$1)</f>
        <v>1017</v>
      </c>
      <c r="V279" s="3">
        <f>SUMIFS('Business - Dump'!$K:$K,'Business - Dump'!$D:$D,'SKU Repoprt'!$D279,'Business - Dump'!$A:$A,'SKU Repoprt'!V$1)</f>
        <v>794</v>
      </c>
      <c r="W279" s="3">
        <f>SUMIFS('Business - Dump'!$K:$K,'Business - Dump'!$D:$D,'SKU Repoprt'!$D279,'Business - Dump'!$A:$A,'SKU Repoprt'!W$1)</f>
        <v>1066</v>
      </c>
    </row>
    <row r="280" ht="15.75" customHeight="1">
      <c r="A280" s="10" t="s">
        <v>140</v>
      </c>
      <c r="B280" s="10" t="s">
        <v>140</v>
      </c>
      <c r="C280" s="10"/>
      <c r="D280" s="10" t="s">
        <v>313</v>
      </c>
      <c r="E280" s="10" t="s">
        <v>264</v>
      </c>
      <c r="F280" s="3">
        <f t="shared" si="93"/>
        <v>72</v>
      </c>
      <c r="G280" s="3">
        <f>SUMIFS('Business - Dump'!$Q:$Q,'Business - Dump'!$D:$D,'SKU Repoprt'!$D280,'Business - Dump'!$A:$A,'SKU Repoprt'!G$1)</f>
        <v>3</v>
      </c>
      <c r="H280" s="3">
        <f>SUMIFS('Business - Dump'!$Q:$Q,'Business - Dump'!$D:$D,'SKU Repoprt'!$D280,'Business - Dump'!$A:$A,'SKU Repoprt'!H$1)</f>
        <v>2</v>
      </c>
      <c r="I280" s="3">
        <f>SUMIFS('Business - Dump'!$Q:$Q,'Business - Dump'!$D:$D,'SKU Repoprt'!$D280,'Business - Dump'!$A:$A,'SKU Repoprt'!I$1)</f>
        <v>0</v>
      </c>
      <c r="J280" s="3">
        <f>SUMIFS('Business - Dump'!$Q:$Q,'Business - Dump'!$D:$D,'SKU Repoprt'!$D280,'Business - Dump'!$A:$A,'SKU Repoprt'!J$1)</f>
        <v>3</v>
      </c>
      <c r="K280" s="3">
        <f>SUMIFS('Business - Dump'!$Q:$Q,'Business - Dump'!$D:$D,'SKU Repoprt'!$D280,'Business - Dump'!$A:$A,'SKU Repoprt'!K$1)</f>
        <v>7</v>
      </c>
      <c r="L280" s="3">
        <f>SUMIFS('Business - Dump'!$Q:$Q,'Business - Dump'!$D:$D,'SKU Repoprt'!$D280,'Business - Dump'!$A:$A,'SKU Repoprt'!L$1)</f>
        <v>3</v>
      </c>
      <c r="M280" s="3">
        <f>SUMIFS('Business - Dump'!$Q:$Q,'Business - Dump'!$D:$D,'SKU Repoprt'!$D280,'Business - Dump'!$A:$A,'SKU Repoprt'!M$1)</f>
        <v>6</v>
      </c>
      <c r="N280" s="3">
        <f>SUMIFS('Business - Dump'!$Q:$Q,'Business - Dump'!$D:$D,'SKU Repoprt'!$D280,'Business - Dump'!$A:$A,'SKU Repoprt'!N$1)</f>
        <v>8</v>
      </c>
      <c r="O280" s="3">
        <f>SUMIFS('Business - Dump'!$Q:$Q,'Business - Dump'!$D:$D,'SKU Repoprt'!$D280,'Business - Dump'!$A:$A,'SKU Repoprt'!O$1)</f>
        <v>14</v>
      </c>
      <c r="P280" s="3">
        <f>SUMIFS('Business - Dump'!$Q:$Q,'Business - Dump'!$D:$D,'SKU Repoprt'!$D280,'Business - Dump'!$A:$A,'SKU Repoprt'!P$1)</f>
        <v>4</v>
      </c>
      <c r="Q280" s="3">
        <f>SUMIFS('Business - Dump'!$Q:$Q,'Business - Dump'!$D:$D,'SKU Repoprt'!$D280,'Business - Dump'!$A:$A,'SKU Repoprt'!Q$1)</f>
        <v>5</v>
      </c>
      <c r="R280" s="3">
        <f>SUMIFS('Business - Dump'!$Q:$Q,'Business - Dump'!$D:$D,'SKU Repoprt'!$D280,'Business - Dump'!$A:$A,'SKU Repoprt'!R$1)</f>
        <v>11</v>
      </c>
      <c r="S280" s="3">
        <f>SUMIFS('Business - Dump'!$Q:$Q,'Business - Dump'!$D:$D,'SKU Repoprt'!$D280,'Business - Dump'!$A:$A,'SKU Repoprt'!S$1)</f>
        <v>6</v>
      </c>
      <c r="T280" s="3">
        <f>SUMIFS('Business - Dump'!$Q:$Q,'Business - Dump'!$D:$D,'SKU Repoprt'!$D280,'Business - Dump'!$A:$A,'SKU Repoprt'!T$1)</f>
        <v>2</v>
      </c>
      <c r="U280" s="3">
        <f>SUMIFS('Business - Dump'!$Q:$Q,'Business - Dump'!$D:$D,'SKU Repoprt'!$D280,'Business - Dump'!$A:$A,'SKU Repoprt'!U$1)</f>
        <v>1</v>
      </c>
      <c r="V280" s="3">
        <f>SUMIFS('Business - Dump'!$Q:$Q,'Business - Dump'!$D:$D,'SKU Repoprt'!$D280,'Business - Dump'!$A:$A,'SKU Repoprt'!V$1)</f>
        <v>3</v>
      </c>
      <c r="W280" s="3">
        <f>SUMIFS('Business - Dump'!$Q:$Q,'Business - Dump'!$D:$D,'SKU Repoprt'!$D280,'Business - Dump'!$A:$A,'SKU Repoprt'!W$1)</f>
        <v>4</v>
      </c>
    </row>
    <row r="281" ht="15.75" customHeight="1">
      <c r="A281" s="10" t="s">
        <v>140</v>
      </c>
      <c r="B281" s="10" t="s">
        <v>140</v>
      </c>
      <c r="C281" s="10"/>
      <c r="D281" s="10" t="s">
        <v>313</v>
      </c>
      <c r="E281" s="10" t="s">
        <v>268</v>
      </c>
      <c r="F281" s="3">
        <f t="shared" si="93"/>
        <v>72</v>
      </c>
      <c r="G281" s="3">
        <f>SUMIFS('Business - Dump'!$W:$W,'Business - Dump'!$D:$D,'SKU Repoprt'!$D281,'Business - Dump'!$A:$A,'SKU Repoprt'!G$1)</f>
        <v>3</v>
      </c>
      <c r="H281" s="3">
        <f>SUMIFS('Business - Dump'!$W:$W,'Business - Dump'!$D:$D,'SKU Repoprt'!$D281,'Business - Dump'!$A:$A,'SKU Repoprt'!H$1)</f>
        <v>2</v>
      </c>
      <c r="I281" s="3">
        <f>SUMIFS('Business - Dump'!$W:$W,'Business - Dump'!$D:$D,'SKU Repoprt'!$D281,'Business - Dump'!$A:$A,'SKU Repoprt'!I$1)</f>
        <v>0</v>
      </c>
      <c r="J281" s="3">
        <f>SUMIFS('Business - Dump'!$W:$W,'Business - Dump'!$D:$D,'SKU Repoprt'!$D281,'Business - Dump'!$A:$A,'SKU Repoprt'!J$1)</f>
        <v>3</v>
      </c>
      <c r="K281" s="3">
        <f>SUMIFS('Business - Dump'!$W:$W,'Business - Dump'!$D:$D,'SKU Repoprt'!$D281,'Business - Dump'!$A:$A,'SKU Repoprt'!K$1)</f>
        <v>7</v>
      </c>
      <c r="L281" s="3">
        <f>SUMIFS('Business - Dump'!$W:$W,'Business - Dump'!$D:$D,'SKU Repoprt'!$D281,'Business - Dump'!$A:$A,'SKU Repoprt'!L$1)</f>
        <v>3</v>
      </c>
      <c r="M281" s="3">
        <f>SUMIFS('Business - Dump'!$W:$W,'Business - Dump'!$D:$D,'SKU Repoprt'!$D281,'Business - Dump'!$A:$A,'SKU Repoprt'!M$1)</f>
        <v>6</v>
      </c>
      <c r="N281" s="3">
        <f>SUMIFS('Business - Dump'!$W:$W,'Business - Dump'!$D:$D,'SKU Repoprt'!$D281,'Business - Dump'!$A:$A,'SKU Repoprt'!N$1)</f>
        <v>8</v>
      </c>
      <c r="O281" s="3">
        <f>SUMIFS('Business - Dump'!$W:$W,'Business - Dump'!$D:$D,'SKU Repoprt'!$D281,'Business - Dump'!$A:$A,'SKU Repoprt'!O$1)</f>
        <v>14</v>
      </c>
      <c r="P281" s="3">
        <f>SUMIFS('Business - Dump'!$W:$W,'Business - Dump'!$D:$D,'SKU Repoprt'!$D281,'Business - Dump'!$A:$A,'SKU Repoprt'!P$1)</f>
        <v>4</v>
      </c>
      <c r="Q281" s="3">
        <f>SUMIFS('Business - Dump'!$W:$W,'Business - Dump'!$D:$D,'SKU Repoprt'!$D281,'Business - Dump'!$A:$A,'SKU Repoprt'!Q$1)</f>
        <v>5</v>
      </c>
      <c r="R281" s="3">
        <f>SUMIFS('Business - Dump'!$W:$W,'Business - Dump'!$D:$D,'SKU Repoprt'!$D281,'Business - Dump'!$A:$A,'SKU Repoprt'!R$1)</f>
        <v>11</v>
      </c>
      <c r="S281" s="3">
        <f>SUMIFS('Business - Dump'!$W:$W,'Business - Dump'!$D:$D,'SKU Repoprt'!$D281,'Business - Dump'!$A:$A,'SKU Repoprt'!S$1)</f>
        <v>6</v>
      </c>
      <c r="T281" s="3">
        <f>SUMIFS('Business - Dump'!$W:$W,'Business - Dump'!$D:$D,'SKU Repoprt'!$D281,'Business - Dump'!$A:$A,'SKU Repoprt'!T$1)</f>
        <v>2</v>
      </c>
      <c r="U281" s="3">
        <f>SUMIFS('Business - Dump'!$W:$W,'Business - Dump'!$D:$D,'SKU Repoprt'!$D281,'Business - Dump'!$A:$A,'SKU Repoprt'!U$1)</f>
        <v>1</v>
      </c>
      <c r="V281" s="3">
        <f>SUMIFS('Business - Dump'!$W:$W,'Business - Dump'!$D:$D,'SKU Repoprt'!$D281,'Business - Dump'!$A:$A,'SKU Repoprt'!V$1)</f>
        <v>3</v>
      </c>
      <c r="W281" s="3">
        <f>SUMIFS('Business - Dump'!$W:$W,'Business - Dump'!$D:$D,'SKU Repoprt'!$D281,'Business - Dump'!$A:$A,'SKU Repoprt'!W$1)</f>
        <v>4</v>
      </c>
    </row>
    <row r="282" ht="15.75" customHeight="1">
      <c r="A282" s="10" t="s">
        <v>140</v>
      </c>
      <c r="B282" s="10" t="s">
        <v>140</v>
      </c>
      <c r="C282" s="10"/>
      <c r="D282" s="10" t="s">
        <v>313</v>
      </c>
      <c r="E282" s="10" t="s">
        <v>26</v>
      </c>
      <c r="F282" s="16">
        <f t="shared" si="93"/>
        <v>2206378.94</v>
      </c>
      <c r="G282" s="16">
        <f>SUMIFS('Business - Dump'!$U:$U,'Business - Dump'!$D:$D,'SKU Repoprt'!$D282,'Business - Dump'!$A:$A,'SKU Repoprt'!G$1)</f>
        <v>92700</v>
      </c>
      <c r="H282" s="16">
        <f>SUMIFS('Business - Dump'!$U:$U,'Business - Dump'!$D:$D,'SKU Repoprt'!$D282,'Business - Dump'!$A:$A,'SKU Repoprt'!H$1)</f>
        <v>59800</v>
      </c>
      <c r="I282" s="16">
        <f>SUMIFS('Business - Dump'!$U:$U,'Business - Dump'!$D:$D,'SKU Repoprt'!$D282,'Business - Dump'!$A:$A,'SKU Repoprt'!I$1)</f>
        <v>0</v>
      </c>
      <c r="J282" s="16">
        <f>SUMIFS('Business - Dump'!$U:$U,'Business - Dump'!$D:$D,'SKU Repoprt'!$D282,'Business - Dump'!$A:$A,'SKU Repoprt'!J$1)</f>
        <v>89700</v>
      </c>
      <c r="K282" s="16">
        <f>SUMIFS('Business - Dump'!$U:$U,'Business - Dump'!$D:$D,'SKU Repoprt'!$D282,'Business - Dump'!$A:$A,'SKU Repoprt'!K$1)</f>
        <v>214300</v>
      </c>
      <c r="L282" s="16">
        <f>SUMIFS('Business - Dump'!$U:$U,'Business - Dump'!$D:$D,'SKU Repoprt'!$D282,'Business - Dump'!$A:$A,'SKU Repoprt'!L$1)</f>
        <v>92700</v>
      </c>
      <c r="M282" s="16">
        <f>SUMIFS('Business - Dump'!$U:$U,'Business - Dump'!$D:$D,'SKU Repoprt'!$D282,'Business - Dump'!$A:$A,'SKU Repoprt'!M$1)</f>
        <v>180000</v>
      </c>
      <c r="N282" s="16">
        <f>SUMIFS('Business - Dump'!$U:$U,'Business - Dump'!$D:$D,'SKU Repoprt'!$D282,'Business - Dump'!$A:$A,'SKU Repoprt'!N$1)</f>
        <v>243600</v>
      </c>
      <c r="O282" s="16">
        <f>SUMIFS('Business - Dump'!$U:$U,'Business - Dump'!$D:$D,'SKU Repoprt'!$D282,'Business - Dump'!$A:$A,'SKU Repoprt'!O$1)</f>
        <v>424696.61</v>
      </c>
      <c r="P282" s="16">
        <f>SUMIFS('Business - Dump'!$U:$U,'Business - Dump'!$D:$D,'SKU Repoprt'!$D282,'Business - Dump'!$A:$A,'SKU Repoprt'!P$1)</f>
        <v>126016.61</v>
      </c>
      <c r="Q282" s="16">
        <f>SUMIFS('Business - Dump'!$U:$U,'Business - Dump'!$D:$D,'SKU Repoprt'!$D282,'Business - Dump'!$A:$A,'SKU Repoprt'!Q$1)</f>
        <v>160145.08</v>
      </c>
      <c r="R282" s="16">
        <f>SUMIFS('Business - Dump'!$U:$U,'Business - Dump'!$D:$D,'SKU Repoprt'!$D282,'Business - Dump'!$A:$A,'SKU Repoprt'!R$1)</f>
        <v>324335.24</v>
      </c>
      <c r="S282" s="16">
        <f>SUMIFS('Business - Dump'!$U:$U,'Business - Dump'!$D:$D,'SKU Repoprt'!$D282,'Business - Dump'!$A:$A,'SKU Repoprt'!S$1)</f>
        <v>198385.4</v>
      </c>
      <c r="T282" s="16">
        <f>SUMIFS('Business - Dump'!$U:$U,'Business - Dump'!$D:$D,'SKU Repoprt'!$D282,'Business - Dump'!$A:$A,'SKU Repoprt'!T$1)</f>
        <v>66110.16</v>
      </c>
      <c r="U282" s="16">
        <f>SUMIFS('Business - Dump'!$U:$U,'Business - Dump'!$D:$D,'SKU Repoprt'!$D282,'Business - Dump'!$A:$A,'SKU Repoprt'!U$1)</f>
        <v>31399.08</v>
      </c>
      <c r="V282" s="16">
        <f>SUMIFS('Business - Dump'!$U:$U,'Business - Dump'!$D:$D,'SKU Repoprt'!$D282,'Business - Dump'!$A:$A,'SKU Repoprt'!V$1)</f>
        <v>98085.24</v>
      </c>
      <c r="W282" s="16">
        <f>SUMIFS('Business - Dump'!$U:$U,'Business - Dump'!$D:$D,'SKU Repoprt'!$D282,'Business - Dump'!$A:$A,'SKU Repoprt'!W$1)</f>
        <v>129430.2</v>
      </c>
    </row>
    <row r="283" ht="15.75" customHeight="1">
      <c r="A283" s="10" t="s">
        <v>140</v>
      </c>
      <c r="B283" s="10" t="s">
        <v>140</v>
      </c>
      <c r="C283" s="10"/>
      <c r="D283" s="10" t="s">
        <v>313</v>
      </c>
      <c r="E283" s="10" t="s">
        <v>29</v>
      </c>
      <c r="F283" s="17">
        <v>0.027042857142857143</v>
      </c>
      <c r="G283" s="17">
        <f t="shared" ref="G283:W283" si="94">IFERROR(G281/G278,0)</f>
        <v>0.008522727273</v>
      </c>
      <c r="H283" s="17">
        <f t="shared" si="94"/>
        <v>0.003003003003</v>
      </c>
      <c r="I283" s="17">
        <f t="shared" si="94"/>
        <v>0</v>
      </c>
      <c r="J283" s="17">
        <f t="shared" si="94"/>
        <v>0.005928853755</v>
      </c>
      <c r="K283" s="17">
        <f t="shared" si="94"/>
        <v>0.01338432122</v>
      </c>
      <c r="L283" s="17">
        <f t="shared" si="94"/>
        <v>0.005639097744</v>
      </c>
      <c r="M283" s="17">
        <f t="shared" si="94"/>
        <v>0.01857585139</v>
      </c>
      <c r="N283" s="17">
        <f t="shared" si="94"/>
        <v>0.007804878049</v>
      </c>
      <c r="O283" s="17">
        <f t="shared" si="94"/>
        <v>0.007790762382</v>
      </c>
      <c r="P283" s="17">
        <f t="shared" si="94"/>
        <v>0.002861230329</v>
      </c>
      <c r="Q283" s="17">
        <f t="shared" si="94"/>
        <v>0.003649635036</v>
      </c>
      <c r="R283" s="17">
        <f t="shared" si="94"/>
        <v>0.006242905789</v>
      </c>
      <c r="S283" s="17">
        <f t="shared" si="94"/>
        <v>0.008608321377</v>
      </c>
      <c r="T283" s="17">
        <f t="shared" si="94"/>
        <v>0.002594033722</v>
      </c>
      <c r="U283" s="17">
        <f t="shared" si="94"/>
        <v>0.001285347044</v>
      </c>
      <c r="V283" s="17">
        <f t="shared" si="94"/>
        <v>0.004651162791</v>
      </c>
      <c r="W283" s="17">
        <f t="shared" si="94"/>
        <v>0.004683840749</v>
      </c>
    </row>
    <row r="284" ht="15.75" customHeight="1">
      <c r="A284" s="10" t="s">
        <v>140</v>
      </c>
      <c r="B284" s="10" t="s">
        <v>140</v>
      </c>
      <c r="C284" s="10"/>
      <c r="D284" s="10" t="s">
        <v>293</v>
      </c>
      <c r="E284" s="10" t="s">
        <v>257</v>
      </c>
      <c r="F284" s="3">
        <f t="shared" ref="F284:F288" si="95">SUM(G284:S284)</f>
        <v>19834</v>
      </c>
      <c r="G284" s="3">
        <f>SUMIFS('Business - Dump'!$G:$G,'Business - Dump'!$D:$D,'SKU Repoprt'!$D284,'Business - Dump'!$A:$A,'SKU Repoprt'!G$1)</f>
        <v>2422</v>
      </c>
      <c r="H284" s="3">
        <f>SUMIFS('Business - Dump'!$G:$G,'Business - Dump'!$D:$D,'SKU Repoprt'!$D284,'Business - Dump'!$A:$A,'SKU Repoprt'!H$1)</f>
        <v>2026</v>
      </c>
      <c r="I284" s="3">
        <f>SUMIFS('Business - Dump'!$G:$G,'Business - Dump'!$D:$D,'SKU Repoprt'!$D284,'Business - Dump'!$A:$A,'SKU Repoprt'!I$1)</f>
        <v>1620</v>
      </c>
      <c r="J284" s="3">
        <f>SUMIFS('Business - Dump'!$G:$G,'Business - Dump'!$D:$D,'SKU Repoprt'!$D284,'Business - Dump'!$A:$A,'SKU Repoprt'!J$1)</f>
        <v>1305</v>
      </c>
      <c r="K284" s="3">
        <f>SUMIFS('Business - Dump'!$G:$G,'Business - Dump'!$D:$D,'SKU Repoprt'!$D284,'Business - Dump'!$A:$A,'SKU Repoprt'!K$1)</f>
        <v>1137</v>
      </c>
      <c r="L284" s="3">
        <f>SUMIFS('Business - Dump'!$G:$G,'Business - Dump'!$D:$D,'SKU Repoprt'!$D284,'Business - Dump'!$A:$A,'SKU Repoprt'!L$1)</f>
        <v>1270</v>
      </c>
      <c r="M284" s="3">
        <f>SUMIFS('Business - Dump'!$G:$G,'Business - Dump'!$D:$D,'SKU Repoprt'!$D284,'Business - Dump'!$A:$A,'SKU Repoprt'!M$1)</f>
        <v>752</v>
      </c>
      <c r="N284" s="3">
        <f>SUMIFS('Business - Dump'!$G:$G,'Business - Dump'!$D:$D,'SKU Repoprt'!$D284,'Business - Dump'!$A:$A,'SKU Repoprt'!N$1)</f>
        <v>1392</v>
      </c>
      <c r="O284" s="3">
        <f>SUMIFS('Business - Dump'!$G:$G,'Business - Dump'!$D:$D,'SKU Repoprt'!$D284,'Business - Dump'!$A:$A,'SKU Repoprt'!O$1)</f>
        <v>2272</v>
      </c>
      <c r="P284" s="3">
        <f>SUMIFS('Business - Dump'!$G:$G,'Business - Dump'!$D:$D,'SKU Repoprt'!$D284,'Business - Dump'!$A:$A,'SKU Repoprt'!P$1)</f>
        <v>1834</v>
      </c>
      <c r="Q284" s="3">
        <f>SUMIFS('Business - Dump'!$G:$G,'Business - Dump'!$D:$D,'SKU Repoprt'!$D284,'Business - Dump'!$A:$A,'SKU Repoprt'!Q$1)</f>
        <v>2013</v>
      </c>
      <c r="R284" s="3">
        <f>SUMIFS('Business - Dump'!$G:$G,'Business - Dump'!$D:$D,'SKU Repoprt'!$D284,'Business - Dump'!$A:$A,'SKU Repoprt'!R$1)</f>
        <v>1211</v>
      </c>
      <c r="S284" s="3">
        <f>SUMIFS('Business - Dump'!$G:$G,'Business - Dump'!$D:$D,'SKU Repoprt'!$D284,'Business - Dump'!$A:$A,'SKU Repoprt'!S$1)</f>
        <v>580</v>
      </c>
      <c r="T284" s="3">
        <f>SUMIFS('Business - Dump'!$G:$G,'Business - Dump'!$D:$D,'SKU Repoprt'!$D284,'Business - Dump'!$A:$A,'SKU Repoprt'!T$1)</f>
        <v>678</v>
      </c>
      <c r="U284" s="3">
        <f>SUMIFS('Business - Dump'!$G:$G,'Business - Dump'!$D:$D,'SKU Repoprt'!$D284,'Business - Dump'!$A:$A,'SKU Repoprt'!U$1)</f>
        <v>814</v>
      </c>
      <c r="V284" s="3">
        <f>SUMIFS('Business - Dump'!$G:$G,'Business - Dump'!$D:$D,'SKU Repoprt'!$D284,'Business - Dump'!$A:$A,'SKU Repoprt'!V$1)</f>
        <v>634</v>
      </c>
      <c r="W284" s="3">
        <f>SUMIFS('Business - Dump'!$G:$G,'Business - Dump'!$D:$D,'SKU Repoprt'!$D284,'Business - Dump'!$A:$A,'SKU Repoprt'!W$1)</f>
        <v>911</v>
      </c>
    </row>
    <row r="285" ht="15.75" customHeight="1">
      <c r="A285" s="10" t="s">
        <v>140</v>
      </c>
      <c r="B285" s="10" t="s">
        <v>140</v>
      </c>
      <c r="C285" s="10"/>
      <c r="D285" s="10" t="s">
        <v>293</v>
      </c>
      <c r="E285" s="10" t="s">
        <v>260</v>
      </c>
      <c r="F285" s="3">
        <f t="shared" si="95"/>
        <v>26689</v>
      </c>
      <c r="G285" s="3">
        <f>SUMIFS('Business - Dump'!$K:$K,'Business - Dump'!$D:$D,'SKU Repoprt'!$D285,'Business - Dump'!$A:$A,'SKU Repoprt'!G$1)</f>
        <v>3227</v>
      </c>
      <c r="H285" s="3">
        <f>SUMIFS('Business - Dump'!$K:$K,'Business - Dump'!$D:$D,'SKU Repoprt'!$D285,'Business - Dump'!$A:$A,'SKU Repoprt'!H$1)</f>
        <v>2907</v>
      </c>
      <c r="I285" s="3">
        <f>SUMIFS('Business - Dump'!$K:$K,'Business - Dump'!$D:$D,'SKU Repoprt'!$D285,'Business - Dump'!$A:$A,'SKU Repoprt'!I$1)</f>
        <v>2148</v>
      </c>
      <c r="J285" s="3">
        <f>SUMIFS('Business - Dump'!$K:$K,'Business - Dump'!$D:$D,'SKU Repoprt'!$D285,'Business - Dump'!$A:$A,'SKU Repoprt'!J$1)</f>
        <v>1646</v>
      </c>
      <c r="K285" s="3">
        <f>SUMIFS('Business - Dump'!$K:$K,'Business - Dump'!$D:$D,'SKU Repoprt'!$D285,'Business - Dump'!$A:$A,'SKU Repoprt'!K$1)</f>
        <v>1551</v>
      </c>
      <c r="L285" s="3">
        <f>SUMIFS('Business - Dump'!$K:$K,'Business - Dump'!$D:$D,'SKU Repoprt'!$D285,'Business - Dump'!$A:$A,'SKU Repoprt'!L$1)</f>
        <v>1691</v>
      </c>
      <c r="M285" s="3">
        <f>SUMIFS('Business - Dump'!$K:$K,'Business - Dump'!$D:$D,'SKU Repoprt'!$D285,'Business - Dump'!$A:$A,'SKU Repoprt'!M$1)</f>
        <v>1240</v>
      </c>
      <c r="N285" s="3">
        <f>SUMIFS('Business - Dump'!$K:$K,'Business - Dump'!$D:$D,'SKU Repoprt'!$D285,'Business - Dump'!$A:$A,'SKU Repoprt'!N$1)</f>
        <v>1828</v>
      </c>
      <c r="O285" s="3">
        <f>SUMIFS('Business - Dump'!$K:$K,'Business - Dump'!$D:$D,'SKU Repoprt'!$D285,'Business - Dump'!$A:$A,'SKU Repoprt'!O$1)</f>
        <v>3004</v>
      </c>
      <c r="P285" s="3">
        <f>SUMIFS('Business - Dump'!$K:$K,'Business - Dump'!$D:$D,'SKU Repoprt'!$D285,'Business - Dump'!$A:$A,'SKU Repoprt'!P$1)</f>
        <v>2460</v>
      </c>
      <c r="Q285" s="3">
        <f>SUMIFS('Business - Dump'!$K:$K,'Business - Dump'!$D:$D,'SKU Repoprt'!$D285,'Business - Dump'!$A:$A,'SKU Repoprt'!Q$1)</f>
        <v>2476</v>
      </c>
      <c r="R285" s="3">
        <f>SUMIFS('Business - Dump'!$K:$K,'Business - Dump'!$D:$D,'SKU Repoprt'!$D285,'Business - Dump'!$A:$A,'SKU Repoprt'!R$1)</f>
        <v>1701</v>
      </c>
      <c r="S285" s="3">
        <f>SUMIFS('Business - Dump'!$K:$K,'Business - Dump'!$D:$D,'SKU Repoprt'!$D285,'Business - Dump'!$A:$A,'SKU Repoprt'!S$1)</f>
        <v>810</v>
      </c>
      <c r="T285" s="3">
        <f>SUMIFS('Business - Dump'!$K:$K,'Business - Dump'!$D:$D,'SKU Repoprt'!$D285,'Business - Dump'!$A:$A,'SKU Repoprt'!T$1)</f>
        <v>899</v>
      </c>
      <c r="U285" s="3">
        <f>SUMIFS('Business - Dump'!$K:$K,'Business - Dump'!$D:$D,'SKU Repoprt'!$D285,'Business - Dump'!$A:$A,'SKU Repoprt'!U$1)</f>
        <v>1230</v>
      </c>
      <c r="V285" s="3">
        <f>SUMIFS('Business - Dump'!$K:$K,'Business - Dump'!$D:$D,'SKU Repoprt'!$D285,'Business - Dump'!$A:$A,'SKU Repoprt'!V$1)</f>
        <v>836</v>
      </c>
      <c r="W285" s="3">
        <f>SUMIFS('Business - Dump'!$K:$K,'Business - Dump'!$D:$D,'SKU Repoprt'!$D285,'Business - Dump'!$A:$A,'SKU Repoprt'!W$1)</f>
        <v>1196</v>
      </c>
    </row>
    <row r="286" ht="15.75" customHeight="1">
      <c r="A286" s="10" t="s">
        <v>140</v>
      </c>
      <c r="B286" s="10" t="s">
        <v>140</v>
      </c>
      <c r="C286" s="10"/>
      <c r="D286" s="10" t="s">
        <v>293</v>
      </c>
      <c r="E286" s="10" t="s">
        <v>264</v>
      </c>
      <c r="F286" s="3">
        <f t="shared" si="95"/>
        <v>98</v>
      </c>
      <c r="G286" s="3">
        <f>SUMIFS('Business - Dump'!$Q:$Q,'Business - Dump'!$D:$D,'SKU Repoprt'!$D286,'Business - Dump'!$A:$A,'SKU Repoprt'!G$1)</f>
        <v>10</v>
      </c>
      <c r="H286" s="3">
        <f>SUMIFS('Business - Dump'!$Q:$Q,'Business - Dump'!$D:$D,'SKU Repoprt'!$D286,'Business - Dump'!$A:$A,'SKU Repoprt'!H$1)</f>
        <v>14</v>
      </c>
      <c r="I286" s="3">
        <f>SUMIFS('Business - Dump'!$Q:$Q,'Business - Dump'!$D:$D,'SKU Repoprt'!$D286,'Business - Dump'!$A:$A,'SKU Repoprt'!I$1)</f>
        <v>6</v>
      </c>
      <c r="J286" s="3">
        <f>SUMIFS('Business - Dump'!$Q:$Q,'Business - Dump'!$D:$D,'SKU Repoprt'!$D286,'Business - Dump'!$A:$A,'SKU Repoprt'!J$1)</f>
        <v>3</v>
      </c>
      <c r="K286" s="3">
        <f>SUMIFS('Business - Dump'!$Q:$Q,'Business - Dump'!$D:$D,'SKU Repoprt'!$D286,'Business - Dump'!$A:$A,'SKU Repoprt'!K$1)</f>
        <v>4</v>
      </c>
      <c r="L286" s="3">
        <f>SUMIFS('Business - Dump'!$Q:$Q,'Business - Dump'!$D:$D,'SKU Repoprt'!$D286,'Business - Dump'!$A:$A,'SKU Repoprt'!L$1)</f>
        <v>5</v>
      </c>
      <c r="M286" s="3">
        <f>SUMIFS('Business - Dump'!$Q:$Q,'Business - Dump'!$D:$D,'SKU Repoprt'!$D286,'Business - Dump'!$A:$A,'SKU Repoprt'!M$1)</f>
        <v>4</v>
      </c>
      <c r="N286" s="3">
        <f>SUMIFS('Business - Dump'!$Q:$Q,'Business - Dump'!$D:$D,'SKU Repoprt'!$D286,'Business - Dump'!$A:$A,'SKU Repoprt'!N$1)</f>
        <v>13</v>
      </c>
      <c r="O286" s="3">
        <f>SUMIFS('Business - Dump'!$Q:$Q,'Business - Dump'!$D:$D,'SKU Repoprt'!$D286,'Business - Dump'!$A:$A,'SKU Repoprt'!O$1)</f>
        <v>11</v>
      </c>
      <c r="P286" s="3">
        <f>SUMIFS('Business - Dump'!$Q:$Q,'Business - Dump'!$D:$D,'SKU Repoprt'!$D286,'Business - Dump'!$A:$A,'SKU Repoprt'!P$1)</f>
        <v>5</v>
      </c>
      <c r="Q286" s="3">
        <f>SUMIFS('Business - Dump'!$Q:$Q,'Business - Dump'!$D:$D,'SKU Repoprt'!$D286,'Business - Dump'!$A:$A,'SKU Repoprt'!Q$1)</f>
        <v>6</v>
      </c>
      <c r="R286" s="3">
        <f>SUMIFS('Business - Dump'!$Q:$Q,'Business - Dump'!$D:$D,'SKU Repoprt'!$D286,'Business - Dump'!$A:$A,'SKU Repoprt'!R$1)</f>
        <v>16</v>
      </c>
      <c r="S286" s="3">
        <f>SUMIFS('Business - Dump'!$Q:$Q,'Business - Dump'!$D:$D,'SKU Repoprt'!$D286,'Business - Dump'!$A:$A,'SKU Repoprt'!S$1)</f>
        <v>1</v>
      </c>
      <c r="T286" s="3">
        <f>SUMIFS('Business - Dump'!$Q:$Q,'Business - Dump'!$D:$D,'SKU Repoprt'!$D286,'Business - Dump'!$A:$A,'SKU Repoprt'!T$1)</f>
        <v>1</v>
      </c>
      <c r="U286" s="3">
        <f>SUMIFS('Business - Dump'!$Q:$Q,'Business - Dump'!$D:$D,'SKU Repoprt'!$D286,'Business - Dump'!$A:$A,'SKU Repoprt'!U$1)</f>
        <v>7</v>
      </c>
      <c r="V286" s="3">
        <f>SUMIFS('Business - Dump'!$Q:$Q,'Business - Dump'!$D:$D,'SKU Repoprt'!$D286,'Business - Dump'!$A:$A,'SKU Repoprt'!V$1)</f>
        <v>2</v>
      </c>
      <c r="W286" s="3">
        <f>SUMIFS('Business - Dump'!$Q:$Q,'Business - Dump'!$D:$D,'SKU Repoprt'!$D286,'Business - Dump'!$A:$A,'SKU Repoprt'!W$1)</f>
        <v>6</v>
      </c>
    </row>
    <row r="287" ht="15.75" customHeight="1">
      <c r="A287" s="10" t="s">
        <v>140</v>
      </c>
      <c r="B287" s="10" t="s">
        <v>140</v>
      </c>
      <c r="C287" s="10"/>
      <c r="D287" s="10" t="s">
        <v>293</v>
      </c>
      <c r="E287" s="10" t="s">
        <v>268</v>
      </c>
      <c r="F287" s="3">
        <f t="shared" si="95"/>
        <v>97</v>
      </c>
      <c r="G287" s="3">
        <f>SUMIFS('Business - Dump'!$W:$W,'Business - Dump'!$D:$D,'SKU Repoprt'!$D287,'Business - Dump'!$A:$A,'SKU Repoprt'!G$1)</f>
        <v>10</v>
      </c>
      <c r="H287" s="3">
        <f>SUMIFS('Business - Dump'!$W:$W,'Business - Dump'!$D:$D,'SKU Repoprt'!$D287,'Business - Dump'!$A:$A,'SKU Repoprt'!H$1)</f>
        <v>13</v>
      </c>
      <c r="I287" s="3">
        <f>SUMIFS('Business - Dump'!$W:$W,'Business - Dump'!$D:$D,'SKU Repoprt'!$D287,'Business - Dump'!$A:$A,'SKU Repoprt'!I$1)</f>
        <v>6</v>
      </c>
      <c r="J287" s="3">
        <f>SUMIFS('Business - Dump'!$W:$W,'Business - Dump'!$D:$D,'SKU Repoprt'!$D287,'Business - Dump'!$A:$A,'SKU Repoprt'!J$1)</f>
        <v>3</v>
      </c>
      <c r="K287" s="3">
        <f>SUMIFS('Business - Dump'!$W:$W,'Business - Dump'!$D:$D,'SKU Repoprt'!$D287,'Business - Dump'!$A:$A,'SKU Repoprt'!K$1)</f>
        <v>4</v>
      </c>
      <c r="L287" s="3">
        <f>SUMIFS('Business - Dump'!$W:$W,'Business - Dump'!$D:$D,'SKU Repoprt'!$D287,'Business - Dump'!$A:$A,'SKU Repoprt'!L$1)</f>
        <v>5</v>
      </c>
      <c r="M287" s="3">
        <f>SUMIFS('Business - Dump'!$W:$W,'Business - Dump'!$D:$D,'SKU Repoprt'!$D287,'Business - Dump'!$A:$A,'SKU Repoprt'!M$1)</f>
        <v>4</v>
      </c>
      <c r="N287" s="3">
        <f>SUMIFS('Business - Dump'!$W:$W,'Business - Dump'!$D:$D,'SKU Repoprt'!$D287,'Business - Dump'!$A:$A,'SKU Repoprt'!N$1)</f>
        <v>13</v>
      </c>
      <c r="O287" s="3">
        <f>SUMIFS('Business - Dump'!$W:$W,'Business - Dump'!$D:$D,'SKU Repoprt'!$D287,'Business - Dump'!$A:$A,'SKU Repoprt'!O$1)</f>
        <v>11</v>
      </c>
      <c r="P287" s="3">
        <f>SUMIFS('Business - Dump'!$W:$W,'Business - Dump'!$D:$D,'SKU Repoprt'!$D287,'Business - Dump'!$A:$A,'SKU Repoprt'!P$1)</f>
        <v>5</v>
      </c>
      <c r="Q287" s="3">
        <f>SUMIFS('Business - Dump'!$W:$W,'Business - Dump'!$D:$D,'SKU Repoprt'!$D287,'Business - Dump'!$A:$A,'SKU Repoprt'!Q$1)</f>
        <v>6</v>
      </c>
      <c r="R287" s="3">
        <f>SUMIFS('Business - Dump'!$W:$W,'Business - Dump'!$D:$D,'SKU Repoprt'!$D287,'Business - Dump'!$A:$A,'SKU Repoprt'!R$1)</f>
        <v>16</v>
      </c>
      <c r="S287" s="3">
        <f>SUMIFS('Business - Dump'!$W:$W,'Business - Dump'!$D:$D,'SKU Repoprt'!$D287,'Business - Dump'!$A:$A,'SKU Repoprt'!S$1)</f>
        <v>1</v>
      </c>
      <c r="T287" s="3">
        <f>SUMIFS('Business - Dump'!$W:$W,'Business - Dump'!$D:$D,'SKU Repoprt'!$D287,'Business - Dump'!$A:$A,'SKU Repoprt'!T$1)</f>
        <v>1</v>
      </c>
      <c r="U287" s="3">
        <f>SUMIFS('Business - Dump'!$W:$W,'Business - Dump'!$D:$D,'SKU Repoprt'!$D287,'Business - Dump'!$A:$A,'SKU Repoprt'!U$1)</f>
        <v>7</v>
      </c>
      <c r="V287" s="3">
        <f>SUMIFS('Business - Dump'!$W:$W,'Business - Dump'!$D:$D,'SKU Repoprt'!$D287,'Business - Dump'!$A:$A,'SKU Repoprt'!V$1)</f>
        <v>2</v>
      </c>
      <c r="W287" s="3">
        <f>SUMIFS('Business - Dump'!$W:$W,'Business - Dump'!$D:$D,'SKU Repoprt'!$D287,'Business - Dump'!$A:$A,'SKU Repoprt'!W$1)</f>
        <v>6</v>
      </c>
    </row>
    <row r="288" ht="15.75" customHeight="1">
      <c r="A288" s="10" t="s">
        <v>140</v>
      </c>
      <c r="B288" s="10" t="s">
        <v>140</v>
      </c>
      <c r="C288" s="10"/>
      <c r="D288" s="10" t="s">
        <v>293</v>
      </c>
      <c r="E288" s="10" t="s">
        <v>26</v>
      </c>
      <c r="F288" s="16">
        <f t="shared" si="95"/>
        <v>2947099.25</v>
      </c>
      <c r="G288" s="16">
        <f>SUMIFS('Business - Dump'!$U:$U,'Business - Dump'!$D:$D,'SKU Repoprt'!$D288,'Business - Dump'!$A:$A,'SKU Repoprt'!G$1)</f>
        <v>299000</v>
      </c>
      <c r="H288" s="16">
        <f>SUMIFS('Business - Dump'!$U:$U,'Business - Dump'!$D:$D,'SKU Repoprt'!$D288,'Business - Dump'!$A:$A,'SKU Repoprt'!H$1)</f>
        <v>418600</v>
      </c>
      <c r="I288" s="16">
        <f>SUMIFS('Business - Dump'!$U:$U,'Business - Dump'!$D:$D,'SKU Repoprt'!$D288,'Business - Dump'!$A:$A,'SKU Repoprt'!I$1)</f>
        <v>172012</v>
      </c>
      <c r="J288" s="16">
        <f>SUMIFS('Business - Dump'!$U:$U,'Business - Dump'!$D:$D,'SKU Repoprt'!$D288,'Business - Dump'!$A:$A,'SKU Repoprt'!J$1)</f>
        <v>89700</v>
      </c>
      <c r="K288" s="16">
        <f>SUMIFS('Business - Dump'!$U:$U,'Business - Dump'!$D:$D,'SKU Repoprt'!$D288,'Business - Dump'!$A:$A,'SKU Repoprt'!K$1)</f>
        <v>123600</v>
      </c>
      <c r="L288" s="16">
        <f>SUMIFS('Business - Dump'!$U:$U,'Business - Dump'!$D:$D,'SKU Repoprt'!$D288,'Business - Dump'!$A:$A,'SKU Repoprt'!L$1)</f>
        <v>154500</v>
      </c>
      <c r="M288" s="16">
        <f>SUMIFS('Business - Dump'!$U:$U,'Business - Dump'!$D:$D,'SKU Repoprt'!$D288,'Business - Dump'!$A:$A,'SKU Repoprt'!M$1)</f>
        <v>118650</v>
      </c>
      <c r="N288" s="16">
        <f>SUMIFS('Business - Dump'!$U:$U,'Business - Dump'!$D:$D,'SKU Repoprt'!$D288,'Business - Dump'!$A:$A,'SKU Repoprt'!N$1)</f>
        <v>395850</v>
      </c>
      <c r="O288" s="16">
        <f>SUMIFS('Business - Dump'!$U:$U,'Business - Dump'!$D:$D,'SKU Repoprt'!$D288,'Business - Dump'!$A:$A,'SKU Repoprt'!O$1)</f>
        <v>330200</v>
      </c>
      <c r="P288" s="16">
        <f>SUMIFS('Business - Dump'!$U:$U,'Business - Dump'!$D:$D,'SKU Repoprt'!$D288,'Business - Dump'!$A:$A,'SKU Repoprt'!P$1)</f>
        <v>159116.61</v>
      </c>
      <c r="Q288" s="16">
        <f>SUMIFS('Business - Dump'!$U:$U,'Business - Dump'!$D:$D,'SKU Repoprt'!$D288,'Business - Dump'!$A:$A,'SKU Repoprt'!Q$1)</f>
        <v>182635.24</v>
      </c>
      <c r="R288" s="16">
        <f>SUMIFS('Business - Dump'!$U:$U,'Business - Dump'!$D:$D,'SKU Repoprt'!$D288,'Business - Dump'!$A:$A,'SKU Repoprt'!R$1)</f>
        <v>470180.32</v>
      </c>
      <c r="S288" s="16">
        <f>SUMIFS('Business - Dump'!$U:$U,'Business - Dump'!$D:$D,'SKU Repoprt'!$D288,'Business - Dump'!$A:$A,'SKU Repoprt'!S$1)</f>
        <v>33055.08</v>
      </c>
      <c r="T288" s="16">
        <f>SUMIFS('Business - Dump'!$U:$U,'Business - Dump'!$D:$D,'SKU Repoprt'!$D288,'Business - Dump'!$A:$A,'SKU Repoprt'!T$1)</f>
        <v>33110</v>
      </c>
      <c r="U288" s="16">
        <f>SUMIFS('Business - Dump'!$U:$U,'Business - Dump'!$D:$D,'SKU Repoprt'!$D288,'Business - Dump'!$A:$A,'SKU Repoprt'!U$1)</f>
        <v>228649.6</v>
      </c>
      <c r="V288" s="16">
        <f>SUMIFS('Business - Dump'!$U:$U,'Business - Dump'!$D:$D,'SKU Repoprt'!$D288,'Business - Dump'!$A:$A,'SKU Repoprt'!V$1)</f>
        <v>65445.08</v>
      </c>
      <c r="W288" s="16">
        <f>SUMIFS('Business - Dump'!$U:$U,'Business - Dump'!$D:$D,'SKU Repoprt'!$D288,'Business - Dump'!$A:$A,'SKU Repoprt'!W$1)</f>
        <v>193360.5</v>
      </c>
    </row>
    <row r="289" ht="15.75" customHeight="1">
      <c r="A289" s="10" t="s">
        <v>140</v>
      </c>
      <c r="B289" s="10" t="s">
        <v>140</v>
      </c>
      <c r="C289" s="10"/>
      <c r="D289" s="10" t="s">
        <v>293</v>
      </c>
      <c r="E289" s="10" t="s">
        <v>29</v>
      </c>
      <c r="F289" s="17">
        <v>0.027042857142857143</v>
      </c>
      <c r="G289" s="17">
        <f t="shared" ref="G289:W289" si="96">IFERROR(G287/G284,0)</f>
        <v>0.004128819158</v>
      </c>
      <c r="H289" s="17">
        <f t="shared" si="96"/>
        <v>0.006416584403</v>
      </c>
      <c r="I289" s="17">
        <f t="shared" si="96"/>
        <v>0.003703703704</v>
      </c>
      <c r="J289" s="17">
        <f t="shared" si="96"/>
        <v>0.002298850575</v>
      </c>
      <c r="K289" s="17">
        <f t="shared" si="96"/>
        <v>0.003518029903</v>
      </c>
      <c r="L289" s="17">
        <f t="shared" si="96"/>
        <v>0.003937007874</v>
      </c>
      <c r="M289" s="17">
        <f t="shared" si="96"/>
        <v>0.005319148936</v>
      </c>
      <c r="N289" s="17">
        <f t="shared" si="96"/>
        <v>0.00933908046</v>
      </c>
      <c r="O289" s="17">
        <f t="shared" si="96"/>
        <v>0.004841549296</v>
      </c>
      <c r="P289" s="17">
        <f t="shared" si="96"/>
        <v>0.002726281352</v>
      </c>
      <c r="Q289" s="17">
        <f t="shared" si="96"/>
        <v>0.002980625931</v>
      </c>
      <c r="R289" s="17">
        <f t="shared" si="96"/>
        <v>0.0132122213</v>
      </c>
      <c r="S289" s="17">
        <f t="shared" si="96"/>
        <v>0.001724137931</v>
      </c>
      <c r="T289" s="17">
        <f t="shared" si="96"/>
        <v>0.001474926254</v>
      </c>
      <c r="U289" s="17">
        <f t="shared" si="96"/>
        <v>0.0085995086</v>
      </c>
      <c r="V289" s="17">
        <f t="shared" si="96"/>
        <v>0.003154574132</v>
      </c>
      <c r="W289" s="17">
        <f t="shared" si="96"/>
        <v>0.006586169045</v>
      </c>
    </row>
    <row r="290" ht="15.75" customHeight="1">
      <c r="A290" s="10" t="s">
        <v>140</v>
      </c>
      <c r="B290" s="10" t="s">
        <v>140</v>
      </c>
      <c r="C290" s="10"/>
      <c r="D290" s="10" t="s">
        <v>309</v>
      </c>
      <c r="E290" s="10" t="s">
        <v>257</v>
      </c>
      <c r="F290" s="3">
        <f t="shared" ref="F290:F294" si="97">SUM(G290:S290)</f>
        <v>15829</v>
      </c>
      <c r="G290" s="3">
        <f>SUMIFS('Business - Dump'!$G:$G,'Business - Dump'!$D:$D,'SKU Repoprt'!$D290,'Business - Dump'!$A:$A,'SKU Repoprt'!G$1)</f>
        <v>503</v>
      </c>
      <c r="H290" s="3">
        <f>SUMIFS('Business - Dump'!$G:$G,'Business - Dump'!$D:$D,'SKU Repoprt'!$D290,'Business - Dump'!$A:$A,'SKU Repoprt'!H$1)</f>
        <v>1446</v>
      </c>
      <c r="I290" s="3">
        <f>SUMIFS('Business - Dump'!$G:$G,'Business - Dump'!$D:$D,'SKU Repoprt'!$D290,'Business - Dump'!$A:$A,'SKU Repoprt'!I$1)</f>
        <v>835</v>
      </c>
      <c r="J290" s="3">
        <f>SUMIFS('Business - Dump'!$G:$G,'Business - Dump'!$D:$D,'SKU Repoprt'!$D290,'Business - Dump'!$A:$A,'SKU Repoprt'!J$1)</f>
        <v>753</v>
      </c>
      <c r="K290" s="3">
        <f>SUMIFS('Business - Dump'!$G:$G,'Business - Dump'!$D:$D,'SKU Repoprt'!$D290,'Business - Dump'!$A:$A,'SKU Repoprt'!K$1)</f>
        <v>774</v>
      </c>
      <c r="L290" s="3">
        <f>SUMIFS('Business - Dump'!$G:$G,'Business - Dump'!$D:$D,'SKU Repoprt'!$D290,'Business - Dump'!$A:$A,'SKU Repoprt'!L$1)</f>
        <v>762</v>
      </c>
      <c r="M290" s="3">
        <f>SUMIFS('Business - Dump'!$G:$G,'Business - Dump'!$D:$D,'SKU Repoprt'!$D290,'Business - Dump'!$A:$A,'SKU Repoprt'!M$1)</f>
        <v>383</v>
      </c>
      <c r="N290" s="3">
        <f>SUMIFS('Business - Dump'!$G:$G,'Business - Dump'!$D:$D,'SKU Repoprt'!$D290,'Business - Dump'!$A:$A,'SKU Repoprt'!N$1)</f>
        <v>942</v>
      </c>
      <c r="O290" s="3">
        <f>SUMIFS('Business - Dump'!$G:$G,'Business - Dump'!$D:$D,'SKU Repoprt'!$D290,'Business - Dump'!$A:$A,'SKU Repoprt'!O$1)</f>
        <v>1499</v>
      </c>
      <c r="P290" s="3">
        <f>SUMIFS('Business - Dump'!$G:$G,'Business - Dump'!$D:$D,'SKU Repoprt'!$D290,'Business - Dump'!$A:$A,'SKU Repoprt'!P$1)</f>
        <v>2159</v>
      </c>
      <c r="Q290" s="3">
        <f>SUMIFS('Business - Dump'!$G:$G,'Business - Dump'!$D:$D,'SKU Repoprt'!$D290,'Business - Dump'!$A:$A,'SKU Repoprt'!Q$1)</f>
        <v>2267</v>
      </c>
      <c r="R290" s="3">
        <f>SUMIFS('Business - Dump'!$G:$G,'Business - Dump'!$D:$D,'SKU Repoprt'!$D290,'Business - Dump'!$A:$A,'SKU Repoprt'!R$1)</f>
        <v>1919</v>
      </c>
      <c r="S290" s="3">
        <f>SUMIFS('Business - Dump'!$G:$G,'Business - Dump'!$D:$D,'SKU Repoprt'!$D290,'Business - Dump'!$A:$A,'SKU Repoprt'!S$1)</f>
        <v>1587</v>
      </c>
      <c r="T290" s="3">
        <f>SUMIFS('Business - Dump'!$G:$G,'Business - Dump'!$D:$D,'SKU Repoprt'!$D290,'Business - Dump'!$A:$A,'SKU Repoprt'!T$1)</f>
        <v>810</v>
      </c>
      <c r="U290" s="3">
        <f>SUMIFS('Business - Dump'!$G:$G,'Business - Dump'!$D:$D,'SKU Repoprt'!$D290,'Business - Dump'!$A:$A,'SKU Repoprt'!U$1)</f>
        <v>1094</v>
      </c>
      <c r="V290" s="3">
        <f>SUMIFS('Business - Dump'!$G:$G,'Business - Dump'!$D:$D,'SKU Repoprt'!$D290,'Business - Dump'!$A:$A,'SKU Repoprt'!V$1)</f>
        <v>1125</v>
      </c>
      <c r="W290" s="3">
        <f>SUMIFS('Business - Dump'!$G:$G,'Business - Dump'!$D:$D,'SKU Repoprt'!$D290,'Business - Dump'!$A:$A,'SKU Repoprt'!W$1)</f>
        <v>888</v>
      </c>
    </row>
    <row r="291" ht="15.75" customHeight="1">
      <c r="A291" s="10" t="s">
        <v>140</v>
      </c>
      <c r="B291" s="10" t="s">
        <v>140</v>
      </c>
      <c r="C291" s="10"/>
      <c r="D291" s="10" t="s">
        <v>309</v>
      </c>
      <c r="E291" s="10" t="s">
        <v>260</v>
      </c>
      <c r="F291" s="3">
        <f t="shared" si="97"/>
        <v>21648</v>
      </c>
      <c r="G291" s="3">
        <f>SUMIFS('Business - Dump'!$K:$K,'Business - Dump'!$D:$D,'SKU Repoprt'!$D291,'Business - Dump'!$A:$A,'SKU Repoprt'!G$1)</f>
        <v>675</v>
      </c>
      <c r="H291" s="3">
        <f>SUMIFS('Business - Dump'!$K:$K,'Business - Dump'!$D:$D,'SKU Repoprt'!$D291,'Business - Dump'!$A:$A,'SKU Repoprt'!H$1)</f>
        <v>2012</v>
      </c>
      <c r="I291" s="3">
        <f>SUMIFS('Business - Dump'!$K:$K,'Business - Dump'!$D:$D,'SKU Repoprt'!$D291,'Business - Dump'!$A:$A,'SKU Repoprt'!I$1)</f>
        <v>1200</v>
      </c>
      <c r="J291" s="3">
        <f>SUMIFS('Business - Dump'!$K:$K,'Business - Dump'!$D:$D,'SKU Repoprt'!$D291,'Business - Dump'!$A:$A,'SKU Repoprt'!J$1)</f>
        <v>1084</v>
      </c>
      <c r="K291" s="3">
        <f>SUMIFS('Business - Dump'!$K:$K,'Business - Dump'!$D:$D,'SKU Repoprt'!$D291,'Business - Dump'!$A:$A,'SKU Repoprt'!K$1)</f>
        <v>1028</v>
      </c>
      <c r="L291" s="3">
        <f>SUMIFS('Business - Dump'!$K:$K,'Business - Dump'!$D:$D,'SKU Repoprt'!$D291,'Business - Dump'!$A:$A,'SKU Repoprt'!L$1)</f>
        <v>1048</v>
      </c>
      <c r="M291" s="3">
        <f>SUMIFS('Business - Dump'!$K:$K,'Business - Dump'!$D:$D,'SKU Repoprt'!$D291,'Business - Dump'!$A:$A,'SKU Repoprt'!M$1)</f>
        <v>619</v>
      </c>
      <c r="N291" s="3">
        <f>SUMIFS('Business - Dump'!$K:$K,'Business - Dump'!$D:$D,'SKU Repoprt'!$D291,'Business - Dump'!$A:$A,'SKU Repoprt'!N$1)</f>
        <v>1226</v>
      </c>
      <c r="O291" s="3">
        <f>SUMIFS('Business - Dump'!$K:$K,'Business - Dump'!$D:$D,'SKU Repoprt'!$D291,'Business - Dump'!$A:$A,'SKU Repoprt'!O$1)</f>
        <v>2141</v>
      </c>
      <c r="P291" s="3">
        <f>SUMIFS('Business - Dump'!$K:$K,'Business - Dump'!$D:$D,'SKU Repoprt'!$D291,'Business - Dump'!$A:$A,'SKU Repoprt'!P$1)</f>
        <v>2932</v>
      </c>
      <c r="Q291" s="3">
        <f>SUMIFS('Business - Dump'!$K:$K,'Business - Dump'!$D:$D,'SKU Repoprt'!$D291,'Business - Dump'!$A:$A,'SKU Repoprt'!Q$1)</f>
        <v>3088</v>
      </c>
      <c r="R291" s="3">
        <f>SUMIFS('Business - Dump'!$K:$K,'Business - Dump'!$D:$D,'SKU Repoprt'!$D291,'Business - Dump'!$A:$A,'SKU Repoprt'!R$1)</f>
        <v>2489</v>
      </c>
      <c r="S291" s="3">
        <f>SUMIFS('Business - Dump'!$K:$K,'Business - Dump'!$D:$D,'SKU Repoprt'!$D291,'Business - Dump'!$A:$A,'SKU Repoprt'!S$1)</f>
        <v>2106</v>
      </c>
      <c r="T291" s="3">
        <f>SUMIFS('Business - Dump'!$K:$K,'Business - Dump'!$D:$D,'SKU Repoprt'!$D291,'Business - Dump'!$A:$A,'SKU Repoprt'!T$1)</f>
        <v>1081</v>
      </c>
      <c r="U291" s="3">
        <f>SUMIFS('Business - Dump'!$K:$K,'Business - Dump'!$D:$D,'SKU Repoprt'!$D291,'Business - Dump'!$A:$A,'SKU Repoprt'!U$1)</f>
        <v>1554</v>
      </c>
      <c r="V291" s="3">
        <f>SUMIFS('Business - Dump'!$K:$K,'Business - Dump'!$D:$D,'SKU Repoprt'!$D291,'Business - Dump'!$A:$A,'SKU Repoprt'!V$1)</f>
        <v>1527</v>
      </c>
      <c r="W291" s="3">
        <f>SUMIFS('Business - Dump'!$K:$K,'Business - Dump'!$D:$D,'SKU Repoprt'!$D291,'Business - Dump'!$A:$A,'SKU Repoprt'!W$1)</f>
        <v>1239</v>
      </c>
    </row>
    <row r="292" ht="15.75" customHeight="1">
      <c r="A292" s="10" t="s">
        <v>140</v>
      </c>
      <c r="B292" s="10" t="s">
        <v>140</v>
      </c>
      <c r="C292" s="10"/>
      <c r="D292" s="10" t="s">
        <v>309</v>
      </c>
      <c r="E292" s="10" t="s">
        <v>264</v>
      </c>
      <c r="F292" s="3">
        <f t="shared" si="97"/>
        <v>123</v>
      </c>
      <c r="G292" s="3">
        <f>SUMIFS('Business - Dump'!$Q:$Q,'Business - Dump'!$D:$D,'SKU Repoprt'!$D292,'Business - Dump'!$A:$A,'SKU Repoprt'!G$1)</f>
        <v>4</v>
      </c>
      <c r="H292" s="3">
        <f>SUMIFS('Business - Dump'!$Q:$Q,'Business - Dump'!$D:$D,'SKU Repoprt'!$D292,'Business - Dump'!$A:$A,'SKU Repoprt'!H$1)</f>
        <v>4</v>
      </c>
      <c r="I292" s="3">
        <f>SUMIFS('Business - Dump'!$Q:$Q,'Business - Dump'!$D:$D,'SKU Repoprt'!$D292,'Business - Dump'!$A:$A,'SKU Repoprt'!I$1)</f>
        <v>7</v>
      </c>
      <c r="J292" s="3">
        <f>SUMIFS('Business - Dump'!$Q:$Q,'Business - Dump'!$D:$D,'SKU Repoprt'!$D292,'Business - Dump'!$A:$A,'SKU Repoprt'!J$1)</f>
        <v>16</v>
      </c>
      <c r="K292" s="3">
        <f>SUMIFS('Business - Dump'!$Q:$Q,'Business - Dump'!$D:$D,'SKU Repoprt'!$D292,'Business - Dump'!$A:$A,'SKU Repoprt'!K$1)</f>
        <v>9</v>
      </c>
      <c r="L292" s="3">
        <f>SUMIFS('Business - Dump'!$Q:$Q,'Business - Dump'!$D:$D,'SKU Repoprt'!$D292,'Business - Dump'!$A:$A,'SKU Repoprt'!L$1)</f>
        <v>4</v>
      </c>
      <c r="M292" s="3">
        <f>SUMIFS('Business - Dump'!$Q:$Q,'Business - Dump'!$D:$D,'SKU Repoprt'!$D292,'Business - Dump'!$A:$A,'SKU Repoprt'!M$1)</f>
        <v>5</v>
      </c>
      <c r="N292" s="3">
        <f>SUMIFS('Business - Dump'!$Q:$Q,'Business - Dump'!$D:$D,'SKU Repoprt'!$D292,'Business - Dump'!$A:$A,'SKU Repoprt'!N$1)</f>
        <v>3</v>
      </c>
      <c r="O292" s="3">
        <f>SUMIFS('Business - Dump'!$Q:$Q,'Business - Dump'!$D:$D,'SKU Repoprt'!$D292,'Business - Dump'!$A:$A,'SKU Repoprt'!O$1)</f>
        <v>14</v>
      </c>
      <c r="P292" s="3">
        <f>SUMIFS('Business - Dump'!$Q:$Q,'Business - Dump'!$D:$D,'SKU Repoprt'!$D292,'Business - Dump'!$A:$A,'SKU Repoprt'!P$1)</f>
        <v>10</v>
      </c>
      <c r="Q292" s="3">
        <f>SUMIFS('Business - Dump'!$Q:$Q,'Business - Dump'!$D:$D,'SKU Repoprt'!$D292,'Business - Dump'!$A:$A,'SKU Repoprt'!Q$1)</f>
        <v>21</v>
      </c>
      <c r="R292" s="3">
        <f>SUMIFS('Business - Dump'!$Q:$Q,'Business - Dump'!$D:$D,'SKU Repoprt'!$D292,'Business - Dump'!$A:$A,'SKU Repoprt'!R$1)</f>
        <v>20</v>
      </c>
      <c r="S292" s="3">
        <f>SUMIFS('Business - Dump'!$Q:$Q,'Business - Dump'!$D:$D,'SKU Repoprt'!$D292,'Business - Dump'!$A:$A,'SKU Repoprt'!S$1)</f>
        <v>6</v>
      </c>
      <c r="T292" s="3">
        <f>SUMIFS('Business - Dump'!$Q:$Q,'Business - Dump'!$D:$D,'SKU Repoprt'!$D292,'Business - Dump'!$A:$A,'SKU Repoprt'!T$1)</f>
        <v>1</v>
      </c>
      <c r="U292" s="3">
        <f>SUMIFS('Business - Dump'!$Q:$Q,'Business - Dump'!$D:$D,'SKU Repoprt'!$D292,'Business - Dump'!$A:$A,'SKU Repoprt'!U$1)</f>
        <v>3</v>
      </c>
      <c r="V292" s="3">
        <f>SUMIFS('Business - Dump'!$Q:$Q,'Business - Dump'!$D:$D,'SKU Repoprt'!$D292,'Business - Dump'!$A:$A,'SKU Repoprt'!V$1)</f>
        <v>7</v>
      </c>
      <c r="W292" s="3">
        <f>SUMIFS('Business - Dump'!$Q:$Q,'Business - Dump'!$D:$D,'SKU Repoprt'!$D292,'Business - Dump'!$A:$A,'SKU Repoprt'!W$1)</f>
        <v>6</v>
      </c>
    </row>
    <row r="293" ht="15.75" customHeight="1">
      <c r="A293" s="10" t="s">
        <v>140</v>
      </c>
      <c r="B293" s="10" t="s">
        <v>140</v>
      </c>
      <c r="C293" s="10"/>
      <c r="D293" s="10" t="s">
        <v>309</v>
      </c>
      <c r="E293" s="10" t="s">
        <v>268</v>
      </c>
      <c r="F293" s="3">
        <f t="shared" si="97"/>
        <v>122</v>
      </c>
      <c r="G293" s="3">
        <f>SUMIFS('Business - Dump'!$W:$W,'Business - Dump'!$D:$D,'SKU Repoprt'!$D293,'Business - Dump'!$A:$A,'SKU Repoprt'!G$1)</f>
        <v>4</v>
      </c>
      <c r="H293" s="3">
        <f>SUMIFS('Business - Dump'!$W:$W,'Business - Dump'!$D:$D,'SKU Repoprt'!$D293,'Business - Dump'!$A:$A,'SKU Repoprt'!H$1)</f>
        <v>4</v>
      </c>
      <c r="I293" s="3">
        <f>SUMIFS('Business - Dump'!$W:$W,'Business - Dump'!$D:$D,'SKU Repoprt'!$D293,'Business - Dump'!$A:$A,'SKU Repoprt'!I$1)</f>
        <v>7</v>
      </c>
      <c r="J293" s="3">
        <f>SUMIFS('Business - Dump'!$W:$W,'Business - Dump'!$D:$D,'SKU Repoprt'!$D293,'Business - Dump'!$A:$A,'SKU Repoprt'!J$1)</f>
        <v>16</v>
      </c>
      <c r="K293" s="3">
        <f>SUMIFS('Business - Dump'!$W:$W,'Business - Dump'!$D:$D,'SKU Repoprt'!$D293,'Business - Dump'!$A:$A,'SKU Repoprt'!K$1)</f>
        <v>9</v>
      </c>
      <c r="L293" s="3">
        <f>SUMIFS('Business - Dump'!$W:$W,'Business - Dump'!$D:$D,'SKU Repoprt'!$D293,'Business - Dump'!$A:$A,'SKU Repoprt'!L$1)</f>
        <v>4</v>
      </c>
      <c r="M293" s="3">
        <f>SUMIFS('Business - Dump'!$W:$W,'Business - Dump'!$D:$D,'SKU Repoprt'!$D293,'Business - Dump'!$A:$A,'SKU Repoprt'!M$1)</f>
        <v>5</v>
      </c>
      <c r="N293" s="3">
        <f>SUMIFS('Business - Dump'!$W:$W,'Business - Dump'!$D:$D,'SKU Repoprt'!$D293,'Business - Dump'!$A:$A,'SKU Repoprt'!N$1)</f>
        <v>3</v>
      </c>
      <c r="O293" s="3">
        <f>SUMIFS('Business - Dump'!$W:$W,'Business - Dump'!$D:$D,'SKU Repoprt'!$D293,'Business - Dump'!$A:$A,'SKU Repoprt'!O$1)</f>
        <v>14</v>
      </c>
      <c r="P293" s="3">
        <f>SUMIFS('Business - Dump'!$W:$W,'Business - Dump'!$D:$D,'SKU Repoprt'!$D293,'Business - Dump'!$A:$A,'SKU Repoprt'!P$1)</f>
        <v>10</v>
      </c>
      <c r="Q293" s="3">
        <f>SUMIFS('Business - Dump'!$W:$W,'Business - Dump'!$D:$D,'SKU Repoprt'!$D293,'Business - Dump'!$A:$A,'SKU Repoprt'!Q$1)</f>
        <v>20</v>
      </c>
      <c r="R293" s="3">
        <f>SUMIFS('Business - Dump'!$W:$W,'Business - Dump'!$D:$D,'SKU Repoprt'!$D293,'Business - Dump'!$A:$A,'SKU Repoprt'!R$1)</f>
        <v>20</v>
      </c>
      <c r="S293" s="3">
        <f>SUMIFS('Business - Dump'!$W:$W,'Business - Dump'!$D:$D,'SKU Repoprt'!$D293,'Business - Dump'!$A:$A,'SKU Repoprt'!S$1)</f>
        <v>6</v>
      </c>
      <c r="T293" s="3">
        <f>SUMIFS('Business - Dump'!$W:$W,'Business - Dump'!$D:$D,'SKU Repoprt'!$D293,'Business - Dump'!$A:$A,'SKU Repoprt'!T$1)</f>
        <v>1</v>
      </c>
      <c r="U293" s="3">
        <f>SUMIFS('Business - Dump'!$W:$W,'Business - Dump'!$D:$D,'SKU Repoprt'!$D293,'Business - Dump'!$A:$A,'SKU Repoprt'!U$1)</f>
        <v>3</v>
      </c>
      <c r="V293" s="3">
        <f>SUMIFS('Business - Dump'!$W:$W,'Business - Dump'!$D:$D,'SKU Repoprt'!$D293,'Business - Dump'!$A:$A,'SKU Repoprt'!V$1)</f>
        <v>7</v>
      </c>
      <c r="W293" s="3">
        <f>SUMIFS('Business - Dump'!$W:$W,'Business - Dump'!$D:$D,'SKU Repoprt'!$D293,'Business - Dump'!$A:$A,'SKU Repoprt'!W$1)</f>
        <v>6</v>
      </c>
    </row>
    <row r="294" ht="15.75" customHeight="1">
      <c r="A294" s="10" t="s">
        <v>140</v>
      </c>
      <c r="B294" s="10" t="s">
        <v>140</v>
      </c>
      <c r="C294" s="10"/>
      <c r="D294" s="10" t="s">
        <v>309</v>
      </c>
      <c r="E294" s="10" t="s">
        <v>26</v>
      </c>
      <c r="F294" s="16">
        <f t="shared" si="97"/>
        <v>4112546.61</v>
      </c>
      <c r="G294" s="16">
        <f>SUMIFS('Business - Dump'!$U:$U,'Business - Dump'!$D:$D,'SKU Repoprt'!$D294,'Business - Dump'!$A:$A,'SKU Repoprt'!G$1)</f>
        <v>139960</v>
      </c>
      <c r="H294" s="16">
        <f>SUMIFS('Business - Dump'!$U:$U,'Business - Dump'!$D:$D,'SKU Repoprt'!$D294,'Business - Dump'!$A:$A,'SKU Repoprt'!H$1)</f>
        <v>135600</v>
      </c>
      <c r="I294" s="16">
        <f>SUMIFS('Business - Dump'!$U:$U,'Business - Dump'!$D:$D,'SKU Repoprt'!$D294,'Business - Dump'!$A:$A,'SKU Repoprt'!I$1)</f>
        <v>234000</v>
      </c>
      <c r="J294" s="16">
        <f>SUMIFS('Business - Dump'!$U:$U,'Business - Dump'!$D:$D,'SKU Repoprt'!$D294,'Business - Dump'!$A:$A,'SKU Repoprt'!J$1)</f>
        <v>528400</v>
      </c>
      <c r="K294" s="16">
        <f>SUMIFS('Business - Dump'!$U:$U,'Business - Dump'!$D:$D,'SKU Repoprt'!$D294,'Business - Dump'!$A:$A,'SKU Repoprt'!K$1)</f>
        <v>302100</v>
      </c>
      <c r="L294" s="16">
        <f>SUMIFS('Business - Dump'!$U:$U,'Business - Dump'!$D:$D,'SKU Repoprt'!$D294,'Business - Dump'!$A:$A,'SKU Repoprt'!L$1)</f>
        <v>135600</v>
      </c>
      <c r="M294" s="16">
        <f>SUMIFS('Business - Dump'!$U:$U,'Business - Dump'!$D:$D,'SKU Repoprt'!$D294,'Business - Dump'!$A:$A,'SKU Repoprt'!M$1)</f>
        <v>163500</v>
      </c>
      <c r="N294" s="16">
        <f>SUMIFS('Business - Dump'!$U:$U,'Business - Dump'!$D:$D,'SKU Repoprt'!$D294,'Business - Dump'!$A:$A,'SKU Repoprt'!N$1)</f>
        <v>104850</v>
      </c>
      <c r="O294" s="16">
        <f>SUMIFS('Business - Dump'!$U:$U,'Business - Dump'!$D:$D,'SKU Repoprt'!$D294,'Business - Dump'!$A:$A,'SKU Repoprt'!O$1)</f>
        <v>476650</v>
      </c>
      <c r="P294" s="16">
        <f>SUMIFS('Business - Dump'!$U:$U,'Business - Dump'!$D:$D,'SKU Repoprt'!$D294,'Business - Dump'!$A:$A,'SKU Repoprt'!P$1)</f>
        <v>345250</v>
      </c>
      <c r="Q294" s="16">
        <f>SUMIFS('Business - Dump'!$U:$U,'Business - Dump'!$D:$D,'SKU Repoprt'!$D294,'Business - Dump'!$A:$A,'SKU Repoprt'!Q$1)</f>
        <v>693045.49</v>
      </c>
      <c r="R294" s="16">
        <f>SUMIFS('Business - Dump'!$U:$U,'Business - Dump'!$D:$D,'SKU Repoprt'!$D294,'Business - Dump'!$A:$A,'SKU Repoprt'!R$1)</f>
        <v>642960.64</v>
      </c>
      <c r="S294" s="16">
        <f>SUMIFS('Business - Dump'!$U:$U,'Business - Dump'!$D:$D,'SKU Repoprt'!$D294,'Business - Dump'!$A:$A,'SKU Repoprt'!S$1)</f>
        <v>210630.48</v>
      </c>
      <c r="T294" s="16">
        <f>SUMIFS('Business - Dump'!$U:$U,'Business - Dump'!$D:$D,'SKU Repoprt'!$D294,'Business - Dump'!$A:$A,'SKU Repoprt'!T$1)</f>
        <v>35160</v>
      </c>
      <c r="U294" s="16">
        <f>SUMIFS('Business - Dump'!$U:$U,'Business - Dump'!$D:$D,'SKU Repoprt'!$D294,'Business - Dump'!$A:$A,'SKU Repoprt'!U$1)</f>
        <v>103252.2</v>
      </c>
      <c r="V294" s="16">
        <f>SUMIFS('Business - Dump'!$U:$U,'Business - Dump'!$D:$D,'SKU Repoprt'!$D294,'Business - Dump'!$A:$A,'SKU Repoprt'!V$1)</f>
        <v>243380.3</v>
      </c>
      <c r="W294" s="16">
        <f>SUMIFS('Business - Dump'!$U:$U,'Business - Dump'!$D:$D,'SKU Repoprt'!$D294,'Business - Dump'!$A:$A,'SKU Repoprt'!W$1)</f>
        <v>208580.3</v>
      </c>
    </row>
    <row r="295" ht="15.75" customHeight="1">
      <c r="A295" s="10" t="s">
        <v>140</v>
      </c>
      <c r="B295" s="10" t="s">
        <v>140</v>
      </c>
      <c r="C295" s="10"/>
      <c r="D295" s="10" t="s">
        <v>309</v>
      </c>
      <c r="E295" s="10" t="s">
        <v>29</v>
      </c>
      <c r="F295" s="17">
        <v>0.027042857142857143</v>
      </c>
      <c r="G295" s="17">
        <f t="shared" ref="G295:W295" si="98">IFERROR(G293/G290,0)</f>
        <v>0.007952286282</v>
      </c>
      <c r="H295" s="17">
        <f t="shared" si="98"/>
        <v>0.002766251729</v>
      </c>
      <c r="I295" s="17">
        <f t="shared" si="98"/>
        <v>0.008383233533</v>
      </c>
      <c r="J295" s="17">
        <f t="shared" si="98"/>
        <v>0.02124833997</v>
      </c>
      <c r="K295" s="17">
        <f t="shared" si="98"/>
        <v>0.01162790698</v>
      </c>
      <c r="L295" s="17">
        <f t="shared" si="98"/>
        <v>0.005249343832</v>
      </c>
      <c r="M295" s="17">
        <f t="shared" si="98"/>
        <v>0.01305483029</v>
      </c>
      <c r="N295" s="17">
        <f t="shared" si="98"/>
        <v>0.003184713376</v>
      </c>
      <c r="O295" s="17">
        <f t="shared" si="98"/>
        <v>0.009339559706</v>
      </c>
      <c r="P295" s="17">
        <f t="shared" si="98"/>
        <v>0.004631773969</v>
      </c>
      <c r="Q295" s="17">
        <f t="shared" si="98"/>
        <v>0.008822232025</v>
      </c>
      <c r="R295" s="17">
        <f t="shared" si="98"/>
        <v>0.01042209484</v>
      </c>
      <c r="S295" s="17">
        <f t="shared" si="98"/>
        <v>0.003780718336</v>
      </c>
      <c r="T295" s="17">
        <f t="shared" si="98"/>
        <v>0.001234567901</v>
      </c>
      <c r="U295" s="17">
        <f t="shared" si="98"/>
        <v>0.002742230347</v>
      </c>
      <c r="V295" s="17">
        <f t="shared" si="98"/>
        <v>0.006222222222</v>
      </c>
      <c r="W295" s="17">
        <f t="shared" si="98"/>
        <v>0.006756756757</v>
      </c>
    </row>
    <row r="296" ht="15.75" customHeight="1">
      <c r="A296" s="10" t="s">
        <v>140</v>
      </c>
      <c r="B296" s="10" t="s">
        <v>140</v>
      </c>
      <c r="C296" s="10"/>
      <c r="D296" s="10" t="s">
        <v>390</v>
      </c>
      <c r="E296" s="10" t="s">
        <v>257</v>
      </c>
      <c r="F296" s="3">
        <f t="shared" ref="F296:F300" si="99">SUM(G296:S296)</f>
        <v>69</v>
      </c>
      <c r="G296" s="3">
        <f>SUMIFS('Business - Dump'!$G:$G,'Business - Dump'!$D:$D,'SKU Repoprt'!$D296,'Business - Dump'!$A:$A,'SKU Repoprt'!G$1)</f>
        <v>0</v>
      </c>
      <c r="H296" s="3">
        <f>SUMIFS('Business - Dump'!$G:$G,'Business - Dump'!$D:$D,'SKU Repoprt'!$D296,'Business - Dump'!$A:$A,'SKU Repoprt'!H$1)</f>
        <v>0</v>
      </c>
      <c r="I296" s="3">
        <f>SUMIFS('Business - Dump'!$G:$G,'Business - Dump'!$D:$D,'SKU Repoprt'!$D296,'Business - Dump'!$A:$A,'SKU Repoprt'!I$1)</f>
        <v>0</v>
      </c>
      <c r="J296" s="3">
        <f>SUMIFS('Business - Dump'!$G:$G,'Business - Dump'!$D:$D,'SKU Repoprt'!$D296,'Business - Dump'!$A:$A,'SKU Repoprt'!J$1)</f>
        <v>0</v>
      </c>
      <c r="K296" s="3">
        <f>SUMIFS('Business - Dump'!$G:$G,'Business - Dump'!$D:$D,'SKU Repoprt'!$D296,'Business - Dump'!$A:$A,'SKU Repoprt'!K$1)</f>
        <v>0</v>
      </c>
      <c r="L296" s="3">
        <f>SUMIFS('Business - Dump'!$G:$G,'Business - Dump'!$D:$D,'SKU Repoprt'!$D296,'Business - Dump'!$A:$A,'SKU Repoprt'!L$1)</f>
        <v>0</v>
      </c>
      <c r="M296" s="3">
        <f>SUMIFS('Business - Dump'!$G:$G,'Business - Dump'!$D:$D,'SKU Repoprt'!$D296,'Business - Dump'!$A:$A,'SKU Repoprt'!M$1)</f>
        <v>1</v>
      </c>
      <c r="N296" s="3">
        <f>SUMIFS('Business - Dump'!$G:$G,'Business - Dump'!$D:$D,'SKU Repoprt'!$D296,'Business - Dump'!$A:$A,'SKU Repoprt'!N$1)</f>
        <v>5</v>
      </c>
      <c r="O296" s="3">
        <f>SUMIFS('Business - Dump'!$G:$G,'Business - Dump'!$D:$D,'SKU Repoprt'!$D296,'Business - Dump'!$A:$A,'SKU Repoprt'!O$1)</f>
        <v>11</v>
      </c>
      <c r="P296" s="3">
        <f>SUMIFS('Business - Dump'!$G:$G,'Business - Dump'!$D:$D,'SKU Repoprt'!$D296,'Business - Dump'!$A:$A,'SKU Repoprt'!P$1)</f>
        <v>26</v>
      </c>
      <c r="Q296" s="3">
        <f>SUMIFS('Business - Dump'!$G:$G,'Business - Dump'!$D:$D,'SKU Repoprt'!$D296,'Business - Dump'!$A:$A,'SKU Repoprt'!Q$1)</f>
        <v>0</v>
      </c>
      <c r="R296" s="3">
        <f>SUMIFS('Business - Dump'!$G:$G,'Business - Dump'!$D:$D,'SKU Repoprt'!$D296,'Business - Dump'!$A:$A,'SKU Repoprt'!R$1)</f>
        <v>8</v>
      </c>
      <c r="S296" s="3">
        <f>SUMIFS('Business - Dump'!$G:$G,'Business - Dump'!$D:$D,'SKU Repoprt'!$D296,'Business - Dump'!$A:$A,'SKU Repoprt'!S$1)</f>
        <v>18</v>
      </c>
      <c r="T296" s="3">
        <f>SUMIFS('Business - Dump'!$G:$G,'Business - Dump'!$D:$D,'SKU Repoprt'!$D296,'Business - Dump'!$A:$A,'SKU Repoprt'!T$1)</f>
        <v>54</v>
      </c>
      <c r="U296" s="3">
        <f>SUMIFS('Business - Dump'!$G:$G,'Business - Dump'!$D:$D,'SKU Repoprt'!$D296,'Business - Dump'!$A:$A,'SKU Repoprt'!U$1)</f>
        <v>84</v>
      </c>
      <c r="V296" s="3">
        <f>SUMIFS('Business - Dump'!$G:$G,'Business - Dump'!$D:$D,'SKU Repoprt'!$D296,'Business - Dump'!$A:$A,'SKU Repoprt'!V$1)</f>
        <v>16</v>
      </c>
      <c r="W296" s="3">
        <f>SUMIFS('Business - Dump'!$G:$G,'Business - Dump'!$D:$D,'SKU Repoprt'!$D296,'Business - Dump'!$A:$A,'SKU Repoprt'!W$1)</f>
        <v>11</v>
      </c>
    </row>
    <row r="297" ht="15.75" customHeight="1">
      <c r="A297" s="10" t="s">
        <v>140</v>
      </c>
      <c r="B297" s="10" t="s">
        <v>140</v>
      </c>
      <c r="C297" s="10"/>
      <c r="D297" s="10" t="s">
        <v>390</v>
      </c>
      <c r="E297" s="10" t="s">
        <v>260</v>
      </c>
      <c r="F297" s="3">
        <f t="shared" si="99"/>
        <v>83</v>
      </c>
      <c r="G297" s="3">
        <f>SUMIFS('Business - Dump'!$K:$K,'Business - Dump'!$D:$D,'SKU Repoprt'!$D297,'Business - Dump'!$A:$A,'SKU Repoprt'!G$1)</f>
        <v>0</v>
      </c>
      <c r="H297" s="3">
        <f>SUMIFS('Business - Dump'!$K:$K,'Business - Dump'!$D:$D,'SKU Repoprt'!$D297,'Business - Dump'!$A:$A,'SKU Repoprt'!H$1)</f>
        <v>0</v>
      </c>
      <c r="I297" s="3">
        <f>SUMIFS('Business - Dump'!$K:$K,'Business - Dump'!$D:$D,'SKU Repoprt'!$D297,'Business - Dump'!$A:$A,'SKU Repoprt'!I$1)</f>
        <v>0</v>
      </c>
      <c r="J297" s="3">
        <f>SUMIFS('Business - Dump'!$K:$K,'Business - Dump'!$D:$D,'SKU Repoprt'!$D297,'Business - Dump'!$A:$A,'SKU Repoprt'!J$1)</f>
        <v>0</v>
      </c>
      <c r="K297" s="3">
        <f>SUMIFS('Business - Dump'!$K:$K,'Business - Dump'!$D:$D,'SKU Repoprt'!$D297,'Business - Dump'!$A:$A,'SKU Repoprt'!K$1)</f>
        <v>0</v>
      </c>
      <c r="L297" s="3">
        <f>SUMIFS('Business - Dump'!$K:$K,'Business - Dump'!$D:$D,'SKU Repoprt'!$D297,'Business - Dump'!$A:$A,'SKU Repoprt'!L$1)</f>
        <v>0</v>
      </c>
      <c r="M297" s="3">
        <f>SUMIFS('Business - Dump'!$K:$K,'Business - Dump'!$D:$D,'SKU Repoprt'!$D297,'Business - Dump'!$A:$A,'SKU Repoprt'!M$1)</f>
        <v>1</v>
      </c>
      <c r="N297" s="3">
        <f>SUMIFS('Business - Dump'!$K:$K,'Business - Dump'!$D:$D,'SKU Repoprt'!$D297,'Business - Dump'!$A:$A,'SKU Repoprt'!N$1)</f>
        <v>8</v>
      </c>
      <c r="O297" s="3">
        <f>SUMIFS('Business - Dump'!$K:$K,'Business - Dump'!$D:$D,'SKU Repoprt'!$D297,'Business - Dump'!$A:$A,'SKU Repoprt'!O$1)</f>
        <v>15</v>
      </c>
      <c r="P297" s="3">
        <f>SUMIFS('Business - Dump'!$K:$K,'Business - Dump'!$D:$D,'SKU Repoprt'!$D297,'Business - Dump'!$A:$A,'SKU Repoprt'!P$1)</f>
        <v>32</v>
      </c>
      <c r="Q297" s="3">
        <f>SUMIFS('Business - Dump'!$K:$K,'Business - Dump'!$D:$D,'SKU Repoprt'!$D297,'Business - Dump'!$A:$A,'SKU Repoprt'!Q$1)</f>
        <v>0</v>
      </c>
      <c r="R297" s="3">
        <f>SUMIFS('Business - Dump'!$K:$K,'Business - Dump'!$D:$D,'SKU Repoprt'!$D297,'Business - Dump'!$A:$A,'SKU Repoprt'!R$1)</f>
        <v>8</v>
      </c>
      <c r="S297" s="3">
        <f>SUMIFS('Business - Dump'!$K:$K,'Business - Dump'!$D:$D,'SKU Repoprt'!$D297,'Business - Dump'!$A:$A,'SKU Repoprt'!S$1)</f>
        <v>19</v>
      </c>
      <c r="T297" s="3">
        <f>SUMIFS('Business - Dump'!$K:$K,'Business - Dump'!$D:$D,'SKU Repoprt'!$D297,'Business - Dump'!$A:$A,'SKU Repoprt'!T$1)</f>
        <v>61</v>
      </c>
      <c r="U297" s="3">
        <f>SUMIFS('Business - Dump'!$K:$K,'Business - Dump'!$D:$D,'SKU Repoprt'!$D297,'Business - Dump'!$A:$A,'SKU Repoprt'!U$1)</f>
        <v>165</v>
      </c>
      <c r="V297" s="3">
        <f>SUMIFS('Business - Dump'!$K:$K,'Business - Dump'!$D:$D,'SKU Repoprt'!$D297,'Business - Dump'!$A:$A,'SKU Repoprt'!V$1)</f>
        <v>17</v>
      </c>
      <c r="W297" s="3">
        <f>SUMIFS('Business - Dump'!$K:$K,'Business - Dump'!$D:$D,'SKU Repoprt'!$D297,'Business - Dump'!$A:$A,'SKU Repoprt'!W$1)</f>
        <v>11</v>
      </c>
    </row>
    <row r="298" ht="15.75" customHeight="1">
      <c r="A298" s="10" t="s">
        <v>140</v>
      </c>
      <c r="B298" s="10" t="s">
        <v>140</v>
      </c>
      <c r="C298" s="10"/>
      <c r="D298" s="10" t="s">
        <v>390</v>
      </c>
      <c r="E298" s="10" t="s">
        <v>264</v>
      </c>
      <c r="F298" s="3">
        <f t="shared" si="99"/>
        <v>0</v>
      </c>
      <c r="G298" s="3">
        <f>SUMIFS('Business - Dump'!$Q:$Q,'Business - Dump'!$D:$D,'SKU Repoprt'!$D298,'Business - Dump'!$A:$A,'SKU Repoprt'!G$1)</f>
        <v>0</v>
      </c>
      <c r="H298" s="3">
        <f>SUMIFS('Business - Dump'!$Q:$Q,'Business - Dump'!$D:$D,'SKU Repoprt'!$D298,'Business - Dump'!$A:$A,'SKU Repoprt'!H$1)</f>
        <v>0</v>
      </c>
      <c r="I298" s="3">
        <f>SUMIFS('Business - Dump'!$Q:$Q,'Business - Dump'!$D:$D,'SKU Repoprt'!$D298,'Business - Dump'!$A:$A,'SKU Repoprt'!I$1)</f>
        <v>0</v>
      </c>
      <c r="J298" s="3">
        <f>SUMIFS('Business - Dump'!$Q:$Q,'Business - Dump'!$D:$D,'SKU Repoprt'!$D298,'Business - Dump'!$A:$A,'SKU Repoprt'!J$1)</f>
        <v>0</v>
      </c>
      <c r="K298" s="3">
        <f>SUMIFS('Business - Dump'!$Q:$Q,'Business - Dump'!$D:$D,'SKU Repoprt'!$D298,'Business - Dump'!$A:$A,'SKU Repoprt'!K$1)</f>
        <v>0</v>
      </c>
      <c r="L298" s="3">
        <f>SUMIFS('Business - Dump'!$Q:$Q,'Business - Dump'!$D:$D,'SKU Repoprt'!$D298,'Business - Dump'!$A:$A,'SKU Repoprt'!L$1)</f>
        <v>0</v>
      </c>
      <c r="M298" s="3">
        <f>SUMIFS('Business - Dump'!$Q:$Q,'Business - Dump'!$D:$D,'SKU Repoprt'!$D298,'Business - Dump'!$A:$A,'SKU Repoprt'!M$1)</f>
        <v>0</v>
      </c>
      <c r="N298" s="3">
        <f>SUMIFS('Business - Dump'!$Q:$Q,'Business - Dump'!$D:$D,'SKU Repoprt'!$D298,'Business - Dump'!$A:$A,'SKU Repoprt'!N$1)</f>
        <v>0</v>
      </c>
      <c r="O298" s="3">
        <f>SUMIFS('Business - Dump'!$Q:$Q,'Business - Dump'!$D:$D,'SKU Repoprt'!$D298,'Business - Dump'!$A:$A,'SKU Repoprt'!O$1)</f>
        <v>0</v>
      </c>
      <c r="P298" s="3">
        <f>SUMIFS('Business - Dump'!$Q:$Q,'Business - Dump'!$D:$D,'SKU Repoprt'!$D298,'Business - Dump'!$A:$A,'SKU Repoprt'!P$1)</f>
        <v>0</v>
      </c>
      <c r="Q298" s="3">
        <f>SUMIFS('Business - Dump'!$Q:$Q,'Business - Dump'!$D:$D,'SKU Repoprt'!$D298,'Business - Dump'!$A:$A,'SKU Repoprt'!Q$1)</f>
        <v>0</v>
      </c>
      <c r="R298" s="3">
        <f>SUMIFS('Business - Dump'!$Q:$Q,'Business - Dump'!$D:$D,'SKU Repoprt'!$D298,'Business - Dump'!$A:$A,'SKU Repoprt'!R$1)</f>
        <v>0</v>
      </c>
      <c r="S298" s="3">
        <f>SUMIFS('Business - Dump'!$Q:$Q,'Business - Dump'!$D:$D,'SKU Repoprt'!$D298,'Business - Dump'!$A:$A,'SKU Repoprt'!S$1)</f>
        <v>0</v>
      </c>
      <c r="T298" s="3">
        <f>SUMIFS('Business - Dump'!$Q:$Q,'Business - Dump'!$D:$D,'SKU Repoprt'!$D298,'Business - Dump'!$A:$A,'SKU Repoprt'!T$1)</f>
        <v>0</v>
      </c>
      <c r="U298" s="3">
        <f>SUMIFS('Business - Dump'!$Q:$Q,'Business - Dump'!$D:$D,'SKU Repoprt'!$D298,'Business - Dump'!$A:$A,'SKU Repoprt'!U$1)</f>
        <v>1</v>
      </c>
      <c r="V298" s="3">
        <f>SUMIFS('Business - Dump'!$Q:$Q,'Business - Dump'!$D:$D,'SKU Repoprt'!$D298,'Business - Dump'!$A:$A,'SKU Repoprt'!V$1)</f>
        <v>0</v>
      </c>
      <c r="W298" s="3">
        <f>SUMIFS('Business - Dump'!$Q:$Q,'Business - Dump'!$D:$D,'SKU Repoprt'!$D298,'Business - Dump'!$A:$A,'SKU Repoprt'!W$1)</f>
        <v>0</v>
      </c>
    </row>
    <row r="299" ht="15.75" customHeight="1">
      <c r="A299" s="10" t="s">
        <v>140</v>
      </c>
      <c r="B299" s="10" t="s">
        <v>140</v>
      </c>
      <c r="C299" s="10"/>
      <c r="D299" s="10" t="s">
        <v>390</v>
      </c>
      <c r="E299" s="10" t="s">
        <v>268</v>
      </c>
      <c r="F299" s="3">
        <f t="shared" si="99"/>
        <v>0</v>
      </c>
      <c r="G299" s="3">
        <f>SUMIFS('Business - Dump'!$W:$W,'Business - Dump'!$D:$D,'SKU Repoprt'!$D299,'Business - Dump'!$A:$A,'SKU Repoprt'!G$1)</f>
        <v>0</v>
      </c>
      <c r="H299" s="3">
        <f>SUMIFS('Business - Dump'!$W:$W,'Business - Dump'!$D:$D,'SKU Repoprt'!$D299,'Business - Dump'!$A:$A,'SKU Repoprt'!H$1)</f>
        <v>0</v>
      </c>
      <c r="I299" s="3">
        <f>SUMIFS('Business - Dump'!$W:$W,'Business - Dump'!$D:$D,'SKU Repoprt'!$D299,'Business - Dump'!$A:$A,'SKU Repoprt'!I$1)</f>
        <v>0</v>
      </c>
      <c r="J299" s="3">
        <f>SUMIFS('Business - Dump'!$W:$W,'Business - Dump'!$D:$D,'SKU Repoprt'!$D299,'Business - Dump'!$A:$A,'SKU Repoprt'!J$1)</f>
        <v>0</v>
      </c>
      <c r="K299" s="3">
        <f>SUMIFS('Business - Dump'!$W:$W,'Business - Dump'!$D:$D,'SKU Repoprt'!$D299,'Business - Dump'!$A:$A,'SKU Repoprt'!K$1)</f>
        <v>0</v>
      </c>
      <c r="L299" s="3">
        <f>SUMIFS('Business - Dump'!$W:$W,'Business - Dump'!$D:$D,'SKU Repoprt'!$D299,'Business - Dump'!$A:$A,'SKU Repoprt'!L$1)</f>
        <v>0</v>
      </c>
      <c r="M299" s="3">
        <f>SUMIFS('Business - Dump'!$W:$W,'Business - Dump'!$D:$D,'SKU Repoprt'!$D299,'Business - Dump'!$A:$A,'SKU Repoprt'!M$1)</f>
        <v>0</v>
      </c>
      <c r="N299" s="3">
        <f>SUMIFS('Business - Dump'!$W:$W,'Business - Dump'!$D:$D,'SKU Repoprt'!$D299,'Business - Dump'!$A:$A,'SKU Repoprt'!N$1)</f>
        <v>0</v>
      </c>
      <c r="O299" s="3">
        <f>SUMIFS('Business - Dump'!$W:$W,'Business - Dump'!$D:$D,'SKU Repoprt'!$D299,'Business - Dump'!$A:$A,'SKU Repoprt'!O$1)</f>
        <v>0</v>
      </c>
      <c r="P299" s="3">
        <f>SUMIFS('Business - Dump'!$W:$W,'Business - Dump'!$D:$D,'SKU Repoprt'!$D299,'Business - Dump'!$A:$A,'SKU Repoprt'!P$1)</f>
        <v>0</v>
      </c>
      <c r="Q299" s="3">
        <f>SUMIFS('Business - Dump'!$W:$W,'Business - Dump'!$D:$D,'SKU Repoprt'!$D299,'Business - Dump'!$A:$A,'SKU Repoprt'!Q$1)</f>
        <v>0</v>
      </c>
      <c r="R299" s="3">
        <f>SUMIFS('Business - Dump'!$W:$W,'Business - Dump'!$D:$D,'SKU Repoprt'!$D299,'Business - Dump'!$A:$A,'SKU Repoprt'!R$1)</f>
        <v>0</v>
      </c>
      <c r="S299" s="3">
        <f>SUMIFS('Business - Dump'!$W:$W,'Business - Dump'!$D:$D,'SKU Repoprt'!$D299,'Business - Dump'!$A:$A,'SKU Repoprt'!S$1)</f>
        <v>0</v>
      </c>
      <c r="T299" s="3">
        <f>SUMIFS('Business - Dump'!$W:$W,'Business - Dump'!$D:$D,'SKU Repoprt'!$D299,'Business - Dump'!$A:$A,'SKU Repoprt'!T$1)</f>
        <v>0</v>
      </c>
      <c r="U299" s="3">
        <f>SUMIFS('Business - Dump'!$W:$W,'Business - Dump'!$D:$D,'SKU Repoprt'!$D299,'Business - Dump'!$A:$A,'SKU Repoprt'!U$1)</f>
        <v>1</v>
      </c>
      <c r="V299" s="3">
        <f>SUMIFS('Business - Dump'!$W:$W,'Business - Dump'!$D:$D,'SKU Repoprt'!$D299,'Business - Dump'!$A:$A,'SKU Repoprt'!V$1)</f>
        <v>0</v>
      </c>
      <c r="W299" s="3">
        <f>SUMIFS('Business - Dump'!$W:$W,'Business - Dump'!$D:$D,'SKU Repoprt'!$D299,'Business - Dump'!$A:$A,'SKU Repoprt'!W$1)</f>
        <v>0</v>
      </c>
    </row>
    <row r="300" ht="15.75" customHeight="1">
      <c r="A300" s="10" t="s">
        <v>140</v>
      </c>
      <c r="B300" s="10" t="s">
        <v>140</v>
      </c>
      <c r="C300" s="10"/>
      <c r="D300" s="10" t="s">
        <v>390</v>
      </c>
      <c r="E300" s="10" t="s">
        <v>26</v>
      </c>
      <c r="F300" s="16">
        <f t="shared" si="99"/>
        <v>0</v>
      </c>
      <c r="G300" s="16">
        <f>SUMIFS('Business - Dump'!$U:$U,'Business - Dump'!$D:$D,'SKU Repoprt'!$D300,'Business - Dump'!$A:$A,'SKU Repoprt'!G$1)</f>
        <v>0</v>
      </c>
      <c r="H300" s="16">
        <f>SUMIFS('Business - Dump'!$U:$U,'Business - Dump'!$D:$D,'SKU Repoprt'!$D300,'Business - Dump'!$A:$A,'SKU Repoprt'!H$1)</f>
        <v>0</v>
      </c>
      <c r="I300" s="16">
        <f>SUMIFS('Business - Dump'!$U:$U,'Business - Dump'!$D:$D,'SKU Repoprt'!$D300,'Business - Dump'!$A:$A,'SKU Repoprt'!I$1)</f>
        <v>0</v>
      </c>
      <c r="J300" s="16">
        <f>SUMIFS('Business - Dump'!$U:$U,'Business - Dump'!$D:$D,'SKU Repoprt'!$D300,'Business - Dump'!$A:$A,'SKU Repoprt'!J$1)</f>
        <v>0</v>
      </c>
      <c r="K300" s="16">
        <f>SUMIFS('Business - Dump'!$U:$U,'Business - Dump'!$D:$D,'SKU Repoprt'!$D300,'Business - Dump'!$A:$A,'SKU Repoprt'!K$1)</f>
        <v>0</v>
      </c>
      <c r="L300" s="16">
        <f>SUMIFS('Business - Dump'!$U:$U,'Business - Dump'!$D:$D,'SKU Repoprt'!$D300,'Business - Dump'!$A:$A,'SKU Repoprt'!L$1)</f>
        <v>0</v>
      </c>
      <c r="M300" s="16">
        <f>SUMIFS('Business - Dump'!$U:$U,'Business - Dump'!$D:$D,'SKU Repoprt'!$D300,'Business - Dump'!$A:$A,'SKU Repoprt'!M$1)</f>
        <v>0</v>
      </c>
      <c r="N300" s="16">
        <f>SUMIFS('Business - Dump'!$U:$U,'Business - Dump'!$D:$D,'SKU Repoprt'!$D300,'Business - Dump'!$A:$A,'SKU Repoprt'!N$1)</f>
        <v>0</v>
      </c>
      <c r="O300" s="16">
        <f>SUMIFS('Business - Dump'!$U:$U,'Business - Dump'!$D:$D,'SKU Repoprt'!$D300,'Business - Dump'!$A:$A,'SKU Repoprt'!O$1)</f>
        <v>0</v>
      </c>
      <c r="P300" s="16">
        <f>SUMIFS('Business - Dump'!$U:$U,'Business - Dump'!$D:$D,'SKU Repoprt'!$D300,'Business - Dump'!$A:$A,'SKU Repoprt'!P$1)</f>
        <v>0</v>
      </c>
      <c r="Q300" s="16">
        <f>SUMIFS('Business - Dump'!$U:$U,'Business - Dump'!$D:$D,'SKU Repoprt'!$D300,'Business - Dump'!$A:$A,'SKU Repoprt'!Q$1)</f>
        <v>0</v>
      </c>
      <c r="R300" s="16">
        <f>SUMIFS('Business - Dump'!$U:$U,'Business - Dump'!$D:$D,'SKU Repoprt'!$D300,'Business - Dump'!$A:$A,'SKU Repoprt'!R$1)</f>
        <v>0</v>
      </c>
      <c r="S300" s="16">
        <f>SUMIFS('Business - Dump'!$U:$U,'Business - Dump'!$D:$D,'SKU Repoprt'!$D300,'Business - Dump'!$A:$A,'SKU Repoprt'!S$1)</f>
        <v>0</v>
      </c>
      <c r="T300" s="16">
        <f>SUMIFS('Business - Dump'!$U:$U,'Business - Dump'!$D:$D,'SKU Repoprt'!$D300,'Business - Dump'!$A:$A,'SKU Repoprt'!T$1)</f>
        <v>0</v>
      </c>
      <c r="U300" s="16">
        <f>SUMIFS('Business - Dump'!$U:$U,'Business - Dump'!$D:$D,'SKU Repoprt'!$D300,'Business - Dump'!$A:$A,'SKU Repoprt'!U$1)</f>
        <v>34745.08</v>
      </c>
      <c r="V300" s="16">
        <f>SUMIFS('Business - Dump'!$U:$U,'Business - Dump'!$D:$D,'SKU Repoprt'!$D300,'Business - Dump'!$A:$A,'SKU Repoprt'!V$1)</f>
        <v>0</v>
      </c>
      <c r="W300" s="16">
        <f>SUMIFS('Business - Dump'!$U:$U,'Business - Dump'!$D:$D,'SKU Repoprt'!$D300,'Business - Dump'!$A:$A,'SKU Repoprt'!W$1)</f>
        <v>0</v>
      </c>
    </row>
    <row r="301" ht="15.75" customHeight="1">
      <c r="A301" s="10" t="s">
        <v>140</v>
      </c>
      <c r="B301" s="10" t="s">
        <v>140</v>
      </c>
      <c r="C301" s="10"/>
      <c r="D301" s="10" t="s">
        <v>390</v>
      </c>
      <c r="E301" s="10" t="s">
        <v>29</v>
      </c>
      <c r="F301" s="17">
        <v>0.027042857142857143</v>
      </c>
      <c r="G301" s="17">
        <f t="shared" ref="G301:W301" si="100">IFERROR(G299/G296,0)</f>
        <v>0</v>
      </c>
      <c r="H301" s="17">
        <f t="shared" si="100"/>
        <v>0</v>
      </c>
      <c r="I301" s="17">
        <f t="shared" si="100"/>
        <v>0</v>
      </c>
      <c r="J301" s="17">
        <f t="shared" si="100"/>
        <v>0</v>
      </c>
      <c r="K301" s="17">
        <f t="shared" si="100"/>
        <v>0</v>
      </c>
      <c r="L301" s="17">
        <f t="shared" si="100"/>
        <v>0</v>
      </c>
      <c r="M301" s="17">
        <f t="shared" si="100"/>
        <v>0</v>
      </c>
      <c r="N301" s="17">
        <f t="shared" si="100"/>
        <v>0</v>
      </c>
      <c r="O301" s="17">
        <f t="shared" si="100"/>
        <v>0</v>
      </c>
      <c r="P301" s="17">
        <f t="shared" si="100"/>
        <v>0</v>
      </c>
      <c r="Q301" s="17">
        <f t="shared" si="100"/>
        <v>0</v>
      </c>
      <c r="R301" s="17">
        <f t="shared" si="100"/>
        <v>0</v>
      </c>
      <c r="S301" s="17">
        <f t="shared" si="100"/>
        <v>0</v>
      </c>
      <c r="T301" s="17">
        <f t="shared" si="100"/>
        <v>0</v>
      </c>
      <c r="U301" s="17">
        <f t="shared" si="100"/>
        <v>0.0119047619</v>
      </c>
      <c r="V301" s="17">
        <f t="shared" si="100"/>
        <v>0</v>
      </c>
      <c r="W301" s="17">
        <f t="shared" si="100"/>
        <v>0</v>
      </c>
    </row>
    <row r="302" ht="15.75" customHeight="1">
      <c r="A302" s="10" t="s">
        <v>140</v>
      </c>
      <c r="B302" s="10" t="s">
        <v>140</v>
      </c>
      <c r="C302" s="10"/>
      <c r="D302" s="10" t="s">
        <v>392</v>
      </c>
      <c r="E302" s="10" t="s">
        <v>257</v>
      </c>
      <c r="F302" s="3">
        <f t="shared" ref="F302:F306" si="101">SUM(G302:S302)</f>
        <v>127</v>
      </c>
      <c r="G302" s="3">
        <f>SUMIFS('Business - Dump'!$G:$G,'Business - Dump'!$D:$D,'SKU Repoprt'!$D302,'Business - Dump'!$A:$A,'SKU Repoprt'!G$1)</f>
        <v>0</v>
      </c>
      <c r="H302" s="3">
        <f>SUMIFS('Business - Dump'!$G:$G,'Business - Dump'!$D:$D,'SKU Repoprt'!$D302,'Business - Dump'!$A:$A,'SKU Repoprt'!H$1)</f>
        <v>0</v>
      </c>
      <c r="I302" s="3">
        <f>SUMIFS('Business - Dump'!$G:$G,'Business - Dump'!$D:$D,'SKU Repoprt'!$D302,'Business - Dump'!$A:$A,'SKU Repoprt'!I$1)</f>
        <v>0</v>
      </c>
      <c r="J302" s="3">
        <f>SUMIFS('Business - Dump'!$G:$G,'Business - Dump'!$D:$D,'SKU Repoprt'!$D302,'Business - Dump'!$A:$A,'SKU Repoprt'!J$1)</f>
        <v>0</v>
      </c>
      <c r="K302" s="3">
        <f>SUMIFS('Business - Dump'!$G:$G,'Business - Dump'!$D:$D,'SKU Repoprt'!$D302,'Business - Dump'!$A:$A,'SKU Repoprt'!K$1)</f>
        <v>0</v>
      </c>
      <c r="L302" s="3">
        <f>SUMIFS('Business - Dump'!$G:$G,'Business - Dump'!$D:$D,'SKU Repoprt'!$D302,'Business - Dump'!$A:$A,'SKU Repoprt'!L$1)</f>
        <v>0</v>
      </c>
      <c r="M302" s="3">
        <f>SUMIFS('Business - Dump'!$G:$G,'Business - Dump'!$D:$D,'SKU Repoprt'!$D302,'Business - Dump'!$A:$A,'SKU Repoprt'!M$1)</f>
        <v>0</v>
      </c>
      <c r="N302" s="3">
        <f>SUMIFS('Business - Dump'!$G:$G,'Business - Dump'!$D:$D,'SKU Repoprt'!$D302,'Business - Dump'!$A:$A,'SKU Repoprt'!N$1)</f>
        <v>3</v>
      </c>
      <c r="O302" s="3">
        <f>SUMIFS('Business - Dump'!$G:$G,'Business - Dump'!$D:$D,'SKU Repoprt'!$D302,'Business - Dump'!$A:$A,'SKU Repoprt'!O$1)</f>
        <v>21</v>
      </c>
      <c r="P302" s="3">
        <f>SUMIFS('Business - Dump'!$G:$G,'Business - Dump'!$D:$D,'SKU Repoprt'!$D302,'Business - Dump'!$A:$A,'SKU Repoprt'!P$1)</f>
        <v>46</v>
      </c>
      <c r="Q302" s="3">
        <f>SUMIFS('Business - Dump'!$G:$G,'Business - Dump'!$D:$D,'SKU Repoprt'!$D302,'Business - Dump'!$A:$A,'SKU Repoprt'!Q$1)</f>
        <v>0</v>
      </c>
      <c r="R302" s="3">
        <f>SUMIFS('Business - Dump'!$G:$G,'Business - Dump'!$D:$D,'SKU Repoprt'!$D302,'Business - Dump'!$A:$A,'SKU Repoprt'!R$1)</f>
        <v>13</v>
      </c>
      <c r="S302" s="3">
        <f>SUMIFS('Business - Dump'!$G:$G,'Business - Dump'!$D:$D,'SKU Repoprt'!$D302,'Business - Dump'!$A:$A,'SKU Repoprt'!S$1)</f>
        <v>44</v>
      </c>
      <c r="T302" s="3">
        <f>SUMIFS('Business - Dump'!$G:$G,'Business - Dump'!$D:$D,'SKU Repoprt'!$D302,'Business - Dump'!$A:$A,'SKU Repoprt'!T$1)</f>
        <v>69</v>
      </c>
      <c r="U302" s="3">
        <f>SUMIFS('Business - Dump'!$G:$G,'Business - Dump'!$D:$D,'SKU Repoprt'!$D302,'Business - Dump'!$A:$A,'SKU Repoprt'!U$1)</f>
        <v>151</v>
      </c>
      <c r="V302" s="3">
        <f>SUMIFS('Business - Dump'!$G:$G,'Business - Dump'!$D:$D,'SKU Repoprt'!$D302,'Business - Dump'!$A:$A,'SKU Repoprt'!V$1)</f>
        <v>45</v>
      </c>
      <c r="W302" s="3">
        <f>SUMIFS('Business - Dump'!$G:$G,'Business - Dump'!$D:$D,'SKU Repoprt'!$D302,'Business - Dump'!$A:$A,'SKU Repoprt'!W$1)</f>
        <v>26</v>
      </c>
    </row>
    <row r="303" ht="15.75" customHeight="1">
      <c r="A303" s="10" t="s">
        <v>140</v>
      </c>
      <c r="B303" s="10" t="s">
        <v>140</v>
      </c>
      <c r="C303" s="10"/>
      <c r="D303" s="10" t="s">
        <v>392</v>
      </c>
      <c r="E303" s="10" t="s">
        <v>260</v>
      </c>
      <c r="F303" s="3">
        <f t="shared" si="101"/>
        <v>190</v>
      </c>
      <c r="G303" s="3">
        <f>SUMIFS('Business - Dump'!$K:$K,'Business - Dump'!$D:$D,'SKU Repoprt'!$D303,'Business - Dump'!$A:$A,'SKU Repoprt'!G$1)</f>
        <v>0</v>
      </c>
      <c r="H303" s="3">
        <f>SUMIFS('Business - Dump'!$K:$K,'Business - Dump'!$D:$D,'SKU Repoprt'!$D303,'Business - Dump'!$A:$A,'SKU Repoprt'!H$1)</f>
        <v>0</v>
      </c>
      <c r="I303" s="3">
        <f>SUMIFS('Business - Dump'!$K:$K,'Business - Dump'!$D:$D,'SKU Repoprt'!$D303,'Business - Dump'!$A:$A,'SKU Repoprt'!I$1)</f>
        <v>0</v>
      </c>
      <c r="J303" s="3">
        <f>SUMIFS('Business - Dump'!$K:$K,'Business - Dump'!$D:$D,'SKU Repoprt'!$D303,'Business - Dump'!$A:$A,'SKU Repoprt'!J$1)</f>
        <v>0</v>
      </c>
      <c r="K303" s="3">
        <f>SUMIFS('Business - Dump'!$K:$K,'Business - Dump'!$D:$D,'SKU Repoprt'!$D303,'Business - Dump'!$A:$A,'SKU Repoprt'!K$1)</f>
        <v>0</v>
      </c>
      <c r="L303" s="3">
        <f>SUMIFS('Business - Dump'!$K:$K,'Business - Dump'!$D:$D,'SKU Repoprt'!$D303,'Business - Dump'!$A:$A,'SKU Repoprt'!L$1)</f>
        <v>0</v>
      </c>
      <c r="M303" s="3">
        <f>SUMIFS('Business - Dump'!$K:$K,'Business - Dump'!$D:$D,'SKU Repoprt'!$D303,'Business - Dump'!$A:$A,'SKU Repoprt'!M$1)</f>
        <v>0</v>
      </c>
      <c r="N303" s="3">
        <f>SUMIFS('Business - Dump'!$K:$K,'Business - Dump'!$D:$D,'SKU Repoprt'!$D303,'Business - Dump'!$A:$A,'SKU Repoprt'!N$1)</f>
        <v>4</v>
      </c>
      <c r="O303" s="3">
        <f>SUMIFS('Business - Dump'!$K:$K,'Business - Dump'!$D:$D,'SKU Repoprt'!$D303,'Business - Dump'!$A:$A,'SKU Repoprt'!O$1)</f>
        <v>50</v>
      </c>
      <c r="P303" s="3">
        <f>SUMIFS('Business - Dump'!$K:$K,'Business - Dump'!$D:$D,'SKU Repoprt'!$D303,'Business - Dump'!$A:$A,'SKU Repoprt'!P$1)</f>
        <v>62</v>
      </c>
      <c r="Q303" s="3">
        <f>SUMIFS('Business - Dump'!$K:$K,'Business - Dump'!$D:$D,'SKU Repoprt'!$D303,'Business - Dump'!$A:$A,'SKU Repoprt'!Q$1)</f>
        <v>0</v>
      </c>
      <c r="R303" s="3">
        <f>SUMIFS('Business - Dump'!$K:$K,'Business - Dump'!$D:$D,'SKU Repoprt'!$D303,'Business - Dump'!$A:$A,'SKU Repoprt'!R$1)</f>
        <v>17</v>
      </c>
      <c r="S303" s="3">
        <f>SUMIFS('Business - Dump'!$K:$K,'Business - Dump'!$D:$D,'SKU Repoprt'!$D303,'Business - Dump'!$A:$A,'SKU Repoprt'!S$1)</f>
        <v>57</v>
      </c>
      <c r="T303" s="3">
        <f>SUMIFS('Business - Dump'!$K:$K,'Business - Dump'!$D:$D,'SKU Repoprt'!$D303,'Business - Dump'!$A:$A,'SKU Repoprt'!T$1)</f>
        <v>90</v>
      </c>
      <c r="U303" s="3">
        <f>SUMIFS('Business - Dump'!$K:$K,'Business - Dump'!$D:$D,'SKU Repoprt'!$D303,'Business - Dump'!$A:$A,'SKU Repoprt'!U$1)</f>
        <v>231</v>
      </c>
      <c r="V303" s="3">
        <f>SUMIFS('Business - Dump'!$K:$K,'Business - Dump'!$D:$D,'SKU Repoprt'!$D303,'Business - Dump'!$A:$A,'SKU Repoprt'!V$1)</f>
        <v>56</v>
      </c>
      <c r="W303" s="3">
        <f>SUMIFS('Business - Dump'!$K:$K,'Business - Dump'!$D:$D,'SKU Repoprt'!$D303,'Business - Dump'!$A:$A,'SKU Repoprt'!W$1)</f>
        <v>31</v>
      </c>
    </row>
    <row r="304" ht="15.75" customHeight="1">
      <c r="A304" s="10" t="s">
        <v>140</v>
      </c>
      <c r="B304" s="10" t="s">
        <v>140</v>
      </c>
      <c r="C304" s="10"/>
      <c r="D304" s="10" t="s">
        <v>392</v>
      </c>
      <c r="E304" s="10" t="s">
        <v>264</v>
      </c>
      <c r="F304" s="3">
        <f t="shared" si="101"/>
        <v>3</v>
      </c>
      <c r="G304" s="3">
        <f>SUMIFS('Business - Dump'!$Q:$Q,'Business - Dump'!$D:$D,'SKU Repoprt'!$D304,'Business - Dump'!$A:$A,'SKU Repoprt'!G$1)</f>
        <v>0</v>
      </c>
      <c r="H304" s="3">
        <f>SUMIFS('Business - Dump'!$Q:$Q,'Business - Dump'!$D:$D,'SKU Repoprt'!$D304,'Business - Dump'!$A:$A,'SKU Repoprt'!H$1)</f>
        <v>0</v>
      </c>
      <c r="I304" s="3">
        <f>SUMIFS('Business - Dump'!$Q:$Q,'Business - Dump'!$D:$D,'SKU Repoprt'!$D304,'Business - Dump'!$A:$A,'SKU Repoprt'!I$1)</f>
        <v>0</v>
      </c>
      <c r="J304" s="3">
        <f>SUMIFS('Business - Dump'!$Q:$Q,'Business - Dump'!$D:$D,'SKU Repoprt'!$D304,'Business - Dump'!$A:$A,'SKU Repoprt'!J$1)</f>
        <v>0</v>
      </c>
      <c r="K304" s="3">
        <f>SUMIFS('Business - Dump'!$Q:$Q,'Business - Dump'!$D:$D,'SKU Repoprt'!$D304,'Business - Dump'!$A:$A,'SKU Repoprt'!K$1)</f>
        <v>0</v>
      </c>
      <c r="L304" s="3">
        <f>SUMIFS('Business - Dump'!$Q:$Q,'Business - Dump'!$D:$D,'SKU Repoprt'!$D304,'Business - Dump'!$A:$A,'SKU Repoprt'!L$1)</f>
        <v>0</v>
      </c>
      <c r="M304" s="3">
        <f>SUMIFS('Business - Dump'!$Q:$Q,'Business - Dump'!$D:$D,'SKU Repoprt'!$D304,'Business - Dump'!$A:$A,'SKU Repoprt'!M$1)</f>
        <v>0</v>
      </c>
      <c r="N304" s="3">
        <f>SUMIFS('Business - Dump'!$Q:$Q,'Business - Dump'!$D:$D,'SKU Repoprt'!$D304,'Business - Dump'!$A:$A,'SKU Repoprt'!N$1)</f>
        <v>0</v>
      </c>
      <c r="O304" s="3">
        <f>SUMIFS('Business - Dump'!$Q:$Q,'Business - Dump'!$D:$D,'SKU Repoprt'!$D304,'Business - Dump'!$A:$A,'SKU Repoprt'!O$1)</f>
        <v>1</v>
      </c>
      <c r="P304" s="3">
        <f>SUMIFS('Business - Dump'!$Q:$Q,'Business - Dump'!$D:$D,'SKU Repoprt'!$D304,'Business - Dump'!$A:$A,'SKU Repoprt'!P$1)</f>
        <v>1</v>
      </c>
      <c r="Q304" s="3">
        <f>SUMIFS('Business - Dump'!$Q:$Q,'Business - Dump'!$D:$D,'SKU Repoprt'!$D304,'Business - Dump'!$A:$A,'SKU Repoprt'!Q$1)</f>
        <v>0</v>
      </c>
      <c r="R304" s="3">
        <f>SUMIFS('Business - Dump'!$Q:$Q,'Business - Dump'!$D:$D,'SKU Repoprt'!$D304,'Business - Dump'!$A:$A,'SKU Repoprt'!R$1)</f>
        <v>0</v>
      </c>
      <c r="S304" s="3">
        <f>SUMIFS('Business - Dump'!$Q:$Q,'Business - Dump'!$D:$D,'SKU Repoprt'!$D304,'Business - Dump'!$A:$A,'SKU Repoprt'!S$1)</f>
        <v>1</v>
      </c>
      <c r="T304" s="3">
        <f>SUMIFS('Business - Dump'!$Q:$Q,'Business - Dump'!$D:$D,'SKU Repoprt'!$D304,'Business - Dump'!$A:$A,'SKU Repoprt'!T$1)</f>
        <v>1</v>
      </c>
      <c r="U304" s="3">
        <f>SUMIFS('Business - Dump'!$Q:$Q,'Business - Dump'!$D:$D,'SKU Repoprt'!$D304,'Business - Dump'!$A:$A,'SKU Repoprt'!U$1)</f>
        <v>4</v>
      </c>
      <c r="V304" s="3">
        <f>SUMIFS('Business - Dump'!$Q:$Q,'Business - Dump'!$D:$D,'SKU Repoprt'!$D304,'Business - Dump'!$A:$A,'SKU Repoprt'!V$1)</f>
        <v>0</v>
      </c>
      <c r="W304" s="3">
        <f>SUMIFS('Business - Dump'!$Q:$Q,'Business - Dump'!$D:$D,'SKU Repoprt'!$D304,'Business - Dump'!$A:$A,'SKU Repoprt'!W$1)</f>
        <v>1</v>
      </c>
    </row>
    <row r="305" ht="15.75" customHeight="1">
      <c r="A305" s="10" t="s">
        <v>140</v>
      </c>
      <c r="B305" s="10" t="s">
        <v>140</v>
      </c>
      <c r="C305" s="10"/>
      <c r="D305" s="10" t="s">
        <v>392</v>
      </c>
      <c r="E305" s="10" t="s">
        <v>268</v>
      </c>
      <c r="F305" s="3">
        <f t="shared" si="101"/>
        <v>3</v>
      </c>
      <c r="G305" s="3">
        <f>SUMIFS('Business - Dump'!$W:$W,'Business - Dump'!$D:$D,'SKU Repoprt'!$D305,'Business - Dump'!$A:$A,'SKU Repoprt'!G$1)</f>
        <v>0</v>
      </c>
      <c r="H305" s="3">
        <f>SUMIFS('Business - Dump'!$W:$W,'Business - Dump'!$D:$D,'SKU Repoprt'!$D305,'Business - Dump'!$A:$A,'SKU Repoprt'!H$1)</f>
        <v>0</v>
      </c>
      <c r="I305" s="3">
        <f>SUMIFS('Business - Dump'!$W:$W,'Business - Dump'!$D:$D,'SKU Repoprt'!$D305,'Business - Dump'!$A:$A,'SKU Repoprt'!I$1)</f>
        <v>0</v>
      </c>
      <c r="J305" s="3">
        <f>SUMIFS('Business - Dump'!$W:$W,'Business - Dump'!$D:$D,'SKU Repoprt'!$D305,'Business - Dump'!$A:$A,'SKU Repoprt'!J$1)</f>
        <v>0</v>
      </c>
      <c r="K305" s="3">
        <f>SUMIFS('Business - Dump'!$W:$W,'Business - Dump'!$D:$D,'SKU Repoprt'!$D305,'Business - Dump'!$A:$A,'SKU Repoprt'!K$1)</f>
        <v>0</v>
      </c>
      <c r="L305" s="3">
        <f>SUMIFS('Business - Dump'!$W:$W,'Business - Dump'!$D:$D,'SKU Repoprt'!$D305,'Business - Dump'!$A:$A,'SKU Repoprt'!L$1)</f>
        <v>0</v>
      </c>
      <c r="M305" s="3">
        <f>SUMIFS('Business - Dump'!$W:$W,'Business - Dump'!$D:$D,'SKU Repoprt'!$D305,'Business - Dump'!$A:$A,'SKU Repoprt'!M$1)</f>
        <v>0</v>
      </c>
      <c r="N305" s="3">
        <f>SUMIFS('Business - Dump'!$W:$W,'Business - Dump'!$D:$D,'SKU Repoprt'!$D305,'Business - Dump'!$A:$A,'SKU Repoprt'!N$1)</f>
        <v>0</v>
      </c>
      <c r="O305" s="3">
        <f>SUMIFS('Business - Dump'!$W:$W,'Business - Dump'!$D:$D,'SKU Repoprt'!$D305,'Business - Dump'!$A:$A,'SKU Repoprt'!O$1)</f>
        <v>1</v>
      </c>
      <c r="P305" s="3">
        <f>SUMIFS('Business - Dump'!$W:$W,'Business - Dump'!$D:$D,'SKU Repoprt'!$D305,'Business - Dump'!$A:$A,'SKU Repoprt'!P$1)</f>
        <v>1</v>
      </c>
      <c r="Q305" s="3">
        <f>SUMIFS('Business - Dump'!$W:$W,'Business - Dump'!$D:$D,'SKU Repoprt'!$D305,'Business - Dump'!$A:$A,'SKU Repoprt'!Q$1)</f>
        <v>0</v>
      </c>
      <c r="R305" s="3">
        <f>SUMIFS('Business - Dump'!$W:$W,'Business - Dump'!$D:$D,'SKU Repoprt'!$D305,'Business - Dump'!$A:$A,'SKU Repoprt'!R$1)</f>
        <v>0</v>
      </c>
      <c r="S305" s="3">
        <f>SUMIFS('Business - Dump'!$W:$W,'Business - Dump'!$D:$D,'SKU Repoprt'!$D305,'Business - Dump'!$A:$A,'SKU Repoprt'!S$1)</f>
        <v>1</v>
      </c>
      <c r="T305" s="3">
        <f>SUMIFS('Business - Dump'!$W:$W,'Business - Dump'!$D:$D,'SKU Repoprt'!$D305,'Business - Dump'!$A:$A,'SKU Repoprt'!T$1)</f>
        <v>1</v>
      </c>
      <c r="U305" s="3">
        <f>SUMIFS('Business - Dump'!$W:$W,'Business - Dump'!$D:$D,'SKU Repoprt'!$D305,'Business - Dump'!$A:$A,'SKU Repoprt'!U$1)</f>
        <v>4</v>
      </c>
      <c r="V305" s="3">
        <f>SUMIFS('Business - Dump'!$W:$W,'Business - Dump'!$D:$D,'SKU Repoprt'!$D305,'Business - Dump'!$A:$A,'SKU Repoprt'!V$1)</f>
        <v>0</v>
      </c>
      <c r="W305" s="3">
        <f>SUMIFS('Business - Dump'!$W:$W,'Business - Dump'!$D:$D,'SKU Repoprt'!$D305,'Business - Dump'!$A:$A,'SKU Repoprt'!W$1)</f>
        <v>1</v>
      </c>
    </row>
    <row r="306" ht="15.75" customHeight="1">
      <c r="A306" s="10" t="s">
        <v>140</v>
      </c>
      <c r="B306" s="10" t="s">
        <v>140</v>
      </c>
      <c r="C306" s="10"/>
      <c r="D306" s="10" t="s">
        <v>392</v>
      </c>
      <c r="E306" s="10" t="s">
        <v>26</v>
      </c>
      <c r="F306" s="16">
        <f t="shared" si="101"/>
        <v>105136.44</v>
      </c>
      <c r="G306" s="16">
        <f>SUMIFS('Business - Dump'!$U:$U,'Business - Dump'!$D:$D,'SKU Repoprt'!$D306,'Business - Dump'!$A:$A,'SKU Repoprt'!G$1)</f>
        <v>0</v>
      </c>
      <c r="H306" s="16">
        <f>SUMIFS('Business - Dump'!$U:$U,'Business - Dump'!$D:$D,'SKU Repoprt'!$D306,'Business - Dump'!$A:$A,'SKU Repoprt'!H$1)</f>
        <v>0</v>
      </c>
      <c r="I306" s="16">
        <f>SUMIFS('Business - Dump'!$U:$U,'Business - Dump'!$D:$D,'SKU Repoprt'!$D306,'Business - Dump'!$A:$A,'SKU Repoprt'!I$1)</f>
        <v>0</v>
      </c>
      <c r="J306" s="16">
        <f>SUMIFS('Business - Dump'!$U:$U,'Business - Dump'!$D:$D,'SKU Repoprt'!$D306,'Business - Dump'!$A:$A,'SKU Repoprt'!J$1)</f>
        <v>0</v>
      </c>
      <c r="K306" s="16">
        <f>SUMIFS('Business - Dump'!$U:$U,'Business - Dump'!$D:$D,'SKU Repoprt'!$D306,'Business - Dump'!$A:$A,'SKU Repoprt'!K$1)</f>
        <v>0</v>
      </c>
      <c r="L306" s="16">
        <f>SUMIFS('Business - Dump'!$U:$U,'Business - Dump'!$D:$D,'SKU Repoprt'!$D306,'Business - Dump'!$A:$A,'SKU Repoprt'!L$1)</f>
        <v>0</v>
      </c>
      <c r="M306" s="16">
        <f>SUMIFS('Business - Dump'!$U:$U,'Business - Dump'!$D:$D,'SKU Repoprt'!$D306,'Business - Dump'!$A:$A,'SKU Repoprt'!M$1)</f>
        <v>0</v>
      </c>
      <c r="N306" s="16">
        <f>SUMIFS('Business - Dump'!$U:$U,'Business - Dump'!$D:$D,'SKU Repoprt'!$D306,'Business - Dump'!$A:$A,'SKU Repoprt'!N$1)</f>
        <v>0</v>
      </c>
      <c r="O306" s="16">
        <f>SUMIFS('Business - Dump'!$U:$U,'Business - Dump'!$D:$D,'SKU Repoprt'!$D306,'Business - Dump'!$A:$A,'SKU Repoprt'!O$1)</f>
        <v>34881.36</v>
      </c>
      <c r="P306" s="16">
        <f>SUMIFS('Business - Dump'!$U:$U,'Business - Dump'!$D:$D,'SKU Repoprt'!$D306,'Business - Dump'!$A:$A,'SKU Repoprt'!P$1)</f>
        <v>35150</v>
      </c>
      <c r="Q306" s="16">
        <f>SUMIFS('Business - Dump'!$U:$U,'Business - Dump'!$D:$D,'SKU Repoprt'!$D306,'Business - Dump'!$A:$A,'SKU Repoprt'!Q$1)</f>
        <v>0</v>
      </c>
      <c r="R306" s="16">
        <f>SUMIFS('Business - Dump'!$U:$U,'Business - Dump'!$D:$D,'SKU Repoprt'!$D306,'Business - Dump'!$A:$A,'SKU Repoprt'!R$1)</f>
        <v>0</v>
      </c>
      <c r="S306" s="16">
        <f>SUMIFS('Business - Dump'!$U:$U,'Business - Dump'!$D:$D,'SKU Repoprt'!$D306,'Business - Dump'!$A:$A,'SKU Repoprt'!S$1)</f>
        <v>35105.08</v>
      </c>
      <c r="T306" s="16">
        <f>SUMIFS('Business - Dump'!$U:$U,'Business - Dump'!$D:$D,'SKU Repoprt'!$D306,'Business - Dump'!$A:$A,'SKU Repoprt'!T$1)</f>
        <v>34605.08</v>
      </c>
      <c r="U306" s="16">
        <f>SUMIFS('Business - Dump'!$U:$U,'Business - Dump'!$D:$D,'SKU Repoprt'!$D306,'Business - Dump'!$A:$A,'SKU Repoprt'!U$1)</f>
        <v>137412.2</v>
      </c>
      <c r="V306" s="16">
        <f>SUMIFS('Business - Dump'!$U:$U,'Business - Dump'!$D:$D,'SKU Repoprt'!$D306,'Business - Dump'!$A:$A,'SKU Repoprt'!V$1)</f>
        <v>0</v>
      </c>
      <c r="W306" s="16">
        <f>SUMIFS('Business - Dump'!$U:$U,'Business - Dump'!$D:$D,'SKU Repoprt'!$D306,'Business - Dump'!$A:$A,'SKU Repoprt'!W$1)</f>
        <v>34745.08</v>
      </c>
    </row>
    <row r="307" ht="15.75" customHeight="1">
      <c r="A307" s="10" t="s">
        <v>140</v>
      </c>
      <c r="B307" s="10" t="s">
        <v>140</v>
      </c>
      <c r="C307" s="10"/>
      <c r="D307" s="10" t="s">
        <v>392</v>
      </c>
      <c r="E307" s="10" t="s">
        <v>29</v>
      </c>
      <c r="F307" s="17">
        <v>0.027042857142857143</v>
      </c>
      <c r="G307" s="17">
        <f t="shared" ref="G307:W307" si="102">IFERROR(G305/G302,0)</f>
        <v>0</v>
      </c>
      <c r="H307" s="17">
        <f t="shared" si="102"/>
        <v>0</v>
      </c>
      <c r="I307" s="17">
        <f t="shared" si="102"/>
        <v>0</v>
      </c>
      <c r="J307" s="17">
        <f t="shared" si="102"/>
        <v>0</v>
      </c>
      <c r="K307" s="17">
        <f t="shared" si="102"/>
        <v>0</v>
      </c>
      <c r="L307" s="17">
        <f t="shared" si="102"/>
        <v>0</v>
      </c>
      <c r="M307" s="17">
        <f t="shared" si="102"/>
        <v>0</v>
      </c>
      <c r="N307" s="17">
        <f t="shared" si="102"/>
        <v>0</v>
      </c>
      <c r="O307" s="17">
        <f t="shared" si="102"/>
        <v>0.04761904762</v>
      </c>
      <c r="P307" s="17">
        <f t="shared" si="102"/>
        <v>0.02173913043</v>
      </c>
      <c r="Q307" s="17">
        <f t="shared" si="102"/>
        <v>0</v>
      </c>
      <c r="R307" s="17">
        <f t="shared" si="102"/>
        <v>0</v>
      </c>
      <c r="S307" s="17">
        <f t="shared" si="102"/>
        <v>0.02272727273</v>
      </c>
      <c r="T307" s="17">
        <f t="shared" si="102"/>
        <v>0.01449275362</v>
      </c>
      <c r="U307" s="17">
        <f t="shared" si="102"/>
        <v>0.02649006623</v>
      </c>
      <c r="V307" s="17">
        <f t="shared" si="102"/>
        <v>0</v>
      </c>
      <c r="W307" s="17">
        <f t="shared" si="102"/>
        <v>0.03846153846</v>
      </c>
    </row>
    <row r="308" ht="15.75" customHeight="1">
      <c r="A308" s="10" t="s">
        <v>140</v>
      </c>
      <c r="B308" s="10" t="s">
        <v>140</v>
      </c>
      <c r="C308" s="10"/>
      <c r="D308" s="10" t="s">
        <v>393</v>
      </c>
      <c r="E308" s="10" t="s">
        <v>257</v>
      </c>
      <c r="F308" s="3">
        <f t="shared" ref="F308:F312" si="103">SUM(G308:S308)</f>
        <v>99</v>
      </c>
      <c r="G308" s="3">
        <f>SUMIFS('Business - Dump'!$G:$G,'Business - Dump'!$D:$D,'SKU Repoprt'!$D308,'Business - Dump'!$A:$A,'SKU Repoprt'!G$1)</f>
        <v>0</v>
      </c>
      <c r="H308" s="3">
        <f>SUMIFS('Business - Dump'!$G:$G,'Business - Dump'!$D:$D,'SKU Repoprt'!$D308,'Business - Dump'!$A:$A,'SKU Repoprt'!H$1)</f>
        <v>0</v>
      </c>
      <c r="I308" s="3">
        <f>SUMIFS('Business - Dump'!$G:$G,'Business - Dump'!$D:$D,'SKU Repoprt'!$D308,'Business - Dump'!$A:$A,'SKU Repoprt'!I$1)</f>
        <v>0</v>
      </c>
      <c r="J308" s="3">
        <f>SUMIFS('Business - Dump'!$G:$G,'Business - Dump'!$D:$D,'SKU Repoprt'!$D308,'Business - Dump'!$A:$A,'SKU Repoprt'!J$1)</f>
        <v>0</v>
      </c>
      <c r="K308" s="3">
        <f>SUMIFS('Business - Dump'!$G:$G,'Business - Dump'!$D:$D,'SKU Repoprt'!$D308,'Business - Dump'!$A:$A,'SKU Repoprt'!K$1)</f>
        <v>0</v>
      </c>
      <c r="L308" s="3">
        <f>SUMIFS('Business - Dump'!$G:$G,'Business - Dump'!$D:$D,'SKU Repoprt'!$D308,'Business - Dump'!$A:$A,'SKU Repoprt'!L$1)</f>
        <v>0</v>
      </c>
      <c r="M308" s="3">
        <f>SUMIFS('Business - Dump'!$G:$G,'Business - Dump'!$D:$D,'SKU Repoprt'!$D308,'Business - Dump'!$A:$A,'SKU Repoprt'!M$1)</f>
        <v>1</v>
      </c>
      <c r="N308" s="3">
        <f>SUMIFS('Business - Dump'!$G:$G,'Business - Dump'!$D:$D,'SKU Repoprt'!$D308,'Business - Dump'!$A:$A,'SKU Repoprt'!N$1)</f>
        <v>27</v>
      </c>
      <c r="O308" s="3">
        <f>SUMIFS('Business - Dump'!$G:$G,'Business - Dump'!$D:$D,'SKU Repoprt'!$D308,'Business - Dump'!$A:$A,'SKU Repoprt'!O$1)</f>
        <v>16</v>
      </c>
      <c r="P308" s="3">
        <f>SUMIFS('Business - Dump'!$G:$G,'Business - Dump'!$D:$D,'SKU Repoprt'!$D308,'Business - Dump'!$A:$A,'SKU Repoprt'!P$1)</f>
        <v>24</v>
      </c>
      <c r="Q308" s="3">
        <f>SUMIFS('Business - Dump'!$G:$G,'Business - Dump'!$D:$D,'SKU Repoprt'!$D308,'Business - Dump'!$A:$A,'SKU Repoprt'!Q$1)</f>
        <v>0</v>
      </c>
      <c r="R308" s="3">
        <f>SUMIFS('Business - Dump'!$G:$G,'Business - Dump'!$D:$D,'SKU Repoprt'!$D308,'Business - Dump'!$A:$A,'SKU Repoprt'!R$1)</f>
        <v>9</v>
      </c>
      <c r="S308" s="3">
        <f>SUMIFS('Business - Dump'!$G:$G,'Business - Dump'!$D:$D,'SKU Repoprt'!$D308,'Business - Dump'!$A:$A,'SKU Repoprt'!S$1)</f>
        <v>22</v>
      </c>
      <c r="T308" s="3">
        <f>SUMIFS('Business - Dump'!$G:$G,'Business - Dump'!$D:$D,'SKU Repoprt'!$D308,'Business - Dump'!$A:$A,'SKU Repoprt'!T$1)</f>
        <v>42</v>
      </c>
      <c r="U308" s="3">
        <f>SUMIFS('Business - Dump'!$G:$G,'Business - Dump'!$D:$D,'SKU Repoprt'!$D308,'Business - Dump'!$A:$A,'SKU Repoprt'!U$1)</f>
        <v>71</v>
      </c>
      <c r="V308" s="3">
        <f>SUMIFS('Business - Dump'!$G:$G,'Business - Dump'!$D:$D,'SKU Repoprt'!$D308,'Business - Dump'!$A:$A,'SKU Repoprt'!V$1)</f>
        <v>18</v>
      </c>
      <c r="W308" s="3">
        <f>SUMIFS('Business - Dump'!$G:$G,'Business - Dump'!$D:$D,'SKU Repoprt'!$D308,'Business - Dump'!$A:$A,'SKU Repoprt'!W$1)</f>
        <v>18</v>
      </c>
    </row>
    <row r="309" ht="15.75" customHeight="1">
      <c r="A309" s="10" t="s">
        <v>140</v>
      </c>
      <c r="B309" s="10" t="s">
        <v>140</v>
      </c>
      <c r="C309" s="10"/>
      <c r="D309" s="10" t="s">
        <v>393</v>
      </c>
      <c r="E309" s="10" t="s">
        <v>260</v>
      </c>
      <c r="F309" s="3">
        <f t="shared" si="103"/>
        <v>133</v>
      </c>
      <c r="G309" s="3">
        <f>SUMIFS('Business - Dump'!$K:$K,'Business - Dump'!$D:$D,'SKU Repoprt'!$D309,'Business - Dump'!$A:$A,'SKU Repoprt'!G$1)</f>
        <v>0</v>
      </c>
      <c r="H309" s="3">
        <f>SUMIFS('Business - Dump'!$K:$K,'Business - Dump'!$D:$D,'SKU Repoprt'!$D309,'Business - Dump'!$A:$A,'SKU Repoprt'!H$1)</f>
        <v>0</v>
      </c>
      <c r="I309" s="3">
        <f>SUMIFS('Business - Dump'!$K:$K,'Business - Dump'!$D:$D,'SKU Repoprt'!$D309,'Business - Dump'!$A:$A,'SKU Repoprt'!I$1)</f>
        <v>0</v>
      </c>
      <c r="J309" s="3">
        <f>SUMIFS('Business - Dump'!$K:$K,'Business - Dump'!$D:$D,'SKU Repoprt'!$D309,'Business - Dump'!$A:$A,'SKU Repoprt'!J$1)</f>
        <v>0</v>
      </c>
      <c r="K309" s="3">
        <f>SUMIFS('Business - Dump'!$K:$K,'Business - Dump'!$D:$D,'SKU Repoprt'!$D309,'Business - Dump'!$A:$A,'SKU Repoprt'!K$1)</f>
        <v>0</v>
      </c>
      <c r="L309" s="3">
        <f>SUMIFS('Business - Dump'!$K:$K,'Business - Dump'!$D:$D,'SKU Repoprt'!$D309,'Business - Dump'!$A:$A,'SKU Repoprt'!L$1)</f>
        <v>0</v>
      </c>
      <c r="M309" s="3">
        <f>SUMIFS('Business - Dump'!$K:$K,'Business - Dump'!$D:$D,'SKU Repoprt'!$D309,'Business - Dump'!$A:$A,'SKU Repoprt'!M$1)</f>
        <v>1</v>
      </c>
      <c r="N309" s="3">
        <f>SUMIFS('Business - Dump'!$K:$K,'Business - Dump'!$D:$D,'SKU Repoprt'!$D309,'Business - Dump'!$A:$A,'SKU Repoprt'!N$1)</f>
        <v>41</v>
      </c>
      <c r="O309" s="3">
        <f>SUMIFS('Business - Dump'!$K:$K,'Business - Dump'!$D:$D,'SKU Repoprt'!$D309,'Business - Dump'!$A:$A,'SKU Repoprt'!O$1)</f>
        <v>20</v>
      </c>
      <c r="P309" s="3">
        <f>SUMIFS('Business - Dump'!$K:$K,'Business - Dump'!$D:$D,'SKU Repoprt'!$D309,'Business - Dump'!$A:$A,'SKU Repoprt'!P$1)</f>
        <v>28</v>
      </c>
      <c r="Q309" s="3">
        <f>SUMIFS('Business - Dump'!$K:$K,'Business - Dump'!$D:$D,'SKU Repoprt'!$D309,'Business - Dump'!$A:$A,'SKU Repoprt'!Q$1)</f>
        <v>0</v>
      </c>
      <c r="R309" s="3">
        <f>SUMIFS('Business - Dump'!$K:$K,'Business - Dump'!$D:$D,'SKU Repoprt'!$D309,'Business - Dump'!$A:$A,'SKU Repoprt'!R$1)</f>
        <v>14</v>
      </c>
      <c r="S309" s="3">
        <f>SUMIFS('Business - Dump'!$K:$K,'Business - Dump'!$D:$D,'SKU Repoprt'!$D309,'Business - Dump'!$A:$A,'SKU Repoprt'!S$1)</f>
        <v>29</v>
      </c>
      <c r="T309" s="3">
        <f>SUMIFS('Business - Dump'!$K:$K,'Business - Dump'!$D:$D,'SKU Repoprt'!$D309,'Business - Dump'!$A:$A,'SKU Repoprt'!T$1)</f>
        <v>52</v>
      </c>
      <c r="U309" s="3">
        <f>SUMIFS('Business - Dump'!$K:$K,'Business - Dump'!$D:$D,'SKU Repoprt'!$D309,'Business - Dump'!$A:$A,'SKU Repoprt'!U$1)</f>
        <v>90</v>
      </c>
      <c r="V309" s="3">
        <f>SUMIFS('Business - Dump'!$K:$K,'Business - Dump'!$D:$D,'SKU Repoprt'!$D309,'Business - Dump'!$A:$A,'SKU Repoprt'!V$1)</f>
        <v>22</v>
      </c>
      <c r="W309" s="3">
        <f>SUMIFS('Business - Dump'!$K:$K,'Business - Dump'!$D:$D,'SKU Repoprt'!$D309,'Business - Dump'!$A:$A,'SKU Repoprt'!W$1)</f>
        <v>18</v>
      </c>
    </row>
    <row r="310" ht="15.75" customHeight="1">
      <c r="A310" s="10" t="s">
        <v>140</v>
      </c>
      <c r="B310" s="10" t="s">
        <v>140</v>
      </c>
      <c r="C310" s="10"/>
      <c r="D310" s="10" t="s">
        <v>393</v>
      </c>
      <c r="E310" s="10" t="s">
        <v>264</v>
      </c>
      <c r="F310" s="3">
        <f t="shared" si="103"/>
        <v>0</v>
      </c>
      <c r="G310" s="3">
        <f>SUMIFS('Business - Dump'!$Q:$Q,'Business - Dump'!$D:$D,'SKU Repoprt'!$D310,'Business - Dump'!$A:$A,'SKU Repoprt'!G$1)</f>
        <v>0</v>
      </c>
      <c r="H310" s="3">
        <f>SUMIFS('Business - Dump'!$Q:$Q,'Business - Dump'!$D:$D,'SKU Repoprt'!$D310,'Business - Dump'!$A:$A,'SKU Repoprt'!H$1)</f>
        <v>0</v>
      </c>
      <c r="I310" s="3">
        <f>SUMIFS('Business - Dump'!$Q:$Q,'Business - Dump'!$D:$D,'SKU Repoprt'!$D310,'Business - Dump'!$A:$A,'SKU Repoprt'!I$1)</f>
        <v>0</v>
      </c>
      <c r="J310" s="3">
        <f>SUMIFS('Business - Dump'!$Q:$Q,'Business - Dump'!$D:$D,'SKU Repoprt'!$D310,'Business - Dump'!$A:$A,'SKU Repoprt'!J$1)</f>
        <v>0</v>
      </c>
      <c r="K310" s="3">
        <f>SUMIFS('Business - Dump'!$Q:$Q,'Business - Dump'!$D:$D,'SKU Repoprt'!$D310,'Business - Dump'!$A:$A,'SKU Repoprt'!K$1)</f>
        <v>0</v>
      </c>
      <c r="L310" s="3">
        <f>SUMIFS('Business - Dump'!$Q:$Q,'Business - Dump'!$D:$D,'SKU Repoprt'!$D310,'Business - Dump'!$A:$A,'SKU Repoprt'!L$1)</f>
        <v>0</v>
      </c>
      <c r="M310" s="3">
        <f>SUMIFS('Business - Dump'!$Q:$Q,'Business - Dump'!$D:$D,'SKU Repoprt'!$D310,'Business - Dump'!$A:$A,'SKU Repoprt'!M$1)</f>
        <v>0</v>
      </c>
      <c r="N310" s="3">
        <f>SUMIFS('Business - Dump'!$Q:$Q,'Business - Dump'!$D:$D,'SKU Repoprt'!$D310,'Business - Dump'!$A:$A,'SKU Repoprt'!N$1)</f>
        <v>0</v>
      </c>
      <c r="O310" s="3">
        <f>SUMIFS('Business - Dump'!$Q:$Q,'Business - Dump'!$D:$D,'SKU Repoprt'!$D310,'Business - Dump'!$A:$A,'SKU Repoprt'!O$1)</f>
        <v>0</v>
      </c>
      <c r="P310" s="3">
        <f>SUMIFS('Business - Dump'!$Q:$Q,'Business - Dump'!$D:$D,'SKU Repoprt'!$D310,'Business - Dump'!$A:$A,'SKU Repoprt'!P$1)</f>
        <v>0</v>
      </c>
      <c r="Q310" s="3">
        <f>SUMIFS('Business - Dump'!$Q:$Q,'Business - Dump'!$D:$D,'SKU Repoprt'!$D310,'Business - Dump'!$A:$A,'SKU Repoprt'!Q$1)</f>
        <v>0</v>
      </c>
      <c r="R310" s="3">
        <f>SUMIFS('Business - Dump'!$Q:$Q,'Business - Dump'!$D:$D,'SKU Repoprt'!$D310,'Business - Dump'!$A:$A,'SKU Repoprt'!R$1)</f>
        <v>0</v>
      </c>
      <c r="S310" s="3">
        <f>SUMIFS('Business - Dump'!$Q:$Q,'Business - Dump'!$D:$D,'SKU Repoprt'!$D310,'Business - Dump'!$A:$A,'SKU Repoprt'!S$1)</f>
        <v>0</v>
      </c>
      <c r="T310" s="3">
        <f>SUMIFS('Business - Dump'!$Q:$Q,'Business - Dump'!$D:$D,'SKU Repoprt'!$D310,'Business - Dump'!$A:$A,'SKU Repoprt'!T$1)</f>
        <v>0</v>
      </c>
      <c r="U310" s="3">
        <f>SUMIFS('Business - Dump'!$Q:$Q,'Business - Dump'!$D:$D,'SKU Repoprt'!$D310,'Business - Dump'!$A:$A,'SKU Repoprt'!U$1)</f>
        <v>1</v>
      </c>
      <c r="V310" s="3">
        <f>SUMIFS('Business - Dump'!$Q:$Q,'Business - Dump'!$D:$D,'SKU Repoprt'!$D310,'Business - Dump'!$A:$A,'SKU Repoprt'!V$1)</f>
        <v>0</v>
      </c>
      <c r="W310" s="3">
        <f>SUMIFS('Business - Dump'!$Q:$Q,'Business - Dump'!$D:$D,'SKU Repoprt'!$D310,'Business - Dump'!$A:$A,'SKU Repoprt'!W$1)</f>
        <v>0</v>
      </c>
    </row>
    <row r="311" ht="15.75" customHeight="1">
      <c r="A311" s="10" t="s">
        <v>140</v>
      </c>
      <c r="B311" s="10" t="s">
        <v>140</v>
      </c>
      <c r="C311" s="10"/>
      <c r="D311" s="10" t="s">
        <v>393</v>
      </c>
      <c r="E311" s="10" t="s">
        <v>268</v>
      </c>
      <c r="F311" s="3">
        <f t="shared" si="103"/>
        <v>0</v>
      </c>
      <c r="G311" s="3">
        <f>SUMIFS('Business - Dump'!$W:$W,'Business - Dump'!$D:$D,'SKU Repoprt'!$D311,'Business - Dump'!$A:$A,'SKU Repoprt'!G$1)</f>
        <v>0</v>
      </c>
      <c r="H311" s="3">
        <f>SUMIFS('Business - Dump'!$W:$W,'Business - Dump'!$D:$D,'SKU Repoprt'!$D311,'Business - Dump'!$A:$A,'SKU Repoprt'!H$1)</f>
        <v>0</v>
      </c>
      <c r="I311" s="3">
        <f>SUMIFS('Business - Dump'!$W:$W,'Business - Dump'!$D:$D,'SKU Repoprt'!$D311,'Business - Dump'!$A:$A,'SKU Repoprt'!I$1)</f>
        <v>0</v>
      </c>
      <c r="J311" s="3">
        <f>SUMIFS('Business - Dump'!$W:$W,'Business - Dump'!$D:$D,'SKU Repoprt'!$D311,'Business - Dump'!$A:$A,'SKU Repoprt'!J$1)</f>
        <v>0</v>
      </c>
      <c r="K311" s="3">
        <f>SUMIFS('Business - Dump'!$W:$W,'Business - Dump'!$D:$D,'SKU Repoprt'!$D311,'Business - Dump'!$A:$A,'SKU Repoprt'!K$1)</f>
        <v>0</v>
      </c>
      <c r="L311" s="3">
        <f>SUMIFS('Business - Dump'!$W:$W,'Business - Dump'!$D:$D,'SKU Repoprt'!$D311,'Business - Dump'!$A:$A,'SKU Repoprt'!L$1)</f>
        <v>0</v>
      </c>
      <c r="M311" s="3">
        <f>SUMIFS('Business - Dump'!$W:$W,'Business - Dump'!$D:$D,'SKU Repoprt'!$D311,'Business - Dump'!$A:$A,'SKU Repoprt'!M$1)</f>
        <v>0</v>
      </c>
      <c r="N311" s="3">
        <f>SUMIFS('Business - Dump'!$W:$W,'Business - Dump'!$D:$D,'SKU Repoprt'!$D311,'Business - Dump'!$A:$A,'SKU Repoprt'!N$1)</f>
        <v>0</v>
      </c>
      <c r="O311" s="3">
        <f>SUMIFS('Business - Dump'!$W:$W,'Business - Dump'!$D:$D,'SKU Repoprt'!$D311,'Business - Dump'!$A:$A,'SKU Repoprt'!O$1)</f>
        <v>0</v>
      </c>
      <c r="P311" s="3">
        <f>SUMIFS('Business - Dump'!$W:$W,'Business - Dump'!$D:$D,'SKU Repoprt'!$D311,'Business - Dump'!$A:$A,'SKU Repoprt'!P$1)</f>
        <v>0</v>
      </c>
      <c r="Q311" s="3">
        <f>SUMIFS('Business - Dump'!$W:$W,'Business - Dump'!$D:$D,'SKU Repoprt'!$D311,'Business - Dump'!$A:$A,'SKU Repoprt'!Q$1)</f>
        <v>0</v>
      </c>
      <c r="R311" s="3">
        <f>SUMIFS('Business - Dump'!$W:$W,'Business - Dump'!$D:$D,'SKU Repoprt'!$D311,'Business - Dump'!$A:$A,'SKU Repoprt'!R$1)</f>
        <v>0</v>
      </c>
      <c r="S311" s="3">
        <f>SUMIFS('Business - Dump'!$W:$W,'Business - Dump'!$D:$D,'SKU Repoprt'!$D311,'Business - Dump'!$A:$A,'SKU Repoprt'!S$1)</f>
        <v>0</v>
      </c>
      <c r="T311" s="3">
        <f>SUMIFS('Business - Dump'!$W:$W,'Business - Dump'!$D:$D,'SKU Repoprt'!$D311,'Business - Dump'!$A:$A,'SKU Repoprt'!T$1)</f>
        <v>0</v>
      </c>
      <c r="U311" s="3">
        <f>SUMIFS('Business - Dump'!$W:$W,'Business - Dump'!$D:$D,'SKU Repoprt'!$D311,'Business - Dump'!$A:$A,'SKU Repoprt'!U$1)</f>
        <v>1</v>
      </c>
      <c r="V311" s="3">
        <f>SUMIFS('Business - Dump'!$W:$W,'Business - Dump'!$D:$D,'SKU Repoprt'!$D311,'Business - Dump'!$A:$A,'SKU Repoprt'!V$1)</f>
        <v>0</v>
      </c>
      <c r="W311" s="3">
        <f>SUMIFS('Business - Dump'!$W:$W,'Business - Dump'!$D:$D,'SKU Repoprt'!$D311,'Business - Dump'!$A:$A,'SKU Repoprt'!W$1)</f>
        <v>0</v>
      </c>
    </row>
    <row r="312" ht="15.75" customHeight="1">
      <c r="A312" s="10" t="s">
        <v>140</v>
      </c>
      <c r="B312" s="10" t="s">
        <v>140</v>
      </c>
      <c r="C312" s="10"/>
      <c r="D312" s="10" t="s">
        <v>393</v>
      </c>
      <c r="E312" s="10" t="s">
        <v>26</v>
      </c>
      <c r="F312" s="16">
        <f t="shared" si="103"/>
        <v>0</v>
      </c>
      <c r="G312" s="16">
        <f>SUMIFS('Business - Dump'!$U:$U,'Business - Dump'!$D:$D,'SKU Repoprt'!$D312,'Business - Dump'!$A:$A,'SKU Repoprt'!G$1)</f>
        <v>0</v>
      </c>
      <c r="H312" s="16">
        <f>SUMIFS('Business - Dump'!$U:$U,'Business - Dump'!$D:$D,'SKU Repoprt'!$D312,'Business - Dump'!$A:$A,'SKU Repoprt'!H$1)</f>
        <v>0</v>
      </c>
      <c r="I312" s="16">
        <f>SUMIFS('Business - Dump'!$U:$U,'Business - Dump'!$D:$D,'SKU Repoprt'!$D312,'Business - Dump'!$A:$A,'SKU Repoprt'!I$1)</f>
        <v>0</v>
      </c>
      <c r="J312" s="16">
        <f>SUMIFS('Business - Dump'!$U:$U,'Business - Dump'!$D:$D,'SKU Repoprt'!$D312,'Business - Dump'!$A:$A,'SKU Repoprt'!J$1)</f>
        <v>0</v>
      </c>
      <c r="K312" s="16">
        <f>SUMIFS('Business - Dump'!$U:$U,'Business - Dump'!$D:$D,'SKU Repoprt'!$D312,'Business - Dump'!$A:$A,'SKU Repoprt'!K$1)</f>
        <v>0</v>
      </c>
      <c r="L312" s="16">
        <f>SUMIFS('Business - Dump'!$U:$U,'Business - Dump'!$D:$D,'SKU Repoprt'!$D312,'Business - Dump'!$A:$A,'SKU Repoprt'!L$1)</f>
        <v>0</v>
      </c>
      <c r="M312" s="16">
        <f>SUMIFS('Business - Dump'!$U:$U,'Business - Dump'!$D:$D,'SKU Repoprt'!$D312,'Business - Dump'!$A:$A,'SKU Repoprt'!M$1)</f>
        <v>0</v>
      </c>
      <c r="N312" s="16">
        <f>SUMIFS('Business - Dump'!$U:$U,'Business - Dump'!$D:$D,'SKU Repoprt'!$D312,'Business - Dump'!$A:$A,'SKU Repoprt'!N$1)</f>
        <v>0</v>
      </c>
      <c r="O312" s="16">
        <f>SUMIFS('Business - Dump'!$U:$U,'Business - Dump'!$D:$D,'SKU Repoprt'!$D312,'Business - Dump'!$A:$A,'SKU Repoprt'!O$1)</f>
        <v>0</v>
      </c>
      <c r="P312" s="16">
        <f>SUMIFS('Business - Dump'!$U:$U,'Business - Dump'!$D:$D,'SKU Repoprt'!$D312,'Business - Dump'!$A:$A,'SKU Repoprt'!P$1)</f>
        <v>0</v>
      </c>
      <c r="Q312" s="16">
        <f>SUMIFS('Business - Dump'!$U:$U,'Business - Dump'!$D:$D,'SKU Repoprt'!$D312,'Business - Dump'!$A:$A,'SKU Repoprt'!Q$1)</f>
        <v>0</v>
      </c>
      <c r="R312" s="16">
        <f>SUMIFS('Business - Dump'!$U:$U,'Business - Dump'!$D:$D,'SKU Repoprt'!$D312,'Business - Dump'!$A:$A,'SKU Repoprt'!R$1)</f>
        <v>0</v>
      </c>
      <c r="S312" s="16">
        <f>SUMIFS('Business - Dump'!$U:$U,'Business - Dump'!$D:$D,'SKU Repoprt'!$D312,'Business - Dump'!$A:$A,'SKU Repoprt'!S$1)</f>
        <v>0</v>
      </c>
      <c r="T312" s="16">
        <f>SUMIFS('Business - Dump'!$U:$U,'Business - Dump'!$D:$D,'SKU Repoprt'!$D312,'Business - Dump'!$A:$A,'SKU Repoprt'!T$1)</f>
        <v>0</v>
      </c>
      <c r="U312" s="16">
        <f>SUMIFS('Business - Dump'!$U:$U,'Business - Dump'!$D:$D,'SKU Repoprt'!$D312,'Business - Dump'!$A:$A,'SKU Repoprt'!U$1)</f>
        <v>32610</v>
      </c>
      <c r="V312" s="16">
        <f>SUMIFS('Business - Dump'!$U:$U,'Business - Dump'!$D:$D,'SKU Repoprt'!$D312,'Business - Dump'!$A:$A,'SKU Repoprt'!V$1)</f>
        <v>0</v>
      </c>
      <c r="W312" s="16">
        <f>SUMIFS('Business - Dump'!$U:$U,'Business - Dump'!$D:$D,'SKU Repoprt'!$D312,'Business - Dump'!$A:$A,'SKU Repoprt'!W$1)</f>
        <v>0</v>
      </c>
    </row>
    <row r="313" ht="15.75" customHeight="1">
      <c r="A313" s="10" t="s">
        <v>140</v>
      </c>
      <c r="B313" s="10" t="s">
        <v>140</v>
      </c>
      <c r="C313" s="10"/>
      <c r="D313" s="10" t="s">
        <v>393</v>
      </c>
      <c r="E313" s="10" t="s">
        <v>29</v>
      </c>
      <c r="F313" s="17">
        <v>0.027042857142857143</v>
      </c>
      <c r="G313" s="17">
        <f t="shared" ref="G313:W313" si="104">IFERROR(G311/G308,0)</f>
        <v>0</v>
      </c>
      <c r="H313" s="17">
        <f t="shared" si="104"/>
        <v>0</v>
      </c>
      <c r="I313" s="17">
        <f t="shared" si="104"/>
        <v>0</v>
      </c>
      <c r="J313" s="17">
        <f t="shared" si="104"/>
        <v>0</v>
      </c>
      <c r="K313" s="17">
        <f t="shared" si="104"/>
        <v>0</v>
      </c>
      <c r="L313" s="17">
        <f t="shared" si="104"/>
        <v>0</v>
      </c>
      <c r="M313" s="17">
        <f t="shared" si="104"/>
        <v>0</v>
      </c>
      <c r="N313" s="17">
        <f t="shared" si="104"/>
        <v>0</v>
      </c>
      <c r="O313" s="17">
        <f t="shared" si="104"/>
        <v>0</v>
      </c>
      <c r="P313" s="17">
        <f t="shared" si="104"/>
        <v>0</v>
      </c>
      <c r="Q313" s="17">
        <f t="shared" si="104"/>
        <v>0</v>
      </c>
      <c r="R313" s="17">
        <f t="shared" si="104"/>
        <v>0</v>
      </c>
      <c r="S313" s="17">
        <f t="shared" si="104"/>
        <v>0</v>
      </c>
      <c r="T313" s="17">
        <f t="shared" si="104"/>
        <v>0</v>
      </c>
      <c r="U313" s="17">
        <f t="shared" si="104"/>
        <v>0.01408450704</v>
      </c>
      <c r="V313" s="17">
        <f t="shared" si="104"/>
        <v>0</v>
      </c>
      <c r="W313" s="17">
        <f t="shared" si="104"/>
        <v>0</v>
      </c>
    </row>
    <row r="314" ht="15.75" customHeight="1">
      <c r="A314" s="10" t="s">
        <v>140</v>
      </c>
      <c r="B314" s="10" t="s">
        <v>140</v>
      </c>
      <c r="C314" s="10"/>
      <c r="D314" s="10" t="s">
        <v>394</v>
      </c>
      <c r="E314" s="10" t="s">
        <v>257</v>
      </c>
      <c r="F314" s="3">
        <f t="shared" ref="F314:F318" si="105">SUM(G314:S314)</f>
        <v>111</v>
      </c>
      <c r="G314" s="3">
        <f>SUMIFS('Business - Dump'!$G:$G,'Business - Dump'!$D:$D,'SKU Repoprt'!$D314,'Business - Dump'!$A:$A,'SKU Repoprt'!G$1)</f>
        <v>0</v>
      </c>
      <c r="H314" s="3">
        <f>SUMIFS('Business - Dump'!$G:$G,'Business - Dump'!$D:$D,'SKU Repoprt'!$D314,'Business - Dump'!$A:$A,'SKU Repoprt'!H$1)</f>
        <v>0</v>
      </c>
      <c r="I314" s="3">
        <f>SUMIFS('Business - Dump'!$G:$G,'Business - Dump'!$D:$D,'SKU Repoprt'!$D314,'Business - Dump'!$A:$A,'SKU Repoprt'!I$1)</f>
        <v>0</v>
      </c>
      <c r="J314" s="3">
        <f>SUMIFS('Business - Dump'!$G:$G,'Business - Dump'!$D:$D,'SKU Repoprt'!$D314,'Business - Dump'!$A:$A,'SKU Repoprt'!J$1)</f>
        <v>0</v>
      </c>
      <c r="K314" s="3">
        <f>SUMIFS('Business - Dump'!$G:$G,'Business - Dump'!$D:$D,'SKU Repoprt'!$D314,'Business - Dump'!$A:$A,'SKU Repoprt'!K$1)</f>
        <v>0</v>
      </c>
      <c r="L314" s="3">
        <f>SUMIFS('Business - Dump'!$G:$G,'Business - Dump'!$D:$D,'SKU Repoprt'!$D314,'Business - Dump'!$A:$A,'SKU Repoprt'!L$1)</f>
        <v>0</v>
      </c>
      <c r="M314" s="3">
        <f>SUMIFS('Business - Dump'!$G:$G,'Business - Dump'!$D:$D,'SKU Repoprt'!$D314,'Business - Dump'!$A:$A,'SKU Repoprt'!M$1)</f>
        <v>0</v>
      </c>
      <c r="N314" s="3">
        <f>SUMIFS('Business - Dump'!$G:$G,'Business - Dump'!$D:$D,'SKU Repoprt'!$D314,'Business - Dump'!$A:$A,'SKU Repoprt'!N$1)</f>
        <v>6</v>
      </c>
      <c r="O314" s="3">
        <f>SUMIFS('Business - Dump'!$G:$G,'Business - Dump'!$D:$D,'SKU Repoprt'!$D314,'Business - Dump'!$A:$A,'SKU Repoprt'!O$1)</f>
        <v>26</v>
      </c>
      <c r="P314" s="3">
        <f>SUMIFS('Business - Dump'!$G:$G,'Business - Dump'!$D:$D,'SKU Repoprt'!$D314,'Business - Dump'!$A:$A,'SKU Repoprt'!P$1)</f>
        <v>40</v>
      </c>
      <c r="Q314" s="3">
        <f>SUMIFS('Business - Dump'!$G:$G,'Business - Dump'!$D:$D,'SKU Repoprt'!$D314,'Business - Dump'!$A:$A,'SKU Repoprt'!Q$1)</f>
        <v>0</v>
      </c>
      <c r="R314" s="3">
        <f>SUMIFS('Business - Dump'!$G:$G,'Business - Dump'!$D:$D,'SKU Repoprt'!$D314,'Business - Dump'!$A:$A,'SKU Repoprt'!R$1)</f>
        <v>9</v>
      </c>
      <c r="S314" s="3">
        <f>SUMIFS('Business - Dump'!$G:$G,'Business - Dump'!$D:$D,'SKU Repoprt'!$D314,'Business - Dump'!$A:$A,'SKU Repoprt'!S$1)</f>
        <v>30</v>
      </c>
      <c r="T314" s="3">
        <f>SUMIFS('Business - Dump'!$G:$G,'Business - Dump'!$D:$D,'SKU Repoprt'!$D314,'Business - Dump'!$A:$A,'SKU Repoprt'!T$1)</f>
        <v>69</v>
      </c>
      <c r="U314" s="3">
        <f>SUMIFS('Business - Dump'!$G:$G,'Business - Dump'!$D:$D,'SKU Repoprt'!$D314,'Business - Dump'!$A:$A,'SKU Repoprt'!U$1)</f>
        <v>97</v>
      </c>
      <c r="V314" s="3">
        <f>SUMIFS('Business - Dump'!$G:$G,'Business - Dump'!$D:$D,'SKU Repoprt'!$D314,'Business - Dump'!$A:$A,'SKU Repoprt'!V$1)</f>
        <v>16</v>
      </c>
      <c r="W314" s="3">
        <f>SUMIFS('Business - Dump'!$G:$G,'Business - Dump'!$D:$D,'SKU Repoprt'!$D314,'Business - Dump'!$A:$A,'SKU Repoprt'!W$1)</f>
        <v>13</v>
      </c>
    </row>
    <row r="315" ht="15.75" customHeight="1">
      <c r="A315" s="10" t="s">
        <v>140</v>
      </c>
      <c r="B315" s="10" t="s">
        <v>140</v>
      </c>
      <c r="C315" s="10"/>
      <c r="D315" s="10" t="s">
        <v>394</v>
      </c>
      <c r="E315" s="10" t="s">
        <v>260</v>
      </c>
      <c r="F315" s="3">
        <f t="shared" si="105"/>
        <v>160</v>
      </c>
      <c r="G315" s="3">
        <f>SUMIFS('Business - Dump'!$K:$K,'Business - Dump'!$D:$D,'SKU Repoprt'!$D315,'Business - Dump'!$A:$A,'SKU Repoprt'!G$1)</f>
        <v>0</v>
      </c>
      <c r="H315" s="3">
        <f>SUMIFS('Business - Dump'!$K:$K,'Business - Dump'!$D:$D,'SKU Repoprt'!$D315,'Business - Dump'!$A:$A,'SKU Repoprt'!H$1)</f>
        <v>0</v>
      </c>
      <c r="I315" s="3">
        <f>SUMIFS('Business - Dump'!$K:$K,'Business - Dump'!$D:$D,'SKU Repoprt'!$D315,'Business - Dump'!$A:$A,'SKU Repoprt'!I$1)</f>
        <v>0</v>
      </c>
      <c r="J315" s="3">
        <f>SUMIFS('Business - Dump'!$K:$K,'Business - Dump'!$D:$D,'SKU Repoprt'!$D315,'Business - Dump'!$A:$A,'SKU Repoprt'!J$1)</f>
        <v>0</v>
      </c>
      <c r="K315" s="3">
        <f>SUMIFS('Business - Dump'!$K:$K,'Business - Dump'!$D:$D,'SKU Repoprt'!$D315,'Business - Dump'!$A:$A,'SKU Repoprt'!K$1)</f>
        <v>0</v>
      </c>
      <c r="L315" s="3">
        <f>SUMIFS('Business - Dump'!$K:$K,'Business - Dump'!$D:$D,'SKU Repoprt'!$D315,'Business - Dump'!$A:$A,'SKU Repoprt'!L$1)</f>
        <v>0</v>
      </c>
      <c r="M315" s="3">
        <f>SUMIFS('Business - Dump'!$K:$K,'Business - Dump'!$D:$D,'SKU Repoprt'!$D315,'Business - Dump'!$A:$A,'SKU Repoprt'!M$1)</f>
        <v>0</v>
      </c>
      <c r="N315" s="3">
        <f>SUMIFS('Business - Dump'!$K:$K,'Business - Dump'!$D:$D,'SKU Repoprt'!$D315,'Business - Dump'!$A:$A,'SKU Repoprt'!N$1)</f>
        <v>6</v>
      </c>
      <c r="O315" s="3">
        <f>SUMIFS('Business - Dump'!$K:$K,'Business - Dump'!$D:$D,'SKU Repoprt'!$D315,'Business - Dump'!$A:$A,'SKU Repoprt'!O$1)</f>
        <v>48</v>
      </c>
      <c r="P315" s="3">
        <f>SUMIFS('Business - Dump'!$K:$K,'Business - Dump'!$D:$D,'SKU Repoprt'!$D315,'Business - Dump'!$A:$A,'SKU Repoprt'!P$1)</f>
        <v>54</v>
      </c>
      <c r="Q315" s="3">
        <f>SUMIFS('Business - Dump'!$K:$K,'Business - Dump'!$D:$D,'SKU Repoprt'!$D315,'Business - Dump'!$A:$A,'SKU Repoprt'!Q$1)</f>
        <v>0</v>
      </c>
      <c r="R315" s="3">
        <f>SUMIFS('Business - Dump'!$K:$K,'Business - Dump'!$D:$D,'SKU Repoprt'!$D315,'Business - Dump'!$A:$A,'SKU Repoprt'!R$1)</f>
        <v>12</v>
      </c>
      <c r="S315" s="3">
        <f>SUMIFS('Business - Dump'!$K:$K,'Business - Dump'!$D:$D,'SKU Repoprt'!$D315,'Business - Dump'!$A:$A,'SKU Repoprt'!S$1)</f>
        <v>40</v>
      </c>
      <c r="T315" s="3">
        <f>SUMIFS('Business - Dump'!$K:$K,'Business - Dump'!$D:$D,'SKU Repoprt'!$D315,'Business - Dump'!$A:$A,'SKU Repoprt'!T$1)</f>
        <v>108</v>
      </c>
      <c r="U315" s="3">
        <f>SUMIFS('Business - Dump'!$K:$K,'Business - Dump'!$D:$D,'SKU Repoprt'!$D315,'Business - Dump'!$A:$A,'SKU Repoprt'!U$1)</f>
        <v>121</v>
      </c>
      <c r="V315" s="3">
        <f>SUMIFS('Business - Dump'!$K:$K,'Business - Dump'!$D:$D,'SKU Repoprt'!$D315,'Business - Dump'!$A:$A,'SKU Repoprt'!V$1)</f>
        <v>20</v>
      </c>
      <c r="W315" s="3">
        <f>SUMIFS('Business - Dump'!$K:$K,'Business - Dump'!$D:$D,'SKU Repoprt'!$D315,'Business - Dump'!$A:$A,'SKU Repoprt'!W$1)</f>
        <v>19</v>
      </c>
    </row>
    <row r="316" ht="15.75" customHeight="1">
      <c r="A316" s="10" t="s">
        <v>140</v>
      </c>
      <c r="B316" s="10" t="s">
        <v>140</v>
      </c>
      <c r="C316" s="10"/>
      <c r="D316" s="10" t="s">
        <v>394</v>
      </c>
      <c r="E316" s="10" t="s">
        <v>264</v>
      </c>
      <c r="F316" s="3">
        <f t="shared" si="105"/>
        <v>1</v>
      </c>
      <c r="G316" s="3">
        <f>SUMIFS('Business - Dump'!$Q:$Q,'Business - Dump'!$D:$D,'SKU Repoprt'!$D316,'Business - Dump'!$A:$A,'SKU Repoprt'!G$1)</f>
        <v>0</v>
      </c>
      <c r="H316" s="3">
        <f>SUMIFS('Business - Dump'!$Q:$Q,'Business - Dump'!$D:$D,'SKU Repoprt'!$D316,'Business - Dump'!$A:$A,'SKU Repoprt'!H$1)</f>
        <v>0</v>
      </c>
      <c r="I316" s="3">
        <f>SUMIFS('Business - Dump'!$Q:$Q,'Business - Dump'!$D:$D,'SKU Repoprt'!$D316,'Business - Dump'!$A:$A,'SKU Repoprt'!I$1)</f>
        <v>0</v>
      </c>
      <c r="J316" s="3">
        <f>SUMIFS('Business - Dump'!$Q:$Q,'Business - Dump'!$D:$D,'SKU Repoprt'!$D316,'Business - Dump'!$A:$A,'SKU Repoprt'!J$1)</f>
        <v>0</v>
      </c>
      <c r="K316" s="3">
        <f>SUMIFS('Business - Dump'!$Q:$Q,'Business - Dump'!$D:$D,'SKU Repoprt'!$D316,'Business - Dump'!$A:$A,'SKU Repoprt'!K$1)</f>
        <v>0</v>
      </c>
      <c r="L316" s="3">
        <f>SUMIFS('Business - Dump'!$Q:$Q,'Business - Dump'!$D:$D,'SKU Repoprt'!$D316,'Business - Dump'!$A:$A,'SKU Repoprt'!L$1)</f>
        <v>0</v>
      </c>
      <c r="M316" s="3">
        <f>SUMIFS('Business - Dump'!$Q:$Q,'Business - Dump'!$D:$D,'SKU Repoprt'!$D316,'Business - Dump'!$A:$A,'SKU Repoprt'!M$1)</f>
        <v>0</v>
      </c>
      <c r="N316" s="3">
        <f>SUMIFS('Business - Dump'!$Q:$Q,'Business - Dump'!$D:$D,'SKU Repoprt'!$D316,'Business - Dump'!$A:$A,'SKU Repoprt'!N$1)</f>
        <v>0</v>
      </c>
      <c r="O316" s="3">
        <f>SUMIFS('Business - Dump'!$Q:$Q,'Business - Dump'!$D:$D,'SKU Repoprt'!$D316,'Business - Dump'!$A:$A,'SKU Repoprt'!O$1)</f>
        <v>1</v>
      </c>
      <c r="P316" s="3">
        <f>SUMIFS('Business - Dump'!$Q:$Q,'Business - Dump'!$D:$D,'SKU Repoprt'!$D316,'Business - Dump'!$A:$A,'SKU Repoprt'!P$1)</f>
        <v>0</v>
      </c>
      <c r="Q316" s="3">
        <f>SUMIFS('Business - Dump'!$Q:$Q,'Business - Dump'!$D:$D,'SKU Repoprt'!$D316,'Business - Dump'!$A:$A,'SKU Repoprt'!Q$1)</f>
        <v>0</v>
      </c>
      <c r="R316" s="3">
        <f>SUMIFS('Business - Dump'!$Q:$Q,'Business - Dump'!$D:$D,'SKU Repoprt'!$D316,'Business - Dump'!$A:$A,'SKU Repoprt'!R$1)</f>
        <v>0</v>
      </c>
      <c r="S316" s="3">
        <f>SUMIFS('Business - Dump'!$Q:$Q,'Business - Dump'!$D:$D,'SKU Repoprt'!$D316,'Business - Dump'!$A:$A,'SKU Repoprt'!S$1)</f>
        <v>0</v>
      </c>
      <c r="T316" s="3">
        <f>SUMIFS('Business - Dump'!$Q:$Q,'Business - Dump'!$D:$D,'SKU Repoprt'!$D316,'Business - Dump'!$A:$A,'SKU Repoprt'!T$1)</f>
        <v>0</v>
      </c>
      <c r="U316" s="3">
        <f>SUMIFS('Business - Dump'!$Q:$Q,'Business - Dump'!$D:$D,'SKU Repoprt'!$D316,'Business - Dump'!$A:$A,'SKU Repoprt'!U$1)</f>
        <v>1</v>
      </c>
      <c r="V316" s="3">
        <f>SUMIFS('Business - Dump'!$Q:$Q,'Business - Dump'!$D:$D,'SKU Repoprt'!$D316,'Business - Dump'!$A:$A,'SKU Repoprt'!V$1)</f>
        <v>0</v>
      </c>
      <c r="W316" s="3">
        <f>SUMIFS('Business - Dump'!$Q:$Q,'Business - Dump'!$D:$D,'SKU Repoprt'!$D316,'Business - Dump'!$A:$A,'SKU Repoprt'!W$1)</f>
        <v>0</v>
      </c>
    </row>
    <row r="317" ht="15.75" customHeight="1">
      <c r="A317" s="10" t="s">
        <v>140</v>
      </c>
      <c r="B317" s="10" t="s">
        <v>140</v>
      </c>
      <c r="C317" s="10"/>
      <c r="D317" s="10" t="s">
        <v>394</v>
      </c>
      <c r="E317" s="10" t="s">
        <v>268</v>
      </c>
      <c r="F317" s="3">
        <f t="shared" si="105"/>
        <v>1</v>
      </c>
      <c r="G317" s="3">
        <f>SUMIFS('Business - Dump'!$W:$W,'Business - Dump'!$D:$D,'SKU Repoprt'!$D317,'Business - Dump'!$A:$A,'SKU Repoprt'!G$1)</f>
        <v>0</v>
      </c>
      <c r="H317" s="3">
        <f>SUMIFS('Business - Dump'!$W:$W,'Business - Dump'!$D:$D,'SKU Repoprt'!$D317,'Business - Dump'!$A:$A,'SKU Repoprt'!H$1)</f>
        <v>0</v>
      </c>
      <c r="I317" s="3">
        <f>SUMIFS('Business - Dump'!$W:$W,'Business - Dump'!$D:$D,'SKU Repoprt'!$D317,'Business - Dump'!$A:$A,'SKU Repoprt'!I$1)</f>
        <v>0</v>
      </c>
      <c r="J317" s="3">
        <f>SUMIFS('Business - Dump'!$W:$W,'Business - Dump'!$D:$D,'SKU Repoprt'!$D317,'Business - Dump'!$A:$A,'SKU Repoprt'!J$1)</f>
        <v>0</v>
      </c>
      <c r="K317" s="3">
        <f>SUMIFS('Business - Dump'!$W:$W,'Business - Dump'!$D:$D,'SKU Repoprt'!$D317,'Business - Dump'!$A:$A,'SKU Repoprt'!K$1)</f>
        <v>0</v>
      </c>
      <c r="L317" s="3">
        <f>SUMIFS('Business - Dump'!$W:$W,'Business - Dump'!$D:$D,'SKU Repoprt'!$D317,'Business - Dump'!$A:$A,'SKU Repoprt'!L$1)</f>
        <v>0</v>
      </c>
      <c r="M317" s="3">
        <f>SUMIFS('Business - Dump'!$W:$W,'Business - Dump'!$D:$D,'SKU Repoprt'!$D317,'Business - Dump'!$A:$A,'SKU Repoprt'!M$1)</f>
        <v>0</v>
      </c>
      <c r="N317" s="3">
        <f>SUMIFS('Business - Dump'!$W:$W,'Business - Dump'!$D:$D,'SKU Repoprt'!$D317,'Business - Dump'!$A:$A,'SKU Repoprt'!N$1)</f>
        <v>0</v>
      </c>
      <c r="O317" s="3">
        <f>SUMIFS('Business - Dump'!$W:$W,'Business - Dump'!$D:$D,'SKU Repoprt'!$D317,'Business - Dump'!$A:$A,'SKU Repoprt'!O$1)</f>
        <v>1</v>
      </c>
      <c r="P317" s="3">
        <f>SUMIFS('Business - Dump'!$W:$W,'Business - Dump'!$D:$D,'SKU Repoprt'!$D317,'Business - Dump'!$A:$A,'SKU Repoprt'!P$1)</f>
        <v>0</v>
      </c>
      <c r="Q317" s="3">
        <f>SUMIFS('Business - Dump'!$W:$W,'Business - Dump'!$D:$D,'SKU Repoprt'!$D317,'Business - Dump'!$A:$A,'SKU Repoprt'!Q$1)</f>
        <v>0</v>
      </c>
      <c r="R317" s="3">
        <f>SUMIFS('Business - Dump'!$W:$W,'Business - Dump'!$D:$D,'SKU Repoprt'!$D317,'Business - Dump'!$A:$A,'SKU Repoprt'!R$1)</f>
        <v>0</v>
      </c>
      <c r="S317" s="3">
        <f>SUMIFS('Business - Dump'!$W:$W,'Business - Dump'!$D:$D,'SKU Repoprt'!$D317,'Business - Dump'!$A:$A,'SKU Repoprt'!S$1)</f>
        <v>0</v>
      </c>
      <c r="T317" s="3">
        <f>SUMIFS('Business - Dump'!$W:$W,'Business - Dump'!$D:$D,'SKU Repoprt'!$D317,'Business - Dump'!$A:$A,'SKU Repoprt'!T$1)</f>
        <v>0</v>
      </c>
      <c r="U317" s="3">
        <f>SUMIFS('Business - Dump'!$W:$W,'Business - Dump'!$D:$D,'SKU Repoprt'!$D317,'Business - Dump'!$A:$A,'SKU Repoprt'!U$1)</f>
        <v>1</v>
      </c>
      <c r="V317" s="3">
        <f>SUMIFS('Business - Dump'!$W:$W,'Business - Dump'!$D:$D,'SKU Repoprt'!$D317,'Business - Dump'!$A:$A,'SKU Repoprt'!V$1)</f>
        <v>0</v>
      </c>
      <c r="W317" s="3">
        <f>SUMIFS('Business - Dump'!$W:$W,'Business - Dump'!$D:$D,'SKU Repoprt'!$D317,'Business - Dump'!$A:$A,'SKU Repoprt'!W$1)</f>
        <v>0</v>
      </c>
    </row>
    <row r="318" ht="15.75" customHeight="1">
      <c r="A318" s="10" t="s">
        <v>140</v>
      </c>
      <c r="B318" s="10" t="s">
        <v>140</v>
      </c>
      <c r="C318" s="10"/>
      <c r="D318" s="10" t="s">
        <v>394</v>
      </c>
      <c r="E318" s="10" t="s">
        <v>26</v>
      </c>
      <c r="F318" s="16">
        <f t="shared" si="105"/>
        <v>30381.36</v>
      </c>
      <c r="G318" s="16">
        <f>SUMIFS('Business - Dump'!$U:$U,'Business - Dump'!$D:$D,'SKU Repoprt'!$D318,'Business - Dump'!$A:$A,'SKU Repoprt'!G$1)</f>
        <v>0</v>
      </c>
      <c r="H318" s="16">
        <f>SUMIFS('Business - Dump'!$U:$U,'Business - Dump'!$D:$D,'SKU Repoprt'!$D318,'Business - Dump'!$A:$A,'SKU Repoprt'!H$1)</f>
        <v>0</v>
      </c>
      <c r="I318" s="16">
        <f>SUMIFS('Business - Dump'!$U:$U,'Business - Dump'!$D:$D,'SKU Repoprt'!$D318,'Business - Dump'!$A:$A,'SKU Repoprt'!I$1)</f>
        <v>0</v>
      </c>
      <c r="J318" s="16">
        <f>SUMIFS('Business - Dump'!$U:$U,'Business - Dump'!$D:$D,'SKU Repoprt'!$D318,'Business - Dump'!$A:$A,'SKU Repoprt'!J$1)</f>
        <v>0</v>
      </c>
      <c r="K318" s="16">
        <f>SUMIFS('Business - Dump'!$U:$U,'Business - Dump'!$D:$D,'SKU Repoprt'!$D318,'Business - Dump'!$A:$A,'SKU Repoprt'!K$1)</f>
        <v>0</v>
      </c>
      <c r="L318" s="16">
        <f>SUMIFS('Business - Dump'!$U:$U,'Business - Dump'!$D:$D,'SKU Repoprt'!$D318,'Business - Dump'!$A:$A,'SKU Repoprt'!L$1)</f>
        <v>0</v>
      </c>
      <c r="M318" s="16">
        <f>SUMIFS('Business - Dump'!$U:$U,'Business - Dump'!$D:$D,'SKU Repoprt'!$D318,'Business - Dump'!$A:$A,'SKU Repoprt'!M$1)</f>
        <v>0</v>
      </c>
      <c r="N318" s="16">
        <f>SUMIFS('Business - Dump'!$U:$U,'Business - Dump'!$D:$D,'SKU Repoprt'!$D318,'Business - Dump'!$A:$A,'SKU Repoprt'!N$1)</f>
        <v>0</v>
      </c>
      <c r="O318" s="16">
        <f>SUMIFS('Business - Dump'!$U:$U,'Business - Dump'!$D:$D,'SKU Repoprt'!$D318,'Business - Dump'!$A:$A,'SKU Repoprt'!O$1)</f>
        <v>30381.36</v>
      </c>
      <c r="P318" s="16">
        <f>SUMIFS('Business - Dump'!$U:$U,'Business - Dump'!$D:$D,'SKU Repoprt'!$D318,'Business - Dump'!$A:$A,'SKU Repoprt'!P$1)</f>
        <v>0</v>
      </c>
      <c r="Q318" s="16">
        <f>SUMIFS('Business - Dump'!$U:$U,'Business - Dump'!$D:$D,'SKU Repoprt'!$D318,'Business - Dump'!$A:$A,'SKU Repoprt'!Q$1)</f>
        <v>0</v>
      </c>
      <c r="R318" s="16">
        <f>SUMIFS('Business - Dump'!$U:$U,'Business - Dump'!$D:$D,'SKU Repoprt'!$D318,'Business - Dump'!$A:$A,'SKU Repoprt'!R$1)</f>
        <v>0</v>
      </c>
      <c r="S318" s="16">
        <f>SUMIFS('Business - Dump'!$U:$U,'Business - Dump'!$D:$D,'SKU Repoprt'!$D318,'Business - Dump'!$A:$A,'SKU Repoprt'!S$1)</f>
        <v>0</v>
      </c>
      <c r="T318" s="16">
        <f>SUMIFS('Business - Dump'!$U:$U,'Business - Dump'!$D:$D,'SKU Repoprt'!$D318,'Business - Dump'!$A:$A,'SKU Repoprt'!T$1)</f>
        <v>0</v>
      </c>
      <c r="U318" s="16">
        <f>SUMIFS('Business - Dump'!$U:$U,'Business - Dump'!$D:$D,'SKU Repoprt'!$D318,'Business - Dump'!$A:$A,'SKU Repoprt'!U$1)</f>
        <v>32695.08</v>
      </c>
      <c r="V318" s="16">
        <f>SUMIFS('Business - Dump'!$U:$U,'Business - Dump'!$D:$D,'SKU Repoprt'!$D318,'Business - Dump'!$A:$A,'SKU Repoprt'!V$1)</f>
        <v>0</v>
      </c>
      <c r="W318" s="16">
        <f>SUMIFS('Business - Dump'!$U:$U,'Business - Dump'!$D:$D,'SKU Repoprt'!$D318,'Business - Dump'!$A:$A,'SKU Repoprt'!W$1)</f>
        <v>0</v>
      </c>
    </row>
    <row r="319" ht="15.75" customHeight="1">
      <c r="A319" s="10" t="s">
        <v>140</v>
      </c>
      <c r="B319" s="10" t="s">
        <v>140</v>
      </c>
      <c r="C319" s="10"/>
      <c r="D319" s="10" t="s">
        <v>394</v>
      </c>
      <c r="E319" s="10" t="s">
        <v>29</v>
      </c>
      <c r="F319" s="17">
        <v>0.027042857142857143</v>
      </c>
      <c r="G319" s="17">
        <f t="shared" ref="G319:W319" si="106">IFERROR(G317/G314,0)</f>
        <v>0</v>
      </c>
      <c r="H319" s="17">
        <f t="shared" si="106"/>
        <v>0</v>
      </c>
      <c r="I319" s="17">
        <f t="shared" si="106"/>
        <v>0</v>
      </c>
      <c r="J319" s="17">
        <f t="shared" si="106"/>
        <v>0</v>
      </c>
      <c r="K319" s="17">
        <f t="shared" si="106"/>
        <v>0</v>
      </c>
      <c r="L319" s="17">
        <f t="shared" si="106"/>
        <v>0</v>
      </c>
      <c r="M319" s="17">
        <f t="shared" si="106"/>
        <v>0</v>
      </c>
      <c r="N319" s="17">
        <f t="shared" si="106"/>
        <v>0</v>
      </c>
      <c r="O319" s="17">
        <f t="shared" si="106"/>
        <v>0.03846153846</v>
      </c>
      <c r="P319" s="17">
        <f t="shared" si="106"/>
        <v>0</v>
      </c>
      <c r="Q319" s="17">
        <f t="shared" si="106"/>
        <v>0</v>
      </c>
      <c r="R319" s="17">
        <f t="shared" si="106"/>
        <v>0</v>
      </c>
      <c r="S319" s="17">
        <f t="shared" si="106"/>
        <v>0</v>
      </c>
      <c r="T319" s="17">
        <f t="shared" si="106"/>
        <v>0</v>
      </c>
      <c r="U319" s="17">
        <f t="shared" si="106"/>
        <v>0.01030927835</v>
      </c>
      <c r="V319" s="17">
        <f t="shared" si="106"/>
        <v>0</v>
      </c>
      <c r="W319" s="17">
        <f t="shared" si="106"/>
        <v>0</v>
      </c>
    </row>
    <row r="320" ht="15.75" customHeight="1">
      <c r="A320" s="10" t="s">
        <v>205</v>
      </c>
      <c r="B320" s="10" t="s">
        <v>205</v>
      </c>
      <c r="C320" s="10"/>
      <c r="D320" s="10" t="s">
        <v>364</v>
      </c>
      <c r="E320" s="10" t="s">
        <v>257</v>
      </c>
      <c r="F320" s="3">
        <f t="shared" ref="F320:F324" si="107">SUM(G320:S320)</f>
        <v>6815</v>
      </c>
      <c r="G320" s="3">
        <f>SUMIFS('Business - Dump'!$G:$G,'Business - Dump'!$D:$D,'SKU Repoprt'!$D320,'Business - Dump'!$A:$A,'SKU Repoprt'!G$1)</f>
        <v>0</v>
      </c>
      <c r="H320" s="3">
        <f>SUMIFS('Business - Dump'!$G:$G,'Business - Dump'!$D:$D,'SKU Repoprt'!$D320,'Business - Dump'!$A:$A,'SKU Repoprt'!H$1)</f>
        <v>0</v>
      </c>
      <c r="I320" s="3">
        <f>SUMIFS('Business - Dump'!$G:$G,'Business - Dump'!$D:$D,'SKU Repoprt'!$D320,'Business - Dump'!$A:$A,'SKU Repoprt'!I$1)</f>
        <v>0</v>
      </c>
      <c r="J320" s="3">
        <f>SUMIFS('Business - Dump'!$G:$G,'Business - Dump'!$D:$D,'SKU Repoprt'!$D320,'Business - Dump'!$A:$A,'SKU Repoprt'!J$1)</f>
        <v>153</v>
      </c>
      <c r="K320" s="3">
        <f>SUMIFS('Business - Dump'!$G:$G,'Business - Dump'!$D:$D,'SKU Repoprt'!$D320,'Business - Dump'!$A:$A,'SKU Repoprt'!K$1)</f>
        <v>0</v>
      </c>
      <c r="L320" s="3">
        <f>SUMIFS('Business - Dump'!$G:$G,'Business - Dump'!$D:$D,'SKU Repoprt'!$D320,'Business - Dump'!$A:$A,'SKU Repoprt'!L$1)</f>
        <v>612</v>
      </c>
      <c r="M320" s="3">
        <f>SUMIFS('Business - Dump'!$G:$G,'Business - Dump'!$D:$D,'SKU Repoprt'!$D320,'Business - Dump'!$A:$A,'SKU Repoprt'!M$1)</f>
        <v>1025</v>
      </c>
      <c r="N320" s="3">
        <f>SUMIFS('Business - Dump'!$G:$G,'Business - Dump'!$D:$D,'SKU Repoprt'!$D320,'Business - Dump'!$A:$A,'SKU Repoprt'!N$1)</f>
        <v>633</v>
      </c>
      <c r="O320" s="3">
        <f>SUMIFS('Business - Dump'!$G:$G,'Business - Dump'!$D:$D,'SKU Repoprt'!$D320,'Business - Dump'!$A:$A,'SKU Repoprt'!O$1)</f>
        <v>1264</v>
      </c>
      <c r="P320" s="3">
        <f>SUMIFS('Business - Dump'!$G:$G,'Business - Dump'!$D:$D,'SKU Repoprt'!$D320,'Business - Dump'!$A:$A,'SKU Repoprt'!P$1)</f>
        <v>698</v>
      </c>
      <c r="Q320" s="3">
        <f>SUMIFS('Business - Dump'!$G:$G,'Business - Dump'!$D:$D,'SKU Repoprt'!$D320,'Business - Dump'!$A:$A,'SKU Repoprt'!Q$1)</f>
        <v>1132</v>
      </c>
      <c r="R320" s="3">
        <f>SUMIFS('Business - Dump'!$G:$G,'Business - Dump'!$D:$D,'SKU Repoprt'!$D320,'Business - Dump'!$A:$A,'SKU Repoprt'!R$1)</f>
        <v>850</v>
      </c>
      <c r="S320" s="3">
        <f>SUMIFS('Business - Dump'!$G:$G,'Business - Dump'!$D:$D,'SKU Repoprt'!$D320,'Business - Dump'!$A:$A,'SKU Repoprt'!S$1)</f>
        <v>448</v>
      </c>
      <c r="T320" s="3">
        <f>SUMIFS('Business - Dump'!$G:$G,'Business - Dump'!$D:$D,'SKU Repoprt'!$D320,'Business - Dump'!$A:$A,'SKU Repoprt'!T$1)</f>
        <v>390</v>
      </c>
      <c r="U320" s="3">
        <f>SUMIFS('Business - Dump'!$G:$G,'Business - Dump'!$D:$D,'SKU Repoprt'!$D320,'Business - Dump'!$A:$A,'SKU Repoprt'!U$1)</f>
        <v>462</v>
      </c>
      <c r="V320" s="3">
        <f>SUMIFS('Business - Dump'!$G:$G,'Business - Dump'!$D:$D,'SKU Repoprt'!$D320,'Business - Dump'!$A:$A,'SKU Repoprt'!V$1)</f>
        <v>361</v>
      </c>
      <c r="W320" s="3">
        <f>SUMIFS('Business - Dump'!$G:$G,'Business - Dump'!$D:$D,'SKU Repoprt'!$D320,'Business - Dump'!$A:$A,'SKU Repoprt'!W$1)</f>
        <v>1833</v>
      </c>
    </row>
    <row r="321" ht="15.75" customHeight="1">
      <c r="A321" s="10" t="s">
        <v>205</v>
      </c>
      <c r="B321" s="10" t="s">
        <v>205</v>
      </c>
      <c r="C321" s="10"/>
      <c r="D321" s="10" t="s">
        <v>364</v>
      </c>
      <c r="E321" s="10" t="s">
        <v>260</v>
      </c>
      <c r="F321" s="3">
        <f t="shared" si="107"/>
        <v>9647</v>
      </c>
      <c r="G321" s="3">
        <f>SUMIFS('Business - Dump'!$K:$K,'Business - Dump'!$D:$D,'SKU Repoprt'!$D321,'Business - Dump'!$A:$A,'SKU Repoprt'!G$1)</f>
        <v>0</v>
      </c>
      <c r="H321" s="3">
        <f>SUMIFS('Business - Dump'!$K:$K,'Business - Dump'!$D:$D,'SKU Repoprt'!$D321,'Business - Dump'!$A:$A,'SKU Repoprt'!H$1)</f>
        <v>0</v>
      </c>
      <c r="I321" s="3">
        <f>SUMIFS('Business - Dump'!$K:$K,'Business - Dump'!$D:$D,'SKU Repoprt'!$D321,'Business - Dump'!$A:$A,'SKU Repoprt'!I$1)</f>
        <v>0</v>
      </c>
      <c r="J321" s="3">
        <f>SUMIFS('Business - Dump'!$K:$K,'Business - Dump'!$D:$D,'SKU Repoprt'!$D321,'Business - Dump'!$A:$A,'SKU Repoprt'!J$1)</f>
        <v>214</v>
      </c>
      <c r="K321" s="3">
        <f>SUMIFS('Business - Dump'!$K:$K,'Business - Dump'!$D:$D,'SKU Repoprt'!$D321,'Business - Dump'!$A:$A,'SKU Repoprt'!K$1)</f>
        <v>0</v>
      </c>
      <c r="L321" s="3">
        <f>SUMIFS('Business - Dump'!$K:$K,'Business - Dump'!$D:$D,'SKU Repoprt'!$D321,'Business - Dump'!$A:$A,'SKU Repoprt'!L$1)</f>
        <v>842</v>
      </c>
      <c r="M321" s="3">
        <f>SUMIFS('Business - Dump'!$K:$K,'Business - Dump'!$D:$D,'SKU Repoprt'!$D321,'Business - Dump'!$A:$A,'SKU Repoprt'!M$1)</f>
        <v>1817</v>
      </c>
      <c r="N321" s="3">
        <f>SUMIFS('Business - Dump'!$K:$K,'Business - Dump'!$D:$D,'SKU Repoprt'!$D321,'Business - Dump'!$A:$A,'SKU Repoprt'!N$1)</f>
        <v>899</v>
      </c>
      <c r="O321" s="3">
        <f>SUMIFS('Business - Dump'!$K:$K,'Business - Dump'!$D:$D,'SKU Repoprt'!$D321,'Business - Dump'!$A:$A,'SKU Repoprt'!O$1)</f>
        <v>1647</v>
      </c>
      <c r="P321" s="3">
        <f>SUMIFS('Business - Dump'!$K:$K,'Business - Dump'!$D:$D,'SKU Repoprt'!$D321,'Business - Dump'!$A:$A,'SKU Repoprt'!P$1)</f>
        <v>921</v>
      </c>
      <c r="Q321" s="3">
        <f>SUMIFS('Business - Dump'!$K:$K,'Business - Dump'!$D:$D,'SKU Repoprt'!$D321,'Business - Dump'!$A:$A,'SKU Repoprt'!Q$1)</f>
        <v>1528</v>
      </c>
      <c r="R321" s="3">
        <f>SUMIFS('Business - Dump'!$K:$K,'Business - Dump'!$D:$D,'SKU Repoprt'!$D321,'Business - Dump'!$A:$A,'SKU Repoprt'!R$1)</f>
        <v>1165</v>
      </c>
      <c r="S321" s="3">
        <f>SUMIFS('Business - Dump'!$K:$K,'Business - Dump'!$D:$D,'SKU Repoprt'!$D321,'Business - Dump'!$A:$A,'SKU Repoprt'!S$1)</f>
        <v>614</v>
      </c>
      <c r="T321" s="3">
        <f>SUMIFS('Business - Dump'!$K:$K,'Business - Dump'!$D:$D,'SKU Repoprt'!$D321,'Business - Dump'!$A:$A,'SKU Repoprt'!T$1)</f>
        <v>524</v>
      </c>
      <c r="U321" s="3">
        <f>SUMIFS('Business - Dump'!$K:$K,'Business - Dump'!$D:$D,'SKU Repoprt'!$D321,'Business - Dump'!$A:$A,'SKU Repoprt'!U$1)</f>
        <v>634</v>
      </c>
      <c r="V321" s="3">
        <f>SUMIFS('Business - Dump'!$K:$K,'Business - Dump'!$D:$D,'SKU Repoprt'!$D321,'Business - Dump'!$A:$A,'SKU Repoprt'!V$1)</f>
        <v>519</v>
      </c>
      <c r="W321" s="3">
        <f>SUMIFS('Business - Dump'!$K:$K,'Business - Dump'!$D:$D,'SKU Repoprt'!$D321,'Business - Dump'!$A:$A,'SKU Repoprt'!W$1)</f>
        <v>2427</v>
      </c>
    </row>
    <row r="322" ht="15.75" customHeight="1">
      <c r="A322" s="10" t="s">
        <v>205</v>
      </c>
      <c r="B322" s="10" t="s">
        <v>205</v>
      </c>
      <c r="C322" s="10"/>
      <c r="D322" s="10" t="s">
        <v>364</v>
      </c>
      <c r="E322" s="10" t="s">
        <v>264</v>
      </c>
      <c r="F322" s="3">
        <f t="shared" si="107"/>
        <v>43</v>
      </c>
      <c r="G322" s="3">
        <f>SUMIFS('Business - Dump'!$Q:$Q,'Business - Dump'!$D:$D,'SKU Repoprt'!$D322,'Business - Dump'!$A:$A,'SKU Repoprt'!G$1)</f>
        <v>0</v>
      </c>
      <c r="H322" s="3">
        <f>SUMIFS('Business - Dump'!$Q:$Q,'Business - Dump'!$D:$D,'SKU Repoprt'!$D322,'Business - Dump'!$A:$A,'SKU Repoprt'!H$1)</f>
        <v>0</v>
      </c>
      <c r="I322" s="3">
        <f>SUMIFS('Business - Dump'!$Q:$Q,'Business - Dump'!$D:$D,'SKU Repoprt'!$D322,'Business - Dump'!$A:$A,'SKU Repoprt'!I$1)</f>
        <v>0</v>
      </c>
      <c r="J322" s="3">
        <f>SUMIFS('Business - Dump'!$Q:$Q,'Business - Dump'!$D:$D,'SKU Repoprt'!$D322,'Business - Dump'!$A:$A,'SKU Repoprt'!J$1)</f>
        <v>1</v>
      </c>
      <c r="K322" s="3">
        <f>SUMIFS('Business - Dump'!$Q:$Q,'Business - Dump'!$D:$D,'SKU Repoprt'!$D322,'Business - Dump'!$A:$A,'SKU Repoprt'!K$1)</f>
        <v>0</v>
      </c>
      <c r="L322" s="3">
        <f>SUMIFS('Business - Dump'!$Q:$Q,'Business - Dump'!$D:$D,'SKU Repoprt'!$D322,'Business - Dump'!$A:$A,'SKU Repoprt'!L$1)</f>
        <v>3</v>
      </c>
      <c r="M322" s="3">
        <f>SUMIFS('Business - Dump'!$Q:$Q,'Business - Dump'!$D:$D,'SKU Repoprt'!$D322,'Business - Dump'!$A:$A,'SKU Repoprt'!M$1)</f>
        <v>4</v>
      </c>
      <c r="N322" s="3">
        <f>SUMIFS('Business - Dump'!$Q:$Q,'Business - Dump'!$D:$D,'SKU Repoprt'!$D322,'Business - Dump'!$A:$A,'SKU Repoprt'!N$1)</f>
        <v>3</v>
      </c>
      <c r="O322" s="3">
        <f>SUMIFS('Business - Dump'!$Q:$Q,'Business - Dump'!$D:$D,'SKU Repoprt'!$D322,'Business - Dump'!$A:$A,'SKU Repoprt'!O$1)</f>
        <v>6</v>
      </c>
      <c r="P322" s="3">
        <f>SUMIFS('Business - Dump'!$Q:$Q,'Business - Dump'!$D:$D,'SKU Repoprt'!$D322,'Business - Dump'!$A:$A,'SKU Repoprt'!P$1)</f>
        <v>6</v>
      </c>
      <c r="Q322" s="3">
        <f>SUMIFS('Business - Dump'!$Q:$Q,'Business - Dump'!$D:$D,'SKU Repoprt'!$D322,'Business - Dump'!$A:$A,'SKU Repoprt'!Q$1)</f>
        <v>6</v>
      </c>
      <c r="R322" s="3">
        <f>SUMIFS('Business - Dump'!$Q:$Q,'Business - Dump'!$D:$D,'SKU Repoprt'!$D322,'Business - Dump'!$A:$A,'SKU Repoprt'!R$1)</f>
        <v>11</v>
      </c>
      <c r="S322" s="3">
        <f>SUMIFS('Business - Dump'!$Q:$Q,'Business - Dump'!$D:$D,'SKU Repoprt'!$D322,'Business - Dump'!$A:$A,'SKU Repoprt'!S$1)</f>
        <v>3</v>
      </c>
      <c r="T322" s="3">
        <f>SUMIFS('Business - Dump'!$Q:$Q,'Business - Dump'!$D:$D,'SKU Repoprt'!$D322,'Business - Dump'!$A:$A,'SKU Repoprt'!T$1)</f>
        <v>1</v>
      </c>
      <c r="U322" s="3">
        <f>SUMIFS('Business - Dump'!$Q:$Q,'Business - Dump'!$D:$D,'SKU Repoprt'!$D322,'Business - Dump'!$A:$A,'SKU Repoprt'!U$1)</f>
        <v>2</v>
      </c>
      <c r="V322" s="3">
        <f>SUMIFS('Business - Dump'!$Q:$Q,'Business - Dump'!$D:$D,'SKU Repoprt'!$D322,'Business - Dump'!$A:$A,'SKU Repoprt'!V$1)</f>
        <v>2</v>
      </c>
      <c r="W322" s="3">
        <f>SUMIFS('Business - Dump'!$Q:$Q,'Business - Dump'!$D:$D,'SKU Repoprt'!$D322,'Business - Dump'!$A:$A,'SKU Repoprt'!W$1)</f>
        <v>4</v>
      </c>
    </row>
    <row r="323" ht="15.75" customHeight="1">
      <c r="A323" s="10" t="s">
        <v>205</v>
      </c>
      <c r="B323" s="10" t="s">
        <v>205</v>
      </c>
      <c r="C323" s="10"/>
      <c r="D323" s="10" t="s">
        <v>364</v>
      </c>
      <c r="E323" s="10" t="s">
        <v>268</v>
      </c>
      <c r="F323" s="3">
        <f t="shared" si="107"/>
        <v>43</v>
      </c>
      <c r="G323" s="3">
        <f>SUMIFS('Business - Dump'!$W:$W,'Business - Dump'!$D:$D,'SKU Repoprt'!$D323,'Business - Dump'!$A:$A,'SKU Repoprt'!G$1)</f>
        <v>0</v>
      </c>
      <c r="H323" s="3">
        <f>SUMIFS('Business - Dump'!$W:$W,'Business - Dump'!$D:$D,'SKU Repoprt'!$D323,'Business - Dump'!$A:$A,'SKU Repoprt'!H$1)</f>
        <v>0</v>
      </c>
      <c r="I323" s="3">
        <f>SUMIFS('Business - Dump'!$W:$W,'Business - Dump'!$D:$D,'SKU Repoprt'!$D323,'Business - Dump'!$A:$A,'SKU Repoprt'!I$1)</f>
        <v>0</v>
      </c>
      <c r="J323" s="3">
        <f>SUMIFS('Business - Dump'!$W:$W,'Business - Dump'!$D:$D,'SKU Repoprt'!$D323,'Business - Dump'!$A:$A,'SKU Repoprt'!J$1)</f>
        <v>1</v>
      </c>
      <c r="K323" s="3">
        <f>SUMIFS('Business - Dump'!$W:$W,'Business - Dump'!$D:$D,'SKU Repoprt'!$D323,'Business - Dump'!$A:$A,'SKU Repoprt'!K$1)</f>
        <v>0</v>
      </c>
      <c r="L323" s="3">
        <f>SUMIFS('Business - Dump'!$W:$W,'Business - Dump'!$D:$D,'SKU Repoprt'!$D323,'Business - Dump'!$A:$A,'SKU Repoprt'!L$1)</f>
        <v>3</v>
      </c>
      <c r="M323" s="3">
        <f>SUMIFS('Business - Dump'!$W:$W,'Business - Dump'!$D:$D,'SKU Repoprt'!$D323,'Business - Dump'!$A:$A,'SKU Repoprt'!M$1)</f>
        <v>4</v>
      </c>
      <c r="N323" s="3">
        <f>SUMIFS('Business - Dump'!$W:$W,'Business - Dump'!$D:$D,'SKU Repoprt'!$D323,'Business - Dump'!$A:$A,'SKU Repoprt'!N$1)</f>
        <v>3</v>
      </c>
      <c r="O323" s="3">
        <f>SUMIFS('Business - Dump'!$W:$W,'Business - Dump'!$D:$D,'SKU Repoprt'!$D323,'Business - Dump'!$A:$A,'SKU Repoprt'!O$1)</f>
        <v>6</v>
      </c>
      <c r="P323" s="3">
        <f>SUMIFS('Business - Dump'!$W:$W,'Business - Dump'!$D:$D,'SKU Repoprt'!$D323,'Business - Dump'!$A:$A,'SKU Repoprt'!P$1)</f>
        <v>6</v>
      </c>
      <c r="Q323" s="3">
        <f>SUMIFS('Business - Dump'!$W:$W,'Business - Dump'!$D:$D,'SKU Repoprt'!$D323,'Business - Dump'!$A:$A,'SKU Repoprt'!Q$1)</f>
        <v>6</v>
      </c>
      <c r="R323" s="3">
        <f>SUMIFS('Business - Dump'!$W:$W,'Business - Dump'!$D:$D,'SKU Repoprt'!$D323,'Business - Dump'!$A:$A,'SKU Repoprt'!R$1)</f>
        <v>11</v>
      </c>
      <c r="S323" s="3">
        <f>SUMIFS('Business - Dump'!$W:$W,'Business - Dump'!$D:$D,'SKU Repoprt'!$D323,'Business - Dump'!$A:$A,'SKU Repoprt'!S$1)</f>
        <v>3</v>
      </c>
      <c r="T323" s="3">
        <f>SUMIFS('Business - Dump'!$W:$W,'Business - Dump'!$D:$D,'SKU Repoprt'!$D323,'Business - Dump'!$A:$A,'SKU Repoprt'!T$1)</f>
        <v>1</v>
      </c>
      <c r="U323" s="3">
        <f>SUMIFS('Business - Dump'!$W:$W,'Business - Dump'!$D:$D,'SKU Repoprt'!$D323,'Business - Dump'!$A:$A,'SKU Repoprt'!U$1)</f>
        <v>2</v>
      </c>
      <c r="V323" s="3">
        <f>SUMIFS('Business - Dump'!$W:$W,'Business - Dump'!$D:$D,'SKU Repoprt'!$D323,'Business - Dump'!$A:$A,'SKU Repoprt'!V$1)</f>
        <v>2</v>
      </c>
      <c r="W323" s="3">
        <f>SUMIFS('Business - Dump'!$W:$W,'Business - Dump'!$D:$D,'SKU Repoprt'!$D323,'Business - Dump'!$A:$A,'SKU Repoprt'!W$1)</f>
        <v>4</v>
      </c>
    </row>
    <row r="324" ht="15.75" customHeight="1">
      <c r="A324" s="10" t="s">
        <v>205</v>
      </c>
      <c r="B324" s="10" t="s">
        <v>205</v>
      </c>
      <c r="C324" s="10"/>
      <c r="D324" s="10" t="s">
        <v>364</v>
      </c>
      <c r="E324" s="10" t="s">
        <v>26</v>
      </c>
      <c r="F324" s="16">
        <f t="shared" si="107"/>
        <v>1725378.7</v>
      </c>
      <c r="G324" s="16">
        <f>SUMIFS('Business - Dump'!$U:$U,'Business - Dump'!$D:$D,'SKU Repoprt'!$D324,'Business - Dump'!$A:$A,'SKU Repoprt'!G$1)</f>
        <v>0</v>
      </c>
      <c r="H324" s="16">
        <f>SUMIFS('Business - Dump'!$U:$U,'Business - Dump'!$D:$D,'SKU Repoprt'!$D324,'Business - Dump'!$A:$A,'SKU Repoprt'!H$1)</f>
        <v>0</v>
      </c>
      <c r="I324" s="16">
        <f>SUMIFS('Business - Dump'!$U:$U,'Business - Dump'!$D:$D,'SKU Repoprt'!$D324,'Business - Dump'!$A:$A,'SKU Repoprt'!I$1)</f>
        <v>0</v>
      </c>
      <c r="J324" s="16">
        <f>SUMIFS('Business - Dump'!$U:$U,'Business - Dump'!$D:$D,'SKU Repoprt'!$D324,'Business - Dump'!$A:$A,'SKU Repoprt'!J$1)</f>
        <v>40500</v>
      </c>
      <c r="K324" s="16">
        <f>SUMIFS('Business - Dump'!$U:$U,'Business - Dump'!$D:$D,'SKU Repoprt'!$D324,'Business - Dump'!$A:$A,'SKU Repoprt'!K$1)</f>
        <v>0</v>
      </c>
      <c r="L324" s="16">
        <f>SUMIFS('Business - Dump'!$U:$U,'Business - Dump'!$D:$D,'SKU Repoprt'!$D324,'Business - Dump'!$A:$A,'SKU Repoprt'!L$1)</f>
        <v>123000</v>
      </c>
      <c r="M324" s="16">
        <f>SUMIFS('Business - Dump'!$U:$U,'Business - Dump'!$D:$D,'SKU Repoprt'!$D324,'Business - Dump'!$A:$A,'SKU Repoprt'!M$1)</f>
        <v>163462.72</v>
      </c>
      <c r="N324" s="16">
        <f>SUMIFS('Business - Dump'!$U:$U,'Business - Dump'!$D:$D,'SKU Repoprt'!$D324,'Business - Dump'!$A:$A,'SKU Repoprt'!N$1)</f>
        <v>122700</v>
      </c>
      <c r="O324" s="16">
        <f>SUMIFS('Business - Dump'!$U:$U,'Business - Dump'!$D:$D,'SKU Repoprt'!$D324,'Business - Dump'!$A:$A,'SKU Repoprt'!O$1)</f>
        <v>246194.08</v>
      </c>
      <c r="P324" s="16">
        <f>SUMIFS('Business - Dump'!$U:$U,'Business - Dump'!$D:$D,'SKU Repoprt'!$D324,'Business - Dump'!$A:$A,'SKU Repoprt'!P$1)</f>
        <v>245092.38</v>
      </c>
      <c r="Q324" s="16">
        <f>SUMIFS('Business - Dump'!$U:$U,'Business - Dump'!$D:$D,'SKU Repoprt'!$D324,'Business - Dump'!$A:$A,'SKU Repoprt'!Q$1)</f>
        <v>237089.84</v>
      </c>
      <c r="R324" s="16">
        <f>SUMIFS('Business - Dump'!$U:$U,'Business - Dump'!$D:$D,'SKU Repoprt'!$D324,'Business - Dump'!$A:$A,'SKU Repoprt'!R$1)</f>
        <v>424884.76</v>
      </c>
      <c r="S324" s="16">
        <f>SUMIFS('Business - Dump'!$U:$U,'Business - Dump'!$D:$D,'SKU Repoprt'!$D324,'Business - Dump'!$A:$A,'SKU Repoprt'!S$1)</f>
        <v>122454.92</v>
      </c>
      <c r="T324" s="16">
        <f>SUMIFS('Business - Dump'!$U:$U,'Business - Dump'!$D:$D,'SKU Repoprt'!$D324,'Business - Dump'!$A:$A,'SKU Repoprt'!T$1)</f>
        <v>40797.46</v>
      </c>
      <c r="U324" s="16">
        <f>SUMIFS('Business - Dump'!$U:$U,'Business - Dump'!$D:$D,'SKU Repoprt'!$D324,'Business - Dump'!$A:$A,'SKU Repoprt'!U$1)</f>
        <v>79204.46</v>
      </c>
      <c r="V324" s="16">
        <f>SUMIFS('Business - Dump'!$U:$U,'Business - Dump'!$D:$D,'SKU Repoprt'!$D324,'Business - Dump'!$A:$A,'SKU Repoprt'!V$1)</f>
        <v>80837.46</v>
      </c>
      <c r="W324" s="16">
        <f>SUMIFS('Business - Dump'!$U:$U,'Business - Dump'!$D:$D,'SKU Repoprt'!$D324,'Business - Dump'!$A:$A,'SKU Repoprt'!W$1)</f>
        <v>155584.9</v>
      </c>
    </row>
    <row r="325" ht="15.75" customHeight="1">
      <c r="A325" s="10" t="s">
        <v>205</v>
      </c>
      <c r="B325" s="10" t="s">
        <v>205</v>
      </c>
      <c r="C325" s="10"/>
      <c r="D325" s="10" t="s">
        <v>364</v>
      </c>
      <c r="E325" s="10" t="s">
        <v>29</v>
      </c>
      <c r="F325" s="17">
        <v>0.027042857142857143</v>
      </c>
      <c r="G325" s="17">
        <f t="shared" ref="G325:W325" si="108">IFERROR(G323/G320,0)</f>
        <v>0</v>
      </c>
      <c r="H325" s="17">
        <f t="shared" si="108"/>
        <v>0</v>
      </c>
      <c r="I325" s="17">
        <f t="shared" si="108"/>
        <v>0</v>
      </c>
      <c r="J325" s="17">
        <f t="shared" si="108"/>
        <v>0.006535947712</v>
      </c>
      <c r="K325" s="17">
        <f t="shared" si="108"/>
        <v>0</v>
      </c>
      <c r="L325" s="17">
        <f t="shared" si="108"/>
        <v>0.004901960784</v>
      </c>
      <c r="M325" s="17">
        <f t="shared" si="108"/>
        <v>0.003902439024</v>
      </c>
      <c r="N325" s="17">
        <f t="shared" si="108"/>
        <v>0.004739336493</v>
      </c>
      <c r="O325" s="17">
        <f t="shared" si="108"/>
        <v>0.004746835443</v>
      </c>
      <c r="P325" s="17">
        <f t="shared" si="108"/>
        <v>0.008595988539</v>
      </c>
      <c r="Q325" s="17">
        <f t="shared" si="108"/>
        <v>0.005300353357</v>
      </c>
      <c r="R325" s="17">
        <f t="shared" si="108"/>
        <v>0.01294117647</v>
      </c>
      <c r="S325" s="17">
        <f t="shared" si="108"/>
        <v>0.006696428571</v>
      </c>
      <c r="T325" s="17">
        <f t="shared" si="108"/>
        <v>0.002564102564</v>
      </c>
      <c r="U325" s="17">
        <f t="shared" si="108"/>
        <v>0.004329004329</v>
      </c>
      <c r="V325" s="17">
        <f t="shared" si="108"/>
        <v>0.005540166205</v>
      </c>
      <c r="W325" s="17">
        <f t="shared" si="108"/>
        <v>0.002182214948</v>
      </c>
    </row>
    <row r="326" ht="15.75" customHeight="1">
      <c r="A326" s="10" t="s">
        <v>205</v>
      </c>
      <c r="B326" s="10" t="s">
        <v>205</v>
      </c>
      <c r="C326" s="10"/>
      <c r="D326" s="10" t="s">
        <v>365</v>
      </c>
      <c r="E326" s="10" t="s">
        <v>257</v>
      </c>
      <c r="F326" s="3">
        <f t="shared" ref="F326:F330" si="109">SUM(G326:S326)</f>
        <v>12635</v>
      </c>
      <c r="G326" s="3">
        <f>SUMIFS('Business - Dump'!$G:$G,'Business - Dump'!$D:$D,'SKU Repoprt'!$D326,'Business - Dump'!$A:$A,'SKU Repoprt'!G$1)</f>
        <v>0</v>
      </c>
      <c r="H326" s="3">
        <f>SUMIFS('Business - Dump'!$G:$G,'Business - Dump'!$D:$D,'SKU Repoprt'!$D326,'Business - Dump'!$A:$A,'SKU Repoprt'!H$1)</f>
        <v>0</v>
      </c>
      <c r="I326" s="3">
        <f>SUMIFS('Business - Dump'!$G:$G,'Business - Dump'!$D:$D,'SKU Repoprt'!$D326,'Business - Dump'!$A:$A,'SKU Repoprt'!I$1)</f>
        <v>0</v>
      </c>
      <c r="J326" s="3">
        <f>SUMIFS('Business - Dump'!$G:$G,'Business - Dump'!$D:$D,'SKU Repoprt'!$D326,'Business - Dump'!$A:$A,'SKU Repoprt'!J$1)</f>
        <v>166</v>
      </c>
      <c r="K326" s="3">
        <f>SUMIFS('Business - Dump'!$G:$G,'Business - Dump'!$D:$D,'SKU Repoprt'!$D326,'Business - Dump'!$A:$A,'SKU Repoprt'!K$1)</f>
        <v>484</v>
      </c>
      <c r="L326" s="3">
        <f>SUMIFS('Business - Dump'!$G:$G,'Business - Dump'!$D:$D,'SKU Repoprt'!$D326,'Business - Dump'!$A:$A,'SKU Repoprt'!L$1)</f>
        <v>665</v>
      </c>
      <c r="M326" s="3">
        <f>SUMIFS('Business - Dump'!$G:$G,'Business - Dump'!$D:$D,'SKU Repoprt'!$D326,'Business - Dump'!$A:$A,'SKU Repoprt'!M$1)</f>
        <v>1217</v>
      </c>
      <c r="N326" s="3">
        <f>SUMIFS('Business - Dump'!$G:$G,'Business - Dump'!$D:$D,'SKU Repoprt'!$D326,'Business - Dump'!$A:$A,'SKU Repoprt'!N$1)</f>
        <v>1155</v>
      </c>
      <c r="O326" s="3">
        <f>SUMIFS('Business - Dump'!$G:$G,'Business - Dump'!$D:$D,'SKU Repoprt'!$D326,'Business - Dump'!$A:$A,'SKU Repoprt'!O$1)</f>
        <v>1816</v>
      </c>
      <c r="P326" s="3">
        <f>SUMIFS('Business - Dump'!$G:$G,'Business - Dump'!$D:$D,'SKU Repoprt'!$D326,'Business - Dump'!$A:$A,'SKU Repoprt'!P$1)</f>
        <v>1858</v>
      </c>
      <c r="Q326" s="3">
        <f>SUMIFS('Business - Dump'!$G:$G,'Business - Dump'!$D:$D,'SKU Repoprt'!$D326,'Business - Dump'!$A:$A,'SKU Repoprt'!Q$1)</f>
        <v>1921</v>
      </c>
      <c r="R326" s="3">
        <f>SUMIFS('Business - Dump'!$G:$G,'Business - Dump'!$D:$D,'SKU Repoprt'!$D326,'Business - Dump'!$A:$A,'SKU Repoprt'!R$1)</f>
        <v>1890</v>
      </c>
      <c r="S326" s="3">
        <f>SUMIFS('Business - Dump'!$G:$G,'Business - Dump'!$D:$D,'SKU Repoprt'!$D326,'Business - Dump'!$A:$A,'SKU Repoprt'!S$1)</f>
        <v>1463</v>
      </c>
      <c r="T326" s="3">
        <f>SUMIFS('Business - Dump'!$G:$G,'Business - Dump'!$D:$D,'SKU Repoprt'!$D326,'Business - Dump'!$A:$A,'SKU Repoprt'!T$1)</f>
        <v>1365</v>
      </c>
      <c r="U326" s="3">
        <f>SUMIFS('Business - Dump'!$G:$G,'Business - Dump'!$D:$D,'SKU Repoprt'!$D326,'Business - Dump'!$A:$A,'SKU Repoprt'!U$1)</f>
        <v>767</v>
      </c>
      <c r="V326" s="3">
        <f>SUMIFS('Business - Dump'!$G:$G,'Business - Dump'!$D:$D,'SKU Repoprt'!$D326,'Business - Dump'!$A:$A,'SKU Repoprt'!V$1)</f>
        <v>775</v>
      </c>
      <c r="W326" s="3">
        <f>SUMIFS('Business - Dump'!$G:$G,'Business - Dump'!$D:$D,'SKU Repoprt'!$D326,'Business - Dump'!$A:$A,'SKU Repoprt'!W$1)</f>
        <v>1735</v>
      </c>
    </row>
    <row r="327" ht="15.75" customHeight="1">
      <c r="A327" s="10" t="s">
        <v>205</v>
      </c>
      <c r="B327" s="10" t="s">
        <v>205</v>
      </c>
      <c r="C327" s="10"/>
      <c r="D327" s="10" t="s">
        <v>365</v>
      </c>
      <c r="E327" s="10" t="s">
        <v>260</v>
      </c>
      <c r="F327" s="3">
        <f t="shared" si="109"/>
        <v>17841</v>
      </c>
      <c r="G327" s="3">
        <f>SUMIFS('Business - Dump'!$K:$K,'Business - Dump'!$D:$D,'SKU Repoprt'!$D327,'Business - Dump'!$A:$A,'SKU Repoprt'!G$1)</f>
        <v>0</v>
      </c>
      <c r="H327" s="3">
        <f>SUMIFS('Business - Dump'!$K:$K,'Business - Dump'!$D:$D,'SKU Repoprt'!$D327,'Business - Dump'!$A:$A,'SKU Repoprt'!H$1)</f>
        <v>0</v>
      </c>
      <c r="I327" s="3">
        <f>SUMIFS('Business - Dump'!$K:$K,'Business - Dump'!$D:$D,'SKU Repoprt'!$D327,'Business - Dump'!$A:$A,'SKU Repoprt'!I$1)</f>
        <v>0</v>
      </c>
      <c r="J327" s="3">
        <f>SUMIFS('Business - Dump'!$K:$K,'Business - Dump'!$D:$D,'SKU Repoprt'!$D327,'Business - Dump'!$A:$A,'SKU Repoprt'!J$1)</f>
        <v>225</v>
      </c>
      <c r="K327" s="3">
        <f>SUMIFS('Business - Dump'!$K:$K,'Business - Dump'!$D:$D,'SKU Repoprt'!$D327,'Business - Dump'!$A:$A,'SKU Repoprt'!K$1)</f>
        <v>693</v>
      </c>
      <c r="L327" s="3">
        <f>SUMIFS('Business - Dump'!$K:$K,'Business - Dump'!$D:$D,'SKU Repoprt'!$D327,'Business - Dump'!$A:$A,'SKU Repoprt'!L$1)</f>
        <v>889</v>
      </c>
      <c r="M327" s="3">
        <f>SUMIFS('Business - Dump'!$K:$K,'Business - Dump'!$D:$D,'SKU Repoprt'!$D327,'Business - Dump'!$A:$A,'SKU Repoprt'!M$1)</f>
        <v>2167</v>
      </c>
      <c r="N327" s="3">
        <f>SUMIFS('Business - Dump'!$K:$K,'Business - Dump'!$D:$D,'SKU Repoprt'!$D327,'Business - Dump'!$A:$A,'SKU Repoprt'!N$1)</f>
        <v>1546</v>
      </c>
      <c r="O327" s="3">
        <f>SUMIFS('Business - Dump'!$K:$K,'Business - Dump'!$D:$D,'SKU Repoprt'!$D327,'Business - Dump'!$A:$A,'SKU Repoprt'!O$1)</f>
        <v>2481</v>
      </c>
      <c r="P327" s="3">
        <f>SUMIFS('Business - Dump'!$K:$K,'Business - Dump'!$D:$D,'SKU Repoprt'!$D327,'Business - Dump'!$A:$A,'SKU Repoprt'!P$1)</f>
        <v>2537</v>
      </c>
      <c r="Q327" s="3">
        <f>SUMIFS('Business - Dump'!$K:$K,'Business - Dump'!$D:$D,'SKU Repoprt'!$D327,'Business - Dump'!$A:$A,'SKU Repoprt'!Q$1)</f>
        <v>2672</v>
      </c>
      <c r="R327" s="3">
        <f>SUMIFS('Business - Dump'!$K:$K,'Business - Dump'!$D:$D,'SKU Repoprt'!$D327,'Business - Dump'!$A:$A,'SKU Repoprt'!R$1)</f>
        <v>2631</v>
      </c>
      <c r="S327" s="3">
        <f>SUMIFS('Business - Dump'!$K:$K,'Business - Dump'!$D:$D,'SKU Repoprt'!$D327,'Business - Dump'!$A:$A,'SKU Repoprt'!S$1)</f>
        <v>2000</v>
      </c>
      <c r="T327" s="3">
        <f>SUMIFS('Business - Dump'!$K:$K,'Business - Dump'!$D:$D,'SKU Repoprt'!$D327,'Business - Dump'!$A:$A,'SKU Repoprt'!T$1)</f>
        <v>1718</v>
      </c>
      <c r="U327" s="3">
        <f>SUMIFS('Business - Dump'!$K:$K,'Business - Dump'!$D:$D,'SKU Repoprt'!$D327,'Business - Dump'!$A:$A,'SKU Repoprt'!U$1)</f>
        <v>1011</v>
      </c>
      <c r="V327" s="3">
        <f>SUMIFS('Business - Dump'!$K:$K,'Business - Dump'!$D:$D,'SKU Repoprt'!$D327,'Business - Dump'!$A:$A,'SKU Repoprt'!V$1)</f>
        <v>993</v>
      </c>
      <c r="W327" s="3">
        <f>SUMIFS('Business - Dump'!$K:$K,'Business - Dump'!$D:$D,'SKU Repoprt'!$D327,'Business - Dump'!$A:$A,'SKU Repoprt'!W$1)</f>
        <v>2219</v>
      </c>
    </row>
    <row r="328" ht="15.75" customHeight="1">
      <c r="A328" s="10" t="s">
        <v>205</v>
      </c>
      <c r="B328" s="10" t="s">
        <v>205</v>
      </c>
      <c r="C328" s="10"/>
      <c r="D328" s="10" t="s">
        <v>365</v>
      </c>
      <c r="E328" s="10" t="s">
        <v>264</v>
      </c>
      <c r="F328" s="3">
        <f t="shared" si="109"/>
        <v>66</v>
      </c>
      <c r="G328" s="3">
        <f>SUMIFS('Business - Dump'!$Q:$Q,'Business - Dump'!$D:$D,'SKU Repoprt'!$D328,'Business - Dump'!$A:$A,'SKU Repoprt'!G$1)</f>
        <v>0</v>
      </c>
      <c r="H328" s="3">
        <f>SUMIFS('Business - Dump'!$Q:$Q,'Business - Dump'!$D:$D,'SKU Repoprt'!$D328,'Business - Dump'!$A:$A,'SKU Repoprt'!H$1)</f>
        <v>0</v>
      </c>
      <c r="I328" s="3">
        <f>SUMIFS('Business - Dump'!$Q:$Q,'Business - Dump'!$D:$D,'SKU Repoprt'!$D328,'Business - Dump'!$A:$A,'SKU Repoprt'!I$1)</f>
        <v>0</v>
      </c>
      <c r="J328" s="3">
        <f>SUMIFS('Business - Dump'!$Q:$Q,'Business - Dump'!$D:$D,'SKU Repoprt'!$D328,'Business - Dump'!$A:$A,'SKU Repoprt'!J$1)</f>
        <v>1</v>
      </c>
      <c r="K328" s="3">
        <f>SUMIFS('Business - Dump'!$Q:$Q,'Business - Dump'!$D:$D,'SKU Repoprt'!$D328,'Business - Dump'!$A:$A,'SKU Repoprt'!K$1)</f>
        <v>5</v>
      </c>
      <c r="L328" s="3">
        <f>SUMIFS('Business - Dump'!$Q:$Q,'Business - Dump'!$D:$D,'SKU Repoprt'!$D328,'Business - Dump'!$A:$A,'SKU Repoprt'!L$1)</f>
        <v>1</v>
      </c>
      <c r="M328" s="3">
        <f>SUMIFS('Business - Dump'!$Q:$Q,'Business - Dump'!$D:$D,'SKU Repoprt'!$D328,'Business - Dump'!$A:$A,'SKU Repoprt'!M$1)</f>
        <v>8</v>
      </c>
      <c r="N328" s="3">
        <f>SUMIFS('Business - Dump'!$Q:$Q,'Business - Dump'!$D:$D,'SKU Repoprt'!$D328,'Business - Dump'!$A:$A,'SKU Repoprt'!N$1)</f>
        <v>7</v>
      </c>
      <c r="O328" s="3">
        <f>SUMIFS('Business - Dump'!$Q:$Q,'Business - Dump'!$D:$D,'SKU Repoprt'!$D328,'Business - Dump'!$A:$A,'SKU Repoprt'!O$1)</f>
        <v>8</v>
      </c>
      <c r="P328" s="3">
        <f>SUMIFS('Business - Dump'!$Q:$Q,'Business - Dump'!$D:$D,'SKU Repoprt'!$D328,'Business - Dump'!$A:$A,'SKU Repoprt'!P$1)</f>
        <v>9</v>
      </c>
      <c r="Q328" s="3">
        <f>SUMIFS('Business - Dump'!$Q:$Q,'Business - Dump'!$D:$D,'SKU Repoprt'!$D328,'Business - Dump'!$A:$A,'SKU Repoprt'!Q$1)</f>
        <v>14</v>
      </c>
      <c r="R328" s="3">
        <f>SUMIFS('Business - Dump'!$Q:$Q,'Business - Dump'!$D:$D,'SKU Repoprt'!$D328,'Business - Dump'!$A:$A,'SKU Repoprt'!R$1)</f>
        <v>10</v>
      </c>
      <c r="S328" s="3">
        <f>SUMIFS('Business - Dump'!$Q:$Q,'Business - Dump'!$D:$D,'SKU Repoprt'!$D328,'Business - Dump'!$A:$A,'SKU Repoprt'!S$1)</f>
        <v>3</v>
      </c>
      <c r="T328" s="3">
        <f>SUMIFS('Business - Dump'!$Q:$Q,'Business - Dump'!$D:$D,'SKU Repoprt'!$D328,'Business - Dump'!$A:$A,'SKU Repoprt'!T$1)</f>
        <v>6</v>
      </c>
      <c r="U328" s="3">
        <f>SUMIFS('Business - Dump'!$Q:$Q,'Business - Dump'!$D:$D,'SKU Repoprt'!$D328,'Business - Dump'!$A:$A,'SKU Repoprt'!U$1)</f>
        <v>2</v>
      </c>
      <c r="V328" s="3">
        <f>SUMIFS('Business - Dump'!$Q:$Q,'Business - Dump'!$D:$D,'SKU Repoprt'!$D328,'Business - Dump'!$A:$A,'SKU Repoprt'!V$1)</f>
        <v>4</v>
      </c>
      <c r="W328" s="3">
        <f>SUMIFS('Business - Dump'!$Q:$Q,'Business - Dump'!$D:$D,'SKU Repoprt'!$D328,'Business - Dump'!$A:$A,'SKU Repoprt'!W$1)</f>
        <v>2</v>
      </c>
    </row>
    <row r="329" ht="15.75" customHeight="1">
      <c r="A329" s="10" t="s">
        <v>205</v>
      </c>
      <c r="B329" s="10" t="s">
        <v>205</v>
      </c>
      <c r="C329" s="10"/>
      <c r="D329" s="10" t="s">
        <v>365</v>
      </c>
      <c r="E329" s="10" t="s">
        <v>268</v>
      </c>
      <c r="F329" s="3">
        <f t="shared" si="109"/>
        <v>66</v>
      </c>
      <c r="G329" s="3">
        <f>SUMIFS('Business - Dump'!$W:$W,'Business - Dump'!$D:$D,'SKU Repoprt'!$D329,'Business - Dump'!$A:$A,'SKU Repoprt'!G$1)</f>
        <v>0</v>
      </c>
      <c r="H329" s="3">
        <f>SUMIFS('Business - Dump'!$W:$W,'Business - Dump'!$D:$D,'SKU Repoprt'!$D329,'Business - Dump'!$A:$A,'SKU Repoprt'!H$1)</f>
        <v>0</v>
      </c>
      <c r="I329" s="3">
        <f>SUMIFS('Business - Dump'!$W:$W,'Business - Dump'!$D:$D,'SKU Repoprt'!$D329,'Business - Dump'!$A:$A,'SKU Repoprt'!I$1)</f>
        <v>0</v>
      </c>
      <c r="J329" s="3">
        <f>SUMIFS('Business - Dump'!$W:$W,'Business - Dump'!$D:$D,'SKU Repoprt'!$D329,'Business - Dump'!$A:$A,'SKU Repoprt'!J$1)</f>
        <v>1</v>
      </c>
      <c r="K329" s="3">
        <f>SUMIFS('Business - Dump'!$W:$W,'Business - Dump'!$D:$D,'SKU Repoprt'!$D329,'Business - Dump'!$A:$A,'SKU Repoprt'!K$1)</f>
        <v>5</v>
      </c>
      <c r="L329" s="3">
        <f>SUMIFS('Business - Dump'!$W:$W,'Business - Dump'!$D:$D,'SKU Repoprt'!$D329,'Business - Dump'!$A:$A,'SKU Repoprt'!L$1)</f>
        <v>1</v>
      </c>
      <c r="M329" s="3">
        <f>SUMIFS('Business - Dump'!$W:$W,'Business - Dump'!$D:$D,'SKU Repoprt'!$D329,'Business - Dump'!$A:$A,'SKU Repoprt'!M$1)</f>
        <v>8</v>
      </c>
      <c r="N329" s="3">
        <f>SUMIFS('Business - Dump'!$W:$W,'Business - Dump'!$D:$D,'SKU Repoprt'!$D329,'Business - Dump'!$A:$A,'SKU Repoprt'!N$1)</f>
        <v>7</v>
      </c>
      <c r="O329" s="3">
        <f>SUMIFS('Business - Dump'!$W:$W,'Business - Dump'!$D:$D,'SKU Repoprt'!$D329,'Business - Dump'!$A:$A,'SKU Repoprt'!O$1)</f>
        <v>8</v>
      </c>
      <c r="P329" s="3">
        <f>SUMIFS('Business - Dump'!$W:$W,'Business - Dump'!$D:$D,'SKU Repoprt'!$D329,'Business - Dump'!$A:$A,'SKU Repoprt'!P$1)</f>
        <v>9</v>
      </c>
      <c r="Q329" s="3">
        <f>SUMIFS('Business - Dump'!$W:$W,'Business - Dump'!$D:$D,'SKU Repoprt'!$D329,'Business - Dump'!$A:$A,'SKU Repoprt'!Q$1)</f>
        <v>14</v>
      </c>
      <c r="R329" s="3">
        <f>SUMIFS('Business - Dump'!$W:$W,'Business - Dump'!$D:$D,'SKU Repoprt'!$D329,'Business - Dump'!$A:$A,'SKU Repoprt'!R$1)</f>
        <v>10</v>
      </c>
      <c r="S329" s="3">
        <f>SUMIFS('Business - Dump'!$W:$W,'Business - Dump'!$D:$D,'SKU Repoprt'!$D329,'Business - Dump'!$A:$A,'SKU Repoprt'!S$1)</f>
        <v>3</v>
      </c>
      <c r="T329" s="3">
        <f>SUMIFS('Business - Dump'!$W:$W,'Business - Dump'!$D:$D,'SKU Repoprt'!$D329,'Business - Dump'!$A:$A,'SKU Repoprt'!T$1)</f>
        <v>6</v>
      </c>
      <c r="U329" s="3">
        <f>SUMIFS('Business - Dump'!$W:$W,'Business - Dump'!$D:$D,'SKU Repoprt'!$D329,'Business - Dump'!$A:$A,'SKU Repoprt'!U$1)</f>
        <v>2</v>
      </c>
      <c r="V329" s="3">
        <f>SUMIFS('Business - Dump'!$W:$W,'Business - Dump'!$D:$D,'SKU Repoprt'!$D329,'Business - Dump'!$A:$A,'SKU Repoprt'!V$1)</f>
        <v>4</v>
      </c>
      <c r="W329" s="3">
        <f>SUMIFS('Business - Dump'!$W:$W,'Business - Dump'!$D:$D,'SKU Repoprt'!$D329,'Business - Dump'!$A:$A,'SKU Repoprt'!W$1)</f>
        <v>2</v>
      </c>
    </row>
    <row r="330" ht="15.75" customHeight="1">
      <c r="A330" s="10" t="s">
        <v>205</v>
      </c>
      <c r="B330" s="10" t="s">
        <v>205</v>
      </c>
      <c r="C330" s="10"/>
      <c r="D330" s="10" t="s">
        <v>365</v>
      </c>
      <c r="E330" s="10" t="s">
        <v>26</v>
      </c>
      <c r="F330" s="16">
        <f t="shared" si="109"/>
        <v>2651792.62</v>
      </c>
      <c r="G330" s="16">
        <f>SUMIFS('Business - Dump'!$U:$U,'Business - Dump'!$D:$D,'SKU Repoprt'!$D330,'Business - Dump'!$A:$A,'SKU Repoprt'!G$1)</f>
        <v>0</v>
      </c>
      <c r="H330" s="16">
        <f>SUMIFS('Business - Dump'!$U:$U,'Business - Dump'!$D:$D,'SKU Repoprt'!$D330,'Business - Dump'!$A:$A,'SKU Repoprt'!H$1)</f>
        <v>0</v>
      </c>
      <c r="I330" s="16">
        <f>SUMIFS('Business - Dump'!$U:$U,'Business - Dump'!$D:$D,'SKU Repoprt'!$D330,'Business - Dump'!$A:$A,'SKU Repoprt'!I$1)</f>
        <v>0</v>
      </c>
      <c r="J330" s="16">
        <f>SUMIFS('Business - Dump'!$U:$U,'Business - Dump'!$D:$D,'SKU Repoprt'!$D330,'Business - Dump'!$A:$A,'SKU Repoprt'!J$1)</f>
        <v>40500</v>
      </c>
      <c r="K330" s="16">
        <f>SUMIFS('Business - Dump'!$U:$U,'Business - Dump'!$D:$D,'SKU Repoprt'!$D330,'Business - Dump'!$A:$A,'SKU Repoprt'!K$1)</f>
        <v>204847.46</v>
      </c>
      <c r="L330" s="16">
        <f>SUMIFS('Business - Dump'!$U:$U,'Business - Dump'!$D:$D,'SKU Repoprt'!$D330,'Business - Dump'!$A:$A,'SKU Repoprt'!L$1)</f>
        <v>41000</v>
      </c>
      <c r="M330" s="16">
        <f>SUMIFS('Business - Dump'!$U:$U,'Business - Dump'!$D:$D,'SKU Repoprt'!$D330,'Business - Dump'!$A:$A,'SKU Repoprt'!M$1)</f>
        <v>326994.08</v>
      </c>
      <c r="N330" s="16">
        <f>SUMIFS('Business - Dump'!$U:$U,'Business - Dump'!$D:$D,'SKU Repoprt'!$D330,'Business - Dump'!$A:$A,'SKU Repoprt'!N$1)</f>
        <v>286300</v>
      </c>
      <c r="O330" s="16">
        <f>SUMIFS('Business - Dump'!$U:$U,'Business - Dump'!$D:$D,'SKU Repoprt'!$D330,'Business - Dump'!$A:$A,'SKU Repoprt'!O$1)</f>
        <v>325456.8</v>
      </c>
      <c r="P330" s="16">
        <f>SUMIFS('Business - Dump'!$U:$U,'Business - Dump'!$D:$D,'SKU Repoprt'!$D330,'Business - Dump'!$A:$A,'SKU Repoprt'!P$1)</f>
        <v>362877.46</v>
      </c>
      <c r="Q330" s="16">
        <f>SUMIFS('Business - Dump'!$U:$U,'Business - Dump'!$D:$D,'SKU Repoprt'!$D330,'Business - Dump'!$A:$A,'SKU Repoprt'!Q$1)</f>
        <v>555199.68</v>
      </c>
      <c r="R330" s="16">
        <f>SUMIFS('Business - Dump'!$U:$U,'Business - Dump'!$D:$D,'SKU Repoprt'!$D330,'Business - Dump'!$A:$A,'SKU Repoprt'!R$1)</f>
        <v>386162.22</v>
      </c>
      <c r="S330" s="16">
        <f>SUMIFS('Business - Dump'!$U:$U,'Business - Dump'!$D:$D,'SKU Repoprt'!$D330,'Business - Dump'!$A:$A,'SKU Repoprt'!S$1)</f>
        <v>122454.92</v>
      </c>
      <c r="T330" s="16">
        <f>SUMIFS('Business - Dump'!$U:$U,'Business - Dump'!$D:$D,'SKU Repoprt'!$D330,'Business - Dump'!$A:$A,'SKU Repoprt'!T$1)</f>
        <v>244909.84</v>
      </c>
      <c r="U330" s="16">
        <f>SUMIFS('Business - Dump'!$U:$U,'Business - Dump'!$D:$D,'SKU Repoprt'!$D330,'Business - Dump'!$A:$A,'SKU Repoprt'!U$1)</f>
        <v>83324.92</v>
      </c>
      <c r="V330" s="16">
        <f>SUMIFS('Business - Dump'!$U:$U,'Business - Dump'!$D:$D,'SKU Repoprt'!$D330,'Business - Dump'!$A:$A,'SKU Repoprt'!V$1)</f>
        <v>161549.8</v>
      </c>
      <c r="W330" s="16">
        <f>SUMIFS('Business - Dump'!$U:$U,'Business - Dump'!$D:$D,'SKU Repoprt'!$D330,'Business - Dump'!$A:$A,'SKU Repoprt'!W$1)</f>
        <v>80837.46</v>
      </c>
    </row>
    <row r="331" ht="15.75" customHeight="1">
      <c r="A331" s="10" t="s">
        <v>205</v>
      </c>
      <c r="B331" s="10" t="s">
        <v>205</v>
      </c>
      <c r="C331" s="10"/>
      <c r="D331" s="10" t="s">
        <v>365</v>
      </c>
      <c r="E331" s="10" t="s">
        <v>29</v>
      </c>
      <c r="F331" s="17">
        <v>0.027042857142857143</v>
      </c>
      <c r="G331" s="17">
        <f t="shared" ref="G331:W331" si="110">IFERROR(G329/G326,0)</f>
        <v>0</v>
      </c>
      <c r="H331" s="17">
        <f t="shared" si="110"/>
        <v>0</v>
      </c>
      <c r="I331" s="17">
        <f t="shared" si="110"/>
        <v>0</v>
      </c>
      <c r="J331" s="17">
        <f t="shared" si="110"/>
        <v>0.006024096386</v>
      </c>
      <c r="K331" s="17">
        <f t="shared" si="110"/>
        <v>0.01033057851</v>
      </c>
      <c r="L331" s="17">
        <f t="shared" si="110"/>
        <v>0.001503759398</v>
      </c>
      <c r="M331" s="17">
        <f t="shared" si="110"/>
        <v>0.006573541495</v>
      </c>
      <c r="N331" s="17">
        <f t="shared" si="110"/>
        <v>0.006060606061</v>
      </c>
      <c r="O331" s="17">
        <f t="shared" si="110"/>
        <v>0.004405286344</v>
      </c>
      <c r="P331" s="17">
        <f t="shared" si="110"/>
        <v>0.004843918192</v>
      </c>
      <c r="Q331" s="17">
        <f t="shared" si="110"/>
        <v>0.007287870901</v>
      </c>
      <c r="R331" s="17">
        <f t="shared" si="110"/>
        <v>0.005291005291</v>
      </c>
      <c r="S331" s="17">
        <f t="shared" si="110"/>
        <v>0.002050580998</v>
      </c>
      <c r="T331" s="17">
        <f t="shared" si="110"/>
        <v>0.004395604396</v>
      </c>
      <c r="U331" s="17">
        <f t="shared" si="110"/>
        <v>0.00260756193</v>
      </c>
      <c r="V331" s="17">
        <f t="shared" si="110"/>
        <v>0.005161290323</v>
      </c>
      <c r="W331" s="17">
        <f t="shared" si="110"/>
        <v>0.001152737752</v>
      </c>
    </row>
    <row r="332" ht="15.75" customHeight="1">
      <c r="A332" s="10" t="s">
        <v>205</v>
      </c>
      <c r="B332" s="10" t="s">
        <v>205</v>
      </c>
      <c r="C332" s="10"/>
      <c r="D332" s="10" t="s">
        <v>381</v>
      </c>
      <c r="E332" s="10" t="s">
        <v>257</v>
      </c>
      <c r="F332" s="3">
        <f t="shared" ref="F332:F336" si="111">SUM(G332:S332)</f>
        <v>1973</v>
      </c>
      <c r="G332" s="3">
        <f>SUMIFS('Business - Dump'!$G:$G,'Business - Dump'!$D:$D,'SKU Repoprt'!$D332,'Business - Dump'!$A:$A,'SKU Repoprt'!G$1)</f>
        <v>0</v>
      </c>
      <c r="H332" s="3">
        <f>SUMIFS('Business - Dump'!$G:$G,'Business - Dump'!$D:$D,'SKU Repoprt'!$D332,'Business - Dump'!$A:$A,'SKU Repoprt'!H$1)</f>
        <v>0</v>
      </c>
      <c r="I332" s="3">
        <f>SUMIFS('Business - Dump'!$G:$G,'Business - Dump'!$D:$D,'SKU Repoprt'!$D332,'Business - Dump'!$A:$A,'SKU Repoprt'!I$1)</f>
        <v>0</v>
      </c>
      <c r="J332" s="3">
        <f>SUMIFS('Business - Dump'!$G:$G,'Business - Dump'!$D:$D,'SKU Repoprt'!$D332,'Business - Dump'!$A:$A,'SKU Repoprt'!J$1)</f>
        <v>0</v>
      </c>
      <c r="K332" s="3">
        <f>SUMIFS('Business - Dump'!$G:$G,'Business - Dump'!$D:$D,'SKU Repoprt'!$D332,'Business - Dump'!$A:$A,'SKU Repoprt'!K$1)</f>
        <v>135</v>
      </c>
      <c r="L332" s="3">
        <f>SUMIFS('Business - Dump'!$G:$G,'Business - Dump'!$D:$D,'SKU Repoprt'!$D332,'Business - Dump'!$A:$A,'SKU Repoprt'!L$1)</f>
        <v>401</v>
      </c>
      <c r="M332" s="3">
        <f>SUMIFS('Business - Dump'!$G:$G,'Business - Dump'!$D:$D,'SKU Repoprt'!$D332,'Business - Dump'!$A:$A,'SKU Repoprt'!M$1)</f>
        <v>282</v>
      </c>
      <c r="N332" s="3">
        <f>SUMIFS('Business - Dump'!$G:$G,'Business - Dump'!$D:$D,'SKU Repoprt'!$D332,'Business - Dump'!$A:$A,'SKU Repoprt'!N$1)</f>
        <v>149</v>
      </c>
      <c r="O332" s="3">
        <f>SUMIFS('Business - Dump'!$G:$G,'Business - Dump'!$D:$D,'SKU Repoprt'!$D332,'Business - Dump'!$A:$A,'SKU Repoprt'!O$1)</f>
        <v>373</v>
      </c>
      <c r="P332" s="3">
        <f>SUMIFS('Business - Dump'!$G:$G,'Business - Dump'!$D:$D,'SKU Repoprt'!$D332,'Business - Dump'!$A:$A,'SKU Repoprt'!P$1)</f>
        <v>180</v>
      </c>
      <c r="Q332" s="3">
        <f>SUMIFS('Business - Dump'!$G:$G,'Business - Dump'!$D:$D,'SKU Repoprt'!$D332,'Business - Dump'!$A:$A,'SKU Repoprt'!Q$1)</f>
        <v>202</v>
      </c>
      <c r="R332" s="3">
        <f>SUMIFS('Business - Dump'!$G:$G,'Business - Dump'!$D:$D,'SKU Repoprt'!$D332,'Business - Dump'!$A:$A,'SKU Repoprt'!R$1)</f>
        <v>166</v>
      </c>
      <c r="S332" s="3">
        <f>SUMIFS('Business - Dump'!$G:$G,'Business - Dump'!$D:$D,'SKU Repoprt'!$D332,'Business - Dump'!$A:$A,'SKU Repoprt'!S$1)</f>
        <v>85</v>
      </c>
      <c r="T332" s="3">
        <f>SUMIFS('Business - Dump'!$G:$G,'Business - Dump'!$D:$D,'SKU Repoprt'!$D332,'Business - Dump'!$A:$A,'SKU Repoprt'!T$1)</f>
        <v>55</v>
      </c>
      <c r="U332" s="3">
        <f>SUMIFS('Business - Dump'!$G:$G,'Business - Dump'!$D:$D,'SKU Repoprt'!$D332,'Business - Dump'!$A:$A,'SKU Repoprt'!U$1)</f>
        <v>71</v>
      </c>
      <c r="V332" s="3">
        <f>SUMIFS('Business - Dump'!$G:$G,'Business - Dump'!$D:$D,'SKU Repoprt'!$D332,'Business - Dump'!$A:$A,'SKU Repoprt'!V$1)</f>
        <v>96</v>
      </c>
      <c r="W332" s="3">
        <f>SUMIFS('Business - Dump'!$G:$G,'Business - Dump'!$D:$D,'SKU Repoprt'!$D332,'Business - Dump'!$A:$A,'SKU Repoprt'!W$1)</f>
        <v>622</v>
      </c>
    </row>
    <row r="333" ht="15.75" customHeight="1">
      <c r="A333" s="10" t="s">
        <v>205</v>
      </c>
      <c r="B333" s="10" t="s">
        <v>205</v>
      </c>
      <c r="C333" s="10"/>
      <c r="D333" s="10" t="s">
        <v>381</v>
      </c>
      <c r="E333" s="10" t="s">
        <v>260</v>
      </c>
      <c r="F333" s="3">
        <f t="shared" si="111"/>
        <v>2559</v>
      </c>
      <c r="G333" s="3">
        <f>SUMIFS('Business - Dump'!$K:$K,'Business - Dump'!$D:$D,'SKU Repoprt'!$D333,'Business - Dump'!$A:$A,'SKU Repoprt'!G$1)</f>
        <v>0</v>
      </c>
      <c r="H333" s="3">
        <f>SUMIFS('Business - Dump'!$K:$K,'Business - Dump'!$D:$D,'SKU Repoprt'!$D333,'Business - Dump'!$A:$A,'SKU Repoprt'!H$1)</f>
        <v>0</v>
      </c>
      <c r="I333" s="3">
        <f>SUMIFS('Business - Dump'!$K:$K,'Business - Dump'!$D:$D,'SKU Repoprt'!$D333,'Business - Dump'!$A:$A,'SKU Repoprt'!I$1)</f>
        <v>0</v>
      </c>
      <c r="J333" s="3">
        <f>SUMIFS('Business - Dump'!$K:$K,'Business - Dump'!$D:$D,'SKU Repoprt'!$D333,'Business - Dump'!$A:$A,'SKU Repoprt'!J$1)</f>
        <v>0</v>
      </c>
      <c r="K333" s="3">
        <f>SUMIFS('Business - Dump'!$K:$K,'Business - Dump'!$D:$D,'SKU Repoprt'!$D333,'Business - Dump'!$A:$A,'SKU Repoprt'!K$1)</f>
        <v>181</v>
      </c>
      <c r="L333" s="3">
        <f>SUMIFS('Business - Dump'!$K:$K,'Business - Dump'!$D:$D,'SKU Repoprt'!$D333,'Business - Dump'!$A:$A,'SKU Repoprt'!L$1)</f>
        <v>520</v>
      </c>
      <c r="M333" s="3">
        <f>SUMIFS('Business - Dump'!$K:$K,'Business - Dump'!$D:$D,'SKU Repoprt'!$D333,'Business - Dump'!$A:$A,'SKU Repoprt'!M$1)</f>
        <v>405</v>
      </c>
      <c r="N333" s="3">
        <f>SUMIFS('Business - Dump'!$K:$K,'Business - Dump'!$D:$D,'SKU Repoprt'!$D333,'Business - Dump'!$A:$A,'SKU Repoprt'!N$1)</f>
        <v>193</v>
      </c>
      <c r="O333" s="3">
        <f>SUMIFS('Business - Dump'!$K:$K,'Business - Dump'!$D:$D,'SKU Repoprt'!$D333,'Business - Dump'!$A:$A,'SKU Repoprt'!O$1)</f>
        <v>431</v>
      </c>
      <c r="P333" s="3">
        <f>SUMIFS('Business - Dump'!$K:$K,'Business - Dump'!$D:$D,'SKU Repoprt'!$D333,'Business - Dump'!$A:$A,'SKU Repoprt'!P$1)</f>
        <v>213</v>
      </c>
      <c r="Q333" s="3">
        <f>SUMIFS('Business - Dump'!$K:$K,'Business - Dump'!$D:$D,'SKU Repoprt'!$D333,'Business - Dump'!$A:$A,'SKU Repoprt'!Q$1)</f>
        <v>254</v>
      </c>
      <c r="R333" s="3">
        <f>SUMIFS('Business - Dump'!$K:$K,'Business - Dump'!$D:$D,'SKU Repoprt'!$D333,'Business - Dump'!$A:$A,'SKU Repoprt'!R$1)</f>
        <v>258</v>
      </c>
      <c r="S333" s="3">
        <f>SUMIFS('Business - Dump'!$K:$K,'Business - Dump'!$D:$D,'SKU Repoprt'!$D333,'Business - Dump'!$A:$A,'SKU Repoprt'!S$1)</f>
        <v>104</v>
      </c>
      <c r="T333" s="3">
        <f>SUMIFS('Business - Dump'!$K:$K,'Business - Dump'!$D:$D,'SKU Repoprt'!$D333,'Business - Dump'!$A:$A,'SKU Repoprt'!T$1)</f>
        <v>65</v>
      </c>
      <c r="U333" s="3">
        <f>SUMIFS('Business - Dump'!$K:$K,'Business - Dump'!$D:$D,'SKU Repoprt'!$D333,'Business - Dump'!$A:$A,'SKU Repoprt'!U$1)</f>
        <v>84</v>
      </c>
      <c r="V333" s="3">
        <f>SUMIFS('Business - Dump'!$K:$K,'Business - Dump'!$D:$D,'SKU Repoprt'!$D333,'Business - Dump'!$A:$A,'SKU Repoprt'!V$1)</f>
        <v>109</v>
      </c>
      <c r="W333" s="3">
        <f>SUMIFS('Business - Dump'!$K:$K,'Business - Dump'!$D:$D,'SKU Repoprt'!$D333,'Business - Dump'!$A:$A,'SKU Repoprt'!W$1)</f>
        <v>761</v>
      </c>
    </row>
    <row r="334" ht="15.75" customHeight="1">
      <c r="A334" s="10" t="s">
        <v>205</v>
      </c>
      <c r="B334" s="10" t="s">
        <v>205</v>
      </c>
      <c r="C334" s="10"/>
      <c r="D334" s="10" t="s">
        <v>381</v>
      </c>
      <c r="E334" s="10" t="s">
        <v>264</v>
      </c>
      <c r="F334" s="3">
        <f t="shared" si="111"/>
        <v>11</v>
      </c>
      <c r="G334" s="3">
        <f>SUMIFS('Business - Dump'!$Q:$Q,'Business - Dump'!$D:$D,'SKU Repoprt'!$D334,'Business - Dump'!$A:$A,'SKU Repoprt'!G$1)</f>
        <v>0</v>
      </c>
      <c r="H334" s="3">
        <f>SUMIFS('Business - Dump'!$Q:$Q,'Business - Dump'!$D:$D,'SKU Repoprt'!$D334,'Business - Dump'!$A:$A,'SKU Repoprt'!H$1)</f>
        <v>0</v>
      </c>
      <c r="I334" s="3">
        <f>SUMIFS('Business - Dump'!$Q:$Q,'Business - Dump'!$D:$D,'SKU Repoprt'!$D334,'Business - Dump'!$A:$A,'SKU Repoprt'!I$1)</f>
        <v>0</v>
      </c>
      <c r="J334" s="3">
        <f>SUMIFS('Business - Dump'!$Q:$Q,'Business - Dump'!$D:$D,'SKU Repoprt'!$D334,'Business - Dump'!$A:$A,'SKU Repoprt'!J$1)</f>
        <v>0</v>
      </c>
      <c r="K334" s="3">
        <f>SUMIFS('Business - Dump'!$Q:$Q,'Business - Dump'!$D:$D,'SKU Repoprt'!$D334,'Business - Dump'!$A:$A,'SKU Repoprt'!K$1)</f>
        <v>2</v>
      </c>
      <c r="L334" s="3">
        <f>SUMIFS('Business - Dump'!$Q:$Q,'Business - Dump'!$D:$D,'SKU Repoprt'!$D334,'Business - Dump'!$A:$A,'SKU Repoprt'!L$1)</f>
        <v>1</v>
      </c>
      <c r="M334" s="3">
        <f>SUMIFS('Business - Dump'!$Q:$Q,'Business - Dump'!$D:$D,'SKU Repoprt'!$D334,'Business - Dump'!$A:$A,'SKU Repoprt'!M$1)</f>
        <v>2</v>
      </c>
      <c r="N334" s="3">
        <f>SUMIFS('Business - Dump'!$Q:$Q,'Business - Dump'!$D:$D,'SKU Repoprt'!$D334,'Business - Dump'!$A:$A,'SKU Repoprt'!N$1)</f>
        <v>1</v>
      </c>
      <c r="O334" s="3">
        <f>SUMIFS('Business - Dump'!$Q:$Q,'Business - Dump'!$D:$D,'SKU Repoprt'!$D334,'Business - Dump'!$A:$A,'SKU Repoprt'!O$1)</f>
        <v>0</v>
      </c>
      <c r="P334" s="3">
        <f>SUMIFS('Business - Dump'!$Q:$Q,'Business - Dump'!$D:$D,'SKU Repoprt'!$D334,'Business - Dump'!$A:$A,'SKU Repoprt'!P$1)</f>
        <v>1</v>
      </c>
      <c r="Q334" s="3">
        <f>SUMIFS('Business - Dump'!$Q:$Q,'Business - Dump'!$D:$D,'SKU Repoprt'!$D334,'Business - Dump'!$A:$A,'SKU Repoprt'!Q$1)</f>
        <v>0</v>
      </c>
      <c r="R334" s="3">
        <f>SUMIFS('Business - Dump'!$Q:$Q,'Business - Dump'!$D:$D,'SKU Repoprt'!$D334,'Business - Dump'!$A:$A,'SKU Repoprt'!R$1)</f>
        <v>4</v>
      </c>
      <c r="S334" s="3">
        <f>SUMIFS('Business - Dump'!$Q:$Q,'Business - Dump'!$D:$D,'SKU Repoprt'!$D334,'Business - Dump'!$A:$A,'SKU Repoprt'!S$1)</f>
        <v>0</v>
      </c>
      <c r="T334" s="3">
        <f>SUMIFS('Business - Dump'!$Q:$Q,'Business - Dump'!$D:$D,'SKU Repoprt'!$D334,'Business - Dump'!$A:$A,'SKU Repoprt'!T$1)</f>
        <v>0</v>
      </c>
      <c r="U334" s="3">
        <f>SUMIFS('Business - Dump'!$Q:$Q,'Business - Dump'!$D:$D,'SKU Repoprt'!$D334,'Business - Dump'!$A:$A,'SKU Repoprt'!U$1)</f>
        <v>0</v>
      </c>
      <c r="V334" s="3">
        <f>SUMIFS('Business - Dump'!$Q:$Q,'Business - Dump'!$D:$D,'SKU Repoprt'!$D334,'Business - Dump'!$A:$A,'SKU Repoprt'!V$1)</f>
        <v>0</v>
      </c>
      <c r="W334" s="3">
        <f>SUMIFS('Business - Dump'!$Q:$Q,'Business - Dump'!$D:$D,'SKU Repoprt'!$D334,'Business - Dump'!$A:$A,'SKU Repoprt'!W$1)</f>
        <v>0</v>
      </c>
    </row>
    <row r="335" ht="15.75" customHeight="1">
      <c r="A335" s="10" t="s">
        <v>205</v>
      </c>
      <c r="B335" s="10" t="s">
        <v>205</v>
      </c>
      <c r="C335" s="10"/>
      <c r="D335" s="10" t="s">
        <v>381</v>
      </c>
      <c r="E335" s="10" t="s">
        <v>268</v>
      </c>
      <c r="F335" s="3">
        <f t="shared" si="111"/>
        <v>11</v>
      </c>
      <c r="G335" s="3">
        <f>SUMIFS('Business - Dump'!$W:$W,'Business - Dump'!$D:$D,'SKU Repoprt'!$D335,'Business - Dump'!$A:$A,'SKU Repoprt'!G$1)</f>
        <v>0</v>
      </c>
      <c r="H335" s="3">
        <f>SUMIFS('Business - Dump'!$W:$W,'Business - Dump'!$D:$D,'SKU Repoprt'!$D335,'Business - Dump'!$A:$A,'SKU Repoprt'!H$1)</f>
        <v>0</v>
      </c>
      <c r="I335" s="3">
        <f>SUMIFS('Business - Dump'!$W:$W,'Business - Dump'!$D:$D,'SKU Repoprt'!$D335,'Business - Dump'!$A:$A,'SKU Repoprt'!I$1)</f>
        <v>0</v>
      </c>
      <c r="J335" s="3">
        <f>SUMIFS('Business - Dump'!$W:$W,'Business - Dump'!$D:$D,'SKU Repoprt'!$D335,'Business - Dump'!$A:$A,'SKU Repoprt'!J$1)</f>
        <v>0</v>
      </c>
      <c r="K335" s="3">
        <f>SUMIFS('Business - Dump'!$W:$W,'Business - Dump'!$D:$D,'SKU Repoprt'!$D335,'Business - Dump'!$A:$A,'SKU Repoprt'!K$1)</f>
        <v>2</v>
      </c>
      <c r="L335" s="3">
        <f>SUMIFS('Business - Dump'!$W:$W,'Business - Dump'!$D:$D,'SKU Repoprt'!$D335,'Business - Dump'!$A:$A,'SKU Repoprt'!L$1)</f>
        <v>1</v>
      </c>
      <c r="M335" s="3">
        <f>SUMIFS('Business - Dump'!$W:$W,'Business - Dump'!$D:$D,'SKU Repoprt'!$D335,'Business - Dump'!$A:$A,'SKU Repoprt'!M$1)</f>
        <v>2</v>
      </c>
      <c r="N335" s="3">
        <f>SUMIFS('Business - Dump'!$W:$W,'Business - Dump'!$D:$D,'SKU Repoprt'!$D335,'Business - Dump'!$A:$A,'SKU Repoprt'!N$1)</f>
        <v>1</v>
      </c>
      <c r="O335" s="3">
        <f>SUMIFS('Business - Dump'!$W:$W,'Business - Dump'!$D:$D,'SKU Repoprt'!$D335,'Business - Dump'!$A:$A,'SKU Repoprt'!O$1)</f>
        <v>0</v>
      </c>
      <c r="P335" s="3">
        <f>SUMIFS('Business - Dump'!$W:$W,'Business - Dump'!$D:$D,'SKU Repoprt'!$D335,'Business - Dump'!$A:$A,'SKU Repoprt'!P$1)</f>
        <v>1</v>
      </c>
      <c r="Q335" s="3">
        <f>SUMIFS('Business - Dump'!$W:$W,'Business - Dump'!$D:$D,'SKU Repoprt'!$D335,'Business - Dump'!$A:$A,'SKU Repoprt'!Q$1)</f>
        <v>0</v>
      </c>
      <c r="R335" s="3">
        <f>SUMIFS('Business - Dump'!$W:$W,'Business - Dump'!$D:$D,'SKU Repoprt'!$D335,'Business - Dump'!$A:$A,'SKU Repoprt'!R$1)</f>
        <v>4</v>
      </c>
      <c r="S335" s="3">
        <f>SUMIFS('Business - Dump'!$W:$W,'Business - Dump'!$D:$D,'SKU Repoprt'!$D335,'Business - Dump'!$A:$A,'SKU Repoprt'!S$1)</f>
        <v>0</v>
      </c>
      <c r="T335" s="3">
        <f>SUMIFS('Business - Dump'!$W:$W,'Business - Dump'!$D:$D,'SKU Repoprt'!$D335,'Business - Dump'!$A:$A,'SKU Repoprt'!T$1)</f>
        <v>0</v>
      </c>
      <c r="U335" s="3">
        <f>SUMIFS('Business - Dump'!$W:$W,'Business - Dump'!$D:$D,'SKU Repoprt'!$D335,'Business - Dump'!$A:$A,'SKU Repoprt'!U$1)</f>
        <v>0</v>
      </c>
      <c r="V335" s="3">
        <f>SUMIFS('Business - Dump'!$W:$W,'Business - Dump'!$D:$D,'SKU Repoprt'!$D335,'Business - Dump'!$A:$A,'SKU Repoprt'!V$1)</f>
        <v>0</v>
      </c>
      <c r="W335" s="3">
        <f>SUMIFS('Business - Dump'!$W:$W,'Business - Dump'!$D:$D,'SKU Repoprt'!$D335,'Business - Dump'!$A:$A,'SKU Repoprt'!W$1)</f>
        <v>0</v>
      </c>
    </row>
    <row r="336" ht="15.75" customHeight="1">
      <c r="A336" s="10" t="s">
        <v>205</v>
      </c>
      <c r="B336" s="10" t="s">
        <v>205</v>
      </c>
      <c r="C336" s="10"/>
      <c r="D336" s="10" t="s">
        <v>381</v>
      </c>
      <c r="E336" s="10" t="s">
        <v>26</v>
      </c>
      <c r="F336" s="16">
        <f t="shared" si="111"/>
        <v>418348.82</v>
      </c>
      <c r="G336" s="16">
        <f>SUMIFS('Business - Dump'!$U:$U,'Business - Dump'!$D:$D,'SKU Repoprt'!$D336,'Business - Dump'!$A:$A,'SKU Repoprt'!G$1)</f>
        <v>0</v>
      </c>
      <c r="H336" s="16">
        <f>SUMIFS('Business - Dump'!$U:$U,'Business - Dump'!$D:$D,'SKU Repoprt'!$D336,'Business - Dump'!$A:$A,'SKU Repoprt'!H$1)</f>
        <v>0</v>
      </c>
      <c r="I336" s="16">
        <f>SUMIFS('Business - Dump'!$U:$U,'Business - Dump'!$D:$D,'SKU Repoprt'!$D336,'Business - Dump'!$A:$A,'SKU Repoprt'!I$1)</f>
        <v>0</v>
      </c>
      <c r="J336" s="16">
        <f>SUMIFS('Business - Dump'!$U:$U,'Business - Dump'!$D:$D,'SKU Repoprt'!$D336,'Business - Dump'!$A:$A,'SKU Repoprt'!J$1)</f>
        <v>0</v>
      </c>
      <c r="K336" s="16">
        <f>SUMIFS('Business - Dump'!$U:$U,'Business - Dump'!$D:$D,'SKU Repoprt'!$D336,'Business - Dump'!$A:$A,'SKU Repoprt'!K$1)</f>
        <v>78000</v>
      </c>
      <c r="L336" s="16">
        <f>SUMIFS('Business - Dump'!$U:$U,'Business - Dump'!$D:$D,'SKU Repoprt'!$D336,'Business - Dump'!$A:$A,'SKU Repoprt'!L$1)</f>
        <v>39000</v>
      </c>
      <c r="M336" s="16">
        <f>SUMIFS('Business - Dump'!$U:$U,'Business - Dump'!$D:$D,'SKU Repoprt'!$D336,'Business - Dump'!$A:$A,'SKU Repoprt'!M$1)</f>
        <v>77731.36</v>
      </c>
      <c r="N336" s="16">
        <f>SUMIFS('Business - Dump'!$U:$U,'Business - Dump'!$D:$D,'SKU Repoprt'!$D336,'Business - Dump'!$A:$A,'SKU Repoprt'!N$1)</f>
        <v>38900</v>
      </c>
      <c r="O336" s="16">
        <f>SUMIFS('Business - Dump'!$U:$U,'Business - Dump'!$D:$D,'SKU Repoprt'!$D336,'Business - Dump'!$A:$A,'SKU Repoprt'!O$1)</f>
        <v>0</v>
      </c>
      <c r="P336" s="16">
        <f>SUMIFS('Business - Dump'!$U:$U,'Business - Dump'!$D:$D,'SKU Repoprt'!$D336,'Business - Dump'!$A:$A,'SKU Repoprt'!P$1)</f>
        <v>37900</v>
      </c>
      <c r="Q336" s="16">
        <f>SUMIFS('Business - Dump'!$U:$U,'Business - Dump'!$D:$D,'SKU Repoprt'!$D336,'Business - Dump'!$A:$A,'SKU Repoprt'!Q$1)</f>
        <v>0</v>
      </c>
      <c r="R336" s="16">
        <f>SUMIFS('Business - Dump'!$U:$U,'Business - Dump'!$D:$D,'SKU Repoprt'!$D336,'Business - Dump'!$A:$A,'SKU Repoprt'!R$1)</f>
        <v>146817.46</v>
      </c>
      <c r="S336" s="16">
        <f>SUMIFS('Business - Dump'!$U:$U,'Business - Dump'!$D:$D,'SKU Repoprt'!$D336,'Business - Dump'!$A:$A,'SKU Repoprt'!S$1)</f>
        <v>0</v>
      </c>
      <c r="T336" s="16">
        <f>SUMIFS('Business - Dump'!$U:$U,'Business - Dump'!$D:$D,'SKU Repoprt'!$D336,'Business - Dump'!$A:$A,'SKU Repoprt'!T$1)</f>
        <v>0</v>
      </c>
      <c r="U336" s="16">
        <f>SUMIFS('Business - Dump'!$U:$U,'Business - Dump'!$D:$D,'SKU Repoprt'!$D336,'Business - Dump'!$A:$A,'SKU Repoprt'!U$1)</f>
        <v>0</v>
      </c>
      <c r="V336" s="16">
        <f>SUMIFS('Business - Dump'!$U:$U,'Business - Dump'!$D:$D,'SKU Repoprt'!$D336,'Business - Dump'!$A:$A,'SKU Repoprt'!V$1)</f>
        <v>0</v>
      </c>
      <c r="W336" s="16">
        <f>SUMIFS('Business - Dump'!$U:$U,'Business - Dump'!$D:$D,'SKU Repoprt'!$D336,'Business - Dump'!$A:$A,'SKU Repoprt'!W$1)</f>
        <v>0</v>
      </c>
    </row>
    <row r="337" ht="15.75" customHeight="1">
      <c r="A337" s="10" t="s">
        <v>205</v>
      </c>
      <c r="B337" s="10" t="s">
        <v>205</v>
      </c>
      <c r="C337" s="10"/>
      <c r="D337" s="10" t="s">
        <v>381</v>
      </c>
      <c r="E337" s="10" t="s">
        <v>29</v>
      </c>
      <c r="F337" s="17">
        <v>0.027042857142857143</v>
      </c>
      <c r="G337" s="17">
        <f t="shared" ref="G337:W337" si="112">IFERROR(G335/G332,0)</f>
        <v>0</v>
      </c>
      <c r="H337" s="17">
        <f t="shared" si="112"/>
        <v>0</v>
      </c>
      <c r="I337" s="17">
        <f t="shared" si="112"/>
        <v>0</v>
      </c>
      <c r="J337" s="17">
        <f t="shared" si="112"/>
        <v>0</v>
      </c>
      <c r="K337" s="17">
        <f t="shared" si="112"/>
        <v>0.01481481481</v>
      </c>
      <c r="L337" s="17">
        <f t="shared" si="112"/>
        <v>0.002493765586</v>
      </c>
      <c r="M337" s="17">
        <f t="shared" si="112"/>
        <v>0.007092198582</v>
      </c>
      <c r="N337" s="17">
        <f t="shared" si="112"/>
        <v>0.006711409396</v>
      </c>
      <c r="O337" s="17">
        <f t="shared" si="112"/>
        <v>0</v>
      </c>
      <c r="P337" s="17">
        <f t="shared" si="112"/>
        <v>0.005555555556</v>
      </c>
      <c r="Q337" s="17">
        <f t="shared" si="112"/>
        <v>0</v>
      </c>
      <c r="R337" s="17">
        <f t="shared" si="112"/>
        <v>0.02409638554</v>
      </c>
      <c r="S337" s="17">
        <f t="shared" si="112"/>
        <v>0</v>
      </c>
      <c r="T337" s="17">
        <f t="shared" si="112"/>
        <v>0</v>
      </c>
      <c r="U337" s="17">
        <f t="shared" si="112"/>
        <v>0</v>
      </c>
      <c r="V337" s="17">
        <f t="shared" si="112"/>
        <v>0</v>
      </c>
      <c r="W337" s="17">
        <f t="shared" si="112"/>
        <v>0</v>
      </c>
    </row>
    <row r="338" ht="15.75" customHeight="1">
      <c r="A338" s="10" t="s">
        <v>205</v>
      </c>
      <c r="B338" s="10" t="s">
        <v>205</v>
      </c>
      <c r="C338" s="10"/>
      <c r="D338" s="10" t="s">
        <v>344</v>
      </c>
      <c r="E338" s="10" t="s">
        <v>257</v>
      </c>
      <c r="F338" s="3">
        <f t="shared" ref="F338:F342" si="113">SUM(G338:S338)</f>
        <v>2572</v>
      </c>
      <c r="G338" s="3">
        <f>SUMIFS('Business - Dump'!$G:$G,'Business - Dump'!$D:$D,'SKU Repoprt'!$D338,'Business - Dump'!$A:$A,'SKU Repoprt'!G$1)</f>
        <v>0</v>
      </c>
      <c r="H338" s="3">
        <f>SUMIFS('Business - Dump'!$G:$G,'Business - Dump'!$D:$D,'SKU Repoprt'!$D338,'Business - Dump'!$A:$A,'SKU Repoprt'!H$1)</f>
        <v>129</v>
      </c>
      <c r="I338" s="3">
        <f>SUMIFS('Business - Dump'!$G:$G,'Business - Dump'!$D:$D,'SKU Repoprt'!$D338,'Business - Dump'!$A:$A,'SKU Repoprt'!I$1)</f>
        <v>0</v>
      </c>
      <c r="J338" s="3">
        <f>SUMIFS('Business - Dump'!$G:$G,'Business - Dump'!$D:$D,'SKU Repoprt'!$D338,'Business - Dump'!$A:$A,'SKU Repoprt'!J$1)</f>
        <v>0</v>
      </c>
      <c r="K338" s="3">
        <f>SUMIFS('Business - Dump'!$G:$G,'Business - Dump'!$D:$D,'SKU Repoprt'!$D338,'Business - Dump'!$A:$A,'SKU Repoprt'!K$1)</f>
        <v>0</v>
      </c>
      <c r="L338" s="3">
        <f>SUMIFS('Business - Dump'!$G:$G,'Business - Dump'!$D:$D,'SKU Repoprt'!$D338,'Business - Dump'!$A:$A,'SKU Repoprt'!L$1)</f>
        <v>0</v>
      </c>
      <c r="M338" s="3">
        <f>SUMIFS('Business - Dump'!$G:$G,'Business - Dump'!$D:$D,'SKU Repoprt'!$D338,'Business - Dump'!$A:$A,'SKU Repoprt'!M$1)</f>
        <v>450</v>
      </c>
      <c r="N338" s="3">
        <f>SUMIFS('Business - Dump'!$G:$G,'Business - Dump'!$D:$D,'SKU Repoprt'!$D338,'Business - Dump'!$A:$A,'SKU Repoprt'!N$1)</f>
        <v>231</v>
      </c>
      <c r="O338" s="3">
        <f>SUMIFS('Business - Dump'!$G:$G,'Business - Dump'!$D:$D,'SKU Repoprt'!$D338,'Business - Dump'!$A:$A,'SKU Repoprt'!O$1)</f>
        <v>409</v>
      </c>
      <c r="P338" s="3">
        <f>SUMIFS('Business - Dump'!$G:$G,'Business - Dump'!$D:$D,'SKU Repoprt'!$D338,'Business - Dump'!$A:$A,'SKU Repoprt'!P$1)</f>
        <v>229</v>
      </c>
      <c r="Q338" s="3">
        <f>SUMIFS('Business - Dump'!$G:$G,'Business - Dump'!$D:$D,'SKU Repoprt'!$D338,'Business - Dump'!$A:$A,'SKU Repoprt'!Q$1)</f>
        <v>411</v>
      </c>
      <c r="R338" s="3">
        <f>SUMIFS('Business - Dump'!$G:$G,'Business - Dump'!$D:$D,'SKU Repoprt'!$D338,'Business - Dump'!$A:$A,'SKU Repoprt'!R$1)</f>
        <v>515</v>
      </c>
      <c r="S338" s="3">
        <f>SUMIFS('Business - Dump'!$G:$G,'Business - Dump'!$D:$D,'SKU Repoprt'!$D338,'Business - Dump'!$A:$A,'SKU Repoprt'!S$1)</f>
        <v>198</v>
      </c>
      <c r="T338" s="3">
        <f>SUMIFS('Business - Dump'!$G:$G,'Business - Dump'!$D:$D,'SKU Repoprt'!$D338,'Business - Dump'!$A:$A,'SKU Repoprt'!T$1)</f>
        <v>227</v>
      </c>
      <c r="U338" s="3">
        <f>SUMIFS('Business - Dump'!$G:$G,'Business - Dump'!$D:$D,'SKU Repoprt'!$D338,'Business - Dump'!$A:$A,'SKU Repoprt'!U$1)</f>
        <v>198</v>
      </c>
      <c r="V338" s="3">
        <f>SUMIFS('Business - Dump'!$G:$G,'Business - Dump'!$D:$D,'SKU Repoprt'!$D338,'Business - Dump'!$A:$A,'SKU Repoprt'!V$1)</f>
        <v>171</v>
      </c>
      <c r="W338" s="3">
        <f>SUMIFS('Business - Dump'!$G:$G,'Business - Dump'!$D:$D,'SKU Repoprt'!$D338,'Business - Dump'!$A:$A,'SKU Repoprt'!W$1)</f>
        <v>875</v>
      </c>
    </row>
    <row r="339" ht="15.75" customHeight="1">
      <c r="A339" s="10" t="s">
        <v>205</v>
      </c>
      <c r="B339" s="10" t="s">
        <v>205</v>
      </c>
      <c r="C339" s="10"/>
      <c r="D339" s="10" t="s">
        <v>344</v>
      </c>
      <c r="E339" s="10" t="s">
        <v>260</v>
      </c>
      <c r="F339" s="3">
        <f t="shared" si="113"/>
        <v>3514</v>
      </c>
      <c r="G339" s="3">
        <f>SUMIFS('Business - Dump'!$K:$K,'Business - Dump'!$D:$D,'SKU Repoprt'!$D339,'Business - Dump'!$A:$A,'SKU Repoprt'!G$1)</f>
        <v>0</v>
      </c>
      <c r="H339" s="3">
        <f>SUMIFS('Business - Dump'!$K:$K,'Business - Dump'!$D:$D,'SKU Repoprt'!$D339,'Business - Dump'!$A:$A,'SKU Repoprt'!H$1)</f>
        <v>183</v>
      </c>
      <c r="I339" s="3">
        <f>SUMIFS('Business - Dump'!$K:$K,'Business - Dump'!$D:$D,'SKU Repoprt'!$D339,'Business - Dump'!$A:$A,'SKU Repoprt'!I$1)</f>
        <v>0</v>
      </c>
      <c r="J339" s="3">
        <f>SUMIFS('Business - Dump'!$K:$K,'Business - Dump'!$D:$D,'SKU Repoprt'!$D339,'Business - Dump'!$A:$A,'SKU Repoprt'!J$1)</f>
        <v>0</v>
      </c>
      <c r="K339" s="3">
        <f>SUMIFS('Business - Dump'!$K:$K,'Business - Dump'!$D:$D,'SKU Repoprt'!$D339,'Business - Dump'!$A:$A,'SKU Repoprt'!K$1)</f>
        <v>0</v>
      </c>
      <c r="L339" s="3">
        <f>SUMIFS('Business - Dump'!$K:$K,'Business - Dump'!$D:$D,'SKU Repoprt'!$D339,'Business - Dump'!$A:$A,'SKU Repoprt'!L$1)</f>
        <v>0</v>
      </c>
      <c r="M339" s="3">
        <f>SUMIFS('Business - Dump'!$K:$K,'Business - Dump'!$D:$D,'SKU Repoprt'!$D339,'Business - Dump'!$A:$A,'SKU Repoprt'!M$1)</f>
        <v>698</v>
      </c>
      <c r="N339" s="3">
        <f>SUMIFS('Business - Dump'!$K:$K,'Business - Dump'!$D:$D,'SKU Repoprt'!$D339,'Business - Dump'!$A:$A,'SKU Repoprt'!N$1)</f>
        <v>294</v>
      </c>
      <c r="O339" s="3">
        <f>SUMIFS('Business - Dump'!$K:$K,'Business - Dump'!$D:$D,'SKU Repoprt'!$D339,'Business - Dump'!$A:$A,'SKU Repoprt'!O$1)</f>
        <v>517</v>
      </c>
      <c r="P339" s="3">
        <f>SUMIFS('Business - Dump'!$K:$K,'Business - Dump'!$D:$D,'SKU Repoprt'!$D339,'Business - Dump'!$A:$A,'SKU Repoprt'!P$1)</f>
        <v>277</v>
      </c>
      <c r="Q339" s="3">
        <f>SUMIFS('Business - Dump'!$K:$K,'Business - Dump'!$D:$D,'SKU Repoprt'!$D339,'Business - Dump'!$A:$A,'SKU Repoprt'!Q$1)</f>
        <v>570</v>
      </c>
      <c r="R339" s="3">
        <f>SUMIFS('Business - Dump'!$K:$K,'Business - Dump'!$D:$D,'SKU Repoprt'!$D339,'Business - Dump'!$A:$A,'SKU Repoprt'!R$1)</f>
        <v>699</v>
      </c>
      <c r="S339" s="3">
        <f>SUMIFS('Business - Dump'!$K:$K,'Business - Dump'!$D:$D,'SKU Repoprt'!$D339,'Business - Dump'!$A:$A,'SKU Repoprt'!S$1)</f>
        <v>276</v>
      </c>
      <c r="T339" s="3">
        <f>SUMIFS('Business - Dump'!$K:$K,'Business - Dump'!$D:$D,'SKU Repoprt'!$D339,'Business - Dump'!$A:$A,'SKU Repoprt'!T$1)</f>
        <v>276</v>
      </c>
      <c r="U339" s="3">
        <f>SUMIFS('Business - Dump'!$K:$K,'Business - Dump'!$D:$D,'SKU Repoprt'!$D339,'Business - Dump'!$A:$A,'SKU Repoprt'!U$1)</f>
        <v>275</v>
      </c>
      <c r="V339" s="3">
        <f>SUMIFS('Business - Dump'!$K:$K,'Business - Dump'!$D:$D,'SKU Repoprt'!$D339,'Business - Dump'!$A:$A,'SKU Repoprt'!V$1)</f>
        <v>202</v>
      </c>
      <c r="W339" s="3">
        <f>SUMIFS('Business - Dump'!$K:$K,'Business - Dump'!$D:$D,'SKU Repoprt'!$D339,'Business - Dump'!$A:$A,'SKU Repoprt'!W$1)</f>
        <v>1107</v>
      </c>
    </row>
    <row r="340" ht="15.75" customHeight="1">
      <c r="A340" s="10" t="s">
        <v>205</v>
      </c>
      <c r="B340" s="10" t="s">
        <v>205</v>
      </c>
      <c r="C340" s="10"/>
      <c r="D340" s="10" t="s">
        <v>344</v>
      </c>
      <c r="E340" s="10" t="s">
        <v>264</v>
      </c>
      <c r="F340" s="3">
        <f t="shared" si="113"/>
        <v>13</v>
      </c>
      <c r="G340" s="3">
        <f>SUMIFS('Business - Dump'!$Q:$Q,'Business - Dump'!$D:$D,'SKU Repoprt'!$D340,'Business - Dump'!$A:$A,'SKU Repoprt'!G$1)</f>
        <v>0</v>
      </c>
      <c r="H340" s="3">
        <f>SUMIFS('Business - Dump'!$Q:$Q,'Business - Dump'!$D:$D,'SKU Repoprt'!$D340,'Business - Dump'!$A:$A,'SKU Repoprt'!H$1)</f>
        <v>1</v>
      </c>
      <c r="I340" s="3">
        <f>SUMIFS('Business - Dump'!$Q:$Q,'Business - Dump'!$D:$D,'SKU Repoprt'!$D340,'Business - Dump'!$A:$A,'SKU Repoprt'!I$1)</f>
        <v>0</v>
      </c>
      <c r="J340" s="3">
        <f>SUMIFS('Business - Dump'!$Q:$Q,'Business - Dump'!$D:$D,'SKU Repoprt'!$D340,'Business - Dump'!$A:$A,'SKU Repoprt'!J$1)</f>
        <v>0</v>
      </c>
      <c r="K340" s="3">
        <f>SUMIFS('Business - Dump'!$Q:$Q,'Business - Dump'!$D:$D,'SKU Repoprt'!$D340,'Business - Dump'!$A:$A,'SKU Repoprt'!K$1)</f>
        <v>0</v>
      </c>
      <c r="L340" s="3">
        <f>SUMIFS('Business - Dump'!$Q:$Q,'Business - Dump'!$D:$D,'SKU Repoprt'!$D340,'Business - Dump'!$A:$A,'SKU Repoprt'!L$1)</f>
        <v>0</v>
      </c>
      <c r="M340" s="3">
        <f>SUMIFS('Business - Dump'!$Q:$Q,'Business - Dump'!$D:$D,'SKU Repoprt'!$D340,'Business - Dump'!$A:$A,'SKU Repoprt'!M$1)</f>
        <v>1</v>
      </c>
      <c r="N340" s="3">
        <f>SUMIFS('Business - Dump'!$Q:$Q,'Business - Dump'!$D:$D,'SKU Repoprt'!$D340,'Business - Dump'!$A:$A,'SKU Repoprt'!N$1)</f>
        <v>3</v>
      </c>
      <c r="O340" s="3">
        <f>SUMIFS('Business - Dump'!$Q:$Q,'Business - Dump'!$D:$D,'SKU Repoprt'!$D340,'Business - Dump'!$A:$A,'SKU Repoprt'!O$1)</f>
        <v>2</v>
      </c>
      <c r="P340" s="3">
        <f>SUMIFS('Business - Dump'!$Q:$Q,'Business - Dump'!$D:$D,'SKU Repoprt'!$D340,'Business - Dump'!$A:$A,'SKU Repoprt'!P$1)</f>
        <v>1</v>
      </c>
      <c r="Q340" s="3">
        <f>SUMIFS('Business - Dump'!$Q:$Q,'Business - Dump'!$D:$D,'SKU Repoprt'!$D340,'Business - Dump'!$A:$A,'SKU Repoprt'!Q$1)</f>
        <v>1</v>
      </c>
      <c r="R340" s="3">
        <f>SUMIFS('Business - Dump'!$Q:$Q,'Business - Dump'!$D:$D,'SKU Repoprt'!$D340,'Business - Dump'!$A:$A,'SKU Repoprt'!R$1)</f>
        <v>4</v>
      </c>
      <c r="S340" s="3">
        <f>SUMIFS('Business - Dump'!$Q:$Q,'Business - Dump'!$D:$D,'SKU Repoprt'!$D340,'Business - Dump'!$A:$A,'SKU Repoprt'!S$1)</f>
        <v>0</v>
      </c>
      <c r="T340" s="3">
        <f>SUMIFS('Business - Dump'!$Q:$Q,'Business - Dump'!$D:$D,'SKU Repoprt'!$D340,'Business - Dump'!$A:$A,'SKU Repoprt'!T$1)</f>
        <v>0</v>
      </c>
      <c r="U340" s="3">
        <f>SUMIFS('Business - Dump'!$Q:$Q,'Business - Dump'!$D:$D,'SKU Repoprt'!$D340,'Business - Dump'!$A:$A,'SKU Repoprt'!U$1)</f>
        <v>0</v>
      </c>
      <c r="V340" s="3">
        <f>SUMIFS('Business - Dump'!$Q:$Q,'Business - Dump'!$D:$D,'SKU Repoprt'!$D340,'Business - Dump'!$A:$A,'SKU Repoprt'!V$1)</f>
        <v>1</v>
      </c>
      <c r="W340" s="3">
        <f>SUMIFS('Business - Dump'!$Q:$Q,'Business - Dump'!$D:$D,'SKU Repoprt'!$D340,'Business - Dump'!$A:$A,'SKU Repoprt'!W$1)</f>
        <v>0</v>
      </c>
    </row>
    <row r="341" ht="15.75" customHeight="1">
      <c r="A341" s="10" t="s">
        <v>205</v>
      </c>
      <c r="B341" s="10" t="s">
        <v>205</v>
      </c>
      <c r="C341" s="10"/>
      <c r="D341" s="10" t="s">
        <v>344</v>
      </c>
      <c r="E341" s="10" t="s">
        <v>268</v>
      </c>
      <c r="F341" s="3">
        <f t="shared" si="113"/>
        <v>13</v>
      </c>
      <c r="G341" s="3">
        <f>SUMIFS('Business - Dump'!$W:$W,'Business - Dump'!$D:$D,'SKU Repoprt'!$D341,'Business - Dump'!$A:$A,'SKU Repoprt'!G$1)</f>
        <v>0</v>
      </c>
      <c r="H341" s="3">
        <f>SUMIFS('Business - Dump'!$W:$W,'Business - Dump'!$D:$D,'SKU Repoprt'!$D341,'Business - Dump'!$A:$A,'SKU Repoprt'!H$1)</f>
        <v>1</v>
      </c>
      <c r="I341" s="3">
        <f>SUMIFS('Business - Dump'!$W:$W,'Business - Dump'!$D:$D,'SKU Repoprt'!$D341,'Business - Dump'!$A:$A,'SKU Repoprt'!I$1)</f>
        <v>0</v>
      </c>
      <c r="J341" s="3">
        <f>SUMIFS('Business - Dump'!$W:$W,'Business - Dump'!$D:$D,'SKU Repoprt'!$D341,'Business - Dump'!$A:$A,'SKU Repoprt'!J$1)</f>
        <v>0</v>
      </c>
      <c r="K341" s="3">
        <f>SUMIFS('Business - Dump'!$W:$W,'Business - Dump'!$D:$D,'SKU Repoprt'!$D341,'Business - Dump'!$A:$A,'SKU Repoprt'!K$1)</f>
        <v>0</v>
      </c>
      <c r="L341" s="3">
        <f>SUMIFS('Business - Dump'!$W:$W,'Business - Dump'!$D:$D,'SKU Repoprt'!$D341,'Business - Dump'!$A:$A,'SKU Repoprt'!L$1)</f>
        <v>0</v>
      </c>
      <c r="M341" s="3">
        <f>SUMIFS('Business - Dump'!$W:$W,'Business - Dump'!$D:$D,'SKU Repoprt'!$D341,'Business - Dump'!$A:$A,'SKU Repoprt'!M$1)</f>
        <v>1</v>
      </c>
      <c r="N341" s="3">
        <f>SUMIFS('Business - Dump'!$W:$W,'Business - Dump'!$D:$D,'SKU Repoprt'!$D341,'Business - Dump'!$A:$A,'SKU Repoprt'!N$1)</f>
        <v>3</v>
      </c>
      <c r="O341" s="3">
        <f>SUMIFS('Business - Dump'!$W:$W,'Business - Dump'!$D:$D,'SKU Repoprt'!$D341,'Business - Dump'!$A:$A,'SKU Repoprt'!O$1)</f>
        <v>2</v>
      </c>
      <c r="P341" s="3">
        <f>SUMIFS('Business - Dump'!$W:$W,'Business - Dump'!$D:$D,'SKU Repoprt'!$D341,'Business - Dump'!$A:$A,'SKU Repoprt'!P$1)</f>
        <v>1</v>
      </c>
      <c r="Q341" s="3">
        <f>SUMIFS('Business - Dump'!$W:$W,'Business - Dump'!$D:$D,'SKU Repoprt'!$D341,'Business - Dump'!$A:$A,'SKU Repoprt'!Q$1)</f>
        <v>1</v>
      </c>
      <c r="R341" s="3">
        <f>SUMIFS('Business - Dump'!$W:$W,'Business - Dump'!$D:$D,'SKU Repoprt'!$D341,'Business - Dump'!$A:$A,'SKU Repoprt'!R$1)</f>
        <v>4</v>
      </c>
      <c r="S341" s="3">
        <f>SUMIFS('Business - Dump'!$W:$W,'Business - Dump'!$D:$D,'SKU Repoprt'!$D341,'Business - Dump'!$A:$A,'SKU Repoprt'!S$1)</f>
        <v>0</v>
      </c>
      <c r="T341" s="3">
        <f>SUMIFS('Business - Dump'!$W:$W,'Business - Dump'!$D:$D,'SKU Repoprt'!$D341,'Business - Dump'!$A:$A,'SKU Repoprt'!T$1)</f>
        <v>0</v>
      </c>
      <c r="U341" s="3">
        <f>SUMIFS('Business - Dump'!$W:$W,'Business - Dump'!$D:$D,'SKU Repoprt'!$D341,'Business - Dump'!$A:$A,'SKU Repoprt'!U$1)</f>
        <v>0</v>
      </c>
      <c r="V341" s="3">
        <f>SUMIFS('Business - Dump'!$W:$W,'Business - Dump'!$D:$D,'SKU Repoprt'!$D341,'Business - Dump'!$A:$A,'SKU Repoprt'!V$1)</f>
        <v>1</v>
      </c>
      <c r="W341" s="3">
        <f>SUMIFS('Business - Dump'!$W:$W,'Business - Dump'!$D:$D,'SKU Repoprt'!$D341,'Business - Dump'!$A:$A,'SKU Repoprt'!W$1)</f>
        <v>0</v>
      </c>
    </row>
    <row r="342" ht="15.75" customHeight="1">
      <c r="A342" s="10" t="s">
        <v>205</v>
      </c>
      <c r="B342" s="10" t="s">
        <v>205</v>
      </c>
      <c r="C342" s="10"/>
      <c r="D342" s="10" t="s">
        <v>344</v>
      </c>
      <c r="E342" s="10" t="s">
        <v>26</v>
      </c>
      <c r="F342" s="16">
        <f t="shared" si="113"/>
        <v>503363.74</v>
      </c>
      <c r="G342" s="16">
        <f>SUMIFS('Business - Dump'!$U:$U,'Business - Dump'!$D:$D,'SKU Repoprt'!$D342,'Business - Dump'!$A:$A,'SKU Repoprt'!G$1)</f>
        <v>0</v>
      </c>
      <c r="H342" s="16">
        <f>SUMIFS('Business - Dump'!$U:$U,'Business - Dump'!$D:$D,'SKU Repoprt'!$D342,'Business - Dump'!$A:$A,'SKU Repoprt'!H$1)</f>
        <v>47990</v>
      </c>
      <c r="I342" s="16">
        <f>SUMIFS('Business - Dump'!$U:$U,'Business - Dump'!$D:$D,'SKU Repoprt'!$D342,'Business - Dump'!$A:$A,'SKU Repoprt'!I$1)</f>
        <v>0</v>
      </c>
      <c r="J342" s="16">
        <f>SUMIFS('Business - Dump'!$U:$U,'Business - Dump'!$D:$D,'SKU Repoprt'!$D342,'Business - Dump'!$A:$A,'SKU Repoprt'!J$1)</f>
        <v>0</v>
      </c>
      <c r="K342" s="16">
        <f>SUMIFS('Business - Dump'!$U:$U,'Business - Dump'!$D:$D,'SKU Repoprt'!$D342,'Business - Dump'!$A:$A,'SKU Repoprt'!K$1)</f>
        <v>0</v>
      </c>
      <c r="L342" s="16">
        <f>SUMIFS('Business - Dump'!$U:$U,'Business - Dump'!$D:$D,'SKU Repoprt'!$D342,'Business - Dump'!$A:$A,'SKU Repoprt'!L$1)</f>
        <v>0</v>
      </c>
      <c r="M342" s="16">
        <f>SUMIFS('Business - Dump'!$U:$U,'Business - Dump'!$D:$D,'SKU Repoprt'!$D342,'Business - Dump'!$A:$A,'SKU Repoprt'!M$1)</f>
        <v>38900</v>
      </c>
      <c r="N342" s="16">
        <f>SUMIFS('Business - Dump'!$U:$U,'Business - Dump'!$D:$D,'SKU Repoprt'!$D342,'Business - Dump'!$A:$A,'SKU Repoprt'!N$1)</f>
        <v>116700</v>
      </c>
      <c r="O342" s="16">
        <f>SUMIFS('Business - Dump'!$U:$U,'Business - Dump'!$D:$D,'SKU Repoprt'!$D342,'Business - Dump'!$A:$A,'SKU Repoprt'!O$1)</f>
        <v>77281.36</v>
      </c>
      <c r="P342" s="16">
        <f>SUMIFS('Business - Dump'!$U:$U,'Business - Dump'!$D:$D,'SKU Repoprt'!$D342,'Business - Dump'!$A:$A,'SKU Repoprt'!P$1)</f>
        <v>37900</v>
      </c>
      <c r="Q342" s="16">
        <f>SUMIFS('Business - Dump'!$U:$U,'Business - Dump'!$D:$D,'SKU Repoprt'!$D342,'Business - Dump'!$A:$A,'SKU Repoprt'!Q$1)</f>
        <v>37837.46</v>
      </c>
      <c r="R342" s="16">
        <f>SUMIFS('Business - Dump'!$U:$U,'Business - Dump'!$D:$D,'SKU Repoprt'!$D342,'Business - Dump'!$A:$A,'SKU Repoprt'!R$1)</f>
        <v>146754.92</v>
      </c>
      <c r="S342" s="16">
        <f>SUMIFS('Business - Dump'!$U:$U,'Business - Dump'!$D:$D,'SKU Repoprt'!$D342,'Business - Dump'!$A:$A,'SKU Repoprt'!S$1)</f>
        <v>0</v>
      </c>
      <c r="T342" s="16">
        <f>SUMIFS('Business - Dump'!$U:$U,'Business - Dump'!$D:$D,'SKU Repoprt'!$D342,'Business - Dump'!$A:$A,'SKU Repoprt'!T$1)</f>
        <v>0</v>
      </c>
      <c r="U342" s="16">
        <f>SUMIFS('Business - Dump'!$U:$U,'Business - Dump'!$D:$D,'SKU Repoprt'!$D342,'Business - Dump'!$A:$A,'SKU Repoprt'!U$1)</f>
        <v>0</v>
      </c>
      <c r="V342" s="16">
        <f>SUMIFS('Business - Dump'!$U:$U,'Business - Dump'!$D:$D,'SKU Repoprt'!$D342,'Business - Dump'!$A:$A,'SKU Repoprt'!V$1)</f>
        <v>38387.46</v>
      </c>
      <c r="W342" s="16">
        <f>SUMIFS('Business - Dump'!$U:$U,'Business - Dump'!$D:$D,'SKU Repoprt'!$D342,'Business - Dump'!$A:$A,'SKU Repoprt'!W$1)</f>
        <v>0</v>
      </c>
    </row>
    <row r="343" ht="15.75" customHeight="1">
      <c r="A343" s="10" t="s">
        <v>205</v>
      </c>
      <c r="B343" s="10" t="s">
        <v>205</v>
      </c>
      <c r="C343" s="10"/>
      <c r="D343" s="10" t="s">
        <v>344</v>
      </c>
      <c r="E343" s="10" t="s">
        <v>29</v>
      </c>
      <c r="F343" s="17">
        <v>0.027042857142857143</v>
      </c>
      <c r="G343" s="17">
        <f t="shared" ref="G343:W343" si="114">IFERROR(G341/G338,0)</f>
        <v>0</v>
      </c>
      <c r="H343" s="17">
        <f t="shared" si="114"/>
        <v>0.007751937984</v>
      </c>
      <c r="I343" s="17">
        <f t="shared" si="114"/>
        <v>0</v>
      </c>
      <c r="J343" s="17">
        <f t="shared" si="114"/>
        <v>0</v>
      </c>
      <c r="K343" s="17">
        <f t="shared" si="114"/>
        <v>0</v>
      </c>
      <c r="L343" s="17">
        <f t="shared" si="114"/>
        <v>0</v>
      </c>
      <c r="M343" s="17">
        <f t="shared" si="114"/>
        <v>0.002222222222</v>
      </c>
      <c r="N343" s="17">
        <f t="shared" si="114"/>
        <v>0.01298701299</v>
      </c>
      <c r="O343" s="17">
        <f t="shared" si="114"/>
        <v>0.00488997555</v>
      </c>
      <c r="P343" s="17">
        <f t="shared" si="114"/>
        <v>0.004366812227</v>
      </c>
      <c r="Q343" s="17">
        <f t="shared" si="114"/>
        <v>0.002433090024</v>
      </c>
      <c r="R343" s="17">
        <f t="shared" si="114"/>
        <v>0.007766990291</v>
      </c>
      <c r="S343" s="17">
        <f t="shared" si="114"/>
        <v>0</v>
      </c>
      <c r="T343" s="17">
        <f t="shared" si="114"/>
        <v>0</v>
      </c>
      <c r="U343" s="17">
        <f t="shared" si="114"/>
        <v>0</v>
      </c>
      <c r="V343" s="17">
        <f t="shared" si="114"/>
        <v>0.005847953216</v>
      </c>
      <c r="W343" s="17">
        <f t="shared" si="114"/>
        <v>0</v>
      </c>
    </row>
    <row r="344" ht="15.75" customHeight="1">
      <c r="A344" s="10" t="s">
        <v>205</v>
      </c>
      <c r="B344" s="10" t="s">
        <v>205</v>
      </c>
      <c r="C344" s="10"/>
      <c r="D344" s="10" t="s">
        <v>397</v>
      </c>
      <c r="E344" s="10" t="s">
        <v>257</v>
      </c>
      <c r="F344" s="3">
        <f t="shared" ref="F344:F348" si="115">SUM(G344:S344)</f>
        <v>1402</v>
      </c>
      <c r="G344" s="3">
        <f>SUMIFS('Business - Dump'!$G:$G,'Business - Dump'!$D:$D,'SKU Repoprt'!$D344,'Business - Dump'!$A:$A,'SKU Repoprt'!G$1)</f>
        <v>0</v>
      </c>
      <c r="H344" s="3">
        <f>SUMIFS('Business - Dump'!$G:$G,'Business - Dump'!$D:$D,'SKU Repoprt'!$D344,'Business - Dump'!$A:$A,'SKU Repoprt'!H$1)</f>
        <v>0</v>
      </c>
      <c r="I344" s="3">
        <f>SUMIFS('Business - Dump'!$G:$G,'Business - Dump'!$D:$D,'SKU Repoprt'!$D344,'Business - Dump'!$A:$A,'SKU Repoprt'!I$1)</f>
        <v>0</v>
      </c>
      <c r="J344" s="3">
        <f>SUMIFS('Business - Dump'!$G:$G,'Business - Dump'!$D:$D,'SKU Repoprt'!$D344,'Business - Dump'!$A:$A,'SKU Repoprt'!J$1)</f>
        <v>0</v>
      </c>
      <c r="K344" s="3">
        <f>SUMIFS('Business - Dump'!$G:$G,'Business - Dump'!$D:$D,'SKU Repoprt'!$D344,'Business - Dump'!$A:$A,'SKU Repoprt'!K$1)</f>
        <v>0</v>
      </c>
      <c r="L344" s="3">
        <f>SUMIFS('Business - Dump'!$G:$G,'Business - Dump'!$D:$D,'SKU Repoprt'!$D344,'Business - Dump'!$A:$A,'SKU Repoprt'!L$1)</f>
        <v>249</v>
      </c>
      <c r="M344" s="3">
        <f>SUMIFS('Business - Dump'!$G:$G,'Business - Dump'!$D:$D,'SKU Repoprt'!$D344,'Business - Dump'!$A:$A,'SKU Repoprt'!M$1)</f>
        <v>542</v>
      </c>
      <c r="N344" s="3">
        <f>SUMIFS('Business - Dump'!$G:$G,'Business - Dump'!$D:$D,'SKU Repoprt'!$D344,'Business - Dump'!$A:$A,'SKU Repoprt'!N$1)</f>
        <v>89</v>
      </c>
      <c r="O344" s="3">
        <f>SUMIFS('Business - Dump'!$G:$G,'Business - Dump'!$D:$D,'SKU Repoprt'!$D344,'Business - Dump'!$A:$A,'SKU Repoprt'!O$1)</f>
        <v>100</v>
      </c>
      <c r="P344" s="3">
        <f>SUMIFS('Business - Dump'!$G:$G,'Business - Dump'!$D:$D,'SKU Repoprt'!$D344,'Business - Dump'!$A:$A,'SKU Repoprt'!P$1)</f>
        <v>106</v>
      </c>
      <c r="Q344" s="3">
        <f>SUMIFS('Business - Dump'!$G:$G,'Business - Dump'!$D:$D,'SKU Repoprt'!$D344,'Business - Dump'!$A:$A,'SKU Repoprt'!Q$1)</f>
        <v>147</v>
      </c>
      <c r="R344" s="3">
        <f>SUMIFS('Business - Dump'!$G:$G,'Business - Dump'!$D:$D,'SKU Repoprt'!$D344,'Business - Dump'!$A:$A,'SKU Repoprt'!R$1)</f>
        <v>120</v>
      </c>
      <c r="S344" s="3">
        <f>SUMIFS('Business - Dump'!$G:$G,'Business - Dump'!$D:$D,'SKU Repoprt'!$D344,'Business - Dump'!$A:$A,'SKU Repoprt'!S$1)</f>
        <v>49</v>
      </c>
      <c r="T344" s="3">
        <f>SUMIFS('Business - Dump'!$G:$G,'Business - Dump'!$D:$D,'SKU Repoprt'!$D344,'Business - Dump'!$A:$A,'SKU Repoprt'!T$1)</f>
        <v>51</v>
      </c>
      <c r="U344" s="3">
        <f>SUMIFS('Business - Dump'!$G:$G,'Business - Dump'!$D:$D,'SKU Repoprt'!$D344,'Business - Dump'!$A:$A,'SKU Repoprt'!U$1)</f>
        <v>85</v>
      </c>
      <c r="V344" s="3">
        <f>SUMIFS('Business - Dump'!$G:$G,'Business - Dump'!$D:$D,'SKU Repoprt'!$D344,'Business - Dump'!$A:$A,'SKU Repoprt'!V$1)</f>
        <v>44</v>
      </c>
      <c r="W344" s="3">
        <f>SUMIFS('Business - Dump'!$G:$G,'Business - Dump'!$D:$D,'SKU Repoprt'!$D344,'Business - Dump'!$A:$A,'SKU Repoprt'!W$1)</f>
        <v>487</v>
      </c>
    </row>
    <row r="345" ht="15.75" customHeight="1">
      <c r="A345" s="10" t="s">
        <v>205</v>
      </c>
      <c r="B345" s="10" t="s">
        <v>205</v>
      </c>
      <c r="C345" s="10"/>
      <c r="D345" s="10" t="s">
        <v>397</v>
      </c>
      <c r="E345" s="10" t="s">
        <v>260</v>
      </c>
      <c r="F345" s="3">
        <f t="shared" si="115"/>
        <v>1931</v>
      </c>
      <c r="G345" s="3">
        <f>SUMIFS('Business - Dump'!$K:$K,'Business - Dump'!$D:$D,'SKU Repoprt'!$D345,'Business - Dump'!$A:$A,'SKU Repoprt'!G$1)</f>
        <v>0</v>
      </c>
      <c r="H345" s="3">
        <f>SUMIFS('Business - Dump'!$K:$K,'Business - Dump'!$D:$D,'SKU Repoprt'!$D345,'Business - Dump'!$A:$A,'SKU Repoprt'!H$1)</f>
        <v>0</v>
      </c>
      <c r="I345" s="3">
        <f>SUMIFS('Business - Dump'!$K:$K,'Business - Dump'!$D:$D,'SKU Repoprt'!$D345,'Business - Dump'!$A:$A,'SKU Repoprt'!I$1)</f>
        <v>0</v>
      </c>
      <c r="J345" s="3">
        <f>SUMIFS('Business - Dump'!$K:$K,'Business - Dump'!$D:$D,'SKU Repoprt'!$D345,'Business - Dump'!$A:$A,'SKU Repoprt'!J$1)</f>
        <v>0</v>
      </c>
      <c r="K345" s="3">
        <f>SUMIFS('Business - Dump'!$K:$K,'Business - Dump'!$D:$D,'SKU Repoprt'!$D345,'Business - Dump'!$A:$A,'SKU Repoprt'!K$1)</f>
        <v>0</v>
      </c>
      <c r="L345" s="3">
        <f>SUMIFS('Business - Dump'!$K:$K,'Business - Dump'!$D:$D,'SKU Repoprt'!$D345,'Business - Dump'!$A:$A,'SKU Repoprt'!L$1)</f>
        <v>286</v>
      </c>
      <c r="M345" s="3">
        <f>SUMIFS('Business - Dump'!$K:$K,'Business - Dump'!$D:$D,'SKU Repoprt'!$D345,'Business - Dump'!$A:$A,'SKU Repoprt'!M$1)</f>
        <v>888</v>
      </c>
      <c r="N345" s="3">
        <f>SUMIFS('Business - Dump'!$K:$K,'Business - Dump'!$D:$D,'SKU Repoprt'!$D345,'Business - Dump'!$A:$A,'SKU Repoprt'!N$1)</f>
        <v>108</v>
      </c>
      <c r="O345" s="3">
        <f>SUMIFS('Business - Dump'!$K:$K,'Business - Dump'!$D:$D,'SKU Repoprt'!$D345,'Business - Dump'!$A:$A,'SKU Repoprt'!O$1)</f>
        <v>112</v>
      </c>
      <c r="P345" s="3">
        <f>SUMIFS('Business - Dump'!$K:$K,'Business - Dump'!$D:$D,'SKU Repoprt'!$D345,'Business - Dump'!$A:$A,'SKU Repoprt'!P$1)</f>
        <v>116</v>
      </c>
      <c r="Q345" s="3">
        <f>SUMIFS('Business - Dump'!$K:$K,'Business - Dump'!$D:$D,'SKU Repoprt'!$D345,'Business - Dump'!$A:$A,'SKU Repoprt'!Q$1)</f>
        <v>172</v>
      </c>
      <c r="R345" s="3">
        <f>SUMIFS('Business - Dump'!$K:$K,'Business - Dump'!$D:$D,'SKU Repoprt'!$D345,'Business - Dump'!$A:$A,'SKU Repoprt'!R$1)</f>
        <v>187</v>
      </c>
      <c r="S345" s="3">
        <f>SUMIFS('Business - Dump'!$K:$K,'Business - Dump'!$D:$D,'SKU Repoprt'!$D345,'Business - Dump'!$A:$A,'SKU Repoprt'!S$1)</f>
        <v>62</v>
      </c>
      <c r="T345" s="3">
        <f>SUMIFS('Business - Dump'!$K:$K,'Business - Dump'!$D:$D,'SKU Repoprt'!$D345,'Business - Dump'!$A:$A,'SKU Repoprt'!T$1)</f>
        <v>58</v>
      </c>
      <c r="U345" s="3">
        <f>SUMIFS('Business - Dump'!$K:$K,'Business - Dump'!$D:$D,'SKU Repoprt'!$D345,'Business - Dump'!$A:$A,'SKU Repoprt'!U$1)</f>
        <v>109</v>
      </c>
      <c r="V345" s="3">
        <f>SUMIFS('Business - Dump'!$K:$K,'Business - Dump'!$D:$D,'SKU Repoprt'!$D345,'Business - Dump'!$A:$A,'SKU Repoprt'!V$1)</f>
        <v>55</v>
      </c>
      <c r="W345" s="3">
        <f>SUMIFS('Business - Dump'!$K:$K,'Business - Dump'!$D:$D,'SKU Repoprt'!$D345,'Business - Dump'!$A:$A,'SKU Repoprt'!W$1)</f>
        <v>713</v>
      </c>
    </row>
    <row r="346" ht="15.75" customHeight="1">
      <c r="A346" s="10" t="s">
        <v>205</v>
      </c>
      <c r="B346" s="10" t="s">
        <v>205</v>
      </c>
      <c r="C346" s="10"/>
      <c r="D346" s="10" t="s">
        <v>397</v>
      </c>
      <c r="E346" s="10" t="s">
        <v>264</v>
      </c>
      <c r="F346" s="3">
        <f t="shared" si="115"/>
        <v>1</v>
      </c>
      <c r="G346" s="3">
        <f>SUMIFS('Business - Dump'!$Q:$Q,'Business - Dump'!$D:$D,'SKU Repoprt'!$D346,'Business - Dump'!$A:$A,'SKU Repoprt'!G$1)</f>
        <v>0</v>
      </c>
      <c r="H346" s="3">
        <f>SUMIFS('Business - Dump'!$Q:$Q,'Business - Dump'!$D:$D,'SKU Repoprt'!$D346,'Business - Dump'!$A:$A,'SKU Repoprt'!H$1)</f>
        <v>0</v>
      </c>
      <c r="I346" s="3">
        <f>SUMIFS('Business - Dump'!$Q:$Q,'Business - Dump'!$D:$D,'SKU Repoprt'!$D346,'Business - Dump'!$A:$A,'SKU Repoprt'!I$1)</f>
        <v>0</v>
      </c>
      <c r="J346" s="3">
        <f>SUMIFS('Business - Dump'!$Q:$Q,'Business - Dump'!$D:$D,'SKU Repoprt'!$D346,'Business - Dump'!$A:$A,'SKU Repoprt'!J$1)</f>
        <v>0</v>
      </c>
      <c r="K346" s="3">
        <f>SUMIFS('Business - Dump'!$Q:$Q,'Business - Dump'!$D:$D,'SKU Repoprt'!$D346,'Business - Dump'!$A:$A,'SKU Repoprt'!K$1)</f>
        <v>0</v>
      </c>
      <c r="L346" s="3">
        <f>SUMIFS('Business - Dump'!$Q:$Q,'Business - Dump'!$D:$D,'SKU Repoprt'!$D346,'Business - Dump'!$A:$A,'SKU Repoprt'!L$1)</f>
        <v>1</v>
      </c>
      <c r="M346" s="3">
        <f>SUMIFS('Business - Dump'!$Q:$Q,'Business - Dump'!$D:$D,'SKU Repoprt'!$D346,'Business - Dump'!$A:$A,'SKU Repoprt'!M$1)</f>
        <v>0</v>
      </c>
      <c r="N346" s="3">
        <f>SUMIFS('Business - Dump'!$Q:$Q,'Business - Dump'!$D:$D,'SKU Repoprt'!$D346,'Business - Dump'!$A:$A,'SKU Repoprt'!N$1)</f>
        <v>0</v>
      </c>
      <c r="O346" s="3">
        <f>SUMIFS('Business - Dump'!$Q:$Q,'Business - Dump'!$D:$D,'SKU Repoprt'!$D346,'Business - Dump'!$A:$A,'SKU Repoprt'!O$1)</f>
        <v>0</v>
      </c>
      <c r="P346" s="3">
        <f>SUMIFS('Business - Dump'!$Q:$Q,'Business - Dump'!$D:$D,'SKU Repoprt'!$D346,'Business - Dump'!$A:$A,'SKU Repoprt'!P$1)</f>
        <v>0</v>
      </c>
      <c r="Q346" s="3">
        <f>SUMIFS('Business - Dump'!$Q:$Q,'Business - Dump'!$D:$D,'SKU Repoprt'!$D346,'Business - Dump'!$A:$A,'SKU Repoprt'!Q$1)</f>
        <v>0</v>
      </c>
      <c r="R346" s="3">
        <f>SUMIFS('Business - Dump'!$Q:$Q,'Business - Dump'!$D:$D,'SKU Repoprt'!$D346,'Business - Dump'!$A:$A,'SKU Repoprt'!R$1)</f>
        <v>0</v>
      </c>
      <c r="S346" s="3">
        <f>SUMIFS('Business - Dump'!$Q:$Q,'Business - Dump'!$D:$D,'SKU Repoprt'!$D346,'Business - Dump'!$A:$A,'SKU Repoprt'!S$1)</f>
        <v>0</v>
      </c>
      <c r="T346" s="3">
        <f>SUMIFS('Business - Dump'!$Q:$Q,'Business - Dump'!$D:$D,'SKU Repoprt'!$D346,'Business - Dump'!$A:$A,'SKU Repoprt'!T$1)</f>
        <v>0</v>
      </c>
      <c r="U346" s="3">
        <f>SUMIFS('Business - Dump'!$Q:$Q,'Business - Dump'!$D:$D,'SKU Repoprt'!$D346,'Business - Dump'!$A:$A,'SKU Repoprt'!U$1)</f>
        <v>1</v>
      </c>
      <c r="V346" s="3">
        <f>SUMIFS('Business - Dump'!$Q:$Q,'Business - Dump'!$D:$D,'SKU Repoprt'!$D346,'Business - Dump'!$A:$A,'SKU Repoprt'!V$1)</f>
        <v>0</v>
      </c>
      <c r="W346" s="3">
        <f>SUMIFS('Business - Dump'!$Q:$Q,'Business - Dump'!$D:$D,'SKU Repoprt'!$D346,'Business - Dump'!$A:$A,'SKU Repoprt'!W$1)</f>
        <v>0</v>
      </c>
    </row>
    <row r="347" ht="15.75" customHeight="1">
      <c r="A347" s="10" t="s">
        <v>205</v>
      </c>
      <c r="B347" s="10" t="s">
        <v>205</v>
      </c>
      <c r="C347" s="10"/>
      <c r="D347" s="10" t="s">
        <v>397</v>
      </c>
      <c r="E347" s="10" t="s">
        <v>268</v>
      </c>
      <c r="F347" s="3">
        <f t="shared" si="115"/>
        <v>1</v>
      </c>
      <c r="G347" s="3">
        <f>SUMIFS('Business - Dump'!$W:$W,'Business - Dump'!$D:$D,'SKU Repoprt'!$D347,'Business - Dump'!$A:$A,'SKU Repoprt'!G$1)</f>
        <v>0</v>
      </c>
      <c r="H347" s="3">
        <f>SUMIFS('Business - Dump'!$W:$W,'Business - Dump'!$D:$D,'SKU Repoprt'!$D347,'Business - Dump'!$A:$A,'SKU Repoprt'!H$1)</f>
        <v>0</v>
      </c>
      <c r="I347" s="3">
        <f>SUMIFS('Business - Dump'!$W:$W,'Business - Dump'!$D:$D,'SKU Repoprt'!$D347,'Business - Dump'!$A:$A,'SKU Repoprt'!I$1)</f>
        <v>0</v>
      </c>
      <c r="J347" s="3">
        <f>SUMIFS('Business - Dump'!$W:$W,'Business - Dump'!$D:$D,'SKU Repoprt'!$D347,'Business - Dump'!$A:$A,'SKU Repoprt'!J$1)</f>
        <v>0</v>
      </c>
      <c r="K347" s="3">
        <f>SUMIFS('Business - Dump'!$W:$W,'Business - Dump'!$D:$D,'SKU Repoprt'!$D347,'Business - Dump'!$A:$A,'SKU Repoprt'!K$1)</f>
        <v>0</v>
      </c>
      <c r="L347" s="3">
        <f>SUMIFS('Business - Dump'!$W:$W,'Business - Dump'!$D:$D,'SKU Repoprt'!$D347,'Business - Dump'!$A:$A,'SKU Repoprt'!L$1)</f>
        <v>1</v>
      </c>
      <c r="M347" s="3">
        <f>SUMIFS('Business - Dump'!$W:$W,'Business - Dump'!$D:$D,'SKU Repoprt'!$D347,'Business - Dump'!$A:$A,'SKU Repoprt'!M$1)</f>
        <v>0</v>
      </c>
      <c r="N347" s="3">
        <f>SUMIFS('Business - Dump'!$W:$W,'Business - Dump'!$D:$D,'SKU Repoprt'!$D347,'Business - Dump'!$A:$A,'SKU Repoprt'!N$1)</f>
        <v>0</v>
      </c>
      <c r="O347" s="3">
        <f>SUMIFS('Business - Dump'!$W:$W,'Business - Dump'!$D:$D,'SKU Repoprt'!$D347,'Business - Dump'!$A:$A,'SKU Repoprt'!O$1)</f>
        <v>0</v>
      </c>
      <c r="P347" s="3">
        <f>SUMIFS('Business - Dump'!$W:$W,'Business - Dump'!$D:$D,'SKU Repoprt'!$D347,'Business - Dump'!$A:$A,'SKU Repoprt'!P$1)</f>
        <v>0</v>
      </c>
      <c r="Q347" s="3">
        <f>SUMIFS('Business - Dump'!$W:$W,'Business - Dump'!$D:$D,'SKU Repoprt'!$D347,'Business - Dump'!$A:$A,'SKU Repoprt'!Q$1)</f>
        <v>0</v>
      </c>
      <c r="R347" s="3">
        <f>SUMIFS('Business - Dump'!$W:$W,'Business - Dump'!$D:$D,'SKU Repoprt'!$D347,'Business - Dump'!$A:$A,'SKU Repoprt'!R$1)</f>
        <v>0</v>
      </c>
      <c r="S347" s="3">
        <f>SUMIFS('Business - Dump'!$W:$W,'Business - Dump'!$D:$D,'SKU Repoprt'!$D347,'Business - Dump'!$A:$A,'SKU Repoprt'!S$1)</f>
        <v>0</v>
      </c>
      <c r="T347" s="3">
        <f>SUMIFS('Business - Dump'!$W:$W,'Business - Dump'!$D:$D,'SKU Repoprt'!$D347,'Business - Dump'!$A:$A,'SKU Repoprt'!T$1)</f>
        <v>0</v>
      </c>
      <c r="U347" s="3">
        <f>SUMIFS('Business - Dump'!$W:$W,'Business - Dump'!$D:$D,'SKU Repoprt'!$D347,'Business - Dump'!$A:$A,'SKU Repoprt'!U$1)</f>
        <v>1</v>
      </c>
      <c r="V347" s="3">
        <f>SUMIFS('Business - Dump'!$W:$W,'Business - Dump'!$D:$D,'SKU Repoprt'!$D347,'Business - Dump'!$A:$A,'SKU Repoprt'!V$1)</f>
        <v>0</v>
      </c>
      <c r="W347" s="3">
        <f>SUMIFS('Business - Dump'!$W:$W,'Business - Dump'!$D:$D,'SKU Repoprt'!$D347,'Business - Dump'!$A:$A,'SKU Repoprt'!W$1)</f>
        <v>0</v>
      </c>
    </row>
    <row r="348" ht="15.75" customHeight="1">
      <c r="A348" s="10" t="s">
        <v>205</v>
      </c>
      <c r="B348" s="10" t="s">
        <v>205</v>
      </c>
      <c r="C348" s="10"/>
      <c r="D348" s="10" t="s">
        <v>397</v>
      </c>
      <c r="E348" s="10" t="s">
        <v>26</v>
      </c>
      <c r="F348" s="16">
        <f t="shared" si="115"/>
        <v>39000</v>
      </c>
      <c r="G348" s="16">
        <f>SUMIFS('Business - Dump'!$U:$U,'Business - Dump'!$D:$D,'SKU Repoprt'!$D348,'Business - Dump'!$A:$A,'SKU Repoprt'!G$1)</f>
        <v>0</v>
      </c>
      <c r="H348" s="16">
        <f>SUMIFS('Business - Dump'!$U:$U,'Business - Dump'!$D:$D,'SKU Repoprt'!$D348,'Business - Dump'!$A:$A,'SKU Repoprt'!H$1)</f>
        <v>0</v>
      </c>
      <c r="I348" s="16">
        <f>SUMIFS('Business - Dump'!$U:$U,'Business - Dump'!$D:$D,'SKU Repoprt'!$D348,'Business - Dump'!$A:$A,'SKU Repoprt'!I$1)</f>
        <v>0</v>
      </c>
      <c r="J348" s="16">
        <f>SUMIFS('Business - Dump'!$U:$U,'Business - Dump'!$D:$D,'SKU Repoprt'!$D348,'Business - Dump'!$A:$A,'SKU Repoprt'!J$1)</f>
        <v>0</v>
      </c>
      <c r="K348" s="16">
        <f>SUMIFS('Business - Dump'!$U:$U,'Business - Dump'!$D:$D,'SKU Repoprt'!$D348,'Business - Dump'!$A:$A,'SKU Repoprt'!K$1)</f>
        <v>0</v>
      </c>
      <c r="L348" s="16">
        <f>SUMIFS('Business - Dump'!$U:$U,'Business - Dump'!$D:$D,'SKU Repoprt'!$D348,'Business - Dump'!$A:$A,'SKU Repoprt'!L$1)</f>
        <v>39000</v>
      </c>
      <c r="M348" s="16">
        <f>SUMIFS('Business - Dump'!$U:$U,'Business - Dump'!$D:$D,'SKU Repoprt'!$D348,'Business - Dump'!$A:$A,'SKU Repoprt'!M$1)</f>
        <v>0</v>
      </c>
      <c r="N348" s="16">
        <f>SUMIFS('Business - Dump'!$U:$U,'Business - Dump'!$D:$D,'SKU Repoprt'!$D348,'Business - Dump'!$A:$A,'SKU Repoprt'!N$1)</f>
        <v>0</v>
      </c>
      <c r="O348" s="16">
        <f>SUMIFS('Business - Dump'!$U:$U,'Business - Dump'!$D:$D,'SKU Repoprt'!$D348,'Business - Dump'!$A:$A,'SKU Repoprt'!O$1)</f>
        <v>0</v>
      </c>
      <c r="P348" s="16">
        <f>SUMIFS('Business - Dump'!$U:$U,'Business - Dump'!$D:$D,'SKU Repoprt'!$D348,'Business - Dump'!$A:$A,'SKU Repoprt'!P$1)</f>
        <v>0</v>
      </c>
      <c r="Q348" s="16">
        <f>SUMIFS('Business - Dump'!$U:$U,'Business - Dump'!$D:$D,'SKU Repoprt'!$D348,'Business - Dump'!$A:$A,'SKU Repoprt'!Q$1)</f>
        <v>0</v>
      </c>
      <c r="R348" s="16">
        <f>SUMIFS('Business - Dump'!$U:$U,'Business - Dump'!$D:$D,'SKU Repoprt'!$D348,'Business - Dump'!$A:$A,'SKU Repoprt'!R$1)</f>
        <v>0</v>
      </c>
      <c r="S348" s="16">
        <f>SUMIFS('Business - Dump'!$U:$U,'Business - Dump'!$D:$D,'SKU Repoprt'!$D348,'Business - Dump'!$A:$A,'SKU Repoprt'!S$1)</f>
        <v>0</v>
      </c>
      <c r="T348" s="16">
        <f>SUMIFS('Business - Dump'!$U:$U,'Business - Dump'!$D:$D,'SKU Repoprt'!$D348,'Business - Dump'!$A:$A,'SKU Repoprt'!T$1)</f>
        <v>0</v>
      </c>
      <c r="U348" s="16">
        <f>SUMIFS('Business - Dump'!$U:$U,'Business - Dump'!$D:$D,'SKU Repoprt'!$D348,'Business - Dump'!$A:$A,'SKU Repoprt'!U$1)</f>
        <v>36849.46</v>
      </c>
      <c r="V348" s="16">
        <f>SUMIFS('Business - Dump'!$U:$U,'Business - Dump'!$D:$D,'SKU Repoprt'!$D348,'Business - Dump'!$A:$A,'SKU Repoprt'!V$1)</f>
        <v>0</v>
      </c>
      <c r="W348" s="16">
        <f>SUMIFS('Business - Dump'!$U:$U,'Business - Dump'!$D:$D,'SKU Repoprt'!$D348,'Business - Dump'!$A:$A,'SKU Repoprt'!W$1)</f>
        <v>0</v>
      </c>
    </row>
    <row r="349" ht="15.75" customHeight="1">
      <c r="A349" s="10" t="s">
        <v>205</v>
      </c>
      <c r="B349" s="10" t="s">
        <v>205</v>
      </c>
      <c r="C349" s="10"/>
      <c r="D349" s="10" t="s">
        <v>397</v>
      </c>
      <c r="E349" s="10" t="s">
        <v>29</v>
      </c>
      <c r="F349" s="17">
        <v>0.027042857142857143</v>
      </c>
      <c r="G349" s="17">
        <f t="shared" ref="G349:W349" si="116">IFERROR(G347/G344,0)</f>
        <v>0</v>
      </c>
      <c r="H349" s="17">
        <f t="shared" si="116"/>
        <v>0</v>
      </c>
      <c r="I349" s="17">
        <f t="shared" si="116"/>
        <v>0</v>
      </c>
      <c r="J349" s="17">
        <f t="shared" si="116"/>
        <v>0</v>
      </c>
      <c r="K349" s="17">
        <f t="shared" si="116"/>
        <v>0</v>
      </c>
      <c r="L349" s="17">
        <f t="shared" si="116"/>
        <v>0.004016064257</v>
      </c>
      <c r="M349" s="17">
        <f t="shared" si="116"/>
        <v>0</v>
      </c>
      <c r="N349" s="17">
        <f t="shared" si="116"/>
        <v>0</v>
      </c>
      <c r="O349" s="17">
        <f t="shared" si="116"/>
        <v>0</v>
      </c>
      <c r="P349" s="17">
        <f t="shared" si="116"/>
        <v>0</v>
      </c>
      <c r="Q349" s="17">
        <f t="shared" si="116"/>
        <v>0</v>
      </c>
      <c r="R349" s="17">
        <f t="shared" si="116"/>
        <v>0</v>
      </c>
      <c r="S349" s="17">
        <f t="shared" si="116"/>
        <v>0</v>
      </c>
      <c r="T349" s="17">
        <f t="shared" si="116"/>
        <v>0</v>
      </c>
      <c r="U349" s="17">
        <f t="shared" si="116"/>
        <v>0.01176470588</v>
      </c>
      <c r="V349" s="17">
        <f t="shared" si="116"/>
        <v>0</v>
      </c>
      <c r="W349" s="17">
        <f t="shared" si="116"/>
        <v>0</v>
      </c>
    </row>
    <row r="350" ht="15.75" customHeight="1">
      <c r="A350" s="10" t="s">
        <v>205</v>
      </c>
      <c r="B350" s="10" t="s">
        <v>205</v>
      </c>
      <c r="C350" s="10"/>
      <c r="D350" s="10" t="s">
        <v>376</v>
      </c>
      <c r="E350" s="10" t="s">
        <v>257</v>
      </c>
      <c r="F350" s="3">
        <f t="shared" ref="F350:F354" si="117">SUM(G350:S350)</f>
        <v>2831</v>
      </c>
      <c r="G350" s="3">
        <f>SUMIFS('Business - Dump'!$G:$G,'Business - Dump'!$D:$D,'SKU Repoprt'!$D350,'Business - Dump'!$A:$A,'SKU Repoprt'!G$1)</f>
        <v>0</v>
      </c>
      <c r="H350" s="3">
        <f>SUMIFS('Business - Dump'!$G:$G,'Business - Dump'!$D:$D,'SKU Repoprt'!$D350,'Business - Dump'!$A:$A,'SKU Repoprt'!H$1)</f>
        <v>0</v>
      </c>
      <c r="I350" s="3">
        <f>SUMIFS('Business - Dump'!$G:$G,'Business - Dump'!$D:$D,'SKU Repoprt'!$D350,'Business - Dump'!$A:$A,'SKU Repoprt'!I$1)</f>
        <v>0</v>
      </c>
      <c r="J350" s="3">
        <f>SUMIFS('Business - Dump'!$G:$G,'Business - Dump'!$D:$D,'SKU Repoprt'!$D350,'Business - Dump'!$A:$A,'SKU Repoprt'!J$1)</f>
        <v>0</v>
      </c>
      <c r="K350" s="3">
        <f>SUMIFS('Business - Dump'!$G:$G,'Business - Dump'!$D:$D,'SKU Repoprt'!$D350,'Business - Dump'!$A:$A,'SKU Repoprt'!K$1)</f>
        <v>114</v>
      </c>
      <c r="L350" s="3">
        <f>SUMIFS('Business - Dump'!$G:$G,'Business - Dump'!$D:$D,'SKU Repoprt'!$D350,'Business - Dump'!$A:$A,'SKU Repoprt'!L$1)</f>
        <v>232</v>
      </c>
      <c r="M350" s="3">
        <f>SUMIFS('Business - Dump'!$G:$G,'Business - Dump'!$D:$D,'SKU Repoprt'!$D350,'Business - Dump'!$A:$A,'SKU Repoprt'!M$1)</f>
        <v>243</v>
      </c>
      <c r="N350" s="3">
        <f>SUMIFS('Business - Dump'!$G:$G,'Business - Dump'!$D:$D,'SKU Repoprt'!$D350,'Business - Dump'!$A:$A,'SKU Repoprt'!N$1)</f>
        <v>118</v>
      </c>
      <c r="O350" s="3">
        <f>SUMIFS('Business - Dump'!$G:$G,'Business - Dump'!$D:$D,'SKU Repoprt'!$D350,'Business - Dump'!$A:$A,'SKU Repoprt'!O$1)</f>
        <v>86</v>
      </c>
      <c r="P350" s="3">
        <f>SUMIFS('Business - Dump'!$G:$G,'Business - Dump'!$D:$D,'SKU Repoprt'!$D350,'Business - Dump'!$A:$A,'SKU Repoprt'!P$1)</f>
        <v>1102</v>
      </c>
      <c r="Q350" s="3">
        <f>SUMIFS('Business - Dump'!$G:$G,'Business - Dump'!$D:$D,'SKU Repoprt'!$D350,'Business - Dump'!$A:$A,'SKU Repoprt'!Q$1)</f>
        <v>564</v>
      </c>
      <c r="R350" s="3">
        <f>SUMIFS('Business - Dump'!$G:$G,'Business - Dump'!$D:$D,'SKU Repoprt'!$D350,'Business - Dump'!$A:$A,'SKU Repoprt'!R$1)</f>
        <v>263</v>
      </c>
      <c r="S350" s="3">
        <f>SUMIFS('Business - Dump'!$G:$G,'Business - Dump'!$D:$D,'SKU Repoprt'!$D350,'Business - Dump'!$A:$A,'SKU Repoprt'!S$1)</f>
        <v>109</v>
      </c>
      <c r="T350" s="3">
        <f>SUMIFS('Business - Dump'!$G:$G,'Business - Dump'!$D:$D,'SKU Repoprt'!$D350,'Business - Dump'!$A:$A,'SKU Repoprt'!T$1)</f>
        <v>118</v>
      </c>
      <c r="U350" s="3">
        <f>SUMIFS('Business - Dump'!$G:$G,'Business - Dump'!$D:$D,'SKU Repoprt'!$D350,'Business - Dump'!$A:$A,'SKU Repoprt'!U$1)</f>
        <v>129</v>
      </c>
      <c r="V350" s="3">
        <f>SUMIFS('Business - Dump'!$G:$G,'Business - Dump'!$D:$D,'SKU Repoprt'!$D350,'Business - Dump'!$A:$A,'SKU Repoprt'!V$1)</f>
        <v>91</v>
      </c>
      <c r="W350" s="3">
        <f>SUMIFS('Business - Dump'!$G:$G,'Business - Dump'!$D:$D,'SKU Repoprt'!$D350,'Business - Dump'!$A:$A,'SKU Repoprt'!W$1)</f>
        <v>97</v>
      </c>
    </row>
    <row r="351" ht="15.75" customHeight="1">
      <c r="A351" s="10" t="s">
        <v>205</v>
      </c>
      <c r="B351" s="10" t="s">
        <v>205</v>
      </c>
      <c r="C351" s="10"/>
      <c r="D351" s="10" t="s">
        <v>376</v>
      </c>
      <c r="E351" s="10" t="s">
        <v>260</v>
      </c>
      <c r="F351" s="3">
        <f t="shared" si="117"/>
        <v>3939</v>
      </c>
      <c r="G351" s="3">
        <f>SUMIFS('Business - Dump'!$K:$K,'Business - Dump'!$D:$D,'SKU Repoprt'!$D351,'Business - Dump'!$A:$A,'SKU Repoprt'!G$1)</f>
        <v>0</v>
      </c>
      <c r="H351" s="3">
        <f>SUMIFS('Business - Dump'!$K:$K,'Business - Dump'!$D:$D,'SKU Repoprt'!$D351,'Business - Dump'!$A:$A,'SKU Repoprt'!H$1)</f>
        <v>0</v>
      </c>
      <c r="I351" s="3">
        <f>SUMIFS('Business - Dump'!$K:$K,'Business - Dump'!$D:$D,'SKU Repoprt'!$D351,'Business - Dump'!$A:$A,'SKU Repoprt'!I$1)</f>
        <v>0</v>
      </c>
      <c r="J351" s="3">
        <f>SUMIFS('Business - Dump'!$K:$K,'Business - Dump'!$D:$D,'SKU Repoprt'!$D351,'Business - Dump'!$A:$A,'SKU Repoprt'!J$1)</f>
        <v>0</v>
      </c>
      <c r="K351" s="3">
        <f>SUMIFS('Business - Dump'!$K:$K,'Business - Dump'!$D:$D,'SKU Repoprt'!$D351,'Business - Dump'!$A:$A,'SKU Repoprt'!K$1)</f>
        <v>144</v>
      </c>
      <c r="L351" s="3">
        <f>SUMIFS('Business - Dump'!$K:$K,'Business - Dump'!$D:$D,'SKU Repoprt'!$D351,'Business - Dump'!$A:$A,'SKU Repoprt'!L$1)</f>
        <v>317</v>
      </c>
      <c r="M351" s="3">
        <f>SUMIFS('Business - Dump'!$K:$K,'Business - Dump'!$D:$D,'SKU Repoprt'!$D351,'Business - Dump'!$A:$A,'SKU Repoprt'!M$1)</f>
        <v>415</v>
      </c>
      <c r="N351" s="3">
        <f>SUMIFS('Business - Dump'!$K:$K,'Business - Dump'!$D:$D,'SKU Repoprt'!$D351,'Business - Dump'!$A:$A,'SKU Repoprt'!N$1)</f>
        <v>194</v>
      </c>
      <c r="O351" s="3">
        <f>SUMIFS('Business - Dump'!$K:$K,'Business - Dump'!$D:$D,'SKU Repoprt'!$D351,'Business - Dump'!$A:$A,'SKU Repoprt'!O$1)</f>
        <v>105</v>
      </c>
      <c r="P351" s="3">
        <f>SUMIFS('Business - Dump'!$K:$K,'Business - Dump'!$D:$D,'SKU Repoprt'!$D351,'Business - Dump'!$A:$A,'SKU Repoprt'!P$1)</f>
        <v>1347</v>
      </c>
      <c r="Q351" s="3">
        <f>SUMIFS('Business - Dump'!$K:$K,'Business - Dump'!$D:$D,'SKU Repoprt'!$D351,'Business - Dump'!$A:$A,'SKU Repoprt'!Q$1)</f>
        <v>813</v>
      </c>
      <c r="R351" s="3">
        <f>SUMIFS('Business - Dump'!$K:$K,'Business - Dump'!$D:$D,'SKU Repoprt'!$D351,'Business - Dump'!$A:$A,'SKU Repoprt'!R$1)</f>
        <v>446</v>
      </c>
      <c r="S351" s="3">
        <f>SUMIFS('Business - Dump'!$K:$K,'Business - Dump'!$D:$D,'SKU Repoprt'!$D351,'Business - Dump'!$A:$A,'SKU Repoprt'!S$1)</f>
        <v>158</v>
      </c>
      <c r="T351" s="3">
        <f>SUMIFS('Business - Dump'!$K:$K,'Business - Dump'!$D:$D,'SKU Repoprt'!$D351,'Business - Dump'!$A:$A,'SKU Repoprt'!T$1)</f>
        <v>151</v>
      </c>
      <c r="U351" s="3">
        <f>SUMIFS('Business - Dump'!$K:$K,'Business - Dump'!$D:$D,'SKU Repoprt'!$D351,'Business - Dump'!$A:$A,'SKU Repoprt'!U$1)</f>
        <v>164</v>
      </c>
      <c r="V351" s="3">
        <f>SUMIFS('Business - Dump'!$K:$K,'Business - Dump'!$D:$D,'SKU Repoprt'!$D351,'Business - Dump'!$A:$A,'SKU Repoprt'!V$1)</f>
        <v>127</v>
      </c>
      <c r="W351" s="3">
        <f>SUMIFS('Business - Dump'!$K:$K,'Business - Dump'!$D:$D,'SKU Repoprt'!$D351,'Business - Dump'!$A:$A,'SKU Repoprt'!W$1)</f>
        <v>136</v>
      </c>
    </row>
    <row r="352" ht="15.75" customHeight="1">
      <c r="A352" s="10" t="s">
        <v>205</v>
      </c>
      <c r="B352" s="10" t="s">
        <v>205</v>
      </c>
      <c r="C352" s="10"/>
      <c r="D352" s="10" t="s">
        <v>376</v>
      </c>
      <c r="E352" s="10" t="s">
        <v>264</v>
      </c>
      <c r="F352" s="3">
        <f t="shared" si="117"/>
        <v>21</v>
      </c>
      <c r="G352" s="3">
        <f>SUMIFS('Business - Dump'!$Q:$Q,'Business - Dump'!$D:$D,'SKU Repoprt'!$D352,'Business - Dump'!$A:$A,'SKU Repoprt'!G$1)</f>
        <v>0</v>
      </c>
      <c r="H352" s="3">
        <f>SUMIFS('Business - Dump'!$Q:$Q,'Business - Dump'!$D:$D,'SKU Repoprt'!$D352,'Business - Dump'!$A:$A,'SKU Repoprt'!H$1)</f>
        <v>0</v>
      </c>
      <c r="I352" s="3">
        <f>SUMIFS('Business - Dump'!$Q:$Q,'Business - Dump'!$D:$D,'SKU Repoprt'!$D352,'Business - Dump'!$A:$A,'SKU Repoprt'!I$1)</f>
        <v>0</v>
      </c>
      <c r="J352" s="3">
        <f>SUMIFS('Business - Dump'!$Q:$Q,'Business - Dump'!$D:$D,'SKU Repoprt'!$D352,'Business - Dump'!$A:$A,'SKU Repoprt'!J$1)</f>
        <v>0</v>
      </c>
      <c r="K352" s="3">
        <f>SUMIFS('Business - Dump'!$Q:$Q,'Business - Dump'!$D:$D,'SKU Repoprt'!$D352,'Business - Dump'!$A:$A,'SKU Repoprt'!K$1)</f>
        <v>4</v>
      </c>
      <c r="L352" s="3">
        <f>SUMIFS('Business - Dump'!$Q:$Q,'Business - Dump'!$D:$D,'SKU Repoprt'!$D352,'Business - Dump'!$A:$A,'SKU Repoprt'!L$1)</f>
        <v>2</v>
      </c>
      <c r="M352" s="3">
        <f>SUMIFS('Business - Dump'!$Q:$Q,'Business - Dump'!$D:$D,'SKU Repoprt'!$D352,'Business - Dump'!$A:$A,'SKU Repoprt'!M$1)</f>
        <v>0</v>
      </c>
      <c r="N352" s="3">
        <f>SUMIFS('Business - Dump'!$Q:$Q,'Business - Dump'!$D:$D,'SKU Repoprt'!$D352,'Business - Dump'!$A:$A,'SKU Repoprt'!N$1)</f>
        <v>3</v>
      </c>
      <c r="O352" s="3">
        <f>SUMIFS('Business - Dump'!$Q:$Q,'Business - Dump'!$D:$D,'SKU Repoprt'!$D352,'Business - Dump'!$A:$A,'SKU Repoprt'!O$1)</f>
        <v>1</v>
      </c>
      <c r="P352" s="3">
        <f>SUMIFS('Business - Dump'!$Q:$Q,'Business - Dump'!$D:$D,'SKU Repoprt'!$D352,'Business - Dump'!$A:$A,'SKU Repoprt'!P$1)</f>
        <v>2</v>
      </c>
      <c r="Q352" s="3">
        <f>SUMIFS('Business - Dump'!$Q:$Q,'Business - Dump'!$D:$D,'SKU Repoprt'!$D352,'Business - Dump'!$A:$A,'SKU Repoprt'!Q$1)</f>
        <v>5</v>
      </c>
      <c r="R352" s="3">
        <f>SUMIFS('Business - Dump'!$Q:$Q,'Business - Dump'!$D:$D,'SKU Repoprt'!$D352,'Business - Dump'!$A:$A,'SKU Repoprt'!R$1)</f>
        <v>2</v>
      </c>
      <c r="S352" s="3">
        <f>SUMIFS('Business - Dump'!$Q:$Q,'Business - Dump'!$D:$D,'SKU Repoprt'!$D352,'Business - Dump'!$A:$A,'SKU Repoprt'!S$1)</f>
        <v>2</v>
      </c>
      <c r="T352" s="3">
        <f>SUMIFS('Business - Dump'!$Q:$Q,'Business - Dump'!$D:$D,'SKU Repoprt'!$D352,'Business - Dump'!$A:$A,'SKU Repoprt'!T$1)</f>
        <v>2</v>
      </c>
      <c r="U352" s="3">
        <f>SUMIFS('Business - Dump'!$Q:$Q,'Business - Dump'!$D:$D,'SKU Repoprt'!$D352,'Business - Dump'!$A:$A,'SKU Repoprt'!U$1)</f>
        <v>0</v>
      </c>
      <c r="V352" s="3">
        <f>SUMIFS('Business - Dump'!$Q:$Q,'Business - Dump'!$D:$D,'SKU Repoprt'!$D352,'Business - Dump'!$A:$A,'SKU Repoprt'!V$1)</f>
        <v>1</v>
      </c>
      <c r="W352" s="3">
        <f>SUMIFS('Business - Dump'!$Q:$Q,'Business - Dump'!$D:$D,'SKU Repoprt'!$D352,'Business - Dump'!$A:$A,'SKU Repoprt'!W$1)</f>
        <v>1</v>
      </c>
    </row>
    <row r="353" ht="15.75" customHeight="1">
      <c r="A353" s="10" t="s">
        <v>205</v>
      </c>
      <c r="B353" s="10" t="s">
        <v>205</v>
      </c>
      <c r="C353" s="10"/>
      <c r="D353" s="10" t="s">
        <v>376</v>
      </c>
      <c r="E353" s="10" t="s">
        <v>268</v>
      </c>
      <c r="F353" s="3">
        <f t="shared" si="117"/>
        <v>19</v>
      </c>
      <c r="G353" s="3">
        <f>SUMIFS('Business - Dump'!$W:$W,'Business - Dump'!$D:$D,'SKU Repoprt'!$D353,'Business - Dump'!$A:$A,'SKU Repoprt'!G$1)</f>
        <v>0</v>
      </c>
      <c r="H353" s="3">
        <f>SUMIFS('Business - Dump'!$W:$W,'Business - Dump'!$D:$D,'SKU Repoprt'!$D353,'Business - Dump'!$A:$A,'SKU Repoprt'!H$1)</f>
        <v>0</v>
      </c>
      <c r="I353" s="3">
        <f>SUMIFS('Business - Dump'!$W:$W,'Business - Dump'!$D:$D,'SKU Repoprt'!$D353,'Business - Dump'!$A:$A,'SKU Repoprt'!I$1)</f>
        <v>0</v>
      </c>
      <c r="J353" s="3">
        <f>SUMIFS('Business - Dump'!$W:$W,'Business - Dump'!$D:$D,'SKU Repoprt'!$D353,'Business - Dump'!$A:$A,'SKU Repoprt'!J$1)</f>
        <v>0</v>
      </c>
      <c r="K353" s="3">
        <f>SUMIFS('Business - Dump'!$W:$W,'Business - Dump'!$D:$D,'SKU Repoprt'!$D353,'Business - Dump'!$A:$A,'SKU Repoprt'!K$1)</f>
        <v>3</v>
      </c>
      <c r="L353" s="3">
        <f>SUMIFS('Business - Dump'!$W:$W,'Business - Dump'!$D:$D,'SKU Repoprt'!$D353,'Business - Dump'!$A:$A,'SKU Repoprt'!L$1)</f>
        <v>2</v>
      </c>
      <c r="M353" s="3">
        <f>SUMIFS('Business - Dump'!$W:$W,'Business - Dump'!$D:$D,'SKU Repoprt'!$D353,'Business - Dump'!$A:$A,'SKU Repoprt'!M$1)</f>
        <v>0</v>
      </c>
      <c r="N353" s="3">
        <f>SUMIFS('Business - Dump'!$W:$W,'Business - Dump'!$D:$D,'SKU Repoprt'!$D353,'Business - Dump'!$A:$A,'SKU Repoprt'!N$1)</f>
        <v>3</v>
      </c>
      <c r="O353" s="3">
        <f>SUMIFS('Business - Dump'!$W:$W,'Business - Dump'!$D:$D,'SKU Repoprt'!$D353,'Business - Dump'!$A:$A,'SKU Repoprt'!O$1)</f>
        <v>1</v>
      </c>
      <c r="P353" s="3">
        <f>SUMIFS('Business - Dump'!$W:$W,'Business - Dump'!$D:$D,'SKU Repoprt'!$D353,'Business - Dump'!$A:$A,'SKU Repoprt'!P$1)</f>
        <v>2</v>
      </c>
      <c r="Q353" s="3">
        <f>SUMIFS('Business - Dump'!$W:$W,'Business - Dump'!$D:$D,'SKU Repoprt'!$D353,'Business - Dump'!$A:$A,'SKU Repoprt'!Q$1)</f>
        <v>4</v>
      </c>
      <c r="R353" s="3">
        <f>SUMIFS('Business - Dump'!$W:$W,'Business - Dump'!$D:$D,'SKU Repoprt'!$D353,'Business - Dump'!$A:$A,'SKU Repoprt'!R$1)</f>
        <v>2</v>
      </c>
      <c r="S353" s="3">
        <f>SUMIFS('Business - Dump'!$W:$W,'Business - Dump'!$D:$D,'SKU Repoprt'!$D353,'Business - Dump'!$A:$A,'SKU Repoprt'!S$1)</f>
        <v>2</v>
      </c>
      <c r="T353" s="3">
        <f>SUMIFS('Business - Dump'!$W:$W,'Business - Dump'!$D:$D,'SKU Repoprt'!$D353,'Business - Dump'!$A:$A,'SKU Repoprt'!T$1)</f>
        <v>2</v>
      </c>
      <c r="U353" s="3">
        <f>SUMIFS('Business - Dump'!$W:$W,'Business - Dump'!$D:$D,'SKU Repoprt'!$D353,'Business - Dump'!$A:$A,'SKU Repoprt'!U$1)</f>
        <v>0</v>
      </c>
      <c r="V353" s="3">
        <f>SUMIFS('Business - Dump'!$W:$W,'Business - Dump'!$D:$D,'SKU Repoprt'!$D353,'Business - Dump'!$A:$A,'SKU Repoprt'!V$1)</f>
        <v>1</v>
      </c>
      <c r="W353" s="3">
        <f>SUMIFS('Business - Dump'!$W:$W,'Business - Dump'!$D:$D,'SKU Repoprt'!$D353,'Business - Dump'!$A:$A,'SKU Repoprt'!W$1)</f>
        <v>1</v>
      </c>
    </row>
    <row r="354" ht="15.75" customHeight="1">
      <c r="A354" s="10" t="s">
        <v>205</v>
      </c>
      <c r="B354" s="10" t="s">
        <v>205</v>
      </c>
      <c r="C354" s="10"/>
      <c r="D354" s="10" t="s">
        <v>376</v>
      </c>
      <c r="E354" s="10" t="s">
        <v>26</v>
      </c>
      <c r="F354" s="16">
        <f t="shared" si="117"/>
        <v>721175.3</v>
      </c>
      <c r="G354" s="16">
        <f>SUMIFS('Business - Dump'!$U:$U,'Business - Dump'!$D:$D,'SKU Repoprt'!$D354,'Business - Dump'!$A:$A,'SKU Repoprt'!G$1)</f>
        <v>0</v>
      </c>
      <c r="H354" s="16">
        <f>SUMIFS('Business - Dump'!$U:$U,'Business - Dump'!$D:$D,'SKU Repoprt'!$D354,'Business - Dump'!$A:$A,'SKU Repoprt'!H$1)</f>
        <v>0</v>
      </c>
      <c r="I354" s="16">
        <f>SUMIFS('Business - Dump'!$U:$U,'Business - Dump'!$D:$D,'SKU Repoprt'!$D354,'Business - Dump'!$A:$A,'SKU Repoprt'!I$1)</f>
        <v>0</v>
      </c>
      <c r="J354" s="16">
        <f>SUMIFS('Business - Dump'!$U:$U,'Business - Dump'!$D:$D,'SKU Repoprt'!$D354,'Business - Dump'!$A:$A,'SKU Repoprt'!J$1)</f>
        <v>0</v>
      </c>
      <c r="K354" s="16">
        <f>SUMIFS('Business - Dump'!$U:$U,'Business - Dump'!$D:$D,'SKU Repoprt'!$D354,'Business - Dump'!$A:$A,'SKU Repoprt'!K$1)</f>
        <v>140000</v>
      </c>
      <c r="L354" s="16">
        <f>SUMIFS('Business - Dump'!$U:$U,'Business - Dump'!$D:$D,'SKU Repoprt'!$D354,'Business - Dump'!$A:$A,'SKU Repoprt'!L$1)</f>
        <v>70000</v>
      </c>
      <c r="M354" s="16">
        <f>SUMIFS('Business - Dump'!$U:$U,'Business - Dump'!$D:$D,'SKU Repoprt'!$D354,'Business - Dump'!$A:$A,'SKU Repoprt'!M$1)</f>
        <v>0</v>
      </c>
      <c r="N354" s="16">
        <f>SUMIFS('Business - Dump'!$U:$U,'Business - Dump'!$D:$D,'SKU Repoprt'!$D354,'Business - Dump'!$A:$A,'SKU Repoprt'!N$1)</f>
        <v>106200</v>
      </c>
      <c r="O354" s="16">
        <f>SUMIFS('Business - Dump'!$U:$U,'Business - Dump'!$D:$D,'SKU Repoprt'!$D354,'Business - Dump'!$A:$A,'SKU Repoprt'!O$1)</f>
        <v>35400</v>
      </c>
      <c r="P354" s="16">
        <f>SUMIFS('Business - Dump'!$U:$U,'Business - Dump'!$D:$D,'SKU Repoprt'!$D354,'Business - Dump'!$A:$A,'SKU Repoprt'!P$1)</f>
        <v>68800</v>
      </c>
      <c r="Q354" s="16">
        <f>SUMIFS('Business - Dump'!$U:$U,'Business - Dump'!$D:$D,'SKU Repoprt'!$D354,'Business - Dump'!$A:$A,'SKU Repoprt'!Q$1)</f>
        <v>165422.38</v>
      </c>
      <c r="R354" s="16">
        <f>SUMIFS('Business - Dump'!$U:$U,'Business - Dump'!$D:$D,'SKU Repoprt'!$D354,'Business - Dump'!$A:$A,'SKU Repoprt'!R$1)</f>
        <v>65680</v>
      </c>
      <c r="S354" s="16">
        <f>SUMIFS('Business - Dump'!$U:$U,'Business - Dump'!$D:$D,'SKU Repoprt'!$D354,'Business - Dump'!$A:$A,'SKU Repoprt'!S$1)</f>
        <v>69672.92</v>
      </c>
      <c r="T354" s="16">
        <f>SUMIFS('Business - Dump'!$U:$U,'Business - Dump'!$D:$D,'SKU Repoprt'!$D354,'Business - Dump'!$A:$A,'SKU Repoprt'!T$1)</f>
        <v>69672.92</v>
      </c>
      <c r="U354" s="16">
        <f>SUMIFS('Business - Dump'!$U:$U,'Business - Dump'!$D:$D,'SKU Repoprt'!$D354,'Business - Dump'!$A:$A,'SKU Repoprt'!U$1)</f>
        <v>0</v>
      </c>
      <c r="V354" s="16">
        <f>SUMIFS('Business - Dump'!$U:$U,'Business - Dump'!$D:$D,'SKU Repoprt'!$D354,'Business - Dump'!$A:$A,'SKU Repoprt'!V$1)</f>
        <v>34837.46</v>
      </c>
      <c r="W354" s="16">
        <f>SUMIFS('Business - Dump'!$U:$U,'Business - Dump'!$D:$D,'SKU Repoprt'!$D354,'Business - Dump'!$A:$A,'SKU Repoprt'!W$1)</f>
        <v>32205</v>
      </c>
    </row>
    <row r="355" ht="15.75" customHeight="1">
      <c r="A355" s="10" t="s">
        <v>205</v>
      </c>
      <c r="B355" s="10" t="s">
        <v>205</v>
      </c>
      <c r="C355" s="10"/>
      <c r="D355" s="10" t="s">
        <v>376</v>
      </c>
      <c r="E355" s="10" t="s">
        <v>29</v>
      </c>
      <c r="F355" s="17">
        <v>0.027042857142857143</v>
      </c>
      <c r="G355" s="17">
        <f t="shared" ref="G355:W355" si="118">IFERROR(G353/G350,0)</f>
        <v>0</v>
      </c>
      <c r="H355" s="17">
        <f t="shared" si="118"/>
        <v>0</v>
      </c>
      <c r="I355" s="17">
        <f t="shared" si="118"/>
        <v>0</v>
      </c>
      <c r="J355" s="17">
        <f t="shared" si="118"/>
        <v>0</v>
      </c>
      <c r="K355" s="17">
        <f t="shared" si="118"/>
        <v>0.02631578947</v>
      </c>
      <c r="L355" s="17">
        <f t="shared" si="118"/>
        <v>0.008620689655</v>
      </c>
      <c r="M355" s="17">
        <f t="shared" si="118"/>
        <v>0</v>
      </c>
      <c r="N355" s="17">
        <f t="shared" si="118"/>
        <v>0.02542372881</v>
      </c>
      <c r="O355" s="17">
        <f t="shared" si="118"/>
        <v>0.01162790698</v>
      </c>
      <c r="P355" s="17">
        <f t="shared" si="118"/>
        <v>0.001814882033</v>
      </c>
      <c r="Q355" s="17">
        <f t="shared" si="118"/>
        <v>0.007092198582</v>
      </c>
      <c r="R355" s="17">
        <f t="shared" si="118"/>
        <v>0.007604562738</v>
      </c>
      <c r="S355" s="17">
        <f t="shared" si="118"/>
        <v>0.01834862385</v>
      </c>
      <c r="T355" s="17">
        <f t="shared" si="118"/>
        <v>0.01694915254</v>
      </c>
      <c r="U355" s="17">
        <f t="shared" si="118"/>
        <v>0</v>
      </c>
      <c r="V355" s="17">
        <f t="shared" si="118"/>
        <v>0.01098901099</v>
      </c>
      <c r="W355" s="17">
        <f t="shared" si="118"/>
        <v>0.01030927835</v>
      </c>
    </row>
    <row r="356" ht="15.75" customHeight="1">
      <c r="A356" s="10" t="s">
        <v>205</v>
      </c>
      <c r="B356" s="10" t="s">
        <v>205</v>
      </c>
      <c r="C356" s="10"/>
      <c r="D356" s="10" t="s">
        <v>377</v>
      </c>
      <c r="E356" s="10" t="s">
        <v>257</v>
      </c>
      <c r="F356" s="3">
        <f t="shared" ref="F356:F360" si="119">SUM(G356:S356)</f>
        <v>1668</v>
      </c>
      <c r="G356" s="3">
        <f>SUMIFS('Business - Dump'!$G:$G,'Business - Dump'!$D:$D,'SKU Repoprt'!$D356,'Business - Dump'!$A:$A,'SKU Repoprt'!G$1)</f>
        <v>0</v>
      </c>
      <c r="H356" s="3">
        <f>SUMIFS('Business - Dump'!$G:$G,'Business - Dump'!$D:$D,'SKU Repoprt'!$D356,'Business - Dump'!$A:$A,'SKU Repoprt'!H$1)</f>
        <v>0</v>
      </c>
      <c r="I356" s="3">
        <f>SUMIFS('Business - Dump'!$G:$G,'Business - Dump'!$D:$D,'SKU Repoprt'!$D356,'Business - Dump'!$A:$A,'SKU Repoprt'!I$1)</f>
        <v>0</v>
      </c>
      <c r="J356" s="3">
        <f>SUMIFS('Business - Dump'!$G:$G,'Business - Dump'!$D:$D,'SKU Repoprt'!$D356,'Business - Dump'!$A:$A,'SKU Repoprt'!J$1)</f>
        <v>0</v>
      </c>
      <c r="K356" s="3">
        <f>SUMIFS('Business - Dump'!$G:$G,'Business - Dump'!$D:$D,'SKU Repoprt'!$D356,'Business - Dump'!$A:$A,'SKU Repoprt'!K$1)</f>
        <v>368</v>
      </c>
      <c r="L356" s="3">
        <f>SUMIFS('Business - Dump'!$G:$G,'Business - Dump'!$D:$D,'SKU Repoprt'!$D356,'Business - Dump'!$A:$A,'SKU Repoprt'!L$1)</f>
        <v>0</v>
      </c>
      <c r="M356" s="3">
        <f>SUMIFS('Business - Dump'!$G:$G,'Business - Dump'!$D:$D,'SKU Repoprt'!$D356,'Business - Dump'!$A:$A,'SKU Repoprt'!M$1)</f>
        <v>427</v>
      </c>
      <c r="N356" s="3">
        <f>SUMIFS('Business - Dump'!$G:$G,'Business - Dump'!$D:$D,'SKU Repoprt'!$D356,'Business - Dump'!$A:$A,'SKU Repoprt'!N$1)</f>
        <v>93</v>
      </c>
      <c r="O356" s="3">
        <f>SUMIFS('Business - Dump'!$G:$G,'Business - Dump'!$D:$D,'SKU Repoprt'!$D356,'Business - Dump'!$A:$A,'SKU Repoprt'!O$1)</f>
        <v>104</v>
      </c>
      <c r="P356" s="3">
        <f>SUMIFS('Business - Dump'!$G:$G,'Business - Dump'!$D:$D,'SKU Repoprt'!$D356,'Business - Dump'!$A:$A,'SKU Repoprt'!P$1)</f>
        <v>148</v>
      </c>
      <c r="Q356" s="3">
        <f>SUMIFS('Business - Dump'!$G:$G,'Business - Dump'!$D:$D,'SKU Repoprt'!$D356,'Business - Dump'!$A:$A,'SKU Repoprt'!Q$1)</f>
        <v>311</v>
      </c>
      <c r="R356" s="3">
        <f>SUMIFS('Business - Dump'!$G:$G,'Business - Dump'!$D:$D,'SKU Repoprt'!$D356,'Business - Dump'!$A:$A,'SKU Repoprt'!R$1)</f>
        <v>143</v>
      </c>
      <c r="S356" s="3">
        <f>SUMIFS('Business - Dump'!$G:$G,'Business - Dump'!$D:$D,'SKU Repoprt'!$D356,'Business - Dump'!$A:$A,'SKU Repoprt'!S$1)</f>
        <v>74</v>
      </c>
      <c r="T356" s="3">
        <f>SUMIFS('Business - Dump'!$G:$G,'Business - Dump'!$D:$D,'SKU Repoprt'!$D356,'Business - Dump'!$A:$A,'SKU Repoprt'!T$1)</f>
        <v>79</v>
      </c>
      <c r="U356" s="3">
        <f>SUMIFS('Business - Dump'!$G:$G,'Business - Dump'!$D:$D,'SKU Repoprt'!$D356,'Business - Dump'!$A:$A,'SKU Repoprt'!U$1)</f>
        <v>87</v>
      </c>
      <c r="V356" s="3">
        <f>SUMIFS('Business - Dump'!$G:$G,'Business - Dump'!$D:$D,'SKU Repoprt'!$D356,'Business - Dump'!$A:$A,'SKU Repoprt'!V$1)</f>
        <v>71</v>
      </c>
      <c r="W356" s="3">
        <f>SUMIFS('Business - Dump'!$G:$G,'Business - Dump'!$D:$D,'SKU Repoprt'!$D356,'Business - Dump'!$A:$A,'SKU Repoprt'!W$1)</f>
        <v>585</v>
      </c>
    </row>
    <row r="357" ht="15.75" customHeight="1">
      <c r="A357" s="10" t="s">
        <v>205</v>
      </c>
      <c r="B357" s="10" t="s">
        <v>205</v>
      </c>
      <c r="C357" s="10"/>
      <c r="D357" s="10" t="s">
        <v>377</v>
      </c>
      <c r="E357" s="10" t="s">
        <v>260</v>
      </c>
      <c r="F357" s="3">
        <f t="shared" si="119"/>
        <v>2308</v>
      </c>
      <c r="G357" s="3">
        <f>SUMIFS('Business - Dump'!$K:$K,'Business - Dump'!$D:$D,'SKU Repoprt'!$D357,'Business - Dump'!$A:$A,'SKU Repoprt'!G$1)</f>
        <v>0</v>
      </c>
      <c r="H357" s="3">
        <f>SUMIFS('Business - Dump'!$K:$K,'Business - Dump'!$D:$D,'SKU Repoprt'!$D357,'Business - Dump'!$A:$A,'SKU Repoprt'!H$1)</f>
        <v>0</v>
      </c>
      <c r="I357" s="3">
        <f>SUMIFS('Business - Dump'!$K:$K,'Business - Dump'!$D:$D,'SKU Repoprt'!$D357,'Business - Dump'!$A:$A,'SKU Repoprt'!I$1)</f>
        <v>0</v>
      </c>
      <c r="J357" s="3">
        <f>SUMIFS('Business - Dump'!$K:$K,'Business - Dump'!$D:$D,'SKU Repoprt'!$D357,'Business - Dump'!$A:$A,'SKU Repoprt'!J$1)</f>
        <v>0</v>
      </c>
      <c r="K357" s="3">
        <f>SUMIFS('Business - Dump'!$K:$K,'Business - Dump'!$D:$D,'SKU Repoprt'!$D357,'Business - Dump'!$A:$A,'SKU Repoprt'!K$1)</f>
        <v>481</v>
      </c>
      <c r="L357" s="3">
        <f>SUMIFS('Business - Dump'!$K:$K,'Business - Dump'!$D:$D,'SKU Repoprt'!$D357,'Business - Dump'!$A:$A,'SKU Repoprt'!L$1)</f>
        <v>0</v>
      </c>
      <c r="M357" s="3">
        <f>SUMIFS('Business - Dump'!$K:$K,'Business - Dump'!$D:$D,'SKU Repoprt'!$D357,'Business - Dump'!$A:$A,'SKU Repoprt'!M$1)</f>
        <v>645</v>
      </c>
      <c r="N357" s="3">
        <f>SUMIFS('Business - Dump'!$K:$K,'Business - Dump'!$D:$D,'SKU Repoprt'!$D357,'Business - Dump'!$A:$A,'SKU Repoprt'!N$1)</f>
        <v>113</v>
      </c>
      <c r="O357" s="3">
        <f>SUMIFS('Business - Dump'!$K:$K,'Business - Dump'!$D:$D,'SKU Repoprt'!$D357,'Business - Dump'!$A:$A,'SKU Repoprt'!O$1)</f>
        <v>143</v>
      </c>
      <c r="P357" s="3">
        <f>SUMIFS('Business - Dump'!$K:$K,'Business - Dump'!$D:$D,'SKU Repoprt'!$D357,'Business - Dump'!$A:$A,'SKU Repoprt'!P$1)</f>
        <v>203</v>
      </c>
      <c r="Q357" s="3">
        <f>SUMIFS('Business - Dump'!$K:$K,'Business - Dump'!$D:$D,'SKU Repoprt'!$D357,'Business - Dump'!$A:$A,'SKU Repoprt'!Q$1)</f>
        <v>447</v>
      </c>
      <c r="R357" s="3">
        <f>SUMIFS('Business - Dump'!$K:$K,'Business - Dump'!$D:$D,'SKU Repoprt'!$D357,'Business - Dump'!$A:$A,'SKU Repoprt'!R$1)</f>
        <v>178</v>
      </c>
      <c r="S357" s="3">
        <f>SUMIFS('Business - Dump'!$K:$K,'Business - Dump'!$D:$D,'SKU Repoprt'!$D357,'Business - Dump'!$A:$A,'SKU Repoprt'!S$1)</f>
        <v>98</v>
      </c>
      <c r="T357" s="3">
        <f>SUMIFS('Business - Dump'!$K:$K,'Business - Dump'!$D:$D,'SKU Repoprt'!$D357,'Business - Dump'!$A:$A,'SKU Repoprt'!T$1)</f>
        <v>97</v>
      </c>
      <c r="U357" s="3">
        <f>SUMIFS('Business - Dump'!$K:$K,'Business - Dump'!$D:$D,'SKU Repoprt'!$D357,'Business - Dump'!$A:$A,'SKU Repoprt'!U$1)</f>
        <v>105</v>
      </c>
      <c r="V357" s="3">
        <f>SUMIFS('Business - Dump'!$K:$K,'Business - Dump'!$D:$D,'SKU Repoprt'!$D357,'Business - Dump'!$A:$A,'SKU Repoprt'!V$1)</f>
        <v>93</v>
      </c>
      <c r="W357" s="3">
        <f>SUMIFS('Business - Dump'!$K:$K,'Business - Dump'!$D:$D,'SKU Repoprt'!$D357,'Business - Dump'!$A:$A,'SKU Repoprt'!W$1)</f>
        <v>820</v>
      </c>
    </row>
    <row r="358" ht="15.75" customHeight="1">
      <c r="A358" s="10" t="s">
        <v>205</v>
      </c>
      <c r="B358" s="10" t="s">
        <v>205</v>
      </c>
      <c r="C358" s="10"/>
      <c r="D358" s="10" t="s">
        <v>377</v>
      </c>
      <c r="E358" s="10" t="s">
        <v>264</v>
      </c>
      <c r="F358" s="3">
        <f t="shared" si="119"/>
        <v>6</v>
      </c>
      <c r="G358" s="3">
        <f>SUMIFS('Business - Dump'!$Q:$Q,'Business - Dump'!$D:$D,'SKU Repoprt'!$D358,'Business - Dump'!$A:$A,'SKU Repoprt'!G$1)</f>
        <v>0</v>
      </c>
      <c r="H358" s="3">
        <f>SUMIFS('Business - Dump'!$Q:$Q,'Business - Dump'!$D:$D,'SKU Repoprt'!$D358,'Business - Dump'!$A:$A,'SKU Repoprt'!H$1)</f>
        <v>0</v>
      </c>
      <c r="I358" s="3">
        <f>SUMIFS('Business - Dump'!$Q:$Q,'Business - Dump'!$D:$D,'SKU Repoprt'!$D358,'Business - Dump'!$A:$A,'SKU Repoprt'!I$1)</f>
        <v>0</v>
      </c>
      <c r="J358" s="3">
        <f>SUMIFS('Business - Dump'!$Q:$Q,'Business - Dump'!$D:$D,'SKU Repoprt'!$D358,'Business - Dump'!$A:$A,'SKU Repoprt'!J$1)</f>
        <v>0</v>
      </c>
      <c r="K358" s="3">
        <f>SUMIFS('Business - Dump'!$Q:$Q,'Business - Dump'!$D:$D,'SKU Repoprt'!$D358,'Business - Dump'!$A:$A,'SKU Repoprt'!K$1)</f>
        <v>3</v>
      </c>
      <c r="L358" s="3">
        <f>SUMIFS('Business - Dump'!$Q:$Q,'Business - Dump'!$D:$D,'SKU Repoprt'!$D358,'Business - Dump'!$A:$A,'SKU Repoprt'!L$1)</f>
        <v>0</v>
      </c>
      <c r="M358" s="3">
        <f>SUMIFS('Business - Dump'!$Q:$Q,'Business - Dump'!$D:$D,'SKU Repoprt'!$D358,'Business - Dump'!$A:$A,'SKU Repoprt'!M$1)</f>
        <v>1</v>
      </c>
      <c r="N358" s="3">
        <f>SUMIFS('Business - Dump'!$Q:$Q,'Business - Dump'!$D:$D,'SKU Repoprt'!$D358,'Business - Dump'!$A:$A,'SKU Repoprt'!N$1)</f>
        <v>1</v>
      </c>
      <c r="O358" s="3">
        <f>SUMIFS('Business - Dump'!$Q:$Q,'Business - Dump'!$D:$D,'SKU Repoprt'!$D358,'Business - Dump'!$A:$A,'SKU Repoprt'!O$1)</f>
        <v>0</v>
      </c>
      <c r="P358" s="3">
        <f>SUMIFS('Business - Dump'!$Q:$Q,'Business - Dump'!$D:$D,'SKU Repoprt'!$D358,'Business - Dump'!$A:$A,'SKU Repoprt'!P$1)</f>
        <v>0</v>
      </c>
      <c r="Q358" s="3">
        <f>SUMIFS('Business - Dump'!$Q:$Q,'Business - Dump'!$D:$D,'SKU Repoprt'!$D358,'Business - Dump'!$A:$A,'SKU Repoprt'!Q$1)</f>
        <v>1</v>
      </c>
      <c r="R358" s="3">
        <f>SUMIFS('Business - Dump'!$Q:$Q,'Business - Dump'!$D:$D,'SKU Repoprt'!$D358,'Business - Dump'!$A:$A,'SKU Repoprt'!R$1)</f>
        <v>0</v>
      </c>
      <c r="S358" s="3">
        <f>SUMIFS('Business - Dump'!$Q:$Q,'Business - Dump'!$D:$D,'SKU Repoprt'!$D358,'Business - Dump'!$A:$A,'SKU Repoprt'!S$1)</f>
        <v>0</v>
      </c>
      <c r="T358" s="3">
        <f>SUMIFS('Business - Dump'!$Q:$Q,'Business - Dump'!$D:$D,'SKU Repoprt'!$D358,'Business - Dump'!$A:$A,'SKU Repoprt'!T$1)</f>
        <v>2</v>
      </c>
      <c r="U358" s="3">
        <f>SUMIFS('Business - Dump'!$Q:$Q,'Business - Dump'!$D:$D,'SKU Repoprt'!$D358,'Business - Dump'!$A:$A,'SKU Repoprt'!U$1)</f>
        <v>1</v>
      </c>
      <c r="V358" s="3">
        <f>SUMIFS('Business - Dump'!$Q:$Q,'Business - Dump'!$D:$D,'SKU Repoprt'!$D358,'Business - Dump'!$A:$A,'SKU Repoprt'!V$1)</f>
        <v>0</v>
      </c>
      <c r="W358" s="3">
        <f>SUMIFS('Business - Dump'!$Q:$Q,'Business - Dump'!$D:$D,'SKU Repoprt'!$D358,'Business - Dump'!$A:$A,'SKU Repoprt'!W$1)</f>
        <v>3</v>
      </c>
    </row>
    <row r="359" ht="15.75" customHeight="1">
      <c r="A359" s="10" t="s">
        <v>205</v>
      </c>
      <c r="B359" s="10" t="s">
        <v>205</v>
      </c>
      <c r="C359" s="10"/>
      <c r="D359" s="10" t="s">
        <v>377</v>
      </c>
      <c r="E359" s="10" t="s">
        <v>268</v>
      </c>
      <c r="F359" s="3">
        <f t="shared" si="119"/>
        <v>6</v>
      </c>
      <c r="G359" s="3">
        <f>SUMIFS('Business - Dump'!$W:$W,'Business - Dump'!$D:$D,'SKU Repoprt'!$D359,'Business - Dump'!$A:$A,'SKU Repoprt'!G$1)</f>
        <v>0</v>
      </c>
      <c r="H359" s="3">
        <f>SUMIFS('Business - Dump'!$W:$W,'Business - Dump'!$D:$D,'SKU Repoprt'!$D359,'Business - Dump'!$A:$A,'SKU Repoprt'!H$1)</f>
        <v>0</v>
      </c>
      <c r="I359" s="3">
        <f>SUMIFS('Business - Dump'!$W:$W,'Business - Dump'!$D:$D,'SKU Repoprt'!$D359,'Business - Dump'!$A:$A,'SKU Repoprt'!I$1)</f>
        <v>0</v>
      </c>
      <c r="J359" s="3">
        <f>SUMIFS('Business - Dump'!$W:$W,'Business - Dump'!$D:$D,'SKU Repoprt'!$D359,'Business - Dump'!$A:$A,'SKU Repoprt'!J$1)</f>
        <v>0</v>
      </c>
      <c r="K359" s="3">
        <f>SUMIFS('Business - Dump'!$W:$W,'Business - Dump'!$D:$D,'SKU Repoprt'!$D359,'Business - Dump'!$A:$A,'SKU Repoprt'!K$1)</f>
        <v>3</v>
      </c>
      <c r="L359" s="3">
        <f>SUMIFS('Business - Dump'!$W:$W,'Business - Dump'!$D:$D,'SKU Repoprt'!$D359,'Business - Dump'!$A:$A,'SKU Repoprt'!L$1)</f>
        <v>0</v>
      </c>
      <c r="M359" s="3">
        <f>SUMIFS('Business - Dump'!$W:$W,'Business - Dump'!$D:$D,'SKU Repoprt'!$D359,'Business - Dump'!$A:$A,'SKU Repoprt'!M$1)</f>
        <v>1</v>
      </c>
      <c r="N359" s="3">
        <f>SUMIFS('Business - Dump'!$W:$W,'Business - Dump'!$D:$D,'SKU Repoprt'!$D359,'Business - Dump'!$A:$A,'SKU Repoprt'!N$1)</f>
        <v>1</v>
      </c>
      <c r="O359" s="3">
        <f>SUMIFS('Business - Dump'!$W:$W,'Business - Dump'!$D:$D,'SKU Repoprt'!$D359,'Business - Dump'!$A:$A,'SKU Repoprt'!O$1)</f>
        <v>0</v>
      </c>
      <c r="P359" s="3">
        <f>SUMIFS('Business - Dump'!$W:$W,'Business - Dump'!$D:$D,'SKU Repoprt'!$D359,'Business - Dump'!$A:$A,'SKU Repoprt'!P$1)</f>
        <v>0</v>
      </c>
      <c r="Q359" s="3">
        <f>SUMIFS('Business - Dump'!$W:$W,'Business - Dump'!$D:$D,'SKU Repoprt'!$D359,'Business - Dump'!$A:$A,'SKU Repoprt'!Q$1)</f>
        <v>1</v>
      </c>
      <c r="R359" s="3">
        <f>SUMIFS('Business - Dump'!$W:$W,'Business - Dump'!$D:$D,'SKU Repoprt'!$D359,'Business - Dump'!$A:$A,'SKU Repoprt'!R$1)</f>
        <v>0</v>
      </c>
      <c r="S359" s="3">
        <f>SUMIFS('Business - Dump'!$W:$W,'Business - Dump'!$D:$D,'SKU Repoprt'!$D359,'Business - Dump'!$A:$A,'SKU Repoprt'!S$1)</f>
        <v>0</v>
      </c>
      <c r="T359" s="3">
        <f>SUMIFS('Business - Dump'!$W:$W,'Business - Dump'!$D:$D,'SKU Repoprt'!$D359,'Business - Dump'!$A:$A,'SKU Repoprt'!T$1)</f>
        <v>2</v>
      </c>
      <c r="U359" s="3">
        <f>SUMIFS('Business - Dump'!$W:$W,'Business - Dump'!$D:$D,'SKU Repoprt'!$D359,'Business - Dump'!$A:$A,'SKU Repoprt'!U$1)</f>
        <v>1</v>
      </c>
      <c r="V359" s="3">
        <f>SUMIFS('Business - Dump'!$W:$W,'Business - Dump'!$D:$D,'SKU Repoprt'!$D359,'Business - Dump'!$A:$A,'SKU Repoprt'!V$1)</f>
        <v>0</v>
      </c>
      <c r="W359" s="3">
        <f>SUMIFS('Business - Dump'!$W:$W,'Business - Dump'!$D:$D,'SKU Repoprt'!$D359,'Business - Dump'!$A:$A,'SKU Repoprt'!W$1)</f>
        <v>3</v>
      </c>
    </row>
    <row r="360" ht="15.75" customHeight="1">
      <c r="A360" s="10" t="s">
        <v>205</v>
      </c>
      <c r="B360" s="10" t="s">
        <v>205</v>
      </c>
      <c r="C360" s="10"/>
      <c r="D360" s="10" t="s">
        <v>377</v>
      </c>
      <c r="E360" s="10" t="s">
        <v>26</v>
      </c>
      <c r="F360" s="16">
        <f t="shared" si="119"/>
        <v>233223.73</v>
      </c>
      <c r="G360" s="16">
        <f>SUMIFS('Business - Dump'!$U:$U,'Business - Dump'!$D:$D,'SKU Repoprt'!$D360,'Business - Dump'!$A:$A,'SKU Repoprt'!G$1)</f>
        <v>0</v>
      </c>
      <c r="H360" s="16">
        <f>SUMIFS('Business - Dump'!$U:$U,'Business - Dump'!$D:$D,'SKU Repoprt'!$D360,'Business - Dump'!$A:$A,'SKU Repoprt'!H$1)</f>
        <v>0</v>
      </c>
      <c r="I360" s="16">
        <f>SUMIFS('Business - Dump'!$U:$U,'Business - Dump'!$D:$D,'SKU Repoprt'!$D360,'Business - Dump'!$A:$A,'SKU Repoprt'!I$1)</f>
        <v>0</v>
      </c>
      <c r="J360" s="16">
        <f>SUMIFS('Business - Dump'!$U:$U,'Business - Dump'!$D:$D,'SKU Repoprt'!$D360,'Business - Dump'!$A:$A,'SKU Repoprt'!J$1)</f>
        <v>0</v>
      </c>
      <c r="K360" s="16">
        <f>SUMIFS('Business - Dump'!$U:$U,'Business - Dump'!$D:$D,'SKU Repoprt'!$D360,'Business - Dump'!$A:$A,'SKU Repoprt'!K$1)</f>
        <v>116923.73</v>
      </c>
      <c r="L360" s="16">
        <f>SUMIFS('Business - Dump'!$U:$U,'Business - Dump'!$D:$D,'SKU Repoprt'!$D360,'Business - Dump'!$A:$A,'SKU Repoprt'!L$1)</f>
        <v>0</v>
      </c>
      <c r="M360" s="16">
        <f>SUMIFS('Business - Dump'!$U:$U,'Business - Dump'!$D:$D,'SKU Repoprt'!$D360,'Business - Dump'!$A:$A,'SKU Repoprt'!M$1)</f>
        <v>38000</v>
      </c>
      <c r="N360" s="16">
        <f>SUMIFS('Business - Dump'!$U:$U,'Business - Dump'!$D:$D,'SKU Repoprt'!$D360,'Business - Dump'!$A:$A,'SKU Repoprt'!N$1)</f>
        <v>38900</v>
      </c>
      <c r="O360" s="16">
        <f>SUMIFS('Business - Dump'!$U:$U,'Business - Dump'!$D:$D,'SKU Repoprt'!$D360,'Business - Dump'!$A:$A,'SKU Repoprt'!O$1)</f>
        <v>0</v>
      </c>
      <c r="P360" s="16">
        <f>SUMIFS('Business - Dump'!$U:$U,'Business - Dump'!$D:$D,'SKU Repoprt'!$D360,'Business - Dump'!$A:$A,'SKU Repoprt'!P$1)</f>
        <v>0</v>
      </c>
      <c r="Q360" s="16">
        <f>SUMIFS('Business - Dump'!$U:$U,'Business - Dump'!$D:$D,'SKU Repoprt'!$D360,'Business - Dump'!$A:$A,'SKU Repoprt'!Q$1)</f>
        <v>39400</v>
      </c>
      <c r="R360" s="16">
        <f>SUMIFS('Business - Dump'!$U:$U,'Business - Dump'!$D:$D,'SKU Repoprt'!$D360,'Business - Dump'!$A:$A,'SKU Repoprt'!R$1)</f>
        <v>0</v>
      </c>
      <c r="S360" s="16">
        <f>SUMIFS('Business - Dump'!$U:$U,'Business - Dump'!$D:$D,'SKU Repoprt'!$D360,'Business - Dump'!$A:$A,'SKU Repoprt'!S$1)</f>
        <v>0</v>
      </c>
      <c r="T360" s="16">
        <f>SUMIFS('Business - Dump'!$U:$U,'Business - Dump'!$D:$D,'SKU Repoprt'!$D360,'Business - Dump'!$A:$A,'SKU Repoprt'!T$1)</f>
        <v>77657.46</v>
      </c>
      <c r="U360" s="16">
        <f>SUMIFS('Business - Dump'!$U:$U,'Business - Dump'!$D:$D,'SKU Repoprt'!$D360,'Business - Dump'!$A:$A,'SKU Repoprt'!U$1)</f>
        <v>38387.46</v>
      </c>
      <c r="V360" s="16">
        <f>SUMIFS('Business - Dump'!$U:$U,'Business - Dump'!$D:$D,'SKU Repoprt'!$D360,'Business - Dump'!$A:$A,'SKU Repoprt'!V$1)</f>
        <v>0</v>
      </c>
      <c r="W360" s="16">
        <f>SUMIFS('Business - Dump'!$U:$U,'Business - Dump'!$D:$D,'SKU Repoprt'!$D360,'Business - Dump'!$A:$A,'SKU Repoprt'!W$1)</f>
        <v>113232.4</v>
      </c>
    </row>
    <row r="361" ht="15.75" customHeight="1">
      <c r="A361" s="10" t="s">
        <v>205</v>
      </c>
      <c r="B361" s="10" t="s">
        <v>205</v>
      </c>
      <c r="C361" s="10"/>
      <c r="D361" s="10" t="s">
        <v>377</v>
      </c>
      <c r="E361" s="10" t="s">
        <v>29</v>
      </c>
      <c r="F361" s="17">
        <v>0.027042857142857143</v>
      </c>
      <c r="G361" s="17">
        <f t="shared" ref="G361:W361" si="120">IFERROR(G359/G356,0)</f>
        <v>0</v>
      </c>
      <c r="H361" s="17">
        <f t="shared" si="120"/>
        <v>0</v>
      </c>
      <c r="I361" s="17">
        <f t="shared" si="120"/>
        <v>0</v>
      </c>
      <c r="J361" s="17">
        <f t="shared" si="120"/>
        <v>0</v>
      </c>
      <c r="K361" s="17">
        <f t="shared" si="120"/>
        <v>0.008152173913</v>
      </c>
      <c r="L361" s="17">
        <f t="shared" si="120"/>
        <v>0</v>
      </c>
      <c r="M361" s="17">
        <f t="shared" si="120"/>
        <v>0.002341920375</v>
      </c>
      <c r="N361" s="17">
        <f t="shared" si="120"/>
        <v>0.01075268817</v>
      </c>
      <c r="O361" s="17">
        <f t="shared" si="120"/>
        <v>0</v>
      </c>
      <c r="P361" s="17">
        <f t="shared" si="120"/>
        <v>0</v>
      </c>
      <c r="Q361" s="17">
        <f t="shared" si="120"/>
        <v>0.003215434084</v>
      </c>
      <c r="R361" s="17">
        <f t="shared" si="120"/>
        <v>0</v>
      </c>
      <c r="S361" s="17">
        <f t="shared" si="120"/>
        <v>0</v>
      </c>
      <c r="T361" s="17">
        <f t="shared" si="120"/>
        <v>0.0253164557</v>
      </c>
      <c r="U361" s="17">
        <f t="shared" si="120"/>
        <v>0.01149425287</v>
      </c>
      <c r="V361" s="17">
        <f t="shared" si="120"/>
        <v>0</v>
      </c>
      <c r="W361" s="17">
        <f t="shared" si="120"/>
        <v>0.005128205128</v>
      </c>
    </row>
    <row r="362" ht="15.75" customHeight="1">
      <c r="A362" s="10" t="s">
        <v>205</v>
      </c>
      <c r="B362" s="10" t="s">
        <v>205</v>
      </c>
      <c r="C362" s="10"/>
      <c r="D362" s="10" t="s">
        <v>400</v>
      </c>
      <c r="E362" s="10" t="s">
        <v>257</v>
      </c>
      <c r="F362" s="3">
        <f t="shared" ref="F362:F366" si="121">SUM(G362:S362)</f>
        <v>2990</v>
      </c>
      <c r="G362" s="3">
        <f>SUMIFS('Business - Dump'!$G:$G,'Business - Dump'!$D:$D,'SKU Repoprt'!$D362,'Business - Dump'!$A:$A,'SKU Repoprt'!G$1)</f>
        <v>0</v>
      </c>
      <c r="H362" s="3">
        <f>SUMIFS('Business - Dump'!$G:$G,'Business - Dump'!$D:$D,'SKU Repoprt'!$D362,'Business - Dump'!$A:$A,'SKU Repoprt'!H$1)</f>
        <v>0</v>
      </c>
      <c r="I362" s="3">
        <f>SUMIFS('Business - Dump'!$G:$G,'Business - Dump'!$D:$D,'SKU Repoprt'!$D362,'Business - Dump'!$A:$A,'SKU Repoprt'!I$1)</f>
        <v>0</v>
      </c>
      <c r="J362" s="3">
        <f>SUMIFS('Business - Dump'!$G:$G,'Business - Dump'!$D:$D,'SKU Repoprt'!$D362,'Business - Dump'!$A:$A,'SKU Repoprt'!J$1)</f>
        <v>0</v>
      </c>
      <c r="K362" s="3">
        <f>SUMIFS('Business - Dump'!$G:$G,'Business - Dump'!$D:$D,'SKU Repoprt'!$D362,'Business - Dump'!$A:$A,'SKU Repoprt'!K$1)</f>
        <v>0</v>
      </c>
      <c r="L362" s="3">
        <f>SUMIFS('Business - Dump'!$G:$G,'Business - Dump'!$D:$D,'SKU Repoprt'!$D362,'Business - Dump'!$A:$A,'SKU Repoprt'!L$1)</f>
        <v>442</v>
      </c>
      <c r="M362" s="3">
        <f>SUMIFS('Business - Dump'!$G:$G,'Business - Dump'!$D:$D,'SKU Repoprt'!$D362,'Business - Dump'!$A:$A,'SKU Repoprt'!M$1)</f>
        <v>584</v>
      </c>
      <c r="N362" s="3">
        <f>SUMIFS('Business - Dump'!$G:$G,'Business - Dump'!$D:$D,'SKU Repoprt'!$D362,'Business - Dump'!$A:$A,'SKU Repoprt'!N$1)</f>
        <v>139</v>
      </c>
      <c r="O362" s="3">
        <f>SUMIFS('Business - Dump'!$G:$G,'Business - Dump'!$D:$D,'SKU Repoprt'!$D362,'Business - Dump'!$A:$A,'SKU Repoprt'!O$1)</f>
        <v>205</v>
      </c>
      <c r="P362" s="3">
        <f>SUMIFS('Business - Dump'!$G:$G,'Business - Dump'!$D:$D,'SKU Repoprt'!$D362,'Business - Dump'!$A:$A,'SKU Repoprt'!P$1)</f>
        <v>535</v>
      </c>
      <c r="Q362" s="3">
        <f>SUMIFS('Business - Dump'!$G:$G,'Business - Dump'!$D:$D,'SKU Repoprt'!$D362,'Business - Dump'!$A:$A,'SKU Repoprt'!Q$1)</f>
        <v>404</v>
      </c>
      <c r="R362" s="3">
        <f>SUMIFS('Business - Dump'!$G:$G,'Business - Dump'!$D:$D,'SKU Repoprt'!$D362,'Business - Dump'!$A:$A,'SKU Repoprt'!R$1)</f>
        <v>390</v>
      </c>
      <c r="S362" s="3">
        <f>SUMIFS('Business - Dump'!$G:$G,'Business - Dump'!$D:$D,'SKU Repoprt'!$D362,'Business - Dump'!$A:$A,'SKU Repoprt'!S$1)</f>
        <v>291</v>
      </c>
      <c r="T362" s="3">
        <f>SUMIFS('Business - Dump'!$G:$G,'Business - Dump'!$D:$D,'SKU Repoprt'!$D362,'Business - Dump'!$A:$A,'SKU Repoprt'!T$1)</f>
        <v>218</v>
      </c>
      <c r="U362" s="3">
        <f>SUMIFS('Business - Dump'!$G:$G,'Business - Dump'!$D:$D,'SKU Repoprt'!$D362,'Business - Dump'!$A:$A,'SKU Repoprt'!U$1)</f>
        <v>336</v>
      </c>
      <c r="V362" s="3">
        <f>SUMIFS('Business - Dump'!$G:$G,'Business - Dump'!$D:$D,'SKU Repoprt'!$D362,'Business - Dump'!$A:$A,'SKU Repoprt'!V$1)</f>
        <v>182</v>
      </c>
      <c r="W362" s="3">
        <f>SUMIFS('Business - Dump'!$G:$G,'Business - Dump'!$D:$D,'SKU Repoprt'!$D362,'Business - Dump'!$A:$A,'SKU Repoprt'!W$1)</f>
        <v>1062</v>
      </c>
    </row>
    <row r="363" ht="15.75" customHeight="1">
      <c r="A363" s="10" t="s">
        <v>205</v>
      </c>
      <c r="B363" s="10" t="s">
        <v>205</v>
      </c>
      <c r="C363" s="10"/>
      <c r="D363" s="10" t="s">
        <v>400</v>
      </c>
      <c r="E363" s="10" t="s">
        <v>260</v>
      </c>
      <c r="F363" s="3">
        <f t="shared" si="121"/>
        <v>4319</v>
      </c>
      <c r="G363" s="3">
        <f>SUMIFS('Business - Dump'!$K:$K,'Business - Dump'!$D:$D,'SKU Repoprt'!$D363,'Business - Dump'!$A:$A,'SKU Repoprt'!G$1)</f>
        <v>0</v>
      </c>
      <c r="H363" s="3">
        <f>SUMIFS('Business - Dump'!$K:$K,'Business - Dump'!$D:$D,'SKU Repoprt'!$D363,'Business - Dump'!$A:$A,'SKU Repoprt'!H$1)</f>
        <v>0</v>
      </c>
      <c r="I363" s="3">
        <f>SUMIFS('Business - Dump'!$K:$K,'Business - Dump'!$D:$D,'SKU Repoprt'!$D363,'Business - Dump'!$A:$A,'SKU Repoprt'!I$1)</f>
        <v>0</v>
      </c>
      <c r="J363" s="3">
        <f>SUMIFS('Business - Dump'!$K:$K,'Business - Dump'!$D:$D,'SKU Repoprt'!$D363,'Business - Dump'!$A:$A,'SKU Repoprt'!J$1)</f>
        <v>0</v>
      </c>
      <c r="K363" s="3">
        <f>SUMIFS('Business - Dump'!$K:$K,'Business - Dump'!$D:$D,'SKU Repoprt'!$D363,'Business - Dump'!$A:$A,'SKU Repoprt'!K$1)</f>
        <v>0</v>
      </c>
      <c r="L363" s="3">
        <f>SUMIFS('Business - Dump'!$K:$K,'Business - Dump'!$D:$D,'SKU Repoprt'!$D363,'Business - Dump'!$A:$A,'SKU Repoprt'!L$1)</f>
        <v>607</v>
      </c>
      <c r="M363" s="3">
        <f>SUMIFS('Business - Dump'!$K:$K,'Business - Dump'!$D:$D,'SKU Repoprt'!$D363,'Business - Dump'!$A:$A,'SKU Repoprt'!M$1)</f>
        <v>811</v>
      </c>
      <c r="N363" s="3">
        <f>SUMIFS('Business - Dump'!$K:$K,'Business - Dump'!$D:$D,'SKU Repoprt'!$D363,'Business - Dump'!$A:$A,'SKU Repoprt'!N$1)</f>
        <v>189</v>
      </c>
      <c r="O363" s="3">
        <f>SUMIFS('Business - Dump'!$K:$K,'Business - Dump'!$D:$D,'SKU Repoprt'!$D363,'Business - Dump'!$A:$A,'SKU Repoprt'!O$1)</f>
        <v>259</v>
      </c>
      <c r="P363" s="3">
        <f>SUMIFS('Business - Dump'!$K:$K,'Business - Dump'!$D:$D,'SKU Repoprt'!$D363,'Business - Dump'!$A:$A,'SKU Repoprt'!P$1)</f>
        <v>700</v>
      </c>
      <c r="Q363" s="3">
        <f>SUMIFS('Business - Dump'!$K:$K,'Business - Dump'!$D:$D,'SKU Repoprt'!$D363,'Business - Dump'!$A:$A,'SKU Repoprt'!Q$1)</f>
        <v>583</v>
      </c>
      <c r="R363" s="3">
        <f>SUMIFS('Business - Dump'!$K:$K,'Business - Dump'!$D:$D,'SKU Repoprt'!$D363,'Business - Dump'!$A:$A,'SKU Repoprt'!R$1)</f>
        <v>732</v>
      </c>
      <c r="S363" s="3">
        <f>SUMIFS('Business - Dump'!$K:$K,'Business - Dump'!$D:$D,'SKU Repoprt'!$D363,'Business - Dump'!$A:$A,'SKU Repoprt'!S$1)</f>
        <v>438</v>
      </c>
      <c r="T363" s="3">
        <f>SUMIFS('Business - Dump'!$K:$K,'Business - Dump'!$D:$D,'SKU Repoprt'!$D363,'Business - Dump'!$A:$A,'SKU Repoprt'!T$1)</f>
        <v>330</v>
      </c>
      <c r="U363" s="3">
        <f>SUMIFS('Business - Dump'!$K:$K,'Business - Dump'!$D:$D,'SKU Repoprt'!$D363,'Business - Dump'!$A:$A,'SKU Repoprt'!U$1)</f>
        <v>505</v>
      </c>
      <c r="V363" s="3">
        <f>SUMIFS('Business - Dump'!$K:$K,'Business - Dump'!$D:$D,'SKU Repoprt'!$D363,'Business - Dump'!$A:$A,'SKU Repoprt'!V$1)</f>
        <v>251</v>
      </c>
      <c r="W363" s="3">
        <f>SUMIFS('Business - Dump'!$K:$K,'Business - Dump'!$D:$D,'SKU Repoprt'!$D363,'Business - Dump'!$A:$A,'SKU Repoprt'!W$1)</f>
        <v>1416</v>
      </c>
    </row>
    <row r="364" ht="15.75" customHeight="1">
      <c r="A364" s="10" t="s">
        <v>205</v>
      </c>
      <c r="B364" s="10" t="s">
        <v>205</v>
      </c>
      <c r="C364" s="10"/>
      <c r="D364" s="10" t="s">
        <v>400</v>
      </c>
      <c r="E364" s="10" t="s">
        <v>264</v>
      </c>
      <c r="F364" s="3">
        <f t="shared" si="121"/>
        <v>17</v>
      </c>
      <c r="G364" s="3">
        <f>SUMIFS('Business - Dump'!$Q:$Q,'Business - Dump'!$D:$D,'SKU Repoprt'!$D364,'Business - Dump'!$A:$A,'SKU Repoprt'!G$1)</f>
        <v>0</v>
      </c>
      <c r="H364" s="3">
        <f>SUMIFS('Business - Dump'!$Q:$Q,'Business - Dump'!$D:$D,'SKU Repoprt'!$D364,'Business - Dump'!$A:$A,'SKU Repoprt'!H$1)</f>
        <v>0</v>
      </c>
      <c r="I364" s="3">
        <f>SUMIFS('Business - Dump'!$Q:$Q,'Business - Dump'!$D:$D,'SKU Repoprt'!$D364,'Business - Dump'!$A:$A,'SKU Repoprt'!I$1)</f>
        <v>0</v>
      </c>
      <c r="J364" s="3">
        <f>SUMIFS('Business - Dump'!$Q:$Q,'Business - Dump'!$D:$D,'SKU Repoprt'!$D364,'Business - Dump'!$A:$A,'SKU Repoprt'!J$1)</f>
        <v>0</v>
      </c>
      <c r="K364" s="3">
        <f>SUMIFS('Business - Dump'!$Q:$Q,'Business - Dump'!$D:$D,'SKU Repoprt'!$D364,'Business - Dump'!$A:$A,'SKU Repoprt'!K$1)</f>
        <v>0</v>
      </c>
      <c r="L364" s="3">
        <f>SUMIFS('Business - Dump'!$Q:$Q,'Business - Dump'!$D:$D,'SKU Repoprt'!$D364,'Business - Dump'!$A:$A,'SKU Repoprt'!L$1)</f>
        <v>1</v>
      </c>
      <c r="M364" s="3">
        <f>SUMIFS('Business - Dump'!$Q:$Q,'Business - Dump'!$D:$D,'SKU Repoprt'!$D364,'Business - Dump'!$A:$A,'SKU Repoprt'!M$1)</f>
        <v>0</v>
      </c>
      <c r="N364" s="3">
        <f>SUMIFS('Business - Dump'!$Q:$Q,'Business - Dump'!$D:$D,'SKU Repoprt'!$D364,'Business - Dump'!$A:$A,'SKU Repoprt'!N$1)</f>
        <v>0</v>
      </c>
      <c r="O364" s="3">
        <f>SUMIFS('Business - Dump'!$Q:$Q,'Business - Dump'!$D:$D,'SKU Repoprt'!$D364,'Business - Dump'!$A:$A,'SKU Repoprt'!O$1)</f>
        <v>0</v>
      </c>
      <c r="P364" s="3">
        <f>SUMIFS('Business - Dump'!$Q:$Q,'Business - Dump'!$D:$D,'SKU Repoprt'!$D364,'Business - Dump'!$A:$A,'SKU Repoprt'!P$1)</f>
        <v>4</v>
      </c>
      <c r="Q364" s="3">
        <f>SUMIFS('Business - Dump'!$Q:$Q,'Business - Dump'!$D:$D,'SKU Repoprt'!$D364,'Business - Dump'!$A:$A,'SKU Repoprt'!Q$1)</f>
        <v>3</v>
      </c>
      <c r="R364" s="3">
        <f>SUMIFS('Business - Dump'!$Q:$Q,'Business - Dump'!$D:$D,'SKU Repoprt'!$D364,'Business - Dump'!$A:$A,'SKU Repoprt'!R$1)</f>
        <v>5</v>
      </c>
      <c r="S364" s="3">
        <f>SUMIFS('Business - Dump'!$Q:$Q,'Business - Dump'!$D:$D,'SKU Repoprt'!$D364,'Business - Dump'!$A:$A,'SKU Repoprt'!S$1)</f>
        <v>4</v>
      </c>
      <c r="T364" s="3">
        <f>SUMIFS('Business - Dump'!$Q:$Q,'Business - Dump'!$D:$D,'SKU Repoprt'!$D364,'Business - Dump'!$A:$A,'SKU Repoprt'!T$1)</f>
        <v>2</v>
      </c>
      <c r="U364" s="3">
        <f>SUMIFS('Business - Dump'!$Q:$Q,'Business - Dump'!$D:$D,'SKU Repoprt'!$D364,'Business - Dump'!$A:$A,'SKU Repoprt'!U$1)</f>
        <v>4</v>
      </c>
      <c r="V364" s="3">
        <f>SUMIFS('Business - Dump'!$Q:$Q,'Business - Dump'!$D:$D,'SKU Repoprt'!$D364,'Business - Dump'!$A:$A,'SKU Repoprt'!V$1)</f>
        <v>2</v>
      </c>
      <c r="W364" s="3">
        <f>SUMIFS('Business - Dump'!$Q:$Q,'Business - Dump'!$D:$D,'SKU Repoprt'!$D364,'Business - Dump'!$A:$A,'SKU Repoprt'!W$1)</f>
        <v>2</v>
      </c>
    </row>
    <row r="365" ht="15.75" customHeight="1">
      <c r="A365" s="10" t="s">
        <v>205</v>
      </c>
      <c r="B365" s="10" t="s">
        <v>205</v>
      </c>
      <c r="C365" s="10"/>
      <c r="D365" s="10" t="s">
        <v>400</v>
      </c>
      <c r="E365" s="10" t="s">
        <v>268</v>
      </c>
      <c r="F365" s="3">
        <f t="shared" si="121"/>
        <v>17</v>
      </c>
      <c r="G365" s="3">
        <f>SUMIFS('Business - Dump'!$W:$W,'Business - Dump'!$D:$D,'SKU Repoprt'!$D365,'Business - Dump'!$A:$A,'SKU Repoprt'!G$1)</f>
        <v>0</v>
      </c>
      <c r="H365" s="3">
        <f>SUMIFS('Business - Dump'!$W:$W,'Business - Dump'!$D:$D,'SKU Repoprt'!$D365,'Business - Dump'!$A:$A,'SKU Repoprt'!H$1)</f>
        <v>0</v>
      </c>
      <c r="I365" s="3">
        <f>SUMIFS('Business - Dump'!$W:$W,'Business - Dump'!$D:$D,'SKU Repoprt'!$D365,'Business - Dump'!$A:$A,'SKU Repoprt'!I$1)</f>
        <v>0</v>
      </c>
      <c r="J365" s="3">
        <f>SUMIFS('Business - Dump'!$W:$W,'Business - Dump'!$D:$D,'SKU Repoprt'!$D365,'Business - Dump'!$A:$A,'SKU Repoprt'!J$1)</f>
        <v>0</v>
      </c>
      <c r="K365" s="3">
        <f>SUMIFS('Business - Dump'!$W:$W,'Business - Dump'!$D:$D,'SKU Repoprt'!$D365,'Business - Dump'!$A:$A,'SKU Repoprt'!K$1)</f>
        <v>0</v>
      </c>
      <c r="L365" s="3">
        <f>SUMIFS('Business - Dump'!$W:$W,'Business - Dump'!$D:$D,'SKU Repoprt'!$D365,'Business - Dump'!$A:$A,'SKU Repoprt'!L$1)</f>
        <v>1</v>
      </c>
      <c r="M365" s="3">
        <f>SUMIFS('Business - Dump'!$W:$W,'Business - Dump'!$D:$D,'SKU Repoprt'!$D365,'Business - Dump'!$A:$A,'SKU Repoprt'!M$1)</f>
        <v>0</v>
      </c>
      <c r="N365" s="3">
        <f>SUMIFS('Business - Dump'!$W:$W,'Business - Dump'!$D:$D,'SKU Repoprt'!$D365,'Business - Dump'!$A:$A,'SKU Repoprt'!N$1)</f>
        <v>0</v>
      </c>
      <c r="O365" s="3">
        <f>SUMIFS('Business - Dump'!$W:$W,'Business - Dump'!$D:$D,'SKU Repoprt'!$D365,'Business - Dump'!$A:$A,'SKU Repoprt'!O$1)</f>
        <v>0</v>
      </c>
      <c r="P365" s="3">
        <f>SUMIFS('Business - Dump'!$W:$W,'Business - Dump'!$D:$D,'SKU Repoprt'!$D365,'Business - Dump'!$A:$A,'SKU Repoprt'!P$1)</f>
        <v>4</v>
      </c>
      <c r="Q365" s="3">
        <f>SUMIFS('Business - Dump'!$W:$W,'Business - Dump'!$D:$D,'SKU Repoprt'!$D365,'Business - Dump'!$A:$A,'SKU Repoprt'!Q$1)</f>
        <v>3</v>
      </c>
      <c r="R365" s="3">
        <f>SUMIFS('Business - Dump'!$W:$W,'Business - Dump'!$D:$D,'SKU Repoprt'!$D365,'Business - Dump'!$A:$A,'SKU Repoprt'!R$1)</f>
        <v>5</v>
      </c>
      <c r="S365" s="3">
        <f>SUMIFS('Business - Dump'!$W:$W,'Business - Dump'!$D:$D,'SKU Repoprt'!$D365,'Business - Dump'!$A:$A,'SKU Repoprt'!S$1)</f>
        <v>4</v>
      </c>
      <c r="T365" s="3">
        <f>SUMIFS('Business - Dump'!$W:$W,'Business - Dump'!$D:$D,'SKU Repoprt'!$D365,'Business - Dump'!$A:$A,'SKU Repoprt'!T$1)</f>
        <v>2</v>
      </c>
      <c r="U365" s="3">
        <f>SUMIFS('Business - Dump'!$W:$W,'Business - Dump'!$D:$D,'SKU Repoprt'!$D365,'Business - Dump'!$A:$A,'SKU Repoprt'!U$1)</f>
        <v>4</v>
      </c>
      <c r="V365" s="3">
        <f>SUMIFS('Business - Dump'!$W:$W,'Business - Dump'!$D:$D,'SKU Repoprt'!$D365,'Business - Dump'!$A:$A,'SKU Repoprt'!V$1)</f>
        <v>2</v>
      </c>
      <c r="W365" s="3">
        <f>SUMIFS('Business - Dump'!$W:$W,'Business - Dump'!$D:$D,'SKU Repoprt'!$D365,'Business - Dump'!$A:$A,'SKU Repoprt'!W$1)</f>
        <v>2</v>
      </c>
    </row>
    <row r="366" ht="15.75" customHeight="1">
      <c r="A366" s="10" t="s">
        <v>205</v>
      </c>
      <c r="B366" s="10" t="s">
        <v>205</v>
      </c>
      <c r="C366" s="10"/>
      <c r="D366" s="10" t="s">
        <v>400</v>
      </c>
      <c r="E366" s="10" t="s">
        <v>26</v>
      </c>
      <c r="F366" s="16">
        <f t="shared" si="121"/>
        <v>674802.22</v>
      </c>
      <c r="G366" s="16">
        <f>SUMIFS('Business - Dump'!$U:$U,'Business - Dump'!$D:$D,'SKU Repoprt'!$D366,'Business - Dump'!$A:$A,'SKU Repoprt'!G$1)</f>
        <v>0</v>
      </c>
      <c r="H366" s="16">
        <f>SUMIFS('Business - Dump'!$U:$U,'Business - Dump'!$D:$D,'SKU Repoprt'!$D366,'Business - Dump'!$A:$A,'SKU Repoprt'!H$1)</f>
        <v>0</v>
      </c>
      <c r="I366" s="16">
        <f>SUMIFS('Business - Dump'!$U:$U,'Business - Dump'!$D:$D,'SKU Repoprt'!$D366,'Business - Dump'!$A:$A,'SKU Repoprt'!I$1)</f>
        <v>0</v>
      </c>
      <c r="J366" s="16">
        <f>SUMIFS('Business - Dump'!$U:$U,'Business - Dump'!$D:$D,'SKU Repoprt'!$D366,'Business - Dump'!$A:$A,'SKU Repoprt'!J$1)</f>
        <v>0</v>
      </c>
      <c r="K366" s="16">
        <f>SUMIFS('Business - Dump'!$U:$U,'Business - Dump'!$D:$D,'SKU Repoprt'!$D366,'Business - Dump'!$A:$A,'SKU Repoprt'!K$1)</f>
        <v>0</v>
      </c>
      <c r="L366" s="16">
        <f>SUMIFS('Business - Dump'!$U:$U,'Business - Dump'!$D:$D,'SKU Repoprt'!$D366,'Business - Dump'!$A:$A,'SKU Repoprt'!L$1)</f>
        <v>41000</v>
      </c>
      <c r="M366" s="16">
        <f>SUMIFS('Business - Dump'!$U:$U,'Business - Dump'!$D:$D,'SKU Repoprt'!$D366,'Business - Dump'!$A:$A,'SKU Repoprt'!M$1)</f>
        <v>0</v>
      </c>
      <c r="N366" s="16">
        <f>SUMIFS('Business - Dump'!$U:$U,'Business - Dump'!$D:$D,'SKU Repoprt'!$D366,'Business - Dump'!$A:$A,'SKU Repoprt'!N$1)</f>
        <v>0</v>
      </c>
      <c r="O366" s="16">
        <f>SUMIFS('Business - Dump'!$U:$U,'Business - Dump'!$D:$D,'SKU Repoprt'!$D366,'Business - Dump'!$A:$A,'SKU Repoprt'!O$1)</f>
        <v>0</v>
      </c>
      <c r="P366" s="16">
        <f>SUMIFS('Business - Dump'!$U:$U,'Business - Dump'!$D:$D,'SKU Repoprt'!$D366,'Business - Dump'!$A:$A,'SKU Repoprt'!P$1)</f>
        <v>161520</v>
      </c>
      <c r="Q366" s="16">
        <f>SUMIFS('Business - Dump'!$U:$U,'Business - Dump'!$D:$D,'SKU Repoprt'!$D366,'Business - Dump'!$A:$A,'SKU Repoprt'!Q$1)</f>
        <v>115792.38</v>
      </c>
      <c r="R366" s="16">
        <f>SUMIFS('Business - Dump'!$U:$U,'Business - Dump'!$D:$D,'SKU Repoprt'!$D366,'Business - Dump'!$A:$A,'SKU Repoprt'!R$1)</f>
        <v>193174.92</v>
      </c>
      <c r="S366" s="16">
        <f>SUMIFS('Business - Dump'!$U:$U,'Business - Dump'!$D:$D,'SKU Repoprt'!$D366,'Business - Dump'!$A:$A,'SKU Repoprt'!S$1)</f>
        <v>163314.92</v>
      </c>
      <c r="T366" s="16">
        <f>SUMIFS('Business - Dump'!$U:$U,'Business - Dump'!$D:$D,'SKU Repoprt'!$D366,'Business - Dump'!$A:$A,'SKU Repoprt'!T$1)</f>
        <v>81594.92</v>
      </c>
      <c r="U366" s="16">
        <f>SUMIFS('Business - Dump'!$U:$U,'Business - Dump'!$D:$D,'SKU Repoprt'!$D366,'Business - Dump'!$A:$A,'SKU Repoprt'!U$1)</f>
        <v>158693.8</v>
      </c>
      <c r="V366" s="16">
        <f>SUMIFS('Business - Dump'!$U:$U,'Business - Dump'!$D:$D,'SKU Repoprt'!$D366,'Business - Dump'!$A:$A,'SKU Repoprt'!V$1)</f>
        <v>80774.92</v>
      </c>
      <c r="W366" s="16">
        <f>SUMIFS('Business - Dump'!$U:$U,'Business - Dump'!$D:$D,'SKU Repoprt'!$D366,'Business - Dump'!$A:$A,'SKU Repoprt'!W$1)</f>
        <v>78807.46</v>
      </c>
    </row>
    <row r="367" ht="15.75" customHeight="1">
      <c r="A367" s="10" t="s">
        <v>205</v>
      </c>
      <c r="B367" s="10" t="s">
        <v>205</v>
      </c>
      <c r="C367" s="10"/>
      <c r="D367" s="10" t="s">
        <v>400</v>
      </c>
      <c r="E367" s="10" t="s">
        <v>29</v>
      </c>
      <c r="F367" s="17">
        <v>0.027042857142857143</v>
      </c>
      <c r="G367" s="17">
        <f t="shared" ref="G367:W367" si="122">IFERROR(G365/G362,0)</f>
        <v>0</v>
      </c>
      <c r="H367" s="17">
        <f t="shared" si="122"/>
        <v>0</v>
      </c>
      <c r="I367" s="17">
        <f t="shared" si="122"/>
        <v>0</v>
      </c>
      <c r="J367" s="17">
        <f t="shared" si="122"/>
        <v>0</v>
      </c>
      <c r="K367" s="17">
        <f t="shared" si="122"/>
        <v>0</v>
      </c>
      <c r="L367" s="17">
        <f t="shared" si="122"/>
        <v>0.002262443439</v>
      </c>
      <c r="M367" s="17">
        <f t="shared" si="122"/>
        <v>0</v>
      </c>
      <c r="N367" s="17">
        <f t="shared" si="122"/>
        <v>0</v>
      </c>
      <c r="O367" s="17">
        <f t="shared" si="122"/>
        <v>0</v>
      </c>
      <c r="P367" s="17">
        <f t="shared" si="122"/>
        <v>0.007476635514</v>
      </c>
      <c r="Q367" s="17">
        <f t="shared" si="122"/>
        <v>0.007425742574</v>
      </c>
      <c r="R367" s="17">
        <f t="shared" si="122"/>
        <v>0.01282051282</v>
      </c>
      <c r="S367" s="17">
        <f t="shared" si="122"/>
        <v>0.01374570447</v>
      </c>
      <c r="T367" s="17">
        <f t="shared" si="122"/>
        <v>0.009174311927</v>
      </c>
      <c r="U367" s="17">
        <f t="shared" si="122"/>
        <v>0.0119047619</v>
      </c>
      <c r="V367" s="17">
        <f t="shared" si="122"/>
        <v>0.01098901099</v>
      </c>
      <c r="W367" s="17">
        <f t="shared" si="122"/>
        <v>0.001883239171</v>
      </c>
    </row>
    <row r="368" ht="15.75" customHeight="1">
      <c r="A368" s="10" t="s">
        <v>205</v>
      </c>
      <c r="B368" s="10" t="s">
        <v>205</v>
      </c>
      <c r="C368" s="10"/>
      <c r="D368" s="10" t="s">
        <v>366</v>
      </c>
      <c r="E368" s="10" t="s">
        <v>257</v>
      </c>
      <c r="F368" s="3">
        <f t="shared" ref="F368:F372" si="123">SUM(G368:S368)</f>
        <v>2072</v>
      </c>
      <c r="G368" s="3">
        <f>SUMIFS('Business - Dump'!$G:$G,'Business - Dump'!$D:$D,'SKU Repoprt'!$D368,'Business - Dump'!$A:$A,'SKU Repoprt'!G$1)</f>
        <v>0</v>
      </c>
      <c r="H368" s="3">
        <f>SUMIFS('Business - Dump'!$G:$G,'Business - Dump'!$D:$D,'SKU Repoprt'!$D368,'Business - Dump'!$A:$A,'SKU Repoprt'!H$1)</f>
        <v>0</v>
      </c>
      <c r="I368" s="3">
        <f>SUMIFS('Business - Dump'!$G:$G,'Business - Dump'!$D:$D,'SKU Repoprt'!$D368,'Business - Dump'!$A:$A,'SKU Repoprt'!I$1)</f>
        <v>0</v>
      </c>
      <c r="J368" s="3">
        <f>SUMIFS('Business - Dump'!$G:$G,'Business - Dump'!$D:$D,'SKU Repoprt'!$D368,'Business - Dump'!$A:$A,'SKU Repoprt'!J$1)</f>
        <v>93</v>
      </c>
      <c r="K368" s="3">
        <f>SUMIFS('Business - Dump'!$G:$G,'Business - Dump'!$D:$D,'SKU Repoprt'!$D368,'Business - Dump'!$A:$A,'SKU Repoprt'!K$1)</f>
        <v>370</v>
      </c>
      <c r="L368" s="3">
        <f>SUMIFS('Business - Dump'!$G:$G,'Business - Dump'!$D:$D,'SKU Repoprt'!$D368,'Business - Dump'!$A:$A,'SKU Repoprt'!L$1)</f>
        <v>0</v>
      </c>
      <c r="M368" s="3">
        <f>SUMIFS('Business - Dump'!$G:$G,'Business - Dump'!$D:$D,'SKU Repoprt'!$D368,'Business - Dump'!$A:$A,'SKU Repoprt'!M$1)</f>
        <v>443</v>
      </c>
      <c r="N368" s="3">
        <f>SUMIFS('Business - Dump'!$G:$G,'Business - Dump'!$D:$D,'SKU Repoprt'!$D368,'Business - Dump'!$A:$A,'SKU Repoprt'!N$1)</f>
        <v>187</v>
      </c>
      <c r="O368" s="3">
        <f>SUMIFS('Business - Dump'!$G:$G,'Business - Dump'!$D:$D,'SKU Repoprt'!$D368,'Business - Dump'!$A:$A,'SKU Repoprt'!O$1)</f>
        <v>123</v>
      </c>
      <c r="P368" s="3">
        <f>SUMIFS('Business - Dump'!$G:$G,'Business - Dump'!$D:$D,'SKU Repoprt'!$D368,'Business - Dump'!$A:$A,'SKU Repoprt'!P$1)</f>
        <v>317</v>
      </c>
      <c r="Q368" s="3">
        <f>SUMIFS('Business - Dump'!$G:$G,'Business - Dump'!$D:$D,'SKU Repoprt'!$D368,'Business - Dump'!$A:$A,'SKU Repoprt'!Q$1)</f>
        <v>256</v>
      </c>
      <c r="R368" s="3">
        <f>SUMIFS('Business - Dump'!$G:$G,'Business - Dump'!$D:$D,'SKU Repoprt'!$D368,'Business - Dump'!$A:$A,'SKU Repoprt'!R$1)</f>
        <v>210</v>
      </c>
      <c r="S368" s="3">
        <f>SUMIFS('Business - Dump'!$G:$G,'Business - Dump'!$D:$D,'SKU Repoprt'!$D368,'Business - Dump'!$A:$A,'SKU Repoprt'!S$1)</f>
        <v>73</v>
      </c>
      <c r="T368" s="3">
        <f>SUMIFS('Business - Dump'!$G:$G,'Business - Dump'!$D:$D,'SKU Repoprt'!$D368,'Business - Dump'!$A:$A,'SKU Repoprt'!T$1)</f>
        <v>138</v>
      </c>
      <c r="U368" s="3">
        <f>SUMIFS('Business - Dump'!$G:$G,'Business - Dump'!$D:$D,'SKU Repoprt'!$D368,'Business - Dump'!$A:$A,'SKU Repoprt'!U$1)</f>
        <v>106</v>
      </c>
      <c r="V368" s="3">
        <f>SUMIFS('Business - Dump'!$G:$G,'Business - Dump'!$D:$D,'SKU Repoprt'!$D368,'Business - Dump'!$A:$A,'SKU Repoprt'!V$1)</f>
        <v>83</v>
      </c>
      <c r="W368" s="3">
        <f>SUMIFS('Business - Dump'!$G:$G,'Business - Dump'!$D:$D,'SKU Repoprt'!$D368,'Business - Dump'!$A:$A,'SKU Repoprt'!W$1)</f>
        <v>477</v>
      </c>
    </row>
    <row r="369" ht="15.75" customHeight="1">
      <c r="A369" s="10" t="s">
        <v>205</v>
      </c>
      <c r="B369" s="10" t="s">
        <v>205</v>
      </c>
      <c r="C369" s="10"/>
      <c r="D369" s="10" t="s">
        <v>366</v>
      </c>
      <c r="E369" s="10" t="s">
        <v>260</v>
      </c>
      <c r="F369" s="3">
        <f t="shared" si="123"/>
        <v>2685</v>
      </c>
      <c r="G369" s="3">
        <f>SUMIFS('Business - Dump'!$K:$K,'Business - Dump'!$D:$D,'SKU Repoprt'!$D369,'Business - Dump'!$A:$A,'SKU Repoprt'!G$1)</f>
        <v>0</v>
      </c>
      <c r="H369" s="3">
        <f>SUMIFS('Business - Dump'!$K:$K,'Business - Dump'!$D:$D,'SKU Repoprt'!$D369,'Business - Dump'!$A:$A,'SKU Repoprt'!H$1)</f>
        <v>0</v>
      </c>
      <c r="I369" s="3">
        <f>SUMIFS('Business - Dump'!$K:$K,'Business - Dump'!$D:$D,'SKU Repoprt'!$D369,'Business - Dump'!$A:$A,'SKU Repoprt'!I$1)</f>
        <v>0</v>
      </c>
      <c r="J369" s="3">
        <f>SUMIFS('Business - Dump'!$K:$K,'Business - Dump'!$D:$D,'SKU Repoprt'!$D369,'Business - Dump'!$A:$A,'SKU Repoprt'!J$1)</f>
        <v>128</v>
      </c>
      <c r="K369" s="3">
        <f>SUMIFS('Business - Dump'!$K:$K,'Business - Dump'!$D:$D,'SKU Repoprt'!$D369,'Business - Dump'!$A:$A,'SKU Repoprt'!K$1)</f>
        <v>499</v>
      </c>
      <c r="L369" s="3">
        <f>SUMIFS('Business - Dump'!$K:$K,'Business - Dump'!$D:$D,'SKU Repoprt'!$D369,'Business - Dump'!$A:$A,'SKU Repoprt'!L$1)</f>
        <v>0</v>
      </c>
      <c r="M369" s="3">
        <f>SUMIFS('Business - Dump'!$K:$K,'Business - Dump'!$D:$D,'SKU Repoprt'!$D369,'Business - Dump'!$A:$A,'SKU Repoprt'!M$1)</f>
        <v>650</v>
      </c>
      <c r="N369" s="3">
        <f>SUMIFS('Business - Dump'!$K:$K,'Business - Dump'!$D:$D,'SKU Repoprt'!$D369,'Business - Dump'!$A:$A,'SKU Repoprt'!N$1)</f>
        <v>247</v>
      </c>
      <c r="O369" s="3">
        <f>SUMIFS('Business - Dump'!$K:$K,'Business - Dump'!$D:$D,'SKU Repoprt'!$D369,'Business - Dump'!$A:$A,'SKU Repoprt'!O$1)</f>
        <v>147</v>
      </c>
      <c r="P369" s="3">
        <f>SUMIFS('Business - Dump'!$K:$K,'Business - Dump'!$D:$D,'SKU Repoprt'!$D369,'Business - Dump'!$A:$A,'SKU Repoprt'!P$1)</f>
        <v>366</v>
      </c>
      <c r="Q369" s="3">
        <f>SUMIFS('Business - Dump'!$K:$K,'Business - Dump'!$D:$D,'SKU Repoprt'!$D369,'Business - Dump'!$A:$A,'SKU Repoprt'!Q$1)</f>
        <v>318</v>
      </c>
      <c r="R369" s="3">
        <f>SUMIFS('Business - Dump'!$K:$K,'Business - Dump'!$D:$D,'SKU Repoprt'!$D369,'Business - Dump'!$A:$A,'SKU Repoprt'!R$1)</f>
        <v>245</v>
      </c>
      <c r="S369" s="3">
        <f>SUMIFS('Business - Dump'!$K:$K,'Business - Dump'!$D:$D,'SKU Repoprt'!$D369,'Business - Dump'!$A:$A,'SKU Repoprt'!S$1)</f>
        <v>85</v>
      </c>
      <c r="T369" s="3">
        <f>SUMIFS('Business - Dump'!$K:$K,'Business - Dump'!$D:$D,'SKU Repoprt'!$D369,'Business - Dump'!$A:$A,'SKU Repoprt'!T$1)</f>
        <v>187</v>
      </c>
      <c r="U369" s="3">
        <f>SUMIFS('Business - Dump'!$K:$K,'Business - Dump'!$D:$D,'SKU Repoprt'!$D369,'Business - Dump'!$A:$A,'SKU Repoprt'!U$1)</f>
        <v>138</v>
      </c>
      <c r="V369" s="3">
        <f>SUMIFS('Business - Dump'!$K:$K,'Business - Dump'!$D:$D,'SKU Repoprt'!$D369,'Business - Dump'!$A:$A,'SKU Repoprt'!V$1)</f>
        <v>109</v>
      </c>
      <c r="W369" s="3">
        <f>SUMIFS('Business - Dump'!$K:$K,'Business - Dump'!$D:$D,'SKU Repoprt'!$D369,'Business - Dump'!$A:$A,'SKU Repoprt'!W$1)</f>
        <v>646</v>
      </c>
    </row>
    <row r="370" ht="15.75" customHeight="1">
      <c r="A370" s="10" t="s">
        <v>205</v>
      </c>
      <c r="B370" s="10" t="s">
        <v>205</v>
      </c>
      <c r="C370" s="10"/>
      <c r="D370" s="10" t="s">
        <v>366</v>
      </c>
      <c r="E370" s="10" t="s">
        <v>264</v>
      </c>
      <c r="F370" s="3">
        <f t="shared" si="123"/>
        <v>4</v>
      </c>
      <c r="G370" s="3">
        <f>SUMIFS('Business - Dump'!$Q:$Q,'Business - Dump'!$D:$D,'SKU Repoprt'!$D370,'Business - Dump'!$A:$A,'SKU Repoprt'!G$1)</f>
        <v>0</v>
      </c>
      <c r="H370" s="3">
        <f>SUMIFS('Business - Dump'!$Q:$Q,'Business - Dump'!$D:$D,'SKU Repoprt'!$D370,'Business - Dump'!$A:$A,'SKU Repoprt'!H$1)</f>
        <v>0</v>
      </c>
      <c r="I370" s="3">
        <f>SUMIFS('Business - Dump'!$Q:$Q,'Business - Dump'!$D:$D,'SKU Repoprt'!$D370,'Business - Dump'!$A:$A,'SKU Repoprt'!I$1)</f>
        <v>0</v>
      </c>
      <c r="J370" s="3">
        <f>SUMIFS('Business - Dump'!$Q:$Q,'Business - Dump'!$D:$D,'SKU Repoprt'!$D370,'Business - Dump'!$A:$A,'SKU Repoprt'!J$1)</f>
        <v>1</v>
      </c>
      <c r="K370" s="3">
        <f>SUMIFS('Business - Dump'!$Q:$Q,'Business - Dump'!$D:$D,'SKU Repoprt'!$D370,'Business - Dump'!$A:$A,'SKU Repoprt'!K$1)</f>
        <v>2</v>
      </c>
      <c r="L370" s="3">
        <f>SUMIFS('Business - Dump'!$Q:$Q,'Business - Dump'!$D:$D,'SKU Repoprt'!$D370,'Business - Dump'!$A:$A,'SKU Repoprt'!L$1)</f>
        <v>0</v>
      </c>
      <c r="M370" s="3">
        <f>SUMIFS('Business - Dump'!$Q:$Q,'Business - Dump'!$D:$D,'SKU Repoprt'!$D370,'Business - Dump'!$A:$A,'SKU Repoprt'!M$1)</f>
        <v>1</v>
      </c>
      <c r="N370" s="3">
        <f>SUMIFS('Business - Dump'!$Q:$Q,'Business - Dump'!$D:$D,'SKU Repoprt'!$D370,'Business - Dump'!$A:$A,'SKU Repoprt'!N$1)</f>
        <v>0</v>
      </c>
      <c r="O370" s="3">
        <f>SUMIFS('Business - Dump'!$Q:$Q,'Business - Dump'!$D:$D,'SKU Repoprt'!$D370,'Business - Dump'!$A:$A,'SKU Repoprt'!O$1)</f>
        <v>0</v>
      </c>
      <c r="P370" s="3">
        <f>SUMIFS('Business - Dump'!$Q:$Q,'Business - Dump'!$D:$D,'SKU Repoprt'!$D370,'Business - Dump'!$A:$A,'SKU Repoprt'!P$1)</f>
        <v>0</v>
      </c>
      <c r="Q370" s="3">
        <f>SUMIFS('Business - Dump'!$Q:$Q,'Business - Dump'!$D:$D,'SKU Repoprt'!$D370,'Business - Dump'!$A:$A,'SKU Repoprt'!Q$1)</f>
        <v>0</v>
      </c>
      <c r="R370" s="3">
        <f>SUMIFS('Business - Dump'!$Q:$Q,'Business - Dump'!$D:$D,'SKU Repoprt'!$D370,'Business - Dump'!$A:$A,'SKU Repoprt'!R$1)</f>
        <v>0</v>
      </c>
      <c r="S370" s="3">
        <f>SUMIFS('Business - Dump'!$Q:$Q,'Business - Dump'!$D:$D,'SKU Repoprt'!$D370,'Business - Dump'!$A:$A,'SKU Repoprt'!S$1)</f>
        <v>0</v>
      </c>
      <c r="T370" s="3">
        <f>SUMIFS('Business - Dump'!$Q:$Q,'Business - Dump'!$D:$D,'SKU Repoprt'!$D370,'Business - Dump'!$A:$A,'SKU Repoprt'!T$1)</f>
        <v>1</v>
      </c>
      <c r="U370" s="3">
        <f>SUMIFS('Business - Dump'!$Q:$Q,'Business - Dump'!$D:$D,'SKU Repoprt'!$D370,'Business - Dump'!$A:$A,'SKU Repoprt'!U$1)</f>
        <v>0</v>
      </c>
      <c r="V370" s="3">
        <f>SUMIFS('Business - Dump'!$Q:$Q,'Business - Dump'!$D:$D,'SKU Repoprt'!$D370,'Business - Dump'!$A:$A,'SKU Repoprt'!V$1)</f>
        <v>0</v>
      </c>
      <c r="W370" s="3">
        <f>SUMIFS('Business - Dump'!$Q:$Q,'Business - Dump'!$D:$D,'SKU Repoprt'!$D370,'Business - Dump'!$A:$A,'SKU Repoprt'!W$1)</f>
        <v>0</v>
      </c>
    </row>
    <row r="371" ht="15.75" customHeight="1">
      <c r="A371" s="10" t="s">
        <v>205</v>
      </c>
      <c r="B371" s="10" t="s">
        <v>205</v>
      </c>
      <c r="C371" s="10"/>
      <c r="D371" s="10" t="s">
        <v>366</v>
      </c>
      <c r="E371" s="10" t="s">
        <v>268</v>
      </c>
      <c r="F371" s="3">
        <f t="shared" si="123"/>
        <v>4</v>
      </c>
      <c r="G371" s="3">
        <f>SUMIFS('Business - Dump'!$W:$W,'Business - Dump'!$D:$D,'SKU Repoprt'!$D371,'Business - Dump'!$A:$A,'SKU Repoprt'!G$1)</f>
        <v>0</v>
      </c>
      <c r="H371" s="3">
        <f>SUMIFS('Business - Dump'!$W:$W,'Business - Dump'!$D:$D,'SKU Repoprt'!$D371,'Business - Dump'!$A:$A,'SKU Repoprt'!H$1)</f>
        <v>0</v>
      </c>
      <c r="I371" s="3">
        <f>SUMIFS('Business - Dump'!$W:$W,'Business - Dump'!$D:$D,'SKU Repoprt'!$D371,'Business - Dump'!$A:$A,'SKU Repoprt'!I$1)</f>
        <v>0</v>
      </c>
      <c r="J371" s="3">
        <f>SUMIFS('Business - Dump'!$W:$W,'Business - Dump'!$D:$D,'SKU Repoprt'!$D371,'Business - Dump'!$A:$A,'SKU Repoprt'!J$1)</f>
        <v>1</v>
      </c>
      <c r="K371" s="3">
        <f>SUMIFS('Business - Dump'!$W:$W,'Business - Dump'!$D:$D,'SKU Repoprt'!$D371,'Business - Dump'!$A:$A,'SKU Repoprt'!K$1)</f>
        <v>2</v>
      </c>
      <c r="L371" s="3">
        <f>SUMIFS('Business - Dump'!$W:$W,'Business - Dump'!$D:$D,'SKU Repoprt'!$D371,'Business - Dump'!$A:$A,'SKU Repoprt'!L$1)</f>
        <v>0</v>
      </c>
      <c r="M371" s="3">
        <f>SUMIFS('Business - Dump'!$W:$W,'Business - Dump'!$D:$D,'SKU Repoprt'!$D371,'Business - Dump'!$A:$A,'SKU Repoprt'!M$1)</f>
        <v>1</v>
      </c>
      <c r="N371" s="3">
        <f>SUMIFS('Business - Dump'!$W:$W,'Business - Dump'!$D:$D,'SKU Repoprt'!$D371,'Business - Dump'!$A:$A,'SKU Repoprt'!N$1)</f>
        <v>0</v>
      </c>
      <c r="O371" s="3">
        <f>SUMIFS('Business - Dump'!$W:$W,'Business - Dump'!$D:$D,'SKU Repoprt'!$D371,'Business - Dump'!$A:$A,'SKU Repoprt'!O$1)</f>
        <v>0</v>
      </c>
      <c r="P371" s="3">
        <f>SUMIFS('Business - Dump'!$W:$W,'Business - Dump'!$D:$D,'SKU Repoprt'!$D371,'Business - Dump'!$A:$A,'SKU Repoprt'!P$1)</f>
        <v>0</v>
      </c>
      <c r="Q371" s="3">
        <f>SUMIFS('Business - Dump'!$W:$W,'Business - Dump'!$D:$D,'SKU Repoprt'!$D371,'Business - Dump'!$A:$A,'SKU Repoprt'!Q$1)</f>
        <v>0</v>
      </c>
      <c r="R371" s="3">
        <f>SUMIFS('Business - Dump'!$W:$W,'Business - Dump'!$D:$D,'SKU Repoprt'!$D371,'Business - Dump'!$A:$A,'SKU Repoprt'!R$1)</f>
        <v>0</v>
      </c>
      <c r="S371" s="3">
        <f>SUMIFS('Business - Dump'!$W:$W,'Business - Dump'!$D:$D,'SKU Repoprt'!$D371,'Business - Dump'!$A:$A,'SKU Repoprt'!S$1)</f>
        <v>0</v>
      </c>
      <c r="T371" s="3">
        <f>SUMIFS('Business - Dump'!$W:$W,'Business - Dump'!$D:$D,'SKU Repoprt'!$D371,'Business - Dump'!$A:$A,'SKU Repoprt'!T$1)</f>
        <v>1</v>
      </c>
      <c r="U371" s="3">
        <f>SUMIFS('Business - Dump'!$W:$W,'Business - Dump'!$D:$D,'SKU Repoprt'!$D371,'Business - Dump'!$A:$A,'SKU Repoprt'!U$1)</f>
        <v>0</v>
      </c>
      <c r="V371" s="3">
        <f>SUMIFS('Business - Dump'!$W:$W,'Business - Dump'!$D:$D,'SKU Repoprt'!$D371,'Business - Dump'!$A:$A,'SKU Repoprt'!V$1)</f>
        <v>0</v>
      </c>
      <c r="W371" s="3">
        <f>SUMIFS('Business - Dump'!$W:$W,'Business - Dump'!$D:$D,'SKU Repoprt'!$D371,'Business - Dump'!$A:$A,'SKU Repoprt'!W$1)</f>
        <v>0</v>
      </c>
    </row>
    <row r="372" ht="15.75" customHeight="1">
      <c r="A372" s="10" t="s">
        <v>205</v>
      </c>
      <c r="B372" s="10" t="s">
        <v>205</v>
      </c>
      <c r="C372" s="10"/>
      <c r="D372" s="10" t="s">
        <v>366</v>
      </c>
      <c r="E372" s="10" t="s">
        <v>26</v>
      </c>
      <c r="F372" s="16">
        <f t="shared" si="123"/>
        <v>162500</v>
      </c>
      <c r="G372" s="16">
        <f>SUMIFS('Business - Dump'!$U:$U,'Business - Dump'!$D:$D,'SKU Repoprt'!$D372,'Business - Dump'!$A:$A,'SKU Repoprt'!G$1)</f>
        <v>0</v>
      </c>
      <c r="H372" s="16">
        <f>SUMIFS('Business - Dump'!$U:$U,'Business - Dump'!$D:$D,'SKU Repoprt'!$D372,'Business - Dump'!$A:$A,'SKU Repoprt'!H$1)</f>
        <v>0</v>
      </c>
      <c r="I372" s="16">
        <f>SUMIFS('Business - Dump'!$U:$U,'Business - Dump'!$D:$D,'SKU Repoprt'!$D372,'Business - Dump'!$A:$A,'SKU Repoprt'!I$1)</f>
        <v>0</v>
      </c>
      <c r="J372" s="16">
        <f>SUMIFS('Business - Dump'!$U:$U,'Business - Dump'!$D:$D,'SKU Repoprt'!$D372,'Business - Dump'!$A:$A,'SKU Repoprt'!J$1)</f>
        <v>40500</v>
      </c>
      <c r="K372" s="16">
        <f>SUMIFS('Business - Dump'!$U:$U,'Business - Dump'!$D:$D,'SKU Repoprt'!$D372,'Business - Dump'!$A:$A,'SKU Repoprt'!K$1)</f>
        <v>82000</v>
      </c>
      <c r="L372" s="16">
        <f>SUMIFS('Business - Dump'!$U:$U,'Business - Dump'!$D:$D,'SKU Repoprt'!$D372,'Business - Dump'!$A:$A,'SKU Repoprt'!L$1)</f>
        <v>0</v>
      </c>
      <c r="M372" s="16">
        <f>SUMIFS('Business - Dump'!$U:$U,'Business - Dump'!$D:$D,'SKU Repoprt'!$D372,'Business - Dump'!$A:$A,'SKU Repoprt'!M$1)</f>
        <v>40000</v>
      </c>
      <c r="N372" s="16">
        <f>SUMIFS('Business - Dump'!$U:$U,'Business - Dump'!$D:$D,'SKU Repoprt'!$D372,'Business - Dump'!$A:$A,'SKU Repoprt'!N$1)</f>
        <v>0</v>
      </c>
      <c r="O372" s="16">
        <f>SUMIFS('Business - Dump'!$U:$U,'Business - Dump'!$D:$D,'SKU Repoprt'!$D372,'Business - Dump'!$A:$A,'SKU Repoprt'!O$1)</f>
        <v>0</v>
      </c>
      <c r="P372" s="16">
        <f>SUMIFS('Business - Dump'!$U:$U,'Business - Dump'!$D:$D,'SKU Repoprt'!$D372,'Business - Dump'!$A:$A,'SKU Repoprt'!P$1)</f>
        <v>0</v>
      </c>
      <c r="Q372" s="16">
        <f>SUMIFS('Business - Dump'!$U:$U,'Business - Dump'!$D:$D,'SKU Repoprt'!$D372,'Business - Dump'!$A:$A,'SKU Repoprt'!Q$1)</f>
        <v>0</v>
      </c>
      <c r="R372" s="16">
        <f>SUMIFS('Business - Dump'!$U:$U,'Business - Dump'!$D:$D,'SKU Repoprt'!$D372,'Business - Dump'!$A:$A,'SKU Repoprt'!R$1)</f>
        <v>0</v>
      </c>
      <c r="S372" s="16">
        <f>SUMIFS('Business - Dump'!$U:$U,'Business - Dump'!$D:$D,'SKU Repoprt'!$D372,'Business - Dump'!$A:$A,'SKU Repoprt'!S$1)</f>
        <v>0</v>
      </c>
      <c r="T372" s="16">
        <f>SUMIFS('Business - Dump'!$U:$U,'Business - Dump'!$D:$D,'SKU Repoprt'!$D372,'Business - Dump'!$A:$A,'SKU Repoprt'!T$1)</f>
        <v>40860</v>
      </c>
      <c r="U372" s="16">
        <f>SUMIFS('Business - Dump'!$U:$U,'Business - Dump'!$D:$D,'SKU Repoprt'!$D372,'Business - Dump'!$A:$A,'SKU Repoprt'!U$1)</f>
        <v>0</v>
      </c>
      <c r="V372" s="16">
        <f>SUMIFS('Business - Dump'!$U:$U,'Business - Dump'!$D:$D,'SKU Repoprt'!$D372,'Business - Dump'!$A:$A,'SKU Repoprt'!V$1)</f>
        <v>0</v>
      </c>
      <c r="W372" s="16">
        <f>SUMIFS('Business - Dump'!$U:$U,'Business - Dump'!$D:$D,'SKU Repoprt'!$D372,'Business - Dump'!$A:$A,'SKU Repoprt'!W$1)</f>
        <v>0</v>
      </c>
    </row>
    <row r="373" ht="15.75" customHeight="1">
      <c r="A373" s="10" t="s">
        <v>205</v>
      </c>
      <c r="B373" s="10" t="s">
        <v>205</v>
      </c>
      <c r="C373" s="10"/>
      <c r="D373" s="10" t="s">
        <v>366</v>
      </c>
      <c r="E373" s="10" t="s">
        <v>29</v>
      </c>
      <c r="F373" s="17">
        <v>0.027042857142857143</v>
      </c>
      <c r="G373" s="17">
        <f t="shared" ref="G373:W373" si="124">IFERROR(G371/G368,0)</f>
        <v>0</v>
      </c>
      <c r="H373" s="17">
        <f t="shared" si="124"/>
        <v>0</v>
      </c>
      <c r="I373" s="17">
        <f t="shared" si="124"/>
        <v>0</v>
      </c>
      <c r="J373" s="17">
        <f t="shared" si="124"/>
        <v>0.01075268817</v>
      </c>
      <c r="K373" s="17">
        <f t="shared" si="124"/>
        <v>0.005405405405</v>
      </c>
      <c r="L373" s="17">
        <f t="shared" si="124"/>
        <v>0</v>
      </c>
      <c r="M373" s="17">
        <f t="shared" si="124"/>
        <v>0.002257336343</v>
      </c>
      <c r="N373" s="17">
        <f t="shared" si="124"/>
        <v>0</v>
      </c>
      <c r="O373" s="17">
        <f t="shared" si="124"/>
        <v>0</v>
      </c>
      <c r="P373" s="17">
        <f t="shared" si="124"/>
        <v>0</v>
      </c>
      <c r="Q373" s="17">
        <f t="shared" si="124"/>
        <v>0</v>
      </c>
      <c r="R373" s="17">
        <f t="shared" si="124"/>
        <v>0</v>
      </c>
      <c r="S373" s="17">
        <f t="shared" si="124"/>
        <v>0</v>
      </c>
      <c r="T373" s="17">
        <f t="shared" si="124"/>
        <v>0.007246376812</v>
      </c>
      <c r="U373" s="17">
        <f t="shared" si="124"/>
        <v>0</v>
      </c>
      <c r="V373" s="17">
        <f t="shared" si="124"/>
        <v>0</v>
      </c>
      <c r="W373" s="17">
        <f t="shared" si="124"/>
        <v>0</v>
      </c>
    </row>
    <row r="374" ht="15.75" customHeight="1">
      <c r="A374" s="10" t="s">
        <v>152</v>
      </c>
      <c r="B374" s="10" t="s">
        <v>152</v>
      </c>
      <c r="C374" s="10"/>
      <c r="D374" s="10" t="s">
        <v>411</v>
      </c>
      <c r="E374" s="10" t="s">
        <v>257</v>
      </c>
      <c r="F374" s="3">
        <f t="shared" ref="F374:F378" si="125">SUM(G374:S374)</f>
        <v>1</v>
      </c>
      <c r="G374" s="3">
        <f>SUMIFS('Business - Dump'!$G:$G,'Business - Dump'!$D:$D,'SKU Repoprt'!$D374,'Business - Dump'!$A:$A,'SKU Repoprt'!G$1)</f>
        <v>0</v>
      </c>
      <c r="H374" s="3">
        <f>SUMIFS('Business - Dump'!$G:$G,'Business - Dump'!$D:$D,'SKU Repoprt'!$D374,'Business - Dump'!$A:$A,'SKU Repoprt'!H$1)</f>
        <v>0</v>
      </c>
      <c r="I374" s="3">
        <f>SUMIFS('Business - Dump'!$G:$G,'Business - Dump'!$D:$D,'SKU Repoprt'!$D374,'Business - Dump'!$A:$A,'SKU Repoprt'!I$1)</f>
        <v>0</v>
      </c>
      <c r="J374" s="3">
        <f>SUMIFS('Business - Dump'!$G:$G,'Business - Dump'!$D:$D,'SKU Repoprt'!$D374,'Business - Dump'!$A:$A,'SKU Repoprt'!J$1)</f>
        <v>0</v>
      </c>
      <c r="K374" s="3">
        <f>SUMIFS('Business - Dump'!$G:$G,'Business - Dump'!$D:$D,'SKU Repoprt'!$D374,'Business - Dump'!$A:$A,'SKU Repoprt'!K$1)</f>
        <v>0</v>
      </c>
      <c r="L374" s="3">
        <f>SUMIFS('Business - Dump'!$G:$G,'Business - Dump'!$D:$D,'SKU Repoprt'!$D374,'Business - Dump'!$A:$A,'SKU Repoprt'!L$1)</f>
        <v>0</v>
      </c>
      <c r="M374" s="3">
        <f>SUMIFS('Business - Dump'!$G:$G,'Business - Dump'!$D:$D,'SKU Repoprt'!$D374,'Business - Dump'!$A:$A,'SKU Repoprt'!M$1)</f>
        <v>0</v>
      </c>
      <c r="N374" s="3">
        <f>SUMIFS('Business - Dump'!$G:$G,'Business - Dump'!$D:$D,'SKU Repoprt'!$D374,'Business - Dump'!$A:$A,'SKU Repoprt'!N$1)</f>
        <v>0</v>
      </c>
      <c r="O374" s="3">
        <f>SUMIFS('Business - Dump'!$G:$G,'Business - Dump'!$D:$D,'SKU Repoprt'!$D374,'Business - Dump'!$A:$A,'SKU Repoprt'!O$1)</f>
        <v>0</v>
      </c>
      <c r="P374" s="3">
        <f>SUMIFS('Business - Dump'!$G:$G,'Business - Dump'!$D:$D,'SKU Repoprt'!$D374,'Business - Dump'!$A:$A,'SKU Repoprt'!P$1)</f>
        <v>0</v>
      </c>
      <c r="Q374" s="3">
        <f>SUMIFS('Business - Dump'!$G:$G,'Business - Dump'!$D:$D,'SKU Repoprt'!$D374,'Business - Dump'!$A:$A,'SKU Repoprt'!Q$1)</f>
        <v>0</v>
      </c>
      <c r="R374" s="3">
        <f>SUMIFS('Business - Dump'!$G:$G,'Business - Dump'!$D:$D,'SKU Repoprt'!$D374,'Business - Dump'!$A:$A,'SKU Repoprt'!R$1)</f>
        <v>1</v>
      </c>
      <c r="S374" s="3">
        <f>SUMIFS('Business - Dump'!$G:$G,'Business - Dump'!$D:$D,'SKU Repoprt'!$D374,'Business - Dump'!$A:$A,'SKU Repoprt'!S$1)</f>
        <v>0</v>
      </c>
      <c r="T374" s="3">
        <f>SUMIFS('Business - Dump'!$G:$G,'Business - Dump'!$D:$D,'SKU Repoprt'!$D374,'Business - Dump'!$A:$A,'SKU Repoprt'!T$1)</f>
        <v>0</v>
      </c>
      <c r="U374" s="3">
        <f>SUMIFS('Business - Dump'!$G:$G,'Business - Dump'!$D:$D,'SKU Repoprt'!$D374,'Business - Dump'!$A:$A,'SKU Repoprt'!U$1)</f>
        <v>0</v>
      </c>
      <c r="V374" s="3">
        <f>SUMIFS('Business - Dump'!$G:$G,'Business - Dump'!$D:$D,'SKU Repoprt'!$D374,'Business - Dump'!$A:$A,'SKU Repoprt'!V$1)</f>
        <v>0</v>
      </c>
      <c r="W374" s="3">
        <f>SUMIFS('Business - Dump'!$G:$G,'Business - Dump'!$D:$D,'SKU Repoprt'!$D374,'Business - Dump'!$A:$A,'SKU Repoprt'!W$1)</f>
        <v>0</v>
      </c>
    </row>
    <row r="375" ht="15.75" customHeight="1">
      <c r="A375" s="10" t="s">
        <v>152</v>
      </c>
      <c r="B375" s="10" t="s">
        <v>152</v>
      </c>
      <c r="C375" s="10"/>
      <c r="D375" s="10" t="s">
        <v>411</v>
      </c>
      <c r="E375" s="10" t="s">
        <v>260</v>
      </c>
      <c r="F375" s="3">
        <f t="shared" si="125"/>
        <v>1</v>
      </c>
      <c r="G375" s="3">
        <f>SUMIFS('Business - Dump'!$K:$K,'Business - Dump'!$D:$D,'SKU Repoprt'!$D375,'Business - Dump'!$A:$A,'SKU Repoprt'!G$1)</f>
        <v>0</v>
      </c>
      <c r="H375" s="3">
        <f>SUMIFS('Business - Dump'!$K:$K,'Business - Dump'!$D:$D,'SKU Repoprt'!$D375,'Business - Dump'!$A:$A,'SKU Repoprt'!H$1)</f>
        <v>0</v>
      </c>
      <c r="I375" s="3">
        <f>SUMIFS('Business - Dump'!$K:$K,'Business - Dump'!$D:$D,'SKU Repoprt'!$D375,'Business - Dump'!$A:$A,'SKU Repoprt'!I$1)</f>
        <v>0</v>
      </c>
      <c r="J375" s="3">
        <f>SUMIFS('Business - Dump'!$K:$K,'Business - Dump'!$D:$D,'SKU Repoprt'!$D375,'Business - Dump'!$A:$A,'SKU Repoprt'!J$1)</f>
        <v>0</v>
      </c>
      <c r="K375" s="3">
        <f>SUMIFS('Business - Dump'!$K:$K,'Business - Dump'!$D:$D,'SKU Repoprt'!$D375,'Business - Dump'!$A:$A,'SKU Repoprt'!K$1)</f>
        <v>0</v>
      </c>
      <c r="L375" s="3">
        <f>SUMIFS('Business - Dump'!$K:$K,'Business - Dump'!$D:$D,'SKU Repoprt'!$D375,'Business - Dump'!$A:$A,'SKU Repoprt'!L$1)</f>
        <v>0</v>
      </c>
      <c r="M375" s="3">
        <f>SUMIFS('Business - Dump'!$K:$K,'Business - Dump'!$D:$D,'SKU Repoprt'!$D375,'Business - Dump'!$A:$A,'SKU Repoprt'!M$1)</f>
        <v>0</v>
      </c>
      <c r="N375" s="3">
        <f>SUMIFS('Business - Dump'!$K:$K,'Business - Dump'!$D:$D,'SKU Repoprt'!$D375,'Business - Dump'!$A:$A,'SKU Repoprt'!N$1)</f>
        <v>0</v>
      </c>
      <c r="O375" s="3">
        <f>SUMIFS('Business - Dump'!$K:$K,'Business - Dump'!$D:$D,'SKU Repoprt'!$D375,'Business - Dump'!$A:$A,'SKU Repoprt'!O$1)</f>
        <v>0</v>
      </c>
      <c r="P375" s="3">
        <f>SUMIFS('Business - Dump'!$K:$K,'Business - Dump'!$D:$D,'SKU Repoprt'!$D375,'Business - Dump'!$A:$A,'SKU Repoprt'!P$1)</f>
        <v>0</v>
      </c>
      <c r="Q375" s="3">
        <f>SUMIFS('Business - Dump'!$K:$K,'Business - Dump'!$D:$D,'SKU Repoprt'!$D375,'Business - Dump'!$A:$A,'SKU Repoprt'!Q$1)</f>
        <v>0</v>
      </c>
      <c r="R375" s="3">
        <f>SUMIFS('Business - Dump'!$K:$K,'Business - Dump'!$D:$D,'SKU Repoprt'!$D375,'Business - Dump'!$A:$A,'SKU Repoprt'!R$1)</f>
        <v>1</v>
      </c>
      <c r="S375" s="3">
        <f>SUMIFS('Business - Dump'!$K:$K,'Business - Dump'!$D:$D,'SKU Repoprt'!$D375,'Business - Dump'!$A:$A,'SKU Repoprt'!S$1)</f>
        <v>0</v>
      </c>
      <c r="T375" s="3">
        <f>SUMIFS('Business - Dump'!$K:$K,'Business - Dump'!$D:$D,'SKU Repoprt'!$D375,'Business - Dump'!$A:$A,'SKU Repoprt'!T$1)</f>
        <v>0</v>
      </c>
      <c r="U375" s="3">
        <f>SUMIFS('Business - Dump'!$K:$K,'Business - Dump'!$D:$D,'SKU Repoprt'!$D375,'Business - Dump'!$A:$A,'SKU Repoprt'!U$1)</f>
        <v>0</v>
      </c>
      <c r="V375" s="3">
        <f>SUMIFS('Business - Dump'!$K:$K,'Business - Dump'!$D:$D,'SKU Repoprt'!$D375,'Business - Dump'!$A:$A,'SKU Repoprt'!V$1)</f>
        <v>0</v>
      </c>
      <c r="W375" s="3">
        <f>SUMIFS('Business - Dump'!$K:$K,'Business - Dump'!$D:$D,'SKU Repoprt'!$D375,'Business - Dump'!$A:$A,'SKU Repoprt'!W$1)</f>
        <v>0</v>
      </c>
    </row>
    <row r="376" ht="15.75" customHeight="1">
      <c r="A376" s="10" t="s">
        <v>152</v>
      </c>
      <c r="B376" s="10" t="s">
        <v>152</v>
      </c>
      <c r="C376" s="10"/>
      <c r="D376" s="10" t="s">
        <v>411</v>
      </c>
      <c r="E376" s="10" t="s">
        <v>264</v>
      </c>
      <c r="F376" s="3">
        <f t="shared" si="125"/>
        <v>0</v>
      </c>
      <c r="G376" s="3">
        <f>SUMIFS('Business - Dump'!$Q:$Q,'Business - Dump'!$D:$D,'SKU Repoprt'!$D376,'Business - Dump'!$A:$A,'SKU Repoprt'!G$1)</f>
        <v>0</v>
      </c>
      <c r="H376" s="3">
        <f>SUMIFS('Business - Dump'!$Q:$Q,'Business - Dump'!$D:$D,'SKU Repoprt'!$D376,'Business - Dump'!$A:$A,'SKU Repoprt'!H$1)</f>
        <v>0</v>
      </c>
      <c r="I376" s="3">
        <f>SUMIFS('Business - Dump'!$Q:$Q,'Business - Dump'!$D:$D,'SKU Repoprt'!$D376,'Business - Dump'!$A:$A,'SKU Repoprt'!I$1)</f>
        <v>0</v>
      </c>
      <c r="J376" s="3">
        <f>SUMIFS('Business - Dump'!$Q:$Q,'Business - Dump'!$D:$D,'SKU Repoprt'!$D376,'Business - Dump'!$A:$A,'SKU Repoprt'!J$1)</f>
        <v>0</v>
      </c>
      <c r="K376" s="3">
        <f>SUMIFS('Business - Dump'!$Q:$Q,'Business - Dump'!$D:$D,'SKU Repoprt'!$D376,'Business - Dump'!$A:$A,'SKU Repoprt'!K$1)</f>
        <v>0</v>
      </c>
      <c r="L376" s="3">
        <f>SUMIFS('Business - Dump'!$Q:$Q,'Business - Dump'!$D:$D,'SKU Repoprt'!$D376,'Business - Dump'!$A:$A,'SKU Repoprt'!L$1)</f>
        <v>0</v>
      </c>
      <c r="M376" s="3">
        <f>SUMIFS('Business - Dump'!$Q:$Q,'Business - Dump'!$D:$D,'SKU Repoprt'!$D376,'Business - Dump'!$A:$A,'SKU Repoprt'!M$1)</f>
        <v>0</v>
      </c>
      <c r="N376" s="3">
        <f>SUMIFS('Business - Dump'!$Q:$Q,'Business - Dump'!$D:$D,'SKU Repoprt'!$D376,'Business - Dump'!$A:$A,'SKU Repoprt'!N$1)</f>
        <v>0</v>
      </c>
      <c r="O376" s="3">
        <f>SUMIFS('Business - Dump'!$Q:$Q,'Business - Dump'!$D:$D,'SKU Repoprt'!$D376,'Business - Dump'!$A:$A,'SKU Repoprt'!O$1)</f>
        <v>0</v>
      </c>
      <c r="P376" s="3">
        <f>SUMIFS('Business - Dump'!$Q:$Q,'Business - Dump'!$D:$D,'SKU Repoprt'!$D376,'Business - Dump'!$A:$A,'SKU Repoprt'!P$1)</f>
        <v>0</v>
      </c>
      <c r="Q376" s="3">
        <f>SUMIFS('Business - Dump'!$Q:$Q,'Business - Dump'!$D:$D,'SKU Repoprt'!$D376,'Business - Dump'!$A:$A,'SKU Repoprt'!Q$1)</f>
        <v>0</v>
      </c>
      <c r="R376" s="3">
        <f>SUMIFS('Business - Dump'!$Q:$Q,'Business - Dump'!$D:$D,'SKU Repoprt'!$D376,'Business - Dump'!$A:$A,'SKU Repoprt'!R$1)</f>
        <v>0</v>
      </c>
      <c r="S376" s="3">
        <f>SUMIFS('Business - Dump'!$Q:$Q,'Business - Dump'!$D:$D,'SKU Repoprt'!$D376,'Business - Dump'!$A:$A,'SKU Repoprt'!S$1)</f>
        <v>0</v>
      </c>
      <c r="T376" s="3">
        <f>SUMIFS('Business - Dump'!$Q:$Q,'Business - Dump'!$D:$D,'SKU Repoprt'!$D376,'Business - Dump'!$A:$A,'SKU Repoprt'!T$1)</f>
        <v>0</v>
      </c>
      <c r="U376" s="3">
        <f>SUMIFS('Business - Dump'!$Q:$Q,'Business - Dump'!$D:$D,'SKU Repoprt'!$D376,'Business - Dump'!$A:$A,'SKU Repoprt'!U$1)</f>
        <v>0</v>
      </c>
      <c r="V376" s="3">
        <f>SUMIFS('Business - Dump'!$Q:$Q,'Business - Dump'!$D:$D,'SKU Repoprt'!$D376,'Business - Dump'!$A:$A,'SKU Repoprt'!V$1)</f>
        <v>0</v>
      </c>
      <c r="W376" s="3">
        <f>SUMIFS('Business - Dump'!$Q:$Q,'Business - Dump'!$D:$D,'SKU Repoprt'!$D376,'Business - Dump'!$A:$A,'SKU Repoprt'!W$1)</f>
        <v>0</v>
      </c>
    </row>
    <row r="377" ht="15.75" customHeight="1">
      <c r="A377" s="10" t="s">
        <v>152</v>
      </c>
      <c r="B377" s="10" t="s">
        <v>152</v>
      </c>
      <c r="C377" s="10"/>
      <c r="D377" s="10" t="s">
        <v>411</v>
      </c>
      <c r="E377" s="10" t="s">
        <v>268</v>
      </c>
      <c r="F377" s="3">
        <f t="shared" si="125"/>
        <v>0</v>
      </c>
      <c r="G377" s="3">
        <f>SUMIFS('Business - Dump'!$W:$W,'Business - Dump'!$D:$D,'SKU Repoprt'!$D377,'Business - Dump'!$A:$A,'SKU Repoprt'!G$1)</f>
        <v>0</v>
      </c>
      <c r="H377" s="3">
        <f>SUMIFS('Business - Dump'!$W:$W,'Business - Dump'!$D:$D,'SKU Repoprt'!$D377,'Business - Dump'!$A:$A,'SKU Repoprt'!H$1)</f>
        <v>0</v>
      </c>
      <c r="I377" s="3">
        <f>SUMIFS('Business - Dump'!$W:$W,'Business - Dump'!$D:$D,'SKU Repoprt'!$D377,'Business - Dump'!$A:$A,'SKU Repoprt'!I$1)</f>
        <v>0</v>
      </c>
      <c r="J377" s="3">
        <f>SUMIFS('Business - Dump'!$W:$W,'Business - Dump'!$D:$D,'SKU Repoprt'!$D377,'Business - Dump'!$A:$A,'SKU Repoprt'!J$1)</f>
        <v>0</v>
      </c>
      <c r="K377" s="3">
        <f>SUMIFS('Business - Dump'!$W:$W,'Business - Dump'!$D:$D,'SKU Repoprt'!$D377,'Business - Dump'!$A:$A,'SKU Repoprt'!K$1)</f>
        <v>0</v>
      </c>
      <c r="L377" s="3">
        <f>SUMIFS('Business - Dump'!$W:$W,'Business - Dump'!$D:$D,'SKU Repoprt'!$D377,'Business - Dump'!$A:$A,'SKU Repoprt'!L$1)</f>
        <v>0</v>
      </c>
      <c r="M377" s="3">
        <f>SUMIFS('Business - Dump'!$W:$W,'Business - Dump'!$D:$D,'SKU Repoprt'!$D377,'Business - Dump'!$A:$A,'SKU Repoprt'!M$1)</f>
        <v>0</v>
      </c>
      <c r="N377" s="3">
        <f>SUMIFS('Business - Dump'!$W:$W,'Business - Dump'!$D:$D,'SKU Repoprt'!$D377,'Business - Dump'!$A:$A,'SKU Repoprt'!N$1)</f>
        <v>0</v>
      </c>
      <c r="O377" s="3">
        <f>SUMIFS('Business - Dump'!$W:$W,'Business - Dump'!$D:$D,'SKU Repoprt'!$D377,'Business - Dump'!$A:$A,'SKU Repoprt'!O$1)</f>
        <v>0</v>
      </c>
      <c r="P377" s="3">
        <f>SUMIFS('Business - Dump'!$W:$W,'Business - Dump'!$D:$D,'SKU Repoprt'!$D377,'Business - Dump'!$A:$A,'SKU Repoprt'!P$1)</f>
        <v>0</v>
      </c>
      <c r="Q377" s="3">
        <f>SUMIFS('Business - Dump'!$W:$W,'Business - Dump'!$D:$D,'SKU Repoprt'!$D377,'Business - Dump'!$A:$A,'SKU Repoprt'!Q$1)</f>
        <v>0</v>
      </c>
      <c r="R377" s="3">
        <f>SUMIFS('Business - Dump'!$W:$W,'Business - Dump'!$D:$D,'SKU Repoprt'!$D377,'Business - Dump'!$A:$A,'SKU Repoprt'!R$1)</f>
        <v>0</v>
      </c>
      <c r="S377" s="3">
        <f>SUMIFS('Business - Dump'!$W:$W,'Business - Dump'!$D:$D,'SKU Repoprt'!$D377,'Business - Dump'!$A:$A,'SKU Repoprt'!S$1)</f>
        <v>0</v>
      </c>
      <c r="T377" s="3">
        <f>SUMIFS('Business - Dump'!$W:$W,'Business - Dump'!$D:$D,'SKU Repoprt'!$D377,'Business - Dump'!$A:$A,'SKU Repoprt'!T$1)</f>
        <v>0</v>
      </c>
      <c r="U377" s="3">
        <f>SUMIFS('Business - Dump'!$W:$W,'Business - Dump'!$D:$D,'SKU Repoprt'!$D377,'Business - Dump'!$A:$A,'SKU Repoprt'!U$1)</f>
        <v>0</v>
      </c>
      <c r="V377" s="3">
        <f>SUMIFS('Business - Dump'!$W:$W,'Business - Dump'!$D:$D,'SKU Repoprt'!$D377,'Business - Dump'!$A:$A,'SKU Repoprt'!V$1)</f>
        <v>0</v>
      </c>
      <c r="W377" s="3">
        <f>SUMIFS('Business - Dump'!$W:$W,'Business - Dump'!$D:$D,'SKU Repoprt'!$D377,'Business - Dump'!$A:$A,'SKU Repoprt'!W$1)</f>
        <v>0</v>
      </c>
    </row>
    <row r="378" ht="15.75" customHeight="1">
      <c r="A378" s="10" t="s">
        <v>152</v>
      </c>
      <c r="B378" s="10" t="s">
        <v>152</v>
      </c>
      <c r="C378" s="10"/>
      <c r="D378" s="10" t="s">
        <v>411</v>
      </c>
      <c r="E378" s="10" t="s">
        <v>26</v>
      </c>
      <c r="F378" s="16">
        <f t="shared" si="125"/>
        <v>0</v>
      </c>
      <c r="G378" s="16">
        <f>SUMIFS('Business - Dump'!$U:$U,'Business - Dump'!$D:$D,'SKU Repoprt'!$D378,'Business - Dump'!$A:$A,'SKU Repoprt'!G$1)</f>
        <v>0</v>
      </c>
      <c r="H378" s="16">
        <f>SUMIFS('Business - Dump'!$U:$U,'Business - Dump'!$D:$D,'SKU Repoprt'!$D378,'Business - Dump'!$A:$A,'SKU Repoprt'!H$1)</f>
        <v>0</v>
      </c>
      <c r="I378" s="16">
        <f>SUMIFS('Business - Dump'!$U:$U,'Business - Dump'!$D:$D,'SKU Repoprt'!$D378,'Business - Dump'!$A:$A,'SKU Repoprt'!I$1)</f>
        <v>0</v>
      </c>
      <c r="J378" s="16">
        <f>SUMIFS('Business - Dump'!$U:$U,'Business - Dump'!$D:$D,'SKU Repoprt'!$D378,'Business - Dump'!$A:$A,'SKU Repoprt'!J$1)</f>
        <v>0</v>
      </c>
      <c r="K378" s="16">
        <f>SUMIFS('Business - Dump'!$U:$U,'Business - Dump'!$D:$D,'SKU Repoprt'!$D378,'Business - Dump'!$A:$A,'SKU Repoprt'!K$1)</f>
        <v>0</v>
      </c>
      <c r="L378" s="16">
        <f>SUMIFS('Business - Dump'!$U:$U,'Business - Dump'!$D:$D,'SKU Repoprt'!$D378,'Business - Dump'!$A:$A,'SKU Repoprt'!L$1)</f>
        <v>0</v>
      </c>
      <c r="M378" s="16">
        <f>SUMIFS('Business - Dump'!$U:$U,'Business - Dump'!$D:$D,'SKU Repoprt'!$D378,'Business - Dump'!$A:$A,'SKU Repoprt'!M$1)</f>
        <v>0</v>
      </c>
      <c r="N378" s="16">
        <f>SUMIFS('Business - Dump'!$U:$U,'Business - Dump'!$D:$D,'SKU Repoprt'!$D378,'Business - Dump'!$A:$A,'SKU Repoprt'!N$1)</f>
        <v>0</v>
      </c>
      <c r="O378" s="16">
        <f>SUMIFS('Business - Dump'!$U:$U,'Business - Dump'!$D:$D,'SKU Repoprt'!$D378,'Business - Dump'!$A:$A,'SKU Repoprt'!O$1)</f>
        <v>0</v>
      </c>
      <c r="P378" s="16">
        <f>SUMIFS('Business - Dump'!$U:$U,'Business - Dump'!$D:$D,'SKU Repoprt'!$D378,'Business - Dump'!$A:$A,'SKU Repoprt'!P$1)</f>
        <v>0</v>
      </c>
      <c r="Q378" s="16">
        <f>SUMIFS('Business - Dump'!$U:$U,'Business - Dump'!$D:$D,'SKU Repoprt'!$D378,'Business - Dump'!$A:$A,'SKU Repoprt'!Q$1)</f>
        <v>0</v>
      </c>
      <c r="R378" s="16">
        <f>SUMIFS('Business - Dump'!$U:$U,'Business - Dump'!$D:$D,'SKU Repoprt'!$D378,'Business - Dump'!$A:$A,'SKU Repoprt'!R$1)</f>
        <v>0</v>
      </c>
      <c r="S378" s="16">
        <f>SUMIFS('Business - Dump'!$U:$U,'Business - Dump'!$D:$D,'SKU Repoprt'!$D378,'Business - Dump'!$A:$A,'SKU Repoprt'!S$1)</f>
        <v>0</v>
      </c>
      <c r="T378" s="16">
        <f>SUMIFS('Business - Dump'!$U:$U,'Business - Dump'!$D:$D,'SKU Repoprt'!$D378,'Business - Dump'!$A:$A,'SKU Repoprt'!T$1)</f>
        <v>0</v>
      </c>
      <c r="U378" s="16">
        <f>SUMIFS('Business - Dump'!$U:$U,'Business - Dump'!$D:$D,'SKU Repoprt'!$D378,'Business - Dump'!$A:$A,'SKU Repoprt'!U$1)</f>
        <v>0</v>
      </c>
      <c r="V378" s="16">
        <f>SUMIFS('Business - Dump'!$U:$U,'Business - Dump'!$D:$D,'SKU Repoprt'!$D378,'Business - Dump'!$A:$A,'SKU Repoprt'!V$1)</f>
        <v>0</v>
      </c>
      <c r="W378" s="16">
        <f>SUMIFS('Business - Dump'!$U:$U,'Business - Dump'!$D:$D,'SKU Repoprt'!$D378,'Business - Dump'!$A:$A,'SKU Repoprt'!W$1)</f>
        <v>0</v>
      </c>
    </row>
    <row r="379" ht="15.75" customHeight="1">
      <c r="A379" s="10" t="s">
        <v>152</v>
      </c>
      <c r="B379" s="10" t="s">
        <v>152</v>
      </c>
      <c r="C379" s="10"/>
      <c r="D379" s="10" t="s">
        <v>411</v>
      </c>
      <c r="E379" s="10" t="s">
        <v>29</v>
      </c>
      <c r="F379" s="17">
        <v>0.027042857142857143</v>
      </c>
      <c r="G379" s="17">
        <f t="shared" ref="G379:W379" si="126">IFERROR(G377/G374,0)</f>
        <v>0</v>
      </c>
      <c r="H379" s="17">
        <f t="shared" si="126"/>
        <v>0</v>
      </c>
      <c r="I379" s="17">
        <f t="shared" si="126"/>
        <v>0</v>
      </c>
      <c r="J379" s="17">
        <f t="shared" si="126"/>
        <v>0</v>
      </c>
      <c r="K379" s="17">
        <f t="shared" si="126"/>
        <v>0</v>
      </c>
      <c r="L379" s="17">
        <f t="shared" si="126"/>
        <v>0</v>
      </c>
      <c r="M379" s="17">
        <f t="shared" si="126"/>
        <v>0</v>
      </c>
      <c r="N379" s="17">
        <f t="shared" si="126"/>
        <v>0</v>
      </c>
      <c r="O379" s="17">
        <f t="shared" si="126"/>
        <v>0</v>
      </c>
      <c r="P379" s="17">
        <f t="shared" si="126"/>
        <v>0</v>
      </c>
      <c r="Q379" s="17">
        <f t="shared" si="126"/>
        <v>0</v>
      </c>
      <c r="R379" s="17">
        <f t="shared" si="126"/>
        <v>0</v>
      </c>
      <c r="S379" s="17">
        <f t="shared" si="126"/>
        <v>0</v>
      </c>
      <c r="T379" s="17">
        <f t="shared" si="126"/>
        <v>0</v>
      </c>
      <c r="U379" s="17">
        <f t="shared" si="126"/>
        <v>0</v>
      </c>
      <c r="V379" s="17">
        <f t="shared" si="126"/>
        <v>0</v>
      </c>
      <c r="W379" s="17">
        <f t="shared" si="126"/>
        <v>0</v>
      </c>
    </row>
    <row r="380" ht="15.75" customHeight="1">
      <c r="A380" s="10" t="s">
        <v>152</v>
      </c>
      <c r="B380" s="10" t="s">
        <v>152</v>
      </c>
      <c r="C380" s="10"/>
      <c r="D380" s="10" t="s">
        <v>403</v>
      </c>
      <c r="E380" s="10" t="s">
        <v>257</v>
      </c>
      <c r="F380" s="3">
        <f t="shared" ref="F380:F384" si="127">SUM(G380:S380)</f>
        <v>1851</v>
      </c>
      <c r="G380" s="3">
        <f>SUMIFS('Business - Dump'!$G:$G,'Business - Dump'!$D:$D,'SKU Repoprt'!$D380,'Business - Dump'!$A:$A,'SKU Repoprt'!G$1)</f>
        <v>0</v>
      </c>
      <c r="H380" s="3">
        <f>SUMIFS('Business - Dump'!$G:$G,'Business - Dump'!$D:$D,'SKU Repoprt'!$D380,'Business - Dump'!$A:$A,'SKU Repoprt'!H$1)</f>
        <v>0</v>
      </c>
      <c r="I380" s="3">
        <f>SUMIFS('Business - Dump'!$G:$G,'Business - Dump'!$D:$D,'SKU Repoprt'!$D380,'Business - Dump'!$A:$A,'SKU Repoprt'!I$1)</f>
        <v>0</v>
      </c>
      <c r="J380" s="3">
        <f>SUMIFS('Business - Dump'!$G:$G,'Business - Dump'!$D:$D,'SKU Repoprt'!$D380,'Business - Dump'!$A:$A,'SKU Repoprt'!J$1)</f>
        <v>0</v>
      </c>
      <c r="K380" s="3">
        <f>SUMIFS('Business - Dump'!$G:$G,'Business - Dump'!$D:$D,'SKU Repoprt'!$D380,'Business - Dump'!$A:$A,'SKU Repoprt'!K$1)</f>
        <v>0</v>
      </c>
      <c r="L380" s="3">
        <f>SUMIFS('Business - Dump'!$G:$G,'Business - Dump'!$D:$D,'SKU Repoprt'!$D380,'Business - Dump'!$A:$A,'SKU Repoprt'!L$1)</f>
        <v>125</v>
      </c>
      <c r="M380" s="3">
        <f>SUMIFS('Business - Dump'!$G:$G,'Business - Dump'!$D:$D,'SKU Repoprt'!$D380,'Business - Dump'!$A:$A,'SKU Repoprt'!M$1)</f>
        <v>94</v>
      </c>
      <c r="N380" s="3">
        <f>SUMIFS('Business - Dump'!$G:$G,'Business - Dump'!$D:$D,'SKU Repoprt'!$D380,'Business - Dump'!$A:$A,'SKU Repoprt'!N$1)</f>
        <v>856</v>
      </c>
      <c r="O380" s="3">
        <f>SUMIFS('Business - Dump'!$G:$G,'Business - Dump'!$D:$D,'SKU Repoprt'!$D380,'Business - Dump'!$A:$A,'SKU Repoprt'!O$1)</f>
        <v>699</v>
      </c>
      <c r="P380" s="3">
        <f>SUMIFS('Business - Dump'!$G:$G,'Business - Dump'!$D:$D,'SKU Repoprt'!$D380,'Business - Dump'!$A:$A,'SKU Repoprt'!P$1)</f>
        <v>0</v>
      </c>
      <c r="Q380" s="3">
        <f>SUMIFS('Business - Dump'!$G:$G,'Business - Dump'!$D:$D,'SKU Repoprt'!$D380,'Business - Dump'!$A:$A,'SKU Repoprt'!Q$1)</f>
        <v>15</v>
      </c>
      <c r="R380" s="3">
        <f>SUMIFS('Business - Dump'!$G:$G,'Business - Dump'!$D:$D,'SKU Repoprt'!$D380,'Business - Dump'!$A:$A,'SKU Repoprt'!R$1)</f>
        <v>4</v>
      </c>
      <c r="S380" s="3">
        <f>SUMIFS('Business - Dump'!$G:$G,'Business - Dump'!$D:$D,'SKU Repoprt'!$D380,'Business - Dump'!$A:$A,'SKU Repoprt'!S$1)</f>
        <v>58</v>
      </c>
      <c r="T380" s="3">
        <f>SUMIFS('Business - Dump'!$G:$G,'Business - Dump'!$D:$D,'SKU Repoprt'!$D380,'Business - Dump'!$A:$A,'SKU Repoprt'!T$1)</f>
        <v>93</v>
      </c>
      <c r="U380" s="3">
        <f>SUMIFS('Business - Dump'!$G:$G,'Business - Dump'!$D:$D,'SKU Repoprt'!$D380,'Business - Dump'!$A:$A,'SKU Repoprt'!U$1)</f>
        <v>294</v>
      </c>
      <c r="V380" s="3">
        <f>SUMIFS('Business - Dump'!$G:$G,'Business - Dump'!$D:$D,'SKU Repoprt'!$D380,'Business - Dump'!$A:$A,'SKU Repoprt'!V$1)</f>
        <v>399</v>
      </c>
      <c r="W380" s="3">
        <f>SUMIFS('Business - Dump'!$G:$G,'Business - Dump'!$D:$D,'SKU Repoprt'!$D380,'Business - Dump'!$A:$A,'SKU Repoprt'!W$1)</f>
        <v>889</v>
      </c>
    </row>
    <row r="381" ht="15.75" customHeight="1">
      <c r="A381" s="10" t="s">
        <v>152</v>
      </c>
      <c r="B381" s="10" t="s">
        <v>152</v>
      </c>
      <c r="C381" s="10"/>
      <c r="D381" s="10" t="s">
        <v>403</v>
      </c>
      <c r="E381" s="10" t="s">
        <v>260</v>
      </c>
      <c r="F381" s="3">
        <f t="shared" si="127"/>
        <v>2805</v>
      </c>
      <c r="G381" s="3">
        <f>SUMIFS('Business - Dump'!$K:$K,'Business - Dump'!$D:$D,'SKU Repoprt'!$D381,'Business - Dump'!$A:$A,'SKU Repoprt'!G$1)</f>
        <v>0</v>
      </c>
      <c r="H381" s="3">
        <f>SUMIFS('Business - Dump'!$K:$K,'Business - Dump'!$D:$D,'SKU Repoprt'!$D381,'Business - Dump'!$A:$A,'SKU Repoprt'!H$1)</f>
        <v>0</v>
      </c>
      <c r="I381" s="3">
        <f>SUMIFS('Business - Dump'!$K:$K,'Business - Dump'!$D:$D,'SKU Repoprt'!$D381,'Business - Dump'!$A:$A,'SKU Repoprt'!I$1)</f>
        <v>0</v>
      </c>
      <c r="J381" s="3">
        <f>SUMIFS('Business - Dump'!$K:$K,'Business - Dump'!$D:$D,'SKU Repoprt'!$D381,'Business - Dump'!$A:$A,'SKU Repoprt'!J$1)</f>
        <v>0</v>
      </c>
      <c r="K381" s="3">
        <f>SUMIFS('Business - Dump'!$K:$K,'Business - Dump'!$D:$D,'SKU Repoprt'!$D381,'Business - Dump'!$A:$A,'SKU Repoprt'!K$1)</f>
        <v>0</v>
      </c>
      <c r="L381" s="3">
        <f>SUMIFS('Business - Dump'!$K:$K,'Business - Dump'!$D:$D,'SKU Repoprt'!$D381,'Business - Dump'!$A:$A,'SKU Repoprt'!L$1)</f>
        <v>188</v>
      </c>
      <c r="M381" s="3">
        <f>SUMIFS('Business - Dump'!$K:$K,'Business - Dump'!$D:$D,'SKU Repoprt'!$D381,'Business - Dump'!$A:$A,'SKU Repoprt'!M$1)</f>
        <v>128</v>
      </c>
      <c r="N381" s="3">
        <f>SUMIFS('Business - Dump'!$K:$K,'Business - Dump'!$D:$D,'SKU Repoprt'!$D381,'Business - Dump'!$A:$A,'SKU Repoprt'!N$1)</f>
        <v>1354</v>
      </c>
      <c r="O381" s="3">
        <f>SUMIFS('Business - Dump'!$K:$K,'Business - Dump'!$D:$D,'SKU Repoprt'!$D381,'Business - Dump'!$A:$A,'SKU Repoprt'!O$1)</f>
        <v>1002</v>
      </c>
      <c r="P381" s="3">
        <f>SUMIFS('Business - Dump'!$K:$K,'Business - Dump'!$D:$D,'SKU Repoprt'!$D381,'Business - Dump'!$A:$A,'SKU Repoprt'!P$1)</f>
        <v>0</v>
      </c>
      <c r="Q381" s="3">
        <f>SUMIFS('Business - Dump'!$K:$K,'Business - Dump'!$D:$D,'SKU Repoprt'!$D381,'Business - Dump'!$A:$A,'SKU Repoprt'!Q$1)</f>
        <v>21</v>
      </c>
      <c r="R381" s="3">
        <f>SUMIFS('Business - Dump'!$K:$K,'Business - Dump'!$D:$D,'SKU Repoprt'!$D381,'Business - Dump'!$A:$A,'SKU Repoprt'!R$1)</f>
        <v>9</v>
      </c>
      <c r="S381" s="3">
        <f>SUMIFS('Business - Dump'!$K:$K,'Business - Dump'!$D:$D,'SKU Repoprt'!$D381,'Business - Dump'!$A:$A,'SKU Repoprt'!S$1)</f>
        <v>103</v>
      </c>
      <c r="T381" s="3">
        <f>SUMIFS('Business - Dump'!$K:$K,'Business - Dump'!$D:$D,'SKU Repoprt'!$D381,'Business - Dump'!$A:$A,'SKU Repoprt'!T$1)</f>
        <v>150</v>
      </c>
      <c r="U381" s="3">
        <f>SUMIFS('Business - Dump'!$K:$K,'Business - Dump'!$D:$D,'SKU Repoprt'!$D381,'Business - Dump'!$A:$A,'SKU Repoprt'!U$1)</f>
        <v>483</v>
      </c>
      <c r="V381" s="3">
        <f>SUMIFS('Business - Dump'!$K:$K,'Business - Dump'!$D:$D,'SKU Repoprt'!$D381,'Business - Dump'!$A:$A,'SKU Repoprt'!V$1)</f>
        <v>566</v>
      </c>
      <c r="W381" s="3">
        <f>SUMIFS('Business - Dump'!$K:$K,'Business - Dump'!$D:$D,'SKU Repoprt'!$D381,'Business - Dump'!$A:$A,'SKU Repoprt'!W$1)</f>
        <v>1319</v>
      </c>
    </row>
    <row r="382" ht="15.75" customHeight="1">
      <c r="A382" s="10" t="s">
        <v>152</v>
      </c>
      <c r="B382" s="10" t="s">
        <v>152</v>
      </c>
      <c r="C382" s="10"/>
      <c r="D382" s="10" t="s">
        <v>403</v>
      </c>
      <c r="E382" s="10" t="s">
        <v>264</v>
      </c>
      <c r="F382" s="3">
        <f t="shared" si="127"/>
        <v>10</v>
      </c>
      <c r="G382" s="3">
        <f>SUMIFS('Business - Dump'!$Q:$Q,'Business - Dump'!$D:$D,'SKU Repoprt'!$D382,'Business - Dump'!$A:$A,'SKU Repoprt'!G$1)</f>
        <v>0</v>
      </c>
      <c r="H382" s="3">
        <f>SUMIFS('Business - Dump'!$Q:$Q,'Business - Dump'!$D:$D,'SKU Repoprt'!$D382,'Business - Dump'!$A:$A,'SKU Repoprt'!H$1)</f>
        <v>0</v>
      </c>
      <c r="I382" s="3">
        <f>SUMIFS('Business - Dump'!$Q:$Q,'Business - Dump'!$D:$D,'SKU Repoprt'!$D382,'Business - Dump'!$A:$A,'SKU Repoprt'!I$1)</f>
        <v>0</v>
      </c>
      <c r="J382" s="3">
        <f>SUMIFS('Business - Dump'!$Q:$Q,'Business - Dump'!$D:$D,'SKU Repoprt'!$D382,'Business - Dump'!$A:$A,'SKU Repoprt'!J$1)</f>
        <v>0</v>
      </c>
      <c r="K382" s="3">
        <f>SUMIFS('Business - Dump'!$Q:$Q,'Business - Dump'!$D:$D,'SKU Repoprt'!$D382,'Business - Dump'!$A:$A,'SKU Repoprt'!K$1)</f>
        <v>0</v>
      </c>
      <c r="L382" s="3">
        <f>SUMIFS('Business - Dump'!$Q:$Q,'Business - Dump'!$D:$D,'SKU Repoprt'!$D382,'Business - Dump'!$A:$A,'SKU Repoprt'!L$1)</f>
        <v>1</v>
      </c>
      <c r="M382" s="3">
        <f>SUMIFS('Business - Dump'!$Q:$Q,'Business - Dump'!$D:$D,'SKU Repoprt'!$D382,'Business - Dump'!$A:$A,'SKU Repoprt'!M$1)</f>
        <v>0</v>
      </c>
      <c r="N382" s="3">
        <f>SUMIFS('Business - Dump'!$Q:$Q,'Business - Dump'!$D:$D,'SKU Repoprt'!$D382,'Business - Dump'!$A:$A,'SKU Repoprt'!N$1)</f>
        <v>6</v>
      </c>
      <c r="O382" s="3">
        <f>SUMIFS('Business - Dump'!$Q:$Q,'Business - Dump'!$D:$D,'SKU Repoprt'!$D382,'Business - Dump'!$A:$A,'SKU Repoprt'!O$1)</f>
        <v>3</v>
      </c>
      <c r="P382" s="3">
        <f>SUMIFS('Business - Dump'!$Q:$Q,'Business - Dump'!$D:$D,'SKU Repoprt'!$D382,'Business - Dump'!$A:$A,'SKU Repoprt'!P$1)</f>
        <v>0</v>
      </c>
      <c r="Q382" s="3">
        <f>SUMIFS('Business - Dump'!$Q:$Q,'Business - Dump'!$D:$D,'SKU Repoprt'!$D382,'Business - Dump'!$A:$A,'SKU Repoprt'!Q$1)</f>
        <v>0</v>
      </c>
      <c r="R382" s="3">
        <f>SUMIFS('Business - Dump'!$Q:$Q,'Business - Dump'!$D:$D,'SKU Repoprt'!$D382,'Business - Dump'!$A:$A,'SKU Repoprt'!R$1)</f>
        <v>0</v>
      </c>
      <c r="S382" s="3">
        <f>SUMIFS('Business - Dump'!$Q:$Q,'Business - Dump'!$D:$D,'SKU Repoprt'!$D382,'Business - Dump'!$A:$A,'SKU Repoprt'!S$1)</f>
        <v>0</v>
      </c>
      <c r="T382" s="3">
        <f>SUMIFS('Business - Dump'!$Q:$Q,'Business - Dump'!$D:$D,'SKU Repoprt'!$D382,'Business - Dump'!$A:$A,'SKU Repoprt'!T$1)</f>
        <v>0</v>
      </c>
      <c r="U382" s="3">
        <f>SUMIFS('Business - Dump'!$Q:$Q,'Business - Dump'!$D:$D,'SKU Repoprt'!$D382,'Business - Dump'!$A:$A,'SKU Repoprt'!U$1)</f>
        <v>1</v>
      </c>
      <c r="V382" s="3">
        <f>SUMIFS('Business - Dump'!$Q:$Q,'Business - Dump'!$D:$D,'SKU Repoprt'!$D382,'Business - Dump'!$A:$A,'SKU Repoprt'!V$1)</f>
        <v>1</v>
      </c>
      <c r="W382" s="3">
        <f>SUMIFS('Business - Dump'!$Q:$Q,'Business - Dump'!$D:$D,'SKU Repoprt'!$D382,'Business - Dump'!$A:$A,'SKU Repoprt'!W$1)</f>
        <v>4</v>
      </c>
    </row>
    <row r="383" ht="15.75" customHeight="1">
      <c r="A383" s="10" t="s">
        <v>152</v>
      </c>
      <c r="B383" s="10" t="s">
        <v>152</v>
      </c>
      <c r="C383" s="10"/>
      <c r="D383" s="10" t="s">
        <v>403</v>
      </c>
      <c r="E383" s="10" t="s">
        <v>268</v>
      </c>
      <c r="F383" s="3">
        <f t="shared" si="127"/>
        <v>10</v>
      </c>
      <c r="G383" s="3">
        <f>SUMIFS('Business - Dump'!$W:$W,'Business - Dump'!$D:$D,'SKU Repoprt'!$D383,'Business - Dump'!$A:$A,'SKU Repoprt'!G$1)</f>
        <v>0</v>
      </c>
      <c r="H383" s="3">
        <f>SUMIFS('Business - Dump'!$W:$W,'Business - Dump'!$D:$D,'SKU Repoprt'!$D383,'Business - Dump'!$A:$A,'SKU Repoprt'!H$1)</f>
        <v>0</v>
      </c>
      <c r="I383" s="3">
        <f>SUMIFS('Business - Dump'!$W:$W,'Business - Dump'!$D:$D,'SKU Repoprt'!$D383,'Business - Dump'!$A:$A,'SKU Repoprt'!I$1)</f>
        <v>0</v>
      </c>
      <c r="J383" s="3">
        <f>SUMIFS('Business - Dump'!$W:$W,'Business - Dump'!$D:$D,'SKU Repoprt'!$D383,'Business - Dump'!$A:$A,'SKU Repoprt'!J$1)</f>
        <v>0</v>
      </c>
      <c r="K383" s="3">
        <f>SUMIFS('Business - Dump'!$W:$W,'Business - Dump'!$D:$D,'SKU Repoprt'!$D383,'Business - Dump'!$A:$A,'SKU Repoprt'!K$1)</f>
        <v>0</v>
      </c>
      <c r="L383" s="3">
        <f>SUMIFS('Business - Dump'!$W:$W,'Business - Dump'!$D:$D,'SKU Repoprt'!$D383,'Business - Dump'!$A:$A,'SKU Repoprt'!L$1)</f>
        <v>1</v>
      </c>
      <c r="M383" s="3">
        <f>SUMIFS('Business - Dump'!$W:$W,'Business - Dump'!$D:$D,'SKU Repoprt'!$D383,'Business - Dump'!$A:$A,'SKU Repoprt'!M$1)</f>
        <v>0</v>
      </c>
      <c r="N383" s="3">
        <f>SUMIFS('Business - Dump'!$W:$W,'Business - Dump'!$D:$D,'SKU Repoprt'!$D383,'Business - Dump'!$A:$A,'SKU Repoprt'!N$1)</f>
        <v>6</v>
      </c>
      <c r="O383" s="3">
        <f>SUMIFS('Business - Dump'!$W:$W,'Business - Dump'!$D:$D,'SKU Repoprt'!$D383,'Business - Dump'!$A:$A,'SKU Repoprt'!O$1)</f>
        <v>3</v>
      </c>
      <c r="P383" s="3">
        <f>SUMIFS('Business - Dump'!$W:$W,'Business - Dump'!$D:$D,'SKU Repoprt'!$D383,'Business - Dump'!$A:$A,'SKU Repoprt'!P$1)</f>
        <v>0</v>
      </c>
      <c r="Q383" s="3">
        <f>SUMIFS('Business - Dump'!$W:$W,'Business - Dump'!$D:$D,'SKU Repoprt'!$D383,'Business - Dump'!$A:$A,'SKU Repoprt'!Q$1)</f>
        <v>0</v>
      </c>
      <c r="R383" s="3">
        <f>SUMIFS('Business - Dump'!$W:$W,'Business - Dump'!$D:$D,'SKU Repoprt'!$D383,'Business - Dump'!$A:$A,'SKU Repoprt'!R$1)</f>
        <v>0</v>
      </c>
      <c r="S383" s="3">
        <f>SUMIFS('Business - Dump'!$W:$W,'Business - Dump'!$D:$D,'SKU Repoprt'!$D383,'Business - Dump'!$A:$A,'SKU Repoprt'!S$1)</f>
        <v>0</v>
      </c>
      <c r="T383" s="3">
        <f>SUMIFS('Business - Dump'!$W:$W,'Business - Dump'!$D:$D,'SKU Repoprt'!$D383,'Business - Dump'!$A:$A,'SKU Repoprt'!T$1)</f>
        <v>0</v>
      </c>
      <c r="U383" s="3">
        <f>SUMIFS('Business - Dump'!$W:$W,'Business - Dump'!$D:$D,'SKU Repoprt'!$D383,'Business - Dump'!$A:$A,'SKU Repoprt'!U$1)</f>
        <v>1</v>
      </c>
      <c r="V383" s="3">
        <f>SUMIFS('Business - Dump'!$W:$W,'Business - Dump'!$D:$D,'SKU Repoprt'!$D383,'Business - Dump'!$A:$A,'SKU Repoprt'!V$1)</f>
        <v>1</v>
      </c>
      <c r="W383" s="3">
        <f>SUMIFS('Business - Dump'!$W:$W,'Business - Dump'!$D:$D,'SKU Repoprt'!$D383,'Business - Dump'!$A:$A,'SKU Repoprt'!W$1)</f>
        <v>4</v>
      </c>
    </row>
    <row r="384" ht="15.75" customHeight="1">
      <c r="A384" s="10" t="s">
        <v>152</v>
      </c>
      <c r="B384" s="10" t="s">
        <v>152</v>
      </c>
      <c r="C384" s="10"/>
      <c r="D384" s="10" t="s">
        <v>403</v>
      </c>
      <c r="E384" s="10" t="s">
        <v>26</v>
      </c>
      <c r="F384" s="16">
        <f t="shared" si="127"/>
        <v>164261.19</v>
      </c>
      <c r="G384" s="16">
        <f>SUMIFS('Business - Dump'!$U:$U,'Business - Dump'!$D:$D,'SKU Repoprt'!$D384,'Business - Dump'!$A:$A,'SKU Repoprt'!G$1)</f>
        <v>0</v>
      </c>
      <c r="H384" s="16">
        <f>SUMIFS('Business - Dump'!$U:$U,'Business - Dump'!$D:$D,'SKU Repoprt'!$D384,'Business - Dump'!$A:$A,'SKU Repoprt'!H$1)</f>
        <v>0</v>
      </c>
      <c r="I384" s="16">
        <f>SUMIFS('Business - Dump'!$U:$U,'Business - Dump'!$D:$D,'SKU Repoprt'!$D384,'Business - Dump'!$A:$A,'SKU Repoprt'!I$1)</f>
        <v>0</v>
      </c>
      <c r="J384" s="16">
        <f>SUMIFS('Business - Dump'!$U:$U,'Business - Dump'!$D:$D,'SKU Repoprt'!$D384,'Business - Dump'!$A:$A,'SKU Repoprt'!J$1)</f>
        <v>0</v>
      </c>
      <c r="K384" s="16">
        <f>SUMIFS('Business - Dump'!$U:$U,'Business - Dump'!$D:$D,'SKU Repoprt'!$D384,'Business - Dump'!$A:$A,'SKU Repoprt'!K$1)</f>
        <v>0</v>
      </c>
      <c r="L384" s="16">
        <f>SUMIFS('Business - Dump'!$U:$U,'Business - Dump'!$D:$D,'SKU Repoprt'!$D384,'Business - Dump'!$A:$A,'SKU Repoprt'!L$1)</f>
        <v>20499</v>
      </c>
      <c r="M384" s="16">
        <f>SUMIFS('Business - Dump'!$U:$U,'Business - Dump'!$D:$D,'SKU Repoprt'!$D384,'Business - Dump'!$A:$A,'SKU Repoprt'!M$1)</f>
        <v>0</v>
      </c>
      <c r="N384" s="16">
        <f>SUMIFS('Business - Dump'!$U:$U,'Business - Dump'!$D:$D,'SKU Repoprt'!$D384,'Business - Dump'!$A:$A,'SKU Repoprt'!N$1)</f>
        <v>95765.19</v>
      </c>
      <c r="O384" s="16">
        <f>SUMIFS('Business - Dump'!$U:$U,'Business - Dump'!$D:$D,'SKU Repoprt'!$D384,'Business - Dump'!$A:$A,'SKU Repoprt'!O$1)</f>
        <v>47997</v>
      </c>
      <c r="P384" s="16">
        <f>SUMIFS('Business - Dump'!$U:$U,'Business - Dump'!$D:$D,'SKU Repoprt'!$D384,'Business - Dump'!$A:$A,'SKU Repoprt'!P$1)</f>
        <v>0</v>
      </c>
      <c r="Q384" s="16">
        <f>SUMIFS('Business - Dump'!$U:$U,'Business - Dump'!$D:$D,'SKU Repoprt'!$D384,'Business - Dump'!$A:$A,'SKU Repoprt'!Q$1)</f>
        <v>0</v>
      </c>
      <c r="R384" s="16">
        <f>SUMIFS('Business - Dump'!$U:$U,'Business - Dump'!$D:$D,'SKU Repoprt'!$D384,'Business - Dump'!$A:$A,'SKU Repoprt'!R$1)</f>
        <v>0</v>
      </c>
      <c r="S384" s="16">
        <f>SUMIFS('Business - Dump'!$U:$U,'Business - Dump'!$D:$D,'SKU Repoprt'!$D384,'Business - Dump'!$A:$A,'SKU Repoprt'!S$1)</f>
        <v>0</v>
      </c>
      <c r="T384" s="16">
        <f>SUMIFS('Business - Dump'!$U:$U,'Business - Dump'!$D:$D,'SKU Repoprt'!$D384,'Business - Dump'!$A:$A,'SKU Repoprt'!T$1)</f>
        <v>0</v>
      </c>
      <c r="U384" s="16">
        <f>SUMIFS('Business - Dump'!$U:$U,'Business - Dump'!$D:$D,'SKU Repoprt'!$D384,'Business - Dump'!$A:$A,'SKU Repoprt'!U$1)</f>
        <v>15475.59</v>
      </c>
      <c r="V384" s="16">
        <f>SUMIFS('Business - Dump'!$U:$U,'Business - Dump'!$D:$D,'SKU Repoprt'!$D384,'Business - Dump'!$A:$A,'SKU Repoprt'!V$1)</f>
        <v>15325.59</v>
      </c>
      <c r="W384" s="16">
        <f>SUMIFS('Business - Dump'!$U:$U,'Business - Dump'!$D:$D,'SKU Repoprt'!$D384,'Business - Dump'!$A:$A,'SKU Repoprt'!W$1)</f>
        <v>61112.36</v>
      </c>
    </row>
    <row r="385" ht="15.75" customHeight="1">
      <c r="A385" s="10" t="s">
        <v>152</v>
      </c>
      <c r="B385" s="10" t="s">
        <v>152</v>
      </c>
      <c r="C385" s="10"/>
      <c r="D385" s="10" t="s">
        <v>403</v>
      </c>
      <c r="E385" s="10" t="s">
        <v>29</v>
      </c>
      <c r="F385" s="17">
        <v>0.027042857142857143</v>
      </c>
      <c r="G385" s="17">
        <f t="shared" ref="G385:W385" si="128">IFERROR(G383/G380,0)</f>
        <v>0</v>
      </c>
      <c r="H385" s="17">
        <f t="shared" si="128"/>
        <v>0</v>
      </c>
      <c r="I385" s="17">
        <f t="shared" si="128"/>
        <v>0</v>
      </c>
      <c r="J385" s="17">
        <f t="shared" si="128"/>
        <v>0</v>
      </c>
      <c r="K385" s="17">
        <f t="shared" si="128"/>
        <v>0</v>
      </c>
      <c r="L385" s="17">
        <f t="shared" si="128"/>
        <v>0.008</v>
      </c>
      <c r="M385" s="17">
        <f t="shared" si="128"/>
        <v>0</v>
      </c>
      <c r="N385" s="17">
        <f t="shared" si="128"/>
        <v>0.007009345794</v>
      </c>
      <c r="O385" s="17">
        <f t="shared" si="128"/>
        <v>0.004291845494</v>
      </c>
      <c r="P385" s="17">
        <f t="shared" si="128"/>
        <v>0</v>
      </c>
      <c r="Q385" s="17">
        <f t="shared" si="128"/>
        <v>0</v>
      </c>
      <c r="R385" s="17">
        <f t="shared" si="128"/>
        <v>0</v>
      </c>
      <c r="S385" s="17">
        <f t="shared" si="128"/>
        <v>0</v>
      </c>
      <c r="T385" s="17">
        <f t="shared" si="128"/>
        <v>0</v>
      </c>
      <c r="U385" s="17">
        <f t="shared" si="128"/>
        <v>0.003401360544</v>
      </c>
      <c r="V385" s="17">
        <f t="shared" si="128"/>
        <v>0.002506265664</v>
      </c>
      <c r="W385" s="17">
        <f t="shared" si="128"/>
        <v>0.00449943757</v>
      </c>
    </row>
    <row r="386" ht="15.75" customHeight="1">
      <c r="A386" s="10" t="s">
        <v>152</v>
      </c>
      <c r="B386" s="10" t="s">
        <v>152</v>
      </c>
      <c r="C386" s="10"/>
      <c r="D386" s="10" t="s">
        <v>330</v>
      </c>
      <c r="E386" s="10" t="s">
        <v>257</v>
      </c>
      <c r="F386" s="3">
        <f t="shared" ref="F386:F390" si="129">SUM(G386:S386)</f>
        <v>21998</v>
      </c>
      <c r="G386" s="3">
        <f>SUMIFS('Business - Dump'!$G:$G,'Business - Dump'!$D:$D,'SKU Repoprt'!$D386,'Business - Dump'!$A:$A,'SKU Repoprt'!G$1)</f>
        <v>0</v>
      </c>
      <c r="H386" s="3">
        <f>SUMIFS('Business - Dump'!$G:$G,'Business - Dump'!$D:$D,'SKU Repoprt'!$D386,'Business - Dump'!$A:$A,'SKU Repoprt'!H$1)</f>
        <v>906</v>
      </c>
      <c r="I386" s="3">
        <f>SUMIFS('Business - Dump'!$G:$G,'Business - Dump'!$D:$D,'SKU Repoprt'!$D386,'Business - Dump'!$A:$A,'SKU Repoprt'!I$1)</f>
        <v>2685</v>
      </c>
      <c r="J386" s="3">
        <f>SUMIFS('Business - Dump'!$G:$G,'Business - Dump'!$D:$D,'SKU Repoprt'!$D386,'Business - Dump'!$A:$A,'SKU Repoprt'!J$1)</f>
        <v>2816</v>
      </c>
      <c r="K386" s="3">
        <f>SUMIFS('Business - Dump'!$G:$G,'Business - Dump'!$D:$D,'SKU Repoprt'!$D386,'Business - Dump'!$A:$A,'SKU Repoprt'!K$1)</f>
        <v>4086</v>
      </c>
      <c r="L386" s="3">
        <f>SUMIFS('Business - Dump'!$G:$G,'Business - Dump'!$D:$D,'SKU Repoprt'!$D386,'Business - Dump'!$A:$A,'SKU Repoprt'!L$1)</f>
        <v>4627</v>
      </c>
      <c r="M386" s="3">
        <f>SUMIFS('Business - Dump'!$G:$G,'Business - Dump'!$D:$D,'SKU Repoprt'!$D386,'Business - Dump'!$A:$A,'SKU Repoprt'!M$1)</f>
        <v>4301</v>
      </c>
      <c r="N386" s="3">
        <f>SUMIFS('Business - Dump'!$G:$G,'Business - Dump'!$D:$D,'SKU Repoprt'!$D386,'Business - Dump'!$A:$A,'SKU Repoprt'!N$1)</f>
        <v>1727</v>
      </c>
      <c r="O386" s="3">
        <f>SUMIFS('Business - Dump'!$G:$G,'Business - Dump'!$D:$D,'SKU Repoprt'!$D386,'Business - Dump'!$A:$A,'SKU Repoprt'!O$1)</f>
        <v>168</v>
      </c>
      <c r="P386" s="3">
        <f>SUMIFS('Business - Dump'!$G:$G,'Business - Dump'!$D:$D,'SKU Repoprt'!$D386,'Business - Dump'!$A:$A,'SKU Repoprt'!P$1)</f>
        <v>256</v>
      </c>
      <c r="Q386" s="3">
        <f>SUMIFS('Business - Dump'!$G:$G,'Business - Dump'!$D:$D,'SKU Repoprt'!$D386,'Business - Dump'!$A:$A,'SKU Repoprt'!Q$1)</f>
        <v>278</v>
      </c>
      <c r="R386" s="3">
        <f>SUMIFS('Business - Dump'!$G:$G,'Business - Dump'!$D:$D,'SKU Repoprt'!$D386,'Business - Dump'!$A:$A,'SKU Repoprt'!R$1)</f>
        <v>148</v>
      </c>
      <c r="S386" s="3">
        <f>SUMIFS('Business - Dump'!$G:$G,'Business - Dump'!$D:$D,'SKU Repoprt'!$D386,'Business - Dump'!$A:$A,'SKU Repoprt'!S$1)</f>
        <v>0</v>
      </c>
      <c r="T386" s="3">
        <f>SUMIFS('Business - Dump'!$G:$G,'Business - Dump'!$D:$D,'SKU Repoprt'!$D386,'Business - Dump'!$A:$A,'SKU Repoprt'!T$1)</f>
        <v>0</v>
      </c>
      <c r="U386" s="3">
        <f>SUMIFS('Business - Dump'!$G:$G,'Business - Dump'!$D:$D,'SKU Repoprt'!$D386,'Business - Dump'!$A:$A,'SKU Repoprt'!U$1)</f>
        <v>0</v>
      </c>
      <c r="V386" s="3">
        <f>SUMIFS('Business - Dump'!$G:$G,'Business - Dump'!$D:$D,'SKU Repoprt'!$D386,'Business - Dump'!$A:$A,'SKU Repoprt'!V$1)</f>
        <v>0</v>
      </c>
      <c r="W386" s="3">
        <f>SUMIFS('Business - Dump'!$G:$G,'Business - Dump'!$D:$D,'SKU Repoprt'!$D386,'Business - Dump'!$A:$A,'SKU Repoprt'!W$1)</f>
        <v>0</v>
      </c>
    </row>
    <row r="387" ht="15.75" customHeight="1">
      <c r="A387" s="10" t="s">
        <v>152</v>
      </c>
      <c r="B387" s="10" t="s">
        <v>152</v>
      </c>
      <c r="C387" s="10"/>
      <c r="D387" s="10" t="s">
        <v>330</v>
      </c>
      <c r="E387" s="10" t="s">
        <v>260</v>
      </c>
      <c r="F387" s="3">
        <f t="shared" si="129"/>
        <v>34856</v>
      </c>
      <c r="G387" s="3">
        <f>SUMIFS('Business - Dump'!$K:$K,'Business - Dump'!$D:$D,'SKU Repoprt'!$D387,'Business - Dump'!$A:$A,'SKU Repoprt'!G$1)</f>
        <v>0</v>
      </c>
      <c r="H387" s="3">
        <f>SUMIFS('Business - Dump'!$K:$K,'Business - Dump'!$D:$D,'SKU Repoprt'!$D387,'Business - Dump'!$A:$A,'SKU Repoprt'!H$1)</f>
        <v>1365</v>
      </c>
      <c r="I387" s="3">
        <f>SUMIFS('Business - Dump'!$K:$K,'Business - Dump'!$D:$D,'SKU Repoprt'!$D387,'Business - Dump'!$A:$A,'SKU Repoprt'!I$1)</f>
        <v>3966</v>
      </c>
      <c r="J387" s="3">
        <f>SUMIFS('Business - Dump'!$K:$K,'Business - Dump'!$D:$D,'SKU Repoprt'!$D387,'Business - Dump'!$A:$A,'SKU Repoprt'!J$1)</f>
        <v>4291</v>
      </c>
      <c r="K387" s="3">
        <f>SUMIFS('Business - Dump'!$K:$K,'Business - Dump'!$D:$D,'SKU Repoprt'!$D387,'Business - Dump'!$A:$A,'SKU Repoprt'!K$1)</f>
        <v>6419</v>
      </c>
      <c r="L387" s="3">
        <f>SUMIFS('Business - Dump'!$K:$K,'Business - Dump'!$D:$D,'SKU Repoprt'!$D387,'Business - Dump'!$A:$A,'SKU Repoprt'!L$1)</f>
        <v>7111</v>
      </c>
      <c r="M387" s="3">
        <f>SUMIFS('Business - Dump'!$K:$K,'Business - Dump'!$D:$D,'SKU Repoprt'!$D387,'Business - Dump'!$A:$A,'SKU Repoprt'!M$1)</f>
        <v>8060</v>
      </c>
      <c r="N387" s="3">
        <f>SUMIFS('Business - Dump'!$K:$K,'Business - Dump'!$D:$D,'SKU Repoprt'!$D387,'Business - Dump'!$A:$A,'SKU Repoprt'!N$1)</f>
        <v>2487</v>
      </c>
      <c r="O387" s="3">
        <f>SUMIFS('Business - Dump'!$K:$K,'Business - Dump'!$D:$D,'SKU Repoprt'!$D387,'Business - Dump'!$A:$A,'SKU Repoprt'!O$1)</f>
        <v>235</v>
      </c>
      <c r="P387" s="3">
        <f>SUMIFS('Business - Dump'!$K:$K,'Business - Dump'!$D:$D,'SKU Repoprt'!$D387,'Business - Dump'!$A:$A,'SKU Repoprt'!P$1)</f>
        <v>342</v>
      </c>
      <c r="Q387" s="3">
        <f>SUMIFS('Business - Dump'!$K:$K,'Business - Dump'!$D:$D,'SKU Repoprt'!$D387,'Business - Dump'!$A:$A,'SKU Repoprt'!Q$1)</f>
        <v>377</v>
      </c>
      <c r="R387" s="3">
        <f>SUMIFS('Business - Dump'!$K:$K,'Business - Dump'!$D:$D,'SKU Repoprt'!$D387,'Business - Dump'!$A:$A,'SKU Repoprt'!R$1)</f>
        <v>203</v>
      </c>
      <c r="S387" s="3">
        <f>SUMIFS('Business - Dump'!$K:$K,'Business - Dump'!$D:$D,'SKU Repoprt'!$D387,'Business - Dump'!$A:$A,'SKU Repoprt'!S$1)</f>
        <v>0</v>
      </c>
      <c r="T387" s="3">
        <f>SUMIFS('Business - Dump'!$K:$K,'Business - Dump'!$D:$D,'SKU Repoprt'!$D387,'Business - Dump'!$A:$A,'SKU Repoprt'!T$1)</f>
        <v>0</v>
      </c>
      <c r="U387" s="3">
        <f>SUMIFS('Business - Dump'!$K:$K,'Business - Dump'!$D:$D,'SKU Repoprt'!$D387,'Business - Dump'!$A:$A,'SKU Repoprt'!U$1)</f>
        <v>0</v>
      </c>
      <c r="V387" s="3">
        <f>SUMIFS('Business - Dump'!$K:$K,'Business - Dump'!$D:$D,'SKU Repoprt'!$D387,'Business - Dump'!$A:$A,'SKU Repoprt'!V$1)</f>
        <v>0</v>
      </c>
      <c r="W387" s="3">
        <f>SUMIFS('Business - Dump'!$K:$K,'Business - Dump'!$D:$D,'SKU Repoprt'!$D387,'Business - Dump'!$A:$A,'SKU Repoprt'!W$1)</f>
        <v>0</v>
      </c>
    </row>
    <row r="388" ht="15.75" customHeight="1">
      <c r="A388" s="10" t="s">
        <v>152</v>
      </c>
      <c r="B388" s="10" t="s">
        <v>152</v>
      </c>
      <c r="C388" s="10"/>
      <c r="D388" s="10" t="s">
        <v>330</v>
      </c>
      <c r="E388" s="10" t="s">
        <v>264</v>
      </c>
      <c r="F388" s="3">
        <f t="shared" si="129"/>
        <v>140</v>
      </c>
      <c r="G388" s="3">
        <f>SUMIFS('Business - Dump'!$Q:$Q,'Business - Dump'!$D:$D,'SKU Repoprt'!$D388,'Business - Dump'!$A:$A,'SKU Repoprt'!G$1)</f>
        <v>0</v>
      </c>
      <c r="H388" s="3">
        <f>SUMIFS('Business - Dump'!$Q:$Q,'Business - Dump'!$D:$D,'SKU Repoprt'!$D388,'Business - Dump'!$A:$A,'SKU Repoprt'!H$1)</f>
        <v>9</v>
      </c>
      <c r="I388" s="3">
        <f>SUMIFS('Business - Dump'!$Q:$Q,'Business - Dump'!$D:$D,'SKU Repoprt'!$D388,'Business - Dump'!$A:$A,'SKU Repoprt'!I$1)</f>
        <v>13</v>
      </c>
      <c r="J388" s="3">
        <f>SUMIFS('Business - Dump'!$Q:$Q,'Business - Dump'!$D:$D,'SKU Repoprt'!$D388,'Business - Dump'!$A:$A,'SKU Repoprt'!J$1)</f>
        <v>27</v>
      </c>
      <c r="K388" s="3">
        <f>SUMIFS('Business - Dump'!$Q:$Q,'Business - Dump'!$D:$D,'SKU Repoprt'!$D388,'Business - Dump'!$A:$A,'SKU Repoprt'!K$1)</f>
        <v>22</v>
      </c>
      <c r="L388" s="3">
        <f>SUMIFS('Business - Dump'!$Q:$Q,'Business - Dump'!$D:$D,'SKU Repoprt'!$D388,'Business - Dump'!$A:$A,'SKU Repoprt'!L$1)</f>
        <v>28</v>
      </c>
      <c r="M388" s="3">
        <f>SUMIFS('Business - Dump'!$Q:$Q,'Business - Dump'!$D:$D,'SKU Repoprt'!$D388,'Business - Dump'!$A:$A,'SKU Repoprt'!M$1)</f>
        <v>27</v>
      </c>
      <c r="N388" s="3">
        <f>SUMIFS('Business - Dump'!$Q:$Q,'Business - Dump'!$D:$D,'SKU Repoprt'!$D388,'Business - Dump'!$A:$A,'SKU Repoprt'!N$1)</f>
        <v>9</v>
      </c>
      <c r="O388" s="3">
        <f>SUMIFS('Business - Dump'!$Q:$Q,'Business - Dump'!$D:$D,'SKU Repoprt'!$D388,'Business - Dump'!$A:$A,'SKU Repoprt'!O$1)</f>
        <v>0</v>
      </c>
      <c r="P388" s="3">
        <f>SUMIFS('Business - Dump'!$Q:$Q,'Business - Dump'!$D:$D,'SKU Repoprt'!$D388,'Business - Dump'!$A:$A,'SKU Repoprt'!P$1)</f>
        <v>3</v>
      </c>
      <c r="Q388" s="3">
        <f>SUMIFS('Business - Dump'!$Q:$Q,'Business - Dump'!$D:$D,'SKU Repoprt'!$D388,'Business - Dump'!$A:$A,'SKU Repoprt'!Q$1)</f>
        <v>1</v>
      </c>
      <c r="R388" s="3">
        <f>SUMIFS('Business - Dump'!$Q:$Q,'Business - Dump'!$D:$D,'SKU Repoprt'!$D388,'Business - Dump'!$A:$A,'SKU Repoprt'!R$1)</f>
        <v>1</v>
      </c>
      <c r="S388" s="3">
        <f>SUMIFS('Business - Dump'!$Q:$Q,'Business - Dump'!$D:$D,'SKU Repoprt'!$D388,'Business - Dump'!$A:$A,'SKU Repoprt'!S$1)</f>
        <v>0</v>
      </c>
      <c r="T388" s="3">
        <f>SUMIFS('Business - Dump'!$Q:$Q,'Business - Dump'!$D:$D,'SKU Repoprt'!$D388,'Business - Dump'!$A:$A,'SKU Repoprt'!T$1)</f>
        <v>0</v>
      </c>
      <c r="U388" s="3">
        <f>SUMIFS('Business - Dump'!$Q:$Q,'Business - Dump'!$D:$D,'SKU Repoprt'!$D388,'Business - Dump'!$A:$A,'SKU Repoprt'!U$1)</f>
        <v>0</v>
      </c>
      <c r="V388" s="3">
        <f>SUMIFS('Business - Dump'!$Q:$Q,'Business - Dump'!$D:$D,'SKU Repoprt'!$D388,'Business - Dump'!$A:$A,'SKU Repoprt'!V$1)</f>
        <v>0</v>
      </c>
      <c r="W388" s="3">
        <f>SUMIFS('Business - Dump'!$Q:$Q,'Business - Dump'!$D:$D,'SKU Repoprt'!$D388,'Business - Dump'!$A:$A,'SKU Repoprt'!W$1)</f>
        <v>0</v>
      </c>
    </row>
    <row r="389" ht="15.75" customHeight="1">
      <c r="A389" s="10" t="s">
        <v>152</v>
      </c>
      <c r="B389" s="10" t="s">
        <v>152</v>
      </c>
      <c r="C389" s="10"/>
      <c r="D389" s="10" t="s">
        <v>330</v>
      </c>
      <c r="E389" s="10" t="s">
        <v>268</v>
      </c>
      <c r="F389" s="3">
        <f t="shared" si="129"/>
        <v>140</v>
      </c>
      <c r="G389" s="3">
        <f>SUMIFS('Business - Dump'!$W:$W,'Business - Dump'!$D:$D,'SKU Repoprt'!$D389,'Business - Dump'!$A:$A,'SKU Repoprt'!G$1)</f>
        <v>0</v>
      </c>
      <c r="H389" s="3">
        <f>SUMIFS('Business - Dump'!$W:$W,'Business - Dump'!$D:$D,'SKU Repoprt'!$D389,'Business - Dump'!$A:$A,'SKU Repoprt'!H$1)</f>
        <v>9</v>
      </c>
      <c r="I389" s="3">
        <f>SUMIFS('Business - Dump'!$W:$W,'Business - Dump'!$D:$D,'SKU Repoprt'!$D389,'Business - Dump'!$A:$A,'SKU Repoprt'!I$1)</f>
        <v>13</v>
      </c>
      <c r="J389" s="3">
        <f>SUMIFS('Business - Dump'!$W:$W,'Business - Dump'!$D:$D,'SKU Repoprt'!$D389,'Business - Dump'!$A:$A,'SKU Repoprt'!J$1)</f>
        <v>27</v>
      </c>
      <c r="K389" s="3">
        <f>SUMIFS('Business - Dump'!$W:$W,'Business - Dump'!$D:$D,'SKU Repoprt'!$D389,'Business - Dump'!$A:$A,'SKU Repoprt'!K$1)</f>
        <v>22</v>
      </c>
      <c r="L389" s="3">
        <f>SUMIFS('Business - Dump'!$W:$W,'Business - Dump'!$D:$D,'SKU Repoprt'!$D389,'Business - Dump'!$A:$A,'SKU Repoprt'!L$1)</f>
        <v>28</v>
      </c>
      <c r="M389" s="3">
        <f>SUMIFS('Business - Dump'!$W:$W,'Business - Dump'!$D:$D,'SKU Repoprt'!$D389,'Business - Dump'!$A:$A,'SKU Repoprt'!M$1)</f>
        <v>27</v>
      </c>
      <c r="N389" s="3">
        <f>SUMIFS('Business - Dump'!$W:$W,'Business - Dump'!$D:$D,'SKU Repoprt'!$D389,'Business - Dump'!$A:$A,'SKU Repoprt'!N$1)</f>
        <v>9</v>
      </c>
      <c r="O389" s="3">
        <f>SUMIFS('Business - Dump'!$W:$W,'Business - Dump'!$D:$D,'SKU Repoprt'!$D389,'Business - Dump'!$A:$A,'SKU Repoprt'!O$1)</f>
        <v>0</v>
      </c>
      <c r="P389" s="3">
        <f>SUMIFS('Business - Dump'!$W:$W,'Business - Dump'!$D:$D,'SKU Repoprt'!$D389,'Business - Dump'!$A:$A,'SKU Repoprt'!P$1)</f>
        <v>3</v>
      </c>
      <c r="Q389" s="3">
        <f>SUMIFS('Business - Dump'!$W:$W,'Business - Dump'!$D:$D,'SKU Repoprt'!$D389,'Business - Dump'!$A:$A,'SKU Repoprt'!Q$1)</f>
        <v>1</v>
      </c>
      <c r="R389" s="3">
        <f>SUMIFS('Business - Dump'!$W:$W,'Business - Dump'!$D:$D,'SKU Repoprt'!$D389,'Business - Dump'!$A:$A,'SKU Repoprt'!R$1)</f>
        <v>1</v>
      </c>
      <c r="S389" s="3">
        <f>SUMIFS('Business - Dump'!$W:$W,'Business - Dump'!$D:$D,'SKU Repoprt'!$D389,'Business - Dump'!$A:$A,'SKU Repoprt'!S$1)</f>
        <v>0</v>
      </c>
      <c r="T389" s="3">
        <f>SUMIFS('Business - Dump'!$W:$W,'Business - Dump'!$D:$D,'SKU Repoprt'!$D389,'Business - Dump'!$A:$A,'SKU Repoprt'!T$1)</f>
        <v>0</v>
      </c>
      <c r="U389" s="3">
        <f>SUMIFS('Business - Dump'!$W:$W,'Business - Dump'!$D:$D,'SKU Repoprt'!$D389,'Business - Dump'!$A:$A,'SKU Repoprt'!U$1)</f>
        <v>0</v>
      </c>
      <c r="V389" s="3">
        <f>SUMIFS('Business - Dump'!$W:$W,'Business - Dump'!$D:$D,'SKU Repoprt'!$D389,'Business - Dump'!$A:$A,'SKU Repoprt'!V$1)</f>
        <v>0</v>
      </c>
      <c r="W389" s="3">
        <f>SUMIFS('Business - Dump'!$W:$W,'Business - Dump'!$D:$D,'SKU Repoprt'!$D389,'Business - Dump'!$A:$A,'SKU Repoprt'!W$1)</f>
        <v>0</v>
      </c>
    </row>
    <row r="390" ht="15.75" customHeight="1">
      <c r="A390" s="10" t="s">
        <v>152</v>
      </c>
      <c r="B390" s="10" t="s">
        <v>152</v>
      </c>
      <c r="C390" s="10"/>
      <c r="D390" s="10" t="s">
        <v>330</v>
      </c>
      <c r="E390" s="10" t="s">
        <v>26</v>
      </c>
      <c r="F390" s="16">
        <f t="shared" si="129"/>
        <v>2106251.5</v>
      </c>
      <c r="G390" s="16">
        <f>SUMIFS('Business - Dump'!$U:$U,'Business - Dump'!$D:$D,'SKU Repoprt'!$D390,'Business - Dump'!$A:$A,'SKU Repoprt'!G$1)</f>
        <v>0</v>
      </c>
      <c r="H390" s="16">
        <f>SUMIFS('Business - Dump'!$U:$U,'Business - Dump'!$D:$D,'SKU Repoprt'!$D390,'Business - Dump'!$A:$A,'SKU Repoprt'!H$1)</f>
        <v>137700</v>
      </c>
      <c r="I390" s="16">
        <f>SUMIFS('Business - Dump'!$U:$U,'Business - Dump'!$D:$D,'SKU Repoprt'!$D390,'Business - Dump'!$A:$A,'SKU Repoprt'!I$1)</f>
        <v>197160</v>
      </c>
      <c r="J390" s="16">
        <f>SUMIFS('Business - Dump'!$U:$U,'Business - Dump'!$D:$D,'SKU Repoprt'!$D390,'Business - Dump'!$A:$A,'SKU Repoprt'!J$1)</f>
        <v>406953.86</v>
      </c>
      <c r="K390" s="16">
        <f>SUMIFS('Business - Dump'!$U:$U,'Business - Dump'!$D:$D,'SKU Repoprt'!$D390,'Business - Dump'!$A:$A,'SKU Repoprt'!K$1)</f>
        <v>325978</v>
      </c>
      <c r="L390" s="16">
        <f>SUMIFS('Business - Dump'!$U:$U,'Business - Dump'!$D:$D,'SKU Repoprt'!$D390,'Business - Dump'!$A:$A,'SKU Repoprt'!L$1)</f>
        <v>414372</v>
      </c>
      <c r="M390" s="16">
        <f>SUMIFS('Business - Dump'!$U:$U,'Business - Dump'!$D:$D,'SKU Repoprt'!$D390,'Business - Dump'!$A:$A,'SKU Repoprt'!M$1)</f>
        <v>406287.64</v>
      </c>
      <c r="N390" s="16">
        <f>SUMIFS('Business - Dump'!$U:$U,'Business - Dump'!$D:$D,'SKU Repoprt'!$D390,'Business - Dump'!$A:$A,'SKU Repoprt'!N$1)</f>
        <v>138150</v>
      </c>
      <c r="O390" s="16">
        <f>SUMIFS('Business - Dump'!$U:$U,'Business - Dump'!$D:$D,'SKU Repoprt'!$D390,'Business - Dump'!$A:$A,'SKU Repoprt'!O$1)</f>
        <v>0</v>
      </c>
      <c r="P390" s="16">
        <f>SUMIFS('Business - Dump'!$U:$U,'Business - Dump'!$D:$D,'SKU Repoprt'!$D390,'Business - Dump'!$A:$A,'SKU Repoprt'!P$1)</f>
        <v>46650</v>
      </c>
      <c r="Q390" s="16">
        <f>SUMIFS('Business - Dump'!$U:$U,'Business - Dump'!$D:$D,'SKU Repoprt'!$D390,'Business - Dump'!$A:$A,'SKU Repoprt'!Q$1)</f>
        <v>16500</v>
      </c>
      <c r="R390" s="16">
        <f>SUMIFS('Business - Dump'!$U:$U,'Business - Dump'!$D:$D,'SKU Repoprt'!$D390,'Business - Dump'!$A:$A,'SKU Repoprt'!R$1)</f>
        <v>16500</v>
      </c>
      <c r="S390" s="16">
        <f>SUMIFS('Business - Dump'!$U:$U,'Business - Dump'!$D:$D,'SKU Repoprt'!$D390,'Business - Dump'!$A:$A,'SKU Repoprt'!S$1)</f>
        <v>0</v>
      </c>
      <c r="T390" s="16">
        <f>SUMIFS('Business - Dump'!$U:$U,'Business - Dump'!$D:$D,'SKU Repoprt'!$D390,'Business - Dump'!$A:$A,'SKU Repoprt'!T$1)</f>
        <v>0</v>
      </c>
      <c r="U390" s="16">
        <f>SUMIFS('Business - Dump'!$U:$U,'Business - Dump'!$D:$D,'SKU Repoprt'!$D390,'Business - Dump'!$A:$A,'SKU Repoprt'!U$1)</f>
        <v>0</v>
      </c>
      <c r="V390" s="16">
        <f>SUMIFS('Business - Dump'!$U:$U,'Business - Dump'!$D:$D,'SKU Repoprt'!$D390,'Business - Dump'!$A:$A,'SKU Repoprt'!V$1)</f>
        <v>0</v>
      </c>
      <c r="W390" s="16">
        <f>SUMIFS('Business - Dump'!$U:$U,'Business - Dump'!$D:$D,'SKU Repoprt'!$D390,'Business - Dump'!$A:$A,'SKU Repoprt'!W$1)</f>
        <v>0</v>
      </c>
    </row>
    <row r="391" ht="15.75" customHeight="1">
      <c r="A391" s="10" t="s">
        <v>152</v>
      </c>
      <c r="B391" s="10" t="s">
        <v>152</v>
      </c>
      <c r="C391" s="10"/>
      <c r="D391" s="10" t="s">
        <v>330</v>
      </c>
      <c r="E391" s="10" t="s">
        <v>29</v>
      </c>
      <c r="F391" s="17">
        <v>0.027042857142857143</v>
      </c>
      <c r="G391" s="17">
        <f t="shared" ref="G391:W391" si="130">IFERROR(G389/G386,0)</f>
        <v>0</v>
      </c>
      <c r="H391" s="17">
        <f t="shared" si="130"/>
        <v>0.009933774834</v>
      </c>
      <c r="I391" s="17">
        <f t="shared" si="130"/>
        <v>0.004841713222</v>
      </c>
      <c r="J391" s="17">
        <f t="shared" si="130"/>
        <v>0.009588068182</v>
      </c>
      <c r="K391" s="17">
        <f t="shared" si="130"/>
        <v>0.005384238864</v>
      </c>
      <c r="L391" s="17">
        <f t="shared" si="130"/>
        <v>0.006051437216</v>
      </c>
      <c r="M391" s="17">
        <f t="shared" si="130"/>
        <v>0.006277609858</v>
      </c>
      <c r="N391" s="17">
        <f t="shared" si="130"/>
        <v>0.00521134916</v>
      </c>
      <c r="O391" s="17">
        <f t="shared" si="130"/>
        <v>0</v>
      </c>
      <c r="P391" s="17">
        <f t="shared" si="130"/>
        <v>0.01171875</v>
      </c>
      <c r="Q391" s="17">
        <f t="shared" si="130"/>
        <v>0.003597122302</v>
      </c>
      <c r="R391" s="17">
        <f t="shared" si="130"/>
        <v>0.006756756757</v>
      </c>
      <c r="S391" s="17">
        <f t="shared" si="130"/>
        <v>0</v>
      </c>
      <c r="T391" s="17">
        <f t="shared" si="130"/>
        <v>0</v>
      </c>
      <c r="U391" s="17">
        <f t="shared" si="130"/>
        <v>0</v>
      </c>
      <c r="V391" s="17">
        <f t="shared" si="130"/>
        <v>0</v>
      </c>
      <c r="W391" s="17">
        <f t="shared" si="130"/>
        <v>0</v>
      </c>
    </row>
    <row r="392" ht="15.75" customHeight="1">
      <c r="A392" s="10" t="s">
        <v>395</v>
      </c>
      <c r="B392" s="10" t="s">
        <v>395</v>
      </c>
      <c r="C392" s="10"/>
      <c r="D392" s="10" t="s">
        <v>348</v>
      </c>
      <c r="E392" s="10" t="s">
        <v>257</v>
      </c>
      <c r="F392" s="3">
        <f t="shared" ref="F392:F396" si="131">SUM(G392:S392)</f>
        <v>3905</v>
      </c>
      <c r="G392" s="3">
        <f>SUMIFS('Business - Dump'!$G:$G,'Business - Dump'!$D:$D,'SKU Repoprt'!$D392,'Business - Dump'!$A:$A,'SKU Repoprt'!G$1)</f>
        <v>0</v>
      </c>
      <c r="H392" s="3">
        <f>SUMIFS('Business - Dump'!$G:$G,'Business - Dump'!$D:$D,'SKU Repoprt'!$D392,'Business - Dump'!$A:$A,'SKU Repoprt'!H$1)</f>
        <v>0</v>
      </c>
      <c r="I392" s="3">
        <f>SUMIFS('Business - Dump'!$G:$G,'Business - Dump'!$D:$D,'SKU Repoprt'!$D392,'Business - Dump'!$A:$A,'SKU Repoprt'!I$1)</f>
        <v>1038</v>
      </c>
      <c r="J392" s="3">
        <f>SUMIFS('Business - Dump'!$G:$G,'Business - Dump'!$D:$D,'SKU Repoprt'!$D392,'Business - Dump'!$A:$A,'SKU Repoprt'!J$1)</f>
        <v>1588</v>
      </c>
      <c r="K392" s="3">
        <f>SUMIFS('Business - Dump'!$G:$G,'Business - Dump'!$D:$D,'SKU Repoprt'!$D392,'Business - Dump'!$A:$A,'SKU Repoprt'!K$1)</f>
        <v>863</v>
      </c>
      <c r="L392" s="3">
        <f>SUMIFS('Business - Dump'!$G:$G,'Business - Dump'!$D:$D,'SKU Repoprt'!$D392,'Business - Dump'!$A:$A,'SKU Repoprt'!L$1)</f>
        <v>0</v>
      </c>
      <c r="M392" s="3">
        <f>SUMIFS('Business - Dump'!$G:$G,'Business - Dump'!$D:$D,'SKU Repoprt'!$D392,'Business - Dump'!$A:$A,'SKU Repoprt'!M$1)</f>
        <v>0</v>
      </c>
      <c r="N392" s="3">
        <f>SUMIFS('Business - Dump'!$G:$G,'Business - Dump'!$D:$D,'SKU Repoprt'!$D392,'Business - Dump'!$A:$A,'SKU Repoprt'!N$1)</f>
        <v>0</v>
      </c>
      <c r="O392" s="3">
        <f>SUMIFS('Business - Dump'!$G:$G,'Business - Dump'!$D:$D,'SKU Repoprt'!$D392,'Business - Dump'!$A:$A,'SKU Repoprt'!O$1)</f>
        <v>416</v>
      </c>
      <c r="P392" s="3">
        <f>SUMIFS('Business - Dump'!$G:$G,'Business - Dump'!$D:$D,'SKU Repoprt'!$D392,'Business - Dump'!$A:$A,'SKU Repoprt'!P$1)</f>
        <v>0</v>
      </c>
      <c r="Q392" s="3">
        <f>SUMIFS('Business - Dump'!$G:$G,'Business - Dump'!$D:$D,'SKU Repoprt'!$D392,'Business - Dump'!$A:$A,'SKU Repoprt'!Q$1)</f>
        <v>0</v>
      </c>
      <c r="R392" s="3">
        <f>SUMIFS('Business - Dump'!$G:$G,'Business - Dump'!$D:$D,'SKU Repoprt'!$D392,'Business - Dump'!$A:$A,'SKU Repoprt'!R$1)</f>
        <v>0</v>
      </c>
      <c r="S392" s="3">
        <f>SUMIFS('Business - Dump'!$G:$G,'Business - Dump'!$D:$D,'SKU Repoprt'!$D392,'Business - Dump'!$A:$A,'SKU Repoprt'!S$1)</f>
        <v>0</v>
      </c>
      <c r="T392" s="3">
        <f>SUMIFS('Business - Dump'!$G:$G,'Business - Dump'!$D:$D,'SKU Repoprt'!$D392,'Business - Dump'!$A:$A,'SKU Repoprt'!T$1)</f>
        <v>0</v>
      </c>
      <c r="U392" s="3">
        <f>SUMIFS('Business - Dump'!$G:$G,'Business - Dump'!$D:$D,'SKU Repoprt'!$D392,'Business - Dump'!$A:$A,'SKU Repoprt'!U$1)</f>
        <v>0</v>
      </c>
      <c r="V392" s="3">
        <f>SUMIFS('Business - Dump'!$G:$G,'Business - Dump'!$D:$D,'SKU Repoprt'!$D392,'Business - Dump'!$A:$A,'SKU Repoprt'!V$1)</f>
        <v>138</v>
      </c>
      <c r="W392" s="3">
        <f>SUMIFS('Business - Dump'!$G:$G,'Business - Dump'!$D:$D,'SKU Repoprt'!$D392,'Business - Dump'!$A:$A,'SKU Repoprt'!W$1)</f>
        <v>275</v>
      </c>
    </row>
    <row r="393" ht="15.75" customHeight="1">
      <c r="A393" s="10" t="s">
        <v>395</v>
      </c>
      <c r="B393" s="10" t="s">
        <v>395</v>
      </c>
      <c r="C393" s="10"/>
      <c r="D393" s="10" t="s">
        <v>348</v>
      </c>
      <c r="E393" s="10" t="s">
        <v>260</v>
      </c>
      <c r="F393" s="3">
        <f t="shared" si="131"/>
        <v>5505</v>
      </c>
      <c r="G393" s="3">
        <f>SUMIFS('Business - Dump'!$K:$K,'Business - Dump'!$D:$D,'SKU Repoprt'!$D393,'Business - Dump'!$A:$A,'SKU Repoprt'!G$1)</f>
        <v>0</v>
      </c>
      <c r="H393" s="3">
        <f>SUMIFS('Business - Dump'!$K:$K,'Business - Dump'!$D:$D,'SKU Repoprt'!$D393,'Business - Dump'!$A:$A,'SKU Repoprt'!H$1)</f>
        <v>0</v>
      </c>
      <c r="I393" s="3">
        <f>SUMIFS('Business - Dump'!$K:$K,'Business - Dump'!$D:$D,'SKU Repoprt'!$D393,'Business - Dump'!$A:$A,'SKU Repoprt'!I$1)</f>
        <v>1463</v>
      </c>
      <c r="J393" s="3">
        <f>SUMIFS('Business - Dump'!$K:$K,'Business - Dump'!$D:$D,'SKU Repoprt'!$D393,'Business - Dump'!$A:$A,'SKU Repoprt'!J$1)</f>
        <v>2291</v>
      </c>
      <c r="K393" s="3">
        <f>SUMIFS('Business - Dump'!$K:$K,'Business - Dump'!$D:$D,'SKU Repoprt'!$D393,'Business - Dump'!$A:$A,'SKU Repoprt'!K$1)</f>
        <v>1194</v>
      </c>
      <c r="L393" s="3">
        <f>SUMIFS('Business - Dump'!$K:$K,'Business - Dump'!$D:$D,'SKU Repoprt'!$D393,'Business - Dump'!$A:$A,'SKU Repoprt'!L$1)</f>
        <v>0</v>
      </c>
      <c r="M393" s="3">
        <f>SUMIFS('Business - Dump'!$K:$K,'Business - Dump'!$D:$D,'SKU Repoprt'!$D393,'Business - Dump'!$A:$A,'SKU Repoprt'!M$1)</f>
        <v>0</v>
      </c>
      <c r="N393" s="3">
        <f>SUMIFS('Business - Dump'!$K:$K,'Business - Dump'!$D:$D,'SKU Repoprt'!$D393,'Business - Dump'!$A:$A,'SKU Repoprt'!N$1)</f>
        <v>0</v>
      </c>
      <c r="O393" s="3">
        <f>SUMIFS('Business - Dump'!$K:$K,'Business - Dump'!$D:$D,'SKU Repoprt'!$D393,'Business - Dump'!$A:$A,'SKU Repoprt'!O$1)</f>
        <v>557</v>
      </c>
      <c r="P393" s="3">
        <f>SUMIFS('Business - Dump'!$K:$K,'Business - Dump'!$D:$D,'SKU Repoprt'!$D393,'Business - Dump'!$A:$A,'SKU Repoprt'!P$1)</f>
        <v>0</v>
      </c>
      <c r="Q393" s="3">
        <f>SUMIFS('Business - Dump'!$K:$K,'Business - Dump'!$D:$D,'SKU Repoprt'!$D393,'Business - Dump'!$A:$A,'SKU Repoprt'!Q$1)</f>
        <v>0</v>
      </c>
      <c r="R393" s="3">
        <f>SUMIFS('Business - Dump'!$K:$K,'Business - Dump'!$D:$D,'SKU Repoprt'!$D393,'Business - Dump'!$A:$A,'SKU Repoprt'!R$1)</f>
        <v>0</v>
      </c>
      <c r="S393" s="3">
        <f>SUMIFS('Business - Dump'!$K:$K,'Business - Dump'!$D:$D,'SKU Repoprt'!$D393,'Business - Dump'!$A:$A,'SKU Repoprt'!S$1)</f>
        <v>0</v>
      </c>
      <c r="T393" s="3">
        <f>SUMIFS('Business - Dump'!$K:$K,'Business - Dump'!$D:$D,'SKU Repoprt'!$D393,'Business - Dump'!$A:$A,'SKU Repoprt'!T$1)</f>
        <v>0</v>
      </c>
      <c r="U393" s="3">
        <f>SUMIFS('Business - Dump'!$K:$K,'Business - Dump'!$D:$D,'SKU Repoprt'!$D393,'Business - Dump'!$A:$A,'SKU Repoprt'!U$1)</f>
        <v>0</v>
      </c>
      <c r="V393" s="3">
        <f>SUMIFS('Business - Dump'!$K:$K,'Business - Dump'!$D:$D,'SKU Repoprt'!$D393,'Business - Dump'!$A:$A,'SKU Repoprt'!V$1)</f>
        <v>168</v>
      </c>
      <c r="W393" s="3">
        <f>SUMIFS('Business - Dump'!$K:$K,'Business - Dump'!$D:$D,'SKU Repoprt'!$D393,'Business - Dump'!$A:$A,'SKU Repoprt'!W$1)</f>
        <v>358</v>
      </c>
    </row>
    <row r="394" ht="15.75" customHeight="1">
      <c r="A394" s="10" t="s">
        <v>395</v>
      </c>
      <c r="B394" s="10" t="s">
        <v>395</v>
      </c>
      <c r="C394" s="10"/>
      <c r="D394" s="10" t="s">
        <v>348</v>
      </c>
      <c r="E394" s="10" t="s">
        <v>264</v>
      </c>
      <c r="F394" s="3">
        <f t="shared" si="131"/>
        <v>11</v>
      </c>
      <c r="G394" s="3">
        <f>SUMIFS('Business - Dump'!$Q:$Q,'Business - Dump'!$D:$D,'SKU Repoprt'!$D394,'Business - Dump'!$A:$A,'SKU Repoprt'!G$1)</f>
        <v>0</v>
      </c>
      <c r="H394" s="3">
        <f>SUMIFS('Business - Dump'!$Q:$Q,'Business - Dump'!$D:$D,'SKU Repoprt'!$D394,'Business - Dump'!$A:$A,'SKU Repoprt'!H$1)</f>
        <v>0</v>
      </c>
      <c r="I394" s="3">
        <f>SUMIFS('Business - Dump'!$Q:$Q,'Business - Dump'!$D:$D,'SKU Repoprt'!$D394,'Business - Dump'!$A:$A,'SKU Repoprt'!I$1)</f>
        <v>2</v>
      </c>
      <c r="J394" s="3">
        <f>SUMIFS('Business - Dump'!$Q:$Q,'Business - Dump'!$D:$D,'SKU Repoprt'!$D394,'Business - Dump'!$A:$A,'SKU Repoprt'!J$1)</f>
        <v>4</v>
      </c>
      <c r="K394" s="3">
        <f>SUMIFS('Business - Dump'!$Q:$Q,'Business - Dump'!$D:$D,'SKU Repoprt'!$D394,'Business - Dump'!$A:$A,'SKU Repoprt'!K$1)</f>
        <v>4</v>
      </c>
      <c r="L394" s="3">
        <f>SUMIFS('Business - Dump'!$Q:$Q,'Business - Dump'!$D:$D,'SKU Repoprt'!$D394,'Business - Dump'!$A:$A,'SKU Repoprt'!L$1)</f>
        <v>0</v>
      </c>
      <c r="M394" s="3">
        <f>SUMIFS('Business - Dump'!$Q:$Q,'Business - Dump'!$D:$D,'SKU Repoprt'!$D394,'Business - Dump'!$A:$A,'SKU Repoprt'!M$1)</f>
        <v>0</v>
      </c>
      <c r="N394" s="3">
        <f>SUMIFS('Business - Dump'!$Q:$Q,'Business - Dump'!$D:$D,'SKU Repoprt'!$D394,'Business - Dump'!$A:$A,'SKU Repoprt'!N$1)</f>
        <v>0</v>
      </c>
      <c r="O394" s="3">
        <f>SUMIFS('Business - Dump'!$Q:$Q,'Business - Dump'!$D:$D,'SKU Repoprt'!$D394,'Business - Dump'!$A:$A,'SKU Repoprt'!O$1)</f>
        <v>1</v>
      </c>
      <c r="P394" s="3">
        <f>SUMIFS('Business - Dump'!$Q:$Q,'Business - Dump'!$D:$D,'SKU Repoprt'!$D394,'Business - Dump'!$A:$A,'SKU Repoprt'!P$1)</f>
        <v>0</v>
      </c>
      <c r="Q394" s="3">
        <f>SUMIFS('Business - Dump'!$Q:$Q,'Business - Dump'!$D:$D,'SKU Repoprt'!$D394,'Business - Dump'!$A:$A,'SKU Repoprt'!Q$1)</f>
        <v>0</v>
      </c>
      <c r="R394" s="3">
        <f>SUMIFS('Business - Dump'!$Q:$Q,'Business - Dump'!$D:$D,'SKU Repoprt'!$D394,'Business - Dump'!$A:$A,'SKU Repoprt'!R$1)</f>
        <v>0</v>
      </c>
      <c r="S394" s="3">
        <f>SUMIFS('Business - Dump'!$Q:$Q,'Business - Dump'!$D:$D,'SKU Repoprt'!$D394,'Business - Dump'!$A:$A,'SKU Repoprt'!S$1)</f>
        <v>0</v>
      </c>
      <c r="T394" s="3">
        <f>SUMIFS('Business - Dump'!$Q:$Q,'Business - Dump'!$D:$D,'SKU Repoprt'!$D394,'Business - Dump'!$A:$A,'SKU Repoprt'!T$1)</f>
        <v>0</v>
      </c>
      <c r="U394" s="3">
        <f>SUMIFS('Business - Dump'!$Q:$Q,'Business - Dump'!$D:$D,'SKU Repoprt'!$D394,'Business - Dump'!$A:$A,'SKU Repoprt'!U$1)</f>
        <v>0</v>
      </c>
      <c r="V394" s="3">
        <f>SUMIFS('Business - Dump'!$Q:$Q,'Business - Dump'!$D:$D,'SKU Repoprt'!$D394,'Business - Dump'!$A:$A,'SKU Repoprt'!V$1)</f>
        <v>2</v>
      </c>
      <c r="W394" s="3">
        <f>SUMIFS('Business - Dump'!$Q:$Q,'Business - Dump'!$D:$D,'SKU Repoprt'!$D394,'Business - Dump'!$A:$A,'SKU Repoprt'!W$1)</f>
        <v>0</v>
      </c>
    </row>
    <row r="395" ht="15.75" customHeight="1">
      <c r="A395" s="10" t="s">
        <v>395</v>
      </c>
      <c r="B395" s="10" t="s">
        <v>395</v>
      </c>
      <c r="C395" s="10"/>
      <c r="D395" s="10" t="s">
        <v>348</v>
      </c>
      <c r="E395" s="10" t="s">
        <v>268</v>
      </c>
      <c r="F395" s="3">
        <f t="shared" si="131"/>
        <v>10</v>
      </c>
      <c r="G395" s="3">
        <f>SUMIFS('Business - Dump'!$W:$W,'Business - Dump'!$D:$D,'SKU Repoprt'!$D395,'Business - Dump'!$A:$A,'SKU Repoprt'!G$1)</f>
        <v>0</v>
      </c>
      <c r="H395" s="3">
        <f>SUMIFS('Business - Dump'!$W:$W,'Business - Dump'!$D:$D,'SKU Repoprt'!$D395,'Business - Dump'!$A:$A,'SKU Repoprt'!H$1)</f>
        <v>0</v>
      </c>
      <c r="I395" s="3">
        <f>SUMIFS('Business - Dump'!$W:$W,'Business - Dump'!$D:$D,'SKU Repoprt'!$D395,'Business - Dump'!$A:$A,'SKU Repoprt'!I$1)</f>
        <v>2</v>
      </c>
      <c r="J395" s="3">
        <f>SUMIFS('Business - Dump'!$W:$W,'Business - Dump'!$D:$D,'SKU Repoprt'!$D395,'Business - Dump'!$A:$A,'SKU Repoprt'!J$1)</f>
        <v>4</v>
      </c>
      <c r="K395" s="3">
        <f>SUMIFS('Business - Dump'!$W:$W,'Business - Dump'!$D:$D,'SKU Repoprt'!$D395,'Business - Dump'!$A:$A,'SKU Repoprt'!K$1)</f>
        <v>3</v>
      </c>
      <c r="L395" s="3">
        <f>SUMIFS('Business - Dump'!$W:$W,'Business - Dump'!$D:$D,'SKU Repoprt'!$D395,'Business - Dump'!$A:$A,'SKU Repoprt'!L$1)</f>
        <v>0</v>
      </c>
      <c r="M395" s="3">
        <f>SUMIFS('Business - Dump'!$W:$W,'Business - Dump'!$D:$D,'SKU Repoprt'!$D395,'Business - Dump'!$A:$A,'SKU Repoprt'!M$1)</f>
        <v>0</v>
      </c>
      <c r="N395" s="3">
        <f>SUMIFS('Business - Dump'!$W:$W,'Business - Dump'!$D:$D,'SKU Repoprt'!$D395,'Business - Dump'!$A:$A,'SKU Repoprt'!N$1)</f>
        <v>0</v>
      </c>
      <c r="O395" s="3">
        <f>SUMIFS('Business - Dump'!$W:$W,'Business - Dump'!$D:$D,'SKU Repoprt'!$D395,'Business - Dump'!$A:$A,'SKU Repoprt'!O$1)</f>
        <v>1</v>
      </c>
      <c r="P395" s="3">
        <f>SUMIFS('Business - Dump'!$W:$W,'Business - Dump'!$D:$D,'SKU Repoprt'!$D395,'Business - Dump'!$A:$A,'SKU Repoprt'!P$1)</f>
        <v>0</v>
      </c>
      <c r="Q395" s="3">
        <f>SUMIFS('Business - Dump'!$W:$W,'Business - Dump'!$D:$D,'SKU Repoprt'!$D395,'Business - Dump'!$A:$A,'SKU Repoprt'!Q$1)</f>
        <v>0</v>
      </c>
      <c r="R395" s="3">
        <f>SUMIFS('Business - Dump'!$W:$W,'Business - Dump'!$D:$D,'SKU Repoprt'!$D395,'Business - Dump'!$A:$A,'SKU Repoprt'!R$1)</f>
        <v>0</v>
      </c>
      <c r="S395" s="3">
        <f>SUMIFS('Business - Dump'!$W:$W,'Business - Dump'!$D:$D,'SKU Repoprt'!$D395,'Business - Dump'!$A:$A,'SKU Repoprt'!S$1)</f>
        <v>0</v>
      </c>
      <c r="T395" s="3">
        <f>SUMIFS('Business - Dump'!$W:$W,'Business - Dump'!$D:$D,'SKU Repoprt'!$D395,'Business - Dump'!$A:$A,'SKU Repoprt'!T$1)</f>
        <v>0</v>
      </c>
      <c r="U395" s="3">
        <f>SUMIFS('Business - Dump'!$W:$W,'Business - Dump'!$D:$D,'SKU Repoprt'!$D395,'Business - Dump'!$A:$A,'SKU Repoprt'!U$1)</f>
        <v>0</v>
      </c>
      <c r="V395" s="3">
        <f>SUMIFS('Business - Dump'!$W:$W,'Business - Dump'!$D:$D,'SKU Repoprt'!$D395,'Business - Dump'!$A:$A,'SKU Repoprt'!V$1)</f>
        <v>2</v>
      </c>
      <c r="W395" s="3">
        <f>SUMIFS('Business - Dump'!$W:$W,'Business - Dump'!$D:$D,'SKU Repoprt'!$D395,'Business - Dump'!$A:$A,'SKU Repoprt'!W$1)</f>
        <v>0</v>
      </c>
    </row>
    <row r="396" ht="15.75" customHeight="1">
      <c r="A396" s="10" t="s">
        <v>395</v>
      </c>
      <c r="B396" s="10" t="s">
        <v>395</v>
      </c>
      <c r="C396" s="10"/>
      <c r="D396" s="10" t="s">
        <v>348</v>
      </c>
      <c r="E396" s="10" t="s">
        <v>26</v>
      </c>
      <c r="F396" s="16">
        <f t="shared" si="131"/>
        <v>181510</v>
      </c>
      <c r="G396" s="16">
        <f>SUMIFS('Business - Dump'!$U:$U,'Business - Dump'!$D:$D,'SKU Repoprt'!$D396,'Business - Dump'!$A:$A,'SKU Repoprt'!G$1)</f>
        <v>0</v>
      </c>
      <c r="H396" s="16">
        <f>SUMIFS('Business - Dump'!$U:$U,'Business - Dump'!$D:$D,'SKU Repoprt'!$D396,'Business - Dump'!$A:$A,'SKU Repoprt'!H$1)</f>
        <v>0</v>
      </c>
      <c r="I396" s="16">
        <f>SUMIFS('Business - Dump'!$U:$U,'Business - Dump'!$D:$D,'SKU Repoprt'!$D396,'Business - Dump'!$A:$A,'SKU Repoprt'!I$1)</f>
        <v>33000</v>
      </c>
      <c r="J396" s="16">
        <f>SUMIFS('Business - Dump'!$U:$U,'Business - Dump'!$D:$D,'SKU Repoprt'!$D396,'Business - Dump'!$A:$A,'SKU Repoprt'!J$1)</f>
        <v>66000</v>
      </c>
      <c r="K396" s="16">
        <f>SUMIFS('Business - Dump'!$U:$U,'Business - Dump'!$D:$D,'SKU Repoprt'!$D396,'Business - Dump'!$A:$A,'SKU Repoprt'!K$1)</f>
        <v>65010</v>
      </c>
      <c r="L396" s="16">
        <f>SUMIFS('Business - Dump'!$U:$U,'Business - Dump'!$D:$D,'SKU Repoprt'!$D396,'Business - Dump'!$A:$A,'SKU Repoprt'!L$1)</f>
        <v>0</v>
      </c>
      <c r="M396" s="16">
        <f>SUMIFS('Business - Dump'!$U:$U,'Business - Dump'!$D:$D,'SKU Repoprt'!$D396,'Business - Dump'!$A:$A,'SKU Repoprt'!M$1)</f>
        <v>0</v>
      </c>
      <c r="N396" s="16">
        <f>SUMIFS('Business - Dump'!$U:$U,'Business - Dump'!$D:$D,'SKU Repoprt'!$D396,'Business - Dump'!$A:$A,'SKU Repoprt'!N$1)</f>
        <v>0</v>
      </c>
      <c r="O396" s="16">
        <f>SUMIFS('Business - Dump'!$U:$U,'Business - Dump'!$D:$D,'SKU Repoprt'!$D396,'Business - Dump'!$A:$A,'SKU Repoprt'!O$1)</f>
        <v>17500</v>
      </c>
      <c r="P396" s="16">
        <f>SUMIFS('Business - Dump'!$U:$U,'Business - Dump'!$D:$D,'SKU Repoprt'!$D396,'Business - Dump'!$A:$A,'SKU Repoprt'!P$1)</f>
        <v>0</v>
      </c>
      <c r="Q396" s="16">
        <f>SUMIFS('Business - Dump'!$U:$U,'Business - Dump'!$D:$D,'SKU Repoprt'!$D396,'Business - Dump'!$A:$A,'SKU Repoprt'!Q$1)</f>
        <v>0</v>
      </c>
      <c r="R396" s="16">
        <f>SUMIFS('Business - Dump'!$U:$U,'Business - Dump'!$D:$D,'SKU Repoprt'!$D396,'Business - Dump'!$A:$A,'SKU Repoprt'!R$1)</f>
        <v>0</v>
      </c>
      <c r="S396" s="16">
        <f>SUMIFS('Business - Dump'!$U:$U,'Business - Dump'!$D:$D,'SKU Repoprt'!$D396,'Business - Dump'!$A:$A,'SKU Repoprt'!S$1)</f>
        <v>0</v>
      </c>
      <c r="T396" s="16">
        <f>SUMIFS('Business - Dump'!$U:$U,'Business - Dump'!$D:$D,'SKU Repoprt'!$D396,'Business - Dump'!$A:$A,'SKU Repoprt'!T$1)</f>
        <v>0</v>
      </c>
      <c r="U396" s="16">
        <f>SUMIFS('Business - Dump'!$U:$U,'Business - Dump'!$D:$D,'SKU Repoprt'!$D396,'Business - Dump'!$A:$A,'SKU Repoprt'!U$1)</f>
        <v>0</v>
      </c>
      <c r="V396" s="16">
        <f>SUMIFS('Business - Dump'!$U:$U,'Business - Dump'!$D:$D,'SKU Repoprt'!$D396,'Business - Dump'!$A:$A,'SKU Repoprt'!V$1)</f>
        <v>35805</v>
      </c>
      <c r="W396" s="16">
        <f>SUMIFS('Business - Dump'!$U:$U,'Business - Dump'!$D:$D,'SKU Repoprt'!$D396,'Business - Dump'!$A:$A,'SKU Repoprt'!W$1)</f>
        <v>0</v>
      </c>
    </row>
    <row r="397" ht="15.75" customHeight="1">
      <c r="A397" s="10" t="s">
        <v>395</v>
      </c>
      <c r="B397" s="10" t="s">
        <v>395</v>
      </c>
      <c r="C397" s="10"/>
      <c r="D397" s="10" t="s">
        <v>348</v>
      </c>
      <c r="E397" s="10" t="s">
        <v>29</v>
      </c>
      <c r="F397" s="17">
        <v>0.027042857142857143</v>
      </c>
      <c r="G397" s="17">
        <f t="shared" ref="G397:W397" si="132">IFERROR(G395/G392,0)</f>
        <v>0</v>
      </c>
      <c r="H397" s="17">
        <f t="shared" si="132"/>
        <v>0</v>
      </c>
      <c r="I397" s="17">
        <f t="shared" si="132"/>
        <v>0.001926782274</v>
      </c>
      <c r="J397" s="17">
        <f t="shared" si="132"/>
        <v>0.002518891688</v>
      </c>
      <c r="K397" s="17">
        <f t="shared" si="132"/>
        <v>0.003476245655</v>
      </c>
      <c r="L397" s="17">
        <f t="shared" si="132"/>
        <v>0</v>
      </c>
      <c r="M397" s="17">
        <f t="shared" si="132"/>
        <v>0</v>
      </c>
      <c r="N397" s="17">
        <f t="shared" si="132"/>
        <v>0</v>
      </c>
      <c r="O397" s="17">
        <f t="shared" si="132"/>
        <v>0.002403846154</v>
      </c>
      <c r="P397" s="17">
        <f t="shared" si="132"/>
        <v>0</v>
      </c>
      <c r="Q397" s="17">
        <f t="shared" si="132"/>
        <v>0</v>
      </c>
      <c r="R397" s="17">
        <f t="shared" si="132"/>
        <v>0</v>
      </c>
      <c r="S397" s="17">
        <f t="shared" si="132"/>
        <v>0</v>
      </c>
      <c r="T397" s="17">
        <f t="shared" si="132"/>
        <v>0</v>
      </c>
      <c r="U397" s="17">
        <f t="shared" si="132"/>
        <v>0</v>
      </c>
      <c r="V397" s="17">
        <f t="shared" si="132"/>
        <v>0.01449275362</v>
      </c>
      <c r="W397" s="17">
        <f t="shared" si="132"/>
        <v>0</v>
      </c>
    </row>
    <row r="398" ht="15.75" customHeight="1">
      <c r="A398" s="10" t="s">
        <v>232</v>
      </c>
      <c r="B398" s="10" t="s">
        <v>232</v>
      </c>
      <c r="C398" s="10"/>
      <c r="D398" s="10" t="s">
        <v>317</v>
      </c>
      <c r="E398" s="10" t="s">
        <v>257</v>
      </c>
      <c r="F398" s="3">
        <f t="shared" ref="F398:F402" si="133">SUM(G398:S398)</f>
        <v>2250</v>
      </c>
      <c r="G398" s="3">
        <f>SUMIFS('Business - Dump'!$G:$G,'Business - Dump'!$D:$D,'SKU Repoprt'!$D398,'Business - Dump'!$A:$A,'SKU Repoprt'!G$1)</f>
        <v>680</v>
      </c>
      <c r="H398" s="3">
        <f>SUMIFS('Business - Dump'!$G:$G,'Business - Dump'!$D:$D,'SKU Repoprt'!$D398,'Business - Dump'!$A:$A,'SKU Repoprt'!H$1)</f>
        <v>1136</v>
      </c>
      <c r="I398" s="3">
        <f>SUMIFS('Business - Dump'!$G:$G,'Business - Dump'!$D:$D,'SKU Repoprt'!$D398,'Business - Dump'!$A:$A,'SKU Repoprt'!I$1)</f>
        <v>434</v>
      </c>
      <c r="J398" s="3">
        <f>SUMIFS('Business - Dump'!$G:$G,'Business - Dump'!$D:$D,'SKU Repoprt'!$D398,'Business - Dump'!$A:$A,'SKU Repoprt'!J$1)</f>
        <v>0</v>
      </c>
      <c r="K398" s="3">
        <f>SUMIFS('Business - Dump'!$G:$G,'Business - Dump'!$D:$D,'SKU Repoprt'!$D398,'Business - Dump'!$A:$A,'SKU Repoprt'!K$1)</f>
        <v>0</v>
      </c>
      <c r="L398" s="3">
        <f>SUMIFS('Business - Dump'!$G:$G,'Business - Dump'!$D:$D,'SKU Repoprt'!$D398,'Business - Dump'!$A:$A,'SKU Repoprt'!L$1)</f>
        <v>0</v>
      </c>
      <c r="M398" s="3">
        <f>SUMIFS('Business - Dump'!$G:$G,'Business - Dump'!$D:$D,'SKU Repoprt'!$D398,'Business - Dump'!$A:$A,'SKU Repoprt'!M$1)</f>
        <v>0</v>
      </c>
      <c r="N398" s="3">
        <f>SUMIFS('Business - Dump'!$G:$G,'Business - Dump'!$D:$D,'SKU Repoprt'!$D398,'Business - Dump'!$A:$A,'SKU Repoprt'!N$1)</f>
        <v>0</v>
      </c>
      <c r="O398" s="3">
        <f>SUMIFS('Business - Dump'!$G:$G,'Business - Dump'!$D:$D,'SKU Repoprt'!$D398,'Business - Dump'!$A:$A,'SKU Repoprt'!O$1)</f>
        <v>0</v>
      </c>
      <c r="P398" s="3">
        <f>SUMIFS('Business - Dump'!$G:$G,'Business - Dump'!$D:$D,'SKU Repoprt'!$D398,'Business - Dump'!$A:$A,'SKU Repoprt'!P$1)</f>
        <v>0</v>
      </c>
      <c r="Q398" s="3">
        <f>SUMIFS('Business - Dump'!$G:$G,'Business - Dump'!$D:$D,'SKU Repoprt'!$D398,'Business - Dump'!$A:$A,'SKU Repoprt'!Q$1)</f>
        <v>0</v>
      </c>
      <c r="R398" s="3">
        <f>SUMIFS('Business - Dump'!$G:$G,'Business - Dump'!$D:$D,'SKU Repoprt'!$D398,'Business - Dump'!$A:$A,'SKU Repoprt'!R$1)</f>
        <v>0</v>
      </c>
      <c r="S398" s="3">
        <f>SUMIFS('Business - Dump'!$G:$G,'Business - Dump'!$D:$D,'SKU Repoprt'!$D398,'Business - Dump'!$A:$A,'SKU Repoprt'!S$1)</f>
        <v>0</v>
      </c>
      <c r="T398" s="3">
        <f>SUMIFS('Business - Dump'!$G:$G,'Business - Dump'!$D:$D,'SKU Repoprt'!$D398,'Business - Dump'!$A:$A,'SKU Repoprt'!T$1)</f>
        <v>0</v>
      </c>
      <c r="U398" s="3">
        <f>SUMIFS('Business - Dump'!$G:$G,'Business - Dump'!$D:$D,'SKU Repoprt'!$D398,'Business - Dump'!$A:$A,'SKU Repoprt'!U$1)</f>
        <v>0</v>
      </c>
      <c r="V398" s="3">
        <f>SUMIFS('Business - Dump'!$G:$G,'Business - Dump'!$D:$D,'SKU Repoprt'!$D398,'Business - Dump'!$A:$A,'SKU Repoprt'!V$1)</f>
        <v>0</v>
      </c>
      <c r="W398" s="3">
        <f>SUMIFS('Business - Dump'!$G:$G,'Business - Dump'!$D:$D,'SKU Repoprt'!$D398,'Business - Dump'!$A:$A,'SKU Repoprt'!W$1)</f>
        <v>0</v>
      </c>
    </row>
    <row r="399" ht="15.75" customHeight="1">
      <c r="A399" s="10" t="s">
        <v>232</v>
      </c>
      <c r="B399" s="10" t="s">
        <v>232</v>
      </c>
      <c r="C399" s="10"/>
      <c r="D399" s="10" t="s">
        <v>317</v>
      </c>
      <c r="E399" s="10" t="s">
        <v>260</v>
      </c>
      <c r="F399" s="3">
        <f t="shared" si="133"/>
        <v>3294</v>
      </c>
      <c r="G399" s="3">
        <f>SUMIFS('Business - Dump'!$K:$K,'Business - Dump'!$D:$D,'SKU Repoprt'!$D399,'Business - Dump'!$A:$A,'SKU Repoprt'!G$1)</f>
        <v>867</v>
      </c>
      <c r="H399" s="3">
        <f>SUMIFS('Business - Dump'!$K:$K,'Business - Dump'!$D:$D,'SKU Repoprt'!$D399,'Business - Dump'!$A:$A,'SKU Repoprt'!H$1)</f>
        <v>1830</v>
      </c>
      <c r="I399" s="3">
        <f>SUMIFS('Business - Dump'!$K:$K,'Business - Dump'!$D:$D,'SKU Repoprt'!$D399,'Business - Dump'!$A:$A,'SKU Repoprt'!I$1)</f>
        <v>597</v>
      </c>
      <c r="J399" s="3">
        <f>SUMIFS('Business - Dump'!$K:$K,'Business - Dump'!$D:$D,'SKU Repoprt'!$D399,'Business - Dump'!$A:$A,'SKU Repoprt'!J$1)</f>
        <v>0</v>
      </c>
      <c r="K399" s="3">
        <f>SUMIFS('Business - Dump'!$K:$K,'Business - Dump'!$D:$D,'SKU Repoprt'!$D399,'Business - Dump'!$A:$A,'SKU Repoprt'!K$1)</f>
        <v>0</v>
      </c>
      <c r="L399" s="3">
        <f>SUMIFS('Business - Dump'!$K:$K,'Business - Dump'!$D:$D,'SKU Repoprt'!$D399,'Business - Dump'!$A:$A,'SKU Repoprt'!L$1)</f>
        <v>0</v>
      </c>
      <c r="M399" s="3">
        <f>SUMIFS('Business - Dump'!$K:$K,'Business - Dump'!$D:$D,'SKU Repoprt'!$D399,'Business - Dump'!$A:$A,'SKU Repoprt'!M$1)</f>
        <v>0</v>
      </c>
      <c r="N399" s="3">
        <f>SUMIFS('Business - Dump'!$K:$K,'Business - Dump'!$D:$D,'SKU Repoprt'!$D399,'Business - Dump'!$A:$A,'SKU Repoprt'!N$1)</f>
        <v>0</v>
      </c>
      <c r="O399" s="3">
        <f>SUMIFS('Business - Dump'!$K:$K,'Business - Dump'!$D:$D,'SKU Repoprt'!$D399,'Business - Dump'!$A:$A,'SKU Repoprt'!O$1)</f>
        <v>0</v>
      </c>
      <c r="P399" s="3">
        <f>SUMIFS('Business - Dump'!$K:$K,'Business - Dump'!$D:$D,'SKU Repoprt'!$D399,'Business - Dump'!$A:$A,'SKU Repoprt'!P$1)</f>
        <v>0</v>
      </c>
      <c r="Q399" s="3">
        <f>SUMIFS('Business - Dump'!$K:$K,'Business - Dump'!$D:$D,'SKU Repoprt'!$D399,'Business - Dump'!$A:$A,'SKU Repoprt'!Q$1)</f>
        <v>0</v>
      </c>
      <c r="R399" s="3">
        <f>SUMIFS('Business - Dump'!$K:$K,'Business - Dump'!$D:$D,'SKU Repoprt'!$D399,'Business - Dump'!$A:$A,'SKU Repoprt'!R$1)</f>
        <v>0</v>
      </c>
      <c r="S399" s="3">
        <f>SUMIFS('Business - Dump'!$K:$K,'Business - Dump'!$D:$D,'SKU Repoprt'!$D399,'Business - Dump'!$A:$A,'SKU Repoprt'!S$1)</f>
        <v>0</v>
      </c>
      <c r="T399" s="3">
        <f>SUMIFS('Business - Dump'!$K:$K,'Business - Dump'!$D:$D,'SKU Repoprt'!$D399,'Business - Dump'!$A:$A,'SKU Repoprt'!T$1)</f>
        <v>0</v>
      </c>
      <c r="U399" s="3">
        <f>SUMIFS('Business - Dump'!$K:$K,'Business - Dump'!$D:$D,'SKU Repoprt'!$D399,'Business - Dump'!$A:$A,'SKU Repoprt'!U$1)</f>
        <v>0</v>
      </c>
      <c r="V399" s="3">
        <f>SUMIFS('Business - Dump'!$K:$K,'Business - Dump'!$D:$D,'SKU Repoprt'!$D399,'Business - Dump'!$A:$A,'SKU Repoprt'!V$1)</f>
        <v>0</v>
      </c>
      <c r="W399" s="3">
        <f>SUMIFS('Business - Dump'!$K:$K,'Business - Dump'!$D:$D,'SKU Repoprt'!$D399,'Business - Dump'!$A:$A,'SKU Repoprt'!W$1)</f>
        <v>0</v>
      </c>
    </row>
    <row r="400" ht="15.75" customHeight="1">
      <c r="A400" s="10" t="s">
        <v>232</v>
      </c>
      <c r="B400" s="10" t="s">
        <v>232</v>
      </c>
      <c r="C400" s="10"/>
      <c r="D400" s="10" t="s">
        <v>317</v>
      </c>
      <c r="E400" s="10" t="s">
        <v>264</v>
      </c>
      <c r="F400" s="3">
        <f t="shared" si="133"/>
        <v>15</v>
      </c>
      <c r="G400" s="3">
        <f>SUMIFS('Business - Dump'!$Q:$Q,'Business - Dump'!$D:$D,'SKU Repoprt'!$D400,'Business - Dump'!$A:$A,'SKU Repoprt'!G$1)</f>
        <v>1</v>
      </c>
      <c r="H400" s="3">
        <f>SUMIFS('Business - Dump'!$Q:$Q,'Business - Dump'!$D:$D,'SKU Repoprt'!$D400,'Business - Dump'!$A:$A,'SKU Repoprt'!H$1)</f>
        <v>11</v>
      </c>
      <c r="I400" s="3">
        <f>SUMIFS('Business - Dump'!$Q:$Q,'Business - Dump'!$D:$D,'SKU Repoprt'!$D400,'Business - Dump'!$A:$A,'SKU Repoprt'!I$1)</f>
        <v>3</v>
      </c>
      <c r="J400" s="3">
        <f>SUMIFS('Business - Dump'!$Q:$Q,'Business - Dump'!$D:$D,'SKU Repoprt'!$D400,'Business - Dump'!$A:$A,'SKU Repoprt'!J$1)</f>
        <v>0</v>
      </c>
      <c r="K400" s="3">
        <f>SUMIFS('Business - Dump'!$Q:$Q,'Business - Dump'!$D:$D,'SKU Repoprt'!$D400,'Business - Dump'!$A:$A,'SKU Repoprt'!K$1)</f>
        <v>0</v>
      </c>
      <c r="L400" s="3">
        <f>SUMIFS('Business - Dump'!$Q:$Q,'Business - Dump'!$D:$D,'SKU Repoprt'!$D400,'Business - Dump'!$A:$A,'SKU Repoprt'!L$1)</f>
        <v>0</v>
      </c>
      <c r="M400" s="3">
        <f>SUMIFS('Business - Dump'!$Q:$Q,'Business - Dump'!$D:$D,'SKU Repoprt'!$D400,'Business - Dump'!$A:$A,'SKU Repoprt'!M$1)</f>
        <v>0</v>
      </c>
      <c r="N400" s="3">
        <f>SUMIFS('Business - Dump'!$Q:$Q,'Business - Dump'!$D:$D,'SKU Repoprt'!$D400,'Business - Dump'!$A:$A,'SKU Repoprt'!N$1)</f>
        <v>0</v>
      </c>
      <c r="O400" s="3">
        <f>SUMIFS('Business - Dump'!$Q:$Q,'Business - Dump'!$D:$D,'SKU Repoprt'!$D400,'Business - Dump'!$A:$A,'SKU Repoprt'!O$1)</f>
        <v>0</v>
      </c>
      <c r="P400" s="3">
        <f>SUMIFS('Business - Dump'!$Q:$Q,'Business - Dump'!$D:$D,'SKU Repoprt'!$D400,'Business - Dump'!$A:$A,'SKU Repoprt'!P$1)</f>
        <v>0</v>
      </c>
      <c r="Q400" s="3">
        <f>SUMIFS('Business - Dump'!$Q:$Q,'Business - Dump'!$D:$D,'SKU Repoprt'!$D400,'Business - Dump'!$A:$A,'SKU Repoprt'!Q$1)</f>
        <v>0</v>
      </c>
      <c r="R400" s="3">
        <f>SUMIFS('Business - Dump'!$Q:$Q,'Business - Dump'!$D:$D,'SKU Repoprt'!$D400,'Business - Dump'!$A:$A,'SKU Repoprt'!R$1)</f>
        <v>0</v>
      </c>
      <c r="S400" s="3">
        <f>SUMIFS('Business - Dump'!$Q:$Q,'Business - Dump'!$D:$D,'SKU Repoprt'!$D400,'Business - Dump'!$A:$A,'SKU Repoprt'!S$1)</f>
        <v>0</v>
      </c>
      <c r="T400" s="3">
        <f>SUMIFS('Business - Dump'!$Q:$Q,'Business - Dump'!$D:$D,'SKU Repoprt'!$D400,'Business - Dump'!$A:$A,'SKU Repoprt'!T$1)</f>
        <v>0</v>
      </c>
      <c r="U400" s="3">
        <f>SUMIFS('Business - Dump'!$Q:$Q,'Business - Dump'!$D:$D,'SKU Repoprt'!$D400,'Business - Dump'!$A:$A,'SKU Repoprt'!U$1)</f>
        <v>0</v>
      </c>
      <c r="V400" s="3">
        <f>SUMIFS('Business - Dump'!$Q:$Q,'Business - Dump'!$D:$D,'SKU Repoprt'!$D400,'Business - Dump'!$A:$A,'SKU Repoprt'!V$1)</f>
        <v>0</v>
      </c>
      <c r="W400" s="3">
        <f>SUMIFS('Business - Dump'!$Q:$Q,'Business - Dump'!$D:$D,'SKU Repoprt'!$D400,'Business - Dump'!$A:$A,'SKU Repoprt'!W$1)</f>
        <v>0</v>
      </c>
    </row>
    <row r="401" ht="15.75" customHeight="1">
      <c r="A401" s="10" t="s">
        <v>232</v>
      </c>
      <c r="B401" s="10" t="s">
        <v>232</v>
      </c>
      <c r="C401" s="10"/>
      <c r="D401" s="10" t="s">
        <v>317</v>
      </c>
      <c r="E401" s="10" t="s">
        <v>268</v>
      </c>
      <c r="F401" s="3">
        <f t="shared" si="133"/>
        <v>15</v>
      </c>
      <c r="G401" s="3">
        <f>SUMIFS('Business - Dump'!$W:$W,'Business - Dump'!$D:$D,'SKU Repoprt'!$D401,'Business - Dump'!$A:$A,'SKU Repoprt'!G$1)</f>
        <v>1</v>
      </c>
      <c r="H401" s="3">
        <f>SUMIFS('Business - Dump'!$W:$W,'Business - Dump'!$D:$D,'SKU Repoprt'!$D401,'Business - Dump'!$A:$A,'SKU Repoprt'!H$1)</f>
        <v>11</v>
      </c>
      <c r="I401" s="3">
        <f>SUMIFS('Business - Dump'!$W:$W,'Business - Dump'!$D:$D,'SKU Repoprt'!$D401,'Business - Dump'!$A:$A,'SKU Repoprt'!I$1)</f>
        <v>3</v>
      </c>
      <c r="J401" s="3">
        <f>SUMIFS('Business - Dump'!$W:$W,'Business - Dump'!$D:$D,'SKU Repoprt'!$D401,'Business - Dump'!$A:$A,'SKU Repoprt'!J$1)</f>
        <v>0</v>
      </c>
      <c r="K401" s="3">
        <f>SUMIFS('Business - Dump'!$W:$W,'Business - Dump'!$D:$D,'SKU Repoprt'!$D401,'Business - Dump'!$A:$A,'SKU Repoprt'!K$1)</f>
        <v>0</v>
      </c>
      <c r="L401" s="3">
        <f>SUMIFS('Business - Dump'!$W:$W,'Business - Dump'!$D:$D,'SKU Repoprt'!$D401,'Business - Dump'!$A:$A,'SKU Repoprt'!L$1)</f>
        <v>0</v>
      </c>
      <c r="M401" s="3">
        <f>SUMIFS('Business - Dump'!$W:$W,'Business - Dump'!$D:$D,'SKU Repoprt'!$D401,'Business - Dump'!$A:$A,'SKU Repoprt'!M$1)</f>
        <v>0</v>
      </c>
      <c r="N401" s="3">
        <f>SUMIFS('Business - Dump'!$W:$W,'Business - Dump'!$D:$D,'SKU Repoprt'!$D401,'Business - Dump'!$A:$A,'SKU Repoprt'!N$1)</f>
        <v>0</v>
      </c>
      <c r="O401" s="3">
        <f>SUMIFS('Business - Dump'!$W:$W,'Business - Dump'!$D:$D,'SKU Repoprt'!$D401,'Business - Dump'!$A:$A,'SKU Repoprt'!O$1)</f>
        <v>0</v>
      </c>
      <c r="P401" s="3">
        <f>SUMIFS('Business - Dump'!$W:$W,'Business - Dump'!$D:$D,'SKU Repoprt'!$D401,'Business - Dump'!$A:$A,'SKU Repoprt'!P$1)</f>
        <v>0</v>
      </c>
      <c r="Q401" s="3">
        <f>SUMIFS('Business - Dump'!$W:$W,'Business - Dump'!$D:$D,'SKU Repoprt'!$D401,'Business - Dump'!$A:$A,'SKU Repoprt'!Q$1)</f>
        <v>0</v>
      </c>
      <c r="R401" s="3">
        <f>SUMIFS('Business - Dump'!$W:$W,'Business - Dump'!$D:$D,'SKU Repoprt'!$D401,'Business - Dump'!$A:$A,'SKU Repoprt'!R$1)</f>
        <v>0</v>
      </c>
      <c r="S401" s="3">
        <f>SUMIFS('Business - Dump'!$W:$W,'Business - Dump'!$D:$D,'SKU Repoprt'!$D401,'Business - Dump'!$A:$A,'SKU Repoprt'!S$1)</f>
        <v>0</v>
      </c>
      <c r="T401" s="3">
        <f>SUMIFS('Business - Dump'!$W:$W,'Business - Dump'!$D:$D,'SKU Repoprt'!$D401,'Business - Dump'!$A:$A,'SKU Repoprt'!T$1)</f>
        <v>0</v>
      </c>
      <c r="U401" s="3">
        <f>SUMIFS('Business - Dump'!$W:$W,'Business - Dump'!$D:$D,'SKU Repoprt'!$D401,'Business - Dump'!$A:$A,'SKU Repoprt'!U$1)</f>
        <v>0</v>
      </c>
      <c r="V401" s="3">
        <f>SUMIFS('Business - Dump'!$W:$W,'Business - Dump'!$D:$D,'SKU Repoprt'!$D401,'Business - Dump'!$A:$A,'SKU Repoprt'!V$1)</f>
        <v>0</v>
      </c>
      <c r="W401" s="3">
        <f>SUMIFS('Business - Dump'!$W:$W,'Business - Dump'!$D:$D,'SKU Repoprt'!$D401,'Business - Dump'!$A:$A,'SKU Repoprt'!W$1)</f>
        <v>0</v>
      </c>
    </row>
    <row r="402" ht="15.75" customHeight="1">
      <c r="A402" s="10" t="s">
        <v>232</v>
      </c>
      <c r="B402" s="10" t="s">
        <v>232</v>
      </c>
      <c r="C402" s="10"/>
      <c r="D402" s="10" t="s">
        <v>317</v>
      </c>
      <c r="E402" s="10" t="s">
        <v>26</v>
      </c>
      <c r="F402" s="16">
        <f t="shared" si="133"/>
        <v>247885</v>
      </c>
      <c r="G402" s="16">
        <f>SUMIFS('Business - Dump'!$U:$U,'Business - Dump'!$D:$D,'SKU Repoprt'!$D402,'Business - Dump'!$A:$A,'SKU Repoprt'!G$1)</f>
        <v>18899</v>
      </c>
      <c r="H402" s="16">
        <f>SUMIFS('Business - Dump'!$U:$U,'Business - Dump'!$D:$D,'SKU Repoprt'!$D402,'Business - Dump'!$A:$A,'SKU Repoprt'!H$1)</f>
        <v>175989</v>
      </c>
      <c r="I402" s="16">
        <f>SUMIFS('Business - Dump'!$U:$U,'Business - Dump'!$D:$D,'SKU Repoprt'!$D402,'Business - Dump'!$A:$A,'SKU Repoprt'!I$1)</f>
        <v>52997</v>
      </c>
      <c r="J402" s="16">
        <f>SUMIFS('Business - Dump'!$U:$U,'Business - Dump'!$D:$D,'SKU Repoprt'!$D402,'Business - Dump'!$A:$A,'SKU Repoprt'!J$1)</f>
        <v>0</v>
      </c>
      <c r="K402" s="16">
        <f>SUMIFS('Business - Dump'!$U:$U,'Business - Dump'!$D:$D,'SKU Repoprt'!$D402,'Business - Dump'!$A:$A,'SKU Repoprt'!K$1)</f>
        <v>0</v>
      </c>
      <c r="L402" s="16">
        <f>SUMIFS('Business - Dump'!$U:$U,'Business - Dump'!$D:$D,'SKU Repoprt'!$D402,'Business - Dump'!$A:$A,'SKU Repoprt'!L$1)</f>
        <v>0</v>
      </c>
      <c r="M402" s="16">
        <f>SUMIFS('Business - Dump'!$U:$U,'Business - Dump'!$D:$D,'SKU Repoprt'!$D402,'Business - Dump'!$A:$A,'SKU Repoprt'!M$1)</f>
        <v>0</v>
      </c>
      <c r="N402" s="16">
        <f>SUMIFS('Business - Dump'!$U:$U,'Business - Dump'!$D:$D,'SKU Repoprt'!$D402,'Business - Dump'!$A:$A,'SKU Repoprt'!N$1)</f>
        <v>0</v>
      </c>
      <c r="O402" s="16">
        <f>SUMIFS('Business - Dump'!$U:$U,'Business - Dump'!$D:$D,'SKU Repoprt'!$D402,'Business - Dump'!$A:$A,'SKU Repoprt'!O$1)</f>
        <v>0</v>
      </c>
      <c r="P402" s="16">
        <f>SUMIFS('Business - Dump'!$U:$U,'Business - Dump'!$D:$D,'SKU Repoprt'!$D402,'Business - Dump'!$A:$A,'SKU Repoprt'!P$1)</f>
        <v>0</v>
      </c>
      <c r="Q402" s="16">
        <f>SUMIFS('Business - Dump'!$U:$U,'Business - Dump'!$D:$D,'SKU Repoprt'!$D402,'Business - Dump'!$A:$A,'SKU Repoprt'!Q$1)</f>
        <v>0</v>
      </c>
      <c r="R402" s="16">
        <f>SUMIFS('Business - Dump'!$U:$U,'Business - Dump'!$D:$D,'SKU Repoprt'!$D402,'Business - Dump'!$A:$A,'SKU Repoprt'!R$1)</f>
        <v>0</v>
      </c>
      <c r="S402" s="16">
        <f>SUMIFS('Business - Dump'!$U:$U,'Business - Dump'!$D:$D,'SKU Repoprt'!$D402,'Business - Dump'!$A:$A,'SKU Repoprt'!S$1)</f>
        <v>0</v>
      </c>
      <c r="T402" s="16">
        <f>SUMIFS('Business - Dump'!$U:$U,'Business - Dump'!$D:$D,'SKU Repoprt'!$D402,'Business - Dump'!$A:$A,'SKU Repoprt'!T$1)</f>
        <v>0</v>
      </c>
      <c r="U402" s="16">
        <f>SUMIFS('Business - Dump'!$U:$U,'Business - Dump'!$D:$D,'SKU Repoprt'!$D402,'Business - Dump'!$A:$A,'SKU Repoprt'!U$1)</f>
        <v>0</v>
      </c>
      <c r="V402" s="16">
        <f>SUMIFS('Business - Dump'!$U:$U,'Business - Dump'!$D:$D,'SKU Repoprt'!$D402,'Business - Dump'!$A:$A,'SKU Repoprt'!V$1)</f>
        <v>0</v>
      </c>
      <c r="W402" s="16">
        <f>SUMIFS('Business - Dump'!$U:$U,'Business - Dump'!$D:$D,'SKU Repoprt'!$D402,'Business - Dump'!$A:$A,'SKU Repoprt'!W$1)</f>
        <v>0</v>
      </c>
    </row>
    <row r="403" ht="15.75" customHeight="1">
      <c r="A403" s="10" t="s">
        <v>232</v>
      </c>
      <c r="B403" s="10" t="s">
        <v>232</v>
      </c>
      <c r="C403" s="10"/>
      <c r="D403" s="10" t="s">
        <v>317</v>
      </c>
      <c r="E403" s="10" t="s">
        <v>29</v>
      </c>
      <c r="F403" s="17">
        <v>0.027042857142857143</v>
      </c>
      <c r="G403" s="17">
        <f t="shared" ref="G403:W403" si="134">IFERROR(G401/G398,0)</f>
        <v>0.001470588235</v>
      </c>
      <c r="H403" s="17">
        <f t="shared" si="134"/>
        <v>0.009683098592</v>
      </c>
      <c r="I403" s="17">
        <f t="shared" si="134"/>
        <v>0.006912442396</v>
      </c>
      <c r="J403" s="17">
        <f t="shared" si="134"/>
        <v>0</v>
      </c>
      <c r="K403" s="17">
        <f t="shared" si="134"/>
        <v>0</v>
      </c>
      <c r="L403" s="17">
        <f t="shared" si="134"/>
        <v>0</v>
      </c>
      <c r="M403" s="17">
        <f t="shared" si="134"/>
        <v>0</v>
      </c>
      <c r="N403" s="17">
        <f t="shared" si="134"/>
        <v>0</v>
      </c>
      <c r="O403" s="17">
        <f t="shared" si="134"/>
        <v>0</v>
      </c>
      <c r="P403" s="17">
        <f t="shared" si="134"/>
        <v>0</v>
      </c>
      <c r="Q403" s="17">
        <f t="shared" si="134"/>
        <v>0</v>
      </c>
      <c r="R403" s="17">
        <f t="shared" si="134"/>
        <v>0</v>
      </c>
      <c r="S403" s="17">
        <f t="shared" si="134"/>
        <v>0</v>
      </c>
      <c r="T403" s="17">
        <f t="shared" si="134"/>
        <v>0</v>
      </c>
      <c r="U403" s="17">
        <f t="shared" si="134"/>
        <v>0</v>
      </c>
      <c r="V403" s="17">
        <f t="shared" si="134"/>
        <v>0</v>
      </c>
      <c r="W403" s="17">
        <f t="shared" si="134"/>
        <v>0</v>
      </c>
    </row>
    <row r="404" ht="15.75" customHeight="1">
      <c r="A404" s="10" t="s">
        <v>232</v>
      </c>
      <c r="B404" s="10" t="s">
        <v>232</v>
      </c>
      <c r="C404" s="10"/>
      <c r="D404" s="10" t="s">
        <v>289</v>
      </c>
      <c r="E404" s="10" t="s">
        <v>257</v>
      </c>
      <c r="F404" s="3">
        <f t="shared" ref="F404:F408" si="135">SUM(G404:S404)</f>
        <v>6024</v>
      </c>
      <c r="G404" s="3">
        <f>SUMIFS('Business - Dump'!$G:$G,'Business - Dump'!$D:$D,'SKU Repoprt'!$D404,'Business - Dump'!$A:$A,'SKU Repoprt'!G$1)</f>
        <v>2947</v>
      </c>
      <c r="H404" s="3">
        <f>SUMIFS('Business - Dump'!$G:$G,'Business - Dump'!$D:$D,'SKU Repoprt'!$D404,'Business - Dump'!$A:$A,'SKU Repoprt'!H$1)</f>
        <v>2372</v>
      </c>
      <c r="I404" s="3">
        <f>SUMIFS('Business - Dump'!$G:$G,'Business - Dump'!$D:$D,'SKU Repoprt'!$D404,'Business - Dump'!$A:$A,'SKU Repoprt'!I$1)</f>
        <v>705</v>
      </c>
      <c r="J404" s="3">
        <f>SUMIFS('Business - Dump'!$G:$G,'Business - Dump'!$D:$D,'SKU Repoprt'!$D404,'Business - Dump'!$A:$A,'SKU Repoprt'!J$1)</f>
        <v>0</v>
      </c>
      <c r="K404" s="3">
        <f>SUMIFS('Business - Dump'!$G:$G,'Business - Dump'!$D:$D,'SKU Repoprt'!$D404,'Business - Dump'!$A:$A,'SKU Repoprt'!K$1)</f>
        <v>0</v>
      </c>
      <c r="L404" s="3">
        <f>SUMIFS('Business - Dump'!$G:$G,'Business - Dump'!$D:$D,'SKU Repoprt'!$D404,'Business - Dump'!$A:$A,'SKU Repoprt'!L$1)</f>
        <v>0</v>
      </c>
      <c r="M404" s="3">
        <f>SUMIFS('Business - Dump'!$G:$G,'Business - Dump'!$D:$D,'SKU Repoprt'!$D404,'Business - Dump'!$A:$A,'SKU Repoprt'!M$1)</f>
        <v>0</v>
      </c>
      <c r="N404" s="3">
        <f>SUMIFS('Business - Dump'!$G:$G,'Business - Dump'!$D:$D,'SKU Repoprt'!$D404,'Business - Dump'!$A:$A,'SKU Repoprt'!N$1)</f>
        <v>0</v>
      </c>
      <c r="O404" s="3">
        <f>SUMIFS('Business - Dump'!$G:$G,'Business - Dump'!$D:$D,'SKU Repoprt'!$D404,'Business - Dump'!$A:$A,'SKU Repoprt'!O$1)</f>
        <v>0</v>
      </c>
      <c r="P404" s="3">
        <f>SUMIFS('Business - Dump'!$G:$G,'Business - Dump'!$D:$D,'SKU Repoprt'!$D404,'Business - Dump'!$A:$A,'SKU Repoprt'!P$1)</f>
        <v>0</v>
      </c>
      <c r="Q404" s="3">
        <f>SUMIFS('Business - Dump'!$G:$G,'Business - Dump'!$D:$D,'SKU Repoprt'!$D404,'Business - Dump'!$A:$A,'SKU Repoprt'!Q$1)</f>
        <v>0</v>
      </c>
      <c r="R404" s="3">
        <f>SUMIFS('Business - Dump'!$G:$G,'Business - Dump'!$D:$D,'SKU Repoprt'!$D404,'Business - Dump'!$A:$A,'SKU Repoprt'!R$1)</f>
        <v>0</v>
      </c>
      <c r="S404" s="3">
        <f>SUMIFS('Business - Dump'!$G:$G,'Business - Dump'!$D:$D,'SKU Repoprt'!$D404,'Business - Dump'!$A:$A,'SKU Repoprt'!S$1)</f>
        <v>0</v>
      </c>
      <c r="T404" s="3">
        <f>SUMIFS('Business - Dump'!$G:$G,'Business - Dump'!$D:$D,'SKU Repoprt'!$D404,'Business - Dump'!$A:$A,'SKU Repoprt'!T$1)</f>
        <v>0</v>
      </c>
      <c r="U404" s="3">
        <f>SUMIFS('Business - Dump'!$G:$G,'Business - Dump'!$D:$D,'SKU Repoprt'!$D404,'Business - Dump'!$A:$A,'SKU Repoprt'!U$1)</f>
        <v>0</v>
      </c>
      <c r="V404" s="3">
        <f>SUMIFS('Business - Dump'!$G:$G,'Business - Dump'!$D:$D,'SKU Repoprt'!$D404,'Business - Dump'!$A:$A,'SKU Repoprt'!V$1)</f>
        <v>0</v>
      </c>
      <c r="W404" s="3">
        <f>SUMIFS('Business - Dump'!$G:$G,'Business - Dump'!$D:$D,'SKU Repoprt'!$D404,'Business - Dump'!$A:$A,'SKU Repoprt'!W$1)</f>
        <v>0</v>
      </c>
    </row>
    <row r="405" ht="15.75" customHeight="1">
      <c r="A405" s="10" t="s">
        <v>232</v>
      </c>
      <c r="B405" s="10" t="s">
        <v>232</v>
      </c>
      <c r="C405" s="10"/>
      <c r="D405" s="10" t="s">
        <v>289</v>
      </c>
      <c r="E405" s="10" t="s">
        <v>260</v>
      </c>
      <c r="F405" s="3">
        <f t="shared" si="135"/>
        <v>8425</v>
      </c>
      <c r="G405" s="3">
        <f>SUMIFS('Business - Dump'!$K:$K,'Business - Dump'!$D:$D,'SKU Repoprt'!$D405,'Business - Dump'!$A:$A,'SKU Repoprt'!G$1)</f>
        <v>3903</v>
      </c>
      <c r="H405" s="3">
        <f>SUMIFS('Business - Dump'!$K:$K,'Business - Dump'!$D:$D,'SKU Repoprt'!$D405,'Business - Dump'!$A:$A,'SKU Repoprt'!H$1)</f>
        <v>3588</v>
      </c>
      <c r="I405" s="3">
        <f>SUMIFS('Business - Dump'!$K:$K,'Business - Dump'!$D:$D,'SKU Repoprt'!$D405,'Business - Dump'!$A:$A,'SKU Repoprt'!I$1)</f>
        <v>934</v>
      </c>
      <c r="J405" s="3">
        <f>SUMIFS('Business - Dump'!$K:$K,'Business - Dump'!$D:$D,'SKU Repoprt'!$D405,'Business - Dump'!$A:$A,'SKU Repoprt'!J$1)</f>
        <v>0</v>
      </c>
      <c r="K405" s="3">
        <f>SUMIFS('Business - Dump'!$K:$K,'Business - Dump'!$D:$D,'SKU Repoprt'!$D405,'Business - Dump'!$A:$A,'SKU Repoprt'!K$1)</f>
        <v>0</v>
      </c>
      <c r="L405" s="3">
        <f>SUMIFS('Business - Dump'!$K:$K,'Business - Dump'!$D:$D,'SKU Repoprt'!$D405,'Business - Dump'!$A:$A,'SKU Repoprt'!L$1)</f>
        <v>0</v>
      </c>
      <c r="M405" s="3">
        <f>SUMIFS('Business - Dump'!$K:$K,'Business - Dump'!$D:$D,'SKU Repoprt'!$D405,'Business - Dump'!$A:$A,'SKU Repoprt'!M$1)</f>
        <v>0</v>
      </c>
      <c r="N405" s="3">
        <f>SUMIFS('Business - Dump'!$K:$K,'Business - Dump'!$D:$D,'SKU Repoprt'!$D405,'Business - Dump'!$A:$A,'SKU Repoprt'!N$1)</f>
        <v>0</v>
      </c>
      <c r="O405" s="3">
        <f>SUMIFS('Business - Dump'!$K:$K,'Business - Dump'!$D:$D,'SKU Repoprt'!$D405,'Business - Dump'!$A:$A,'SKU Repoprt'!O$1)</f>
        <v>0</v>
      </c>
      <c r="P405" s="3">
        <f>SUMIFS('Business - Dump'!$K:$K,'Business - Dump'!$D:$D,'SKU Repoprt'!$D405,'Business - Dump'!$A:$A,'SKU Repoprt'!P$1)</f>
        <v>0</v>
      </c>
      <c r="Q405" s="3">
        <f>SUMIFS('Business - Dump'!$K:$K,'Business - Dump'!$D:$D,'SKU Repoprt'!$D405,'Business - Dump'!$A:$A,'SKU Repoprt'!Q$1)</f>
        <v>0</v>
      </c>
      <c r="R405" s="3">
        <f>SUMIFS('Business - Dump'!$K:$K,'Business - Dump'!$D:$D,'SKU Repoprt'!$D405,'Business - Dump'!$A:$A,'SKU Repoprt'!R$1)</f>
        <v>0</v>
      </c>
      <c r="S405" s="3">
        <f>SUMIFS('Business - Dump'!$K:$K,'Business - Dump'!$D:$D,'SKU Repoprt'!$D405,'Business - Dump'!$A:$A,'SKU Repoprt'!S$1)</f>
        <v>0</v>
      </c>
      <c r="T405" s="3">
        <f>SUMIFS('Business - Dump'!$K:$K,'Business - Dump'!$D:$D,'SKU Repoprt'!$D405,'Business - Dump'!$A:$A,'SKU Repoprt'!T$1)</f>
        <v>0</v>
      </c>
      <c r="U405" s="3">
        <f>SUMIFS('Business - Dump'!$K:$K,'Business - Dump'!$D:$D,'SKU Repoprt'!$D405,'Business - Dump'!$A:$A,'SKU Repoprt'!U$1)</f>
        <v>0</v>
      </c>
      <c r="V405" s="3">
        <f>SUMIFS('Business - Dump'!$K:$K,'Business - Dump'!$D:$D,'SKU Repoprt'!$D405,'Business - Dump'!$A:$A,'SKU Repoprt'!V$1)</f>
        <v>0</v>
      </c>
      <c r="W405" s="3">
        <f>SUMIFS('Business - Dump'!$K:$K,'Business - Dump'!$D:$D,'SKU Repoprt'!$D405,'Business - Dump'!$A:$A,'SKU Repoprt'!W$1)</f>
        <v>0</v>
      </c>
    </row>
    <row r="406" ht="15.75" customHeight="1">
      <c r="A406" s="10" t="s">
        <v>232</v>
      </c>
      <c r="B406" s="10" t="s">
        <v>232</v>
      </c>
      <c r="C406" s="10"/>
      <c r="D406" s="10" t="s">
        <v>289</v>
      </c>
      <c r="E406" s="10" t="s">
        <v>264</v>
      </c>
      <c r="F406" s="3">
        <f t="shared" si="135"/>
        <v>22</v>
      </c>
      <c r="G406" s="3">
        <f>SUMIFS('Business - Dump'!$Q:$Q,'Business - Dump'!$D:$D,'SKU Repoprt'!$D406,'Business - Dump'!$A:$A,'SKU Repoprt'!G$1)</f>
        <v>10</v>
      </c>
      <c r="H406" s="3">
        <f>SUMIFS('Business - Dump'!$Q:$Q,'Business - Dump'!$D:$D,'SKU Repoprt'!$D406,'Business - Dump'!$A:$A,'SKU Repoprt'!H$1)</f>
        <v>10</v>
      </c>
      <c r="I406" s="3">
        <f>SUMIFS('Business - Dump'!$Q:$Q,'Business - Dump'!$D:$D,'SKU Repoprt'!$D406,'Business - Dump'!$A:$A,'SKU Repoprt'!I$1)</f>
        <v>2</v>
      </c>
      <c r="J406" s="3">
        <f>SUMIFS('Business - Dump'!$Q:$Q,'Business - Dump'!$D:$D,'SKU Repoprt'!$D406,'Business - Dump'!$A:$A,'SKU Repoprt'!J$1)</f>
        <v>0</v>
      </c>
      <c r="K406" s="3">
        <f>SUMIFS('Business - Dump'!$Q:$Q,'Business - Dump'!$D:$D,'SKU Repoprt'!$D406,'Business - Dump'!$A:$A,'SKU Repoprt'!K$1)</f>
        <v>0</v>
      </c>
      <c r="L406" s="3">
        <f>SUMIFS('Business - Dump'!$Q:$Q,'Business - Dump'!$D:$D,'SKU Repoprt'!$D406,'Business - Dump'!$A:$A,'SKU Repoprt'!L$1)</f>
        <v>0</v>
      </c>
      <c r="M406" s="3">
        <f>SUMIFS('Business - Dump'!$Q:$Q,'Business - Dump'!$D:$D,'SKU Repoprt'!$D406,'Business - Dump'!$A:$A,'SKU Repoprt'!M$1)</f>
        <v>0</v>
      </c>
      <c r="N406" s="3">
        <f>SUMIFS('Business - Dump'!$Q:$Q,'Business - Dump'!$D:$D,'SKU Repoprt'!$D406,'Business - Dump'!$A:$A,'SKU Repoprt'!N$1)</f>
        <v>0</v>
      </c>
      <c r="O406" s="3">
        <f>SUMIFS('Business - Dump'!$Q:$Q,'Business - Dump'!$D:$D,'SKU Repoprt'!$D406,'Business - Dump'!$A:$A,'SKU Repoprt'!O$1)</f>
        <v>0</v>
      </c>
      <c r="P406" s="3">
        <f>SUMIFS('Business - Dump'!$Q:$Q,'Business - Dump'!$D:$D,'SKU Repoprt'!$D406,'Business - Dump'!$A:$A,'SKU Repoprt'!P$1)</f>
        <v>0</v>
      </c>
      <c r="Q406" s="3">
        <f>SUMIFS('Business - Dump'!$Q:$Q,'Business - Dump'!$D:$D,'SKU Repoprt'!$D406,'Business - Dump'!$A:$A,'SKU Repoprt'!Q$1)</f>
        <v>0</v>
      </c>
      <c r="R406" s="3">
        <f>SUMIFS('Business - Dump'!$Q:$Q,'Business - Dump'!$D:$D,'SKU Repoprt'!$D406,'Business - Dump'!$A:$A,'SKU Repoprt'!R$1)</f>
        <v>0</v>
      </c>
      <c r="S406" s="3">
        <f>SUMIFS('Business - Dump'!$Q:$Q,'Business - Dump'!$D:$D,'SKU Repoprt'!$D406,'Business - Dump'!$A:$A,'SKU Repoprt'!S$1)</f>
        <v>0</v>
      </c>
      <c r="T406" s="3">
        <f>SUMIFS('Business - Dump'!$Q:$Q,'Business - Dump'!$D:$D,'SKU Repoprt'!$D406,'Business - Dump'!$A:$A,'SKU Repoprt'!T$1)</f>
        <v>0</v>
      </c>
      <c r="U406" s="3">
        <f>SUMIFS('Business - Dump'!$Q:$Q,'Business - Dump'!$D:$D,'SKU Repoprt'!$D406,'Business - Dump'!$A:$A,'SKU Repoprt'!U$1)</f>
        <v>0</v>
      </c>
      <c r="V406" s="3">
        <f>SUMIFS('Business - Dump'!$Q:$Q,'Business - Dump'!$D:$D,'SKU Repoprt'!$D406,'Business - Dump'!$A:$A,'SKU Repoprt'!V$1)</f>
        <v>0</v>
      </c>
      <c r="W406" s="3">
        <f>SUMIFS('Business - Dump'!$Q:$Q,'Business - Dump'!$D:$D,'SKU Repoprt'!$D406,'Business - Dump'!$A:$A,'SKU Repoprt'!W$1)</f>
        <v>0</v>
      </c>
    </row>
    <row r="407" ht="15.75" customHeight="1">
      <c r="A407" s="10" t="s">
        <v>232</v>
      </c>
      <c r="B407" s="10" t="s">
        <v>232</v>
      </c>
      <c r="C407" s="10"/>
      <c r="D407" s="10" t="s">
        <v>289</v>
      </c>
      <c r="E407" s="10" t="s">
        <v>268</v>
      </c>
      <c r="F407" s="3">
        <f t="shared" si="135"/>
        <v>22</v>
      </c>
      <c r="G407" s="3">
        <f>SUMIFS('Business - Dump'!$W:$W,'Business - Dump'!$D:$D,'SKU Repoprt'!$D407,'Business - Dump'!$A:$A,'SKU Repoprt'!G$1)</f>
        <v>10</v>
      </c>
      <c r="H407" s="3">
        <f>SUMIFS('Business - Dump'!$W:$W,'Business - Dump'!$D:$D,'SKU Repoprt'!$D407,'Business - Dump'!$A:$A,'SKU Repoprt'!H$1)</f>
        <v>10</v>
      </c>
      <c r="I407" s="3">
        <f>SUMIFS('Business - Dump'!$W:$W,'Business - Dump'!$D:$D,'SKU Repoprt'!$D407,'Business - Dump'!$A:$A,'SKU Repoprt'!I$1)</f>
        <v>2</v>
      </c>
      <c r="J407" s="3">
        <f>SUMIFS('Business - Dump'!$W:$W,'Business - Dump'!$D:$D,'SKU Repoprt'!$D407,'Business - Dump'!$A:$A,'SKU Repoprt'!J$1)</f>
        <v>0</v>
      </c>
      <c r="K407" s="3">
        <f>SUMIFS('Business - Dump'!$W:$W,'Business - Dump'!$D:$D,'SKU Repoprt'!$D407,'Business - Dump'!$A:$A,'SKU Repoprt'!K$1)</f>
        <v>0</v>
      </c>
      <c r="L407" s="3">
        <f>SUMIFS('Business - Dump'!$W:$W,'Business - Dump'!$D:$D,'SKU Repoprt'!$D407,'Business - Dump'!$A:$A,'SKU Repoprt'!L$1)</f>
        <v>0</v>
      </c>
      <c r="M407" s="3">
        <f>SUMIFS('Business - Dump'!$W:$W,'Business - Dump'!$D:$D,'SKU Repoprt'!$D407,'Business - Dump'!$A:$A,'SKU Repoprt'!M$1)</f>
        <v>0</v>
      </c>
      <c r="N407" s="3">
        <f>SUMIFS('Business - Dump'!$W:$W,'Business - Dump'!$D:$D,'SKU Repoprt'!$D407,'Business - Dump'!$A:$A,'SKU Repoprt'!N$1)</f>
        <v>0</v>
      </c>
      <c r="O407" s="3">
        <f>SUMIFS('Business - Dump'!$W:$W,'Business - Dump'!$D:$D,'SKU Repoprt'!$D407,'Business - Dump'!$A:$A,'SKU Repoprt'!O$1)</f>
        <v>0</v>
      </c>
      <c r="P407" s="3">
        <f>SUMIFS('Business - Dump'!$W:$W,'Business - Dump'!$D:$D,'SKU Repoprt'!$D407,'Business - Dump'!$A:$A,'SKU Repoprt'!P$1)</f>
        <v>0</v>
      </c>
      <c r="Q407" s="3">
        <f>SUMIFS('Business - Dump'!$W:$W,'Business - Dump'!$D:$D,'SKU Repoprt'!$D407,'Business - Dump'!$A:$A,'SKU Repoprt'!Q$1)</f>
        <v>0</v>
      </c>
      <c r="R407" s="3">
        <f>SUMIFS('Business - Dump'!$W:$W,'Business - Dump'!$D:$D,'SKU Repoprt'!$D407,'Business - Dump'!$A:$A,'SKU Repoprt'!R$1)</f>
        <v>0</v>
      </c>
      <c r="S407" s="3">
        <f>SUMIFS('Business - Dump'!$W:$W,'Business - Dump'!$D:$D,'SKU Repoprt'!$D407,'Business - Dump'!$A:$A,'SKU Repoprt'!S$1)</f>
        <v>0</v>
      </c>
      <c r="T407" s="3">
        <f>SUMIFS('Business - Dump'!$W:$W,'Business - Dump'!$D:$D,'SKU Repoprt'!$D407,'Business - Dump'!$A:$A,'SKU Repoprt'!T$1)</f>
        <v>0</v>
      </c>
      <c r="U407" s="3">
        <f>SUMIFS('Business - Dump'!$W:$W,'Business - Dump'!$D:$D,'SKU Repoprt'!$D407,'Business - Dump'!$A:$A,'SKU Repoprt'!U$1)</f>
        <v>0</v>
      </c>
      <c r="V407" s="3">
        <f>SUMIFS('Business - Dump'!$W:$W,'Business - Dump'!$D:$D,'SKU Repoprt'!$D407,'Business - Dump'!$A:$A,'SKU Repoprt'!V$1)</f>
        <v>0</v>
      </c>
      <c r="W407" s="3">
        <f>SUMIFS('Business - Dump'!$W:$W,'Business - Dump'!$D:$D,'SKU Repoprt'!$D407,'Business - Dump'!$A:$A,'SKU Repoprt'!W$1)</f>
        <v>0</v>
      </c>
    </row>
    <row r="408" ht="15.75" customHeight="1">
      <c r="A408" s="10" t="s">
        <v>232</v>
      </c>
      <c r="B408" s="10" t="s">
        <v>232</v>
      </c>
      <c r="C408" s="10"/>
      <c r="D408" s="10" t="s">
        <v>289</v>
      </c>
      <c r="E408" s="10" t="s">
        <v>26</v>
      </c>
      <c r="F408" s="16">
        <f t="shared" si="135"/>
        <v>344990</v>
      </c>
      <c r="G408" s="16">
        <f>SUMIFS('Business - Dump'!$U:$U,'Business - Dump'!$D:$D,'SKU Repoprt'!$D408,'Business - Dump'!$A:$A,'SKU Repoprt'!G$1)</f>
        <v>158990</v>
      </c>
      <c r="H408" s="16">
        <f>SUMIFS('Business - Dump'!$U:$U,'Business - Dump'!$D:$D,'SKU Repoprt'!$D408,'Business - Dump'!$A:$A,'SKU Repoprt'!H$1)</f>
        <v>155000</v>
      </c>
      <c r="I408" s="16">
        <f>SUMIFS('Business - Dump'!$U:$U,'Business - Dump'!$D:$D,'SKU Repoprt'!$D408,'Business - Dump'!$A:$A,'SKU Repoprt'!I$1)</f>
        <v>31000</v>
      </c>
      <c r="J408" s="16">
        <f>SUMIFS('Business - Dump'!$U:$U,'Business - Dump'!$D:$D,'SKU Repoprt'!$D408,'Business - Dump'!$A:$A,'SKU Repoprt'!J$1)</f>
        <v>0</v>
      </c>
      <c r="K408" s="16">
        <f>SUMIFS('Business - Dump'!$U:$U,'Business - Dump'!$D:$D,'SKU Repoprt'!$D408,'Business - Dump'!$A:$A,'SKU Repoprt'!K$1)</f>
        <v>0</v>
      </c>
      <c r="L408" s="16">
        <f>SUMIFS('Business - Dump'!$U:$U,'Business - Dump'!$D:$D,'SKU Repoprt'!$D408,'Business - Dump'!$A:$A,'SKU Repoprt'!L$1)</f>
        <v>0</v>
      </c>
      <c r="M408" s="16">
        <f>SUMIFS('Business - Dump'!$U:$U,'Business - Dump'!$D:$D,'SKU Repoprt'!$D408,'Business - Dump'!$A:$A,'SKU Repoprt'!M$1)</f>
        <v>0</v>
      </c>
      <c r="N408" s="16">
        <f>SUMIFS('Business - Dump'!$U:$U,'Business - Dump'!$D:$D,'SKU Repoprt'!$D408,'Business - Dump'!$A:$A,'SKU Repoprt'!N$1)</f>
        <v>0</v>
      </c>
      <c r="O408" s="16">
        <f>SUMIFS('Business - Dump'!$U:$U,'Business - Dump'!$D:$D,'SKU Repoprt'!$D408,'Business - Dump'!$A:$A,'SKU Repoprt'!O$1)</f>
        <v>0</v>
      </c>
      <c r="P408" s="16">
        <f>SUMIFS('Business - Dump'!$U:$U,'Business - Dump'!$D:$D,'SKU Repoprt'!$D408,'Business - Dump'!$A:$A,'SKU Repoprt'!P$1)</f>
        <v>0</v>
      </c>
      <c r="Q408" s="16">
        <f>SUMIFS('Business - Dump'!$U:$U,'Business - Dump'!$D:$D,'SKU Repoprt'!$D408,'Business - Dump'!$A:$A,'SKU Repoprt'!Q$1)</f>
        <v>0</v>
      </c>
      <c r="R408" s="16">
        <f>SUMIFS('Business - Dump'!$U:$U,'Business - Dump'!$D:$D,'SKU Repoprt'!$D408,'Business - Dump'!$A:$A,'SKU Repoprt'!R$1)</f>
        <v>0</v>
      </c>
      <c r="S408" s="16">
        <f>SUMIFS('Business - Dump'!$U:$U,'Business - Dump'!$D:$D,'SKU Repoprt'!$D408,'Business - Dump'!$A:$A,'SKU Repoprt'!S$1)</f>
        <v>0</v>
      </c>
      <c r="T408" s="16">
        <f>SUMIFS('Business - Dump'!$U:$U,'Business - Dump'!$D:$D,'SKU Repoprt'!$D408,'Business - Dump'!$A:$A,'SKU Repoprt'!T$1)</f>
        <v>0</v>
      </c>
      <c r="U408" s="16">
        <f>SUMIFS('Business - Dump'!$U:$U,'Business - Dump'!$D:$D,'SKU Repoprt'!$D408,'Business - Dump'!$A:$A,'SKU Repoprt'!U$1)</f>
        <v>0</v>
      </c>
      <c r="V408" s="16">
        <f>SUMIFS('Business - Dump'!$U:$U,'Business - Dump'!$D:$D,'SKU Repoprt'!$D408,'Business - Dump'!$A:$A,'SKU Repoprt'!V$1)</f>
        <v>0</v>
      </c>
      <c r="W408" s="16">
        <f>SUMIFS('Business - Dump'!$U:$U,'Business - Dump'!$D:$D,'SKU Repoprt'!$D408,'Business - Dump'!$A:$A,'SKU Repoprt'!W$1)</f>
        <v>0</v>
      </c>
    </row>
    <row r="409" ht="15.75" customHeight="1">
      <c r="A409" s="10" t="s">
        <v>232</v>
      </c>
      <c r="B409" s="10" t="s">
        <v>232</v>
      </c>
      <c r="C409" s="10"/>
      <c r="D409" s="10" t="s">
        <v>289</v>
      </c>
      <c r="E409" s="10" t="s">
        <v>29</v>
      </c>
      <c r="F409" s="17">
        <v>0.027042857142857143</v>
      </c>
      <c r="G409" s="17">
        <f t="shared" ref="G409:W409" si="136">IFERROR(G407/G404,0)</f>
        <v>0.003393281303</v>
      </c>
      <c r="H409" s="17">
        <f t="shared" si="136"/>
        <v>0.004215851602</v>
      </c>
      <c r="I409" s="17">
        <f t="shared" si="136"/>
        <v>0.002836879433</v>
      </c>
      <c r="J409" s="17">
        <f t="shared" si="136"/>
        <v>0</v>
      </c>
      <c r="K409" s="17">
        <f t="shared" si="136"/>
        <v>0</v>
      </c>
      <c r="L409" s="17">
        <f t="shared" si="136"/>
        <v>0</v>
      </c>
      <c r="M409" s="17">
        <f t="shared" si="136"/>
        <v>0</v>
      </c>
      <c r="N409" s="17">
        <f t="shared" si="136"/>
        <v>0</v>
      </c>
      <c r="O409" s="17">
        <f t="shared" si="136"/>
        <v>0</v>
      </c>
      <c r="P409" s="17">
        <f t="shared" si="136"/>
        <v>0</v>
      </c>
      <c r="Q409" s="17">
        <f t="shared" si="136"/>
        <v>0</v>
      </c>
      <c r="R409" s="17">
        <f t="shared" si="136"/>
        <v>0</v>
      </c>
      <c r="S409" s="17">
        <f t="shared" si="136"/>
        <v>0</v>
      </c>
      <c r="T409" s="17">
        <f t="shared" si="136"/>
        <v>0</v>
      </c>
      <c r="U409" s="17">
        <f t="shared" si="136"/>
        <v>0</v>
      </c>
      <c r="V409" s="17">
        <f t="shared" si="136"/>
        <v>0</v>
      </c>
      <c r="W409" s="17">
        <f t="shared" si="136"/>
        <v>0</v>
      </c>
    </row>
    <row r="410" ht="15.75" customHeight="1">
      <c r="A410" s="10" t="s">
        <v>232</v>
      </c>
      <c r="B410" s="10" t="s">
        <v>232</v>
      </c>
      <c r="C410" s="10"/>
      <c r="D410" s="10" t="s">
        <v>319</v>
      </c>
      <c r="E410" s="10" t="s">
        <v>257</v>
      </c>
      <c r="F410" s="3">
        <f t="shared" ref="F410:F414" si="137">SUM(G410:S410)</f>
        <v>2904</v>
      </c>
      <c r="G410" s="3">
        <f>SUMIFS('Business - Dump'!$G:$G,'Business - Dump'!$D:$D,'SKU Repoprt'!$D410,'Business - Dump'!$A:$A,'SKU Repoprt'!G$1)</f>
        <v>1006</v>
      </c>
      <c r="H410" s="3">
        <f>SUMIFS('Business - Dump'!$G:$G,'Business - Dump'!$D:$D,'SKU Repoprt'!$D410,'Business - Dump'!$A:$A,'SKU Repoprt'!H$1)</f>
        <v>1329</v>
      </c>
      <c r="I410" s="3">
        <f>SUMIFS('Business - Dump'!$G:$G,'Business - Dump'!$D:$D,'SKU Repoprt'!$D410,'Business - Dump'!$A:$A,'SKU Repoprt'!I$1)</f>
        <v>569</v>
      </c>
      <c r="J410" s="3">
        <f>SUMIFS('Business - Dump'!$G:$G,'Business - Dump'!$D:$D,'SKU Repoprt'!$D410,'Business - Dump'!$A:$A,'SKU Repoprt'!J$1)</f>
        <v>0</v>
      </c>
      <c r="K410" s="3">
        <f>SUMIFS('Business - Dump'!$G:$G,'Business - Dump'!$D:$D,'SKU Repoprt'!$D410,'Business - Dump'!$A:$A,'SKU Repoprt'!K$1)</f>
        <v>0</v>
      </c>
      <c r="L410" s="3">
        <f>SUMIFS('Business - Dump'!$G:$G,'Business - Dump'!$D:$D,'SKU Repoprt'!$D410,'Business - Dump'!$A:$A,'SKU Repoprt'!L$1)</f>
        <v>0</v>
      </c>
      <c r="M410" s="3">
        <f>SUMIFS('Business - Dump'!$G:$G,'Business - Dump'!$D:$D,'SKU Repoprt'!$D410,'Business - Dump'!$A:$A,'SKU Repoprt'!M$1)</f>
        <v>0</v>
      </c>
      <c r="N410" s="3">
        <f>SUMIFS('Business - Dump'!$G:$G,'Business - Dump'!$D:$D,'SKU Repoprt'!$D410,'Business - Dump'!$A:$A,'SKU Repoprt'!N$1)</f>
        <v>0</v>
      </c>
      <c r="O410" s="3">
        <f>SUMIFS('Business - Dump'!$G:$G,'Business - Dump'!$D:$D,'SKU Repoprt'!$D410,'Business - Dump'!$A:$A,'SKU Repoprt'!O$1)</f>
        <v>0</v>
      </c>
      <c r="P410" s="3">
        <f>SUMIFS('Business - Dump'!$G:$G,'Business - Dump'!$D:$D,'SKU Repoprt'!$D410,'Business - Dump'!$A:$A,'SKU Repoprt'!P$1)</f>
        <v>0</v>
      </c>
      <c r="Q410" s="3">
        <f>SUMIFS('Business - Dump'!$G:$G,'Business - Dump'!$D:$D,'SKU Repoprt'!$D410,'Business - Dump'!$A:$A,'SKU Repoprt'!Q$1)</f>
        <v>0</v>
      </c>
      <c r="R410" s="3">
        <f>SUMIFS('Business - Dump'!$G:$G,'Business - Dump'!$D:$D,'SKU Repoprt'!$D410,'Business - Dump'!$A:$A,'SKU Repoprt'!R$1)</f>
        <v>0</v>
      </c>
      <c r="S410" s="3">
        <f>SUMIFS('Business - Dump'!$G:$G,'Business - Dump'!$D:$D,'SKU Repoprt'!$D410,'Business - Dump'!$A:$A,'SKU Repoprt'!S$1)</f>
        <v>0</v>
      </c>
      <c r="T410" s="3">
        <f>SUMIFS('Business - Dump'!$G:$G,'Business - Dump'!$D:$D,'SKU Repoprt'!$D410,'Business - Dump'!$A:$A,'SKU Repoprt'!T$1)</f>
        <v>0</v>
      </c>
      <c r="U410" s="3">
        <f>SUMIFS('Business - Dump'!$G:$G,'Business - Dump'!$D:$D,'SKU Repoprt'!$D410,'Business - Dump'!$A:$A,'SKU Repoprt'!U$1)</f>
        <v>0</v>
      </c>
      <c r="V410" s="3">
        <f>SUMIFS('Business - Dump'!$G:$G,'Business - Dump'!$D:$D,'SKU Repoprt'!$D410,'Business - Dump'!$A:$A,'SKU Repoprt'!V$1)</f>
        <v>0</v>
      </c>
      <c r="W410" s="3">
        <f>SUMIFS('Business - Dump'!$G:$G,'Business - Dump'!$D:$D,'SKU Repoprt'!$D410,'Business - Dump'!$A:$A,'SKU Repoprt'!W$1)</f>
        <v>0</v>
      </c>
    </row>
    <row r="411" ht="15.75" customHeight="1">
      <c r="A411" s="10" t="s">
        <v>232</v>
      </c>
      <c r="B411" s="10" t="s">
        <v>232</v>
      </c>
      <c r="C411" s="10"/>
      <c r="D411" s="10" t="s">
        <v>319</v>
      </c>
      <c r="E411" s="10" t="s">
        <v>260</v>
      </c>
      <c r="F411" s="3">
        <f t="shared" si="137"/>
        <v>4052</v>
      </c>
      <c r="G411" s="3">
        <f>SUMIFS('Business - Dump'!$K:$K,'Business - Dump'!$D:$D,'SKU Repoprt'!$D411,'Business - Dump'!$A:$A,'SKU Repoprt'!G$1)</f>
        <v>1248</v>
      </c>
      <c r="H411" s="3">
        <f>SUMIFS('Business - Dump'!$K:$K,'Business - Dump'!$D:$D,'SKU Repoprt'!$D411,'Business - Dump'!$A:$A,'SKU Repoprt'!H$1)</f>
        <v>1999</v>
      </c>
      <c r="I411" s="3">
        <f>SUMIFS('Business - Dump'!$K:$K,'Business - Dump'!$D:$D,'SKU Repoprt'!$D411,'Business - Dump'!$A:$A,'SKU Repoprt'!I$1)</f>
        <v>805</v>
      </c>
      <c r="J411" s="3">
        <f>SUMIFS('Business - Dump'!$K:$K,'Business - Dump'!$D:$D,'SKU Repoprt'!$D411,'Business - Dump'!$A:$A,'SKU Repoprt'!J$1)</f>
        <v>0</v>
      </c>
      <c r="K411" s="3">
        <f>SUMIFS('Business - Dump'!$K:$K,'Business - Dump'!$D:$D,'SKU Repoprt'!$D411,'Business - Dump'!$A:$A,'SKU Repoprt'!K$1)</f>
        <v>0</v>
      </c>
      <c r="L411" s="3">
        <f>SUMIFS('Business - Dump'!$K:$K,'Business - Dump'!$D:$D,'SKU Repoprt'!$D411,'Business - Dump'!$A:$A,'SKU Repoprt'!L$1)</f>
        <v>0</v>
      </c>
      <c r="M411" s="3">
        <f>SUMIFS('Business - Dump'!$K:$K,'Business - Dump'!$D:$D,'SKU Repoprt'!$D411,'Business - Dump'!$A:$A,'SKU Repoprt'!M$1)</f>
        <v>0</v>
      </c>
      <c r="N411" s="3">
        <f>SUMIFS('Business - Dump'!$K:$K,'Business - Dump'!$D:$D,'SKU Repoprt'!$D411,'Business - Dump'!$A:$A,'SKU Repoprt'!N$1)</f>
        <v>0</v>
      </c>
      <c r="O411" s="3">
        <f>SUMIFS('Business - Dump'!$K:$K,'Business - Dump'!$D:$D,'SKU Repoprt'!$D411,'Business - Dump'!$A:$A,'SKU Repoprt'!O$1)</f>
        <v>0</v>
      </c>
      <c r="P411" s="3">
        <f>SUMIFS('Business - Dump'!$K:$K,'Business - Dump'!$D:$D,'SKU Repoprt'!$D411,'Business - Dump'!$A:$A,'SKU Repoprt'!P$1)</f>
        <v>0</v>
      </c>
      <c r="Q411" s="3">
        <f>SUMIFS('Business - Dump'!$K:$K,'Business - Dump'!$D:$D,'SKU Repoprt'!$D411,'Business - Dump'!$A:$A,'SKU Repoprt'!Q$1)</f>
        <v>0</v>
      </c>
      <c r="R411" s="3">
        <f>SUMIFS('Business - Dump'!$K:$K,'Business - Dump'!$D:$D,'SKU Repoprt'!$D411,'Business - Dump'!$A:$A,'SKU Repoprt'!R$1)</f>
        <v>0</v>
      </c>
      <c r="S411" s="3">
        <f>SUMIFS('Business - Dump'!$K:$K,'Business - Dump'!$D:$D,'SKU Repoprt'!$D411,'Business - Dump'!$A:$A,'SKU Repoprt'!S$1)</f>
        <v>0</v>
      </c>
      <c r="T411" s="3">
        <f>SUMIFS('Business - Dump'!$K:$K,'Business - Dump'!$D:$D,'SKU Repoprt'!$D411,'Business - Dump'!$A:$A,'SKU Repoprt'!T$1)</f>
        <v>0</v>
      </c>
      <c r="U411" s="3">
        <f>SUMIFS('Business - Dump'!$K:$K,'Business - Dump'!$D:$D,'SKU Repoprt'!$D411,'Business - Dump'!$A:$A,'SKU Repoprt'!U$1)</f>
        <v>0</v>
      </c>
      <c r="V411" s="3">
        <f>SUMIFS('Business - Dump'!$K:$K,'Business - Dump'!$D:$D,'SKU Repoprt'!$D411,'Business - Dump'!$A:$A,'SKU Repoprt'!V$1)</f>
        <v>0</v>
      </c>
      <c r="W411" s="3">
        <f>SUMIFS('Business - Dump'!$K:$K,'Business - Dump'!$D:$D,'SKU Repoprt'!$D411,'Business - Dump'!$A:$A,'SKU Repoprt'!W$1)</f>
        <v>0</v>
      </c>
    </row>
    <row r="412" ht="15.75" customHeight="1">
      <c r="A412" s="10" t="s">
        <v>232</v>
      </c>
      <c r="B412" s="10" t="s">
        <v>232</v>
      </c>
      <c r="C412" s="10"/>
      <c r="D412" s="10" t="s">
        <v>319</v>
      </c>
      <c r="E412" s="10" t="s">
        <v>264</v>
      </c>
      <c r="F412" s="3">
        <f t="shared" si="137"/>
        <v>15</v>
      </c>
      <c r="G412" s="3">
        <f>SUMIFS('Business - Dump'!$Q:$Q,'Business - Dump'!$D:$D,'SKU Repoprt'!$D412,'Business - Dump'!$A:$A,'SKU Repoprt'!G$1)</f>
        <v>1</v>
      </c>
      <c r="H412" s="3">
        <f>SUMIFS('Business - Dump'!$Q:$Q,'Business - Dump'!$D:$D,'SKU Repoprt'!$D412,'Business - Dump'!$A:$A,'SKU Repoprt'!H$1)</f>
        <v>10</v>
      </c>
      <c r="I412" s="3">
        <f>SUMIFS('Business - Dump'!$Q:$Q,'Business - Dump'!$D:$D,'SKU Repoprt'!$D412,'Business - Dump'!$A:$A,'SKU Repoprt'!I$1)</f>
        <v>4</v>
      </c>
      <c r="J412" s="3">
        <f>SUMIFS('Business - Dump'!$Q:$Q,'Business - Dump'!$D:$D,'SKU Repoprt'!$D412,'Business - Dump'!$A:$A,'SKU Repoprt'!J$1)</f>
        <v>0</v>
      </c>
      <c r="K412" s="3">
        <f>SUMIFS('Business - Dump'!$Q:$Q,'Business - Dump'!$D:$D,'SKU Repoprt'!$D412,'Business - Dump'!$A:$A,'SKU Repoprt'!K$1)</f>
        <v>0</v>
      </c>
      <c r="L412" s="3">
        <f>SUMIFS('Business - Dump'!$Q:$Q,'Business - Dump'!$D:$D,'SKU Repoprt'!$D412,'Business - Dump'!$A:$A,'SKU Repoprt'!L$1)</f>
        <v>0</v>
      </c>
      <c r="M412" s="3">
        <f>SUMIFS('Business - Dump'!$Q:$Q,'Business - Dump'!$D:$D,'SKU Repoprt'!$D412,'Business - Dump'!$A:$A,'SKU Repoprt'!M$1)</f>
        <v>0</v>
      </c>
      <c r="N412" s="3">
        <f>SUMIFS('Business - Dump'!$Q:$Q,'Business - Dump'!$D:$D,'SKU Repoprt'!$D412,'Business - Dump'!$A:$A,'SKU Repoprt'!N$1)</f>
        <v>0</v>
      </c>
      <c r="O412" s="3">
        <f>SUMIFS('Business - Dump'!$Q:$Q,'Business - Dump'!$D:$D,'SKU Repoprt'!$D412,'Business - Dump'!$A:$A,'SKU Repoprt'!O$1)</f>
        <v>0</v>
      </c>
      <c r="P412" s="3">
        <f>SUMIFS('Business - Dump'!$Q:$Q,'Business - Dump'!$D:$D,'SKU Repoprt'!$D412,'Business - Dump'!$A:$A,'SKU Repoprt'!P$1)</f>
        <v>0</v>
      </c>
      <c r="Q412" s="3">
        <f>SUMIFS('Business - Dump'!$Q:$Q,'Business - Dump'!$D:$D,'SKU Repoprt'!$D412,'Business - Dump'!$A:$A,'SKU Repoprt'!Q$1)</f>
        <v>0</v>
      </c>
      <c r="R412" s="3">
        <f>SUMIFS('Business - Dump'!$Q:$Q,'Business - Dump'!$D:$D,'SKU Repoprt'!$D412,'Business - Dump'!$A:$A,'SKU Repoprt'!R$1)</f>
        <v>0</v>
      </c>
      <c r="S412" s="3">
        <f>SUMIFS('Business - Dump'!$Q:$Q,'Business - Dump'!$D:$D,'SKU Repoprt'!$D412,'Business - Dump'!$A:$A,'SKU Repoprt'!S$1)</f>
        <v>0</v>
      </c>
      <c r="T412" s="3">
        <f>SUMIFS('Business - Dump'!$Q:$Q,'Business - Dump'!$D:$D,'SKU Repoprt'!$D412,'Business - Dump'!$A:$A,'SKU Repoprt'!T$1)</f>
        <v>0</v>
      </c>
      <c r="U412" s="3">
        <f>SUMIFS('Business - Dump'!$Q:$Q,'Business - Dump'!$D:$D,'SKU Repoprt'!$D412,'Business - Dump'!$A:$A,'SKU Repoprt'!U$1)</f>
        <v>0</v>
      </c>
      <c r="V412" s="3">
        <f>SUMIFS('Business - Dump'!$Q:$Q,'Business - Dump'!$D:$D,'SKU Repoprt'!$D412,'Business - Dump'!$A:$A,'SKU Repoprt'!V$1)</f>
        <v>0</v>
      </c>
      <c r="W412" s="3">
        <f>SUMIFS('Business - Dump'!$Q:$Q,'Business - Dump'!$D:$D,'SKU Repoprt'!$D412,'Business - Dump'!$A:$A,'SKU Repoprt'!W$1)</f>
        <v>0</v>
      </c>
    </row>
    <row r="413" ht="15.75" customHeight="1">
      <c r="A413" s="10" t="s">
        <v>232</v>
      </c>
      <c r="B413" s="10" t="s">
        <v>232</v>
      </c>
      <c r="C413" s="10"/>
      <c r="D413" s="10" t="s">
        <v>319</v>
      </c>
      <c r="E413" s="10" t="s">
        <v>268</v>
      </c>
      <c r="F413" s="3">
        <f t="shared" si="137"/>
        <v>15</v>
      </c>
      <c r="G413" s="3">
        <f>SUMIFS('Business - Dump'!$W:$W,'Business - Dump'!$D:$D,'SKU Repoprt'!$D413,'Business - Dump'!$A:$A,'SKU Repoprt'!G$1)</f>
        <v>1</v>
      </c>
      <c r="H413" s="3">
        <f>SUMIFS('Business - Dump'!$W:$W,'Business - Dump'!$D:$D,'SKU Repoprt'!$D413,'Business - Dump'!$A:$A,'SKU Repoprt'!H$1)</f>
        <v>10</v>
      </c>
      <c r="I413" s="3">
        <f>SUMIFS('Business - Dump'!$W:$W,'Business - Dump'!$D:$D,'SKU Repoprt'!$D413,'Business - Dump'!$A:$A,'SKU Repoprt'!I$1)</f>
        <v>4</v>
      </c>
      <c r="J413" s="3">
        <f>SUMIFS('Business - Dump'!$W:$W,'Business - Dump'!$D:$D,'SKU Repoprt'!$D413,'Business - Dump'!$A:$A,'SKU Repoprt'!J$1)</f>
        <v>0</v>
      </c>
      <c r="K413" s="3">
        <f>SUMIFS('Business - Dump'!$W:$W,'Business - Dump'!$D:$D,'SKU Repoprt'!$D413,'Business - Dump'!$A:$A,'SKU Repoprt'!K$1)</f>
        <v>0</v>
      </c>
      <c r="L413" s="3">
        <f>SUMIFS('Business - Dump'!$W:$W,'Business - Dump'!$D:$D,'SKU Repoprt'!$D413,'Business - Dump'!$A:$A,'SKU Repoprt'!L$1)</f>
        <v>0</v>
      </c>
      <c r="M413" s="3">
        <f>SUMIFS('Business - Dump'!$W:$W,'Business - Dump'!$D:$D,'SKU Repoprt'!$D413,'Business - Dump'!$A:$A,'SKU Repoprt'!M$1)</f>
        <v>0</v>
      </c>
      <c r="N413" s="3">
        <f>SUMIFS('Business - Dump'!$W:$W,'Business - Dump'!$D:$D,'SKU Repoprt'!$D413,'Business - Dump'!$A:$A,'SKU Repoprt'!N$1)</f>
        <v>0</v>
      </c>
      <c r="O413" s="3">
        <f>SUMIFS('Business - Dump'!$W:$W,'Business - Dump'!$D:$D,'SKU Repoprt'!$D413,'Business - Dump'!$A:$A,'SKU Repoprt'!O$1)</f>
        <v>0</v>
      </c>
      <c r="P413" s="3">
        <f>SUMIFS('Business - Dump'!$W:$W,'Business - Dump'!$D:$D,'SKU Repoprt'!$D413,'Business - Dump'!$A:$A,'SKU Repoprt'!P$1)</f>
        <v>0</v>
      </c>
      <c r="Q413" s="3">
        <f>SUMIFS('Business - Dump'!$W:$W,'Business - Dump'!$D:$D,'SKU Repoprt'!$D413,'Business - Dump'!$A:$A,'SKU Repoprt'!Q$1)</f>
        <v>0</v>
      </c>
      <c r="R413" s="3">
        <f>SUMIFS('Business - Dump'!$W:$W,'Business - Dump'!$D:$D,'SKU Repoprt'!$D413,'Business - Dump'!$A:$A,'SKU Repoprt'!R$1)</f>
        <v>0</v>
      </c>
      <c r="S413" s="3">
        <f>SUMIFS('Business - Dump'!$W:$W,'Business - Dump'!$D:$D,'SKU Repoprt'!$D413,'Business - Dump'!$A:$A,'SKU Repoprt'!S$1)</f>
        <v>0</v>
      </c>
      <c r="T413" s="3">
        <f>SUMIFS('Business - Dump'!$W:$W,'Business - Dump'!$D:$D,'SKU Repoprt'!$D413,'Business - Dump'!$A:$A,'SKU Repoprt'!T$1)</f>
        <v>0</v>
      </c>
      <c r="U413" s="3">
        <f>SUMIFS('Business - Dump'!$W:$W,'Business - Dump'!$D:$D,'SKU Repoprt'!$D413,'Business - Dump'!$A:$A,'SKU Repoprt'!U$1)</f>
        <v>0</v>
      </c>
      <c r="V413" s="3">
        <f>SUMIFS('Business - Dump'!$W:$W,'Business - Dump'!$D:$D,'SKU Repoprt'!$D413,'Business - Dump'!$A:$A,'SKU Repoprt'!V$1)</f>
        <v>0</v>
      </c>
      <c r="W413" s="3">
        <f>SUMIFS('Business - Dump'!$W:$W,'Business - Dump'!$D:$D,'SKU Repoprt'!$D413,'Business - Dump'!$A:$A,'SKU Repoprt'!W$1)</f>
        <v>0</v>
      </c>
    </row>
    <row r="414" ht="15.75" customHeight="1">
      <c r="A414" s="10" t="s">
        <v>232</v>
      </c>
      <c r="B414" s="10" t="s">
        <v>232</v>
      </c>
      <c r="C414" s="10"/>
      <c r="D414" s="10" t="s">
        <v>319</v>
      </c>
      <c r="E414" s="10" t="s">
        <v>26</v>
      </c>
      <c r="F414" s="16">
        <f t="shared" si="137"/>
        <v>294286</v>
      </c>
      <c r="G414" s="16">
        <f>SUMIFS('Business - Dump'!$U:$U,'Business - Dump'!$D:$D,'SKU Repoprt'!$D414,'Business - Dump'!$A:$A,'SKU Repoprt'!G$1)</f>
        <v>23300</v>
      </c>
      <c r="H414" s="16">
        <f>SUMIFS('Business - Dump'!$U:$U,'Business - Dump'!$D:$D,'SKU Repoprt'!$D414,'Business - Dump'!$A:$A,'SKU Repoprt'!H$1)</f>
        <v>189990</v>
      </c>
      <c r="I414" s="16">
        <f>SUMIFS('Business - Dump'!$U:$U,'Business - Dump'!$D:$D,'SKU Repoprt'!$D414,'Business - Dump'!$A:$A,'SKU Repoprt'!I$1)</f>
        <v>80996</v>
      </c>
      <c r="J414" s="16">
        <f>SUMIFS('Business - Dump'!$U:$U,'Business - Dump'!$D:$D,'SKU Repoprt'!$D414,'Business - Dump'!$A:$A,'SKU Repoprt'!J$1)</f>
        <v>0</v>
      </c>
      <c r="K414" s="16">
        <f>SUMIFS('Business - Dump'!$U:$U,'Business - Dump'!$D:$D,'SKU Repoprt'!$D414,'Business - Dump'!$A:$A,'SKU Repoprt'!K$1)</f>
        <v>0</v>
      </c>
      <c r="L414" s="16">
        <f>SUMIFS('Business - Dump'!$U:$U,'Business - Dump'!$D:$D,'SKU Repoprt'!$D414,'Business - Dump'!$A:$A,'SKU Repoprt'!L$1)</f>
        <v>0</v>
      </c>
      <c r="M414" s="16">
        <f>SUMIFS('Business - Dump'!$U:$U,'Business - Dump'!$D:$D,'SKU Repoprt'!$D414,'Business - Dump'!$A:$A,'SKU Repoprt'!M$1)</f>
        <v>0</v>
      </c>
      <c r="N414" s="16">
        <f>SUMIFS('Business - Dump'!$U:$U,'Business - Dump'!$D:$D,'SKU Repoprt'!$D414,'Business - Dump'!$A:$A,'SKU Repoprt'!N$1)</f>
        <v>0</v>
      </c>
      <c r="O414" s="16">
        <f>SUMIFS('Business - Dump'!$U:$U,'Business - Dump'!$D:$D,'SKU Repoprt'!$D414,'Business - Dump'!$A:$A,'SKU Repoprt'!O$1)</f>
        <v>0</v>
      </c>
      <c r="P414" s="16">
        <f>SUMIFS('Business - Dump'!$U:$U,'Business - Dump'!$D:$D,'SKU Repoprt'!$D414,'Business - Dump'!$A:$A,'SKU Repoprt'!P$1)</f>
        <v>0</v>
      </c>
      <c r="Q414" s="16">
        <f>SUMIFS('Business - Dump'!$U:$U,'Business - Dump'!$D:$D,'SKU Repoprt'!$D414,'Business - Dump'!$A:$A,'SKU Repoprt'!Q$1)</f>
        <v>0</v>
      </c>
      <c r="R414" s="16">
        <f>SUMIFS('Business - Dump'!$U:$U,'Business - Dump'!$D:$D,'SKU Repoprt'!$D414,'Business - Dump'!$A:$A,'SKU Repoprt'!R$1)</f>
        <v>0</v>
      </c>
      <c r="S414" s="16">
        <f>SUMIFS('Business - Dump'!$U:$U,'Business - Dump'!$D:$D,'SKU Repoprt'!$D414,'Business - Dump'!$A:$A,'SKU Repoprt'!S$1)</f>
        <v>0</v>
      </c>
      <c r="T414" s="16">
        <f>SUMIFS('Business - Dump'!$U:$U,'Business - Dump'!$D:$D,'SKU Repoprt'!$D414,'Business - Dump'!$A:$A,'SKU Repoprt'!T$1)</f>
        <v>0</v>
      </c>
      <c r="U414" s="16">
        <f>SUMIFS('Business - Dump'!$U:$U,'Business - Dump'!$D:$D,'SKU Repoprt'!$D414,'Business - Dump'!$A:$A,'SKU Repoprt'!U$1)</f>
        <v>0</v>
      </c>
      <c r="V414" s="16">
        <f>SUMIFS('Business - Dump'!$U:$U,'Business - Dump'!$D:$D,'SKU Repoprt'!$D414,'Business - Dump'!$A:$A,'SKU Repoprt'!V$1)</f>
        <v>0</v>
      </c>
      <c r="W414" s="16">
        <f>SUMIFS('Business - Dump'!$U:$U,'Business - Dump'!$D:$D,'SKU Repoprt'!$D414,'Business - Dump'!$A:$A,'SKU Repoprt'!W$1)</f>
        <v>0</v>
      </c>
    </row>
    <row r="415" ht="15.75" customHeight="1">
      <c r="A415" s="10" t="s">
        <v>232</v>
      </c>
      <c r="B415" s="10" t="s">
        <v>232</v>
      </c>
      <c r="C415" s="10"/>
      <c r="D415" s="10" t="s">
        <v>319</v>
      </c>
      <c r="E415" s="10" t="s">
        <v>29</v>
      </c>
      <c r="F415" s="17">
        <v>0.027042857142857143</v>
      </c>
      <c r="G415" s="17">
        <f t="shared" ref="G415:W415" si="138">IFERROR(G413/G410,0)</f>
        <v>0.0009940357853</v>
      </c>
      <c r="H415" s="17">
        <f t="shared" si="138"/>
        <v>0.007524454477</v>
      </c>
      <c r="I415" s="17">
        <f t="shared" si="138"/>
        <v>0.007029876977</v>
      </c>
      <c r="J415" s="17">
        <f t="shared" si="138"/>
        <v>0</v>
      </c>
      <c r="K415" s="17">
        <f t="shared" si="138"/>
        <v>0</v>
      </c>
      <c r="L415" s="17">
        <f t="shared" si="138"/>
        <v>0</v>
      </c>
      <c r="M415" s="17">
        <f t="shared" si="138"/>
        <v>0</v>
      </c>
      <c r="N415" s="17">
        <f t="shared" si="138"/>
        <v>0</v>
      </c>
      <c r="O415" s="17">
        <f t="shared" si="138"/>
        <v>0</v>
      </c>
      <c r="P415" s="17">
        <f t="shared" si="138"/>
        <v>0</v>
      </c>
      <c r="Q415" s="17">
        <f t="shared" si="138"/>
        <v>0</v>
      </c>
      <c r="R415" s="17">
        <f t="shared" si="138"/>
        <v>0</v>
      </c>
      <c r="S415" s="17">
        <f t="shared" si="138"/>
        <v>0</v>
      </c>
      <c r="T415" s="17">
        <f t="shared" si="138"/>
        <v>0</v>
      </c>
      <c r="U415" s="17">
        <f t="shared" si="138"/>
        <v>0</v>
      </c>
      <c r="V415" s="17">
        <f t="shared" si="138"/>
        <v>0</v>
      </c>
      <c r="W415" s="17">
        <f t="shared" si="138"/>
        <v>0</v>
      </c>
    </row>
    <row r="416" ht="15.75" customHeight="1">
      <c r="A416" s="10" t="s">
        <v>232</v>
      </c>
      <c r="B416" s="10" t="s">
        <v>232</v>
      </c>
      <c r="C416" s="10"/>
      <c r="D416" s="10" t="s">
        <v>315</v>
      </c>
      <c r="E416" s="10" t="s">
        <v>257</v>
      </c>
      <c r="F416" s="3">
        <f t="shared" ref="F416:F420" si="139">SUM(G416:S416)</f>
        <v>2245</v>
      </c>
      <c r="G416" s="3">
        <f>SUMIFS('Business - Dump'!$G:$G,'Business - Dump'!$D:$D,'SKU Repoprt'!$D416,'Business - Dump'!$A:$A,'SKU Repoprt'!G$1)</f>
        <v>720</v>
      </c>
      <c r="H416" s="3">
        <f>SUMIFS('Business - Dump'!$G:$G,'Business - Dump'!$D:$D,'SKU Repoprt'!$D416,'Business - Dump'!$A:$A,'SKU Repoprt'!H$1)</f>
        <v>1213</v>
      </c>
      <c r="I416" s="3">
        <f>SUMIFS('Business - Dump'!$G:$G,'Business - Dump'!$D:$D,'SKU Repoprt'!$D416,'Business - Dump'!$A:$A,'SKU Repoprt'!I$1)</f>
        <v>312</v>
      </c>
      <c r="J416" s="3">
        <f>SUMIFS('Business - Dump'!$G:$G,'Business - Dump'!$D:$D,'SKU Repoprt'!$D416,'Business - Dump'!$A:$A,'SKU Repoprt'!J$1)</f>
        <v>0</v>
      </c>
      <c r="K416" s="3">
        <f>SUMIFS('Business - Dump'!$G:$G,'Business - Dump'!$D:$D,'SKU Repoprt'!$D416,'Business - Dump'!$A:$A,'SKU Repoprt'!K$1)</f>
        <v>0</v>
      </c>
      <c r="L416" s="3">
        <f>SUMIFS('Business - Dump'!$G:$G,'Business - Dump'!$D:$D,'SKU Repoprt'!$D416,'Business - Dump'!$A:$A,'SKU Repoprt'!L$1)</f>
        <v>0</v>
      </c>
      <c r="M416" s="3">
        <f>SUMIFS('Business - Dump'!$G:$G,'Business - Dump'!$D:$D,'SKU Repoprt'!$D416,'Business - Dump'!$A:$A,'SKU Repoprt'!M$1)</f>
        <v>0</v>
      </c>
      <c r="N416" s="3">
        <f>SUMIFS('Business - Dump'!$G:$G,'Business - Dump'!$D:$D,'SKU Repoprt'!$D416,'Business - Dump'!$A:$A,'SKU Repoprt'!N$1)</f>
        <v>0</v>
      </c>
      <c r="O416" s="3">
        <f>SUMIFS('Business - Dump'!$G:$G,'Business - Dump'!$D:$D,'SKU Repoprt'!$D416,'Business - Dump'!$A:$A,'SKU Repoprt'!O$1)</f>
        <v>0</v>
      </c>
      <c r="P416" s="3">
        <f>SUMIFS('Business - Dump'!$G:$G,'Business - Dump'!$D:$D,'SKU Repoprt'!$D416,'Business - Dump'!$A:$A,'SKU Repoprt'!P$1)</f>
        <v>0</v>
      </c>
      <c r="Q416" s="3">
        <f>SUMIFS('Business - Dump'!$G:$G,'Business - Dump'!$D:$D,'SKU Repoprt'!$D416,'Business - Dump'!$A:$A,'SKU Repoprt'!Q$1)</f>
        <v>0</v>
      </c>
      <c r="R416" s="3">
        <f>SUMIFS('Business - Dump'!$G:$G,'Business - Dump'!$D:$D,'SKU Repoprt'!$D416,'Business - Dump'!$A:$A,'SKU Repoprt'!R$1)</f>
        <v>0</v>
      </c>
      <c r="S416" s="3">
        <f>SUMIFS('Business - Dump'!$G:$G,'Business - Dump'!$D:$D,'SKU Repoprt'!$D416,'Business - Dump'!$A:$A,'SKU Repoprt'!S$1)</f>
        <v>0</v>
      </c>
      <c r="T416" s="3">
        <f>SUMIFS('Business - Dump'!$G:$G,'Business - Dump'!$D:$D,'SKU Repoprt'!$D416,'Business - Dump'!$A:$A,'SKU Repoprt'!T$1)</f>
        <v>0</v>
      </c>
      <c r="U416" s="3">
        <f>SUMIFS('Business - Dump'!$G:$G,'Business - Dump'!$D:$D,'SKU Repoprt'!$D416,'Business - Dump'!$A:$A,'SKU Repoprt'!U$1)</f>
        <v>0</v>
      </c>
      <c r="V416" s="3">
        <f>SUMIFS('Business - Dump'!$G:$G,'Business - Dump'!$D:$D,'SKU Repoprt'!$D416,'Business - Dump'!$A:$A,'SKU Repoprt'!V$1)</f>
        <v>0</v>
      </c>
      <c r="W416" s="3">
        <f>SUMIFS('Business - Dump'!$G:$G,'Business - Dump'!$D:$D,'SKU Repoprt'!$D416,'Business - Dump'!$A:$A,'SKU Repoprt'!W$1)</f>
        <v>0</v>
      </c>
    </row>
    <row r="417" ht="15.75" customHeight="1">
      <c r="A417" s="10" t="s">
        <v>232</v>
      </c>
      <c r="B417" s="10" t="s">
        <v>232</v>
      </c>
      <c r="C417" s="10"/>
      <c r="D417" s="10" t="s">
        <v>315</v>
      </c>
      <c r="E417" s="10" t="s">
        <v>260</v>
      </c>
      <c r="F417" s="3">
        <f t="shared" si="139"/>
        <v>3163</v>
      </c>
      <c r="G417" s="3">
        <f>SUMIFS('Business - Dump'!$K:$K,'Business - Dump'!$D:$D,'SKU Repoprt'!$D417,'Business - Dump'!$A:$A,'SKU Repoprt'!G$1)</f>
        <v>874</v>
      </c>
      <c r="H417" s="3">
        <f>SUMIFS('Business - Dump'!$K:$K,'Business - Dump'!$D:$D,'SKU Repoprt'!$D417,'Business - Dump'!$A:$A,'SKU Repoprt'!H$1)</f>
        <v>1863</v>
      </c>
      <c r="I417" s="3">
        <f>SUMIFS('Business - Dump'!$K:$K,'Business - Dump'!$D:$D,'SKU Repoprt'!$D417,'Business - Dump'!$A:$A,'SKU Repoprt'!I$1)</f>
        <v>426</v>
      </c>
      <c r="J417" s="3">
        <f>SUMIFS('Business - Dump'!$K:$K,'Business - Dump'!$D:$D,'SKU Repoprt'!$D417,'Business - Dump'!$A:$A,'SKU Repoprt'!J$1)</f>
        <v>0</v>
      </c>
      <c r="K417" s="3">
        <f>SUMIFS('Business - Dump'!$K:$K,'Business - Dump'!$D:$D,'SKU Repoprt'!$D417,'Business - Dump'!$A:$A,'SKU Repoprt'!K$1)</f>
        <v>0</v>
      </c>
      <c r="L417" s="3">
        <f>SUMIFS('Business - Dump'!$K:$K,'Business - Dump'!$D:$D,'SKU Repoprt'!$D417,'Business - Dump'!$A:$A,'SKU Repoprt'!L$1)</f>
        <v>0</v>
      </c>
      <c r="M417" s="3">
        <f>SUMIFS('Business - Dump'!$K:$K,'Business - Dump'!$D:$D,'SKU Repoprt'!$D417,'Business - Dump'!$A:$A,'SKU Repoprt'!M$1)</f>
        <v>0</v>
      </c>
      <c r="N417" s="3">
        <f>SUMIFS('Business - Dump'!$K:$K,'Business - Dump'!$D:$D,'SKU Repoprt'!$D417,'Business - Dump'!$A:$A,'SKU Repoprt'!N$1)</f>
        <v>0</v>
      </c>
      <c r="O417" s="3">
        <f>SUMIFS('Business - Dump'!$K:$K,'Business - Dump'!$D:$D,'SKU Repoprt'!$D417,'Business - Dump'!$A:$A,'SKU Repoprt'!O$1)</f>
        <v>0</v>
      </c>
      <c r="P417" s="3">
        <f>SUMIFS('Business - Dump'!$K:$K,'Business - Dump'!$D:$D,'SKU Repoprt'!$D417,'Business - Dump'!$A:$A,'SKU Repoprt'!P$1)</f>
        <v>0</v>
      </c>
      <c r="Q417" s="3">
        <f>SUMIFS('Business - Dump'!$K:$K,'Business - Dump'!$D:$D,'SKU Repoprt'!$D417,'Business - Dump'!$A:$A,'SKU Repoprt'!Q$1)</f>
        <v>0</v>
      </c>
      <c r="R417" s="3">
        <f>SUMIFS('Business - Dump'!$K:$K,'Business - Dump'!$D:$D,'SKU Repoprt'!$D417,'Business - Dump'!$A:$A,'SKU Repoprt'!R$1)</f>
        <v>0</v>
      </c>
      <c r="S417" s="3">
        <f>SUMIFS('Business - Dump'!$K:$K,'Business - Dump'!$D:$D,'SKU Repoprt'!$D417,'Business - Dump'!$A:$A,'SKU Repoprt'!S$1)</f>
        <v>0</v>
      </c>
      <c r="T417" s="3">
        <f>SUMIFS('Business - Dump'!$K:$K,'Business - Dump'!$D:$D,'SKU Repoprt'!$D417,'Business - Dump'!$A:$A,'SKU Repoprt'!T$1)</f>
        <v>0</v>
      </c>
      <c r="U417" s="3">
        <f>SUMIFS('Business - Dump'!$K:$K,'Business - Dump'!$D:$D,'SKU Repoprt'!$D417,'Business - Dump'!$A:$A,'SKU Repoprt'!U$1)</f>
        <v>0</v>
      </c>
      <c r="V417" s="3">
        <f>SUMIFS('Business - Dump'!$K:$K,'Business - Dump'!$D:$D,'SKU Repoprt'!$D417,'Business - Dump'!$A:$A,'SKU Repoprt'!V$1)</f>
        <v>0</v>
      </c>
      <c r="W417" s="3">
        <f>SUMIFS('Business - Dump'!$K:$K,'Business - Dump'!$D:$D,'SKU Repoprt'!$D417,'Business - Dump'!$A:$A,'SKU Repoprt'!W$1)</f>
        <v>0</v>
      </c>
    </row>
    <row r="418" ht="15.75" customHeight="1">
      <c r="A418" s="10" t="s">
        <v>232</v>
      </c>
      <c r="B418" s="10" t="s">
        <v>232</v>
      </c>
      <c r="C418" s="10"/>
      <c r="D418" s="10" t="s">
        <v>315</v>
      </c>
      <c r="E418" s="10" t="s">
        <v>264</v>
      </c>
      <c r="F418" s="3">
        <f t="shared" si="139"/>
        <v>15</v>
      </c>
      <c r="G418" s="3">
        <f>SUMIFS('Business - Dump'!$Q:$Q,'Business - Dump'!$D:$D,'SKU Repoprt'!$D418,'Business - Dump'!$A:$A,'SKU Repoprt'!G$1)</f>
        <v>2</v>
      </c>
      <c r="H418" s="3">
        <f>SUMIFS('Business - Dump'!$Q:$Q,'Business - Dump'!$D:$D,'SKU Repoprt'!$D418,'Business - Dump'!$A:$A,'SKU Repoprt'!H$1)</f>
        <v>11</v>
      </c>
      <c r="I418" s="3">
        <f>SUMIFS('Business - Dump'!$Q:$Q,'Business - Dump'!$D:$D,'SKU Repoprt'!$D418,'Business - Dump'!$A:$A,'SKU Repoprt'!I$1)</f>
        <v>2</v>
      </c>
      <c r="J418" s="3">
        <f>SUMIFS('Business - Dump'!$Q:$Q,'Business - Dump'!$D:$D,'SKU Repoprt'!$D418,'Business - Dump'!$A:$A,'SKU Repoprt'!J$1)</f>
        <v>0</v>
      </c>
      <c r="K418" s="3">
        <f>SUMIFS('Business - Dump'!$Q:$Q,'Business - Dump'!$D:$D,'SKU Repoprt'!$D418,'Business - Dump'!$A:$A,'SKU Repoprt'!K$1)</f>
        <v>0</v>
      </c>
      <c r="L418" s="3">
        <f>SUMIFS('Business - Dump'!$Q:$Q,'Business - Dump'!$D:$D,'SKU Repoprt'!$D418,'Business - Dump'!$A:$A,'SKU Repoprt'!L$1)</f>
        <v>0</v>
      </c>
      <c r="M418" s="3">
        <f>SUMIFS('Business - Dump'!$Q:$Q,'Business - Dump'!$D:$D,'SKU Repoprt'!$D418,'Business - Dump'!$A:$A,'SKU Repoprt'!M$1)</f>
        <v>0</v>
      </c>
      <c r="N418" s="3">
        <f>SUMIFS('Business - Dump'!$Q:$Q,'Business - Dump'!$D:$D,'SKU Repoprt'!$D418,'Business - Dump'!$A:$A,'SKU Repoprt'!N$1)</f>
        <v>0</v>
      </c>
      <c r="O418" s="3">
        <f>SUMIFS('Business - Dump'!$Q:$Q,'Business - Dump'!$D:$D,'SKU Repoprt'!$D418,'Business - Dump'!$A:$A,'SKU Repoprt'!O$1)</f>
        <v>0</v>
      </c>
      <c r="P418" s="3">
        <f>SUMIFS('Business - Dump'!$Q:$Q,'Business - Dump'!$D:$D,'SKU Repoprt'!$D418,'Business - Dump'!$A:$A,'SKU Repoprt'!P$1)</f>
        <v>0</v>
      </c>
      <c r="Q418" s="3">
        <f>SUMIFS('Business - Dump'!$Q:$Q,'Business - Dump'!$D:$D,'SKU Repoprt'!$D418,'Business - Dump'!$A:$A,'SKU Repoprt'!Q$1)</f>
        <v>0</v>
      </c>
      <c r="R418" s="3">
        <f>SUMIFS('Business - Dump'!$Q:$Q,'Business - Dump'!$D:$D,'SKU Repoprt'!$D418,'Business - Dump'!$A:$A,'SKU Repoprt'!R$1)</f>
        <v>0</v>
      </c>
      <c r="S418" s="3">
        <f>SUMIFS('Business - Dump'!$Q:$Q,'Business - Dump'!$D:$D,'SKU Repoprt'!$D418,'Business - Dump'!$A:$A,'SKU Repoprt'!S$1)</f>
        <v>0</v>
      </c>
      <c r="T418" s="3">
        <f>SUMIFS('Business - Dump'!$Q:$Q,'Business - Dump'!$D:$D,'SKU Repoprt'!$D418,'Business - Dump'!$A:$A,'SKU Repoprt'!T$1)</f>
        <v>0</v>
      </c>
      <c r="U418" s="3">
        <f>SUMIFS('Business - Dump'!$Q:$Q,'Business - Dump'!$D:$D,'SKU Repoprt'!$D418,'Business - Dump'!$A:$A,'SKU Repoprt'!U$1)</f>
        <v>0</v>
      </c>
      <c r="V418" s="3">
        <f>SUMIFS('Business - Dump'!$Q:$Q,'Business - Dump'!$D:$D,'SKU Repoprt'!$D418,'Business - Dump'!$A:$A,'SKU Repoprt'!V$1)</f>
        <v>0</v>
      </c>
      <c r="W418" s="3">
        <f>SUMIFS('Business - Dump'!$Q:$Q,'Business - Dump'!$D:$D,'SKU Repoprt'!$D418,'Business - Dump'!$A:$A,'SKU Repoprt'!W$1)</f>
        <v>0</v>
      </c>
    </row>
    <row r="419" ht="15.75" customHeight="1">
      <c r="A419" s="10" t="s">
        <v>232</v>
      </c>
      <c r="B419" s="10" t="s">
        <v>232</v>
      </c>
      <c r="C419" s="10"/>
      <c r="D419" s="10" t="s">
        <v>315</v>
      </c>
      <c r="E419" s="10" t="s">
        <v>268</v>
      </c>
      <c r="F419" s="3">
        <f t="shared" si="139"/>
        <v>15</v>
      </c>
      <c r="G419" s="3">
        <f>SUMIFS('Business - Dump'!$W:$W,'Business - Dump'!$D:$D,'SKU Repoprt'!$D419,'Business - Dump'!$A:$A,'SKU Repoprt'!G$1)</f>
        <v>2</v>
      </c>
      <c r="H419" s="3">
        <f>SUMIFS('Business - Dump'!$W:$W,'Business - Dump'!$D:$D,'SKU Repoprt'!$D419,'Business - Dump'!$A:$A,'SKU Repoprt'!H$1)</f>
        <v>11</v>
      </c>
      <c r="I419" s="3">
        <f>SUMIFS('Business - Dump'!$W:$W,'Business - Dump'!$D:$D,'SKU Repoprt'!$D419,'Business - Dump'!$A:$A,'SKU Repoprt'!I$1)</f>
        <v>2</v>
      </c>
      <c r="J419" s="3">
        <f>SUMIFS('Business - Dump'!$W:$W,'Business - Dump'!$D:$D,'SKU Repoprt'!$D419,'Business - Dump'!$A:$A,'SKU Repoprt'!J$1)</f>
        <v>0</v>
      </c>
      <c r="K419" s="3">
        <f>SUMIFS('Business - Dump'!$W:$W,'Business - Dump'!$D:$D,'SKU Repoprt'!$D419,'Business - Dump'!$A:$A,'SKU Repoprt'!K$1)</f>
        <v>0</v>
      </c>
      <c r="L419" s="3">
        <f>SUMIFS('Business - Dump'!$W:$W,'Business - Dump'!$D:$D,'SKU Repoprt'!$D419,'Business - Dump'!$A:$A,'SKU Repoprt'!L$1)</f>
        <v>0</v>
      </c>
      <c r="M419" s="3">
        <f>SUMIFS('Business - Dump'!$W:$W,'Business - Dump'!$D:$D,'SKU Repoprt'!$D419,'Business - Dump'!$A:$A,'SKU Repoprt'!M$1)</f>
        <v>0</v>
      </c>
      <c r="N419" s="3">
        <f>SUMIFS('Business - Dump'!$W:$W,'Business - Dump'!$D:$D,'SKU Repoprt'!$D419,'Business - Dump'!$A:$A,'SKU Repoprt'!N$1)</f>
        <v>0</v>
      </c>
      <c r="O419" s="3">
        <f>SUMIFS('Business - Dump'!$W:$W,'Business - Dump'!$D:$D,'SKU Repoprt'!$D419,'Business - Dump'!$A:$A,'SKU Repoprt'!O$1)</f>
        <v>0</v>
      </c>
      <c r="P419" s="3">
        <f>SUMIFS('Business - Dump'!$W:$W,'Business - Dump'!$D:$D,'SKU Repoprt'!$D419,'Business - Dump'!$A:$A,'SKU Repoprt'!P$1)</f>
        <v>0</v>
      </c>
      <c r="Q419" s="3">
        <f>SUMIFS('Business - Dump'!$W:$W,'Business - Dump'!$D:$D,'SKU Repoprt'!$D419,'Business - Dump'!$A:$A,'SKU Repoprt'!Q$1)</f>
        <v>0</v>
      </c>
      <c r="R419" s="3">
        <f>SUMIFS('Business - Dump'!$W:$W,'Business - Dump'!$D:$D,'SKU Repoprt'!$D419,'Business - Dump'!$A:$A,'SKU Repoprt'!R$1)</f>
        <v>0</v>
      </c>
      <c r="S419" s="3">
        <f>SUMIFS('Business - Dump'!$W:$W,'Business - Dump'!$D:$D,'SKU Repoprt'!$D419,'Business - Dump'!$A:$A,'SKU Repoprt'!S$1)</f>
        <v>0</v>
      </c>
      <c r="T419" s="3">
        <f>SUMIFS('Business - Dump'!$W:$W,'Business - Dump'!$D:$D,'SKU Repoprt'!$D419,'Business - Dump'!$A:$A,'SKU Repoprt'!T$1)</f>
        <v>0</v>
      </c>
      <c r="U419" s="3">
        <f>SUMIFS('Business - Dump'!$W:$W,'Business - Dump'!$D:$D,'SKU Repoprt'!$D419,'Business - Dump'!$A:$A,'SKU Repoprt'!U$1)</f>
        <v>0</v>
      </c>
      <c r="V419" s="3">
        <f>SUMIFS('Business - Dump'!$W:$W,'Business - Dump'!$D:$D,'SKU Repoprt'!$D419,'Business - Dump'!$A:$A,'SKU Repoprt'!V$1)</f>
        <v>0</v>
      </c>
      <c r="W419" s="3">
        <f>SUMIFS('Business - Dump'!$W:$W,'Business - Dump'!$D:$D,'SKU Repoprt'!$D419,'Business - Dump'!$A:$A,'SKU Repoprt'!W$1)</f>
        <v>0</v>
      </c>
    </row>
    <row r="420" ht="15.75" customHeight="1">
      <c r="A420" s="10" t="s">
        <v>232</v>
      </c>
      <c r="B420" s="10" t="s">
        <v>232</v>
      </c>
      <c r="C420" s="10"/>
      <c r="D420" s="10" t="s">
        <v>315</v>
      </c>
      <c r="E420" s="10" t="s">
        <v>26</v>
      </c>
      <c r="F420" s="16">
        <f t="shared" si="139"/>
        <v>293587</v>
      </c>
      <c r="G420" s="16">
        <f>SUMIFS('Business - Dump'!$U:$U,'Business - Dump'!$D:$D,'SKU Repoprt'!$D420,'Business - Dump'!$A:$A,'SKU Repoprt'!G$1)</f>
        <v>46600</v>
      </c>
      <c r="H420" s="16">
        <f>SUMIFS('Business - Dump'!$U:$U,'Business - Dump'!$D:$D,'SKU Repoprt'!$D420,'Business - Dump'!$A:$A,'SKU Repoprt'!H$1)</f>
        <v>208989</v>
      </c>
      <c r="I420" s="16">
        <f>SUMIFS('Business - Dump'!$U:$U,'Business - Dump'!$D:$D,'SKU Repoprt'!$D420,'Business - Dump'!$A:$A,'SKU Repoprt'!I$1)</f>
        <v>37998</v>
      </c>
      <c r="J420" s="16">
        <f>SUMIFS('Business - Dump'!$U:$U,'Business - Dump'!$D:$D,'SKU Repoprt'!$D420,'Business - Dump'!$A:$A,'SKU Repoprt'!J$1)</f>
        <v>0</v>
      </c>
      <c r="K420" s="16">
        <f>SUMIFS('Business - Dump'!$U:$U,'Business - Dump'!$D:$D,'SKU Repoprt'!$D420,'Business - Dump'!$A:$A,'SKU Repoprt'!K$1)</f>
        <v>0</v>
      </c>
      <c r="L420" s="16">
        <f>SUMIFS('Business - Dump'!$U:$U,'Business - Dump'!$D:$D,'SKU Repoprt'!$D420,'Business - Dump'!$A:$A,'SKU Repoprt'!L$1)</f>
        <v>0</v>
      </c>
      <c r="M420" s="16">
        <f>SUMIFS('Business - Dump'!$U:$U,'Business - Dump'!$D:$D,'SKU Repoprt'!$D420,'Business - Dump'!$A:$A,'SKU Repoprt'!M$1)</f>
        <v>0</v>
      </c>
      <c r="N420" s="16">
        <f>SUMIFS('Business - Dump'!$U:$U,'Business - Dump'!$D:$D,'SKU Repoprt'!$D420,'Business - Dump'!$A:$A,'SKU Repoprt'!N$1)</f>
        <v>0</v>
      </c>
      <c r="O420" s="16">
        <f>SUMIFS('Business - Dump'!$U:$U,'Business - Dump'!$D:$D,'SKU Repoprt'!$D420,'Business - Dump'!$A:$A,'SKU Repoprt'!O$1)</f>
        <v>0</v>
      </c>
      <c r="P420" s="16">
        <f>SUMIFS('Business - Dump'!$U:$U,'Business - Dump'!$D:$D,'SKU Repoprt'!$D420,'Business - Dump'!$A:$A,'SKU Repoprt'!P$1)</f>
        <v>0</v>
      </c>
      <c r="Q420" s="16">
        <f>SUMIFS('Business - Dump'!$U:$U,'Business - Dump'!$D:$D,'SKU Repoprt'!$D420,'Business - Dump'!$A:$A,'SKU Repoprt'!Q$1)</f>
        <v>0</v>
      </c>
      <c r="R420" s="16">
        <f>SUMIFS('Business - Dump'!$U:$U,'Business - Dump'!$D:$D,'SKU Repoprt'!$D420,'Business - Dump'!$A:$A,'SKU Repoprt'!R$1)</f>
        <v>0</v>
      </c>
      <c r="S420" s="16">
        <f>SUMIFS('Business - Dump'!$U:$U,'Business - Dump'!$D:$D,'SKU Repoprt'!$D420,'Business - Dump'!$A:$A,'SKU Repoprt'!S$1)</f>
        <v>0</v>
      </c>
      <c r="T420" s="16">
        <f>SUMIFS('Business - Dump'!$U:$U,'Business - Dump'!$D:$D,'SKU Repoprt'!$D420,'Business - Dump'!$A:$A,'SKU Repoprt'!T$1)</f>
        <v>0</v>
      </c>
      <c r="U420" s="16">
        <f>SUMIFS('Business - Dump'!$U:$U,'Business - Dump'!$D:$D,'SKU Repoprt'!$D420,'Business - Dump'!$A:$A,'SKU Repoprt'!U$1)</f>
        <v>0</v>
      </c>
      <c r="V420" s="16">
        <f>SUMIFS('Business - Dump'!$U:$U,'Business - Dump'!$D:$D,'SKU Repoprt'!$D420,'Business - Dump'!$A:$A,'SKU Repoprt'!V$1)</f>
        <v>0</v>
      </c>
      <c r="W420" s="16">
        <f>SUMIFS('Business - Dump'!$U:$U,'Business - Dump'!$D:$D,'SKU Repoprt'!$D420,'Business - Dump'!$A:$A,'SKU Repoprt'!W$1)</f>
        <v>0</v>
      </c>
    </row>
    <row r="421" ht="15.75" customHeight="1">
      <c r="A421" s="10" t="s">
        <v>232</v>
      </c>
      <c r="B421" s="10" t="s">
        <v>232</v>
      </c>
      <c r="C421" s="10"/>
      <c r="D421" s="10" t="s">
        <v>315</v>
      </c>
      <c r="E421" s="10" t="s">
        <v>29</v>
      </c>
      <c r="F421" s="17">
        <v>0.027042857142857143</v>
      </c>
      <c r="G421" s="17">
        <f t="shared" ref="G421:W421" si="140">IFERROR(G419/G416,0)</f>
        <v>0.002777777778</v>
      </c>
      <c r="H421" s="17">
        <f t="shared" si="140"/>
        <v>0.009068425392</v>
      </c>
      <c r="I421" s="17">
        <f t="shared" si="140"/>
        <v>0.00641025641</v>
      </c>
      <c r="J421" s="17">
        <f t="shared" si="140"/>
        <v>0</v>
      </c>
      <c r="K421" s="17">
        <f t="shared" si="140"/>
        <v>0</v>
      </c>
      <c r="L421" s="17">
        <f t="shared" si="140"/>
        <v>0</v>
      </c>
      <c r="M421" s="17">
        <f t="shared" si="140"/>
        <v>0</v>
      </c>
      <c r="N421" s="17">
        <f t="shared" si="140"/>
        <v>0</v>
      </c>
      <c r="O421" s="17">
        <f t="shared" si="140"/>
        <v>0</v>
      </c>
      <c r="P421" s="17">
        <f t="shared" si="140"/>
        <v>0</v>
      </c>
      <c r="Q421" s="17">
        <f t="shared" si="140"/>
        <v>0</v>
      </c>
      <c r="R421" s="17">
        <f t="shared" si="140"/>
        <v>0</v>
      </c>
      <c r="S421" s="17">
        <f t="shared" si="140"/>
        <v>0</v>
      </c>
      <c r="T421" s="17">
        <f t="shared" si="140"/>
        <v>0</v>
      </c>
      <c r="U421" s="17">
        <f t="shared" si="140"/>
        <v>0</v>
      </c>
      <c r="V421" s="17">
        <f t="shared" si="140"/>
        <v>0</v>
      </c>
      <c r="W421" s="17">
        <f t="shared" si="140"/>
        <v>0</v>
      </c>
    </row>
    <row r="422" ht="15.75" customHeight="1">
      <c r="A422" s="10" t="s">
        <v>232</v>
      </c>
      <c r="B422" s="10" t="s">
        <v>232</v>
      </c>
      <c r="C422" s="10"/>
      <c r="D422" s="10" t="s">
        <v>302</v>
      </c>
      <c r="E422" s="10" t="s">
        <v>257</v>
      </c>
      <c r="F422" s="3">
        <f t="shared" ref="F422:F426" si="141">SUM(G422:S422)</f>
        <v>2403</v>
      </c>
      <c r="G422" s="3">
        <f>SUMIFS('Business - Dump'!$G:$G,'Business - Dump'!$D:$D,'SKU Repoprt'!$D422,'Business - Dump'!$A:$A,'SKU Repoprt'!G$1)</f>
        <v>423</v>
      </c>
      <c r="H422" s="3">
        <f>SUMIFS('Business - Dump'!$G:$G,'Business - Dump'!$D:$D,'SKU Repoprt'!$D422,'Business - Dump'!$A:$A,'SKU Repoprt'!H$1)</f>
        <v>1632</v>
      </c>
      <c r="I422" s="3">
        <f>SUMIFS('Business - Dump'!$G:$G,'Business - Dump'!$D:$D,'SKU Repoprt'!$D422,'Business - Dump'!$A:$A,'SKU Repoprt'!I$1)</f>
        <v>348</v>
      </c>
      <c r="J422" s="3">
        <f>SUMIFS('Business - Dump'!$G:$G,'Business - Dump'!$D:$D,'SKU Repoprt'!$D422,'Business - Dump'!$A:$A,'SKU Repoprt'!J$1)</f>
        <v>0</v>
      </c>
      <c r="K422" s="3">
        <f>SUMIFS('Business - Dump'!$G:$G,'Business - Dump'!$D:$D,'SKU Repoprt'!$D422,'Business - Dump'!$A:$A,'SKU Repoprt'!K$1)</f>
        <v>0</v>
      </c>
      <c r="L422" s="3">
        <f>SUMIFS('Business - Dump'!$G:$G,'Business - Dump'!$D:$D,'SKU Repoprt'!$D422,'Business - Dump'!$A:$A,'SKU Repoprt'!L$1)</f>
        <v>0</v>
      </c>
      <c r="M422" s="3">
        <f>SUMIFS('Business - Dump'!$G:$G,'Business - Dump'!$D:$D,'SKU Repoprt'!$D422,'Business - Dump'!$A:$A,'SKU Repoprt'!M$1)</f>
        <v>0</v>
      </c>
      <c r="N422" s="3">
        <f>SUMIFS('Business - Dump'!$G:$G,'Business - Dump'!$D:$D,'SKU Repoprt'!$D422,'Business - Dump'!$A:$A,'SKU Repoprt'!N$1)</f>
        <v>0</v>
      </c>
      <c r="O422" s="3">
        <f>SUMIFS('Business - Dump'!$G:$G,'Business - Dump'!$D:$D,'SKU Repoprt'!$D422,'Business - Dump'!$A:$A,'SKU Repoprt'!O$1)</f>
        <v>0</v>
      </c>
      <c r="P422" s="3">
        <f>SUMIFS('Business - Dump'!$G:$G,'Business - Dump'!$D:$D,'SKU Repoprt'!$D422,'Business - Dump'!$A:$A,'SKU Repoprt'!P$1)</f>
        <v>0</v>
      </c>
      <c r="Q422" s="3">
        <f>SUMIFS('Business - Dump'!$G:$G,'Business - Dump'!$D:$D,'SKU Repoprt'!$D422,'Business - Dump'!$A:$A,'SKU Repoprt'!Q$1)</f>
        <v>0</v>
      </c>
      <c r="R422" s="3">
        <f>SUMIFS('Business - Dump'!$G:$G,'Business - Dump'!$D:$D,'SKU Repoprt'!$D422,'Business - Dump'!$A:$A,'SKU Repoprt'!R$1)</f>
        <v>0</v>
      </c>
      <c r="S422" s="3">
        <f>SUMIFS('Business - Dump'!$G:$G,'Business - Dump'!$D:$D,'SKU Repoprt'!$D422,'Business - Dump'!$A:$A,'SKU Repoprt'!S$1)</f>
        <v>0</v>
      </c>
      <c r="T422" s="3">
        <f>SUMIFS('Business - Dump'!$G:$G,'Business - Dump'!$D:$D,'SKU Repoprt'!$D422,'Business - Dump'!$A:$A,'SKU Repoprt'!T$1)</f>
        <v>0</v>
      </c>
      <c r="U422" s="3">
        <f>SUMIFS('Business - Dump'!$G:$G,'Business - Dump'!$D:$D,'SKU Repoprt'!$D422,'Business - Dump'!$A:$A,'SKU Repoprt'!U$1)</f>
        <v>0</v>
      </c>
      <c r="V422" s="3">
        <f>SUMIFS('Business - Dump'!$G:$G,'Business - Dump'!$D:$D,'SKU Repoprt'!$D422,'Business - Dump'!$A:$A,'SKU Repoprt'!V$1)</f>
        <v>0</v>
      </c>
      <c r="W422" s="3">
        <f>SUMIFS('Business - Dump'!$G:$G,'Business - Dump'!$D:$D,'SKU Repoprt'!$D422,'Business - Dump'!$A:$A,'SKU Repoprt'!W$1)</f>
        <v>0</v>
      </c>
    </row>
    <row r="423" ht="15.75" customHeight="1">
      <c r="A423" s="10" t="s">
        <v>232</v>
      </c>
      <c r="B423" s="10" t="s">
        <v>232</v>
      </c>
      <c r="C423" s="10"/>
      <c r="D423" s="10" t="s">
        <v>302</v>
      </c>
      <c r="E423" s="10" t="s">
        <v>260</v>
      </c>
      <c r="F423" s="3">
        <f t="shared" si="141"/>
        <v>3495</v>
      </c>
      <c r="G423" s="3">
        <f>SUMIFS('Business - Dump'!$K:$K,'Business - Dump'!$D:$D,'SKU Repoprt'!$D423,'Business - Dump'!$A:$A,'SKU Repoprt'!G$1)</f>
        <v>552</v>
      </c>
      <c r="H423" s="3">
        <f>SUMIFS('Business - Dump'!$K:$K,'Business - Dump'!$D:$D,'SKU Repoprt'!$D423,'Business - Dump'!$A:$A,'SKU Repoprt'!H$1)</f>
        <v>2460</v>
      </c>
      <c r="I423" s="3">
        <f>SUMIFS('Business - Dump'!$K:$K,'Business - Dump'!$D:$D,'SKU Repoprt'!$D423,'Business - Dump'!$A:$A,'SKU Repoprt'!I$1)</f>
        <v>483</v>
      </c>
      <c r="J423" s="3">
        <f>SUMIFS('Business - Dump'!$K:$K,'Business - Dump'!$D:$D,'SKU Repoprt'!$D423,'Business - Dump'!$A:$A,'SKU Repoprt'!J$1)</f>
        <v>0</v>
      </c>
      <c r="K423" s="3">
        <f>SUMIFS('Business - Dump'!$K:$K,'Business - Dump'!$D:$D,'SKU Repoprt'!$D423,'Business - Dump'!$A:$A,'SKU Repoprt'!K$1)</f>
        <v>0</v>
      </c>
      <c r="L423" s="3">
        <f>SUMIFS('Business - Dump'!$K:$K,'Business - Dump'!$D:$D,'SKU Repoprt'!$D423,'Business - Dump'!$A:$A,'SKU Repoprt'!L$1)</f>
        <v>0</v>
      </c>
      <c r="M423" s="3">
        <f>SUMIFS('Business - Dump'!$K:$K,'Business - Dump'!$D:$D,'SKU Repoprt'!$D423,'Business - Dump'!$A:$A,'SKU Repoprt'!M$1)</f>
        <v>0</v>
      </c>
      <c r="N423" s="3">
        <f>SUMIFS('Business - Dump'!$K:$K,'Business - Dump'!$D:$D,'SKU Repoprt'!$D423,'Business - Dump'!$A:$A,'SKU Repoprt'!N$1)</f>
        <v>0</v>
      </c>
      <c r="O423" s="3">
        <f>SUMIFS('Business - Dump'!$K:$K,'Business - Dump'!$D:$D,'SKU Repoprt'!$D423,'Business - Dump'!$A:$A,'SKU Repoprt'!O$1)</f>
        <v>0</v>
      </c>
      <c r="P423" s="3">
        <f>SUMIFS('Business - Dump'!$K:$K,'Business - Dump'!$D:$D,'SKU Repoprt'!$D423,'Business - Dump'!$A:$A,'SKU Repoprt'!P$1)</f>
        <v>0</v>
      </c>
      <c r="Q423" s="3">
        <f>SUMIFS('Business - Dump'!$K:$K,'Business - Dump'!$D:$D,'SKU Repoprt'!$D423,'Business - Dump'!$A:$A,'SKU Repoprt'!Q$1)</f>
        <v>0</v>
      </c>
      <c r="R423" s="3">
        <f>SUMIFS('Business - Dump'!$K:$K,'Business - Dump'!$D:$D,'SKU Repoprt'!$D423,'Business - Dump'!$A:$A,'SKU Repoprt'!R$1)</f>
        <v>0</v>
      </c>
      <c r="S423" s="3">
        <f>SUMIFS('Business - Dump'!$K:$K,'Business - Dump'!$D:$D,'SKU Repoprt'!$D423,'Business - Dump'!$A:$A,'SKU Repoprt'!S$1)</f>
        <v>0</v>
      </c>
      <c r="T423" s="3">
        <f>SUMIFS('Business - Dump'!$K:$K,'Business - Dump'!$D:$D,'SKU Repoprt'!$D423,'Business - Dump'!$A:$A,'SKU Repoprt'!T$1)</f>
        <v>0</v>
      </c>
      <c r="U423" s="3">
        <f>SUMIFS('Business - Dump'!$K:$K,'Business - Dump'!$D:$D,'SKU Repoprt'!$D423,'Business - Dump'!$A:$A,'SKU Repoprt'!U$1)</f>
        <v>0</v>
      </c>
      <c r="V423" s="3">
        <f>SUMIFS('Business - Dump'!$K:$K,'Business - Dump'!$D:$D,'SKU Repoprt'!$D423,'Business - Dump'!$A:$A,'SKU Repoprt'!V$1)</f>
        <v>0</v>
      </c>
      <c r="W423" s="3">
        <f>SUMIFS('Business - Dump'!$K:$K,'Business - Dump'!$D:$D,'SKU Repoprt'!$D423,'Business - Dump'!$A:$A,'SKU Repoprt'!W$1)</f>
        <v>0</v>
      </c>
    </row>
    <row r="424" ht="15.75" customHeight="1">
      <c r="A424" s="10" t="s">
        <v>232</v>
      </c>
      <c r="B424" s="10" t="s">
        <v>232</v>
      </c>
      <c r="C424" s="10"/>
      <c r="D424" s="10" t="s">
        <v>302</v>
      </c>
      <c r="E424" s="10" t="s">
        <v>264</v>
      </c>
      <c r="F424" s="3">
        <f t="shared" si="141"/>
        <v>19</v>
      </c>
      <c r="G424" s="3">
        <f>SUMIFS('Business - Dump'!$Q:$Q,'Business - Dump'!$D:$D,'SKU Repoprt'!$D424,'Business - Dump'!$A:$A,'SKU Repoprt'!G$1)</f>
        <v>7</v>
      </c>
      <c r="H424" s="3">
        <f>SUMIFS('Business - Dump'!$Q:$Q,'Business - Dump'!$D:$D,'SKU Repoprt'!$D424,'Business - Dump'!$A:$A,'SKU Repoprt'!H$1)</f>
        <v>10</v>
      </c>
      <c r="I424" s="3">
        <f>SUMIFS('Business - Dump'!$Q:$Q,'Business - Dump'!$D:$D,'SKU Repoprt'!$D424,'Business - Dump'!$A:$A,'SKU Repoprt'!I$1)</f>
        <v>2</v>
      </c>
      <c r="J424" s="3">
        <f>SUMIFS('Business - Dump'!$Q:$Q,'Business - Dump'!$D:$D,'SKU Repoprt'!$D424,'Business - Dump'!$A:$A,'SKU Repoprt'!J$1)</f>
        <v>0</v>
      </c>
      <c r="K424" s="3">
        <f>SUMIFS('Business - Dump'!$Q:$Q,'Business - Dump'!$D:$D,'SKU Repoprt'!$D424,'Business - Dump'!$A:$A,'SKU Repoprt'!K$1)</f>
        <v>0</v>
      </c>
      <c r="L424" s="3">
        <f>SUMIFS('Business - Dump'!$Q:$Q,'Business - Dump'!$D:$D,'SKU Repoprt'!$D424,'Business - Dump'!$A:$A,'SKU Repoprt'!L$1)</f>
        <v>0</v>
      </c>
      <c r="M424" s="3">
        <f>SUMIFS('Business - Dump'!$Q:$Q,'Business - Dump'!$D:$D,'SKU Repoprt'!$D424,'Business - Dump'!$A:$A,'SKU Repoprt'!M$1)</f>
        <v>0</v>
      </c>
      <c r="N424" s="3">
        <f>SUMIFS('Business - Dump'!$Q:$Q,'Business - Dump'!$D:$D,'SKU Repoprt'!$D424,'Business - Dump'!$A:$A,'SKU Repoprt'!N$1)</f>
        <v>0</v>
      </c>
      <c r="O424" s="3">
        <f>SUMIFS('Business - Dump'!$Q:$Q,'Business - Dump'!$D:$D,'SKU Repoprt'!$D424,'Business - Dump'!$A:$A,'SKU Repoprt'!O$1)</f>
        <v>0</v>
      </c>
      <c r="P424" s="3">
        <f>SUMIFS('Business - Dump'!$Q:$Q,'Business - Dump'!$D:$D,'SKU Repoprt'!$D424,'Business - Dump'!$A:$A,'SKU Repoprt'!P$1)</f>
        <v>0</v>
      </c>
      <c r="Q424" s="3">
        <f>SUMIFS('Business - Dump'!$Q:$Q,'Business - Dump'!$D:$D,'SKU Repoprt'!$D424,'Business - Dump'!$A:$A,'SKU Repoprt'!Q$1)</f>
        <v>0</v>
      </c>
      <c r="R424" s="3">
        <f>SUMIFS('Business - Dump'!$Q:$Q,'Business - Dump'!$D:$D,'SKU Repoprt'!$D424,'Business - Dump'!$A:$A,'SKU Repoprt'!R$1)</f>
        <v>0</v>
      </c>
      <c r="S424" s="3">
        <f>SUMIFS('Business - Dump'!$Q:$Q,'Business - Dump'!$D:$D,'SKU Repoprt'!$D424,'Business - Dump'!$A:$A,'SKU Repoprt'!S$1)</f>
        <v>0</v>
      </c>
      <c r="T424" s="3">
        <f>SUMIFS('Business - Dump'!$Q:$Q,'Business - Dump'!$D:$D,'SKU Repoprt'!$D424,'Business - Dump'!$A:$A,'SKU Repoprt'!T$1)</f>
        <v>0</v>
      </c>
      <c r="U424" s="3">
        <f>SUMIFS('Business - Dump'!$Q:$Q,'Business - Dump'!$D:$D,'SKU Repoprt'!$D424,'Business - Dump'!$A:$A,'SKU Repoprt'!U$1)</f>
        <v>0</v>
      </c>
      <c r="V424" s="3">
        <f>SUMIFS('Business - Dump'!$Q:$Q,'Business - Dump'!$D:$D,'SKU Repoprt'!$D424,'Business - Dump'!$A:$A,'SKU Repoprt'!V$1)</f>
        <v>0</v>
      </c>
      <c r="W424" s="3">
        <f>SUMIFS('Business - Dump'!$Q:$Q,'Business - Dump'!$D:$D,'SKU Repoprt'!$D424,'Business - Dump'!$A:$A,'SKU Repoprt'!W$1)</f>
        <v>0</v>
      </c>
    </row>
    <row r="425" ht="15.75" customHeight="1">
      <c r="A425" s="10" t="s">
        <v>232</v>
      </c>
      <c r="B425" s="10" t="s">
        <v>232</v>
      </c>
      <c r="C425" s="10"/>
      <c r="D425" s="10" t="s">
        <v>302</v>
      </c>
      <c r="E425" s="10" t="s">
        <v>268</v>
      </c>
      <c r="F425" s="3">
        <f t="shared" si="141"/>
        <v>19</v>
      </c>
      <c r="G425" s="3">
        <f>SUMIFS('Business - Dump'!$W:$W,'Business - Dump'!$D:$D,'SKU Repoprt'!$D425,'Business - Dump'!$A:$A,'SKU Repoprt'!G$1)</f>
        <v>7</v>
      </c>
      <c r="H425" s="3">
        <f>SUMIFS('Business - Dump'!$W:$W,'Business - Dump'!$D:$D,'SKU Repoprt'!$D425,'Business - Dump'!$A:$A,'SKU Repoprt'!H$1)</f>
        <v>10</v>
      </c>
      <c r="I425" s="3">
        <f>SUMIFS('Business - Dump'!$W:$W,'Business - Dump'!$D:$D,'SKU Repoprt'!$D425,'Business - Dump'!$A:$A,'SKU Repoprt'!I$1)</f>
        <v>2</v>
      </c>
      <c r="J425" s="3">
        <f>SUMIFS('Business - Dump'!$W:$W,'Business - Dump'!$D:$D,'SKU Repoprt'!$D425,'Business - Dump'!$A:$A,'SKU Repoprt'!J$1)</f>
        <v>0</v>
      </c>
      <c r="K425" s="3">
        <f>SUMIFS('Business - Dump'!$W:$W,'Business - Dump'!$D:$D,'SKU Repoprt'!$D425,'Business - Dump'!$A:$A,'SKU Repoprt'!K$1)</f>
        <v>0</v>
      </c>
      <c r="L425" s="3">
        <f>SUMIFS('Business - Dump'!$W:$W,'Business - Dump'!$D:$D,'SKU Repoprt'!$D425,'Business - Dump'!$A:$A,'SKU Repoprt'!L$1)</f>
        <v>0</v>
      </c>
      <c r="M425" s="3">
        <f>SUMIFS('Business - Dump'!$W:$W,'Business - Dump'!$D:$D,'SKU Repoprt'!$D425,'Business - Dump'!$A:$A,'SKU Repoprt'!M$1)</f>
        <v>0</v>
      </c>
      <c r="N425" s="3">
        <f>SUMIFS('Business - Dump'!$W:$W,'Business - Dump'!$D:$D,'SKU Repoprt'!$D425,'Business - Dump'!$A:$A,'SKU Repoprt'!N$1)</f>
        <v>0</v>
      </c>
      <c r="O425" s="3">
        <f>SUMIFS('Business - Dump'!$W:$W,'Business - Dump'!$D:$D,'SKU Repoprt'!$D425,'Business - Dump'!$A:$A,'SKU Repoprt'!O$1)</f>
        <v>0</v>
      </c>
      <c r="P425" s="3">
        <f>SUMIFS('Business - Dump'!$W:$W,'Business - Dump'!$D:$D,'SKU Repoprt'!$D425,'Business - Dump'!$A:$A,'SKU Repoprt'!P$1)</f>
        <v>0</v>
      </c>
      <c r="Q425" s="3">
        <f>SUMIFS('Business - Dump'!$W:$W,'Business - Dump'!$D:$D,'SKU Repoprt'!$D425,'Business - Dump'!$A:$A,'SKU Repoprt'!Q$1)</f>
        <v>0</v>
      </c>
      <c r="R425" s="3">
        <f>SUMIFS('Business - Dump'!$W:$W,'Business - Dump'!$D:$D,'SKU Repoprt'!$D425,'Business - Dump'!$A:$A,'SKU Repoprt'!R$1)</f>
        <v>0</v>
      </c>
      <c r="S425" s="3">
        <f>SUMIFS('Business - Dump'!$W:$W,'Business - Dump'!$D:$D,'SKU Repoprt'!$D425,'Business - Dump'!$A:$A,'SKU Repoprt'!S$1)</f>
        <v>0</v>
      </c>
      <c r="T425" s="3">
        <f>SUMIFS('Business - Dump'!$W:$W,'Business - Dump'!$D:$D,'SKU Repoprt'!$D425,'Business - Dump'!$A:$A,'SKU Repoprt'!T$1)</f>
        <v>0</v>
      </c>
      <c r="U425" s="3">
        <f>SUMIFS('Business - Dump'!$W:$W,'Business - Dump'!$D:$D,'SKU Repoprt'!$D425,'Business - Dump'!$A:$A,'SKU Repoprt'!U$1)</f>
        <v>0</v>
      </c>
      <c r="V425" s="3">
        <f>SUMIFS('Business - Dump'!$W:$W,'Business - Dump'!$D:$D,'SKU Repoprt'!$D425,'Business - Dump'!$A:$A,'SKU Repoprt'!V$1)</f>
        <v>0</v>
      </c>
      <c r="W425" s="3">
        <f>SUMIFS('Business - Dump'!$W:$W,'Business - Dump'!$D:$D,'SKU Repoprt'!$D425,'Business - Dump'!$A:$A,'SKU Repoprt'!W$1)</f>
        <v>0</v>
      </c>
    </row>
    <row r="426" ht="15.75" customHeight="1">
      <c r="A426" s="10" t="s">
        <v>232</v>
      </c>
      <c r="B426" s="10" t="s">
        <v>232</v>
      </c>
      <c r="C426" s="10"/>
      <c r="D426" s="10" t="s">
        <v>302</v>
      </c>
      <c r="E426" s="10" t="s">
        <v>26</v>
      </c>
      <c r="F426" s="16">
        <f t="shared" si="141"/>
        <v>324281</v>
      </c>
      <c r="G426" s="16">
        <f>SUMIFS('Business - Dump'!$U:$U,'Business - Dump'!$D:$D,'SKU Repoprt'!$D426,'Business - Dump'!$A:$A,'SKU Repoprt'!G$1)</f>
        <v>132293</v>
      </c>
      <c r="H426" s="16">
        <f>SUMIFS('Business - Dump'!$U:$U,'Business - Dump'!$D:$D,'SKU Repoprt'!$D426,'Business - Dump'!$A:$A,'SKU Repoprt'!H$1)</f>
        <v>159990</v>
      </c>
      <c r="I426" s="16">
        <f>SUMIFS('Business - Dump'!$U:$U,'Business - Dump'!$D:$D,'SKU Repoprt'!$D426,'Business - Dump'!$A:$A,'SKU Repoprt'!I$1)</f>
        <v>31998</v>
      </c>
      <c r="J426" s="16">
        <f>SUMIFS('Business - Dump'!$U:$U,'Business - Dump'!$D:$D,'SKU Repoprt'!$D426,'Business - Dump'!$A:$A,'SKU Repoprt'!J$1)</f>
        <v>0</v>
      </c>
      <c r="K426" s="16">
        <f>SUMIFS('Business - Dump'!$U:$U,'Business - Dump'!$D:$D,'SKU Repoprt'!$D426,'Business - Dump'!$A:$A,'SKU Repoprt'!K$1)</f>
        <v>0</v>
      </c>
      <c r="L426" s="16">
        <f>SUMIFS('Business - Dump'!$U:$U,'Business - Dump'!$D:$D,'SKU Repoprt'!$D426,'Business - Dump'!$A:$A,'SKU Repoprt'!L$1)</f>
        <v>0</v>
      </c>
      <c r="M426" s="16">
        <f>SUMIFS('Business - Dump'!$U:$U,'Business - Dump'!$D:$D,'SKU Repoprt'!$D426,'Business - Dump'!$A:$A,'SKU Repoprt'!M$1)</f>
        <v>0</v>
      </c>
      <c r="N426" s="16">
        <f>SUMIFS('Business - Dump'!$U:$U,'Business - Dump'!$D:$D,'SKU Repoprt'!$D426,'Business - Dump'!$A:$A,'SKU Repoprt'!N$1)</f>
        <v>0</v>
      </c>
      <c r="O426" s="16">
        <f>SUMIFS('Business - Dump'!$U:$U,'Business - Dump'!$D:$D,'SKU Repoprt'!$D426,'Business - Dump'!$A:$A,'SKU Repoprt'!O$1)</f>
        <v>0</v>
      </c>
      <c r="P426" s="16">
        <f>SUMIFS('Business - Dump'!$U:$U,'Business - Dump'!$D:$D,'SKU Repoprt'!$D426,'Business - Dump'!$A:$A,'SKU Repoprt'!P$1)</f>
        <v>0</v>
      </c>
      <c r="Q426" s="16">
        <f>SUMIFS('Business - Dump'!$U:$U,'Business - Dump'!$D:$D,'SKU Repoprt'!$D426,'Business - Dump'!$A:$A,'SKU Repoprt'!Q$1)</f>
        <v>0</v>
      </c>
      <c r="R426" s="16">
        <f>SUMIFS('Business - Dump'!$U:$U,'Business - Dump'!$D:$D,'SKU Repoprt'!$D426,'Business - Dump'!$A:$A,'SKU Repoprt'!R$1)</f>
        <v>0</v>
      </c>
      <c r="S426" s="16">
        <f>SUMIFS('Business - Dump'!$U:$U,'Business - Dump'!$D:$D,'SKU Repoprt'!$D426,'Business - Dump'!$A:$A,'SKU Repoprt'!S$1)</f>
        <v>0</v>
      </c>
      <c r="T426" s="16">
        <f>SUMIFS('Business - Dump'!$U:$U,'Business - Dump'!$D:$D,'SKU Repoprt'!$D426,'Business - Dump'!$A:$A,'SKU Repoprt'!T$1)</f>
        <v>0</v>
      </c>
      <c r="U426" s="16">
        <f>SUMIFS('Business - Dump'!$U:$U,'Business - Dump'!$D:$D,'SKU Repoprt'!$D426,'Business - Dump'!$A:$A,'SKU Repoprt'!U$1)</f>
        <v>0</v>
      </c>
      <c r="V426" s="16">
        <f>SUMIFS('Business - Dump'!$U:$U,'Business - Dump'!$D:$D,'SKU Repoprt'!$D426,'Business - Dump'!$A:$A,'SKU Repoprt'!V$1)</f>
        <v>0</v>
      </c>
      <c r="W426" s="16">
        <f>SUMIFS('Business - Dump'!$U:$U,'Business - Dump'!$D:$D,'SKU Repoprt'!$D426,'Business - Dump'!$A:$A,'SKU Repoprt'!W$1)</f>
        <v>0</v>
      </c>
    </row>
    <row r="427" ht="15.75" customHeight="1">
      <c r="A427" s="10" t="s">
        <v>232</v>
      </c>
      <c r="B427" s="10" t="s">
        <v>232</v>
      </c>
      <c r="C427" s="10"/>
      <c r="D427" s="10" t="s">
        <v>302</v>
      </c>
      <c r="E427" s="10" t="s">
        <v>29</v>
      </c>
      <c r="F427" s="17">
        <v>0.027042857142857143</v>
      </c>
      <c r="G427" s="17">
        <f t="shared" ref="G427:W427" si="142">IFERROR(G425/G422,0)</f>
        <v>0.01654846336</v>
      </c>
      <c r="H427" s="17">
        <f t="shared" si="142"/>
        <v>0.00612745098</v>
      </c>
      <c r="I427" s="17">
        <f t="shared" si="142"/>
        <v>0.005747126437</v>
      </c>
      <c r="J427" s="17">
        <f t="shared" si="142"/>
        <v>0</v>
      </c>
      <c r="K427" s="17">
        <f t="shared" si="142"/>
        <v>0</v>
      </c>
      <c r="L427" s="17">
        <f t="shared" si="142"/>
        <v>0</v>
      </c>
      <c r="M427" s="17">
        <f t="shared" si="142"/>
        <v>0</v>
      </c>
      <c r="N427" s="17">
        <f t="shared" si="142"/>
        <v>0</v>
      </c>
      <c r="O427" s="17">
        <f t="shared" si="142"/>
        <v>0</v>
      </c>
      <c r="P427" s="17">
        <f t="shared" si="142"/>
        <v>0</v>
      </c>
      <c r="Q427" s="17">
        <f t="shared" si="142"/>
        <v>0</v>
      </c>
      <c r="R427" s="17">
        <f t="shared" si="142"/>
        <v>0</v>
      </c>
      <c r="S427" s="17">
        <f t="shared" si="142"/>
        <v>0</v>
      </c>
      <c r="T427" s="17">
        <f t="shared" si="142"/>
        <v>0</v>
      </c>
      <c r="U427" s="17">
        <f t="shared" si="142"/>
        <v>0</v>
      </c>
      <c r="V427" s="17">
        <f t="shared" si="142"/>
        <v>0</v>
      </c>
      <c r="W427" s="17">
        <f t="shared" si="142"/>
        <v>0</v>
      </c>
    </row>
    <row r="428" ht="15.75" customHeight="1">
      <c r="A428" s="10" t="s">
        <v>232</v>
      </c>
      <c r="B428" s="10" t="s">
        <v>232</v>
      </c>
      <c r="C428" s="10"/>
      <c r="D428" s="10" t="s">
        <v>412</v>
      </c>
      <c r="E428" s="10" t="s">
        <v>257</v>
      </c>
      <c r="F428" s="3">
        <f t="shared" ref="F428:F432" si="143">SUM(G428:S428)</f>
        <v>4563</v>
      </c>
      <c r="G428" s="3">
        <f>SUMIFS('Business - Dump'!$G:$G,'Business - Dump'!$D:$D,'SKU Repoprt'!$D428,'Business - Dump'!$A:$A,'SKU Repoprt'!G$1)</f>
        <v>0</v>
      </c>
      <c r="H428" s="3">
        <f>SUMIFS('Business - Dump'!$G:$G,'Business - Dump'!$D:$D,'SKU Repoprt'!$D428,'Business - Dump'!$A:$A,'SKU Repoprt'!H$1)</f>
        <v>0</v>
      </c>
      <c r="I428" s="3">
        <f>SUMIFS('Business - Dump'!$G:$G,'Business - Dump'!$D:$D,'SKU Repoprt'!$D428,'Business - Dump'!$A:$A,'SKU Repoprt'!I$1)</f>
        <v>0</v>
      </c>
      <c r="J428" s="3">
        <f>SUMIFS('Business - Dump'!$G:$G,'Business - Dump'!$D:$D,'SKU Repoprt'!$D428,'Business - Dump'!$A:$A,'SKU Repoprt'!J$1)</f>
        <v>0</v>
      </c>
      <c r="K428" s="3">
        <f>SUMIFS('Business - Dump'!$G:$G,'Business - Dump'!$D:$D,'SKU Repoprt'!$D428,'Business - Dump'!$A:$A,'SKU Repoprt'!K$1)</f>
        <v>0</v>
      </c>
      <c r="L428" s="3">
        <f>SUMIFS('Business - Dump'!$G:$G,'Business - Dump'!$D:$D,'SKU Repoprt'!$D428,'Business - Dump'!$A:$A,'SKU Repoprt'!L$1)</f>
        <v>0</v>
      </c>
      <c r="M428" s="3">
        <f>SUMIFS('Business - Dump'!$G:$G,'Business - Dump'!$D:$D,'SKU Repoprt'!$D428,'Business - Dump'!$A:$A,'SKU Repoprt'!M$1)</f>
        <v>488</v>
      </c>
      <c r="N428" s="3">
        <f>SUMIFS('Business - Dump'!$G:$G,'Business - Dump'!$D:$D,'SKU Repoprt'!$D428,'Business - Dump'!$A:$A,'SKU Repoprt'!N$1)</f>
        <v>875</v>
      </c>
      <c r="O428" s="3">
        <f>SUMIFS('Business - Dump'!$G:$G,'Business - Dump'!$D:$D,'SKU Repoprt'!$D428,'Business - Dump'!$A:$A,'SKU Repoprt'!O$1)</f>
        <v>713</v>
      </c>
      <c r="P428" s="3">
        <f>SUMIFS('Business - Dump'!$G:$G,'Business - Dump'!$D:$D,'SKU Repoprt'!$D428,'Business - Dump'!$A:$A,'SKU Repoprt'!P$1)</f>
        <v>646</v>
      </c>
      <c r="Q428" s="3">
        <f>SUMIFS('Business - Dump'!$G:$G,'Business - Dump'!$D:$D,'SKU Repoprt'!$D428,'Business - Dump'!$A:$A,'SKU Repoprt'!Q$1)</f>
        <v>716</v>
      </c>
      <c r="R428" s="3">
        <f>SUMIFS('Business - Dump'!$G:$G,'Business - Dump'!$D:$D,'SKU Repoprt'!$D428,'Business - Dump'!$A:$A,'SKU Repoprt'!R$1)</f>
        <v>522</v>
      </c>
      <c r="S428" s="3">
        <f>SUMIFS('Business - Dump'!$G:$G,'Business - Dump'!$D:$D,'SKU Repoprt'!$D428,'Business - Dump'!$A:$A,'SKU Repoprt'!S$1)</f>
        <v>603</v>
      </c>
      <c r="T428" s="3">
        <f>SUMIFS('Business - Dump'!$G:$G,'Business - Dump'!$D:$D,'SKU Repoprt'!$D428,'Business - Dump'!$A:$A,'SKU Repoprt'!T$1)</f>
        <v>73</v>
      </c>
      <c r="U428" s="3">
        <f>SUMIFS('Business - Dump'!$G:$G,'Business - Dump'!$D:$D,'SKU Repoprt'!$D428,'Business - Dump'!$A:$A,'SKU Repoprt'!U$1)</f>
        <v>0</v>
      </c>
      <c r="V428" s="3">
        <f>SUMIFS('Business - Dump'!$G:$G,'Business - Dump'!$D:$D,'SKU Repoprt'!$D428,'Business - Dump'!$A:$A,'SKU Repoprt'!V$1)</f>
        <v>0</v>
      </c>
      <c r="W428" s="3">
        <f>SUMIFS('Business - Dump'!$G:$G,'Business - Dump'!$D:$D,'SKU Repoprt'!$D428,'Business - Dump'!$A:$A,'SKU Repoprt'!W$1)</f>
        <v>0</v>
      </c>
    </row>
    <row r="429" ht="15.75" customHeight="1">
      <c r="A429" s="10" t="s">
        <v>232</v>
      </c>
      <c r="B429" s="10" t="s">
        <v>232</v>
      </c>
      <c r="C429" s="10"/>
      <c r="D429" s="10" t="s">
        <v>412</v>
      </c>
      <c r="E429" s="10" t="s">
        <v>260</v>
      </c>
      <c r="F429" s="3">
        <f t="shared" si="143"/>
        <v>5772</v>
      </c>
      <c r="G429" s="3">
        <f>SUMIFS('Business - Dump'!$K:$K,'Business - Dump'!$D:$D,'SKU Repoprt'!$D429,'Business - Dump'!$A:$A,'SKU Repoprt'!G$1)</f>
        <v>0</v>
      </c>
      <c r="H429" s="3">
        <f>SUMIFS('Business - Dump'!$K:$K,'Business - Dump'!$D:$D,'SKU Repoprt'!$D429,'Business - Dump'!$A:$A,'SKU Repoprt'!H$1)</f>
        <v>0</v>
      </c>
      <c r="I429" s="3">
        <f>SUMIFS('Business - Dump'!$K:$K,'Business - Dump'!$D:$D,'SKU Repoprt'!$D429,'Business - Dump'!$A:$A,'SKU Repoprt'!I$1)</f>
        <v>0</v>
      </c>
      <c r="J429" s="3">
        <f>SUMIFS('Business - Dump'!$K:$K,'Business - Dump'!$D:$D,'SKU Repoprt'!$D429,'Business - Dump'!$A:$A,'SKU Repoprt'!J$1)</f>
        <v>0</v>
      </c>
      <c r="K429" s="3">
        <f>SUMIFS('Business - Dump'!$K:$K,'Business - Dump'!$D:$D,'SKU Repoprt'!$D429,'Business - Dump'!$A:$A,'SKU Repoprt'!K$1)</f>
        <v>0</v>
      </c>
      <c r="L429" s="3">
        <f>SUMIFS('Business - Dump'!$K:$K,'Business - Dump'!$D:$D,'SKU Repoprt'!$D429,'Business - Dump'!$A:$A,'SKU Repoprt'!L$1)</f>
        <v>0</v>
      </c>
      <c r="M429" s="3">
        <f>SUMIFS('Business - Dump'!$K:$K,'Business - Dump'!$D:$D,'SKU Repoprt'!$D429,'Business - Dump'!$A:$A,'SKU Repoprt'!M$1)</f>
        <v>654</v>
      </c>
      <c r="N429" s="3">
        <f>SUMIFS('Business - Dump'!$K:$K,'Business - Dump'!$D:$D,'SKU Repoprt'!$D429,'Business - Dump'!$A:$A,'SKU Repoprt'!N$1)</f>
        <v>1059</v>
      </c>
      <c r="O429" s="3">
        <f>SUMIFS('Business - Dump'!$K:$K,'Business - Dump'!$D:$D,'SKU Repoprt'!$D429,'Business - Dump'!$A:$A,'SKU Repoprt'!O$1)</f>
        <v>908</v>
      </c>
      <c r="P429" s="3">
        <f>SUMIFS('Business - Dump'!$K:$K,'Business - Dump'!$D:$D,'SKU Repoprt'!$D429,'Business - Dump'!$A:$A,'SKU Repoprt'!P$1)</f>
        <v>816</v>
      </c>
      <c r="Q429" s="3">
        <f>SUMIFS('Business - Dump'!$K:$K,'Business - Dump'!$D:$D,'SKU Repoprt'!$D429,'Business - Dump'!$A:$A,'SKU Repoprt'!Q$1)</f>
        <v>923</v>
      </c>
      <c r="R429" s="3">
        <f>SUMIFS('Business - Dump'!$K:$K,'Business - Dump'!$D:$D,'SKU Repoprt'!$D429,'Business - Dump'!$A:$A,'SKU Repoprt'!R$1)</f>
        <v>704</v>
      </c>
      <c r="S429" s="3">
        <f>SUMIFS('Business - Dump'!$K:$K,'Business - Dump'!$D:$D,'SKU Repoprt'!$D429,'Business - Dump'!$A:$A,'SKU Repoprt'!S$1)</f>
        <v>708</v>
      </c>
      <c r="T429" s="3">
        <f>SUMIFS('Business - Dump'!$K:$K,'Business - Dump'!$D:$D,'SKU Repoprt'!$D429,'Business - Dump'!$A:$A,'SKU Repoprt'!T$1)</f>
        <v>76</v>
      </c>
      <c r="U429" s="3">
        <f>SUMIFS('Business - Dump'!$K:$K,'Business - Dump'!$D:$D,'SKU Repoprt'!$D429,'Business - Dump'!$A:$A,'SKU Repoprt'!U$1)</f>
        <v>0</v>
      </c>
      <c r="V429" s="3">
        <f>SUMIFS('Business - Dump'!$K:$K,'Business - Dump'!$D:$D,'SKU Repoprt'!$D429,'Business - Dump'!$A:$A,'SKU Repoprt'!V$1)</f>
        <v>0</v>
      </c>
      <c r="W429" s="3">
        <f>SUMIFS('Business - Dump'!$K:$K,'Business - Dump'!$D:$D,'SKU Repoprt'!$D429,'Business - Dump'!$A:$A,'SKU Repoprt'!W$1)</f>
        <v>0</v>
      </c>
    </row>
    <row r="430" ht="15.75" customHeight="1">
      <c r="A430" s="10" t="s">
        <v>232</v>
      </c>
      <c r="B430" s="10" t="s">
        <v>232</v>
      </c>
      <c r="C430" s="10"/>
      <c r="D430" s="10" t="s">
        <v>412</v>
      </c>
      <c r="E430" s="10" t="s">
        <v>264</v>
      </c>
      <c r="F430" s="3">
        <f t="shared" si="143"/>
        <v>22</v>
      </c>
      <c r="G430" s="3">
        <f>SUMIFS('Business - Dump'!$Q:$Q,'Business - Dump'!$D:$D,'SKU Repoprt'!$D430,'Business - Dump'!$A:$A,'SKU Repoprt'!G$1)</f>
        <v>0</v>
      </c>
      <c r="H430" s="3">
        <f>SUMIFS('Business - Dump'!$Q:$Q,'Business - Dump'!$D:$D,'SKU Repoprt'!$D430,'Business - Dump'!$A:$A,'SKU Repoprt'!H$1)</f>
        <v>0</v>
      </c>
      <c r="I430" s="3">
        <f>SUMIFS('Business - Dump'!$Q:$Q,'Business - Dump'!$D:$D,'SKU Repoprt'!$D430,'Business - Dump'!$A:$A,'SKU Repoprt'!I$1)</f>
        <v>0</v>
      </c>
      <c r="J430" s="3">
        <f>SUMIFS('Business - Dump'!$Q:$Q,'Business - Dump'!$D:$D,'SKU Repoprt'!$D430,'Business - Dump'!$A:$A,'SKU Repoprt'!J$1)</f>
        <v>0</v>
      </c>
      <c r="K430" s="3">
        <f>SUMIFS('Business - Dump'!$Q:$Q,'Business - Dump'!$D:$D,'SKU Repoprt'!$D430,'Business - Dump'!$A:$A,'SKU Repoprt'!K$1)</f>
        <v>0</v>
      </c>
      <c r="L430" s="3">
        <f>SUMIFS('Business - Dump'!$Q:$Q,'Business - Dump'!$D:$D,'SKU Repoprt'!$D430,'Business - Dump'!$A:$A,'SKU Repoprt'!L$1)</f>
        <v>0</v>
      </c>
      <c r="M430" s="3">
        <f>SUMIFS('Business - Dump'!$Q:$Q,'Business - Dump'!$D:$D,'SKU Repoprt'!$D430,'Business - Dump'!$A:$A,'SKU Repoprt'!M$1)</f>
        <v>3</v>
      </c>
      <c r="N430" s="3">
        <f>SUMIFS('Business - Dump'!$Q:$Q,'Business - Dump'!$D:$D,'SKU Repoprt'!$D430,'Business - Dump'!$A:$A,'SKU Repoprt'!N$1)</f>
        <v>4</v>
      </c>
      <c r="O430" s="3">
        <f>SUMIFS('Business - Dump'!$Q:$Q,'Business - Dump'!$D:$D,'SKU Repoprt'!$D430,'Business - Dump'!$A:$A,'SKU Repoprt'!O$1)</f>
        <v>1</v>
      </c>
      <c r="P430" s="3">
        <f>SUMIFS('Business - Dump'!$Q:$Q,'Business - Dump'!$D:$D,'SKU Repoprt'!$D430,'Business - Dump'!$A:$A,'SKU Repoprt'!P$1)</f>
        <v>4</v>
      </c>
      <c r="Q430" s="3">
        <f>SUMIFS('Business - Dump'!$Q:$Q,'Business - Dump'!$D:$D,'SKU Repoprt'!$D430,'Business - Dump'!$A:$A,'SKU Repoprt'!Q$1)</f>
        <v>5</v>
      </c>
      <c r="R430" s="3">
        <f>SUMIFS('Business - Dump'!$Q:$Q,'Business - Dump'!$D:$D,'SKU Repoprt'!$D430,'Business - Dump'!$A:$A,'SKU Repoprt'!R$1)</f>
        <v>5</v>
      </c>
      <c r="S430" s="3">
        <f>SUMIFS('Business - Dump'!$Q:$Q,'Business - Dump'!$D:$D,'SKU Repoprt'!$D430,'Business - Dump'!$A:$A,'SKU Repoprt'!S$1)</f>
        <v>0</v>
      </c>
      <c r="T430" s="3">
        <f>SUMIFS('Business - Dump'!$Q:$Q,'Business - Dump'!$D:$D,'SKU Repoprt'!$D430,'Business - Dump'!$A:$A,'SKU Repoprt'!T$1)</f>
        <v>0</v>
      </c>
      <c r="U430" s="3">
        <f>SUMIFS('Business - Dump'!$Q:$Q,'Business - Dump'!$D:$D,'SKU Repoprt'!$D430,'Business - Dump'!$A:$A,'SKU Repoprt'!U$1)</f>
        <v>0</v>
      </c>
      <c r="V430" s="3">
        <f>SUMIFS('Business - Dump'!$Q:$Q,'Business - Dump'!$D:$D,'SKU Repoprt'!$D430,'Business - Dump'!$A:$A,'SKU Repoprt'!V$1)</f>
        <v>0</v>
      </c>
      <c r="W430" s="3">
        <f>SUMIFS('Business - Dump'!$Q:$Q,'Business - Dump'!$D:$D,'SKU Repoprt'!$D430,'Business - Dump'!$A:$A,'SKU Repoprt'!W$1)</f>
        <v>0</v>
      </c>
    </row>
    <row r="431" ht="15.75" customHeight="1">
      <c r="A431" s="10" t="s">
        <v>232</v>
      </c>
      <c r="B431" s="10" t="s">
        <v>232</v>
      </c>
      <c r="C431" s="10"/>
      <c r="D431" s="10" t="s">
        <v>412</v>
      </c>
      <c r="E431" s="10" t="s">
        <v>268</v>
      </c>
      <c r="F431" s="3">
        <f t="shared" si="143"/>
        <v>22</v>
      </c>
      <c r="G431" s="3">
        <f>SUMIFS('Business - Dump'!$W:$W,'Business - Dump'!$D:$D,'SKU Repoprt'!$D431,'Business - Dump'!$A:$A,'SKU Repoprt'!G$1)</f>
        <v>0</v>
      </c>
      <c r="H431" s="3">
        <f>SUMIFS('Business - Dump'!$W:$W,'Business - Dump'!$D:$D,'SKU Repoprt'!$D431,'Business - Dump'!$A:$A,'SKU Repoprt'!H$1)</f>
        <v>0</v>
      </c>
      <c r="I431" s="3">
        <f>SUMIFS('Business - Dump'!$W:$W,'Business - Dump'!$D:$D,'SKU Repoprt'!$D431,'Business - Dump'!$A:$A,'SKU Repoprt'!I$1)</f>
        <v>0</v>
      </c>
      <c r="J431" s="3">
        <f>SUMIFS('Business - Dump'!$W:$W,'Business - Dump'!$D:$D,'SKU Repoprt'!$D431,'Business - Dump'!$A:$A,'SKU Repoprt'!J$1)</f>
        <v>0</v>
      </c>
      <c r="K431" s="3">
        <f>SUMIFS('Business - Dump'!$W:$W,'Business - Dump'!$D:$D,'SKU Repoprt'!$D431,'Business - Dump'!$A:$A,'SKU Repoprt'!K$1)</f>
        <v>0</v>
      </c>
      <c r="L431" s="3">
        <f>SUMIFS('Business - Dump'!$W:$W,'Business - Dump'!$D:$D,'SKU Repoprt'!$D431,'Business - Dump'!$A:$A,'SKU Repoprt'!L$1)</f>
        <v>0</v>
      </c>
      <c r="M431" s="3">
        <f>SUMIFS('Business - Dump'!$W:$W,'Business - Dump'!$D:$D,'SKU Repoprt'!$D431,'Business - Dump'!$A:$A,'SKU Repoprt'!M$1)</f>
        <v>3</v>
      </c>
      <c r="N431" s="3">
        <f>SUMIFS('Business - Dump'!$W:$W,'Business - Dump'!$D:$D,'SKU Repoprt'!$D431,'Business - Dump'!$A:$A,'SKU Repoprt'!N$1)</f>
        <v>4</v>
      </c>
      <c r="O431" s="3">
        <f>SUMIFS('Business - Dump'!$W:$W,'Business - Dump'!$D:$D,'SKU Repoprt'!$D431,'Business - Dump'!$A:$A,'SKU Repoprt'!O$1)</f>
        <v>1</v>
      </c>
      <c r="P431" s="3">
        <f>SUMIFS('Business - Dump'!$W:$W,'Business - Dump'!$D:$D,'SKU Repoprt'!$D431,'Business - Dump'!$A:$A,'SKU Repoprt'!P$1)</f>
        <v>4</v>
      </c>
      <c r="Q431" s="3">
        <f>SUMIFS('Business - Dump'!$W:$W,'Business - Dump'!$D:$D,'SKU Repoprt'!$D431,'Business - Dump'!$A:$A,'SKU Repoprt'!Q$1)</f>
        <v>5</v>
      </c>
      <c r="R431" s="3">
        <f>SUMIFS('Business - Dump'!$W:$W,'Business - Dump'!$D:$D,'SKU Repoprt'!$D431,'Business - Dump'!$A:$A,'SKU Repoprt'!R$1)</f>
        <v>5</v>
      </c>
      <c r="S431" s="3">
        <f>SUMIFS('Business - Dump'!$W:$W,'Business - Dump'!$D:$D,'SKU Repoprt'!$D431,'Business - Dump'!$A:$A,'SKU Repoprt'!S$1)</f>
        <v>0</v>
      </c>
      <c r="T431" s="3">
        <f>SUMIFS('Business - Dump'!$W:$W,'Business - Dump'!$D:$D,'SKU Repoprt'!$D431,'Business - Dump'!$A:$A,'SKU Repoprt'!T$1)</f>
        <v>0</v>
      </c>
      <c r="U431" s="3">
        <f>SUMIFS('Business - Dump'!$W:$W,'Business - Dump'!$D:$D,'SKU Repoprt'!$D431,'Business - Dump'!$A:$A,'SKU Repoprt'!U$1)</f>
        <v>0</v>
      </c>
      <c r="V431" s="3">
        <f>SUMIFS('Business - Dump'!$W:$W,'Business - Dump'!$D:$D,'SKU Repoprt'!$D431,'Business - Dump'!$A:$A,'SKU Repoprt'!V$1)</f>
        <v>0</v>
      </c>
      <c r="W431" s="3">
        <f>SUMIFS('Business - Dump'!$W:$W,'Business - Dump'!$D:$D,'SKU Repoprt'!$D431,'Business - Dump'!$A:$A,'SKU Repoprt'!W$1)</f>
        <v>0</v>
      </c>
    </row>
    <row r="432" ht="15.75" customHeight="1">
      <c r="A432" s="10" t="s">
        <v>232</v>
      </c>
      <c r="B432" s="10" t="s">
        <v>232</v>
      </c>
      <c r="C432" s="10"/>
      <c r="D432" s="10" t="s">
        <v>412</v>
      </c>
      <c r="E432" s="10" t="s">
        <v>26</v>
      </c>
      <c r="F432" s="16">
        <f t="shared" si="143"/>
        <v>442185.64</v>
      </c>
      <c r="G432" s="16">
        <f>SUMIFS('Business - Dump'!$U:$U,'Business - Dump'!$D:$D,'SKU Repoprt'!$D432,'Business - Dump'!$A:$A,'SKU Repoprt'!G$1)</f>
        <v>0</v>
      </c>
      <c r="H432" s="16">
        <f>SUMIFS('Business - Dump'!$U:$U,'Business - Dump'!$D:$D,'SKU Repoprt'!$D432,'Business - Dump'!$A:$A,'SKU Repoprt'!H$1)</f>
        <v>0</v>
      </c>
      <c r="I432" s="16">
        <f>SUMIFS('Business - Dump'!$U:$U,'Business - Dump'!$D:$D,'SKU Repoprt'!$D432,'Business - Dump'!$A:$A,'SKU Repoprt'!I$1)</f>
        <v>0</v>
      </c>
      <c r="J432" s="16">
        <f>SUMIFS('Business - Dump'!$U:$U,'Business - Dump'!$D:$D,'SKU Repoprt'!$D432,'Business - Dump'!$A:$A,'SKU Repoprt'!J$1)</f>
        <v>0</v>
      </c>
      <c r="K432" s="16">
        <f>SUMIFS('Business - Dump'!$U:$U,'Business - Dump'!$D:$D,'SKU Repoprt'!$D432,'Business - Dump'!$A:$A,'SKU Repoprt'!K$1)</f>
        <v>0</v>
      </c>
      <c r="L432" s="16">
        <f>SUMIFS('Business - Dump'!$U:$U,'Business - Dump'!$D:$D,'SKU Repoprt'!$D432,'Business - Dump'!$A:$A,'SKU Repoprt'!L$1)</f>
        <v>0</v>
      </c>
      <c r="M432" s="16">
        <f>SUMIFS('Business - Dump'!$U:$U,'Business - Dump'!$D:$D,'SKU Repoprt'!$D432,'Business - Dump'!$A:$A,'SKU Repoprt'!M$1)</f>
        <v>59997</v>
      </c>
      <c r="N432" s="16">
        <f>SUMIFS('Business - Dump'!$U:$U,'Business - Dump'!$D:$D,'SKU Repoprt'!$D432,'Business - Dump'!$A:$A,'SKU Repoprt'!N$1)</f>
        <v>79996</v>
      </c>
      <c r="O432" s="16">
        <f>SUMIFS('Business - Dump'!$U:$U,'Business - Dump'!$D:$D,'SKU Repoprt'!$D432,'Business - Dump'!$A:$A,'SKU Repoprt'!O$1)</f>
        <v>21299</v>
      </c>
      <c r="P432" s="16">
        <f>SUMIFS('Business - Dump'!$U:$U,'Business - Dump'!$D:$D,'SKU Repoprt'!$D432,'Business - Dump'!$A:$A,'SKU Repoprt'!P$1)</f>
        <v>84975</v>
      </c>
      <c r="Q432" s="16">
        <f>SUMIFS('Business - Dump'!$U:$U,'Business - Dump'!$D:$D,'SKU Repoprt'!$D432,'Business - Dump'!$A:$A,'SKU Repoprt'!Q$1)</f>
        <v>99177.88</v>
      </c>
      <c r="R432" s="16">
        <f>SUMIFS('Business - Dump'!$U:$U,'Business - Dump'!$D:$D,'SKU Repoprt'!$D432,'Business - Dump'!$A:$A,'SKU Repoprt'!R$1)</f>
        <v>96740.76</v>
      </c>
      <c r="S432" s="16">
        <f>SUMIFS('Business - Dump'!$U:$U,'Business - Dump'!$D:$D,'SKU Repoprt'!$D432,'Business - Dump'!$A:$A,'SKU Repoprt'!S$1)</f>
        <v>0</v>
      </c>
      <c r="T432" s="16">
        <f>SUMIFS('Business - Dump'!$U:$U,'Business - Dump'!$D:$D,'SKU Repoprt'!$D432,'Business - Dump'!$A:$A,'SKU Repoprt'!T$1)</f>
        <v>0</v>
      </c>
      <c r="U432" s="16">
        <f>SUMIFS('Business - Dump'!$U:$U,'Business - Dump'!$D:$D,'SKU Repoprt'!$D432,'Business - Dump'!$A:$A,'SKU Repoprt'!U$1)</f>
        <v>0</v>
      </c>
      <c r="V432" s="16">
        <f>SUMIFS('Business - Dump'!$U:$U,'Business - Dump'!$D:$D,'SKU Repoprt'!$D432,'Business - Dump'!$A:$A,'SKU Repoprt'!V$1)</f>
        <v>0</v>
      </c>
      <c r="W432" s="16">
        <f>SUMIFS('Business - Dump'!$U:$U,'Business - Dump'!$D:$D,'SKU Repoprt'!$D432,'Business - Dump'!$A:$A,'SKU Repoprt'!W$1)</f>
        <v>0</v>
      </c>
    </row>
    <row r="433" ht="15.75" customHeight="1">
      <c r="A433" s="10" t="s">
        <v>232</v>
      </c>
      <c r="B433" s="10" t="s">
        <v>232</v>
      </c>
      <c r="C433" s="10"/>
      <c r="D433" s="10" t="s">
        <v>412</v>
      </c>
      <c r="E433" s="10" t="s">
        <v>29</v>
      </c>
      <c r="F433" s="17">
        <v>0.027042857142857143</v>
      </c>
      <c r="G433" s="17">
        <f t="shared" ref="G433:W433" si="144">IFERROR(G431/G428,0)</f>
        <v>0</v>
      </c>
      <c r="H433" s="17">
        <f t="shared" si="144"/>
        <v>0</v>
      </c>
      <c r="I433" s="17">
        <f t="shared" si="144"/>
        <v>0</v>
      </c>
      <c r="J433" s="17">
        <f t="shared" si="144"/>
        <v>0</v>
      </c>
      <c r="K433" s="17">
        <f t="shared" si="144"/>
        <v>0</v>
      </c>
      <c r="L433" s="17">
        <f t="shared" si="144"/>
        <v>0</v>
      </c>
      <c r="M433" s="17">
        <f t="shared" si="144"/>
        <v>0.006147540984</v>
      </c>
      <c r="N433" s="17">
        <f t="shared" si="144"/>
        <v>0.004571428571</v>
      </c>
      <c r="O433" s="17">
        <f t="shared" si="144"/>
        <v>0.001402524544</v>
      </c>
      <c r="P433" s="17">
        <f t="shared" si="144"/>
        <v>0.006191950464</v>
      </c>
      <c r="Q433" s="17">
        <f t="shared" si="144"/>
        <v>0.006983240223</v>
      </c>
      <c r="R433" s="17">
        <f t="shared" si="144"/>
        <v>0.009578544061</v>
      </c>
      <c r="S433" s="17">
        <f t="shared" si="144"/>
        <v>0</v>
      </c>
      <c r="T433" s="17">
        <f t="shared" si="144"/>
        <v>0</v>
      </c>
      <c r="U433" s="17">
        <f t="shared" si="144"/>
        <v>0</v>
      </c>
      <c r="V433" s="17">
        <f t="shared" si="144"/>
        <v>0</v>
      </c>
      <c r="W433" s="17">
        <f t="shared" si="144"/>
        <v>0</v>
      </c>
    </row>
    <row r="434" ht="15.75" customHeight="1">
      <c r="A434" s="10" t="s">
        <v>232</v>
      </c>
      <c r="B434" s="10" t="s">
        <v>232</v>
      </c>
      <c r="C434" s="10"/>
      <c r="D434" s="10" t="s">
        <v>410</v>
      </c>
      <c r="E434" s="10" t="s">
        <v>257</v>
      </c>
      <c r="F434" s="3">
        <f t="shared" ref="F434:F438" si="145">SUM(G434:S434)</f>
        <v>4595</v>
      </c>
      <c r="G434" s="3">
        <f>SUMIFS('Business - Dump'!$G:$G,'Business - Dump'!$D:$D,'SKU Repoprt'!$D434,'Business - Dump'!$A:$A,'SKU Repoprt'!G$1)</f>
        <v>0</v>
      </c>
      <c r="H434" s="3">
        <f>SUMIFS('Business - Dump'!$G:$G,'Business - Dump'!$D:$D,'SKU Repoprt'!$D434,'Business - Dump'!$A:$A,'SKU Repoprt'!H$1)</f>
        <v>0</v>
      </c>
      <c r="I434" s="3">
        <f>SUMIFS('Business - Dump'!$G:$G,'Business - Dump'!$D:$D,'SKU Repoprt'!$D434,'Business - Dump'!$A:$A,'SKU Repoprt'!I$1)</f>
        <v>0</v>
      </c>
      <c r="J434" s="3">
        <f>SUMIFS('Business - Dump'!$G:$G,'Business - Dump'!$D:$D,'SKU Repoprt'!$D434,'Business - Dump'!$A:$A,'SKU Repoprt'!J$1)</f>
        <v>0</v>
      </c>
      <c r="K434" s="3">
        <f>SUMIFS('Business - Dump'!$G:$G,'Business - Dump'!$D:$D,'SKU Repoprt'!$D434,'Business - Dump'!$A:$A,'SKU Repoprt'!K$1)</f>
        <v>0</v>
      </c>
      <c r="L434" s="3">
        <f>SUMIFS('Business - Dump'!$G:$G,'Business - Dump'!$D:$D,'SKU Repoprt'!$D434,'Business - Dump'!$A:$A,'SKU Repoprt'!L$1)</f>
        <v>0</v>
      </c>
      <c r="M434" s="3">
        <f>SUMIFS('Business - Dump'!$G:$G,'Business - Dump'!$D:$D,'SKU Repoprt'!$D434,'Business - Dump'!$A:$A,'SKU Repoprt'!M$1)</f>
        <v>558</v>
      </c>
      <c r="N434" s="3">
        <f>SUMIFS('Business - Dump'!$G:$G,'Business - Dump'!$D:$D,'SKU Repoprt'!$D434,'Business - Dump'!$A:$A,'SKU Repoprt'!N$1)</f>
        <v>932</v>
      </c>
      <c r="O434" s="3">
        <f>SUMIFS('Business - Dump'!$G:$G,'Business - Dump'!$D:$D,'SKU Repoprt'!$D434,'Business - Dump'!$A:$A,'SKU Repoprt'!O$1)</f>
        <v>770</v>
      </c>
      <c r="P434" s="3">
        <f>SUMIFS('Business - Dump'!$G:$G,'Business - Dump'!$D:$D,'SKU Repoprt'!$D434,'Business - Dump'!$A:$A,'SKU Repoprt'!P$1)</f>
        <v>686</v>
      </c>
      <c r="Q434" s="3">
        <f>SUMIFS('Business - Dump'!$G:$G,'Business - Dump'!$D:$D,'SKU Repoprt'!$D434,'Business - Dump'!$A:$A,'SKU Repoprt'!Q$1)</f>
        <v>782</v>
      </c>
      <c r="R434" s="3">
        <f>SUMIFS('Business - Dump'!$G:$G,'Business - Dump'!$D:$D,'SKU Repoprt'!$D434,'Business - Dump'!$A:$A,'SKU Repoprt'!R$1)</f>
        <v>598</v>
      </c>
      <c r="S434" s="3">
        <f>SUMIFS('Business - Dump'!$G:$G,'Business - Dump'!$D:$D,'SKU Repoprt'!$D434,'Business - Dump'!$A:$A,'SKU Repoprt'!S$1)</f>
        <v>269</v>
      </c>
      <c r="T434" s="3">
        <f>SUMIFS('Business - Dump'!$G:$G,'Business - Dump'!$D:$D,'SKU Repoprt'!$D434,'Business - Dump'!$A:$A,'SKU Repoprt'!T$1)</f>
        <v>25</v>
      </c>
      <c r="U434" s="3">
        <f>SUMIFS('Business - Dump'!$G:$G,'Business - Dump'!$D:$D,'SKU Repoprt'!$D434,'Business - Dump'!$A:$A,'SKU Repoprt'!U$1)</f>
        <v>0</v>
      </c>
      <c r="V434" s="3">
        <f>SUMIFS('Business - Dump'!$G:$G,'Business - Dump'!$D:$D,'SKU Repoprt'!$D434,'Business - Dump'!$A:$A,'SKU Repoprt'!V$1)</f>
        <v>0</v>
      </c>
      <c r="W434" s="3">
        <f>SUMIFS('Business - Dump'!$G:$G,'Business - Dump'!$D:$D,'SKU Repoprt'!$D434,'Business - Dump'!$A:$A,'SKU Repoprt'!W$1)</f>
        <v>0</v>
      </c>
    </row>
    <row r="435" ht="15.75" customHeight="1">
      <c r="A435" s="10" t="s">
        <v>232</v>
      </c>
      <c r="B435" s="10" t="s">
        <v>232</v>
      </c>
      <c r="C435" s="10"/>
      <c r="D435" s="10" t="s">
        <v>410</v>
      </c>
      <c r="E435" s="10" t="s">
        <v>260</v>
      </c>
      <c r="F435" s="3">
        <f t="shared" si="145"/>
        <v>6336</v>
      </c>
      <c r="G435" s="3">
        <f>SUMIFS('Business - Dump'!$K:$K,'Business - Dump'!$D:$D,'SKU Repoprt'!$D435,'Business - Dump'!$A:$A,'SKU Repoprt'!G$1)</f>
        <v>0</v>
      </c>
      <c r="H435" s="3">
        <f>SUMIFS('Business - Dump'!$K:$K,'Business - Dump'!$D:$D,'SKU Repoprt'!$D435,'Business - Dump'!$A:$A,'SKU Repoprt'!H$1)</f>
        <v>0</v>
      </c>
      <c r="I435" s="3">
        <f>SUMIFS('Business - Dump'!$K:$K,'Business - Dump'!$D:$D,'SKU Repoprt'!$D435,'Business - Dump'!$A:$A,'SKU Repoprt'!I$1)</f>
        <v>0</v>
      </c>
      <c r="J435" s="3">
        <f>SUMIFS('Business - Dump'!$K:$K,'Business - Dump'!$D:$D,'SKU Repoprt'!$D435,'Business - Dump'!$A:$A,'SKU Repoprt'!J$1)</f>
        <v>0</v>
      </c>
      <c r="K435" s="3">
        <f>SUMIFS('Business - Dump'!$K:$K,'Business - Dump'!$D:$D,'SKU Repoprt'!$D435,'Business - Dump'!$A:$A,'SKU Repoprt'!K$1)</f>
        <v>0</v>
      </c>
      <c r="L435" s="3">
        <f>SUMIFS('Business - Dump'!$K:$K,'Business - Dump'!$D:$D,'SKU Repoprt'!$D435,'Business - Dump'!$A:$A,'SKU Repoprt'!L$1)</f>
        <v>0</v>
      </c>
      <c r="M435" s="3">
        <f>SUMIFS('Business - Dump'!$K:$K,'Business - Dump'!$D:$D,'SKU Repoprt'!$D435,'Business - Dump'!$A:$A,'SKU Repoprt'!M$1)</f>
        <v>733</v>
      </c>
      <c r="N435" s="3">
        <f>SUMIFS('Business - Dump'!$K:$K,'Business - Dump'!$D:$D,'SKU Repoprt'!$D435,'Business - Dump'!$A:$A,'SKU Repoprt'!N$1)</f>
        <v>1272</v>
      </c>
      <c r="O435" s="3">
        <f>SUMIFS('Business - Dump'!$K:$K,'Business - Dump'!$D:$D,'SKU Repoprt'!$D435,'Business - Dump'!$A:$A,'SKU Repoprt'!O$1)</f>
        <v>1037</v>
      </c>
      <c r="P435" s="3">
        <f>SUMIFS('Business - Dump'!$K:$K,'Business - Dump'!$D:$D,'SKU Repoprt'!$D435,'Business - Dump'!$A:$A,'SKU Repoprt'!P$1)</f>
        <v>890</v>
      </c>
      <c r="Q435" s="3">
        <f>SUMIFS('Business - Dump'!$K:$K,'Business - Dump'!$D:$D,'SKU Repoprt'!$D435,'Business - Dump'!$A:$A,'SKU Repoprt'!Q$1)</f>
        <v>1162</v>
      </c>
      <c r="R435" s="3">
        <f>SUMIFS('Business - Dump'!$K:$K,'Business - Dump'!$D:$D,'SKU Repoprt'!$D435,'Business - Dump'!$A:$A,'SKU Repoprt'!R$1)</f>
        <v>881</v>
      </c>
      <c r="S435" s="3">
        <f>SUMIFS('Business - Dump'!$K:$K,'Business - Dump'!$D:$D,'SKU Repoprt'!$D435,'Business - Dump'!$A:$A,'SKU Repoprt'!S$1)</f>
        <v>361</v>
      </c>
      <c r="T435" s="3">
        <f>SUMIFS('Business - Dump'!$K:$K,'Business - Dump'!$D:$D,'SKU Repoprt'!$D435,'Business - Dump'!$A:$A,'SKU Repoprt'!T$1)</f>
        <v>31</v>
      </c>
      <c r="U435" s="3">
        <f>SUMIFS('Business - Dump'!$K:$K,'Business - Dump'!$D:$D,'SKU Repoprt'!$D435,'Business - Dump'!$A:$A,'SKU Repoprt'!U$1)</f>
        <v>0</v>
      </c>
      <c r="V435" s="3">
        <f>SUMIFS('Business - Dump'!$K:$K,'Business - Dump'!$D:$D,'SKU Repoprt'!$D435,'Business - Dump'!$A:$A,'SKU Repoprt'!V$1)</f>
        <v>0</v>
      </c>
      <c r="W435" s="3">
        <f>SUMIFS('Business - Dump'!$K:$K,'Business - Dump'!$D:$D,'SKU Repoprt'!$D435,'Business - Dump'!$A:$A,'SKU Repoprt'!W$1)</f>
        <v>0</v>
      </c>
    </row>
    <row r="436" ht="15.75" customHeight="1">
      <c r="A436" s="10" t="s">
        <v>232</v>
      </c>
      <c r="B436" s="10" t="s">
        <v>232</v>
      </c>
      <c r="C436" s="10"/>
      <c r="D436" s="10" t="s">
        <v>410</v>
      </c>
      <c r="E436" s="10" t="s">
        <v>264</v>
      </c>
      <c r="F436" s="3">
        <f t="shared" si="145"/>
        <v>30</v>
      </c>
      <c r="G436" s="3">
        <f>SUMIFS('Business - Dump'!$Q:$Q,'Business - Dump'!$D:$D,'SKU Repoprt'!$D436,'Business - Dump'!$A:$A,'SKU Repoprt'!G$1)</f>
        <v>0</v>
      </c>
      <c r="H436" s="3">
        <f>SUMIFS('Business - Dump'!$Q:$Q,'Business - Dump'!$D:$D,'SKU Repoprt'!$D436,'Business - Dump'!$A:$A,'SKU Repoprt'!H$1)</f>
        <v>0</v>
      </c>
      <c r="I436" s="3">
        <f>SUMIFS('Business - Dump'!$Q:$Q,'Business - Dump'!$D:$D,'SKU Repoprt'!$D436,'Business - Dump'!$A:$A,'SKU Repoprt'!I$1)</f>
        <v>0</v>
      </c>
      <c r="J436" s="3">
        <f>SUMIFS('Business - Dump'!$Q:$Q,'Business - Dump'!$D:$D,'SKU Repoprt'!$D436,'Business - Dump'!$A:$A,'SKU Repoprt'!J$1)</f>
        <v>0</v>
      </c>
      <c r="K436" s="3">
        <f>SUMIFS('Business - Dump'!$Q:$Q,'Business - Dump'!$D:$D,'SKU Repoprt'!$D436,'Business - Dump'!$A:$A,'SKU Repoprt'!K$1)</f>
        <v>0</v>
      </c>
      <c r="L436" s="3">
        <f>SUMIFS('Business - Dump'!$Q:$Q,'Business - Dump'!$D:$D,'SKU Repoprt'!$D436,'Business - Dump'!$A:$A,'SKU Repoprt'!L$1)</f>
        <v>0</v>
      </c>
      <c r="M436" s="3">
        <f>SUMIFS('Business - Dump'!$Q:$Q,'Business - Dump'!$D:$D,'SKU Repoprt'!$D436,'Business - Dump'!$A:$A,'SKU Repoprt'!M$1)</f>
        <v>4</v>
      </c>
      <c r="N436" s="3">
        <f>SUMIFS('Business - Dump'!$Q:$Q,'Business - Dump'!$D:$D,'SKU Repoprt'!$D436,'Business - Dump'!$A:$A,'SKU Repoprt'!N$1)</f>
        <v>7</v>
      </c>
      <c r="O436" s="3">
        <f>SUMIFS('Business - Dump'!$Q:$Q,'Business - Dump'!$D:$D,'SKU Repoprt'!$D436,'Business - Dump'!$A:$A,'SKU Repoprt'!O$1)</f>
        <v>3</v>
      </c>
      <c r="P436" s="3">
        <f>SUMIFS('Business - Dump'!$Q:$Q,'Business - Dump'!$D:$D,'SKU Repoprt'!$D436,'Business - Dump'!$A:$A,'SKU Repoprt'!P$1)</f>
        <v>3</v>
      </c>
      <c r="Q436" s="3">
        <f>SUMIFS('Business - Dump'!$Q:$Q,'Business - Dump'!$D:$D,'SKU Repoprt'!$D436,'Business - Dump'!$A:$A,'SKU Repoprt'!Q$1)</f>
        <v>5</v>
      </c>
      <c r="R436" s="3">
        <f>SUMIFS('Business - Dump'!$Q:$Q,'Business - Dump'!$D:$D,'SKU Repoprt'!$D436,'Business - Dump'!$A:$A,'SKU Repoprt'!R$1)</f>
        <v>7</v>
      </c>
      <c r="S436" s="3">
        <f>SUMIFS('Business - Dump'!$Q:$Q,'Business - Dump'!$D:$D,'SKU Repoprt'!$D436,'Business - Dump'!$A:$A,'SKU Repoprt'!S$1)</f>
        <v>1</v>
      </c>
      <c r="T436" s="3">
        <f>SUMIFS('Business - Dump'!$Q:$Q,'Business - Dump'!$D:$D,'SKU Repoprt'!$D436,'Business - Dump'!$A:$A,'SKU Repoprt'!T$1)</f>
        <v>0</v>
      </c>
      <c r="U436" s="3">
        <f>SUMIFS('Business - Dump'!$Q:$Q,'Business - Dump'!$D:$D,'SKU Repoprt'!$D436,'Business - Dump'!$A:$A,'SKU Repoprt'!U$1)</f>
        <v>0</v>
      </c>
      <c r="V436" s="3">
        <f>SUMIFS('Business - Dump'!$Q:$Q,'Business - Dump'!$D:$D,'SKU Repoprt'!$D436,'Business - Dump'!$A:$A,'SKU Repoprt'!V$1)</f>
        <v>0</v>
      </c>
      <c r="W436" s="3">
        <f>SUMIFS('Business - Dump'!$Q:$Q,'Business - Dump'!$D:$D,'SKU Repoprt'!$D436,'Business - Dump'!$A:$A,'SKU Repoprt'!W$1)</f>
        <v>0</v>
      </c>
    </row>
    <row r="437" ht="15.75" customHeight="1">
      <c r="A437" s="10" t="s">
        <v>232</v>
      </c>
      <c r="B437" s="10" t="s">
        <v>232</v>
      </c>
      <c r="C437" s="10"/>
      <c r="D437" s="10" t="s">
        <v>410</v>
      </c>
      <c r="E437" s="10" t="s">
        <v>268</v>
      </c>
      <c r="F437" s="3">
        <f t="shared" si="145"/>
        <v>30</v>
      </c>
      <c r="G437" s="3">
        <f>SUMIFS('Business - Dump'!$W:$W,'Business - Dump'!$D:$D,'SKU Repoprt'!$D437,'Business - Dump'!$A:$A,'SKU Repoprt'!G$1)</f>
        <v>0</v>
      </c>
      <c r="H437" s="3">
        <f>SUMIFS('Business - Dump'!$W:$W,'Business - Dump'!$D:$D,'SKU Repoprt'!$D437,'Business - Dump'!$A:$A,'SKU Repoprt'!H$1)</f>
        <v>0</v>
      </c>
      <c r="I437" s="3">
        <f>SUMIFS('Business - Dump'!$W:$W,'Business - Dump'!$D:$D,'SKU Repoprt'!$D437,'Business - Dump'!$A:$A,'SKU Repoprt'!I$1)</f>
        <v>0</v>
      </c>
      <c r="J437" s="3">
        <f>SUMIFS('Business - Dump'!$W:$W,'Business - Dump'!$D:$D,'SKU Repoprt'!$D437,'Business - Dump'!$A:$A,'SKU Repoprt'!J$1)</f>
        <v>0</v>
      </c>
      <c r="K437" s="3">
        <f>SUMIFS('Business - Dump'!$W:$W,'Business - Dump'!$D:$D,'SKU Repoprt'!$D437,'Business - Dump'!$A:$A,'SKU Repoprt'!K$1)</f>
        <v>0</v>
      </c>
      <c r="L437" s="3">
        <f>SUMIFS('Business - Dump'!$W:$W,'Business - Dump'!$D:$D,'SKU Repoprt'!$D437,'Business - Dump'!$A:$A,'SKU Repoprt'!L$1)</f>
        <v>0</v>
      </c>
      <c r="M437" s="3">
        <f>SUMIFS('Business - Dump'!$W:$W,'Business - Dump'!$D:$D,'SKU Repoprt'!$D437,'Business - Dump'!$A:$A,'SKU Repoprt'!M$1)</f>
        <v>4</v>
      </c>
      <c r="N437" s="3">
        <f>SUMIFS('Business - Dump'!$W:$W,'Business - Dump'!$D:$D,'SKU Repoprt'!$D437,'Business - Dump'!$A:$A,'SKU Repoprt'!N$1)</f>
        <v>7</v>
      </c>
      <c r="O437" s="3">
        <f>SUMIFS('Business - Dump'!$W:$W,'Business - Dump'!$D:$D,'SKU Repoprt'!$D437,'Business - Dump'!$A:$A,'SKU Repoprt'!O$1)</f>
        <v>3</v>
      </c>
      <c r="P437" s="3">
        <f>SUMIFS('Business - Dump'!$W:$W,'Business - Dump'!$D:$D,'SKU Repoprt'!$D437,'Business - Dump'!$A:$A,'SKU Repoprt'!P$1)</f>
        <v>3</v>
      </c>
      <c r="Q437" s="3">
        <f>SUMIFS('Business - Dump'!$W:$W,'Business - Dump'!$D:$D,'SKU Repoprt'!$D437,'Business - Dump'!$A:$A,'SKU Repoprt'!Q$1)</f>
        <v>5</v>
      </c>
      <c r="R437" s="3">
        <f>SUMIFS('Business - Dump'!$W:$W,'Business - Dump'!$D:$D,'SKU Repoprt'!$D437,'Business - Dump'!$A:$A,'SKU Repoprt'!R$1)</f>
        <v>7</v>
      </c>
      <c r="S437" s="3">
        <f>SUMIFS('Business - Dump'!$W:$W,'Business - Dump'!$D:$D,'SKU Repoprt'!$D437,'Business - Dump'!$A:$A,'SKU Repoprt'!S$1)</f>
        <v>1</v>
      </c>
      <c r="T437" s="3">
        <f>SUMIFS('Business - Dump'!$W:$W,'Business - Dump'!$D:$D,'SKU Repoprt'!$D437,'Business - Dump'!$A:$A,'SKU Repoprt'!T$1)</f>
        <v>0</v>
      </c>
      <c r="U437" s="3">
        <f>SUMIFS('Business - Dump'!$W:$W,'Business - Dump'!$D:$D,'SKU Repoprt'!$D437,'Business - Dump'!$A:$A,'SKU Repoprt'!U$1)</f>
        <v>0</v>
      </c>
      <c r="V437" s="3">
        <f>SUMIFS('Business - Dump'!$W:$W,'Business - Dump'!$D:$D,'SKU Repoprt'!$D437,'Business - Dump'!$A:$A,'SKU Repoprt'!V$1)</f>
        <v>0</v>
      </c>
      <c r="W437" s="3">
        <f>SUMIFS('Business - Dump'!$W:$W,'Business - Dump'!$D:$D,'SKU Repoprt'!$D437,'Business - Dump'!$A:$A,'SKU Repoprt'!W$1)</f>
        <v>0</v>
      </c>
    </row>
    <row r="438" ht="15.75" customHeight="1">
      <c r="A438" s="10" t="s">
        <v>232</v>
      </c>
      <c r="B438" s="10" t="s">
        <v>232</v>
      </c>
      <c r="C438" s="10"/>
      <c r="D438" s="10" t="s">
        <v>410</v>
      </c>
      <c r="E438" s="10" t="s">
        <v>26</v>
      </c>
      <c r="F438" s="16">
        <f t="shared" si="145"/>
        <v>604231.2</v>
      </c>
      <c r="G438" s="16">
        <f>SUMIFS('Business - Dump'!$U:$U,'Business - Dump'!$D:$D,'SKU Repoprt'!$D438,'Business - Dump'!$A:$A,'SKU Repoprt'!G$1)</f>
        <v>0</v>
      </c>
      <c r="H438" s="16">
        <f>SUMIFS('Business - Dump'!$U:$U,'Business - Dump'!$D:$D,'SKU Repoprt'!$D438,'Business - Dump'!$A:$A,'SKU Repoprt'!H$1)</f>
        <v>0</v>
      </c>
      <c r="I438" s="16">
        <f>SUMIFS('Business - Dump'!$U:$U,'Business - Dump'!$D:$D,'SKU Repoprt'!$D438,'Business - Dump'!$A:$A,'SKU Repoprt'!I$1)</f>
        <v>0</v>
      </c>
      <c r="J438" s="16">
        <f>SUMIFS('Business - Dump'!$U:$U,'Business - Dump'!$D:$D,'SKU Repoprt'!$D438,'Business - Dump'!$A:$A,'SKU Repoprt'!J$1)</f>
        <v>0</v>
      </c>
      <c r="K438" s="16">
        <f>SUMIFS('Business - Dump'!$U:$U,'Business - Dump'!$D:$D,'SKU Repoprt'!$D438,'Business - Dump'!$A:$A,'SKU Repoprt'!K$1)</f>
        <v>0</v>
      </c>
      <c r="L438" s="16">
        <f>SUMIFS('Business - Dump'!$U:$U,'Business - Dump'!$D:$D,'SKU Repoprt'!$D438,'Business - Dump'!$A:$A,'SKU Repoprt'!L$1)</f>
        <v>0</v>
      </c>
      <c r="M438" s="16">
        <f>SUMIFS('Business - Dump'!$U:$U,'Business - Dump'!$D:$D,'SKU Repoprt'!$D438,'Business - Dump'!$A:$A,'SKU Repoprt'!M$1)</f>
        <v>79996</v>
      </c>
      <c r="N438" s="16">
        <f>SUMIFS('Business - Dump'!$U:$U,'Business - Dump'!$D:$D,'SKU Repoprt'!$D438,'Business - Dump'!$A:$A,'SKU Repoprt'!N$1)</f>
        <v>142547.24</v>
      </c>
      <c r="O438" s="16">
        <f>SUMIFS('Business - Dump'!$U:$U,'Business - Dump'!$D:$D,'SKU Repoprt'!$D438,'Business - Dump'!$A:$A,'SKU Repoprt'!O$1)</f>
        <v>61955</v>
      </c>
      <c r="P438" s="16">
        <f>SUMIFS('Business - Dump'!$U:$U,'Business - Dump'!$D:$D,'SKU Repoprt'!$D438,'Business - Dump'!$A:$A,'SKU Repoprt'!P$1)</f>
        <v>61856</v>
      </c>
      <c r="Q438" s="16">
        <f>SUMIFS('Business - Dump'!$U:$U,'Business - Dump'!$D:$D,'SKU Repoprt'!$D438,'Business - Dump'!$A:$A,'SKU Repoprt'!Q$1)</f>
        <v>101126.88</v>
      </c>
      <c r="R438" s="16">
        <f>SUMIFS('Business - Dump'!$U:$U,'Business - Dump'!$D:$D,'SKU Repoprt'!$D438,'Business - Dump'!$A:$A,'SKU Repoprt'!R$1)</f>
        <v>135390.08</v>
      </c>
      <c r="S438" s="16">
        <f>SUMIFS('Business - Dump'!$U:$U,'Business - Dump'!$D:$D,'SKU Repoprt'!$D438,'Business - Dump'!$A:$A,'SKU Repoprt'!S$1)</f>
        <v>21360</v>
      </c>
      <c r="T438" s="16">
        <f>SUMIFS('Business - Dump'!$U:$U,'Business - Dump'!$D:$D,'SKU Repoprt'!$D438,'Business - Dump'!$A:$A,'SKU Repoprt'!T$1)</f>
        <v>0</v>
      </c>
      <c r="U438" s="16">
        <f>SUMIFS('Business - Dump'!$U:$U,'Business - Dump'!$D:$D,'SKU Repoprt'!$D438,'Business - Dump'!$A:$A,'SKU Repoprt'!U$1)</f>
        <v>0</v>
      </c>
      <c r="V438" s="16">
        <f>SUMIFS('Business - Dump'!$U:$U,'Business - Dump'!$D:$D,'SKU Repoprt'!$D438,'Business - Dump'!$A:$A,'SKU Repoprt'!V$1)</f>
        <v>0</v>
      </c>
      <c r="W438" s="16">
        <f>SUMIFS('Business - Dump'!$U:$U,'Business - Dump'!$D:$D,'SKU Repoprt'!$D438,'Business - Dump'!$A:$A,'SKU Repoprt'!W$1)</f>
        <v>0</v>
      </c>
    </row>
    <row r="439" ht="15.75" customHeight="1">
      <c r="A439" s="10" t="s">
        <v>232</v>
      </c>
      <c r="B439" s="10" t="s">
        <v>232</v>
      </c>
      <c r="C439" s="10"/>
      <c r="D439" s="10" t="s">
        <v>410</v>
      </c>
      <c r="E439" s="10" t="s">
        <v>29</v>
      </c>
      <c r="F439" s="17">
        <v>0.027042857142857143</v>
      </c>
      <c r="G439" s="17">
        <f t="shared" ref="G439:W439" si="146">IFERROR(G437/G434,0)</f>
        <v>0</v>
      </c>
      <c r="H439" s="17">
        <f t="shared" si="146"/>
        <v>0</v>
      </c>
      <c r="I439" s="17">
        <f t="shared" si="146"/>
        <v>0</v>
      </c>
      <c r="J439" s="17">
        <f t="shared" si="146"/>
        <v>0</v>
      </c>
      <c r="K439" s="17">
        <f t="shared" si="146"/>
        <v>0</v>
      </c>
      <c r="L439" s="17">
        <f t="shared" si="146"/>
        <v>0</v>
      </c>
      <c r="M439" s="17">
        <f t="shared" si="146"/>
        <v>0.007168458781</v>
      </c>
      <c r="N439" s="17">
        <f t="shared" si="146"/>
        <v>0.007510729614</v>
      </c>
      <c r="O439" s="17">
        <f t="shared" si="146"/>
        <v>0.003896103896</v>
      </c>
      <c r="P439" s="17">
        <f t="shared" si="146"/>
        <v>0.004373177843</v>
      </c>
      <c r="Q439" s="17">
        <f t="shared" si="146"/>
        <v>0.006393861893</v>
      </c>
      <c r="R439" s="17">
        <f t="shared" si="146"/>
        <v>0.01170568562</v>
      </c>
      <c r="S439" s="17">
        <f t="shared" si="146"/>
        <v>0.003717472119</v>
      </c>
      <c r="T439" s="17">
        <f t="shared" si="146"/>
        <v>0</v>
      </c>
      <c r="U439" s="17">
        <f t="shared" si="146"/>
        <v>0</v>
      </c>
      <c r="V439" s="17">
        <f t="shared" si="146"/>
        <v>0</v>
      </c>
      <c r="W439" s="17">
        <f t="shared" si="146"/>
        <v>0</v>
      </c>
    </row>
    <row r="440" ht="15.75" customHeight="1">
      <c r="A440" s="10" t="s">
        <v>232</v>
      </c>
      <c r="B440" s="10" t="s">
        <v>232</v>
      </c>
      <c r="C440" s="10"/>
      <c r="D440" s="10" t="s">
        <v>406</v>
      </c>
      <c r="E440" s="10" t="s">
        <v>257</v>
      </c>
      <c r="F440" s="3">
        <f t="shared" ref="F440:F444" si="147">SUM(G440:S440)</f>
        <v>6698</v>
      </c>
      <c r="G440" s="3">
        <f>SUMIFS('Business - Dump'!$G:$G,'Business - Dump'!$D:$D,'SKU Repoprt'!$D440,'Business - Dump'!$A:$A,'SKU Repoprt'!G$1)</f>
        <v>0</v>
      </c>
      <c r="H440" s="3">
        <f>SUMIFS('Business - Dump'!$G:$G,'Business - Dump'!$D:$D,'SKU Repoprt'!$D440,'Business - Dump'!$A:$A,'SKU Repoprt'!H$1)</f>
        <v>0</v>
      </c>
      <c r="I440" s="3">
        <f>SUMIFS('Business - Dump'!$G:$G,'Business - Dump'!$D:$D,'SKU Repoprt'!$D440,'Business - Dump'!$A:$A,'SKU Repoprt'!I$1)</f>
        <v>0</v>
      </c>
      <c r="J440" s="3">
        <f>SUMIFS('Business - Dump'!$G:$G,'Business - Dump'!$D:$D,'SKU Repoprt'!$D440,'Business - Dump'!$A:$A,'SKU Repoprt'!J$1)</f>
        <v>0</v>
      </c>
      <c r="K440" s="3">
        <f>SUMIFS('Business - Dump'!$G:$G,'Business - Dump'!$D:$D,'SKU Repoprt'!$D440,'Business - Dump'!$A:$A,'SKU Repoprt'!K$1)</f>
        <v>0</v>
      </c>
      <c r="L440" s="3">
        <f>SUMIFS('Business - Dump'!$G:$G,'Business - Dump'!$D:$D,'SKU Repoprt'!$D440,'Business - Dump'!$A:$A,'SKU Repoprt'!L$1)</f>
        <v>0</v>
      </c>
      <c r="M440" s="3">
        <f>SUMIFS('Business - Dump'!$G:$G,'Business - Dump'!$D:$D,'SKU Repoprt'!$D440,'Business - Dump'!$A:$A,'SKU Repoprt'!M$1)</f>
        <v>596</v>
      </c>
      <c r="N440" s="3">
        <f>SUMIFS('Business - Dump'!$G:$G,'Business - Dump'!$D:$D,'SKU Repoprt'!$D440,'Business - Dump'!$A:$A,'SKU Repoprt'!N$1)</f>
        <v>1028</v>
      </c>
      <c r="O440" s="3">
        <f>SUMIFS('Business - Dump'!$G:$G,'Business - Dump'!$D:$D,'SKU Repoprt'!$D440,'Business - Dump'!$A:$A,'SKU Repoprt'!O$1)</f>
        <v>1247</v>
      </c>
      <c r="P440" s="3">
        <f>SUMIFS('Business - Dump'!$G:$G,'Business - Dump'!$D:$D,'SKU Repoprt'!$D440,'Business - Dump'!$A:$A,'SKU Repoprt'!P$1)</f>
        <v>1097</v>
      </c>
      <c r="Q440" s="3">
        <f>SUMIFS('Business - Dump'!$G:$G,'Business - Dump'!$D:$D,'SKU Repoprt'!$D440,'Business - Dump'!$A:$A,'SKU Repoprt'!Q$1)</f>
        <v>1254</v>
      </c>
      <c r="R440" s="3">
        <f>SUMIFS('Business - Dump'!$G:$G,'Business - Dump'!$D:$D,'SKU Repoprt'!$D440,'Business - Dump'!$A:$A,'SKU Repoprt'!R$1)</f>
        <v>962</v>
      </c>
      <c r="S440" s="3">
        <f>SUMIFS('Business - Dump'!$G:$G,'Business - Dump'!$D:$D,'SKU Repoprt'!$D440,'Business - Dump'!$A:$A,'SKU Repoprt'!S$1)</f>
        <v>514</v>
      </c>
      <c r="T440" s="3">
        <f>SUMIFS('Business - Dump'!$G:$G,'Business - Dump'!$D:$D,'SKU Repoprt'!$D440,'Business - Dump'!$A:$A,'SKU Repoprt'!T$1)</f>
        <v>55</v>
      </c>
      <c r="U440" s="3">
        <f>SUMIFS('Business - Dump'!$G:$G,'Business - Dump'!$D:$D,'SKU Repoprt'!$D440,'Business - Dump'!$A:$A,'SKU Repoprt'!U$1)</f>
        <v>0</v>
      </c>
      <c r="V440" s="3">
        <f>SUMIFS('Business - Dump'!$G:$G,'Business - Dump'!$D:$D,'SKU Repoprt'!$D440,'Business - Dump'!$A:$A,'SKU Repoprt'!V$1)</f>
        <v>0</v>
      </c>
      <c r="W440" s="3">
        <f>SUMIFS('Business - Dump'!$G:$G,'Business - Dump'!$D:$D,'SKU Repoprt'!$D440,'Business - Dump'!$A:$A,'SKU Repoprt'!W$1)</f>
        <v>0</v>
      </c>
    </row>
    <row r="441" ht="15.75" customHeight="1">
      <c r="A441" s="10" t="s">
        <v>232</v>
      </c>
      <c r="B441" s="10" t="s">
        <v>232</v>
      </c>
      <c r="C441" s="10"/>
      <c r="D441" s="10" t="s">
        <v>406</v>
      </c>
      <c r="E441" s="10" t="s">
        <v>260</v>
      </c>
      <c r="F441" s="3">
        <f t="shared" si="147"/>
        <v>9431</v>
      </c>
      <c r="G441" s="3">
        <f>SUMIFS('Business - Dump'!$K:$K,'Business - Dump'!$D:$D,'SKU Repoprt'!$D441,'Business - Dump'!$A:$A,'SKU Repoprt'!G$1)</f>
        <v>0</v>
      </c>
      <c r="H441" s="3">
        <f>SUMIFS('Business - Dump'!$K:$K,'Business - Dump'!$D:$D,'SKU Repoprt'!$D441,'Business - Dump'!$A:$A,'SKU Repoprt'!H$1)</f>
        <v>0</v>
      </c>
      <c r="I441" s="3">
        <f>SUMIFS('Business - Dump'!$K:$K,'Business - Dump'!$D:$D,'SKU Repoprt'!$D441,'Business - Dump'!$A:$A,'SKU Repoprt'!I$1)</f>
        <v>0</v>
      </c>
      <c r="J441" s="3">
        <f>SUMIFS('Business - Dump'!$K:$K,'Business - Dump'!$D:$D,'SKU Repoprt'!$D441,'Business - Dump'!$A:$A,'SKU Repoprt'!J$1)</f>
        <v>0</v>
      </c>
      <c r="K441" s="3">
        <f>SUMIFS('Business - Dump'!$K:$K,'Business - Dump'!$D:$D,'SKU Repoprt'!$D441,'Business - Dump'!$A:$A,'SKU Repoprt'!K$1)</f>
        <v>0</v>
      </c>
      <c r="L441" s="3">
        <f>SUMIFS('Business - Dump'!$K:$K,'Business - Dump'!$D:$D,'SKU Repoprt'!$D441,'Business - Dump'!$A:$A,'SKU Repoprt'!L$1)</f>
        <v>0</v>
      </c>
      <c r="M441" s="3">
        <f>SUMIFS('Business - Dump'!$K:$K,'Business - Dump'!$D:$D,'SKU Repoprt'!$D441,'Business - Dump'!$A:$A,'SKU Repoprt'!M$1)</f>
        <v>884</v>
      </c>
      <c r="N441" s="3">
        <f>SUMIFS('Business - Dump'!$K:$K,'Business - Dump'!$D:$D,'SKU Repoprt'!$D441,'Business - Dump'!$A:$A,'SKU Repoprt'!N$1)</f>
        <v>1387</v>
      </c>
      <c r="O441" s="3">
        <f>SUMIFS('Business - Dump'!$K:$K,'Business - Dump'!$D:$D,'SKU Repoprt'!$D441,'Business - Dump'!$A:$A,'SKU Repoprt'!O$1)</f>
        <v>1710</v>
      </c>
      <c r="P441" s="3">
        <f>SUMIFS('Business - Dump'!$K:$K,'Business - Dump'!$D:$D,'SKU Repoprt'!$D441,'Business - Dump'!$A:$A,'SKU Repoprt'!P$1)</f>
        <v>1455</v>
      </c>
      <c r="Q441" s="3">
        <f>SUMIFS('Business - Dump'!$K:$K,'Business - Dump'!$D:$D,'SKU Repoprt'!$D441,'Business - Dump'!$A:$A,'SKU Repoprt'!Q$1)</f>
        <v>1870</v>
      </c>
      <c r="R441" s="3">
        <f>SUMIFS('Business - Dump'!$K:$K,'Business - Dump'!$D:$D,'SKU Repoprt'!$D441,'Business - Dump'!$A:$A,'SKU Repoprt'!R$1)</f>
        <v>1415</v>
      </c>
      <c r="S441" s="3">
        <f>SUMIFS('Business - Dump'!$K:$K,'Business - Dump'!$D:$D,'SKU Repoprt'!$D441,'Business - Dump'!$A:$A,'SKU Repoprt'!S$1)</f>
        <v>710</v>
      </c>
      <c r="T441" s="3">
        <f>SUMIFS('Business - Dump'!$K:$K,'Business - Dump'!$D:$D,'SKU Repoprt'!$D441,'Business - Dump'!$A:$A,'SKU Repoprt'!T$1)</f>
        <v>65</v>
      </c>
      <c r="U441" s="3">
        <f>SUMIFS('Business - Dump'!$K:$K,'Business - Dump'!$D:$D,'SKU Repoprt'!$D441,'Business - Dump'!$A:$A,'SKU Repoprt'!U$1)</f>
        <v>0</v>
      </c>
      <c r="V441" s="3">
        <f>SUMIFS('Business - Dump'!$K:$K,'Business - Dump'!$D:$D,'SKU Repoprt'!$D441,'Business - Dump'!$A:$A,'SKU Repoprt'!V$1)</f>
        <v>0</v>
      </c>
      <c r="W441" s="3">
        <f>SUMIFS('Business - Dump'!$K:$K,'Business - Dump'!$D:$D,'SKU Repoprt'!$D441,'Business - Dump'!$A:$A,'SKU Repoprt'!W$1)</f>
        <v>0</v>
      </c>
    </row>
    <row r="442" ht="15.75" customHeight="1">
      <c r="A442" s="10" t="s">
        <v>232</v>
      </c>
      <c r="B442" s="10" t="s">
        <v>232</v>
      </c>
      <c r="C442" s="10"/>
      <c r="D442" s="10" t="s">
        <v>406</v>
      </c>
      <c r="E442" s="10" t="s">
        <v>264</v>
      </c>
      <c r="F442" s="3">
        <f t="shared" si="147"/>
        <v>53</v>
      </c>
      <c r="G442" s="3">
        <f>SUMIFS('Business - Dump'!$Q:$Q,'Business - Dump'!$D:$D,'SKU Repoprt'!$D442,'Business - Dump'!$A:$A,'SKU Repoprt'!G$1)</f>
        <v>0</v>
      </c>
      <c r="H442" s="3">
        <f>SUMIFS('Business - Dump'!$Q:$Q,'Business - Dump'!$D:$D,'SKU Repoprt'!$D442,'Business - Dump'!$A:$A,'SKU Repoprt'!H$1)</f>
        <v>0</v>
      </c>
      <c r="I442" s="3">
        <f>SUMIFS('Business - Dump'!$Q:$Q,'Business - Dump'!$D:$D,'SKU Repoprt'!$D442,'Business - Dump'!$A:$A,'SKU Repoprt'!I$1)</f>
        <v>0</v>
      </c>
      <c r="J442" s="3">
        <f>SUMIFS('Business - Dump'!$Q:$Q,'Business - Dump'!$D:$D,'SKU Repoprt'!$D442,'Business - Dump'!$A:$A,'SKU Repoprt'!J$1)</f>
        <v>0</v>
      </c>
      <c r="K442" s="3">
        <f>SUMIFS('Business - Dump'!$Q:$Q,'Business - Dump'!$D:$D,'SKU Repoprt'!$D442,'Business - Dump'!$A:$A,'SKU Repoprt'!K$1)</f>
        <v>0</v>
      </c>
      <c r="L442" s="3">
        <f>SUMIFS('Business - Dump'!$Q:$Q,'Business - Dump'!$D:$D,'SKU Repoprt'!$D442,'Business - Dump'!$A:$A,'SKU Repoprt'!L$1)</f>
        <v>0</v>
      </c>
      <c r="M442" s="3">
        <f>SUMIFS('Business - Dump'!$Q:$Q,'Business - Dump'!$D:$D,'SKU Repoprt'!$D442,'Business - Dump'!$A:$A,'SKU Repoprt'!M$1)</f>
        <v>6</v>
      </c>
      <c r="N442" s="3">
        <f>SUMIFS('Business - Dump'!$Q:$Q,'Business - Dump'!$D:$D,'SKU Repoprt'!$D442,'Business - Dump'!$A:$A,'SKU Repoprt'!N$1)</f>
        <v>7</v>
      </c>
      <c r="O442" s="3">
        <f>SUMIFS('Business - Dump'!$Q:$Q,'Business - Dump'!$D:$D,'SKU Repoprt'!$D442,'Business - Dump'!$A:$A,'SKU Repoprt'!O$1)</f>
        <v>7</v>
      </c>
      <c r="P442" s="3">
        <f>SUMIFS('Business - Dump'!$Q:$Q,'Business - Dump'!$D:$D,'SKU Repoprt'!$D442,'Business - Dump'!$A:$A,'SKU Repoprt'!P$1)</f>
        <v>4</v>
      </c>
      <c r="Q442" s="3">
        <f>SUMIFS('Business - Dump'!$Q:$Q,'Business - Dump'!$D:$D,'SKU Repoprt'!$D442,'Business - Dump'!$A:$A,'SKU Repoprt'!Q$1)</f>
        <v>11</v>
      </c>
      <c r="R442" s="3">
        <f>SUMIFS('Business - Dump'!$Q:$Q,'Business - Dump'!$D:$D,'SKU Repoprt'!$D442,'Business - Dump'!$A:$A,'SKU Repoprt'!R$1)</f>
        <v>17</v>
      </c>
      <c r="S442" s="3">
        <f>SUMIFS('Business - Dump'!$Q:$Q,'Business - Dump'!$D:$D,'SKU Repoprt'!$D442,'Business - Dump'!$A:$A,'SKU Repoprt'!S$1)</f>
        <v>1</v>
      </c>
      <c r="T442" s="3">
        <f>SUMIFS('Business - Dump'!$Q:$Q,'Business - Dump'!$D:$D,'SKU Repoprt'!$D442,'Business - Dump'!$A:$A,'SKU Repoprt'!T$1)</f>
        <v>0</v>
      </c>
      <c r="U442" s="3">
        <f>SUMIFS('Business - Dump'!$Q:$Q,'Business - Dump'!$D:$D,'SKU Repoprt'!$D442,'Business - Dump'!$A:$A,'SKU Repoprt'!U$1)</f>
        <v>0</v>
      </c>
      <c r="V442" s="3">
        <f>SUMIFS('Business - Dump'!$Q:$Q,'Business - Dump'!$D:$D,'SKU Repoprt'!$D442,'Business - Dump'!$A:$A,'SKU Repoprt'!V$1)</f>
        <v>0</v>
      </c>
      <c r="W442" s="3">
        <f>SUMIFS('Business - Dump'!$Q:$Q,'Business - Dump'!$D:$D,'SKU Repoprt'!$D442,'Business - Dump'!$A:$A,'SKU Repoprt'!W$1)</f>
        <v>0</v>
      </c>
    </row>
    <row r="443" ht="15.75" customHeight="1">
      <c r="A443" s="10" t="s">
        <v>232</v>
      </c>
      <c r="B443" s="10" t="s">
        <v>232</v>
      </c>
      <c r="C443" s="10"/>
      <c r="D443" s="10" t="s">
        <v>406</v>
      </c>
      <c r="E443" s="10" t="s">
        <v>268</v>
      </c>
      <c r="F443" s="3">
        <f t="shared" si="147"/>
        <v>53</v>
      </c>
      <c r="G443" s="3">
        <f>SUMIFS('Business - Dump'!$W:$W,'Business - Dump'!$D:$D,'SKU Repoprt'!$D443,'Business - Dump'!$A:$A,'SKU Repoprt'!G$1)</f>
        <v>0</v>
      </c>
      <c r="H443" s="3">
        <f>SUMIFS('Business - Dump'!$W:$W,'Business - Dump'!$D:$D,'SKU Repoprt'!$D443,'Business - Dump'!$A:$A,'SKU Repoprt'!H$1)</f>
        <v>0</v>
      </c>
      <c r="I443" s="3">
        <f>SUMIFS('Business - Dump'!$W:$W,'Business - Dump'!$D:$D,'SKU Repoprt'!$D443,'Business - Dump'!$A:$A,'SKU Repoprt'!I$1)</f>
        <v>0</v>
      </c>
      <c r="J443" s="3">
        <f>SUMIFS('Business - Dump'!$W:$W,'Business - Dump'!$D:$D,'SKU Repoprt'!$D443,'Business - Dump'!$A:$A,'SKU Repoprt'!J$1)</f>
        <v>0</v>
      </c>
      <c r="K443" s="3">
        <f>SUMIFS('Business - Dump'!$W:$W,'Business - Dump'!$D:$D,'SKU Repoprt'!$D443,'Business - Dump'!$A:$A,'SKU Repoprt'!K$1)</f>
        <v>0</v>
      </c>
      <c r="L443" s="3">
        <f>SUMIFS('Business - Dump'!$W:$W,'Business - Dump'!$D:$D,'SKU Repoprt'!$D443,'Business - Dump'!$A:$A,'SKU Repoprt'!L$1)</f>
        <v>0</v>
      </c>
      <c r="M443" s="3">
        <f>SUMIFS('Business - Dump'!$W:$W,'Business - Dump'!$D:$D,'SKU Repoprt'!$D443,'Business - Dump'!$A:$A,'SKU Repoprt'!M$1)</f>
        <v>6</v>
      </c>
      <c r="N443" s="3">
        <f>SUMIFS('Business - Dump'!$W:$W,'Business - Dump'!$D:$D,'SKU Repoprt'!$D443,'Business - Dump'!$A:$A,'SKU Repoprt'!N$1)</f>
        <v>7</v>
      </c>
      <c r="O443" s="3">
        <f>SUMIFS('Business - Dump'!$W:$W,'Business - Dump'!$D:$D,'SKU Repoprt'!$D443,'Business - Dump'!$A:$A,'SKU Repoprt'!O$1)</f>
        <v>7</v>
      </c>
      <c r="P443" s="3">
        <f>SUMIFS('Business - Dump'!$W:$W,'Business - Dump'!$D:$D,'SKU Repoprt'!$D443,'Business - Dump'!$A:$A,'SKU Repoprt'!P$1)</f>
        <v>4</v>
      </c>
      <c r="Q443" s="3">
        <f>SUMIFS('Business - Dump'!$W:$W,'Business - Dump'!$D:$D,'SKU Repoprt'!$D443,'Business - Dump'!$A:$A,'SKU Repoprt'!Q$1)</f>
        <v>11</v>
      </c>
      <c r="R443" s="3">
        <f>SUMIFS('Business - Dump'!$W:$W,'Business - Dump'!$D:$D,'SKU Repoprt'!$D443,'Business - Dump'!$A:$A,'SKU Repoprt'!R$1)</f>
        <v>17</v>
      </c>
      <c r="S443" s="3">
        <f>SUMIFS('Business - Dump'!$W:$W,'Business - Dump'!$D:$D,'SKU Repoprt'!$D443,'Business - Dump'!$A:$A,'SKU Repoprt'!S$1)</f>
        <v>1</v>
      </c>
      <c r="T443" s="3">
        <f>SUMIFS('Business - Dump'!$W:$W,'Business - Dump'!$D:$D,'SKU Repoprt'!$D443,'Business - Dump'!$A:$A,'SKU Repoprt'!T$1)</f>
        <v>0</v>
      </c>
      <c r="U443" s="3">
        <f>SUMIFS('Business - Dump'!$W:$W,'Business - Dump'!$D:$D,'SKU Repoprt'!$D443,'Business - Dump'!$A:$A,'SKU Repoprt'!U$1)</f>
        <v>0</v>
      </c>
      <c r="V443" s="3">
        <f>SUMIFS('Business - Dump'!$W:$W,'Business - Dump'!$D:$D,'SKU Repoprt'!$D443,'Business - Dump'!$A:$A,'SKU Repoprt'!V$1)</f>
        <v>0</v>
      </c>
      <c r="W443" s="3">
        <f>SUMIFS('Business - Dump'!$W:$W,'Business - Dump'!$D:$D,'SKU Repoprt'!$D443,'Business - Dump'!$A:$A,'SKU Repoprt'!W$1)</f>
        <v>0</v>
      </c>
    </row>
    <row r="444" ht="15.75" customHeight="1">
      <c r="A444" s="10" t="s">
        <v>232</v>
      </c>
      <c r="B444" s="10" t="s">
        <v>232</v>
      </c>
      <c r="C444" s="10"/>
      <c r="D444" s="10" t="s">
        <v>406</v>
      </c>
      <c r="E444" s="10" t="s">
        <v>26</v>
      </c>
      <c r="F444" s="16">
        <f t="shared" si="147"/>
        <v>883760.04</v>
      </c>
      <c r="G444" s="16">
        <f>SUMIFS('Business - Dump'!$U:$U,'Business - Dump'!$D:$D,'SKU Repoprt'!$D444,'Business - Dump'!$A:$A,'SKU Repoprt'!G$1)</f>
        <v>0</v>
      </c>
      <c r="H444" s="16">
        <f>SUMIFS('Business - Dump'!$U:$U,'Business - Dump'!$D:$D,'SKU Repoprt'!$D444,'Business - Dump'!$A:$A,'SKU Repoprt'!H$1)</f>
        <v>0</v>
      </c>
      <c r="I444" s="16">
        <f>SUMIFS('Business - Dump'!$U:$U,'Business - Dump'!$D:$D,'SKU Repoprt'!$D444,'Business - Dump'!$A:$A,'SKU Repoprt'!I$1)</f>
        <v>0</v>
      </c>
      <c r="J444" s="16">
        <f>SUMIFS('Business - Dump'!$U:$U,'Business - Dump'!$D:$D,'SKU Repoprt'!$D444,'Business - Dump'!$A:$A,'SKU Repoprt'!J$1)</f>
        <v>0</v>
      </c>
      <c r="K444" s="16">
        <f>SUMIFS('Business - Dump'!$U:$U,'Business - Dump'!$D:$D,'SKU Repoprt'!$D444,'Business - Dump'!$A:$A,'SKU Repoprt'!K$1)</f>
        <v>0</v>
      </c>
      <c r="L444" s="16">
        <f>SUMIFS('Business - Dump'!$U:$U,'Business - Dump'!$D:$D,'SKU Repoprt'!$D444,'Business - Dump'!$A:$A,'SKU Repoprt'!L$1)</f>
        <v>0</v>
      </c>
      <c r="M444" s="16">
        <f>SUMIFS('Business - Dump'!$U:$U,'Business - Dump'!$D:$D,'SKU Repoprt'!$D444,'Business - Dump'!$A:$A,'SKU Repoprt'!M$1)</f>
        <v>95994</v>
      </c>
      <c r="N444" s="16">
        <f>SUMIFS('Business - Dump'!$U:$U,'Business - Dump'!$D:$D,'SKU Repoprt'!$D444,'Business - Dump'!$A:$A,'SKU Repoprt'!N$1)</f>
        <v>120004.48</v>
      </c>
      <c r="O444" s="16">
        <f>SUMIFS('Business - Dump'!$U:$U,'Business - Dump'!$D:$D,'SKU Repoprt'!$D444,'Business - Dump'!$A:$A,'SKU Repoprt'!O$1)</f>
        <v>126900</v>
      </c>
      <c r="P444" s="16">
        <f>SUMIFS('Business - Dump'!$U:$U,'Business - Dump'!$D:$D,'SKU Repoprt'!$D444,'Business - Dump'!$A:$A,'SKU Repoprt'!P$1)</f>
        <v>72808</v>
      </c>
      <c r="Q444" s="16">
        <f>SUMIFS('Business - Dump'!$U:$U,'Business - Dump'!$D:$D,'SKU Repoprt'!$D444,'Business - Dump'!$A:$A,'SKU Repoprt'!Q$1)</f>
        <v>183016.96</v>
      </c>
      <c r="R444" s="16">
        <f>SUMIFS('Business - Dump'!$U:$U,'Business - Dump'!$D:$D,'SKU Repoprt'!$D444,'Business - Dump'!$A:$A,'SKU Repoprt'!R$1)</f>
        <v>266300.16</v>
      </c>
      <c r="S444" s="16">
        <f>SUMIFS('Business - Dump'!$U:$U,'Business - Dump'!$D:$D,'SKU Repoprt'!$D444,'Business - Dump'!$A:$A,'SKU Repoprt'!S$1)</f>
        <v>18736.44</v>
      </c>
      <c r="T444" s="16">
        <f>SUMIFS('Business - Dump'!$U:$U,'Business - Dump'!$D:$D,'SKU Repoprt'!$D444,'Business - Dump'!$A:$A,'SKU Repoprt'!T$1)</f>
        <v>0</v>
      </c>
      <c r="U444" s="16">
        <f>SUMIFS('Business - Dump'!$U:$U,'Business - Dump'!$D:$D,'SKU Repoprt'!$D444,'Business - Dump'!$A:$A,'SKU Repoprt'!U$1)</f>
        <v>0</v>
      </c>
      <c r="V444" s="16">
        <f>SUMIFS('Business - Dump'!$U:$U,'Business - Dump'!$D:$D,'SKU Repoprt'!$D444,'Business - Dump'!$A:$A,'SKU Repoprt'!V$1)</f>
        <v>0</v>
      </c>
      <c r="W444" s="16">
        <f>SUMIFS('Business - Dump'!$U:$U,'Business - Dump'!$D:$D,'SKU Repoprt'!$D444,'Business - Dump'!$A:$A,'SKU Repoprt'!W$1)</f>
        <v>0</v>
      </c>
    </row>
    <row r="445" ht="15.75" customHeight="1">
      <c r="A445" s="10" t="s">
        <v>232</v>
      </c>
      <c r="B445" s="10" t="s">
        <v>232</v>
      </c>
      <c r="C445" s="10"/>
      <c r="D445" s="10" t="s">
        <v>406</v>
      </c>
      <c r="E445" s="10" t="s">
        <v>29</v>
      </c>
      <c r="F445" s="17">
        <v>0.027042857142857143</v>
      </c>
      <c r="G445" s="17">
        <f t="shared" ref="G445:W445" si="148">IFERROR(G443/G440,0)</f>
        <v>0</v>
      </c>
      <c r="H445" s="17">
        <f t="shared" si="148"/>
        <v>0</v>
      </c>
      <c r="I445" s="17">
        <f t="shared" si="148"/>
        <v>0</v>
      </c>
      <c r="J445" s="17">
        <f t="shared" si="148"/>
        <v>0</v>
      </c>
      <c r="K445" s="17">
        <f t="shared" si="148"/>
        <v>0</v>
      </c>
      <c r="L445" s="17">
        <f t="shared" si="148"/>
        <v>0</v>
      </c>
      <c r="M445" s="17">
        <f t="shared" si="148"/>
        <v>0.01006711409</v>
      </c>
      <c r="N445" s="17">
        <f t="shared" si="148"/>
        <v>0.006809338521</v>
      </c>
      <c r="O445" s="17">
        <f t="shared" si="148"/>
        <v>0.005613472334</v>
      </c>
      <c r="P445" s="17">
        <f t="shared" si="148"/>
        <v>0.003646308113</v>
      </c>
      <c r="Q445" s="17">
        <f t="shared" si="148"/>
        <v>0.008771929825</v>
      </c>
      <c r="R445" s="17">
        <f t="shared" si="148"/>
        <v>0.01767151767</v>
      </c>
      <c r="S445" s="17">
        <f t="shared" si="148"/>
        <v>0.001945525292</v>
      </c>
      <c r="T445" s="17">
        <f t="shared" si="148"/>
        <v>0</v>
      </c>
      <c r="U445" s="17">
        <f t="shared" si="148"/>
        <v>0</v>
      </c>
      <c r="V445" s="17">
        <f t="shared" si="148"/>
        <v>0</v>
      </c>
      <c r="W445" s="17">
        <f t="shared" si="148"/>
        <v>0</v>
      </c>
    </row>
    <row r="446" ht="15.75" customHeight="1">
      <c r="A446" s="10" t="s">
        <v>232</v>
      </c>
      <c r="B446" s="10" t="s">
        <v>232</v>
      </c>
      <c r="C446" s="10"/>
      <c r="D446" s="10" t="s">
        <v>408</v>
      </c>
      <c r="E446" s="10" t="s">
        <v>257</v>
      </c>
      <c r="F446" s="3">
        <f t="shared" ref="F446:F450" si="149">SUM(G446:S446)</f>
        <v>14404</v>
      </c>
      <c r="G446" s="3">
        <f>SUMIFS('Business - Dump'!$G:$G,'Business - Dump'!$D:$D,'SKU Repoprt'!$D446,'Business - Dump'!$A:$A,'SKU Repoprt'!G$1)</f>
        <v>0</v>
      </c>
      <c r="H446" s="3">
        <f>SUMIFS('Business - Dump'!$G:$G,'Business - Dump'!$D:$D,'SKU Repoprt'!$D446,'Business - Dump'!$A:$A,'SKU Repoprt'!H$1)</f>
        <v>0</v>
      </c>
      <c r="I446" s="3">
        <f>SUMIFS('Business - Dump'!$G:$G,'Business - Dump'!$D:$D,'SKU Repoprt'!$D446,'Business - Dump'!$A:$A,'SKU Repoprt'!I$1)</f>
        <v>0</v>
      </c>
      <c r="J446" s="3">
        <f>SUMIFS('Business - Dump'!$G:$G,'Business - Dump'!$D:$D,'SKU Repoprt'!$D446,'Business - Dump'!$A:$A,'SKU Repoprt'!J$1)</f>
        <v>0</v>
      </c>
      <c r="K446" s="3">
        <f>SUMIFS('Business - Dump'!$G:$G,'Business - Dump'!$D:$D,'SKU Repoprt'!$D446,'Business - Dump'!$A:$A,'SKU Repoprt'!K$1)</f>
        <v>0</v>
      </c>
      <c r="L446" s="3">
        <f>SUMIFS('Business - Dump'!$G:$G,'Business - Dump'!$D:$D,'SKU Repoprt'!$D446,'Business - Dump'!$A:$A,'SKU Repoprt'!L$1)</f>
        <v>0</v>
      </c>
      <c r="M446" s="3">
        <f>SUMIFS('Business - Dump'!$G:$G,'Business - Dump'!$D:$D,'SKU Repoprt'!$D446,'Business - Dump'!$A:$A,'SKU Repoprt'!M$1)</f>
        <v>640</v>
      </c>
      <c r="N446" s="3">
        <f>SUMIFS('Business - Dump'!$G:$G,'Business - Dump'!$D:$D,'SKU Repoprt'!$D446,'Business - Dump'!$A:$A,'SKU Repoprt'!N$1)</f>
        <v>1348</v>
      </c>
      <c r="O446" s="3">
        <f>SUMIFS('Business - Dump'!$G:$G,'Business - Dump'!$D:$D,'SKU Repoprt'!$D446,'Business - Dump'!$A:$A,'SKU Repoprt'!O$1)</f>
        <v>1816</v>
      </c>
      <c r="P446" s="3">
        <f>SUMIFS('Business - Dump'!$G:$G,'Business - Dump'!$D:$D,'SKU Repoprt'!$D446,'Business - Dump'!$A:$A,'SKU Repoprt'!P$1)</f>
        <v>2002</v>
      </c>
      <c r="Q446" s="3">
        <f>SUMIFS('Business - Dump'!$G:$G,'Business - Dump'!$D:$D,'SKU Repoprt'!$D446,'Business - Dump'!$A:$A,'SKU Repoprt'!Q$1)</f>
        <v>2893</v>
      </c>
      <c r="R446" s="3">
        <f>SUMIFS('Business - Dump'!$G:$G,'Business - Dump'!$D:$D,'SKU Repoprt'!$D446,'Business - Dump'!$A:$A,'SKU Repoprt'!R$1)</f>
        <v>3790</v>
      </c>
      <c r="S446" s="3">
        <f>SUMIFS('Business - Dump'!$G:$G,'Business - Dump'!$D:$D,'SKU Repoprt'!$D446,'Business - Dump'!$A:$A,'SKU Repoprt'!S$1)</f>
        <v>1915</v>
      </c>
      <c r="T446" s="3">
        <f>SUMIFS('Business - Dump'!$G:$G,'Business - Dump'!$D:$D,'SKU Repoprt'!$D446,'Business - Dump'!$A:$A,'SKU Repoprt'!T$1)</f>
        <v>73</v>
      </c>
      <c r="U446" s="3">
        <f>SUMIFS('Business - Dump'!$G:$G,'Business - Dump'!$D:$D,'SKU Repoprt'!$D446,'Business - Dump'!$A:$A,'SKU Repoprt'!U$1)</f>
        <v>0</v>
      </c>
      <c r="V446" s="3">
        <f>SUMIFS('Business - Dump'!$G:$G,'Business - Dump'!$D:$D,'SKU Repoprt'!$D446,'Business - Dump'!$A:$A,'SKU Repoprt'!V$1)</f>
        <v>0</v>
      </c>
      <c r="W446" s="3">
        <f>SUMIFS('Business - Dump'!$G:$G,'Business - Dump'!$D:$D,'SKU Repoprt'!$D446,'Business - Dump'!$A:$A,'SKU Repoprt'!W$1)</f>
        <v>0</v>
      </c>
    </row>
    <row r="447" ht="15.75" customHeight="1">
      <c r="A447" s="10" t="s">
        <v>232</v>
      </c>
      <c r="B447" s="10" t="s">
        <v>232</v>
      </c>
      <c r="C447" s="10"/>
      <c r="D447" s="10" t="s">
        <v>408</v>
      </c>
      <c r="E447" s="10" t="s">
        <v>260</v>
      </c>
      <c r="F447" s="3">
        <f t="shared" si="149"/>
        <v>19504</v>
      </c>
      <c r="G447" s="3">
        <f>SUMIFS('Business - Dump'!$K:$K,'Business - Dump'!$D:$D,'SKU Repoprt'!$D447,'Business - Dump'!$A:$A,'SKU Repoprt'!G$1)</f>
        <v>0</v>
      </c>
      <c r="H447" s="3">
        <f>SUMIFS('Business - Dump'!$K:$K,'Business - Dump'!$D:$D,'SKU Repoprt'!$D447,'Business - Dump'!$A:$A,'SKU Repoprt'!H$1)</f>
        <v>0</v>
      </c>
      <c r="I447" s="3">
        <f>SUMIFS('Business - Dump'!$K:$K,'Business - Dump'!$D:$D,'SKU Repoprt'!$D447,'Business - Dump'!$A:$A,'SKU Repoprt'!I$1)</f>
        <v>0</v>
      </c>
      <c r="J447" s="3">
        <f>SUMIFS('Business - Dump'!$K:$K,'Business - Dump'!$D:$D,'SKU Repoprt'!$D447,'Business - Dump'!$A:$A,'SKU Repoprt'!J$1)</f>
        <v>0</v>
      </c>
      <c r="K447" s="3">
        <f>SUMIFS('Business - Dump'!$K:$K,'Business - Dump'!$D:$D,'SKU Repoprt'!$D447,'Business - Dump'!$A:$A,'SKU Repoprt'!K$1)</f>
        <v>0</v>
      </c>
      <c r="L447" s="3">
        <f>SUMIFS('Business - Dump'!$K:$K,'Business - Dump'!$D:$D,'SKU Repoprt'!$D447,'Business - Dump'!$A:$A,'SKU Repoprt'!L$1)</f>
        <v>0</v>
      </c>
      <c r="M447" s="3">
        <f>SUMIFS('Business - Dump'!$K:$K,'Business - Dump'!$D:$D,'SKU Repoprt'!$D447,'Business - Dump'!$A:$A,'SKU Repoprt'!M$1)</f>
        <v>1003</v>
      </c>
      <c r="N447" s="3">
        <f>SUMIFS('Business - Dump'!$K:$K,'Business - Dump'!$D:$D,'SKU Repoprt'!$D447,'Business - Dump'!$A:$A,'SKU Repoprt'!N$1)</f>
        <v>1775</v>
      </c>
      <c r="O447" s="3">
        <f>SUMIFS('Business - Dump'!$K:$K,'Business - Dump'!$D:$D,'SKU Repoprt'!$D447,'Business - Dump'!$A:$A,'SKU Repoprt'!O$1)</f>
        <v>2435</v>
      </c>
      <c r="P447" s="3">
        <f>SUMIFS('Business - Dump'!$K:$K,'Business - Dump'!$D:$D,'SKU Repoprt'!$D447,'Business - Dump'!$A:$A,'SKU Repoprt'!P$1)</f>
        <v>2686</v>
      </c>
      <c r="Q447" s="3">
        <f>SUMIFS('Business - Dump'!$K:$K,'Business - Dump'!$D:$D,'SKU Repoprt'!$D447,'Business - Dump'!$A:$A,'SKU Repoprt'!Q$1)</f>
        <v>4046</v>
      </c>
      <c r="R447" s="3">
        <f>SUMIFS('Business - Dump'!$K:$K,'Business - Dump'!$D:$D,'SKU Repoprt'!$D447,'Business - Dump'!$A:$A,'SKU Repoprt'!R$1)</f>
        <v>5194</v>
      </c>
      <c r="S447" s="3">
        <f>SUMIFS('Business - Dump'!$K:$K,'Business - Dump'!$D:$D,'SKU Repoprt'!$D447,'Business - Dump'!$A:$A,'SKU Repoprt'!S$1)</f>
        <v>2365</v>
      </c>
      <c r="T447" s="3">
        <f>SUMIFS('Business - Dump'!$K:$K,'Business - Dump'!$D:$D,'SKU Repoprt'!$D447,'Business - Dump'!$A:$A,'SKU Repoprt'!T$1)</f>
        <v>86</v>
      </c>
      <c r="U447" s="3">
        <f>SUMIFS('Business - Dump'!$K:$K,'Business - Dump'!$D:$D,'SKU Repoprt'!$D447,'Business - Dump'!$A:$A,'SKU Repoprt'!U$1)</f>
        <v>0</v>
      </c>
      <c r="V447" s="3">
        <f>SUMIFS('Business - Dump'!$K:$K,'Business - Dump'!$D:$D,'SKU Repoprt'!$D447,'Business - Dump'!$A:$A,'SKU Repoprt'!V$1)</f>
        <v>0</v>
      </c>
      <c r="W447" s="3">
        <f>SUMIFS('Business - Dump'!$K:$K,'Business - Dump'!$D:$D,'SKU Repoprt'!$D447,'Business - Dump'!$A:$A,'SKU Repoprt'!W$1)</f>
        <v>0</v>
      </c>
    </row>
    <row r="448" ht="15.75" customHeight="1">
      <c r="A448" s="10" t="s">
        <v>232</v>
      </c>
      <c r="B448" s="10" t="s">
        <v>232</v>
      </c>
      <c r="C448" s="10"/>
      <c r="D448" s="10" t="s">
        <v>408</v>
      </c>
      <c r="E448" s="10" t="s">
        <v>264</v>
      </c>
      <c r="F448" s="3">
        <f t="shared" si="149"/>
        <v>59</v>
      </c>
      <c r="G448" s="3">
        <f>SUMIFS('Business - Dump'!$Q:$Q,'Business - Dump'!$D:$D,'SKU Repoprt'!$D448,'Business - Dump'!$A:$A,'SKU Repoprt'!G$1)</f>
        <v>0</v>
      </c>
      <c r="H448" s="3">
        <f>SUMIFS('Business - Dump'!$Q:$Q,'Business - Dump'!$D:$D,'SKU Repoprt'!$D448,'Business - Dump'!$A:$A,'SKU Repoprt'!H$1)</f>
        <v>0</v>
      </c>
      <c r="I448" s="3">
        <f>SUMIFS('Business - Dump'!$Q:$Q,'Business - Dump'!$D:$D,'SKU Repoprt'!$D448,'Business - Dump'!$A:$A,'SKU Repoprt'!I$1)</f>
        <v>0</v>
      </c>
      <c r="J448" s="3">
        <f>SUMIFS('Business - Dump'!$Q:$Q,'Business - Dump'!$D:$D,'SKU Repoprt'!$D448,'Business - Dump'!$A:$A,'SKU Repoprt'!J$1)</f>
        <v>0</v>
      </c>
      <c r="K448" s="3">
        <f>SUMIFS('Business - Dump'!$Q:$Q,'Business - Dump'!$D:$D,'SKU Repoprt'!$D448,'Business - Dump'!$A:$A,'SKU Repoprt'!K$1)</f>
        <v>0</v>
      </c>
      <c r="L448" s="3">
        <f>SUMIFS('Business - Dump'!$Q:$Q,'Business - Dump'!$D:$D,'SKU Repoprt'!$D448,'Business - Dump'!$A:$A,'SKU Repoprt'!L$1)</f>
        <v>0</v>
      </c>
      <c r="M448" s="3">
        <f>SUMIFS('Business - Dump'!$Q:$Q,'Business - Dump'!$D:$D,'SKU Repoprt'!$D448,'Business - Dump'!$A:$A,'SKU Repoprt'!M$1)</f>
        <v>6</v>
      </c>
      <c r="N448" s="3">
        <f>SUMIFS('Business - Dump'!$Q:$Q,'Business - Dump'!$D:$D,'SKU Repoprt'!$D448,'Business - Dump'!$A:$A,'SKU Repoprt'!N$1)</f>
        <v>2</v>
      </c>
      <c r="O448" s="3">
        <f>SUMIFS('Business - Dump'!$Q:$Q,'Business - Dump'!$D:$D,'SKU Repoprt'!$D448,'Business - Dump'!$A:$A,'SKU Repoprt'!O$1)</f>
        <v>7</v>
      </c>
      <c r="P448" s="3">
        <f>SUMIFS('Business - Dump'!$Q:$Q,'Business - Dump'!$D:$D,'SKU Repoprt'!$D448,'Business - Dump'!$A:$A,'SKU Repoprt'!P$1)</f>
        <v>6</v>
      </c>
      <c r="Q448" s="3">
        <f>SUMIFS('Business - Dump'!$Q:$Q,'Business - Dump'!$D:$D,'SKU Repoprt'!$D448,'Business - Dump'!$A:$A,'SKU Repoprt'!Q$1)</f>
        <v>20</v>
      </c>
      <c r="R448" s="3">
        <f>SUMIFS('Business - Dump'!$Q:$Q,'Business - Dump'!$D:$D,'SKU Repoprt'!$D448,'Business - Dump'!$A:$A,'SKU Repoprt'!R$1)</f>
        <v>16</v>
      </c>
      <c r="S448" s="3">
        <f>SUMIFS('Business - Dump'!$Q:$Q,'Business - Dump'!$D:$D,'SKU Repoprt'!$D448,'Business - Dump'!$A:$A,'SKU Repoprt'!S$1)</f>
        <v>2</v>
      </c>
      <c r="T448" s="3">
        <f>SUMIFS('Business - Dump'!$Q:$Q,'Business - Dump'!$D:$D,'SKU Repoprt'!$D448,'Business - Dump'!$A:$A,'SKU Repoprt'!T$1)</f>
        <v>0</v>
      </c>
      <c r="U448" s="3">
        <f>SUMIFS('Business - Dump'!$Q:$Q,'Business - Dump'!$D:$D,'SKU Repoprt'!$D448,'Business - Dump'!$A:$A,'SKU Repoprt'!U$1)</f>
        <v>0</v>
      </c>
      <c r="V448" s="3">
        <f>SUMIFS('Business - Dump'!$Q:$Q,'Business - Dump'!$D:$D,'SKU Repoprt'!$D448,'Business - Dump'!$A:$A,'SKU Repoprt'!V$1)</f>
        <v>0</v>
      </c>
      <c r="W448" s="3">
        <f>SUMIFS('Business - Dump'!$Q:$Q,'Business - Dump'!$D:$D,'SKU Repoprt'!$D448,'Business - Dump'!$A:$A,'SKU Repoprt'!W$1)</f>
        <v>0</v>
      </c>
    </row>
    <row r="449" ht="15.75" customHeight="1">
      <c r="A449" s="10" t="s">
        <v>232</v>
      </c>
      <c r="B449" s="10" t="s">
        <v>232</v>
      </c>
      <c r="C449" s="10"/>
      <c r="D449" s="10" t="s">
        <v>408</v>
      </c>
      <c r="E449" s="10" t="s">
        <v>268</v>
      </c>
      <c r="F449" s="3">
        <f t="shared" si="149"/>
        <v>59</v>
      </c>
      <c r="G449" s="3">
        <f>SUMIFS('Business - Dump'!$W:$W,'Business - Dump'!$D:$D,'SKU Repoprt'!$D449,'Business - Dump'!$A:$A,'SKU Repoprt'!G$1)</f>
        <v>0</v>
      </c>
      <c r="H449" s="3">
        <f>SUMIFS('Business - Dump'!$W:$W,'Business - Dump'!$D:$D,'SKU Repoprt'!$D449,'Business - Dump'!$A:$A,'SKU Repoprt'!H$1)</f>
        <v>0</v>
      </c>
      <c r="I449" s="3">
        <f>SUMIFS('Business - Dump'!$W:$W,'Business - Dump'!$D:$D,'SKU Repoprt'!$D449,'Business - Dump'!$A:$A,'SKU Repoprt'!I$1)</f>
        <v>0</v>
      </c>
      <c r="J449" s="3">
        <f>SUMIFS('Business - Dump'!$W:$W,'Business - Dump'!$D:$D,'SKU Repoprt'!$D449,'Business - Dump'!$A:$A,'SKU Repoprt'!J$1)</f>
        <v>0</v>
      </c>
      <c r="K449" s="3">
        <f>SUMIFS('Business - Dump'!$W:$W,'Business - Dump'!$D:$D,'SKU Repoprt'!$D449,'Business - Dump'!$A:$A,'SKU Repoprt'!K$1)</f>
        <v>0</v>
      </c>
      <c r="L449" s="3">
        <f>SUMIFS('Business - Dump'!$W:$W,'Business - Dump'!$D:$D,'SKU Repoprt'!$D449,'Business - Dump'!$A:$A,'SKU Repoprt'!L$1)</f>
        <v>0</v>
      </c>
      <c r="M449" s="3">
        <f>SUMIFS('Business - Dump'!$W:$W,'Business - Dump'!$D:$D,'SKU Repoprt'!$D449,'Business - Dump'!$A:$A,'SKU Repoprt'!M$1)</f>
        <v>6</v>
      </c>
      <c r="N449" s="3">
        <f>SUMIFS('Business - Dump'!$W:$W,'Business - Dump'!$D:$D,'SKU Repoprt'!$D449,'Business - Dump'!$A:$A,'SKU Repoprt'!N$1)</f>
        <v>2</v>
      </c>
      <c r="O449" s="3">
        <f>SUMIFS('Business - Dump'!$W:$W,'Business - Dump'!$D:$D,'SKU Repoprt'!$D449,'Business - Dump'!$A:$A,'SKU Repoprt'!O$1)</f>
        <v>7</v>
      </c>
      <c r="P449" s="3">
        <f>SUMIFS('Business - Dump'!$W:$W,'Business - Dump'!$D:$D,'SKU Repoprt'!$D449,'Business - Dump'!$A:$A,'SKU Repoprt'!P$1)</f>
        <v>6</v>
      </c>
      <c r="Q449" s="3">
        <f>SUMIFS('Business - Dump'!$W:$W,'Business - Dump'!$D:$D,'SKU Repoprt'!$D449,'Business - Dump'!$A:$A,'SKU Repoprt'!Q$1)</f>
        <v>20</v>
      </c>
      <c r="R449" s="3">
        <f>SUMIFS('Business - Dump'!$W:$W,'Business - Dump'!$D:$D,'SKU Repoprt'!$D449,'Business - Dump'!$A:$A,'SKU Repoprt'!R$1)</f>
        <v>16</v>
      </c>
      <c r="S449" s="3">
        <f>SUMIFS('Business - Dump'!$W:$W,'Business - Dump'!$D:$D,'SKU Repoprt'!$D449,'Business - Dump'!$A:$A,'SKU Repoprt'!S$1)</f>
        <v>2</v>
      </c>
      <c r="T449" s="3">
        <f>SUMIFS('Business - Dump'!$W:$W,'Business - Dump'!$D:$D,'SKU Repoprt'!$D449,'Business - Dump'!$A:$A,'SKU Repoprt'!T$1)</f>
        <v>0</v>
      </c>
      <c r="U449" s="3">
        <f>SUMIFS('Business - Dump'!$W:$W,'Business - Dump'!$D:$D,'SKU Repoprt'!$D449,'Business - Dump'!$A:$A,'SKU Repoprt'!U$1)</f>
        <v>0</v>
      </c>
      <c r="V449" s="3">
        <f>SUMIFS('Business - Dump'!$W:$W,'Business - Dump'!$D:$D,'SKU Repoprt'!$D449,'Business - Dump'!$A:$A,'SKU Repoprt'!V$1)</f>
        <v>0</v>
      </c>
      <c r="W449" s="3">
        <f>SUMIFS('Business - Dump'!$W:$W,'Business - Dump'!$D:$D,'SKU Repoprt'!$D449,'Business - Dump'!$A:$A,'SKU Repoprt'!W$1)</f>
        <v>0</v>
      </c>
    </row>
    <row r="450" ht="15.75" customHeight="1">
      <c r="A450" s="10" t="s">
        <v>232</v>
      </c>
      <c r="B450" s="10" t="s">
        <v>232</v>
      </c>
      <c r="C450" s="10"/>
      <c r="D450" s="10" t="s">
        <v>408</v>
      </c>
      <c r="E450" s="10" t="s">
        <v>26</v>
      </c>
      <c r="F450" s="16">
        <f t="shared" si="149"/>
        <v>973087.64</v>
      </c>
      <c r="G450" s="16">
        <f>SUMIFS('Business - Dump'!$U:$U,'Business - Dump'!$D:$D,'SKU Repoprt'!$D450,'Business - Dump'!$A:$A,'SKU Repoprt'!G$1)</f>
        <v>0</v>
      </c>
      <c r="H450" s="16">
        <f>SUMIFS('Business - Dump'!$U:$U,'Business - Dump'!$D:$D,'SKU Repoprt'!$D450,'Business - Dump'!$A:$A,'SKU Repoprt'!H$1)</f>
        <v>0</v>
      </c>
      <c r="I450" s="16">
        <f>SUMIFS('Business - Dump'!$U:$U,'Business - Dump'!$D:$D,'SKU Repoprt'!$D450,'Business - Dump'!$A:$A,'SKU Repoprt'!I$1)</f>
        <v>0</v>
      </c>
      <c r="J450" s="16">
        <f>SUMIFS('Business - Dump'!$U:$U,'Business - Dump'!$D:$D,'SKU Repoprt'!$D450,'Business - Dump'!$A:$A,'SKU Repoprt'!J$1)</f>
        <v>0</v>
      </c>
      <c r="K450" s="16">
        <f>SUMIFS('Business - Dump'!$U:$U,'Business - Dump'!$D:$D,'SKU Repoprt'!$D450,'Business - Dump'!$A:$A,'SKU Repoprt'!K$1)</f>
        <v>0</v>
      </c>
      <c r="L450" s="16">
        <f>SUMIFS('Business - Dump'!$U:$U,'Business - Dump'!$D:$D,'SKU Repoprt'!$D450,'Business - Dump'!$A:$A,'SKU Repoprt'!L$1)</f>
        <v>0</v>
      </c>
      <c r="M450" s="16">
        <f>SUMIFS('Business - Dump'!$U:$U,'Business - Dump'!$D:$D,'SKU Repoprt'!$D450,'Business - Dump'!$A:$A,'SKU Repoprt'!M$1)</f>
        <v>95994</v>
      </c>
      <c r="N450" s="16">
        <f>SUMIFS('Business - Dump'!$U:$U,'Business - Dump'!$D:$D,'SKU Repoprt'!$D450,'Business - Dump'!$A:$A,'SKU Repoprt'!N$1)</f>
        <v>31998</v>
      </c>
      <c r="O450" s="16">
        <f>SUMIFS('Business - Dump'!$U:$U,'Business - Dump'!$D:$D,'SKU Repoprt'!$D450,'Business - Dump'!$A:$A,'SKU Repoprt'!O$1)</f>
        <v>125700</v>
      </c>
      <c r="P450" s="16">
        <f>SUMIFS('Business - Dump'!$U:$U,'Business - Dump'!$D:$D,'SKU Repoprt'!$D450,'Business - Dump'!$A:$A,'SKU Repoprt'!P$1)</f>
        <v>109459.88</v>
      </c>
      <c r="Q450" s="16">
        <f>SUMIFS('Business - Dump'!$U:$U,'Business - Dump'!$D:$D,'SKU Repoprt'!$D450,'Business - Dump'!$A:$A,'SKU Repoprt'!Q$1)</f>
        <v>324899.16</v>
      </c>
      <c r="R450" s="16">
        <f>SUMIFS('Business - Dump'!$U:$U,'Business - Dump'!$D:$D,'SKU Repoprt'!$D450,'Business - Dump'!$A:$A,'SKU Repoprt'!R$1)</f>
        <v>247530.16</v>
      </c>
      <c r="S450" s="16">
        <f>SUMIFS('Business - Dump'!$U:$U,'Business - Dump'!$D:$D,'SKU Repoprt'!$D450,'Business - Dump'!$A:$A,'SKU Repoprt'!S$1)</f>
        <v>37506.44</v>
      </c>
      <c r="T450" s="16">
        <f>SUMIFS('Business - Dump'!$U:$U,'Business - Dump'!$D:$D,'SKU Repoprt'!$D450,'Business - Dump'!$A:$A,'SKU Repoprt'!T$1)</f>
        <v>0</v>
      </c>
      <c r="U450" s="16">
        <f>SUMIFS('Business - Dump'!$U:$U,'Business - Dump'!$D:$D,'SKU Repoprt'!$D450,'Business - Dump'!$A:$A,'SKU Repoprt'!U$1)</f>
        <v>0</v>
      </c>
      <c r="V450" s="16">
        <f>SUMIFS('Business - Dump'!$U:$U,'Business - Dump'!$D:$D,'SKU Repoprt'!$D450,'Business - Dump'!$A:$A,'SKU Repoprt'!V$1)</f>
        <v>0</v>
      </c>
      <c r="W450" s="16">
        <f>SUMIFS('Business - Dump'!$U:$U,'Business - Dump'!$D:$D,'SKU Repoprt'!$D450,'Business - Dump'!$A:$A,'SKU Repoprt'!W$1)</f>
        <v>0</v>
      </c>
    </row>
    <row r="451" ht="15.75" customHeight="1">
      <c r="A451" s="10" t="s">
        <v>232</v>
      </c>
      <c r="B451" s="10" t="s">
        <v>232</v>
      </c>
      <c r="C451" s="10"/>
      <c r="D451" s="10" t="s">
        <v>408</v>
      </c>
      <c r="E451" s="10" t="s">
        <v>29</v>
      </c>
      <c r="F451" s="17">
        <v>0.027042857142857143</v>
      </c>
      <c r="G451" s="17">
        <f t="shared" ref="G451:W451" si="150">IFERROR(G449/G446,0)</f>
        <v>0</v>
      </c>
      <c r="H451" s="17">
        <f t="shared" si="150"/>
        <v>0</v>
      </c>
      <c r="I451" s="17">
        <f t="shared" si="150"/>
        <v>0</v>
      </c>
      <c r="J451" s="17">
        <f t="shared" si="150"/>
        <v>0</v>
      </c>
      <c r="K451" s="17">
        <f t="shared" si="150"/>
        <v>0</v>
      </c>
      <c r="L451" s="17">
        <f t="shared" si="150"/>
        <v>0</v>
      </c>
      <c r="M451" s="17">
        <f t="shared" si="150"/>
        <v>0.009375</v>
      </c>
      <c r="N451" s="17">
        <f t="shared" si="150"/>
        <v>0.001483679525</v>
      </c>
      <c r="O451" s="17">
        <f t="shared" si="150"/>
        <v>0.003854625551</v>
      </c>
      <c r="P451" s="17">
        <f t="shared" si="150"/>
        <v>0.002997002997</v>
      </c>
      <c r="Q451" s="17">
        <f t="shared" si="150"/>
        <v>0.006913238852</v>
      </c>
      <c r="R451" s="17">
        <f t="shared" si="150"/>
        <v>0.004221635884</v>
      </c>
      <c r="S451" s="17">
        <f t="shared" si="150"/>
        <v>0.001044386423</v>
      </c>
      <c r="T451" s="17">
        <f t="shared" si="150"/>
        <v>0</v>
      </c>
      <c r="U451" s="17">
        <f t="shared" si="150"/>
        <v>0</v>
      </c>
      <c r="V451" s="17">
        <f t="shared" si="150"/>
        <v>0</v>
      </c>
      <c r="W451" s="17">
        <f t="shared" si="150"/>
        <v>0</v>
      </c>
    </row>
    <row r="452" ht="15.75" customHeight="1">
      <c r="A452" s="10" t="s">
        <v>232</v>
      </c>
      <c r="B452" s="10" t="s">
        <v>232</v>
      </c>
      <c r="C452" s="10"/>
      <c r="D452" s="10" t="s">
        <v>414</v>
      </c>
      <c r="E452" s="10" t="s">
        <v>257</v>
      </c>
      <c r="F452" s="3">
        <f t="shared" ref="F452:F456" si="151">SUM(G452:S452)</f>
        <v>698</v>
      </c>
      <c r="G452" s="3">
        <f>SUMIFS('Business - Dump'!$G:$G,'Business - Dump'!$D:$D,'SKU Repoprt'!$D452,'Business - Dump'!$A:$A,'SKU Repoprt'!G$1)</f>
        <v>0</v>
      </c>
      <c r="H452" s="3">
        <f>SUMIFS('Business - Dump'!$G:$G,'Business - Dump'!$D:$D,'SKU Repoprt'!$D452,'Business - Dump'!$A:$A,'SKU Repoprt'!H$1)</f>
        <v>0</v>
      </c>
      <c r="I452" s="3">
        <f>SUMIFS('Business - Dump'!$G:$G,'Business - Dump'!$D:$D,'SKU Repoprt'!$D452,'Business - Dump'!$A:$A,'SKU Repoprt'!I$1)</f>
        <v>0</v>
      </c>
      <c r="J452" s="3">
        <f>SUMIFS('Business - Dump'!$G:$G,'Business - Dump'!$D:$D,'SKU Repoprt'!$D452,'Business - Dump'!$A:$A,'SKU Repoprt'!J$1)</f>
        <v>0</v>
      </c>
      <c r="K452" s="3">
        <f>SUMIFS('Business - Dump'!$G:$G,'Business - Dump'!$D:$D,'SKU Repoprt'!$D452,'Business - Dump'!$A:$A,'SKU Repoprt'!K$1)</f>
        <v>0</v>
      </c>
      <c r="L452" s="3">
        <f>SUMIFS('Business - Dump'!$G:$G,'Business - Dump'!$D:$D,'SKU Repoprt'!$D452,'Business - Dump'!$A:$A,'SKU Repoprt'!L$1)</f>
        <v>0</v>
      </c>
      <c r="M452" s="3">
        <f>SUMIFS('Business - Dump'!$G:$G,'Business - Dump'!$D:$D,'SKU Repoprt'!$D452,'Business - Dump'!$A:$A,'SKU Repoprt'!M$1)</f>
        <v>73</v>
      </c>
      <c r="N452" s="3">
        <f>SUMIFS('Business - Dump'!$G:$G,'Business - Dump'!$D:$D,'SKU Repoprt'!$D452,'Business - Dump'!$A:$A,'SKU Repoprt'!N$1)</f>
        <v>309</v>
      </c>
      <c r="O452" s="3">
        <f>SUMIFS('Business - Dump'!$G:$G,'Business - Dump'!$D:$D,'SKU Repoprt'!$D452,'Business - Dump'!$A:$A,'SKU Repoprt'!O$1)</f>
        <v>191</v>
      </c>
      <c r="P452" s="3">
        <f>SUMIFS('Business - Dump'!$G:$G,'Business - Dump'!$D:$D,'SKU Repoprt'!$D452,'Business - Dump'!$A:$A,'SKU Repoprt'!P$1)</f>
        <v>3</v>
      </c>
      <c r="Q452" s="3">
        <f>SUMIFS('Business - Dump'!$G:$G,'Business - Dump'!$D:$D,'SKU Repoprt'!$D452,'Business - Dump'!$A:$A,'SKU Repoprt'!Q$1)</f>
        <v>14</v>
      </c>
      <c r="R452" s="3">
        <f>SUMIFS('Business - Dump'!$G:$G,'Business - Dump'!$D:$D,'SKU Repoprt'!$D452,'Business - Dump'!$A:$A,'SKU Repoprt'!R$1)</f>
        <v>48</v>
      </c>
      <c r="S452" s="3">
        <f>SUMIFS('Business - Dump'!$G:$G,'Business - Dump'!$D:$D,'SKU Repoprt'!$D452,'Business - Dump'!$A:$A,'SKU Repoprt'!S$1)</f>
        <v>60</v>
      </c>
      <c r="T452" s="3">
        <f>SUMIFS('Business - Dump'!$G:$G,'Business - Dump'!$D:$D,'SKU Repoprt'!$D452,'Business - Dump'!$A:$A,'SKU Repoprt'!T$1)</f>
        <v>104</v>
      </c>
      <c r="U452" s="3">
        <f>SUMIFS('Business - Dump'!$G:$G,'Business - Dump'!$D:$D,'SKU Repoprt'!$D452,'Business - Dump'!$A:$A,'SKU Repoprt'!U$1)</f>
        <v>90</v>
      </c>
      <c r="V452" s="3">
        <f>SUMIFS('Business - Dump'!$G:$G,'Business - Dump'!$D:$D,'SKU Repoprt'!$D452,'Business - Dump'!$A:$A,'SKU Repoprt'!V$1)</f>
        <v>188</v>
      </c>
      <c r="W452" s="3">
        <f>SUMIFS('Business - Dump'!$G:$G,'Business - Dump'!$D:$D,'SKU Repoprt'!$D452,'Business - Dump'!$A:$A,'SKU Repoprt'!W$1)</f>
        <v>275</v>
      </c>
    </row>
    <row r="453" ht="15.75" customHeight="1">
      <c r="A453" s="10" t="s">
        <v>232</v>
      </c>
      <c r="B453" s="10" t="s">
        <v>232</v>
      </c>
      <c r="C453" s="10"/>
      <c r="D453" s="10" t="s">
        <v>414</v>
      </c>
      <c r="E453" s="10" t="s">
        <v>260</v>
      </c>
      <c r="F453" s="3">
        <f t="shared" si="151"/>
        <v>961</v>
      </c>
      <c r="G453" s="3">
        <f>SUMIFS('Business - Dump'!$K:$K,'Business - Dump'!$D:$D,'SKU Repoprt'!$D453,'Business - Dump'!$A:$A,'SKU Repoprt'!G$1)</f>
        <v>0</v>
      </c>
      <c r="H453" s="3">
        <f>SUMIFS('Business - Dump'!$K:$K,'Business - Dump'!$D:$D,'SKU Repoprt'!$D453,'Business - Dump'!$A:$A,'SKU Repoprt'!H$1)</f>
        <v>0</v>
      </c>
      <c r="I453" s="3">
        <f>SUMIFS('Business - Dump'!$K:$K,'Business - Dump'!$D:$D,'SKU Repoprt'!$D453,'Business - Dump'!$A:$A,'SKU Repoprt'!I$1)</f>
        <v>0</v>
      </c>
      <c r="J453" s="3">
        <f>SUMIFS('Business - Dump'!$K:$K,'Business - Dump'!$D:$D,'SKU Repoprt'!$D453,'Business - Dump'!$A:$A,'SKU Repoprt'!J$1)</f>
        <v>0</v>
      </c>
      <c r="K453" s="3">
        <f>SUMIFS('Business - Dump'!$K:$K,'Business - Dump'!$D:$D,'SKU Repoprt'!$D453,'Business - Dump'!$A:$A,'SKU Repoprt'!K$1)</f>
        <v>0</v>
      </c>
      <c r="L453" s="3">
        <f>SUMIFS('Business - Dump'!$K:$K,'Business - Dump'!$D:$D,'SKU Repoprt'!$D453,'Business - Dump'!$A:$A,'SKU Repoprt'!L$1)</f>
        <v>0</v>
      </c>
      <c r="M453" s="3">
        <f>SUMIFS('Business - Dump'!$K:$K,'Business - Dump'!$D:$D,'SKU Repoprt'!$D453,'Business - Dump'!$A:$A,'SKU Repoprt'!M$1)</f>
        <v>141</v>
      </c>
      <c r="N453" s="3">
        <f>SUMIFS('Business - Dump'!$K:$K,'Business - Dump'!$D:$D,'SKU Repoprt'!$D453,'Business - Dump'!$A:$A,'SKU Repoprt'!N$1)</f>
        <v>407</v>
      </c>
      <c r="O453" s="3">
        <f>SUMIFS('Business - Dump'!$K:$K,'Business - Dump'!$D:$D,'SKU Repoprt'!$D453,'Business - Dump'!$A:$A,'SKU Repoprt'!O$1)</f>
        <v>246</v>
      </c>
      <c r="P453" s="3">
        <f>SUMIFS('Business - Dump'!$K:$K,'Business - Dump'!$D:$D,'SKU Repoprt'!$D453,'Business - Dump'!$A:$A,'SKU Repoprt'!P$1)</f>
        <v>3</v>
      </c>
      <c r="Q453" s="3">
        <f>SUMIFS('Business - Dump'!$K:$K,'Business - Dump'!$D:$D,'SKU Repoprt'!$D453,'Business - Dump'!$A:$A,'SKU Repoprt'!Q$1)</f>
        <v>18</v>
      </c>
      <c r="R453" s="3">
        <f>SUMIFS('Business - Dump'!$K:$K,'Business - Dump'!$D:$D,'SKU Repoprt'!$D453,'Business - Dump'!$A:$A,'SKU Repoprt'!R$1)</f>
        <v>72</v>
      </c>
      <c r="S453" s="3">
        <f>SUMIFS('Business - Dump'!$K:$K,'Business - Dump'!$D:$D,'SKU Repoprt'!$D453,'Business - Dump'!$A:$A,'SKU Repoprt'!S$1)</f>
        <v>74</v>
      </c>
      <c r="T453" s="3">
        <f>SUMIFS('Business - Dump'!$K:$K,'Business - Dump'!$D:$D,'SKU Repoprt'!$D453,'Business - Dump'!$A:$A,'SKU Repoprt'!T$1)</f>
        <v>134</v>
      </c>
      <c r="U453" s="3">
        <f>SUMIFS('Business - Dump'!$K:$K,'Business - Dump'!$D:$D,'SKU Repoprt'!$D453,'Business - Dump'!$A:$A,'SKU Repoprt'!U$1)</f>
        <v>115</v>
      </c>
      <c r="V453" s="3">
        <f>SUMIFS('Business - Dump'!$K:$K,'Business - Dump'!$D:$D,'SKU Repoprt'!$D453,'Business - Dump'!$A:$A,'SKU Repoprt'!V$1)</f>
        <v>257</v>
      </c>
      <c r="W453" s="3">
        <f>SUMIFS('Business - Dump'!$K:$K,'Business - Dump'!$D:$D,'SKU Repoprt'!$D453,'Business - Dump'!$A:$A,'SKU Repoprt'!W$1)</f>
        <v>361</v>
      </c>
    </row>
    <row r="454" ht="15.75" customHeight="1">
      <c r="A454" s="10" t="s">
        <v>232</v>
      </c>
      <c r="B454" s="10" t="s">
        <v>232</v>
      </c>
      <c r="C454" s="10"/>
      <c r="D454" s="10" t="s">
        <v>414</v>
      </c>
      <c r="E454" s="10" t="s">
        <v>264</v>
      </c>
      <c r="F454" s="3">
        <f t="shared" si="151"/>
        <v>3</v>
      </c>
      <c r="G454" s="3">
        <f>SUMIFS('Business - Dump'!$Q:$Q,'Business - Dump'!$D:$D,'SKU Repoprt'!$D454,'Business - Dump'!$A:$A,'SKU Repoprt'!G$1)</f>
        <v>0</v>
      </c>
      <c r="H454" s="3">
        <f>SUMIFS('Business - Dump'!$Q:$Q,'Business - Dump'!$D:$D,'SKU Repoprt'!$D454,'Business - Dump'!$A:$A,'SKU Repoprt'!H$1)</f>
        <v>0</v>
      </c>
      <c r="I454" s="3">
        <f>SUMIFS('Business - Dump'!$Q:$Q,'Business - Dump'!$D:$D,'SKU Repoprt'!$D454,'Business - Dump'!$A:$A,'SKU Repoprt'!I$1)</f>
        <v>0</v>
      </c>
      <c r="J454" s="3">
        <f>SUMIFS('Business - Dump'!$Q:$Q,'Business - Dump'!$D:$D,'SKU Repoprt'!$D454,'Business - Dump'!$A:$A,'SKU Repoprt'!J$1)</f>
        <v>0</v>
      </c>
      <c r="K454" s="3">
        <f>SUMIFS('Business - Dump'!$Q:$Q,'Business - Dump'!$D:$D,'SKU Repoprt'!$D454,'Business - Dump'!$A:$A,'SKU Repoprt'!K$1)</f>
        <v>0</v>
      </c>
      <c r="L454" s="3">
        <f>SUMIFS('Business - Dump'!$Q:$Q,'Business - Dump'!$D:$D,'SKU Repoprt'!$D454,'Business - Dump'!$A:$A,'SKU Repoprt'!L$1)</f>
        <v>0</v>
      </c>
      <c r="M454" s="3">
        <f>SUMIFS('Business - Dump'!$Q:$Q,'Business - Dump'!$D:$D,'SKU Repoprt'!$D454,'Business - Dump'!$A:$A,'SKU Repoprt'!M$1)</f>
        <v>1</v>
      </c>
      <c r="N454" s="3">
        <f>SUMIFS('Business - Dump'!$Q:$Q,'Business - Dump'!$D:$D,'SKU Repoprt'!$D454,'Business - Dump'!$A:$A,'SKU Repoprt'!N$1)</f>
        <v>0</v>
      </c>
      <c r="O454" s="3">
        <f>SUMIFS('Business - Dump'!$Q:$Q,'Business - Dump'!$D:$D,'SKU Repoprt'!$D454,'Business - Dump'!$A:$A,'SKU Repoprt'!O$1)</f>
        <v>1</v>
      </c>
      <c r="P454" s="3">
        <f>SUMIFS('Business - Dump'!$Q:$Q,'Business - Dump'!$D:$D,'SKU Repoprt'!$D454,'Business - Dump'!$A:$A,'SKU Repoprt'!P$1)</f>
        <v>0</v>
      </c>
      <c r="Q454" s="3">
        <f>SUMIFS('Business - Dump'!$Q:$Q,'Business - Dump'!$D:$D,'SKU Repoprt'!$D454,'Business - Dump'!$A:$A,'SKU Repoprt'!Q$1)</f>
        <v>0</v>
      </c>
      <c r="R454" s="3">
        <f>SUMIFS('Business - Dump'!$Q:$Q,'Business - Dump'!$D:$D,'SKU Repoprt'!$D454,'Business - Dump'!$A:$A,'SKU Repoprt'!R$1)</f>
        <v>0</v>
      </c>
      <c r="S454" s="3">
        <f>SUMIFS('Business - Dump'!$Q:$Q,'Business - Dump'!$D:$D,'SKU Repoprt'!$D454,'Business - Dump'!$A:$A,'SKU Repoprt'!S$1)</f>
        <v>1</v>
      </c>
      <c r="T454" s="3">
        <f>SUMIFS('Business - Dump'!$Q:$Q,'Business - Dump'!$D:$D,'SKU Repoprt'!$D454,'Business - Dump'!$A:$A,'SKU Repoprt'!T$1)</f>
        <v>0</v>
      </c>
      <c r="U454" s="3">
        <f>SUMIFS('Business - Dump'!$Q:$Q,'Business - Dump'!$D:$D,'SKU Repoprt'!$D454,'Business - Dump'!$A:$A,'SKU Repoprt'!U$1)</f>
        <v>0</v>
      </c>
      <c r="V454" s="3">
        <f>SUMIFS('Business - Dump'!$Q:$Q,'Business - Dump'!$D:$D,'SKU Repoprt'!$D454,'Business - Dump'!$A:$A,'SKU Repoprt'!V$1)</f>
        <v>1</v>
      </c>
      <c r="W454" s="3">
        <f>SUMIFS('Business - Dump'!$Q:$Q,'Business - Dump'!$D:$D,'SKU Repoprt'!$D454,'Business - Dump'!$A:$A,'SKU Repoprt'!W$1)</f>
        <v>0</v>
      </c>
    </row>
    <row r="455" ht="15.75" customHeight="1">
      <c r="A455" s="10" t="s">
        <v>232</v>
      </c>
      <c r="B455" s="10" t="s">
        <v>232</v>
      </c>
      <c r="C455" s="10"/>
      <c r="D455" s="10" t="s">
        <v>414</v>
      </c>
      <c r="E455" s="10" t="s">
        <v>268</v>
      </c>
      <c r="F455" s="3">
        <f t="shared" si="151"/>
        <v>3</v>
      </c>
      <c r="G455" s="3">
        <f>SUMIFS('Business - Dump'!$W:$W,'Business - Dump'!$D:$D,'SKU Repoprt'!$D455,'Business - Dump'!$A:$A,'SKU Repoprt'!G$1)</f>
        <v>0</v>
      </c>
      <c r="H455" s="3">
        <f>SUMIFS('Business - Dump'!$W:$W,'Business - Dump'!$D:$D,'SKU Repoprt'!$D455,'Business - Dump'!$A:$A,'SKU Repoprt'!H$1)</f>
        <v>0</v>
      </c>
      <c r="I455" s="3">
        <f>SUMIFS('Business - Dump'!$W:$W,'Business - Dump'!$D:$D,'SKU Repoprt'!$D455,'Business - Dump'!$A:$A,'SKU Repoprt'!I$1)</f>
        <v>0</v>
      </c>
      <c r="J455" s="3">
        <f>SUMIFS('Business - Dump'!$W:$W,'Business - Dump'!$D:$D,'SKU Repoprt'!$D455,'Business - Dump'!$A:$A,'SKU Repoprt'!J$1)</f>
        <v>0</v>
      </c>
      <c r="K455" s="3">
        <f>SUMIFS('Business - Dump'!$W:$W,'Business - Dump'!$D:$D,'SKU Repoprt'!$D455,'Business - Dump'!$A:$A,'SKU Repoprt'!K$1)</f>
        <v>0</v>
      </c>
      <c r="L455" s="3">
        <f>SUMIFS('Business - Dump'!$W:$W,'Business - Dump'!$D:$D,'SKU Repoprt'!$D455,'Business - Dump'!$A:$A,'SKU Repoprt'!L$1)</f>
        <v>0</v>
      </c>
      <c r="M455" s="3">
        <f>SUMIFS('Business - Dump'!$W:$W,'Business - Dump'!$D:$D,'SKU Repoprt'!$D455,'Business - Dump'!$A:$A,'SKU Repoprt'!M$1)</f>
        <v>1</v>
      </c>
      <c r="N455" s="3">
        <f>SUMIFS('Business - Dump'!$W:$W,'Business - Dump'!$D:$D,'SKU Repoprt'!$D455,'Business - Dump'!$A:$A,'SKU Repoprt'!N$1)</f>
        <v>0</v>
      </c>
      <c r="O455" s="3">
        <f>SUMIFS('Business - Dump'!$W:$W,'Business - Dump'!$D:$D,'SKU Repoprt'!$D455,'Business - Dump'!$A:$A,'SKU Repoprt'!O$1)</f>
        <v>1</v>
      </c>
      <c r="P455" s="3">
        <f>SUMIFS('Business - Dump'!$W:$W,'Business - Dump'!$D:$D,'SKU Repoprt'!$D455,'Business - Dump'!$A:$A,'SKU Repoprt'!P$1)</f>
        <v>0</v>
      </c>
      <c r="Q455" s="3">
        <f>SUMIFS('Business - Dump'!$W:$W,'Business - Dump'!$D:$D,'SKU Repoprt'!$D455,'Business - Dump'!$A:$A,'SKU Repoprt'!Q$1)</f>
        <v>0</v>
      </c>
      <c r="R455" s="3">
        <f>SUMIFS('Business - Dump'!$W:$W,'Business - Dump'!$D:$D,'SKU Repoprt'!$D455,'Business - Dump'!$A:$A,'SKU Repoprt'!R$1)</f>
        <v>0</v>
      </c>
      <c r="S455" s="3">
        <f>SUMIFS('Business - Dump'!$W:$W,'Business - Dump'!$D:$D,'SKU Repoprt'!$D455,'Business - Dump'!$A:$A,'SKU Repoprt'!S$1)</f>
        <v>1</v>
      </c>
      <c r="T455" s="3">
        <f>SUMIFS('Business - Dump'!$W:$W,'Business - Dump'!$D:$D,'SKU Repoprt'!$D455,'Business - Dump'!$A:$A,'SKU Repoprt'!T$1)</f>
        <v>0</v>
      </c>
      <c r="U455" s="3">
        <f>SUMIFS('Business - Dump'!$W:$W,'Business - Dump'!$D:$D,'SKU Repoprt'!$D455,'Business - Dump'!$A:$A,'SKU Repoprt'!U$1)</f>
        <v>0</v>
      </c>
      <c r="V455" s="3">
        <f>SUMIFS('Business - Dump'!$W:$W,'Business - Dump'!$D:$D,'SKU Repoprt'!$D455,'Business - Dump'!$A:$A,'SKU Repoprt'!V$1)</f>
        <v>1</v>
      </c>
      <c r="W455" s="3">
        <f>SUMIFS('Business - Dump'!$W:$W,'Business - Dump'!$D:$D,'SKU Repoprt'!$D455,'Business - Dump'!$A:$A,'SKU Repoprt'!W$1)</f>
        <v>0</v>
      </c>
    </row>
    <row r="456" ht="15.75" customHeight="1">
      <c r="A456" s="10" t="s">
        <v>232</v>
      </c>
      <c r="B456" s="10" t="s">
        <v>232</v>
      </c>
      <c r="C456" s="10"/>
      <c r="D456" s="10" t="s">
        <v>414</v>
      </c>
      <c r="E456" s="10" t="s">
        <v>26</v>
      </c>
      <c r="F456" s="16">
        <f t="shared" si="151"/>
        <v>42730</v>
      </c>
      <c r="G456" s="16">
        <f>SUMIFS('Business - Dump'!$U:$U,'Business - Dump'!$D:$D,'SKU Repoprt'!$D456,'Business - Dump'!$A:$A,'SKU Repoprt'!G$1)</f>
        <v>0</v>
      </c>
      <c r="H456" s="16">
        <f>SUMIFS('Business - Dump'!$U:$U,'Business - Dump'!$D:$D,'SKU Repoprt'!$D456,'Business - Dump'!$A:$A,'SKU Repoprt'!H$1)</f>
        <v>0</v>
      </c>
      <c r="I456" s="16">
        <f>SUMIFS('Business - Dump'!$U:$U,'Business - Dump'!$D:$D,'SKU Repoprt'!$D456,'Business - Dump'!$A:$A,'SKU Repoprt'!I$1)</f>
        <v>0</v>
      </c>
      <c r="J456" s="16">
        <f>SUMIFS('Business - Dump'!$U:$U,'Business - Dump'!$D:$D,'SKU Repoprt'!$D456,'Business - Dump'!$A:$A,'SKU Repoprt'!J$1)</f>
        <v>0</v>
      </c>
      <c r="K456" s="16">
        <f>SUMIFS('Business - Dump'!$U:$U,'Business - Dump'!$D:$D,'SKU Repoprt'!$D456,'Business - Dump'!$A:$A,'SKU Repoprt'!K$1)</f>
        <v>0</v>
      </c>
      <c r="L456" s="16">
        <f>SUMIFS('Business - Dump'!$U:$U,'Business - Dump'!$D:$D,'SKU Repoprt'!$D456,'Business - Dump'!$A:$A,'SKU Repoprt'!L$1)</f>
        <v>0</v>
      </c>
      <c r="M456" s="16">
        <f>SUMIFS('Business - Dump'!$U:$U,'Business - Dump'!$D:$D,'SKU Repoprt'!$D456,'Business - Dump'!$A:$A,'SKU Repoprt'!M$1)</f>
        <v>13990</v>
      </c>
      <c r="N456" s="16">
        <f>SUMIFS('Business - Dump'!$U:$U,'Business - Dump'!$D:$D,'SKU Repoprt'!$D456,'Business - Dump'!$A:$A,'SKU Repoprt'!N$1)</f>
        <v>0</v>
      </c>
      <c r="O456" s="16">
        <f>SUMIFS('Business - Dump'!$U:$U,'Business - Dump'!$D:$D,'SKU Repoprt'!$D456,'Business - Dump'!$A:$A,'SKU Repoprt'!O$1)</f>
        <v>13570</v>
      </c>
      <c r="P456" s="16">
        <f>SUMIFS('Business - Dump'!$U:$U,'Business - Dump'!$D:$D,'SKU Repoprt'!$D456,'Business - Dump'!$A:$A,'SKU Repoprt'!P$1)</f>
        <v>0</v>
      </c>
      <c r="Q456" s="16">
        <f>SUMIFS('Business - Dump'!$U:$U,'Business - Dump'!$D:$D,'SKU Repoprt'!$D456,'Business - Dump'!$A:$A,'SKU Repoprt'!Q$1)</f>
        <v>0</v>
      </c>
      <c r="R456" s="16">
        <f>SUMIFS('Business - Dump'!$U:$U,'Business - Dump'!$D:$D,'SKU Repoprt'!$D456,'Business - Dump'!$A:$A,'SKU Repoprt'!R$1)</f>
        <v>0</v>
      </c>
      <c r="S456" s="16">
        <f>SUMIFS('Business - Dump'!$U:$U,'Business - Dump'!$D:$D,'SKU Repoprt'!$D456,'Business - Dump'!$A:$A,'SKU Repoprt'!S$1)</f>
        <v>15170</v>
      </c>
      <c r="T456" s="16">
        <f>SUMIFS('Business - Dump'!$U:$U,'Business - Dump'!$D:$D,'SKU Repoprt'!$D456,'Business - Dump'!$A:$A,'SKU Repoprt'!T$1)</f>
        <v>0</v>
      </c>
      <c r="U456" s="16">
        <f>SUMIFS('Business - Dump'!$U:$U,'Business - Dump'!$D:$D,'SKU Repoprt'!$D456,'Business - Dump'!$A:$A,'SKU Repoprt'!U$1)</f>
        <v>0</v>
      </c>
      <c r="V456" s="16">
        <f>SUMIFS('Business - Dump'!$U:$U,'Business - Dump'!$D:$D,'SKU Repoprt'!$D456,'Business - Dump'!$A:$A,'SKU Repoprt'!V$1)</f>
        <v>15010</v>
      </c>
      <c r="W456" s="16">
        <f>SUMIFS('Business - Dump'!$U:$U,'Business - Dump'!$D:$D,'SKU Repoprt'!$D456,'Business - Dump'!$A:$A,'SKU Repoprt'!W$1)</f>
        <v>0</v>
      </c>
    </row>
    <row r="457" ht="15.75" customHeight="1">
      <c r="A457" s="10" t="s">
        <v>232</v>
      </c>
      <c r="B457" s="10" t="s">
        <v>232</v>
      </c>
      <c r="C457" s="10"/>
      <c r="D457" s="10" t="s">
        <v>414</v>
      </c>
      <c r="E457" s="10" t="s">
        <v>29</v>
      </c>
      <c r="F457" s="17">
        <v>0.027042857142857143</v>
      </c>
      <c r="G457" s="17">
        <f t="shared" ref="G457:W457" si="152">IFERROR(G455/G452,0)</f>
        <v>0</v>
      </c>
      <c r="H457" s="17">
        <f t="shared" si="152"/>
        <v>0</v>
      </c>
      <c r="I457" s="17">
        <f t="shared" si="152"/>
        <v>0</v>
      </c>
      <c r="J457" s="17">
        <f t="shared" si="152"/>
        <v>0</v>
      </c>
      <c r="K457" s="17">
        <f t="shared" si="152"/>
        <v>0</v>
      </c>
      <c r="L457" s="17">
        <f t="shared" si="152"/>
        <v>0</v>
      </c>
      <c r="M457" s="17">
        <f t="shared" si="152"/>
        <v>0.01369863014</v>
      </c>
      <c r="N457" s="17">
        <f t="shared" si="152"/>
        <v>0</v>
      </c>
      <c r="O457" s="17">
        <f t="shared" si="152"/>
        <v>0.005235602094</v>
      </c>
      <c r="P457" s="17">
        <f t="shared" si="152"/>
        <v>0</v>
      </c>
      <c r="Q457" s="17">
        <f t="shared" si="152"/>
        <v>0</v>
      </c>
      <c r="R457" s="17">
        <f t="shared" si="152"/>
        <v>0</v>
      </c>
      <c r="S457" s="17">
        <f t="shared" si="152"/>
        <v>0.01666666667</v>
      </c>
      <c r="T457" s="17">
        <f t="shared" si="152"/>
        <v>0</v>
      </c>
      <c r="U457" s="17">
        <f t="shared" si="152"/>
        <v>0</v>
      </c>
      <c r="V457" s="17">
        <f t="shared" si="152"/>
        <v>0.005319148936</v>
      </c>
      <c r="W457" s="17">
        <f t="shared" si="152"/>
        <v>0</v>
      </c>
    </row>
    <row r="458" ht="15.75" customHeight="1">
      <c r="A458" s="10" t="s">
        <v>232</v>
      </c>
      <c r="B458" s="10" t="s">
        <v>232</v>
      </c>
      <c r="C458" s="10"/>
      <c r="D458" s="10" t="s">
        <v>415</v>
      </c>
      <c r="E458" s="10" t="s">
        <v>257</v>
      </c>
      <c r="F458" s="3">
        <f t="shared" ref="F458:F462" si="153">SUM(G458:S458)</f>
        <v>690</v>
      </c>
      <c r="G458" s="3">
        <f>SUMIFS('Business - Dump'!$G:$G,'Business - Dump'!$D:$D,'SKU Repoprt'!$D458,'Business - Dump'!$A:$A,'SKU Repoprt'!G$1)</f>
        <v>0</v>
      </c>
      <c r="H458" s="3">
        <f>SUMIFS('Business - Dump'!$G:$G,'Business - Dump'!$D:$D,'SKU Repoprt'!$D458,'Business - Dump'!$A:$A,'SKU Repoprt'!H$1)</f>
        <v>0</v>
      </c>
      <c r="I458" s="3">
        <f>SUMIFS('Business - Dump'!$G:$G,'Business - Dump'!$D:$D,'SKU Repoprt'!$D458,'Business - Dump'!$A:$A,'SKU Repoprt'!I$1)</f>
        <v>0</v>
      </c>
      <c r="J458" s="3">
        <f>SUMIFS('Business - Dump'!$G:$G,'Business - Dump'!$D:$D,'SKU Repoprt'!$D458,'Business - Dump'!$A:$A,'SKU Repoprt'!J$1)</f>
        <v>0</v>
      </c>
      <c r="K458" s="3">
        <f>SUMIFS('Business - Dump'!$G:$G,'Business - Dump'!$D:$D,'SKU Repoprt'!$D458,'Business - Dump'!$A:$A,'SKU Repoprt'!K$1)</f>
        <v>0</v>
      </c>
      <c r="L458" s="3">
        <f>SUMIFS('Business - Dump'!$G:$G,'Business - Dump'!$D:$D,'SKU Repoprt'!$D458,'Business - Dump'!$A:$A,'SKU Repoprt'!L$1)</f>
        <v>0</v>
      </c>
      <c r="M458" s="3">
        <f>SUMIFS('Business - Dump'!$G:$G,'Business - Dump'!$D:$D,'SKU Repoprt'!$D458,'Business - Dump'!$A:$A,'SKU Repoprt'!M$1)</f>
        <v>57</v>
      </c>
      <c r="N458" s="3">
        <f>SUMIFS('Business - Dump'!$G:$G,'Business - Dump'!$D:$D,'SKU Repoprt'!$D458,'Business - Dump'!$A:$A,'SKU Repoprt'!N$1)</f>
        <v>222</v>
      </c>
      <c r="O458" s="3">
        <f>SUMIFS('Business - Dump'!$G:$G,'Business - Dump'!$D:$D,'SKU Repoprt'!$D458,'Business - Dump'!$A:$A,'SKU Repoprt'!O$1)</f>
        <v>177</v>
      </c>
      <c r="P458" s="3">
        <f>SUMIFS('Business - Dump'!$G:$G,'Business - Dump'!$D:$D,'SKU Repoprt'!$D458,'Business - Dump'!$A:$A,'SKU Repoprt'!P$1)</f>
        <v>3</v>
      </c>
      <c r="Q458" s="3">
        <f>SUMIFS('Business - Dump'!$G:$G,'Business - Dump'!$D:$D,'SKU Repoprt'!$D458,'Business - Dump'!$A:$A,'SKU Repoprt'!Q$1)</f>
        <v>21</v>
      </c>
      <c r="R458" s="3">
        <f>SUMIFS('Business - Dump'!$G:$G,'Business - Dump'!$D:$D,'SKU Repoprt'!$D458,'Business - Dump'!$A:$A,'SKU Repoprt'!R$1)</f>
        <v>89</v>
      </c>
      <c r="S458" s="3">
        <f>SUMIFS('Business - Dump'!$G:$G,'Business - Dump'!$D:$D,'SKU Repoprt'!$D458,'Business - Dump'!$A:$A,'SKU Repoprt'!S$1)</f>
        <v>121</v>
      </c>
      <c r="T458" s="3">
        <f>SUMIFS('Business - Dump'!$G:$G,'Business - Dump'!$D:$D,'SKU Repoprt'!$D458,'Business - Dump'!$A:$A,'SKU Repoprt'!T$1)</f>
        <v>221</v>
      </c>
      <c r="U458" s="3">
        <f>SUMIFS('Business - Dump'!$G:$G,'Business - Dump'!$D:$D,'SKU Repoprt'!$D458,'Business - Dump'!$A:$A,'SKU Repoprt'!U$1)</f>
        <v>144</v>
      </c>
      <c r="V458" s="3">
        <f>SUMIFS('Business - Dump'!$G:$G,'Business - Dump'!$D:$D,'SKU Repoprt'!$D458,'Business - Dump'!$A:$A,'SKU Repoprt'!V$1)</f>
        <v>88</v>
      </c>
      <c r="W458" s="3">
        <f>SUMIFS('Business - Dump'!$G:$G,'Business - Dump'!$D:$D,'SKU Repoprt'!$D458,'Business - Dump'!$A:$A,'SKU Repoprt'!W$1)</f>
        <v>127</v>
      </c>
    </row>
    <row r="459" ht="15.75" customHeight="1">
      <c r="A459" s="10" t="s">
        <v>232</v>
      </c>
      <c r="B459" s="10" t="s">
        <v>232</v>
      </c>
      <c r="C459" s="10"/>
      <c r="D459" s="10" t="s">
        <v>415</v>
      </c>
      <c r="E459" s="10" t="s">
        <v>260</v>
      </c>
      <c r="F459" s="3">
        <f t="shared" si="153"/>
        <v>917</v>
      </c>
      <c r="G459" s="3">
        <f>SUMIFS('Business - Dump'!$K:$K,'Business - Dump'!$D:$D,'SKU Repoprt'!$D459,'Business - Dump'!$A:$A,'SKU Repoprt'!G$1)</f>
        <v>0</v>
      </c>
      <c r="H459" s="3">
        <f>SUMIFS('Business - Dump'!$K:$K,'Business - Dump'!$D:$D,'SKU Repoprt'!$D459,'Business - Dump'!$A:$A,'SKU Repoprt'!H$1)</f>
        <v>0</v>
      </c>
      <c r="I459" s="3">
        <f>SUMIFS('Business - Dump'!$K:$K,'Business - Dump'!$D:$D,'SKU Repoprt'!$D459,'Business - Dump'!$A:$A,'SKU Repoprt'!I$1)</f>
        <v>0</v>
      </c>
      <c r="J459" s="3">
        <f>SUMIFS('Business - Dump'!$K:$K,'Business - Dump'!$D:$D,'SKU Repoprt'!$D459,'Business - Dump'!$A:$A,'SKU Repoprt'!J$1)</f>
        <v>0</v>
      </c>
      <c r="K459" s="3">
        <f>SUMIFS('Business - Dump'!$K:$K,'Business - Dump'!$D:$D,'SKU Repoprt'!$D459,'Business - Dump'!$A:$A,'SKU Repoprt'!K$1)</f>
        <v>0</v>
      </c>
      <c r="L459" s="3">
        <f>SUMIFS('Business - Dump'!$K:$K,'Business - Dump'!$D:$D,'SKU Repoprt'!$D459,'Business - Dump'!$A:$A,'SKU Repoprt'!L$1)</f>
        <v>0</v>
      </c>
      <c r="M459" s="3">
        <f>SUMIFS('Business - Dump'!$K:$K,'Business - Dump'!$D:$D,'SKU Repoprt'!$D459,'Business - Dump'!$A:$A,'SKU Repoprt'!M$1)</f>
        <v>80</v>
      </c>
      <c r="N459" s="3">
        <f>SUMIFS('Business - Dump'!$K:$K,'Business - Dump'!$D:$D,'SKU Repoprt'!$D459,'Business - Dump'!$A:$A,'SKU Repoprt'!N$1)</f>
        <v>271</v>
      </c>
      <c r="O459" s="3">
        <f>SUMIFS('Business - Dump'!$K:$K,'Business - Dump'!$D:$D,'SKU Repoprt'!$D459,'Business - Dump'!$A:$A,'SKU Repoprt'!O$1)</f>
        <v>243</v>
      </c>
      <c r="P459" s="3">
        <f>SUMIFS('Business - Dump'!$K:$K,'Business - Dump'!$D:$D,'SKU Repoprt'!$D459,'Business - Dump'!$A:$A,'SKU Repoprt'!P$1)</f>
        <v>4</v>
      </c>
      <c r="Q459" s="3">
        <f>SUMIFS('Business - Dump'!$K:$K,'Business - Dump'!$D:$D,'SKU Repoprt'!$D459,'Business - Dump'!$A:$A,'SKU Repoprt'!Q$1)</f>
        <v>23</v>
      </c>
      <c r="R459" s="3">
        <f>SUMIFS('Business - Dump'!$K:$K,'Business - Dump'!$D:$D,'SKU Repoprt'!$D459,'Business - Dump'!$A:$A,'SKU Repoprt'!R$1)</f>
        <v>116</v>
      </c>
      <c r="S459" s="3">
        <f>SUMIFS('Business - Dump'!$K:$K,'Business - Dump'!$D:$D,'SKU Repoprt'!$D459,'Business - Dump'!$A:$A,'SKU Repoprt'!S$1)</f>
        <v>180</v>
      </c>
      <c r="T459" s="3">
        <f>SUMIFS('Business - Dump'!$K:$K,'Business - Dump'!$D:$D,'SKU Repoprt'!$D459,'Business - Dump'!$A:$A,'SKU Repoprt'!T$1)</f>
        <v>312</v>
      </c>
      <c r="U459" s="3">
        <f>SUMIFS('Business - Dump'!$K:$K,'Business - Dump'!$D:$D,'SKU Repoprt'!$D459,'Business - Dump'!$A:$A,'SKU Repoprt'!U$1)</f>
        <v>200</v>
      </c>
      <c r="V459" s="3">
        <f>SUMIFS('Business - Dump'!$K:$K,'Business - Dump'!$D:$D,'SKU Repoprt'!$D459,'Business - Dump'!$A:$A,'SKU Repoprt'!V$1)</f>
        <v>116</v>
      </c>
      <c r="W459" s="3">
        <f>SUMIFS('Business - Dump'!$K:$K,'Business - Dump'!$D:$D,'SKU Repoprt'!$D459,'Business - Dump'!$A:$A,'SKU Repoprt'!W$1)</f>
        <v>167</v>
      </c>
    </row>
    <row r="460" ht="15.75" customHeight="1">
      <c r="A460" s="10" t="s">
        <v>232</v>
      </c>
      <c r="B460" s="10" t="s">
        <v>232</v>
      </c>
      <c r="C460" s="10"/>
      <c r="D460" s="10" t="s">
        <v>415</v>
      </c>
      <c r="E460" s="10" t="s">
        <v>264</v>
      </c>
      <c r="F460" s="3">
        <f t="shared" si="153"/>
        <v>6</v>
      </c>
      <c r="G460" s="3">
        <f>SUMIFS('Business - Dump'!$Q:$Q,'Business - Dump'!$D:$D,'SKU Repoprt'!$D460,'Business - Dump'!$A:$A,'SKU Repoprt'!G$1)</f>
        <v>0</v>
      </c>
      <c r="H460" s="3">
        <f>SUMIFS('Business - Dump'!$Q:$Q,'Business - Dump'!$D:$D,'SKU Repoprt'!$D460,'Business - Dump'!$A:$A,'SKU Repoprt'!H$1)</f>
        <v>0</v>
      </c>
      <c r="I460" s="3">
        <f>SUMIFS('Business - Dump'!$Q:$Q,'Business - Dump'!$D:$D,'SKU Repoprt'!$D460,'Business - Dump'!$A:$A,'SKU Repoprt'!I$1)</f>
        <v>0</v>
      </c>
      <c r="J460" s="3">
        <f>SUMIFS('Business - Dump'!$Q:$Q,'Business - Dump'!$D:$D,'SKU Repoprt'!$D460,'Business - Dump'!$A:$A,'SKU Repoprt'!J$1)</f>
        <v>0</v>
      </c>
      <c r="K460" s="3">
        <f>SUMIFS('Business - Dump'!$Q:$Q,'Business - Dump'!$D:$D,'SKU Repoprt'!$D460,'Business - Dump'!$A:$A,'SKU Repoprt'!K$1)</f>
        <v>0</v>
      </c>
      <c r="L460" s="3">
        <f>SUMIFS('Business - Dump'!$Q:$Q,'Business - Dump'!$D:$D,'SKU Repoprt'!$D460,'Business - Dump'!$A:$A,'SKU Repoprt'!L$1)</f>
        <v>0</v>
      </c>
      <c r="M460" s="3">
        <f>SUMIFS('Business - Dump'!$Q:$Q,'Business - Dump'!$D:$D,'SKU Repoprt'!$D460,'Business - Dump'!$A:$A,'SKU Repoprt'!M$1)</f>
        <v>1</v>
      </c>
      <c r="N460" s="3">
        <f>SUMIFS('Business - Dump'!$Q:$Q,'Business - Dump'!$D:$D,'SKU Repoprt'!$D460,'Business - Dump'!$A:$A,'SKU Repoprt'!N$1)</f>
        <v>1</v>
      </c>
      <c r="O460" s="3">
        <f>SUMIFS('Business - Dump'!$Q:$Q,'Business - Dump'!$D:$D,'SKU Repoprt'!$D460,'Business - Dump'!$A:$A,'SKU Repoprt'!O$1)</f>
        <v>2</v>
      </c>
      <c r="P460" s="3">
        <f>SUMIFS('Business - Dump'!$Q:$Q,'Business - Dump'!$D:$D,'SKU Repoprt'!$D460,'Business - Dump'!$A:$A,'SKU Repoprt'!P$1)</f>
        <v>0</v>
      </c>
      <c r="Q460" s="3">
        <f>SUMIFS('Business - Dump'!$Q:$Q,'Business - Dump'!$D:$D,'SKU Repoprt'!$D460,'Business - Dump'!$A:$A,'SKU Repoprt'!Q$1)</f>
        <v>0</v>
      </c>
      <c r="R460" s="3">
        <f>SUMIFS('Business - Dump'!$Q:$Q,'Business - Dump'!$D:$D,'SKU Repoprt'!$D460,'Business - Dump'!$A:$A,'SKU Repoprt'!R$1)</f>
        <v>1</v>
      </c>
      <c r="S460" s="3">
        <f>SUMIFS('Business - Dump'!$Q:$Q,'Business - Dump'!$D:$D,'SKU Repoprt'!$D460,'Business - Dump'!$A:$A,'SKU Repoprt'!S$1)</f>
        <v>1</v>
      </c>
      <c r="T460" s="3">
        <f>SUMIFS('Business - Dump'!$Q:$Q,'Business - Dump'!$D:$D,'SKU Repoprt'!$D460,'Business - Dump'!$A:$A,'SKU Repoprt'!T$1)</f>
        <v>3</v>
      </c>
      <c r="U460" s="3">
        <f>SUMIFS('Business - Dump'!$Q:$Q,'Business - Dump'!$D:$D,'SKU Repoprt'!$D460,'Business - Dump'!$A:$A,'SKU Repoprt'!U$1)</f>
        <v>0</v>
      </c>
      <c r="V460" s="3">
        <f>SUMIFS('Business - Dump'!$Q:$Q,'Business - Dump'!$D:$D,'SKU Repoprt'!$D460,'Business - Dump'!$A:$A,'SKU Repoprt'!V$1)</f>
        <v>0</v>
      </c>
      <c r="W460" s="3">
        <f>SUMIFS('Business - Dump'!$Q:$Q,'Business - Dump'!$D:$D,'SKU Repoprt'!$D460,'Business - Dump'!$A:$A,'SKU Repoprt'!W$1)</f>
        <v>4</v>
      </c>
    </row>
    <row r="461" ht="15.75" customHeight="1">
      <c r="A461" s="10" t="s">
        <v>232</v>
      </c>
      <c r="B461" s="10" t="s">
        <v>232</v>
      </c>
      <c r="C461" s="10"/>
      <c r="D461" s="10" t="s">
        <v>415</v>
      </c>
      <c r="E461" s="10" t="s">
        <v>268</v>
      </c>
      <c r="F461" s="3">
        <f t="shared" si="153"/>
        <v>6</v>
      </c>
      <c r="G461" s="3">
        <f>SUMIFS('Business - Dump'!$W:$W,'Business - Dump'!$D:$D,'SKU Repoprt'!$D461,'Business - Dump'!$A:$A,'SKU Repoprt'!G$1)</f>
        <v>0</v>
      </c>
      <c r="H461" s="3">
        <f>SUMIFS('Business - Dump'!$W:$W,'Business - Dump'!$D:$D,'SKU Repoprt'!$D461,'Business - Dump'!$A:$A,'SKU Repoprt'!H$1)</f>
        <v>0</v>
      </c>
      <c r="I461" s="3">
        <f>SUMIFS('Business - Dump'!$W:$W,'Business - Dump'!$D:$D,'SKU Repoprt'!$D461,'Business - Dump'!$A:$A,'SKU Repoprt'!I$1)</f>
        <v>0</v>
      </c>
      <c r="J461" s="3">
        <f>SUMIFS('Business - Dump'!$W:$W,'Business - Dump'!$D:$D,'SKU Repoprt'!$D461,'Business - Dump'!$A:$A,'SKU Repoprt'!J$1)</f>
        <v>0</v>
      </c>
      <c r="K461" s="3">
        <f>SUMIFS('Business - Dump'!$W:$W,'Business - Dump'!$D:$D,'SKU Repoprt'!$D461,'Business - Dump'!$A:$A,'SKU Repoprt'!K$1)</f>
        <v>0</v>
      </c>
      <c r="L461" s="3">
        <f>SUMIFS('Business - Dump'!$W:$W,'Business - Dump'!$D:$D,'SKU Repoprt'!$D461,'Business - Dump'!$A:$A,'SKU Repoprt'!L$1)</f>
        <v>0</v>
      </c>
      <c r="M461" s="3">
        <f>SUMIFS('Business - Dump'!$W:$W,'Business - Dump'!$D:$D,'SKU Repoprt'!$D461,'Business - Dump'!$A:$A,'SKU Repoprt'!M$1)</f>
        <v>1</v>
      </c>
      <c r="N461" s="3">
        <f>SUMIFS('Business - Dump'!$W:$W,'Business - Dump'!$D:$D,'SKU Repoprt'!$D461,'Business - Dump'!$A:$A,'SKU Repoprt'!N$1)</f>
        <v>1</v>
      </c>
      <c r="O461" s="3">
        <f>SUMIFS('Business - Dump'!$W:$W,'Business - Dump'!$D:$D,'SKU Repoprt'!$D461,'Business - Dump'!$A:$A,'SKU Repoprt'!O$1)</f>
        <v>2</v>
      </c>
      <c r="P461" s="3">
        <f>SUMIFS('Business - Dump'!$W:$W,'Business - Dump'!$D:$D,'SKU Repoprt'!$D461,'Business - Dump'!$A:$A,'SKU Repoprt'!P$1)</f>
        <v>0</v>
      </c>
      <c r="Q461" s="3">
        <f>SUMIFS('Business - Dump'!$W:$W,'Business - Dump'!$D:$D,'SKU Repoprt'!$D461,'Business - Dump'!$A:$A,'SKU Repoprt'!Q$1)</f>
        <v>0</v>
      </c>
      <c r="R461" s="3">
        <f>SUMIFS('Business - Dump'!$W:$W,'Business - Dump'!$D:$D,'SKU Repoprt'!$D461,'Business - Dump'!$A:$A,'SKU Repoprt'!R$1)</f>
        <v>1</v>
      </c>
      <c r="S461" s="3">
        <f>SUMIFS('Business - Dump'!$W:$W,'Business - Dump'!$D:$D,'SKU Repoprt'!$D461,'Business - Dump'!$A:$A,'SKU Repoprt'!S$1)</f>
        <v>1</v>
      </c>
      <c r="T461" s="3">
        <f>SUMIFS('Business - Dump'!$W:$W,'Business - Dump'!$D:$D,'SKU Repoprt'!$D461,'Business - Dump'!$A:$A,'SKU Repoprt'!T$1)</f>
        <v>3</v>
      </c>
      <c r="U461" s="3">
        <f>SUMIFS('Business - Dump'!$W:$W,'Business - Dump'!$D:$D,'SKU Repoprt'!$D461,'Business - Dump'!$A:$A,'SKU Repoprt'!U$1)</f>
        <v>0</v>
      </c>
      <c r="V461" s="3">
        <f>SUMIFS('Business - Dump'!$W:$W,'Business - Dump'!$D:$D,'SKU Repoprt'!$D461,'Business - Dump'!$A:$A,'SKU Repoprt'!V$1)</f>
        <v>0</v>
      </c>
      <c r="W461" s="3">
        <f>SUMIFS('Business - Dump'!$W:$W,'Business - Dump'!$D:$D,'SKU Repoprt'!$D461,'Business - Dump'!$A:$A,'SKU Repoprt'!W$1)</f>
        <v>4</v>
      </c>
    </row>
    <row r="462" ht="15.75" customHeight="1">
      <c r="A462" s="10" t="s">
        <v>232</v>
      </c>
      <c r="B462" s="10" t="s">
        <v>232</v>
      </c>
      <c r="C462" s="10"/>
      <c r="D462" s="10" t="s">
        <v>415</v>
      </c>
      <c r="E462" s="10" t="s">
        <v>26</v>
      </c>
      <c r="F462" s="16">
        <f t="shared" si="153"/>
        <v>116155.88</v>
      </c>
      <c r="G462" s="16">
        <f>SUMIFS('Business - Dump'!$U:$U,'Business - Dump'!$D:$D,'SKU Repoprt'!$D462,'Business - Dump'!$A:$A,'SKU Repoprt'!G$1)</f>
        <v>0</v>
      </c>
      <c r="H462" s="16">
        <f>SUMIFS('Business - Dump'!$U:$U,'Business - Dump'!$D:$D,'SKU Repoprt'!$D462,'Business - Dump'!$A:$A,'SKU Repoprt'!H$1)</f>
        <v>0</v>
      </c>
      <c r="I462" s="16">
        <f>SUMIFS('Business - Dump'!$U:$U,'Business - Dump'!$D:$D,'SKU Repoprt'!$D462,'Business - Dump'!$A:$A,'SKU Repoprt'!I$1)</f>
        <v>0</v>
      </c>
      <c r="J462" s="16">
        <f>SUMIFS('Business - Dump'!$U:$U,'Business - Dump'!$D:$D,'SKU Repoprt'!$D462,'Business - Dump'!$A:$A,'SKU Repoprt'!J$1)</f>
        <v>0</v>
      </c>
      <c r="K462" s="16">
        <f>SUMIFS('Business - Dump'!$U:$U,'Business - Dump'!$D:$D,'SKU Repoprt'!$D462,'Business - Dump'!$A:$A,'SKU Repoprt'!K$1)</f>
        <v>0</v>
      </c>
      <c r="L462" s="16">
        <f>SUMIFS('Business - Dump'!$U:$U,'Business - Dump'!$D:$D,'SKU Repoprt'!$D462,'Business - Dump'!$A:$A,'SKU Repoprt'!L$1)</f>
        <v>0</v>
      </c>
      <c r="M462" s="16">
        <f>SUMIFS('Business - Dump'!$U:$U,'Business - Dump'!$D:$D,'SKU Repoprt'!$D462,'Business - Dump'!$A:$A,'SKU Repoprt'!M$1)</f>
        <v>19999</v>
      </c>
      <c r="N462" s="16">
        <f>SUMIFS('Business - Dump'!$U:$U,'Business - Dump'!$D:$D,'SKU Repoprt'!$D462,'Business - Dump'!$A:$A,'SKU Repoprt'!N$1)</f>
        <v>19999</v>
      </c>
      <c r="O462" s="16">
        <f>SUMIFS('Business - Dump'!$U:$U,'Business - Dump'!$D:$D,'SKU Repoprt'!$D462,'Business - Dump'!$A:$A,'SKU Repoprt'!O$1)</f>
        <v>37980</v>
      </c>
      <c r="P462" s="16">
        <f>SUMIFS('Business - Dump'!$U:$U,'Business - Dump'!$D:$D,'SKU Repoprt'!$D462,'Business - Dump'!$A:$A,'SKU Repoprt'!P$1)</f>
        <v>0</v>
      </c>
      <c r="Q462" s="16">
        <f>SUMIFS('Business - Dump'!$U:$U,'Business - Dump'!$D:$D,'SKU Repoprt'!$D462,'Business - Dump'!$A:$A,'SKU Repoprt'!Q$1)</f>
        <v>0</v>
      </c>
      <c r="R462" s="16">
        <f>SUMIFS('Business - Dump'!$U:$U,'Business - Dump'!$D:$D,'SKU Repoprt'!$D462,'Business - Dump'!$A:$A,'SKU Repoprt'!R$1)</f>
        <v>19341.44</v>
      </c>
      <c r="S462" s="16">
        <f>SUMIFS('Business - Dump'!$U:$U,'Business - Dump'!$D:$D,'SKU Repoprt'!$D462,'Business - Dump'!$A:$A,'SKU Repoprt'!S$1)</f>
        <v>18836.44</v>
      </c>
      <c r="T462" s="16">
        <f>SUMIFS('Business - Dump'!$U:$U,'Business - Dump'!$D:$D,'SKU Repoprt'!$D462,'Business - Dump'!$A:$A,'SKU Repoprt'!T$1)</f>
        <v>56542.88</v>
      </c>
      <c r="U462" s="16">
        <f>SUMIFS('Business - Dump'!$U:$U,'Business - Dump'!$D:$D,'SKU Repoprt'!$D462,'Business - Dump'!$A:$A,'SKU Repoprt'!U$1)</f>
        <v>0</v>
      </c>
      <c r="V462" s="16">
        <f>SUMIFS('Business - Dump'!$U:$U,'Business - Dump'!$D:$D,'SKU Repoprt'!$D462,'Business - Dump'!$A:$A,'SKU Repoprt'!V$1)</f>
        <v>0</v>
      </c>
      <c r="W462" s="16">
        <f>SUMIFS('Business - Dump'!$U:$U,'Business - Dump'!$D:$D,'SKU Repoprt'!$D462,'Business - Dump'!$A:$A,'SKU Repoprt'!W$1)</f>
        <v>82622.88</v>
      </c>
    </row>
    <row r="463" ht="15.75" customHeight="1">
      <c r="A463" s="10" t="s">
        <v>232</v>
      </c>
      <c r="B463" s="10" t="s">
        <v>232</v>
      </c>
      <c r="C463" s="10"/>
      <c r="D463" s="10" t="s">
        <v>415</v>
      </c>
      <c r="E463" s="10" t="s">
        <v>29</v>
      </c>
      <c r="F463" s="17">
        <v>0.027042857142857143</v>
      </c>
      <c r="G463" s="17">
        <f t="shared" ref="G463:W463" si="154">IFERROR(G461/G458,0)</f>
        <v>0</v>
      </c>
      <c r="H463" s="17">
        <f t="shared" si="154"/>
        <v>0</v>
      </c>
      <c r="I463" s="17">
        <f t="shared" si="154"/>
        <v>0</v>
      </c>
      <c r="J463" s="17">
        <f t="shared" si="154"/>
        <v>0</v>
      </c>
      <c r="K463" s="17">
        <f t="shared" si="154"/>
        <v>0</v>
      </c>
      <c r="L463" s="17">
        <f t="shared" si="154"/>
        <v>0</v>
      </c>
      <c r="M463" s="17">
        <f t="shared" si="154"/>
        <v>0.01754385965</v>
      </c>
      <c r="N463" s="17">
        <f t="shared" si="154"/>
        <v>0.004504504505</v>
      </c>
      <c r="O463" s="17">
        <f t="shared" si="154"/>
        <v>0.01129943503</v>
      </c>
      <c r="P463" s="17">
        <f t="shared" si="154"/>
        <v>0</v>
      </c>
      <c r="Q463" s="17">
        <f t="shared" si="154"/>
        <v>0</v>
      </c>
      <c r="R463" s="17">
        <f t="shared" si="154"/>
        <v>0.01123595506</v>
      </c>
      <c r="S463" s="17">
        <f t="shared" si="154"/>
        <v>0.00826446281</v>
      </c>
      <c r="T463" s="17">
        <f t="shared" si="154"/>
        <v>0.01357466063</v>
      </c>
      <c r="U463" s="17">
        <f t="shared" si="154"/>
        <v>0</v>
      </c>
      <c r="V463" s="17">
        <f t="shared" si="154"/>
        <v>0</v>
      </c>
      <c r="W463" s="17">
        <f t="shared" si="154"/>
        <v>0.03149606299</v>
      </c>
    </row>
    <row r="464" ht="15.75" customHeight="1">
      <c r="A464" s="10" t="s">
        <v>232</v>
      </c>
      <c r="B464" s="10" t="s">
        <v>232</v>
      </c>
      <c r="C464" s="10"/>
      <c r="D464" s="10" t="s">
        <v>417</v>
      </c>
      <c r="E464" s="10" t="s">
        <v>257</v>
      </c>
      <c r="F464" s="3">
        <f t="shared" ref="F464:F468" si="155">SUM(G464:S464)</f>
        <v>1413</v>
      </c>
      <c r="G464" s="3">
        <f>SUMIFS('Business - Dump'!$G:$G,'Business - Dump'!$D:$D,'SKU Repoprt'!$D464,'Business - Dump'!$A:$A,'SKU Repoprt'!G$1)</f>
        <v>0</v>
      </c>
      <c r="H464" s="3">
        <f>SUMIFS('Business - Dump'!$G:$G,'Business - Dump'!$D:$D,'SKU Repoprt'!$D464,'Business - Dump'!$A:$A,'SKU Repoprt'!H$1)</f>
        <v>0</v>
      </c>
      <c r="I464" s="3">
        <f>SUMIFS('Business - Dump'!$G:$G,'Business - Dump'!$D:$D,'SKU Repoprt'!$D464,'Business - Dump'!$A:$A,'SKU Repoprt'!I$1)</f>
        <v>0</v>
      </c>
      <c r="J464" s="3">
        <f>SUMIFS('Business - Dump'!$G:$G,'Business - Dump'!$D:$D,'SKU Repoprt'!$D464,'Business - Dump'!$A:$A,'SKU Repoprt'!J$1)</f>
        <v>0</v>
      </c>
      <c r="K464" s="3">
        <f>SUMIFS('Business - Dump'!$G:$G,'Business - Dump'!$D:$D,'SKU Repoprt'!$D464,'Business - Dump'!$A:$A,'SKU Repoprt'!K$1)</f>
        <v>0</v>
      </c>
      <c r="L464" s="3">
        <f>SUMIFS('Business - Dump'!$G:$G,'Business - Dump'!$D:$D,'SKU Repoprt'!$D464,'Business - Dump'!$A:$A,'SKU Repoprt'!L$1)</f>
        <v>0</v>
      </c>
      <c r="M464" s="3">
        <f>SUMIFS('Business - Dump'!$G:$G,'Business - Dump'!$D:$D,'SKU Repoprt'!$D464,'Business - Dump'!$A:$A,'SKU Repoprt'!M$1)</f>
        <v>121</v>
      </c>
      <c r="N464" s="3">
        <f>SUMIFS('Business - Dump'!$G:$G,'Business - Dump'!$D:$D,'SKU Repoprt'!$D464,'Business - Dump'!$A:$A,'SKU Repoprt'!N$1)</f>
        <v>464</v>
      </c>
      <c r="O464" s="3">
        <f>SUMIFS('Business - Dump'!$G:$G,'Business - Dump'!$D:$D,'SKU Repoprt'!$D464,'Business - Dump'!$A:$A,'SKU Repoprt'!O$1)</f>
        <v>787</v>
      </c>
      <c r="P464" s="3">
        <f>SUMIFS('Business - Dump'!$G:$G,'Business - Dump'!$D:$D,'SKU Repoprt'!$D464,'Business - Dump'!$A:$A,'SKU Repoprt'!P$1)</f>
        <v>14</v>
      </c>
      <c r="Q464" s="3">
        <f>SUMIFS('Business - Dump'!$G:$G,'Business - Dump'!$D:$D,'SKU Repoprt'!$D464,'Business - Dump'!$A:$A,'SKU Repoprt'!Q$1)</f>
        <v>27</v>
      </c>
      <c r="R464" s="3">
        <f>SUMIFS('Business - Dump'!$G:$G,'Business - Dump'!$D:$D,'SKU Repoprt'!$D464,'Business - Dump'!$A:$A,'SKU Repoprt'!R$1)</f>
        <v>0</v>
      </c>
      <c r="S464" s="3">
        <f>SUMIFS('Business - Dump'!$G:$G,'Business - Dump'!$D:$D,'SKU Repoprt'!$D464,'Business - Dump'!$A:$A,'SKU Repoprt'!S$1)</f>
        <v>0</v>
      </c>
      <c r="T464" s="3">
        <f>SUMIFS('Business - Dump'!$G:$G,'Business - Dump'!$D:$D,'SKU Repoprt'!$D464,'Business - Dump'!$A:$A,'SKU Repoprt'!T$1)</f>
        <v>0</v>
      </c>
      <c r="U464" s="3">
        <f>SUMIFS('Business - Dump'!$G:$G,'Business - Dump'!$D:$D,'SKU Repoprt'!$D464,'Business - Dump'!$A:$A,'SKU Repoprt'!U$1)</f>
        <v>0</v>
      </c>
      <c r="V464" s="3">
        <f>SUMIFS('Business - Dump'!$G:$G,'Business - Dump'!$D:$D,'SKU Repoprt'!$D464,'Business - Dump'!$A:$A,'SKU Repoprt'!V$1)</f>
        <v>0</v>
      </c>
      <c r="W464" s="3">
        <f>SUMIFS('Business - Dump'!$G:$G,'Business - Dump'!$D:$D,'SKU Repoprt'!$D464,'Business - Dump'!$A:$A,'SKU Repoprt'!W$1)</f>
        <v>0</v>
      </c>
    </row>
    <row r="465" ht="15.75" customHeight="1">
      <c r="A465" s="10" t="s">
        <v>232</v>
      </c>
      <c r="B465" s="10" t="s">
        <v>232</v>
      </c>
      <c r="C465" s="10"/>
      <c r="D465" s="10" t="s">
        <v>417</v>
      </c>
      <c r="E465" s="10" t="s">
        <v>260</v>
      </c>
      <c r="F465" s="3">
        <f t="shared" si="155"/>
        <v>2041</v>
      </c>
      <c r="G465" s="3">
        <f>SUMIFS('Business - Dump'!$K:$K,'Business - Dump'!$D:$D,'SKU Repoprt'!$D465,'Business - Dump'!$A:$A,'SKU Repoprt'!G$1)</f>
        <v>0</v>
      </c>
      <c r="H465" s="3">
        <f>SUMIFS('Business - Dump'!$K:$K,'Business - Dump'!$D:$D,'SKU Repoprt'!$D465,'Business - Dump'!$A:$A,'SKU Repoprt'!H$1)</f>
        <v>0</v>
      </c>
      <c r="I465" s="3">
        <f>SUMIFS('Business - Dump'!$K:$K,'Business - Dump'!$D:$D,'SKU Repoprt'!$D465,'Business - Dump'!$A:$A,'SKU Repoprt'!I$1)</f>
        <v>0</v>
      </c>
      <c r="J465" s="3">
        <f>SUMIFS('Business - Dump'!$K:$K,'Business - Dump'!$D:$D,'SKU Repoprt'!$D465,'Business - Dump'!$A:$A,'SKU Repoprt'!J$1)</f>
        <v>0</v>
      </c>
      <c r="K465" s="3">
        <f>SUMIFS('Business - Dump'!$K:$K,'Business - Dump'!$D:$D,'SKU Repoprt'!$D465,'Business - Dump'!$A:$A,'SKU Repoprt'!K$1)</f>
        <v>0</v>
      </c>
      <c r="L465" s="3">
        <f>SUMIFS('Business - Dump'!$K:$K,'Business - Dump'!$D:$D,'SKU Repoprt'!$D465,'Business - Dump'!$A:$A,'SKU Repoprt'!L$1)</f>
        <v>0</v>
      </c>
      <c r="M465" s="3">
        <f>SUMIFS('Business - Dump'!$K:$K,'Business - Dump'!$D:$D,'SKU Repoprt'!$D465,'Business - Dump'!$A:$A,'SKU Repoprt'!M$1)</f>
        <v>198</v>
      </c>
      <c r="N465" s="3">
        <f>SUMIFS('Business - Dump'!$K:$K,'Business - Dump'!$D:$D,'SKU Repoprt'!$D465,'Business - Dump'!$A:$A,'SKU Repoprt'!N$1)</f>
        <v>605</v>
      </c>
      <c r="O465" s="3">
        <f>SUMIFS('Business - Dump'!$K:$K,'Business - Dump'!$D:$D,'SKU Repoprt'!$D465,'Business - Dump'!$A:$A,'SKU Repoprt'!O$1)</f>
        <v>1187</v>
      </c>
      <c r="P465" s="3">
        <f>SUMIFS('Business - Dump'!$K:$K,'Business - Dump'!$D:$D,'SKU Repoprt'!$D465,'Business - Dump'!$A:$A,'SKU Repoprt'!P$1)</f>
        <v>15</v>
      </c>
      <c r="Q465" s="3">
        <f>SUMIFS('Business - Dump'!$K:$K,'Business - Dump'!$D:$D,'SKU Repoprt'!$D465,'Business - Dump'!$A:$A,'SKU Repoprt'!Q$1)</f>
        <v>36</v>
      </c>
      <c r="R465" s="3">
        <f>SUMIFS('Business - Dump'!$K:$K,'Business - Dump'!$D:$D,'SKU Repoprt'!$D465,'Business - Dump'!$A:$A,'SKU Repoprt'!R$1)</f>
        <v>0</v>
      </c>
      <c r="S465" s="3">
        <f>SUMIFS('Business - Dump'!$K:$K,'Business - Dump'!$D:$D,'SKU Repoprt'!$D465,'Business - Dump'!$A:$A,'SKU Repoprt'!S$1)</f>
        <v>0</v>
      </c>
      <c r="T465" s="3">
        <f>SUMIFS('Business - Dump'!$K:$K,'Business - Dump'!$D:$D,'SKU Repoprt'!$D465,'Business - Dump'!$A:$A,'SKU Repoprt'!T$1)</f>
        <v>0</v>
      </c>
      <c r="U465" s="3">
        <f>SUMIFS('Business - Dump'!$K:$K,'Business - Dump'!$D:$D,'SKU Repoprt'!$D465,'Business - Dump'!$A:$A,'SKU Repoprt'!U$1)</f>
        <v>0</v>
      </c>
      <c r="V465" s="3">
        <f>SUMIFS('Business - Dump'!$K:$K,'Business - Dump'!$D:$D,'SKU Repoprt'!$D465,'Business - Dump'!$A:$A,'SKU Repoprt'!V$1)</f>
        <v>0</v>
      </c>
      <c r="W465" s="3">
        <f>SUMIFS('Business - Dump'!$K:$K,'Business - Dump'!$D:$D,'SKU Repoprt'!$D465,'Business - Dump'!$A:$A,'SKU Repoprt'!W$1)</f>
        <v>0</v>
      </c>
    </row>
    <row r="466" ht="15.75" customHeight="1">
      <c r="A466" s="10" t="s">
        <v>232</v>
      </c>
      <c r="B466" s="10" t="s">
        <v>232</v>
      </c>
      <c r="C466" s="10"/>
      <c r="D466" s="10" t="s">
        <v>417</v>
      </c>
      <c r="E466" s="10" t="s">
        <v>264</v>
      </c>
      <c r="F466" s="3">
        <f t="shared" si="155"/>
        <v>9</v>
      </c>
      <c r="G466" s="3">
        <f>SUMIFS('Business - Dump'!$Q:$Q,'Business - Dump'!$D:$D,'SKU Repoprt'!$D466,'Business - Dump'!$A:$A,'SKU Repoprt'!G$1)</f>
        <v>0</v>
      </c>
      <c r="H466" s="3">
        <f>SUMIFS('Business - Dump'!$Q:$Q,'Business - Dump'!$D:$D,'SKU Repoprt'!$D466,'Business - Dump'!$A:$A,'SKU Repoprt'!H$1)</f>
        <v>0</v>
      </c>
      <c r="I466" s="3">
        <f>SUMIFS('Business - Dump'!$Q:$Q,'Business - Dump'!$D:$D,'SKU Repoprt'!$D466,'Business - Dump'!$A:$A,'SKU Repoprt'!I$1)</f>
        <v>0</v>
      </c>
      <c r="J466" s="3">
        <f>SUMIFS('Business - Dump'!$Q:$Q,'Business - Dump'!$D:$D,'SKU Repoprt'!$D466,'Business - Dump'!$A:$A,'SKU Repoprt'!J$1)</f>
        <v>0</v>
      </c>
      <c r="K466" s="3">
        <f>SUMIFS('Business - Dump'!$Q:$Q,'Business - Dump'!$D:$D,'SKU Repoprt'!$D466,'Business - Dump'!$A:$A,'SKU Repoprt'!K$1)</f>
        <v>0</v>
      </c>
      <c r="L466" s="3">
        <f>SUMIFS('Business - Dump'!$Q:$Q,'Business - Dump'!$D:$D,'SKU Repoprt'!$D466,'Business - Dump'!$A:$A,'SKU Repoprt'!L$1)</f>
        <v>0</v>
      </c>
      <c r="M466" s="3">
        <f>SUMIFS('Business - Dump'!$Q:$Q,'Business - Dump'!$D:$D,'SKU Repoprt'!$D466,'Business - Dump'!$A:$A,'SKU Repoprt'!M$1)</f>
        <v>0</v>
      </c>
      <c r="N466" s="3">
        <f>SUMIFS('Business - Dump'!$Q:$Q,'Business - Dump'!$D:$D,'SKU Repoprt'!$D466,'Business - Dump'!$A:$A,'SKU Repoprt'!N$1)</f>
        <v>3</v>
      </c>
      <c r="O466" s="3">
        <f>SUMIFS('Business - Dump'!$Q:$Q,'Business - Dump'!$D:$D,'SKU Repoprt'!$D466,'Business - Dump'!$A:$A,'SKU Repoprt'!O$1)</f>
        <v>6</v>
      </c>
      <c r="P466" s="3">
        <f>SUMIFS('Business - Dump'!$Q:$Q,'Business - Dump'!$D:$D,'SKU Repoprt'!$D466,'Business - Dump'!$A:$A,'SKU Repoprt'!P$1)</f>
        <v>0</v>
      </c>
      <c r="Q466" s="3">
        <f>SUMIFS('Business - Dump'!$Q:$Q,'Business - Dump'!$D:$D,'SKU Repoprt'!$D466,'Business - Dump'!$A:$A,'SKU Repoprt'!Q$1)</f>
        <v>0</v>
      </c>
      <c r="R466" s="3">
        <f>SUMIFS('Business - Dump'!$Q:$Q,'Business - Dump'!$D:$D,'SKU Repoprt'!$D466,'Business - Dump'!$A:$A,'SKU Repoprt'!R$1)</f>
        <v>0</v>
      </c>
      <c r="S466" s="3">
        <f>SUMIFS('Business - Dump'!$Q:$Q,'Business - Dump'!$D:$D,'SKU Repoprt'!$D466,'Business - Dump'!$A:$A,'SKU Repoprt'!S$1)</f>
        <v>0</v>
      </c>
      <c r="T466" s="3">
        <f>SUMIFS('Business - Dump'!$Q:$Q,'Business - Dump'!$D:$D,'SKU Repoprt'!$D466,'Business - Dump'!$A:$A,'SKU Repoprt'!T$1)</f>
        <v>0</v>
      </c>
      <c r="U466" s="3">
        <f>SUMIFS('Business - Dump'!$Q:$Q,'Business - Dump'!$D:$D,'SKU Repoprt'!$D466,'Business - Dump'!$A:$A,'SKU Repoprt'!U$1)</f>
        <v>0</v>
      </c>
      <c r="V466" s="3">
        <f>SUMIFS('Business - Dump'!$Q:$Q,'Business - Dump'!$D:$D,'SKU Repoprt'!$D466,'Business - Dump'!$A:$A,'SKU Repoprt'!V$1)</f>
        <v>0</v>
      </c>
      <c r="W466" s="3">
        <f>SUMIFS('Business - Dump'!$Q:$Q,'Business - Dump'!$D:$D,'SKU Repoprt'!$D466,'Business - Dump'!$A:$A,'SKU Repoprt'!W$1)</f>
        <v>0</v>
      </c>
    </row>
    <row r="467" ht="15.75" customHeight="1">
      <c r="A467" s="10" t="s">
        <v>232</v>
      </c>
      <c r="B467" s="10" t="s">
        <v>232</v>
      </c>
      <c r="C467" s="10"/>
      <c r="D467" s="10" t="s">
        <v>417</v>
      </c>
      <c r="E467" s="10" t="s">
        <v>268</v>
      </c>
      <c r="F467" s="3">
        <f t="shared" si="155"/>
        <v>9</v>
      </c>
      <c r="G467" s="3">
        <f>SUMIFS('Business - Dump'!$W:$W,'Business - Dump'!$D:$D,'SKU Repoprt'!$D467,'Business - Dump'!$A:$A,'SKU Repoprt'!G$1)</f>
        <v>0</v>
      </c>
      <c r="H467" s="3">
        <f>SUMIFS('Business - Dump'!$W:$W,'Business - Dump'!$D:$D,'SKU Repoprt'!$D467,'Business - Dump'!$A:$A,'SKU Repoprt'!H$1)</f>
        <v>0</v>
      </c>
      <c r="I467" s="3">
        <f>SUMIFS('Business - Dump'!$W:$W,'Business - Dump'!$D:$D,'SKU Repoprt'!$D467,'Business - Dump'!$A:$A,'SKU Repoprt'!I$1)</f>
        <v>0</v>
      </c>
      <c r="J467" s="3">
        <f>SUMIFS('Business - Dump'!$W:$W,'Business - Dump'!$D:$D,'SKU Repoprt'!$D467,'Business - Dump'!$A:$A,'SKU Repoprt'!J$1)</f>
        <v>0</v>
      </c>
      <c r="K467" s="3">
        <f>SUMIFS('Business - Dump'!$W:$W,'Business - Dump'!$D:$D,'SKU Repoprt'!$D467,'Business - Dump'!$A:$A,'SKU Repoprt'!K$1)</f>
        <v>0</v>
      </c>
      <c r="L467" s="3">
        <f>SUMIFS('Business - Dump'!$W:$W,'Business - Dump'!$D:$D,'SKU Repoprt'!$D467,'Business - Dump'!$A:$A,'SKU Repoprt'!L$1)</f>
        <v>0</v>
      </c>
      <c r="M467" s="3">
        <f>SUMIFS('Business - Dump'!$W:$W,'Business - Dump'!$D:$D,'SKU Repoprt'!$D467,'Business - Dump'!$A:$A,'SKU Repoprt'!M$1)</f>
        <v>0</v>
      </c>
      <c r="N467" s="3">
        <f>SUMIFS('Business - Dump'!$W:$W,'Business - Dump'!$D:$D,'SKU Repoprt'!$D467,'Business - Dump'!$A:$A,'SKU Repoprt'!N$1)</f>
        <v>3</v>
      </c>
      <c r="O467" s="3">
        <f>SUMIFS('Business - Dump'!$W:$W,'Business - Dump'!$D:$D,'SKU Repoprt'!$D467,'Business - Dump'!$A:$A,'SKU Repoprt'!O$1)</f>
        <v>6</v>
      </c>
      <c r="P467" s="3">
        <f>SUMIFS('Business - Dump'!$W:$W,'Business - Dump'!$D:$D,'SKU Repoprt'!$D467,'Business - Dump'!$A:$A,'SKU Repoprt'!P$1)</f>
        <v>0</v>
      </c>
      <c r="Q467" s="3">
        <f>SUMIFS('Business - Dump'!$W:$W,'Business - Dump'!$D:$D,'SKU Repoprt'!$D467,'Business - Dump'!$A:$A,'SKU Repoprt'!Q$1)</f>
        <v>0</v>
      </c>
      <c r="R467" s="3">
        <f>SUMIFS('Business - Dump'!$W:$W,'Business - Dump'!$D:$D,'SKU Repoprt'!$D467,'Business - Dump'!$A:$A,'SKU Repoprt'!R$1)</f>
        <v>0</v>
      </c>
      <c r="S467" s="3">
        <f>SUMIFS('Business - Dump'!$W:$W,'Business - Dump'!$D:$D,'SKU Repoprt'!$D467,'Business - Dump'!$A:$A,'SKU Repoprt'!S$1)</f>
        <v>0</v>
      </c>
      <c r="T467" s="3">
        <f>SUMIFS('Business - Dump'!$W:$W,'Business - Dump'!$D:$D,'SKU Repoprt'!$D467,'Business - Dump'!$A:$A,'SKU Repoprt'!T$1)</f>
        <v>0</v>
      </c>
      <c r="U467" s="3">
        <f>SUMIFS('Business - Dump'!$W:$W,'Business - Dump'!$D:$D,'SKU Repoprt'!$D467,'Business - Dump'!$A:$A,'SKU Repoprt'!U$1)</f>
        <v>0</v>
      </c>
      <c r="V467" s="3">
        <f>SUMIFS('Business - Dump'!$W:$W,'Business - Dump'!$D:$D,'SKU Repoprt'!$D467,'Business - Dump'!$A:$A,'SKU Repoprt'!V$1)</f>
        <v>0</v>
      </c>
      <c r="W467" s="3">
        <f>SUMIFS('Business - Dump'!$W:$W,'Business - Dump'!$D:$D,'SKU Repoprt'!$D467,'Business - Dump'!$A:$A,'SKU Repoprt'!W$1)</f>
        <v>0</v>
      </c>
    </row>
    <row r="468" ht="15.75" customHeight="1">
      <c r="A468" s="10" t="s">
        <v>232</v>
      </c>
      <c r="B468" s="10" t="s">
        <v>232</v>
      </c>
      <c r="C468" s="10"/>
      <c r="D468" s="10" t="s">
        <v>417</v>
      </c>
      <c r="E468" s="10" t="s">
        <v>26</v>
      </c>
      <c r="F468" s="16">
        <f t="shared" si="155"/>
        <v>145038</v>
      </c>
      <c r="G468" s="16">
        <f>SUMIFS('Business - Dump'!$U:$U,'Business - Dump'!$D:$D,'SKU Repoprt'!$D468,'Business - Dump'!$A:$A,'SKU Repoprt'!G$1)</f>
        <v>0</v>
      </c>
      <c r="H468" s="16">
        <f>SUMIFS('Business - Dump'!$U:$U,'Business - Dump'!$D:$D,'SKU Repoprt'!$D468,'Business - Dump'!$A:$A,'SKU Repoprt'!H$1)</f>
        <v>0</v>
      </c>
      <c r="I468" s="16">
        <f>SUMIFS('Business - Dump'!$U:$U,'Business - Dump'!$D:$D,'SKU Repoprt'!$D468,'Business - Dump'!$A:$A,'SKU Repoprt'!I$1)</f>
        <v>0</v>
      </c>
      <c r="J468" s="16">
        <f>SUMIFS('Business - Dump'!$U:$U,'Business - Dump'!$D:$D,'SKU Repoprt'!$D468,'Business - Dump'!$A:$A,'SKU Repoprt'!J$1)</f>
        <v>0</v>
      </c>
      <c r="K468" s="16">
        <f>SUMIFS('Business - Dump'!$U:$U,'Business - Dump'!$D:$D,'SKU Repoprt'!$D468,'Business - Dump'!$A:$A,'SKU Repoprt'!K$1)</f>
        <v>0</v>
      </c>
      <c r="L468" s="16">
        <f>SUMIFS('Business - Dump'!$U:$U,'Business - Dump'!$D:$D,'SKU Repoprt'!$D468,'Business - Dump'!$A:$A,'SKU Repoprt'!L$1)</f>
        <v>0</v>
      </c>
      <c r="M468" s="16">
        <f>SUMIFS('Business - Dump'!$U:$U,'Business - Dump'!$D:$D,'SKU Repoprt'!$D468,'Business - Dump'!$A:$A,'SKU Repoprt'!M$1)</f>
        <v>0</v>
      </c>
      <c r="N468" s="16">
        <f>SUMIFS('Business - Dump'!$U:$U,'Business - Dump'!$D:$D,'SKU Repoprt'!$D468,'Business - Dump'!$A:$A,'SKU Repoprt'!N$1)</f>
        <v>50698</v>
      </c>
      <c r="O468" s="16">
        <f>SUMIFS('Business - Dump'!$U:$U,'Business - Dump'!$D:$D,'SKU Repoprt'!$D468,'Business - Dump'!$A:$A,'SKU Repoprt'!O$1)</f>
        <v>94340</v>
      </c>
      <c r="P468" s="16">
        <f>SUMIFS('Business - Dump'!$U:$U,'Business - Dump'!$D:$D,'SKU Repoprt'!$D468,'Business - Dump'!$A:$A,'SKU Repoprt'!P$1)</f>
        <v>0</v>
      </c>
      <c r="Q468" s="16">
        <f>SUMIFS('Business - Dump'!$U:$U,'Business - Dump'!$D:$D,'SKU Repoprt'!$D468,'Business - Dump'!$A:$A,'SKU Repoprt'!Q$1)</f>
        <v>0</v>
      </c>
      <c r="R468" s="16">
        <f>SUMIFS('Business - Dump'!$U:$U,'Business - Dump'!$D:$D,'SKU Repoprt'!$D468,'Business - Dump'!$A:$A,'SKU Repoprt'!R$1)</f>
        <v>0</v>
      </c>
      <c r="S468" s="16">
        <f>SUMIFS('Business - Dump'!$U:$U,'Business - Dump'!$D:$D,'SKU Repoprt'!$D468,'Business - Dump'!$A:$A,'SKU Repoprt'!S$1)</f>
        <v>0</v>
      </c>
      <c r="T468" s="16">
        <f>SUMIFS('Business - Dump'!$U:$U,'Business - Dump'!$D:$D,'SKU Repoprt'!$D468,'Business - Dump'!$A:$A,'SKU Repoprt'!T$1)</f>
        <v>0</v>
      </c>
      <c r="U468" s="16">
        <f>SUMIFS('Business - Dump'!$U:$U,'Business - Dump'!$D:$D,'SKU Repoprt'!$D468,'Business - Dump'!$A:$A,'SKU Repoprt'!U$1)</f>
        <v>0</v>
      </c>
      <c r="V468" s="16">
        <f>SUMIFS('Business - Dump'!$U:$U,'Business - Dump'!$D:$D,'SKU Repoprt'!$D468,'Business - Dump'!$A:$A,'SKU Repoprt'!V$1)</f>
        <v>0</v>
      </c>
      <c r="W468" s="16">
        <f>SUMIFS('Business - Dump'!$U:$U,'Business - Dump'!$D:$D,'SKU Repoprt'!$D468,'Business - Dump'!$A:$A,'SKU Repoprt'!W$1)</f>
        <v>0</v>
      </c>
    </row>
    <row r="469" ht="15.75" customHeight="1">
      <c r="A469" s="10" t="s">
        <v>232</v>
      </c>
      <c r="B469" s="10" t="s">
        <v>232</v>
      </c>
      <c r="C469" s="10"/>
      <c r="D469" s="10" t="s">
        <v>417</v>
      </c>
      <c r="E469" s="10" t="s">
        <v>29</v>
      </c>
      <c r="F469" s="17">
        <v>0.027042857142857143</v>
      </c>
      <c r="G469" s="17">
        <f t="shared" ref="G469:W469" si="156">IFERROR(G467/G464,0)</f>
        <v>0</v>
      </c>
      <c r="H469" s="17">
        <f t="shared" si="156"/>
        <v>0</v>
      </c>
      <c r="I469" s="17">
        <f t="shared" si="156"/>
        <v>0</v>
      </c>
      <c r="J469" s="17">
        <f t="shared" si="156"/>
        <v>0</v>
      </c>
      <c r="K469" s="17">
        <f t="shared" si="156"/>
        <v>0</v>
      </c>
      <c r="L469" s="17">
        <f t="shared" si="156"/>
        <v>0</v>
      </c>
      <c r="M469" s="17">
        <f t="shared" si="156"/>
        <v>0</v>
      </c>
      <c r="N469" s="17">
        <f t="shared" si="156"/>
        <v>0.006465517241</v>
      </c>
      <c r="O469" s="17">
        <f t="shared" si="156"/>
        <v>0.007623888183</v>
      </c>
      <c r="P469" s="17">
        <f t="shared" si="156"/>
        <v>0</v>
      </c>
      <c r="Q469" s="17">
        <f t="shared" si="156"/>
        <v>0</v>
      </c>
      <c r="R469" s="17">
        <f t="shared" si="156"/>
        <v>0</v>
      </c>
      <c r="S469" s="17">
        <f t="shared" si="156"/>
        <v>0</v>
      </c>
      <c r="T469" s="17">
        <f t="shared" si="156"/>
        <v>0</v>
      </c>
      <c r="U469" s="17">
        <f t="shared" si="156"/>
        <v>0</v>
      </c>
      <c r="V469" s="17">
        <f t="shared" si="156"/>
        <v>0</v>
      </c>
      <c r="W469" s="17">
        <f t="shared" si="156"/>
        <v>0</v>
      </c>
    </row>
    <row r="470" ht="15.75" customHeight="1">
      <c r="A470" s="10" t="s">
        <v>232</v>
      </c>
      <c r="B470" s="10" t="s">
        <v>232</v>
      </c>
      <c r="C470" s="10"/>
      <c r="D470" s="10" t="s">
        <v>416</v>
      </c>
      <c r="E470" s="10" t="s">
        <v>257</v>
      </c>
      <c r="F470" s="3">
        <f t="shared" ref="F470:F474" si="157">SUM(G470:S470)</f>
        <v>666</v>
      </c>
      <c r="G470" s="3">
        <f>SUMIFS('Business - Dump'!$G:$G,'Business - Dump'!$D:$D,'SKU Repoprt'!$D470,'Business - Dump'!$A:$A,'SKU Repoprt'!G$1)</f>
        <v>0</v>
      </c>
      <c r="H470" s="3">
        <f>SUMIFS('Business - Dump'!$G:$G,'Business - Dump'!$D:$D,'SKU Repoprt'!$D470,'Business - Dump'!$A:$A,'SKU Repoprt'!H$1)</f>
        <v>0</v>
      </c>
      <c r="I470" s="3">
        <f>SUMIFS('Business - Dump'!$G:$G,'Business - Dump'!$D:$D,'SKU Repoprt'!$D470,'Business - Dump'!$A:$A,'SKU Repoprt'!I$1)</f>
        <v>0</v>
      </c>
      <c r="J470" s="3">
        <f>SUMIFS('Business - Dump'!$G:$G,'Business - Dump'!$D:$D,'SKU Repoprt'!$D470,'Business - Dump'!$A:$A,'SKU Repoprt'!J$1)</f>
        <v>0</v>
      </c>
      <c r="K470" s="3">
        <f>SUMIFS('Business - Dump'!$G:$G,'Business - Dump'!$D:$D,'SKU Repoprt'!$D470,'Business - Dump'!$A:$A,'SKU Repoprt'!K$1)</f>
        <v>0</v>
      </c>
      <c r="L470" s="3">
        <f>SUMIFS('Business - Dump'!$G:$G,'Business - Dump'!$D:$D,'SKU Repoprt'!$D470,'Business - Dump'!$A:$A,'SKU Repoprt'!L$1)</f>
        <v>0</v>
      </c>
      <c r="M470" s="3">
        <f>SUMIFS('Business - Dump'!$G:$G,'Business - Dump'!$D:$D,'SKU Repoprt'!$D470,'Business - Dump'!$A:$A,'SKU Repoprt'!M$1)</f>
        <v>31</v>
      </c>
      <c r="N470" s="3">
        <f>SUMIFS('Business - Dump'!$G:$G,'Business - Dump'!$D:$D,'SKU Repoprt'!$D470,'Business - Dump'!$A:$A,'SKU Repoprt'!N$1)</f>
        <v>270</v>
      </c>
      <c r="O470" s="3">
        <f>SUMIFS('Business - Dump'!$G:$G,'Business - Dump'!$D:$D,'SKU Repoprt'!$D470,'Business - Dump'!$A:$A,'SKU Repoprt'!O$1)</f>
        <v>147</v>
      </c>
      <c r="P470" s="3">
        <f>SUMIFS('Business - Dump'!$G:$G,'Business - Dump'!$D:$D,'SKU Repoprt'!$D470,'Business - Dump'!$A:$A,'SKU Repoprt'!P$1)</f>
        <v>1</v>
      </c>
      <c r="Q470" s="3">
        <f>SUMIFS('Business - Dump'!$G:$G,'Business - Dump'!$D:$D,'SKU Repoprt'!$D470,'Business - Dump'!$A:$A,'SKU Repoprt'!Q$1)</f>
        <v>12</v>
      </c>
      <c r="R470" s="3">
        <f>SUMIFS('Business - Dump'!$G:$G,'Business - Dump'!$D:$D,'SKU Repoprt'!$D470,'Business - Dump'!$A:$A,'SKU Repoprt'!R$1)</f>
        <v>55</v>
      </c>
      <c r="S470" s="3">
        <f>SUMIFS('Business - Dump'!$G:$G,'Business - Dump'!$D:$D,'SKU Repoprt'!$D470,'Business - Dump'!$A:$A,'SKU Repoprt'!S$1)</f>
        <v>150</v>
      </c>
      <c r="T470" s="3">
        <f>SUMIFS('Business - Dump'!$G:$G,'Business - Dump'!$D:$D,'SKU Repoprt'!$D470,'Business - Dump'!$A:$A,'SKU Repoprt'!T$1)</f>
        <v>469</v>
      </c>
      <c r="U470" s="3">
        <f>SUMIFS('Business - Dump'!$G:$G,'Business - Dump'!$D:$D,'SKU Repoprt'!$D470,'Business - Dump'!$A:$A,'SKU Repoprt'!U$1)</f>
        <v>390</v>
      </c>
      <c r="V470" s="3">
        <f>SUMIFS('Business - Dump'!$G:$G,'Business - Dump'!$D:$D,'SKU Repoprt'!$D470,'Business - Dump'!$A:$A,'SKU Repoprt'!V$1)</f>
        <v>181</v>
      </c>
      <c r="W470" s="3">
        <f>SUMIFS('Business - Dump'!$G:$G,'Business - Dump'!$D:$D,'SKU Repoprt'!$D470,'Business - Dump'!$A:$A,'SKU Repoprt'!W$1)</f>
        <v>207</v>
      </c>
    </row>
    <row r="471" ht="15.75" customHeight="1">
      <c r="A471" s="10" t="s">
        <v>232</v>
      </c>
      <c r="B471" s="10" t="s">
        <v>232</v>
      </c>
      <c r="C471" s="10"/>
      <c r="D471" s="10" t="s">
        <v>416</v>
      </c>
      <c r="E471" s="10" t="s">
        <v>260</v>
      </c>
      <c r="F471" s="3">
        <f t="shared" si="157"/>
        <v>861</v>
      </c>
      <c r="G471" s="3">
        <f>SUMIFS('Business - Dump'!$K:$K,'Business - Dump'!$D:$D,'SKU Repoprt'!$D471,'Business - Dump'!$A:$A,'SKU Repoprt'!G$1)</f>
        <v>0</v>
      </c>
      <c r="H471" s="3">
        <f>SUMIFS('Business - Dump'!$K:$K,'Business - Dump'!$D:$D,'SKU Repoprt'!$D471,'Business - Dump'!$A:$A,'SKU Repoprt'!H$1)</f>
        <v>0</v>
      </c>
      <c r="I471" s="3">
        <f>SUMIFS('Business - Dump'!$K:$K,'Business - Dump'!$D:$D,'SKU Repoprt'!$D471,'Business - Dump'!$A:$A,'SKU Repoprt'!I$1)</f>
        <v>0</v>
      </c>
      <c r="J471" s="3">
        <f>SUMIFS('Business - Dump'!$K:$K,'Business - Dump'!$D:$D,'SKU Repoprt'!$D471,'Business - Dump'!$A:$A,'SKU Repoprt'!J$1)</f>
        <v>0</v>
      </c>
      <c r="K471" s="3">
        <f>SUMIFS('Business - Dump'!$K:$K,'Business - Dump'!$D:$D,'SKU Repoprt'!$D471,'Business - Dump'!$A:$A,'SKU Repoprt'!K$1)</f>
        <v>0</v>
      </c>
      <c r="L471" s="3">
        <f>SUMIFS('Business - Dump'!$K:$K,'Business - Dump'!$D:$D,'SKU Repoprt'!$D471,'Business - Dump'!$A:$A,'SKU Repoprt'!L$1)</f>
        <v>0</v>
      </c>
      <c r="M471" s="3">
        <f>SUMIFS('Business - Dump'!$K:$K,'Business - Dump'!$D:$D,'SKU Repoprt'!$D471,'Business - Dump'!$A:$A,'SKU Repoprt'!M$1)</f>
        <v>42</v>
      </c>
      <c r="N471" s="3">
        <f>SUMIFS('Business - Dump'!$K:$K,'Business - Dump'!$D:$D,'SKU Repoprt'!$D471,'Business - Dump'!$A:$A,'SKU Repoprt'!N$1)</f>
        <v>337</v>
      </c>
      <c r="O471" s="3">
        <f>SUMIFS('Business - Dump'!$K:$K,'Business - Dump'!$D:$D,'SKU Repoprt'!$D471,'Business - Dump'!$A:$A,'SKU Repoprt'!O$1)</f>
        <v>181</v>
      </c>
      <c r="P471" s="3">
        <f>SUMIFS('Business - Dump'!$K:$K,'Business - Dump'!$D:$D,'SKU Repoprt'!$D471,'Business - Dump'!$A:$A,'SKU Repoprt'!P$1)</f>
        <v>1</v>
      </c>
      <c r="Q471" s="3">
        <f>SUMIFS('Business - Dump'!$K:$K,'Business - Dump'!$D:$D,'SKU Repoprt'!$D471,'Business - Dump'!$A:$A,'SKU Repoprt'!Q$1)</f>
        <v>14</v>
      </c>
      <c r="R471" s="3">
        <f>SUMIFS('Business - Dump'!$K:$K,'Business - Dump'!$D:$D,'SKU Repoprt'!$D471,'Business - Dump'!$A:$A,'SKU Repoprt'!R$1)</f>
        <v>75</v>
      </c>
      <c r="S471" s="3">
        <f>SUMIFS('Business - Dump'!$K:$K,'Business - Dump'!$D:$D,'SKU Repoprt'!$D471,'Business - Dump'!$A:$A,'SKU Repoprt'!S$1)</f>
        <v>211</v>
      </c>
      <c r="T471" s="3">
        <f>SUMIFS('Business - Dump'!$K:$K,'Business - Dump'!$D:$D,'SKU Repoprt'!$D471,'Business - Dump'!$A:$A,'SKU Repoprt'!T$1)</f>
        <v>642</v>
      </c>
      <c r="U471" s="3">
        <f>SUMIFS('Business - Dump'!$K:$K,'Business - Dump'!$D:$D,'SKU Repoprt'!$D471,'Business - Dump'!$A:$A,'SKU Repoprt'!U$1)</f>
        <v>565</v>
      </c>
      <c r="V471" s="3">
        <f>SUMIFS('Business - Dump'!$K:$K,'Business - Dump'!$D:$D,'SKU Repoprt'!$D471,'Business - Dump'!$A:$A,'SKU Repoprt'!V$1)</f>
        <v>231</v>
      </c>
      <c r="W471" s="3">
        <f>SUMIFS('Business - Dump'!$K:$K,'Business - Dump'!$D:$D,'SKU Repoprt'!$D471,'Business - Dump'!$A:$A,'SKU Repoprt'!W$1)</f>
        <v>261</v>
      </c>
    </row>
    <row r="472" ht="15.75" customHeight="1">
      <c r="A472" s="10" t="s">
        <v>232</v>
      </c>
      <c r="B472" s="10" t="s">
        <v>232</v>
      </c>
      <c r="C472" s="10"/>
      <c r="D472" s="10" t="s">
        <v>416</v>
      </c>
      <c r="E472" s="10" t="s">
        <v>264</v>
      </c>
      <c r="F472" s="3">
        <f t="shared" si="157"/>
        <v>8</v>
      </c>
      <c r="G472" s="3">
        <f>SUMIFS('Business - Dump'!$Q:$Q,'Business - Dump'!$D:$D,'SKU Repoprt'!$D472,'Business - Dump'!$A:$A,'SKU Repoprt'!G$1)</f>
        <v>0</v>
      </c>
      <c r="H472" s="3">
        <f>SUMIFS('Business - Dump'!$Q:$Q,'Business - Dump'!$D:$D,'SKU Repoprt'!$D472,'Business - Dump'!$A:$A,'SKU Repoprt'!H$1)</f>
        <v>0</v>
      </c>
      <c r="I472" s="3">
        <f>SUMIFS('Business - Dump'!$Q:$Q,'Business - Dump'!$D:$D,'SKU Repoprt'!$D472,'Business - Dump'!$A:$A,'SKU Repoprt'!I$1)</f>
        <v>0</v>
      </c>
      <c r="J472" s="3">
        <f>SUMIFS('Business - Dump'!$Q:$Q,'Business - Dump'!$D:$D,'SKU Repoprt'!$D472,'Business - Dump'!$A:$A,'SKU Repoprt'!J$1)</f>
        <v>0</v>
      </c>
      <c r="K472" s="3">
        <f>SUMIFS('Business - Dump'!$Q:$Q,'Business - Dump'!$D:$D,'SKU Repoprt'!$D472,'Business - Dump'!$A:$A,'SKU Repoprt'!K$1)</f>
        <v>0</v>
      </c>
      <c r="L472" s="3">
        <f>SUMIFS('Business - Dump'!$Q:$Q,'Business - Dump'!$D:$D,'SKU Repoprt'!$D472,'Business - Dump'!$A:$A,'SKU Repoprt'!L$1)</f>
        <v>0</v>
      </c>
      <c r="M472" s="3">
        <f>SUMIFS('Business - Dump'!$Q:$Q,'Business - Dump'!$D:$D,'SKU Repoprt'!$D472,'Business - Dump'!$A:$A,'SKU Repoprt'!M$1)</f>
        <v>1</v>
      </c>
      <c r="N472" s="3">
        <f>SUMIFS('Business - Dump'!$Q:$Q,'Business - Dump'!$D:$D,'SKU Repoprt'!$D472,'Business - Dump'!$A:$A,'SKU Repoprt'!N$1)</f>
        <v>2</v>
      </c>
      <c r="O472" s="3">
        <f>SUMIFS('Business - Dump'!$Q:$Q,'Business - Dump'!$D:$D,'SKU Repoprt'!$D472,'Business - Dump'!$A:$A,'SKU Repoprt'!O$1)</f>
        <v>1</v>
      </c>
      <c r="P472" s="3">
        <f>SUMIFS('Business - Dump'!$Q:$Q,'Business - Dump'!$D:$D,'SKU Repoprt'!$D472,'Business - Dump'!$A:$A,'SKU Repoprt'!P$1)</f>
        <v>0</v>
      </c>
      <c r="Q472" s="3">
        <f>SUMIFS('Business - Dump'!$Q:$Q,'Business - Dump'!$D:$D,'SKU Repoprt'!$D472,'Business - Dump'!$A:$A,'SKU Repoprt'!Q$1)</f>
        <v>0</v>
      </c>
      <c r="R472" s="3">
        <f>SUMIFS('Business - Dump'!$Q:$Q,'Business - Dump'!$D:$D,'SKU Repoprt'!$D472,'Business - Dump'!$A:$A,'SKU Repoprt'!R$1)</f>
        <v>0</v>
      </c>
      <c r="S472" s="3">
        <f>SUMIFS('Business - Dump'!$Q:$Q,'Business - Dump'!$D:$D,'SKU Repoprt'!$D472,'Business - Dump'!$A:$A,'SKU Repoprt'!S$1)</f>
        <v>4</v>
      </c>
      <c r="T472" s="3">
        <f>SUMIFS('Business - Dump'!$Q:$Q,'Business - Dump'!$D:$D,'SKU Repoprt'!$D472,'Business - Dump'!$A:$A,'SKU Repoprt'!T$1)</f>
        <v>1</v>
      </c>
      <c r="U472" s="3">
        <f>SUMIFS('Business - Dump'!$Q:$Q,'Business - Dump'!$D:$D,'SKU Repoprt'!$D472,'Business - Dump'!$A:$A,'SKU Repoprt'!U$1)</f>
        <v>2</v>
      </c>
      <c r="V472" s="3">
        <f>SUMIFS('Business - Dump'!$Q:$Q,'Business - Dump'!$D:$D,'SKU Repoprt'!$D472,'Business - Dump'!$A:$A,'SKU Repoprt'!V$1)</f>
        <v>2</v>
      </c>
      <c r="W472" s="3">
        <f>SUMIFS('Business - Dump'!$Q:$Q,'Business - Dump'!$D:$D,'SKU Repoprt'!$D472,'Business - Dump'!$A:$A,'SKU Repoprt'!W$1)</f>
        <v>0</v>
      </c>
    </row>
    <row r="473" ht="15.75" customHeight="1">
      <c r="A473" s="10" t="s">
        <v>232</v>
      </c>
      <c r="B473" s="10" t="s">
        <v>232</v>
      </c>
      <c r="C473" s="10"/>
      <c r="D473" s="10" t="s">
        <v>416</v>
      </c>
      <c r="E473" s="10" t="s">
        <v>268</v>
      </c>
      <c r="F473" s="3">
        <f t="shared" si="157"/>
        <v>8</v>
      </c>
      <c r="G473" s="3">
        <f>SUMIFS('Business - Dump'!$W:$W,'Business - Dump'!$D:$D,'SKU Repoprt'!$D473,'Business - Dump'!$A:$A,'SKU Repoprt'!G$1)</f>
        <v>0</v>
      </c>
      <c r="H473" s="3">
        <f>SUMIFS('Business - Dump'!$W:$W,'Business - Dump'!$D:$D,'SKU Repoprt'!$D473,'Business - Dump'!$A:$A,'SKU Repoprt'!H$1)</f>
        <v>0</v>
      </c>
      <c r="I473" s="3">
        <f>SUMIFS('Business - Dump'!$W:$W,'Business - Dump'!$D:$D,'SKU Repoprt'!$D473,'Business - Dump'!$A:$A,'SKU Repoprt'!I$1)</f>
        <v>0</v>
      </c>
      <c r="J473" s="3">
        <f>SUMIFS('Business - Dump'!$W:$W,'Business - Dump'!$D:$D,'SKU Repoprt'!$D473,'Business - Dump'!$A:$A,'SKU Repoprt'!J$1)</f>
        <v>0</v>
      </c>
      <c r="K473" s="3">
        <f>SUMIFS('Business - Dump'!$W:$W,'Business - Dump'!$D:$D,'SKU Repoprt'!$D473,'Business - Dump'!$A:$A,'SKU Repoprt'!K$1)</f>
        <v>0</v>
      </c>
      <c r="L473" s="3">
        <f>SUMIFS('Business - Dump'!$W:$W,'Business - Dump'!$D:$D,'SKU Repoprt'!$D473,'Business - Dump'!$A:$A,'SKU Repoprt'!L$1)</f>
        <v>0</v>
      </c>
      <c r="M473" s="3">
        <f>SUMIFS('Business - Dump'!$W:$W,'Business - Dump'!$D:$D,'SKU Repoprt'!$D473,'Business - Dump'!$A:$A,'SKU Repoprt'!M$1)</f>
        <v>1</v>
      </c>
      <c r="N473" s="3">
        <f>SUMIFS('Business - Dump'!$W:$W,'Business - Dump'!$D:$D,'SKU Repoprt'!$D473,'Business - Dump'!$A:$A,'SKU Repoprt'!N$1)</f>
        <v>2</v>
      </c>
      <c r="O473" s="3">
        <f>SUMIFS('Business - Dump'!$W:$W,'Business - Dump'!$D:$D,'SKU Repoprt'!$D473,'Business - Dump'!$A:$A,'SKU Repoprt'!O$1)</f>
        <v>1</v>
      </c>
      <c r="P473" s="3">
        <f>SUMIFS('Business - Dump'!$W:$W,'Business - Dump'!$D:$D,'SKU Repoprt'!$D473,'Business - Dump'!$A:$A,'SKU Repoprt'!P$1)</f>
        <v>0</v>
      </c>
      <c r="Q473" s="3">
        <f>SUMIFS('Business - Dump'!$W:$W,'Business - Dump'!$D:$D,'SKU Repoprt'!$D473,'Business - Dump'!$A:$A,'SKU Repoprt'!Q$1)</f>
        <v>0</v>
      </c>
      <c r="R473" s="3">
        <f>SUMIFS('Business - Dump'!$W:$W,'Business - Dump'!$D:$D,'SKU Repoprt'!$D473,'Business - Dump'!$A:$A,'SKU Repoprt'!R$1)</f>
        <v>0</v>
      </c>
      <c r="S473" s="3">
        <f>SUMIFS('Business - Dump'!$W:$W,'Business - Dump'!$D:$D,'SKU Repoprt'!$D473,'Business - Dump'!$A:$A,'SKU Repoprt'!S$1)</f>
        <v>4</v>
      </c>
      <c r="T473" s="3">
        <f>SUMIFS('Business - Dump'!$W:$W,'Business - Dump'!$D:$D,'SKU Repoprt'!$D473,'Business - Dump'!$A:$A,'SKU Repoprt'!T$1)</f>
        <v>1</v>
      </c>
      <c r="U473" s="3">
        <f>SUMIFS('Business - Dump'!$W:$W,'Business - Dump'!$D:$D,'SKU Repoprt'!$D473,'Business - Dump'!$A:$A,'SKU Repoprt'!U$1)</f>
        <v>2</v>
      </c>
      <c r="V473" s="3">
        <f>SUMIFS('Business - Dump'!$W:$W,'Business - Dump'!$D:$D,'SKU Repoprt'!$D473,'Business - Dump'!$A:$A,'SKU Repoprt'!V$1)</f>
        <v>2</v>
      </c>
      <c r="W473" s="3">
        <f>SUMIFS('Business - Dump'!$W:$W,'Business - Dump'!$D:$D,'SKU Repoprt'!$D473,'Business - Dump'!$A:$A,'SKU Repoprt'!W$1)</f>
        <v>0</v>
      </c>
    </row>
    <row r="474" ht="15.75" customHeight="1">
      <c r="A474" s="10" t="s">
        <v>232</v>
      </c>
      <c r="B474" s="10" t="s">
        <v>232</v>
      </c>
      <c r="C474" s="10"/>
      <c r="D474" s="10" t="s">
        <v>416</v>
      </c>
      <c r="E474" s="10" t="s">
        <v>26</v>
      </c>
      <c r="F474" s="16">
        <f t="shared" si="157"/>
        <v>158315.8</v>
      </c>
      <c r="G474" s="16">
        <f>SUMIFS('Business - Dump'!$U:$U,'Business - Dump'!$D:$D,'SKU Repoprt'!$D474,'Business - Dump'!$A:$A,'SKU Repoprt'!G$1)</f>
        <v>0</v>
      </c>
      <c r="H474" s="16">
        <f>SUMIFS('Business - Dump'!$U:$U,'Business - Dump'!$D:$D,'SKU Repoprt'!$D474,'Business - Dump'!$A:$A,'SKU Repoprt'!H$1)</f>
        <v>0</v>
      </c>
      <c r="I474" s="16">
        <f>SUMIFS('Business - Dump'!$U:$U,'Business - Dump'!$D:$D,'SKU Repoprt'!$D474,'Business - Dump'!$A:$A,'SKU Repoprt'!I$1)</f>
        <v>0</v>
      </c>
      <c r="J474" s="16">
        <f>SUMIFS('Business - Dump'!$U:$U,'Business - Dump'!$D:$D,'SKU Repoprt'!$D474,'Business - Dump'!$A:$A,'SKU Repoprt'!J$1)</f>
        <v>0</v>
      </c>
      <c r="K474" s="16">
        <f>SUMIFS('Business - Dump'!$U:$U,'Business - Dump'!$D:$D,'SKU Repoprt'!$D474,'Business - Dump'!$A:$A,'SKU Repoprt'!K$1)</f>
        <v>0</v>
      </c>
      <c r="L474" s="16">
        <f>SUMIFS('Business - Dump'!$U:$U,'Business - Dump'!$D:$D,'SKU Repoprt'!$D474,'Business - Dump'!$A:$A,'SKU Repoprt'!L$1)</f>
        <v>0</v>
      </c>
      <c r="M474" s="16">
        <f>SUMIFS('Business - Dump'!$U:$U,'Business - Dump'!$D:$D,'SKU Repoprt'!$D474,'Business - Dump'!$A:$A,'SKU Repoprt'!M$1)</f>
        <v>19999</v>
      </c>
      <c r="N474" s="16">
        <f>SUMIFS('Business - Dump'!$U:$U,'Business - Dump'!$D:$D,'SKU Repoprt'!$D474,'Business - Dump'!$A:$A,'SKU Repoprt'!N$1)</f>
        <v>42707.48</v>
      </c>
      <c r="O474" s="16">
        <f>SUMIFS('Business - Dump'!$U:$U,'Business - Dump'!$D:$D,'SKU Repoprt'!$D474,'Business - Dump'!$A:$A,'SKU Repoprt'!O$1)</f>
        <v>20230</v>
      </c>
      <c r="P474" s="16">
        <f>SUMIFS('Business - Dump'!$U:$U,'Business - Dump'!$D:$D,'SKU Repoprt'!$D474,'Business - Dump'!$A:$A,'SKU Repoprt'!P$1)</f>
        <v>0</v>
      </c>
      <c r="Q474" s="16">
        <f>SUMIFS('Business - Dump'!$U:$U,'Business - Dump'!$D:$D,'SKU Repoprt'!$D474,'Business - Dump'!$A:$A,'SKU Repoprt'!Q$1)</f>
        <v>0</v>
      </c>
      <c r="R474" s="16">
        <f>SUMIFS('Business - Dump'!$U:$U,'Business - Dump'!$D:$D,'SKU Repoprt'!$D474,'Business - Dump'!$A:$A,'SKU Repoprt'!R$1)</f>
        <v>0</v>
      </c>
      <c r="S474" s="16">
        <f>SUMIFS('Business - Dump'!$U:$U,'Business - Dump'!$D:$D,'SKU Repoprt'!$D474,'Business - Dump'!$A:$A,'SKU Repoprt'!S$1)</f>
        <v>75379.32</v>
      </c>
      <c r="T474" s="16">
        <f>SUMIFS('Business - Dump'!$U:$U,'Business - Dump'!$D:$D,'SKU Repoprt'!$D474,'Business - Dump'!$A:$A,'SKU Repoprt'!T$1)</f>
        <v>18870</v>
      </c>
      <c r="U474" s="16">
        <f>SUMIFS('Business - Dump'!$U:$U,'Business - Dump'!$D:$D,'SKU Repoprt'!$D474,'Business - Dump'!$A:$A,'SKU Repoprt'!U$1)</f>
        <v>39092.44</v>
      </c>
      <c r="V474" s="16">
        <f>SUMIFS('Business - Dump'!$U:$U,'Business - Dump'!$D:$D,'SKU Repoprt'!$D474,'Business - Dump'!$A:$A,'SKU Repoprt'!V$1)</f>
        <v>43462.88</v>
      </c>
      <c r="W474" s="16">
        <f>SUMIFS('Business - Dump'!$U:$U,'Business - Dump'!$D:$D,'SKU Repoprt'!$D474,'Business - Dump'!$A:$A,'SKU Repoprt'!W$1)</f>
        <v>0</v>
      </c>
    </row>
    <row r="475" ht="15.75" customHeight="1">
      <c r="A475" s="10" t="s">
        <v>232</v>
      </c>
      <c r="B475" s="10" t="s">
        <v>232</v>
      </c>
      <c r="C475" s="10"/>
      <c r="D475" s="10" t="s">
        <v>416</v>
      </c>
      <c r="E475" s="10" t="s">
        <v>29</v>
      </c>
      <c r="F475" s="17">
        <v>0.027042857142857143</v>
      </c>
      <c r="G475" s="17">
        <f t="shared" ref="G475:W475" si="158">IFERROR(G473/G470,0)</f>
        <v>0</v>
      </c>
      <c r="H475" s="17">
        <f t="shared" si="158"/>
        <v>0</v>
      </c>
      <c r="I475" s="17">
        <f t="shared" si="158"/>
        <v>0</v>
      </c>
      <c r="J475" s="17">
        <f t="shared" si="158"/>
        <v>0</v>
      </c>
      <c r="K475" s="17">
        <f t="shared" si="158"/>
        <v>0</v>
      </c>
      <c r="L475" s="17">
        <f t="shared" si="158"/>
        <v>0</v>
      </c>
      <c r="M475" s="17">
        <f t="shared" si="158"/>
        <v>0.03225806452</v>
      </c>
      <c r="N475" s="17">
        <f t="shared" si="158"/>
        <v>0.007407407407</v>
      </c>
      <c r="O475" s="17">
        <f t="shared" si="158"/>
        <v>0.006802721088</v>
      </c>
      <c r="P475" s="17">
        <f t="shared" si="158"/>
        <v>0</v>
      </c>
      <c r="Q475" s="17">
        <f t="shared" si="158"/>
        <v>0</v>
      </c>
      <c r="R475" s="17">
        <f t="shared" si="158"/>
        <v>0</v>
      </c>
      <c r="S475" s="17">
        <f t="shared" si="158"/>
        <v>0.02666666667</v>
      </c>
      <c r="T475" s="17">
        <f t="shared" si="158"/>
        <v>0.002132196162</v>
      </c>
      <c r="U475" s="17">
        <f t="shared" si="158"/>
        <v>0.005128205128</v>
      </c>
      <c r="V475" s="17">
        <f t="shared" si="158"/>
        <v>0.01104972376</v>
      </c>
      <c r="W475" s="17">
        <f t="shared" si="158"/>
        <v>0</v>
      </c>
    </row>
    <row r="476" ht="15.75" customHeight="1">
      <c r="A476" s="10" t="s">
        <v>232</v>
      </c>
      <c r="B476" s="10" t="s">
        <v>232</v>
      </c>
      <c r="C476" s="10"/>
      <c r="D476" s="10" t="s">
        <v>418</v>
      </c>
      <c r="E476" s="10" t="s">
        <v>257</v>
      </c>
      <c r="F476" s="3">
        <f t="shared" ref="F476:F480" si="159">SUM(G476:S476)</f>
        <v>1395</v>
      </c>
      <c r="G476" s="3">
        <f>SUMIFS('Business - Dump'!$G:$G,'Business - Dump'!$D:$D,'SKU Repoprt'!$D476,'Business - Dump'!$A:$A,'SKU Repoprt'!G$1)</f>
        <v>0</v>
      </c>
      <c r="H476" s="3">
        <f>SUMIFS('Business - Dump'!$G:$G,'Business - Dump'!$D:$D,'SKU Repoprt'!$D476,'Business - Dump'!$A:$A,'SKU Repoprt'!H$1)</f>
        <v>0</v>
      </c>
      <c r="I476" s="3">
        <f>SUMIFS('Business - Dump'!$G:$G,'Business - Dump'!$D:$D,'SKU Repoprt'!$D476,'Business - Dump'!$A:$A,'SKU Repoprt'!I$1)</f>
        <v>0</v>
      </c>
      <c r="J476" s="3">
        <f>SUMIFS('Business - Dump'!$G:$G,'Business - Dump'!$D:$D,'SKU Repoprt'!$D476,'Business - Dump'!$A:$A,'SKU Repoprt'!J$1)</f>
        <v>0</v>
      </c>
      <c r="K476" s="3">
        <f>SUMIFS('Business - Dump'!$G:$G,'Business - Dump'!$D:$D,'SKU Repoprt'!$D476,'Business - Dump'!$A:$A,'SKU Repoprt'!K$1)</f>
        <v>0</v>
      </c>
      <c r="L476" s="3">
        <f>SUMIFS('Business - Dump'!$G:$G,'Business - Dump'!$D:$D,'SKU Repoprt'!$D476,'Business - Dump'!$A:$A,'SKU Repoprt'!L$1)</f>
        <v>0</v>
      </c>
      <c r="M476" s="3">
        <f>SUMIFS('Business - Dump'!$G:$G,'Business - Dump'!$D:$D,'SKU Repoprt'!$D476,'Business - Dump'!$A:$A,'SKU Repoprt'!M$1)</f>
        <v>139</v>
      </c>
      <c r="N476" s="3">
        <f>SUMIFS('Business - Dump'!$G:$G,'Business - Dump'!$D:$D,'SKU Repoprt'!$D476,'Business - Dump'!$A:$A,'SKU Repoprt'!N$1)</f>
        <v>395</v>
      </c>
      <c r="O476" s="3">
        <f>SUMIFS('Business - Dump'!$G:$G,'Business - Dump'!$D:$D,'SKU Repoprt'!$D476,'Business - Dump'!$A:$A,'SKU Repoprt'!O$1)</f>
        <v>381</v>
      </c>
      <c r="P476" s="3">
        <f>SUMIFS('Business - Dump'!$G:$G,'Business - Dump'!$D:$D,'SKU Repoprt'!$D476,'Business - Dump'!$A:$A,'SKU Repoprt'!P$1)</f>
        <v>1</v>
      </c>
      <c r="Q476" s="3">
        <f>SUMIFS('Business - Dump'!$G:$G,'Business - Dump'!$D:$D,'SKU Repoprt'!$D476,'Business - Dump'!$A:$A,'SKU Repoprt'!Q$1)</f>
        <v>12</v>
      </c>
      <c r="R476" s="3">
        <f>SUMIFS('Business - Dump'!$G:$G,'Business - Dump'!$D:$D,'SKU Repoprt'!$D476,'Business - Dump'!$A:$A,'SKU Repoprt'!R$1)</f>
        <v>173</v>
      </c>
      <c r="S476" s="3">
        <f>SUMIFS('Business - Dump'!$G:$G,'Business - Dump'!$D:$D,'SKU Repoprt'!$D476,'Business - Dump'!$A:$A,'SKU Repoprt'!S$1)</f>
        <v>294</v>
      </c>
      <c r="T476" s="3">
        <f>SUMIFS('Business - Dump'!$G:$G,'Business - Dump'!$D:$D,'SKU Repoprt'!$D476,'Business - Dump'!$A:$A,'SKU Repoprt'!T$1)</f>
        <v>242</v>
      </c>
      <c r="U476" s="3">
        <f>SUMIFS('Business - Dump'!$G:$G,'Business - Dump'!$D:$D,'SKU Repoprt'!$D476,'Business - Dump'!$A:$A,'SKU Repoprt'!U$1)</f>
        <v>121</v>
      </c>
      <c r="V476" s="3">
        <f>SUMIFS('Business - Dump'!$G:$G,'Business - Dump'!$D:$D,'SKU Repoprt'!$D476,'Business - Dump'!$A:$A,'SKU Repoprt'!V$1)</f>
        <v>66</v>
      </c>
      <c r="W476" s="3">
        <f>SUMIFS('Business - Dump'!$G:$G,'Business - Dump'!$D:$D,'SKU Repoprt'!$D476,'Business - Dump'!$A:$A,'SKU Repoprt'!W$1)</f>
        <v>85</v>
      </c>
    </row>
    <row r="477" ht="15.75" customHeight="1">
      <c r="A477" s="10" t="s">
        <v>232</v>
      </c>
      <c r="B477" s="10" t="s">
        <v>232</v>
      </c>
      <c r="C477" s="10"/>
      <c r="D477" s="10" t="s">
        <v>418</v>
      </c>
      <c r="E477" s="10" t="s">
        <v>260</v>
      </c>
      <c r="F477" s="3">
        <f t="shared" si="159"/>
        <v>1907</v>
      </c>
      <c r="G477" s="3">
        <f>SUMIFS('Business - Dump'!$K:$K,'Business - Dump'!$D:$D,'SKU Repoprt'!$D477,'Business - Dump'!$A:$A,'SKU Repoprt'!G$1)</f>
        <v>0</v>
      </c>
      <c r="H477" s="3">
        <f>SUMIFS('Business - Dump'!$K:$K,'Business - Dump'!$D:$D,'SKU Repoprt'!$D477,'Business - Dump'!$A:$A,'SKU Repoprt'!H$1)</f>
        <v>0</v>
      </c>
      <c r="I477" s="3">
        <f>SUMIFS('Business - Dump'!$K:$K,'Business - Dump'!$D:$D,'SKU Repoprt'!$D477,'Business - Dump'!$A:$A,'SKU Repoprt'!I$1)</f>
        <v>0</v>
      </c>
      <c r="J477" s="3">
        <f>SUMIFS('Business - Dump'!$K:$K,'Business - Dump'!$D:$D,'SKU Repoprt'!$D477,'Business - Dump'!$A:$A,'SKU Repoprt'!J$1)</f>
        <v>0</v>
      </c>
      <c r="K477" s="3">
        <f>SUMIFS('Business - Dump'!$K:$K,'Business - Dump'!$D:$D,'SKU Repoprt'!$D477,'Business - Dump'!$A:$A,'SKU Repoprt'!K$1)</f>
        <v>0</v>
      </c>
      <c r="L477" s="3">
        <f>SUMIFS('Business - Dump'!$K:$K,'Business - Dump'!$D:$D,'SKU Repoprt'!$D477,'Business - Dump'!$A:$A,'SKU Repoprt'!L$1)</f>
        <v>0</v>
      </c>
      <c r="M477" s="3">
        <f>SUMIFS('Business - Dump'!$K:$K,'Business - Dump'!$D:$D,'SKU Repoprt'!$D477,'Business - Dump'!$A:$A,'SKU Repoprt'!M$1)</f>
        <v>237</v>
      </c>
      <c r="N477" s="3">
        <f>SUMIFS('Business - Dump'!$K:$K,'Business - Dump'!$D:$D,'SKU Repoprt'!$D477,'Business - Dump'!$A:$A,'SKU Repoprt'!N$1)</f>
        <v>498</v>
      </c>
      <c r="O477" s="3">
        <f>SUMIFS('Business - Dump'!$K:$K,'Business - Dump'!$D:$D,'SKU Repoprt'!$D477,'Business - Dump'!$A:$A,'SKU Repoprt'!O$1)</f>
        <v>505</v>
      </c>
      <c r="P477" s="3">
        <f>SUMIFS('Business - Dump'!$K:$K,'Business - Dump'!$D:$D,'SKU Repoprt'!$D477,'Business - Dump'!$A:$A,'SKU Repoprt'!P$1)</f>
        <v>1</v>
      </c>
      <c r="Q477" s="3">
        <f>SUMIFS('Business - Dump'!$K:$K,'Business - Dump'!$D:$D,'SKU Repoprt'!$D477,'Business - Dump'!$A:$A,'SKU Repoprt'!Q$1)</f>
        <v>16</v>
      </c>
      <c r="R477" s="3">
        <f>SUMIFS('Business - Dump'!$K:$K,'Business - Dump'!$D:$D,'SKU Repoprt'!$D477,'Business - Dump'!$A:$A,'SKU Repoprt'!R$1)</f>
        <v>240</v>
      </c>
      <c r="S477" s="3">
        <f>SUMIFS('Business - Dump'!$K:$K,'Business - Dump'!$D:$D,'SKU Repoprt'!$D477,'Business - Dump'!$A:$A,'SKU Repoprt'!S$1)</f>
        <v>410</v>
      </c>
      <c r="T477" s="3">
        <f>SUMIFS('Business - Dump'!$K:$K,'Business - Dump'!$D:$D,'SKU Repoprt'!$D477,'Business - Dump'!$A:$A,'SKU Repoprt'!T$1)</f>
        <v>306</v>
      </c>
      <c r="U477" s="3">
        <f>SUMIFS('Business - Dump'!$K:$K,'Business - Dump'!$D:$D,'SKU Repoprt'!$D477,'Business - Dump'!$A:$A,'SKU Repoprt'!U$1)</f>
        <v>164</v>
      </c>
      <c r="V477" s="3">
        <f>SUMIFS('Business - Dump'!$K:$K,'Business - Dump'!$D:$D,'SKU Repoprt'!$D477,'Business - Dump'!$A:$A,'SKU Repoprt'!V$1)</f>
        <v>120</v>
      </c>
      <c r="W477" s="3">
        <f>SUMIFS('Business - Dump'!$K:$K,'Business - Dump'!$D:$D,'SKU Repoprt'!$D477,'Business - Dump'!$A:$A,'SKU Repoprt'!W$1)</f>
        <v>117</v>
      </c>
    </row>
    <row r="478" ht="15.75" customHeight="1">
      <c r="A478" s="10" t="s">
        <v>232</v>
      </c>
      <c r="B478" s="10" t="s">
        <v>232</v>
      </c>
      <c r="C478" s="10"/>
      <c r="D478" s="10" t="s">
        <v>418</v>
      </c>
      <c r="E478" s="10" t="s">
        <v>264</v>
      </c>
      <c r="F478" s="3">
        <f t="shared" si="159"/>
        <v>5</v>
      </c>
      <c r="G478" s="3">
        <f>SUMIFS('Business - Dump'!$Q:$Q,'Business - Dump'!$D:$D,'SKU Repoprt'!$D478,'Business - Dump'!$A:$A,'SKU Repoprt'!G$1)</f>
        <v>0</v>
      </c>
      <c r="H478" s="3">
        <f>SUMIFS('Business - Dump'!$Q:$Q,'Business - Dump'!$D:$D,'SKU Repoprt'!$D478,'Business - Dump'!$A:$A,'SKU Repoprt'!H$1)</f>
        <v>0</v>
      </c>
      <c r="I478" s="3">
        <f>SUMIFS('Business - Dump'!$Q:$Q,'Business - Dump'!$D:$D,'SKU Repoprt'!$D478,'Business - Dump'!$A:$A,'SKU Repoprt'!I$1)</f>
        <v>0</v>
      </c>
      <c r="J478" s="3">
        <f>SUMIFS('Business - Dump'!$Q:$Q,'Business - Dump'!$D:$D,'SKU Repoprt'!$D478,'Business - Dump'!$A:$A,'SKU Repoprt'!J$1)</f>
        <v>0</v>
      </c>
      <c r="K478" s="3">
        <f>SUMIFS('Business - Dump'!$Q:$Q,'Business - Dump'!$D:$D,'SKU Repoprt'!$D478,'Business - Dump'!$A:$A,'SKU Repoprt'!K$1)</f>
        <v>0</v>
      </c>
      <c r="L478" s="3">
        <f>SUMIFS('Business - Dump'!$Q:$Q,'Business - Dump'!$D:$D,'SKU Repoprt'!$D478,'Business - Dump'!$A:$A,'SKU Repoprt'!L$1)</f>
        <v>0</v>
      </c>
      <c r="M478" s="3">
        <f>SUMIFS('Business - Dump'!$Q:$Q,'Business - Dump'!$D:$D,'SKU Repoprt'!$D478,'Business - Dump'!$A:$A,'SKU Repoprt'!M$1)</f>
        <v>0</v>
      </c>
      <c r="N478" s="3">
        <f>SUMIFS('Business - Dump'!$Q:$Q,'Business - Dump'!$D:$D,'SKU Repoprt'!$D478,'Business - Dump'!$A:$A,'SKU Repoprt'!N$1)</f>
        <v>2</v>
      </c>
      <c r="O478" s="3">
        <f>SUMIFS('Business - Dump'!$Q:$Q,'Business - Dump'!$D:$D,'SKU Repoprt'!$D478,'Business - Dump'!$A:$A,'SKU Repoprt'!O$1)</f>
        <v>2</v>
      </c>
      <c r="P478" s="3">
        <f>SUMIFS('Business - Dump'!$Q:$Q,'Business - Dump'!$D:$D,'SKU Repoprt'!$D478,'Business - Dump'!$A:$A,'SKU Repoprt'!P$1)</f>
        <v>0</v>
      </c>
      <c r="Q478" s="3">
        <f>SUMIFS('Business - Dump'!$Q:$Q,'Business - Dump'!$D:$D,'SKU Repoprt'!$D478,'Business - Dump'!$A:$A,'SKU Repoprt'!Q$1)</f>
        <v>0</v>
      </c>
      <c r="R478" s="3">
        <f>SUMIFS('Business - Dump'!$Q:$Q,'Business - Dump'!$D:$D,'SKU Repoprt'!$D478,'Business - Dump'!$A:$A,'SKU Repoprt'!R$1)</f>
        <v>1</v>
      </c>
      <c r="S478" s="3">
        <f>SUMIFS('Business - Dump'!$Q:$Q,'Business - Dump'!$D:$D,'SKU Repoprt'!$D478,'Business - Dump'!$A:$A,'SKU Repoprt'!S$1)</f>
        <v>0</v>
      </c>
      <c r="T478" s="3">
        <f>SUMIFS('Business - Dump'!$Q:$Q,'Business - Dump'!$D:$D,'SKU Repoprt'!$D478,'Business - Dump'!$A:$A,'SKU Repoprt'!T$1)</f>
        <v>0</v>
      </c>
      <c r="U478" s="3">
        <f>SUMIFS('Business - Dump'!$Q:$Q,'Business - Dump'!$D:$D,'SKU Repoprt'!$D478,'Business - Dump'!$A:$A,'SKU Repoprt'!U$1)</f>
        <v>0</v>
      </c>
      <c r="V478" s="3">
        <f>SUMIFS('Business - Dump'!$Q:$Q,'Business - Dump'!$D:$D,'SKU Repoprt'!$D478,'Business - Dump'!$A:$A,'SKU Repoprt'!V$1)</f>
        <v>0</v>
      </c>
      <c r="W478" s="3">
        <f>SUMIFS('Business - Dump'!$Q:$Q,'Business - Dump'!$D:$D,'SKU Repoprt'!$D478,'Business - Dump'!$A:$A,'SKU Repoprt'!W$1)</f>
        <v>0</v>
      </c>
    </row>
    <row r="479" ht="15.75" customHeight="1">
      <c r="A479" s="10" t="s">
        <v>232</v>
      </c>
      <c r="B479" s="10" t="s">
        <v>232</v>
      </c>
      <c r="C479" s="10"/>
      <c r="D479" s="10" t="s">
        <v>418</v>
      </c>
      <c r="E479" s="10" t="s">
        <v>268</v>
      </c>
      <c r="F479" s="3">
        <f t="shared" si="159"/>
        <v>5</v>
      </c>
      <c r="G479" s="3">
        <f>SUMIFS('Business - Dump'!$W:$W,'Business - Dump'!$D:$D,'SKU Repoprt'!$D479,'Business - Dump'!$A:$A,'SKU Repoprt'!G$1)</f>
        <v>0</v>
      </c>
      <c r="H479" s="3">
        <f>SUMIFS('Business - Dump'!$W:$W,'Business - Dump'!$D:$D,'SKU Repoprt'!$D479,'Business - Dump'!$A:$A,'SKU Repoprt'!H$1)</f>
        <v>0</v>
      </c>
      <c r="I479" s="3">
        <f>SUMIFS('Business - Dump'!$W:$W,'Business - Dump'!$D:$D,'SKU Repoprt'!$D479,'Business - Dump'!$A:$A,'SKU Repoprt'!I$1)</f>
        <v>0</v>
      </c>
      <c r="J479" s="3">
        <f>SUMIFS('Business - Dump'!$W:$W,'Business - Dump'!$D:$D,'SKU Repoprt'!$D479,'Business - Dump'!$A:$A,'SKU Repoprt'!J$1)</f>
        <v>0</v>
      </c>
      <c r="K479" s="3">
        <f>SUMIFS('Business - Dump'!$W:$W,'Business - Dump'!$D:$D,'SKU Repoprt'!$D479,'Business - Dump'!$A:$A,'SKU Repoprt'!K$1)</f>
        <v>0</v>
      </c>
      <c r="L479" s="3">
        <f>SUMIFS('Business - Dump'!$W:$W,'Business - Dump'!$D:$D,'SKU Repoprt'!$D479,'Business - Dump'!$A:$A,'SKU Repoprt'!L$1)</f>
        <v>0</v>
      </c>
      <c r="M479" s="3">
        <f>SUMIFS('Business - Dump'!$W:$W,'Business - Dump'!$D:$D,'SKU Repoprt'!$D479,'Business - Dump'!$A:$A,'SKU Repoprt'!M$1)</f>
        <v>0</v>
      </c>
      <c r="N479" s="3">
        <f>SUMIFS('Business - Dump'!$W:$W,'Business - Dump'!$D:$D,'SKU Repoprt'!$D479,'Business - Dump'!$A:$A,'SKU Repoprt'!N$1)</f>
        <v>2</v>
      </c>
      <c r="O479" s="3">
        <f>SUMIFS('Business - Dump'!$W:$W,'Business - Dump'!$D:$D,'SKU Repoprt'!$D479,'Business - Dump'!$A:$A,'SKU Repoprt'!O$1)</f>
        <v>2</v>
      </c>
      <c r="P479" s="3">
        <f>SUMIFS('Business - Dump'!$W:$W,'Business - Dump'!$D:$D,'SKU Repoprt'!$D479,'Business - Dump'!$A:$A,'SKU Repoprt'!P$1)</f>
        <v>0</v>
      </c>
      <c r="Q479" s="3">
        <f>SUMIFS('Business - Dump'!$W:$W,'Business - Dump'!$D:$D,'SKU Repoprt'!$D479,'Business - Dump'!$A:$A,'SKU Repoprt'!Q$1)</f>
        <v>0</v>
      </c>
      <c r="R479" s="3">
        <f>SUMIFS('Business - Dump'!$W:$W,'Business - Dump'!$D:$D,'SKU Repoprt'!$D479,'Business - Dump'!$A:$A,'SKU Repoprt'!R$1)</f>
        <v>1</v>
      </c>
      <c r="S479" s="3">
        <f>SUMIFS('Business - Dump'!$W:$W,'Business - Dump'!$D:$D,'SKU Repoprt'!$D479,'Business - Dump'!$A:$A,'SKU Repoprt'!S$1)</f>
        <v>0</v>
      </c>
      <c r="T479" s="3">
        <f>SUMIFS('Business - Dump'!$W:$W,'Business - Dump'!$D:$D,'SKU Repoprt'!$D479,'Business - Dump'!$A:$A,'SKU Repoprt'!T$1)</f>
        <v>0</v>
      </c>
      <c r="U479" s="3">
        <f>SUMIFS('Business - Dump'!$W:$W,'Business - Dump'!$D:$D,'SKU Repoprt'!$D479,'Business - Dump'!$A:$A,'SKU Repoprt'!U$1)</f>
        <v>0</v>
      </c>
      <c r="V479" s="3">
        <f>SUMIFS('Business - Dump'!$W:$W,'Business - Dump'!$D:$D,'SKU Repoprt'!$D479,'Business - Dump'!$A:$A,'SKU Repoprt'!V$1)</f>
        <v>0</v>
      </c>
      <c r="W479" s="3">
        <f>SUMIFS('Business - Dump'!$W:$W,'Business - Dump'!$D:$D,'SKU Repoprt'!$D479,'Business - Dump'!$A:$A,'SKU Repoprt'!W$1)</f>
        <v>0</v>
      </c>
    </row>
    <row r="480" ht="15.75" customHeight="1">
      <c r="A480" s="10" t="s">
        <v>232</v>
      </c>
      <c r="B480" s="10" t="s">
        <v>232</v>
      </c>
      <c r="C480" s="10"/>
      <c r="D480" s="10" t="s">
        <v>418</v>
      </c>
      <c r="E480" s="10" t="s">
        <v>26</v>
      </c>
      <c r="F480" s="16">
        <f t="shared" si="159"/>
        <v>85649</v>
      </c>
      <c r="G480" s="16">
        <f>SUMIFS('Business - Dump'!$U:$U,'Business - Dump'!$D:$D,'SKU Repoprt'!$D480,'Business - Dump'!$A:$A,'SKU Repoprt'!G$1)</f>
        <v>0</v>
      </c>
      <c r="H480" s="16">
        <f>SUMIFS('Business - Dump'!$U:$U,'Business - Dump'!$D:$D,'SKU Repoprt'!$D480,'Business - Dump'!$A:$A,'SKU Repoprt'!H$1)</f>
        <v>0</v>
      </c>
      <c r="I480" s="16">
        <f>SUMIFS('Business - Dump'!$U:$U,'Business - Dump'!$D:$D,'SKU Repoprt'!$D480,'Business - Dump'!$A:$A,'SKU Repoprt'!I$1)</f>
        <v>0</v>
      </c>
      <c r="J480" s="16">
        <f>SUMIFS('Business - Dump'!$U:$U,'Business - Dump'!$D:$D,'SKU Repoprt'!$D480,'Business - Dump'!$A:$A,'SKU Repoprt'!J$1)</f>
        <v>0</v>
      </c>
      <c r="K480" s="16">
        <f>SUMIFS('Business - Dump'!$U:$U,'Business - Dump'!$D:$D,'SKU Repoprt'!$D480,'Business - Dump'!$A:$A,'SKU Repoprt'!K$1)</f>
        <v>0</v>
      </c>
      <c r="L480" s="16">
        <f>SUMIFS('Business - Dump'!$U:$U,'Business - Dump'!$D:$D,'SKU Repoprt'!$D480,'Business - Dump'!$A:$A,'SKU Repoprt'!L$1)</f>
        <v>0</v>
      </c>
      <c r="M480" s="16">
        <f>SUMIFS('Business - Dump'!$U:$U,'Business - Dump'!$D:$D,'SKU Repoprt'!$D480,'Business - Dump'!$A:$A,'SKU Repoprt'!M$1)</f>
        <v>0</v>
      </c>
      <c r="N480" s="16">
        <f>SUMIFS('Business - Dump'!$U:$U,'Business - Dump'!$D:$D,'SKU Repoprt'!$D480,'Business - Dump'!$A:$A,'SKU Repoprt'!N$1)</f>
        <v>34899</v>
      </c>
      <c r="O480" s="16">
        <f>SUMIFS('Business - Dump'!$U:$U,'Business - Dump'!$D:$D,'SKU Repoprt'!$D480,'Business - Dump'!$A:$A,'SKU Repoprt'!O$1)</f>
        <v>31980</v>
      </c>
      <c r="P480" s="16">
        <f>SUMIFS('Business - Dump'!$U:$U,'Business - Dump'!$D:$D,'SKU Repoprt'!$D480,'Business - Dump'!$A:$A,'SKU Repoprt'!P$1)</f>
        <v>0</v>
      </c>
      <c r="Q480" s="16">
        <f>SUMIFS('Business - Dump'!$U:$U,'Business - Dump'!$D:$D,'SKU Repoprt'!$D480,'Business - Dump'!$A:$A,'SKU Repoprt'!Q$1)</f>
        <v>0</v>
      </c>
      <c r="R480" s="16">
        <f>SUMIFS('Business - Dump'!$U:$U,'Business - Dump'!$D:$D,'SKU Repoprt'!$D480,'Business - Dump'!$A:$A,'SKU Repoprt'!R$1)</f>
        <v>18770</v>
      </c>
      <c r="S480" s="16">
        <f>SUMIFS('Business - Dump'!$U:$U,'Business - Dump'!$D:$D,'SKU Repoprt'!$D480,'Business - Dump'!$A:$A,'SKU Repoprt'!S$1)</f>
        <v>0</v>
      </c>
      <c r="T480" s="16">
        <f>SUMIFS('Business - Dump'!$U:$U,'Business - Dump'!$D:$D,'SKU Repoprt'!$D480,'Business - Dump'!$A:$A,'SKU Repoprt'!T$1)</f>
        <v>0</v>
      </c>
      <c r="U480" s="16">
        <f>SUMIFS('Business - Dump'!$U:$U,'Business - Dump'!$D:$D,'SKU Repoprt'!$D480,'Business - Dump'!$A:$A,'SKU Repoprt'!U$1)</f>
        <v>0</v>
      </c>
      <c r="V480" s="16">
        <f>SUMIFS('Business - Dump'!$U:$U,'Business - Dump'!$D:$D,'SKU Repoprt'!$D480,'Business - Dump'!$A:$A,'SKU Repoprt'!V$1)</f>
        <v>0</v>
      </c>
      <c r="W480" s="16">
        <f>SUMIFS('Business - Dump'!$U:$U,'Business - Dump'!$D:$D,'SKU Repoprt'!$D480,'Business - Dump'!$A:$A,'SKU Repoprt'!W$1)</f>
        <v>0</v>
      </c>
    </row>
    <row r="481" ht="15.75" customHeight="1">
      <c r="A481" s="10" t="s">
        <v>232</v>
      </c>
      <c r="B481" s="10" t="s">
        <v>232</v>
      </c>
      <c r="C481" s="10"/>
      <c r="D481" s="10" t="s">
        <v>418</v>
      </c>
      <c r="E481" s="10" t="s">
        <v>29</v>
      </c>
      <c r="F481" s="17">
        <v>0.027042857142857143</v>
      </c>
      <c r="G481" s="17">
        <f t="shared" ref="G481:W481" si="160">IFERROR(G479/G476,0)</f>
        <v>0</v>
      </c>
      <c r="H481" s="17">
        <f t="shared" si="160"/>
        <v>0</v>
      </c>
      <c r="I481" s="17">
        <f t="shared" si="160"/>
        <v>0</v>
      </c>
      <c r="J481" s="17">
        <f t="shared" si="160"/>
        <v>0</v>
      </c>
      <c r="K481" s="17">
        <f t="shared" si="160"/>
        <v>0</v>
      </c>
      <c r="L481" s="17">
        <f t="shared" si="160"/>
        <v>0</v>
      </c>
      <c r="M481" s="17">
        <f t="shared" si="160"/>
        <v>0</v>
      </c>
      <c r="N481" s="17">
        <f t="shared" si="160"/>
        <v>0.005063291139</v>
      </c>
      <c r="O481" s="17">
        <f t="shared" si="160"/>
        <v>0.005249343832</v>
      </c>
      <c r="P481" s="17">
        <f t="shared" si="160"/>
        <v>0</v>
      </c>
      <c r="Q481" s="17">
        <f t="shared" si="160"/>
        <v>0</v>
      </c>
      <c r="R481" s="17">
        <f t="shared" si="160"/>
        <v>0.005780346821</v>
      </c>
      <c r="S481" s="17">
        <f t="shared" si="160"/>
        <v>0</v>
      </c>
      <c r="T481" s="17">
        <f t="shared" si="160"/>
        <v>0</v>
      </c>
      <c r="U481" s="17">
        <f t="shared" si="160"/>
        <v>0</v>
      </c>
      <c r="V481" s="17">
        <f t="shared" si="160"/>
        <v>0</v>
      </c>
      <c r="W481" s="17">
        <f t="shared" si="160"/>
        <v>0</v>
      </c>
    </row>
    <row r="482" ht="15.75" customHeight="1">
      <c r="A482" s="10" t="s">
        <v>232</v>
      </c>
      <c r="B482" s="10" t="s">
        <v>232</v>
      </c>
      <c r="C482" s="10"/>
      <c r="D482" s="10" t="s">
        <v>421</v>
      </c>
      <c r="E482" s="10" t="s">
        <v>257</v>
      </c>
      <c r="F482" s="3">
        <f t="shared" ref="F482:F486" si="161">SUM(G482:S482)</f>
        <v>153</v>
      </c>
      <c r="G482" s="3">
        <f>SUMIFS('Business - Dump'!$G:$G,'Business - Dump'!$D:$D,'SKU Repoprt'!$D482,'Business - Dump'!$A:$A,'SKU Repoprt'!G$1)</f>
        <v>0</v>
      </c>
      <c r="H482" s="3">
        <f>SUMIFS('Business - Dump'!$G:$G,'Business - Dump'!$D:$D,'SKU Repoprt'!$D482,'Business - Dump'!$A:$A,'SKU Repoprt'!H$1)</f>
        <v>0</v>
      </c>
      <c r="I482" s="3">
        <f>SUMIFS('Business - Dump'!$G:$G,'Business - Dump'!$D:$D,'SKU Repoprt'!$D482,'Business - Dump'!$A:$A,'SKU Repoprt'!I$1)</f>
        <v>0</v>
      </c>
      <c r="J482" s="3">
        <f>SUMIFS('Business - Dump'!$G:$G,'Business - Dump'!$D:$D,'SKU Repoprt'!$D482,'Business - Dump'!$A:$A,'SKU Repoprt'!J$1)</f>
        <v>0</v>
      </c>
      <c r="K482" s="3">
        <f>SUMIFS('Business - Dump'!$G:$G,'Business - Dump'!$D:$D,'SKU Repoprt'!$D482,'Business - Dump'!$A:$A,'SKU Repoprt'!K$1)</f>
        <v>0</v>
      </c>
      <c r="L482" s="3">
        <f>SUMIFS('Business - Dump'!$G:$G,'Business - Dump'!$D:$D,'SKU Repoprt'!$D482,'Business - Dump'!$A:$A,'SKU Repoprt'!L$1)</f>
        <v>0</v>
      </c>
      <c r="M482" s="3">
        <f>SUMIFS('Business - Dump'!$G:$G,'Business - Dump'!$D:$D,'SKU Repoprt'!$D482,'Business - Dump'!$A:$A,'SKU Repoprt'!M$1)</f>
        <v>0</v>
      </c>
      <c r="N482" s="3">
        <f>SUMIFS('Business - Dump'!$G:$G,'Business - Dump'!$D:$D,'SKU Repoprt'!$D482,'Business - Dump'!$A:$A,'SKU Repoprt'!N$1)</f>
        <v>0</v>
      </c>
      <c r="O482" s="3">
        <f>SUMIFS('Business - Dump'!$G:$G,'Business - Dump'!$D:$D,'SKU Repoprt'!$D482,'Business - Dump'!$A:$A,'SKU Repoprt'!O$1)</f>
        <v>0</v>
      </c>
      <c r="P482" s="3">
        <f>SUMIFS('Business - Dump'!$G:$G,'Business - Dump'!$D:$D,'SKU Repoprt'!$D482,'Business - Dump'!$A:$A,'SKU Repoprt'!P$1)</f>
        <v>0</v>
      </c>
      <c r="Q482" s="3">
        <f>SUMIFS('Business - Dump'!$G:$G,'Business - Dump'!$D:$D,'SKU Repoprt'!$D482,'Business - Dump'!$A:$A,'SKU Repoprt'!Q$1)</f>
        <v>0</v>
      </c>
      <c r="R482" s="3">
        <f>SUMIFS('Business - Dump'!$G:$G,'Business - Dump'!$D:$D,'SKU Repoprt'!$D482,'Business - Dump'!$A:$A,'SKU Repoprt'!R$1)</f>
        <v>76</v>
      </c>
      <c r="S482" s="3">
        <f>SUMIFS('Business - Dump'!$G:$G,'Business - Dump'!$D:$D,'SKU Repoprt'!$D482,'Business - Dump'!$A:$A,'SKU Repoprt'!S$1)</f>
        <v>77</v>
      </c>
      <c r="T482" s="3">
        <f>SUMIFS('Business - Dump'!$G:$G,'Business - Dump'!$D:$D,'SKU Repoprt'!$D482,'Business - Dump'!$A:$A,'SKU Repoprt'!T$1)</f>
        <v>82</v>
      </c>
      <c r="U482" s="3">
        <f>SUMIFS('Business - Dump'!$G:$G,'Business - Dump'!$D:$D,'SKU Repoprt'!$D482,'Business - Dump'!$A:$A,'SKU Repoprt'!U$1)</f>
        <v>65</v>
      </c>
      <c r="V482" s="3">
        <f>SUMIFS('Business - Dump'!$G:$G,'Business - Dump'!$D:$D,'SKU Repoprt'!$D482,'Business - Dump'!$A:$A,'SKU Repoprt'!V$1)</f>
        <v>35</v>
      </c>
      <c r="W482" s="3">
        <f>SUMIFS('Business - Dump'!$G:$G,'Business - Dump'!$D:$D,'SKU Repoprt'!$D482,'Business - Dump'!$A:$A,'SKU Repoprt'!W$1)</f>
        <v>51</v>
      </c>
    </row>
    <row r="483" ht="15.75" customHeight="1">
      <c r="A483" s="10" t="s">
        <v>232</v>
      </c>
      <c r="B483" s="10" t="s">
        <v>232</v>
      </c>
      <c r="C483" s="10"/>
      <c r="D483" s="10" t="s">
        <v>421</v>
      </c>
      <c r="E483" s="10" t="s">
        <v>260</v>
      </c>
      <c r="F483" s="3">
        <f t="shared" si="161"/>
        <v>207</v>
      </c>
      <c r="G483" s="3">
        <f>SUMIFS('Business - Dump'!$K:$K,'Business - Dump'!$D:$D,'SKU Repoprt'!$D483,'Business - Dump'!$A:$A,'SKU Repoprt'!G$1)</f>
        <v>0</v>
      </c>
      <c r="H483" s="3">
        <f>SUMIFS('Business - Dump'!$K:$K,'Business - Dump'!$D:$D,'SKU Repoprt'!$D483,'Business - Dump'!$A:$A,'SKU Repoprt'!H$1)</f>
        <v>0</v>
      </c>
      <c r="I483" s="3">
        <f>SUMIFS('Business - Dump'!$K:$K,'Business - Dump'!$D:$D,'SKU Repoprt'!$D483,'Business - Dump'!$A:$A,'SKU Repoprt'!I$1)</f>
        <v>0</v>
      </c>
      <c r="J483" s="3">
        <f>SUMIFS('Business - Dump'!$K:$K,'Business - Dump'!$D:$D,'SKU Repoprt'!$D483,'Business - Dump'!$A:$A,'SKU Repoprt'!J$1)</f>
        <v>0</v>
      </c>
      <c r="K483" s="3">
        <f>SUMIFS('Business - Dump'!$K:$K,'Business - Dump'!$D:$D,'SKU Repoprt'!$D483,'Business - Dump'!$A:$A,'SKU Repoprt'!K$1)</f>
        <v>0</v>
      </c>
      <c r="L483" s="3">
        <f>SUMIFS('Business - Dump'!$K:$K,'Business - Dump'!$D:$D,'SKU Repoprt'!$D483,'Business - Dump'!$A:$A,'SKU Repoprt'!L$1)</f>
        <v>0</v>
      </c>
      <c r="M483" s="3">
        <f>SUMIFS('Business - Dump'!$K:$K,'Business - Dump'!$D:$D,'SKU Repoprt'!$D483,'Business - Dump'!$A:$A,'SKU Repoprt'!M$1)</f>
        <v>0</v>
      </c>
      <c r="N483" s="3">
        <f>SUMIFS('Business - Dump'!$K:$K,'Business - Dump'!$D:$D,'SKU Repoprt'!$D483,'Business - Dump'!$A:$A,'SKU Repoprt'!N$1)</f>
        <v>0</v>
      </c>
      <c r="O483" s="3">
        <f>SUMIFS('Business - Dump'!$K:$K,'Business - Dump'!$D:$D,'SKU Repoprt'!$D483,'Business - Dump'!$A:$A,'SKU Repoprt'!O$1)</f>
        <v>0</v>
      </c>
      <c r="P483" s="3">
        <f>SUMIFS('Business - Dump'!$K:$K,'Business - Dump'!$D:$D,'SKU Repoprt'!$D483,'Business - Dump'!$A:$A,'SKU Repoprt'!P$1)</f>
        <v>0</v>
      </c>
      <c r="Q483" s="3">
        <f>SUMIFS('Business - Dump'!$K:$K,'Business - Dump'!$D:$D,'SKU Repoprt'!$D483,'Business - Dump'!$A:$A,'SKU Repoprt'!Q$1)</f>
        <v>0</v>
      </c>
      <c r="R483" s="3">
        <f>SUMIFS('Business - Dump'!$K:$K,'Business - Dump'!$D:$D,'SKU Repoprt'!$D483,'Business - Dump'!$A:$A,'SKU Repoprt'!R$1)</f>
        <v>104</v>
      </c>
      <c r="S483" s="3">
        <f>SUMIFS('Business - Dump'!$K:$K,'Business - Dump'!$D:$D,'SKU Repoprt'!$D483,'Business - Dump'!$A:$A,'SKU Repoprt'!S$1)</f>
        <v>103</v>
      </c>
      <c r="T483" s="3">
        <f>SUMIFS('Business - Dump'!$K:$K,'Business - Dump'!$D:$D,'SKU Repoprt'!$D483,'Business - Dump'!$A:$A,'SKU Repoprt'!T$1)</f>
        <v>101</v>
      </c>
      <c r="U483" s="3">
        <f>SUMIFS('Business - Dump'!$K:$K,'Business - Dump'!$D:$D,'SKU Repoprt'!$D483,'Business - Dump'!$A:$A,'SKU Repoprt'!U$1)</f>
        <v>93</v>
      </c>
      <c r="V483" s="3">
        <f>SUMIFS('Business - Dump'!$K:$K,'Business - Dump'!$D:$D,'SKU Repoprt'!$D483,'Business - Dump'!$A:$A,'SKU Repoprt'!V$1)</f>
        <v>64</v>
      </c>
      <c r="W483" s="3">
        <f>SUMIFS('Business - Dump'!$K:$K,'Business - Dump'!$D:$D,'SKU Repoprt'!$D483,'Business - Dump'!$A:$A,'SKU Repoprt'!W$1)</f>
        <v>56</v>
      </c>
    </row>
    <row r="484" ht="15.75" customHeight="1">
      <c r="A484" s="10" t="s">
        <v>232</v>
      </c>
      <c r="B484" s="10" t="s">
        <v>232</v>
      </c>
      <c r="C484" s="10"/>
      <c r="D484" s="10" t="s">
        <v>421</v>
      </c>
      <c r="E484" s="10" t="s">
        <v>264</v>
      </c>
      <c r="F484" s="3">
        <f t="shared" si="161"/>
        <v>1</v>
      </c>
      <c r="G484" s="3">
        <f>SUMIFS('Business - Dump'!$Q:$Q,'Business - Dump'!$D:$D,'SKU Repoprt'!$D484,'Business - Dump'!$A:$A,'SKU Repoprt'!G$1)</f>
        <v>0</v>
      </c>
      <c r="H484" s="3">
        <f>SUMIFS('Business - Dump'!$Q:$Q,'Business - Dump'!$D:$D,'SKU Repoprt'!$D484,'Business - Dump'!$A:$A,'SKU Repoprt'!H$1)</f>
        <v>0</v>
      </c>
      <c r="I484" s="3">
        <f>SUMIFS('Business - Dump'!$Q:$Q,'Business - Dump'!$D:$D,'SKU Repoprt'!$D484,'Business - Dump'!$A:$A,'SKU Repoprt'!I$1)</f>
        <v>0</v>
      </c>
      <c r="J484" s="3">
        <f>SUMIFS('Business - Dump'!$Q:$Q,'Business - Dump'!$D:$D,'SKU Repoprt'!$D484,'Business - Dump'!$A:$A,'SKU Repoprt'!J$1)</f>
        <v>0</v>
      </c>
      <c r="K484" s="3">
        <f>SUMIFS('Business - Dump'!$Q:$Q,'Business - Dump'!$D:$D,'SKU Repoprt'!$D484,'Business - Dump'!$A:$A,'SKU Repoprt'!K$1)</f>
        <v>0</v>
      </c>
      <c r="L484" s="3">
        <f>SUMIFS('Business - Dump'!$Q:$Q,'Business - Dump'!$D:$D,'SKU Repoprt'!$D484,'Business - Dump'!$A:$A,'SKU Repoprt'!L$1)</f>
        <v>0</v>
      </c>
      <c r="M484" s="3">
        <f>SUMIFS('Business - Dump'!$Q:$Q,'Business - Dump'!$D:$D,'SKU Repoprt'!$D484,'Business - Dump'!$A:$A,'SKU Repoprt'!M$1)</f>
        <v>0</v>
      </c>
      <c r="N484" s="3">
        <f>SUMIFS('Business - Dump'!$Q:$Q,'Business - Dump'!$D:$D,'SKU Repoprt'!$D484,'Business - Dump'!$A:$A,'SKU Repoprt'!N$1)</f>
        <v>0</v>
      </c>
      <c r="O484" s="3">
        <f>SUMIFS('Business - Dump'!$Q:$Q,'Business - Dump'!$D:$D,'SKU Repoprt'!$D484,'Business - Dump'!$A:$A,'SKU Repoprt'!O$1)</f>
        <v>0</v>
      </c>
      <c r="P484" s="3">
        <f>SUMIFS('Business - Dump'!$Q:$Q,'Business - Dump'!$D:$D,'SKU Repoprt'!$D484,'Business - Dump'!$A:$A,'SKU Repoprt'!P$1)</f>
        <v>0</v>
      </c>
      <c r="Q484" s="3">
        <f>SUMIFS('Business - Dump'!$Q:$Q,'Business - Dump'!$D:$D,'SKU Repoprt'!$D484,'Business - Dump'!$A:$A,'SKU Repoprt'!Q$1)</f>
        <v>0</v>
      </c>
      <c r="R484" s="3">
        <f>SUMIFS('Business - Dump'!$Q:$Q,'Business - Dump'!$D:$D,'SKU Repoprt'!$D484,'Business - Dump'!$A:$A,'SKU Repoprt'!R$1)</f>
        <v>1</v>
      </c>
      <c r="S484" s="3">
        <f>SUMIFS('Business - Dump'!$Q:$Q,'Business - Dump'!$D:$D,'SKU Repoprt'!$D484,'Business - Dump'!$A:$A,'SKU Repoprt'!S$1)</f>
        <v>0</v>
      </c>
      <c r="T484" s="3">
        <f>SUMIFS('Business - Dump'!$Q:$Q,'Business - Dump'!$D:$D,'SKU Repoprt'!$D484,'Business - Dump'!$A:$A,'SKU Repoprt'!T$1)</f>
        <v>2</v>
      </c>
      <c r="U484" s="3">
        <f>SUMIFS('Business - Dump'!$Q:$Q,'Business - Dump'!$D:$D,'SKU Repoprt'!$D484,'Business - Dump'!$A:$A,'SKU Repoprt'!U$1)</f>
        <v>1</v>
      </c>
      <c r="V484" s="3">
        <f>SUMIFS('Business - Dump'!$Q:$Q,'Business - Dump'!$D:$D,'SKU Repoprt'!$D484,'Business - Dump'!$A:$A,'SKU Repoprt'!V$1)</f>
        <v>0</v>
      </c>
      <c r="W484" s="3">
        <f>SUMIFS('Business - Dump'!$Q:$Q,'Business - Dump'!$D:$D,'SKU Repoprt'!$D484,'Business - Dump'!$A:$A,'SKU Repoprt'!W$1)</f>
        <v>0</v>
      </c>
    </row>
    <row r="485" ht="15.75" customHeight="1">
      <c r="A485" s="10" t="s">
        <v>232</v>
      </c>
      <c r="B485" s="10" t="s">
        <v>232</v>
      </c>
      <c r="C485" s="10"/>
      <c r="D485" s="10" t="s">
        <v>421</v>
      </c>
      <c r="E485" s="10" t="s">
        <v>268</v>
      </c>
      <c r="F485" s="3">
        <f t="shared" si="161"/>
        <v>1</v>
      </c>
      <c r="G485" s="3">
        <f>SUMIFS('Business - Dump'!$W:$W,'Business - Dump'!$D:$D,'SKU Repoprt'!$D485,'Business - Dump'!$A:$A,'SKU Repoprt'!G$1)</f>
        <v>0</v>
      </c>
      <c r="H485" s="3">
        <f>SUMIFS('Business - Dump'!$W:$W,'Business - Dump'!$D:$D,'SKU Repoprt'!$D485,'Business - Dump'!$A:$A,'SKU Repoprt'!H$1)</f>
        <v>0</v>
      </c>
      <c r="I485" s="3">
        <f>SUMIFS('Business - Dump'!$W:$W,'Business - Dump'!$D:$D,'SKU Repoprt'!$D485,'Business - Dump'!$A:$A,'SKU Repoprt'!I$1)</f>
        <v>0</v>
      </c>
      <c r="J485" s="3">
        <f>SUMIFS('Business - Dump'!$W:$W,'Business - Dump'!$D:$D,'SKU Repoprt'!$D485,'Business - Dump'!$A:$A,'SKU Repoprt'!J$1)</f>
        <v>0</v>
      </c>
      <c r="K485" s="3">
        <f>SUMIFS('Business - Dump'!$W:$W,'Business - Dump'!$D:$D,'SKU Repoprt'!$D485,'Business - Dump'!$A:$A,'SKU Repoprt'!K$1)</f>
        <v>0</v>
      </c>
      <c r="L485" s="3">
        <f>SUMIFS('Business - Dump'!$W:$W,'Business - Dump'!$D:$D,'SKU Repoprt'!$D485,'Business - Dump'!$A:$A,'SKU Repoprt'!L$1)</f>
        <v>0</v>
      </c>
      <c r="M485" s="3">
        <f>SUMIFS('Business - Dump'!$W:$W,'Business - Dump'!$D:$D,'SKU Repoprt'!$D485,'Business - Dump'!$A:$A,'SKU Repoprt'!M$1)</f>
        <v>0</v>
      </c>
      <c r="N485" s="3">
        <f>SUMIFS('Business - Dump'!$W:$W,'Business - Dump'!$D:$D,'SKU Repoprt'!$D485,'Business - Dump'!$A:$A,'SKU Repoprt'!N$1)</f>
        <v>0</v>
      </c>
      <c r="O485" s="3">
        <f>SUMIFS('Business - Dump'!$W:$W,'Business - Dump'!$D:$D,'SKU Repoprt'!$D485,'Business - Dump'!$A:$A,'SKU Repoprt'!O$1)</f>
        <v>0</v>
      </c>
      <c r="P485" s="3">
        <f>SUMIFS('Business - Dump'!$W:$W,'Business - Dump'!$D:$D,'SKU Repoprt'!$D485,'Business - Dump'!$A:$A,'SKU Repoprt'!P$1)</f>
        <v>0</v>
      </c>
      <c r="Q485" s="3">
        <f>SUMIFS('Business - Dump'!$W:$W,'Business - Dump'!$D:$D,'SKU Repoprt'!$D485,'Business - Dump'!$A:$A,'SKU Repoprt'!Q$1)</f>
        <v>0</v>
      </c>
      <c r="R485" s="3">
        <f>SUMIFS('Business - Dump'!$W:$W,'Business - Dump'!$D:$D,'SKU Repoprt'!$D485,'Business - Dump'!$A:$A,'SKU Repoprt'!R$1)</f>
        <v>1</v>
      </c>
      <c r="S485" s="3">
        <f>SUMIFS('Business - Dump'!$W:$W,'Business - Dump'!$D:$D,'SKU Repoprt'!$D485,'Business - Dump'!$A:$A,'SKU Repoprt'!S$1)</f>
        <v>0</v>
      </c>
      <c r="T485" s="3">
        <f>SUMIFS('Business - Dump'!$W:$W,'Business - Dump'!$D:$D,'SKU Repoprt'!$D485,'Business - Dump'!$A:$A,'SKU Repoprt'!T$1)</f>
        <v>2</v>
      </c>
      <c r="U485" s="3">
        <f>SUMIFS('Business - Dump'!$W:$W,'Business - Dump'!$D:$D,'SKU Repoprt'!$D485,'Business - Dump'!$A:$A,'SKU Repoprt'!U$1)</f>
        <v>1</v>
      </c>
      <c r="V485" s="3">
        <f>SUMIFS('Business - Dump'!$W:$W,'Business - Dump'!$D:$D,'SKU Repoprt'!$D485,'Business - Dump'!$A:$A,'SKU Repoprt'!V$1)</f>
        <v>0</v>
      </c>
      <c r="W485" s="3">
        <f>SUMIFS('Business - Dump'!$W:$W,'Business - Dump'!$D:$D,'SKU Repoprt'!$D485,'Business - Dump'!$A:$A,'SKU Repoprt'!W$1)</f>
        <v>0</v>
      </c>
    </row>
    <row r="486" ht="15.75" customHeight="1">
      <c r="A486" s="10" t="s">
        <v>232</v>
      </c>
      <c r="B486" s="10" t="s">
        <v>232</v>
      </c>
      <c r="C486" s="10"/>
      <c r="D486" s="10" t="s">
        <v>421</v>
      </c>
      <c r="E486" s="10" t="s">
        <v>26</v>
      </c>
      <c r="F486" s="16">
        <f t="shared" si="161"/>
        <v>15500</v>
      </c>
      <c r="G486" s="16">
        <f>SUMIFS('Business - Dump'!$U:$U,'Business - Dump'!$D:$D,'SKU Repoprt'!$D486,'Business - Dump'!$A:$A,'SKU Repoprt'!G$1)</f>
        <v>0</v>
      </c>
      <c r="H486" s="16">
        <f>SUMIFS('Business - Dump'!$U:$U,'Business - Dump'!$D:$D,'SKU Repoprt'!$D486,'Business - Dump'!$A:$A,'SKU Repoprt'!H$1)</f>
        <v>0</v>
      </c>
      <c r="I486" s="16">
        <f>SUMIFS('Business - Dump'!$U:$U,'Business - Dump'!$D:$D,'SKU Repoprt'!$D486,'Business - Dump'!$A:$A,'SKU Repoprt'!I$1)</f>
        <v>0</v>
      </c>
      <c r="J486" s="16">
        <f>SUMIFS('Business - Dump'!$U:$U,'Business - Dump'!$D:$D,'SKU Repoprt'!$D486,'Business - Dump'!$A:$A,'SKU Repoprt'!J$1)</f>
        <v>0</v>
      </c>
      <c r="K486" s="16">
        <f>SUMIFS('Business - Dump'!$U:$U,'Business - Dump'!$D:$D,'SKU Repoprt'!$D486,'Business - Dump'!$A:$A,'SKU Repoprt'!K$1)</f>
        <v>0</v>
      </c>
      <c r="L486" s="16">
        <f>SUMIFS('Business - Dump'!$U:$U,'Business - Dump'!$D:$D,'SKU Repoprt'!$D486,'Business - Dump'!$A:$A,'SKU Repoprt'!L$1)</f>
        <v>0</v>
      </c>
      <c r="M486" s="16">
        <f>SUMIFS('Business - Dump'!$U:$U,'Business - Dump'!$D:$D,'SKU Repoprt'!$D486,'Business - Dump'!$A:$A,'SKU Repoprt'!M$1)</f>
        <v>0</v>
      </c>
      <c r="N486" s="16">
        <f>SUMIFS('Business - Dump'!$U:$U,'Business - Dump'!$D:$D,'SKU Repoprt'!$D486,'Business - Dump'!$A:$A,'SKU Repoprt'!N$1)</f>
        <v>0</v>
      </c>
      <c r="O486" s="16">
        <f>SUMIFS('Business - Dump'!$U:$U,'Business - Dump'!$D:$D,'SKU Repoprt'!$D486,'Business - Dump'!$A:$A,'SKU Repoprt'!O$1)</f>
        <v>0</v>
      </c>
      <c r="P486" s="16">
        <f>SUMIFS('Business - Dump'!$U:$U,'Business - Dump'!$D:$D,'SKU Repoprt'!$D486,'Business - Dump'!$A:$A,'SKU Repoprt'!P$1)</f>
        <v>0</v>
      </c>
      <c r="Q486" s="16">
        <f>SUMIFS('Business - Dump'!$U:$U,'Business - Dump'!$D:$D,'SKU Repoprt'!$D486,'Business - Dump'!$A:$A,'SKU Repoprt'!Q$1)</f>
        <v>0</v>
      </c>
      <c r="R486" s="16">
        <f>SUMIFS('Business - Dump'!$U:$U,'Business - Dump'!$D:$D,'SKU Repoprt'!$D486,'Business - Dump'!$A:$A,'SKU Repoprt'!R$1)</f>
        <v>15500</v>
      </c>
      <c r="S486" s="16">
        <f>SUMIFS('Business - Dump'!$U:$U,'Business - Dump'!$D:$D,'SKU Repoprt'!$D486,'Business - Dump'!$A:$A,'SKU Repoprt'!S$1)</f>
        <v>0</v>
      </c>
      <c r="T486" s="16">
        <f>SUMIFS('Business - Dump'!$U:$U,'Business - Dump'!$D:$D,'SKU Repoprt'!$D486,'Business - Dump'!$A:$A,'SKU Repoprt'!T$1)</f>
        <v>30600</v>
      </c>
      <c r="U486" s="16">
        <f>SUMIFS('Business - Dump'!$U:$U,'Business - Dump'!$D:$D,'SKU Repoprt'!$D486,'Business - Dump'!$A:$A,'SKU Repoprt'!U$1)</f>
        <v>15300</v>
      </c>
      <c r="V486" s="16">
        <f>SUMIFS('Business - Dump'!$U:$U,'Business - Dump'!$D:$D,'SKU Repoprt'!$D486,'Business - Dump'!$A:$A,'SKU Repoprt'!V$1)</f>
        <v>0</v>
      </c>
      <c r="W486" s="16">
        <f>SUMIFS('Business - Dump'!$U:$U,'Business - Dump'!$D:$D,'SKU Repoprt'!$D486,'Business - Dump'!$A:$A,'SKU Repoprt'!W$1)</f>
        <v>0</v>
      </c>
    </row>
    <row r="487" ht="15.75" customHeight="1">
      <c r="A487" s="10" t="s">
        <v>232</v>
      </c>
      <c r="B487" s="10" t="s">
        <v>232</v>
      </c>
      <c r="C487" s="10"/>
      <c r="D487" s="10" t="s">
        <v>421</v>
      </c>
      <c r="E487" s="10" t="s">
        <v>29</v>
      </c>
      <c r="F487" s="17">
        <v>0.027042857142857143</v>
      </c>
      <c r="G487" s="17">
        <f t="shared" ref="G487:W487" si="162">IFERROR(G485/G482,0)</f>
        <v>0</v>
      </c>
      <c r="H487" s="17">
        <f t="shared" si="162"/>
        <v>0</v>
      </c>
      <c r="I487" s="17">
        <f t="shared" si="162"/>
        <v>0</v>
      </c>
      <c r="J487" s="17">
        <f t="shared" si="162"/>
        <v>0</v>
      </c>
      <c r="K487" s="17">
        <f t="shared" si="162"/>
        <v>0</v>
      </c>
      <c r="L487" s="17">
        <f t="shared" si="162"/>
        <v>0</v>
      </c>
      <c r="M487" s="17">
        <f t="shared" si="162"/>
        <v>0</v>
      </c>
      <c r="N487" s="17">
        <f t="shared" si="162"/>
        <v>0</v>
      </c>
      <c r="O487" s="17">
        <f t="shared" si="162"/>
        <v>0</v>
      </c>
      <c r="P487" s="17">
        <f t="shared" si="162"/>
        <v>0</v>
      </c>
      <c r="Q487" s="17">
        <f t="shared" si="162"/>
        <v>0</v>
      </c>
      <c r="R487" s="17">
        <f t="shared" si="162"/>
        <v>0.01315789474</v>
      </c>
      <c r="S487" s="17">
        <f t="shared" si="162"/>
        <v>0</v>
      </c>
      <c r="T487" s="17">
        <f t="shared" si="162"/>
        <v>0.0243902439</v>
      </c>
      <c r="U487" s="17">
        <f t="shared" si="162"/>
        <v>0.01538461538</v>
      </c>
      <c r="V487" s="17">
        <f t="shared" si="162"/>
        <v>0</v>
      </c>
      <c r="W487" s="17">
        <f t="shared" si="162"/>
        <v>0</v>
      </c>
    </row>
    <row r="488" ht="15.75" customHeight="1">
      <c r="A488" s="10" t="s">
        <v>134</v>
      </c>
      <c r="B488" s="10" t="s">
        <v>134</v>
      </c>
      <c r="C488" s="10"/>
      <c r="D488" s="10" t="s">
        <v>291</v>
      </c>
      <c r="E488" s="10" t="s">
        <v>257</v>
      </c>
      <c r="F488" s="3">
        <f t="shared" ref="F488:F492" si="163">SUM(G488:S488)</f>
        <v>85796</v>
      </c>
      <c r="G488" s="3">
        <f>SUMIFS('Business - Dump'!$G:$G,'Business - Dump'!$D:$D,'SKU Repoprt'!$D488,'Business - Dump'!$A:$A,'SKU Repoprt'!G$1)</f>
        <v>2377</v>
      </c>
      <c r="H488" s="3">
        <f>SUMIFS('Business - Dump'!$G:$G,'Business - Dump'!$D:$D,'SKU Repoprt'!$D488,'Business - Dump'!$A:$A,'SKU Repoprt'!H$1)</f>
        <v>3578</v>
      </c>
      <c r="I488" s="3">
        <f>SUMIFS('Business - Dump'!$G:$G,'Business - Dump'!$D:$D,'SKU Repoprt'!$D488,'Business - Dump'!$A:$A,'SKU Repoprt'!I$1)</f>
        <v>4310</v>
      </c>
      <c r="J488" s="3">
        <f>SUMIFS('Business - Dump'!$G:$G,'Business - Dump'!$D:$D,'SKU Repoprt'!$D488,'Business - Dump'!$A:$A,'SKU Repoprt'!J$1)</f>
        <v>5128</v>
      </c>
      <c r="K488" s="3">
        <f>SUMIFS('Business - Dump'!$G:$G,'Business - Dump'!$D:$D,'SKU Repoprt'!$D488,'Business - Dump'!$A:$A,'SKU Repoprt'!K$1)</f>
        <v>6170</v>
      </c>
      <c r="L488" s="3">
        <f>SUMIFS('Business - Dump'!$G:$G,'Business - Dump'!$D:$D,'SKU Repoprt'!$D488,'Business - Dump'!$A:$A,'SKU Repoprt'!L$1)</f>
        <v>5894</v>
      </c>
      <c r="M488" s="3">
        <f>SUMIFS('Business - Dump'!$G:$G,'Business - Dump'!$D:$D,'SKU Repoprt'!$D488,'Business - Dump'!$A:$A,'SKU Repoprt'!M$1)</f>
        <v>10771</v>
      </c>
      <c r="N488" s="3">
        <f>SUMIFS('Business - Dump'!$G:$G,'Business - Dump'!$D:$D,'SKU Repoprt'!$D488,'Business - Dump'!$A:$A,'SKU Repoprt'!N$1)</f>
        <v>5865</v>
      </c>
      <c r="O488" s="3">
        <f>SUMIFS('Business - Dump'!$G:$G,'Business - Dump'!$D:$D,'SKU Repoprt'!$D488,'Business - Dump'!$A:$A,'SKU Repoprt'!O$1)</f>
        <v>5770</v>
      </c>
      <c r="P488" s="3">
        <f>SUMIFS('Business - Dump'!$G:$G,'Business - Dump'!$D:$D,'SKU Repoprt'!$D488,'Business - Dump'!$A:$A,'SKU Repoprt'!P$1)</f>
        <v>10386</v>
      </c>
      <c r="Q488" s="3">
        <f>SUMIFS('Business - Dump'!$G:$G,'Business - Dump'!$D:$D,'SKU Repoprt'!$D488,'Business - Dump'!$A:$A,'SKU Repoprt'!Q$1)</f>
        <v>10420</v>
      </c>
      <c r="R488" s="3">
        <f>SUMIFS('Business - Dump'!$G:$G,'Business - Dump'!$D:$D,'SKU Repoprt'!$D488,'Business - Dump'!$A:$A,'SKU Repoprt'!R$1)</f>
        <v>8790</v>
      </c>
      <c r="S488" s="3">
        <f>SUMIFS('Business - Dump'!$G:$G,'Business - Dump'!$D:$D,'SKU Repoprt'!$D488,'Business - Dump'!$A:$A,'SKU Repoprt'!S$1)</f>
        <v>6337</v>
      </c>
      <c r="T488" s="3">
        <f>SUMIFS('Business - Dump'!$G:$G,'Business - Dump'!$D:$D,'SKU Repoprt'!$D488,'Business - Dump'!$A:$A,'SKU Repoprt'!T$1)</f>
        <v>6063</v>
      </c>
      <c r="U488" s="3">
        <f>SUMIFS('Business - Dump'!$G:$G,'Business - Dump'!$D:$D,'SKU Repoprt'!$D488,'Business - Dump'!$A:$A,'SKU Repoprt'!U$1)</f>
        <v>6245</v>
      </c>
      <c r="V488" s="3">
        <f>SUMIFS('Business - Dump'!$G:$G,'Business - Dump'!$D:$D,'SKU Repoprt'!$D488,'Business - Dump'!$A:$A,'SKU Repoprt'!V$1)</f>
        <v>4198</v>
      </c>
      <c r="W488" s="3">
        <f>SUMIFS('Business - Dump'!$G:$G,'Business - Dump'!$D:$D,'SKU Repoprt'!$D488,'Business - Dump'!$A:$A,'SKU Repoprt'!W$1)</f>
        <v>3931</v>
      </c>
    </row>
    <row r="489" ht="15.75" customHeight="1">
      <c r="A489" s="10" t="s">
        <v>134</v>
      </c>
      <c r="B489" s="10" t="s">
        <v>134</v>
      </c>
      <c r="C489" s="10"/>
      <c r="D489" s="10" t="s">
        <v>291</v>
      </c>
      <c r="E489" s="10" t="s">
        <v>260</v>
      </c>
      <c r="F489" s="3">
        <f t="shared" si="163"/>
        <v>120889</v>
      </c>
      <c r="G489" s="3">
        <f>SUMIFS('Business - Dump'!$K:$K,'Business - Dump'!$D:$D,'SKU Repoprt'!$D489,'Business - Dump'!$A:$A,'SKU Repoprt'!G$1)</f>
        <v>3305</v>
      </c>
      <c r="H489" s="3">
        <f>SUMIFS('Business - Dump'!$K:$K,'Business - Dump'!$D:$D,'SKU Repoprt'!$D489,'Business - Dump'!$A:$A,'SKU Repoprt'!H$1)</f>
        <v>5325</v>
      </c>
      <c r="I489" s="3">
        <f>SUMIFS('Business - Dump'!$K:$K,'Business - Dump'!$D:$D,'SKU Repoprt'!$D489,'Business - Dump'!$A:$A,'SKU Repoprt'!I$1)</f>
        <v>6096</v>
      </c>
      <c r="J489" s="3">
        <f>SUMIFS('Business - Dump'!$K:$K,'Business - Dump'!$D:$D,'SKU Repoprt'!$D489,'Business - Dump'!$A:$A,'SKU Repoprt'!J$1)</f>
        <v>7060</v>
      </c>
      <c r="K489" s="3">
        <f>SUMIFS('Business - Dump'!$K:$K,'Business - Dump'!$D:$D,'SKU Repoprt'!$D489,'Business - Dump'!$A:$A,'SKU Repoprt'!K$1)</f>
        <v>8235</v>
      </c>
      <c r="L489" s="3">
        <f>SUMIFS('Business - Dump'!$K:$K,'Business - Dump'!$D:$D,'SKU Repoprt'!$D489,'Business - Dump'!$A:$A,'SKU Repoprt'!L$1)</f>
        <v>8237</v>
      </c>
      <c r="M489" s="3">
        <f>SUMIFS('Business - Dump'!$K:$K,'Business - Dump'!$D:$D,'SKU Repoprt'!$D489,'Business - Dump'!$A:$A,'SKU Repoprt'!M$1)</f>
        <v>17570</v>
      </c>
      <c r="N489" s="3">
        <f>SUMIFS('Business - Dump'!$K:$K,'Business - Dump'!$D:$D,'SKU Repoprt'!$D489,'Business - Dump'!$A:$A,'SKU Repoprt'!N$1)</f>
        <v>7763</v>
      </c>
      <c r="O489" s="3">
        <f>SUMIFS('Business - Dump'!$K:$K,'Business - Dump'!$D:$D,'SKU Repoprt'!$D489,'Business - Dump'!$A:$A,'SKU Repoprt'!O$1)</f>
        <v>8065</v>
      </c>
      <c r="P489" s="3">
        <f>SUMIFS('Business - Dump'!$K:$K,'Business - Dump'!$D:$D,'SKU Repoprt'!$D489,'Business - Dump'!$A:$A,'SKU Repoprt'!P$1)</f>
        <v>14306</v>
      </c>
      <c r="Q489" s="3">
        <f>SUMIFS('Business - Dump'!$K:$K,'Business - Dump'!$D:$D,'SKU Repoprt'!$D489,'Business - Dump'!$A:$A,'SKU Repoprt'!Q$1)</f>
        <v>14205</v>
      </c>
      <c r="R489" s="3">
        <f>SUMIFS('Business - Dump'!$K:$K,'Business - Dump'!$D:$D,'SKU Repoprt'!$D489,'Business - Dump'!$A:$A,'SKU Repoprt'!R$1)</f>
        <v>12317</v>
      </c>
      <c r="S489" s="3">
        <f>SUMIFS('Business - Dump'!$K:$K,'Business - Dump'!$D:$D,'SKU Repoprt'!$D489,'Business - Dump'!$A:$A,'SKU Repoprt'!S$1)</f>
        <v>8405</v>
      </c>
      <c r="T489" s="3">
        <f>SUMIFS('Business - Dump'!$K:$K,'Business - Dump'!$D:$D,'SKU Repoprt'!$D489,'Business - Dump'!$A:$A,'SKU Repoprt'!T$1)</f>
        <v>8213</v>
      </c>
      <c r="U489" s="3">
        <f>SUMIFS('Business - Dump'!$K:$K,'Business - Dump'!$D:$D,'SKU Repoprt'!$D489,'Business - Dump'!$A:$A,'SKU Repoprt'!U$1)</f>
        <v>8342</v>
      </c>
      <c r="V489" s="3">
        <f>SUMIFS('Business - Dump'!$K:$K,'Business - Dump'!$D:$D,'SKU Repoprt'!$D489,'Business - Dump'!$A:$A,'SKU Repoprt'!V$1)</f>
        <v>5580</v>
      </c>
      <c r="W489" s="3">
        <f>SUMIFS('Business - Dump'!$K:$K,'Business - Dump'!$D:$D,'SKU Repoprt'!$D489,'Business - Dump'!$A:$A,'SKU Repoprt'!W$1)</f>
        <v>5190</v>
      </c>
    </row>
    <row r="490" ht="15.75" customHeight="1">
      <c r="A490" s="10" t="s">
        <v>134</v>
      </c>
      <c r="B490" s="10" t="s">
        <v>134</v>
      </c>
      <c r="C490" s="10"/>
      <c r="D490" s="10" t="s">
        <v>291</v>
      </c>
      <c r="E490" s="10" t="s">
        <v>264</v>
      </c>
      <c r="F490" s="3">
        <f t="shared" si="163"/>
        <v>354</v>
      </c>
      <c r="G490" s="3">
        <f>SUMIFS('Business - Dump'!$Q:$Q,'Business - Dump'!$D:$D,'SKU Repoprt'!$D490,'Business - Dump'!$A:$A,'SKU Repoprt'!G$1)</f>
        <v>10</v>
      </c>
      <c r="H490" s="3">
        <f>SUMIFS('Business - Dump'!$Q:$Q,'Business - Dump'!$D:$D,'SKU Repoprt'!$D490,'Business - Dump'!$A:$A,'SKU Repoprt'!H$1)</f>
        <v>22</v>
      </c>
      <c r="I490" s="3">
        <f>SUMIFS('Business - Dump'!$Q:$Q,'Business - Dump'!$D:$D,'SKU Repoprt'!$D490,'Business - Dump'!$A:$A,'SKU Repoprt'!I$1)</f>
        <v>18</v>
      </c>
      <c r="J490" s="3">
        <f>SUMIFS('Business - Dump'!$Q:$Q,'Business - Dump'!$D:$D,'SKU Repoprt'!$D490,'Business - Dump'!$A:$A,'SKU Repoprt'!J$1)</f>
        <v>28</v>
      </c>
      <c r="K490" s="3">
        <f>SUMIFS('Business - Dump'!$Q:$Q,'Business - Dump'!$D:$D,'SKU Repoprt'!$D490,'Business - Dump'!$A:$A,'SKU Repoprt'!K$1)</f>
        <v>33</v>
      </c>
      <c r="L490" s="3">
        <f>SUMIFS('Business - Dump'!$Q:$Q,'Business - Dump'!$D:$D,'SKU Repoprt'!$D490,'Business - Dump'!$A:$A,'SKU Repoprt'!L$1)</f>
        <v>20</v>
      </c>
      <c r="M490" s="3">
        <f>SUMIFS('Business - Dump'!$Q:$Q,'Business - Dump'!$D:$D,'SKU Repoprt'!$D490,'Business - Dump'!$A:$A,'SKU Repoprt'!M$1)</f>
        <v>38</v>
      </c>
      <c r="N490" s="3">
        <f>SUMIFS('Business - Dump'!$Q:$Q,'Business - Dump'!$D:$D,'SKU Repoprt'!$D490,'Business - Dump'!$A:$A,'SKU Repoprt'!N$1)</f>
        <v>21</v>
      </c>
      <c r="O490" s="3">
        <f>SUMIFS('Business - Dump'!$Q:$Q,'Business - Dump'!$D:$D,'SKU Repoprt'!$D490,'Business - Dump'!$A:$A,'SKU Repoprt'!O$1)</f>
        <v>40</v>
      </c>
      <c r="P490" s="3">
        <f>SUMIFS('Business - Dump'!$Q:$Q,'Business - Dump'!$D:$D,'SKU Repoprt'!$D490,'Business - Dump'!$A:$A,'SKU Repoprt'!P$1)</f>
        <v>30</v>
      </c>
      <c r="Q490" s="3">
        <f>SUMIFS('Business - Dump'!$Q:$Q,'Business - Dump'!$D:$D,'SKU Repoprt'!$D490,'Business - Dump'!$A:$A,'SKU Repoprt'!Q$1)</f>
        <v>43</v>
      </c>
      <c r="R490" s="3">
        <f>SUMIFS('Business - Dump'!$Q:$Q,'Business - Dump'!$D:$D,'SKU Repoprt'!$D490,'Business - Dump'!$A:$A,'SKU Repoprt'!R$1)</f>
        <v>27</v>
      </c>
      <c r="S490" s="3">
        <f>SUMIFS('Business - Dump'!$Q:$Q,'Business - Dump'!$D:$D,'SKU Repoprt'!$D490,'Business - Dump'!$A:$A,'SKU Repoprt'!S$1)</f>
        <v>24</v>
      </c>
      <c r="T490" s="3">
        <f>SUMIFS('Business - Dump'!$Q:$Q,'Business - Dump'!$D:$D,'SKU Repoprt'!$D490,'Business - Dump'!$A:$A,'SKU Repoprt'!T$1)</f>
        <v>15</v>
      </c>
      <c r="U490" s="3">
        <f>SUMIFS('Business - Dump'!$Q:$Q,'Business - Dump'!$D:$D,'SKU Repoprt'!$D490,'Business - Dump'!$A:$A,'SKU Repoprt'!U$1)</f>
        <v>18</v>
      </c>
      <c r="V490" s="3">
        <f>SUMIFS('Business - Dump'!$Q:$Q,'Business - Dump'!$D:$D,'SKU Repoprt'!$D490,'Business - Dump'!$A:$A,'SKU Repoprt'!V$1)</f>
        <v>11</v>
      </c>
      <c r="W490" s="3">
        <f>SUMIFS('Business - Dump'!$Q:$Q,'Business - Dump'!$D:$D,'SKU Repoprt'!$D490,'Business - Dump'!$A:$A,'SKU Repoprt'!W$1)</f>
        <v>13</v>
      </c>
    </row>
    <row r="491" ht="15.75" customHeight="1">
      <c r="A491" s="10" t="s">
        <v>134</v>
      </c>
      <c r="B491" s="10" t="s">
        <v>134</v>
      </c>
      <c r="C491" s="10"/>
      <c r="D491" s="10" t="s">
        <v>291</v>
      </c>
      <c r="E491" s="10" t="s">
        <v>268</v>
      </c>
      <c r="F491" s="3">
        <f t="shared" si="163"/>
        <v>341</v>
      </c>
      <c r="G491" s="3">
        <f>SUMIFS('Business - Dump'!$W:$W,'Business - Dump'!$D:$D,'SKU Repoprt'!$D491,'Business - Dump'!$A:$A,'SKU Repoprt'!G$1)</f>
        <v>10</v>
      </c>
      <c r="H491" s="3">
        <f>SUMIFS('Business - Dump'!$W:$W,'Business - Dump'!$D:$D,'SKU Repoprt'!$D491,'Business - Dump'!$A:$A,'SKU Repoprt'!H$1)</f>
        <v>22</v>
      </c>
      <c r="I491" s="3">
        <f>SUMIFS('Business - Dump'!$W:$W,'Business - Dump'!$D:$D,'SKU Repoprt'!$D491,'Business - Dump'!$A:$A,'SKU Repoprt'!I$1)</f>
        <v>18</v>
      </c>
      <c r="J491" s="3">
        <f>SUMIFS('Business - Dump'!$W:$W,'Business - Dump'!$D:$D,'SKU Repoprt'!$D491,'Business - Dump'!$A:$A,'SKU Repoprt'!J$1)</f>
        <v>27</v>
      </c>
      <c r="K491" s="3">
        <f>SUMIFS('Business - Dump'!$W:$W,'Business - Dump'!$D:$D,'SKU Repoprt'!$D491,'Business - Dump'!$A:$A,'SKU Repoprt'!K$1)</f>
        <v>26</v>
      </c>
      <c r="L491" s="3">
        <f>SUMIFS('Business - Dump'!$W:$W,'Business - Dump'!$D:$D,'SKU Repoprt'!$D491,'Business - Dump'!$A:$A,'SKU Repoprt'!L$1)</f>
        <v>20</v>
      </c>
      <c r="M491" s="3">
        <f>SUMIFS('Business - Dump'!$W:$W,'Business - Dump'!$D:$D,'SKU Repoprt'!$D491,'Business - Dump'!$A:$A,'SKU Repoprt'!M$1)</f>
        <v>38</v>
      </c>
      <c r="N491" s="3">
        <f>SUMIFS('Business - Dump'!$W:$W,'Business - Dump'!$D:$D,'SKU Repoprt'!$D491,'Business - Dump'!$A:$A,'SKU Repoprt'!N$1)</f>
        <v>21</v>
      </c>
      <c r="O491" s="3">
        <f>SUMIFS('Business - Dump'!$W:$W,'Business - Dump'!$D:$D,'SKU Repoprt'!$D491,'Business - Dump'!$A:$A,'SKU Repoprt'!O$1)</f>
        <v>40</v>
      </c>
      <c r="P491" s="3">
        <f>SUMIFS('Business - Dump'!$W:$W,'Business - Dump'!$D:$D,'SKU Repoprt'!$D491,'Business - Dump'!$A:$A,'SKU Repoprt'!P$1)</f>
        <v>30</v>
      </c>
      <c r="Q491" s="3">
        <f>SUMIFS('Business - Dump'!$W:$W,'Business - Dump'!$D:$D,'SKU Repoprt'!$D491,'Business - Dump'!$A:$A,'SKU Repoprt'!Q$1)</f>
        <v>43</v>
      </c>
      <c r="R491" s="3">
        <f>SUMIFS('Business - Dump'!$W:$W,'Business - Dump'!$D:$D,'SKU Repoprt'!$D491,'Business - Dump'!$A:$A,'SKU Repoprt'!R$1)</f>
        <v>27</v>
      </c>
      <c r="S491" s="3">
        <f>SUMIFS('Business - Dump'!$W:$W,'Business - Dump'!$D:$D,'SKU Repoprt'!$D491,'Business - Dump'!$A:$A,'SKU Repoprt'!S$1)</f>
        <v>19</v>
      </c>
      <c r="T491" s="3">
        <f>SUMIFS('Business - Dump'!$W:$W,'Business - Dump'!$D:$D,'SKU Repoprt'!$D491,'Business - Dump'!$A:$A,'SKU Repoprt'!T$1)</f>
        <v>15</v>
      </c>
      <c r="U491" s="3">
        <f>SUMIFS('Business - Dump'!$W:$W,'Business - Dump'!$D:$D,'SKU Repoprt'!$D491,'Business - Dump'!$A:$A,'SKU Repoprt'!U$1)</f>
        <v>18</v>
      </c>
      <c r="V491" s="3">
        <f>SUMIFS('Business - Dump'!$W:$W,'Business - Dump'!$D:$D,'SKU Repoprt'!$D491,'Business - Dump'!$A:$A,'SKU Repoprt'!V$1)</f>
        <v>11</v>
      </c>
      <c r="W491" s="3">
        <f>SUMIFS('Business - Dump'!$W:$W,'Business - Dump'!$D:$D,'SKU Repoprt'!$D491,'Business - Dump'!$A:$A,'SKU Repoprt'!W$1)</f>
        <v>13</v>
      </c>
    </row>
    <row r="492" ht="15.75" customHeight="1">
      <c r="A492" s="10" t="s">
        <v>134</v>
      </c>
      <c r="B492" s="10" t="s">
        <v>134</v>
      </c>
      <c r="C492" s="10"/>
      <c r="D492" s="10" t="s">
        <v>291</v>
      </c>
      <c r="E492" s="10" t="s">
        <v>26</v>
      </c>
      <c r="F492" s="16">
        <f t="shared" si="163"/>
        <v>7318606.46</v>
      </c>
      <c r="G492" s="16">
        <f>SUMIFS('Business - Dump'!$U:$U,'Business - Dump'!$D:$D,'SKU Repoprt'!$D492,'Business - Dump'!$A:$A,'SKU Repoprt'!G$1)</f>
        <v>209000</v>
      </c>
      <c r="H492" s="16">
        <f>SUMIFS('Business - Dump'!$U:$U,'Business - Dump'!$D:$D,'SKU Repoprt'!$D492,'Business - Dump'!$A:$A,'SKU Repoprt'!H$1)</f>
        <v>459800</v>
      </c>
      <c r="I492" s="16">
        <f>SUMIFS('Business - Dump'!$U:$U,'Business - Dump'!$D:$D,'SKU Repoprt'!$D492,'Business - Dump'!$A:$A,'SKU Repoprt'!I$1)</f>
        <v>387750</v>
      </c>
      <c r="J492" s="16">
        <f>SUMIFS('Business - Dump'!$U:$U,'Business - Dump'!$D:$D,'SKU Repoprt'!$D492,'Business - Dump'!$A:$A,'SKU Repoprt'!J$1)</f>
        <v>585200</v>
      </c>
      <c r="K492" s="16">
        <f>SUMIFS('Business - Dump'!$U:$U,'Business - Dump'!$D:$D,'SKU Repoprt'!$D492,'Business - Dump'!$A:$A,'SKU Repoprt'!K$1)</f>
        <v>698379.68</v>
      </c>
      <c r="L492" s="16">
        <f>SUMIFS('Business - Dump'!$U:$U,'Business - Dump'!$D:$D,'SKU Repoprt'!$D492,'Business - Dump'!$A:$A,'SKU Repoprt'!L$1)</f>
        <v>423954.24</v>
      </c>
      <c r="M492" s="16">
        <f>SUMIFS('Business - Dump'!$U:$U,'Business - Dump'!$D:$D,'SKU Repoprt'!$D492,'Business - Dump'!$A:$A,'SKU Repoprt'!M$1)</f>
        <v>792684.8</v>
      </c>
      <c r="N492" s="16">
        <f>SUMIFS('Business - Dump'!$U:$U,'Business - Dump'!$D:$D,'SKU Repoprt'!$D492,'Business - Dump'!$A:$A,'SKU Repoprt'!N$1)</f>
        <v>445200</v>
      </c>
      <c r="O492" s="16">
        <f>SUMIFS('Business - Dump'!$U:$U,'Business - Dump'!$D:$D,'SKU Repoprt'!$D492,'Business - Dump'!$A:$A,'SKU Repoprt'!O$1)</f>
        <v>823610.57</v>
      </c>
      <c r="P492" s="16">
        <f>SUMIFS('Business - Dump'!$U:$U,'Business - Dump'!$D:$D,'SKU Repoprt'!$D492,'Business - Dump'!$A:$A,'SKU Repoprt'!P$1)</f>
        <v>618314.92</v>
      </c>
      <c r="Q492" s="16">
        <f>SUMIFS('Business - Dump'!$U:$U,'Business - Dump'!$D:$D,'SKU Repoprt'!$D492,'Business - Dump'!$A:$A,'SKU Repoprt'!Q$1)</f>
        <v>852229.29</v>
      </c>
      <c r="R492" s="16">
        <f>SUMIFS('Business - Dump'!$U:$U,'Business - Dump'!$D:$D,'SKU Repoprt'!$D492,'Business - Dump'!$A:$A,'SKU Repoprt'!R$1)</f>
        <v>522612.46</v>
      </c>
      <c r="S492" s="16">
        <f>SUMIFS('Business - Dump'!$U:$U,'Business - Dump'!$D:$D,'SKU Repoprt'!$D492,'Business - Dump'!$A:$A,'SKU Repoprt'!S$1)</f>
        <v>499870.5</v>
      </c>
      <c r="T492" s="16">
        <f>SUMIFS('Business - Dump'!$U:$U,'Business - Dump'!$D:$D,'SKU Repoprt'!$D492,'Business - Dump'!$A:$A,'SKU Repoprt'!T$1)</f>
        <v>327120.34</v>
      </c>
      <c r="U492" s="16">
        <f>SUMIFS('Business - Dump'!$U:$U,'Business - Dump'!$D:$D,'SKU Repoprt'!$D492,'Business - Dump'!$A:$A,'SKU Repoprt'!U$1)</f>
        <v>385239</v>
      </c>
      <c r="V492" s="16">
        <f>SUMIFS('Business - Dump'!$U:$U,'Business - Dump'!$D:$D,'SKU Repoprt'!$D492,'Business - Dump'!$A:$A,'SKU Repoprt'!V$1)</f>
        <v>228381.2</v>
      </c>
      <c r="W492" s="16">
        <f>SUMIFS('Business - Dump'!$U:$U,'Business - Dump'!$D:$D,'SKU Repoprt'!$D492,'Business - Dump'!$A:$A,'SKU Repoprt'!W$1)</f>
        <v>265328</v>
      </c>
    </row>
    <row r="493" ht="15.75" customHeight="1">
      <c r="A493" s="10" t="s">
        <v>134</v>
      </c>
      <c r="B493" s="10" t="s">
        <v>134</v>
      </c>
      <c r="C493" s="10"/>
      <c r="D493" s="10" t="s">
        <v>291</v>
      </c>
      <c r="E493" s="10" t="s">
        <v>29</v>
      </c>
      <c r="F493" s="17">
        <v>0.027042857142857143</v>
      </c>
      <c r="G493" s="17">
        <f t="shared" ref="G493:W493" si="164">IFERROR(G491/G488,0)</f>
        <v>0.004206983593</v>
      </c>
      <c r="H493" s="17">
        <f t="shared" si="164"/>
        <v>0.006148686417</v>
      </c>
      <c r="I493" s="17">
        <f t="shared" si="164"/>
        <v>0.004176334107</v>
      </c>
      <c r="J493" s="17">
        <f t="shared" si="164"/>
        <v>0.005265210608</v>
      </c>
      <c r="K493" s="17">
        <f t="shared" si="164"/>
        <v>0.004213938412</v>
      </c>
      <c r="L493" s="17">
        <f t="shared" si="164"/>
        <v>0.003393281303</v>
      </c>
      <c r="M493" s="17">
        <f t="shared" si="164"/>
        <v>0.00352799183</v>
      </c>
      <c r="N493" s="17">
        <f t="shared" si="164"/>
        <v>0.00358056266</v>
      </c>
      <c r="O493" s="17">
        <f t="shared" si="164"/>
        <v>0.006932409012</v>
      </c>
      <c r="P493" s="17">
        <f t="shared" si="164"/>
        <v>0.002888503755</v>
      </c>
      <c r="Q493" s="17">
        <f t="shared" si="164"/>
        <v>0.004126679463</v>
      </c>
      <c r="R493" s="17">
        <f t="shared" si="164"/>
        <v>0.003071672355</v>
      </c>
      <c r="S493" s="17">
        <f t="shared" si="164"/>
        <v>0.002998264163</v>
      </c>
      <c r="T493" s="17">
        <f t="shared" si="164"/>
        <v>0.002474022761</v>
      </c>
      <c r="U493" s="17">
        <f t="shared" si="164"/>
        <v>0.002882305845</v>
      </c>
      <c r="V493" s="17">
        <f t="shared" si="164"/>
        <v>0.002620295379</v>
      </c>
      <c r="W493" s="17">
        <f t="shared" si="164"/>
        <v>0.003307046553</v>
      </c>
    </row>
    <row r="494" ht="15.75" customHeight="1">
      <c r="A494" s="10" t="s">
        <v>134</v>
      </c>
      <c r="B494" s="10" t="s">
        <v>134</v>
      </c>
      <c r="C494" s="10"/>
      <c r="D494" s="10" t="s">
        <v>304</v>
      </c>
      <c r="E494" s="10" t="s">
        <v>257</v>
      </c>
      <c r="F494" s="3">
        <f t="shared" ref="F494:F498" si="165">SUM(G494:S494)</f>
        <v>81843</v>
      </c>
      <c r="G494" s="3">
        <f>SUMIFS('Business - Dump'!$G:$G,'Business - Dump'!$D:$D,'SKU Repoprt'!$D494,'Business - Dump'!$A:$A,'SKU Repoprt'!G$1)</f>
        <v>1372</v>
      </c>
      <c r="H494" s="3">
        <f>SUMIFS('Business - Dump'!$G:$G,'Business - Dump'!$D:$D,'SKU Repoprt'!$D494,'Business - Dump'!$A:$A,'SKU Repoprt'!H$1)</f>
        <v>1644</v>
      </c>
      <c r="I494" s="3">
        <f>SUMIFS('Business - Dump'!$G:$G,'Business - Dump'!$D:$D,'SKU Repoprt'!$D494,'Business - Dump'!$A:$A,'SKU Repoprt'!I$1)</f>
        <v>1401</v>
      </c>
      <c r="J494" s="3">
        <f>SUMIFS('Business - Dump'!$G:$G,'Business - Dump'!$D:$D,'SKU Repoprt'!$D494,'Business - Dump'!$A:$A,'SKU Repoprt'!J$1)</f>
        <v>2879</v>
      </c>
      <c r="K494" s="3">
        <f>SUMIFS('Business - Dump'!$G:$G,'Business - Dump'!$D:$D,'SKU Repoprt'!$D494,'Business - Dump'!$A:$A,'SKU Repoprt'!K$1)</f>
        <v>5836</v>
      </c>
      <c r="L494" s="3">
        <f>SUMIFS('Business - Dump'!$G:$G,'Business - Dump'!$D:$D,'SKU Repoprt'!$D494,'Business - Dump'!$A:$A,'SKU Repoprt'!L$1)</f>
        <v>6934</v>
      </c>
      <c r="M494" s="3">
        <f>SUMIFS('Business - Dump'!$G:$G,'Business - Dump'!$D:$D,'SKU Repoprt'!$D494,'Business - Dump'!$A:$A,'SKU Repoprt'!M$1)</f>
        <v>10483</v>
      </c>
      <c r="N494" s="3">
        <f>SUMIFS('Business - Dump'!$G:$G,'Business - Dump'!$D:$D,'SKU Repoprt'!$D494,'Business - Dump'!$A:$A,'SKU Repoprt'!N$1)</f>
        <v>7493</v>
      </c>
      <c r="O494" s="3">
        <f>SUMIFS('Business - Dump'!$G:$G,'Business - Dump'!$D:$D,'SKU Repoprt'!$D494,'Business - Dump'!$A:$A,'SKU Repoprt'!O$1)</f>
        <v>8643</v>
      </c>
      <c r="P494" s="3">
        <f>SUMIFS('Business - Dump'!$G:$G,'Business - Dump'!$D:$D,'SKU Repoprt'!$D494,'Business - Dump'!$A:$A,'SKU Repoprt'!P$1)</f>
        <v>7778</v>
      </c>
      <c r="Q494" s="3">
        <f>SUMIFS('Business - Dump'!$G:$G,'Business - Dump'!$D:$D,'SKU Repoprt'!$D494,'Business - Dump'!$A:$A,'SKU Repoprt'!Q$1)</f>
        <v>12603</v>
      </c>
      <c r="R494" s="3">
        <f>SUMIFS('Business - Dump'!$G:$G,'Business - Dump'!$D:$D,'SKU Repoprt'!$D494,'Business - Dump'!$A:$A,'SKU Repoprt'!R$1)</f>
        <v>9230</v>
      </c>
      <c r="S494" s="3">
        <f>SUMIFS('Business - Dump'!$G:$G,'Business - Dump'!$D:$D,'SKU Repoprt'!$D494,'Business - Dump'!$A:$A,'SKU Repoprt'!S$1)</f>
        <v>5547</v>
      </c>
      <c r="T494" s="3">
        <f>SUMIFS('Business - Dump'!$G:$G,'Business - Dump'!$D:$D,'SKU Repoprt'!$D494,'Business - Dump'!$A:$A,'SKU Repoprt'!T$1)</f>
        <v>4963</v>
      </c>
      <c r="U494" s="3">
        <f>SUMIFS('Business - Dump'!$G:$G,'Business - Dump'!$D:$D,'SKU Repoprt'!$D494,'Business - Dump'!$A:$A,'SKU Repoprt'!U$1)</f>
        <v>6624</v>
      </c>
      <c r="V494" s="3">
        <f>SUMIFS('Business - Dump'!$G:$G,'Business - Dump'!$D:$D,'SKU Repoprt'!$D494,'Business - Dump'!$A:$A,'SKU Repoprt'!V$1)</f>
        <v>4948</v>
      </c>
      <c r="W494" s="3">
        <f>SUMIFS('Business - Dump'!$G:$G,'Business - Dump'!$D:$D,'SKU Repoprt'!$D494,'Business - Dump'!$A:$A,'SKU Repoprt'!W$1)</f>
        <v>1775</v>
      </c>
    </row>
    <row r="495" ht="15.75" customHeight="1">
      <c r="A495" s="10" t="s">
        <v>134</v>
      </c>
      <c r="B495" s="10" t="s">
        <v>134</v>
      </c>
      <c r="C495" s="10"/>
      <c r="D495" s="10" t="s">
        <v>304</v>
      </c>
      <c r="E495" s="10" t="s">
        <v>260</v>
      </c>
      <c r="F495" s="3">
        <f t="shared" si="165"/>
        <v>114663</v>
      </c>
      <c r="G495" s="3">
        <f>SUMIFS('Business - Dump'!$K:$K,'Business - Dump'!$D:$D,'SKU Repoprt'!$D495,'Business - Dump'!$A:$A,'SKU Repoprt'!G$1)</f>
        <v>1813</v>
      </c>
      <c r="H495" s="3">
        <f>SUMIFS('Business - Dump'!$K:$K,'Business - Dump'!$D:$D,'SKU Repoprt'!$D495,'Business - Dump'!$A:$A,'SKU Repoprt'!H$1)</f>
        <v>2327</v>
      </c>
      <c r="I495" s="3">
        <f>SUMIFS('Business - Dump'!$K:$K,'Business - Dump'!$D:$D,'SKU Repoprt'!$D495,'Business - Dump'!$A:$A,'SKU Repoprt'!I$1)</f>
        <v>1969</v>
      </c>
      <c r="J495" s="3">
        <f>SUMIFS('Business - Dump'!$K:$K,'Business - Dump'!$D:$D,'SKU Repoprt'!$D495,'Business - Dump'!$A:$A,'SKU Repoprt'!J$1)</f>
        <v>3986</v>
      </c>
      <c r="K495" s="3">
        <f>SUMIFS('Business - Dump'!$K:$K,'Business - Dump'!$D:$D,'SKU Repoprt'!$D495,'Business - Dump'!$A:$A,'SKU Repoprt'!K$1)</f>
        <v>8097</v>
      </c>
      <c r="L495" s="3">
        <f>SUMIFS('Business - Dump'!$K:$K,'Business - Dump'!$D:$D,'SKU Repoprt'!$D495,'Business - Dump'!$A:$A,'SKU Repoprt'!L$1)</f>
        <v>10125</v>
      </c>
      <c r="M495" s="3">
        <f>SUMIFS('Business - Dump'!$K:$K,'Business - Dump'!$D:$D,'SKU Repoprt'!$D495,'Business - Dump'!$A:$A,'SKU Repoprt'!M$1)</f>
        <v>16296</v>
      </c>
      <c r="N495" s="3">
        <f>SUMIFS('Business - Dump'!$K:$K,'Business - Dump'!$D:$D,'SKU Repoprt'!$D495,'Business - Dump'!$A:$A,'SKU Repoprt'!N$1)</f>
        <v>10009</v>
      </c>
      <c r="O495" s="3">
        <f>SUMIFS('Business - Dump'!$K:$K,'Business - Dump'!$D:$D,'SKU Repoprt'!$D495,'Business - Dump'!$A:$A,'SKU Repoprt'!O$1)</f>
        <v>12312</v>
      </c>
      <c r="P495" s="3">
        <f>SUMIFS('Business - Dump'!$K:$K,'Business - Dump'!$D:$D,'SKU Repoprt'!$D495,'Business - Dump'!$A:$A,'SKU Repoprt'!P$1)</f>
        <v>10395</v>
      </c>
      <c r="Q495" s="3">
        <f>SUMIFS('Business - Dump'!$K:$K,'Business - Dump'!$D:$D,'SKU Repoprt'!$D495,'Business - Dump'!$A:$A,'SKU Repoprt'!Q$1)</f>
        <v>17340</v>
      </c>
      <c r="R495" s="3">
        <f>SUMIFS('Business - Dump'!$K:$K,'Business - Dump'!$D:$D,'SKU Repoprt'!$D495,'Business - Dump'!$A:$A,'SKU Repoprt'!R$1)</f>
        <v>12630</v>
      </c>
      <c r="S495" s="3">
        <f>SUMIFS('Business - Dump'!$K:$K,'Business - Dump'!$D:$D,'SKU Repoprt'!$D495,'Business - Dump'!$A:$A,'SKU Repoprt'!S$1)</f>
        <v>7364</v>
      </c>
      <c r="T495" s="3">
        <f>SUMIFS('Business - Dump'!$K:$K,'Business - Dump'!$D:$D,'SKU Repoprt'!$D495,'Business - Dump'!$A:$A,'SKU Repoprt'!T$1)</f>
        <v>6784</v>
      </c>
      <c r="U495" s="3">
        <f>SUMIFS('Business - Dump'!$K:$K,'Business - Dump'!$D:$D,'SKU Repoprt'!$D495,'Business - Dump'!$A:$A,'SKU Repoprt'!U$1)</f>
        <v>8766</v>
      </c>
      <c r="V495" s="3">
        <f>SUMIFS('Business - Dump'!$K:$K,'Business - Dump'!$D:$D,'SKU Repoprt'!$D495,'Business - Dump'!$A:$A,'SKU Repoprt'!V$1)</f>
        <v>6623</v>
      </c>
      <c r="W495" s="3">
        <f>SUMIFS('Business - Dump'!$K:$K,'Business - Dump'!$D:$D,'SKU Repoprt'!$D495,'Business - Dump'!$A:$A,'SKU Repoprt'!W$1)</f>
        <v>2396</v>
      </c>
    </row>
    <row r="496" ht="15.75" customHeight="1">
      <c r="A496" s="10" t="s">
        <v>134</v>
      </c>
      <c r="B496" s="10" t="s">
        <v>134</v>
      </c>
      <c r="C496" s="10"/>
      <c r="D496" s="10" t="s">
        <v>304</v>
      </c>
      <c r="E496" s="10" t="s">
        <v>264</v>
      </c>
      <c r="F496" s="3">
        <f t="shared" si="165"/>
        <v>314</v>
      </c>
      <c r="G496" s="3">
        <f>SUMIFS('Business - Dump'!$Q:$Q,'Business - Dump'!$D:$D,'SKU Repoprt'!$D496,'Business - Dump'!$A:$A,'SKU Repoprt'!G$1)</f>
        <v>7</v>
      </c>
      <c r="H496" s="3">
        <f>SUMIFS('Business - Dump'!$Q:$Q,'Business - Dump'!$D:$D,'SKU Repoprt'!$D496,'Business - Dump'!$A:$A,'SKU Repoprt'!H$1)</f>
        <v>13</v>
      </c>
      <c r="I496" s="3">
        <f>SUMIFS('Business - Dump'!$Q:$Q,'Business - Dump'!$D:$D,'SKU Repoprt'!$D496,'Business - Dump'!$A:$A,'SKU Repoprt'!I$1)</f>
        <v>17</v>
      </c>
      <c r="J496" s="3">
        <f>SUMIFS('Business - Dump'!$Q:$Q,'Business - Dump'!$D:$D,'SKU Repoprt'!$D496,'Business - Dump'!$A:$A,'SKU Repoprt'!J$1)</f>
        <v>18</v>
      </c>
      <c r="K496" s="3">
        <f>SUMIFS('Business - Dump'!$Q:$Q,'Business - Dump'!$D:$D,'SKU Repoprt'!$D496,'Business - Dump'!$A:$A,'SKU Repoprt'!K$1)</f>
        <v>23</v>
      </c>
      <c r="L496" s="3">
        <f>SUMIFS('Business - Dump'!$Q:$Q,'Business - Dump'!$D:$D,'SKU Repoprt'!$D496,'Business - Dump'!$A:$A,'SKU Repoprt'!L$1)</f>
        <v>21</v>
      </c>
      <c r="M496" s="3">
        <f>SUMIFS('Business - Dump'!$Q:$Q,'Business - Dump'!$D:$D,'SKU Repoprt'!$D496,'Business - Dump'!$A:$A,'SKU Repoprt'!M$1)</f>
        <v>21</v>
      </c>
      <c r="N496" s="3">
        <f>SUMIFS('Business - Dump'!$Q:$Q,'Business - Dump'!$D:$D,'SKU Repoprt'!$D496,'Business - Dump'!$A:$A,'SKU Repoprt'!N$1)</f>
        <v>21</v>
      </c>
      <c r="O496" s="3">
        <f>SUMIFS('Business - Dump'!$Q:$Q,'Business - Dump'!$D:$D,'SKU Repoprt'!$D496,'Business - Dump'!$A:$A,'SKU Repoprt'!O$1)</f>
        <v>32</v>
      </c>
      <c r="P496" s="3">
        <f>SUMIFS('Business - Dump'!$Q:$Q,'Business - Dump'!$D:$D,'SKU Repoprt'!$D496,'Business - Dump'!$A:$A,'SKU Repoprt'!P$1)</f>
        <v>38</v>
      </c>
      <c r="Q496" s="3">
        <f>SUMIFS('Business - Dump'!$Q:$Q,'Business - Dump'!$D:$D,'SKU Repoprt'!$D496,'Business - Dump'!$A:$A,'SKU Repoprt'!Q$1)</f>
        <v>54</v>
      </c>
      <c r="R496" s="3">
        <f>SUMIFS('Business - Dump'!$Q:$Q,'Business - Dump'!$D:$D,'SKU Repoprt'!$D496,'Business - Dump'!$A:$A,'SKU Repoprt'!R$1)</f>
        <v>28</v>
      </c>
      <c r="S496" s="3">
        <f>SUMIFS('Business - Dump'!$Q:$Q,'Business - Dump'!$D:$D,'SKU Repoprt'!$D496,'Business - Dump'!$A:$A,'SKU Repoprt'!S$1)</f>
        <v>21</v>
      </c>
      <c r="T496" s="3">
        <f>SUMIFS('Business - Dump'!$Q:$Q,'Business - Dump'!$D:$D,'SKU Repoprt'!$D496,'Business - Dump'!$A:$A,'SKU Repoprt'!T$1)</f>
        <v>11</v>
      </c>
      <c r="U496" s="3">
        <f>SUMIFS('Business - Dump'!$Q:$Q,'Business - Dump'!$D:$D,'SKU Repoprt'!$D496,'Business - Dump'!$A:$A,'SKU Repoprt'!U$1)</f>
        <v>10</v>
      </c>
      <c r="V496" s="3">
        <f>SUMIFS('Business - Dump'!$Q:$Q,'Business - Dump'!$D:$D,'SKU Repoprt'!$D496,'Business - Dump'!$A:$A,'SKU Repoprt'!V$1)</f>
        <v>9</v>
      </c>
      <c r="W496" s="3">
        <f>SUMIFS('Business - Dump'!$Q:$Q,'Business - Dump'!$D:$D,'SKU Repoprt'!$D496,'Business - Dump'!$A:$A,'SKU Repoprt'!W$1)</f>
        <v>10</v>
      </c>
    </row>
    <row r="497" ht="15.75" customHeight="1">
      <c r="A497" s="10" t="s">
        <v>134</v>
      </c>
      <c r="B497" s="10" t="s">
        <v>134</v>
      </c>
      <c r="C497" s="10"/>
      <c r="D497" s="10" t="s">
        <v>304</v>
      </c>
      <c r="E497" s="10" t="s">
        <v>268</v>
      </c>
      <c r="F497" s="3">
        <f t="shared" si="165"/>
        <v>314</v>
      </c>
      <c r="G497" s="3">
        <f>SUMIFS('Business - Dump'!$W:$W,'Business - Dump'!$D:$D,'SKU Repoprt'!$D497,'Business - Dump'!$A:$A,'SKU Repoprt'!G$1)</f>
        <v>7</v>
      </c>
      <c r="H497" s="3">
        <f>SUMIFS('Business - Dump'!$W:$W,'Business - Dump'!$D:$D,'SKU Repoprt'!$D497,'Business - Dump'!$A:$A,'SKU Repoprt'!H$1)</f>
        <v>13</v>
      </c>
      <c r="I497" s="3">
        <f>SUMIFS('Business - Dump'!$W:$W,'Business - Dump'!$D:$D,'SKU Repoprt'!$D497,'Business - Dump'!$A:$A,'SKU Repoprt'!I$1)</f>
        <v>17</v>
      </c>
      <c r="J497" s="3">
        <f>SUMIFS('Business - Dump'!$W:$W,'Business - Dump'!$D:$D,'SKU Repoprt'!$D497,'Business - Dump'!$A:$A,'SKU Repoprt'!J$1)</f>
        <v>18</v>
      </c>
      <c r="K497" s="3">
        <f>SUMIFS('Business - Dump'!$W:$W,'Business - Dump'!$D:$D,'SKU Repoprt'!$D497,'Business - Dump'!$A:$A,'SKU Repoprt'!K$1)</f>
        <v>23</v>
      </c>
      <c r="L497" s="3">
        <f>SUMIFS('Business - Dump'!$W:$W,'Business - Dump'!$D:$D,'SKU Repoprt'!$D497,'Business - Dump'!$A:$A,'SKU Repoprt'!L$1)</f>
        <v>21</v>
      </c>
      <c r="M497" s="3">
        <f>SUMIFS('Business - Dump'!$W:$W,'Business - Dump'!$D:$D,'SKU Repoprt'!$D497,'Business - Dump'!$A:$A,'SKU Repoprt'!M$1)</f>
        <v>21</v>
      </c>
      <c r="N497" s="3">
        <f>SUMIFS('Business - Dump'!$W:$W,'Business - Dump'!$D:$D,'SKU Repoprt'!$D497,'Business - Dump'!$A:$A,'SKU Repoprt'!N$1)</f>
        <v>21</v>
      </c>
      <c r="O497" s="3">
        <f>SUMIFS('Business - Dump'!$W:$W,'Business - Dump'!$D:$D,'SKU Repoprt'!$D497,'Business - Dump'!$A:$A,'SKU Repoprt'!O$1)</f>
        <v>32</v>
      </c>
      <c r="P497" s="3">
        <f>SUMIFS('Business - Dump'!$W:$W,'Business - Dump'!$D:$D,'SKU Repoprt'!$D497,'Business - Dump'!$A:$A,'SKU Repoprt'!P$1)</f>
        <v>38</v>
      </c>
      <c r="Q497" s="3">
        <f>SUMIFS('Business - Dump'!$W:$W,'Business - Dump'!$D:$D,'SKU Repoprt'!$D497,'Business - Dump'!$A:$A,'SKU Repoprt'!Q$1)</f>
        <v>54</v>
      </c>
      <c r="R497" s="3">
        <f>SUMIFS('Business - Dump'!$W:$W,'Business - Dump'!$D:$D,'SKU Repoprt'!$D497,'Business - Dump'!$A:$A,'SKU Repoprt'!R$1)</f>
        <v>28</v>
      </c>
      <c r="S497" s="3">
        <f>SUMIFS('Business - Dump'!$W:$W,'Business - Dump'!$D:$D,'SKU Repoprt'!$D497,'Business - Dump'!$A:$A,'SKU Repoprt'!S$1)</f>
        <v>21</v>
      </c>
      <c r="T497" s="3">
        <f>SUMIFS('Business - Dump'!$W:$W,'Business - Dump'!$D:$D,'SKU Repoprt'!$D497,'Business - Dump'!$A:$A,'SKU Repoprt'!T$1)</f>
        <v>11</v>
      </c>
      <c r="U497" s="3">
        <f>SUMIFS('Business - Dump'!$W:$W,'Business - Dump'!$D:$D,'SKU Repoprt'!$D497,'Business - Dump'!$A:$A,'SKU Repoprt'!U$1)</f>
        <v>10</v>
      </c>
      <c r="V497" s="3">
        <f>SUMIFS('Business - Dump'!$W:$W,'Business - Dump'!$D:$D,'SKU Repoprt'!$D497,'Business - Dump'!$A:$A,'SKU Repoprt'!V$1)</f>
        <v>9</v>
      </c>
      <c r="W497" s="3">
        <f>SUMIFS('Business - Dump'!$W:$W,'Business - Dump'!$D:$D,'SKU Repoprt'!$D497,'Business - Dump'!$A:$A,'SKU Repoprt'!W$1)</f>
        <v>10</v>
      </c>
    </row>
    <row r="498" ht="15.75" customHeight="1">
      <c r="A498" s="10" t="s">
        <v>134</v>
      </c>
      <c r="B498" s="10" t="s">
        <v>134</v>
      </c>
      <c r="C498" s="10"/>
      <c r="D498" s="10" t="s">
        <v>304</v>
      </c>
      <c r="E498" s="10" t="s">
        <v>26</v>
      </c>
      <c r="F498" s="16">
        <f t="shared" si="165"/>
        <v>6544619.84</v>
      </c>
      <c r="G498" s="16">
        <f>SUMIFS('Business - Dump'!$U:$U,'Business - Dump'!$D:$D,'SKU Repoprt'!$D498,'Business - Dump'!$A:$A,'SKU Repoprt'!G$1)</f>
        <v>146300</v>
      </c>
      <c r="H498" s="16">
        <f>SUMIFS('Business - Dump'!$U:$U,'Business - Dump'!$D:$D,'SKU Repoprt'!$D498,'Business - Dump'!$A:$A,'SKU Repoprt'!H$1)</f>
        <v>271700</v>
      </c>
      <c r="I498" s="16">
        <f>SUMIFS('Business - Dump'!$U:$U,'Business - Dump'!$D:$D,'SKU Repoprt'!$D498,'Business - Dump'!$A:$A,'SKU Repoprt'!I$1)</f>
        <v>355300</v>
      </c>
      <c r="J498" s="16">
        <f>SUMIFS('Business - Dump'!$U:$U,'Business - Dump'!$D:$D,'SKU Repoprt'!$D498,'Business - Dump'!$A:$A,'SKU Repoprt'!J$1)</f>
        <v>376200</v>
      </c>
      <c r="K498" s="16">
        <f>SUMIFS('Business - Dump'!$U:$U,'Business - Dump'!$D:$D,'SKU Repoprt'!$D498,'Business - Dump'!$A:$A,'SKU Repoprt'!K$1)</f>
        <v>486379.68</v>
      </c>
      <c r="L498" s="16">
        <f>SUMIFS('Business - Dump'!$U:$U,'Business - Dump'!$D:$D,'SKU Repoprt'!$D498,'Business - Dump'!$A:$A,'SKU Repoprt'!L$1)</f>
        <v>445016.96</v>
      </c>
      <c r="M498" s="16">
        <f>SUMIFS('Business - Dump'!$U:$U,'Business - Dump'!$D:$D,'SKU Repoprt'!$D498,'Business - Dump'!$A:$A,'SKU Repoprt'!M$1)</f>
        <v>439233.92</v>
      </c>
      <c r="N498" s="16">
        <f>SUMIFS('Business - Dump'!$U:$U,'Business - Dump'!$D:$D,'SKU Repoprt'!$D498,'Business - Dump'!$A:$A,'SKU Repoprt'!N$1)</f>
        <v>445200</v>
      </c>
      <c r="O498" s="16">
        <f>SUMIFS('Business - Dump'!$U:$U,'Business - Dump'!$D:$D,'SKU Repoprt'!$D498,'Business - Dump'!$A:$A,'SKU Repoprt'!O$1)</f>
        <v>670100</v>
      </c>
      <c r="P498" s="16">
        <f>SUMIFS('Business - Dump'!$U:$U,'Business - Dump'!$D:$D,'SKU Repoprt'!$D498,'Business - Dump'!$A:$A,'SKU Repoprt'!P$1)</f>
        <v>797225.44</v>
      </c>
      <c r="Q498" s="16">
        <f>SUMIFS('Business - Dump'!$U:$U,'Business - Dump'!$D:$D,'SKU Repoprt'!$D498,'Business - Dump'!$A:$A,'SKU Repoprt'!Q$1)</f>
        <v>1102629.43</v>
      </c>
      <c r="R498" s="16">
        <f>SUMIFS('Business - Dump'!$U:$U,'Business - Dump'!$D:$D,'SKU Repoprt'!$D498,'Business - Dump'!$A:$A,'SKU Repoprt'!R$1)</f>
        <v>552950.51</v>
      </c>
      <c r="S498" s="16">
        <f>SUMIFS('Business - Dump'!$U:$U,'Business - Dump'!$D:$D,'SKU Repoprt'!$D498,'Business - Dump'!$A:$A,'SKU Repoprt'!S$1)</f>
        <v>456383.9</v>
      </c>
      <c r="T498" s="16">
        <f>SUMIFS('Business - Dump'!$U:$U,'Business - Dump'!$D:$D,'SKU Repoprt'!$D498,'Business - Dump'!$A:$A,'SKU Repoprt'!T$1)</f>
        <v>235710.51</v>
      </c>
      <c r="U498" s="16">
        <f>SUMIFS('Business - Dump'!$U:$U,'Business - Dump'!$D:$D,'SKU Repoprt'!$D498,'Business - Dump'!$A:$A,'SKU Repoprt'!U$1)</f>
        <v>213059</v>
      </c>
      <c r="V498" s="16">
        <f>SUMIFS('Business - Dump'!$U:$U,'Business - Dump'!$D:$D,'SKU Repoprt'!$D498,'Business - Dump'!$A:$A,'SKU Repoprt'!V$1)</f>
        <v>187399.3</v>
      </c>
      <c r="W498" s="16">
        <f>SUMIFS('Business - Dump'!$U:$U,'Business - Dump'!$D:$D,'SKU Repoprt'!$D498,'Business - Dump'!$A:$A,'SKU Repoprt'!W$1)</f>
        <v>199631.7</v>
      </c>
    </row>
    <row r="499" ht="15.75" customHeight="1">
      <c r="A499" s="10" t="s">
        <v>134</v>
      </c>
      <c r="B499" s="10" t="s">
        <v>134</v>
      </c>
      <c r="C499" s="10"/>
      <c r="D499" s="10" t="s">
        <v>304</v>
      </c>
      <c r="E499" s="10" t="s">
        <v>29</v>
      </c>
      <c r="F499" s="17">
        <v>0.027042857142857143</v>
      </c>
      <c r="G499" s="17">
        <f t="shared" ref="G499:W499" si="166">IFERROR(G497/G494,0)</f>
        <v>0.005102040816</v>
      </c>
      <c r="H499" s="17">
        <f t="shared" si="166"/>
        <v>0.007907542579</v>
      </c>
      <c r="I499" s="17">
        <f t="shared" si="166"/>
        <v>0.01213418986</v>
      </c>
      <c r="J499" s="17">
        <f t="shared" si="166"/>
        <v>0.006252170893</v>
      </c>
      <c r="K499" s="17">
        <f t="shared" si="166"/>
        <v>0.003941055517</v>
      </c>
      <c r="L499" s="17">
        <f t="shared" si="166"/>
        <v>0.003028554947</v>
      </c>
      <c r="M499" s="17">
        <f t="shared" si="166"/>
        <v>0.002003243346</v>
      </c>
      <c r="N499" s="17">
        <f t="shared" si="166"/>
        <v>0.002802615775</v>
      </c>
      <c r="O499" s="17">
        <f t="shared" si="166"/>
        <v>0.003702418142</v>
      </c>
      <c r="P499" s="17">
        <f t="shared" si="166"/>
        <v>0.004885574698</v>
      </c>
      <c r="Q499" s="17">
        <f t="shared" si="166"/>
        <v>0.00428469412</v>
      </c>
      <c r="R499" s="17">
        <f t="shared" si="166"/>
        <v>0.003033586132</v>
      </c>
      <c r="S499" s="17">
        <f t="shared" si="166"/>
        <v>0.003785830178</v>
      </c>
      <c r="T499" s="17">
        <f t="shared" si="166"/>
        <v>0.00221640137</v>
      </c>
      <c r="U499" s="17">
        <f t="shared" si="166"/>
        <v>0.001509661836</v>
      </c>
      <c r="V499" s="17">
        <f t="shared" si="166"/>
        <v>0.001818916734</v>
      </c>
      <c r="W499" s="17">
        <f t="shared" si="166"/>
        <v>0.005633802817</v>
      </c>
    </row>
    <row r="500" ht="15.75" customHeight="1">
      <c r="A500" s="10" t="s">
        <v>134</v>
      </c>
      <c r="B500" s="10" t="s">
        <v>134</v>
      </c>
      <c r="C500" s="10"/>
      <c r="D500" s="10" t="s">
        <v>301</v>
      </c>
      <c r="E500" s="10" t="s">
        <v>257</v>
      </c>
      <c r="F500" s="3">
        <f t="shared" ref="F500:F504" si="167">SUM(G500:S500)</f>
        <v>33505</v>
      </c>
      <c r="G500" s="3">
        <f>SUMIFS('Business - Dump'!$G:$G,'Business - Dump'!$D:$D,'SKU Repoprt'!$D500,'Business - Dump'!$A:$A,'SKU Repoprt'!G$1)</f>
        <v>2433</v>
      </c>
      <c r="H500" s="3">
        <f>SUMIFS('Business - Dump'!$G:$G,'Business - Dump'!$D:$D,'SKU Repoprt'!$D500,'Business - Dump'!$A:$A,'SKU Repoprt'!H$1)</f>
        <v>3004</v>
      </c>
      <c r="I500" s="3">
        <f>SUMIFS('Business - Dump'!$G:$G,'Business - Dump'!$D:$D,'SKU Repoprt'!$D500,'Business - Dump'!$A:$A,'SKU Repoprt'!I$1)</f>
        <v>1882</v>
      </c>
      <c r="J500" s="3">
        <f>SUMIFS('Business - Dump'!$G:$G,'Business - Dump'!$D:$D,'SKU Repoprt'!$D500,'Business - Dump'!$A:$A,'SKU Repoprt'!J$1)</f>
        <v>2494</v>
      </c>
      <c r="K500" s="3">
        <f>SUMIFS('Business - Dump'!$G:$G,'Business - Dump'!$D:$D,'SKU Repoprt'!$D500,'Business - Dump'!$A:$A,'SKU Repoprt'!K$1)</f>
        <v>3743</v>
      </c>
      <c r="L500" s="3">
        <f>SUMIFS('Business - Dump'!$G:$G,'Business - Dump'!$D:$D,'SKU Repoprt'!$D500,'Business - Dump'!$A:$A,'SKU Repoprt'!L$1)</f>
        <v>2517</v>
      </c>
      <c r="M500" s="3">
        <f>SUMIFS('Business - Dump'!$G:$G,'Business - Dump'!$D:$D,'SKU Repoprt'!$D500,'Business - Dump'!$A:$A,'SKU Repoprt'!M$1)</f>
        <v>3017</v>
      </c>
      <c r="N500" s="3">
        <f>SUMIFS('Business - Dump'!$G:$G,'Business - Dump'!$D:$D,'SKU Repoprt'!$D500,'Business - Dump'!$A:$A,'SKU Repoprt'!N$1)</f>
        <v>2335</v>
      </c>
      <c r="O500" s="3">
        <f>SUMIFS('Business - Dump'!$G:$G,'Business - Dump'!$D:$D,'SKU Repoprt'!$D500,'Business - Dump'!$A:$A,'SKU Repoprt'!O$1)</f>
        <v>1946</v>
      </c>
      <c r="P500" s="3">
        <f>SUMIFS('Business - Dump'!$G:$G,'Business - Dump'!$D:$D,'SKU Repoprt'!$D500,'Business - Dump'!$A:$A,'SKU Repoprt'!P$1)</f>
        <v>2800</v>
      </c>
      <c r="Q500" s="3">
        <f>SUMIFS('Business - Dump'!$G:$G,'Business - Dump'!$D:$D,'SKU Repoprt'!$D500,'Business - Dump'!$A:$A,'SKU Repoprt'!Q$1)</f>
        <v>3427</v>
      </c>
      <c r="R500" s="3">
        <f>SUMIFS('Business - Dump'!$G:$G,'Business - Dump'!$D:$D,'SKU Repoprt'!$D500,'Business - Dump'!$A:$A,'SKU Repoprt'!R$1)</f>
        <v>2426</v>
      </c>
      <c r="S500" s="3">
        <f>SUMIFS('Business - Dump'!$G:$G,'Business - Dump'!$D:$D,'SKU Repoprt'!$D500,'Business - Dump'!$A:$A,'SKU Repoprt'!S$1)</f>
        <v>1481</v>
      </c>
      <c r="T500" s="3">
        <f>SUMIFS('Business - Dump'!$G:$G,'Business - Dump'!$D:$D,'SKU Repoprt'!$D500,'Business - Dump'!$A:$A,'SKU Repoprt'!T$1)</f>
        <v>1787</v>
      </c>
      <c r="U500" s="3">
        <f>SUMIFS('Business - Dump'!$G:$G,'Business - Dump'!$D:$D,'SKU Repoprt'!$D500,'Business - Dump'!$A:$A,'SKU Repoprt'!U$1)</f>
        <v>2238</v>
      </c>
      <c r="V500" s="3">
        <f>SUMIFS('Business - Dump'!$G:$G,'Business - Dump'!$D:$D,'SKU Repoprt'!$D500,'Business - Dump'!$A:$A,'SKU Repoprt'!V$1)</f>
        <v>1334</v>
      </c>
      <c r="W500" s="3">
        <f>SUMIFS('Business - Dump'!$G:$G,'Business - Dump'!$D:$D,'SKU Repoprt'!$D500,'Business - Dump'!$A:$A,'SKU Repoprt'!W$1)</f>
        <v>1263</v>
      </c>
    </row>
    <row r="501" ht="15.75" customHeight="1">
      <c r="A501" s="10" t="s">
        <v>134</v>
      </c>
      <c r="B501" s="10" t="s">
        <v>134</v>
      </c>
      <c r="C501" s="10"/>
      <c r="D501" s="10" t="s">
        <v>301</v>
      </c>
      <c r="E501" s="10" t="s">
        <v>260</v>
      </c>
      <c r="F501" s="3">
        <f t="shared" si="167"/>
        <v>45512</v>
      </c>
      <c r="G501" s="3">
        <f>SUMIFS('Business - Dump'!$K:$K,'Business - Dump'!$D:$D,'SKU Repoprt'!$D501,'Business - Dump'!$A:$A,'SKU Repoprt'!G$1)</f>
        <v>3343</v>
      </c>
      <c r="H501" s="3">
        <f>SUMIFS('Business - Dump'!$K:$K,'Business - Dump'!$D:$D,'SKU Repoprt'!$D501,'Business - Dump'!$A:$A,'SKU Repoprt'!H$1)</f>
        <v>4410</v>
      </c>
      <c r="I501" s="3">
        <f>SUMIFS('Business - Dump'!$K:$K,'Business - Dump'!$D:$D,'SKU Repoprt'!$D501,'Business - Dump'!$A:$A,'SKU Repoprt'!I$1)</f>
        <v>2609</v>
      </c>
      <c r="J501" s="3">
        <f>SUMIFS('Business - Dump'!$K:$K,'Business - Dump'!$D:$D,'SKU Repoprt'!$D501,'Business - Dump'!$A:$A,'SKU Repoprt'!J$1)</f>
        <v>3537</v>
      </c>
      <c r="K501" s="3">
        <f>SUMIFS('Business - Dump'!$K:$K,'Business - Dump'!$D:$D,'SKU Repoprt'!$D501,'Business - Dump'!$A:$A,'SKU Repoprt'!K$1)</f>
        <v>5169</v>
      </c>
      <c r="L501" s="3">
        <f>SUMIFS('Business - Dump'!$K:$K,'Business - Dump'!$D:$D,'SKU Repoprt'!$D501,'Business - Dump'!$A:$A,'SKU Repoprt'!L$1)</f>
        <v>3388</v>
      </c>
      <c r="M501" s="3">
        <f>SUMIFS('Business - Dump'!$K:$K,'Business - Dump'!$D:$D,'SKU Repoprt'!$D501,'Business - Dump'!$A:$A,'SKU Repoprt'!M$1)</f>
        <v>4082</v>
      </c>
      <c r="N501" s="3">
        <f>SUMIFS('Business - Dump'!$K:$K,'Business - Dump'!$D:$D,'SKU Repoprt'!$D501,'Business - Dump'!$A:$A,'SKU Repoprt'!N$1)</f>
        <v>2841</v>
      </c>
      <c r="O501" s="3">
        <f>SUMIFS('Business - Dump'!$K:$K,'Business - Dump'!$D:$D,'SKU Repoprt'!$D501,'Business - Dump'!$A:$A,'SKU Repoprt'!O$1)</f>
        <v>2566</v>
      </c>
      <c r="P501" s="3">
        <f>SUMIFS('Business - Dump'!$K:$K,'Business - Dump'!$D:$D,'SKU Repoprt'!$D501,'Business - Dump'!$A:$A,'SKU Repoprt'!P$1)</f>
        <v>3476</v>
      </c>
      <c r="Q501" s="3">
        <f>SUMIFS('Business - Dump'!$K:$K,'Business - Dump'!$D:$D,'SKU Repoprt'!$D501,'Business - Dump'!$A:$A,'SKU Repoprt'!Q$1)</f>
        <v>4606</v>
      </c>
      <c r="R501" s="3">
        <f>SUMIFS('Business - Dump'!$K:$K,'Business - Dump'!$D:$D,'SKU Repoprt'!$D501,'Business - Dump'!$A:$A,'SKU Repoprt'!R$1)</f>
        <v>3463</v>
      </c>
      <c r="S501" s="3">
        <f>SUMIFS('Business - Dump'!$K:$K,'Business - Dump'!$D:$D,'SKU Repoprt'!$D501,'Business - Dump'!$A:$A,'SKU Repoprt'!S$1)</f>
        <v>2022</v>
      </c>
      <c r="T501" s="3">
        <f>SUMIFS('Business - Dump'!$K:$K,'Business - Dump'!$D:$D,'SKU Repoprt'!$D501,'Business - Dump'!$A:$A,'SKU Repoprt'!T$1)</f>
        <v>2198</v>
      </c>
      <c r="U501" s="3">
        <f>SUMIFS('Business - Dump'!$K:$K,'Business - Dump'!$D:$D,'SKU Repoprt'!$D501,'Business - Dump'!$A:$A,'SKU Repoprt'!U$1)</f>
        <v>2960</v>
      </c>
      <c r="V501" s="3">
        <f>SUMIFS('Business - Dump'!$K:$K,'Business - Dump'!$D:$D,'SKU Repoprt'!$D501,'Business - Dump'!$A:$A,'SKU Repoprt'!V$1)</f>
        <v>1786</v>
      </c>
      <c r="W501" s="3">
        <f>SUMIFS('Business - Dump'!$K:$K,'Business - Dump'!$D:$D,'SKU Repoprt'!$D501,'Business - Dump'!$A:$A,'SKU Repoprt'!W$1)</f>
        <v>1667</v>
      </c>
    </row>
    <row r="502" ht="15.75" customHeight="1">
      <c r="A502" s="10" t="s">
        <v>134</v>
      </c>
      <c r="B502" s="10" t="s">
        <v>134</v>
      </c>
      <c r="C502" s="10"/>
      <c r="D502" s="10" t="s">
        <v>301</v>
      </c>
      <c r="E502" s="10" t="s">
        <v>264</v>
      </c>
      <c r="F502" s="3">
        <f t="shared" si="167"/>
        <v>213</v>
      </c>
      <c r="G502" s="3">
        <f>SUMIFS('Business - Dump'!$Q:$Q,'Business - Dump'!$D:$D,'SKU Repoprt'!$D502,'Business - Dump'!$A:$A,'SKU Repoprt'!G$1)</f>
        <v>8</v>
      </c>
      <c r="H502" s="3">
        <f>SUMIFS('Business - Dump'!$Q:$Q,'Business - Dump'!$D:$D,'SKU Repoprt'!$D502,'Business - Dump'!$A:$A,'SKU Repoprt'!H$1)</f>
        <v>16</v>
      </c>
      <c r="I502" s="3">
        <f>SUMIFS('Business - Dump'!$Q:$Q,'Business - Dump'!$D:$D,'SKU Repoprt'!$D502,'Business - Dump'!$A:$A,'SKU Repoprt'!I$1)</f>
        <v>12</v>
      </c>
      <c r="J502" s="3">
        <f>SUMIFS('Business - Dump'!$Q:$Q,'Business - Dump'!$D:$D,'SKU Repoprt'!$D502,'Business - Dump'!$A:$A,'SKU Repoprt'!J$1)</f>
        <v>16</v>
      </c>
      <c r="K502" s="3">
        <f>SUMIFS('Business - Dump'!$Q:$Q,'Business - Dump'!$D:$D,'SKU Repoprt'!$D502,'Business - Dump'!$A:$A,'SKU Repoprt'!K$1)</f>
        <v>25</v>
      </c>
      <c r="L502" s="3">
        <f>SUMIFS('Business - Dump'!$Q:$Q,'Business - Dump'!$D:$D,'SKU Repoprt'!$D502,'Business - Dump'!$A:$A,'SKU Repoprt'!L$1)</f>
        <v>25</v>
      </c>
      <c r="M502" s="3">
        <f>SUMIFS('Business - Dump'!$Q:$Q,'Business - Dump'!$D:$D,'SKU Repoprt'!$D502,'Business - Dump'!$A:$A,'SKU Repoprt'!M$1)</f>
        <v>10</v>
      </c>
      <c r="N502" s="3">
        <f>SUMIFS('Business - Dump'!$Q:$Q,'Business - Dump'!$D:$D,'SKU Repoprt'!$D502,'Business - Dump'!$A:$A,'SKU Repoprt'!N$1)</f>
        <v>13</v>
      </c>
      <c r="O502" s="3">
        <f>SUMIFS('Business - Dump'!$Q:$Q,'Business - Dump'!$D:$D,'SKU Repoprt'!$D502,'Business - Dump'!$A:$A,'SKU Repoprt'!O$1)</f>
        <v>18</v>
      </c>
      <c r="P502" s="3">
        <f>SUMIFS('Business - Dump'!$Q:$Q,'Business - Dump'!$D:$D,'SKU Repoprt'!$D502,'Business - Dump'!$A:$A,'SKU Repoprt'!P$1)</f>
        <v>8</v>
      </c>
      <c r="Q502" s="3">
        <f>SUMIFS('Business - Dump'!$Q:$Q,'Business - Dump'!$D:$D,'SKU Repoprt'!$D502,'Business - Dump'!$A:$A,'SKU Repoprt'!Q$1)</f>
        <v>34</v>
      </c>
      <c r="R502" s="3">
        <f>SUMIFS('Business - Dump'!$Q:$Q,'Business - Dump'!$D:$D,'SKU Repoprt'!$D502,'Business - Dump'!$A:$A,'SKU Repoprt'!R$1)</f>
        <v>20</v>
      </c>
      <c r="S502" s="3">
        <f>SUMIFS('Business - Dump'!$Q:$Q,'Business - Dump'!$D:$D,'SKU Repoprt'!$D502,'Business - Dump'!$A:$A,'SKU Repoprt'!S$1)</f>
        <v>8</v>
      </c>
      <c r="T502" s="3">
        <f>SUMIFS('Business - Dump'!$Q:$Q,'Business - Dump'!$D:$D,'SKU Repoprt'!$D502,'Business - Dump'!$A:$A,'SKU Repoprt'!T$1)</f>
        <v>5</v>
      </c>
      <c r="U502" s="3">
        <f>SUMIFS('Business - Dump'!$Q:$Q,'Business - Dump'!$D:$D,'SKU Repoprt'!$D502,'Business - Dump'!$A:$A,'SKU Repoprt'!U$1)</f>
        <v>8</v>
      </c>
      <c r="V502" s="3">
        <f>SUMIFS('Business - Dump'!$Q:$Q,'Business - Dump'!$D:$D,'SKU Repoprt'!$D502,'Business - Dump'!$A:$A,'SKU Repoprt'!V$1)</f>
        <v>6</v>
      </c>
      <c r="W502" s="3">
        <f>SUMIFS('Business - Dump'!$Q:$Q,'Business - Dump'!$D:$D,'SKU Repoprt'!$D502,'Business - Dump'!$A:$A,'SKU Repoprt'!W$1)</f>
        <v>8</v>
      </c>
    </row>
    <row r="503" ht="15.75" customHeight="1">
      <c r="A503" s="10" t="s">
        <v>134</v>
      </c>
      <c r="B503" s="10" t="s">
        <v>134</v>
      </c>
      <c r="C503" s="10"/>
      <c r="D503" s="10" t="s">
        <v>301</v>
      </c>
      <c r="E503" s="10" t="s">
        <v>268</v>
      </c>
      <c r="F503" s="3">
        <f t="shared" si="167"/>
        <v>200</v>
      </c>
      <c r="G503" s="3">
        <f>SUMIFS('Business - Dump'!$W:$W,'Business - Dump'!$D:$D,'SKU Repoprt'!$D503,'Business - Dump'!$A:$A,'SKU Repoprt'!G$1)</f>
        <v>8</v>
      </c>
      <c r="H503" s="3">
        <f>SUMIFS('Business - Dump'!$W:$W,'Business - Dump'!$D:$D,'SKU Repoprt'!$D503,'Business - Dump'!$A:$A,'SKU Repoprt'!H$1)</f>
        <v>16</v>
      </c>
      <c r="I503" s="3">
        <f>SUMIFS('Business - Dump'!$W:$W,'Business - Dump'!$D:$D,'SKU Repoprt'!$D503,'Business - Dump'!$A:$A,'SKU Repoprt'!I$1)</f>
        <v>12</v>
      </c>
      <c r="J503" s="3">
        <f>SUMIFS('Business - Dump'!$W:$W,'Business - Dump'!$D:$D,'SKU Repoprt'!$D503,'Business - Dump'!$A:$A,'SKU Repoprt'!J$1)</f>
        <v>16</v>
      </c>
      <c r="K503" s="3">
        <f>SUMIFS('Business - Dump'!$W:$W,'Business - Dump'!$D:$D,'SKU Repoprt'!$D503,'Business - Dump'!$A:$A,'SKU Repoprt'!K$1)</f>
        <v>25</v>
      </c>
      <c r="L503" s="3">
        <f>SUMIFS('Business - Dump'!$W:$W,'Business - Dump'!$D:$D,'SKU Repoprt'!$D503,'Business - Dump'!$A:$A,'SKU Repoprt'!L$1)</f>
        <v>12</v>
      </c>
      <c r="M503" s="3">
        <f>SUMIFS('Business - Dump'!$W:$W,'Business - Dump'!$D:$D,'SKU Repoprt'!$D503,'Business - Dump'!$A:$A,'SKU Repoprt'!M$1)</f>
        <v>10</v>
      </c>
      <c r="N503" s="3">
        <f>SUMIFS('Business - Dump'!$W:$W,'Business - Dump'!$D:$D,'SKU Repoprt'!$D503,'Business - Dump'!$A:$A,'SKU Repoprt'!N$1)</f>
        <v>13</v>
      </c>
      <c r="O503" s="3">
        <f>SUMIFS('Business - Dump'!$W:$W,'Business - Dump'!$D:$D,'SKU Repoprt'!$D503,'Business - Dump'!$A:$A,'SKU Repoprt'!O$1)</f>
        <v>18</v>
      </c>
      <c r="P503" s="3">
        <f>SUMIFS('Business - Dump'!$W:$W,'Business - Dump'!$D:$D,'SKU Repoprt'!$D503,'Business - Dump'!$A:$A,'SKU Repoprt'!P$1)</f>
        <v>8</v>
      </c>
      <c r="Q503" s="3">
        <f>SUMIFS('Business - Dump'!$W:$W,'Business - Dump'!$D:$D,'SKU Repoprt'!$D503,'Business - Dump'!$A:$A,'SKU Repoprt'!Q$1)</f>
        <v>34</v>
      </c>
      <c r="R503" s="3">
        <f>SUMIFS('Business - Dump'!$W:$W,'Business - Dump'!$D:$D,'SKU Repoprt'!$D503,'Business - Dump'!$A:$A,'SKU Repoprt'!R$1)</f>
        <v>20</v>
      </c>
      <c r="S503" s="3">
        <f>SUMIFS('Business - Dump'!$W:$W,'Business - Dump'!$D:$D,'SKU Repoprt'!$D503,'Business - Dump'!$A:$A,'SKU Repoprt'!S$1)</f>
        <v>8</v>
      </c>
      <c r="T503" s="3">
        <f>SUMIFS('Business - Dump'!$W:$W,'Business - Dump'!$D:$D,'SKU Repoprt'!$D503,'Business - Dump'!$A:$A,'SKU Repoprt'!T$1)</f>
        <v>5</v>
      </c>
      <c r="U503" s="3">
        <f>SUMIFS('Business - Dump'!$W:$W,'Business - Dump'!$D:$D,'SKU Repoprt'!$D503,'Business - Dump'!$A:$A,'SKU Repoprt'!U$1)</f>
        <v>8</v>
      </c>
      <c r="V503" s="3">
        <f>SUMIFS('Business - Dump'!$W:$W,'Business - Dump'!$D:$D,'SKU Repoprt'!$D503,'Business - Dump'!$A:$A,'SKU Repoprt'!V$1)</f>
        <v>6</v>
      </c>
      <c r="W503" s="3">
        <f>SUMIFS('Business - Dump'!$W:$W,'Business - Dump'!$D:$D,'SKU Repoprt'!$D503,'Business - Dump'!$A:$A,'SKU Repoprt'!W$1)</f>
        <v>8</v>
      </c>
    </row>
    <row r="504" ht="15.75" customHeight="1">
      <c r="A504" s="10" t="s">
        <v>134</v>
      </c>
      <c r="B504" s="10" t="s">
        <v>134</v>
      </c>
      <c r="C504" s="10"/>
      <c r="D504" s="10" t="s">
        <v>301</v>
      </c>
      <c r="E504" s="10" t="s">
        <v>26</v>
      </c>
      <c r="F504" s="16">
        <f t="shared" si="167"/>
        <v>5159503.64</v>
      </c>
      <c r="G504" s="16">
        <f>SUMIFS('Business - Dump'!$U:$U,'Business - Dump'!$D:$D,'SKU Repoprt'!$D504,'Business - Dump'!$A:$A,'SKU Repoprt'!G$1)</f>
        <v>196000</v>
      </c>
      <c r="H504" s="16">
        <f>SUMIFS('Business - Dump'!$U:$U,'Business - Dump'!$D:$D,'SKU Repoprt'!$D504,'Business - Dump'!$A:$A,'SKU Repoprt'!H$1)</f>
        <v>392000</v>
      </c>
      <c r="I504" s="16">
        <f>SUMIFS('Business - Dump'!$U:$U,'Business - Dump'!$D:$D,'SKU Repoprt'!$D504,'Business - Dump'!$A:$A,'SKU Repoprt'!I$1)</f>
        <v>294000</v>
      </c>
      <c r="J504" s="16">
        <f>SUMIFS('Business - Dump'!$U:$U,'Business - Dump'!$D:$D,'SKU Repoprt'!$D504,'Business - Dump'!$A:$A,'SKU Repoprt'!J$1)</f>
        <v>392000</v>
      </c>
      <c r="K504" s="16">
        <f>SUMIFS('Business - Dump'!$U:$U,'Business - Dump'!$D:$D,'SKU Repoprt'!$D504,'Business - Dump'!$A:$A,'SKU Repoprt'!K$1)</f>
        <v>618825.44</v>
      </c>
      <c r="L504" s="16">
        <f>SUMIFS('Business - Dump'!$U:$U,'Business - Dump'!$D:$D,'SKU Repoprt'!$D504,'Business - Dump'!$A:$A,'SKU Repoprt'!L$1)</f>
        <v>619954.24</v>
      </c>
      <c r="M504" s="16">
        <f>SUMIFS('Business - Dump'!$U:$U,'Business - Dump'!$D:$D,'SKU Repoprt'!$D504,'Business - Dump'!$A:$A,'SKU Repoprt'!M$1)</f>
        <v>246879.68</v>
      </c>
      <c r="N504" s="16">
        <f>SUMIFS('Business - Dump'!$U:$U,'Business - Dump'!$D:$D,'SKU Repoprt'!$D504,'Business - Dump'!$A:$A,'SKU Repoprt'!N$1)</f>
        <v>335400</v>
      </c>
      <c r="O504" s="16">
        <f>SUMIFS('Business - Dump'!$U:$U,'Business - Dump'!$D:$D,'SKU Repoprt'!$D504,'Business - Dump'!$A:$A,'SKU Repoprt'!O$1)</f>
        <v>459507.48</v>
      </c>
      <c r="P504" s="16">
        <f>SUMIFS('Business - Dump'!$U:$U,'Business - Dump'!$D:$D,'SKU Repoprt'!$D504,'Business - Dump'!$A:$A,'SKU Repoprt'!P$1)</f>
        <v>197050</v>
      </c>
      <c r="Q504" s="16">
        <f>SUMIFS('Business - Dump'!$U:$U,'Business - Dump'!$D:$D,'SKU Repoprt'!$D504,'Business - Dump'!$A:$A,'SKU Repoprt'!Q$1)</f>
        <v>769706.46</v>
      </c>
      <c r="R504" s="16">
        <f>SUMIFS('Business - Dump'!$U:$U,'Business - Dump'!$D:$D,'SKU Repoprt'!$D504,'Business - Dump'!$A:$A,'SKU Repoprt'!R$1)</f>
        <v>440180.34</v>
      </c>
      <c r="S504" s="16">
        <f>SUMIFS('Business - Dump'!$U:$U,'Business - Dump'!$D:$D,'SKU Repoprt'!$D504,'Business - Dump'!$A:$A,'SKU Repoprt'!S$1)</f>
        <v>198000</v>
      </c>
      <c r="T504" s="16">
        <f>SUMIFS('Business - Dump'!$U:$U,'Business - Dump'!$D:$D,'SKU Repoprt'!$D504,'Business - Dump'!$A:$A,'SKU Repoprt'!T$1)</f>
        <v>125300</v>
      </c>
      <c r="U504" s="16">
        <f>SUMIFS('Business - Dump'!$U:$U,'Business - Dump'!$D:$D,'SKU Repoprt'!$D504,'Business - Dump'!$A:$A,'SKU Repoprt'!U$1)</f>
        <v>193375.3</v>
      </c>
      <c r="V504" s="16">
        <f>SUMIFS('Business - Dump'!$U:$U,'Business - Dump'!$D:$D,'SKU Repoprt'!$D504,'Business - Dump'!$A:$A,'SKU Repoprt'!V$1)</f>
        <v>142831.2</v>
      </c>
      <c r="W504" s="16">
        <f>SUMIFS('Business - Dump'!$U:$U,'Business - Dump'!$D:$D,'SKU Repoprt'!$D504,'Business - Dump'!$A:$A,'SKU Repoprt'!W$1)</f>
        <v>184151.2</v>
      </c>
    </row>
    <row r="505" ht="15.75" customHeight="1">
      <c r="A505" s="10" t="s">
        <v>134</v>
      </c>
      <c r="B505" s="10" t="s">
        <v>134</v>
      </c>
      <c r="C505" s="10"/>
      <c r="D505" s="10" t="s">
        <v>301</v>
      </c>
      <c r="E505" s="10" t="s">
        <v>29</v>
      </c>
      <c r="F505" s="17">
        <v>0.027042857142857143</v>
      </c>
      <c r="G505" s="17">
        <f t="shared" ref="G505:W505" si="168">IFERROR(G503/G500,0)</f>
        <v>0.003288121661</v>
      </c>
      <c r="H505" s="17">
        <f t="shared" si="168"/>
        <v>0.005326231691</v>
      </c>
      <c r="I505" s="17">
        <f t="shared" si="168"/>
        <v>0.006376195537</v>
      </c>
      <c r="J505" s="17">
        <f t="shared" si="168"/>
        <v>0.006415396953</v>
      </c>
      <c r="K505" s="17">
        <f t="shared" si="168"/>
        <v>0.006679134384</v>
      </c>
      <c r="L505" s="17">
        <f t="shared" si="168"/>
        <v>0.004767580453</v>
      </c>
      <c r="M505" s="17">
        <f t="shared" si="168"/>
        <v>0.003314550878</v>
      </c>
      <c r="N505" s="17">
        <f t="shared" si="168"/>
        <v>0.00556745182</v>
      </c>
      <c r="O505" s="17">
        <f t="shared" si="168"/>
        <v>0.009249743063</v>
      </c>
      <c r="P505" s="17">
        <f t="shared" si="168"/>
        <v>0.002857142857</v>
      </c>
      <c r="Q505" s="17">
        <f t="shared" si="168"/>
        <v>0.00992121389</v>
      </c>
      <c r="R505" s="17">
        <f t="shared" si="168"/>
        <v>0.008244023083</v>
      </c>
      <c r="S505" s="17">
        <f t="shared" si="168"/>
        <v>0.005401755571</v>
      </c>
      <c r="T505" s="17">
        <f t="shared" si="168"/>
        <v>0.00279798545</v>
      </c>
      <c r="U505" s="17">
        <f t="shared" si="168"/>
        <v>0.003574620197</v>
      </c>
      <c r="V505" s="17">
        <f t="shared" si="168"/>
        <v>0.004497751124</v>
      </c>
      <c r="W505" s="17">
        <f t="shared" si="168"/>
        <v>0.006334125099</v>
      </c>
    </row>
    <row r="506" ht="15.75" customHeight="1">
      <c r="A506" s="10" t="s">
        <v>134</v>
      </c>
      <c r="B506" s="10" t="s">
        <v>134</v>
      </c>
      <c r="C506" s="10"/>
      <c r="D506" s="10" t="s">
        <v>296</v>
      </c>
      <c r="E506" s="10" t="s">
        <v>257</v>
      </c>
      <c r="F506" s="3">
        <f t="shared" ref="F506:F510" si="169">SUM(G506:S506)</f>
        <v>32568</v>
      </c>
      <c r="G506" s="3">
        <f>SUMIFS('Business - Dump'!$G:$G,'Business - Dump'!$D:$D,'SKU Repoprt'!$D506,'Business - Dump'!$A:$A,'SKU Repoprt'!G$1)</f>
        <v>1444</v>
      </c>
      <c r="H506" s="3">
        <f>SUMIFS('Business - Dump'!$G:$G,'Business - Dump'!$D:$D,'SKU Repoprt'!$D506,'Business - Dump'!$A:$A,'SKU Repoprt'!H$1)</f>
        <v>2194</v>
      </c>
      <c r="I506" s="3">
        <f>SUMIFS('Business - Dump'!$G:$G,'Business - Dump'!$D:$D,'SKU Repoprt'!$D506,'Business - Dump'!$A:$A,'SKU Repoprt'!I$1)</f>
        <v>2621</v>
      </c>
      <c r="J506" s="3">
        <f>SUMIFS('Business - Dump'!$G:$G,'Business - Dump'!$D:$D,'SKU Repoprt'!$D506,'Business - Dump'!$A:$A,'SKU Repoprt'!J$1)</f>
        <v>2940</v>
      </c>
      <c r="K506" s="3">
        <f>SUMIFS('Business - Dump'!$G:$G,'Business - Dump'!$D:$D,'SKU Repoprt'!$D506,'Business - Dump'!$A:$A,'SKU Repoprt'!K$1)</f>
        <v>2682</v>
      </c>
      <c r="L506" s="3">
        <f>SUMIFS('Business - Dump'!$G:$G,'Business - Dump'!$D:$D,'SKU Repoprt'!$D506,'Business - Dump'!$A:$A,'SKU Repoprt'!L$1)</f>
        <v>2545</v>
      </c>
      <c r="M506" s="3">
        <f>SUMIFS('Business - Dump'!$G:$G,'Business - Dump'!$D:$D,'SKU Repoprt'!$D506,'Business - Dump'!$A:$A,'SKU Repoprt'!M$1)</f>
        <v>3293</v>
      </c>
      <c r="N506" s="3">
        <f>SUMIFS('Business - Dump'!$G:$G,'Business - Dump'!$D:$D,'SKU Repoprt'!$D506,'Business - Dump'!$A:$A,'SKU Repoprt'!N$1)</f>
        <v>3311</v>
      </c>
      <c r="O506" s="3">
        <f>SUMIFS('Business - Dump'!$G:$G,'Business - Dump'!$D:$D,'SKU Repoprt'!$D506,'Business - Dump'!$A:$A,'SKU Repoprt'!O$1)</f>
        <v>2664</v>
      </c>
      <c r="P506" s="3">
        <f>SUMIFS('Business - Dump'!$G:$G,'Business - Dump'!$D:$D,'SKU Repoprt'!$D506,'Business - Dump'!$A:$A,'SKU Repoprt'!P$1)</f>
        <v>2508</v>
      </c>
      <c r="Q506" s="3">
        <f>SUMIFS('Business - Dump'!$G:$G,'Business - Dump'!$D:$D,'SKU Repoprt'!$D506,'Business - Dump'!$A:$A,'SKU Repoprt'!Q$1)</f>
        <v>3084</v>
      </c>
      <c r="R506" s="3">
        <f>SUMIFS('Business - Dump'!$G:$G,'Business - Dump'!$D:$D,'SKU Repoprt'!$D506,'Business - Dump'!$A:$A,'SKU Repoprt'!R$1)</f>
        <v>1937</v>
      </c>
      <c r="S506" s="3">
        <f>SUMIFS('Business - Dump'!$G:$G,'Business - Dump'!$D:$D,'SKU Repoprt'!$D506,'Business - Dump'!$A:$A,'SKU Repoprt'!S$1)</f>
        <v>1345</v>
      </c>
      <c r="T506" s="3">
        <f>SUMIFS('Business - Dump'!$G:$G,'Business - Dump'!$D:$D,'SKU Repoprt'!$D506,'Business - Dump'!$A:$A,'SKU Repoprt'!T$1)</f>
        <v>1261</v>
      </c>
      <c r="U506" s="3">
        <f>SUMIFS('Business - Dump'!$G:$G,'Business - Dump'!$D:$D,'SKU Repoprt'!$D506,'Business - Dump'!$A:$A,'SKU Repoprt'!U$1)</f>
        <v>1634</v>
      </c>
      <c r="V506" s="3">
        <f>SUMIFS('Business - Dump'!$G:$G,'Business - Dump'!$D:$D,'SKU Repoprt'!$D506,'Business - Dump'!$A:$A,'SKU Repoprt'!V$1)</f>
        <v>1135</v>
      </c>
      <c r="W506" s="3">
        <f>SUMIFS('Business - Dump'!$G:$G,'Business - Dump'!$D:$D,'SKU Repoprt'!$D506,'Business - Dump'!$A:$A,'SKU Repoprt'!W$1)</f>
        <v>770</v>
      </c>
    </row>
    <row r="507" ht="15.75" customHeight="1">
      <c r="A507" s="10" t="s">
        <v>134</v>
      </c>
      <c r="B507" s="10" t="s">
        <v>134</v>
      </c>
      <c r="C507" s="10"/>
      <c r="D507" s="10" t="s">
        <v>296</v>
      </c>
      <c r="E507" s="10" t="s">
        <v>260</v>
      </c>
      <c r="F507" s="3">
        <f t="shared" si="169"/>
        <v>44119</v>
      </c>
      <c r="G507" s="3">
        <f>SUMIFS('Business - Dump'!$K:$K,'Business - Dump'!$D:$D,'SKU Repoprt'!$D507,'Business - Dump'!$A:$A,'SKU Repoprt'!G$1)</f>
        <v>1968</v>
      </c>
      <c r="H507" s="3">
        <f>SUMIFS('Business - Dump'!$K:$K,'Business - Dump'!$D:$D,'SKU Repoprt'!$D507,'Business - Dump'!$A:$A,'SKU Repoprt'!H$1)</f>
        <v>3238</v>
      </c>
      <c r="I507" s="3">
        <f>SUMIFS('Business - Dump'!$K:$K,'Business - Dump'!$D:$D,'SKU Repoprt'!$D507,'Business - Dump'!$A:$A,'SKU Repoprt'!I$1)</f>
        <v>3687</v>
      </c>
      <c r="J507" s="3">
        <f>SUMIFS('Business - Dump'!$K:$K,'Business - Dump'!$D:$D,'SKU Repoprt'!$D507,'Business - Dump'!$A:$A,'SKU Repoprt'!J$1)</f>
        <v>4026</v>
      </c>
      <c r="K507" s="3">
        <f>SUMIFS('Business - Dump'!$K:$K,'Business - Dump'!$D:$D,'SKU Repoprt'!$D507,'Business - Dump'!$A:$A,'SKU Repoprt'!K$1)</f>
        <v>3539</v>
      </c>
      <c r="L507" s="3">
        <f>SUMIFS('Business - Dump'!$K:$K,'Business - Dump'!$D:$D,'SKU Repoprt'!$D507,'Business - Dump'!$A:$A,'SKU Repoprt'!L$1)</f>
        <v>3567</v>
      </c>
      <c r="M507" s="3">
        <f>SUMIFS('Business - Dump'!$K:$K,'Business - Dump'!$D:$D,'SKU Repoprt'!$D507,'Business - Dump'!$A:$A,'SKU Repoprt'!M$1)</f>
        <v>5043</v>
      </c>
      <c r="N507" s="3">
        <f>SUMIFS('Business - Dump'!$K:$K,'Business - Dump'!$D:$D,'SKU Repoprt'!$D507,'Business - Dump'!$A:$A,'SKU Repoprt'!N$1)</f>
        <v>3931</v>
      </c>
      <c r="O507" s="3">
        <f>SUMIFS('Business - Dump'!$K:$K,'Business - Dump'!$D:$D,'SKU Repoprt'!$D507,'Business - Dump'!$A:$A,'SKU Repoprt'!O$1)</f>
        <v>3412</v>
      </c>
      <c r="P507" s="3">
        <f>SUMIFS('Business - Dump'!$K:$K,'Business - Dump'!$D:$D,'SKU Repoprt'!$D507,'Business - Dump'!$A:$A,'SKU Repoprt'!P$1)</f>
        <v>3230</v>
      </c>
      <c r="Q507" s="3">
        <f>SUMIFS('Business - Dump'!$K:$K,'Business - Dump'!$D:$D,'SKU Repoprt'!$D507,'Business - Dump'!$A:$A,'SKU Repoprt'!Q$1)</f>
        <v>4024</v>
      </c>
      <c r="R507" s="3">
        <f>SUMIFS('Business - Dump'!$K:$K,'Business - Dump'!$D:$D,'SKU Repoprt'!$D507,'Business - Dump'!$A:$A,'SKU Repoprt'!R$1)</f>
        <v>2706</v>
      </c>
      <c r="S507" s="3">
        <f>SUMIFS('Business - Dump'!$K:$K,'Business - Dump'!$D:$D,'SKU Repoprt'!$D507,'Business - Dump'!$A:$A,'SKU Repoprt'!S$1)</f>
        <v>1748</v>
      </c>
      <c r="T507" s="3">
        <f>SUMIFS('Business - Dump'!$K:$K,'Business - Dump'!$D:$D,'SKU Repoprt'!$D507,'Business - Dump'!$A:$A,'SKU Repoprt'!T$1)</f>
        <v>1678</v>
      </c>
      <c r="U507" s="3">
        <f>SUMIFS('Business - Dump'!$K:$K,'Business - Dump'!$D:$D,'SKU Repoprt'!$D507,'Business - Dump'!$A:$A,'SKU Repoprt'!U$1)</f>
        <v>2097</v>
      </c>
      <c r="V507" s="3">
        <f>SUMIFS('Business - Dump'!$K:$K,'Business - Dump'!$D:$D,'SKU Repoprt'!$D507,'Business - Dump'!$A:$A,'SKU Repoprt'!V$1)</f>
        <v>1501</v>
      </c>
      <c r="W507" s="3">
        <f>SUMIFS('Business - Dump'!$K:$K,'Business - Dump'!$D:$D,'SKU Repoprt'!$D507,'Business - Dump'!$A:$A,'SKU Repoprt'!W$1)</f>
        <v>1028</v>
      </c>
    </row>
    <row r="508" ht="15.75" customHeight="1">
      <c r="A508" s="10" t="s">
        <v>134</v>
      </c>
      <c r="B508" s="10" t="s">
        <v>134</v>
      </c>
      <c r="C508" s="10"/>
      <c r="D508" s="10" t="s">
        <v>296</v>
      </c>
      <c r="E508" s="10" t="s">
        <v>264</v>
      </c>
      <c r="F508" s="3">
        <f t="shared" si="169"/>
        <v>202</v>
      </c>
      <c r="G508" s="3">
        <f>SUMIFS('Business - Dump'!$Q:$Q,'Business - Dump'!$D:$D,'SKU Repoprt'!$D508,'Business - Dump'!$A:$A,'SKU Repoprt'!G$1)</f>
        <v>9</v>
      </c>
      <c r="H508" s="3">
        <f>SUMIFS('Business - Dump'!$Q:$Q,'Business - Dump'!$D:$D,'SKU Repoprt'!$D508,'Business - Dump'!$A:$A,'SKU Repoprt'!H$1)</f>
        <v>17</v>
      </c>
      <c r="I508" s="3">
        <f>SUMIFS('Business - Dump'!$Q:$Q,'Business - Dump'!$D:$D,'SKU Repoprt'!$D508,'Business - Dump'!$A:$A,'SKU Repoprt'!I$1)</f>
        <v>10</v>
      </c>
      <c r="J508" s="3">
        <f>SUMIFS('Business - Dump'!$Q:$Q,'Business - Dump'!$D:$D,'SKU Repoprt'!$D508,'Business - Dump'!$A:$A,'SKU Repoprt'!J$1)</f>
        <v>14</v>
      </c>
      <c r="K508" s="3">
        <f>SUMIFS('Business - Dump'!$Q:$Q,'Business - Dump'!$D:$D,'SKU Repoprt'!$D508,'Business - Dump'!$A:$A,'SKU Repoprt'!K$1)</f>
        <v>18</v>
      </c>
      <c r="L508" s="3">
        <f>SUMIFS('Business - Dump'!$Q:$Q,'Business - Dump'!$D:$D,'SKU Repoprt'!$D508,'Business - Dump'!$A:$A,'SKU Repoprt'!L$1)</f>
        <v>20</v>
      </c>
      <c r="M508" s="3">
        <f>SUMIFS('Business - Dump'!$Q:$Q,'Business - Dump'!$D:$D,'SKU Repoprt'!$D508,'Business - Dump'!$A:$A,'SKU Repoprt'!M$1)</f>
        <v>17</v>
      </c>
      <c r="N508" s="3">
        <f>SUMIFS('Business - Dump'!$Q:$Q,'Business - Dump'!$D:$D,'SKU Repoprt'!$D508,'Business - Dump'!$A:$A,'SKU Repoprt'!N$1)</f>
        <v>13</v>
      </c>
      <c r="O508" s="3">
        <f>SUMIFS('Business - Dump'!$Q:$Q,'Business - Dump'!$D:$D,'SKU Repoprt'!$D508,'Business - Dump'!$A:$A,'SKU Repoprt'!O$1)</f>
        <v>14</v>
      </c>
      <c r="P508" s="3">
        <f>SUMIFS('Business - Dump'!$Q:$Q,'Business - Dump'!$D:$D,'SKU Repoprt'!$D508,'Business - Dump'!$A:$A,'SKU Repoprt'!P$1)</f>
        <v>20</v>
      </c>
      <c r="Q508" s="3">
        <f>SUMIFS('Business - Dump'!$Q:$Q,'Business - Dump'!$D:$D,'SKU Repoprt'!$D508,'Business - Dump'!$A:$A,'SKU Repoprt'!Q$1)</f>
        <v>21</v>
      </c>
      <c r="R508" s="3">
        <f>SUMIFS('Business - Dump'!$Q:$Q,'Business - Dump'!$D:$D,'SKU Repoprt'!$D508,'Business - Dump'!$A:$A,'SKU Repoprt'!R$1)</f>
        <v>19</v>
      </c>
      <c r="S508" s="3">
        <f>SUMIFS('Business - Dump'!$Q:$Q,'Business - Dump'!$D:$D,'SKU Repoprt'!$D508,'Business - Dump'!$A:$A,'SKU Repoprt'!S$1)</f>
        <v>10</v>
      </c>
      <c r="T508" s="3">
        <f>SUMIFS('Business - Dump'!$Q:$Q,'Business - Dump'!$D:$D,'SKU Repoprt'!$D508,'Business - Dump'!$A:$A,'SKU Repoprt'!T$1)</f>
        <v>8</v>
      </c>
      <c r="U508" s="3">
        <f>SUMIFS('Business - Dump'!$Q:$Q,'Business - Dump'!$D:$D,'SKU Repoprt'!$D508,'Business - Dump'!$A:$A,'SKU Repoprt'!U$1)</f>
        <v>7</v>
      </c>
      <c r="V508" s="3">
        <f>SUMIFS('Business - Dump'!$Q:$Q,'Business - Dump'!$D:$D,'SKU Repoprt'!$D508,'Business - Dump'!$A:$A,'SKU Repoprt'!V$1)</f>
        <v>9</v>
      </c>
      <c r="W508" s="3">
        <f>SUMIFS('Business - Dump'!$Q:$Q,'Business - Dump'!$D:$D,'SKU Repoprt'!$D508,'Business - Dump'!$A:$A,'SKU Repoprt'!W$1)</f>
        <v>7</v>
      </c>
    </row>
    <row r="509" ht="15.75" customHeight="1">
      <c r="A509" s="10" t="s">
        <v>134</v>
      </c>
      <c r="B509" s="10" t="s">
        <v>134</v>
      </c>
      <c r="C509" s="10"/>
      <c r="D509" s="10" t="s">
        <v>296</v>
      </c>
      <c r="E509" s="10" t="s">
        <v>268</v>
      </c>
      <c r="F509" s="3">
        <f t="shared" si="169"/>
        <v>201</v>
      </c>
      <c r="G509" s="3">
        <f>SUMIFS('Business - Dump'!$W:$W,'Business - Dump'!$D:$D,'SKU Repoprt'!$D509,'Business - Dump'!$A:$A,'SKU Repoprt'!G$1)</f>
        <v>9</v>
      </c>
      <c r="H509" s="3">
        <f>SUMIFS('Business - Dump'!$W:$W,'Business - Dump'!$D:$D,'SKU Repoprt'!$D509,'Business - Dump'!$A:$A,'SKU Repoprt'!H$1)</f>
        <v>17</v>
      </c>
      <c r="I509" s="3">
        <f>SUMIFS('Business - Dump'!$W:$W,'Business - Dump'!$D:$D,'SKU Repoprt'!$D509,'Business - Dump'!$A:$A,'SKU Repoprt'!I$1)</f>
        <v>10</v>
      </c>
      <c r="J509" s="3">
        <f>SUMIFS('Business - Dump'!$W:$W,'Business - Dump'!$D:$D,'SKU Repoprt'!$D509,'Business - Dump'!$A:$A,'SKU Repoprt'!J$1)</f>
        <v>14</v>
      </c>
      <c r="K509" s="3">
        <f>SUMIFS('Business - Dump'!$W:$W,'Business - Dump'!$D:$D,'SKU Repoprt'!$D509,'Business - Dump'!$A:$A,'SKU Repoprt'!K$1)</f>
        <v>18</v>
      </c>
      <c r="L509" s="3">
        <f>SUMIFS('Business - Dump'!$W:$W,'Business - Dump'!$D:$D,'SKU Repoprt'!$D509,'Business - Dump'!$A:$A,'SKU Repoprt'!L$1)</f>
        <v>20</v>
      </c>
      <c r="M509" s="3">
        <f>SUMIFS('Business - Dump'!$W:$W,'Business - Dump'!$D:$D,'SKU Repoprt'!$D509,'Business - Dump'!$A:$A,'SKU Repoprt'!M$1)</f>
        <v>17</v>
      </c>
      <c r="N509" s="3">
        <f>SUMIFS('Business - Dump'!$W:$W,'Business - Dump'!$D:$D,'SKU Repoprt'!$D509,'Business - Dump'!$A:$A,'SKU Repoprt'!N$1)</f>
        <v>12</v>
      </c>
      <c r="O509" s="3">
        <f>SUMIFS('Business - Dump'!$W:$W,'Business - Dump'!$D:$D,'SKU Repoprt'!$D509,'Business - Dump'!$A:$A,'SKU Repoprt'!O$1)</f>
        <v>14</v>
      </c>
      <c r="P509" s="3">
        <f>SUMIFS('Business - Dump'!$W:$W,'Business - Dump'!$D:$D,'SKU Repoprt'!$D509,'Business - Dump'!$A:$A,'SKU Repoprt'!P$1)</f>
        <v>20</v>
      </c>
      <c r="Q509" s="3">
        <f>SUMIFS('Business - Dump'!$W:$W,'Business - Dump'!$D:$D,'SKU Repoprt'!$D509,'Business - Dump'!$A:$A,'SKU Repoprt'!Q$1)</f>
        <v>21</v>
      </c>
      <c r="R509" s="3">
        <f>SUMIFS('Business - Dump'!$W:$W,'Business - Dump'!$D:$D,'SKU Repoprt'!$D509,'Business - Dump'!$A:$A,'SKU Repoprt'!R$1)</f>
        <v>19</v>
      </c>
      <c r="S509" s="3">
        <f>SUMIFS('Business - Dump'!$W:$W,'Business - Dump'!$D:$D,'SKU Repoprt'!$D509,'Business - Dump'!$A:$A,'SKU Repoprt'!S$1)</f>
        <v>10</v>
      </c>
      <c r="T509" s="3">
        <f>SUMIFS('Business - Dump'!$W:$W,'Business - Dump'!$D:$D,'SKU Repoprt'!$D509,'Business - Dump'!$A:$A,'SKU Repoprt'!T$1)</f>
        <v>8</v>
      </c>
      <c r="U509" s="3">
        <f>SUMIFS('Business - Dump'!$W:$W,'Business - Dump'!$D:$D,'SKU Repoprt'!$D509,'Business - Dump'!$A:$A,'SKU Repoprt'!U$1)</f>
        <v>6</v>
      </c>
      <c r="V509" s="3">
        <f>SUMIFS('Business - Dump'!$W:$W,'Business - Dump'!$D:$D,'SKU Repoprt'!$D509,'Business - Dump'!$A:$A,'SKU Repoprt'!V$1)</f>
        <v>9</v>
      </c>
      <c r="W509" s="3">
        <f>SUMIFS('Business - Dump'!$W:$W,'Business - Dump'!$D:$D,'SKU Repoprt'!$D509,'Business - Dump'!$A:$A,'SKU Repoprt'!W$1)</f>
        <v>7</v>
      </c>
    </row>
    <row r="510" ht="15.75" customHeight="1">
      <c r="A510" s="10" t="s">
        <v>134</v>
      </c>
      <c r="B510" s="10" t="s">
        <v>134</v>
      </c>
      <c r="C510" s="10"/>
      <c r="D510" s="10" t="s">
        <v>296</v>
      </c>
      <c r="E510" s="10" t="s">
        <v>26</v>
      </c>
      <c r="F510" s="16">
        <f t="shared" si="169"/>
        <v>4935657.79</v>
      </c>
      <c r="G510" s="16">
        <f>SUMIFS('Business - Dump'!$U:$U,'Business - Dump'!$D:$D,'SKU Repoprt'!$D510,'Business - Dump'!$A:$A,'SKU Repoprt'!G$1)</f>
        <v>220500</v>
      </c>
      <c r="H510" s="16">
        <f>SUMIFS('Business - Dump'!$U:$U,'Business - Dump'!$D:$D,'SKU Repoprt'!$D510,'Business - Dump'!$A:$A,'SKU Repoprt'!H$1)</f>
        <v>416500</v>
      </c>
      <c r="I510" s="16">
        <f>SUMIFS('Business - Dump'!$U:$U,'Business - Dump'!$D:$D,'SKU Repoprt'!$D510,'Business - Dump'!$A:$A,'SKU Repoprt'!I$1)</f>
        <v>245000</v>
      </c>
      <c r="J510" s="16">
        <f>SUMIFS('Business - Dump'!$U:$U,'Business - Dump'!$D:$D,'SKU Repoprt'!$D510,'Business - Dump'!$A:$A,'SKU Repoprt'!J$1)</f>
        <v>343000</v>
      </c>
      <c r="K510" s="16">
        <f>SUMIFS('Business - Dump'!$U:$U,'Business - Dump'!$D:$D,'SKU Repoprt'!$D510,'Business - Dump'!$A:$A,'SKU Repoprt'!K$1)</f>
        <v>446008.48</v>
      </c>
      <c r="L510" s="16">
        <f>SUMIFS('Business - Dump'!$U:$U,'Business - Dump'!$D:$D,'SKU Repoprt'!$D510,'Business - Dump'!$A:$A,'SKU Repoprt'!L$1)</f>
        <v>495954.24</v>
      </c>
      <c r="M510" s="16">
        <f>SUMIFS('Business - Dump'!$U:$U,'Business - Dump'!$D:$D,'SKU Repoprt'!$D510,'Business - Dump'!$A:$A,'SKU Repoprt'!M$1)</f>
        <v>420142.4</v>
      </c>
      <c r="N510" s="16">
        <f>SUMIFS('Business - Dump'!$U:$U,'Business - Dump'!$D:$D,'SKU Repoprt'!$D510,'Business - Dump'!$A:$A,'SKU Repoprt'!N$1)</f>
        <v>335400</v>
      </c>
      <c r="O510" s="16">
        <f>SUMIFS('Business - Dump'!$U:$U,'Business - Dump'!$D:$D,'SKU Repoprt'!$D510,'Business - Dump'!$A:$A,'SKU Repoprt'!O$1)</f>
        <v>348125.44</v>
      </c>
      <c r="P510" s="16">
        <f>SUMIFS('Business - Dump'!$U:$U,'Business - Dump'!$D:$D,'SKU Repoprt'!$D510,'Business - Dump'!$A:$A,'SKU Repoprt'!P$1)</f>
        <v>491425</v>
      </c>
      <c r="Q510" s="16">
        <f>SUMIFS('Business - Dump'!$U:$U,'Business - Dump'!$D:$D,'SKU Repoprt'!$D510,'Business - Dump'!$A:$A,'SKU Repoprt'!Q$1)</f>
        <v>480428.5</v>
      </c>
      <c r="R510" s="16">
        <f>SUMIFS('Business - Dump'!$U:$U,'Business - Dump'!$D:$D,'SKU Repoprt'!$D510,'Business - Dump'!$A:$A,'SKU Repoprt'!R$1)</f>
        <v>445673.73</v>
      </c>
      <c r="S510" s="16">
        <f>SUMIFS('Business - Dump'!$U:$U,'Business - Dump'!$D:$D,'SKU Repoprt'!$D510,'Business - Dump'!$A:$A,'SKU Repoprt'!S$1)</f>
        <v>247500</v>
      </c>
      <c r="T510" s="16">
        <f>SUMIFS('Business - Dump'!$U:$U,'Business - Dump'!$D:$D,'SKU Repoprt'!$D510,'Business - Dump'!$A:$A,'SKU Repoprt'!T$1)</f>
        <v>201100</v>
      </c>
      <c r="U510" s="16">
        <f>SUMIFS('Business - Dump'!$U:$U,'Business - Dump'!$D:$D,'SKU Repoprt'!$D510,'Business - Dump'!$A:$A,'SKU Repoprt'!U$1)</f>
        <v>171619.4</v>
      </c>
      <c r="V510" s="16">
        <f>SUMIFS('Business - Dump'!$U:$U,'Business - Dump'!$D:$D,'SKU Repoprt'!$D510,'Business - Dump'!$A:$A,'SKU Repoprt'!V$1)</f>
        <v>214323</v>
      </c>
      <c r="W510" s="16">
        <f>SUMIFS('Business - Dump'!$U:$U,'Business - Dump'!$D:$D,'SKU Repoprt'!$D510,'Business - Dump'!$A:$A,'SKU Repoprt'!W$1)</f>
        <v>167128</v>
      </c>
    </row>
    <row r="511" ht="15.75" customHeight="1">
      <c r="A511" s="10" t="s">
        <v>134</v>
      </c>
      <c r="B511" s="10" t="s">
        <v>134</v>
      </c>
      <c r="C511" s="10"/>
      <c r="D511" s="10" t="s">
        <v>296</v>
      </c>
      <c r="E511" s="10" t="s">
        <v>29</v>
      </c>
      <c r="F511" s="17">
        <v>0.027042857142857143</v>
      </c>
      <c r="G511" s="17">
        <f t="shared" ref="G511:W511" si="170">IFERROR(G509/G506,0)</f>
        <v>0.006232686981</v>
      </c>
      <c r="H511" s="17">
        <f t="shared" si="170"/>
        <v>0.00774840474</v>
      </c>
      <c r="I511" s="17">
        <f t="shared" si="170"/>
        <v>0.003815337657</v>
      </c>
      <c r="J511" s="17">
        <f t="shared" si="170"/>
        <v>0.004761904762</v>
      </c>
      <c r="K511" s="17">
        <f t="shared" si="170"/>
        <v>0.006711409396</v>
      </c>
      <c r="L511" s="17">
        <f t="shared" si="170"/>
        <v>0.007858546169</v>
      </c>
      <c r="M511" s="17">
        <f t="shared" si="170"/>
        <v>0.005162465837</v>
      </c>
      <c r="N511" s="17">
        <f t="shared" si="170"/>
        <v>0.003624282694</v>
      </c>
      <c r="O511" s="17">
        <f t="shared" si="170"/>
        <v>0.005255255255</v>
      </c>
      <c r="P511" s="17">
        <f t="shared" si="170"/>
        <v>0.007974481659</v>
      </c>
      <c r="Q511" s="17">
        <f t="shared" si="170"/>
        <v>0.006809338521</v>
      </c>
      <c r="R511" s="17">
        <f t="shared" si="170"/>
        <v>0.009808982963</v>
      </c>
      <c r="S511" s="17">
        <f t="shared" si="170"/>
        <v>0.007434944238</v>
      </c>
      <c r="T511" s="17">
        <f t="shared" si="170"/>
        <v>0.006344171293</v>
      </c>
      <c r="U511" s="17">
        <f t="shared" si="170"/>
        <v>0.003671970624</v>
      </c>
      <c r="V511" s="17">
        <f t="shared" si="170"/>
        <v>0.007929515419</v>
      </c>
      <c r="W511" s="17">
        <f t="shared" si="170"/>
        <v>0.009090909091</v>
      </c>
    </row>
    <row r="512" ht="15.75" customHeight="1">
      <c r="A512" s="10" t="s">
        <v>134</v>
      </c>
      <c r="B512" s="10" t="s">
        <v>134</v>
      </c>
      <c r="C512" s="10"/>
      <c r="D512" s="10" t="s">
        <v>401</v>
      </c>
      <c r="E512" s="10" t="s">
        <v>257</v>
      </c>
      <c r="F512" s="3">
        <f t="shared" ref="F512:F516" si="171">SUM(G512:S512)</f>
        <v>2576</v>
      </c>
      <c r="G512" s="3">
        <f>SUMIFS('Business - Dump'!$G:$G,'Business - Dump'!$D:$D,'SKU Repoprt'!$D512,'Business - Dump'!$A:$A,'SKU Repoprt'!G$1)</f>
        <v>0</v>
      </c>
      <c r="H512" s="3">
        <f>SUMIFS('Business - Dump'!$G:$G,'Business - Dump'!$D:$D,'SKU Repoprt'!$D512,'Business - Dump'!$A:$A,'SKU Repoprt'!H$1)</f>
        <v>0</v>
      </c>
      <c r="I512" s="3">
        <f>SUMIFS('Business - Dump'!$G:$G,'Business - Dump'!$D:$D,'SKU Repoprt'!$D512,'Business - Dump'!$A:$A,'SKU Repoprt'!I$1)</f>
        <v>0</v>
      </c>
      <c r="J512" s="3">
        <f>SUMIFS('Business - Dump'!$G:$G,'Business - Dump'!$D:$D,'SKU Repoprt'!$D512,'Business - Dump'!$A:$A,'SKU Repoprt'!J$1)</f>
        <v>0</v>
      </c>
      <c r="K512" s="3">
        <f>SUMIFS('Business - Dump'!$G:$G,'Business - Dump'!$D:$D,'SKU Repoprt'!$D512,'Business - Dump'!$A:$A,'SKU Repoprt'!K$1)</f>
        <v>0</v>
      </c>
      <c r="L512" s="3">
        <f>SUMIFS('Business - Dump'!$G:$G,'Business - Dump'!$D:$D,'SKU Repoprt'!$D512,'Business - Dump'!$A:$A,'SKU Repoprt'!L$1)</f>
        <v>148</v>
      </c>
      <c r="M512" s="3">
        <f>SUMIFS('Business - Dump'!$G:$G,'Business - Dump'!$D:$D,'SKU Repoprt'!$D512,'Business - Dump'!$A:$A,'SKU Repoprt'!M$1)</f>
        <v>331</v>
      </c>
      <c r="N512" s="3">
        <f>SUMIFS('Business - Dump'!$G:$G,'Business - Dump'!$D:$D,'SKU Repoprt'!$D512,'Business - Dump'!$A:$A,'SKU Repoprt'!N$1)</f>
        <v>367</v>
      </c>
      <c r="O512" s="3">
        <f>SUMIFS('Business - Dump'!$G:$G,'Business - Dump'!$D:$D,'SKU Repoprt'!$D512,'Business - Dump'!$A:$A,'SKU Repoprt'!O$1)</f>
        <v>349</v>
      </c>
      <c r="P512" s="3">
        <f>SUMIFS('Business - Dump'!$G:$G,'Business - Dump'!$D:$D,'SKU Repoprt'!$D512,'Business - Dump'!$A:$A,'SKU Repoprt'!P$1)</f>
        <v>319</v>
      </c>
      <c r="Q512" s="3">
        <f>SUMIFS('Business - Dump'!$G:$G,'Business - Dump'!$D:$D,'SKU Repoprt'!$D512,'Business - Dump'!$A:$A,'SKU Repoprt'!Q$1)</f>
        <v>674</v>
      </c>
      <c r="R512" s="3">
        <f>SUMIFS('Business - Dump'!$G:$G,'Business - Dump'!$D:$D,'SKU Repoprt'!$D512,'Business - Dump'!$A:$A,'SKU Repoprt'!R$1)</f>
        <v>231</v>
      </c>
      <c r="S512" s="3">
        <f>SUMIFS('Business - Dump'!$G:$G,'Business - Dump'!$D:$D,'SKU Repoprt'!$D512,'Business - Dump'!$A:$A,'SKU Repoprt'!S$1)</f>
        <v>157</v>
      </c>
      <c r="T512" s="3">
        <f>SUMIFS('Business - Dump'!$G:$G,'Business - Dump'!$D:$D,'SKU Repoprt'!$D512,'Business - Dump'!$A:$A,'SKU Repoprt'!T$1)</f>
        <v>86</v>
      </c>
      <c r="U512" s="3">
        <f>SUMIFS('Business - Dump'!$G:$G,'Business - Dump'!$D:$D,'SKU Repoprt'!$D512,'Business - Dump'!$A:$A,'SKU Repoprt'!U$1)</f>
        <v>95</v>
      </c>
      <c r="V512" s="3">
        <f>SUMIFS('Business - Dump'!$G:$G,'Business - Dump'!$D:$D,'SKU Repoprt'!$D512,'Business - Dump'!$A:$A,'SKU Repoprt'!V$1)</f>
        <v>122</v>
      </c>
      <c r="W512" s="3">
        <f>SUMIFS('Business - Dump'!$G:$G,'Business - Dump'!$D:$D,'SKU Repoprt'!$D512,'Business - Dump'!$A:$A,'SKU Repoprt'!W$1)</f>
        <v>115</v>
      </c>
    </row>
    <row r="513" ht="15.75" customHeight="1">
      <c r="A513" s="10" t="s">
        <v>134</v>
      </c>
      <c r="B513" s="10" t="s">
        <v>134</v>
      </c>
      <c r="C513" s="10"/>
      <c r="D513" s="10" t="s">
        <v>401</v>
      </c>
      <c r="E513" s="10" t="s">
        <v>260</v>
      </c>
      <c r="F513" s="3">
        <f t="shared" si="171"/>
        <v>3358</v>
      </c>
      <c r="G513" s="3">
        <f>SUMIFS('Business - Dump'!$K:$K,'Business - Dump'!$D:$D,'SKU Repoprt'!$D513,'Business - Dump'!$A:$A,'SKU Repoprt'!G$1)</f>
        <v>0</v>
      </c>
      <c r="H513" s="3">
        <f>SUMIFS('Business - Dump'!$K:$K,'Business - Dump'!$D:$D,'SKU Repoprt'!$D513,'Business - Dump'!$A:$A,'SKU Repoprt'!H$1)</f>
        <v>0</v>
      </c>
      <c r="I513" s="3">
        <f>SUMIFS('Business - Dump'!$K:$K,'Business - Dump'!$D:$D,'SKU Repoprt'!$D513,'Business - Dump'!$A:$A,'SKU Repoprt'!I$1)</f>
        <v>0</v>
      </c>
      <c r="J513" s="3">
        <f>SUMIFS('Business - Dump'!$K:$K,'Business - Dump'!$D:$D,'SKU Repoprt'!$D513,'Business - Dump'!$A:$A,'SKU Repoprt'!J$1)</f>
        <v>0</v>
      </c>
      <c r="K513" s="3">
        <f>SUMIFS('Business - Dump'!$K:$K,'Business - Dump'!$D:$D,'SKU Repoprt'!$D513,'Business - Dump'!$A:$A,'SKU Repoprt'!K$1)</f>
        <v>0</v>
      </c>
      <c r="L513" s="3">
        <f>SUMIFS('Business - Dump'!$K:$K,'Business - Dump'!$D:$D,'SKU Repoprt'!$D513,'Business - Dump'!$A:$A,'SKU Repoprt'!L$1)</f>
        <v>209</v>
      </c>
      <c r="M513" s="3">
        <f>SUMIFS('Business - Dump'!$K:$K,'Business - Dump'!$D:$D,'SKU Repoprt'!$D513,'Business - Dump'!$A:$A,'SKU Repoprt'!M$1)</f>
        <v>419</v>
      </c>
      <c r="N513" s="3">
        <f>SUMIFS('Business - Dump'!$K:$K,'Business - Dump'!$D:$D,'SKU Repoprt'!$D513,'Business - Dump'!$A:$A,'SKU Repoprt'!N$1)</f>
        <v>439</v>
      </c>
      <c r="O513" s="3">
        <f>SUMIFS('Business - Dump'!$K:$K,'Business - Dump'!$D:$D,'SKU Repoprt'!$D513,'Business - Dump'!$A:$A,'SKU Repoprt'!O$1)</f>
        <v>441</v>
      </c>
      <c r="P513" s="3">
        <f>SUMIFS('Business - Dump'!$K:$K,'Business - Dump'!$D:$D,'SKU Repoprt'!$D513,'Business - Dump'!$A:$A,'SKU Repoprt'!P$1)</f>
        <v>444</v>
      </c>
      <c r="Q513" s="3">
        <f>SUMIFS('Business - Dump'!$K:$K,'Business - Dump'!$D:$D,'SKU Repoprt'!$D513,'Business - Dump'!$A:$A,'SKU Repoprt'!Q$1)</f>
        <v>880</v>
      </c>
      <c r="R513" s="3">
        <f>SUMIFS('Business - Dump'!$K:$K,'Business - Dump'!$D:$D,'SKU Repoprt'!$D513,'Business - Dump'!$A:$A,'SKU Repoprt'!R$1)</f>
        <v>313</v>
      </c>
      <c r="S513" s="3">
        <f>SUMIFS('Business - Dump'!$K:$K,'Business - Dump'!$D:$D,'SKU Repoprt'!$D513,'Business - Dump'!$A:$A,'SKU Repoprt'!S$1)</f>
        <v>213</v>
      </c>
      <c r="T513" s="3">
        <f>SUMIFS('Business - Dump'!$K:$K,'Business - Dump'!$D:$D,'SKU Repoprt'!$D513,'Business - Dump'!$A:$A,'SKU Repoprt'!T$1)</f>
        <v>145</v>
      </c>
      <c r="U513" s="3">
        <f>SUMIFS('Business - Dump'!$K:$K,'Business - Dump'!$D:$D,'SKU Repoprt'!$D513,'Business - Dump'!$A:$A,'SKU Repoprt'!U$1)</f>
        <v>126</v>
      </c>
      <c r="V513" s="3">
        <f>SUMIFS('Business - Dump'!$K:$K,'Business - Dump'!$D:$D,'SKU Repoprt'!$D513,'Business - Dump'!$A:$A,'SKU Repoprt'!V$1)</f>
        <v>151</v>
      </c>
      <c r="W513" s="3">
        <f>SUMIFS('Business - Dump'!$K:$K,'Business - Dump'!$D:$D,'SKU Repoprt'!$D513,'Business - Dump'!$A:$A,'SKU Repoprt'!W$1)</f>
        <v>140</v>
      </c>
    </row>
    <row r="514" ht="15.75" customHeight="1">
      <c r="A514" s="10" t="s">
        <v>134</v>
      </c>
      <c r="B514" s="10" t="s">
        <v>134</v>
      </c>
      <c r="C514" s="10"/>
      <c r="D514" s="10" t="s">
        <v>401</v>
      </c>
      <c r="E514" s="10" t="s">
        <v>264</v>
      </c>
      <c r="F514" s="3">
        <f t="shared" si="171"/>
        <v>18</v>
      </c>
      <c r="G514" s="3">
        <f>SUMIFS('Business - Dump'!$Q:$Q,'Business - Dump'!$D:$D,'SKU Repoprt'!$D514,'Business - Dump'!$A:$A,'SKU Repoprt'!G$1)</f>
        <v>0</v>
      </c>
      <c r="H514" s="3">
        <f>SUMIFS('Business - Dump'!$Q:$Q,'Business - Dump'!$D:$D,'SKU Repoprt'!$D514,'Business - Dump'!$A:$A,'SKU Repoprt'!H$1)</f>
        <v>0</v>
      </c>
      <c r="I514" s="3">
        <f>SUMIFS('Business - Dump'!$Q:$Q,'Business - Dump'!$D:$D,'SKU Repoprt'!$D514,'Business - Dump'!$A:$A,'SKU Repoprt'!I$1)</f>
        <v>0</v>
      </c>
      <c r="J514" s="3">
        <f>SUMIFS('Business - Dump'!$Q:$Q,'Business - Dump'!$D:$D,'SKU Repoprt'!$D514,'Business - Dump'!$A:$A,'SKU Repoprt'!J$1)</f>
        <v>0</v>
      </c>
      <c r="K514" s="3">
        <f>SUMIFS('Business - Dump'!$Q:$Q,'Business - Dump'!$D:$D,'SKU Repoprt'!$D514,'Business - Dump'!$A:$A,'SKU Repoprt'!K$1)</f>
        <v>0</v>
      </c>
      <c r="L514" s="3">
        <f>SUMIFS('Business - Dump'!$Q:$Q,'Business - Dump'!$D:$D,'SKU Repoprt'!$D514,'Business - Dump'!$A:$A,'SKU Repoprt'!L$1)</f>
        <v>2</v>
      </c>
      <c r="M514" s="3">
        <f>SUMIFS('Business - Dump'!$Q:$Q,'Business - Dump'!$D:$D,'SKU Repoprt'!$D514,'Business - Dump'!$A:$A,'SKU Repoprt'!M$1)</f>
        <v>0</v>
      </c>
      <c r="N514" s="3">
        <f>SUMIFS('Business - Dump'!$Q:$Q,'Business - Dump'!$D:$D,'SKU Repoprt'!$D514,'Business - Dump'!$A:$A,'SKU Repoprt'!N$1)</f>
        <v>1</v>
      </c>
      <c r="O514" s="3">
        <f>SUMIFS('Business - Dump'!$Q:$Q,'Business - Dump'!$D:$D,'SKU Repoprt'!$D514,'Business - Dump'!$A:$A,'SKU Repoprt'!O$1)</f>
        <v>4</v>
      </c>
      <c r="P514" s="3">
        <f>SUMIFS('Business - Dump'!$Q:$Q,'Business - Dump'!$D:$D,'SKU Repoprt'!$D514,'Business - Dump'!$A:$A,'SKU Repoprt'!P$1)</f>
        <v>4</v>
      </c>
      <c r="Q514" s="3">
        <f>SUMIFS('Business - Dump'!$Q:$Q,'Business - Dump'!$D:$D,'SKU Repoprt'!$D514,'Business - Dump'!$A:$A,'SKU Repoprt'!Q$1)</f>
        <v>5</v>
      </c>
      <c r="R514" s="3">
        <f>SUMIFS('Business - Dump'!$Q:$Q,'Business - Dump'!$D:$D,'SKU Repoprt'!$D514,'Business - Dump'!$A:$A,'SKU Repoprt'!R$1)</f>
        <v>2</v>
      </c>
      <c r="S514" s="3">
        <f>SUMIFS('Business - Dump'!$Q:$Q,'Business - Dump'!$D:$D,'SKU Repoprt'!$D514,'Business - Dump'!$A:$A,'SKU Repoprt'!S$1)</f>
        <v>0</v>
      </c>
      <c r="T514" s="3">
        <f>SUMIFS('Business - Dump'!$Q:$Q,'Business - Dump'!$D:$D,'SKU Repoprt'!$D514,'Business - Dump'!$A:$A,'SKU Repoprt'!T$1)</f>
        <v>1</v>
      </c>
      <c r="U514" s="3">
        <f>SUMIFS('Business - Dump'!$Q:$Q,'Business - Dump'!$D:$D,'SKU Repoprt'!$D514,'Business - Dump'!$A:$A,'SKU Repoprt'!U$1)</f>
        <v>2</v>
      </c>
      <c r="V514" s="3">
        <f>SUMIFS('Business - Dump'!$Q:$Q,'Business - Dump'!$D:$D,'SKU Repoprt'!$D514,'Business - Dump'!$A:$A,'SKU Repoprt'!V$1)</f>
        <v>3</v>
      </c>
      <c r="W514" s="3">
        <f>SUMIFS('Business - Dump'!$Q:$Q,'Business - Dump'!$D:$D,'SKU Repoprt'!$D514,'Business - Dump'!$A:$A,'SKU Repoprt'!W$1)</f>
        <v>2</v>
      </c>
    </row>
    <row r="515" ht="15.75" customHeight="1">
      <c r="A515" s="10" t="s">
        <v>134</v>
      </c>
      <c r="B515" s="10" t="s">
        <v>134</v>
      </c>
      <c r="C515" s="10"/>
      <c r="D515" s="10" t="s">
        <v>401</v>
      </c>
      <c r="E515" s="10" t="s">
        <v>268</v>
      </c>
      <c r="F515" s="3">
        <f t="shared" si="171"/>
        <v>18</v>
      </c>
      <c r="G515" s="3">
        <f>SUMIFS('Business - Dump'!$W:$W,'Business - Dump'!$D:$D,'SKU Repoprt'!$D515,'Business - Dump'!$A:$A,'SKU Repoprt'!G$1)</f>
        <v>0</v>
      </c>
      <c r="H515" s="3">
        <f>SUMIFS('Business - Dump'!$W:$W,'Business - Dump'!$D:$D,'SKU Repoprt'!$D515,'Business - Dump'!$A:$A,'SKU Repoprt'!H$1)</f>
        <v>0</v>
      </c>
      <c r="I515" s="3">
        <f>SUMIFS('Business - Dump'!$W:$W,'Business - Dump'!$D:$D,'SKU Repoprt'!$D515,'Business - Dump'!$A:$A,'SKU Repoprt'!I$1)</f>
        <v>0</v>
      </c>
      <c r="J515" s="3">
        <f>SUMIFS('Business - Dump'!$W:$W,'Business - Dump'!$D:$D,'SKU Repoprt'!$D515,'Business - Dump'!$A:$A,'SKU Repoprt'!J$1)</f>
        <v>0</v>
      </c>
      <c r="K515" s="3">
        <f>SUMIFS('Business - Dump'!$W:$W,'Business - Dump'!$D:$D,'SKU Repoprt'!$D515,'Business - Dump'!$A:$A,'SKU Repoprt'!K$1)</f>
        <v>0</v>
      </c>
      <c r="L515" s="3">
        <f>SUMIFS('Business - Dump'!$W:$W,'Business - Dump'!$D:$D,'SKU Repoprt'!$D515,'Business - Dump'!$A:$A,'SKU Repoprt'!L$1)</f>
        <v>2</v>
      </c>
      <c r="M515" s="3">
        <f>SUMIFS('Business - Dump'!$W:$W,'Business - Dump'!$D:$D,'SKU Repoprt'!$D515,'Business - Dump'!$A:$A,'SKU Repoprt'!M$1)</f>
        <v>0</v>
      </c>
      <c r="N515" s="3">
        <f>SUMIFS('Business - Dump'!$W:$W,'Business - Dump'!$D:$D,'SKU Repoprt'!$D515,'Business - Dump'!$A:$A,'SKU Repoprt'!N$1)</f>
        <v>1</v>
      </c>
      <c r="O515" s="3">
        <f>SUMIFS('Business - Dump'!$W:$W,'Business - Dump'!$D:$D,'SKU Repoprt'!$D515,'Business - Dump'!$A:$A,'SKU Repoprt'!O$1)</f>
        <v>4</v>
      </c>
      <c r="P515" s="3">
        <f>SUMIFS('Business - Dump'!$W:$W,'Business - Dump'!$D:$D,'SKU Repoprt'!$D515,'Business - Dump'!$A:$A,'SKU Repoprt'!P$1)</f>
        <v>4</v>
      </c>
      <c r="Q515" s="3">
        <f>SUMIFS('Business - Dump'!$W:$W,'Business - Dump'!$D:$D,'SKU Repoprt'!$D515,'Business - Dump'!$A:$A,'SKU Repoprt'!Q$1)</f>
        <v>5</v>
      </c>
      <c r="R515" s="3">
        <f>SUMIFS('Business - Dump'!$W:$W,'Business - Dump'!$D:$D,'SKU Repoprt'!$D515,'Business - Dump'!$A:$A,'SKU Repoprt'!R$1)</f>
        <v>2</v>
      </c>
      <c r="S515" s="3">
        <f>SUMIFS('Business - Dump'!$W:$W,'Business - Dump'!$D:$D,'SKU Repoprt'!$D515,'Business - Dump'!$A:$A,'SKU Repoprt'!S$1)</f>
        <v>0</v>
      </c>
      <c r="T515" s="3">
        <f>SUMIFS('Business - Dump'!$W:$W,'Business - Dump'!$D:$D,'SKU Repoprt'!$D515,'Business - Dump'!$A:$A,'SKU Repoprt'!T$1)</f>
        <v>1</v>
      </c>
      <c r="U515" s="3">
        <f>SUMIFS('Business - Dump'!$W:$W,'Business - Dump'!$D:$D,'SKU Repoprt'!$D515,'Business - Dump'!$A:$A,'SKU Repoprt'!U$1)</f>
        <v>2</v>
      </c>
      <c r="V515" s="3">
        <f>SUMIFS('Business - Dump'!$W:$W,'Business - Dump'!$D:$D,'SKU Repoprt'!$D515,'Business - Dump'!$A:$A,'SKU Repoprt'!V$1)</f>
        <v>3</v>
      </c>
      <c r="W515" s="3">
        <f>SUMIFS('Business - Dump'!$W:$W,'Business - Dump'!$D:$D,'SKU Repoprt'!$D515,'Business - Dump'!$A:$A,'SKU Repoprt'!W$1)</f>
        <v>2</v>
      </c>
    </row>
    <row r="516" ht="15.75" customHeight="1">
      <c r="A516" s="10" t="s">
        <v>134</v>
      </c>
      <c r="B516" s="10" t="s">
        <v>134</v>
      </c>
      <c r="C516" s="10"/>
      <c r="D516" s="10" t="s">
        <v>401</v>
      </c>
      <c r="E516" s="10" t="s">
        <v>26</v>
      </c>
      <c r="F516" s="16">
        <f t="shared" si="171"/>
        <v>368992.65</v>
      </c>
      <c r="G516" s="16">
        <f>SUMIFS('Business - Dump'!$U:$U,'Business - Dump'!$D:$D,'SKU Repoprt'!$D516,'Business - Dump'!$A:$A,'SKU Repoprt'!G$1)</f>
        <v>0</v>
      </c>
      <c r="H516" s="16">
        <f>SUMIFS('Business - Dump'!$U:$U,'Business - Dump'!$D:$D,'SKU Repoprt'!$D516,'Business - Dump'!$A:$A,'SKU Repoprt'!H$1)</f>
        <v>0</v>
      </c>
      <c r="I516" s="16">
        <f>SUMIFS('Business - Dump'!$U:$U,'Business - Dump'!$D:$D,'SKU Repoprt'!$D516,'Business - Dump'!$A:$A,'SKU Repoprt'!I$1)</f>
        <v>0</v>
      </c>
      <c r="J516" s="16">
        <f>SUMIFS('Business - Dump'!$U:$U,'Business - Dump'!$D:$D,'SKU Repoprt'!$D516,'Business - Dump'!$A:$A,'SKU Repoprt'!J$1)</f>
        <v>0</v>
      </c>
      <c r="K516" s="16">
        <f>SUMIFS('Business - Dump'!$U:$U,'Business - Dump'!$D:$D,'SKU Repoprt'!$D516,'Business - Dump'!$A:$A,'SKU Repoprt'!K$1)</f>
        <v>0</v>
      </c>
      <c r="L516" s="16">
        <f>SUMIFS('Business - Dump'!$U:$U,'Business - Dump'!$D:$D,'SKU Repoprt'!$D516,'Business - Dump'!$A:$A,'SKU Repoprt'!L$1)</f>
        <v>42400</v>
      </c>
      <c r="M516" s="16">
        <f>SUMIFS('Business - Dump'!$U:$U,'Business - Dump'!$D:$D,'SKU Repoprt'!$D516,'Business - Dump'!$A:$A,'SKU Repoprt'!M$1)</f>
        <v>0</v>
      </c>
      <c r="N516" s="16">
        <f>SUMIFS('Business - Dump'!$U:$U,'Business - Dump'!$D:$D,'SKU Repoprt'!$D516,'Business - Dump'!$A:$A,'SKU Repoprt'!N$1)</f>
        <v>21200</v>
      </c>
      <c r="O516" s="16">
        <f>SUMIFS('Business - Dump'!$U:$U,'Business - Dump'!$D:$D,'SKU Repoprt'!$D516,'Business - Dump'!$A:$A,'SKU Repoprt'!O$1)</f>
        <v>82306.48</v>
      </c>
      <c r="P516" s="16">
        <f>SUMIFS('Business - Dump'!$U:$U,'Business - Dump'!$D:$D,'SKU Repoprt'!$D516,'Business - Dump'!$A:$A,'SKU Repoprt'!P$1)</f>
        <v>82398</v>
      </c>
      <c r="Q516" s="16">
        <f>SUMIFS('Business - Dump'!$U:$U,'Business - Dump'!$D:$D,'SKU Repoprt'!$D516,'Business - Dump'!$A:$A,'SKU Repoprt'!Q$1)</f>
        <v>100924.78</v>
      </c>
      <c r="R516" s="16">
        <f>SUMIFS('Business - Dump'!$U:$U,'Business - Dump'!$D:$D,'SKU Repoprt'!$D516,'Business - Dump'!$A:$A,'SKU Repoprt'!R$1)</f>
        <v>39763.39</v>
      </c>
      <c r="S516" s="16">
        <f>SUMIFS('Business - Dump'!$U:$U,'Business - Dump'!$D:$D,'SKU Repoprt'!$D516,'Business - Dump'!$A:$A,'SKU Repoprt'!S$1)</f>
        <v>0</v>
      </c>
      <c r="T516" s="16">
        <f>SUMIFS('Business - Dump'!$U:$U,'Business - Dump'!$D:$D,'SKU Repoprt'!$D516,'Business - Dump'!$A:$A,'SKU Repoprt'!T$1)</f>
        <v>21199</v>
      </c>
      <c r="U516" s="16">
        <f>SUMIFS('Business - Dump'!$U:$U,'Business - Dump'!$D:$D,'SKU Repoprt'!$D516,'Business - Dump'!$A:$A,'SKU Repoprt'!U$1)</f>
        <v>41300.86</v>
      </c>
      <c r="V516" s="16">
        <f>SUMIFS('Business - Dump'!$U:$U,'Business - Dump'!$D:$D,'SKU Repoprt'!$D516,'Business - Dump'!$A:$A,'SKU Repoprt'!V$1)</f>
        <v>62871.86</v>
      </c>
      <c r="W516" s="16">
        <f>SUMIFS('Business - Dump'!$U:$U,'Business - Dump'!$D:$D,'SKU Repoprt'!$D516,'Business - Dump'!$A:$A,'SKU Repoprt'!W$1)</f>
        <v>20510</v>
      </c>
    </row>
    <row r="517" ht="15.75" customHeight="1">
      <c r="A517" s="10" t="s">
        <v>134</v>
      </c>
      <c r="B517" s="10" t="s">
        <v>134</v>
      </c>
      <c r="C517" s="10"/>
      <c r="D517" s="10" t="s">
        <v>401</v>
      </c>
      <c r="E517" s="10" t="s">
        <v>29</v>
      </c>
      <c r="F517" s="17">
        <v>0.027042857142857143</v>
      </c>
      <c r="G517" s="17">
        <f t="shared" ref="G517:W517" si="172">IFERROR(G515/G512,0)</f>
        <v>0</v>
      </c>
      <c r="H517" s="17">
        <f t="shared" si="172"/>
        <v>0</v>
      </c>
      <c r="I517" s="17">
        <f t="shared" si="172"/>
        <v>0</v>
      </c>
      <c r="J517" s="17">
        <f t="shared" si="172"/>
        <v>0</v>
      </c>
      <c r="K517" s="17">
        <f t="shared" si="172"/>
        <v>0</v>
      </c>
      <c r="L517" s="17">
        <f t="shared" si="172"/>
        <v>0.01351351351</v>
      </c>
      <c r="M517" s="17">
        <f t="shared" si="172"/>
        <v>0</v>
      </c>
      <c r="N517" s="17">
        <f t="shared" si="172"/>
        <v>0.00272479564</v>
      </c>
      <c r="O517" s="17">
        <f t="shared" si="172"/>
        <v>0.01146131805</v>
      </c>
      <c r="P517" s="17">
        <f t="shared" si="172"/>
        <v>0.01253918495</v>
      </c>
      <c r="Q517" s="17">
        <f t="shared" si="172"/>
        <v>0.007418397626</v>
      </c>
      <c r="R517" s="17">
        <f t="shared" si="172"/>
        <v>0.008658008658</v>
      </c>
      <c r="S517" s="17">
        <f t="shared" si="172"/>
        <v>0</v>
      </c>
      <c r="T517" s="17">
        <f t="shared" si="172"/>
        <v>0.01162790698</v>
      </c>
      <c r="U517" s="17">
        <f t="shared" si="172"/>
        <v>0.02105263158</v>
      </c>
      <c r="V517" s="17">
        <f t="shared" si="172"/>
        <v>0.02459016393</v>
      </c>
      <c r="W517" s="17">
        <f t="shared" si="172"/>
        <v>0.01739130435</v>
      </c>
    </row>
    <row r="518" ht="15.75" customHeight="1">
      <c r="A518" s="10" t="s">
        <v>134</v>
      </c>
      <c r="B518" s="10" t="s">
        <v>134</v>
      </c>
      <c r="C518" s="10"/>
      <c r="D518" s="10" t="s">
        <v>358</v>
      </c>
      <c r="E518" s="10" t="s">
        <v>257</v>
      </c>
      <c r="F518" s="3">
        <f t="shared" ref="F518:F522" si="173">SUM(G518:S518)</f>
        <v>7553</v>
      </c>
      <c r="G518" s="3">
        <f>SUMIFS('Business - Dump'!$G:$G,'Business - Dump'!$D:$D,'SKU Repoprt'!$D518,'Business - Dump'!$A:$A,'SKU Repoprt'!G$1)</f>
        <v>0</v>
      </c>
      <c r="H518" s="3">
        <f>SUMIFS('Business - Dump'!$G:$G,'Business - Dump'!$D:$D,'SKU Repoprt'!$D518,'Business - Dump'!$A:$A,'SKU Repoprt'!H$1)</f>
        <v>0</v>
      </c>
      <c r="I518" s="3">
        <f>SUMIFS('Business - Dump'!$G:$G,'Business - Dump'!$D:$D,'SKU Repoprt'!$D518,'Business - Dump'!$A:$A,'SKU Repoprt'!I$1)</f>
        <v>0</v>
      </c>
      <c r="J518" s="3">
        <f>SUMIFS('Business - Dump'!$G:$G,'Business - Dump'!$D:$D,'SKU Repoprt'!$D518,'Business - Dump'!$A:$A,'SKU Repoprt'!J$1)</f>
        <v>235</v>
      </c>
      <c r="K518" s="3">
        <f>SUMIFS('Business - Dump'!$G:$G,'Business - Dump'!$D:$D,'SKU Repoprt'!$D518,'Business - Dump'!$A:$A,'SKU Repoprt'!K$1)</f>
        <v>530</v>
      </c>
      <c r="L518" s="3">
        <f>SUMIFS('Business - Dump'!$G:$G,'Business - Dump'!$D:$D,'SKU Repoprt'!$D518,'Business - Dump'!$A:$A,'SKU Repoprt'!L$1)</f>
        <v>507</v>
      </c>
      <c r="M518" s="3">
        <f>SUMIFS('Business - Dump'!$G:$G,'Business - Dump'!$D:$D,'SKU Repoprt'!$D518,'Business - Dump'!$A:$A,'SKU Repoprt'!M$1)</f>
        <v>958</v>
      </c>
      <c r="N518" s="3">
        <f>SUMIFS('Business - Dump'!$G:$G,'Business - Dump'!$D:$D,'SKU Repoprt'!$D518,'Business - Dump'!$A:$A,'SKU Repoprt'!N$1)</f>
        <v>640</v>
      </c>
      <c r="O518" s="3">
        <f>SUMIFS('Business - Dump'!$G:$G,'Business - Dump'!$D:$D,'SKU Repoprt'!$D518,'Business - Dump'!$A:$A,'SKU Repoprt'!O$1)</f>
        <v>914</v>
      </c>
      <c r="P518" s="3">
        <f>SUMIFS('Business - Dump'!$G:$G,'Business - Dump'!$D:$D,'SKU Repoprt'!$D518,'Business - Dump'!$A:$A,'SKU Repoprt'!P$1)</f>
        <v>923</v>
      </c>
      <c r="Q518" s="3">
        <f>SUMIFS('Business - Dump'!$G:$G,'Business - Dump'!$D:$D,'SKU Repoprt'!$D518,'Business - Dump'!$A:$A,'SKU Repoprt'!Q$1)</f>
        <v>1344</v>
      </c>
      <c r="R518" s="3">
        <f>SUMIFS('Business - Dump'!$G:$G,'Business - Dump'!$D:$D,'SKU Repoprt'!$D518,'Business - Dump'!$A:$A,'SKU Repoprt'!R$1)</f>
        <v>852</v>
      </c>
      <c r="S518" s="3">
        <f>SUMIFS('Business - Dump'!$G:$G,'Business - Dump'!$D:$D,'SKU Repoprt'!$D518,'Business - Dump'!$A:$A,'SKU Repoprt'!S$1)</f>
        <v>650</v>
      </c>
      <c r="T518" s="3">
        <f>SUMIFS('Business - Dump'!$G:$G,'Business - Dump'!$D:$D,'SKU Repoprt'!$D518,'Business - Dump'!$A:$A,'SKU Repoprt'!T$1)</f>
        <v>480</v>
      </c>
      <c r="U518" s="3">
        <f>SUMIFS('Business - Dump'!$G:$G,'Business - Dump'!$D:$D,'SKU Repoprt'!$D518,'Business - Dump'!$A:$A,'SKU Repoprt'!U$1)</f>
        <v>526</v>
      </c>
      <c r="V518" s="3">
        <f>SUMIFS('Business - Dump'!$G:$G,'Business - Dump'!$D:$D,'SKU Repoprt'!$D518,'Business - Dump'!$A:$A,'SKU Repoprt'!V$1)</f>
        <v>383</v>
      </c>
      <c r="W518" s="3">
        <f>SUMIFS('Business - Dump'!$G:$G,'Business - Dump'!$D:$D,'SKU Repoprt'!$D518,'Business - Dump'!$A:$A,'SKU Repoprt'!W$1)</f>
        <v>557</v>
      </c>
    </row>
    <row r="519" ht="15.75" customHeight="1">
      <c r="A519" s="10" t="s">
        <v>134</v>
      </c>
      <c r="B519" s="10" t="s">
        <v>134</v>
      </c>
      <c r="C519" s="10"/>
      <c r="D519" s="10" t="s">
        <v>358</v>
      </c>
      <c r="E519" s="10" t="s">
        <v>260</v>
      </c>
      <c r="F519" s="3">
        <f t="shared" si="173"/>
        <v>10815</v>
      </c>
      <c r="G519" s="3">
        <f>SUMIFS('Business - Dump'!$K:$K,'Business - Dump'!$D:$D,'SKU Repoprt'!$D519,'Business - Dump'!$A:$A,'SKU Repoprt'!G$1)</f>
        <v>0</v>
      </c>
      <c r="H519" s="3">
        <f>SUMIFS('Business - Dump'!$K:$K,'Business - Dump'!$D:$D,'SKU Repoprt'!$D519,'Business - Dump'!$A:$A,'SKU Repoprt'!H$1)</f>
        <v>0</v>
      </c>
      <c r="I519" s="3">
        <f>SUMIFS('Business - Dump'!$K:$K,'Business - Dump'!$D:$D,'SKU Repoprt'!$D519,'Business - Dump'!$A:$A,'SKU Repoprt'!I$1)</f>
        <v>0</v>
      </c>
      <c r="J519" s="3">
        <f>SUMIFS('Business - Dump'!$K:$K,'Business - Dump'!$D:$D,'SKU Repoprt'!$D519,'Business - Dump'!$A:$A,'SKU Repoprt'!J$1)</f>
        <v>300</v>
      </c>
      <c r="K519" s="3">
        <f>SUMIFS('Business - Dump'!$K:$K,'Business - Dump'!$D:$D,'SKU Repoprt'!$D519,'Business - Dump'!$A:$A,'SKU Repoprt'!K$1)</f>
        <v>764</v>
      </c>
      <c r="L519" s="3">
        <f>SUMIFS('Business - Dump'!$K:$K,'Business - Dump'!$D:$D,'SKU Repoprt'!$D519,'Business - Dump'!$A:$A,'SKU Repoprt'!L$1)</f>
        <v>698</v>
      </c>
      <c r="M519" s="3">
        <f>SUMIFS('Business - Dump'!$K:$K,'Business - Dump'!$D:$D,'SKU Repoprt'!$D519,'Business - Dump'!$A:$A,'SKU Repoprt'!M$1)</f>
        <v>1487</v>
      </c>
      <c r="N519" s="3">
        <f>SUMIFS('Business - Dump'!$K:$K,'Business - Dump'!$D:$D,'SKU Repoprt'!$D519,'Business - Dump'!$A:$A,'SKU Repoprt'!N$1)</f>
        <v>877</v>
      </c>
      <c r="O519" s="3">
        <f>SUMIFS('Business - Dump'!$K:$K,'Business - Dump'!$D:$D,'SKU Repoprt'!$D519,'Business - Dump'!$A:$A,'SKU Repoprt'!O$1)</f>
        <v>1239</v>
      </c>
      <c r="P519" s="3">
        <f>SUMIFS('Business - Dump'!$K:$K,'Business - Dump'!$D:$D,'SKU Repoprt'!$D519,'Business - Dump'!$A:$A,'SKU Repoprt'!P$1)</f>
        <v>1378</v>
      </c>
      <c r="Q519" s="3">
        <f>SUMIFS('Business - Dump'!$K:$K,'Business - Dump'!$D:$D,'SKU Repoprt'!$D519,'Business - Dump'!$A:$A,'SKU Repoprt'!Q$1)</f>
        <v>1909</v>
      </c>
      <c r="R519" s="3">
        <f>SUMIFS('Business - Dump'!$K:$K,'Business - Dump'!$D:$D,'SKU Repoprt'!$D519,'Business - Dump'!$A:$A,'SKU Repoprt'!R$1)</f>
        <v>1251</v>
      </c>
      <c r="S519" s="3">
        <f>SUMIFS('Business - Dump'!$K:$K,'Business - Dump'!$D:$D,'SKU Repoprt'!$D519,'Business - Dump'!$A:$A,'SKU Repoprt'!S$1)</f>
        <v>912</v>
      </c>
      <c r="T519" s="3">
        <f>SUMIFS('Business - Dump'!$K:$K,'Business - Dump'!$D:$D,'SKU Repoprt'!$D519,'Business - Dump'!$A:$A,'SKU Repoprt'!T$1)</f>
        <v>646</v>
      </c>
      <c r="U519" s="3">
        <f>SUMIFS('Business - Dump'!$K:$K,'Business - Dump'!$D:$D,'SKU Repoprt'!$D519,'Business - Dump'!$A:$A,'SKU Repoprt'!U$1)</f>
        <v>727</v>
      </c>
      <c r="V519" s="3">
        <f>SUMIFS('Business - Dump'!$K:$K,'Business - Dump'!$D:$D,'SKU Repoprt'!$D519,'Business - Dump'!$A:$A,'SKU Repoprt'!V$1)</f>
        <v>577</v>
      </c>
      <c r="W519" s="3">
        <f>SUMIFS('Business - Dump'!$K:$K,'Business - Dump'!$D:$D,'SKU Repoprt'!$D519,'Business - Dump'!$A:$A,'SKU Repoprt'!W$1)</f>
        <v>812</v>
      </c>
    </row>
    <row r="520" ht="15.75" customHeight="1">
      <c r="A520" s="10" t="s">
        <v>134</v>
      </c>
      <c r="B520" s="10" t="s">
        <v>134</v>
      </c>
      <c r="C520" s="10"/>
      <c r="D520" s="10" t="s">
        <v>358</v>
      </c>
      <c r="E520" s="10" t="s">
        <v>264</v>
      </c>
      <c r="F520" s="3">
        <f t="shared" si="173"/>
        <v>63</v>
      </c>
      <c r="G520" s="3">
        <f>SUMIFS('Business - Dump'!$Q:$Q,'Business - Dump'!$D:$D,'SKU Repoprt'!$D520,'Business - Dump'!$A:$A,'SKU Repoprt'!G$1)</f>
        <v>0</v>
      </c>
      <c r="H520" s="3">
        <f>SUMIFS('Business - Dump'!$Q:$Q,'Business - Dump'!$D:$D,'SKU Repoprt'!$D520,'Business - Dump'!$A:$A,'SKU Repoprt'!H$1)</f>
        <v>0</v>
      </c>
      <c r="I520" s="3">
        <f>SUMIFS('Business - Dump'!$Q:$Q,'Business - Dump'!$D:$D,'SKU Repoprt'!$D520,'Business - Dump'!$A:$A,'SKU Repoprt'!I$1)</f>
        <v>0</v>
      </c>
      <c r="J520" s="3">
        <f>SUMIFS('Business - Dump'!$Q:$Q,'Business - Dump'!$D:$D,'SKU Repoprt'!$D520,'Business - Dump'!$A:$A,'SKU Repoprt'!J$1)</f>
        <v>2</v>
      </c>
      <c r="K520" s="3">
        <f>SUMIFS('Business - Dump'!$Q:$Q,'Business - Dump'!$D:$D,'SKU Repoprt'!$D520,'Business - Dump'!$A:$A,'SKU Repoprt'!K$1)</f>
        <v>3</v>
      </c>
      <c r="L520" s="3">
        <f>SUMIFS('Business - Dump'!$Q:$Q,'Business - Dump'!$D:$D,'SKU Repoprt'!$D520,'Business - Dump'!$A:$A,'SKU Repoprt'!L$1)</f>
        <v>2</v>
      </c>
      <c r="M520" s="3">
        <f>SUMIFS('Business - Dump'!$Q:$Q,'Business - Dump'!$D:$D,'SKU Repoprt'!$D520,'Business - Dump'!$A:$A,'SKU Repoprt'!M$1)</f>
        <v>9</v>
      </c>
      <c r="N520" s="3">
        <f>SUMIFS('Business - Dump'!$Q:$Q,'Business - Dump'!$D:$D,'SKU Repoprt'!$D520,'Business - Dump'!$A:$A,'SKU Repoprt'!N$1)</f>
        <v>3</v>
      </c>
      <c r="O520" s="3">
        <f>SUMIFS('Business - Dump'!$Q:$Q,'Business - Dump'!$D:$D,'SKU Repoprt'!$D520,'Business - Dump'!$A:$A,'SKU Repoprt'!O$1)</f>
        <v>9</v>
      </c>
      <c r="P520" s="3">
        <f>SUMIFS('Business - Dump'!$Q:$Q,'Business - Dump'!$D:$D,'SKU Repoprt'!$D520,'Business - Dump'!$A:$A,'SKU Repoprt'!P$1)</f>
        <v>10</v>
      </c>
      <c r="Q520" s="3">
        <f>SUMIFS('Business - Dump'!$Q:$Q,'Business - Dump'!$D:$D,'SKU Repoprt'!$D520,'Business - Dump'!$A:$A,'SKU Repoprt'!Q$1)</f>
        <v>15</v>
      </c>
      <c r="R520" s="3">
        <f>SUMIFS('Business - Dump'!$Q:$Q,'Business - Dump'!$D:$D,'SKU Repoprt'!$D520,'Business - Dump'!$A:$A,'SKU Repoprt'!R$1)</f>
        <v>4</v>
      </c>
      <c r="S520" s="3">
        <f>SUMIFS('Business - Dump'!$Q:$Q,'Business - Dump'!$D:$D,'SKU Repoprt'!$D520,'Business - Dump'!$A:$A,'SKU Repoprt'!S$1)</f>
        <v>6</v>
      </c>
      <c r="T520" s="3">
        <f>SUMIFS('Business - Dump'!$Q:$Q,'Business - Dump'!$D:$D,'SKU Repoprt'!$D520,'Business - Dump'!$A:$A,'SKU Repoprt'!T$1)</f>
        <v>2</v>
      </c>
      <c r="U520" s="3">
        <f>SUMIFS('Business - Dump'!$Q:$Q,'Business - Dump'!$D:$D,'SKU Repoprt'!$D520,'Business - Dump'!$A:$A,'SKU Repoprt'!U$1)</f>
        <v>4</v>
      </c>
      <c r="V520" s="3">
        <f>SUMIFS('Business - Dump'!$Q:$Q,'Business - Dump'!$D:$D,'SKU Repoprt'!$D520,'Business - Dump'!$A:$A,'SKU Repoprt'!V$1)</f>
        <v>4</v>
      </c>
      <c r="W520" s="3">
        <f>SUMIFS('Business - Dump'!$Q:$Q,'Business - Dump'!$D:$D,'SKU Repoprt'!$D520,'Business - Dump'!$A:$A,'SKU Repoprt'!W$1)</f>
        <v>3</v>
      </c>
    </row>
    <row r="521" ht="15.75" customHeight="1">
      <c r="A521" s="10" t="s">
        <v>134</v>
      </c>
      <c r="B521" s="10" t="s">
        <v>134</v>
      </c>
      <c r="C521" s="10"/>
      <c r="D521" s="10" t="s">
        <v>358</v>
      </c>
      <c r="E521" s="10" t="s">
        <v>268</v>
      </c>
      <c r="F521" s="3">
        <f t="shared" si="173"/>
        <v>63</v>
      </c>
      <c r="G521" s="3">
        <f>SUMIFS('Business - Dump'!$W:$W,'Business - Dump'!$D:$D,'SKU Repoprt'!$D521,'Business - Dump'!$A:$A,'SKU Repoprt'!G$1)</f>
        <v>0</v>
      </c>
      <c r="H521" s="3">
        <f>SUMIFS('Business - Dump'!$W:$W,'Business - Dump'!$D:$D,'SKU Repoprt'!$D521,'Business - Dump'!$A:$A,'SKU Repoprt'!H$1)</f>
        <v>0</v>
      </c>
      <c r="I521" s="3">
        <f>SUMIFS('Business - Dump'!$W:$W,'Business - Dump'!$D:$D,'SKU Repoprt'!$D521,'Business - Dump'!$A:$A,'SKU Repoprt'!I$1)</f>
        <v>0</v>
      </c>
      <c r="J521" s="3">
        <f>SUMIFS('Business - Dump'!$W:$W,'Business - Dump'!$D:$D,'SKU Repoprt'!$D521,'Business - Dump'!$A:$A,'SKU Repoprt'!J$1)</f>
        <v>2</v>
      </c>
      <c r="K521" s="3">
        <f>SUMIFS('Business - Dump'!$W:$W,'Business - Dump'!$D:$D,'SKU Repoprt'!$D521,'Business - Dump'!$A:$A,'SKU Repoprt'!K$1)</f>
        <v>3</v>
      </c>
      <c r="L521" s="3">
        <f>SUMIFS('Business - Dump'!$W:$W,'Business - Dump'!$D:$D,'SKU Repoprt'!$D521,'Business - Dump'!$A:$A,'SKU Repoprt'!L$1)</f>
        <v>2</v>
      </c>
      <c r="M521" s="3">
        <f>SUMIFS('Business - Dump'!$W:$W,'Business - Dump'!$D:$D,'SKU Repoprt'!$D521,'Business - Dump'!$A:$A,'SKU Repoprt'!M$1)</f>
        <v>9</v>
      </c>
      <c r="N521" s="3">
        <f>SUMIFS('Business - Dump'!$W:$W,'Business - Dump'!$D:$D,'SKU Repoprt'!$D521,'Business - Dump'!$A:$A,'SKU Repoprt'!N$1)</f>
        <v>3</v>
      </c>
      <c r="O521" s="3">
        <f>SUMIFS('Business - Dump'!$W:$W,'Business - Dump'!$D:$D,'SKU Repoprt'!$D521,'Business - Dump'!$A:$A,'SKU Repoprt'!O$1)</f>
        <v>9</v>
      </c>
      <c r="P521" s="3">
        <f>SUMIFS('Business - Dump'!$W:$W,'Business - Dump'!$D:$D,'SKU Repoprt'!$D521,'Business - Dump'!$A:$A,'SKU Repoprt'!P$1)</f>
        <v>10</v>
      </c>
      <c r="Q521" s="3">
        <f>SUMIFS('Business - Dump'!$W:$W,'Business - Dump'!$D:$D,'SKU Repoprt'!$D521,'Business - Dump'!$A:$A,'SKU Repoprt'!Q$1)</f>
        <v>15</v>
      </c>
      <c r="R521" s="3">
        <f>SUMIFS('Business - Dump'!$W:$W,'Business - Dump'!$D:$D,'SKU Repoprt'!$D521,'Business - Dump'!$A:$A,'SKU Repoprt'!R$1)</f>
        <v>4</v>
      </c>
      <c r="S521" s="3">
        <f>SUMIFS('Business - Dump'!$W:$W,'Business - Dump'!$D:$D,'SKU Repoprt'!$D521,'Business - Dump'!$A:$A,'SKU Repoprt'!S$1)</f>
        <v>6</v>
      </c>
      <c r="T521" s="3">
        <f>SUMIFS('Business - Dump'!$W:$W,'Business - Dump'!$D:$D,'SKU Repoprt'!$D521,'Business - Dump'!$A:$A,'SKU Repoprt'!T$1)</f>
        <v>2</v>
      </c>
      <c r="U521" s="3">
        <f>SUMIFS('Business - Dump'!$W:$W,'Business - Dump'!$D:$D,'SKU Repoprt'!$D521,'Business - Dump'!$A:$A,'SKU Repoprt'!U$1)</f>
        <v>4</v>
      </c>
      <c r="V521" s="3">
        <f>SUMIFS('Business - Dump'!$W:$W,'Business - Dump'!$D:$D,'SKU Repoprt'!$D521,'Business - Dump'!$A:$A,'SKU Repoprt'!V$1)</f>
        <v>4</v>
      </c>
      <c r="W521" s="3">
        <f>SUMIFS('Business - Dump'!$W:$W,'Business - Dump'!$D:$D,'SKU Repoprt'!$D521,'Business - Dump'!$A:$A,'SKU Repoprt'!W$1)</f>
        <v>3</v>
      </c>
    </row>
    <row r="522" ht="15.75" customHeight="1">
      <c r="A522" s="10" t="s">
        <v>134</v>
      </c>
      <c r="B522" s="10" t="s">
        <v>134</v>
      </c>
      <c r="C522" s="10"/>
      <c r="D522" s="10" t="s">
        <v>358</v>
      </c>
      <c r="E522" s="10" t="s">
        <v>26</v>
      </c>
      <c r="F522" s="16">
        <f t="shared" si="173"/>
        <v>1549257.24</v>
      </c>
      <c r="G522" s="16">
        <f>SUMIFS('Business - Dump'!$U:$U,'Business - Dump'!$D:$D,'SKU Repoprt'!$D522,'Business - Dump'!$A:$A,'SKU Repoprt'!G$1)</f>
        <v>0</v>
      </c>
      <c r="H522" s="16">
        <f>SUMIFS('Business - Dump'!$U:$U,'Business - Dump'!$D:$D,'SKU Repoprt'!$D522,'Business - Dump'!$A:$A,'SKU Repoprt'!H$1)</f>
        <v>0</v>
      </c>
      <c r="I522" s="16">
        <f>SUMIFS('Business - Dump'!$U:$U,'Business - Dump'!$D:$D,'SKU Repoprt'!$D522,'Business - Dump'!$A:$A,'SKU Repoprt'!I$1)</f>
        <v>0</v>
      </c>
      <c r="J522" s="16">
        <f>SUMIFS('Business - Dump'!$U:$U,'Business - Dump'!$D:$D,'SKU Repoprt'!$D522,'Business - Dump'!$A:$A,'SKU Repoprt'!J$1)</f>
        <v>49000</v>
      </c>
      <c r="K522" s="16">
        <f>SUMIFS('Business - Dump'!$U:$U,'Business - Dump'!$D:$D,'SKU Repoprt'!$D522,'Business - Dump'!$A:$A,'SKU Repoprt'!K$1)</f>
        <v>74308.48</v>
      </c>
      <c r="L522" s="16">
        <f>SUMIFS('Business - Dump'!$U:$U,'Business - Dump'!$D:$D,'SKU Repoprt'!$D522,'Business - Dump'!$A:$A,'SKU Repoprt'!L$1)</f>
        <v>49600</v>
      </c>
      <c r="M522" s="16">
        <f>SUMIFS('Business - Dump'!$U:$U,'Business - Dump'!$D:$D,'SKU Repoprt'!$D522,'Business - Dump'!$A:$A,'SKU Repoprt'!M$1)</f>
        <v>230400</v>
      </c>
      <c r="N522" s="16">
        <f>SUMIFS('Business - Dump'!$U:$U,'Business - Dump'!$D:$D,'SKU Repoprt'!$D522,'Business - Dump'!$A:$A,'SKU Repoprt'!N$1)</f>
        <v>77400</v>
      </c>
      <c r="O522" s="16">
        <f>SUMIFS('Business - Dump'!$U:$U,'Business - Dump'!$D:$D,'SKU Repoprt'!$D522,'Business - Dump'!$A:$A,'SKU Repoprt'!O$1)</f>
        <v>222096.2</v>
      </c>
      <c r="P522" s="16">
        <f>SUMIFS('Business - Dump'!$U:$U,'Business - Dump'!$D:$D,'SKU Repoprt'!$D522,'Business - Dump'!$A:$A,'SKU Repoprt'!P$1)</f>
        <v>244400</v>
      </c>
      <c r="Q522" s="16">
        <f>SUMIFS('Business - Dump'!$U:$U,'Business - Dump'!$D:$D,'SKU Repoprt'!$D522,'Business - Dump'!$A:$A,'SKU Repoprt'!Q$1)</f>
        <v>359745.78</v>
      </c>
      <c r="R522" s="16">
        <f>SUMIFS('Business - Dump'!$U:$U,'Business - Dump'!$D:$D,'SKU Repoprt'!$D522,'Business - Dump'!$A:$A,'SKU Repoprt'!R$1)</f>
        <v>93806.78</v>
      </c>
      <c r="S522" s="16">
        <f>SUMIFS('Business - Dump'!$U:$U,'Business - Dump'!$D:$D,'SKU Repoprt'!$D522,'Business - Dump'!$A:$A,'SKU Repoprt'!S$1)</f>
        <v>148500</v>
      </c>
      <c r="T522" s="16">
        <f>SUMIFS('Business - Dump'!$U:$U,'Business - Dump'!$D:$D,'SKU Repoprt'!$D522,'Business - Dump'!$A:$A,'SKU Repoprt'!T$1)</f>
        <v>49500</v>
      </c>
      <c r="U522" s="16">
        <f>SUMIFS('Business - Dump'!$U:$U,'Business - Dump'!$D:$D,'SKU Repoprt'!$D522,'Business - Dump'!$A:$A,'SKU Repoprt'!U$1)</f>
        <v>95891.44</v>
      </c>
      <c r="V522" s="16">
        <f>SUMIFS('Business - Dump'!$U:$U,'Business - Dump'!$D:$D,'SKU Repoprt'!$D522,'Business - Dump'!$A:$A,'SKU Repoprt'!V$1)</f>
        <v>95887.44</v>
      </c>
      <c r="W522" s="16">
        <f>SUMIFS('Business - Dump'!$U:$U,'Business - Dump'!$D:$D,'SKU Repoprt'!$D522,'Business - Dump'!$A:$A,'SKU Repoprt'!W$1)</f>
        <v>69316.86</v>
      </c>
    </row>
    <row r="523" ht="15.75" customHeight="1">
      <c r="A523" s="10" t="s">
        <v>134</v>
      </c>
      <c r="B523" s="10" t="s">
        <v>134</v>
      </c>
      <c r="C523" s="10"/>
      <c r="D523" s="10" t="s">
        <v>358</v>
      </c>
      <c r="E523" s="10" t="s">
        <v>29</v>
      </c>
      <c r="F523" s="17">
        <v>0.027042857142857143</v>
      </c>
      <c r="G523" s="17">
        <f t="shared" ref="G523:W523" si="174">IFERROR(G521/G518,0)</f>
        <v>0</v>
      </c>
      <c r="H523" s="17">
        <f t="shared" si="174"/>
        <v>0</v>
      </c>
      <c r="I523" s="17">
        <f t="shared" si="174"/>
        <v>0</v>
      </c>
      <c r="J523" s="17">
        <f t="shared" si="174"/>
        <v>0.008510638298</v>
      </c>
      <c r="K523" s="17">
        <f t="shared" si="174"/>
        <v>0.005660377358</v>
      </c>
      <c r="L523" s="17">
        <f t="shared" si="174"/>
        <v>0.003944773176</v>
      </c>
      <c r="M523" s="17">
        <f t="shared" si="174"/>
        <v>0.009394572025</v>
      </c>
      <c r="N523" s="17">
        <f t="shared" si="174"/>
        <v>0.0046875</v>
      </c>
      <c r="O523" s="17">
        <f t="shared" si="174"/>
        <v>0.009846827133</v>
      </c>
      <c r="P523" s="17">
        <f t="shared" si="174"/>
        <v>0.01083423619</v>
      </c>
      <c r="Q523" s="17">
        <f t="shared" si="174"/>
        <v>0.01116071429</v>
      </c>
      <c r="R523" s="17">
        <f t="shared" si="174"/>
        <v>0.004694835681</v>
      </c>
      <c r="S523" s="17">
        <f t="shared" si="174"/>
        <v>0.009230769231</v>
      </c>
      <c r="T523" s="17">
        <f t="shared" si="174"/>
        <v>0.004166666667</v>
      </c>
      <c r="U523" s="17">
        <f t="shared" si="174"/>
        <v>0.007604562738</v>
      </c>
      <c r="V523" s="17">
        <f t="shared" si="174"/>
        <v>0.01044386423</v>
      </c>
      <c r="W523" s="17">
        <f t="shared" si="174"/>
        <v>0.005385996409</v>
      </c>
    </row>
    <row r="524" ht="15.75" customHeight="1">
      <c r="A524" s="10" t="s">
        <v>134</v>
      </c>
      <c r="B524" s="10" t="s">
        <v>134</v>
      </c>
      <c r="C524" s="10"/>
      <c r="D524" s="10" t="s">
        <v>370</v>
      </c>
      <c r="E524" s="10" t="s">
        <v>257</v>
      </c>
      <c r="F524" s="3">
        <f t="shared" ref="F524:F528" si="175">SUM(G524:S524)</f>
        <v>5986</v>
      </c>
      <c r="G524" s="3">
        <f>SUMIFS('Business - Dump'!$G:$G,'Business - Dump'!$D:$D,'SKU Repoprt'!$D524,'Business - Dump'!$A:$A,'SKU Repoprt'!G$1)</f>
        <v>0</v>
      </c>
      <c r="H524" s="3">
        <f>SUMIFS('Business - Dump'!$G:$G,'Business - Dump'!$D:$D,'SKU Repoprt'!$D524,'Business - Dump'!$A:$A,'SKU Repoprt'!H$1)</f>
        <v>0</v>
      </c>
      <c r="I524" s="3">
        <f>SUMIFS('Business - Dump'!$G:$G,'Business - Dump'!$D:$D,'SKU Repoprt'!$D524,'Business - Dump'!$A:$A,'SKU Repoprt'!I$1)</f>
        <v>0</v>
      </c>
      <c r="J524" s="3">
        <f>SUMIFS('Business - Dump'!$G:$G,'Business - Dump'!$D:$D,'SKU Repoprt'!$D524,'Business - Dump'!$A:$A,'SKU Repoprt'!J$1)</f>
        <v>307</v>
      </c>
      <c r="K524" s="3">
        <f>SUMIFS('Business - Dump'!$G:$G,'Business - Dump'!$D:$D,'SKU Repoprt'!$D524,'Business - Dump'!$A:$A,'SKU Repoprt'!K$1)</f>
        <v>847</v>
      </c>
      <c r="L524" s="3">
        <f>SUMIFS('Business - Dump'!$G:$G,'Business - Dump'!$D:$D,'SKU Repoprt'!$D524,'Business - Dump'!$A:$A,'SKU Repoprt'!L$1)</f>
        <v>531</v>
      </c>
      <c r="M524" s="3">
        <f>SUMIFS('Business - Dump'!$G:$G,'Business - Dump'!$D:$D,'SKU Repoprt'!$D524,'Business - Dump'!$A:$A,'SKU Repoprt'!M$1)</f>
        <v>741</v>
      </c>
      <c r="N524" s="3">
        <f>SUMIFS('Business - Dump'!$G:$G,'Business - Dump'!$D:$D,'SKU Repoprt'!$D524,'Business - Dump'!$A:$A,'SKU Repoprt'!N$1)</f>
        <v>443</v>
      </c>
      <c r="O524" s="3">
        <f>SUMIFS('Business - Dump'!$G:$G,'Business - Dump'!$D:$D,'SKU Repoprt'!$D524,'Business - Dump'!$A:$A,'SKU Repoprt'!O$1)</f>
        <v>536</v>
      </c>
      <c r="P524" s="3">
        <f>SUMIFS('Business - Dump'!$G:$G,'Business - Dump'!$D:$D,'SKU Repoprt'!$D524,'Business - Dump'!$A:$A,'SKU Repoprt'!P$1)</f>
        <v>839</v>
      </c>
      <c r="Q524" s="3">
        <f>SUMIFS('Business - Dump'!$G:$G,'Business - Dump'!$D:$D,'SKU Repoprt'!$D524,'Business - Dump'!$A:$A,'SKU Repoprt'!Q$1)</f>
        <v>812</v>
      </c>
      <c r="R524" s="3">
        <f>SUMIFS('Business - Dump'!$G:$G,'Business - Dump'!$D:$D,'SKU Repoprt'!$D524,'Business - Dump'!$A:$A,'SKU Repoprt'!R$1)</f>
        <v>607</v>
      </c>
      <c r="S524" s="3">
        <f>SUMIFS('Business - Dump'!$G:$G,'Business - Dump'!$D:$D,'SKU Repoprt'!$D524,'Business - Dump'!$A:$A,'SKU Repoprt'!S$1)</f>
        <v>323</v>
      </c>
      <c r="T524" s="3">
        <f>SUMIFS('Business - Dump'!$G:$G,'Business - Dump'!$D:$D,'SKU Repoprt'!$D524,'Business - Dump'!$A:$A,'SKU Repoprt'!T$1)</f>
        <v>222</v>
      </c>
      <c r="U524" s="3">
        <f>SUMIFS('Business - Dump'!$G:$G,'Business - Dump'!$D:$D,'SKU Repoprt'!$D524,'Business - Dump'!$A:$A,'SKU Repoprt'!U$1)</f>
        <v>198</v>
      </c>
      <c r="V524" s="3">
        <f>SUMIFS('Business - Dump'!$G:$G,'Business - Dump'!$D:$D,'SKU Repoprt'!$D524,'Business - Dump'!$A:$A,'SKU Repoprt'!V$1)</f>
        <v>163</v>
      </c>
      <c r="W524" s="3">
        <f>SUMIFS('Business - Dump'!$G:$G,'Business - Dump'!$D:$D,'SKU Repoprt'!$D524,'Business - Dump'!$A:$A,'SKU Repoprt'!W$1)</f>
        <v>529</v>
      </c>
    </row>
    <row r="525" ht="15.75" customHeight="1">
      <c r="A525" s="10" t="s">
        <v>134</v>
      </c>
      <c r="B525" s="10" t="s">
        <v>134</v>
      </c>
      <c r="C525" s="10"/>
      <c r="D525" s="10" t="s">
        <v>370</v>
      </c>
      <c r="E525" s="10" t="s">
        <v>260</v>
      </c>
      <c r="F525" s="3">
        <f t="shared" si="175"/>
        <v>8565</v>
      </c>
      <c r="G525" s="3">
        <f>SUMIFS('Business - Dump'!$K:$K,'Business - Dump'!$D:$D,'SKU Repoprt'!$D525,'Business - Dump'!$A:$A,'SKU Repoprt'!G$1)</f>
        <v>0</v>
      </c>
      <c r="H525" s="3">
        <f>SUMIFS('Business - Dump'!$K:$K,'Business - Dump'!$D:$D,'SKU Repoprt'!$D525,'Business - Dump'!$A:$A,'SKU Repoprt'!H$1)</f>
        <v>0</v>
      </c>
      <c r="I525" s="3">
        <f>SUMIFS('Business - Dump'!$K:$K,'Business - Dump'!$D:$D,'SKU Repoprt'!$D525,'Business - Dump'!$A:$A,'SKU Repoprt'!I$1)</f>
        <v>0</v>
      </c>
      <c r="J525" s="3">
        <f>SUMIFS('Business - Dump'!$K:$K,'Business - Dump'!$D:$D,'SKU Repoprt'!$D525,'Business - Dump'!$A:$A,'SKU Repoprt'!J$1)</f>
        <v>385</v>
      </c>
      <c r="K525" s="3">
        <f>SUMIFS('Business - Dump'!$K:$K,'Business - Dump'!$D:$D,'SKU Repoprt'!$D525,'Business - Dump'!$A:$A,'SKU Repoprt'!K$1)</f>
        <v>1161</v>
      </c>
      <c r="L525" s="3">
        <f>SUMIFS('Business - Dump'!$K:$K,'Business - Dump'!$D:$D,'SKU Repoprt'!$D525,'Business - Dump'!$A:$A,'SKU Repoprt'!L$1)</f>
        <v>762</v>
      </c>
      <c r="M525" s="3">
        <f>SUMIFS('Business - Dump'!$K:$K,'Business - Dump'!$D:$D,'SKU Repoprt'!$D525,'Business - Dump'!$A:$A,'SKU Repoprt'!M$1)</f>
        <v>1083</v>
      </c>
      <c r="N525" s="3">
        <f>SUMIFS('Business - Dump'!$K:$K,'Business - Dump'!$D:$D,'SKU Repoprt'!$D525,'Business - Dump'!$A:$A,'SKU Repoprt'!N$1)</f>
        <v>568</v>
      </c>
      <c r="O525" s="3">
        <f>SUMIFS('Business - Dump'!$K:$K,'Business - Dump'!$D:$D,'SKU Repoprt'!$D525,'Business - Dump'!$A:$A,'SKU Repoprt'!O$1)</f>
        <v>747</v>
      </c>
      <c r="P525" s="3">
        <f>SUMIFS('Business - Dump'!$K:$K,'Business - Dump'!$D:$D,'SKU Repoprt'!$D525,'Business - Dump'!$A:$A,'SKU Repoprt'!P$1)</f>
        <v>1223</v>
      </c>
      <c r="Q525" s="3">
        <f>SUMIFS('Business - Dump'!$K:$K,'Business - Dump'!$D:$D,'SKU Repoprt'!$D525,'Business - Dump'!$A:$A,'SKU Repoprt'!Q$1)</f>
        <v>1118</v>
      </c>
      <c r="R525" s="3">
        <f>SUMIFS('Business - Dump'!$K:$K,'Business - Dump'!$D:$D,'SKU Repoprt'!$D525,'Business - Dump'!$A:$A,'SKU Repoprt'!R$1)</f>
        <v>1022</v>
      </c>
      <c r="S525" s="3">
        <f>SUMIFS('Business - Dump'!$K:$K,'Business - Dump'!$D:$D,'SKU Repoprt'!$D525,'Business - Dump'!$A:$A,'SKU Repoprt'!S$1)</f>
        <v>496</v>
      </c>
      <c r="T525" s="3">
        <f>SUMIFS('Business - Dump'!$K:$K,'Business - Dump'!$D:$D,'SKU Repoprt'!$D525,'Business - Dump'!$A:$A,'SKU Repoprt'!T$1)</f>
        <v>317</v>
      </c>
      <c r="U525" s="3">
        <f>SUMIFS('Business - Dump'!$K:$K,'Business - Dump'!$D:$D,'SKU Repoprt'!$D525,'Business - Dump'!$A:$A,'SKU Repoprt'!U$1)</f>
        <v>275</v>
      </c>
      <c r="V525" s="3">
        <f>SUMIFS('Business - Dump'!$K:$K,'Business - Dump'!$D:$D,'SKU Repoprt'!$D525,'Business - Dump'!$A:$A,'SKU Repoprt'!V$1)</f>
        <v>229</v>
      </c>
      <c r="W525" s="3">
        <f>SUMIFS('Business - Dump'!$K:$K,'Business - Dump'!$D:$D,'SKU Repoprt'!$D525,'Business - Dump'!$A:$A,'SKU Repoprt'!W$1)</f>
        <v>696</v>
      </c>
    </row>
    <row r="526" ht="15.75" customHeight="1">
      <c r="A526" s="10" t="s">
        <v>134</v>
      </c>
      <c r="B526" s="10" t="s">
        <v>134</v>
      </c>
      <c r="C526" s="10"/>
      <c r="D526" s="10" t="s">
        <v>370</v>
      </c>
      <c r="E526" s="10" t="s">
        <v>264</v>
      </c>
      <c r="F526" s="3">
        <f t="shared" si="175"/>
        <v>68</v>
      </c>
      <c r="G526" s="3">
        <f>SUMIFS('Business - Dump'!$Q:$Q,'Business - Dump'!$D:$D,'SKU Repoprt'!$D526,'Business - Dump'!$A:$A,'SKU Repoprt'!G$1)</f>
        <v>0</v>
      </c>
      <c r="H526" s="3">
        <f>SUMIFS('Business - Dump'!$Q:$Q,'Business - Dump'!$D:$D,'SKU Repoprt'!$D526,'Business - Dump'!$A:$A,'SKU Repoprt'!H$1)</f>
        <v>0</v>
      </c>
      <c r="I526" s="3">
        <f>SUMIFS('Business - Dump'!$Q:$Q,'Business - Dump'!$D:$D,'SKU Repoprt'!$D526,'Business - Dump'!$A:$A,'SKU Repoprt'!I$1)</f>
        <v>0</v>
      </c>
      <c r="J526" s="3">
        <f>SUMIFS('Business - Dump'!$Q:$Q,'Business - Dump'!$D:$D,'SKU Repoprt'!$D526,'Business - Dump'!$A:$A,'SKU Repoprt'!J$1)</f>
        <v>1</v>
      </c>
      <c r="K526" s="3">
        <f>SUMIFS('Business - Dump'!$Q:$Q,'Business - Dump'!$D:$D,'SKU Repoprt'!$D526,'Business - Dump'!$A:$A,'SKU Repoprt'!K$1)</f>
        <v>6</v>
      </c>
      <c r="L526" s="3">
        <f>SUMIFS('Business - Dump'!$Q:$Q,'Business - Dump'!$D:$D,'SKU Repoprt'!$D526,'Business - Dump'!$A:$A,'SKU Repoprt'!L$1)</f>
        <v>4</v>
      </c>
      <c r="M526" s="3">
        <f>SUMIFS('Business - Dump'!$Q:$Q,'Business - Dump'!$D:$D,'SKU Repoprt'!$D526,'Business - Dump'!$A:$A,'SKU Repoprt'!M$1)</f>
        <v>11</v>
      </c>
      <c r="N526" s="3">
        <f>SUMIFS('Business - Dump'!$Q:$Q,'Business - Dump'!$D:$D,'SKU Repoprt'!$D526,'Business - Dump'!$A:$A,'SKU Repoprt'!N$1)</f>
        <v>1</v>
      </c>
      <c r="O526" s="3">
        <f>SUMIFS('Business - Dump'!$Q:$Q,'Business - Dump'!$D:$D,'SKU Repoprt'!$D526,'Business - Dump'!$A:$A,'SKU Repoprt'!O$1)</f>
        <v>10</v>
      </c>
      <c r="P526" s="3">
        <f>SUMIFS('Business - Dump'!$Q:$Q,'Business - Dump'!$D:$D,'SKU Repoprt'!$D526,'Business - Dump'!$A:$A,'SKU Repoprt'!P$1)</f>
        <v>11</v>
      </c>
      <c r="Q526" s="3">
        <f>SUMIFS('Business - Dump'!$Q:$Q,'Business - Dump'!$D:$D,'SKU Repoprt'!$D526,'Business - Dump'!$A:$A,'SKU Repoprt'!Q$1)</f>
        <v>10</v>
      </c>
      <c r="R526" s="3">
        <f>SUMIFS('Business - Dump'!$Q:$Q,'Business - Dump'!$D:$D,'SKU Repoprt'!$D526,'Business - Dump'!$A:$A,'SKU Repoprt'!R$1)</f>
        <v>11</v>
      </c>
      <c r="S526" s="3">
        <f>SUMIFS('Business - Dump'!$Q:$Q,'Business - Dump'!$D:$D,'SKU Repoprt'!$D526,'Business - Dump'!$A:$A,'SKU Repoprt'!S$1)</f>
        <v>3</v>
      </c>
      <c r="T526" s="3">
        <f>SUMIFS('Business - Dump'!$Q:$Q,'Business - Dump'!$D:$D,'SKU Repoprt'!$D526,'Business - Dump'!$A:$A,'SKU Repoprt'!T$1)</f>
        <v>1</v>
      </c>
      <c r="U526" s="3">
        <f>SUMIFS('Business - Dump'!$Q:$Q,'Business - Dump'!$D:$D,'SKU Repoprt'!$D526,'Business - Dump'!$A:$A,'SKU Repoprt'!U$1)</f>
        <v>1</v>
      </c>
      <c r="V526" s="3">
        <f>SUMIFS('Business - Dump'!$Q:$Q,'Business - Dump'!$D:$D,'SKU Repoprt'!$D526,'Business - Dump'!$A:$A,'SKU Repoprt'!V$1)</f>
        <v>0</v>
      </c>
      <c r="W526" s="3">
        <f>SUMIFS('Business - Dump'!$Q:$Q,'Business - Dump'!$D:$D,'SKU Repoprt'!$D526,'Business - Dump'!$A:$A,'SKU Repoprt'!W$1)</f>
        <v>6</v>
      </c>
    </row>
    <row r="527" ht="15.75" customHeight="1">
      <c r="A527" s="10" t="s">
        <v>134</v>
      </c>
      <c r="B527" s="10" t="s">
        <v>134</v>
      </c>
      <c r="C527" s="10"/>
      <c r="D527" s="10" t="s">
        <v>370</v>
      </c>
      <c r="E527" s="10" t="s">
        <v>268</v>
      </c>
      <c r="F527" s="3">
        <f t="shared" si="175"/>
        <v>68</v>
      </c>
      <c r="G527" s="3">
        <f>SUMIFS('Business - Dump'!$W:$W,'Business - Dump'!$D:$D,'SKU Repoprt'!$D527,'Business - Dump'!$A:$A,'SKU Repoprt'!G$1)</f>
        <v>0</v>
      </c>
      <c r="H527" s="3">
        <f>SUMIFS('Business - Dump'!$W:$W,'Business - Dump'!$D:$D,'SKU Repoprt'!$D527,'Business - Dump'!$A:$A,'SKU Repoprt'!H$1)</f>
        <v>0</v>
      </c>
      <c r="I527" s="3">
        <f>SUMIFS('Business - Dump'!$W:$W,'Business - Dump'!$D:$D,'SKU Repoprt'!$D527,'Business - Dump'!$A:$A,'SKU Repoprt'!I$1)</f>
        <v>0</v>
      </c>
      <c r="J527" s="3">
        <f>SUMIFS('Business - Dump'!$W:$W,'Business - Dump'!$D:$D,'SKU Repoprt'!$D527,'Business - Dump'!$A:$A,'SKU Repoprt'!J$1)</f>
        <v>1</v>
      </c>
      <c r="K527" s="3">
        <f>SUMIFS('Business - Dump'!$W:$W,'Business - Dump'!$D:$D,'SKU Repoprt'!$D527,'Business - Dump'!$A:$A,'SKU Repoprt'!K$1)</f>
        <v>6</v>
      </c>
      <c r="L527" s="3">
        <f>SUMIFS('Business - Dump'!$W:$W,'Business - Dump'!$D:$D,'SKU Repoprt'!$D527,'Business - Dump'!$A:$A,'SKU Repoprt'!L$1)</f>
        <v>4</v>
      </c>
      <c r="M527" s="3">
        <f>SUMIFS('Business - Dump'!$W:$W,'Business - Dump'!$D:$D,'SKU Repoprt'!$D527,'Business - Dump'!$A:$A,'SKU Repoprt'!M$1)</f>
        <v>11</v>
      </c>
      <c r="N527" s="3">
        <f>SUMIFS('Business - Dump'!$W:$W,'Business - Dump'!$D:$D,'SKU Repoprt'!$D527,'Business - Dump'!$A:$A,'SKU Repoprt'!N$1)</f>
        <v>1</v>
      </c>
      <c r="O527" s="3">
        <f>SUMIFS('Business - Dump'!$W:$W,'Business - Dump'!$D:$D,'SKU Repoprt'!$D527,'Business - Dump'!$A:$A,'SKU Repoprt'!O$1)</f>
        <v>10</v>
      </c>
      <c r="P527" s="3">
        <f>SUMIFS('Business - Dump'!$W:$W,'Business - Dump'!$D:$D,'SKU Repoprt'!$D527,'Business - Dump'!$A:$A,'SKU Repoprt'!P$1)</f>
        <v>11</v>
      </c>
      <c r="Q527" s="3">
        <f>SUMIFS('Business - Dump'!$W:$W,'Business - Dump'!$D:$D,'SKU Repoprt'!$D527,'Business - Dump'!$A:$A,'SKU Repoprt'!Q$1)</f>
        <v>10</v>
      </c>
      <c r="R527" s="3">
        <f>SUMIFS('Business - Dump'!$W:$W,'Business - Dump'!$D:$D,'SKU Repoprt'!$D527,'Business - Dump'!$A:$A,'SKU Repoprt'!R$1)</f>
        <v>11</v>
      </c>
      <c r="S527" s="3">
        <f>SUMIFS('Business - Dump'!$W:$W,'Business - Dump'!$D:$D,'SKU Repoprt'!$D527,'Business - Dump'!$A:$A,'SKU Repoprt'!S$1)</f>
        <v>3</v>
      </c>
      <c r="T527" s="3">
        <f>SUMIFS('Business - Dump'!$W:$W,'Business - Dump'!$D:$D,'SKU Repoprt'!$D527,'Business - Dump'!$A:$A,'SKU Repoprt'!T$1)</f>
        <v>1</v>
      </c>
      <c r="U527" s="3">
        <f>SUMIFS('Business - Dump'!$W:$W,'Business - Dump'!$D:$D,'SKU Repoprt'!$D527,'Business - Dump'!$A:$A,'SKU Repoprt'!U$1)</f>
        <v>1</v>
      </c>
      <c r="V527" s="3">
        <f>SUMIFS('Business - Dump'!$W:$W,'Business - Dump'!$D:$D,'SKU Repoprt'!$D527,'Business - Dump'!$A:$A,'SKU Repoprt'!V$1)</f>
        <v>0</v>
      </c>
      <c r="W527" s="3">
        <f>SUMIFS('Business - Dump'!$W:$W,'Business - Dump'!$D:$D,'SKU Repoprt'!$D527,'Business - Dump'!$A:$A,'SKU Repoprt'!W$1)</f>
        <v>6</v>
      </c>
    </row>
    <row r="528" ht="15.75" customHeight="1">
      <c r="A528" s="10" t="s">
        <v>134</v>
      </c>
      <c r="B528" s="10" t="s">
        <v>134</v>
      </c>
      <c r="C528" s="10"/>
      <c r="D528" s="10" t="s">
        <v>370</v>
      </c>
      <c r="E528" s="10" t="s">
        <v>26</v>
      </c>
      <c r="F528" s="16">
        <f t="shared" si="175"/>
        <v>1408862.1</v>
      </c>
      <c r="G528" s="16">
        <f>SUMIFS('Business - Dump'!$U:$U,'Business - Dump'!$D:$D,'SKU Repoprt'!$D528,'Business - Dump'!$A:$A,'SKU Repoprt'!G$1)</f>
        <v>0</v>
      </c>
      <c r="H528" s="16">
        <f>SUMIFS('Business - Dump'!$U:$U,'Business - Dump'!$D:$D,'SKU Repoprt'!$D528,'Business - Dump'!$A:$A,'SKU Repoprt'!H$1)</f>
        <v>0</v>
      </c>
      <c r="I528" s="16">
        <f>SUMIFS('Business - Dump'!$U:$U,'Business - Dump'!$D:$D,'SKU Repoprt'!$D528,'Business - Dump'!$A:$A,'SKU Repoprt'!I$1)</f>
        <v>0</v>
      </c>
      <c r="J528" s="16">
        <f>SUMIFS('Business - Dump'!$U:$U,'Business - Dump'!$D:$D,'SKU Repoprt'!$D528,'Business - Dump'!$A:$A,'SKU Repoprt'!J$1)</f>
        <v>20900</v>
      </c>
      <c r="K528" s="16">
        <f>SUMIFS('Business - Dump'!$U:$U,'Business - Dump'!$D:$D,'SKU Repoprt'!$D528,'Business - Dump'!$A:$A,'SKU Repoprt'!K$1)</f>
        <v>126716.96</v>
      </c>
      <c r="L528" s="16">
        <f>SUMIFS('Business - Dump'!$U:$U,'Business - Dump'!$D:$D,'SKU Repoprt'!$D528,'Business - Dump'!$A:$A,'SKU Repoprt'!L$1)</f>
        <v>84800</v>
      </c>
      <c r="M528" s="16">
        <f>SUMIFS('Business - Dump'!$U:$U,'Business - Dump'!$D:$D,'SKU Repoprt'!$D528,'Business - Dump'!$A:$A,'SKU Repoprt'!M$1)</f>
        <v>229200</v>
      </c>
      <c r="N528" s="16">
        <f>SUMIFS('Business - Dump'!$U:$U,'Business - Dump'!$D:$D,'SKU Repoprt'!$D528,'Business - Dump'!$A:$A,'SKU Repoprt'!N$1)</f>
        <v>21200</v>
      </c>
      <c r="O528" s="16">
        <f>SUMIFS('Business - Dump'!$U:$U,'Business - Dump'!$D:$D,'SKU Repoprt'!$D528,'Business - Dump'!$A:$A,'SKU Repoprt'!O$1)</f>
        <v>210354.24</v>
      </c>
      <c r="P528" s="16">
        <f>SUMIFS('Business - Dump'!$U:$U,'Business - Dump'!$D:$D,'SKU Repoprt'!$D528,'Business - Dump'!$A:$A,'SKU Repoprt'!P$1)</f>
        <v>230400</v>
      </c>
      <c r="Q528" s="16">
        <f>SUMIFS('Business - Dump'!$U:$U,'Business - Dump'!$D:$D,'SKU Repoprt'!$D528,'Business - Dump'!$A:$A,'SKU Repoprt'!Q$1)</f>
        <v>204626.78</v>
      </c>
      <c r="R528" s="16">
        <f>SUMIFS('Business - Dump'!$U:$U,'Business - Dump'!$D:$D,'SKU Repoprt'!$D528,'Business - Dump'!$A:$A,'SKU Repoprt'!R$1)</f>
        <v>217140.34</v>
      </c>
      <c r="S528" s="16">
        <f>SUMIFS('Business - Dump'!$U:$U,'Business - Dump'!$D:$D,'SKU Repoprt'!$D528,'Business - Dump'!$A:$A,'SKU Repoprt'!S$1)</f>
        <v>63523.78</v>
      </c>
      <c r="T528" s="16">
        <f>SUMIFS('Business - Dump'!$U:$U,'Business - Dump'!$D:$D,'SKU Repoprt'!$D528,'Business - Dump'!$A:$A,'SKU Repoprt'!T$1)</f>
        <v>21162.39</v>
      </c>
      <c r="U528" s="16">
        <f>SUMIFS('Business - Dump'!$U:$U,'Business - Dump'!$D:$D,'SKU Repoprt'!$D528,'Business - Dump'!$A:$A,'SKU Repoprt'!U$1)</f>
        <v>21161.86</v>
      </c>
      <c r="V528" s="16">
        <f>SUMIFS('Business - Dump'!$U:$U,'Business - Dump'!$D:$D,'SKU Repoprt'!$D528,'Business - Dump'!$A:$A,'SKU Repoprt'!V$1)</f>
        <v>0</v>
      </c>
      <c r="W528" s="16">
        <f>SUMIFS('Business - Dump'!$U:$U,'Business - Dump'!$D:$D,'SKU Repoprt'!$D528,'Business - Dump'!$A:$A,'SKU Repoprt'!W$1)</f>
        <v>120857.4</v>
      </c>
    </row>
    <row r="529" ht="15.75" customHeight="1">
      <c r="A529" s="10" t="s">
        <v>134</v>
      </c>
      <c r="B529" s="10" t="s">
        <v>134</v>
      </c>
      <c r="C529" s="10"/>
      <c r="D529" s="10" t="s">
        <v>370</v>
      </c>
      <c r="E529" s="10" t="s">
        <v>29</v>
      </c>
      <c r="F529" s="17">
        <v>0.027042857142857143</v>
      </c>
      <c r="G529" s="17">
        <f t="shared" ref="G529:W529" si="176">IFERROR(G527/G524,0)</f>
        <v>0</v>
      </c>
      <c r="H529" s="17">
        <f t="shared" si="176"/>
        <v>0</v>
      </c>
      <c r="I529" s="17">
        <f t="shared" si="176"/>
        <v>0</v>
      </c>
      <c r="J529" s="17">
        <f t="shared" si="176"/>
        <v>0.00325732899</v>
      </c>
      <c r="K529" s="17">
        <f t="shared" si="176"/>
        <v>0.007083825266</v>
      </c>
      <c r="L529" s="17">
        <f t="shared" si="176"/>
        <v>0.007532956685</v>
      </c>
      <c r="M529" s="17">
        <f t="shared" si="176"/>
        <v>0.01484480432</v>
      </c>
      <c r="N529" s="17">
        <f t="shared" si="176"/>
        <v>0.002257336343</v>
      </c>
      <c r="O529" s="17">
        <f t="shared" si="176"/>
        <v>0.01865671642</v>
      </c>
      <c r="P529" s="17">
        <f t="shared" si="176"/>
        <v>0.01311084625</v>
      </c>
      <c r="Q529" s="17">
        <f t="shared" si="176"/>
        <v>0.01231527094</v>
      </c>
      <c r="R529" s="17">
        <f t="shared" si="176"/>
        <v>0.01812191104</v>
      </c>
      <c r="S529" s="17">
        <f t="shared" si="176"/>
        <v>0.009287925697</v>
      </c>
      <c r="T529" s="17">
        <f t="shared" si="176"/>
        <v>0.004504504505</v>
      </c>
      <c r="U529" s="17">
        <f t="shared" si="176"/>
        <v>0.005050505051</v>
      </c>
      <c r="V529" s="17">
        <f t="shared" si="176"/>
        <v>0</v>
      </c>
      <c r="W529" s="17">
        <f t="shared" si="176"/>
        <v>0.01134215501</v>
      </c>
    </row>
    <row r="530" ht="15.75" customHeight="1">
      <c r="A530" s="10" t="s">
        <v>134</v>
      </c>
      <c r="B530" s="10" t="s">
        <v>134</v>
      </c>
      <c r="C530" s="10"/>
      <c r="D530" s="10" t="s">
        <v>383</v>
      </c>
      <c r="E530" s="10" t="s">
        <v>257</v>
      </c>
      <c r="F530" s="3">
        <f t="shared" ref="F530:F534" si="177">SUM(G530:S530)</f>
        <v>3341</v>
      </c>
      <c r="G530" s="3">
        <f>SUMIFS('Business - Dump'!$G:$G,'Business - Dump'!$D:$D,'SKU Repoprt'!$D530,'Business - Dump'!$A:$A,'SKU Repoprt'!G$1)</f>
        <v>0</v>
      </c>
      <c r="H530" s="3">
        <f>SUMIFS('Business - Dump'!$G:$G,'Business - Dump'!$D:$D,'SKU Repoprt'!$D530,'Business - Dump'!$A:$A,'SKU Repoprt'!H$1)</f>
        <v>0</v>
      </c>
      <c r="I530" s="3">
        <f>SUMIFS('Business - Dump'!$G:$G,'Business - Dump'!$D:$D,'SKU Repoprt'!$D530,'Business - Dump'!$A:$A,'SKU Repoprt'!I$1)</f>
        <v>0</v>
      </c>
      <c r="J530" s="3">
        <f>SUMIFS('Business - Dump'!$G:$G,'Business - Dump'!$D:$D,'SKU Repoprt'!$D530,'Business - Dump'!$A:$A,'SKU Repoprt'!J$1)</f>
        <v>0</v>
      </c>
      <c r="K530" s="3">
        <f>SUMIFS('Business - Dump'!$G:$G,'Business - Dump'!$D:$D,'SKU Repoprt'!$D530,'Business - Dump'!$A:$A,'SKU Repoprt'!K$1)</f>
        <v>211</v>
      </c>
      <c r="L530" s="3">
        <f>SUMIFS('Business - Dump'!$G:$G,'Business - Dump'!$D:$D,'SKU Repoprt'!$D530,'Business - Dump'!$A:$A,'SKU Repoprt'!L$1)</f>
        <v>305</v>
      </c>
      <c r="M530" s="3">
        <f>SUMIFS('Business - Dump'!$G:$G,'Business - Dump'!$D:$D,'SKU Repoprt'!$D530,'Business - Dump'!$A:$A,'SKU Repoprt'!M$1)</f>
        <v>698</v>
      </c>
      <c r="N530" s="3">
        <f>SUMIFS('Business - Dump'!$G:$G,'Business - Dump'!$D:$D,'SKU Repoprt'!$D530,'Business - Dump'!$A:$A,'SKU Repoprt'!N$1)</f>
        <v>444</v>
      </c>
      <c r="O530" s="3">
        <f>SUMIFS('Business - Dump'!$G:$G,'Business - Dump'!$D:$D,'SKU Repoprt'!$D530,'Business - Dump'!$A:$A,'SKU Repoprt'!O$1)</f>
        <v>372</v>
      </c>
      <c r="P530" s="3">
        <f>SUMIFS('Business - Dump'!$G:$G,'Business - Dump'!$D:$D,'SKU Repoprt'!$D530,'Business - Dump'!$A:$A,'SKU Repoprt'!P$1)</f>
        <v>304</v>
      </c>
      <c r="Q530" s="3">
        <f>SUMIFS('Business - Dump'!$G:$G,'Business - Dump'!$D:$D,'SKU Repoprt'!$D530,'Business - Dump'!$A:$A,'SKU Repoprt'!Q$1)</f>
        <v>538</v>
      </c>
      <c r="R530" s="3">
        <f>SUMIFS('Business - Dump'!$G:$G,'Business - Dump'!$D:$D,'SKU Repoprt'!$D530,'Business - Dump'!$A:$A,'SKU Repoprt'!R$1)</f>
        <v>293</v>
      </c>
      <c r="S530" s="3">
        <f>SUMIFS('Business - Dump'!$G:$G,'Business - Dump'!$D:$D,'SKU Repoprt'!$D530,'Business - Dump'!$A:$A,'SKU Repoprt'!S$1)</f>
        <v>176</v>
      </c>
      <c r="T530" s="3">
        <f>SUMIFS('Business - Dump'!$G:$G,'Business - Dump'!$D:$D,'SKU Repoprt'!$D530,'Business - Dump'!$A:$A,'SKU Repoprt'!T$1)</f>
        <v>139</v>
      </c>
      <c r="U530" s="3">
        <f>SUMIFS('Business - Dump'!$G:$G,'Business - Dump'!$D:$D,'SKU Repoprt'!$D530,'Business - Dump'!$A:$A,'SKU Repoprt'!U$1)</f>
        <v>129</v>
      </c>
      <c r="V530" s="3">
        <f>SUMIFS('Business - Dump'!$G:$G,'Business - Dump'!$D:$D,'SKU Repoprt'!$D530,'Business - Dump'!$A:$A,'SKU Repoprt'!V$1)</f>
        <v>132</v>
      </c>
      <c r="W530" s="3">
        <f>SUMIFS('Business - Dump'!$G:$G,'Business - Dump'!$D:$D,'SKU Repoprt'!$D530,'Business - Dump'!$A:$A,'SKU Repoprt'!W$1)</f>
        <v>357</v>
      </c>
    </row>
    <row r="531" ht="15.75" customHeight="1">
      <c r="A531" s="10" t="s">
        <v>134</v>
      </c>
      <c r="B531" s="10" t="s">
        <v>134</v>
      </c>
      <c r="C531" s="10"/>
      <c r="D531" s="10" t="s">
        <v>383</v>
      </c>
      <c r="E531" s="10" t="s">
        <v>260</v>
      </c>
      <c r="F531" s="3">
        <f t="shared" si="177"/>
        <v>4612</v>
      </c>
      <c r="G531" s="3">
        <f>SUMIFS('Business - Dump'!$K:$K,'Business - Dump'!$D:$D,'SKU Repoprt'!$D531,'Business - Dump'!$A:$A,'SKU Repoprt'!G$1)</f>
        <v>0</v>
      </c>
      <c r="H531" s="3">
        <f>SUMIFS('Business - Dump'!$K:$K,'Business - Dump'!$D:$D,'SKU Repoprt'!$D531,'Business - Dump'!$A:$A,'SKU Repoprt'!H$1)</f>
        <v>0</v>
      </c>
      <c r="I531" s="3">
        <f>SUMIFS('Business - Dump'!$K:$K,'Business - Dump'!$D:$D,'SKU Repoprt'!$D531,'Business - Dump'!$A:$A,'SKU Repoprt'!I$1)</f>
        <v>0</v>
      </c>
      <c r="J531" s="3">
        <f>SUMIFS('Business - Dump'!$K:$K,'Business - Dump'!$D:$D,'SKU Repoprt'!$D531,'Business - Dump'!$A:$A,'SKU Repoprt'!J$1)</f>
        <v>0</v>
      </c>
      <c r="K531" s="3">
        <f>SUMIFS('Business - Dump'!$K:$K,'Business - Dump'!$D:$D,'SKU Repoprt'!$D531,'Business - Dump'!$A:$A,'SKU Repoprt'!K$1)</f>
        <v>274</v>
      </c>
      <c r="L531" s="3">
        <f>SUMIFS('Business - Dump'!$K:$K,'Business - Dump'!$D:$D,'SKU Repoprt'!$D531,'Business - Dump'!$A:$A,'SKU Repoprt'!L$1)</f>
        <v>423</v>
      </c>
      <c r="M531" s="3">
        <f>SUMIFS('Business - Dump'!$K:$K,'Business - Dump'!$D:$D,'SKU Repoprt'!$D531,'Business - Dump'!$A:$A,'SKU Repoprt'!M$1)</f>
        <v>1012</v>
      </c>
      <c r="N531" s="3">
        <f>SUMIFS('Business - Dump'!$K:$K,'Business - Dump'!$D:$D,'SKU Repoprt'!$D531,'Business - Dump'!$A:$A,'SKU Repoprt'!N$1)</f>
        <v>563</v>
      </c>
      <c r="O531" s="3">
        <f>SUMIFS('Business - Dump'!$K:$K,'Business - Dump'!$D:$D,'SKU Repoprt'!$D531,'Business - Dump'!$A:$A,'SKU Repoprt'!O$1)</f>
        <v>497</v>
      </c>
      <c r="P531" s="3">
        <f>SUMIFS('Business - Dump'!$K:$K,'Business - Dump'!$D:$D,'SKU Repoprt'!$D531,'Business - Dump'!$A:$A,'SKU Repoprt'!P$1)</f>
        <v>380</v>
      </c>
      <c r="Q531" s="3">
        <f>SUMIFS('Business - Dump'!$K:$K,'Business - Dump'!$D:$D,'SKU Repoprt'!$D531,'Business - Dump'!$A:$A,'SKU Repoprt'!Q$1)</f>
        <v>795</v>
      </c>
      <c r="R531" s="3">
        <f>SUMIFS('Business - Dump'!$K:$K,'Business - Dump'!$D:$D,'SKU Repoprt'!$D531,'Business - Dump'!$A:$A,'SKU Repoprt'!R$1)</f>
        <v>413</v>
      </c>
      <c r="S531" s="3">
        <f>SUMIFS('Business - Dump'!$K:$K,'Business - Dump'!$D:$D,'SKU Repoprt'!$D531,'Business - Dump'!$A:$A,'SKU Repoprt'!S$1)</f>
        <v>255</v>
      </c>
      <c r="T531" s="3">
        <f>SUMIFS('Business - Dump'!$K:$K,'Business - Dump'!$D:$D,'SKU Repoprt'!$D531,'Business - Dump'!$A:$A,'SKU Repoprt'!T$1)</f>
        <v>213</v>
      </c>
      <c r="U531" s="3">
        <f>SUMIFS('Business - Dump'!$K:$K,'Business - Dump'!$D:$D,'SKU Repoprt'!$D531,'Business - Dump'!$A:$A,'SKU Repoprt'!U$1)</f>
        <v>159</v>
      </c>
      <c r="V531" s="3">
        <f>SUMIFS('Business - Dump'!$K:$K,'Business - Dump'!$D:$D,'SKU Repoprt'!$D531,'Business - Dump'!$A:$A,'SKU Repoprt'!V$1)</f>
        <v>174</v>
      </c>
      <c r="W531" s="3">
        <f>SUMIFS('Business - Dump'!$K:$K,'Business - Dump'!$D:$D,'SKU Repoprt'!$D531,'Business - Dump'!$A:$A,'SKU Repoprt'!W$1)</f>
        <v>444</v>
      </c>
    </row>
    <row r="532" ht="15.75" customHeight="1">
      <c r="A532" s="10" t="s">
        <v>134</v>
      </c>
      <c r="B532" s="10" t="s">
        <v>134</v>
      </c>
      <c r="C532" s="10"/>
      <c r="D532" s="10" t="s">
        <v>383</v>
      </c>
      <c r="E532" s="10" t="s">
        <v>264</v>
      </c>
      <c r="F532" s="3">
        <f t="shared" si="177"/>
        <v>15</v>
      </c>
      <c r="G532" s="3">
        <f>SUMIFS('Business - Dump'!$Q:$Q,'Business - Dump'!$D:$D,'SKU Repoprt'!$D532,'Business - Dump'!$A:$A,'SKU Repoprt'!G$1)</f>
        <v>0</v>
      </c>
      <c r="H532" s="3">
        <f>SUMIFS('Business - Dump'!$Q:$Q,'Business - Dump'!$D:$D,'SKU Repoprt'!$D532,'Business - Dump'!$A:$A,'SKU Repoprt'!H$1)</f>
        <v>0</v>
      </c>
      <c r="I532" s="3">
        <f>SUMIFS('Business - Dump'!$Q:$Q,'Business - Dump'!$D:$D,'SKU Repoprt'!$D532,'Business - Dump'!$A:$A,'SKU Repoprt'!I$1)</f>
        <v>0</v>
      </c>
      <c r="J532" s="3">
        <f>SUMIFS('Business - Dump'!$Q:$Q,'Business - Dump'!$D:$D,'SKU Repoprt'!$D532,'Business - Dump'!$A:$A,'SKU Repoprt'!J$1)</f>
        <v>0</v>
      </c>
      <c r="K532" s="3">
        <f>SUMIFS('Business - Dump'!$Q:$Q,'Business - Dump'!$D:$D,'SKU Repoprt'!$D532,'Business - Dump'!$A:$A,'SKU Repoprt'!K$1)</f>
        <v>2</v>
      </c>
      <c r="L532" s="3">
        <f>SUMIFS('Business - Dump'!$Q:$Q,'Business - Dump'!$D:$D,'SKU Repoprt'!$D532,'Business - Dump'!$A:$A,'SKU Repoprt'!L$1)</f>
        <v>1</v>
      </c>
      <c r="M532" s="3">
        <f>SUMIFS('Business - Dump'!$Q:$Q,'Business - Dump'!$D:$D,'SKU Repoprt'!$D532,'Business - Dump'!$A:$A,'SKU Repoprt'!M$1)</f>
        <v>5</v>
      </c>
      <c r="N532" s="3">
        <f>SUMIFS('Business - Dump'!$Q:$Q,'Business - Dump'!$D:$D,'SKU Repoprt'!$D532,'Business - Dump'!$A:$A,'SKU Repoprt'!N$1)</f>
        <v>1</v>
      </c>
      <c r="O532" s="3">
        <f>SUMIFS('Business - Dump'!$Q:$Q,'Business - Dump'!$D:$D,'SKU Repoprt'!$D532,'Business - Dump'!$A:$A,'SKU Repoprt'!O$1)</f>
        <v>1</v>
      </c>
      <c r="P532" s="3">
        <f>SUMIFS('Business - Dump'!$Q:$Q,'Business - Dump'!$D:$D,'SKU Repoprt'!$D532,'Business - Dump'!$A:$A,'SKU Repoprt'!P$1)</f>
        <v>0</v>
      </c>
      <c r="Q532" s="3">
        <f>SUMIFS('Business - Dump'!$Q:$Q,'Business - Dump'!$D:$D,'SKU Repoprt'!$D532,'Business - Dump'!$A:$A,'SKU Repoprt'!Q$1)</f>
        <v>3</v>
      </c>
      <c r="R532" s="3">
        <f>SUMIFS('Business - Dump'!$Q:$Q,'Business - Dump'!$D:$D,'SKU Repoprt'!$D532,'Business - Dump'!$A:$A,'SKU Repoprt'!R$1)</f>
        <v>1</v>
      </c>
      <c r="S532" s="3">
        <f>SUMIFS('Business - Dump'!$Q:$Q,'Business - Dump'!$D:$D,'SKU Repoprt'!$D532,'Business - Dump'!$A:$A,'SKU Repoprt'!S$1)</f>
        <v>1</v>
      </c>
      <c r="T532" s="3">
        <f>SUMIFS('Business - Dump'!$Q:$Q,'Business - Dump'!$D:$D,'SKU Repoprt'!$D532,'Business - Dump'!$A:$A,'SKU Repoprt'!T$1)</f>
        <v>2</v>
      </c>
      <c r="U532" s="3">
        <f>SUMIFS('Business - Dump'!$Q:$Q,'Business - Dump'!$D:$D,'SKU Repoprt'!$D532,'Business - Dump'!$A:$A,'SKU Repoprt'!U$1)</f>
        <v>3</v>
      </c>
      <c r="V532" s="3">
        <f>SUMIFS('Business - Dump'!$Q:$Q,'Business - Dump'!$D:$D,'SKU Repoprt'!$D532,'Business - Dump'!$A:$A,'SKU Repoprt'!V$1)</f>
        <v>1</v>
      </c>
      <c r="W532" s="3">
        <f>SUMIFS('Business - Dump'!$Q:$Q,'Business - Dump'!$D:$D,'SKU Repoprt'!$D532,'Business - Dump'!$A:$A,'SKU Repoprt'!W$1)</f>
        <v>2</v>
      </c>
    </row>
    <row r="533" ht="15.75" customHeight="1">
      <c r="A533" s="10" t="s">
        <v>134</v>
      </c>
      <c r="B533" s="10" t="s">
        <v>134</v>
      </c>
      <c r="C533" s="10"/>
      <c r="D533" s="10" t="s">
        <v>383</v>
      </c>
      <c r="E533" s="10" t="s">
        <v>268</v>
      </c>
      <c r="F533" s="3">
        <f t="shared" si="177"/>
        <v>15</v>
      </c>
      <c r="G533" s="3">
        <f>SUMIFS('Business - Dump'!$W:$W,'Business - Dump'!$D:$D,'SKU Repoprt'!$D533,'Business - Dump'!$A:$A,'SKU Repoprt'!G$1)</f>
        <v>0</v>
      </c>
      <c r="H533" s="3">
        <f>SUMIFS('Business - Dump'!$W:$W,'Business - Dump'!$D:$D,'SKU Repoprt'!$D533,'Business - Dump'!$A:$A,'SKU Repoprt'!H$1)</f>
        <v>0</v>
      </c>
      <c r="I533" s="3">
        <f>SUMIFS('Business - Dump'!$W:$W,'Business - Dump'!$D:$D,'SKU Repoprt'!$D533,'Business - Dump'!$A:$A,'SKU Repoprt'!I$1)</f>
        <v>0</v>
      </c>
      <c r="J533" s="3">
        <f>SUMIFS('Business - Dump'!$W:$W,'Business - Dump'!$D:$D,'SKU Repoprt'!$D533,'Business - Dump'!$A:$A,'SKU Repoprt'!J$1)</f>
        <v>0</v>
      </c>
      <c r="K533" s="3">
        <f>SUMIFS('Business - Dump'!$W:$W,'Business - Dump'!$D:$D,'SKU Repoprt'!$D533,'Business - Dump'!$A:$A,'SKU Repoprt'!K$1)</f>
        <v>2</v>
      </c>
      <c r="L533" s="3">
        <f>SUMIFS('Business - Dump'!$W:$W,'Business - Dump'!$D:$D,'SKU Repoprt'!$D533,'Business - Dump'!$A:$A,'SKU Repoprt'!L$1)</f>
        <v>1</v>
      </c>
      <c r="M533" s="3">
        <f>SUMIFS('Business - Dump'!$W:$W,'Business - Dump'!$D:$D,'SKU Repoprt'!$D533,'Business - Dump'!$A:$A,'SKU Repoprt'!M$1)</f>
        <v>5</v>
      </c>
      <c r="N533" s="3">
        <f>SUMIFS('Business - Dump'!$W:$W,'Business - Dump'!$D:$D,'SKU Repoprt'!$D533,'Business - Dump'!$A:$A,'SKU Repoprt'!N$1)</f>
        <v>1</v>
      </c>
      <c r="O533" s="3">
        <f>SUMIFS('Business - Dump'!$W:$W,'Business - Dump'!$D:$D,'SKU Repoprt'!$D533,'Business - Dump'!$A:$A,'SKU Repoprt'!O$1)</f>
        <v>1</v>
      </c>
      <c r="P533" s="3">
        <f>SUMIFS('Business - Dump'!$W:$W,'Business - Dump'!$D:$D,'SKU Repoprt'!$D533,'Business - Dump'!$A:$A,'SKU Repoprt'!P$1)</f>
        <v>0</v>
      </c>
      <c r="Q533" s="3">
        <f>SUMIFS('Business - Dump'!$W:$W,'Business - Dump'!$D:$D,'SKU Repoprt'!$D533,'Business - Dump'!$A:$A,'SKU Repoprt'!Q$1)</f>
        <v>3</v>
      </c>
      <c r="R533" s="3">
        <f>SUMIFS('Business - Dump'!$W:$W,'Business - Dump'!$D:$D,'SKU Repoprt'!$D533,'Business - Dump'!$A:$A,'SKU Repoprt'!R$1)</f>
        <v>1</v>
      </c>
      <c r="S533" s="3">
        <f>SUMIFS('Business - Dump'!$W:$W,'Business - Dump'!$D:$D,'SKU Repoprt'!$D533,'Business - Dump'!$A:$A,'SKU Repoprt'!S$1)</f>
        <v>1</v>
      </c>
      <c r="T533" s="3">
        <f>SUMIFS('Business - Dump'!$W:$W,'Business - Dump'!$D:$D,'SKU Repoprt'!$D533,'Business - Dump'!$A:$A,'SKU Repoprt'!T$1)</f>
        <v>2</v>
      </c>
      <c r="U533" s="3">
        <f>SUMIFS('Business - Dump'!$W:$W,'Business - Dump'!$D:$D,'SKU Repoprt'!$D533,'Business - Dump'!$A:$A,'SKU Repoprt'!U$1)</f>
        <v>3</v>
      </c>
      <c r="V533" s="3">
        <f>SUMIFS('Business - Dump'!$W:$W,'Business - Dump'!$D:$D,'SKU Repoprt'!$D533,'Business - Dump'!$A:$A,'SKU Repoprt'!V$1)</f>
        <v>1</v>
      </c>
      <c r="W533" s="3">
        <f>SUMIFS('Business - Dump'!$W:$W,'Business - Dump'!$D:$D,'SKU Repoprt'!$D533,'Business - Dump'!$A:$A,'SKU Repoprt'!W$1)</f>
        <v>2</v>
      </c>
    </row>
    <row r="534" ht="15.75" customHeight="1">
      <c r="A534" s="10" t="s">
        <v>134</v>
      </c>
      <c r="B534" s="10" t="s">
        <v>134</v>
      </c>
      <c r="C534" s="10"/>
      <c r="D534" s="10" t="s">
        <v>383</v>
      </c>
      <c r="E534" s="10" t="s">
        <v>26</v>
      </c>
      <c r="F534" s="16">
        <f t="shared" si="177"/>
        <v>368807.41</v>
      </c>
      <c r="G534" s="16">
        <f>SUMIFS('Business - Dump'!$U:$U,'Business - Dump'!$D:$D,'SKU Repoprt'!$D534,'Business - Dump'!$A:$A,'SKU Repoprt'!G$1)</f>
        <v>0</v>
      </c>
      <c r="H534" s="16">
        <f>SUMIFS('Business - Dump'!$U:$U,'Business - Dump'!$D:$D,'SKU Repoprt'!$D534,'Business - Dump'!$A:$A,'SKU Repoprt'!H$1)</f>
        <v>0</v>
      </c>
      <c r="I534" s="16">
        <f>SUMIFS('Business - Dump'!$U:$U,'Business - Dump'!$D:$D,'SKU Repoprt'!$D534,'Business - Dump'!$A:$A,'SKU Repoprt'!I$1)</f>
        <v>0</v>
      </c>
      <c r="J534" s="16">
        <f>SUMIFS('Business - Dump'!$U:$U,'Business - Dump'!$D:$D,'SKU Repoprt'!$D534,'Business - Dump'!$A:$A,'SKU Repoprt'!J$1)</f>
        <v>0</v>
      </c>
      <c r="K534" s="16">
        <f>SUMIFS('Business - Dump'!$U:$U,'Business - Dump'!$D:$D,'SKU Repoprt'!$D534,'Business - Dump'!$A:$A,'SKU Repoprt'!K$1)</f>
        <v>49600</v>
      </c>
      <c r="L534" s="16">
        <f>SUMIFS('Business - Dump'!$U:$U,'Business - Dump'!$D:$D,'SKU Repoprt'!$D534,'Business - Dump'!$A:$A,'SKU Repoprt'!L$1)</f>
        <v>24800</v>
      </c>
      <c r="M534" s="16">
        <f>SUMIFS('Business - Dump'!$U:$U,'Business - Dump'!$D:$D,'SKU Repoprt'!$D534,'Business - Dump'!$A:$A,'SKU Repoprt'!M$1)</f>
        <v>123600</v>
      </c>
      <c r="N534" s="16">
        <f>SUMIFS('Business - Dump'!$U:$U,'Business - Dump'!$D:$D,'SKU Repoprt'!$D534,'Business - Dump'!$A:$A,'SKU Repoprt'!N$1)</f>
        <v>25800</v>
      </c>
      <c r="O534" s="16">
        <f>SUMIFS('Business - Dump'!$U:$U,'Business - Dump'!$D:$D,'SKU Repoprt'!$D534,'Business - Dump'!$A:$A,'SKU Repoprt'!O$1)</f>
        <v>24179.24</v>
      </c>
      <c r="P534" s="16">
        <f>SUMIFS('Business - Dump'!$U:$U,'Business - Dump'!$D:$D,'SKU Repoprt'!$D534,'Business - Dump'!$A:$A,'SKU Repoprt'!P$1)</f>
        <v>0</v>
      </c>
      <c r="Q534" s="16">
        <f>SUMIFS('Business - Dump'!$U:$U,'Business - Dump'!$D:$D,'SKU Repoprt'!$D534,'Business - Dump'!$A:$A,'SKU Repoprt'!Q$1)</f>
        <v>74261.39</v>
      </c>
      <c r="R534" s="16">
        <f>SUMIFS('Business - Dump'!$U:$U,'Business - Dump'!$D:$D,'SKU Repoprt'!$D534,'Business - Dump'!$A:$A,'SKU Repoprt'!R$1)</f>
        <v>23533.39</v>
      </c>
      <c r="S534" s="16">
        <f>SUMIFS('Business - Dump'!$U:$U,'Business - Dump'!$D:$D,'SKU Repoprt'!$D534,'Business - Dump'!$A:$A,'SKU Repoprt'!S$1)</f>
        <v>23033.39</v>
      </c>
      <c r="T534" s="16">
        <f>SUMIFS('Business - Dump'!$U:$U,'Business - Dump'!$D:$D,'SKU Repoprt'!$D534,'Business - Dump'!$A:$A,'SKU Repoprt'!T$1)</f>
        <v>46103.39</v>
      </c>
      <c r="U534" s="16">
        <f>SUMIFS('Business - Dump'!$U:$U,'Business - Dump'!$D:$D,'SKU Repoprt'!$D534,'Business - Dump'!$A:$A,'SKU Repoprt'!U$1)</f>
        <v>71015.72</v>
      </c>
      <c r="V534" s="16">
        <f>SUMIFS('Business - Dump'!$U:$U,'Business - Dump'!$D:$D,'SKU Repoprt'!$D534,'Business - Dump'!$A:$A,'SKU Repoprt'!V$1)</f>
        <v>23471.86</v>
      </c>
      <c r="W534" s="16">
        <f>SUMIFS('Business - Dump'!$U:$U,'Business - Dump'!$D:$D,'SKU Repoprt'!$D534,'Business - Dump'!$A:$A,'SKU Repoprt'!W$1)</f>
        <v>46981.86</v>
      </c>
    </row>
    <row r="535" ht="15.75" customHeight="1">
      <c r="A535" s="10" t="s">
        <v>134</v>
      </c>
      <c r="B535" s="10" t="s">
        <v>134</v>
      </c>
      <c r="C535" s="10"/>
      <c r="D535" s="10" t="s">
        <v>383</v>
      </c>
      <c r="E535" s="10" t="s">
        <v>29</v>
      </c>
      <c r="F535" s="17">
        <v>0.027042857142857143</v>
      </c>
      <c r="G535" s="17">
        <f t="shared" ref="G535:W535" si="178">IFERROR(G533/G530,0)</f>
        <v>0</v>
      </c>
      <c r="H535" s="17">
        <f t="shared" si="178"/>
        <v>0</v>
      </c>
      <c r="I535" s="17">
        <f t="shared" si="178"/>
        <v>0</v>
      </c>
      <c r="J535" s="17">
        <f t="shared" si="178"/>
        <v>0</v>
      </c>
      <c r="K535" s="17">
        <f t="shared" si="178"/>
        <v>0.009478672986</v>
      </c>
      <c r="L535" s="17">
        <f t="shared" si="178"/>
        <v>0.003278688525</v>
      </c>
      <c r="M535" s="17">
        <f t="shared" si="178"/>
        <v>0.007163323782</v>
      </c>
      <c r="N535" s="17">
        <f t="shared" si="178"/>
        <v>0.002252252252</v>
      </c>
      <c r="O535" s="17">
        <f t="shared" si="178"/>
        <v>0.002688172043</v>
      </c>
      <c r="P535" s="17">
        <f t="shared" si="178"/>
        <v>0</v>
      </c>
      <c r="Q535" s="17">
        <f t="shared" si="178"/>
        <v>0.005576208178</v>
      </c>
      <c r="R535" s="17">
        <f t="shared" si="178"/>
        <v>0.003412969283</v>
      </c>
      <c r="S535" s="17">
        <f t="shared" si="178"/>
        <v>0.005681818182</v>
      </c>
      <c r="T535" s="17">
        <f t="shared" si="178"/>
        <v>0.01438848921</v>
      </c>
      <c r="U535" s="17">
        <f t="shared" si="178"/>
        <v>0.02325581395</v>
      </c>
      <c r="V535" s="17">
        <f t="shared" si="178"/>
        <v>0.007575757576</v>
      </c>
      <c r="W535" s="17">
        <f t="shared" si="178"/>
        <v>0.005602240896</v>
      </c>
    </row>
    <row r="536" ht="15.75" customHeight="1">
      <c r="A536" s="10" t="s">
        <v>134</v>
      </c>
      <c r="B536" s="10" t="s">
        <v>134</v>
      </c>
      <c r="C536" s="10"/>
      <c r="D536" s="10" t="s">
        <v>386</v>
      </c>
      <c r="E536" s="10" t="s">
        <v>257</v>
      </c>
      <c r="F536" s="3">
        <f t="shared" ref="F536:F540" si="179">SUM(G536:S536)</f>
        <v>363</v>
      </c>
      <c r="G536" s="3">
        <f>SUMIFS('Business - Dump'!$G:$G,'Business - Dump'!$D:$D,'SKU Repoprt'!$D536,'Business - Dump'!$A:$A,'SKU Repoprt'!G$1)</f>
        <v>0</v>
      </c>
      <c r="H536" s="3">
        <f>SUMIFS('Business - Dump'!$G:$G,'Business - Dump'!$D:$D,'SKU Repoprt'!$D536,'Business - Dump'!$A:$A,'SKU Repoprt'!H$1)</f>
        <v>0</v>
      </c>
      <c r="I536" s="3">
        <f>SUMIFS('Business - Dump'!$G:$G,'Business - Dump'!$D:$D,'SKU Repoprt'!$D536,'Business - Dump'!$A:$A,'SKU Repoprt'!I$1)</f>
        <v>0</v>
      </c>
      <c r="J536" s="3">
        <f>SUMIFS('Business - Dump'!$G:$G,'Business - Dump'!$D:$D,'SKU Repoprt'!$D536,'Business - Dump'!$A:$A,'SKU Repoprt'!J$1)</f>
        <v>0</v>
      </c>
      <c r="K536" s="3">
        <f>SUMIFS('Business - Dump'!$G:$G,'Business - Dump'!$D:$D,'SKU Repoprt'!$D536,'Business - Dump'!$A:$A,'SKU Repoprt'!K$1)</f>
        <v>220</v>
      </c>
      <c r="L536" s="3">
        <f>SUMIFS('Business - Dump'!$G:$G,'Business - Dump'!$D:$D,'SKU Repoprt'!$D536,'Business - Dump'!$A:$A,'SKU Repoprt'!L$1)</f>
        <v>143</v>
      </c>
      <c r="M536" s="3">
        <f>SUMIFS('Business - Dump'!$G:$G,'Business - Dump'!$D:$D,'SKU Repoprt'!$D536,'Business - Dump'!$A:$A,'SKU Repoprt'!M$1)</f>
        <v>0</v>
      </c>
      <c r="N536" s="3">
        <f>SUMIFS('Business - Dump'!$G:$G,'Business - Dump'!$D:$D,'SKU Repoprt'!$D536,'Business - Dump'!$A:$A,'SKU Repoprt'!N$1)</f>
        <v>0</v>
      </c>
      <c r="O536" s="3">
        <f>SUMIFS('Business - Dump'!$G:$G,'Business - Dump'!$D:$D,'SKU Repoprt'!$D536,'Business - Dump'!$A:$A,'SKU Repoprt'!O$1)</f>
        <v>0</v>
      </c>
      <c r="P536" s="3">
        <f>SUMIFS('Business - Dump'!$G:$G,'Business - Dump'!$D:$D,'SKU Repoprt'!$D536,'Business - Dump'!$A:$A,'SKU Repoprt'!P$1)</f>
        <v>0</v>
      </c>
      <c r="Q536" s="3">
        <f>SUMIFS('Business - Dump'!$G:$G,'Business - Dump'!$D:$D,'SKU Repoprt'!$D536,'Business - Dump'!$A:$A,'SKU Repoprt'!Q$1)</f>
        <v>0</v>
      </c>
      <c r="R536" s="3">
        <f>SUMIFS('Business - Dump'!$G:$G,'Business - Dump'!$D:$D,'SKU Repoprt'!$D536,'Business - Dump'!$A:$A,'SKU Repoprt'!R$1)</f>
        <v>0</v>
      </c>
      <c r="S536" s="3">
        <f>SUMIFS('Business - Dump'!$G:$G,'Business - Dump'!$D:$D,'SKU Repoprt'!$D536,'Business - Dump'!$A:$A,'SKU Repoprt'!S$1)</f>
        <v>0</v>
      </c>
      <c r="T536" s="3">
        <f>SUMIFS('Business - Dump'!$G:$G,'Business - Dump'!$D:$D,'SKU Repoprt'!$D536,'Business - Dump'!$A:$A,'SKU Repoprt'!T$1)</f>
        <v>0</v>
      </c>
      <c r="U536" s="3">
        <f>SUMIFS('Business - Dump'!$G:$G,'Business - Dump'!$D:$D,'SKU Repoprt'!$D536,'Business - Dump'!$A:$A,'SKU Repoprt'!U$1)</f>
        <v>0</v>
      </c>
      <c r="V536" s="3">
        <f>SUMIFS('Business - Dump'!$G:$G,'Business - Dump'!$D:$D,'SKU Repoprt'!$D536,'Business - Dump'!$A:$A,'SKU Repoprt'!V$1)</f>
        <v>0</v>
      </c>
      <c r="W536" s="3">
        <f>SUMIFS('Business - Dump'!$G:$G,'Business - Dump'!$D:$D,'SKU Repoprt'!$D536,'Business - Dump'!$A:$A,'SKU Repoprt'!W$1)</f>
        <v>0</v>
      </c>
    </row>
    <row r="537" ht="15.75" customHeight="1">
      <c r="A537" s="10" t="s">
        <v>134</v>
      </c>
      <c r="B537" s="10" t="s">
        <v>134</v>
      </c>
      <c r="C537" s="10"/>
      <c r="D537" s="10" t="s">
        <v>386</v>
      </c>
      <c r="E537" s="10" t="s">
        <v>260</v>
      </c>
      <c r="F537" s="3">
        <f t="shared" si="179"/>
        <v>471</v>
      </c>
      <c r="G537" s="3">
        <f>SUMIFS('Business - Dump'!$K:$K,'Business - Dump'!$D:$D,'SKU Repoprt'!$D537,'Business - Dump'!$A:$A,'SKU Repoprt'!G$1)</f>
        <v>0</v>
      </c>
      <c r="H537" s="3">
        <f>SUMIFS('Business - Dump'!$K:$K,'Business - Dump'!$D:$D,'SKU Repoprt'!$D537,'Business - Dump'!$A:$A,'SKU Repoprt'!H$1)</f>
        <v>0</v>
      </c>
      <c r="I537" s="3">
        <f>SUMIFS('Business - Dump'!$K:$K,'Business - Dump'!$D:$D,'SKU Repoprt'!$D537,'Business - Dump'!$A:$A,'SKU Repoprt'!I$1)</f>
        <v>0</v>
      </c>
      <c r="J537" s="3">
        <f>SUMIFS('Business - Dump'!$K:$K,'Business - Dump'!$D:$D,'SKU Repoprt'!$D537,'Business - Dump'!$A:$A,'SKU Repoprt'!J$1)</f>
        <v>0</v>
      </c>
      <c r="K537" s="3">
        <f>SUMIFS('Business - Dump'!$K:$K,'Business - Dump'!$D:$D,'SKU Repoprt'!$D537,'Business - Dump'!$A:$A,'SKU Repoprt'!K$1)</f>
        <v>261</v>
      </c>
      <c r="L537" s="3">
        <f>SUMIFS('Business - Dump'!$K:$K,'Business - Dump'!$D:$D,'SKU Repoprt'!$D537,'Business - Dump'!$A:$A,'SKU Repoprt'!L$1)</f>
        <v>210</v>
      </c>
      <c r="M537" s="3">
        <f>SUMIFS('Business - Dump'!$K:$K,'Business - Dump'!$D:$D,'SKU Repoprt'!$D537,'Business - Dump'!$A:$A,'SKU Repoprt'!M$1)</f>
        <v>0</v>
      </c>
      <c r="N537" s="3">
        <f>SUMIFS('Business - Dump'!$K:$K,'Business - Dump'!$D:$D,'SKU Repoprt'!$D537,'Business - Dump'!$A:$A,'SKU Repoprt'!N$1)</f>
        <v>0</v>
      </c>
      <c r="O537" s="3">
        <f>SUMIFS('Business - Dump'!$K:$K,'Business - Dump'!$D:$D,'SKU Repoprt'!$D537,'Business - Dump'!$A:$A,'SKU Repoprt'!O$1)</f>
        <v>0</v>
      </c>
      <c r="P537" s="3">
        <f>SUMIFS('Business - Dump'!$K:$K,'Business - Dump'!$D:$D,'SKU Repoprt'!$D537,'Business - Dump'!$A:$A,'SKU Repoprt'!P$1)</f>
        <v>0</v>
      </c>
      <c r="Q537" s="3">
        <f>SUMIFS('Business - Dump'!$K:$K,'Business - Dump'!$D:$D,'SKU Repoprt'!$D537,'Business - Dump'!$A:$A,'SKU Repoprt'!Q$1)</f>
        <v>0</v>
      </c>
      <c r="R537" s="3">
        <f>SUMIFS('Business - Dump'!$K:$K,'Business - Dump'!$D:$D,'SKU Repoprt'!$D537,'Business - Dump'!$A:$A,'SKU Repoprt'!R$1)</f>
        <v>0</v>
      </c>
      <c r="S537" s="3">
        <f>SUMIFS('Business - Dump'!$K:$K,'Business - Dump'!$D:$D,'SKU Repoprt'!$D537,'Business - Dump'!$A:$A,'SKU Repoprt'!S$1)</f>
        <v>0</v>
      </c>
      <c r="T537" s="3">
        <f>SUMIFS('Business - Dump'!$K:$K,'Business - Dump'!$D:$D,'SKU Repoprt'!$D537,'Business - Dump'!$A:$A,'SKU Repoprt'!T$1)</f>
        <v>0</v>
      </c>
      <c r="U537" s="3">
        <f>SUMIFS('Business - Dump'!$K:$K,'Business - Dump'!$D:$D,'SKU Repoprt'!$D537,'Business - Dump'!$A:$A,'SKU Repoprt'!U$1)</f>
        <v>0</v>
      </c>
      <c r="V537" s="3">
        <f>SUMIFS('Business - Dump'!$K:$K,'Business - Dump'!$D:$D,'SKU Repoprt'!$D537,'Business - Dump'!$A:$A,'SKU Repoprt'!V$1)</f>
        <v>0</v>
      </c>
      <c r="W537" s="3">
        <f>SUMIFS('Business - Dump'!$K:$K,'Business - Dump'!$D:$D,'SKU Repoprt'!$D537,'Business - Dump'!$A:$A,'SKU Repoprt'!W$1)</f>
        <v>0</v>
      </c>
    </row>
    <row r="538" ht="15.75" customHeight="1">
      <c r="A538" s="10" t="s">
        <v>134</v>
      </c>
      <c r="B538" s="10" t="s">
        <v>134</v>
      </c>
      <c r="C538" s="10"/>
      <c r="D538" s="10" t="s">
        <v>386</v>
      </c>
      <c r="E538" s="10" t="s">
        <v>264</v>
      </c>
      <c r="F538" s="3">
        <f t="shared" si="179"/>
        <v>5</v>
      </c>
      <c r="G538" s="3">
        <f>SUMIFS('Business - Dump'!$Q:$Q,'Business - Dump'!$D:$D,'SKU Repoprt'!$D538,'Business - Dump'!$A:$A,'SKU Repoprt'!G$1)</f>
        <v>0</v>
      </c>
      <c r="H538" s="3">
        <f>SUMIFS('Business - Dump'!$Q:$Q,'Business - Dump'!$D:$D,'SKU Repoprt'!$D538,'Business - Dump'!$A:$A,'SKU Repoprt'!H$1)</f>
        <v>0</v>
      </c>
      <c r="I538" s="3">
        <f>SUMIFS('Business - Dump'!$Q:$Q,'Business - Dump'!$D:$D,'SKU Repoprt'!$D538,'Business - Dump'!$A:$A,'SKU Repoprt'!I$1)</f>
        <v>0</v>
      </c>
      <c r="J538" s="3">
        <f>SUMIFS('Business - Dump'!$Q:$Q,'Business - Dump'!$D:$D,'SKU Repoprt'!$D538,'Business - Dump'!$A:$A,'SKU Repoprt'!J$1)</f>
        <v>0</v>
      </c>
      <c r="K538" s="3">
        <f>SUMIFS('Business - Dump'!$Q:$Q,'Business - Dump'!$D:$D,'SKU Repoprt'!$D538,'Business - Dump'!$A:$A,'SKU Repoprt'!K$1)</f>
        <v>2</v>
      </c>
      <c r="L538" s="3">
        <f>SUMIFS('Business - Dump'!$Q:$Q,'Business - Dump'!$D:$D,'SKU Repoprt'!$D538,'Business - Dump'!$A:$A,'SKU Repoprt'!L$1)</f>
        <v>3</v>
      </c>
      <c r="M538" s="3">
        <f>SUMIFS('Business - Dump'!$Q:$Q,'Business - Dump'!$D:$D,'SKU Repoprt'!$D538,'Business - Dump'!$A:$A,'SKU Repoprt'!M$1)</f>
        <v>0</v>
      </c>
      <c r="N538" s="3">
        <f>SUMIFS('Business - Dump'!$Q:$Q,'Business - Dump'!$D:$D,'SKU Repoprt'!$D538,'Business - Dump'!$A:$A,'SKU Repoprt'!N$1)</f>
        <v>0</v>
      </c>
      <c r="O538" s="3">
        <f>SUMIFS('Business - Dump'!$Q:$Q,'Business - Dump'!$D:$D,'SKU Repoprt'!$D538,'Business - Dump'!$A:$A,'SKU Repoprt'!O$1)</f>
        <v>0</v>
      </c>
      <c r="P538" s="3">
        <f>SUMIFS('Business - Dump'!$Q:$Q,'Business - Dump'!$D:$D,'SKU Repoprt'!$D538,'Business - Dump'!$A:$A,'SKU Repoprt'!P$1)</f>
        <v>0</v>
      </c>
      <c r="Q538" s="3">
        <f>SUMIFS('Business - Dump'!$Q:$Q,'Business - Dump'!$D:$D,'SKU Repoprt'!$D538,'Business - Dump'!$A:$A,'SKU Repoprt'!Q$1)</f>
        <v>0</v>
      </c>
      <c r="R538" s="3">
        <f>SUMIFS('Business - Dump'!$Q:$Q,'Business - Dump'!$D:$D,'SKU Repoprt'!$D538,'Business - Dump'!$A:$A,'SKU Repoprt'!R$1)</f>
        <v>0</v>
      </c>
      <c r="S538" s="3">
        <f>SUMIFS('Business - Dump'!$Q:$Q,'Business - Dump'!$D:$D,'SKU Repoprt'!$D538,'Business - Dump'!$A:$A,'SKU Repoprt'!S$1)</f>
        <v>0</v>
      </c>
      <c r="T538" s="3">
        <f>SUMIFS('Business - Dump'!$Q:$Q,'Business - Dump'!$D:$D,'SKU Repoprt'!$D538,'Business - Dump'!$A:$A,'SKU Repoprt'!T$1)</f>
        <v>0</v>
      </c>
      <c r="U538" s="3">
        <f>SUMIFS('Business - Dump'!$Q:$Q,'Business - Dump'!$D:$D,'SKU Repoprt'!$D538,'Business - Dump'!$A:$A,'SKU Repoprt'!U$1)</f>
        <v>0</v>
      </c>
      <c r="V538" s="3">
        <f>SUMIFS('Business - Dump'!$Q:$Q,'Business - Dump'!$D:$D,'SKU Repoprt'!$D538,'Business - Dump'!$A:$A,'SKU Repoprt'!V$1)</f>
        <v>0</v>
      </c>
      <c r="W538" s="3">
        <f>SUMIFS('Business - Dump'!$Q:$Q,'Business - Dump'!$D:$D,'SKU Repoprt'!$D538,'Business - Dump'!$A:$A,'SKU Repoprt'!W$1)</f>
        <v>0</v>
      </c>
    </row>
    <row r="539" ht="15.75" customHeight="1">
      <c r="A539" s="10" t="s">
        <v>134</v>
      </c>
      <c r="B539" s="10" t="s">
        <v>134</v>
      </c>
      <c r="C539" s="10"/>
      <c r="D539" s="10" t="s">
        <v>386</v>
      </c>
      <c r="E539" s="10" t="s">
        <v>268</v>
      </c>
      <c r="F539" s="3">
        <f t="shared" si="179"/>
        <v>5</v>
      </c>
      <c r="G539" s="3">
        <f>SUMIFS('Business - Dump'!$W:$W,'Business - Dump'!$D:$D,'SKU Repoprt'!$D539,'Business - Dump'!$A:$A,'SKU Repoprt'!G$1)</f>
        <v>0</v>
      </c>
      <c r="H539" s="3">
        <f>SUMIFS('Business - Dump'!$W:$W,'Business - Dump'!$D:$D,'SKU Repoprt'!$D539,'Business - Dump'!$A:$A,'SKU Repoprt'!H$1)</f>
        <v>0</v>
      </c>
      <c r="I539" s="3">
        <f>SUMIFS('Business - Dump'!$W:$W,'Business - Dump'!$D:$D,'SKU Repoprt'!$D539,'Business - Dump'!$A:$A,'SKU Repoprt'!I$1)</f>
        <v>0</v>
      </c>
      <c r="J539" s="3">
        <f>SUMIFS('Business - Dump'!$W:$W,'Business - Dump'!$D:$D,'SKU Repoprt'!$D539,'Business - Dump'!$A:$A,'SKU Repoprt'!J$1)</f>
        <v>0</v>
      </c>
      <c r="K539" s="3">
        <f>SUMIFS('Business - Dump'!$W:$W,'Business - Dump'!$D:$D,'SKU Repoprt'!$D539,'Business - Dump'!$A:$A,'SKU Repoprt'!K$1)</f>
        <v>2</v>
      </c>
      <c r="L539" s="3">
        <f>SUMIFS('Business - Dump'!$W:$W,'Business - Dump'!$D:$D,'SKU Repoprt'!$D539,'Business - Dump'!$A:$A,'SKU Repoprt'!L$1)</f>
        <v>3</v>
      </c>
      <c r="M539" s="3">
        <f>SUMIFS('Business - Dump'!$W:$W,'Business - Dump'!$D:$D,'SKU Repoprt'!$D539,'Business - Dump'!$A:$A,'SKU Repoprt'!M$1)</f>
        <v>0</v>
      </c>
      <c r="N539" s="3">
        <f>SUMIFS('Business - Dump'!$W:$W,'Business - Dump'!$D:$D,'SKU Repoprt'!$D539,'Business - Dump'!$A:$A,'SKU Repoprt'!N$1)</f>
        <v>0</v>
      </c>
      <c r="O539" s="3">
        <f>SUMIFS('Business - Dump'!$W:$W,'Business - Dump'!$D:$D,'SKU Repoprt'!$D539,'Business - Dump'!$A:$A,'SKU Repoprt'!O$1)</f>
        <v>0</v>
      </c>
      <c r="P539" s="3">
        <f>SUMIFS('Business - Dump'!$W:$W,'Business - Dump'!$D:$D,'SKU Repoprt'!$D539,'Business - Dump'!$A:$A,'SKU Repoprt'!P$1)</f>
        <v>0</v>
      </c>
      <c r="Q539" s="3">
        <f>SUMIFS('Business - Dump'!$W:$W,'Business - Dump'!$D:$D,'SKU Repoprt'!$D539,'Business - Dump'!$A:$A,'SKU Repoprt'!Q$1)</f>
        <v>0</v>
      </c>
      <c r="R539" s="3">
        <f>SUMIFS('Business - Dump'!$W:$W,'Business - Dump'!$D:$D,'SKU Repoprt'!$D539,'Business - Dump'!$A:$A,'SKU Repoprt'!R$1)</f>
        <v>0</v>
      </c>
      <c r="S539" s="3">
        <f>SUMIFS('Business - Dump'!$W:$W,'Business - Dump'!$D:$D,'SKU Repoprt'!$D539,'Business - Dump'!$A:$A,'SKU Repoprt'!S$1)</f>
        <v>0</v>
      </c>
      <c r="T539" s="3">
        <f>SUMIFS('Business - Dump'!$W:$W,'Business - Dump'!$D:$D,'SKU Repoprt'!$D539,'Business - Dump'!$A:$A,'SKU Repoprt'!T$1)</f>
        <v>0</v>
      </c>
      <c r="U539" s="3">
        <f>SUMIFS('Business - Dump'!$W:$W,'Business - Dump'!$D:$D,'SKU Repoprt'!$D539,'Business - Dump'!$A:$A,'SKU Repoprt'!U$1)</f>
        <v>0</v>
      </c>
      <c r="V539" s="3">
        <f>SUMIFS('Business - Dump'!$W:$W,'Business - Dump'!$D:$D,'SKU Repoprt'!$D539,'Business - Dump'!$A:$A,'SKU Repoprt'!V$1)</f>
        <v>0</v>
      </c>
      <c r="W539" s="3">
        <f>SUMIFS('Business - Dump'!$W:$W,'Business - Dump'!$D:$D,'SKU Repoprt'!$D539,'Business - Dump'!$A:$A,'SKU Repoprt'!W$1)</f>
        <v>0</v>
      </c>
    </row>
    <row r="540" ht="15.75" customHeight="1">
      <c r="A540" s="10" t="s">
        <v>134</v>
      </c>
      <c r="B540" s="10" t="s">
        <v>134</v>
      </c>
      <c r="C540" s="10"/>
      <c r="D540" s="10" t="s">
        <v>386</v>
      </c>
      <c r="E540" s="10" t="s">
        <v>26</v>
      </c>
      <c r="F540" s="16">
        <f t="shared" si="179"/>
        <v>127500</v>
      </c>
      <c r="G540" s="16">
        <f>SUMIFS('Business - Dump'!$U:$U,'Business - Dump'!$D:$D,'SKU Repoprt'!$D540,'Business - Dump'!$A:$A,'SKU Repoprt'!G$1)</f>
        <v>0</v>
      </c>
      <c r="H540" s="16">
        <f>SUMIFS('Business - Dump'!$U:$U,'Business - Dump'!$D:$D,'SKU Repoprt'!$D540,'Business - Dump'!$A:$A,'SKU Repoprt'!H$1)</f>
        <v>0</v>
      </c>
      <c r="I540" s="16">
        <f>SUMIFS('Business - Dump'!$U:$U,'Business - Dump'!$D:$D,'SKU Repoprt'!$D540,'Business - Dump'!$A:$A,'SKU Repoprt'!I$1)</f>
        <v>0</v>
      </c>
      <c r="J540" s="16">
        <f>SUMIFS('Business - Dump'!$U:$U,'Business - Dump'!$D:$D,'SKU Repoprt'!$D540,'Business - Dump'!$A:$A,'SKU Repoprt'!J$1)</f>
        <v>0</v>
      </c>
      <c r="K540" s="16">
        <f>SUMIFS('Business - Dump'!$U:$U,'Business - Dump'!$D:$D,'SKU Repoprt'!$D540,'Business - Dump'!$A:$A,'SKU Repoprt'!K$1)</f>
        <v>51000</v>
      </c>
      <c r="L540" s="16">
        <f>SUMIFS('Business - Dump'!$U:$U,'Business - Dump'!$D:$D,'SKU Repoprt'!$D540,'Business - Dump'!$A:$A,'SKU Repoprt'!L$1)</f>
        <v>76500</v>
      </c>
      <c r="M540" s="16">
        <f>SUMIFS('Business - Dump'!$U:$U,'Business - Dump'!$D:$D,'SKU Repoprt'!$D540,'Business - Dump'!$A:$A,'SKU Repoprt'!M$1)</f>
        <v>0</v>
      </c>
      <c r="N540" s="16">
        <f>SUMIFS('Business - Dump'!$U:$U,'Business - Dump'!$D:$D,'SKU Repoprt'!$D540,'Business - Dump'!$A:$A,'SKU Repoprt'!N$1)</f>
        <v>0</v>
      </c>
      <c r="O540" s="16">
        <f>SUMIFS('Business - Dump'!$U:$U,'Business - Dump'!$D:$D,'SKU Repoprt'!$D540,'Business - Dump'!$A:$A,'SKU Repoprt'!O$1)</f>
        <v>0</v>
      </c>
      <c r="P540" s="16">
        <f>SUMIFS('Business - Dump'!$U:$U,'Business - Dump'!$D:$D,'SKU Repoprt'!$D540,'Business - Dump'!$A:$A,'SKU Repoprt'!P$1)</f>
        <v>0</v>
      </c>
      <c r="Q540" s="16">
        <f>SUMIFS('Business - Dump'!$U:$U,'Business - Dump'!$D:$D,'SKU Repoprt'!$D540,'Business - Dump'!$A:$A,'SKU Repoprt'!Q$1)</f>
        <v>0</v>
      </c>
      <c r="R540" s="16">
        <f>SUMIFS('Business - Dump'!$U:$U,'Business - Dump'!$D:$D,'SKU Repoprt'!$D540,'Business - Dump'!$A:$A,'SKU Repoprt'!R$1)</f>
        <v>0</v>
      </c>
      <c r="S540" s="16">
        <f>SUMIFS('Business - Dump'!$U:$U,'Business - Dump'!$D:$D,'SKU Repoprt'!$D540,'Business - Dump'!$A:$A,'SKU Repoprt'!S$1)</f>
        <v>0</v>
      </c>
      <c r="T540" s="16">
        <f>SUMIFS('Business - Dump'!$U:$U,'Business - Dump'!$D:$D,'SKU Repoprt'!$D540,'Business - Dump'!$A:$A,'SKU Repoprt'!T$1)</f>
        <v>0</v>
      </c>
      <c r="U540" s="16">
        <f>SUMIFS('Business - Dump'!$U:$U,'Business - Dump'!$D:$D,'SKU Repoprt'!$D540,'Business - Dump'!$A:$A,'SKU Repoprt'!U$1)</f>
        <v>0</v>
      </c>
      <c r="V540" s="16">
        <f>SUMIFS('Business - Dump'!$U:$U,'Business - Dump'!$D:$D,'SKU Repoprt'!$D540,'Business - Dump'!$A:$A,'SKU Repoprt'!V$1)</f>
        <v>0</v>
      </c>
      <c r="W540" s="16">
        <f>SUMIFS('Business - Dump'!$U:$U,'Business - Dump'!$D:$D,'SKU Repoprt'!$D540,'Business - Dump'!$A:$A,'SKU Repoprt'!W$1)</f>
        <v>0</v>
      </c>
    </row>
    <row r="541" ht="15.75" customHeight="1">
      <c r="A541" s="10" t="s">
        <v>134</v>
      </c>
      <c r="B541" s="10" t="s">
        <v>134</v>
      </c>
      <c r="C541" s="10"/>
      <c r="D541" s="10" t="s">
        <v>386</v>
      </c>
      <c r="E541" s="10" t="s">
        <v>29</v>
      </c>
      <c r="F541" s="17">
        <v>0.027042857142857143</v>
      </c>
      <c r="G541" s="17">
        <f t="shared" ref="G541:W541" si="180">IFERROR(G539/G536,0)</f>
        <v>0</v>
      </c>
      <c r="H541" s="17">
        <f t="shared" si="180"/>
        <v>0</v>
      </c>
      <c r="I541" s="17">
        <f t="shared" si="180"/>
        <v>0</v>
      </c>
      <c r="J541" s="17">
        <f t="shared" si="180"/>
        <v>0</v>
      </c>
      <c r="K541" s="17">
        <f t="shared" si="180"/>
        <v>0.009090909091</v>
      </c>
      <c r="L541" s="17">
        <f t="shared" si="180"/>
        <v>0.02097902098</v>
      </c>
      <c r="M541" s="17">
        <f t="shared" si="180"/>
        <v>0</v>
      </c>
      <c r="N541" s="17">
        <f t="shared" si="180"/>
        <v>0</v>
      </c>
      <c r="O541" s="17">
        <f t="shared" si="180"/>
        <v>0</v>
      </c>
      <c r="P541" s="17">
        <f t="shared" si="180"/>
        <v>0</v>
      </c>
      <c r="Q541" s="17">
        <f t="shared" si="180"/>
        <v>0</v>
      </c>
      <c r="R541" s="17">
        <f t="shared" si="180"/>
        <v>0</v>
      </c>
      <c r="S541" s="17">
        <f t="shared" si="180"/>
        <v>0</v>
      </c>
      <c r="T541" s="17">
        <f t="shared" si="180"/>
        <v>0</v>
      </c>
      <c r="U541" s="17">
        <f t="shared" si="180"/>
        <v>0</v>
      </c>
      <c r="V541" s="17">
        <f t="shared" si="180"/>
        <v>0</v>
      </c>
      <c r="W541" s="17">
        <f t="shared" si="180"/>
        <v>0</v>
      </c>
    </row>
    <row r="542" ht="15.75" customHeight="1">
      <c r="A542" s="10" t="s">
        <v>134</v>
      </c>
      <c r="B542" s="10" t="s">
        <v>134</v>
      </c>
      <c r="C542" s="10"/>
      <c r="D542" s="10" t="s">
        <v>379</v>
      </c>
      <c r="E542" s="10" t="s">
        <v>257</v>
      </c>
      <c r="F542" s="3">
        <f t="shared" ref="F542:F546" si="181">SUM(G542:S542)</f>
        <v>3873</v>
      </c>
      <c r="G542" s="3">
        <f>SUMIFS('Business - Dump'!$G:$G,'Business - Dump'!$D:$D,'SKU Repoprt'!$D542,'Business - Dump'!$A:$A,'SKU Repoprt'!G$1)</f>
        <v>0</v>
      </c>
      <c r="H542" s="3">
        <f>SUMIFS('Business - Dump'!$G:$G,'Business - Dump'!$D:$D,'SKU Repoprt'!$D542,'Business - Dump'!$A:$A,'SKU Repoprt'!H$1)</f>
        <v>0</v>
      </c>
      <c r="I542" s="3">
        <f>SUMIFS('Business - Dump'!$G:$G,'Business - Dump'!$D:$D,'SKU Repoprt'!$D542,'Business - Dump'!$A:$A,'SKU Repoprt'!I$1)</f>
        <v>0</v>
      </c>
      <c r="J542" s="3">
        <f>SUMIFS('Business - Dump'!$G:$G,'Business - Dump'!$D:$D,'SKU Repoprt'!$D542,'Business - Dump'!$A:$A,'SKU Repoprt'!J$1)</f>
        <v>0</v>
      </c>
      <c r="K542" s="3">
        <f>SUMIFS('Business - Dump'!$G:$G,'Business - Dump'!$D:$D,'SKU Repoprt'!$D542,'Business - Dump'!$A:$A,'SKU Repoprt'!K$1)</f>
        <v>210</v>
      </c>
      <c r="L542" s="3">
        <f>SUMIFS('Business - Dump'!$G:$G,'Business - Dump'!$D:$D,'SKU Repoprt'!$D542,'Business - Dump'!$A:$A,'SKU Repoprt'!L$1)</f>
        <v>0</v>
      </c>
      <c r="M542" s="3">
        <f>SUMIFS('Business - Dump'!$G:$G,'Business - Dump'!$D:$D,'SKU Repoprt'!$D542,'Business - Dump'!$A:$A,'SKU Repoprt'!M$1)</f>
        <v>1105</v>
      </c>
      <c r="N542" s="3">
        <f>SUMIFS('Business - Dump'!$G:$G,'Business - Dump'!$D:$D,'SKU Repoprt'!$D542,'Business - Dump'!$A:$A,'SKU Repoprt'!N$1)</f>
        <v>760</v>
      </c>
      <c r="O542" s="3">
        <f>SUMIFS('Business - Dump'!$G:$G,'Business - Dump'!$D:$D,'SKU Repoprt'!$D542,'Business - Dump'!$A:$A,'SKU Repoprt'!O$1)</f>
        <v>356</v>
      </c>
      <c r="P542" s="3">
        <f>SUMIFS('Business - Dump'!$G:$G,'Business - Dump'!$D:$D,'SKU Repoprt'!$D542,'Business - Dump'!$A:$A,'SKU Repoprt'!P$1)</f>
        <v>314</v>
      </c>
      <c r="Q542" s="3">
        <f>SUMIFS('Business - Dump'!$G:$G,'Business - Dump'!$D:$D,'SKU Repoprt'!$D542,'Business - Dump'!$A:$A,'SKU Repoprt'!Q$1)</f>
        <v>581</v>
      </c>
      <c r="R542" s="3">
        <f>SUMIFS('Business - Dump'!$G:$G,'Business - Dump'!$D:$D,'SKU Repoprt'!$D542,'Business - Dump'!$A:$A,'SKU Repoprt'!R$1)</f>
        <v>359</v>
      </c>
      <c r="S542" s="3">
        <f>SUMIFS('Business - Dump'!$G:$G,'Business - Dump'!$D:$D,'SKU Repoprt'!$D542,'Business - Dump'!$A:$A,'SKU Repoprt'!S$1)</f>
        <v>188</v>
      </c>
      <c r="T542" s="3">
        <f>SUMIFS('Business - Dump'!$G:$G,'Business - Dump'!$D:$D,'SKU Repoprt'!$D542,'Business - Dump'!$A:$A,'SKU Repoprt'!T$1)</f>
        <v>149</v>
      </c>
      <c r="U542" s="3">
        <f>SUMIFS('Business - Dump'!$G:$G,'Business - Dump'!$D:$D,'SKU Repoprt'!$D542,'Business - Dump'!$A:$A,'SKU Repoprt'!U$1)</f>
        <v>176</v>
      </c>
      <c r="V542" s="3">
        <f>SUMIFS('Business - Dump'!$G:$G,'Business - Dump'!$D:$D,'SKU Repoprt'!$D542,'Business - Dump'!$A:$A,'SKU Repoprt'!V$1)</f>
        <v>131</v>
      </c>
      <c r="W542" s="3">
        <f>SUMIFS('Business - Dump'!$G:$G,'Business - Dump'!$D:$D,'SKU Repoprt'!$D542,'Business - Dump'!$A:$A,'SKU Repoprt'!W$1)</f>
        <v>723</v>
      </c>
    </row>
    <row r="543" ht="15.75" customHeight="1">
      <c r="A543" s="10" t="s">
        <v>134</v>
      </c>
      <c r="B543" s="10" t="s">
        <v>134</v>
      </c>
      <c r="C543" s="10"/>
      <c r="D543" s="10" t="s">
        <v>379</v>
      </c>
      <c r="E543" s="10" t="s">
        <v>260</v>
      </c>
      <c r="F543" s="3">
        <f t="shared" si="181"/>
        <v>5393</v>
      </c>
      <c r="G543" s="3">
        <f>SUMIFS('Business - Dump'!$K:$K,'Business - Dump'!$D:$D,'SKU Repoprt'!$D543,'Business - Dump'!$A:$A,'SKU Repoprt'!G$1)</f>
        <v>0</v>
      </c>
      <c r="H543" s="3">
        <f>SUMIFS('Business - Dump'!$K:$K,'Business - Dump'!$D:$D,'SKU Repoprt'!$D543,'Business - Dump'!$A:$A,'SKU Repoprt'!H$1)</f>
        <v>0</v>
      </c>
      <c r="I543" s="3">
        <f>SUMIFS('Business - Dump'!$K:$K,'Business - Dump'!$D:$D,'SKU Repoprt'!$D543,'Business - Dump'!$A:$A,'SKU Repoprt'!I$1)</f>
        <v>0</v>
      </c>
      <c r="J543" s="3">
        <f>SUMIFS('Business - Dump'!$K:$K,'Business - Dump'!$D:$D,'SKU Repoprt'!$D543,'Business - Dump'!$A:$A,'SKU Repoprt'!J$1)</f>
        <v>0</v>
      </c>
      <c r="K543" s="3">
        <f>SUMIFS('Business - Dump'!$K:$K,'Business - Dump'!$D:$D,'SKU Repoprt'!$D543,'Business - Dump'!$A:$A,'SKU Repoprt'!K$1)</f>
        <v>271</v>
      </c>
      <c r="L543" s="3">
        <f>SUMIFS('Business - Dump'!$K:$K,'Business - Dump'!$D:$D,'SKU Repoprt'!$D543,'Business - Dump'!$A:$A,'SKU Repoprt'!L$1)</f>
        <v>0</v>
      </c>
      <c r="M543" s="3">
        <f>SUMIFS('Business - Dump'!$K:$K,'Business - Dump'!$D:$D,'SKU Repoprt'!$D543,'Business - Dump'!$A:$A,'SKU Repoprt'!M$1)</f>
        <v>1756</v>
      </c>
      <c r="N543" s="3">
        <f>SUMIFS('Business - Dump'!$K:$K,'Business - Dump'!$D:$D,'SKU Repoprt'!$D543,'Business - Dump'!$A:$A,'SKU Repoprt'!N$1)</f>
        <v>958</v>
      </c>
      <c r="O543" s="3">
        <f>SUMIFS('Business - Dump'!$K:$K,'Business - Dump'!$D:$D,'SKU Repoprt'!$D543,'Business - Dump'!$A:$A,'SKU Repoprt'!O$1)</f>
        <v>427</v>
      </c>
      <c r="P543" s="3">
        <f>SUMIFS('Business - Dump'!$K:$K,'Business - Dump'!$D:$D,'SKU Repoprt'!$D543,'Business - Dump'!$A:$A,'SKU Repoprt'!P$1)</f>
        <v>444</v>
      </c>
      <c r="Q543" s="3">
        <f>SUMIFS('Business - Dump'!$K:$K,'Business - Dump'!$D:$D,'SKU Repoprt'!$D543,'Business - Dump'!$A:$A,'SKU Repoprt'!Q$1)</f>
        <v>746</v>
      </c>
      <c r="R543" s="3">
        <f>SUMIFS('Business - Dump'!$K:$K,'Business - Dump'!$D:$D,'SKU Repoprt'!$D543,'Business - Dump'!$A:$A,'SKU Repoprt'!R$1)</f>
        <v>535</v>
      </c>
      <c r="S543" s="3">
        <f>SUMIFS('Business - Dump'!$K:$K,'Business - Dump'!$D:$D,'SKU Repoprt'!$D543,'Business - Dump'!$A:$A,'SKU Repoprt'!S$1)</f>
        <v>256</v>
      </c>
      <c r="T543" s="3">
        <f>SUMIFS('Business - Dump'!$K:$K,'Business - Dump'!$D:$D,'SKU Repoprt'!$D543,'Business - Dump'!$A:$A,'SKU Repoprt'!T$1)</f>
        <v>193</v>
      </c>
      <c r="U543" s="3">
        <f>SUMIFS('Business - Dump'!$K:$K,'Business - Dump'!$D:$D,'SKU Repoprt'!$D543,'Business - Dump'!$A:$A,'SKU Repoprt'!U$1)</f>
        <v>245</v>
      </c>
      <c r="V543" s="3">
        <f>SUMIFS('Business - Dump'!$K:$K,'Business - Dump'!$D:$D,'SKU Repoprt'!$D543,'Business - Dump'!$A:$A,'SKU Repoprt'!V$1)</f>
        <v>154</v>
      </c>
      <c r="W543" s="3">
        <f>SUMIFS('Business - Dump'!$K:$K,'Business - Dump'!$D:$D,'SKU Repoprt'!$D543,'Business - Dump'!$A:$A,'SKU Repoprt'!W$1)</f>
        <v>906</v>
      </c>
    </row>
    <row r="544" ht="15.75" customHeight="1">
      <c r="A544" s="10" t="s">
        <v>134</v>
      </c>
      <c r="B544" s="10" t="s">
        <v>134</v>
      </c>
      <c r="C544" s="10"/>
      <c r="D544" s="10" t="s">
        <v>379</v>
      </c>
      <c r="E544" s="10" t="s">
        <v>264</v>
      </c>
      <c r="F544" s="3">
        <f t="shared" si="181"/>
        <v>18</v>
      </c>
      <c r="G544" s="3">
        <f>SUMIFS('Business - Dump'!$Q:$Q,'Business - Dump'!$D:$D,'SKU Repoprt'!$D544,'Business - Dump'!$A:$A,'SKU Repoprt'!G$1)</f>
        <v>0</v>
      </c>
      <c r="H544" s="3">
        <f>SUMIFS('Business - Dump'!$Q:$Q,'Business - Dump'!$D:$D,'SKU Repoprt'!$D544,'Business - Dump'!$A:$A,'SKU Repoprt'!H$1)</f>
        <v>0</v>
      </c>
      <c r="I544" s="3">
        <f>SUMIFS('Business - Dump'!$Q:$Q,'Business - Dump'!$D:$D,'SKU Repoprt'!$D544,'Business - Dump'!$A:$A,'SKU Repoprt'!I$1)</f>
        <v>0</v>
      </c>
      <c r="J544" s="3">
        <f>SUMIFS('Business - Dump'!$Q:$Q,'Business - Dump'!$D:$D,'SKU Repoprt'!$D544,'Business - Dump'!$A:$A,'SKU Repoprt'!J$1)</f>
        <v>0</v>
      </c>
      <c r="K544" s="3">
        <f>SUMIFS('Business - Dump'!$Q:$Q,'Business - Dump'!$D:$D,'SKU Repoprt'!$D544,'Business - Dump'!$A:$A,'SKU Repoprt'!K$1)</f>
        <v>3</v>
      </c>
      <c r="L544" s="3">
        <f>SUMIFS('Business - Dump'!$Q:$Q,'Business - Dump'!$D:$D,'SKU Repoprt'!$D544,'Business - Dump'!$A:$A,'SKU Repoprt'!L$1)</f>
        <v>0</v>
      </c>
      <c r="M544" s="3">
        <f>SUMIFS('Business - Dump'!$Q:$Q,'Business - Dump'!$D:$D,'SKU Repoprt'!$D544,'Business - Dump'!$A:$A,'SKU Repoprt'!M$1)</f>
        <v>4</v>
      </c>
      <c r="N544" s="3">
        <f>SUMIFS('Business - Dump'!$Q:$Q,'Business - Dump'!$D:$D,'SKU Repoprt'!$D544,'Business - Dump'!$A:$A,'SKU Repoprt'!N$1)</f>
        <v>1</v>
      </c>
      <c r="O544" s="3">
        <f>SUMIFS('Business - Dump'!$Q:$Q,'Business - Dump'!$D:$D,'SKU Repoprt'!$D544,'Business - Dump'!$A:$A,'SKU Repoprt'!O$1)</f>
        <v>0</v>
      </c>
      <c r="P544" s="3">
        <f>SUMIFS('Business - Dump'!$Q:$Q,'Business - Dump'!$D:$D,'SKU Repoprt'!$D544,'Business - Dump'!$A:$A,'SKU Repoprt'!P$1)</f>
        <v>2</v>
      </c>
      <c r="Q544" s="3">
        <f>SUMIFS('Business - Dump'!$Q:$Q,'Business - Dump'!$D:$D,'SKU Repoprt'!$D544,'Business - Dump'!$A:$A,'SKU Repoprt'!Q$1)</f>
        <v>4</v>
      </c>
      <c r="R544" s="3">
        <f>SUMIFS('Business - Dump'!$Q:$Q,'Business - Dump'!$D:$D,'SKU Repoprt'!$D544,'Business - Dump'!$A:$A,'SKU Repoprt'!R$1)</f>
        <v>4</v>
      </c>
      <c r="S544" s="3">
        <f>SUMIFS('Business - Dump'!$Q:$Q,'Business - Dump'!$D:$D,'SKU Repoprt'!$D544,'Business - Dump'!$A:$A,'SKU Repoprt'!S$1)</f>
        <v>0</v>
      </c>
      <c r="T544" s="3">
        <f>SUMIFS('Business - Dump'!$Q:$Q,'Business - Dump'!$D:$D,'SKU Repoprt'!$D544,'Business - Dump'!$A:$A,'SKU Repoprt'!T$1)</f>
        <v>0</v>
      </c>
      <c r="U544" s="3">
        <f>SUMIFS('Business - Dump'!$Q:$Q,'Business - Dump'!$D:$D,'SKU Repoprt'!$D544,'Business - Dump'!$A:$A,'SKU Repoprt'!U$1)</f>
        <v>2</v>
      </c>
      <c r="V544" s="3">
        <f>SUMIFS('Business - Dump'!$Q:$Q,'Business - Dump'!$D:$D,'SKU Repoprt'!$D544,'Business - Dump'!$A:$A,'SKU Repoprt'!V$1)</f>
        <v>0</v>
      </c>
      <c r="W544" s="3">
        <f>SUMIFS('Business - Dump'!$Q:$Q,'Business - Dump'!$D:$D,'SKU Repoprt'!$D544,'Business - Dump'!$A:$A,'SKU Repoprt'!W$1)</f>
        <v>1</v>
      </c>
    </row>
    <row r="545" ht="15.75" customHeight="1">
      <c r="A545" s="10" t="s">
        <v>134</v>
      </c>
      <c r="B545" s="10" t="s">
        <v>134</v>
      </c>
      <c r="C545" s="10"/>
      <c r="D545" s="10" t="s">
        <v>379</v>
      </c>
      <c r="E545" s="10" t="s">
        <v>268</v>
      </c>
      <c r="F545" s="3">
        <f t="shared" si="181"/>
        <v>18</v>
      </c>
      <c r="G545" s="3">
        <f>SUMIFS('Business - Dump'!$W:$W,'Business - Dump'!$D:$D,'SKU Repoprt'!$D545,'Business - Dump'!$A:$A,'SKU Repoprt'!G$1)</f>
        <v>0</v>
      </c>
      <c r="H545" s="3">
        <f>SUMIFS('Business - Dump'!$W:$W,'Business - Dump'!$D:$D,'SKU Repoprt'!$D545,'Business - Dump'!$A:$A,'SKU Repoprt'!H$1)</f>
        <v>0</v>
      </c>
      <c r="I545" s="3">
        <f>SUMIFS('Business - Dump'!$W:$W,'Business - Dump'!$D:$D,'SKU Repoprt'!$D545,'Business - Dump'!$A:$A,'SKU Repoprt'!I$1)</f>
        <v>0</v>
      </c>
      <c r="J545" s="3">
        <f>SUMIFS('Business - Dump'!$W:$W,'Business - Dump'!$D:$D,'SKU Repoprt'!$D545,'Business - Dump'!$A:$A,'SKU Repoprt'!J$1)</f>
        <v>0</v>
      </c>
      <c r="K545" s="3">
        <f>SUMIFS('Business - Dump'!$W:$W,'Business - Dump'!$D:$D,'SKU Repoprt'!$D545,'Business - Dump'!$A:$A,'SKU Repoprt'!K$1)</f>
        <v>3</v>
      </c>
      <c r="L545" s="3">
        <f>SUMIFS('Business - Dump'!$W:$W,'Business - Dump'!$D:$D,'SKU Repoprt'!$D545,'Business - Dump'!$A:$A,'SKU Repoprt'!L$1)</f>
        <v>0</v>
      </c>
      <c r="M545" s="3">
        <f>SUMIFS('Business - Dump'!$W:$W,'Business - Dump'!$D:$D,'SKU Repoprt'!$D545,'Business - Dump'!$A:$A,'SKU Repoprt'!M$1)</f>
        <v>4</v>
      </c>
      <c r="N545" s="3">
        <f>SUMIFS('Business - Dump'!$W:$W,'Business - Dump'!$D:$D,'SKU Repoprt'!$D545,'Business - Dump'!$A:$A,'SKU Repoprt'!N$1)</f>
        <v>1</v>
      </c>
      <c r="O545" s="3">
        <f>SUMIFS('Business - Dump'!$W:$W,'Business - Dump'!$D:$D,'SKU Repoprt'!$D545,'Business - Dump'!$A:$A,'SKU Repoprt'!O$1)</f>
        <v>0</v>
      </c>
      <c r="P545" s="3">
        <f>SUMIFS('Business - Dump'!$W:$W,'Business - Dump'!$D:$D,'SKU Repoprt'!$D545,'Business - Dump'!$A:$A,'SKU Repoprt'!P$1)</f>
        <v>2</v>
      </c>
      <c r="Q545" s="3">
        <f>SUMIFS('Business - Dump'!$W:$W,'Business - Dump'!$D:$D,'SKU Repoprt'!$D545,'Business - Dump'!$A:$A,'SKU Repoprt'!Q$1)</f>
        <v>4</v>
      </c>
      <c r="R545" s="3">
        <f>SUMIFS('Business - Dump'!$W:$W,'Business - Dump'!$D:$D,'SKU Repoprt'!$D545,'Business - Dump'!$A:$A,'SKU Repoprt'!R$1)</f>
        <v>4</v>
      </c>
      <c r="S545" s="3">
        <f>SUMIFS('Business - Dump'!$W:$W,'Business - Dump'!$D:$D,'SKU Repoprt'!$D545,'Business - Dump'!$A:$A,'SKU Repoprt'!S$1)</f>
        <v>0</v>
      </c>
      <c r="T545" s="3">
        <f>SUMIFS('Business - Dump'!$W:$W,'Business - Dump'!$D:$D,'SKU Repoprt'!$D545,'Business - Dump'!$A:$A,'SKU Repoprt'!T$1)</f>
        <v>0</v>
      </c>
      <c r="U545" s="3">
        <f>SUMIFS('Business - Dump'!$W:$W,'Business - Dump'!$D:$D,'SKU Repoprt'!$D545,'Business - Dump'!$A:$A,'SKU Repoprt'!U$1)</f>
        <v>2</v>
      </c>
      <c r="V545" s="3">
        <f>SUMIFS('Business - Dump'!$W:$W,'Business - Dump'!$D:$D,'SKU Repoprt'!$D545,'Business - Dump'!$A:$A,'SKU Repoprt'!V$1)</f>
        <v>0</v>
      </c>
      <c r="W545" s="3">
        <f>SUMIFS('Business - Dump'!$W:$W,'Business - Dump'!$D:$D,'SKU Repoprt'!$D545,'Business - Dump'!$A:$A,'SKU Repoprt'!W$1)</f>
        <v>1</v>
      </c>
    </row>
    <row r="546" ht="15.75" customHeight="1">
      <c r="A546" s="10" t="s">
        <v>134</v>
      </c>
      <c r="B546" s="10" t="s">
        <v>134</v>
      </c>
      <c r="C546" s="10"/>
      <c r="D546" s="10" t="s">
        <v>379</v>
      </c>
      <c r="E546" s="10" t="s">
        <v>26</v>
      </c>
      <c r="F546" s="16">
        <f t="shared" si="181"/>
        <v>372255.19</v>
      </c>
      <c r="G546" s="16">
        <f>SUMIFS('Business - Dump'!$U:$U,'Business - Dump'!$D:$D,'SKU Repoprt'!$D546,'Business - Dump'!$A:$A,'SKU Repoprt'!G$1)</f>
        <v>0</v>
      </c>
      <c r="H546" s="16">
        <f>SUMIFS('Business - Dump'!$U:$U,'Business - Dump'!$D:$D,'SKU Repoprt'!$D546,'Business - Dump'!$A:$A,'SKU Repoprt'!H$1)</f>
        <v>0</v>
      </c>
      <c r="I546" s="16">
        <f>SUMIFS('Business - Dump'!$U:$U,'Business - Dump'!$D:$D,'SKU Repoprt'!$D546,'Business - Dump'!$A:$A,'SKU Repoprt'!I$1)</f>
        <v>0</v>
      </c>
      <c r="J546" s="16">
        <f>SUMIFS('Business - Dump'!$U:$U,'Business - Dump'!$D:$D,'SKU Repoprt'!$D546,'Business - Dump'!$A:$A,'SKU Repoprt'!J$1)</f>
        <v>0</v>
      </c>
      <c r="K546" s="16">
        <f>SUMIFS('Business - Dump'!$U:$U,'Business - Dump'!$D:$D,'SKU Repoprt'!$D546,'Business - Dump'!$A:$A,'SKU Repoprt'!K$1)</f>
        <v>65854.24</v>
      </c>
      <c r="L546" s="16">
        <f>SUMIFS('Business - Dump'!$U:$U,'Business - Dump'!$D:$D,'SKU Repoprt'!$D546,'Business - Dump'!$A:$A,'SKU Repoprt'!L$1)</f>
        <v>0</v>
      </c>
      <c r="M546" s="16">
        <f>SUMIFS('Business - Dump'!$U:$U,'Business - Dump'!$D:$D,'SKU Repoprt'!$D546,'Business - Dump'!$A:$A,'SKU Repoprt'!M$1)</f>
        <v>72000</v>
      </c>
      <c r="N546" s="16">
        <f>SUMIFS('Business - Dump'!$U:$U,'Business - Dump'!$D:$D,'SKU Repoprt'!$D546,'Business - Dump'!$A:$A,'SKU Repoprt'!N$1)</f>
        <v>22200</v>
      </c>
      <c r="O546" s="16">
        <f>SUMIFS('Business - Dump'!$U:$U,'Business - Dump'!$D:$D,'SKU Repoprt'!$D546,'Business - Dump'!$A:$A,'SKU Repoprt'!O$1)</f>
        <v>0</v>
      </c>
      <c r="P546" s="16">
        <f>SUMIFS('Business - Dump'!$U:$U,'Business - Dump'!$D:$D,'SKU Repoprt'!$D546,'Business - Dump'!$A:$A,'SKU Repoprt'!P$1)</f>
        <v>44900</v>
      </c>
      <c r="Q546" s="16">
        <f>SUMIFS('Business - Dump'!$U:$U,'Business - Dump'!$D:$D,'SKU Repoprt'!$D546,'Business - Dump'!$A:$A,'SKU Repoprt'!Q$1)</f>
        <v>83675.78</v>
      </c>
      <c r="R546" s="16">
        <f>SUMIFS('Business - Dump'!$U:$U,'Business - Dump'!$D:$D,'SKU Repoprt'!$D546,'Business - Dump'!$A:$A,'SKU Repoprt'!R$1)</f>
        <v>83625.17</v>
      </c>
      <c r="S546" s="16">
        <f>SUMIFS('Business - Dump'!$U:$U,'Business - Dump'!$D:$D,'SKU Repoprt'!$D546,'Business - Dump'!$A:$A,'SKU Repoprt'!S$1)</f>
        <v>0</v>
      </c>
      <c r="T546" s="16">
        <f>SUMIFS('Business - Dump'!$U:$U,'Business - Dump'!$D:$D,'SKU Repoprt'!$D546,'Business - Dump'!$A:$A,'SKU Repoprt'!T$1)</f>
        <v>0</v>
      </c>
      <c r="U546" s="16">
        <f>SUMIFS('Business - Dump'!$U:$U,'Business - Dump'!$D:$D,'SKU Repoprt'!$D546,'Business - Dump'!$A:$A,'SKU Repoprt'!U$1)</f>
        <v>43299.86</v>
      </c>
      <c r="V546" s="16">
        <f>SUMIFS('Business - Dump'!$U:$U,'Business - Dump'!$D:$D,'SKU Repoprt'!$D546,'Business - Dump'!$A:$A,'SKU Repoprt'!V$1)</f>
        <v>0</v>
      </c>
      <c r="W546" s="16">
        <f>SUMIFS('Business - Dump'!$U:$U,'Business - Dump'!$D:$D,'SKU Repoprt'!$D546,'Business - Dump'!$A:$A,'SKU Repoprt'!W$1)</f>
        <v>21471.86</v>
      </c>
    </row>
    <row r="547" ht="15.75" customHeight="1">
      <c r="A547" s="10" t="s">
        <v>134</v>
      </c>
      <c r="B547" s="10" t="s">
        <v>134</v>
      </c>
      <c r="C547" s="10"/>
      <c r="D547" s="10" t="s">
        <v>379</v>
      </c>
      <c r="E547" s="10" t="s">
        <v>29</v>
      </c>
      <c r="F547" s="17">
        <v>0.027042857142857143</v>
      </c>
      <c r="G547" s="17">
        <f t="shared" ref="G547:W547" si="182">IFERROR(G545/G542,0)</f>
        <v>0</v>
      </c>
      <c r="H547" s="17">
        <f t="shared" si="182"/>
        <v>0</v>
      </c>
      <c r="I547" s="17">
        <f t="shared" si="182"/>
        <v>0</v>
      </c>
      <c r="J547" s="17">
        <f t="shared" si="182"/>
        <v>0</v>
      </c>
      <c r="K547" s="17">
        <f t="shared" si="182"/>
        <v>0.01428571429</v>
      </c>
      <c r="L547" s="17">
        <f t="shared" si="182"/>
        <v>0</v>
      </c>
      <c r="M547" s="17">
        <f t="shared" si="182"/>
        <v>0.003619909502</v>
      </c>
      <c r="N547" s="17">
        <f t="shared" si="182"/>
        <v>0.001315789474</v>
      </c>
      <c r="O547" s="17">
        <f t="shared" si="182"/>
        <v>0</v>
      </c>
      <c r="P547" s="17">
        <f t="shared" si="182"/>
        <v>0.006369426752</v>
      </c>
      <c r="Q547" s="17">
        <f t="shared" si="182"/>
        <v>0.006884681583</v>
      </c>
      <c r="R547" s="17">
        <f t="shared" si="182"/>
        <v>0.01114206128</v>
      </c>
      <c r="S547" s="17">
        <f t="shared" si="182"/>
        <v>0</v>
      </c>
      <c r="T547" s="17">
        <f t="shared" si="182"/>
        <v>0</v>
      </c>
      <c r="U547" s="17">
        <f t="shared" si="182"/>
        <v>0.01136363636</v>
      </c>
      <c r="V547" s="17">
        <f t="shared" si="182"/>
        <v>0</v>
      </c>
      <c r="W547" s="17">
        <f t="shared" si="182"/>
        <v>0.001383125864</v>
      </c>
    </row>
    <row r="548" ht="15.75" customHeight="1">
      <c r="A548" s="10" t="s">
        <v>413</v>
      </c>
      <c r="B548" s="10" t="s">
        <v>413</v>
      </c>
      <c r="C548" s="10"/>
      <c r="D548" s="10" t="s">
        <v>423</v>
      </c>
      <c r="E548" s="10" t="s">
        <v>257</v>
      </c>
      <c r="F548" s="3">
        <f t="shared" ref="F548:F552" si="183">SUM(G548:S548)</f>
        <v>30</v>
      </c>
      <c r="G548" s="3">
        <f>SUMIFS('Business - Dump'!$G:$G,'Business - Dump'!$D:$D,'SKU Repoprt'!$D548,'Business - Dump'!$A:$A,'SKU Repoprt'!G$1)</f>
        <v>0</v>
      </c>
      <c r="H548" s="3">
        <f>SUMIFS('Business - Dump'!$G:$G,'Business - Dump'!$D:$D,'SKU Repoprt'!$D548,'Business - Dump'!$A:$A,'SKU Repoprt'!H$1)</f>
        <v>0</v>
      </c>
      <c r="I548" s="3">
        <f>SUMIFS('Business - Dump'!$G:$G,'Business - Dump'!$D:$D,'SKU Repoprt'!$D548,'Business - Dump'!$A:$A,'SKU Repoprt'!I$1)</f>
        <v>0</v>
      </c>
      <c r="J548" s="3">
        <f>SUMIFS('Business - Dump'!$G:$G,'Business - Dump'!$D:$D,'SKU Repoprt'!$D548,'Business - Dump'!$A:$A,'SKU Repoprt'!J$1)</f>
        <v>0</v>
      </c>
      <c r="K548" s="3">
        <f>SUMIFS('Business - Dump'!$G:$G,'Business - Dump'!$D:$D,'SKU Repoprt'!$D548,'Business - Dump'!$A:$A,'SKU Repoprt'!K$1)</f>
        <v>0</v>
      </c>
      <c r="L548" s="3">
        <f>SUMIFS('Business - Dump'!$G:$G,'Business - Dump'!$D:$D,'SKU Repoprt'!$D548,'Business - Dump'!$A:$A,'SKU Repoprt'!L$1)</f>
        <v>0</v>
      </c>
      <c r="M548" s="3">
        <f>SUMIFS('Business - Dump'!$G:$G,'Business - Dump'!$D:$D,'SKU Repoprt'!$D548,'Business - Dump'!$A:$A,'SKU Repoprt'!M$1)</f>
        <v>0</v>
      </c>
      <c r="N548" s="3">
        <f>SUMIFS('Business - Dump'!$G:$G,'Business - Dump'!$D:$D,'SKU Repoprt'!$D548,'Business - Dump'!$A:$A,'SKU Repoprt'!N$1)</f>
        <v>0</v>
      </c>
      <c r="O548" s="3">
        <f>SUMIFS('Business - Dump'!$G:$G,'Business - Dump'!$D:$D,'SKU Repoprt'!$D548,'Business - Dump'!$A:$A,'SKU Repoprt'!O$1)</f>
        <v>0</v>
      </c>
      <c r="P548" s="3">
        <f>SUMIFS('Business - Dump'!$G:$G,'Business - Dump'!$D:$D,'SKU Repoprt'!$D548,'Business - Dump'!$A:$A,'SKU Repoprt'!P$1)</f>
        <v>0</v>
      </c>
      <c r="Q548" s="3">
        <f>SUMIFS('Business - Dump'!$G:$G,'Business - Dump'!$D:$D,'SKU Repoprt'!$D548,'Business - Dump'!$A:$A,'SKU Repoprt'!Q$1)</f>
        <v>0</v>
      </c>
      <c r="R548" s="3">
        <f>SUMIFS('Business - Dump'!$G:$G,'Business - Dump'!$D:$D,'SKU Repoprt'!$D548,'Business - Dump'!$A:$A,'SKU Repoprt'!R$1)</f>
        <v>1</v>
      </c>
      <c r="S548" s="3">
        <f>SUMIFS('Business - Dump'!$G:$G,'Business - Dump'!$D:$D,'SKU Repoprt'!$D548,'Business - Dump'!$A:$A,'SKU Repoprt'!S$1)</f>
        <v>29</v>
      </c>
      <c r="T548" s="3">
        <f>SUMIFS('Business - Dump'!$G:$G,'Business - Dump'!$D:$D,'SKU Repoprt'!$D548,'Business - Dump'!$A:$A,'SKU Repoprt'!T$1)</f>
        <v>0</v>
      </c>
      <c r="U548" s="3">
        <f>SUMIFS('Business - Dump'!$G:$G,'Business - Dump'!$D:$D,'SKU Repoprt'!$D548,'Business - Dump'!$A:$A,'SKU Repoprt'!U$1)</f>
        <v>0</v>
      </c>
      <c r="V548" s="3">
        <f>SUMIFS('Business - Dump'!$G:$G,'Business - Dump'!$D:$D,'SKU Repoprt'!$D548,'Business - Dump'!$A:$A,'SKU Repoprt'!V$1)</f>
        <v>0</v>
      </c>
      <c r="W548" s="3">
        <f>SUMIFS('Business - Dump'!$G:$G,'Business - Dump'!$D:$D,'SKU Repoprt'!$D548,'Business - Dump'!$A:$A,'SKU Repoprt'!W$1)</f>
        <v>0</v>
      </c>
    </row>
    <row r="549" ht="15.75" customHeight="1">
      <c r="A549" s="10" t="s">
        <v>413</v>
      </c>
      <c r="B549" s="10" t="s">
        <v>413</v>
      </c>
      <c r="C549" s="10"/>
      <c r="D549" s="10" t="s">
        <v>423</v>
      </c>
      <c r="E549" s="10" t="s">
        <v>260</v>
      </c>
      <c r="F549" s="3">
        <f t="shared" si="183"/>
        <v>34</v>
      </c>
      <c r="G549" s="3">
        <f>SUMIFS('Business - Dump'!$K:$K,'Business - Dump'!$D:$D,'SKU Repoprt'!$D549,'Business - Dump'!$A:$A,'SKU Repoprt'!G$1)</f>
        <v>0</v>
      </c>
      <c r="H549" s="3">
        <f>SUMIFS('Business - Dump'!$K:$K,'Business - Dump'!$D:$D,'SKU Repoprt'!$D549,'Business - Dump'!$A:$A,'SKU Repoprt'!H$1)</f>
        <v>0</v>
      </c>
      <c r="I549" s="3">
        <f>SUMIFS('Business - Dump'!$K:$K,'Business - Dump'!$D:$D,'SKU Repoprt'!$D549,'Business - Dump'!$A:$A,'SKU Repoprt'!I$1)</f>
        <v>0</v>
      </c>
      <c r="J549" s="3">
        <f>SUMIFS('Business - Dump'!$K:$K,'Business - Dump'!$D:$D,'SKU Repoprt'!$D549,'Business - Dump'!$A:$A,'SKU Repoprt'!J$1)</f>
        <v>0</v>
      </c>
      <c r="K549" s="3">
        <f>SUMIFS('Business - Dump'!$K:$K,'Business - Dump'!$D:$D,'SKU Repoprt'!$D549,'Business - Dump'!$A:$A,'SKU Repoprt'!K$1)</f>
        <v>0</v>
      </c>
      <c r="L549" s="3">
        <f>SUMIFS('Business - Dump'!$K:$K,'Business - Dump'!$D:$D,'SKU Repoprt'!$D549,'Business - Dump'!$A:$A,'SKU Repoprt'!L$1)</f>
        <v>0</v>
      </c>
      <c r="M549" s="3">
        <f>SUMIFS('Business - Dump'!$K:$K,'Business - Dump'!$D:$D,'SKU Repoprt'!$D549,'Business - Dump'!$A:$A,'SKU Repoprt'!M$1)</f>
        <v>0</v>
      </c>
      <c r="N549" s="3">
        <f>SUMIFS('Business - Dump'!$K:$K,'Business - Dump'!$D:$D,'SKU Repoprt'!$D549,'Business - Dump'!$A:$A,'SKU Repoprt'!N$1)</f>
        <v>0</v>
      </c>
      <c r="O549" s="3">
        <f>SUMIFS('Business - Dump'!$K:$K,'Business - Dump'!$D:$D,'SKU Repoprt'!$D549,'Business - Dump'!$A:$A,'SKU Repoprt'!O$1)</f>
        <v>0</v>
      </c>
      <c r="P549" s="3">
        <f>SUMIFS('Business - Dump'!$K:$K,'Business - Dump'!$D:$D,'SKU Repoprt'!$D549,'Business - Dump'!$A:$A,'SKU Repoprt'!P$1)</f>
        <v>0</v>
      </c>
      <c r="Q549" s="3">
        <f>SUMIFS('Business - Dump'!$K:$K,'Business - Dump'!$D:$D,'SKU Repoprt'!$D549,'Business - Dump'!$A:$A,'SKU Repoprt'!Q$1)</f>
        <v>0</v>
      </c>
      <c r="R549" s="3">
        <f>SUMIFS('Business - Dump'!$K:$K,'Business - Dump'!$D:$D,'SKU Repoprt'!$D549,'Business - Dump'!$A:$A,'SKU Repoprt'!R$1)</f>
        <v>1</v>
      </c>
      <c r="S549" s="3">
        <f>SUMIFS('Business - Dump'!$K:$K,'Business - Dump'!$D:$D,'SKU Repoprt'!$D549,'Business - Dump'!$A:$A,'SKU Repoprt'!S$1)</f>
        <v>33</v>
      </c>
      <c r="T549" s="3">
        <f>SUMIFS('Business - Dump'!$K:$K,'Business - Dump'!$D:$D,'SKU Repoprt'!$D549,'Business - Dump'!$A:$A,'SKU Repoprt'!T$1)</f>
        <v>0</v>
      </c>
      <c r="U549" s="3">
        <f>SUMIFS('Business - Dump'!$K:$K,'Business - Dump'!$D:$D,'SKU Repoprt'!$D549,'Business - Dump'!$A:$A,'SKU Repoprt'!U$1)</f>
        <v>0</v>
      </c>
      <c r="V549" s="3">
        <f>SUMIFS('Business - Dump'!$K:$K,'Business - Dump'!$D:$D,'SKU Repoprt'!$D549,'Business - Dump'!$A:$A,'SKU Repoprt'!V$1)</f>
        <v>0</v>
      </c>
      <c r="W549" s="3">
        <f>SUMIFS('Business - Dump'!$K:$K,'Business - Dump'!$D:$D,'SKU Repoprt'!$D549,'Business - Dump'!$A:$A,'SKU Repoprt'!W$1)</f>
        <v>0</v>
      </c>
    </row>
    <row r="550" ht="15.75" customHeight="1">
      <c r="A550" s="10" t="s">
        <v>413</v>
      </c>
      <c r="B550" s="10" t="s">
        <v>413</v>
      </c>
      <c r="C550" s="10"/>
      <c r="D550" s="10" t="s">
        <v>423</v>
      </c>
      <c r="E550" s="10" t="s">
        <v>264</v>
      </c>
      <c r="F550" s="3">
        <f t="shared" si="183"/>
        <v>0</v>
      </c>
      <c r="G550" s="3">
        <f>SUMIFS('Business - Dump'!$Q:$Q,'Business - Dump'!$D:$D,'SKU Repoprt'!$D550,'Business - Dump'!$A:$A,'SKU Repoprt'!G$1)</f>
        <v>0</v>
      </c>
      <c r="H550" s="3">
        <f>SUMIFS('Business - Dump'!$Q:$Q,'Business - Dump'!$D:$D,'SKU Repoprt'!$D550,'Business - Dump'!$A:$A,'SKU Repoprt'!H$1)</f>
        <v>0</v>
      </c>
      <c r="I550" s="3">
        <f>SUMIFS('Business - Dump'!$Q:$Q,'Business - Dump'!$D:$D,'SKU Repoprt'!$D550,'Business - Dump'!$A:$A,'SKU Repoprt'!I$1)</f>
        <v>0</v>
      </c>
      <c r="J550" s="3">
        <f>SUMIFS('Business - Dump'!$Q:$Q,'Business - Dump'!$D:$D,'SKU Repoprt'!$D550,'Business - Dump'!$A:$A,'SKU Repoprt'!J$1)</f>
        <v>0</v>
      </c>
      <c r="K550" s="3">
        <f>SUMIFS('Business - Dump'!$Q:$Q,'Business - Dump'!$D:$D,'SKU Repoprt'!$D550,'Business - Dump'!$A:$A,'SKU Repoprt'!K$1)</f>
        <v>0</v>
      </c>
      <c r="L550" s="3">
        <f>SUMIFS('Business - Dump'!$Q:$Q,'Business - Dump'!$D:$D,'SKU Repoprt'!$D550,'Business - Dump'!$A:$A,'SKU Repoprt'!L$1)</f>
        <v>0</v>
      </c>
      <c r="M550" s="3">
        <f>SUMIFS('Business - Dump'!$Q:$Q,'Business - Dump'!$D:$D,'SKU Repoprt'!$D550,'Business - Dump'!$A:$A,'SKU Repoprt'!M$1)</f>
        <v>0</v>
      </c>
      <c r="N550" s="3">
        <f>SUMIFS('Business - Dump'!$Q:$Q,'Business - Dump'!$D:$D,'SKU Repoprt'!$D550,'Business - Dump'!$A:$A,'SKU Repoprt'!N$1)</f>
        <v>0</v>
      </c>
      <c r="O550" s="3">
        <f>SUMIFS('Business - Dump'!$Q:$Q,'Business - Dump'!$D:$D,'SKU Repoprt'!$D550,'Business - Dump'!$A:$A,'SKU Repoprt'!O$1)</f>
        <v>0</v>
      </c>
      <c r="P550" s="3">
        <f>SUMIFS('Business - Dump'!$Q:$Q,'Business - Dump'!$D:$D,'SKU Repoprt'!$D550,'Business - Dump'!$A:$A,'SKU Repoprt'!P$1)</f>
        <v>0</v>
      </c>
      <c r="Q550" s="3">
        <f>SUMIFS('Business - Dump'!$Q:$Q,'Business - Dump'!$D:$D,'SKU Repoprt'!$D550,'Business - Dump'!$A:$A,'SKU Repoprt'!Q$1)</f>
        <v>0</v>
      </c>
      <c r="R550" s="3">
        <f>SUMIFS('Business - Dump'!$Q:$Q,'Business - Dump'!$D:$D,'SKU Repoprt'!$D550,'Business - Dump'!$A:$A,'SKU Repoprt'!R$1)</f>
        <v>0</v>
      </c>
      <c r="S550" s="3">
        <f>SUMIFS('Business - Dump'!$Q:$Q,'Business - Dump'!$D:$D,'SKU Repoprt'!$D550,'Business - Dump'!$A:$A,'SKU Repoprt'!S$1)</f>
        <v>0</v>
      </c>
      <c r="T550" s="3">
        <f>SUMIFS('Business - Dump'!$Q:$Q,'Business - Dump'!$D:$D,'SKU Repoprt'!$D550,'Business - Dump'!$A:$A,'SKU Repoprt'!T$1)</f>
        <v>0</v>
      </c>
      <c r="U550" s="3">
        <f>SUMIFS('Business - Dump'!$Q:$Q,'Business - Dump'!$D:$D,'SKU Repoprt'!$D550,'Business - Dump'!$A:$A,'SKU Repoprt'!U$1)</f>
        <v>0</v>
      </c>
      <c r="V550" s="3">
        <f>SUMIFS('Business - Dump'!$Q:$Q,'Business - Dump'!$D:$D,'SKU Repoprt'!$D550,'Business - Dump'!$A:$A,'SKU Repoprt'!V$1)</f>
        <v>0</v>
      </c>
      <c r="W550" s="3">
        <f>SUMIFS('Business - Dump'!$Q:$Q,'Business - Dump'!$D:$D,'SKU Repoprt'!$D550,'Business - Dump'!$A:$A,'SKU Repoprt'!W$1)</f>
        <v>0</v>
      </c>
    </row>
    <row r="551" ht="15.75" customHeight="1">
      <c r="A551" s="10" t="s">
        <v>413</v>
      </c>
      <c r="B551" s="10" t="s">
        <v>413</v>
      </c>
      <c r="C551" s="10"/>
      <c r="D551" s="10" t="s">
        <v>423</v>
      </c>
      <c r="E551" s="10" t="s">
        <v>268</v>
      </c>
      <c r="F551" s="3">
        <f t="shared" si="183"/>
        <v>0</v>
      </c>
      <c r="G551" s="3">
        <f>SUMIFS('Business - Dump'!$W:$W,'Business - Dump'!$D:$D,'SKU Repoprt'!$D551,'Business - Dump'!$A:$A,'SKU Repoprt'!G$1)</f>
        <v>0</v>
      </c>
      <c r="H551" s="3">
        <f>SUMIFS('Business - Dump'!$W:$W,'Business - Dump'!$D:$D,'SKU Repoprt'!$D551,'Business - Dump'!$A:$A,'SKU Repoprt'!H$1)</f>
        <v>0</v>
      </c>
      <c r="I551" s="3">
        <f>SUMIFS('Business - Dump'!$W:$W,'Business - Dump'!$D:$D,'SKU Repoprt'!$D551,'Business - Dump'!$A:$A,'SKU Repoprt'!I$1)</f>
        <v>0</v>
      </c>
      <c r="J551" s="3">
        <f>SUMIFS('Business - Dump'!$W:$W,'Business - Dump'!$D:$D,'SKU Repoprt'!$D551,'Business - Dump'!$A:$A,'SKU Repoprt'!J$1)</f>
        <v>0</v>
      </c>
      <c r="K551" s="3">
        <f>SUMIFS('Business - Dump'!$W:$W,'Business - Dump'!$D:$D,'SKU Repoprt'!$D551,'Business - Dump'!$A:$A,'SKU Repoprt'!K$1)</f>
        <v>0</v>
      </c>
      <c r="L551" s="3">
        <f>SUMIFS('Business - Dump'!$W:$W,'Business - Dump'!$D:$D,'SKU Repoprt'!$D551,'Business - Dump'!$A:$A,'SKU Repoprt'!L$1)</f>
        <v>0</v>
      </c>
      <c r="M551" s="3">
        <f>SUMIFS('Business - Dump'!$W:$W,'Business - Dump'!$D:$D,'SKU Repoprt'!$D551,'Business - Dump'!$A:$A,'SKU Repoprt'!M$1)</f>
        <v>0</v>
      </c>
      <c r="N551" s="3">
        <f>SUMIFS('Business - Dump'!$W:$W,'Business - Dump'!$D:$D,'SKU Repoprt'!$D551,'Business - Dump'!$A:$A,'SKU Repoprt'!N$1)</f>
        <v>0</v>
      </c>
      <c r="O551" s="3">
        <f>SUMIFS('Business - Dump'!$W:$W,'Business - Dump'!$D:$D,'SKU Repoprt'!$D551,'Business - Dump'!$A:$A,'SKU Repoprt'!O$1)</f>
        <v>0</v>
      </c>
      <c r="P551" s="3">
        <f>SUMIFS('Business - Dump'!$W:$W,'Business - Dump'!$D:$D,'SKU Repoprt'!$D551,'Business - Dump'!$A:$A,'SKU Repoprt'!P$1)</f>
        <v>0</v>
      </c>
      <c r="Q551" s="3">
        <f>SUMIFS('Business - Dump'!$W:$W,'Business - Dump'!$D:$D,'SKU Repoprt'!$D551,'Business - Dump'!$A:$A,'SKU Repoprt'!Q$1)</f>
        <v>0</v>
      </c>
      <c r="R551" s="3">
        <f>SUMIFS('Business - Dump'!$W:$W,'Business - Dump'!$D:$D,'SKU Repoprt'!$D551,'Business - Dump'!$A:$A,'SKU Repoprt'!R$1)</f>
        <v>0</v>
      </c>
      <c r="S551" s="3">
        <f>SUMIFS('Business - Dump'!$W:$W,'Business - Dump'!$D:$D,'SKU Repoprt'!$D551,'Business - Dump'!$A:$A,'SKU Repoprt'!S$1)</f>
        <v>0</v>
      </c>
      <c r="T551" s="3">
        <f>SUMIFS('Business - Dump'!$W:$W,'Business - Dump'!$D:$D,'SKU Repoprt'!$D551,'Business - Dump'!$A:$A,'SKU Repoprt'!T$1)</f>
        <v>0</v>
      </c>
      <c r="U551" s="3">
        <f>SUMIFS('Business - Dump'!$W:$W,'Business - Dump'!$D:$D,'SKU Repoprt'!$D551,'Business - Dump'!$A:$A,'SKU Repoprt'!U$1)</f>
        <v>0</v>
      </c>
      <c r="V551" s="3">
        <f>SUMIFS('Business - Dump'!$W:$W,'Business - Dump'!$D:$D,'SKU Repoprt'!$D551,'Business - Dump'!$A:$A,'SKU Repoprt'!V$1)</f>
        <v>0</v>
      </c>
      <c r="W551" s="3">
        <f>SUMIFS('Business - Dump'!$W:$W,'Business - Dump'!$D:$D,'SKU Repoprt'!$D551,'Business - Dump'!$A:$A,'SKU Repoprt'!W$1)</f>
        <v>0</v>
      </c>
    </row>
    <row r="552" ht="15.75" customHeight="1">
      <c r="A552" s="10" t="s">
        <v>413</v>
      </c>
      <c r="B552" s="10" t="s">
        <v>413</v>
      </c>
      <c r="C552" s="10"/>
      <c r="D552" s="10" t="s">
        <v>423</v>
      </c>
      <c r="E552" s="10" t="s">
        <v>26</v>
      </c>
      <c r="F552" s="16">
        <f t="shared" si="183"/>
        <v>0</v>
      </c>
      <c r="G552" s="16">
        <f>SUMIFS('Business - Dump'!$U:$U,'Business - Dump'!$D:$D,'SKU Repoprt'!$D552,'Business - Dump'!$A:$A,'SKU Repoprt'!G$1)</f>
        <v>0</v>
      </c>
      <c r="H552" s="16">
        <f>SUMIFS('Business - Dump'!$U:$U,'Business - Dump'!$D:$D,'SKU Repoprt'!$D552,'Business - Dump'!$A:$A,'SKU Repoprt'!H$1)</f>
        <v>0</v>
      </c>
      <c r="I552" s="16">
        <f>SUMIFS('Business - Dump'!$U:$U,'Business - Dump'!$D:$D,'SKU Repoprt'!$D552,'Business - Dump'!$A:$A,'SKU Repoprt'!I$1)</f>
        <v>0</v>
      </c>
      <c r="J552" s="16">
        <f>SUMIFS('Business - Dump'!$U:$U,'Business - Dump'!$D:$D,'SKU Repoprt'!$D552,'Business - Dump'!$A:$A,'SKU Repoprt'!J$1)</f>
        <v>0</v>
      </c>
      <c r="K552" s="16">
        <f>SUMIFS('Business - Dump'!$U:$U,'Business - Dump'!$D:$D,'SKU Repoprt'!$D552,'Business - Dump'!$A:$A,'SKU Repoprt'!K$1)</f>
        <v>0</v>
      </c>
      <c r="L552" s="16">
        <f>SUMIFS('Business - Dump'!$U:$U,'Business - Dump'!$D:$D,'SKU Repoprt'!$D552,'Business - Dump'!$A:$A,'SKU Repoprt'!L$1)</f>
        <v>0</v>
      </c>
      <c r="M552" s="16">
        <f>SUMIFS('Business - Dump'!$U:$U,'Business - Dump'!$D:$D,'SKU Repoprt'!$D552,'Business - Dump'!$A:$A,'SKU Repoprt'!M$1)</f>
        <v>0</v>
      </c>
      <c r="N552" s="16">
        <f>SUMIFS('Business - Dump'!$U:$U,'Business - Dump'!$D:$D,'SKU Repoprt'!$D552,'Business - Dump'!$A:$A,'SKU Repoprt'!N$1)</f>
        <v>0</v>
      </c>
      <c r="O552" s="16">
        <f>SUMIFS('Business - Dump'!$U:$U,'Business - Dump'!$D:$D,'SKU Repoprt'!$D552,'Business - Dump'!$A:$A,'SKU Repoprt'!O$1)</f>
        <v>0</v>
      </c>
      <c r="P552" s="16">
        <f>SUMIFS('Business - Dump'!$U:$U,'Business - Dump'!$D:$D,'SKU Repoprt'!$D552,'Business - Dump'!$A:$A,'SKU Repoprt'!P$1)</f>
        <v>0</v>
      </c>
      <c r="Q552" s="16">
        <f>SUMIFS('Business - Dump'!$U:$U,'Business - Dump'!$D:$D,'SKU Repoprt'!$D552,'Business - Dump'!$A:$A,'SKU Repoprt'!Q$1)</f>
        <v>0</v>
      </c>
      <c r="R552" s="16">
        <f>SUMIFS('Business - Dump'!$U:$U,'Business - Dump'!$D:$D,'SKU Repoprt'!$D552,'Business - Dump'!$A:$A,'SKU Repoprt'!R$1)</f>
        <v>0</v>
      </c>
      <c r="S552" s="16">
        <f>SUMIFS('Business - Dump'!$U:$U,'Business - Dump'!$D:$D,'SKU Repoprt'!$D552,'Business - Dump'!$A:$A,'SKU Repoprt'!S$1)</f>
        <v>0</v>
      </c>
      <c r="T552" s="16">
        <f>SUMIFS('Business - Dump'!$U:$U,'Business - Dump'!$D:$D,'SKU Repoprt'!$D552,'Business - Dump'!$A:$A,'SKU Repoprt'!T$1)</f>
        <v>0</v>
      </c>
      <c r="U552" s="16">
        <f>SUMIFS('Business - Dump'!$U:$U,'Business - Dump'!$D:$D,'SKU Repoprt'!$D552,'Business - Dump'!$A:$A,'SKU Repoprt'!U$1)</f>
        <v>0</v>
      </c>
      <c r="V552" s="16">
        <f>SUMIFS('Business - Dump'!$U:$U,'Business - Dump'!$D:$D,'SKU Repoprt'!$D552,'Business - Dump'!$A:$A,'SKU Repoprt'!V$1)</f>
        <v>0</v>
      </c>
      <c r="W552" s="16">
        <f>SUMIFS('Business - Dump'!$U:$U,'Business - Dump'!$D:$D,'SKU Repoprt'!$D552,'Business - Dump'!$A:$A,'SKU Repoprt'!W$1)</f>
        <v>0</v>
      </c>
    </row>
    <row r="553" ht="15.75" customHeight="1">
      <c r="A553" s="10" t="s">
        <v>413</v>
      </c>
      <c r="B553" s="10" t="s">
        <v>413</v>
      </c>
      <c r="C553" s="10"/>
      <c r="D553" s="10" t="s">
        <v>423</v>
      </c>
      <c r="E553" s="10" t="s">
        <v>29</v>
      </c>
      <c r="F553" s="17">
        <v>0.027042857142857143</v>
      </c>
      <c r="G553" s="17">
        <f t="shared" ref="G553:W553" si="184">IFERROR(G551/G548,0)</f>
        <v>0</v>
      </c>
      <c r="H553" s="17">
        <f t="shared" si="184"/>
        <v>0</v>
      </c>
      <c r="I553" s="17">
        <f t="shared" si="184"/>
        <v>0</v>
      </c>
      <c r="J553" s="17">
        <f t="shared" si="184"/>
        <v>0</v>
      </c>
      <c r="K553" s="17">
        <f t="shared" si="184"/>
        <v>0</v>
      </c>
      <c r="L553" s="17">
        <f t="shared" si="184"/>
        <v>0</v>
      </c>
      <c r="M553" s="17">
        <f t="shared" si="184"/>
        <v>0</v>
      </c>
      <c r="N553" s="17">
        <f t="shared" si="184"/>
        <v>0</v>
      </c>
      <c r="O553" s="17">
        <f t="shared" si="184"/>
        <v>0</v>
      </c>
      <c r="P553" s="17">
        <f t="shared" si="184"/>
        <v>0</v>
      </c>
      <c r="Q553" s="17">
        <f t="shared" si="184"/>
        <v>0</v>
      </c>
      <c r="R553" s="17">
        <f t="shared" si="184"/>
        <v>0</v>
      </c>
      <c r="S553" s="17">
        <f t="shared" si="184"/>
        <v>0</v>
      </c>
      <c r="T553" s="17">
        <f t="shared" si="184"/>
        <v>0</v>
      </c>
      <c r="U553" s="17">
        <f t="shared" si="184"/>
        <v>0</v>
      </c>
      <c r="V553" s="17">
        <f t="shared" si="184"/>
        <v>0</v>
      </c>
      <c r="W553" s="17">
        <f t="shared" si="184"/>
        <v>0</v>
      </c>
    </row>
    <row r="554" ht="15.75" customHeight="1">
      <c r="A554" s="10" t="s">
        <v>413</v>
      </c>
      <c r="B554" s="10" t="s">
        <v>413</v>
      </c>
      <c r="C554" s="10"/>
      <c r="D554" s="10" t="s">
        <v>424</v>
      </c>
      <c r="E554" s="10" t="s">
        <v>257</v>
      </c>
      <c r="F554" s="3">
        <f t="shared" ref="F554:F558" si="185">SUM(G554:S554)</f>
        <v>48</v>
      </c>
      <c r="G554" s="3">
        <f>SUMIFS('Business - Dump'!$G:$G,'Business - Dump'!$D:$D,'SKU Repoprt'!$D554,'Business - Dump'!$A:$A,'SKU Repoprt'!G$1)</f>
        <v>0</v>
      </c>
      <c r="H554" s="3">
        <f>SUMIFS('Business - Dump'!$G:$G,'Business - Dump'!$D:$D,'SKU Repoprt'!$D554,'Business - Dump'!$A:$A,'SKU Repoprt'!H$1)</f>
        <v>0</v>
      </c>
      <c r="I554" s="3">
        <f>SUMIFS('Business - Dump'!$G:$G,'Business - Dump'!$D:$D,'SKU Repoprt'!$D554,'Business - Dump'!$A:$A,'SKU Repoprt'!I$1)</f>
        <v>0</v>
      </c>
      <c r="J554" s="3">
        <f>SUMIFS('Business - Dump'!$G:$G,'Business - Dump'!$D:$D,'SKU Repoprt'!$D554,'Business - Dump'!$A:$A,'SKU Repoprt'!J$1)</f>
        <v>0</v>
      </c>
      <c r="K554" s="3">
        <f>SUMIFS('Business - Dump'!$G:$G,'Business - Dump'!$D:$D,'SKU Repoprt'!$D554,'Business - Dump'!$A:$A,'SKU Repoprt'!K$1)</f>
        <v>0</v>
      </c>
      <c r="L554" s="3">
        <f>SUMIFS('Business - Dump'!$G:$G,'Business - Dump'!$D:$D,'SKU Repoprt'!$D554,'Business - Dump'!$A:$A,'SKU Repoprt'!L$1)</f>
        <v>0</v>
      </c>
      <c r="M554" s="3">
        <f>SUMIFS('Business - Dump'!$G:$G,'Business - Dump'!$D:$D,'SKU Repoprt'!$D554,'Business - Dump'!$A:$A,'SKU Repoprt'!M$1)</f>
        <v>0</v>
      </c>
      <c r="N554" s="3">
        <f>SUMIFS('Business - Dump'!$G:$G,'Business - Dump'!$D:$D,'SKU Repoprt'!$D554,'Business - Dump'!$A:$A,'SKU Repoprt'!N$1)</f>
        <v>0</v>
      </c>
      <c r="O554" s="3">
        <f>SUMIFS('Business - Dump'!$G:$G,'Business - Dump'!$D:$D,'SKU Repoprt'!$D554,'Business - Dump'!$A:$A,'SKU Repoprt'!O$1)</f>
        <v>0</v>
      </c>
      <c r="P554" s="3">
        <f>SUMIFS('Business - Dump'!$G:$G,'Business - Dump'!$D:$D,'SKU Repoprt'!$D554,'Business - Dump'!$A:$A,'SKU Repoprt'!P$1)</f>
        <v>0</v>
      </c>
      <c r="Q554" s="3">
        <f>SUMIFS('Business - Dump'!$G:$G,'Business - Dump'!$D:$D,'SKU Repoprt'!$D554,'Business - Dump'!$A:$A,'SKU Repoprt'!Q$1)</f>
        <v>0</v>
      </c>
      <c r="R554" s="3">
        <f>SUMIFS('Business - Dump'!$G:$G,'Business - Dump'!$D:$D,'SKU Repoprt'!$D554,'Business - Dump'!$A:$A,'SKU Repoprt'!R$1)</f>
        <v>2</v>
      </c>
      <c r="S554" s="3">
        <f>SUMIFS('Business - Dump'!$G:$G,'Business - Dump'!$D:$D,'SKU Repoprt'!$D554,'Business - Dump'!$A:$A,'SKU Repoprt'!S$1)</f>
        <v>46</v>
      </c>
      <c r="T554" s="3">
        <f>SUMIFS('Business - Dump'!$G:$G,'Business - Dump'!$D:$D,'SKU Repoprt'!$D554,'Business - Dump'!$A:$A,'SKU Repoprt'!T$1)</f>
        <v>0</v>
      </c>
      <c r="U554" s="3">
        <f>SUMIFS('Business - Dump'!$G:$G,'Business - Dump'!$D:$D,'SKU Repoprt'!$D554,'Business - Dump'!$A:$A,'SKU Repoprt'!U$1)</f>
        <v>0</v>
      </c>
      <c r="V554" s="3">
        <f>SUMIFS('Business - Dump'!$G:$G,'Business - Dump'!$D:$D,'SKU Repoprt'!$D554,'Business - Dump'!$A:$A,'SKU Repoprt'!V$1)</f>
        <v>0</v>
      </c>
      <c r="W554" s="3">
        <f>SUMIFS('Business - Dump'!$G:$G,'Business - Dump'!$D:$D,'SKU Repoprt'!$D554,'Business - Dump'!$A:$A,'SKU Repoprt'!W$1)</f>
        <v>0</v>
      </c>
    </row>
    <row r="555" ht="15.75" customHeight="1">
      <c r="A555" s="10" t="s">
        <v>413</v>
      </c>
      <c r="B555" s="10" t="s">
        <v>413</v>
      </c>
      <c r="C555" s="10"/>
      <c r="D555" s="10" t="s">
        <v>424</v>
      </c>
      <c r="E555" s="10" t="s">
        <v>260</v>
      </c>
      <c r="F555" s="3">
        <f t="shared" si="185"/>
        <v>62</v>
      </c>
      <c r="G555" s="3">
        <f>SUMIFS('Business - Dump'!$K:$K,'Business - Dump'!$D:$D,'SKU Repoprt'!$D555,'Business - Dump'!$A:$A,'SKU Repoprt'!G$1)</f>
        <v>0</v>
      </c>
      <c r="H555" s="3">
        <f>SUMIFS('Business - Dump'!$K:$K,'Business - Dump'!$D:$D,'SKU Repoprt'!$D555,'Business - Dump'!$A:$A,'SKU Repoprt'!H$1)</f>
        <v>0</v>
      </c>
      <c r="I555" s="3">
        <f>SUMIFS('Business - Dump'!$K:$K,'Business - Dump'!$D:$D,'SKU Repoprt'!$D555,'Business - Dump'!$A:$A,'SKU Repoprt'!I$1)</f>
        <v>0</v>
      </c>
      <c r="J555" s="3">
        <f>SUMIFS('Business - Dump'!$K:$K,'Business - Dump'!$D:$D,'SKU Repoprt'!$D555,'Business - Dump'!$A:$A,'SKU Repoprt'!J$1)</f>
        <v>0</v>
      </c>
      <c r="K555" s="3">
        <f>SUMIFS('Business - Dump'!$K:$K,'Business - Dump'!$D:$D,'SKU Repoprt'!$D555,'Business - Dump'!$A:$A,'SKU Repoprt'!K$1)</f>
        <v>0</v>
      </c>
      <c r="L555" s="3">
        <f>SUMIFS('Business - Dump'!$K:$K,'Business - Dump'!$D:$D,'SKU Repoprt'!$D555,'Business - Dump'!$A:$A,'SKU Repoprt'!L$1)</f>
        <v>0</v>
      </c>
      <c r="M555" s="3">
        <f>SUMIFS('Business - Dump'!$K:$K,'Business - Dump'!$D:$D,'SKU Repoprt'!$D555,'Business - Dump'!$A:$A,'SKU Repoprt'!M$1)</f>
        <v>0</v>
      </c>
      <c r="N555" s="3">
        <f>SUMIFS('Business - Dump'!$K:$K,'Business - Dump'!$D:$D,'SKU Repoprt'!$D555,'Business - Dump'!$A:$A,'SKU Repoprt'!N$1)</f>
        <v>0</v>
      </c>
      <c r="O555" s="3">
        <f>SUMIFS('Business - Dump'!$K:$K,'Business - Dump'!$D:$D,'SKU Repoprt'!$D555,'Business - Dump'!$A:$A,'SKU Repoprt'!O$1)</f>
        <v>0</v>
      </c>
      <c r="P555" s="3">
        <f>SUMIFS('Business - Dump'!$K:$K,'Business - Dump'!$D:$D,'SKU Repoprt'!$D555,'Business - Dump'!$A:$A,'SKU Repoprt'!P$1)</f>
        <v>0</v>
      </c>
      <c r="Q555" s="3">
        <f>SUMIFS('Business - Dump'!$K:$K,'Business - Dump'!$D:$D,'SKU Repoprt'!$D555,'Business - Dump'!$A:$A,'SKU Repoprt'!Q$1)</f>
        <v>0</v>
      </c>
      <c r="R555" s="3">
        <f>SUMIFS('Business - Dump'!$K:$K,'Business - Dump'!$D:$D,'SKU Repoprt'!$D555,'Business - Dump'!$A:$A,'SKU Repoprt'!R$1)</f>
        <v>2</v>
      </c>
      <c r="S555" s="3">
        <f>SUMIFS('Business - Dump'!$K:$K,'Business - Dump'!$D:$D,'SKU Repoprt'!$D555,'Business - Dump'!$A:$A,'SKU Repoprt'!S$1)</f>
        <v>60</v>
      </c>
      <c r="T555" s="3">
        <f>SUMIFS('Business - Dump'!$K:$K,'Business - Dump'!$D:$D,'SKU Repoprt'!$D555,'Business - Dump'!$A:$A,'SKU Repoprt'!T$1)</f>
        <v>0</v>
      </c>
      <c r="U555" s="3">
        <f>SUMIFS('Business - Dump'!$K:$K,'Business - Dump'!$D:$D,'SKU Repoprt'!$D555,'Business - Dump'!$A:$A,'SKU Repoprt'!U$1)</f>
        <v>0</v>
      </c>
      <c r="V555" s="3">
        <f>SUMIFS('Business - Dump'!$K:$K,'Business - Dump'!$D:$D,'SKU Repoprt'!$D555,'Business - Dump'!$A:$A,'SKU Repoprt'!V$1)</f>
        <v>0</v>
      </c>
      <c r="W555" s="3">
        <f>SUMIFS('Business - Dump'!$K:$K,'Business - Dump'!$D:$D,'SKU Repoprt'!$D555,'Business - Dump'!$A:$A,'SKU Repoprt'!W$1)</f>
        <v>0</v>
      </c>
    </row>
    <row r="556" ht="15.75" customHeight="1">
      <c r="A556" s="10" t="s">
        <v>413</v>
      </c>
      <c r="B556" s="10" t="s">
        <v>413</v>
      </c>
      <c r="C556" s="10"/>
      <c r="D556" s="10" t="s">
        <v>424</v>
      </c>
      <c r="E556" s="10" t="s">
        <v>264</v>
      </c>
      <c r="F556" s="3">
        <f t="shared" si="185"/>
        <v>0</v>
      </c>
      <c r="G556" s="3">
        <f>SUMIFS('Business - Dump'!$Q:$Q,'Business - Dump'!$D:$D,'SKU Repoprt'!$D556,'Business - Dump'!$A:$A,'SKU Repoprt'!G$1)</f>
        <v>0</v>
      </c>
      <c r="H556" s="3">
        <f>SUMIFS('Business - Dump'!$Q:$Q,'Business - Dump'!$D:$D,'SKU Repoprt'!$D556,'Business - Dump'!$A:$A,'SKU Repoprt'!H$1)</f>
        <v>0</v>
      </c>
      <c r="I556" s="3">
        <f>SUMIFS('Business - Dump'!$Q:$Q,'Business - Dump'!$D:$D,'SKU Repoprt'!$D556,'Business - Dump'!$A:$A,'SKU Repoprt'!I$1)</f>
        <v>0</v>
      </c>
      <c r="J556" s="3">
        <f>SUMIFS('Business - Dump'!$Q:$Q,'Business - Dump'!$D:$D,'SKU Repoprt'!$D556,'Business - Dump'!$A:$A,'SKU Repoprt'!J$1)</f>
        <v>0</v>
      </c>
      <c r="K556" s="3">
        <f>SUMIFS('Business - Dump'!$Q:$Q,'Business - Dump'!$D:$D,'SKU Repoprt'!$D556,'Business - Dump'!$A:$A,'SKU Repoprt'!K$1)</f>
        <v>0</v>
      </c>
      <c r="L556" s="3">
        <f>SUMIFS('Business - Dump'!$Q:$Q,'Business - Dump'!$D:$D,'SKU Repoprt'!$D556,'Business - Dump'!$A:$A,'SKU Repoprt'!L$1)</f>
        <v>0</v>
      </c>
      <c r="M556" s="3">
        <f>SUMIFS('Business - Dump'!$Q:$Q,'Business - Dump'!$D:$D,'SKU Repoprt'!$D556,'Business - Dump'!$A:$A,'SKU Repoprt'!M$1)</f>
        <v>0</v>
      </c>
      <c r="N556" s="3">
        <f>SUMIFS('Business - Dump'!$Q:$Q,'Business - Dump'!$D:$D,'SKU Repoprt'!$D556,'Business - Dump'!$A:$A,'SKU Repoprt'!N$1)</f>
        <v>0</v>
      </c>
      <c r="O556" s="3">
        <f>SUMIFS('Business - Dump'!$Q:$Q,'Business - Dump'!$D:$D,'SKU Repoprt'!$D556,'Business - Dump'!$A:$A,'SKU Repoprt'!O$1)</f>
        <v>0</v>
      </c>
      <c r="P556" s="3">
        <f>SUMIFS('Business - Dump'!$Q:$Q,'Business - Dump'!$D:$D,'SKU Repoprt'!$D556,'Business - Dump'!$A:$A,'SKU Repoprt'!P$1)</f>
        <v>0</v>
      </c>
      <c r="Q556" s="3">
        <f>SUMIFS('Business - Dump'!$Q:$Q,'Business - Dump'!$D:$D,'SKU Repoprt'!$D556,'Business - Dump'!$A:$A,'SKU Repoprt'!Q$1)</f>
        <v>0</v>
      </c>
      <c r="R556" s="3">
        <f>SUMIFS('Business - Dump'!$Q:$Q,'Business - Dump'!$D:$D,'SKU Repoprt'!$D556,'Business - Dump'!$A:$A,'SKU Repoprt'!R$1)</f>
        <v>0</v>
      </c>
      <c r="S556" s="3">
        <f>SUMIFS('Business - Dump'!$Q:$Q,'Business - Dump'!$D:$D,'SKU Repoprt'!$D556,'Business - Dump'!$A:$A,'SKU Repoprt'!S$1)</f>
        <v>0</v>
      </c>
      <c r="T556" s="3">
        <f>SUMIFS('Business - Dump'!$Q:$Q,'Business - Dump'!$D:$D,'SKU Repoprt'!$D556,'Business - Dump'!$A:$A,'SKU Repoprt'!T$1)</f>
        <v>0</v>
      </c>
      <c r="U556" s="3">
        <f>SUMIFS('Business - Dump'!$Q:$Q,'Business - Dump'!$D:$D,'SKU Repoprt'!$D556,'Business - Dump'!$A:$A,'SKU Repoprt'!U$1)</f>
        <v>0</v>
      </c>
      <c r="V556" s="3">
        <f>SUMIFS('Business - Dump'!$Q:$Q,'Business - Dump'!$D:$D,'SKU Repoprt'!$D556,'Business - Dump'!$A:$A,'SKU Repoprt'!V$1)</f>
        <v>0</v>
      </c>
      <c r="W556" s="3">
        <f>SUMIFS('Business - Dump'!$Q:$Q,'Business - Dump'!$D:$D,'SKU Repoprt'!$D556,'Business - Dump'!$A:$A,'SKU Repoprt'!W$1)</f>
        <v>0</v>
      </c>
    </row>
    <row r="557" ht="15.75" customHeight="1">
      <c r="A557" s="10" t="s">
        <v>413</v>
      </c>
      <c r="B557" s="10" t="s">
        <v>413</v>
      </c>
      <c r="C557" s="10"/>
      <c r="D557" s="10" t="s">
        <v>424</v>
      </c>
      <c r="E557" s="10" t="s">
        <v>268</v>
      </c>
      <c r="F557" s="3">
        <f t="shared" si="185"/>
        <v>0</v>
      </c>
      <c r="G557" s="3">
        <f>SUMIFS('Business - Dump'!$W:$W,'Business - Dump'!$D:$D,'SKU Repoprt'!$D557,'Business - Dump'!$A:$A,'SKU Repoprt'!G$1)</f>
        <v>0</v>
      </c>
      <c r="H557" s="3">
        <f>SUMIFS('Business - Dump'!$W:$W,'Business - Dump'!$D:$D,'SKU Repoprt'!$D557,'Business - Dump'!$A:$A,'SKU Repoprt'!H$1)</f>
        <v>0</v>
      </c>
      <c r="I557" s="3">
        <f>SUMIFS('Business - Dump'!$W:$W,'Business - Dump'!$D:$D,'SKU Repoprt'!$D557,'Business - Dump'!$A:$A,'SKU Repoprt'!I$1)</f>
        <v>0</v>
      </c>
      <c r="J557" s="3">
        <f>SUMIFS('Business - Dump'!$W:$W,'Business - Dump'!$D:$D,'SKU Repoprt'!$D557,'Business - Dump'!$A:$A,'SKU Repoprt'!J$1)</f>
        <v>0</v>
      </c>
      <c r="K557" s="3">
        <f>SUMIFS('Business - Dump'!$W:$W,'Business - Dump'!$D:$D,'SKU Repoprt'!$D557,'Business - Dump'!$A:$A,'SKU Repoprt'!K$1)</f>
        <v>0</v>
      </c>
      <c r="L557" s="3">
        <f>SUMIFS('Business - Dump'!$W:$W,'Business - Dump'!$D:$D,'SKU Repoprt'!$D557,'Business - Dump'!$A:$A,'SKU Repoprt'!L$1)</f>
        <v>0</v>
      </c>
      <c r="M557" s="3">
        <f>SUMIFS('Business - Dump'!$W:$W,'Business - Dump'!$D:$D,'SKU Repoprt'!$D557,'Business - Dump'!$A:$A,'SKU Repoprt'!M$1)</f>
        <v>0</v>
      </c>
      <c r="N557" s="3">
        <f>SUMIFS('Business - Dump'!$W:$W,'Business - Dump'!$D:$D,'SKU Repoprt'!$D557,'Business - Dump'!$A:$A,'SKU Repoprt'!N$1)</f>
        <v>0</v>
      </c>
      <c r="O557" s="3">
        <f>SUMIFS('Business - Dump'!$W:$W,'Business - Dump'!$D:$D,'SKU Repoprt'!$D557,'Business - Dump'!$A:$A,'SKU Repoprt'!O$1)</f>
        <v>0</v>
      </c>
      <c r="P557" s="3">
        <f>SUMIFS('Business - Dump'!$W:$W,'Business - Dump'!$D:$D,'SKU Repoprt'!$D557,'Business - Dump'!$A:$A,'SKU Repoprt'!P$1)</f>
        <v>0</v>
      </c>
      <c r="Q557" s="3">
        <f>SUMIFS('Business - Dump'!$W:$W,'Business - Dump'!$D:$D,'SKU Repoprt'!$D557,'Business - Dump'!$A:$A,'SKU Repoprt'!Q$1)</f>
        <v>0</v>
      </c>
      <c r="R557" s="3">
        <f>SUMIFS('Business - Dump'!$W:$W,'Business - Dump'!$D:$D,'SKU Repoprt'!$D557,'Business - Dump'!$A:$A,'SKU Repoprt'!R$1)</f>
        <v>0</v>
      </c>
      <c r="S557" s="3">
        <f>SUMIFS('Business - Dump'!$W:$W,'Business - Dump'!$D:$D,'SKU Repoprt'!$D557,'Business - Dump'!$A:$A,'SKU Repoprt'!S$1)</f>
        <v>0</v>
      </c>
      <c r="T557" s="3">
        <f>SUMIFS('Business - Dump'!$W:$W,'Business - Dump'!$D:$D,'SKU Repoprt'!$D557,'Business - Dump'!$A:$A,'SKU Repoprt'!T$1)</f>
        <v>0</v>
      </c>
      <c r="U557" s="3">
        <f>SUMIFS('Business - Dump'!$W:$W,'Business - Dump'!$D:$D,'SKU Repoprt'!$D557,'Business - Dump'!$A:$A,'SKU Repoprt'!U$1)</f>
        <v>0</v>
      </c>
      <c r="V557" s="3">
        <f>SUMIFS('Business - Dump'!$W:$W,'Business - Dump'!$D:$D,'SKU Repoprt'!$D557,'Business - Dump'!$A:$A,'SKU Repoprt'!V$1)</f>
        <v>0</v>
      </c>
      <c r="W557" s="3">
        <f>SUMIFS('Business - Dump'!$W:$W,'Business - Dump'!$D:$D,'SKU Repoprt'!$D557,'Business - Dump'!$A:$A,'SKU Repoprt'!W$1)</f>
        <v>0</v>
      </c>
    </row>
    <row r="558" ht="15.75" customHeight="1">
      <c r="A558" s="10" t="s">
        <v>413</v>
      </c>
      <c r="B558" s="10" t="s">
        <v>413</v>
      </c>
      <c r="C558" s="10"/>
      <c r="D558" s="10" t="s">
        <v>424</v>
      </c>
      <c r="E558" s="10" t="s">
        <v>26</v>
      </c>
      <c r="F558" s="16">
        <f t="shared" si="185"/>
        <v>0</v>
      </c>
      <c r="G558" s="16">
        <f>SUMIFS('Business - Dump'!$U:$U,'Business - Dump'!$D:$D,'SKU Repoprt'!$D558,'Business - Dump'!$A:$A,'SKU Repoprt'!G$1)</f>
        <v>0</v>
      </c>
      <c r="H558" s="16">
        <f>SUMIFS('Business - Dump'!$U:$U,'Business - Dump'!$D:$D,'SKU Repoprt'!$D558,'Business - Dump'!$A:$A,'SKU Repoprt'!H$1)</f>
        <v>0</v>
      </c>
      <c r="I558" s="16">
        <f>SUMIFS('Business - Dump'!$U:$U,'Business - Dump'!$D:$D,'SKU Repoprt'!$D558,'Business - Dump'!$A:$A,'SKU Repoprt'!I$1)</f>
        <v>0</v>
      </c>
      <c r="J558" s="16">
        <f>SUMIFS('Business - Dump'!$U:$U,'Business - Dump'!$D:$D,'SKU Repoprt'!$D558,'Business - Dump'!$A:$A,'SKU Repoprt'!J$1)</f>
        <v>0</v>
      </c>
      <c r="K558" s="16">
        <f>SUMIFS('Business - Dump'!$U:$U,'Business - Dump'!$D:$D,'SKU Repoprt'!$D558,'Business - Dump'!$A:$A,'SKU Repoprt'!K$1)</f>
        <v>0</v>
      </c>
      <c r="L558" s="16">
        <f>SUMIFS('Business - Dump'!$U:$U,'Business - Dump'!$D:$D,'SKU Repoprt'!$D558,'Business - Dump'!$A:$A,'SKU Repoprt'!L$1)</f>
        <v>0</v>
      </c>
      <c r="M558" s="16">
        <f>SUMIFS('Business - Dump'!$U:$U,'Business - Dump'!$D:$D,'SKU Repoprt'!$D558,'Business - Dump'!$A:$A,'SKU Repoprt'!M$1)</f>
        <v>0</v>
      </c>
      <c r="N558" s="16">
        <f>SUMIFS('Business - Dump'!$U:$U,'Business - Dump'!$D:$D,'SKU Repoprt'!$D558,'Business - Dump'!$A:$A,'SKU Repoprt'!N$1)</f>
        <v>0</v>
      </c>
      <c r="O558" s="16">
        <f>SUMIFS('Business - Dump'!$U:$U,'Business - Dump'!$D:$D,'SKU Repoprt'!$D558,'Business - Dump'!$A:$A,'SKU Repoprt'!O$1)</f>
        <v>0</v>
      </c>
      <c r="P558" s="16">
        <f>SUMIFS('Business - Dump'!$U:$U,'Business - Dump'!$D:$D,'SKU Repoprt'!$D558,'Business - Dump'!$A:$A,'SKU Repoprt'!P$1)</f>
        <v>0</v>
      </c>
      <c r="Q558" s="16">
        <f>SUMIFS('Business - Dump'!$U:$U,'Business - Dump'!$D:$D,'SKU Repoprt'!$D558,'Business - Dump'!$A:$A,'SKU Repoprt'!Q$1)</f>
        <v>0</v>
      </c>
      <c r="R558" s="16">
        <f>SUMIFS('Business - Dump'!$U:$U,'Business - Dump'!$D:$D,'SKU Repoprt'!$D558,'Business - Dump'!$A:$A,'SKU Repoprt'!R$1)</f>
        <v>0</v>
      </c>
      <c r="S558" s="16">
        <f>SUMIFS('Business - Dump'!$U:$U,'Business - Dump'!$D:$D,'SKU Repoprt'!$D558,'Business - Dump'!$A:$A,'SKU Repoprt'!S$1)</f>
        <v>0</v>
      </c>
      <c r="T558" s="16">
        <f>SUMIFS('Business - Dump'!$U:$U,'Business - Dump'!$D:$D,'SKU Repoprt'!$D558,'Business - Dump'!$A:$A,'SKU Repoprt'!T$1)</f>
        <v>0</v>
      </c>
      <c r="U558" s="16">
        <f>SUMIFS('Business - Dump'!$U:$U,'Business - Dump'!$D:$D,'SKU Repoprt'!$D558,'Business - Dump'!$A:$A,'SKU Repoprt'!U$1)</f>
        <v>0</v>
      </c>
      <c r="V558" s="16">
        <f>SUMIFS('Business - Dump'!$U:$U,'Business - Dump'!$D:$D,'SKU Repoprt'!$D558,'Business - Dump'!$A:$A,'SKU Repoprt'!V$1)</f>
        <v>0</v>
      </c>
      <c r="W558" s="16">
        <f>SUMIFS('Business - Dump'!$U:$U,'Business - Dump'!$D:$D,'SKU Repoprt'!$D558,'Business - Dump'!$A:$A,'SKU Repoprt'!W$1)</f>
        <v>0</v>
      </c>
    </row>
    <row r="559" ht="15.75" customHeight="1">
      <c r="A559" s="10" t="s">
        <v>413</v>
      </c>
      <c r="B559" s="10" t="s">
        <v>413</v>
      </c>
      <c r="C559" s="10"/>
      <c r="D559" s="10" t="s">
        <v>424</v>
      </c>
      <c r="E559" s="10" t="s">
        <v>29</v>
      </c>
      <c r="F559" s="17">
        <v>0.027042857142857143</v>
      </c>
      <c r="G559" s="17">
        <f t="shared" ref="G559:W559" si="186">IFERROR(G557/G554,0)</f>
        <v>0</v>
      </c>
      <c r="H559" s="17">
        <f t="shared" si="186"/>
        <v>0</v>
      </c>
      <c r="I559" s="17">
        <f t="shared" si="186"/>
        <v>0</v>
      </c>
      <c r="J559" s="17">
        <f t="shared" si="186"/>
        <v>0</v>
      </c>
      <c r="K559" s="17">
        <f t="shared" si="186"/>
        <v>0</v>
      </c>
      <c r="L559" s="17">
        <f t="shared" si="186"/>
        <v>0</v>
      </c>
      <c r="M559" s="17">
        <f t="shared" si="186"/>
        <v>0</v>
      </c>
      <c r="N559" s="17">
        <f t="shared" si="186"/>
        <v>0</v>
      </c>
      <c r="O559" s="17">
        <f t="shared" si="186"/>
        <v>0</v>
      </c>
      <c r="P559" s="17">
        <f t="shared" si="186"/>
        <v>0</v>
      </c>
      <c r="Q559" s="17">
        <f t="shared" si="186"/>
        <v>0</v>
      </c>
      <c r="R559" s="17">
        <f t="shared" si="186"/>
        <v>0</v>
      </c>
      <c r="S559" s="17">
        <f t="shared" si="186"/>
        <v>0</v>
      </c>
      <c r="T559" s="17">
        <f t="shared" si="186"/>
        <v>0</v>
      </c>
      <c r="U559" s="17">
        <f t="shared" si="186"/>
        <v>0</v>
      </c>
      <c r="V559" s="17">
        <f t="shared" si="186"/>
        <v>0</v>
      </c>
      <c r="W559" s="17">
        <f t="shared" si="186"/>
        <v>0</v>
      </c>
    </row>
    <row r="560" ht="15.75" customHeight="1">
      <c r="A560" s="10" t="s">
        <v>413</v>
      </c>
      <c r="B560" s="10" t="s">
        <v>413</v>
      </c>
      <c r="C560" s="10"/>
      <c r="D560" s="10" t="s">
        <v>426</v>
      </c>
      <c r="E560" s="10" t="s">
        <v>257</v>
      </c>
      <c r="F560" s="3">
        <f t="shared" ref="F560:F564" si="187">SUM(G560:S560)</f>
        <v>717</v>
      </c>
      <c r="G560" s="3">
        <f>SUMIFS('Business - Dump'!$G:$G,'Business - Dump'!$D:$D,'SKU Repoprt'!$D560,'Business - Dump'!$A:$A,'SKU Repoprt'!G$1)</f>
        <v>0</v>
      </c>
      <c r="H560" s="3">
        <f>SUMIFS('Business - Dump'!$G:$G,'Business - Dump'!$D:$D,'SKU Repoprt'!$D560,'Business - Dump'!$A:$A,'SKU Repoprt'!H$1)</f>
        <v>0</v>
      </c>
      <c r="I560" s="3">
        <f>SUMIFS('Business - Dump'!$G:$G,'Business - Dump'!$D:$D,'SKU Repoprt'!$D560,'Business - Dump'!$A:$A,'SKU Repoprt'!I$1)</f>
        <v>0</v>
      </c>
      <c r="J560" s="3">
        <f>SUMIFS('Business - Dump'!$G:$G,'Business - Dump'!$D:$D,'SKU Repoprt'!$D560,'Business - Dump'!$A:$A,'SKU Repoprt'!J$1)</f>
        <v>0</v>
      </c>
      <c r="K560" s="3">
        <f>SUMIFS('Business - Dump'!$G:$G,'Business - Dump'!$D:$D,'SKU Repoprt'!$D560,'Business - Dump'!$A:$A,'SKU Repoprt'!K$1)</f>
        <v>0</v>
      </c>
      <c r="L560" s="3">
        <f>SUMIFS('Business - Dump'!$G:$G,'Business - Dump'!$D:$D,'SKU Repoprt'!$D560,'Business - Dump'!$A:$A,'SKU Repoprt'!L$1)</f>
        <v>0</v>
      </c>
      <c r="M560" s="3">
        <f>SUMIFS('Business - Dump'!$G:$G,'Business - Dump'!$D:$D,'SKU Repoprt'!$D560,'Business - Dump'!$A:$A,'SKU Repoprt'!M$1)</f>
        <v>0</v>
      </c>
      <c r="N560" s="3">
        <f>SUMIFS('Business - Dump'!$G:$G,'Business - Dump'!$D:$D,'SKU Repoprt'!$D560,'Business - Dump'!$A:$A,'SKU Repoprt'!N$1)</f>
        <v>0</v>
      </c>
      <c r="O560" s="3">
        <f>SUMIFS('Business - Dump'!$G:$G,'Business - Dump'!$D:$D,'SKU Repoprt'!$D560,'Business - Dump'!$A:$A,'SKU Repoprt'!O$1)</f>
        <v>0</v>
      </c>
      <c r="P560" s="3">
        <f>SUMIFS('Business - Dump'!$G:$G,'Business - Dump'!$D:$D,'SKU Repoprt'!$D560,'Business - Dump'!$A:$A,'SKU Repoprt'!P$1)</f>
        <v>0</v>
      </c>
      <c r="Q560" s="3">
        <f>SUMIFS('Business - Dump'!$G:$G,'Business - Dump'!$D:$D,'SKU Repoprt'!$D560,'Business - Dump'!$A:$A,'SKU Repoprt'!Q$1)</f>
        <v>0</v>
      </c>
      <c r="R560" s="3">
        <f>SUMIFS('Business - Dump'!$G:$G,'Business - Dump'!$D:$D,'SKU Repoprt'!$D560,'Business - Dump'!$A:$A,'SKU Repoprt'!R$1)</f>
        <v>7</v>
      </c>
      <c r="S560" s="3">
        <f>SUMIFS('Business - Dump'!$G:$G,'Business - Dump'!$D:$D,'SKU Repoprt'!$D560,'Business - Dump'!$A:$A,'SKU Repoprt'!S$1)</f>
        <v>710</v>
      </c>
      <c r="T560" s="3">
        <f>SUMIFS('Business - Dump'!$G:$G,'Business - Dump'!$D:$D,'SKU Repoprt'!$D560,'Business - Dump'!$A:$A,'SKU Repoprt'!T$1)</f>
        <v>1404</v>
      </c>
      <c r="U560" s="3">
        <f>SUMIFS('Business - Dump'!$G:$G,'Business - Dump'!$D:$D,'SKU Repoprt'!$D560,'Business - Dump'!$A:$A,'SKU Repoprt'!U$1)</f>
        <v>1475</v>
      </c>
      <c r="V560" s="3">
        <f>SUMIFS('Business - Dump'!$G:$G,'Business - Dump'!$D:$D,'SKU Repoprt'!$D560,'Business - Dump'!$A:$A,'SKU Repoprt'!V$1)</f>
        <v>32</v>
      </c>
      <c r="W560" s="3">
        <f>SUMIFS('Business - Dump'!$G:$G,'Business - Dump'!$D:$D,'SKU Repoprt'!$D560,'Business - Dump'!$A:$A,'SKU Repoprt'!W$1)</f>
        <v>480</v>
      </c>
    </row>
    <row r="561" ht="15.75" customHeight="1">
      <c r="A561" s="10" t="s">
        <v>413</v>
      </c>
      <c r="B561" s="10" t="s">
        <v>413</v>
      </c>
      <c r="C561" s="10"/>
      <c r="D561" s="10" t="s">
        <v>426</v>
      </c>
      <c r="E561" s="10" t="s">
        <v>260</v>
      </c>
      <c r="F561" s="3">
        <f t="shared" si="187"/>
        <v>937</v>
      </c>
      <c r="G561" s="3">
        <f>SUMIFS('Business - Dump'!$K:$K,'Business - Dump'!$D:$D,'SKU Repoprt'!$D561,'Business - Dump'!$A:$A,'SKU Repoprt'!G$1)</f>
        <v>0</v>
      </c>
      <c r="H561" s="3">
        <f>SUMIFS('Business - Dump'!$K:$K,'Business - Dump'!$D:$D,'SKU Repoprt'!$D561,'Business - Dump'!$A:$A,'SKU Repoprt'!H$1)</f>
        <v>0</v>
      </c>
      <c r="I561" s="3">
        <f>SUMIFS('Business - Dump'!$K:$K,'Business - Dump'!$D:$D,'SKU Repoprt'!$D561,'Business - Dump'!$A:$A,'SKU Repoprt'!I$1)</f>
        <v>0</v>
      </c>
      <c r="J561" s="3">
        <f>SUMIFS('Business - Dump'!$K:$K,'Business - Dump'!$D:$D,'SKU Repoprt'!$D561,'Business - Dump'!$A:$A,'SKU Repoprt'!J$1)</f>
        <v>0</v>
      </c>
      <c r="K561" s="3">
        <f>SUMIFS('Business - Dump'!$K:$K,'Business - Dump'!$D:$D,'SKU Repoprt'!$D561,'Business - Dump'!$A:$A,'SKU Repoprt'!K$1)</f>
        <v>0</v>
      </c>
      <c r="L561" s="3">
        <f>SUMIFS('Business - Dump'!$K:$K,'Business - Dump'!$D:$D,'SKU Repoprt'!$D561,'Business - Dump'!$A:$A,'SKU Repoprt'!L$1)</f>
        <v>0</v>
      </c>
      <c r="M561" s="3">
        <f>SUMIFS('Business - Dump'!$K:$K,'Business - Dump'!$D:$D,'SKU Repoprt'!$D561,'Business - Dump'!$A:$A,'SKU Repoprt'!M$1)</f>
        <v>0</v>
      </c>
      <c r="N561" s="3">
        <f>SUMIFS('Business - Dump'!$K:$K,'Business - Dump'!$D:$D,'SKU Repoprt'!$D561,'Business - Dump'!$A:$A,'SKU Repoprt'!N$1)</f>
        <v>0</v>
      </c>
      <c r="O561" s="3">
        <f>SUMIFS('Business - Dump'!$K:$K,'Business - Dump'!$D:$D,'SKU Repoprt'!$D561,'Business - Dump'!$A:$A,'SKU Repoprt'!O$1)</f>
        <v>0</v>
      </c>
      <c r="P561" s="3">
        <f>SUMIFS('Business - Dump'!$K:$K,'Business - Dump'!$D:$D,'SKU Repoprt'!$D561,'Business - Dump'!$A:$A,'SKU Repoprt'!P$1)</f>
        <v>0</v>
      </c>
      <c r="Q561" s="3">
        <f>SUMIFS('Business - Dump'!$K:$K,'Business - Dump'!$D:$D,'SKU Repoprt'!$D561,'Business - Dump'!$A:$A,'SKU Repoprt'!Q$1)</f>
        <v>0</v>
      </c>
      <c r="R561" s="3">
        <f>SUMIFS('Business - Dump'!$K:$K,'Business - Dump'!$D:$D,'SKU Repoprt'!$D561,'Business - Dump'!$A:$A,'SKU Repoprt'!R$1)</f>
        <v>11</v>
      </c>
      <c r="S561" s="3">
        <f>SUMIFS('Business - Dump'!$K:$K,'Business - Dump'!$D:$D,'SKU Repoprt'!$D561,'Business - Dump'!$A:$A,'SKU Repoprt'!S$1)</f>
        <v>926</v>
      </c>
      <c r="T561" s="3">
        <f>SUMIFS('Business - Dump'!$K:$K,'Business - Dump'!$D:$D,'SKU Repoprt'!$D561,'Business - Dump'!$A:$A,'SKU Repoprt'!T$1)</f>
        <v>1830</v>
      </c>
      <c r="U561" s="3">
        <f>SUMIFS('Business - Dump'!$K:$K,'Business - Dump'!$D:$D,'SKU Repoprt'!$D561,'Business - Dump'!$A:$A,'SKU Repoprt'!U$1)</f>
        <v>2056</v>
      </c>
      <c r="V561" s="3">
        <f>SUMIFS('Business - Dump'!$K:$K,'Business - Dump'!$D:$D,'SKU Repoprt'!$D561,'Business - Dump'!$A:$A,'SKU Repoprt'!V$1)</f>
        <v>51</v>
      </c>
      <c r="W561" s="3">
        <f>SUMIFS('Business - Dump'!$K:$K,'Business - Dump'!$D:$D,'SKU Repoprt'!$D561,'Business - Dump'!$A:$A,'SKU Repoprt'!W$1)</f>
        <v>643</v>
      </c>
    </row>
    <row r="562" ht="15.75" customHeight="1">
      <c r="A562" s="10" t="s">
        <v>413</v>
      </c>
      <c r="B562" s="10" t="s">
        <v>413</v>
      </c>
      <c r="C562" s="10"/>
      <c r="D562" s="10" t="s">
        <v>426</v>
      </c>
      <c r="E562" s="10" t="s">
        <v>264</v>
      </c>
      <c r="F562" s="3">
        <f t="shared" si="187"/>
        <v>3</v>
      </c>
      <c r="G562" s="3">
        <f>SUMIFS('Business - Dump'!$Q:$Q,'Business - Dump'!$D:$D,'SKU Repoprt'!$D562,'Business - Dump'!$A:$A,'SKU Repoprt'!G$1)</f>
        <v>0</v>
      </c>
      <c r="H562" s="3">
        <f>SUMIFS('Business - Dump'!$Q:$Q,'Business - Dump'!$D:$D,'SKU Repoprt'!$D562,'Business - Dump'!$A:$A,'SKU Repoprt'!H$1)</f>
        <v>0</v>
      </c>
      <c r="I562" s="3">
        <f>SUMIFS('Business - Dump'!$Q:$Q,'Business - Dump'!$D:$D,'SKU Repoprt'!$D562,'Business - Dump'!$A:$A,'SKU Repoprt'!I$1)</f>
        <v>0</v>
      </c>
      <c r="J562" s="3">
        <f>SUMIFS('Business - Dump'!$Q:$Q,'Business - Dump'!$D:$D,'SKU Repoprt'!$D562,'Business - Dump'!$A:$A,'SKU Repoprt'!J$1)</f>
        <v>0</v>
      </c>
      <c r="K562" s="3">
        <f>SUMIFS('Business - Dump'!$Q:$Q,'Business - Dump'!$D:$D,'SKU Repoprt'!$D562,'Business - Dump'!$A:$A,'SKU Repoprt'!K$1)</f>
        <v>0</v>
      </c>
      <c r="L562" s="3">
        <f>SUMIFS('Business - Dump'!$Q:$Q,'Business - Dump'!$D:$D,'SKU Repoprt'!$D562,'Business - Dump'!$A:$A,'SKU Repoprt'!L$1)</f>
        <v>0</v>
      </c>
      <c r="M562" s="3">
        <f>SUMIFS('Business - Dump'!$Q:$Q,'Business - Dump'!$D:$D,'SKU Repoprt'!$D562,'Business - Dump'!$A:$A,'SKU Repoprt'!M$1)</f>
        <v>0</v>
      </c>
      <c r="N562" s="3">
        <f>SUMIFS('Business - Dump'!$Q:$Q,'Business - Dump'!$D:$D,'SKU Repoprt'!$D562,'Business - Dump'!$A:$A,'SKU Repoprt'!N$1)</f>
        <v>0</v>
      </c>
      <c r="O562" s="3">
        <f>SUMIFS('Business - Dump'!$Q:$Q,'Business - Dump'!$D:$D,'SKU Repoprt'!$D562,'Business - Dump'!$A:$A,'SKU Repoprt'!O$1)</f>
        <v>0</v>
      </c>
      <c r="P562" s="3">
        <f>SUMIFS('Business - Dump'!$Q:$Q,'Business - Dump'!$D:$D,'SKU Repoprt'!$D562,'Business - Dump'!$A:$A,'SKU Repoprt'!P$1)</f>
        <v>0</v>
      </c>
      <c r="Q562" s="3">
        <f>SUMIFS('Business - Dump'!$Q:$Q,'Business - Dump'!$D:$D,'SKU Repoprt'!$D562,'Business - Dump'!$A:$A,'SKU Repoprt'!Q$1)</f>
        <v>0</v>
      </c>
      <c r="R562" s="3">
        <f>SUMIFS('Business - Dump'!$Q:$Q,'Business - Dump'!$D:$D,'SKU Repoprt'!$D562,'Business - Dump'!$A:$A,'SKU Repoprt'!R$1)</f>
        <v>0</v>
      </c>
      <c r="S562" s="3">
        <f>SUMIFS('Business - Dump'!$Q:$Q,'Business - Dump'!$D:$D,'SKU Repoprt'!$D562,'Business - Dump'!$A:$A,'SKU Repoprt'!S$1)</f>
        <v>3</v>
      </c>
      <c r="T562" s="3">
        <f>SUMIFS('Business - Dump'!$Q:$Q,'Business - Dump'!$D:$D,'SKU Repoprt'!$D562,'Business - Dump'!$A:$A,'SKU Repoprt'!T$1)</f>
        <v>3</v>
      </c>
      <c r="U562" s="3">
        <f>SUMIFS('Business - Dump'!$Q:$Q,'Business - Dump'!$D:$D,'SKU Repoprt'!$D562,'Business - Dump'!$A:$A,'SKU Repoprt'!U$1)</f>
        <v>5</v>
      </c>
      <c r="V562" s="3">
        <f>SUMIFS('Business - Dump'!$Q:$Q,'Business - Dump'!$D:$D,'SKU Repoprt'!$D562,'Business - Dump'!$A:$A,'SKU Repoprt'!V$1)</f>
        <v>0</v>
      </c>
      <c r="W562" s="3">
        <f>SUMIFS('Business - Dump'!$Q:$Q,'Business - Dump'!$D:$D,'SKU Repoprt'!$D562,'Business - Dump'!$A:$A,'SKU Repoprt'!W$1)</f>
        <v>2</v>
      </c>
    </row>
    <row r="563" ht="15.75" customHeight="1">
      <c r="A563" s="10" t="s">
        <v>413</v>
      </c>
      <c r="B563" s="10" t="s">
        <v>413</v>
      </c>
      <c r="C563" s="10"/>
      <c r="D563" s="10" t="s">
        <v>426</v>
      </c>
      <c r="E563" s="10" t="s">
        <v>268</v>
      </c>
      <c r="F563" s="3">
        <f t="shared" si="187"/>
        <v>3</v>
      </c>
      <c r="G563" s="3">
        <f>SUMIFS('Business - Dump'!$W:$W,'Business - Dump'!$D:$D,'SKU Repoprt'!$D563,'Business - Dump'!$A:$A,'SKU Repoprt'!G$1)</f>
        <v>0</v>
      </c>
      <c r="H563" s="3">
        <f>SUMIFS('Business - Dump'!$W:$W,'Business - Dump'!$D:$D,'SKU Repoprt'!$D563,'Business - Dump'!$A:$A,'SKU Repoprt'!H$1)</f>
        <v>0</v>
      </c>
      <c r="I563" s="3">
        <f>SUMIFS('Business - Dump'!$W:$W,'Business - Dump'!$D:$D,'SKU Repoprt'!$D563,'Business - Dump'!$A:$A,'SKU Repoprt'!I$1)</f>
        <v>0</v>
      </c>
      <c r="J563" s="3">
        <f>SUMIFS('Business - Dump'!$W:$W,'Business - Dump'!$D:$D,'SKU Repoprt'!$D563,'Business - Dump'!$A:$A,'SKU Repoprt'!J$1)</f>
        <v>0</v>
      </c>
      <c r="K563" s="3">
        <f>SUMIFS('Business - Dump'!$W:$W,'Business - Dump'!$D:$D,'SKU Repoprt'!$D563,'Business - Dump'!$A:$A,'SKU Repoprt'!K$1)</f>
        <v>0</v>
      </c>
      <c r="L563" s="3">
        <f>SUMIFS('Business - Dump'!$W:$W,'Business - Dump'!$D:$D,'SKU Repoprt'!$D563,'Business - Dump'!$A:$A,'SKU Repoprt'!L$1)</f>
        <v>0</v>
      </c>
      <c r="M563" s="3">
        <f>SUMIFS('Business - Dump'!$W:$W,'Business - Dump'!$D:$D,'SKU Repoprt'!$D563,'Business - Dump'!$A:$A,'SKU Repoprt'!M$1)</f>
        <v>0</v>
      </c>
      <c r="N563" s="3">
        <f>SUMIFS('Business - Dump'!$W:$W,'Business - Dump'!$D:$D,'SKU Repoprt'!$D563,'Business - Dump'!$A:$A,'SKU Repoprt'!N$1)</f>
        <v>0</v>
      </c>
      <c r="O563" s="3">
        <f>SUMIFS('Business - Dump'!$W:$W,'Business - Dump'!$D:$D,'SKU Repoprt'!$D563,'Business - Dump'!$A:$A,'SKU Repoprt'!O$1)</f>
        <v>0</v>
      </c>
      <c r="P563" s="3">
        <f>SUMIFS('Business - Dump'!$W:$W,'Business - Dump'!$D:$D,'SKU Repoprt'!$D563,'Business - Dump'!$A:$A,'SKU Repoprt'!P$1)</f>
        <v>0</v>
      </c>
      <c r="Q563" s="3">
        <f>SUMIFS('Business - Dump'!$W:$W,'Business - Dump'!$D:$D,'SKU Repoprt'!$D563,'Business - Dump'!$A:$A,'SKU Repoprt'!Q$1)</f>
        <v>0</v>
      </c>
      <c r="R563" s="3">
        <f>SUMIFS('Business - Dump'!$W:$W,'Business - Dump'!$D:$D,'SKU Repoprt'!$D563,'Business - Dump'!$A:$A,'SKU Repoprt'!R$1)</f>
        <v>0</v>
      </c>
      <c r="S563" s="3">
        <f>SUMIFS('Business - Dump'!$W:$W,'Business - Dump'!$D:$D,'SKU Repoprt'!$D563,'Business - Dump'!$A:$A,'SKU Repoprt'!S$1)</f>
        <v>3</v>
      </c>
      <c r="T563" s="3">
        <f>SUMIFS('Business - Dump'!$W:$W,'Business - Dump'!$D:$D,'SKU Repoprt'!$D563,'Business - Dump'!$A:$A,'SKU Repoprt'!T$1)</f>
        <v>3</v>
      </c>
      <c r="U563" s="3">
        <f>SUMIFS('Business - Dump'!$W:$W,'Business - Dump'!$D:$D,'SKU Repoprt'!$D563,'Business - Dump'!$A:$A,'SKU Repoprt'!U$1)</f>
        <v>5</v>
      </c>
      <c r="V563" s="3">
        <f>SUMIFS('Business - Dump'!$W:$W,'Business - Dump'!$D:$D,'SKU Repoprt'!$D563,'Business - Dump'!$A:$A,'SKU Repoprt'!V$1)</f>
        <v>0</v>
      </c>
      <c r="W563" s="3">
        <f>SUMIFS('Business - Dump'!$W:$W,'Business - Dump'!$D:$D,'SKU Repoprt'!$D563,'Business - Dump'!$A:$A,'SKU Repoprt'!W$1)</f>
        <v>1</v>
      </c>
    </row>
    <row r="564" ht="15.75" customHeight="1">
      <c r="A564" s="10" t="s">
        <v>413</v>
      </c>
      <c r="B564" s="10" t="s">
        <v>413</v>
      </c>
      <c r="C564" s="10"/>
      <c r="D564" s="10" t="s">
        <v>426</v>
      </c>
      <c r="E564" s="10" t="s">
        <v>26</v>
      </c>
      <c r="F564" s="16">
        <f t="shared" si="187"/>
        <v>31000</v>
      </c>
      <c r="G564" s="16">
        <f>SUMIFS('Business - Dump'!$U:$U,'Business - Dump'!$D:$D,'SKU Repoprt'!$D564,'Business - Dump'!$A:$A,'SKU Repoprt'!G$1)</f>
        <v>0</v>
      </c>
      <c r="H564" s="16">
        <f>SUMIFS('Business - Dump'!$U:$U,'Business - Dump'!$D:$D,'SKU Repoprt'!$D564,'Business - Dump'!$A:$A,'SKU Repoprt'!H$1)</f>
        <v>0</v>
      </c>
      <c r="I564" s="16">
        <f>SUMIFS('Business - Dump'!$U:$U,'Business - Dump'!$D:$D,'SKU Repoprt'!$D564,'Business - Dump'!$A:$A,'SKU Repoprt'!I$1)</f>
        <v>0</v>
      </c>
      <c r="J564" s="16">
        <f>SUMIFS('Business - Dump'!$U:$U,'Business - Dump'!$D:$D,'SKU Repoprt'!$D564,'Business - Dump'!$A:$A,'SKU Repoprt'!J$1)</f>
        <v>0</v>
      </c>
      <c r="K564" s="16">
        <f>SUMIFS('Business - Dump'!$U:$U,'Business - Dump'!$D:$D,'SKU Repoprt'!$D564,'Business - Dump'!$A:$A,'SKU Repoprt'!K$1)</f>
        <v>0</v>
      </c>
      <c r="L564" s="16">
        <f>SUMIFS('Business - Dump'!$U:$U,'Business - Dump'!$D:$D,'SKU Repoprt'!$D564,'Business - Dump'!$A:$A,'SKU Repoprt'!L$1)</f>
        <v>0</v>
      </c>
      <c r="M564" s="16">
        <f>SUMIFS('Business - Dump'!$U:$U,'Business - Dump'!$D:$D,'SKU Repoprt'!$D564,'Business - Dump'!$A:$A,'SKU Repoprt'!M$1)</f>
        <v>0</v>
      </c>
      <c r="N564" s="16">
        <f>SUMIFS('Business - Dump'!$U:$U,'Business - Dump'!$D:$D,'SKU Repoprt'!$D564,'Business - Dump'!$A:$A,'SKU Repoprt'!N$1)</f>
        <v>0</v>
      </c>
      <c r="O564" s="16">
        <f>SUMIFS('Business - Dump'!$U:$U,'Business - Dump'!$D:$D,'SKU Repoprt'!$D564,'Business - Dump'!$A:$A,'SKU Repoprt'!O$1)</f>
        <v>0</v>
      </c>
      <c r="P564" s="16">
        <f>SUMIFS('Business - Dump'!$U:$U,'Business - Dump'!$D:$D,'SKU Repoprt'!$D564,'Business - Dump'!$A:$A,'SKU Repoprt'!P$1)</f>
        <v>0</v>
      </c>
      <c r="Q564" s="16">
        <f>SUMIFS('Business - Dump'!$U:$U,'Business - Dump'!$D:$D,'SKU Repoprt'!$D564,'Business - Dump'!$A:$A,'SKU Repoprt'!Q$1)</f>
        <v>0</v>
      </c>
      <c r="R564" s="16">
        <f>SUMIFS('Business - Dump'!$U:$U,'Business - Dump'!$D:$D,'SKU Repoprt'!$D564,'Business - Dump'!$A:$A,'SKU Repoprt'!R$1)</f>
        <v>0</v>
      </c>
      <c r="S564" s="16">
        <f>SUMIFS('Business - Dump'!$U:$U,'Business - Dump'!$D:$D,'SKU Repoprt'!$D564,'Business - Dump'!$A:$A,'SKU Repoprt'!S$1)</f>
        <v>31000</v>
      </c>
      <c r="T564" s="16">
        <f>SUMIFS('Business - Dump'!$U:$U,'Business - Dump'!$D:$D,'SKU Repoprt'!$D564,'Business - Dump'!$A:$A,'SKU Repoprt'!T$1)</f>
        <v>47000</v>
      </c>
      <c r="U564" s="16">
        <f>SUMIFS('Business - Dump'!$U:$U,'Business - Dump'!$D:$D,'SKU Repoprt'!$D564,'Business - Dump'!$A:$A,'SKU Repoprt'!U$1)</f>
        <v>76031</v>
      </c>
      <c r="V564" s="16">
        <f>SUMIFS('Business - Dump'!$U:$U,'Business - Dump'!$D:$D,'SKU Repoprt'!$D564,'Business - Dump'!$A:$A,'SKU Repoprt'!V$1)</f>
        <v>0</v>
      </c>
      <c r="W564" s="16">
        <f>SUMIFS('Business - Dump'!$U:$U,'Business - Dump'!$D:$D,'SKU Repoprt'!$D564,'Business - Dump'!$A:$A,'SKU Repoprt'!W$1)</f>
        <v>30020</v>
      </c>
    </row>
    <row r="565" ht="15.75" customHeight="1">
      <c r="A565" s="10" t="s">
        <v>413</v>
      </c>
      <c r="B565" s="10" t="s">
        <v>413</v>
      </c>
      <c r="C565" s="10"/>
      <c r="D565" s="10" t="s">
        <v>426</v>
      </c>
      <c r="E565" s="10" t="s">
        <v>29</v>
      </c>
      <c r="F565" s="17">
        <v>0.027042857142857143</v>
      </c>
      <c r="G565" s="17">
        <f t="shared" ref="G565:W565" si="188">IFERROR(G563/G560,0)</f>
        <v>0</v>
      </c>
      <c r="H565" s="17">
        <f t="shared" si="188"/>
        <v>0</v>
      </c>
      <c r="I565" s="17">
        <f t="shared" si="188"/>
        <v>0</v>
      </c>
      <c r="J565" s="17">
        <f t="shared" si="188"/>
        <v>0</v>
      </c>
      <c r="K565" s="17">
        <f t="shared" si="188"/>
        <v>0</v>
      </c>
      <c r="L565" s="17">
        <f t="shared" si="188"/>
        <v>0</v>
      </c>
      <c r="M565" s="17">
        <f t="shared" si="188"/>
        <v>0</v>
      </c>
      <c r="N565" s="17">
        <f t="shared" si="188"/>
        <v>0</v>
      </c>
      <c r="O565" s="17">
        <f t="shared" si="188"/>
        <v>0</v>
      </c>
      <c r="P565" s="17">
        <f t="shared" si="188"/>
        <v>0</v>
      </c>
      <c r="Q565" s="17">
        <f t="shared" si="188"/>
        <v>0</v>
      </c>
      <c r="R565" s="17">
        <f t="shared" si="188"/>
        <v>0</v>
      </c>
      <c r="S565" s="17">
        <f t="shared" si="188"/>
        <v>0.004225352113</v>
      </c>
      <c r="T565" s="17">
        <f t="shared" si="188"/>
        <v>0.002136752137</v>
      </c>
      <c r="U565" s="17">
        <f t="shared" si="188"/>
        <v>0.003389830508</v>
      </c>
      <c r="V565" s="17">
        <f t="shared" si="188"/>
        <v>0</v>
      </c>
      <c r="W565" s="17">
        <f t="shared" si="188"/>
        <v>0.002083333333</v>
      </c>
    </row>
    <row r="566" ht="15.75" customHeight="1">
      <c r="A566" s="10" t="s">
        <v>413</v>
      </c>
      <c r="B566" s="10" t="s">
        <v>413</v>
      </c>
      <c r="C566" s="10"/>
      <c r="D566" s="10" t="s">
        <v>427</v>
      </c>
      <c r="E566" s="10" t="s">
        <v>257</v>
      </c>
      <c r="F566" s="3">
        <f t="shared" ref="F566:F570" si="189">SUM(G566:S566)</f>
        <v>2066</v>
      </c>
      <c r="G566" s="3">
        <f>SUMIFS('Business - Dump'!$G:$G,'Business - Dump'!$D:$D,'SKU Repoprt'!$D566,'Business - Dump'!$A:$A,'SKU Repoprt'!G$1)</f>
        <v>0</v>
      </c>
      <c r="H566" s="3">
        <f>SUMIFS('Business - Dump'!$G:$G,'Business - Dump'!$D:$D,'SKU Repoprt'!$D566,'Business - Dump'!$A:$A,'SKU Repoprt'!H$1)</f>
        <v>0</v>
      </c>
      <c r="I566" s="3">
        <f>SUMIFS('Business - Dump'!$G:$G,'Business - Dump'!$D:$D,'SKU Repoprt'!$D566,'Business - Dump'!$A:$A,'SKU Repoprt'!I$1)</f>
        <v>0</v>
      </c>
      <c r="J566" s="3">
        <f>SUMIFS('Business - Dump'!$G:$G,'Business - Dump'!$D:$D,'SKU Repoprt'!$D566,'Business - Dump'!$A:$A,'SKU Repoprt'!J$1)</f>
        <v>0</v>
      </c>
      <c r="K566" s="3">
        <f>SUMIFS('Business - Dump'!$G:$G,'Business - Dump'!$D:$D,'SKU Repoprt'!$D566,'Business - Dump'!$A:$A,'SKU Repoprt'!K$1)</f>
        <v>0</v>
      </c>
      <c r="L566" s="3">
        <f>SUMIFS('Business - Dump'!$G:$G,'Business - Dump'!$D:$D,'SKU Repoprt'!$D566,'Business - Dump'!$A:$A,'SKU Repoprt'!L$1)</f>
        <v>0</v>
      </c>
      <c r="M566" s="3">
        <f>SUMIFS('Business - Dump'!$G:$G,'Business - Dump'!$D:$D,'SKU Repoprt'!$D566,'Business - Dump'!$A:$A,'SKU Repoprt'!M$1)</f>
        <v>0</v>
      </c>
      <c r="N566" s="3">
        <f>SUMIFS('Business - Dump'!$G:$G,'Business - Dump'!$D:$D,'SKU Repoprt'!$D566,'Business - Dump'!$A:$A,'SKU Repoprt'!N$1)</f>
        <v>0</v>
      </c>
      <c r="O566" s="3">
        <f>SUMIFS('Business - Dump'!$G:$G,'Business - Dump'!$D:$D,'SKU Repoprt'!$D566,'Business - Dump'!$A:$A,'SKU Repoprt'!O$1)</f>
        <v>0</v>
      </c>
      <c r="P566" s="3">
        <f>SUMIFS('Business - Dump'!$G:$G,'Business - Dump'!$D:$D,'SKU Repoprt'!$D566,'Business - Dump'!$A:$A,'SKU Repoprt'!P$1)</f>
        <v>0</v>
      </c>
      <c r="Q566" s="3">
        <f>SUMIFS('Business - Dump'!$G:$G,'Business - Dump'!$D:$D,'SKU Repoprt'!$D566,'Business - Dump'!$A:$A,'SKU Repoprt'!Q$1)</f>
        <v>0</v>
      </c>
      <c r="R566" s="3">
        <f>SUMIFS('Business - Dump'!$G:$G,'Business - Dump'!$D:$D,'SKU Repoprt'!$D566,'Business - Dump'!$A:$A,'SKU Repoprt'!R$1)</f>
        <v>1</v>
      </c>
      <c r="S566" s="3">
        <f>SUMIFS('Business - Dump'!$G:$G,'Business - Dump'!$D:$D,'SKU Repoprt'!$D566,'Business - Dump'!$A:$A,'SKU Repoprt'!S$1)</f>
        <v>2065</v>
      </c>
      <c r="T566" s="3">
        <f>SUMIFS('Business - Dump'!$G:$G,'Business - Dump'!$D:$D,'SKU Repoprt'!$D566,'Business - Dump'!$A:$A,'SKU Repoprt'!T$1)</f>
        <v>5980</v>
      </c>
      <c r="U566" s="3">
        <f>SUMIFS('Business - Dump'!$G:$G,'Business - Dump'!$D:$D,'SKU Repoprt'!$D566,'Business - Dump'!$A:$A,'SKU Repoprt'!U$1)</f>
        <v>3348</v>
      </c>
      <c r="V566" s="3">
        <f>SUMIFS('Business - Dump'!$G:$G,'Business - Dump'!$D:$D,'SKU Repoprt'!$D566,'Business - Dump'!$A:$A,'SKU Repoprt'!V$1)</f>
        <v>47</v>
      </c>
      <c r="W566" s="3">
        <f>SUMIFS('Business - Dump'!$G:$G,'Business - Dump'!$D:$D,'SKU Repoprt'!$D566,'Business - Dump'!$A:$A,'SKU Repoprt'!W$1)</f>
        <v>2246</v>
      </c>
    </row>
    <row r="567" ht="15.75" customHeight="1">
      <c r="A567" s="10" t="s">
        <v>413</v>
      </c>
      <c r="B567" s="10" t="s">
        <v>413</v>
      </c>
      <c r="C567" s="10"/>
      <c r="D567" s="10" t="s">
        <v>427</v>
      </c>
      <c r="E567" s="10" t="s">
        <v>260</v>
      </c>
      <c r="F567" s="3">
        <f t="shared" si="189"/>
        <v>3091</v>
      </c>
      <c r="G567" s="3">
        <f>SUMIFS('Business - Dump'!$K:$K,'Business - Dump'!$D:$D,'SKU Repoprt'!$D567,'Business - Dump'!$A:$A,'SKU Repoprt'!G$1)</f>
        <v>0</v>
      </c>
      <c r="H567" s="3">
        <f>SUMIFS('Business - Dump'!$K:$K,'Business - Dump'!$D:$D,'SKU Repoprt'!$D567,'Business - Dump'!$A:$A,'SKU Repoprt'!H$1)</f>
        <v>0</v>
      </c>
      <c r="I567" s="3">
        <f>SUMIFS('Business - Dump'!$K:$K,'Business - Dump'!$D:$D,'SKU Repoprt'!$D567,'Business - Dump'!$A:$A,'SKU Repoprt'!I$1)</f>
        <v>0</v>
      </c>
      <c r="J567" s="3">
        <f>SUMIFS('Business - Dump'!$K:$K,'Business - Dump'!$D:$D,'SKU Repoprt'!$D567,'Business - Dump'!$A:$A,'SKU Repoprt'!J$1)</f>
        <v>0</v>
      </c>
      <c r="K567" s="3">
        <f>SUMIFS('Business - Dump'!$K:$K,'Business - Dump'!$D:$D,'SKU Repoprt'!$D567,'Business - Dump'!$A:$A,'SKU Repoprt'!K$1)</f>
        <v>0</v>
      </c>
      <c r="L567" s="3">
        <f>SUMIFS('Business - Dump'!$K:$K,'Business - Dump'!$D:$D,'SKU Repoprt'!$D567,'Business - Dump'!$A:$A,'SKU Repoprt'!L$1)</f>
        <v>0</v>
      </c>
      <c r="M567" s="3">
        <f>SUMIFS('Business - Dump'!$K:$K,'Business - Dump'!$D:$D,'SKU Repoprt'!$D567,'Business - Dump'!$A:$A,'SKU Repoprt'!M$1)</f>
        <v>0</v>
      </c>
      <c r="N567" s="3">
        <f>SUMIFS('Business - Dump'!$K:$K,'Business - Dump'!$D:$D,'SKU Repoprt'!$D567,'Business - Dump'!$A:$A,'SKU Repoprt'!N$1)</f>
        <v>0</v>
      </c>
      <c r="O567" s="3">
        <f>SUMIFS('Business - Dump'!$K:$K,'Business - Dump'!$D:$D,'SKU Repoprt'!$D567,'Business - Dump'!$A:$A,'SKU Repoprt'!O$1)</f>
        <v>0</v>
      </c>
      <c r="P567" s="3">
        <f>SUMIFS('Business - Dump'!$K:$K,'Business - Dump'!$D:$D,'SKU Repoprt'!$D567,'Business - Dump'!$A:$A,'SKU Repoprt'!P$1)</f>
        <v>0</v>
      </c>
      <c r="Q567" s="3">
        <f>SUMIFS('Business - Dump'!$K:$K,'Business - Dump'!$D:$D,'SKU Repoprt'!$D567,'Business - Dump'!$A:$A,'SKU Repoprt'!Q$1)</f>
        <v>0</v>
      </c>
      <c r="R567" s="3">
        <f>SUMIFS('Business - Dump'!$K:$K,'Business - Dump'!$D:$D,'SKU Repoprt'!$D567,'Business - Dump'!$A:$A,'SKU Repoprt'!R$1)</f>
        <v>1</v>
      </c>
      <c r="S567" s="3">
        <f>SUMIFS('Business - Dump'!$K:$K,'Business - Dump'!$D:$D,'SKU Repoprt'!$D567,'Business - Dump'!$A:$A,'SKU Repoprt'!S$1)</f>
        <v>3090</v>
      </c>
      <c r="T567" s="3">
        <f>SUMIFS('Business - Dump'!$K:$K,'Business - Dump'!$D:$D,'SKU Repoprt'!$D567,'Business - Dump'!$A:$A,'SKU Repoprt'!T$1)</f>
        <v>8358</v>
      </c>
      <c r="U567" s="3">
        <f>SUMIFS('Business - Dump'!$K:$K,'Business - Dump'!$D:$D,'SKU Repoprt'!$D567,'Business - Dump'!$A:$A,'SKU Repoprt'!U$1)</f>
        <v>5029</v>
      </c>
      <c r="V567" s="3">
        <f>SUMIFS('Business - Dump'!$K:$K,'Business - Dump'!$D:$D,'SKU Repoprt'!$D567,'Business - Dump'!$A:$A,'SKU Repoprt'!V$1)</f>
        <v>76</v>
      </c>
      <c r="W567" s="3">
        <f>SUMIFS('Business - Dump'!$K:$K,'Business - Dump'!$D:$D,'SKU Repoprt'!$D567,'Business - Dump'!$A:$A,'SKU Repoprt'!W$1)</f>
        <v>3100</v>
      </c>
    </row>
    <row r="568" ht="15.75" customHeight="1">
      <c r="A568" s="10" t="s">
        <v>413</v>
      </c>
      <c r="B568" s="10" t="s">
        <v>413</v>
      </c>
      <c r="C568" s="10"/>
      <c r="D568" s="10" t="s">
        <v>427</v>
      </c>
      <c r="E568" s="10" t="s">
        <v>264</v>
      </c>
      <c r="F568" s="3">
        <f t="shared" si="189"/>
        <v>16</v>
      </c>
      <c r="G568" s="3">
        <f>SUMIFS('Business - Dump'!$Q:$Q,'Business - Dump'!$D:$D,'SKU Repoprt'!$D568,'Business - Dump'!$A:$A,'SKU Repoprt'!G$1)</f>
        <v>0</v>
      </c>
      <c r="H568" s="3">
        <f>SUMIFS('Business - Dump'!$Q:$Q,'Business - Dump'!$D:$D,'SKU Repoprt'!$D568,'Business - Dump'!$A:$A,'SKU Repoprt'!H$1)</f>
        <v>0</v>
      </c>
      <c r="I568" s="3">
        <f>SUMIFS('Business - Dump'!$Q:$Q,'Business - Dump'!$D:$D,'SKU Repoprt'!$D568,'Business - Dump'!$A:$A,'SKU Repoprt'!I$1)</f>
        <v>0</v>
      </c>
      <c r="J568" s="3">
        <f>SUMIFS('Business - Dump'!$Q:$Q,'Business - Dump'!$D:$D,'SKU Repoprt'!$D568,'Business - Dump'!$A:$A,'SKU Repoprt'!J$1)</f>
        <v>0</v>
      </c>
      <c r="K568" s="3">
        <f>SUMIFS('Business - Dump'!$Q:$Q,'Business - Dump'!$D:$D,'SKU Repoprt'!$D568,'Business - Dump'!$A:$A,'SKU Repoprt'!K$1)</f>
        <v>0</v>
      </c>
      <c r="L568" s="3">
        <f>SUMIFS('Business - Dump'!$Q:$Q,'Business - Dump'!$D:$D,'SKU Repoprt'!$D568,'Business - Dump'!$A:$A,'SKU Repoprt'!L$1)</f>
        <v>0</v>
      </c>
      <c r="M568" s="3">
        <f>SUMIFS('Business - Dump'!$Q:$Q,'Business - Dump'!$D:$D,'SKU Repoprt'!$D568,'Business - Dump'!$A:$A,'SKU Repoprt'!M$1)</f>
        <v>0</v>
      </c>
      <c r="N568" s="3">
        <f>SUMIFS('Business - Dump'!$Q:$Q,'Business - Dump'!$D:$D,'SKU Repoprt'!$D568,'Business - Dump'!$A:$A,'SKU Repoprt'!N$1)</f>
        <v>0</v>
      </c>
      <c r="O568" s="3">
        <f>SUMIFS('Business - Dump'!$Q:$Q,'Business - Dump'!$D:$D,'SKU Repoprt'!$D568,'Business - Dump'!$A:$A,'SKU Repoprt'!O$1)</f>
        <v>0</v>
      </c>
      <c r="P568" s="3">
        <f>SUMIFS('Business - Dump'!$Q:$Q,'Business - Dump'!$D:$D,'SKU Repoprt'!$D568,'Business - Dump'!$A:$A,'SKU Repoprt'!P$1)</f>
        <v>0</v>
      </c>
      <c r="Q568" s="3">
        <f>SUMIFS('Business - Dump'!$Q:$Q,'Business - Dump'!$D:$D,'SKU Repoprt'!$D568,'Business - Dump'!$A:$A,'SKU Repoprt'!Q$1)</f>
        <v>0</v>
      </c>
      <c r="R568" s="3">
        <f>SUMIFS('Business - Dump'!$Q:$Q,'Business - Dump'!$D:$D,'SKU Repoprt'!$D568,'Business - Dump'!$A:$A,'SKU Repoprt'!R$1)</f>
        <v>0</v>
      </c>
      <c r="S568" s="3">
        <f>SUMIFS('Business - Dump'!$Q:$Q,'Business - Dump'!$D:$D,'SKU Repoprt'!$D568,'Business - Dump'!$A:$A,'SKU Repoprt'!S$1)</f>
        <v>16</v>
      </c>
      <c r="T568" s="3">
        <f>SUMIFS('Business - Dump'!$Q:$Q,'Business - Dump'!$D:$D,'SKU Repoprt'!$D568,'Business - Dump'!$A:$A,'SKU Repoprt'!T$1)</f>
        <v>27</v>
      </c>
      <c r="U568" s="3">
        <f>SUMIFS('Business - Dump'!$Q:$Q,'Business - Dump'!$D:$D,'SKU Repoprt'!$D568,'Business - Dump'!$A:$A,'SKU Repoprt'!U$1)</f>
        <v>26</v>
      </c>
      <c r="V568" s="3">
        <f>SUMIFS('Business - Dump'!$Q:$Q,'Business - Dump'!$D:$D,'SKU Repoprt'!$D568,'Business - Dump'!$A:$A,'SKU Repoprt'!V$1)</f>
        <v>0</v>
      </c>
      <c r="W568" s="3">
        <f>SUMIFS('Business - Dump'!$Q:$Q,'Business - Dump'!$D:$D,'SKU Repoprt'!$D568,'Business - Dump'!$A:$A,'SKU Repoprt'!W$1)</f>
        <v>5</v>
      </c>
    </row>
    <row r="569" ht="15.75" customHeight="1">
      <c r="A569" s="10" t="s">
        <v>413</v>
      </c>
      <c r="B569" s="10" t="s">
        <v>413</v>
      </c>
      <c r="C569" s="10"/>
      <c r="D569" s="10" t="s">
        <v>427</v>
      </c>
      <c r="E569" s="10" t="s">
        <v>268</v>
      </c>
      <c r="F569" s="3">
        <f t="shared" si="189"/>
        <v>16</v>
      </c>
      <c r="G569" s="3">
        <f>SUMIFS('Business - Dump'!$W:$W,'Business - Dump'!$D:$D,'SKU Repoprt'!$D569,'Business - Dump'!$A:$A,'SKU Repoprt'!G$1)</f>
        <v>0</v>
      </c>
      <c r="H569" s="3">
        <f>SUMIFS('Business - Dump'!$W:$W,'Business - Dump'!$D:$D,'SKU Repoprt'!$D569,'Business - Dump'!$A:$A,'SKU Repoprt'!H$1)</f>
        <v>0</v>
      </c>
      <c r="I569" s="3">
        <f>SUMIFS('Business - Dump'!$W:$W,'Business - Dump'!$D:$D,'SKU Repoprt'!$D569,'Business - Dump'!$A:$A,'SKU Repoprt'!I$1)</f>
        <v>0</v>
      </c>
      <c r="J569" s="3">
        <f>SUMIFS('Business - Dump'!$W:$W,'Business - Dump'!$D:$D,'SKU Repoprt'!$D569,'Business - Dump'!$A:$A,'SKU Repoprt'!J$1)</f>
        <v>0</v>
      </c>
      <c r="K569" s="3">
        <f>SUMIFS('Business - Dump'!$W:$W,'Business - Dump'!$D:$D,'SKU Repoprt'!$D569,'Business - Dump'!$A:$A,'SKU Repoprt'!K$1)</f>
        <v>0</v>
      </c>
      <c r="L569" s="3">
        <f>SUMIFS('Business - Dump'!$W:$W,'Business - Dump'!$D:$D,'SKU Repoprt'!$D569,'Business - Dump'!$A:$A,'SKU Repoprt'!L$1)</f>
        <v>0</v>
      </c>
      <c r="M569" s="3">
        <f>SUMIFS('Business - Dump'!$W:$W,'Business - Dump'!$D:$D,'SKU Repoprt'!$D569,'Business - Dump'!$A:$A,'SKU Repoprt'!M$1)</f>
        <v>0</v>
      </c>
      <c r="N569" s="3">
        <f>SUMIFS('Business - Dump'!$W:$W,'Business - Dump'!$D:$D,'SKU Repoprt'!$D569,'Business - Dump'!$A:$A,'SKU Repoprt'!N$1)</f>
        <v>0</v>
      </c>
      <c r="O569" s="3">
        <f>SUMIFS('Business - Dump'!$W:$W,'Business - Dump'!$D:$D,'SKU Repoprt'!$D569,'Business - Dump'!$A:$A,'SKU Repoprt'!O$1)</f>
        <v>0</v>
      </c>
      <c r="P569" s="3">
        <f>SUMIFS('Business - Dump'!$W:$W,'Business - Dump'!$D:$D,'SKU Repoprt'!$D569,'Business - Dump'!$A:$A,'SKU Repoprt'!P$1)</f>
        <v>0</v>
      </c>
      <c r="Q569" s="3">
        <f>SUMIFS('Business - Dump'!$W:$W,'Business - Dump'!$D:$D,'SKU Repoprt'!$D569,'Business - Dump'!$A:$A,'SKU Repoprt'!Q$1)</f>
        <v>0</v>
      </c>
      <c r="R569" s="3">
        <f>SUMIFS('Business - Dump'!$W:$W,'Business - Dump'!$D:$D,'SKU Repoprt'!$D569,'Business - Dump'!$A:$A,'SKU Repoprt'!R$1)</f>
        <v>0</v>
      </c>
      <c r="S569" s="3">
        <f>SUMIFS('Business - Dump'!$W:$W,'Business - Dump'!$D:$D,'SKU Repoprt'!$D569,'Business - Dump'!$A:$A,'SKU Repoprt'!S$1)</f>
        <v>16</v>
      </c>
      <c r="T569" s="3">
        <f>SUMIFS('Business - Dump'!$W:$W,'Business - Dump'!$D:$D,'SKU Repoprt'!$D569,'Business - Dump'!$A:$A,'SKU Repoprt'!T$1)</f>
        <v>24</v>
      </c>
      <c r="U569" s="3">
        <f>SUMIFS('Business - Dump'!$W:$W,'Business - Dump'!$D:$D,'SKU Repoprt'!$D569,'Business - Dump'!$A:$A,'SKU Repoprt'!U$1)</f>
        <v>23</v>
      </c>
      <c r="V569" s="3">
        <f>SUMIFS('Business - Dump'!$W:$W,'Business - Dump'!$D:$D,'SKU Repoprt'!$D569,'Business - Dump'!$A:$A,'SKU Repoprt'!V$1)</f>
        <v>0</v>
      </c>
      <c r="W569" s="3">
        <f>SUMIFS('Business - Dump'!$W:$W,'Business - Dump'!$D:$D,'SKU Repoprt'!$D569,'Business - Dump'!$A:$A,'SKU Repoprt'!W$1)</f>
        <v>5</v>
      </c>
    </row>
    <row r="570" ht="15.75" customHeight="1">
      <c r="A570" s="10" t="s">
        <v>413</v>
      </c>
      <c r="B570" s="10" t="s">
        <v>413</v>
      </c>
      <c r="C570" s="10"/>
      <c r="D570" s="10" t="s">
        <v>427</v>
      </c>
      <c r="E570" s="10" t="s">
        <v>26</v>
      </c>
      <c r="F570" s="16">
        <f t="shared" si="189"/>
        <v>271984</v>
      </c>
      <c r="G570" s="16">
        <f>SUMIFS('Business - Dump'!$U:$U,'Business - Dump'!$D:$D,'SKU Repoprt'!$D570,'Business - Dump'!$A:$A,'SKU Repoprt'!G$1)</f>
        <v>0</v>
      </c>
      <c r="H570" s="16">
        <f>SUMIFS('Business - Dump'!$U:$U,'Business - Dump'!$D:$D,'SKU Repoprt'!$D570,'Business - Dump'!$A:$A,'SKU Repoprt'!H$1)</f>
        <v>0</v>
      </c>
      <c r="I570" s="16">
        <f>SUMIFS('Business - Dump'!$U:$U,'Business - Dump'!$D:$D,'SKU Repoprt'!$D570,'Business - Dump'!$A:$A,'SKU Repoprt'!I$1)</f>
        <v>0</v>
      </c>
      <c r="J570" s="16">
        <f>SUMIFS('Business - Dump'!$U:$U,'Business - Dump'!$D:$D,'SKU Repoprt'!$D570,'Business - Dump'!$A:$A,'SKU Repoprt'!J$1)</f>
        <v>0</v>
      </c>
      <c r="K570" s="16">
        <f>SUMIFS('Business - Dump'!$U:$U,'Business - Dump'!$D:$D,'SKU Repoprt'!$D570,'Business - Dump'!$A:$A,'SKU Repoprt'!K$1)</f>
        <v>0</v>
      </c>
      <c r="L570" s="16">
        <f>SUMIFS('Business - Dump'!$U:$U,'Business - Dump'!$D:$D,'SKU Repoprt'!$D570,'Business - Dump'!$A:$A,'SKU Repoprt'!L$1)</f>
        <v>0</v>
      </c>
      <c r="M570" s="16">
        <f>SUMIFS('Business - Dump'!$U:$U,'Business - Dump'!$D:$D,'SKU Repoprt'!$D570,'Business - Dump'!$A:$A,'SKU Repoprt'!M$1)</f>
        <v>0</v>
      </c>
      <c r="N570" s="16">
        <f>SUMIFS('Business - Dump'!$U:$U,'Business - Dump'!$D:$D,'SKU Repoprt'!$D570,'Business - Dump'!$A:$A,'SKU Repoprt'!N$1)</f>
        <v>0</v>
      </c>
      <c r="O570" s="16">
        <f>SUMIFS('Business - Dump'!$U:$U,'Business - Dump'!$D:$D,'SKU Repoprt'!$D570,'Business - Dump'!$A:$A,'SKU Repoprt'!O$1)</f>
        <v>0</v>
      </c>
      <c r="P570" s="16">
        <f>SUMIFS('Business - Dump'!$U:$U,'Business - Dump'!$D:$D,'SKU Repoprt'!$D570,'Business - Dump'!$A:$A,'SKU Repoprt'!P$1)</f>
        <v>0</v>
      </c>
      <c r="Q570" s="16">
        <f>SUMIFS('Business - Dump'!$U:$U,'Business - Dump'!$D:$D,'SKU Repoprt'!$D570,'Business - Dump'!$A:$A,'SKU Repoprt'!Q$1)</f>
        <v>0</v>
      </c>
      <c r="R570" s="16">
        <f>SUMIFS('Business - Dump'!$U:$U,'Business - Dump'!$D:$D,'SKU Repoprt'!$D570,'Business - Dump'!$A:$A,'SKU Repoprt'!R$1)</f>
        <v>0</v>
      </c>
      <c r="S570" s="16">
        <f>SUMIFS('Business - Dump'!$U:$U,'Business - Dump'!$D:$D,'SKU Repoprt'!$D570,'Business - Dump'!$A:$A,'SKU Repoprt'!S$1)</f>
        <v>271984</v>
      </c>
      <c r="T570" s="16">
        <f>SUMIFS('Business - Dump'!$U:$U,'Business - Dump'!$D:$D,'SKU Repoprt'!$D570,'Business - Dump'!$A:$A,'SKU Repoprt'!T$1)</f>
        <v>458973</v>
      </c>
      <c r="U570" s="16">
        <f>SUMIFS('Business - Dump'!$U:$U,'Business - Dump'!$D:$D,'SKU Repoprt'!$D570,'Business - Dump'!$A:$A,'SKU Repoprt'!U$1)</f>
        <v>438750</v>
      </c>
      <c r="V570" s="16">
        <f>SUMIFS('Business - Dump'!$U:$U,'Business - Dump'!$D:$D,'SKU Repoprt'!$D570,'Business - Dump'!$A:$A,'SKU Repoprt'!V$1)</f>
        <v>0</v>
      </c>
      <c r="W570" s="16">
        <f>SUMIFS('Business - Dump'!$U:$U,'Business - Dump'!$D:$D,'SKU Repoprt'!$D570,'Business - Dump'!$A:$A,'SKU Repoprt'!W$1)</f>
        <v>83647</v>
      </c>
    </row>
    <row r="571" ht="15.75" customHeight="1">
      <c r="A571" s="10" t="s">
        <v>413</v>
      </c>
      <c r="B571" s="10" t="s">
        <v>413</v>
      </c>
      <c r="C571" s="10"/>
      <c r="D571" s="10" t="s">
        <v>427</v>
      </c>
      <c r="E571" s="10" t="s">
        <v>29</v>
      </c>
      <c r="F571" s="17">
        <v>0.027042857142857143</v>
      </c>
      <c r="G571" s="17">
        <f t="shared" ref="G571:W571" si="190">IFERROR(G569/G566,0)</f>
        <v>0</v>
      </c>
      <c r="H571" s="17">
        <f t="shared" si="190"/>
        <v>0</v>
      </c>
      <c r="I571" s="17">
        <f t="shared" si="190"/>
        <v>0</v>
      </c>
      <c r="J571" s="17">
        <f t="shared" si="190"/>
        <v>0</v>
      </c>
      <c r="K571" s="17">
        <f t="shared" si="190"/>
        <v>0</v>
      </c>
      <c r="L571" s="17">
        <f t="shared" si="190"/>
        <v>0</v>
      </c>
      <c r="M571" s="17">
        <f t="shared" si="190"/>
        <v>0</v>
      </c>
      <c r="N571" s="17">
        <f t="shared" si="190"/>
        <v>0</v>
      </c>
      <c r="O571" s="17">
        <f t="shared" si="190"/>
        <v>0</v>
      </c>
      <c r="P571" s="17">
        <f t="shared" si="190"/>
        <v>0</v>
      </c>
      <c r="Q571" s="17">
        <f t="shared" si="190"/>
        <v>0</v>
      </c>
      <c r="R571" s="17">
        <f t="shared" si="190"/>
        <v>0</v>
      </c>
      <c r="S571" s="17">
        <f t="shared" si="190"/>
        <v>0.007748184019</v>
      </c>
      <c r="T571" s="17">
        <f t="shared" si="190"/>
        <v>0.004013377926</v>
      </c>
      <c r="U571" s="17">
        <f t="shared" si="190"/>
        <v>0.006869772999</v>
      </c>
      <c r="V571" s="17">
        <f t="shared" si="190"/>
        <v>0</v>
      </c>
      <c r="W571" s="17">
        <f t="shared" si="190"/>
        <v>0.002226179875</v>
      </c>
    </row>
    <row r="572" ht="15.75" customHeight="1">
      <c r="A572" s="10" t="s">
        <v>413</v>
      </c>
      <c r="B572" s="10" t="s">
        <v>413</v>
      </c>
      <c r="C572" s="10"/>
      <c r="D572" s="10" t="s">
        <v>430</v>
      </c>
      <c r="E572" s="10" t="s">
        <v>257</v>
      </c>
      <c r="F572" s="3">
        <f t="shared" ref="F572:F576" si="191">SUM(G572:S572)</f>
        <v>1005</v>
      </c>
      <c r="G572" s="3">
        <f>SUMIFS('Business - Dump'!$G:$G,'Business - Dump'!$D:$D,'SKU Repoprt'!$D572,'Business - Dump'!$A:$A,'SKU Repoprt'!G$1)</f>
        <v>0</v>
      </c>
      <c r="H572" s="3">
        <f>SUMIFS('Business - Dump'!$G:$G,'Business - Dump'!$D:$D,'SKU Repoprt'!$D572,'Business - Dump'!$A:$A,'SKU Repoprt'!H$1)</f>
        <v>0</v>
      </c>
      <c r="I572" s="3">
        <f>SUMIFS('Business - Dump'!$G:$G,'Business - Dump'!$D:$D,'SKU Repoprt'!$D572,'Business - Dump'!$A:$A,'SKU Repoprt'!I$1)</f>
        <v>0</v>
      </c>
      <c r="J572" s="3">
        <f>SUMIFS('Business - Dump'!$G:$G,'Business - Dump'!$D:$D,'SKU Repoprt'!$D572,'Business - Dump'!$A:$A,'SKU Repoprt'!J$1)</f>
        <v>0</v>
      </c>
      <c r="K572" s="3">
        <f>SUMIFS('Business - Dump'!$G:$G,'Business - Dump'!$D:$D,'SKU Repoprt'!$D572,'Business - Dump'!$A:$A,'SKU Repoprt'!K$1)</f>
        <v>0</v>
      </c>
      <c r="L572" s="3">
        <f>SUMIFS('Business - Dump'!$G:$G,'Business - Dump'!$D:$D,'SKU Repoprt'!$D572,'Business - Dump'!$A:$A,'SKU Repoprt'!L$1)</f>
        <v>0</v>
      </c>
      <c r="M572" s="3">
        <f>SUMIFS('Business - Dump'!$G:$G,'Business - Dump'!$D:$D,'SKU Repoprt'!$D572,'Business - Dump'!$A:$A,'SKU Repoprt'!M$1)</f>
        <v>0</v>
      </c>
      <c r="N572" s="3">
        <f>SUMIFS('Business - Dump'!$G:$G,'Business - Dump'!$D:$D,'SKU Repoprt'!$D572,'Business - Dump'!$A:$A,'SKU Repoprt'!N$1)</f>
        <v>0</v>
      </c>
      <c r="O572" s="3">
        <f>SUMIFS('Business - Dump'!$G:$G,'Business - Dump'!$D:$D,'SKU Repoprt'!$D572,'Business - Dump'!$A:$A,'SKU Repoprt'!O$1)</f>
        <v>0</v>
      </c>
      <c r="P572" s="3">
        <f>SUMIFS('Business - Dump'!$G:$G,'Business - Dump'!$D:$D,'SKU Repoprt'!$D572,'Business - Dump'!$A:$A,'SKU Repoprt'!P$1)</f>
        <v>0</v>
      </c>
      <c r="Q572" s="3">
        <f>SUMIFS('Business - Dump'!$G:$G,'Business - Dump'!$D:$D,'SKU Repoprt'!$D572,'Business - Dump'!$A:$A,'SKU Repoprt'!Q$1)</f>
        <v>0</v>
      </c>
      <c r="R572" s="3">
        <f>SUMIFS('Business - Dump'!$G:$G,'Business - Dump'!$D:$D,'SKU Repoprt'!$D572,'Business - Dump'!$A:$A,'SKU Repoprt'!R$1)</f>
        <v>4</v>
      </c>
      <c r="S572" s="3">
        <f>SUMIFS('Business - Dump'!$G:$G,'Business - Dump'!$D:$D,'SKU Repoprt'!$D572,'Business - Dump'!$A:$A,'SKU Repoprt'!S$1)</f>
        <v>1001</v>
      </c>
      <c r="T572" s="3">
        <f>SUMIFS('Business - Dump'!$G:$G,'Business - Dump'!$D:$D,'SKU Repoprt'!$D572,'Business - Dump'!$A:$A,'SKU Repoprt'!T$1)</f>
        <v>3904</v>
      </c>
      <c r="U572" s="3">
        <f>SUMIFS('Business - Dump'!$G:$G,'Business - Dump'!$D:$D,'SKU Repoprt'!$D572,'Business - Dump'!$A:$A,'SKU Repoprt'!U$1)</f>
        <v>1689</v>
      </c>
      <c r="V572" s="3">
        <f>SUMIFS('Business - Dump'!$G:$G,'Business - Dump'!$D:$D,'SKU Repoprt'!$D572,'Business - Dump'!$A:$A,'SKU Repoprt'!V$1)</f>
        <v>28</v>
      </c>
      <c r="W572" s="3">
        <f>SUMIFS('Business - Dump'!$G:$G,'Business - Dump'!$D:$D,'SKU Repoprt'!$D572,'Business - Dump'!$A:$A,'SKU Repoprt'!W$1)</f>
        <v>1179</v>
      </c>
    </row>
    <row r="573" ht="15.75" customHeight="1">
      <c r="A573" s="10" t="s">
        <v>413</v>
      </c>
      <c r="B573" s="10" t="s">
        <v>413</v>
      </c>
      <c r="C573" s="10"/>
      <c r="D573" s="10" t="s">
        <v>430</v>
      </c>
      <c r="E573" s="10" t="s">
        <v>260</v>
      </c>
      <c r="F573" s="3">
        <f t="shared" si="191"/>
        <v>1560</v>
      </c>
      <c r="G573" s="3">
        <f>SUMIFS('Business - Dump'!$K:$K,'Business - Dump'!$D:$D,'SKU Repoprt'!$D573,'Business - Dump'!$A:$A,'SKU Repoprt'!G$1)</f>
        <v>0</v>
      </c>
      <c r="H573" s="3">
        <f>SUMIFS('Business - Dump'!$K:$K,'Business - Dump'!$D:$D,'SKU Repoprt'!$D573,'Business - Dump'!$A:$A,'SKU Repoprt'!H$1)</f>
        <v>0</v>
      </c>
      <c r="I573" s="3">
        <f>SUMIFS('Business - Dump'!$K:$K,'Business - Dump'!$D:$D,'SKU Repoprt'!$D573,'Business - Dump'!$A:$A,'SKU Repoprt'!I$1)</f>
        <v>0</v>
      </c>
      <c r="J573" s="3">
        <f>SUMIFS('Business - Dump'!$K:$K,'Business - Dump'!$D:$D,'SKU Repoprt'!$D573,'Business - Dump'!$A:$A,'SKU Repoprt'!J$1)</f>
        <v>0</v>
      </c>
      <c r="K573" s="3">
        <f>SUMIFS('Business - Dump'!$K:$K,'Business - Dump'!$D:$D,'SKU Repoprt'!$D573,'Business - Dump'!$A:$A,'SKU Repoprt'!K$1)</f>
        <v>0</v>
      </c>
      <c r="L573" s="3">
        <f>SUMIFS('Business - Dump'!$K:$K,'Business - Dump'!$D:$D,'SKU Repoprt'!$D573,'Business - Dump'!$A:$A,'SKU Repoprt'!L$1)</f>
        <v>0</v>
      </c>
      <c r="M573" s="3">
        <f>SUMIFS('Business - Dump'!$K:$K,'Business - Dump'!$D:$D,'SKU Repoprt'!$D573,'Business - Dump'!$A:$A,'SKU Repoprt'!M$1)</f>
        <v>0</v>
      </c>
      <c r="N573" s="3">
        <f>SUMIFS('Business - Dump'!$K:$K,'Business - Dump'!$D:$D,'SKU Repoprt'!$D573,'Business - Dump'!$A:$A,'SKU Repoprt'!N$1)</f>
        <v>0</v>
      </c>
      <c r="O573" s="3">
        <f>SUMIFS('Business - Dump'!$K:$K,'Business - Dump'!$D:$D,'SKU Repoprt'!$D573,'Business - Dump'!$A:$A,'SKU Repoprt'!O$1)</f>
        <v>0</v>
      </c>
      <c r="P573" s="3">
        <f>SUMIFS('Business - Dump'!$K:$K,'Business - Dump'!$D:$D,'SKU Repoprt'!$D573,'Business - Dump'!$A:$A,'SKU Repoprt'!P$1)</f>
        <v>0</v>
      </c>
      <c r="Q573" s="3">
        <f>SUMIFS('Business - Dump'!$K:$K,'Business - Dump'!$D:$D,'SKU Repoprt'!$D573,'Business - Dump'!$A:$A,'SKU Repoprt'!Q$1)</f>
        <v>0</v>
      </c>
      <c r="R573" s="3">
        <f>SUMIFS('Business - Dump'!$K:$K,'Business - Dump'!$D:$D,'SKU Repoprt'!$D573,'Business - Dump'!$A:$A,'SKU Repoprt'!R$1)</f>
        <v>5</v>
      </c>
      <c r="S573" s="3">
        <f>SUMIFS('Business - Dump'!$K:$K,'Business - Dump'!$D:$D,'SKU Repoprt'!$D573,'Business - Dump'!$A:$A,'SKU Repoprt'!S$1)</f>
        <v>1555</v>
      </c>
      <c r="T573" s="3">
        <f>SUMIFS('Business - Dump'!$K:$K,'Business - Dump'!$D:$D,'SKU Repoprt'!$D573,'Business - Dump'!$A:$A,'SKU Repoprt'!T$1)</f>
        <v>5433</v>
      </c>
      <c r="U573" s="3">
        <f>SUMIFS('Business - Dump'!$K:$K,'Business - Dump'!$D:$D,'SKU Repoprt'!$D573,'Business - Dump'!$A:$A,'SKU Repoprt'!U$1)</f>
        <v>2455</v>
      </c>
      <c r="V573" s="3">
        <f>SUMIFS('Business - Dump'!$K:$K,'Business - Dump'!$D:$D,'SKU Repoprt'!$D573,'Business - Dump'!$A:$A,'SKU Repoprt'!V$1)</f>
        <v>46</v>
      </c>
      <c r="W573" s="3">
        <f>SUMIFS('Business - Dump'!$K:$K,'Business - Dump'!$D:$D,'SKU Repoprt'!$D573,'Business - Dump'!$A:$A,'SKU Repoprt'!W$1)</f>
        <v>1706</v>
      </c>
    </row>
    <row r="574" ht="15.75" customHeight="1">
      <c r="A574" s="10" t="s">
        <v>413</v>
      </c>
      <c r="B574" s="10" t="s">
        <v>413</v>
      </c>
      <c r="C574" s="10"/>
      <c r="D574" s="10" t="s">
        <v>430</v>
      </c>
      <c r="E574" s="10" t="s">
        <v>264</v>
      </c>
      <c r="F574" s="3">
        <f t="shared" si="191"/>
        <v>8</v>
      </c>
      <c r="G574" s="3">
        <f>SUMIFS('Business - Dump'!$Q:$Q,'Business - Dump'!$D:$D,'SKU Repoprt'!$D574,'Business - Dump'!$A:$A,'SKU Repoprt'!G$1)</f>
        <v>0</v>
      </c>
      <c r="H574" s="3">
        <f>SUMIFS('Business - Dump'!$Q:$Q,'Business - Dump'!$D:$D,'SKU Repoprt'!$D574,'Business - Dump'!$A:$A,'SKU Repoprt'!H$1)</f>
        <v>0</v>
      </c>
      <c r="I574" s="3">
        <f>SUMIFS('Business - Dump'!$Q:$Q,'Business - Dump'!$D:$D,'SKU Repoprt'!$D574,'Business - Dump'!$A:$A,'SKU Repoprt'!I$1)</f>
        <v>0</v>
      </c>
      <c r="J574" s="3">
        <f>SUMIFS('Business - Dump'!$Q:$Q,'Business - Dump'!$D:$D,'SKU Repoprt'!$D574,'Business - Dump'!$A:$A,'SKU Repoprt'!J$1)</f>
        <v>0</v>
      </c>
      <c r="K574" s="3">
        <f>SUMIFS('Business - Dump'!$Q:$Q,'Business - Dump'!$D:$D,'SKU Repoprt'!$D574,'Business - Dump'!$A:$A,'SKU Repoprt'!K$1)</f>
        <v>0</v>
      </c>
      <c r="L574" s="3">
        <f>SUMIFS('Business - Dump'!$Q:$Q,'Business - Dump'!$D:$D,'SKU Repoprt'!$D574,'Business - Dump'!$A:$A,'SKU Repoprt'!L$1)</f>
        <v>0</v>
      </c>
      <c r="M574" s="3">
        <f>SUMIFS('Business - Dump'!$Q:$Q,'Business - Dump'!$D:$D,'SKU Repoprt'!$D574,'Business - Dump'!$A:$A,'SKU Repoprt'!M$1)</f>
        <v>0</v>
      </c>
      <c r="N574" s="3">
        <f>SUMIFS('Business - Dump'!$Q:$Q,'Business - Dump'!$D:$D,'SKU Repoprt'!$D574,'Business - Dump'!$A:$A,'SKU Repoprt'!N$1)</f>
        <v>0</v>
      </c>
      <c r="O574" s="3">
        <f>SUMIFS('Business - Dump'!$Q:$Q,'Business - Dump'!$D:$D,'SKU Repoprt'!$D574,'Business - Dump'!$A:$A,'SKU Repoprt'!O$1)</f>
        <v>0</v>
      </c>
      <c r="P574" s="3">
        <f>SUMIFS('Business - Dump'!$Q:$Q,'Business - Dump'!$D:$D,'SKU Repoprt'!$D574,'Business - Dump'!$A:$A,'SKU Repoprt'!P$1)</f>
        <v>0</v>
      </c>
      <c r="Q574" s="3">
        <f>SUMIFS('Business - Dump'!$Q:$Q,'Business - Dump'!$D:$D,'SKU Repoprt'!$D574,'Business - Dump'!$A:$A,'SKU Repoprt'!Q$1)</f>
        <v>0</v>
      </c>
      <c r="R574" s="3">
        <f>SUMIFS('Business - Dump'!$Q:$Q,'Business - Dump'!$D:$D,'SKU Repoprt'!$D574,'Business - Dump'!$A:$A,'SKU Repoprt'!R$1)</f>
        <v>0</v>
      </c>
      <c r="S574" s="3">
        <f>SUMIFS('Business - Dump'!$Q:$Q,'Business - Dump'!$D:$D,'SKU Repoprt'!$D574,'Business - Dump'!$A:$A,'SKU Repoprt'!S$1)</f>
        <v>8</v>
      </c>
      <c r="T574" s="3">
        <f>SUMIFS('Business - Dump'!$Q:$Q,'Business - Dump'!$D:$D,'SKU Repoprt'!$D574,'Business - Dump'!$A:$A,'SKU Repoprt'!T$1)</f>
        <v>20</v>
      </c>
      <c r="U574" s="3">
        <f>SUMIFS('Business - Dump'!$Q:$Q,'Business - Dump'!$D:$D,'SKU Repoprt'!$D574,'Business - Dump'!$A:$A,'SKU Repoprt'!U$1)</f>
        <v>20</v>
      </c>
      <c r="V574" s="3">
        <f>SUMIFS('Business - Dump'!$Q:$Q,'Business - Dump'!$D:$D,'SKU Repoprt'!$D574,'Business - Dump'!$A:$A,'SKU Repoprt'!V$1)</f>
        <v>0</v>
      </c>
      <c r="W574" s="3">
        <f>SUMIFS('Business - Dump'!$Q:$Q,'Business - Dump'!$D:$D,'SKU Repoprt'!$D574,'Business - Dump'!$A:$A,'SKU Repoprt'!W$1)</f>
        <v>7</v>
      </c>
    </row>
    <row r="575" ht="15.75" customHeight="1">
      <c r="A575" s="10" t="s">
        <v>413</v>
      </c>
      <c r="B575" s="10" t="s">
        <v>413</v>
      </c>
      <c r="C575" s="10"/>
      <c r="D575" s="10" t="s">
        <v>430</v>
      </c>
      <c r="E575" s="10" t="s">
        <v>268</v>
      </c>
      <c r="F575" s="3">
        <f t="shared" si="191"/>
        <v>8</v>
      </c>
      <c r="G575" s="3">
        <f>SUMIFS('Business - Dump'!$W:$W,'Business - Dump'!$D:$D,'SKU Repoprt'!$D575,'Business - Dump'!$A:$A,'SKU Repoprt'!G$1)</f>
        <v>0</v>
      </c>
      <c r="H575" s="3">
        <f>SUMIFS('Business - Dump'!$W:$W,'Business - Dump'!$D:$D,'SKU Repoprt'!$D575,'Business - Dump'!$A:$A,'SKU Repoprt'!H$1)</f>
        <v>0</v>
      </c>
      <c r="I575" s="3">
        <f>SUMIFS('Business - Dump'!$W:$W,'Business - Dump'!$D:$D,'SKU Repoprt'!$D575,'Business - Dump'!$A:$A,'SKU Repoprt'!I$1)</f>
        <v>0</v>
      </c>
      <c r="J575" s="3">
        <f>SUMIFS('Business - Dump'!$W:$W,'Business - Dump'!$D:$D,'SKU Repoprt'!$D575,'Business - Dump'!$A:$A,'SKU Repoprt'!J$1)</f>
        <v>0</v>
      </c>
      <c r="K575" s="3">
        <f>SUMIFS('Business - Dump'!$W:$W,'Business - Dump'!$D:$D,'SKU Repoprt'!$D575,'Business - Dump'!$A:$A,'SKU Repoprt'!K$1)</f>
        <v>0</v>
      </c>
      <c r="L575" s="3">
        <f>SUMIFS('Business - Dump'!$W:$W,'Business - Dump'!$D:$D,'SKU Repoprt'!$D575,'Business - Dump'!$A:$A,'SKU Repoprt'!L$1)</f>
        <v>0</v>
      </c>
      <c r="M575" s="3">
        <f>SUMIFS('Business - Dump'!$W:$W,'Business - Dump'!$D:$D,'SKU Repoprt'!$D575,'Business - Dump'!$A:$A,'SKU Repoprt'!M$1)</f>
        <v>0</v>
      </c>
      <c r="N575" s="3">
        <f>SUMIFS('Business - Dump'!$W:$W,'Business - Dump'!$D:$D,'SKU Repoprt'!$D575,'Business - Dump'!$A:$A,'SKU Repoprt'!N$1)</f>
        <v>0</v>
      </c>
      <c r="O575" s="3">
        <f>SUMIFS('Business - Dump'!$W:$W,'Business - Dump'!$D:$D,'SKU Repoprt'!$D575,'Business - Dump'!$A:$A,'SKU Repoprt'!O$1)</f>
        <v>0</v>
      </c>
      <c r="P575" s="3">
        <f>SUMIFS('Business - Dump'!$W:$W,'Business - Dump'!$D:$D,'SKU Repoprt'!$D575,'Business - Dump'!$A:$A,'SKU Repoprt'!P$1)</f>
        <v>0</v>
      </c>
      <c r="Q575" s="3">
        <f>SUMIFS('Business - Dump'!$W:$W,'Business - Dump'!$D:$D,'SKU Repoprt'!$D575,'Business - Dump'!$A:$A,'SKU Repoprt'!Q$1)</f>
        <v>0</v>
      </c>
      <c r="R575" s="3">
        <f>SUMIFS('Business - Dump'!$W:$W,'Business - Dump'!$D:$D,'SKU Repoprt'!$D575,'Business - Dump'!$A:$A,'SKU Repoprt'!R$1)</f>
        <v>0</v>
      </c>
      <c r="S575" s="3">
        <f>SUMIFS('Business - Dump'!$W:$W,'Business - Dump'!$D:$D,'SKU Repoprt'!$D575,'Business - Dump'!$A:$A,'SKU Repoprt'!S$1)</f>
        <v>8</v>
      </c>
      <c r="T575" s="3">
        <f>SUMIFS('Business - Dump'!$W:$W,'Business - Dump'!$D:$D,'SKU Repoprt'!$D575,'Business - Dump'!$A:$A,'SKU Repoprt'!T$1)</f>
        <v>19</v>
      </c>
      <c r="U575" s="3">
        <f>SUMIFS('Business - Dump'!$W:$W,'Business - Dump'!$D:$D,'SKU Repoprt'!$D575,'Business - Dump'!$A:$A,'SKU Repoprt'!U$1)</f>
        <v>20</v>
      </c>
      <c r="V575" s="3">
        <f>SUMIFS('Business - Dump'!$W:$W,'Business - Dump'!$D:$D,'SKU Repoprt'!$D575,'Business - Dump'!$A:$A,'SKU Repoprt'!V$1)</f>
        <v>0</v>
      </c>
      <c r="W575" s="3">
        <f>SUMIFS('Business - Dump'!$W:$W,'Business - Dump'!$D:$D,'SKU Repoprt'!$D575,'Business - Dump'!$A:$A,'SKU Repoprt'!W$1)</f>
        <v>7</v>
      </c>
    </row>
    <row r="576" ht="15.75" customHeight="1">
      <c r="A576" s="10" t="s">
        <v>413</v>
      </c>
      <c r="B576" s="10" t="s">
        <v>413</v>
      </c>
      <c r="C576" s="10"/>
      <c r="D576" s="10" t="s">
        <v>430</v>
      </c>
      <c r="E576" s="10" t="s">
        <v>26</v>
      </c>
      <c r="F576" s="16">
        <f t="shared" si="191"/>
        <v>135992</v>
      </c>
      <c r="G576" s="16">
        <f>SUMIFS('Business - Dump'!$U:$U,'Business - Dump'!$D:$D,'SKU Repoprt'!$D576,'Business - Dump'!$A:$A,'SKU Repoprt'!G$1)</f>
        <v>0</v>
      </c>
      <c r="H576" s="16">
        <f>SUMIFS('Business - Dump'!$U:$U,'Business - Dump'!$D:$D,'SKU Repoprt'!$D576,'Business - Dump'!$A:$A,'SKU Repoprt'!H$1)</f>
        <v>0</v>
      </c>
      <c r="I576" s="16">
        <f>SUMIFS('Business - Dump'!$U:$U,'Business - Dump'!$D:$D,'SKU Repoprt'!$D576,'Business - Dump'!$A:$A,'SKU Repoprt'!I$1)</f>
        <v>0</v>
      </c>
      <c r="J576" s="16">
        <f>SUMIFS('Business - Dump'!$U:$U,'Business - Dump'!$D:$D,'SKU Repoprt'!$D576,'Business - Dump'!$A:$A,'SKU Repoprt'!J$1)</f>
        <v>0</v>
      </c>
      <c r="K576" s="16">
        <f>SUMIFS('Business - Dump'!$U:$U,'Business - Dump'!$D:$D,'SKU Repoprt'!$D576,'Business - Dump'!$A:$A,'SKU Repoprt'!K$1)</f>
        <v>0</v>
      </c>
      <c r="L576" s="16">
        <f>SUMIFS('Business - Dump'!$U:$U,'Business - Dump'!$D:$D,'SKU Repoprt'!$D576,'Business - Dump'!$A:$A,'SKU Repoprt'!L$1)</f>
        <v>0</v>
      </c>
      <c r="M576" s="16">
        <f>SUMIFS('Business - Dump'!$U:$U,'Business - Dump'!$D:$D,'SKU Repoprt'!$D576,'Business - Dump'!$A:$A,'SKU Repoprt'!M$1)</f>
        <v>0</v>
      </c>
      <c r="N576" s="16">
        <f>SUMIFS('Business - Dump'!$U:$U,'Business - Dump'!$D:$D,'SKU Repoprt'!$D576,'Business - Dump'!$A:$A,'SKU Repoprt'!N$1)</f>
        <v>0</v>
      </c>
      <c r="O576" s="16">
        <f>SUMIFS('Business - Dump'!$U:$U,'Business - Dump'!$D:$D,'SKU Repoprt'!$D576,'Business - Dump'!$A:$A,'SKU Repoprt'!O$1)</f>
        <v>0</v>
      </c>
      <c r="P576" s="16">
        <f>SUMIFS('Business - Dump'!$U:$U,'Business - Dump'!$D:$D,'SKU Repoprt'!$D576,'Business - Dump'!$A:$A,'SKU Repoprt'!P$1)</f>
        <v>0</v>
      </c>
      <c r="Q576" s="16">
        <f>SUMIFS('Business - Dump'!$U:$U,'Business - Dump'!$D:$D,'SKU Repoprt'!$D576,'Business - Dump'!$A:$A,'SKU Repoprt'!Q$1)</f>
        <v>0</v>
      </c>
      <c r="R576" s="16">
        <f>SUMIFS('Business - Dump'!$U:$U,'Business - Dump'!$D:$D,'SKU Repoprt'!$D576,'Business - Dump'!$A:$A,'SKU Repoprt'!R$1)</f>
        <v>0</v>
      </c>
      <c r="S576" s="16">
        <f>SUMIFS('Business - Dump'!$U:$U,'Business - Dump'!$D:$D,'SKU Repoprt'!$D576,'Business - Dump'!$A:$A,'SKU Repoprt'!S$1)</f>
        <v>135992</v>
      </c>
      <c r="T576" s="16">
        <f>SUMIFS('Business - Dump'!$U:$U,'Business - Dump'!$D:$D,'SKU Repoprt'!$D576,'Business - Dump'!$A:$A,'SKU Repoprt'!T$1)</f>
        <v>323982</v>
      </c>
      <c r="U576" s="16">
        <f>SUMIFS('Business - Dump'!$U:$U,'Business - Dump'!$D:$D,'SKU Repoprt'!$D576,'Business - Dump'!$A:$A,'SKU Repoprt'!U$1)</f>
        <v>335941</v>
      </c>
      <c r="V576" s="16">
        <f>SUMIFS('Business - Dump'!$U:$U,'Business - Dump'!$D:$D,'SKU Repoprt'!$D576,'Business - Dump'!$A:$A,'SKU Repoprt'!V$1)</f>
        <v>0</v>
      </c>
      <c r="W576" s="16">
        <f>SUMIFS('Business - Dump'!$U:$U,'Business - Dump'!$D:$D,'SKU Repoprt'!$D576,'Business - Dump'!$A:$A,'SKU Repoprt'!W$1)</f>
        <v>118319</v>
      </c>
    </row>
    <row r="577" ht="15.75" customHeight="1">
      <c r="A577" s="10" t="s">
        <v>413</v>
      </c>
      <c r="B577" s="10" t="s">
        <v>413</v>
      </c>
      <c r="C577" s="10"/>
      <c r="D577" s="10" t="s">
        <v>430</v>
      </c>
      <c r="E577" s="10" t="s">
        <v>29</v>
      </c>
      <c r="F577" s="17">
        <v>0.027042857142857143</v>
      </c>
      <c r="G577" s="17">
        <f t="shared" ref="G577:W577" si="192">IFERROR(G575/G572,0)</f>
        <v>0</v>
      </c>
      <c r="H577" s="17">
        <f t="shared" si="192"/>
        <v>0</v>
      </c>
      <c r="I577" s="17">
        <f t="shared" si="192"/>
        <v>0</v>
      </c>
      <c r="J577" s="17">
        <f t="shared" si="192"/>
        <v>0</v>
      </c>
      <c r="K577" s="17">
        <f t="shared" si="192"/>
        <v>0</v>
      </c>
      <c r="L577" s="17">
        <f t="shared" si="192"/>
        <v>0</v>
      </c>
      <c r="M577" s="17">
        <f t="shared" si="192"/>
        <v>0</v>
      </c>
      <c r="N577" s="17">
        <f t="shared" si="192"/>
        <v>0</v>
      </c>
      <c r="O577" s="17">
        <f t="shared" si="192"/>
        <v>0</v>
      </c>
      <c r="P577" s="17">
        <f t="shared" si="192"/>
        <v>0</v>
      </c>
      <c r="Q577" s="17">
        <f t="shared" si="192"/>
        <v>0</v>
      </c>
      <c r="R577" s="17">
        <f t="shared" si="192"/>
        <v>0</v>
      </c>
      <c r="S577" s="17">
        <f t="shared" si="192"/>
        <v>0.007992007992</v>
      </c>
      <c r="T577" s="17">
        <f t="shared" si="192"/>
        <v>0.004866803279</v>
      </c>
      <c r="U577" s="17">
        <f t="shared" si="192"/>
        <v>0.01184132623</v>
      </c>
      <c r="V577" s="17">
        <f t="shared" si="192"/>
        <v>0</v>
      </c>
      <c r="W577" s="17">
        <f t="shared" si="192"/>
        <v>0.005937234945</v>
      </c>
    </row>
    <row r="578" ht="15.75" customHeight="1">
      <c r="A578" s="10" t="s">
        <v>176</v>
      </c>
      <c r="B578" s="10" t="s">
        <v>176</v>
      </c>
      <c r="C578" s="10"/>
      <c r="D578" s="10" t="s">
        <v>389</v>
      </c>
      <c r="E578" s="10" t="s">
        <v>257</v>
      </c>
      <c r="F578" s="3">
        <f t="shared" ref="F578:F582" si="193">SUM(G578:S578)</f>
        <v>8153</v>
      </c>
      <c r="G578" s="3">
        <f>SUMIFS('Business - Dump'!$G:$G,'Business - Dump'!$D:$D,'SKU Repoprt'!$D578,'Business - Dump'!$A:$A,'SKU Repoprt'!G$1)</f>
        <v>0</v>
      </c>
      <c r="H578" s="3">
        <f>SUMIFS('Business - Dump'!$G:$G,'Business - Dump'!$D:$D,'SKU Repoprt'!$D578,'Business - Dump'!$A:$A,'SKU Repoprt'!H$1)</f>
        <v>0</v>
      </c>
      <c r="I578" s="3">
        <f>SUMIFS('Business - Dump'!$G:$G,'Business - Dump'!$D:$D,'SKU Repoprt'!$D578,'Business - Dump'!$A:$A,'SKU Repoprt'!I$1)</f>
        <v>0</v>
      </c>
      <c r="J578" s="3">
        <f>SUMIFS('Business - Dump'!$G:$G,'Business - Dump'!$D:$D,'SKU Repoprt'!$D578,'Business - Dump'!$A:$A,'SKU Repoprt'!J$1)</f>
        <v>0</v>
      </c>
      <c r="K578" s="3">
        <f>SUMIFS('Business - Dump'!$G:$G,'Business - Dump'!$D:$D,'SKU Repoprt'!$D578,'Business - Dump'!$A:$A,'SKU Repoprt'!K$1)</f>
        <v>103</v>
      </c>
      <c r="L578" s="3">
        <f>SUMIFS('Business - Dump'!$G:$G,'Business - Dump'!$D:$D,'SKU Repoprt'!$D578,'Business - Dump'!$A:$A,'SKU Repoprt'!L$1)</f>
        <v>0</v>
      </c>
      <c r="M578" s="3">
        <f>SUMIFS('Business - Dump'!$G:$G,'Business - Dump'!$D:$D,'SKU Repoprt'!$D578,'Business - Dump'!$A:$A,'SKU Repoprt'!M$1)</f>
        <v>714</v>
      </c>
      <c r="N578" s="3">
        <f>SUMIFS('Business - Dump'!$G:$G,'Business - Dump'!$D:$D,'SKU Repoprt'!$D578,'Business - Dump'!$A:$A,'SKU Repoprt'!N$1)</f>
        <v>868</v>
      </c>
      <c r="O578" s="3">
        <f>SUMIFS('Business - Dump'!$G:$G,'Business - Dump'!$D:$D,'SKU Repoprt'!$D578,'Business - Dump'!$A:$A,'SKU Repoprt'!O$1)</f>
        <v>1586</v>
      </c>
      <c r="P578" s="3">
        <f>SUMIFS('Business - Dump'!$G:$G,'Business - Dump'!$D:$D,'SKU Repoprt'!$D578,'Business - Dump'!$A:$A,'SKU Repoprt'!P$1)</f>
        <v>1508</v>
      </c>
      <c r="Q578" s="3">
        <f>SUMIFS('Business - Dump'!$G:$G,'Business - Dump'!$D:$D,'SKU Repoprt'!$D578,'Business - Dump'!$A:$A,'SKU Repoprt'!Q$1)</f>
        <v>1945</v>
      </c>
      <c r="R578" s="3">
        <f>SUMIFS('Business - Dump'!$G:$G,'Business - Dump'!$D:$D,'SKU Repoprt'!$D578,'Business - Dump'!$A:$A,'SKU Repoprt'!R$1)</f>
        <v>1188</v>
      </c>
      <c r="S578" s="3">
        <f>SUMIFS('Business - Dump'!$G:$G,'Business - Dump'!$D:$D,'SKU Repoprt'!$D578,'Business - Dump'!$A:$A,'SKU Repoprt'!S$1)</f>
        <v>241</v>
      </c>
      <c r="T578" s="3">
        <f>SUMIFS('Business - Dump'!$G:$G,'Business - Dump'!$D:$D,'SKU Repoprt'!$D578,'Business - Dump'!$A:$A,'SKU Repoprt'!T$1)</f>
        <v>0</v>
      </c>
      <c r="U578" s="3">
        <f>SUMIFS('Business - Dump'!$G:$G,'Business - Dump'!$D:$D,'SKU Repoprt'!$D578,'Business - Dump'!$A:$A,'SKU Repoprt'!U$1)</f>
        <v>0</v>
      </c>
      <c r="V578" s="3">
        <f>SUMIFS('Business - Dump'!$G:$G,'Business - Dump'!$D:$D,'SKU Repoprt'!$D578,'Business - Dump'!$A:$A,'SKU Repoprt'!V$1)</f>
        <v>0</v>
      </c>
      <c r="W578" s="3">
        <f>SUMIFS('Business - Dump'!$G:$G,'Business - Dump'!$D:$D,'SKU Repoprt'!$D578,'Business - Dump'!$A:$A,'SKU Repoprt'!W$1)</f>
        <v>0</v>
      </c>
    </row>
    <row r="579" ht="15.75" customHeight="1">
      <c r="A579" s="10" t="s">
        <v>176</v>
      </c>
      <c r="B579" s="10" t="s">
        <v>176</v>
      </c>
      <c r="C579" s="10"/>
      <c r="D579" s="10" t="s">
        <v>389</v>
      </c>
      <c r="E579" s="10" t="s">
        <v>260</v>
      </c>
      <c r="F579" s="3">
        <f t="shared" si="193"/>
        <v>11174</v>
      </c>
      <c r="G579" s="3">
        <f>SUMIFS('Business - Dump'!$K:$K,'Business - Dump'!$D:$D,'SKU Repoprt'!$D579,'Business - Dump'!$A:$A,'SKU Repoprt'!G$1)</f>
        <v>0</v>
      </c>
      <c r="H579" s="3">
        <f>SUMIFS('Business - Dump'!$K:$K,'Business - Dump'!$D:$D,'SKU Repoprt'!$D579,'Business - Dump'!$A:$A,'SKU Repoprt'!H$1)</f>
        <v>0</v>
      </c>
      <c r="I579" s="3">
        <f>SUMIFS('Business - Dump'!$K:$K,'Business - Dump'!$D:$D,'SKU Repoprt'!$D579,'Business - Dump'!$A:$A,'SKU Repoprt'!I$1)</f>
        <v>0</v>
      </c>
      <c r="J579" s="3">
        <f>SUMIFS('Business - Dump'!$K:$K,'Business - Dump'!$D:$D,'SKU Repoprt'!$D579,'Business - Dump'!$A:$A,'SKU Repoprt'!J$1)</f>
        <v>0</v>
      </c>
      <c r="K579" s="3">
        <f>SUMIFS('Business - Dump'!$K:$K,'Business - Dump'!$D:$D,'SKU Repoprt'!$D579,'Business - Dump'!$A:$A,'SKU Repoprt'!K$1)</f>
        <v>112</v>
      </c>
      <c r="L579" s="3">
        <f>SUMIFS('Business - Dump'!$K:$K,'Business - Dump'!$D:$D,'SKU Repoprt'!$D579,'Business - Dump'!$A:$A,'SKU Repoprt'!L$1)</f>
        <v>0</v>
      </c>
      <c r="M579" s="3">
        <f>SUMIFS('Business - Dump'!$K:$K,'Business - Dump'!$D:$D,'SKU Repoprt'!$D579,'Business - Dump'!$A:$A,'SKU Repoprt'!M$1)</f>
        <v>998</v>
      </c>
      <c r="N579" s="3">
        <f>SUMIFS('Business - Dump'!$K:$K,'Business - Dump'!$D:$D,'SKU Repoprt'!$D579,'Business - Dump'!$A:$A,'SKU Repoprt'!N$1)</f>
        <v>1146</v>
      </c>
      <c r="O579" s="3">
        <f>SUMIFS('Business - Dump'!$K:$K,'Business - Dump'!$D:$D,'SKU Repoprt'!$D579,'Business - Dump'!$A:$A,'SKU Repoprt'!O$1)</f>
        <v>2197</v>
      </c>
      <c r="P579" s="3">
        <f>SUMIFS('Business - Dump'!$K:$K,'Business - Dump'!$D:$D,'SKU Repoprt'!$D579,'Business - Dump'!$A:$A,'SKU Repoprt'!P$1)</f>
        <v>2030</v>
      </c>
      <c r="Q579" s="3">
        <f>SUMIFS('Business - Dump'!$K:$K,'Business - Dump'!$D:$D,'SKU Repoprt'!$D579,'Business - Dump'!$A:$A,'SKU Repoprt'!Q$1)</f>
        <v>2796</v>
      </c>
      <c r="R579" s="3">
        <f>SUMIFS('Business - Dump'!$K:$K,'Business - Dump'!$D:$D,'SKU Repoprt'!$D579,'Business - Dump'!$A:$A,'SKU Repoprt'!R$1)</f>
        <v>1579</v>
      </c>
      <c r="S579" s="3">
        <f>SUMIFS('Business - Dump'!$K:$K,'Business - Dump'!$D:$D,'SKU Repoprt'!$D579,'Business - Dump'!$A:$A,'SKU Repoprt'!S$1)</f>
        <v>316</v>
      </c>
      <c r="T579" s="3">
        <f>SUMIFS('Business - Dump'!$K:$K,'Business - Dump'!$D:$D,'SKU Repoprt'!$D579,'Business - Dump'!$A:$A,'SKU Repoprt'!T$1)</f>
        <v>0</v>
      </c>
      <c r="U579" s="3">
        <f>SUMIFS('Business - Dump'!$K:$K,'Business - Dump'!$D:$D,'SKU Repoprt'!$D579,'Business - Dump'!$A:$A,'SKU Repoprt'!U$1)</f>
        <v>0</v>
      </c>
      <c r="V579" s="3">
        <f>SUMIFS('Business - Dump'!$K:$K,'Business - Dump'!$D:$D,'SKU Repoprt'!$D579,'Business - Dump'!$A:$A,'SKU Repoprt'!V$1)</f>
        <v>0</v>
      </c>
      <c r="W579" s="3">
        <f>SUMIFS('Business - Dump'!$K:$K,'Business - Dump'!$D:$D,'SKU Repoprt'!$D579,'Business - Dump'!$A:$A,'SKU Repoprt'!W$1)</f>
        <v>0</v>
      </c>
    </row>
    <row r="580" ht="15.75" customHeight="1">
      <c r="A580" s="10" t="s">
        <v>176</v>
      </c>
      <c r="B580" s="10" t="s">
        <v>176</v>
      </c>
      <c r="C580" s="10"/>
      <c r="D580" s="10" t="s">
        <v>389</v>
      </c>
      <c r="E580" s="10" t="s">
        <v>264</v>
      </c>
      <c r="F580" s="3">
        <f t="shared" si="193"/>
        <v>59</v>
      </c>
      <c r="G580" s="3">
        <f>SUMIFS('Business - Dump'!$Q:$Q,'Business - Dump'!$D:$D,'SKU Repoprt'!$D580,'Business - Dump'!$A:$A,'SKU Repoprt'!G$1)</f>
        <v>0</v>
      </c>
      <c r="H580" s="3">
        <f>SUMIFS('Business - Dump'!$Q:$Q,'Business - Dump'!$D:$D,'SKU Repoprt'!$D580,'Business - Dump'!$A:$A,'SKU Repoprt'!H$1)</f>
        <v>0</v>
      </c>
      <c r="I580" s="3">
        <f>SUMIFS('Business - Dump'!$Q:$Q,'Business - Dump'!$D:$D,'SKU Repoprt'!$D580,'Business - Dump'!$A:$A,'SKU Repoprt'!I$1)</f>
        <v>0</v>
      </c>
      <c r="J580" s="3">
        <f>SUMIFS('Business - Dump'!$Q:$Q,'Business - Dump'!$D:$D,'SKU Repoprt'!$D580,'Business - Dump'!$A:$A,'SKU Repoprt'!J$1)</f>
        <v>0</v>
      </c>
      <c r="K580" s="3">
        <f>SUMIFS('Business - Dump'!$Q:$Q,'Business - Dump'!$D:$D,'SKU Repoprt'!$D580,'Business - Dump'!$A:$A,'SKU Repoprt'!K$1)</f>
        <v>1</v>
      </c>
      <c r="L580" s="3">
        <f>SUMIFS('Business - Dump'!$Q:$Q,'Business - Dump'!$D:$D,'SKU Repoprt'!$D580,'Business - Dump'!$A:$A,'SKU Repoprt'!L$1)</f>
        <v>0</v>
      </c>
      <c r="M580" s="3">
        <f>SUMIFS('Business - Dump'!$Q:$Q,'Business - Dump'!$D:$D,'SKU Repoprt'!$D580,'Business - Dump'!$A:$A,'SKU Repoprt'!M$1)</f>
        <v>5</v>
      </c>
      <c r="N580" s="3">
        <f>SUMIFS('Business - Dump'!$Q:$Q,'Business - Dump'!$D:$D,'SKU Repoprt'!$D580,'Business - Dump'!$A:$A,'SKU Repoprt'!N$1)</f>
        <v>2</v>
      </c>
      <c r="O580" s="3">
        <f>SUMIFS('Business - Dump'!$Q:$Q,'Business - Dump'!$D:$D,'SKU Repoprt'!$D580,'Business - Dump'!$A:$A,'SKU Repoprt'!O$1)</f>
        <v>13</v>
      </c>
      <c r="P580" s="3">
        <f>SUMIFS('Business - Dump'!$Q:$Q,'Business - Dump'!$D:$D,'SKU Repoprt'!$D580,'Business - Dump'!$A:$A,'SKU Repoprt'!P$1)</f>
        <v>12</v>
      </c>
      <c r="Q580" s="3">
        <f>SUMIFS('Business - Dump'!$Q:$Q,'Business - Dump'!$D:$D,'SKU Repoprt'!$D580,'Business - Dump'!$A:$A,'SKU Repoprt'!Q$1)</f>
        <v>19</v>
      </c>
      <c r="R580" s="3">
        <f>SUMIFS('Business - Dump'!$Q:$Q,'Business - Dump'!$D:$D,'SKU Repoprt'!$D580,'Business - Dump'!$A:$A,'SKU Repoprt'!R$1)</f>
        <v>5</v>
      </c>
      <c r="S580" s="3">
        <f>SUMIFS('Business - Dump'!$Q:$Q,'Business - Dump'!$D:$D,'SKU Repoprt'!$D580,'Business - Dump'!$A:$A,'SKU Repoprt'!S$1)</f>
        <v>2</v>
      </c>
      <c r="T580" s="3">
        <f>SUMIFS('Business - Dump'!$Q:$Q,'Business - Dump'!$D:$D,'SKU Repoprt'!$D580,'Business - Dump'!$A:$A,'SKU Repoprt'!T$1)</f>
        <v>0</v>
      </c>
      <c r="U580" s="3">
        <f>SUMIFS('Business - Dump'!$Q:$Q,'Business - Dump'!$D:$D,'SKU Repoprt'!$D580,'Business - Dump'!$A:$A,'SKU Repoprt'!U$1)</f>
        <v>0</v>
      </c>
      <c r="V580" s="3">
        <f>SUMIFS('Business - Dump'!$Q:$Q,'Business - Dump'!$D:$D,'SKU Repoprt'!$D580,'Business - Dump'!$A:$A,'SKU Repoprt'!V$1)</f>
        <v>0</v>
      </c>
      <c r="W580" s="3">
        <f>SUMIFS('Business - Dump'!$Q:$Q,'Business - Dump'!$D:$D,'SKU Repoprt'!$D580,'Business - Dump'!$A:$A,'SKU Repoprt'!W$1)</f>
        <v>0</v>
      </c>
    </row>
    <row r="581" ht="15.75" customHeight="1">
      <c r="A581" s="10" t="s">
        <v>176</v>
      </c>
      <c r="B581" s="10" t="s">
        <v>176</v>
      </c>
      <c r="C581" s="10"/>
      <c r="D581" s="10" t="s">
        <v>389</v>
      </c>
      <c r="E581" s="10" t="s">
        <v>268</v>
      </c>
      <c r="F581" s="3">
        <f t="shared" si="193"/>
        <v>58</v>
      </c>
      <c r="G581" s="3">
        <f>SUMIFS('Business - Dump'!$W:$W,'Business - Dump'!$D:$D,'SKU Repoprt'!$D581,'Business - Dump'!$A:$A,'SKU Repoprt'!G$1)</f>
        <v>0</v>
      </c>
      <c r="H581" s="3">
        <f>SUMIFS('Business - Dump'!$W:$W,'Business - Dump'!$D:$D,'SKU Repoprt'!$D581,'Business - Dump'!$A:$A,'SKU Repoprt'!H$1)</f>
        <v>0</v>
      </c>
      <c r="I581" s="3">
        <f>SUMIFS('Business - Dump'!$W:$W,'Business - Dump'!$D:$D,'SKU Repoprt'!$D581,'Business - Dump'!$A:$A,'SKU Repoprt'!I$1)</f>
        <v>0</v>
      </c>
      <c r="J581" s="3">
        <f>SUMIFS('Business - Dump'!$W:$W,'Business - Dump'!$D:$D,'SKU Repoprt'!$D581,'Business - Dump'!$A:$A,'SKU Repoprt'!J$1)</f>
        <v>0</v>
      </c>
      <c r="K581" s="3">
        <f>SUMIFS('Business - Dump'!$W:$W,'Business - Dump'!$D:$D,'SKU Repoprt'!$D581,'Business - Dump'!$A:$A,'SKU Repoprt'!K$1)</f>
        <v>1</v>
      </c>
      <c r="L581" s="3">
        <f>SUMIFS('Business - Dump'!$W:$W,'Business - Dump'!$D:$D,'SKU Repoprt'!$D581,'Business - Dump'!$A:$A,'SKU Repoprt'!L$1)</f>
        <v>0</v>
      </c>
      <c r="M581" s="3">
        <f>SUMIFS('Business - Dump'!$W:$W,'Business - Dump'!$D:$D,'SKU Repoprt'!$D581,'Business - Dump'!$A:$A,'SKU Repoprt'!M$1)</f>
        <v>5</v>
      </c>
      <c r="N581" s="3">
        <f>SUMIFS('Business - Dump'!$W:$W,'Business - Dump'!$D:$D,'SKU Repoprt'!$D581,'Business - Dump'!$A:$A,'SKU Repoprt'!N$1)</f>
        <v>2</v>
      </c>
      <c r="O581" s="3">
        <f>SUMIFS('Business - Dump'!$W:$W,'Business - Dump'!$D:$D,'SKU Repoprt'!$D581,'Business - Dump'!$A:$A,'SKU Repoprt'!O$1)</f>
        <v>13</v>
      </c>
      <c r="P581" s="3">
        <f>SUMIFS('Business - Dump'!$W:$W,'Business - Dump'!$D:$D,'SKU Repoprt'!$D581,'Business - Dump'!$A:$A,'SKU Repoprt'!P$1)</f>
        <v>12</v>
      </c>
      <c r="Q581" s="3">
        <f>SUMIFS('Business - Dump'!$W:$W,'Business - Dump'!$D:$D,'SKU Repoprt'!$D581,'Business - Dump'!$A:$A,'SKU Repoprt'!Q$1)</f>
        <v>18</v>
      </c>
      <c r="R581" s="3">
        <f>SUMIFS('Business - Dump'!$W:$W,'Business - Dump'!$D:$D,'SKU Repoprt'!$D581,'Business - Dump'!$A:$A,'SKU Repoprt'!R$1)</f>
        <v>5</v>
      </c>
      <c r="S581" s="3">
        <f>SUMIFS('Business - Dump'!$W:$W,'Business - Dump'!$D:$D,'SKU Repoprt'!$D581,'Business - Dump'!$A:$A,'SKU Repoprt'!S$1)</f>
        <v>2</v>
      </c>
      <c r="T581" s="3">
        <f>SUMIFS('Business - Dump'!$W:$W,'Business - Dump'!$D:$D,'SKU Repoprt'!$D581,'Business - Dump'!$A:$A,'SKU Repoprt'!T$1)</f>
        <v>0</v>
      </c>
      <c r="U581" s="3">
        <f>SUMIFS('Business - Dump'!$W:$W,'Business - Dump'!$D:$D,'SKU Repoprt'!$D581,'Business - Dump'!$A:$A,'SKU Repoprt'!U$1)</f>
        <v>0</v>
      </c>
      <c r="V581" s="3">
        <f>SUMIFS('Business - Dump'!$W:$W,'Business - Dump'!$D:$D,'SKU Repoprt'!$D581,'Business - Dump'!$A:$A,'SKU Repoprt'!V$1)</f>
        <v>0</v>
      </c>
      <c r="W581" s="3">
        <f>SUMIFS('Business - Dump'!$W:$W,'Business - Dump'!$D:$D,'SKU Repoprt'!$D581,'Business - Dump'!$A:$A,'SKU Repoprt'!W$1)</f>
        <v>0</v>
      </c>
    </row>
    <row r="582" ht="15.75" customHeight="1">
      <c r="A582" s="10" t="s">
        <v>176</v>
      </c>
      <c r="B582" s="10" t="s">
        <v>176</v>
      </c>
      <c r="C582" s="10"/>
      <c r="D582" s="10" t="s">
        <v>389</v>
      </c>
      <c r="E582" s="10" t="s">
        <v>26</v>
      </c>
      <c r="F582" s="16">
        <f t="shared" si="193"/>
        <v>834201.64</v>
      </c>
      <c r="G582" s="16">
        <f>SUMIFS('Business - Dump'!$U:$U,'Business - Dump'!$D:$D,'SKU Repoprt'!$D582,'Business - Dump'!$A:$A,'SKU Repoprt'!G$1)</f>
        <v>0</v>
      </c>
      <c r="H582" s="16">
        <f>SUMIFS('Business - Dump'!$U:$U,'Business - Dump'!$D:$D,'SKU Repoprt'!$D582,'Business - Dump'!$A:$A,'SKU Repoprt'!H$1)</f>
        <v>0</v>
      </c>
      <c r="I582" s="16">
        <f>SUMIFS('Business - Dump'!$U:$U,'Business - Dump'!$D:$D,'SKU Repoprt'!$D582,'Business - Dump'!$A:$A,'SKU Repoprt'!I$1)</f>
        <v>0</v>
      </c>
      <c r="J582" s="16">
        <f>SUMIFS('Business - Dump'!$U:$U,'Business - Dump'!$D:$D,'SKU Repoprt'!$D582,'Business - Dump'!$A:$A,'SKU Repoprt'!J$1)</f>
        <v>0</v>
      </c>
      <c r="K582" s="16">
        <f>SUMIFS('Business - Dump'!$U:$U,'Business - Dump'!$D:$D,'SKU Repoprt'!$D582,'Business - Dump'!$A:$A,'SKU Repoprt'!K$1)</f>
        <v>18899</v>
      </c>
      <c r="L582" s="16">
        <f>SUMIFS('Business - Dump'!$U:$U,'Business - Dump'!$D:$D,'SKU Repoprt'!$D582,'Business - Dump'!$A:$A,'SKU Repoprt'!L$1)</f>
        <v>0</v>
      </c>
      <c r="M582" s="16">
        <f>SUMIFS('Business - Dump'!$U:$U,'Business - Dump'!$D:$D,'SKU Repoprt'!$D582,'Business - Dump'!$A:$A,'SKU Repoprt'!M$1)</f>
        <v>69950</v>
      </c>
      <c r="N582" s="16">
        <f>SUMIFS('Business - Dump'!$U:$U,'Business - Dump'!$D:$D,'SKU Repoprt'!$D582,'Business - Dump'!$A:$A,'SKU Repoprt'!N$1)</f>
        <v>28488.48</v>
      </c>
      <c r="O582" s="16">
        <f>SUMIFS('Business - Dump'!$U:$U,'Business - Dump'!$D:$D,'SKU Repoprt'!$D582,'Business - Dump'!$A:$A,'SKU Repoprt'!O$1)</f>
        <v>183956.08</v>
      </c>
      <c r="P582" s="16">
        <f>SUMIFS('Business - Dump'!$U:$U,'Business - Dump'!$D:$D,'SKU Repoprt'!$D582,'Business - Dump'!$A:$A,'SKU Repoprt'!P$1)</f>
        <v>172518.76</v>
      </c>
      <c r="Q582" s="16">
        <f>SUMIFS('Business - Dump'!$U:$U,'Business - Dump'!$D:$D,'SKU Repoprt'!$D582,'Business - Dump'!$A:$A,'SKU Repoprt'!Q$1)</f>
        <v>262599.32</v>
      </c>
      <c r="R582" s="16">
        <f>SUMIFS('Business - Dump'!$U:$U,'Business - Dump'!$D:$D,'SKU Repoprt'!$D582,'Business - Dump'!$A:$A,'SKU Repoprt'!R$1)</f>
        <v>67450</v>
      </c>
      <c r="S582" s="16">
        <f>SUMIFS('Business - Dump'!$U:$U,'Business - Dump'!$D:$D,'SKU Repoprt'!$D582,'Business - Dump'!$A:$A,'SKU Repoprt'!S$1)</f>
        <v>30340</v>
      </c>
      <c r="T582" s="16">
        <f>SUMIFS('Business - Dump'!$U:$U,'Business - Dump'!$D:$D,'SKU Repoprt'!$D582,'Business - Dump'!$A:$A,'SKU Repoprt'!T$1)</f>
        <v>0</v>
      </c>
      <c r="U582" s="16">
        <f>SUMIFS('Business - Dump'!$U:$U,'Business - Dump'!$D:$D,'SKU Repoprt'!$D582,'Business - Dump'!$A:$A,'SKU Repoprt'!U$1)</f>
        <v>0</v>
      </c>
      <c r="V582" s="16">
        <f>SUMIFS('Business - Dump'!$U:$U,'Business - Dump'!$D:$D,'SKU Repoprt'!$D582,'Business - Dump'!$A:$A,'SKU Repoprt'!V$1)</f>
        <v>0</v>
      </c>
      <c r="W582" s="16">
        <f>SUMIFS('Business - Dump'!$U:$U,'Business - Dump'!$D:$D,'SKU Repoprt'!$D582,'Business - Dump'!$A:$A,'SKU Repoprt'!W$1)</f>
        <v>0</v>
      </c>
    </row>
    <row r="583" ht="15.75" customHeight="1">
      <c r="A583" s="10" t="s">
        <v>176</v>
      </c>
      <c r="B583" s="10" t="s">
        <v>176</v>
      </c>
      <c r="C583" s="10"/>
      <c r="D583" s="10" t="s">
        <v>389</v>
      </c>
      <c r="E583" s="10" t="s">
        <v>29</v>
      </c>
      <c r="F583" s="17">
        <v>0.027042857142857143</v>
      </c>
      <c r="G583" s="17">
        <f t="shared" ref="G583:W583" si="194">IFERROR(G581/G578,0)</f>
        <v>0</v>
      </c>
      <c r="H583" s="17">
        <f t="shared" si="194"/>
        <v>0</v>
      </c>
      <c r="I583" s="17">
        <f t="shared" si="194"/>
        <v>0</v>
      </c>
      <c r="J583" s="17">
        <f t="shared" si="194"/>
        <v>0</v>
      </c>
      <c r="K583" s="17">
        <f t="shared" si="194"/>
        <v>0.009708737864</v>
      </c>
      <c r="L583" s="17">
        <f t="shared" si="194"/>
        <v>0</v>
      </c>
      <c r="M583" s="17">
        <f t="shared" si="194"/>
        <v>0.00700280112</v>
      </c>
      <c r="N583" s="17">
        <f t="shared" si="194"/>
        <v>0.002304147465</v>
      </c>
      <c r="O583" s="17">
        <f t="shared" si="194"/>
        <v>0.008196721311</v>
      </c>
      <c r="P583" s="17">
        <f t="shared" si="194"/>
        <v>0.007957559682</v>
      </c>
      <c r="Q583" s="17">
        <f t="shared" si="194"/>
        <v>0.009254498715</v>
      </c>
      <c r="R583" s="17">
        <f t="shared" si="194"/>
        <v>0.004208754209</v>
      </c>
      <c r="S583" s="17">
        <f t="shared" si="194"/>
        <v>0.008298755187</v>
      </c>
      <c r="T583" s="17">
        <f t="shared" si="194"/>
        <v>0</v>
      </c>
      <c r="U583" s="17">
        <f t="shared" si="194"/>
        <v>0</v>
      </c>
      <c r="V583" s="17">
        <f t="shared" si="194"/>
        <v>0</v>
      </c>
      <c r="W583" s="17">
        <f t="shared" si="194"/>
        <v>0</v>
      </c>
    </row>
    <row r="584" ht="15.75" customHeight="1">
      <c r="A584" s="10" t="s">
        <v>176</v>
      </c>
      <c r="B584" s="10" t="s">
        <v>176</v>
      </c>
      <c r="C584" s="10"/>
      <c r="D584" s="10" t="s">
        <v>298</v>
      </c>
      <c r="E584" s="10" t="s">
        <v>257</v>
      </c>
      <c r="F584" s="3">
        <f t="shared" ref="F584:F588" si="195">SUM(G584:S584)</f>
        <v>30670</v>
      </c>
      <c r="G584" s="3">
        <f>SUMIFS('Business - Dump'!$G:$G,'Business - Dump'!$D:$D,'SKU Repoprt'!$D584,'Business - Dump'!$A:$A,'SKU Repoprt'!G$1)</f>
        <v>1784</v>
      </c>
      <c r="H584" s="3">
        <f>SUMIFS('Business - Dump'!$G:$G,'Business - Dump'!$D:$D,'SKU Repoprt'!$D584,'Business - Dump'!$A:$A,'SKU Repoprt'!H$1)</f>
        <v>2254</v>
      </c>
      <c r="I584" s="3">
        <f>SUMIFS('Business - Dump'!$G:$G,'Business - Dump'!$D:$D,'SKU Repoprt'!$D584,'Business - Dump'!$A:$A,'SKU Repoprt'!I$1)</f>
        <v>1802</v>
      </c>
      <c r="J584" s="3">
        <f>SUMIFS('Business - Dump'!$G:$G,'Business - Dump'!$D:$D,'SKU Repoprt'!$D584,'Business - Dump'!$A:$A,'SKU Repoprt'!J$1)</f>
        <v>1885</v>
      </c>
      <c r="K584" s="3">
        <f>SUMIFS('Business - Dump'!$G:$G,'Business - Dump'!$D:$D,'SKU Repoprt'!$D584,'Business - Dump'!$A:$A,'SKU Repoprt'!K$1)</f>
        <v>2032</v>
      </c>
      <c r="L584" s="3">
        <f>SUMIFS('Business - Dump'!$G:$G,'Business - Dump'!$D:$D,'SKU Repoprt'!$D584,'Business - Dump'!$A:$A,'SKU Repoprt'!L$1)</f>
        <v>1805</v>
      </c>
      <c r="M584" s="3">
        <f>SUMIFS('Business - Dump'!$G:$G,'Business - Dump'!$D:$D,'SKU Repoprt'!$D584,'Business - Dump'!$A:$A,'SKU Repoprt'!M$1)</f>
        <v>2824</v>
      </c>
      <c r="N584" s="3">
        <f>SUMIFS('Business - Dump'!$G:$G,'Business - Dump'!$D:$D,'SKU Repoprt'!$D584,'Business - Dump'!$A:$A,'SKU Repoprt'!N$1)</f>
        <v>2150</v>
      </c>
      <c r="O584" s="3">
        <f>SUMIFS('Business - Dump'!$G:$G,'Business - Dump'!$D:$D,'SKU Repoprt'!$D584,'Business - Dump'!$A:$A,'SKU Repoprt'!O$1)</f>
        <v>2719</v>
      </c>
      <c r="P584" s="3">
        <f>SUMIFS('Business - Dump'!$G:$G,'Business - Dump'!$D:$D,'SKU Repoprt'!$D584,'Business - Dump'!$A:$A,'SKU Repoprt'!P$1)</f>
        <v>3152</v>
      </c>
      <c r="Q584" s="3">
        <f>SUMIFS('Business - Dump'!$G:$G,'Business - Dump'!$D:$D,'SKU Repoprt'!$D584,'Business - Dump'!$A:$A,'SKU Repoprt'!Q$1)</f>
        <v>3272</v>
      </c>
      <c r="R584" s="3">
        <f>SUMIFS('Business - Dump'!$G:$G,'Business - Dump'!$D:$D,'SKU Repoprt'!$D584,'Business - Dump'!$A:$A,'SKU Repoprt'!R$1)</f>
        <v>3089</v>
      </c>
      <c r="S584" s="3">
        <f>SUMIFS('Business - Dump'!$G:$G,'Business - Dump'!$D:$D,'SKU Repoprt'!$D584,'Business - Dump'!$A:$A,'SKU Repoprt'!S$1)</f>
        <v>1902</v>
      </c>
      <c r="T584" s="3">
        <f>SUMIFS('Business - Dump'!$G:$G,'Business - Dump'!$D:$D,'SKU Repoprt'!$D584,'Business - Dump'!$A:$A,'SKU Repoprt'!T$1)</f>
        <v>1421</v>
      </c>
      <c r="U584" s="3">
        <f>SUMIFS('Business - Dump'!$G:$G,'Business - Dump'!$D:$D,'SKU Repoprt'!$D584,'Business - Dump'!$A:$A,'SKU Repoprt'!U$1)</f>
        <v>2234</v>
      </c>
      <c r="V584" s="3">
        <f>SUMIFS('Business - Dump'!$G:$G,'Business - Dump'!$D:$D,'SKU Repoprt'!$D584,'Business - Dump'!$A:$A,'SKU Repoprt'!V$1)</f>
        <v>1630</v>
      </c>
      <c r="W584" s="3">
        <f>SUMIFS('Business - Dump'!$G:$G,'Business - Dump'!$D:$D,'SKU Repoprt'!$D584,'Business - Dump'!$A:$A,'SKU Repoprt'!W$1)</f>
        <v>1560</v>
      </c>
    </row>
    <row r="585" ht="15.75" customHeight="1">
      <c r="A585" s="10" t="s">
        <v>176</v>
      </c>
      <c r="B585" s="10" t="s">
        <v>176</v>
      </c>
      <c r="C585" s="10"/>
      <c r="D585" s="10" t="s">
        <v>298</v>
      </c>
      <c r="E585" s="10" t="s">
        <v>260</v>
      </c>
      <c r="F585" s="3">
        <f t="shared" si="195"/>
        <v>41299</v>
      </c>
      <c r="G585" s="3">
        <f>SUMIFS('Business - Dump'!$K:$K,'Business - Dump'!$D:$D,'SKU Repoprt'!$D585,'Business - Dump'!$A:$A,'SKU Repoprt'!G$1)</f>
        <v>2415</v>
      </c>
      <c r="H585" s="3">
        <f>SUMIFS('Business - Dump'!$K:$K,'Business - Dump'!$D:$D,'SKU Repoprt'!$D585,'Business - Dump'!$A:$A,'SKU Repoprt'!H$1)</f>
        <v>3459</v>
      </c>
      <c r="I585" s="3">
        <f>SUMIFS('Business - Dump'!$K:$K,'Business - Dump'!$D:$D,'SKU Repoprt'!$D585,'Business - Dump'!$A:$A,'SKU Repoprt'!I$1)</f>
        <v>2415</v>
      </c>
      <c r="J585" s="3">
        <f>SUMIFS('Business - Dump'!$K:$K,'Business - Dump'!$D:$D,'SKU Repoprt'!$D585,'Business - Dump'!$A:$A,'SKU Repoprt'!J$1)</f>
        <v>2498</v>
      </c>
      <c r="K585" s="3">
        <f>SUMIFS('Business - Dump'!$K:$K,'Business - Dump'!$D:$D,'SKU Repoprt'!$D585,'Business - Dump'!$A:$A,'SKU Repoprt'!K$1)</f>
        <v>2634</v>
      </c>
      <c r="L585" s="3">
        <f>SUMIFS('Business - Dump'!$K:$K,'Business - Dump'!$D:$D,'SKU Repoprt'!$D585,'Business - Dump'!$A:$A,'SKU Repoprt'!L$1)</f>
        <v>2303</v>
      </c>
      <c r="M585" s="3">
        <f>SUMIFS('Business - Dump'!$K:$K,'Business - Dump'!$D:$D,'SKU Repoprt'!$D585,'Business - Dump'!$A:$A,'SKU Repoprt'!M$1)</f>
        <v>4118</v>
      </c>
      <c r="N585" s="3">
        <f>SUMIFS('Business - Dump'!$K:$K,'Business - Dump'!$D:$D,'SKU Repoprt'!$D585,'Business - Dump'!$A:$A,'SKU Repoprt'!N$1)</f>
        <v>2767</v>
      </c>
      <c r="O585" s="3">
        <f>SUMIFS('Business - Dump'!$K:$K,'Business - Dump'!$D:$D,'SKU Repoprt'!$D585,'Business - Dump'!$A:$A,'SKU Repoprt'!O$1)</f>
        <v>3533</v>
      </c>
      <c r="P585" s="3">
        <f>SUMIFS('Business - Dump'!$K:$K,'Business - Dump'!$D:$D,'SKU Repoprt'!$D585,'Business - Dump'!$A:$A,'SKU Repoprt'!P$1)</f>
        <v>4131</v>
      </c>
      <c r="Q585" s="3">
        <f>SUMIFS('Business - Dump'!$K:$K,'Business - Dump'!$D:$D,'SKU Repoprt'!$D585,'Business - Dump'!$A:$A,'SKU Repoprt'!Q$1)</f>
        <v>4404</v>
      </c>
      <c r="R585" s="3">
        <f>SUMIFS('Business - Dump'!$K:$K,'Business - Dump'!$D:$D,'SKU Repoprt'!$D585,'Business - Dump'!$A:$A,'SKU Repoprt'!R$1)</f>
        <v>4204</v>
      </c>
      <c r="S585" s="3">
        <f>SUMIFS('Business - Dump'!$K:$K,'Business - Dump'!$D:$D,'SKU Repoprt'!$D585,'Business - Dump'!$A:$A,'SKU Repoprt'!S$1)</f>
        <v>2418</v>
      </c>
      <c r="T585" s="3">
        <f>SUMIFS('Business - Dump'!$K:$K,'Business - Dump'!$D:$D,'SKU Repoprt'!$D585,'Business - Dump'!$A:$A,'SKU Repoprt'!T$1)</f>
        <v>1819</v>
      </c>
      <c r="U585" s="3">
        <f>SUMIFS('Business - Dump'!$K:$K,'Business - Dump'!$D:$D,'SKU Repoprt'!$D585,'Business - Dump'!$A:$A,'SKU Repoprt'!U$1)</f>
        <v>2916</v>
      </c>
      <c r="V585" s="3">
        <f>SUMIFS('Business - Dump'!$K:$K,'Business - Dump'!$D:$D,'SKU Repoprt'!$D585,'Business - Dump'!$A:$A,'SKU Repoprt'!V$1)</f>
        <v>2186</v>
      </c>
      <c r="W585" s="3">
        <f>SUMIFS('Business - Dump'!$K:$K,'Business - Dump'!$D:$D,'SKU Repoprt'!$D585,'Business - Dump'!$A:$A,'SKU Repoprt'!W$1)</f>
        <v>2266</v>
      </c>
    </row>
    <row r="586" ht="15.75" customHeight="1">
      <c r="A586" s="10" t="s">
        <v>176</v>
      </c>
      <c r="B586" s="10" t="s">
        <v>176</v>
      </c>
      <c r="C586" s="10"/>
      <c r="D586" s="10" t="s">
        <v>298</v>
      </c>
      <c r="E586" s="10" t="s">
        <v>264</v>
      </c>
      <c r="F586" s="3">
        <f t="shared" si="195"/>
        <v>190</v>
      </c>
      <c r="G586" s="3">
        <f>SUMIFS('Business - Dump'!$Q:$Q,'Business - Dump'!$D:$D,'SKU Repoprt'!$D586,'Business - Dump'!$A:$A,'SKU Repoprt'!G$1)</f>
        <v>8</v>
      </c>
      <c r="H586" s="3">
        <f>SUMIFS('Business - Dump'!$Q:$Q,'Business - Dump'!$D:$D,'SKU Repoprt'!$D586,'Business - Dump'!$A:$A,'SKU Repoprt'!H$1)</f>
        <v>14</v>
      </c>
      <c r="I586" s="3">
        <f>SUMIFS('Business - Dump'!$Q:$Q,'Business - Dump'!$D:$D,'SKU Repoprt'!$D586,'Business - Dump'!$A:$A,'SKU Repoprt'!I$1)</f>
        <v>15</v>
      </c>
      <c r="J586" s="3">
        <f>SUMIFS('Business - Dump'!$Q:$Q,'Business - Dump'!$D:$D,'SKU Repoprt'!$D586,'Business - Dump'!$A:$A,'SKU Repoprt'!J$1)</f>
        <v>10</v>
      </c>
      <c r="K586" s="3">
        <f>SUMIFS('Business - Dump'!$Q:$Q,'Business - Dump'!$D:$D,'SKU Repoprt'!$D586,'Business - Dump'!$A:$A,'SKU Repoprt'!K$1)</f>
        <v>13</v>
      </c>
      <c r="L586" s="3">
        <f>SUMIFS('Business - Dump'!$Q:$Q,'Business - Dump'!$D:$D,'SKU Repoprt'!$D586,'Business - Dump'!$A:$A,'SKU Repoprt'!L$1)</f>
        <v>7</v>
      </c>
      <c r="M586" s="3">
        <f>SUMIFS('Business - Dump'!$Q:$Q,'Business - Dump'!$D:$D,'SKU Repoprt'!$D586,'Business - Dump'!$A:$A,'SKU Repoprt'!M$1)</f>
        <v>22</v>
      </c>
      <c r="N586" s="3">
        <f>SUMIFS('Business - Dump'!$Q:$Q,'Business - Dump'!$D:$D,'SKU Repoprt'!$D586,'Business - Dump'!$A:$A,'SKU Repoprt'!N$1)</f>
        <v>10</v>
      </c>
      <c r="O586" s="3">
        <f>SUMIFS('Business - Dump'!$Q:$Q,'Business - Dump'!$D:$D,'SKU Repoprt'!$D586,'Business - Dump'!$A:$A,'SKU Repoprt'!O$1)</f>
        <v>19</v>
      </c>
      <c r="P586" s="3">
        <f>SUMIFS('Business - Dump'!$Q:$Q,'Business - Dump'!$D:$D,'SKU Repoprt'!$D586,'Business - Dump'!$A:$A,'SKU Repoprt'!P$1)</f>
        <v>13</v>
      </c>
      <c r="Q586" s="3">
        <f>SUMIFS('Business - Dump'!$Q:$Q,'Business - Dump'!$D:$D,'SKU Repoprt'!$D586,'Business - Dump'!$A:$A,'SKU Repoprt'!Q$1)</f>
        <v>30</v>
      </c>
      <c r="R586" s="3">
        <f>SUMIFS('Business - Dump'!$Q:$Q,'Business - Dump'!$D:$D,'SKU Repoprt'!$D586,'Business - Dump'!$A:$A,'SKU Repoprt'!R$1)</f>
        <v>26</v>
      </c>
      <c r="S586" s="3">
        <f>SUMIFS('Business - Dump'!$Q:$Q,'Business - Dump'!$D:$D,'SKU Repoprt'!$D586,'Business - Dump'!$A:$A,'SKU Repoprt'!S$1)</f>
        <v>3</v>
      </c>
      <c r="T586" s="3">
        <f>SUMIFS('Business - Dump'!$Q:$Q,'Business - Dump'!$D:$D,'SKU Repoprt'!$D586,'Business - Dump'!$A:$A,'SKU Repoprt'!T$1)</f>
        <v>7</v>
      </c>
      <c r="U586" s="3">
        <f>SUMIFS('Business - Dump'!$Q:$Q,'Business - Dump'!$D:$D,'SKU Repoprt'!$D586,'Business - Dump'!$A:$A,'SKU Repoprt'!U$1)</f>
        <v>19</v>
      </c>
      <c r="V586" s="3">
        <f>SUMIFS('Business - Dump'!$Q:$Q,'Business - Dump'!$D:$D,'SKU Repoprt'!$D586,'Business - Dump'!$A:$A,'SKU Repoprt'!V$1)</f>
        <v>15</v>
      </c>
      <c r="W586" s="3">
        <f>SUMIFS('Business - Dump'!$Q:$Q,'Business - Dump'!$D:$D,'SKU Repoprt'!$D586,'Business - Dump'!$A:$A,'SKU Repoprt'!W$1)</f>
        <v>18</v>
      </c>
    </row>
    <row r="587" ht="15.75" customHeight="1">
      <c r="A587" s="10" t="s">
        <v>176</v>
      </c>
      <c r="B587" s="10" t="s">
        <v>176</v>
      </c>
      <c r="C587" s="10"/>
      <c r="D587" s="10" t="s">
        <v>298</v>
      </c>
      <c r="E587" s="10" t="s">
        <v>268</v>
      </c>
      <c r="F587" s="3">
        <f t="shared" si="195"/>
        <v>185</v>
      </c>
      <c r="G587" s="3">
        <f>SUMIFS('Business - Dump'!$W:$W,'Business - Dump'!$D:$D,'SKU Repoprt'!$D587,'Business - Dump'!$A:$A,'SKU Repoprt'!G$1)</f>
        <v>8</v>
      </c>
      <c r="H587" s="3">
        <f>SUMIFS('Business - Dump'!$W:$W,'Business - Dump'!$D:$D,'SKU Repoprt'!$D587,'Business - Dump'!$A:$A,'SKU Repoprt'!H$1)</f>
        <v>14</v>
      </c>
      <c r="I587" s="3">
        <f>SUMIFS('Business - Dump'!$W:$W,'Business - Dump'!$D:$D,'SKU Repoprt'!$D587,'Business - Dump'!$A:$A,'SKU Repoprt'!I$1)</f>
        <v>13</v>
      </c>
      <c r="J587" s="3">
        <f>SUMIFS('Business - Dump'!$W:$W,'Business - Dump'!$D:$D,'SKU Repoprt'!$D587,'Business - Dump'!$A:$A,'SKU Repoprt'!J$1)</f>
        <v>9</v>
      </c>
      <c r="K587" s="3">
        <f>SUMIFS('Business - Dump'!$W:$W,'Business - Dump'!$D:$D,'SKU Repoprt'!$D587,'Business - Dump'!$A:$A,'SKU Repoprt'!K$1)</f>
        <v>13</v>
      </c>
      <c r="L587" s="3">
        <f>SUMIFS('Business - Dump'!$W:$W,'Business - Dump'!$D:$D,'SKU Repoprt'!$D587,'Business - Dump'!$A:$A,'SKU Repoprt'!L$1)</f>
        <v>7</v>
      </c>
      <c r="M587" s="3">
        <f>SUMIFS('Business - Dump'!$W:$W,'Business - Dump'!$D:$D,'SKU Repoprt'!$D587,'Business - Dump'!$A:$A,'SKU Repoprt'!M$1)</f>
        <v>20</v>
      </c>
      <c r="N587" s="3">
        <f>SUMIFS('Business - Dump'!$W:$W,'Business - Dump'!$D:$D,'SKU Repoprt'!$D587,'Business - Dump'!$A:$A,'SKU Repoprt'!N$1)</f>
        <v>10</v>
      </c>
      <c r="O587" s="3">
        <f>SUMIFS('Business - Dump'!$W:$W,'Business - Dump'!$D:$D,'SKU Repoprt'!$D587,'Business - Dump'!$A:$A,'SKU Repoprt'!O$1)</f>
        <v>19</v>
      </c>
      <c r="P587" s="3">
        <f>SUMIFS('Business - Dump'!$W:$W,'Business - Dump'!$D:$D,'SKU Repoprt'!$D587,'Business - Dump'!$A:$A,'SKU Repoprt'!P$1)</f>
        <v>13</v>
      </c>
      <c r="Q587" s="3">
        <f>SUMIFS('Business - Dump'!$W:$W,'Business - Dump'!$D:$D,'SKU Repoprt'!$D587,'Business - Dump'!$A:$A,'SKU Repoprt'!Q$1)</f>
        <v>30</v>
      </c>
      <c r="R587" s="3">
        <f>SUMIFS('Business - Dump'!$W:$W,'Business - Dump'!$D:$D,'SKU Repoprt'!$D587,'Business - Dump'!$A:$A,'SKU Repoprt'!R$1)</f>
        <v>26</v>
      </c>
      <c r="S587" s="3">
        <f>SUMIFS('Business - Dump'!$W:$W,'Business - Dump'!$D:$D,'SKU Repoprt'!$D587,'Business - Dump'!$A:$A,'SKU Repoprt'!S$1)</f>
        <v>3</v>
      </c>
      <c r="T587" s="3">
        <f>SUMIFS('Business - Dump'!$W:$W,'Business - Dump'!$D:$D,'SKU Repoprt'!$D587,'Business - Dump'!$A:$A,'SKU Repoprt'!T$1)</f>
        <v>7</v>
      </c>
      <c r="U587" s="3">
        <f>SUMIFS('Business - Dump'!$W:$W,'Business - Dump'!$D:$D,'SKU Repoprt'!$D587,'Business - Dump'!$A:$A,'SKU Repoprt'!U$1)</f>
        <v>19</v>
      </c>
      <c r="V587" s="3">
        <f>SUMIFS('Business - Dump'!$W:$W,'Business - Dump'!$D:$D,'SKU Repoprt'!$D587,'Business - Dump'!$A:$A,'SKU Repoprt'!V$1)</f>
        <v>14</v>
      </c>
      <c r="W587" s="3">
        <f>SUMIFS('Business - Dump'!$W:$W,'Business - Dump'!$D:$D,'SKU Repoprt'!$D587,'Business - Dump'!$A:$A,'SKU Repoprt'!W$1)</f>
        <v>17</v>
      </c>
    </row>
    <row r="588" ht="15.75" customHeight="1">
      <c r="A588" s="10" t="s">
        <v>176</v>
      </c>
      <c r="B588" s="10" t="s">
        <v>176</v>
      </c>
      <c r="C588" s="10"/>
      <c r="D588" s="10" t="s">
        <v>298</v>
      </c>
      <c r="E588" s="10" t="s">
        <v>26</v>
      </c>
      <c r="F588" s="16">
        <f t="shared" si="195"/>
        <v>3364626.61</v>
      </c>
      <c r="G588" s="16">
        <f>SUMIFS('Business - Dump'!$U:$U,'Business - Dump'!$D:$D,'SKU Repoprt'!$D588,'Business - Dump'!$A:$A,'SKU Repoprt'!G$1)</f>
        <v>143200</v>
      </c>
      <c r="H588" s="16">
        <f>SUMIFS('Business - Dump'!$U:$U,'Business - Dump'!$D:$D,'SKU Repoprt'!$D588,'Business - Dump'!$A:$A,'SKU Repoprt'!H$1)</f>
        <v>250600</v>
      </c>
      <c r="I588" s="16">
        <f>SUMIFS('Business - Dump'!$U:$U,'Business - Dump'!$D:$D,'SKU Repoprt'!$D588,'Business - Dump'!$A:$A,'SKU Repoprt'!I$1)</f>
        <v>268500</v>
      </c>
      <c r="J588" s="16">
        <f>SUMIFS('Business - Dump'!$U:$U,'Business - Dump'!$D:$D,'SKU Repoprt'!$D588,'Business - Dump'!$A:$A,'SKU Repoprt'!J$1)</f>
        <v>179000</v>
      </c>
      <c r="K588" s="16">
        <f>SUMIFS('Business - Dump'!$U:$U,'Business - Dump'!$D:$D,'SKU Repoprt'!$D588,'Business - Dump'!$A:$A,'SKU Repoprt'!K$1)</f>
        <v>236371.2</v>
      </c>
      <c r="L588" s="16">
        <f>SUMIFS('Business - Dump'!$U:$U,'Business - Dump'!$D:$D,'SKU Repoprt'!$D588,'Business - Dump'!$A:$A,'SKU Repoprt'!L$1)</f>
        <v>127308.48</v>
      </c>
      <c r="M588" s="16">
        <f>SUMIFS('Business - Dump'!$U:$U,'Business - Dump'!$D:$D,'SKU Repoprt'!$D588,'Business - Dump'!$A:$A,'SKU Repoprt'!M$1)</f>
        <v>389450.89</v>
      </c>
      <c r="N588" s="16">
        <f>SUMIFS('Business - Dump'!$U:$U,'Business - Dump'!$D:$D,'SKU Repoprt'!$D588,'Business - Dump'!$A:$A,'SKU Repoprt'!N$1)</f>
        <v>182000</v>
      </c>
      <c r="O588" s="16">
        <f>SUMIFS('Business - Dump'!$U:$U,'Business - Dump'!$D:$D,'SKU Repoprt'!$D588,'Business - Dump'!$A:$A,'SKU Repoprt'!O$1)</f>
        <v>340679.68</v>
      </c>
      <c r="P588" s="16">
        <f>SUMIFS('Business - Dump'!$U:$U,'Business - Dump'!$D:$D,'SKU Repoprt'!$D588,'Business - Dump'!$A:$A,'SKU Repoprt'!P$1)</f>
        <v>230950</v>
      </c>
      <c r="Q588" s="16">
        <f>SUMIFS('Business - Dump'!$U:$U,'Business - Dump'!$D:$D,'SKU Repoprt'!$D588,'Business - Dump'!$A:$A,'SKU Repoprt'!Q$1)</f>
        <v>522242.29</v>
      </c>
      <c r="R588" s="16">
        <f>SUMIFS('Business - Dump'!$U:$U,'Business - Dump'!$D:$D,'SKU Repoprt'!$D588,'Business - Dump'!$A:$A,'SKU Repoprt'!R$1)</f>
        <v>439760.68</v>
      </c>
      <c r="S588" s="16">
        <f>SUMIFS('Business - Dump'!$U:$U,'Business - Dump'!$D:$D,'SKU Repoprt'!$D588,'Business - Dump'!$A:$A,'SKU Repoprt'!S$1)</f>
        <v>54563.39</v>
      </c>
      <c r="T588" s="16">
        <f>SUMIFS('Business - Dump'!$U:$U,'Business - Dump'!$D:$D,'SKU Repoprt'!$D588,'Business - Dump'!$A:$A,'SKU Repoprt'!T$1)</f>
        <v>128180.34</v>
      </c>
      <c r="U588" s="16">
        <f>SUMIFS('Business - Dump'!$U:$U,'Business - Dump'!$D:$D,'SKU Repoprt'!$D588,'Business - Dump'!$A:$A,'SKU Repoprt'!U$1)</f>
        <v>338397.9</v>
      </c>
      <c r="V588" s="16">
        <f>SUMIFS('Business - Dump'!$U:$U,'Business - Dump'!$D:$D,'SKU Repoprt'!$D588,'Business - Dump'!$A:$A,'SKU Repoprt'!V$1)</f>
        <v>262718.6</v>
      </c>
      <c r="W588" s="16">
        <f>SUMIFS('Business - Dump'!$U:$U,'Business - Dump'!$D:$D,'SKU Repoprt'!$D588,'Business - Dump'!$A:$A,'SKU Repoprt'!W$1)</f>
        <v>300484.8</v>
      </c>
    </row>
    <row r="589" ht="15.75" customHeight="1">
      <c r="A589" s="10" t="s">
        <v>176</v>
      </c>
      <c r="B589" s="10" t="s">
        <v>176</v>
      </c>
      <c r="C589" s="10"/>
      <c r="D589" s="10" t="s">
        <v>298</v>
      </c>
      <c r="E589" s="10" t="s">
        <v>29</v>
      </c>
      <c r="F589" s="17">
        <v>0.027042857142857143</v>
      </c>
      <c r="G589" s="17">
        <f t="shared" ref="G589:W589" si="196">IFERROR(G587/G584,0)</f>
        <v>0.004484304933</v>
      </c>
      <c r="H589" s="17">
        <f t="shared" si="196"/>
        <v>0.006211180124</v>
      </c>
      <c r="I589" s="17">
        <f t="shared" si="196"/>
        <v>0.007214206437</v>
      </c>
      <c r="J589" s="17">
        <f t="shared" si="196"/>
        <v>0.004774535809</v>
      </c>
      <c r="K589" s="17">
        <f t="shared" si="196"/>
        <v>0.006397637795</v>
      </c>
      <c r="L589" s="17">
        <f t="shared" si="196"/>
        <v>0.003878116343</v>
      </c>
      <c r="M589" s="17">
        <f t="shared" si="196"/>
        <v>0.007082152975</v>
      </c>
      <c r="N589" s="17">
        <f t="shared" si="196"/>
        <v>0.004651162791</v>
      </c>
      <c r="O589" s="17">
        <f t="shared" si="196"/>
        <v>0.006987863185</v>
      </c>
      <c r="P589" s="17">
        <f t="shared" si="196"/>
        <v>0.004124365482</v>
      </c>
      <c r="Q589" s="17">
        <f t="shared" si="196"/>
        <v>0.009168704156</v>
      </c>
      <c r="R589" s="17">
        <f t="shared" si="196"/>
        <v>0.008416963419</v>
      </c>
      <c r="S589" s="17">
        <f t="shared" si="196"/>
        <v>0.001577287066</v>
      </c>
      <c r="T589" s="17">
        <f t="shared" si="196"/>
        <v>0.004926108374</v>
      </c>
      <c r="U589" s="17">
        <f t="shared" si="196"/>
        <v>0.008504923903</v>
      </c>
      <c r="V589" s="17">
        <f t="shared" si="196"/>
        <v>0.008588957055</v>
      </c>
      <c r="W589" s="17">
        <f t="shared" si="196"/>
        <v>0.0108974359</v>
      </c>
    </row>
    <row r="590" ht="15.75" customHeight="1">
      <c r="A590" s="10" t="s">
        <v>176</v>
      </c>
      <c r="B590" s="10" t="s">
        <v>176</v>
      </c>
      <c r="C590" s="10"/>
      <c r="D590" s="10" t="s">
        <v>306</v>
      </c>
      <c r="E590" s="10" t="s">
        <v>257</v>
      </c>
      <c r="F590" s="3">
        <f t="shared" ref="F590:F594" si="197">SUM(G590:S590)</f>
        <v>23110</v>
      </c>
      <c r="G590" s="3">
        <f>SUMIFS('Business - Dump'!$G:$G,'Business - Dump'!$D:$D,'SKU Repoprt'!$D590,'Business - Dump'!$A:$A,'SKU Repoprt'!G$1)</f>
        <v>1743</v>
      </c>
      <c r="H590" s="3">
        <f>SUMIFS('Business - Dump'!$G:$G,'Business - Dump'!$D:$D,'SKU Repoprt'!$D590,'Business - Dump'!$A:$A,'SKU Repoprt'!H$1)</f>
        <v>1809</v>
      </c>
      <c r="I590" s="3">
        <f>SUMIFS('Business - Dump'!$G:$G,'Business - Dump'!$D:$D,'SKU Repoprt'!$D590,'Business - Dump'!$A:$A,'SKU Repoprt'!I$1)</f>
        <v>1983</v>
      </c>
      <c r="J590" s="3">
        <f>SUMIFS('Business - Dump'!$G:$G,'Business - Dump'!$D:$D,'SKU Repoprt'!$D590,'Business - Dump'!$A:$A,'SKU Repoprt'!J$1)</f>
        <v>1947</v>
      </c>
      <c r="K590" s="3">
        <f>SUMIFS('Business - Dump'!$G:$G,'Business - Dump'!$D:$D,'SKU Repoprt'!$D590,'Business - Dump'!$A:$A,'SKU Repoprt'!K$1)</f>
        <v>1627</v>
      </c>
      <c r="L590" s="3">
        <f>SUMIFS('Business - Dump'!$G:$G,'Business - Dump'!$D:$D,'SKU Repoprt'!$D590,'Business - Dump'!$A:$A,'SKU Repoprt'!L$1)</f>
        <v>1747</v>
      </c>
      <c r="M590" s="3">
        <f>SUMIFS('Business - Dump'!$G:$G,'Business - Dump'!$D:$D,'SKU Repoprt'!$D590,'Business - Dump'!$A:$A,'SKU Repoprt'!M$1)</f>
        <v>1025</v>
      </c>
      <c r="N590" s="3">
        <f>SUMIFS('Business - Dump'!$G:$G,'Business - Dump'!$D:$D,'SKU Repoprt'!$D590,'Business - Dump'!$A:$A,'SKU Repoprt'!N$1)</f>
        <v>1804</v>
      </c>
      <c r="O590" s="3">
        <f>SUMIFS('Business - Dump'!$G:$G,'Business - Dump'!$D:$D,'SKU Repoprt'!$D590,'Business - Dump'!$A:$A,'SKU Repoprt'!O$1)</f>
        <v>2152</v>
      </c>
      <c r="P590" s="3">
        <f>SUMIFS('Business - Dump'!$G:$G,'Business - Dump'!$D:$D,'SKU Repoprt'!$D590,'Business - Dump'!$A:$A,'SKU Repoprt'!P$1)</f>
        <v>2300</v>
      </c>
      <c r="Q590" s="3">
        <f>SUMIFS('Business - Dump'!$G:$G,'Business - Dump'!$D:$D,'SKU Repoprt'!$D590,'Business - Dump'!$A:$A,'SKU Repoprt'!Q$1)</f>
        <v>2054</v>
      </c>
      <c r="R590" s="3">
        <f>SUMIFS('Business - Dump'!$G:$G,'Business - Dump'!$D:$D,'SKU Repoprt'!$D590,'Business - Dump'!$A:$A,'SKU Repoprt'!R$1)</f>
        <v>1619</v>
      </c>
      <c r="S590" s="3">
        <f>SUMIFS('Business - Dump'!$G:$G,'Business - Dump'!$D:$D,'SKU Repoprt'!$D590,'Business - Dump'!$A:$A,'SKU Repoprt'!S$1)</f>
        <v>1300</v>
      </c>
      <c r="T590" s="3">
        <f>SUMIFS('Business - Dump'!$G:$G,'Business - Dump'!$D:$D,'SKU Repoprt'!$D590,'Business - Dump'!$A:$A,'SKU Repoprt'!T$1)</f>
        <v>1193</v>
      </c>
      <c r="U590" s="3">
        <f>SUMIFS('Business - Dump'!$G:$G,'Business - Dump'!$D:$D,'SKU Repoprt'!$D590,'Business - Dump'!$A:$A,'SKU Repoprt'!U$1)</f>
        <v>1128</v>
      </c>
      <c r="V590" s="3">
        <f>SUMIFS('Business - Dump'!$G:$G,'Business - Dump'!$D:$D,'SKU Repoprt'!$D590,'Business - Dump'!$A:$A,'SKU Repoprt'!V$1)</f>
        <v>760</v>
      </c>
      <c r="W590" s="3">
        <f>SUMIFS('Business - Dump'!$G:$G,'Business - Dump'!$D:$D,'SKU Repoprt'!$D590,'Business - Dump'!$A:$A,'SKU Repoprt'!W$1)</f>
        <v>864</v>
      </c>
    </row>
    <row r="591" ht="15.75" customHeight="1">
      <c r="A591" s="10" t="s">
        <v>176</v>
      </c>
      <c r="B591" s="10" t="s">
        <v>176</v>
      </c>
      <c r="C591" s="10"/>
      <c r="D591" s="10" t="s">
        <v>306</v>
      </c>
      <c r="E591" s="10" t="s">
        <v>260</v>
      </c>
      <c r="F591" s="3">
        <f t="shared" si="197"/>
        <v>31719</v>
      </c>
      <c r="G591" s="3">
        <f>SUMIFS('Business - Dump'!$K:$K,'Business - Dump'!$D:$D,'SKU Repoprt'!$D591,'Business - Dump'!$A:$A,'SKU Repoprt'!G$1)</f>
        <v>2288</v>
      </c>
      <c r="H591" s="3">
        <f>SUMIFS('Business - Dump'!$K:$K,'Business - Dump'!$D:$D,'SKU Repoprt'!$D591,'Business - Dump'!$A:$A,'SKU Repoprt'!H$1)</f>
        <v>2528</v>
      </c>
      <c r="I591" s="3">
        <f>SUMIFS('Business - Dump'!$K:$K,'Business - Dump'!$D:$D,'SKU Repoprt'!$D591,'Business - Dump'!$A:$A,'SKU Repoprt'!I$1)</f>
        <v>2643</v>
      </c>
      <c r="J591" s="3">
        <f>SUMIFS('Business - Dump'!$K:$K,'Business - Dump'!$D:$D,'SKU Repoprt'!$D591,'Business - Dump'!$A:$A,'SKU Repoprt'!J$1)</f>
        <v>2696</v>
      </c>
      <c r="K591" s="3">
        <f>SUMIFS('Business - Dump'!$K:$K,'Business - Dump'!$D:$D,'SKU Repoprt'!$D591,'Business - Dump'!$A:$A,'SKU Repoprt'!K$1)</f>
        <v>2254</v>
      </c>
      <c r="L591" s="3">
        <f>SUMIFS('Business - Dump'!$K:$K,'Business - Dump'!$D:$D,'SKU Repoprt'!$D591,'Business - Dump'!$A:$A,'SKU Repoprt'!L$1)</f>
        <v>2398</v>
      </c>
      <c r="M591" s="3">
        <f>SUMIFS('Business - Dump'!$K:$K,'Business - Dump'!$D:$D,'SKU Repoprt'!$D591,'Business - Dump'!$A:$A,'SKU Repoprt'!M$1)</f>
        <v>1701</v>
      </c>
      <c r="N591" s="3">
        <f>SUMIFS('Business - Dump'!$K:$K,'Business - Dump'!$D:$D,'SKU Repoprt'!$D591,'Business - Dump'!$A:$A,'SKU Repoprt'!N$1)</f>
        <v>2346</v>
      </c>
      <c r="O591" s="3">
        <f>SUMIFS('Business - Dump'!$K:$K,'Business - Dump'!$D:$D,'SKU Repoprt'!$D591,'Business - Dump'!$A:$A,'SKU Repoprt'!O$1)</f>
        <v>2866</v>
      </c>
      <c r="P591" s="3">
        <f>SUMIFS('Business - Dump'!$K:$K,'Business - Dump'!$D:$D,'SKU Repoprt'!$D591,'Business - Dump'!$A:$A,'SKU Repoprt'!P$1)</f>
        <v>2998</v>
      </c>
      <c r="Q591" s="3">
        <f>SUMIFS('Business - Dump'!$K:$K,'Business - Dump'!$D:$D,'SKU Repoprt'!$D591,'Business - Dump'!$A:$A,'SKU Repoprt'!Q$1)</f>
        <v>2853</v>
      </c>
      <c r="R591" s="3">
        <f>SUMIFS('Business - Dump'!$K:$K,'Business - Dump'!$D:$D,'SKU Repoprt'!$D591,'Business - Dump'!$A:$A,'SKU Repoprt'!R$1)</f>
        <v>2272</v>
      </c>
      <c r="S591" s="3">
        <f>SUMIFS('Business - Dump'!$K:$K,'Business - Dump'!$D:$D,'SKU Repoprt'!$D591,'Business - Dump'!$A:$A,'SKU Repoprt'!S$1)</f>
        <v>1876</v>
      </c>
      <c r="T591" s="3">
        <f>SUMIFS('Business - Dump'!$K:$K,'Business - Dump'!$D:$D,'SKU Repoprt'!$D591,'Business - Dump'!$A:$A,'SKU Repoprt'!T$1)</f>
        <v>1537</v>
      </c>
      <c r="U591" s="3">
        <f>SUMIFS('Business - Dump'!$K:$K,'Business - Dump'!$D:$D,'SKU Repoprt'!$D591,'Business - Dump'!$A:$A,'SKU Repoprt'!U$1)</f>
        <v>1452</v>
      </c>
      <c r="V591" s="3">
        <f>SUMIFS('Business - Dump'!$K:$K,'Business - Dump'!$D:$D,'SKU Repoprt'!$D591,'Business - Dump'!$A:$A,'SKU Repoprt'!V$1)</f>
        <v>952</v>
      </c>
      <c r="W591" s="3">
        <f>SUMIFS('Business - Dump'!$K:$K,'Business - Dump'!$D:$D,'SKU Repoprt'!$D591,'Business - Dump'!$A:$A,'SKU Repoprt'!W$1)</f>
        <v>1124</v>
      </c>
    </row>
    <row r="592" ht="15.75" customHeight="1">
      <c r="A592" s="10" t="s">
        <v>176</v>
      </c>
      <c r="B592" s="10" t="s">
        <v>176</v>
      </c>
      <c r="C592" s="10"/>
      <c r="D592" s="10" t="s">
        <v>306</v>
      </c>
      <c r="E592" s="10" t="s">
        <v>264</v>
      </c>
      <c r="F592" s="3">
        <f t="shared" si="197"/>
        <v>95</v>
      </c>
      <c r="G592" s="3">
        <f>SUMIFS('Business - Dump'!$Q:$Q,'Business - Dump'!$D:$D,'SKU Repoprt'!$D592,'Business - Dump'!$A:$A,'SKU Repoprt'!G$1)</f>
        <v>7</v>
      </c>
      <c r="H592" s="3">
        <f>SUMIFS('Business - Dump'!$Q:$Q,'Business - Dump'!$D:$D,'SKU Repoprt'!$D592,'Business - Dump'!$A:$A,'SKU Repoprt'!H$1)</f>
        <v>7</v>
      </c>
      <c r="I592" s="3">
        <f>SUMIFS('Business - Dump'!$Q:$Q,'Business - Dump'!$D:$D,'SKU Repoprt'!$D592,'Business - Dump'!$A:$A,'SKU Repoprt'!I$1)</f>
        <v>8</v>
      </c>
      <c r="J592" s="3">
        <f>SUMIFS('Business - Dump'!$Q:$Q,'Business - Dump'!$D:$D,'SKU Repoprt'!$D592,'Business - Dump'!$A:$A,'SKU Repoprt'!J$1)</f>
        <v>7</v>
      </c>
      <c r="K592" s="3">
        <f>SUMIFS('Business - Dump'!$Q:$Q,'Business - Dump'!$D:$D,'SKU Repoprt'!$D592,'Business - Dump'!$A:$A,'SKU Repoprt'!K$1)</f>
        <v>6</v>
      </c>
      <c r="L592" s="3">
        <f>SUMIFS('Business - Dump'!$Q:$Q,'Business - Dump'!$D:$D,'SKU Repoprt'!$D592,'Business - Dump'!$A:$A,'SKU Repoprt'!L$1)</f>
        <v>5</v>
      </c>
      <c r="M592" s="3">
        <f>SUMIFS('Business - Dump'!$Q:$Q,'Business - Dump'!$D:$D,'SKU Repoprt'!$D592,'Business - Dump'!$A:$A,'SKU Repoprt'!M$1)</f>
        <v>2</v>
      </c>
      <c r="N592" s="3">
        <f>SUMIFS('Business - Dump'!$Q:$Q,'Business - Dump'!$D:$D,'SKU Repoprt'!$D592,'Business - Dump'!$A:$A,'SKU Repoprt'!N$1)</f>
        <v>9</v>
      </c>
      <c r="O592" s="3">
        <f>SUMIFS('Business - Dump'!$Q:$Q,'Business - Dump'!$D:$D,'SKU Repoprt'!$D592,'Business - Dump'!$A:$A,'SKU Repoprt'!O$1)</f>
        <v>9</v>
      </c>
      <c r="P592" s="3">
        <f>SUMIFS('Business - Dump'!$Q:$Q,'Business - Dump'!$D:$D,'SKU Repoprt'!$D592,'Business - Dump'!$A:$A,'SKU Repoprt'!P$1)</f>
        <v>10</v>
      </c>
      <c r="Q592" s="3">
        <f>SUMIFS('Business - Dump'!$Q:$Q,'Business - Dump'!$D:$D,'SKU Repoprt'!$D592,'Business - Dump'!$A:$A,'SKU Repoprt'!Q$1)</f>
        <v>17</v>
      </c>
      <c r="R592" s="3">
        <f>SUMIFS('Business - Dump'!$Q:$Q,'Business - Dump'!$D:$D,'SKU Repoprt'!$D592,'Business - Dump'!$A:$A,'SKU Repoprt'!R$1)</f>
        <v>6</v>
      </c>
      <c r="S592" s="3">
        <f>SUMIFS('Business - Dump'!$Q:$Q,'Business - Dump'!$D:$D,'SKU Repoprt'!$D592,'Business - Dump'!$A:$A,'SKU Repoprt'!S$1)</f>
        <v>2</v>
      </c>
      <c r="T592" s="3">
        <f>SUMIFS('Business - Dump'!$Q:$Q,'Business - Dump'!$D:$D,'SKU Repoprt'!$D592,'Business - Dump'!$A:$A,'SKU Repoprt'!T$1)</f>
        <v>0</v>
      </c>
      <c r="U592" s="3">
        <f>SUMIFS('Business - Dump'!$Q:$Q,'Business - Dump'!$D:$D,'SKU Repoprt'!$D592,'Business - Dump'!$A:$A,'SKU Repoprt'!U$1)</f>
        <v>4</v>
      </c>
      <c r="V592" s="3">
        <f>SUMIFS('Business - Dump'!$Q:$Q,'Business - Dump'!$D:$D,'SKU Repoprt'!$D592,'Business - Dump'!$A:$A,'SKU Repoprt'!V$1)</f>
        <v>2</v>
      </c>
      <c r="W592" s="3">
        <f>SUMIFS('Business - Dump'!$Q:$Q,'Business - Dump'!$D:$D,'SKU Repoprt'!$D592,'Business - Dump'!$A:$A,'SKU Repoprt'!W$1)</f>
        <v>5</v>
      </c>
    </row>
    <row r="593" ht="15.75" customHeight="1">
      <c r="A593" s="10" t="s">
        <v>176</v>
      </c>
      <c r="B593" s="10" t="s">
        <v>176</v>
      </c>
      <c r="C593" s="10"/>
      <c r="D593" s="10" t="s">
        <v>306</v>
      </c>
      <c r="E593" s="10" t="s">
        <v>268</v>
      </c>
      <c r="F593" s="3">
        <f t="shared" si="197"/>
        <v>95</v>
      </c>
      <c r="G593" s="3">
        <f>SUMIFS('Business - Dump'!$W:$W,'Business - Dump'!$D:$D,'SKU Repoprt'!$D593,'Business - Dump'!$A:$A,'SKU Repoprt'!G$1)</f>
        <v>7</v>
      </c>
      <c r="H593" s="3">
        <f>SUMIFS('Business - Dump'!$W:$W,'Business - Dump'!$D:$D,'SKU Repoprt'!$D593,'Business - Dump'!$A:$A,'SKU Repoprt'!H$1)</f>
        <v>7</v>
      </c>
      <c r="I593" s="3">
        <f>SUMIFS('Business - Dump'!$W:$W,'Business - Dump'!$D:$D,'SKU Repoprt'!$D593,'Business - Dump'!$A:$A,'SKU Repoprt'!I$1)</f>
        <v>8</v>
      </c>
      <c r="J593" s="3">
        <f>SUMIFS('Business - Dump'!$W:$W,'Business - Dump'!$D:$D,'SKU Repoprt'!$D593,'Business - Dump'!$A:$A,'SKU Repoprt'!J$1)</f>
        <v>7</v>
      </c>
      <c r="K593" s="3">
        <f>SUMIFS('Business - Dump'!$W:$W,'Business - Dump'!$D:$D,'SKU Repoprt'!$D593,'Business - Dump'!$A:$A,'SKU Repoprt'!K$1)</f>
        <v>6</v>
      </c>
      <c r="L593" s="3">
        <f>SUMIFS('Business - Dump'!$W:$W,'Business - Dump'!$D:$D,'SKU Repoprt'!$D593,'Business - Dump'!$A:$A,'SKU Repoprt'!L$1)</f>
        <v>5</v>
      </c>
      <c r="M593" s="3">
        <f>SUMIFS('Business - Dump'!$W:$W,'Business - Dump'!$D:$D,'SKU Repoprt'!$D593,'Business - Dump'!$A:$A,'SKU Repoprt'!M$1)</f>
        <v>2</v>
      </c>
      <c r="N593" s="3">
        <f>SUMIFS('Business - Dump'!$W:$W,'Business - Dump'!$D:$D,'SKU Repoprt'!$D593,'Business - Dump'!$A:$A,'SKU Repoprt'!N$1)</f>
        <v>9</v>
      </c>
      <c r="O593" s="3">
        <f>SUMIFS('Business - Dump'!$W:$W,'Business - Dump'!$D:$D,'SKU Repoprt'!$D593,'Business - Dump'!$A:$A,'SKU Repoprt'!O$1)</f>
        <v>9</v>
      </c>
      <c r="P593" s="3">
        <f>SUMIFS('Business - Dump'!$W:$W,'Business - Dump'!$D:$D,'SKU Repoprt'!$D593,'Business - Dump'!$A:$A,'SKU Repoprt'!P$1)</f>
        <v>10</v>
      </c>
      <c r="Q593" s="3">
        <f>SUMIFS('Business - Dump'!$W:$W,'Business - Dump'!$D:$D,'SKU Repoprt'!$D593,'Business - Dump'!$A:$A,'SKU Repoprt'!Q$1)</f>
        <v>17</v>
      </c>
      <c r="R593" s="3">
        <f>SUMIFS('Business - Dump'!$W:$W,'Business - Dump'!$D:$D,'SKU Repoprt'!$D593,'Business - Dump'!$A:$A,'SKU Repoprt'!R$1)</f>
        <v>6</v>
      </c>
      <c r="S593" s="3">
        <f>SUMIFS('Business - Dump'!$W:$W,'Business - Dump'!$D:$D,'SKU Repoprt'!$D593,'Business - Dump'!$A:$A,'SKU Repoprt'!S$1)</f>
        <v>2</v>
      </c>
      <c r="T593" s="3">
        <f>SUMIFS('Business - Dump'!$W:$W,'Business - Dump'!$D:$D,'SKU Repoprt'!$D593,'Business - Dump'!$A:$A,'SKU Repoprt'!T$1)</f>
        <v>0</v>
      </c>
      <c r="U593" s="3">
        <f>SUMIFS('Business - Dump'!$W:$W,'Business - Dump'!$D:$D,'SKU Repoprt'!$D593,'Business - Dump'!$A:$A,'SKU Repoprt'!U$1)</f>
        <v>4</v>
      </c>
      <c r="V593" s="3">
        <f>SUMIFS('Business - Dump'!$W:$W,'Business - Dump'!$D:$D,'SKU Repoprt'!$D593,'Business - Dump'!$A:$A,'SKU Repoprt'!V$1)</f>
        <v>2</v>
      </c>
      <c r="W593" s="3">
        <f>SUMIFS('Business - Dump'!$W:$W,'Business - Dump'!$D:$D,'SKU Repoprt'!$D593,'Business - Dump'!$A:$A,'SKU Repoprt'!W$1)</f>
        <v>5</v>
      </c>
    </row>
    <row r="594" ht="15.75" customHeight="1">
      <c r="A594" s="10" t="s">
        <v>176</v>
      </c>
      <c r="B594" s="10" t="s">
        <v>176</v>
      </c>
      <c r="C594" s="10"/>
      <c r="D594" s="10" t="s">
        <v>306</v>
      </c>
      <c r="E594" s="10" t="s">
        <v>26</v>
      </c>
      <c r="F594" s="16">
        <f t="shared" si="197"/>
        <v>2572666.93</v>
      </c>
      <c r="G594" s="16">
        <f>SUMIFS('Business - Dump'!$U:$U,'Business - Dump'!$D:$D,'SKU Repoprt'!$D594,'Business - Dump'!$A:$A,'SKU Repoprt'!G$1)</f>
        <v>187500</v>
      </c>
      <c r="H594" s="16">
        <f>SUMIFS('Business - Dump'!$U:$U,'Business - Dump'!$D:$D,'SKU Repoprt'!$D594,'Business - Dump'!$A:$A,'SKU Repoprt'!H$1)</f>
        <v>185500</v>
      </c>
      <c r="I594" s="16">
        <f>SUMIFS('Business - Dump'!$U:$U,'Business - Dump'!$D:$D,'SKU Repoprt'!$D594,'Business - Dump'!$A:$A,'SKU Repoprt'!I$1)</f>
        <v>206088</v>
      </c>
      <c r="J594" s="16">
        <f>SUMIFS('Business - Dump'!$U:$U,'Business - Dump'!$D:$D,'SKU Repoprt'!$D594,'Business - Dump'!$A:$A,'SKU Repoprt'!J$1)</f>
        <v>185500</v>
      </c>
      <c r="K594" s="16">
        <f>SUMIFS('Business - Dump'!$U:$U,'Business - Dump'!$D:$D,'SKU Repoprt'!$D594,'Business - Dump'!$A:$A,'SKU Repoprt'!K$1)</f>
        <v>163000</v>
      </c>
      <c r="L594" s="16">
        <f>SUMIFS('Business - Dump'!$U:$U,'Business - Dump'!$D:$D,'SKU Repoprt'!$D594,'Business - Dump'!$A:$A,'SKU Repoprt'!L$1)</f>
        <v>137500</v>
      </c>
      <c r="M594" s="16">
        <f>SUMIFS('Business - Dump'!$U:$U,'Business - Dump'!$D:$D,'SKU Repoprt'!$D594,'Business - Dump'!$A:$A,'SKU Repoprt'!M$1)</f>
        <v>52000</v>
      </c>
      <c r="N594" s="16">
        <f>SUMIFS('Business - Dump'!$U:$U,'Business - Dump'!$D:$D,'SKU Repoprt'!$D594,'Business - Dump'!$A:$A,'SKU Repoprt'!N$1)</f>
        <v>255600</v>
      </c>
      <c r="O594" s="16">
        <f>SUMIFS('Business - Dump'!$U:$U,'Business - Dump'!$D:$D,'SKU Repoprt'!$D594,'Business - Dump'!$A:$A,'SKU Repoprt'!O$1)</f>
        <v>249626.61</v>
      </c>
      <c r="P594" s="16">
        <f>SUMIFS('Business - Dump'!$U:$U,'Business - Dump'!$D:$D,'SKU Repoprt'!$D594,'Business - Dump'!$A:$A,'SKU Repoprt'!P$1)</f>
        <v>277906.61</v>
      </c>
      <c r="Q594" s="16">
        <f>SUMIFS('Business - Dump'!$U:$U,'Business - Dump'!$D:$D,'SKU Repoprt'!$D594,'Business - Dump'!$A:$A,'SKU Repoprt'!Q$1)</f>
        <v>456295.55</v>
      </c>
      <c r="R594" s="16">
        <f>SUMIFS('Business - Dump'!$U:$U,'Business - Dump'!$D:$D,'SKU Repoprt'!$D594,'Business - Dump'!$A:$A,'SKU Repoprt'!R$1)</f>
        <v>156785.08</v>
      </c>
      <c r="S594" s="16">
        <f>SUMIFS('Business - Dump'!$U:$U,'Business - Dump'!$D:$D,'SKU Repoprt'!$D594,'Business - Dump'!$A:$A,'SKU Repoprt'!S$1)</f>
        <v>59365.08</v>
      </c>
      <c r="T594" s="16">
        <f>SUMIFS('Business - Dump'!$U:$U,'Business - Dump'!$D:$D,'SKU Repoprt'!$D594,'Business - Dump'!$A:$A,'SKU Repoprt'!T$1)</f>
        <v>0</v>
      </c>
      <c r="U594" s="16">
        <f>SUMIFS('Business - Dump'!$U:$U,'Business - Dump'!$D:$D,'SKU Repoprt'!$D594,'Business - Dump'!$A:$A,'SKU Repoprt'!U$1)</f>
        <v>113802.3</v>
      </c>
      <c r="V594" s="16">
        <f>SUMIFS('Business - Dump'!$U:$U,'Business - Dump'!$D:$D,'SKU Repoprt'!$D594,'Business - Dump'!$A:$A,'SKU Repoprt'!V$1)</f>
        <v>58645.08</v>
      </c>
      <c r="W594" s="16">
        <f>SUMIFS('Business - Dump'!$U:$U,'Business - Dump'!$D:$D,'SKU Repoprt'!$D594,'Business - Dump'!$A:$A,'SKU Repoprt'!W$1)</f>
        <v>145215.2</v>
      </c>
    </row>
    <row r="595" ht="15.75" customHeight="1">
      <c r="A595" s="10" t="s">
        <v>176</v>
      </c>
      <c r="B595" s="10" t="s">
        <v>176</v>
      </c>
      <c r="C595" s="10"/>
      <c r="D595" s="10" t="s">
        <v>306</v>
      </c>
      <c r="E595" s="10" t="s">
        <v>29</v>
      </c>
      <c r="F595" s="17">
        <v>0.027042857142857143</v>
      </c>
      <c r="G595" s="17">
        <f t="shared" ref="G595:W595" si="198">IFERROR(G593/G590,0)</f>
        <v>0.004016064257</v>
      </c>
      <c r="H595" s="17">
        <f t="shared" si="198"/>
        <v>0.003869541183</v>
      </c>
      <c r="I595" s="17">
        <f t="shared" si="198"/>
        <v>0.004034291478</v>
      </c>
      <c r="J595" s="17">
        <f t="shared" si="198"/>
        <v>0.003595274782</v>
      </c>
      <c r="K595" s="17">
        <f t="shared" si="198"/>
        <v>0.0036877689</v>
      </c>
      <c r="L595" s="17">
        <f t="shared" si="198"/>
        <v>0.002862049227</v>
      </c>
      <c r="M595" s="17">
        <f t="shared" si="198"/>
        <v>0.001951219512</v>
      </c>
      <c r="N595" s="17">
        <f t="shared" si="198"/>
        <v>0.004988913525</v>
      </c>
      <c r="O595" s="17">
        <f t="shared" si="198"/>
        <v>0.004182156134</v>
      </c>
      <c r="P595" s="17">
        <f t="shared" si="198"/>
        <v>0.004347826087</v>
      </c>
      <c r="Q595" s="17">
        <f t="shared" si="198"/>
        <v>0.008276533593</v>
      </c>
      <c r="R595" s="17">
        <f t="shared" si="198"/>
        <v>0.003705991353</v>
      </c>
      <c r="S595" s="17">
        <f t="shared" si="198"/>
        <v>0.001538461538</v>
      </c>
      <c r="T595" s="17">
        <f t="shared" si="198"/>
        <v>0</v>
      </c>
      <c r="U595" s="17">
        <f t="shared" si="198"/>
        <v>0.003546099291</v>
      </c>
      <c r="V595" s="17">
        <f t="shared" si="198"/>
        <v>0.002631578947</v>
      </c>
      <c r="W595" s="17">
        <f t="shared" si="198"/>
        <v>0.005787037037</v>
      </c>
    </row>
    <row r="596" ht="15.75" customHeight="1">
      <c r="A596" s="10" t="s">
        <v>176</v>
      </c>
      <c r="B596" s="10" t="s">
        <v>176</v>
      </c>
      <c r="C596" s="10"/>
      <c r="D596" s="10" t="s">
        <v>343</v>
      </c>
      <c r="E596" s="10" t="s">
        <v>257</v>
      </c>
      <c r="F596" s="3">
        <f t="shared" ref="F596:F600" si="199">SUM(G596:S596)</f>
        <v>4464</v>
      </c>
      <c r="G596" s="3">
        <f>SUMIFS('Business - Dump'!$G:$G,'Business - Dump'!$D:$D,'SKU Repoprt'!$D596,'Business - Dump'!$A:$A,'SKU Repoprt'!G$1)</f>
        <v>0</v>
      </c>
      <c r="H596" s="3">
        <f>SUMIFS('Business - Dump'!$G:$G,'Business - Dump'!$D:$D,'SKU Repoprt'!$D596,'Business - Dump'!$A:$A,'SKU Repoprt'!H$1)</f>
        <v>515</v>
      </c>
      <c r="I596" s="3">
        <f>SUMIFS('Business - Dump'!$G:$G,'Business - Dump'!$D:$D,'SKU Repoprt'!$D596,'Business - Dump'!$A:$A,'SKU Repoprt'!I$1)</f>
        <v>0</v>
      </c>
      <c r="J596" s="3">
        <f>SUMIFS('Business - Dump'!$G:$G,'Business - Dump'!$D:$D,'SKU Repoprt'!$D596,'Business - Dump'!$A:$A,'SKU Repoprt'!J$1)</f>
        <v>371</v>
      </c>
      <c r="K596" s="3">
        <f>SUMIFS('Business - Dump'!$G:$G,'Business - Dump'!$D:$D,'SKU Repoprt'!$D596,'Business - Dump'!$A:$A,'SKU Repoprt'!K$1)</f>
        <v>381</v>
      </c>
      <c r="L596" s="3">
        <f>SUMIFS('Business - Dump'!$G:$G,'Business - Dump'!$D:$D,'SKU Repoprt'!$D596,'Business - Dump'!$A:$A,'SKU Repoprt'!L$1)</f>
        <v>272</v>
      </c>
      <c r="M596" s="3">
        <f>SUMIFS('Business - Dump'!$G:$G,'Business - Dump'!$D:$D,'SKU Repoprt'!$D596,'Business - Dump'!$A:$A,'SKU Repoprt'!M$1)</f>
        <v>426</v>
      </c>
      <c r="N596" s="3">
        <f>SUMIFS('Business - Dump'!$G:$G,'Business - Dump'!$D:$D,'SKU Repoprt'!$D596,'Business - Dump'!$A:$A,'SKU Repoprt'!N$1)</f>
        <v>337</v>
      </c>
      <c r="O596" s="3">
        <f>SUMIFS('Business - Dump'!$G:$G,'Business - Dump'!$D:$D,'SKU Repoprt'!$D596,'Business - Dump'!$A:$A,'SKU Repoprt'!O$1)</f>
        <v>401</v>
      </c>
      <c r="P596" s="3">
        <f>SUMIFS('Business - Dump'!$G:$G,'Business - Dump'!$D:$D,'SKU Repoprt'!$D596,'Business - Dump'!$A:$A,'SKU Repoprt'!P$1)</f>
        <v>425</v>
      </c>
      <c r="Q596" s="3">
        <f>SUMIFS('Business - Dump'!$G:$G,'Business - Dump'!$D:$D,'SKU Repoprt'!$D596,'Business - Dump'!$A:$A,'SKU Repoprt'!Q$1)</f>
        <v>570</v>
      </c>
      <c r="R596" s="3">
        <f>SUMIFS('Business - Dump'!$G:$G,'Business - Dump'!$D:$D,'SKU Repoprt'!$D596,'Business - Dump'!$A:$A,'SKU Repoprt'!R$1)</f>
        <v>465</v>
      </c>
      <c r="S596" s="3">
        <f>SUMIFS('Business - Dump'!$G:$G,'Business - Dump'!$D:$D,'SKU Repoprt'!$D596,'Business - Dump'!$A:$A,'SKU Repoprt'!S$1)</f>
        <v>301</v>
      </c>
      <c r="T596" s="3">
        <f>SUMIFS('Business - Dump'!$G:$G,'Business - Dump'!$D:$D,'SKU Repoprt'!$D596,'Business - Dump'!$A:$A,'SKU Repoprt'!T$1)</f>
        <v>261</v>
      </c>
      <c r="U596" s="3">
        <f>SUMIFS('Business - Dump'!$G:$G,'Business - Dump'!$D:$D,'SKU Repoprt'!$D596,'Business - Dump'!$A:$A,'SKU Repoprt'!U$1)</f>
        <v>302</v>
      </c>
      <c r="V596" s="3">
        <f>SUMIFS('Business - Dump'!$G:$G,'Business - Dump'!$D:$D,'SKU Repoprt'!$D596,'Business - Dump'!$A:$A,'SKU Repoprt'!V$1)</f>
        <v>250</v>
      </c>
      <c r="W596" s="3">
        <f>SUMIFS('Business - Dump'!$G:$G,'Business - Dump'!$D:$D,'SKU Repoprt'!$D596,'Business - Dump'!$A:$A,'SKU Repoprt'!W$1)</f>
        <v>326</v>
      </c>
    </row>
    <row r="597" ht="15.75" customHeight="1">
      <c r="A597" s="10" t="s">
        <v>176</v>
      </c>
      <c r="B597" s="10" t="s">
        <v>176</v>
      </c>
      <c r="C597" s="10"/>
      <c r="D597" s="10" t="s">
        <v>343</v>
      </c>
      <c r="E597" s="10" t="s">
        <v>260</v>
      </c>
      <c r="F597" s="3">
        <f t="shared" si="199"/>
        <v>6413</v>
      </c>
      <c r="G597" s="3">
        <f>SUMIFS('Business - Dump'!$K:$K,'Business - Dump'!$D:$D,'SKU Repoprt'!$D597,'Business - Dump'!$A:$A,'SKU Repoprt'!G$1)</f>
        <v>0</v>
      </c>
      <c r="H597" s="3">
        <f>SUMIFS('Business - Dump'!$K:$K,'Business - Dump'!$D:$D,'SKU Repoprt'!$D597,'Business - Dump'!$A:$A,'SKU Repoprt'!H$1)</f>
        <v>739</v>
      </c>
      <c r="I597" s="3">
        <f>SUMIFS('Business - Dump'!$K:$K,'Business - Dump'!$D:$D,'SKU Repoprt'!$D597,'Business - Dump'!$A:$A,'SKU Repoprt'!I$1)</f>
        <v>0</v>
      </c>
      <c r="J597" s="3">
        <f>SUMIFS('Business - Dump'!$K:$K,'Business - Dump'!$D:$D,'SKU Repoprt'!$D597,'Business - Dump'!$A:$A,'SKU Repoprt'!J$1)</f>
        <v>530</v>
      </c>
      <c r="K597" s="3">
        <f>SUMIFS('Business - Dump'!$K:$K,'Business - Dump'!$D:$D,'SKU Repoprt'!$D597,'Business - Dump'!$A:$A,'SKU Repoprt'!K$1)</f>
        <v>532</v>
      </c>
      <c r="L597" s="3">
        <f>SUMIFS('Business - Dump'!$K:$K,'Business - Dump'!$D:$D,'SKU Repoprt'!$D597,'Business - Dump'!$A:$A,'SKU Repoprt'!L$1)</f>
        <v>372</v>
      </c>
      <c r="M597" s="3">
        <f>SUMIFS('Business - Dump'!$K:$K,'Business - Dump'!$D:$D,'SKU Repoprt'!$D597,'Business - Dump'!$A:$A,'SKU Repoprt'!M$1)</f>
        <v>721</v>
      </c>
      <c r="N597" s="3">
        <f>SUMIFS('Business - Dump'!$K:$K,'Business - Dump'!$D:$D,'SKU Repoprt'!$D597,'Business - Dump'!$A:$A,'SKU Repoprt'!N$1)</f>
        <v>438</v>
      </c>
      <c r="O597" s="3">
        <f>SUMIFS('Business - Dump'!$K:$K,'Business - Dump'!$D:$D,'SKU Repoprt'!$D597,'Business - Dump'!$A:$A,'SKU Repoprt'!O$1)</f>
        <v>564</v>
      </c>
      <c r="P597" s="3">
        <f>SUMIFS('Business - Dump'!$K:$K,'Business - Dump'!$D:$D,'SKU Repoprt'!$D597,'Business - Dump'!$A:$A,'SKU Repoprt'!P$1)</f>
        <v>586</v>
      </c>
      <c r="Q597" s="3">
        <f>SUMIFS('Business - Dump'!$K:$K,'Business - Dump'!$D:$D,'SKU Repoprt'!$D597,'Business - Dump'!$A:$A,'SKU Repoprt'!Q$1)</f>
        <v>827</v>
      </c>
      <c r="R597" s="3">
        <f>SUMIFS('Business - Dump'!$K:$K,'Business - Dump'!$D:$D,'SKU Repoprt'!$D597,'Business - Dump'!$A:$A,'SKU Repoprt'!R$1)</f>
        <v>660</v>
      </c>
      <c r="S597" s="3">
        <f>SUMIFS('Business - Dump'!$K:$K,'Business - Dump'!$D:$D,'SKU Repoprt'!$D597,'Business - Dump'!$A:$A,'SKU Repoprt'!S$1)</f>
        <v>444</v>
      </c>
      <c r="T597" s="3">
        <f>SUMIFS('Business - Dump'!$K:$K,'Business - Dump'!$D:$D,'SKU Repoprt'!$D597,'Business - Dump'!$A:$A,'SKU Repoprt'!T$1)</f>
        <v>317</v>
      </c>
      <c r="U597" s="3">
        <f>SUMIFS('Business - Dump'!$K:$K,'Business - Dump'!$D:$D,'SKU Repoprt'!$D597,'Business - Dump'!$A:$A,'SKU Repoprt'!U$1)</f>
        <v>425</v>
      </c>
      <c r="V597" s="3">
        <f>SUMIFS('Business - Dump'!$K:$K,'Business - Dump'!$D:$D,'SKU Repoprt'!$D597,'Business - Dump'!$A:$A,'SKU Repoprt'!V$1)</f>
        <v>326</v>
      </c>
      <c r="W597" s="3">
        <f>SUMIFS('Business - Dump'!$K:$K,'Business - Dump'!$D:$D,'SKU Repoprt'!$D597,'Business - Dump'!$A:$A,'SKU Repoprt'!W$1)</f>
        <v>430</v>
      </c>
    </row>
    <row r="598" ht="15.75" customHeight="1">
      <c r="A598" s="10" t="s">
        <v>176</v>
      </c>
      <c r="B598" s="10" t="s">
        <v>176</v>
      </c>
      <c r="C598" s="10"/>
      <c r="D598" s="10" t="s">
        <v>343</v>
      </c>
      <c r="E598" s="10" t="s">
        <v>264</v>
      </c>
      <c r="F598" s="3">
        <f t="shared" si="199"/>
        <v>22</v>
      </c>
      <c r="G598" s="3">
        <f>SUMIFS('Business - Dump'!$Q:$Q,'Business - Dump'!$D:$D,'SKU Repoprt'!$D598,'Business - Dump'!$A:$A,'SKU Repoprt'!G$1)</f>
        <v>0</v>
      </c>
      <c r="H598" s="3">
        <f>SUMIFS('Business - Dump'!$Q:$Q,'Business - Dump'!$D:$D,'SKU Repoprt'!$D598,'Business - Dump'!$A:$A,'SKU Repoprt'!H$1)</f>
        <v>1</v>
      </c>
      <c r="I598" s="3">
        <f>SUMIFS('Business - Dump'!$Q:$Q,'Business - Dump'!$D:$D,'SKU Repoprt'!$D598,'Business - Dump'!$A:$A,'SKU Repoprt'!I$1)</f>
        <v>0</v>
      </c>
      <c r="J598" s="3">
        <f>SUMIFS('Business - Dump'!$Q:$Q,'Business - Dump'!$D:$D,'SKU Repoprt'!$D598,'Business - Dump'!$A:$A,'SKU Repoprt'!J$1)</f>
        <v>1</v>
      </c>
      <c r="K598" s="3">
        <f>SUMIFS('Business - Dump'!$Q:$Q,'Business - Dump'!$D:$D,'SKU Repoprt'!$D598,'Business - Dump'!$A:$A,'SKU Repoprt'!K$1)</f>
        <v>2</v>
      </c>
      <c r="L598" s="3">
        <f>SUMIFS('Business - Dump'!$Q:$Q,'Business - Dump'!$D:$D,'SKU Repoprt'!$D598,'Business - Dump'!$A:$A,'SKU Repoprt'!L$1)</f>
        <v>1</v>
      </c>
      <c r="M598" s="3">
        <f>SUMIFS('Business - Dump'!$Q:$Q,'Business - Dump'!$D:$D,'SKU Repoprt'!$D598,'Business - Dump'!$A:$A,'SKU Repoprt'!M$1)</f>
        <v>1</v>
      </c>
      <c r="N598" s="3">
        <f>SUMIFS('Business - Dump'!$Q:$Q,'Business - Dump'!$D:$D,'SKU Repoprt'!$D598,'Business - Dump'!$A:$A,'SKU Repoprt'!N$1)</f>
        <v>0</v>
      </c>
      <c r="O598" s="3">
        <f>SUMIFS('Business - Dump'!$Q:$Q,'Business - Dump'!$D:$D,'SKU Repoprt'!$D598,'Business - Dump'!$A:$A,'SKU Repoprt'!O$1)</f>
        <v>2</v>
      </c>
      <c r="P598" s="3">
        <f>SUMIFS('Business - Dump'!$Q:$Q,'Business - Dump'!$D:$D,'SKU Repoprt'!$D598,'Business - Dump'!$A:$A,'SKU Repoprt'!P$1)</f>
        <v>3</v>
      </c>
      <c r="Q598" s="3">
        <f>SUMIFS('Business - Dump'!$Q:$Q,'Business - Dump'!$D:$D,'SKU Repoprt'!$D598,'Business - Dump'!$A:$A,'SKU Repoprt'!Q$1)</f>
        <v>5</v>
      </c>
      <c r="R598" s="3">
        <f>SUMIFS('Business - Dump'!$Q:$Q,'Business - Dump'!$D:$D,'SKU Repoprt'!$D598,'Business - Dump'!$A:$A,'SKU Repoprt'!R$1)</f>
        <v>4</v>
      </c>
      <c r="S598" s="3">
        <f>SUMIFS('Business - Dump'!$Q:$Q,'Business - Dump'!$D:$D,'SKU Repoprt'!$D598,'Business - Dump'!$A:$A,'SKU Repoprt'!S$1)</f>
        <v>2</v>
      </c>
      <c r="T598" s="3">
        <f>SUMIFS('Business - Dump'!$Q:$Q,'Business - Dump'!$D:$D,'SKU Repoprt'!$D598,'Business - Dump'!$A:$A,'SKU Repoprt'!T$1)</f>
        <v>2</v>
      </c>
      <c r="U598" s="3">
        <f>SUMIFS('Business - Dump'!$Q:$Q,'Business - Dump'!$D:$D,'SKU Repoprt'!$D598,'Business - Dump'!$A:$A,'SKU Repoprt'!U$1)</f>
        <v>1</v>
      </c>
      <c r="V598" s="3">
        <f>SUMIFS('Business - Dump'!$Q:$Q,'Business - Dump'!$D:$D,'SKU Repoprt'!$D598,'Business - Dump'!$A:$A,'SKU Repoprt'!V$1)</f>
        <v>1</v>
      </c>
      <c r="W598" s="3">
        <f>SUMIFS('Business - Dump'!$Q:$Q,'Business - Dump'!$D:$D,'SKU Repoprt'!$D598,'Business - Dump'!$A:$A,'SKU Repoprt'!W$1)</f>
        <v>4</v>
      </c>
    </row>
    <row r="599" ht="15.75" customHeight="1">
      <c r="A599" s="10" t="s">
        <v>176</v>
      </c>
      <c r="B599" s="10" t="s">
        <v>176</v>
      </c>
      <c r="C599" s="10"/>
      <c r="D599" s="10" t="s">
        <v>343</v>
      </c>
      <c r="E599" s="10" t="s">
        <v>268</v>
      </c>
      <c r="F599" s="3">
        <f t="shared" si="199"/>
        <v>22</v>
      </c>
      <c r="G599" s="3">
        <f>SUMIFS('Business - Dump'!$W:$W,'Business - Dump'!$D:$D,'SKU Repoprt'!$D599,'Business - Dump'!$A:$A,'SKU Repoprt'!G$1)</f>
        <v>0</v>
      </c>
      <c r="H599" s="3">
        <f>SUMIFS('Business - Dump'!$W:$W,'Business - Dump'!$D:$D,'SKU Repoprt'!$D599,'Business - Dump'!$A:$A,'SKU Repoprt'!H$1)</f>
        <v>1</v>
      </c>
      <c r="I599" s="3">
        <f>SUMIFS('Business - Dump'!$W:$W,'Business - Dump'!$D:$D,'SKU Repoprt'!$D599,'Business - Dump'!$A:$A,'SKU Repoprt'!I$1)</f>
        <v>0</v>
      </c>
      <c r="J599" s="3">
        <f>SUMIFS('Business - Dump'!$W:$W,'Business - Dump'!$D:$D,'SKU Repoprt'!$D599,'Business - Dump'!$A:$A,'SKU Repoprt'!J$1)</f>
        <v>1</v>
      </c>
      <c r="K599" s="3">
        <f>SUMIFS('Business - Dump'!$W:$W,'Business - Dump'!$D:$D,'SKU Repoprt'!$D599,'Business - Dump'!$A:$A,'SKU Repoprt'!K$1)</f>
        <v>2</v>
      </c>
      <c r="L599" s="3">
        <f>SUMIFS('Business - Dump'!$W:$W,'Business - Dump'!$D:$D,'SKU Repoprt'!$D599,'Business - Dump'!$A:$A,'SKU Repoprt'!L$1)</f>
        <v>1</v>
      </c>
      <c r="M599" s="3">
        <f>SUMIFS('Business - Dump'!$W:$W,'Business - Dump'!$D:$D,'SKU Repoprt'!$D599,'Business - Dump'!$A:$A,'SKU Repoprt'!M$1)</f>
        <v>1</v>
      </c>
      <c r="N599" s="3">
        <f>SUMIFS('Business - Dump'!$W:$W,'Business - Dump'!$D:$D,'SKU Repoprt'!$D599,'Business - Dump'!$A:$A,'SKU Repoprt'!N$1)</f>
        <v>0</v>
      </c>
      <c r="O599" s="3">
        <f>SUMIFS('Business - Dump'!$W:$W,'Business - Dump'!$D:$D,'SKU Repoprt'!$D599,'Business - Dump'!$A:$A,'SKU Repoprt'!O$1)</f>
        <v>2</v>
      </c>
      <c r="P599" s="3">
        <f>SUMIFS('Business - Dump'!$W:$W,'Business - Dump'!$D:$D,'SKU Repoprt'!$D599,'Business - Dump'!$A:$A,'SKU Repoprt'!P$1)</f>
        <v>3</v>
      </c>
      <c r="Q599" s="3">
        <f>SUMIFS('Business - Dump'!$W:$W,'Business - Dump'!$D:$D,'SKU Repoprt'!$D599,'Business - Dump'!$A:$A,'SKU Repoprt'!Q$1)</f>
        <v>5</v>
      </c>
      <c r="R599" s="3">
        <f>SUMIFS('Business - Dump'!$W:$W,'Business - Dump'!$D:$D,'SKU Repoprt'!$D599,'Business - Dump'!$A:$A,'SKU Repoprt'!R$1)</f>
        <v>4</v>
      </c>
      <c r="S599" s="3">
        <f>SUMIFS('Business - Dump'!$W:$W,'Business - Dump'!$D:$D,'SKU Repoprt'!$D599,'Business - Dump'!$A:$A,'SKU Repoprt'!S$1)</f>
        <v>2</v>
      </c>
      <c r="T599" s="3">
        <f>SUMIFS('Business - Dump'!$W:$W,'Business - Dump'!$D:$D,'SKU Repoprt'!$D599,'Business - Dump'!$A:$A,'SKU Repoprt'!T$1)</f>
        <v>2</v>
      </c>
      <c r="U599" s="3">
        <f>SUMIFS('Business - Dump'!$W:$W,'Business - Dump'!$D:$D,'SKU Repoprt'!$D599,'Business - Dump'!$A:$A,'SKU Repoprt'!U$1)</f>
        <v>1</v>
      </c>
      <c r="V599" s="3">
        <f>SUMIFS('Business - Dump'!$W:$W,'Business - Dump'!$D:$D,'SKU Repoprt'!$D599,'Business - Dump'!$A:$A,'SKU Repoprt'!V$1)</f>
        <v>1</v>
      </c>
      <c r="W599" s="3">
        <f>SUMIFS('Business - Dump'!$W:$W,'Business - Dump'!$D:$D,'SKU Repoprt'!$D599,'Business - Dump'!$A:$A,'SKU Repoprt'!W$1)</f>
        <v>4</v>
      </c>
    </row>
    <row r="600" ht="15.75" customHeight="1">
      <c r="A600" s="10" t="s">
        <v>176</v>
      </c>
      <c r="B600" s="10" t="s">
        <v>176</v>
      </c>
      <c r="C600" s="10"/>
      <c r="D600" s="10" t="s">
        <v>343</v>
      </c>
      <c r="E600" s="10" t="s">
        <v>26</v>
      </c>
      <c r="F600" s="16">
        <f t="shared" si="199"/>
        <v>761558.68</v>
      </c>
      <c r="G600" s="16">
        <f>SUMIFS('Business - Dump'!$U:$U,'Business - Dump'!$D:$D,'SKU Repoprt'!$D600,'Business - Dump'!$A:$A,'SKU Repoprt'!G$1)</f>
        <v>0</v>
      </c>
      <c r="H600" s="16">
        <f>SUMIFS('Business - Dump'!$U:$U,'Business - Dump'!$D:$D,'SKU Repoprt'!$D600,'Business - Dump'!$A:$A,'SKU Repoprt'!H$1)</f>
        <v>43300</v>
      </c>
      <c r="I600" s="16">
        <f>SUMIFS('Business - Dump'!$U:$U,'Business - Dump'!$D:$D,'SKU Repoprt'!$D600,'Business - Dump'!$A:$A,'SKU Repoprt'!I$1)</f>
        <v>0</v>
      </c>
      <c r="J600" s="16">
        <f>SUMIFS('Business - Dump'!$U:$U,'Business - Dump'!$D:$D,'SKU Repoprt'!$D600,'Business - Dump'!$A:$A,'SKU Repoprt'!J$1)</f>
        <v>34500</v>
      </c>
      <c r="K600" s="16">
        <f>SUMIFS('Business - Dump'!$U:$U,'Business - Dump'!$D:$D,'SKU Repoprt'!$D600,'Business - Dump'!$A:$A,'SKU Repoprt'!K$1)</f>
        <v>71000</v>
      </c>
      <c r="L600" s="16">
        <f>SUMIFS('Business - Dump'!$U:$U,'Business - Dump'!$D:$D,'SKU Repoprt'!$D600,'Business - Dump'!$A:$A,'SKU Repoprt'!L$1)</f>
        <v>35431.36</v>
      </c>
      <c r="M600" s="16">
        <f>SUMIFS('Business - Dump'!$U:$U,'Business - Dump'!$D:$D,'SKU Repoprt'!$D600,'Business - Dump'!$A:$A,'SKU Repoprt'!M$1)</f>
        <v>34000</v>
      </c>
      <c r="N600" s="16">
        <f>SUMIFS('Business - Dump'!$U:$U,'Business - Dump'!$D:$D,'SKU Repoprt'!$D600,'Business - Dump'!$A:$A,'SKU Repoprt'!N$1)</f>
        <v>0</v>
      </c>
      <c r="O600" s="16">
        <f>SUMIFS('Business - Dump'!$U:$U,'Business - Dump'!$D:$D,'SKU Repoprt'!$D600,'Business - Dump'!$A:$A,'SKU Repoprt'!O$1)</f>
        <v>68662.72</v>
      </c>
      <c r="P600" s="16">
        <f>SUMIFS('Business - Dump'!$U:$U,'Business - Dump'!$D:$D,'SKU Repoprt'!$D600,'Business - Dump'!$A:$A,'SKU Repoprt'!P$1)</f>
        <v>103047.46</v>
      </c>
      <c r="Q600" s="16">
        <f>SUMIFS('Business - Dump'!$U:$U,'Business - Dump'!$D:$D,'SKU Repoprt'!$D600,'Business - Dump'!$A:$A,'SKU Repoprt'!Q$1)</f>
        <v>169887.3</v>
      </c>
      <c r="R600" s="16">
        <f>SUMIFS('Business - Dump'!$U:$U,'Business - Dump'!$D:$D,'SKU Repoprt'!$D600,'Business - Dump'!$A:$A,'SKU Repoprt'!R$1)</f>
        <v>131234.92</v>
      </c>
      <c r="S600" s="16">
        <f>SUMIFS('Business - Dump'!$U:$U,'Business - Dump'!$D:$D,'SKU Repoprt'!$D600,'Business - Dump'!$A:$A,'SKU Repoprt'!S$1)</f>
        <v>70494.92</v>
      </c>
      <c r="T600" s="16">
        <f>SUMIFS('Business - Dump'!$U:$U,'Business - Dump'!$D:$D,'SKU Repoprt'!$D600,'Business - Dump'!$A:$A,'SKU Repoprt'!T$1)</f>
        <v>70494.92</v>
      </c>
      <c r="U600" s="16">
        <f>SUMIFS('Business - Dump'!$U:$U,'Business - Dump'!$D:$D,'SKU Repoprt'!$D600,'Business - Dump'!$A:$A,'SKU Repoprt'!U$1)</f>
        <v>33481.46</v>
      </c>
      <c r="V600" s="16">
        <f>SUMIFS('Business - Dump'!$U:$U,'Business - Dump'!$D:$D,'SKU Repoprt'!$D600,'Business - Dump'!$A:$A,'SKU Repoprt'!V$1)</f>
        <v>33837.46</v>
      </c>
      <c r="W600" s="16">
        <f>SUMIFS('Business - Dump'!$U:$U,'Business - Dump'!$D:$D,'SKU Repoprt'!$D600,'Business - Dump'!$A:$A,'SKU Repoprt'!W$1)</f>
        <v>133717.4</v>
      </c>
    </row>
    <row r="601" ht="15.75" customHeight="1">
      <c r="A601" s="10" t="s">
        <v>176</v>
      </c>
      <c r="B601" s="10" t="s">
        <v>176</v>
      </c>
      <c r="C601" s="10"/>
      <c r="D601" s="10" t="s">
        <v>343</v>
      </c>
      <c r="E601" s="10" t="s">
        <v>29</v>
      </c>
      <c r="F601" s="17">
        <v>0.027042857142857143</v>
      </c>
      <c r="G601" s="17">
        <f t="shared" ref="G601:W601" si="200">IFERROR(G599/G596,0)</f>
        <v>0</v>
      </c>
      <c r="H601" s="17">
        <f t="shared" si="200"/>
        <v>0.001941747573</v>
      </c>
      <c r="I601" s="17">
        <f t="shared" si="200"/>
        <v>0</v>
      </c>
      <c r="J601" s="17">
        <f t="shared" si="200"/>
        <v>0.00269541779</v>
      </c>
      <c r="K601" s="17">
        <f t="shared" si="200"/>
        <v>0.005249343832</v>
      </c>
      <c r="L601" s="17">
        <f t="shared" si="200"/>
        <v>0.003676470588</v>
      </c>
      <c r="M601" s="17">
        <f t="shared" si="200"/>
        <v>0.00234741784</v>
      </c>
      <c r="N601" s="17">
        <f t="shared" si="200"/>
        <v>0</v>
      </c>
      <c r="O601" s="17">
        <f t="shared" si="200"/>
        <v>0.004987531172</v>
      </c>
      <c r="P601" s="17">
        <f t="shared" si="200"/>
        <v>0.007058823529</v>
      </c>
      <c r="Q601" s="17">
        <f t="shared" si="200"/>
        <v>0.008771929825</v>
      </c>
      <c r="R601" s="17">
        <f t="shared" si="200"/>
        <v>0.008602150538</v>
      </c>
      <c r="S601" s="17">
        <f t="shared" si="200"/>
        <v>0.006644518272</v>
      </c>
      <c r="T601" s="17">
        <f t="shared" si="200"/>
        <v>0.007662835249</v>
      </c>
      <c r="U601" s="17">
        <f t="shared" si="200"/>
        <v>0.003311258278</v>
      </c>
      <c r="V601" s="17">
        <f t="shared" si="200"/>
        <v>0.004</v>
      </c>
      <c r="W601" s="17">
        <f t="shared" si="200"/>
        <v>0.01226993865</v>
      </c>
    </row>
    <row r="602" ht="15.75" customHeight="1">
      <c r="A602" s="10" t="s">
        <v>176</v>
      </c>
      <c r="B602" s="10" t="s">
        <v>176</v>
      </c>
      <c r="C602" s="10"/>
      <c r="D602" s="10" t="s">
        <v>420</v>
      </c>
      <c r="E602" s="10" t="s">
        <v>257</v>
      </c>
      <c r="F602" s="3">
        <f t="shared" ref="F602:F606" si="201">SUM(G602:S602)</f>
        <v>242</v>
      </c>
      <c r="G602" s="3">
        <f>SUMIFS('Business - Dump'!$G:$G,'Business - Dump'!$D:$D,'SKU Repoprt'!$D602,'Business - Dump'!$A:$A,'SKU Repoprt'!G$1)</f>
        <v>0</v>
      </c>
      <c r="H602" s="3">
        <f>SUMIFS('Business - Dump'!$G:$G,'Business - Dump'!$D:$D,'SKU Repoprt'!$D602,'Business - Dump'!$A:$A,'SKU Repoprt'!H$1)</f>
        <v>0</v>
      </c>
      <c r="I602" s="3">
        <f>SUMIFS('Business - Dump'!$G:$G,'Business - Dump'!$D:$D,'SKU Repoprt'!$D602,'Business - Dump'!$A:$A,'SKU Repoprt'!I$1)</f>
        <v>0</v>
      </c>
      <c r="J602" s="3">
        <f>SUMIFS('Business - Dump'!$G:$G,'Business - Dump'!$D:$D,'SKU Repoprt'!$D602,'Business - Dump'!$A:$A,'SKU Repoprt'!J$1)</f>
        <v>0</v>
      </c>
      <c r="K602" s="3">
        <f>SUMIFS('Business - Dump'!$G:$G,'Business - Dump'!$D:$D,'SKU Repoprt'!$D602,'Business - Dump'!$A:$A,'SKU Repoprt'!K$1)</f>
        <v>0</v>
      </c>
      <c r="L602" s="3">
        <f>SUMIFS('Business - Dump'!$G:$G,'Business - Dump'!$D:$D,'SKU Repoprt'!$D602,'Business - Dump'!$A:$A,'SKU Repoprt'!L$1)</f>
        <v>0</v>
      </c>
      <c r="M602" s="3">
        <f>SUMIFS('Business - Dump'!$G:$G,'Business - Dump'!$D:$D,'SKU Repoprt'!$D602,'Business - Dump'!$A:$A,'SKU Repoprt'!M$1)</f>
        <v>0</v>
      </c>
      <c r="N602" s="3">
        <f>SUMIFS('Business - Dump'!$G:$G,'Business - Dump'!$D:$D,'SKU Repoprt'!$D602,'Business - Dump'!$A:$A,'SKU Repoprt'!N$1)</f>
        <v>14</v>
      </c>
      <c r="O602" s="3">
        <f>SUMIFS('Business - Dump'!$G:$G,'Business - Dump'!$D:$D,'SKU Repoprt'!$D602,'Business - Dump'!$A:$A,'SKU Repoprt'!O$1)</f>
        <v>64</v>
      </c>
      <c r="P602" s="3">
        <f>SUMIFS('Business - Dump'!$G:$G,'Business - Dump'!$D:$D,'SKU Repoprt'!$D602,'Business - Dump'!$A:$A,'SKU Repoprt'!P$1)</f>
        <v>80</v>
      </c>
      <c r="Q602" s="3">
        <f>SUMIFS('Business - Dump'!$G:$G,'Business - Dump'!$D:$D,'SKU Repoprt'!$D602,'Business - Dump'!$A:$A,'SKU Repoprt'!Q$1)</f>
        <v>0</v>
      </c>
      <c r="R602" s="3">
        <f>SUMIFS('Business - Dump'!$G:$G,'Business - Dump'!$D:$D,'SKU Repoprt'!$D602,'Business - Dump'!$A:$A,'SKU Repoprt'!R$1)</f>
        <v>10</v>
      </c>
      <c r="S602" s="3">
        <f>SUMIFS('Business - Dump'!$G:$G,'Business - Dump'!$D:$D,'SKU Repoprt'!$D602,'Business - Dump'!$A:$A,'SKU Repoprt'!S$1)</f>
        <v>74</v>
      </c>
      <c r="T602" s="3">
        <f>SUMIFS('Business - Dump'!$G:$G,'Business - Dump'!$D:$D,'SKU Repoprt'!$D602,'Business - Dump'!$A:$A,'SKU Repoprt'!T$1)</f>
        <v>68</v>
      </c>
      <c r="U602" s="3">
        <f>SUMIFS('Business - Dump'!$G:$G,'Business - Dump'!$D:$D,'SKU Repoprt'!$D602,'Business - Dump'!$A:$A,'SKU Repoprt'!U$1)</f>
        <v>131</v>
      </c>
      <c r="V602" s="3">
        <f>SUMIFS('Business - Dump'!$G:$G,'Business - Dump'!$D:$D,'SKU Repoprt'!$D602,'Business - Dump'!$A:$A,'SKU Repoprt'!V$1)</f>
        <v>47</v>
      </c>
      <c r="W602" s="3">
        <f>SUMIFS('Business - Dump'!$G:$G,'Business - Dump'!$D:$D,'SKU Repoprt'!$D602,'Business - Dump'!$A:$A,'SKU Repoprt'!W$1)</f>
        <v>48</v>
      </c>
    </row>
    <row r="603" ht="15.75" customHeight="1">
      <c r="A603" s="10" t="s">
        <v>176</v>
      </c>
      <c r="B603" s="10" t="s">
        <v>176</v>
      </c>
      <c r="C603" s="10"/>
      <c r="D603" s="10" t="s">
        <v>420</v>
      </c>
      <c r="E603" s="10" t="s">
        <v>260</v>
      </c>
      <c r="F603" s="3">
        <f t="shared" si="201"/>
        <v>345</v>
      </c>
      <c r="G603" s="3">
        <f>SUMIFS('Business - Dump'!$K:$K,'Business - Dump'!$D:$D,'SKU Repoprt'!$D603,'Business - Dump'!$A:$A,'SKU Repoprt'!G$1)</f>
        <v>0</v>
      </c>
      <c r="H603" s="3">
        <f>SUMIFS('Business - Dump'!$K:$K,'Business - Dump'!$D:$D,'SKU Repoprt'!$D603,'Business - Dump'!$A:$A,'SKU Repoprt'!H$1)</f>
        <v>0</v>
      </c>
      <c r="I603" s="3">
        <f>SUMIFS('Business - Dump'!$K:$K,'Business - Dump'!$D:$D,'SKU Repoprt'!$D603,'Business - Dump'!$A:$A,'SKU Repoprt'!I$1)</f>
        <v>0</v>
      </c>
      <c r="J603" s="3">
        <f>SUMIFS('Business - Dump'!$K:$K,'Business - Dump'!$D:$D,'SKU Repoprt'!$D603,'Business - Dump'!$A:$A,'SKU Repoprt'!J$1)</f>
        <v>0</v>
      </c>
      <c r="K603" s="3">
        <f>SUMIFS('Business - Dump'!$K:$K,'Business - Dump'!$D:$D,'SKU Repoprt'!$D603,'Business - Dump'!$A:$A,'SKU Repoprt'!K$1)</f>
        <v>0</v>
      </c>
      <c r="L603" s="3">
        <f>SUMIFS('Business - Dump'!$K:$K,'Business - Dump'!$D:$D,'SKU Repoprt'!$D603,'Business - Dump'!$A:$A,'SKU Repoprt'!L$1)</f>
        <v>0</v>
      </c>
      <c r="M603" s="3">
        <f>SUMIFS('Business - Dump'!$K:$K,'Business - Dump'!$D:$D,'SKU Repoprt'!$D603,'Business - Dump'!$A:$A,'SKU Repoprt'!M$1)</f>
        <v>0</v>
      </c>
      <c r="N603" s="3">
        <f>SUMIFS('Business - Dump'!$K:$K,'Business - Dump'!$D:$D,'SKU Repoprt'!$D603,'Business - Dump'!$A:$A,'SKU Repoprt'!N$1)</f>
        <v>27</v>
      </c>
      <c r="O603" s="3">
        <f>SUMIFS('Business - Dump'!$K:$K,'Business - Dump'!$D:$D,'SKU Repoprt'!$D603,'Business - Dump'!$A:$A,'SKU Repoprt'!O$1)</f>
        <v>90</v>
      </c>
      <c r="P603" s="3">
        <f>SUMIFS('Business - Dump'!$K:$K,'Business - Dump'!$D:$D,'SKU Repoprt'!$D603,'Business - Dump'!$A:$A,'SKU Repoprt'!P$1)</f>
        <v>105</v>
      </c>
      <c r="Q603" s="3">
        <f>SUMIFS('Business - Dump'!$K:$K,'Business - Dump'!$D:$D,'SKU Repoprt'!$D603,'Business - Dump'!$A:$A,'SKU Repoprt'!Q$1)</f>
        <v>0</v>
      </c>
      <c r="R603" s="3">
        <f>SUMIFS('Business - Dump'!$K:$K,'Business - Dump'!$D:$D,'SKU Repoprt'!$D603,'Business - Dump'!$A:$A,'SKU Repoprt'!R$1)</f>
        <v>10</v>
      </c>
      <c r="S603" s="3">
        <f>SUMIFS('Business - Dump'!$K:$K,'Business - Dump'!$D:$D,'SKU Repoprt'!$D603,'Business - Dump'!$A:$A,'SKU Repoprt'!S$1)</f>
        <v>113</v>
      </c>
      <c r="T603" s="3">
        <f>SUMIFS('Business - Dump'!$K:$K,'Business - Dump'!$D:$D,'SKU Repoprt'!$D603,'Business - Dump'!$A:$A,'SKU Repoprt'!T$1)</f>
        <v>85</v>
      </c>
      <c r="U603" s="3">
        <f>SUMIFS('Business - Dump'!$K:$K,'Business - Dump'!$D:$D,'SKU Repoprt'!$D603,'Business - Dump'!$A:$A,'SKU Repoprt'!U$1)</f>
        <v>260</v>
      </c>
      <c r="V603" s="3">
        <f>SUMIFS('Business - Dump'!$K:$K,'Business - Dump'!$D:$D,'SKU Repoprt'!$D603,'Business - Dump'!$A:$A,'SKU Repoprt'!V$1)</f>
        <v>70</v>
      </c>
      <c r="W603" s="3">
        <f>SUMIFS('Business - Dump'!$K:$K,'Business - Dump'!$D:$D,'SKU Repoprt'!$D603,'Business - Dump'!$A:$A,'SKU Repoprt'!W$1)</f>
        <v>79</v>
      </c>
    </row>
    <row r="604" ht="15.75" customHeight="1">
      <c r="A604" s="10" t="s">
        <v>176</v>
      </c>
      <c r="B604" s="10" t="s">
        <v>176</v>
      </c>
      <c r="C604" s="10"/>
      <c r="D604" s="10" t="s">
        <v>420</v>
      </c>
      <c r="E604" s="10" t="s">
        <v>264</v>
      </c>
      <c r="F604" s="3">
        <f t="shared" si="201"/>
        <v>3</v>
      </c>
      <c r="G604" s="3">
        <f>SUMIFS('Business - Dump'!$Q:$Q,'Business - Dump'!$D:$D,'SKU Repoprt'!$D604,'Business - Dump'!$A:$A,'SKU Repoprt'!G$1)</f>
        <v>0</v>
      </c>
      <c r="H604" s="3">
        <f>SUMIFS('Business - Dump'!$Q:$Q,'Business - Dump'!$D:$D,'SKU Repoprt'!$D604,'Business - Dump'!$A:$A,'SKU Repoprt'!H$1)</f>
        <v>0</v>
      </c>
      <c r="I604" s="3">
        <f>SUMIFS('Business - Dump'!$Q:$Q,'Business - Dump'!$D:$D,'SKU Repoprt'!$D604,'Business - Dump'!$A:$A,'SKU Repoprt'!I$1)</f>
        <v>0</v>
      </c>
      <c r="J604" s="3">
        <f>SUMIFS('Business - Dump'!$Q:$Q,'Business - Dump'!$D:$D,'SKU Repoprt'!$D604,'Business - Dump'!$A:$A,'SKU Repoprt'!J$1)</f>
        <v>0</v>
      </c>
      <c r="K604" s="3">
        <f>SUMIFS('Business - Dump'!$Q:$Q,'Business - Dump'!$D:$D,'SKU Repoprt'!$D604,'Business - Dump'!$A:$A,'SKU Repoprt'!K$1)</f>
        <v>0</v>
      </c>
      <c r="L604" s="3">
        <f>SUMIFS('Business - Dump'!$Q:$Q,'Business - Dump'!$D:$D,'SKU Repoprt'!$D604,'Business - Dump'!$A:$A,'SKU Repoprt'!L$1)</f>
        <v>0</v>
      </c>
      <c r="M604" s="3">
        <f>SUMIFS('Business - Dump'!$Q:$Q,'Business - Dump'!$D:$D,'SKU Repoprt'!$D604,'Business - Dump'!$A:$A,'SKU Repoprt'!M$1)</f>
        <v>0</v>
      </c>
      <c r="N604" s="3">
        <f>SUMIFS('Business - Dump'!$Q:$Q,'Business - Dump'!$D:$D,'SKU Repoprt'!$D604,'Business - Dump'!$A:$A,'SKU Repoprt'!N$1)</f>
        <v>1</v>
      </c>
      <c r="O604" s="3">
        <f>SUMIFS('Business - Dump'!$Q:$Q,'Business - Dump'!$D:$D,'SKU Repoprt'!$D604,'Business - Dump'!$A:$A,'SKU Repoprt'!O$1)</f>
        <v>0</v>
      </c>
      <c r="P604" s="3">
        <f>SUMIFS('Business - Dump'!$Q:$Q,'Business - Dump'!$D:$D,'SKU Repoprt'!$D604,'Business - Dump'!$A:$A,'SKU Repoprt'!P$1)</f>
        <v>1</v>
      </c>
      <c r="Q604" s="3">
        <f>SUMIFS('Business - Dump'!$Q:$Q,'Business - Dump'!$D:$D,'SKU Repoprt'!$D604,'Business - Dump'!$A:$A,'SKU Repoprt'!Q$1)</f>
        <v>0</v>
      </c>
      <c r="R604" s="3">
        <f>SUMIFS('Business - Dump'!$Q:$Q,'Business - Dump'!$D:$D,'SKU Repoprt'!$D604,'Business - Dump'!$A:$A,'SKU Repoprt'!R$1)</f>
        <v>0</v>
      </c>
      <c r="S604" s="3">
        <f>SUMIFS('Business - Dump'!$Q:$Q,'Business - Dump'!$D:$D,'SKU Repoprt'!$D604,'Business - Dump'!$A:$A,'SKU Repoprt'!S$1)</f>
        <v>1</v>
      </c>
      <c r="T604" s="3">
        <f>SUMIFS('Business - Dump'!$Q:$Q,'Business - Dump'!$D:$D,'SKU Repoprt'!$D604,'Business - Dump'!$A:$A,'SKU Repoprt'!T$1)</f>
        <v>0</v>
      </c>
      <c r="U604" s="3">
        <f>SUMIFS('Business - Dump'!$Q:$Q,'Business - Dump'!$D:$D,'SKU Repoprt'!$D604,'Business - Dump'!$A:$A,'SKU Repoprt'!U$1)</f>
        <v>3</v>
      </c>
      <c r="V604" s="3">
        <f>SUMIFS('Business - Dump'!$Q:$Q,'Business - Dump'!$D:$D,'SKU Repoprt'!$D604,'Business - Dump'!$A:$A,'SKU Repoprt'!V$1)</f>
        <v>2</v>
      </c>
      <c r="W604" s="3">
        <f>SUMIFS('Business - Dump'!$Q:$Q,'Business - Dump'!$D:$D,'SKU Repoprt'!$D604,'Business - Dump'!$A:$A,'SKU Repoprt'!W$1)</f>
        <v>0</v>
      </c>
    </row>
    <row r="605" ht="15.75" customHeight="1">
      <c r="A605" s="10" t="s">
        <v>176</v>
      </c>
      <c r="B605" s="10" t="s">
        <v>176</v>
      </c>
      <c r="C605" s="10"/>
      <c r="D605" s="10" t="s">
        <v>420</v>
      </c>
      <c r="E605" s="10" t="s">
        <v>268</v>
      </c>
      <c r="F605" s="3">
        <f t="shared" si="201"/>
        <v>3</v>
      </c>
      <c r="G605" s="3">
        <f>SUMIFS('Business - Dump'!$W:$W,'Business - Dump'!$D:$D,'SKU Repoprt'!$D605,'Business - Dump'!$A:$A,'SKU Repoprt'!G$1)</f>
        <v>0</v>
      </c>
      <c r="H605" s="3">
        <f>SUMIFS('Business - Dump'!$W:$W,'Business - Dump'!$D:$D,'SKU Repoprt'!$D605,'Business - Dump'!$A:$A,'SKU Repoprt'!H$1)</f>
        <v>0</v>
      </c>
      <c r="I605" s="3">
        <f>SUMIFS('Business - Dump'!$W:$W,'Business - Dump'!$D:$D,'SKU Repoprt'!$D605,'Business - Dump'!$A:$A,'SKU Repoprt'!I$1)</f>
        <v>0</v>
      </c>
      <c r="J605" s="3">
        <f>SUMIFS('Business - Dump'!$W:$W,'Business - Dump'!$D:$D,'SKU Repoprt'!$D605,'Business - Dump'!$A:$A,'SKU Repoprt'!J$1)</f>
        <v>0</v>
      </c>
      <c r="K605" s="3">
        <f>SUMIFS('Business - Dump'!$W:$W,'Business - Dump'!$D:$D,'SKU Repoprt'!$D605,'Business - Dump'!$A:$A,'SKU Repoprt'!K$1)</f>
        <v>0</v>
      </c>
      <c r="L605" s="3">
        <f>SUMIFS('Business - Dump'!$W:$W,'Business - Dump'!$D:$D,'SKU Repoprt'!$D605,'Business - Dump'!$A:$A,'SKU Repoprt'!L$1)</f>
        <v>0</v>
      </c>
      <c r="M605" s="3">
        <f>SUMIFS('Business - Dump'!$W:$W,'Business - Dump'!$D:$D,'SKU Repoprt'!$D605,'Business - Dump'!$A:$A,'SKU Repoprt'!M$1)</f>
        <v>0</v>
      </c>
      <c r="N605" s="3">
        <f>SUMIFS('Business - Dump'!$W:$W,'Business - Dump'!$D:$D,'SKU Repoprt'!$D605,'Business - Dump'!$A:$A,'SKU Repoprt'!N$1)</f>
        <v>1</v>
      </c>
      <c r="O605" s="3">
        <f>SUMIFS('Business - Dump'!$W:$W,'Business - Dump'!$D:$D,'SKU Repoprt'!$D605,'Business - Dump'!$A:$A,'SKU Repoprt'!O$1)</f>
        <v>0</v>
      </c>
      <c r="P605" s="3">
        <f>SUMIFS('Business - Dump'!$W:$W,'Business - Dump'!$D:$D,'SKU Repoprt'!$D605,'Business - Dump'!$A:$A,'SKU Repoprt'!P$1)</f>
        <v>1</v>
      </c>
      <c r="Q605" s="3">
        <f>SUMIFS('Business - Dump'!$W:$W,'Business - Dump'!$D:$D,'SKU Repoprt'!$D605,'Business - Dump'!$A:$A,'SKU Repoprt'!Q$1)</f>
        <v>0</v>
      </c>
      <c r="R605" s="3">
        <f>SUMIFS('Business - Dump'!$W:$W,'Business - Dump'!$D:$D,'SKU Repoprt'!$D605,'Business - Dump'!$A:$A,'SKU Repoprt'!R$1)</f>
        <v>0</v>
      </c>
      <c r="S605" s="3">
        <f>SUMIFS('Business - Dump'!$W:$W,'Business - Dump'!$D:$D,'SKU Repoprt'!$D605,'Business - Dump'!$A:$A,'SKU Repoprt'!S$1)</f>
        <v>1</v>
      </c>
      <c r="T605" s="3">
        <f>SUMIFS('Business - Dump'!$W:$W,'Business - Dump'!$D:$D,'SKU Repoprt'!$D605,'Business - Dump'!$A:$A,'SKU Repoprt'!T$1)</f>
        <v>0</v>
      </c>
      <c r="U605" s="3">
        <f>SUMIFS('Business - Dump'!$W:$W,'Business - Dump'!$D:$D,'SKU Repoprt'!$D605,'Business - Dump'!$A:$A,'SKU Repoprt'!U$1)</f>
        <v>3</v>
      </c>
      <c r="V605" s="3">
        <f>SUMIFS('Business - Dump'!$W:$W,'Business - Dump'!$D:$D,'SKU Repoprt'!$D605,'Business - Dump'!$A:$A,'SKU Repoprt'!V$1)</f>
        <v>2</v>
      </c>
      <c r="W605" s="3">
        <f>SUMIFS('Business - Dump'!$W:$W,'Business - Dump'!$D:$D,'SKU Repoprt'!$D605,'Business - Dump'!$A:$A,'SKU Repoprt'!W$1)</f>
        <v>0</v>
      </c>
    </row>
    <row r="606" ht="15.75" customHeight="1">
      <c r="A606" s="10" t="s">
        <v>176</v>
      </c>
      <c r="B606" s="10" t="s">
        <v>176</v>
      </c>
      <c r="C606" s="10"/>
      <c r="D606" s="10" t="s">
        <v>420</v>
      </c>
      <c r="E606" s="10" t="s">
        <v>26</v>
      </c>
      <c r="F606" s="16">
        <f t="shared" si="201"/>
        <v>89110</v>
      </c>
      <c r="G606" s="16">
        <f>SUMIFS('Business - Dump'!$U:$U,'Business - Dump'!$D:$D,'SKU Repoprt'!$D606,'Business - Dump'!$A:$A,'SKU Repoprt'!G$1)</f>
        <v>0</v>
      </c>
      <c r="H606" s="16">
        <f>SUMIFS('Business - Dump'!$U:$U,'Business - Dump'!$D:$D,'SKU Repoprt'!$D606,'Business - Dump'!$A:$A,'SKU Repoprt'!H$1)</f>
        <v>0</v>
      </c>
      <c r="I606" s="16">
        <f>SUMIFS('Business - Dump'!$U:$U,'Business - Dump'!$D:$D,'SKU Repoprt'!$D606,'Business - Dump'!$A:$A,'SKU Repoprt'!I$1)</f>
        <v>0</v>
      </c>
      <c r="J606" s="16">
        <f>SUMIFS('Business - Dump'!$U:$U,'Business - Dump'!$D:$D,'SKU Repoprt'!$D606,'Business - Dump'!$A:$A,'SKU Repoprt'!J$1)</f>
        <v>0</v>
      </c>
      <c r="K606" s="16">
        <f>SUMIFS('Business - Dump'!$U:$U,'Business - Dump'!$D:$D,'SKU Repoprt'!$D606,'Business - Dump'!$A:$A,'SKU Repoprt'!K$1)</f>
        <v>0</v>
      </c>
      <c r="L606" s="16">
        <f>SUMIFS('Business - Dump'!$U:$U,'Business - Dump'!$D:$D,'SKU Repoprt'!$D606,'Business - Dump'!$A:$A,'SKU Repoprt'!L$1)</f>
        <v>0</v>
      </c>
      <c r="M606" s="16">
        <f>SUMIFS('Business - Dump'!$U:$U,'Business - Dump'!$D:$D,'SKU Repoprt'!$D606,'Business - Dump'!$A:$A,'SKU Repoprt'!M$1)</f>
        <v>0</v>
      </c>
      <c r="N606" s="16">
        <f>SUMIFS('Business - Dump'!$U:$U,'Business - Dump'!$D:$D,'SKU Repoprt'!$D606,'Business - Dump'!$A:$A,'SKU Repoprt'!N$1)</f>
        <v>28400</v>
      </c>
      <c r="O606" s="16">
        <f>SUMIFS('Business - Dump'!$U:$U,'Business - Dump'!$D:$D,'SKU Repoprt'!$D606,'Business - Dump'!$A:$A,'SKU Repoprt'!O$1)</f>
        <v>0</v>
      </c>
      <c r="P606" s="16">
        <f>SUMIFS('Business - Dump'!$U:$U,'Business - Dump'!$D:$D,'SKU Repoprt'!$D606,'Business - Dump'!$A:$A,'SKU Repoprt'!P$1)</f>
        <v>31000</v>
      </c>
      <c r="Q606" s="16">
        <f>SUMIFS('Business - Dump'!$U:$U,'Business - Dump'!$D:$D,'SKU Repoprt'!$D606,'Business - Dump'!$A:$A,'SKU Repoprt'!Q$1)</f>
        <v>0</v>
      </c>
      <c r="R606" s="16">
        <f>SUMIFS('Business - Dump'!$U:$U,'Business - Dump'!$D:$D,'SKU Repoprt'!$D606,'Business - Dump'!$A:$A,'SKU Repoprt'!R$1)</f>
        <v>0</v>
      </c>
      <c r="S606" s="16">
        <f>SUMIFS('Business - Dump'!$U:$U,'Business - Dump'!$D:$D,'SKU Repoprt'!$D606,'Business - Dump'!$A:$A,'SKU Repoprt'!S$1)</f>
        <v>29710</v>
      </c>
      <c r="T606" s="16">
        <f>SUMIFS('Business - Dump'!$U:$U,'Business - Dump'!$D:$D,'SKU Repoprt'!$D606,'Business - Dump'!$A:$A,'SKU Repoprt'!T$1)</f>
        <v>0</v>
      </c>
      <c r="U606" s="16">
        <f>SUMIFS('Business - Dump'!$U:$U,'Business - Dump'!$D:$D,'SKU Repoprt'!$D606,'Business - Dump'!$A:$A,'SKU Repoprt'!U$1)</f>
        <v>84507.24</v>
      </c>
      <c r="V606" s="16">
        <f>SUMIFS('Business - Dump'!$U:$U,'Business - Dump'!$D:$D,'SKU Repoprt'!$D606,'Business - Dump'!$A:$A,'SKU Repoprt'!V$1)</f>
        <v>58590.16</v>
      </c>
      <c r="W606" s="16">
        <f>SUMIFS('Business - Dump'!$U:$U,'Business - Dump'!$D:$D,'SKU Repoprt'!$D606,'Business - Dump'!$A:$A,'SKU Repoprt'!W$1)</f>
        <v>0</v>
      </c>
    </row>
    <row r="607" ht="15.75" customHeight="1">
      <c r="A607" s="10" t="s">
        <v>176</v>
      </c>
      <c r="B607" s="10" t="s">
        <v>176</v>
      </c>
      <c r="C607" s="10"/>
      <c r="D607" s="10" t="s">
        <v>420</v>
      </c>
      <c r="E607" s="10" t="s">
        <v>29</v>
      </c>
      <c r="F607" s="17">
        <v>0.027042857142857143</v>
      </c>
      <c r="G607" s="17">
        <f t="shared" ref="G607:W607" si="202">IFERROR(G605/G602,0)</f>
        <v>0</v>
      </c>
      <c r="H607" s="17">
        <f t="shared" si="202"/>
        <v>0</v>
      </c>
      <c r="I607" s="17">
        <f t="shared" si="202"/>
        <v>0</v>
      </c>
      <c r="J607" s="17">
        <f t="shared" si="202"/>
        <v>0</v>
      </c>
      <c r="K607" s="17">
        <f t="shared" si="202"/>
        <v>0</v>
      </c>
      <c r="L607" s="17">
        <f t="shared" si="202"/>
        <v>0</v>
      </c>
      <c r="M607" s="17">
        <f t="shared" si="202"/>
        <v>0</v>
      </c>
      <c r="N607" s="17">
        <f t="shared" si="202"/>
        <v>0.07142857143</v>
      </c>
      <c r="O607" s="17">
        <f t="shared" si="202"/>
        <v>0</v>
      </c>
      <c r="P607" s="17">
        <f t="shared" si="202"/>
        <v>0.0125</v>
      </c>
      <c r="Q607" s="17">
        <f t="shared" si="202"/>
        <v>0</v>
      </c>
      <c r="R607" s="17">
        <f t="shared" si="202"/>
        <v>0</v>
      </c>
      <c r="S607" s="17">
        <f t="shared" si="202"/>
        <v>0.01351351351</v>
      </c>
      <c r="T607" s="17">
        <f t="shared" si="202"/>
        <v>0</v>
      </c>
      <c r="U607" s="17">
        <f t="shared" si="202"/>
        <v>0.02290076336</v>
      </c>
      <c r="V607" s="17">
        <f t="shared" si="202"/>
        <v>0.04255319149</v>
      </c>
      <c r="W607" s="17">
        <f t="shared" si="202"/>
        <v>0</v>
      </c>
    </row>
    <row r="608" ht="15.75" customHeight="1">
      <c r="A608" s="10" t="s">
        <v>176</v>
      </c>
      <c r="B608" s="10" t="s">
        <v>176</v>
      </c>
      <c r="C608" s="10"/>
      <c r="D608" s="10" t="s">
        <v>368</v>
      </c>
      <c r="E608" s="10" t="s">
        <v>257</v>
      </c>
      <c r="F608" s="3">
        <f t="shared" ref="F608:F612" si="203">SUM(G608:S608)</f>
        <v>4300</v>
      </c>
      <c r="G608" s="3">
        <f>SUMIFS('Business - Dump'!$G:$G,'Business - Dump'!$D:$D,'SKU Repoprt'!$D608,'Business - Dump'!$A:$A,'SKU Repoprt'!G$1)</f>
        <v>0</v>
      </c>
      <c r="H608" s="3">
        <f>SUMIFS('Business - Dump'!$G:$G,'Business - Dump'!$D:$D,'SKU Repoprt'!$D608,'Business - Dump'!$A:$A,'SKU Repoprt'!H$1)</f>
        <v>0</v>
      </c>
      <c r="I608" s="3">
        <f>SUMIFS('Business - Dump'!$G:$G,'Business - Dump'!$D:$D,'SKU Repoprt'!$D608,'Business - Dump'!$A:$A,'SKU Repoprt'!I$1)</f>
        <v>0</v>
      </c>
      <c r="J608" s="3">
        <f>SUMIFS('Business - Dump'!$G:$G,'Business - Dump'!$D:$D,'SKU Repoprt'!$D608,'Business - Dump'!$A:$A,'SKU Repoprt'!J$1)</f>
        <v>119</v>
      </c>
      <c r="K608" s="3">
        <f>SUMIFS('Business - Dump'!$G:$G,'Business - Dump'!$D:$D,'SKU Repoprt'!$D608,'Business - Dump'!$A:$A,'SKU Repoprt'!K$1)</f>
        <v>249</v>
      </c>
      <c r="L608" s="3">
        <f>SUMIFS('Business - Dump'!$G:$G,'Business - Dump'!$D:$D,'SKU Repoprt'!$D608,'Business - Dump'!$A:$A,'SKU Repoprt'!L$1)</f>
        <v>0</v>
      </c>
      <c r="M608" s="3">
        <f>SUMIFS('Business - Dump'!$G:$G,'Business - Dump'!$D:$D,'SKU Repoprt'!$D608,'Business - Dump'!$A:$A,'SKU Repoprt'!M$1)</f>
        <v>615</v>
      </c>
      <c r="N608" s="3">
        <f>SUMIFS('Business - Dump'!$G:$G,'Business - Dump'!$D:$D,'SKU Repoprt'!$D608,'Business - Dump'!$A:$A,'SKU Repoprt'!N$1)</f>
        <v>611</v>
      </c>
      <c r="O608" s="3">
        <f>SUMIFS('Business - Dump'!$G:$G,'Business - Dump'!$D:$D,'SKU Repoprt'!$D608,'Business - Dump'!$A:$A,'SKU Repoprt'!O$1)</f>
        <v>596</v>
      </c>
      <c r="P608" s="3">
        <f>SUMIFS('Business - Dump'!$G:$G,'Business - Dump'!$D:$D,'SKU Repoprt'!$D608,'Business - Dump'!$A:$A,'SKU Repoprt'!P$1)</f>
        <v>375</v>
      </c>
      <c r="Q608" s="3">
        <f>SUMIFS('Business - Dump'!$G:$G,'Business - Dump'!$D:$D,'SKU Repoprt'!$D608,'Business - Dump'!$A:$A,'SKU Repoprt'!Q$1)</f>
        <v>695</v>
      </c>
      <c r="R608" s="3">
        <f>SUMIFS('Business - Dump'!$G:$G,'Business - Dump'!$D:$D,'SKU Repoprt'!$D608,'Business - Dump'!$A:$A,'SKU Repoprt'!R$1)</f>
        <v>620</v>
      </c>
      <c r="S608" s="3">
        <f>SUMIFS('Business - Dump'!$G:$G,'Business - Dump'!$D:$D,'SKU Repoprt'!$D608,'Business - Dump'!$A:$A,'SKU Repoprt'!S$1)</f>
        <v>420</v>
      </c>
      <c r="T608" s="3">
        <f>SUMIFS('Business - Dump'!$G:$G,'Business - Dump'!$D:$D,'SKU Repoprt'!$D608,'Business - Dump'!$A:$A,'SKU Repoprt'!T$1)</f>
        <v>440</v>
      </c>
      <c r="U608" s="3">
        <f>SUMIFS('Business - Dump'!$G:$G,'Business - Dump'!$D:$D,'SKU Repoprt'!$D608,'Business - Dump'!$A:$A,'SKU Repoprt'!U$1)</f>
        <v>588</v>
      </c>
      <c r="V608" s="3">
        <f>SUMIFS('Business - Dump'!$G:$G,'Business - Dump'!$D:$D,'SKU Repoprt'!$D608,'Business - Dump'!$A:$A,'SKU Repoprt'!V$1)</f>
        <v>420</v>
      </c>
      <c r="W608" s="3">
        <f>SUMIFS('Business - Dump'!$G:$G,'Business - Dump'!$D:$D,'SKU Repoprt'!$D608,'Business - Dump'!$A:$A,'SKU Repoprt'!W$1)</f>
        <v>594</v>
      </c>
    </row>
    <row r="609" ht="15.75" customHeight="1">
      <c r="A609" s="10" t="s">
        <v>176</v>
      </c>
      <c r="B609" s="10" t="s">
        <v>176</v>
      </c>
      <c r="C609" s="10"/>
      <c r="D609" s="10" t="s">
        <v>368</v>
      </c>
      <c r="E609" s="10" t="s">
        <v>260</v>
      </c>
      <c r="F609" s="3">
        <f t="shared" si="203"/>
        <v>6290</v>
      </c>
      <c r="G609" s="3">
        <f>SUMIFS('Business - Dump'!$K:$K,'Business - Dump'!$D:$D,'SKU Repoprt'!$D609,'Business - Dump'!$A:$A,'SKU Repoprt'!G$1)</f>
        <v>0</v>
      </c>
      <c r="H609" s="3">
        <f>SUMIFS('Business - Dump'!$K:$K,'Business - Dump'!$D:$D,'SKU Repoprt'!$D609,'Business - Dump'!$A:$A,'SKU Repoprt'!H$1)</f>
        <v>0</v>
      </c>
      <c r="I609" s="3">
        <f>SUMIFS('Business - Dump'!$K:$K,'Business - Dump'!$D:$D,'SKU Repoprt'!$D609,'Business - Dump'!$A:$A,'SKU Repoprt'!I$1)</f>
        <v>0</v>
      </c>
      <c r="J609" s="3">
        <f>SUMIFS('Business - Dump'!$K:$K,'Business - Dump'!$D:$D,'SKU Repoprt'!$D609,'Business - Dump'!$A:$A,'SKU Repoprt'!J$1)</f>
        <v>154</v>
      </c>
      <c r="K609" s="3">
        <f>SUMIFS('Business - Dump'!$K:$K,'Business - Dump'!$D:$D,'SKU Repoprt'!$D609,'Business - Dump'!$A:$A,'SKU Repoprt'!K$1)</f>
        <v>352</v>
      </c>
      <c r="L609" s="3">
        <f>SUMIFS('Business - Dump'!$K:$K,'Business - Dump'!$D:$D,'SKU Repoprt'!$D609,'Business - Dump'!$A:$A,'SKU Repoprt'!L$1)</f>
        <v>0</v>
      </c>
      <c r="M609" s="3">
        <f>SUMIFS('Business - Dump'!$K:$K,'Business - Dump'!$D:$D,'SKU Repoprt'!$D609,'Business - Dump'!$A:$A,'SKU Repoprt'!M$1)</f>
        <v>1025</v>
      </c>
      <c r="N609" s="3">
        <f>SUMIFS('Business - Dump'!$K:$K,'Business - Dump'!$D:$D,'SKU Repoprt'!$D609,'Business - Dump'!$A:$A,'SKU Repoprt'!N$1)</f>
        <v>808</v>
      </c>
      <c r="O609" s="3">
        <f>SUMIFS('Business - Dump'!$K:$K,'Business - Dump'!$D:$D,'SKU Repoprt'!$D609,'Business - Dump'!$A:$A,'SKU Repoprt'!O$1)</f>
        <v>867</v>
      </c>
      <c r="P609" s="3">
        <f>SUMIFS('Business - Dump'!$K:$K,'Business - Dump'!$D:$D,'SKU Repoprt'!$D609,'Business - Dump'!$A:$A,'SKU Repoprt'!P$1)</f>
        <v>526</v>
      </c>
      <c r="Q609" s="3">
        <f>SUMIFS('Business - Dump'!$K:$K,'Business - Dump'!$D:$D,'SKU Repoprt'!$D609,'Business - Dump'!$A:$A,'SKU Repoprt'!Q$1)</f>
        <v>1022</v>
      </c>
      <c r="R609" s="3">
        <f>SUMIFS('Business - Dump'!$K:$K,'Business - Dump'!$D:$D,'SKU Repoprt'!$D609,'Business - Dump'!$A:$A,'SKU Repoprt'!R$1)</f>
        <v>953</v>
      </c>
      <c r="S609" s="3">
        <f>SUMIFS('Business - Dump'!$K:$K,'Business - Dump'!$D:$D,'SKU Repoprt'!$D609,'Business - Dump'!$A:$A,'SKU Repoprt'!S$1)</f>
        <v>583</v>
      </c>
      <c r="T609" s="3">
        <f>SUMIFS('Business - Dump'!$K:$K,'Business - Dump'!$D:$D,'SKU Repoprt'!$D609,'Business - Dump'!$A:$A,'SKU Repoprt'!T$1)</f>
        <v>630</v>
      </c>
      <c r="U609" s="3">
        <f>SUMIFS('Business - Dump'!$K:$K,'Business - Dump'!$D:$D,'SKU Repoprt'!$D609,'Business - Dump'!$A:$A,'SKU Repoprt'!U$1)</f>
        <v>845</v>
      </c>
      <c r="V609" s="3">
        <f>SUMIFS('Business - Dump'!$K:$K,'Business - Dump'!$D:$D,'SKU Repoprt'!$D609,'Business - Dump'!$A:$A,'SKU Repoprt'!V$1)</f>
        <v>706</v>
      </c>
      <c r="W609" s="3">
        <f>SUMIFS('Business - Dump'!$K:$K,'Business - Dump'!$D:$D,'SKU Repoprt'!$D609,'Business - Dump'!$A:$A,'SKU Repoprt'!W$1)</f>
        <v>905</v>
      </c>
    </row>
    <row r="610" ht="15.75" customHeight="1">
      <c r="A610" s="10" t="s">
        <v>176</v>
      </c>
      <c r="B610" s="10" t="s">
        <v>176</v>
      </c>
      <c r="C610" s="10"/>
      <c r="D610" s="10" t="s">
        <v>368</v>
      </c>
      <c r="E610" s="10" t="s">
        <v>264</v>
      </c>
      <c r="F610" s="3">
        <f t="shared" si="203"/>
        <v>39</v>
      </c>
      <c r="G610" s="3">
        <f>SUMIFS('Business - Dump'!$Q:$Q,'Business - Dump'!$D:$D,'SKU Repoprt'!$D610,'Business - Dump'!$A:$A,'SKU Repoprt'!G$1)</f>
        <v>0</v>
      </c>
      <c r="H610" s="3">
        <f>SUMIFS('Business - Dump'!$Q:$Q,'Business - Dump'!$D:$D,'SKU Repoprt'!$D610,'Business - Dump'!$A:$A,'SKU Repoprt'!H$1)</f>
        <v>0</v>
      </c>
      <c r="I610" s="3">
        <f>SUMIFS('Business - Dump'!$Q:$Q,'Business - Dump'!$D:$D,'SKU Repoprt'!$D610,'Business - Dump'!$A:$A,'SKU Repoprt'!I$1)</f>
        <v>0</v>
      </c>
      <c r="J610" s="3">
        <f>SUMIFS('Business - Dump'!$Q:$Q,'Business - Dump'!$D:$D,'SKU Repoprt'!$D610,'Business - Dump'!$A:$A,'SKU Repoprt'!J$1)</f>
        <v>1</v>
      </c>
      <c r="K610" s="3">
        <f>SUMIFS('Business - Dump'!$Q:$Q,'Business - Dump'!$D:$D,'SKU Repoprt'!$D610,'Business - Dump'!$A:$A,'SKU Repoprt'!K$1)</f>
        <v>3</v>
      </c>
      <c r="L610" s="3">
        <f>SUMIFS('Business - Dump'!$Q:$Q,'Business - Dump'!$D:$D,'SKU Repoprt'!$D610,'Business - Dump'!$A:$A,'SKU Repoprt'!L$1)</f>
        <v>0</v>
      </c>
      <c r="M610" s="3">
        <f>SUMIFS('Business - Dump'!$Q:$Q,'Business - Dump'!$D:$D,'SKU Repoprt'!$D610,'Business - Dump'!$A:$A,'SKU Repoprt'!M$1)</f>
        <v>1</v>
      </c>
      <c r="N610" s="3">
        <f>SUMIFS('Business - Dump'!$Q:$Q,'Business - Dump'!$D:$D,'SKU Repoprt'!$D610,'Business - Dump'!$A:$A,'SKU Repoprt'!N$1)</f>
        <v>3</v>
      </c>
      <c r="O610" s="3">
        <f>SUMIFS('Business - Dump'!$Q:$Q,'Business - Dump'!$D:$D,'SKU Repoprt'!$D610,'Business - Dump'!$A:$A,'SKU Repoprt'!O$1)</f>
        <v>3</v>
      </c>
      <c r="P610" s="3">
        <f>SUMIFS('Business - Dump'!$Q:$Q,'Business - Dump'!$D:$D,'SKU Repoprt'!$D610,'Business - Dump'!$A:$A,'SKU Repoprt'!P$1)</f>
        <v>4</v>
      </c>
      <c r="Q610" s="3">
        <f>SUMIFS('Business - Dump'!$Q:$Q,'Business - Dump'!$D:$D,'SKU Repoprt'!$D610,'Business - Dump'!$A:$A,'SKU Repoprt'!Q$1)</f>
        <v>9</v>
      </c>
      <c r="R610" s="3">
        <f>SUMIFS('Business - Dump'!$Q:$Q,'Business - Dump'!$D:$D,'SKU Repoprt'!$D610,'Business - Dump'!$A:$A,'SKU Repoprt'!R$1)</f>
        <v>12</v>
      </c>
      <c r="S610" s="3">
        <f>SUMIFS('Business - Dump'!$Q:$Q,'Business - Dump'!$D:$D,'SKU Repoprt'!$D610,'Business - Dump'!$A:$A,'SKU Repoprt'!S$1)</f>
        <v>3</v>
      </c>
      <c r="T610" s="3">
        <f>SUMIFS('Business - Dump'!$Q:$Q,'Business - Dump'!$D:$D,'SKU Repoprt'!$D610,'Business - Dump'!$A:$A,'SKU Repoprt'!T$1)</f>
        <v>2</v>
      </c>
      <c r="U610" s="3">
        <f>SUMIFS('Business - Dump'!$Q:$Q,'Business - Dump'!$D:$D,'SKU Repoprt'!$D610,'Business - Dump'!$A:$A,'SKU Repoprt'!U$1)</f>
        <v>2</v>
      </c>
      <c r="V610" s="3">
        <f>SUMIFS('Business - Dump'!$Q:$Q,'Business - Dump'!$D:$D,'SKU Repoprt'!$D610,'Business - Dump'!$A:$A,'SKU Repoprt'!V$1)</f>
        <v>5</v>
      </c>
      <c r="W610" s="3">
        <f>SUMIFS('Business - Dump'!$Q:$Q,'Business - Dump'!$D:$D,'SKU Repoprt'!$D610,'Business - Dump'!$A:$A,'SKU Repoprt'!W$1)</f>
        <v>11</v>
      </c>
    </row>
    <row r="611" ht="15.75" customHeight="1">
      <c r="A611" s="10" t="s">
        <v>176</v>
      </c>
      <c r="B611" s="10" t="s">
        <v>176</v>
      </c>
      <c r="C611" s="10"/>
      <c r="D611" s="10" t="s">
        <v>368</v>
      </c>
      <c r="E611" s="10" t="s">
        <v>268</v>
      </c>
      <c r="F611" s="3">
        <f t="shared" si="203"/>
        <v>37</v>
      </c>
      <c r="G611" s="3">
        <f>SUMIFS('Business - Dump'!$W:$W,'Business - Dump'!$D:$D,'SKU Repoprt'!$D611,'Business - Dump'!$A:$A,'SKU Repoprt'!G$1)</f>
        <v>0</v>
      </c>
      <c r="H611" s="3">
        <f>SUMIFS('Business - Dump'!$W:$W,'Business - Dump'!$D:$D,'SKU Repoprt'!$D611,'Business - Dump'!$A:$A,'SKU Repoprt'!H$1)</f>
        <v>0</v>
      </c>
      <c r="I611" s="3">
        <f>SUMIFS('Business - Dump'!$W:$W,'Business - Dump'!$D:$D,'SKU Repoprt'!$D611,'Business - Dump'!$A:$A,'SKU Repoprt'!I$1)</f>
        <v>0</v>
      </c>
      <c r="J611" s="3">
        <f>SUMIFS('Business - Dump'!$W:$W,'Business - Dump'!$D:$D,'SKU Repoprt'!$D611,'Business - Dump'!$A:$A,'SKU Repoprt'!J$1)</f>
        <v>1</v>
      </c>
      <c r="K611" s="3">
        <f>SUMIFS('Business - Dump'!$W:$W,'Business - Dump'!$D:$D,'SKU Repoprt'!$D611,'Business - Dump'!$A:$A,'SKU Repoprt'!K$1)</f>
        <v>3</v>
      </c>
      <c r="L611" s="3">
        <f>SUMIFS('Business - Dump'!$W:$W,'Business - Dump'!$D:$D,'SKU Repoprt'!$D611,'Business - Dump'!$A:$A,'SKU Repoprt'!L$1)</f>
        <v>0</v>
      </c>
      <c r="M611" s="3">
        <f>SUMIFS('Business - Dump'!$W:$W,'Business - Dump'!$D:$D,'SKU Repoprt'!$D611,'Business - Dump'!$A:$A,'SKU Repoprt'!M$1)</f>
        <v>1</v>
      </c>
      <c r="N611" s="3">
        <f>SUMIFS('Business - Dump'!$W:$W,'Business - Dump'!$D:$D,'SKU Repoprt'!$D611,'Business - Dump'!$A:$A,'SKU Repoprt'!N$1)</f>
        <v>3</v>
      </c>
      <c r="O611" s="3">
        <f>SUMIFS('Business - Dump'!$W:$W,'Business - Dump'!$D:$D,'SKU Repoprt'!$D611,'Business - Dump'!$A:$A,'SKU Repoprt'!O$1)</f>
        <v>3</v>
      </c>
      <c r="P611" s="3">
        <f>SUMIFS('Business - Dump'!$W:$W,'Business - Dump'!$D:$D,'SKU Repoprt'!$D611,'Business - Dump'!$A:$A,'SKU Repoprt'!P$1)</f>
        <v>4</v>
      </c>
      <c r="Q611" s="3">
        <f>SUMIFS('Business - Dump'!$W:$W,'Business - Dump'!$D:$D,'SKU Repoprt'!$D611,'Business - Dump'!$A:$A,'SKU Repoprt'!Q$1)</f>
        <v>9</v>
      </c>
      <c r="R611" s="3">
        <f>SUMIFS('Business - Dump'!$W:$W,'Business - Dump'!$D:$D,'SKU Repoprt'!$D611,'Business - Dump'!$A:$A,'SKU Repoprt'!R$1)</f>
        <v>10</v>
      </c>
      <c r="S611" s="3">
        <f>SUMIFS('Business - Dump'!$W:$W,'Business - Dump'!$D:$D,'SKU Repoprt'!$D611,'Business - Dump'!$A:$A,'SKU Repoprt'!S$1)</f>
        <v>3</v>
      </c>
      <c r="T611" s="3">
        <f>SUMIFS('Business - Dump'!$W:$W,'Business - Dump'!$D:$D,'SKU Repoprt'!$D611,'Business - Dump'!$A:$A,'SKU Repoprt'!T$1)</f>
        <v>2</v>
      </c>
      <c r="U611" s="3">
        <f>SUMIFS('Business - Dump'!$W:$W,'Business - Dump'!$D:$D,'SKU Repoprt'!$D611,'Business - Dump'!$A:$A,'SKU Repoprt'!U$1)</f>
        <v>2</v>
      </c>
      <c r="V611" s="3">
        <f>SUMIFS('Business - Dump'!$W:$W,'Business - Dump'!$D:$D,'SKU Repoprt'!$D611,'Business - Dump'!$A:$A,'SKU Repoprt'!V$1)</f>
        <v>5</v>
      </c>
      <c r="W611" s="3">
        <f>SUMIFS('Business - Dump'!$W:$W,'Business - Dump'!$D:$D,'SKU Repoprt'!$D611,'Business - Dump'!$A:$A,'SKU Repoprt'!W$1)</f>
        <v>11</v>
      </c>
    </row>
    <row r="612" ht="15.75" customHeight="1">
      <c r="A612" s="10" t="s">
        <v>176</v>
      </c>
      <c r="B612" s="10" t="s">
        <v>176</v>
      </c>
      <c r="C612" s="10"/>
      <c r="D612" s="10" t="s">
        <v>368</v>
      </c>
      <c r="E612" s="10" t="s">
        <v>26</v>
      </c>
      <c r="F612" s="16">
        <f t="shared" si="203"/>
        <v>687543.4</v>
      </c>
      <c r="G612" s="16">
        <f>SUMIFS('Business - Dump'!$U:$U,'Business - Dump'!$D:$D,'SKU Repoprt'!$D612,'Business - Dump'!$A:$A,'SKU Repoprt'!G$1)</f>
        <v>0</v>
      </c>
      <c r="H612" s="16">
        <f>SUMIFS('Business - Dump'!$U:$U,'Business - Dump'!$D:$D,'SKU Repoprt'!$D612,'Business - Dump'!$A:$A,'SKU Repoprt'!H$1)</f>
        <v>0</v>
      </c>
      <c r="I612" s="16">
        <f>SUMIFS('Business - Dump'!$U:$U,'Business - Dump'!$D:$D,'SKU Repoprt'!$D612,'Business - Dump'!$A:$A,'SKU Repoprt'!I$1)</f>
        <v>0</v>
      </c>
      <c r="J612" s="16">
        <f>SUMIFS('Business - Dump'!$U:$U,'Business - Dump'!$D:$D,'SKU Repoprt'!$D612,'Business - Dump'!$A:$A,'SKU Repoprt'!J$1)</f>
        <v>17900</v>
      </c>
      <c r="K612" s="16">
        <f>SUMIFS('Business - Dump'!$U:$U,'Business - Dump'!$D:$D,'SKU Repoprt'!$D612,'Business - Dump'!$A:$A,'SKU Repoprt'!K$1)</f>
        <v>54254.24</v>
      </c>
      <c r="L612" s="16">
        <f>SUMIFS('Business - Dump'!$U:$U,'Business - Dump'!$D:$D,'SKU Repoprt'!$D612,'Business - Dump'!$A:$A,'SKU Repoprt'!L$1)</f>
        <v>0</v>
      </c>
      <c r="M612" s="16">
        <f>SUMIFS('Business - Dump'!$U:$U,'Business - Dump'!$D:$D,'SKU Repoprt'!$D612,'Business - Dump'!$A:$A,'SKU Repoprt'!M$1)</f>
        <v>18200</v>
      </c>
      <c r="N612" s="16">
        <f>SUMIFS('Business - Dump'!$U:$U,'Business - Dump'!$D:$D,'SKU Repoprt'!$D612,'Business - Dump'!$A:$A,'SKU Repoprt'!N$1)</f>
        <v>54600</v>
      </c>
      <c r="O612" s="16">
        <f>SUMIFS('Business - Dump'!$U:$U,'Business - Dump'!$D:$D,'SKU Repoprt'!$D612,'Business - Dump'!$A:$A,'SKU Repoprt'!O$1)</f>
        <v>55508.48</v>
      </c>
      <c r="P612" s="16">
        <f>SUMIFS('Business - Dump'!$U:$U,'Business - Dump'!$D:$D,'SKU Repoprt'!$D612,'Business - Dump'!$A:$A,'SKU Repoprt'!P$1)</f>
        <v>73800</v>
      </c>
      <c r="Q612" s="16">
        <f>SUMIFS('Business - Dump'!$U:$U,'Business - Dump'!$D:$D,'SKU Repoprt'!$D612,'Business - Dump'!$A:$A,'SKU Repoprt'!Q$1)</f>
        <v>156690.17</v>
      </c>
      <c r="R612" s="16">
        <f>SUMIFS('Business - Dump'!$U:$U,'Business - Dump'!$D:$D,'SKU Repoprt'!$D612,'Business - Dump'!$A:$A,'SKU Repoprt'!R$1)</f>
        <v>202100.34</v>
      </c>
      <c r="S612" s="16">
        <f>SUMIFS('Business - Dump'!$U:$U,'Business - Dump'!$D:$D,'SKU Repoprt'!$D612,'Business - Dump'!$A:$A,'SKU Repoprt'!S$1)</f>
        <v>54490.17</v>
      </c>
      <c r="T612" s="16">
        <f>SUMIFS('Business - Dump'!$U:$U,'Business - Dump'!$D:$D,'SKU Repoprt'!$D612,'Business - Dump'!$A:$A,'SKU Repoprt'!T$1)</f>
        <v>36363.39</v>
      </c>
      <c r="U612" s="16">
        <f>SUMIFS('Business - Dump'!$U:$U,'Business - Dump'!$D:$D,'SKU Repoprt'!$D612,'Business - Dump'!$A:$A,'SKU Repoprt'!U$1)</f>
        <v>34503.72</v>
      </c>
      <c r="V612" s="16">
        <f>SUMIFS('Business - Dump'!$U:$U,'Business - Dump'!$D:$D,'SKU Repoprt'!$D612,'Business - Dump'!$A:$A,'SKU Repoprt'!V$1)</f>
        <v>85147.44</v>
      </c>
      <c r="W612" s="16">
        <f>SUMIFS('Business - Dump'!$U:$U,'Business - Dump'!$D:$D,'SKU Repoprt'!$D612,'Business - Dump'!$A:$A,'SKU Repoprt'!W$1)</f>
        <v>189671.7</v>
      </c>
    </row>
    <row r="613" ht="15.75" customHeight="1">
      <c r="A613" s="10" t="s">
        <v>176</v>
      </c>
      <c r="B613" s="10" t="s">
        <v>176</v>
      </c>
      <c r="C613" s="10"/>
      <c r="D613" s="10" t="s">
        <v>368</v>
      </c>
      <c r="E613" s="10" t="s">
        <v>29</v>
      </c>
      <c r="F613" s="17">
        <v>0.027042857142857143</v>
      </c>
      <c r="G613" s="17">
        <f t="shared" ref="G613:W613" si="204">IFERROR(G611/G608,0)</f>
        <v>0</v>
      </c>
      <c r="H613" s="17">
        <f t="shared" si="204"/>
        <v>0</v>
      </c>
      <c r="I613" s="17">
        <f t="shared" si="204"/>
        <v>0</v>
      </c>
      <c r="J613" s="17">
        <f t="shared" si="204"/>
        <v>0.008403361345</v>
      </c>
      <c r="K613" s="17">
        <f t="shared" si="204"/>
        <v>0.01204819277</v>
      </c>
      <c r="L613" s="17">
        <f t="shared" si="204"/>
        <v>0</v>
      </c>
      <c r="M613" s="17">
        <f t="shared" si="204"/>
        <v>0.00162601626</v>
      </c>
      <c r="N613" s="17">
        <f t="shared" si="204"/>
        <v>0.004909983633</v>
      </c>
      <c r="O613" s="17">
        <f t="shared" si="204"/>
        <v>0.005033557047</v>
      </c>
      <c r="P613" s="17">
        <f t="shared" si="204"/>
        <v>0.01066666667</v>
      </c>
      <c r="Q613" s="17">
        <f t="shared" si="204"/>
        <v>0.01294964029</v>
      </c>
      <c r="R613" s="17">
        <f t="shared" si="204"/>
        <v>0.01612903226</v>
      </c>
      <c r="S613" s="17">
        <f t="shared" si="204"/>
        <v>0.007142857143</v>
      </c>
      <c r="T613" s="17">
        <f t="shared" si="204"/>
        <v>0.004545454545</v>
      </c>
      <c r="U613" s="17">
        <f t="shared" si="204"/>
        <v>0.003401360544</v>
      </c>
      <c r="V613" s="17">
        <f t="shared" si="204"/>
        <v>0.0119047619</v>
      </c>
      <c r="W613" s="17">
        <f t="shared" si="204"/>
        <v>0.01851851852</v>
      </c>
    </row>
    <row r="614" ht="15.75" customHeight="1">
      <c r="A614" s="10" t="s">
        <v>176</v>
      </c>
      <c r="B614" s="10" t="s">
        <v>176</v>
      </c>
      <c r="C614" s="10"/>
      <c r="D614" s="10" t="s">
        <v>387</v>
      </c>
      <c r="E614" s="10" t="s">
        <v>257</v>
      </c>
      <c r="F614" s="3">
        <f t="shared" ref="F614:F618" si="205">SUM(G614:S614)</f>
        <v>3647</v>
      </c>
      <c r="G614" s="3">
        <f>SUMIFS('Business - Dump'!$G:$G,'Business - Dump'!$D:$D,'SKU Repoprt'!$D614,'Business - Dump'!$A:$A,'SKU Repoprt'!G$1)</f>
        <v>0</v>
      </c>
      <c r="H614" s="3">
        <f>SUMIFS('Business - Dump'!$G:$G,'Business - Dump'!$D:$D,'SKU Repoprt'!$D614,'Business - Dump'!$A:$A,'SKU Repoprt'!H$1)</f>
        <v>0</v>
      </c>
      <c r="I614" s="3">
        <f>SUMIFS('Business - Dump'!$G:$G,'Business - Dump'!$D:$D,'SKU Repoprt'!$D614,'Business - Dump'!$A:$A,'SKU Repoprt'!I$1)</f>
        <v>0</v>
      </c>
      <c r="J614" s="3">
        <f>SUMIFS('Business - Dump'!$G:$G,'Business - Dump'!$D:$D,'SKU Repoprt'!$D614,'Business - Dump'!$A:$A,'SKU Repoprt'!J$1)</f>
        <v>0</v>
      </c>
      <c r="K614" s="3">
        <f>SUMIFS('Business - Dump'!$G:$G,'Business - Dump'!$D:$D,'SKU Repoprt'!$D614,'Business - Dump'!$A:$A,'SKU Repoprt'!K$1)</f>
        <v>261</v>
      </c>
      <c r="L614" s="3">
        <f>SUMIFS('Business - Dump'!$G:$G,'Business - Dump'!$D:$D,'SKU Repoprt'!$D614,'Business - Dump'!$A:$A,'SKU Repoprt'!L$1)</f>
        <v>355</v>
      </c>
      <c r="M614" s="3">
        <f>SUMIFS('Business - Dump'!$G:$G,'Business - Dump'!$D:$D,'SKU Repoprt'!$D614,'Business - Dump'!$A:$A,'SKU Repoprt'!M$1)</f>
        <v>520</v>
      </c>
      <c r="N614" s="3">
        <f>SUMIFS('Business - Dump'!$G:$G,'Business - Dump'!$D:$D,'SKU Repoprt'!$D614,'Business - Dump'!$A:$A,'SKU Repoprt'!N$1)</f>
        <v>323</v>
      </c>
      <c r="O614" s="3">
        <f>SUMIFS('Business - Dump'!$G:$G,'Business - Dump'!$D:$D,'SKU Repoprt'!$D614,'Business - Dump'!$A:$A,'SKU Repoprt'!O$1)</f>
        <v>396</v>
      </c>
      <c r="P614" s="3">
        <f>SUMIFS('Business - Dump'!$G:$G,'Business - Dump'!$D:$D,'SKU Repoprt'!$D614,'Business - Dump'!$A:$A,'SKU Repoprt'!P$1)</f>
        <v>557</v>
      </c>
      <c r="Q614" s="3">
        <f>SUMIFS('Business - Dump'!$G:$G,'Business - Dump'!$D:$D,'SKU Repoprt'!$D614,'Business - Dump'!$A:$A,'SKU Repoprt'!Q$1)</f>
        <v>619</v>
      </c>
      <c r="R614" s="3">
        <f>SUMIFS('Business - Dump'!$G:$G,'Business - Dump'!$D:$D,'SKU Repoprt'!$D614,'Business - Dump'!$A:$A,'SKU Repoprt'!R$1)</f>
        <v>470</v>
      </c>
      <c r="S614" s="3">
        <f>SUMIFS('Business - Dump'!$G:$G,'Business - Dump'!$D:$D,'SKU Repoprt'!$D614,'Business - Dump'!$A:$A,'SKU Repoprt'!S$1)</f>
        <v>146</v>
      </c>
      <c r="T614" s="3">
        <f>SUMIFS('Business - Dump'!$G:$G,'Business - Dump'!$D:$D,'SKU Repoprt'!$D614,'Business - Dump'!$A:$A,'SKU Repoprt'!T$1)</f>
        <v>337</v>
      </c>
      <c r="U614" s="3">
        <f>SUMIFS('Business - Dump'!$G:$G,'Business - Dump'!$D:$D,'SKU Repoprt'!$D614,'Business - Dump'!$A:$A,'SKU Repoprt'!U$1)</f>
        <v>133</v>
      </c>
      <c r="V614" s="3">
        <f>SUMIFS('Business - Dump'!$G:$G,'Business - Dump'!$D:$D,'SKU Repoprt'!$D614,'Business - Dump'!$A:$A,'SKU Repoprt'!V$1)</f>
        <v>88</v>
      </c>
      <c r="W614" s="3">
        <f>SUMIFS('Business - Dump'!$G:$G,'Business - Dump'!$D:$D,'SKU Repoprt'!$D614,'Business - Dump'!$A:$A,'SKU Repoprt'!W$1)</f>
        <v>154</v>
      </c>
    </row>
    <row r="615" ht="15.75" customHeight="1">
      <c r="A615" s="10" t="s">
        <v>176</v>
      </c>
      <c r="B615" s="10" t="s">
        <v>176</v>
      </c>
      <c r="C615" s="10"/>
      <c r="D615" s="10" t="s">
        <v>387</v>
      </c>
      <c r="E615" s="10" t="s">
        <v>260</v>
      </c>
      <c r="F615" s="3">
        <f t="shared" si="205"/>
        <v>6065</v>
      </c>
      <c r="G615" s="3">
        <f>SUMIFS('Business - Dump'!$K:$K,'Business - Dump'!$D:$D,'SKU Repoprt'!$D615,'Business - Dump'!$A:$A,'SKU Repoprt'!G$1)</f>
        <v>0</v>
      </c>
      <c r="H615" s="3">
        <f>SUMIFS('Business - Dump'!$K:$K,'Business - Dump'!$D:$D,'SKU Repoprt'!$D615,'Business - Dump'!$A:$A,'SKU Repoprt'!H$1)</f>
        <v>0</v>
      </c>
      <c r="I615" s="3">
        <f>SUMIFS('Business - Dump'!$K:$K,'Business - Dump'!$D:$D,'SKU Repoprt'!$D615,'Business - Dump'!$A:$A,'SKU Repoprt'!I$1)</f>
        <v>0</v>
      </c>
      <c r="J615" s="3">
        <f>SUMIFS('Business - Dump'!$K:$K,'Business - Dump'!$D:$D,'SKU Repoprt'!$D615,'Business - Dump'!$A:$A,'SKU Repoprt'!J$1)</f>
        <v>0</v>
      </c>
      <c r="K615" s="3">
        <f>SUMIFS('Business - Dump'!$K:$K,'Business - Dump'!$D:$D,'SKU Repoprt'!$D615,'Business - Dump'!$A:$A,'SKU Repoprt'!K$1)</f>
        <v>371</v>
      </c>
      <c r="L615" s="3">
        <f>SUMIFS('Business - Dump'!$K:$K,'Business - Dump'!$D:$D,'SKU Repoprt'!$D615,'Business - Dump'!$A:$A,'SKU Repoprt'!L$1)</f>
        <v>555</v>
      </c>
      <c r="M615" s="3">
        <f>SUMIFS('Business - Dump'!$K:$K,'Business - Dump'!$D:$D,'SKU Repoprt'!$D615,'Business - Dump'!$A:$A,'SKU Repoprt'!M$1)</f>
        <v>1040</v>
      </c>
      <c r="N615" s="3">
        <f>SUMIFS('Business - Dump'!$K:$K,'Business - Dump'!$D:$D,'SKU Repoprt'!$D615,'Business - Dump'!$A:$A,'SKU Repoprt'!N$1)</f>
        <v>477</v>
      </c>
      <c r="O615" s="3">
        <f>SUMIFS('Business - Dump'!$K:$K,'Business - Dump'!$D:$D,'SKU Repoprt'!$D615,'Business - Dump'!$A:$A,'SKU Repoprt'!O$1)</f>
        <v>639</v>
      </c>
      <c r="P615" s="3">
        <f>SUMIFS('Business - Dump'!$K:$K,'Business - Dump'!$D:$D,'SKU Repoprt'!$D615,'Business - Dump'!$A:$A,'SKU Repoprt'!P$1)</f>
        <v>820</v>
      </c>
      <c r="Q615" s="3">
        <f>SUMIFS('Business - Dump'!$K:$K,'Business - Dump'!$D:$D,'SKU Repoprt'!$D615,'Business - Dump'!$A:$A,'SKU Repoprt'!Q$1)</f>
        <v>1044</v>
      </c>
      <c r="R615" s="3">
        <f>SUMIFS('Business - Dump'!$K:$K,'Business - Dump'!$D:$D,'SKU Repoprt'!$D615,'Business - Dump'!$A:$A,'SKU Repoprt'!R$1)</f>
        <v>889</v>
      </c>
      <c r="S615" s="3">
        <f>SUMIFS('Business - Dump'!$K:$K,'Business - Dump'!$D:$D,'SKU Repoprt'!$D615,'Business - Dump'!$A:$A,'SKU Repoprt'!S$1)</f>
        <v>230</v>
      </c>
      <c r="T615" s="3">
        <f>SUMIFS('Business - Dump'!$K:$K,'Business - Dump'!$D:$D,'SKU Repoprt'!$D615,'Business - Dump'!$A:$A,'SKU Repoprt'!T$1)</f>
        <v>441</v>
      </c>
      <c r="U615" s="3">
        <f>SUMIFS('Business - Dump'!$K:$K,'Business - Dump'!$D:$D,'SKU Repoprt'!$D615,'Business - Dump'!$A:$A,'SKU Repoprt'!U$1)</f>
        <v>199</v>
      </c>
      <c r="V615" s="3">
        <f>SUMIFS('Business - Dump'!$K:$K,'Business - Dump'!$D:$D,'SKU Repoprt'!$D615,'Business - Dump'!$A:$A,'SKU Repoprt'!V$1)</f>
        <v>135</v>
      </c>
      <c r="W615" s="3">
        <f>SUMIFS('Business - Dump'!$K:$K,'Business - Dump'!$D:$D,'SKU Repoprt'!$D615,'Business - Dump'!$A:$A,'SKU Repoprt'!W$1)</f>
        <v>249</v>
      </c>
    </row>
    <row r="616" ht="15.75" customHeight="1">
      <c r="A616" s="10" t="s">
        <v>176</v>
      </c>
      <c r="B616" s="10" t="s">
        <v>176</v>
      </c>
      <c r="C616" s="10"/>
      <c r="D616" s="10" t="s">
        <v>387</v>
      </c>
      <c r="E616" s="10" t="s">
        <v>264</v>
      </c>
      <c r="F616" s="3">
        <f t="shared" si="205"/>
        <v>29</v>
      </c>
      <c r="G616" s="3">
        <f>SUMIFS('Business - Dump'!$Q:$Q,'Business - Dump'!$D:$D,'SKU Repoprt'!$D616,'Business - Dump'!$A:$A,'SKU Repoprt'!G$1)</f>
        <v>0</v>
      </c>
      <c r="H616" s="3">
        <f>SUMIFS('Business - Dump'!$Q:$Q,'Business - Dump'!$D:$D,'SKU Repoprt'!$D616,'Business - Dump'!$A:$A,'SKU Repoprt'!H$1)</f>
        <v>0</v>
      </c>
      <c r="I616" s="3">
        <f>SUMIFS('Business - Dump'!$Q:$Q,'Business - Dump'!$D:$D,'SKU Repoprt'!$D616,'Business - Dump'!$A:$A,'SKU Repoprt'!I$1)</f>
        <v>0</v>
      </c>
      <c r="J616" s="3">
        <f>SUMIFS('Business - Dump'!$Q:$Q,'Business - Dump'!$D:$D,'SKU Repoprt'!$D616,'Business - Dump'!$A:$A,'SKU Repoprt'!J$1)</f>
        <v>0</v>
      </c>
      <c r="K616" s="3">
        <f>SUMIFS('Business - Dump'!$Q:$Q,'Business - Dump'!$D:$D,'SKU Repoprt'!$D616,'Business - Dump'!$A:$A,'SKU Repoprt'!K$1)</f>
        <v>2</v>
      </c>
      <c r="L616" s="3">
        <f>SUMIFS('Business - Dump'!$Q:$Q,'Business - Dump'!$D:$D,'SKU Repoprt'!$D616,'Business - Dump'!$A:$A,'SKU Repoprt'!L$1)</f>
        <v>3</v>
      </c>
      <c r="M616" s="3">
        <f>SUMIFS('Business - Dump'!$Q:$Q,'Business - Dump'!$D:$D,'SKU Repoprt'!$D616,'Business - Dump'!$A:$A,'SKU Repoprt'!M$1)</f>
        <v>2</v>
      </c>
      <c r="N616" s="3">
        <f>SUMIFS('Business - Dump'!$Q:$Q,'Business - Dump'!$D:$D,'SKU Repoprt'!$D616,'Business - Dump'!$A:$A,'SKU Repoprt'!N$1)</f>
        <v>1</v>
      </c>
      <c r="O616" s="3">
        <f>SUMIFS('Business - Dump'!$Q:$Q,'Business - Dump'!$D:$D,'SKU Repoprt'!$D616,'Business - Dump'!$A:$A,'SKU Repoprt'!O$1)</f>
        <v>5</v>
      </c>
      <c r="P616" s="3">
        <f>SUMIFS('Business - Dump'!$Q:$Q,'Business - Dump'!$D:$D,'SKU Repoprt'!$D616,'Business - Dump'!$A:$A,'SKU Repoprt'!P$1)</f>
        <v>3</v>
      </c>
      <c r="Q616" s="3">
        <f>SUMIFS('Business - Dump'!$Q:$Q,'Business - Dump'!$D:$D,'SKU Repoprt'!$D616,'Business - Dump'!$A:$A,'SKU Repoprt'!Q$1)</f>
        <v>9</v>
      </c>
      <c r="R616" s="3">
        <f>SUMIFS('Business - Dump'!$Q:$Q,'Business - Dump'!$D:$D,'SKU Repoprt'!$D616,'Business - Dump'!$A:$A,'SKU Repoprt'!R$1)</f>
        <v>3</v>
      </c>
      <c r="S616" s="3">
        <f>SUMIFS('Business - Dump'!$Q:$Q,'Business - Dump'!$D:$D,'SKU Repoprt'!$D616,'Business - Dump'!$A:$A,'SKU Repoprt'!S$1)</f>
        <v>1</v>
      </c>
      <c r="T616" s="3">
        <f>SUMIFS('Business - Dump'!$Q:$Q,'Business - Dump'!$D:$D,'SKU Repoprt'!$D616,'Business - Dump'!$A:$A,'SKU Repoprt'!T$1)</f>
        <v>3</v>
      </c>
      <c r="U616" s="3">
        <f>SUMIFS('Business - Dump'!$Q:$Q,'Business - Dump'!$D:$D,'SKU Repoprt'!$D616,'Business - Dump'!$A:$A,'SKU Repoprt'!U$1)</f>
        <v>1</v>
      </c>
      <c r="V616" s="3">
        <f>SUMIFS('Business - Dump'!$Q:$Q,'Business - Dump'!$D:$D,'SKU Repoprt'!$D616,'Business - Dump'!$A:$A,'SKU Repoprt'!V$1)</f>
        <v>1</v>
      </c>
      <c r="W616" s="3">
        <f>SUMIFS('Business - Dump'!$Q:$Q,'Business - Dump'!$D:$D,'SKU Repoprt'!$D616,'Business - Dump'!$A:$A,'SKU Repoprt'!W$1)</f>
        <v>0</v>
      </c>
    </row>
    <row r="617" ht="15.75" customHeight="1">
      <c r="A617" s="10" t="s">
        <v>176</v>
      </c>
      <c r="B617" s="10" t="s">
        <v>176</v>
      </c>
      <c r="C617" s="10"/>
      <c r="D617" s="10" t="s">
        <v>387</v>
      </c>
      <c r="E617" s="10" t="s">
        <v>268</v>
      </c>
      <c r="F617" s="3">
        <f t="shared" si="205"/>
        <v>29</v>
      </c>
      <c r="G617" s="3">
        <f>SUMIFS('Business - Dump'!$W:$W,'Business - Dump'!$D:$D,'SKU Repoprt'!$D617,'Business - Dump'!$A:$A,'SKU Repoprt'!G$1)</f>
        <v>0</v>
      </c>
      <c r="H617" s="3">
        <f>SUMIFS('Business - Dump'!$W:$W,'Business - Dump'!$D:$D,'SKU Repoprt'!$D617,'Business - Dump'!$A:$A,'SKU Repoprt'!H$1)</f>
        <v>0</v>
      </c>
      <c r="I617" s="3">
        <f>SUMIFS('Business - Dump'!$W:$W,'Business - Dump'!$D:$D,'SKU Repoprt'!$D617,'Business - Dump'!$A:$A,'SKU Repoprt'!I$1)</f>
        <v>0</v>
      </c>
      <c r="J617" s="3">
        <f>SUMIFS('Business - Dump'!$W:$W,'Business - Dump'!$D:$D,'SKU Repoprt'!$D617,'Business - Dump'!$A:$A,'SKU Repoprt'!J$1)</f>
        <v>0</v>
      </c>
      <c r="K617" s="3">
        <f>SUMIFS('Business - Dump'!$W:$W,'Business - Dump'!$D:$D,'SKU Repoprt'!$D617,'Business - Dump'!$A:$A,'SKU Repoprt'!K$1)</f>
        <v>2</v>
      </c>
      <c r="L617" s="3">
        <f>SUMIFS('Business - Dump'!$W:$W,'Business - Dump'!$D:$D,'SKU Repoprt'!$D617,'Business - Dump'!$A:$A,'SKU Repoprt'!L$1)</f>
        <v>3</v>
      </c>
      <c r="M617" s="3">
        <f>SUMIFS('Business - Dump'!$W:$W,'Business - Dump'!$D:$D,'SKU Repoprt'!$D617,'Business - Dump'!$A:$A,'SKU Repoprt'!M$1)</f>
        <v>2</v>
      </c>
      <c r="N617" s="3">
        <f>SUMIFS('Business - Dump'!$W:$W,'Business - Dump'!$D:$D,'SKU Repoprt'!$D617,'Business - Dump'!$A:$A,'SKU Repoprt'!N$1)</f>
        <v>1</v>
      </c>
      <c r="O617" s="3">
        <f>SUMIFS('Business - Dump'!$W:$W,'Business - Dump'!$D:$D,'SKU Repoprt'!$D617,'Business - Dump'!$A:$A,'SKU Repoprt'!O$1)</f>
        <v>5</v>
      </c>
      <c r="P617" s="3">
        <f>SUMIFS('Business - Dump'!$W:$W,'Business - Dump'!$D:$D,'SKU Repoprt'!$D617,'Business - Dump'!$A:$A,'SKU Repoprt'!P$1)</f>
        <v>3</v>
      </c>
      <c r="Q617" s="3">
        <f>SUMIFS('Business - Dump'!$W:$W,'Business - Dump'!$D:$D,'SKU Repoprt'!$D617,'Business - Dump'!$A:$A,'SKU Repoprt'!Q$1)</f>
        <v>9</v>
      </c>
      <c r="R617" s="3">
        <f>SUMIFS('Business - Dump'!$W:$W,'Business - Dump'!$D:$D,'SKU Repoprt'!$D617,'Business - Dump'!$A:$A,'SKU Repoprt'!R$1)</f>
        <v>3</v>
      </c>
      <c r="S617" s="3">
        <f>SUMIFS('Business - Dump'!$W:$W,'Business - Dump'!$D:$D,'SKU Repoprt'!$D617,'Business - Dump'!$A:$A,'SKU Repoprt'!S$1)</f>
        <v>1</v>
      </c>
      <c r="T617" s="3">
        <f>SUMIFS('Business - Dump'!$W:$W,'Business - Dump'!$D:$D,'SKU Repoprt'!$D617,'Business - Dump'!$A:$A,'SKU Repoprt'!T$1)</f>
        <v>2</v>
      </c>
      <c r="U617" s="3">
        <f>SUMIFS('Business - Dump'!$W:$W,'Business - Dump'!$D:$D,'SKU Repoprt'!$D617,'Business - Dump'!$A:$A,'SKU Repoprt'!U$1)</f>
        <v>1</v>
      </c>
      <c r="V617" s="3">
        <f>SUMIFS('Business - Dump'!$W:$W,'Business - Dump'!$D:$D,'SKU Repoprt'!$D617,'Business - Dump'!$A:$A,'SKU Repoprt'!V$1)</f>
        <v>1</v>
      </c>
      <c r="W617" s="3">
        <f>SUMIFS('Business - Dump'!$W:$W,'Business - Dump'!$D:$D,'SKU Repoprt'!$D617,'Business - Dump'!$A:$A,'SKU Repoprt'!W$1)</f>
        <v>0</v>
      </c>
    </row>
    <row r="618" ht="15.75" customHeight="1">
      <c r="A618" s="10" t="s">
        <v>176</v>
      </c>
      <c r="B618" s="10" t="s">
        <v>176</v>
      </c>
      <c r="C618" s="10"/>
      <c r="D618" s="10" t="s">
        <v>387</v>
      </c>
      <c r="E618" s="10" t="s">
        <v>26</v>
      </c>
      <c r="F618" s="16">
        <f t="shared" si="205"/>
        <v>770290.74</v>
      </c>
      <c r="G618" s="16">
        <f>SUMIFS('Business - Dump'!$U:$U,'Business - Dump'!$D:$D,'SKU Repoprt'!$D618,'Business - Dump'!$A:$A,'SKU Repoprt'!G$1)</f>
        <v>0</v>
      </c>
      <c r="H618" s="16">
        <f>SUMIFS('Business - Dump'!$U:$U,'Business - Dump'!$D:$D,'SKU Repoprt'!$D618,'Business - Dump'!$A:$A,'SKU Repoprt'!H$1)</f>
        <v>0</v>
      </c>
      <c r="I618" s="16">
        <f>SUMIFS('Business - Dump'!$U:$U,'Business - Dump'!$D:$D,'SKU Repoprt'!$D618,'Business - Dump'!$A:$A,'SKU Repoprt'!I$1)</f>
        <v>0</v>
      </c>
      <c r="J618" s="16">
        <f>SUMIFS('Business - Dump'!$U:$U,'Business - Dump'!$D:$D,'SKU Repoprt'!$D618,'Business - Dump'!$A:$A,'SKU Repoprt'!J$1)</f>
        <v>0</v>
      </c>
      <c r="K618" s="16">
        <f>SUMIFS('Business - Dump'!$U:$U,'Business - Dump'!$D:$D,'SKU Repoprt'!$D618,'Business - Dump'!$A:$A,'SKU Repoprt'!K$1)</f>
        <v>53738.98</v>
      </c>
      <c r="L618" s="16">
        <f>SUMIFS('Business - Dump'!$U:$U,'Business - Dump'!$D:$D,'SKU Repoprt'!$D618,'Business - Dump'!$A:$A,'SKU Repoprt'!L$1)</f>
        <v>80700</v>
      </c>
      <c r="M618" s="16">
        <f>SUMIFS('Business - Dump'!$U:$U,'Business - Dump'!$D:$D,'SKU Repoprt'!$D618,'Business - Dump'!$A:$A,'SKU Repoprt'!M$1)</f>
        <v>53931.36</v>
      </c>
      <c r="N618" s="16">
        <f>SUMIFS('Business - Dump'!$U:$U,'Business - Dump'!$D:$D,'SKU Repoprt'!$D618,'Business - Dump'!$A:$A,'SKU Repoprt'!N$1)</f>
        <v>28000</v>
      </c>
      <c r="O618" s="16">
        <f>SUMIFS('Business - Dump'!$U:$U,'Business - Dump'!$D:$D,'SKU Repoprt'!$D618,'Business - Dump'!$A:$A,'SKU Repoprt'!O$1)</f>
        <v>131790.08</v>
      </c>
      <c r="P618" s="16">
        <f>SUMIFS('Business - Dump'!$U:$U,'Business - Dump'!$D:$D,'SKU Repoprt'!$D618,'Business - Dump'!$A:$A,'SKU Repoprt'!P$1)</f>
        <v>77997</v>
      </c>
      <c r="Q618" s="16">
        <f>SUMIFS('Business - Dump'!$U:$U,'Business - Dump'!$D:$D,'SKU Repoprt'!$D618,'Business - Dump'!$A:$A,'SKU Repoprt'!Q$1)</f>
        <v>239119.24</v>
      </c>
      <c r="R618" s="16">
        <f>SUMIFS('Business - Dump'!$U:$U,'Business - Dump'!$D:$D,'SKU Repoprt'!$D618,'Business - Dump'!$A:$A,'SKU Repoprt'!R$1)</f>
        <v>75570</v>
      </c>
      <c r="S618" s="16">
        <f>SUMIFS('Business - Dump'!$U:$U,'Business - Dump'!$D:$D,'SKU Repoprt'!$D618,'Business - Dump'!$A:$A,'SKU Repoprt'!S$1)</f>
        <v>29444.08</v>
      </c>
      <c r="T618" s="16">
        <f>SUMIFS('Business - Dump'!$U:$U,'Business - Dump'!$D:$D,'SKU Repoprt'!$D618,'Business - Dump'!$A:$A,'SKU Repoprt'!T$1)</f>
        <v>88387.16</v>
      </c>
      <c r="U618" s="16">
        <f>SUMIFS('Business - Dump'!$U:$U,'Business - Dump'!$D:$D,'SKU Repoprt'!$D618,'Business - Dump'!$A:$A,'SKU Repoprt'!U$1)</f>
        <v>29499</v>
      </c>
      <c r="V618" s="16">
        <f>SUMIFS('Business - Dump'!$U:$U,'Business - Dump'!$D:$D,'SKU Repoprt'!$D618,'Business - Dump'!$A:$A,'SKU Repoprt'!V$1)</f>
        <v>29392.03</v>
      </c>
      <c r="W618" s="16">
        <f>SUMIFS('Business - Dump'!$U:$U,'Business - Dump'!$D:$D,'SKU Repoprt'!$D618,'Business - Dump'!$A:$A,'SKU Repoprt'!W$1)</f>
        <v>0</v>
      </c>
    </row>
    <row r="619" ht="15.75" customHeight="1">
      <c r="A619" s="10" t="s">
        <v>176</v>
      </c>
      <c r="B619" s="10" t="s">
        <v>176</v>
      </c>
      <c r="C619" s="10"/>
      <c r="D619" s="10" t="s">
        <v>387</v>
      </c>
      <c r="E619" s="10" t="s">
        <v>29</v>
      </c>
      <c r="F619" s="17">
        <v>0.027042857142857143</v>
      </c>
      <c r="G619" s="17">
        <f t="shared" ref="G619:W619" si="206">IFERROR(G617/G614,0)</f>
        <v>0</v>
      </c>
      <c r="H619" s="17">
        <f t="shared" si="206"/>
        <v>0</v>
      </c>
      <c r="I619" s="17">
        <f t="shared" si="206"/>
        <v>0</v>
      </c>
      <c r="J619" s="17">
        <f t="shared" si="206"/>
        <v>0</v>
      </c>
      <c r="K619" s="17">
        <f t="shared" si="206"/>
        <v>0.007662835249</v>
      </c>
      <c r="L619" s="17">
        <f t="shared" si="206"/>
        <v>0.008450704225</v>
      </c>
      <c r="M619" s="17">
        <f t="shared" si="206"/>
        <v>0.003846153846</v>
      </c>
      <c r="N619" s="17">
        <f t="shared" si="206"/>
        <v>0.003095975232</v>
      </c>
      <c r="O619" s="17">
        <f t="shared" si="206"/>
        <v>0.01262626263</v>
      </c>
      <c r="P619" s="17">
        <f t="shared" si="206"/>
        <v>0.005385996409</v>
      </c>
      <c r="Q619" s="17">
        <f t="shared" si="206"/>
        <v>0.01453957997</v>
      </c>
      <c r="R619" s="17">
        <f t="shared" si="206"/>
        <v>0.006382978723</v>
      </c>
      <c r="S619" s="17">
        <f t="shared" si="206"/>
        <v>0.006849315068</v>
      </c>
      <c r="T619" s="17">
        <f t="shared" si="206"/>
        <v>0.005934718101</v>
      </c>
      <c r="U619" s="17">
        <f t="shared" si="206"/>
        <v>0.007518796992</v>
      </c>
      <c r="V619" s="17">
        <f t="shared" si="206"/>
        <v>0.01136363636</v>
      </c>
      <c r="W619" s="17">
        <f t="shared" si="206"/>
        <v>0</v>
      </c>
    </row>
    <row r="620" ht="15.75" customHeight="1">
      <c r="A620" s="10" t="s">
        <v>176</v>
      </c>
      <c r="B620" s="10" t="s">
        <v>176</v>
      </c>
      <c r="C620" s="10"/>
      <c r="D620" s="10" t="s">
        <v>402</v>
      </c>
      <c r="E620" s="10" t="s">
        <v>257</v>
      </c>
      <c r="F620" s="3">
        <f t="shared" ref="F620:F624" si="207">SUM(G620:S620)</f>
        <v>5286</v>
      </c>
      <c r="G620" s="3">
        <f>SUMIFS('Business - Dump'!$G:$G,'Business - Dump'!$D:$D,'SKU Repoprt'!$D620,'Business - Dump'!$A:$A,'SKU Repoprt'!G$1)</f>
        <v>0</v>
      </c>
      <c r="H620" s="3">
        <f>SUMIFS('Business - Dump'!$G:$G,'Business - Dump'!$D:$D,'SKU Repoprt'!$D620,'Business - Dump'!$A:$A,'SKU Repoprt'!H$1)</f>
        <v>0</v>
      </c>
      <c r="I620" s="3">
        <f>SUMIFS('Business - Dump'!$G:$G,'Business - Dump'!$D:$D,'SKU Repoprt'!$D620,'Business - Dump'!$A:$A,'SKU Repoprt'!I$1)</f>
        <v>0</v>
      </c>
      <c r="J620" s="3">
        <f>SUMIFS('Business - Dump'!$G:$G,'Business - Dump'!$D:$D,'SKU Repoprt'!$D620,'Business - Dump'!$A:$A,'SKU Repoprt'!J$1)</f>
        <v>0</v>
      </c>
      <c r="K620" s="3">
        <f>SUMIFS('Business - Dump'!$G:$G,'Business - Dump'!$D:$D,'SKU Repoprt'!$D620,'Business - Dump'!$A:$A,'SKU Repoprt'!K$1)</f>
        <v>0</v>
      </c>
      <c r="L620" s="3">
        <f>SUMIFS('Business - Dump'!$G:$G,'Business - Dump'!$D:$D,'SKU Repoprt'!$D620,'Business - Dump'!$A:$A,'SKU Repoprt'!L$1)</f>
        <v>403</v>
      </c>
      <c r="M620" s="3">
        <f>SUMIFS('Business - Dump'!$G:$G,'Business - Dump'!$D:$D,'SKU Repoprt'!$D620,'Business - Dump'!$A:$A,'SKU Repoprt'!M$1)</f>
        <v>2049</v>
      </c>
      <c r="N620" s="3">
        <f>SUMIFS('Business - Dump'!$G:$G,'Business - Dump'!$D:$D,'SKU Repoprt'!$D620,'Business - Dump'!$A:$A,'SKU Repoprt'!N$1)</f>
        <v>296</v>
      </c>
      <c r="O620" s="3">
        <f>SUMIFS('Business - Dump'!$G:$G,'Business - Dump'!$D:$D,'SKU Repoprt'!$D620,'Business - Dump'!$A:$A,'SKU Repoprt'!O$1)</f>
        <v>542</v>
      </c>
      <c r="P620" s="3">
        <f>SUMIFS('Business - Dump'!$G:$G,'Business - Dump'!$D:$D,'SKU Repoprt'!$D620,'Business - Dump'!$A:$A,'SKU Repoprt'!P$1)</f>
        <v>428</v>
      </c>
      <c r="Q620" s="3">
        <f>SUMIFS('Business - Dump'!$G:$G,'Business - Dump'!$D:$D,'SKU Repoprt'!$D620,'Business - Dump'!$A:$A,'SKU Repoprt'!Q$1)</f>
        <v>784</v>
      </c>
      <c r="R620" s="3">
        <f>SUMIFS('Business - Dump'!$G:$G,'Business - Dump'!$D:$D,'SKU Repoprt'!$D620,'Business - Dump'!$A:$A,'SKU Repoprt'!R$1)</f>
        <v>443</v>
      </c>
      <c r="S620" s="3">
        <f>SUMIFS('Business - Dump'!$G:$G,'Business - Dump'!$D:$D,'SKU Repoprt'!$D620,'Business - Dump'!$A:$A,'SKU Repoprt'!S$1)</f>
        <v>341</v>
      </c>
      <c r="T620" s="3">
        <f>SUMIFS('Business - Dump'!$G:$G,'Business - Dump'!$D:$D,'SKU Repoprt'!$D620,'Business - Dump'!$A:$A,'SKU Repoprt'!T$1)</f>
        <v>343</v>
      </c>
      <c r="U620" s="3">
        <f>SUMIFS('Business - Dump'!$G:$G,'Business - Dump'!$D:$D,'SKU Repoprt'!$D620,'Business - Dump'!$A:$A,'SKU Repoprt'!U$1)</f>
        <v>465</v>
      </c>
      <c r="V620" s="3">
        <f>SUMIFS('Business - Dump'!$G:$G,'Business - Dump'!$D:$D,'SKU Repoprt'!$D620,'Business - Dump'!$A:$A,'SKU Repoprt'!V$1)</f>
        <v>518</v>
      </c>
      <c r="W620" s="3">
        <f>SUMIFS('Business - Dump'!$G:$G,'Business - Dump'!$D:$D,'SKU Repoprt'!$D620,'Business - Dump'!$A:$A,'SKU Repoprt'!W$1)</f>
        <v>689</v>
      </c>
    </row>
    <row r="621" ht="15.75" customHeight="1">
      <c r="A621" s="10" t="s">
        <v>176</v>
      </c>
      <c r="B621" s="10" t="s">
        <v>176</v>
      </c>
      <c r="C621" s="10"/>
      <c r="D621" s="10" t="s">
        <v>402</v>
      </c>
      <c r="E621" s="10" t="s">
        <v>260</v>
      </c>
      <c r="F621" s="3">
        <f t="shared" si="207"/>
        <v>7683</v>
      </c>
      <c r="G621" s="3">
        <f>SUMIFS('Business - Dump'!$K:$K,'Business - Dump'!$D:$D,'SKU Repoprt'!$D621,'Business - Dump'!$A:$A,'SKU Repoprt'!G$1)</f>
        <v>0</v>
      </c>
      <c r="H621" s="3">
        <f>SUMIFS('Business - Dump'!$K:$K,'Business - Dump'!$D:$D,'SKU Repoprt'!$D621,'Business - Dump'!$A:$A,'SKU Repoprt'!H$1)</f>
        <v>0</v>
      </c>
      <c r="I621" s="3">
        <f>SUMIFS('Business - Dump'!$K:$K,'Business - Dump'!$D:$D,'SKU Repoprt'!$D621,'Business - Dump'!$A:$A,'SKU Repoprt'!I$1)</f>
        <v>0</v>
      </c>
      <c r="J621" s="3">
        <f>SUMIFS('Business - Dump'!$K:$K,'Business - Dump'!$D:$D,'SKU Repoprt'!$D621,'Business - Dump'!$A:$A,'SKU Repoprt'!J$1)</f>
        <v>0</v>
      </c>
      <c r="K621" s="3">
        <f>SUMIFS('Business - Dump'!$K:$K,'Business - Dump'!$D:$D,'SKU Repoprt'!$D621,'Business - Dump'!$A:$A,'SKU Repoprt'!K$1)</f>
        <v>0</v>
      </c>
      <c r="L621" s="3">
        <f>SUMIFS('Business - Dump'!$K:$K,'Business - Dump'!$D:$D,'SKU Repoprt'!$D621,'Business - Dump'!$A:$A,'SKU Repoprt'!L$1)</f>
        <v>557</v>
      </c>
      <c r="M621" s="3">
        <f>SUMIFS('Business - Dump'!$K:$K,'Business - Dump'!$D:$D,'SKU Repoprt'!$D621,'Business - Dump'!$A:$A,'SKU Repoprt'!M$1)</f>
        <v>3368</v>
      </c>
      <c r="N621" s="3">
        <f>SUMIFS('Business - Dump'!$K:$K,'Business - Dump'!$D:$D,'SKU Repoprt'!$D621,'Business - Dump'!$A:$A,'SKU Repoprt'!N$1)</f>
        <v>406</v>
      </c>
      <c r="O621" s="3">
        <f>SUMIFS('Business - Dump'!$K:$K,'Business - Dump'!$D:$D,'SKU Repoprt'!$D621,'Business - Dump'!$A:$A,'SKU Repoprt'!O$1)</f>
        <v>762</v>
      </c>
      <c r="P621" s="3">
        <f>SUMIFS('Business - Dump'!$K:$K,'Business - Dump'!$D:$D,'SKU Repoprt'!$D621,'Business - Dump'!$A:$A,'SKU Repoprt'!P$1)</f>
        <v>557</v>
      </c>
      <c r="Q621" s="3">
        <f>SUMIFS('Business - Dump'!$K:$K,'Business - Dump'!$D:$D,'SKU Repoprt'!$D621,'Business - Dump'!$A:$A,'SKU Repoprt'!Q$1)</f>
        <v>975</v>
      </c>
      <c r="R621" s="3">
        <f>SUMIFS('Business - Dump'!$K:$K,'Business - Dump'!$D:$D,'SKU Repoprt'!$D621,'Business - Dump'!$A:$A,'SKU Repoprt'!R$1)</f>
        <v>608</v>
      </c>
      <c r="S621" s="3">
        <f>SUMIFS('Business - Dump'!$K:$K,'Business - Dump'!$D:$D,'SKU Repoprt'!$D621,'Business - Dump'!$A:$A,'SKU Repoprt'!S$1)</f>
        <v>450</v>
      </c>
      <c r="T621" s="3">
        <f>SUMIFS('Business - Dump'!$K:$K,'Business - Dump'!$D:$D,'SKU Repoprt'!$D621,'Business - Dump'!$A:$A,'SKU Repoprt'!T$1)</f>
        <v>430</v>
      </c>
      <c r="U621" s="3">
        <f>SUMIFS('Business - Dump'!$K:$K,'Business - Dump'!$D:$D,'SKU Repoprt'!$D621,'Business - Dump'!$A:$A,'SKU Repoprt'!U$1)</f>
        <v>682</v>
      </c>
      <c r="V621" s="3">
        <f>SUMIFS('Business - Dump'!$K:$K,'Business - Dump'!$D:$D,'SKU Repoprt'!$D621,'Business - Dump'!$A:$A,'SKU Repoprt'!V$1)</f>
        <v>685</v>
      </c>
      <c r="W621" s="3">
        <f>SUMIFS('Business - Dump'!$K:$K,'Business - Dump'!$D:$D,'SKU Repoprt'!$D621,'Business - Dump'!$A:$A,'SKU Repoprt'!W$1)</f>
        <v>820</v>
      </c>
    </row>
    <row r="622" ht="15.75" customHeight="1">
      <c r="A622" s="10" t="s">
        <v>176</v>
      </c>
      <c r="B622" s="10" t="s">
        <v>176</v>
      </c>
      <c r="C622" s="10"/>
      <c r="D622" s="10" t="s">
        <v>402</v>
      </c>
      <c r="E622" s="10" t="s">
        <v>264</v>
      </c>
      <c r="F622" s="3">
        <f t="shared" si="207"/>
        <v>40</v>
      </c>
      <c r="G622" s="3">
        <f>SUMIFS('Business - Dump'!$Q:$Q,'Business - Dump'!$D:$D,'SKU Repoprt'!$D622,'Business - Dump'!$A:$A,'SKU Repoprt'!G$1)</f>
        <v>0</v>
      </c>
      <c r="H622" s="3">
        <f>SUMIFS('Business - Dump'!$Q:$Q,'Business - Dump'!$D:$D,'SKU Repoprt'!$D622,'Business - Dump'!$A:$A,'SKU Repoprt'!H$1)</f>
        <v>0</v>
      </c>
      <c r="I622" s="3">
        <f>SUMIFS('Business - Dump'!$Q:$Q,'Business - Dump'!$D:$D,'SKU Repoprt'!$D622,'Business - Dump'!$A:$A,'SKU Repoprt'!I$1)</f>
        <v>0</v>
      </c>
      <c r="J622" s="3">
        <f>SUMIFS('Business - Dump'!$Q:$Q,'Business - Dump'!$D:$D,'SKU Repoprt'!$D622,'Business - Dump'!$A:$A,'SKU Repoprt'!J$1)</f>
        <v>0</v>
      </c>
      <c r="K622" s="3">
        <f>SUMIFS('Business - Dump'!$Q:$Q,'Business - Dump'!$D:$D,'SKU Repoprt'!$D622,'Business - Dump'!$A:$A,'SKU Repoprt'!K$1)</f>
        <v>0</v>
      </c>
      <c r="L622" s="3">
        <f>SUMIFS('Business - Dump'!$Q:$Q,'Business - Dump'!$D:$D,'SKU Repoprt'!$D622,'Business - Dump'!$A:$A,'SKU Repoprt'!L$1)</f>
        <v>2</v>
      </c>
      <c r="M622" s="3">
        <f>SUMIFS('Business - Dump'!$Q:$Q,'Business - Dump'!$D:$D,'SKU Repoprt'!$D622,'Business - Dump'!$A:$A,'SKU Repoprt'!M$1)</f>
        <v>16</v>
      </c>
      <c r="N622" s="3">
        <f>SUMIFS('Business - Dump'!$Q:$Q,'Business - Dump'!$D:$D,'SKU Repoprt'!$D622,'Business - Dump'!$A:$A,'SKU Repoprt'!N$1)</f>
        <v>4</v>
      </c>
      <c r="O622" s="3">
        <f>SUMIFS('Business - Dump'!$Q:$Q,'Business - Dump'!$D:$D,'SKU Repoprt'!$D622,'Business - Dump'!$A:$A,'SKU Repoprt'!O$1)</f>
        <v>2</v>
      </c>
      <c r="P622" s="3">
        <f>SUMIFS('Business - Dump'!$Q:$Q,'Business - Dump'!$D:$D,'SKU Repoprt'!$D622,'Business - Dump'!$A:$A,'SKU Repoprt'!P$1)</f>
        <v>4</v>
      </c>
      <c r="Q622" s="3">
        <f>SUMIFS('Business - Dump'!$Q:$Q,'Business - Dump'!$D:$D,'SKU Repoprt'!$D622,'Business - Dump'!$A:$A,'SKU Repoprt'!Q$1)</f>
        <v>4</v>
      </c>
      <c r="R622" s="3">
        <f>SUMIFS('Business - Dump'!$Q:$Q,'Business - Dump'!$D:$D,'SKU Repoprt'!$D622,'Business - Dump'!$A:$A,'SKU Repoprt'!R$1)</f>
        <v>6</v>
      </c>
      <c r="S622" s="3">
        <f>SUMIFS('Business - Dump'!$Q:$Q,'Business - Dump'!$D:$D,'SKU Repoprt'!$D622,'Business - Dump'!$A:$A,'SKU Repoprt'!S$1)</f>
        <v>2</v>
      </c>
      <c r="T622" s="3">
        <f>SUMIFS('Business - Dump'!$Q:$Q,'Business - Dump'!$D:$D,'SKU Repoprt'!$D622,'Business - Dump'!$A:$A,'SKU Repoprt'!T$1)</f>
        <v>1</v>
      </c>
      <c r="U622" s="3">
        <f>SUMIFS('Business - Dump'!$Q:$Q,'Business - Dump'!$D:$D,'SKU Repoprt'!$D622,'Business - Dump'!$A:$A,'SKU Repoprt'!U$1)</f>
        <v>4</v>
      </c>
      <c r="V622" s="3">
        <f>SUMIFS('Business - Dump'!$Q:$Q,'Business - Dump'!$D:$D,'SKU Repoprt'!$D622,'Business - Dump'!$A:$A,'SKU Repoprt'!V$1)</f>
        <v>1</v>
      </c>
      <c r="W622" s="3">
        <f>SUMIFS('Business - Dump'!$Q:$Q,'Business - Dump'!$D:$D,'SKU Repoprt'!$D622,'Business - Dump'!$A:$A,'SKU Repoprt'!W$1)</f>
        <v>2</v>
      </c>
    </row>
    <row r="623" ht="15.75" customHeight="1">
      <c r="A623" s="10" t="s">
        <v>176</v>
      </c>
      <c r="B623" s="10" t="s">
        <v>176</v>
      </c>
      <c r="C623" s="10"/>
      <c r="D623" s="10" t="s">
        <v>402</v>
      </c>
      <c r="E623" s="10" t="s">
        <v>268</v>
      </c>
      <c r="F623" s="3">
        <f t="shared" si="207"/>
        <v>40</v>
      </c>
      <c r="G623" s="3">
        <f>SUMIFS('Business - Dump'!$W:$W,'Business - Dump'!$D:$D,'SKU Repoprt'!$D623,'Business - Dump'!$A:$A,'SKU Repoprt'!G$1)</f>
        <v>0</v>
      </c>
      <c r="H623" s="3">
        <f>SUMIFS('Business - Dump'!$W:$W,'Business - Dump'!$D:$D,'SKU Repoprt'!$D623,'Business - Dump'!$A:$A,'SKU Repoprt'!H$1)</f>
        <v>0</v>
      </c>
      <c r="I623" s="3">
        <f>SUMIFS('Business - Dump'!$W:$W,'Business - Dump'!$D:$D,'SKU Repoprt'!$D623,'Business - Dump'!$A:$A,'SKU Repoprt'!I$1)</f>
        <v>0</v>
      </c>
      <c r="J623" s="3">
        <f>SUMIFS('Business - Dump'!$W:$W,'Business - Dump'!$D:$D,'SKU Repoprt'!$D623,'Business - Dump'!$A:$A,'SKU Repoprt'!J$1)</f>
        <v>0</v>
      </c>
      <c r="K623" s="3">
        <f>SUMIFS('Business - Dump'!$W:$W,'Business - Dump'!$D:$D,'SKU Repoprt'!$D623,'Business - Dump'!$A:$A,'SKU Repoprt'!K$1)</f>
        <v>0</v>
      </c>
      <c r="L623" s="3">
        <f>SUMIFS('Business - Dump'!$W:$W,'Business - Dump'!$D:$D,'SKU Repoprt'!$D623,'Business - Dump'!$A:$A,'SKU Repoprt'!L$1)</f>
        <v>2</v>
      </c>
      <c r="M623" s="3">
        <f>SUMIFS('Business - Dump'!$W:$W,'Business - Dump'!$D:$D,'SKU Repoprt'!$D623,'Business - Dump'!$A:$A,'SKU Repoprt'!M$1)</f>
        <v>16</v>
      </c>
      <c r="N623" s="3">
        <f>SUMIFS('Business - Dump'!$W:$W,'Business - Dump'!$D:$D,'SKU Repoprt'!$D623,'Business - Dump'!$A:$A,'SKU Repoprt'!N$1)</f>
        <v>4</v>
      </c>
      <c r="O623" s="3">
        <f>SUMIFS('Business - Dump'!$W:$W,'Business - Dump'!$D:$D,'SKU Repoprt'!$D623,'Business - Dump'!$A:$A,'SKU Repoprt'!O$1)</f>
        <v>2</v>
      </c>
      <c r="P623" s="3">
        <f>SUMIFS('Business - Dump'!$W:$W,'Business - Dump'!$D:$D,'SKU Repoprt'!$D623,'Business - Dump'!$A:$A,'SKU Repoprt'!P$1)</f>
        <v>4</v>
      </c>
      <c r="Q623" s="3">
        <f>SUMIFS('Business - Dump'!$W:$W,'Business - Dump'!$D:$D,'SKU Repoprt'!$D623,'Business - Dump'!$A:$A,'SKU Repoprt'!Q$1)</f>
        <v>4</v>
      </c>
      <c r="R623" s="3">
        <f>SUMIFS('Business - Dump'!$W:$W,'Business - Dump'!$D:$D,'SKU Repoprt'!$D623,'Business - Dump'!$A:$A,'SKU Repoprt'!R$1)</f>
        <v>6</v>
      </c>
      <c r="S623" s="3">
        <f>SUMIFS('Business - Dump'!$W:$W,'Business - Dump'!$D:$D,'SKU Repoprt'!$D623,'Business - Dump'!$A:$A,'SKU Repoprt'!S$1)</f>
        <v>2</v>
      </c>
      <c r="T623" s="3">
        <f>SUMIFS('Business - Dump'!$W:$W,'Business - Dump'!$D:$D,'SKU Repoprt'!$D623,'Business - Dump'!$A:$A,'SKU Repoprt'!T$1)</f>
        <v>1</v>
      </c>
      <c r="U623" s="3">
        <f>SUMIFS('Business - Dump'!$W:$W,'Business - Dump'!$D:$D,'SKU Repoprt'!$D623,'Business - Dump'!$A:$A,'SKU Repoprt'!U$1)</f>
        <v>4</v>
      </c>
      <c r="V623" s="3">
        <f>SUMIFS('Business - Dump'!$W:$W,'Business - Dump'!$D:$D,'SKU Repoprt'!$D623,'Business - Dump'!$A:$A,'SKU Repoprt'!V$1)</f>
        <v>1</v>
      </c>
      <c r="W623" s="3">
        <f>SUMIFS('Business - Dump'!$W:$W,'Business - Dump'!$D:$D,'SKU Repoprt'!$D623,'Business - Dump'!$A:$A,'SKU Repoprt'!W$1)</f>
        <v>2</v>
      </c>
    </row>
    <row r="624" ht="15.75" customHeight="1">
      <c r="A624" s="10" t="s">
        <v>176</v>
      </c>
      <c r="B624" s="10" t="s">
        <v>176</v>
      </c>
      <c r="C624" s="10"/>
      <c r="D624" s="10" t="s">
        <v>402</v>
      </c>
      <c r="E624" s="10" t="s">
        <v>26</v>
      </c>
      <c r="F624" s="16">
        <f t="shared" si="207"/>
        <v>904362.27</v>
      </c>
      <c r="G624" s="16">
        <f>SUMIFS('Business - Dump'!$U:$U,'Business - Dump'!$D:$D,'SKU Repoprt'!$D624,'Business - Dump'!$A:$A,'SKU Repoprt'!G$1)</f>
        <v>0</v>
      </c>
      <c r="H624" s="16">
        <f>SUMIFS('Business - Dump'!$U:$U,'Business - Dump'!$D:$D,'SKU Repoprt'!$D624,'Business - Dump'!$A:$A,'SKU Repoprt'!H$1)</f>
        <v>0</v>
      </c>
      <c r="I624" s="16">
        <f>SUMIFS('Business - Dump'!$U:$U,'Business - Dump'!$D:$D,'SKU Repoprt'!$D624,'Business - Dump'!$A:$A,'SKU Repoprt'!I$1)</f>
        <v>0</v>
      </c>
      <c r="J624" s="16">
        <f>SUMIFS('Business - Dump'!$U:$U,'Business - Dump'!$D:$D,'SKU Repoprt'!$D624,'Business - Dump'!$A:$A,'SKU Repoprt'!J$1)</f>
        <v>0</v>
      </c>
      <c r="K624" s="16">
        <f>SUMIFS('Business - Dump'!$U:$U,'Business - Dump'!$D:$D,'SKU Repoprt'!$D624,'Business - Dump'!$A:$A,'SKU Repoprt'!K$1)</f>
        <v>0</v>
      </c>
      <c r="L624" s="16">
        <f>SUMIFS('Business - Dump'!$U:$U,'Business - Dump'!$D:$D,'SKU Repoprt'!$D624,'Business - Dump'!$A:$A,'SKU Repoprt'!L$1)</f>
        <v>43954.24</v>
      </c>
      <c r="M624" s="16">
        <f>SUMIFS('Business - Dump'!$U:$U,'Business - Dump'!$D:$D,'SKU Repoprt'!$D624,'Business - Dump'!$A:$A,'SKU Repoprt'!M$1)</f>
        <v>349595.75</v>
      </c>
      <c r="N624" s="16">
        <f>SUMIFS('Business - Dump'!$U:$U,'Business - Dump'!$D:$D,'SKU Repoprt'!$D624,'Business - Dump'!$A:$A,'SKU Repoprt'!N$1)</f>
        <v>89000</v>
      </c>
      <c r="O624" s="16">
        <f>SUMIFS('Business - Dump'!$U:$U,'Business - Dump'!$D:$D,'SKU Repoprt'!$D624,'Business - Dump'!$A:$A,'SKU Repoprt'!O$1)</f>
        <v>45000</v>
      </c>
      <c r="P624" s="16">
        <f>SUMIFS('Business - Dump'!$U:$U,'Business - Dump'!$D:$D,'SKU Repoprt'!$D624,'Business - Dump'!$A:$A,'SKU Repoprt'!P$1)</f>
        <v>97658.48</v>
      </c>
      <c r="Q624" s="16">
        <f>SUMIFS('Business - Dump'!$U:$U,'Business - Dump'!$D:$D,'SKU Repoprt'!$D624,'Business - Dump'!$A:$A,'SKU Repoprt'!Q$1)</f>
        <v>92986.52</v>
      </c>
      <c r="R624" s="16">
        <f>SUMIFS('Business - Dump'!$U:$U,'Business - Dump'!$D:$D,'SKU Repoprt'!$D624,'Business - Dump'!$A:$A,'SKU Repoprt'!R$1)</f>
        <v>135555.76</v>
      </c>
      <c r="S624" s="16">
        <f>SUMIFS('Business - Dump'!$U:$U,'Business - Dump'!$D:$D,'SKU Repoprt'!$D624,'Business - Dump'!$A:$A,'SKU Repoprt'!S$1)</f>
        <v>50611.52</v>
      </c>
      <c r="T624" s="16">
        <f>SUMIFS('Business - Dump'!$U:$U,'Business - Dump'!$D:$D,'SKU Repoprt'!$D624,'Business - Dump'!$A:$A,'SKU Repoprt'!T$1)</f>
        <v>24255.76</v>
      </c>
      <c r="U624" s="16">
        <f>SUMIFS('Business - Dump'!$U:$U,'Business - Dump'!$D:$D,'SKU Repoprt'!$D624,'Business - Dump'!$A:$A,'SKU Repoprt'!U$1)</f>
        <v>96040</v>
      </c>
      <c r="V624" s="16">
        <f>SUMIFS('Business - Dump'!$U:$U,'Business - Dump'!$D:$D,'SKU Repoprt'!$D624,'Business - Dump'!$A:$A,'SKU Repoprt'!V$1)</f>
        <v>24010</v>
      </c>
      <c r="W624" s="16">
        <f>SUMIFS('Business - Dump'!$U:$U,'Business - Dump'!$D:$D,'SKU Repoprt'!$D624,'Business - Dump'!$A:$A,'SKU Repoprt'!W$1)</f>
        <v>48020</v>
      </c>
    </row>
    <row r="625" ht="15.75" customHeight="1">
      <c r="A625" s="10" t="s">
        <v>176</v>
      </c>
      <c r="B625" s="10" t="s">
        <v>176</v>
      </c>
      <c r="C625" s="10"/>
      <c r="D625" s="10" t="s">
        <v>402</v>
      </c>
      <c r="E625" s="10" t="s">
        <v>29</v>
      </c>
      <c r="F625" s="17">
        <v>0.027042857142857143</v>
      </c>
      <c r="G625" s="17">
        <f t="shared" ref="G625:W625" si="208">IFERROR(G623/G620,0)</f>
        <v>0</v>
      </c>
      <c r="H625" s="17">
        <f t="shared" si="208"/>
        <v>0</v>
      </c>
      <c r="I625" s="17">
        <f t="shared" si="208"/>
        <v>0</v>
      </c>
      <c r="J625" s="17">
        <f t="shared" si="208"/>
        <v>0</v>
      </c>
      <c r="K625" s="17">
        <f t="shared" si="208"/>
        <v>0</v>
      </c>
      <c r="L625" s="17">
        <f t="shared" si="208"/>
        <v>0.004962779156</v>
      </c>
      <c r="M625" s="17">
        <f t="shared" si="208"/>
        <v>0.007808687164</v>
      </c>
      <c r="N625" s="17">
        <f t="shared" si="208"/>
        <v>0.01351351351</v>
      </c>
      <c r="O625" s="17">
        <f t="shared" si="208"/>
        <v>0.0036900369</v>
      </c>
      <c r="P625" s="17">
        <f t="shared" si="208"/>
        <v>0.009345794393</v>
      </c>
      <c r="Q625" s="17">
        <f t="shared" si="208"/>
        <v>0.005102040816</v>
      </c>
      <c r="R625" s="17">
        <f t="shared" si="208"/>
        <v>0.01354401806</v>
      </c>
      <c r="S625" s="17">
        <f t="shared" si="208"/>
        <v>0.005865102639</v>
      </c>
      <c r="T625" s="17">
        <f t="shared" si="208"/>
        <v>0.002915451895</v>
      </c>
      <c r="U625" s="17">
        <f t="shared" si="208"/>
        <v>0.008602150538</v>
      </c>
      <c r="V625" s="17">
        <f t="shared" si="208"/>
        <v>0.001930501931</v>
      </c>
      <c r="W625" s="17">
        <f t="shared" si="208"/>
        <v>0.00290275762</v>
      </c>
    </row>
    <row r="626" ht="15.75" customHeight="1">
      <c r="A626" s="10" t="s">
        <v>176</v>
      </c>
      <c r="B626" s="10" t="s">
        <v>176</v>
      </c>
      <c r="C626" s="10"/>
      <c r="D626" s="10" t="s">
        <v>399</v>
      </c>
      <c r="E626" s="10" t="s">
        <v>257</v>
      </c>
      <c r="F626" s="3">
        <f t="shared" ref="F626:F630" si="209">SUM(G626:S626)</f>
        <v>4530</v>
      </c>
      <c r="G626" s="3">
        <f>SUMIFS('Business - Dump'!$G:$G,'Business - Dump'!$D:$D,'SKU Repoprt'!$D626,'Business - Dump'!$A:$A,'SKU Repoprt'!G$1)</f>
        <v>0</v>
      </c>
      <c r="H626" s="3">
        <f>SUMIFS('Business - Dump'!$G:$G,'Business - Dump'!$D:$D,'SKU Repoprt'!$D626,'Business - Dump'!$A:$A,'SKU Repoprt'!H$1)</f>
        <v>0</v>
      </c>
      <c r="I626" s="3">
        <f>SUMIFS('Business - Dump'!$G:$G,'Business - Dump'!$D:$D,'SKU Repoprt'!$D626,'Business - Dump'!$A:$A,'SKU Repoprt'!I$1)</f>
        <v>0</v>
      </c>
      <c r="J626" s="3">
        <f>SUMIFS('Business - Dump'!$G:$G,'Business - Dump'!$D:$D,'SKU Repoprt'!$D626,'Business - Dump'!$A:$A,'SKU Repoprt'!J$1)</f>
        <v>0</v>
      </c>
      <c r="K626" s="3">
        <f>SUMIFS('Business - Dump'!$G:$G,'Business - Dump'!$D:$D,'SKU Repoprt'!$D626,'Business - Dump'!$A:$A,'SKU Repoprt'!K$1)</f>
        <v>352</v>
      </c>
      <c r="L626" s="3">
        <f>SUMIFS('Business - Dump'!$G:$G,'Business - Dump'!$D:$D,'SKU Repoprt'!$D626,'Business - Dump'!$A:$A,'SKU Repoprt'!L$1)</f>
        <v>519</v>
      </c>
      <c r="M626" s="3">
        <f>SUMIFS('Business - Dump'!$G:$G,'Business - Dump'!$D:$D,'SKU Repoprt'!$D626,'Business - Dump'!$A:$A,'SKU Repoprt'!M$1)</f>
        <v>1115</v>
      </c>
      <c r="N626" s="3">
        <f>SUMIFS('Business - Dump'!$G:$G,'Business - Dump'!$D:$D,'SKU Repoprt'!$D626,'Business - Dump'!$A:$A,'SKU Repoprt'!N$1)</f>
        <v>357</v>
      </c>
      <c r="O626" s="3">
        <f>SUMIFS('Business - Dump'!$G:$G,'Business - Dump'!$D:$D,'SKU Repoprt'!$D626,'Business - Dump'!$A:$A,'SKU Repoprt'!O$1)</f>
        <v>520</v>
      </c>
      <c r="P626" s="3">
        <f>SUMIFS('Business - Dump'!$G:$G,'Business - Dump'!$D:$D,'SKU Repoprt'!$D626,'Business - Dump'!$A:$A,'SKU Repoprt'!P$1)</f>
        <v>399</v>
      </c>
      <c r="Q626" s="3">
        <f>SUMIFS('Business - Dump'!$G:$G,'Business - Dump'!$D:$D,'SKU Repoprt'!$D626,'Business - Dump'!$A:$A,'SKU Repoprt'!Q$1)</f>
        <v>485</v>
      </c>
      <c r="R626" s="3">
        <f>SUMIFS('Business - Dump'!$G:$G,'Business - Dump'!$D:$D,'SKU Repoprt'!$D626,'Business - Dump'!$A:$A,'SKU Repoprt'!R$1)</f>
        <v>496</v>
      </c>
      <c r="S626" s="3">
        <f>SUMIFS('Business - Dump'!$G:$G,'Business - Dump'!$D:$D,'SKU Repoprt'!$D626,'Business - Dump'!$A:$A,'SKU Repoprt'!S$1)</f>
        <v>287</v>
      </c>
      <c r="T626" s="3">
        <f>SUMIFS('Business - Dump'!$G:$G,'Business - Dump'!$D:$D,'SKU Repoprt'!$D626,'Business - Dump'!$A:$A,'SKU Repoprt'!T$1)</f>
        <v>218</v>
      </c>
      <c r="U626" s="3">
        <f>SUMIFS('Business - Dump'!$G:$G,'Business - Dump'!$D:$D,'SKU Repoprt'!$D626,'Business - Dump'!$A:$A,'SKU Repoprt'!U$1)</f>
        <v>192</v>
      </c>
      <c r="V626" s="3">
        <f>SUMIFS('Business - Dump'!$G:$G,'Business - Dump'!$D:$D,'SKU Repoprt'!$D626,'Business - Dump'!$A:$A,'SKU Repoprt'!V$1)</f>
        <v>207</v>
      </c>
      <c r="W626" s="3">
        <f>SUMIFS('Business - Dump'!$G:$G,'Business - Dump'!$D:$D,'SKU Repoprt'!$D626,'Business - Dump'!$A:$A,'SKU Repoprt'!W$1)</f>
        <v>298</v>
      </c>
    </row>
    <row r="627" ht="15.75" customHeight="1">
      <c r="A627" s="10" t="s">
        <v>176</v>
      </c>
      <c r="B627" s="10" t="s">
        <v>176</v>
      </c>
      <c r="C627" s="10"/>
      <c r="D627" s="10" t="s">
        <v>399</v>
      </c>
      <c r="E627" s="10" t="s">
        <v>260</v>
      </c>
      <c r="F627" s="3">
        <f t="shared" si="209"/>
        <v>6361</v>
      </c>
      <c r="G627" s="3">
        <f>SUMIFS('Business - Dump'!$K:$K,'Business - Dump'!$D:$D,'SKU Repoprt'!$D627,'Business - Dump'!$A:$A,'SKU Repoprt'!G$1)</f>
        <v>0</v>
      </c>
      <c r="H627" s="3">
        <f>SUMIFS('Business - Dump'!$K:$K,'Business - Dump'!$D:$D,'SKU Repoprt'!$D627,'Business - Dump'!$A:$A,'SKU Repoprt'!H$1)</f>
        <v>0</v>
      </c>
      <c r="I627" s="3">
        <f>SUMIFS('Business - Dump'!$K:$K,'Business - Dump'!$D:$D,'SKU Repoprt'!$D627,'Business - Dump'!$A:$A,'SKU Repoprt'!I$1)</f>
        <v>0</v>
      </c>
      <c r="J627" s="3">
        <f>SUMIFS('Business - Dump'!$K:$K,'Business - Dump'!$D:$D,'SKU Repoprt'!$D627,'Business - Dump'!$A:$A,'SKU Repoprt'!J$1)</f>
        <v>0</v>
      </c>
      <c r="K627" s="3">
        <f>SUMIFS('Business - Dump'!$K:$K,'Business - Dump'!$D:$D,'SKU Repoprt'!$D627,'Business - Dump'!$A:$A,'SKU Repoprt'!K$1)</f>
        <v>510</v>
      </c>
      <c r="L627" s="3">
        <f>SUMIFS('Business - Dump'!$K:$K,'Business - Dump'!$D:$D,'SKU Repoprt'!$D627,'Business - Dump'!$A:$A,'SKU Repoprt'!L$1)</f>
        <v>738</v>
      </c>
      <c r="M627" s="3">
        <f>SUMIFS('Business - Dump'!$K:$K,'Business - Dump'!$D:$D,'SKU Repoprt'!$D627,'Business - Dump'!$A:$A,'SKU Repoprt'!M$1)</f>
        <v>1638</v>
      </c>
      <c r="N627" s="3">
        <f>SUMIFS('Business - Dump'!$K:$K,'Business - Dump'!$D:$D,'SKU Repoprt'!$D627,'Business - Dump'!$A:$A,'SKU Repoprt'!N$1)</f>
        <v>445</v>
      </c>
      <c r="O627" s="3">
        <f>SUMIFS('Business - Dump'!$K:$K,'Business - Dump'!$D:$D,'SKU Repoprt'!$D627,'Business - Dump'!$A:$A,'SKU Repoprt'!O$1)</f>
        <v>661</v>
      </c>
      <c r="P627" s="3">
        <f>SUMIFS('Business - Dump'!$K:$K,'Business - Dump'!$D:$D,'SKU Repoprt'!$D627,'Business - Dump'!$A:$A,'SKU Repoprt'!P$1)</f>
        <v>536</v>
      </c>
      <c r="Q627" s="3">
        <f>SUMIFS('Business - Dump'!$K:$K,'Business - Dump'!$D:$D,'SKU Repoprt'!$D627,'Business - Dump'!$A:$A,'SKU Repoprt'!Q$1)</f>
        <v>679</v>
      </c>
      <c r="R627" s="3">
        <f>SUMIFS('Business - Dump'!$K:$K,'Business - Dump'!$D:$D,'SKU Repoprt'!$D627,'Business - Dump'!$A:$A,'SKU Repoprt'!R$1)</f>
        <v>746</v>
      </c>
      <c r="S627" s="3">
        <f>SUMIFS('Business - Dump'!$K:$K,'Business - Dump'!$D:$D,'SKU Repoprt'!$D627,'Business - Dump'!$A:$A,'SKU Repoprt'!S$1)</f>
        <v>408</v>
      </c>
      <c r="T627" s="3">
        <f>SUMIFS('Business - Dump'!$K:$K,'Business - Dump'!$D:$D,'SKU Repoprt'!$D627,'Business - Dump'!$A:$A,'SKU Repoprt'!T$1)</f>
        <v>275</v>
      </c>
      <c r="U627" s="3">
        <f>SUMIFS('Business - Dump'!$K:$K,'Business - Dump'!$D:$D,'SKU Repoprt'!$D627,'Business - Dump'!$A:$A,'SKU Repoprt'!U$1)</f>
        <v>263</v>
      </c>
      <c r="V627" s="3">
        <f>SUMIFS('Business - Dump'!$K:$K,'Business - Dump'!$D:$D,'SKU Repoprt'!$D627,'Business - Dump'!$A:$A,'SKU Repoprt'!V$1)</f>
        <v>297</v>
      </c>
      <c r="W627" s="3">
        <f>SUMIFS('Business - Dump'!$K:$K,'Business - Dump'!$D:$D,'SKU Repoprt'!$D627,'Business - Dump'!$A:$A,'SKU Repoprt'!W$1)</f>
        <v>367</v>
      </c>
    </row>
    <row r="628" ht="15.75" customHeight="1">
      <c r="A628" s="10" t="s">
        <v>176</v>
      </c>
      <c r="B628" s="10" t="s">
        <v>176</v>
      </c>
      <c r="C628" s="10"/>
      <c r="D628" s="10" t="s">
        <v>399</v>
      </c>
      <c r="E628" s="10" t="s">
        <v>264</v>
      </c>
      <c r="F628" s="3">
        <f t="shared" si="209"/>
        <v>24</v>
      </c>
      <c r="G628" s="3">
        <f>SUMIFS('Business - Dump'!$Q:$Q,'Business - Dump'!$D:$D,'SKU Repoprt'!$D628,'Business - Dump'!$A:$A,'SKU Repoprt'!G$1)</f>
        <v>0</v>
      </c>
      <c r="H628" s="3">
        <f>SUMIFS('Business - Dump'!$Q:$Q,'Business - Dump'!$D:$D,'SKU Repoprt'!$D628,'Business - Dump'!$A:$A,'SKU Repoprt'!H$1)</f>
        <v>0</v>
      </c>
      <c r="I628" s="3">
        <f>SUMIFS('Business - Dump'!$Q:$Q,'Business - Dump'!$D:$D,'SKU Repoprt'!$D628,'Business - Dump'!$A:$A,'SKU Repoprt'!I$1)</f>
        <v>0</v>
      </c>
      <c r="J628" s="3">
        <f>SUMIFS('Business - Dump'!$Q:$Q,'Business - Dump'!$D:$D,'SKU Repoprt'!$D628,'Business - Dump'!$A:$A,'SKU Repoprt'!J$1)</f>
        <v>0</v>
      </c>
      <c r="K628" s="3">
        <f>SUMIFS('Business - Dump'!$Q:$Q,'Business - Dump'!$D:$D,'SKU Repoprt'!$D628,'Business - Dump'!$A:$A,'SKU Repoprt'!K$1)</f>
        <v>1</v>
      </c>
      <c r="L628" s="3">
        <f>SUMIFS('Business - Dump'!$Q:$Q,'Business - Dump'!$D:$D,'SKU Repoprt'!$D628,'Business - Dump'!$A:$A,'SKU Repoprt'!L$1)</f>
        <v>2</v>
      </c>
      <c r="M628" s="3">
        <f>SUMIFS('Business - Dump'!$Q:$Q,'Business - Dump'!$D:$D,'SKU Repoprt'!$D628,'Business - Dump'!$A:$A,'SKU Repoprt'!M$1)</f>
        <v>1</v>
      </c>
      <c r="N628" s="3">
        <f>SUMIFS('Business - Dump'!$Q:$Q,'Business - Dump'!$D:$D,'SKU Repoprt'!$D628,'Business - Dump'!$A:$A,'SKU Repoprt'!N$1)</f>
        <v>2</v>
      </c>
      <c r="O628" s="3">
        <f>SUMIFS('Business - Dump'!$Q:$Q,'Business - Dump'!$D:$D,'SKU Repoprt'!$D628,'Business - Dump'!$A:$A,'SKU Repoprt'!O$1)</f>
        <v>3</v>
      </c>
      <c r="P628" s="3">
        <f>SUMIFS('Business - Dump'!$Q:$Q,'Business - Dump'!$D:$D,'SKU Repoprt'!$D628,'Business - Dump'!$A:$A,'SKU Repoprt'!P$1)</f>
        <v>0</v>
      </c>
      <c r="Q628" s="3">
        <f>SUMIFS('Business - Dump'!$Q:$Q,'Business - Dump'!$D:$D,'SKU Repoprt'!$D628,'Business - Dump'!$A:$A,'SKU Repoprt'!Q$1)</f>
        <v>7</v>
      </c>
      <c r="R628" s="3">
        <f>SUMIFS('Business - Dump'!$Q:$Q,'Business - Dump'!$D:$D,'SKU Repoprt'!$D628,'Business - Dump'!$A:$A,'SKU Repoprt'!R$1)</f>
        <v>7</v>
      </c>
      <c r="S628" s="3">
        <f>SUMIFS('Business - Dump'!$Q:$Q,'Business - Dump'!$D:$D,'SKU Repoprt'!$D628,'Business - Dump'!$A:$A,'SKU Repoprt'!S$1)</f>
        <v>1</v>
      </c>
      <c r="T628" s="3">
        <f>SUMIFS('Business - Dump'!$Q:$Q,'Business - Dump'!$D:$D,'SKU Repoprt'!$D628,'Business - Dump'!$A:$A,'SKU Repoprt'!T$1)</f>
        <v>0</v>
      </c>
      <c r="U628" s="3">
        <f>SUMIFS('Business - Dump'!$Q:$Q,'Business - Dump'!$D:$D,'SKU Repoprt'!$D628,'Business - Dump'!$A:$A,'SKU Repoprt'!U$1)</f>
        <v>0</v>
      </c>
      <c r="V628" s="3">
        <f>SUMIFS('Business - Dump'!$Q:$Q,'Business - Dump'!$D:$D,'SKU Repoprt'!$D628,'Business - Dump'!$A:$A,'SKU Repoprt'!V$1)</f>
        <v>1</v>
      </c>
      <c r="W628" s="3">
        <f>SUMIFS('Business - Dump'!$Q:$Q,'Business - Dump'!$D:$D,'SKU Repoprt'!$D628,'Business - Dump'!$A:$A,'SKU Repoprt'!W$1)</f>
        <v>1</v>
      </c>
    </row>
    <row r="629" ht="15.75" customHeight="1">
      <c r="A629" s="10" t="s">
        <v>176</v>
      </c>
      <c r="B629" s="10" t="s">
        <v>176</v>
      </c>
      <c r="C629" s="10"/>
      <c r="D629" s="10" t="s">
        <v>399</v>
      </c>
      <c r="E629" s="10" t="s">
        <v>268</v>
      </c>
      <c r="F629" s="3">
        <f t="shared" si="209"/>
        <v>24</v>
      </c>
      <c r="G629" s="3">
        <f>SUMIFS('Business - Dump'!$W:$W,'Business - Dump'!$D:$D,'SKU Repoprt'!$D629,'Business - Dump'!$A:$A,'SKU Repoprt'!G$1)</f>
        <v>0</v>
      </c>
      <c r="H629" s="3">
        <f>SUMIFS('Business - Dump'!$W:$W,'Business - Dump'!$D:$D,'SKU Repoprt'!$D629,'Business - Dump'!$A:$A,'SKU Repoprt'!H$1)</f>
        <v>0</v>
      </c>
      <c r="I629" s="3">
        <f>SUMIFS('Business - Dump'!$W:$W,'Business - Dump'!$D:$D,'SKU Repoprt'!$D629,'Business - Dump'!$A:$A,'SKU Repoprt'!I$1)</f>
        <v>0</v>
      </c>
      <c r="J629" s="3">
        <f>SUMIFS('Business - Dump'!$W:$W,'Business - Dump'!$D:$D,'SKU Repoprt'!$D629,'Business - Dump'!$A:$A,'SKU Repoprt'!J$1)</f>
        <v>0</v>
      </c>
      <c r="K629" s="3">
        <f>SUMIFS('Business - Dump'!$W:$W,'Business - Dump'!$D:$D,'SKU Repoprt'!$D629,'Business - Dump'!$A:$A,'SKU Repoprt'!K$1)</f>
        <v>1</v>
      </c>
      <c r="L629" s="3">
        <f>SUMIFS('Business - Dump'!$W:$W,'Business - Dump'!$D:$D,'SKU Repoprt'!$D629,'Business - Dump'!$A:$A,'SKU Repoprt'!L$1)</f>
        <v>2</v>
      </c>
      <c r="M629" s="3">
        <f>SUMIFS('Business - Dump'!$W:$W,'Business - Dump'!$D:$D,'SKU Repoprt'!$D629,'Business - Dump'!$A:$A,'SKU Repoprt'!M$1)</f>
        <v>1</v>
      </c>
      <c r="N629" s="3">
        <f>SUMIFS('Business - Dump'!$W:$W,'Business - Dump'!$D:$D,'SKU Repoprt'!$D629,'Business - Dump'!$A:$A,'SKU Repoprt'!N$1)</f>
        <v>2</v>
      </c>
      <c r="O629" s="3">
        <f>SUMIFS('Business - Dump'!$W:$W,'Business - Dump'!$D:$D,'SKU Repoprt'!$D629,'Business - Dump'!$A:$A,'SKU Repoprt'!O$1)</f>
        <v>3</v>
      </c>
      <c r="P629" s="3">
        <f>SUMIFS('Business - Dump'!$W:$W,'Business - Dump'!$D:$D,'SKU Repoprt'!$D629,'Business - Dump'!$A:$A,'SKU Repoprt'!P$1)</f>
        <v>0</v>
      </c>
      <c r="Q629" s="3">
        <f>SUMIFS('Business - Dump'!$W:$W,'Business - Dump'!$D:$D,'SKU Repoprt'!$D629,'Business - Dump'!$A:$A,'SKU Repoprt'!Q$1)</f>
        <v>7</v>
      </c>
      <c r="R629" s="3">
        <f>SUMIFS('Business - Dump'!$W:$W,'Business - Dump'!$D:$D,'SKU Repoprt'!$D629,'Business - Dump'!$A:$A,'SKU Repoprt'!R$1)</f>
        <v>7</v>
      </c>
      <c r="S629" s="3">
        <f>SUMIFS('Business - Dump'!$W:$W,'Business - Dump'!$D:$D,'SKU Repoprt'!$D629,'Business - Dump'!$A:$A,'SKU Repoprt'!S$1)</f>
        <v>1</v>
      </c>
      <c r="T629" s="3">
        <f>SUMIFS('Business - Dump'!$W:$W,'Business - Dump'!$D:$D,'SKU Repoprt'!$D629,'Business - Dump'!$A:$A,'SKU Repoprt'!T$1)</f>
        <v>0</v>
      </c>
      <c r="U629" s="3">
        <f>SUMIFS('Business - Dump'!$W:$W,'Business - Dump'!$D:$D,'SKU Repoprt'!$D629,'Business - Dump'!$A:$A,'SKU Repoprt'!U$1)</f>
        <v>0</v>
      </c>
      <c r="V629" s="3">
        <f>SUMIFS('Business - Dump'!$W:$W,'Business - Dump'!$D:$D,'SKU Repoprt'!$D629,'Business - Dump'!$A:$A,'SKU Repoprt'!V$1)</f>
        <v>1</v>
      </c>
      <c r="W629" s="3">
        <f>SUMIFS('Business - Dump'!$W:$W,'Business - Dump'!$D:$D,'SKU Repoprt'!$D629,'Business - Dump'!$A:$A,'SKU Repoprt'!W$1)</f>
        <v>1</v>
      </c>
    </row>
    <row r="630" ht="15.75" customHeight="1">
      <c r="A630" s="10" t="s">
        <v>176</v>
      </c>
      <c r="B630" s="10" t="s">
        <v>176</v>
      </c>
      <c r="C630" s="10"/>
      <c r="D630" s="10" t="s">
        <v>399</v>
      </c>
      <c r="E630" s="10" t="s">
        <v>26</v>
      </c>
      <c r="F630" s="16">
        <f t="shared" si="209"/>
        <v>631352.08</v>
      </c>
      <c r="G630" s="16">
        <f>SUMIFS('Business - Dump'!$U:$U,'Business - Dump'!$D:$D,'SKU Repoprt'!$D630,'Business - Dump'!$A:$A,'SKU Repoprt'!G$1)</f>
        <v>0</v>
      </c>
      <c r="H630" s="16">
        <f>SUMIFS('Business - Dump'!$U:$U,'Business - Dump'!$D:$D,'SKU Repoprt'!$D630,'Business - Dump'!$A:$A,'SKU Repoprt'!H$1)</f>
        <v>0</v>
      </c>
      <c r="I630" s="16">
        <f>SUMIFS('Business - Dump'!$U:$U,'Business - Dump'!$D:$D,'SKU Repoprt'!$D630,'Business - Dump'!$A:$A,'SKU Repoprt'!I$1)</f>
        <v>0</v>
      </c>
      <c r="J630" s="16">
        <f>SUMIFS('Business - Dump'!$U:$U,'Business - Dump'!$D:$D,'SKU Repoprt'!$D630,'Business - Dump'!$A:$A,'SKU Repoprt'!J$1)</f>
        <v>0</v>
      </c>
      <c r="K630" s="16">
        <f>SUMIFS('Business - Dump'!$U:$U,'Business - Dump'!$D:$D,'SKU Repoprt'!$D630,'Business - Dump'!$A:$A,'SKU Repoprt'!K$1)</f>
        <v>26500</v>
      </c>
      <c r="L630" s="16">
        <f>SUMIFS('Business - Dump'!$U:$U,'Business - Dump'!$D:$D,'SKU Repoprt'!$D630,'Business - Dump'!$A:$A,'SKU Repoprt'!L$1)</f>
        <v>53200</v>
      </c>
      <c r="M630" s="16">
        <f>SUMIFS('Business - Dump'!$U:$U,'Business - Dump'!$D:$D,'SKU Repoprt'!$D630,'Business - Dump'!$A:$A,'SKU Repoprt'!M$1)</f>
        <v>26631.36</v>
      </c>
      <c r="N630" s="16">
        <f>SUMIFS('Business - Dump'!$U:$U,'Business - Dump'!$D:$D,'SKU Repoprt'!$D630,'Business - Dump'!$A:$A,'SKU Repoprt'!N$1)</f>
        <v>61800</v>
      </c>
      <c r="O630" s="16">
        <f>SUMIFS('Business - Dump'!$U:$U,'Business - Dump'!$D:$D,'SKU Repoprt'!$D630,'Business - Dump'!$A:$A,'SKU Repoprt'!O$1)</f>
        <v>77791.08</v>
      </c>
      <c r="P630" s="16">
        <f>SUMIFS('Business - Dump'!$U:$U,'Business - Dump'!$D:$D,'SKU Repoprt'!$D630,'Business - Dump'!$A:$A,'SKU Repoprt'!P$1)</f>
        <v>0</v>
      </c>
      <c r="Q630" s="16">
        <f>SUMIFS('Business - Dump'!$U:$U,'Business - Dump'!$D:$D,'SKU Repoprt'!$D630,'Business - Dump'!$A:$A,'SKU Repoprt'!Q$1)</f>
        <v>180564.24</v>
      </c>
      <c r="R630" s="16">
        <f>SUMIFS('Business - Dump'!$U:$U,'Business - Dump'!$D:$D,'SKU Repoprt'!$D630,'Business - Dump'!$A:$A,'SKU Repoprt'!R$1)</f>
        <v>176110.32</v>
      </c>
      <c r="S630" s="16">
        <f>SUMIFS('Business - Dump'!$U:$U,'Business - Dump'!$D:$D,'SKU Repoprt'!$D630,'Business - Dump'!$A:$A,'SKU Repoprt'!S$1)</f>
        <v>28755.08</v>
      </c>
      <c r="T630" s="16">
        <f>SUMIFS('Business - Dump'!$U:$U,'Business - Dump'!$D:$D,'SKU Repoprt'!$D630,'Business - Dump'!$A:$A,'SKU Repoprt'!T$1)</f>
        <v>0</v>
      </c>
      <c r="U630" s="16">
        <f>SUMIFS('Business - Dump'!$U:$U,'Business - Dump'!$D:$D,'SKU Repoprt'!$D630,'Business - Dump'!$A:$A,'SKU Repoprt'!U$1)</f>
        <v>0</v>
      </c>
      <c r="V630" s="16">
        <f>SUMIFS('Business - Dump'!$U:$U,'Business - Dump'!$D:$D,'SKU Repoprt'!$D630,'Business - Dump'!$A:$A,'SKU Repoprt'!V$1)</f>
        <v>28392.03</v>
      </c>
      <c r="W630" s="16">
        <f>SUMIFS('Business - Dump'!$U:$U,'Business - Dump'!$D:$D,'SKU Repoprt'!$D630,'Business - Dump'!$A:$A,'SKU Repoprt'!W$1)</f>
        <v>29450</v>
      </c>
    </row>
    <row r="631" ht="15.75" customHeight="1">
      <c r="A631" s="10" t="s">
        <v>176</v>
      </c>
      <c r="B631" s="10" t="s">
        <v>176</v>
      </c>
      <c r="C631" s="10"/>
      <c r="D631" s="10" t="s">
        <v>399</v>
      </c>
      <c r="E631" s="10" t="s">
        <v>29</v>
      </c>
      <c r="F631" s="17">
        <v>0.027042857142857143</v>
      </c>
      <c r="G631" s="17">
        <f t="shared" ref="G631:W631" si="210">IFERROR(G629/G626,0)</f>
        <v>0</v>
      </c>
      <c r="H631" s="17">
        <f t="shared" si="210"/>
        <v>0</v>
      </c>
      <c r="I631" s="17">
        <f t="shared" si="210"/>
        <v>0</v>
      </c>
      <c r="J631" s="17">
        <f t="shared" si="210"/>
        <v>0</v>
      </c>
      <c r="K631" s="17">
        <f t="shared" si="210"/>
        <v>0.002840909091</v>
      </c>
      <c r="L631" s="17">
        <f t="shared" si="210"/>
        <v>0.003853564547</v>
      </c>
      <c r="M631" s="17">
        <f t="shared" si="210"/>
        <v>0.0008968609865</v>
      </c>
      <c r="N631" s="17">
        <f t="shared" si="210"/>
        <v>0.005602240896</v>
      </c>
      <c r="O631" s="17">
        <f t="shared" si="210"/>
        <v>0.005769230769</v>
      </c>
      <c r="P631" s="17">
        <f t="shared" si="210"/>
        <v>0</v>
      </c>
      <c r="Q631" s="17">
        <f t="shared" si="210"/>
        <v>0.01443298969</v>
      </c>
      <c r="R631" s="17">
        <f t="shared" si="210"/>
        <v>0.01411290323</v>
      </c>
      <c r="S631" s="17">
        <f t="shared" si="210"/>
        <v>0.003484320557</v>
      </c>
      <c r="T631" s="17">
        <f t="shared" si="210"/>
        <v>0</v>
      </c>
      <c r="U631" s="17">
        <f t="shared" si="210"/>
        <v>0</v>
      </c>
      <c r="V631" s="17">
        <f t="shared" si="210"/>
        <v>0.004830917874</v>
      </c>
      <c r="W631" s="17">
        <f t="shared" si="210"/>
        <v>0.003355704698</v>
      </c>
    </row>
    <row r="632" ht="15.75" customHeight="1">
      <c r="A632" s="10" t="s">
        <v>176</v>
      </c>
      <c r="B632" s="10" t="s">
        <v>176</v>
      </c>
      <c r="C632" s="10"/>
      <c r="D632" s="10" t="s">
        <v>422</v>
      </c>
      <c r="E632" s="10" t="s">
        <v>257</v>
      </c>
      <c r="F632" s="3">
        <f t="shared" ref="F632:F636" si="211">SUM(G632:S632)</f>
        <v>241</v>
      </c>
      <c r="G632" s="3">
        <f>SUMIFS('Business - Dump'!$G:$G,'Business - Dump'!$D:$D,'SKU Repoprt'!$D632,'Business - Dump'!$A:$A,'SKU Repoprt'!G$1)</f>
        <v>0</v>
      </c>
      <c r="H632" s="3">
        <f>SUMIFS('Business - Dump'!$G:$G,'Business - Dump'!$D:$D,'SKU Repoprt'!$D632,'Business - Dump'!$A:$A,'SKU Repoprt'!H$1)</f>
        <v>0</v>
      </c>
      <c r="I632" s="3">
        <f>SUMIFS('Business - Dump'!$G:$G,'Business - Dump'!$D:$D,'SKU Repoprt'!$D632,'Business - Dump'!$A:$A,'SKU Repoprt'!I$1)</f>
        <v>0</v>
      </c>
      <c r="J632" s="3">
        <f>SUMIFS('Business - Dump'!$G:$G,'Business - Dump'!$D:$D,'SKU Repoprt'!$D632,'Business - Dump'!$A:$A,'SKU Repoprt'!J$1)</f>
        <v>0</v>
      </c>
      <c r="K632" s="3">
        <f>SUMIFS('Business - Dump'!$G:$G,'Business - Dump'!$D:$D,'SKU Repoprt'!$D632,'Business - Dump'!$A:$A,'SKU Repoprt'!K$1)</f>
        <v>0</v>
      </c>
      <c r="L632" s="3">
        <f>SUMIFS('Business - Dump'!$G:$G,'Business - Dump'!$D:$D,'SKU Repoprt'!$D632,'Business - Dump'!$A:$A,'SKU Repoprt'!L$1)</f>
        <v>0</v>
      </c>
      <c r="M632" s="3">
        <f>SUMIFS('Business - Dump'!$G:$G,'Business - Dump'!$D:$D,'SKU Repoprt'!$D632,'Business - Dump'!$A:$A,'SKU Repoprt'!M$1)</f>
        <v>0</v>
      </c>
      <c r="N632" s="3">
        <f>SUMIFS('Business - Dump'!$G:$G,'Business - Dump'!$D:$D,'SKU Repoprt'!$D632,'Business - Dump'!$A:$A,'SKU Repoprt'!N$1)</f>
        <v>0</v>
      </c>
      <c r="O632" s="3">
        <f>SUMIFS('Business - Dump'!$G:$G,'Business - Dump'!$D:$D,'SKU Repoprt'!$D632,'Business - Dump'!$A:$A,'SKU Repoprt'!O$1)</f>
        <v>59</v>
      </c>
      <c r="P632" s="3">
        <f>SUMIFS('Business - Dump'!$G:$G,'Business - Dump'!$D:$D,'SKU Repoprt'!$D632,'Business - Dump'!$A:$A,'SKU Repoprt'!P$1)</f>
        <v>4</v>
      </c>
      <c r="Q632" s="3">
        <f>SUMIFS('Business - Dump'!$G:$G,'Business - Dump'!$D:$D,'SKU Repoprt'!$D632,'Business - Dump'!$A:$A,'SKU Repoprt'!Q$1)</f>
        <v>17</v>
      </c>
      <c r="R632" s="3">
        <f>SUMIFS('Business - Dump'!$G:$G,'Business - Dump'!$D:$D,'SKU Repoprt'!$D632,'Business - Dump'!$A:$A,'SKU Repoprt'!R$1)</f>
        <v>91</v>
      </c>
      <c r="S632" s="3">
        <f>SUMIFS('Business - Dump'!$G:$G,'Business - Dump'!$D:$D,'SKU Repoprt'!$D632,'Business - Dump'!$A:$A,'SKU Repoprt'!S$1)</f>
        <v>70</v>
      </c>
      <c r="T632" s="3">
        <f>SUMIFS('Business - Dump'!$G:$G,'Business - Dump'!$D:$D,'SKU Repoprt'!$D632,'Business - Dump'!$A:$A,'SKU Repoprt'!T$1)</f>
        <v>102</v>
      </c>
      <c r="U632" s="3">
        <f>SUMIFS('Business - Dump'!$G:$G,'Business - Dump'!$D:$D,'SKU Repoprt'!$D632,'Business - Dump'!$A:$A,'SKU Repoprt'!U$1)</f>
        <v>187</v>
      </c>
      <c r="V632" s="3">
        <f>SUMIFS('Business - Dump'!$G:$G,'Business - Dump'!$D:$D,'SKU Repoprt'!$D632,'Business - Dump'!$A:$A,'SKU Repoprt'!V$1)</f>
        <v>180</v>
      </c>
      <c r="W632" s="3">
        <f>SUMIFS('Business - Dump'!$G:$G,'Business - Dump'!$D:$D,'SKU Repoprt'!$D632,'Business - Dump'!$A:$A,'SKU Repoprt'!W$1)</f>
        <v>302</v>
      </c>
    </row>
    <row r="633" ht="15.75" customHeight="1">
      <c r="A633" s="10" t="s">
        <v>176</v>
      </c>
      <c r="B633" s="10" t="s">
        <v>176</v>
      </c>
      <c r="C633" s="10"/>
      <c r="D633" s="10" t="s">
        <v>422</v>
      </c>
      <c r="E633" s="10" t="s">
        <v>260</v>
      </c>
      <c r="F633" s="3">
        <f t="shared" si="211"/>
        <v>350</v>
      </c>
      <c r="G633" s="3">
        <f>SUMIFS('Business - Dump'!$K:$K,'Business - Dump'!$D:$D,'SKU Repoprt'!$D633,'Business - Dump'!$A:$A,'SKU Repoprt'!G$1)</f>
        <v>0</v>
      </c>
      <c r="H633" s="3">
        <f>SUMIFS('Business - Dump'!$K:$K,'Business - Dump'!$D:$D,'SKU Repoprt'!$D633,'Business - Dump'!$A:$A,'SKU Repoprt'!H$1)</f>
        <v>0</v>
      </c>
      <c r="I633" s="3">
        <f>SUMIFS('Business - Dump'!$K:$K,'Business - Dump'!$D:$D,'SKU Repoprt'!$D633,'Business - Dump'!$A:$A,'SKU Repoprt'!I$1)</f>
        <v>0</v>
      </c>
      <c r="J633" s="3">
        <f>SUMIFS('Business - Dump'!$K:$K,'Business - Dump'!$D:$D,'SKU Repoprt'!$D633,'Business - Dump'!$A:$A,'SKU Repoprt'!J$1)</f>
        <v>0</v>
      </c>
      <c r="K633" s="3">
        <f>SUMIFS('Business - Dump'!$K:$K,'Business - Dump'!$D:$D,'SKU Repoprt'!$D633,'Business - Dump'!$A:$A,'SKU Repoprt'!K$1)</f>
        <v>0</v>
      </c>
      <c r="L633" s="3">
        <f>SUMIFS('Business - Dump'!$K:$K,'Business - Dump'!$D:$D,'SKU Repoprt'!$D633,'Business - Dump'!$A:$A,'SKU Repoprt'!L$1)</f>
        <v>0</v>
      </c>
      <c r="M633" s="3">
        <f>SUMIFS('Business - Dump'!$K:$K,'Business - Dump'!$D:$D,'SKU Repoprt'!$D633,'Business - Dump'!$A:$A,'SKU Repoprt'!M$1)</f>
        <v>0</v>
      </c>
      <c r="N633" s="3">
        <f>SUMIFS('Business - Dump'!$K:$K,'Business - Dump'!$D:$D,'SKU Repoprt'!$D633,'Business - Dump'!$A:$A,'SKU Repoprt'!N$1)</f>
        <v>0</v>
      </c>
      <c r="O633" s="3">
        <f>SUMIFS('Business - Dump'!$K:$K,'Business - Dump'!$D:$D,'SKU Repoprt'!$D633,'Business - Dump'!$A:$A,'SKU Repoprt'!O$1)</f>
        <v>79</v>
      </c>
      <c r="P633" s="3">
        <f>SUMIFS('Business - Dump'!$K:$K,'Business - Dump'!$D:$D,'SKU Repoprt'!$D633,'Business - Dump'!$A:$A,'SKU Repoprt'!P$1)</f>
        <v>5</v>
      </c>
      <c r="Q633" s="3">
        <f>SUMIFS('Business - Dump'!$K:$K,'Business - Dump'!$D:$D,'SKU Repoprt'!$D633,'Business - Dump'!$A:$A,'SKU Repoprt'!Q$1)</f>
        <v>32</v>
      </c>
      <c r="R633" s="3">
        <f>SUMIFS('Business - Dump'!$K:$K,'Business - Dump'!$D:$D,'SKU Repoprt'!$D633,'Business - Dump'!$A:$A,'SKU Repoprt'!R$1)</f>
        <v>143</v>
      </c>
      <c r="S633" s="3">
        <f>SUMIFS('Business - Dump'!$K:$K,'Business - Dump'!$D:$D,'SKU Repoprt'!$D633,'Business - Dump'!$A:$A,'SKU Repoprt'!S$1)</f>
        <v>91</v>
      </c>
      <c r="T633" s="3">
        <f>SUMIFS('Business - Dump'!$K:$K,'Business - Dump'!$D:$D,'SKU Repoprt'!$D633,'Business - Dump'!$A:$A,'SKU Repoprt'!T$1)</f>
        <v>164</v>
      </c>
      <c r="U633" s="3">
        <f>SUMIFS('Business - Dump'!$K:$K,'Business - Dump'!$D:$D,'SKU Repoprt'!$D633,'Business - Dump'!$A:$A,'SKU Repoprt'!U$1)</f>
        <v>304</v>
      </c>
      <c r="V633" s="3">
        <f>SUMIFS('Business - Dump'!$K:$K,'Business - Dump'!$D:$D,'SKU Repoprt'!$D633,'Business - Dump'!$A:$A,'SKU Repoprt'!V$1)</f>
        <v>242</v>
      </c>
      <c r="W633" s="3">
        <f>SUMIFS('Business - Dump'!$K:$K,'Business - Dump'!$D:$D,'SKU Repoprt'!$D633,'Business - Dump'!$A:$A,'SKU Repoprt'!W$1)</f>
        <v>402</v>
      </c>
    </row>
    <row r="634" ht="15.75" customHeight="1">
      <c r="A634" s="10" t="s">
        <v>176</v>
      </c>
      <c r="B634" s="10" t="s">
        <v>176</v>
      </c>
      <c r="C634" s="10"/>
      <c r="D634" s="10" t="s">
        <v>422</v>
      </c>
      <c r="E634" s="10" t="s">
        <v>264</v>
      </c>
      <c r="F634" s="3">
        <f t="shared" si="211"/>
        <v>4</v>
      </c>
      <c r="G634" s="3">
        <f>SUMIFS('Business - Dump'!$Q:$Q,'Business - Dump'!$D:$D,'SKU Repoprt'!$D634,'Business - Dump'!$A:$A,'SKU Repoprt'!G$1)</f>
        <v>0</v>
      </c>
      <c r="H634" s="3">
        <f>SUMIFS('Business - Dump'!$Q:$Q,'Business - Dump'!$D:$D,'SKU Repoprt'!$D634,'Business - Dump'!$A:$A,'SKU Repoprt'!H$1)</f>
        <v>0</v>
      </c>
      <c r="I634" s="3">
        <f>SUMIFS('Business - Dump'!$Q:$Q,'Business - Dump'!$D:$D,'SKU Repoprt'!$D634,'Business - Dump'!$A:$A,'SKU Repoprt'!I$1)</f>
        <v>0</v>
      </c>
      <c r="J634" s="3">
        <f>SUMIFS('Business - Dump'!$Q:$Q,'Business - Dump'!$D:$D,'SKU Repoprt'!$D634,'Business - Dump'!$A:$A,'SKU Repoprt'!J$1)</f>
        <v>0</v>
      </c>
      <c r="K634" s="3">
        <f>SUMIFS('Business - Dump'!$Q:$Q,'Business - Dump'!$D:$D,'SKU Repoprt'!$D634,'Business - Dump'!$A:$A,'SKU Repoprt'!K$1)</f>
        <v>0</v>
      </c>
      <c r="L634" s="3">
        <f>SUMIFS('Business - Dump'!$Q:$Q,'Business - Dump'!$D:$D,'SKU Repoprt'!$D634,'Business - Dump'!$A:$A,'SKU Repoprt'!L$1)</f>
        <v>0</v>
      </c>
      <c r="M634" s="3">
        <f>SUMIFS('Business - Dump'!$Q:$Q,'Business - Dump'!$D:$D,'SKU Repoprt'!$D634,'Business - Dump'!$A:$A,'SKU Repoprt'!M$1)</f>
        <v>0</v>
      </c>
      <c r="N634" s="3">
        <f>SUMIFS('Business - Dump'!$Q:$Q,'Business - Dump'!$D:$D,'SKU Repoprt'!$D634,'Business - Dump'!$A:$A,'SKU Repoprt'!N$1)</f>
        <v>0</v>
      </c>
      <c r="O634" s="3">
        <f>SUMIFS('Business - Dump'!$Q:$Q,'Business - Dump'!$D:$D,'SKU Repoprt'!$D634,'Business - Dump'!$A:$A,'SKU Repoprt'!O$1)</f>
        <v>1</v>
      </c>
      <c r="P634" s="3">
        <f>SUMIFS('Business - Dump'!$Q:$Q,'Business - Dump'!$D:$D,'SKU Repoprt'!$D634,'Business - Dump'!$A:$A,'SKU Repoprt'!P$1)</f>
        <v>0</v>
      </c>
      <c r="Q634" s="3">
        <f>SUMIFS('Business - Dump'!$Q:$Q,'Business - Dump'!$D:$D,'SKU Repoprt'!$D634,'Business - Dump'!$A:$A,'SKU Repoprt'!Q$1)</f>
        <v>0</v>
      </c>
      <c r="R634" s="3">
        <f>SUMIFS('Business - Dump'!$Q:$Q,'Business - Dump'!$D:$D,'SKU Repoprt'!$D634,'Business - Dump'!$A:$A,'SKU Repoprt'!R$1)</f>
        <v>0</v>
      </c>
      <c r="S634" s="3">
        <f>SUMIFS('Business - Dump'!$Q:$Q,'Business - Dump'!$D:$D,'SKU Repoprt'!$D634,'Business - Dump'!$A:$A,'SKU Repoprt'!S$1)</f>
        <v>3</v>
      </c>
      <c r="T634" s="3">
        <f>SUMIFS('Business - Dump'!$Q:$Q,'Business - Dump'!$D:$D,'SKU Repoprt'!$D634,'Business - Dump'!$A:$A,'SKU Repoprt'!T$1)</f>
        <v>3</v>
      </c>
      <c r="U634" s="3">
        <f>SUMIFS('Business - Dump'!$Q:$Q,'Business - Dump'!$D:$D,'SKU Repoprt'!$D634,'Business - Dump'!$A:$A,'SKU Repoprt'!U$1)</f>
        <v>3</v>
      </c>
      <c r="V634" s="3">
        <f>SUMIFS('Business - Dump'!$Q:$Q,'Business - Dump'!$D:$D,'SKU Repoprt'!$D634,'Business - Dump'!$A:$A,'SKU Repoprt'!V$1)</f>
        <v>1</v>
      </c>
      <c r="W634" s="3">
        <f>SUMIFS('Business - Dump'!$Q:$Q,'Business - Dump'!$D:$D,'SKU Repoprt'!$D634,'Business - Dump'!$A:$A,'SKU Repoprt'!W$1)</f>
        <v>4</v>
      </c>
    </row>
    <row r="635" ht="15.75" customHeight="1">
      <c r="A635" s="10" t="s">
        <v>176</v>
      </c>
      <c r="B635" s="10" t="s">
        <v>176</v>
      </c>
      <c r="C635" s="10"/>
      <c r="D635" s="10" t="s">
        <v>422</v>
      </c>
      <c r="E635" s="10" t="s">
        <v>268</v>
      </c>
      <c r="F635" s="3">
        <f t="shared" si="211"/>
        <v>4</v>
      </c>
      <c r="G635" s="3">
        <f>SUMIFS('Business - Dump'!$W:$W,'Business - Dump'!$D:$D,'SKU Repoprt'!$D635,'Business - Dump'!$A:$A,'SKU Repoprt'!G$1)</f>
        <v>0</v>
      </c>
      <c r="H635" s="3">
        <f>SUMIFS('Business - Dump'!$W:$W,'Business - Dump'!$D:$D,'SKU Repoprt'!$D635,'Business - Dump'!$A:$A,'SKU Repoprt'!H$1)</f>
        <v>0</v>
      </c>
      <c r="I635" s="3">
        <f>SUMIFS('Business - Dump'!$W:$W,'Business - Dump'!$D:$D,'SKU Repoprt'!$D635,'Business - Dump'!$A:$A,'SKU Repoprt'!I$1)</f>
        <v>0</v>
      </c>
      <c r="J635" s="3">
        <f>SUMIFS('Business - Dump'!$W:$W,'Business - Dump'!$D:$D,'SKU Repoprt'!$D635,'Business - Dump'!$A:$A,'SKU Repoprt'!J$1)</f>
        <v>0</v>
      </c>
      <c r="K635" s="3">
        <f>SUMIFS('Business - Dump'!$W:$W,'Business - Dump'!$D:$D,'SKU Repoprt'!$D635,'Business - Dump'!$A:$A,'SKU Repoprt'!K$1)</f>
        <v>0</v>
      </c>
      <c r="L635" s="3">
        <f>SUMIFS('Business - Dump'!$W:$W,'Business - Dump'!$D:$D,'SKU Repoprt'!$D635,'Business - Dump'!$A:$A,'SKU Repoprt'!L$1)</f>
        <v>0</v>
      </c>
      <c r="M635" s="3">
        <f>SUMIFS('Business - Dump'!$W:$W,'Business - Dump'!$D:$D,'SKU Repoprt'!$D635,'Business - Dump'!$A:$A,'SKU Repoprt'!M$1)</f>
        <v>0</v>
      </c>
      <c r="N635" s="3">
        <f>SUMIFS('Business - Dump'!$W:$W,'Business - Dump'!$D:$D,'SKU Repoprt'!$D635,'Business - Dump'!$A:$A,'SKU Repoprt'!N$1)</f>
        <v>0</v>
      </c>
      <c r="O635" s="3">
        <f>SUMIFS('Business - Dump'!$W:$W,'Business - Dump'!$D:$D,'SKU Repoprt'!$D635,'Business - Dump'!$A:$A,'SKU Repoprt'!O$1)</f>
        <v>1</v>
      </c>
      <c r="P635" s="3">
        <f>SUMIFS('Business - Dump'!$W:$W,'Business - Dump'!$D:$D,'SKU Repoprt'!$D635,'Business - Dump'!$A:$A,'SKU Repoprt'!P$1)</f>
        <v>0</v>
      </c>
      <c r="Q635" s="3">
        <f>SUMIFS('Business - Dump'!$W:$W,'Business - Dump'!$D:$D,'SKU Repoprt'!$D635,'Business - Dump'!$A:$A,'SKU Repoprt'!Q$1)</f>
        <v>0</v>
      </c>
      <c r="R635" s="3">
        <f>SUMIFS('Business - Dump'!$W:$W,'Business - Dump'!$D:$D,'SKU Repoprt'!$D635,'Business - Dump'!$A:$A,'SKU Repoprt'!R$1)</f>
        <v>0</v>
      </c>
      <c r="S635" s="3">
        <f>SUMIFS('Business - Dump'!$W:$W,'Business - Dump'!$D:$D,'SKU Repoprt'!$D635,'Business - Dump'!$A:$A,'SKU Repoprt'!S$1)</f>
        <v>3</v>
      </c>
      <c r="T635" s="3">
        <f>SUMIFS('Business - Dump'!$W:$W,'Business - Dump'!$D:$D,'SKU Repoprt'!$D635,'Business - Dump'!$A:$A,'SKU Repoprt'!T$1)</f>
        <v>3</v>
      </c>
      <c r="U635" s="3">
        <f>SUMIFS('Business - Dump'!$W:$W,'Business - Dump'!$D:$D,'SKU Repoprt'!$D635,'Business - Dump'!$A:$A,'SKU Repoprt'!U$1)</f>
        <v>3</v>
      </c>
      <c r="V635" s="3">
        <f>SUMIFS('Business - Dump'!$W:$W,'Business - Dump'!$D:$D,'SKU Repoprt'!$D635,'Business - Dump'!$A:$A,'SKU Repoprt'!V$1)</f>
        <v>1</v>
      </c>
      <c r="W635" s="3">
        <f>SUMIFS('Business - Dump'!$W:$W,'Business - Dump'!$D:$D,'SKU Repoprt'!$D635,'Business - Dump'!$A:$A,'SKU Repoprt'!W$1)</f>
        <v>4</v>
      </c>
    </row>
    <row r="636" ht="15.75" customHeight="1">
      <c r="A636" s="10" t="s">
        <v>176</v>
      </c>
      <c r="B636" s="10" t="s">
        <v>176</v>
      </c>
      <c r="C636" s="10"/>
      <c r="D636" s="10" t="s">
        <v>422</v>
      </c>
      <c r="E636" s="10" t="s">
        <v>26</v>
      </c>
      <c r="F636" s="16">
        <f t="shared" si="211"/>
        <v>89252.76</v>
      </c>
      <c r="G636" s="16">
        <f>SUMIFS('Business - Dump'!$U:$U,'Business - Dump'!$D:$D,'SKU Repoprt'!$D636,'Business - Dump'!$A:$A,'SKU Repoprt'!G$1)</f>
        <v>0</v>
      </c>
      <c r="H636" s="16">
        <f>SUMIFS('Business - Dump'!$U:$U,'Business - Dump'!$D:$D,'SKU Repoprt'!$D636,'Business - Dump'!$A:$A,'SKU Repoprt'!H$1)</f>
        <v>0</v>
      </c>
      <c r="I636" s="16">
        <f>SUMIFS('Business - Dump'!$U:$U,'Business - Dump'!$D:$D,'SKU Repoprt'!$D636,'Business - Dump'!$A:$A,'SKU Repoprt'!I$1)</f>
        <v>0</v>
      </c>
      <c r="J636" s="16">
        <f>SUMIFS('Business - Dump'!$U:$U,'Business - Dump'!$D:$D,'SKU Repoprt'!$D636,'Business - Dump'!$A:$A,'SKU Repoprt'!J$1)</f>
        <v>0</v>
      </c>
      <c r="K636" s="16">
        <f>SUMIFS('Business - Dump'!$U:$U,'Business - Dump'!$D:$D,'SKU Repoprt'!$D636,'Business - Dump'!$A:$A,'SKU Repoprt'!K$1)</f>
        <v>0</v>
      </c>
      <c r="L636" s="16">
        <f>SUMIFS('Business - Dump'!$U:$U,'Business - Dump'!$D:$D,'SKU Repoprt'!$D636,'Business - Dump'!$A:$A,'SKU Repoprt'!L$1)</f>
        <v>0</v>
      </c>
      <c r="M636" s="16">
        <f>SUMIFS('Business - Dump'!$U:$U,'Business - Dump'!$D:$D,'SKU Repoprt'!$D636,'Business - Dump'!$A:$A,'SKU Repoprt'!M$1)</f>
        <v>0</v>
      </c>
      <c r="N636" s="16">
        <f>SUMIFS('Business - Dump'!$U:$U,'Business - Dump'!$D:$D,'SKU Repoprt'!$D636,'Business - Dump'!$A:$A,'SKU Repoprt'!N$1)</f>
        <v>0</v>
      </c>
      <c r="O636" s="16">
        <f>SUMIFS('Business - Dump'!$U:$U,'Business - Dump'!$D:$D,'SKU Repoprt'!$D636,'Business - Dump'!$A:$A,'SKU Repoprt'!O$1)</f>
        <v>23000</v>
      </c>
      <c r="P636" s="16">
        <f>SUMIFS('Business - Dump'!$U:$U,'Business - Dump'!$D:$D,'SKU Repoprt'!$D636,'Business - Dump'!$A:$A,'SKU Repoprt'!P$1)</f>
        <v>0</v>
      </c>
      <c r="Q636" s="16">
        <f>SUMIFS('Business - Dump'!$U:$U,'Business - Dump'!$D:$D,'SKU Repoprt'!$D636,'Business - Dump'!$A:$A,'SKU Repoprt'!Q$1)</f>
        <v>0</v>
      </c>
      <c r="R636" s="16">
        <f>SUMIFS('Business - Dump'!$U:$U,'Business - Dump'!$D:$D,'SKU Repoprt'!$D636,'Business - Dump'!$A:$A,'SKU Repoprt'!R$1)</f>
        <v>0</v>
      </c>
      <c r="S636" s="16">
        <f>SUMIFS('Business - Dump'!$U:$U,'Business - Dump'!$D:$D,'SKU Repoprt'!$D636,'Business - Dump'!$A:$A,'SKU Repoprt'!S$1)</f>
        <v>66252.76</v>
      </c>
      <c r="T636" s="16">
        <f>SUMIFS('Business - Dump'!$U:$U,'Business - Dump'!$D:$D,'SKU Repoprt'!$D636,'Business - Dump'!$A:$A,'SKU Repoprt'!T$1)</f>
        <v>66164.28</v>
      </c>
      <c r="U636" s="16">
        <f>SUMIFS('Business - Dump'!$U:$U,'Business - Dump'!$D:$D,'SKU Repoprt'!$D636,'Business - Dump'!$A:$A,'SKU Repoprt'!U$1)</f>
        <v>69968.24</v>
      </c>
      <c r="V636" s="16">
        <f>SUMIFS('Business - Dump'!$U:$U,'Business - Dump'!$D:$D,'SKU Repoprt'!$D636,'Business - Dump'!$A:$A,'SKU Repoprt'!V$1)</f>
        <v>24510</v>
      </c>
      <c r="W636" s="16">
        <f>SUMIFS('Business - Dump'!$U:$U,'Business - Dump'!$D:$D,'SKU Repoprt'!$D636,'Business - Dump'!$A:$A,'SKU Repoprt'!W$1)</f>
        <v>93594.24</v>
      </c>
    </row>
    <row r="637" ht="15.75" customHeight="1">
      <c r="A637" s="10" t="s">
        <v>176</v>
      </c>
      <c r="B637" s="10" t="s">
        <v>176</v>
      </c>
      <c r="C637" s="10"/>
      <c r="D637" s="10" t="s">
        <v>422</v>
      </c>
      <c r="E637" s="10" t="s">
        <v>29</v>
      </c>
      <c r="F637" s="17">
        <v>0.027042857142857143</v>
      </c>
      <c r="G637" s="17">
        <f t="shared" ref="G637:W637" si="212">IFERROR(G635/G632,0)</f>
        <v>0</v>
      </c>
      <c r="H637" s="17">
        <f t="shared" si="212"/>
        <v>0</v>
      </c>
      <c r="I637" s="17">
        <f t="shared" si="212"/>
        <v>0</v>
      </c>
      <c r="J637" s="17">
        <f t="shared" si="212"/>
        <v>0</v>
      </c>
      <c r="K637" s="17">
        <f t="shared" si="212"/>
        <v>0</v>
      </c>
      <c r="L637" s="17">
        <f t="shared" si="212"/>
        <v>0</v>
      </c>
      <c r="M637" s="17">
        <f t="shared" si="212"/>
        <v>0</v>
      </c>
      <c r="N637" s="17">
        <f t="shared" si="212"/>
        <v>0</v>
      </c>
      <c r="O637" s="17">
        <f t="shared" si="212"/>
        <v>0.01694915254</v>
      </c>
      <c r="P637" s="17">
        <f t="shared" si="212"/>
        <v>0</v>
      </c>
      <c r="Q637" s="17">
        <f t="shared" si="212"/>
        <v>0</v>
      </c>
      <c r="R637" s="17">
        <f t="shared" si="212"/>
        <v>0</v>
      </c>
      <c r="S637" s="17">
        <f t="shared" si="212"/>
        <v>0.04285714286</v>
      </c>
      <c r="T637" s="17">
        <f t="shared" si="212"/>
        <v>0.02941176471</v>
      </c>
      <c r="U637" s="17">
        <f t="shared" si="212"/>
        <v>0.01604278075</v>
      </c>
      <c r="V637" s="17">
        <f t="shared" si="212"/>
        <v>0.005555555556</v>
      </c>
      <c r="W637" s="17">
        <f t="shared" si="212"/>
        <v>0.01324503311</v>
      </c>
    </row>
    <row r="638" ht="15.75" customHeight="1">
      <c r="A638" s="10" t="s">
        <v>1380</v>
      </c>
      <c r="B638" s="10" t="s">
        <v>230</v>
      </c>
      <c r="C638" s="10"/>
      <c r="D638" s="10" t="s">
        <v>396</v>
      </c>
      <c r="E638" s="10" t="s">
        <v>257</v>
      </c>
      <c r="F638" s="3">
        <f t="shared" ref="F638:F642" si="213">SUM(G638:S638)</f>
        <v>7362</v>
      </c>
      <c r="G638" s="3">
        <f>SUMIFS('Business - Dump'!$G:$G,'Business - Dump'!$D:$D,'SKU Repoprt'!$D638,'Business - Dump'!$A:$A,'SKU Repoprt'!G$1)</f>
        <v>0</v>
      </c>
      <c r="H638" s="3">
        <f>SUMIFS('Business - Dump'!$G:$G,'Business - Dump'!$D:$D,'SKU Repoprt'!$D638,'Business - Dump'!$A:$A,'SKU Repoprt'!H$1)</f>
        <v>0</v>
      </c>
      <c r="I638" s="3">
        <f>SUMIFS('Business - Dump'!$G:$G,'Business - Dump'!$D:$D,'SKU Repoprt'!$D638,'Business - Dump'!$A:$A,'SKU Repoprt'!I$1)</f>
        <v>0</v>
      </c>
      <c r="J638" s="3">
        <f>SUMIFS('Business - Dump'!$G:$G,'Business - Dump'!$D:$D,'SKU Repoprt'!$D638,'Business - Dump'!$A:$A,'SKU Repoprt'!J$1)</f>
        <v>0</v>
      </c>
      <c r="K638" s="3">
        <f>SUMIFS('Business - Dump'!$G:$G,'Business - Dump'!$D:$D,'SKU Repoprt'!$D638,'Business - Dump'!$A:$A,'SKU Repoprt'!K$1)</f>
        <v>208</v>
      </c>
      <c r="L638" s="3">
        <f>SUMIFS('Business - Dump'!$G:$G,'Business - Dump'!$D:$D,'SKU Repoprt'!$D638,'Business - Dump'!$A:$A,'SKU Repoprt'!L$1)</f>
        <v>602</v>
      </c>
      <c r="M638" s="3">
        <f>SUMIFS('Business - Dump'!$G:$G,'Business - Dump'!$D:$D,'SKU Repoprt'!$D638,'Business - Dump'!$A:$A,'SKU Repoprt'!M$1)</f>
        <v>1059</v>
      </c>
      <c r="N638" s="3">
        <f>SUMIFS('Business - Dump'!$G:$G,'Business - Dump'!$D:$D,'SKU Repoprt'!$D638,'Business - Dump'!$A:$A,'SKU Repoprt'!N$1)</f>
        <v>296</v>
      </c>
      <c r="O638" s="3">
        <f>SUMIFS('Business - Dump'!$G:$G,'Business - Dump'!$D:$D,'SKU Repoprt'!$D638,'Business - Dump'!$A:$A,'SKU Repoprt'!O$1)</f>
        <v>549</v>
      </c>
      <c r="P638" s="3">
        <f>SUMIFS('Business - Dump'!$G:$G,'Business - Dump'!$D:$D,'SKU Repoprt'!$D638,'Business - Dump'!$A:$A,'SKU Repoprt'!P$1)</f>
        <v>471</v>
      </c>
      <c r="Q638" s="3">
        <f>SUMIFS('Business - Dump'!$G:$G,'Business - Dump'!$D:$D,'SKU Repoprt'!$D638,'Business - Dump'!$A:$A,'SKU Repoprt'!Q$1)</f>
        <v>1488</v>
      </c>
      <c r="R638" s="3">
        <f>SUMIFS('Business - Dump'!$G:$G,'Business - Dump'!$D:$D,'SKU Repoprt'!$D638,'Business - Dump'!$A:$A,'SKU Repoprt'!R$1)</f>
        <v>1265</v>
      </c>
      <c r="S638" s="3">
        <f>SUMIFS('Business - Dump'!$G:$G,'Business - Dump'!$D:$D,'SKU Repoprt'!$D638,'Business - Dump'!$A:$A,'SKU Repoprt'!S$1)</f>
        <v>1424</v>
      </c>
      <c r="T638" s="3">
        <f>SUMIFS('Business - Dump'!$G:$G,'Business - Dump'!$D:$D,'SKU Repoprt'!$D638,'Business - Dump'!$A:$A,'SKU Repoprt'!T$1)</f>
        <v>549</v>
      </c>
      <c r="U638" s="3">
        <f>SUMIFS('Business - Dump'!$G:$G,'Business - Dump'!$D:$D,'SKU Repoprt'!$D638,'Business - Dump'!$A:$A,'SKU Repoprt'!U$1)</f>
        <v>1384</v>
      </c>
      <c r="V638" s="3">
        <f>SUMIFS('Business - Dump'!$G:$G,'Business - Dump'!$D:$D,'SKU Repoprt'!$D638,'Business - Dump'!$A:$A,'SKU Repoprt'!V$1)</f>
        <v>549</v>
      </c>
      <c r="W638" s="3">
        <f>SUMIFS('Business - Dump'!$G:$G,'Business - Dump'!$D:$D,'SKU Repoprt'!$D638,'Business - Dump'!$A:$A,'SKU Repoprt'!W$1)</f>
        <v>664</v>
      </c>
    </row>
    <row r="639" ht="15.75" customHeight="1">
      <c r="A639" s="10" t="s">
        <v>1380</v>
      </c>
      <c r="B639" s="10" t="s">
        <v>230</v>
      </c>
      <c r="C639" s="10"/>
      <c r="D639" s="10" t="s">
        <v>396</v>
      </c>
      <c r="E639" s="10" t="s">
        <v>260</v>
      </c>
      <c r="F639" s="3">
        <f t="shared" si="213"/>
        <v>10045</v>
      </c>
      <c r="G639" s="3">
        <f>SUMIFS('Business - Dump'!$K:$K,'Business - Dump'!$D:$D,'SKU Repoprt'!$D639,'Business - Dump'!$A:$A,'SKU Repoprt'!G$1)</f>
        <v>0</v>
      </c>
      <c r="H639" s="3">
        <f>SUMIFS('Business - Dump'!$K:$K,'Business - Dump'!$D:$D,'SKU Repoprt'!$D639,'Business - Dump'!$A:$A,'SKU Repoprt'!H$1)</f>
        <v>0</v>
      </c>
      <c r="I639" s="3">
        <f>SUMIFS('Business - Dump'!$K:$K,'Business - Dump'!$D:$D,'SKU Repoprt'!$D639,'Business - Dump'!$A:$A,'SKU Repoprt'!I$1)</f>
        <v>0</v>
      </c>
      <c r="J639" s="3">
        <f>SUMIFS('Business - Dump'!$K:$K,'Business - Dump'!$D:$D,'SKU Repoprt'!$D639,'Business - Dump'!$A:$A,'SKU Repoprt'!J$1)</f>
        <v>0</v>
      </c>
      <c r="K639" s="3">
        <f>SUMIFS('Business - Dump'!$K:$K,'Business - Dump'!$D:$D,'SKU Repoprt'!$D639,'Business - Dump'!$A:$A,'SKU Repoprt'!K$1)</f>
        <v>273</v>
      </c>
      <c r="L639" s="3">
        <f>SUMIFS('Business - Dump'!$K:$K,'Business - Dump'!$D:$D,'SKU Repoprt'!$D639,'Business - Dump'!$A:$A,'SKU Repoprt'!L$1)</f>
        <v>764</v>
      </c>
      <c r="M639" s="3">
        <f>SUMIFS('Business - Dump'!$K:$K,'Business - Dump'!$D:$D,'SKU Repoprt'!$D639,'Business - Dump'!$A:$A,'SKU Repoprt'!M$1)</f>
        <v>1726</v>
      </c>
      <c r="N639" s="3">
        <f>SUMIFS('Business - Dump'!$K:$K,'Business - Dump'!$D:$D,'SKU Repoprt'!$D639,'Business - Dump'!$A:$A,'SKU Repoprt'!N$1)</f>
        <v>392</v>
      </c>
      <c r="O639" s="3">
        <f>SUMIFS('Business - Dump'!$K:$K,'Business - Dump'!$D:$D,'SKU Repoprt'!$D639,'Business - Dump'!$A:$A,'SKU Repoprt'!O$1)</f>
        <v>784</v>
      </c>
      <c r="P639" s="3">
        <f>SUMIFS('Business - Dump'!$K:$K,'Business - Dump'!$D:$D,'SKU Repoprt'!$D639,'Business - Dump'!$A:$A,'SKU Repoprt'!P$1)</f>
        <v>562</v>
      </c>
      <c r="Q639" s="3">
        <f>SUMIFS('Business - Dump'!$K:$K,'Business - Dump'!$D:$D,'SKU Repoprt'!$D639,'Business - Dump'!$A:$A,'SKU Repoprt'!Q$1)</f>
        <v>1989</v>
      </c>
      <c r="R639" s="3">
        <f>SUMIFS('Business - Dump'!$K:$K,'Business - Dump'!$D:$D,'SKU Repoprt'!$D639,'Business - Dump'!$A:$A,'SKU Repoprt'!R$1)</f>
        <v>1584</v>
      </c>
      <c r="S639" s="3">
        <f>SUMIFS('Business - Dump'!$K:$K,'Business - Dump'!$D:$D,'SKU Repoprt'!$D639,'Business - Dump'!$A:$A,'SKU Repoprt'!S$1)</f>
        <v>1971</v>
      </c>
      <c r="T639" s="3">
        <f>SUMIFS('Business - Dump'!$K:$K,'Business - Dump'!$D:$D,'SKU Repoprt'!$D639,'Business - Dump'!$A:$A,'SKU Repoprt'!T$1)</f>
        <v>747</v>
      </c>
      <c r="U639" s="3">
        <f>SUMIFS('Business - Dump'!$K:$K,'Business - Dump'!$D:$D,'SKU Repoprt'!$D639,'Business - Dump'!$A:$A,'SKU Repoprt'!U$1)</f>
        <v>1881</v>
      </c>
      <c r="V639" s="3">
        <f>SUMIFS('Business - Dump'!$K:$K,'Business - Dump'!$D:$D,'SKU Repoprt'!$D639,'Business - Dump'!$A:$A,'SKU Repoprt'!V$1)</f>
        <v>802</v>
      </c>
      <c r="W639" s="3">
        <f>SUMIFS('Business - Dump'!$K:$K,'Business - Dump'!$D:$D,'SKU Repoprt'!$D639,'Business - Dump'!$A:$A,'SKU Repoprt'!W$1)</f>
        <v>956</v>
      </c>
    </row>
    <row r="640" ht="15.75" customHeight="1">
      <c r="A640" s="10" t="s">
        <v>1380</v>
      </c>
      <c r="B640" s="10" t="s">
        <v>230</v>
      </c>
      <c r="C640" s="10"/>
      <c r="D640" s="10" t="s">
        <v>396</v>
      </c>
      <c r="E640" s="10" t="s">
        <v>264</v>
      </c>
      <c r="F640" s="3">
        <f t="shared" si="213"/>
        <v>58</v>
      </c>
      <c r="G640" s="3">
        <f>SUMIFS('Business - Dump'!$Q:$Q,'Business - Dump'!$D:$D,'SKU Repoprt'!$D640,'Business - Dump'!$A:$A,'SKU Repoprt'!G$1)</f>
        <v>0</v>
      </c>
      <c r="H640" s="3">
        <f>SUMIFS('Business - Dump'!$Q:$Q,'Business - Dump'!$D:$D,'SKU Repoprt'!$D640,'Business - Dump'!$A:$A,'SKU Repoprt'!H$1)</f>
        <v>0</v>
      </c>
      <c r="I640" s="3">
        <f>SUMIFS('Business - Dump'!$Q:$Q,'Business - Dump'!$D:$D,'SKU Repoprt'!$D640,'Business - Dump'!$A:$A,'SKU Repoprt'!I$1)</f>
        <v>0</v>
      </c>
      <c r="J640" s="3">
        <f>SUMIFS('Business - Dump'!$Q:$Q,'Business - Dump'!$D:$D,'SKU Repoprt'!$D640,'Business - Dump'!$A:$A,'SKU Repoprt'!J$1)</f>
        <v>0</v>
      </c>
      <c r="K640" s="3">
        <f>SUMIFS('Business - Dump'!$Q:$Q,'Business - Dump'!$D:$D,'SKU Repoprt'!$D640,'Business - Dump'!$A:$A,'SKU Repoprt'!K$1)</f>
        <v>1</v>
      </c>
      <c r="L640" s="3">
        <f>SUMIFS('Business - Dump'!$Q:$Q,'Business - Dump'!$D:$D,'SKU Repoprt'!$D640,'Business - Dump'!$A:$A,'SKU Repoprt'!L$1)</f>
        <v>3</v>
      </c>
      <c r="M640" s="3">
        <f>SUMIFS('Business - Dump'!$Q:$Q,'Business - Dump'!$D:$D,'SKU Repoprt'!$D640,'Business - Dump'!$A:$A,'SKU Repoprt'!M$1)</f>
        <v>15</v>
      </c>
      <c r="N640" s="3">
        <f>SUMIFS('Business - Dump'!$Q:$Q,'Business - Dump'!$D:$D,'SKU Repoprt'!$D640,'Business - Dump'!$A:$A,'SKU Repoprt'!N$1)</f>
        <v>4</v>
      </c>
      <c r="O640" s="3">
        <f>SUMIFS('Business - Dump'!$Q:$Q,'Business - Dump'!$D:$D,'SKU Repoprt'!$D640,'Business - Dump'!$A:$A,'SKU Repoprt'!O$1)</f>
        <v>5</v>
      </c>
      <c r="P640" s="3">
        <f>SUMIFS('Business - Dump'!$Q:$Q,'Business - Dump'!$D:$D,'SKU Repoprt'!$D640,'Business - Dump'!$A:$A,'SKU Repoprt'!P$1)</f>
        <v>3</v>
      </c>
      <c r="Q640" s="3">
        <f>SUMIFS('Business - Dump'!$Q:$Q,'Business - Dump'!$D:$D,'SKU Repoprt'!$D640,'Business - Dump'!$A:$A,'SKU Repoprt'!Q$1)</f>
        <v>16</v>
      </c>
      <c r="R640" s="3">
        <f>SUMIFS('Business - Dump'!$Q:$Q,'Business - Dump'!$D:$D,'SKU Repoprt'!$D640,'Business - Dump'!$A:$A,'SKU Repoprt'!R$1)</f>
        <v>6</v>
      </c>
      <c r="S640" s="3">
        <f>SUMIFS('Business - Dump'!$Q:$Q,'Business - Dump'!$D:$D,'SKU Repoprt'!$D640,'Business - Dump'!$A:$A,'SKU Repoprt'!S$1)</f>
        <v>5</v>
      </c>
      <c r="T640" s="3">
        <f>SUMIFS('Business - Dump'!$Q:$Q,'Business - Dump'!$D:$D,'SKU Repoprt'!$D640,'Business - Dump'!$A:$A,'SKU Repoprt'!T$1)</f>
        <v>8</v>
      </c>
      <c r="U640" s="3">
        <f>SUMIFS('Business - Dump'!$Q:$Q,'Business - Dump'!$D:$D,'SKU Repoprt'!$D640,'Business - Dump'!$A:$A,'SKU Repoprt'!U$1)</f>
        <v>8</v>
      </c>
      <c r="V640" s="3">
        <f>SUMIFS('Business - Dump'!$Q:$Q,'Business - Dump'!$D:$D,'SKU Repoprt'!$D640,'Business - Dump'!$A:$A,'SKU Repoprt'!V$1)</f>
        <v>2</v>
      </c>
      <c r="W640" s="3">
        <f>SUMIFS('Business - Dump'!$Q:$Q,'Business - Dump'!$D:$D,'SKU Repoprt'!$D640,'Business - Dump'!$A:$A,'SKU Repoprt'!W$1)</f>
        <v>9</v>
      </c>
    </row>
    <row r="641" ht="15.75" customHeight="1">
      <c r="A641" s="10" t="s">
        <v>1380</v>
      </c>
      <c r="B641" s="10" t="s">
        <v>230</v>
      </c>
      <c r="C641" s="10"/>
      <c r="D641" s="10" t="s">
        <v>396</v>
      </c>
      <c r="E641" s="10" t="s">
        <v>268</v>
      </c>
      <c r="F641" s="3">
        <f t="shared" si="213"/>
        <v>58</v>
      </c>
      <c r="G641" s="3">
        <f>SUMIFS('Business - Dump'!$W:$W,'Business - Dump'!$D:$D,'SKU Repoprt'!$D641,'Business - Dump'!$A:$A,'SKU Repoprt'!G$1)</f>
        <v>0</v>
      </c>
      <c r="H641" s="3">
        <f>SUMIFS('Business - Dump'!$W:$W,'Business - Dump'!$D:$D,'SKU Repoprt'!$D641,'Business - Dump'!$A:$A,'SKU Repoprt'!H$1)</f>
        <v>0</v>
      </c>
      <c r="I641" s="3">
        <f>SUMIFS('Business - Dump'!$W:$W,'Business - Dump'!$D:$D,'SKU Repoprt'!$D641,'Business - Dump'!$A:$A,'SKU Repoprt'!I$1)</f>
        <v>0</v>
      </c>
      <c r="J641" s="3">
        <f>SUMIFS('Business - Dump'!$W:$W,'Business - Dump'!$D:$D,'SKU Repoprt'!$D641,'Business - Dump'!$A:$A,'SKU Repoprt'!J$1)</f>
        <v>0</v>
      </c>
      <c r="K641" s="3">
        <f>SUMIFS('Business - Dump'!$W:$W,'Business - Dump'!$D:$D,'SKU Repoprt'!$D641,'Business - Dump'!$A:$A,'SKU Repoprt'!K$1)</f>
        <v>1</v>
      </c>
      <c r="L641" s="3">
        <f>SUMIFS('Business - Dump'!$W:$W,'Business - Dump'!$D:$D,'SKU Repoprt'!$D641,'Business - Dump'!$A:$A,'SKU Repoprt'!L$1)</f>
        <v>3</v>
      </c>
      <c r="M641" s="3">
        <f>SUMIFS('Business - Dump'!$W:$W,'Business - Dump'!$D:$D,'SKU Repoprt'!$D641,'Business - Dump'!$A:$A,'SKU Repoprt'!M$1)</f>
        <v>15</v>
      </c>
      <c r="N641" s="3">
        <f>SUMIFS('Business - Dump'!$W:$W,'Business - Dump'!$D:$D,'SKU Repoprt'!$D641,'Business - Dump'!$A:$A,'SKU Repoprt'!N$1)</f>
        <v>4</v>
      </c>
      <c r="O641" s="3">
        <f>SUMIFS('Business - Dump'!$W:$W,'Business - Dump'!$D:$D,'SKU Repoprt'!$D641,'Business - Dump'!$A:$A,'SKU Repoprt'!O$1)</f>
        <v>5</v>
      </c>
      <c r="P641" s="3">
        <f>SUMIFS('Business - Dump'!$W:$W,'Business - Dump'!$D:$D,'SKU Repoprt'!$D641,'Business - Dump'!$A:$A,'SKU Repoprt'!P$1)</f>
        <v>3</v>
      </c>
      <c r="Q641" s="3">
        <f>SUMIFS('Business - Dump'!$W:$W,'Business - Dump'!$D:$D,'SKU Repoprt'!$D641,'Business - Dump'!$A:$A,'SKU Repoprt'!Q$1)</f>
        <v>16</v>
      </c>
      <c r="R641" s="3">
        <f>SUMIFS('Business - Dump'!$W:$W,'Business - Dump'!$D:$D,'SKU Repoprt'!$D641,'Business - Dump'!$A:$A,'SKU Repoprt'!R$1)</f>
        <v>6</v>
      </c>
      <c r="S641" s="3">
        <f>SUMIFS('Business - Dump'!$W:$W,'Business - Dump'!$D:$D,'SKU Repoprt'!$D641,'Business - Dump'!$A:$A,'SKU Repoprt'!S$1)</f>
        <v>5</v>
      </c>
      <c r="T641" s="3">
        <f>SUMIFS('Business - Dump'!$W:$W,'Business - Dump'!$D:$D,'SKU Repoprt'!$D641,'Business - Dump'!$A:$A,'SKU Repoprt'!T$1)</f>
        <v>8</v>
      </c>
      <c r="U641" s="3">
        <f>SUMIFS('Business - Dump'!$W:$W,'Business - Dump'!$D:$D,'SKU Repoprt'!$D641,'Business - Dump'!$A:$A,'SKU Repoprt'!U$1)</f>
        <v>8</v>
      </c>
      <c r="V641" s="3">
        <f>SUMIFS('Business - Dump'!$W:$W,'Business - Dump'!$D:$D,'SKU Repoprt'!$D641,'Business - Dump'!$A:$A,'SKU Repoprt'!V$1)</f>
        <v>2</v>
      </c>
      <c r="W641" s="3">
        <f>SUMIFS('Business - Dump'!$W:$W,'Business - Dump'!$D:$D,'SKU Repoprt'!$D641,'Business - Dump'!$A:$A,'SKU Repoprt'!W$1)</f>
        <v>9</v>
      </c>
    </row>
    <row r="642" ht="15.75" customHeight="1">
      <c r="A642" s="10" t="s">
        <v>1380</v>
      </c>
      <c r="B642" s="10" t="s">
        <v>230</v>
      </c>
      <c r="C642" s="10"/>
      <c r="D642" s="10" t="s">
        <v>396</v>
      </c>
      <c r="E642" s="10" t="s">
        <v>26</v>
      </c>
      <c r="F642" s="16">
        <f t="shared" si="213"/>
        <v>1608422.55</v>
      </c>
      <c r="G642" s="16">
        <f>SUMIFS('Business - Dump'!$U:$U,'Business - Dump'!$D:$D,'SKU Repoprt'!$D642,'Business - Dump'!$A:$A,'SKU Repoprt'!G$1)</f>
        <v>0</v>
      </c>
      <c r="H642" s="16">
        <f>SUMIFS('Business - Dump'!$U:$U,'Business - Dump'!$D:$D,'SKU Repoprt'!$D642,'Business - Dump'!$A:$A,'SKU Repoprt'!H$1)</f>
        <v>0</v>
      </c>
      <c r="I642" s="16">
        <f>SUMIFS('Business - Dump'!$U:$U,'Business - Dump'!$D:$D,'SKU Repoprt'!$D642,'Business - Dump'!$A:$A,'SKU Repoprt'!I$1)</f>
        <v>0</v>
      </c>
      <c r="J642" s="16">
        <f>SUMIFS('Business - Dump'!$U:$U,'Business - Dump'!$D:$D,'SKU Repoprt'!$D642,'Business - Dump'!$A:$A,'SKU Repoprt'!J$1)</f>
        <v>0</v>
      </c>
      <c r="K642" s="16">
        <f>SUMIFS('Business - Dump'!$U:$U,'Business - Dump'!$D:$D,'SKU Repoprt'!$D642,'Business - Dump'!$A:$A,'SKU Repoprt'!K$1)</f>
        <v>27500</v>
      </c>
      <c r="L642" s="16">
        <f>SUMIFS('Business - Dump'!$U:$U,'Business - Dump'!$D:$D,'SKU Repoprt'!$D642,'Business - Dump'!$A:$A,'SKU Repoprt'!L$1)</f>
        <v>82408.48</v>
      </c>
      <c r="M642" s="16">
        <f>SUMIFS('Business - Dump'!$U:$U,'Business - Dump'!$D:$D,'SKU Repoprt'!$D642,'Business - Dump'!$A:$A,'SKU Repoprt'!M$1)</f>
        <v>410743.74</v>
      </c>
      <c r="N642" s="16">
        <f>SUMIFS('Business - Dump'!$U:$U,'Business - Dump'!$D:$D,'SKU Repoprt'!$D642,'Business - Dump'!$A:$A,'SKU Repoprt'!N$1)</f>
        <v>111000</v>
      </c>
      <c r="O642" s="16">
        <f>SUMIFS('Business - Dump'!$U:$U,'Business - Dump'!$D:$D,'SKU Repoprt'!$D642,'Business - Dump'!$A:$A,'SKU Repoprt'!O$1)</f>
        <v>139250</v>
      </c>
      <c r="P642" s="16">
        <f>SUMIFS('Business - Dump'!$U:$U,'Business - Dump'!$D:$D,'SKU Repoprt'!$D642,'Business - Dump'!$A:$A,'SKU Repoprt'!P$1)</f>
        <v>84750</v>
      </c>
      <c r="Q642" s="16">
        <f>SUMIFS('Business - Dump'!$U:$U,'Business - Dump'!$D:$D,'SKU Repoprt'!$D642,'Business - Dump'!$A:$A,'SKU Repoprt'!Q$1)</f>
        <v>446053.05</v>
      </c>
      <c r="R642" s="16">
        <f>SUMIFS('Business - Dump'!$U:$U,'Business - Dump'!$D:$D,'SKU Repoprt'!$D642,'Business - Dump'!$A:$A,'SKU Repoprt'!R$1)</f>
        <v>165650</v>
      </c>
      <c r="S642" s="16">
        <f>SUMIFS('Business - Dump'!$U:$U,'Business - Dump'!$D:$D,'SKU Repoprt'!$D642,'Business - Dump'!$A:$A,'SKU Repoprt'!S$1)</f>
        <v>141067.28</v>
      </c>
      <c r="T642" s="16">
        <f>SUMIFS('Business - Dump'!$U:$U,'Business - Dump'!$D:$D,'SKU Repoprt'!$D642,'Business - Dump'!$A:$A,'SKU Repoprt'!T$1)</f>
        <v>229447.28</v>
      </c>
      <c r="U642" s="16">
        <f>SUMIFS('Business - Dump'!$U:$U,'Business - Dump'!$D:$D,'SKU Repoprt'!$D642,'Business - Dump'!$A:$A,'SKU Repoprt'!U$1)</f>
        <v>219638.5</v>
      </c>
      <c r="V642" s="16">
        <f>SUMIFS('Business - Dump'!$U:$U,'Business - Dump'!$D:$D,'SKU Repoprt'!$D642,'Business - Dump'!$A:$A,'SKU Repoprt'!V$1)</f>
        <v>58128.48</v>
      </c>
      <c r="W642" s="16">
        <f>SUMIFS('Business - Dump'!$U:$U,'Business - Dump'!$D:$D,'SKU Repoprt'!$D642,'Business - Dump'!$A:$A,'SKU Repoprt'!W$1)</f>
        <v>259075.4</v>
      </c>
    </row>
    <row r="643" ht="15.75" customHeight="1">
      <c r="A643" s="10" t="s">
        <v>1380</v>
      </c>
      <c r="B643" s="10" t="s">
        <v>230</v>
      </c>
      <c r="C643" s="10"/>
      <c r="D643" s="10" t="s">
        <v>396</v>
      </c>
      <c r="E643" s="10" t="s">
        <v>29</v>
      </c>
      <c r="F643" s="17">
        <v>0.027042857142857143</v>
      </c>
      <c r="G643" s="17">
        <f t="shared" ref="G643:W643" si="214">IFERROR(G641/G638,0)</f>
        <v>0</v>
      </c>
      <c r="H643" s="17">
        <f t="shared" si="214"/>
        <v>0</v>
      </c>
      <c r="I643" s="17">
        <f t="shared" si="214"/>
        <v>0</v>
      </c>
      <c r="J643" s="17">
        <f t="shared" si="214"/>
        <v>0</v>
      </c>
      <c r="K643" s="17">
        <f t="shared" si="214"/>
        <v>0.004807692308</v>
      </c>
      <c r="L643" s="17">
        <f t="shared" si="214"/>
        <v>0.004983388704</v>
      </c>
      <c r="M643" s="17">
        <f t="shared" si="214"/>
        <v>0.01416430595</v>
      </c>
      <c r="N643" s="17">
        <f t="shared" si="214"/>
        <v>0.01351351351</v>
      </c>
      <c r="O643" s="17">
        <f t="shared" si="214"/>
        <v>0.009107468124</v>
      </c>
      <c r="P643" s="17">
        <f t="shared" si="214"/>
        <v>0.006369426752</v>
      </c>
      <c r="Q643" s="17">
        <f t="shared" si="214"/>
        <v>0.01075268817</v>
      </c>
      <c r="R643" s="17">
        <f t="shared" si="214"/>
        <v>0.004743083004</v>
      </c>
      <c r="S643" s="17">
        <f t="shared" si="214"/>
        <v>0.003511235955</v>
      </c>
      <c r="T643" s="17">
        <f t="shared" si="214"/>
        <v>0.014571949</v>
      </c>
      <c r="U643" s="17">
        <f t="shared" si="214"/>
        <v>0.005780346821</v>
      </c>
      <c r="V643" s="17">
        <f t="shared" si="214"/>
        <v>0.00364298725</v>
      </c>
      <c r="W643" s="17">
        <f t="shared" si="214"/>
        <v>0.01355421687</v>
      </c>
    </row>
    <row r="644" ht="15.75" customHeight="1">
      <c r="A644" s="10" t="s">
        <v>1380</v>
      </c>
      <c r="B644" s="10" t="s">
        <v>230</v>
      </c>
      <c r="C644" s="10"/>
      <c r="D644" s="10" t="s">
        <v>388</v>
      </c>
      <c r="E644" s="10" t="s">
        <v>257</v>
      </c>
      <c r="F644" s="3">
        <f t="shared" ref="F644:F648" si="215">SUM(G644:S644)</f>
        <v>5284</v>
      </c>
      <c r="G644" s="3">
        <f>SUMIFS('Business - Dump'!$G:$G,'Business - Dump'!$D:$D,'SKU Repoprt'!$D644,'Business - Dump'!$A:$A,'SKU Repoprt'!G$1)</f>
        <v>0</v>
      </c>
      <c r="H644" s="3">
        <f>SUMIFS('Business - Dump'!$G:$G,'Business - Dump'!$D:$D,'SKU Repoprt'!$D644,'Business - Dump'!$A:$A,'SKU Repoprt'!H$1)</f>
        <v>0</v>
      </c>
      <c r="I644" s="3">
        <f>SUMIFS('Business - Dump'!$G:$G,'Business - Dump'!$D:$D,'SKU Repoprt'!$D644,'Business - Dump'!$A:$A,'SKU Repoprt'!I$1)</f>
        <v>0</v>
      </c>
      <c r="J644" s="3">
        <f>SUMIFS('Business - Dump'!$G:$G,'Business - Dump'!$D:$D,'SKU Repoprt'!$D644,'Business - Dump'!$A:$A,'SKU Repoprt'!J$1)</f>
        <v>0</v>
      </c>
      <c r="K644" s="3">
        <f>SUMIFS('Business - Dump'!$G:$G,'Business - Dump'!$D:$D,'SKU Repoprt'!$D644,'Business - Dump'!$A:$A,'SKU Repoprt'!K$1)</f>
        <v>156</v>
      </c>
      <c r="L644" s="3">
        <f>SUMIFS('Business - Dump'!$G:$G,'Business - Dump'!$D:$D,'SKU Repoprt'!$D644,'Business - Dump'!$A:$A,'SKU Repoprt'!L$1)</f>
        <v>939</v>
      </c>
      <c r="M644" s="3">
        <f>SUMIFS('Business - Dump'!$G:$G,'Business - Dump'!$D:$D,'SKU Repoprt'!$D644,'Business - Dump'!$A:$A,'SKU Repoprt'!M$1)</f>
        <v>1215</v>
      </c>
      <c r="N644" s="3">
        <f>SUMIFS('Business - Dump'!$G:$G,'Business - Dump'!$D:$D,'SKU Repoprt'!$D644,'Business - Dump'!$A:$A,'SKU Repoprt'!N$1)</f>
        <v>218</v>
      </c>
      <c r="O644" s="3">
        <f>SUMIFS('Business - Dump'!$G:$G,'Business - Dump'!$D:$D,'SKU Repoprt'!$D644,'Business - Dump'!$A:$A,'SKU Repoprt'!O$1)</f>
        <v>342</v>
      </c>
      <c r="P644" s="3">
        <f>SUMIFS('Business - Dump'!$G:$G,'Business - Dump'!$D:$D,'SKU Repoprt'!$D644,'Business - Dump'!$A:$A,'SKU Repoprt'!P$1)</f>
        <v>381</v>
      </c>
      <c r="Q644" s="3">
        <f>SUMIFS('Business - Dump'!$G:$G,'Business - Dump'!$D:$D,'SKU Repoprt'!$D644,'Business - Dump'!$A:$A,'SKU Repoprt'!Q$1)</f>
        <v>1014</v>
      </c>
      <c r="R644" s="3">
        <f>SUMIFS('Business - Dump'!$G:$G,'Business - Dump'!$D:$D,'SKU Repoprt'!$D644,'Business - Dump'!$A:$A,'SKU Repoprt'!R$1)</f>
        <v>668</v>
      </c>
      <c r="S644" s="3">
        <f>SUMIFS('Business - Dump'!$G:$G,'Business - Dump'!$D:$D,'SKU Repoprt'!$D644,'Business - Dump'!$A:$A,'SKU Repoprt'!S$1)</f>
        <v>351</v>
      </c>
      <c r="T644" s="3">
        <f>SUMIFS('Business - Dump'!$G:$G,'Business - Dump'!$D:$D,'SKU Repoprt'!$D644,'Business - Dump'!$A:$A,'SKU Repoprt'!T$1)</f>
        <v>549</v>
      </c>
      <c r="U644" s="3">
        <f>SUMIFS('Business - Dump'!$G:$G,'Business - Dump'!$D:$D,'SKU Repoprt'!$D644,'Business - Dump'!$A:$A,'SKU Repoprt'!U$1)</f>
        <v>1187</v>
      </c>
      <c r="V644" s="3">
        <f>SUMIFS('Business - Dump'!$G:$G,'Business - Dump'!$D:$D,'SKU Repoprt'!$D644,'Business - Dump'!$A:$A,'SKU Repoprt'!V$1)</f>
        <v>434</v>
      </c>
      <c r="W644" s="3">
        <f>SUMIFS('Business - Dump'!$G:$G,'Business - Dump'!$D:$D,'SKU Repoprt'!$D644,'Business - Dump'!$A:$A,'SKU Repoprt'!W$1)</f>
        <v>400</v>
      </c>
    </row>
    <row r="645" ht="15.75" customHeight="1">
      <c r="A645" s="10" t="s">
        <v>1380</v>
      </c>
      <c r="B645" s="10" t="s">
        <v>230</v>
      </c>
      <c r="C645" s="10"/>
      <c r="D645" s="10" t="s">
        <v>388</v>
      </c>
      <c r="E645" s="10" t="s">
        <v>260</v>
      </c>
      <c r="F645" s="3">
        <f t="shared" si="215"/>
        <v>7458</v>
      </c>
      <c r="G645" s="3">
        <f>SUMIFS('Business - Dump'!$K:$K,'Business - Dump'!$D:$D,'SKU Repoprt'!$D645,'Business - Dump'!$A:$A,'SKU Repoprt'!G$1)</f>
        <v>0</v>
      </c>
      <c r="H645" s="3">
        <f>SUMIFS('Business - Dump'!$K:$K,'Business - Dump'!$D:$D,'SKU Repoprt'!$D645,'Business - Dump'!$A:$A,'SKU Repoprt'!H$1)</f>
        <v>0</v>
      </c>
      <c r="I645" s="3">
        <f>SUMIFS('Business - Dump'!$K:$K,'Business - Dump'!$D:$D,'SKU Repoprt'!$D645,'Business - Dump'!$A:$A,'SKU Repoprt'!I$1)</f>
        <v>0</v>
      </c>
      <c r="J645" s="3">
        <f>SUMIFS('Business - Dump'!$K:$K,'Business - Dump'!$D:$D,'SKU Repoprt'!$D645,'Business - Dump'!$A:$A,'SKU Repoprt'!J$1)</f>
        <v>0</v>
      </c>
      <c r="K645" s="3">
        <f>SUMIFS('Business - Dump'!$K:$K,'Business - Dump'!$D:$D,'SKU Repoprt'!$D645,'Business - Dump'!$A:$A,'SKU Repoprt'!K$1)</f>
        <v>192</v>
      </c>
      <c r="L645" s="3">
        <f>SUMIFS('Business - Dump'!$K:$K,'Business - Dump'!$D:$D,'SKU Repoprt'!$D645,'Business - Dump'!$A:$A,'SKU Repoprt'!L$1)</f>
        <v>1369</v>
      </c>
      <c r="M645" s="3">
        <f>SUMIFS('Business - Dump'!$K:$K,'Business - Dump'!$D:$D,'SKU Repoprt'!$D645,'Business - Dump'!$A:$A,'SKU Repoprt'!M$1)</f>
        <v>1922</v>
      </c>
      <c r="N645" s="3">
        <f>SUMIFS('Business - Dump'!$K:$K,'Business - Dump'!$D:$D,'SKU Repoprt'!$D645,'Business - Dump'!$A:$A,'SKU Repoprt'!N$1)</f>
        <v>270</v>
      </c>
      <c r="O645" s="3">
        <f>SUMIFS('Business - Dump'!$K:$K,'Business - Dump'!$D:$D,'SKU Repoprt'!$D645,'Business - Dump'!$A:$A,'SKU Repoprt'!O$1)</f>
        <v>426</v>
      </c>
      <c r="P645" s="3">
        <f>SUMIFS('Business - Dump'!$K:$K,'Business - Dump'!$D:$D,'SKU Repoprt'!$D645,'Business - Dump'!$A:$A,'SKU Repoprt'!P$1)</f>
        <v>492</v>
      </c>
      <c r="Q645" s="3">
        <f>SUMIFS('Business - Dump'!$K:$K,'Business - Dump'!$D:$D,'SKU Repoprt'!$D645,'Business - Dump'!$A:$A,'SKU Repoprt'!Q$1)</f>
        <v>1375</v>
      </c>
      <c r="R645" s="3">
        <f>SUMIFS('Business - Dump'!$K:$K,'Business - Dump'!$D:$D,'SKU Repoprt'!$D645,'Business - Dump'!$A:$A,'SKU Repoprt'!R$1)</f>
        <v>946</v>
      </c>
      <c r="S645" s="3">
        <f>SUMIFS('Business - Dump'!$K:$K,'Business - Dump'!$D:$D,'SKU Repoprt'!$D645,'Business - Dump'!$A:$A,'SKU Repoprt'!S$1)</f>
        <v>466</v>
      </c>
      <c r="T645" s="3">
        <f>SUMIFS('Business - Dump'!$K:$K,'Business - Dump'!$D:$D,'SKU Repoprt'!$D645,'Business - Dump'!$A:$A,'SKU Repoprt'!T$1)</f>
        <v>671</v>
      </c>
      <c r="U645" s="3">
        <f>SUMIFS('Business - Dump'!$K:$K,'Business - Dump'!$D:$D,'SKU Repoprt'!$D645,'Business - Dump'!$A:$A,'SKU Repoprt'!U$1)</f>
        <v>1547</v>
      </c>
      <c r="V645" s="3">
        <f>SUMIFS('Business - Dump'!$K:$K,'Business - Dump'!$D:$D,'SKU Repoprt'!$D645,'Business - Dump'!$A:$A,'SKU Repoprt'!V$1)</f>
        <v>546</v>
      </c>
      <c r="W645" s="3">
        <f>SUMIFS('Business - Dump'!$K:$K,'Business - Dump'!$D:$D,'SKU Repoprt'!$D645,'Business - Dump'!$A:$A,'SKU Repoprt'!W$1)</f>
        <v>520</v>
      </c>
    </row>
    <row r="646" ht="15.75" customHeight="1">
      <c r="A646" s="10" t="s">
        <v>1380</v>
      </c>
      <c r="B646" s="10" t="s">
        <v>230</v>
      </c>
      <c r="C646" s="10"/>
      <c r="D646" s="10" t="s">
        <v>388</v>
      </c>
      <c r="E646" s="10" t="s">
        <v>264</v>
      </c>
      <c r="F646" s="3">
        <f t="shared" si="215"/>
        <v>41</v>
      </c>
      <c r="G646" s="3">
        <f>SUMIFS('Business - Dump'!$Q:$Q,'Business - Dump'!$D:$D,'SKU Repoprt'!$D646,'Business - Dump'!$A:$A,'SKU Repoprt'!G$1)</f>
        <v>0</v>
      </c>
      <c r="H646" s="3">
        <f>SUMIFS('Business - Dump'!$Q:$Q,'Business - Dump'!$D:$D,'SKU Repoprt'!$D646,'Business - Dump'!$A:$A,'SKU Repoprt'!H$1)</f>
        <v>0</v>
      </c>
      <c r="I646" s="3">
        <f>SUMIFS('Business - Dump'!$Q:$Q,'Business - Dump'!$D:$D,'SKU Repoprt'!$D646,'Business - Dump'!$A:$A,'SKU Repoprt'!I$1)</f>
        <v>0</v>
      </c>
      <c r="J646" s="3">
        <f>SUMIFS('Business - Dump'!$Q:$Q,'Business - Dump'!$D:$D,'SKU Repoprt'!$D646,'Business - Dump'!$A:$A,'SKU Repoprt'!J$1)</f>
        <v>0</v>
      </c>
      <c r="K646" s="3">
        <f>SUMIFS('Business - Dump'!$Q:$Q,'Business - Dump'!$D:$D,'SKU Repoprt'!$D646,'Business - Dump'!$A:$A,'SKU Repoprt'!K$1)</f>
        <v>2</v>
      </c>
      <c r="L646" s="3">
        <f>SUMIFS('Business - Dump'!$Q:$Q,'Business - Dump'!$D:$D,'SKU Repoprt'!$D646,'Business - Dump'!$A:$A,'SKU Repoprt'!L$1)</f>
        <v>10</v>
      </c>
      <c r="M646" s="3">
        <f>SUMIFS('Business - Dump'!$Q:$Q,'Business - Dump'!$D:$D,'SKU Repoprt'!$D646,'Business - Dump'!$A:$A,'SKU Repoprt'!M$1)</f>
        <v>10</v>
      </c>
      <c r="N646" s="3">
        <f>SUMIFS('Business - Dump'!$Q:$Q,'Business - Dump'!$D:$D,'SKU Repoprt'!$D646,'Business - Dump'!$A:$A,'SKU Repoprt'!N$1)</f>
        <v>1</v>
      </c>
      <c r="O646" s="3">
        <f>SUMIFS('Business - Dump'!$Q:$Q,'Business - Dump'!$D:$D,'SKU Repoprt'!$D646,'Business - Dump'!$A:$A,'SKU Repoprt'!O$1)</f>
        <v>2</v>
      </c>
      <c r="P646" s="3">
        <f>SUMIFS('Business - Dump'!$Q:$Q,'Business - Dump'!$D:$D,'SKU Repoprt'!$D646,'Business - Dump'!$A:$A,'SKU Repoprt'!P$1)</f>
        <v>3</v>
      </c>
      <c r="Q646" s="3">
        <f>SUMIFS('Business - Dump'!$Q:$Q,'Business - Dump'!$D:$D,'SKU Repoprt'!$D646,'Business - Dump'!$A:$A,'SKU Repoprt'!Q$1)</f>
        <v>4</v>
      </c>
      <c r="R646" s="3">
        <f>SUMIFS('Business - Dump'!$Q:$Q,'Business - Dump'!$D:$D,'SKU Repoprt'!$D646,'Business - Dump'!$A:$A,'SKU Repoprt'!R$1)</f>
        <v>6</v>
      </c>
      <c r="S646" s="3">
        <f>SUMIFS('Business - Dump'!$Q:$Q,'Business - Dump'!$D:$D,'SKU Repoprt'!$D646,'Business - Dump'!$A:$A,'SKU Repoprt'!S$1)</f>
        <v>3</v>
      </c>
      <c r="T646" s="3">
        <f>SUMIFS('Business - Dump'!$Q:$Q,'Business - Dump'!$D:$D,'SKU Repoprt'!$D646,'Business - Dump'!$A:$A,'SKU Repoprt'!T$1)</f>
        <v>3</v>
      </c>
      <c r="U646" s="3">
        <f>SUMIFS('Business - Dump'!$Q:$Q,'Business - Dump'!$D:$D,'SKU Repoprt'!$D646,'Business - Dump'!$A:$A,'SKU Repoprt'!U$1)</f>
        <v>7</v>
      </c>
      <c r="V646" s="3">
        <f>SUMIFS('Business - Dump'!$Q:$Q,'Business - Dump'!$D:$D,'SKU Repoprt'!$D646,'Business - Dump'!$A:$A,'SKU Repoprt'!V$1)</f>
        <v>3</v>
      </c>
      <c r="W646" s="3">
        <f>SUMIFS('Business - Dump'!$Q:$Q,'Business - Dump'!$D:$D,'SKU Repoprt'!$D646,'Business - Dump'!$A:$A,'SKU Repoprt'!W$1)</f>
        <v>3</v>
      </c>
    </row>
    <row r="647" ht="15.75" customHeight="1">
      <c r="A647" s="10" t="s">
        <v>1380</v>
      </c>
      <c r="B647" s="10" t="s">
        <v>230</v>
      </c>
      <c r="C647" s="10"/>
      <c r="D647" s="10" t="s">
        <v>388</v>
      </c>
      <c r="E647" s="10" t="s">
        <v>268</v>
      </c>
      <c r="F647" s="3">
        <f t="shared" si="215"/>
        <v>41</v>
      </c>
      <c r="G647" s="3">
        <f>SUMIFS('Business - Dump'!$W:$W,'Business - Dump'!$D:$D,'SKU Repoprt'!$D647,'Business - Dump'!$A:$A,'SKU Repoprt'!G$1)</f>
        <v>0</v>
      </c>
      <c r="H647" s="3">
        <f>SUMIFS('Business - Dump'!$W:$W,'Business - Dump'!$D:$D,'SKU Repoprt'!$D647,'Business - Dump'!$A:$A,'SKU Repoprt'!H$1)</f>
        <v>0</v>
      </c>
      <c r="I647" s="3">
        <f>SUMIFS('Business - Dump'!$W:$W,'Business - Dump'!$D:$D,'SKU Repoprt'!$D647,'Business - Dump'!$A:$A,'SKU Repoprt'!I$1)</f>
        <v>0</v>
      </c>
      <c r="J647" s="3">
        <f>SUMIFS('Business - Dump'!$W:$W,'Business - Dump'!$D:$D,'SKU Repoprt'!$D647,'Business - Dump'!$A:$A,'SKU Repoprt'!J$1)</f>
        <v>0</v>
      </c>
      <c r="K647" s="3">
        <f>SUMIFS('Business - Dump'!$W:$W,'Business - Dump'!$D:$D,'SKU Repoprt'!$D647,'Business - Dump'!$A:$A,'SKU Repoprt'!K$1)</f>
        <v>2</v>
      </c>
      <c r="L647" s="3">
        <f>SUMIFS('Business - Dump'!$W:$W,'Business - Dump'!$D:$D,'SKU Repoprt'!$D647,'Business - Dump'!$A:$A,'SKU Repoprt'!L$1)</f>
        <v>10</v>
      </c>
      <c r="M647" s="3">
        <f>SUMIFS('Business - Dump'!$W:$W,'Business - Dump'!$D:$D,'SKU Repoprt'!$D647,'Business - Dump'!$A:$A,'SKU Repoprt'!M$1)</f>
        <v>10</v>
      </c>
      <c r="N647" s="3">
        <f>SUMIFS('Business - Dump'!$W:$W,'Business - Dump'!$D:$D,'SKU Repoprt'!$D647,'Business - Dump'!$A:$A,'SKU Repoprt'!N$1)</f>
        <v>1</v>
      </c>
      <c r="O647" s="3">
        <f>SUMIFS('Business - Dump'!$W:$W,'Business - Dump'!$D:$D,'SKU Repoprt'!$D647,'Business - Dump'!$A:$A,'SKU Repoprt'!O$1)</f>
        <v>2</v>
      </c>
      <c r="P647" s="3">
        <f>SUMIFS('Business - Dump'!$W:$W,'Business - Dump'!$D:$D,'SKU Repoprt'!$D647,'Business - Dump'!$A:$A,'SKU Repoprt'!P$1)</f>
        <v>3</v>
      </c>
      <c r="Q647" s="3">
        <f>SUMIFS('Business - Dump'!$W:$W,'Business - Dump'!$D:$D,'SKU Repoprt'!$D647,'Business - Dump'!$A:$A,'SKU Repoprt'!Q$1)</f>
        <v>4</v>
      </c>
      <c r="R647" s="3">
        <f>SUMIFS('Business - Dump'!$W:$W,'Business - Dump'!$D:$D,'SKU Repoprt'!$D647,'Business - Dump'!$A:$A,'SKU Repoprt'!R$1)</f>
        <v>6</v>
      </c>
      <c r="S647" s="3">
        <f>SUMIFS('Business - Dump'!$W:$W,'Business - Dump'!$D:$D,'SKU Repoprt'!$D647,'Business - Dump'!$A:$A,'SKU Repoprt'!S$1)</f>
        <v>3</v>
      </c>
      <c r="T647" s="3">
        <f>SUMIFS('Business - Dump'!$W:$W,'Business - Dump'!$D:$D,'SKU Repoprt'!$D647,'Business - Dump'!$A:$A,'SKU Repoprt'!T$1)</f>
        <v>3</v>
      </c>
      <c r="U647" s="3">
        <f>SUMIFS('Business - Dump'!$W:$W,'Business - Dump'!$D:$D,'SKU Repoprt'!$D647,'Business - Dump'!$A:$A,'SKU Repoprt'!U$1)</f>
        <v>7</v>
      </c>
      <c r="V647" s="3">
        <f>SUMIFS('Business - Dump'!$W:$W,'Business - Dump'!$D:$D,'SKU Repoprt'!$D647,'Business - Dump'!$A:$A,'SKU Repoprt'!V$1)</f>
        <v>3</v>
      </c>
      <c r="W647" s="3">
        <f>SUMIFS('Business - Dump'!$W:$W,'Business - Dump'!$D:$D,'SKU Repoprt'!$D647,'Business - Dump'!$A:$A,'SKU Repoprt'!W$1)</f>
        <v>3</v>
      </c>
    </row>
    <row r="648" ht="15.75" customHeight="1">
      <c r="A648" s="10" t="s">
        <v>1380</v>
      </c>
      <c r="B648" s="10" t="s">
        <v>230</v>
      </c>
      <c r="C648" s="10"/>
      <c r="D648" s="10" t="s">
        <v>388</v>
      </c>
      <c r="E648" s="10" t="s">
        <v>26</v>
      </c>
      <c r="F648" s="16">
        <f t="shared" si="215"/>
        <v>1039602.55</v>
      </c>
      <c r="G648" s="16">
        <f>SUMIFS('Business - Dump'!$U:$U,'Business - Dump'!$D:$D,'SKU Repoprt'!$D648,'Business - Dump'!$A:$A,'SKU Repoprt'!G$1)</f>
        <v>0</v>
      </c>
      <c r="H648" s="16">
        <f>SUMIFS('Business - Dump'!$U:$U,'Business - Dump'!$D:$D,'SKU Repoprt'!$D648,'Business - Dump'!$A:$A,'SKU Repoprt'!H$1)</f>
        <v>0</v>
      </c>
      <c r="I648" s="16">
        <f>SUMIFS('Business - Dump'!$U:$U,'Business - Dump'!$D:$D,'SKU Repoprt'!$D648,'Business - Dump'!$A:$A,'SKU Repoprt'!I$1)</f>
        <v>0</v>
      </c>
      <c r="J648" s="16">
        <f>SUMIFS('Business - Dump'!$U:$U,'Business - Dump'!$D:$D,'SKU Repoprt'!$D648,'Business - Dump'!$A:$A,'SKU Repoprt'!J$1)</f>
        <v>0</v>
      </c>
      <c r="K648" s="16">
        <f>SUMIFS('Business - Dump'!$U:$U,'Business - Dump'!$D:$D,'SKU Repoprt'!$D648,'Business - Dump'!$A:$A,'SKU Repoprt'!K$1)</f>
        <v>50000</v>
      </c>
      <c r="L648" s="16">
        <f>SUMIFS('Business - Dump'!$U:$U,'Business - Dump'!$D:$D,'SKU Repoprt'!$D648,'Business - Dump'!$A:$A,'SKU Repoprt'!L$1)</f>
        <v>249816.96</v>
      </c>
      <c r="M648" s="16">
        <f>SUMIFS('Business - Dump'!$U:$U,'Business - Dump'!$D:$D,'SKU Repoprt'!$D648,'Business - Dump'!$A:$A,'SKU Repoprt'!M$1)</f>
        <v>249498.31</v>
      </c>
      <c r="N648" s="16">
        <f>SUMIFS('Business - Dump'!$U:$U,'Business - Dump'!$D:$D,'SKU Repoprt'!$D648,'Business - Dump'!$A:$A,'SKU Repoprt'!N$1)</f>
        <v>25250</v>
      </c>
      <c r="O648" s="16">
        <f>SUMIFS('Business - Dump'!$U:$U,'Business - Dump'!$D:$D,'SKU Repoprt'!$D648,'Business - Dump'!$A:$A,'SKU Repoprt'!O$1)</f>
        <v>50500</v>
      </c>
      <c r="P648" s="16">
        <f>SUMIFS('Business - Dump'!$U:$U,'Business - Dump'!$D:$D,'SKU Repoprt'!$D648,'Business - Dump'!$A:$A,'SKU Repoprt'!P$1)</f>
        <v>80258.48</v>
      </c>
      <c r="Q648" s="16">
        <f>SUMIFS('Business - Dump'!$U:$U,'Business - Dump'!$D:$D,'SKU Repoprt'!$D648,'Business - Dump'!$A:$A,'SKU Repoprt'!Q$1)</f>
        <v>104100</v>
      </c>
      <c r="R648" s="16">
        <f>SUMIFS('Business - Dump'!$U:$U,'Business - Dump'!$D:$D,'SKU Repoprt'!$D648,'Business - Dump'!$A:$A,'SKU Repoprt'!R$1)</f>
        <v>148367.28</v>
      </c>
      <c r="S648" s="16">
        <f>SUMIFS('Business - Dump'!$U:$U,'Business - Dump'!$D:$D,'SKU Repoprt'!$D648,'Business - Dump'!$A:$A,'SKU Repoprt'!S$1)</f>
        <v>81811.52</v>
      </c>
      <c r="T648" s="16">
        <f>SUMIFS('Business - Dump'!$U:$U,'Business - Dump'!$D:$D,'SKU Repoprt'!$D648,'Business - Dump'!$A:$A,'SKU Repoprt'!T$1)</f>
        <v>81855.76</v>
      </c>
      <c r="U648" s="16">
        <f>SUMIFS('Business - Dump'!$U:$U,'Business - Dump'!$D:$D,'SKU Repoprt'!$D648,'Business - Dump'!$A:$A,'SKU Repoprt'!U$1)</f>
        <v>187652.7</v>
      </c>
      <c r="V648" s="16">
        <f>SUMIFS('Business - Dump'!$U:$U,'Business - Dump'!$D:$D,'SKU Repoprt'!$D648,'Business - Dump'!$A:$A,'SKU Repoprt'!V$1)</f>
        <v>80938.48</v>
      </c>
      <c r="W648" s="16">
        <f>SUMIFS('Business - Dump'!$U:$U,'Business - Dump'!$D:$D,'SKU Repoprt'!$D648,'Business - Dump'!$A:$A,'SKU Repoprt'!W$1)</f>
        <v>81984.24</v>
      </c>
    </row>
    <row r="649" ht="15.75" customHeight="1">
      <c r="A649" s="10" t="s">
        <v>1380</v>
      </c>
      <c r="B649" s="10" t="s">
        <v>230</v>
      </c>
      <c r="C649" s="10"/>
      <c r="D649" s="10" t="s">
        <v>388</v>
      </c>
      <c r="E649" s="10" t="s">
        <v>29</v>
      </c>
      <c r="F649" s="17">
        <v>0.027042857142857143</v>
      </c>
      <c r="G649" s="17">
        <f t="shared" ref="G649:W649" si="216">IFERROR(G647/G644,0)</f>
        <v>0</v>
      </c>
      <c r="H649" s="17">
        <f t="shared" si="216"/>
        <v>0</v>
      </c>
      <c r="I649" s="17">
        <f t="shared" si="216"/>
        <v>0</v>
      </c>
      <c r="J649" s="17">
        <f t="shared" si="216"/>
        <v>0</v>
      </c>
      <c r="K649" s="17">
        <f t="shared" si="216"/>
        <v>0.01282051282</v>
      </c>
      <c r="L649" s="17">
        <f t="shared" si="216"/>
        <v>0.01064962726</v>
      </c>
      <c r="M649" s="17">
        <f t="shared" si="216"/>
        <v>0.008230452675</v>
      </c>
      <c r="N649" s="17">
        <f t="shared" si="216"/>
        <v>0.004587155963</v>
      </c>
      <c r="O649" s="17">
        <f t="shared" si="216"/>
        <v>0.005847953216</v>
      </c>
      <c r="P649" s="17">
        <f t="shared" si="216"/>
        <v>0.007874015748</v>
      </c>
      <c r="Q649" s="17">
        <f t="shared" si="216"/>
        <v>0.003944773176</v>
      </c>
      <c r="R649" s="17">
        <f t="shared" si="216"/>
        <v>0.008982035928</v>
      </c>
      <c r="S649" s="17">
        <f t="shared" si="216"/>
        <v>0.008547008547</v>
      </c>
      <c r="T649" s="17">
        <f t="shared" si="216"/>
        <v>0.005464480874</v>
      </c>
      <c r="U649" s="17">
        <f t="shared" si="216"/>
        <v>0.005897219882</v>
      </c>
      <c r="V649" s="17">
        <f t="shared" si="216"/>
        <v>0.006912442396</v>
      </c>
      <c r="W649" s="17">
        <f t="shared" si="216"/>
        <v>0.0075</v>
      </c>
    </row>
    <row r="650" ht="15.75" customHeight="1">
      <c r="A650" s="10" t="s">
        <v>1380</v>
      </c>
      <c r="B650" s="10" t="s">
        <v>230</v>
      </c>
      <c r="C650" s="10"/>
      <c r="D650" s="10" t="s">
        <v>398</v>
      </c>
      <c r="E650" s="10" t="s">
        <v>257</v>
      </c>
      <c r="F650" s="3">
        <f t="shared" ref="F650:F654" si="217">SUM(G650:S650)</f>
        <v>9019</v>
      </c>
      <c r="G650" s="3">
        <f>SUMIFS('Business - Dump'!$G:$G,'Business - Dump'!$D:$D,'SKU Repoprt'!$D650,'Business - Dump'!$A:$A,'SKU Repoprt'!G$1)</f>
        <v>0</v>
      </c>
      <c r="H650" s="3">
        <f>SUMIFS('Business - Dump'!$G:$G,'Business - Dump'!$D:$D,'SKU Repoprt'!$D650,'Business - Dump'!$A:$A,'SKU Repoprt'!H$1)</f>
        <v>0</v>
      </c>
      <c r="I650" s="3">
        <f>SUMIFS('Business - Dump'!$G:$G,'Business - Dump'!$D:$D,'SKU Repoprt'!$D650,'Business - Dump'!$A:$A,'SKU Repoprt'!I$1)</f>
        <v>0</v>
      </c>
      <c r="J650" s="3">
        <f>SUMIFS('Business - Dump'!$G:$G,'Business - Dump'!$D:$D,'SKU Repoprt'!$D650,'Business - Dump'!$A:$A,'SKU Repoprt'!J$1)</f>
        <v>0</v>
      </c>
      <c r="K650" s="3">
        <f>SUMIFS('Business - Dump'!$G:$G,'Business - Dump'!$D:$D,'SKU Repoprt'!$D650,'Business - Dump'!$A:$A,'SKU Repoprt'!K$1)</f>
        <v>199</v>
      </c>
      <c r="L650" s="3">
        <f>SUMIFS('Business - Dump'!$G:$G,'Business - Dump'!$D:$D,'SKU Repoprt'!$D650,'Business - Dump'!$A:$A,'SKU Repoprt'!L$1)</f>
        <v>803</v>
      </c>
      <c r="M650" s="3">
        <f>SUMIFS('Business - Dump'!$G:$G,'Business - Dump'!$D:$D,'SKU Repoprt'!$D650,'Business - Dump'!$A:$A,'SKU Repoprt'!M$1)</f>
        <v>1200</v>
      </c>
      <c r="N650" s="3">
        <f>SUMIFS('Business - Dump'!$G:$G,'Business - Dump'!$D:$D,'SKU Repoprt'!$D650,'Business - Dump'!$A:$A,'SKU Repoprt'!N$1)</f>
        <v>348</v>
      </c>
      <c r="O650" s="3">
        <f>SUMIFS('Business - Dump'!$G:$G,'Business - Dump'!$D:$D,'SKU Repoprt'!$D650,'Business - Dump'!$A:$A,'SKU Repoprt'!O$1)</f>
        <v>578</v>
      </c>
      <c r="P650" s="3">
        <f>SUMIFS('Business - Dump'!$G:$G,'Business - Dump'!$D:$D,'SKU Repoprt'!$D650,'Business - Dump'!$A:$A,'SKU Repoprt'!P$1)</f>
        <v>560</v>
      </c>
      <c r="Q650" s="3">
        <f>SUMIFS('Business - Dump'!$G:$G,'Business - Dump'!$D:$D,'SKU Repoprt'!$D650,'Business - Dump'!$A:$A,'SKU Repoprt'!Q$1)</f>
        <v>3364</v>
      </c>
      <c r="R650" s="3">
        <f>SUMIFS('Business - Dump'!$G:$G,'Business - Dump'!$D:$D,'SKU Repoprt'!$D650,'Business - Dump'!$A:$A,'SKU Repoprt'!R$1)</f>
        <v>1166</v>
      </c>
      <c r="S650" s="3">
        <f>SUMIFS('Business - Dump'!$G:$G,'Business - Dump'!$D:$D,'SKU Repoprt'!$D650,'Business - Dump'!$A:$A,'SKU Repoprt'!S$1)</f>
        <v>801</v>
      </c>
      <c r="T650" s="3">
        <f>SUMIFS('Business - Dump'!$G:$G,'Business - Dump'!$D:$D,'SKU Repoprt'!$D650,'Business - Dump'!$A:$A,'SKU Repoprt'!T$1)</f>
        <v>774</v>
      </c>
      <c r="U650" s="3">
        <f>SUMIFS('Business - Dump'!$G:$G,'Business - Dump'!$D:$D,'SKU Repoprt'!$D650,'Business - Dump'!$A:$A,'SKU Repoprt'!U$1)</f>
        <v>1347</v>
      </c>
      <c r="V650" s="3">
        <f>SUMIFS('Business - Dump'!$G:$G,'Business - Dump'!$D:$D,'SKU Repoprt'!$D650,'Business - Dump'!$A:$A,'SKU Repoprt'!V$1)</f>
        <v>657</v>
      </c>
      <c r="W650" s="3">
        <f>SUMIFS('Business - Dump'!$G:$G,'Business - Dump'!$D:$D,'SKU Repoprt'!$D650,'Business - Dump'!$A:$A,'SKU Repoprt'!W$1)</f>
        <v>910</v>
      </c>
    </row>
    <row r="651" ht="15.75" customHeight="1">
      <c r="A651" s="10" t="s">
        <v>1380</v>
      </c>
      <c r="B651" s="10" t="s">
        <v>230</v>
      </c>
      <c r="C651" s="10"/>
      <c r="D651" s="10" t="s">
        <v>398</v>
      </c>
      <c r="E651" s="10" t="s">
        <v>260</v>
      </c>
      <c r="F651" s="3">
        <f t="shared" si="217"/>
        <v>13593</v>
      </c>
      <c r="G651" s="3">
        <f>SUMIFS('Business - Dump'!$K:$K,'Business - Dump'!$D:$D,'SKU Repoprt'!$D651,'Business - Dump'!$A:$A,'SKU Repoprt'!G$1)</f>
        <v>0</v>
      </c>
      <c r="H651" s="3">
        <f>SUMIFS('Business - Dump'!$K:$K,'Business - Dump'!$D:$D,'SKU Repoprt'!$D651,'Business - Dump'!$A:$A,'SKU Repoprt'!H$1)</f>
        <v>0</v>
      </c>
      <c r="I651" s="3">
        <f>SUMIFS('Business - Dump'!$K:$K,'Business - Dump'!$D:$D,'SKU Repoprt'!$D651,'Business - Dump'!$A:$A,'SKU Repoprt'!I$1)</f>
        <v>0</v>
      </c>
      <c r="J651" s="3">
        <f>SUMIFS('Business - Dump'!$K:$K,'Business - Dump'!$D:$D,'SKU Repoprt'!$D651,'Business - Dump'!$A:$A,'SKU Repoprt'!J$1)</f>
        <v>0</v>
      </c>
      <c r="K651" s="3">
        <f>SUMIFS('Business - Dump'!$K:$K,'Business - Dump'!$D:$D,'SKU Repoprt'!$D651,'Business - Dump'!$A:$A,'SKU Repoprt'!K$1)</f>
        <v>263</v>
      </c>
      <c r="L651" s="3">
        <f>SUMIFS('Business - Dump'!$K:$K,'Business - Dump'!$D:$D,'SKU Repoprt'!$D651,'Business - Dump'!$A:$A,'SKU Repoprt'!L$1)</f>
        <v>1055</v>
      </c>
      <c r="M651" s="3">
        <f>SUMIFS('Business - Dump'!$K:$K,'Business - Dump'!$D:$D,'SKU Repoprt'!$D651,'Business - Dump'!$A:$A,'SKU Repoprt'!M$1)</f>
        <v>2029</v>
      </c>
      <c r="N651" s="3">
        <f>SUMIFS('Business - Dump'!$K:$K,'Business - Dump'!$D:$D,'SKU Repoprt'!$D651,'Business - Dump'!$A:$A,'SKU Repoprt'!N$1)</f>
        <v>486</v>
      </c>
      <c r="O651" s="3">
        <f>SUMIFS('Business - Dump'!$K:$K,'Business - Dump'!$D:$D,'SKU Repoprt'!$D651,'Business - Dump'!$A:$A,'SKU Repoprt'!O$1)</f>
        <v>728</v>
      </c>
      <c r="P651" s="3">
        <f>SUMIFS('Business - Dump'!$K:$K,'Business - Dump'!$D:$D,'SKU Repoprt'!$D651,'Business - Dump'!$A:$A,'SKU Repoprt'!P$1)</f>
        <v>660</v>
      </c>
      <c r="Q651" s="3">
        <f>SUMIFS('Business - Dump'!$K:$K,'Business - Dump'!$D:$D,'SKU Repoprt'!$D651,'Business - Dump'!$A:$A,'SKU Repoprt'!Q$1)</f>
        <v>5801</v>
      </c>
      <c r="R651" s="3">
        <f>SUMIFS('Business - Dump'!$K:$K,'Business - Dump'!$D:$D,'SKU Repoprt'!$D651,'Business - Dump'!$A:$A,'SKU Repoprt'!R$1)</f>
        <v>1582</v>
      </c>
      <c r="S651" s="3">
        <f>SUMIFS('Business - Dump'!$K:$K,'Business - Dump'!$D:$D,'SKU Repoprt'!$D651,'Business - Dump'!$A:$A,'SKU Repoprt'!S$1)</f>
        <v>989</v>
      </c>
      <c r="T651" s="3">
        <f>SUMIFS('Business - Dump'!$K:$K,'Business - Dump'!$D:$D,'SKU Repoprt'!$D651,'Business - Dump'!$A:$A,'SKU Repoprt'!T$1)</f>
        <v>1003</v>
      </c>
      <c r="U651" s="3">
        <f>SUMIFS('Business - Dump'!$K:$K,'Business - Dump'!$D:$D,'SKU Repoprt'!$D651,'Business - Dump'!$A:$A,'SKU Repoprt'!U$1)</f>
        <v>1699</v>
      </c>
      <c r="V651" s="3">
        <f>SUMIFS('Business - Dump'!$K:$K,'Business - Dump'!$D:$D,'SKU Repoprt'!$D651,'Business - Dump'!$A:$A,'SKU Repoprt'!V$1)</f>
        <v>883</v>
      </c>
      <c r="W651" s="3">
        <f>SUMIFS('Business - Dump'!$K:$K,'Business - Dump'!$D:$D,'SKU Repoprt'!$D651,'Business - Dump'!$A:$A,'SKU Repoprt'!W$1)</f>
        <v>1202</v>
      </c>
    </row>
    <row r="652" ht="15.75" customHeight="1">
      <c r="A652" s="10" t="s">
        <v>1380</v>
      </c>
      <c r="B652" s="10" t="s">
        <v>230</v>
      </c>
      <c r="C652" s="10"/>
      <c r="D652" s="10" t="s">
        <v>398</v>
      </c>
      <c r="E652" s="10" t="s">
        <v>264</v>
      </c>
      <c r="F652" s="3">
        <f t="shared" si="217"/>
        <v>60</v>
      </c>
      <c r="G652" s="3">
        <f>SUMIFS('Business - Dump'!$Q:$Q,'Business - Dump'!$D:$D,'SKU Repoprt'!$D652,'Business - Dump'!$A:$A,'SKU Repoprt'!G$1)</f>
        <v>0</v>
      </c>
      <c r="H652" s="3">
        <f>SUMIFS('Business - Dump'!$Q:$Q,'Business - Dump'!$D:$D,'SKU Repoprt'!$D652,'Business - Dump'!$A:$A,'SKU Repoprt'!H$1)</f>
        <v>0</v>
      </c>
      <c r="I652" s="3">
        <f>SUMIFS('Business - Dump'!$Q:$Q,'Business - Dump'!$D:$D,'SKU Repoprt'!$D652,'Business - Dump'!$A:$A,'SKU Repoprt'!I$1)</f>
        <v>0</v>
      </c>
      <c r="J652" s="3">
        <f>SUMIFS('Business - Dump'!$Q:$Q,'Business - Dump'!$D:$D,'SKU Repoprt'!$D652,'Business - Dump'!$A:$A,'SKU Repoprt'!J$1)</f>
        <v>0</v>
      </c>
      <c r="K652" s="3">
        <f>SUMIFS('Business - Dump'!$Q:$Q,'Business - Dump'!$D:$D,'SKU Repoprt'!$D652,'Business - Dump'!$A:$A,'SKU Repoprt'!K$1)</f>
        <v>1</v>
      </c>
      <c r="L652" s="3">
        <f>SUMIFS('Business - Dump'!$Q:$Q,'Business - Dump'!$D:$D,'SKU Repoprt'!$D652,'Business - Dump'!$A:$A,'SKU Repoprt'!L$1)</f>
        <v>4</v>
      </c>
      <c r="M652" s="3">
        <f>SUMIFS('Business - Dump'!$Q:$Q,'Business - Dump'!$D:$D,'SKU Repoprt'!$D652,'Business - Dump'!$A:$A,'SKU Repoprt'!M$1)</f>
        <v>20</v>
      </c>
      <c r="N652" s="3">
        <f>SUMIFS('Business - Dump'!$Q:$Q,'Business - Dump'!$D:$D,'SKU Repoprt'!$D652,'Business - Dump'!$A:$A,'SKU Repoprt'!N$1)</f>
        <v>6</v>
      </c>
      <c r="O652" s="3">
        <f>SUMIFS('Business - Dump'!$Q:$Q,'Business - Dump'!$D:$D,'SKU Repoprt'!$D652,'Business - Dump'!$A:$A,'SKU Repoprt'!O$1)</f>
        <v>3</v>
      </c>
      <c r="P652" s="3">
        <f>SUMIFS('Business - Dump'!$Q:$Q,'Business - Dump'!$D:$D,'SKU Repoprt'!$D652,'Business - Dump'!$A:$A,'SKU Repoprt'!P$1)</f>
        <v>3</v>
      </c>
      <c r="Q652" s="3">
        <f>SUMIFS('Business - Dump'!$Q:$Q,'Business - Dump'!$D:$D,'SKU Repoprt'!$D652,'Business - Dump'!$A:$A,'SKU Repoprt'!Q$1)</f>
        <v>15</v>
      </c>
      <c r="R652" s="3">
        <f>SUMIFS('Business - Dump'!$Q:$Q,'Business - Dump'!$D:$D,'SKU Repoprt'!$D652,'Business - Dump'!$A:$A,'SKU Repoprt'!R$1)</f>
        <v>4</v>
      </c>
      <c r="S652" s="3">
        <f>SUMIFS('Business - Dump'!$Q:$Q,'Business - Dump'!$D:$D,'SKU Repoprt'!$D652,'Business - Dump'!$A:$A,'SKU Repoprt'!S$1)</f>
        <v>4</v>
      </c>
      <c r="T652" s="3">
        <f>SUMIFS('Business - Dump'!$Q:$Q,'Business - Dump'!$D:$D,'SKU Repoprt'!$D652,'Business - Dump'!$A:$A,'SKU Repoprt'!T$1)</f>
        <v>1</v>
      </c>
      <c r="U652" s="3">
        <f>SUMIFS('Business - Dump'!$Q:$Q,'Business - Dump'!$D:$D,'SKU Repoprt'!$D652,'Business - Dump'!$A:$A,'SKU Repoprt'!U$1)</f>
        <v>5</v>
      </c>
      <c r="V652" s="3">
        <f>SUMIFS('Business - Dump'!$Q:$Q,'Business - Dump'!$D:$D,'SKU Repoprt'!$D652,'Business - Dump'!$A:$A,'SKU Repoprt'!V$1)</f>
        <v>4</v>
      </c>
      <c r="W652" s="3">
        <f>SUMIFS('Business - Dump'!$Q:$Q,'Business - Dump'!$D:$D,'SKU Repoprt'!$D652,'Business - Dump'!$A:$A,'SKU Repoprt'!W$1)</f>
        <v>6</v>
      </c>
    </row>
    <row r="653" ht="15.75" customHeight="1">
      <c r="A653" s="10" t="s">
        <v>1380</v>
      </c>
      <c r="B653" s="10" t="s">
        <v>230</v>
      </c>
      <c r="C653" s="10"/>
      <c r="D653" s="10" t="s">
        <v>398</v>
      </c>
      <c r="E653" s="10" t="s">
        <v>268</v>
      </c>
      <c r="F653" s="3">
        <f t="shared" si="217"/>
        <v>60</v>
      </c>
      <c r="G653" s="3">
        <f>SUMIFS('Business - Dump'!$W:$W,'Business - Dump'!$D:$D,'SKU Repoprt'!$D653,'Business - Dump'!$A:$A,'SKU Repoprt'!G$1)</f>
        <v>0</v>
      </c>
      <c r="H653" s="3">
        <f>SUMIFS('Business - Dump'!$W:$W,'Business - Dump'!$D:$D,'SKU Repoprt'!$D653,'Business - Dump'!$A:$A,'SKU Repoprt'!H$1)</f>
        <v>0</v>
      </c>
      <c r="I653" s="3">
        <f>SUMIFS('Business - Dump'!$W:$W,'Business - Dump'!$D:$D,'SKU Repoprt'!$D653,'Business - Dump'!$A:$A,'SKU Repoprt'!I$1)</f>
        <v>0</v>
      </c>
      <c r="J653" s="3">
        <f>SUMIFS('Business - Dump'!$W:$W,'Business - Dump'!$D:$D,'SKU Repoprt'!$D653,'Business - Dump'!$A:$A,'SKU Repoprt'!J$1)</f>
        <v>0</v>
      </c>
      <c r="K653" s="3">
        <f>SUMIFS('Business - Dump'!$W:$W,'Business - Dump'!$D:$D,'SKU Repoprt'!$D653,'Business - Dump'!$A:$A,'SKU Repoprt'!K$1)</f>
        <v>1</v>
      </c>
      <c r="L653" s="3">
        <f>SUMIFS('Business - Dump'!$W:$W,'Business - Dump'!$D:$D,'SKU Repoprt'!$D653,'Business - Dump'!$A:$A,'SKU Repoprt'!L$1)</f>
        <v>4</v>
      </c>
      <c r="M653" s="3">
        <f>SUMIFS('Business - Dump'!$W:$W,'Business - Dump'!$D:$D,'SKU Repoprt'!$D653,'Business - Dump'!$A:$A,'SKU Repoprt'!M$1)</f>
        <v>20</v>
      </c>
      <c r="N653" s="3">
        <f>SUMIFS('Business - Dump'!$W:$W,'Business - Dump'!$D:$D,'SKU Repoprt'!$D653,'Business - Dump'!$A:$A,'SKU Repoprt'!N$1)</f>
        <v>6</v>
      </c>
      <c r="O653" s="3">
        <f>SUMIFS('Business - Dump'!$W:$W,'Business - Dump'!$D:$D,'SKU Repoprt'!$D653,'Business - Dump'!$A:$A,'SKU Repoprt'!O$1)</f>
        <v>3</v>
      </c>
      <c r="P653" s="3">
        <f>SUMIFS('Business - Dump'!$W:$W,'Business - Dump'!$D:$D,'SKU Repoprt'!$D653,'Business - Dump'!$A:$A,'SKU Repoprt'!P$1)</f>
        <v>3</v>
      </c>
      <c r="Q653" s="3">
        <f>SUMIFS('Business - Dump'!$W:$W,'Business - Dump'!$D:$D,'SKU Repoprt'!$D653,'Business - Dump'!$A:$A,'SKU Repoprt'!Q$1)</f>
        <v>15</v>
      </c>
      <c r="R653" s="3">
        <f>SUMIFS('Business - Dump'!$W:$W,'Business - Dump'!$D:$D,'SKU Repoprt'!$D653,'Business - Dump'!$A:$A,'SKU Repoprt'!R$1)</f>
        <v>4</v>
      </c>
      <c r="S653" s="3">
        <f>SUMIFS('Business - Dump'!$W:$W,'Business - Dump'!$D:$D,'SKU Repoprt'!$D653,'Business - Dump'!$A:$A,'SKU Repoprt'!S$1)</f>
        <v>4</v>
      </c>
      <c r="T653" s="3">
        <f>SUMIFS('Business - Dump'!$W:$W,'Business - Dump'!$D:$D,'SKU Repoprt'!$D653,'Business - Dump'!$A:$A,'SKU Repoprt'!T$1)</f>
        <v>1</v>
      </c>
      <c r="U653" s="3">
        <f>SUMIFS('Business - Dump'!$W:$W,'Business - Dump'!$D:$D,'SKU Repoprt'!$D653,'Business - Dump'!$A:$A,'SKU Repoprt'!U$1)</f>
        <v>5</v>
      </c>
      <c r="V653" s="3">
        <f>SUMIFS('Business - Dump'!$W:$W,'Business - Dump'!$D:$D,'SKU Repoprt'!$D653,'Business - Dump'!$A:$A,'SKU Repoprt'!V$1)</f>
        <v>4</v>
      </c>
      <c r="W653" s="3">
        <f>SUMIFS('Business - Dump'!$W:$W,'Business - Dump'!$D:$D,'SKU Repoprt'!$D653,'Business - Dump'!$A:$A,'SKU Repoprt'!W$1)</f>
        <v>3</v>
      </c>
    </row>
    <row r="654" ht="15.75" customHeight="1">
      <c r="A654" s="10" t="s">
        <v>1380</v>
      </c>
      <c r="B654" s="10" t="s">
        <v>230</v>
      </c>
      <c r="C654" s="10"/>
      <c r="D654" s="10" t="s">
        <v>398</v>
      </c>
      <c r="E654" s="10" t="s">
        <v>26</v>
      </c>
      <c r="F654" s="16">
        <f t="shared" si="217"/>
        <v>1670799</v>
      </c>
      <c r="G654" s="16">
        <f>SUMIFS('Business - Dump'!$U:$U,'Business - Dump'!$D:$D,'SKU Repoprt'!$D654,'Business - Dump'!$A:$A,'SKU Repoprt'!G$1)</f>
        <v>0</v>
      </c>
      <c r="H654" s="16">
        <f>SUMIFS('Business - Dump'!$U:$U,'Business - Dump'!$D:$D,'SKU Repoprt'!$D654,'Business - Dump'!$A:$A,'SKU Repoprt'!H$1)</f>
        <v>0</v>
      </c>
      <c r="I654" s="16">
        <f>SUMIFS('Business - Dump'!$U:$U,'Business - Dump'!$D:$D,'SKU Repoprt'!$D654,'Business - Dump'!$A:$A,'SKU Repoprt'!I$1)</f>
        <v>0</v>
      </c>
      <c r="J654" s="16">
        <f>SUMIFS('Business - Dump'!$U:$U,'Business - Dump'!$D:$D,'SKU Repoprt'!$D654,'Business - Dump'!$A:$A,'SKU Repoprt'!J$1)</f>
        <v>0</v>
      </c>
      <c r="K654" s="16">
        <f>SUMIFS('Business - Dump'!$U:$U,'Business - Dump'!$D:$D,'SKU Repoprt'!$D654,'Business - Dump'!$A:$A,'SKU Repoprt'!K$1)</f>
        <v>27500</v>
      </c>
      <c r="L654" s="16">
        <f>SUMIFS('Business - Dump'!$U:$U,'Business - Dump'!$D:$D,'SKU Repoprt'!$D654,'Business - Dump'!$A:$A,'SKU Repoprt'!L$1)</f>
        <v>110862.72</v>
      </c>
      <c r="M654" s="16">
        <f>SUMIFS('Business - Dump'!$U:$U,'Business - Dump'!$D:$D,'SKU Repoprt'!$D654,'Business - Dump'!$A:$A,'SKU Repoprt'!M$1)</f>
        <v>553780.19</v>
      </c>
      <c r="N654" s="16">
        <f>SUMIFS('Business - Dump'!$U:$U,'Business - Dump'!$D:$D,'SKU Repoprt'!$D654,'Business - Dump'!$A:$A,'SKU Repoprt'!N$1)</f>
        <v>166500</v>
      </c>
      <c r="O654" s="16">
        <f>SUMIFS('Business - Dump'!$U:$U,'Business - Dump'!$D:$D,'SKU Repoprt'!$D654,'Business - Dump'!$A:$A,'SKU Repoprt'!O$1)</f>
        <v>83750</v>
      </c>
      <c r="P654" s="16">
        <f>SUMIFS('Business - Dump'!$U:$U,'Business - Dump'!$D:$D,'SKU Repoprt'!$D654,'Business - Dump'!$A:$A,'SKU Repoprt'!P$1)</f>
        <v>87004.24</v>
      </c>
      <c r="Q654" s="16">
        <f>SUMIFS('Business - Dump'!$U:$U,'Business - Dump'!$D:$D,'SKU Repoprt'!$D654,'Business - Dump'!$A:$A,'SKU Repoprt'!Q$1)</f>
        <v>414846.09</v>
      </c>
      <c r="R654" s="16">
        <f>SUMIFS('Business - Dump'!$U:$U,'Business - Dump'!$D:$D,'SKU Repoprt'!$D654,'Business - Dump'!$A:$A,'SKU Repoprt'!R$1)</f>
        <v>108955.76</v>
      </c>
      <c r="S654" s="16">
        <f>SUMIFS('Business - Dump'!$U:$U,'Business - Dump'!$D:$D,'SKU Repoprt'!$D654,'Business - Dump'!$A:$A,'SKU Repoprt'!S$1)</f>
        <v>117600</v>
      </c>
      <c r="T654" s="16">
        <f>SUMIFS('Business - Dump'!$U:$U,'Business - Dump'!$D:$D,'SKU Repoprt'!$D654,'Business - Dump'!$A:$A,'SKU Repoprt'!T$1)</f>
        <v>29400</v>
      </c>
      <c r="U654" s="16">
        <f>SUMIFS('Business - Dump'!$U:$U,'Business - Dump'!$D:$D,'SKU Repoprt'!$D654,'Business - Dump'!$A:$A,'SKU Repoprt'!U$1)</f>
        <v>148770</v>
      </c>
      <c r="V654" s="16">
        <f>SUMIFS('Business - Dump'!$U:$U,'Business - Dump'!$D:$D,'SKU Repoprt'!$D654,'Business - Dump'!$A:$A,'SKU Repoprt'!V$1)</f>
        <v>116302.7</v>
      </c>
      <c r="W654" s="16">
        <f>SUMIFS('Business - Dump'!$U:$U,'Business - Dump'!$D:$D,'SKU Repoprt'!$D654,'Business - Dump'!$A:$A,'SKU Repoprt'!W$1)</f>
        <v>174614.3</v>
      </c>
    </row>
    <row r="655" ht="15.75" customHeight="1">
      <c r="A655" s="10" t="s">
        <v>1380</v>
      </c>
      <c r="B655" s="10" t="s">
        <v>230</v>
      </c>
      <c r="C655" s="10"/>
      <c r="D655" s="10" t="s">
        <v>398</v>
      </c>
      <c r="E655" s="10" t="s">
        <v>29</v>
      </c>
      <c r="F655" s="17">
        <v>0.027042857142857143</v>
      </c>
      <c r="G655" s="17">
        <f t="shared" ref="G655:W655" si="218">IFERROR(G653/G650,0)</f>
        <v>0</v>
      </c>
      <c r="H655" s="17">
        <f t="shared" si="218"/>
        <v>0</v>
      </c>
      <c r="I655" s="17">
        <f t="shared" si="218"/>
        <v>0</v>
      </c>
      <c r="J655" s="17">
        <f t="shared" si="218"/>
        <v>0</v>
      </c>
      <c r="K655" s="17">
        <f t="shared" si="218"/>
        <v>0.005025125628</v>
      </c>
      <c r="L655" s="17">
        <f t="shared" si="218"/>
        <v>0.00498132005</v>
      </c>
      <c r="M655" s="17">
        <f t="shared" si="218"/>
        <v>0.01666666667</v>
      </c>
      <c r="N655" s="17">
        <f t="shared" si="218"/>
        <v>0.01724137931</v>
      </c>
      <c r="O655" s="17">
        <f t="shared" si="218"/>
        <v>0.005190311419</v>
      </c>
      <c r="P655" s="17">
        <f t="shared" si="218"/>
        <v>0.005357142857</v>
      </c>
      <c r="Q655" s="17">
        <f t="shared" si="218"/>
        <v>0.004458977408</v>
      </c>
      <c r="R655" s="17">
        <f t="shared" si="218"/>
        <v>0.003430531732</v>
      </c>
      <c r="S655" s="17">
        <f t="shared" si="218"/>
        <v>0.004993757803</v>
      </c>
      <c r="T655" s="17">
        <f t="shared" si="218"/>
        <v>0.001291989664</v>
      </c>
      <c r="U655" s="17">
        <f t="shared" si="218"/>
        <v>0.003711952487</v>
      </c>
      <c r="V655" s="17">
        <f t="shared" si="218"/>
        <v>0.006088280061</v>
      </c>
      <c r="W655" s="17">
        <f t="shared" si="218"/>
        <v>0.003296703297</v>
      </c>
    </row>
    <row r="656" ht="15.75" customHeight="1">
      <c r="A656" s="10" t="s">
        <v>1380</v>
      </c>
      <c r="B656" s="10" t="s">
        <v>230</v>
      </c>
      <c r="C656" s="10"/>
      <c r="D656" s="10" t="s">
        <v>375</v>
      </c>
      <c r="E656" s="10" t="s">
        <v>257</v>
      </c>
      <c r="F656" s="3">
        <f t="shared" ref="F656:F660" si="219">SUM(G656:S656)</f>
        <v>5147</v>
      </c>
      <c r="G656" s="3">
        <f>SUMIFS('Business - Dump'!$G:$G,'Business - Dump'!$D:$D,'SKU Repoprt'!$D656,'Business - Dump'!$A:$A,'SKU Repoprt'!G$1)</f>
        <v>0</v>
      </c>
      <c r="H656" s="3">
        <f>SUMIFS('Business - Dump'!$G:$G,'Business - Dump'!$D:$D,'SKU Repoprt'!$D656,'Business - Dump'!$A:$A,'SKU Repoprt'!H$1)</f>
        <v>0</v>
      </c>
      <c r="I656" s="3">
        <f>SUMIFS('Business - Dump'!$G:$G,'Business - Dump'!$D:$D,'SKU Repoprt'!$D656,'Business - Dump'!$A:$A,'SKU Repoprt'!I$1)</f>
        <v>0</v>
      </c>
      <c r="J656" s="3">
        <f>SUMIFS('Business - Dump'!$G:$G,'Business - Dump'!$D:$D,'SKU Repoprt'!$D656,'Business - Dump'!$A:$A,'SKU Repoprt'!J$1)</f>
        <v>0</v>
      </c>
      <c r="K656" s="3">
        <f>SUMIFS('Business - Dump'!$G:$G,'Business - Dump'!$D:$D,'SKU Repoprt'!$D656,'Business - Dump'!$A:$A,'SKU Repoprt'!K$1)</f>
        <v>452</v>
      </c>
      <c r="L656" s="3">
        <f>SUMIFS('Business - Dump'!$G:$G,'Business - Dump'!$D:$D,'SKU Repoprt'!$D656,'Business - Dump'!$A:$A,'SKU Repoprt'!L$1)</f>
        <v>458</v>
      </c>
      <c r="M656" s="3">
        <f>SUMIFS('Business - Dump'!$G:$G,'Business - Dump'!$D:$D,'SKU Repoprt'!$D656,'Business - Dump'!$A:$A,'SKU Repoprt'!M$1)</f>
        <v>673</v>
      </c>
      <c r="N656" s="3">
        <f>SUMIFS('Business - Dump'!$G:$G,'Business - Dump'!$D:$D,'SKU Repoprt'!$D656,'Business - Dump'!$A:$A,'SKU Repoprt'!N$1)</f>
        <v>211</v>
      </c>
      <c r="O656" s="3">
        <f>SUMIFS('Business - Dump'!$G:$G,'Business - Dump'!$D:$D,'SKU Repoprt'!$D656,'Business - Dump'!$A:$A,'SKU Repoprt'!O$1)</f>
        <v>389</v>
      </c>
      <c r="P656" s="3">
        <f>SUMIFS('Business - Dump'!$G:$G,'Business - Dump'!$D:$D,'SKU Repoprt'!$D656,'Business - Dump'!$A:$A,'SKU Repoprt'!P$1)</f>
        <v>339</v>
      </c>
      <c r="Q656" s="3">
        <f>SUMIFS('Business - Dump'!$G:$G,'Business - Dump'!$D:$D,'SKU Repoprt'!$D656,'Business - Dump'!$A:$A,'SKU Repoprt'!Q$1)</f>
        <v>1281</v>
      </c>
      <c r="R656" s="3">
        <f>SUMIFS('Business - Dump'!$G:$G,'Business - Dump'!$D:$D,'SKU Repoprt'!$D656,'Business - Dump'!$A:$A,'SKU Repoprt'!R$1)</f>
        <v>847</v>
      </c>
      <c r="S656" s="3">
        <f>SUMIFS('Business - Dump'!$G:$G,'Business - Dump'!$D:$D,'SKU Repoprt'!$D656,'Business - Dump'!$A:$A,'SKU Repoprt'!S$1)</f>
        <v>497</v>
      </c>
      <c r="T656" s="3">
        <f>SUMIFS('Business - Dump'!$G:$G,'Business - Dump'!$D:$D,'SKU Repoprt'!$D656,'Business - Dump'!$A:$A,'SKU Repoprt'!T$1)</f>
        <v>492</v>
      </c>
      <c r="U656" s="3">
        <f>SUMIFS('Business - Dump'!$G:$G,'Business - Dump'!$D:$D,'SKU Repoprt'!$D656,'Business - Dump'!$A:$A,'SKU Repoprt'!U$1)</f>
        <v>1325</v>
      </c>
      <c r="V656" s="3">
        <f>SUMIFS('Business - Dump'!$G:$G,'Business - Dump'!$D:$D,'SKU Repoprt'!$D656,'Business - Dump'!$A:$A,'SKU Repoprt'!V$1)</f>
        <v>987</v>
      </c>
      <c r="W656" s="3">
        <f>SUMIFS('Business - Dump'!$G:$G,'Business - Dump'!$D:$D,'SKU Repoprt'!$D656,'Business - Dump'!$A:$A,'SKU Repoprt'!W$1)</f>
        <v>1246</v>
      </c>
    </row>
    <row r="657" ht="15.75" customHeight="1">
      <c r="A657" s="10" t="s">
        <v>1380</v>
      </c>
      <c r="B657" s="10" t="s">
        <v>230</v>
      </c>
      <c r="C657" s="10"/>
      <c r="D657" s="10" t="s">
        <v>375</v>
      </c>
      <c r="E657" s="10" t="s">
        <v>260</v>
      </c>
      <c r="F657" s="3">
        <f t="shared" si="219"/>
        <v>7282</v>
      </c>
      <c r="G657" s="3">
        <f>SUMIFS('Business - Dump'!$K:$K,'Business - Dump'!$D:$D,'SKU Repoprt'!$D657,'Business - Dump'!$A:$A,'SKU Repoprt'!G$1)</f>
        <v>0</v>
      </c>
      <c r="H657" s="3">
        <f>SUMIFS('Business - Dump'!$K:$K,'Business - Dump'!$D:$D,'SKU Repoprt'!$D657,'Business - Dump'!$A:$A,'SKU Repoprt'!H$1)</f>
        <v>0</v>
      </c>
      <c r="I657" s="3">
        <f>SUMIFS('Business - Dump'!$K:$K,'Business - Dump'!$D:$D,'SKU Repoprt'!$D657,'Business - Dump'!$A:$A,'SKU Repoprt'!I$1)</f>
        <v>0</v>
      </c>
      <c r="J657" s="3">
        <f>SUMIFS('Business - Dump'!$K:$K,'Business - Dump'!$D:$D,'SKU Repoprt'!$D657,'Business - Dump'!$A:$A,'SKU Repoprt'!J$1)</f>
        <v>0</v>
      </c>
      <c r="K657" s="3">
        <f>SUMIFS('Business - Dump'!$K:$K,'Business - Dump'!$D:$D,'SKU Repoprt'!$D657,'Business - Dump'!$A:$A,'SKU Repoprt'!K$1)</f>
        <v>656</v>
      </c>
      <c r="L657" s="3">
        <f>SUMIFS('Business - Dump'!$K:$K,'Business - Dump'!$D:$D,'SKU Repoprt'!$D657,'Business - Dump'!$A:$A,'SKU Repoprt'!L$1)</f>
        <v>601</v>
      </c>
      <c r="M657" s="3">
        <f>SUMIFS('Business - Dump'!$K:$K,'Business - Dump'!$D:$D,'SKU Repoprt'!$D657,'Business - Dump'!$A:$A,'SKU Repoprt'!M$1)</f>
        <v>1094</v>
      </c>
      <c r="N657" s="3">
        <f>SUMIFS('Business - Dump'!$K:$K,'Business - Dump'!$D:$D,'SKU Repoprt'!$D657,'Business - Dump'!$A:$A,'SKU Repoprt'!N$1)</f>
        <v>276</v>
      </c>
      <c r="O657" s="3">
        <f>SUMIFS('Business - Dump'!$K:$K,'Business - Dump'!$D:$D,'SKU Repoprt'!$D657,'Business - Dump'!$A:$A,'SKU Repoprt'!O$1)</f>
        <v>555</v>
      </c>
      <c r="P657" s="3">
        <f>SUMIFS('Business - Dump'!$K:$K,'Business - Dump'!$D:$D,'SKU Repoprt'!$D657,'Business - Dump'!$A:$A,'SKU Repoprt'!P$1)</f>
        <v>435</v>
      </c>
      <c r="Q657" s="3">
        <f>SUMIFS('Business - Dump'!$K:$K,'Business - Dump'!$D:$D,'SKU Repoprt'!$D657,'Business - Dump'!$A:$A,'SKU Repoprt'!Q$1)</f>
        <v>1789</v>
      </c>
      <c r="R657" s="3">
        <f>SUMIFS('Business - Dump'!$K:$K,'Business - Dump'!$D:$D,'SKU Repoprt'!$D657,'Business - Dump'!$A:$A,'SKU Repoprt'!R$1)</f>
        <v>1211</v>
      </c>
      <c r="S657" s="3">
        <f>SUMIFS('Business - Dump'!$K:$K,'Business - Dump'!$D:$D,'SKU Repoprt'!$D657,'Business - Dump'!$A:$A,'SKU Repoprt'!S$1)</f>
        <v>665</v>
      </c>
      <c r="T657" s="3">
        <f>SUMIFS('Business - Dump'!$K:$K,'Business - Dump'!$D:$D,'SKU Repoprt'!$D657,'Business - Dump'!$A:$A,'SKU Repoprt'!T$1)</f>
        <v>649</v>
      </c>
      <c r="U657" s="3">
        <f>SUMIFS('Business - Dump'!$K:$K,'Business - Dump'!$D:$D,'SKU Repoprt'!$D657,'Business - Dump'!$A:$A,'SKU Repoprt'!U$1)</f>
        <v>1846</v>
      </c>
      <c r="V657" s="3">
        <f>SUMIFS('Business - Dump'!$K:$K,'Business - Dump'!$D:$D,'SKU Repoprt'!$D657,'Business - Dump'!$A:$A,'SKU Repoprt'!V$1)</f>
        <v>1302</v>
      </c>
      <c r="W657" s="3">
        <f>SUMIFS('Business - Dump'!$K:$K,'Business - Dump'!$D:$D,'SKU Repoprt'!$D657,'Business - Dump'!$A:$A,'SKU Repoprt'!W$1)</f>
        <v>1639</v>
      </c>
    </row>
    <row r="658" ht="15.75" customHeight="1">
      <c r="A658" s="10" t="s">
        <v>1380</v>
      </c>
      <c r="B658" s="10" t="s">
        <v>230</v>
      </c>
      <c r="C658" s="10"/>
      <c r="D658" s="10" t="s">
        <v>375</v>
      </c>
      <c r="E658" s="10" t="s">
        <v>264</v>
      </c>
      <c r="F658" s="3">
        <f t="shared" si="219"/>
        <v>41</v>
      </c>
      <c r="G658" s="3">
        <f>SUMIFS('Business - Dump'!$Q:$Q,'Business - Dump'!$D:$D,'SKU Repoprt'!$D658,'Business - Dump'!$A:$A,'SKU Repoprt'!G$1)</f>
        <v>0</v>
      </c>
      <c r="H658" s="3">
        <f>SUMIFS('Business - Dump'!$Q:$Q,'Business - Dump'!$D:$D,'SKU Repoprt'!$D658,'Business - Dump'!$A:$A,'SKU Repoprt'!H$1)</f>
        <v>0</v>
      </c>
      <c r="I658" s="3">
        <f>SUMIFS('Business - Dump'!$Q:$Q,'Business - Dump'!$D:$D,'SKU Repoprt'!$D658,'Business - Dump'!$A:$A,'SKU Repoprt'!I$1)</f>
        <v>0</v>
      </c>
      <c r="J658" s="3">
        <f>SUMIFS('Business - Dump'!$Q:$Q,'Business - Dump'!$D:$D,'SKU Repoprt'!$D658,'Business - Dump'!$A:$A,'SKU Repoprt'!J$1)</f>
        <v>0</v>
      </c>
      <c r="K658" s="3">
        <f>SUMIFS('Business - Dump'!$Q:$Q,'Business - Dump'!$D:$D,'SKU Repoprt'!$D658,'Business - Dump'!$A:$A,'SKU Repoprt'!K$1)</f>
        <v>6</v>
      </c>
      <c r="L658" s="3">
        <f>SUMIFS('Business - Dump'!$Q:$Q,'Business - Dump'!$D:$D,'SKU Repoprt'!$D658,'Business - Dump'!$A:$A,'SKU Repoprt'!L$1)</f>
        <v>6</v>
      </c>
      <c r="M658" s="3">
        <f>SUMIFS('Business - Dump'!$Q:$Q,'Business - Dump'!$D:$D,'SKU Repoprt'!$D658,'Business - Dump'!$A:$A,'SKU Repoprt'!M$1)</f>
        <v>6</v>
      </c>
      <c r="N658" s="3">
        <f>SUMIFS('Business - Dump'!$Q:$Q,'Business - Dump'!$D:$D,'SKU Repoprt'!$D658,'Business - Dump'!$A:$A,'SKU Repoprt'!N$1)</f>
        <v>0</v>
      </c>
      <c r="O658" s="3">
        <f>SUMIFS('Business - Dump'!$Q:$Q,'Business - Dump'!$D:$D,'SKU Repoprt'!$D658,'Business - Dump'!$A:$A,'SKU Repoprt'!O$1)</f>
        <v>4</v>
      </c>
      <c r="P658" s="3">
        <f>SUMIFS('Business - Dump'!$Q:$Q,'Business - Dump'!$D:$D,'SKU Repoprt'!$D658,'Business - Dump'!$A:$A,'SKU Repoprt'!P$1)</f>
        <v>2</v>
      </c>
      <c r="Q658" s="3">
        <f>SUMIFS('Business - Dump'!$Q:$Q,'Business - Dump'!$D:$D,'SKU Repoprt'!$D658,'Business - Dump'!$A:$A,'SKU Repoprt'!Q$1)</f>
        <v>7</v>
      </c>
      <c r="R658" s="3">
        <f>SUMIFS('Business - Dump'!$Q:$Q,'Business - Dump'!$D:$D,'SKU Repoprt'!$D658,'Business - Dump'!$A:$A,'SKU Repoprt'!R$1)</f>
        <v>7</v>
      </c>
      <c r="S658" s="3">
        <f>SUMIFS('Business - Dump'!$Q:$Q,'Business - Dump'!$D:$D,'SKU Repoprt'!$D658,'Business - Dump'!$A:$A,'SKU Repoprt'!S$1)</f>
        <v>3</v>
      </c>
      <c r="T658" s="3">
        <f>SUMIFS('Business - Dump'!$Q:$Q,'Business - Dump'!$D:$D,'SKU Repoprt'!$D658,'Business - Dump'!$A:$A,'SKU Repoprt'!T$1)</f>
        <v>3</v>
      </c>
      <c r="U658" s="3">
        <f>SUMIFS('Business - Dump'!$Q:$Q,'Business - Dump'!$D:$D,'SKU Repoprt'!$D658,'Business - Dump'!$A:$A,'SKU Repoprt'!U$1)</f>
        <v>8</v>
      </c>
      <c r="V658" s="3">
        <f>SUMIFS('Business - Dump'!$Q:$Q,'Business - Dump'!$D:$D,'SKU Repoprt'!$D658,'Business - Dump'!$A:$A,'SKU Repoprt'!V$1)</f>
        <v>3</v>
      </c>
      <c r="W658" s="3">
        <f>SUMIFS('Business - Dump'!$Q:$Q,'Business - Dump'!$D:$D,'SKU Repoprt'!$D658,'Business - Dump'!$A:$A,'SKU Repoprt'!W$1)</f>
        <v>6</v>
      </c>
    </row>
    <row r="659" ht="15.75" customHeight="1">
      <c r="A659" s="10" t="s">
        <v>1380</v>
      </c>
      <c r="B659" s="10" t="s">
        <v>230</v>
      </c>
      <c r="C659" s="10"/>
      <c r="D659" s="10" t="s">
        <v>375</v>
      </c>
      <c r="E659" s="10" t="s">
        <v>268</v>
      </c>
      <c r="F659" s="3">
        <f t="shared" si="219"/>
        <v>41</v>
      </c>
      <c r="G659" s="3">
        <f>SUMIFS('Business - Dump'!$W:$W,'Business - Dump'!$D:$D,'SKU Repoprt'!$D659,'Business - Dump'!$A:$A,'SKU Repoprt'!G$1)</f>
        <v>0</v>
      </c>
      <c r="H659" s="3">
        <f>SUMIFS('Business - Dump'!$W:$W,'Business - Dump'!$D:$D,'SKU Repoprt'!$D659,'Business - Dump'!$A:$A,'SKU Repoprt'!H$1)</f>
        <v>0</v>
      </c>
      <c r="I659" s="3">
        <f>SUMIFS('Business - Dump'!$W:$W,'Business - Dump'!$D:$D,'SKU Repoprt'!$D659,'Business - Dump'!$A:$A,'SKU Repoprt'!I$1)</f>
        <v>0</v>
      </c>
      <c r="J659" s="3">
        <f>SUMIFS('Business - Dump'!$W:$W,'Business - Dump'!$D:$D,'SKU Repoprt'!$D659,'Business - Dump'!$A:$A,'SKU Repoprt'!J$1)</f>
        <v>0</v>
      </c>
      <c r="K659" s="3">
        <f>SUMIFS('Business - Dump'!$W:$W,'Business - Dump'!$D:$D,'SKU Repoprt'!$D659,'Business - Dump'!$A:$A,'SKU Repoprt'!K$1)</f>
        <v>6</v>
      </c>
      <c r="L659" s="3">
        <f>SUMIFS('Business - Dump'!$W:$W,'Business - Dump'!$D:$D,'SKU Repoprt'!$D659,'Business - Dump'!$A:$A,'SKU Repoprt'!L$1)</f>
        <v>6</v>
      </c>
      <c r="M659" s="3">
        <f>SUMIFS('Business - Dump'!$W:$W,'Business - Dump'!$D:$D,'SKU Repoprt'!$D659,'Business - Dump'!$A:$A,'SKU Repoprt'!M$1)</f>
        <v>6</v>
      </c>
      <c r="N659" s="3">
        <f>SUMIFS('Business - Dump'!$W:$W,'Business - Dump'!$D:$D,'SKU Repoprt'!$D659,'Business - Dump'!$A:$A,'SKU Repoprt'!N$1)</f>
        <v>0</v>
      </c>
      <c r="O659" s="3">
        <f>SUMIFS('Business - Dump'!$W:$W,'Business - Dump'!$D:$D,'SKU Repoprt'!$D659,'Business - Dump'!$A:$A,'SKU Repoprt'!O$1)</f>
        <v>4</v>
      </c>
      <c r="P659" s="3">
        <f>SUMIFS('Business - Dump'!$W:$W,'Business - Dump'!$D:$D,'SKU Repoprt'!$D659,'Business - Dump'!$A:$A,'SKU Repoprt'!P$1)</f>
        <v>2</v>
      </c>
      <c r="Q659" s="3">
        <f>SUMIFS('Business - Dump'!$W:$W,'Business - Dump'!$D:$D,'SKU Repoprt'!$D659,'Business - Dump'!$A:$A,'SKU Repoprt'!Q$1)</f>
        <v>7</v>
      </c>
      <c r="R659" s="3">
        <f>SUMIFS('Business - Dump'!$W:$W,'Business - Dump'!$D:$D,'SKU Repoprt'!$D659,'Business - Dump'!$A:$A,'SKU Repoprt'!R$1)</f>
        <v>7</v>
      </c>
      <c r="S659" s="3">
        <f>SUMIFS('Business - Dump'!$W:$W,'Business - Dump'!$D:$D,'SKU Repoprt'!$D659,'Business - Dump'!$A:$A,'SKU Repoprt'!S$1)</f>
        <v>3</v>
      </c>
      <c r="T659" s="3">
        <f>SUMIFS('Business - Dump'!$W:$W,'Business - Dump'!$D:$D,'SKU Repoprt'!$D659,'Business - Dump'!$A:$A,'SKU Repoprt'!T$1)</f>
        <v>3</v>
      </c>
      <c r="U659" s="3">
        <f>SUMIFS('Business - Dump'!$W:$W,'Business - Dump'!$D:$D,'SKU Repoprt'!$D659,'Business - Dump'!$A:$A,'SKU Repoprt'!U$1)</f>
        <v>8</v>
      </c>
      <c r="V659" s="3">
        <f>SUMIFS('Business - Dump'!$W:$W,'Business - Dump'!$D:$D,'SKU Repoprt'!$D659,'Business - Dump'!$A:$A,'SKU Repoprt'!V$1)</f>
        <v>3</v>
      </c>
      <c r="W659" s="3">
        <f>SUMIFS('Business - Dump'!$W:$W,'Business - Dump'!$D:$D,'SKU Repoprt'!$D659,'Business - Dump'!$A:$A,'SKU Repoprt'!W$1)</f>
        <v>6</v>
      </c>
    </row>
    <row r="660" ht="15.75" customHeight="1">
      <c r="A660" s="10" t="s">
        <v>1380</v>
      </c>
      <c r="B660" s="10" t="s">
        <v>230</v>
      </c>
      <c r="C660" s="10"/>
      <c r="D660" s="10" t="s">
        <v>375</v>
      </c>
      <c r="E660" s="10" t="s">
        <v>26</v>
      </c>
      <c r="F660" s="16">
        <f t="shared" si="219"/>
        <v>1037055.24</v>
      </c>
      <c r="G660" s="16">
        <f>SUMIFS('Business - Dump'!$U:$U,'Business - Dump'!$D:$D,'SKU Repoprt'!$D660,'Business - Dump'!$A:$A,'SKU Repoprt'!G$1)</f>
        <v>0</v>
      </c>
      <c r="H660" s="16">
        <f>SUMIFS('Business - Dump'!$U:$U,'Business - Dump'!$D:$D,'SKU Repoprt'!$D660,'Business - Dump'!$A:$A,'SKU Repoprt'!H$1)</f>
        <v>0</v>
      </c>
      <c r="I660" s="16">
        <f>SUMIFS('Business - Dump'!$U:$U,'Business - Dump'!$D:$D,'SKU Repoprt'!$D660,'Business - Dump'!$A:$A,'SKU Repoprt'!I$1)</f>
        <v>0</v>
      </c>
      <c r="J660" s="16">
        <f>SUMIFS('Business - Dump'!$U:$U,'Business - Dump'!$D:$D,'SKU Repoprt'!$D660,'Business - Dump'!$A:$A,'SKU Repoprt'!J$1)</f>
        <v>0</v>
      </c>
      <c r="K660" s="16">
        <f>SUMIFS('Business - Dump'!$U:$U,'Business - Dump'!$D:$D,'SKU Repoprt'!$D660,'Business - Dump'!$A:$A,'SKU Repoprt'!K$1)</f>
        <v>150000</v>
      </c>
      <c r="L660" s="16">
        <f>SUMIFS('Business - Dump'!$U:$U,'Business - Dump'!$D:$D,'SKU Repoprt'!$D660,'Business - Dump'!$A:$A,'SKU Repoprt'!L$1)</f>
        <v>149908.48</v>
      </c>
      <c r="M660" s="16">
        <f>SUMIFS('Business - Dump'!$U:$U,'Business - Dump'!$D:$D,'SKU Repoprt'!$D660,'Business - Dump'!$A:$A,'SKU Repoprt'!M$1)</f>
        <v>149876.44</v>
      </c>
      <c r="N660" s="16">
        <f>SUMIFS('Business - Dump'!$U:$U,'Business - Dump'!$D:$D,'SKU Repoprt'!$D660,'Business - Dump'!$A:$A,'SKU Repoprt'!N$1)</f>
        <v>0</v>
      </c>
      <c r="O660" s="16">
        <f>SUMIFS('Business - Dump'!$U:$U,'Business - Dump'!$D:$D,'SKU Repoprt'!$D660,'Business - Dump'!$A:$A,'SKU Repoprt'!O$1)</f>
        <v>102000</v>
      </c>
      <c r="P660" s="16">
        <f>SUMIFS('Business - Dump'!$U:$U,'Business - Dump'!$D:$D,'SKU Repoprt'!$D660,'Business - Dump'!$A:$A,'SKU Repoprt'!P$1)</f>
        <v>55450</v>
      </c>
      <c r="Q660" s="16">
        <f>SUMIFS('Business - Dump'!$U:$U,'Business - Dump'!$D:$D,'SKU Repoprt'!$D660,'Business - Dump'!$A:$A,'SKU Repoprt'!Q$1)</f>
        <v>174847.28</v>
      </c>
      <c r="R660" s="16">
        <f>SUMIFS('Business - Dump'!$U:$U,'Business - Dump'!$D:$D,'SKU Repoprt'!$D660,'Business - Dump'!$A:$A,'SKU Repoprt'!R$1)</f>
        <v>173161.52</v>
      </c>
      <c r="S660" s="16">
        <f>SUMIFS('Business - Dump'!$U:$U,'Business - Dump'!$D:$D,'SKU Repoprt'!$D660,'Business - Dump'!$A:$A,'SKU Repoprt'!S$1)</f>
        <v>81811.52</v>
      </c>
      <c r="T660" s="16">
        <f>SUMIFS('Business - Dump'!$U:$U,'Business - Dump'!$D:$D,'SKU Repoprt'!$D660,'Business - Dump'!$A:$A,'SKU Repoprt'!T$1)</f>
        <v>81811.52</v>
      </c>
      <c r="U660" s="16">
        <f>SUMIFS('Business - Dump'!$U:$U,'Business - Dump'!$D:$D,'SKU Repoprt'!$D660,'Business - Dump'!$A:$A,'SKU Repoprt'!U$1)</f>
        <v>214861.2</v>
      </c>
      <c r="V660" s="16">
        <f>SUMIFS('Business - Dump'!$U:$U,'Business - Dump'!$D:$D,'SKU Repoprt'!$D660,'Business - Dump'!$A:$A,'SKU Repoprt'!V$1)</f>
        <v>80984.24</v>
      </c>
      <c r="W660" s="16">
        <f>SUMIFS('Business - Dump'!$U:$U,'Business - Dump'!$D:$D,'SKU Repoprt'!$D660,'Business - Dump'!$A:$A,'SKU Repoprt'!W$1)</f>
        <v>163999.2</v>
      </c>
    </row>
    <row r="661" ht="15.75" customHeight="1">
      <c r="A661" s="10" t="s">
        <v>1380</v>
      </c>
      <c r="B661" s="10" t="s">
        <v>230</v>
      </c>
      <c r="C661" s="10"/>
      <c r="D661" s="10" t="s">
        <v>375</v>
      </c>
      <c r="E661" s="10" t="s">
        <v>29</v>
      </c>
      <c r="F661" s="17">
        <v>0.027042857142857143</v>
      </c>
      <c r="G661" s="17">
        <f t="shared" ref="G661:W661" si="220">IFERROR(G659/G656,0)</f>
        <v>0</v>
      </c>
      <c r="H661" s="17">
        <f t="shared" si="220"/>
        <v>0</v>
      </c>
      <c r="I661" s="17">
        <f t="shared" si="220"/>
        <v>0</v>
      </c>
      <c r="J661" s="17">
        <f t="shared" si="220"/>
        <v>0</v>
      </c>
      <c r="K661" s="17">
        <f t="shared" si="220"/>
        <v>0.01327433628</v>
      </c>
      <c r="L661" s="17">
        <f t="shared" si="220"/>
        <v>0.01310043668</v>
      </c>
      <c r="M661" s="17">
        <f t="shared" si="220"/>
        <v>0.008915304606</v>
      </c>
      <c r="N661" s="17">
        <f t="shared" si="220"/>
        <v>0</v>
      </c>
      <c r="O661" s="17">
        <f t="shared" si="220"/>
        <v>0.01028277635</v>
      </c>
      <c r="P661" s="17">
        <f t="shared" si="220"/>
        <v>0.005899705015</v>
      </c>
      <c r="Q661" s="17">
        <f t="shared" si="220"/>
        <v>0.005464480874</v>
      </c>
      <c r="R661" s="17">
        <f t="shared" si="220"/>
        <v>0.00826446281</v>
      </c>
      <c r="S661" s="17">
        <f t="shared" si="220"/>
        <v>0.006036217304</v>
      </c>
      <c r="T661" s="17">
        <f t="shared" si="220"/>
        <v>0.006097560976</v>
      </c>
      <c r="U661" s="17">
        <f t="shared" si="220"/>
        <v>0.006037735849</v>
      </c>
      <c r="V661" s="17">
        <f t="shared" si="220"/>
        <v>0.003039513678</v>
      </c>
      <c r="W661" s="17">
        <f t="shared" si="220"/>
        <v>0.00481540931</v>
      </c>
    </row>
    <row r="662" ht="15.75" customHeight="1">
      <c r="A662" s="10" t="s">
        <v>1380</v>
      </c>
      <c r="B662" s="10" t="s">
        <v>230</v>
      </c>
      <c r="C662" s="10"/>
      <c r="D662" s="10" t="s">
        <v>404</v>
      </c>
      <c r="E662" s="10" t="s">
        <v>257</v>
      </c>
      <c r="F662" s="3">
        <f t="shared" ref="F662:F666" si="221">SUM(G662:S662)</f>
        <v>156</v>
      </c>
      <c r="G662" s="3">
        <f>SUMIFS('Business - Dump'!$G:$G,'Business - Dump'!$D:$D,'SKU Repoprt'!$D662,'Business - Dump'!$A:$A,'SKU Repoprt'!G$1)</f>
        <v>0</v>
      </c>
      <c r="H662" s="3">
        <f>SUMIFS('Business - Dump'!$G:$G,'Business - Dump'!$D:$D,'SKU Repoprt'!$D662,'Business - Dump'!$A:$A,'SKU Repoprt'!H$1)</f>
        <v>0</v>
      </c>
      <c r="I662" s="3">
        <f>SUMIFS('Business - Dump'!$G:$G,'Business - Dump'!$D:$D,'SKU Repoprt'!$D662,'Business - Dump'!$A:$A,'SKU Repoprt'!I$1)</f>
        <v>0</v>
      </c>
      <c r="J662" s="3">
        <f>SUMIFS('Business - Dump'!$G:$G,'Business - Dump'!$D:$D,'SKU Repoprt'!$D662,'Business - Dump'!$A:$A,'SKU Repoprt'!J$1)</f>
        <v>0</v>
      </c>
      <c r="K662" s="3">
        <f>SUMIFS('Business - Dump'!$G:$G,'Business - Dump'!$D:$D,'SKU Repoprt'!$D662,'Business - Dump'!$A:$A,'SKU Repoprt'!K$1)</f>
        <v>0</v>
      </c>
      <c r="L662" s="3">
        <f>SUMIFS('Business - Dump'!$G:$G,'Business - Dump'!$D:$D,'SKU Repoprt'!$D662,'Business - Dump'!$A:$A,'SKU Repoprt'!L$1)</f>
        <v>0</v>
      </c>
      <c r="M662" s="3">
        <f>SUMIFS('Business - Dump'!$G:$G,'Business - Dump'!$D:$D,'SKU Repoprt'!$D662,'Business - Dump'!$A:$A,'SKU Repoprt'!M$1)</f>
        <v>0</v>
      </c>
      <c r="N662" s="3">
        <f>SUMIFS('Business - Dump'!$G:$G,'Business - Dump'!$D:$D,'SKU Repoprt'!$D662,'Business - Dump'!$A:$A,'SKU Repoprt'!N$1)</f>
        <v>0</v>
      </c>
      <c r="O662" s="3">
        <f>SUMIFS('Business - Dump'!$G:$G,'Business - Dump'!$D:$D,'SKU Repoprt'!$D662,'Business - Dump'!$A:$A,'SKU Repoprt'!O$1)</f>
        <v>21</v>
      </c>
      <c r="P662" s="3">
        <f>SUMIFS('Business - Dump'!$G:$G,'Business - Dump'!$D:$D,'SKU Repoprt'!$D662,'Business - Dump'!$A:$A,'SKU Repoprt'!P$1)</f>
        <v>1</v>
      </c>
      <c r="Q662" s="3">
        <f>SUMIFS('Business - Dump'!$G:$G,'Business - Dump'!$D:$D,'SKU Repoprt'!$D662,'Business - Dump'!$A:$A,'SKU Repoprt'!Q$1)</f>
        <v>8</v>
      </c>
      <c r="R662" s="3">
        <f>SUMIFS('Business - Dump'!$G:$G,'Business - Dump'!$D:$D,'SKU Repoprt'!$D662,'Business - Dump'!$A:$A,'SKU Repoprt'!R$1)</f>
        <v>65</v>
      </c>
      <c r="S662" s="3">
        <f>SUMIFS('Business - Dump'!$G:$G,'Business - Dump'!$D:$D,'SKU Repoprt'!$D662,'Business - Dump'!$A:$A,'SKU Repoprt'!S$1)</f>
        <v>61</v>
      </c>
      <c r="T662" s="3">
        <f>SUMIFS('Business - Dump'!$G:$G,'Business - Dump'!$D:$D,'SKU Repoprt'!$D662,'Business - Dump'!$A:$A,'SKU Repoprt'!T$1)</f>
        <v>129</v>
      </c>
      <c r="U662" s="3">
        <f>SUMIFS('Business - Dump'!$G:$G,'Business - Dump'!$D:$D,'SKU Repoprt'!$D662,'Business - Dump'!$A:$A,'SKU Repoprt'!U$1)</f>
        <v>124</v>
      </c>
      <c r="V662" s="3">
        <f>SUMIFS('Business - Dump'!$G:$G,'Business - Dump'!$D:$D,'SKU Repoprt'!$D662,'Business - Dump'!$A:$A,'SKU Repoprt'!V$1)</f>
        <v>66</v>
      </c>
      <c r="W662" s="3">
        <f>SUMIFS('Business - Dump'!$G:$G,'Business - Dump'!$D:$D,'SKU Repoprt'!$D662,'Business - Dump'!$A:$A,'SKU Repoprt'!W$1)</f>
        <v>87</v>
      </c>
    </row>
    <row r="663" ht="15.75" customHeight="1">
      <c r="A663" s="10" t="s">
        <v>1380</v>
      </c>
      <c r="B663" s="10" t="s">
        <v>230</v>
      </c>
      <c r="C663" s="10"/>
      <c r="D663" s="10" t="s">
        <v>404</v>
      </c>
      <c r="E663" s="10" t="s">
        <v>260</v>
      </c>
      <c r="F663" s="3">
        <f t="shared" si="221"/>
        <v>246</v>
      </c>
      <c r="G663" s="3">
        <f>SUMIFS('Business - Dump'!$K:$K,'Business - Dump'!$D:$D,'SKU Repoprt'!$D663,'Business - Dump'!$A:$A,'SKU Repoprt'!G$1)</f>
        <v>0</v>
      </c>
      <c r="H663" s="3">
        <f>SUMIFS('Business - Dump'!$K:$K,'Business - Dump'!$D:$D,'SKU Repoprt'!$D663,'Business - Dump'!$A:$A,'SKU Repoprt'!H$1)</f>
        <v>0</v>
      </c>
      <c r="I663" s="3">
        <f>SUMIFS('Business - Dump'!$K:$K,'Business - Dump'!$D:$D,'SKU Repoprt'!$D663,'Business - Dump'!$A:$A,'SKU Repoprt'!I$1)</f>
        <v>0</v>
      </c>
      <c r="J663" s="3">
        <f>SUMIFS('Business - Dump'!$K:$K,'Business - Dump'!$D:$D,'SKU Repoprt'!$D663,'Business - Dump'!$A:$A,'SKU Repoprt'!J$1)</f>
        <v>0</v>
      </c>
      <c r="K663" s="3">
        <f>SUMIFS('Business - Dump'!$K:$K,'Business - Dump'!$D:$D,'SKU Repoprt'!$D663,'Business - Dump'!$A:$A,'SKU Repoprt'!K$1)</f>
        <v>0</v>
      </c>
      <c r="L663" s="3">
        <f>SUMIFS('Business - Dump'!$K:$K,'Business - Dump'!$D:$D,'SKU Repoprt'!$D663,'Business - Dump'!$A:$A,'SKU Repoprt'!L$1)</f>
        <v>0</v>
      </c>
      <c r="M663" s="3">
        <f>SUMIFS('Business - Dump'!$K:$K,'Business - Dump'!$D:$D,'SKU Repoprt'!$D663,'Business - Dump'!$A:$A,'SKU Repoprt'!M$1)</f>
        <v>0</v>
      </c>
      <c r="N663" s="3">
        <f>SUMIFS('Business - Dump'!$K:$K,'Business - Dump'!$D:$D,'SKU Repoprt'!$D663,'Business - Dump'!$A:$A,'SKU Repoprt'!N$1)</f>
        <v>0</v>
      </c>
      <c r="O663" s="3">
        <f>SUMIFS('Business - Dump'!$K:$K,'Business - Dump'!$D:$D,'SKU Repoprt'!$D663,'Business - Dump'!$A:$A,'SKU Repoprt'!O$1)</f>
        <v>26</v>
      </c>
      <c r="P663" s="3">
        <f>SUMIFS('Business - Dump'!$K:$K,'Business - Dump'!$D:$D,'SKU Repoprt'!$D663,'Business - Dump'!$A:$A,'SKU Repoprt'!P$1)</f>
        <v>1</v>
      </c>
      <c r="Q663" s="3">
        <f>SUMIFS('Business - Dump'!$K:$K,'Business - Dump'!$D:$D,'SKU Repoprt'!$D663,'Business - Dump'!$A:$A,'SKU Repoprt'!Q$1)</f>
        <v>12</v>
      </c>
      <c r="R663" s="3">
        <f>SUMIFS('Business - Dump'!$K:$K,'Business - Dump'!$D:$D,'SKU Repoprt'!$D663,'Business - Dump'!$A:$A,'SKU Repoprt'!R$1)</f>
        <v>97</v>
      </c>
      <c r="S663" s="3">
        <f>SUMIFS('Business - Dump'!$K:$K,'Business - Dump'!$D:$D,'SKU Repoprt'!$D663,'Business - Dump'!$A:$A,'SKU Repoprt'!S$1)</f>
        <v>110</v>
      </c>
      <c r="T663" s="3">
        <f>SUMIFS('Business - Dump'!$K:$K,'Business - Dump'!$D:$D,'SKU Repoprt'!$D663,'Business - Dump'!$A:$A,'SKU Repoprt'!T$1)</f>
        <v>207</v>
      </c>
      <c r="U663" s="3">
        <f>SUMIFS('Business - Dump'!$K:$K,'Business - Dump'!$D:$D,'SKU Repoprt'!$D663,'Business - Dump'!$A:$A,'SKU Repoprt'!U$1)</f>
        <v>160</v>
      </c>
      <c r="V663" s="3">
        <f>SUMIFS('Business - Dump'!$K:$K,'Business - Dump'!$D:$D,'SKU Repoprt'!$D663,'Business - Dump'!$A:$A,'SKU Repoprt'!V$1)</f>
        <v>82</v>
      </c>
      <c r="W663" s="3">
        <f>SUMIFS('Business - Dump'!$K:$K,'Business - Dump'!$D:$D,'SKU Repoprt'!$D663,'Business - Dump'!$A:$A,'SKU Repoprt'!W$1)</f>
        <v>114</v>
      </c>
    </row>
    <row r="664" ht="15.75" customHeight="1">
      <c r="A664" s="10" t="s">
        <v>1380</v>
      </c>
      <c r="B664" s="10" t="s">
        <v>230</v>
      </c>
      <c r="C664" s="10"/>
      <c r="D664" s="10" t="s">
        <v>404</v>
      </c>
      <c r="E664" s="10" t="s">
        <v>264</v>
      </c>
      <c r="F664" s="3">
        <f t="shared" si="221"/>
        <v>4</v>
      </c>
      <c r="G664" s="3">
        <f>SUMIFS('Business - Dump'!$Q:$Q,'Business - Dump'!$D:$D,'SKU Repoprt'!$D664,'Business - Dump'!$A:$A,'SKU Repoprt'!G$1)</f>
        <v>0</v>
      </c>
      <c r="H664" s="3">
        <f>SUMIFS('Business - Dump'!$Q:$Q,'Business - Dump'!$D:$D,'SKU Repoprt'!$D664,'Business - Dump'!$A:$A,'SKU Repoprt'!H$1)</f>
        <v>0</v>
      </c>
      <c r="I664" s="3">
        <f>SUMIFS('Business - Dump'!$Q:$Q,'Business - Dump'!$D:$D,'SKU Repoprt'!$D664,'Business - Dump'!$A:$A,'SKU Repoprt'!I$1)</f>
        <v>0</v>
      </c>
      <c r="J664" s="3">
        <f>SUMIFS('Business - Dump'!$Q:$Q,'Business - Dump'!$D:$D,'SKU Repoprt'!$D664,'Business - Dump'!$A:$A,'SKU Repoprt'!J$1)</f>
        <v>0</v>
      </c>
      <c r="K664" s="3">
        <f>SUMIFS('Business - Dump'!$Q:$Q,'Business - Dump'!$D:$D,'SKU Repoprt'!$D664,'Business - Dump'!$A:$A,'SKU Repoprt'!K$1)</f>
        <v>0</v>
      </c>
      <c r="L664" s="3">
        <f>SUMIFS('Business - Dump'!$Q:$Q,'Business - Dump'!$D:$D,'SKU Repoprt'!$D664,'Business - Dump'!$A:$A,'SKU Repoprt'!L$1)</f>
        <v>0</v>
      </c>
      <c r="M664" s="3">
        <f>SUMIFS('Business - Dump'!$Q:$Q,'Business - Dump'!$D:$D,'SKU Repoprt'!$D664,'Business - Dump'!$A:$A,'SKU Repoprt'!M$1)</f>
        <v>0</v>
      </c>
      <c r="N664" s="3">
        <f>SUMIFS('Business - Dump'!$Q:$Q,'Business - Dump'!$D:$D,'SKU Repoprt'!$D664,'Business - Dump'!$A:$A,'SKU Repoprt'!N$1)</f>
        <v>0</v>
      </c>
      <c r="O664" s="3">
        <f>SUMIFS('Business - Dump'!$Q:$Q,'Business - Dump'!$D:$D,'SKU Repoprt'!$D664,'Business - Dump'!$A:$A,'SKU Repoprt'!O$1)</f>
        <v>0</v>
      </c>
      <c r="P664" s="3">
        <f>SUMIFS('Business - Dump'!$Q:$Q,'Business - Dump'!$D:$D,'SKU Repoprt'!$D664,'Business - Dump'!$A:$A,'SKU Repoprt'!P$1)</f>
        <v>0</v>
      </c>
      <c r="Q664" s="3">
        <f>SUMIFS('Business - Dump'!$Q:$Q,'Business - Dump'!$D:$D,'SKU Repoprt'!$D664,'Business - Dump'!$A:$A,'SKU Repoprt'!Q$1)</f>
        <v>0</v>
      </c>
      <c r="R664" s="3">
        <f>SUMIFS('Business - Dump'!$Q:$Q,'Business - Dump'!$D:$D,'SKU Repoprt'!$D664,'Business - Dump'!$A:$A,'SKU Repoprt'!R$1)</f>
        <v>2</v>
      </c>
      <c r="S664" s="3">
        <f>SUMIFS('Business - Dump'!$Q:$Q,'Business - Dump'!$D:$D,'SKU Repoprt'!$D664,'Business - Dump'!$A:$A,'SKU Repoprt'!S$1)</f>
        <v>2</v>
      </c>
      <c r="T664" s="3">
        <f>SUMIFS('Business - Dump'!$Q:$Q,'Business - Dump'!$D:$D,'SKU Repoprt'!$D664,'Business - Dump'!$A:$A,'SKU Repoprt'!T$1)</f>
        <v>4</v>
      </c>
      <c r="U664" s="3">
        <f>SUMIFS('Business - Dump'!$Q:$Q,'Business - Dump'!$D:$D,'SKU Repoprt'!$D664,'Business - Dump'!$A:$A,'SKU Repoprt'!U$1)</f>
        <v>1</v>
      </c>
      <c r="V664" s="3">
        <f>SUMIFS('Business - Dump'!$Q:$Q,'Business - Dump'!$D:$D,'SKU Repoprt'!$D664,'Business - Dump'!$A:$A,'SKU Repoprt'!V$1)</f>
        <v>1</v>
      </c>
      <c r="W664" s="3">
        <f>SUMIFS('Business - Dump'!$Q:$Q,'Business - Dump'!$D:$D,'SKU Repoprt'!$D664,'Business - Dump'!$A:$A,'SKU Repoprt'!W$1)</f>
        <v>1</v>
      </c>
    </row>
    <row r="665" ht="15.75" customHeight="1">
      <c r="A665" s="10" t="s">
        <v>1380</v>
      </c>
      <c r="B665" s="10" t="s">
        <v>230</v>
      </c>
      <c r="C665" s="10"/>
      <c r="D665" s="10" t="s">
        <v>404</v>
      </c>
      <c r="E665" s="10" t="s">
        <v>268</v>
      </c>
      <c r="F665" s="3">
        <f t="shared" si="221"/>
        <v>4</v>
      </c>
      <c r="G665" s="3">
        <f>SUMIFS('Business - Dump'!$W:$W,'Business - Dump'!$D:$D,'SKU Repoprt'!$D665,'Business - Dump'!$A:$A,'SKU Repoprt'!G$1)</f>
        <v>0</v>
      </c>
      <c r="H665" s="3">
        <f>SUMIFS('Business - Dump'!$W:$W,'Business - Dump'!$D:$D,'SKU Repoprt'!$D665,'Business - Dump'!$A:$A,'SKU Repoprt'!H$1)</f>
        <v>0</v>
      </c>
      <c r="I665" s="3">
        <f>SUMIFS('Business - Dump'!$W:$W,'Business - Dump'!$D:$D,'SKU Repoprt'!$D665,'Business - Dump'!$A:$A,'SKU Repoprt'!I$1)</f>
        <v>0</v>
      </c>
      <c r="J665" s="3">
        <f>SUMIFS('Business - Dump'!$W:$W,'Business - Dump'!$D:$D,'SKU Repoprt'!$D665,'Business - Dump'!$A:$A,'SKU Repoprt'!J$1)</f>
        <v>0</v>
      </c>
      <c r="K665" s="3">
        <f>SUMIFS('Business - Dump'!$W:$W,'Business - Dump'!$D:$D,'SKU Repoprt'!$D665,'Business - Dump'!$A:$A,'SKU Repoprt'!K$1)</f>
        <v>0</v>
      </c>
      <c r="L665" s="3">
        <f>SUMIFS('Business - Dump'!$W:$W,'Business - Dump'!$D:$D,'SKU Repoprt'!$D665,'Business - Dump'!$A:$A,'SKU Repoprt'!L$1)</f>
        <v>0</v>
      </c>
      <c r="M665" s="3">
        <f>SUMIFS('Business - Dump'!$W:$W,'Business - Dump'!$D:$D,'SKU Repoprt'!$D665,'Business - Dump'!$A:$A,'SKU Repoprt'!M$1)</f>
        <v>0</v>
      </c>
      <c r="N665" s="3">
        <f>SUMIFS('Business - Dump'!$W:$W,'Business - Dump'!$D:$D,'SKU Repoprt'!$D665,'Business - Dump'!$A:$A,'SKU Repoprt'!N$1)</f>
        <v>0</v>
      </c>
      <c r="O665" s="3">
        <f>SUMIFS('Business - Dump'!$W:$W,'Business - Dump'!$D:$D,'SKU Repoprt'!$D665,'Business - Dump'!$A:$A,'SKU Repoprt'!O$1)</f>
        <v>0</v>
      </c>
      <c r="P665" s="3">
        <f>SUMIFS('Business - Dump'!$W:$W,'Business - Dump'!$D:$D,'SKU Repoprt'!$D665,'Business - Dump'!$A:$A,'SKU Repoprt'!P$1)</f>
        <v>0</v>
      </c>
      <c r="Q665" s="3">
        <f>SUMIFS('Business - Dump'!$W:$W,'Business - Dump'!$D:$D,'SKU Repoprt'!$D665,'Business - Dump'!$A:$A,'SKU Repoprt'!Q$1)</f>
        <v>0</v>
      </c>
      <c r="R665" s="3">
        <f>SUMIFS('Business - Dump'!$W:$W,'Business - Dump'!$D:$D,'SKU Repoprt'!$D665,'Business - Dump'!$A:$A,'SKU Repoprt'!R$1)</f>
        <v>2</v>
      </c>
      <c r="S665" s="3">
        <f>SUMIFS('Business - Dump'!$W:$W,'Business - Dump'!$D:$D,'SKU Repoprt'!$D665,'Business - Dump'!$A:$A,'SKU Repoprt'!S$1)</f>
        <v>2</v>
      </c>
      <c r="T665" s="3">
        <f>SUMIFS('Business - Dump'!$W:$W,'Business - Dump'!$D:$D,'SKU Repoprt'!$D665,'Business - Dump'!$A:$A,'SKU Repoprt'!T$1)</f>
        <v>4</v>
      </c>
      <c r="U665" s="3">
        <f>SUMIFS('Business - Dump'!$W:$W,'Business - Dump'!$D:$D,'SKU Repoprt'!$D665,'Business - Dump'!$A:$A,'SKU Repoprt'!U$1)</f>
        <v>1</v>
      </c>
      <c r="V665" s="3">
        <f>SUMIFS('Business - Dump'!$W:$W,'Business - Dump'!$D:$D,'SKU Repoprt'!$D665,'Business - Dump'!$A:$A,'SKU Repoprt'!V$1)</f>
        <v>1</v>
      </c>
      <c r="W665" s="3">
        <f>SUMIFS('Business - Dump'!$W:$W,'Business - Dump'!$D:$D,'SKU Repoprt'!$D665,'Business - Dump'!$A:$A,'SKU Repoprt'!W$1)</f>
        <v>1</v>
      </c>
    </row>
    <row r="666" ht="15.75" customHeight="1">
      <c r="A666" s="10" t="s">
        <v>1380</v>
      </c>
      <c r="B666" s="10" t="s">
        <v>230</v>
      </c>
      <c r="C666" s="10"/>
      <c r="D666" s="10" t="s">
        <v>404</v>
      </c>
      <c r="E666" s="10" t="s">
        <v>26</v>
      </c>
      <c r="F666" s="16">
        <f t="shared" si="221"/>
        <v>107821.04</v>
      </c>
      <c r="G666" s="16">
        <f>SUMIFS('Business - Dump'!$U:$U,'Business - Dump'!$D:$D,'SKU Repoprt'!$D666,'Business - Dump'!$A:$A,'SKU Repoprt'!G$1)</f>
        <v>0</v>
      </c>
      <c r="H666" s="16">
        <f>SUMIFS('Business - Dump'!$U:$U,'Business - Dump'!$D:$D,'SKU Repoprt'!$D666,'Business - Dump'!$A:$A,'SKU Repoprt'!H$1)</f>
        <v>0</v>
      </c>
      <c r="I666" s="16">
        <f>SUMIFS('Business - Dump'!$U:$U,'Business - Dump'!$D:$D,'SKU Repoprt'!$D666,'Business - Dump'!$A:$A,'SKU Repoprt'!I$1)</f>
        <v>0</v>
      </c>
      <c r="J666" s="16">
        <f>SUMIFS('Business - Dump'!$U:$U,'Business - Dump'!$D:$D,'SKU Repoprt'!$D666,'Business - Dump'!$A:$A,'SKU Repoprt'!J$1)</f>
        <v>0</v>
      </c>
      <c r="K666" s="16">
        <f>SUMIFS('Business - Dump'!$U:$U,'Business - Dump'!$D:$D,'SKU Repoprt'!$D666,'Business - Dump'!$A:$A,'SKU Repoprt'!K$1)</f>
        <v>0</v>
      </c>
      <c r="L666" s="16">
        <f>SUMIFS('Business - Dump'!$U:$U,'Business - Dump'!$D:$D,'SKU Repoprt'!$D666,'Business - Dump'!$A:$A,'SKU Repoprt'!L$1)</f>
        <v>0</v>
      </c>
      <c r="M666" s="16">
        <f>SUMIFS('Business - Dump'!$U:$U,'Business - Dump'!$D:$D,'SKU Repoprt'!$D666,'Business - Dump'!$A:$A,'SKU Repoprt'!M$1)</f>
        <v>0</v>
      </c>
      <c r="N666" s="16">
        <f>SUMIFS('Business - Dump'!$U:$U,'Business - Dump'!$D:$D,'SKU Repoprt'!$D666,'Business - Dump'!$A:$A,'SKU Repoprt'!N$1)</f>
        <v>0</v>
      </c>
      <c r="O666" s="16">
        <f>SUMIFS('Business - Dump'!$U:$U,'Business - Dump'!$D:$D,'SKU Repoprt'!$D666,'Business - Dump'!$A:$A,'SKU Repoprt'!O$1)</f>
        <v>0</v>
      </c>
      <c r="P666" s="16">
        <f>SUMIFS('Business - Dump'!$U:$U,'Business - Dump'!$D:$D,'SKU Repoprt'!$D666,'Business - Dump'!$A:$A,'SKU Repoprt'!P$1)</f>
        <v>0</v>
      </c>
      <c r="Q666" s="16">
        <f>SUMIFS('Business - Dump'!$U:$U,'Business - Dump'!$D:$D,'SKU Repoprt'!$D666,'Business - Dump'!$A:$A,'SKU Repoprt'!Q$1)</f>
        <v>0</v>
      </c>
      <c r="R666" s="16">
        <f>SUMIFS('Business - Dump'!$U:$U,'Business - Dump'!$D:$D,'SKU Repoprt'!$D666,'Business - Dump'!$A:$A,'SKU Repoprt'!R$1)</f>
        <v>54411.52</v>
      </c>
      <c r="S666" s="16">
        <f>SUMIFS('Business - Dump'!$U:$U,'Business - Dump'!$D:$D,'SKU Repoprt'!$D666,'Business - Dump'!$A:$A,'SKU Repoprt'!S$1)</f>
        <v>53409.52</v>
      </c>
      <c r="T666" s="16">
        <f>SUMIFS('Business - Dump'!$U:$U,'Business - Dump'!$D:$D,'SKU Repoprt'!$D666,'Business - Dump'!$A:$A,'SKU Repoprt'!T$1)</f>
        <v>106863.28</v>
      </c>
      <c r="U666" s="16">
        <f>SUMIFS('Business - Dump'!$U:$U,'Business - Dump'!$D:$D,'SKU Repoprt'!$D666,'Business - Dump'!$A:$A,'SKU Repoprt'!U$1)</f>
        <v>25411</v>
      </c>
      <c r="V666" s="16">
        <f>SUMIFS('Business - Dump'!$U:$U,'Business - Dump'!$D:$D,'SKU Repoprt'!$D666,'Business - Dump'!$A:$A,'SKU Repoprt'!V$1)</f>
        <v>29610</v>
      </c>
      <c r="W666" s="16">
        <f>SUMIFS('Business - Dump'!$U:$U,'Business - Dump'!$D:$D,'SKU Repoprt'!$D666,'Business - Dump'!$A:$A,'SKU Repoprt'!W$1)</f>
        <v>29064.24</v>
      </c>
    </row>
    <row r="667" ht="15.75" customHeight="1">
      <c r="A667" s="10" t="s">
        <v>1380</v>
      </c>
      <c r="B667" s="10" t="s">
        <v>230</v>
      </c>
      <c r="C667" s="10"/>
      <c r="D667" s="10" t="s">
        <v>404</v>
      </c>
      <c r="E667" s="10" t="s">
        <v>29</v>
      </c>
      <c r="F667" s="17">
        <v>0.027042857142857143</v>
      </c>
      <c r="G667" s="17">
        <f t="shared" ref="G667:W667" si="222">IFERROR(G665/G662,0)</f>
        <v>0</v>
      </c>
      <c r="H667" s="17">
        <f t="shared" si="222"/>
        <v>0</v>
      </c>
      <c r="I667" s="17">
        <f t="shared" si="222"/>
        <v>0</v>
      </c>
      <c r="J667" s="17">
        <f t="shared" si="222"/>
        <v>0</v>
      </c>
      <c r="K667" s="17">
        <f t="shared" si="222"/>
        <v>0</v>
      </c>
      <c r="L667" s="17">
        <f t="shared" si="222"/>
        <v>0</v>
      </c>
      <c r="M667" s="17">
        <f t="shared" si="222"/>
        <v>0</v>
      </c>
      <c r="N667" s="17">
        <f t="shared" si="222"/>
        <v>0</v>
      </c>
      <c r="O667" s="17">
        <f t="shared" si="222"/>
        <v>0</v>
      </c>
      <c r="P667" s="17">
        <f t="shared" si="222"/>
        <v>0</v>
      </c>
      <c r="Q667" s="17">
        <f t="shared" si="222"/>
        <v>0</v>
      </c>
      <c r="R667" s="17">
        <f t="shared" si="222"/>
        <v>0.03076923077</v>
      </c>
      <c r="S667" s="17">
        <f t="shared" si="222"/>
        <v>0.03278688525</v>
      </c>
      <c r="T667" s="17">
        <f t="shared" si="222"/>
        <v>0.03100775194</v>
      </c>
      <c r="U667" s="17">
        <f t="shared" si="222"/>
        <v>0.008064516129</v>
      </c>
      <c r="V667" s="17">
        <f t="shared" si="222"/>
        <v>0.01515151515</v>
      </c>
      <c r="W667" s="17">
        <f t="shared" si="222"/>
        <v>0.01149425287</v>
      </c>
    </row>
    <row r="668" ht="15.75" customHeight="1">
      <c r="A668" s="10" t="s">
        <v>1380</v>
      </c>
      <c r="B668" s="10" t="s">
        <v>230</v>
      </c>
      <c r="C668" s="10"/>
      <c r="D668" s="10" t="s">
        <v>405</v>
      </c>
      <c r="E668" s="10" t="s">
        <v>257</v>
      </c>
      <c r="F668" s="3">
        <f t="shared" ref="F668:F672" si="223">SUM(G668:S668)</f>
        <v>156</v>
      </c>
      <c r="G668" s="3">
        <f>SUMIFS('Business - Dump'!$G:$G,'Business - Dump'!$D:$D,'SKU Repoprt'!$D668,'Business - Dump'!$A:$A,'SKU Repoprt'!G$1)</f>
        <v>0</v>
      </c>
      <c r="H668" s="3">
        <f>SUMIFS('Business - Dump'!$G:$G,'Business - Dump'!$D:$D,'SKU Repoprt'!$D668,'Business - Dump'!$A:$A,'SKU Repoprt'!H$1)</f>
        <v>0</v>
      </c>
      <c r="I668" s="3">
        <f>SUMIFS('Business - Dump'!$G:$G,'Business - Dump'!$D:$D,'SKU Repoprt'!$D668,'Business - Dump'!$A:$A,'SKU Repoprt'!I$1)</f>
        <v>0</v>
      </c>
      <c r="J668" s="3">
        <f>SUMIFS('Business - Dump'!$G:$G,'Business - Dump'!$D:$D,'SKU Repoprt'!$D668,'Business - Dump'!$A:$A,'SKU Repoprt'!J$1)</f>
        <v>0</v>
      </c>
      <c r="K668" s="3">
        <f>SUMIFS('Business - Dump'!$G:$G,'Business - Dump'!$D:$D,'SKU Repoprt'!$D668,'Business - Dump'!$A:$A,'SKU Repoprt'!K$1)</f>
        <v>0</v>
      </c>
      <c r="L668" s="3">
        <f>SUMIFS('Business - Dump'!$G:$G,'Business - Dump'!$D:$D,'SKU Repoprt'!$D668,'Business - Dump'!$A:$A,'SKU Repoprt'!L$1)</f>
        <v>0</v>
      </c>
      <c r="M668" s="3">
        <f>SUMIFS('Business - Dump'!$G:$G,'Business - Dump'!$D:$D,'SKU Repoprt'!$D668,'Business - Dump'!$A:$A,'SKU Repoprt'!M$1)</f>
        <v>0</v>
      </c>
      <c r="N668" s="3">
        <f>SUMIFS('Business - Dump'!$G:$G,'Business - Dump'!$D:$D,'SKU Repoprt'!$D668,'Business - Dump'!$A:$A,'SKU Repoprt'!N$1)</f>
        <v>1</v>
      </c>
      <c r="O668" s="3">
        <f>SUMIFS('Business - Dump'!$G:$G,'Business - Dump'!$D:$D,'SKU Repoprt'!$D668,'Business - Dump'!$A:$A,'SKU Repoprt'!O$1)</f>
        <v>20</v>
      </c>
      <c r="P668" s="3">
        <f>SUMIFS('Business - Dump'!$G:$G,'Business - Dump'!$D:$D,'SKU Repoprt'!$D668,'Business - Dump'!$A:$A,'SKU Repoprt'!P$1)</f>
        <v>1</v>
      </c>
      <c r="Q668" s="3">
        <f>SUMIFS('Business - Dump'!$G:$G,'Business - Dump'!$D:$D,'SKU Repoprt'!$D668,'Business - Dump'!$A:$A,'SKU Repoprt'!Q$1)</f>
        <v>3</v>
      </c>
      <c r="R668" s="3">
        <f>SUMIFS('Business - Dump'!$G:$G,'Business - Dump'!$D:$D,'SKU Repoprt'!$D668,'Business - Dump'!$A:$A,'SKU Repoprt'!R$1)</f>
        <v>68</v>
      </c>
      <c r="S668" s="3">
        <f>SUMIFS('Business - Dump'!$G:$G,'Business - Dump'!$D:$D,'SKU Repoprt'!$D668,'Business - Dump'!$A:$A,'SKU Repoprt'!S$1)</f>
        <v>63</v>
      </c>
      <c r="T668" s="3">
        <f>SUMIFS('Business - Dump'!$G:$G,'Business - Dump'!$D:$D,'SKU Repoprt'!$D668,'Business - Dump'!$A:$A,'SKU Repoprt'!T$1)</f>
        <v>91</v>
      </c>
      <c r="U668" s="3">
        <f>SUMIFS('Business - Dump'!$G:$G,'Business - Dump'!$D:$D,'SKU Repoprt'!$D668,'Business - Dump'!$A:$A,'SKU Repoprt'!U$1)</f>
        <v>104</v>
      </c>
      <c r="V668" s="3">
        <f>SUMIFS('Business - Dump'!$G:$G,'Business - Dump'!$D:$D,'SKU Repoprt'!$D668,'Business - Dump'!$A:$A,'SKU Repoprt'!V$1)</f>
        <v>74</v>
      </c>
      <c r="W668" s="3">
        <f>SUMIFS('Business - Dump'!$G:$G,'Business - Dump'!$D:$D,'SKU Repoprt'!$D668,'Business - Dump'!$A:$A,'SKU Repoprt'!W$1)</f>
        <v>117</v>
      </c>
    </row>
    <row r="669" ht="15.75" customHeight="1">
      <c r="A669" s="10" t="s">
        <v>1380</v>
      </c>
      <c r="B669" s="10" t="s">
        <v>230</v>
      </c>
      <c r="C669" s="10"/>
      <c r="D669" s="10" t="s">
        <v>405</v>
      </c>
      <c r="E669" s="10" t="s">
        <v>260</v>
      </c>
      <c r="F669" s="3">
        <f t="shared" si="223"/>
        <v>236</v>
      </c>
      <c r="G669" s="3">
        <f>SUMIFS('Business - Dump'!$K:$K,'Business - Dump'!$D:$D,'SKU Repoprt'!$D669,'Business - Dump'!$A:$A,'SKU Repoprt'!G$1)</f>
        <v>0</v>
      </c>
      <c r="H669" s="3">
        <f>SUMIFS('Business - Dump'!$K:$K,'Business - Dump'!$D:$D,'SKU Repoprt'!$D669,'Business - Dump'!$A:$A,'SKU Repoprt'!H$1)</f>
        <v>0</v>
      </c>
      <c r="I669" s="3">
        <f>SUMIFS('Business - Dump'!$K:$K,'Business - Dump'!$D:$D,'SKU Repoprt'!$D669,'Business - Dump'!$A:$A,'SKU Repoprt'!I$1)</f>
        <v>0</v>
      </c>
      <c r="J669" s="3">
        <f>SUMIFS('Business - Dump'!$K:$K,'Business - Dump'!$D:$D,'SKU Repoprt'!$D669,'Business - Dump'!$A:$A,'SKU Repoprt'!J$1)</f>
        <v>0</v>
      </c>
      <c r="K669" s="3">
        <f>SUMIFS('Business - Dump'!$K:$K,'Business - Dump'!$D:$D,'SKU Repoprt'!$D669,'Business - Dump'!$A:$A,'SKU Repoprt'!K$1)</f>
        <v>0</v>
      </c>
      <c r="L669" s="3">
        <f>SUMIFS('Business - Dump'!$K:$K,'Business - Dump'!$D:$D,'SKU Repoprt'!$D669,'Business - Dump'!$A:$A,'SKU Repoprt'!L$1)</f>
        <v>0</v>
      </c>
      <c r="M669" s="3">
        <f>SUMIFS('Business - Dump'!$K:$K,'Business - Dump'!$D:$D,'SKU Repoprt'!$D669,'Business - Dump'!$A:$A,'SKU Repoprt'!M$1)</f>
        <v>0</v>
      </c>
      <c r="N669" s="3">
        <f>SUMIFS('Business - Dump'!$K:$K,'Business - Dump'!$D:$D,'SKU Repoprt'!$D669,'Business - Dump'!$A:$A,'SKU Repoprt'!N$1)</f>
        <v>2</v>
      </c>
      <c r="O669" s="3">
        <f>SUMIFS('Business - Dump'!$K:$K,'Business - Dump'!$D:$D,'SKU Repoprt'!$D669,'Business - Dump'!$A:$A,'SKU Repoprt'!O$1)</f>
        <v>24</v>
      </c>
      <c r="P669" s="3">
        <f>SUMIFS('Business - Dump'!$K:$K,'Business - Dump'!$D:$D,'SKU Repoprt'!$D669,'Business - Dump'!$A:$A,'SKU Repoprt'!P$1)</f>
        <v>2</v>
      </c>
      <c r="Q669" s="3">
        <f>SUMIFS('Business - Dump'!$K:$K,'Business - Dump'!$D:$D,'SKU Repoprt'!$D669,'Business - Dump'!$A:$A,'SKU Repoprt'!Q$1)</f>
        <v>5</v>
      </c>
      <c r="R669" s="3">
        <f>SUMIFS('Business - Dump'!$K:$K,'Business - Dump'!$D:$D,'SKU Repoprt'!$D669,'Business - Dump'!$A:$A,'SKU Repoprt'!R$1)</f>
        <v>98</v>
      </c>
      <c r="S669" s="3">
        <f>SUMIFS('Business - Dump'!$K:$K,'Business - Dump'!$D:$D,'SKU Repoprt'!$D669,'Business - Dump'!$A:$A,'SKU Repoprt'!S$1)</f>
        <v>105</v>
      </c>
      <c r="T669" s="3">
        <f>SUMIFS('Business - Dump'!$K:$K,'Business - Dump'!$D:$D,'SKU Repoprt'!$D669,'Business - Dump'!$A:$A,'SKU Repoprt'!T$1)</f>
        <v>156</v>
      </c>
      <c r="U669" s="3">
        <f>SUMIFS('Business - Dump'!$K:$K,'Business - Dump'!$D:$D,'SKU Repoprt'!$D669,'Business - Dump'!$A:$A,'SKU Repoprt'!U$1)</f>
        <v>161</v>
      </c>
      <c r="V669" s="3">
        <f>SUMIFS('Business - Dump'!$K:$K,'Business - Dump'!$D:$D,'SKU Repoprt'!$D669,'Business - Dump'!$A:$A,'SKU Repoprt'!V$1)</f>
        <v>90</v>
      </c>
      <c r="W669" s="3">
        <f>SUMIFS('Business - Dump'!$K:$K,'Business - Dump'!$D:$D,'SKU Repoprt'!$D669,'Business - Dump'!$A:$A,'SKU Repoprt'!W$1)</f>
        <v>177</v>
      </c>
    </row>
    <row r="670" ht="15.75" customHeight="1">
      <c r="A670" s="10" t="s">
        <v>1380</v>
      </c>
      <c r="B670" s="10" t="s">
        <v>230</v>
      </c>
      <c r="C670" s="10"/>
      <c r="D670" s="10" t="s">
        <v>405</v>
      </c>
      <c r="E670" s="10" t="s">
        <v>264</v>
      </c>
      <c r="F670" s="3">
        <f t="shared" si="223"/>
        <v>0</v>
      </c>
      <c r="G670" s="3">
        <f>SUMIFS('Business - Dump'!$Q:$Q,'Business - Dump'!$D:$D,'SKU Repoprt'!$D670,'Business - Dump'!$A:$A,'SKU Repoprt'!G$1)</f>
        <v>0</v>
      </c>
      <c r="H670" s="3">
        <f>SUMIFS('Business - Dump'!$Q:$Q,'Business - Dump'!$D:$D,'SKU Repoprt'!$D670,'Business - Dump'!$A:$A,'SKU Repoprt'!H$1)</f>
        <v>0</v>
      </c>
      <c r="I670" s="3">
        <f>SUMIFS('Business - Dump'!$Q:$Q,'Business - Dump'!$D:$D,'SKU Repoprt'!$D670,'Business - Dump'!$A:$A,'SKU Repoprt'!I$1)</f>
        <v>0</v>
      </c>
      <c r="J670" s="3">
        <f>SUMIFS('Business - Dump'!$Q:$Q,'Business - Dump'!$D:$D,'SKU Repoprt'!$D670,'Business - Dump'!$A:$A,'SKU Repoprt'!J$1)</f>
        <v>0</v>
      </c>
      <c r="K670" s="3">
        <f>SUMIFS('Business - Dump'!$Q:$Q,'Business - Dump'!$D:$D,'SKU Repoprt'!$D670,'Business - Dump'!$A:$A,'SKU Repoprt'!K$1)</f>
        <v>0</v>
      </c>
      <c r="L670" s="3">
        <f>SUMIFS('Business - Dump'!$Q:$Q,'Business - Dump'!$D:$D,'SKU Repoprt'!$D670,'Business - Dump'!$A:$A,'SKU Repoprt'!L$1)</f>
        <v>0</v>
      </c>
      <c r="M670" s="3">
        <f>SUMIFS('Business - Dump'!$Q:$Q,'Business - Dump'!$D:$D,'SKU Repoprt'!$D670,'Business - Dump'!$A:$A,'SKU Repoprt'!M$1)</f>
        <v>0</v>
      </c>
      <c r="N670" s="3">
        <f>SUMIFS('Business - Dump'!$Q:$Q,'Business - Dump'!$D:$D,'SKU Repoprt'!$D670,'Business - Dump'!$A:$A,'SKU Repoprt'!N$1)</f>
        <v>0</v>
      </c>
      <c r="O670" s="3">
        <f>SUMIFS('Business - Dump'!$Q:$Q,'Business - Dump'!$D:$D,'SKU Repoprt'!$D670,'Business - Dump'!$A:$A,'SKU Repoprt'!O$1)</f>
        <v>0</v>
      </c>
      <c r="P670" s="3">
        <f>SUMIFS('Business - Dump'!$Q:$Q,'Business - Dump'!$D:$D,'SKU Repoprt'!$D670,'Business - Dump'!$A:$A,'SKU Repoprt'!P$1)</f>
        <v>0</v>
      </c>
      <c r="Q670" s="3">
        <f>SUMIFS('Business - Dump'!$Q:$Q,'Business - Dump'!$D:$D,'SKU Repoprt'!$D670,'Business - Dump'!$A:$A,'SKU Repoprt'!Q$1)</f>
        <v>0</v>
      </c>
      <c r="R670" s="3">
        <f>SUMIFS('Business - Dump'!$Q:$Q,'Business - Dump'!$D:$D,'SKU Repoprt'!$D670,'Business - Dump'!$A:$A,'SKU Repoprt'!R$1)</f>
        <v>0</v>
      </c>
      <c r="S670" s="3">
        <f>SUMIFS('Business - Dump'!$Q:$Q,'Business - Dump'!$D:$D,'SKU Repoprt'!$D670,'Business - Dump'!$A:$A,'SKU Repoprt'!S$1)</f>
        <v>0</v>
      </c>
      <c r="T670" s="3">
        <f>SUMIFS('Business - Dump'!$Q:$Q,'Business - Dump'!$D:$D,'SKU Repoprt'!$D670,'Business - Dump'!$A:$A,'SKU Repoprt'!T$1)</f>
        <v>2</v>
      </c>
      <c r="U670" s="3">
        <f>SUMIFS('Business - Dump'!$Q:$Q,'Business - Dump'!$D:$D,'SKU Repoprt'!$D670,'Business - Dump'!$A:$A,'SKU Repoprt'!U$1)</f>
        <v>1</v>
      </c>
      <c r="V670" s="3">
        <f>SUMIFS('Business - Dump'!$Q:$Q,'Business - Dump'!$D:$D,'SKU Repoprt'!$D670,'Business - Dump'!$A:$A,'SKU Repoprt'!V$1)</f>
        <v>0</v>
      </c>
      <c r="W670" s="3">
        <f>SUMIFS('Business - Dump'!$Q:$Q,'Business - Dump'!$D:$D,'SKU Repoprt'!$D670,'Business - Dump'!$A:$A,'SKU Repoprt'!W$1)</f>
        <v>2</v>
      </c>
    </row>
    <row r="671" ht="15.75" customHeight="1">
      <c r="A671" s="10" t="s">
        <v>1380</v>
      </c>
      <c r="B671" s="10" t="s">
        <v>230</v>
      </c>
      <c r="C671" s="10"/>
      <c r="D671" s="10" t="s">
        <v>405</v>
      </c>
      <c r="E671" s="10" t="s">
        <v>268</v>
      </c>
      <c r="F671" s="3">
        <f t="shared" si="223"/>
        <v>0</v>
      </c>
      <c r="G671" s="3">
        <f>SUMIFS('Business - Dump'!$W:$W,'Business - Dump'!$D:$D,'SKU Repoprt'!$D671,'Business - Dump'!$A:$A,'SKU Repoprt'!G$1)</f>
        <v>0</v>
      </c>
      <c r="H671" s="3">
        <f>SUMIFS('Business - Dump'!$W:$W,'Business - Dump'!$D:$D,'SKU Repoprt'!$D671,'Business - Dump'!$A:$A,'SKU Repoprt'!H$1)</f>
        <v>0</v>
      </c>
      <c r="I671" s="3">
        <f>SUMIFS('Business - Dump'!$W:$W,'Business - Dump'!$D:$D,'SKU Repoprt'!$D671,'Business - Dump'!$A:$A,'SKU Repoprt'!I$1)</f>
        <v>0</v>
      </c>
      <c r="J671" s="3">
        <f>SUMIFS('Business - Dump'!$W:$W,'Business - Dump'!$D:$D,'SKU Repoprt'!$D671,'Business - Dump'!$A:$A,'SKU Repoprt'!J$1)</f>
        <v>0</v>
      </c>
      <c r="K671" s="3">
        <f>SUMIFS('Business - Dump'!$W:$W,'Business - Dump'!$D:$D,'SKU Repoprt'!$D671,'Business - Dump'!$A:$A,'SKU Repoprt'!K$1)</f>
        <v>0</v>
      </c>
      <c r="L671" s="3">
        <f>SUMIFS('Business - Dump'!$W:$W,'Business - Dump'!$D:$D,'SKU Repoprt'!$D671,'Business - Dump'!$A:$A,'SKU Repoprt'!L$1)</f>
        <v>0</v>
      </c>
      <c r="M671" s="3">
        <f>SUMIFS('Business - Dump'!$W:$W,'Business - Dump'!$D:$D,'SKU Repoprt'!$D671,'Business - Dump'!$A:$A,'SKU Repoprt'!M$1)</f>
        <v>0</v>
      </c>
      <c r="N671" s="3">
        <f>SUMIFS('Business - Dump'!$W:$W,'Business - Dump'!$D:$D,'SKU Repoprt'!$D671,'Business - Dump'!$A:$A,'SKU Repoprt'!N$1)</f>
        <v>0</v>
      </c>
      <c r="O671" s="3">
        <f>SUMIFS('Business - Dump'!$W:$W,'Business - Dump'!$D:$D,'SKU Repoprt'!$D671,'Business - Dump'!$A:$A,'SKU Repoprt'!O$1)</f>
        <v>0</v>
      </c>
      <c r="P671" s="3">
        <f>SUMIFS('Business - Dump'!$W:$W,'Business - Dump'!$D:$D,'SKU Repoprt'!$D671,'Business - Dump'!$A:$A,'SKU Repoprt'!P$1)</f>
        <v>0</v>
      </c>
      <c r="Q671" s="3">
        <f>SUMIFS('Business - Dump'!$W:$W,'Business - Dump'!$D:$D,'SKU Repoprt'!$D671,'Business - Dump'!$A:$A,'SKU Repoprt'!Q$1)</f>
        <v>0</v>
      </c>
      <c r="R671" s="3">
        <f>SUMIFS('Business - Dump'!$W:$W,'Business - Dump'!$D:$D,'SKU Repoprt'!$D671,'Business - Dump'!$A:$A,'SKU Repoprt'!R$1)</f>
        <v>0</v>
      </c>
      <c r="S671" s="3">
        <f>SUMIFS('Business - Dump'!$W:$W,'Business - Dump'!$D:$D,'SKU Repoprt'!$D671,'Business - Dump'!$A:$A,'SKU Repoprt'!S$1)</f>
        <v>0</v>
      </c>
      <c r="T671" s="3">
        <f>SUMIFS('Business - Dump'!$W:$W,'Business - Dump'!$D:$D,'SKU Repoprt'!$D671,'Business - Dump'!$A:$A,'SKU Repoprt'!T$1)</f>
        <v>2</v>
      </c>
      <c r="U671" s="3">
        <f>SUMIFS('Business - Dump'!$W:$W,'Business - Dump'!$D:$D,'SKU Repoprt'!$D671,'Business - Dump'!$A:$A,'SKU Repoprt'!U$1)</f>
        <v>1</v>
      </c>
      <c r="V671" s="3">
        <f>SUMIFS('Business - Dump'!$W:$W,'Business - Dump'!$D:$D,'SKU Repoprt'!$D671,'Business - Dump'!$A:$A,'SKU Repoprt'!V$1)</f>
        <v>0</v>
      </c>
      <c r="W671" s="3">
        <f>SUMIFS('Business - Dump'!$W:$W,'Business - Dump'!$D:$D,'SKU Repoprt'!$D671,'Business - Dump'!$A:$A,'SKU Repoprt'!W$1)</f>
        <v>2</v>
      </c>
    </row>
    <row r="672" ht="15.75" customHeight="1">
      <c r="A672" s="10" t="s">
        <v>1380</v>
      </c>
      <c r="B672" s="10" t="s">
        <v>230</v>
      </c>
      <c r="C672" s="10"/>
      <c r="D672" s="10" t="s">
        <v>405</v>
      </c>
      <c r="E672" s="10" t="s">
        <v>26</v>
      </c>
      <c r="F672" s="16">
        <f t="shared" si="223"/>
        <v>0</v>
      </c>
      <c r="G672" s="16">
        <f>SUMIFS('Business - Dump'!$U:$U,'Business - Dump'!$D:$D,'SKU Repoprt'!$D672,'Business - Dump'!$A:$A,'SKU Repoprt'!G$1)</f>
        <v>0</v>
      </c>
      <c r="H672" s="16">
        <f>SUMIFS('Business - Dump'!$U:$U,'Business - Dump'!$D:$D,'SKU Repoprt'!$D672,'Business - Dump'!$A:$A,'SKU Repoprt'!H$1)</f>
        <v>0</v>
      </c>
      <c r="I672" s="16">
        <f>SUMIFS('Business - Dump'!$U:$U,'Business - Dump'!$D:$D,'SKU Repoprt'!$D672,'Business - Dump'!$A:$A,'SKU Repoprt'!I$1)</f>
        <v>0</v>
      </c>
      <c r="J672" s="16">
        <f>SUMIFS('Business - Dump'!$U:$U,'Business - Dump'!$D:$D,'SKU Repoprt'!$D672,'Business - Dump'!$A:$A,'SKU Repoprt'!J$1)</f>
        <v>0</v>
      </c>
      <c r="K672" s="16">
        <f>SUMIFS('Business - Dump'!$U:$U,'Business - Dump'!$D:$D,'SKU Repoprt'!$D672,'Business - Dump'!$A:$A,'SKU Repoprt'!K$1)</f>
        <v>0</v>
      </c>
      <c r="L672" s="16">
        <f>SUMIFS('Business - Dump'!$U:$U,'Business - Dump'!$D:$D,'SKU Repoprt'!$D672,'Business - Dump'!$A:$A,'SKU Repoprt'!L$1)</f>
        <v>0</v>
      </c>
      <c r="M672" s="16">
        <f>SUMIFS('Business - Dump'!$U:$U,'Business - Dump'!$D:$D,'SKU Repoprt'!$D672,'Business - Dump'!$A:$A,'SKU Repoprt'!M$1)</f>
        <v>0</v>
      </c>
      <c r="N672" s="16">
        <f>SUMIFS('Business - Dump'!$U:$U,'Business - Dump'!$D:$D,'SKU Repoprt'!$D672,'Business - Dump'!$A:$A,'SKU Repoprt'!N$1)</f>
        <v>0</v>
      </c>
      <c r="O672" s="16">
        <f>SUMIFS('Business - Dump'!$U:$U,'Business - Dump'!$D:$D,'SKU Repoprt'!$D672,'Business - Dump'!$A:$A,'SKU Repoprt'!O$1)</f>
        <v>0</v>
      </c>
      <c r="P672" s="16">
        <f>SUMIFS('Business - Dump'!$U:$U,'Business - Dump'!$D:$D,'SKU Repoprt'!$D672,'Business - Dump'!$A:$A,'SKU Repoprt'!P$1)</f>
        <v>0</v>
      </c>
      <c r="Q672" s="16">
        <f>SUMIFS('Business - Dump'!$U:$U,'Business - Dump'!$D:$D,'SKU Repoprt'!$D672,'Business - Dump'!$A:$A,'SKU Repoprt'!Q$1)</f>
        <v>0</v>
      </c>
      <c r="R672" s="16">
        <f>SUMIFS('Business - Dump'!$U:$U,'Business - Dump'!$D:$D,'SKU Repoprt'!$D672,'Business - Dump'!$A:$A,'SKU Repoprt'!R$1)</f>
        <v>0</v>
      </c>
      <c r="S672" s="16">
        <f>SUMIFS('Business - Dump'!$U:$U,'Business - Dump'!$D:$D,'SKU Repoprt'!$D672,'Business - Dump'!$A:$A,'SKU Repoprt'!S$1)</f>
        <v>0</v>
      </c>
      <c r="T672" s="16">
        <f>SUMIFS('Business - Dump'!$U:$U,'Business - Dump'!$D:$D,'SKU Repoprt'!$D672,'Business - Dump'!$A:$A,'SKU Repoprt'!T$1)</f>
        <v>48409.52</v>
      </c>
      <c r="U672" s="16">
        <f>SUMIFS('Business - Dump'!$U:$U,'Business - Dump'!$D:$D,'SKU Repoprt'!$D672,'Business - Dump'!$A:$A,'SKU Repoprt'!U$1)</f>
        <v>24203.24</v>
      </c>
      <c r="V672" s="16">
        <f>SUMIFS('Business - Dump'!$U:$U,'Business - Dump'!$D:$D,'SKU Repoprt'!$D672,'Business - Dump'!$A:$A,'SKU Repoprt'!V$1)</f>
        <v>0</v>
      </c>
      <c r="W672" s="16">
        <f>SUMIFS('Business - Dump'!$U:$U,'Business - Dump'!$D:$D,'SKU Repoprt'!$D672,'Business - Dump'!$A:$A,'SKU Repoprt'!W$1)</f>
        <v>57771</v>
      </c>
    </row>
    <row r="673" ht="15.75" customHeight="1">
      <c r="A673" s="10" t="s">
        <v>1380</v>
      </c>
      <c r="B673" s="10" t="s">
        <v>230</v>
      </c>
      <c r="C673" s="10"/>
      <c r="D673" s="10" t="s">
        <v>405</v>
      </c>
      <c r="E673" s="10" t="s">
        <v>29</v>
      </c>
      <c r="F673" s="17">
        <v>0.027042857142857143</v>
      </c>
      <c r="G673" s="17">
        <f t="shared" ref="G673:W673" si="224">IFERROR(G671/G668,0)</f>
        <v>0</v>
      </c>
      <c r="H673" s="17">
        <f t="shared" si="224"/>
        <v>0</v>
      </c>
      <c r="I673" s="17">
        <f t="shared" si="224"/>
        <v>0</v>
      </c>
      <c r="J673" s="17">
        <f t="shared" si="224"/>
        <v>0</v>
      </c>
      <c r="K673" s="17">
        <f t="shared" si="224"/>
        <v>0</v>
      </c>
      <c r="L673" s="17">
        <f t="shared" si="224"/>
        <v>0</v>
      </c>
      <c r="M673" s="17">
        <f t="shared" si="224"/>
        <v>0</v>
      </c>
      <c r="N673" s="17">
        <f t="shared" si="224"/>
        <v>0</v>
      </c>
      <c r="O673" s="17">
        <f t="shared" si="224"/>
        <v>0</v>
      </c>
      <c r="P673" s="17">
        <f t="shared" si="224"/>
        <v>0</v>
      </c>
      <c r="Q673" s="17">
        <f t="shared" si="224"/>
        <v>0</v>
      </c>
      <c r="R673" s="17">
        <f t="shared" si="224"/>
        <v>0</v>
      </c>
      <c r="S673" s="17">
        <f t="shared" si="224"/>
        <v>0</v>
      </c>
      <c r="T673" s="17">
        <f t="shared" si="224"/>
        <v>0.02197802198</v>
      </c>
      <c r="U673" s="17">
        <f t="shared" si="224"/>
        <v>0.009615384615</v>
      </c>
      <c r="V673" s="17">
        <f t="shared" si="224"/>
        <v>0</v>
      </c>
      <c r="W673" s="17">
        <f t="shared" si="224"/>
        <v>0.01709401709</v>
      </c>
    </row>
    <row r="674" ht="15.75" customHeight="1">
      <c r="A674" s="10" t="s">
        <v>1380</v>
      </c>
      <c r="B674" s="10" t="s">
        <v>230</v>
      </c>
      <c r="C674" s="10"/>
      <c r="D674" s="10" t="s">
        <v>407</v>
      </c>
      <c r="E674" s="10" t="s">
        <v>257</v>
      </c>
      <c r="F674" s="3">
        <f t="shared" ref="F674:F678" si="225">SUM(G674:S674)</f>
        <v>522</v>
      </c>
      <c r="G674" s="3">
        <f>SUMIFS('Business - Dump'!$G:$G,'Business - Dump'!$D:$D,'SKU Repoprt'!$D674,'Business - Dump'!$A:$A,'SKU Repoprt'!G$1)</f>
        <v>0</v>
      </c>
      <c r="H674" s="3">
        <f>SUMIFS('Business - Dump'!$G:$G,'Business - Dump'!$D:$D,'SKU Repoprt'!$D674,'Business - Dump'!$A:$A,'SKU Repoprt'!H$1)</f>
        <v>0</v>
      </c>
      <c r="I674" s="3">
        <f>SUMIFS('Business - Dump'!$G:$G,'Business - Dump'!$D:$D,'SKU Repoprt'!$D674,'Business - Dump'!$A:$A,'SKU Repoprt'!I$1)</f>
        <v>0</v>
      </c>
      <c r="J674" s="3">
        <f>SUMIFS('Business - Dump'!$G:$G,'Business - Dump'!$D:$D,'SKU Repoprt'!$D674,'Business - Dump'!$A:$A,'SKU Repoprt'!J$1)</f>
        <v>0</v>
      </c>
      <c r="K674" s="3">
        <f>SUMIFS('Business - Dump'!$G:$G,'Business - Dump'!$D:$D,'SKU Repoprt'!$D674,'Business - Dump'!$A:$A,'SKU Repoprt'!K$1)</f>
        <v>0</v>
      </c>
      <c r="L674" s="3">
        <f>SUMIFS('Business - Dump'!$G:$G,'Business - Dump'!$D:$D,'SKU Repoprt'!$D674,'Business - Dump'!$A:$A,'SKU Repoprt'!L$1)</f>
        <v>0</v>
      </c>
      <c r="M674" s="3">
        <f>SUMIFS('Business - Dump'!$G:$G,'Business - Dump'!$D:$D,'SKU Repoprt'!$D674,'Business - Dump'!$A:$A,'SKU Repoprt'!M$1)</f>
        <v>0</v>
      </c>
      <c r="N674" s="3">
        <f>SUMIFS('Business - Dump'!$G:$G,'Business - Dump'!$D:$D,'SKU Repoprt'!$D674,'Business - Dump'!$A:$A,'SKU Repoprt'!N$1)</f>
        <v>0</v>
      </c>
      <c r="O674" s="3">
        <f>SUMIFS('Business - Dump'!$G:$G,'Business - Dump'!$D:$D,'SKU Repoprt'!$D674,'Business - Dump'!$A:$A,'SKU Repoprt'!O$1)</f>
        <v>26</v>
      </c>
      <c r="P674" s="3">
        <f>SUMIFS('Business - Dump'!$G:$G,'Business - Dump'!$D:$D,'SKU Repoprt'!$D674,'Business - Dump'!$A:$A,'SKU Repoprt'!P$1)</f>
        <v>1</v>
      </c>
      <c r="Q674" s="3">
        <f>SUMIFS('Business - Dump'!$G:$G,'Business - Dump'!$D:$D,'SKU Repoprt'!$D674,'Business - Dump'!$A:$A,'SKU Repoprt'!Q$1)</f>
        <v>17</v>
      </c>
      <c r="R674" s="3">
        <f>SUMIFS('Business - Dump'!$G:$G,'Business - Dump'!$D:$D,'SKU Repoprt'!$D674,'Business - Dump'!$A:$A,'SKU Repoprt'!R$1)</f>
        <v>241</v>
      </c>
      <c r="S674" s="3">
        <f>SUMIFS('Business - Dump'!$G:$G,'Business - Dump'!$D:$D,'SKU Repoprt'!$D674,'Business - Dump'!$A:$A,'SKU Repoprt'!S$1)</f>
        <v>237</v>
      </c>
      <c r="T674" s="3">
        <f>SUMIFS('Business - Dump'!$G:$G,'Business - Dump'!$D:$D,'SKU Repoprt'!$D674,'Business - Dump'!$A:$A,'SKU Repoprt'!T$1)</f>
        <v>413</v>
      </c>
      <c r="U674" s="3">
        <f>SUMIFS('Business - Dump'!$G:$G,'Business - Dump'!$D:$D,'SKU Repoprt'!$D674,'Business - Dump'!$A:$A,'SKU Repoprt'!U$1)</f>
        <v>281</v>
      </c>
      <c r="V674" s="3">
        <f>SUMIFS('Business - Dump'!$G:$G,'Business - Dump'!$D:$D,'SKU Repoprt'!$D674,'Business - Dump'!$A:$A,'SKU Repoprt'!V$1)</f>
        <v>169</v>
      </c>
      <c r="W674" s="3">
        <f>SUMIFS('Business - Dump'!$G:$G,'Business - Dump'!$D:$D,'SKU Repoprt'!$D674,'Business - Dump'!$A:$A,'SKU Repoprt'!W$1)</f>
        <v>166</v>
      </c>
    </row>
    <row r="675" ht="15.75" customHeight="1">
      <c r="A675" s="10" t="s">
        <v>1380</v>
      </c>
      <c r="B675" s="10" t="s">
        <v>230</v>
      </c>
      <c r="C675" s="10"/>
      <c r="D675" s="10" t="s">
        <v>407</v>
      </c>
      <c r="E675" s="10" t="s">
        <v>260</v>
      </c>
      <c r="F675" s="3">
        <f t="shared" si="225"/>
        <v>759</v>
      </c>
      <c r="G675" s="3">
        <f>SUMIFS('Business - Dump'!$K:$K,'Business - Dump'!$D:$D,'SKU Repoprt'!$D675,'Business - Dump'!$A:$A,'SKU Repoprt'!G$1)</f>
        <v>0</v>
      </c>
      <c r="H675" s="3">
        <f>SUMIFS('Business - Dump'!$K:$K,'Business - Dump'!$D:$D,'SKU Repoprt'!$D675,'Business - Dump'!$A:$A,'SKU Repoprt'!H$1)</f>
        <v>0</v>
      </c>
      <c r="I675" s="3">
        <f>SUMIFS('Business - Dump'!$K:$K,'Business - Dump'!$D:$D,'SKU Repoprt'!$D675,'Business - Dump'!$A:$A,'SKU Repoprt'!I$1)</f>
        <v>0</v>
      </c>
      <c r="J675" s="3">
        <f>SUMIFS('Business - Dump'!$K:$K,'Business - Dump'!$D:$D,'SKU Repoprt'!$D675,'Business - Dump'!$A:$A,'SKU Repoprt'!J$1)</f>
        <v>0</v>
      </c>
      <c r="K675" s="3">
        <f>SUMIFS('Business - Dump'!$K:$K,'Business - Dump'!$D:$D,'SKU Repoprt'!$D675,'Business - Dump'!$A:$A,'SKU Repoprt'!K$1)</f>
        <v>0</v>
      </c>
      <c r="L675" s="3">
        <f>SUMIFS('Business - Dump'!$K:$K,'Business - Dump'!$D:$D,'SKU Repoprt'!$D675,'Business - Dump'!$A:$A,'SKU Repoprt'!L$1)</f>
        <v>0</v>
      </c>
      <c r="M675" s="3">
        <f>SUMIFS('Business - Dump'!$K:$K,'Business - Dump'!$D:$D,'SKU Repoprt'!$D675,'Business - Dump'!$A:$A,'SKU Repoprt'!M$1)</f>
        <v>0</v>
      </c>
      <c r="N675" s="3">
        <f>SUMIFS('Business - Dump'!$K:$K,'Business - Dump'!$D:$D,'SKU Repoprt'!$D675,'Business - Dump'!$A:$A,'SKU Repoprt'!N$1)</f>
        <v>0</v>
      </c>
      <c r="O675" s="3">
        <f>SUMIFS('Business - Dump'!$K:$K,'Business - Dump'!$D:$D,'SKU Repoprt'!$D675,'Business - Dump'!$A:$A,'SKU Repoprt'!O$1)</f>
        <v>35</v>
      </c>
      <c r="P675" s="3">
        <f>SUMIFS('Business - Dump'!$K:$K,'Business - Dump'!$D:$D,'SKU Repoprt'!$D675,'Business - Dump'!$A:$A,'SKU Repoprt'!P$1)</f>
        <v>1</v>
      </c>
      <c r="Q675" s="3">
        <f>SUMIFS('Business - Dump'!$K:$K,'Business - Dump'!$D:$D,'SKU Repoprt'!$D675,'Business - Dump'!$A:$A,'SKU Repoprt'!Q$1)</f>
        <v>21</v>
      </c>
      <c r="R675" s="3">
        <f>SUMIFS('Business - Dump'!$K:$K,'Business - Dump'!$D:$D,'SKU Repoprt'!$D675,'Business - Dump'!$A:$A,'SKU Repoprt'!R$1)</f>
        <v>310</v>
      </c>
      <c r="S675" s="3">
        <f>SUMIFS('Business - Dump'!$K:$K,'Business - Dump'!$D:$D,'SKU Repoprt'!$D675,'Business - Dump'!$A:$A,'SKU Repoprt'!S$1)</f>
        <v>392</v>
      </c>
      <c r="T675" s="3">
        <f>SUMIFS('Business - Dump'!$K:$K,'Business - Dump'!$D:$D,'SKU Repoprt'!$D675,'Business - Dump'!$A:$A,'SKU Repoprt'!T$1)</f>
        <v>559</v>
      </c>
      <c r="U675" s="3">
        <f>SUMIFS('Business - Dump'!$K:$K,'Business - Dump'!$D:$D,'SKU Repoprt'!$D675,'Business - Dump'!$A:$A,'SKU Repoprt'!U$1)</f>
        <v>471</v>
      </c>
      <c r="V675" s="3">
        <f>SUMIFS('Business - Dump'!$K:$K,'Business - Dump'!$D:$D,'SKU Repoprt'!$D675,'Business - Dump'!$A:$A,'SKU Repoprt'!V$1)</f>
        <v>223</v>
      </c>
      <c r="W675" s="3">
        <f>SUMIFS('Business - Dump'!$K:$K,'Business - Dump'!$D:$D,'SKU Repoprt'!$D675,'Business - Dump'!$A:$A,'SKU Repoprt'!W$1)</f>
        <v>281</v>
      </c>
    </row>
    <row r="676" ht="15.75" customHeight="1">
      <c r="A676" s="10" t="s">
        <v>1380</v>
      </c>
      <c r="B676" s="10" t="s">
        <v>230</v>
      </c>
      <c r="C676" s="10"/>
      <c r="D676" s="10" t="s">
        <v>407</v>
      </c>
      <c r="E676" s="10" t="s">
        <v>264</v>
      </c>
      <c r="F676" s="3">
        <f t="shared" si="225"/>
        <v>6</v>
      </c>
      <c r="G676" s="3">
        <f>SUMIFS('Business - Dump'!$Q:$Q,'Business - Dump'!$D:$D,'SKU Repoprt'!$D676,'Business - Dump'!$A:$A,'SKU Repoprt'!G$1)</f>
        <v>0</v>
      </c>
      <c r="H676" s="3">
        <f>SUMIFS('Business - Dump'!$Q:$Q,'Business - Dump'!$D:$D,'SKU Repoprt'!$D676,'Business - Dump'!$A:$A,'SKU Repoprt'!H$1)</f>
        <v>0</v>
      </c>
      <c r="I676" s="3">
        <f>SUMIFS('Business - Dump'!$Q:$Q,'Business - Dump'!$D:$D,'SKU Repoprt'!$D676,'Business - Dump'!$A:$A,'SKU Repoprt'!I$1)</f>
        <v>0</v>
      </c>
      <c r="J676" s="3">
        <f>SUMIFS('Business - Dump'!$Q:$Q,'Business - Dump'!$D:$D,'SKU Repoprt'!$D676,'Business - Dump'!$A:$A,'SKU Repoprt'!J$1)</f>
        <v>0</v>
      </c>
      <c r="K676" s="3">
        <f>SUMIFS('Business - Dump'!$Q:$Q,'Business - Dump'!$D:$D,'SKU Repoprt'!$D676,'Business - Dump'!$A:$A,'SKU Repoprt'!K$1)</f>
        <v>0</v>
      </c>
      <c r="L676" s="3">
        <f>SUMIFS('Business - Dump'!$Q:$Q,'Business - Dump'!$D:$D,'SKU Repoprt'!$D676,'Business - Dump'!$A:$A,'SKU Repoprt'!L$1)</f>
        <v>0</v>
      </c>
      <c r="M676" s="3">
        <f>SUMIFS('Business - Dump'!$Q:$Q,'Business - Dump'!$D:$D,'SKU Repoprt'!$D676,'Business - Dump'!$A:$A,'SKU Repoprt'!M$1)</f>
        <v>0</v>
      </c>
      <c r="N676" s="3">
        <f>SUMIFS('Business - Dump'!$Q:$Q,'Business - Dump'!$D:$D,'SKU Repoprt'!$D676,'Business - Dump'!$A:$A,'SKU Repoprt'!N$1)</f>
        <v>0</v>
      </c>
      <c r="O676" s="3">
        <f>SUMIFS('Business - Dump'!$Q:$Q,'Business - Dump'!$D:$D,'SKU Repoprt'!$D676,'Business - Dump'!$A:$A,'SKU Repoprt'!O$1)</f>
        <v>0</v>
      </c>
      <c r="P676" s="3">
        <f>SUMIFS('Business - Dump'!$Q:$Q,'Business - Dump'!$D:$D,'SKU Repoprt'!$D676,'Business - Dump'!$A:$A,'SKU Repoprt'!P$1)</f>
        <v>0</v>
      </c>
      <c r="Q676" s="3">
        <f>SUMIFS('Business - Dump'!$Q:$Q,'Business - Dump'!$D:$D,'SKU Repoprt'!$D676,'Business - Dump'!$A:$A,'SKU Repoprt'!Q$1)</f>
        <v>1</v>
      </c>
      <c r="R676" s="3">
        <f>SUMIFS('Business - Dump'!$Q:$Q,'Business - Dump'!$D:$D,'SKU Repoprt'!$D676,'Business - Dump'!$A:$A,'SKU Repoprt'!R$1)</f>
        <v>1</v>
      </c>
      <c r="S676" s="3">
        <f>SUMIFS('Business - Dump'!$Q:$Q,'Business - Dump'!$D:$D,'SKU Repoprt'!$D676,'Business - Dump'!$A:$A,'SKU Repoprt'!S$1)</f>
        <v>4</v>
      </c>
      <c r="T676" s="3">
        <f>SUMIFS('Business - Dump'!$Q:$Q,'Business - Dump'!$D:$D,'SKU Repoprt'!$D676,'Business - Dump'!$A:$A,'SKU Repoprt'!T$1)</f>
        <v>3</v>
      </c>
      <c r="U676" s="3">
        <f>SUMIFS('Business - Dump'!$Q:$Q,'Business - Dump'!$D:$D,'SKU Repoprt'!$D676,'Business - Dump'!$A:$A,'SKU Repoprt'!U$1)</f>
        <v>5</v>
      </c>
      <c r="V676" s="3">
        <f>SUMIFS('Business - Dump'!$Q:$Q,'Business - Dump'!$D:$D,'SKU Repoprt'!$D676,'Business - Dump'!$A:$A,'SKU Repoprt'!V$1)</f>
        <v>0</v>
      </c>
      <c r="W676" s="3">
        <f>SUMIFS('Business - Dump'!$Q:$Q,'Business - Dump'!$D:$D,'SKU Repoprt'!$D676,'Business - Dump'!$A:$A,'SKU Repoprt'!W$1)</f>
        <v>3</v>
      </c>
    </row>
    <row r="677" ht="15.75" customHeight="1">
      <c r="A677" s="10" t="s">
        <v>1380</v>
      </c>
      <c r="B677" s="10" t="s">
        <v>230</v>
      </c>
      <c r="C677" s="10"/>
      <c r="D677" s="10" t="s">
        <v>407</v>
      </c>
      <c r="E677" s="10" t="s">
        <v>268</v>
      </c>
      <c r="F677" s="3">
        <f t="shared" si="225"/>
        <v>6</v>
      </c>
      <c r="G677" s="3">
        <f>SUMIFS('Business - Dump'!$W:$W,'Business - Dump'!$D:$D,'SKU Repoprt'!$D677,'Business - Dump'!$A:$A,'SKU Repoprt'!G$1)</f>
        <v>0</v>
      </c>
      <c r="H677" s="3">
        <f>SUMIFS('Business - Dump'!$W:$W,'Business - Dump'!$D:$D,'SKU Repoprt'!$D677,'Business - Dump'!$A:$A,'SKU Repoprt'!H$1)</f>
        <v>0</v>
      </c>
      <c r="I677" s="3">
        <f>SUMIFS('Business - Dump'!$W:$W,'Business - Dump'!$D:$D,'SKU Repoprt'!$D677,'Business - Dump'!$A:$A,'SKU Repoprt'!I$1)</f>
        <v>0</v>
      </c>
      <c r="J677" s="3">
        <f>SUMIFS('Business - Dump'!$W:$W,'Business - Dump'!$D:$D,'SKU Repoprt'!$D677,'Business - Dump'!$A:$A,'SKU Repoprt'!J$1)</f>
        <v>0</v>
      </c>
      <c r="K677" s="3">
        <f>SUMIFS('Business - Dump'!$W:$W,'Business - Dump'!$D:$D,'SKU Repoprt'!$D677,'Business - Dump'!$A:$A,'SKU Repoprt'!K$1)</f>
        <v>0</v>
      </c>
      <c r="L677" s="3">
        <f>SUMIFS('Business - Dump'!$W:$W,'Business - Dump'!$D:$D,'SKU Repoprt'!$D677,'Business - Dump'!$A:$A,'SKU Repoprt'!L$1)</f>
        <v>0</v>
      </c>
      <c r="M677" s="3">
        <f>SUMIFS('Business - Dump'!$W:$W,'Business - Dump'!$D:$D,'SKU Repoprt'!$D677,'Business - Dump'!$A:$A,'SKU Repoprt'!M$1)</f>
        <v>0</v>
      </c>
      <c r="N677" s="3">
        <f>SUMIFS('Business - Dump'!$W:$W,'Business - Dump'!$D:$D,'SKU Repoprt'!$D677,'Business - Dump'!$A:$A,'SKU Repoprt'!N$1)</f>
        <v>0</v>
      </c>
      <c r="O677" s="3">
        <f>SUMIFS('Business - Dump'!$W:$W,'Business - Dump'!$D:$D,'SKU Repoprt'!$D677,'Business - Dump'!$A:$A,'SKU Repoprt'!O$1)</f>
        <v>0</v>
      </c>
      <c r="P677" s="3">
        <f>SUMIFS('Business - Dump'!$W:$W,'Business - Dump'!$D:$D,'SKU Repoprt'!$D677,'Business - Dump'!$A:$A,'SKU Repoprt'!P$1)</f>
        <v>0</v>
      </c>
      <c r="Q677" s="3">
        <f>SUMIFS('Business - Dump'!$W:$W,'Business - Dump'!$D:$D,'SKU Repoprt'!$D677,'Business - Dump'!$A:$A,'SKU Repoprt'!Q$1)</f>
        <v>1</v>
      </c>
      <c r="R677" s="3">
        <f>SUMIFS('Business - Dump'!$W:$W,'Business - Dump'!$D:$D,'SKU Repoprt'!$D677,'Business - Dump'!$A:$A,'SKU Repoprt'!R$1)</f>
        <v>1</v>
      </c>
      <c r="S677" s="3">
        <f>SUMIFS('Business - Dump'!$W:$W,'Business - Dump'!$D:$D,'SKU Repoprt'!$D677,'Business - Dump'!$A:$A,'SKU Repoprt'!S$1)</f>
        <v>4</v>
      </c>
      <c r="T677" s="3">
        <f>SUMIFS('Business - Dump'!$W:$W,'Business - Dump'!$D:$D,'SKU Repoprt'!$D677,'Business - Dump'!$A:$A,'SKU Repoprt'!T$1)</f>
        <v>3</v>
      </c>
      <c r="U677" s="3">
        <f>SUMIFS('Business - Dump'!$W:$W,'Business - Dump'!$D:$D,'SKU Repoprt'!$D677,'Business - Dump'!$A:$A,'SKU Repoprt'!U$1)</f>
        <v>5</v>
      </c>
      <c r="V677" s="3">
        <f>SUMIFS('Business - Dump'!$W:$W,'Business - Dump'!$D:$D,'SKU Repoprt'!$D677,'Business - Dump'!$A:$A,'SKU Repoprt'!V$1)</f>
        <v>0</v>
      </c>
      <c r="W677" s="3">
        <f>SUMIFS('Business - Dump'!$W:$W,'Business - Dump'!$D:$D,'SKU Repoprt'!$D677,'Business - Dump'!$A:$A,'SKU Repoprt'!W$1)</f>
        <v>3</v>
      </c>
    </row>
    <row r="678" ht="15.75" customHeight="1">
      <c r="A678" s="10" t="s">
        <v>1380</v>
      </c>
      <c r="B678" s="10" t="s">
        <v>230</v>
      </c>
      <c r="C678" s="10"/>
      <c r="D678" s="10" t="s">
        <v>407</v>
      </c>
      <c r="E678" s="10" t="s">
        <v>26</v>
      </c>
      <c r="F678" s="16">
        <f t="shared" si="225"/>
        <v>165969.04</v>
      </c>
      <c r="G678" s="16">
        <f>SUMIFS('Business - Dump'!$U:$U,'Business - Dump'!$D:$D,'SKU Repoprt'!$D678,'Business - Dump'!$A:$A,'SKU Repoprt'!G$1)</f>
        <v>0</v>
      </c>
      <c r="H678" s="16">
        <f>SUMIFS('Business - Dump'!$U:$U,'Business - Dump'!$D:$D,'SKU Repoprt'!$D678,'Business - Dump'!$A:$A,'SKU Repoprt'!H$1)</f>
        <v>0</v>
      </c>
      <c r="I678" s="16">
        <f>SUMIFS('Business - Dump'!$U:$U,'Business - Dump'!$D:$D,'SKU Repoprt'!$D678,'Business - Dump'!$A:$A,'SKU Repoprt'!I$1)</f>
        <v>0</v>
      </c>
      <c r="J678" s="16">
        <f>SUMIFS('Business - Dump'!$U:$U,'Business - Dump'!$D:$D,'SKU Repoprt'!$D678,'Business - Dump'!$A:$A,'SKU Repoprt'!J$1)</f>
        <v>0</v>
      </c>
      <c r="K678" s="16">
        <f>SUMIFS('Business - Dump'!$U:$U,'Business - Dump'!$D:$D,'SKU Repoprt'!$D678,'Business - Dump'!$A:$A,'SKU Repoprt'!K$1)</f>
        <v>0</v>
      </c>
      <c r="L678" s="16">
        <f>SUMIFS('Business - Dump'!$U:$U,'Business - Dump'!$D:$D,'SKU Repoprt'!$D678,'Business - Dump'!$A:$A,'SKU Repoprt'!L$1)</f>
        <v>0</v>
      </c>
      <c r="M678" s="16">
        <f>SUMIFS('Business - Dump'!$U:$U,'Business - Dump'!$D:$D,'SKU Repoprt'!$D678,'Business - Dump'!$A:$A,'SKU Repoprt'!M$1)</f>
        <v>0</v>
      </c>
      <c r="N678" s="16">
        <f>SUMIFS('Business - Dump'!$U:$U,'Business - Dump'!$D:$D,'SKU Repoprt'!$D678,'Business - Dump'!$A:$A,'SKU Repoprt'!N$1)</f>
        <v>0</v>
      </c>
      <c r="O678" s="16">
        <f>SUMIFS('Business - Dump'!$U:$U,'Business - Dump'!$D:$D,'SKU Repoprt'!$D678,'Business - Dump'!$A:$A,'SKU Repoprt'!O$1)</f>
        <v>0</v>
      </c>
      <c r="P678" s="16">
        <f>SUMIFS('Business - Dump'!$U:$U,'Business - Dump'!$D:$D,'SKU Repoprt'!$D678,'Business - Dump'!$A:$A,'SKU Repoprt'!P$1)</f>
        <v>0</v>
      </c>
      <c r="Q678" s="16">
        <f>SUMIFS('Business - Dump'!$U:$U,'Business - Dump'!$D:$D,'SKU Repoprt'!$D678,'Business - Dump'!$A:$A,'SKU Repoprt'!Q$1)</f>
        <v>31900</v>
      </c>
      <c r="R678" s="16">
        <f>SUMIFS('Business - Dump'!$U:$U,'Business - Dump'!$D:$D,'SKU Repoprt'!$D678,'Business - Dump'!$A:$A,'SKU Repoprt'!R$1)</f>
        <v>27250</v>
      </c>
      <c r="S678" s="16">
        <f>SUMIFS('Business - Dump'!$U:$U,'Business - Dump'!$D:$D,'SKU Repoprt'!$D678,'Business - Dump'!$A:$A,'SKU Repoprt'!S$1)</f>
        <v>106819.04</v>
      </c>
      <c r="T678" s="16">
        <f>SUMIFS('Business - Dump'!$U:$U,'Business - Dump'!$D:$D,'SKU Repoprt'!$D678,'Business - Dump'!$A:$A,'SKU Repoprt'!T$1)</f>
        <v>80158.52</v>
      </c>
      <c r="U678" s="16">
        <f>SUMIFS('Business - Dump'!$U:$U,'Business - Dump'!$D:$D,'SKU Repoprt'!$D678,'Business - Dump'!$A:$A,'SKU Repoprt'!U$1)</f>
        <v>130931.7</v>
      </c>
      <c r="V678" s="16">
        <f>SUMIFS('Business - Dump'!$U:$U,'Business - Dump'!$D:$D,'SKU Repoprt'!$D678,'Business - Dump'!$A:$A,'SKU Repoprt'!V$1)</f>
        <v>0</v>
      </c>
      <c r="W678" s="16">
        <f>SUMIFS('Business - Dump'!$U:$U,'Business - Dump'!$D:$D,'SKU Repoprt'!$D678,'Business - Dump'!$A:$A,'SKU Repoprt'!W$1)</f>
        <v>87284.24</v>
      </c>
    </row>
    <row r="679" ht="15.75" customHeight="1">
      <c r="A679" s="10" t="s">
        <v>1380</v>
      </c>
      <c r="B679" s="10" t="s">
        <v>230</v>
      </c>
      <c r="C679" s="10"/>
      <c r="D679" s="10" t="s">
        <v>407</v>
      </c>
      <c r="E679" s="10" t="s">
        <v>29</v>
      </c>
      <c r="F679" s="17">
        <v>0.027042857142857143</v>
      </c>
      <c r="G679" s="17">
        <f t="shared" ref="G679:W679" si="226">IFERROR(G677/G674,0)</f>
        <v>0</v>
      </c>
      <c r="H679" s="17">
        <f t="shared" si="226"/>
        <v>0</v>
      </c>
      <c r="I679" s="17">
        <f t="shared" si="226"/>
        <v>0</v>
      </c>
      <c r="J679" s="17">
        <f t="shared" si="226"/>
        <v>0</v>
      </c>
      <c r="K679" s="17">
        <f t="shared" si="226"/>
        <v>0</v>
      </c>
      <c r="L679" s="17">
        <f t="shared" si="226"/>
        <v>0</v>
      </c>
      <c r="M679" s="17">
        <f t="shared" si="226"/>
        <v>0</v>
      </c>
      <c r="N679" s="17">
        <f t="shared" si="226"/>
        <v>0</v>
      </c>
      <c r="O679" s="17">
        <f t="shared" si="226"/>
        <v>0</v>
      </c>
      <c r="P679" s="17">
        <f t="shared" si="226"/>
        <v>0</v>
      </c>
      <c r="Q679" s="17">
        <f t="shared" si="226"/>
        <v>0.05882352941</v>
      </c>
      <c r="R679" s="17">
        <f t="shared" si="226"/>
        <v>0.004149377593</v>
      </c>
      <c r="S679" s="17">
        <f t="shared" si="226"/>
        <v>0.01687763713</v>
      </c>
      <c r="T679" s="17">
        <f t="shared" si="226"/>
        <v>0.007263922518</v>
      </c>
      <c r="U679" s="17">
        <f t="shared" si="226"/>
        <v>0.01779359431</v>
      </c>
      <c r="V679" s="17">
        <f t="shared" si="226"/>
        <v>0</v>
      </c>
      <c r="W679" s="17">
        <f t="shared" si="226"/>
        <v>0.01807228916</v>
      </c>
    </row>
    <row r="680" ht="15.75" customHeight="1">
      <c r="A680" s="10" t="s">
        <v>1380</v>
      </c>
      <c r="B680" s="10" t="s">
        <v>230</v>
      </c>
      <c r="C680" s="10"/>
      <c r="D680" s="10" t="s">
        <v>409</v>
      </c>
      <c r="E680" s="10" t="s">
        <v>257</v>
      </c>
      <c r="F680" s="3">
        <f t="shared" ref="F680:F684" si="227">SUM(G680:S680)</f>
        <v>114</v>
      </c>
      <c r="G680" s="3">
        <f>SUMIFS('Business - Dump'!$G:$G,'Business - Dump'!$D:$D,'SKU Repoprt'!$D680,'Business - Dump'!$A:$A,'SKU Repoprt'!G$1)</f>
        <v>0</v>
      </c>
      <c r="H680" s="3">
        <f>SUMIFS('Business - Dump'!$G:$G,'Business - Dump'!$D:$D,'SKU Repoprt'!$D680,'Business - Dump'!$A:$A,'SKU Repoprt'!H$1)</f>
        <v>0</v>
      </c>
      <c r="I680" s="3">
        <f>SUMIFS('Business - Dump'!$G:$G,'Business - Dump'!$D:$D,'SKU Repoprt'!$D680,'Business - Dump'!$A:$A,'SKU Repoprt'!I$1)</f>
        <v>0</v>
      </c>
      <c r="J680" s="3">
        <f>SUMIFS('Business - Dump'!$G:$G,'Business - Dump'!$D:$D,'SKU Repoprt'!$D680,'Business - Dump'!$A:$A,'SKU Repoprt'!J$1)</f>
        <v>0</v>
      </c>
      <c r="K680" s="3">
        <f>SUMIFS('Business - Dump'!$G:$G,'Business - Dump'!$D:$D,'SKU Repoprt'!$D680,'Business - Dump'!$A:$A,'SKU Repoprt'!K$1)</f>
        <v>0</v>
      </c>
      <c r="L680" s="3">
        <f>SUMIFS('Business - Dump'!$G:$G,'Business - Dump'!$D:$D,'SKU Repoprt'!$D680,'Business - Dump'!$A:$A,'SKU Repoprt'!L$1)</f>
        <v>0</v>
      </c>
      <c r="M680" s="3">
        <f>SUMIFS('Business - Dump'!$G:$G,'Business - Dump'!$D:$D,'SKU Repoprt'!$D680,'Business - Dump'!$A:$A,'SKU Repoprt'!M$1)</f>
        <v>0</v>
      </c>
      <c r="N680" s="3">
        <f>SUMIFS('Business - Dump'!$G:$G,'Business - Dump'!$D:$D,'SKU Repoprt'!$D680,'Business - Dump'!$A:$A,'SKU Repoprt'!N$1)</f>
        <v>0</v>
      </c>
      <c r="O680" s="3">
        <f>SUMIFS('Business - Dump'!$G:$G,'Business - Dump'!$D:$D,'SKU Repoprt'!$D680,'Business - Dump'!$A:$A,'SKU Repoprt'!O$1)</f>
        <v>28</v>
      </c>
      <c r="P680" s="3">
        <f>SUMIFS('Business - Dump'!$G:$G,'Business - Dump'!$D:$D,'SKU Repoprt'!$D680,'Business - Dump'!$A:$A,'SKU Repoprt'!P$1)</f>
        <v>1</v>
      </c>
      <c r="Q680" s="3">
        <f>SUMIFS('Business - Dump'!$G:$G,'Business - Dump'!$D:$D,'SKU Repoprt'!$D680,'Business - Dump'!$A:$A,'SKU Repoprt'!Q$1)</f>
        <v>7</v>
      </c>
      <c r="R680" s="3">
        <f>SUMIFS('Business - Dump'!$G:$G,'Business - Dump'!$D:$D,'SKU Repoprt'!$D680,'Business - Dump'!$A:$A,'SKU Repoprt'!R$1)</f>
        <v>37</v>
      </c>
      <c r="S680" s="3">
        <f>SUMIFS('Business - Dump'!$G:$G,'Business - Dump'!$D:$D,'SKU Repoprt'!$D680,'Business - Dump'!$A:$A,'SKU Repoprt'!S$1)</f>
        <v>41</v>
      </c>
      <c r="T680" s="3">
        <f>SUMIFS('Business - Dump'!$G:$G,'Business - Dump'!$D:$D,'SKU Repoprt'!$D680,'Business - Dump'!$A:$A,'SKU Repoprt'!T$1)</f>
        <v>84</v>
      </c>
      <c r="U680" s="3">
        <f>SUMIFS('Business - Dump'!$G:$G,'Business - Dump'!$D:$D,'SKU Repoprt'!$D680,'Business - Dump'!$A:$A,'SKU Repoprt'!U$1)</f>
        <v>111</v>
      </c>
      <c r="V680" s="3">
        <f>SUMIFS('Business - Dump'!$G:$G,'Business - Dump'!$D:$D,'SKU Repoprt'!$D680,'Business - Dump'!$A:$A,'SKU Repoprt'!V$1)</f>
        <v>55</v>
      </c>
      <c r="W680" s="3">
        <f>SUMIFS('Business - Dump'!$G:$G,'Business - Dump'!$D:$D,'SKU Repoprt'!$D680,'Business - Dump'!$A:$A,'SKU Repoprt'!W$1)</f>
        <v>63</v>
      </c>
    </row>
    <row r="681" ht="15.75" customHeight="1">
      <c r="A681" s="10" t="s">
        <v>1380</v>
      </c>
      <c r="B681" s="10" t="s">
        <v>230</v>
      </c>
      <c r="C681" s="10"/>
      <c r="D681" s="10" t="s">
        <v>409</v>
      </c>
      <c r="E681" s="10" t="s">
        <v>260</v>
      </c>
      <c r="F681" s="3">
        <f t="shared" si="227"/>
        <v>154</v>
      </c>
      <c r="G681" s="3">
        <f>SUMIFS('Business - Dump'!$K:$K,'Business - Dump'!$D:$D,'SKU Repoprt'!$D681,'Business - Dump'!$A:$A,'SKU Repoprt'!G$1)</f>
        <v>0</v>
      </c>
      <c r="H681" s="3">
        <f>SUMIFS('Business - Dump'!$K:$K,'Business - Dump'!$D:$D,'SKU Repoprt'!$D681,'Business - Dump'!$A:$A,'SKU Repoprt'!H$1)</f>
        <v>0</v>
      </c>
      <c r="I681" s="3">
        <f>SUMIFS('Business - Dump'!$K:$K,'Business - Dump'!$D:$D,'SKU Repoprt'!$D681,'Business - Dump'!$A:$A,'SKU Repoprt'!I$1)</f>
        <v>0</v>
      </c>
      <c r="J681" s="3">
        <f>SUMIFS('Business - Dump'!$K:$K,'Business - Dump'!$D:$D,'SKU Repoprt'!$D681,'Business - Dump'!$A:$A,'SKU Repoprt'!J$1)</f>
        <v>0</v>
      </c>
      <c r="K681" s="3">
        <f>SUMIFS('Business - Dump'!$K:$K,'Business - Dump'!$D:$D,'SKU Repoprt'!$D681,'Business - Dump'!$A:$A,'SKU Repoprt'!K$1)</f>
        <v>0</v>
      </c>
      <c r="L681" s="3">
        <f>SUMIFS('Business - Dump'!$K:$K,'Business - Dump'!$D:$D,'SKU Repoprt'!$D681,'Business - Dump'!$A:$A,'SKU Repoprt'!L$1)</f>
        <v>0</v>
      </c>
      <c r="M681" s="3">
        <f>SUMIFS('Business - Dump'!$K:$K,'Business - Dump'!$D:$D,'SKU Repoprt'!$D681,'Business - Dump'!$A:$A,'SKU Repoprt'!M$1)</f>
        <v>0</v>
      </c>
      <c r="N681" s="3">
        <f>SUMIFS('Business - Dump'!$K:$K,'Business - Dump'!$D:$D,'SKU Repoprt'!$D681,'Business - Dump'!$A:$A,'SKU Repoprt'!N$1)</f>
        <v>0</v>
      </c>
      <c r="O681" s="3">
        <f>SUMIFS('Business - Dump'!$K:$K,'Business - Dump'!$D:$D,'SKU Repoprt'!$D681,'Business - Dump'!$A:$A,'SKU Repoprt'!O$1)</f>
        <v>29</v>
      </c>
      <c r="P681" s="3">
        <f>SUMIFS('Business - Dump'!$K:$K,'Business - Dump'!$D:$D,'SKU Repoprt'!$D681,'Business - Dump'!$A:$A,'SKU Repoprt'!P$1)</f>
        <v>2</v>
      </c>
      <c r="Q681" s="3">
        <f>SUMIFS('Business - Dump'!$K:$K,'Business - Dump'!$D:$D,'SKU Repoprt'!$D681,'Business - Dump'!$A:$A,'SKU Repoprt'!Q$1)</f>
        <v>7</v>
      </c>
      <c r="R681" s="3">
        <f>SUMIFS('Business - Dump'!$K:$K,'Business - Dump'!$D:$D,'SKU Repoprt'!$D681,'Business - Dump'!$A:$A,'SKU Repoprt'!R$1)</f>
        <v>47</v>
      </c>
      <c r="S681" s="3">
        <f>SUMIFS('Business - Dump'!$K:$K,'Business - Dump'!$D:$D,'SKU Repoprt'!$D681,'Business - Dump'!$A:$A,'SKU Repoprt'!S$1)</f>
        <v>69</v>
      </c>
      <c r="T681" s="3">
        <f>SUMIFS('Business - Dump'!$K:$K,'Business - Dump'!$D:$D,'SKU Repoprt'!$D681,'Business - Dump'!$A:$A,'SKU Repoprt'!T$1)</f>
        <v>125</v>
      </c>
      <c r="U681" s="3">
        <f>SUMIFS('Business - Dump'!$K:$K,'Business - Dump'!$D:$D,'SKU Repoprt'!$D681,'Business - Dump'!$A:$A,'SKU Repoprt'!U$1)</f>
        <v>219</v>
      </c>
      <c r="V681" s="3">
        <f>SUMIFS('Business - Dump'!$K:$K,'Business - Dump'!$D:$D,'SKU Repoprt'!$D681,'Business - Dump'!$A:$A,'SKU Repoprt'!V$1)</f>
        <v>78</v>
      </c>
      <c r="W681" s="3">
        <f>SUMIFS('Business - Dump'!$K:$K,'Business - Dump'!$D:$D,'SKU Repoprt'!$D681,'Business - Dump'!$A:$A,'SKU Repoprt'!W$1)</f>
        <v>83</v>
      </c>
    </row>
    <row r="682" ht="15.75" customHeight="1">
      <c r="A682" s="10" t="s">
        <v>1380</v>
      </c>
      <c r="B682" s="10" t="s">
        <v>230</v>
      </c>
      <c r="C682" s="10"/>
      <c r="D682" s="10" t="s">
        <v>409</v>
      </c>
      <c r="E682" s="10" t="s">
        <v>264</v>
      </c>
      <c r="F682" s="3">
        <f t="shared" si="227"/>
        <v>2</v>
      </c>
      <c r="G682" s="3">
        <f>SUMIFS('Business - Dump'!$Q:$Q,'Business - Dump'!$D:$D,'SKU Repoprt'!$D682,'Business - Dump'!$A:$A,'SKU Repoprt'!G$1)</f>
        <v>0</v>
      </c>
      <c r="H682" s="3">
        <f>SUMIFS('Business - Dump'!$Q:$Q,'Business - Dump'!$D:$D,'SKU Repoprt'!$D682,'Business - Dump'!$A:$A,'SKU Repoprt'!H$1)</f>
        <v>0</v>
      </c>
      <c r="I682" s="3">
        <f>SUMIFS('Business - Dump'!$Q:$Q,'Business - Dump'!$D:$D,'SKU Repoprt'!$D682,'Business - Dump'!$A:$A,'SKU Repoprt'!I$1)</f>
        <v>0</v>
      </c>
      <c r="J682" s="3">
        <f>SUMIFS('Business - Dump'!$Q:$Q,'Business - Dump'!$D:$D,'SKU Repoprt'!$D682,'Business - Dump'!$A:$A,'SKU Repoprt'!J$1)</f>
        <v>0</v>
      </c>
      <c r="K682" s="3">
        <f>SUMIFS('Business - Dump'!$Q:$Q,'Business - Dump'!$D:$D,'SKU Repoprt'!$D682,'Business - Dump'!$A:$A,'SKU Repoprt'!K$1)</f>
        <v>0</v>
      </c>
      <c r="L682" s="3">
        <f>SUMIFS('Business - Dump'!$Q:$Q,'Business - Dump'!$D:$D,'SKU Repoprt'!$D682,'Business - Dump'!$A:$A,'SKU Repoprt'!L$1)</f>
        <v>0</v>
      </c>
      <c r="M682" s="3">
        <f>SUMIFS('Business - Dump'!$Q:$Q,'Business - Dump'!$D:$D,'SKU Repoprt'!$D682,'Business - Dump'!$A:$A,'SKU Repoprt'!M$1)</f>
        <v>0</v>
      </c>
      <c r="N682" s="3">
        <f>SUMIFS('Business - Dump'!$Q:$Q,'Business - Dump'!$D:$D,'SKU Repoprt'!$D682,'Business - Dump'!$A:$A,'SKU Repoprt'!N$1)</f>
        <v>0</v>
      </c>
      <c r="O682" s="3">
        <f>SUMIFS('Business - Dump'!$Q:$Q,'Business - Dump'!$D:$D,'SKU Repoprt'!$D682,'Business - Dump'!$A:$A,'SKU Repoprt'!O$1)</f>
        <v>0</v>
      </c>
      <c r="P682" s="3">
        <f>SUMIFS('Business - Dump'!$Q:$Q,'Business - Dump'!$D:$D,'SKU Repoprt'!$D682,'Business - Dump'!$A:$A,'SKU Repoprt'!P$1)</f>
        <v>0</v>
      </c>
      <c r="Q682" s="3">
        <f>SUMIFS('Business - Dump'!$Q:$Q,'Business - Dump'!$D:$D,'SKU Repoprt'!$D682,'Business - Dump'!$A:$A,'SKU Repoprt'!Q$1)</f>
        <v>0</v>
      </c>
      <c r="R682" s="3">
        <f>SUMIFS('Business - Dump'!$Q:$Q,'Business - Dump'!$D:$D,'SKU Repoprt'!$D682,'Business - Dump'!$A:$A,'SKU Repoprt'!R$1)</f>
        <v>0</v>
      </c>
      <c r="S682" s="3">
        <f>SUMIFS('Business - Dump'!$Q:$Q,'Business - Dump'!$D:$D,'SKU Repoprt'!$D682,'Business - Dump'!$A:$A,'SKU Repoprt'!S$1)</f>
        <v>2</v>
      </c>
      <c r="T682" s="3">
        <f>SUMIFS('Business - Dump'!$Q:$Q,'Business - Dump'!$D:$D,'SKU Repoprt'!$D682,'Business - Dump'!$A:$A,'SKU Repoprt'!T$1)</f>
        <v>2</v>
      </c>
      <c r="U682" s="3">
        <f>SUMIFS('Business - Dump'!$Q:$Q,'Business - Dump'!$D:$D,'SKU Repoprt'!$D682,'Business - Dump'!$A:$A,'SKU Repoprt'!U$1)</f>
        <v>1</v>
      </c>
      <c r="V682" s="3">
        <f>SUMIFS('Business - Dump'!$Q:$Q,'Business - Dump'!$D:$D,'SKU Repoprt'!$D682,'Business - Dump'!$A:$A,'SKU Repoprt'!V$1)</f>
        <v>1</v>
      </c>
      <c r="W682" s="3">
        <f>SUMIFS('Business - Dump'!$Q:$Q,'Business - Dump'!$D:$D,'SKU Repoprt'!$D682,'Business - Dump'!$A:$A,'SKU Repoprt'!W$1)</f>
        <v>0</v>
      </c>
    </row>
    <row r="683" ht="15.75" customHeight="1">
      <c r="A683" s="10" t="s">
        <v>1380</v>
      </c>
      <c r="B683" s="10" t="s">
        <v>230</v>
      </c>
      <c r="C683" s="10"/>
      <c r="D683" s="10" t="s">
        <v>409</v>
      </c>
      <c r="E683" s="10" t="s">
        <v>268</v>
      </c>
      <c r="F683" s="3">
        <f t="shared" si="227"/>
        <v>2</v>
      </c>
      <c r="G683" s="3">
        <f>SUMIFS('Business - Dump'!$W:$W,'Business - Dump'!$D:$D,'SKU Repoprt'!$D683,'Business - Dump'!$A:$A,'SKU Repoprt'!G$1)</f>
        <v>0</v>
      </c>
      <c r="H683" s="3">
        <f>SUMIFS('Business - Dump'!$W:$W,'Business - Dump'!$D:$D,'SKU Repoprt'!$D683,'Business - Dump'!$A:$A,'SKU Repoprt'!H$1)</f>
        <v>0</v>
      </c>
      <c r="I683" s="3">
        <f>SUMIFS('Business - Dump'!$W:$W,'Business - Dump'!$D:$D,'SKU Repoprt'!$D683,'Business - Dump'!$A:$A,'SKU Repoprt'!I$1)</f>
        <v>0</v>
      </c>
      <c r="J683" s="3">
        <f>SUMIFS('Business - Dump'!$W:$W,'Business - Dump'!$D:$D,'SKU Repoprt'!$D683,'Business - Dump'!$A:$A,'SKU Repoprt'!J$1)</f>
        <v>0</v>
      </c>
      <c r="K683" s="3">
        <f>SUMIFS('Business - Dump'!$W:$W,'Business - Dump'!$D:$D,'SKU Repoprt'!$D683,'Business - Dump'!$A:$A,'SKU Repoprt'!K$1)</f>
        <v>0</v>
      </c>
      <c r="L683" s="3">
        <f>SUMIFS('Business - Dump'!$W:$W,'Business - Dump'!$D:$D,'SKU Repoprt'!$D683,'Business - Dump'!$A:$A,'SKU Repoprt'!L$1)</f>
        <v>0</v>
      </c>
      <c r="M683" s="3">
        <f>SUMIFS('Business - Dump'!$W:$W,'Business - Dump'!$D:$D,'SKU Repoprt'!$D683,'Business - Dump'!$A:$A,'SKU Repoprt'!M$1)</f>
        <v>0</v>
      </c>
      <c r="N683" s="3">
        <f>SUMIFS('Business - Dump'!$W:$W,'Business - Dump'!$D:$D,'SKU Repoprt'!$D683,'Business - Dump'!$A:$A,'SKU Repoprt'!N$1)</f>
        <v>0</v>
      </c>
      <c r="O683" s="3">
        <f>SUMIFS('Business - Dump'!$W:$W,'Business - Dump'!$D:$D,'SKU Repoprt'!$D683,'Business - Dump'!$A:$A,'SKU Repoprt'!O$1)</f>
        <v>0</v>
      </c>
      <c r="P683" s="3">
        <f>SUMIFS('Business - Dump'!$W:$W,'Business - Dump'!$D:$D,'SKU Repoprt'!$D683,'Business - Dump'!$A:$A,'SKU Repoprt'!P$1)</f>
        <v>0</v>
      </c>
      <c r="Q683" s="3">
        <f>SUMIFS('Business - Dump'!$W:$W,'Business - Dump'!$D:$D,'SKU Repoprt'!$D683,'Business - Dump'!$A:$A,'SKU Repoprt'!Q$1)</f>
        <v>0</v>
      </c>
      <c r="R683" s="3">
        <f>SUMIFS('Business - Dump'!$W:$W,'Business - Dump'!$D:$D,'SKU Repoprt'!$D683,'Business - Dump'!$A:$A,'SKU Repoprt'!R$1)</f>
        <v>0</v>
      </c>
      <c r="S683" s="3">
        <f>SUMIFS('Business - Dump'!$W:$W,'Business - Dump'!$D:$D,'SKU Repoprt'!$D683,'Business - Dump'!$A:$A,'SKU Repoprt'!S$1)</f>
        <v>2</v>
      </c>
      <c r="T683" s="3">
        <f>SUMIFS('Business - Dump'!$W:$W,'Business - Dump'!$D:$D,'SKU Repoprt'!$D683,'Business - Dump'!$A:$A,'SKU Repoprt'!T$1)</f>
        <v>2</v>
      </c>
      <c r="U683" s="3">
        <f>SUMIFS('Business - Dump'!$W:$W,'Business - Dump'!$D:$D,'SKU Repoprt'!$D683,'Business - Dump'!$A:$A,'SKU Repoprt'!U$1)</f>
        <v>1</v>
      </c>
      <c r="V683" s="3">
        <f>SUMIFS('Business - Dump'!$W:$W,'Business - Dump'!$D:$D,'SKU Repoprt'!$D683,'Business - Dump'!$A:$A,'SKU Repoprt'!V$1)</f>
        <v>1</v>
      </c>
      <c r="W683" s="3">
        <f>SUMIFS('Business - Dump'!$W:$W,'Business - Dump'!$D:$D,'SKU Repoprt'!$D683,'Business - Dump'!$A:$A,'SKU Repoprt'!W$1)</f>
        <v>0</v>
      </c>
    </row>
    <row r="684" ht="15.75" customHeight="1">
      <c r="A684" s="10" t="s">
        <v>1380</v>
      </c>
      <c r="B684" s="10" t="s">
        <v>230</v>
      </c>
      <c r="C684" s="10"/>
      <c r="D684" s="10" t="s">
        <v>409</v>
      </c>
      <c r="E684" s="10" t="s">
        <v>26</v>
      </c>
      <c r="F684" s="16">
        <f t="shared" si="227"/>
        <v>24204.76</v>
      </c>
      <c r="G684" s="16">
        <f>SUMIFS('Business - Dump'!$U:$U,'Business - Dump'!$D:$D,'SKU Repoprt'!$D684,'Business - Dump'!$A:$A,'SKU Repoprt'!G$1)</f>
        <v>0</v>
      </c>
      <c r="H684" s="16">
        <f>SUMIFS('Business - Dump'!$U:$U,'Business - Dump'!$D:$D,'SKU Repoprt'!$D684,'Business - Dump'!$A:$A,'SKU Repoprt'!H$1)</f>
        <v>0</v>
      </c>
      <c r="I684" s="16">
        <f>SUMIFS('Business - Dump'!$U:$U,'Business - Dump'!$D:$D,'SKU Repoprt'!$D684,'Business - Dump'!$A:$A,'SKU Repoprt'!I$1)</f>
        <v>0</v>
      </c>
      <c r="J684" s="16">
        <f>SUMIFS('Business - Dump'!$U:$U,'Business - Dump'!$D:$D,'SKU Repoprt'!$D684,'Business - Dump'!$A:$A,'SKU Repoprt'!J$1)</f>
        <v>0</v>
      </c>
      <c r="K684" s="16">
        <f>SUMIFS('Business - Dump'!$U:$U,'Business - Dump'!$D:$D,'SKU Repoprt'!$D684,'Business - Dump'!$A:$A,'SKU Repoprt'!K$1)</f>
        <v>0</v>
      </c>
      <c r="L684" s="16">
        <f>SUMIFS('Business - Dump'!$U:$U,'Business - Dump'!$D:$D,'SKU Repoprt'!$D684,'Business - Dump'!$A:$A,'SKU Repoprt'!L$1)</f>
        <v>0</v>
      </c>
      <c r="M684" s="16">
        <f>SUMIFS('Business - Dump'!$U:$U,'Business - Dump'!$D:$D,'SKU Repoprt'!$D684,'Business - Dump'!$A:$A,'SKU Repoprt'!M$1)</f>
        <v>0</v>
      </c>
      <c r="N684" s="16">
        <f>SUMIFS('Business - Dump'!$U:$U,'Business - Dump'!$D:$D,'SKU Repoprt'!$D684,'Business - Dump'!$A:$A,'SKU Repoprt'!N$1)</f>
        <v>0</v>
      </c>
      <c r="O684" s="16">
        <f>SUMIFS('Business - Dump'!$U:$U,'Business - Dump'!$D:$D,'SKU Repoprt'!$D684,'Business - Dump'!$A:$A,'SKU Repoprt'!O$1)</f>
        <v>0</v>
      </c>
      <c r="P684" s="16">
        <f>SUMIFS('Business - Dump'!$U:$U,'Business - Dump'!$D:$D,'SKU Repoprt'!$D684,'Business - Dump'!$A:$A,'SKU Repoprt'!P$1)</f>
        <v>0</v>
      </c>
      <c r="Q684" s="16">
        <f>SUMIFS('Business - Dump'!$U:$U,'Business - Dump'!$D:$D,'SKU Repoprt'!$D684,'Business - Dump'!$A:$A,'SKU Repoprt'!Q$1)</f>
        <v>0</v>
      </c>
      <c r="R684" s="16">
        <f>SUMIFS('Business - Dump'!$U:$U,'Business - Dump'!$D:$D,'SKU Repoprt'!$D684,'Business - Dump'!$A:$A,'SKU Repoprt'!R$1)</f>
        <v>0</v>
      </c>
      <c r="S684" s="16">
        <f>SUMIFS('Business - Dump'!$U:$U,'Business - Dump'!$D:$D,'SKU Repoprt'!$D684,'Business - Dump'!$A:$A,'SKU Repoprt'!S$1)</f>
        <v>24204.76</v>
      </c>
      <c r="T684" s="16">
        <f>SUMIFS('Business - Dump'!$U:$U,'Business - Dump'!$D:$D,'SKU Repoprt'!$D684,'Business - Dump'!$A:$A,'SKU Repoprt'!T$1)</f>
        <v>48453.76</v>
      </c>
      <c r="U684" s="16">
        <f>SUMIFS('Business - Dump'!$U:$U,'Business - Dump'!$D:$D,'SKU Repoprt'!$D684,'Business - Dump'!$A:$A,'SKU Repoprt'!U$1)</f>
        <v>23749</v>
      </c>
      <c r="V684" s="16">
        <f>SUMIFS('Business - Dump'!$U:$U,'Business - Dump'!$D:$D,'SKU Repoprt'!$D684,'Business - Dump'!$A:$A,'SKU Repoprt'!V$1)</f>
        <v>27510</v>
      </c>
      <c r="W684" s="16">
        <f>SUMIFS('Business - Dump'!$U:$U,'Business - Dump'!$D:$D,'SKU Repoprt'!$D684,'Business - Dump'!$A:$A,'SKU Repoprt'!W$1)</f>
        <v>0</v>
      </c>
    </row>
    <row r="685" ht="15.75" customHeight="1">
      <c r="A685" s="10" t="s">
        <v>1380</v>
      </c>
      <c r="B685" s="10" t="s">
        <v>230</v>
      </c>
      <c r="C685" s="10"/>
      <c r="D685" s="10" t="s">
        <v>409</v>
      </c>
      <c r="E685" s="10" t="s">
        <v>29</v>
      </c>
      <c r="F685" s="17">
        <v>0.027042857142857143</v>
      </c>
      <c r="G685" s="17">
        <f t="shared" ref="G685:W685" si="228">IFERROR(G683/G680,0)</f>
        <v>0</v>
      </c>
      <c r="H685" s="17">
        <f t="shared" si="228"/>
        <v>0</v>
      </c>
      <c r="I685" s="17">
        <f t="shared" si="228"/>
        <v>0</v>
      </c>
      <c r="J685" s="17">
        <f t="shared" si="228"/>
        <v>0</v>
      </c>
      <c r="K685" s="17">
        <f t="shared" si="228"/>
        <v>0</v>
      </c>
      <c r="L685" s="17">
        <f t="shared" si="228"/>
        <v>0</v>
      </c>
      <c r="M685" s="17">
        <f t="shared" si="228"/>
        <v>0</v>
      </c>
      <c r="N685" s="17">
        <f t="shared" si="228"/>
        <v>0</v>
      </c>
      <c r="O685" s="17">
        <f t="shared" si="228"/>
        <v>0</v>
      </c>
      <c r="P685" s="17">
        <f t="shared" si="228"/>
        <v>0</v>
      </c>
      <c r="Q685" s="17">
        <f t="shared" si="228"/>
        <v>0</v>
      </c>
      <c r="R685" s="17">
        <f t="shared" si="228"/>
        <v>0</v>
      </c>
      <c r="S685" s="17">
        <f t="shared" si="228"/>
        <v>0.0487804878</v>
      </c>
      <c r="T685" s="17">
        <f t="shared" si="228"/>
        <v>0.02380952381</v>
      </c>
      <c r="U685" s="17">
        <f t="shared" si="228"/>
        <v>0.009009009009</v>
      </c>
      <c r="V685" s="17">
        <f t="shared" si="228"/>
        <v>0.01818181818</v>
      </c>
      <c r="W685" s="17">
        <f t="shared" si="228"/>
        <v>0</v>
      </c>
    </row>
    <row r="686" ht="15.75" customHeight="1">
      <c r="A686" s="10" t="s">
        <v>119</v>
      </c>
      <c r="B686" s="10" t="s">
        <v>119</v>
      </c>
      <c r="C686" s="10"/>
      <c r="D686" s="10" t="s">
        <v>357</v>
      </c>
      <c r="E686" s="10" t="s">
        <v>257</v>
      </c>
      <c r="F686" s="3">
        <f t="shared" ref="F686:F690" si="229">SUM(G686:S686)</f>
        <v>2038</v>
      </c>
      <c r="G686" s="3">
        <f>SUMIFS('Business - Dump'!$G:$G,'Business - Dump'!$D:$D,'SKU Repoprt'!$D686,'Business - Dump'!$A:$A,'SKU Repoprt'!G$1)</f>
        <v>0</v>
      </c>
      <c r="H686" s="3">
        <f>SUMIFS('Business - Dump'!$G:$G,'Business - Dump'!$D:$D,'SKU Repoprt'!$D686,'Business - Dump'!$A:$A,'SKU Repoprt'!H$1)</f>
        <v>0</v>
      </c>
      <c r="I686" s="3">
        <f>SUMIFS('Business - Dump'!$G:$G,'Business - Dump'!$D:$D,'SKU Repoprt'!$D686,'Business - Dump'!$A:$A,'SKU Repoprt'!I$1)</f>
        <v>0</v>
      </c>
      <c r="J686" s="3">
        <f>SUMIFS('Business - Dump'!$G:$G,'Business - Dump'!$D:$D,'SKU Repoprt'!$D686,'Business - Dump'!$A:$A,'SKU Repoprt'!J$1)</f>
        <v>261</v>
      </c>
      <c r="K686" s="3">
        <f>SUMIFS('Business - Dump'!$G:$G,'Business - Dump'!$D:$D,'SKU Repoprt'!$D686,'Business - Dump'!$A:$A,'SKU Repoprt'!K$1)</f>
        <v>250</v>
      </c>
      <c r="L686" s="3">
        <f>SUMIFS('Business - Dump'!$G:$G,'Business - Dump'!$D:$D,'SKU Repoprt'!$D686,'Business - Dump'!$A:$A,'SKU Repoprt'!L$1)</f>
        <v>0</v>
      </c>
      <c r="M686" s="3">
        <f>SUMIFS('Business - Dump'!$G:$G,'Business - Dump'!$D:$D,'SKU Repoprt'!$D686,'Business - Dump'!$A:$A,'SKU Repoprt'!M$1)</f>
        <v>294</v>
      </c>
      <c r="N686" s="3">
        <f>SUMIFS('Business - Dump'!$G:$G,'Business - Dump'!$D:$D,'SKU Repoprt'!$D686,'Business - Dump'!$A:$A,'SKU Repoprt'!N$1)</f>
        <v>289</v>
      </c>
      <c r="O686" s="3">
        <f>SUMIFS('Business - Dump'!$G:$G,'Business - Dump'!$D:$D,'SKU Repoprt'!$D686,'Business - Dump'!$A:$A,'SKU Repoprt'!O$1)</f>
        <v>193</v>
      </c>
      <c r="P686" s="3">
        <f>SUMIFS('Business - Dump'!$G:$G,'Business - Dump'!$D:$D,'SKU Repoprt'!$D686,'Business - Dump'!$A:$A,'SKU Repoprt'!P$1)</f>
        <v>205</v>
      </c>
      <c r="Q686" s="3">
        <f>SUMIFS('Business - Dump'!$G:$G,'Business - Dump'!$D:$D,'SKU Repoprt'!$D686,'Business - Dump'!$A:$A,'SKU Repoprt'!Q$1)</f>
        <v>172</v>
      </c>
      <c r="R686" s="3">
        <f>SUMIFS('Business - Dump'!$G:$G,'Business - Dump'!$D:$D,'SKU Repoprt'!$D686,'Business - Dump'!$A:$A,'SKU Repoprt'!R$1)</f>
        <v>154</v>
      </c>
      <c r="S686" s="3">
        <f>SUMIFS('Business - Dump'!$G:$G,'Business - Dump'!$D:$D,'SKU Repoprt'!$D686,'Business - Dump'!$A:$A,'SKU Repoprt'!S$1)</f>
        <v>220</v>
      </c>
      <c r="T686" s="3">
        <f>SUMIFS('Business - Dump'!$G:$G,'Business - Dump'!$D:$D,'SKU Repoprt'!$D686,'Business - Dump'!$A:$A,'SKU Repoprt'!T$1)</f>
        <v>317</v>
      </c>
      <c r="U686" s="3">
        <f>SUMIFS('Business - Dump'!$G:$G,'Business - Dump'!$D:$D,'SKU Repoprt'!$D686,'Business - Dump'!$A:$A,'SKU Repoprt'!U$1)</f>
        <v>345</v>
      </c>
      <c r="V686" s="3">
        <f>SUMIFS('Business - Dump'!$G:$G,'Business - Dump'!$D:$D,'SKU Repoprt'!$D686,'Business - Dump'!$A:$A,'SKU Repoprt'!V$1)</f>
        <v>248</v>
      </c>
      <c r="W686" s="3">
        <f>SUMIFS('Business - Dump'!$G:$G,'Business - Dump'!$D:$D,'SKU Repoprt'!$D686,'Business - Dump'!$A:$A,'SKU Repoprt'!W$1)</f>
        <v>256</v>
      </c>
    </row>
    <row r="687" ht="15.75" customHeight="1">
      <c r="A687" s="10" t="s">
        <v>119</v>
      </c>
      <c r="B687" s="10" t="s">
        <v>119</v>
      </c>
      <c r="C687" s="10"/>
      <c r="D687" s="10" t="s">
        <v>357</v>
      </c>
      <c r="E687" s="10" t="s">
        <v>260</v>
      </c>
      <c r="F687" s="3">
        <f t="shared" si="229"/>
        <v>2488</v>
      </c>
      <c r="G687" s="3">
        <f>SUMIFS('Business - Dump'!$K:$K,'Business - Dump'!$D:$D,'SKU Repoprt'!$D687,'Business - Dump'!$A:$A,'SKU Repoprt'!G$1)</f>
        <v>0</v>
      </c>
      <c r="H687" s="3">
        <f>SUMIFS('Business - Dump'!$K:$K,'Business - Dump'!$D:$D,'SKU Repoprt'!$D687,'Business - Dump'!$A:$A,'SKU Repoprt'!H$1)</f>
        <v>0</v>
      </c>
      <c r="I687" s="3">
        <f>SUMIFS('Business - Dump'!$K:$K,'Business - Dump'!$D:$D,'SKU Repoprt'!$D687,'Business - Dump'!$A:$A,'SKU Repoprt'!I$1)</f>
        <v>0</v>
      </c>
      <c r="J687" s="3">
        <f>SUMIFS('Business - Dump'!$K:$K,'Business - Dump'!$D:$D,'SKU Repoprt'!$D687,'Business - Dump'!$A:$A,'SKU Repoprt'!J$1)</f>
        <v>325</v>
      </c>
      <c r="K687" s="3">
        <f>SUMIFS('Business - Dump'!$K:$K,'Business - Dump'!$D:$D,'SKU Repoprt'!$D687,'Business - Dump'!$A:$A,'SKU Repoprt'!K$1)</f>
        <v>292</v>
      </c>
      <c r="L687" s="3">
        <f>SUMIFS('Business - Dump'!$K:$K,'Business - Dump'!$D:$D,'SKU Repoprt'!$D687,'Business - Dump'!$A:$A,'SKU Repoprt'!L$1)</f>
        <v>0</v>
      </c>
      <c r="M687" s="3">
        <f>SUMIFS('Business - Dump'!$K:$K,'Business - Dump'!$D:$D,'SKU Repoprt'!$D687,'Business - Dump'!$A:$A,'SKU Repoprt'!M$1)</f>
        <v>366</v>
      </c>
      <c r="N687" s="3">
        <f>SUMIFS('Business - Dump'!$K:$K,'Business - Dump'!$D:$D,'SKU Repoprt'!$D687,'Business - Dump'!$A:$A,'SKU Repoprt'!N$1)</f>
        <v>364</v>
      </c>
      <c r="O687" s="3">
        <f>SUMIFS('Business - Dump'!$K:$K,'Business - Dump'!$D:$D,'SKU Repoprt'!$D687,'Business - Dump'!$A:$A,'SKU Repoprt'!O$1)</f>
        <v>229</v>
      </c>
      <c r="P687" s="3">
        <f>SUMIFS('Business - Dump'!$K:$K,'Business - Dump'!$D:$D,'SKU Repoprt'!$D687,'Business - Dump'!$A:$A,'SKU Repoprt'!P$1)</f>
        <v>246</v>
      </c>
      <c r="Q687" s="3">
        <f>SUMIFS('Business - Dump'!$K:$K,'Business - Dump'!$D:$D,'SKU Repoprt'!$D687,'Business - Dump'!$A:$A,'SKU Repoprt'!Q$1)</f>
        <v>214</v>
      </c>
      <c r="R687" s="3">
        <f>SUMIFS('Business - Dump'!$K:$K,'Business - Dump'!$D:$D,'SKU Repoprt'!$D687,'Business - Dump'!$A:$A,'SKU Repoprt'!R$1)</f>
        <v>179</v>
      </c>
      <c r="S687" s="3">
        <f>SUMIFS('Business - Dump'!$K:$K,'Business - Dump'!$D:$D,'SKU Repoprt'!$D687,'Business - Dump'!$A:$A,'SKU Repoprt'!S$1)</f>
        <v>273</v>
      </c>
      <c r="T687" s="3">
        <f>SUMIFS('Business - Dump'!$K:$K,'Business - Dump'!$D:$D,'SKU Repoprt'!$D687,'Business - Dump'!$A:$A,'SKU Repoprt'!T$1)</f>
        <v>414</v>
      </c>
      <c r="U687" s="3">
        <f>SUMIFS('Business - Dump'!$K:$K,'Business - Dump'!$D:$D,'SKU Repoprt'!$D687,'Business - Dump'!$A:$A,'SKU Repoprt'!U$1)</f>
        <v>424</v>
      </c>
      <c r="V687" s="3">
        <f>SUMIFS('Business - Dump'!$K:$K,'Business - Dump'!$D:$D,'SKU Repoprt'!$D687,'Business - Dump'!$A:$A,'SKU Repoprt'!V$1)</f>
        <v>299</v>
      </c>
      <c r="W687" s="3">
        <f>SUMIFS('Business - Dump'!$K:$K,'Business - Dump'!$D:$D,'SKU Repoprt'!$D687,'Business - Dump'!$A:$A,'SKU Repoprt'!W$1)</f>
        <v>298</v>
      </c>
    </row>
    <row r="688" ht="15.75" customHeight="1">
      <c r="A688" s="10" t="s">
        <v>119</v>
      </c>
      <c r="B688" s="10" t="s">
        <v>119</v>
      </c>
      <c r="C688" s="10"/>
      <c r="D688" s="10" t="s">
        <v>357</v>
      </c>
      <c r="E688" s="10" t="s">
        <v>264</v>
      </c>
      <c r="F688" s="3">
        <f t="shared" si="229"/>
        <v>6</v>
      </c>
      <c r="G688" s="3">
        <f>SUMIFS('Business - Dump'!$Q:$Q,'Business - Dump'!$D:$D,'SKU Repoprt'!$D688,'Business - Dump'!$A:$A,'SKU Repoprt'!G$1)</f>
        <v>0</v>
      </c>
      <c r="H688" s="3">
        <f>SUMIFS('Business - Dump'!$Q:$Q,'Business - Dump'!$D:$D,'SKU Repoprt'!$D688,'Business - Dump'!$A:$A,'SKU Repoprt'!H$1)</f>
        <v>0</v>
      </c>
      <c r="I688" s="3">
        <f>SUMIFS('Business - Dump'!$Q:$Q,'Business - Dump'!$D:$D,'SKU Repoprt'!$D688,'Business - Dump'!$A:$A,'SKU Repoprt'!I$1)</f>
        <v>0</v>
      </c>
      <c r="J688" s="3">
        <f>SUMIFS('Business - Dump'!$Q:$Q,'Business - Dump'!$D:$D,'SKU Repoprt'!$D688,'Business - Dump'!$A:$A,'SKU Repoprt'!J$1)</f>
        <v>3</v>
      </c>
      <c r="K688" s="3">
        <f>SUMIFS('Business - Dump'!$Q:$Q,'Business - Dump'!$D:$D,'SKU Repoprt'!$D688,'Business - Dump'!$A:$A,'SKU Repoprt'!K$1)</f>
        <v>1</v>
      </c>
      <c r="L688" s="3">
        <f>SUMIFS('Business - Dump'!$Q:$Q,'Business - Dump'!$D:$D,'SKU Repoprt'!$D688,'Business - Dump'!$A:$A,'SKU Repoprt'!L$1)</f>
        <v>0</v>
      </c>
      <c r="M688" s="3">
        <f>SUMIFS('Business - Dump'!$Q:$Q,'Business - Dump'!$D:$D,'SKU Repoprt'!$D688,'Business - Dump'!$A:$A,'SKU Repoprt'!M$1)</f>
        <v>0</v>
      </c>
      <c r="N688" s="3">
        <f>SUMIFS('Business - Dump'!$Q:$Q,'Business - Dump'!$D:$D,'SKU Repoprt'!$D688,'Business - Dump'!$A:$A,'SKU Repoprt'!N$1)</f>
        <v>1</v>
      </c>
      <c r="O688" s="3">
        <f>SUMIFS('Business - Dump'!$Q:$Q,'Business - Dump'!$D:$D,'SKU Repoprt'!$D688,'Business - Dump'!$A:$A,'SKU Repoprt'!O$1)</f>
        <v>0</v>
      </c>
      <c r="P688" s="3">
        <f>SUMIFS('Business - Dump'!$Q:$Q,'Business - Dump'!$D:$D,'SKU Repoprt'!$D688,'Business - Dump'!$A:$A,'SKU Repoprt'!P$1)</f>
        <v>0</v>
      </c>
      <c r="Q688" s="3">
        <f>SUMIFS('Business - Dump'!$Q:$Q,'Business - Dump'!$D:$D,'SKU Repoprt'!$D688,'Business - Dump'!$A:$A,'SKU Repoprt'!Q$1)</f>
        <v>1</v>
      </c>
      <c r="R688" s="3">
        <f>SUMIFS('Business - Dump'!$Q:$Q,'Business - Dump'!$D:$D,'SKU Repoprt'!$D688,'Business - Dump'!$A:$A,'SKU Repoprt'!R$1)</f>
        <v>0</v>
      </c>
      <c r="S688" s="3">
        <f>SUMIFS('Business - Dump'!$Q:$Q,'Business - Dump'!$D:$D,'SKU Repoprt'!$D688,'Business - Dump'!$A:$A,'SKU Repoprt'!S$1)</f>
        <v>0</v>
      </c>
      <c r="T688" s="3">
        <f>SUMIFS('Business - Dump'!$Q:$Q,'Business - Dump'!$D:$D,'SKU Repoprt'!$D688,'Business - Dump'!$A:$A,'SKU Repoprt'!T$1)</f>
        <v>2</v>
      </c>
      <c r="U688" s="3">
        <f>SUMIFS('Business - Dump'!$Q:$Q,'Business - Dump'!$D:$D,'SKU Repoprt'!$D688,'Business - Dump'!$A:$A,'SKU Repoprt'!U$1)</f>
        <v>0</v>
      </c>
      <c r="V688" s="3">
        <f>SUMIFS('Business - Dump'!$Q:$Q,'Business - Dump'!$D:$D,'SKU Repoprt'!$D688,'Business - Dump'!$A:$A,'SKU Repoprt'!V$1)</f>
        <v>1</v>
      </c>
      <c r="W688" s="3">
        <f>SUMIFS('Business - Dump'!$Q:$Q,'Business - Dump'!$D:$D,'SKU Repoprt'!$D688,'Business - Dump'!$A:$A,'SKU Repoprt'!W$1)</f>
        <v>0</v>
      </c>
    </row>
    <row r="689" ht="15.75" customHeight="1">
      <c r="A689" s="10" t="s">
        <v>119</v>
      </c>
      <c r="B689" s="10" t="s">
        <v>119</v>
      </c>
      <c r="C689" s="10"/>
      <c r="D689" s="10" t="s">
        <v>357</v>
      </c>
      <c r="E689" s="10" t="s">
        <v>268</v>
      </c>
      <c r="F689" s="3">
        <f t="shared" si="229"/>
        <v>6</v>
      </c>
      <c r="G689" s="3">
        <f>SUMIFS('Business - Dump'!$W:$W,'Business - Dump'!$D:$D,'SKU Repoprt'!$D689,'Business - Dump'!$A:$A,'SKU Repoprt'!G$1)</f>
        <v>0</v>
      </c>
      <c r="H689" s="3">
        <f>SUMIFS('Business - Dump'!$W:$W,'Business - Dump'!$D:$D,'SKU Repoprt'!$D689,'Business - Dump'!$A:$A,'SKU Repoprt'!H$1)</f>
        <v>0</v>
      </c>
      <c r="I689" s="3">
        <f>SUMIFS('Business - Dump'!$W:$W,'Business - Dump'!$D:$D,'SKU Repoprt'!$D689,'Business - Dump'!$A:$A,'SKU Repoprt'!I$1)</f>
        <v>0</v>
      </c>
      <c r="J689" s="3">
        <f>SUMIFS('Business - Dump'!$W:$W,'Business - Dump'!$D:$D,'SKU Repoprt'!$D689,'Business - Dump'!$A:$A,'SKU Repoprt'!J$1)</f>
        <v>3</v>
      </c>
      <c r="K689" s="3">
        <f>SUMIFS('Business - Dump'!$W:$W,'Business - Dump'!$D:$D,'SKU Repoprt'!$D689,'Business - Dump'!$A:$A,'SKU Repoprt'!K$1)</f>
        <v>1</v>
      </c>
      <c r="L689" s="3">
        <f>SUMIFS('Business - Dump'!$W:$W,'Business - Dump'!$D:$D,'SKU Repoprt'!$D689,'Business - Dump'!$A:$A,'SKU Repoprt'!L$1)</f>
        <v>0</v>
      </c>
      <c r="M689" s="3">
        <f>SUMIFS('Business - Dump'!$W:$W,'Business - Dump'!$D:$D,'SKU Repoprt'!$D689,'Business - Dump'!$A:$A,'SKU Repoprt'!M$1)</f>
        <v>0</v>
      </c>
      <c r="N689" s="3">
        <f>SUMIFS('Business - Dump'!$W:$W,'Business - Dump'!$D:$D,'SKU Repoprt'!$D689,'Business - Dump'!$A:$A,'SKU Repoprt'!N$1)</f>
        <v>1</v>
      </c>
      <c r="O689" s="3">
        <f>SUMIFS('Business - Dump'!$W:$W,'Business - Dump'!$D:$D,'SKU Repoprt'!$D689,'Business - Dump'!$A:$A,'SKU Repoprt'!O$1)</f>
        <v>0</v>
      </c>
      <c r="P689" s="3">
        <f>SUMIFS('Business - Dump'!$W:$W,'Business - Dump'!$D:$D,'SKU Repoprt'!$D689,'Business - Dump'!$A:$A,'SKU Repoprt'!P$1)</f>
        <v>0</v>
      </c>
      <c r="Q689" s="3">
        <f>SUMIFS('Business - Dump'!$W:$W,'Business - Dump'!$D:$D,'SKU Repoprt'!$D689,'Business - Dump'!$A:$A,'SKU Repoprt'!Q$1)</f>
        <v>1</v>
      </c>
      <c r="R689" s="3">
        <f>SUMIFS('Business - Dump'!$W:$W,'Business - Dump'!$D:$D,'SKU Repoprt'!$D689,'Business - Dump'!$A:$A,'SKU Repoprt'!R$1)</f>
        <v>0</v>
      </c>
      <c r="S689" s="3">
        <f>SUMIFS('Business - Dump'!$W:$W,'Business - Dump'!$D:$D,'SKU Repoprt'!$D689,'Business - Dump'!$A:$A,'SKU Repoprt'!S$1)</f>
        <v>0</v>
      </c>
      <c r="T689" s="3">
        <f>SUMIFS('Business - Dump'!$W:$W,'Business - Dump'!$D:$D,'SKU Repoprt'!$D689,'Business - Dump'!$A:$A,'SKU Repoprt'!T$1)</f>
        <v>2</v>
      </c>
      <c r="U689" s="3">
        <f>SUMIFS('Business - Dump'!$W:$W,'Business - Dump'!$D:$D,'SKU Repoprt'!$D689,'Business - Dump'!$A:$A,'SKU Repoprt'!U$1)</f>
        <v>0</v>
      </c>
      <c r="V689" s="3">
        <f>SUMIFS('Business - Dump'!$W:$W,'Business - Dump'!$D:$D,'SKU Repoprt'!$D689,'Business - Dump'!$A:$A,'SKU Repoprt'!V$1)</f>
        <v>1</v>
      </c>
      <c r="W689" s="3">
        <f>SUMIFS('Business - Dump'!$W:$W,'Business - Dump'!$D:$D,'SKU Repoprt'!$D689,'Business - Dump'!$A:$A,'SKU Repoprt'!W$1)</f>
        <v>0</v>
      </c>
    </row>
    <row r="690" ht="15.75" customHeight="1">
      <c r="A690" s="10" t="s">
        <v>119</v>
      </c>
      <c r="B690" s="10" t="s">
        <v>119</v>
      </c>
      <c r="C690" s="10"/>
      <c r="D690" s="10" t="s">
        <v>357</v>
      </c>
      <c r="E690" s="10" t="s">
        <v>26</v>
      </c>
      <c r="F690" s="16">
        <f t="shared" si="229"/>
        <v>45800</v>
      </c>
      <c r="G690" s="16">
        <f>SUMIFS('Business - Dump'!$U:$U,'Business - Dump'!$D:$D,'SKU Repoprt'!$D690,'Business - Dump'!$A:$A,'SKU Repoprt'!G$1)</f>
        <v>0</v>
      </c>
      <c r="H690" s="16">
        <f>SUMIFS('Business - Dump'!$U:$U,'Business - Dump'!$D:$D,'SKU Repoprt'!$D690,'Business - Dump'!$A:$A,'SKU Repoprt'!H$1)</f>
        <v>0</v>
      </c>
      <c r="I690" s="16">
        <f>SUMIFS('Business - Dump'!$U:$U,'Business - Dump'!$D:$D,'SKU Repoprt'!$D690,'Business - Dump'!$A:$A,'SKU Repoprt'!I$1)</f>
        <v>0</v>
      </c>
      <c r="J690" s="16">
        <f>SUMIFS('Business - Dump'!$U:$U,'Business - Dump'!$D:$D,'SKU Repoprt'!$D690,'Business - Dump'!$A:$A,'SKU Repoprt'!J$1)</f>
        <v>22050</v>
      </c>
      <c r="K690" s="16">
        <f>SUMIFS('Business - Dump'!$U:$U,'Business - Dump'!$D:$D,'SKU Repoprt'!$D690,'Business - Dump'!$A:$A,'SKU Repoprt'!K$1)</f>
        <v>7350</v>
      </c>
      <c r="L690" s="16">
        <f>SUMIFS('Business - Dump'!$U:$U,'Business - Dump'!$D:$D,'SKU Repoprt'!$D690,'Business - Dump'!$A:$A,'SKU Repoprt'!L$1)</f>
        <v>0</v>
      </c>
      <c r="M690" s="16">
        <f>SUMIFS('Business - Dump'!$U:$U,'Business - Dump'!$D:$D,'SKU Repoprt'!$D690,'Business - Dump'!$A:$A,'SKU Repoprt'!M$1)</f>
        <v>0</v>
      </c>
      <c r="N690" s="16">
        <f>SUMIFS('Business - Dump'!$U:$U,'Business - Dump'!$D:$D,'SKU Repoprt'!$D690,'Business - Dump'!$A:$A,'SKU Repoprt'!N$1)</f>
        <v>8400</v>
      </c>
      <c r="O690" s="16">
        <f>SUMIFS('Business - Dump'!$U:$U,'Business - Dump'!$D:$D,'SKU Repoprt'!$D690,'Business - Dump'!$A:$A,'SKU Repoprt'!O$1)</f>
        <v>0</v>
      </c>
      <c r="P690" s="16">
        <f>SUMIFS('Business - Dump'!$U:$U,'Business - Dump'!$D:$D,'SKU Repoprt'!$D690,'Business - Dump'!$A:$A,'SKU Repoprt'!P$1)</f>
        <v>0</v>
      </c>
      <c r="Q690" s="16">
        <f>SUMIFS('Business - Dump'!$U:$U,'Business - Dump'!$D:$D,'SKU Repoprt'!$D690,'Business - Dump'!$A:$A,'SKU Repoprt'!Q$1)</f>
        <v>8000</v>
      </c>
      <c r="R690" s="16">
        <f>SUMIFS('Business - Dump'!$U:$U,'Business - Dump'!$D:$D,'SKU Repoprt'!$D690,'Business - Dump'!$A:$A,'SKU Repoprt'!R$1)</f>
        <v>0</v>
      </c>
      <c r="S690" s="16">
        <f>SUMIFS('Business - Dump'!$U:$U,'Business - Dump'!$D:$D,'SKU Repoprt'!$D690,'Business - Dump'!$A:$A,'SKU Repoprt'!S$1)</f>
        <v>0</v>
      </c>
      <c r="T690" s="16">
        <f>SUMIFS('Business - Dump'!$U:$U,'Business - Dump'!$D:$D,'SKU Repoprt'!$D690,'Business - Dump'!$A:$A,'SKU Repoprt'!T$1)</f>
        <v>16908</v>
      </c>
      <c r="U690" s="16">
        <f>SUMIFS('Business - Dump'!$U:$U,'Business - Dump'!$D:$D,'SKU Repoprt'!$D690,'Business - Dump'!$A:$A,'SKU Repoprt'!U$1)</f>
        <v>0</v>
      </c>
      <c r="V690" s="16">
        <f>SUMIFS('Business - Dump'!$U:$U,'Business - Dump'!$D:$D,'SKU Repoprt'!$D690,'Business - Dump'!$A:$A,'SKU Repoprt'!V$1)</f>
        <v>8455</v>
      </c>
      <c r="W690" s="16">
        <f>SUMIFS('Business - Dump'!$U:$U,'Business - Dump'!$D:$D,'SKU Repoprt'!$D690,'Business - Dump'!$A:$A,'SKU Repoprt'!W$1)</f>
        <v>0</v>
      </c>
    </row>
    <row r="691" ht="15.75" customHeight="1">
      <c r="A691" s="10" t="s">
        <v>119</v>
      </c>
      <c r="B691" s="10" t="s">
        <v>119</v>
      </c>
      <c r="C691" s="10"/>
      <c r="D691" s="10" t="s">
        <v>357</v>
      </c>
      <c r="E691" s="10" t="s">
        <v>29</v>
      </c>
      <c r="F691" s="17">
        <v>0.027042857142857143</v>
      </c>
      <c r="G691" s="17">
        <f t="shared" ref="G691:W691" si="230">IFERROR(G689/G686,0)</f>
        <v>0</v>
      </c>
      <c r="H691" s="17">
        <f t="shared" si="230"/>
        <v>0</v>
      </c>
      <c r="I691" s="17">
        <f t="shared" si="230"/>
        <v>0</v>
      </c>
      <c r="J691" s="17">
        <f t="shared" si="230"/>
        <v>0.01149425287</v>
      </c>
      <c r="K691" s="17">
        <f t="shared" si="230"/>
        <v>0.004</v>
      </c>
      <c r="L691" s="17">
        <f t="shared" si="230"/>
        <v>0</v>
      </c>
      <c r="M691" s="17">
        <f t="shared" si="230"/>
        <v>0</v>
      </c>
      <c r="N691" s="17">
        <f t="shared" si="230"/>
        <v>0.003460207612</v>
      </c>
      <c r="O691" s="17">
        <f t="shared" si="230"/>
        <v>0</v>
      </c>
      <c r="P691" s="17">
        <f t="shared" si="230"/>
        <v>0</v>
      </c>
      <c r="Q691" s="17">
        <f t="shared" si="230"/>
        <v>0.005813953488</v>
      </c>
      <c r="R691" s="17">
        <f t="shared" si="230"/>
        <v>0</v>
      </c>
      <c r="S691" s="17">
        <f t="shared" si="230"/>
        <v>0</v>
      </c>
      <c r="T691" s="17">
        <f t="shared" si="230"/>
        <v>0.006309148265</v>
      </c>
      <c r="U691" s="17">
        <f t="shared" si="230"/>
        <v>0</v>
      </c>
      <c r="V691" s="17">
        <f t="shared" si="230"/>
        <v>0.004032258065</v>
      </c>
      <c r="W691" s="17">
        <f t="shared" si="230"/>
        <v>0</v>
      </c>
    </row>
    <row r="692" ht="15.75" customHeight="1">
      <c r="A692" s="10" t="s">
        <v>119</v>
      </c>
      <c r="B692" s="10" t="s">
        <v>119</v>
      </c>
      <c r="C692" s="10"/>
      <c r="D692" s="10" t="s">
        <v>323</v>
      </c>
      <c r="E692" s="10" t="s">
        <v>257</v>
      </c>
      <c r="F692" s="3">
        <f t="shared" ref="F692:F696" si="231">SUM(G692:S692)</f>
        <v>6146</v>
      </c>
      <c r="G692" s="3">
        <f>SUMIFS('Business - Dump'!$G:$G,'Business - Dump'!$D:$D,'SKU Repoprt'!$D692,'Business - Dump'!$A:$A,'SKU Repoprt'!G$1)</f>
        <v>1229</v>
      </c>
      <c r="H692" s="3">
        <f>SUMIFS('Business - Dump'!$G:$G,'Business - Dump'!$D:$D,'SKU Repoprt'!$D692,'Business - Dump'!$A:$A,'SKU Repoprt'!H$1)</f>
        <v>402</v>
      </c>
      <c r="I692" s="3">
        <f>SUMIFS('Business - Dump'!$G:$G,'Business - Dump'!$D:$D,'SKU Repoprt'!$D692,'Business - Dump'!$A:$A,'SKU Repoprt'!I$1)</f>
        <v>603</v>
      </c>
      <c r="J692" s="3">
        <f>SUMIFS('Business - Dump'!$G:$G,'Business - Dump'!$D:$D,'SKU Repoprt'!$D692,'Business - Dump'!$A:$A,'SKU Repoprt'!J$1)</f>
        <v>0</v>
      </c>
      <c r="K692" s="3">
        <f>SUMIFS('Business - Dump'!$G:$G,'Business - Dump'!$D:$D,'SKU Repoprt'!$D692,'Business - Dump'!$A:$A,'SKU Repoprt'!K$1)</f>
        <v>335</v>
      </c>
      <c r="L692" s="3">
        <f>SUMIFS('Business - Dump'!$G:$G,'Business - Dump'!$D:$D,'SKU Repoprt'!$D692,'Business - Dump'!$A:$A,'SKU Repoprt'!L$1)</f>
        <v>0</v>
      </c>
      <c r="M692" s="3">
        <f>SUMIFS('Business - Dump'!$G:$G,'Business - Dump'!$D:$D,'SKU Repoprt'!$D692,'Business - Dump'!$A:$A,'SKU Repoprt'!M$1)</f>
        <v>417</v>
      </c>
      <c r="N692" s="3">
        <f>SUMIFS('Business - Dump'!$G:$G,'Business - Dump'!$D:$D,'SKU Repoprt'!$D692,'Business - Dump'!$A:$A,'SKU Repoprt'!N$1)</f>
        <v>292</v>
      </c>
      <c r="O692" s="3">
        <f>SUMIFS('Business - Dump'!$G:$G,'Business - Dump'!$D:$D,'SKU Repoprt'!$D692,'Business - Dump'!$A:$A,'SKU Repoprt'!O$1)</f>
        <v>202</v>
      </c>
      <c r="P692" s="3">
        <f>SUMIFS('Business - Dump'!$G:$G,'Business - Dump'!$D:$D,'SKU Repoprt'!$D692,'Business - Dump'!$A:$A,'SKU Repoprt'!P$1)</f>
        <v>1065</v>
      </c>
      <c r="Q692" s="3">
        <f>SUMIFS('Business - Dump'!$G:$G,'Business - Dump'!$D:$D,'SKU Repoprt'!$D692,'Business - Dump'!$A:$A,'SKU Repoprt'!Q$1)</f>
        <v>739</v>
      </c>
      <c r="R692" s="3">
        <f>SUMIFS('Business - Dump'!$G:$G,'Business - Dump'!$D:$D,'SKU Repoprt'!$D692,'Business - Dump'!$A:$A,'SKU Repoprt'!R$1)</f>
        <v>626</v>
      </c>
      <c r="S692" s="3">
        <f>SUMIFS('Business - Dump'!$G:$G,'Business - Dump'!$D:$D,'SKU Repoprt'!$D692,'Business - Dump'!$A:$A,'SKU Repoprt'!S$1)</f>
        <v>236</v>
      </c>
      <c r="T692" s="3">
        <f>SUMIFS('Business - Dump'!$G:$G,'Business - Dump'!$D:$D,'SKU Repoprt'!$D692,'Business - Dump'!$A:$A,'SKU Repoprt'!T$1)</f>
        <v>399</v>
      </c>
      <c r="U692" s="3">
        <f>SUMIFS('Business - Dump'!$G:$G,'Business - Dump'!$D:$D,'SKU Repoprt'!$D692,'Business - Dump'!$A:$A,'SKU Repoprt'!U$1)</f>
        <v>783</v>
      </c>
      <c r="V692" s="3">
        <f>SUMIFS('Business - Dump'!$G:$G,'Business - Dump'!$D:$D,'SKU Repoprt'!$D692,'Business - Dump'!$A:$A,'SKU Repoprt'!V$1)</f>
        <v>900</v>
      </c>
      <c r="W692" s="3">
        <f>SUMIFS('Business - Dump'!$G:$G,'Business - Dump'!$D:$D,'SKU Repoprt'!$D692,'Business - Dump'!$A:$A,'SKU Repoprt'!W$1)</f>
        <v>945</v>
      </c>
    </row>
    <row r="693" ht="15.75" customHeight="1">
      <c r="A693" s="10" t="s">
        <v>119</v>
      </c>
      <c r="B693" s="10" t="s">
        <v>119</v>
      </c>
      <c r="C693" s="10"/>
      <c r="D693" s="10" t="s">
        <v>323</v>
      </c>
      <c r="E693" s="10" t="s">
        <v>260</v>
      </c>
      <c r="F693" s="3">
        <f t="shared" si="231"/>
        <v>7734</v>
      </c>
      <c r="G693" s="3">
        <f>SUMIFS('Business - Dump'!$K:$K,'Business - Dump'!$D:$D,'SKU Repoprt'!$D693,'Business - Dump'!$A:$A,'SKU Repoprt'!G$1)</f>
        <v>1487</v>
      </c>
      <c r="H693" s="3">
        <f>SUMIFS('Business - Dump'!$K:$K,'Business - Dump'!$D:$D,'SKU Repoprt'!$D693,'Business - Dump'!$A:$A,'SKU Repoprt'!H$1)</f>
        <v>583</v>
      </c>
      <c r="I693" s="3">
        <f>SUMIFS('Business - Dump'!$K:$K,'Business - Dump'!$D:$D,'SKU Repoprt'!$D693,'Business - Dump'!$A:$A,'SKU Repoprt'!I$1)</f>
        <v>787</v>
      </c>
      <c r="J693" s="3">
        <f>SUMIFS('Business - Dump'!$K:$K,'Business - Dump'!$D:$D,'SKU Repoprt'!$D693,'Business - Dump'!$A:$A,'SKU Repoprt'!J$1)</f>
        <v>0</v>
      </c>
      <c r="K693" s="3">
        <f>SUMIFS('Business - Dump'!$K:$K,'Business - Dump'!$D:$D,'SKU Repoprt'!$D693,'Business - Dump'!$A:$A,'SKU Repoprt'!K$1)</f>
        <v>462</v>
      </c>
      <c r="L693" s="3">
        <f>SUMIFS('Business - Dump'!$K:$K,'Business - Dump'!$D:$D,'SKU Repoprt'!$D693,'Business - Dump'!$A:$A,'SKU Repoprt'!L$1)</f>
        <v>0</v>
      </c>
      <c r="M693" s="3">
        <f>SUMIFS('Business - Dump'!$K:$K,'Business - Dump'!$D:$D,'SKU Repoprt'!$D693,'Business - Dump'!$A:$A,'SKU Repoprt'!M$1)</f>
        <v>593</v>
      </c>
      <c r="N693" s="3">
        <f>SUMIFS('Business - Dump'!$K:$K,'Business - Dump'!$D:$D,'SKU Repoprt'!$D693,'Business - Dump'!$A:$A,'SKU Repoprt'!N$1)</f>
        <v>357</v>
      </c>
      <c r="O693" s="3">
        <f>SUMIFS('Business - Dump'!$K:$K,'Business - Dump'!$D:$D,'SKU Repoprt'!$D693,'Business - Dump'!$A:$A,'SKU Repoprt'!O$1)</f>
        <v>247</v>
      </c>
      <c r="P693" s="3">
        <f>SUMIFS('Business - Dump'!$K:$K,'Business - Dump'!$D:$D,'SKU Repoprt'!$D693,'Business - Dump'!$A:$A,'SKU Repoprt'!P$1)</f>
        <v>1273</v>
      </c>
      <c r="Q693" s="3">
        <f>SUMIFS('Business - Dump'!$K:$K,'Business - Dump'!$D:$D,'SKU Repoprt'!$D693,'Business - Dump'!$A:$A,'SKU Repoprt'!Q$1)</f>
        <v>912</v>
      </c>
      <c r="R693" s="3">
        <f>SUMIFS('Business - Dump'!$K:$K,'Business - Dump'!$D:$D,'SKU Repoprt'!$D693,'Business - Dump'!$A:$A,'SKU Repoprt'!R$1)</f>
        <v>746</v>
      </c>
      <c r="S693" s="3">
        <f>SUMIFS('Business - Dump'!$K:$K,'Business - Dump'!$D:$D,'SKU Repoprt'!$D693,'Business - Dump'!$A:$A,'SKU Repoprt'!S$1)</f>
        <v>287</v>
      </c>
      <c r="T693" s="3">
        <f>SUMIFS('Business - Dump'!$K:$K,'Business - Dump'!$D:$D,'SKU Repoprt'!$D693,'Business - Dump'!$A:$A,'SKU Repoprt'!T$1)</f>
        <v>478</v>
      </c>
      <c r="U693" s="3">
        <f>SUMIFS('Business - Dump'!$K:$K,'Business - Dump'!$D:$D,'SKU Repoprt'!$D693,'Business - Dump'!$A:$A,'SKU Repoprt'!U$1)</f>
        <v>973</v>
      </c>
      <c r="V693" s="3">
        <f>SUMIFS('Business - Dump'!$K:$K,'Business - Dump'!$D:$D,'SKU Repoprt'!$D693,'Business - Dump'!$A:$A,'SKU Repoprt'!V$1)</f>
        <v>1086</v>
      </c>
      <c r="W693" s="3">
        <f>SUMIFS('Business - Dump'!$K:$K,'Business - Dump'!$D:$D,'SKU Repoprt'!$D693,'Business - Dump'!$A:$A,'SKU Repoprt'!W$1)</f>
        <v>1115</v>
      </c>
    </row>
    <row r="694" ht="15.75" customHeight="1">
      <c r="A694" s="10" t="s">
        <v>119</v>
      </c>
      <c r="B694" s="10" t="s">
        <v>119</v>
      </c>
      <c r="C694" s="10"/>
      <c r="D694" s="10" t="s">
        <v>323</v>
      </c>
      <c r="E694" s="10" t="s">
        <v>264</v>
      </c>
      <c r="F694" s="3">
        <f t="shared" si="231"/>
        <v>7</v>
      </c>
      <c r="G694" s="3">
        <f>SUMIFS('Business - Dump'!$Q:$Q,'Business - Dump'!$D:$D,'SKU Repoprt'!$D694,'Business - Dump'!$A:$A,'SKU Repoprt'!G$1)</f>
        <v>1</v>
      </c>
      <c r="H694" s="3">
        <f>SUMIFS('Business - Dump'!$Q:$Q,'Business - Dump'!$D:$D,'SKU Repoprt'!$D694,'Business - Dump'!$A:$A,'SKU Repoprt'!H$1)</f>
        <v>2</v>
      </c>
      <c r="I694" s="3">
        <f>SUMIFS('Business - Dump'!$Q:$Q,'Business - Dump'!$D:$D,'SKU Repoprt'!$D694,'Business - Dump'!$A:$A,'SKU Repoprt'!I$1)</f>
        <v>1</v>
      </c>
      <c r="J694" s="3">
        <f>SUMIFS('Business - Dump'!$Q:$Q,'Business - Dump'!$D:$D,'SKU Repoprt'!$D694,'Business - Dump'!$A:$A,'SKU Repoprt'!J$1)</f>
        <v>0</v>
      </c>
      <c r="K694" s="3">
        <f>SUMIFS('Business - Dump'!$Q:$Q,'Business - Dump'!$D:$D,'SKU Repoprt'!$D694,'Business - Dump'!$A:$A,'SKU Repoprt'!K$1)</f>
        <v>2</v>
      </c>
      <c r="L694" s="3">
        <f>SUMIFS('Business - Dump'!$Q:$Q,'Business - Dump'!$D:$D,'SKU Repoprt'!$D694,'Business - Dump'!$A:$A,'SKU Repoprt'!L$1)</f>
        <v>0</v>
      </c>
      <c r="M694" s="3">
        <f>SUMIFS('Business - Dump'!$Q:$Q,'Business - Dump'!$D:$D,'SKU Repoprt'!$D694,'Business - Dump'!$A:$A,'SKU Repoprt'!M$1)</f>
        <v>0</v>
      </c>
      <c r="N694" s="3">
        <f>SUMIFS('Business - Dump'!$Q:$Q,'Business - Dump'!$D:$D,'SKU Repoprt'!$D694,'Business - Dump'!$A:$A,'SKU Repoprt'!N$1)</f>
        <v>0</v>
      </c>
      <c r="O694" s="3">
        <f>SUMIFS('Business - Dump'!$Q:$Q,'Business - Dump'!$D:$D,'SKU Repoprt'!$D694,'Business - Dump'!$A:$A,'SKU Repoprt'!O$1)</f>
        <v>1</v>
      </c>
      <c r="P694" s="3">
        <f>SUMIFS('Business - Dump'!$Q:$Q,'Business - Dump'!$D:$D,'SKU Repoprt'!$D694,'Business - Dump'!$A:$A,'SKU Repoprt'!P$1)</f>
        <v>0</v>
      </c>
      <c r="Q694" s="3">
        <f>SUMIFS('Business - Dump'!$Q:$Q,'Business - Dump'!$D:$D,'SKU Repoprt'!$D694,'Business - Dump'!$A:$A,'SKU Repoprt'!Q$1)</f>
        <v>0</v>
      </c>
      <c r="R694" s="3">
        <f>SUMIFS('Business - Dump'!$Q:$Q,'Business - Dump'!$D:$D,'SKU Repoprt'!$D694,'Business - Dump'!$A:$A,'SKU Repoprt'!R$1)</f>
        <v>0</v>
      </c>
      <c r="S694" s="3">
        <f>SUMIFS('Business - Dump'!$Q:$Q,'Business - Dump'!$D:$D,'SKU Repoprt'!$D694,'Business - Dump'!$A:$A,'SKU Repoprt'!S$1)</f>
        <v>0</v>
      </c>
      <c r="T694" s="3">
        <f>SUMIFS('Business - Dump'!$Q:$Q,'Business - Dump'!$D:$D,'SKU Repoprt'!$D694,'Business - Dump'!$A:$A,'SKU Repoprt'!T$1)</f>
        <v>2</v>
      </c>
      <c r="U694" s="3">
        <f>SUMIFS('Business - Dump'!$Q:$Q,'Business - Dump'!$D:$D,'SKU Repoprt'!$D694,'Business - Dump'!$A:$A,'SKU Repoprt'!U$1)</f>
        <v>2</v>
      </c>
      <c r="V694" s="3">
        <f>SUMIFS('Business - Dump'!$Q:$Q,'Business - Dump'!$D:$D,'SKU Repoprt'!$D694,'Business - Dump'!$A:$A,'SKU Repoprt'!V$1)</f>
        <v>0</v>
      </c>
      <c r="W694" s="3">
        <f>SUMIFS('Business - Dump'!$Q:$Q,'Business - Dump'!$D:$D,'SKU Repoprt'!$D694,'Business - Dump'!$A:$A,'SKU Repoprt'!W$1)</f>
        <v>1</v>
      </c>
    </row>
    <row r="695" ht="15.75" customHeight="1">
      <c r="A695" s="10" t="s">
        <v>119</v>
      </c>
      <c r="B695" s="10" t="s">
        <v>119</v>
      </c>
      <c r="C695" s="10"/>
      <c r="D695" s="10" t="s">
        <v>323</v>
      </c>
      <c r="E695" s="10" t="s">
        <v>268</v>
      </c>
      <c r="F695" s="3">
        <f t="shared" si="231"/>
        <v>7</v>
      </c>
      <c r="G695" s="3">
        <f>SUMIFS('Business - Dump'!$W:$W,'Business - Dump'!$D:$D,'SKU Repoprt'!$D695,'Business - Dump'!$A:$A,'SKU Repoprt'!G$1)</f>
        <v>1</v>
      </c>
      <c r="H695" s="3">
        <f>SUMIFS('Business - Dump'!$W:$W,'Business - Dump'!$D:$D,'SKU Repoprt'!$D695,'Business - Dump'!$A:$A,'SKU Repoprt'!H$1)</f>
        <v>2</v>
      </c>
      <c r="I695" s="3">
        <f>SUMIFS('Business - Dump'!$W:$W,'Business - Dump'!$D:$D,'SKU Repoprt'!$D695,'Business - Dump'!$A:$A,'SKU Repoprt'!I$1)</f>
        <v>1</v>
      </c>
      <c r="J695" s="3">
        <f>SUMIFS('Business - Dump'!$W:$W,'Business - Dump'!$D:$D,'SKU Repoprt'!$D695,'Business - Dump'!$A:$A,'SKU Repoprt'!J$1)</f>
        <v>0</v>
      </c>
      <c r="K695" s="3">
        <f>SUMIFS('Business - Dump'!$W:$W,'Business - Dump'!$D:$D,'SKU Repoprt'!$D695,'Business - Dump'!$A:$A,'SKU Repoprt'!K$1)</f>
        <v>2</v>
      </c>
      <c r="L695" s="3">
        <f>SUMIFS('Business - Dump'!$W:$W,'Business - Dump'!$D:$D,'SKU Repoprt'!$D695,'Business - Dump'!$A:$A,'SKU Repoprt'!L$1)</f>
        <v>0</v>
      </c>
      <c r="M695" s="3">
        <f>SUMIFS('Business - Dump'!$W:$W,'Business - Dump'!$D:$D,'SKU Repoprt'!$D695,'Business - Dump'!$A:$A,'SKU Repoprt'!M$1)</f>
        <v>0</v>
      </c>
      <c r="N695" s="3">
        <f>SUMIFS('Business - Dump'!$W:$W,'Business - Dump'!$D:$D,'SKU Repoprt'!$D695,'Business - Dump'!$A:$A,'SKU Repoprt'!N$1)</f>
        <v>0</v>
      </c>
      <c r="O695" s="3">
        <f>SUMIFS('Business - Dump'!$W:$W,'Business - Dump'!$D:$D,'SKU Repoprt'!$D695,'Business - Dump'!$A:$A,'SKU Repoprt'!O$1)</f>
        <v>1</v>
      </c>
      <c r="P695" s="3">
        <f>SUMIFS('Business - Dump'!$W:$W,'Business - Dump'!$D:$D,'SKU Repoprt'!$D695,'Business - Dump'!$A:$A,'SKU Repoprt'!P$1)</f>
        <v>0</v>
      </c>
      <c r="Q695" s="3">
        <f>SUMIFS('Business - Dump'!$W:$W,'Business - Dump'!$D:$D,'SKU Repoprt'!$D695,'Business - Dump'!$A:$A,'SKU Repoprt'!Q$1)</f>
        <v>0</v>
      </c>
      <c r="R695" s="3">
        <f>SUMIFS('Business - Dump'!$W:$W,'Business - Dump'!$D:$D,'SKU Repoprt'!$D695,'Business - Dump'!$A:$A,'SKU Repoprt'!R$1)</f>
        <v>0</v>
      </c>
      <c r="S695" s="3">
        <f>SUMIFS('Business - Dump'!$W:$W,'Business - Dump'!$D:$D,'SKU Repoprt'!$D695,'Business - Dump'!$A:$A,'SKU Repoprt'!S$1)</f>
        <v>0</v>
      </c>
      <c r="T695" s="3">
        <f>SUMIFS('Business - Dump'!$W:$W,'Business - Dump'!$D:$D,'SKU Repoprt'!$D695,'Business - Dump'!$A:$A,'SKU Repoprt'!T$1)</f>
        <v>2</v>
      </c>
      <c r="U695" s="3">
        <f>SUMIFS('Business - Dump'!$W:$W,'Business - Dump'!$D:$D,'SKU Repoprt'!$D695,'Business - Dump'!$A:$A,'SKU Repoprt'!U$1)</f>
        <v>2</v>
      </c>
      <c r="V695" s="3">
        <f>SUMIFS('Business - Dump'!$W:$W,'Business - Dump'!$D:$D,'SKU Repoprt'!$D695,'Business - Dump'!$A:$A,'SKU Repoprt'!V$1)</f>
        <v>0</v>
      </c>
      <c r="W695" s="3">
        <f>SUMIFS('Business - Dump'!$W:$W,'Business - Dump'!$D:$D,'SKU Repoprt'!$D695,'Business - Dump'!$A:$A,'SKU Repoprt'!W$1)</f>
        <v>1</v>
      </c>
    </row>
    <row r="696" ht="15.75" customHeight="1">
      <c r="A696" s="10" t="s">
        <v>119</v>
      </c>
      <c r="B696" s="10" t="s">
        <v>119</v>
      </c>
      <c r="C696" s="10"/>
      <c r="D696" s="10" t="s">
        <v>323</v>
      </c>
      <c r="E696" s="10" t="s">
        <v>26</v>
      </c>
      <c r="F696" s="16">
        <f t="shared" si="231"/>
        <v>53000</v>
      </c>
      <c r="G696" s="16">
        <f>SUMIFS('Business - Dump'!$U:$U,'Business - Dump'!$D:$D,'SKU Repoprt'!$D696,'Business - Dump'!$A:$A,'SKU Repoprt'!G$1)</f>
        <v>7350</v>
      </c>
      <c r="H696" s="16">
        <f>SUMIFS('Business - Dump'!$U:$U,'Business - Dump'!$D:$D,'SKU Repoprt'!$D696,'Business - Dump'!$A:$A,'SKU Repoprt'!H$1)</f>
        <v>14700</v>
      </c>
      <c r="I696" s="16">
        <f>SUMIFS('Business - Dump'!$U:$U,'Business - Dump'!$D:$D,'SKU Repoprt'!$D696,'Business - Dump'!$A:$A,'SKU Repoprt'!I$1)</f>
        <v>7350</v>
      </c>
      <c r="J696" s="16">
        <f>SUMIFS('Business - Dump'!$U:$U,'Business - Dump'!$D:$D,'SKU Repoprt'!$D696,'Business - Dump'!$A:$A,'SKU Repoprt'!J$1)</f>
        <v>0</v>
      </c>
      <c r="K696" s="16">
        <f>SUMIFS('Business - Dump'!$U:$U,'Business - Dump'!$D:$D,'SKU Repoprt'!$D696,'Business - Dump'!$A:$A,'SKU Repoprt'!K$1)</f>
        <v>14700</v>
      </c>
      <c r="L696" s="16">
        <f>SUMIFS('Business - Dump'!$U:$U,'Business - Dump'!$D:$D,'SKU Repoprt'!$D696,'Business - Dump'!$A:$A,'SKU Repoprt'!L$1)</f>
        <v>0</v>
      </c>
      <c r="M696" s="16">
        <f>SUMIFS('Business - Dump'!$U:$U,'Business - Dump'!$D:$D,'SKU Repoprt'!$D696,'Business - Dump'!$A:$A,'SKU Repoprt'!M$1)</f>
        <v>0</v>
      </c>
      <c r="N696" s="16">
        <f>SUMIFS('Business - Dump'!$U:$U,'Business - Dump'!$D:$D,'SKU Repoprt'!$D696,'Business - Dump'!$A:$A,'SKU Repoprt'!N$1)</f>
        <v>0</v>
      </c>
      <c r="O696" s="16">
        <f>SUMIFS('Business - Dump'!$U:$U,'Business - Dump'!$D:$D,'SKU Repoprt'!$D696,'Business - Dump'!$A:$A,'SKU Repoprt'!O$1)</f>
        <v>8900</v>
      </c>
      <c r="P696" s="16">
        <f>SUMIFS('Business - Dump'!$U:$U,'Business - Dump'!$D:$D,'SKU Repoprt'!$D696,'Business - Dump'!$A:$A,'SKU Repoprt'!P$1)</f>
        <v>0</v>
      </c>
      <c r="Q696" s="16">
        <f>SUMIFS('Business - Dump'!$U:$U,'Business - Dump'!$D:$D,'SKU Repoprt'!$D696,'Business - Dump'!$A:$A,'SKU Repoprt'!Q$1)</f>
        <v>0</v>
      </c>
      <c r="R696" s="16">
        <f>SUMIFS('Business - Dump'!$U:$U,'Business - Dump'!$D:$D,'SKU Repoprt'!$D696,'Business - Dump'!$A:$A,'SKU Repoprt'!R$1)</f>
        <v>0</v>
      </c>
      <c r="S696" s="16">
        <f>SUMIFS('Business - Dump'!$U:$U,'Business - Dump'!$D:$D,'SKU Repoprt'!$D696,'Business - Dump'!$A:$A,'SKU Repoprt'!S$1)</f>
        <v>0</v>
      </c>
      <c r="T696" s="16">
        <f>SUMIFS('Business - Dump'!$U:$U,'Business - Dump'!$D:$D,'SKU Repoprt'!$D696,'Business - Dump'!$A:$A,'SKU Repoprt'!T$1)</f>
        <v>16908</v>
      </c>
      <c r="U696" s="16">
        <f>SUMIFS('Business - Dump'!$U:$U,'Business - Dump'!$D:$D,'SKU Repoprt'!$D696,'Business - Dump'!$A:$A,'SKU Repoprt'!U$1)</f>
        <v>16908</v>
      </c>
      <c r="V696" s="16">
        <f>SUMIFS('Business - Dump'!$U:$U,'Business - Dump'!$D:$D,'SKU Repoprt'!$D696,'Business - Dump'!$A:$A,'SKU Repoprt'!V$1)</f>
        <v>0</v>
      </c>
      <c r="W696" s="16">
        <f>SUMIFS('Business - Dump'!$U:$U,'Business - Dump'!$D:$D,'SKU Repoprt'!$D696,'Business - Dump'!$A:$A,'SKU Repoprt'!W$1)</f>
        <v>8455</v>
      </c>
    </row>
    <row r="697" ht="15.75" customHeight="1">
      <c r="A697" s="10" t="s">
        <v>119</v>
      </c>
      <c r="B697" s="10" t="s">
        <v>119</v>
      </c>
      <c r="C697" s="10"/>
      <c r="D697" s="10" t="s">
        <v>323</v>
      </c>
      <c r="E697" s="10" t="s">
        <v>29</v>
      </c>
      <c r="F697" s="17">
        <v>0.027042857142857143</v>
      </c>
      <c r="G697" s="17">
        <f t="shared" ref="G697:W697" si="232">IFERROR(G695/G692,0)</f>
        <v>0.0008136696501</v>
      </c>
      <c r="H697" s="17">
        <f t="shared" si="232"/>
        <v>0.004975124378</v>
      </c>
      <c r="I697" s="17">
        <f t="shared" si="232"/>
        <v>0.001658374793</v>
      </c>
      <c r="J697" s="17">
        <f t="shared" si="232"/>
        <v>0</v>
      </c>
      <c r="K697" s="17">
        <f t="shared" si="232"/>
        <v>0.005970149254</v>
      </c>
      <c r="L697" s="17">
        <f t="shared" si="232"/>
        <v>0</v>
      </c>
      <c r="M697" s="17">
        <f t="shared" si="232"/>
        <v>0</v>
      </c>
      <c r="N697" s="17">
        <f t="shared" si="232"/>
        <v>0</v>
      </c>
      <c r="O697" s="17">
        <f t="shared" si="232"/>
        <v>0.00495049505</v>
      </c>
      <c r="P697" s="17">
        <f t="shared" si="232"/>
        <v>0</v>
      </c>
      <c r="Q697" s="17">
        <f t="shared" si="232"/>
        <v>0</v>
      </c>
      <c r="R697" s="17">
        <f t="shared" si="232"/>
        <v>0</v>
      </c>
      <c r="S697" s="17">
        <f t="shared" si="232"/>
        <v>0</v>
      </c>
      <c r="T697" s="17">
        <f t="shared" si="232"/>
        <v>0.005012531328</v>
      </c>
      <c r="U697" s="17">
        <f t="shared" si="232"/>
        <v>0.002554278416</v>
      </c>
      <c r="V697" s="17">
        <f t="shared" si="232"/>
        <v>0</v>
      </c>
      <c r="W697" s="17">
        <f t="shared" si="232"/>
        <v>0.001058201058</v>
      </c>
    </row>
    <row r="698" ht="15.75" customHeight="1">
      <c r="A698" s="10" t="s">
        <v>119</v>
      </c>
      <c r="B698" s="10" t="s">
        <v>119</v>
      </c>
      <c r="C698" s="10"/>
      <c r="D698" s="10" t="s">
        <v>324</v>
      </c>
      <c r="E698" s="10" t="s">
        <v>257</v>
      </c>
      <c r="F698" s="3">
        <f t="shared" ref="F698:F702" si="233">SUM(G698:S698)</f>
        <v>3743</v>
      </c>
      <c r="G698" s="3">
        <f>SUMIFS('Business - Dump'!$G:$G,'Business - Dump'!$D:$D,'SKU Repoprt'!$D698,'Business - Dump'!$A:$A,'SKU Repoprt'!G$1)</f>
        <v>408</v>
      </c>
      <c r="H698" s="3">
        <f>SUMIFS('Business - Dump'!$G:$G,'Business - Dump'!$D:$D,'SKU Repoprt'!$D698,'Business - Dump'!$A:$A,'SKU Repoprt'!H$1)</f>
        <v>509</v>
      </c>
      <c r="I698" s="3">
        <f>SUMIFS('Business - Dump'!$G:$G,'Business - Dump'!$D:$D,'SKU Repoprt'!$D698,'Business - Dump'!$A:$A,'SKU Repoprt'!I$1)</f>
        <v>0</v>
      </c>
      <c r="J698" s="3">
        <f>SUMIFS('Business - Dump'!$G:$G,'Business - Dump'!$D:$D,'SKU Repoprt'!$D698,'Business - Dump'!$A:$A,'SKU Repoprt'!J$1)</f>
        <v>0</v>
      </c>
      <c r="K698" s="3">
        <f>SUMIFS('Business - Dump'!$G:$G,'Business - Dump'!$D:$D,'SKU Repoprt'!$D698,'Business - Dump'!$A:$A,'SKU Repoprt'!K$1)</f>
        <v>0</v>
      </c>
      <c r="L698" s="3">
        <f>SUMIFS('Business - Dump'!$G:$G,'Business - Dump'!$D:$D,'SKU Repoprt'!$D698,'Business - Dump'!$A:$A,'SKU Repoprt'!L$1)</f>
        <v>379</v>
      </c>
      <c r="M698" s="3">
        <f>SUMIFS('Business - Dump'!$G:$G,'Business - Dump'!$D:$D,'SKU Repoprt'!$D698,'Business - Dump'!$A:$A,'SKU Repoprt'!M$1)</f>
        <v>532</v>
      </c>
      <c r="N698" s="3">
        <f>SUMIFS('Business - Dump'!$G:$G,'Business - Dump'!$D:$D,'SKU Repoprt'!$D698,'Business - Dump'!$A:$A,'SKU Repoprt'!N$1)</f>
        <v>500</v>
      </c>
      <c r="O698" s="3">
        <f>SUMIFS('Business - Dump'!$G:$G,'Business - Dump'!$D:$D,'SKU Repoprt'!$D698,'Business - Dump'!$A:$A,'SKU Repoprt'!O$1)</f>
        <v>312</v>
      </c>
      <c r="P698" s="3">
        <f>SUMIFS('Business - Dump'!$G:$G,'Business - Dump'!$D:$D,'SKU Repoprt'!$D698,'Business - Dump'!$A:$A,'SKU Repoprt'!P$1)</f>
        <v>205</v>
      </c>
      <c r="Q698" s="3">
        <f>SUMIFS('Business - Dump'!$G:$G,'Business - Dump'!$D:$D,'SKU Repoprt'!$D698,'Business - Dump'!$A:$A,'SKU Repoprt'!Q$1)</f>
        <v>203</v>
      </c>
      <c r="R698" s="3">
        <f>SUMIFS('Business - Dump'!$G:$G,'Business - Dump'!$D:$D,'SKU Repoprt'!$D698,'Business - Dump'!$A:$A,'SKU Repoprt'!R$1)</f>
        <v>207</v>
      </c>
      <c r="S698" s="3">
        <f>SUMIFS('Business - Dump'!$G:$G,'Business - Dump'!$D:$D,'SKU Repoprt'!$D698,'Business - Dump'!$A:$A,'SKU Repoprt'!S$1)</f>
        <v>488</v>
      </c>
      <c r="T698" s="3">
        <f>SUMIFS('Business - Dump'!$G:$G,'Business - Dump'!$D:$D,'SKU Repoprt'!$D698,'Business - Dump'!$A:$A,'SKU Repoprt'!T$1)</f>
        <v>524</v>
      </c>
      <c r="U698" s="3">
        <f>SUMIFS('Business - Dump'!$G:$G,'Business - Dump'!$D:$D,'SKU Repoprt'!$D698,'Business - Dump'!$A:$A,'SKU Repoprt'!U$1)</f>
        <v>485</v>
      </c>
      <c r="V698" s="3">
        <f>SUMIFS('Business - Dump'!$G:$G,'Business - Dump'!$D:$D,'SKU Repoprt'!$D698,'Business - Dump'!$A:$A,'SKU Repoprt'!V$1)</f>
        <v>375</v>
      </c>
      <c r="W698" s="3">
        <f>SUMIFS('Business - Dump'!$G:$G,'Business - Dump'!$D:$D,'SKU Repoprt'!$D698,'Business - Dump'!$A:$A,'SKU Repoprt'!W$1)</f>
        <v>444</v>
      </c>
    </row>
    <row r="699" ht="15.75" customHeight="1">
      <c r="A699" s="10" t="s">
        <v>119</v>
      </c>
      <c r="B699" s="10" t="s">
        <v>119</v>
      </c>
      <c r="C699" s="10"/>
      <c r="D699" s="10" t="s">
        <v>324</v>
      </c>
      <c r="E699" s="10" t="s">
        <v>260</v>
      </c>
      <c r="F699" s="3">
        <f t="shared" si="233"/>
        <v>5108</v>
      </c>
      <c r="G699" s="3">
        <f>SUMIFS('Business - Dump'!$K:$K,'Business - Dump'!$D:$D,'SKU Repoprt'!$D699,'Business - Dump'!$A:$A,'SKU Repoprt'!G$1)</f>
        <v>537</v>
      </c>
      <c r="H699" s="3">
        <f>SUMIFS('Business - Dump'!$K:$K,'Business - Dump'!$D:$D,'SKU Repoprt'!$D699,'Business - Dump'!$A:$A,'SKU Repoprt'!H$1)</f>
        <v>748</v>
      </c>
      <c r="I699" s="3">
        <f>SUMIFS('Business - Dump'!$K:$K,'Business - Dump'!$D:$D,'SKU Repoprt'!$D699,'Business - Dump'!$A:$A,'SKU Repoprt'!I$1)</f>
        <v>0</v>
      </c>
      <c r="J699" s="3">
        <f>SUMIFS('Business - Dump'!$K:$K,'Business - Dump'!$D:$D,'SKU Repoprt'!$D699,'Business - Dump'!$A:$A,'SKU Repoprt'!J$1)</f>
        <v>0</v>
      </c>
      <c r="K699" s="3">
        <f>SUMIFS('Business - Dump'!$K:$K,'Business - Dump'!$D:$D,'SKU Repoprt'!$D699,'Business - Dump'!$A:$A,'SKU Repoprt'!K$1)</f>
        <v>0</v>
      </c>
      <c r="L699" s="3">
        <f>SUMIFS('Business - Dump'!$K:$K,'Business - Dump'!$D:$D,'SKU Repoprt'!$D699,'Business - Dump'!$A:$A,'SKU Repoprt'!L$1)</f>
        <v>526</v>
      </c>
      <c r="M699" s="3">
        <f>SUMIFS('Business - Dump'!$K:$K,'Business - Dump'!$D:$D,'SKU Repoprt'!$D699,'Business - Dump'!$A:$A,'SKU Repoprt'!M$1)</f>
        <v>822</v>
      </c>
      <c r="N699" s="3">
        <f>SUMIFS('Business - Dump'!$K:$K,'Business - Dump'!$D:$D,'SKU Repoprt'!$D699,'Business - Dump'!$A:$A,'SKU Repoprt'!N$1)</f>
        <v>641</v>
      </c>
      <c r="O699" s="3">
        <f>SUMIFS('Business - Dump'!$K:$K,'Business - Dump'!$D:$D,'SKU Repoprt'!$D699,'Business - Dump'!$A:$A,'SKU Repoprt'!O$1)</f>
        <v>420</v>
      </c>
      <c r="P699" s="3">
        <f>SUMIFS('Business - Dump'!$K:$K,'Business - Dump'!$D:$D,'SKU Repoprt'!$D699,'Business - Dump'!$A:$A,'SKU Repoprt'!P$1)</f>
        <v>259</v>
      </c>
      <c r="Q699" s="3">
        <f>SUMIFS('Business - Dump'!$K:$K,'Business - Dump'!$D:$D,'SKU Repoprt'!$D699,'Business - Dump'!$A:$A,'SKU Repoprt'!Q$1)</f>
        <v>245</v>
      </c>
      <c r="R699" s="3">
        <f>SUMIFS('Business - Dump'!$K:$K,'Business - Dump'!$D:$D,'SKU Repoprt'!$D699,'Business - Dump'!$A:$A,'SKU Repoprt'!R$1)</f>
        <v>274</v>
      </c>
      <c r="S699" s="3">
        <f>SUMIFS('Business - Dump'!$K:$K,'Business - Dump'!$D:$D,'SKU Repoprt'!$D699,'Business - Dump'!$A:$A,'SKU Repoprt'!S$1)</f>
        <v>636</v>
      </c>
      <c r="T699" s="3">
        <f>SUMIFS('Business - Dump'!$K:$K,'Business - Dump'!$D:$D,'SKU Repoprt'!$D699,'Business - Dump'!$A:$A,'SKU Repoprt'!T$1)</f>
        <v>693</v>
      </c>
      <c r="U699" s="3">
        <f>SUMIFS('Business - Dump'!$K:$K,'Business - Dump'!$D:$D,'SKU Repoprt'!$D699,'Business - Dump'!$A:$A,'SKU Repoprt'!U$1)</f>
        <v>636</v>
      </c>
      <c r="V699" s="3">
        <f>SUMIFS('Business - Dump'!$K:$K,'Business - Dump'!$D:$D,'SKU Repoprt'!$D699,'Business - Dump'!$A:$A,'SKU Repoprt'!V$1)</f>
        <v>482</v>
      </c>
      <c r="W699" s="3">
        <f>SUMIFS('Business - Dump'!$K:$K,'Business - Dump'!$D:$D,'SKU Repoprt'!$D699,'Business - Dump'!$A:$A,'SKU Repoprt'!W$1)</f>
        <v>571</v>
      </c>
    </row>
    <row r="700" ht="15.75" customHeight="1">
      <c r="A700" s="10" t="s">
        <v>119</v>
      </c>
      <c r="B700" s="10" t="s">
        <v>119</v>
      </c>
      <c r="C700" s="10"/>
      <c r="D700" s="10" t="s">
        <v>324</v>
      </c>
      <c r="E700" s="10" t="s">
        <v>264</v>
      </c>
      <c r="F700" s="3">
        <f t="shared" si="233"/>
        <v>9</v>
      </c>
      <c r="G700" s="3">
        <f>SUMIFS('Business - Dump'!$Q:$Q,'Business - Dump'!$D:$D,'SKU Repoprt'!$D700,'Business - Dump'!$A:$A,'SKU Repoprt'!G$1)</f>
        <v>1</v>
      </c>
      <c r="H700" s="3">
        <f>SUMIFS('Business - Dump'!$Q:$Q,'Business - Dump'!$D:$D,'SKU Repoprt'!$D700,'Business - Dump'!$A:$A,'SKU Repoprt'!H$1)</f>
        <v>1</v>
      </c>
      <c r="I700" s="3">
        <f>SUMIFS('Business - Dump'!$Q:$Q,'Business - Dump'!$D:$D,'SKU Repoprt'!$D700,'Business - Dump'!$A:$A,'SKU Repoprt'!I$1)</f>
        <v>0</v>
      </c>
      <c r="J700" s="3">
        <f>SUMIFS('Business - Dump'!$Q:$Q,'Business - Dump'!$D:$D,'SKU Repoprt'!$D700,'Business - Dump'!$A:$A,'SKU Repoprt'!J$1)</f>
        <v>0</v>
      </c>
      <c r="K700" s="3">
        <f>SUMIFS('Business - Dump'!$Q:$Q,'Business - Dump'!$D:$D,'SKU Repoprt'!$D700,'Business - Dump'!$A:$A,'SKU Repoprt'!K$1)</f>
        <v>0</v>
      </c>
      <c r="L700" s="3">
        <f>SUMIFS('Business - Dump'!$Q:$Q,'Business - Dump'!$D:$D,'SKU Repoprt'!$D700,'Business - Dump'!$A:$A,'SKU Repoprt'!L$1)</f>
        <v>2</v>
      </c>
      <c r="M700" s="3">
        <f>SUMIFS('Business - Dump'!$Q:$Q,'Business - Dump'!$D:$D,'SKU Repoprt'!$D700,'Business - Dump'!$A:$A,'SKU Repoprt'!M$1)</f>
        <v>2</v>
      </c>
      <c r="N700" s="3">
        <f>SUMIFS('Business - Dump'!$Q:$Q,'Business - Dump'!$D:$D,'SKU Repoprt'!$D700,'Business - Dump'!$A:$A,'SKU Repoprt'!N$1)</f>
        <v>1</v>
      </c>
      <c r="O700" s="3">
        <f>SUMIFS('Business - Dump'!$Q:$Q,'Business - Dump'!$D:$D,'SKU Repoprt'!$D700,'Business - Dump'!$A:$A,'SKU Repoprt'!O$1)</f>
        <v>0</v>
      </c>
      <c r="P700" s="3">
        <f>SUMIFS('Business - Dump'!$Q:$Q,'Business - Dump'!$D:$D,'SKU Repoprt'!$D700,'Business - Dump'!$A:$A,'SKU Repoprt'!P$1)</f>
        <v>0</v>
      </c>
      <c r="Q700" s="3">
        <f>SUMIFS('Business - Dump'!$Q:$Q,'Business - Dump'!$D:$D,'SKU Repoprt'!$D700,'Business - Dump'!$A:$A,'SKU Repoprt'!Q$1)</f>
        <v>1</v>
      </c>
      <c r="R700" s="3">
        <f>SUMIFS('Business - Dump'!$Q:$Q,'Business - Dump'!$D:$D,'SKU Repoprt'!$D700,'Business - Dump'!$A:$A,'SKU Repoprt'!R$1)</f>
        <v>1</v>
      </c>
      <c r="S700" s="3">
        <f>SUMIFS('Business - Dump'!$Q:$Q,'Business - Dump'!$D:$D,'SKU Repoprt'!$D700,'Business - Dump'!$A:$A,'SKU Repoprt'!S$1)</f>
        <v>0</v>
      </c>
      <c r="T700" s="3">
        <f>SUMIFS('Business - Dump'!$Q:$Q,'Business - Dump'!$D:$D,'SKU Repoprt'!$D700,'Business - Dump'!$A:$A,'SKU Repoprt'!T$1)</f>
        <v>4</v>
      </c>
      <c r="U700" s="3">
        <f>SUMIFS('Business - Dump'!$Q:$Q,'Business - Dump'!$D:$D,'SKU Repoprt'!$D700,'Business - Dump'!$A:$A,'SKU Repoprt'!U$1)</f>
        <v>1</v>
      </c>
      <c r="V700" s="3">
        <f>SUMIFS('Business - Dump'!$Q:$Q,'Business - Dump'!$D:$D,'SKU Repoprt'!$D700,'Business - Dump'!$A:$A,'SKU Repoprt'!V$1)</f>
        <v>0</v>
      </c>
      <c r="W700" s="3">
        <f>SUMIFS('Business - Dump'!$Q:$Q,'Business - Dump'!$D:$D,'SKU Repoprt'!$D700,'Business - Dump'!$A:$A,'SKU Repoprt'!W$1)</f>
        <v>1</v>
      </c>
    </row>
    <row r="701" ht="15.75" customHeight="1">
      <c r="A701" s="10" t="s">
        <v>119</v>
      </c>
      <c r="B701" s="10" t="s">
        <v>119</v>
      </c>
      <c r="C701" s="10"/>
      <c r="D701" s="10" t="s">
        <v>324</v>
      </c>
      <c r="E701" s="10" t="s">
        <v>268</v>
      </c>
      <c r="F701" s="3">
        <f t="shared" si="233"/>
        <v>9</v>
      </c>
      <c r="G701" s="3">
        <f>SUMIFS('Business - Dump'!$W:$W,'Business - Dump'!$D:$D,'SKU Repoprt'!$D701,'Business - Dump'!$A:$A,'SKU Repoprt'!G$1)</f>
        <v>1</v>
      </c>
      <c r="H701" s="3">
        <f>SUMIFS('Business - Dump'!$W:$W,'Business - Dump'!$D:$D,'SKU Repoprt'!$D701,'Business - Dump'!$A:$A,'SKU Repoprt'!H$1)</f>
        <v>1</v>
      </c>
      <c r="I701" s="3">
        <f>SUMIFS('Business - Dump'!$W:$W,'Business - Dump'!$D:$D,'SKU Repoprt'!$D701,'Business - Dump'!$A:$A,'SKU Repoprt'!I$1)</f>
        <v>0</v>
      </c>
      <c r="J701" s="3">
        <f>SUMIFS('Business - Dump'!$W:$W,'Business - Dump'!$D:$D,'SKU Repoprt'!$D701,'Business - Dump'!$A:$A,'SKU Repoprt'!J$1)</f>
        <v>0</v>
      </c>
      <c r="K701" s="3">
        <f>SUMIFS('Business - Dump'!$W:$W,'Business - Dump'!$D:$D,'SKU Repoprt'!$D701,'Business - Dump'!$A:$A,'SKU Repoprt'!K$1)</f>
        <v>0</v>
      </c>
      <c r="L701" s="3">
        <f>SUMIFS('Business - Dump'!$W:$W,'Business - Dump'!$D:$D,'SKU Repoprt'!$D701,'Business - Dump'!$A:$A,'SKU Repoprt'!L$1)</f>
        <v>2</v>
      </c>
      <c r="M701" s="3">
        <f>SUMIFS('Business - Dump'!$W:$W,'Business - Dump'!$D:$D,'SKU Repoprt'!$D701,'Business - Dump'!$A:$A,'SKU Repoprt'!M$1)</f>
        <v>2</v>
      </c>
      <c r="N701" s="3">
        <f>SUMIFS('Business - Dump'!$W:$W,'Business - Dump'!$D:$D,'SKU Repoprt'!$D701,'Business - Dump'!$A:$A,'SKU Repoprt'!N$1)</f>
        <v>1</v>
      </c>
      <c r="O701" s="3">
        <f>SUMIFS('Business - Dump'!$W:$W,'Business - Dump'!$D:$D,'SKU Repoprt'!$D701,'Business - Dump'!$A:$A,'SKU Repoprt'!O$1)</f>
        <v>0</v>
      </c>
      <c r="P701" s="3">
        <f>SUMIFS('Business - Dump'!$W:$W,'Business - Dump'!$D:$D,'SKU Repoprt'!$D701,'Business - Dump'!$A:$A,'SKU Repoprt'!P$1)</f>
        <v>0</v>
      </c>
      <c r="Q701" s="3">
        <f>SUMIFS('Business - Dump'!$W:$W,'Business - Dump'!$D:$D,'SKU Repoprt'!$D701,'Business - Dump'!$A:$A,'SKU Repoprt'!Q$1)</f>
        <v>1</v>
      </c>
      <c r="R701" s="3">
        <f>SUMIFS('Business - Dump'!$W:$W,'Business - Dump'!$D:$D,'SKU Repoprt'!$D701,'Business - Dump'!$A:$A,'SKU Repoprt'!R$1)</f>
        <v>1</v>
      </c>
      <c r="S701" s="3">
        <f>SUMIFS('Business - Dump'!$W:$W,'Business - Dump'!$D:$D,'SKU Repoprt'!$D701,'Business - Dump'!$A:$A,'SKU Repoprt'!S$1)</f>
        <v>0</v>
      </c>
      <c r="T701" s="3">
        <f>SUMIFS('Business - Dump'!$W:$W,'Business - Dump'!$D:$D,'SKU Repoprt'!$D701,'Business - Dump'!$A:$A,'SKU Repoprt'!T$1)</f>
        <v>3</v>
      </c>
      <c r="U701" s="3">
        <f>SUMIFS('Business - Dump'!$W:$W,'Business - Dump'!$D:$D,'SKU Repoprt'!$D701,'Business - Dump'!$A:$A,'SKU Repoprt'!U$1)</f>
        <v>1</v>
      </c>
      <c r="V701" s="3">
        <f>SUMIFS('Business - Dump'!$W:$W,'Business - Dump'!$D:$D,'SKU Repoprt'!$D701,'Business - Dump'!$A:$A,'SKU Repoprt'!V$1)</f>
        <v>0</v>
      </c>
      <c r="W701" s="3">
        <f>SUMIFS('Business - Dump'!$W:$W,'Business - Dump'!$D:$D,'SKU Repoprt'!$D701,'Business - Dump'!$A:$A,'SKU Repoprt'!W$1)</f>
        <v>1</v>
      </c>
    </row>
    <row r="702" ht="15.75" customHeight="1">
      <c r="A702" s="10" t="s">
        <v>119</v>
      </c>
      <c r="B702" s="10" t="s">
        <v>119</v>
      </c>
      <c r="C702" s="10"/>
      <c r="D702" s="10" t="s">
        <v>324</v>
      </c>
      <c r="E702" s="10" t="s">
        <v>26</v>
      </c>
      <c r="F702" s="16">
        <f t="shared" si="233"/>
        <v>46000</v>
      </c>
      <c r="G702" s="16">
        <f>SUMIFS('Business - Dump'!$U:$U,'Business - Dump'!$D:$D,'SKU Repoprt'!$D702,'Business - Dump'!$A:$A,'SKU Repoprt'!G$1)</f>
        <v>4450</v>
      </c>
      <c r="H702" s="16">
        <f>SUMIFS('Business - Dump'!$U:$U,'Business - Dump'!$D:$D,'SKU Repoprt'!$D702,'Business - Dump'!$A:$A,'SKU Repoprt'!H$1)</f>
        <v>4450</v>
      </c>
      <c r="I702" s="16">
        <f>SUMIFS('Business - Dump'!$U:$U,'Business - Dump'!$D:$D,'SKU Repoprt'!$D702,'Business - Dump'!$A:$A,'SKU Repoprt'!I$1)</f>
        <v>0</v>
      </c>
      <c r="J702" s="16">
        <f>SUMIFS('Business - Dump'!$U:$U,'Business - Dump'!$D:$D,'SKU Repoprt'!$D702,'Business - Dump'!$A:$A,'SKU Repoprt'!J$1)</f>
        <v>0</v>
      </c>
      <c r="K702" s="16">
        <f>SUMIFS('Business - Dump'!$U:$U,'Business - Dump'!$D:$D,'SKU Repoprt'!$D702,'Business - Dump'!$A:$A,'SKU Repoprt'!K$1)</f>
        <v>0</v>
      </c>
      <c r="L702" s="16">
        <f>SUMIFS('Business - Dump'!$U:$U,'Business - Dump'!$D:$D,'SKU Repoprt'!$D702,'Business - Dump'!$A:$A,'SKU Repoprt'!L$1)</f>
        <v>8900</v>
      </c>
      <c r="M702" s="16">
        <f>SUMIFS('Business - Dump'!$U:$U,'Business - Dump'!$D:$D,'SKU Repoprt'!$D702,'Business - Dump'!$A:$A,'SKU Repoprt'!M$1)</f>
        <v>11000</v>
      </c>
      <c r="N702" s="16">
        <f>SUMIFS('Business - Dump'!$U:$U,'Business - Dump'!$D:$D,'SKU Repoprt'!$D702,'Business - Dump'!$A:$A,'SKU Repoprt'!N$1)</f>
        <v>5400</v>
      </c>
      <c r="O702" s="16">
        <f>SUMIFS('Business - Dump'!$U:$U,'Business - Dump'!$D:$D,'SKU Repoprt'!$D702,'Business - Dump'!$A:$A,'SKU Repoprt'!O$1)</f>
        <v>0</v>
      </c>
      <c r="P702" s="16">
        <f>SUMIFS('Business - Dump'!$U:$U,'Business - Dump'!$D:$D,'SKU Repoprt'!$D702,'Business - Dump'!$A:$A,'SKU Repoprt'!P$1)</f>
        <v>0</v>
      </c>
      <c r="Q702" s="16">
        <f>SUMIFS('Business - Dump'!$U:$U,'Business - Dump'!$D:$D,'SKU Repoprt'!$D702,'Business - Dump'!$A:$A,'SKU Repoprt'!Q$1)</f>
        <v>5900</v>
      </c>
      <c r="R702" s="16">
        <f>SUMIFS('Business - Dump'!$U:$U,'Business - Dump'!$D:$D,'SKU Repoprt'!$D702,'Business - Dump'!$A:$A,'SKU Repoprt'!R$1)</f>
        <v>5900</v>
      </c>
      <c r="S702" s="16">
        <f>SUMIFS('Business - Dump'!$U:$U,'Business - Dump'!$D:$D,'SKU Repoprt'!$D702,'Business - Dump'!$A:$A,'SKU Repoprt'!S$1)</f>
        <v>0</v>
      </c>
      <c r="T702" s="16">
        <f>SUMIFS('Business - Dump'!$U:$U,'Business - Dump'!$D:$D,'SKU Repoprt'!$D702,'Business - Dump'!$A:$A,'SKU Repoprt'!T$1)</f>
        <v>22416</v>
      </c>
      <c r="U702" s="16">
        <f>SUMIFS('Business - Dump'!$U:$U,'Business - Dump'!$D:$D,'SKU Repoprt'!$D702,'Business - Dump'!$A:$A,'SKU Repoprt'!U$1)</f>
        <v>5605</v>
      </c>
      <c r="V702" s="16">
        <f>SUMIFS('Business - Dump'!$U:$U,'Business - Dump'!$D:$D,'SKU Repoprt'!$D702,'Business - Dump'!$A:$A,'SKU Repoprt'!V$1)</f>
        <v>0</v>
      </c>
      <c r="W702" s="16">
        <f>SUMIFS('Business - Dump'!$U:$U,'Business - Dump'!$D:$D,'SKU Repoprt'!$D702,'Business - Dump'!$A:$A,'SKU Repoprt'!W$1)</f>
        <v>5605</v>
      </c>
    </row>
    <row r="703" ht="15.75" customHeight="1">
      <c r="A703" s="10" t="s">
        <v>119</v>
      </c>
      <c r="B703" s="10" t="s">
        <v>119</v>
      </c>
      <c r="C703" s="10"/>
      <c r="D703" s="10" t="s">
        <v>324</v>
      </c>
      <c r="E703" s="10" t="s">
        <v>29</v>
      </c>
      <c r="F703" s="17">
        <v>0.027042857142857143</v>
      </c>
      <c r="G703" s="17">
        <f t="shared" ref="G703:W703" si="234">IFERROR(G701/G698,0)</f>
        <v>0.002450980392</v>
      </c>
      <c r="H703" s="17">
        <f t="shared" si="234"/>
        <v>0.001964636542</v>
      </c>
      <c r="I703" s="17">
        <f t="shared" si="234"/>
        <v>0</v>
      </c>
      <c r="J703" s="17">
        <f t="shared" si="234"/>
        <v>0</v>
      </c>
      <c r="K703" s="17">
        <f t="shared" si="234"/>
        <v>0</v>
      </c>
      <c r="L703" s="17">
        <f t="shared" si="234"/>
        <v>0.005277044855</v>
      </c>
      <c r="M703" s="17">
        <f t="shared" si="234"/>
        <v>0.003759398496</v>
      </c>
      <c r="N703" s="17">
        <f t="shared" si="234"/>
        <v>0.002</v>
      </c>
      <c r="O703" s="17">
        <f t="shared" si="234"/>
        <v>0</v>
      </c>
      <c r="P703" s="17">
        <f t="shared" si="234"/>
        <v>0</v>
      </c>
      <c r="Q703" s="17">
        <f t="shared" si="234"/>
        <v>0.004926108374</v>
      </c>
      <c r="R703" s="17">
        <f t="shared" si="234"/>
        <v>0.004830917874</v>
      </c>
      <c r="S703" s="17">
        <f t="shared" si="234"/>
        <v>0</v>
      </c>
      <c r="T703" s="17">
        <f t="shared" si="234"/>
        <v>0.00572519084</v>
      </c>
      <c r="U703" s="17">
        <f t="shared" si="234"/>
        <v>0.00206185567</v>
      </c>
      <c r="V703" s="17">
        <f t="shared" si="234"/>
        <v>0</v>
      </c>
      <c r="W703" s="17">
        <f t="shared" si="234"/>
        <v>0.002252252252</v>
      </c>
    </row>
    <row r="704" ht="15.75" customHeight="1">
      <c r="A704" s="10" t="s">
        <v>119</v>
      </c>
      <c r="B704" s="10" t="s">
        <v>119</v>
      </c>
      <c r="C704" s="10"/>
      <c r="D704" s="10" t="s">
        <v>350</v>
      </c>
      <c r="E704" s="10" t="s">
        <v>257</v>
      </c>
      <c r="F704" s="3">
        <f t="shared" ref="F704:F708" si="235">SUM(G704:S704)</f>
        <v>2498</v>
      </c>
      <c r="G704" s="3">
        <f>SUMIFS('Business - Dump'!$G:$G,'Business - Dump'!$D:$D,'SKU Repoprt'!$D704,'Business - Dump'!$A:$A,'SKU Repoprt'!G$1)</f>
        <v>0</v>
      </c>
      <c r="H704" s="3">
        <f>SUMIFS('Business - Dump'!$G:$G,'Business - Dump'!$D:$D,'SKU Repoprt'!$D704,'Business - Dump'!$A:$A,'SKU Repoprt'!H$1)</f>
        <v>0</v>
      </c>
      <c r="I704" s="3">
        <f>SUMIFS('Business - Dump'!$G:$G,'Business - Dump'!$D:$D,'SKU Repoprt'!$D704,'Business - Dump'!$A:$A,'SKU Repoprt'!I$1)</f>
        <v>456</v>
      </c>
      <c r="J704" s="3">
        <f>SUMIFS('Business - Dump'!$G:$G,'Business - Dump'!$D:$D,'SKU Repoprt'!$D704,'Business - Dump'!$A:$A,'SKU Repoprt'!J$1)</f>
        <v>463</v>
      </c>
      <c r="K704" s="3">
        <f>SUMIFS('Business - Dump'!$G:$G,'Business - Dump'!$D:$D,'SKU Repoprt'!$D704,'Business - Dump'!$A:$A,'SKU Repoprt'!K$1)</f>
        <v>0</v>
      </c>
      <c r="L704" s="3">
        <f>SUMIFS('Business - Dump'!$G:$G,'Business - Dump'!$D:$D,'SKU Repoprt'!$D704,'Business - Dump'!$A:$A,'SKU Repoprt'!L$1)</f>
        <v>0</v>
      </c>
      <c r="M704" s="3">
        <f>SUMIFS('Business - Dump'!$G:$G,'Business - Dump'!$D:$D,'SKU Repoprt'!$D704,'Business - Dump'!$A:$A,'SKU Repoprt'!M$1)</f>
        <v>367</v>
      </c>
      <c r="N704" s="3">
        <f>SUMIFS('Business - Dump'!$G:$G,'Business - Dump'!$D:$D,'SKU Repoprt'!$D704,'Business - Dump'!$A:$A,'SKU Repoprt'!N$1)</f>
        <v>212</v>
      </c>
      <c r="O704" s="3">
        <f>SUMIFS('Business - Dump'!$G:$G,'Business - Dump'!$D:$D,'SKU Repoprt'!$D704,'Business - Dump'!$A:$A,'SKU Repoprt'!O$1)</f>
        <v>193</v>
      </c>
      <c r="P704" s="3">
        <f>SUMIFS('Business - Dump'!$G:$G,'Business - Dump'!$D:$D,'SKU Repoprt'!$D704,'Business - Dump'!$A:$A,'SKU Repoprt'!P$1)</f>
        <v>213</v>
      </c>
      <c r="Q704" s="3">
        <f>SUMIFS('Business - Dump'!$G:$G,'Business - Dump'!$D:$D,'SKU Repoprt'!$D704,'Business - Dump'!$A:$A,'SKU Repoprt'!Q$1)</f>
        <v>184</v>
      </c>
      <c r="R704" s="3">
        <f>SUMIFS('Business - Dump'!$G:$G,'Business - Dump'!$D:$D,'SKU Repoprt'!$D704,'Business - Dump'!$A:$A,'SKU Repoprt'!R$1)</f>
        <v>180</v>
      </c>
      <c r="S704" s="3">
        <f>SUMIFS('Business - Dump'!$G:$G,'Business - Dump'!$D:$D,'SKU Repoprt'!$D704,'Business - Dump'!$A:$A,'SKU Repoprt'!S$1)</f>
        <v>230</v>
      </c>
      <c r="T704" s="3">
        <f>SUMIFS('Business - Dump'!$G:$G,'Business - Dump'!$D:$D,'SKU Repoprt'!$D704,'Business - Dump'!$A:$A,'SKU Repoprt'!T$1)</f>
        <v>299</v>
      </c>
      <c r="U704" s="3">
        <f>SUMIFS('Business - Dump'!$G:$G,'Business - Dump'!$D:$D,'SKU Repoprt'!$D704,'Business - Dump'!$A:$A,'SKU Repoprt'!U$1)</f>
        <v>271</v>
      </c>
      <c r="V704" s="3">
        <f>SUMIFS('Business - Dump'!$G:$G,'Business - Dump'!$D:$D,'SKU Repoprt'!$D704,'Business - Dump'!$A:$A,'SKU Repoprt'!V$1)</f>
        <v>187</v>
      </c>
      <c r="W704" s="3">
        <f>SUMIFS('Business - Dump'!$G:$G,'Business - Dump'!$D:$D,'SKU Repoprt'!$D704,'Business - Dump'!$A:$A,'SKU Repoprt'!W$1)</f>
        <v>341</v>
      </c>
    </row>
    <row r="705" ht="15.75" customHeight="1">
      <c r="A705" s="10" t="s">
        <v>119</v>
      </c>
      <c r="B705" s="10" t="s">
        <v>119</v>
      </c>
      <c r="C705" s="10"/>
      <c r="D705" s="10" t="s">
        <v>350</v>
      </c>
      <c r="E705" s="10" t="s">
        <v>260</v>
      </c>
      <c r="F705" s="3">
        <f t="shared" si="235"/>
        <v>3252</v>
      </c>
      <c r="G705" s="3">
        <f>SUMIFS('Business - Dump'!$K:$K,'Business - Dump'!$D:$D,'SKU Repoprt'!$D705,'Business - Dump'!$A:$A,'SKU Repoprt'!G$1)</f>
        <v>0</v>
      </c>
      <c r="H705" s="3">
        <f>SUMIFS('Business - Dump'!$K:$K,'Business - Dump'!$D:$D,'SKU Repoprt'!$D705,'Business - Dump'!$A:$A,'SKU Repoprt'!H$1)</f>
        <v>0</v>
      </c>
      <c r="I705" s="3">
        <f>SUMIFS('Business - Dump'!$K:$K,'Business - Dump'!$D:$D,'SKU Repoprt'!$D705,'Business - Dump'!$A:$A,'SKU Repoprt'!I$1)</f>
        <v>589</v>
      </c>
      <c r="J705" s="3">
        <f>SUMIFS('Business - Dump'!$K:$K,'Business - Dump'!$D:$D,'SKU Repoprt'!$D705,'Business - Dump'!$A:$A,'SKU Repoprt'!J$1)</f>
        <v>615</v>
      </c>
      <c r="K705" s="3">
        <f>SUMIFS('Business - Dump'!$K:$K,'Business - Dump'!$D:$D,'SKU Repoprt'!$D705,'Business - Dump'!$A:$A,'SKU Repoprt'!K$1)</f>
        <v>0</v>
      </c>
      <c r="L705" s="3">
        <f>SUMIFS('Business - Dump'!$K:$K,'Business - Dump'!$D:$D,'SKU Repoprt'!$D705,'Business - Dump'!$A:$A,'SKU Repoprt'!L$1)</f>
        <v>0</v>
      </c>
      <c r="M705" s="3">
        <f>SUMIFS('Business - Dump'!$K:$K,'Business - Dump'!$D:$D,'SKU Repoprt'!$D705,'Business - Dump'!$A:$A,'SKU Repoprt'!M$1)</f>
        <v>560</v>
      </c>
      <c r="N705" s="3">
        <f>SUMIFS('Business - Dump'!$K:$K,'Business - Dump'!$D:$D,'SKU Repoprt'!$D705,'Business - Dump'!$A:$A,'SKU Repoprt'!N$1)</f>
        <v>261</v>
      </c>
      <c r="O705" s="3">
        <f>SUMIFS('Business - Dump'!$K:$K,'Business - Dump'!$D:$D,'SKU Repoprt'!$D705,'Business - Dump'!$A:$A,'SKU Repoprt'!O$1)</f>
        <v>247</v>
      </c>
      <c r="P705" s="3">
        <f>SUMIFS('Business - Dump'!$K:$K,'Business - Dump'!$D:$D,'SKU Repoprt'!$D705,'Business - Dump'!$A:$A,'SKU Repoprt'!P$1)</f>
        <v>247</v>
      </c>
      <c r="Q705" s="3">
        <f>SUMIFS('Business - Dump'!$K:$K,'Business - Dump'!$D:$D,'SKU Repoprt'!$D705,'Business - Dump'!$A:$A,'SKU Repoprt'!Q$1)</f>
        <v>230</v>
      </c>
      <c r="R705" s="3">
        <f>SUMIFS('Business - Dump'!$K:$K,'Business - Dump'!$D:$D,'SKU Repoprt'!$D705,'Business - Dump'!$A:$A,'SKU Repoprt'!R$1)</f>
        <v>213</v>
      </c>
      <c r="S705" s="3">
        <f>SUMIFS('Business - Dump'!$K:$K,'Business - Dump'!$D:$D,'SKU Repoprt'!$D705,'Business - Dump'!$A:$A,'SKU Repoprt'!S$1)</f>
        <v>290</v>
      </c>
      <c r="T705" s="3">
        <f>SUMIFS('Business - Dump'!$K:$K,'Business - Dump'!$D:$D,'SKU Repoprt'!$D705,'Business - Dump'!$A:$A,'SKU Repoprt'!T$1)</f>
        <v>391</v>
      </c>
      <c r="U705" s="3">
        <f>SUMIFS('Business - Dump'!$K:$K,'Business - Dump'!$D:$D,'SKU Repoprt'!$D705,'Business - Dump'!$A:$A,'SKU Repoprt'!U$1)</f>
        <v>330</v>
      </c>
      <c r="V705" s="3">
        <f>SUMIFS('Business - Dump'!$K:$K,'Business - Dump'!$D:$D,'SKU Repoprt'!$D705,'Business - Dump'!$A:$A,'SKU Repoprt'!V$1)</f>
        <v>229</v>
      </c>
      <c r="W705" s="3">
        <f>SUMIFS('Business - Dump'!$K:$K,'Business - Dump'!$D:$D,'SKU Repoprt'!$D705,'Business - Dump'!$A:$A,'SKU Repoprt'!W$1)</f>
        <v>433</v>
      </c>
    </row>
    <row r="706" ht="15.75" customHeight="1">
      <c r="A706" s="10" t="s">
        <v>119</v>
      </c>
      <c r="B706" s="10" t="s">
        <v>119</v>
      </c>
      <c r="C706" s="10"/>
      <c r="D706" s="10" t="s">
        <v>350</v>
      </c>
      <c r="E706" s="10" t="s">
        <v>264</v>
      </c>
      <c r="F706" s="3">
        <f t="shared" si="235"/>
        <v>4</v>
      </c>
      <c r="G706" s="3">
        <f>SUMIFS('Business - Dump'!$Q:$Q,'Business - Dump'!$D:$D,'SKU Repoprt'!$D706,'Business - Dump'!$A:$A,'SKU Repoprt'!G$1)</f>
        <v>0</v>
      </c>
      <c r="H706" s="3">
        <f>SUMIFS('Business - Dump'!$Q:$Q,'Business - Dump'!$D:$D,'SKU Repoprt'!$D706,'Business - Dump'!$A:$A,'SKU Repoprt'!H$1)</f>
        <v>0</v>
      </c>
      <c r="I706" s="3">
        <f>SUMIFS('Business - Dump'!$Q:$Q,'Business - Dump'!$D:$D,'SKU Repoprt'!$D706,'Business - Dump'!$A:$A,'SKU Repoprt'!I$1)</f>
        <v>1</v>
      </c>
      <c r="J706" s="3">
        <f>SUMIFS('Business - Dump'!$Q:$Q,'Business - Dump'!$D:$D,'SKU Repoprt'!$D706,'Business - Dump'!$A:$A,'SKU Repoprt'!J$1)</f>
        <v>2</v>
      </c>
      <c r="K706" s="3">
        <f>SUMIFS('Business - Dump'!$Q:$Q,'Business - Dump'!$D:$D,'SKU Repoprt'!$D706,'Business - Dump'!$A:$A,'SKU Repoprt'!K$1)</f>
        <v>0</v>
      </c>
      <c r="L706" s="3">
        <f>SUMIFS('Business - Dump'!$Q:$Q,'Business - Dump'!$D:$D,'SKU Repoprt'!$D706,'Business - Dump'!$A:$A,'SKU Repoprt'!L$1)</f>
        <v>0</v>
      </c>
      <c r="M706" s="3">
        <f>SUMIFS('Business - Dump'!$Q:$Q,'Business - Dump'!$D:$D,'SKU Repoprt'!$D706,'Business - Dump'!$A:$A,'SKU Repoprt'!M$1)</f>
        <v>0</v>
      </c>
      <c r="N706" s="3">
        <f>SUMIFS('Business - Dump'!$Q:$Q,'Business - Dump'!$D:$D,'SKU Repoprt'!$D706,'Business - Dump'!$A:$A,'SKU Repoprt'!N$1)</f>
        <v>0</v>
      </c>
      <c r="O706" s="3">
        <f>SUMIFS('Business - Dump'!$Q:$Q,'Business - Dump'!$D:$D,'SKU Repoprt'!$D706,'Business - Dump'!$A:$A,'SKU Repoprt'!O$1)</f>
        <v>0</v>
      </c>
      <c r="P706" s="3">
        <f>SUMIFS('Business - Dump'!$Q:$Q,'Business - Dump'!$D:$D,'SKU Repoprt'!$D706,'Business - Dump'!$A:$A,'SKU Repoprt'!P$1)</f>
        <v>0</v>
      </c>
      <c r="Q706" s="3">
        <f>SUMIFS('Business - Dump'!$Q:$Q,'Business - Dump'!$D:$D,'SKU Repoprt'!$D706,'Business - Dump'!$A:$A,'SKU Repoprt'!Q$1)</f>
        <v>0</v>
      </c>
      <c r="R706" s="3">
        <f>SUMIFS('Business - Dump'!$Q:$Q,'Business - Dump'!$D:$D,'SKU Repoprt'!$D706,'Business - Dump'!$A:$A,'SKU Repoprt'!R$1)</f>
        <v>0</v>
      </c>
      <c r="S706" s="3">
        <f>SUMIFS('Business - Dump'!$Q:$Q,'Business - Dump'!$D:$D,'SKU Repoprt'!$D706,'Business - Dump'!$A:$A,'SKU Repoprt'!S$1)</f>
        <v>1</v>
      </c>
      <c r="T706" s="3">
        <f>SUMIFS('Business - Dump'!$Q:$Q,'Business - Dump'!$D:$D,'SKU Repoprt'!$D706,'Business - Dump'!$A:$A,'SKU Repoprt'!T$1)</f>
        <v>0</v>
      </c>
      <c r="U706" s="3">
        <f>SUMIFS('Business - Dump'!$Q:$Q,'Business - Dump'!$D:$D,'SKU Repoprt'!$D706,'Business - Dump'!$A:$A,'SKU Repoprt'!U$1)</f>
        <v>0</v>
      </c>
      <c r="V706" s="3">
        <f>SUMIFS('Business - Dump'!$Q:$Q,'Business - Dump'!$D:$D,'SKU Repoprt'!$D706,'Business - Dump'!$A:$A,'SKU Repoprt'!V$1)</f>
        <v>0</v>
      </c>
      <c r="W706" s="3">
        <f>SUMIFS('Business - Dump'!$Q:$Q,'Business - Dump'!$D:$D,'SKU Repoprt'!$D706,'Business - Dump'!$A:$A,'SKU Repoprt'!W$1)</f>
        <v>2</v>
      </c>
    </row>
    <row r="707" ht="15.75" customHeight="1">
      <c r="A707" s="10" t="s">
        <v>119</v>
      </c>
      <c r="B707" s="10" t="s">
        <v>119</v>
      </c>
      <c r="C707" s="10"/>
      <c r="D707" s="10" t="s">
        <v>350</v>
      </c>
      <c r="E707" s="10" t="s">
        <v>268</v>
      </c>
      <c r="F707" s="3">
        <f t="shared" si="235"/>
        <v>4</v>
      </c>
      <c r="G707" s="3">
        <f>SUMIFS('Business - Dump'!$W:$W,'Business - Dump'!$D:$D,'SKU Repoprt'!$D707,'Business - Dump'!$A:$A,'SKU Repoprt'!G$1)</f>
        <v>0</v>
      </c>
      <c r="H707" s="3">
        <f>SUMIFS('Business - Dump'!$W:$W,'Business - Dump'!$D:$D,'SKU Repoprt'!$D707,'Business - Dump'!$A:$A,'SKU Repoprt'!H$1)</f>
        <v>0</v>
      </c>
      <c r="I707" s="3">
        <f>SUMIFS('Business - Dump'!$W:$W,'Business - Dump'!$D:$D,'SKU Repoprt'!$D707,'Business - Dump'!$A:$A,'SKU Repoprt'!I$1)</f>
        <v>1</v>
      </c>
      <c r="J707" s="3">
        <f>SUMIFS('Business - Dump'!$W:$W,'Business - Dump'!$D:$D,'SKU Repoprt'!$D707,'Business - Dump'!$A:$A,'SKU Repoprt'!J$1)</f>
        <v>2</v>
      </c>
      <c r="K707" s="3">
        <f>SUMIFS('Business - Dump'!$W:$W,'Business - Dump'!$D:$D,'SKU Repoprt'!$D707,'Business - Dump'!$A:$A,'SKU Repoprt'!K$1)</f>
        <v>0</v>
      </c>
      <c r="L707" s="3">
        <f>SUMIFS('Business - Dump'!$W:$W,'Business - Dump'!$D:$D,'SKU Repoprt'!$D707,'Business - Dump'!$A:$A,'SKU Repoprt'!L$1)</f>
        <v>0</v>
      </c>
      <c r="M707" s="3">
        <f>SUMIFS('Business - Dump'!$W:$W,'Business - Dump'!$D:$D,'SKU Repoprt'!$D707,'Business - Dump'!$A:$A,'SKU Repoprt'!M$1)</f>
        <v>0</v>
      </c>
      <c r="N707" s="3">
        <f>SUMIFS('Business - Dump'!$W:$W,'Business - Dump'!$D:$D,'SKU Repoprt'!$D707,'Business - Dump'!$A:$A,'SKU Repoprt'!N$1)</f>
        <v>0</v>
      </c>
      <c r="O707" s="3">
        <f>SUMIFS('Business - Dump'!$W:$W,'Business - Dump'!$D:$D,'SKU Repoprt'!$D707,'Business - Dump'!$A:$A,'SKU Repoprt'!O$1)</f>
        <v>0</v>
      </c>
      <c r="P707" s="3">
        <f>SUMIFS('Business - Dump'!$W:$W,'Business - Dump'!$D:$D,'SKU Repoprt'!$D707,'Business - Dump'!$A:$A,'SKU Repoprt'!P$1)</f>
        <v>0</v>
      </c>
      <c r="Q707" s="3">
        <f>SUMIFS('Business - Dump'!$W:$W,'Business - Dump'!$D:$D,'SKU Repoprt'!$D707,'Business - Dump'!$A:$A,'SKU Repoprt'!Q$1)</f>
        <v>0</v>
      </c>
      <c r="R707" s="3">
        <f>SUMIFS('Business - Dump'!$W:$W,'Business - Dump'!$D:$D,'SKU Repoprt'!$D707,'Business - Dump'!$A:$A,'SKU Repoprt'!R$1)</f>
        <v>0</v>
      </c>
      <c r="S707" s="3">
        <f>SUMIFS('Business - Dump'!$W:$W,'Business - Dump'!$D:$D,'SKU Repoprt'!$D707,'Business - Dump'!$A:$A,'SKU Repoprt'!S$1)</f>
        <v>1</v>
      </c>
      <c r="T707" s="3">
        <f>SUMIFS('Business - Dump'!$W:$W,'Business - Dump'!$D:$D,'SKU Repoprt'!$D707,'Business - Dump'!$A:$A,'SKU Repoprt'!T$1)</f>
        <v>0</v>
      </c>
      <c r="U707" s="3">
        <f>SUMIFS('Business - Dump'!$W:$W,'Business - Dump'!$D:$D,'SKU Repoprt'!$D707,'Business - Dump'!$A:$A,'SKU Repoprt'!U$1)</f>
        <v>0</v>
      </c>
      <c r="V707" s="3">
        <f>SUMIFS('Business - Dump'!$W:$W,'Business - Dump'!$D:$D,'SKU Repoprt'!$D707,'Business - Dump'!$A:$A,'SKU Repoprt'!V$1)</f>
        <v>0</v>
      </c>
      <c r="W707" s="3">
        <f>SUMIFS('Business - Dump'!$W:$W,'Business - Dump'!$D:$D,'SKU Repoprt'!$D707,'Business - Dump'!$A:$A,'SKU Repoprt'!W$1)</f>
        <v>2</v>
      </c>
    </row>
    <row r="708" ht="15.75" customHeight="1">
      <c r="A708" s="10" t="s">
        <v>119</v>
      </c>
      <c r="B708" s="10" t="s">
        <v>119</v>
      </c>
      <c r="C708" s="10"/>
      <c r="D708" s="10" t="s">
        <v>350</v>
      </c>
      <c r="E708" s="10" t="s">
        <v>26</v>
      </c>
      <c r="F708" s="16">
        <f t="shared" si="235"/>
        <v>19250</v>
      </c>
      <c r="G708" s="16">
        <f>SUMIFS('Business - Dump'!$U:$U,'Business - Dump'!$D:$D,'SKU Repoprt'!$D708,'Business - Dump'!$A:$A,'SKU Repoprt'!G$1)</f>
        <v>0</v>
      </c>
      <c r="H708" s="16">
        <f>SUMIFS('Business - Dump'!$U:$U,'Business - Dump'!$D:$D,'SKU Repoprt'!$D708,'Business - Dump'!$A:$A,'SKU Repoprt'!H$1)</f>
        <v>0</v>
      </c>
      <c r="I708" s="16">
        <f>SUMIFS('Business - Dump'!$U:$U,'Business - Dump'!$D:$D,'SKU Repoprt'!$D708,'Business - Dump'!$A:$A,'SKU Repoprt'!I$1)</f>
        <v>4450</v>
      </c>
      <c r="J708" s="16">
        <f>SUMIFS('Business - Dump'!$U:$U,'Business - Dump'!$D:$D,'SKU Repoprt'!$D708,'Business - Dump'!$A:$A,'SKU Repoprt'!J$1)</f>
        <v>8900</v>
      </c>
      <c r="K708" s="16">
        <f>SUMIFS('Business - Dump'!$U:$U,'Business - Dump'!$D:$D,'SKU Repoprt'!$D708,'Business - Dump'!$A:$A,'SKU Repoprt'!K$1)</f>
        <v>0</v>
      </c>
      <c r="L708" s="16">
        <f>SUMIFS('Business - Dump'!$U:$U,'Business - Dump'!$D:$D,'SKU Repoprt'!$D708,'Business - Dump'!$A:$A,'SKU Repoprt'!L$1)</f>
        <v>0</v>
      </c>
      <c r="M708" s="16">
        <f>SUMIFS('Business - Dump'!$U:$U,'Business - Dump'!$D:$D,'SKU Repoprt'!$D708,'Business - Dump'!$A:$A,'SKU Repoprt'!M$1)</f>
        <v>0</v>
      </c>
      <c r="N708" s="16">
        <f>SUMIFS('Business - Dump'!$U:$U,'Business - Dump'!$D:$D,'SKU Repoprt'!$D708,'Business - Dump'!$A:$A,'SKU Repoprt'!N$1)</f>
        <v>0</v>
      </c>
      <c r="O708" s="16">
        <f>SUMIFS('Business - Dump'!$U:$U,'Business - Dump'!$D:$D,'SKU Repoprt'!$D708,'Business - Dump'!$A:$A,'SKU Repoprt'!O$1)</f>
        <v>0</v>
      </c>
      <c r="P708" s="16">
        <f>SUMIFS('Business - Dump'!$U:$U,'Business - Dump'!$D:$D,'SKU Repoprt'!$D708,'Business - Dump'!$A:$A,'SKU Repoprt'!P$1)</f>
        <v>0</v>
      </c>
      <c r="Q708" s="16">
        <f>SUMIFS('Business - Dump'!$U:$U,'Business - Dump'!$D:$D,'SKU Repoprt'!$D708,'Business - Dump'!$A:$A,'SKU Repoprt'!Q$1)</f>
        <v>0</v>
      </c>
      <c r="R708" s="16">
        <f>SUMIFS('Business - Dump'!$U:$U,'Business - Dump'!$D:$D,'SKU Repoprt'!$D708,'Business - Dump'!$A:$A,'SKU Repoprt'!R$1)</f>
        <v>0</v>
      </c>
      <c r="S708" s="16">
        <f>SUMIFS('Business - Dump'!$U:$U,'Business - Dump'!$D:$D,'SKU Repoprt'!$D708,'Business - Dump'!$A:$A,'SKU Repoprt'!S$1)</f>
        <v>5900</v>
      </c>
      <c r="T708" s="16">
        <f>SUMIFS('Business - Dump'!$U:$U,'Business - Dump'!$D:$D,'SKU Repoprt'!$D708,'Business - Dump'!$A:$A,'SKU Repoprt'!T$1)</f>
        <v>0</v>
      </c>
      <c r="U708" s="16">
        <f>SUMIFS('Business - Dump'!$U:$U,'Business - Dump'!$D:$D,'SKU Repoprt'!$D708,'Business - Dump'!$A:$A,'SKU Repoprt'!U$1)</f>
        <v>0</v>
      </c>
      <c r="V708" s="16">
        <f>SUMIFS('Business - Dump'!$U:$U,'Business - Dump'!$D:$D,'SKU Repoprt'!$D708,'Business - Dump'!$A:$A,'SKU Repoprt'!V$1)</f>
        <v>0</v>
      </c>
      <c r="W708" s="16">
        <f>SUMIFS('Business - Dump'!$U:$U,'Business - Dump'!$D:$D,'SKU Repoprt'!$D708,'Business - Dump'!$A:$A,'SKU Repoprt'!W$1)</f>
        <v>11210</v>
      </c>
    </row>
    <row r="709" ht="15.75" customHeight="1">
      <c r="A709" s="10" t="s">
        <v>119</v>
      </c>
      <c r="B709" s="10" t="s">
        <v>119</v>
      </c>
      <c r="C709" s="10"/>
      <c r="D709" s="10" t="s">
        <v>350</v>
      </c>
      <c r="E709" s="10" t="s">
        <v>29</v>
      </c>
      <c r="F709" s="17">
        <v>0.027042857142857143</v>
      </c>
      <c r="G709" s="17">
        <f t="shared" ref="G709:W709" si="236">IFERROR(G707/G704,0)</f>
        <v>0</v>
      </c>
      <c r="H709" s="17">
        <f t="shared" si="236"/>
        <v>0</v>
      </c>
      <c r="I709" s="17">
        <f t="shared" si="236"/>
        <v>0.002192982456</v>
      </c>
      <c r="J709" s="17">
        <f t="shared" si="236"/>
        <v>0.004319654428</v>
      </c>
      <c r="K709" s="17">
        <f t="shared" si="236"/>
        <v>0</v>
      </c>
      <c r="L709" s="17">
        <f t="shared" si="236"/>
        <v>0</v>
      </c>
      <c r="M709" s="17">
        <f t="shared" si="236"/>
        <v>0</v>
      </c>
      <c r="N709" s="17">
        <f t="shared" si="236"/>
        <v>0</v>
      </c>
      <c r="O709" s="17">
        <f t="shared" si="236"/>
        <v>0</v>
      </c>
      <c r="P709" s="17">
        <f t="shared" si="236"/>
        <v>0</v>
      </c>
      <c r="Q709" s="17">
        <f t="shared" si="236"/>
        <v>0</v>
      </c>
      <c r="R709" s="17">
        <f t="shared" si="236"/>
        <v>0</v>
      </c>
      <c r="S709" s="17">
        <f t="shared" si="236"/>
        <v>0.004347826087</v>
      </c>
      <c r="T709" s="17">
        <f t="shared" si="236"/>
        <v>0</v>
      </c>
      <c r="U709" s="17">
        <f t="shared" si="236"/>
        <v>0</v>
      </c>
      <c r="V709" s="17">
        <f t="shared" si="236"/>
        <v>0</v>
      </c>
      <c r="W709" s="17">
        <f t="shared" si="236"/>
        <v>0.005865102639</v>
      </c>
    </row>
    <row r="710" ht="15.75" customHeight="1">
      <c r="A710" s="10" t="s">
        <v>119</v>
      </c>
      <c r="B710" s="10" t="s">
        <v>119</v>
      </c>
      <c r="C710" s="10"/>
      <c r="D710" s="10" t="s">
        <v>425</v>
      </c>
      <c r="E710" s="10" t="s">
        <v>257</v>
      </c>
      <c r="F710" s="3">
        <f t="shared" ref="F710:F714" si="237">SUM(G710:S710)</f>
        <v>253</v>
      </c>
      <c r="G710" s="3">
        <f>SUMIFS('Business - Dump'!$G:$G,'Business - Dump'!$D:$D,'SKU Repoprt'!$D710,'Business - Dump'!$A:$A,'SKU Repoprt'!G$1)</f>
        <v>0</v>
      </c>
      <c r="H710" s="3">
        <f>SUMIFS('Business - Dump'!$G:$G,'Business - Dump'!$D:$D,'SKU Repoprt'!$D710,'Business - Dump'!$A:$A,'SKU Repoprt'!H$1)</f>
        <v>0</v>
      </c>
      <c r="I710" s="3">
        <f>SUMIFS('Business - Dump'!$G:$G,'Business - Dump'!$D:$D,'SKU Repoprt'!$D710,'Business - Dump'!$A:$A,'SKU Repoprt'!I$1)</f>
        <v>0</v>
      </c>
      <c r="J710" s="3">
        <f>SUMIFS('Business - Dump'!$G:$G,'Business - Dump'!$D:$D,'SKU Repoprt'!$D710,'Business - Dump'!$A:$A,'SKU Repoprt'!J$1)</f>
        <v>0</v>
      </c>
      <c r="K710" s="3">
        <f>SUMIFS('Business - Dump'!$G:$G,'Business - Dump'!$D:$D,'SKU Repoprt'!$D710,'Business - Dump'!$A:$A,'SKU Repoprt'!K$1)</f>
        <v>0</v>
      </c>
      <c r="L710" s="3">
        <f>SUMIFS('Business - Dump'!$G:$G,'Business - Dump'!$D:$D,'SKU Repoprt'!$D710,'Business - Dump'!$A:$A,'SKU Repoprt'!L$1)</f>
        <v>0</v>
      </c>
      <c r="M710" s="3">
        <f>SUMIFS('Business - Dump'!$G:$G,'Business - Dump'!$D:$D,'SKU Repoprt'!$D710,'Business - Dump'!$A:$A,'SKU Repoprt'!M$1)</f>
        <v>0</v>
      </c>
      <c r="N710" s="3">
        <f>SUMIFS('Business - Dump'!$G:$G,'Business - Dump'!$D:$D,'SKU Repoprt'!$D710,'Business - Dump'!$A:$A,'SKU Repoprt'!N$1)</f>
        <v>0</v>
      </c>
      <c r="O710" s="3">
        <f>SUMIFS('Business - Dump'!$G:$G,'Business - Dump'!$D:$D,'SKU Repoprt'!$D710,'Business - Dump'!$A:$A,'SKU Repoprt'!O$1)</f>
        <v>0</v>
      </c>
      <c r="P710" s="3">
        <f>SUMIFS('Business - Dump'!$G:$G,'Business - Dump'!$D:$D,'SKU Repoprt'!$D710,'Business - Dump'!$A:$A,'SKU Repoprt'!P$1)</f>
        <v>77</v>
      </c>
      <c r="Q710" s="3">
        <f>SUMIFS('Business - Dump'!$G:$G,'Business - Dump'!$D:$D,'SKU Repoprt'!$D710,'Business - Dump'!$A:$A,'SKU Repoprt'!Q$1)</f>
        <v>67</v>
      </c>
      <c r="R710" s="3">
        <f>SUMIFS('Business - Dump'!$G:$G,'Business - Dump'!$D:$D,'SKU Repoprt'!$D710,'Business - Dump'!$A:$A,'SKU Repoprt'!R$1)</f>
        <v>7</v>
      </c>
      <c r="S710" s="3">
        <f>SUMIFS('Business - Dump'!$G:$G,'Business - Dump'!$D:$D,'SKU Repoprt'!$D710,'Business - Dump'!$A:$A,'SKU Repoprt'!S$1)</f>
        <v>102</v>
      </c>
      <c r="T710" s="3">
        <f>SUMIFS('Business - Dump'!$G:$G,'Business - Dump'!$D:$D,'SKU Repoprt'!$D710,'Business - Dump'!$A:$A,'SKU Repoprt'!T$1)</f>
        <v>116</v>
      </c>
      <c r="U710" s="3">
        <f>SUMIFS('Business - Dump'!$G:$G,'Business - Dump'!$D:$D,'SKU Repoprt'!$D710,'Business - Dump'!$A:$A,'SKU Repoprt'!U$1)</f>
        <v>133</v>
      </c>
      <c r="V710" s="3">
        <f>SUMIFS('Business - Dump'!$G:$G,'Business - Dump'!$D:$D,'SKU Repoprt'!$D710,'Business - Dump'!$A:$A,'SKU Repoprt'!V$1)</f>
        <v>121</v>
      </c>
      <c r="W710" s="3">
        <f>SUMIFS('Business - Dump'!$G:$G,'Business - Dump'!$D:$D,'SKU Repoprt'!$D710,'Business - Dump'!$A:$A,'SKU Repoprt'!W$1)</f>
        <v>143</v>
      </c>
    </row>
    <row r="711" ht="15.75" customHeight="1">
      <c r="A711" s="10" t="s">
        <v>119</v>
      </c>
      <c r="B711" s="10" t="s">
        <v>119</v>
      </c>
      <c r="C711" s="10"/>
      <c r="D711" s="10" t="s">
        <v>425</v>
      </c>
      <c r="E711" s="10" t="s">
        <v>260</v>
      </c>
      <c r="F711" s="3">
        <f t="shared" si="237"/>
        <v>305</v>
      </c>
      <c r="G711" s="3">
        <f>SUMIFS('Business - Dump'!$K:$K,'Business - Dump'!$D:$D,'SKU Repoprt'!$D711,'Business - Dump'!$A:$A,'SKU Repoprt'!G$1)</f>
        <v>0</v>
      </c>
      <c r="H711" s="3">
        <f>SUMIFS('Business - Dump'!$K:$K,'Business - Dump'!$D:$D,'SKU Repoprt'!$D711,'Business - Dump'!$A:$A,'SKU Repoprt'!H$1)</f>
        <v>0</v>
      </c>
      <c r="I711" s="3">
        <f>SUMIFS('Business - Dump'!$K:$K,'Business - Dump'!$D:$D,'SKU Repoprt'!$D711,'Business - Dump'!$A:$A,'SKU Repoprt'!I$1)</f>
        <v>0</v>
      </c>
      <c r="J711" s="3">
        <f>SUMIFS('Business - Dump'!$K:$K,'Business - Dump'!$D:$D,'SKU Repoprt'!$D711,'Business - Dump'!$A:$A,'SKU Repoprt'!J$1)</f>
        <v>0</v>
      </c>
      <c r="K711" s="3">
        <f>SUMIFS('Business - Dump'!$K:$K,'Business - Dump'!$D:$D,'SKU Repoprt'!$D711,'Business - Dump'!$A:$A,'SKU Repoprt'!K$1)</f>
        <v>0</v>
      </c>
      <c r="L711" s="3">
        <f>SUMIFS('Business - Dump'!$K:$K,'Business - Dump'!$D:$D,'SKU Repoprt'!$D711,'Business - Dump'!$A:$A,'SKU Repoprt'!L$1)</f>
        <v>0</v>
      </c>
      <c r="M711" s="3">
        <f>SUMIFS('Business - Dump'!$K:$K,'Business - Dump'!$D:$D,'SKU Repoprt'!$D711,'Business - Dump'!$A:$A,'SKU Repoprt'!M$1)</f>
        <v>0</v>
      </c>
      <c r="N711" s="3">
        <f>SUMIFS('Business - Dump'!$K:$K,'Business - Dump'!$D:$D,'SKU Repoprt'!$D711,'Business - Dump'!$A:$A,'SKU Repoprt'!N$1)</f>
        <v>0</v>
      </c>
      <c r="O711" s="3">
        <f>SUMIFS('Business - Dump'!$K:$K,'Business - Dump'!$D:$D,'SKU Repoprt'!$D711,'Business - Dump'!$A:$A,'SKU Repoprt'!O$1)</f>
        <v>0</v>
      </c>
      <c r="P711" s="3">
        <f>SUMIFS('Business - Dump'!$K:$K,'Business - Dump'!$D:$D,'SKU Repoprt'!$D711,'Business - Dump'!$A:$A,'SKU Repoprt'!P$1)</f>
        <v>85</v>
      </c>
      <c r="Q711" s="3">
        <f>SUMIFS('Business - Dump'!$K:$K,'Business - Dump'!$D:$D,'SKU Repoprt'!$D711,'Business - Dump'!$A:$A,'SKU Repoprt'!Q$1)</f>
        <v>81</v>
      </c>
      <c r="R711" s="3">
        <f>SUMIFS('Business - Dump'!$K:$K,'Business - Dump'!$D:$D,'SKU Repoprt'!$D711,'Business - Dump'!$A:$A,'SKU Repoprt'!R$1)</f>
        <v>10</v>
      </c>
      <c r="S711" s="3">
        <f>SUMIFS('Business - Dump'!$K:$K,'Business - Dump'!$D:$D,'SKU Repoprt'!$D711,'Business - Dump'!$A:$A,'SKU Repoprt'!S$1)</f>
        <v>129</v>
      </c>
      <c r="T711" s="3">
        <f>SUMIFS('Business - Dump'!$K:$K,'Business - Dump'!$D:$D,'SKU Repoprt'!$D711,'Business - Dump'!$A:$A,'SKU Repoprt'!T$1)</f>
        <v>133</v>
      </c>
      <c r="U711" s="3">
        <f>SUMIFS('Business - Dump'!$K:$K,'Business - Dump'!$D:$D,'SKU Repoprt'!$D711,'Business - Dump'!$A:$A,'SKU Repoprt'!U$1)</f>
        <v>154</v>
      </c>
      <c r="V711" s="3">
        <f>SUMIFS('Business - Dump'!$K:$K,'Business - Dump'!$D:$D,'SKU Repoprt'!$D711,'Business - Dump'!$A:$A,'SKU Repoprt'!V$1)</f>
        <v>130</v>
      </c>
      <c r="W711" s="3">
        <f>SUMIFS('Business - Dump'!$K:$K,'Business - Dump'!$D:$D,'SKU Repoprt'!$D711,'Business - Dump'!$A:$A,'SKU Repoprt'!W$1)</f>
        <v>169</v>
      </c>
    </row>
    <row r="712" ht="15.75" customHeight="1">
      <c r="A712" s="10" t="s">
        <v>119</v>
      </c>
      <c r="B712" s="10" t="s">
        <v>119</v>
      </c>
      <c r="C712" s="10"/>
      <c r="D712" s="10" t="s">
        <v>425</v>
      </c>
      <c r="E712" s="10" t="s">
        <v>264</v>
      </c>
      <c r="F712" s="3">
        <f t="shared" si="237"/>
        <v>0</v>
      </c>
      <c r="G712" s="3">
        <f>SUMIFS('Business - Dump'!$Q:$Q,'Business - Dump'!$D:$D,'SKU Repoprt'!$D712,'Business - Dump'!$A:$A,'SKU Repoprt'!G$1)</f>
        <v>0</v>
      </c>
      <c r="H712" s="3">
        <f>SUMIFS('Business - Dump'!$Q:$Q,'Business - Dump'!$D:$D,'SKU Repoprt'!$D712,'Business - Dump'!$A:$A,'SKU Repoprt'!H$1)</f>
        <v>0</v>
      </c>
      <c r="I712" s="3">
        <f>SUMIFS('Business - Dump'!$Q:$Q,'Business - Dump'!$D:$D,'SKU Repoprt'!$D712,'Business - Dump'!$A:$A,'SKU Repoprt'!I$1)</f>
        <v>0</v>
      </c>
      <c r="J712" s="3">
        <f>SUMIFS('Business - Dump'!$Q:$Q,'Business - Dump'!$D:$D,'SKU Repoprt'!$D712,'Business - Dump'!$A:$A,'SKU Repoprt'!J$1)</f>
        <v>0</v>
      </c>
      <c r="K712" s="3">
        <f>SUMIFS('Business - Dump'!$Q:$Q,'Business - Dump'!$D:$D,'SKU Repoprt'!$D712,'Business - Dump'!$A:$A,'SKU Repoprt'!K$1)</f>
        <v>0</v>
      </c>
      <c r="L712" s="3">
        <f>SUMIFS('Business - Dump'!$Q:$Q,'Business - Dump'!$D:$D,'SKU Repoprt'!$D712,'Business - Dump'!$A:$A,'SKU Repoprt'!L$1)</f>
        <v>0</v>
      </c>
      <c r="M712" s="3">
        <f>SUMIFS('Business - Dump'!$Q:$Q,'Business - Dump'!$D:$D,'SKU Repoprt'!$D712,'Business - Dump'!$A:$A,'SKU Repoprt'!M$1)</f>
        <v>0</v>
      </c>
      <c r="N712" s="3">
        <f>SUMIFS('Business - Dump'!$Q:$Q,'Business - Dump'!$D:$D,'SKU Repoprt'!$D712,'Business - Dump'!$A:$A,'SKU Repoprt'!N$1)</f>
        <v>0</v>
      </c>
      <c r="O712" s="3">
        <f>SUMIFS('Business - Dump'!$Q:$Q,'Business - Dump'!$D:$D,'SKU Repoprt'!$D712,'Business - Dump'!$A:$A,'SKU Repoprt'!O$1)</f>
        <v>0</v>
      </c>
      <c r="P712" s="3">
        <f>SUMIFS('Business - Dump'!$Q:$Q,'Business - Dump'!$D:$D,'SKU Repoprt'!$D712,'Business - Dump'!$A:$A,'SKU Repoprt'!P$1)</f>
        <v>0</v>
      </c>
      <c r="Q712" s="3">
        <f>SUMIFS('Business - Dump'!$Q:$Q,'Business - Dump'!$D:$D,'SKU Repoprt'!$D712,'Business - Dump'!$A:$A,'SKU Repoprt'!Q$1)</f>
        <v>0</v>
      </c>
      <c r="R712" s="3">
        <f>SUMIFS('Business - Dump'!$Q:$Q,'Business - Dump'!$D:$D,'SKU Repoprt'!$D712,'Business - Dump'!$A:$A,'SKU Repoprt'!R$1)</f>
        <v>0</v>
      </c>
      <c r="S712" s="3">
        <f>SUMIFS('Business - Dump'!$Q:$Q,'Business - Dump'!$D:$D,'SKU Repoprt'!$D712,'Business - Dump'!$A:$A,'SKU Repoprt'!S$1)</f>
        <v>0</v>
      </c>
      <c r="T712" s="3">
        <f>SUMIFS('Business - Dump'!$Q:$Q,'Business - Dump'!$D:$D,'SKU Repoprt'!$D712,'Business - Dump'!$A:$A,'SKU Repoprt'!T$1)</f>
        <v>0</v>
      </c>
      <c r="U712" s="3">
        <f>SUMIFS('Business - Dump'!$Q:$Q,'Business - Dump'!$D:$D,'SKU Repoprt'!$D712,'Business - Dump'!$A:$A,'SKU Repoprt'!U$1)</f>
        <v>0</v>
      </c>
      <c r="V712" s="3">
        <f>SUMIFS('Business - Dump'!$Q:$Q,'Business - Dump'!$D:$D,'SKU Repoprt'!$D712,'Business - Dump'!$A:$A,'SKU Repoprt'!V$1)</f>
        <v>0</v>
      </c>
      <c r="W712" s="3">
        <f>SUMIFS('Business - Dump'!$Q:$Q,'Business - Dump'!$D:$D,'SKU Repoprt'!$D712,'Business - Dump'!$A:$A,'SKU Repoprt'!W$1)</f>
        <v>0</v>
      </c>
    </row>
    <row r="713" ht="15.75" customHeight="1">
      <c r="A713" s="10" t="s">
        <v>119</v>
      </c>
      <c r="B713" s="10" t="s">
        <v>119</v>
      </c>
      <c r="C713" s="10"/>
      <c r="D713" s="10" t="s">
        <v>425</v>
      </c>
      <c r="E713" s="10" t="s">
        <v>268</v>
      </c>
      <c r="F713" s="3">
        <f t="shared" si="237"/>
        <v>0</v>
      </c>
      <c r="G713" s="3">
        <f>SUMIFS('Business - Dump'!$W:$W,'Business - Dump'!$D:$D,'SKU Repoprt'!$D713,'Business - Dump'!$A:$A,'SKU Repoprt'!G$1)</f>
        <v>0</v>
      </c>
      <c r="H713" s="3">
        <f>SUMIFS('Business - Dump'!$W:$W,'Business - Dump'!$D:$D,'SKU Repoprt'!$D713,'Business - Dump'!$A:$A,'SKU Repoprt'!H$1)</f>
        <v>0</v>
      </c>
      <c r="I713" s="3">
        <f>SUMIFS('Business - Dump'!$W:$W,'Business - Dump'!$D:$D,'SKU Repoprt'!$D713,'Business - Dump'!$A:$A,'SKU Repoprt'!I$1)</f>
        <v>0</v>
      </c>
      <c r="J713" s="3">
        <f>SUMIFS('Business - Dump'!$W:$W,'Business - Dump'!$D:$D,'SKU Repoprt'!$D713,'Business - Dump'!$A:$A,'SKU Repoprt'!J$1)</f>
        <v>0</v>
      </c>
      <c r="K713" s="3">
        <f>SUMIFS('Business - Dump'!$W:$W,'Business - Dump'!$D:$D,'SKU Repoprt'!$D713,'Business - Dump'!$A:$A,'SKU Repoprt'!K$1)</f>
        <v>0</v>
      </c>
      <c r="L713" s="3">
        <f>SUMIFS('Business - Dump'!$W:$W,'Business - Dump'!$D:$D,'SKU Repoprt'!$D713,'Business - Dump'!$A:$A,'SKU Repoprt'!L$1)</f>
        <v>0</v>
      </c>
      <c r="M713" s="3">
        <f>SUMIFS('Business - Dump'!$W:$W,'Business - Dump'!$D:$D,'SKU Repoprt'!$D713,'Business - Dump'!$A:$A,'SKU Repoprt'!M$1)</f>
        <v>0</v>
      </c>
      <c r="N713" s="3">
        <f>SUMIFS('Business - Dump'!$W:$W,'Business - Dump'!$D:$D,'SKU Repoprt'!$D713,'Business - Dump'!$A:$A,'SKU Repoprt'!N$1)</f>
        <v>0</v>
      </c>
      <c r="O713" s="3">
        <f>SUMIFS('Business - Dump'!$W:$W,'Business - Dump'!$D:$D,'SKU Repoprt'!$D713,'Business - Dump'!$A:$A,'SKU Repoprt'!O$1)</f>
        <v>0</v>
      </c>
      <c r="P713" s="3">
        <f>SUMIFS('Business - Dump'!$W:$W,'Business - Dump'!$D:$D,'SKU Repoprt'!$D713,'Business - Dump'!$A:$A,'SKU Repoprt'!P$1)</f>
        <v>0</v>
      </c>
      <c r="Q713" s="3">
        <f>SUMIFS('Business - Dump'!$W:$W,'Business - Dump'!$D:$D,'SKU Repoprt'!$D713,'Business - Dump'!$A:$A,'SKU Repoprt'!Q$1)</f>
        <v>0</v>
      </c>
      <c r="R713" s="3">
        <f>SUMIFS('Business - Dump'!$W:$W,'Business - Dump'!$D:$D,'SKU Repoprt'!$D713,'Business - Dump'!$A:$A,'SKU Repoprt'!R$1)</f>
        <v>0</v>
      </c>
      <c r="S713" s="3">
        <f>SUMIFS('Business - Dump'!$W:$W,'Business - Dump'!$D:$D,'SKU Repoprt'!$D713,'Business - Dump'!$A:$A,'SKU Repoprt'!S$1)</f>
        <v>0</v>
      </c>
      <c r="T713" s="3">
        <f>SUMIFS('Business - Dump'!$W:$W,'Business - Dump'!$D:$D,'SKU Repoprt'!$D713,'Business - Dump'!$A:$A,'SKU Repoprt'!T$1)</f>
        <v>0</v>
      </c>
      <c r="U713" s="3">
        <f>SUMIFS('Business - Dump'!$W:$W,'Business - Dump'!$D:$D,'SKU Repoprt'!$D713,'Business - Dump'!$A:$A,'SKU Repoprt'!U$1)</f>
        <v>0</v>
      </c>
      <c r="V713" s="3">
        <f>SUMIFS('Business - Dump'!$W:$W,'Business - Dump'!$D:$D,'SKU Repoprt'!$D713,'Business - Dump'!$A:$A,'SKU Repoprt'!V$1)</f>
        <v>0</v>
      </c>
      <c r="W713" s="3">
        <f>SUMIFS('Business - Dump'!$W:$W,'Business - Dump'!$D:$D,'SKU Repoprt'!$D713,'Business - Dump'!$A:$A,'SKU Repoprt'!W$1)</f>
        <v>0</v>
      </c>
    </row>
    <row r="714" ht="15.75" customHeight="1">
      <c r="A714" s="10" t="s">
        <v>119</v>
      </c>
      <c r="B714" s="10" t="s">
        <v>119</v>
      </c>
      <c r="C714" s="10"/>
      <c r="D714" s="10" t="s">
        <v>425</v>
      </c>
      <c r="E714" s="10" t="s">
        <v>26</v>
      </c>
      <c r="F714" s="16">
        <f t="shared" si="237"/>
        <v>0</v>
      </c>
      <c r="G714" s="16">
        <f>SUMIFS('Business - Dump'!$U:$U,'Business - Dump'!$D:$D,'SKU Repoprt'!$D714,'Business - Dump'!$A:$A,'SKU Repoprt'!G$1)</f>
        <v>0</v>
      </c>
      <c r="H714" s="16">
        <f>SUMIFS('Business - Dump'!$U:$U,'Business - Dump'!$D:$D,'SKU Repoprt'!$D714,'Business - Dump'!$A:$A,'SKU Repoprt'!H$1)</f>
        <v>0</v>
      </c>
      <c r="I714" s="16">
        <f>SUMIFS('Business - Dump'!$U:$U,'Business - Dump'!$D:$D,'SKU Repoprt'!$D714,'Business - Dump'!$A:$A,'SKU Repoprt'!I$1)</f>
        <v>0</v>
      </c>
      <c r="J714" s="16">
        <f>SUMIFS('Business - Dump'!$U:$U,'Business - Dump'!$D:$D,'SKU Repoprt'!$D714,'Business - Dump'!$A:$A,'SKU Repoprt'!J$1)</f>
        <v>0</v>
      </c>
      <c r="K714" s="16">
        <f>SUMIFS('Business - Dump'!$U:$U,'Business - Dump'!$D:$D,'SKU Repoprt'!$D714,'Business - Dump'!$A:$A,'SKU Repoprt'!K$1)</f>
        <v>0</v>
      </c>
      <c r="L714" s="16">
        <f>SUMIFS('Business - Dump'!$U:$U,'Business - Dump'!$D:$D,'SKU Repoprt'!$D714,'Business - Dump'!$A:$A,'SKU Repoprt'!L$1)</f>
        <v>0</v>
      </c>
      <c r="M714" s="16">
        <f>SUMIFS('Business - Dump'!$U:$U,'Business - Dump'!$D:$D,'SKU Repoprt'!$D714,'Business - Dump'!$A:$A,'SKU Repoprt'!M$1)</f>
        <v>0</v>
      </c>
      <c r="N714" s="16">
        <f>SUMIFS('Business - Dump'!$U:$U,'Business - Dump'!$D:$D,'SKU Repoprt'!$D714,'Business - Dump'!$A:$A,'SKU Repoprt'!N$1)</f>
        <v>0</v>
      </c>
      <c r="O714" s="16">
        <f>SUMIFS('Business - Dump'!$U:$U,'Business - Dump'!$D:$D,'SKU Repoprt'!$D714,'Business - Dump'!$A:$A,'SKU Repoprt'!O$1)</f>
        <v>0</v>
      </c>
      <c r="P714" s="16">
        <f>SUMIFS('Business - Dump'!$U:$U,'Business - Dump'!$D:$D,'SKU Repoprt'!$D714,'Business - Dump'!$A:$A,'SKU Repoprt'!P$1)</f>
        <v>0</v>
      </c>
      <c r="Q714" s="16">
        <f>SUMIFS('Business - Dump'!$U:$U,'Business - Dump'!$D:$D,'SKU Repoprt'!$D714,'Business - Dump'!$A:$A,'SKU Repoprt'!Q$1)</f>
        <v>0</v>
      </c>
      <c r="R714" s="16">
        <f>SUMIFS('Business - Dump'!$U:$U,'Business - Dump'!$D:$D,'SKU Repoprt'!$D714,'Business - Dump'!$A:$A,'SKU Repoprt'!R$1)</f>
        <v>0</v>
      </c>
      <c r="S714" s="16">
        <f>SUMIFS('Business - Dump'!$U:$U,'Business - Dump'!$D:$D,'SKU Repoprt'!$D714,'Business - Dump'!$A:$A,'SKU Repoprt'!S$1)</f>
        <v>0</v>
      </c>
      <c r="T714" s="16">
        <f>SUMIFS('Business - Dump'!$U:$U,'Business - Dump'!$D:$D,'SKU Repoprt'!$D714,'Business - Dump'!$A:$A,'SKU Repoprt'!T$1)</f>
        <v>0</v>
      </c>
      <c r="U714" s="16">
        <f>SUMIFS('Business - Dump'!$U:$U,'Business - Dump'!$D:$D,'SKU Repoprt'!$D714,'Business - Dump'!$A:$A,'SKU Repoprt'!U$1)</f>
        <v>0</v>
      </c>
      <c r="V714" s="16">
        <f>SUMIFS('Business - Dump'!$U:$U,'Business - Dump'!$D:$D,'SKU Repoprt'!$D714,'Business - Dump'!$A:$A,'SKU Repoprt'!V$1)</f>
        <v>0</v>
      </c>
      <c r="W714" s="16">
        <f>SUMIFS('Business - Dump'!$U:$U,'Business - Dump'!$D:$D,'SKU Repoprt'!$D714,'Business - Dump'!$A:$A,'SKU Repoprt'!W$1)</f>
        <v>0</v>
      </c>
    </row>
    <row r="715" ht="15.75" customHeight="1">
      <c r="A715" s="10" t="s">
        <v>119</v>
      </c>
      <c r="B715" s="10" t="s">
        <v>119</v>
      </c>
      <c r="C715" s="10"/>
      <c r="D715" s="10" t="s">
        <v>425</v>
      </c>
      <c r="E715" s="10" t="s">
        <v>29</v>
      </c>
      <c r="F715" s="17">
        <v>0.027042857142857143</v>
      </c>
      <c r="G715" s="17">
        <f t="shared" ref="G715:W715" si="238">IFERROR(G713/G710,0)</f>
        <v>0</v>
      </c>
      <c r="H715" s="17">
        <f t="shared" si="238"/>
        <v>0</v>
      </c>
      <c r="I715" s="17">
        <f t="shared" si="238"/>
        <v>0</v>
      </c>
      <c r="J715" s="17">
        <f t="shared" si="238"/>
        <v>0</v>
      </c>
      <c r="K715" s="17">
        <f t="shared" si="238"/>
        <v>0</v>
      </c>
      <c r="L715" s="17">
        <f t="shared" si="238"/>
        <v>0</v>
      </c>
      <c r="M715" s="17">
        <f t="shared" si="238"/>
        <v>0</v>
      </c>
      <c r="N715" s="17">
        <f t="shared" si="238"/>
        <v>0</v>
      </c>
      <c r="O715" s="17">
        <f t="shared" si="238"/>
        <v>0</v>
      </c>
      <c r="P715" s="17">
        <f t="shared" si="238"/>
        <v>0</v>
      </c>
      <c r="Q715" s="17">
        <f t="shared" si="238"/>
        <v>0</v>
      </c>
      <c r="R715" s="17">
        <f t="shared" si="238"/>
        <v>0</v>
      </c>
      <c r="S715" s="17">
        <f t="shared" si="238"/>
        <v>0</v>
      </c>
      <c r="T715" s="17">
        <f t="shared" si="238"/>
        <v>0</v>
      </c>
      <c r="U715" s="17">
        <f t="shared" si="238"/>
        <v>0</v>
      </c>
      <c r="V715" s="17">
        <f t="shared" si="238"/>
        <v>0</v>
      </c>
      <c r="W715" s="17">
        <f t="shared" si="238"/>
        <v>0</v>
      </c>
    </row>
    <row r="716" ht="15.75" customHeight="1">
      <c r="A716" s="10" t="s">
        <v>119</v>
      </c>
      <c r="B716" s="10" t="s">
        <v>119</v>
      </c>
      <c r="C716" s="10"/>
      <c r="D716" s="10" t="s">
        <v>428</v>
      </c>
      <c r="E716" s="10" t="s">
        <v>257</v>
      </c>
      <c r="F716" s="3">
        <f t="shared" ref="F716:F720" si="239">SUM(G716:S716)</f>
        <v>2</v>
      </c>
      <c r="G716" s="3">
        <f>SUMIFS('Business - Dump'!$G:$G,'Business - Dump'!$D:$D,'SKU Repoprt'!$D716,'Business - Dump'!$A:$A,'SKU Repoprt'!G$1)</f>
        <v>0</v>
      </c>
      <c r="H716" s="3">
        <f>SUMIFS('Business - Dump'!$G:$G,'Business - Dump'!$D:$D,'SKU Repoprt'!$D716,'Business - Dump'!$A:$A,'SKU Repoprt'!H$1)</f>
        <v>0</v>
      </c>
      <c r="I716" s="3">
        <f>SUMIFS('Business - Dump'!$G:$G,'Business - Dump'!$D:$D,'SKU Repoprt'!$D716,'Business - Dump'!$A:$A,'SKU Repoprt'!I$1)</f>
        <v>0</v>
      </c>
      <c r="J716" s="3">
        <f>SUMIFS('Business - Dump'!$G:$G,'Business - Dump'!$D:$D,'SKU Repoprt'!$D716,'Business - Dump'!$A:$A,'SKU Repoprt'!J$1)</f>
        <v>0</v>
      </c>
      <c r="K716" s="3">
        <f>SUMIFS('Business - Dump'!$G:$G,'Business - Dump'!$D:$D,'SKU Repoprt'!$D716,'Business - Dump'!$A:$A,'SKU Repoprt'!K$1)</f>
        <v>0</v>
      </c>
      <c r="L716" s="3">
        <f>SUMIFS('Business - Dump'!$G:$G,'Business - Dump'!$D:$D,'SKU Repoprt'!$D716,'Business - Dump'!$A:$A,'SKU Repoprt'!L$1)</f>
        <v>0</v>
      </c>
      <c r="M716" s="3">
        <f>SUMIFS('Business - Dump'!$G:$G,'Business - Dump'!$D:$D,'SKU Repoprt'!$D716,'Business - Dump'!$A:$A,'SKU Repoprt'!M$1)</f>
        <v>0</v>
      </c>
      <c r="N716" s="3">
        <f>SUMIFS('Business - Dump'!$G:$G,'Business - Dump'!$D:$D,'SKU Repoprt'!$D716,'Business - Dump'!$A:$A,'SKU Repoprt'!N$1)</f>
        <v>0</v>
      </c>
      <c r="O716" s="3">
        <f>SUMIFS('Business - Dump'!$G:$G,'Business - Dump'!$D:$D,'SKU Repoprt'!$D716,'Business - Dump'!$A:$A,'SKU Repoprt'!O$1)</f>
        <v>0</v>
      </c>
      <c r="P716" s="3">
        <f>SUMIFS('Business - Dump'!$G:$G,'Business - Dump'!$D:$D,'SKU Repoprt'!$D716,'Business - Dump'!$A:$A,'SKU Repoprt'!P$1)</f>
        <v>2</v>
      </c>
      <c r="Q716" s="3">
        <f>SUMIFS('Business - Dump'!$G:$G,'Business - Dump'!$D:$D,'SKU Repoprt'!$D716,'Business - Dump'!$A:$A,'SKU Repoprt'!Q$1)</f>
        <v>0</v>
      </c>
      <c r="R716" s="3">
        <f>SUMIFS('Business - Dump'!$G:$G,'Business - Dump'!$D:$D,'SKU Repoprt'!$D716,'Business - Dump'!$A:$A,'SKU Repoprt'!R$1)</f>
        <v>0</v>
      </c>
      <c r="S716" s="3">
        <f>SUMIFS('Business - Dump'!$G:$G,'Business - Dump'!$D:$D,'SKU Repoprt'!$D716,'Business - Dump'!$A:$A,'SKU Repoprt'!S$1)</f>
        <v>0</v>
      </c>
      <c r="T716" s="3">
        <f>SUMIFS('Business - Dump'!$G:$G,'Business - Dump'!$D:$D,'SKU Repoprt'!$D716,'Business - Dump'!$A:$A,'SKU Repoprt'!T$1)</f>
        <v>0</v>
      </c>
      <c r="U716" s="3">
        <f>SUMIFS('Business - Dump'!$G:$G,'Business - Dump'!$D:$D,'SKU Repoprt'!$D716,'Business - Dump'!$A:$A,'SKU Repoprt'!U$1)</f>
        <v>0</v>
      </c>
      <c r="V716" s="3">
        <f>SUMIFS('Business - Dump'!$G:$G,'Business - Dump'!$D:$D,'SKU Repoprt'!$D716,'Business - Dump'!$A:$A,'SKU Repoprt'!V$1)</f>
        <v>0</v>
      </c>
      <c r="W716" s="3">
        <f>SUMIFS('Business - Dump'!$G:$G,'Business - Dump'!$D:$D,'SKU Repoprt'!$D716,'Business - Dump'!$A:$A,'SKU Repoprt'!W$1)</f>
        <v>0</v>
      </c>
    </row>
    <row r="717" ht="15.75" customHeight="1">
      <c r="A717" s="10" t="s">
        <v>119</v>
      </c>
      <c r="B717" s="10" t="s">
        <v>119</v>
      </c>
      <c r="C717" s="10"/>
      <c r="D717" s="10" t="s">
        <v>428</v>
      </c>
      <c r="E717" s="10" t="s">
        <v>260</v>
      </c>
      <c r="F717" s="3">
        <f t="shared" si="239"/>
        <v>4</v>
      </c>
      <c r="G717" s="3">
        <f>SUMIFS('Business - Dump'!$K:$K,'Business - Dump'!$D:$D,'SKU Repoprt'!$D717,'Business - Dump'!$A:$A,'SKU Repoprt'!G$1)</f>
        <v>0</v>
      </c>
      <c r="H717" s="3">
        <f>SUMIFS('Business - Dump'!$K:$K,'Business - Dump'!$D:$D,'SKU Repoprt'!$D717,'Business - Dump'!$A:$A,'SKU Repoprt'!H$1)</f>
        <v>0</v>
      </c>
      <c r="I717" s="3">
        <f>SUMIFS('Business - Dump'!$K:$K,'Business - Dump'!$D:$D,'SKU Repoprt'!$D717,'Business - Dump'!$A:$A,'SKU Repoprt'!I$1)</f>
        <v>0</v>
      </c>
      <c r="J717" s="3">
        <f>SUMIFS('Business - Dump'!$K:$K,'Business - Dump'!$D:$D,'SKU Repoprt'!$D717,'Business - Dump'!$A:$A,'SKU Repoprt'!J$1)</f>
        <v>0</v>
      </c>
      <c r="K717" s="3">
        <f>SUMIFS('Business - Dump'!$K:$K,'Business - Dump'!$D:$D,'SKU Repoprt'!$D717,'Business - Dump'!$A:$A,'SKU Repoprt'!K$1)</f>
        <v>0</v>
      </c>
      <c r="L717" s="3">
        <f>SUMIFS('Business - Dump'!$K:$K,'Business - Dump'!$D:$D,'SKU Repoprt'!$D717,'Business - Dump'!$A:$A,'SKU Repoprt'!L$1)</f>
        <v>0</v>
      </c>
      <c r="M717" s="3">
        <f>SUMIFS('Business - Dump'!$K:$K,'Business - Dump'!$D:$D,'SKU Repoprt'!$D717,'Business - Dump'!$A:$A,'SKU Repoprt'!M$1)</f>
        <v>0</v>
      </c>
      <c r="N717" s="3">
        <f>SUMIFS('Business - Dump'!$K:$K,'Business - Dump'!$D:$D,'SKU Repoprt'!$D717,'Business - Dump'!$A:$A,'SKU Repoprt'!N$1)</f>
        <v>0</v>
      </c>
      <c r="O717" s="3">
        <f>SUMIFS('Business - Dump'!$K:$K,'Business - Dump'!$D:$D,'SKU Repoprt'!$D717,'Business - Dump'!$A:$A,'SKU Repoprt'!O$1)</f>
        <v>0</v>
      </c>
      <c r="P717" s="3">
        <f>SUMIFS('Business - Dump'!$K:$K,'Business - Dump'!$D:$D,'SKU Repoprt'!$D717,'Business - Dump'!$A:$A,'SKU Repoprt'!P$1)</f>
        <v>4</v>
      </c>
      <c r="Q717" s="3">
        <f>SUMIFS('Business - Dump'!$K:$K,'Business - Dump'!$D:$D,'SKU Repoprt'!$D717,'Business - Dump'!$A:$A,'SKU Repoprt'!Q$1)</f>
        <v>0</v>
      </c>
      <c r="R717" s="3">
        <f>SUMIFS('Business - Dump'!$K:$K,'Business - Dump'!$D:$D,'SKU Repoprt'!$D717,'Business - Dump'!$A:$A,'SKU Repoprt'!R$1)</f>
        <v>0</v>
      </c>
      <c r="S717" s="3">
        <f>SUMIFS('Business - Dump'!$K:$K,'Business - Dump'!$D:$D,'SKU Repoprt'!$D717,'Business - Dump'!$A:$A,'SKU Repoprt'!S$1)</f>
        <v>0</v>
      </c>
      <c r="T717" s="3">
        <f>SUMIFS('Business - Dump'!$K:$K,'Business - Dump'!$D:$D,'SKU Repoprt'!$D717,'Business - Dump'!$A:$A,'SKU Repoprt'!T$1)</f>
        <v>0</v>
      </c>
      <c r="U717" s="3">
        <f>SUMIFS('Business - Dump'!$K:$K,'Business - Dump'!$D:$D,'SKU Repoprt'!$D717,'Business - Dump'!$A:$A,'SKU Repoprt'!U$1)</f>
        <v>0</v>
      </c>
      <c r="V717" s="3">
        <f>SUMIFS('Business - Dump'!$K:$K,'Business - Dump'!$D:$D,'SKU Repoprt'!$D717,'Business - Dump'!$A:$A,'SKU Repoprt'!V$1)</f>
        <v>0</v>
      </c>
      <c r="W717" s="3">
        <f>SUMIFS('Business - Dump'!$K:$K,'Business - Dump'!$D:$D,'SKU Repoprt'!$D717,'Business - Dump'!$A:$A,'SKU Repoprt'!W$1)</f>
        <v>0</v>
      </c>
    </row>
    <row r="718" ht="15.75" customHeight="1">
      <c r="A718" s="10" t="s">
        <v>119</v>
      </c>
      <c r="B718" s="10" t="s">
        <v>119</v>
      </c>
      <c r="C718" s="10"/>
      <c r="D718" s="10" t="s">
        <v>428</v>
      </c>
      <c r="E718" s="10" t="s">
        <v>264</v>
      </c>
      <c r="F718" s="3">
        <f t="shared" si="239"/>
        <v>0</v>
      </c>
      <c r="G718" s="3">
        <f>SUMIFS('Business - Dump'!$Q:$Q,'Business - Dump'!$D:$D,'SKU Repoprt'!$D718,'Business - Dump'!$A:$A,'SKU Repoprt'!G$1)</f>
        <v>0</v>
      </c>
      <c r="H718" s="3">
        <f>SUMIFS('Business - Dump'!$Q:$Q,'Business - Dump'!$D:$D,'SKU Repoprt'!$D718,'Business - Dump'!$A:$A,'SKU Repoprt'!H$1)</f>
        <v>0</v>
      </c>
      <c r="I718" s="3">
        <f>SUMIFS('Business - Dump'!$Q:$Q,'Business - Dump'!$D:$D,'SKU Repoprt'!$D718,'Business - Dump'!$A:$A,'SKU Repoprt'!I$1)</f>
        <v>0</v>
      </c>
      <c r="J718" s="3">
        <f>SUMIFS('Business - Dump'!$Q:$Q,'Business - Dump'!$D:$D,'SKU Repoprt'!$D718,'Business - Dump'!$A:$A,'SKU Repoprt'!J$1)</f>
        <v>0</v>
      </c>
      <c r="K718" s="3">
        <f>SUMIFS('Business - Dump'!$Q:$Q,'Business - Dump'!$D:$D,'SKU Repoprt'!$D718,'Business - Dump'!$A:$A,'SKU Repoprt'!K$1)</f>
        <v>0</v>
      </c>
      <c r="L718" s="3">
        <f>SUMIFS('Business - Dump'!$Q:$Q,'Business - Dump'!$D:$D,'SKU Repoprt'!$D718,'Business - Dump'!$A:$A,'SKU Repoprt'!L$1)</f>
        <v>0</v>
      </c>
      <c r="M718" s="3">
        <f>SUMIFS('Business - Dump'!$Q:$Q,'Business - Dump'!$D:$D,'SKU Repoprt'!$D718,'Business - Dump'!$A:$A,'SKU Repoprt'!M$1)</f>
        <v>0</v>
      </c>
      <c r="N718" s="3">
        <f>SUMIFS('Business - Dump'!$Q:$Q,'Business - Dump'!$D:$D,'SKU Repoprt'!$D718,'Business - Dump'!$A:$A,'SKU Repoprt'!N$1)</f>
        <v>0</v>
      </c>
      <c r="O718" s="3">
        <f>SUMIFS('Business - Dump'!$Q:$Q,'Business - Dump'!$D:$D,'SKU Repoprt'!$D718,'Business - Dump'!$A:$A,'SKU Repoprt'!O$1)</f>
        <v>0</v>
      </c>
      <c r="P718" s="3">
        <f>SUMIFS('Business - Dump'!$Q:$Q,'Business - Dump'!$D:$D,'SKU Repoprt'!$D718,'Business - Dump'!$A:$A,'SKU Repoprt'!P$1)</f>
        <v>0</v>
      </c>
      <c r="Q718" s="3">
        <f>SUMIFS('Business - Dump'!$Q:$Q,'Business - Dump'!$D:$D,'SKU Repoprt'!$D718,'Business - Dump'!$A:$A,'SKU Repoprt'!Q$1)</f>
        <v>0</v>
      </c>
      <c r="R718" s="3">
        <f>SUMIFS('Business - Dump'!$Q:$Q,'Business - Dump'!$D:$D,'SKU Repoprt'!$D718,'Business - Dump'!$A:$A,'SKU Repoprt'!R$1)</f>
        <v>0</v>
      </c>
      <c r="S718" s="3">
        <f>SUMIFS('Business - Dump'!$Q:$Q,'Business - Dump'!$D:$D,'SKU Repoprt'!$D718,'Business - Dump'!$A:$A,'SKU Repoprt'!S$1)</f>
        <v>0</v>
      </c>
      <c r="T718" s="3">
        <f>SUMIFS('Business - Dump'!$Q:$Q,'Business - Dump'!$D:$D,'SKU Repoprt'!$D718,'Business - Dump'!$A:$A,'SKU Repoprt'!T$1)</f>
        <v>0</v>
      </c>
      <c r="U718" s="3">
        <f>SUMIFS('Business - Dump'!$Q:$Q,'Business - Dump'!$D:$D,'SKU Repoprt'!$D718,'Business - Dump'!$A:$A,'SKU Repoprt'!U$1)</f>
        <v>0</v>
      </c>
      <c r="V718" s="3">
        <f>SUMIFS('Business - Dump'!$Q:$Q,'Business - Dump'!$D:$D,'SKU Repoprt'!$D718,'Business - Dump'!$A:$A,'SKU Repoprt'!V$1)</f>
        <v>0</v>
      </c>
      <c r="W718" s="3">
        <f>SUMIFS('Business - Dump'!$Q:$Q,'Business - Dump'!$D:$D,'SKU Repoprt'!$D718,'Business - Dump'!$A:$A,'SKU Repoprt'!W$1)</f>
        <v>0</v>
      </c>
    </row>
    <row r="719" ht="15.75" customHeight="1">
      <c r="A719" s="10" t="s">
        <v>119</v>
      </c>
      <c r="B719" s="10" t="s">
        <v>119</v>
      </c>
      <c r="C719" s="10"/>
      <c r="D719" s="10" t="s">
        <v>428</v>
      </c>
      <c r="E719" s="10" t="s">
        <v>268</v>
      </c>
      <c r="F719" s="3">
        <f t="shared" si="239"/>
        <v>0</v>
      </c>
      <c r="G719" s="3">
        <f>SUMIFS('Business - Dump'!$W:$W,'Business - Dump'!$D:$D,'SKU Repoprt'!$D719,'Business - Dump'!$A:$A,'SKU Repoprt'!G$1)</f>
        <v>0</v>
      </c>
      <c r="H719" s="3">
        <f>SUMIFS('Business - Dump'!$W:$W,'Business - Dump'!$D:$D,'SKU Repoprt'!$D719,'Business - Dump'!$A:$A,'SKU Repoprt'!H$1)</f>
        <v>0</v>
      </c>
      <c r="I719" s="3">
        <f>SUMIFS('Business - Dump'!$W:$W,'Business - Dump'!$D:$D,'SKU Repoprt'!$D719,'Business - Dump'!$A:$A,'SKU Repoprt'!I$1)</f>
        <v>0</v>
      </c>
      <c r="J719" s="3">
        <f>SUMIFS('Business - Dump'!$W:$W,'Business - Dump'!$D:$D,'SKU Repoprt'!$D719,'Business - Dump'!$A:$A,'SKU Repoprt'!J$1)</f>
        <v>0</v>
      </c>
      <c r="K719" s="3">
        <f>SUMIFS('Business - Dump'!$W:$W,'Business - Dump'!$D:$D,'SKU Repoprt'!$D719,'Business - Dump'!$A:$A,'SKU Repoprt'!K$1)</f>
        <v>0</v>
      </c>
      <c r="L719" s="3">
        <f>SUMIFS('Business - Dump'!$W:$W,'Business - Dump'!$D:$D,'SKU Repoprt'!$D719,'Business - Dump'!$A:$A,'SKU Repoprt'!L$1)</f>
        <v>0</v>
      </c>
      <c r="M719" s="3">
        <f>SUMIFS('Business - Dump'!$W:$W,'Business - Dump'!$D:$D,'SKU Repoprt'!$D719,'Business - Dump'!$A:$A,'SKU Repoprt'!M$1)</f>
        <v>0</v>
      </c>
      <c r="N719" s="3">
        <f>SUMIFS('Business - Dump'!$W:$W,'Business - Dump'!$D:$D,'SKU Repoprt'!$D719,'Business - Dump'!$A:$A,'SKU Repoprt'!N$1)</f>
        <v>0</v>
      </c>
      <c r="O719" s="3">
        <f>SUMIFS('Business - Dump'!$W:$W,'Business - Dump'!$D:$D,'SKU Repoprt'!$D719,'Business - Dump'!$A:$A,'SKU Repoprt'!O$1)</f>
        <v>0</v>
      </c>
      <c r="P719" s="3">
        <f>SUMIFS('Business - Dump'!$W:$W,'Business - Dump'!$D:$D,'SKU Repoprt'!$D719,'Business - Dump'!$A:$A,'SKU Repoprt'!P$1)</f>
        <v>0</v>
      </c>
      <c r="Q719" s="3">
        <f>SUMIFS('Business - Dump'!$W:$W,'Business - Dump'!$D:$D,'SKU Repoprt'!$D719,'Business - Dump'!$A:$A,'SKU Repoprt'!Q$1)</f>
        <v>0</v>
      </c>
      <c r="R719" s="3">
        <f>SUMIFS('Business - Dump'!$W:$W,'Business - Dump'!$D:$D,'SKU Repoprt'!$D719,'Business - Dump'!$A:$A,'SKU Repoprt'!R$1)</f>
        <v>0</v>
      </c>
      <c r="S719" s="3">
        <f>SUMIFS('Business - Dump'!$W:$W,'Business - Dump'!$D:$D,'SKU Repoprt'!$D719,'Business - Dump'!$A:$A,'SKU Repoprt'!S$1)</f>
        <v>0</v>
      </c>
      <c r="T719" s="3">
        <f>SUMIFS('Business - Dump'!$W:$W,'Business - Dump'!$D:$D,'SKU Repoprt'!$D719,'Business - Dump'!$A:$A,'SKU Repoprt'!T$1)</f>
        <v>0</v>
      </c>
      <c r="U719" s="3">
        <f>SUMIFS('Business - Dump'!$W:$W,'Business - Dump'!$D:$D,'SKU Repoprt'!$D719,'Business - Dump'!$A:$A,'SKU Repoprt'!U$1)</f>
        <v>0</v>
      </c>
      <c r="V719" s="3">
        <f>SUMIFS('Business - Dump'!$W:$W,'Business - Dump'!$D:$D,'SKU Repoprt'!$D719,'Business - Dump'!$A:$A,'SKU Repoprt'!V$1)</f>
        <v>0</v>
      </c>
      <c r="W719" s="3">
        <f>SUMIFS('Business - Dump'!$W:$W,'Business - Dump'!$D:$D,'SKU Repoprt'!$D719,'Business - Dump'!$A:$A,'SKU Repoprt'!W$1)</f>
        <v>0</v>
      </c>
    </row>
    <row r="720" ht="15.75" customHeight="1">
      <c r="A720" s="10" t="s">
        <v>119</v>
      </c>
      <c r="B720" s="10" t="s">
        <v>119</v>
      </c>
      <c r="C720" s="10"/>
      <c r="D720" s="10" t="s">
        <v>428</v>
      </c>
      <c r="E720" s="10" t="s">
        <v>26</v>
      </c>
      <c r="F720" s="16">
        <f t="shared" si="239"/>
        <v>0</v>
      </c>
      <c r="G720" s="16">
        <f>SUMIFS('Business - Dump'!$U:$U,'Business - Dump'!$D:$D,'SKU Repoprt'!$D720,'Business - Dump'!$A:$A,'SKU Repoprt'!G$1)</f>
        <v>0</v>
      </c>
      <c r="H720" s="16">
        <f>SUMIFS('Business - Dump'!$U:$U,'Business - Dump'!$D:$D,'SKU Repoprt'!$D720,'Business - Dump'!$A:$A,'SKU Repoprt'!H$1)</f>
        <v>0</v>
      </c>
      <c r="I720" s="16">
        <f>SUMIFS('Business - Dump'!$U:$U,'Business - Dump'!$D:$D,'SKU Repoprt'!$D720,'Business - Dump'!$A:$A,'SKU Repoprt'!I$1)</f>
        <v>0</v>
      </c>
      <c r="J720" s="16">
        <f>SUMIFS('Business - Dump'!$U:$U,'Business - Dump'!$D:$D,'SKU Repoprt'!$D720,'Business - Dump'!$A:$A,'SKU Repoprt'!J$1)</f>
        <v>0</v>
      </c>
      <c r="K720" s="16">
        <f>SUMIFS('Business - Dump'!$U:$U,'Business - Dump'!$D:$D,'SKU Repoprt'!$D720,'Business - Dump'!$A:$A,'SKU Repoprt'!K$1)</f>
        <v>0</v>
      </c>
      <c r="L720" s="16">
        <f>SUMIFS('Business - Dump'!$U:$U,'Business - Dump'!$D:$D,'SKU Repoprt'!$D720,'Business - Dump'!$A:$A,'SKU Repoprt'!L$1)</f>
        <v>0</v>
      </c>
      <c r="M720" s="16">
        <f>SUMIFS('Business - Dump'!$U:$U,'Business - Dump'!$D:$D,'SKU Repoprt'!$D720,'Business - Dump'!$A:$A,'SKU Repoprt'!M$1)</f>
        <v>0</v>
      </c>
      <c r="N720" s="16">
        <f>SUMIFS('Business - Dump'!$U:$U,'Business - Dump'!$D:$D,'SKU Repoprt'!$D720,'Business - Dump'!$A:$A,'SKU Repoprt'!N$1)</f>
        <v>0</v>
      </c>
      <c r="O720" s="16">
        <f>SUMIFS('Business - Dump'!$U:$U,'Business - Dump'!$D:$D,'SKU Repoprt'!$D720,'Business - Dump'!$A:$A,'SKU Repoprt'!O$1)</f>
        <v>0</v>
      </c>
      <c r="P720" s="16">
        <f>SUMIFS('Business - Dump'!$U:$U,'Business - Dump'!$D:$D,'SKU Repoprt'!$D720,'Business - Dump'!$A:$A,'SKU Repoprt'!P$1)</f>
        <v>0</v>
      </c>
      <c r="Q720" s="16">
        <f>SUMIFS('Business - Dump'!$U:$U,'Business - Dump'!$D:$D,'SKU Repoprt'!$D720,'Business - Dump'!$A:$A,'SKU Repoprt'!Q$1)</f>
        <v>0</v>
      </c>
      <c r="R720" s="16">
        <f>SUMIFS('Business - Dump'!$U:$U,'Business - Dump'!$D:$D,'SKU Repoprt'!$D720,'Business - Dump'!$A:$A,'SKU Repoprt'!R$1)</f>
        <v>0</v>
      </c>
      <c r="S720" s="16">
        <f>SUMIFS('Business - Dump'!$U:$U,'Business - Dump'!$D:$D,'SKU Repoprt'!$D720,'Business - Dump'!$A:$A,'SKU Repoprt'!S$1)</f>
        <v>0</v>
      </c>
      <c r="T720" s="16">
        <f>SUMIFS('Business - Dump'!$U:$U,'Business - Dump'!$D:$D,'SKU Repoprt'!$D720,'Business - Dump'!$A:$A,'SKU Repoprt'!T$1)</f>
        <v>0</v>
      </c>
      <c r="U720" s="16">
        <f>SUMIFS('Business - Dump'!$U:$U,'Business - Dump'!$D:$D,'SKU Repoprt'!$D720,'Business - Dump'!$A:$A,'SKU Repoprt'!U$1)</f>
        <v>0</v>
      </c>
      <c r="V720" s="16">
        <f>SUMIFS('Business - Dump'!$U:$U,'Business - Dump'!$D:$D,'SKU Repoprt'!$D720,'Business - Dump'!$A:$A,'SKU Repoprt'!V$1)</f>
        <v>0</v>
      </c>
      <c r="W720" s="16">
        <f>SUMIFS('Business - Dump'!$U:$U,'Business - Dump'!$D:$D,'SKU Repoprt'!$D720,'Business - Dump'!$A:$A,'SKU Repoprt'!W$1)</f>
        <v>0</v>
      </c>
    </row>
    <row r="721" ht="15.75" customHeight="1">
      <c r="A721" s="10" t="s">
        <v>119</v>
      </c>
      <c r="B721" s="10" t="s">
        <v>119</v>
      </c>
      <c r="C721" s="10"/>
      <c r="D721" s="10" t="s">
        <v>428</v>
      </c>
      <c r="E721" s="10" t="s">
        <v>29</v>
      </c>
      <c r="F721" s="17">
        <v>0.027042857142857143</v>
      </c>
      <c r="G721" s="17">
        <f t="shared" ref="G721:W721" si="240">IFERROR(G719/G716,0)</f>
        <v>0</v>
      </c>
      <c r="H721" s="17">
        <f t="shared" si="240"/>
        <v>0</v>
      </c>
      <c r="I721" s="17">
        <f t="shared" si="240"/>
        <v>0</v>
      </c>
      <c r="J721" s="17">
        <f t="shared" si="240"/>
        <v>0</v>
      </c>
      <c r="K721" s="17">
        <f t="shared" si="240"/>
        <v>0</v>
      </c>
      <c r="L721" s="17">
        <f t="shared" si="240"/>
        <v>0</v>
      </c>
      <c r="M721" s="17">
        <f t="shared" si="240"/>
        <v>0</v>
      </c>
      <c r="N721" s="17">
        <f t="shared" si="240"/>
        <v>0</v>
      </c>
      <c r="O721" s="17">
        <f t="shared" si="240"/>
        <v>0</v>
      </c>
      <c r="P721" s="17">
        <f t="shared" si="240"/>
        <v>0</v>
      </c>
      <c r="Q721" s="17">
        <f t="shared" si="240"/>
        <v>0</v>
      </c>
      <c r="R721" s="17">
        <f t="shared" si="240"/>
        <v>0</v>
      </c>
      <c r="S721" s="17">
        <f t="shared" si="240"/>
        <v>0</v>
      </c>
      <c r="T721" s="17">
        <f t="shared" si="240"/>
        <v>0</v>
      </c>
      <c r="U721" s="17">
        <f t="shared" si="240"/>
        <v>0</v>
      </c>
      <c r="V721" s="17">
        <f t="shared" si="240"/>
        <v>0</v>
      </c>
      <c r="W721" s="17">
        <f t="shared" si="240"/>
        <v>0</v>
      </c>
    </row>
    <row r="722" ht="15.75" customHeight="1">
      <c r="A722" s="10" t="s">
        <v>119</v>
      </c>
      <c r="B722" s="10" t="s">
        <v>119</v>
      </c>
      <c r="C722" s="10"/>
      <c r="D722" s="10" t="s">
        <v>431</v>
      </c>
      <c r="E722" s="10" t="s">
        <v>257</v>
      </c>
      <c r="F722" s="3">
        <f t="shared" ref="F722:F726" si="241">SUM(G722:S722)</f>
        <v>2</v>
      </c>
      <c r="G722" s="3">
        <f>SUMIFS('Business - Dump'!$G:$G,'Business - Dump'!$D:$D,'SKU Repoprt'!$D722,'Business - Dump'!$A:$A,'SKU Repoprt'!G$1)</f>
        <v>0</v>
      </c>
      <c r="H722" s="3">
        <f>SUMIFS('Business - Dump'!$G:$G,'Business - Dump'!$D:$D,'SKU Repoprt'!$D722,'Business - Dump'!$A:$A,'SKU Repoprt'!H$1)</f>
        <v>0</v>
      </c>
      <c r="I722" s="3">
        <f>SUMIFS('Business - Dump'!$G:$G,'Business - Dump'!$D:$D,'SKU Repoprt'!$D722,'Business - Dump'!$A:$A,'SKU Repoprt'!I$1)</f>
        <v>0</v>
      </c>
      <c r="J722" s="3">
        <f>SUMIFS('Business - Dump'!$G:$G,'Business - Dump'!$D:$D,'SKU Repoprt'!$D722,'Business - Dump'!$A:$A,'SKU Repoprt'!J$1)</f>
        <v>0</v>
      </c>
      <c r="K722" s="3">
        <f>SUMIFS('Business - Dump'!$G:$G,'Business - Dump'!$D:$D,'SKU Repoprt'!$D722,'Business - Dump'!$A:$A,'SKU Repoprt'!K$1)</f>
        <v>0</v>
      </c>
      <c r="L722" s="3">
        <f>SUMIFS('Business - Dump'!$G:$G,'Business - Dump'!$D:$D,'SKU Repoprt'!$D722,'Business - Dump'!$A:$A,'SKU Repoprt'!L$1)</f>
        <v>0</v>
      </c>
      <c r="M722" s="3">
        <f>SUMIFS('Business - Dump'!$G:$G,'Business - Dump'!$D:$D,'SKU Repoprt'!$D722,'Business - Dump'!$A:$A,'SKU Repoprt'!M$1)</f>
        <v>0</v>
      </c>
      <c r="N722" s="3">
        <f>SUMIFS('Business - Dump'!$G:$G,'Business - Dump'!$D:$D,'SKU Repoprt'!$D722,'Business - Dump'!$A:$A,'SKU Repoprt'!N$1)</f>
        <v>0</v>
      </c>
      <c r="O722" s="3">
        <f>SUMIFS('Business - Dump'!$G:$G,'Business - Dump'!$D:$D,'SKU Repoprt'!$D722,'Business - Dump'!$A:$A,'SKU Repoprt'!O$1)</f>
        <v>0</v>
      </c>
      <c r="P722" s="3">
        <f>SUMIFS('Business - Dump'!$G:$G,'Business - Dump'!$D:$D,'SKU Repoprt'!$D722,'Business - Dump'!$A:$A,'SKU Repoprt'!P$1)</f>
        <v>2</v>
      </c>
      <c r="Q722" s="3">
        <f>SUMIFS('Business - Dump'!$G:$G,'Business - Dump'!$D:$D,'SKU Repoprt'!$D722,'Business - Dump'!$A:$A,'SKU Repoprt'!Q$1)</f>
        <v>0</v>
      </c>
      <c r="R722" s="3">
        <f>SUMIFS('Business - Dump'!$G:$G,'Business - Dump'!$D:$D,'SKU Repoprt'!$D722,'Business - Dump'!$A:$A,'SKU Repoprt'!R$1)</f>
        <v>0</v>
      </c>
      <c r="S722" s="3">
        <f>SUMIFS('Business - Dump'!$G:$G,'Business - Dump'!$D:$D,'SKU Repoprt'!$D722,'Business - Dump'!$A:$A,'SKU Repoprt'!S$1)</f>
        <v>0</v>
      </c>
      <c r="T722" s="3">
        <f>SUMIFS('Business - Dump'!$G:$G,'Business - Dump'!$D:$D,'SKU Repoprt'!$D722,'Business - Dump'!$A:$A,'SKU Repoprt'!T$1)</f>
        <v>0</v>
      </c>
      <c r="U722" s="3">
        <f>SUMIFS('Business - Dump'!$G:$G,'Business - Dump'!$D:$D,'SKU Repoprt'!$D722,'Business - Dump'!$A:$A,'SKU Repoprt'!U$1)</f>
        <v>0</v>
      </c>
      <c r="V722" s="3">
        <f>SUMIFS('Business - Dump'!$G:$G,'Business - Dump'!$D:$D,'SKU Repoprt'!$D722,'Business - Dump'!$A:$A,'SKU Repoprt'!V$1)</f>
        <v>0</v>
      </c>
      <c r="W722" s="3">
        <f>SUMIFS('Business - Dump'!$G:$G,'Business - Dump'!$D:$D,'SKU Repoprt'!$D722,'Business - Dump'!$A:$A,'SKU Repoprt'!W$1)</f>
        <v>0</v>
      </c>
    </row>
    <row r="723" ht="15.75" customHeight="1">
      <c r="A723" s="10" t="s">
        <v>119</v>
      </c>
      <c r="B723" s="10" t="s">
        <v>119</v>
      </c>
      <c r="C723" s="10"/>
      <c r="D723" s="10" t="s">
        <v>431</v>
      </c>
      <c r="E723" s="10" t="s">
        <v>260</v>
      </c>
      <c r="F723" s="3">
        <f t="shared" si="241"/>
        <v>4</v>
      </c>
      <c r="G723" s="3">
        <f>SUMIFS('Business - Dump'!$K:$K,'Business - Dump'!$D:$D,'SKU Repoprt'!$D723,'Business - Dump'!$A:$A,'SKU Repoprt'!G$1)</f>
        <v>0</v>
      </c>
      <c r="H723" s="3">
        <f>SUMIFS('Business - Dump'!$K:$K,'Business - Dump'!$D:$D,'SKU Repoprt'!$D723,'Business - Dump'!$A:$A,'SKU Repoprt'!H$1)</f>
        <v>0</v>
      </c>
      <c r="I723" s="3">
        <f>SUMIFS('Business - Dump'!$K:$K,'Business - Dump'!$D:$D,'SKU Repoprt'!$D723,'Business - Dump'!$A:$A,'SKU Repoprt'!I$1)</f>
        <v>0</v>
      </c>
      <c r="J723" s="3">
        <f>SUMIFS('Business - Dump'!$K:$K,'Business - Dump'!$D:$D,'SKU Repoprt'!$D723,'Business - Dump'!$A:$A,'SKU Repoprt'!J$1)</f>
        <v>0</v>
      </c>
      <c r="K723" s="3">
        <f>SUMIFS('Business - Dump'!$K:$K,'Business - Dump'!$D:$D,'SKU Repoprt'!$D723,'Business - Dump'!$A:$A,'SKU Repoprt'!K$1)</f>
        <v>0</v>
      </c>
      <c r="L723" s="3">
        <f>SUMIFS('Business - Dump'!$K:$K,'Business - Dump'!$D:$D,'SKU Repoprt'!$D723,'Business - Dump'!$A:$A,'SKU Repoprt'!L$1)</f>
        <v>0</v>
      </c>
      <c r="M723" s="3">
        <f>SUMIFS('Business - Dump'!$K:$K,'Business - Dump'!$D:$D,'SKU Repoprt'!$D723,'Business - Dump'!$A:$A,'SKU Repoprt'!M$1)</f>
        <v>0</v>
      </c>
      <c r="N723" s="3">
        <f>SUMIFS('Business - Dump'!$K:$K,'Business - Dump'!$D:$D,'SKU Repoprt'!$D723,'Business - Dump'!$A:$A,'SKU Repoprt'!N$1)</f>
        <v>0</v>
      </c>
      <c r="O723" s="3">
        <f>SUMIFS('Business - Dump'!$K:$K,'Business - Dump'!$D:$D,'SKU Repoprt'!$D723,'Business - Dump'!$A:$A,'SKU Repoprt'!O$1)</f>
        <v>0</v>
      </c>
      <c r="P723" s="3">
        <f>SUMIFS('Business - Dump'!$K:$K,'Business - Dump'!$D:$D,'SKU Repoprt'!$D723,'Business - Dump'!$A:$A,'SKU Repoprt'!P$1)</f>
        <v>4</v>
      </c>
      <c r="Q723" s="3">
        <f>SUMIFS('Business - Dump'!$K:$K,'Business - Dump'!$D:$D,'SKU Repoprt'!$D723,'Business - Dump'!$A:$A,'SKU Repoprt'!Q$1)</f>
        <v>0</v>
      </c>
      <c r="R723" s="3">
        <f>SUMIFS('Business - Dump'!$K:$K,'Business - Dump'!$D:$D,'SKU Repoprt'!$D723,'Business - Dump'!$A:$A,'SKU Repoprt'!R$1)</f>
        <v>0</v>
      </c>
      <c r="S723" s="3">
        <f>SUMIFS('Business - Dump'!$K:$K,'Business - Dump'!$D:$D,'SKU Repoprt'!$D723,'Business - Dump'!$A:$A,'SKU Repoprt'!S$1)</f>
        <v>0</v>
      </c>
      <c r="T723" s="3">
        <f>SUMIFS('Business - Dump'!$K:$K,'Business - Dump'!$D:$D,'SKU Repoprt'!$D723,'Business - Dump'!$A:$A,'SKU Repoprt'!T$1)</f>
        <v>0</v>
      </c>
      <c r="U723" s="3">
        <f>SUMIFS('Business - Dump'!$K:$K,'Business - Dump'!$D:$D,'SKU Repoprt'!$D723,'Business - Dump'!$A:$A,'SKU Repoprt'!U$1)</f>
        <v>0</v>
      </c>
      <c r="V723" s="3">
        <f>SUMIFS('Business - Dump'!$K:$K,'Business - Dump'!$D:$D,'SKU Repoprt'!$D723,'Business - Dump'!$A:$A,'SKU Repoprt'!V$1)</f>
        <v>0</v>
      </c>
      <c r="W723" s="3">
        <f>SUMIFS('Business - Dump'!$K:$K,'Business - Dump'!$D:$D,'SKU Repoprt'!$D723,'Business - Dump'!$A:$A,'SKU Repoprt'!W$1)</f>
        <v>0</v>
      </c>
    </row>
    <row r="724" ht="15.75" customHeight="1">
      <c r="A724" s="10" t="s">
        <v>119</v>
      </c>
      <c r="B724" s="10" t="s">
        <v>119</v>
      </c>
      <c r="C724" s="10"/>
      <c r="D724" s="10" t="s">
        <v>431</v>
      </c>
      <c r="E724" s="10" t="s">
        <v>264</v>
      </c>
      <c r="F724" s="3">
        <f t="shared" si="241"/>
        <v>0</v>
      </c>
      <c r="G724" s="3">
        <f>SUMIFS('Business - Dump'!$Q:$Q,'Business - Dump'!$D:$D,'SKU Repoprt'!$D724,'Business - Dump'!$A:$A,'SKU Repoprt'!G$1)</f>
        <v>0</v>
      </c>
      <c r="H724" s="3">
        <f>SUMIFS('Business - Dump'!$Q:$Q,'Business - Dump'!$D:$D,'SKU Repoprt'!$D724,'Business - Dump'!$A:$A,'SKU Repoprt'!H$1)</f>
        <v>0</v>
      </c>
      <c r="I724" s="3">
        <f>SUMIFS('Business - Dump'!$Q:$Q,'Business - Dump'!$D:$D,'SKU Repoprt'!$D724,'Business - Dump'!$A:$A,'SKU Repoprt'!I$1)</f>
        <v>0</v>
      </c>
      <c r="J724" s="3">
        <f>SUMIFS('Business - Dump'!$Q:$Q,'Business - Dump'!$D:$D,'SKU Repoprt'!$D724,'Business - Dump'!$A:$A,'SKU Repoprt'!J$1)</f>
        <v>0</v>
      </c>
      <c r="K724" s="3">
        <f>SUMIFS('Business - Dump'!$Q:$Q,'Business - Dump'!$D:$D,'SKU Repoprt'!$D724,'Business - Dump'!$A:$A,'SKU Repoprt'!K$1)</f>
        <v>0</v>
      </c>
      <c r="L724" s="3">
        <f>SUMIFS('Business - Dump'!$Q:$Q,'Business - Dump'!$D:$D,'SKU Repoprt'!$D724,'Business - Dump'!$A:$A,'SKU Repoprt'!L$1)</f>
        <v>0</v>
      </c>
      <c r="M724" s="3">
        <f>SUMIFS('Business - Dump'!$Q:$Q,'Business - Dump'!$D:$D,'SKU Repoprt'!$D724,'Business - Dump'!$A:$A,'SKU Repoprt'!M$1)</f>
        <v>0</v>
      </c>
      <c r="N724" s="3">
        <f>SUMIFS('Business - Dump'!$Q:$Q,'Business - Dump'!$D:$D,'SKU Repoprt'!$D724,'Business - Dump'!$A:$A,'SKU Repoprt'!N$1)</f>
        <v>0</v>
      </c>
      <c r="O724" s="3">
        <f>SUMIFS('Business - Dump'!$Q:$Q,'Business - Dump'!$D:$D,'SKU Repoprt'!$D724,'Business - Dump'!$A:$A,'SKU Repoprt'!O$1)</f>
        <v>0</v>
      </c>
      <c r="P724" s="3">
        <f>SUMIFS('Business - Dump'!$Q:$Q,'Business - Dump'!$D:$D,'SKU Repoprt'!$D724,'Business - Dump'!$A:$A,'SKU Repoprt'!P$1)</f>
        <v>0</v>
      </c>
      <c r="Q724" s="3">
        <f>SUMIFS('Business - Dump'!$Q:$Q,'Business - Dump'!$D:$D,'SKU Repoprt'!$D724,'Business - Dump'!$A:$A,'SKU Repoprt'!Q$1)</f>
        <v>0</v>
      </c>
      <c r="R724" s="3">
        <f>SUMIFS('Business - Dump'!$Q:$Q,'Business - Dump'!$D:$D,'SKU Repoprt'!$D724,'Business - Dump'!$A:$A,'SKU Repoprt'!R$1)</f>
        <v>0</v>
      </c>
      <c r="S724" s="3">
        <f>SUMIFS('Business - Dump'!$Q:$Q,'Business - Dump'!$D:$D,'SKU Repoprt'!$D724,'Business - Dump'!$A:$A,'SKU Repoprt'!S$1)</f>
        <v>0</v>
      </c>
      <c r="T724" s="3">
        <f>SUMIFS('Business - Dump'!$Q:$Q,'Business - Dump'!$D:$D,'SKU Repoprt'!$D724,'Business - Dump'!$A:$A,'SKU Repoprt'!T$1)</f>
        <v>0</v>
      </c>
      <c r="U724" s="3">
        <f>SUMIFS('Business - Dump'!$Q:$Q,'Business - Dump'!$D:$D,'SKU Repoprt'!$D724,'Business - Dump'!$A:$A,'SKU Repoprt'!U$1)</f>
        <v>0</v>
      </c>
      <c r="V724" s="3">
        <f>SUMIFS('Business - Dump'!$Q:$Q,'Business - Dump'!$D:$D,'SKU Repoprt'!$D724,'Business - Dump'!$A:$A,'SKU Repoprt'!V$1)</f>
        <v>0</v>
      </c>
      <c r="W724" s="3">
        <f>SUMIFS('Business - Dump'!$Q:$Q,'Business - Dump'!$D:$D,'SKU Repoprt'!$D724,'Business - Dump'!$A:$A,'SKU Repoprt'!W$1)</f>
        <v>0</v>
      </c>
    </row>
    <row r="725" ht="15.75" customHeight="1">
      <c r="A725" s="10" t="s">
        <v>119</v>
      </c>
      <c r="B725" s="10" t="s">
        <v>119</v>
      </c>
      <c r="C725" s="10"/>
      <c r="D725" s="10" t="s">
        <v>431</v>
      </c>
      <c r="E725" s="10" t="s">
        <v>268</v>
      </c>
      <c r="F725" s="3">
        <f t="shared" si="241"/>
        <v>0</v>
      </c>
      <c r="G725" s="3">
        <f>SUMIFS('Business - Dump'!$W:$W,'Business - Dump'!$D:$D,'SKU Repoprt'!$D725,'Business - Dump'!$A:$A,'SKU Repoprt'!G$1)</f>
        <v>0</v>
      </c>
      <c r="H725" s="3">
        <f>SUMIFS('Business - Dump'!$W:$W,'Business - Dump'!$D:$D,'SKU Repoprt'!$D725,'Business - Dump'!$A:$A,'SKU Repoprt'!H$1)</f>
        <v>0</v>
      </c>
      <c r="I725" s="3">
        <f>SUMIFS('Business - Dump'!$W:$W,'Business - Dump'!$D:$D,'SKU Repoprt'!$D725,'Business - Dump'!$A:$A,'SKU Repoprt'!I$1)</f>
        <v>0</v>
      </c>
      <c r="J725" s="3">
        <f>SUMIFS('Business - Dump'!$W:$W,'Business - Dump'!$D:$D,'SKU Repoprt'!$D725,'Business - Dump'!$A:$A,'SKU Repoprt'!J$1)</f>
        <v>0</v>
      </c>
      <c r="K725" s="3">
        <f>SUMIFS('Business - Dump'!$W:$W,'Business - Dump'!$D:$D,'SKU Repoprt'!$D725,'Business - Dump'!$A:$A,'SKU Repoprt'!K$1)</f>
        <v>0</v>
      </c>
      <c r="L725" s="3">
        <f>SUMIFS('Business - Dump'!$W:$W,'Business - Dump'!$D:$D,'SKU Repoprt'!$D725,'Business - Dump'!$A:$A,'SKU Repoprt'!L$1)</f>
        <v>0</v>
      </c>
      <c r="M725" s="3">
        <f>SUMIFS('Business - Dump'!$W:$W,'Business - Dump'!$D:$D,'SKU Repoprt'!$D725,'Business - Dump'!$A:$A,'SKU Repoprt'!M$1)</f>
        <v>0</v>
      </c>
      <c r="N725" s="3">
        <f>SUMIFS('Business - Dump'!$W:$W,'Business - Dump'!$D:$D,'SKU Repoprt'!$D725,'Business - Dump'!$A:$A,'SKU Repoprt'!N$1)</f>
        <v>0</v>
      </c>
      <c r="O725" s="3">
        <f>SUMIFS('Business - Dump'!$W:$W,'Business - Dump'!$D:$D,'SKU Repoprt'!$D725,'Business - Dump'!$A:$A,'SKU Repoprt'!O$1)</f>
        <v>0</v>
      </c>
      <c r="P725" s="3">
        <f>SUMIFS('Business - Dump'!$W:$W,'Business - Dump'!$D:$D,'SKU Repoprt'!$D725,'Business - Dump'!$A:$A,'SKU Repoprt'!P$1)</f>
        <v>0</v>
      </c>
      <c r="Q725" s="3">
        <f>SUMIFS('Business - Dump'!$W:$W,'Business - Dump'!$D:$D,'SKU Repoprt'!$D725,'Business - Dump'!$A:$A,'SKU Repoprt'!Q$1)</f>
        <v>0</v>
      </c>
      <c r="R725" s="3">
        <f>SUMIFS('Business - Dump'!$W:$W,'Business - Dump'!$D:$D,'SKU Repoprt'!$D725,'Business - Dump'!$A:$A,'SKU Repoprt'!R$1)</f>
        <v>0</v>
      </c>
      <c r="S725" s="3">
        <f>SUMIFS('Business - Dump'!$W:$W,'Business - Dump'!$D:$D,'SKU Repoprt'!$D725,'Business - Dump'!$A:$A,'SKU Repoprt'!S$1)</f>
        <v>0</v>
      </c>
      <c r="T725" s="3">
        <f>SUMIFS('Business - Dump'!$W:$W,'Business - Dump'!$D:$D,'SKU Repoprt'!$D725,'Business - Dump'!$A:$A,'SKU Repoprt'!T$1)</f>
        <v>0</v>
      </c>
      <c r="U725" s="3">
        <f>SUMIFS('Business - Dump'!$W:$W,'Business - Dump'!$D:$D,'SKU Repoprt'!$D725,'Business - Dump'!$A:$A,'SKU Repoprt'!U$1)</f>
        <v>0</v>
      </c>
      <c r="V725" s="3">
        <f>SUMIFS('Business - Dump'!$W:$W,'Business - Dump'!$D:$D,'SKU Repoprt'!$D725,'Business - Dump'!$A:$A,'SKU Repoprt'!V$1)</f>
        <v>0</v>
      </c>
      <c r="W725" s="3">
        <f>SUMIFS('Business - Dump'!$W:$W,'Business - Dump'!$D:$D,'SKU Repoprt'!$D725,'Business - Dump'!$A:$A,'SKU Repoprt'!W$1)</f>
        <v>0</v>
      </c>
    </row>
    <row r="726" ht="15.75" customHeight="1">
      <c r="A726" s="10" t="s">
        <v>119</v>
      </c>
      <c r="B726" s="10" t="s">
        <v>119</v>
      </c>
      <c r="C726" s="10"/>
      <c r="D726" s="10" t="s">
        <v>431</v>
      </c>
      <c r="E726" s="10" t="s">
        <v>26</v>
      </c>
      <c r="F726" s="16">
        <f t="shared" si="241"/>
        <v>0</v>
      </c>
      <c r="G726" s="16">
        <f>SUMIFS('Business - Dump'!$U:$U,'Business - Dump'!$D:$D,'SKU Repoprt'!$D726,'Business - Dump'!$A:$A,'SKU Repoprt'!G$1)</f>
        <v>0</v>
      </c>
      <c r="H726" s="16">
        <f>SUMIFS('Business - Dump'!$U:$U,'Business - Dump'!$D:$D,'SKU Repoprt'!$D726,'Business - Dump'!$A:$A,'SKU Repoprt'!H$1)</f>
        <v>0</v>
      </c>
      <c r="I726" s="16">
        <f>SUMIFS('Business - Dump'!$U:$U,'Business - Dump'!$D:$D,'SKU Repoprt'!$D726,'Business - Dump'!$A:$A,'SKU Repoprt'!I$1)</f>
        <v>0</v>
      </c>
      <c r="J726" s="16">
        <f>SUMIFS('Business - Dump'!$U:$U,'Business - Dump'!$D:$D,'SKU Repoprt'!$D726,'Business - Dump'!$A:$A,'SKU Repoprt'!J$1)</f>
        <v>0</v>
      </c>
      <c r="K726" s="16">
        <f>SUMIFS('Business - Dump'!$U:$U,'Business - Dump'!$D:$D,'SKU Repoprt'!$D726,'Business - Dump'!$A:$A,'SKU Repoprt'!K$1)</f>
        <v>0</v>
      </c>
      <c r="L726" s="16">
        <f>SUMIFS('Business - Dump'!$U:$U,'Business - Dump'!$D:$D,'SKU Repoprt'!$D726,'Business - Dump'!$A:$A,'SKU Repoprt'!L$1)</f>
        <v>0</v>
      </c>
      <c r="M726" s="16">
        <f>SUMIFS('Business - Dump'!$U:$U,'Business - Dump'!$D:$D,'SKU Repoprt'!$D726,'Business - Dump'!$A:$A,'SKU Repoprt'!M$1)</f>
        <v>0</v>
      </c>
      <c r="N726" s="16">
        <f>SUMIFS('Business - Dump'!$U:$U,'Business - Dump'!$D:$D,'SKU Repoprt'!$D726,'Business - Dump'!$A:$A,'SKU Repoprt'!N$1)</f>
        <v>0</v>
      </c>
      <c r="O726" s="16">
        <f>SUMIFS('Business - Dump'!$U:$U,'Business - Dump'!$D:$D,'SKU Repoprt'!$D726,'Business - Dump'!$A:$A,'SKU Repoprt'!O$1)</f>
        <v>0</v>
      </c>
      <c r="P726" s="16">
        <f>SUMIFS('Business - Dump'!$U:$U,'Business - Dump'!$D:$D,'SKU Repoprt'!$D726,'Business - Dump'!$A:$A,'SKU Repoprt'!P$1)</f>
        <v>0</v>
      </c>
      <c r="Q726" s="16">
        <f>SUMIFS('Business - Dump'!$U:$U,'Business - Dump'!$D:$D,'SKU Repoprt'!$D726,'Business - Dump'!$A:$A,'SKU Repoprt'!Q$1)</f>
        <v>0</v>
      </c>
      <c r="R726" s="16">
        <f>SUMIFS('Business - Dump'!$U:$U,'Business - Dump'!$D:$D,'SKU Repoprt'!$D726,'Business - Dump'!$A:$A,'SKU Repoprt'!R$1)</f>
        <v>0</v>
      </c>
      <c r="S726" s="16">
        <f>SUMIFS('Business - Dump'!$U:$U,'Business - Dump'!$D:$D,'SKU Repoprt'!$D726,'Business - Dump'!$A:$A,'SKU Repoprt'!S$1)</f>
        <v>0</v>
      </c>
      <c r="T726" s="16">
        <f>SUMIFS('Business - Dump'!$U:$U,'Business - Dump'!$D:$D,'SKU Repoprt'!$D726,'Business - Dump'!$A:$A,'SKU Repoprt'!T$1)</f>
        <v>0</v>
      </c>
      <c r="U726" s="16">
        <f>SUMIFS('Business - Dump'!$U:$U,'Business - Dump'!$D:$D,'SKU Repoprt'!$D726,'Business - Dump'!$A:$A,'SKU Repoprt'!U$1)</f>
        <v>0</v>
      </c>
      <c r="V726" s="16">
        <f>SUMIFS('Business - Dump'!$U:$U,'Business - Dump'!$D:$D,'SKU Repoprt'!$D726,'Business - Dump'!$A:$A,'SKU Repoprt'!V$1)</f>
        <v>0</v>
      </c>
      <c r="W726" s="16">
        <f>SUMIFS('Business - Dump'!$U:$U,'Business - Dump'!$D:$D,'SKU Repoprt'!$D726,'Business - Dump'!$A:$A,'SKU Repoprt'!W$1)</f>
        <v>0</v>
      </c>
    </row>
    <row r="727" ht="15.75" customHeight="1">
      <c r="A727" s="10" t="s">
        <v>119</v>
      </c>
      <c r="B727" s="10" t="s">
        <v>119</v>
      </c>
      <c r="C727" s="10"/>
      <c r="D727" s="10" t="s">
        <v>431</v>
      </c>
      <c r="E727" s="10" t="s">
        <v>29</v>
      </c>
      <c r="F727" s="17">
        <v>0.027042857142857143</v>
      </c>
      <c r="G727" s="17">
        <f t="shared" ref="G727:W727" si="242">IFERROR(G725/G722,0)</f>
        <v>0</v>
      </c>
      <c r="H727" s="17">
        <f t="shared" si="242"/>
        <v>0</v>
      </c>
      <c r="I727" s="17">
        <f t="shared" si="242"/>
        <v>0</v>
      </c>
      <c r="J727" s="17">
        <f t="shared" si="242"/>
        <v>0</v>
      </c>
      <c r="K727" s="17">
        <f t="shared" si="242"/>
        <v>0</v>
      </c>
      <c r="L727" s="17">
        <f t="shared" si="242"/>
        <v>0</v>
      </c>
      <c r="M727" s="17">
        <f t="shared" si="242"/>
        <v>0</v>
      </c>
      <c r="N727" s="17">
        <f t="shared" si="242"/>
        <v>0</v>
      </c>
      <c r="O727" s="17">
        <f t="shared" si="242"/>
        <v>0</v>
      </c>
      <c r="P727" s="17">
        <f t="shared" si="242"/>
        <v>0</v>
      </c>
      <c r="Q727" s="17">
        <f t="shared" si="242"/>
        <v>0</v>
      </c>
      <c r="R727" s="17">
        <f t="shared" si="242"/>
        <v>0</v>
      </c>
      <c r="S727" s="17">
        <f t="shared" si="242"/>
        <v>0</v>
      </c>
      <c r="T727" s="17">
        <f t="shared" si="242"/>
        <v>0</v>
      </c>
      <c r="U727" s="17">
        <f t="shared" si="242"/>
        <v>0</v>
      </c>
      <c r="V727" s="17">
        <f t="shared" si="242"/>
        <v>0</v>
      </c>
      <c r="W727" s="17">
        <f t="shared" si="242"/>
        <v>0</v>
      </c>
    </row>
    <row r="728" ht="15.75" customHeight="1">
      <c r="A728" s="10" t="s">
        <v>1381</v>
      </c>
      <c r="B728" s="10" t="s">
        <v>321</v>
      </c>
      <c r="C728" s="10"/>
      <c r="D728" s="10" t="s">
        <v>322</v>
      </c>
      <c r="E728" s="10" t="s">
        <v>257</v>
      </c>
      <c r="F728" s="3">
        <f t="shared" ref="F728:F732" si="243">SUM(G728:S728)</f>
        <v>1</v>
      </c>
      <c r="G728" s="3">
        <f>SUMIFS('Business - Dump'!$G:$G,'Business - Dump'!$D:$D,'SKU Repoprt'!$D728,'Business - Dump'!$A:$A,'SKU Repoprt'!G$1)</f>
        <v>0</v>
      </c>
      <c r="H728" s="3">
        <f>SUMIFS('Business - Dump'!$G:$G,'Business - Dump'!$D:$D,'SKU Repoprt'!$D728,'Business - Dump'!$A:$A,'SKU Repoprt'!H$1)</f>
        <v>0</v>
      </c>
      <c r="I728" s="3">
        <f>SUMIFS('Business - Dump'!$G:$G,'Business - Dump'!$D:$D,'SKU Repoprt'!$D728,'Business - Dump'!$A:$A,'SKU Repoprt'!I$1)</f>
        <v>0</v>
      </c>
      <c r="J728" s="3">
        <f>SUMIFS('Business - Dump'!$G:$G,'Business - Dump'!$D:$D,'SKU Repoprt'!$D728,'Business - Dump'!$A:$A,'SKU Repoprt'!J$1)</f>
        <v>0</v>
      </c>
      <c r="K728" s="3">
        <f>SUMIFS('Business - Dump'!$G:$G,'Business - Dump'!$D:$D,'SKU Repoprt'!$D728,'Business - Dump'!$A:$A,'SKU Repoprt'!K$1)</f>
        <v>0</v>
      </c>
      <c r="L728" s="3">
        <f>SUMIFS('Business - Dump'!$G:$G,'Business - Dump'!$D:$D,'SKU Repoprt'!$D728,'Business - Dump'!$A:$A,'SKU Repoprt'!L$1)</f>
        <v>0</v>
      </c>
      <c r="M728" s="3">
        <f>SUMIFS('Business - Dump'!$G:$G,'Business - Dump'!$D:$D,'SKU Repoprt'!$D728,'Business - Dump'!$A:$A,'SKU Repoprt'!M$1)</f>
        <v>0</v>
      </c>
      <c r="N728" s="3">
        <f>SUMIFS('Business - Dump'!$G:$G,'Business - Dump'!$D:$D,'SKU Repoprt'!$D728,'Business - Dump'!$A:$A,'SKU Repoprt'!N$1)</f>
        <v>0</v>
      </c>
      <c r="O728" s="3">
        <f>SUMIFS('Business - Dump'!$G:$G,'Business - Dump'!$D:$D,'SKU Repoprt'!$D728,'Business - Dump'!$A:$A,'SKU Repoprt'!O$1)</f>
        <v>0</v>
      </c>
      <c r="P728" s="3">
        <f>SUMIFS('Business - Dump'!$G:$G,'Business - Dump'!$D:$D,'SKU Repoprt'!$D728,'Business - Dump'!$A:$A,'SKU Repoprt'!P$1)</f>
        <v>0</v>
      </c>
      <c r="Q728" s="3">
        <f>SUMIFS('Business - Dump'!$G:$G,'Business - Dump'!$D:$D,'SKU Repoprt'!$D728,'Business - Dump'!$A:$A,'SKU Repoprt'!Q$1)</f>
        <v>0</v>
      </c>
      <c r="R728" s="3">
        <f>SUMIFS('Business - Dump'!$G:$G,'Business - Dump'!$D:$D,'SKU Repoprt'!$D728,'Business - Dump'!$A:$A,'SKU Repoprt'!R$1)</f>
        <v>0</v>
      </c>
      <c r="S728" s="3">
        <f>SUMIFS('Business - Dump'!$G:$G,'Business - Dump'!$D:$D,'SKU Repoprt'!$D728,'Business - Dump'!$A:$A,'SKU Repoprt'!S$1)</f>
        <v>1</v>
      </c>
      <c r="T728" s="3">
        <f>SUMIFS('Business - Dump'!$G:$G,'Business - Dump'!$D:$D,'SKU Repoprt'!$D728,'Business - Dump'!$A:$A,'SKU Repoprt'!T$1)</f>
        <v>42</v>
      </c>
      <c r="U728" s="3">
        <f>SUMIFS('Business - Dump'!$G:$G,'Business - Dump'!$D:$D,'SKU Repoprt'!$D728,'Business - Dump'!$A:$A,'SKU Repoprt'!U$1)</f>
        <v>163</v>
      </c>
      <c r="V728" s="3">
        <f>SUMIFS('Business - Dump'!$G:$G,'Business - Dump'!$D:$D,'SKU Repoprt'!$D728,'Business - Dump'!$A:$A,'SKU Repoprt'!V$1)</f>
        <v>567</v>
      </c>
      <c r="W728" s="3">
        <f>SUMIFS('Business - Dump'!$G:$G,'Business - Dump'!$D:$D,'SKU Repoprt'!$D728,'Business - Dump'!$A:$A,'SKU Repoprt'!W$1)</f>
        <v>571</v>
      </c>
    </row>
    <row r="729" ht="15.75" customHeight="1">
      <c r="A729" s="10" t="s">
        <v>1381</v>
      </c>
      <c r="B729" s="10" t="s">
        <v>321</v>
      </c>
      <c r="C729" s="10"/>
      <c r="D729" s="10" t="s">
        <v>322</v>
      </c>
      <c r="E729" s="10" t="s">
        <v>260</v>
      </c>
      <c r="F729" s="3">
        <f t="shared" si="243"/>
        <v>3</v>
      </c>
      <c r="G729" s="3">
        <f>SUMIFS('Business - Dump'!$K:$K,'Business - Dump'!$D:$D,'SKU Repoprt'!$D729,'Business - Dump'!$A:$A,'SKU Repoprt'!G$1)</f>
        <v>0</v>
      </c>
      <c r="H729" s="3">
        <f>SUMIFS('Business - Dump'!$K:$K,'Business - Dump'!$D:$D,'SKU Repoprt'!$D729,'Business - Dump'!$A:$A,'SKU Repoprt'!H$1)</f>
        <v>0</v>
      </c>
      <c r="I729" s="3">
        <f>SUMIFS('Business - Dump'!$K:$K,'Business - Dump'!$D:$D,'SKU Repoprt'!$D729,'Business - Dump'!$A:$A,'SKU Repoprt'!I$1)</f>
        <v>0</v>
      </c>
      <c r="J729" s="3">
        <f>SUMIFS('Business - Dump'!$K:$K,'Business - Dump'!$D:$D,'SKU Repoprt'!$D729,'Business - Dump'!$A:$A,'SKU Repoprt'!J$1)</f>
        <v>0</v>
      </c>
      <c r="K729" s="3">
        <f>SUMIFS('Business - Dump'!$K:$K,'Business - Dump'!$D:$D,'SKU Repoprt'!$D729,'Business - Dump'!$A:$A,'SKU Repoprt'!K$1)</f>
        <v>0</v>
      </c>
      <c r="L729" s="3">
        <f>SUMIFS('Business - Dump'!$K:$K,'Business - Dump'!$D:$D,'SKU Repoprt'!$D729,'Business - Dump'!$A:$A,'SKU Repoprt'!L$1)</f>
        <v>0</v>
      </c>
      <c r="M729" s="3">
        <f>SUMIFS('Business - Dump'!$K:$K,'Business - Dump'!$D:$D,'SKU Repoprt'!$D729,'Business - Dump'!$A:$A,'SKU Repoprt'!M$1)</f>
        <v>0</v>
      </c>
      <c r="N729" s="3">
        <f>SUMIFS('Business - Dump'!$K:$K,'Business - Dump'!$D:$D,'SKU Repoprt'!$D729,'Business - Dump'!$A:$A,'SKU Repoprt'!N$1)</f>
        <v>0</v>
      </c>
      <c r="O729" s="3">
        <f>SUMIFS('Business - Dump'!$K:$K,'Business - Dump'!$D:$D,'SKU Repoprt'!$D729,'Business - Dump'!$A:$A,'SKU Repoprt'!O$1)</f>
        <v>0</v>
      </c>
      <c r="P729" s="3">
        <f>SUMIFS('Business - Dump'!$K:$K,'Business - Dump'!$D:$D,'SKU Repoprt'!$D729,'Business - Dump'!$A:$A,'SKU Repoprt'!P$1)</f>
        <v>0</v>
      </c>
      <c r="Q729" s="3">
        <f>SUMIFS('Business - Dump'!$K:$K,'Business - Dump'!$D:$D,'SKU Repoprt'!$D729,'Business - Dump'!$A:$A,'SKU Repoprt'!Q$1)</f>
        <v>0</v>
      </c>
      <c r="R729" s="3">
        <f>SUMIFS('Business - Dump'!$K:$K,'Business - Dump'!$D:$D,'SKU Repoprt'!$D729,'Business - Dump'!$A:$A,'SKU Repoprt'!R$1)</f>
        <v>0</v>
      </c>
      <c r="S729" s="3">
        <f>SUMIFS('Business - Dump'!$K:$K,'Business - Dump'!$D:$D,'SKU Repoprt'!$D729,'Business - Dump'!$A:$A,'SKU Repoprt'!S$1)</f>
        <v>3</v>
      </c>
      <c r="T729" s="3">
        <f>SUMIFS('Business - Dump'!$K:$K,'Business - Dump'!$D:$D,'SKU Repoprt'!$D729,'Business - Dump'!$A:$A,'SKU Repoprt'!T$1)</f>
        <v>56</v>
      </c>
      <c r="U729" s="3">
        <f>SUMIFS('Business - Dump'!$K:$K,'Business - Dump'!$D:$D,'SKU Repoprt'!$D729,'Business - Dump'!$A:$A,'SKU Repoprt'!U$1)</f>
        <v>230</v>
      </c>
      <c r="V729" s="3">
        <f>SUMIFS('Business - Dump'!$K:$K,'Business - Dump'!$D:$D,'SKU Repoprt'!$D729,'Business - Dump'!$A:$A,'SKU Repoprt'!V$1)</f>
        <v>776</v>
      </c>
      <c r="W729" s="3">
        <f>SUMIFS('Business - Dump'!$K:$K,'Business - Dump'!$D:$D,'SKU Repoprt'!$D729,'Business - Dump'!$A:$A,'SKU Repoprt'!W$1)</f>
        <v>805</v>
      </c>
    </row>
    <row r="730" ht="15.75" customHeight="1">
      <c r="A730" s="10" t="s">
        <v>1381</v>
      </c>
      <c r="B730" s="10" t="s">
        <v>321</v>
      </c>
      <c r="C730" s="10"/>
      <c r="D730" s="10" t="s">
        <v>322</v>
      </c>
      <c r="E730" s="10" t="s">
        <v>264</v>
      </c>
      <c r="F730" s="3">
        <f t="shared" si="243"/>
        <v>0</v>
      </c>
      <c r="G730" s="3">
        <f>SUMIFS('Business - Dump'!$Q:$Q,'Business - Dump'!$D:$D,'SKU Repoprt'!$D730,'Business - Dump'!$A:$A,'SKU Repoprt'!G$1)</f>
        <v>0</v>
      </c>
      <c r="H730" s="3">
        <f>SUMIFS('Business - Dump'!$Q:$Q,'Business - Dump'!$D:$D,'SKU Repoprt'!$D730,'Business - Dump'!$A:$A,'SKU Repoprt'!H$1)</f>
        <v>0</v>
      </c>
      <c r="I730" s="3">
        <f>SUMIFS('Business - Dump'!$Q:$Q,'Business - Dump'!$D:$D,'SKU Repoprt'!$D730,'Business - Dump'!$A:$A,'SKU Repoprt'!I$1)</f>
        <v>0</v>
      </c>
      <c r="J730" s="3">
        <f>SUMIFS('Business - Dump'!$Q:$Q,'Business - Dump'!$D:$D,'SKU Repoprt'!$D730,'Business - Dump'!$A:$A,'SKU Repoprt'!J$1)</f>
        <v>0</v>
      </c>
      <c r="K730" s="3">
        <f>SUMIFS('Business - Dump'!$Q:$Q,'Business - Dump'!$D:$D,'SKU Repoprt'!$D730,'Business - Dump'!$A:$A,'SKU Repoprt'!K$1)</f>
        <v>0</v>
      </c>
      <c r="L730" s="3">
        <f>SUMIFS('Business - Dump'!$Q:$Q,'Business - Dump'!$D:$D,'SKU Repoprt'!$D730,'Business - Dump'!$A:$A,'SKU Repoprt'!L$1)</f>
        <v>0</v>
      </c>
      <c r="M730" s="3">
        <f>SUMIFS('Business - Dump'!$Q:$Q,'Business - Dump'!$D:$D,'SKU Repoprt'!$D730,'Business - Dump'!$A:$A,'SKU Repoprt'!M$1)</f>
        <v>0</v>
      </c>
      <c r="N730" s="3">
        <f>SUMIFS('Business - Dump'!$Q:$Q,'Business - Dump'!$D:$D,'SKU Repoprt'!$D730,'Business - Dump'!$A:$A,'SKU Repoprt'!N$1)</f>
        <v>0</v>
      </c>
      <c r="O730" s="3">
        <f>SUMIFS('Business - Dump'!$Q:$Q,'Business - Dump'!$D:$D,'SKU Repoprt'!$D730,'Business - Dump'!$A:$A,'SKU Repoprt'!O$1)</f>
        <v>0</v>
      </c>
      <c r="P730" s="3">
        <f>SUMIFS('Business - Dump'!$Q:$Q,'Business - Dump'!$D:$D,'SKU Repoprt'!$D730,'Business - Dump'!$A:$A,'SKU Repoprt'!P$1)</f>
        <v>0</v>
      </c>
      <c r="Q730" s="3">
        <f>SUMIFS('Business - Dump'!$Q:$Q,'Business - Dump'!$D:$D,'SKU Repoprt'!$D730,'Business - Dump'!$A:$A,'SKU Repoprt'!Q$1)</f>
        <v>0</v>
      </c>
      <c r="R730" s="3">
        <f>SUMIFS('Business - Dump'!$Q:$Q,'Business - Dump'!$D:$D,'SKU Repoprt'!$D730,'Business - Dump'!$A:$A,'SKU Repoprt'!R$1)</f>
        <v>0</v>
      </c>
      <c r="S730" s="3">
        <f>SUMIFS('Business - Dump'!$Q:$Q,'Business - Dump'!$D:$D,'SKU Repoprt'!$D730,'Business - Dump'!$A:$A,'SKU Repoprt'!S$1)</f>
        <v>0</v>
      </c>
      <c r="T730" s="3">
        <f>SUMIFS('Business - Dump'!$Q:$Q,'Business - Dump'!$D:$D,'SKU Repoprt'!$D730,'Business - Dump'!$A:$A,'SKU Repoprt'!T$1)</f>
        <v>1</v>
      </c>
      <c r="U730" s="3">
        <f>SUMIFS('Business - Dump'!$Q:$Q,'Business - Dump'!$D:$D,'SKU Repoprt'!$D730,'Business - Dump'!$A:$A,'SKU Repoprt'!U$1)</f>
        <v>16</v>
      </c>
      <c r="V730" s="3">
        <f>SUMIFS('Business - Dump'!$Q:$Q,'Business - Dump'!$D:$D,'SKU Repoprt'!$D730,'Business - Dump'!$A:$A,'SKU Repoprt'!V$1)</f>
        <v>17</v>
      </c>
      <c r="W730" s="3">
        <f>SUMIFS('Business - Dump'!$Q:$Q,'Business - Dump'!$D:$D,'SKU Repoprt'!$D730,'Business - Dump'!$A:$A,'SKU Repoprt'!W$1)</f>
        <v>15</v>
      </c>
    </row>
    <row r="731" ht="15.75" customHeight="1">
      <c r="A731" s="10" t="s">
        <v>1381</v>
      </c>
      <c r="B731" s="10" t="s">
        <v>321</v>
      </c>
      <c r="C731" s="10"/>
      <c r="D731" s="10" t="s">
        <v>322</v>
      </c>
      <c r="E731" s="10" t="s">
        <v>268</v>
      </c>
      <c r="F731" s="3">
        <f t="shared" si="243"/>
        <v>0</v>
      </c>
      <c r="G731" s="3">
        <f>SUMIFS('Business - Dump'!$W:$W,'Business - Dump'!$D:$D,'SKU Repoprt'!$D731,'Business - Dump'!$A:$A,'SKU Repoprt'!G$1)</f>
        <v>0</v>
      </c>
      <c r="H731" s="3">
        <f>SUMIFS('Business - Dump'!$W:$W,'Business - Dump'!$D:$D,'SKU Repoprt'!$D731,'Business - Dump'!$A:$A,'SKU Repoprt'!H$1)</f>
        <v>0</v>
      </c>
      <c r="I731" s="3">
        <f>SUMIFS('Business - Dump'!$W:$W,'Business - Dump'!$D:$D,'SKU Repoprt'!$D731,'Business - Dump'!$A:$A,'SKU Repoprt'!I$1)</f>
        <v>0</v>
      </c>
      <c r="J731" s="3">
        <f>SUMIFS('Business - Dump'!$W:$W,'Business - Dump'!$D:$D,'SKU Repoprt'!$D731,'Business - Dump'!$A:$A,'SKU Repoprt'!J$1)</f>
        <v>0</v>
      </c>
      <c r="K731" s="3">
        <f>SUMIFS('Business - Dump'!$W:$W,'Business - Dump'!$D:$D,'SKU Repoprt'!$D731,'Business - Dump'!$A:$A,'SKU Repoprt'!K$1)</f>
        <v>0</v>
      </c>
      <c r="L731" s="3">
        <f>SUMIFS('Business - Dump'!$W:$W,'Business - Dump'!$D:$D,'SKU Repoprt'!$D731,'Business - Dump'!$A:$A,'SKU Repoprt'!L$1)</f>
        <v>0</v>
      </c>
      <c r="M731" s="3">
        <f>SUMIFS('Business - Dump'!$W:$W,'Business - Dump'!$D:$D,'SKU Repoprt'!$D731,'Business - Dump'!$A:$A,'SKU Repoprt'!M$1)</f>
        <v>0</v>
      </c>
      <c r="N731" s="3">
        <f>SUMIFS('Business - Dump'!$W:$W,'Business - Dump'!$D:$D,'SKU Repoprt'!$D731,'Business - Dump'!$A:$A,'SKU Repoprt'!N$1)</f>
        <v>0</v>
      </c>
      <c r="O731" s="3">
        <f>SUMIFS('Business - Dump'!$W:$W,'Business - Dump'!$D:$D,'SKU Repoprt'!$D731,'Business - Dump'!$A:$A,'SKU Repoprt'!O$1)</f>
        <v>0</v>
      </c>
      <c r="P731" s="3">
        <f>SUMIFS('Business - Dump'!$W:$W,'Business - Dump'!$D:$D,'SKU Repoprt'!$D731,'Business - Dump'!$A:$A,'SKU Repoprt'!P$1)</f>
        <v>0</v>
      </c>
      <c r="Q731" s="3">
        <f>SUMIFS('Business - Dump'!$W:$W,'Business - Dump'!$D:$D,'SKU Repoprt'!$D731,'Business - Dump'!$A:$A,'SKU Repoprt'!Q$1)</f>
        <v>0</v>
      </c>
      <c r="R731" s="3">
        <f>SUMIFS('Business - Dump'!$W:$W,'Business - Dump'!$D:$D,'SKU Repoprt'!$D731,'Business - Dump'!$A:$A,'SKU Repoprt'!R$1)</f>
        <v>0</v>
      </c>
      <c r="S731" s="3">
        <f>SUMIFS('Business - Dump'!$W:$W,'Business - Dump'!$D:$D,'SKU Repoprt'!$D731,'Business - Dump'!$A:$A,'SKU Repoprt'!S$1)</f>
        <v>0</v>
      </c>
      <c r="T731" s="3">
        <f>SUMIFS('Business - Dump'!$W:$W,'Business - Dump'!$D:$D,'SKU Repoprt'!$D731,'Business - Dump'!$A:$A,'SKU Repoprt'!T$1)</f>
        <v>1</v>
      </c>
      <c r="U731" s="3">
        <f>SUMIFS('Business - Dump'!$W:$W,'Business - Dump'!$D:$D,'SKU Repoprt'!$D731,'Business - Dump'!$A:$A,'SKU Repoprt'!U$1)</f>
        <v>6</v>
      </c>
      <c r="V731" s="3">
        <f>SUMIFS('Business - Dump'!$W:$W,'Business - Dump'!$D:$D,'SKU Repoprt'!$D731,'Business - Dump'!$A:$A,'SKU Repoprt'!V$1)</f>
        <v>16</v>
      </c>
      <c r="W731" s="3">
        <f>SUMIFS('Business - Dump'!$W:$W,'Business - Dump'!$D:$D,'SKU Repoprt'!$D731,'Business - Dump'!$A:$A,'SKU Repoprt'!W$1)</f>
        <v>14</v>
      </c>
    </row>
    <row r="732" ht="15.75" customHeight="1">
      <c r="A732" s="10" t="s">
        <v>1381</v>
      </c>
      <c r="B732" s="10" t="s">
        <v>321</v>
      </c>
      <c r="C732" s="10"/>
      <c r="D732" s="10" t="s">
        <v>322</v>
      </c>
      <c r="E732" s="10" t="s">
        <v>26</v>
      </c>
      <c r="F732" s="16">
        <f t="shared" si="243"/>
        <v>0</v>
      </c>
      <c r="G732" s="16">
        <f>SUMIFS('Business - Dump'!$U:$U,'Business - Dump'!$D:$D,'SKU Repoprt'!$D732,'Business - Dump'!$A:$A,'SKU Repoprt'!G$1)</f>
        <v>0</v>
      </c>
      <c r="H732" s="16">
        <f>SUMIFS('Business - Dump'!$U:$U,'Business - Dump'!$D:$D,'SKU Repoprt'!$D732,'Business - Dump'!$A:$A,'SKU Repoprt'!H$1)</f>
        <v>0</v>
      </c>
      <c r="I732" s="16">
        <f>SUMIFS('Business - Dump'!$U:$U,'Business - Dump'!$D:$D,'SKU Repoprt'!$D732,'Business - Dump'!$A:$A,'SKU Repoprt'!I$1)</f>
        <v>0</v>
      </c>
      <c r="J732" s="16">
        <f>SUMIFS('Business - Dump'!$U:$U,'Business - Dump'!$D:$D,'SKU Repoprt'!$D732,'Business - Dump'!$A:$A,'SKU Repoprt'!J$1)</f>
        <v>0</v>
      </c>
      <c r="K732" s="16">
        <f>SUMIFS('Business - Dump'!$U:$U,'Business - Dump'!$D:$D,'SKU Repoprt'!$D732,'Business - Dump'!$A:$A,'SKU Repoprt'!K$1)</f>
        <v>0</v>
      </c>
      <c r="L732" s="16">
        <f>SUMIFS('Business - Dump'!$U:$U,'Business - Dump'!$D:$D,'SKU Repoprt'!$D732,'Business - Dump'!$A:$A,'SKU Repoprt'!L$1)</f>
        <v>0</v>
      </c>
      <c r="M732" s="16">
        <f>SUMIFS('Business - Dump'!$U:$U,'Business - Dump'!$D:$D,'SKU Repoprt'!$D732,'Business - Dump'!$A:$A,'SKU Repoprt'!M$1)</f>
        <v>0</v>
      </c>
      <c r="N732" s="16">
        <f>SUMIFS('Business - Dump'!$U:$U,'Business - Dump'!$D:$D,'SKU Repoprt'!$D732,'Business - Dump'!$A:$A,'SKU Repoprt'!N$1)</f>
        <v>0</v>
      </c>
      <c r="O732" s="16">
        <f>SUMIFS('Business - Dump'!$U:$U,'Business - Dump'!$D:$D,'SKU Repoprt'!$D732,'Business - Dump'!$A:$A,'SKU Repoprt'!O$1)</f>
        <v>0</v>
      </c>
      <c r="P732" s="16">
        <f>SUMIFS('Business - Dump'!$U:$U,'Business - Dump'!$D:$D,'SKU Repoprt'!$D732,'Business - Dump'!$A:$A,'SKU Repoprt'!P$1)</f>
        <v>0</v>
      </c>
      <c r="Q732" s="16">
        <f>SUMIFS('Business - Dump'!$U:$U,'Business - Dump'!$D:$D,'SKU Repoprt'!$D732,'Business - Dump'!$A:$A,'SKU Repoprt'!Q$1)</f>
        <v>0</v>
      </c>
      <c r="R732" s="16">
        <f>SUMIFS('Business - Dump'!$U:$U,'Business - Dump'!$D:$D,'SKU Repoprt'!$D732,'Business - Dump'!$A:$A,'SKU Repoprt'!R$1)</f>
        <v>0</v>
      </c>
      <c r="S732" s="16">
        <f>SUMIFS('Business - Dump'!$U:$U,'Business - Dump'!$D:$D,'SKU Repoprt'!$D732,'Business - Dump'!$A:$A,'SKU Repoprt'!S$1)</f>
        <v>0</v>
      </c>
      <c r="T732" s="16">
        <f>SUMIFS('Business - Dump'!$U:$U,'Business - Dump'!$D:$D,'SKU Repoprt'!$D732,'Business - Dump'!$A:$A,'SKU Repoprt'!T$1)</f>
        <v>550</v>
      </c>
      <c r="U732" s="16">
        <f>SUMIFS('Business - Dump'!$U:$U,'Business - Dump'!$D:$D,'SKU Repoprt'!$D732,'Business - Dump'!$A:$A,'SKU Repoprt'!U$1)</f>
        <v>8327.8</v>
      </c>
      <c r="V732" s="16">
        <f>SUMIFS('Business - Dump'!$U:$U,'Business - Dump'!$D:$D,'SKU Repoprt'!$D732,'Business - Dump'!$A:$A,'SKU Repoprt'!V$1)</f>
        <v>8483</v>
      </c>
      <c r="W732" s="16">
        <f>SUMIFS('Business - Dump'!$U:$U,'Business - Dump'!$D:$D,'SKU Repoprt'!$D732,'Business - Dump'!$A:$A,'SKU Repoprt'!W$1)</f>
        <v>7485</v>
      </c>
    </row>
    <row r="733" ht="15.75" customHeight="1">
      <c r="A733" s="10" t="s">
        <v>1381</v>
      </c>
      <c r="B733" s="10" t="s">
        <v>321</v>
      </c>
      <c r="C733" s="10"/>
      <c r="D733" s="10" t="s">
        <v>322</v>
      </c>
      <c r="E733" s="10" t="s">
        <v>29</v>
      </c>
      <c r="F733" s="17">
        <v>0.027042857142857143</v>
      </c>
      <c r="G733" s="17">
        <f t="shared" ref="G733:W733" si="244">IFERROR(G731/G728,0)</f>
        <v>0</v>
      </c>
      <c r="H733" s="17">
        <f t="shared" si="244"/>
        <v>0</v>
      </c>
      <c r="I733" s="17">
        <f t="shared" si="244"/>
        <v>0</v>
      </c>
      <c r="J733" s="17">
        <f t="shared" si="244"/>
        <v>0</v>
      </c>
      <c r="K733" s="17">
        <f t="shared" si="244"/>
        <v>0</v>
      </c>
      <c r="L733" s="17">
        <f t="shared" si="244"/>
        <v>0</v>
      </c>
      <c r="M733" s="17">
        <f t="shared" si="244"/>
        <v>0</v>
      </c>
      <c r="N733" s="17">
        <f t="shared" si="244"/>
        <v>0</v>
      </c>
      <c r="O733" s="17">
        <f t="shared" si="244"/>
        <v>0</v>
      </c>
      <c r="P733" s="17">
        <f t="shared" si="244"/>
        <v>0</v>
      </c>
      <c r="Q733" s="17">
        <f t="shared" si="244"/>
        <v>0</v>
      </c>
      <c r="R733" s="17">
        <f t="shared" si="244"/>
        <v>0</v>
      </c>
      <c r="S733" s="17">
        <f t="shared" si="244"/>
        <v>0</v>
      </c>
      <c r="T733" s="17">
        <f t="shared" si="244"/>
        <v>0.02380952381</v>
      </c>
      <c r="U733" s="17">
        <f t="shared" si="244"/>
        <v>0.03680981595</v>
      </c>
      <c r="V733" s="17">
        <f t="shared" si="244"/>
        <v>0.02821869489</v>
      </c>
      <c r="W733" s="17">
        <f t="shared" si="244"/>
        <v>0.02451838879</v>
      </c>
    </row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733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43"/>
    <col customWidth="1" min="2" max="2" width="14.43"/>
    <col customWidth="1" min="3" max="26" width="8.71"/>
  </cols>
  <sheetData>
    <row r="1">
      <c r="A1" s="100" t="s">
        <v>457</v>
      </c>
      <c r="B1" s="158" t="s">
        <v>458</v>
      </c>
      <c r="C1" s="158" t="s">
        <v>18</v>
      </c>
      <c r="D1" s="158" t="s">
        <v>6</v>
      </c>
      <c r="E1" s="158" t="s">
        <v>8</v>
      </c>
      <c r="F1" s="158" t="s">
        <v>38</v>
      </c>
      <c r="G1" s="158" t="s">
        <v>10</v>
      </c>
      <c r="H1" s="158" t="s">
        <v>26</v>
      </c>
      <c r="I1" s="158" t="s">
        <v>28</v>
      </c>
      <c r="J1" s="158" t="s">
        <v>15</v>
      </c>
    </row>
    <row r="2">
      <c r="A2" s="107" t="s">
        <v>36</v>
      </c>
      <c r="B2" s="3" t="s">
        <v>459</v>
      </c>
      <c r="C2" s="41">
        <f>SUMIFS('Campaign - Dump'!$Q:$Q,'Campaign - Dump'!$E:$E,'Ad Type '!$B2,'Campaign - Dump'!$A:$A,'Ad Type '!$A2)</f>
        <v>69139.58</v>
      </c>
      <c r="D2" s="41">
        <f>SUMIFS('Campaign - Dump'!$O:$O,'Campaign - Dump'!$E:$E,'Ad Type '!$B2,'Campaign - Dump'!$A:$A,'Ad Type '!$A2)</f>
        <v>3500</v>
      </c>
      <c r="E2" s="38">
        <f t="shared" ref="E2:E6" si="1">IFERROR(C2/D2,0)</f>
        <v>19.75416571</v>
      </c>
      <c r="F2" s="41">
        <f>SUMIFS('Campaign - Dump'!$T:$T,'Campaign - Dump'!$E:$E,'Ad Type '!$B2,'Campaign - Dump'!$A:$A,'Ad Type '!$A2)</f>
        <v>36</v>
      </c>
      <c r="G2" s="23">
        <f t="shared" ref="G2:G6" si="2">IFERROR(F2/D2,0)</f>
        <v>0.01028571429</v>
      </c>
      <c r="H2" s="41">
        <f>SUMIFS('Campaign - Dump'!$U:$U,'Campaign - Dump'!$E:$E,'Ad Type '!$B2,'Campaign - Dump'!$A:$A,'Ad Type '!$A2)</f>
        <v>646249.95</v>
      </c>
      <c r="I2" s="23">
        <f t="shared" ref="I2:I6" si="3">IFERROR(C2/H2,0)</f>
        <v>0.1069858187</v>
      </c>
      <c r="J2" s="38">
        <f t="shared" ref="J2:J6" si="4">IFERROR(H2/C2,0)</f>
        <v>9.347033204</v>
      </c>
      <c r="O2" s="107" t="str">
        <f t="array" ref="O2:O22">UNIQUE(Monthly!A1:A93)</f>
        <v>Month</v>
      </c>
    </row>
    <row r="3">
      <c r="A3" s="107" t="s">
        <v>36</v>
      </c>
      <c r="B3" s="3" t="s">
        <v>460</v>
      </c>
      <c r="C3" s="41">
        <f>SUMIFS('Campaign - Dump'!$Q:$Q,'Campaign - Dump'!$E:$E,'Ad Type '!$B3,'Campaign - Dump'!$A:$A,'Ad Type '!$A3)</f>
        <v>28391.19</v>
      </c>
      <c r="D3" s="41">
        <f>SUMIFS('Campaign - Dump'!$O:$O,'Campaign - Dump'!$E:$E,'Ad Type '!$B3,'Campaign - Dump'!$A:$A,'Ad Type '!$A3)</f>
        <v>2318</v>
      </c>
      <c r="E3" s="38">
        <f t="shared" si="1"/>
        <v>12.24814064</v>
      </c>
      <c r="F3" s="41">
        <f>SUMIFS('Campaign - Dump'!$T:$T,'Campaign - Dump'!$E:$E,'Ad Type '!$B3,'Campaign - Dump'!$A:$A,'Ad Type '!$A3)</f>
        <v>7</v>
      </c>
      <c r="G3" s="23">
        <f t="shared" si="2"/>
        <v>0.003019844694</v>
      </c>
      <c r="H3" s="41">
        <f>SUMIFS('Campaign - Dump'!$U:$U,'Campaign - Dump'!$E:$E,'Ad Type '!$B3,'Campaign - Dump'!$A:$A,'Ad Type '!$A3)</f>
        <v>119743.22</v>
      </c>
      <c r="I3" s="23">
        <f t="shared" si="3"/>
        <v>0.2371006058</v>
      </c>
      <c r="J3" s="38">
        <f t="shared" si="4"/>
        <v>4.217618916</v>
      </c>
      <c r="O3" s="51" t="s">
        <v>36</v>
      </c>
    </row>
    <row r="4">
      <c r="A4" s="107" t="s">
        <v>36</v>
      </c>
      <c r="B4" s="3" t="s">
        <v>461</v>
      </c>
      <c r="C4" s="41">
        <f>SUMIFS('Campaign - Dump'!$Q:$Q,'Campaign - Dump'!$E:$E,'Ad Type '!$B4,'Campaign - Dump'!$A:$A,'Ad Type '!$A4)</f>
        <v>26.25</v>
      </c>
      <c r="D4" s="41">
        <f>SUMIFS('Campaign - Dump'!$O:$O,'Campaign - Dump'!$E:$E,'Ad Type '!$B4,'Campaign - Dump'!$A:$A,'Ad Type '!$A4)</f>
        <v>4</v>
      </c>
      <c r="E4" s="38">
        <f t="shared" si="1"/>
        <v>6.5625</v>
      </c>
      <c r="F4" s="41">
        <f>SUMIFS('Campaign - Dump'!$T:$T,'Campaign - Dump'!$E:$E,'Ad Type '!$B4,'Campaign - Dump'!$A:$A,'Ad Type '!$A4)</f>
        <v>0</v>
      </c>
      <c r="G4" s="23">
        <f t="shared" si="2"/>
        <v>0</v>
      </c>
      <c r="H4" s="41">
        <f>SUMIFS('Campaign - Dump'!$U:$U,'Campaign - Dump'!$E:$E,'Ad Type '!$B4,'Campaign - Dump'!$A:$A,'Ad Type '!$A4)</f>
        <v>0</v>
      </c>
      <c r="I4" s="23">
        <f t="shared" si="3"/>
        <v>0</v>
      </c>
      <c r="J4" s="38">
        <f t="shared" si="4"/>
        <v>0</v>
      </c>
      <c r="O4" s="19" t="s">
        <v>45</v>
      </c>
    </row>
    <row r="5">
      <c r="A5" s="107" t="s">
        <v>36</v>
      </c>
      <c r="B5" s="3" t="s">
        <v>462</v>
      </c>
      <c r="C5" s="41">
        <f>SUMIFS('Campaign - Dump'!$Q:$Q,'Campaign - Dump'!$E:$E,'Ad Type '!$B5,'Campaign - Dump'!$A:$A,'Ad Type '!$A5)</f>
        <v>0</v>
      </c>
      <c r="D5" s="41">
        <f>SUMIFS('Campaign - Dump'!$O:$O,'Campaign - Dump'!$E:$E,'Ad Type '!$B5,'Campaign - Dump'!$A:$A,'Ad Type '!$A5)</f>
        <v>0</v>
      </c>
      <c r="E5" s="38">
        <f t="shared" si="1"/>
        <v>0</v>
      </c>
      <c r="F5" s="41">
        <f>SUMIFS('Campaign - Dump'!$T:$T,'Campaign - Dump'!$E:$E,'Ad Type '!$B5,'Campaign - Dump'!$A:$A,'Ad Type '!$A5)</f>
        <v>0</v>
      </c>
      <c r="G5" s="23">
        <f t="shared" si="2"/>
        <v>0</v>
      </c>
      <c r="H5" s="41">
        <f>SUMIFS('Campaign - Dump'!$U:$U,'Campaign - Dump'!$E:$E,'Ad Type '!$B5,'Campaign - Dump'!$A:$A,'Ad Type '!$A5)</f>
        <v>0</v>
      </c>
      <c r="I5" s="23">
        <f t="shared" si="3"/>
        <v>0</v>
      </c>
      <c r="J5" s="38">
        <f t="shared" si="4"/>
        <v>0</v>
      </c>
      <c r="O5" s="19" t="s">
        <v>46</v>
      </c>
    </row>
    <row r="6">
      <c r="A6" s="107" t="s">
        <v>36</v>
      </c>
      <c r="B6" s="3" t="s">
        <v>463</v>
      </c>
      <c r="C6" s="41">
        <f>SUMIFS('Campaign - Dump'!$Q:$Q,'Campaign - Dump'!$E:$E,'Ad Type '!$B6,'Campaign - Dump'!$A:$A,'Ad Type '!$A6)</f>
        <v>65518.03</v>
      </c>
      <c r="D6" s="41">
        <f>SUMIFS('Campaign - Dump'!$O:$O,'Campaign - Dump'!$E:$E,'Ad Type '!$B6,'Campaign - Dump'!$A:$A,'Ad Type '!$A6)</f>
        <v>7137</v>
      </c>
      <c r="E6" s="38">
        <f t="shared" si="1"/>
        <v>9.180051843</v>
      </c>
      <c r="F6" s="41">
        <f>SUMIFS('Campaign - Dump'!$T:$T,'Campaign - Dump'!$E:$E,'Ad Type '!$B6,'Campaign - Dump'!$A:$A,'Ad Type '!$A6)</f>
        <v>6</v>
      </c>
      <c r="G6" s="23">
        <f t="shared" si="2"/>
        <v>0.0008406893653</v>
      </c>
      <c r="H6" s="41">
        <f>SUMIFS('Campaign - Dump'!$U:$U,'Campaign - Dump'!$E:$E,'Ad Type '!$B6,'Campaign - Dump'!$A:$A,'Ad Type '!$A6)</f>
        <v>77795.75</v>
      </c>
      <c r="I6" s="23">
        <f t="shared" si="3"/>
        <v>0.8421800677</v>
      </c>
      <c r="J6" s="38">
        <f t="shared" si="4"/>
        <v>1.187394523</v>
      </c>
      <c r="O6" s="107" t="s">
        <v>47</v>
      </c>
    </row>
    <row r="7">
      <c r="A7" s="107" t="s">
        <v>36</v>
      </c>
      <c r="B7" s="159" t="s">
        <v>231</v>
      </c>
      <c r="C7" s="160">
        <f t="shared" ref="C7:D7" si="5">SUM(C2:C6)</f>
        <v>163075.05</v>
      </c>
      <c r="D7" s="160">
        <f t="shared" si="5"/>
        <v>12959</v>
      </c>
      <c r="E7" s="161">
        <f>C7/D7</f>
        <v>12.58392237</v>
      </c>
      <c r="F7" s="160">
        <f>SUM(F2:F6)</f>
        <v>49</v>
      </c>
      <c r="G7" s="162">
        <f>F7/D7</f>
        <v>0.003781155953</v>
      </c>
      <c r="H7" s="160">
        <f>SUM(H2:H6)</f>
        <v>843788.92</v>
      </c>
      <c r="I7" s="162">
        <f>C7/H7</f>
        <v>0.1932652185</v>
      </c>
      <c r="J7" s="161">
        <f>H7/C7</f>
        <v>5.17423677</v>
      </c>
      <c r="O7" s="68" t="s">
        <v>48</v>
      </c>
    </row>
    <row r="8">
      <c r="A8" s="19" t="s">
        <v>45</v>
      </c>
      <c r="B8" s="3" t="s">
        <v>459</v>
      </c>
      <c r="C8" s="41">
        <f>SUMIFS('Campaign - Dump'!$Q:$Q,'Campaign - Dump'!$E:$E,'Ad Type '!$B8,'Campaign - Dump'!$A:$A,'Ad Type '!$A8)</f>
        <v>208191.85</v>
      </c>
      <c r="D8" s="41">
        <f>SUMIFS('Campaign - Dump'!$O:$O,'Campaign - Dump'!$E:$E,'Ad Type '!$B8,'Campaign - Dump'!$A:$A,'Ad Type '!$A8)</f>
        <v>9236</v>
      </c>
      <c r="E8" s="38">
        <f t="shared" ref="E8:E12" si="6">IFERROR(C8/D8,0)</f>
        <v>22.54134366</v>
      </c>
      <c r="F8" s="41">
        <f>SUMIFS('Campaign - Dump'!$T:$T,'Campaign - Dump'!$E:$E,'Ad Type '!$B8,'Campaign - Dump'!$A:$A,'Ad Type '!$A8)</f>
        <v>112</v>
      </c>
      <c r="G8" s="23">
        <f t="shared" ref="G8:G12" si="7">IFERROR(F8/D8,0)</f>
        <v>0.01212646167</v>
      </c>
      <c r="H8" s="41">
        <f>SUMIFS('Campaign - Dump'!$U:$U,'Campaign - Dump'!$E:$E,'Ad Type '!$B8,'Campaign - Dump'!$A:$A,'Ad Type '!$A8)</f>
        <v>1971948.93</v>
      </c>
      <c r="I8" s="23">
        <f t="shared" ref="I8:I12" si="8">IFERROR(C8/H8,0)</f>
        <v>0.1055766946</v>
      </c>
      <c r="J8" s="38">
        <f t="shared" ref="J8:J12" si="9">IFERROR(H8/C8,0)</f>
        <v>9.471787344</v>
      </c>
      <c r="O8" s="68" t="s">
        <v>50</v>
      </c>
    </row>
    <row r="9">
      <c r="A9" s="19" t="s">
        <v>45</v>
      </c>
      <c r="B9" s="3" t="s">
        <v>460</v>
      </c>
      <c r="C9" s="41">
        <f>SUMIFS('Campaign - Dump'!$Q:$Q,'Campaign - Dump'!$E:$E,'Ad Type '!$B9,'Campaign - Dump'!$A:$A,'Ad Type '!$A9)</f>
        <v>10211.64</v>
      </c>
      <c r="D9" s="41">
        <f>SUMIFS('Campaign - Dump'!$O:$O,'Campaign - Dump'!$E:$E,'Ad Type '!$B9,'Campaign - Dump'!$A:$A,'Ad Type '!$A9)</f>
        <v>1236</v>
      </c>
      <c r="E9" s="38">
        <f t="shared" si="6"/>
        <v>8.26184466</v>
      </c>
      <c r="F9" s="41">
        <f>SUMIFS('Campaign - Dump'!$T:$T,'Campaign - Dump'!$E:$E,'Ad Type '!$B9,'Campaign - Dump'!$A:$A,'Ad Type '!$A9)</f>
        <v>8</v>
      </c>
      <c r="G9" s="23">
        <f t="shared" si="7"/>
        <v>0.006472491909</v>
      </c>
      <c r="H9" s="41">
        <f>SUMIFS('Campaign - Dump'!$U:$U,'Campaign - Dump'!$E:$E,'Ad Type '!$B9,'Campaign - Dump'!$A:$A,'Ad Type '!$A9)</f>
        <v>142371.16</v>
      </c>
      <c r="I9" s="23">
        <f t="shared" si="8"/>
        <v>0.07172548148</v>
      </c>
      <c r="J9" s="38">
        <f t="shared" si="9"/>
        <v>13.94204653</v>
      </c>
      <c r="O9" s="68" t="s">
        <v>54</v>
      </c>
    </row>
    <row r="10">
      <c r="A10" s="19" t="s">
        <v>45</v>
      </c>
      <c r="B10" s="3" t="s">
        <v>461</v>
      </c>
      <c r="C10" s="41">
        <f>SUMIFS('Campaign - Dump'!$Q:$Q,'Campaign - Dump'!$E:$E,'Ad Type '!$B10,'Campaign - Dump'!$A:$A,'Ad Type '!$A10)</f>
        <v>23409.76</v>
      </c>
      <c r="D10" s="41">
        <f>SUMIFS('Campaign - Dump'!$O:$O,'Campaign - Dump'!$E:$E,'Ad Type '!$B10,'Campaign - Dump'!$A:$A,'Ad Type '!$A10)</f>
        <v>720</v>
      </c>
      <c r="E10" s="38">
        <f t="shared" si="6"/>
        <v>32.51355556</v>
      </c>
      <c r="F10" s="41">
        <f>SUMIFS('Campaign - Dump'!$T:$T,'Campaign - Dump'!$E:$E,'Ad Type '!$B10,'Campaign - Dump'!$A:$A,'Ad Type '!$A10)</f>
        <v>16</v>
      </c>
      <c r="G10" s="23">
        <f t="shared" si="7"/>
        <v>0.02222222222</v>
      </c>
      <c r="H10" s="41">
        <f>SUMIFS('Campaign - Dump'!$U:$U,'Campaign - Dump'!$E:$E,'Ad Type '!$B10,'Campaign - Dump'!$A:$A,'Ad Type '!$A10)</f>
        <v>289827.95</v>
      </c>
      <c r="I10" s="23">
        <f t="shared" si="8"/>
        <v>0.08077122997</v>
      </c>
      <c r="J10" s="38">
        <f t="shared" si="9"/>
        <v>12.38064594</v>
      </c>
      <c r="O10" s="68" t="s">
        <v>56</v>
      </c>
    </row>
    <row r="11">
      <c r="A11" s="19" t="s">
        <v>45</v>
      </c>
      <c r="B11" s="3" t="s">
        <v>462</v>
      </c>
      <c r="C11" s="41">
        <f>SUMIFS('Campaign - Dump'!$Q:$Q,'Campaign - Dump'!$E:$E,'Ad Type '!$B11,'Campaign - Dump'!$A:$A,'Ad Type '!$A11)</f>
        <v>0</v>
      </c>
      <c r="D11" s="41">
        <f>SUMIFS('Campaign - Dump'!$O:$O,'Campaign - Dump'!$E:$E,'Ad Type '!$B11,'Campaign - Dump'!$A:$A,'Ad Type '!$A11)</f>
        <v>0</v>
      </c>
      <c r="E11" s="38">
        <f t="shared" si="6"/>
        <v>0</v>
      </c>
      <c r="F11" s="41">
        <f>SUMIFS('Campaign - Dump'!$T:$T,'Campaign - Dump'!$E:$E,'Ad Type '!$B11,'Campaign - Dump'!$A:$A,'Ad Type '!$A11)</f>
        <v>0</v>
      </c>
      <c r="G11" s="23">
        <f t="shared" si="7"/>
        <v>0</v>
      </c>
      <c r="H11" s="41">
        <f>SUMIFS('Campaign - Dump'!$U:$U,'Campaign - Dump'!$E:$E,'Ad Type '!$B11,'Campaign - Dump'!$A:$A,'Ad Type '!$A11)</f>
        <v>0</v>
      </c>
      <c r="I11" s="23">
        <f t="shared" si="8"/>
        <v>0</v>
      </c>
      <c r="J11" s="38">
        <f t="shared" si="9"/>
        <v>0</v>
      </c>
      <c r="O11" s="68" t="s">
        <v>58</v>
      </c>
    </row>
    <row r="12">
      <c r="A12" s="19" t="s">
        <v>45</v>
      </c>
      <c r="B12" s="3" t="s">
        <v>463</v>
      </c>
      <c r="C12" s="41">
        <f>SUMIFS('Campaign - Dump'!$Q:$Q,'Campaign - Dump'!$E:$E,'Ad Type '!$B12,'Campaign - Dump'!$A:$A,'Ad Type '!$A12)</f>
        <v>19042.8</v>
      </c>
      <c r="D12" s="41">
        <f>SUMIFS('Campaign - Dump'!$O:$O,'Campaign - Dump'!$E:$E,'Ad Type '!$B12,'Campaign - Dump'!$A:$A,'Ad Type '!$A12)</f>
        <v>5892</v>
      </c>
      <c r="E12" s="38">
        <f t="shared" si="6"/>
        <v>3.23197556</v>
      </c>
      <c r="F12" s="41">
        <f>SUMIFS('Campaign - Dump'!$T:$T,'Campaign - Dump'!$E:$E,'Ad Type '!$B12,'Campaign - Dump'!$A:$A,'Ad Type '!$A12)</f>
        <v>4</v>
      </c>
      <c r="G12" s="23">
        <f t="shared" si="7"/>
        <v>0.0006788866259</v>
      </c>
      <c r="H12" s="41">
        <f>SUMIFS('Campaign - Dump'!$U:$U,'Campaign - Dump'!$E:$E,'Ad Type '!$B12,'Campaign - Dump'!$A:$A,'Ad Type '!$A12)</f>
        <v>66779.66</v>
      </c>
      <c r="I12" s="23">
        <f t="shared" si="8"/>
        <v>0.2851586845</v>
      </c>
      <c r="J12" s="38">
        <f t="shared" si="9"/>
        <v>3.506819375</v>
      </c>
      <c r="O12" s="68" t="s">
        <v>61</v>
      </c>
    </row>
    <row r="13">
      <c r="A13" s="19" t="s">
        <v>45</v>
      </c>
      <c r="B13" s="159" t="s">
        <v>231</v>
      </c>
      <c r="C13" s="160">
        <f t="shared" ref="C13:D13" si="10">SUM(C8:C12)</f>
        <v>260856.05</v>
      </c>
      <c r="D13" s="160">
        <f t="shared" si="10"/>
        <v>17084</v>
      </c>
      <c r="E13" s="161">
        <f>C13/D13</f>
        <v>15.26902657</v>
      </c>
      <c r="F13" s="160">
        <f>SUM(F8:F12)</f>
        <v>140</v>
      </c>
      <c r="G13" s="162">
        <f>F13/D13</f>
        <v>0.008194802154</v>
      </c>
      <c r="H13" s="160">
        <f>SUM(H8:H12)</f>
        <v>2470927.7</v>
      </c>
      <c r="I13" s="162">
        <f>C13/H13</f>
        <v>0.1055700861</v>
      </c>
      <c r="J13" s="161">
        <f>H13/C13</f>
        <v>9.472380265</v>
      </c>
      <c r="O13" s="68" t="s">
        <v>63</v>
      </c>
    </row>
    <row r="14">
      <c r="A14" s="19" t="s">
        <v>46</v>
      </c>
      <c r="B14" s="3" t="s">
        <v>459</v>
      </c>
      <c r="C14" s="41">
        <f>SUMIFS('Campaign - Dump'!$Q:$Q,'Campaign - Dump'!$E:$E,'Ad Type '!$B14,'Campaign - Dump'!$A:$A,'Ad Type '!$A14)</f>
        <v>199213.8</v>
      </c>
      <c r="D14" s="41">
        <f>SUMIFS('Campaign - Dump'!$O:$O,'Campaign - Dump'!$E:$E,'Ad Type '!$B14,'Campaign - Dump'!$A:$A,'Ad Type '!$A14)</f>
        <v>7728</v>
      </c>
      <c r="E14" s="38">
        <f t="shared" ref="E14:E18" si="11">IFERROR(C14/D14,0)</f>
        <v>25.77818323</v>
      </c>
      <c r="F14" s="41">
        <f>SUMIFS('Campaign - Dump'!$T:$T,'Campaign - Dump'!$E:$E,'Ad Type '!$B14,'Campaign - Dump'!$A:$A,'Ad Type '!$A14)</f>
        <v>62</v>
      </c>
      <c r="G14" s="23">
        <f t="shared" ref="G14:G18" si="12">IFERROR(F14/D14,0)</f>
        <v>0.008022774327</v>
      </c>
      <c r="H14" s="41">
        <f>SUMIFS('Campaign - Dump'!$U:$U,'Campaign - Dump'!$E:$E,'Ad Type '!$B14,'Campaign - Dump'!$A:$A,'Ad Type '!$A14)</f>
        <v>1182033.79</v>
      </c>
      <c r="I14" s="23">
        <f t="shared" ref="I14:I18" si="13">IFERROR(C14/H14,0)</f>
        <v>0.168534776</v>
      </c>
      <c r="J14" s="38">
        <f t="shared" ref="J14:J18" si="14">IFERROR(H14/C14,0)</f>
        <v>5.933493513</v>
      </c>
      <c r="O14" s="68" t="s">
        <v>65</v>
      </c>
    </row>
    <row r="15">
      <c r="A15" s="19" t="s">
        <v>46</v>
      </c>
      <c r="B15" s="3" t="s">
        <v>460</v>
      </c>
      <c r="C15" s="41">
        <f>SUMIFS('Campaign - Dump'!$Q:$Q,'Campaign - Dump'!$E:$E,'Ad Type '!$B15,'Campaign - Dump'!$A:$A,'Ad Type '!$A15)</f>
        <v>11305.2</v>
      </c>
      <c r="D15" s="41">
        <f>SUMIFS('Campaign - Dump'!$O:$O,'Campaign - Dump'!$E:$E,'Ad Type '!$B15,'Campaign - Dump'!$A:$A,'Ad Type '!$A15)</f>
        <v>1221</v>
      </c>
      <c r="E15" s="38">
        <f t="shared" si="11"/>
        <v>9.258968059</v>
      </c>
      <c r="F15" s="41">
        <f>SUMIFS('Campaign - Dump'!$T:$T,'Campaign - Dump'!$E:$E,'Ad Type '!$B15,'Campaign - Dump'!$A:$A,'Ad Type '!$A15)</f>
        <v>3</v>
      </c>
      <c r="G15" s="23">
        <f t="shared" si="12"/>
        <v>0.002457002457</v>
      </c>
      <c r="H15" s="41">
        <f>SUMIFS('Campaign - Dump'!$U:$U,'Campaign - Dump'!$E:$E,'Ad Type '!$B15,'Campaign - Dump'!$A:$A,'Ad Type '!$A15)</f>
        <v>23465.27</v>
      </c>
      <c r="I15" s="23">
        <f t="shared" si="13"/>
        <v>0.4817843562</v>
      </c>
      <c r="J15" s="38">
        <f t="shared" si="14"/>
        <v>2.075617415</v>
      </c>
      <c r="O15" s="68" t="s">
        <v>67</v>
      </c>
    </row>
    <row r="16">
      <c r="A16" s="19" t="s">
        <v>46</v>
      </c>
      <c r="B16" s="3" t="s">
        <v>461</v>
      </c>
      <c r="C16" s="41">
        <f>SUMIFS('Campaign - Dump'!$Q:$Q,'Campaign - Dump'!$E:$E,'Ad Type '!$B16,'Campaign - Dump'!$A:$A,'Ad Type '!$A16)</f>
        <v>19262.53</v>
      </c>
      <c r="D16" s="41">
        <f>SUMIFS('Campaign - Dump'!$O:$O,'Campaign - Dump'!$E:$E,'Ad Type '!$B16,'Campaign - Dump'!$A:$A,'Ad Type '!$A16)</f>
        <v>702</v>
      </c>
      <c r="E16" s="38">
        <f t="shared" si="11"/>
        <v>27.43950142</v>
      </c>
      <c r="F16" s="41">
        <f>SUMIFS('Campaign - Dump'!$T:$T,'Campaign - Dump'!$E:$E,'Ad Type '!$B16,'Campaign - Dump'!$A:$A,'Ad Type '!$A16)</f>
        <v>12</v>
      </c>
      <c r="G16" s="23">
        <f t="shared" si="12"/>
        <v>0.01709401709</v>
      </c>
      <c r="H16" s="41">
        <f>SUMIFS('Campaign - Dump'!$U:$U,'Campaign - Dump'!$E:$E,'Ad Type '!$B16,'Campaign - Dump'!$A:$A,'Ad Type '!$A16)</f>
        <v>207419.83</v>
      </c>
      <c r="I16" s="23">
        <f t="shared" si="13"/>
        <v>0.09286735024</v>
      </c>
      <c r="J16" s="38">
        <f t="shared" si="14"/>
        <v>10.76804708</v>
      </c>
      <c r="O16" s="68" t="s">
        <v>70</v>
      </c>
    </row>
    <row r="17">
      <c r="A17" s="19" t="s">
        <v>46</v>
      </c>
      <c r="B17" s="3" t="s">
        <v>462</v>
      </c>
      <c r="C17" s="41">
        <f>SUMIFS('Campaign - Dump'!$Q:$Q,'Campaign - Dump'!$E:$E,'Ad Type '!$B17,'Campaign - Dump'!$A:$A,'Ad Type '!$A17)</f>
        <v>28201.95</v>
      </c>
      <c r="D17" s="41">
        <f>SUMIFS('Campaign - Dump'!$O:$O,'Campaign - Dump'!$E:$E,'Ad Type '!$B17,'Campaign - Dump'!$A:$A,'Ad Type '!$A17)</f>
        <v>1626</v>
      </c>
      <c r="E17" s="38">
        <f t="shared" si="11"/>
        <v>17.34437269</v>
      </c>
      <c r="F17" s="41">
        <f>SUMIFS('Campaign - Dump'!$T:$T,'Campaign - Dump'!$E:$E,'Ad Type '!$B17,'Campaign - Dump'!$A:$A,'Ad Type '!$A17)</f>
        <v>4</v>
      </c>
      <c r="G17" s="23">
        <f t="shared" si="12"/>
        <v>0.0024600246</v>
      </c>
      <c r="H17" s="41">
        <f>SUMIFS('Campaign - Dump'!$U:$U,'Campaign - Dump'!$E:$E,'Ad Type '!$B17,'Campaign - Dump'!$A:$A,'Ad Type '!$A17)</f>
        <v>99383.04</v>
      </c>
      <c r="I17" s="23">
        <f t="shared" si="13"/>
        <v>0.2837702489</v>
      </c>
      <c r="J17" s="38">
        <f t="shared" si="14"/>
        <v>3.523977597</v>
      </c>
      <c r="O17" s="163">
        <v>45658.0</v>
      </c>
    </row>
    <row r="18">
      <c r="A18" s="19" t="s">
        <v>46</v>
      </c>
      <c r="B18" s="3" t="s">
        <v>463</v>
      </c>
      <c r="C18" s="41">
        <f>SUMIFS('Campaign - Dump'!$Q:$Q,'Campaign - Dump'!$E:$E,'Ad Type '!$B18,'Campaign - Dump'!$A:$A,'Ad Type '!$A18)</f>
        <v>11967.9</v>
      </c>
      <c r="D18" s="41">
        <f>SUMIFS('Campaign - Dump'!$O:$O,'Campaign - Dump'!$E:$E,'Ad Type '!$B18,'Campaign - Dump'!$A:$A,'Ad Type '!$A18)</f>
        <v>2142</v>
      </c>
      <c r="E18" s="38">
        <f t="shared" si="11"/>
        <v>5.587254902</v>
      </c>
      <c r="F18" s="41">
        <f>SUMIFS('Campaign - Dump'!$T:$T,'Campaign - Dump'!$E:$E,'Ad Type '!$B18,'Campaign - Dump'!$A:$A,'Ad Type '!$A18)</f>
        <v>1</v>
      </c>
      <c r="G18" s="23">
        <f t="shared" si="12"/>
        <v>0.000466853408</v>
      </c>
      <c r="H18" s="41">
        <f>SUMIFS('Campaign - Dump'!$U:$U,'Campaign - Dump'!$E:$E,'Ad Type '!$B18,'Campaign - Dump'!$A:$A,'Ad Type '!$A18)</f>
        <v>13983.05</v>
      </c>
      <c r="I18" s="23">
        <f t="shared" si="13"/>
        <v>0.8558862337</v>
      </c>
      <c r="J18" s="38">
        <f t="shared" si="14"/>
        <v>1.168379582</v>
      </c>
      <c r="O18" s="163">
        <v>45689.0</v>
      </c>
    </row>
    <row r="19">
      <c r="A19" s="19" t="s">
        <v>46</v>
      </c>
      <c r="B19" s="159" t="s">
        <v>231</v>
      </c>
      <c r="C19" s="160">
        <f t="shared" ref="C19:D19" si="15">SUM(C14:C18)</f>
        <v>269951.38</v>
      </c>
      <c r="D19" s="160">
        <f t="shared" si="15"/>
        <v>13419</v>
      </c>
      <c r="E19" s="161">
        <f>C19/D19</f>
        <v>20.11710113</v>
      </c>
      <c r="F19" s="160">
        <f>SUM(F14:F18)</f>
        <v>82</v>
      </c>
      <c r="G19" s="162">
        <f>F19/D19</f>
        <v>0.006110738505</v>
      </c>
      <c r="H19" s="160">
        <f>SUM(H14:H18)</f>
        <v>1526284.98</v>
      </c>
      <c r="I19" s="162">
        <f>C19/H19</f>
        <v>0.1768682674</v>
      </c>
      <c r="J19" s="161">
        <f>H19/C19</f>
        <v>5.653925459</v>
      </c>
      <c r="O19" s="163">
        <v>45717.0</v>
      </c>
    </row>
    <row r="20">
      <c r="A20" s="19" t="s">
        <v>47</v>
      </c>
      <c r="B20" s="3" t="s">
        <v>459</v>
      </c>
      <c r="C20" s="41">
        <f>SUMIFS('Campaign - Dump'!$Q:$Q,'Campaign - Dump'!$E:$E,'Ad Type '!$B20,'Campaign - Dump'!$A:$A,'Ad Type '!$A20)</f>
        <v>259427.87</v>
      </c>
      <c r="D20" s="41">
        <f>SUMIFS('Campaign - Dump'!$O:$O,'Campaign - Dump'!$E:$E,'Ad Type '!$B20,'Campaign - Dump'!$A:$A,'Ad Type '!$A20)</f>
        <v>8135</v>
      </c>
      <c r="E20" s="38">
        <f t="shared" ref="E20:E24" si="16">IFERROR(C20/D20,0)</f>
        <v>31.89033436</v>
      </c>
      <c r="F20" s="41">
        <f>SUMIFS('Campaign - Dump'!$T:$T,'Campaign - Dump'!$E:$E,'Ad Type '!$B20,'Campaign - Dump'!$A:$A,'Ad Type '!$A20)</f>
        <v>78</v>
      </c>
      <c r="G20" s="23">
        <f t="shared" ref="G20:G24" si="17">IFERROR(F20/D20,0)</f>
        <v>0.00958819914</v>
      </c>
      <c r="H20" s="41">
        <f>SUMIFS('Campaign - Dump'!$U:$U,'Campaign - Dump'!$E:$E,'Ad Type '!$B20,'Campaign - Dump'!$A:$A,'Ad Type '!$A20)</f>
        <v>1420797.27</v>
      </c>
      <c r="I20" s="23">
        <f t="shared" ref="I20:I24" si="18">IFERROR(C20/H20,0)</f>
        <v>0.1825931648</v>
      </c>
      <c r="J20" s="38">
        <f t="shared" ref="J20:J24" si="19">IFERROR(H20/C20,0)</f>
        <v>5.476656267</v>
      </c>
      <c r="O20" s="163">
        <v>45772.0</v>
      </c>
    </row>
    <row r="21" ht="15.75" customHeight="1">
      <c r="A21" s="19" t="s">
        <v>47</v>
      </c>
      <c r="B21" s="3" t="s">
        <v>460</v>
      </c>
      <c r="C21" s="41">
        <f>SUMIFS('Campaign - Dump'!$Q:$Q,'Campaign - Dump'!$E:$E,'Ad Type '!$B21,'Campaign - Dump'!$A:$A,'Ad Type '!$A21)</f>
        <v>4512.47</v>
      </c>
      <c r="D21" s="41">
        <f>SUMIFS('Campaign - Dump'!$O:$O,'Campaign - Dump'!$E:$E,'Ad Type '!$B21,'Campaign - Dump'!$A:$A,'Ad Type '!$A21)</f>
        <v>654</v>
      </c>
      <c r="E21" s="38">
        <f t="shared" si="16"/>
        <v>6.899801223</v>
      </c>
      <c r="F21" s="41">
        <f>SUMIFS('Campaign - Dump'!$T:$T,'Campaign - Dump'!$E:$E,'Ad Type '!$B21,'Campaign - Dump'!$A:$A,'Ad Type '!$A21)</f>
        <v>1</v>
      </c>
      <c r="G21" s="23">
        <f t="shared" si="17"/>
        <v>0.001529051988</v>
      </c>
      <c r="H21" s="41">
        <f>SUMIFS('Campaign - Dump'!$U:$U,'Campaign - Dump'!$E:$E,'Ad Type '!$B21,'Campaign - Dump'!$A:$A,'Ad Type '!$A21)</f>
        <v>5508.47</v>
      </c>
      <c r="I21" s="23">
        <f t="shared" si="18"/>
        <v>0.8191875421</v>
      </c>
      <c r="J21" s="38">
        <f t="shared" si="19"/>
        <v>1.220721689</v>
      </c>
      <c r="O21" s="163" t="s">
        <v>464</v>
      </c>
    </row>
    <row r="22" ht="15.75" customHeight="1">
      <c r="A22" s="19" t="s">
        <v>47</v>
      </c>
      <c r="B22" s="3" t="s">
        <v>461</v>
      </c>
      <c r="C22" s="41">
        <f>SUMIFS('Campaign - Dump'!$Q:$Q,'Campaign - Dump'!$E:$E,'Ad Type '!$B22,'Campaign - Dump'!$A:$A,'Ad Type '!$A22)</f>
        <v>14676.94</v>
      </c>
      <c r="D22" s="41">
        <f>SUMIFS('Campaign - Dump'!$O:$O,'Campaign - Dump'!$E:$E,'Ad Type '!$B22,'Campaign - Dump'!$A:$A,'Ad Type '!$A22)</f>
        <v>523</v>
      </c>
      <c r="E22" s="38">
        <f t="shared" si="16"/>
        <v>28.06298279</v>
      </c>
      <c r="F22" s="41">
        <f>SUMIFS('Campaign - Dump'!$T:$T,'Campaign - Dump'!$E:$E,'Ad Type '!$B22,'Campaign - Dump'!$A:$A,'Ad Type '!$A22)</f>
        <v>14</v>
      </c>
      <c r="G22" s="23">
        <f t="shared" si="17"/>
        <v>0.02676864245</v>
      </c>
      <c r="H22" s="41">
        <f>SUMIFS('Campaign - Dump'!$U:$U,'Campaign - Dump'!$E:$E,'Ad Type '!$B22,'Campaign - Dump'!$A:$A,'Ad Type '!$A22)</f>
        <v>238040.7</v>
      </c>
      <c r="I22" s="23">
        <f t="shared" si="18"/>
        <v>0.06165727121</v>
      </c>
      <c r="J22" s="38">
        <f t="shared" si="19"/>
        <v>16.21868727</v>
      </c>
      <c r="O22" s="68"/>
    </row>
    <row r="23" ht="15.75" customHeight="1">
      <c r="A23" s="19" t="s">
        <v>47</v>
      </c>
      <c r="B23" s="3" t="s">
        <v>462</v>
      </c>
      <c r="C23" s="41">
        <f>SUMIFS('Campaign - Dump'!$Q:$Q,'Campaign - Dump'!$E:$E,'Ad Type '!$B23,'Campaign - Dump'!$A:$A,'Ad Type '!$A23)</f>
        <v>51808.7</v>
      </c>
      <c r="D23" s="41">
        <f>SUMIFS('Campaign - Dump'!$O:$O,'Campaign - Dump'!$E:$E,'Ad Type '!$B23,'Campaign - Dump'!$A:$A,'Ad Type '!$A23)</f>
        <v>3754</v>
      </c>
      <c r="E23" s="38">
        <f t="shared" si="16"/>
        <v>13.80093234</v>
      </c>
      <c r="F23" s="41">
        <f>SUMIFS('Campaign - Dump'!$T:$T,'Campaign - Dump'!$E:$E,'Ad Type '!$B23,'Campaign - Dump'!$A:$A,'Ad Type '!$A23)</f>
        <v>17</v>
      </c>
      <c r="G23" s="23">
        <f t="shared" si="17"/>
        <v>0.00452850293</v>
      </c>
      <c r="H23" s="41">
        <f>SUMIFS('Campaign - Dump'!$U:$U,'Campaign - Dump'!$E:$E,'Ad Type '!$B23,'Campaign - Dump'!$A:$A,'Ad Type '!$A23)</f>
        <v>258931.3</v>
      </c>
      <c r="I23" s="23">
        <f t="shared" si="18"/>
        <v>0.2000866639</v>
      </c>
      <c r="J23" s="38">
        <f t="shared" si="19"/>
        <v>4.997834341</v>
      </c>
    </row>
    <row r="24" ht="15.75" customHeight="1">
      <c r="A24" s="19" t="s">
        <v>47</v>
      </c>
      <c r="B24" s="3" t="s">
        <v>463</v>
      </c>
      <c r="C24" s="41">
        <f>SUMIFS('Campaign - Dump'!$Q:$Q,'Campaign - Dump'!$E:$E,'Ad Type '!$B24,'Campaign - Dump'!$A:$A,'Ad Type '!$A24)</f>
        <v>32779.26</v>
      </c>
      <c r="D24" s="41">
        <f>SUMIFS('Campaign - Dump'!$O:$O,'Campaign - Dump'!$E:$E,'Ad Type '!$B24,'Campaign - Dump'!$A:$A,'Ad Type '!$A24)</f>
        <v>2911</v>
      </c>
      <c r="E24" s="38">
        <f t="shared" si="16"/>
        <v>11.26048093</v>
      </c>
      <c r="F24" s="41">
        <f>SUMIFS('Campaign - Dump'!$T:$T,'Campaign - Dump'!$E:$E,'Ad Type '!$B24,'Campaign - Dump'!$A:$A,'Ad Type '!$A24)</f>
        <v>13</v>
      </c>
      <c r="G24" s="23">
        <f t="shared" si="17"/>
        <v>0.004465819306</v>
      </c>
      <c r="H24" s="41">
        <f>SUMIFS('Campaign - Dump'!$U:$U,'Campaign - Dump'!$E:$E,'Ad Type '!$B24,'Campaign - Dump'!$A:$A,'Ad Type '!$A24)</f>
        <v>279827.98</v>
      </c>
      <c r="I24" s="23">
        <f t="shared" si="18"/>
        <v>0.117140752</v>
      </c>
      <c r="J24" s="38">
        <f t="shared" si="19"/>
        <v>8.536738779</v>
      </c>
    </row>
    <row r="25" ht="15.75" customHeight="1">
      <c r="A25" s="19" t="s">
        <v>47</v>
      </c>
      <c r="B25" s="159" t="s">
        <v>231</v>
      </c>
      <c r="C25" s="160">
        <f t="shared" ref="C25:D25" si="20">SUM(C20:C24)</f>
        <v>363205.24</v>
      </c>
      <c r="D25" s="160">
        <f t="shared" si="20"/>
        <v>15977</v>
      </c>
      <c r="E25" s="161">
        <f>C25/D25</f>
        <v>22.7330062</v>
      </c>
      <c r="F25" s="160">
        <f>SUM(F20:F24)</f>
        <v>123</v>
      </c>
      <c r="G25" s="162">
        <f>F25/D25</f>
        <v>0.00769856669</v>
      </c>
      <c r="H25" s="160">
        <f>SUM(H20:H24)</f>
        <v>2203105.72</v>
      </c>
      <c r="I25" s="162">
        <f>C25/H25</f>
        <v>0.1648605588</v>
      </c>
      <c r="J25" s="161">
        <f>H25/C25</f>
        <v>6.065732201</v>
      </c>
    </row>
    <row r="26" ht="15.75" customHeight="1">
      <c r="A26" s="19" t="s">
        <v>48</v>
      </c>
      <c r="B26" s="3" t="s">
        <v>459</v>
      </c>
      <c r="C26" s="41">
        <f>SUMIFS('Campaign - Dump'!$Q:$Q,'Campaign - Dump'!$E:$E,'Ad Type '!$B26,'Campaign - Dump'!$A:$A,'Ad Type '!$A26)</f>
        <v>350581.62</v>
      </c>
      <c r="D26" s="41">
        <f>SUMIFS('Campaign - Dump'!$O:$O,'Campaign - Dump'!$E:$E,'Ad Type '!$B26,'Campaign - Dump'!$A:$A,'Ad Type '!$A26)</f>
        <v>8509</v>
      </c>
      <c r="E26" s="38">
        <f t="shared" ref="E26:E30" si="21">IFERROR(C26/D26,0)</f>
        <v>41.20127159</v>
      </c>
      <c r="F26" s="41">
        <f>SUMIFS('Campaign - Dump'!$T:$T,'Campaign - Dump'!$E:$E,'Ad Type '!$B26,'Campaign - Dump'!$A:$A,'Ad Type '!$A26)</f>
        <v>107</v>
      </c>
      <c r="G26" s="23">
        <f t="shared" ref="G26:G30" si="22">IFERROR(F26/D26,0)</f>
        <v>0.01257492067</v>
      </c>
      <c r="H26" s="41">
        <f>SUMIFS('Campaign - Dump'!$U:$U,'Campaign - Dump'!$E:$E,'Ad Type '!$B26,'Campaign - Dump'!$A:$A,'Ad Type '!$A26)</f>
        <v>2192704.2</v>
      </c>
      <c r="I26" s="23">
        <f t="shared" ref="I26:I30" si="23">IFERROR(C26/H26,0)</f>
        <v>0.1598855058</v>
      </c>
      <c r="J26" s="38">
        <f t="shared" ref="J26:J30" si="24">IFERROR(H26/C26,0)</f>
        <v>6.254475634</v>
      </c>
    </row>
    <row r="27" ht="15.75" customHeight="1">
      <c r="A27" s="19" t="s">
        <v>48</v>
      </c>
      <c r="B27" s="3" t="s">
        <v>460</v>
      </c>
      <c r="C27" s="41">
        <f>SUMIFS('Campaign - Dump'!$Q:$Q,'Campaign - Dump'!$E:$E,'Ad Type '!$B27,'Campaign - Dump'!$A:$A,'Ad Type '!$A27)</f>
        <v>8368.82</v>
      </c>
      <c r="D27" s="41">
        <f>SUMIFS('Campaign - Dump'!$O:$O,'Campaign - Dump'!$E:$E,'Ad Type '!$B27,'Campaign - Dump'!$A:$A,'Ad Type '!$A27)</f>
        <v>1463</v>
      </c>
      <c r="E27" s="38">
        <f t="shared" si="21"/>
        <v>5.720314422</v>
      </c>
      <c r="F27" s="41">
        <f>SUMIFS('Campaign - Dump'!$T:$T,'Campaign - Dump'!$E:$E,'Ad Type '!$B27,'Campaign - Dump'!$A:$A,'Ad Type '!$A27)</f>
        <v>18</v>
      </c>
      <c r="G27" s="23">
        <f t="shared" si="22"/>
        <v>0.01230348599</v>
      </c>
      <c r="H27" s="41">
        <f>SUMIFS('Campaign - Dump'!$U:$U,'Campaign - Dump'!$E:$E,'Ad Type '!$B27,'Campaign - Dump'!$A:$A,'Ad Type '!$A27)</f>
        <v>23387.63</v>
      </c>
      <c r="I27" s="23">
        <f t="shared" si="23"/>
        <v>0.3578310415</v>
      </c>
      <c r="J27" s="38">
        <f t="shared" si="24"/>
        <v>2.794615011</v>
      </c>
    </row>
    <row r="28" ht="15.75" customHeight="1">
      <c r="A28" s="19" t="s">
        <v>48</v>
      </c>
      <c r="B28" s="3" t="s">
        <v>461</v>
      </c>
      <c r="C28" s="41">
        <f>SUMIFS('Campaign - Dump'!$Q:$Q,'Campaign - Dump'!$E:$E,'Ad Type '!$B28,'Campaign - Dump'!$A:$A,'Ad Type '!$A28)</f>
        <v>36094.51</v>
      </c>
      <c r="D28" s="41">
        <f>SUMIFS('Campaign - Dump'!$O:$O,'Campaign - Dump'!$E:$E,'Ad Type '!$B28,'Campaign - Dump'!$A:$A,'Ad Type '!$A28)</f>
        <v>1383</v>
      </c>
      <c r="E28" s="38">
        <f t="shared" si="21"/>
        <v>26.09870571</v>
      </c>
      <c r="F28" s="130">
        <f>SUMIFS('Campaign - Dump'!$T:$T,'Campaign - Dump'!$E:$E,'Ad Type '!$B28,'Campaign - Dump'!$A:$A,'Ad Type '!$A28)</f>
        <v>17</v>
      </c>
      <c r="G28" s="23">
        <f t="shared" si="22"/>
        <v>0.01229211858</v>
      </c>
      <c r="H28" s="41">
        <f>SUMIFS('Campaign - Dump'!$U:$U,'Campaign - Dump'!$E:$E,'Ad Type '!$B28,'Campaign - Dump'!$A:$A,'Ad Type '!$A28)</f>
        <v>289701.68</v>
      </c>
      <c r="I28" s="23">
        <f t="shared" si="23"/>
        <v>0.1245919941</v>
      </c>
      <c r="J28" s="38">
        <f t="shared" si="24"/>
        <v>8.02619789</v>
      </c>
    </row>
    <row r="29" ht="15.75" customHeight="1">
      <c r="A29" s="19" t="s">
        <v>48</v>
      </c>
      <c r="B29" s="3" t="s">
        <v>462</v>
      </c>
      <c r="C29" s="41">
        <f>SUMIFS('Campaign - Dump'!$Q:$Q,'Campaign - Dump'!$E:$E,'Ad Type '!$B29,'Campaign - Dump'!$A:$A,'Ad Type '!$A29)</f>
        <v>87434.98</v>
      </c>
      <c r="D29" s="41">
        <f>SUMIFS('Campaign - Dump'!$O:$O,'Campaign - Dump'!$E:$E,'Ad Type '!$B29,'Campaign - Dump'!$A:$A,'Ad Type '!$A29)</f>
        <v>6114</v>
      </c>
      <c r="E29" s="38">
        <f t="shared" si="21"/>
        <v>14.30078181</v>
      </c>
      <c r="F29" s="130">
        <f>SUMIFS('Campaign - Dump'!$T:$T,'Campaign - Dump'!$E:$E,'Ad Type '!$B29,'Campaign - Dump'!$A:$A,'Ad Type '!$A29)</f>
        <v>27</v>
      </c>
      <c r="G29" s="23">
        <f t="shared" si="22"/>
        <v>0.00441609421</v>
      </c>
      <c r="H29" s="41">
        <f>SUMIFS('Campaign - Dump'!$U:$U,'Campaign - Dump'!$E:$E,'Ad Type '!$B29,'Campaign - Dump'!$A:$A,'Ad Type '!$A29)</f>
        <v>521355.07</v>
      </c>
      <c r="I29" s="23">
        <f t="shared" si="23"/>
        <v>0.1677071636</v>
      </c>
      <c r="J29" s="38">
        <f t="shared" si="24"/>
        <v>5.96277451</v>
      </c>
    </row>
    <row r="30" ht="15.75" customHeight="1">
      <c r="A30" s="19" t="s">
        <v>48</v>
      </c>
      <c r="B30" s="3" t="s">
        <v>463</v>
      </c>
      <c r="C30" s="41">
        <f>SUMIFS('Campaign - Dump'!$Q:$Q,'Campaign - Dump'!$E:$E,'Ad Type '!$B30,'Campaign - Dump'!$A:$A,'Ad Type '!$A30)</f>
        <v>72112.04</v>
      </c>
      <c r="D30" s="41">
        <f>SUMIFS('Campaign - Dump'!$O:$O,'Campaign - Dump'!$E:$E,'Ad Type '!$B30,'Campaign - Dump'!$A:$A,'Ad Type '!$A30)</f>
        <v>6982</v>
      </c>
      <c r="E30" s="38">
        <f t="shared" si="21"/>
        <v>10.32827843</v>
      </c>
      <c r="F30" s="41">
        <f>SUMIFS('Campaign - Dump'!$T:$T,'Campaign - Dump'!$E:$E,'Ad Type '!$B30,'Campaign - Dump'!$A:$A,'Ad Type '!$A30)</f>
        <v>27</v>
      </c>
      <c r="G30" s="23">
        <f t="shared" si="22"/>
        <v>0.003867086795</v>
      </c>
      <c r="H30" s="41">
        <f>SUMIFS('Campaign - Dump'!$U:$U,'Campaign - Dump'!$E:$E,'Ad Type '!$B30,'Campaign - Dump'!$A:$A,'Ad Type '!$A30)</f>
        <v>555167.8</v>
      </c>
      <c r="I30" s="23">
        <f t="shared" si="23"/>
        <v>0.1298923317</v>
      </c>
      <c r="J30" s="38">
        <f t="shared" si="24"/>
        <v>7.698683881</v>
      </c>
    </row>
    <row r="31" ht="15.75" customHeight="1">
      <c r="A31" s="19" t="s">
        <v>48</v>
      </c>
      <c r="B31" s="159" t="s">
        <v>231</v>
      </c>
      <c r="C31" s="160">
        <f t="shared" ref="C31:D31" si="25">SUM(C26:C30)</f>
        <v>554591.97</v>
      </c>
      <c r="D31" s="160">
        <f t="shared" si="25"/>
        <v>24451</v>
      </c>
      <c r="E31" s="161">
        <f>C31/D31</f>
        <v>22.68177048</v>
      </c>
      <c r="F31" s="160">
        <f>SUM(F26:F30)</f>
        <v>196</v>
      </c>
      <c r="G31" s="162">
        <f>F31/D31</f>
        <v>0.008016032064</v>
      </c>
      <c r="H31" s="160">
        <f>SUM(H26:H30)</f>
        <v>3582316.38</v>
      </c>
      <c r="I31" s="162">
        <f>C31/H31</f>
        <v>0.1548137884</v>
      </c>
      <c r="J31" s="161">
        <f>H31/C31</f>
        <v>6.459372969</v>
      </c>
    </row>
    <row r="32" ht="15.75" customHeight="1">
      <c r="A32" s="19" t="s">
        <v>50</v>
      </c>
      <c r="B32" s="3" t="s">
        <v>459</v>
      </c>
      <c r="C32" s="41">
        <f>SUMIFS('Campaign - Dump'!$Q:$Q,'Campaign - Dump'!$E:$E,'Ad Type '!$B32,'Campaign - Dump'!$A:$A,'Ad Type '!$A32)</f>
        <v>402593.14</v>
      </c>
      <c r="D32" s="41">
        <f>SUMIFS('Campaign - Dump'!$O:$O,'Campaign - Dump'!$E:$E,'Ad Type '!$B32,'Campaign - Dump'!$A:$A,'Ad Type '!$A32)</f>
        <v>9052</v>
      </c>
      <c r="E32" s="38">
        <f t="shared" ref="E32:E36" si="26">IFERROR(C32/D32,0)</f>
        <v>44.47560097</v>
      </c>
      <c r="F32" s="41">
        <f>SUMIFS('Campaign - Dump'!$T:$T,'Campaign - Dump'!$E:$E,'Ad Type '!$B32,'Campaign - Dump'!$A:$A,'Ad Type '!$A32)</f>
        <v>117</v>
      </c>
      <c r="G32" s="23">
        <f t="shared" ref="G32:G36" si="27">IFERROR(F32/D32,0)</f>
        <v>0.01292532037</v>
      </c>
      <c r="H32" s="41">
        <f>SUMIFS('Campaign - Dump'!$U:$U,'Campaign - Dump'!$E:$E,'Ad Type '!$B32,'Campaign - Dump'!$A:$A,'Ad Type '!$A32)</f>
        <v>2698674.5</v>
      </c>
      <c r="I32" s="23">
        <f t="shared" ref="I32:I36" si="28">IFERROR(C32/H32,0)</f>
        <v>0.1491818076</v>
      </c>
      <c r="J32" s="38">
        <f t="shared" ref="J32:J36" si="29">IFERROR(H32/C32,0)</f>
        <v>6.703230214</v>
      </c>
    </row>
    <row r="33" ht="15.75" customHeight="1">
      <c r="A33" s="19" t="s">
        <v>50</v>
      </c>
      <c r="B33" s="3" t="s">
        <v>460</v>
      </c>
      <c r="C33" s="41">
        <f>SUMIFS('Campaign - Dump'!$Q:$Q,'Campaign - Dump'!$E:$E,'Ad Type '!$B33,'Campaign - Dump'!$A:$A,'Ad Type '!$A33)</f>
        <v>13224.34</v>
      </c>
      <c r="D33" s="41">
        <f>SUMIFS('Campaign - Dump'!$O:$O,'Campaign - Dump'!$E:$E,'Ad Type '!$B33,'Campaign - Dump'!$A:$A,'Ad Type '!$A33)</f>
        <v>2265</v>
      </c>
      <c r="E33" s="38">
        <f t="shared" si="26"/>
        <v>5.838560706</v>
      </c>
      <c r="F33" s="41">
        <f>SUMIFS('Campaign - Dump'!$T:$T,'Campaign - Dump'!$E:$E,'Ad Type '!$B33,'Campaign - Dump'!$A:$A,'Ad Type '!$A33)</f>
        <v>32</v>
      </c>
      <c r="G33" s="23">
        <f t="shared" si="27"/>
        <v>0.01412803532</v>
      </c>
      <c r="H33" s="41">
        <f>SUMIFS('Campaign - Dump'!$U:$U,'Campaign - Dump'!$E:$E,'Ad Type '!$B33,'Campaign - Dump'!$A:$A,'Ad Type '!$A33)</f>
        <v>57345.72</v>
      </c>
      <c r="I33" s="23">
        <f t="shared" si="28"/>
        <v>0.2306072711</v>
      </c>
      <c r="J33" s="38">
        <f t="shared" si="29"/>
        <v>4.336376711</v>
      </c>
    </row>
    <row r="34" ht="15.75" customHeight="1">
      <c r="A34" s="19" t="s">
        <v>50</v>
      </c>
      <c r="B34" s="3" t="s">
        <v>461</v>
      </c>
      <c r="C34" s="41">
        <f>SUMIFS('Campaign - Dump'!$Q:$Q,'Campaign - Dump'!$E:$E,'Ad Type '!$B34,'Campaign - Dump'!$A:$A,'Ad Type '!$A34)</f>
        <v>36328.9</v>
      </c>
      <c r="D34" s="41">
        <f>SUMIFS('Campaign - Dump'!$O:$O,'Campaign - Dump'!$E:$E,'Ad Type '!$B34,'Campaign - Dump'!$A:$A,'Ad Type '!$A34)</f>
        <v>1343</v>
      </c>
      <c r="E34" s="38">
        <f t="shared" si="26"/>
        <v>27.05055845</v>
      </c>
      <c r="F34" s="130">
        <f>SUMIFS('Campaign - Dump'!$T:$T,'Campaign - Dump'!$E:$E,'Ad Type '!$B34,'Campaign - Dump'!$A:$A,'Ad Type '!$A34)</f>
        <v>5</v>
      </c>
      <c r="G34" s="23">
        <f t="shared" si="27"/>
        <v>0.003723008191</v>
      </c>
      <c r="H34" s="41">
        <f>SUMIFS('Campaign - Dump'!$U:$U,'Campaign - Dump'!$E:$E,'Ad Type '!$B34,'Campaign - Dump'!$A:$A,'Ad Type '!$A34)</f>
        <v>92795.75</v>
      </c>
      <c r="I34" s="23">
        <f t="shared" si="28"/>
        <v>0.3914931449</v>
      </c>
      <c r="J34" s="38">
        <f t="shared" si="29"/>
        <v>2.554323142</v>
      </c>
    </row>
    <row r="35" ht="15.75" customHeight="1">
      <c r="A35" s="19" t="s">
        <v>50</v>
      </c>
      <c r="B35" s="3" t="s">
        <v>462</v>
      </c>
      <c r="C35" s="41">
        <f>SUMIFS('Campaign - Dump'!$Q:$Q,'Campaign - Dump'!$E:$E,'Ad Type '!$B35,'Campaign - Dump'!$A:$A,'Ad Type '!$A35)</f>
        <v>94978.34</v>
      </c>
      <c r="D35" s="41">
        <f>SUMIFS('Campaign - Dump'!$O:$O,'Campaign - Dump'!$E:$E,'Ad Type '!$B35,'Campaign - Dump'!$A:$A,'Ad Type '!$A35)</f>
        <v>6449</v>
      </c>
      <c r="E35" s="38">
        <f t="shared" si="26"/>
        <v>14.72760738</v>
      </c>
      <c r="F35" s="130">
        <f>SUMIFS('Campaign - Dump'!$T:$T,'Campaign - Dump'!$E:$E,'Ad Type '!$B35,'Campaign - Dump'!$A:$A,'Ad Type '!$A35)</f>
        <v>11</v>
      </c>
      <c r="G35" s="23">
        <f t="shared" si="27"/>
        <v>0.001705690805</v>
      </c>
      <c r="H35" s="41">
        <f>SUMIFS('Campaign - Dump'!$U:$U,'Campaign - Dump'!$E:$E,'Ad Type '!$B35,'Campaign - Dump'!$A:$A,'Ad Type '!$A35)</f>
        <v>207627.12</v>
      </c>
      <c r="I35" s="23">
        <f t="shared" si="28"/>
        <v>0.4574466958</v>
      </c>
      <c r="J35" s="38">
        <f t="shared" si="29"/>
        <v>2.18604705</v>
      </c>
    </row>
    <row r="36" ht="15.75" customHeight="1">
      <c r="A36" s="19" t="s">
        <v>50</v>
      </c>
      <c r="B36" s="3" t="s">
        <v>463</v>
      </c>
      <c r="C36" s="41">
        <f>SUMIFS('Campaign - Dump'!$Q:$Q,'Campaign - Dump'!$E:$E,'Ad Type '!$B36,'Campaign - Dump'!$A:$A,'Ad Type '!$A36)</f>
        <v>89415.25</v>
      </c>
      <c r="D36" s="41">
        <f>SUMIFS('Campaign - Dump'!$O:$O,'Campaign - Dump'!$E:$E,'Ad Type '!$B36,'Campaign - Dump'!$A:$A,'Ad Type '!$A36)</f>
        <v>6169</v>
      </c>
      <c r="E36" s="38">
        <f t="shared" si="26"/>
        <v>14.49428595</v>
      </c>
      <c r="F36" s="41">
        <f>SUMIFS('Campaign - Dump'!$T:$T,'Campaign - Dump'!$E:$E,'Ad Type '!$B36,'Campaign - Dump'!$A:$A,'Ad Type '!$A36)</f>
        <v>27</v>
      </c>
      <c r="G36" s="23">
        <f t="shared" si="27"/>
        <v>0.004376722321</v>
      </c>
      <c r="H36" s="41">
        <f>SUMIFS('Campaign - Dump'!$U:$U,'Campaign - Dump'!$E:$E,'Ad Type '!$B36,'Campaign - Dump'!$A:$A,'Ad Type '!$A36)</f>
        <v>483172.87</v>
      </c>
      <c r="I36" s="23">
        <f t="shared" si="28"/>
        <v>0.1850585071</v>
      </c>
      <c r="J36" s="38">
        <f t="shared" si="29"/>
        <v>5.403696461</v>
      </c>
    </row>
    <row r="37" ht="15.75" customHeight="1">
      <c r="A37" s="19" t="s">
        <v>50</v>
      </c>
      <c r="B37" s="159" t="s">
        <v>231</v>
      </c>
      <c r="C37" s="160">
        <f t="shared" ref="C37:D37" si="30">SUM(C32:C36)</f>
        <v>636539.97</v>
      </c>
      <c r="D37" s="160">
        <f t="shared" si="30"/>
        <v>25278</v>
      </c>
      <c r="E37" s="161">
        <f>C37/D37</f>
        <v>25.18157963</v>
      </c>
      <c r="F37" s="160">
        <f>SUM(F32:F36)</f>
        <v>192</v>
      </c>
      <c r="G37" s="162">
        <f>F37/D37</f>
        <v>0.007595537622</v>
      </c>
      <c r="H37" s="160">
        <f>SUM(H32:H36)</f>
        <v>3539615.96</v>
      </c>
      <c r="I37" s="162">
        <f>C37/H37</f>
        <v>0.1798330602</v>
      </c>
      <c r="J37" s="161">
        <f>H37/C37</f>
        <v>5.560712802</v>
      </c>
    </row>
    <row r="38" ht="15.75" customHeight="1">
      <c r="A38" s="19" t="s">
        <v>54</v>
      </c>
      <c r="B38" s="3" t="s">
        <v>459</v>
      </c>
      <c r="C38" s="41">
        <f>SUMIFS('Campaign - Dump'!$Q:$Q,'Campaign - Dump'!$E:$E,'Ad Type '!$B38,'Campaign - Dump'!$A:$A,'Ad Type '!$A38)</f>
        <v>629585.58</v>
      </c>
      <c r="D38" s="41">
        <f>SUMIFS('Campaign - Dump'!$O:$O,'Campaign - Dump'!$E:$E,'Ad Type '!$B38,'Campaign - Dump'!$A:$A,'Ad Type '!$A38)</f>
        <v>11047</v>
      </c>
      <c r="E38" s="38">
        <f t="shared" ref="E38:E42" si="31">IFERROR(C38/D38,0)</f>
        <v>56.99154341</v>
      </c>
      <c r="F38" s="41">
        <f>SUMIFS('Campaign - Dump'!$T:$T,'Campaign - Dump'!$E:$E,'Ad Type '!$B38,'Campaign - Dump'!$A:$A,'Ad Type '!$A38)</f>
        <v>185</v>
      </c>
      <c r="G38" s="23">
        <f t="shared" ref="G38:G42" si="32">IFERROR(F38/D38,0)</f>
        <v>0.01674662804</v>
      </c>
      <c r="H38" s="41">
        <f>SUMIFS('Campaign - Dump'!$U:$U,'Campaign - Dump'!$E:$E,'Ad Type '!$B38,'Campaign - Dump'!$A:$A,'Ad Type '!$A38)</f>
        <v>3701396.52</v>
      </c>
      <c r="I38" s="23">
        <f t="shared" ref="I38:I42" si="33">IFERROR(C38/H38,0)</f>
        <v>0.1700940649</v>
      </c>
      <c r="J38" s="38">
        <f t="shared" ref="J38:J42" si="34">IFERROR(H38/C38,0)</f>
        <v>5.879099899</v>
      </c>
    </row>
    <row r="39" ht="15.75" customHeight="1">
      <c r="A39" s="19" t="s">
        <v>54</v>
      </c>
      <c r="B39" s="3" t="s">
        <v>460</v>
      </c>
      <c r="C39" s="41">
        <f>SUMIFS('Campaign - Dump'!$Q:$Q,'Campaign - Dump'!$E:$E,'Ad Type '!$B39,'Campaign - Dump'!$A:$A,'Ad Type '!$A39)</f>
        <v>8713.68</v>
      </c>
      <c r="D39" s="41">
        <f>SUMIFS('Campaign - Dump'!$O:$O,'Campaign - Dump'!$E:$E,'Ad Type '!$B39,'Campaign - Dump'!$A:$A,'Ad Type '!$A39)</f>
        <v>1234</v>
      </c>
      <c r="E39" s="38">
        <f t="shared" si="31"/>
        <v>7.061329011</v>
      </c>
      <c r="F39" s="41">
        <f>SUMIFS('Campaign - Dump'!$T:$T,'Campaign - Dump'!$E:$E,'Ad Type '!$B39,'Campaign - Dump'!$A:$A,'Ad Type '!$A39)</f>
        <v>26</v>
      </c>
      <c r="G39" s="23">
        <f t="shared" si="32"/>
        <v>0.02106969206</v>
      </c>
      <c r="H39" s="41">
        <f>SUMIFS('Campaign - Dump'!$U:$U,'Campaign - Dump'!$E:$E,'Ad Type '!$B39,'Campaign - Dump'!$A:$A,'Ad Type '!$A39)</f>
        <v>159511.85</v>
      </c>
      <c r="I39" s="23">
        <f t="shared" si="33"/>
        <v>0.05462716406</v>
      </c>
      <c r="J39" s="38">
        <f t="shared" si="34"/>
        <v>18.30591094</v>
      </c>
    </row>
    <row r="40" ht="15.75" customHeight="1">
      <c r="A40" s="19" t="s">
        <v>54</v>
      </c>
      <c r="B40" s="3" t="s">
        <v>461</v>
      </c>
      <c r="C40" s="41">
        <f>SUMIFS('Campaign - Dump'!$Q:$Q,'Campaign - Dump'!$E:$E,'Ad Type '!$B40,'Campaign - Dump'!$A:$A,'Ad Type '!$A40)</f>
        <v>77912.15</v>
      </c>
      <c r="D40" s="41">
        <f>SUMIFS('Campaign - Dump'!$O:$O,'Campaign - Dump'!$E:$E,'Ad Type '!$B40,'Campaign - Dump'!$A:$A,'Ad Type '!$A40)</f>
        <v>2337</v>
      </c>
      <c r="E40" s="38">
        <f t="shared" si="31"/>
        <v>33.33853231</v>
      </c>
      <c r="F40" s="130">
        <f>SUMIFS('Campaign - Dump'!$T:$T,'Campaign - Dump'!$E:$E,'Ad Type '!$B40,'Campaign - Dump'!$A:$A,'Ad Type '!$A40)</f>
        <v>19</v>
      </c>
      <c r="G40" s="23">
        <f t="shared" si="32"/>
        <v>0.008130081301</v>
      </c>
      <c r="H40" s="41">
        <f>SUMIFS('Campaign - Dump'!$U:$U,'Campaign - Dump'!$E:$E,'Ad Type '!$B40,'Campaign - Dump'!$A:$A,'Ad Type '!$A40)</f>
        <v>328683.92</v>
      </c>
      <c r="I40" s="23">
        <f t="shared" si="33"/>
        <v>0.2370427796</v>
      </c>
      <c r="J40" s="38">
        <f t="shared" si="34"/>
        <v>4.218647798</v>
      </c>
    </row>
    <row r="41" ht="15.75" customHeight="1">
      <c r="A41" s="19" t="s">
        <v>54</v>
      </c>
      <c r="B41" s="3" t="s">
        <v>462</v>
      </c>
      <c r="C41" s="41">
        <f>SUMIFS('Campaign - Dump'!$Q:$Q,'Campaign - Dump'!$E:$E,'Ad Type '!$B41,'Campaign - Dump'!$A:$A,'Ad Type '!$A41)</f>
        <v>120401.05</v>
      </c>
      <c r="D41" s="41">
        <f>SUMIFS('Campaign - Dump'!$O:$O,'Campaign - Dump'!$E:$E,'Ad Type '!$B41,'Campaign - Dump'!$A:$A,'Ad Type '!$A41)</f>
        <v>9418</v>
      </c>
      <c r="E41" s="38">
        <f t="shared" si="31"/>
        <v>12.78414207</v>
      </c>
      <c r="F41" s="130">
        <f>SUMIFS('Campaign - Dump'!$T:$T,'Campaign - Dump'!$E:$E,'Ad Type '!$B41,'Campaign - Dump'!$A:$A,'Ad Type '!$A41)</f>
        <v>16</v>
      </c>
      <c r="G41" s="23">
        <f t="shared" si="32"/>
        <v>0.001698874496</v>
      </c>
      <c r="H41" s="41">
        <f>SUMIFS('Campaign - Dump'!$U:$U,'Campaign - Dump'!$E:$E,'Ad Type '!$B41,'Campaign - Dump'!$A:$A,'Ad Type '!$A41)</f>
        <v>261304.25</v>
      </c>
      <c r="I41" s="23">
        <f t="shared" si="33"/>
        <v>0.4607695818</v>
      </c>
      <c r="J41" s="38">
        <f t="shared" si="34"/>
        <v>2.170282153</v>
      </c>
    </row>
    <row r="42" ht="15.75" customHeight="1">
      <c r="A42" s="19" t="s">
        <v>54</v>
      </c>
      <c r="B42" s="3" t="s">
        <v>463</v>
      </c>
      <c r="C42" s="41">
        <f>SUMIFS('Campaign - Dump'!$Q:$Q,'Campaign - Dump'!$E:$E,'Ad Type '!$B42,'Campaign - Dump'!$A:$A,'Ad Type '!$A42)</f>
        <v>78593.17</v>
      </c>
      <c r="D42" s="41">
        <f>SUMIFS('Campaign - Dump'!$O:$O,'Campaign - Dump'!$E:$E,'Ad Type '!$B42,'Campaign - Dump'!$A:$A,'Ad Type '!$A42)</f>
        <v>4749</v>
      </c>
      <c r="E42" s="38">
        <f t="shared" si="31"/>
        <v>16.54941461</v>
      </c>
      <c r="F42" s="41">
        <f>SUMIFS('Campaign - Dump'!$T:$T,'Campaign - Dump'!$E:$E,'Ad Type '!$B42,'Campaign - Dump'!$A:$A,'Ad Type '!$A42)</f>
        <v>40</v>
      </c>
      <c r="G42" s="23">
        <f t="shared" si="32"/>
        <v>0.008422825858</v>
      </c>
      <c r="H42" s="41">
        <f>SUMIFS('Campaign - Dump'!$U:$U,'Campaign - Dump'!$E:$E,'Ad Type '!$B42,'Campaign - Dump'!$A:$A,'Ad Type '!$A42)</f>
        <v>789349.19</v>
      </c>
      <c r="I42" s="23">
        <f t="shared" si="33"/>
        <v>0.09956704966</v>
      </c>
      <c r="J42" s="38">
        <f t="shared" si="34"/>
        <v>10.0434833</v>
      </c>
    </row>
    <row r="43" ht="15.75" customHeight="1">
      <c r="A43" s="19" t="s">
        <v>54</v>
      </c>
      <c r="B43" s="159" t="s">
        <v>231</v>
      </c>
      <c r="C43" s="160">
        <f t="shared" ref="C43:D43" si="35">SUM(C38:C42)</f>
        <v>915205.63</v>
      </c>
      <c r="D43" s="160">
        <f t="shared" si="35"/>
        <v>28785</v>
      </c>
      <c r="E43" s="161">
        <f>C43/D43</f>
        <v>31.79453292</v>
      </c>
      <c r="F43" s="160">
        <f>SUM(F38:F42)</f>
        <v>286</v>
      </c>
      <c r="G43" s="162">
        <f>F43/D43</f>
        <v>0.009935730415</v>
      </c>
      <c r="H43" s="160">
        <f>SUM(H38:H42)</f>
        <v>5240245.73</v>
      </c>
      <c r="I43" s="162">
        <f>C43/H43</f>
        <v>0.1746493728</v>
      </c>
      <c r="J43" s="161">
        <f>H43/C43</f>
        <v>5.725757751</v>
      </c>
    </row>
    <row r="44" ht="15.75" customHeight="1">
      <c r="A44" s="19" t="s">
        <v>56</v>
      </c>
      <c r="B44" s="3" t="s">
        <v>459</v>
      </c>
      <c r="C44" s="41">
        <f>SUMIFS('Campaign - Dump'!$Q:$Q,'Campaign - Dump'!$E:$E,'Ad Type '!$B44,'Campaign - Dump'!$A:$A,'Ad Type '!$A44)</f>
        <v>488635.4</v>
      </c>
      <c r="D44" s="41">
        <f>SUMIFS('Campaign - Dump'!$O:$O,'Campaign - Dump'!$E:$E,'Ad Type '!$B44,'Campaign - Dump'!$A:$A,'Ad Type '!$A44)</f>
        <v>9571</v>
      </c>
      <c r="E44" s="38">
        <f t="shared" ref="E44:E48" si="36">IFERROR(C44/D44,0)</f>
        <v>51.05374569</v>
      </c>
      <c r="F44" s="41">
        <f>SUMIFS('Campaign - Dump'!$T:$T,'Campaign - Dump'!$E:$E,'Ad Type '!$B44,'Campaign - Dump'!$A:$A,'Ad Type '!$A44)</f>
        <v>112</v>
      </c>
      <c r="G44" s="23">
        <f t="shared" ref="G44:G48" si="37">IFERROR(F44/D44,0)</f>
        <v>0.01170201651</v>
      </c>
      <c r="H44" s="41">
        <f>SUMIFS('Campaign - Dump'!$U:$U,'Campaign - Dump'!$E:$E,'Ad Type '!$B44,'Campaign - Dump'!$A:$A,'Ad Type '!$A44)</f>
        <v>2356546.45</v>
      </c>
      <c r="I44" s="23">
        <f t="shared" ref="I44:I48" si="38">IFERROR(C44/H44,0)</f>
        <v>0.2073523312</v>
      </c>
      <c r="J44" s="38">
        <f t="shared" ref="J44:J48" si="39">IFERROR(H44/C44,0)</f>
        <v>4.822709222</v>
      </c>
    </row>
    <row r="45" ht="15.75" customHeight="1">
      <c r="A45" s="19" t="s">
        <v>56</v>
      </c>
      <c r="B45" s="3" t="s">
        <v>460</v>
      </c>
      <c r="C45" s="41">
        <f>SUMIFS('Campaign - Dump'!$Q:$Q,'Campaign - Dump'!$E:$E,'Ad Type '!$B45,'Campaign - Dump'!$A:$A,'Ad Type '!$A45)</f>
        <v>13592.88</v>
      </c>
      <c r="D45" s="41">
        <f>SUMIFS('Campaign - Dump'!$O:$O,'Campaign - Dump'!$E:$E,'Ad Type '!$B45,'Campaign - Dump'!$A:$A,'Ad Type '!$A45)</f>
        <v>2104</v>
      </c>
      <c r="E45" s="38">
        <f t="shared" si="36"/>
        <v>6.460494297</v>
      </c>
      <c r="F45" s="41">
        <f>SUMIFS('Campaign - Dump'!$T:$T,'Campaign - Dump'!$E:$E,'Ad Type '!$B45,'Campaign - Dump'!$A:$A,'Ad Type '!$A45)</f>
        <v>44</v>
      </c>
      <c r="G45" s="23">
        <f t="shared" si="37"/>
        <v>0.02091254753</v>
      </c>
      <c r="H45" s="41">
        <f>SUMIFS('Campaign - Dump'!$U:$U,'Campaign - Dump'!$E:$E,'Ad Type '!$B45,'Campaign - Dump'!$A:$A,'Ad Type '!$A45)</f>
        <v>117973.67</v>
      </c>
      <c r="I45" s="23">
        <f t="shared" si="38"/>
        <v>0.1152196079</v>
      </c>
      <c r="J45" s="38">
        <f t="shared" si="39"/>
        <v>8.679078312</v>
      </c>
    </row>
    <row r="46" ht="15.75" customHeight="1">
      <c r="A46" s="19" t="s">
        <v>56</v>
      </c>
      <c r="B46" s="3" t="s">
        <v>461</v>
      </c>
      <c r="C46" s="41">
        <f>SUMIFS('Campaign - Dump'!$Q:$Q,'Campaign - Dump'!$E:$E,'Ad Type '!$B46,'Campaign - Dump'!$A:$A,'Ad Type '!$A46)</f>
        <v>48027.09</v>
      </c>
      <c r="D46" s="41">
        <f>SUMIFS('Campaign - Dump'!$O:$O,'Campaign - Dump'!$E:$E,'Ad Type '!$B46,'Campaign - Dump'!$A:$A,'Ad Type '!$A46)</f>
        <v>2151</v>
      </c>
      <c r="E46" s="38">
        <f t="shared" si="36"/>
        <v>22.32779637</v>
      </c>
      <c r="F46" s="130">
        <f>SUMIFS('Campaign - Dump'!$T:$T,'Campaign - Dump'!$E:$E,'Ad Type '!$B46,'Campaign - Dump'!$A:$A,'Ad Type '!$A46)</f>
        <v>14</v>
      </c>
      <c r="G46" s="23">
        <f t="shared" si="37"/>
        <v>0.006508600651</v>
      </c>
      <c r="H46" s="41">
        <f>SUMIFS('Campaign - Dump'!$U:$U,'Campaign - Dump'!$E:$E,'Ad Type '!$B46,'Campaign - Dump'!$A:$A,'Ad Type '!$A46)</f>
        <v>261352.53</v>
      </c>
      <c r="I46" s="23">
        <f t="shared" si="38"/>
        <v>0.1837636314</v>
      </c>
      <c r="J46" s="38">
        <f t="shared" si="39"/>
        <v>5.441773174</v>
      </c>
    </row>
    <row r="47" ht="15.75" customHeight="1">
      <c r="A47" s="19" t="s">
        <v>56</v>
      </c>
      <c r="B47" s="3" t="s">
        <v>462</v>
      </c>
      <c r="C47" s="41">
        <f>SUMIFS('Campaign - Dump'!$Q:$Q,'Campaign - Dump'!$E:$E,'Ad Type '!$B47,'Campaign - Dump'!$A:$A,'Ad Type '!$A47)</f>
        <v>60671.64</v>
      </c>
      <c r="D47" s="41">
        <f>SUMIFS('Campaign - Dump'!$O:$O,'Campaign - Dump'!$E:$E,'Ad Type '!$B47,'Campaign - Dump'!$A:$A,'Ad Type '!$A47)</f>
        <v>5635</v>
      </c>
      <c r="E47" s="38">
        <f t="shared" si="36"/>
        <v>10.76692813</v>
      </c>
      <c r="F47" s="130">
        <f>SUMIFS('Campaign - Dump'!$T:$T,'Campaign - Dump'!$E:$E,'Ad Type '!$B47,'Campaign - Dump'!$A:$A,'Ad Type '!$A47)</f>
        <v>17</v>
      </c>
      <c r="G47" s="23">
        <f t="shared" si="37"/>
        <v>0.003016858917</v>
      </c>
      <c r="H47" s="41">
        <f>SUMIFS('Campaign - Dump'!$U:$U,'Campaign - Dump'!$E:$E,'Ad Type '!$B47,'Campaign - Dump'!$A:$A,'Ad Type '!$A47)</f>
        <v>384278.79</v>
      </c>
      <c r="I47" s="23">
        <f t="shared" si="38"/>
        <v>0.1578844359</v>
      </c>
      <c r="J47" s="38">
        <f t="shared" si="39"/>
        <v>6.333746541</v>
      </c>
    </row>
    <row r="48" ht="15.75" customHeight="1">
      <c r="A48" s="19" t="s">
        <v>56</v>
      </c>
      <c r="B48" s="3" t="s">
        <v>463</v>
      </c>
      <c r="C48" s="41">
        <f>SUMIFS('Campaign - Dump'!$Q:$Q,'Campaign - Dump'!$E:$E,'Ad Type '!$B48,'Campaign - Dump'!$A:$A,'Ad Type '!$A48)</f>
        <v>101561.03</v>
      </c>
      <c r="D48" s="41">
        <f>SUMIFS('Campaign - Dump'!$O:$O,'Campaign - Dump'!$E:$E,'Ad Type '!$B48,'Campaign - Dump'!$A:$A,'Ad Type '!$A48)</f>
        <v>6645</v>
      </c>
      <c r="E48" s="38">
        <f t="shared" si="36"/>
        <v>15.28382694</v>
      </c>
      <c r="F48" s="41">
        <f>SUMIFS('Campaign - Dump'!$T:$T,'Campaign - Dump'!$E:$E,'Ad Type '!$B48,'Campaign - Dump'!$A:$A,'Ad Type '!$A48)</f>
        <v>33</v>
      </c>
      <c r="G48" s="23">
        <f t="shared" si="37"/>
        <v>0.004966139955</v>
      </c>
      <c r="H48" s="41">
        <f>SUMIFS('Campaign - Dump'!$U:$U,'Campaign - Dump'!$E:$E,'Ad Type '!$B48,'Campaign - Dump'!$A:$A,'Ad Type '!$A48)</f>
        <v>670196.6</v>
      </c>
      <c r="I48" s="23">
        <f t="shared" si="38"/>
        <v>0.1515391603</v>
      </c>
      <c r="J48" s="38">
        <f t="shared" si="39"/>
        <v>6.598954343</v>
      </c>
    </row>
    <row r="49" ht="15.75" customHeight="1">
      <c r="A49" s="19" t="s">
        <v>56</v>
      </c>
      <c r="B49" s="159" t="s">
        <v>231</v>
      </c>
      <c r="C49" s="160">
        <f t="shared" ref="C49:D49" si="40">SUM(C44:C48)</f>
        <v>712488.04</v>
      </c>
      <c r="D49" s="160">
        <f t="shared" si="40"/>
        <v>26106</v>
      </c>
      <c r="E49" s="161">
        <f>C49/D49</f>
        <v>27.29211829</v>
      </c>
      <c r="F49" s="160">
        <f>SUM(F44:F48)</f>
        <v>220</v>
      </c>
      <c r="G49" s="162">
        <f>F49/D49</f>
        <v>0.008427181491</v>
      </c>
      <c r="H49" s="160">
        <f>SUM(H44:H48)</f>
        <v>3790348.04</v>
      </c>
      <c r="I49" s="162">
        <f>C49/H49</f>
        <v>0.1879743054</v>
      </c>
      <c r="J49" s="161">
        <f>H49/C49</f>
        <v>5.319876022</v>
      </c>
    </row>
    <row r="50" ht="15.75" customHeight="1">
      <c r="A50" s="19" t="s">
        <v>58</v>
      </c>
      <c r="B50" s="3" t="s">
        <v>459</v>
      </c>
      <c r="C50" s="41">
        <f>SUMIFS('Campaign - Dump'!$Q:$Q,'Campaign - Dump'!$E:$E,'Ad Type '!$B50,'Campaign - Dump'!$A:$A,'Ad Type '!$A50)</f>
        <v>600029.98</v>
      </c>
      <c r="D50" s="41">
        <f>SUMIFS('Campaign - Dump'!$O:$O,'Campaign - Dump'!$E:$E,'Ad Type '!$B50,'Campaign - Dump'!$A:$A,'Ad Type '!$A50)</f>
        <v>10102</v>
      </c>
      <c r="E50" s="38">
        <f t="shared" ref="E50:E54" si="41">IFERROR(C50/D50,0)</f>
        <v>59.3971471</v>
      </c>
      <c r="F50" s="41">
        <f>SUMIFS('Campaign - Dump'!$T:$T,'Campaign - Dump'!$E:$E,'Ad Type '!$B50,'Campaign - Dump'!$A:$A,'Ad Type '!$A50)</f>
        <v>165</v>
      </c>
      <c r="G50" s="23">
        <f t="shared" ref="G50:G54" si="42">IFERROR(F50/D50,0)</f>
        <v>0.01633339933</v>
      </c>
      <c r="H50" s="41">
        <f>SUMIFS('Campaign - Dump'!$U:$U,'Campaign - Dump'!$E:$E,'Ad Type '!$B50,'Campaign - Dump'!$A:$A,'Ad Type '!$A50)</f>
        <v>3415422.03</v>
      </c>
      <c r="I50" s="23">
        <f t="shared" ref="I50:I54" si="43">IFERROR(C50/H50,0)</f>
        <v>0.175682529</v>
      </c>
      <c r="J50" s="38">
        <f t="shared" ref="J50:J54" si="44">IFERROR(H50/C50,0)</f>
        <v>5.692085635</v>
      </c>
    </row>
    <row r="51" ht="15.75" customHeight="1">
      <c r="A51" s="19" t="s">
        <v>58</v>
      </c>
      <c r="B51" s="3" t="s">
        <v>460</v>
      </c>
      <c r="C51" s="41">
        <f>SUMIFS('Campaign - Dump'!$Q:$Q,'Campaign - Dump'!$E:$E,'Ad Type '!$B51,'Campaign - Dump'!$A:$A,'Ad Type '!$A51)</f>
        <v>14435.34</v>
      </c>
      <c r="D51" s="41">
        <f>SUMIFS('Campaign - Dump'!$O:$O,'Campaign - Dump'!$E:$E,'Ad Type '!$B51,'Campaign - Dump'!$A:$A,'Ad Type '!$A51)</f>
        <v>2241</v>
      </c>
      <c r="E51" s="38">
        <f t="shared" si="41"/>
        <v>6.441472557</v>
      </c>
      <c r="F51" s="41">
        <f>SUMIFS('Campaign - Dump'!$T:$T,'Campaign - Dump'!$E:$E,'Ad Type '!$B51,'Campaign - Dump'!$A:$A,'Ad Type '!$A51)</f>
        <v>30</v>
      </c>
      <c r="G51" s="23">
        <f t="shared" si="42"/>
        <v>0.01338688086</v>
      </c>
      <c r="H51" s="41">
        <f>SUMIFS('Campaign - Dump'!$U:$U,'Campaign - Dump'!$E:$E,'Ad Type '!$B51,'Campaign - Dump'!$A:$A,'Ad Type '!$A51)</f>
        <v>143587.33</v>
      </c>
      <c r="I51" s="23">
        <f t="shared" si="43"/>
        <v>0.100533522</v>
      </c>
      <c r="J51" s="38">
        <f t="shared" si="44"/>
        <v>9.946930935</v>
      </c>
    </row>
    <row r="52" ht="15.75" customHeight="1">
      <c r="A52" s="19" t="s">
        <v>58</v>
      </c>
      <c r="B52" s="3" t="s">
        <v>461</v>
      </c>
      <c r="C52" s="41">
        <f>SUMIFS('Campaign - Dump'!$Q:$Q,'Campaign - Dump'!$E:$E,'Ad Type '!$B52,'Campaign - Dump'!$A:$A,'Ad Type '!$A52)</f>
        <v>88357.26</v>
      </c>
      <c r="D52" s="41">
        <f>SUMIFS('Campaign - Dump'!$O:$O,'Campaign - Dump'!$E:$E,'Ad Type '!$B52,'Campaign - Dump'!$A:$A,'Ad Type '!$A52)</f>
        <v>2695</v>
      </c>
      <c r="E52" s="38">
        <f t="shared" si="41"/>
        <v>32.78562523</v>
      </c>
      <c r="F52" s="130">
        <f>SUMIFS('Campaign - Dump'!$T:$T,'Campaign - Dump'!$E:$E,'Ad Type '!$B52,'Campaign - Dump'!$A:$A,'Ad Type '!$A52)</f>
        <v>28</v>
      </c>
      <c r="G52" s="23">
        <f t="shared" si="42"/>
        <v>0.01038961039</v>
      </c>
      <c r="H52" s="41">
        <f>SUMIFS('Campaign - Dump'!$U:$U,'Campaign - Dump'!$E:$E,'Ad Type '!$B52,'Campaign - Dump'!$A:$A,'Ad Type '!$A52)</f>
        <v>547626.26</v>
      </c>
      <c r="I52" s="23">
        <f t="shared" si="43"/>
        <v>0.161345915</v>
      </c>
      <c r="J52" s="38">
        <f t="shared" si="44"/>
        <v>6.197863764</v>
      </c>
    </row>
    <row r="53" ht="15.75" customHeight="1">
      <c r="A53" s="19" t="s">
        <v>58</v>
      </c>
      <c r="B53" s="3" t="s">
        <v>462</v>
      </c>
      <c r="C53" s="41">
        <f>SUMIFS('Campaign - Dump'!$Q:$Q,'Campaign - Dump'!$E:$E,'Ad Type '!$B53,'Campaign - Dump'!$A:$A,'Ad Type '!$A53)</f>
        <v>71070.72</v>
      </c>
      <c r="D53" s="41">
        <f>SUMIFS('Campaign - Dump'!$O:$O,'Campaign - Dump'!$E:$E,'Ad Type '!$B53,'Campaign - Dump'!$A:$A,'Ad Type '!$A53)</f>
        <v>5606</v>
      </c>
      <c r="E53" s="38">
        <f t="shared" si="41"/>
        <v>12.67761684</v>
      </c>
      <c r="F53" s="130">
        <f>SUMIFS('Campaign - Dump'!$T:$T,'Campaign - Dump'!$E:$E,'Ad Type '!$B53,'Campaign - Dump'!$A:$A,'Ad Type '!$A53)</f>
        <v>16</v>
      </c>
      <c r="G53" s="23">
        <f t="shared" si="42"/>
        <v>0.002854084909</v>
      </c>
      <c r="H53" s="41">
        <f>SUMIFS('Campaign - Dump'!$U:$U,'Campaign - Dump'!$E:$E,'Ad Type '!$B53,'Campaign - Dump'!$A:$A,'Ad Type '!$A53)</f>
        <v>300140.67</v>
      </c>
      <c r="I53" s="23">
        <f t="shared" si="43"/>
        <v>0.2367913685</v>
      </c>
      <c r="J53" s="38">
        <f t="shared" si="44"/>
        <v>4.223126908</v>
      </c>
    </row>
    <row r="54" ht="15.75" customHeight="1">
      <c r="A54" s="19" t="s">
        <v>58</v>
      </c>
      <c r="B54" s="3" t="s">
        <v>463</v>
      </c>
      <c r="C54" s="41">
        <f>SUMIFS('Campaign - Dump'!$Q:$Q,'Campaign - Dump'!$E:$E,'Ad Type '!$B54,'Campaign - Dump'!$A:$A,'Ad Type '!$A54)</f>
        <v>94177</v>
      </c>
      <c r="D54" s="41">
        <f>SUMIFS('Campaign - Dump'!$O:$O,'Campaign - Dump'!$E:$E,'Ad Type '!$B54,'Campaign - Dump'!$A:$A,'Ad Type '!$A54)</f>
        <v>8852</v>
      </c>
      <c r="E54" s="38">
        <f t="shared" si="41"/>
        <v>10.63906462</v>
      </c>
      <c r="F54" s="41">
        <f>SUMIFS('Campaign - Dump'!$T:$T,'Campaign - Dump'!$E:$E,'Ad Type '!$B54,'Campaign - Dump'!$A:$A,'Ad Type '!$A54)</f>
        <v>40</v>
      </c>
      <c r="G54" s="23">
        <f t="shared" si="42"/>
        <v>0.004518752824</v>
      </c>
      <c r="H54" s="41">
        <f>SUMIFS('Campaign - Dump'!$U:$U,'Campaign - Dump'!$E:$E,'Ad Type '!$B54,'Campaign - Dump'!$A:$A,'Ad Type '!$A54)</f>
        <v>775442.35</v>
      </c>
      <c r="I54" s="23">
        <f t="shared" si="43"/>
        <v>0.1214493895</v>
      </c>
      <c r="J54" s="38">
        <f t="shared" si="44"/>
        <v>8.233882477</v>
      </c>
    </row>
    <row r="55" ht="15.75" customHeight="1">
      <c r="A55" s="19" t="s">
        <v>58</v>
      </c>
      <c r="B55" s="159" t="s">
        <v>231</v>
      </c>
      <c r="C55" s="160">
        <f t="shared" ref="C55:D55" si="45">SUM(C50:C54)</f>
        <v>868070.3</v>
      </c>
      <c r="D55" s="160">
        <f t="shared" si="45"/>
        <v>29496</v>
      </c>
      <c r="E55" s="161">
        <f>C55/D55</f>
        <v>29.43010239</v>
      </c>
      <c r="F55" s="160">
        <f>SUM(F50:F54)</f>
        <v>279</v>
      </c>
      <c r="G55" s="162">
        <f>F55/D55</f>
        <v>0.009458909683</v>
      </c>
      <c r="H55" s="160">
        <f>SUM(H50:H54)</f>
        <v>5182218.64</v>
      </c>
      <c r="I55" s="162">
        <f>C55/H55</f>
        <v>0.1675093932</v>
      </c>
      <c r="J55" s="161">
        <f>H55/C55</f>
        <v>5.969814472</v>
      </c>
    </row>
    <row r="56" ht="15.75" customHeight="1">
      <c r="A56" s="19" t="s">
        <v>61</v>
      </c>
      <c r="B56" s="3" t="s">
        <v>459</v>
      </c>
      <c r="C56" s="41">
        <f>SUMIFS('Campaign - Dump'!$Q:$Q,'Campaign - Dump'!$E:$E,'Ad Type '!$B56,'Campaign - Dump'!$A:$A,'Ad Type '!$A56)</f>
        <v>564122.82</v>
      </c>
      <c r="D56" s="41">
        <f>SUMIFS('Campaign - Dump'!$O:$O,'Campaign - Dump'!$E:$E,'Ad Type '!$B56,'Campaign - Dump'!$A:$A,'Ad Type '!$A56)</f>
        <v>12586</v>
      </c>
      <c r="E56" s="38">
        <f t="shared" ref="E56:E60" si="46">IFERROR(C56/D56,0)</f>
        <v>44.821454</v>
      </c>
      <c r="F56" s="41">
        <f>SUMIFS('Campaign - Dump'!$T:$T,'Campaign - Dump'!$E:$E,'Ad Type '!$B56,'Campaign - Dump'!$A:$A,'Ad Type '!$A56)</f>
        <v>137</v>
      </c>
      <c r="G56" s="23">
        <f t="shared" ref="G56:G60" si="47">IFERROR(F56/D56,0)</f>
        <v>0.01088511044</v>
      </c>
      <c r="H56" s="41">
        <f>SUMIFS('Campaign - Dump'!$U:$U,'Campaign - Dump'!$E:$E,'Ad Type '!$B56,'Campaign - Dump'!$A:$A,'Ad Type '!$A56)</f>
        <v>2694531.49</v>
      </c>
      <c r="I56" s="23">
        <f t="shared" ref="I56:I60" si="48">IFERROR(C56/H56,0)</f>
        <v>0.2093584069</v>
      </c>
      <c r="J56" s="38">
        <f t="shared" ref="J56:J60" si="49">IFERROR(H56/C56,0)</f>
        <v>4.776497944</v>
      </c>
    </row>
    <row r="57" ht="15.75" customHeight="1">
      <c r="A57" s="19" t="s">
        <v>61</v>
      </c>
      <c r="B57" s="3" t="s">
        <v>460</v>
      </c>
      <c r="C57" s="41">
        <f>SUMIFS('Campaign - Dump'!$Q:$Q,'Campaign - Dump'!$E:$E,'Ad Type '!$B57,'Campaign - Dump'!$A:$A,'Ad Type '!$A57)</f>
        <v>19396.38</v>
      </c>
      <c r="D57" s="41">
        <f>SUMIFS('Campaign - Dump'!$O:$O,'Campaign - Dump'!$E:$E,'Ad Type '!$B57,'Campaign - Dump'!$A:$A,'Ad Type '!$A57)</f>
        <v>2865</v>
      </c>
      <c r="E57" s="38">
        <f t="shared" si="46"/>
        <v>6.770115183</v>
      </c>
      <c r="F57" s="41">
        <f>SUMIFS('Campaign - Dump'!$T:$T,'Campaign - Dump'!$E:$E,'Ad Type '!$B57,'Campaign - Dump'!$A:$A,'Ad Type '!$A57)</f>
        <v>34</v>
      </c>
      <c r="G57" s="23">
        <f t="shared" si="47"/>
        <v>0.01186736475</v>
      </c>
      <c r="H57" s="41">
        <f>SUMIFS('Campaign - Dump'!$U:$U,'Campaign - Dump'!$E:$E,'Ad Type '!$B57,'Campaign - Dump'!$A:$A,'Ad Type '!$A57)</f>
        <v>104914.43</v>
      </c>
      <c r="I57" s="23">
        <f t="shared" si="48"/>
        <v>0.1848780954</v>
      </c>
      <c r="J57" s="38">
        <f t="shared" si="49"/>
        <v>5.408969612</v>
      </c>
    </row>
    <row r="58" ht="15.75" customHeight="1">
      <c r="A58" s="19" t="s">
        <v>61</v>
      </c>
      <c r="B58" s="3" t="s">
        <v>461</v>
      </c>
      <c r="C58" s="41">
        <f>SUMIFS('Campaign - Dump'!$Q:$Q,'Campaign - Dump'!$E:$E,'Ad Type '!$B58,'Campaign - Dump'!$A:$A,'Ad Type '!$A58)</f>
        <v>94309.13</v>
      </c>
      <c r="D58" s="41">
        <f>SUMIFS('Campaign - Dump'!$O:$O,'Campaign - Dump'!$E:$E,'Ad Type '!$B58,'Campaign - Dump'!$A:$A,'Ad Type '!$A58)</f>
        <v>3017</v>
      </c>
      <c r="E58" s="38">
        <f t="shared" si="46"/>
        <v>31.25924097</v>
      </c>
      <c r="F58" s="130">
        <f>SUMIFS('Campaign - Dump'!$T:$T,'Campaign - Dump'!$E:$E,'Ad Type '!$B58,'Campaign - Dump'!$A:$A,'Ad Type '!$A58)</f>
        <v>22</v>
      </c>
      <c r="G58" s="23">
        <f t="shared" si="47"/>
        <v>0.007292011932</v>
      </c>
      <c r="H58" s="41">
        <f>SUMIFS('Campaign - Dump'!$U:$U,'Campaign - Dump'!$E:$E,'Ad Type '!$B58,'Campaign - Dump'!$A:$A,'Ad Type '!$A58)</f>
        <v>417701.72</v>
      </c>
      <c r="I58" s="23">
        <f t="shared" si="48"/>
        <v>0.225781043</v>
      </c>
      <c r="J58" s="38">
        <f t="shared" si="49"/>
        <v>4.429069805</v>
      </c>
    </row>
    <row r="59" ht="15.75" customHeight="1">
      <c r="A59" s="19" t="s">
        <v>61</v>
      </c>
      <c r="B59" s="3" t="s">
        <v>462</v>
      </c>
      <c r="C59" s="41">
        <f>SUMIFS('Campaign - Dump'!$Q:$Q,'Campaign - Dump'!$E:$E,'Ad Type '!$B59,'Campaign - Dump'!$A:$A,'Ad Type '!$A59)</f>
        <v>97429.31</v>
      </c>
      <c r="D59" s="41">
        <f>SUMIFS('Campaign - Dump'!$O:$O,'Campaign - Dump'!$E:$E,'Ad Type '!$B59,'Campaign - Dump'!$A:$A,'Ad Type '!$A59)</f>
        <v>7281</v>
      </c>
      <c r="E59" s="38">
        <f t="shared" si="46"/>
        <v>13.38130889</v>
      </c>
      <c r="F59" s="130">
        <f>SUMIFS('Campaign - Dump'!$T:$T,'Campaign - Dump'!$E:$E,'Ad Type '!$B59,'Campaign - Dump'!$A:$A,'Ad Type '!$A59)</f>
        <v>23</v>
      </c>
      <c r="G59" s="23">
        <f t="shared" si="47"/>
        <v>0.003158906744</v>
      </c>
      <c r="H59" s="41">
        <f>SUMIFS('Campaign - Dump'!$U:$U,'Campaign - Dump'!$E:$E,'Ad Type '!$B59,'Campaign - Dump'!$A:$A,'Ad Type '!$A59)</f>
        <v>423408.47</v>
      </c>
      <c r="I59" s="23">
        <f t="shared" si="48"/>
        <v>0.2301071351</v>
      </c>
      <c r="J59" s="38">
        <f t="shared" si="49"/>
        <v>4.345801792</v>
      </c>
    </row>
    <row r="60" ht="15.75" customHeight="1">
      <c r="A60" s="19" t="s">
        <v>61</v>
      </c>
      <c r="B60" s="3" t="s">
        <v>463</v>
      </c>
      <c r="C60" s="41">
        <f>SUMIFS('Campaign - Dump'!$Q:$Q,'Campaign - Dump'!$E:$E,'Ad Type '!$B60,'Campaign - Dump'!$A:$A,'Ad Type '!$A60)</f>
        <v>56317.97</v>
      </c>
      <c r="D60" s="41">
        <f>SUMIFS('Campaign - Dump'!$O:$O,'Campaign - Dump'!$E:$E,'Ad Type '!$B60,'Campaign - Dump'!$A:$A,'Ad Type '!$A60)</f>
        <v>5791</v>
      </c>
      <c r="E60" s="38">
        <f t="shared" si="46"/>
        <v>9.725085477</v>
      </c>
      <c r="F60" s="41">
        <f>SUMIFS('Campaign - Dump'!$T:$T,'Campaign - Dump'!$E:$E,'Ad Type '!$B60,'Campaign - Dump'!$A:$A,'Ad Type '!$A60)</f>
        <v>12</v>
      </c>
      <c r="G60" s="23">
        <f t="shared" si="47"/>
        <v>0.00207218097</v>
      </c>
      <c r="H60" s="41">
        <f>SUMIFS('Campaign - Dump'!$U:$U,'Campaign - Dump'!$E:$E,'Ad Type '!$B60,'Campaign - Dump'!$A:$A,'Ad Type '!$A60)</f>
        <v>255464.43</v>
      </c>
      <c r="I60" s="23">
        <f t="shared" si="48"/>
        <v>0.2204532741</v>
      </c>
      <c r="J60" s="38">
        <f t="shared" si="49"/>
        <v>4.536108635</v>
      </c>
    </row>
    <row r="61" ht="15.75" customHeight="1">
      <c r="A61" s="19" t="s">
        <v>61</v>
      </c>
      <c r="B61" s="159" t="s">
        <v>231</v>
      </c>
      <c r="C61" s="160">
        <f t="shared" ref="C61:D61" si="50">SUM(C56:C60)</f>
        <v>831575.61</v>
      </c>
      <c r="D61" s="160">
        <f t="shared" si="50"/>
        <v>31540</v>
      </c>
      <c r="E61" s="161">
        <f>C61/D61</f>
        <v>26.3657454</v>
      </c>
      <c r="F61" s="160">
        <f>SUM(F56:F60)</f>
        <v>228</v>
      </c>
      <c r="G61" s="162">
        <f>F61/D61</f>
        <v>0.007228915663</v>
      </c>
      <c r="H61" s="160">
        <f>SUM(H56:H60)</f>
        <v>3896020.54</v>
      </c>
      <c r="I61" s="162">
        <f>C61/H61</f>
        <v>0.2134423064</v>
      </c>
      <c r="J61" s="161">
        <f>H61/C61</f>
        <v>4.685106794</v>
      </c>
    </row>
    <row r="62" ht="15.75" customHeight="1">
      <c r="A62" s="3" t="s">
        <v>63</v>
      </c>
      <c r="B62" s="3" t="s">
        <v>459</v>
      </c>
      <c r="C62" s="41">
        <f>SUMIFS('Campaign - Dump'!$Q:$Q,'Campaign - Dump'!$E:$E,'Ad Type '!$B62,'Campaign - Dump'!$A:$A,'Ad Type '!$A62)</f>
        <v>987660.79</v>
      </c>
      <c r="D62" s="41">
        <f>SUMIFS('Campaign - Dump'!$O:$O,'Campaign - Dump'!$E:$E,'Ad Type '!$B62,'Campaign - Dump'!$A:$A,'Ad Type '!$A62)</f>
        <v>18087</v>
      </c>
      <c r="E62" s="38">
        <f t="shared" ref="E62:E66" si="51">IFERROR(C62/D62,0)</f>
        <v>54.60611434</v>
      </c>
      <c r="F62" s="41">
        <f>SUMIFS('Campaign - Dump'!$T:$T,'Campaign - Dump'!$E:$E,'Ad Type '!$B62,'Campaign - Dump'!$A:$A,'Ad Type '!$A62)</f>
        <v>290</v>
      </c>
      <c r="G62" s="23">
        <f t="shared" ref="G62:G66" si="52">IFERROR(F62/D62,0)</f>
        <v>0.0160336153</v>
      </c>
      <c r="H62" s="41">
        <f>SUMIFS('Campaign - Dump'!$U:$U,'Campaign - Dump'!$E:$E,'Ad Type '!$B62,'Campaign - Dump'!$A:$A,'Ad Type '!$A62)</f>
        <v>5216278.16</v>
      </c>
      <c r="I62" s="23">
        <f t="shared" ref="I62:I66" si="53">IFERROR(C62/H62,0)</f>
        <v>0.189342048</v>
      </c>
      <c r="J62" s="38">
        <f t="shared" ref="J62:J66" si="54">IFERROR(H62/C62,0)</f>
        <v>5.281447044</v>
      </c>
    </row>
    <row r="63" ht="15.75" customHeight="1">
      <c r="A63" s="3" t="s">
        <v>63</v>
      </c>
      <c r="B63" s="3" t="s">
        <v>460</v>
      </c>
      <c r="C63" s="41">
        <f>SUMIFS('Campaign - Dump'!$Q:$Q,'Campaign - Dump'!$E:$E,'Ad Type '!$B63,'Campaign - Dump'!$A:$A,'Ad Type '!$A63)</f>
        <v>34127.22</v>
      </c>
      <c r="D63" s="41">
        <f>SUMIFS('Campaign - Dump'!$O:$O,'Campaign - Dump'!$E:$E,'Ad Type '!$B63,'Campaign - Dump'!$A:$A,'Ad Type '!$A63)</f>
        <v>4366</v>
      </c>
      <c r="E63" s="38">
        <f t="shared" si="51"/>
        <v>7.816587265</v>
      </c>
      <c r="F63" s="41">
        <f>SUMIFS('Campaign - Dump'!$T:$T,'Campaign - Dump'!$E:$E,'Ad Type '!$B63,'Campaign - Dump'!$A:$A,'Ad Type '!$A63)</f>
        <v>58</v>
      </c>
      <c r="G63" s="23">
        <f t="shared" si="52"/>
        <v>0.01328447091</v>
      </c>
      <c r="H63" s="41">
        <f>SUMIFS('Campaign - Dump'!$U:$U,'Campaign - Dump'!$E:$E,'Ad Type '!$B63,'Campaign - Dump'!$A:$A,'Ad Type '!$A63)</f>
        <v>245701.74</v>
      </c>
      <c r="I63" s="23">
        <f t="shared" si="53"/>
        <v>0.1388969407</v>
      </c>
      <c r="J63" s="38">
        <f t="shared" si="54"/>
        <v>7.199582621</v>
      </c>
    </row>
    <row r="64" ht="15.75" customHeight="1">
      <c r="A64" s="3" t="s">
        <v>63</v>
      </c>
      <c r="B64" s="3" t="s">
        <v>461</v>
      </c>
      <c r="C64" s="41">
        <f>SUMIFS('Campaign - Dump'!$Q:$Q,'Campaign - Dump'!$E:$E,'Ad Type '!$B64,'Campaign - Dump'!$A:$A,'Ad Type '!$A64)</f>
        <v>71100.8</v>
      </c>
      <c r="D64" s="41">
        <f>SUMIFS('Campaign - Dump'!$O:$O,'Campaign - Dump'!$E:$E,'Ad Type '!$B64,'Campaign - Dump'!$A:$A,'Ad Type '!$A64)</f>
        <v>2412</v>
      </c>
      <c r="E64" s="38">
        <f t="shared" si="51"/>
        <v>29.47794362</v>
      </c>
      <c r="F64" s="130">
        <f>SUMIFS('Campaign - Dump'!$T:$T,'Campaign - Dump'!$E:$E,'Ad Type '!$B64,'Campaign - Dump'!$A:$A,'Ad Type '!$A64)</f>
        <v>37</v>
      </c>
      <c r="G64" s="23">
        <f t="shared" si="52"/>
        <v>0.01533996683</v>
      </c>
      <c r="H64" s="41">
        <f>SUMIFS('Campaign - Dump'!$U:$U,'Campaign - Dump'!$E:$E,'Ad Type '!$B64,'Campaign - Dump'!$A:$A,'Ad Type '!$A64)</f>
        <v>613072.04</v>
      </c>
      <c r="I64" s="23">
        <f t="shared" si="53"/>
        <v>0.1159746251</v>
      </c>
      <c r="J64" s="38">
        <f t="shared" si="54"/>
        <v>8.622575836</v>
      </c>
    </row>
    <row r="65" ht="15.75" customHeight="1">
      <c r="A65" s="3" t="s">
        <v>63</v>
      </c>
      <c r="B65" s="3" t="s">
        <v>462</v>
      </c>
      <c r="C65" s="41">
        <f>SUMIFS('Campaign - Dump'!$Q:$Q,'Campaign - Dump'!$E:$E,'Ad Type '!$B65,'Campaign - Dump'!$A:$A,'Ad Type '!$A65)</f>
        <v>174498.75</v>
      </c>
      <c r="D65" s="41">
        <f>SUMIFS('Campaign - Dump'!$O:$O,'Campaign - Dump'!$E:$E,'Ad Type '!$B65,'Campaign - Dump'!$A:$A,'Ad Type '!$A65)</f>
        <v>12437</v>
      </c>
      <c r="E65" s="38">
        <f t="shared" si="51"/>
        <v>14.0306143</v>
      </c>
      <c r="F65" s="130">
        <f>SUMIFS('Campaign - Dump'!$T:$T,'Campaign - Dump'!$E:$E,'Ad Type '!$B65,'Campaign - Dump'!$A:$A,'Ad Type '!$A65)</f>
        <v>50</v>
      </c>
      <c r="G65" s="23">
        <f t="shared" si="52"/>
        <v>0.004020262121</v>
      </c>
      <c r="H65" s="41">
        <f>SUMIFS('Campaign - Dump'!$U:$U,'Campaign - Dump'!$E:$E,'Ad Type '!$B65,'Campaign - Dump'!$A:$A,'Ad Type '!$A65)</f>
        <v>778750.84</v>
      </c>
      <c r="I65" s="23">
        <f t="shared" si="53"/>
        <v>0.2240751997</v>
      </c>
      <c r="J65" s="38">
        <f t="shared" si="54"/>
        <v>4.462787498</v>
      </c>
    </row>
    <row r="66" ht="15.75" customHeight="1">
      <c r="A66" s="3" t="s">
        <v>63</v>
      </c>
      <c r="B66" s="3" t="s">
        <v>463</v>
      </c>
      <c r="C66" s="41">
        <f>SUMIFS('Campaign - Dump'!$Q:$Q,'Campaign - Dump'!$E:$E,'Ad Type '!$B66,'Campaign - Dump'!$A:$A,'Ad Type '!$A66)</f>
        <v>123434.66</v>
      </c>
      <c r="D66" s="41">
        <f>SUMIFS('Campaign - Dump'!$O:$O,'Campaign - Dump'!$E:$E,'Ad Type '!$B66,'Campaign - Dump'!$A:$A,'Ad Type '!$A66)</f>
        <v>18150</v>
      </c>
      <c r="E66" s="38">
        <f t="shared" si="51"/>
        <v>6.800807713</v>
      </c>
      <c r="F66" s="41">
        <f>SUMIFS('Campaign - Dump'!$T:$T,'Campaign - Dump'!$E:$E,'Ad Type '!$B66,'Campaign - Dump'!$A:$A,'Ad Type '!$A66)</f>
        <v>45</v>
      </c>
      <c r="G66" s="23">
        <f t="shared" si="52"/>
        <v>0.002479338843</v>
      </c>
      <c r="H66" s="41">
        <f>SUMIFS('Campaign - Dump'!$U:$U,'Campaign - Dump'!$E:$E,'Ad Type '!$B66,'Campaign - Dump'!$A:$A,'Ad Type '!$A66)</f>
        <v>824665.31</v>
      </c>
      <c r="I66" s="23">
        <f t="shared" si="53"/>
        <v>0.149678492</v>
      </c>
      <c r="J66" s="38">
        <f t="shared" si="54"/>
        <v>6.680986605</v>
      </c>
    </row>
    <row r="67" ht="15.75" customHeight="1">
      <c r="A67" s="3" t="s">
        <v>63</v>
      </c>
      <c r="B67" s="159" t="s">
        <v>231</v>
      </c>
      <c r="C67" s="160">
        <f t="shared" ref="C67:D67" si="55">SUM(C62:C66)</f>
        <v>1390822.22</v>
      </c>
      <c r="D67" s="160">
        <f t="shared" si="55"/>
        <v>55452</v>
      </c>
      <c r="E67" s="161">
        <f>C67/D67</f>
        <v>25.08155197</v>
      </c>
      <c r="F67" s="160">
        <f>SUM(F62:F66)</f>
        <v>480</v>
      </c>
      <c r="G67" s="162">
        <f>F67/D67</f>
        <v>0.008656135036</v>
      </c>
      <c r="H67" s="160">
        <f>SUM(H62:H66)</f>
        <v>7678468.09</v>
      </c>
      <c r="I67" s="162">
        <f>C67/H67</f>
        <v>0.1811327733</v>
      </c>
      <c r="J67" s="161">
        <f>H67/C67</f>
        <v>5.520812063</v>
      </c>
    </row>
    <row r="68" ht="15.75" customHeight="1">
      <c r="A68" s="3" t="s">
        <v>65</v>
      </c>
      <c r="B68" s="3" t="s">
        <v>459</v>
      </c>
      <c r="C68" s="41">
        <f>SUMIFS('Campaign - Dump'!$Q:$Q,'Campaign - Dump'!$E:$E,'Ad Type '!$B68,'Campaign - Dump'!$A:$A,'Ad Type '!$A68)</f>
        <v>826518.4</v>
      </c>
      <c r="D68" s="41">
        <f>SUMIFS('Campaign - Dump'!$O:$O,'Campaign - Dump'!$E:$E,'Ad Type '!$B68,'Campaign - Dump'!$A:$A,'Ad Type '!$A68)</f>
        <v>11866</v>
      </c>
      <c r="E68" s="38">
        <f t="shared" ref="E68:E72" si="56">IFERROR(C68/D68,0)</f>
        <v>69.65434013</v>
      </c>
      <c r="F68" s="41">
        <f>SUMIFS('Campaign - Dump'!$T:$T,'Campaign - Dump'!$E:$E,'Ad Type '!$B68,'Campaign - Dump'!$A:$A,'Ad Type '!$A68)</f>
        <v>238</v>
      </c>
      <c r="G68" s="23">
        <f t="shared" ref="G68:G72" si="57">IFERROR(F68/D68,0)</f>
        <v>0.02005730659</v>
      </c>
      <c r="H68" s="41">
        <f>SUMIFS('Campaign - Dump'!$U:$U,'Campaign - Dump'!$E:$E,'Ad Type '!$B68,'Campaign - Dump'!$A:$A,'Ad Type '!$A68)</f>
        <v>4402752.58</v>
      </c>
      <c r="I68" s="23">
        <f t="shared" ref="I68:I72" si="58">IFERROR(C68/H68,0)</f>
        <v>0.1877276511</v>
      </c>
      <c r="J68" s="38">
        <f t="shared" ref="J68:J72" si="59">IFERROR(H68/C68,0)</f>
        <v>5.326865778</v>
      </c>
    </row>
    <row r="69" ht="15.75" customHeight="1">
      <c r="A69" s="3" t="s">
        <v>65</v>
      </c>
      <c r="B69" s="3" t="s">
        <v>460</v>
      </c>
      <c r="C69" s="41">
        <f>SUMIFS('Campaign - Dump'!$Q:$Q,'Campaign - Dump'!$E:$E,'Ad Type '!$B69,'Campaign - Dump'!$A:$A,'Ad Type '!$A69)</f>
        <v>28155.73</v>
      </c>
      <c r="D69" s="41">
        <f>SUMIFS('Campaign - Dump'!$O:$O,'Campaign - Dump'!$E:$E,'Ad Type '!$B69,'Campaign - Dump'!$A:$A,'Ad Type '!$A69)</f>
        <v>2673</v>
      </c>
      <c r="E69" s="38">
        <f t="shared" si="56"/>
        <v>10.53338197</v>
      </c>
      <c r="F69" s="41">
        <f>SUMIFS('Campaign - Dump'!$T:$T,'Campaign - Dump'!$E:$E,'Ad Type '!$B69,'Campaign - Dump'!$A:$A,'Ad Type '!$A69)</f>
        <v>29</v>
      </c>
      <c r="G69" s="23">
        <f t="shared" si="57"/>
        <v>0.01084923307</v>
      </c>
      <c r="H69" s="41">
        <f>SUMIFS('Campaign - Dump'!$U:$U,'Campaign - Dump'!$E:$E,'Ad Type '!$B69,'Campaign - Dump'!$A:$A,'Ad Type '!$A69)</f>
        <v>163946.66</v>
      </c>
      <c r="I69" s="23">
        <f t="shared" si="58"/>
        <v>0.1717371369</v>
      </c>
      <c r="J69" s="38">
        <f t="shared" si="59"/>
        <v>5.8228524</v>
      </c>
    </row>
    <row r="70" ht="15.75" customHeight="1">
      <c r="A70" s="3" t="s">
        <v>65</v>
      </c>
      <c r="B70" s="3" t="s">
        <v>461</v>
      </c>
      <c r="C70" s="41">
        <f>SUMIFS('Campaign - Dump'!$Q:$Q,'Campaign - Dump'!$E:$E,'Ad Type '!$B70,'Campaign - Dump'!$A:$A,'Ad Type '!$A70)</f>
        <v>104892.72</v>
      </c>
      <c r="D70" s="41">
        <f>SUMIFS('Campaign - Dump'!$O:$O,'Campaign - Dump'!$E:$E,'Ad Type '!$B70,'Campaign - Dump'!$A:$A,'Ad Type '!$A70)</f>
        <v>2598</v>
      </c>
      <c r="E70" s="38">
        <f t="shared" si="56"/>
        <v>40.37441109</v>
      </c>
      <c r="F70" s="130">
        <f>SUMIFS('Campaign - Dump'!$T:$T,'Campaign - Dump'!$E:$E,'Ad Type '!$B70,'Campaign - Dump'!$A:$A,'Ad Type '!$A70)</f>
        <v>34</v>
      </c>
      <c r="G70" s="23">
        <f t="shared" si="57"/>
        <v>0.01308698999</v>
      </c>
      <c r="H70" s="41">
        <f>SUMIFS('Campaign - Dump'!$U:$U,'Campaign - Dump'!$E:$E,'Ad Type '!$B70,'Campaign - Dump'!$A:$A,'Ad Type '!$A70)</f>
        <v>556143.23</v>
      </c>
      <c r="I70" s="23">
        <f t="shared" si="58"/>
        <v>0.1886073845</v>
      </c>
      <c r="J70" s="38">
        <f t="shared" si="59"/>
        <v>5.302019339</v>
      </c>
    </row>
    <row r="71" ht="15.75" customHeight="1">
      <c r="A71" s="3" t="s">
        <v>65</v>
      </c>
      <c r="B71" s="3" t="s">
        <v>462</v>
      </c>
      <c r="C71" s="41">
        <f>SUMIFS('Campaign - Dump'!$Q:$Q,'Campaign - Dump'!$E:$E,'Ad Type '!$B71,'Campaign - Dump'!$A:$A,'Ad Type '!$A71)</f>
        <v>227448.33</v>
      </c>
      <c r="D71" s="41">
        <f>SUMIFS('Campaign - Dump'!$O:$O,'Campaign - Dump'!$E:$E,'Ad Type '!$B71,'Campaign - Dump'!$A:$A,'Ad Type '!$A71)</f>
        <v>8011</v>
      </c>
      <c r="E71" s="38">
        <f t="shared" si="56"/>
        <v>28.39200225</v>
      </c>
      <c r="F71" s="130">
        <f>SUMIFS('Campaign - Dump'!$T:$T,'Campaign - Dump'!$E:$E,'Ad Type '!$B71,'Campaign - Dump'!$A:$A,'Ad Type '!$A71)</f>
        <v>25</v>
      </c>
      <c r="G71" s="23">
        <f t="shared" si="57"/>
        <v>0.003120709025</v>
      </c>
      <c r="H71" s="41">
        <f>SUMIFS('Campaign - Dump'!$U:$U,'Campaign - Dump'!$E:$E,'Ad Type '!$B71,'Campaign - Dump'!$A:$A,'Ad Type '!$A71)</f>
        <v>317079.64</v>
      </c>
      <c r="I71" s="23">
        <f t="shared" si="58"/>
        <v>0.7173224052</v>
      </c>
      <c r="J71" s="38">
        <f t="shared" si="59"/>
        <v>1.394073282</v>
      </c>
    </row>
    <row r="72" ht="15.75" customHeight="1">
      <c r="A72" s="3" t="s">
        <v>65</v>
      </c>
      <c r="B72" s="3" t="s">
        <v>463</v>
      </c>
      <c r="C72" s="41">
        <f>SUMIFS('Campaign - Dump'!$Q:$Q,'Campaign - Dump'!$E:$E,'Ad Type '!$B72,'Campaign - Dump'!$A:$A,'Ad Type '!$A72)</f>
        <v>94584.71</v>
      </c>
      <c r="D72" s="41">
        <f>SUMIFS('Campaign - Dump'!$O:$O,'Campaign - Dump'!$E:$E,'Ad Type '!$B72,'Campaign - Dump'!$A:$A,'Ad Type '!$A72)</f>
        <v>4291</v>
      </c>
      <c r="E72" s="38">
        <f t="shared" si="56"/>
        <v>22.04257982</v>
      </c>
      <c r="F72" s="41">
        <f>SUMIFS('Campaign - Dump'!$T:$T,'Campaign - Dump'!$E:$E,'Ad Type '!$B72,'Campaign - Dump'!$A:$A,'Ad Type '!$A72)</f>
        <v>22</v>
      </c>
      <c r="G72" s="23">
        <f t="shared" si="57"/>
        <v>0.005127010021</v>
      </c>
      <c r="H72" s="41">
        <f>SUMIFS('Campaign - Dump'!$U:$U,'Campaign - Dump'!$E:$E,'Ad Type '!$B72,'Campaign - Dump'!$A:$A,'Ad Type '!$A72)</f>
        <v>444228.83</v>
      </c>
      <c r="I72" s="23">
        <f t="shared" si="58"/>
        <v>0.2129188914</v>
      </c>
      <c r="J72" s="38">
        <f t="shared" si="59"/>
        <v>4.696624116</v>
      </c>
    </row>
    <row r="73" ht="15.75" customHeight="1">
      <c r="A73" s="3" t="s">
        <v>65</v>
      </c>
      <c r="B73" s="159" t="s">
        <v>231</v>
      </c>
      <c r="C73" s="160">
        <f t="shared" ref="C73:D73" si="60">SUM(C68:C72)</f>
        <v>1281599.89</v>
      </c>
      <c r="D73" s="160">
        <f t="shared" si="60"/>
        <v>29439</v>
      </c>
      <c r="E73" s="161">
        <f>C73/D73</f>
        <v>43.5340837</v>
      </c>
      <c r="F73" s="160">
        <f>SUM(F68:F72)</f>
        <v>348</v>
      </c>
      <c r="G73" s="162">
        <f>F73/D73</f>
        <v>0.0118210537</v>
      </c>
      <c r="H73" s="160">
        <f>SUM(H68:H72)</f>
        <v>5884150.94</v>
      </c>
      <c r="I73" s="162">
        <f>C73/H73</f>
        <v>0.2178054069</v>
      </c>
      <c r="J73" s="161">
        <f>H73/C73</f>
        <v>4.591254249</v>
      </c>
    </row>
    <row r="74" ht="15.75" customHeight="1">
      <c r="A74" s="3" t="s">
        <v>67</v>
      </c>
      <c r="B74" s="3" t="s">
        <v>459</v>
      </c>
      <c r="C74" s="41">
        <f>SUMIFS('Campaign - Dump'!$Q:$Q,'Campaign - Dump'!$E:$E,'Ad Type '!$B74,'Campaign - Dump'!$A:$A,'Ad Type '!$A74)</f>
        <v>492606.52</v>
      </c>
      <c r="D74" s="41">
        <f>SUMIFS('Campaign - Dump'!$O:$O,'Campaign - Dump'!$E:$E,'Ad Type '!$B74,'Campaign - Dump'!$A:$A,'Ad Type '!$A74)</f>
        <v>11177</v>
      </c>
      <c r="E74" s="38">
        <f t="shared" ref="E74:E78" si="61">IFERROR(C74/D74,0)</f>
        <v>44.07323253</v>
      </c>
      <c r="F74" s="41">
        <f>SUMIFS('Campaign - Dump'!$T:$T,'Campaign - Dump'!$E:$E,'Ad Type '!$B74,'Campaign - Dump'!$A:$A,'Ad Type '!$A74)</f>
        <v>136</v>
      </c>
      <c r="G74" s="23">
        <f t="shared" ref="G74:G78" si="62">IFERROR(F74/D74,0)</f>
        <v>0.01216784468</v>
      </c>
      <c r="H74" s="41">
        <f>SUMIFS('Campaign - Dump'!$U:$U,'Campaign - Dump'!$E:$E,'Ad Type '!$B74,'Campaign - Dump'!$A:$A,'Ad Type '!$A74)</f>
        <v>2020644.04</v>
      </c>
      <c r="I74" s="23">
        <f t="shared" ref="I74:I78" si="63">IFERROR(C74/H74,0)</f>
        <v>0.2437868869</v>
      </c>
      <c r="J74" s="38">
        <f t="shared" ref="J74:J78" si="64">IFERROR(H74/C74,0)</f>
        <v>4.101943352</v>
      </c>
    </row>
    <row r="75" ht="15.75" customHeight="1">
      <c r="A75" s="3" t="s">
        <v>67</v>
      </c>
      <c r="B75" s="3" t="s">
        <v>460</v>
      </c>
      <c r="C75" s="41">
        <f>SUMIFS('Campaign - Dump'!$Q:$Q,'Campaign - Dump'!$E:$E,'Ad Type '!$B75,'Campaign - Dump'!$A:$A,'Ad Type '!$A75)</f>
        <v>37627.83</v>
      </c>
      <c r="D75" s="41">
        <f>SUMIFS('Campaign - Dump'!$O:$O,'Campaign - Dump'!$E:$E,'Ad Type '!$B75,'Campaign - Dump'!$A:$A,'Ad Type '!$A75)</f>
        <v>6123</v>
      </c>
      <c r="E75" s="38">
        <f t="shared" si="61"/>
        <v>6.145325821</v>
      </c>
      <c r="F75" s="41">
        <f>SUMIFS('Campaign - Dump'!$T:$T,'Campaign - Dump'!$E:$E,'Ad Type '!$B75,'Campaign - Dump'!$A:$A,'Ad Type '!$A75)</f>
        <v>57</v>
      </c>
      <c r="G75" s="23">
        <f t="shared" si="62"/>
        <v>0.009309162175</v>
      </c>
      <c r="H75" s="41">
        <f>SUMIFS('Campaign - Dump'!$U:$U,'Campaign - Dump'!$E:$E,'Ad Type '!$B75,'Campaign - Dump'!$A:$A,'Ad Type '!$A75)</f>
        <v>282604.22</v>
      </c>
      <c r="I75" s="23">
        <f t="shared" si="63"/>
        <v>0.1331467379</v>
      </c>
      <c r="J75" s="38">
        <f t="shared" si="64"/>
        <v>7.510510704</v>
      </c>
    </row>
    <row r="76" ht="15.75" customHeight="1">
      <c r="A76" s="3" t="s">
        <v>67</v>
      </c>
      <c r="B76" s="3" t="s">
        <v>461</v>
      </c>
      <c r="C76" s="41">
        <f>SUMIFS('Campaign - Dump'!$Q:$Q,'Campaign - Dump'!$E:$E,'Ad Type '!$B76,'Campaign - Dump'!$A:$A,'Ad Type '!$A76)</f>
        <v>40810.16</v>
      </c>
      <c r="D76" s="41">
        <f>SUMIFS('Campaign - Dump'!$O:$O,'Campaign - Dump'!$E:$E,'Ad Type '!$B76,'Campaign - Dump'!$A:$A,'Ad Type '!$A76)</f>
        <v>1751</v>
      </c>
      <c r="E76" s="38">
        <f t="shared" si="61"/>
        <v>23.30677327</v>
      </c>
      <c r="F76" s="130">
        <f>SUMIFS('Campaign - Dump'!$T:$T,'Campaign - Dump'!$E:$E,'Ad Type '!$B76,'Campaign - Dump'!$A:$A,'Ad Type '!$A76)</f>
        <v>17</v>
      </c>
      <c r="G76" s="23">
        <f t="shared" si="62"/>
        <v>0.009708737864</v>
      </c>
      <c r="H76" s="41">
        <f>SUMIFS('Campaign - Dump'!$U:$U,'Campaign - Dump'!$E:$E,'Ad Type '!$B76,'Campaign - Dump'!$A:$A,'Ad Type '!$A76)</f>
        <v>276577.13</v>
      </c>
      <c r="I76" s="23">
        <f t="shared" si="63"/>
        <v>0.1475543549</v>
      </c>
      <c r="J76" s="38">
        <f t="shared" si="64"/>
        <v>6.777163579</v>
      </c>
    </row>
    <row r="77" ht="15.75" customHeight="1">
      <c r="A77" s="3" t="s">
        <v>67</v>
      </c>
      <c r="B77" s="3" t="s">
        <v>462</v>
      </c>
      <c r="C77" s="41">
        <f>SUMIFS('Campaign - Dump'!$Q:$Q,'Campaign - Dump'!$E:$E,'Ad Type '!$B77,'Campaign - Dump'!$A:$A,'Ad Type '!$A77)</f>
        <v>101551.26</v>
      </c>
      <c r="D77" s="41">
        <f>SUMIFS('Campaign - Dump'!$O:$O,'Campaign - Dump'!$E:$E,'Ad Type '!$B77,'Campaign - Dump'!$A:$A,'Ad Type '!$A77)</f>
        <v>5873</v>
      </c>
      <c r="E77" s="38">
        <f t="shared" si="61"/>
        <v>17.29120722</v>
      </c>
      <c r="F77" s="130">
        <f>SUMIFS('Campaign - Dump'!$T:$T,'Campaign - Dump'!$E:$E,'Ad Type '!$B77,'Campaign - Dump'!$A:$A,'Ad Type '!$A77)</f>
        <v>22</v>
      </c>
      <c r="G77" s="23">
        <f t="shared" si="62"/>
        <v>0.00374595607</v>
      </c>
      <c r="H77" s="41">
        <f>SUMIFS('Campaign - Dump'!$U:$U,'Campaign - Dump'!$E:$E,'Ad Type '!$B77,'Campaign - Dump'!$A:$A,'Ad Type '!$A77)</f>
        <v>368163.53</v>
      </c>
      <c r="I77" s="23">
        <f t="shared" si="63"/>
        <v>0.2758319381</v>
      </c>
      <c r="J77" s="38">
        <f t="shared" si="64"/>
        <v>3.625395982</v>
      </c>
    </row>
    <row r="78" ht="15.75" customHeight="1">
      <c r="A78" s="3" t="s">
        <v>67</v>
      </c>
      <c r="B78" s="3" t="s">
        <v>463</v>
      </c>
      <c r="C78" s="41">
        <f>SUMIFS('Campaign - Dump'!$Q:$Q,'Campaign - Dump'!$E:$E,'Ad Type '!$B78,'Campaign - Dump'!$A:$A,'Ad Type '!$A78)</f>
        <v>12852.28</v>
      </c>
      <c r="D78" s="41">
        <f>SUMIFS('Campaign - Dump'!$O:$O,'Campaign - Dump'!$E:$E,'Ad Type '!$B78,'Campaign - Dump'!$A:$A,'Ad Type '!$A78)</f>
        <v>517</v>
      </c>
      <c r="E78" s="38">
        <f t="shared" si="61"/>
        <v>24.85934236</v>
      </c>
      <c r="F78" s="41">
        <f>SUMIFS('Campaign - Dump'!$T:$T,'Campaign - Dump'!$E:$E,'Ad Type '!$B78,'Campaign - Dump'!$A:$A,'Ad Type '!$A78)</f>
        <v>5</v>
      </c>
      <c r="G78" s="23">
        <f t="shared" si="62"/>
        <v>0.009671179884</v>
      </c>
      <c r="H78" s="41">
        <f>SUMIFS('Campaign - Dump'!$U:$U,'Campaign - Dump'!$E:$E,'Ad Type '!$B78,'Campaign - Dump'!$A:$A,'Ad Type '!$A78)</f>
        <v>116032.21</v>
      </c>
      <c r="I78" s="23">
        <f t="shared" si="63"/>
        <v>0.1107647609</v>
      </c>
      <c r="J78" s="38">
        <f t="shared" si="64"/>
        <v>9.028142088</v>
      </c>
    </row>
    <row r="79" ht="15.75" customHeight="1">
      <c r="A79" s="3" t="s">
        <v>67</v>
      </c>
      <c r="B79" s="159" t="s">
        <v>231</v>
      </c>
      <c r="C79" s="160">
        <f t="shared" ref="C79:D79" si="65">SUM(C74:C78)</f>
        <v>685448.05</v>
      </c>
      <c r="D79" s="160">
        <f t="shared" si="65"/>
        <v>25441</v>
      </c>
      <c r="E79" s="161">
        <f>C79/D79</f>
        <v>26.94265359</v>
      </c>
      <c r="F79" s="160">
        <f>SUM(F74:F78)</f>
        <v>237</v>
      </c>
      <c r="G79" s="162">
        <f>F79/D79</f>
        <v>0.009315671554</v>
      </c>
      <c r="H79" s="160">
        <f>SUM(H74:H78)</f>
        <v>3064021.13</v>
      </c>
      <c r="I79" s="162">
        <f>C79/H79</f>
        <v>0.2237086563</v>
      </c>
      <c r="J79" s="161">
        <f>H79/C79</f>
        <v>4.470099711</v>
      </c>
    </row>
    <row r="80" ht="15.75" customHeight="1">
      <c r="A80" s="3" t="s">
        <v>70</v>
      </c>
      <c r="B80" s="3" t="s">
        <v>459</v>
      </c>
      <c r="C80" s="41">
        <f>SUMIFS('Campaign - Dump'!$Q:$Q,'Campaign - Dump'!$E:$E,'Ad Type '!$B80,'Campaign - Dump'!$A:$A,'Ad Type '!$A80)</f>
        <v>412470.19</v>
      </c>
      <c r="D80" s="41">
        <f>SUMIFS('Campaign - Dump'!$O:$O,'Campaign - Dump'!$E:$E,'Ad Type '!$B80,'Campaign - Dump'!$A:$A,'Ad Type '!$A80)</f>
        <v>12861</v>
      </c>
      <c r="E80" s="38">
        <f t="shared" ref="E80:E84" si="66">IFERROR(C80/D80,0)</f>
        <v>32.07139336</v>
      </c>
      <c r="F80" s="41">
        <f>SUMIFS('Campaign - Dump'!$T:$T,'Campaign - Dump'!$E:$E,'Ad Type '!$B80,'Campaign - Dump'!$A:$A,'Ad Type '!$A80)</f>
        <v>208</v>
      </c>
      <c r="G80" s="23">
        <f t="shared" ref="G80:G84" si="67">IFERROR(F80/D80,0)</f>
        <v>0.0161729259</v>
      </c>
      <c r="H80" s="41">
        <f>SUMIFS('Campaign - Dump'!$U:$U,'Campaign - Dump'!$E:$E,'Ad Type '!$B80,'Campaign - Dump'!$A:$A,'Ad Type '!$A80)</f>
        <v>1831703.36</v>
      </c>
      <c r="I80" s="23">
        <f t="shared" ref="I80:I84" si="68">IFERROR(C80/H80,0)</f>
        <v>0.2251839457</v>
      </c>
      <c r="J80" s="38">
        <f t="shared" ref="J80:J84" si="69">IFERROR(H80/C80,0)</f>
        <v>4.440813917</v>
      </c>
    </row>
    <row r="81" ht="15.75" customHeight="1">
      <c r="A81" s="3" t="s">
        <v>70</v>
      </c>
      <c r="B81" s="3" t="s">
        <v>460</v>
      </c>
      <c r="C81" s="41">
        <f>SUMIFS('Campaign - Dump'!$Q:$Q,'Campaign - Dump'!$E:$E,'Ad Type '!$B81,'Campaign - Dump'!$A:$A,'Ad Type '!$A81)</f>
        <v>22964.55</v>
      </c>
      <c r="D81" s="41">
        <f>SUMIFS('Campaign - Dump'!$O:$O,'Campaign - Dump'!$E:$E,'Ad Type '!$B81,'Campaign - Dump'!$A:$A,'Ad Type '!$A81)</f>
        <v>4759</v>
      </c>
      <c r="E81" s="38">
        <f t="shared" si="66"/>
        <v>4.825499054</v>
      </c>
      <c r="F81" s="41">
        <f>SUMIFS('Campaign - Dump'!$T:$T,'Campaign - Dump'!$E:$E,'Ad Type '!$B81,'Campaign - Dump'!$A:$A,'Ad Type '!$A81)</f>
        <v>52</v>
      </c>
      <c r="G81" s="23">
        <f t="shared" si="67"/>
        <v>0.01092666527</v>
      </c>
      <c r="H81" s="41">
        <f>SUMIFS('Campaign - Dump'!$U:$U,'Campaign - Dump'!$E:$E,'Ad Type '!$B81,'Campaign - Dump'!$A:$A,'Ad Type '!$A81)</f>
        <v>204063.58</v>
      </c>
      <c r="I81" s="23">
        <f t="shared" si="68"/>
        <v>0.1125362497</v>
      </c>
      <c r="J81" s="38">
        <f t="shared" si="69"/>
        <v>8.886025635</v>
      </c>
    </row>
    <row r="82" ht="15.75" customHeight="1">
      <c r="A82" s="3" t="s">
        <v>70</v>
      </c>
      <c r="B82" s="3" t="s">
        <v>461</v>
      </c>
      <c r="C82" s="41">
        <f>SUMIFS('Campaign - Dump'!$Q:$Q,'Campaign - Dump'!$E:$E,'Ad Type '!$B82,'Campaign - Dump'!$A:$A,'Ad Type '!$A82)</f>
        <v>40529.17</v>
      </c>
      <c r="D82" s="41">
        <f>SUMIFS('Campaign - Dump'!$O:$O,'Campaign - Dump'!$E:$E,'Ad Type '!$B82,'Campaign - Dump'!$A:$A,'Ad Type '!$A82)</f>
        <v>1736</v>
      </c>
      <c r="E82" s="38">
        <f t="shared" si="66"/>
        <v>23.34629608</v>
      </c>
      <c r="F82" s="130">
        <f>SUMIFS('Campaign - Dump'!$T:$T,'Campaign - Dump'!$E:$E,'Ad Type '!$B82,'Campaign - Dump'!$A:$A,'Ad Type '!$A82)</f>
        <v>7</v>
      </c>
      <c r="G82" s="23">
        <f t="shared" si="67"/>
        <v>0.004032258065</v>
      </c>
      <c r="H82" s="41">
        <f>SUMIFS('Campaign - Dump'!$U:$U,'Campaign - Dump'!$E:$E,'Ad Type '!$B82,'Campaign - Dump'!$A:$A,'Ad Type '!$A82)</f>
        <v>108832.21</v>
      </c>
      <c r="I82" s="23">
        <f t="shared" si="68"/>
        <v>0.3724005053</v>
      </c>
      <c r="J82" s="38">
        <f t="shared" si="69"/>
        <v>2.685280996</v>
      </c>
    </row>
    <row r="83" ht="15.75" customHeight="1">
      <c r="A83" s="3" t="s">
        <v>70</v>
      </c>
      <c r="B83" s="3" t="s">
        <v>462</v>
      </c>
      <c r="C83" s="41">
        <f>SUMIFS('Campaign - Dump'!$Q:$Q,'Campaign - Dump'!$E:$E,'Ad Type '!$B83,'Campaign - Dump'!$A:$A,'Ad Type '!$A83)</f>
        <v>111812.12</v>
      </c>
      <c r="D83" s="41">
        <f>SUMIFS('Campaign - Dump'!$O:$O,'Campaign - Dump'!$E:$E,'Ad Type '!$B83,'Campaign - Dump'!$A:$A,'Ad Type '!$A83)</f>
        <v>6922</v>
      </c>
      <c r="E83" s="38">
        <f t="shared" si="66"/>
        <v>16.15315227</v>
      </c>
      <c r="F83" s="130">
        <f>SUMIFS('Campaign - Dump'!$T:$T,'Campaign - Dump'!$E:$E,'Ad Type '!$B83,'Campaign - Dump'!$A:$A,'Ad Type '!$A83)</f>
        <v>20</v>
      </c>
      <c r="G83" s="23">
        <f t="shared" si="67"/>
        <v>0.002889338342</v>
      </c>
      <c r="H83" s="41">
        <f>SUMIFS('Campaign - Dump'!$U:$U,'Campaign - Dump'!$E:$E,'Ad Type '!$B83,'Campaign - Dump'!$A:$A,'Ad Type '!$A83)</f>
        <v>332605.1</v>
      </c>
      <c r="I83" s="23">
        <f t="shared" si="68"/>
        <v>0.3361707923</v>
      </c>
      <c r="J83" s="38">
        <f t="shared" si="69"/>
        <v>2.974678416</v>
      </c>
    </row>
    <row r="84" ht="15.75" customHeight="1">
      <c r="A84" s="3" t="s">
        <v>70</v>
      </c>
      <c r="B84" s="3" t="s">
        <v>463</v>
      </c>
      <c r="C84" s="41">
        <f>SUMIFS('Campaign - Dump'!$Q:$Q,'Campaign - Dump'!$E:$E,'Ad Type '!$B84,'Campaign - Dump'!$A:$A,'Ad Type '!$A84)</f>
        <v>72300.23</v>
      </c>
      <c r="D84" s="41">
        <f>SUMIFS('Campaign - Dump'!$O:$O,'Campaign - Dump'!$E:$E,'Ad Type '!$B84,'Campaign - Dump'!$A:$A,'Ad Type '!$A84)</f>
        <v>10400</v>
      </c>
      <c r="E84" s="38">
        <f t="shared" si="66"/>
        <v>6.951945192</v>
      </c>
      <c r="F84" s="41">
        <f>SUMIFS('Campaign - Dump'!$T:$T,'Campaign - Dump'!$E:$E,'Ad Type '!$B84,'Campaign - Dump'!$A:$A,'Ad Type '!$A84)</f>
        <v>14</v>
      </c>
      <c r="G84" s="23">
        <f t="shared" si="67"/>
        <v>0.001346153846</v>
      </c>
      <c r="H84" s="41">
        <f>SUMIFS('Campaign - Dump'!$U:$U,'Campaign - Dump'!$E:$E,'Ad Type '!$B84,'Campaign - Dump'!$A:$A,'Ad Type '!$A84)</f>
        <v>267371.19</v>
      </c>
      <c r="I84" s="23">
        <f t="shared" si="68"/>
        <v>0.2704114456</v>
      </c>
      <c r="J84" s="38">
        <f t="shared" si="69"/>
        <v>3.698068319</v>
      </c>
    </row>
    <row r="85" ht="15.75" customHeight="1">
      <c r="A85" s="3" t="s">
        <v>70</v>
      </c>
      <c r="B85" s="159" t="s">
        <v>231</v>
      </c>
      <c r="C85" s="160">
        <f t="shared" ref="C85:D85" si="70">SUM(C80:C84)</f>
        <v>660076.26</v>
      </c>
      <c r="D85" s="160">
        <f t="shared" si="70"/>
        <v>36678</v>
      </c>
      <c r="E85" s="161">
        <f>C85/D85</f>
        <v>17.99651726</v>
      </c>
      <c r="F85" s="160">
        <f>SUM(F80:F84)</f>
        <v>301</v>
      </c>
      <c r="G85" s="162">
        <f>F85/D85</f>
        <v>0.008206554338</v>
      </c>
      <c r="H85" s="160">
        <f>SUM(H80:H84)</f>
        <v>2744575.44</v>
      </c>
      <c r="I85" s="162">
        <f>C85/H85</f>
        <v>0.2405021376</v>
      </c>
      <c r="J85" s="161">
        <f>H85/C85</f>
        <v>4.157967202</v>
      </c>
    </row>
    <row r="86" ht="15.75" customHeight="1">
      <c r="A86" s="65">
        <v>45658.0</v>
      </c>
      <c r="B86" s="3" t="s">
        <v>459</v>
      </c>
      <c r="C86" s="41">
        <f>SUMIFS('Campaign - Dump'!$Q:$Q,'Campaign - Dump'!$E:$E,'Ad Type '!$B86,'Campaign - Dump'!$A:$A,'Ad Type '!$A86)</f>
        <v>444102.42</v>
      </c>
      <c r="D86" s="41">
        <f>SUMIFS('Campaign - Dump'!$O:$O,'Campaign - Dump'!$E:$E,'Ad Type '!$B86,'Campaign - Dump'!$A:$A,'Ad Type '!$A86)</f>
        <v>11519</v>
      </c>
      <c r="E86" s="38">
        <f t="shared" ref="E86:E90" si="71">IFERROR(C86/D86,0)</f>
        <v>38.55390398</v>
      </c>
      <c r="F86" s="41">
        <f>SUMIFS('Campaign - Dump'!$T:$T,'Campaign - Dump'!$E:$E,'Ad Type '!$B86,'Campaign - Dump'!$A:$A,'Ad Type '!$A86)</f>
        <v>145</v>
      </c>
      <c r="G86" s="23">
        <f t="shared" ref="G86:G90" si="72">IFERROR(F86/D86,0)</f>
        <v>0.01258789826</v>
      </c>
      <c r="H86" s="41">
        <f>SUMIFS('Campaign - Dump'!$U:$U,'Campaign - Dump'!$E:$E,'Ad Type '!$B86,'Campaign - Dump'!$A:$A,'Ad Type '!$A86)</f>
        <v>2023632.13</v>
      </c>
      <c r="I86" s="23">
        <f t="shared" ref="I86:I90" si="73">IFERROR(C86/H86,0)</f>
        <v>0.2194580791</v>
      </c>
      <c r="J86" s="38">
        <f t="shared" ref="J86:J90" si="74">IFERROR(H86/C86,0)</f>
        <v>4.556678908</v>
      </c>
    </row>
    <row r="87" ht="15.75" customHeight="1">
      <c r="A87" s="65">
        <v>45658.0</v>
      </c>
      <c r="B87" s="3" t="s">
        <v>460</v>
      </c>
      <c r="C87" s="41">
        <f>SUMIFS('Campaign - Dump'!$Q:$Q,'Campaign - Dump'!$E:$E,'Ad Type '!$B87,'Campaign - Dump'!$A:$A,'Ad Type '!$A87)</f>
        <v>10213</v>
      </c>
      <c r="D87" s="41">
        <f>SUMIFS('Campaign - Dump'!$O:$O,'Campaign - Dump'!$E:$E,'Ad Type '!$B87,'Campaign - Dump'!$A:$A,'Ad Type '!$A87)</f>
        <v>1880</v>
      </c>
      <c r="E87" s="38">
        <f t="shared" si="71"/>
        <v>5.432446809</v>
      </c>
      <c r="F87" s="41">
        <f>SUMIFS('Campaign - Dump'!$T:$T,'Campaign - Dump'!$E:$E,'Ad Type '!$B87,'Campaign - Dump'!$A:$A,'Ad Type '!$A87)</f>
        <v>32</v>
      </c>
      <c r="G87" s="23">
        <f t="shared" si="72"/>
        <v>0.0170212766</v>
      </c>
      <c r="H87" s="41">
        <f>SUMIFS('Campaign - Dump'!$U:$U,'Campaign - Dump'!$E:$E,'Ad Type '!$B87,'Campaign - Dump'!$A:$A,'Ad Type '!$A87)</f>
        <v>115134.75</v>
      </c>
      <c r="I87" s="23">
        <f t="shared" si="73"/>
        <v>0.08870475682</v>
      </c>
      <c r="J87" s="38">
        <f t="shared" si="74"/>
        <v>11.27335259</v>
      </c>
    </row>
    <row r="88" ht="15.75" customHeight="1">
      <c r="A88" s="65">
        <v>45658.0</v>
      </c>
      <c r="B88" s="3" t="s">
        <v>461</v>
      </c>
      <c r="C88" s="41">
        <f>SUMIFS('Campaign - Dump'!$Q:$Q,'Campaign - Dump'!$E:$E,'Ad Type '!$B88,'Campaign - Dump'!$A:$A,'Ad Type '!$A88)</f>
        <v>67972.01</v>
      </c>
      <c r="D88" s="41">
        <f>SUMIFS('Campaign - Dump'!$O:$O,'Campaign - Dump'!$E:$E,'Ad Type '!$B88,'Campaign - Dump'!$A:$A,'Ad Type '!$A88)</f>
        <v>4643</v>
      </c>
      <c r="E88" s="38">
        <f t="shared" si="71"/>
        <v>14.63967478</v>
      </c>
      <c r="F88" s="130">
        <f>SUMIFS('Campaign - Dump'!$T:$T,'Campaign - Dump'!$E:$E,'Ad Type '!$B88,'Campaign - Dump'!$A:$A,'Ad Type '!$A88)</f>
        <v>67</v>
      </c>
      <c r="G88" s="23">
        <f t="shared" si="72"/>
        <v>0.01443032522</v>
      </c>
      <c r="H88" s="41">
        <f>SUMIFS('Campaign - Dump'!$U:$U,'Campaign - Dump'!$E:$E,'Ad Type '!$B88,'Campaign - Dump'!$A:$A,'Ad Type '!$A88)</f>
        <v>369032.2</v>
      </c>
      <c r="I88" s="23">
        <f t="shared" si="73"/>
        <v>0.1841899162</v>
      </c>
      <c r="J88" s="38">
        <f t="shared" si="74"/>
        <v>5.429178863</v>
      </c>
    </row>
    <row r="89" ht="15.75" customHeight="1">
      <c r="A89" s="65">
        <v>45658.0</v>
      </c>
      <c r="B89" s="3" t="s">
        <v>462</v>
      </c>
      <c r="C89" s="41">
        <f>SUMIFS('Campaign - Dump'!$Q:$Q,'Campaign - Dump'!$E:$E,'Ad Type '!$B89,'Campaign - Dump'!$A:$A,'Ad Type '!$A89)</f>
        <v>139225.05</v>
      </c>
      <c r="D89" s="41">
        <f>SUMIFS('Campaign - Dump'!$O:$O,'Campaign - Dump'!$E:$E,'Ad Type '!$B89,'Campaign - Dump'!$A:$A,'Ad Type '!$A89)</f>
        <v>7322</v>
      </c>
      <c r="E89" s="38">
        <f t="shared" si="71"/>
        <v>19.01462032</v>
      </c>
      <c r="F89" s="130">
        <f>SUMIFS('Campaign - Dump'!$T:$T,'Campaign - Dump'!$E:$E,'Ad Type '!$B89,'Campaign - Dump'!$A:$A,'Ad Type '!$A89)</f>
        <v>22</v>
      </c>
      <c r="G89" s="23">
        <f t="shared" si="72"/>
        <v>0.00300464354</v>
      </c>
      <c r="H89" s="41">
        <f>SUMIFS('Campaign - Dump'!$U:$U,'Campaign - Dump'!$E:$E,'Ad Type '!$B89,'Campaign - Dump'!$A:$A,'Ad Type '!$A89)</f>
        <v>400699.15</v>
      </c>
      <c r="I89" s="23">
        <f t="shared" si="73"/>
        <v>0.3474553165</v>
      </c>
      <c r="J89" s="38">
        <f t="shared" si="74"/>
        <v>2.87806792</v>
      </c>
    </row>
    <row r="90" ht="15.75" customHeight="1">
      <c r="A90" s="65">
        <v>45658.0</v>
      </c>
      <c r="B90" s="3" t="s">
        <v>463</v>
      </c>
      <c r="C90" s="41">
        <f>SUMIFS('Campaign - Dump'!$Q:$Q,'Campaign - Dump'!$E:$E,'Ad Type '!$B90,'Campaign - Dump'!$A:$A,'Ad Type '!$A90)</f>
        <v>81802.44</v>
      </c>
      <c r="D90" s="41">
        <f>SUMIFS('Campaign - Dump'!$O:$O,'Campaign - Dump'!$E:$E,'Ad Type '!$B90,'Campaign - Dump'!$A:$A,'Ad Type '!$A90)</f>
        <v>6319</v>
      </c>
      <c r="E90" s="38">
        <f t="shared" si="71"/>
        <v>12.94547238</v>
      </c>
      <c r="F90" s="41">
        <f>SUMIFS('Campaign - Dump'!$T:$T,'Campaign - Dump'!$E:$E,'Ad Type '!$B90,'Campaign - Dump'!$A:$A,'Ad Type '!$A90)</f>
        <v>26</v>
      </c>
      <c r="G90" s="23">
        <f t="shared" si="72"/>
        <v>0.004114575091</v>
      </c>
      <c r="H90" s="41">
        <f>SUMIFS('Campaign - Dump'!$U:$U,'Campaign - Dump'!$E:$E,'Ad Type '!$B90,'Campaign - Dump'!$A:$A,'Ad Type '!$A90)</f>
        <v>501900.95</v>
      </c>
      <c r="I90" s="23">
        <f t="shared" si="73"/>
        <v>0.1629852265</v>
      </c>
      <c r="J90" s="38">
        <f t="shared" si="74"/>
        <v>6.13552542</v>
      </c>
    </row>
    <row r="91" ht="15.75" customHeight="1">
      <c r="A91" s="25" t="s">
        <v>478</v>
      </c>
      <c r="B91" s="159" t="s">
        <v>231</v>
      </c>
      <c r="C91" s="160">
        <f t="shared" ref="C91:D91" si="75">SUM(C86:C90)</f>
        <v>743314.92</v>
      </c>
      <c r="D91" s="160">
        <f t="shared" si="75"/>
        <v>31683</v>
      </c>
      <c r="E91" s="161">
        <f>C91/D91</f>
        <v>23.4610018</v>
      </c>
      <c r="F91" s="160">
        <f>SUM(F86:F90)</f>
        <v>292</v>
      </c>
      <c r="G91" s="162">
        <f>F91/D91</f>
        <v>0.009216298962</v>
      </c>
      <c r="H91" s="160">
        <f>SUM(H86:H90)</f>
        <v>3410399.18</v>
      </c>
      <c r="I91" s="162">
        <f>C91/H91</f>
        <v>0.2179554008</v>
      </c>
      <c r="J91" s="161">
        <f>H91/C91</f>
        <v>4.588094613</v>
      </c>
    </row>
    <row r="92" ht="15.75" customHeight="1">
      <c r="A92" s="171">
        <v>45689.0</v>
      </c>
      <c r="B92" s="3" t="s">
        <v>459</v>
      </c>
      <c r="C92" s="41">
        <f>SUMIFS('Campaign - Dump'!$Q:$Q,'Campaign - Dump'!$E:$E,'Ad Type '!$B92,'Campaign - Dump'!$A:$A,'Ad Type '!$A92)</f>
        <v>381162.02</v>
      </c>
      <c r="D92" s="41">
        <f>SUMIFS('Campaign - Dump'!$O:$O,'Campaign - Dump'!$E:$E,'Ad Type '!$B92,'Campaign - Dump'!$A:$A,'Ad Type '!$A92)</f>
        <v>12181</v>
      </c>
      <c r="E92" s="38">
        <f t="shared" ref="E92:E96" si="76">IFERROR(C92/D92,0)</f>
        <v>31.29152122</v>
      </c>
      <c r="F92" s="41">
        <f>SUMIFS('Campaign - Dump'!$T:$T,'Campaign - Dump'!$E:$E,'Ad Type '!$B92,'Campaign - Dump'!$A:$A,'Ad Type '!$A92)</f>
        <v>169</v>
      </c>
      <c r="G92" s="23">
        <f t="shared" ref="G92:G96" si="77">IFERROR(F92/D92,0)</f>
        <v>0.01387406617</v>
      </c>
      <c r="H92" s="41">
        <f>SUMIFS('Campaign - Dump'!$U:$U,'Campaign - Dump'!$E:$E,'Ad Type '!$B92,'Campaign - Dump'!$A:$A,'Ad Type '!$A92)</f>
        <v>1667134.82</v>
      </c>
      <c r="I92" s="23">
        <f t="shared" ref="I92:I96" si="78">IFERROR(C92/H92,0)</f>
        <v>0.2286329908</v>
      </c>
      <c r="J92" s="38">
        <f t="shared" ref="J92:J96" si="79">IFERROR(H92/C92,0)</f>
        <v>4.373821977</v>
      </c>
    </row>
    <row r="93" ht="15.75" customHeight="1">
      <c r="A93" s="171">
        <v>45689.0</v>
      </c>
      <c r="B93" s="3" t="s">
        <v>460</v>
      </c>
      <c r="C93" s="41">
        <f>SUMIFS('Campaign - Dump'!$Q:$Q,'Campaign - Dump'!$E:$E,'Ad Type '!$B93,'Campaign - Dump'!$A:$A,'Ad Type '!$A93)</f>
        <v>38881.28</v>
      </c>
      <c r="D93" s="41">
        <f>SUMIFS('Campaign - Dump'!$O:$O,'Campaign - Dump'!$E:$E,'Ad Type '!$B93,'Campaign - Dump'!$A:$A,'Ad Type '!$A93)</f>
        <v>5427</v>
      </c>
      <c r="E93" s="38">
        <f t="shared" si="76"/>
        <v>7.164414962</v>
      </c>
      <c r="F93" s="41">
        <f>SUMIFS('Campaign - Dump'!$T:$T,'Campaign - Dump'!$E:$E,'Ad Type '!$B93,'Campaign - Dump'!$A:$A,'Ad Type '!$A93)</f>
        <v>73</v>
      </c>
      <c r="G93" s="23">
        <f t="shared" si="77"/>
        <v>0.01345126221</v>
      </c>
      <c r="H93" s="41">
        <f>SUMIFS('Campaign - Dump'!$U:$U,'Campaign - Dump'!$E:$E,'Ad Type '!$B93,'Campaign - Dump'!$A:$A,'Ad Type '!$A93)</f>
        <v>232434.72</v>
      </c>
      <c r="I93" s="23">
        <f t="shared" si="78"/>
        <v>0.1672782793</v>
      </c>
      <c r="J93" s="38">
        <f t="shared" si="79"/>
        <v>5.978062451</v>
      </c>
    </row>
    <row r="94" ht="15.75" customHeight="1">
      <c r="A94" s="171">
        <v>45689.0</v>
      </c>
      <c r="B94" s="3" t="s">
        <v>461</v>
      </c>
      <c r="C94" s="41">
        <f>SUMIFS('Campaign - Dump'!$Q:$Q,'Campaign - Dump'!$E:$E,'Ad Type '!$B94,'Campaign - Dump'!$A:$A,'Ad Type '!$A94)</f>
        <v>85293.06</v>
      </c>
      <c r="D94" s="41">
        <f>SUMIFS('Campaign - Dump'!$O:$O,'Campaign - Dump'!$E:$E,'Ad Type '!$B94,'Campaign - Dump'!$A:$A,'Ad Type '!$A94)</f>
        <v>5253</v>
      </c>
      <c r="E94" s="38">
        <f t="shared" si="76"/>
        <v>16.23701885</v>
      </c>
      <c r="F94" s="130">
        <f>SUMIFS('Campaign - Dump'!$T:$T,'Campaign - Dump'!$E:$E,'Ad Type '!$B94,'Campaign - Dump'!$A:$A,'Ad Type '!$A94)</f>
        <v>60</v>
      </c>
      <c r="G94" s="23">
        <f t="shared" si="77"/>
        <v>0.01142204455</v>
      </c>
      <c r="H94" s="41">
        <f>SUMIFS('Campaign - Dump'!$U:$U,'Campaign - Dump'!$E:$E,'Ad Type '!$B94,'Campaign - Dump'!$A:$A,'Ad Type '!$A94)</f>
        <v>320748.33</v>
      </c>
      <c r="I94" s="23">
        <f t="shared" si="78"/>
        <v>0.2659189527</v>
      </c>
      <c r="J94" s="38">
        <f t="shared" si="79"/>
        <v>3.760544293</v>
      </c>
    </row>
    <row r="95" ht="15.75" customHeight="1">
      <c r="A95" s="171">
        <v>45689.0</v>
      </c>
      <c r="B95" s="3" t="s">
        <v>462</v>
      </c>
      <c r="C95" s="41">
        <f>SUMIFS('Campaign - Dump'!$Q:$Q,'Campaign - Dump'!$E:$E,'Ad Type '!$B95,'Campaign - Dump'!$A:$A,'Ad Type '!$A95)</f>
        <v>111915.27</v>
      </c>
      <c r="D95" s="41">
        <f>SUMIFS('Campaign - Dump'!$O:$O,'Campaign - Dump'!$E:$E,'Ad Type '!$B95,'Campaign - Dump'!$A:$A,'Ad Type '!$A95)</f>
        <v>6902</v>
      </c>
      <c r="E95" s="38">
        <f t="shared" si="76"/>
        <v>16.21490438</v>
      </c>
      <c r="F95" s="130">
        <f>SUMIFS('Campaign - Dump'!$T:$T,'Campaign - Dump'!$E:$E,'Ad Type '!$B95,'Campaign - Dump'!$A:$A,'Ad Type '!$A95)</f>
        <v>39</v>
      </c>
      <c r="G95" s="23">
        <f t="shared" si="77"/>
        <v>0.005650536076</v>
      </c>
      <c r="H95" s="41">
        <f>SUMIFS('Campaign - Dump'!$U:$U,'Campaign - Dump'!$E:$E,'Ad Type '!$B95,'Campaign - Dump'!$A:$A,'Ad Type '!$A95)</f>
        <v>171723.76</v>
      </c>
      <c r="I95" s="23">
        <f t="shared" si="78"/>
        <v>0.651716862</v>
      </c>
      <c r="J95" s="38">
        <f t="shared" si="79"/>
        <v>1.534408665</v>
      </c>
    </row>
    <row r="96" ht="15.75" customHeight="1">
      <c r="A96" s="171">
        <v>45689.0</v>
      </c>
      <c r="B96" s="3" t="s">
        <v>463</v>
      </c>
      <c r="C96" s="41">
        <f>SUMIFS('Campaign - Dump'!$Q:$Q,'Campaign - Dump'!$E:$E,'Ad Type '!$B96,'Campaign - Dump'!$A:$A,'Ad Type '!$A96)</f>
        <v>28390.87</v>
      </c>
      <c r="D96" s="41">
        <f>SUMIFS('Campaign - Dump'!$O:$O,'Campaign - Dump'!$E:$E,'Ad Type '!$B96,'Campaign - Dump'!$A:$A,'Ad Type '!$A96)</f>
        <v>2097</v>
      </c>
      <c r="E96" s="38">
        <f t="shared" si="76"/>
        <v>13.53880305</v>
      </c>
      <c r="F96" s="41">
        <f>SUMIFS('Campaign - Dump'!$T:$T,'Campaign - Dump'!$E:$E,'Ad Type '!$B96,'Campaign - Dump'!$A:$A,'Ad Type '!$A96)</f>
        <v>4</v>
      </c>
      <c r="G96" s="23">
        <f t="shared" si="77"/>
        <v>0.001907486886</v>
      </c>
      <c r="H96" s="41">
        <f>SUMIFS('Campaign - Dump'!$U:$U,'Campaign - Dump'!$E:$E,'Ad Type '!$B96,'Campaign - Dump'!$A:$A,'Ad Type '!$A96)</f>
        <v>56650.85</v>
      </c>
      <c r="I96" s="23">
        <f t="shared" si="78"/>
        <v>0.5011552342</v>
      </c>
      <c r="J96" s="38">
        <f t="shared" si="79"/>
        <v>1.995389715</v>
      </c>
    </row>
    <row r="97" ht="15.75" customHeight="1">
      <c r="A97" s="135">
        <v>45689.0</v>
      </c>
      <c r="B97" s="159" t="s">
        <v>231</v>
      </c>
      <c r="C97" s="160">
        <f t="shared" ref="C97:D97" si="80">SUM(C92:C96)</f>
        <v>645642.5</v>
      </c>
      <c r="D97" s="160">
        <f t="shared" si="80"/>
        <v>31860</v>
      </c>
      <c r="E97" s="161">
        <f>C97/D97</f>
        <v>20.26498745</v>
      </c>
      <c r="F97" s="160">
        <f>SUM(F92:F96)</f>
        <v>345</v>
      </c>
      <c r="G97" s="162">
        <f>F97/D97</f>
        <v>0.01082862524</v>
      </c>
      <c r="H97" s="160">
        <f>SUM(H92:H96)</f>
        <v>2448692.48</v>
      </c>
      <c r="I97" s="162">
        <f>C97/H97</f>
        <v>0.2636682659</v>
      </c>
      <c r="J97" s="161">
        <f>H97/C97</f>
        <v>3.792644505</v>
      </c>
    </row>
    <row r="98" ht="15.75" customHeight="1">
      <c r="A98" s="135">
        <v>45717.0</v>
      </c>
      <c r="B98" s="3" t="s">
        <v>459</v>
      </c>
      <c r="C98" s="41">
        <f>SUMIFS('Campaign - Dump'!$Q:$Q,'Campaign - Dump'!$E:$E,'Ad Type '!$B98,'Campaign - Dump'!$A:$A,'Ad Type '!$A98)</f>
        <v>495241.29</v>
      </c>
      <c r="D98" s="41">
        <f>SUMIFS('Campaign - Dump'!$O:$O,'Campaign - Dump'!$E:$E,'Ad Type '!$B98,'Campaign - Dump'!$A:$A,'Ad Type '!$A98)</f>
        <v>18041</v>
      </c>
      <c r="E98" s="38">
        <f t="shared" ref="E98:E102" si="81">IFERROR(C98/D98,0)</f>
        <v>27.450878</v>
      </c>
      <c r="F98" s="41">
        <f>SUMIFS('Campaign - Dump'!$T:$T,'Campaign - Dump'!$E:$E,'Ad Type '!$B98,'Campaign - Dump'!$A:$A,'Ad Type '!$A98)</f>
        <v>269</v>
      </c>
      <c r="G98" s="23">
        <f t="shared" ref="G98:G102" si="82">IFERROR(F98/D98,0)</f>
        <v>0.01491048168</v>
      </c>
      <c r="H98" s="41">
        <f>SUMIFS('Campaign - Dump'!$U:$U,'Campaign - Dump'!$E:$E,'Ad Type '!$B98,'Campaign - Dump'!$A:$A,'Ad Type '!$A98)</f>
        <v>2325373.09</v>
      </c>
      <c r="I98" s="23">
        <f t="shared" ref="I98:I102" si="83">IFERROR(C98/H98,0)</f>
        <v>0.212972831</v>
      </c>
      <c r="J98" s="38">
        <f t="shared" ref="J98:J102" si="84">IFERROR(H98/C98,0)</f>
        <v>4.695434603</v>
      </c>
    </row>
    <row r="99" ht="15.75" customHeight="1">
      <c r="A99" s="135">
        <v>45717.0</v>
      </c>
      <c r="B99" s="3" t="s">
        <v>460</v>
      </c>
      <c r="C99" s="41">
        <f>SUMIFS('Campaign - Dump'!$Q:$Q,'Campaign - Dump'!$E:$E,'Ad Type '!$B99,'Campaign - Dump'!$A:$A,'Ad Type '!$A99)</f>
        <v>52115.13</v>
      </c>
      <c r="D99" s="41">
        <f>SUMIFS('Campaign - Dump'!$O:$O,'Campaign - Dump'!$E:$E,'Ad Type '!$B99,'Campaign - Dump'!$A:$A,'Ad Type '!$A99)</f>
        <v>7032</v>
      </c>
      <c r="E99" s="38">
        <f t="shared" si="81"/>
        <v>7.411139078</v>
      </c>
      <c r="F99" s="41">
        <f>SUMIFS('Campaign - Dump'!$T:$T,'Campaign - Dump'!$E:$E,'Ad Type '!$B99,'Campaign - Dump'!$A:$A,'Ad Type '!$A99)</f>
        <v>71</v>
      </c>
      <c r="G99" s="23">
        <f t="shared" si="82"/>
        <v>0.0100967008</v>
      </c>
      <c r="H99" s="41">
        <f>SUMIFS('Campaign - Dump'!$U:$U,'Campaign - Dump'!$E:$E,'Ad Type '!$B99,'Campaign - Dump'!$A:$A,'Ad Type '!$A99)</f>
        <v>316795.89</v>
      </c>
      <c r="I99" s="23">
        <f t="shared" si="83"/>
        <v>0.1645069638</v>
      </c>
      <c r="J99" s="38">
        <f t="shared" si="84"/>
        <v>6.078770023</v>
      </c>
    </row>
    <row r="100" ht="15.75" customHeight="1">
      <c r="A100" s="135">
        <v>45717.0</v>
      </c>
      <c r="B100" s="3" t="s">
        <v>461</v>
      </c>
      <c r="C100" s="41">
        <f>SUMIFS('Campaign - Dump'!$Q:$Q,'Campaign - Dump'!$E:$E,'Ad Type '!$B100,'Campaign - Dump'!$A:$A,'Ad Type '!$A100)</f>
        <v>170364.05</v>
      </c>
      <c r="D100" s="41">
        <f>SUMIFS('Campaign - Dump'!$O:$O,'Campaign - Dump'!$E:$E,'Ad Type '!$B100,'Campaign - Dump'!$A:$A,'Ad Type '!$A100)</f>
        <v>10837</v>
      </c>
      <c r="E100" s="38">
        <f t="shared" si="81"/>
        <v>15.72059149</v>
      </c>
      <c r="F100" s="130">
        <f>SUMIFS('Campaign - Dump'!$T:$T,'Campaign - Dump'!$E:$E,'Ad Type '!$B100,'Campaign - Dump'!$A:$A,'Ad Type '!$A100)</f>
        <v>78</v>
      </c>
      <c r="G100" s="23">
        <f t="shared" si="82"/>
        <v>0.007197563901</v>
      </c>
      <c r="H100" s="41">
        <f>SUMIFS('Campaign - Dump'!$U:$U,'Campaign - Dump'!$E:$E,'Ad Type '!$B100,'Campaign - Dump'!$A:$A,'Ad Type '!$A100)</f>
        <v>578809.39</v>
      </c>
      <c r="I100" s="23">
        <f t="shared" si="83"/>
        <v>0.2943353251</v>
      </c>
      <c r="J100" s="38">
        <f t="shared" si="84"/>
        <v>3.397485502</v>
      </c>
    </row>
    <row r="101" ht="15.75" customHeight="1">
      <c r="A101" s="135">
        <v>45717.0</v>
      </c>
      <c r="B101" s="3" t="s">
        <v>462</v>
      </c>
      <c r="C101" s="41">
        <f>SUMIFS('Campaign - Dump'!$Q:$Q,'Campaign - Dump'!$E:$E,'Ad Type '!$B101,'Campaign - Dump'!$A:$A,'Ad Type '!$A101)</f>
        <v>79282.43</v>
      </c>
      <c r="D101" s="41">
        <f>SUMIFS('Campaign - Dump'!$O:$O,'Campaign - Dump'!$E:$E,'Ad Type '!$B101,'Campaign - Dump'!$A:$A,'Ad Type '!$A101)</f>
        <v>4982</v>
      </c>
      <c r="E101" s="38">
        <f t="shared" si="81"/>
        <v>15.91377559</v>
      </c>
      <c r="F101" s="130">
        <f>SUMIFS('Campaign - Dump'!$T:$T,'Campaign - Dump'!$E:$E,'Ad Type '!$B101,'Campaign - Dump'!$A:$A,'Ad Type '!$A101)</f>
        <v>33</v>
      </c>
      <c r="G101" s="23">
        <f t="shared" si="82"/>
        <v>0.006623845845</v>
      </c>
      <c r="H101" s="41">
        <f>SUMIFS('Campaign - Dump'!$U:$U,'Campaign - Dump'!$E:$E,'Ad Type '!$B101,'Campaign - Dump'!$A:$A,'Ad Type '!$A101)</f>
        <v>138883.97</v>
      </c>
      <c r="I101" s="23">
        <f t="shared" si="83"/>
        <v>0.5708537134</v>
      </c>
      <c r="J101" s="38">
        <f t="shared" si="84"/>
        <v>1.751762276</v>
      </c>
    </row>
    <row r="102" ht="15.75" customHeight="1">
      <c r="A102" s="135">
        <v>45717.0</v>
      </c>
      <c r="B102" s="3" t="s">
        <v>463</v>
      </c>
      <c r="C102" s="41">
        <f>SUMIFS('Campaign - Dump'!$Q:$Q,'Campaign - Dump'!$E:$E,'Ad Type '!$B102,'Campaign - Dump'!$A:$A,'Ad Type '!$A102)</f>
        <v>48510.8</v>
      </c>
      <c r="D102" s="41">
        <f>SUMIFS('Campaign - Dump'!$O:$O,'Campaign - Dump'!$E:$E,'Ad Type '!$B102,'Campaign - Dump'!$A:$A,'Ad Type '!$A102)</f>
        <v>10398</v>
      </c>
      <c r="E102" s="38">
        <f t="shared" si="81"/>
        <v>4.665397192</v>
      </c>
      <c r="F102" s="41">
        <f>SUMIFS('Campaign - Dump'!$T:$T,'Campaign - Dump'!$E:$E,'Ad Type '!$B102,'Campaign - Dump'!$A:$A,'Ad Type '!$A102)</f>
        <v>7</v>
      </c>
      <c r="G102" s="23">
        <f t="shared" si="82"/>
        <v>0.0006732063858</v>
      </c>
      <c r="H102" s="41">
        <f>SUMIFS('Campaign - Dump'!$U:$U,'Campaign - Dump'!$E:$E,'Ad Type '!$B102,'Campaign - Dump'!$A:$A,'Ad Type '!$A102)</f>
        <v>135575.46</v>
      </c>
      <c r="I102" s="23">
        <f t="shared" si="83"/>
        <v>0.3578140174</v>
      </c>
      <c r="J102" s="38">
        <f t="shared" si="84"/>
        <v>2.794747974</v>
      </c>
    </row>
    <row r="103" ht="15.75" customHeight="1">
      <c r="A103" s="135">
        <v>45717.0</v>
      </c>
      <c r="B103" s="159" t="s">
        <v>231</v>
      </c>
      <c r="C103" s="160">
        <f t="shared" ref="C103:D103" si="85">SUM(C98:C102)</f>
        <v>845513.7</v>
      </c>
      <c r="D103" s="160">
        <f t="shared" si="85"/>
        <v>51290</v>
      </c>
      <c r="E103" s="161">
        <f>C103/D103</f>
        <v>16.48496198</v>
      </c>
      <c r="F103" s="160">
        <f>SUM(F98:F102)</f>
        <v>458</v>
      </c>
      <c r="G103" s="162">
        <f>F103/D103</f>
        <v>0.00892961591</v>
      </c>
      <c r="H103" s="160">
        <f>SUM(H98:H102)</f>
        <v>3495437.8</v>
      </c>
      <c r="I103" s="162">
        <f>C103/H103</f>
        <v>0.2418906439</v>
      </c>
      <c r="J103" s="161">
        <f>H103/C103</f>
        <v>4.134099542</v>
      </c>
    </row>
    <row r="104" ht="15.75" customHeight="1">
      <c r="A104" s="107"/>
    </row>
    <row r="105" ht="15.75" customHeight="1">
      <c r="A105" s="107"/>
    </row>
    <row r="106" ht="15.75" customHeight="1">
      <c r="A106" s="107"/>
    </row>
    <row r="107" ht="15.75" customHeight="1">
      <c r="A107" s="107"/>
    </row>
    <row r="108" ht="15.75" customHeight="1">
      <c r="A108" s="107"/>
    </row>
    <row r="109" ht="15.75" customHeight="1">
      <c r="A109" s="107"/>
    </row>
    <row r="110" ht="15.75" customHeight="1">
      <c r="A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>
      <c r="A121" s="107"/>
    </row>
    <row r="122" ht="15.75" customHeight="1">
      <c r="A122" s="107"/>
    </row>
    <row r="123" ht="15.75" customHeight="1">
      <c r="A123" s="107"/>
    </row>
    <row r="124" ht="15.75" customHeight="1">
      <c r="A124" s="107"/>
    </row>
    <row r="125" ht="15.75" customHeight="1">
      <c r="A125" s="107"/>
    </row>
    <row r="126" ht="15.75" customHeight="1">
      <c r="A126" s="107"/>
    </row>
    <row r="127" ht="15.75" customHeight="1">
      <c r="A127" s="107"/>
    </row>
    <row r="128" ht="15.75" customHeight="1">
      <c r="A128" s="107"/>
    </row>
    <row r="129" ht="15.75" customHeight="1">
      <c r="A129" s="107"/>
    </row>
    <row r="130" ht="15.75" customHeight="1">
      <c r="A130" s="107"/>
    </row>
    <row r="131" ht="15.75" customHeight="1">
      <c r="A131" s="107"/>
    </row>
    <row r="132" ht="15.75" customHeight="1">
      <c r="A132" s="107"/>
    </row>
    <row r="133" ht="15.75" customHeight="1">
      <c r="A133" s="107"/>
    </row>
    <row r="134" ht="15.75" customHeight="1">
      <c r="A134" s="107"/>
    </row>
    <row r="135" ht="15.75" customHeight="1">
      <c r="A135" s="107"/>
    </row>
    <row r="136" ht="15.75" customHeight="1">
      <c r="A136" s="107"/>
    </row>
    <row r="137" ht="15.75" customHeight="1">
      <c r="A137" s="107"/>
    </row>
    <row r="138" ht="15.75" customHeight="1">
      <c r="A138" s="107"/>
    </row>
    <row r="139" ht="15.75" customHeight="1">
      <c r="A139" s="107"/>
    </row>
    <row r="140" ht="15.75" customHeight="1">
      <c r="A140" s="107"/>
    </row>
    <row r="141" ht="15.75" customHeight="1">
      <c r="A141" s="107"/>
    </row>
    <row r="142" ht="15.75" customHeight="1">
      <c r="A142" s="107"/>
    </row>
    <row r="143" ht="15.75" customHeight="1">
      <c r="A143" s="107"/>
    </row>
    <row r="144" ht="15.75" customHeight="1">
      <c r="A144" s="107"/>
    </row>
    <row r="145" ht="15.75" customHeight="1">
      <c r="A145" s="107"/>
    </row>
    <row r="146" ht="15.75" customHeight="1">
      <c r="A146" s="107"/>
    </row>
    <row r="147" ht="15.75" customHeight="1">
      <c r="A147" s="107"/>
    </row>
    <row r="148" ht="15.75" customHeight="1">
      <c r="A148" s="107"/>
    </row>
    <row r="149" ht="15.75" customHeight="1">
      <c r="A149" s="107"/>
    </row>
    <row r="150" ht="15.75" customHeight="1">
      <c r="A150" s="107"/>
    </row>
    <row r="151" ht="15.75" customHeight="1">
      <c r="A151" s="107"/>
    </row>
    <row r="152" ht="15.75" customHeight="1">
      <c r="A152" s="107"/>
    </row>
    <row r="153" ht="15.75" customHeight="1">
      <c r="A153" s="107"/>
    </row>
    <row r="154" ht="15.75" customHeight="1">
      <c r="A154" s="107"/>
    </row>
    <row r="155" ht="15.75" customHeight="1">
      <c r="A155" s="107"/>
    </row>
    <row r="156" ht="15.75" customHeight="1">
      <c r="A156" s="107"/>
    </row>
    <row r="157" ht="15.75" customHeight="1">
      <c r="A157" s="107"/>
    </row>
    <row r="158" ht="15.75" customHeight="1">
      <c r="A158" s="107"/>
    </row>
    <row r="159" ht="15.75" customHeight="1">
      <c r="A159" s="107"/>
    </row>
    <row r="160" ht="15.75" customHeight="1">
      <c r="A160" s="107"/>
    </row>
    <row r="161" ht="15.75" customHeight="1">
      <c r="A161" s="107"/>
    </row>
    <row r="162" ht="15.75" customHeight="1">
      <c r="A162" s="107"/>
    </row>
    <row r="163" ht="15.75" customHeight="1">
      <c r="A163" s="107"/>
    </row>
    <row r="164" ht="15.75" customHeight="1">
      <c r="A164" s="107"/>
    </row>
    <row r="165" ht="15.75" customHeight="1">
      <c r="A165" s="107"/>
    </row>
    <row r="166" ht="15.75" customHeight="1">
      <c r="A166" s="107"/>
    </row>
    <row r="167" ht="15.75" customHeight="1">
      <c r="A167" s="107"/>
    </row>
    <row r="168" ht="15.75" customHeight="1">
      <c r="A168" s="107"/>
    </row>
    <row r="169" ht="15.75" customHeight="1">
      <c r="A169" s="107"/>
    </row>
    <row r="170" ht="15.75" customHeight="1">
      <c r="A170" s="107"/>
    </row>
    <row r="171" ht="15.75" customHeight="1">
      <c r="A171" s="107"/>
    </row>
    <row r="172" ht="15.75" customHeight="1">
      <c r="A172" s="107"/>
    </row>
    <row r="173" ht="15.75" customHeight="1">
      <c r="A173" s="107"/>
    </row>
    <row r="174" ht="15.75" customHeight="1">
      <c r="A174" s="107"/>
    </row>
    <row r="175" ht="15.75" customHeight="1">
      <c r="A175" s="107"/>
    </row>
    <row r="176" ht="15.75" customHeight="1">
      <c r="A176" s="107"/>
    </row>
    <row r="177" ht="15.75" customHeight="1">
      <c r="A177" s="107"/>
    </row>
    <row r="178" ht="15.75" customHeight="1">
      <c r="A178" s="107"/>
    </row>
    <row r="179" ht="15.75" customHeight="1">
      <c r="A179" s="107"/>
    </row>
    <row r="180" ht="15.75" customHeight="1">
      <c r="A180" s="107"/>
    </row>
    <row r="181" ht="15.75" customHeight="1">
      <c r="A181" s="107"/>
    </row>
    <row r="182" ht="15.75" customHeight="1">
      <c r="A182" s="107"/>
    </row>
    <row r="183" ht="15.75" customHeight="1">
      <c r="A183" s="107"/>
    </row>
    <row r="184" ht="15.75" customHeight="1">
      <c r="A184" s="107"/>
    </row>
    <row r="185" ht="15.75" customHeight="1">
      <c r="A185" s="107"/>
    </row>
    <row r="186" ht="15.75" customHeight="1">
      <c r="A186" s="107"/>
    </row>
    <row r="187" ht="15.75" customHeight="1">
      <c r="A187" s="107"/>
    </row>
    <row r="188" ht="15.75" customHeight="1">
      <c r="A188" s="107"/>
    </row>
    <row r="189" ht="15.75" customHeight="1">
      <c r="A189" s="107"/>
    </row>
    <row r="190" ht="15.75" customHeight="1">
      <c r="A190" s="107"/>
    </row>
    <row r="191" ht="15.75" customHeight="1">
      <c r="A191" s="107"/>
    </row>
    <row r="192" ht="15.75" customHeight="1">
      <c r="A192" s="107"/>
    </row>
    <row r="193" ht="15.75" customHeight="1">
      <c r="A193" s="107"/>
    </row>
    <row r="194" ht="15.75" customHeight="1">
      <c r="A194" s="107"/>
    </row>
    <row r="195" ht="15.75" customHeight="1">
      <c r="A195" s="107"/>
    </row>
    <row r="196" ht="15.75" customHeight="1">
      <c r="A196" s="107"/>
    </row>
    <row r="197" ht="15.75" customHeight="1">
      <c r="A197" s="107"/>
    </row>
    <row r="198" ht="15.75" customHeight="1">
      <c r="A198" s="107"/>
    </row>
    <row r="199" ht="15.75" customHeight="1">
      <c r="A199" s="107"/>
    </row>
    <row r="200" ht="15.75" customHeight="1">
      <c r="A200" s="107"/>
    </row>
    <row r="201" ht="15.75" customHeight="1">
      <c r="A201" s="107"/>
    </row>
    <row r="202" ht="15.75" customHeight="1">
      <c r="A202" s="107"/>
    </row>
    <row r="203" ht="15.75" customHeight="1">
      <c r="A203" s="107"/>
    </row>
    <row r="204" ht="15.75" customHeight="1">
      <c r="A204" s="107"/>
    </row>
    <row r="205" ht="15.75" customHeight="1">
      <c r="A205" s="107"/>
    </row>
    <row r="206" ht="15.75" customHeight="1">
      <c r="A206" s="107"/>
    </row>
    <row r="207" ht="15.75" customHeight="1">
      <c r="A207" s="107"/>
    </row>
    <row r="208" ht="15.75" customHeight="1">
      <c r="A208" s="107"/>
    </row>
    <row r="209" ht="15.75" customHeight="1">
      <c r="A209" s="107"/>
    </row>
    <row r="210" ht="15.75" customHeight="1">
      <c r="A210" s="107"/>
    </row>
    <row r="211" ht="15.75" customHeight="1">
      <c r="A211" s="107"/>
    </row>
    <row r="212" ht="15.75" customHeight="1">
      <c r="A212" s="107"/>
    </row>
    <row r="213" ht="15.75" customHeight="1">
      <c r="A213" s="107"/>
    </row>
    <row r="214" ht="15.75" customHeight="1">
      <c r="A214" s="107"/>
    </row>
    <row r="215" ht="15.75" customHeight="1">
      <c r="A215" s="107"/>
    </row>
    <row r="216" ht="15.75" customHeight="1">
      <c r="A216" s="107"/>
    </row>
    <row r="217" ht="15.75" customHeight="1">
      <c r="A217" s="107"/>
    </row>
    <row r="218" ht="15.75" customHeight="1">
      <c r="A218" s="107"/>
    </row>
    <row r="219" ht="15.75" customHeight="1">
      <c r="A219" s="107"/>
    </row>
    <row r="220" ht="15.75" customHeight="1">
      <c r="A220" s="107"/>
    </row>
    <row r="221" ht="15.75" customHeight="1">
      <c r="A221" s="107"/>
    </row>
    <row r="222" ht="15.75" customHeight="1">
      <c r="A222" s="107"/>
    </row>
    <row r="223" ht="15.75" customHeight="1">
      <c r="A223" s="107"/>
    </row>
    <row r="224" ht="15.75" customHeight="1">
      <c r="A224" s="107"/>
    </row>
    <row r="225" ht="15.75" customHeight="1">
      <c r="A225" s="107"/>
    </row>
    <row r="226" ht="15.75" customHeight="1">
      <c r="A226" s="107"/>
    </row>
    <row r="227" ht="15.75" customHeight="1">
      <c r="A227" s="107"/>
    </row>
    <row r="228" ht="15.75" customHeight="1">
      <c r="A228" s="107"/>
    </row>
    <row r="229" ht="15.75" customHeight="1">
      <c r="A229" s="107"/>
    </row>
    <row r="230" ht="15.75" customHeight="1">
      <c r="A230" s="107"/>
    </row>
    <row r="231" ht="15.75" customHeight="1">
      <c r="A231" s="107"/>
    </row>
    <row r="232" ht="15.75" customHeight="1">
      <c r="A232" s="107"/>
    </row>
    <row r="233" ht="15.75" customHeight="1">
      <c r="A233" s="107"/>
    </row>
    <row r="234" ht="15.75" customHeight="1">
      <c r="A234" s="107"/>
    </row>
    <row r="235" ht="15.75" customHeight="1">
      <c r="A235" s="107"/>
    </row>
    <row r="236" ht="15.75" customHeight="1">
      <c r="A236" s="107"/>
    </row>
    <row r="237" ht="15.75" customHeight="1">
      <c r="A237" s="107"/>
    </row>
    <row r="238" ht="15.75" customHeight="1">
      <c r="A238" s="107"/>
    </row>
    <row r="239" ht="15.75" customHeight="1">
      <c r="A239" s="107"/>
    </row>
    <row r="240" ht="15.75" customHeight="1">
      <c r="A240" s="107"/>
    </row>
    <row r="241" ht="15.75" customHeight="1">
      <c r="A241" s="107"/>
    </row>
    <row r="242" ht="15.75" customHeight="1">
      <c r="A242" s="107"/>
    </row>
    <row r="243" ht="15.75" customHeight="1">
      <c r="A243" s="107"/>
    </row>
    <row r="244" ht="15.75" customHeight="1">
      <c r="A244" s="107"/>
    </row>
    <row r="245" ht="15.75" customHeight="1">
      <c r="A245" s="107"/>
    </row>
    <row r="246" ht="15.75" customHeight="1">
      <c r="A246" s="107"/>
    </row>
    <row r="247" ht="15.75" customHeight="1">
      <c r="A247" s="107"/>
    </row>
    <row r="248" ht="15.75" customHeight="1">
      <c r="A248" s="107"/>
    </row>
    <row r="249" ht="15.75" customHeight="1">
      <c r="A249" s="107"/>
    </row>
    <row r="250" ht="15.75" customHeight="1">
      <c r="A250" s="107"/>
    </row>
    <row r="251" ht="15.75" customHeight="1">
      <c r="A251" s="107"/>
    </row>
    <row r="252" ht="15.75" customHeight="1">
      <c r="A252" s="107"/>
    </row>
    <row r="253" ht="15.75" customHeight="1">
      <c r="A253" s="107"/>
    </row>
    <row r="254" ht="15.75" customHeight="1">
      <c r="A254" s="107"/>
    </row>
    <row r="255" ht="15.75" customHeight="1">
      <c r="A255" s="107"/>
    </row>
    <row r="256" ht="15.75" customHeight="1">
      <c r="A256" s="107"/>
    </row>
    <row r="257" ht="15.75" customHeight="1">
      <c r="A257" s="107"/>
    </row>
    <row r="258" ht="15.75" customHeight="1">
      <c r="A258" s="107"/>
    </row>
    <row r="259" ht="15.75" customHeight="1">
      <c r="A259" s="107"/>
    </row>
    <row r="260" ht="15.75" customHeight="1">
      <c r="A260" s="107"/>
    </row>
    <row r="261" ht="15.75" customHeight="1">
      <c r="A261" s="107"/>
    </row>
    <row r="262" ht="15.75" customHeight="1">
      <c r="A262" s="107"/>
    </row>
    <row r="263" ht="15.75" customHeight="1">
      <c r="A263" s="107"/>
    </row>
    <row r="264" ht="15.75" customHeight="1">
      <c r="A264" s="107"/>
    </row>
    <row r="265" ht="15.75" customHeight="1">
      <c r="A265" s="107"/>
    </row>
    <row r="266" ht="15.75" customHeight="1">
      <c r="A266" s="107"/>
    </row>
    <row r="267" ht="15.75" customHeight="1">
      <c r="A267" s="107"/>
    </row>
    <row r="268" ht="15.75" customHeight="1">
      <c r="A268" s="107"/>
    </row>
    <row r="269" ht="15.75" customHeight="1">
      <c r="A269" s="107"/>
    </row>
    <row r="270" ht="15.75" customHeight="1">
      <c r="A270" s="107"/>
    </row>
    <row r="271" ht="15.75" customHeight="1">
      <c r="A271" s="107"/>
    </row>
    <row r="272" ht="15.75" customHeight="1">
      <c r="A272" s="107"/>
    </row>
    <row r="273" ht="15.75" customHeight="1">
      <c r="A273" s="107"/>
    </row>
    <row r="274" ht="15.75" customHeight="1">
      <c r="A274" s="107"/>
    </row>
    <row r="275" ht="15.75" customHeight="1">
      <c r="A275" s="107"/>
    </row>
    <row r="276" ht="15.75" customHeight="1">
      <c r="A276" s="107"/>
    </row>
    <row r="277" ht="15.75" customHeight="1">
      <c r="A277" s="107"/>
    </row>
    <row r="278" ht="15.75" customHeight="1">
      <c r="A278" s="107"/>
    </row>
    <row r="279" ht="15.75" customHeight="1">
      <c r="A279" s="107"/>
    </row>
    <row r="280" ht="15.75" customHeight="1">
      <c r="A280" s="107"/>
    </row>
    <row r="281" ht="15.75" customHeight="1">
      <c r="A281" s="107"/>
    </row>
    <row r="282" ht="15.75" customHeight="1">
      <c r="A282" s="107"/>
    </row>
    <row r="283" ht="15.75" customHeight="1">
      <c r="A283" s="107"/>
    </row>
    <row r="284" ht="15.75" customHeight="1">
      <c r="A284" s="107"/>
    </row>
    <row r="285" ht="15.75" customHeight="1">
      <c r="A285" s="107"/>
    </row>
    <row r="286" ht="15.75" customHeight="1">
      <c r="A286" s="107"/>
    </row>
    <row r="287" ht="15.75" customHeight="1">
      <c r="A287" s="107"/>
    </row>
    <row r="288" ht="15.75" customHeight="1">
      <c r="A288" s="107"/>
    </row>
    <row r="289" ht="15.75" customHeight="1">
      <c r="A289" s="107"/>
    </row>
    <row r="290" ht="15.75" customHeight="1">
      <c r="A290" s="107"/>
    </row>
    <row r="291" ht="15.75" customHeight="1">
      <c r="A291" s="107"/>
    </row>
    <row r="292" ht="15.75" customHeight="1">
      <c r="A292" s="107"/>
    </row>
    <row r="293" ht="15.75" customHeight="1">
      <c r="A293" s="107"/>
    </row>
    <row r="294" ht="15.75" customHeight="1">
      <c r="A294" s="107"/>
    </row>
    <row r="295" ht="15.75" customHeight="1">
      <c r="A295" s="107"/>
    </row>
    <row r="296" ht="15.75" customHeight="1">
      <c r="A296" s="107"/>
    </row>
    <row r="297" ht="15.75" customHeight="1">
      <c r="A297" s="107"/>
    </row>
    <row r="298" ht="15.75" customHeight="1">
      <c r="A298" s="107"/>
    </row>
    <row r="299" ht="15.75" customHeight="1">
      <c r="A299" s="107"/>
    </row>
    <row r="300" ht="15.75" customHeight="1">
      <c r="A300" s="107"/>
    </row>
    <row r="301" ht="15.75" customHeight="1">
      <c r="A301" s="107"/>
    </row>
    <row r="302" ht="15.75" customHeight="1">
      <c r="A302" s="107"/>
    </row>
    <row r="303" ht="15.75" customHeight="1">
      <c r="A303" s="107"/>
    </row>
    <row r="304" ht="15.75" customHeight="1">
      <c r="A304" s="107"/>
    </row>
    <row r="305" ht="15.75" customHeight="1">
      <c r="A305" s="107"/>
    </row>
    <row r="306" ht="15.75" customHeight="1">
      <c r="A306" s="107"/>
    </row>
    <row r="307" ht="15.75" customHeight="1">
      <c r="A307" s="107"/>
    </row>
    <row r="308" ht="15.75" customHeight="1">
      <c r="A308" s="107"/>
    </row>
    <row r="309" ht="15.75" customHeight="1">
      <c r="A309" s="107"/>
    </row>
    <row r="310" ht="15.75" customHeight="1">
      <c r="A310" s="107"/>
    </row>
    <row r="311" ht="15.75" customHeight="1">
      <c r="A311" s="107"/>
    </row>
    <row r="312" ht="15.75" customHeight="1">
      <c r="A312" s="107"/>
    </row>
    <row r="313" ht="15.75" customHeight="1">
      <c r="A313" s="107"/>
    </row>
    <row r="314" ht="15.75" customHeight="1">
      <c r="A314" s="107"/>
    </row>
    <row r="315" ht="15.75" customHeight="1">
      <c r="A315" s="107"/>
    </row>
    <row r="316" ht="15.75" customHeight="1">
      <c r="A316" s="107"/>
    </row>
    <row r="317" ht="15.75" customHeight="1">
      <c r="A317" s="107"/>
    </row>
    <row r="318" ht="15.75" customHeight="1">
      <c r="A318" s="107"/>
    </row>
    <row r="319" ht="15.75" customHeight="1">
      <c r="A319" s="107"/>
    </row>
    <row r="320" ht="15.75" customHeight="1">
      <c r="A320" s="107"/>
    </row>
    <row r="321" ht="15.75" customHeight="1">
      <c r="A321" s="107"/>
    </row>
    <row r="322" ht="15.75" customHeight="1">
      <c r="A322" s="107"/>
    </row>
    <row r="323" ht="15.75" customHeight="1">
      <c r="A323" s="107"/>
    </row>
    <row r="324" ht="15.75" customHeight="1">
      <c r="A324" s="107"/>
    </row>
    <row r="325" ht="15.75" customHeight="1">
      <c r="A325" s="107"/>
    </row>
    <row r="326" ht="15.75" customHeight="1">
      <c r="A326" s="107"/>
    </row>
    <row r="327" ht="15.75" customHeight="1">
      <c r="A327" s="107"/>
    </row>
    <row r="328" ht="15.75" customHeight="1">
      <c r="A328" s="107"/>
    </row>
    <row r="329" ht="15.75" customHeight="1">
      <c r="A329" s="107"/>
    </row>
    <row r="330" ht="15.75" customHeight="1">
      <c r="A330" s="107"/>
    </row>
    <row r="331" ht="15.75" customHeight="1">
      <c r="A331" s="107"/>
    </row>
    <row r="332" ht="15.75" customHeight="1">
      <c r="A332" s="107"/>
    </row>
    <row r="333" ht="15.75" customHeight="1">
      <c r="A333" s="107"/>
    </row>
    <row r="334" ht="15.75" customHeight="1">
      <c r="A334" s="107"/>
    </row>
    <row r="335" ht="15.75" customHeight="1">
      <c r="A335" s="107"/>
    </row>
    <row r="336" ht="15.75" customHeight="1">
      <c r="A336" s="107"/>
    </row>
    <row r="337" ht="15.75" customHeight="1">
      <c r="A337" s="107"/>
    </row>
    <row r="338" ht="15.75" customHeight="1">
      <c r="A338" s="107"/>
    </row>
    <row r="339" ht="15.75" customHeight="1">
      <c r="A339" s="107"/>
    </row>
    <row r="340" ht="15.75" customHeight="1">
      <c r="A340" s="107"/>
    </row>
    <row r="341" ht="15.75" customHeight="1">
      <c r="A341" s="107"/>
    </row>
    <row r="342" ht="15.75" customHeight="1">
      <c r="A342" s="107"/>
    </row>
    <row r="343" ht="15.75" customHeight="1">
      <c r="A343" s="107"/>
    </row>
    <row r="344" ht="15.75" customHeight="1">
      <c r="A344" s="107"/>
    </row>
    <row r="345" ht="15.75" customHeight="1">
      <c r="A345" s="107"/>
    </row>
    <row r="346" ht="15.75" customHeight="1">
      <c r="A346" s="107"/>
    </row>
    <row r="347" ht="15.75" customHeight="1">
      <c r="A347" s="107"/>
    </row>
    <row r="348" ht="15.75" customHeight="1">
      <c r="A348" s="107"/>
    </row>
    <row r="349" ht="15.75" customHeight="1">
      <c r="A349" s="107"/>
    </row>
    <row r="350" ht="15.75" customHeight="1">
      <c r="A350" s="107"/>
    </row>
    <row r="351" ht="15.75" customHeight="1">
      <c r="A351" s="107"/>
    </row>
    <row r="352" ht="15.75" customHeight="1">
      <c r="A352" s="107"/>
    </row>
    <row r="353" ht="15.75" customHeight="1">
      <c r="A353" s="107"/>
    </row>
    <row r="354" ht="15.75" customHeight="1">
      <c r="A354" s="107"/>
    </row>
    <row r="355" ht="15.75" customHeight="1">
      <c r="A355" s="107"/>
    </row>
    <row r="356" ht="15.75" customHeight="1">
      <c r="A356" s="107"/>
    </row>
    <row r="357" ht="15.75" customHeight="1">
      <c r="A357" s="107"/>
    </row>
    <row r="358" ht="15.75" customHeight="1">
      <c r="A358" s="107"/>
    </row>
    <row r="359" ht="15.75" customHeight="1">
      <c r="A359" s="107"/>
    </row>
    <row r="360" ht="15.75" customHeight="1">
      <c r="A360" s="107"/>
    </row>
    <row r="361" ht="15.75" customHeight="1">
      <c r="A361" s="107"/>
    </row>
    <row r="362" ht="15.75" customHeight="1">
      <c r="A362" s="107"/>
    </row>
    <row r="363" ht="15.75" customHeight="1">
      <c r="A363" s="107"/>
    </row>
    <row r="364" ht="15.75" customHeight="1">
      <c r="A364" s="107"/>
    </row>
    <row r="365" ht="15.75" customHeight="1">
      <c r="A365" s="107"/>
    </row>
    <row r="366" ht="15.75" customHeight="1">
      <c r="A366" s="107"/>
    </row>
    <row r="367" ht="15.75" customHeight="1">
      <c r="A367" s="107"/>
    </row>
    <row r="368" ht="15.75" customHeight="1">
      <c r="A368" s="107"/>
    </row>
    <row r="369" ht="15.75" customHeight="1">
      <c r="A369" s="107"/>
    </row>
    <row r="370" ht="15.75" customHeight="1">
      <c r="A370" s="107"/>
    </row>
    <row r="371" ht="15.75" customHeight="1">
      <c r="A371" s="107"/>
    </row>
    <row r="372" ht="15.75" customHeight="1">
      <c r="A372" s="107"/>
    </row>
    <row r="373" ht="15.75" customHeight="1">
      <c r="A373" s="107"/>
    </row>
    <row r="374" ht="15.75" customHeight="1">
      <c r="A374" s="107"/>
    </row>
    <row r="375" ht="15.75" customHeight="1">
      <c r="A375" s="107"/>
    </row>
    <row r="376" ht="15.75" customHeight="1">
      <c r="A376" s="107"/>
    </row>
    <row r="377" ht="15.75" customHeight="1">
      <c r="A377" s="107"/>
    </row>
    <row r="378" ht="15.75" customHeight="1">
      <c r="A378" s="107"/>
    </row>
    <row r="379" ht="15.75" customHeight="1">
      <c r="A379" s="107"/>
    </row>
    <row r="380" ht="15.75" customHeight="1">
      <c r="A380" s="107"/>
    </row>
    <row r="381" ht="15.75" customHeight="1">
      <c r="A381" s="107"/>
    </row>
    <row r="382" ht="15.75" customHeight="1">
      <c r="A382" s="107"/>
    </row>
    <row r="383" ht="15.75" customHeight="1">
      <c r="A383" s="107"/>
    </row>
    <row r="384" ht="15.75" customHeight="1">
      <c r="A384" s="107"/>
    </row>
    <row r="385" ht="15.75" customHeight="1">
      <c r="A385" s="107"/>
    </row>
    <row r="386" ht="15.75" customHeight="1">
      <c r="A386" s="107"/>
    </row>
    <row r="387" ht="15.75" customHeight="1">
      <c r="A387" s="107"/>
    </row>
    <row r="388" ht="15.75" customHeight="1">
      <c r="A388" s="107"/>
    </row>
    <row r="389" ht="15.75" customHeight="1">
      <c r="A389" s="107"/>
    </row>
    <row r="390" ht="15.75" customHeight="1">
      <c r="A390" s="107"/>
    </row>
    <row r="391" ht="15.75" customHeight="1">
      <c r="A391" s="107"/>
    </row>
    <row r="392" ht="15.75" customHeight="1">
      <c r="A392" s="107"/>
    </row>
    <row r="393" ht="15.75" customHeight="1">
      <c r="A393" s="107"/>
    </row>
    <row r="394" ht="15.75" customHeight="1">
      <c r="A394" s="107"/>
    </row>
    <row r="395" ht="15.75" customHeight="1">
      <c r="A395" s="107"/>
    </row>
    <row r="396" ht="15.75" customHeight="1">
      <c r="A396" s="107"/>
    </row>
    <row r="397" ht="15.75" customHeight="1">
      <c r="A397" s="107"/>
    </row>
    <row r="398" ht="15.75" customHeight="1">
      <c r="A398" s="107"/>
    </row>
    <row r="399" ht="15.75" customHeight="1">
      <c r="A399" s="107"/>
    </row>
    <row r="400" ht="15.75" customHeight="1">
      <c r="A400" s="107"/>
    </row>
    <row r="401" ht="15.75" customHeight="1">
      <c r="A401" s="107"/>
    </row>
    <row r="402" ht="15.75" customHeight="1">
      <c r="A402" s="107"/>
    </row>
    <row r="403" ht="15.75" customHeight="1">
      <c r="A403" s="107"/>
    </row>
    <row r="404" ht="15.75" customHeight="1">
      <c r="A404" s="107"/>
    </row>
    <row r="405" ht="15.75" customHeight="1">
      <c r="A405" s="107"/>
    </row>
    <row r="406" ht="15.75" customHeight="1">
      <c r="A406" s="107"/>
    </row>
    <row r="407" ht="15.75" customHeight="1">
      <c r="A407" s="107"/>
    </row>
    <row r="408" ht="15.75" customHeight="1">
      <c r="A408" s="107"/>
    </row>
    <row r="409" ht="15.75" customHeight="1">
      <c r="A409" s="107"/>
    </row>
    <row r="410" ht="15.75" customHeight="1">
      <c r="A410" s="107"/>
    </row>
    <row r="411" ht="15.75" customHeight="1">
      <c r="A411" s="107"/>
    </row>
    <row r="412" ht="15.75" customHeight="1">
      <c r="A412" s="107"/>
    </row>
    <row r="413" ht="15.75" customHeight="1">
      <c r="A413" s="107"/>
    </row>
    <row r="414" ht="15.75" customHeight="1">
      <c r="A414" s="107"/>
    </row>
    <row r="415" ht="15.75" customHeight="1">
      <c r="A415" s="107"/>
    </row>
    <row r="416" ht="15.75" customHeight="1">
      <c r="A416" s="107"/>
    </row>
    <row r="417" ht="15.75" customHeight="1">
      <c r="A417" s="107"/>
    </row>
    <row r="418" ht="15.75" customHeight="1">
      <c r="A418" s="107"/>
    </row>
    <row r="419" ht="15.75" customHeight="1">
      <c r="A419" s="107"/>
    </row>
    <row r="420" ht="15.75" customHeight="1">
      <c r="A420" s="107"/>
    </row>
    <row r="421" ht="15.75" customHeight="1">
      <c r="A421" s="107"/>
    </row>
    <row r="422" ht="15.75" customHeight="1">
      <c r="A422" s="107"/>
    </row>
    <row r="423" ht="15.75" customHeight="1">
      <c r="A423" s="107"/>
    </row>
    <row r="424" ht="15.75" customHeight="1">
      <c r="A424" s="107"/>
    </row>
    <row r="425" ht="15.75" customHeight="1">
      <c r="A425" s="107"/>
    </row>
    <row r="426" ht="15.75" customHeight="1">
      <c r="A426" s="107"/>
    </row>
    <row r="427" ht="15.75" customHeight="1">
      <c r="A427" s="107"/>
    </row>
    <row r="428" ht="15.75" customHeight="1">
      <c r="A428" s="107"/>
    </row>
    <row r="429" ht="15.75" customHeight="1">
      <c r="A429" s="107"/>
    </row>
    <row r="430" ht="15.75" customHeight="1">
      <c r="A430" s="107"/>
    </row>
    <row r="431" ht="15.75" customHeight="1">
      <c r="A431" s="107"/>
    </row>
    <row r="432" ht="15.75" customHeight="1">
      <c r="A432" s="107"/>
    </row>
    <row r="433" ht="15.75" customHeight="1">
      <c r="A433" s="107"/>
    </row>
    <row r="434" ht="15.75" customHeight="1">
      <c r="A434" s="107"/>
    </row>
    <row r="435" ht="15.75" customHeight="1">
      <c r="A435" s="107"/>
    </row>
    <row r="436" ht="15.75" customHeight="1">
      <c r="A436" s="107"/>
    </row>
    <row r="437" ht="15.75" customHeight="1">
      <c r="A437" s="107"/>
    </row>
    <row r="438" ht="15.75" customHeight="1">
      <c r="A438" s="107"/>
    </row>
    <row r="439" ht="15.75" customHeight="1">
      <c r="A439" s="107"/>
    </row>
    <row r="440" ht="15.75" customHeight="1">
      <c r="A440" s="107"/>
    </row>
    <row r="441" ht="15.75" customHeight="1">
      <c r="A441" s="107"/>
    </row>
    <row r="442" ht="15.75" customHeight="1">
      <c r="A442" s="107"/>
    </row>
    <row r="443" ht="15.75" customHeight="1">
      <c r="A443" s="107"/>
    </row>
    <row r="444" ht="15.75" customHeight="1">
      <c r="A444" s="107"/>
    </row>
    <row r="445" ht="15.75" customHeight="1">
      <c r="A445" s="107"/>
    </row>
    <row r="446" ht="15.75" customHeight="1">
      <c r="A446" s="107"/>
    </row>
    <row r="447" ht="15.75" customHeight="1">
      <c r="A447" s="107"/>
    </row>
    <row r="448" ht="15.75" customHeight="1">
      <c r="A448" s="107"/>
    </row>
    <row r="449" ht="15.75" customHeight="1">
      <c r="A449" s="107"/>
    </row>
    <row r="450" ht="15.75" customHeight="1">
      <c r="A450" s="107"/>
    </row>
    <row r="451" ht="15.75" customHeight="1">
      <c r="A451" s="107"/>
    </row>
    <row r="452" ht="15.75" customHeight="1">
      <c r="A452" s="107"/>
    </row>
    <row r="453" ht="15.75" customHeight="1">
      <c r="A453" s="107"/>
    </row>
    <row r="454" ht="15.75" customHeight="1">
      <c r="A454" s="107"/>
    </row>
    <row r="455" ht="15.75" customHeight="1">
      <c r="A455" s="107"/>
    </row>
    <row r="456" ht="15.75" customHeight="1">
      <c r="A456" s="107"/>
    </row>
    <row r="457" ht="15.75" customHeight="1">
      <c r="A457" s="107"/>
    </row>
    <row r="458" ht="15.75" customHeight="1">
      <c r="A458" s="107"/>
    </row>
    <row r="459" ht="15.75" customHeight="1">
      <c r="A459" s="107"/>
    </row>
    <row r="460" ht="15.75" customHeight="1">
      <c r="A460" s="107"/>
    </row>
    <row r="461" ht="15.75" customHeight="1">
      <c r="A461" s="107"/>
    </row>
    <row r="462" ht="15.75" customHeight="1">
      <c r="A462" s="107"/>
    </row>
    <row r="463" ht="15.75" customHeight="1">
      <c r="A463" s="107"/>
    </row>
    <row r="464" ht="15.75" customHeight="1">
      <c r="A464" s="107"/>
    </row>
    <row r="465" ht="15.75" customHeight="1">
      <c r="A465" s="107"/>
    </row>
    <row r="466" ht="15.75" customHeight="1">
      <c r="A466" s="107"/>
    </row>
    <row r="467" ht="15.75" customHeight="1">
      <c r="A467" s="107"/>
    </row>
    <row r="468" ht="15.75" customHeight="1">
      <c r="A468" s="107"/>
    </row>
    <row r="469" ht="15.75" customHeight="1">
      <c r="A469" s="107"/>
    </row>
    <row r="470" ht="15.75" customHeight="1">
      <c r="A470" s="107"/>
    </row>
    <row r="471" ht="15.75" customHeight="1">
      <c r="A471" s="107"/>
    </row>
    <row r="472" ht="15.75" customHeight="1">
      <c r="A472" s="107"/>
    </row>
    <row r="473" ht="15.75" customHeight="1">
      <c r="A473" s="107"/>
    </row>
    <row r="474" ht="15.75" customHeight="1">
      <c r="A474" s="107"/>
    </row>
    <row r="475" ht="15.75" customHeight="1">
      <c r="A475" s="107"/>
    </row>
    <row r="476" ht="15.75" customHeight="1">
      <c r="A476" s="107"/>
    </row>
    <row r="477" ht="15.75" customHeight="1">
      <c r="A477" s="107"/>
    </row>
    <row r="478" ht="15.75" customHeight="1">
      <c r="A478" s="107"/>
    </row>
    <row r="479" ht="15.75" customHeight="1">
      <c r="A479" s="107"/>
    </row>
    <row r="480" ht="15.75" customHeight="1">
      <c r="A480" s="107"/>
    </row>
    <row r="481" ht="15.75" customHeight="1">
      <c r="A481" s="107"/>
    </row>
    <row r="482" ht="15.75" customHeight="1">
      <c r="A482" s="107"/>
    </row>
    <row r="483" ht="15.75" customHeight="1">
      <c r="A483" s="107"/>
    </row>
    <row r="484" ht="15.75" customHeight="1">
      <c r="A484" s="107"/>
    </row>
    <row r="485" ht="15.75" customHeight="1">
      <c r="A485" s="107"/>
    </row>
    <row r="486" ht="15.75" customHeight="1">
      <c r="A486" s="107"/>
    </row>
    <row r="487" ht="15.75" customHeight="1">
      <c r="A487" s="107"/>
    </row>
    <row r="488" ht="15.75" customHeight="1">
      <c r="A488" s="107"/>
    </row>
    <row r="489" ht="15.75" customHeight="1">
      <c r="A489" s="107"/>
    </row>
    <row r="490" ht="15.75" customHeight="1">
      <c r="A490" s="107"/>
    </row>
    <row r="491" ht="15.75" customHeight="1">
      <c r="A491" s="107"/>
    </row>
    <row r="492" ht="15.75" customHeight="1">
      <c r="A492" s="107"/>
    </row>
    <row r="493" ht="15.75" customHeight="1">
      <c r="A493" s="107"/>
    </row>
    <row r="494" ht="15.75" customHeight="1">
      <c r="A494" s="107"/>
    </row>
    <row r="495" ht="15.75" customHeight="1">
      <c r="A495" s="107"/>
    </row>
    <row r="496" ht="15.75" customHeight="1">
      <c r="A496" s="107"/>
    </row>
    <row r="497" ht="15.75" customHeight="1">
      <c r="A497" s="107"/>
    </row>
    <row r="498" ht="15.75" customHeight="1">
      <c r="A498" s="107"/>
    </row>
    <row r="499" ht="15.75" customHeight="1">
      <c r="A499" s="107"/>
    </row>
    <row r="500" ht="15.75" customHeight="1">
      <c r="A500" s="107"/>
    </row>
    <row r="501" ht="15.75" customHeight="1">
      <c r="A501" s="107"/>
    </row>
    <row r="502" ht="15.75" customHeight="1">
      <c r="A502" s="107"/>
    </row>
    <row r="503" ht="15.75" customHeight="1">
      <c r="A503" s="107"/>
    </row>
    <row r="504" ht="15.75" customHeight="1">
      <c r="A504" s="107"/>
    </row>
    <row r="505" ht="15.75" customHeight="1">
      <c r="A505" s="107"/>
    </row>
    <row r="506" ht="15.75" customHeight="1">
      <c r="A506" s="107"/>
    </row>
    <row r="507" ht="15.75" customHeight="1">
      <c r="A507" s="107"/>
    </row>
    <row r="508" ht="15.75" customHeight="1">
      <c r="A508" s="107"/>
    </row>
    <row r="509" ht="15.75" customHeight="1">
      <c r="A509" s="107"/>
    </row>
    <row r="510" ht="15.75" customHeight="1">
      <c r="A510" s="107"/>
    </row>
    <row r="511" ht="15.75" customHeight="1">
      <c r="A511" s="107"/>
    </row>
    <row r="512" ht="15.75" customHeight="1">
      <c r="A512" s="107"/>
    </row>
    <row r="513" ht="15.75" customHeight="1">
      <c r="A513" s="107"/>
    </row>
    <row r="514" ht="15.75" customHeight="1">
      <c r="A514" s="107"/>
    </row>
    <row r="515" ht="15.75" customHeight="1">
      <c r="A515" s="107"/>
    </row>
    <row r="516" ht="15.75" customHeight="1">
      <c r="A516" s="107"/>
    </row>
    <row r="517" ht="15.75" customHeight="1">
      <c r="A517" s="107"/>
    </row>
    <row r="518" ht="15.75" customHeight="1">
      <c r="A518" s="107"/>
    </row>
    <row r="519" ht="15.75" customHeight="1">
      <c r="A519" s="107"/>
    </row>
    <row r="520" ht="15.75" customHeight="1">
      <c r="A520" s="107"/>
    </row>
    <row r="521" ht="15.75" customHeight="1">
      <c r="A521" s="107"/>
    </row>
    <row r="522" ht="15.75" customHeight="1">
      <c r="A522" s="107"/>
    </row>
    <row r="523" ht="15.75" customHeight="1">
      <c r="A523" s="107"/>
    </row>
    <row r="524" ht="15.75" customHeight="1">
      <c r="A524" s="107"/>
    </row>
    <row r="525" ht="15.75" customHeight="1">
      <c r="A525" s="107"/>
    </row>
    <row r="526" ht="15.75" customHeight="1">
      <c r="A526" s="107"/>
    </row>
    <row r="527" ht="15.75" customHeight="1">
      <c r="A527" s="107"/>
    </row>
    <row r="528" ht="15.75" customHeight="1">
      <c r="A528" s="107"/>
    </row>
    <row r="529" ht="15.75" customHeight="1">
      <c r="A529" s="107"/>
    </row>
    <row r="530" ht="15.75" customHeight="1">
      <c r="A530" s="107"/>
    </row>
    <row r="531" ht="15.75" customHeight="1">
      <c r="A531" s="107"/>
    </row>
    <row r="532" ht="15.75" customHeight="1">
      <c r="A532" s="107"/>
    </row>
    <row r="533" ht="15.75" customHeight="1">
      <c r="A533" s="107"/>
    </row>
    <row r="534" ht="15.75" customHeight="1">
      <c r="A534" s="107"/>
    </row>
    <row r="535" ht="15.75" customHeight="1">
      <c r="A535" s="107"/>
    </row>
    <row r="536" ht="15.75" customHeight="1">
      <c r="A536" s="107"/>
    </row>
    <row r="537" ht="15.75" customHeight="1">
      <c r="A537" s="107"/>
    </row>
    <row r="538" ht="15.75" customHeight="1">
      <c r="A538" s="107"/>
    </row>
    <row r="539" ht="15.75" customHeight="1">
      <c r="A539" s="107"/>
    </row>
    <row r="540" ht="15.75" customHeight="1">
      <c r="A540" s="107"/>
    </row>
    <row r="541" ht="15.75" customHeight="1">
      <c r="A541" s="107"/>
    </row>
    <row r="542" ht="15.75" customHeight="1">
      <c r="A542" s="107"/>
    </row>
    <row r="543" ht="15.75" customHeight="1">
      <c r="A543" s="107"/>
    </row>
    <row r="544" ht="15.75" customHeight="1">
      <c r="A544" s="107"/>
    </row>
    <row r="545" ht="15.75" customHeight="1">
      <c r="A545" s="107"/>
    </row>
    <row r="546" ht="15.75" customHeight="1">
      <c r="A546" s="107"/>
    </row>
    <row r="547" ht="15.75" customHeight="1">
      <c r="A547" s="107"/>
    </row>
    <row r="548" ht="15.75" customHeight="1">
      <c r="A548" s="107"/>
    </row>
    <row r="549" ht="15.75" customHeight="1">
      <c r="A549" s="107"/>
    </row>
    <row r="550" ht="15.75" customHeight="1">
      <c r="A550" s="107"/>
    </row>
    <row r="551" ht="15.75" customHeight="1">
      <c r="A551" s="107"/>
    </row>
    <row r="552" ht="15.75" customHeight="1">
      <c r="A552" s="107"/>
    </row>
    <row r="553" ht="15.75" customHeight="1">
      <c r="A553" s="107"/>
    </row>
    <row r="554" ht="15.75" customHeight="1">
      <c r="A554" s="107"/>
    </row>
    <row r="555" ht="15.75" customHeight="1">
      <c r="A555" s="107"/>
    </row>
    <row r="556" ht="15.75" customHeight="1">
      <c r="A556" s="107"/>
    </row>
    <row r="557" ht="15.75" customHeight="1">
      <c r="A557" s="107"/>
    </row>
    <row r="558" ht="15.75" customHeight="1">
      <c r="A558" s="107"/>
    </row>
    <row r="559" ht="15.75" customHeight="1">
      <c r="A559" s="107"/>
    </row>
    <row r="560" ht="15.75" customHeight="1">
      <c r="A560" s="107"/>
    </row>
    <row r="561" ht="15.75" customHeight="1">
      <c r="A561" s="107"/>
    </row>
    <row r="562" ht="15.75" customHeight="1">
      <c r="A562" s="107"/>
    </row>
    <row r="563" ht="15.75" customHeight="1">
      <c r="A563" s="107"/>
    </row>
    <row r="564" ht="15.75" customHeight="1">
      <c r="A564" s="107"/>
    </row>
    <row r="565" ht="15.75" customHeight="1">
      <c r="A565" s="107"/>
    </row>
    <row r="566" ht="15.75" customHeight="1">
      <c r="A566" s="107"/>
    </row>
    <row r="567" ht="15.75" customHeight="1">
      <c r="A567" s="107"/>
    </row>
    <row r="568" ht="15.75" customHeight="1">
      <c r="A568" s="107"/>
    </row>
    <row r="569" ht="15.75" customHeight="1">
      <c r="A569" s="107"/>
    </row>
    <row r="570" ht="15.75" customHeight="1">
      <c r="A570" s="107"/>
    </row>
    <row r="571" ht="15.75" customHeight="1">
      <c r="A571" s="107"/>
    </row>
    <row r="572" ht="15.75" customHeight="1">
      <c r="A572" s="107"/>
    </row>
    <row r="573" ht="15.75" customHeight="1">
      <c r="A573" s="107"/>
    </row>
    <row r="574" ht="15.75" customHeight="1">
      <c r="A574" s="107"/>
    </row>
    <row r="575" ht="15.75" customHeight="1">
      <c r="A575" s="107"/>
    </row>
    <row r="576" ht="15.75" customHeight="1">
      <c r="A576" s="107"/>
    </row>
    <row r="577" ht="15.75" customHeight="1">
      <c r="A577" s="107"/>
    </row>
    <row r="578" ht="15.75" customHeight="1">
      <c r="A578" s="107"/>
    </row>
    <row r="579" ht="15.75" customHeight="1">
      <c r="A579" s="107"/>
    </row>
    <row r="580" ht="15.75" customHeight="1">
      <c r="A580" s="107"/>
    </row>
    <row r="581" ht="15.75" customHeight="1">
      <c r="A581" s="107"/>
    </row>
    <row r="582" ht="15.75" customHeight="1">
      <c r="A582" s="107"/>
    </row>
    <row r="583" ht="15.75" customHeight="1">
      <c r="A583" s="107"/>
    </row>
    <row r="584" ht="15.75" customHeight="1">
      <c r="A584" s="107"/>
    </row>
    <row r="585" ht="15.75" customHeight="1">
      <c r="A585" s="107"/>
    </row>
    <row r="586" ht="15.75" customHeight="1">
      <c r="A586" s="107"/>
    </row>
    <row r="587" ht="15.75" customHeight="1">
      <c r="A587" s="107"/>
    </row>
    <row r="588" ht="15.75" customHeight="1">
      <c r="A588" s="107"/>
    </row>
    <row r="589" ht="15.75" customHeight="1">
      <c r="A589" s="107"/>
    </row>
    <row r="590" ht="15.75" customHeight="1">
      <c r="A590" s="107"/>
    </row>
    <row r="591" ht="15.75" customHeight="1">
      <c r="A591" s="107"/>
    </row>
    <row r="592" ht="15.75" customHeight="1">
      <c r="A592" s="107"/>
    </row>
    <row r="593" ht="15.75" customHeight="1">
      <c r="A593" s="107"/>
    </row>
    <row r="594" ht="15.75" customHeight="1">
      <c r="A594" s="107"/>
    </row>
    <row r="595" ht="15.75" customHeight="1">
      <c r="A595" s="107"/>
    </row>
    <row r="596" ht="15.75" customHeight="1">
      <c r="A596" s="107"/>
    </row>
    <row r="597" ht="15.75" customHeight="1">
      <c r="A597" s="107"/>
    </row>
    <row r="598" ht="15.75" customHeight="1">
      <c r="A598" s="107"/>
    </row>
    <row r="599" ht="15.75" customHeight="1">
      <c r="A599" s="107"/>
    </row>
    <row r="600" ht="15.75" customHeight="1">
      <c r="A600" s="107"/>
    </row>
    <row r="601" ht="15.75" customHeight="1">
      <c r="A601" s="107"/>
    </row>
    <row r="602" ht="15.75" customHeight="1">
      <c r="A602" s="107"/>
    </row>
    <row r="603" ht="15.75" customHeight="1">
      <c r="A603" s="107"/>
    </row>
    <row r="604" ht="15.75" customHeight="1">
      <c r="A604" s="107"/>
    </row>
    <row r="605" ht="15.75" customHeight="1">
      <c r="A605" s="107"/>
    </row>
    <row r="606" ht="15.75" customHeight="1">
      <c r="A606" s="107"/>
    </row>
    <row r="607" ht="15.75" customHeight="1">
      <c r="A607" s="107"/>
    </row>
    <row r="608" ht="15.75" customHeight="1">
      <c r="A608" s="107"/>
    </row>
    <row r="609" ht="15.75" customHeight="1">
      <c r="A609" s="107"/>
    </row>
    <row r="610" ht="15.75" customHeight="1">
      <c r="A610" s="107"/>
    </row>
    <row r="611" ht="15.75" customHeight="1">
      <c r="A611" s="107"/>
    </row>
    <row r="612" ht="15.75" customHeight="1">
      <c r="A612" s="107"/>
    </row>
    <row r="613" ht="15.75" customHeight="1">
      <c r="A613" s="107"/>
    </row>
    <row r="614" ht="15.75" customHeight="1">
      <c r="A614" s="107"/>
    </row>
    <row r="615" ht="15.75" customHeight="1">
      <c r="A615" s="107"/>
    </row>
    <row r="616" ht="15.75" customHeight="1">
      <c r="A616" s="107"/>
    </row>
    <row r="617" ht="15.75" customHeight="1">
      <c r="A617" s="107"/>
    </row>
    <row r="618" ht="15.75" customHeight="1">
      <c r="A618" s="107"/>
    </row>
    <row r="619" ht="15.75" customHeight="1">
      <c r="A619" s="107"/>
    </row>
    <row r="620" ht="15.75" customHeight="1">
      <c r="A620" s="107"/>
    </row>
    <row r="621" ht="15.75" customHeight="1">
      <c r="A621" s="107"/>
    </row>
    <row r="622" ht="15.75" customHeight="1">
      <c r="A622" s="107"/>
    </row>
    <row r="623" ht="15.75" customHeight="1">
      <c r="A623" s="107"/>
    </row>
    <row r="624" ht="15.75" customHeight="1">
      <c r="A624" s="107"/>
    </row>
    <row r="625" ht="15.75" customHeight="1">
      <c r="A625" s="107"/>
    </row>
    <row r="626" ht="15.75" customHeight="1">
      <c r="A626" s="107"/>
    </row>
    <row r="627" ht="15.75" customHeight="1">
      <c r="A627" s="107"/>
    </row>
    <row r="628" ht="15.75" customHeight="1">
      <c r="A628" s="107"/>
    </row>
    <row r="629" ht="15.75" customHeight="1">
      <c r="A629" s="107"/>
    </row>
    <row r="630" ht="15.75" customHeight="1">
      <c r="A630" s="107"/>
    </row>
    <row r="631" ht="15.75" customHeight="1">
      <c r="A631" s="107"/>
    </row>
    <row r="632" ht="15.75" customHeight="1">
      <c r="A632" s="107"/>
    </row>
    <row r="633" ht="15.75" customHeight="1">
      <c r="A633" s="107"/>
    </row>
    <row r="634" ht="15.75" customHeight="1">
      <c r="A634" s="107"/>
    </row>
    <row r="635" ht="15.75" customHeight="1">
      <c r="A635" s="107"/>
    </row>
    <row r="636" ht="15.75" customHeight="1">
      <c r="A636" s="107"/>
    </row>
    <row r="637" ht="15.75" customHeight="1">
      <c r="A637" s="107"/>
    </row>
    <row r="638" ht="15.75" customHeight="1">
      <c r="A638" s="107"/>
    </row>
    <row r="639" ht="15.75" customHeight="1">
      <c r="A639" s="107"/>
    </row>
    <row r="640" ht="15.75" customHeight="1">
      <c r="A640" s="107"/>
    </row>
    <row r="641" ht="15.75" customHeight="1">
      <c r="A641" s="107"/>
    </row>
    <row r="642" ht="15.75" customHeight="1">
      <c r="A642" s="107"/>
    </row>
    <row r="643" ht="15.75" customHeight="1">
      <c r="A643" s="107"/>
    </row>
    <row r="644" ht="15.75" customHeight="1">
      <c r="A644" s="107"/>
    </row>
    <row r="645" ht="15.75" customHeight="1">
      <c r="A645" s="107"/>
    </row>
    <row r="646" ht="15.75" customHeight="1">
      <c r="A646" s="107"/>
    </row>
    <row r="647" ht="15.75" customHeight="1">
      <c r="A647" s="107"/>
    </row>
    <row r="648" ht="15.75" customHeight="1">
      <c r="A648" s="107"/>
    </row>
    <row r="649" ht="15.75" customHeight="1">
      <c r="A649" s="107"/>
    </row>
    <row r="650" ht="15.75" customHeight="1">
      <c r="A650" s="107"/>
    </row>
    <row r="651" ht="15.75" customHeight="1">
      <c r="A651" s="107"/>
    </row>
    <row r="652" ht="15.75" customHeight="1">
      <c r="A652" s="107"/>
    </row>
    <row r="653" ht="15.75" customHeight="1">
      <c r="A653" s="107"/>
    </row>
    <row r="654" ht="15.75" customHeight="1">
      <c r="A654" s="107"/>
    </row>
    <row r="655" ht="15.75" customHeight="1">
      <c r="A655" s="107"/>
    </row>
    <row r="656" ht="15.75" customHeight="1">
      <c r="A656" s="107"/>
    </row>
    <row r="657" ht="15.75" customHeight="1">
      <c r="A657" s="107"/>
    </row>
    <row r="658" ht="15.75" customHeight="1">
      <c r="A658" s="107"/>
    </row>
    <row r="659" ht="15.75" customHeight="1">
      <c r="A659" s="107"/>
    </row>
    <row r="660" ht="15.75" customHeight="1">
      <c r="A660" s="107"/>
    </row>
    <row r="661" ht="15.75" customHeight="1">
      <c r="A661" s="107"/>
    </row>
    <row r="662" ht="15.75" customHeight="1">
      <c r="A662" s="107"/>
    </row>
    <row r="663" ht="15.75" customHeight="1">
      <c r="A663" s="107"/>
    </row>
    <row r="664" ht="15.75" customHeight="1">
      <c r="A664" s="107"/>
    </row>
    <row r="665" ht="15.75" customHeight="1">
      <c r="A665" s="107"/>
    </row>
    <row r="666" ht="15.75" customHeight="1">
      <c r="A666" s="107"/>
    </row>
    <row r="667" ht="15.75" customHeight="1">
      <c r="A667" s="107"/>
    </row>
    <row r="668" ht="15.75" customHeight="1">
      <c r="A668" s="107"/>
    </row>
    <row r="669" ht="15.75" customHeight="1">
      <c r="A669" s="107"/>
    </row>
    <row r="670" ht="15.75" customHeight="1">
      <c r="A670" s="107"/>
    </row>
    <row r="671" ht="15.75" customHeight="1">
      <c r="A671" s="107"/>
    </row>
    <row r="672" ht="15.75" customHeight="1">
      <c r="A672" s="107"/>
    </row>
    <row r="673" ht="15.75" customHeight="1">
      <c r="A673" s="107"/>
    </row>
    <row r="674" ht="15.75" customHeight="1">
      <c r="A674" s="107"/>
    </row>
    <row r="675" ht="15.75" customHeight="1">
      <c r="A675" s="107"/>
    </row>
    <row r="676" ht="15.75" customHeight="1">
      <c r="A676" s="107"/>
    </row>
    <row r="677" ht="15.75" customHeight="1">
      <c r="A677" s="107"/>
    </row>
    <row r="678" ht="15.75" customHeight="1">
      <c r="A678" s="107"/>
    </row>
    <row r="679" ht="15.75" customHeight="1">
      <c r="A679" s="107"/>
    </row>
    <row r="680" ht="15.75" customHeight="1">
      <c r="A680" s="107"/>
    </row>
    <row r="681" ht="15.75" customHeight="1">
      <c r="A681" s="107"/>
    </row>
    <row r="682" ht="15.75" customHeight="1">
      <c r="A682" s="107"/>
    </row>
    <row r="683" ht="15.75" customHeight="1">
      <c r="A683" s="107"/>
    </row>
    <row r="684" ht="15.75" customHeight="1">
      <c r="A684" s="107"/>
    </row>
    <row r="685" ht="15.75" customHeight="1">
      <c r="A685" s="107"/>
    </row>
    <row r="686" ht="15.75" customHeight="1">
      <c r="A686" s="107"/>
    </row>
    <row r="687" ht="15.75" customHeight="1">
      <c r="A687" s="107"/>
    </row>
    <row r="688" ht="15.75" customHeight="1">
      <c r="A688" s="107"/>
    </row>
    <row r="689" ht="15.75" customHeight="1">
      <c r="A689" s="107"/>
    </row>
    <row r="690" ht="15.75" customHeight="1">
      <c r="A690" s="107"/>
    </row>
    <row r="691" ht="15.75" customHeight="1">
      <c r="A691" s="107"/>
    </row>
    <row r="692" ht="15.75" customHeight="1">
      <c r="A692" s="107"/>
    </row>
    <row r="693" ht="15.75" customHeight="1">
      <c r="A693" s="107"/>
    </row>
    <row r="694" ht="15.75" customHeight="1">
      <c r="A694" s="107"/>
    </row>
    <row r="695" ht="15.75" customHeight="1">
      <c r="A695" s="107"/>
    </row>
    <row r="696" ht="15.75" customHeight="1">
      <c r="A696" s="107"/>
    </row>
    <row r="697" ht="15.75" customHeight="1">
      <c r="A697" s="107"/>
    </row>
    <row r="698" ht="15.75" customHeight="1">
      <c r="A698" s="107"/>
    </row>
    <row r="699" ht="15.75" customHeight="1">
      <c r="A699" s="107"/>
    </row>
    <row r="700" ht="15.75" customHeight="1">
      <c r="A700" s="107"/>
    </row>
    <row r="701" ht="15.75" customHeight="1">
      <c r="A701" s="107"/>
    </row>
    <row r="702" ht="15.75" customHeight="1">
      <c r="A702" s="107"/>
    </row>
    <row r="703" ht="15.75" customHeight="1">
      <c r="A703" s="107"/>
    </row>
    <row r="704" ht="15.75" customHeight="1">
      <c r="A704" s="107"/>
    </row>
    <row r="705" ht="15.75" customHeight="1">
      <c r="A705" s="107"/>
    </row>
    <row r="706" ht="15.75" customHeight="1">
      <c r="A706" s="107"/>
    </row>
    <row r="707" ht="15.75" customHeight="1">
      <c r="A707" s="107"/>
    </row>
    <row r="708" ht="15.75" customHeight="1">
      <c r="A708" s="107"/>
    </row>
    <row r="709" ht="15.75" customHeight="1">
      <c r="A709" s="107"/>
    </row>
    <row r="710" ht="15.75" customHeight="1">
      <c r="A710" s="107"/>
    </row>
    <row r="711" ht="15.75" customHeight="1">
      <c r="A711" s="107"/>
    </row>
    <row r="712" ht="15.75" customHeight="1">
      <c r="A712" s="107"/>
    </row>
    <row r="713" ht="15.75" customHeight="1">
      <c r="A713" s="107"/>
    </row>
    <row r="714" ht="15.75" customHeight="1">
      <c r="A714" s="107"/>
    </row>
    <row r="715" ht="15.75" customHeight="1">
      <c r="A715" s="107"/>
    </row>
    <row r="716" ht="15.75" customHeight="1">
      <c r="A716" s="107"/>
    </row>
    <row r="717" ht="15.75" customHeight="1">
      <c r="A717" s="107"/>
    </row>
    <row r="718" ht="15.75" customHeight="1">
      <c r="A718" s="107"/>
    </row>
    <row r="719" ht="15.75" customHeight="1">
      <c r="A719" s="107"/>
    </row>
    <row r="720" ht="15.75" customHeight="1">
      <c r="A720" s="107"/>
    </row>
    <row r="721" ht="15.75" customHeight="1">
      <c r="A721" s="107"/>
    </row>
    <row r="722" ht="15.75" customHeight="1">
      <c r="A722" s="107"/>
    </row>
    <row r="723" ht="15.75" customHeight="1">
      <c r="A723" s="107"/>
    </row>
    <row r="724" ht="15.75" customHeight="1">
      <c r="A724" s="107"/>
    </row>
    <row r="725" ht="15.75" customHeight="1">
      <c r="A725" s="107"/>
    </row>
    <row r="726" ht="15.75" customHeight="1">
      <c r="A726" s="107"/>
    </row>
    <row r="727" ht="15.75" customHeight="1">
      <c r="A727" s="107"/>
    </row>
    <row r="728" ht="15.75" customHeight="1">
      <c r="A728" s="107"/>
    </row>
    <row r="729" ht="15.75" customHeight="1">
      <c r="A729" s="107"/>
    </row>
    <row r="730" ht="15.75" customHeight="1">
      <c r="A730" s="107"/>
    </row>
    <row r="731" ht="15.75" customHeight="1">
      <c r="A731" s="107"/>
    </row>
    <row r="732" ht="15.75" customHeight="1">
      <c r="A732" s="107"/>
    </row>
    <row r="733" ht="15.75" customHeight="1">
      <c r="A733" s="107"/>
    </row>
    <row r="734" ht="15.75" customHeight="1">
      <c r="A734" s="107"/>
    </row>
    <row r="735" ht="15.75" customHeight="1">
      <c r="A735" s="107"/>
    </row>
    <row r="736" ht="15.75" customHeight="1">
      <c r="A736" s="107"/>
    </row>
    <row r="737" ht="15.75" customHeight="1">
      <c r="A737" s="107"/>
    </row>
    <row r="738" ht="15.75" customHeight="1">
      <c r="A738" s="107"/>
    </row>
    <row r="739" ht="15.75" customHeight="1">
      <c r="A739" s="107"/>
    </row>
    <row r="740" ht="15.75" customHeight="1">
      <c r="A740" s="107"/>
    </row>
    <row r="741" ht="15.75" customHeight="1">
      <c r="A741" s="107"/>
    </row>
    <row r="742" ht="15.75" customHeight="1">
      <c r="A742" s="107"/>
    </row>
    <row r="743" ht="15.75" customHeight="1">
      <c r="A743" s="107"/>
    </row>
    <row r="744" ht="15.75" customHeight="1">
      <c r="A744" s="107"/>
    </row>
    <row r="745" ht="15.75" customHeight="1">
      <c r="A745" s="107"/>
    </row>
    <row r="746" ht="15.75" customHeight="1">
      <c r="A746" s="107"/>
    </row>
    <row r="747" ht="15.75" customHeight="1">
      <c r="A747" s="107"/>
    </row>
    <row r="748" ht="15.75" customHeight="1">
      <c r="A748" s="107"/>
    </row>
    <row r="749" ht="15.75" customHeight="1">
      <c r="A749" s="107"/>
    </row>
    <row r="750" ht="15.75" customHeight="1">
      <c r="A750" s="107"/>
    </row>
    <row r="751" ht="15.75" customHeight="1">
      <c r="A751" s="107"/>
    </row>
    <row r="752" ht="15.75" customHeight="1">
      <c r="A752" s="107"/>
    </row>
    <row r="753" ht="15.75" customHeight="1">
      <c r="A753" s="107"/>
    </row>
    <row r="754" ht="15.75" customHeight="1">
      <c r="A754" s="107"/>
    </row>
    <row r="755" ht="15.75" customHeight="1">
      <c r="A755" s="107"/>
    </row>
    <row r="756" ht="15.75" customHeight="1">
      <c r="A756" s="107"/>
    </row>
    <row r="757" ht="15.75" customHeight="1">
      <c r="A757" s="107"/>
    </row>
    <row r="758" ht="15.75" customHeight="1">
      <c r="A758" s="107"/>
    </row>
    <row r="759" ht="15.75" customHeight="1">
      <c r="A759" s="107"/>
    </row>
    <row r="760" ht="15.75" customHeight="1">
      <c r="A760" s="107"/>
    </row>
    <row r="761" ht="15.75" customHeight="1">
      <c r="A761" s="107"/>
    </row>
    <row r="762" ht="15.75" customHeight="1">
      <c r="A762" s="107"/>
    </row>
    <row r="763" ht="15.75" customHeight="1">
      <c r="A763" s="107"/>
    </row>
    <row r="764" ht="15.75" customHeight="1">
      <c r="A764" s="107"/>
    </row>
    <row r="765" ht="15.75" customHeight="1">
      <c r="A765" s="107"/>
    </row>
    <row r="766" ht="15.75" customHeight="1">
      <c r="A766" s="107"/>
    </row>
    <row r="767" ht="15.75" customHeight="1">
      <c r="A767" s="107"/>
    </row>
    <row r="768" ht="15.75" customHeight="1">
      <c r="A768" s="107"/>
    </row>
    <row r="769" ht="15.75" customHeight="1">
      <c r="A769" s="107"/>
    </row>
    <row r="770" ht="15.75" customHeight="1">
      <c r="A770" s="107"/>
    </row>
    <row r="771" ht="15.75" customHeight="1">
      <c r="A771" s="107"/>
    </row>
    <row r="772" ht="15.75" customHeight="1">
      <c r="A772" s="107"/>
    </row>
    <row r="773" ht="15.75" customHeight="1">
      <c r="A773" s="107"/>
    </row>
    <row r="774" ht="15.75" customHeight="1">
      <c r="A774" s="107"/>
    </row>
    <row r="775" ht="15.75" customHeight="1">
      <c r="A775" s="107"/>
    </row>
    <row r="776" ht="15.75" customHeight="1">
      <c r="A776" s="107"/>
    </row>
    <row r="777" ht="15.75" customHeight="1">
      <c r="A777" s="107"/>
    </row>
    <row r="778" ht="15.75" customHeight="1">
      <c r="A778" s="107"/>
    </row>
    <row r="779" ht="15.75" customHeight="1">
      <c r="A779" s="107"/>
    </row>
    <row r="780" ht="15.75" customHeight="1">
      <c r="A780" s="107"/>
    </row>
    <row r="781" ht="15.75" customHeight="1">
      <c r="A781" s="107"/>
    </row>
    <row r="782" ht="15.75" customHeight="1">
      <c r="A782" s="107"/>
    </row>
    <row r="783" ht="15.75" customHeight="1">
      <c r="A783" s="107"/>
    </row>
    <row r="784" ht="15.75" customHeight="1">
      <c r="A784" s="107"/>
    </row>
    <row r="785" ht="15.75" customHeight="1">
      <c r="A785" s="107"/>
    </row>
    <row r="786" ht="15.75" customHeight="1">
      <c r="A786" s="107"/>
    </row>
    <row r="787" ht="15.75" customHeight="1">
      <c r="A787" s="107"/>
    </row>
    <row r="788" ht="15.75" customHeight="1">
      <c r="A788" s="107"/>
    </row>
    <row r="789" ht="15.75" customHeight="1">
      <c r="A789" s="107"/>
    </row>
    <row r="790" ht="15.75" customHeight="1">
      <c r="A790" s="107"/>
    </row>
    <row r="791" ht="15.75" customHeight="1">
      <c r="A791" s="107"/>
    </row>
    <row r="792" ht="15.75" customHeight="1">
      <c r="A792" s="107"/>
    </row>
    <row r="793" ht="15.75" customHeight="1">
      <c r="A793" s="107"/>
    </row>
    <row r="794" ht="15.75" customHeight="1">
      <c r="A794" s="107"/>
    </row>
    <row r="795" ht="15.75" customHeight="1">
      <c r="A795" s="107"/>
    </row>
    <row r="796" ht="15.75" customHeight="1">
      <c r="A796" s="107"/>
    </row>
    <row r="797" ht="15.75" customHeight="1">
      <c r="A797" s="107"/>
    </row>
    <row r="798" ht="15.75" customHeight="1">
      <c r="A798" s="107"/>
    </row>
    <row r="799" ht="15.75" customHeight="1">
      <c r="A799" s="107"/>
    </row>
    <row r="800" ht="15.75" customHeight="1">
      <c r="A800" s="107"/>
    </row>
    <row r="801" ht="15.75" customHeight="1">
      <c r="A801" s="107"/>
    </row>
    <row r="802" ht="15.75" customHeight="1">
      <c r="A802" s="107"/>
    </row>
    <row r="803" ht="15.75" customHeight="1">
      <c r="A803" s="107"/>
    </row>
    <row r="804" ht="15.75" customHeight="1">
      <c r="A804" s="107"/>
    </row>
    <row r="805" ht="15.75" customHeight="1">
      <c r="A805" s="107"/>
    </row>
    <row r="806" ht="15.75" customHeight="1">
      <c r="A806" s="107"/>
    </row>
    <row r="807" ht="15.75" customHeight="1">
      <c r="A807" s="107"/>
    </row>
    <row r="808" ht="15.75" customHeight="1">
      <c r="A808" s="107"/>
    </row>
    <row r="809" ht="15.75" customHeight="1">
      <c r="A809" s="107"/>
    </row>
    <row r="810" ht="15.75" customHeight="1">
      <c r="A810" s="107"/>
    </row>
    <row r="811" ht="15.75" customHeight="1">
      <c r="A811" s="107"/>
    </row>
    <row r="812" ht="15.75" customHeight="1">
      <c r="A812" s="107"/>
    </row>
    <row r="813" ht="15.75" customHeight="1">
      <c r="A813" s="107"/>
    </row>
    <row r="814" ht="15.75" customHeight="1">
      <c r="A814" s="107"/>
    </row>
    <row r="815" ht="15.75" customHeight="1">
      <c r="A815" s="107"/>
    </row>
    <row r="816" ht="15.75" customHeight="1">
      <c r="A816" s="107"/>
    </row>
    <row r="817" ht="15.75" customHeight="1">
      <c r="A817" s="107"/>
    </row>
    <row r="818" ht="15.75" customHeight="1">
      <c r="A818" s="107"/>
    </row>
    <row r="819" ht="15.75" customHeight="1">
      <c r="A819" s="107"/>
    </row>
    <row r="820" ht="15.75" customHeight="1">
      <c r="A820" s="107"/>
    </row>
    <row r="821" ht="15.75" customHeight="1">
      <c r="A821" s="107"/>
    </row>
    <row r="822" ht="15.75" customHeight="1">
      <c r="A822" s="107"/>
    </row>
    <row r="823" ht="15.75" customHeight="1">
      <c r="A823" s="107"/>
    </row>
    <row r="824" ht="15.75" customHeight="1">
      <c r="A824" s="107"/>
    </row>
    <row r="825" ht="15.75" customHeight="1">
      <c r="A825" s="107"/>
    </row>
    <row r="826" ht="15.75" customHeight="1">
      <c r="A826" s="107"/>
    </row>
    <row r="827" ht="15.75" customHeight="1">
      <c r="A827" s="107"/>
    </row>
    <row r="828" ht="15.75" customHeight="1">
      <c r="A828" s="107"/>
    </row>
    <row r="829" ht="15.75" customHeight="1">
      <c r="A829" s="107"/>
    </row>
    <row r="830" ht="15.75" customHeight="1">
      <c r="A830" s="107"/>
    </row>
    <row r="831" ht="15.75" customHeight="1">
      <c r="A831" s="107"/>
    </row>
    <row r="832" ht="15.75" customHeight="1">
      <c r="A832" s="107"/>
    </row>
    <row r="833" ht="15.75" customHeight="1">
      <c r="A833" s="107"/>
    </row>
    <row r="834" ht="15.75" customHeight="1">
      <c r="A834" s="107"/>
    </row>
    <row r="835" ht="15.75" customHeight="1">
      <c r="A835" s="107"/>
    </row>
    <row r="836" ht="15.75" customHeight="1">
      <c r="A836" s="107"/>
    </row>
    <row r="837" ht="15.75" customHeight="1">
      <c r="A837" s="107"/>
    </row>
    <row r="838" ht="15.75" customHeight="1">
      <c r="A838" s="107"/>
    </row>
    <row r="839" ht="15.75" customHeight="1">
      <c r="A839" s="107"/>
    </row>
    <row r="840" ht="15.75" customHeight="1">
      <c r="A840" s="107"/>
    </row>
    <row r="841" ht="15.75" customHeight="1">
      <c r="A841" s="107"/>
    </row>
    <row r="842" ht="15.75" customHeight="1">
      <c r="A842" s="107"/>
    </row>
    <row r="843" ht="15.75" customHeight="1">
      <c r="A843" s="107"/>
    </row>
    <row r="844" ht="15.75" customHeight="1">
      <c r="A844" s="107"/>
    </row>
    <row r="845" ht="15.75" customHeight="1">
      <c r="A845" s="107"/>
    </row>
    <row r="846" ht="15.75" customHeight="1">
      <c r="A846" s="107"/>
    </row>
    <row r="847" ht="15.75" customHeight="1">
      <c r="A847" s="107"/>
    </row>
    <row r="848" ht="15.75" customHeight="1">
      <c r="A848" s="107"/>
    </row>
    <row r="849" ht="15.75" customHeight="1">
      <c r="A849" s="107"/>
    </row>
    <row r="850" ht="15.75" customHeight="1">
      <c r="A850" s="107"/>
    </row>
    <row r="851" ht="15.75" customHeight="1">
      <c r="A851" s="107"/>
    </row>
    <row r="852" ht="15.75" customHeight="1">
      <c r="A852" s="107"/>
    </row>
    <row r="853" ht="15.75" customHeight="1">
      <c r="A853" s="107"/>
    </row>
    <row r="854" ht="15.75" customHeight="1">
      <c r="A854" s="107"/>
    </row>
    <row r="855" ht="15.75" customHeight="1">
      <c r="A855" s="107"/>
    </row>
    <row r="856" ht="15.75" customHeight="1">
      <c r="A856" s="107"/>
    </row>
    <row r="857" ht="15.75" customHeight="1">
      <c r="A857" s="107"/>
    </row>
    <row r="858" ht="15.75" customHeight="1">
      <c r="A858" s="107"/>
    </row>
    <row r="859" ht="15.75" customHeight="1">
      <c r="A859" s="107"/>
    </row>
    <row r="860" ht="15.75" customHeight="1">
      <c r="A860" s="107"/>
    </row>
    <row r="861" ht="15.75" customHeight="1">
      <c r="A861" s="107"/>
    </row>
    <row r="862" ht="15.75" customHeight="1">
      <c r="A862" s="107"/>
    </row>
    <row r="863" ht="15.75" customHeight="1">
      <c r="A863" s="107"/>
    </row>
    <row r="864" ht="15.75" customHeight="1">
      <c r="A864" s="107"/>
    </row>
    <row r="865" ht="15.75" customHeight="1">
      <c r="A865" s="107"/>
    </row>
    <row r="866" ht="15.75" customHeight="1">
      <c r="A866" s="107"/>
    </row>
    <row r="867" ht="15.75" customHeight="1">
      <c r="A867" s="107"/>
    </row>
    <row r="868" ht="15.75" customHeight="1">
      <c r="A868" s="107"/>
    </row>
    <row r="869" ht="15.75" customHeight="1">
      <c r="A869" s="107"/>
    </row>
    <row r="870" ht="15.75" customHeight="1">
      <c r="A870" s="107"/>
    </row>
    <row r="871" ht="15.75" customHeight="1">
      <c r="A871" s="107"/>
    </row>
    <row r="872" ht="15.75" customHeight="1">
      <c r="A872" s="107"/>
    </row>
    <row r="873" ht="15.75" customHeight="1">
      <c r="A873" s="107"/>
    </row>
    <row r="874" ht="15.75" customHeight="1">
      <c r="A874" s="107"/>
    </row>
    <row r="875" ht="15.75" customHeight="1">
      <c r="A875" s="107"/>
    </row>
    <row r="876" ht="15.75" customHeight="1">
      <c r="A876" s="107"/>
    </row>
    <row r="877" ht="15.75" customHeight="1">
      <c r="A877" s="107"/>
    </row>
    <row r="878" ht="15.75" customHeight="1">
      <c r="A878" s="107"/>
    </row>
    <row r="879" ht="15.75" customHeight="1">
      <c r="A879" s="107"/>
    </row>
    <row r="880" ht="15.75" customHeight="1">
      <c r="A880" s="107"/>
    </row>
    <row r="881" ht="15.75" customHeight="1">
      <c r="A881" s="107"/>
    </row>
    <row r="882" ht="15.75" customHeight="1">
      <c r="A882" s="107"/>
    </row>
    <row r="883" ht="15.75" customHeight="1">
      <c r="A883" s="107"/>
    </row>
    <row r="884" ht="15.75" customHeight="1">
      <c r="A884" s="107"/>
    </row>
    <row r="885" ht="15.75" customHeight="1">
      <c r="A885" s="107"/>
    </row>
    <row r="886" ht="15.75" customHeight="1">
      <c r="A886" s="107"/>
    </row>
    <row r="887" ht="15.75" customHeight="1">
      <c r="A887" s="107"/>
    </row>
    <row r="888" ht="15.75" customHeight="1">
      <c r="A888" s="107"/>
    </row>
    <row r="889" ht="15.75" customHeight="1">
      <c r="A889" s="107"/>
    </row>
    <row r="890" ht="15.75" customHeight="1">
      <c r="A890" s="107"/>
    </row>
    <row r="891" ht="15.75" customHeight="1">
      <c r="A891" s="107"/>
    </row>
    <row r="892" ht="15.75" customHeight="1">
      <c r="A892" s="107"/>
    </row>
    <row r="893" ht="15.75" customHeight="1">
      <c r="A893" s="107"/>
    </row>
    <row r="894" ht="15.75" customHeight="1">
      <c r="A894" s="107"/>
    </row>
    <row r="895" ht="15.75" customHeight="1">
      <c r="A895" s="107"/>
    </row>
    <row r="896" ht="15.75" customHeight="1">
      <c r="A896" s="107"/>
    </row>
    <row r="897" ht="15.75" customHeight="1">
      <c r="A897" s="107"/>
    </row>
    <row r="898" ht="15.75" customHeight="1">
      <c r="A898" s="107"/>
    </row>
    <row r="899" ht="15.75" customHeight="1">
      <c r="A899" s="107"/>
    </row>
    <row r="900" ht="15.75" customHeight="1">
      <c r="A900" s="107"/>
    </row>
    <row r="901" ht="15.75" customHeight="1">
      <c r="A901" s="107"/>
    </row>
    <row r="902" ht="15.75" customHeight="1">
      <c r="A902" s="107"/>
    </row>
    <row r="903" ht="15.75" customHeight="1">
      <c r="A903" s="107"/>
    </row>
    <row r="904" ht="15.75" customHeight="1">
      <c r="A904" s="107"/>
    </row>
    <row r="905" ht="15.75" customHeight="1">
      <c r="A905" s="107"/>
    </row>
    <row r="906" ht="15.75" customHeight="1">
      <c r="A906" s="107"/>
    </row>
    <row r="907" ht="15.75" customHeight="1">
      <c r="A907" s="107"/>
    </row>
    <row r="908" ht="15.75" customHeight="1">
      <c r="A908" s="107"/>
    </row>
    <row r="909" ht="15.75" customHeight="1">
      <c r="A909" s="107"/>
    </row>
    <row r="910" ht="15.75" customHeight="1">
      <c r="A910" s="107"/>
    </row>
    <row r="911" ht="15.75" customHeight="1">
      <c r="A911" s="107"/>
    </row>
    <row r="912" ht="15.75" customHeight="1">
      <c r="A912" s="107"/>
    </row>
    <row r="913" ht="15.75" customHeight="1">
      <c r="A913" s="107"/>
    </row>
    <row r="914" ht="15.75" customHeight="1">
      <c r="A914" s="107"/>
    </row>
    <row r="915" ht="15.75" customHeight="1">
      <c r="A915" s="107"/>
    </row>
    <row r="916" ht="15.75" customHeight="1">
      <c r="A916" s="107"/>
    </row>
    <row r="917" ht="15.75" customHeight="1">
      <c r="A917" s="107"/>
    </row>
    <row r="918" ht="15.75" customHeight="1">
      <c r="A918" s="107"/>
    </row>
    <row r="919" ht="15.75" customHeight="1">
      <c r="A919" s="107"/>
    </row>
    <row r="920" ht="15.75" customHeight="1">
      <c r="A920" s="107"/>
    </row>
    <row r="921" ht="15.75" customHeight="1">
      <c r="A921" s="107"/>
    </row>
    <row r="922" ht="15.75" customHeight="1">
      <c r="A922" s="107"/>
    </row>
    <row r="923" ht="15.75" customHeight="1">
      <c r="A923" s="107"/>
    </row>
    <row r="924" ht="15.75" customHeight="1">
      <c r="A924" s="107"/>
    </row>
    <row r="925" ht="15.75" customHeight="1">
      <c r="A925" s="107"/>
    </row>
    <row r="926" ht="15.75" customHeight="1">
      <c r="A926" s="107"/>
    </row>
    <row r="927" ht="15.75" customHeight="1">
      <c r="A927" s="107"/>
    </row>
    <row r="928" ht="15.75" customHeight="1">
      <c r="A928" s="107"/>
    </row>
    <row r="929" ht="15.75" customHeight="1">
      <c r="A929" s="107"/>
    </row>
    <row r="930" ht="15.75" customHeight="1">
      <c r="A930" s="107"/>
    </row>
    <row r="931" ht="15.75" customHeight="1">
      <c r="A931" s="107"/>
    </row>
    <row r="932" ht="15.75" customHeight="1">
      <c r="A932" s="107"/>
    </row>
    <row r="933" ht="15.75" customHeight="1">
      <c r="A933" s="107"/>
    </row>
    <row r="934" ht="15.75" customHeight="1">
      <c r="A934" s="107"/>
    </row>
    <row r="935" ht="15.75" customHeight="1">
      <c r="A935" s="107"/>
    </row>
    <row r="936" ht="15.75" customHeight="1">
      <c r="A936" s="107"/>
    </row>
    <row r="937" ht="15.75" customHeight="1">
      <c r="A937" s="107"/>
    </row>
    <row r="938" ht="15.75" customHeight="1">
      <c r="A938" s="107"/>
    </row>
    <row r="939" ht="15.75" customHeight="1">
      <c r="A939" s="107"/>
    </row>
    <row r="940" ht="15.75" customHeight="1">
      <c r="A940" s="107"/>
    </row>
    <row r="941" ht="15.75" customHeight="1">
      <c r="A941" s="107"/>
    </row>
    <row r="942" ht="15.75" customHeight="1">
      <c r="A942" s="107"/>
    </row>
    <row r="943" ht="15.75" customHeight="1">
      <c r="A943" s="107"/>
    </row>
    <row r="944" ht="15.75" customHeight="1">
      <c r="A944" s="107"/>
    </row>
    <row r="945" ht="15.75" customHeight="1">
      <c r="A945" s="107"/>
    </row>
    <row r="946" ht="15.75" customHeight="1">
      <c r="A946" s="107"/>
    </row>
    <row r="947" ht="15.75" customHeight="1">
      <c r="A947" s="107"/>
    </row>
    <row r="948" ht="15.75" customHeight="1">
      <c r="A948" s="107"/>
    </row>
    <row r="949" ht="15.75" customHeight="1">
      <c r="A949" s="107"/>
    </row>
    <row r="950" ht="15.75" customHeight="1">
      <c r="A950" s="107"/>
    </row>
    <row r="951" ht="15.75" customHeight="1">
      <c r="A951" s="107"/>
    </row>
    <row r="952" ht="15.75" customHeight="1">
      <c r="A952" s="107"/>
    </row>
    <row r="953" ht="15.75" customHeight="1">
      <c r="A953" s="107"/>
    </row>
    <row r="954" ht="15.75" customHeight="1">
      <c r="A954" s="107"/>
    </row>
    <row r="955" ht="15.75" customHeight="1">
      <c r="A955" s="107"/>
    </row>
    <row r="956" ht="15.75" customHeight="1">
      <c r="A956" s="107"/>
    </row>
    <row r="957" ht="15.75" customHeight="1">
      <c r="A957" s="107"/>
    </row>
    <row r="958" ht="15.75" customHeight="1">
      <c r="A958" s="107"/>
    </row>
    <row r="959" ht="15.75" customHeight="1">
      <c r="A959" s="107"/>
    </row>
    <row r="960" ht="15.75" customHeight="1">
      <c r="A960" s="107"/>
    </row>
    <row r="961" ht="15.75" customHeight="1">
      <c r="A961" s="107"/>
    </row>
    <row r="962" ht="15.75" customHeight="1">
      <c r="A962" s="107"/>
    </row>
    <row r="963" ht="15.75" customHeight="1">
      <c r="A963" s="107"/>
    </row>
    <row r="964" ht="15.75" customHeight="1">
      <c r="A964" s="107"/>
    </row>
    <row r="965" ht="15.75" customHeight="1">
      <c r="A965" s="107"/>
    </row>
    <row r="966" ht="15.75" customHeight="1">
      <c r="A966" s="107"/>
    </row>
    <row r="967" ht="15.75" customHeight="1">
      <c r="A967" s="107"/>
    </row>
    <row r="968" ht="15.75" customHeight="1">
      <c r="A968" s="107"/>
    </row>
    <row r="969" ht="15.75" customHeight="1">
      <c r="A969" s="107"/>
    </row>
    <row r="970" ht="15.75" customHeight="1">
      <c r="A970" s="107"/>
    </row>
    <row r="971" ht="15.75" customHeight="1">
      <c r="A971" s="107"/>
    </row>
    <row r="972" ht="15.75" customHeight="1">
      <c r="A972" s="107"/>
    </row>
    <row r="973" ht="15.75" customHeight="1">
      <c r="A973" s="107"/>
    </row>
    <row r="974" ht="15.75" customHeight="1">
      <c r="A974" s="107"/>
    </row>
    <row r="975" ht="15.75" customHeight="1">
      <c r="A975" s="107"/>
    </row>
    <row r="976" ht="15.75" customHeight="1">
      <c r="A976" s="107"/>
    </row>
    <row r="977" ht="15.75" customHeight="1">
      <c r="A977" s="107"/>
    </row>
    <row r="978" ht="15.75" customHeight="1">
      <c r="A978" s="107"/>
    </row>
    <row r="979" ht="15.75" customHeight="1">
      <c r="A979" s="107"/>
    </row>
    <row r="980" ht="15.75" customHeight="1">
      <c r="A980" s="107"/>
    </row>
    <row r="981" ht="15.75" customHeight="1">
      <c r="A981" s="107"/>
    </row>
    <row r="982" ht="15.75" customHeight="1">
      <c r="A982" s="107"/>
    </row>
    <row r="983" ht="15.75" customHeight="1">
      <c r="A983" s="107"/>
    </row>
    <row r="984" ht="15.75" customHeight="1">
      <c r="A984" s="107"/>
    </row>
    <row r="985" ht="15.75" customHeight="1">
      <c r="A985" s="107"/>
    </row>
    <row r="986" ht="15.75" customHeight="1">
      <c r="A986" s="107"/>
    </row>
    <row r="987" ht="15.75" customHeight="1">
      <c r="A987" s="107"/>
    </row>
    <row r="988" ht="15.75" customHeight="1">
      <c r="A988" s="107"/>
    </row>
    <row r="989" ht="15.75" customHeight="1">
      <c r="A989" s="107"/>
    </row>
    <row r="990" ht="15.75" customHeight="1">
      <c r="A990" s="107"/>
    </row>
    <row r="991" ht="15.75" customHeight="1">
      <c r="A991" s="107"/>
    </row>
    <row r="992" ht="15.75" customHeight="1">
      <c r="A992" s="107"/>
    </row>
    <row r="993" ht="15.75" customHeight="1">
      <c r="A993" s="107"/>
    </row>
    <row r="994" ht="15.75" customHeight="1">
      <c r="A994" s="107"/>
    </row>
    <row r="995" ht="15.75" customHeight="1">
      <c r="A995" s="107"/>
    </row>
    <row r="996" ht="15.75" customHeight="1">
      <c r="A996" s="107"/>
    </row>
    <row r="997" ht="15.75" customHeight="1">
      <c r="A997" s="107"/>
    </row>
    <row r="998" ht="15.75" customHeight="1">
      <c r="A998" s="107"/>
    </row>
    <row r="999" ht="15.75" customHeight="1">
      <c r="A999" s="107"/>
    </row>
    <row r="1000" ht="15.75" customHeight="1">
      <c r="A1000" s="107"/>
    </row>
  </sheetData>
  <autoFilter ref="$A$1:$J$97"/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29"/>
    <col customWidth="1" min="3" max="3" width="12.43"/>
    <col customWidth="1" min="4" max="4" width="11.29"/>
    <col customWidth="1" min="5" max="5" width="12.57"/>
    <col customWidth="1" min="6" max="7" width="12.71"/>
    <col customWidth="1" min="8" max="8" width="14.43"/>
    <col customWidth="1" min="9" max="26" width="8.71"/>
  </cols>
  <sheetData>
    <row r="1">
      <c r="A1" s="12" t="s">
        <v>465</v>
      </c>
      <c r="B1" s="12" t="s">
        <v>466</v>
      </c>
      <c r="C1" s="12" t="s">
        <v>467</v>
      </c>
      <c r="D1" s="12" t="s">
        <v>468</v>
      </c>
      <c r="E1" s="12" t="s">
        <v>469</v>
      </c>
      <c r="F1" s="12" t="s">
        <v>470</v>
      </c>
      <c r="G1" s="12" t="s">
        <v>231</v>
      </c>
    </row>
    <row r="2">
      <c r="A2" s="10" t="s">
        <v>45</v>
      </c>
      <c r="B2" s="10" t="s">
        <v>12</v>
      </c>
      <c r="C2" s="3">
        <v>127156.0</v>
      </c>
      <c r="D2" s="3">
        <v>65277.0</v>
      </c>
      <c r="E2" s="3">
        <v>1228492.0</v>
      </c>
      <c r="F2" s="16">
        <v>1724334.0</v>
      </c>
      <c r="G2" s="3">
        <f t="shared" ref="G2:G3" si="1">SUM(C2:F2)</f>
        <v>3145259</v>
      </c>
    </row>
    <row r="3">
      <c r="A3" s="10" t="s">
        <v>45</v>
      </c>
      <c r="B3" s="10" t="s">
        <v>6</v>
      </c>
      <c r="C3" s="3">
        <v>1161.0</v>
      </c>
      <c r="D3" s="3">
        <v>548.0</v>
      </c>
      <c r="E3" s="3">
        <v>9494.0</v>
      </c>
      <c r="F3" s="152">
        <v>5892.0</v>
      </c>
      <c r="G3" s="3">
        <f t="shared" si="1"/>
        <v>17095</v>
      </c>
    </row>
    <row r="4">
      <c r="A4" s="10" t="s">
        <v>45</v>
      </c>
      <c r="B4" s="10" t="s">
        <v>5</v>
      </c>
      <c r="C4" s="17">
        <f t="shared" ref="C4:G4" si="2">C3/C2</f>
        <v>0.009130516845</v>
      </c>
      <c r="D4" s="17">
        <f t="shared" si="2"/>
        <v>0.008394993642</v>
      </c>
      <c r="E4" s="17">
        <f t="shared" si="2"/>
        <v>0.007728174054</v>
      </c>
      <c r="F4" s="17">
        <f t="shared" si="2"/>
        <v>0.003416971422</v>
      </c>
      <c r="G4" s="17">
        <f t="shared" si="2"/>
        <v>0.005435164481</v>
      </c>
    </row>
    <row r="5">
      <c r="A5" s="10" t="s">
        <v>45</v>
      </c>
      <c r="B5" s="10" t="s">
        <v>8</v>
      </c>
      <c r="C5" s="20">
        <f t="shared" ref="C5:G5" si="3">C6/C3</f>
        <v>21.10418605</v>
      </c>
      <c r="D5" s="20">
        <f t="shared" si="3"/>
        <v>35.55932482</v>
      </c>
      <c r="E5" s="20">
        <f t="shared" si="3"/>
        <v>20.8603181</v>
      </c>
      <c r="F5" s="20">
        <f t="shared" si="3"/>
        <v>3.23197556</v>
      </c>
      <c r="G5" s="20">
        <f t="shared" si="3"/>
        <v>15.27225095</v>
      </c>
    </row>
    <row r="6">
      <c r="A6" s="10" t="s">
        <v>45</v>
      </c>
      <c r="B6" s="10" t="s">
        <v>18</v>
      </c>
      <c r="C6" s="16">
        <v>24501.96</v>
      </c>
      <c r="D6" s="16">
        <v>19486.509999999995</v>
      </c>
      <c r="E6" s="16">
        <v>198047.86000000092</v>
      </c>
      <c r="F6" s="16">
        <v>19042.8</v>
      </c>
      <c r="G6" s="16">
        <f t="shared" ref="G6:G7" si="4">SUM(C6:F6)</f>
        <v>261079.13</v>
      </c>
    </row>
    <row r="7">
      <c r="A7" s="10" t="s">
        <v>45</v>
      </c>
      <c r="B7" s="10" t="s">
        <v>21</v>
      </c>
      <c r="C7" s="3">
        <v>46.0</v>
      </c>
      <c r="D7" s="3">
        <v>7.0</v>
      </c>
      <c r="E7" s="3">
        <v>82.0</v>
      </c>
      <c r="F7" s="3">
        <v>4.0</v>
      </c>
      <c r="G7" s="3">
        <f t="shared" si="4"/>
        <v>139</v>
      </c>
    </row>
    <row r="8">
      <c r="A8" s="10" t="s">
        <v>45</v>
      </c>
      <c r="B8" s="10" t="s">
        <v>10</v>
      </c>
      <c r="C8" s="17">
        <f t="shared" ref="C8:G8" si="5">C7/C3</f>
        <v>0.03962101637</v>
      </c>
      <c r="D8" s="17">
        <f t="shared" si="5"/>
        <v>0.01277372263</v>
      </c>
      <c r="E8" s="17">
        <f t="shared" si="5"/>
        <v>0.008637033916</v>
      </c>
      <c r="F8" s="17">
        <f t="shared" si="5"/>
        <v>0.0006788866259</v>
      </c>
      <c r="G8" s="17">
        <f t="shared" si="5"/>
        <v>0.008131032466</v>
      </c>
    </row>
    <row r="9">
      <c r="A9" s="10" t="s">
        <v>45</v>
      </c>
      <c r="B9" s="10" t="s">
        <v>26</v>
      </c>
      <c r="C9" s="16">
        <v>728575.36</v>
      </c>
      <c r="D9" s="16">
        <v>149576.26</v>
      </c>
      <c r="E9" s="16">
        <v>1503538.7899999998</v>
      </c>
      <c r="F9" s="16">
        <v>66779.66</v>
      </c>
      <c r="G9" s="16">
        <f>SUM(C9:F9)</f>
        <v>2448470.07</v>
      </c>
    </row>
    <row r="10">
      <c r="A10" s="10" t="s">
        <v>45</v>
      </c>
      <c r="B10" s="10" t="s">
        <v>28</v>
      </c>
      <c r="C10" s="17">
        <f t="shared" ref="C10:G10" si="6">C6/C9</f>
        <v>0.03362995971</v>
      </c>
      <c r="D10" s="17">
        <f t="shared" si="6"/>
        <v>0.1302780936</v>
      </c>
      <c r="E10" s="17">
        <f t="shared" si="6"/>
        <v>0.131721151</v>
      </c>
      <c r="F10" s="17">
        <f t="shared" si="6"/>
        <v>0.2851586845</v>
      </c>
      <c r="G10" s="17">
        <f t="shared" si="6"/>
        <v>0.1066294962</v>
      </c>
    </row>
    <row r="11">
      <c r="A11" s="10" t="s">
        <v>45</v>
      </c>
      <c r="B11" s="10" t="s">
        <v>15</v>
      </c>
      <c r="C11" s="20">
        <f t="shared" ref="C11:G11" si="7">C9/C6</f>
        <v>29.73539096</v>
      </c>
      <c r="D11" s="20">
        <f t="shared" si="7"/>
        <v>7.675887576</v>
      </c>
      <c r="E11" s="20">
        <f t="shared" si="7"/>
        <v>7.591795185</v>
      </c>
      <c r="F11" s="20">
        <f t="shared" si="7"/>
        <v>3.506819375</v>
      </c>
      <c r="G11" s="20">
        <f t="shared" si="7"/>
        <v>9.378268075</v>
      </c>
    </row>
    <row r="14">
      <c r="A14" s="10" t="s">
        <v>46</v>
      </c>
      <c r="B14" s="12" t="s">
        <v>466</v>
      </c>
      <c r="C14" s="12" t="s">
        <v>467</v>
      </c>
      <c r="D14" s="12" t="s">
        <v>468</v>
      </c>
      <c r="E14" s="12" t="s">
        <v>469</v>
      </c>
      <c r="F14" s="12" t="s">
        <v>471</v>
      </c>
      <c r="G14" s="12" t="s">
        <v>470</v>
      </c>
      <c r="H14" s="12" t="s">
        <v>231</v>
      </c>
      <c r="I14" s="10"/>
    </row>
    <row r="15">
      <c r="A15" s="10" t="s">
        <v>46</v>
      </c>
      <c r="B15" s="100" t="s">
        <v>12</v>
      </c>
      <c r="C15" s="3">
        <v>336450.0</v>
      </c>
      <c r="D15" s="3">
        <v>56169.0</v>
      </c>
      <c r="E15" s="3">
        <v>1376845.0</v>
      </c>
      <c r="F15" s="3">
        <v>27955.0</v>
      </c>
      <c r="G15" s="152">
        <v>581560.0</v>
      </c>
      <c r="H15" s="3">
        <v>1797419.0</v>
      </c>
      <c r="I15" s="10">
        <f>C2/C15</f>
        <v>0.3779343142</v>
      </c>
    </row>
    <row r="16">
      <c r="A16" s="10" t="s">
        <v>46</v>
      </c>
      <c r="B16" s="100" t="s">
        <v>6</v>
      </c>
      <c r="C16" s="3">
        <v>1953.0</v>
      </c>
      <c r="D16" s="3">
        <v>480.0</v>
      </c>
      <c r="E16" s="3">
        <v>7673.0</v>
      </c>
      <c r="F16" s="3">
        <v>1158.0</v>
      </c>
      <c r="G16" s="152">
        <v>2142.0</v>
      </c>
      <c r="H16" s="3">
        <v>11264.0</v>
      </c>
      <c r="I16" s="10"/>
    </row>
    <row r="17">
      <c r="A17" s="10" t="s">
        <v>46</v>
      </c>
      <c r="B17" s="100" t="s">
        <v>5</v>
      </c>
      <c r="C17" s="17">
        <f t="shared" ref="C17:H17" si="8">C16/C15</f>
        <v>0.005804725814</v>
      </c>
      <c r="D17" s="17">
        <f t="shared" si="8"/>
        <v>0.008545639054</v>
      </c>
      <c r="E17" s="17">
        <f t="shared" si="8"/>
        <v>0.005572885837</v>
      </c>
      <c r="F17" s="17">
        <f t="shared" si="8"/>
        <v>0.04142371669</v>
      </c>
      <c r="G17" s="17">
        <f t="shared" si="8"/>
        <v>0.003683196919</v>
      </c>
      <c r="H17" s="17">
        <f t="shared" si="8"/>
        <v>0.006266763621</v>
      </c>
      <c r="I17" s="10"/>
    </row>
    <row r="18">
      <c r="A18" s="10" t="s">
        <v>46</v>
      </c>
      <c r="B18" s="100" t="s">
        <v>8</v>
      </c>
      <c r="C18" s="20">
        <f t="shared" ref="C18:H18" si="9">C19/C16</f>
        <v>30.05744496</v>
      </c>
      <c r="D18" s="20">
        <f t="shared" si="9"/>
        <v>29.97127083</v>
      </c>
      <c r="E18" s="20">
        <f t="shared" si="9"/>
        <v>21.8722299</v>
      </c>
      <c r="F18" s="20">
        <f t="shared" si="9"/>
        <v>14.60830743</v>
      </c>
      <c r="G18" s="20">
        <f t="shared" si="9"/>
        <v>5.587254902</v>
      </c>
      <c r="H18" s="20">
        <f t="shared" si="9"/>
        <v>22.88977628</v>
      </c>
      <c r="I18" s="10"/>
    </row>
    <row r="19">
      <c r="A19" s="10" t="s">
        <v>46</v>
      </c>
      <c r="B19" s="100" t="s">
        <v>18</v>
      </c>
      <c r="C19" s="16">
        <v>58702.189999999995</v>
      </c>
      <c r="D19" s="16">
        <v>14386.210000000003</v>
      </c>
      <c r="E19" s="16">
        <v>167825.6200000002</v>
      </c>
      <c r="F19" s="16">
        <v>16916.420000000006</v>
      </c>
      <c r="G19" s="16">
        <v>11967.9</v>
      </c>
      <c r="H19" s="16">
        <v>257830.4400000002</v>
      </c>
      <c r="I19" s="10"/>
    </row>
    <row r="20">
      <c r="A20" s="10" t="s">
        <v>46</v>
      </c>
      <c r="B20" s="100" t="s">
        <v>21</v>
      </c>
      <c r="C20" s="3">
        <v>38.0</v>
      </c>
      <c r="D20" s="3">
        <v>5.0</v>
      </c>
      <c r="E20" s="3">
        <v>37.0</v>
      </c>
      <c r="F20" s="3">
        <v>1.0</v>
      </c>
      <c r="G20" s="3">
        <v>1.0</v>
      </c>
      <c r="H20" s="3">
        <v>81.0</v>
      </c>
      <c r="I20" s="10"/>
    </row>
    <row r="21" ht="15.75" customHeight="1">
      <c r="A21" s="10" t="s">
        <v>46</v>
      </c>
      <c r="B21" s="100" t="s">
        <v>10</v>
      </c>
      <c r="C21" s="17">
        <f t="shared" ref="C21:H21" si="10">C20/C16</f>
        <v>0.01945724526</v>
      </c>
      <c r="D21" s="17">
        <f t="shared" si="10"/>
        <v>0.01041666667</v>
      </c>
      <c r="E21" s="17">
        <f t="shared" si="10"/>
        <v>0.00482210348</v>
      </c>
      <c r="F21" s="17">
        <f t="shared" si="10"/>
        <v>0.0008635578584</v>
      </c>
      <c r="G21" s="17">
        <f t="shared" si="10"/>
        <v>0.000466853408</v>
      </c>
      <c r="H21" s="17">
        <f t="shared" si="10"/>
        <v>0.007191051136</v>
      </c>
      <c r="I21" s="10"/>
    </row>
    <row r="22" ht="15.75" customHeight="1">
      <c r="A22" s="10" t="s">
        <v>46</v>
      </c>
      <c r="B22" s="100" t="s">
        <v>26</v>
      </c>
      <c r="C22" s="16">
        <v>737343.5199999999</v>
      </c>
      <c r="D22" s="16">
        <v>97499.15000000001</v>
      </c>
      <c r="E22" s="16">
        <v>631950.7899999999</v>
      </c>
      <c r="F22" s="16">
        <v>45508.47</v>
      </c>
      <c r="G22" s="16">
        <v>13983.05</v>
      </c>
      <c r="H22" s="16">
        <v>1512301.93</v>
      </c>
      <c r="I22" s="10"/>
    </row>
    <row r="23" ht="15.75" customHeight="1">
      <c r="A23" s="10" t="s">
        <v>46</v>
      </c>
      <c r="B23" s="100" t="s">
        <v>28</v>
      </c>
      <c r="C23" s="17">
        <f t="shared" ref="C23:H23" si="11">C19/C22</f>
        <v>0.07961308184</v>
      </c>
      <c r="D23" s="17">
        <f t="shared" si="11"/>
        <v>0.1475521581</v>
      </c>
      <c r="E23" s="17">
        <f t="shared" si="11"/>
        <v>0.2655675452</v>
      </c>
      <c r="F23" s="17">
        <f t="shared" si="11"/>
        <v>0.3717202534</v>
      </c>
      <c r="G23" s="17">
        <f t="shared" si="11"/>
        <v>0.8558862337</v>
      </c>
      <c r="H23" s="17">
        <f t="shared" si="11"/>
        <v>0.170488733</v>
      </c>
      <c r="I23" s="10"/>
    </row>
    <row r="24" ht="15.75" customHeight="1">
      <c r="A24" s="10" t="s">
        <v>46</v>
      </c>
      <c r="B24" s="100" t="s">
        <v>15</v>
      </c>
      <c r="C24" s="20">
        <f t="shared" ref="C24:H24" si="12">C22/C19</f>
        <v>12.56074978</v>
      </c>
      <c r="D24" s="20">
        <f t="shared" si="12"/>
        <v>6.777264478</v>
      </c>
      <c r="E24" s="20">
        <f t="shared" si="12"/>
        <v>3.765520366</v>
      </c>
      <c r="F24" s="20">
        <f t="shared" si="12"/>
        <v>2.690195089</v>
      </c>
      <c r="G24" s="20">
        <f t="shared" si="12"/>
        <v>1.168379582</v>
      </c>
      <c r="H24" s="20">
        <f t="shared" si="12"/>
        <v>5.865490242</v>
      </c>
      <c r="I24" s="10"/>
    </row>
    <row r="25" ht="15.75" customHeight="1"/>
    <row r="26" ht="15.75" customHeight="1">
      <c r="E26" s="164">
        <f>(E20/E7)-1</f>
        <v>-0.5487804878</v>
      </c>
    </row>
    <row r="27" ht="15.75" customHeight="1"/>
    <row r="28" ht="15.75" customHeight="1">
      <c r="A28" s="12" t="s">
        <v>0</v>
      </c>
      <c r="B28" s="12" t="s">
        <v>472</v>
      </c>
      <c r="C28" s="12" t="s">
        <v>467</v>
      </c>
      <c r="D28" s="12" t="s">
        <v>468</v>
      </c>
      <c r="E28" s="12" t="s">
        <v>469</v>
      </c>
      <c r="F28" s="12" t="s">
        <v>471</v>
      </c>
      <c r="G28" s="12" t="s">
        <v>470</v>
      </c>
      <c r="H28" s="12" t="s">
        <v>231</v>
      </c>
    </row>
    <row r="29" ht="15.75" customHeight="1">
      <c r="A29" s="100" t="s">
        <v>47</v>
      </c>
      <c r="B29" s="100" t="s">
        <v>12</v>
      </c>
      <c r="C29" s="3">
        <v>419514.0</v>
      </c>
      <c r="D29" s="3">
        <v>66279.0</v>
      </c>
      <c r="E29" s="3">
        <v>1448012.0</v>
      </c>
      <c r="F29" s="3">
        <v>80105.0</v>
      </c>
      <c r="G29" s="152">
        <v>649104.0</v>
      </c>
      <c r="H29" s="3">
        <f t="shared" ref="H29:H30" si="13">SUM(C29:G29)</f>
        <v>2663014</v>
      </c>
    </row>
    <row r="30" ht="15.75" customHeight="1">
      <c r="A30" s="100" t="s">
        <v>47</v>
      </c>
      <c r="B30" s="100" t="s">
        <v>6</v>
      </c>
      <c r="C30" s="3">
        <v>2360.0</v>
      </c>
      <c r="D30" s="3">
        <v>363.0</v>
      </c>
      <c r="E30" s="3">
        <v>6961.0</v>
      </c>
      <c r="F30" s="3">
        <v>3236.0</v>
      </c>
      <c r="G30" s="152">
        <v>2911.0</v>
      </c>
      <c r="H30" s="3">
        <f t="shared" si="13"/>
        <v>15831</v>
      </c>
    </row>
    <row r="31" ht="15.75" customHeight="1">
      <c r="A31" s="100" t="s">
        <v>47</v>
      </c>
      <c r="B31" s="100" t="s">
        <v>5</v>
      </c>
      <c r="C31" s="17">
        <f t="shared" ref="C31:H31" si="14">IFERROR(C30/C29,0)</f>
        <v>0.005625557192</v>
      </c>
      <c r="D31" s="17">
        <f t="shared" si="14"/>
        <v>0.00547684787</v>
      </c>
      <c r="E31" s="17">
        <f t="shared" si="14"/>
        <v>0.004807280603</v>
      </c>
      <c r="F31" s="17">
        <f t="shared" si="14"/>
        <v>0.04039697897</v>
      </c>
      <c r="G31" s="17">
        <f t="shared" si="14"/>
        <v>0.004484643447</v>
      </c>
      <c r="H31" s="17">
        <f t="shared" si="14"/>
        <v>0.005944767846</v>
      </c>
    </row>
    <row r="32" ht="15.75" customHeight="1">
      <c r="A32" s="100" t="s">
        <v>47</v>
      </c>
      <c r="B32" s="100" t="s">
        <v>8</v>
      </c>
      <c r="C32" s="20">
        <f t="shared" ref="C32:H32" si="15">IFERROR(C33/C30,0)</f>
        <v>33.13547881</v>
      </c>
      <c r="D32" s="20">
        <f t="shared" si="15"/>
        <v>32.88399449</v>
      </c>
      <c r="E32" s="20">
        <f t="shared" si="15"/>
        <v>27.77643011</v>
      </c>
      <c r="F32" s="20">
        <f t="shared" si="15"/>
        <v>13.41857849</v>
      </c>
      <c r="G32" s="20">
        <f t="shared" si="15"/>
        <v>11.26048093</v>
      </c>
      <c r="H32" s="20">
        <f t="shared" si="15"/>
        <v>22.72061967</v>
      </c>
    </row>
    <row r="33" ht="15.75" customHeight="1">
      <c r="A33" s="100" t="s">
        <v>47</v>
      </c>
      <c r="B33" s="100" t="s">
        <v>18</v>
      </c>
      <c r="C33" s="16">
        <v>78199.72999999997</v>
      </c>
      <c r="D33" s="16">
        <v>11936.890000000001</v>
      </c>
      <c r="E33" s="16">
        <v>193351.7300000004</v>
      </c>
      <c r="F33" s="16">
        <v>43422.51999999983</v>
      </c>
      <c r="G33" s="16">
        <v>32779.26</v>
      </c>
      <c r="H33" s="16">
        <f t="shared" ref="H33:H34" si="16">SUM(C33:G33)</f>
        <v>359690.13</v>
      </c>
    </row>
    <row r="34" ht="15.75" customHeight="1">
      <c r="A34" s="100" t="s">
        <v>47</v>
      </c>
      <c r="B34" s="100" t="s">
        <v>21</v>
      </c>
      <c r="C34" s="3">
        <v>49.0</v>
      </c>
      <c r="D34" s="3">
        <v>3.0</v>
      </c>
      <c r="E34" s="3">
        <v>44.0</v>
      </c>
      <c r="F34" s="3">
        <v>14.0</v>
      </c>
      <c r="G34" s="3">
        <v>13.0</v>
      </c>
      <c r="H34" s="3">
        <f t="shared" si="16"/>
        <v>123</v>
      </c>
    </row>
    <row r="35" ht="15.75" customHeight="1">
      <c r="A35" s="100" t="s">
        <v>47</v>
      </c>
      <c r="B35" s="100" t="s">
        <v>10</v>
      </c>
      <c r="C35" s="17">
        <f t="shared" ref="C35:H35" si="17">IFERROR(C34/C30,0)</f>
        <v>0.02076271186</v>
      </c>
      <c r="D35" s="17">
        <f t="shared" si="17"/>
        <v>0.00826446281</v>
      </c>
      <c r="E35" s="17">
        <f t="shared" si="17"/>
        <v>0.006320930901</v>
      </c>
      <c r="F35" s="17">
        <f t="shared" si="17"/>
        <v>0.004326328801</v>
      </c>
      <c r="G35" s="17">
        <f t="shared" si="17"/>
        <v>0.004465819306</v>
      </c>
      <c r="H35" s="17">
        <f t="shared" si="17"/>
        <v>0.007769566041</v>
      </c>
    </row>
    <row r="36" ht="15.75" customHeight="1">
      <c r="A36" s="100" t="s">
        <v>47</v>
      </c>
      <c r="B36" s="100" t="s">
        <v>26</v>
      </c>
      <c r="C36" s="16">
        <v>953969.4999999999</v>
      </c>
      <c r="D36" s="16">
        <v>53644.07</v>
      </c>
      <c r="E36" s="16">
        <v>707326.0799999998</v>
      </c>
      <c r="F36" s="16">
        <v>208338.08999999997</v>
      </c>
      <c r="G36" s="16">
        <v>279827.98</v>
      </c>
      <c r="H36" s="16">
        <f>SUM(C36:G36)</f>
        <v>2203105.72</v>
      </c>
    </row>
    <row r="37" ht="15.75" customHeight="1">
      <c r="A37" s="100" t="s">
        <v>47</v>
      </c>
      <c r="B37" s="100" t="s">
        <v>28</v>
      </c>
      <c r="C37" s="17">
        <f t="shared" ref="C37:H37" si="18">C33/C36</f>
        <v>0.08197298761</v>
      </c>
      <c r="D37" s="17">
        <f t="shared" si="18"/>
        <v>0.2225202152</v>
      </c>
      <c r="E37" s="17">
        <f t="shared" si="18"/>
        <v>0.2733558616</v>
      </c>
      <c r="F37" s="17">
        <f t="shared" si="18"/>
        <v>0.2084233373</v>
      </c>
      <c r="G37" s="17">
        <f t="shared" si="18"/>
        <v>0.117140752</v>
      </c>
      <c r="H37" s="17">
        <f t="shared" si="18"/>
        <v>0.1632650339</v>
      </c>
    </row>
    <row r="38" ht="15.75" customHeight="1">
      <c r="A38" s="100" t="s">
        <v>47</v>
      </c>
      <c r="B38" s="100" t="s">
        <v>15</v>
      </c>
      <c r="C38" s="20">
        <f t="shared" ref="C38:H38" si="19">C36/C33</f>
        <v>12.19914059</v>
      </c>
      <c r="D38" s="20">
        <f t="shared" si="19"/>
        <v>4.493973723</v>
      </c>
      <c r="E38" s="20">
        <f t="shared" si="19"/>
        <v>3.658235072</v>
      </c>
      <c r="F38" s="20">
        <f t="shared" si="19"/>
        <v>4.797927205</v>
      </c>
      <c r="G38" s="20">
        <f t="shared" si="19"/>
        <v>8.536738779</v>
      </c>
      <c r="H38" s="20">
        <f t="shared" si="19"/>
        <v>6.125010214</v>
      </c>
    </row>
    <row r="39" ht="15.75" customHeight="1"/>
    <row r="40" ht="15.75" customHeight="1"/>
    <row r="41" ht="15.75" customHeight="1"/>
    <row r="42" ht="15.75" customHeight="1"/>
    <row r="43" ht="15.75" customHeight="1">
      <c r="A43" s="10" t="s">
        <v>0</v>
      </c>
      <c r="B43" s="12" t="s">
        <v>472</v>
      </c>
      <c r="C43" s="12" t="s">
        <v>473</v>
      </c>
      <c r="D43" s="12" t="s">
        <v>468</v>
      </c>
      <c r="E43" s="12" t="s">
        <v>469</v>
      </c>
      <c r="F43" s="12" t="s">
        <v>471</v>
      </c>
      <c r="G43" s="12" t="s">
        <v>470</v>
      </c>
      <c r="H43" s="12" t="s">
        <v>231</v>
      </c>
    </row>
    <row r="44" ht="15.75" customHeight="1">
      <c r="A44" s="10" t="s">
        <v>474</v>
      </c>
      <c r="B44" s="10" t="s">
        <v>12</v>
      </c>
      <c r="C44" s="16">
        <v>398284.0</v>
      </c>
      <c r="D44" s="16">
        <v>136235.0</v>
      </c>
      <c r="E44" s="16">
        <v>1583833.0</v>
      </c>
      <c r="F44" s="16">
        <v>138434.0</v>
      </c>
      <c r="G44" s="16">
        <v>1749967.0</v>
      </c>
      <c r="H44" s="16">
        <f t="shared" ref="H44:H45" si="20">SUM(C44:G44)</f>
        <v>4006753</v>
      </c>
    </row>
    <row r="45" ht="15.75" customHeight="1">
      <c r="A45" s="10" t="s">
        <v>474</v>
      </c>
      <c r="B45" s="10" t="s">
        <v>6</v>
      </c>
      <c r="C45" s="16">
        <v>2125.0</v>
      </c>
      <c r="D45" s="16">
        <v>955.0</v>
      </c>
      <c r="E45" s="16">
        <v>8704.0</v>
      </c>
      <c r="F45" s="16">
        <v>5689.0</v>
      </c>
      <c r="G45" s="152">
        <v>6982.0</v>
      </c>
      <c r="H45" s="16">
        <f t="shared" si="20"/>
        <v>24455</v>
      </c>
    </row>
    <row r="46" ht="15.75" customHeight="1">
      <c r="A46" s="10" t="s">
        <v>474</v>
      </c>
      <c r="B46" s="10" t="s">
        <v>5</v>
      </c>
      <c r="C46" s="17">
        <f t="shared" ref="C46:H46" si="21">IFERROR(C45/C44,0)</f>
        <v>0.005335388818</v>
      </c>
      <c r="D46" s="17">
        <f t="shared" si="21"/>
        <v>0.007009946049</v>
      </c>
      <c r="E46" s="17">
        <f t="shared" si="21"/>
        <v>0.005495528885</v>
      </c>
      <c r="F46" s="17">
        <f t="shared" si="21"/>
        <v>0.04109539564</v>
      </c>
      <c r="G46" s="17">
        <f t="shared" si="21"/>
        <v>0.003989789522</v>
      </c>
      <c r="H46" s="17">
        <f t="shared" si="21"/>
        <v>0.006103445858</v>
      </c>
    </row>
    <row r="47" ht="15.75" customHeight="1">
      <c r="A47" s="10" t="s">
        <v>474</v>
      </c>
      <c r="B47" s="10" t="s">
        <v>8</v>
      </c>
      <c r="C47" s="20">
        <f t="shared" ref="C47:H47" si="22">IFERROR(C48/C45,0)</f>
        <v>32.74589176</v>
      </c>
      <c r="D47" s="20">
        <f t="shared" si="22"/>
        <v>26.21373822</v>
      </c>
      <c r="E47" s="20">
        <f t="shared" si="22"/>
        <v>35.48207376</v>
      </c>
      <c r="F47" s="20">
        <f t="shared" si="22"/>
        <v>13.9408701</v>
      </c>
      <c r="G47" s="20">
        <f t="shared" si="22"/>
        <v>10.32827843</v>
      </c>
      <c r="H47" s="20">
        <f t="shared" si="22"/>
        <v>22.68970599</v>
      </c>
    </row>
    <row r="48" ht="15.75" customHeight="1">
      <c r="A48" s="10" t="s">
        <v>474</v>
      </c>
      <c r="B48" s="10" t="s">
        <v>18</v>
      </c>
      <c r="C48" s="16">
        <v>69585.02000000002</v>
      </c>
      <c r="D48" s="16">
        <v>25034.120000000003</v>
      </c>
      <c r="E48" s="16">
        <v>308835.97000000026</v>
      </c>
      <c r="F48" s="16">
        <v>79309.60999999987</v>
      </c>
      <c r="G48" s="16">
        <v>72112.04</v>
      </c>
      <c r="H48" s="16">
        <f t="shared" ref="H48:H49" si="23">SUM(C48:G48)</f>
        <v>554876.76</v>
      </c>
    </row>
    <row r="49" ht="15.75" customHeight="1">
      <c r="A49" s="10" t="s">
        <v>474</v>
      </c>
      <c r="B49" s="10" t="s">
        <v>21</v>
      </c>
      <c r="C49" s="16">
        <v>50.0</v>
      </c>
      <c r="D49" s="16">
        <v>6.0</v>
      </c>
      <c r="E49" s="16">
        <v>88.0</v>
      </c>
      <c r="F49" s="16">
        <v>25.0</v>
      </c>
      <c r="G49" s="16">
        <v>27.0</v>
      </c>
      <c r="H49" s="16">
        <f t="shared" si="23"/>
        <v>196</v>
      </c>
    </row>
    <row r="50" ht="15.75" customHeight="1">
      <c r="A50" s="10" t="s">
        <v>474</v>
      </c>
      <c r="B50" s="10" t="s">
        <v>10</v>
      </c>
      <c r="C50" s="17">
        <f t="shared" ref="C50:H50" si="24">IFERROR(C49/C45,0)</f>
        <v>0.02352941176</v>
      </c>
      <c r="D50" s="17">
        <f t="shared" si="24"/>
        <v>0.006282722513</v>
      </c>
      <c r="E50" s="17">
        <f t="shared" si="24"/>
        <v>0.01011029412</v>
      </c>
      <c r="F50" s="17">
        <f t="shared" si="24"/>
        <v>0.004394445421</v>
      </c>
      <c r="G50" s="17">
        <f t="shared" si="24"/>
        <v>0.003867086795</v>
      </c>
      <c r="H50" s="17">
        <f t="shared" si="24"/>
        <v>0.008014720916</v>
      </c>
    </row>
    <row r="51" ht="15.75" customHeight="1">
      <c r="A51" s="10" t="s">
        <v>474</v>
      </c>
      <c r="B51" s="10" t="s">
        <v>26</v>
      </c>
      <c r="C51" s="16">
        <v>862646.5699999997</v>
      </c>
      <c r="D51" s="16">
        <v>5000.0</v>
      </c>
      <c r="E51" s="16">
        <v>1415224.07</v>
      </c>
      <c r="F51" s="16">
        <v>70083.88999999998</v>
      </c>
      <c r="G51" s="16">
        <v>555167.8</v>
      </c>
      <c r="H51" s="16">
        <f>SUM(C51:G51)</f>
        <v>2908122.33</v>
      </c>
    </row>
    <row r="52" ht="15.75" customHeight="1">
      <c r="A52" s="10" t="s">
        <v>474</v>
      </c>
      <c r="B52" s="10" t="s">
        <v>28</v>
      </c>
      <c r="C52" s="17">
        <f t="shared" ref="C52:H52" si="25">C48/C51</f>
        <v>0.08066457622</v>
      </c>
      <c r="D52" s="17">
        <f t="shared" si="25"/>
        <v>5.006824</v>
      </c>
      <c r="E52" s="17">
        <f t="shared" si="25"/>
        <v>0.2182240795</v>
      </c>
      <c r="F52" s="17">
        <f t="shared" si="25"/>
        <v>1.131638241</v>
      </c>
      <c r="G52" s="17">
        <f t="shared" si="25"/>
        <v>0.1298923317</v>
      </c>
      <c r="H52" s="17">
        <f t="shared" si="25"/>
        <v>0.1908024137</v>
      </c>
    </row>
    <row r="53" ht="15.75" customHeight="1">
      <c r="A53" s="10" t="s">
        <v>474</v>
      </c>
      <c r="B53" s="10" t="s">
        <v>15</v>
      </c>
      <c r="C53" s="20">
        <f t="shared" ref="C53:H53" si="26">C51/C48</f>
        <v>12.39701548</v>
      </c>
      <c r="D53" s="20">
        <f t="shared" si="26"/>
        <v>0.199727412</v>
      </c>
      <c r="E53" s="20">
        <f t="shared" si="26"/>
        <v>4.582445724</v>
      </c>
      <c r="F53" s="20">
        <f t="shared" si="26"/>
        <v>0.8836746266</v>
      </c>
      <c r="G53" s="20">
        <f t="shared" si="26"/>
        <v>7.698683881</v>
      </c>
      <c r="H53" s="20">
        <f t="shared" si="26"/>
        <v>5.241023845</v>
      </c>
    </row>
    <row r="54" ht="15.75" customHeight="1"/>
    <row r="55" ht="15.75" customHeight="1"/>
    <row r="56" ht="15.75" customHeight="1">
      <c r="B56" s="12" t="s">
        <v>466</v>
      </c>
      <c r="C56" s="12" t="s">
        <v>473</v>
      </c>
      <c r="D56" s="12" t="s">
        <v>468</v>
      </c>
      <c r="E56" s="12" t="s">
        <v>469</v>
      </c>
      <c r="F56" s="12" t="s">
        <v>471</v>
      </c>
      <c r="G56" s="12" t="s">
        <v>470</v>
      </c>
      <c r="H56" s="12" t="s">
        <v>231</v>
      </c>
    </row>
    <row r="57" ht="15.75" customHeight="1">
      <c r="A57" s="10" t="s">
        <v>475</v>
      </c>
      <c r="B57" s="10" t="s">
        <v>12</v>
      </c>
      <c r="C57" s="3">
        <v>504508.0</v>
      </c>
      <c r="D57" s="3">
        <v>102148.0</v>
      </c>
      <c r="E57" s="3">
        <v>1540500.0</v>
      </c>
      <c r="F57" s="3">
        <v>183546.0</v>
      </c>
      <c r="G57" s="16">
        <v>1853585.0</v>
      </c>
      <c r="H57" s="16">
        <f t="shared" ref="H57:H58" si="27">SUM(C57:G57)</f>
        <v>4184287</v>
      </c>
    </row>
    <row r="58" ht="15.75" customHeight="1">
      <c r="A58" s="10" t="s">
        <v>475</v>
      </c>
      <c r="B58" s="10" t="s">
        <v>6</v>
      </c>
      <c r="C58" s="3">
        <v>2306.0</v>
      </c>
      <c r="D58" s="3">
        <v>876.0</v>
      </c>
      <c r="E58" s="3">
        <v>9856.0</v>
      </c>
      <c r="F58" s="3">
        <v>6076.0</v>
      </c>
      <c r="G58" s="152">
        <v>6168.0</v>
      </c>
      <c r="H58" s="16">
        <f t="shared" si="27"/>
        <v>25282</v>
      </c>
    </row>
    <row r="59" ht="15.75" customHeight="1">
      <c r="A59" s="10" t="s">
        <v>475</v>
      </c>
      <c r="B59" s="10" t="s">
        <v>5</v>
      </c>
      <c r="C59" s="17">
        <f t="shared" ref="C59:H59" si="28">IFERROR(C58/C57,0)</f>
        <v>0.00457078976</v>
      </c>
      <c r="D59" s="17">
        <f t="shared" si="28"/>
        <v>0.008575791988</v>
      </c>
      <c r="E59" s="17">
        <f t="shared" si="28"/>
        <v>0.006397922752</v>
      </c>
      <c r="F59" s="17">
        <f t="shared" si="28"/>
        <v>0.03310341822</v>
      </c>
      <c r="G59" s="17">
        <f t="shared" si="28"/>
        <v>0.003327605694</v>
      </c>
      <c r="H59" s="17">
        <f t="shared" si="28"/>
        <v>0.006042128563</v>
      </c>
    </row>
    <row r="60" ht="15.75" customHeight="1">
      <c r="A60" s="10" t="s">
        <v>475</v>
      </c>
      <c r="B60" s="10" t="s">
        <v>8</v>
      </c>
      <c r="C60" s="20">
        <f t="shared" ref="C60:H60" si="29">IFERROR(C61/C58,0)</f>
        <v>41.29706418</v>
      </c>
      <c r="D60" s="20">
        <f t="shared" si="29"/>
        <v>26.29009132</v>
      </c>
      <c r="E60" s="20">
        <f t="shared" si="29"/>
        <v>34.75416599</v>
      </c>
      <c r="F60" s="20">
        <f t="shared" si="29"/>
        <v>14.24495885</v>
      </c>
      <c r="G60" s="20">
        <f t="shared" si="29"/>
        <v>14.49492056</v>
      </c>
      <c r="H60" s="20">
        <f t="shared" si="29"/>
        <v>25.18611067</v>
      </c>
    </row>
    <row r="61" ht="15.75" customHeight="1">
      <c r="A61" s="10" t="s">
        <v>475</v>
      </c>
      <c r="B61" s="10" t="s">
        <v>18</v>
      </c>
      <c r="C61" s="16">
        <v>95231.02999999997</v>
      </c>
      <c r="D61" s="16">
        <v>23030.11999999998</v>
      </c>
      <c r="E61" s="16">
        <v>342537.0600000004</v>
      </c>
      <c r="F61" s="16">
        <v>86552.36999999978</v>
      </c>
      <c r="G61" s="16">
        <v>89404.67</v>
      </c>
      <c r="H61" s="16">
        <f t="shared" ref="H61:H62" si="30">SUM(C61:G61)</f>
        <v>636755.25</v>
      </c>
    </row>
    <row r="62" ht="15.75" customHeight="1">
      <c r="A62" s="10" t="s">
        <v>475</v>
      </c>
      <c r="B62" s="10" t="s">
        <v>21</v>
      </c>
      <c r="C62" s="3">
        <v>53.0</v>
      </c>
      <c r="D62" s="3">
        <v>1.0</v>
      </c>
      <c r="E62" s="3">
        <v>103.0</v>
      </c>
      <c r="F62" s="3">
        <v>8.0</v>
      </c>
      <c r="G62" s="16">
        <v>27.0</v>
      </c>
      <c r="H62" s="16">
        <f t="shared" si="30"/>
        <v>192</v>
      </c>
    </row>
    <row r="63" ht="15.75" customHeight="1">
      <c r="A63" s="10" t="s">
        <v>475</v>
      </c>
      <c r="B63" s="10" t="s">
        <v>10</v>
      </c>
      <c r="C63" s="17">
        <f t="shared" ref="C63:H63" si="31">IFERROR(C62/C58,0)</f>
        <v>0.02298352125</v>
      </c>
      <c r="D63" s="17">
        <f t="shared" si="31"/>
        <v>0.001141552511</v>
      </c>
      <c r="E63" s="17">
        <f t="shared" si="31"/>
        <v>0.01045048701</v>
      </c>
      <c r="F63" s="17">
        <f t="shared" si="31"/>
        <v>0.001316655695</v>
      </c>
      <c r="G63" s="17">
        <f t="shared" si="31"/>
        <v>0.004377431907</v>
      </c>
      <c r="H63" s="17">
        <f t="shared" si="31"/>
        <v>0.007594335891</v>
      </c>
    </row>
    <row r="64" ht="15.75" customHeight="1">
      <c r="A64" s="10" t="s">
        <v>475</v>
      </c>
      <c r="B64" s="10" t="s">
        <v>26</v>
      </c>
      <c r="C64" s="16">
        <v>1101648.2499999995</v>
      </c>
      <c r="D64" s="16">
        <v>17966.1</v>
      </c>
      <c r="E64" s="16">
        <v>1775896.5400000003</v>
      </c>
      <c r="F64" s="16">
        <v>160932.19999999998</v>
      </c>
      <c r="G64" s="16">
        <v>483172.87</v>
      </c>
      <c r="H64" s="16">
        <f>SUM(C64:G64)</f>
        <v>3539615.96</v>
      </c>
    </row>
    <row r="65" ht="15.75" customHeight="1">
      <c r="A65" s="10" t="s">
        <v>475</v>
      </c>
      <c r="B65" s="10" t="s">
        <v>28</v>
      </c>
      <c r="C65" s="17">
        <f t="shared" ref="C65:H65" si="32">IFERROR(C61/C64,0)</f>
        <v>0.08644413496</v>
      </c>
      <c r="D65" s="17">
        <f t="shared" si="32"/>
        <v>1.281865291</v>
      </c>
      <c r="E65" s="17">
        <f t="shared" si="32"/>
        <v>0.1928812024</v>
      </c>
      <c r="F65" s="17">
        <f t="shared" si="32"/>
        <v>0.5378188455</v>
      </c>
      <c r="G65" s="17">
        <f t="shared" si="32"/>
        <v>0.1850366102</v>
      </c>
      <c r="H65" s="17">
        <f t="shared" si="32"/>
        <v>0.1798938804</v>
      </c>
    </row>
    <row r="66" ht="15.75" customHeight="1">
      <c r="A66" s="10" t="s">
        <v>475</v>
      </c>
      <c r="B66" s="10" t="s">
        <v>15</v>
      </c>
      <c r="C66" s="20">
        <f t="shared" ref="C66:H66" si="33">IFERROR(C64/C61,0)</f>
        <v>11.56816481</v>
      </c>
      <c r="D66" s="20">
        <f t="shared" si="33"/>
        <v>0.7801131735</v>
      </c>
      <c r="E66" s="20">
        <f t="shared" si="33"/>
        <v>5.184538397</v>
      </c>
      <c r="F66" s="20">
        <f t="shared" si="33"/>
        <v>1.859362141</v>
      </c>
      <c r="G66" s="20">
        <f t="shared" si="33"/>
        <v>5.404335926</v>
      </c>
      <c r="H66" s="20">
        <f t="shared" si="33"/>
        <v>5.558832785</v>
      </c>
    </row>
    <row r="67" ht="15.75" customHeight="1"/>
    <row r="68" ht="15.75" customHeight="1"/>
    <row r="69" ht="15.75" customHeight="1">
      <c r="A69" s="113"/>
      <c r="B69" s="12" t="s">
        <v>466</v>
      </c>
      <c r="C69" s="12" t="s">
        <v>467</v>
      </c>
      <c r="D69" s="12" t="s">
        <v>468</v>
      </c>
      <c r="E69" s="12" t="s">
        <v>469</v>
      </c>
      <c r="F69" s="12" t="s">
        <v>471</v>
      </c>
      <c r="G69" s="12" t="s">
        <v>470</v>
      </c>
      <c r="H69" s="12" t="s">
        <v>231</v>
      </c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 ht="15.75" customHeight="1">
      <c r="A70" s="10" t="s">
        <v>54</v>
      </c>
      <c r="B70" s="10" t="s">
        <v>12</v>
      </c>
      <c r="C70" s="3">
        <v>829298.0</v>
      </c>
      <c r="D70" s="3">
        <v>230625.0</v>
      </c>
      <c r="E70" s="3">
        <v>2000163.0</v>
      </c>
      <c r="F70" s="3">
        <v>208611.0</v>
      </c>
      <c r="G70" s="16">
        <v>1663318.0</v>
      </c>
      <c r="H70" s="3">
        <f t="shared" ref="H70:H71" si="34">SUM(C70:G70)</f>
        <v>4932015</v>
      </c>
    </row>
    <row r="71" ht="15.75" customHeight="1">
      <c r="A71" s="10" t="s">
        <v>54</v>
      </c>
      <c r="B71" s="10" t="s">
        <v>6</v>
      </c>
      <c r="C71" s="3">
        <v>3869.0</v>
      </c>
      <c r="D71" s="3">
        <v>1760.0</v>
      </c>
      <c r="E71" s="3">
        <v>9536.0</v>
      </c>
      <c r="F71" s="3">
        <v>5719.0</v>
      </c>
      <c r="G71" s="152">
        <v>4749.0</v>
      </c>
      <c r="H71" s="3">
        <f t="shared" si="34"/>
        <v>25633</v>
      </c>
    </row>
    <row r="72" ht="15.75" customHeight="1">
      <c r="A72" s="10" t="s">
        <v>54</v>
      </c>
      <c r="B72" s="10" t="s">
        <v>5</v>
      </c>
      <c r="C72" s="17">
        <f t="shared" ref="C72:H72" si="35">IFERROR(C71/C70,0)</f>
        <v>0.004665391693</v>
      </c>
      <c r="D72" s="17">
        <f t="shared" si="35"/>
        <v>0.007631436314</v>
      </c>
      <c r="E72" s="17">
        <f t="shared" si="35"/>
        <v>0.00476761144</v>
      </c>
      <c r="F72" s="17">
        <f t="shared" si="35"/>
        <v>0.02741466174</v>
      </c>
      <c r="G72" s="17">
        <f t="shared" si="35"/>
        <v>0.00285513654</v>
      </c>
      <c r="H72" s="17">
        <f t="shared" si="35"/>
        <v>0.005197267243</v>
      </c>
    </row>
    <row r="73" ht="15.75" customHeight="1">
      <c r="A73" s="10" t="s">
        <v>54</v>
      </c>
      <c r="B73" s="10" t="s">
        <v>8</v>
      </c>
      <c r="C73" s="20">
        <f t="shared" ref="C73:H73" si="36">IFERROR(C74/C71,0)</f>
        <v>44.68380719</v>
      </c>
      <c r="D73" s="20">
        <f t="shared" si="36"/>
        <v>36.50344318</v>
      </c>
      <c r="E73" s="20">
        <f t="shared" si="36"/>
        <v>51.46425231</v>
      </c>
      <c r="F73" s="20">
        <f t="shared" si="36"/>
        <v>10.50066445</v>
      </c>
      <c r="G73" s="20">
        <f t="shared" si="36"/>
        <v>16.54941461</v>
      </c>
      <c r="H73" s="20">
        <f t="shared" si="36"/>
        <v>33.80553544</v>
      </c>
    </row>
    <row r="74" ht="15.75" customHeight="1">
      <c r="A74" s="10" t="s">
        <v>54</v>
      </c>
      <c r="B74" s="10" t="s">
        <v>18</v>
      </c>
      <c r="C74" s="16">
        <v>172881.6499999999</v>
      </c>
      <c r="D74" s="16">
        <v>64246.060000000005</v>
      </c>
      <c r="E74" s="16">
        <v>490763.1099999996</v>
      </c>
      <c r="F74" s="16">
        <v>60053.29999999994</v>
      </c>
      <c r="G74" s="16">
        <v>78593.17</v>
      </c>
      <c r="H74" s="16">
        <f t="shared" ref="H74:H75" si="37">SUM(C74:G74)</f>
        <v>866537.29</v>
      </c>
    </row>
    <row r="75" ht="15.75" customHeight="1">
      <c r="A75" s="10" t="s">
        <v>54</v>
      </c>
      <c r="B75" s="10" t="s">
        <v>21</v>
      </c>
      <c r="C75" s="25">
        <v>98.0</v>
      </c>
      <c r="D75" s="3">
        <v>8.0</v>
      </c>
      <c r="E75" s="3">
        <v>125.0</v>
      </c>
      <c r="F75" s="3">
        <v>13.0</v>
      </c>
      <c r="G75" s="16">
        <v>40.0</v>
      </c>
      <c r="H75" s="3">
        <f t="shared" si="37"/>
        <v>284</v>
      </c>
    </row>
    <row r="76" ht="15.75" customHeight="1">
      <c r="A76" s="10" t="s">
        <v>54</v>
      </c>
      <c r="B76" s="10" t="s">
        <v>10</v>
      </c>
      <c r="C76" s="17">
        <f t="shared" ref="C76:H76" si="38">IFERROR(C75/C71,0)</f>
        <v>0.02532954252</v>
      </c>
      <c r="D76" s="17">
        <f t="shared" si="38"/>
        <v>0.004545454545</v>
      </c>
      <c r="E76" s="17">
        <f t="shared" si="38"/>
        <v>0.01310822148</v>
      </c>
      <c r="F76" s="17">
        <f t="shared" si="38"/>
        <v>0.002273124672</v>
      </c>
      <c r="G76" s="17">
        <f t="shared" si="38"/>
        <v>0.008422825858</v>
      </c>
      <c r="H76" s="17">
        <f t="shared" si="38"/>
        <v>0.01107946787</v>
      </c>
    </row>
    <row r="77" ht="15.75" customHeight="1">
      <c r="A77" s="10" t="s">
        <v>54</v>
      </c>
      <c r="B77" s="10" t="s">
        <v>26</v>
      </c>
      <c r="C77" s="16">
        <v>1975821.17</v>
      </c>
      <c r="D77" s="16">
        <v>156440.68</v>
      </c>
      <c r="E77" s="16">
        <v>2074618.5799999994</v>
      </c>
      <c r="F77" s="16">
        <v>230720.33999999997</v>
      </c>
      <c r="G77" s="16">
        <v>789349.19</v>
      </c>
      <c r="H77" s="16">
        <f>SUM(C77:G77)</f>
        <v>5226949.96</v>
      </c>
    </row>
    <row r="78" ht="15.75" customHeight="1">
      <c r="A78" s="10" t="s">
        <v>54</v>
      </c>
      <c r="B78" s="10" t="s">
        <v>28</v>
      </c>
      <c r="C78" s="17">
        <f t="shared" ref="C78:H78" si="39">IFERROR(C74/C77,0)</f>
        <v>0.08749863228</v>
      </c>
      <c r="D78" s="17">
        <f t="shared" si="39"/>
        <v>0.4106736176</v>
      </c>
      <c r="E78" s="17">
        <f t="shared" si="39"/>
        <v>0.2365558251</v>
      </c>
      <c r="F78" s="17">
        <f t="shared" si="39"/>
        <v>0.2602861109</v>
      </c>
      <c r="G78" s="17">
        <f t="shared" si="39"/>
        <v>0.09956704966</v>
      </c>
      <c r="H78" s="17">
        <f t="shared" si="39"/>
        <v>0.1657825877</v>
      </c>
    </row>
    <row r="79" ht="15.75" customHeight="1">
      <c r="A79" s="10" t="s">
        <v>54</v>
      </c>
      <c r="B79" s="10" t="s">
        <v>15</v>
      </c>
      <c r="C79" s="20">
        <f t="shared" ref="C79:H79" si="40">IFERROR(C77/C74,0)</f>
        <v>11.42875007</v>
      </c>
      <c r="D79" s="20">
        <f t="shared" si="40"/>
        <v>2.43502372</v>
      </c>
      <c r="E79" s="20">
        <f t="shared" si="40"/>
        <v>4.227331961</v>
      </c>
      <c r="F79" s="20">
        <f t="shared" si="40"/>
        <v>3.841926089</v>
      </c>
      <c r="G79" s="20">
        <f t="shared" si="40"/>
        <v>10.0434833</v>
      </c>
      <c r="H79" s="20">
        <f t="shared" si="40"/>
        <v>6.031996569</v>
      </c>
    </row>
    <row r="80" ht="15.75" customHeight="1">
      <c r="C80" s="165">
        <f t="shared" ref="C80:H80" si="41">(C75/$H$75)</f>
        <v>0.3450704225</v>
      </c>
      <c r="D80" s="165">
        <f t="shared" si="41"/>
        <v>0.02816901408</v>
      </c>
      <c r="E80" s="165">
        <f t="shared" si="41"/>
        <v>0.4401408451</v>
      </c>
      <c r="F80" s="165">
        <f t="shared" si="41"/>
        <v>0.04577464789</v>
      </c>
      <c r="G80" s="165">
        <f t="shared" si="41"/>
        <v>0.1408450704</v>
      </c>
      <c r="H80" s="165">
        <f t="shared" si="41"/>
        <v>1</v>
      </c>
    </row>
    <row r="81" ht="15.75" customHeight="1"/>
    <row r="82" ht="15.75" customHeight="1"/>
    <row r="83" ht="15.75" customHeight="1">
      <c r="A83" s="10" t="s">
        <v>58</v>
      </c>
      <c r="B83" s="12" t="s">
        <v>472</v>
      </c>
      <c r="C83" s="12" t="s">
        <v>467</v>
      </c>
      <c r="D83" s="12" t="s">
        <v>468</v>
      </c>
      <c r="E83" s="12" t="s">
        <v>469</v>
      </c>
      <c r="F83" s="12" t="s">
        <v>471</v>
      </c>
      <c r="G83" s="12" t="s">
        <v>470</v>
      </c>
      <c r="H83" s="12" t="s">
        <v>231</v>
      </c>
      <c r="I83" s="157"/>
    </row>
    <row r="84" ht="15.75" customHeight="1">
      <c r="A84" s="10" t="s">
        <v>58</v>
      </c>
      <c r="B84" s="10" t="s">
        <v>12</v>
      </c>
      <c r="C84" s="16">
        <v>723838.0</v>
      </c>
      <c r="D84" s="16">
        <v>297346.0</v>
      </c>
      <c r="E84" s="16">
        <v>2613426.0</v>
      </c>
      <c r="F84" s="16">
        <v>147855.0</v>
      </c>
      <c r="G84" s="16">
        <v>2523524.0</v>
      </c>
      <c r="H84" s="16">
        <f t="shared" ref="H84:H85" si="42">SUM(C84:G84)</f>
        <v>6305989</v>
      </c>
    </row>
    <row r="85" ht="15.75" customHeight="1">
      <c r="A85" s="10" t="s">
        <v>58</v>
      </c>
      <c r="B85" s="10" t="s">
        <v>6</v>
      </c>
      <c r="C85" s="16">
        <v>3609.0</v>
      </c>
      <c r="D85" s="16">
        <v>1867.0</v>
      </c>
      <c r="E85" s="16">
        <v>10289.0</v>
      </c>
      <c r="F85" s="16">
        <v>4153.0</v>
      </c>
      <c r="G85" s="152">
        <v>8852.0</v>
      </c>
      <c r="H85" s="16">
        <f t="shared" si="42"/>
        <v>28770</v>
      </c>
    </row>
    <row r="86" ht="15.75" customHeight="1">
      <c r="A86" s="10" t="s">
        <v>58</v>
      </c>
      <c r="B86" s="10" t="s">
        <v>5</v>
      </c>
      <c r="C86" s="17">
        <f t="shared" ref="C86:H86" si="43">IFERROR(C85/C84,0)</f>
        <v>0.004985922264</v>
      </c>
      <c r="D86" s="17">
        <f t="shared" si="43"/>
        <v>0.006278880496</v>
      </c>
      <c r="E86" s="17">
        <f t="shared" si="43"/>
        <v>0.003936977745</v>
      </c>
      <c r="F86" s="17">
        <f t="shared" si="43"/>
        <v>0.02808832978</v>
      </c>
      <c r="G86" s="17">
        <f t="shared" si="43"/>
        <v>0.00350779307</v>
      </c>
      <c r="H86" s="17">
        <f t="shared" si="43"/>
        <v>0.004562329557</v>
      </c>
    </row>
    <row r="87" ht="15.75" customHeight="1">
      <c r="A87" s="10" t="s">
        <v>58</v>
      </c>
      <c r="B87" s="10" t="s">
        <v>8</v>
      </c>
      <c r="C87" s="20">
        <f t="shared" ref="C87:H87" si="44">IFERROR(C88/C85,0)</f>
        <v>39.15667221</v>
      </c>
      <c r="D87" s="20">
        <f t="shared" si="44"/>
        <v>36.89182646</v>
      </c>
      <c r="E87" s="20">
        <f t="shared" si="44"/>
        <v>48.83657304</v>
      </c>
      <c r="F87" s="20">
        <f t="shared" si="44"/>
        <v>11.97325066</v>
      </c>
      <c r="G87" s="20">
        <f t="shared" si="44"/>
        <v>10.63906462</v>
      </c>
      <c r="H87" s="20">
        <f t="shared" si="44"/>
        <v>29.77319708</v>
      </c>
    </row>
    <row r="88" ht="15.75" customHeight="1">
      <c r="A88" s="10" t="s">
        <v>58</v>
      </c>
      <c r="B88" s="10" t="s">
        <v>18</v>
      </c>
      <c r="C88" s="16">
        <v>141316.4300000001</v>
      </c>
      <c r="D88" s="16">
        <v>68877.04000000001</v>
      </c>
      <c r="E88" s="16">
        <v>502479.5000000009</v>
      </c>
      <c r="F88" s="16">
        <v>49724.91</v>
      </c>
      <c r="G88" s="16">
        <v>94177.0</v>
      </c>
      <c r="H88" s="16">
        <f t="shared" ref="H88:H89" si="45">SUM(C88:G88)</f>
        <v>856574.88</v>
      </c>
    </row>
    <row r="89" ht="15.75" customHeight="1">
      <c r="A89" s="10" t="s">
        <v>58</v>
      </c>
      <c r="B89" s="10" t="s">
        <v>21</v>
      </c>
      <c r="C89" s="16">
        <v>97.0</v>
      </c>
      <c r="D89" s="16">
        <v>16.0</v>
      </c>
      <c r="E89" s="16">
        <v>112.0</v>
      </c>
      <c r="F89" s="16">
        <v>13.0</v>
      </c>
      <c r="G89" s="16">
        <v>40.0</v>
      </c>
      <c r="H89" s="16">
        <f t="shared" si="45"/>
        <v>278</v>
      </c>
    </row>
    <row r="90" ht="15.75" customHeight="1">
      <c r="A90" s="10" t="s">
        <v>58</v>
      </c>
      <c r="B90" s="10" t="s">
        <v>10</v>
      </c>
      <c r="C90" s="17">
        <f t="shared" ref="C90:H90" si="46">IFERROR(C89/C85,0)</f>
        <v>0.02687725132</v>
      </c>
      <c r="D90" s="17">
        <f t="shared" si="46"/>
        <v>0.008569898232</v>
      </c>
      <c r="E90" s="17">
        <f t="shared" si="46"/>
        <v>0.0108854116</v>
      </c>
      <c r="F90" s="17">
        <f t="shared" si="46"/>
        <v>0.003130267277</v>
      </c>
      <c r="G90" s="17">
        <f t="shared" si="46"/>
        <v>0.004518752824</v>
      </c>
      <c r="H90" s="17">
        <f t="shared" si="46"/>
        <v>0.009662843239</v>
      </c>
      <c r="I90" s="17"/>
    </row>
    <row r="91" ht="15.75" customHeight="1">
      <c r="A91" s="10" t="s">
        <v>58</v>
      </c>
      <c r="B91" s="10" t="s">
        <v>26</v>
      </c>
      <c r="C91" s="16">
        <v>2036407.6300000004</v>
      </c>
      <c r="D91" s="16">
        <v>319416.93999999994</v>
      </c>
      <c r="E91" s="16">
        <v>1781975.4600000004</v>
      </c>
      <c r="F91" s="16">
        <v>243171.18</v>
      </c>
      <c r="G91" s="16">
        <v>775442.35</v>
      </c>
      <c r="H91" s="16">
        <f>SUM(C91:G91)</f>
        <v>5156413.56</v>
      </c>
    </row>
    <row r="92" ht="15.75" customHeight="1">
      <c r="A92" s="10" t="s">
        <v>58</v>
      </c>
      <c r="B92" s="10" t="s">
        <v>28</v>
      </c>
      <c r="C92" s="17">
        <f t="shared" ref="C92:H92" si="47">IFERROR(C88/C91,0)</f>
        <v>0.06939496195</v>
      </c>
      <c r="D92" s="17">
        <f t="shared" si="47"/>
        <v>0.215633648</v>
      </c>
      <c r="E92" s="17">
        <f t="shared" si="47"/>
        <v>0.2819789112</v>
      </c>
      <c r="F92" s="17">
        <f t="shared" si="47"/>
        <v>0.2044852108</v>
      </c>
      <c r="G92" s="17">
        <f t="shared" si="47"/>
        <v>0.1214493895</v>
      </c>
      <c r="H92" s="17">
        <f t="shared" si="47"/>
        <v>0.1661183437</v>
      </c>
    </row>
    <row r="93" ht="15.75" customHeight="1">
      <c r="A93" s="10" t="s">
        <v>58</v>
      </c>
      <c r="B93" s="10" t="s">
        <v>15</v>
      </c>
      <c r="C93" s="20">
        <f t="shared" ref="C93:H93" si="48">IFERROR(C91/C88,0)</f>
        <v>14.41026801</v>
      </c>
      <c r="D93" s="20">
        <f t="shared" si="48"/>
        <v>4.637495165</v>
      </c>
      <c r="E93" s="20">
        <f t="shared" si="48"/>
        <v>3.546364498</v>
      </c>
      <c r="F93" s="20">
        <f t="shared" si="48"/>
        <v>4.890329213</v>
      </c>
      <c r="G93" s="20">
        <f t="shared" si="48"/>
        <v>8.233882477</v>
      </c>
      <c r="H93" s="20">
        <f t="shared" si="48"/>
        <v>6.019804783</v>
      </c>
    </row>
    <row r="94" ht="15.75" customHeight="1"/>
    <row r="95" ht="15.75" customHeight="1"/>
    <row r="96" ht="15.75" customHeight="1">
      <c r="A96" s="12" t="s">
        <v>0</v>
      </c>
      <c r="B96" s="12" t="s">
        <v>256</v>
      </c>
      <c r="C96" s="12" t="s">
        <v>467</v>
      </c>
      <c r="D96" s="12" t="s">
        <v>468</v>
      </c>
      <c r="E96" s="12" t="s">
        <v>469</v>
      </c>
      <c r="F96" s="12" t="s">
        <v>471</v>
      </c>
      <c r="G96" s="12" t="s">
        <v>470</v>
      </c>
      <c r="H96" s="12" t="s">
        <v>231</v>
      </c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ht="15.75" customHeight="1">
      <c r="A97" s="3" t="s">
        <v>61</v>
      </c>
      <c r="B97" s="3" t="s">
        <v>12</v>
      </c>
      <c r="C97" s="16">
        <v>581612.0</v>
      </c>
      <c r="D97" s="16">
        <v>305235.0</v>
      </c>
      <c r="E97" s="16">
        <v>2817676.0</v>
      </c>
      <c r="F97" s="16">
        <v>244088.0</v>
      </c>
      <c r="G97" s="16">
        <v>1657874.0</v>
      </c>
      <c r="H97" s="16">
        <f t="shared" ref="H97:H98" si="49">SUM(C97:G97)</f>
        <v>5606485</v>
      </c>
    </row>
    <row r="98" ht="15.75" customHeight="1">
      <c r="A98" s="3" t="s">
        <v>61</v>
      </c>
      <c r="B98" s="3" t="s">
        <v>6</v>
      </c>
      <c r="C98" s="16">
        <v>2879.0</v>
      </c>
      <c r="D98" s="16">
        <v>1891.0</v>
      </c>
      <c r="E98" s="16">
        <v>13762.0</v>
      </c>
      <c r="F98" s="16">
        <v>6421.0</v>
      </c>
      <c r="G98" s="152">
        <v>5791.0</v>
      </c>
      <c r="H98" s="16">
        <f t="shared" si="49"/>
        <v>30744</v>
      </c>
    </row>
    <row r="99" ht="15.75" customHeight="1">
      <c r="A99" s="3" t="s">
        <v>61</v>
      </c>
      <c r="B99" s="3" t="s">
        <v>5</v>
      </c>
      <c r="C99" s="17">
        <f t="shared" ref="C99:H99" si="50">IFERROR(C98/C97,0)</f>
        <v>0.004950035419</v>
      </c>
      <c r="D99" s="17">
        <f t="shared" si="50"/>
        <v>0.006195226629</v>
      </c>
      <c r="E99" s="17">
        <f t="shared" si="50"/>
        <v>0.004884166952</v>
      </c>
      <c r="F99" s="17">
        <f t="shared" si="50"/>
        <v>0.02630608633</v>
      </c>
      <c r="G99" s="17">
        <f t="shared" si="50"/>
        <v>0.003493027818</v>
      </c>
      <c r="H99" s="17">
        <f t="shared" si="50"/>
        <v>0.005483649738</v>
      </c>
    </row>
    <row r="100" ht="15.75" customHeight="1">
      <c r="A100" s="3" t="s">
        <v>61</v>
      </c>
      <c r="B100" s="3" t="s">
        <v>8</v>
      </c>
      <c r="C100" s="20">
        <f t="shared" ref="C100:H100" si="51">IFERROR(C101/C98,0)</f>
        <v>35.72192081</v>
      </c>
      <c r="D100" s="20">
        <f t="shared" si="51"/>
        <v>36.2419725</v>
      </c>
      <c r="E100" s="20">
        <f t="shared" si="51"/>
        <v>36.44383665</v>
      </c>
      <c r="F100" s="20">
        <f t="shared" si="51"/>
        <v>12.9893958</v>
      </c>
      <c r="G100" s="20">
        <f t="shared" si="51"/>
        <v>9.725085477</v>
      </c>
      <c r="H100" s="20">
        <f t="shared" si="51"/>
        <v>26.43247269</v>
      </c>
    </row>
    <row r="101" ht="15.75" customHeight="1">
      <c r="A101" s="3" t="s">
        <v>61</v>
      </c>
      <c r="B101" s="3" t="s">
        <v>18</v>
      </c>
      <c r="C101" s="16">
        <v>102843.41000000005</v>
      </c>
      <c r="D101" s="16">
        <v>68533.57</v>
      </c>
      <c r="E101" s="16">
        <v>501540.07999999914</v>
      </c>
      <c r="F101" s="16">
        <v>83404.91044000011</v>
      </c>
      <c r="G101" s="16">
        <v>56317.97</v>
      </c>
      <c r="H101" s="16">
        <f t="shared" ref="H101:H102" si="52">SUM(C101:G101)</f>
        <v>812639.9404</v>
      </c>
    </row>
    <row r="102" ht="15.75" customHeight="1">
      <c r="A102" s="3" t="s">
        <v>61</v>
      </c>
      <c r="B102" s="3" t="s">
        <v>21</v>
      </c>
      <c r="C102" s="16">
        <v>71.0</v>
      </c>
      <c r="D102" s="16">
        <v>11.0</v>
      </c>
      <c r="E102" s="16">
        <v>108.0</v>
      </c>
      <c r="F102" s="16">
        <v>20.0</v>
      </c>
      <c r="G102" s="16">
        <v>12.0</v>
      </c>
      <c r="H102" s="16">
        <f t="shared" si="52"/>
        <v>222</v>
      </c>
    </row>
    <row r="103" ht="15.75" customHeight="1">
      <c r="A103" s="3" t="s">
        <v>61</v>
      </c>
      <c r="B103" s="3" t="s">
        <v>10</v>
      </c>
      <c r="C103" s="17">
        <f t="shared" ref="C103:H103" si="53">IFERROR(C102/C98,0)</f>
        <v>0.02466134074</v>
      </c>
      <c r="D103" s="17">
        <f t="shared" si="53"/>
        <v>0.005817028027</v>
      </c>
      <c r="E103" s="17">
        <f t="shared" si="53"/>
        <v>0.007847696556</v>
      </c>
      <c r="F103" s="17">
        <f t="shared" si="53"/>
        <v>0.003114779629</v>
      </c>
      <c r="G103" s="17">
        <f t="shared" si="53"/>
        <v>0.00207218097</v>
      </c>
      <c r="H103" s="17">
        <f t="shared" si="53"/>
        <v>0.007220921155</v>
      </c>
    </row>
    <row r="104" ht="15.75" customHeight="1">
      <c r="A104" s="3" t="s">
        <v>61</v>
      </c>
      <c r="B104" s="3" t="s">
        <v>26</v>
      </c>
      <c r="C104" s="16">
        <v>1460709.38</v>
      </c>
      <c r="D104" s="16">
        <v>211824.6</v>
      </c>
      <c r="E104" s="16">
        <v>1489850.9400000002</v>
      </c>
      <c r="F104" s="16">
        <v>380035.60000000003</v>
      </c>
      <c r="G104" s="16">
        <v>255464.43</v>
      </c>
      <c r="H104" s="16">
        <f>SUM(C104:G104)</f>
        <v>3797884.95</v>
      </c>
    </row>
    <row r="105" ht="15.75" customHeight="1">
      <c r="A105" s="3" t="s">
        <v>61</v>
      </c>
      <c r="B105" s="3" t="s">
        <v>28</v>
      </c>
      <c r="C105" s="17">
        <f t="shared" ref="C105:H105" si="54">IFERROR(C101/C104,0)</f>
        <v>0.07040648291</v>
      </c>
      <c r="D105" s="17">
        <f t="shared" si="54"/>
        <v>0.3235392395</v>
      </c>
      <c r="E105" s="17">
        <f t="shared" si="54"/>
        <v>0.3366377579</v>
      </c>
      <c r="F105" s="17">
        <f t="shared" si="54"/>
        <v>0.2194660459</v>
      </c>
      <c r="G105" s="17">
        <f t="shared" si="54"/>
        <v>0.2204532741</v>
      </c>
      <c r="H105" s="17">
        <f t="shared" si="54"/>
        <v>0.2139717109</v>
      </c>
    </row>
    <row r="106" ht="15.75" customHeight="1">
      <c r="A106" s="3" t="s">
        <v>61</v>
      </c>
      <c r="B106" s="3" t="s">
        <v>15</v>
      </c>
      <c r="C106" s="20">
        <f t="shared" ref="C106:H106" si="55">IFERROR(C104/C101,0)</f>
        <v>14.20323752</v>
      </c>
      <c r="D106" s="20">
        <f t="shared" si="55"/>
        <v>3.090815202</v>
      </c>
      <c r="E106" s="20">
        <f t="shared" si="55"/>
        <v>2.970552104</v>
      </c>
      <c r="F106" s="20">
        <f t="shared" si="55"/>
        <v>4.556513495</v>
      </c>
      <c r="G106" s="20">
        <f t="shared" si="55"/>
        <v>4.536108635</v>
      </c>
      <c r="H106" s="20">
        <f t="shared" si="55"/>
        <v>4.673514998</v>
      </c>
    </row>
    <row r="107" ht="15.75" customHeight="1"/>
    <row r="108" ht="15.75" customHeight="1">
      <c r="A108" s="12" t="s">
        <v>0</v>
      </c>
      <c r="B108" s="12" t="s">
        <v>256</v>
      </c>
      <c r="C108" s="12" t="s">
        <v>467</v>
      </c>
      <c r="D108" s="12" t="s">
        <v>468</v>
      </c>
      <c r="E108" s="12" t="s">
        <v>469</v>
      </c>
      <c r="F108" s="12" t="s">
        <v>471</v>
      </c>
      <c r="G108" s="12" t="s">
        <v>470</v>
      </c>
      <c r="H108" s="12" t="s">
        <v>231</v>
      </c>
    </row>
    <row r="109" ht="15.75" customHeight="1">
      <c r="A109" s="3" t="s">
        <v>63</v>
      </c>
      <c r="B109" s="10" t="s">
        <v>12</v>
      </c>
      <c r="C109" s="16">
        <v>1018559.0</v>
      </c>
      <c r="D109" s="16">
        <v>244200.0</v>
      </c>
      <c r="E109" s="16">
        <v>4678632.0</v>
      </c>
      <c r="F109" s="16">
        <v>383506.0</v>
      </c>
      <c r="G109" s="16">
        <v>5055774.0</v>
      </c>
      <c r="H109" s="16">
        <f t="shared" ref="H109:H110" si="56">SUM(C109:G109)</f>
        <v>11380671</v>
      </c>
    </row>
    <row r="110" ht="15.75" customHeight="1">
      <c r="A110" s="3" t="s">
        <v>63</v>
      </c>
      <c r="B110" s="10" t="s">
        <v>6</v>
      </c>
      <c r="C110" s="16">
        <v>4101.0</v>
      </c>
      <c r="D110" s="16">
        <v>1644.0</v>
      </c>
      <c r="E110" s="16">
        <v>19751.0</v>
      </c>
      <c r="F110" s="16">
        <v>11496.0</v>
      </c>
      <c r="G110" s="152">
        <v>18150.0</v>
      </c>
      <c r="H110" s="16">
        <f t="shared" si="56"/>
        <v>55142</v>
      </c>
    </row>
    <row r="111" ht="15.75" customHeight="1">
      <c r="A111" s="3" t="s">
        <v>63</v>
      </c>
      <c r="B111" s="10" t="s">
        <v>5</v>
      </c>
      <c r="C111" s="17">
        <f t="shared" ref="C111:H111" si="57">IFERROR(C110/C109,0)</f>
        <v>0.004026276337</v>
      </c>
      <c r="D111" s="17">
        <f t="shared" si="57"/>
        <v>0.006732186732</v>
      </c>
      <c r="E111" s="17">
        <f t="shared" si="57"/>
        <v>0.004221533132</v>
      </c>
      <c r="F111" s="17">
        <f t="shared" si="57"/>
        <v>0.02997606296</v>
      </c>
      <c r="G111" s="17">
        <f t="shared" si="57"/>
        <v>0.003589954773</v>
      </c>
      <c r="H111" s="17">
        <f t="shared" si="57"/>
        <v>0.004845232764</v>
      </c>
    </row>
    <row r="112" ht="15.75" customHeight="1">
      <c r="A112" s="3" t="s">
        <v>63</v>
      </c>
      <c r="B112" s="10" t="s">
        <v>8</v>
      </c>
      <c r="C112" s="20">
        <f t="shared" ref="C112:H112" si="58">IFERROR(C113/C110,0)</f>
        <v>44.45595708</v>
      </c>
      <c r="D112" s="20">
        <f t="shared" si="58"/>
        <v>33.72446472</v>
      </c>
      <c r="E112" s="20">
        <f t="shared" si="58"/>
        <v>44.12603919</v>
      </c>
      <c r="F112" s="20">
        <f t="shared" si="58"/>
        <v>13.37488905</v>
      </c>
      <c r="G112" s="20">
        <f t="shared" si="58"/>
        <v>6.800807713</v>
      </c>
      <c r="H112" s="20">
        <f t="shared" si="58"/>
        <v>25.14385921</v>
      </c>
    </row>
    <row r="113" ht="15.75" customHeight="1">
      <c r="A113" s="3" t="s">
        <v>63</v>
      </c>
      <c r="B113" s="10" t="s">
        <v>18</v>
      </c>
      <c r="C113" s="16">
        <v>182313.88000000003</v>
      </c>
      <c r="D113" s="16">
        <v>55443.02000000001</v>
      </c>
      <c r="E113" s="16">
        <v>871533.4000000007</v>
      </c>
      <c r="F113" s="16">
        <v>153757.72454999993</v>
      </c>
      <c r="G113" s="16">
        <v>123434.66</v>
      </c>
      <c r="H113" s="16">
        <f t="shared" ref="H113:H114" si="59">SUM(C113:G113)</f>
        <v>1386482.685</v>
      </c>
    </row>
    <row r="114" ht="15.75" customHeight="1">
      <c r="A114" s="3" t="s">
        <v>63</v>
      </c>
      <c r="B114" s="10" t="s">
        <v>38</v>
      </c>
      <c r="C114" s="16">
        <v>144.0</v>
      </c>
      <c r="D114" s="16">
        <v>11.0</v>
      </c>
      <c r="E114" s="16">
        <v>223.0</v>
      </c>
      <c r="F114" s="16">
        <v>42.0</v>
      </c>
      <c r="G114" s="16">
        <v>45.0</v>
      </c>
      <c r="H114" s="16">
        <f t="shared" si="59"/>
        <v>465</v>
      </c>
    </row>
    <row r="115" ht="15.75" customHeight="1">
      <c r="A115" s="3" t="s">
        <v>63</v>
      </c>
      <c r="B115" s="10" t="s">
        <v>10</v>
      </c>
      <c r="C115" s="17">
        <f t="shared" ref="C115:H115" si="60">IFERROR(C114/C110,0)</f>
        <v>0.03511338698</v>
      </c>
      <c r="D115" s="17">
        <f t="shared" si="60"/>
        <v>0.006690997567</v>
      </c>
      <c r="E115" s="17">
        <f t="shared" si="60"/>
        <v>0.01129056757</v>
      </c>
      <c r="F115" s="17">
        <f t="shared" si="60"/>
        <v>0.003653444676</v>
      </c>
      <c r="G115" s="17">
        <f t="shared" si="60"/>
        <v>0.002479338843</v>
      </c>
      <c r="H115" s="17">
        <f t="shared" si="60"/>
        <v>0.008432773566</v>
      </c>
    </row>
    <row r="116" ht="15.75" customHeight="1">
      <c r="A116" s="3" t="s">
        <v>63</v>
      </c>
      <c r="B116" s="10" t="s">
        <v>26</v>
      </c>
      <c r="C116" s="16">
        <v>2704408.56</v>
      </c>
      <c r="D116" s="16">
        <v>201884.74000000002</v>
      </c>
      <c r="E116" s="16">
        <v>3102405.2500000014</v>
      </c>
      <c r="F116" s="16">
        <v>665650.8299999998</v>
      </c>
      <c r="G116" s="16">
        <v>824665.31</v>
      </c>
      <c r="H116" s="16">
        <f>SUM(C116:G116)</f>
        <v>7499014.69</v>
      </c>
    </row>
    <row r="117" ht="15.75" customHeight="1">
      <c r="A117" s="3" t="s">
        <v>63</v>
      </c>
      <c r="B117" s="10" t="s">
        <v>28</v>
      </c>
      <c r="C117" s="17">
        <f t="shared" ref="C117:H117" si="61">IFERROR(C113/C116,0)</f>
        <v>0.06741358636</v>
      </c>
      <c r="D117" s="17">
        <f t="shared" si="61"/>
        <v>0.2746270966</v>
      </c>
      <c r="E117" s="17">
        <f t="shared" si="61"/>
        <v>0.2809218428</v>
      </c>
      <c r="F117" s="17">
        <f t="shared" si="61"/>
        <v>0.2309885568</v>
      </c>
      <c r="G117" s="17">
        <f t="shared" si="61"/>
        <v>0.149678492</v>
      </c>
      <c r="H117" s="17">
        <f t="shared" si="61"/>
        <v>0.1848886476</v>
      </c>
    </row>
    <row r="118" ht="15.75" customHeight="1">
      <c r="A118" s="3" t="s">
        <v>63</v>
      </c>
      <c r="B118" s="10" t="s">
        <v>15</v>
      </c>
      <c r="C118" s="20">
        <f t="shared" ref="C118:H118" si="62">IFERROR(C116/C113,0)</f>
        <v>14.83380508</v>
      </c>
      <c r="D118" s="20">
        <f t="shared" si="62"/>
        <v>3.641301286</v>
      </c>
      <c r="E118" s="20">
        <f t="shared" si="62"/>
        <v>3.559708957</v>
      </c>
      <c r="F118" s="20">
        <f t="shared" si="62"/>
        <v>4.329218789</v>
      </c>
      <c r="G118" s="20">
        <f t="shared" si="62"/>
        <v>6.680986605</v>
      </c>
      <c r="H118" s="20">
        <f t="shared" si="62"/>
        <v>5.408660904</v>
      </c>
    </row>
    <row r="119" ht="15.75" customHeight="1"/>
    <row r="120" ht="15.75" customHeight="1">
      <c r="A120" s="12" t="s">
        <v>0</v>
      </c>
      <c r="B120" s="12" t="s">
        <v>472</v>
      </c>
      <c r="C120" s="12" t="s">
        <v>467</v>
      </c>
      <c r="D120" s="12" t="s">
        <v>468</v>
      </c>
      <c r="E120" s="12" t="s">
        <v>469</v>
      </c>
      <c r="F120" s="12" t="s">
        <v>471</v>
      </c>
      <c r="G120" s="12" t="s">
        <v>470</v>
      </c>
      <c r="H120" s="12" t="s">
        <v>231</v>
      </c>
    </row>
    <row r="121" ht="15.75" customHeight="1">
      <c r="A121" s="3" t="s">
        <v>65</v>
      </c>
      <c r="B121" s="10" t="s">
        <v>12</v>
      </c>
      <c r="C121" s="16">
        <v>861298.0</v>
      </c>
      <c r="D121" s="16">
        <v>190619.0</v>
      </c>
      <c r="E121" s="16">
        <v>3414007.0</v>
      </c>
      <c r="F121" s="16">
        <v>266307.0</v>
      </c>
      <c r="G121" s="16">
        <v>591446.0</v>
      </c>
      <c r="H121" s="16">
        <f t="shared" ref="H121:H122" si="63">SUM(C121:G121)</f>
        <v>5323677</v>
      </c>
    </row>
    <row r="122" ht="15.75" customHeight="1">
      <c r="A122" s="3" t="s">
        <v>65</v>
      </c>
      <c r="B122" s="10" t="s">
        <v>6</v>
      </c>
      <c r="C122" s="16">
        <v>4130.0</v>
      </c>
      <c r="D122" s="16">
        <v>1877.0</v>
      </c>
      <c r="E122" s="16">
        <v>11820.0</v>
      </c>
      <c r="F122" s="16">
        <v>6439.0</v>
      </c>
      <c r="G122" s="152">
        <v>4291.0</v>
      </c>
      <c r="H122" s="16">
        <f t="shared" si="63"/>
        <v>28557</v>
      </c>
    </row>
    <row r="123" ht="15.75" customHeight="1">
      <c r="A123" s="3" t="s">
        <v>65</v>
      </c>
      <c r="B123" s="10" t="s">
        <v>5</v>
      </c>
      <c r="C123" s="17">
        <f t="shared" ref="C123:H123" si="64">IFERROR(C122/C121,0)</f>
        <v>0.004795088343</v>
      </c>
      <c r="D123" s="17">
        <f t="shared" si="64"/>
        <v>0.009846867311</v>
      </c>
      <c r="E123" s="17">
        <f t="shared" si="64"/>
        <v>0.003462207312</v>
      </c>
      <c r="F123" s="17">
        <f t="shared" si="64"/>
        <v>0.02417886124</v>
      </c>
      <c r="G123" s="17">
        <f t="shared" si="64"/>
        <v>0.007255100212</v>
      </c>
      <c r="H123" s="17">
        <f t="shared" si="64"/>
        <v>0.005364149628</v>
      </c>
    </row>
    <row r="124" ht="15.75" customHeight="1">
      <c r="A124" s="3" t="s">
        <v>65</v>
      </c>
      <c r="B124" s="10" t="s">
        <v>8</v>
      </c>
      <c r="C124" s="20">
        <f t="shared" ref="C124:H124" si="65">IFERROR(C125/C122,0)</f>
        <v>55.59808959</v>
      </c>
      <c r="D124" s="20">
        <f t="shared" si="65"/>
        <v>43.93831113</v>
      </c>
      <c r="E124" s="20">
        <f t="shared" si="65"/>
        <v>56.19834772</v>
      </c>
      <c r="F124" s="20">
        <f t="shared" si="65"/>
        <v>26.87504192</v>
      </c>
      <c r="G124" s="20">
        <f t="shared" si="65"/>
        <v>22.04257982</v>
      </c>
      <c r="H124" s="20">
        <f t="shared" si="65"/>
        <v>43.56164495</v>
      </c>
    </row>
    <row r="125" ht="15.75" customHeight="1">
      <c r="A125" s="3" t="s">
        <v>65</v>
      </c>
      <c r="B125" s="10" t="s">
        <v>18</v>
      </c>
      <c r="C125" s="16">
        <v>229620.11000000004</v>
      </c>
      <c r="D125" s="16">
        <v>82472.21000000004</v>
      </c>
      <c r="E125" s="16">
        <v>664264.4699999994</v>
      </c>
      <c r="F125" s="16">
        <v>173048.3949000003</v>
      </c>
      <c r="G125" s="16">
        <v>94584.71</v>
      </c>
      <c r="H125" s="16">
        <f t="shared" ref="H125:H126" si="66">SUM(C125:G125)</f>
        <v>1243989.895</v>
      </c>
    </row>
    <row r="126" ht="15.75" customHeight="1">
      <c r="A126" s="3" t="s">
        <v>65</v>
      </c>
      <c r="B126" s="10" t="s">
        <v>21</v>
      </c>
      <c r="C126" s="16">
        <v>153.0</v>
      </c>
      <c r="D126" s="16">
        <v>13.0</v>
      </c>
      <c r="E126" s="16">
        <v>131.0</v>
      </c>
      <c r="F126" s="16">
        <v>18.0</v>
      </c>
      <c r="G126" s="16">
        <v>22.0</v>
      </c>
      <c r="H126" s="16">
        <f t="shared" si="66"/>
        <v>337</v>
      </c>
    </row>
    <row r="127" ht="15.75" customHeight="1">
      <c r="A127" s="3" t="s">
        <v>65</v>
      </c>
      <c r="B127" s="10" t="s">
        <v>10</v>
      </c>
      <c r="C127" s="17">
        <f t="shared" ref="C127:H127" si="67">IFERROR(C126/C122,0)</f>
        <v>0.03704600484</v>
      </c>
      <c r="D127" s="17">
        <f t="shared" si="67"/>
        <v>0.006925945658</v>
      </c>
      <c r="E127" s="17">
        <f t="shared" si="67"/>
        <v>0.01108291032</v>
      </c>
      <c r="F127" s="17">
        <f t="shared" si="67"/>
        <v>0.002795465134</v>
      </c>
      <c r="G127" s="17">
        <f t="shared" si="67"/>
        <v>0.005127010021</v>
      </c>
      <c r="H127" s="17">
        <f t="shared" si="67"/>
        <v>0.01180095948</v>
      </c>
    </row>
    <row r="128" ht="15.75" customHeight="1">
      <c r="A128" s="3" t="s">
        <v>65</v>
      </c>
      <c r="B128" s="10" t="s">
        <v>26</v>
      </c>
      <c r="C128" s="16">
        <v>2927418.6600000006</v>
      </c>
      <c r="D128" s="16">
        <v>255347.43</v>
      </c>
      <c r="E128" s="16">
        <v>1885564.51</v>
      </c>
      <c r="F128" s="16">
        <v>220728.79000000004</v>
      </c>
      <c r="G128" s="16">
        <v>444228.83</v>
      </c>
      <c r="H128" s="16">
        <f>SUM(C128:G128)</f>
        <v>5733288.22</v>
      </c>
    </row>
    <row r="129" ht="15.75" customHeight="1">
      <c r="A129" s="3" t="s">
        <v>65</v>
      </c>
      <c r="B129" s="10" t="s">
        <v>28</v>
      </c>
      <c r="C129" s="17">
        <f t="shared" ref="C129:H129" si="68">IFERROR(C125/C128,0)</f>
        <v>0.07843774214</v>
      </c>
      <c r="D129" s="17">
        <f t="shared" si="68"/>
        <v>0.3229803801</v>
      </c>
      <c r="E129" s="17">
        <f t="shared" si="68"/>
        <v>0.3522894425</v>
      </c>
      <c r="F129" s="17">
        <f t="shared" si="68"/>
        <v>0.7839865153</v>
      </c>
      <c r="G129" s="17">
        <f t="shared" si="68"/>
        <v>0.2129188914</v>
      </c>
      <c r="H129" s="17">
        <f t="shared" si="68"/>
        <v>0.216976689</v>
      </c>
    </row>
    <row r="130" ht="15.75" customHeight="1">
      <c r="A130" s="3" t="s">
        <v>65</v>
      </c>
      <c r="B130" s="10" t="s">
        <v>15</v>
      </c>
      <c r="C130" s="20">
        <f t="shared" ref="C130:H130" si="69">IFERROR(C128/C125,0)</f>
        <v>12.74896463</v>
      </c>
      <c r="D130" s="20">
        <f t="shared" si="69"/>
        <v>3.096163302</v>
      </c>
      <c r="E130" s="20">
        <f t="shared" si="69"/>
        <v>2.838574988</v>
      </c>
      <c r="F130" s="20">
        <f t="shared" si="69"/>
        <v>1.275532143</v>
      </c>
      <c r="G130" s="20">
        <f t="shared" si="69"/>
        <v>4.696624116</v>
      </c>
      <c r="H130" s="20">
        <f t="shared" si="69"/>
        <v>4.608790026</v>
      </c>
    </row>
    <row r="131" ht="15.75" customHeight="1">
      <c r="A131" s="3"/>
    </row>
    <row r="132" ht="15.75" customHeight="1"/>
    <row r="133" ht="15.75" customHeight="1">
      <c r="A133" s="12" t="s">
        <v>0</v>
      </c>
      <c r="B133" s="12" t="s">
        <v>256</v>
      </c>
      <c r="C133" s="12" t="s">
        <v>467</v>
      </c>
      <c r="D133" s="12" t="s">
        <v>468</v>
      </c>
      <c r="E133" s="12" t="s">
        <v>469</v>
      </c>
      <c r="F133" s="12" t="s">
        <v>471</v>
      </c>
      <c r="G133" s="12" t="s">
        <v>470</v>
      </c>
      <c r="H133" s="12" t="s">
        <v>231</v>
      </c>
    </row>
    <row r="134" ht="15.75" customHeight="1">
      <c r="A134" s="3" t="s">
        <v>67</v>
      </c>
      <c r="B134" s="10" t="s">
        <v>12</v>
      </c>
      <c r="C134" s="16">
        <v>661647.0</v>
      </c>
      <c r="D134" s="16">
        <v>98297.0</v>
      </c>
      <c r="E134" s="16">
        <v>2939410.0</v>
      </c>
      <c r="F134" s="16">
        <v>137799.0</v>
      </c>
      <c r="G134" s="16">
        <v>143476.0</v>
      </c>
      <c r="H134" s="16">
        <f t="shared" ref="H134:H135" si="70">SUM(C134:G134)</f>
        <v>3980629</v>
      </c>
    </row>
    <row r="135" ht="15.75" customHeight="1">
      <c r="A135" s="3" t="s">
        <v>67</v>
      </c>
      <c r="B135" s="10" t="s">
        <v>6</v>
      </c>
      <c r="C135" s="16">
        <v>3566.0</v>
      </c>
      <c r="D135" s="16">
        <v>862.0</v>
      </c>
      <c r="E135" s="16">
        <v>15197.0</v>
      </c>
      <c r="F135" s="16">
        <v>4116.0</v>
      </c>
      <c r="G135" s="152">
        <v>518.0</v>
      </c>
      <c r="H135" s="16">
        <f t="shared" si="70"/>
        <v>24259</v>
      </c>
    </row>
    <row r="136" ht="15.75" customHeight="1">
      <c r="A136" s="3" t="s">
        <v>67</v>
      </c>
      <c r="B136" s="10" t="s">
        <v>5</v>
      </c>
      <c r="C136" s="17">
        <f t="shared" ref="C136:H136" si="71">IFERROR(C135/C134,0)</f>
        <v>0.005389580849</v>
      </c>
      <c r="D136" s="17">
        <f t="shared" si="71"/>
        <v>0.008769341892</v>
      </c>
      <c r="E136" s="17">
        <f t="shared" si="71"/>
        <v>0.005170085153</v>
      </c>
      <c r="F136" s="17">
        <f t="shared" si="71"/>
        <v>0.02986959267</v>
      </c>
      <c r="G136" s="17">
        <f t="shared" si="71"/>
        <v>0.003610359921</v>
      </c>
      <c r="H136" s="17">
        <f t="shared" si="71"/>
        <v>0.006094262992</v>
      </c>
    </row>
    <row r="137" ht="15.75" customHeight="1">
      <c r="A137" s="3" t="s">
        <v>67</v>
      </c>
      <c r="B137" s="10" t="s">
        <v>8</v>
      </c>
      <c r="C137" s="20">
        <f t="shared" ref="C137:H137" si="72">IFERROR(C138/C135,0)</f>
        <v>30.95274257</v>
      </c>
      <c r="D137" s="20">
        <f t="shared" si="72"/>
        <v>29.84812065</v>
      </c>
      <c r="E137" s="20">
        <f t="shared" si="72"/>
        <v>29.40100151</v>
      </c>
      <c r="F137" s="20">
        <f t="shared" si="72"/>
        <v>15.67395044</v>
      </c>
      <c r="G137" s="20">
        <f t="shared" si="72"/>
        <v>24.83081081</v>
      </c>
      <c r="H137" s="20">
        <f t="shared" si="72"/>
        <v>27.21834865</v>
      </c>
    </row>
    <row r="138" ht="15.75" customHeight="1">
      <c r="A138" s="3" t="s">
        <v>67</v>
      </c>
      <c r="B138" s="10" t="s">
        <v>18</v>
      </c>
      <c r="C138" s="16">
        <v>110377.48000000005</v>
      </c>
      <c r="D138" s="16">
        <v>25729.079999999994</v>
      </c>
      <c r="E138" s="16">
        <v>446807.02000000153</v>
      </c>
      <c r="F138" s="16">
        <v>64513.98000000002</v>
      </c>
      <c r="G138" s="16">
        <v>12862.36</v>
      </c>
      <c r="H138" s="16">
        <f t="shared" ref="H138:H139" si="73">SUM(C138:G138)</f>
        <v>660289.92</v>
      </c>
    </row>
    <row r="139" ht="15.75" customHeight="1">
      <c r="A139" s="3" t="s">
        <v>67</v>
      </c>
      <c r="B139" s="10" t="s">
        <v>38</v>
      </c>
      <c r="C139" s="16">
        <v>79.0</v>
      </c>
      <c r="D139" s="16">
        <v>4.0</v>
      </c>
      <c r="E139" s="16">
        <v>121.0</v>
      </c>
      <c r="F139" s="16">
        <v>12.0</v>
      </c>
      <c r="G139" s="16">
        <v>5.0</v>
      </c>
      <c r="H139" s="16">
        <f t="shared" si="73"/>
        <v>221</v>
      </c>
    </row>
    <row r="140" ht="15.75" customHeight="1">
      <c r="A140" s="3" t="s">
        <v>67</v>
      </c>
      <c r="B140" s="10" t="s">
        <v>10</v>
      </c>
      <c r="C140" s="17">
        <f t="shared" ref="C140:H140" si="74">IFERROR(C139/C135,0)</f>
        <v>0.02215367358</v>
      </c>
      <c r="D140" s="17">
        <f t="shared" si="74"/>
        <v>0.00464037123</v>
      </c>
      <c r="E140" s="17">
        <f t="shared" si="74"/>
        <v>0.007962097782</v>
      </c>
      <c r="F140" s="17">
        <f t="shared" si="74"/>
        <v>0.002915451895</v>
      </c>
      <c r="G140" s="17">
        <f t="shared" si="74"/>
        <v>0.009652509653</v>
      </c>
      <c r="H140" s="17">
        <f t="shared" si="74"/>
        <v>0.009110021023</v>
      </c>
    </row>
    <row r="141" ht="15.75" customHeight="1">
      <c r="A141" s="3" t="s">
        <v>67</v>
      </c>
      <c r="B141" s="10" t="s">
        <v>26</v>
      </c>
      <c r="C141" s="16">
        <v>1323498.43</v>
      </c>
      <c r="D141" s="16">
        <v>79490.1</v>
      </c>
      <c r="E141" s="16">
        <v>1115735.6600000004</v>
      </c>
      <c r="F141" s="16">
        <v>212190.97000000003</v>
      </c>
      <c r="G141" s="16">
        <v>116032.21</v>
      </c>
      <c r="H141" s="16">
        <f>SUM(C141:G141)</f>
        <v>2846947.37</v>
      </c>
    </row>
    <row r="142" ht="15.75" customHeight="1">
      <c r="A142" s="3" t="s">
        <v>67</v>
      </c>
      <c r="B142" s="10" t="s">
        <v>28</v>
      </c>
      <c r="C142" s="17">
        <f t="shared" ref="C142:H142" si="75">IFERROR(C138/C141,0)</f>
        <v>0.08339827045</v>
      </c>
      <c r="D142" s="17">
        <f t="shared" si="75"/>
        <v>0.3236765333</v>
      </c>
      <c r="E142" s="17">
        <f t="shared" si="75"/>
        <v>0.4004595676</v>
      </c>
      <c r="F142" s="17">
        <f t="shared" si="75"/>
        <v>0.304037349</v>
      </c>
      <c r="G142" s="17">
        <f t="shared" si="75"/>
        <v>0.1108516334</v>
      </c>
      <c r="H142" s="17">
        <f t="shared" si="75"/>
        <v>0.2319290925</v>
      </c>
    </row>
    <row r="143" ht="15.75" customHeight="1">
      <c r="A143" s="3" t="s">
        <v>67</v>
      </c>
      <c r="B143" s="10" t="s">
        <v>15</v>
      </c>
      <c r="C143" s="20">
        <f t="shared" ref="C143:H143" si="76">IFERROR(C141/C138,0)</f>
        <v>11.99065634</v>
      </c>
      <c r="D143" s="20">
        <f t="shared" si="76"/>
        <v>3.089504172</v>
      </c>
      <c r="E143" s="20">
        <f t="shared" si="76"/>
        <v>2.497130999</v>
      </c>
      <c r="F143" s="20">
        <f t="shared" si="76"/>
        <v>3.289069594</v>
      </c>
      <c r="G143" s="20">
        <f t="shared" si="76"/>
        <v>9.021066896</v>
      </c>
      <c r="H143" s="20">
        <f t="shared" si="76"/>
        <v>4.311662625</v>
      </c>
    </row>
    <row r="144" ht="15.75" customHeight="1"/>
    <row r="145" ht="15.75" customHeight="1">
      <c r="A145" s="12" t="s">
        <v>0</v>
      </c>
      <c r="B145" s="12" t="s">
        <v>256</v>
      </c>
      <c r="C145" s="12" t="s">
        <v>467</v>
      </c>
      <c r="D145" s="12" t="s">
        <v>468</v>
      </c>
      <c r="E145" s="12" t="s">
        <v>469</v>
      </c>
      <c r="F145" s="12" t="s">
        <v>471</v>
      </c>
      <c r="G145" s="12" t="s">
        <v>470</v>
      </c>
      <c r="H145" s="12" t="s">
        <v>231</v>
      </c>
    </row>
    <row r="146" ht="15.75" customHeight="1">
      <c r="A146" s="3" t="s">
        <v>70</v>
      </c>
      <c r="B146" s="10" t="s">
        <v>12</v>
      </c>
      <c r="C146" s="16">
        <v>514271.0</v>
      </c>
      <c r="D146" s="16">
        <v>62905.0</v>
      </c>
      <c r="E146" s="16">
        <v>1905986.0</v>
      </c>
      <c r="F146" s="16">
        <v>178522.0</v>
      </c>
      <c r="G146" s="16">
        <v>3158975.0</v>
      </c>
      <c r="H146" s="16">
        <f t="shared" ref="H146:H147" si="77">SUM(C146:G146)</f>
        <v>5820659</v>
      </c>
    </row>
    <row r="147" ht="15.75" customHeight="1">
      <c r="A147" s="3" t="s">
        <v>70</v>
      </c>
      <c r="B147" s="10" t="s">
        <v>6</v>
      </c>
      <c r="C147" s="16">
        <v>4311.0</v>
      </c>
      <c r="D147" s="16">
        <v>906.0</v>
      </c>
      <c r="E147" s="16">
        <v>14943.0</v>
      </c>
      <c r="F147" s="16">
        <v>5063.0</v>
      </c>
      <c r="G147" s="152">
        <v>10400.0</v>
      </c>
      <c r="H147" s="16">
        <f t="shared" si="77"/>
        <v>35623</v>
      </c>
    </row>
    <row r="148" ht="15.75" customHeight="1">
      <c r="A148" s="3" t="s">
        <v>70</v>
      </c>
      <c r="B148" s="10" t="s">
        <v>5</v>
      </c>
      <c r="C148" s="17">
        <f t="shared" ref="C148:H148" si="78">IFERROR(C147/C146,0)</f>
        <v>0.00838273984</v>
      </c>
      <c r="D148" s="17">
        <f t="shared" si="78"/>
        <v>0.01440267069</v>
      </c>
      <c r="E148" s="17">
        <f t="shared" si="78"/>
        <v>0.0078400366</v>
      </c>
      <c r="F148" s="17">
        <f t="shared" si="78"/>
        <v>0.02836065023</v>
      </c>
      <c r="G148" s="17">
        <f t="shared" si="78"/>
        <v>0.003292207124</v>
      </c>
      <c r="H148" s="17">
        <f t="shared" si="78"/>
        <v>0.006120097398</v>
      </c>
    </row>
    <row r="149" ht="15.75" customHeight="1">
      <c r="A149" s="3" t="s">
        <v>70</v>
      </c>
      <c r="B149" s="10" t="s">
        <v>8</v>
      </c>
      <c r="C149" s="20">
        <f t="shared" ref="C149:H149" si="79">IFERROR(C150/C147,0)</f>
        <v>21.20440501</v>
      </c>
      <c r="D149" s="20">
        <f t="shared" si="79"/>
        <v>27.18736203</v>
      </c>
      <c r="E149" s="20">
        <f t="shared" si="79"/>
        <v>25.21950947</v>
      </c>
      <c r="F149" s="20">
        <f t="shared" si="79"/>
        <v>14.64372506</v>
      </c>
      <c r="G149" s="20">
        <f t="shared" si="79"/>
        <v>25.70876827</v>
      </c>
      <c r="H149" s="20">
        <f t="shared" si="79"/>
        <v>23.42339051</v>
      </c>
    </row>
    <row r="150" ht="15.75" customHeight="1">
      <c r="A150" s="3" t="s">
        <v>70</v>
      </c>
      <c r="B150" s="10" t="s">
        <v>18</v>
      </c>
      <c r="C150" s="167">
        <v>91412.18999999993</v>
      </c>
      <c r="D150" s="167">
        <v>24631.75</v>
      </c>
      <c r="E150" s="167">
        <v>376855.13000000006</v>
      </c>
      <c r="F150" s="167">
        <v>74141.1799999999</v>
      </c>
      <c r="G150" s="167">
        <v>267371.19</v>
      </c>
      <c r="H150" s="167">
        <f t="shared" ref="H150:H151" si="80">SUM(C150:G150)</f>
        <v>834411.44</v>
      </c>
    </row>
    <row r="151" ht="15.75" customHeight="1">
      <c r="A151" s="3" t="s">
        <v>70</v>
      </c>
      <c r="B151" s="10" t="s">
        <v>38</v>
      </c>
      <c r="C151" s="16">
        <v>118.0</v>
      </c>
      <c r="D151" s="16">
        <v>1.0</v>
      </c>
      <c r="E151" s="16">
        <v>147.0</v>
      </c>
      <c r="F151" s="16">
        <v>15.0</v>
      </c>
      <c r="G151" s="16">
        <v>14.0</v>
      </c>
      <c r="H151" s="16">
        <f t="shared" si="80"/>
        <v>295</v>
      </c>
    </row>
    <row r="152" ht="15.75" customHeight="1">
      <c r="A152" s="3" t="s">
        <v>70</v>
      </c>
      <c r="B152" s="10" t="s">
        <v>10</v>
      </c>
      <c r="C152" s="17">
        <f t="shared" ref="C152:H152" si="81">IFERROR(C151/C147,0)</f>
        <v>0.02737183948</v>
      </c>
      <c r="D152" s="17">
        <f t="shared" si="81"/>
        <v>0.001103752759</v>
      </c>
      <c r="E152" s="17">
        <f t="shared" si="81"/>
        <v>0.009837382052</v>
      </c>
      <c r="F152" s="17">
        <f t="shared" si="81"/>
        <v>0.002962670354</v>
      </c>
      <c r="G152" s="17">
        <f t="shared" si="81"/>
        <v>0.001346153846</v>
      </c>
      <c r="H152" s="17">
        <f t="shared" si="81"/>
        <v>0.008281166662</v>
      </c>
    </row>
    <row r="153" ht="15.75" customHeight="1">
      <c r="A153" s="3" t="s">
        <v>70</v>
      </c>
      <c r="B153" s="10" t="s">
        <v>26</v>
      </c>
      <c r="C153" s="167">
        <v>1231530.4800000002</v>
      </c>
      <c r="D153" s="167">
        <v>29796.62</v>
      </c>
      <c r="E153" s="167">
        <v>897462.7299999999</v>
      </c>
      <c r="F153" s="167">
        <v>265107.63999999996</v>
      </c>
      <c r="G153" s="167"/>
      <c r="H153" s="167">
        <f>SUM(C153:G153)</f>
        <v>2423897.47</v>
      </c>
    </row>
    <row r="154" ht="15.75" customHeight="1">
      <c r="A154" s="3" t="s">
        <v>70</v>
      </c>
      <c r="B154" s="10" t="s">
        <v>28</v>
      </c>
      <c r="C154" s="17">
        <f t="shared" ref="C154:H154" si="82">IFERROR(C150/C153,0)</f>
        <v>0.07422649417</v>
      </c>
      <c r="D154" s="17">
        <f t="shared" si="82"/>
        <v>0.8266625543</v>
      </c>
      <c r="E154" s="17">
        <f t="shared" si="82"/>
        <v>0.4199117327</v>
      </c>
      <c r="F154" s="17">
        <f t="shared" si="82"/>
        <v>0.2796644412</v>
      </c>
      <c r="G154" s="17">
        <f t="shared" si="82"/>
        <v>0</v>
      </c>
      <c r="H154" s="17">
        <f t="shared" si="82"/>
        <v>0.3442437027</v>
      </c>
    </row>
    <row r="155" ht="15.75" customHeight="1">
      <c r="A155" s="3" t="s">
        <v>70</v>
      </c>
      <c r="B155" s="10" t="s">
        <v>477</v>
      </c>
      <c r="C155" s="20">
        <f t="shared" ref="C155:H155" si="83">IFERROR(C153/C150,0)</f>
        <v>13.47227848</v>
      </c>
      <c r="D155" s="20">
        <f t="shared" si="83"/>
        <v>1.209683437</v>
      </c>
      <c r="E155" s="20">
        <f t="shared" si="83"/>
        <v>2.381452868</v>
      </c>
      <c r="F155" s="20">
        <f t="shared" si="83"/>
        <v>3.575713794</v>
      </c>
      <c r="G155" s="20">
        <f t="shared" si="83"/>
        <v>0</v>
      </c>
      <c r="H155" s="20">
        <f t="shared" si="83"/>
        <v>2.904918789</v>
      </c>
    </row>
    <row r="156" ht="15.75" customHeight="1"/>
    <row r="157" ht="15.75" customHeight="1"/>
    <row r="158" ht="15.75" customHeight="1">
      <c r="A158" s="12" t="s">
        <v>0</v>
      </c>
      <c r="B158" s="12" t="s">
        <v>256</v>
      </c>
      <c r="C158" s="12" t="s">
        <v>473</v>
      </c>
      <c r="D158" s="12" t="s">
        <v>468</v>
      </c>
      <c r="E158" s="12" t="s">
        <v>469</v>
      </c>
      <c r="F158" s="12" t="s">
        <v>471</v>
      </c>
      <c r="G158" s="12" t="s">
        <v>470</v>
      </c>
      <c r="H158" s="12" t="s">
        <v>231</v>
      </c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 ht="15.75" customHeight="1">
      <c r="A159" s="65">
        <v>45658.0</v>
      </c>
      <c r="B159" s="10" t="s">
        <v>12</v>
      </c>
      <c r="C159" s="16">
        <v>426509.0</v>
      </c>
      <c r="D159" s="16">
        <v>207600.0</v>
      </c>
      <c r="E159" s="16">
        <v>1344904.0</v>
      </c>
      <c r="F159" s="16">
        <v>272129.0</v>
      </c>
      <c r="G159" s="16">
        <v>2403739.0</v>
      </c>
      <c r="H159" s="16">
        <f t="shared" ref="H159:H160" si="84">SUM(C159:G159)</f>
        <v>4654881</v>
      </c>
    </row>
    <row r="160" ht="15.75" customHeight="1">
      <c r="A160" s="65">
        <v>45658.0</v>
      </c>
      <c r="B160" s="10" t="s">
        <v>6</v>
      </c>
      <c r="C160" s="16">
        <v>3420.0</v>
      </c>
      <c r="D160" s="16">
        <v>3734.0</v>
      </c>
      <c r="E160" s="16">
        <v>11611.0</v>
      </c>
      <c r="F160" s="16">
        <v>5921.0</v>
      </c>
      <c r="G160" s="152">
        <v>6319.0</v>
      </c>
      <c r="H160" s="152">
        <f t="shared" si="84"/>
        <v>31005</v>
      </c>
    </row>
    <row r="161" ht="15.75" customHeight="1">
      <c r="A161" s="65">
        <v>45658.0</v>
      </c>
      <c r="B161" s="10" t="s">
        <v>5</v>
      </c>
      <c r="C161" s="17">
        <f t="shared" ref="C161:F161" si="85">C160/C159</f>
        <v>0.008018588119</v>
      </c>
      <c r="D161" s="17">
        <f t="shared" si="85"/>
        <v>0.01798651252</v>
      </c>
      <c r="E161" s="17">
        <f t="shared" si="85"/>
        <v>0.008633329963</v>
      </c>
      <c r="F161" s="17">
        <f t="shared" si="85"/>
        <v>0.02175806327</v>
      </c>
      <c r="G161" s="17">
        <f>IFERROR(G160/G159,0)</f>
        <v>0.002628821182</v>
      </c>
      <c r="H161" s="17">
        <f>H160/H159</f>
        <v>0.006660750296</v>
      </c>
    </row>
    <row r="162" ht="15.75" customHeight="1">
      <c r="A162" s="65">
        <v>45658.0</v>
      </c>
      <c r="B162" s="10" t="s">
        <v>8</v>
      </c>
      <c r="C162" s="168">
        <f t="shared" ref="C162:F162" si="86">C163/C160</f>
        <v>23.37605263</v>
      </c>
      <c r="D162" s="168">
        <f t="shared" si="86"/>
        <v>12.9985324</v>
      </c>
      <c r="E162" s="168">
        <f t="shared" si="86"/>
        <v>35.39829214</v>
      </c>
      <c r="F162" s="168">
        <f t="shared" si="86"/>
        <v>17.47554974</v>
      </c>
      <c r="G162" s="20">
        <f t="shared" ref="G162:H162" si="87">IFERROR(G163/G160,0)</f>
        <v>12.94547238</v>
      </c>
      <c r="H162" s="20">
        <f t="shared" si="87"/>
        <v>23.37582196</v>
      </c>
    </row>
    <row r="163" ht="15.75" customHeight="1">
      <c r="A163" s="65">
        <v>45658.0</v>
      </c>
      <c r="B163" s="10" t="s">
        <v>18</v>
      </c>
      <c r="C163" s="169">
        <v>79946.09999999993</v>
      </c>
      <c r="D163" s="169">
        <v>48536.51999999995</v>
      </c>
      <c r="E163" s="169">
        <v>411009.56999999983</v>
      </c>
      <c r="F163" s="169">
        <v>103472.72999999986</v>
      </c>
      <c r="G163" s="167">
        <v>81802.44</v>
      </c>
      <c r="H163" s="167">
        <f>SUM(C163:G163)</f>
        <v>724767.36</v>
      </c>
    </row>
    <row r="164" ht="15.75" customHeight="1">
      <c r="A164" s="65">
        <v>45658.0</v>
      </c>
      <c r="B164" s="10" t="s">
        <v>21</v>
      </c>
      <c r="C164" s="16">
        <v>92.0</v>
      </c>
      <c r="D164" s="16">
        <v>58.0</v>
      </c>
      <c r="E164" s="16">
        <v>97.0</v>
      </c>
      <c r="F164" s="16">
        <v>15.0</v>
      </c>
      <c r="G164" s="16">
        <v>26.0</v>
      </c>
      <c r="H164" s="16">
        <v>262.0</v>
      </c>
    </row>
    <row r="165" ht="15.75" customHeight="1">
      <c r="A165" s="65">
        <v>45658.0</v>
      </c>
      <c r="B165" s="10" t="s">
        <v>10</v>
      </c>
      <c r="C165" s="170">
        <f t="shared" ref="C165:F165" si="88">C164/C160</f>
        <v>0.0269005848</v>
      </c>
      <c r="D165" s="170">
        <f t="shared" si="88"/>
        <v>0.01553294055</v>
      </c>
      <c r="E165" s="170">
        <f t="shared" si="88"/>
        <v>0.00835414693</v>
      </c>
      <c r="F165" s="170">
        <f t="shared" si="88"/>
        <v>0.002533355852</v>
      </c>
      <c r="G165" s="17">
        <f>IFERROR(G164/G160,0)</f>
        <v>0.004114575091</v>
      </c>
      <c r="H165" s="17">
        <f>H164/H160</f>
        <v>0.00845024996</v>
      </c>
    </row>
    <row r="166" ht="15.75" customHeight="1">
      <c r="A166" s="65">
        <v>45658.0</v>
      </c>
      <c r="B166" s="10" t="s">
        <v>26</v>
      </c>
      <c r="C166" s="169">
        <v>1312688.94</v>
      </c>
      <c r="D166" s="169">
        <v>220033.87</v>
      </c>
      <c r="E166" s="169">
        <v>1035771.1800000006</v>
      </c>
      <c r="F166" s="169">
        <v>273543.2</v>
      </c>
      <c r="G166" s="167">
        <v>501900.85</v>
      </c>
      <c r="H166" s="167">
        <f>SUM(C166:G166)</f>
        <v>3343938.04</v>
      </c>
    </row>
    <row r="167" ht="15.75" customHeight="1">
      <c r="A167" s="65">
        <v>45658.0</v>
      </c>
      <c r="B167" s="10" t="s">
        <v>28</v>
      </c>
      <c r="C167" s="17">
        <f t="shared" ref="C167:F167" si="89">C163/C166</f>
        <v>0.0609025471</v>
      </c>
      <c r="D167" s="17">
        <f t="shared" si="89"/>
        <v>0.2205865851</v>
      </c>
      <c r="E167" s="17">
        <f t="shared" si="89"/>
        <v>0.3968150282</v>
      </c>
      <c r="F167" s="17">
        <f t="shared" si="89"/>
        <v>0.378268332</v>
      </c>
      <c r="G167" s="17">
        <f>IFERROR(G163/G166,0)</f>
        <v>0.1629852589</v>
      </c>
      <c r="H167" s="17">
        <f>H163/H166</f>
        <v>0.2167406666</v>
      </c>
    </row>
    <row r="168" ht="15.75" customHeight="1">
      <c r="A168" s="65">
        <v>45658.0</v>
      </c>
      <c r="B168" s="10" t="s">
        <v>15</v>
      </c>
      <c r="C168" s="153">
        <f t="shared" ref="C168:F168" si="90">C166/C163</f>
        <v>16.41967451</v>
      </c>
      <c r="D168" s="153">
        <f t="shared" si="90"/>
        <v>4.533367246</v>
      </c>
      <c r="E168" s="153">
        <f t="shared" si="90"/>
        <v>2.520065847</v>
      </c>
      <c r="F168" s="153">
        <f t="shared" si="90"/>
        <v>2.643626007</v>
      </c>
      <c r="G168" s="20">
        <f>IFERROR(G166/G163,0)</f>
        <v>6.135524197</v>
      </c>
      <c r="H168" s="20">
        <f>H166/H163</f>
        <v>4.613808823</v>
      </c>
    </row>
    <row r="169" ht="15.75" customHeight="1"/>
    <row r="170" ht="28.5" customHeight="1">
      <c r="A170" s="12" t="s">
        <v>0</v>
      </c>
      <c r="B170" s="12" t="s">
        <v>256</v>
      </c>
      <c r="C170" s="12" t="s">
        <v>473</v>
      </c>
      <c r="D170" s="12" t="s">
        <v>468</v>
      </c>
      <c r="E170" s="12" t="s">
        <v>469</v>
      </c>
      <c r="F170" s="12" t="s">
        <v>471</v>
      </c>
      <c r="G170" s="12" t="s">
        <v>470</v>
      </c>
      <c r="H170" s="12" t="s">
        <v>231</v>
      </c>
    </row>
    <row r="171" ht="15.75" customHeight="1">
      <c r="A171" s="65">
        <v>45689.0</v>
      </c>
      <c r="B171" s="10" t="s">
        <v>12</v>
      </c>
      <c r="C171" s="16">
        <v>468268.0</v>
      </c>
      <c r="D171" s="16">
        <v>408576.0</v>
      </c>
      <c r="E171" s="16">
        <v>1856628.0</v>
      </c>
      <c r="F171" s="16">
        <v>372038.0</v>
      </c>
      <c r="G171" s="16">
        <v>687914.0</v>
      </c>
      <c r="H171" s="16">
        <f t="shared" ref="H171:H172" si="91">SUM(C171:G171)</f>
        <v>3793424</v>
      </c>
    </row>
    <row r="172" ht="15.75" customHeight="1">
      <c r="A172" s="65">
        <v>45689.0</v>
      </c>
      <c r="B172" s="10" t="s">
        <v>6</v>
      </c>
      <c r="C172" s="16">
        <v>2645.0</v>
      </c>
      <c r="D172" s="16">
        <v>4461.0</v>
      </c>
      <c r="E172" s="16">
        <v>16671.0</v>
      </c>
      <c r="F172" s="16">
        <v>5699.0</v>
      </c>
      <c r="G172" s="152">
        <v>2097.0</v>
      </c>
      <c r="H172" s="152">
        <f t="shared" si="91"/>
        <v>31573</v>
      </c>
    </row>
    <row r="173" ht="15.75" customHeight="1">
      <c r="A173" s="65">
        <v>45689.0</v>
      </c>
      <c r="B173" s="10" t="s">
        <v>5</v>
      </c>
      <c r="C173" s="17">
        <f t="shared" ref="C173:F173" si="92">C172/C171</f>
        <v>0.005648474805</v>
      </c>
      <c r="D173" s="17">
        <f t="shared" si="92"/>
        <v>0.0109184093</v>
      </c>
      <c r="E173" s="17">
        <f t="shared" si="92"/>
        <v>0.008979181613</v>
      </c>
      <c r="F173" s="17">
        <f t="shared" si="92"/>
        <v>0.0153183277</v>
      </c>
      <c r="G173" s="17">
        <f>IFERROR(G172/G171,0)</f>
        <v>0.00304834616</v>
      </c>
      <c r="H173" s="17">
        <f>H172/H171</f>
        <v>0.008323087533</v>
      </c>
    </row>
    <row r="174" ht="15.75" customHeight="1">
      <c r="A174" s="65">
        <v>45689.0</v>
      </c>
      <c r="B174" s="10" t="s">
        <v>8</v>
      </c>
      <c r="C174" s="168">
        <f t="shared" ref="C174:F174" si="93">C175/C172</f>
        <v>26.99930435</v>
      </c>
      <c r="D174" s="168">
        <f t="shared" si="93"/>
        <v>14.68481058</v>
      </c>
      <c r="E174" s="168">
        <f t="shared" si="93"/>
        <v>23.5073229</v>
      </c>
      <c r="F174" s="168">
        <f t="shared" si="93"/>
        <v>14.14386384</v>
      </c>
      <c r="G174" s="20">
        <f t="shared" ref="G174:H174" si="94">IFERROR(G175/G172,0)</f>
        <v>13.53838817</v>
      </c>
      <c r="H174" s="20">
        <f t="shared" si="94"/>
        <v>20.2010756</v>
      </c>
    </row>
    <row r="175" ht="15.75" customHeight="1">
      <c r="A175" s="65">
        <v>45689.0</v>
      </c>
      <c r="B175" s="10" t="s">
        <v>18</v>
      </c>
      <c r="C175" s="169">
        <v>71413.16</v>
      </c>
      <c r="D175" s="169">
        <v>65508.94</v>
      </c>
      <c r="E175" s="169">
        <v>391890.58</v>
      </c>
      <c r="F175" s="169">
        <v>80605.88</v>
      </c>
      <c r="G175" s="167">
        <v>28390.0</v>
      </c>
      <c r="H175" s="167">
        <f t="shared" ref="H175:H176" si="95">SUM(C175:G175)</f>
        <v>637808.56</v>
      </c>
    </row>
    <row r="176" ht="15.75" customHeight="1">
      <c r="A176" s="65">
        <v>45689.0</v>
      </c>
      <c r="B176" s="10" t="s">
        <v>21</v>
      </c>
      <c r="C176" s="16">
        <v>50.0</v>
      </c>
      <c r="D176" s="16">
        <v>54.0</v>
      </c>
      <c r="E176" s="16">
        <v>198.0</v>
      </c>
      <c r="F176" s="16">
        <v>37.0</v>
      </c>
      <c r="G176" s="16">
        <v>4.0</v>
      </c>
      <c r="H176" s="16">
        <f t="shared" si="95"/>
        <v>343</v>
      </c>
    </row>
    <row r="177" ht="15.75" customHeight="1">
      <c r="A177" s="65">
        <v>45689.0</v>
      </c>
      <c r="B177" s="10" t="s">
        <v>10</v>
      </c>
      <c r="C177" s="170">
        <f t="shared" ref="C177:F177" si="96">C176/C172</f>
        <v>0.01890359168</v>
      </c>
      <c r="D177" s="170">
        <f t="shared" si="96"/>
        <v>0.01210490921</v>
      </c>
      <c r="E177" s="170">
        <f t="shared" si="96"/>
        <v>0.011876912</v>
      </c>
      <c r="F177" s="170">
        <f t="shared" si="96"/>
        <v>0.006492367082</v>
      </c>
      <c r="G177" s="17">
        <f>IFERROR(G176/G172,0)</f>
        <v>0.001907486886</v>
      </c>
      <c r="H177" s="17">
        <f>H176/H172</f>
        <v>0.01086371267</v>
      </c>
    </row>
    <row r="178" ht="15.75" customHeight="1">
      <c r="A178" s="65">
        <v>45689.0</v>
      </c>
      <c r="B178" s="10" t="s">
        <v>26</v>
      </c>
      <c r="C178" s="169">
        <v>915335.68</v>
      </c>
      <c r="D178" s="169">
        <v>190538.14</v>
      </c>
      <c r="E178" s="169">
        <v>1152089.84</v>
      </c>
      <c r="F178" s="169">
        <v>129672.91</v>
      </c>
      <c r="G178" s="167">
        <v>56650.0</v>
      </c>
      <c r="H178" s="167">
        <f>SUM(C178:G178)</f>
        <v>2444286.57</v>
      </c>
    </row>
    <row r="179" ht="15.75" customHeight="1">
      <c r="A179" s="65">
        <v>45689.0</v>
      </c>
      <c r="B179" s="10" t="s">
        <v>28</v>
      </c>
      <c r="C179" s="17">
        <f t="shared" ref="C179:F179" si="97">C175/C178</f>
        <v>0.07801854725</v>
      </c>
      <c r="D179" s="17">
        <f t="shared" si="97"/>
        <v>0.3438101159</v>
      </c>
      <c r="E179" s="17">
        <f t="shared" si="97"/>
        <v>0.3401562677</v>
      </c>
      <c r="F179" s="17">
        <f t="shared" si="97"/>
        <v>0.6216092475</v>
      </c>
      <c r="G179" s="17">
        <f>IFERROR(G175/G178,0)</f>
        <v>0.5011473963</v>
      </c>
      <c r="H179" s="17">
        <f>H175/H178</f>
        <v>0.2609385364</v>
      </c>
    </row>
    <row r="180" ht="15.75" customHeight="1">
      <c r="A180" s="65">
        <v>45689.0</v>
      </c>
      <c r="B180" s="10" t="s">
        <v>15</v>
      </c>
      <c r="C180" s="153">
        <f t="shared" ref="C180:F180" si="98">C178/C175</f>
        <v>12.81746502</v>
      </c>
      <c r="D180" s="153">
        <f t="shared" si="98"/>
        <v>2.908582248</v>
      </c>
      <c r="E180" s="153">
        <f t="shared" si="98"/>
        <v>2.939825295</v>
      </c>
      <c r="F180" s="153">
        <f t="shared" si="98"/>
        <v>1.608727676</v>
      </c>
      <c r="G180" s="20">
        <f>IFERROR(G178/G175,0)</f>
        <v>1.995420923</v>
      </c>
      <c r="H180" s="20">
        <f>H178/H175</f>
        <v>3.832320109</v>
      </c>
    </row>
    <row r="181" ht="15.75" customHeight="1"/>
    <row r="182" ht="15.75" customHeight="1">
      <c r="A182" s="12" t="s">
        <v>0</v>
      </c>
      <c r="B182" s="12" t="s">
        <v>256</v>
      </c>
      <c r="C182" s="12" t="s">
        <v>473</v>
      </c>
      <c r="D182" s="12" t="s">
        <v>468</v>
      </c>
      <c r="E182" s="12" t="s">
        <v>469</v>
      </c>
      <c r="F182" s="12" t="s">
        <v>471</v>
      </c>
      <c r="G182" s="12" t="s">
        <v>470</v>
      </c>
      <c r="H182" s="12" t="s">
        <v>231</v>
      </c>
    </row>
    <row r="183" ht="15.75" customHeight="1">
      <c r="A183" s="65">
        <v>45717.0</v>
      </c>
      <c r="B183" s="10" t="s">
        <v>12</v>
      </c>
      <c r="C183" s="16">
        <v>444715.0</v>
      </c>
      <c r="D183" s="16">
        <v>953975.0</v>
      </c>
      <c r="E183" s="16">
        <v>2473864.0</v>
      </c>
      <c r="F183" s="16">
        <v>350840.0</v>
      </c>
      <c r="G183" s="16">
        <v>472074.0</v>
      </c>
      <c r="H183" s="16">
        <f t="shared" ref="H183:H184" si="99">SUM(C183:G183)</f>
        <v>4695468</v>
      </c>
    </row>
    <row r="184" ht="15.75" customHeight="1">
      <c r="A184" s="65">
        <v>45717.0</v>
      </c>
      <c r="B184" s="10" t="s">
        <v>6</v>
      </c>
      <c r="C184" s="16">
        <v>2443.0</v>
      </c>
      <c r="D184" s="16">
        <v>9723.0</v>
      </c>
      <c r="E184" s="16">
        <v>24037.0</v>
      </c>
      <c r="F184" s="16">
        <v>4532.0</v>
      </c>
      <c r="G184" s="152">
        <v>1502.0</v>
      </c>
      <c r="H184" s="152">
        <f t="shared" si="99"/>
        <v>42237</v>
      </c>
    </row>
    <row r="185" ht="15.75" customHeight="1">
      <c r="A185" s="65">
        <v>45717.0</v>
      </c>
      <c r="B185" s="10" t="s">
        <v>5</v>
      </c>
      <c r="C185" s="17">
        <f t="shared" ref="C185:F185" si="100">C184/C183</f>
        <v>0.005493405889</v>
      </c>
      <c r="D185" s="17">
        <f t="shared" si="100"/>
        <v>0.01019209099</v>
      </c>
      <c r="E185" s="17">
        <f t="shared" si="100"/>
        <v>0.009716378912</v>
      </c>
      <c r="F185" s="17">
        <f t="shared" si="100"/>
        <v>0.01291756926</v>
      </c>
      <c r="G185" s="17">
        <f>IFERROR(G184/G183,0)</f>
        <v>0.003181704563</v>
      </c>
      <c r="H185" s="17">
        <f>H184/H183</f>
        <v>0.008995269481</v>
      </c>
    </row>
    <row r="186" ht="15.75" customHeight="1">
      <c r="A186" s="65">
        <v>45717.0</v>
      </c>
      <c r="B186" s="10" t="s">
        <v>8</v>
      </c>
      <c r="C186" s="168">
        <f t="shared" ref="C186:F186" si="101">C187/C184</f>
        <v>29.49909128</v>
      </c>
      <c r="D186" s="168">
        <f t="shared" si="101"/>
        <v>13.74299907</v>
      </c>
      <c r="E186" s="168">
        <f t="shared" si="101"/>
        <v>21.63147814</v>
      </c>
      <c r="F186" s="168">
        <f t="shared" si="101"/>
        <v>14.68540159</v>
      </c>
      <c r="G186" s="20">
        <f t="shared" ref="G186:H186" si="102">IFERROR(G187/G184,0)</f>
        <v>10.74167776</v>
      </c>
      <c r="H186" s="20">
        <f t="shared" si="102"/>
        <v>19.13804342</v>
      </c>
    </row>
    <row r="187" ht="15.75" customHeight="1">
      <c r="A187" s="65">
        <v>45717.0</v>
      </c>
      <c r="B187" s="10" t="s">
        <v>18</v>
      </c>
      <c r="C187" s="169">
        <v>72066.28</v>
      </c>
      <c r="D187" s="169">
        <v>133623.18</v>
      </c>
      <c r="E187" s="169">
        <v>519955.84</v>
      </c>
      <c r="F187" s="169">
        <v>66554.24</v>
      </c>
      <c r="G187" s="167">
        <v>16134.0</v>
      </c>
      <c r="H187" s="167">
        <f t="shared" ref="H187:H188" si="103">SUM(C187:G187)</f>
        <v>808333.54</v>
      </c>
    </row>
    <row r="188" ht="15.75" customHeight="1">
      <c r="A188" s="65">
        <v>45717.0</v>
      </c>
      <c r="B188" s="10" t="s">
        <v>21</v>
      </c>
      <c r="C188" s="16">
        <v>61.0</v>
      </c>
      <c r="D188" s="16">
        <v>68.0</v>
      </c>
      <c r="E188" s="16">
        <v>288.0</v>
      </c>
      <c r="F188" s="16">
        <v>30.0</v>
      </c>
      <c r="G188" s="16">
        <v>7.0</v>
      </c>
      <c r="H188" s="16">
        <f t="shared" si="103"/>
        <v>454</v>
      </c>
    </row>
    <row r="189" ht="15.75" customHeight="1">
      <c r="A189" s="65">
        <v>45717.0</v>
      </c>
      <c r="B189" s="10" t="s">
        <v>10</v>
      </c>
      <c r="C189" s="170">
        <f t="shared" ref="C189:F189" si="104">C188/C184</f>
        <v>0.02496930004</v>
      </c>
      <c r="D189" s="170">
        <f t="shared" si="104"/>
        <v>0.006993726216</v>
      </c>
      <c r="E189" s="170">
        <f t="shared" si="104"/>
        <v>0.01198152848</v>
      </c>
      <c r="F189" s="170">
        <f t="shared" si="104"/>
        <v>0.006619593998</v>
      </c>
      <c r="G189" s="17">
        <f>IFERROR(G188/G184,0)</f>
        <v>0.00466045273</v>
      </c>
      <c r="H189" s="17">
        <f>H188/H184</f>
        <v>0.01074886947</v>
      </c>
    </row>
    <row r="190" ht="15.75" customHeight="1">
      <c r="A190" s="65">
        <v>45717.0</v>
      </c>
      <c r="B190" s="10" t="s">
        <v>26</v>
      </c>
      <c r="C190" s="169">
        <v>1019974.68</v>
      </c>
      <c r="D190" s="169">
        <v>392080.6</v>
      </c>
      <c r="E190" s="169">
        <v>1819088.39</v>
      </c>
      <c r="F190" s="169">
        <v>86325.48</v>
      </c>
      <c r="G190" s="167">
        <v>135575.0</v>
      </c>
      <c r="H190" s="167">
        <f>SUM(C190:G190)</f>
        <v>3453044.15</v>
      </c>
    </row>
    <row r="191" ht="15.75" customHeight="1">
      <c r="A191" s="65">
        <v>45717.0</v>
      </c>
      <c r="B191" s="10" t="s">
        <v>28</v>
      </c>
      <c r="C191" s="17">
        <f t="shared" ref="C191:F191" si="105">C187/C190</f>
        <v>0.07065496959</v>
      </c>
      <c r="D191" s="17">
        <f t="shared" si="105"/>
        <v>0.3408053854</v>
      </c>
      <c r="E191" s="17">
        <f t="shared" si="105"/>
        <v>0.2858331914</v>
      </c>
      <c r="F191" s="17">
        <f t="shared" si="105"/>
        <v>0.7709686642</v>
      </c>
      <c r="G191" s="17">
        <f>IFERROR(G187/G190,0)</f>
        <v>0.1190042412</v>
      </c>
      <c r="H191" s="17">
        <f>H187/H190</f>
        <v>0.2340930219</v>
      </c>
    </row>
    <row r="192" ht="15.75" customHeight="1">
      <c r="A192" s="65">
        <v>45717.0</v>
      </c>
      <c r="B192" s="10" t="s">
        <v>15</v>
      </c>
      <c r="C192" s="153">
        <f t="shared" ref="C192:F192" si="106">C190/C187</f>
        <v>14.15328611</v>
      </c>
      <c r="D192" s="153">
        <f t="shared" si="106"/>
        <v>2.934225933</v>
      </c>
      <c r="E192" s="153">
        <f t="shared" si="106"/>
        <v>3.498544011</v>
      </c>
      <c r="F192" s="153">
        <f t="shared" si="106"/>
        <v>1.297069578</v>
      </c>
      <c r="G192" s="20">
        <f>IFERROR(G190/G187,0)</f>
        <v>8.403061857</v>
      </c>
      <c r="H192" s="20">
        <f>H190/H187</f>
        <v>4.271806104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14"/>
    <col customWidth="1" min="3" max="3" width="71.29"/>
    <col customWidth="1" min="4" max="4" width="36.71"/>
    <col customWidth="1" min="5" max="5" width="13.29"/>
    <col customWidth="1" min="6" max="6" width="8.71"/>
    <col customWidth="1" min="7" max="7" width="16.29"/>
    <col customWidth="1" min="8" max="26" width="8.71"/>
  </cols>
  <sheetData>
    <row r="1">
      <c r="A1" s="172" t="s">
        <v>479</v>
      </c>
      <c r="B1" s="173" t="s">
        <v>255</v>
      </c>
      <c r="C1" s="174" t="s">
        <v>480</v>
      </c>
      <c r="D1" s="126" t="s">
        <v>287</v>
      </c>
      <c r="E1" s="68" t="s">
        <v>481</v>
      </c>
      <c r="G1" s="174" t="s">
        <v>255</v>
      </c>
    </row>
    <row r="2">
      <c r="A2" s="175" t="s">
        <v>307</v>
      </c>
      <c r="B2" s="176" t="s">
        <v>217</v>
      </c>
      <c r="C2" s="10" t="s">
        <v>482</v>
      </c>
      <c r="D2" s="10" t="s">
        <v>483</v>
      </c>
      <c r="E2" s="68" t="s">
        <v>276</v>
      </c>
      <c r="G2" s="51" t="s">
        <v>128</v>
      </c>
    </row>
    <row r="3">
      <c r="A3" s="175" t="s">
        <v>308</v>
      </c>
      <c r="B3" s="176" t="s">
        <v>217</v>
      </c>
      <c r="C3" s="10" t="s">
        <v>484</v>
      </c>
      <c r="D3" s="10" t="s">
        <v>485</v>
      </c>
      <c r="E3" s="68" t="s">
        <v>276</v>
      </c>
      <c r="G3" s="19" t="s">
        <v>486</v>
      </c>
    </row>
    <row r="4">
      <c r="A4" s="175" t="s">
        <v>314</v>
      </c>
      <c r="B4" s="100" t="s">
        <v>211</v>
      </c>
      <c r="C4" s="10" t="s">
        <v>487</v>
      </c>
      <c r="D4" s="10" t="s">
        <v>488</v>
      </c>
      <c r="E4" s="68" t="s">
        <v>211</v>
      </c>
      <c r="G4" s="19" t="s">
        <v>119</v>
      </c>
    </row>
    <row r="5">
      <c r="A5" s="175" t="s">
        <v>298</v>
      </c>
      <c r="B5" s="176" t="s">
        <v>176</v>
      </c>
      <c r="C5" s="10" t="s">
        <v>489</v>
      </c>
      <c r="D5" s="10" t="s">
        <v>490</v>
      </c>
      <c r="E5" s="68" t="s">
        <v>269</v>
      </c>
      <c r="G5" s="19" t="s">
        <v>110</v>
      </c>
    </row>
    <row r="6">
      <c r="A6" s="175" t="s">
        <v>298</v>
      </c>
      <c r="B6" s="176" t="s">
        <v>176</v>
      </c>
      <c r="C6" s="10" t="s">
        <v>489</v>
      </c>
      <c r="D6" s="10" t="s">
        <v>490</v>
      </c>
      <c r="E6" s="68" t="s">
        <v>269</v>
      </c>
      <c r="G6" s="19" t="s">
        <v>491</v>
      </c>
    </row>
    <row r="7">
      <c r="A7" s="175" t="s">
        <v>291</v>
      </c>
      <c r="B7" s="176" t="s">
        <v>134</v>
      </c>
      <c r="C7" s="10" t="s">
        <v>492</v>
      </c>
      <c r="D7" s="10" t="s">
        <v>493</v>
      </c>
      <c r="E7" s="68" t="s">
        <v>269</v>
      </c>
      <c r="G7" s="19" t="s">
        <v>158</v>
      </c>
    </row>
    <row r="8">
      <c r="A8" s="175" t="s">
        <v>304</v>
      </c>
      <c r="B8" s="176" t="s">
        <v>134</v>
      </c>
      <c r="C8" s="10" t="s">
        <v>494</v>
      </c>
      <c r="D8" s="10" t="s">
        <v>495</v>
      </c>
      <c r="E8" s="68" t="s">
        <v>269</v>
      </c>
      <c r="G8" s="33" t="s">
        <v>341</v>
      </c>
    </row>
    <row r="9">
      <c r="A9" s="175" t="s">
        <v>301</v>
      </c>
      <c r="B9" s="176" t="s">
        <v>134</v>
      </c>
      <c r="C9" s="10" t="s">
        <v>496</v>
      </c>
      <c r="D9" s="10" t="s">
        <v>497</v>
      </c>
      <c r="E9" s="68" t="s">
        <v>269</v>
      </c>
    </row>
    <row r="10">
      <c r="A10" s="175" t="s">
        <v>296</v>
      </c>
      <c r="B10" s="176" t="s">
        <v>134</v>
      </c>
      <c r="C10" s="10" t="s">
        <v>498</v>
      </c>
      <c r="D10" s="10" t="s">
        <v>499</v>
      </c>
      <c r="E10" s="68" t="s">
        <v>269</v>
      </c>
    </row>
    <row r="11">
      <c r="A11" s="175" t="s">
        <v>317</v>
      </c>
      <c r="B11" s="100" t="s">
        <v>232</v>
      </c>
      <c r="C11" s="10" t="s">
        <v>500</v>
      </c>
      <c r="D11" s="10" t="s">
        <v>501</v>
      </c>
      <c r="E11" s="68" t="s">
        <v>267</v>
      </c>
    </row>
    <row r="12">
      <c r="A12" s="175" t="s">
        <v>319</v>
      </c>
      <c r="B12" s="100" t="s">
        <v>232</v>
      </c>
      <c r="C12" s="10" t="s">
        <v>502</v>
      </c>
      <c r="D12" s="10" t="s">
        <v>503</v>
      </c>
      <c r="E12" s="68" t="s">
        <v>267</v>
      </c>
    </row>
    <row r="13">
      <c r="A13" s="175" t="s">
        <v>302</v>
      </c>
      <c r="B13" s="100" t="s">
        <v>232</v>
      </c>
      <c r="C13" s="10" t="s">
        <v>504</v>
      </c>
      <c r="D13" s="10" t="s">
        <v>505</v>
      </c>
      <c r="E13" s="68" t="s">
        <v>267</v>
      </c>
    </row>
    <row r="14">
      <c r="A14" s="175" t="s">
        <v>315</v>
      </c>
      <c r="B14" s="100" t="s">
        <v>232</v>
      </c>
      <c r="C14" s="10" t="s">
        <v>506</v>
      </c>
      <c r="D14" s="10" t="s">
        <v>507</v>
      </c>
      <c r="E14" s="68" t="s">
        <v>267</v>
      </c>
    </row>
    <row r="15">
      <c r="A15" s="175" t="s">
        <v>289</v>
      </c>
      <c r="B15" s="100" t="s">
        <v>232</v>
      </c>
      <c r="C15" s="10" t="s">
        <v>508</v>
      </c>
      <c r="D15" s="10" t="s">
        <v>509</v>
      </c>
      <c r="E15" s="68" t="s">
        <v>267</v>
      </c>
    </row>
    <row r="16">
      <c r="A16" s="175" t="s">
        <v>328</v>
      </c>
      <c r="B16" s="100" t="s">
        <v>285</v>
      </c>
      <c r="C16" s="10" t="s">
        <v>510</v>
      </c>
      <c r="D16" s="10" t="s">
        <v>511</v>
      </c>
      <c r="E16" s="68" t="s">
        <v>285</v>
      </c>
    </row>
    <row r="17">
      <c r="A17" s="175" t="s">
        <v>306</v>
      </c>
      <c r="B17" s="176" t="s">
        <v>176</v>
      </c>
      <c r="C17" s="10" t="s">
        <v>512</v>
      </c>
      <c r="D17" s="10" t="s">
        <v>513</v>
      </c>
      <c r="E17" s="68" t="s">
        <v>275</v>
      </c>
    </row>
    <row r="18">
      <c r="A18" s="175" t="s">
        <v>293</v>
      </c>
      <c r="B18" s="176" t="s">
        <v>140</v>
      </c>
      <c r="C18" s="10" t="s">
        <v>514</v>
      </c>
      <c r="D18" s="10" t="s">
        <v>515</v>
      </c>
      <c r="E18" s="68" t="s">
        <v>275</v>
      </c>
    </row>
    <row r="19">
      <c r="A19" s="175" t="s">
        <v>313</v>
      </c>
      <c r="B19" s="176" t="s">
        <v>140</v>
      </c>
      <c r="C19" s="10" t="s">
        <v>516</v>
      </c>
      <c r="D19" s="10" t="s">
        <v>517</v>
      </c>
      <c r="E19" s="68" t="s">
        <v>275</v>
      </c>
    </row>
    <row r="20">
      <c r="A20" s="175" t="s">
        <v>309</v>
      </c>
      <c r="B20" s="176" t="s">
        <v>140</v>
      </c>
      <c r="C20" s="10" t="s">
        <v>518</v>
      </c>
      <c r="D20" s="10" t="s">
        <v>519</v>
      </c>
      <c r="E20" s="68" t="s">
        <v>275</v>
      </c>
    </row>
    <row r="21" ht="15.75" customHeight="1">
      <c r="A21" s="175" t="s">
        <v>311</v>
      </c>
      <c r="B21" s="176" t="s">
        <v>140</v>
      </c>
      <c r="C21" s="10" t="s">
        <v>520</v>
      </c>
      <c r="D21" s="10" t="s">
        <v>521</v>
      </c>
      <c r="E21" s="68" t="s">
        <v>275</v>
      </c>
    </row>
    <row r="22" ht="15.75" customHeight="1">
      <c r="A22" s="175" t="s">
        <v>342</v>
      </c>
      <c r="B22" s="176" t="s">
        <v>158</v>
      </c>
      <c r="C22" s="10" t="s">
        <v>522</v>
      </c>
      <c r="D22" s="10" t="s">
        <v>523</v>
      </c>
      <c r="E22" s="68" t="s">
        <v>158</v>
      </c>
    </row>
    <row r="23" ht="15.75" customHeight="1">
      <c r="A23" s="175" t="s">
        <v>348</v>
      </c>
      <c r="B23" s="100" t="s">
        <v>395</v>
      </c>
      <c r="C23" s="10" t="s">
        <v>524</v>
      </c>
      <c r="D23" s="10" t="s">
        <v>525</v>
      </c>
      <c r="E23" s="68" t="s">
        <v>294</v>
      </c>
    </row>
    <row r="24" ht="15.75" customHeight="1">
      <c r="A24" s="175" t="s">
        <v>332</v>
      </c>
      <c r="B24" s="176" t="s">
        <v>248</v>
      </c>
      <c r="C24" s="10" t="s">
        <v>526</v>
      </c>
      <c r="D24" s="10" t="s">
        <v>527</v>
      </c>
      <c r="E24" s="68" t="s">
        <v>248</v>
      </c>
    </row>
    <row r="25" ht="15.75" customHeight="1">
      <c r="A25" s="175" t="s">
        <v>335</v>
      </c>
      <c r="B25" s="176" t="s">
        <v>248</v>
      </c>
      <c r="C25" s="10" t="s">
        <v>526</v>
      </c>
      <c r="D25" s="10" t="s">
        <v>528</v>
      </c>
      <c r="E25" s="68" t="s">
        <v>248</v>
      </c>
    </row>
    <row r="26" ht="15.75" customHeight="1">
      <c r="A26" s="175" t="s">
        <v>326</v>
      </c>
      <c r="B26" s="19" t="s">
        <v>170</v>
      </c>
      <c r="C26" s="10" t="s">
        <v>529</v>
      </c>
      <c r="D26" s="10" t="s">
        <v>530</v>
      </c>
      <c r="E26" s="68" t="s">
        <v>170</v>
      </c>
    </row>
    <row r="27" ht="15.75" customHeight="1">
      <c r="A27" s="175" t="s">
        <v>350</v>
      </c>
      <c r="B27" s="176" t="s">
        <v>119</v>
      </c>
      <c r="C27" s="10" t="s">
        <v>531</v>
      </c>
      <c r="D27" s="10" t="s">
        <v>532</v>
      </c>
      <c r="E27" s="68" t="s">
        <v>119</v>
      </c>
    </row>
    <row r="28" ht="15.75" customHeight="1">
      <c r="A28" s="175" t="s">
        <v>324</v>
      </c>
      <c r="B28" s="176" t="s">
        <v>119</v>
      </c>
      <c r="C28" s="10" t="s">
        <v>533</v>
      </c>
      <c r="D28" s="10" t="s">
        <v>534</v>
      </c>
      <c r="E28" s="68" t="s">
        <v>119</v>
      </c>
    </row>
    <row r="29" ht="15.75" customHeight="1">
      <c r="A29" s="175" t="s">
        <v>357</v>
      </c>
      <c r="B29" s="176" t="s">
        <v>119</v>
      </c>
      <c r="C29" s="10" t="s">
        <v>535</v>
      </c>
      <c r="D29" s="10" t="s">
        <v>536</v>
      </c>
      <c r="E29" s="68" t="s">
        <v>119</v>
      </c>
    </row>
    <row r="30" ht="15.75" customHeight="1">
      <c r="A30" s="175" t="s">
        <v>323</v>
      </c>
      <c r="B30" s="176" t="s">
        <v>119</v>
      </c>
      <c r="C30" s="10" t="s">
        <v>537</v>
      </c>
      <c r="D30" s="10" t="s">
        <v>538</v>
      </c>
      <c r="E30" s="68" t="s">
        <v>119</v>
      </c>
    </row>
    <row r="31" ht="15.75" customHeight="1">
      <c r="A31" s="175" t="s">
        <v>316</v>
      </c>
      <c r="B31" s="176" t="s">
        <v>341</v>
      </c>
      <c r="C31" s="10" t="s">
        <v>539</v>
      </c>
      <c r="D31" s="10" t="s">
        <v>540</v>
      </c>
      <c r="E31" s="68" t="s">
        <v>284</v>
      </c>
    </row>
    <row r="32" ht="15.75" customHeight="1">
      <c r="A32" s="10" t="s">
        <v>330</v>
      </c>
      <c r="B32" s="100" t="s">
        <v>152</v>
      </c>
      <c r="C32" s="10" t="s">
        <v>541</v>
      </c>
      <c r="D32" s="10" t="s">
        <v>542</v>
      </c>
      <c r="E32" s="177" t="s">
        <v>286</v>
      </c>
    </row>
    <row r="33" ht="15.75" customHeight="1">
      <c r="A33" s="10" t="s">
        <v>334</v>
      </c>
      <c r="B33" s="176" t="s">
        <v>248</v>
      </c>
      <c r="C33" s="10" t="s">
        <v>543</v>
      </c>
      <c r="D33" s="10" t="s">
        <v>544</v>
      </c>
      <c r="E33" s="68" t="s">
        <v>248</v>
      </c>
    </row>
    <row r="34" ht="15.75" customHeight="1">
      <c r="A34" s="10" t="s">
        <v>337</v>
      </c>
      <c r="B34" s="100" t="s">
        <v>241</v>
      </c>
      <c r="C34" s="10" t="s">
        <v>545</v>
      </c>
      <c r="D34" s="10" t="s">
        <v>546</v>
      </c>
      <c r="E34" s="68" t="s">
        <v>288</v>
      </c>
    </row>
    <row r="35" ht="15.75" customHeight="1">
      <c r="A35" s="10" t="s">
        <v>339</v>
      </c>
      <c r="B35" s="100" t="s">
        <v>241</v>
      </c>
      <c r="C35" s="10" t="s">
        <v>547</v>
      </c>
      <c r="D35" s="10" t="s">
        <v>548</v>
      </c>
      <c r="E35" s="68" t="s">
        <v>290</v>
      </c>
    </row>
    <row r="36" ht="15.75" customHeight="1">
      <c r="A36" s="10" t="s">
        <v>343</v>
      </c>
      <c r="B36" s="176" t="s">
        <v>176</v>
      </c>
      <c r="C36" s="10" t="s">
        <v>549</v>
      </c>
      <c r="D36" s="10" t="s">
        <v>550</v>
      </c>
      <c r="E36" s="177" t="s">
        <v>292</v>
      </c>
    </row>
    <row r="37" ht="15.75" customHeight="1">
      <c r="A37" s="10" t="s">
        <v>344</v>
      </c>
      <c r="B37" s="176" t="s">
        <v>205</v>
      </c>
      <c r="C37" s="10" t="s">
        <v>551</v>
      </c>
      <c r="D37" s="10" t="s">
        <v>552</v>
      </c>
      <c r="E37" s="177" t="s">
        <v>292</v>
      </c>
    </row>
    <row r="38" ht="15.75" customHeight="1">
      <c r="A38" s="10" t="s">
        <v>345</v>
      </c>
      <c r="B38" s="100" t="s">
        <v>241</v>
      </c>
      <c r="C38" s="10" t="s">
        <v>553</v>
      </c>
      <c r="D38" s="10" t="s">
        <v>554</v>
      </c>
      <c r="E38" s="68" t="s">
        <v>288</v>
      </c>
    </row>
    <row r="39" ht="15.75" customHeight="1">
      <c r="A39" s="10" t="s">
        <v>331</v>
      </c>
      <c r="B39" s="176" t="s">
        <v>217</v>
      </c>
      <c r="C39" s="10" t="s">
        <v>555</v>
      </c>
      <c r="D39" s="10" t="s">
        <v>556</v>
      </c>
      <c r="E39" s="68" t="s">
        <v>295</v>
      </c>
    </row>
    <row r="40" ht="15.75" customHeight="1">
      <c r="A40" s="10" t="s">
        <v>333</v>
      </c>
      <c r="B40" s="176" t="s">
        <v>217</v>
      </c>
      <c r="C40" s="10" t="s">
        <v>557</v>
      </c>
      <c r="D40" s="10" t="s">
        <v>558</v>
      </c>
      <c r="E40" s="68" t="s">
        <v>295</v>
      </c>
    </row>
    <row r="41" ht="15.75" customHeight="1">
      <c r="A41" s="10" t="s">
        <v>352</v>
      </c>
      <c r="B41" s="100" t="s">
        <v>341</v>
      </c>
      <c r="C41" s="10" t="s">
        <v>559</v>
      </c>
      <c r="D41" s="10" t="s">
        <v>560</v>
      </c>
      <c r="E41" s="68" t="s">
        <v>158</v>
      </c>
    </row>
    <row r="42" ht="15.75" customHeight="1">
      <c r="A42" s="10" t="s">
        <v>354</v>
      </c>
      <c r="B42" s="100" t="s">
        <v>182</v>
      </c>
      <c r="C42" s="10" t="s">
        <v>561</v>
      </c>
      <c r="D42" s="10" t="s">
        <v>562</v>
      </c>
      <c r="E42" s="177" t="s">
        <v>297</v>
      </c>
    </row>
    <row r="43" ht="15.75" customHeight="1">
      <c r="A43" s="10" t="s">
        <v>358</v>
      </c>
      <c r="B43" s="176" t="s">
        <v>134</v>
      </c>
      <c r="C43" s="10" t="s">
        <v>563</v>
      </c>
      <c r="D43" s="10" t="s">
        <v>564</v>
      </c>
      <c r="E43" s="68" t="s">
        <v>269</v>
      </c>
    </row>
    <row r="44" ht="15.75" customHeight="1">
      <c r="A44" s="10" t="s">
        <v>359</v>
      </c>
      <c r="B44" s="100" t="s">
        <v>182</v>
      </c>
      <c r="C44" s="10" t="s">
        <v>565</v>
      </c>
      <c r="D44" s="10" t="s">
        <v>566</v>
      </c>
      <c r="E44" s="177" t="s">
        <v>297</v>
      </c>
    </row>
    <row r="45" ht="15.75" customHeight="1">
      <c r="A45" s="10" t="s">
        <v>360</v>
      </c>
      <c r="B45" s="100" t="s">
        <v>182</v>
      </c>
      <c r="C45" s="10" t="s">
        <v>567</v>
      </c>
      <c r="D45" s="10" t="s">
        <v>568</v>
      </c>
      <c r="E45" s="177" t="s">
        <v>297</v>
      </c>
    </row>
    <row r="46" ht="15.75" customHeight="1">
      <c r="A46" s="10" t="s">
        <v>361</v>
      </c>
      <c r="B46" s="100" t="s">
        <v>182</v>
      </c>
      <c r="C46" s="10" t="s">
        <v>569</v>
      </c>
      <c r="D46" s="10" t="s">
        <v>570</v>
      </c>
      <c r="E46" s="177" t="s">
        <v>297</v>
      </c>
    </row>
    <row r="47" ht="15.75" customHeight="1">
      <c r="A47" s="10" t="s">
        <v>363</v>
      </c>
      <c r="B47" s="19" t="s">
        <v>170</v>
      </c>
      <c r="C47" s="10" t="s">
        <v>571</v>
      </c>
      <c r="D47" s="10" t="s">
        <v>572</v>
      </c>
      <c r="E47" s="68" t="s">
        <v>170</v>
      </c>
    </row>
    <row r="48" ht="15.75" customHeight="1">
      <c r="A48" s="10" t="s">
        <v>364</v>
      </c>
      <c r="B48" s="176" t="s">
        <v>205</v>
      </c>
      <c r="C48" s="10" t="s">
        <v>573</v>
      </c>
      <c r="D48" s="10" t="s">
        <v>574</v>
      </c>
      <c r="E48" s="177" t="s">
        <v>292</v>
      </c>
    </row>
    <row r="49" ht="15.75" customHeight="1">
      <c r="A49" s="10" t="s">
        <v>365</v>
      </c>
      <c r="B49" s="176" t="s">
        <v>205</v>
      </c>
      <c r="C49" s="10" t="s">
        <v>575</v>
      </c>
      <c r="D49" s="10" t="s">
        <v>576</v>
      </c>
      <c r="E49" s="177" t="s">
        <v>292</v>
      </c>
    </row>
    <row r="50" ht="15.75" customHeight="1">
      <c r="A50" s="10" t="s">
        <v>366</v>
      </c>
      <c r="B50" s="176" t="s">
        <v>205</v>
      </c>
      <c r="C50" s="10" t="s">
        <v>575</v>
      </c>
      <c r="D50" s="10" t="s">
        <v>577</v>
      </c>
      <c r="E50" s="177" t="s">
        <v>292</v>
      </c>
    </row>
    <row r="51" ht="15.75" customHeight="1">
      <c r="A51" s="10" t="s">
        <v>368</v>
      </c>
      <c r="B51" s="176" t="s">
        <v>176</v>
      </c>
      <c r="C51" s="10" t="s">
        <v>578</v>
      </c>
      <c r="D51" s="10" t="s">
        <v>579</v>
      </c>
      <c r="E51" s="68" t="s">
        <v>269</v>
      </c>
    </row>
    <row r="52" ht="15.75" customHeight="1">
      <c r="A52" s="10" t="s">
        <v>370</v>
      </c>
      <c r="B52" s="176" t="s">
        <v>134</v>
      </c>
      <c r="C52" s="10" t="s">
        <v>580</v>
      </c>
      <c r="D52" s="10" t="s">
        <v>581</v>
      </c>
      <c r="E52" s="68" t="s">
        <v>269</v>
      </c>
    </row>
    <row r="53" ht="15.75" customHeight="1">
      <c r="A53" s="10" t="s">
        <v>369</v>
      </c>
      <c r="B53" s="100" t="s">
        <v>182</v>
      </c>
      <c r="C53" s="10" t="s">
        <v>582</v>
      </c>
      <c r="D53" s="10" t="s">
        <v>583</v>
      </c>
      <c r="E53" s="177" t="s">
        <v>297</v>
      </c>
    </row>
    <row r="54" ht="15.75" customHeight="1">
      <c r="A54" s="10" t="s">
        <v>372</v>
      </c>
      <c r="B54" s="100" t="s">
        <v>182</v>
      </c>
      <c r="C54" s="10" t="s">
        <v>584</v>
      </c>
      <c r="D54" s="10" t="s">
        <v>585</v>
      </c>
      <c r="E54" s="177" t="s">
        <v>297</v>
      </c>
    </row>
    <row r="55" ht="15.75" customHeight="1">
      <c r="A55" s="10" t="s">
        <v>338</v>
      </c>
      <c r="B55" s="176" t="s">
        <v>217</v>
      </c>
      <c r="C55" s="10" t="s">
        <v>586</v>
      </c>
      <c r="D55" s="10" t="s">
        <v>587</v>
      </c>
      <c r="E55" s="68" t="s">
        <v>276</v>
      </c>
    </row>
    <row r="56" ht="15.75" customHeight="1">
      <c r="A56" s="10" t="s">
        <v>375</v>
      </c>
      <c r="B56" s="100" t="s">
        <v>230</v>
      </c>
      <c r="C56" s="10" t="s">
        <v>588</v>
      </c>
      <c r="D56" s="10" t="s">
        <v>589</v>
      </c>
      <c r="E56" s="177" t="s">
        <v>299</v>
      </c>
    </row>
    <row r="57" ht="15.75" customHeight="1">
      <c r="A57" s="10" t="s">
        <v>376</v>
      </c>
      <c r="B57" s="176" t="s">
        <v>205</v>
      </c>
      <c r="C57" s="10" t="s">
        <v>590</v>
      </c>
      <c r="D57" s="10" t="s">
        <v>591</v>
      </c>
      <c r="E57" s="177" t="s">
        <v>292</v>
      </c>
    </row>
    <row r="58" ht="15.75" customHeight="1">
      <c r="A58" s="10" t="s">
        <v>377</v>
      </c>
      <c r="B58" s="176" t="s">
        <v>205</v>
      </c>
      <c r="C58" s="10" t="s">
        <v>592</v>
      </c>
      <c r="D58" s="10" t="s">
        <v>593</v>
      </c>
      <c r="E58" s="177" t="s">
        <v>292</v>
      </c>
    </row>
    <row r="59" ht="15.75" customHeight="1">
      <c r="A59" s="10" t="s">
        <v>379</v>
      </c>
      <c r="B59" s="176" t="s">
        <v>134</v>
      </c>
      <c r="C59" s="10" t="s">
        <v>594</v>
      </c>
      <c r="D59" s="10" t="s">
        <v>595</v>
      </c>
      <c r="E59" s="68" t="s">
        <v>269</v>
      </c>
    </row>
    <row r="60" ht="15.75" customHeight="1">
      <c r="A60" s="10" t="s">
        <v>381</v>
      </c>
      <c r="B60" s="176" t="s">
        <v>205</v>
      </c>
      <c r="C60" s="10" t="s">
        <v>596</v>
      </c>
      <c r="D60" s="10" t="s">
        <v>597</v>
      </c>
      <c r="E60" s="177" t="s">
        <v>292</v>
      </c>
    </row>
    <row r="61" ht="15.75" customHeight="1">
      <c r="A61" s="10" t="s">
        <v>383</v>
      </c>
      <c r="B61" s="176" t="s">
        <v>134</v>
      </c>
      <c r="C61" s="10" t="s">
        <v>598</v>
      </c>
      <c r="D61" s="10" t="s">
        <v>599</v>
      </c>
      <c r="E61" s="68" t="s">
        <v>269</v>
      </c>
    </row>
    <row r="62" ht="15.75" customHeight="1">
      <c r="A62" s="10" t="s">
        <v>386</v>
      </c>
      <c r="B62" s="176" t="s">
        <v>134</v>
      </c>
      <c r="C62" s="10" t="s">
        <v>600</v>
      </c>
      <c r="D62" s="10" t="s">
        <v>601</v>
      </c>
      <c r="E62" s="68" t="s">
        <v>269</v>
      </c>
    </row>
    <row r="63" ht="15.75" customHeight="1">
      <c r="A63" s="10" t="s">
        <v>387</v>
      </c>
      <c r="B63" s="100" t="s">
        <v>176</v>
      </c>
      <c r="C63" s="10" t="s">
        <v>602</v>
      </c>
      <c r="D63" s="10" t="s">
        <v>603</v>
      </c>
      <c r="E63" s="177" t="s">
        <v>297</v>
      </c>
    </row>
    <row r="64" ht="15.75" customHeight="1">
      <c r="A64" s="10" t="s">
        <v>374</v>
      </c>
      <c r="B64" s="100" t="s">
        <v>182</v>
      </c>
      <c r="C64" s="10" t="s">
        <v>604</v>
      </c>
      <c r="D64" s="10" t="s">
        <v>605</v>
      </c>
      <c r="E64" s="177" t="s">
        <v>297</v>
      </c>
    </row>
    <row r="65" ht="15.75" customHeight="1">
      <c r="A65" s="10" t="s">
        <v>388</v>
      </c>
      <c r="B65" s="100" t="s">
        <v>230</v>
      </c>
      <c r="C65" s="10" t="s">
        <v>606</v>
      </c>
      <c r="D65" s="10" t="s">
        <v>607</v>
      </c>
      <c r="E65" s="177" t="s">
        <v>299</v>
      </c>
    </row>
    <row r="66" ht="15.75" customHeight="1">
      <c r="A66" s="10" t="s">
        <v>389</v>
      </c>
      <c r="B66" s="100" t="s">
        <v>176</v>
      </c>
      <c r="C66" s="10" t="s">
        <v>608</v>
      </c>
      <c r="D66" s="10" t="s">
        <v>609</v>
      </c>
      <c r="E66" s="68" t="s">
        <v>267</v>
      </c>
    </row>
    <row r="67" ht="15.75" customHeight="1">
      <c r="A67" s="10" t="s">
        <v>362</v>
      </c>
      <c r="B67" s="176" t="s">
        <v>248</v>
      </c>
      <c r="C67" s="10" t="s">
        <v>610</v>
      </c>
      <c r="D67" s="10" t="s">
        <v>611</v>
      </c>
      <c r="E67" s="68" t="s">
        <v>248</v>
      </c>
    </row>
    <row r="68" ht="15.75" customHeight="1">
      <c r="A68" s="10" t="s">
        <v>367</v>
      </c>
      <c r="B68" s="100" t="s">
        <v>182</v>
      </c>
      <c r="C68" s="10" t="s">
        <v>612</v>
      </c>
      <c r="D68" s="10" t="s">
        <v>613</v>
      </c>
      <c r="E68" s="177" t="s">
        <v>297</v>
      </c>
    </row>
    <row r="69" ht="15.75" customHeight="1">
      <c r="A69" s="10" t="s">
        <v>373</v>
      </c>
      <c r="B69" s="100" t="s">
        <v>182</v>
      </c>
      <c r="C69" s="10" t="s">
        <v>614</v>
      </c>
      <c r="D69" s="10" t="s">
        <v>615</v>
      </c>
      <c r="E69" s="177" t="s">
        <v>297</v>
      </c>
    </row>
    <row r="70" ht="15.75" customHeight="1">
      <c r="A70" s="10" t="s">
        <v>382</v>
      </c>
      <c r="B70" s="100" t="s">
        <v>182</v>
      </c>
      <c r="C70" s="10" t="s">
        <v>616</v>
      </c>
      <c r="D70" s="10" t="s">
        <v>617</v>
      </c>
      <c r="E70" s="177" t="s">
        <v>297</v>
      </c>
    </row>
    <row r="71" ht="15.75" customHeight="1">
      <c r="A71" s="10" t="s">
        <v>396</v>
      </c>
      <c r="B71" s="100" t="s">
        <v>230</v>
      </c>
      <c r="C71" s="10" t="s">
        <v>618</v>
      </c>
      <c r="D71" s="10" t="s">
        <v>619</v>
      </c>
      <c r="E71" s="177" t="s">
        <v>299</v>
      </c>
    </row>
    <row r="72" ht="15.75" customHeight="1">
      <c r="A72" s="10" t="s">
        <v>384</v>
      </c>
      <c r="B72" s="100" t="s">
        <v>182</v>
      </c>
      <c r="C72" s="10" t="s">
        <v>620</v>
      </c>
      <c r="D72" s="10" t="s">
        <v>621</v>
      </c>
      <c r="E72" s="177" t="s">
        <v>297</v>
      </c>
    </row>
    <row r="73" ht="15.75" customHeight="1">
      <c r="A73" s="10" t="s">
        <v>398</v>
      </c>
      <c r="B73" s="100" t="s">
        <v>230</v>
      </c>
      <c r="C73" s="10" t="s">
        <v>622</v>
      </c>
      <c r="D73" s="10" t="s">
        <v>623</v>
      </c>
      <c r="E73" s="177" t="s">
        <v>299</v>
      </c>
    </row>
    <row r="74" ht="15.75" customHeight="1">
      <c r="A74" s="10" t="s">
        <v>399</v>
      </c>
      <c r="B74" s="100" t="s">
        <v>176</v>
      </c>
      <c r="C74" s="10" t="s">
        <v>624</v>
      </c>
      <c r="D74" s="10" t="s">
        <v>625</v>
      </c>
      <c r="E74" s="177" t="s">
        <v>297</v>
      </c>
    </row>
    <row r="75" ht="15.75" customHeight="1">
      <c r="A75" s="10" t="s">
        <v>385</v>
      </c>
      <c r="B75" s="100" t="s">
        <v>182</v>
      </c>
      <c r="C75" s="10" t="s">
        <v>626</v>
      </c>
      <c r="D75" s="10" t="s">
        <v>627</v>
      </c>
      <c r="E75" s="177" t="s">
        <v>297</v>
      </c>
    </row>
    <row r="76" ht="15.75" customHeight="1">
      <c r="A76" s="10" t="s">
        <v>403</v>
      </c>
      <c r="B76" s="100" t="s">
        <v>152</v>
      </c>
      <c r="C76" s="10" t="s">
        <v>628</v>
      </c>
      <c r="D76" s="10" t="s">
        <v>629</v>
      </c>
      <c r="E76" s="177" t="s">
        <v>286</v>
      </c>
    </row>
    <row r="77" ht="15.75" customHeight="1">
      <c r="A77" s="10" t="s">
        <v>337</v>
      </c>
      <c r="B77" s="100" t="s">
        <v>241</v>
      </c>
      <c r="C77" s="10" t="s">
        <v>545</v>
      </c>
      <c r="D77" s="10" t="s">
        <v>546</v>
      </c>
      <c r="E77" s="68" t="s">
        <v>288</v>
      </c>
    </row>
    <row r="78" ht="15.75" customHeight="1">
      <c r="A78" s="10" t="s">
        <v>397</v>
      </c>
      <c r="B78" s="176" t="s">
        <v>205</v>
      </c>
      <c r="C78" s="10" t="s">
        <v>630</v>
      </c>
      <c r="D78" s="10" t="s">
        <v>631</v>
      </c>
      <c r="E78" s="177" t="s">
        <v>292</v>
      </c>
    </row>
    <row r="79" ht="15.75" customHeight="1">
      <c r="A79" s="10" t="s">
        <v>400</v>
      </c>
      <c r="B79" s="176" t="s">
        <v>205</v>
      </c>
      <c r="C79" s="10" t="s">
        <v>573</v>
      </c>
      <c r="D79" s="10" t="s">
        <v>632</v>
      </c>
      <c r="E79" s="177" t="s">
        <v>292</v>
      </c>
    </row>
    <row r="80" ht="15.75" customHeight="1">
      <c r="A80" s="10" t="s">
        <v>401</v>
      </c>
      <c r="B80" s="176" t="s">
        <v>134</v>
      </c>
      <c r="C80" s="10" t="s">
        <v>633</v>
      </c>
      <c r="D80" s="10" t="s">
        <v>634</v>
      </c>
      <c r="E80" s="68" t="s">
        <v>269</v>
      </c>
    </row>
    <row r="81" ht="15.75" customHeight="1">
      <c r="A81" s="10" t="s">
        <v>371</v>
      </c>
      <c r="B81" s="100" t="s">
        <v>182</v>
      </c>
      <c r="C81" s="10" t="s">
        <v>635</v>
      </c>
      <c r="D81" s="10" t="s">
        <v>636</v>
      </c>
      <c r="E81" s="177" t="s">
        <v>297</v>
      </c>
    </row>
    <row r="82" ht="15.75" customHeight="1">
      <c r="A82" s="10" t="s">
        <v>402</v>
      </c>
      <c r="B82" s="100" t="s">
        <v>176</v>
      </c>
      <c r="C82" s="10" t="s">
        <v>637</v>
      </c>
      <c r="D82" s="10" t="s">
        <v>638</v>
      </c>
      <c r="E82" s="177" t="s">
        <v>299</v>
      </c>
    </row>
    <row r="83" ht="15.75" customHeight="1">
      <c r="A83" s="10" t="s">
        <v>406</v>
      </c>
      <c r="B83" s="100" t="s">
        <v>232</v>
      </c>
      <c r="C83" s="10" t="s">
        <v>639</v>
      </c>
      <c r="D83" s="10" t="s">
        <v>640</v>
      </c>
      <c r="E83" s="177" t="s">
        <v>267</v>
      </c>
    </row>
    <row r="84" ht="15.75" customHeight="1">
      <c r="A84" s="10" t="s">
        <v>408</v>
      </c>
      <c r="B84" s="100" t="s">
        <v>232</v>
      </c>
      <c r="C84" s="10" t="s">
        <v>641</v>
      </c>
      <c r="D84" s="10" t="s">
        <v>642</v>
      </c>
      <c r="E84" s="177" t="s">
        <v>267</v>
      </c>
    </row>
    <row r="85" ht="15.75" customHeight="1">
      <c r="A85" s="10" t="s">
        <v>412</v>
      </c>
      <c r="B85" s="100" t="s">
        <v>232</v>
      </c>
      <c r="C85" s="10" t="s">
        <v>643</v>
      </c>
      <c r="D85" s="10" t="s">
        <v>644</v>
      </c>
      <c r="E85" s="177" t="s">
        <v>267</v>
      </c>
    </row>
    <row r="86" ht="15.75" customHeight="1">
      <c r="A86" s="10" t="s">
        <v>410</v>
      </c>
      <c r="B86" s="100" t="s">
        <v>232</v>
      </c>
      <c r="C86" s="10" t="s">
        <v>645</v>
      </c>
      <c r="D86" s="10" t="s">
        <v>646</v>
      </c>
      <c r="E86" s="177" t="s">
        <v>267</v>
      </c>
    </row>
    <row r="87" ht="15.75" customHeight="1">
      <c r="A87" s="10" t="s">
        <v>380</v>
      </c>
      <c r="B87" s="100" t="s">
        <v>182</v>
      </c>
      <c r="C87" s="10" t="s">
        <v>647</v>
      </c>
      <c r="D87" s="10" t="s">
        <v>648</v>
      </c>
      <c r="E87" s="177" t="s">
        <v>297</v>
      </c>
    </row>
    <row r="88" ht="15.75" customHeight="1">
      <c r="A88" s="10" t="s">
        <v>414</v>
      </c>
      <c r="B88" s="100" t="s">
        <v>232</v>
      </c>
      <c r="C88" s="10" t="s">
        <v>649</v>
      </c>
      <c r="D88" s="10" t="s">
        <v>650</v>
      </c>
      <c r="E88" s="177" t="s">
        <v>267</v>
      </c>
    </row>
    <row r="89" ht="15.75" customHeight="1">
      <c r="A89" s="10" t="s">
        <v>415</v>
      </c>
      <c r="B89" s="100" t="s">
        <v>232</v>
      </c>
      <c r="C89" s="10" t="s">
        <v>651</v>
      </c>
      <c r="D89" s="178" t="s">
        <v>652</v>
      </c>
      <c r="E89" s="177" t="s">
        <v>267</v>
      </c>
    </row>
    <row r="90" ht="15.75" customHeight="1">
      <c r="A90" s="10" t="s">
        <v>416</v>
      </c>
      <c r="B90" s="100" t="s">
        <v>232</v>
      </c>
      <c r="C90" s="10" t="s">
        <v>653</v>
      </c>
      <c r="D90" s="10" t="s">
        <v>654</v>
      </c>
      <c r="E90" s="177" t="s">
        <v>267</v>
      </c>
    </row>
    <row r="91" ht="15.75" customHeight="1">
      <c r="A91" s="10" t="s">
        <v>417</v>
      </c>
      <c r="B91" s="100" t="s">
        <v>232</v>
      </c>
      <c r="C91" s="10" t="s">
        <v>655</v>
      </c>
      <c r="D91" s="10" t="s">
        <v>656</v>
      </c>
      <c r="E91" s="177" t="s">
        <v>267</v>
      </c>
    </row>
    <row r="92" ht="15.75" customHeight="1">
      <c r="A92" s="10" t="s">
        <v>418</v>
      </c>
      <c r="B92" s="100" t="s">
        <v>232</v>
      </c>
      <c r="C92" s="10" t="s">
        <v>657</v>
      </c>
      <c r="D92" s="10" t="s">
        <v>658</v>
      </c>
      <c r="E92" s="177" t="s">
        <v>267</v>
      </c>
    </row>
    <row r="93" ht="15.75" customHeight="1">
      <c r="A93" s="10" t="s">
        <v>378</v>
      </c>
      <c r="B93" s="100" t="s">
        <v>182</v>
      </c>
      <c r="C93" s="10" t="s">
        <v>659</v>
      </c>
      <c r="D93" s="10" t="s">
        <v>660</v>
      </c>
      <c r="E93" s="177" t="s">
        <v>297</v>
      </c>
    </row>
    <row r="94" ht="15.75" customHeight="1">
      <c r="A94" s="68" t="s">
        <v>390</v>
      </c>
      <c r="B94" s="176" t="s">
        <v>140</v>
      </c>
      <c r="C94" s="68" t="s">
        <v>661</v>
      </c>
      <c r="D94" s="178" t="s">
        <v>662</v>
      </c>
      <c r="E94" s="68" t="s">
        <v>275</v>
      </c>
    </row>
    <row r="95" ht="15.75" customHeight="1">
      <c r="A95" s="68" t="s">
        <v>393</v>
      </c>
      <c r="B95" s="176" t="s">
        <v>140</v>
      </c>
      <c r="C95" s="68" t="s">
        <v>663</v>
      </c>
      <c r="D95" s="10" t="s">
        <v>664</v>
      </c>
      <c r="E95" s="68" t="s">
        <v>275</v>
      </c>
    </row>
    <row r="96" ht="15.75" customHeight="1">
      <c r="A96" s="68" t="s">
        <v>346</v>
      </c>
      <c r="B96" s="107" t="s">
        <v>240</v>
      </c>
      <c r="C96" s="68" t="s">
        <v>665</v>
      </c>
      <c r="D96" s="68" t="s">
        <v>666</v>
      </c>
      <c r="E96" s="68" t="s">
        <v>240</v>
      </c>
    </row>
    <row r="97" ht="15.75" customHeight="1">
      <c r="A97" s="68" t="s">
        <v>337</v>
      </c>
      <c r="B97" s="100" t="s">
        <v>241</v>
      </c>
      <c r="C97" s="68" t="s">
        <v>545</v>
      </c>
      <c r="D97" s="68" t="s">
        <v>546</v>
      </c>
      <c r="E97" s="68" t="s">
        <v>667</v>
      </c>
    </row>
    <row r="98" ht="15.75" customHeight="1">
      <c r="A98" s="68" t="s">
        <v>420</v>
      </c>
      <c r="B98" s="176" t="s">
        <v>176</v>
      </c>
      <c r="C98" s="68" t="s">
        <v>668</v>
      </c>
      <c r="D98" s="68" t="s">
        <v>669</v>
      </c>
      <c r="E98" s="68" t="s">
        <v>275</v>
      </c>
    </row>
    <row r="99" ht="15.75" customHeight="1">
      <c r="A99" s="68" t="s">
        <v>392</v>
      </c>
      <c r="B99" s="176" t="s">
        <v>140</v>
      </c>
      <c r="C99" s="68" t="s">
        <v>670</v>
      </c>
      <c r="D99" s="68" t="s">
        <v>671</v>
      </c>
      <c r="E99" s="68" t="s">
        <v>275</v>
      </c>
    </row>
    <row r="100" ht="15.75" customHeight="1">
      <c r="A100" s="68" t="s">
        <v>394</v>
      </c>
      <c r="B100" s="176" t="s">
        <v>140</v>
      </c>
      <c r="C100" s="68" t="s">
        <v>672</v>
      </c>
      <c r="D100" s="68" t="s">
        <v>673</v>
      </c>
      <c r="E100" s="68" t="s">
        <v>275</v>
      </c>
    </row>
    <row r="101" ht="15.75" customHeight="1">
      <c r="A101" s="68" t="s">
        <v>405</v>
      </c>
      <c r="B101" s="100" t="s">
        <v>230</v>
      </c>
      <c r="C101" s="68" t="s">
        <v>674</v>
      </c>
      <c r="D101" s="68" t="s">
        <v>675</v>
      </c>
      <c r="E101" s="68" t="s">
        <v>299</v>
      </c>
    </row>
    <row r="102" ht="15.75" customHeight="1">
      <c r="A102" s="68" t="s">
        <v>422</v>
      </c>
      <c r="B102" s="100" t="s">
        <v>176</v>
      </c>
      <c r="C102" s="68" t="s">
        <v>676</v>
      </c>
      <c r="D102" s="68" t="s">
        <v>677</v>
      </c>
      <c r="E102" s="68" t="s">
        <v>299</v>
      </c>
    </row>
    <row r="103" ht="15.75" customHeight="1">
      <c r="A103" s="68" t="s">
        <v>407</v>
      </c>
      <c r="B103" s="100" t="s">
        <v>230</v>
      </c>
      <c r="C103" s="68" t="s">
        <v>678</v>
      </c>
      <c r="D103" s="68" t="s">
        <v>679</v>
      </c>
      <c r="E103" s="68" t="s">
        <v>299</v>
      </c>
    </row>
    <row r="104" ht="15.75" customHeight="1">
      <c r="A104" s="68" t="s">
        <v>409</v>
      </c>
      <c r="B104" s="100" t="s">
        <v>230</v>
      </c>
      <c r="C104" s="68" t="s">
        <v>680</v>
      </c>
      <c r="D104" s="68" t="s">
        <v>681</v>
      </c>
      <c r="E104" s="68" t="s">
        <v>299</v>
      </c>
    </row>
    <row r="105" ht="15.75" customHeight="1">
      <c r="A105" s="68" t="s">
        <v>349</v>
      </c>
      <c r="B105" s="100" t="s">
        <v>158</v>
      </c>
      <c r="C105" s="68" t="s">
        <v>682</v>
      </c>
      <c r="D105" s="68" t="e">
        <v>#N/A</v>
      </c>
      <c r="E105" s="68" t="s">
        <v>158</v>
      </c>
    </row>
    <row r="106" ht="15.75" customHeight="1">
      <c r="A106" s="68" t="s">
        <v>351</v>
      </c>
      <c r="B106" s="107" t="s">
        <v>158</v>
      </c>
      <c r="C106" s="68" t="s">
        <v>683</v>
      </c>
      <c r="D106" s="166" t="s">
        <v>684</v>
      </c>
      <c r="E106" s="68" t="s">
        <v>158</v>
      </c>
    </row>
    <row r="107" ht="15.75" customHeight="1">
      <c r="A107" s="68" t="s">
        <v>355</v>
      </c>
      <c r="B107" s="107" t="s">
        <v>158</v>
      </c>
      <c r="C107" s="68" t="s">
        <v>685</v>
      </c>
      <c r="D107" s="68" t="s">
        <v>686</v>
      </c>
      <c r="E107" s="68" t="s">
        <v>158</v>
      </c>
    </row>
    <row r="108" ht="15.75" customHeight="1">
      <c r="A108" s="68" t="s">
        <v>404</v>
      </c>
      <c r="B108" s="100" t="s">
        <v>230</v>
      </c>
      <c r="C108" s="68" t="s">
        <v>687</v>
      </c>
      <c r="D108" s="68" t="s">
        <v>688</v>
      </c>
      <c r="E108" s="68" t="s">
        <v>299</v>
      </c>
    </row>
    <row r="109" ht="15.75" customHeight="1">
      <c r="A109" s="68" t="s">
        <v>325</v>
      </c>
      <c r="B109" s="100" t="s">
        <v>211</v>
      </c>
      <c r="C109" s="68" t="s">
        <v>689</v>
      </c>
      <c r="D109" s="68" t="s">
        <v>690</v>
      </c>
      <c r="E109" s="68" t="s">
        <v>211</v>
      </c>
    </row>
    <row r="110" ht="15.75" customHeight="1">
      <c r="A110" s="68" t="s">
        <v>353</v>
      </c>
      <c r="B110" s="107" t="s">
        <v>158</v>
      </c>
      <c r="C110" s="68" t="s">
        <v>691</v>
      </c>
      <c r="D110" s="68" t="s">
        <v>692</v>
      </c>
      <c r="E110" s="68" t="s">
        <v>158</v>
      </c>
    </row>
    <row r="111" ht="15.75" customHeight="1">
      <c r="A111" s="68" t="s">
        <v>347</v>
      </c>
      <c r="B111" s="107" t="s">
        <v>310</v>
      </c>
      <c r="C111" s="68" t="s">
        <v>693</v>
      </c>
      <c r="D111" s="68" t="s">
        <v>694</v>
      </c>
      <c r="E111" s="68" t="s">
        <v>303</v>
      </c>
    </row>
    <row r="112" ht="15.75" customHeight="1">
      <c r="A112" s="68" t="s">
        <v>336</v>
      </c>
      <c r="B112" s="100" t="s">
        <v>217</v>
      </c>
      <c r="C112" s="68" t="s">
        <v>695</v>
      </c>
      <c r="D112" s="68" t="s">
        <v>696</v>
      </c>
      <c r="E112" s="100" t="s">
        <v>217</v>
      </c>
    </row>
    <row r="113" ht="15.75" customHeight="1">
      <c r="A113" s="68" t="s">
        <v>422</v>
      </c>
      <c r="B113" s="100" t="s">
        <v>176</v>
      </c>
      <c r="C113" s="68" t="s">
        <v>697</v>
      </c>
      <c r="D113" s="68" t="s">
        <v>677</v>
      </c>
      <c r="E113" s="68" t="s">
        <v>299</v>
      </c>
    </row>
    <row r="114" ht="15.75" customHeight="1">
      <c r="A114" s="68" t="s">
        <v>340</v>
      </c>
      <c r="B114" s="100" t="s">
        <v>217</v>
      </c>
      <c r="C114" s="68" t="s">
        <v>698</v>
      </c>
      <c r="D114" s="68" t="s">
        <v>699</v>
      </c>
      <c r="E114" s="68" t="s">
        <v>276</v>
      </c>
    </row>
    <row r="115" ht="15.75" customHeight="1">
      <c r="A115" s="68" t="s">
        <v>425</v>
      </c>
      <c r="B115" s="107" t="s">
        <v>119</v>
      </c>
      <c r="C115" s="68" t="s">
        <v>700</v>
      </c>
      <c r="D115" s="68" t="s">
        <v>701</v>
      </c>
      <c r="E115" s="68" t="s">
        <v>119</v>
      </c>
    </row>
    <row r="116" ht="15.75" customHeight="1">
      <c r="A116" s="68" t="s">
        <v>428</v>
      </c>
      <c r="B116" s="107" t="s">
        <v>119</v>
      </c>
      <c r="C116" s="68" t="s">
        <v>702</v>
      </c>
      <c r="D116" s="166" t="s">
        <v>703</v>
      </c>
      <c r="E116" s="68" t="s">
        <v>119</v>
      </c>
    </row>
    <row r="117" ht="15.75" customHeight="1">
      <c r="A117" s="68" t="s">
        <v>431</v>
      </c>
      <c r="B117" s="107" t="s">
        <v>119</v>
      </c>
      <c r="C117" s="68" t="s">
        <v>704</v>
      </c>
      <c r="D117" s="68" t="s">
        <v>705</v>
      </c>
      <c r="E117" s="68" t="s">
        <v>119</v>
      </c>
    </row>
    <row r="118" ht="15.75" customHeight="1">
      <c r="A118" s="68" t="s">
        <v>421</v>
      </c>
      <c r="B118" s="100" t="s">
        <v>232</v>
      </c>
      <c r="C118" s="68" t="s">
        <v>706</v>
      </c>
      <c r="D118" s="68" t="s">
        <v>707</v>
      </c>
      <c r="E118" s="68" t="s">
        <v>267</v>
      </c>
    </row>
    <row r="119" ht="15.75" customHeight="1">
      <c r="A119" s="68" t="s">
        <v>411</v>
      </c>
      <c r="B119" s="100" t="s">
        <v>152</v>
      </c>
      <c r="C119" s="68" t="s">
        <v>708</v>
      </c>
      <c r="D119" s="166" t="s">
        <v>709</v>
      </c>
      <c r="E119" s="68" t="s">
        <v>286</v>
      </c>
    </row>
    <row r="120" ht="15.75" customHeight="1">
      <c r="A120" s="68" t="s">
        <v>423</v>
      </c>
      <c r="B120" s="107" t="s">
        <v>413</v>
      </c>
      <c r="C120" s="68" t="s">
        <v>710</v>
      </c>
      <c r="D120" s="68" t="s">
        <v>711</v>
      </c>
      <c r="E120" s="68" t="s">
        <v>305</v>
      </c>
    </row>
    <row r="121" ht="15.75" customHeight="1">
      <c r="A121" s="68" t="s">
        <v>424</v>
      </c>
      <c r="B121" s="107" t="s">
        <v>413</v>
      </c>
      <c r="C121" s="68" t="s">
        <v>712</v>
      </c>
      <c r="D121" s="68" t="s">
        <v>713</v>
      </c>
      <c r="E121" s="68" t="s">
        <v>305</v>
      </c>
    </row>
    <row r="122" ht="15.75" customHeight="1">
      <c r="A122" s="68" t="s">
        <v>426</v>
      </c>
      <c r="B122" s="107" t="s">
        <v>413</v>
      </c>
      <c r="C122" s="68" t="s">
        <v>714</v>
      </c>
      <c r="D122" s="166" t="s">
        <v>715</v>
      </c>
      <c r="E122" s="68" t="s">
        <v>305</v>
      </c>
    </row>
    <row r="123" ht="15.75" customHeight="1">
      <c r="A123" s="68" t="s">
        <v>427</v>
      </c>
      <c r="B123" s="107" t="s">
        <v>413</v>
      </c>
      <c r="C123" s="68" t="s">
        <v>716</v>
      </c>
      <c r="D123" s="68" t="s">
        <v>717</v>
      </c>
      <c r="E123" s="68" t="s">
        <v>305</v>
      </c>
    </row>
    <row r="124" ht="15.75" customHeight="1">
      <c r="A124" s="68" t="s">
        <v>430</v>
      </c>
      <c r="B124" s="107" t="s">
        <v>413</v>
      </c>
      <c r="C124" s="68" t="s">
        <v>718</v>
      </c>
      <c r="D124" s="166" t="s">
        <v>719</v>
      </c>
      <c r="E124" s="68" t="s">
        <v>305</v>
      </c>
    </row>
    <row r="125" ht="15.75" customHeight="1">
      <c r="A125" s="68" t="s">
        <v>327</v>
      </c>
      <c r="B125" s="100" t="s">
        <v>211</v>
      </c>
      <c r="C125" s="68" t="s">
        <v>720</v>
      </c>
      <c r="E125" s="100" t="s">
        <v>211</v>
      </c>
    </row>
    <row r="126" ht="15.75" customHeight="1">
      <c r="A126" s="68" t="s">
        <v>329</v>
      </c>
      <c r="B126" s="100" t="s">
        <v>211</v>
      </c>
      <c r="C126" s="68" t="s">
        <v>721</v>
      </c>
      <c r="E126" s="100" t="s">
        <v>211</v>
      </c>
    </row>
    <row r="127" ht="15.75" customHeight="1">
      <c r="A127" s="68" t="s">
        <v>322</v>
      </c>
      <c r="B127" s="107" t="s">
        <v>321</v>
      </c>
      <c r="C127" s="68" t="s">
        <v>722</v>
      </c>
    </row>
    <row r="128" ht="15.75" customHeight="1">
      <c r="A128" s="68" t="s">
        <v>433</v>
      </c>
      <c r="B128" s="107" t="s">
        <v>429</v>
      </c>
      <c r="C128" s="68" t="s">
        <v>723</v>
      </c>
    </row>
    <row r="129" ht="15.75" customHeight="1">
      <c r="A129" s="68" t="s">
        <v>435</v>
      </c>
      <c r="B129" s="107" t="s">
        <v>429</v>
      </c>
      <c r="C129" s="68" t="s">
        <v>724</v>
      </c>
    </row>
    <row r="130" ht="15.75" customHeight="1">
      <c r="A130" s="68" t="s">
        <v>436</v>
      </c>
      <c r="B130" s="107" t="s">
        <v>429</v>
      </c>
      <c r="C130" s="68" t="s">
        <v>725</v>
      </c>
    </row>
    <row r="131" ht="15.75" customHeight="1">
      <c r="A131" s="68" t="s">
        <v>437</v>
      </c>
      <c r="B131" s="107" t="s">
        <v>429</v>
      </c>
      <c r="C131" s="68" t="s">
        <v>726</v>
      </c>
    </row>
    <row r="132" ht="15.75" customHeight="1">
      <c r="A132" s="68" t="s">
        <v>438</v>
      </c>
      <c r="B132" s="107" t="s">
        <v>429</v>
      </c>
      <c r="C132" s="68" t="s">
        <v>727</v>
      </c>
    </row>
    <row r="133" ht="15.75" customHeight="1">
      <c r="A133" s="68" t="s">
        <v>439</v>
      </c>
      <c r="B133" s="107" t="s">
        <v>429</v>
      </c>
      <c r="C133" s="68" t="s">
        <v>728</v>
      </c>
    </row>
    <row r="134" ht="15.75" customHeight="1">
      <c r="A134" s="68" t="s">
        <v>440</v>
      </c>
      <c r="B134" s="107" t="s">
        <v>429</v>
      </c>
      <c r="C134" s="68" t="s">
        <v>729</v>
      </c>
    </row>
    <row r="135" ht="15.75" customHeight="1">
      <c r="A135" s="68" t="s">
        <v>441</v>
      </c>
      <c r="B135" s="107" t="s">
        <v>429</v>
      </c>
      <c r="C135" s="68" t="s">
        <v>730</v>
      </c>
    </row>
    <row r="136" ht="15.75" customHeight="1">
      <c r="A136" s="68" t="s">
        <v>442</v>
      </c>
      <c r="B136" s="107" t="s">
        <v>429</v>
      </c>
      <c r="C136" s="68" t="s">
        <v>731</v>
      </c>
    </row>
    <row r="137" ht="15.75" customHeight="1">
      <c r="A137" s="68" t="s">
        <v>443</v>
      </c>
      <c r="B137" s="107" t="s">
        <v>429</v>
      </c>
      <c r="C137" s="68" t="s">
        <v>732</v>
      </c>
    </row>
    <row r="138" ht="15.75" customHeight="1">
      <c r="A138" s="179" t="s">
        <v>445</v>
      </c>
      <c r="B138" s="107" t="s">
        <v>240</v>
      </c>
      <c r="C138" s="179" t="s">
        <v>733</v>
      </c>
    </row>
    <row r="139" ht="15.75" customHeight="1">
      <c r="A139" s="179" t="s">
        <v>444</v>
      </c>
      <c r="B139" s="100" t="s">
        <v>211</v>
      </c>
      <c r="C139" s="179" t="s">
        <v>734</v>
      </c>
    </row>
    <row r="140" ht="15.75" customHeight="1">
      <c r="A140" s="68" t="s">
        <v>446</v>
      </c>
      <c r="B140" s="107"/>
      <c r="C140" s="68" t="s">
        <v>735</v>
      </c>
    </row>
    <row r="141" ht="15.75" customHeight="1">
      <c r="A141" s="179" t="s">
        <v>452</v>
      </c>
      <c r="B141" s="107" t="s">
        <v>413</v>
      </c>
      <c r="C141" s="179" t="s">
        <v>736</v>
      </c>
    </row>
    <row r="142" ht="15.75" customHeight="1">
      <c r="A142" s="179" t="s">
        <v>453</v>
      </c>
      <c r="B142" s="107" t="s">
        <v>413</v>
      </c>
      <c r="C142" s="179" t="s">
        <v>737</v>
      </c>
    </row>
    <row r="143" ht="15.75" customHeight="1">
      <c r="A143" s="179" t="s">
        <v>448</v>
      </c>
      <c r="B143" s="107" t="s">
        <v>413</v>
      </c>
      <c r="C143" s="179" t="s">
        <v>738</v>
      </c>
    </row>
    <row r="144" ht="15.75" customHeight="1">
      <c r="A144" s="179" t="s">
        <v>450</v>
      </c>
      <c r="B144" s="107" t="s">
        <v>413</v>
      </c>
      <c r="C144" s="179" t="s">
        <v>739</v>
      </c>
    </row>
    <row r="145" ht="15.75" customHeight="1">
      <c r="A145" s="179" t="s">
        <v>451</v>
      </c>
      <c r="B145" s="107" t="s">
        <v>413</v>
      </c>
      <c r="C145" s="179" t="s">
        <v>740</v>
      </c>
    </row>
    <row r="146" ht="15.75" customHeight="1">
      <c r="A146" s="179" t="s">
        <v>447</v>
      </c>
      <c r="B146" s="107" t="s">
        <v>158</v>
      </c>
      <c r="C146" s="179" t="s">
        <v>741</v>
      </c>
    </row>
    <row r="147" ht="15.75" customHeight="1">
      <c r="A147" s="179" t="s">
        <v>449</v>
      </c>
      <c r="B147" s="107" t="s">
        <v>429</v>
      </c>
      <c r="C147" s="179" t="s">
        <v>725</v>
      </c>
    </row>
    <row r="148" ht="15.75" customHeight="1">
      <c r="B148" s="107"/>
    </row>
    <row r="149" ht="15.75" customHeight="1">
      <c r="B149" s="107"/>
    </row>
    <row r="150" ht="15.75" customHeight="1">
      <c r="B150" s="107"/>
    </row>
    <row r="151" ht="15.75" customHeight="1">
      <c r="B151" s="107"/>
    </row>
    <row r="152" ht="15.75" customHeight="1">
      <c r="B152" s="107"/>
    </row>
    <row r="153" ht="15.75" customHeight="1">
      <c r="B153" s="107"/>
    </row>
    <row r="154" ht="15.75" customHeight="1">
      <c r="B154" s="107"/>
    </row>
    <row r="155" ht="15.75" customHeight="1">
      <c r="B155" s="107"/>
    </row>
    <row r="156" ht="15.75" customHeight="1">
      <c r="B156" s="107"/>
    </row>
    <row r="157" ht="15.75" customHeight="1">
      <c r="B157" s="107"/>
    </row>
    <row r="158" ht="15.75" customHeight="1">
      <c r="B158" s="107"/>
    </row>
    <row r="159" ht="15.75" customHeight="1">
      <c r="B159" s="107"/>
    </row>
    <row r="160" ht="15.75" customHeight="1">
      <c r="B160" s="107"/>
    </row>
    <row r="161" ht="15.75" customHeight="1">
      <c r="B161" s="107"/>
    </row>
    <row r="162" ht="15.75" customHeight="1">
      <c r="B162" s="107"/>
    </row>
    <row r="163" ht="15.75" customHeight="1">
      <c r="B163" s="107"/>
    </row>
    <row r="164" ht="15.75" customHeight="1">
      <c r="B164" s="107"/>
    </row>
    <row r="165" ht="15.75" customHeight="1">
      <c r="B165" s="107"/>
    </row>
    <row r="166" ht="15.75" customHeight="1">
      <c r="B166" s="107"/>
    </row>
    <row r="167" ht="15.75" customHeight="1">
      <c r="B167" s="107"/>
    </row>
    <row r="168" ht="15.75" customHeight="1">
      <c r="B168" s="107"/>
    </row>
    <row r="169" ht="15.75" customHeight="1">
      <c r="B169" s="107"/>
    </row>
    <row r="170" ht="15.75" customHeight="1">
      <c r="B170" s="107"/>
    </row>
    <row r="171" ht="15.75" customHeight="1">
      <c r="B171" s="107"/>
    </row>
    <row r="172" ht="15.75" customHeight="1">
      <c r="B172" s="107"/>
    </row>
    <row r="173" ht="15.75" customHeight="1">
      <c r="B173" s="107"/>
    </row>
    <row r="174" ht="15.75" customHeight="1">
      <c r="B174" s="107"/>
    </row>
    <row r="175" ht="15.75" customHeight="1">
      <c r="B175" s="107"/>
    </row>
    <row r="176" ht="15.75" customHeight="1">
      <c r="B176" s="107"/>
    </row>
    <row r="177" ht="15.75" customHeight="1">
      <c r="B177" s="107"/>
    </row>
    <row r="178" ht="15.75" customHeight="1">
      <c r="B178" s="107"/>
    </row>
    <row r="179" ht="15.75" customHeight="1">
      <c r="B179" s="107"/>
    </row>
    <row r="180" ht="15.75" customHeight="1">
      <c r="B180" s="107"/>
    </row>
    <row r="181" ht="15.75" customHeight="1">
      <c r="B181" s="107"/>
    </row>
    <row r="182" ht="15.75" customHeight="1">
      <c r="B182" s="107"/>
    </row>
    <row r="183" ht="15.75" customHeight="1">
      <c r="B183" s="107"/>
    </row>
    <row r="184" ht="15.75" customHeight="1">
      <c r="B184" s="107"/>
    </row>
    <row r="185" ht="15.75" customHeight="1">
      <c r="B185" s="107"/>
    </row>
    <row r="186" ht="15.75" customHeight="1">
      <c r="B186" s="107"/>
    </row>
    <row r="187" ht="15.75" customHeight="1">
      <c r="B187" s="107"/>
    </row>
    <row r="188" ht="15.75" customHeight="1">
      <c r="B188" s="107"/>
    </row>
    <row r="189" ht="15.75" customHeight="1">
      <c r="B189" s="107"/>
    </row>
    <row r="190" ht="15.75" customHeight="1">
      <c r="B190" s="107"/>
    </row>
    <row r="191" ht="15.75" customHeight="1">
      <c r="B191" s="107"/>
    </row>
    <row r="192" ht="15.75" customHeight="1">
      <c r="B192" s="107"/>
    </row>
    <row r="193" ht="15.75" customHeight="1">
      <c r="B193" s="107"/>
    </row>
    <row r="194" ht="15.75" customHeight="1">
      <c r="B194" s="107"/>
    </row>
    <row r="195" ht="15.75" customHeight="1">
      <c r="B195" s="107"/>
    </row>
    <row r="196" ht="15.75" customHeight="1">
      <c r="B196" s="107"/>
    </row>
    <row r="197" ht="15.75" customHeight="1">
      <c r="B197" s="107"/>
    </row>
    <row r="198" ht="15.75" customHeight="1">
      <c r="B198" s="107"/>
    </row>
    <row r="199" ht="15.75" customHeight="1">
      <c r="B199" s="107"/>
    </row>
    <row r="200" ht="15.75" customHeight="1">
      <c r="B200" s="107"/>
    </row>
    <row r="201" ht="15.75" customHeight="1">
      <c r="B201" s="107"/>
    </row>
    <row r="202" ht="15.75" customHeight="1">
      <c r="B202" s="107"/>
    </row>
    <row r="203" ht="15.75" customHeight="1">
      <c r="B203" s="107"/>
    </row>
    <row r="204" ht="15.75" customHeight="1">
      <c r="B204" s="107"/>
    </row>
    <row r="205" ht="15.75" customHeight="1">
      <c r="B205" s="107"/>
    </row>
    <row r="206" ht="15.75" customHeight="1">
      <c r="B206" s="107"/>
    </row>
    <row r="207" ht="15.75" customHeight="1">
      <c r="B207" s="107"/>
    </row>
    <row r="208" ht="15.75" customHeight="1">
      <c r="B208" s="107"/>
    </row>
    <row r="209" ht="15.75" customHeight="1">
      <c r="B209" s="107"/>
    </row>
    <row r="210" ht="15.75" customHeight="1">
      <c r="B210" s="107"/>
    </row>
    <row r="211" ht="15.75" customHeight="1">
      <c r="B211" s="107"/>
    </row>
    <row r="212" ht="15.75" customHeight="1">
      <c r="B212" s="107"/>
    </row>
    <row r="213" ht="15.75" customHeight="1">
      <c r="B213" s="107"/>
    </row>
    <row r="214" ht="15.75" customHeight="1">
      <c r="B214" s="107"/>
    </row>
    <row r="215" ht="15.75" customHeight="1">
      <c r="B215" s="107"/>
    </row>
    <row r="216" ht="15.75" customHeight="1">
      <c r="B216" s="107"/>
    </row>
    <row r="217" ht="15.75" customHeight="1">
      <c r="B217" s="107"/>
    </row>
    <row r="218" ht="15.75" customHeight="1">
      <c r="B218" s="107"/>
    </row>
    <row r="219" ht="15.75" customHeight="1">
      <c r="B219" s="107"/>
    </row>
    <row r="220" ht="15.75" customHeight="1">
      <c r="B220" s="107"/>
    </row>
    <row r="221" ht="15.75" customHeight="1">
      <c r="B221" s="107"/>
    </row>
    <row r="222" ht="15.75" customHeight="1">
      <c r="B222" s="107"/>
    </row>
    <row r="223" ht="15.75" customHeight="1">
      <c r="B223" s="107"/>
    </row>
    <row r="224" ht="15.75" customHeight="1">
      <c r="B224" s="107"/>
    </row>
    <row r="225" ht="15.75" customHeight="1">
      <c r="B225" s="107"/>
    </row>
    <row r="226" ht="15.75" customHeight="1">
      <c r="B226" s="107"/>
    </row>
    <row r="227" ht="15.75" customHeight="1">
      <c r="B227" s="107"/>
    </row>
    <row r="228" ht="15.75" customHeight="1">
      <c r="B228" s="107"/>
    </row>
    <row r="229" ht="15.75" customHeight="1">
      <c r="B229" s="107"/>
    </row>
    <row r="230" ht="15.75" customHeight="1">
      <c r="B230" s="107"/>
    </row>
    <row r="231" ht="15.75" customHeight="1">
      <c r="B231" s="107"/>
    </row>
    <row r="232" ht="15.75" customHeight="1">
      <c r="B232" s="107"/>
    </row>
    <row r="233" ht="15.75" customHeight="1">
      <c r="B233" s="107"/>
    </row>
    <row r="234" ht="15.75" customHeight="1">
      <c r="B234" s="107"/>
    </row>
    <row r="235" ht="15.75" customHeight="1">
      <c r="B235" s="107"/>
    </row>
    <row r="236" ht="15.75" customHeight="1">
      <c r="B236" s="107"/>
    </row>
    <row r="237" ht="15.75" customHeight="1">
      <c r="B237" s="107"/>
    </row>
    <row r="238" ht="15.75" customHeight="1">
      <c r="B238" s="107"/>
    </row>
    <row r="239" ht="15.75" customHeight="1">
      <c r="B239" s="107"/>
    </row>
    <row r="240" ht="15.75" customHeight="1">
      <c r="B240" s="107"/>
    </row>
    <row r="241" ht="15.75" customHeight="1">
      <c r="B241" s="107"/>
    </row>
    <row r="242" ht="15.75" customHeight="1">
      <c r="B242" s="107"/>
    </row>
    <row r="243" ht="15.75" customHeight="1">
      <c r="B243" s="107"/>
    </row>
    <row r="244" ht="15.75" customHeight="1">
      <c r="B244" s="107"/>
    </row>
    <row r="245" ht="15.75" customHeight="1">
      <c r="B245" s="107"/>
    </row>
    <row r="246" ht="15.75" customHeight="1">
      <c r="B246" s="107"/>
    </row>
    <row r="247" ht="15.75" customHeight="1">
      <c r="B247" s="107"/>
    </row>
    <row r="248" ht="15.75" customHeight="1">
      <c r="B248" s="107"/>
    </row>
    <row r="249" ht="15.75" customHeight="1">
      <c r="B249" s="107"/>
    </row>
    <row r="250" ht="15.75" customHeight="1">
      <c r="B250" s="107"/>
    </row>
    <row r="251" ht="15.75" customHeight="1">
      <c r="B251" s="107"/>
    </row>
    <row r="252" ht="15.75" customHeight="1">
      <c r="B252" s="107"/>
    </row>
    <row r="253" ht="15.75" customHeight="1">
      <c r="B253" s="107"/>
    </row>
    <row r="254" ht="15.75" customHeight="1">
      <c r="B254" s="107"/>
    </row>
    <row r="255" ht="15.75" customHeight="1">
      <c r="B255" s="107"/>
    </row>
    <row r="256" ht="15.75" customHeight="1">
      <c r="B256" s="107"/>
    </row>
    <row r="257" ht="15.75" customHeight="1">
      <c r="B257" s="107"/>
    </row>
    <row r="258" ht="15.75" customHeight="1">
      <c r="B258" s="107"/>
    </row>
    <row r="259" ht="15.75" customHeight="1">
      <c r="B259" s="107"/>
    </row>
    <row r="260" ht="15.75" customHeight="1">
      <c r="B260" s="107"/>
    </row>
    <row r="261" ht="15.75" customHeight="1">
      <c r="B261" s="107"/>
    </row>
    <row r="262" ht="15.75" customHeight="1">
      <c r="B262" s="107"/>
    </row>
    <row r="263" ht="15.75" customHeight="1">
      <c r="B263" s="107"/>
    </row>
    <row r="264" ht="15.75" customHeight="1">
      <c r="B264" s="107"/>
    </row>
    <row r="265" ht="15.75" customHeight="1">
      <c r="B265" s="107"/>
    </row>
    <row r="266" ht="15.75" customHeight="1">
      <c r="B266" s="107"/>
    </row>
    <row r="267" ht="15.75" customHeight="1">
      <c r="B267" s="107"/>
    </row>
    <row r="268" ht="15.75" customHeight="1">
      <c r="B268" s="107"/>
    </row>
    <row r="269" ht="15.75" customHeight="1">
      <c r="B269" s="107"/>
    </row>
    <row r="270" ht="15.75" customHeight="1">
      <c r="B270" s="107"/>
    </row>
    <row r="271" ht="15.75" customHeight="1">
      <c r="B271" s="107"/>
    </row>
    <row r="272" ht="15.75" customHeight="1">
      <c r="B272" s="107"/>
    </row>
    <row r="273" ht="15.75" customHeight="1">
      <c r="B273" s="107"/>
    </row>
    <row r="274" ht="15.75" customHeight="1">
      <c r="B274" s="107"/>
    </row>
    <row r="275" ht="15.75" customHeight="1">
      <c r="B275" s="107"/>
    </row>
    <row r="276" ht="15.75" customHeight="1">
      <c r="B276" s="107"/>
    </row>
    <row r="277" ht="15.75" customHeight="1">
      <c r="B277" s="107"/>
    </row>
    <row r="278" ht="15.75" customHeight="1">
      <c r="B278" s="107"/>
    </row>
    <row r="279" ht="15.75" customHeight="1">
      <c r="B279" s="107"/>
    </row>
    <row r="280" ht="15.75" customHeight="1">
      <c r="B280" s="107"/>
    </row>
    <row r="281" ht="15.75" customHeight="1">
      <c r="B281" s="107"/>
    </row>
    <row r="282" ht="15.75" customHeight="1">
      <c r="B282" s="107"/>
    </row>
    <row r="283" ht="15.75" customHeight="1">
      <c r="B283" s="107"/>
    </row>
    <row r="284" ht="15.75" customHeight="1">
      <c r="B284" s="107"/>
    </row>
    <row r="285" ht="15.75" customHeight="1">
      <c r="B285" s="107"/>
    </row>
    <row r="286" ht="15.75" customHeight="1">
      <c r="B286" s="107"/>
    </row>
    <row r="287" ht="15.75" customHeight="1">
      <c r="B287" s="107"/>
    </row>
    <row r="288" ht="15.75" customHeight="1">
      <c r="B288" s="107"/>
    </row>
    <row r="289" ht="15.75" customHeight="1">
      <c r="B289" s="107"/>
    </row>
    <row r="290" ht="15.75" customHeight="1">
      <c r="B290" s="107"/>
    </row>
    <row r="291" ht="15.75" customHeight="1">
      <c r="B291" s="107"/>
    </row>
    <row r="292" ht="15.75" customHeight="1">
      <c r="B292" s="107"/>
    </row>
    <row r="293" ht="15.75" customHeight="1">
      <c r="B293" s="107"/>
    </row>
    <row r="294" ht="15.75" customHeight="1">
      <c r="B294" s="107"/>
    </row>
    <row r="295" ht="15.75" customHeight="1">
      <c r="B295" s="107"/>
    </row>
    <row r="296" ht="15.75" customHeight="1">
      <c r="B296" s="107"/>
    </row>
    <row r="297" ht="15.75" customHeight="1">
      <c r="B297" s="107"/>
    </row>
    <row r="298" ht="15.75" customHeight="1">
      <c r="B298" s="107"/>
    </row>
    <row r="299" ht="15.75" customHeight="1">
      <c r="B299" s="107"/>
    </row>
    <row r="300" ht="15.75" customHeight="1">
      <c r="B300" s="107"/>
    </row>
    <row r="301" ht="15.75" customHeight="1">
      <c r="B301" s="107"/>
    </row>
    <row r="302" ht="15.75" customHeight="1">
      <c r="B302" s="107"/>
    </row>
    <row r="303" ht="15.75" customHeight="1">
      <c r="B303" s="107"/>
    </row>
    <row r="304" ht="15.75" customHeight="1">
      <c r="B304" s="107"/>
    </row>
    <row r="305" ht="15.75" customHeight="1">
      <c r="B305" s="107"/>
    </row>
    <row r="306" ht="15.75" customHeight="1">
      <c r="B306" s="107"/>
    </row>
    <row r="307" ht="15.75" customHeight="1">
      <c r="B307" s="107"/>
    </row>
    <row r="308" ht="15.75" customHeight="1">
      <c r="B308" s="107"/>
    </row>
    <row r="309" ht="15.75" customHeight="1">
      <c r="B309" s="107"/>
    </row>
    <row r="310" ht="15.75" customHeight="1">
      <c r="B310" s="107"/>
    </row>
    <row r="311" ht="15.75" customHeight="1">
      <c r="B311" s="107"/>
    </row>
    <row r="312" ht="15.75" customHeight="1">
      <c r="B312" s="107"/>
    </row>
    <row r="313" ht="15.75" customHeight="1">
      <c r="B313" s="107"/>
    </row>
    <row r="314" ht="15.75" customHeight="1">
      <c r="B314" s="107"/>
    </row>
    <row r="315" ht="15.75" customHeight="1">
      <c r="B315" s="107"/>
    </row>
    <row r="316" ht="15.75" customHeight="1">
      <c r="B316" s="107"/>
    </row>
    <row r="317" ht="15.75" customHeight="1">
      <c r="B317" s="107"/>
    </row>
    <row r="318" ht="15.75" customHeight="1">
      <c r="B318" s="107"/>
    </row>
    <row r="319" ht="15.75" customHeight="1">
      <c r="B319" s="107"/>
    </row>
    <row r="320" ht="15.75" customHeight="1">
      <c r="B320" s="107"/>
    </row>
    <row r="321" ht="15.75" customHeight="1">
      <c r="B321" s="107"/>
    </row>
    <row r="322" ht="15.75" customHeight="1">
      <c r="B322" s="107"/>
    </row>
    <row r="323" ht="15.75" customHeight="1">
      <c r="B323" s="107"/>
    </row>
    <row r="324" ht="15.75" customHeight="1">
      <c r="B324" s="107"/>
    </row>
    <row r="325" ht="15.75" customHeight="1">
      <c r="B325" s="107"/>
    </row>
    <row r="326" ht="15.75" customHeight="1">
      <c r="B326" s="107"/>
    </row>
    <row r="327" ht="15.75" customHeight="1">
      <c r="B327" s="107"/>
    </row>
    <row r="328" ht="15.75" customHeight="1">
      <c r="B328" s="107"/>
    </row>
    <row r="329" ht="15.75" customHeight="1">
      <c r="B329" s="107"/>
    </row>
    <row r="330" ht="15.75" customHeight="1">
      <c r="B330" s="107"/>
    </row>
    <row r="331" ht="15.75" customHeight="1">
      <c r="B331" s="107"/>
    </row>
    <row r="332" ht="15.75" customHeight="1">
      <c r="B332" s="107"/>
    </row>
    <row r="333" ht="15.75" customHeight="1">
      <c r="B333" s="107"/>
    </row>
    <row r="334" ht="15.75" customHeight="1">
      <c r="B334" s="107"/>
    </row>
    <row r="335" ht="15.75" customHeight="1">
      <c r="B335" s="107"/>
    </row>
    <row r="336" ht="15.75" customHeight="1">
      <c r="B336" s="107"/>
    </row>
    <row r="337" ht="15.75" customHeight="1">
      <c r="B337" s="107"/>
    </row>
    <row r="338" ht="15.75" customHeight="1">
      <c r="B338" s="107"/>
    </row>
    <row r="339" ht="15.75" customHeight="1">
      <c r="B339" s="107"/>
    </row>
    <row r="340" ht="15.75" customHeight="1">
      <c r="B340" s="107"/>
    </row>
    <row r="341" ht="15.75" customHeight="1">
      <c r="B341" s="107"/>
    </row>
    <row r="342" ht="15.75" customHeight="1">
      <c r="B342" s="107"/>
    </row>
    <row r="343" ht="15.75" customHeight="1">
      <c r="B343" s="107"/>
    </row>
    <row r="344" ht="15.75" customHeight="1">
      <c r="B344" s="107"/>
    </row>
    <row r="345" ht="15.75" customHeight="1">
      <c r="B345" s="107"/>
    </row>
    <row r="346" ht="15.75" customHeight="1">
      <c r="B346" s="107"/>
    </row>
    <row r="347" ht="15.75" customHeight="1">
      <c r="B347" s="107"/>
    </row>
    <row r="348" ht="15.75" customHeight="1">
      <c r="B348" s="107"/>
    </row>
    <row r="349" ht="15.75" customHeight="1">
      <c r="B349" s="107"/>
    </row>
    <row r="350" ht="15.75" customHeight="1">
      <c r="B350" s="107"/>
    </row>
    <row r="351" ht="15.75" customHeight="1">
      <c r="B351" s="107"/>
    </row>
    <row r="352" ht="15.75" customHeight="1">
      <c r="B352" s="107"/>
    </row>
    <row r="353" ht="15.75" customHeight="1">
      <c r="B353" s="107"/>
    </row>
    <row r="354" ht="15.75" customHeight="1">
      <c r="B354" s="107"/>
    </row>
    <row r="355" ht="15.75" customHeight="1">
      <c r="B355" s="107"/>
    </row>
    <row r="356" ht="15.75" customHeight="1">
      <c r="B356" s="107"/>
    </row>
    <row r="357" ht="15.75" customHeight="1">
      <c r="B357" s="107"/>
    </row>
    <row r="358" ht="15.75" customHeight="1">
      <c r="B358" s="107"/>
    </row>
    <row r="359" ht="15.75" customHeight="1">
      <c r="B359" s="107"/>
    </row>
    <row r="360" ht="15.75" customHeight="1">
      <c r="B360" s="107"/>
    </row>
    <row r="361" ht="15.75" customHeight="1">
      <c r="B361" s="107"/>
    </row>
    <row r="362" ht="15.75" customHeight="1">
      <c r="B362" s="107"/>
    </row>
    <row r="363" ht="15.75" customHeight="1">
      <c r="B363" s="107"/>
    </row>
    <row r="364" ht="15.75" customHeight="1">
      <c r="B364" s="107"/>
    </row>
    <row r="365" ht="15.75" customHeight="1">
      <c r="B365" s="107"/>
    </row>
    <row r="366" ht="15.75" customHeight="1">
      <c r="B366" s="107"/>
    </row>
    <row r="367" ht="15.75" customHeight="1">
      <c r="B367" s="107"/>
    </row>
    <row r="368" ht="15.75" customHeight="1">
      <c r="B368" s="107"/>
    </row>
    <row r="369" ht="15.75" customHeight="1">
      <c r="B369" s="107"/>
    </row>
    <row r="370" ht="15.75" customHeight="1">
      <c r="B370" s="107"/>
    </row>
    <row r="371" ht="15.75" customHeight="1">
      <c r="B371" s="107"/>
    </row>
    <row r="372" ht="15.75" customHeight="1">
      <c r="B372" s="107"/>
    </row>
    <row r="373" ht="15.75" customHeight="1">
      <c r="B373" s="107"/>
    </row>
    <row r="374" ht="15.75" customHeight="1">
      <c r="B374" s="107"/>
    </row>
    <row r="375" ht="15.75" customHeight="1">
      <c r="B375" s="107"/>
    </row>
    <row r="376" ht="15.75" customHeight="1">
      <c r="B376" s="107"/>
    </row>
    <row r="377" ht="15.75" customHeight="1">
      <c r="B377" s="107"/>
    </row>
    <row r="378" ht="15.75" customHeight="1">
      <c r="B378" s="107"/>
    </row>
    <row r="379" ht="15.75" customHeight="1">
      <c r="B379" s="107"/>
    </row>
    <row r="380" ht="15.75" customHeight="1">
      <c r="B380" s="107"/>
    </row>
    <row r="381" ht="15.75" customHeight="1">
      <c r="B381" s="107"/>
    </row>
    <row r="382" ht="15.75" customHeight="1">
      <c r="B382" s="107"/>
    </row>
    <row r="383" ht="15.75" customHeight="1">
      <c r="B383" s="107"/>
    </row>
    <row r="384" ht="15.75" customHeight="1">
      <c r="B384" s="107"/>
    </row>
    <row r="385" ht="15.75" customHeight="1">
      <c r="B385" s="107"/>
    </row>
    <row r="386" ht="15.75" customHeight="1">
      <c r="B386" s="107"/>
    </row>
    <row r="387" ht="15.75" customHeight="1">
      <c r="B387" s="107"/>
    </row>
    <row r="388" ht="15.75" customHeight="1">
      <c r="B388" s="107"/>
    </row>
    <row r="389" ht="15.75" customHeight="1">
      <c r="B389" s="107"/>
    </row>
    <row r="390" ht="15.75" customHeight="1">
      <c r="B390" s="107"/>
    </row>
    <row r="391" ht="15.75" customHeight="1">
      <c r="B391" s="107"/>
    </row>
    <row r="392" ht="15.75" customHeight="1">
      <c r="B392" s="107"/>
    </row>
    <row r="393" ht="15.75" customHeight="1">
      <c r="B393" s="107"/>
    </row>
    <row r="394" ht="15.75" customHeight="1">
      <c r="B394" s="107"/>
    </row>
    <row r="395" ht="15.75" customHeight="1">
      <c r="B395" s="107"/>
    </row>
    <row r="396" ht="15.75" customHeight="1">
      <c r="B396" s="107"/>
    </row>
    <row r="397" ht="15.75" customHeight="1">
      <c r="B397" s="107"/>
    </row>
    <row r="398" ht="15.75" customHeight="1">
      <c r="B398" s="107"/>
    </row>
    <row r="399" ht="15.75" customHeight="1">
      <c r="B399" s="107"/>
    </row>
    <row r="400" ht="15.75" customHeight="1">
      <c r="B400" s="107"/>
    </row>
    <row r="401" ht="15.75" customHeight="1">
      <c r="B401" s="107"/>
    </row>
    <row r="402" ht="15.75" customHeight="1">
      <c r="B402" s="107"/>
    </row>
    <row r="403" ht="15.75" customHeight="1">
      <c r="B403" s="107"/>
    </row>
    <row r="404" ht="15.75" customHeight="1">
      <c r="B404" s="107"/>
    </row>
    <row r="405" ht="15.75" customHeight="1">
      <c r="B405" s="107"/>
    </row>
    <row r="406" ht="15.75" customHeight="1">
      <c r="B406" s="107"/>
    </row>
    <row r="407" ht="15.75" customHeight="1">
      <c r="B407" s="107"/>
    </row>
    <row r="408" ht="15.75" customHeight="1">
      <c r="B408" s="107"/>
    </row>
    <row r="409" ht="15.75" customHeight="1">
      <c r="B409" s="107"/>
    </row>
    <row r="410" ht="15.75" customHeight="1">
      <c r="B410" s="107"/>
    </row>
    <row r="411" ht="15.75" customHeight="1">
      <c r="B411" s="107"/>
    </row>
    <row r="412" ht="15.75" customHeight="1">
      <c r="B412" s="107"/>
    </row>
    <row r="413" ht="15.75" customHeight="1">
      <c r="B413" s="107"/>
    </row>
    <row r="414" ht="15.75" customHeight="1">
      <c r="B414" s="107"/>
    </row>
    <row r="415" ht="15.75" customHeight="1">
      <c r="B415" s="107"/>
    </row>
    <row r="416" ht="15.75" customHeight="1">
      <c r="B416" s="107"/>
    </row>
    <row r="417" ht="15.75" customHeight="1">
      <c r="B417" s="107"/>
    </row>
    <row r="418" ht="15.75" customHeight="1">
      <c r="B418" s="107"/>
    </row>
    <row r="419" ht="15.75" customHeight="1">
      <c r="B419" s="107"/>
    </row>
    <row r="420" ht="15.75" customHeight="1">
      <c r="B420" s="107"/>
    </row>
    <row r="421" ht="15.75" customHeight="1">
      <c r="B421" s="107"/>
    </row>
    <row r="422" ht="15.75" customHeight="1">
      <c r="B422" s="107"/>
    </row>
    <row r="423" ht="15.75" customHeight="1">
      <c r="B423" s="107"/>
    </row>
    <row r="424" ht="15.75" customHeight="1">
      <c r="B424" s="107"/>
    </row>
    <row r="425" ht="15.75" customHeight="1">
      <c r="B425" s="107"/>
    </row>
    <row r="426" ht="15.75" customHeight="1">
      <c r="B426" s="107"/>
    </row>
    <row r="427" ht="15.75" customHeight="1">
      <c r="B427" s="107"/>
    </row>
    <row r="428" ht="15.75" customHeight="1">
      <c r="B428" s="107"/>
    </row>
    <row r="429" ht="15.75" customHeight="1">
      <c r="B429" s="107"/>
    </row>
    <row r="430" ht="15.75" customHeight="1">
      <c r="B430" s="107"/>
    </row>
    <row r="431" ht="15.75" customHeight="1">
      <c r="B431" s="107"/>
    </row>
    <row r="432" ht="15.75" customHeight="1">
      <c r="B432" s="107"/>
    </row>
    <row r="433" ht="15.75" customHeight="1">
      <c r="B433" s="107"/>
    </row>
    <row r="434" ht="15.75" customHeight="1">
      <c r="B434" s="107"/>
    </row>
    <row r="435" ht="15.75" customHeight="1">
      <c r="B435" s="107"/>
    </row>
    <row r="436" ht="15.75" customHeight="1">
      <c r="B436" s="107"/>
    </row>
    <row r="437" ht="15.75" customHeight="1">
      <c r="B437" s="107"/>
    </row>
    <row r="438" ht="15.75" customHeight="1">
      <c r="B438" s="107"/>
    </row>
    <row r="439" ht="15.75" customHeight="1">
      <c r="B439" s="107"/>
    </row>
    <row r="440" ht="15.75" customHeight="1">
      <c r="B440" s="107"/>
    </row>
    <row r="441" ht="15.75" customHeight="1">
      <c r="B441" s="107"/>
    </row>
    <row r="442" ht="15.75" customHeight="1">
      <c r="B442" s="107"/>
    </row>
    <row r="443" ht="15.75" customHeight="1">
      <c r="B443" s="107"/>
    </row>
    <row r="444" ht="15.75" customHeight="1">
      <c r="B444" s="107"/>
    </row>
    <row r="445" ht="15.75" customHeight="1">
      <c r="B445" s="107"/>
    </row>
    <row r="446" ht="15.75" customHeight="1">
      <c r="B446" s="107"/>
    </row>
    <row r="447" ht="15.75" customHeight="1">
      <c r="B447" s="107"/>
    </row>
    <row r="448" ht="15.75" customHeight="1">
      <c r="B448" s="107"/>
    </row>
    <row r="449" ht="15.75" customHeight="1">
      <c r="B449" s="107"/>
    </row>
    <row r="450" ht="15.75" customHeight="1">
      <c r="B450" s="107"/>
    </row>
    <row r="451" ht="15.75" customHeight="1">
      <c r="B451" s="107"/>
    </row>
    <row r="452" ht="15.75" customHeight="1">
      <c r="B452" s="107"/>
    </row>
    <row r="453" ht="15.75" customHeight="1">
      <c r="B453" s="107"/>
    </row>
    <row r="454" ht="15.75" customHeight="1">
      <c r="B454" s="107"/>
    </row>
    <row r="455" ht="15.75" customHeight="1">
      <c r="B455" s="107"/>
    </row>
    <row r="456" ht="15.75" customHeight="1">
      <c r="B456" s="107"/>
    </row>
    <row r="457" ht="15.75" customHeight="1">
      <c r="B457" s="107"/>
    </row>
    <row r="458" ht="15.75" customHeight="1">
      <c r="B458" s="107"/>
    </row>
    <row r="459" ht="15.75" customHeight="1">
      <c r="B459" s="107"/>
    </row>
    <row r="460" ht="15.75" customHeight="1">
      <c r="B460" s="107"/>
    </row>
    <row r="461" ht="15.75" customHeight="1">
      <c r="B461" s="107"/>
    </row>
    <row r="462" ht="15.75" customHeight="1">
      <c r="B462" s="107"/>
    </row>
    <row r="463" ht="15.75" customHeight="1">
      <c r="B463" s="107"/>
    </row>
    <row r="464" ht="15.75" customHeight="1">
      <c r="B464" s="107"/>
    </row>
    <row r="465" ht="15.75" customHeight="1">
      <c r="B465" s="107"/>
    </row>
    <row r="466" ht="15.75" customHeight="1">
      <c r="B466" s="107"/>
    </row>
    <row r="467" ht="15.75" customHeight="1">
      <c r="B467" s="107"/>
    </row>
    <row r="468" ht="15.75" customHeight="1">
      <c r="B468" s="107"/>
    </row>
    <row r="469" ht="15.75" customHeight="1">
      <c r="B469" s="107"/>
    </row>
    <row r="470" ht="15.75" customHeight="1">
      <c r="B470" s="107"/>
    </row>
    <row r="471" ht="15.75" customHeight="1">
      <c r="B471" s="107"/>
    </row>
    <row r="472" ht="15.75" customHeight="1">
      <c r="B472" s="107"/>
    </row>
    <row r="473" ht="15.75" customHeight="1">
      <c r="B473" s="107"/>
    </row>
    <row r="474" ht="15.75" customHeight="1">
      <c r="B474" s="107"/>
    </row>
    <row r="475" ht="15.75" customHeight="1">
      <c r="B475" s="107"/>
    </row>
    <row r="476" ht="15.75" customHeight="1">
      <c r="B476" s="107"/>
    </row>
    <row r="477" ht="15.75" customHeight="1">
      <c r="B477" s="107"/>
    </row>
    <row r="478" ht="15.75" customHeight="1">
      <c r="B478" s="107"/>
    </row>
    <row r="479" ht="15.75" customHeight="1">
      <c r="B479" s="107"/>
    </row>
    <row r="480" ht="15.75" customHeight="1">
      <c r="B480" s="107"/>
    </row>
    <row r="481" ht="15.75" customHeight="1">
      <c r="B481" s="107"/>
    </row>
    <row r="482" ht="15.75" customHeight="1">
      <c r="B482" s="107"/>
    </row>
    <row r="483" ht="15.75" customHeight="1">
      <c r="B483" s="107"/>
    </row>
    <row r="484" ht="15.75" customHeight="1">
      <c r="B484" s="107"/>
    </row>
    <row r="485" ht="15.75" customHeight="1">
      <c r="B485" s="107"/>
    </row>
    <row r="486" ht="15.75" customHeight="1">
      <c r="B486" s="107"/>
    </row>
    <row r="487" ht="15.75" customHeight="1">
      <c r="B487" s="107"/>
    </row>
    <row r="488" ht="15.75" customHeight="1">
      <c r="B488" s="107"/>
    </row>
    <row r="489" ht="15.75" customHeight="1">
      <c r="B489" s="107"/>
    </row>
    <row r="490" ht="15.75" customHeight="1">
      <c r="B490" s="107"/>
    </row>
    <row r="491" ht="15.75" customHeight="1">
      <c r="B491" s="107"/>
    </row>
    <row r="492" ht="15.75" customHeight="1">
      <c r="B492" s="107"/>
    </row>
    <row r="493" ht="15.75" customHeight="1">
      <c r="B493" s="107"/>
    </row>
    <row r="494" ht="15.75" customHeight="1">
      <c r="B494" s="107"/>
    </row>
    <row r="495" ht="15.75" customHeight="1">
      <c r="B495" s="107"/>
    </row>
    <row r="496" ht="15.75" customHeight="1">
      <c r="B496" s="107"/>
    </row>
    <row r="497" ht="15.75" customHeight="1">
      <c r="B497" s="107"/>
    </row>
    <row r="498" ht="15.75" customHeight="1">
      <c r="B498" s="107"/>
    </row>
    <row r="499" ht="15.75" customHeight="1">
      <c r="B499" s="107"/>
    </row>
    <row r="500" ht="15.75" customHeight="1">
      <c r="B500" s="107"/>
    </row>
    <row r="501" ht="15.75" customHeight="1">
      <c r="B501" s="107"/>
    </row>
    <row r="502" ht="15.75" customHeight="1">
      <c r="B502" s="107"/>
    </row>
    <row r="503" ht="15.75" customHeight="1">
      <c r="B503" s="107"/>
    </row>
    <row r="504" ht="15.75" customHeight="1">
      <c r="B504" s="107"/>
    </row>
    <row r="505" ht="15.75" customHeight="1">
      <c r="B505" s="107"/>
    </row>
    <row r="506" ht="15.75" customHeight="1">
      <c r="B506" s="107"/>
    </row>
    <row r="507" ht="15.75" customHeight="1">
      <c r="B507" s="107"/>
    </row>
    <row r="508" ht="15.75" customHeight="1">
      <c r="B508" s="107"/>
    </row>
    <row r="509" ht="15.75" customHeight="1">
      <c r="B509" s="107"/>
    </row>
    <row r="510" ht="15.75" customHeight="1">
      <c r="B510" s="107"/>
    </row>
    <row r="511" ht="15.75" customHeight="1">
      <c r="B511" s="107"/>
    </row>
    <row r="512" ht="15.75" customHeight="1">
      <c r="B512" s="107"/>
    </row>
    <row r="513" ht="15.75" customHeight="1">
      <c r="B513" s="107"/>
    </row>
    <row r="514" ht="15.75" customHeight="1">
      <c r="B514" s="107"/>
    </row>
    <row r="515" ht="15.75" customHeight="1">
      <c r="B515" s="107"/>
    </row>
    <row r="516" ht="15.75" customHeight="1">
      <c r="B516" s="107"/>
    </row>
    <row r="517" ht="15.75" customHeight="1">
      <c r="B517" s="107"/>
    </row>
    <row r="518" ht="15.75" customHeight="1">
      <c r="B518" s="107"/>
    </row>
    <row r="519" ht="15.75" customHeight="1">
      <c r="B519" s="107"/>
    </row>
    <row r="520" ht="15.75" customHeight="1">
      <c r="B520" s="107"/>
    </row>
    <row r="521" ht="15.75" customHeight="1">
      <c r="B521" s="107"/>
    </row>
    <row r="522" ht="15.75" customHeight="1">
      <c r="B522" s="107"/>
    </row>
    <row r="523" ht="15.75" customHeight="1">
      <c r="B523" s="107"/>
    </row>
    <row r="524" ht="15.75" customHeight="1">
      <c r="B524" s="107"/>
    </row>
    <row r="525" ht="15.75" customHeight="1">
      <c r="B525" s="107"/>
    </row>
    <row r="526" ht="15.75" customHeight="1">
      <c r="B526" s="107"/>
    </row>
    <row r="527" ht="15.75" customHeight="1">
      <c r="B527" s="107"/>
    </row>
    <row r="528" ht="15.75" customHeight="1">
      <c r="B528" s="107"/>
    </row>
    <row r="529" ht="15.75" customHeight="1">
      <c r="B529" s="107"/>
    </row>
    <row r="530" ht="15.75" customHeight="1">
      <c r="B530" s="107"/>
    </row>
    <row r="531" ht="15.75" customHeight="1">
      <c r="B531" s="107"/>
    </row>
    <row r="532" ht="15.75" customHeight="1">
      <c r="B532" s="107"/>
    </row>
    <row r="533" ht="15.75" customHeight="1">
      <c r="B533" s="107"/>
    </row>
    <row r="534" ht="15.75" customHeight="1">
      <c r="B534" s="107"/>
    </row>
    <row r="535" ht="15.75" customHeight="1">
      <c r="B535" s="107"/>
    </row>
    <row r="536" ht="15.75" customHeight="1">
      <c r="B536" s="107"/>
    </row>
    <row r="537" ht="15.75" customHeight="1">
      <c r="B537" s="107"/>
    </row>
    <row r="538" ht="15.75" customHeight="1">
      <c r="B538" s="107"/>
    </row>
    <row r="539" ht="15.75" customHeight="1">
      <c r="B539" s="107"/>
    </row>
    <row r="540" ht="15.75" customHeight="1">
      <c r="B540" s="107"/>
    </row>
    <row r="541" ht="15.75" customHeight="1">
      <c r="B541" s="107"/>
    </row>
    <row r="542" ht="15.75" customHeight="1">
      <c r="B542" s="107"/>
    </row>
    <row r="543" ht="15.75" customHeight="1">
      <c r="B543" s="107"/>
    </row>
    <row r="544" ht="15.75" customHeight="1">
      <c r="B544" s="107"/>
    </row>
    <row r="545" ht="15.75" customHeight="1">
      <c r="B545" s="107"/>
    </row>
    <row r="546" ht="15.75" customHeight="1">
      <c r="B546" s="107"/>
    </row>
    <row r="547" ht="15.75" customHeight="1">
      <c r="B547" s="107"/>
    </row>
    <row r="548" ht="15.75" customHeight="1">
      <c r="B548" s="107"/>
    </row>
    <row r="549" ht="15.75" customHeight="1">
      <c r="B549" s="107"/>
    </row>
    <row r="550" ht="15.75" customHeight="1">
      <c r="B550" s="107"/>
    </row>
    <row r="551" ht="15.75" customHeight="1">
      <c r="B551" s="107"/>
    </row>
    <row r="552" ht="15.75" customHeight="1">
      <c r="B552" s="107"/>
    </row>
    <row r="553" ht="15.75" customHeight="1">
      <c r="B553" s="107"/>
    </row>
    <row r="554" ht="15.75" customHeight="1">
      <c r="B554" s="107"/>
    </row>
    <row r="555" ht="15.75" customHeight="1">
      <c r="B555" s="107"/>
    </row>
    <row r="556" ht="15.75" customHeight="1">
      <c r="B556" s="107"/>
    </row>
    <row r="557" ht="15.75" customHeight="1">
      <c r="B557" s="107"/>
    </row>
    <row r="558" ht="15.75" customHeight="1">
      <c r="B558" s="107"/>
    </row>
    <row r="559" ht="15.75" customHeight="1">
      <c r="B559" s="107"/>
    </row>
    <row r="560" ht="15.75" customHeight="1">
      <c r="B560" s="107"/>
    </row>
    <row r="561" ht="15.75" customHeight="1">
      <c r="B561" s="107"/>
    </row>
    <row r="562" ht="15.75" customHeight="1">
      <c r="B562" s="107"/>
    </row>
    <row r="563" ht="15.75" customHeight="1">
      <c r="B563" s="107"/>
    </row>
    <row r="564" ht="15.75" customHeight="1">
      <c r="B564" s="107"/>
    </row>
    <row r="565" ht="15.75" customHeight="1">
      <c r="B565" s="107"/>
    </row>
    <row r="566" ht="15.75" customHeight="1">
      <c r="B566" s="107"/>
    </row>
    <row r="567" ht="15.75" customHeight="1">
      <c r="B567" s="107"/>
    </row>
    <row r="568" ht="15.75" customHeight="1">
      <c r="B568" s="107"/>
    </row>
    <row r="569" ht="15.75" customHeight="1">
      <c r="B569" s="107"/>
    </row>
    <row r="570" ht="15.75" customHeight="1">
      <c r="B570" s="107"/>
    </row>
    <row r="571" ht="15.75" customHeight="1">
      <c r="B571" s="107"/>
    </row>
    <row r="572" ht="15.75" customHeight="1">
      <c r="B572" s="107"/>
    </row>
    <row r="573" ht="15.75" customHeight="1">
      <c r="B573" s="107"/>
    </row>
    <row r="574" ht="15.75" customHeight="1">
      <c r="B574" s="107"/>
    </row>
    <row r="575" ht="15.75" customHeight="1">
      <c r="B575" s="107"/>
    </row>
    <row r="576" ht="15.75" customHeight="1">
      <c r="B576" s="107"/>
    </row>
    <row r="577" ht="15.75" customHeight="1">
      <c r="B577" s="107"/>
    </row>
    <row r="578" ht="15.75" customHeight="1">
      <c r="B578" s="107"/>
    </row>
    <row r="579" ht="15.75" customHeight="1">
      <c r="B579" s="107"/>
    </row>
    <row r="580" ht="15.75" customHeight="1">
      <c r="B580" s="107"/>
    </row>
    <row r="581" ht="15.75" customHeight="1">
      <c r="B581" s="107"/>
    </row>
    <row r="582" ht="15.75" customHeight="1">
      <c r="B582" s="107"/>
    </row>
    <row r="583" ht="15.75" customHeight="1">
      <c r="B583" s="107"/>
    </row>
    <row r="584" ht="15.75" customHeight="1">
      <c r="B584" s="107"/>
    </row>
    <row r="585" ht="15.75" customHeight="1">
      <c r="B585" s="107"/>
    </row>
    <row r="586" ht="15.75" customHeight="1">
      <c r="B586" s="107"/>
    </row>
    <row r="587" ht="15.75" customHeight="1">
      <c r="B587" s="107"/>
    </row>
    <row r="588" ht="15.75" customHeight="1">
      <c r="B588" s="107"/>
    </row>
    <row r="589" ht="15.75" customHeight="1">
      <c r="B589" s="107"/>
    </row>
    <row r="590" ht="15.75" customHeight="1">
      <c r="B590" s="107"/>
    </row>
    <row r="591" ht="15.75" customHeight="1">
      <c r="B591" s="107"/>
    </row>
    <row r="592" ht="15.75" customHeight="1">
      <c r="B592" s="107"/>
    </row>
    <row r="593" ht="15.75" customHeight="1">
      <c r="B593" s="107"/>
    </row>
    <row r="594" ht="15.75" customHeight="1">
      <c r="B594" s="107"/>
    </row>
    <row r="595" ht="15.75" customHeight="1">
      <c r="B595" s="107"/>
    </row>
    <row r="596" ht="15.75" customHeight="1">
      <c r="B596" s="107"/>
    </row>
    <row r="597" ht="15.75" customHeight="1">
      <c r="B597" s="107"/>
    </row>
    <row r="598" ht="15.75" customHeight="1">
      <c r="B598" s="107"/>
    </row>
    <row r="599" ht="15.75" customHeight="1">
      <c r="B599" s="107"/>
    </row>
    <row r="600" ht="15.75" customHeight="1">
      <c r="B600" s="107"/>
    </row>
    <row r="601" ht="15.75" customHeight="1">
      <c r="B601" s="107"/>
    </row>
    <row r="602" ht="15.75" customHeight="1">
      <c r="B602" s="107"/>
    </row>
    <row r="603" ht="15.75" customHeight="1">
      <c r="B603" s="107"/>
    </row>
    <row r="604" ht="15.75" customHeight="1">
      <c r="B604" s="107"/>
    </row>
    <row r="605" ht="15.75" customHeight="1">
      <c r="B605" s="107"/>
    </row>
    <row r="606" ht="15.75" customHeight="1">
      <c r="B606" s="107"/>
    </row>
    <row r="607" ht="15.75" customHeight="1">
      <c r="B607" s="107"/>
    </row>
    <row r="608" ht="15.75" customHeight="1">
      <c r="B608" s="107"/>
    </row>
    <row r="609" ht="15.75" customHeight="1">
      <c r="B609" s="107"/>
    </row>
    <row r="610" ht="15.75" customHeight="1">
      <c r="B610" s="107"/>
    </row>
    <row r="611" ht="15.75" customHeight="1">
      <c r="B611" s="107"/>
    </row>
    <row r="612" ht="15.75" customHeight="1">
      <c r="B612" s="107"/>
    </row>
    <row r="613" ht="15.75" customHeight="1">
      <c r="B613" s="107"/>
    </row>
    <row r="614" ht="15.75" customHeight="1">
      <c r="B614" s="107"/>
    </row>
    <row r="615" ht="15.75" customHeight="1">
      <c r="B615" s="107"/>
    </row>
    <row r="616" ht="15.75" customHeight="1">
      <c r="B616" s="107"/>
    </row>
    <row r="617" ht="15.75" customHeight="1">
      <c r="B617" s="107"/>
    </row>
    <row r="618" ht="15.75" customHeight="1">
      <c r="B618" s="107"/>
    </row>
    <row r="619" ht="15.75" customHeight="1">
      <c r="B619" s="107"/>
    </row>
    <row r="620" ht="15.75" customHeight="1">
      <c r="B620" s="107"/>
    </row>
    <row r="621" ht="15.75" customHeight="1">
      <c r="B621" s="107"/>
    </row>
    <row r="622" ht="15.75" customHeight="1">
      <c r="B622" s="107"/>
    </row>
    <row r="623" ht="15.75" customHeight="1">
      <c r="B623" s="107"/>
    </row>
    <row r="624" ht="15.75" customHeight="1">
      <c r="B624" s="107"/>
    </row>
    <row r="625" ht="15.75" customHeight="1">
      <c r="B625" s="107"/>
    </row>
    <row r="626" ht="15.75" customHeight="1">
      <c r="B626" s="107"/>
    </row>
    <row r="627" ht="15.75" customHeight="1">
      <c r="B627" s="107"/>
    </row>
    <row r="628" ht="15.75" customHeight="1">
      <c r="B628" s="107"/>
    </row>
    <row r="629" ht="15.75" customHeight="1">
      <c r="B629" s="107"/>
    </row>
    <row r="630" ht="15.75" customHeight="1">
      <c r="B630" s="107"/>
    </row>
    <row r="631" ht="15.75" customHeight="1">
      <c r="B631" s="107"/>
    </row>
    <row r="632" ht="15.75" customHeight="1">
      <c r="B632" s="107"/>
    </row>
    <row r="633" ht="15.75" customHeight="1">
      <c r="B633" s="107"/>
    </row>
    <row r="634" ht="15.75" customHeight="1">
      <c r="B634" s="107"/>
    </row>
    <row r="635" ht="15.75" customHeight="1">
      <c r="B635" s="107"/>
    </row>
    <row r="636" ht="15.75" customHeight="1">
      <c r="B636" s="107"/>
    </row>
    <row r="637" ht="15.75" customHeight="1">
      <c r="B637" s="107"/>
    </row>
    <row r="638" ht="15.75" customHeight="1">
      <c r="B638" s="107"/>
    </row>
    <row r="639" ht="15.75" customHeight="1">
      <c r="B639" s="107"/>
    </row>
    <row r="640" ht="15.75" customHeight="1">
      <c r="B640" s="107"/>
    </row>
    <row r="641" ht="15.75" customHeight="1">
      <c r="B641" s="107"/>
    </row>
    <row r="642" ht="15.75" customHeight="1">
      <c r="B642" s="107"/>
    </row>
    <row r="643" ht="15.75" customHeight="1">
      <c r="B643" s="107"/>
    </row>
    <row r="644" ht="15.75" customHeight="1">
      <c r="B644" s="107"/>
    </row>
    <row r="645" ht="15.75" customHeight="1">
      <c r="B645" s="107"/>
    </row>
    <row r="646" ht="15.75" customHeight="1">
      <c r="B646" s="107"/>
    </row>
    <row r="647" ht="15.75" customHeight="1">
      <c r="B647" s="107"/>
    </row>
    <row r="648" ht="15.75" customHeight="1">
      <c r="B648" s="107"/>
    </row>
    <row r="649" ht="15.75" customHeight="1">
      <c r="B649" s="107"/>
    </row>
    <row r="650" ht="15.75" customHeight="1">
      <c r="B650" s="107"/>
    </row>
    <row r="651" ht="15.75" customHeight="1">
      <c r="B651" s="107"/>
    </row>
    <row r="652" ht="15.75" customHeight="1">
      <c r="B652" s="107"/>
    </row>
    <row r="653" ht="15.75" customHeight="1">
      <c r="B653" s="107"/>
    </row>
    <row r="654" ht="15.75" customHeight="1">
      <c r="B654" s="107"/>
    </row>
    <row r="655" ht="15.75" customHeight="1">
      <c r="B655" s="107"/>
    </row>
    <row r="656" ht="15.75" customHeight="1">
      <c r="B656" s="107"/>
    </row>
    <row r="657" ht="15.75" customHeight="1">
      <c r="B657" s="107"/>
    </row>
    <row r="658" ht="15.75" customHeight="1">
      <c r="B658" s="107"/>
    </row>
    <row r="659" ht="15.75" customHeight="1">
      <c r="B659" s="107"/>
    </row>
    <row r="660" ht="15.75" customHeight="1">
      <c r="B660" s="107"/>
    </row>
    <row r="661" ht="15.75" customHeight="1">
      <c r="B661" s="107"/>
    </row>
    <row r="662" ht="15.75" customHeight="1">
      <c r="B662" s="107"/>
    </row>
    <row r="663" ht="15.75" customHeight="1">
      <c r="B663" s="107"/>
    </row>
    <row r="664" ht="15.75" customHeight="1">
      <c r="B664" s="107"/>
    </row>
    <row r="665" ht="15.75" customHeight="1">
      <c r="B665" s="107"/>
    </row>
    <row r="666" ht="15.75" customHeight="1">
      <c r="B666" s="107"/>
    </row>
    <row r="667" ht="15.75" customHeight="1">
      <c r="B667" s="107"/>
    </row>
    <row r="668" ht="15.75" customHeight="1">
      <c r="B668" s="107"/>
    </row>
    <row r="669" ht="15.75" customHeight="1">
      <c r="B669" s="107"/>
    </row>
    <row r="670" ht="15.75" customHeight="1">
      <c r="B670" s="107"/>
    </row>
    <row r="671" ht="15.75" customHeight="1">
      <c r="B671" s="107"/>
    </row>
    <row r="672" ht="15.75" customHeight="1">
      <c r="B672" s="107"/>
    </row>
    <row r="673" ht="15.75" customHeight="1">
      <c r="B673" s="107"/>
    </row>
    <row r="674" ht="15.75" customHeight="1">
      <c r="B674" s="107"/>
    </row>
    <row r="675" ht="15.75" customHeight="1">
      <c r="B675" s="107"/>
    </row>
    <row r="676" ht="15.75" customHeight="1">
      <c r="B676" s="107"/>
    </row>
    <row r="677" ht="15.75" customHeight="1">
      <c r="B677" s="107"/>
    </row>
    <row r="678" ht="15.75" customHeight="1">
      <c r="B678" s="107"/>
    </row>
    <row r="679" ht="15.75" customHeight="1">
      <c r="B679" s="107"/>
    </row>
    <row r="680" ht="15.75" customHeight="1">
      <c r="B680" s="107"/>
    </row>
    <row r="681" ht="15.75" customHeight="1">
      <c r="B681" s="107"/>
    </row>
    <row r="682" ht="15.75" customHeight="1">
      <c r="B682" s="107"/>
    </row>
    <row r="683" ht="15.75" customHeight="1">
      <c r="B683" s="107"/>
    </row>
    <row r="684" ht="15.75" customHeight="1">
      <c r="B684" s="107"/>
    </row>
    <row r="685" ht="15.75" customHeight="1">
      <c r="B685" s="107"/>
    </row>
    <row r="686" ht="15.75" customHeight="1">
      <c r="B686" s="107"/>
    </row>
    <row r="687" ht="15.75" customHeight="1">
      <c r="B687" s="107"/>
    </row>
    <row r="688" ht="15.75" customHeight="1">
      <c r="B688" s="107"/>
    </row>
    <row r="689" ht="15.75" customHeight="1">
      <c r="B689" s="107"/>
    </row>
    <row r="690" ht="15.75" customHeight="1">
      <c r="B690" s="107"/>
    </row>
    <row r="691" ht="15.75" customHeight="1">
      <c r="B691" s="107"/>
    </row>
    <row r="692" ht="15.75" customHeight="1">
      <c r="B692" s="107"/>
    </row>
    <row r="693" ht="15.75" customHeight="1">
      <c r="B693" s="107"/>
    </row>
    <row r="694" ht="15.75" customHeight="1">
      <c r="B694" s="107"/>
    </row>
    <row r="695" ht="15.75" customHeight="1">
      <c r="B695" s="107"/>
    </row>
    <row r="696" ht="15.75" customHeight="1">
      <c r="B696" s="107"/>
    </row>
    <row r="697" ht="15.75" customHeight="1">
      <c r="B697" s="107"/>
    </row>
    <row r="698" ht="15.75" customHeight="1">
      <c r="B698" s="107"/>
    </row>
    <row r="699" ht="15.75" customHeight="1">
      <c r="B699" s="107"/>
    </row>
    <row r="700" ht="15.75" customHeight="1">
      <c r="B700" s="107"/>
    </row>
    <row r="701" ht="15.75" customHeight="1">
      <c r="B701" s="107"/>
    </row>
    <row r="702" ht="15.75" customHeight="1">
      <c r="B702" s="107"/>
    </row>
    <row r="703" ht="15.75" customHeight="1">
      <c r="B703" s="107"/>
    </row>
    <row r="704" ht="15.75" customHeight="1">
      <c r="B704" s="107"/>
    </row>
    <row r="705" ht="15.75" customHeight="1">
      <c r="B705" s="107"/>
    </row>
    <row r="706" ht="15.75" customHeight="1">
      <c r="B706" s="107"/>
    </row>
    <row r="707" ht="15.75" customHeight="1">
      <c r="B707" s="107"/>
    </row>
    <row r="708" ht="15.75" customHeight="1">
      <c r="B708" s="107"/>
    </row>
    <row r="709" ht="15.75" customHeight="1">
      <c r="B709" s="107"/>
    </row>
    <row r="710" ht="15.75" customHeight="1">
      <c r="B710" s="107"/>
    </row>
    <row r="711" ht="15.75" customHeight="1">
      <c r="B711" s="107"/>
    </row>
    <row r="712" ht="15.75" customHeight="1">
      <c r="B712" s="107"/>
    </row>
    <row r="713" ht="15.75" customHeight="1">
      <c r="B713" s="107"/>
    </row>
    <row r="714" ht="15.75" customHeight="1">
      <c r="B714" s="107"/>
    </row>
    <row r="715" ht="15.75" customHeight="1">
      <c r="B715" s="107"/>
    </row>
    <row r="716" ht="15.75" customHeight="1">
      <c r="B716" s="107"/>
    </row>
    <row r="717" ht="15.75" customHeight="1">
      <c r="B717" s="107"/>
    </row>
    <row r="718" ht="15.75" customHeight="1">
      <c r="B718" s="107"/>
    </row>
    <row r="719" ht="15.75" customHeight="1">
      <c r="B719" s="107"/>
    </row>
    <row r="720" ht="15.75" customHeight="1">
      <c r="B720" s="107"/>
    </row>
    <row r="721" ht="15.75" customHeight="1">
      <c r="B721" s="107"/>
    </row>
    <row r="722" ht="15.75" customHeight="1">
      <c r="B722" s="107"/>
    </row>
    <row r="723" ht="15.75" customHeight="1">
      <c r="B723" s="107"/>
    </row>
    <row r="724" ht="15.75" customHeight="1">
      <c r="B724" s="107"/>
    </row>
    <row r="725" ht="15.75" customHeight="1">
      <c r="B725" s="107"/>
    </row>
    <row r="726" ht="15.75" customHeight="1">
      <c r="B726" s="107"/>
    </row>
    <row r="727" ht="15.75" customHeight="1">
      <c r="B727" s="107"/>
    </row>
    <row r="728" ht="15.75" customHeight="1">
      <c r="B728" s="107"/>
    </row>
    <row r="729" ht="15.75" customHeight="1">
      <c r="B729" s="107"/>
    </row>
    <row r="730" ht="15.75" customHeight="1">
      <c r="B730" s="107"/>
    </row>
    <row r="731" ht="15.75" customHeight="1">
      <c r="B731" s="107"/>
    </row>
    <row r="732" ht="15.75" customHeight="1">
      <c r="B732" s="107"/>
    </row>
    <row r="733" ht="15.75" customHeight="1">
      <c r="B733" s="107"/>
    </row>
    <row r="734" ht="15.75" customHeight="1">
      <c r="B734" s="107"/>
    </row>
    <row r="735" ht="15.75" customHeight="1">
      <c r="B735" s="107"/>
    </row>
    <row r="736" ht="15.75" customHeight="1">
      <c r="B736" s="107"/>
    </row>
    <row r="737" ht="15.75" customHeight="1">
      <c r="B737" s="107"/>
    </row>
    <row r="738" ht="15.75" customHeight="1">
      <c r="B738" s="107"/>
    </row>
    <row r="739" ht="15.75" customHeight="1">
      <c r="B739" s="107"/>
    </row>
    <row r="740" ht="15.75" customHeight="1">
      <c r="B740" s="107"/>
    </row>
    <row r="741" ht="15.75" customHeight="1">
      <c r="B741" s="107"/>
    </row>
    <row r="742" ht="15.75" customHeight="1">
      <c r="B742" s="107"/>
    </row>
    <row r="743" ht="15.75" customHeight="1">
      <c r="B743" s="107"/>
    </row>
    <row r="744" ht="15.75" customHeight="1">
      <c r="B744" s="107"/>
    </row>
    <row r="745" ht="15.75" customHeight="1">
      <c r="B745" s="107"/>
    </row>
    <row r="746" ht="15.75" customHeight="1">
      <c r="B746" s="107"/>
    </row>
    <row r="747" ht="15.75" customHeight="1">
      <c r="B747" s="107"/>
    </row>
    <row r="748" ht="15.75" customHeight="1">
      <c r="B748" s="107"/>
    </row>
    <row r="749" ht="15.75" customHeight="1">
      <c r="B749" s="107"/>
    </row>
    <row r="750" ht="15.75" customHeight="1">
      <c r="B750" s="107"/>
    </row>
    <row r="751" ht="15.75" customHeight="1">
      <c r="B751" s="107"/>
    </row>
    <row r="752" ht="15.75" customHeight="1">
      <c r="B752" s="107"/>
    </row>
    <row r="753" ht="15.75" customHeight="1">
      <c r="B753" s="107"/>
    </row>
    <row r="754" ht="15.75" customHeight="1">
      <c r="B754" s="107"/>
    </row>
    <row r="755" ht="15.75" customHeight="1">
      <c r="B755" s="107"/>
    </row>
    <row r="756" ht="15.75" customHeight="1">
      <c r="B756" s="107"/>
    </row>
    <row r="757" ht="15.75" customHeight="1">
      <c r="B757" s="107"/>
    </row>
    <row r="758" ht="15.75" customHeight="1">
      <c r="B758" s="107"/>
    </row>
    <row r="759" ht="15.75" customHeight="1">
      <c r="B759" s="107"/>
    </row>
    <row r="760" ht="15.75" customHeight="1">
      <c r="B760" s="107"/>
    </row>
    <row r="761" ht="15.75" customHeight="1">
      <c r="B761" s="107"/>
    </row>
    <row r="762" ht="15.75" customHeight="1">
      <c r="B762" s="107"/>
    </row>
    <row r="763" ht="15.75" customHeight="1">
      <c r="B763" s="107"/>
    </row>
    <row r="764" ht="15.75" customHeight="1">
      <c r="B764" s="107"/>
    </row>
    <row r="765" ht="15.75" customHeight="1">
      <c r="B765" s="107"/>
    </row>
    <row r="766" ht="15.75" customHeight="1">
      <c r="B766" s="107"/>
    </row>
    <row r="767" ht="15.75" customHeight="1">
      <c r="B767" s="107"/>
    </row>
    <row r="768" ht="15.75" customHeight="1">
      <c r="B768" s="107"/>
    </row>
    <row r="769" ht="15.75" customHeight="1">
      <c r="B769" s="107"/>
    </row>
    <row r="770" ht="15.75" customHeight="1">
      <c r="B770" s="107"/>
    </row>
    <row r="771" ht="15.75" customHeight="1">
      <c r="B771" s="107"/>
    </row>
    <row r="772" ht="15.75" customHeight="1">
      <c r="B772" s="107"/>
    </row>
    <row r="773" ht="15.75" customHeight="1">
      <c r="B773" s="107"/>
    </row>
    <row r="774" ht="15.75" customHeight="1">
      <c r="B774" s="107"/>
    </row>
    <row r="775" ht="15.75" customHeight="1">
      <c r="B775" s="107"/>
    </row>
    <row r="776" ht="15.75" customHeight="1">
      <c r="B776" s="107"/>
    </row>
    <row r="777" ht="15.75" customHeight="1">
      <c r="B777" s="107"/>
    </row>
    <row r="778" ht="15.75" customHeight="1">
      <c r="B778" s="107"/>
    </row>
    <row r="779" ht="15.75" customHeight="1">
      <c r="B779" s="107"/>
    </row>
    <row r="780" ht="15.75" customHeight="1">
      <c r="B780" s="107"/>
    </row>
    <row r="781" ht="15.75" customHeight="1">
      <c r="B781" s="107"/>
    </row>
    <row r="782" ht="15.75" customHeight="1">
      <c r="B782" s="107"/>
    </row>
    <row r="783" ht="15.75" customHeight="1">
      <c r="B783" s="107"/>
    </row>
    <row r="784" ht="15.75" customHeight="1">
      <c r="B784" s="107"/>
    </row>
    <row r="785" ht="15.75" customHeight="1">
      <c r="B785" s="107"/>
    </row>
    <row r="786" ht="15.75" customHeight="1">
      <c r="B786" s="107"/>
    </row>
    <row r="787" ht="15.75" customHeight="1">
      <c r="B787" s="107"/>
    </row>
    <row r="788" ht="15.75" customHeight="1">
      <c r="B788" s="107"/>
    </row>
    <row r="789" ht="15.75" customHeight="1">
      <c r="B789" s="107"/>
    </row>
    <row r="790" ht="15.75" customHeight="1">
      <c r="B790" s="107"/>
    </row>
    <row r="791" ht="15.75" customHeight="1">
      <c r="B791" s="107"/>
    </row>
    <row r="792" ht="15.75" customHeight="1">
      <c r="B792" s="107"/>
    </row>
    <row r="793" ht="15.75" customHeight="1">
      <c r="B793" s="107"/>
    </row>
    <row r="794" ht="15.75" customHeight="1">
      <c r="B794" s="107"/>
    </row>
    <row r="795" ht="15.75" customHeight="1">
      <c r="B795" s="107"/>
    </row>
    <row r="796" ht="15.75" customHeight="1">
      <c r="B796" s="107"/>
    </row>
    <row r="797" ht="15.75" customHeight="1">
      <c r="B797" s="107"/>
    </row>
    <row r="798" ht="15.75" customHeight="1">
      <c r="B798" s="107"/>
    </row>
    <row r="799" ht="15.75" customHeight="1">
      <c r="B799" s="107"/>
    </row>
    <row r="800" ht="15.75" customHeight="1">
      <c r="B800" s="107"/>
    </row>
    <row r="801" ht="15.75" customHeight="1">
      <c r="B801" s="107"/>
    </row>
    <row r="802" ht="15.75" customHeight="1">
      <c r="B802" s="107"/>
    </row>
    <row r="803" ht="15.75" customHeight="1">
      <c r="B803" s="107"/>
    </row>
    <row r="804" ht="15.75" customHeight="1">
      <c r="B804" s="107"/>
    </row>
    <row r="805" ht="15.75" customHeight="1">
      <c r="B805" s="107"/>
    </row>
    <row r="806" ht="15.75" customHeight="1">
      <c r="B806" s="107"/>
    </row>
    <row r="807" ht="15.75" customHeight="1">
      <c r="B807" s="107"/>
    </row>
    <row r="808" ht="15.75" customHeight="1">
      <c r="B808" s="107"/>
    </row>
    <row r="809" ht="15.75" customHeight="1">
      <c r="B809" s="107"/>
    </row>
    <row r="810" ht="15.75" customHeight="1">
      <c r="B810" s="107"/>
    </row>
    <row r="811" ht="15.75" customHeight="1">
      <c r="B811" s="107"/>
    </row>
    <row r="812" ht="15.75" customHeight="1">
      <c r="B812" s="107"/>
    </row>
    <row r="813" ht="15.75" customHeight="1">
      <c r="B813" s="107"/>
    </row>
    <row r="814" ht="15.75" customHeight="1">
      <c r="B814" s="107"/>
    </row>
    <row r="815" ht="15.75" customHeight="1">
      <c r="B815" s="107"/>
    </row>
    <row r="816" ht="15.75" customHeight="1">
      <c r="B816" s="107"/>
    </row>
    <row r="817" ht="15.75" customHeight="1">
      <c r="B817" s="107"/>
    </row>
    <row r="818" ht="15.75" customHeight="1">
      <c r="B818" s="107"/>
    </row>
    <row r="819" ht="15.75" customHeight="1">
      <c r="B819" s="107"/>
    </row>
    <row r="820" ht="15.75" customHeight="1">
      <c r="B820" s="107"/>
    </row>
    <row r="821" ht="15.75" customHeight="1">
      <c r="B821" s="107"/>
    </row>
    <row r="822" ht="15.75" customHeight="1">
      <c r="B822" s="107"/>
    </row>
    <row r="823" ht="15.75" customHeight="1">
      <c r="B823" s="107"/>
    </row>
    <row r="824" ht="15.75" customHeight="1">
      <c r="B824" s="107"/>
    </row>
    <row r="825" ht="15.75" customHeight="1">
      <c r="B825" s="107"/>
    </row>
    <row r="826" ht="15.75" customHeight="1">
      <c r="B826" s="107"/>
    </row>
    <row r="827" ht="15.75" customHeight="1">
      <c r="B827" s="107"/>
    </row>
    <row r="828" ht="15.75" customHeight="1">
      <c r="B828" s="107"/>
    </row>
    <row r="829" ht="15.75" customHeight="1">
      <c r="B829" s="107"/>
    </row>
    <row r="830" ht="15.75" customHeight="1">
      <c r="B830" s="107"/>
    </row>
    <row r="831" ht="15.75" customHeight="1">
      <c r="B831" s="107"/>
    </row>
    <row r="832" ht="15.75" customHeight="1">
      <c r="B832" s="107"/>
    </row>
    <row r="833" ht="15.75" customHeight="1">
      <c r="B833" s="107"/>
    </row>
    <row r="834" ht="15.75" customHeight="1">
      <c r="B834" s="107"/>
    </row>
    <row r="835" ht="15.75" customHeight="1">
      <c r="B835" s="107"/>
    </row>
    <row r="836" ht="15.75" customHeight="1">
      <c r="B836" s="107"/>
    </row>
    <row r="837" ht="15.75" customHeight="1">
      <c r="B837" s="107"/>
    </row>
    <row r="838" ht="15.75" customHeight="1">
      <c r="B838" s="107"/>
    </row>
    <row r="839" ht="15.75" customHeight="1">
      <c r="B839" s="107"/>
    </row>
    <row r="840" ht="15.75" customHeight="1">
      <c r="B840" s="107"/>
    </row>
    <row r="841" ht="15.75" customHeight="1">
      <c r="B841" s="107"/>
    </row>
    <row r="842" ht="15.75" customHeight="1">
      <c r="B842" s="107"/>
    </row>
    <row r="843" ht="15.75" customHeight="1">
      <c r="B843" s="107"/>
    </row>
    <row r="844" ht="15.75" customHeight="1">
      <c r="B844" s="107"/>
    </row>
    <row r="845" ht="15.75" customHeight="1">
      <c r="B845" s="107"/>
    </row>
    <row r="846" ht="15.75" customHeight="1">
      <c r="B846" s="107"/>
    </row>
    <row r="847" ht="15.75" customHeight="1">
      <c r="B847" s="107"/>
    </row>
    <row r="848" ht="15.75" customHeight="1">
      <c r="B848" s="107"/>
    </row>
    <row r="849" ht="15.75" customHeight="1">
      <c r="B849" s="107"/>
    </row>
    <row r="850" ht="15.75" customHeight="1">
      <c r="B850" s="107"/>
    </row>
    <row r="851" ht="15.75" customHeight="1">
      <c r="B851" s="107"/>
    </row>
    <row r="852" ht="15.75" customHeight="1">
      <c r="B852" s="107"/>
    </row>
    <row r="853" ht="15.75" customHeight="1">
      <c r="B853" s="107"/>
    </row>
    <row r="854" ht="15.75" customHeight="1">
      <c r="B854" s="107"/>
    </row>
    <row r="855" ht="15.75" customHeight="1">
      <c r="B855" s="107"/>
    </row>
    <row r="856" ht="15.75" customHeight="1">
      <c r="B856" s="107"/>
    </row>
    <row r="857" ht="15.75" customHeight="1">
      <c r="B857" s="107"/>
    </row>
    <row r="858" ht="15.75" customHeight="1">
      <c r="B858" s="107"/>
    </row>
    <row r="859" ht="15.75" customHeight="1">
      <c r="B859" s="107"/>
    </row>
    <row r="860" ht="15.75" customHeight="1">
      <c r="B860" s="107"/>
    </row>
    <row r="861" ht="15.75" customHeight="1">
      <c r="B861" s="107"/>
    </row>
    <row r="862" ht="15.75" customHeight="1">
      <c r="B862" s="107"/>
    </row>
    <row r="863" ht="15.75" customHeight="1">
      <c r="B863" s="107"/>
    </row>
    <row r="864" ht="15.75" customHeight="1">
      <c r="B864" s="107"/>
    </row>
    <row r="865" ht="15.75" customHeight="1">
      <c r="B865" s="107"/>
    </row>
    <row r="866" ht="15.75" customHeight="1">
      <c r="B866" s="107"/>
    </row>
    <row r="867" ht="15.75" customHeight="1">
      <c r="B867" s="107"/>
    </row>
    <row r="868" ht="15.75" customHeight="1">
      <c r="B868" s="107"/>
    </row>
    <row r="869" ht="15.75" customHeight="1">
      <c r="B869" s="107"/>
    </row>
    <row r="870" ht="15.75" customHeight="1">
      <c r="B870" s="107"/>
    </row>
    <row r="871" ht="15.75" customHeight="1">
      <c r="B871" s="107"/>
    </row>
    <row r="872" ht="15.75" customHeight="1">
      <c r="B872" s="107"/>
    </row>
    <row r="873" ht="15.75" customHeight="1">
      <c r="B873" s="107"/>
    </row>
    <row r="874" ht="15.75" customHeight="1">
      <c r="B874" s="107"/>
    </row>
    <row r="875" ht="15.75" customHeight="1">
      <c r="B875" s="107"/>
    </row>
    <row r="876" ht="15.75" customHeight="1">
      <c r="B876" s="107"/>
    </row>
    <row r="877" ht="15.75" customHeight="1">
      <c r="B877" s="107"/>
    </row>
    <row r="878" ht="15.75" customHeight="1">
      <c r="B878" s="107"/>
    </row>
    <row r="879" ht="15.75" customHeight="1">
      <c r="B879" s="107"/>
    </row>
    <row r="880" ht="15.75" customHeight="1">
      <c r="B880" s="107"/>
    </row>
    <row r="881" ht="15.75" customHeight="1">
      <c r="B881" s="107"/>
    </row>
    <row r="882" ht="15.75" customHeight="1">
      <c r="B882" s="107"/>
    </row>
    <row r="883" ht="15.75" customHeight="1">
      <c r="B883" s="107"/>
    </row>
    <row r="884" ht="15.75" customHeight="1">
      <c r="B884" s="107"/>
    </row>
    <row r="885" ht="15.75" customHeight="1">
      <c r="B885" s="107"/>
    </row>
    <row r="886" ht="15.75" customHeight="1">
      <c r="B886" s="107"/>
    </row>
    <row r="887" ht="15.75" customHeight="1">
      <c r="B887" s="107"/>
    </row>
    <row r="888" ht="15.75" customHeight="1">
      <c r="B888" s="107"/>
    </row>
    <row r="889" ht="15.75" customHeight="1">
      <c r="B889" s="107"/>
    </row>
    <row r="890" ht="15.75" customHeight="1">
      <c r="B890" s="107"/>
    </row>
    <row r="891" ht="15.75" customHeight="1">
      <c r="B891" s="107"/>
    </row>
    <row r="892" ht="15.75" customHeight="1">
      <c r="B892" s="107"/>
    </row>
    <row r="893" ht="15.75" customHeight="1">
      <c r="B893" s="107"/>
    </row>
    <row r="894" ht="15.75" customHeight="1">
      <c r="B894" s="107"/>
    </row>
    <row r="895" ht="15.75" customHeight="1">
      <c r="B895" s="107"/>
    </row>
    <row r="896" ht="15.75" customHeight="1">
      <c r="B896" s="107"/>
    </row>
    <row r="897" ht="15.75" customHeight="1">
      <c r="B897" s="107"/>
    </row>
    <row r="898" ht="15.75" customHeight="1">
      <c r="B898" s="107"/>
    </row>
    <row r="899" ht="15.75" customHeight="1">
      <c r="B899" s="107"/>
    </row>
    <row r="900" ht="15.75" customHeight="1">
      <c r="B900" s="107"/>
    </row>
    <row r="901" ht="15.75" customHeight="1">
      <c r="B901" s="107"/>
    </row>
    <row r="902" ht="15.75" customHeight="1">
      <c r="B902" s="107"/>
    </row>
    <row r="903" ht="15.75" customHeight="1">
      <c r="B903" s="107"/>
    </row>
    <row r="904" ht="15.75" customHeight="1">
      <c r="B904" s="107"/>
    </row>
    <row r="905" ht="15.75" customHeight="1">
      <c r="B905" s="107"/>
    </row>
    <row r="906" ht="15.75" customHeight="1">
      <c r="B906" s="107"/>
    </row>
    <row r="907" ht="15.75" customHeight="1">
      <c r="B907" s="107"/>
    </row>
    <row r="908" ht="15.75" customHeight="1">
      <c r="B908" s="107"/>
    </row>
    <row r="909" ht="15.75" customHeight="1">
      <c r="B909" s="107"/>
    </row>
    <row r="910" ht="15.75" customHeight="1">
      <c r="B910" s="107"/>
    </row>
    <row r="911" ht="15.75" customHeight="1">
      <c r="B911" s="107"/>
    </row>
    <row r="912" ht="15.75" customHeight="1">
      <c r="B912" s="107"/>
    </row>
    <row r="913" ht="15.75" customHeight="1">
      <c r="B913" s="107"/>
    </row>
    <row r="914" ht="15.75" customHeight="1">
      <c r="B914" s="107"/>
    </row>
    <row r="915" ht="15.75" customHeight="1">
      <c r="B915" s="107"/>
    </row>
    <row r="916" ht="15.75" customHeight="1">
      <c r="B916" s="107"/>
    </row>
    <row r="917" ht="15.75" customHeight="1">
      <c r="B917" s="107"/>
    </row>
    <row r="918" ht="15.75" customHeight="1">
      <c r="B918" s="107"/>
    </row>
    <row r="919" ht="15.75" customHeight="1">
      <c r="B919" s="107"/>
    </row>
    <row r="920" ht="15.75" customHeight="1">
      <c r="B920" s="107"/>
    </row>
    <row r="921" ht="15.75" customHeight="1">
      <c r="B921" s="107"/>
    </row>
    <row r="922" ht="15.75" customHeight="1">
      <c r="B922" s="107"/>
    </row>
    <row r="923" ht="15.75" customHeight="1">
      <c r="B923" s="107"/>
    </row>
    <row r="924" ht="15.75" customHeight="1">
      <c r="B924" s="107"/>
    </row>
    <row r="925" ht="15.75" customHeight="1">
      <c r="B925" s="107"/>
    </row>
    <row r="926" ht="15.75" customHeight="1">
      <c r="B926" s="107"/>
    </row>
    <row r="927" ht="15.75" customHeight="1">
      <c r="B927" s="107"/>
    </row>
    <row r="928" ht="15.75" customHeight="1">
      <c r="B928" s="107"/>
    </row>
    <row r="929" ht="15.75" customHeight="1">
      <c r="B929" s="107"/>
    </row>
    <row r="930" ht="15.75" customHeight="1">
      <c r="B930" s="107"/>
    </row>
    <row r="931" ht="15.75" customHeight="1">
      <c r="B931" s="107"/>
    </row>
    <row r="932" ht="15.75" customHeight="1">
      <c r="B932" s="107"/>
    </row>
    <row r="933" ht="15.75" customHeight="1">
      <c r="B933" s="107"/>
    </row>
    <row r="934" ht="15.75" customHeight="1">
      <c r="B934" s="107"/>
    </row>
    <row r="935" ht="15.75" customHeight="1">
      <c r="B935" s="107"/>
    </row>
    <row r="936" ht="15.75" customHeight="1">
      <c r="B936" s="107"/>
    </row>
    <row r="937" ht="15.75" customHeight="1">
      <c r="B937" s="107"/>
    </row>
    <row r="938" ht="15.75" customHeight="1">
      <c r="B938" s="107"/>
    </row>
    <row r="939" ht="15.75" customHeight="1">
      <c r="B939" s="107"/>
    </row>
    <row r="940" ht="15.75" customHeight="1">
      <c r="B940" s="107"/>
    </row>
    <row r="941" ht="15.75" customHeight="1">
      <c r="B941" s="107"/>
    </row>
    <row r="942" ht="15.75" customHeight="1">
      <c r="B942" s="107"/>
    </row>
    <row r="943" ht="15.75" customHeight="1">
      <c r="B943" s="107"/>
    </row>
    <row r="944" ht="15.75" customHeight="1">
      <c r="B944" s="107"/>
    </row>
    <row r="945" ht="15.75" customHeight="1">
      <c r="B945" s="107"/>
    </row>
    <row r="946" ht="15.75" customHeight="1">
      <c r="B946" s="107"/>
    </row>
    <row r="947" ht="15.75" customHeight="1">
      <c r="B947" s="107"/>
    </row>
    <row r="948" ht="15.75" customHeight="1">
      <c r="B948" s="107"/>
    </row>
    <row r="949" ht="15.75" customHeight="1">
      <c r="B949" s="107"/>
    </row>
    <row r="950" ht="15.75" customHeight="1">
      <c r="B950" s="107"/>
    </row>
    <row r="951" ht="15.75" customHeight="1">
      <c r="B951" s="107"/>
    </row>
    <row r="952" ht="15.75" customHeight="1">
      <c r="B952" s="107"/>
    </row>
    <row r="953" ht="15.75" customHeight="1">
      <c r="B953" s="107"/>
    </row>
    <row r="954" ht="15.75" customHeight="1">
      <c r="B954" s="107"/>
    </row>
    <row r="955" ht="15.75" customHeight="1">
      <c r="B955" s="107"/>
    </row>
    <row r="956" ht="15.75" customHeight="1">
      <c r="B956" s="107"/>
    </row>
    <row r="957" ht="15.75" customHeight="1">
      <c r="B957" s="107"/>
    </row>
    <row r="958" ht="15.75" customHeight="1">
      <c r="B958" s="107"/>
    </row>
    <row r="959" ht="15.75" customHeight="1">
      <c r="B959" s="107"/>
    </row>
    <row r="960" ht="15.75" customHeight="1">
      <c r="B960" s="107"/>
    </row>
    <row r="961" ht="15.75" customHeight="1">
      <c r="B961" s="107"/>
    </row>
    <row r="962" ht="15.75" customHeight="1">
      <c r="B962" s="107"/>
    </row>
    <row r="963" ht="15.75" customHeight="1">
      <c r="B963" s="107"/>
    </row>
    <row r="964" ht="15.75" customHeight="1">
      <c r="B964" s="107"/>
    </row>
    <row r="965" ht="15.75" customHeight="1">
      <c r="B965" s="107"/>
    </row>
    <row r="966" ht="15.75" customHeight="1">
      <c r="B966" s="107"/>
    </row>
    <row r="967" ht="15.75" customHeight="1">
      <c r="B967" s="107"/>
    </row>
    <row r="968" ht="15.75" customHeight="1">
      <c r="B968" s="107"/>
    </row>
    <row r="969" ht="15.75" customHeight="1">
      <c r="B969" s="107"/>
    </row>
    <row r="970" ht="15.75" customHeight="1">
      <c r="B970" s="107"/>
    </row>
    <row r="971" ht="15.75" customHeight="1">
      <c r="B971" s="107"/>
    </row>
    <row r="972" ht="15.75" customHeight="1">
      <c r="B972" s="107"/>
    </row>
    <row r="973" ht="15.75" customHeight="1">
      <c r="B973" s="107"/>
    </row>
    <row r="974" ht="15.75" customHeight="1">
      <c r="B974" s="107"/>
    </row>
    <row r="975" ht="15.75" customHeight="1">
      <c r="B975" s="107"/>
    </row>
    <row r="976" ht="15.75" customHeight="1">
      <c r="B976" s="107"/>
    </row>
    <row r="977" ht="15.75" customHeight="1">
      <c r="B977" s="107"/>
    </row>
    <row r="978" ht="15.75" customHeight="1">
      <c r="B978" s="107"/>
    </row>
    <row r="979" ht="15.75" customHeight="1">
      <c r="B979" s="107"/>
    </row>
    <row r="980" ht="15.75" customHeight="1">
      <c r="B980" s="107"/>
    </row>
    <row r="981" ht="15.75" customHeight="1">
      <c r="B981" s="107"/>
    </row>
    <row r="982" ht="15.75" customHeight="1">
      <c r="B982" s="107"/>
    </row>
    <row r="983" ht="15.75" customHeight="1">
      <c r="B983" s="107"/>
    </row>
    <row r="984" ht="15.75" customHeight="1">
      <c r="B984" s="107"/>
    </row>
    <row r="985" ht="15.75" customHeight="1">
      <c r="B985" s="107"/>
    </row>
    <row r="986" ht="15.75" customHeight="1">
      <c r="B986" s="107"/>
    </row>
    <row r="987" ht="15.75" customHeight="1">
      <c r="B987" s="107"/>
    </row>
    <row r="988" ht="15.75" customHeight="1">
      <c r="B988" s="107"/>
    </row>
    <row r="989" ht="15.75" customHeight="1">
      <c r="B989" s="107"/>
    </row>
    <row r="990" ht="15.75" customHeight="1">
      <c r="B990" s="107"/>
    </row>
    <row r="991" ht="15.75" customHeight="1">
      <c r="B991" s="107"/>
    </row>
    <row r="992" ht="15.75" customHeight="1">
      <c r="B992" s="107"/>
    </row>
    <row r="993" ht="15.75" customHeight="1">
      <c r="B993" s="107"/>
    </row>
    <row r="994" ht="15.75" customHeight="1">
      <c r="B994" s="107"/>
    </row>
    <row r="995" ht="15.75" customHeight="1">
      <c r="B995" s="107"/>
    </row>
    <row r="996" ht="15.75" customHeight="1">
      <c r="B996" s="107"/>
    </row>
    <row r="997" ht="15.75" customHeight="1">
      <c r="B997" s="107"/>
    </row>
    <row r="998" ht="15.75" customHeight="1">
      <c r="B998" s="107"/>
    </row>
    <row r="999" ht="15.75" customHeight="1">
      <c r="B999" s="107"/>
    </row>
    <row r="1000" ht="15.75" customHeight="1">
      <c r="B1000" s="107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4.71"/>
    <col customWidth="1" min="3" max="3" width="14.29"/>
    <col customWidth="1" min="4" max="26" width="8.71"/>
  </cols>
  <sheetData>
    <row r="1">
      <c r="A1" s="182" t="s">
        <v>797</v>
      </c>
      <c r="B1" s="183"/>
      <c r="C1" s="183"/>
    </row>
    <row r="2">
      <c r="A2" s="183"/>
      <c r="B2" s="183"/>
      <c r="C2" s="183"/>
    </row>
    <row r="3">
      <c r="A3" s="158" t="str">
        <f t="array" ref="A3">UNIQUE(Monthly!A:A)</f>
        <v>Month</v>
      </c>
      <c r="B3" s="158" t="s">
        <v>18</v>
      </c>
      <c r="C3" s="158" t="s">
        <v>26</v>
      </c>
    </row>
    <row r="4">
      <c r="A4" s="184"/>
      <c r="B4" s="185">
        <f>SUMIFS('Campaign - Dump'!$Q:$Q,'Campaign - Dump'!$A:$A,'Graphic Comparison Report '!A4)</f>
        <v>0</v>
      </c>
      <c r="C4" s="185">
        <f>SUMIFS('Business - Dump'!$U:$U,'Business - Dump'!$A:$A,'Graphic Comparison Report '!A4)/1.18</f>
        <v>0</v>
      </c>
    </row>
    <row r="5">
      <c r="A5" s="184"/>
      <c r="B5" s="185">
        <f>SUMIFS('Campaign - Dump'!$Q:$Q,'Campaign - Dump'!$A:$A,'Graphic Comparison Report '!A5)</f>
        <v>0</v>
      </c>
      <c r="C5" s="185">
        <f>SUMIFS('Business - Dump'!$U:$U,'Business - Dump'!$A:$A,'Graphic Comparison Report '!A5)/1.18</f>
        <v>0</v>
      </c>
    </row>
    <row r="6">
      <c r="A6" s="184"/>
      <c r="B6" s="185">
        <f>SUMIFS('Campaign - Dump'!$Q:$Q,'Campaign - Dump'!$A:$A,'Graphic Comparison Report '!A6)</f>
        <v>0</v>
      </c>
      <c r="C6" s="185">
        <f>SUMIFS('Business - Dump'!$U:$U,'Business - Dump'!$A:$A,'Graphic Comparison Report '!A6)/1.18</f>
        <v>0</v>
      </c>
    </row>
    <row r="7">
      <c r="A7" s="184"/>
      <c r="B7" s="185">
        <f>SUMIFS('Campaign - Dump'!$Q:$Q,'Campaign - Dump'!$A:$A,'Graphic Comparison Report '!A7)</f>
        <v>0</v>
      </c>
      <c r="C7" s="185">
        <f>SUMIFS('Business - Dump'!$U:$U,'Business - Dump'!$A:$A,'Graphic Comparison Report '!A7)/1.18</f>
        <v>0</v>
      </c>
    </row>
    <row r="8">
      <c r="B8" s="185">
        <f>SUMIFS('Campaign - Dump'!$Q:$Q,'Campaign - Dump'!$A:$A,'Graphic Comparison Report '!A8)</f>
        <v>0</v>
      </c>
      <c r="C8" s="185">
        <f>SUMIFS('Business - Dump'!$U:$U,'Business - Dump'!$A:$A,'Graphic Comparison Report '!A8)/1.18</f>
        <v>0</v>
      </c>
    </row>
    <row r="9">
      <c r="B9" s="185">
        <f>SUMIFS('Campaign - Dump'!$Q:$Q,'Campaign - Dump'!$A:$A,'Graphic Comparison Report '!A9)</f>
        <v>0</v>
      </c>
      <c r="C9" s="185">
        <f>SUMIFS('Business - Dump'!$U:$U,'Business - Dump'!$A:$A,'Graphic Comparison Report '!A9)/1.18</f>
        <v>0</v>
      </c>
    </row>
    <row r="10">
      <c r="B10" s="185">
        <f>SUMIFS('Campaign - Dump'!$Q:$Q,'Campaign - Dump'!$A:$A,'Graphic Comparison Report '!A10)</f>
        <v>0</v>
      </c>
      <c r="C10" s="185">
        <f>SUMIFS('Business - Dump'!$U:$U,'Business - Dump'!$A:$A,'Graphic Comparison Report '!A10)/1.18</f>
        <v>0</v>
      </c>
    </row>
    <row r="11">
      <c r="B11" s="185">
        <f>SUMIFS('Campaign - Dump'!$Q:$Q,'Campaign - Dump'!$A:$A,'Graphic Comparison Report '!A11)</f>
        <v>0</v>
      </c>
      <c r="C11" s="185">
        <f>SUMIFS('Business - Dump'!$U:$U,'Business - Dump'!$A:$A,'Graphic Comparison Report '!A11)/1.18</f>
        <v>0</v>
      </c>
    </row>
    <row r="12">
      <c r="B12" s="185">
        <f>SUMIFS('Campaign - Dump'!$Q:$Q,'Campaign - Dump'!$A:$A,'Graphic Comparison Report '!A12)</f>
        <v>0</v>
      </c>
      <c r="C12" s="185">
        <f>SUMIFS('Business - Dump'!$U:$U,'Business - Dump'!$A:$A,'Graphic Comparison Report '!A12)/1.18</f>
        <v>0</v>
      </c>
    </row>
    <row r="13">
      <c r="B13" s="185">
        <f>SUMIFS('Campaign - Dump'!$Q:$Q,'Campaign - Dump'!$A:$A,'Graphic Comparison Report '!A13)</f>
        <v>0</v>
      </c>
      <c r="C13" s="185">
        <f>SUMIFS('Business - Dump'!$U:$U,'Business - Dump'!$A:$A,'Graphic Comparison Report '!A13)/1.18</f>
        <v>0</v>
      </c>
    </row>
    <row r="14">
      <c r="B14" s="185">
        <f>SUMIFS('Campaign - Dump'!$Q:$Q,'Campaign - Dump'!$A:$A,'Graphic Comparison Report '!A14)</f>
        <v>0</v>
      </c>
      <c r="C14" s="185">
        <f>SUMIFS('Business - Dump'!$U:$U,'Business - Dump'!$A:$A,'Graphic Comparison Report '!A14)/1.18</f>
        <v>0</v>
      </c>
    </row>
    <row r="15">
      <c r="B15" s="185">
        <f>SUMIFS('Campaign - Dump'!$Q:$Q,'Campaign - Dump'!$A:$A,'Graphic Comparison Report '!A15)</f>
        <v>0</v>
      </c>
      <c r="C15" s="185">
        <f>SUMIFS('Business - Dump'!$U:$U,'Business - Dump'!$A:$A,'Graphic Comparison Report '!A15)/1.18</f>
        <v>0</v>
      </c>
    </row>
    <row r="16">
      <c r="B16" s="185">
        <f>SUMIFS('Campaign - Dump'!$Q:$Q,'Campaign - Dump'!$A:$A,'Graphic Comparison Report '!A16)</f>
        <v>0</v>
      </c>
      <c r="C16" s="185">
        <f>SUMIFS('Business - Dump'!$U:$U,'Business - Dump'!$A:$A,'Graphic Comparison Report '!A16)/1.18</f>
        <v>0</v>
      </c>
    </row>
    <row r="17">
      <c r="B17" s="185">
        <f>SUMIFS('Campaign - Dump'!$Q:$Q,'Campaign - Dump'!$A:$A,'Graphic Comparison Report '!A17)</f>
        <v>0</v>
      </c>
      <c r="C17" s="185">
        <f>SUMIFS('Business - Dump'!$U:$U,'Business - Dump'!$A:$A,'Graphic Comparison Report '!A17)/1.18</f>
        <v>0</v>
      </c>
    </row>
    <row r="18">
      <c r="A18" s="186"/>
      <c r="B18" s="185">
        <f>SUMIFS('Campaign - Dump'!$Q:$Q,'Campaign - Dump'!$A:$A,'Graphic Comparison Report '!A18)</f>
        <v>0</v>
      </c>
      <c r="C18" s="185">
        <f>SUMIFS('Business - Dump'!$U:$U,'Business - Dump'!$A:$A,'Graphic Comparison Report '!A18)/1.18</f>
        <v>0</v>
      </c>
    </row>
    <row r="21" ht="15.75" customHeight="1"/>
    <row r="22" ht="15.75" customHeight="1">
      <c r="A22" s="25" t="s">
        <v>817</v>
      </c>
      <c r="B22" s="25" t="s">
        <v>18</v>
      </c>
      <c r="C22" s="25" t="s">
        <v>26</v>
      </c>
    </row>
    <row r="23" ht="15.75" customHeight="1">
      <c r="A23" s="94" t="s">
        <v>65</v>
      </c>
      <c r="B23" s="91">
        <v>1281599.8900000001</v>
      </c>
      <c r="C23" s="91">
        <v>8563706.449152542</v>
      </c>
    </row>
    <row r="24" ht="15.75" customHeight="1">
      <c r="A24" s="94" t="s">
        <v>67</v>
      </c>
      <c r="B24" s="91">
        <v>685448.0500000004</v>
      </c>
      <c r="C24" s="91">
        <v>4187281.194915253</v>
      </c>
    </row>
    <row r="25" ht="15.75" customHeight="1">
      <c r="A25" s="94" t="s">
        <v>70</v>
      </c>
      <c r="B25" s="91">
        <v>660076.26</v>
      </c>
      <c r="C25" s="91">
        <v>4159255.9999999986</v>
      </c>
    </row>
    <row r="26" ht="15.75" customHeight="1">
      <c r="A26" s="186">
        <v>45658.0</v>
      </c>
      <c r="B26" s="91">
        <v>743314.9199999999</v>
      </c>
      <c r="C26" s="91">
        <v>5082627.788135595</v>
      </c>
    </row>
    <row r="27" ht="15.75" customHeight="1">
      <c r="A27" s="94"/>
      <c r="B27" s="187"/>
      <c r="C27" s="94"/>
    </row>
    <row r="28" ht="15.75" customHeight="1">
      <c r="A28" s="188"/>
      <c r="B28" s="187"/>
      <c r="C28" s="9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29"/>
    <col customWidth="1" min="2" max="2" width="8.71"/>
    <col customWidth="1" min="3" max="3" width="65.57"/>
    <col customWidth="1" min="4" max="4" width="27.57"/>
    <col customWidth="1" min="5" max="5" width="8.71"/>
    <col customWidth="1" min="6" max="6" width="11.71"/>
    <col customWidth="1" min="7" max="7" width="23.14"/>
    <col customWidth="1" min="8" max="8" width="11.0"/>
    <col customWidth="1" min="9" max="9" width="19.57"/>
    <col customWidth="1" min="10" max="10" width="20.43"/>
    <col customWidth="1" min="11" max="36" width="8.71"/>
  </cols>
  <sheetData>
    <row r="1">
      <c r="A1" s="107" t="s">
        <v>742</v>
      </c>
      <c r="B1" s="68" t="s">
        <v>743</v>
      </c>
      <c r="C1" s="68" t="s">
        <v>744</v>
      </c>
      <c r="D1" s="68" t="s">
        <v>745</v>
      </c>
      <c r="E1" s="68" t="s">
        <v>458</v>
      </c>
      <c r="F1" s="68" t="s">
        <v>746</v>
      </c>
      <c r="G1" s="68" t="s">
        <v>747</v>
      </c>
      <c r="H1" s="68" t="s">
        <v>748</v>
      </c>
      <c r="I1" s="68" t="s">
        <v>749</v>
      </c>
      <c r="J1" s="68" t="s">
        <v>750</v>
      </c>
      <c r="K1" s="68" t="s">
        <v>751</v>
      </c>
      <c r="L1" s="68" t="s">
        <v>752</v>
      </c>
      <c r="M1" s="68" t="s">
        <v>753</v>
      </c>
      <c r="N1" s="68" t="s">
        <v>12</v>
      </c>
      <c r="O1" s="68" t="s">
        <v>6</v>
      </c>
      <c r="P1" s="68" t="s">
        <v>5</v>
      </c>
      <c r="Q1" s="68" t="s">
        <v>754</v>
      </c>
      <c r="R1" s="68" t="s">
        <v>755</v>
      </c>
      <c r="S1" s="68" t="s">
        <v>756</v>
      </c>
      <c r="T1" s="68" t="s">
        <v>21</v>
      </c>
      <c r="U1" s="68" t="s">
        <v>757</v>
      </c>
      <c r="V1" s="68" t="s">
        <v>28</v>
      </c>
      <c r="W1" s="68" t="s">
        <v>15</v>
      </c>
      <c r="X1" s="68" t="s">
        <v>758</v>
      </c>
      <c r="Y1" s="68" t="s">
        <v>759</v>
      </c>
      <c r="Z1" s="68" t="s">
        <v>760</v>
      </c>
      <c r="AA1" s="68" t="s">
        <v>761</v>
      </c>
      <c r="AB1" s="68" t="s">
        <v>762</v>
      </c>
      <c r="AC1" s="68" t="s">
        <v>763</v>
      </c>
      <c r="AD1" s="68" t="s">
        <v>764</v>
      </c>
      <c r="AE1" s="68" t="s">
        <v>765</v>
      </c>
      <c r="AF1" s="68" t="s">
        <v>766</v>
      </c>
      <c r="AG1" s="68" t="s">
        <v>767</v>
      </c>
      <c r="AH1" s="68" t="s">
        <v>768</v>
      </c>
      <c r="AI1" s="68" t="s">
        <v>769</v>
      </c>
      <c r="AJ1" s="68" t="s">
        <v>770</v>
      </c>
    </row>
    <row r="2">
      <c r="A2" s="180" t="s">
        <v>36</v>
      </c>
      <c r="B2" s="68" t="s">
        <v>771</v>
      </c>
      <c r="C2" s="68" t="s">
        <v>772</v>
      </c>
      <c r="D2" s="68" t="s">
        <v>773</v>
      </c>
      <c r="E2" s="68" t="s">
        <v>459</v>
      </c>
      <c r="F2" s="68" t="s">
        <v>774</v>
      </c>
      <c r="G2" s="68" t="s">
        <v>775</v>
      </c>
      <c r="H2" s="181">
        <v>44567.0</v>
      </c>
      <c r="J2" s="68" t="s">
        <v>90</v>
      </c>
      <c r="K2" s="68">
        <v>2000.0</v>
      </c>
      <c r="L2" s="68" t="s">
        <v>776</v>
      </c>
      <c r="M2" s="68" t="s">
        <v>8</v>
      </c>
      <c r="N2" s="68">
        <v>933028.0</v>
      </c>
      <c r="O2" s="68">
        <v>2972.0</v>
      </c>
      <c r="P2" s="68">
        <v>0.0032</v>
      </c>
      <c r="Q2" s="68">
        <v>60001.31</v>
      </c>
      <c r="S2" s="68">
        <v>20.19</v>
      </c>
      <c r="T2" s="68">
        <v>34.0</v>
      </c>
      <c r="U2" s="68">
        <v>611334.69</v>
      </c>
      <c r="V2" s="68">
        <v>0.0981</v>
      </c>
      <c r="W2" s="68">
        <v>10.1887</v>
      </c>
    </row>
    <row r="3">
      <c r="A3" s="180" t="s">
        <v>36</v>
      </c>
      <c r="B3" s="68" t="s">
        <v>771</v>
      </c>
      <c r="C3" s="68" t="s">
        <v>777</v>
      </c>
      <c r="D3" s="68" t="s">
        <v>773</v>
      </c>
      <c r="E3" s="68" t="s">
        <v>460</v>
      </c>
      <c r="F3" s="68" t="s">
        <v>778</v>
      </c>
      <c r="G3" s="68" t="s">
        <v>775</v>
      </c>
      <c r="H3" s="181">
        <v>45111.0</v>
      </c>
      <c r="J3" s="68" t="s">
        <v>90</v>
      </c>
      <c r="K3" s="68">
        <v>600.0</v>
      </c>
      <c r="L3" s="68" t="s">
        <v>776</v>
      </c>
      <c r="M3" s="68" t="s">
        <v>8</v>
      </c>
      <c r="N3" s="68">
        <v>703761.0</v>
      </c>
      <c r="O3" s="68">
        <v>1385.0</v>
      </c>
      <c r="P3" s="68">
        <v>0.002</v>
      </c>
      <c r="Q3" s="68">
        <v>18001.79</v>
      </c>
      <c r="S3" s="68">
        <v>13.0</v>
      </c>
      <c r="T3" s="68">
        <v>6.0</v>
      </c>
      <c r="U3" s="68">
        <v>102031.36</v>
      </c>
      <c r="V3" s="68">
        <v>0.1764</v>
      </c>
      <c r="W3" s="68">
        <v>5.6678</v>
      </c>
    </row>
    <row r="4">
      <c r="A4" s="180" t="s">
        <v>36</v>
      </c>
      <c r="B4" s="68" t="s">
        <v>779</v>
      </c>
      <c r="C4" s="68" t="s">
        <v>780</v>
      </c>
      <c r="D4" s="68" t="s">
        <v>781</v>
      </c>
      <c r="E4" s="68" t="s">
        <v>463</v>
      </c>
      <c r="F4" s="68" t="s">
        <v>774</v>
      </c>
      <c r="H4" s="181">
        <v>45208.0</v>
      </c>
      <c r="J4" s="68" t="s">
        <v>90</v>
      </c>
      <c r="K4" s="68">
        <v>1000.0</v>
      </c>
      <c r="M4" s="68" t="s">
        <v>8</v>
      </c>
      <c r="N4" s="68">
        <v>820098.0</v>
      </c>
      <c r="O4" s="68">
        <v>2842.0</v>
      </c>
      <c r="P4" s="68">
        <v>0.0035</v>
      </c>
      <c r="Q4" s="68">
        <v>25134.62</v>
      </c>
      <c r="S4" s="68">
        <v>8.84</v>
      </c>
      <c r="T4" s="68">
        <v>3.0</v>
      </c>
      <c r="U4" s="68">
        <v>23305.08</v>
      </c>
      <c r="V4" s="68">
        <v>1.0785</v>
      </c>
      <c r="W4" s="68">
        <v>0.9272</v>
      </c>
    </row>
    <row r="5">
      <c r="A5" s="180" t="s">
        <v>36</v>
      </c>
      <c r="B5" s="68" t="s">
        <v>771</v>
      </c>
      <c r="C5" s="68" t="s">
        <v>782</v>
      </c>
      <c r="D5" s="68" t="s">
        <v>773</v>
      </c>
      <c r="E5" s="68" t="s">
        <v>459</v>
      </c>
      <c r="F5" s="68" t="s">
        <v>774</v>
      </c>
      <c r="G5" s="68" t="s">
        <v>783</v>
      </c>
      <c r="H5" s="181">
        <v>44057.0</v>
      </c>
      <c r="J5" s="68" t="s">
        <v>90</v>
      </c>
      <c r="K5" s="68">
        <v>500.0</v>
      </c>
      <c r="L5" s="68" t="s">
        <v>776</v>
      </c>
      <c r="M5" s="68" t="s">
        <v>8</v>
      </c>
      <c r="N5" s="68">
        <v>274741.0</v>
      </c>
      <c r="O5" s="68">
        <v>455.0</v>
      </c>
      <c r="P5" s="68">
        <v>0.0017</v>
      </c>
      <c r="Q5" s="68">
        <v>8901.84</v>
      </c>
      <c r="S5" s="68">
        <v>19.56</v>
      </c>
      <c r="T5" s="68">
        <v>2.0</v>
      </c>
      <c r="U5" s="68">
        <v>34915.26</v>
      </c>
      <c r="V5" s="68">
        <v>0.255</v>
      </c>
      <c r="W5" s="68">
        <v>3.9223</v>
      </c>
    </row>
    <row r="6">
      <c r="A6" s="180" t="s">
        <v>36</v>
      </c>
      <c r="B6" s="68" t="s">
        <v>779</v>
      </c>
      <c r="C6" s="68" t="s">
        <v>784</v>
      </c>
      <c r="D6" s="68" t="s">
        <v>781</v>
      </c>
      <c r="E6" s="68" t="s">
        <v>463</v>
      </c>
      <c r="F6" s="68" t="s">
        <v>774</v>
      </c>
      <c r="H6" s="181">
        <v>45208.0</v>
      </c>
      <c r="J6" s="68" t="s">
        <v>90</v>
      </c>
      <c r="K6" s="68">
        <v>1000.0</v>
      </c>
      <c r="M6" s="68" t="s">
        <v>8</v>
      </c>
      <c r="N6" s="68">
        <v>15169.0</v>
      </c>
      <c r="O6" s="68">
        <v>84.0</v>
      </c>
      <c r="P6" s="68">
        <v>0.0055</v>
      </c>
      <c r="Q6" s="68">
        <v>2203.68</v>
      </c>
      <c r="S6" s="68">
        <v>26.23</v>
      </c>
      <c r="T6" s="68">
        <v>2.0</v>
      </c>
      <c r="U6" s="68">
        <v>36778.81</v>
      </c>
      <c r="V6" s="68">
        <v>0.0599</v>
      </c>
      <c r="W6" s="68">
        <v>16.6897</v>
      </c>
    </row>
    <row r="7">
      <c r="A7" s="180" t="s">
        <v>36</v>
      </c>
      <c r="B7" s="68" t="s">
        <v>771</v>
      </c>
      <c r="C7" s="68" t="s">
        <v>785</v>
      </c>
      <c r="D7" s="68" t="s">
        <v>773</v>
      </c>
      <c r="E7" s="68" t="s">
        <v>460</v>
      </c>
      <c r="F7" s="68" t="s">
        <v>778</v>
      </c>
      <c r="G7" s="68" t="s">
        <v>775</v>
      </c>
      <c r="H7" s="181">
        <v>44567.0</v>
      </c>
      <c r="J7" s="68" t="s">
        <v>90</v>
      </c>
      <c r="K7" s="68">
        <v>500.0</v>
      </c>
      <c r="L7" s="27">
        <v>0.0549839722833829</v>
      </c>
      <c r="M7" s="68" t="s">
        <v>8</v>
      </c>
      <c r="N7" s="68">
        <v>169145.0</v>
      </c>
      <c r="O7" s="68">
        <v>933.0</v>
      </c>
      <c r="P7" s="68">
        <v>0.0055</v>
      </c>
      <c r="Q7" s="68">
        <v>10389.4</v>
      </c>
      <c r="S7" s="68">
        <v>11.14</v>
      </c>
      <c r="T7" s="68">
        <v>1.0</v>
      </c>
      <c r="U7" s="68">
        <v>17711.86</v>
      </c>
      <c r="V7" s="68">
        <v>0.5866</v>
      </c>
      <c r="W7" s="68">
        <v>1.7048</v>
      </c>
    </row>
    <row r="8">
      <c r="A8" s="180" t="s">
        <v>36</v>
      </c>
      <c r="B8" s="68" t="s">
        <v>779</v>
      </c>
      <c r="C8" s="68" t="s">
        <v>786</v>
      </c>
      <c r="D8" s="68" t="s">
        <v>781</v>
      </c>
      <c r="E8" s="68" t="s">
        <v>463</v>
      </c>
      <c r="F8" s="68" t="s">
        <v>774</v>
      </c>
      <c r="H8" s="181">
        <v>45208.0</v>
      </c>
      <c r="J8" s="68" t="s">
        <v>90</v>
      </c>
      <c r="K8" s="68">
        <v>1000.0</v>
      </c>
      <c r="M8" s="68" t="s">
        <v>8</v>
      </c>
      <c r="N8" s="68">
        <v>16923.0</v>
      </c>
      <c r="O8" s="68">
        <v>124.0</v>
      </c>
      <c r="P8" s="68">
        <v>0.0073</v>
      </c>
      <c r="Q8" s="68">
        <v>2435.13</v>
      </c>
      <c r="S8" s="68">
        <v>19.64</v>
      </c>
      <c r="T8" s="68">
        <v>1.0</v>
      </c>
      <c r="U8" s="68">
        <v>17711.86</v>
      </c>
      <c r="V8" s="68">
        <v>0.1375</v>
      </c>
      <c r="W8" s="68">
        <v>7.2735</v>
      </c>
    </row>
    <row r="9">
      <c r="A9" s="180" t="s">
        <v>36</v>
      </c>
      <c r="B9" s="68" t="s">
        <v>771</v>
      </c>
      <c r="C9" s="68" t="s">
        <v>787</v>
      </c>
      <c r="D9" s="68" t="s">
        <v>773</v>
      </c>
      <c r="E9" s="68" t="s">
        <v>459</v>
      </c>
      <c r="F9" s="68" t="s">
        <v>774</v>
      </c>
      <c r="G9" s="68" t="s">
        <v>775</v>
      </c>
      <c r="H9" s="181">
        <v>45055.0</v>
      </c>
      <c r="J9" s="68" t="s">
        <v>119</v>
      </c>
      <c r="K9" s="68">
        <v>800.0</v>
      </c>
      <c r="L9" s="68" t="s">
        <v>776</v>
      </c>
      <c r="M9" s="68" t="s">
        <v>8</v>
      </c>
      <c r="N9" s="68">
        <v>1245.0</v>
      </c>
      <c r="O9" s="68">
        <v>14.0</v>
      </c>
      <c r="P9" s="68">
        <v>0.0112</v>
      </c>
      <c r="Q9" s="68">
        <v>88.59</v>
      </c>
      <c r="S9" s="68">
        <v>6.33</v>
      </c>
      <c r="T9" s="68">
        <v>0.0</v>
      </c>
      <c r="U9" s="68">
        <v>0.0</v>
      </c>
      <c r="V9" s="68">
        <v>0.0</v>
      </c>
      <c r="W9" s="68">
        <v>0.0</v>
      </c>
    </row>
    <row r="10">
      <c r="A10" s="180" t="s">
        <v>36</v>
      </c>
      <c r="B10" s="68" t="s">
        <v>779</v>
      </c>
      <c r="C10" s="68" t="s">
        <v>788</v>
      </c>
      <c r="D10" s="68" t="s">
        <v>781</v>
      </c>
      <c r="E10" s="68" t="s">
        <v>459</v>
      </c>
      <c r="F10" s="68" t="s">
        <v>774</v>
      </c>
      <c r="G10" s="68" t="s">
        <v>775</v>
      </c>
      <c r="H10" s="181">
        <v>45208.0</v>
      </c>
      <c r="J10" s="68" t="s">
        <v>90</v>
      </c>
      <c r="K10" s="68">
        <v>700.0</v>
      </c>
      <c r="L10" s="68" t="s">
        <v>776</v>
      </c>
      <c r="M10" s="68" t="s">
        <v>8</v>
      </c>
      <c r="N10" s="68">
        <v>5454.0</v>
      </c>
      <c r="O10" s="68">
        <v>57.0</v>
      </c>
      <c r="P10" s="68">
        <v>0.0105</v>
      </c>
      <c r="Q10" s="68">
        <v>122.98</v>
      </c>
      <c r="S10" s="68">
        <v>2.16</v>
      </c>
      <c r="T10" s="68">
        <v>0.0</v>
      </c>
      <c r="U10" s="68">
        <v>0.0</v>
      </c>
      <c r="V10" s="68">
        <v>0.0</v>
      </c>
      <c r="W10" s="68">
        <v>0.0</v>
      </c>
    </row>
    <row r="11">
      <c r="A11" s="180" t="s">
        <v>36</v>
      </c>
      <c r="B11" s="68" t="s">
        <v>771</v>
      </c>
      <c r="C11" s="68" t="s">
        <v>789</v>
      </c>
      <c r="D11" s="68" t="s">
        <v>773</v>
      </c>
      <c r="E11" s="68" t="s">
        <v>459</v>
      </c>
      <c r="F11" s="68" t="s">
        <v>774</v>
      </c>
      <c r="G11" s="68" t="s">
        <v>775</v>
      </c>
      <c r="H11" s="181">
        <v>45260.0</v>
      </c>
      <c r="J11" s="68" t="s">
        <v>128</v>
      </c>
      <c r="K11" s="68">
        <v>1000.0</v>
      </c>
      <c r="L11" s="27">
        <v>0.3125</v>
      </c>
      <c r="M11" s="68" t="s">
        <v>8</v>
      </c>
      <c r="N11" s="68">
        <v>543.0</v>
      </c>
      <c r="O11" s="68">
        <v>1.0</v>
      </c>
      <c r="P11" s="68">
        <v>0.0018</v>
      </c>
      <c r="Q11" s="68">
        <v>15.0</v>
      </c>
      <c r="S11" s="68">
        <v>15.0</v>
      </c>
      <c r="T11" s="68">
        <v>0.0</v>
      </c>
      <c r="U11" s="68">
        <v>0.0</v>
      </c>
      <c r="V11" s="68">
        <v>0.0</v>
      </c>
      <c r="W11" s="68">
        <v>0.0</v>
      </c>
    </row>
    <row r="12">
      <c r="A12" s="180" t="s">
        <v>36</v>
      </c>
      <c r="B12" s="68" t="s">
        <v>771</v>
      </c>
      <c r="C12" s="68" t="s">
        <v>790</v>
      </c>
      <c r="D12" s="68" t="s">
        <v>773</v>
      </c>
      <c r="E12" s="68" t="s">
        <v>459</v>
      </c>
      <c r="F12" s="68" t="s">
        <v>774</v>
      </c>
      <c r="G12" s="68" t="s">
        <v>775</v>
      </c>
      <c r="H12" s="181">
        <v>45260.0</v>
      </c>
      <c r="J12" s="68" t="s">
        <v>134</v>
      </c>
      <c r="K12" s="68">
        <v>500.0</v>
      </c>
      <c r="M12" s="68" t="s">
        <v>8</v>
      </c>
      <c r="N12" s="68">
        <v>7.0</v>
      </c>
      <c r="O12" s="68">
        <v>0.0</v>
      </c>
      <c r="P12" s="68">
        <v>0.0</v>
      </c>
      <c r="Q12" s="68">
        <v>0.0</v>
      </c>
      <c r="S12" s="68">
        <v>0.0</v>
      </c>
      <c r="T12" s="68">
        <v>0.0</v>
      </c>
      <c r="U12" s="68">
        <v>0.0</v>
      </c>
      <c r="V12" s="68">
        <v>0.0</v>
      </c>
      <c r="W12" s="68">
        <v>0.0</v>
      </c>
    </row>
    <row r="13">
      <c r="A13" s="180" t="s">
        <v>36</v>
      </c>
      <c r="B13" s="68" t="s">
        <v>771</v>
      </c>
      <c r="C13" s="68" t="s">
        <v>791</v>
      </c>
      <c r="D13" s="68" t="s">
        <v>773</v>
      </c>
      <c r="E13" s="68" t="s">
        <v>459</v>
      </c>
      <c r="F13" s="68" t="s">
        <v>774</v>
      </c>
      <c r="G13" s="68" t="s">
        <v>775</v>
      </c>
      <c r="H13" s="181">
        <v>45260.0</v>
      </c>
      <c r="J13" s="68" t="s">
        <v>134</v>
      </c>
      <c r="K13" s="68">
        <v>500.0</v>
      </c>
      <c r="M13" s="68" t="s">
        <v>8</v>
      </c>
      <c r="N13" s="68">
        <v>60.0</v>
      </c>
      <c r="O13" s="68">
        <v>0.0</v>
      </c>
      <c r="P13" s="68">
        <v>0.0</v>
      </c>
      <c r="Q13" s="68">
        <v>0.0</v>
      </c>
      <c r="S13" s="68">
        <v>0.0</v>
      </c>
      <c r="T13" s="68">
        <v>0.0</v>
      </c>
      <c r="U13" s="68">
        <v>0.0</v>
      </c>
      <c r="V13" s="68">
        <v>0.0</v>
      </c>
      <c r="W13" s="68">
        <v>0.0</v>
      </c>
    </row>
    <row r="14">
      <c r="A14" s="180" t="s">
        <v>36</v>
      </c>
      <c r="B14" s="68" t="s">
        <v>771</v>
      </c>
      <c r="C14" s="68" t="s">
        <v>792</v>
      </c>
      <c r="D14" s="68" t="s">
        <v>773</v>
      </c>
      <c r="E14" s="68" t="s">
        <v>459</v>
      </c>
      <c r="F14" s="68" t="s">
        <v>774</v>
      </c>
      <c r="G14" s="68" t="s">
        <v>775</v>
      </c>
      <c r="H14" s="181">
        <v>45260.0</v>
      </c>
      <c r="J14" s="68" t="s">
        <v>140</v>
      </c>
      <c r="K14" s="68">
        <v>1000.0</v>
      </c>
      <c r="M14" s="68" t="s">
        <v>8</v>
      </c>
      <c r="N14" s="68">
        <v>52.0</v>
      </c>
      <c r="O14" s="68">
        <v>0.0</v>
      </c>
      <c r="P14" s="68">
        <v>0.0</v>
      </c>
      <c r="Q14" s="68">
        <v>0.0</v>
      </c>
      <c r="S14" s="68">
        <v>0.0</v>
      </c>
      <c r="T14" s="68">
        <v>0.0</v>
      </c>
      <c r="U14" s="68">
        <v>0.0</v>
      </c>
      <c r="V14" s="68">
        <v>0.0</v>
      </c>
      <c r="W14" s="68">
        <v>0.0</v>
      </c>
    </row>
    <row r="15">
      <c r="A15" s="180" t="s">
        <v>36</v>
      </c>
      <c r="B15" s="68" t="s">
        <v>771</v>
      </c>
      <c r="C15" s="68" t="s">
        <v>793</v>
      </c>
      <c r="D15" s="68" t="s">
        <v>773</v>
      </c>
      <c r="E15" s="68" t="s">
        <v>459</v>
      </c>
      <c r="F15" s="68" t="s">
        <v>774</v>
      </c>
      <c r="G15" s="68" t="s">
        <v>783</v>
      </c>
      <c r="H15" s="181">
        <v>45260.0</v>
      </c>
      <c r="J15" s="68" t="s">
        <v>140</v>
      </c>
      <c r="K15" s="68">
        <v>1000.0</v>
      </c>
      <c r="L15" s="27">
        <v>0.2</v>
      </c>
      <c r="M15" s="68" t="s">
        <v>8</v>
      </c>
      <c r="N15" s="68">
        <v>450.0</v>
      </c>
      <c r="O15" s="68">
        <v>1.0</v>
      </c>
      <c r="P15" s="68">
        <v>0.0022</v>
      </c>
      <c r="Q15" s="68">
        <v>9.86</v>
      </c>
      <c r="S15" s="68">
        <v>9.86</v>
      </c>
      <c r="T15" s="68">
        <v>0.0</v>
      </c>
      <c r="U15" s="68">
        <v>0.0</v>
      </c>
      <c r="V15" s="68">
        <v>0.0</v>
      </c>
      <c r="W15" s="68">
        <v>0.0</v>
      </c>
    </row>
    <row r="16">
      <c r="A16" s="180" t="s">
        <v>36</v>
      </c>
      <c r="B16" s="68" t="s">
        <v>771</v>
      </c>
      <c r="C16" s="68" t="s">
        <v>794</v>
      </c>
      <c r="D16" s="68" t="s">
        <v>773</v>
      </c>
      <c r="E16" s="68" t="s">
        <v>459</v>
      </c>
      <c r="F16" s="68" t="s">
        <v>774</v>
      </c>
      <c r="G16" s="68" t="s">
        <v>775</v>
      </c>
      <c r="H16" s="181">
        <v>45260.0</v>
      </c>
      <c r="J16" s="68" t="s">
        <v>90</v>
      </c>
      <c r="K16" s="68">
        <v>2500.0</v>
      </c>
      <c r="M16" s="68" t="s">
        <v>8</v>
      </c>
      <c r="N16" s="68">
        <v>69.0</v>
      </c>
      <c r="O16" s="68">
        <v>0.0</v>
      </c>
      <c r="P16" s="68">
        <v>0.0</v>
      </c>
      <c r="Q16" s="68">
        <v>0.0</v>
      </c>
      <c r="S16" s="68">
        <v>0.0</v>
      </c>
      <c r="T16" s="68">
        <v>0.0</v>
      </c>
      <c r="U16" s="68">
        <v>0.0</v>
      </c>
      <c r="V16" s="68">
        <v>0.0</v>
      </c>
      <c r="W16" s="68">
        <v>0.0</v>
      </c>
    </row>
    <row r="17">
      <c r="A17" s="180" t="s">
        <v>36</v>
      </c>
      <c r="B17" s="68" t="s">
        <v>779</v>
      </c>
      <c r="C17" s="68" t="s">
        <v>795</v>
      </c>
      <c r="D17" s="68" t="s">
        <v>781</v>
      </c>
      <c r="E17" s="68" t="s">
        <v>463</v>
      </c>
      <c r="F17" s="68" t="s">
        <v>774</v>
      </c>
      <c r="H17" s="181">
        <v>45198.0</v>
      </c>
      <c r="J17" s="68" t="s">
        <v>90</v>
      </c>
      <c r="K17" s="68">
        <v>500.0</v>
      </c>
      <c r="M17" s="68" t="s">
        <v>8</v>
      </c>
      <c r="N17" s="68">
        <v>160923.0</v>
      </c>
      <c r="O17" s="68">
        <v>641.0</v>
      </c>
      <c r="P17" s="68">
        <v>0.004</v>
      </c>
      <c r="Q17" s="68">
        <v>12566.97</v>
      </c>
      <c r="S17" s="68">
        <v>19.61</v>
      </c>
      <c r="T17" s="68">
        <v>0.0</v>
      </c>
      <c r="U17" s="68">
        <v>0.0</v>
      </c>
      <c r="V17" s="68">
        <v>0.0</v>
      </c>
      <c r="W17" s="68">
        <v>0.0</v>
      </c>
    </row>
    <row r="18">
      <c r="A18" s="180" t="s">
        <v>36</v>
      </c>
      <c r="B18" s="68" t="s">
        <v>779</v>
      </c>
      <c r="C18" s="68" t="s">
        <v>796</v>
      </c>
      <c r="D18" s="68" t="s">
        <v>781</v>
      </c>
      <c r="E18" s="68" t="s">
        <v>463</v>
      </c>
      <c r="F18" s="68" t="s">
        <v>774</v>
      </c>
      <c r="H18" s="181">
        <v>45208.0</v>
      </c>
      <c r="J18" s="68" t="s">
        <v>90</v>
      </c>
      <c r="K18" s="68">
        <v>1000.0</v>
      </c>
      <c r="M18" s="68" t="s">
        <v>8</v>
      </c>
      <c r="N18" s="68">
        <v>954304.0</v>
      </c>
      <c r="O18" s="68">
        <v>3446.0</v>
      </c>
      <c r="P18" s="68">
        <v>0.0036</v>
      </c>
      <c r="Q18" s="68">
        <v>23177.63</v>
      </c>
      <c r="S18" s="68">
        <v>6.73</v>
      </c>
      <c r="T18" s="68">
        <v>0.0</v>
      </c>
      <c r="U18" s="68">
        <v>0.0</v>
      </c>
      <c r="V18" s="68">
        <v>0.0</v>
      </c>
      <c r="W18" s="68">
        <v>0.0</v>
      </c>
    </row>
    <row r="19">
      <c r="A19" s="180" t="s">
        <v>36</v>
      </c>
      <c r="B19" s="68" t="s">
        <v>771</v>
      </c>
      <c r="C19" s="68" t="s">
        <v>798</v>
      </c>
      <c r="D19" s="68" t="s">
        <v>773</v>
      </c>
      <c r="E19" s="68" t="s">
        <v>461</v>
      </c>
      <c r="F19" s="68" t="s">
        <v>774</v>
      </c>
      <c r="H19" s="181">
        <v>45260.0</v>
      </c>
      <c r="J19" s="68" t="s">
        <v>128</v>
      </c>
      <c r="K19" s="68">
        <v>1000.0</v>
      </c>
      <c r="L19" s="27">
        <v>0.19047619047619</v>
      </c>
      <c r="M19" s="68" t="s">
        <v>8</v>
      </c>
      <c r="N19" s="68">
        <v>20.0</v>
      </c>
      <c r="O19" s="68">
        <v>1.0</v>
      </c>
      <c r="P19" s="68">
        <v>0.05</v>
      </c>
      <c r="Q19" s="68">
        <v>5.01</v>
      </c>
      <c r="S19" s="68">
        <v>5.01</v>
      </c>
      <c r="T19" s="68">
        <v>0.0</v>
      </c>
      <c r="U19" s="68">
        <v>0.0</v>
      </c>
      <c r="V19" s="68">
        <v>0.0</v>
      </c>
      <c r="W19" s="68">
        <v>0.0</v>
      </c>
    </row>
    <row r="20">
      <c r="A20" s="180" t="s">
        <v>36</v>
      </c>
      <c r="B20" s="68" t="s">
        <v>771</v>
      </c>
      <c r="C20" s="68" t="s">
        <v>799</v>
      </c>
      <c r="D20" s="68" t="s">
        <v>773</v>
      </c>
      <c r="E20" s="68" t="s">
        <v>461</v>
      </c>
      <c r="F20" s="68" t="s">
        <v>774</v>
      </c>
      <c r="H20" s="181">
        <v>45260.0</v>
      </c>
      <c r="J20" s="68" t="s">
        <v>140</v>
      </c>
      <c r="K20" s="68">
        <v>1000.0</v>
      </c>
      <c r="L20" s="27">
        <v>0.18457300275482</v>
      </c>
      <c r="M20" s="68" t="s">
        <v>8</v>
      </c>
      <c r="N20" s="68">
        <v>227.0</v>
      </c>
      <c r="O20" s="68">
        <v>3.0</v>
      </c>
      <c r="P20" s="68">
        <v>0.0132</v>
      </c>
      <c r="Q20" s="68">
        <v>21.24</v>
      </c>
      <c r="S20" s="68">
        <v>7.08</v>
      </c>
      <c r="T20" s="68">
        <v>0.0</v>
      </c>
      <c r="U20" s="68">
        <v>0.0</v>
      </c>
      <c r="V20" s="68">
        <v>0.0</v>
      </c>
      <c r="W20" s="68">
        <v>0.0</v>
      </c>
    </row>
    <row r="21" ht="15.75" customHeight="1">
      <c r="A21" s="180" t="s">
        <v>45</v>
      </c>
      <c r="B21" s="68" t="s">
        <v>771</v>
      </c>
      <c r="C21" s="68" t="s">
        <v>772</v>
      </c>
      <c r="D21" s="68" t="s">
        <v>773</v>
      </c>
      <c r="E21" s="68" t="s">
        <v>459</v>
      </c>
      <c r="F21" s="68" t="s">
        <v>774</v>
      </c>
      <c r="G21" s="68" t="s">
        <v>775</v>
      </c>
      <c r="H21" s="181">
        <v>44567.0</v>
      </c>
      <c r="J21" s="68" t="s">
        <v>90</v>
      </c>
      <c r="K21" s="68">
        <v>2000.0</v>
      </c>
      <c r="L21" s="27">
        <v>0.0578877839345345</v>
      </c>
      <c r="M21" s="68" t="s">
        <v>8</v>
      </c>
      <c r="N21" s="68">
        <v>405502.0</v>
      </c>
      <c r="O21" s="68">
        <v>2021.0</v>
      </c>
      <c r="P21" s="68">
        <v>0.005</v>
      </c>
      <c r="Q21" s="68">
        <v>47531.05</v>
      </c>
      <c r="S21" s="68">
        <v>23.52</v>
      </c>
      <c r="T21" s="68">
        <v>21.0</v>
      </c>
      <c r="U21" s="68">
        <v>384821.13</v>
      </c>
      <c r="V21" s="68">
        <v>0.1235</v>
      </c>
      <c r="W21" s="68">
        <v>8.0962</v>
      </c>
    </row>
    <row r="22" ht="15.75" customHeight="1">
      <c r="A22" s="180" t="s">
        <v>45</v>
      </c>
      <c r="B22" s="68" t="s">
        <v>771</v>
      </c>
      <c r="C22" s="68" t="s">
        <v>794</v>
      </c>
      <c r="D22" s="68" t="s">
        <v>773</v>
      </c>
      <c r="E22" s="68" t="s">
        <v>459</v>
      </c>
      <c r="F22" s="68" t="s">
        <v>774</v>
      </c>
      <c r="G22" s="68" t="s">
        <v>775</v>
      </c>
      <c r="H22" s="181">
        <v>45260.0</v>
      </c>
      <c r="J22" s="68" t="s">
        <v>90</v>
      </c>
      <c r="K22" s="68">
        <v>2500.0</v>
      </c>
      <c r="L22" s="68" t="s">
        <v>776</v>
      </c>
      <c r="M22" s="68" t="s">
        <v>8</v>
      </c>
      <c r="N22" s="68">
        <v>323490.0</v>
      </c>
      <c r="O22" s="68">
        <v>875.0</v>
      </c>
      <c r="P22" s="68">
        <v>0.0027</v>
      </c>
      <c r="Q22" s="68">
        <v>25896.88</v>
      </c>
      <c r="S22" s="68">
        <v>29.6</v>
      </c>
      <c r="T22" s="68">
        <v>21.0</v>
      </c>
      <c r="U22" s="68">
        <v>318124.51</v>
      </c>
      <c r="V22" s="68">
        <v>0.0814</v>
      </c>
      <c r="W22" s="68">
        <v>12.2843</v>
      </c>
    </row>
    <row r="23" ht="15.75" customHeight="1">
      <c r="A23" s="180" t="s">
        <v>45</v>
      </c>
      <c r="B23" s="68" t="s">
        <v>771</v>
      </c>
      <c r="C23" s="68" t="s">
        <v>790</v>
      </c>
      <c r="D23" s="68" t="s">
        <v>773</v>
      </c>
      <c r="E23" s="68" t="s">
        <v>459</v>
      </c>
      <c r="F23" s="68" t="s">
        <v>774</v>
      </c>
      <c r="G23" s="68" t="s">
        <v>775</v>
      </c>
      <c r="H23" s="181">
        <v>45260.0</v>
      </c>
      <c r="J23" s="68" t="s">
        <v>134</v>
      </c>
      <c r="K23" s="68">
        <v>500.0</v>
      </c>
      <c r="L23" s="27">
        <v>0.0538449767924239</v>
      </c>
      <c r="M23" s="68" t="s">
        <v>8</v>
      </c>
      <c r="N23" s="68">
        <v>153248.0</v>
      </c>
      <c r="O23" s="68">
        <v>633.0</v>
      </c>
      <c r="P23" s="68">
        <v>0.0041</v>
      </c>
      <c r="Q23" s="68">
        <v>12462.87</v>
      </c>
      <c r="S23" s="68">
        <v>19.69</v>
      </c>
      <c r="T23" s="68">
        <v>13.0</v>
      </c>
      <c r="U23" s="68">
        <v>245337.27</v>
      </c>
      <c r="V23" s="68">
        <v>0.0508</v>
      </c>
      <c r="W23" s="68">
        <v>19.6855</v>
      </c>
    </row>
    <row r="24" ht="15.75" customHeight="1">
      <c r="A24" s="180" t="s">
        <v>45</v>
      </c>
      <c r="B24" s="68" t="s">
        <v>771</v>
      </c>
      <c r="C24" s="68" t="s">
        <v>789</v>
      </c>
      <c r="D24" s="68" t="s">
        <v>773</v>
      </c>
      <c r="E24" s="68" t="s">
        <v>459</v>
      </c>
      <c r="F24" s="68" t="s">
        <v>774</v>
      </c>
      <c r="G24" s="68" t="s">
        <v>775</v>
      </c>
      <c r="H24" s="181">
        <v>45260.0</v>
      </c>
      <c r="J24" s="68" t="s">
        <v>128</v>
      </c>
      <c r="K24" s="68">
        <v>1000.0</v>
      </c>
      <c r="L24" s="27">
        <v>0.574570446735395</v>
      </c>
      <c r="M24" s="68" t="s">
        <v>8</v>
      </c>
      <c r="N24" s="68">
        <v>105446.0</v>
      </c>
      <c r="O24" s="68">
        <v>411.0</v>
      </c>
      <c r="P24" s="68">
        <v>0.0039</v>
      </c>
      <c r="Q24" s="68">
        <v>10550.07</v>
      </c>
      <c r="S24" s="68">
        <v>25.67</v>
      </c>
      <c r="T24" s="68">
        <v>12.0</v>
      </c>
      <c r="U24" s="68">
        <v>201902.51</v>
      </c>
      <c r="V24" s="68">
        <v>0.0523</v>
      </c>
      <c r="W24" s="68">
        <v>19.1376</v>
      </c>
    </row>
    <row r="25" ht="15.75" customHeight="1">
      <c r="A25" s="180" t="s">
        <v>45</v>
      </c>
      <c r="B25" s="68" t="s">
        <v>771</v>
      </c>
      <c r="C25" s="68" t="s">
        <v>798</v>
      </c>
      <c r="D25" s="68" t="s">
        <v>773</v>
      </c>
      <c r="E25" s="68" t="s">
        <v>461</v>
      </c>
      <c r="F25" s="68" t="s">
        <v>774</v>
      </c>
      <c r="H25" s="181">
        <v>45260.0</v>
      </c>
      <c r="J25" s="68" t="s">
        <v>128</v>
      </c>
      <c r="K25" s="68">
        <v>1000.0</v>
      </c>
      <c r="L25" s="27">
        <v>0.612133605998636</v>
      </c>
      <c r="M25" s="68" t="s">
        <v>8</v>
      </c>
      <c r="N25" s="68">
        <v>70329.0</v>
      </c>
      <c r="O25" s="68">
        <v>176.0</v>
      </c>
      <c r="P25" s="68">
        <v>0.0025</v>
      </c>
      <c r="Q25" s="68">
        <v>4004.28</v>
      </c>
      <c r="S25" s="68">
        <v>22.75</v>
      </c>
      <c r="T25" s="68">
        <v>9.0</v>
      </c>
      <c r="U25" s="68">
        <v>140251.69</v>
      </c>
      <c r="V25" s="68">
        <v>0.0286</v>
      </c>
      <c r="W25" s="68">
        <v>35.0254</v>
      </c>
    </row>
    <row r="26" ht="15.75" customHeight="1">
      <c r="A26" s="180" t="s">
        <v>45</v>
      </c>
      <c r="B26" s="68" t="s">
        <v>771</v>
      </c>
      <c r="C26" s="68" t="s">
        <v>799</v>
      </c>
      <c r="D26" s="68" t="s">
        <v>773</v>
      </c>
      <c r="E26" s="68" t="s">
        <v>461</v>
      </c>
      <c r="F26" s="68" t="s">
        <v>774</v>
      </c>
      <c r="H26" s="181">
        <v>45260.0</v>
      </c>
      <c r="J26" s="68" t="s">
        <v>140</v>
      </c>
      <c r="K26" s="68">
        <v>1000.0</v>
      </c>
      <c r="L26" s="27">
        <v>0.298647963495014</v>
      </c>
      <c r="M26" s="68" t="s">
        <v>8</v>
      </c>
      <c r="N26" s="68">
        <v>122646.0</v>
      </c>
      <c r="O26" s="68">
        <v>544.0</v>
      </c>
      <c r="P26" s="68">
        <v>0.0044</v>
      </c>
      <c r="Q26" s="68">
        <v>19405.48</v>
      </c>
      <c r="S26" s="68">
        <v>35.67</v>
      </c>
      <c r="T26" s="68">
        <v>7.0</v>
      </c>
      <c r="U26" s="68">
        <v>149576.26</v>
      </c>
      <c r="V26" s="68">
        <v>0.1297</v>
      </c>
      <c r="W26" s="68">
        <v>7.7079</v>
      </c>
    </row>
    <row r="27" ht="15.75" customHeight="1">
      <c r="A27" s="180" t="s">
        <v>45</v>
      </c>
      <c r="B27" s="68" t="s">
        <v>771</v>
      </c>
      <c r="C27" s="68" t="s">
        <v>777</v>
      </c>
      <c r="D27" s="68" t="s">
        <v>773</v>
      </c>
      <c r="E27" s="68" t="s">
        <v>460</v>
      </c>
      <c r="F27" s="68" t="s">
        <v>778</v>
      </c>
      <c r="G27" s="68" t="s">
        <v>775</v>
      </c>
      <c r="H27" s="181">
        <v>45111.0</v>
      </c>
      <c r="J27" s="68" t="s">
        <v>90</v>
      </c>
      <c r="K27" s="68">
        <v>600.0</v>
      </c>
      <c r="L27" s="68" t="s">
        <v>776</v>
      </c>
      <c r="M27" s="68" t="s">
        <v>8</v>
      </c>
      <c r="N27" s="68">
        <v>250435.0</v>
      </c>
      <c r="O27" s="68">
        <v>684.0</v>
      </c>
      <c r="P27" s="68">
        <v>0.0027</v>
      </c>
      <c r="Q27" s="68">
        <v>5859.25</v>
      </c>
      <c r="S27" s="68">
        <v>8.57</v>
      </c>
      <c r="T27" s="68">
        <v>6.0</v>
      </c>
      <c r="U27" s="68">
        <v>103896.59</v>
      </c>
      <c r="V27" s="68">
        <v>0.0564</v>
      </c>
      <c r="W27" s="68">
        <v>17.7321</v>
      </c>
    </row>
    <row r="28" ht="15.75" customHeight="1">
      <c r="A28" s="180" t="s">
        <v>45</v>
      </c>
      <c r="B28" s="68" t="s">
        <v>771</v>
      </c>
      <c r="C28" s="68" t="s">
        <v>791</v>
      </c>
      <c r="D28" s="68" t="s">
        <v>773</v>
      </c>
      <c r="E28" s="68" t="s">
        <v>459</v>
      </c>
      <c r="F28" s="68" t="s">
        <v>774</v>
      </c>
      <c r="G28" s="68" t="s">
        <v>775</v>
      </c>
      <c r="H28" s="181">
        <v>45260.0</v>
      </c>
      <c r="J28" s="68" t="s">
        <v>134</v>
      </c>
      <c r="K28" s="68">
        <v>500.0</v>
      </c>
      <c r="L28" s="68" t="s">
        <v>776</v>
      </c>
      <c r="M28" s="68" t="s">
        <v>8</v>
      </c>
      <c r="N28" s="68">
        <v>116695.0</v>
      </c>
      <c r="O28" s="68">
        <v>504.0</v>
      </c>
      <c r="P28" s="68">
        <v>0.0043</v>
      </c>
      <c r="Q28" s="68">
        <v>16032.46</v>
      </c>
      <c r="S28" s="68">
        <v>31.81</v>
      </c>
      <c r="T28" s="68">
        <v>6.0</v>
      </c>
      <c r="U28" s="68">
        <v>126440.66</v>
      </c>
      <c r="V28" s="68">
        <v>0.1268</v>
      </c>
      <c r="W28" s="68">
        <v>7.8865</v>
      </c>
    </row>
    <row r="29" ht="15.75" customHeight="1">
      <c r="A29" s="180" t="s">
        <v>45</v>
      </c>
      <c r="B29" s="68" t="s">
        <v>771</v>
      </c>
      <c r="C29" s="68" t="s">
        <v>792</v>
      </c>
      <c r="D29" s="68" t="s">
        <v>773</v>
      </c>
      <c r="E29" s="68" t="s">
        <v>459</v>
      </c>
      <c r="F29" s="68" t="s">
        <v>774</v>
      </c>
      <c r="G29" s="68" t="s">
        <v>775</v>
      </c>
      <c r="H29" s="181">
        <v>45260.0</v>
      </c>
      <c r="J29" s="68" t="s">
        <v>140</v>
      </c>
      <c r="K29" s="68">
        <v>1000.0</v>
      </c>
      <c r="L29" s="68" t="s">
        <v>776</v>
      </c>
      <c r="M29" s="68" t="s">
        <v>8</v>
      </c>
      <c r="N29" s="68">
        <v>236751.0</v>
      </c>
      <c r="O29" s="68">
        <v>661.0</v>
      </c>
      <c r="P29" s="68">
        <v>0.0028</v>
      </c>
      <c r="Q29" s="68">
        <v>14925.39</v>
      </c>
      <c r="S29" s="68">
        <v>22.58</v>
      </c>
      <c r="T29" s="68">
        <v>5.0</v>
      </c>
      <c r="U29" s="68">
        <v>92964.4</v>
      </c>
      <c r="V29" s="68">
        <v>0.1605</v>
      </c>
      <c r="W29" s="68">
        <v>6.2286</v>
      </c>
    </row>
    <row r="30" ht="15.75" customHeight="1">
      <c r="A30" s="180" t="s">
        <v>45</v>
      </c>
      <c r="B30" s="68" t="s">
        <v>771</v>
      </c>
      <c r="C30" s="68" t="s">
        <v>800</v>
      </c>
      <c r="D30" s="68" t="s">
        <v>773</v>
      </c>
      <c r="E30" s="68" t="s">
        <v>459</v>
      </c>
      <c r="F30" s="68" t="s">
        <v>774</v>
      </c>
      <c r="G30" s="68" t="s">
        <v>775</v>
      </c>
      <c r="H30" s="181">
        <v>45260.0</v>
      </c>
      <c r="J30" s="68" t="s">
        <v>90</v>
      </c>
      <c r="K30" s="68">
        <v>500.0</v>
      </c>
      <c r="L30" s="27">
        <v>0.209046304058385</v>
      </c>
      <c r="M30" s="68" t="s">
        <v>8</v>
      </c>
      <c r="N30" s="68">
        <v>115894.0</v>
      </c>
      <c r="O30" s="68">
        <v>604.0</v>
      </c>
      <c r="P30" s="68">
        <v>0.0052</v>
      </c>
      <c r="Q30" s="68">
        <v>11939.79</v>
      </c>
      <c r="S30" s="68">
        <v>19.77</v>
      </c>
      <c r="T30" s="68">
        <v>4.0</v>
      </c>
      <c r="U30" s="68">
        <v>61861.02</v>
      </c>
      <c r="V30" s="68">
        <v>0.193</v>
      </c>
      <c r="W30" s="68">
        <v>5.1811</v>
      </c>
    </row>
    <row r="31" ht="15.75" customHeight="1">
      <c r="A31" s="180" t="s">
        <v>45</v>
      </c>
      <c r="B31" s="68" t="s">
        <v>771</v>
      </c>
      <c r="C31" s="68" t="s">
        <v>793</v>
      </c>
      <c r="D31" s="68" t="s">
        <v>773</v>
      </c>
      <c r="E31" s="68" t="s">
        <v>459</v>
      </c>
      <c r="F31" s="68" t="s">
        <v>774</v>
      </c>
      <c r="G31" s="68" t="s">
        <v>783</v>
      </c>
      <c r="H31" s="181">
        <v>45260.0</v>
      </c>
      <c r="J31" s="68" t="s">
        <v>140</v>
      </c>
      <c r="K31" s="68">
        <v>1000.0</v>
      </c>
      <c r="L31" s="27">
        <v>0.075954963452016</v>
      </c>
      <c r="M31" s="68" t="s">
        <v>8</v>
      </c>
      <c r="N31" s="68">
        <v>147730.0</v>
      </c>
      <c r="O31" s="68">
        <v>434.0</v>
      </c>
      <c r="P31" s="68">
        <v>0.0029</v>
      </c>
      <c r="Q31" s="68">
        <v>15745.97</v>
      </c>
      <c r="S31" s="68">
        <v>36.28</v>
      </c>
      <c r="T31" s="68">
        <v>4.0</v>
      </c>
      <c r="U31" s="68">
        <v>83812.7</v>
      </c>
      <c r="V31" s="68">
        <v>0.1879</v>
      </c>
      <c r="W31" s="68">
        <v>5.3228</v>
      </c>
    </row>
    <row r="32" ht="15.75" customHeight="1">
      <c r="A32" s="180" t="s">
        <v>45</v>
      </c>
      <c r="B32" s="68" t="s">
        <v>771</v>
      </c>
      <c r="C32" s="68" t="s">
        <v>782</v>
      </c>
      <c r="D32" s="68" t="s">
        <v>773</v>
      </c>
      <c r="E32" s="68" t="s">
        <v>459</v>
      </c>
      <c r="F32" s="68" t="s">
        <v>774</v>
      </c>
      <c r="G32" s="68" t="s">
        <v>783</v>
      </c>
      <c r="H32" s="181">
        <v>44057.0</v>
      </c>
      <c r="J32" s="68" t="s">
        <v>90</v>
      </c>
      <c r="K32" s="68">
        <v>500.0</v>
      </c>
      <c r="L32" s="68" t="s">
        <v>776</v>
      </c>
      <c r="M32" s="68" t="s">
        <v>8</v>
      </c>
      <c r="N32" s="68">
        <v>155617.0</v>
      </c>
      <c r="O32" s="68">
        <v>549.0</v>
      </c>
      <c r="P32" s="68">
        <v>0.0035</v>
      </c>
      <c r="Q32" s="68">
        <v>10118.2</v>
      </c>
      <c r="S32" s="68">
        <v>18.43</v>
      </c>
      <c r="T32" s="68">
        <v>3.0</v>
      </c>
      <c r="U32" s="68">
        <v>39618.64</v>
      </c>
      <c r="V32" s="68">
        <v>0.2554</v>
      </c>
      <c r="W32" s="68">
        <v>3.9156</v>
      </c>
    </row>
    <row r="33" ht="15.75" customHeight="1">
      <c r="A33" s="180" t="s">
        <v>45</v>
      </c>
      <c r="B33" s="68" t="s">
        <v>779</v>
      </c>
      <c r="C33" s="68" t="s">
        <v>788</v>
      </c>
      <c r="D33" s="68" t="s">
        <v>781</v>
      </c>
      <c r="E33" s="68" t="s">
        <v>459</v>
      </c>
      <c r="F33" s="68" t="s">
        <v>774</v>
      </c>
      <c r="G33" s="68" t="s">
        <v>775</v>
      </c>
      <c r="H33" s="181">
        <v>45208.0</v>
      </c>
      <c r="J33" s="68" t="s">
        <v>90</v>
      </c>
      <c r="K33" s="68">
        <v>700.0</v>
      </c>
      <c r="L33" s="68" t="s">
        <v>776</v>
      </c>
      <c r="M33" s="68" t="s">
        <v>8</v>
      </c>
      <c r="N33" s="68">
        <v>97180.0</v>
      </c>
      <c r="O33" s="68">
        <v>325.0</v>
      </c>
      <c r="P33" s="68">
        <v>0.0033</v>
      </c>
      <c r="Q33" s="68">
        <v>5729.9</v>
      </c>
      <c r="S33" s="68">
        <v>17.63</v>
      </c>
      <c r="T33" s="68">
        <v>3.0</v>
      </c>
      <c r="U33" s="68">
        <v>51711.86</v>
      </c>
      <c r="V33" s="68">
        <v>0.1108</v>
      </c>
      <c r="W33" s="68">
        <v>9.0249</v>
      </c>
    </row>
    <row r="34" ht="15.75" customHeight="1">
      <c r="A34" s="180" t="s">
        <v>45</v>
      </c>
      <c r="B34" s="68" t="s">
        <v>771</v>
      </c>
      <c r="C34" s="68" t="s">
        <v>801</v>
      </c>
      <c r="D34" s="68" t="s">
        <v>773</v>
      </c>
      <c r="E34" s="68" t="s">
        <v>459</v>
      </c>
      <c r="F34" s="68" t="s">
        <v>774</v>
      </c>
      <c r="G34" s="68" t="s">
        <v>775</v>
      </c>
      <c r="H34" s="181">
        <v>45260.0</v>
      </c>
      <c r="J34" s="68" t="s">
        <v>134</v>
      </c>
      <c r="K34" s="68">
        <v>500.0</v>
      </c>
      <c r="L34" s="27">
        <v>0.24981346067751</v>
      </c>
      <c r="M34" s="68" t="s">
        <v>8</v>
      </c>
      <c r="N34" s="68">
        <v>98810.0</v>
      </c>
      <c r="O34" s="68">
        <v>1031.0</v>
      </c>
      <c r="P34" s="68">
        <v>0.0104</v>
      </c>
      <c r="Q34" s="68">
        <v>14099.9</v>
      </c>
      <c r="S34" s="68">
        <v>13.68</v>
      </c>
      <c r="T34" s="68">
        <v>3.0</v>
      </c>
      <c r="U34" s="68">
        <v>74830.5</v>
      </c>
      <c r="V34" s="68">
        <v>0.1884</v>
      </c>
      <c r="W34" s="68">
        <v>5.3072</v>
      </c>
    </row>
    <row r="35" ht="15.75" customHeight="1">
      <c r="A35" s="180" t="s">
        <v>45</v>
      </c>
      <c r="B35" s="68" t="s">
        <v>771</v>
      </c>
      <c r="C35" s="68" t="s">
        <v>802</v>
      </c>
      <c r="D35" s="68" t="s">
        <v>773</v>
      </c>
      <c r="E35" s="68" t="s">
        <v>459</v>
      </c>
      <c r="F35" s="68" t="s">
        <v>774</v>
      </c>
      <c r="G35" s="68" t="s">
        <v>775</v>
      </c>
      <c r="H35" s="181">
        <v>45260.0</v>
      </c>
      <c r="J35" s="68" t="s">
        <v>140</v>
      </c>
      <c r="K35" s="68">
        <v>500.0</v>
      </c>
      <c r="L35" s="27">
        <v>0.294540575871203</v>
      </c>
      <c r="M35" s="68" t="s">
        <v>8</v>
      </c>
      <c r="N35" s="68">
        <v>51250.0</v>
      </c>
      <c r="O35" s="68">
        <v>307.0</v>
      </c>
      <c r="P35" s="68">
        <v>0.006</v>
      </c>
      <c r="Q35" s="68">
        <v>6445.01</v>
      </c>
      <c r="S35" s="68">
        <v>20.99</v>
      </c>
      <c r="T35" s="68">
        <v>3.0</v>
      </c>
      <c r="U35" s="68">
        <v>74830.51</v>
      </c>
      <c r="V35" s="68">
        <v>0.0861</v>
      </c>
      <c r="W35" s="68">
        <v>11.6106</v>
      </c>
    </row>
    <row r="36" ht="15.75" customHeight="1">
      <c r="A36" s="180" t="s">
        <v>45</v>
      </c>
      <c r="B36" s="68" t="s">
        <v>771</v>
      </c>
      <c r="C36" s="68" t="s">
        <v>803</v>
      </c>
      <c r="D36" s="68" t="s">
        <v>773</v>
      </c>
      <c r="E36" s="68" t="s">
        <v>459</v>
      </c>
      <c r="F36" s="68" t="s">
        <v>774</v>
      </c>
      <c r="G36" s="68" t="s">
        <v>775</v>
      </c>
      <c r="H36" s="181">
        <v>45260.0</v>
      </c>
      <c r="J36" s="68" t="s">
        <v>128</v>
      </c>
      <c r="K36" s="68">
        <v>1000.0</v>
      </c>
      <c r="L36" s="27">
        <v>0.551354401805869</v>
      </c>
      <c r="M36" s="68" t="s">
        <v>8</v>
      </c>
      <c r="N36" s="68">
        <v>11495.0</v>
      </c>
      <c r="O36" s="68">
        <v>191.0</v>
      </c>
      <c r="P36" s="68">
        <v>0.0166</v>
      </c>
      <c r="Q36" s="68">
        <v>3772.66</v>
      </c>
      <c r="S36" s="68">
        <v>19.75</v>
      </c>
      <c r="T36" s="68">
        <v>3.0</v>
      </c>
      <c r="U36" s="68">
        <v>67203.39</v>
      </c>
      <c r="V36" s="68">
        <v>0.0561</v>
      </c>
      <c r="W36" s="68">
        <v>17.8133</v>
      </c>
    </row>
    <row r="37" ht="15.75" customHeight="1">
      <c r="A37" s="180" t="s">
        <v>45</v>
      </c>
      <c r="B37" s="68" t="s">
        <v>771</v>
      </c>
      <c r="C37" s="68" t="s">
        <v>804</v>
      </c>
      <c r="D37" s="68" t="s">
        <v>773</v>
      </c>
      <c r="E37" s="68" t="s">
        <v>459</v>
      </c>
      <c r="F37" s="68" t="s">
        <v>774</v>
      </c>
      <c r="G37" s="68" t="s">
        <v>775</v>
      </c>
      <c r="H37" s="181">
        <v>45260.0</v>
      </c>
      <c r="J37" s="68" t="s">
        <v>128</v>
      </c>
      <c r="K37" s="68">
        <v>1000.0</v>
      </c>
      <c r="L37" s="27">
        <v>0.464326160815402</v>
      </c>
      <c r="M37" s="68" t="s">
        <v>8</v>
      </c>
      <c r="N37" s="68">
        <v>11826.0</v>
      </c>
      <c r="O37" s="68">
        <v>123.0</v>
      </c>
      <c r="P37" s="68">
        <v>0.0104</v>
      </c>
      <c r="Q37" s="68">
        <v>2018.22</v>
      </c>
      <c r="S37" s="68">
        <v>16.41</v>
      </c>
      <c r="T37" s="68">
        <v>3.0</v>
      </c>
      <c r="U37" s="68">
        <v>45508.48</v>
      </c>
      <c r="V37" s="68">
        <v>0.0443</v>
      </c>
      <c r="W37" s="68">
        <v>22.5488</v>
      </c>
    </row>
    <row r="38" ht="15.75" customHeight="1">
      <c r="A38" s="180" t="s">
        <v>45</v>
      </c>
      <c r="B38" s="68" t="s">
        <v>771</v>
      </c>
      <c r="C38" s="68" t="s">
        <v>785</v>
      </c>
      <c r="D38" s="68" t="s">
        <v>773</v>
      </c>
      <c r="E38" s="68" t="s">
        <v>460</v>
      </c>
      <c r="F38" s="68" t="s">
        <v>778</v>
      </c>
      <c r="G38" s="68" t="s">
        <v>775</v>
      </c>
      <c r="H38" s="181">
        <v>44567.0</v>
      </c>
      <c r="J38" s="68" t="s">
        <v>90</v>
      </c>
      <c r="K38" s="68">
        <v>500.0</v>
      </c>
      <c r="L38" s="68" t="s">
        <v>776</v>
      </c>
      <c r="M38" s="68" t="s">
        <v>8</v>
      </c>
      <c r="N38" s="68">
        <v>178985.0</v>
      </c>
      <c r="O38" s="68">
        <v>552.0</v>
      </c>
      <c r="P38" s="68">
        <v>0.0031</v>
      </c>
      <c r="Q38" s="68">
        <v>4352.39</v>
      </c>
      <c r="S38" s="68">
        <v>7.88</v>
      </c>
      <c r="T38" s="68">
        <v>2.0</v>
      </c>
      <c r="U38" s="68">
        <v>38474.57</v>
      </c>
      <c r="V38" s="68">
        <v>0.1131</v>
      </c>
      <c r="W38" s="68">
        <v>8.8399</v>
      </c>
    </row>
    <row r="39" ht="15.75" customHeight="1">
      <c r="A39" s="180" t="s">
        <v>45</v>
      </c>
      <c r="B39" s="68" t="s">
        <v>771</v>
      </c>
      <c r="C39" s="68" t="s">
        <v>805</v>
      </c>
      <c r="D39" s="68" t="s">
        <v>773</v>
      </c>
      <c r="E39" s="68" t="s">
        <v>459</v>
      </c>
      <c r="F39" s="68" t="s">
        <v>774</v>
      </c>
      <c r="G39" s="68" t="s">
        <v>775</v>
      </c>
      <c r="H39" s="181">
        <v>45260.0</v>
      </c>
      <c r="J39" s="68" t="s">
        <v>128</v>
      </c>
      <c r="K39" s="68">
        <v>1000.0</v>
      </c>
      <c r="L39" s="27">
        <v>0.416666666666666</v>
      </c>
      <c r="M39" s="68" t="s">
        <v>8</v>
      </c>
      <c r="N39" s="68">
        <v>16004.0</v>
      </c>
      <c r="O39" s="68">
        <v>38.0</v>
      </c>
      <c r="P39" s="68">
        <v>0.0024</v>
      </c>
      <c r="Q39" s="68">
        <v>666.52</v>
      </c>
      <c r="S39" s="68">
        <v>17.54</v>
      </c>
      <c r="T39" s="68">
        <v>2.0</v>
      </c>
      <c r="U39" s="68">
        <v>21609.32</v>
      </c>
      <c r="V39" s="68">
        <v>0.0308</v>
      </c>
      <c r="W39" s="68">
        <v>32.4211</v>
      </c>
    </row>
    <row r="40" ht="15.75" customHeight="1">
      <c r="A40" s="180" t="s">
        <v>45</v>
      </c>
      <c r="B40" s="68" t="s">
        <v>771</v>
      </c>
      <c r="C40" s="68" t="s">
        <v>806</v>
      </c>
      <c r="D40" s="68" t="s">
        <v>773</v>
      </c>
      <c r="E40" s="68" t="s">
        <v>459</v>
      </c>
      <c r="F40" s="68" t="s">
        <v>774</v>
      </c>
      <c r="G40" s="68" t="s">
        <v>775</v>
      </c>
      <c r="H40" s="181">
        <v>45260.0</v>
      </c>
      <c r="J40" s="68" t="s">
        <v>176</v>
      </c>
      <c r="K40" s="68">
        <v>500.0</v>
      </c>
      <c r="L40" s="68" t="s">
        <v>776</v>
      </c>
      <c r="M40" s="68" t="s">
        <v>8</v>
      </c>
      <c r="N40" s="68">
        <v>10342.0</v>
      </c>
      <c r="O40" s="68">
        <v>125.0</v>
      </c>
      <c r="P40" s="68">
        <v>0.0121</v>
      </c>
      <c r="Q40" s="68">
        <v>2755.88</v>
      </c>
      <c r="S40" s="68">
        <v>22.05</v>
      </c>
      <c r="T40" s="68">
        <v>2.0</v>
      </c>
      <c r="U40" s="68">
        <v>28305.08</v>
      </c>
      <c r="V40" s="68">
        <v>0.0974</v>
      </c>
      <c r="W40" s="68">
        <v>10.2708</v>
      </c>
    </row>
    <row r="41" ht="15.75" customHeight="1">
      <c r="A41" s="180" t="s">
        <v>45</v>
      </c>
      <c r="B41" s="68" t="s">
        <v>771</v>
      </c>
      <c r="C41" s="68" t="s">
        <v>807</v>
      </c>
      <c r="D41" s="68" t="s">
        <v>773</v>
      </c>
      <c r="E41" s="68" t="s">
        <v>459</v>
      </c>
      <c r="F41" s="68" t="s">
        <v>774</v>
      </c>
      <c r="G41" s="68" t="s">
        <v>775</v>
      </c>
      <c r="H41" s="181">
        <v>45280.0</v>
      </c>
      <c r="J41" s="68" t="s">
        <v>134</v>
      </c>
      <c r="K41" s="68">
        <v>800.0</v>
      </c>
      <c r="L41" s="27">
        <v>0.264472190692395</v>
      </c>
      <c r="M41" s="68" t="s">
        <v>8</v>
      </c>
      <c r="N41" s="68">
        <v>40884.0</v>
      </c>
      <c r="O41" s="68">
        <v>202.0</v>
      </c>
      <c r="P41" s="68">
        <v>0.0049</v>
      </c>
      <c r="Q41" s="68">
        <v>3999.45</v>
      </c>
      <c r="S41" s="68">
        <v>19.8</v>
      </c>
      <c r="T41" s="68">
        <v>2.0</v>
      </c>
      <c r="U41" s="68">
        <v>38474.57</v>
      </c>
      <c r="V41" s="68">
        <v>0.104</v>
      </c>
      <c r="W41" s="68">
        <v>9.62</v>
      </c>
    </row>
    <row r="42" ht="15.75" customHeight="1">
      <c r="A42" s="180" t="s">
        <v>45</v>
      </c>
      <c r="B42" s="68" t="s">
        <v>771</v>
      </c>
      <c r="C42" s="68" t="s">
        <v>808</v>
      </c>
      <c r="D42" s="68" t="s">
        <v>773</v>
      </c>
      <c r="E42" s="68" t="s">
        <v>463</v>
      </c>
      <c r="F42" s="68" t="s">
        <v>774</v>
      </c>
      <c r="H42" s="181">
        <v>45272.0</v>
      </c>
      <c r="J42" s="68" t="s">
        <v>90</v>
      </c>
      <c r="K42" s="68">
        <v>250.0</v>
      </c>
      <c r="M42" s="68" t="s">
        <v>8</v>
      </c>
      <c r="N42" s="68">
        <v>148424.0</v>
      </c>
      <c r="O42" s="68">
        <v>625.0</v>
      </c>
      <c r="P42" s="68">
        <v>0.0042</v>
      </c>
      <c r="Q42" s="68">
        <v>2166.52</v>
      </c>
      <c r="S42" s="68">
        <v>3.47</v>
      </c>
      <c r="T42" s="68">
        <v>2.0</v>
      </c>
      <c r="U42" s="68">
        <v>28305.09</v>
      </c>
      <c r="V42" s="68">
        <v>0.0765</v>
      </c>
      <c r="W42" s="68">
        <v>13.0648</v>
      </c>
    </row>
    <row r="43" ht="15.75" customHeight="1">
      <c r="A43" s="180" t="s">
        <v>45</v>
      </c>
      <c r="B43" s="68" t="s">
        <v>771</v>
      </c>
      <c r="C43" s="68" t="s">
        <v>809</v>
      </c>
      <c r="D43" s="68" t="s">
        <v>773</v>
      </c>
      <c r="E43" s="68" t="s">
        <v>463</v>
      </c>
      <c r="F43" s="68" t="s">
        <v>774</v>
      </c>
      <c r="H43" s="181">
        <v>45280.0</v>
      </c>
      <c r="J43" s="68" t="s">
        <v>134</v>
      </c>
      <c r="K43" s="68">
        <v>1000.0</v>
      </c>
      <c r="M43" s="68" t="s">
        <v>8</v>
      </c>
      <c r="N43" s="68">
        <v>90975.0</v>
      </c>
      <c r="O43" s="68">
        <v>272.0</v>
      </c>
      <c r="P43" s="68">
        <v>0.003</v>
      </c>
      <c r="Q43" s="68">
        <v>4172.23</v>
      </c>
      <c r="S43" s="68">
        <v>15.34</v>
      </c>
      <c r="T43" s="68">
        <v>2.0</v>
      </c>
      <c r="U43" s="68">
        <v>38474.57</v>
      </c>
      <c r="V43" s="68">
        <v>0.1084</v>
      </c>
      <c r="W43" s="68">
        <v>9.2216</v>
      </c>
    </row>
    <row r="44" ht="15.75" customHeight="1">
      <c r="A44" s="180" t="s">
        <v>45</v>
      </c>
      <c r="B44" s="68" t="s">
        <v>771</v>
      </c>
      <c r="C44" s="68" t="s">
        <v>810</v>
      </c>
      <c r="D44" s="68" t="s">
        <v>773</v>
      </c>
      <c r="E44" s="68" t="s">
        <v>459</v>
      </c>
      <c r="F44" s="68" t="s">
        <v>774</v>
      </c>
      <c r="G44" s="68" t="s">
        <v>775</v>
      </c>
      <c r="H44" s="181">
        <v>45260.0</v>
      </c>
      <c r="J44" s="68" t="s">
        <v>128</v>
      </c>
      <c r="K44" s="68">
        <v>1000.0</v>
      </c>
      <c r="L44" s="27">
        <v>0.657894736842105</v>
      </c>
      <c r="M44" s="68" t="s">
        <v>8</v>
      </c>
      <c r="N44" s="68">
        <v>1078.0</v>
      </c>
      <c r="O44" s="68">
        <v>8.0</v>
      </c>
      <c r="P44" s="68">
        <v>0.0074</v>
      </c>
      <c r="Q44" s="68">
        <v>115.72</v>
      </c>
      <c r="S44" s="68">
        <v>14.47</v>
      </c>
      <c r="T44" s="68">
        <v>1.0</v>
      </c>
      <c r="U44" s="68">
        <v>1033.9</v>
      </c>
      <c r="V44" s="68">
        <v>0.1119</v>
      </c>
      <c r="W44" s="68">
        <v>8.9345</v>
      </c>
    </row>
    <row r="45" ht="15.75" customHeight="1">
      <c r="A45" s="180" t="s">
        <v>45</v>
      </c>
      <c r="B45" s="68" t="s">
        <v>771</v>
      </c>
      <c r="C45" s="68" t="s">
        <v>811</v>
      </c>
      <c r="D45" s="68" t="s">
        <v>773</v>
      </c>
      <c r="E45" s="68" t="s">
        <v>459</v>
      </c>
      <c r="F45" s="68" t="s">
        <v>774</v>
      </c>
      <c r="G45" s="68" t="s">
        <v>775</v>
      </c>
      <c r="H45" s="181">
        <v>45265.0</v>
      </c>
      <c r="J45" s="68" t="s">
        <v>152</v>
      </c>
      <c r="K45" s="68">
        <v>500.0</v>
      </c>
      <c r="L45" s="27">
        <v>0.0834037019523069</v>
      </c>
      <c r="M45" s="68" t="s">
        <v>8</v>
      </c>
      <c r="N45" s="68">
        <v>27667.0</v>
      </c>
      <c r="O45" s="68">
        <v>193.0</v>
      </c>
      <c r="P45" s="68">
        <v>0.007</v>
      </c>
      <c r="Q45" s="68">
        <v>3382.32</v>
      </c>
      <c r="S45" s="68">
        <v>17.52</v>
      </c>
      <c r="T45" s="68">
        <v>1.0</v>
      </c>
      <c r="U45" s="68">
        <v>13558.48</v>
      </c>
      <c r="V45" s="68">
        <v>0.2495</v>
      </c>
      <c r="W45" s="68">
        <v>4.0086</v>
      </c>
    </row>
    <row r="46" ht="15.75" customHeight="1">
      <c r="A46" s="180" t="s">
        <v>45</v>
      </c>
      <c r="B46" s="68" t="s">
        <v>771</v>
      </c>
      <c r="C46" s="68" t="s">
        <v>787</v>
      </c>
      <c r="D46" s="68" t="s">
        <v>773</v>
      </c>
      <c r="E46" s="68" t="s">
        <v>459</v>
      </c>
      <c r="F46" s="68" t="s">
        <v>774</v>
      </c>
      <c r="G46" s="68" t="s">
        <v>775</v>
      </c>
      <c r="H46" s="181">
        <v>45055.0</v>
      </c>
      <c r="J46" s="68" t="s">
        <v>119</v>
      </c>
      <c r="K46" s="68">
        <v>800.0</v>
      </c>
      <c r="L46" s="27">
        <v>0.0758620689655172</v>
      </c>
      <c r="M46" s="68" t="s">
        <v>8</v>
      </c>
      <c r="N46" s="68">
        <v>103.0</v>
      </c>
      <c r="O46" s="68">
        <v>1.0</v>
      </c>
      <c r="P46" s="68">
        <v>0.0097</v>
      </c>
      <c r="Q46" s="68">
        <v>3.59</v>
      </c>
      <c r="S46" s="68">
        <v>3.59</v>
      </c>
      <c r="T46" s="68">
        <v>0.0</v>
      </c>
      <c r="U46" s="68">
        <v>0.0</v>
      </c>
      <c r="V46" s="68">
        <v>0.0</v>
      </c>
      <c r="W46" s="68">
        <v>0.0</v>
      </c>
    </row>
    <row r="47" ht="15.75" customHeight="1">
      <c r="A47" s="180" t="s">
        <v>45</v>
      </c>
      <c r="B47" s="68" t="s">
        <v>779</v>
      </c>
      <c r="C47" s="68" t="s">
        <v>812</v>
      </c>
      <c r="D47" s="68" t="s">
        <v>781</v>
      </c>
      <c r="E47" s="68" t="s">
        <v>463</v>
      </c>
      <c r="F47" s="68" t="s">
        <v>774</v>
      </c>
      <c r="H47" s="181">
        <v>45272.0</v>
      </c>
      <c r="J47" s="68" t="s">
        <v>90</v>
      </c>
      <c r="K47" s="68">
        <v>200.0</v>
      </c>
      <c r="M47" s="68" t="s">
        <v>8</v>
      </c>
      <c r="N47" s="68">
        <v>577181.0</v>
      </c>
      <c r="O47" s="68">
        <v>1839.0</v>
      </c>
      <c r="P47" s="68">
        <v>0.0032</v>
      </c>
      <c r="Q47" s="68">
        <v>4331.13</v>
      </c>
      <c r="S47" s="68">
        <v>2.36</v>
      </c>
      <c r="T47" s="68">
        <v>0.0</v>
      </c>
      <c r="U47" s="68">
        <v>0.0</v>
      </c>
      <c r="V47" s="68">
        <v>0.0</v>
      </c>
      <c r="W47" s="68">
        <v>0.0</v>
      </c>
    </row>
    <row r="48" ht="15.75" customHeight="1">
      <c r="A48" s="180" t="s">
        <v>45</v>
      </c>
      <c r="B48" s="68" t="s">
        <v>779</v>
      </c>
      <c r="C48" s="68" t="s">
        <v>813</v>
      </c>
      <c r="D48" s="68" t="s">
        <v>781</v>
      </c>
      <c r="E48" s="68" t="s">
        <v>463</v>
      </c>
      <c r="F48" s="68" t="s">
        <v>774</v>
      </c>
      <c r="H48" s="181">
        <v>45272.0</v>
      </c>
      <c r="J48" s="68" t="s">
        <v>90</v>
      </c>
      <c r="K48" s="68">
        <v>300.0</v>
      </c>
      <c r="M48" s="68" t="s">
        <v>8</v>
      </c>
      <c r="N48" s="68">
        <v>632626.0</v>
      </c>
      <c r="O48" s="68">
        <v>1992.0</v>
      </c>
      <c r="P48" s="68">
        <v>0.0031</v>
      </c>
      <c r="Q48" s="68">
        <v>4485.59</v>
      </c>
      <c r="S48" s="68">
        <v>2.25</v>
      </c>
      <c r="T48" s="68">
        <v>0.0</v>
      </c>
      <c r="U48" s="68">
        <v>0.0</v>
      </c>
      <c r="V48" s="68">
        <v>0.0</v>
      </c>
      <c r="W48" s="68">
        <v>0.0</v>
      </c>
    </row>
    <row r="49" ht="15.75" customHeight="1">
      <c r="A49" s="180" t="s">
        <v>45</v>
      </c>
      <c r="B49" s="68" t="s">
        <v>771</v>
      </c>
      <c r="C49" s="68" t="s">
        <v>814</v>
      </c>
      <c r="D49" s="68" t="s">
        <v>773</v>
      </c>
      <c r="E49" s="68" t="s">
        <v>463</v>
      </c>
      <c r="F49" s="68" t="s">
        <v>774</v>
      </c>
      <c r="H49" s="181">
        <v>45272.0</v>
      </c>
      <c r="J49" s="68" t="s">
        <v>90</v>
      </c>
      <c r="K49" s="68">
        <v>200.0</v>
      </c>
      <c r="M49" s="68" t="s">
        <v>8</v>
      </c>
      <c r="N49" s="68">
        <v>275134.0</v>
      </c>
      <c r="O49" s="68">
        <v>1164.0</v>
      </c>
      <c r="P49" s="68">
        <v>0.0042</v>
      </c>
      <c r="Q49" s="68">
        <v>3887.33</v>
      </c>
      <c r="S49" s="68">
        <v>3.34</v>
      </c>
      <c r="T49" s="68">
        <v>0.0</v>
      </c>
      <c r="U49" s="68">
        <v>0.0</v>
      </c>
      <c r="V49" s="68">
        <v>0.0</v>
      </c>
      <c r="W49" s="68">
        <v>0.0</v>
      </c>
    </row>
    <row r="50" ht="15.75" customHeight="1">
      <c r="A50" s="107" t="s">
        <v>46</v>
      </c>
      <c r="B50" s="68" t="s">
        <v>771</v>
      </c>
      <c r="C50" s="68" t="s">
        <v>789</v>
      </c>
      <c r="D50" s="68" t="s">
        <v>773</v>
      </c>
      <c r="E50" s="68" t="s">
        <v>459</v>
      </c>
      <c r="F50" s="68" t="s">
        <v>774</v>
      </c>
      <c r="G50" s="68" t="s">
        <v>775</v>
      </c>
      <c r="H50" s="181">
        <v>45260.0</v>
      </c>
      <c r="J50" s="68" t="s">
        <v>128</v>
      </c>
      <c r="K50" s="68">
        <v>2000.0</v>
      </c>
      <c r="L50" s="27">
        <v>0.669011170872983</v>
      </c>
      <c r="M50" s="68" t="s">
        <v>8</v>
      </c>
      <c r="N50" s="68">
        <v>248634.0</v>
      </c>
      <c r="O50" s="68">
        <v>741.0</v>
      </c>
      <c r="P50" s="68">
        <v>0.003</v>
      </c>
      <c r="Q50" s="68">
        <v>28317.48</v>
      </c>
      <c r="S50" s="68">
        <v>38.22</v>
      </c>
      <c r="T50" s="68">
        <v>13.0</v>
      </c>
      <c r="U50" s="68">
        <v>262678.8</v>
      </c>
      <c r="V50" s="68">
        <v>0.1078</v>
      </c>
      <c r="W50" s="68">
        <v>9.2762</v>
      </c>
    </row>
    <row r="51" ht="15.75" customHeight="1">
      <c r="A51" s="107" t="s">
        <v>46</v>
      </c>
      <c r="B51" s="68" t="s">
        <v>771</v>
      </c>
      <c r="C51" s="68" t="s">
        <v>815</v>
      </c>
      <c r="D51" s="68" t="s">
        <v>773</v>
      </c>
      <c r="E51" s="68" t="s">
        <v>459</v>
      </c>
      <c r="F51" s="68" t="s">
        <v>774</v>
      </c>
      <c r="G51" s="68" t="s">
        <v>775</v>
      </c>
      <c r="H51" s="181">
        <v>44567.0</v>
      </c>
      <c r="J51" s="68" t="s">
        <v>134</v>
      </c>
      <c r="K51" s="68">
        <v>2000.0</v>
      </c>
      <c r="L51" s="68" t="s">
        <v>776</v>
      </c>
      <c r="M51" s="68" t="s">
        <v>8</v>
      </c>
      <c r="N51" s="68">
        <v>170395.0</v>
      </c>
      <c r="O51" s="68">
        <v>1139.0</v>
      </c>
      <c r="P51" s="68">
        <v>0.0067</v>
      </c>
      <c r="Q51" s="68">
        <v>27619.45</v>
      </c>
      <c r="S51" s="68">
        <v>24.25</v>
      </c>
      <c r="T51" s="68">
        <v>11.0</v>
      </c>
      <c r="U51" s="68">
        <v>211674.56</v>
      </c>
      <c r="V51" s="68">
        <v>0.1305</v>
      </c>
      <c r="W51" s="68">
        <v>7.664</v>
      </c>
    </row>
    <row r="52" ht="15.75" customHeight="1">
      <c r="A52" s="107" t="s">
        <v>46</v>
      </c>
      <c r="B52" s="68" t="s">
        <v>771</v>
      </c>
      <c r="C52" s="68" t="s">
        <v>816</v>
      </c>
      <c r="D52" s="68" t="s">
        <v>773</v>
      </c>
      <c r="E52" s="68" t="s">
        <v>459</v>
      </c>
      <c r="F52" s="68" t="s">
        <v>774</v>
      </c>
      <c r="G52" s="68" t="s">
        <v>775</v>
      </c>
      <c r="H52" s="181">
        <v>45260.0</v>
      </c>
      <c r="J52" s="68" t="s">
        <v>152</v>
      </c>
      <c r="K52" s="68">
        <v>2500.0</v>
      </c>
      <c r="L52" s="27">
        <v>0.0780318962495618</v>
      </c>
      <c r="M52" s="68" t="s">
        <v>8</v>
      </c>
      <c r="N52" s="68">
        <v>256986.0</v>
      </c>
      <c r="O52" s="68">
        <v>567.0</v>
      </c>
      <c r="P52" s="68">
        <v>0.0022</v>
      </c>
      <c r="Q52" s="68">
        <v>22094.02</v>
      </c>
      <c r="S52" s="68">
        <v>38.97</v>
      </c>
      <c r="T52" s="68">
        <v>5.0</v>
      </c>
      <c r="U52" s="68">
        <v>72284.74</v>
      </c>
      <c r="V52" s="68">
        <v>0.3057</v>
      </c>
      <c r="W52" s="68">
        <v>3.2717</v>
      </c>
    </row>
    <row r="53" ht="15.75" customHeight="1">
      <c r="A53" s="107" t="s">
        <v>46</v>
      </c>
      <c r="B53" s="68" t="s">
        <v>771</v>
      </c>
      <c r="C53" s="68" t="s">
        <v>818</v>
      </c>
      <c r="D53" s="68" t="s">
        <v>773</v>
      </c>
      <c r="E53" s="68" t="s">
        <v>461</v>
      </c>
      <c r="F53" s="68" t="s">
        <v>774</v>
      </c>
      <c r="H53" s="181">
        <v>45260.0</v>
      </c>
      <c r="J53" s="68" t="s">
        <v>134</v>
      </c>
      <c r="K53" s="68">
        <v>1000.0</v>
      </c>
      <c r="L53" s="27">
        <v>0.179313459801264</v>
      </c>
      <c r="M53" s="68" t="s">
        <v>8</v>
      </c>
      <c r="N53" s="68">
        <v>106514.0</v>
      </c>
      <c r="O53" s="68">
        <v>462.0</v>
      </c>
      <c r="P53" s="68">
        <v>0.0043</v>
      </c>
      <c r="Q53" s="68">
        <v>13880.22</v>
      </c>
      <c r="S53" s="68">
        <v>30.04</v>
      </c>
      <c r="T53" s="68">
        <v>4.0</v>
      </c>
      <c r="U53" s="68">
        <v>77161.01</v>
      </c>
      <c r="V53" s="68">
        <v>0.1799</v>
      </c>
      <c r="W53" s="68">
        <v>5.5591</v>
      </c>
    </row>
    <row r="54" ht="15.75" customHeight="1">
      <c r="A54" s="107" t="s">
        <v>46</v>
      </c>
      <c r="B54" s="68" t="s">
        <v>771</v>
      </c>
      <c r="C54" s="68" t="s">
        <v>820</v>
      </c>
      <c r="D54" s="68" t="s">
        <v>773</v>
      </c>
      <c r="E54" s="68" t="s">
        <v>462</v>
      </c>
      <c r="F54" s="68" t="s">
        <v>774</v>
      </c>
      <c r="H54" s="181">
        <v>45303.0</v>
      </c>
      <c r="J54" s="68" t="s">
        <v>134</v>
      </c>
      <c r="K54" s="68">
        <v>1000.0</v>
      </c>
      <c r="L54" s="27">
        <v>0.251540429318207</v>
      </c>
      <c r="M54" s="68" t="s">
        <v>8</v>
      </c>
      <c r="N54" s="68">
        <v>24238.0</v>
      </c>
      <c r="O54" s="68">
        <v>866.0</v>
      </c>
      <c r="P54" s="68">
        <v>0.0357</v>
      </c>
      <c r="Q54" s="68">
        <v>12948.47</v>
      </c>
      <c r="S54" s="68">
        <v>14.95</v>
      </c>
      <c r="T54" s="68">
        <v>1.0</v>
      </c>
      <c r="U54" s="68">
        <v>45508.47</v>
      </c>
      <c r="V54" s="68">
        <v>0.2845</v>
      </c>
      <c r="W54" s="68">
        <v>3.5146</v>
      </c>
    </row>
    <row r="55" ht="15.75" customHeight="1">
      <c r="A55" s="107" t="s">
        <v>46</v>
      </c>
      <c r="B55" s="68" t="s">
        <v>771</v>
      </c>
      <c r="C55" s="68" t="s">
        <v>821</v>
      </c>
      <c r="D55" s="68" t="s">
        <v>773</v>
      </c>
      <c r="E55" s="68" t="s">
        <v>459</v>
      </c>
      <c r="F55" s="68" t="s">
        <v>774</v>
      </c>
      <c r="G55" s="68" t="s">
        <v>775</v>
      </c>
      <c r="H55" s="181">
        <v>45280.0</v>
      </c>
      <c r="J55" s="68" t="s">
        <v>134</v>
      </c>
      <c r="K55" s="68">
        <v>1200.0</v>
      </c>
      <c r="L55" s="27">
        <v>0.100538022966353</v>
      </c>
      <c r="M55" s="68" t="s">
        <v>8</v>
      </c>
      <c r="N55" s="68">
        <v>105277.0</v>
      </c>
      <c r="O55" s="68">
        <v>394.0</v>
      </c>
      <c r="P55" s="68">
        <v>0.0037</v>
      </c>
      <c r="Q55" s="68">
        <v>11772.93</v>
      </c>
      <c r="S55" s="68">
        <v>29.88</v>
      </c>
      <c r="T55" s="68">
        <v>5.0</v>
      </c>
      <c r="U55" s="68">
        <v>94661.0</v>
      </c>
      <c r="V55" s="68">
        <v>0.1244</v>
      </c>
      <c r="W55" s="68">
        <v>8.0406</v>
      </c>
    </row>
    <row r="56" ht="15.75" customHeight="1">
      <c r="A56" s="107" t="s">
        <v>46</v>
      </c>
      <c r="B56" s="68" t="s">
        <v>771</v>
      </c>
      <c r="C56" s="68" t="s">
        <v>822</v>
      </c>
      <c r="D56" s="68" t="s">
        <v>773</v>
      </c>
      <c r="E56" s="68" t="s">
        <v>462</v>
      </c>
      <c r="F56" s="68" t="s">
        <v>774</v>
      </c>
      <c r="H56" s="181">
        <v>45303.0</v>
      </c>
      <c r="J56" s="68" t="s">
        <v>128</v>
      </c>
      <c r="K56" s="68">
        <v>1000.0</v>
      </c>
      <c r="L56" s="68" t="s">
        <v>776</v>
      </c>
      <c r="M56" s="68" t="s">
        <v>8</v>
      </c>
      <c r="N56" s="68">
        <v>25737.0</v>
      </c>
      <c r="O56" s="68">
        <v>488.0</v>
      </c>
      <c r="P56" s="68">
        <v>0.019</v>
      </c>
      <c r="Q56" s="68">
        <v>11715.92</v>
      </c>
      <c r="S56" s="68">
        <v>24.01</v>
      </c>
      <c r="T56" s="68">
        <v>3.0</v>
      </c>
      <c r="U56" s="68">
        <v>53874.57</v>
      </c>
      <c r="V56" s="68">
        <v>0.2175</v>
      </c>
      <c r="W56" s="68">
        <v>4.5984</v>
      </c>
    </row>
    <row r="57" ht="15.75" customHeight="1">
      <c r="A57" s="107" t="s">
        <v>46</v>
      </c>
      <c r="B57" s="68" t="s">
        <v>771</v>
      </c>
      <c r="C57" s="68" t="s">
        <v>823</v>
      </c>
      <c r="D57" s="68" t="s">
        <v>773</v>
      </c>
      <c r="E57" s="68" t="s">
        <v>459</v>
      </c>
      <c r="F57" s="68" t="s">
        <v>774</v>
      </c>
      <c r="G57" s="68" t="s">
        <v>775</v>
      </c>
      <c r="H57" s="181">
        <v>45260.0</v>
      </c>
      <c r="J57" s="68" t="s">
        <v>140</v>
      </c>
      <c r="K57" s="68">
        <v>2500.0</v>
      </c>
      <c r="L57" s="68" t="s">
        <v>776</v>
      </c>
      <c r="M57" s="68" t="s">
        <v>8</v>
      </c>
      <c r="N57" s="68">
        <v>190323.0</v>
      </c>
      <c r="O57" s="68">
        <v>281.0</v>
      </c>
      <c r="P57" s="68">
        <v>0.0015</v>
      </c>
      <c r="Q57" s="68">
        <v>10291.63</v>
      </c>
      <c r="S57" s="68">
        <v>36.63</v>
      </c>
      <c r="T57" s="68">
        <v>1.0</v>
      </c>
      <c r="U57" s="68">
        <v>28728.81</v>
      </c>
      <c r="V57" s="68">
        <v>0.3582</v>
      </c>
      <c r="W57" s="68">
        <v>2.7915</v>
      </c>
    </row>
    <row r="58" ht="15.75" customHeight="1">
      <c r="A58" s="107" t="s">
        <v>46</v>
      </c>
      <c r="B58" s="68" t="s">
        <v>771</v>
      </c>
      <c r="C58" s="68" t="s">
        <v>824</v>
      </c>
      <c r="D58" s="68" t="s">
        <v>773</v>
      </c>
      <c r="E58" s="68" t="s">
        <v>459</v>
      </c>
      <c r="F58" s="68" t="s">
        <v>774</v>
      </c>
      <c r="G58" s="68" t="s">
        <v>775</v>
      </c>
      <c r="H58" s="181">
        <v>45260.0</v>
      </c>
      <c r="J58" s="68" t="s">
        <v>134</v>
      </c>
      <c r="K58" s="68">
        <v>500.0</v>
      </c>
      <c r="L58" s="68" t="s">
        <v>776</v>
      </c>
      <c r="M58" s="68" t="s">
        <v>8</v>
      </c>
      <c r="N58" s="68">
        <v>112267.0</v>
      </c>
      <c r="O58" s="68">
        <v>309.0</v>
      </c>
      <c r="P58" s="68">
        <v>0.0028</v>
      </c>
      <c r="Q58" s="68">
        <v>9806.56</v>
      </c>
      <c r="S58" s="68">
        <v>31.74</v>
      </c>
      <c r="T58" s="68">
        <v>1.0</v>
      </c>
      <c r="U58" s="68">
        <v>17711.86</v>
      </c>
      <c r="V58" s="68">
        <v>0.5537</v>
      </c>
      <c r="W58" s="68">
        <v>1.8061</v>
      </c>
    </row>
    <row r="59" ht="15.75" customHeight="1">
      <c r="A59" s="107" t="s">
        <v>46</v>
      </c>
      <c r="B59" s="68" t="s">
        <v>771</v>
      </c>
      <c r="C59" s="68" t="s">
        <v>825</v>
      </c>
      <c r="D59" s="68" t="s">
        <v>773</v>
      </c>
      <c r="E59" s="68" t="s">
        <v>459</v>
      </c>
      <c r="F59" s="68" t="s">
        <v>774</v>
      </c>
      <c r="G59" s="68" t="s">
        <v>775</v>
      </c>
      <c r="H59" s="181">
        <v>45260.0</v>
      </c>
      <c r="J59" s="68" t="s">
        <v>134</v>
      </c>
      <c r="K59" s="68">
        <v>500.0</v>
      </c>
      <c r="L59" s="27">
        <v>0.132270594763658</v>
      </c>
      <c r="M59" s="68" t="s">
        <v>8</v>
      </c>
      <c r="N59" s="68">
        <v>68712.0</v>
      </c>
      <c r="O59" s="68">
        <v>548.0</v>
      </c>
      <c r="P59" s="68">
        <v>0.008</v>
      </c>
      <c r="Q59" s="68">
        <v>8805.82</v>
      </c>
      <c r="S59" s="68">
        <v>16.07</v>
      </c>
      <c r="T59" s="68">
        <v>4.0</v>
      </c>
      <c r="U59" s="68">
        <v>87033.9</v>
      </c>
      <c r="V59" s="68">
        <v>0.1012</v>
      </c>
      <c r="W59" s="68">
        <v>9.8837</v>
      </c>
    </row>
    <row r="60" ht="15.75" customHeight="1">
      <c r="A60" s="107" t="s">
        <v>46</v>
      </c>
      <c r="B60" s="68" t="s">
        <v>771</v>
      </c>
      <c r="C60" s="68" t="s">
        <v>826</v>
      </c>
      <c r="D60" s="68" t="s">
        <v>773</v>
      </c>
      <c r="E60" s="68" t="s">
        <v>459</v>
      </c>
      <c r="F60" s="68" t="s">
        <v>774</v>
      </c>
      <c r="G60" s="68" t="s">
        <v>775</v>
      </c>
      <c r="H60" s="181">
        <v>45260.0</v>
      </c>
      <c r="J60" s="68" t="s">
        <v>140</v>
      </c>
      <c r="K60" s="68">
        <v>500.0</v>
      </c>
      <c r="L60" s="27">
        <v>0.17001658038101</v>
      </c>
      <c r="M60" s="68" t="s">
        <v>8</v>
      </c>
      <c r="N60" s="68">
        <v>55869.0</v>
      </c>
      <c r="O60" s="68">
        <v>306.0</v>
      </c>
      <c r="P60" s="68">
        <v>0.0055</v>
      </c>
      <c r="Q60" s="68">
        <v>7570.9</v>
      </c>
      <c r="S60" s="68">
        <v>24.74</v>
      </c>
      <c r="T60" s="68">
        <v>0.0</v>
      </c>
      <c r="U60" s="68">
        <v>0.0</v>
      </c>
      <c r="V60" s="68">
        <v>0.0</v>
      </c>
      <c r="W60" s="68">
        <v>0.0</v>
      </c>
    </row>
    <row r="61" ht="15.75" customHeight="1">
      <c r="A61" s="107" t="s">
        <v>46</v>
      </c>
      <c r="B61" s="68" t="s">
        <v>771</v>
      </c>
      <c r="C61" s="68" t="s">
        <v>827</v>
      </c>
      <c r="D61" s="68" t="s">
        <v>773</v>
      </c>
      <c r="E61" s="68" t="s">
        <v>459</v>
      </c>
      <c r="F61" s="68" t="s">
        <v>774</v>
      </c>
      <c r="G61" s="68" t="s">
        <v>775</v>
      </c>
      <c r="H61" s="181">
        <v>45309.0</v>
      </c>
      <c r="J61" s="68" t="s">
        <v>128</v>
      </c>
      <c r="K61" s="68">
        <v>1000.0</v>
      </c>
      <c r="L61" s="27">
        <v>0.815392895586652</v>
      </c>
      <c r="M61" s="68" t="s">
        <v>8</v>
      </c>
      <c r="N61" s="68">
        <v>53135.0</v>
      </c>
      <c r="O61" s="68">
        <v>263.0</v>
      </c>
      <c r="P61" s="68">
        <v>0.0049</v>
      </c>
      <c r="Q61" s="68">
        <v>7486.05</v>
      </c>
      <c r="S61" s="68">
        <v>28.46</v>
      </c>
      <c r="T61" s="68">
        <v>4.0</v>
      </c>
      <c r="U61" s="68">
        <v>92881.34</v>
      </c>
      <c r="V61" s="68">
        <v>0.0806</v>
      </c>
      <c r="W61" s="68">
        <v>12.4073</v>
      </c>
    </row>
    <row r="62" ht="15.75" customHeight="1">
      <c r="A62" s="107" t="s">
        <v>46</v>
      </c>
      <c r="B62" s="68" t="s">
        <v>771</v>
      </c>
      <c r="C62" s="68" t="s">
        <v>828</v>
      </c>
      <c r="D62" s="68" t="s">
        <v>773</v>
      </c>
      <c r="E62" s="68" t="s">
        <v>459</v>
      </c>
      <c r="F62" s="68" t="s">
        <v>774</v>
      </c>
      <c r="G62" s="68" t="s">
        <v>775</v>
      </c>
      <c r="H62" s="181">
        <v>45301.0</v>
      </c>
      <c r="J62" s="68" t="s">
        <v>152</v>
      </c>
      <c r="K62" s="68">
        <v>500.0</v>
      </c>
      <c r="L62" s="68" t="s">
        <v>776</v>
      </c>
      <c r="M62" s="68" t="s">
        <v>8</v>
      </c>
      <c r="N62" s="68">
        <v>186260.0</v>
      </c>
      <c r="O62" s="68">
        <v>419.0</v>
      </c>
      <c r="P62" s="68">
        <v>0.0022</v>
      </c>
      <c r="Q62" s="68">
        <v>6944.18</v>
      </c>
      <c r="S62" s="68">
        <v>16.57</v>
      </c>
      <c r="T62" s="68">
        <v>1.0</v>
      </c>
      <c r="U62" s="68">
        <v>12720.34</v>
      </c>
      <c r="V62" s="68">
        <v>0.5459</v>
      </c>
      <c r="W62" s="68">
        <v>1.8318</v>
      </c>
    </row>
    <row r="63" ht="15.75" customHeight="1">
      <c r="A63" s="107" t="s">
        <v>46</v>
      </c>
      <c r="B63" s="68" t="s">
        <v>771</v>
      </c>
      <c r="C63" s="68" t="s">
        <v>829</v>
      </c>
      <c r="D63" s="68" t="s">
        <v>773</v>
      </c>
      <c r="E63" s="68" t="s">
        <v>459</v>
      </c>
      <c r="F63" s="68" t="s">
        <v>774</v>
      </c>
      <c r="G63" s="68" t="s">
        <v>775</v>
      </c>
      <c r="H63" s="181">
        <v>45301.0</v>
      </c>
      <c r="J63" s="68" t="s">
        <v>90</v>
      </c>
      <c r="K63" s="68">
        <v>500.0</v>
      </c>
      <c r="L63" s="68" t="s">
        <v>776</v>
      </c>
      <c r="M63" s="68" t="s">
        <v>8</v>
      </c>
      <c r="N63" s="68">
        <v>65483.0</v>
      </c>
      <c r="O63" s="68">
        <v>445.0</v>
      </c>
      <c r="P63" s="68">
        <v>0.0068</v>
      </c>
      <c r="Q63" s="68">
        <v>6736.11</v>
      </c>
      <c r="S63" s="68">
        <v>15.14</v>
      </c>
      <c r="T63" s="68">
        <v>1.0</v>
      </c>
      <c r="U63" s="68">
        <v>12720.34</v>
      </c>
      <c r="V63" s="68">
        <v>0.5296</v>
      </c>
      <c r="W63" s="68">
        <v>1.8884</v>
      </c>
    </row>
    <row r="64" ht="15.75" customHeight="1">
      <c r="A64" s="107" t="s">
        <v>46</v>
      </c>
      <c r="B64" s="68" t="s">
        <v>779</v>
      </c>
      <c r="C64" s="68" t="s">
        <v>830</v>
      </c>
      <c r="D64" s="68" t="s">
        <v>781</v>
      </c>
      <c r="E64" s="68" t="s">
        <v>459</v>
      </c>
      <c r="F64" s="68" t="s">
        <v>774</v>
      </c>
      <c r="G64" s="68" t="s">
        <v>775</v>
      </c>
      <c r="H64" s="181">
        <v>45260.0</v>
      </c>
      <c r="J64" s="68" t="s">
        <v>140</v>
      </c>
      <c r="K64" s="68">
        <v>1000.0</v>
      </c>
      <c r="L64" s="68" t="s">
        <v>776</v>
      </c>
      <c r="M64" s="68" t="s">
        <v>8</v>
      </c>
      <c r="N64" s="68">
        <v>59076.0</v>
      </c>
      <c r="O64" s="68">
        <v>194.0</v>
      </c>
      <c r="P64" s="68">
        <v>0.0033</v>
      </c>
      <c r="Q64" s="68">
        <v>5914.44</v>
      </c>
      <c r="S64" s="68">
        <v>30.49</v>
      </c>
      <c r="T64" s="68">
        <v>0.0</v>
      </c>
      <c r="U64" s="68">
        <v>0.0</v>
      </c>
      <c r="V64" s="68">
        <v>0.0</v>
      </c>
      <c r="W64" s="68">
        <v>0.0</v>
      </c>
    </row>
    <row r="65" ht="15.75" customHeight="1">
      <c r="A65" s="107" t="s">
        <v>46</v>
      </c>
      <c r="B65" s="68" t="s">
        <v>771</v>
      </c>
      <c r="C65" s="68" t="s">
        <v>831</v>
      </c>
      <c r="D65" s="68" t="s">
        <v>773</v>
      </c>
      <c r="E65" s="68" t="s">
        <v>459</v>
      </c>
      <c r="F65" s="68" t="s">
        <v>774</v>
      </c>
      <c r="G65" s="68" t="s">
        <v>775</v>
      </c>
      <c r="H65" s="181">
        <v>45301.0</v>
      </c>
      <c r="J65" s="68" t="s">
        <v>134</v>
      </c>
      <c r="K65" s="68">
        <v>500.0</v>
      </c>
      <c r="L65" s="27">
        <v>0.115773333333333</v>
      </c>
      <c r="M65" s="68" t="s">
        <v>8</v>
      </c>
      <c r="N65" s="68">
        <v>32007.0</v>
      </c>
      <c r="O65" s="68">
        <v>242.0</v>
      </c>
      <c r="P65" s="68">
        <v>0.0076</v>
      </c>
      <c r="Q65" s="68">
        <v>5653.71</v>
      </c>
      <c r="S65" s="68">
        <v>23.36</v>
      </c>
      <c r="T65" s="68">
        <v>2.0</v>
      </c>
      <c r="U65" s="68">
        <v>35932.2</v>
      </c>
      <c r="V65" s="68">
        <v>0.1573</v>
      </c>
      <c r="W65" s="68">
        <v>6.3555</v>
      </c>
    </row>
    <row r="66" ht="15.75" customHeight="1">
      <c r="A66" s="107" t="s">
        <v>46</v>
      </c>
      <c r="B66" s="68" t="s">
        <v>771</v>
      </c>
      <c r="C66" s="68" t="s">
        <v>798</v>
      </c>
      <c r="D66" s="68" t="s">
        <v>773</v>
      </c>
      <c r="E66" s="68" t="s">
        <v>461</v>
      </c>
      <c r="F66" s="68" t="s">
        <v>774</v>
      </c>
      <c r="H66" s="181">
        <v>45260.0</v>
      </c>
      <c r="J66" s="68" t="s">
        <v>128</v>
      </c>
      <c r="K66" s="68">
        <v>1000.0</v>
      </c>
      <c r="L66" s="27">
        <v>0.774884502309953</v>
      </c>
      <c r="M66" s="68" t="s">
        <v>8</v>
      </c>
      <c r="N66" s="68">
        <v>75390.0</v>
      </c>
      <c r="O66" s="68">
        <v>240.0</v>
      </c>
      <c r="P66" s="68">
        <v>0.0032</v>
      </c>
      <c r="Q66" s="68">
        <v>5382.31</v>
      </c>
      <c r="S66" s="68">
        <v>22.43</v>
      </c>
      <c r="T66" s="68">
        <v>8.0</v>
      </c>
      <c r="U66" s="68">
        <v>130258.82</v>
      </c>
      <c r="V66" s="68">
        <v>0.0413</v>
      </c>
      <c r="W66" s="68">
        <v>24.2013</v>
      </c>
    </row>
    <row r="67" ht="15.75" customHeight="1">
      <c r="A67" s="107" t="s">
        <v>46</v>
      </c>
      <c r="B67" s="68" t="s">
        <v>771</v>
      </c>
      <c r="C67" s="68" t="s">
        <v>803</v>
      </c>
      <c r="D67" s="68" t="s">
        <v>773</v>
      </c>
      <c r="E67" s="68" t="s">
        <v>459</v>
      </c>
      <c r="F67" s="68" t="s">
        <v>774</v>
      </c>
      <c r="G67" s="68" t="s">
        <v>775</v>
      </c>
      <c r="H67" s="181">
        <v>45260.0</v>
      </c>
      <c r="J67" s="68" t="s">
        <v>128</v>
      </c>
      <c r="K67" s="68">
        <v>1000.0</v>
      </c>
      <c r="L67" s="27">
        <v>0.910485933503836</v>
      </c>
      <c r="M67" s="68" t="s">
        <v>8</v>
      </c>
      <c r="N67" s="68">
        <v>10067.0</v>
      </c>
      <c r="O67" s="68">
        <v>171.0</v>
      </c>
      <c r="P67" s="68">
        <v>0.017</v>
      </c>
      <c r="Q67" s="68">
        <v>5339.59</v>
      </c>
      <c r="S67" s="68">
        <v>31.23</v>
      </c>
      <c r="T67" s="68">
        <v>9.0</v>
      </c>
      <c r="U67" s="68">
        <v>169428.8</v>
      </c>
      <c r="V67" s="68">
        <v>0.0315</v>
      </c>
      <c r="W67" s="68">
        <v>31.7307</v>
      </c>
    </row>
    <row r="68" ht="15.75" customHeight="1">
      <c r="A68" s="107" t="s">
        <v>46</v>
      </c>
      <c r="B68" s="68" t="s">
        <v>771</v>
      </c>
      <c r="C68" s="68" t="s">
        <v>832</v>
      </c>
      <c r="D68" s="68" t="s">
        <v>773</v>
      </c>
      <c r="E68" s="68" t="s">
        <v>463</v>
      </c>
      <c r="F68" s="68" t="s">
        <v>774</v>
      </c>
      <c r="H68" s="181">
        <v>45280.0</v>
      </c>
      <c r="J68" s="68" t="s">
        <v>134</v>
      </c>
      <c r="K68" s="68">
        <v>1000.0</v>
      </c>
      <c r="M68" s="68" t="s">
        <v>8</v>
      </c>
      <c r="N68" s="68">
        <v>118571.0</v>
      </c>
      <c r="O68" s="68">
        <v>287.0</v>
      </c>
      <c r="P68" s="68">
        <v>0.0024</v>
      </c>
      <c r="Q68" s="68">
        <v>5243.17</v>
      </c>
      <c r="S68" s="68">
        <v>18.27</v>
      </c>
      <c r="T68" s="68">
        <v>0.0</v>
      </c>
      <c r="U68" s="68">
        <v>0.0</v>
      </c>
      <c r="V68" s="68">
        <v>0.0</v>
      </c>
      <c r="W68" s="68">
        <v>0.0</v>
      </c>
    </row>
    <row r="69" ht="15.75" customHeight="1">
      <c r="A69" s="107" t="s">
        <v>46</v>
      </c>
      <c r="B69" s="68" t="s">
        <v>779</v>
      </c>
      <c r="C69" s="68" t="s">
        <v>833</v>
      </c>
      <c r="D69" s="68" t="s">
        <v>781</v>
      </c>
      <c r="E69" s="68" t="s">
        <v>460</v>
      </c>
      <c r="F69" s="68" t="s">
        <v>778</v>
      </c>
      <c r="G69" s="68" t="s">
        <v>775</v>
      </c>
      <c r="H69" s="181">
        <v>45296.0</v>
      </c>
      <c r="J69" s="68" t="s">
        <v>119</v>
      </c>
      <c r="K69" s="68">
        <v>200.0</v>
      </c>
      <c r="L69" s="68" t="s">
        <v>776</v>
      </c>
      <c r="M69" s="68" t="s">
        <v>8</v>
      </c>
      <c r="N69" s="68">
        <v>152569.0</v>
      </c>
      <c r="O69" s="68">
        <v>412.0</v>
      </c>
      <c r="P69" s="68">
        <v>0.0027</v>
      </c>
      <c r="Q69" s="68">
        <v>5116.24</v>
      </c>
      <c r="S69" s="68">
        <v>12.42</v>
      </c>
      <c r="T69" s="68">
        <v>0.0</v>
      </c>
      <c r="U69" s="68">
        <v>0.0</v>
      </c>
      <c r="V69" s="68">
        <v>0.0</v>
      </c>
      <c r="W69" s="68">
        <v>0.0</v>
      </c>
    </row>
    <row r="70" ht="15.75" customHeight="1">
      <c r="A70" s="107" t="s">
        <v>46</v>
      </c>
      <c r="B70" s="68" t="s">
        <v>779</v>
      </c>
      <c r="C70" s="68" t="s">
        <v>834</v>
      </c>
      <c r="D70" s="68" t="s">
        <v>781</v>
      </c>
      <c r="E70" s="68" t="s">
        <v>459</v>
      </c>
      <c r="F70" s="68" t="s">
        <v>774</v>
      </c>
      <c r="G70" s="68" t="s">
        <v>775</v>
      </c>
      <c r="H70" s="181">
        <v>45260.0</v>
      </c>
      <c r="J70" s="68" t="s">
        <v>134</v>
      </c>
      <c r="K70" s="68">
        <v>500.0</v>
      </c>
      <c r="L70" s="68" t="s">
        <v>776</v>
      </c>
      <c r="M70" s="68" t="s">
        <v>8</v>
      </c>
      <c r="N70" s="68">
        <v>56167.0</v>
      </c>
      <c r="O70" s="68">
        <v>254.0</v>
      </c>
      <c r="P70" s="68">
        <v>0.0045</v>
      </c>
      <c r="Q70" s="68">
        <v>4893.92</v>
      </c>
      <c r="S70" s="68">
        <v>19.27</v>
      </c>
      <c r="T70" s="68">
        <v>0.0</v>
      </c>
      <c r="U70" s="68">
        <v>0.0</v>
      </c>
      <c r="V70" s="68">
        <v>0.0</v>
      </c>
      <c r="W70" s="68">
        <v>0.0</v>
      </c>
    </row>
    <row r="71" ht="15.75" customHeight="1">
      <c r="A71" s="107" t="s">
        <v>46</v>
      </c>
      <c r="B71" s="68" t="s">
        <v>771</v>
      </c>
      <c r="C71" s="68" t="s">
        <v>835</v>
      </c>
      <c r="D71" s="68" t="s">
        <v>773</v>
      </c>
      <c r="E71" s="68" t="s">
        <v>459</v>
      </c>
      <c r="F71" s="68" t="s">
        <v>774</v>
      </c>
      <c r="G71" s="68" t="s">
        <v>775</v>
      </c>
      <c r="H71" s="181">
        <v>45301.0</v>
      </c>
      <c r="J71" s="68" t="s">
        <v>152</v>
      </c>
      <c r="K71" s="68">
        <v>500.0</v>
      </c>
      <c r="L71" s="68" t="s">
        <v>776</v>
      </c>
      <c r="M71" s="68" t="s">
        <v>8</v>
      </c>
      <c r="N71" s="68">
        <v>48917.0</v>
      </c>
      <c r="O71" s="68">
        <v>168.0</v>
      </c>
      <c r="P71" s="68">
        <v>0.0034</v>
      </c>
      <c r="Q71" s="68">
        <v>3765.45</v>
      </c>
      <c r="S71" s="68">
        <v>22.41</v>
      </c>
      <c r="T71" s="68">
        <v>0.0</v>
      </c>
      <c r="U71" s="68">
        <v>0.0</v>
      </c>
      <c r="V71" s="68">
        <v>0.0</v>
      </c>
      <c r="W71" s="68">
        <v>0.0</v>
      </c>
    </row>
    <row r="72" ht="15.75" customHeight="1">
      <c r="A72" s="107" t="s">
        <v>46</v>
      </c>
      <c r="B72" s="68" t="s">
        <v>779</v>
      </c>
      <c r="C72" s="68" t="s">
        <v>782</v>
      </c>
      <c r="D72" s="68" t="s">
        <v>781</v>
      </c>
      <c r="E72" s="68" t="s">
        <v>459</v>
      </c>
      <c r="F72" s="68" t="s">
        <v>774</v>
      </c>
      <c r="G72" s="68" t="s">
        <v>783</v>
      </c>
      <c r="H72" s="181">
        <v>44057.0</v>
      </c>
      <c r="J72" s="68" t="s">
        <v>90</v>
      </c>
      <c r="K72" s="68">
        <v>500.0</v>
      </c>
      <c r="L72" s="68" t="s">
        <v>776</v>
      </c>
      <c r="M72" s="68" t="s">
        <v>8</v>
      </c>
      <c r="N72" s="68">
        <v>44523.0</v>
      </c>
      <c r="O72" s="68">
        <v>179.0</v>
      </c>
      <c r="P72" s="68">
        <v>0.004</v>
      </c>
      <c r="Q72" s="68">
        <v>3684.39</v>
      </c>
      <c r="S72" s="68">
        <v>20.58</v>
      </c>
      <c r="T72" s="68">
        <v>1.0</v>
      </c>
      <c r="U72" s="68">
        <v>23305.08</v>
      </c>
      <c r="V72" s="68">
        <v>0.1581</v>
      </c>
      <c r="W72" s="68">
        <v>6.3254</v>
      </c>
    </row>
    <row r="73" ht="15.75" customHeight="1">
      <c r="A73" s="107" t="s">
        <v>46</v>
      </c>
      <c r="B73" s="68" t="s">
        <v>771</v>
      </c>
      <c r="C73" s="68" t="s">
        <v>836</v>
      </c>
      <c r="D73" s="68" t="s">
        <v>773</v>
      </c>
      <c r="E73" s="68" t="s">
        <v>462</v>
      </c>
      <c r="F73" s="68" t="s">
        <v>774</v>
      </c>
      <c r="H73" s="181">
        <v>45304.0</v>
      </c>
      <c r="J73" s="68" t="s">
        <v>158</v>
      </c>
      <c r="K73" s="68">
        <v>500.0</v>
      </c>
      <c r="L73" s="27">
        <v>0.0566037735849056</v>
      </c>
      <c r="M73" s="68" t="s">
        <v>8</v>
      </c>
      <c r="N73" s="68">
        <v>15665.0</v>
      </c>
      <c r="O73" s="68">
        <v>272.0</v>
      </c>
      <c r="P73" s="68">
        <v>0.0174</v>
      </c>
      <c r="Q73" s="68">
        <v>3537.56</v>
      </c>
      <c r="S73" s="68">
        <v>13.01</v>
      </c>
      <c r="T73" s="68">
        <v>0.0</v>
      </c>
      <c r="U73" s="68">
        <v>0.0</v>
      </c>
      <c r="V73" s="68">
        <v>0.0</v>
      </c>
      <c r="W73" s="68">
        <v>0.0</v>
      </c>
    </row>
    <row r="74" ht="15.75" customHeight="1">
      <c r="A74" s="107" t="s">
        <v>46</v>
      </c>
      <c r="B74" s="68" t="s">
        <v>779</v>
      </c>
      <c r="C74" s="68" t="s">
        <v>814</v>
      </c>
      <c r="D74" s="68" t="s">
        <v>781</v>
      </c>
      <c r="E74" s="68" t="s">
        <v>463</v>
      </c>
      <c r="F74" s="68" t="s">
        <v>774</v>
      </c>
      <c r="H74" s="181">
        <v>45272.0</v>
      </c>
      <c r="J74" s="68" t="s">
        <v>90</v>
      </c>
      <c r="K74" s="68">
        <v>200.0</v>
      </c>
      <c r="M74" s="68" t="s">
        <v>8</v>
      </c>
      <c r="N74" s="68">
        <v>213527.0</v>
      </c>
      <c r="O74" s="68">
        <v>873.0</v>
      </c>
      <c r="P74" s="68">
        <v>0.0041</v>
      </c>
      <c r="Q74" s="68">
        <v>3232.65</v>
      </c>
      <c r="S74" s="68">
        <v>3.7</v>
      </c>
      <c r="T74" s="68">
        <v>0.0</v>
      </c>
      <c r="U74" s="68">
        <v>0.0</v>
      </c>
      <c r="V74" s="68">
        <v>0.0</v>
      </c>
      <c r="W74" s="68">
        <v>0.0</v>
      </c>
    </row>
    <row r="75" ht="15.75" customHeight="1">
      <c r="A75" s="107" t="s">
        <v>46</v>
      </c>
      <c r="B75" s="68" t="s">
        <v>771</v>
      </c>
      <c r="C75" s="68" t="s">
        <v>837</v>
      </c>
      <c r="D75" s="68" t="s">
        <v>773</v>
      </c>
      <c r="E75" s="68" t="s">
        <v>459</v>
      </c>
      <c r="F75" s="68" t="s">
        <v>774</v>
      </c>
      <c r="G75" s="68" t="s">
        <v>775</v>
      </c>
      <c r="H75" s="181">
        <v>45265.0</v>
      </c>
      <c r="J75" s="68" t="s">
        <v>152</v>
      </c>
      <c r="K75" s="68">
        <v>500.0</v>
      </c>
      <c r="L75" s="27">
        <v>0.0845530244671875</v>
      </c>
      <c r="M75" s="68" t="s">
        <v>8</v>
      </c>
      <c r="N75" s="68">
        <v>35240.0</v>
      </c>
      <c r="O75" s="68">
        <v>170.0</v>
      </c>
      <c r="P75" s="68">
        <v>0.0048</v>
      </c>
      <c r="Q75" s="68">
        <v>3156.93</v>
      </c>
      <c r="S75" s="68">
        <v>18.57</v>
      </c>
      <c r="T75" s="68">
        <v>0.0</v>
      </c>
      <c r="U75" s="68">
        <v>0.0</v>
      </c>
      <c r="V75" s="68">
        <v>0.0</v>
      </c>
      <c r="W75" s="68">
        <v>0.0</v>
      </c>
    </row>
    <row r="76" ht="15.75" customHeight="1">
      <c r="A76" s="107" t="s">
        <v>46</v>
      </c>
      <c r="B76" s="68" t="s">
        <v>771</v>
      </c>
      <c r="C76" s="68" t="s">
        <v>838</v>
      </c>
      <c r="D76" s="68" t="s">
        <v>773</v>
      </c>
      <c r="E76" s="68" t="s">
        <v>459</v>
      </c>
      <c r="F76" s="68" t="s">
        <v>774</v>
      </c>
      <c r="G76" s="68" t="s">
        <v>775</v>
      </c>
      <c r="H76" s="181">
        <v>45260.0</v>
      </c>
      <c r="J76" s="68" t="s">
        <v>152</v>
      </c>
      <c r="K76" s="68">
        <v>500.0</v>
      </c>
      <c r="L76" s="27">
        <v>0.0983318700614574</v>
      </c>
      <c r="M76" s="68" t="s">
        <v>8</v>
      </c>
      <c r="N76" s="68">
        <v>22779.0</v>
      </c>
      <c r="O76" s="68">
        <v>135.0</v>
      </c>
      <c r="P76" s="68">
        <v>0.0059</v>
      </c>
      <c r="Q76" s="68">
        <v>2961.18</v>
      </c>
      <c r="S76" s="68">
        <v>21.93</v>
      </c>
      <c r="T76" s="68">
        <v>1.0</v>
      </c>
      <c r="U76" s="68">
        <v>17795.76</v>
      </c>
      <c r="V76" s="68">
        <v>0.1664</v>
      </c>
      <c r="W76" s="68">
        <v>6.0097</v>
      </c>
    </row>
    <row r="77" ht="15.75" customHeight="1">
      <c r="A77" s="107" t="s">
        <v>46</v>
      </c>
      <c r="B77" s="68" t="s">
        <v>779</v>
      </c>
      <c r="C77" s="68" t="s">
        <v>777</v>
      </c>
      <c r="D77" s="68" t="s">
        <v>781</v>
      </c>
      <c r="E77" s="68" t="s">
        <v>460</v>
      </c>
      <c r="F77" s="68" t="s">
        <v>778</v>
      </c>
      <c r="G77" s="68" t="s">
        <v>775</v>
      </c>
      <c r="H77" s="181">
        <v>45111.0</v>
      </c>
      <c r="J77" s="68" t="s">
        <v>90</v>
      </c>
      <c r="K77" s="68">
        <v>600.0</v>
      </c>
      <c r="L77" s="68" t="s">
        <v>776</v>
      </c>
      <c r="M77" s="68" t="s">
        <v>8</v>
      </c>
      <c r="N77" s="68">
        <v>66478.0</v>
      </c>
      <c r="O77" s="68">
        <v>301.0</v>
      </c>
      <c r="P77" s="68">
        <v>0.0045</v>
      </c>
      <c r="Q77" s="68">
        <v>2688.78</v>
      </c>
      <c r="S77" s="68">
        <v>8.93</v>
      </c>
      <c r="T77" s="68">
        <v>1.0</v>
      </c>
      <c r="U77" s="68">
        <v>13558.48</v>
      </c>
      <c r="V77" s="68">
        <v>0.1983</v>
      </c>
      <c r="W77" s="68">
        <v>5.0426</v>
      </c>
    </row>
    <row r="78" ht="15.75" customHeight="1">
      <c r="A78" s="107" t="s">
        <v>46</v>
      </c>
      <c r="B78" s="68" t="s">
        <v>771</v>
      </c>
      <c r="C78" s="68" t="s">
        <v>841</v>
      </c>
      <c r="D78" s="68" t="s">
        <v>773</v>
      </c>
      <c r="E78" s="68" t="s">
        <v>459</v>
      </c>
      <c r="F78" s="68" t="s">
        <v>774</v>
      </c>
      <c r="G78" s="68" t="s">
        <v>775</v>
      </c>
      <c r="H78" s="181">
        <v>45301.0</v>
      </c>
      <c r="J78" s="68" t="s">
        <v>90</v>
      </c>
      <c r="K78" s="68">
        <v>500.0</v>
      </c>
      <c r="L78" s="27">
        <v>0.0767535806096217</v>
      </c>
      <c r="M78" s="68" t="s">
        <v>8</v>
      </c>
      <c r="N78" s="68">
        <v>37073.0</v>
      </c>
      <c r="O78" s="68">
        <v>100.0</v>
      </c>
      <c r="P78" s="68">
        <v>0.0027</v>
      </c>
      <c r="Q78" s="68">
        <v>2671.05</v>
      </c>
      <c r="S78" s="68">
        <v>26.71</v>
      </c>
      <c r="T78" s="68">
        <v>0.0</v>
      </c>
      <c r="U78" s="68">
        <v>0.0</v>
      </c>
      <c r="V78" s="68">
        <v>0.0</v>
      </c>
      <c r="W78" s="68">
        <v>0.0</v>
      </c>
    </row>
    <row r="79" ht="15.75" customHeight="1">
      <c r="A79" s="107" t="s">
        <v>46</v>
      </c>
      <c r="B79" s="68" t="s">
        <v>771</v>
      </c>
      <c r="C79" s="68" t="s">
        <v>847</v>
      </c>
      <c r="D79" s="68" t="s">
        <v>773</v>
      </c>
      <c r="E79" s="68" t="s">
        <v>459</v>
      </c>
      <c r="F79" s="68" t="s">
        <v>774</v>
      </c>
      <c r="G79" s="68" t="s">
        <v>775</v>
      </c>
      <c r="H79" s="181">
        <v>45301.0</v>
      </c>
      <c r="J79" s="68" t="s">
        <v>134</v>
      </c>
      <c r="K79" s="68">
        <v>500.0</v>
      </c>
      <c r="L79" s="27">
        <v>0.433995123650296</v>
      </c>
      <c r="M79" s="68" t="s">
        <v>8</v>
      </c>
      <c r="N79" s="68">
        <v>3092.0</v>
      </c>
      <c r="O79" s="68">
        <v>90.0</v>
      </c>
      <c r="P79" s="68">
        <v>0.0291</v>
      </c>
      <c r="Q79" s="68">
        <v>2035.66</v>
      </c>
      <c r="S79" s="68">
        <v>22.62</v>
      </c>
      <c r="T79" s="68">
        <v>0.0</v>
      </c>
      <c r="U79" s="68">
        <v>0.0</v>
      </c>
      <c r="V79" s="68">
        <v>0.0</v>
      </c>
      <c r="W79" s="68">
        <v>0.0</v>
      </c>
    </row>
    <row r="80" ht="15.75" customHeight="1">
      <c r="A80" s="107" t="s">
        <v>46</v>
      </c>
      <c r="B80" s="68" t="s">
        <v>771</v>
      </c>
      <c r="C80" s="68" t="s">
        <v>808</v>
      </c>
      <c r="D80" s="68" t="s">
        <v>773</v>
      </c>
      <c r="E80" s="68" t="s">
        <v>463</v>
      </c>
      <c r="F80" s="68" t="s">
        <v>774</v>
      </c>
      <c r="H80" s="181">
        <v>45272.0</v>
      </c>
      <c r="J80" s="68" t="s">
        <v>90</v>
      </c>
      <c r="K80" s="68">
        <v>250.0</v>
      </c>
      <c r="M80" s="68" t="s">
        <v>8</v>
      </c>
      <c r="N80" s="68">
        <v>235718.0</v>
      </c>
      <c r="O80" s="68">
        <v>910.0</v>
      </c>
      <c r="P80" s="68">
        <v>0.0039</v>
      </c>
      <c r="Q80" s="68">
        <v>1827.09</v>
      </c>
      <c r="S80" s="68">
        <v>2.01</v>
      </c>
      <c r="T80" s="68">
        <v>0.0</v>
      </c>
      <c r="U80" s="68">
        <v>0.0</v>
      </c>
      <c r="V80" s="68">
        <v>0.0</v>
      </c>
      <c r="W80" s="68">
        <v>0.0</v>
      </c>
    </row>
    <row r="81" ht="15.75" customHeight="1">
      <c r="A81" s="107" t="s">
        <v>46</v>
      </c>
      <c r="B81" s="68" t="s">
        <v>771</v>
      </c>
      <c r="C81" s="68" t="s">
        <v>857</v>
      </c>
      <c r="D81" s="68" t="s">
        <v>773</v>
      </c>
      <c r="E81" s="68" t="s">
        <v>459</v>
      </c>
      <c r="F81" s="68" t="s">
        <v>774</v>
      </c>
      <c r="G81" s="68" t="s">
        <v>775</v>
      </c>
      <c r="H81" s="181">
        <v>45301.0</v>
      </c>
      <c r="J81" s="68" t="s">
        <v>134</v>
      </c>
      <c r="K81" s="68">
        <v>1000.0</v>
      </c>
      <c r="L81" s="27">
        <v>0.473994111874386</v>
      </c>
      <c r="M81" s="68" t="s">
        <v>8</v>
      </c>
      <c r="N81" s="68">
        <v>8074.0</v>
      </c>
      <c r="O81" s="68">
        <v>65.0</v>
      </c>
      <c r="P81" s="68">
        <v>0.0081</v>
      </c>
      <c r="Q81" s="68">
        <v>1795.19</v>
      </c>
      <c r="S81" s="68">
        <v>27.62</v>
      </c>
      <c r="T81" s="68">
        <v>1.0</v>
      </c>
      <c r="U81" s="68">
        <v>17711.86</v>
      </c>
      <c r="V81" s="68">
        <v>0.1014</v>
      </c>
      <c r="W81" s="68">
        <v>9.8663</v>
      </c>
    </row>
    <row r="82" ht="15.75" customHeight="1">
      <c r="A82" s="107" t="s">
        <v>46</v>
      </c>
      <c r="B82" s="68" t="s">
        <v>771</v>
      </c>
      <c r="C82" s="68" t="s">
        <v>862</v>
      </c>
      <c r="D82" s="68" t="s">
        <v>773</v>
      </c>
      <c r="E82" s="68" t="s">
        <v>463</v>
      </c>
      <c r="F82" s="68" t="s">
        <v>774</v>
      </c>
      <c r="H82" s="181">
        <v>45309.0</v>
      </c>
      <c r="J82" s="68" t="s">
        <v>128</v>
      </c>
      <c r="K82" s="68">
        <v>500.0</v>
      </c>
      <c r="M82" s="68" t="s">
        <v>8</v>
      </c>
      <c r="N82" s="68">
        <v>13744.0</v>
      </c>
      <c r="O82" s="68">
        <v>72.0</v>
      </c>
      <c r="P82" s="68">
        <v>0.0052</v>
      </c>
      <c r="Q82" s="68">
        <v>1664.99</v>
      </c>
      <c r="S82" s="68">
        <v>23.12</v>
      </c>
      <c r="T82" s="68">
        <v>1.0</v>
      </c>
      <c r="U82" s="68">
        <v>13983.05</v>
      </c>
      <c r="V82" s="68">
        <v>0.1191</v>
      </c>
      <c r="W82" s="68">
        <v>8.3983</v>
      </c>
    </row>
    <row r="83" ht="15.75" customHeight="1">
      <c r="A83" s="107" t="s">
        <v>46</v>
      </c>
      <c r="B83" s="68" t="s">
        <v>771</v>
      </c>
      <c r="C83" s="68" t="s">
        <v>863</v>
      </c>
      <c r="D83" s="68" t="s">
        <v>773</v>
      </c>
      <c r="E83" s="68" t="s">
        <v>460</v>
      </c>
      <c r="F83" s="68" t="s">
        <v>778</v>
      </c>
      <c r="G83" s="68" t="s">
        <v>775</v>
      </c>
      <c r="H83" s="181">
        <v>45301.0</v>
      </c>
      <c r="J83" s="68" t="s">
        <v>170</v>
      </c>
      <c r="K83" s="68">
        <v>200.0</v>
      </c>
      <c r="L83" s="68" t="s">
        <v>776</v>
      </c>
      <c r="M83" s="68" t="s">
        <v>8</v>
      </c>
      <c r="N83" s="68">
        <v>84944.0</v>
      </c>
      <c r="O83" s="68">
        <v>227.0</v>
      </c>
      <c r="P83" s="68">
        <v>0.0027</v>
      </c>
      <c r="Q83" s="68">
        <v>1613.67</v>
      </c>
      <c r="S83" s="68">
        <v>7.11</v>
      </c>
      <c r="T83" s="68">
        <v>1.0</v>
      </c>
      <c r="U83" s="68">
        <v>669.5</v>
      </c>
      <c r="V83" s="68">
        <v>2.4103</v>
      </c>
      <c r="W83" s="68">
        <v>0.4149</v>
      </c>
    </row>
    <row r="84" ht="15.75" customHeight="1">
      <c r="A84" s="107" t="s">
        <v>46</v>
      </c>
      <c r="B84" s="68" t="s">
        <v>771</v>
      </c>
      <c r="C84" s="68" t="s">
        <v>864</v>
      </c>
      <c r="D84" s="68" t="s">
        <v>773</v>
      </c>
      <c r="E84" s="68" t="s">
        <v>459</v>
      </c>
      <c r="F84" s="68" t="s">
        <v>774</v>
      </c>
      <c r="G84" s="68" t="s">
        <v>775</v>
      </c>
      <c r="H84" s="181">
        <v>45301.0</v>
      </c>
      <c r="J84" s="68" t="s">
        <v>134</v>
      </c>
      <c r="K84" s="68">
        <v>500.0</v>
      </c>
      <c r="L84" s="27">
        <v>0.0808690404345202</v>
      </c>
      <c r="M84" s="68" t="s">
        <v>8</v>
      </c>
      <c r="N84" s="68">
        <v>20713.0</v>
      </c>
      <c r="O84" s="68">
        <v>50.0</v>
      </c>
      <c r="P84" s="68">
        <v>0.0024</v>
      </c>
      <c r="Q84" s="68">
        <v>1604.32</v>
      </c>
      <c r="S84" s="68">
        <v>32.09</v>
      </c>
      <c r="T84" s="68">
        <v>0.0</v>
      </c>
      <c r="U84" s="68">
        <v>0.0</v>
      </c>
      <c r="V84" s="68">
        <v>0.0</v>
      </c>
      <c r="W84" s="68">
        <v>0.0</v>
      </c>
    </row>
    <row r="85" ht="15.75" customHeight="1">
      <c r="A85" s="107" t="s">
        <v>46</v>
      </c>
      <c r="B85" s="68" t="s">
        <v>771</v>
      </c>
      <c r="C85" s="68" t="s">
        <v>865</v>
      </c>
      <c r="D85" s="68" t="s">
        <v>773</v>
      </c>
      <c r="E85" s="68" t="s">
        <v>459</v>
      </c>
      <c r="F85" s="68" t="s">
        <v>774</v>
      </c>
      <c r="G85" s="68" t="s">
        <v>775</v>
      </c>
      <c r="H85" s="181">
        <v>45301.0</v>
      </c>
      <c r="J85" s="68" t="s">
        <v>134</v>
      </c>
      <c r="K85" s="68">
        <v>1000.0</v>
      </c>
      <c r="L85" s="27">
        <v>0.315352697095435</v>
      </c>
      <c r="M85" s="68" t="s">
        <v>8</v>
      </c>
      <c r="N85" s="68">
        <v>15113.0</v>
      </c>
      <c r="O85" s="68">
        <v>63.0</v>
      </c>
      <c r="P85" s="68">
        <v>0.0042</v>
      </c>
      <c r="Q85" s="68">
        <v>1572.52</v>
      </c>
      <c r="S85" s="68">
        <v>24.96</v>
      </c>
      <c r="T85" s="68">
        <v>0.0</v>
      </c>
      <c r="U85" s="68">
        <v>0.0</v>
      </c>
      <c r="V85" s="68">
        <v>0.0</v>
      </c>
      <c r="W85" s="68">
        <v>0.0</v>
      </c>
    </row>
    <row r="86" ht="15.75" customHeight="1">
      <c r="A86" s="107" t="s">
        <v>46</v>
      </c>
      <c r="B86" s="68" t="s">
        <v>779</v>
      </c>
      <c r="C86" s="68" t="s">
        <v>804</v>
      </c>
      <c r="D86" s="68" t="s">
        <v>781</v>
      </c>
      <c r="E86" s="68" t="s">
        <v>459</v>
      </c>
      <c r="F86" s="68" t="s">
        <v>774</v>
      </c>
      <c r="G86" s="68" t="s">
        <v>775</v>
      </c>
      <c r="H86" s="181">
        <v>45260.0</v>
      </c>
      <c r="J86" s="68" t="s">
        <v>128</v>
      </c>
      <c r="K86" s="68">
        <v>1000.0</v>
      </c>
      <c r="L86" s="27">
        <v>0.515025041736227</v>
      </c>
      <c r="M86" s="68" t="s">
        <v>8</v>
      </c>
      <c r="N86" s="68">
        <v>7026.0</v>
      </c>
      <c r="O86" s="68">
        <v>67.0</v>
      </c>
      <c r="P86" s="68">
        <v>0.0095</v>
      </c>
      <c r="Q86" s="68">
        <v>1382.89</v>
      </c>
      <c r="S86" s="68">
        <v>20.64</v>
      </c>
      <c r="T86" s="68">
        <v>0.0</v>
      </c>
      <c r="U86" s="68">
        <v>0.0</v>
      </c>
      <c r="V86" s="68">
        <v>0.0</v>
      </c>
      <c r="W86" s="68">
        <v>0.0</v>
      </c>
    </row>
    <row r="87" ht="15.75" customHeight="1">
      <c r="A87" s="107" t="s">
        <v>46</v>
      </c>
      <c r="B87" s="68" t="s">
        <v>771</v>
      </c>
      <c r="C87" s="68" t="s">
        <v>866</v>
      </c>
      <c r="D87" s="68" t="s">
        <v>773</v>
      </c>
      <c r="E87" s="68" t="s">
        <v>460</v>
      </c>
      <c r="F87" s="68" t="s">
        <v>778</v>
      </c>
      <c r="G87" s="68" t="s">
        <v>775</v>
      </c>
      <c r="H87" s="181">
        <v>45301.0</v>
      </c>
      <c r="J87" s="68" t="s">
        <v>158</v>
      </c>
      <c r="K87" s="68">
        <v>200.0</v>
      </c>
      <c r="L87" s="68" t="s">
        <v>776</v>
      </c>
      <c r="M87" s="68" t="s">
        <v>8</v>
      </c>
      <c r="N87" s="68">
        <v>82098.0</v>
      </c>
      <c r="O87" s="68">
        <v>205.0</v>
      </c>
      <c r="P87" s="68">
        <v>0.0025</v>
      </c>
      <c r="Q87" s="68">
        <v>1366.97</v>
      </c>
      <c r="S87" s="68">
        <v>6.67</v>
      </c>
      <c r="T87" s="68">
        <v>1.0</v>
      </c>
      <c r="U87" s="68">
        <v>9237.29</v>
      </c>
      <c r="V87" s="68">
        <v>0.148</v>
      </c>
      <c r="W87" s="68">
        <v>6.7575</v>
      </c>
    </row>
    <row r="88" ht="15.75" customHeight="1">
      <c r="A88" s="107" t="s">
        <v>46</v>
      </c>
      <c r="B88" s="68" t="s">
        <v>779</v>
      </c>
      <c r="C88" s="68" t="s">
        <v>806</v>
      </c>
      <c r="D88" s="68" t="s">
        <v>781</v>
      </c>
      <c r="E88" s="68" t="s">
        <v>459</v>
      </c>
      <c r="F88" s="68" t="s">
        <v>774</v>
      </c>
      <c r="G88" s="68" t="s">
        <v>775</v>
      </c>
      <c r="H88" s="181">
        <v>45260.0</v>
      </c>
      <c r="J88" s="68" t="s">
        <v>176</v>
      </c>
      <c r="K88" s="68">
        <v>500.0</v>
      </c>
      <c r="L88" s="68" t="s">
        <v>776</v>
      </c>
      <c r="M88" s="68" t="s">
        <v>8</v>
      </c>
      <c r="N88" s="68">
        <v>5627.0</v>
      </c>
      <c r="O88" s="68">
        <v>32.0</v>
      </c>
      <c r="P88" s="68">
        <v>0.0057</v>
      </c>
      <c r="Q88" s="68">
        <v>918.41</v>
      </c>
      <c r="S88" s="68">
        <v>28.7</v>
      </c>
      <c r="T88" s="68">
        <v>0.0</v>
      </c>
      <c r="U88" s="68">
        <v>0.0</v>
      </c>
      <c r="V88" s="68">
        <v>0.0</v>
      </c>
      <c r="W88" s="68">
        <v>0.0</v>
      </c>
    </row>
    <row r="89" ht="15.75" customHeight="1">
      <c r="A89" s="107" t="s">
        <v>46</v>
      </c>
      <c r="B89" s="68" t="s">
        <v>771</v>
      </c>
      <c r="C89" s="68" t="s">
        <v>867</v>
      </c>
      <c r="D89" s="68" t="s">
        <v>773</v>
      </c>
      <c r="E89" s="68" t="s">
        <v>459</v>
      </c>
      <c r="F89" s="68" t="s">
        <v>774</v>
      </c>
      <c r="G89" s="68" t="s">
        <v>775</v>
      </c>
      <c r="H89" s="181">
        <v>45301.0</v>
      </c>
      <c r="J89" s="68" t="s">
        <v>176</v>
      </c>
      <c r="K89" s="68">
        <v>500.0</v>
      </c>
      <c r="L89" s="27">
        <v>0.110491071428571</v>
      </c>
      <c r="M89" s="68" t="s">
        <v>8</v>
      </c>
      <c r="N89" s="68">
        <v>22171.0</v>
      </c>
      <c r="O89" s="68">
        <v>36.0</v>
      </c>
      <c r="P89" s="68">
        <v>0.0016</v>
      </c>
      <c r="Q89" s="68">
        <v>827.87</v>
      </c>
      <c r="S89" s="68">
        <v>23.0</v>
      </c>
      <c r="T89" s="68">
        <v>0.0</v>
      </c>
      <c r="U89" s="68">
        <v>0.0</v>
      </c>
      <c r="V89" s="68">
        <v>0.0</v>
      </c>
      <c r="W89" s="68">
        <v>0.0</v>
      </c>
    </row>
    <row r="90" ht="15.75" customHeight="1">
      <c r="A90" s="107" t="s">
        <v>46</v>
      </c>
      <c r="B90" s="68" t="s">
        <v>771</v>
      </c>
      <c r="C90" s="68" t="s">
        <v>868</v>
      </c>
      <c r="D90" s="68" t="s">
        <v>773</v>
      </c>
      <c r="E90" s="68" t="s">
        <v>459</v>
      </c>
      <c r="F90" s="68" t="s">
        <v>774</v>
      </c>
      <c r="G90" s="68" t="s">
        <v>775</v>
      </c>
      <c r="H90" s="181">
        <v>45301.0</v>
      </c>
      <c r="J90" s="68" t="e">
        <v>#N/A</v>
      </c>
      <c r="K90" s="68">
        <v>300.0</v>
      </c>
      <c r="L90" s="68" t="s">
        <v>776</v>
      </c>
      <c r="M90" s="68" t="s">
        <v>8</v>
      </c>
      <c r="N90" s="68">
        <v>6882.0</v>
      </c>
      <c r="O90" s="68">
        <v>45.0</v>
      </c>
      <c r="P90" s="68">
        <v>0.0065</v>
      </c>
      <c r="Q90" s="68">
        <v>751.99</v>
      </c>
      <c r="S90" s="68">
        <v>16.71</v>
      </c>
      <c r="T90" s="68">
        <v>0.0</v>
      </c>
      <c r="U90" s="68">
        <v>0.0</v>
      </c>
      <c r="V90" s="68">
        <v>0.0</v>
      </c>
      <c r="W90" s="68">
        <v>0.0</v>
      </c>
    </row>
    <row r="91" ht="15.75" customHeight="1">
      <c r="A91" s="107" t="s">
        <v>46</v>
      </c>
      <c r="B91" s="68" t="s">
        <v>771</v>
      </c>
      <c r="C91" s="68" t="s">
        <v>869</v>
      </c>
      <c r="D91" s="68" t="s">
        <v>773</v>
      </c>
      <c r="E91" s="68" t="s">
        <v>459</v>
      </c>
      <c r="F91" s="68" t="s">
        <v>774</v>
      </c>
      <c r="G91" s="68" t="s">
        <v>775</v>
      </c>
      <c r="H91" s="181">
        <v>45301.0</v>
      </c>
      <c r="J91" s="68" t="e">
        <v>#N/A</v>
      </c>
      <c r="K91" s="68">
        <v>300.0</v>
      </c>
      <c r="L91" s="68" t="s">
        <v>776</v>
      </c>
      <c r="M91" s="68" t="s">
        <v>8</v>
      </c>
      <c r="N91" s="68">
        <v>11628.0</v>
      </c>
      <c r="O91" s="68">
        <v>64.0</v>
      </c>
      <c r="P91" s="68">
        <v>0.0055</v>
      </c>
      <c r="Q91" s="68">
        <v>590.11</v>
      </c>
      <c r="S91" s="68">
        <v>9.22</v>
      </c>
      <c r="T91" s="68">
        <v>0.0</v>
      </c>
      <c r="U91" s="68">
        <v>0.0</v>
      </c>
      <c r="V91" s="68">
        <v>0.0</v>
      </c>
      <c r="W91" s="68">
        <v>0.0</v>
      </c>
    </row>
    <row r="92" ht="15.75" customHeight="1">
      <c r="A92" s="107" t="s">
        <v>46</v>
      </c>
      <c r="B92" s="68" t="s">
        <v>771</v>
      </c>
      <c r="C92" s="68" t="s">
        <v>870</v>
      </c>
      <c r="D92" s="68" t="s">
        <v>773</v>
      </c>
      <c r="E92" s="68" t="s">
        <v>459</v>
      </c>
      <c r="F92" s="68" t="s">
        <v>774</v>
      </c>
      <c r="G92" s="68" t="s">
        <v>775</v>
      </c>
      <c r="H92" s="181">
        <v>45301.0</v>
      </c>
      <c r="J92" s="68" t="s">
        <v>134</v>
      </c>
      <c r="K92" s="68">
        <v>1000.0</v>
      </c>
      <c r="L92" s="27">
        <v>0.238916256157635</v>
      </c>
      <c r="M92" s="68" t="s">
        <v>8</v>
      </c>
      <c r="N92" s="68">
        <v>5379.0</v>
      </c>
      <c r="O92" s="68">
        <v>25.0</v>
      </c>
      <c r="P92" s="68">
        <v>0.0046</v>
      </c>
      <c r="Q92" s="68">
        <v>588.83</v>
      </c>
      <c r="S92" s="68">
        <v>23.55</v>
      </c>
      <c r="T92" s="68">
        <v>1.0</v>
      </c>
      <c r="U92" s="68">
        <v>20993.22</v>
      </c>
      <c r="V92" s="68">
        <v>0.028</v>
      </c>
      <c r="W92" s="68">
        <v>35.6524</v>
      </c>
    </row>
    <row r="93" ht="15.75" customHeight="1">
      <c r="A93" s="107" t="s">
        <v>46</v>
      </c>
      <c r="B93" s="68" t="s">
        <v>771</v>
      </c>
      <c r="C93" s="68" t="s">
        <v>871</v>
      </c>
      <c r="D93" s="68" t="s">
        <v>773</v>
      </c>
      <c r="E93" s="68" t="s">
        <v>459</v>
      </c>
      <c r="F93" s="68" t="s">
        <v>774</v>
      </c>
      <c r="G93" s="68" t="s">
        <v>775</v>
      </c>
      <c r="H93" s="181">
        <v>45296.0</v>
      </c>
      <c r="J93" s="68" t="s">
        <v>119</v>
      </c>
      <c r="K93" s="68">
        <v>200.0</v>
      </c>
      <c r="L93" s="68" t="s">
        <v>776</v>
      </c>
      <c r="M93" s="68" t="s">
        <v>8</v>
      </c>
      <c r="N93" s="68">
        <v>7165.0</v>
      </c>
      <c r="O93" s="68">
        <v>81.0</v>
      </c>
      <c r="P93" s="68">
        <v>0.0113</v>
      </c>
      <c r="Q93" s="68">
        <v>562.05</v>
      </c>
      <c r="S93" s="68">
        <v>6.94</v>
      </c>
      <c r="T93" s="68">
        <v>1.0</v>
      </c>
      <c r="U93" s="68">
        <v>3771.18</v>
      </c>
      <c r="V93" s="68">
        <v>0.149</v>
      </c>
      <c r="W93" s="68">
        <v>6.7097</v>
      </c>
    </row>
    <row r="94" ht="15.75" customHeight="1">
      <c r="A94" s="107" t="s">
        <v>46</v>
      </c>
      <c r="B94" s="68" t="s">
        <v>779</v>
      </c>
      <c r="C94" s="68" t="s">
        <v>785</v>
      </c>
      <c r="D94" s="68" t="s">
        <v>781</v>
      </c>
      <c r="E94" s="68" t="s">
        <v>460</v>
      </c>
      <c r="F94" s="68" t="s">
        <v>778</v>
      </c>
      <c r="G94" s="68" t="s">
        <v>775</v>
      </c>
      <c r="H94" s="181">
        <v>44567.0</v>
      </c>
      <c r="J94" s="68" t="s">
        <v>90</v>
      </c>
      <c r="K94" s="68">
        <v>500.0</v>
      </c>
      <c r="L94" s="68" t="s">
        <v>776</v>
      </c>
      <c r="M94" s="68" t="s">
        <v>8</v>
      </c>
      <c r="N94" s="68">
        <v>23967.0</v>
      </c>
      <c r="O94" s="68">
        <v>73.0</v>
      </c>
      <c r="P94" s="68">
        <v>0.003</v>
      </c>
      <c r="Q94" s="68">
        <v>511.56</v>
      </c>
      <c r="S94" s="68">
        <v>7.01</v>
      </c>
      <c r="T94" s="68">
        <v>0.0</v>
      </c>
      <c r="U94" s="68">
        <v>0.0</v>
      </c>
      <c r="V94" s="68">
        <v>0.0</v>
      </c>
      <c r="W94" s="68">
        <v>0.0</v>
      </c>
    </row>
    <row r="95" ht="15.75" customHeight="1">
      <c r="A95" s="107" t="s">
        <v>46</v>
      </c>
      <c r="B95" s="68" t="s">
        <v>771</v>
      </c>
      <c r="C95" s="68" t="s">
        <v>872</v>
      </c>
      <c r="D95" s="68" t="s">
        <v>773</v>
      </c>
      <c r="E95" s="68" t="s">
        <v>459</v>
      </c>
      <c r="F95" s="68" t="s">
        <v>774</v>
      </c>
      <c r="G95" s="68" t="s">
        <v>775</v>
      </c>
      <c r="H95" s="181">
        <v>45301.0</v>
      </c>
      <c r="J95" s="68" t="s">
        <v>158</v>
      </c>
      <c r="K95" s="68">
        <v>200.0</v>
      </c>
      <c r="L95" s="68" t="s">
        <v>776</v>
      </c>
      <c r="M95" s="68" t="s">
        <v>8</v>
      </c>
      <c r="N95" s="68">
        <v>17948.0</v>
      </c>
      <c r="O95" s="68">
        <v>55.0</v>
      </c>
      <c r="P95" s="68">
        <v>0.0031</v>
      </c>
      <c r="Q95" s="68">
        <v>464.22</v>
      </c>
      <c r="S95" s="68">
        <v>8.44</v>
      </c>
      <c r="T95" s="68">
        <v>0.0</v>
      </c>
      <c r="U95" s="68">
        <v>0.0</v>
      </c>
      <c r="V95" s="68">
        <v>0.0</v>
      </c>
      <c r="W95" s="68">
        <v>0.0</v>
      </c>
    </row>
    <row r="96" ht="15.75" customHeight="1">
      <c r="A96" s="107" t="s">
        <v>46</v>
      </c>
      <c r="B96" s="68" t="s">
        <v>779</v>
      </c>
      <c r="C96" s="68" t="s">
        <v>805</v>
      </c>
      <c r="D96" s="68" t="s">
        <v>781</v>
      </c>
      <c r="E96" s="68" t="s">
        <v>459</v>
      </c>
      <c r="F96" s="68" t="s">
        <v>774</v>
      </c>
      <c r="G96" s="68" t="s">
        <v>775</v>
      </c>
      <c r="H96" s="181">
        <v>45260.0</v>
      </c>
      <c r="J96" s="68" t="s">
        <v>128</v>
      </c>
      <c r="K96" s="68">
        <v>1000.0</v>
      </c>
      <c r="L96" s="27">
        <v>0.641025641025641</v>
      </c>
      <c r="M96" s="68" t="s">
        <v>8</v>
      </c>
      <c r="N96" s="68">
        <v>4673.0</v>
      </c>
      <c r="O96" s="68">
        <v>15.0</v>
      </c>
      <c r="P96" s="68">
        <v>0.0032</v>
      </c>
      <c r="Q96" s="68">
        <v>393.31</v>
      </c>
      <c r="S96" s="68">
        <v>26.22</v>
      </c>
      <c r="T96" s="68">
        <v>0.0</v>
      </c>
      <c r="U96" s="68">
        <v>0.0</v>
      </c>
      <c r="V96" s="68">
        <v>0.0</v>
      </c>
      <c r="W96" s="68">
        <v>0.0</v>
      </c>
    </row>
    <row r="97" ht="15.75" customHeight="1">
      <c r="A97" s="107" t="s">
        <v>46</v>
      </c>
      <c r="B97" s="68" t="s">
        <v>779</v>
      </c>
      <c r="C97" s="68" t="s">
        <v>810</v>
      </c>
      <c r="D97" s="68" t="s">
        <v>781</v>
      </c>
      <c r="E97" s="68" t="s">
        <v>459</v>
      </c>
      <c r="F97" s="68" t="s">
        <v>774</v>
      </c>
      <c r="G97" s="68" t="s">
        <v>775</v>
      </c>
      <c r="H97" s="181">
        <v>45260.0</v>
      </c>
      <c r="J97" s="68" t="s">
        <v>128</v>
      </c>
      <c r="K97" s="68">
        <v>1000.0</v>
      </c>
      <c r="L97" s="27">
        <v>0.861313868613138</v>
      </c>
      <c r="M97" s="68" t="s">
        <v>8</v>
      </c>
      <c r="N97" s="68">
        <v>1058.0</v>
      </c>
      <c r="O97" s="68">
        <v>6.0</v>
      </c>
      <c r="P97" s="68">
        <v>0.0057</v>
      </c>
      <c r="Q97" s="68">
        <v>162.42</v>
      </c>
      <c r="S97" s="68">
        <v>27.07</v>
      </c>
      <c r="T97" s="68">
        <v>0.0</v>
      </c>
      <c r="U97" s="68">
        <v>0.0</v>
      </c>
      <c r="V97" s="68">
        <v>0.0</v>
      </c>
      <c r="W97" s="68">
        <v>0.0</v>
      </c>
    </row>
    <row r="98" ht="15.75" customHeight="1">
      <c r="A98" s="107" t="s">
        <v>46</v>
      </c>
      <c r="B98" s="68" t="s">
        <v>771</v>
      </c>
      <c r="C98" s="68" t="s">
        <v>787</v>
      </c>
      <c r="D98" s="68" t="s">
        <v>773</v>
      </c>
      <c r="E98" s="68" t="s">
        <v>459</v>
      </c>
      <c r="F98" s="68" t="s">
        <v>774</v>
      </c>
      <c r="G98" s="68" t="s">
        <v>775</v>
      </c>
      <c r="H98" s="181">
        <v>45055.0</v>
      </c>
      <c r="J98" s="68" t="s">
        <v>119</v>
      </c>
      <c r="K98" s="68">
        <v>800.0</v>
      </c>
      <c r="L98" s="27">
        <v>0.0706521739130434</v>
      </c>
      <c r="M98" s="68" t="s">
        <v>8</v>
      </c>
      <c r="N98" s="68">
        <v>618.0</v>
      </c>
      <c r="O98" s="68">
        <v>5.0</v>
      </c>
      <c r="P98" s="68">
        <v>0.0081</v>
      </c>
      <c r="Q98" s="68">
        <v>45.14</v>
      </c>
      <c r="S98" s="68">
        <v>9.03</v>
      </c>
      <c r="T98" s="68">
        <v>0.0</v>
      </c>
      <c r="U98" s="68">
        <v>0.0</v>
      </c>
      <c r="V98" s="68">
        <v>0.0</v>
      </c>
      <c r="W98" s="68">
        <v>0.0</v>
      </c>
    </row>
    <row r="99" ht="15.75" customHeight="1">
      <c r="A99" s="107" t="s">
        <v>46</v>
      </c>
      <c r="B99" s="68" t="s">
        <v>771</v>
      </c>
      <c r="C99" s="68" t="s">
        <v>873</v>
      </c>
      <c r="D99" s="68" t="s">
        <v>773</v>
      </c>
      <c r="E99" s="68" t="s">
        <v>459</v>
      </c>
      <c r="F99" s="68" t="s">
        <v>774</v>
      </c>
      <c r="G99" s="68" t="s">
        <v>775</v>
      </c>
      <c r="H99" s="181">
        <v>45309.0</v>
      </c>
      <c r="J99" s="68" t="s">
        <v>874</v>
      </c>
      <c r="K99" s="68">
        <v>250.0</v>
      </c>
      <c r="L99" s="68" t="s">
        <v>776</v>
      </c>
      <c r="M99" s="68" t="s">
        <v>8</v>
      </c>
      <c r="N99" s="68">
        <v>1372.0</v>
      </c>
      <c r="O99" s="68">
        <v>4.0</v>
      </c>
      <c r="P99" s="68">
        <v>0.0029</v>
      </c>
      <c r="Q99" s="68">
        <v>33.08</v>
      </c>
      <c r="S99" s="68">
        <v>8.27</v>
      </c>
      <c r="T99" s="68">
        <v>0.0</v>
      </c>
      <c r="U99" s="68">
        <v>0.0</v>
      </c>
      <c r="V99" s="68">
        <v>0.0</v>
      </c>
      <c r="W99" s="68">
        <v>0.0</v>
      </c>
    </row>
    <row r="100" ht="15.75" customHeight="1">
      <c r="A100" s="107" t="s">
        <v>46</v>
      </c>
      <c r="B100" s="68" t="s">
        <v>771</v>
      </c>
      <c r="C100" s="68" t="s">
        <v>875</v>
      </c>
      <c r="D100" s="68" t="s">
        <v>773</v>
      </c>
      <c r="E100" s="68" t="s">
        <v>460</v>
      </c>
      <c r="F100" s="68" t="s">
        <v>778</v>
      </c>
      <c r="G100" s="68" t="s">
        <v>775</v>
      </c>
      <c r="H100" s="181">
        <v>45309.0</v>
      </c>
      <c r="J100" s="68" t="s">
        <v>182</v>
      </c>
      <c r="K100" s="68">
        <v>260.0</v>
      </c>
      <c r="L100" s="68" t="s">
        <v>776</v>
      </c>
      <c r="M100" s="68" t="s">
        <v>8</v>
      </c>
      <c r="N100" s="68">
        <v>776.0</v>
      </c>
      <c r="O100" s="68">
        <v>3.0</v>
      </c>
      <c r="P100" s="68">
        <v>0.0039</v>
      </c>
      <c r="Q100" s="68">
        <v>7.98</v>
      </c>
      <c r="S100" s="68">
        <v>2.66</v>
      </c>
      <c r="T100" s="68">
        <v>0.0</v>
      </c>
      <c r="U100" s="68">
        <v>0.0</v>
      </c>
      <c r="V100" s="68">
        <v>0.0</v>
      </c>
      <c r="W100" s="68">
        <v>0.0</v>
      </c>
    </row>
    <row r="101" ht="15.75" customHeight="1">
      <c r="A101" s="107" t="s">
        <v>47</v>
      </c>
      <c r="B101" s="68" t="s">
        <v>779</v>
      </c>
      <c r="C101" s="68" t="s">
        <v>787</v>
      </c>
      <c r="D101" s="68" t="s">
        <v>781</v>
      </c>
      <c r="E101" s="68" t="s">
        <v>459</v>
      </c>
      <c r="F101" s="68" t="s">
        <v>774</v>
      </c>
      <c r="G101" s="68" t="s">
        <v>775</v>
      </c>
      <c r="H101" s="181">
        <v>45055.0</v>
      </c>
      <c r="J101" s="68" t="s">
        <v>119</v>
      </c>
      <c r="K101" s="68">
        <v>800.0</v>
      </c>
      <c r="L101" s="68" t="s">
        <v>776</v>
      </c>
      <c r="M101" s="68" t="s">
        <v>8</v>
      </c>
      <c r="N101" s="68">
        <v>480.0</v>
      </c>
      <c r="O101" s="68">
        <v>6.0</v>
      </c>
      <c r="P101" s="68">
        <v>0.0125</v>
      </c>
      <c r="Q101" s="68">
        <v>59.84</v>
      </c>
      <c r="S101" s="68">
        <v>9.97</v>
      </c>
      <c r="T101" s="68">
        <v>0.0</v>
      </c>
      <c r="U101" s="68">
        <v>0.0</v>
      </c>
      <c r="V101" s="68">
        <v>0.0</v>
      </c>
      <c r="W101" s="68">
        <v>0.0</v>
      </c>
    </row>
    <row r="102" ht="15.75" customHeight="1">
      <c r="A102" s="107" t="s">
        <v>47</v>
      </c>
      <c r="B102" s="68" t="s">
        <v>771</v>
      </c>
      <c r="C102" s="68" t="s">
        <v>876</v>
      </c>
      <c r="D102" s="68" t="s">
        <v>773</v>
      </c>
      <c r="E102" s="68" t="s">
        <v>459</v>
      </c>
      <c r="F102" s="68" t="s">
        <v>774</v>
      </c>
      <c r="G102" s="68" t="s">
        <v>783</v>
      </c>
      <c r="H102" s="181">
        <v>44567.0</v>
      </c>
      <c r="J102" s="68" t="s">
        <v>134</v>
      </c>
      <c r="K102" s="68">
        <v>10000.0</v>
      </c>
      <c r="L102" s="68" t="s">
        <v>776</v>
      </c>
      <c r="M102" s="68" t="s">
        <v>8</v>
      </c>
      <c r="N102" s="68">
        <v>99494.0</v>
      </c>
      <c r="O102" s="68">
        <v>920.0</v>
      </c>
      <c r="P102" s="68">
        <v>0.0092</v>
      </c>
      <c r="Q102" s="68">
        <v>28458.36</v>
      </c>
      <c r="S102" s="68">
        <v>30.93</v>
      </c>
      <c r="T102" s="68">
        <v>8.0</v>
      </c>
      <c r="U102" s="68">
        <v>129533.89</v>
      </c>
      <c r="V102" s="68">
        <v>0.2197</v>
      </c>
      <c r="W102" s="68">
        <v>4.5517</v>
      </c>
    </row>
    <row r="103" ht="15.75" customHeight="1">
      <c r="A103" s="107" t="s">
        <v>47</v>
      </c>
      <c r="B103" s="68" t="s">
        <v>771</v>
      </c>
      <c r="C103" s="68" t="s">
        <v>877</v>
      </c>
      <c r="D103" s="68" t="s">
        <v>773</v>
      </c>
      <c r="E103" s="68" t="s">
        <v>461</v>
      </c>
      <c r="F103" s="68" t="s">
        <v>774</v>
      </c>
      <c r="H103" s="181">
        <v>45260.0</v>
      </c>
      <c r="J103" s="68" t="s">
        <v>196</v>
      </c>
      <c r="K103" s="68">
        <v>1000.0</v>
      </c>
      <c r="L103" s="27">
        <v>0.107105704519881</v>
      </c>
      <c r="M103" s="68" t="s">
        <v>8</v>
      </c>
      <c r="N103" s="68">
        <v>112179.0</v>
      </c>
      <c r="O103" s="68">
        <v>363.0</v>
      </c>
      <c r="P103" s="68">
        <v>0.0032</v>
      </c>
      <c r="Q103" s="68">
        <v>11816.62</v>
      </c>
      <c r="S103" s="68">
        <v>32.55</v>
      </c>
      <c r="T103" s="68">
        <v>3.0</v>
      </c>
      <c r="U103" s="68">
        <v>53644.07</v>
      </c>
      <c r="V103" s="68">
        <v>0.2203</v>
      </c>
      <c r="W103" s="68">
        <v>4.5397</v>
      </c>
    </row>
    <row r="104" ht="15.75" customHeight="1">
      <c r="A104" s="107" t="s">
        <v>47</v>
      </c>
      <c r="B104" s="68" t="s">
        <v>779</v>
      </c>
      <c r="C104" s="68" t="s">
        <v>836</v>
      </c>
      <c r="D104" s="68" t="s">
        <v>781</v>
      </c>
      <c r="E104" s="68" t="s">
        <v>462</v>
      </c>
      <c r="F104" s="68" t="s">
        <v>774</v>
      </c>
      <c r="H104" s="181">
        <v>45304.0</v>
      </c>
      <c r="J104" s="68" t="s">
        <v>158</v>
      </c>
      <c r="K104" s="68">
        <v>500.0</v>
      </c>
      <c r="L104" s="27">
        <v>0.106792675723567</v>
      </c>
      <c r="M104" s="68" t="s">
        <v>8</v>
      </c>
      <c r="N104" s="68">
        <v>8558.0</v>
      </c>
      <c r="O104" s="68">
        <v>163.0</v>
      </c>
      <c r="P104" s="68">
        <v>0.019</v>
      </c>
      <c r="Q104" s="68">
        <v>1704.3</v>
      </c>
      <c r="S104" s="68">
        <v>10.46</v>
      </c>
      <c r="T104" s="68">
        <v>0.0</v>
      </c>
      <c r="U104" s="68">
        <v>0.0</v>
      </c>
      <c r="V104" s="68">
        <v>0.0</v>
      </c>
      <c r="W104" s="68">
        <v>0.0</v>
      </c>
    </row>
    <row r="105" ht="15.75" customHeight="1">
      <c r="A105" s="107" t="s">
        <v>47</v>
      </c>
      <c r="B105" s="68" t="s">
        <v>771</v>
      </c>
      <c r="C105" s="68" t="s">
        <v>878</v>
      </c>
      <c r="D105" s="68" t="s">
        <v>773</v>
      </c>
      <c r="E105" s="68" t="s">
        <v>462</v>
      </c>
      <c r="F105" s="68" t="s">
        <v>774</v>
      </c>
      <c r="H105" s="181">
        <v>45338.0</v>
      </c>
      <c r="J105" s="68" t="s">
        <v>134</v>
      </c>
      <c r="K105" s="68">
        <v>1000.0</v>
      </c>
      <c r="L105" s="68" t="s">
        <v>776</v>
      </c>
      <c r="M105" s="68" t="s">
        <v>8</v>
      </c>
      <c r="N105" s="68">
        <v>8404.0</v>
      </c>
      <c r="O105" s="68">
        <v>129.0</v>
      </c>
      <c r="P105" s="68">
        <v>0.0153</v>
      </c>
      <c r="Q105" s="68">
        <v>517.6</v>
      </c>
      <c r="S105" s="68">
        <v>4.01</v>
      </c>
      <c r="T105" s="68">
        <v>0.0</v>
      </c>
      <c r="U105" s="68">
        <v>0.0</v>
      </c>
      <c r="V105" s="68">
        <v>0.0</v>
      </c>
      <c r="W105" s="68">
        <v>0.0</v>
      </c>
    </row>
    <row r="106" ht="15.75" customHeight="1">
      <c r="A106" s="107" t="s">
        <v>47</v>
      </c>
      <c r="B106" s="68" t="s">
        <v>771</v>
      </c>
      <c r="C106" s="68" t="s">
        <v>879</v>
      </c>
      <c r="D106" s="68" t="s">
        <v>773</v>
      </c>
      <c r="E106" s="68" t="s">
        <v>462</v>
      </c>
      <c r="F106" s="68" t="s">
        <v>774</v>
      </c>
      <c r="H106" s="181">
        <v>45338.0</v>
      </c>
      <c r="J106" s="68" t="s">
        <v>134</v>
      </c>
      <c r="K106" s="68">
        <v>1000.0</v>
      </c>
      <c r="L106" s="68" t="s">
        <v>776</v>
      </c>
      <c r="M106" s="68" t="s">
        <v>8</v>
      </c>
      <c r="N106" s="68">
        <v>2211.0</v>
      </c>
      <c r="O106" s="68">
        <v>56.0</v>
      </c>
      <c r="P106" s="68">
        <v>0.0253</v>
      </c>
      <c r="Q106" s="68">
        <v>707.38</v>
      </c>
      <c r="S106" s="68">
        <v>12.63</v>
      </c>
      <c r="T106" s="68">
        <v>0.0</v>
      </c>
      <c r="U106" s="68">
        <v>0.0</v>
      </c>
      <c r="V106" s="68">
        <v>0.0</v>
      </c>
      <c r="W106" s="68">
        <v>0.0</v>
      </c>
    </row>
    <row r="107" ht="15.75" customHeight="1">
      <c r="A107" s="107" t="s">
        <v>47</v>
      </c>
      <c r="B107" s="68" t="s">
        <v>779</v>
      </c>
      <c r="C107" s="68" t="s">
        <v>880</v>
      </c>
      <c r="D107" s="68" t="s">
        <v>781</v>
      </c>
      <c r="E107" s="68" t="s">
        <v>462</v>
      </c>
      <c r="F107" s="68" t="s">
        <v>774</v>
      </c>
      <c r="H107" s="181">
        <v>45327.0</v>
      </c>
      <c r="J107" s="68" t="s">
        <v>134</v>
      </c>
      <c r="K107" s="68">
        <v>300.0</v>
      </c>
      <c r="L107" s="68" t="s">
        <v>776</v>
      </c>
      <c r="M107" s="68" t="s">
        <v>8</v>
      </c>
      <c r="N107" s="68">
        <v>32541.0</v>
      </c>
      <c r="O107" s="68">
        <v>323.0</v>
      </c>
      <c r="P107" s="68">
        <v>0.0099</v>
      </c>
      <c r="Q107" s="68">
        <v>2300.82</v>
      </c>
      <c r="S107" s="68">
        <v>7.12</v>
      </c>
      <c r="T107" s="68">
        <v>0.0</v>
      </c>
      <c r="U107" s="68">
        <v>0.0</v>
      </c>
      <c r="V107" s="68">
        <v>0.0</v>
      </c>
      <c r="W107" s="68">
        <v>0.0</v>
      </c>
    </row>
    <row r="108" ht="15.75" customHeight="1">
      <c r="A108" s="107" t="s">
        <v>47</v>
      </c>
      <c r="B108" s="68" t="s">
        <v>779</v>
      </c>
      <c r="C108" s="68" t="s">
        <v>881</v>
      </c>
      <c r="D108" s="68" t="s">
        <v>781</v>
      </c>
      <c r="E108" s="68" t="s">
        <v>462</v>
      </c>
      <c r="F108" s="68" t="s">
        <v>774</v>
      </c>
      <c r="H108" s="181">
        <v>45327.0</v>
      </c>
      <c r="J108" s="68" t="s">
        <v>134</v>
      </c>
      <c r="K108" s="68">
        <v>500.0</v>
      </c>
      <c r="L108" s="68" t="s">
        <v>776</v>
      </c>
      <c r="M108" s="68" t="s">
        <v>8</v>
      </c>
      <c r="N108" s="68">
        <v>14965.0</v>
      </c>
      <c r="O108" s="68">
        <v>215.0</v>
      </c>
      <c r="P108" s="68">
        <v>0.0144</v>
      </c>
      <c r="Q108" s="68">
        <v>2416.34</v>
      </c>
      <c r="S108" s="68">
        <v>11.24</v>
      </c>
      <c r="T108" s="68">
        <v>0.0</v>
      </c>
      <c r="U108" s="68">
        <v>0.0</v>
      </c>
      <c r="V108" s="68">
        <v>0.0</v>
      </c>
      <c r="W108" s="68">
        <v>0.0</v>
      </c>
    </row>
    <row r="109" ht="15.75" customHeight="1">
      <c r="A109" s="107" t="s">
        <v>47</v>
      </c>
      <c r="B109" s="68" t="s">
        <v>779</v>
      </c>
      <c r="C109" s="68" t="s">
        <v>820</v>
      </c>
      <c r="D109" s="68" t="s">
        <v>781</v>
      </c>
      <c r="E109" s="68" t="s">
        <v>462</v>
      </c>
      <c r="F109" s="68" t="s">
        <v>774</v>
      </c>
      <c r="H109" s="181">
        <v>45303.0</v>
      </c>
      <c r="J109" s="68" t="s">
        <v>134</v>
      </c>
      <c r="K109" s="68">
        <v>300.0</v>
      </c>
      <c r="L109" s="27">
        <v>0.184142487790864</v>
      </c>
      <c r="M109" s="68" t="s">
        <v>8</v>
      </c>
      <c r="N109" s="68">
        <v>4144.0</v>
      </c>
      <c r="O109" s="68">
        <v>172.0</v>
      </c>
      <c r="P109" s="68">
        <v>0.0415</v>
      </c>
      <c r="Q109" s="68">
        <v>1610.07</v>
      </c>
      <c r="S109" s="68">
        <v>9.36</v>
      </c>
      <c r="T109" s="68">
        <v>0.0</v>
      </c>
      <c r="U109" s="68">
        <v>0.0</v>
      </c>
      <c r="V109" s="68">
        <v>0.0</v>
      </c>
      <c r="W109" s="68">
        <v>0.0</v>
      </c>
    </row>
    <row r="110" ht="15.75" customHeight="1">
      <c r="A110" s="107" t="s">
        <v>47</v>
      </c>
      <c r="B110" s="68" t="s">
        <v>771</v>
      </c>
      <c r="C110" s="68" t="s">
        <v>822</v>
      </c>
      <c r="D110" s="68" t="s">
        <v>773</v>
      </c>
      <c r="E110" s="68" t="s">
        <v>462</v>
      </c>
      <c r="F110" s="68" t="s">
        <v>774</v>
      </c>
      <c r="H110" s="181">
        <v>45303.0</v>
      </c>
      <c r="J110" s="68" t="s">
        <v>128</v>
      </c>
      <c r="K110" s="68">
        <v>1000.0</v>
      </c>
      <c r="L110" s="68" t="s">
        <v>776</v>
      </c>
      <c r="M110" s="68" t="s">
        <v>8</v>
      </c>
      <c r="N110" s="68">
        <v>34520.0</v>
      </c>
      <c r="O110" s="68">
        <v>524.0</v>
      </c>
      <c r="P110" s="68">
        <v>0.0152</v>
      </c>
      <c r="Q110" s="68">
        <v>8771.03</v>
      </c>
      <c r="S110" s="68">
        <v>16.74</v>
      </c>
      <c r="T110" s="68">
        <v>4.0</v>
      </c>
      <c r="U110" s="68">
        <v>68305.07</v>
      </c>
      <c r="V110" s="68">
        <v>0.1284</v>
      </c>
      <c r="W110" s="68">
        <v>7.7876</v>
      </c>
    </row>
    <row r="111" ht="15.75" customHeight="1">
      <c r="A111" s="107" t="s">
        <v>47</v>
      </c>
      <c r="B111" s="68" t="s">
        <v>771</v>
      </c>
      <c r="C111" s="68" t="s">
        <v>882</v>
      </c>
      <c r="D111" s="68" t="s">
        <v>773</v>
      </c>
      <c r="E111" s="68" t="s">
        <v>462</v>
      </c>
      <c r="F111" s="68" t="s">
        <v>774</v>
      </c>
      <c r="H111" s="181">
        <v>45338.0</v>
      </c>
      <c r="J111" s="68" t="s">
        <v>134</v>
      </c>
      <c r="K111" s="68">
        <v>1000.0</v>
      </c>
      <c r="L111" s="68" t="s">
        <v>776</v>
      </c>
      <c r="M111" s="68" t="s">
        <v>8</v>
      </c>
      <c r="N111" s="68">
        <v>5528.0</v>
      </c>
      <c r="O111" s="68">
        <v>131.0</v>
      </c>
      <c r="P111" s="68">
        <v>0.0237</v>
      </c>
      <c r="Q111" s="68">
        <v>1097.39</v>
      </c>
      <c r="S111" s="68">
        <v>8.38</v>
      </c>
      <c r="T111" s="68">
        <v>0.0</v>
      </c>
      <c r="U111" s="68">
        <v>0.0</v>
      </c>
      <c r="V111" s="68">
        <v>0.0</v>
      </c>
      <c r="W111" s="68">
        <v>0.0</v>
      </c>
    </row>
    <row r="112" ht="15.75" customHeight="1">
      <c r="A112" s="107" t="s">
        <v>47</v>
      </c>
      <c r="B112" s="68" t="s">
        <v>771</v>
      </c>
      <c r="C112" s="68" t="s">
        <v>883</v>
      </c>
      <c r="D112" s="68" t="s">
        <v>773</v>
      </c>
      <c r="E112" s="68" t="s">
        <v>462</v>
      </c>
      <c r="F112" s="68" t="s">
        <v>774</v>
      </c>
      <c r="H112" s="181">
        <v>45336.0</v>
      </c>
      <c r="J112" s="68" t="s">
        <v>134</v>
      </c>
      <c r="K112" s="68">
        <v>5000.0</v>
      </c>
      <c r="L112" s="68" t="s">
        <v>776</v>
      </c>
      <c r="M112" s="68" t="s">
        <v>8</v>
      </c>
      <c r="N112" s="68">
        <v>45563.0</v>
      </c>
      <c r="O112" s="68">
        <v>1527.0</v>
      </c>
      <c r="P112" s="68">
        <v>0.0335</v>
      </c>
      <c r="Q112" s="68">
        <v>23174.92</v>
      </c>
      <c r="S112" s="68">
        <v>15.18</v>
      </c>
      <c r="T112" s="68">
        <v>9.0</v>
      </c>
      <c r="U112" s="68">
        <v>150338.1</v>
      </c>
      <c r="V112" s="68">
        <v>0.1542</v>
      </c>
      <c r="W112" s="68">
        <v>6.4871</v>
      </c>
    </row>
    <row r="113" ht="15.75" customHeight="1">
      <c r="A113" s="107" t="s">
        <v>47</v>
      </c>
      <c r="B113" s="68" t="s">
        <v>779</v>
      </c>
      <c r="C113" s="68" t="s">
        <v>884</v>
      </c>
      <c r="D113" s="68" t="s">
        <v>781</v>
      </c>
      <c r="E113" s="68" t="s">
        <v>462</v>
      </c>
      <c r="F113" s="68" t="s">
        <v>774</v>
      </c>
      <c r="H113" s="181">
        <v>45327.0</v>
      </c>
      <c r="J113" s="68" t="s">
        <v>134</v>
      </c>
      <c r="K113" s="68">
        <v>2000.0</v>
      </c>
      <c r="L113" s="68" t="s">
        <v>776</v>
      </c>
      <c r="M113" s="68" t="s">
        <v>8</v>
      </c>
      <c r="N113" s="68">
        <v>16124.0</v>
      </c>
      <c r="O113" s="68">
        <v>514.0</v>
      </c>
      <c r="P113" s="68">
        <v>0.0319</v>
      </c>
      <c r="Q113" s="68">
        <v>9508.85</v>
      </c>
      <c r="S113" s="68">
        <v>18.5</v>
      </c>
      <c r="T113" s="68">
        <v>4.0</v>
      </c>
      <c r="U113" s="68">
        <v>40288.13</v>
      </c>
      <c r="V113" s="68">
        <v>0.236</v>
      </c>
      <c r="W113" s="68">
        <v>4.2369</v>
      </c>
    </row>
    <row r="114" ht="15.75" customHeight="1">
      <c r="A114" s="107" t="s">
        <v>47</v>
      </c>
      <c r="B114" s="68" t="s">
        <v>771</v>
      </c>
      <c r="C114" s="68" t="s">
        <v>885</v>
      </c>
      <c r="D114" s="68" t="s">
        <v>773</v>
      </c>
      <c r="E114" s="68" t="s">
        <v>463</v>
      </c>
      <c r="F114" s="68" t="s">
        <v>774</v>
      </c>
      <c r="H114" s="181">
        <v>45349.0</v>
      </c>
      <c r="J114" s="68" t="s">
        <v>90</v>
      </c>
      <c r="K114" s="68">
        <v>1500.0</v>
      </c>
      <c r="M114" s="68" t="s">
        <v>8</v>
      </c>
      <c r="N114" s="68">
        <v>136764.0</v>
      </c>
      <c r="O114" s="68">
        <v>482.0</v>
      </c>
      <c r="P114" s="68">
        <v>0.0035</v>
      </c>
      <c r="Q114" s="68">
        <v>3946.74</v>
      </c>
      <c r="S114" s="68">
        <v>8.19</v>
      </c>
      <c r="T114" s="68">
        <v>0.0</v>
      </c>
      <c r="U114" s="68">
        <v>0.0</v>
      </c>
      <c r="V114" s="68">
        <v>0.0</v>
      </c>
      <c r="W114" s="68">
        <v>0.0</v>
      </c>
    </row>
    <row r="115" ht="15.75" customHeight="1">
      <c r="A115" s="107" t="s">
        <v>47</v>
      </c>
      <c r="B115" s="68" t="s">
        <v>771</v>
      </c>
      <c r="C115" s="68" t="s">
        <v>886</v>
      </c>
      <c r="D115" s="68" t="s">
        <v>773</v>
      </c>
      <c r="E115" s="68" t="s">
        <v>463</v>
      </c>
      <c r="F115" s="68" t="s">
        <v>774</v>
      </c>
      <c r="H115" s="181">
        <v>45338.0</v>
      </c>
      <c r="J115" s="68" t="s">
        <v>134</v>
      </c>
      <c r="K115" s="68">
        <v>1000.0</v>
      </c>
      <c r="M115" s="68" t="s">
        <v>8</v>
      </c>
      <c r="N115" s="68">
        <v>85149.0</v>
      </c>
      <c r="O115" s="68">
        <v>128.0</v>
      </c>
      <c r="P115" s="68">
        <v>0.0015</v>
      </c>
      <c r="Q115" s="68">
        <v>1516.8</v>
      </c>
      <c r="S115" s="68">
        <v>11.85</v>
      </c>
      <c r="T115" s="68">
        <v>0.0</v>
      </c>
      <c r="U115" s="68">
        <v>0.0</v>
      </c>
      <c r="V115" s="68">
        <v>0.0</v>
      </c>
      <c r="W115" s="68">
        <v>0.0</v>
      </c>
    </row>
    <row r="116" ht="15.75" customHeight="1">
      <c r="A116" s="107" t="s">
        <v>47</v>
      </c>
      <c r="B116" s="68" t="s">
        <v>771</v>
      </c>
      <c r="C116" s="68" t="s">
        <v>832</v>
      </c>
      <c r="D116" s="68" t="s">
        <v>773</v>
      </c>
      <c r="E116" s="68" t="s">
        <v>463</v>
      </c>
      <c r="F116" s="68" t="s">
        <v>774</v>
      </c>
      <c r="H116" s="181">
        <v>45280.0</v>
      </c>
      <c r="J116" s="68" t="s">
        <v>134</v>
      </c>
      <c r="K116" s="68">
        <v>500.0</v>
      </c>
      <c r="M116" s="68" t="s">
        <v>8</v>
      </c>
      <c r="N116" s="68">
        <v>106964.0</v>
      </c>
      <c r="O116" s="68">
        <v>308.0</v>
      </c>
      <c r="P116" s="68">
        <v>0.0029</v>
      </c>
      <c r="Q116" s="68">
        <v>2946.46</v>
      </c>
      <c r="S116" s="68">
        <v>9.57</v>
      </c>
      <c r="T116" s="68">
        <v>3.0</v>
      </c>
      <c r="U116" s="68">
        <v>53644.06</v>
      </c>
      <c r="V116" s="68">
        <v>0.0549</v>
      </c>
      <c r="W116" s="68">
        <v>18.2063</v>
      </c>
    </row>
    <row r="117" ht="15.75" customHeight="1">
      <c r="A117" s="107" t="s">
        <v>47</v>
      </c>
      <c r="B117" s="68" t="s">
        <v>771</v>
      </c>
      <c r="C117" s="68" t="s">
        <v>887</v>
      </c>
      <c r="D117" s="68" t="s">
        <v>773</v>
      </c>
      <c r="E117" s="68" t="s">
        <v>463</v>
      </c>
      <c r="F117" s="68" t="s">
        <v>774</v>
      </c>
      <c r="H117" s="181">
        <v>45342.0</v>
      </c>
      <c r="J117" s="68" t="s">
        <v>152</v>
      </c>
      <c r="K117" s="68">
        <v>1000.0</v>
      </c>
      <c r="M117" s="68" t="s">
        <v>8</v>
      </c>
      <c r="N117" s="68">
        <v>7962.0</v>
      </c>
      <c r="O117" s="68">
        <v>26.0</v>
      </c>
      <c r="P117" s="68">
        <v>0.0033</v>
      </c>
      <c r="Q117" s="68">
        <v>368.27</v>
      </c>
      <c r="S117" s="68">
        <v>14.16</v>
      </c>
      <c r="T117" s="68">
        <v>0.0</v>
      </c>
      <c r="U117" s="68">
        <v>0.0</v>
      </c>
      <c r="V117" s="68">
        <v>0.0</v>
      </c>
      <c r="W117" s="68">
        <v>0.0</v>
      </c>
    </row>
    <row r="118" ht="15.75" customHeight="1">
      <c r="A118" s="107" t="s">
        <v>47</v>
      </c>
      <c r="B118" s="68" t="s">
        <v>771</v>
      </c>
      <c r="C118" s="68" t="s">
        <v>888</v>
      </c>
      <c r="D118" s="68" t="s">
        <v>773</v>
      </c>
      <c r="E118" s="68" t="s">
        <v>463</v>
      </c>
      <c r="F118" s="68" t="s">
        <v>774</v>
      </c>
      <c r="H118" s="181">
        <v>45351.0</v>
      </c>
      <c r="J118" s="68" t="s">
        <v>152</v>
      </c>
      <c r="K118" s="68">
        <v>1000.0</v>
      </c>
      <c r="M118" s="68" t="s">
        <v>8</v>
      </c>
      <c r="N118" s="68">
        <v>10.0</v>
      </c>
      <c r="O118" s="68">
        <v>0.0</v>
      </c>
      <c r="P118" s="68">
        <v>0.0</v>
      </c>
      <c r="Q118" s="68">
        <v>0.0</v>
      </c>
      <c r="S118" s="68">
        <v>0.0</v>
      </c>
      <c r="T118" s="68">
        <v>0.0</v>
      </c>
      <c r="U118" s="68">
        <v>0.0</v>
      </c>
      <c r="V118" s="68">
        <v>0.0</v>
      </c>
      <c r="W118" s="68">
        <v>0.0</v>
      </c>
    </row>
    <row r="119" ht="15.75" customHeight="1">
      <c r="A119" s="107" t="s">
        <v>47</v>
      </c>
      <c r="B119" s="68" t="s">
        <v>771</v>
      </c>
      <c r="C119" s="68" t="s">
        <v>889</v>
      </c>
      <c r="D119" s="68" t="s">
        <v>773</v>
      </c>
      <c r="E119" s="68" t="s">
        <v>463</v>
      </c>
      <c r="F119" s="68" t="s">
        <v>774</v>
      </c>
      <c r="H119" s="181">
        <v>45342.0</v>
      </c>
      <c r="J119" s="68" t="s">
        <v>134</v>
      </c>
      <c r="K119" s="68">
        <v>1000.0</v>
      </c>
      <c r="M119" s="68" t="s">
        <v>8</v>
      </c>
      <c r="N119" s="68">
        <v>5594.0</v>
      </c>
      <c r="O119" s="68">
        <v>6.0</v>
      </c>
      <c r="P119" s="68">
        <v>0.0011</v>
      </c>
      <c r="Q119" s="68">
        <v>87.91</v>
      </c>
      <c r="S119" s="68">
        <v>14.65</v>
      </c>
      <c r="T119" s="68">
        <v>0.0</v>
      </c>
      <c r="U119" s="68">
        <v>0.0</v>
      </c>
      <c r="V119" s="68">
        <v>0.0</v>
      </c>
      <c r="W119" s="68">
        <v>0.0</v>
      </c>
    </row>
    <row r="120" ht="15.75" customHeight="1">
      <c r="A120" s="107" t="s">
        <v>47</v>
      </c>
      <c r="B120" s="68" t="s">
        <v>771</v>
      </c>
      <c r="C120" s="68" t="s">
        <v>862</v>
      </c>
      <c r="D120" s="68" t="s">
        <v>773</v>
      </c>
      <c r="E120" s="68" t="s">
        <v>463</v>
      </c>
      <c r="F120" s="68" t="s">
        <v>774</v>
      </c>
      <c r="H120" s="181">
        <v>45309.0</v>
      </c>
      <c r="J120" s="68" t="s">
        <v>128</v>
      </c>
      <c r="K120" s="68">
        <v>500.0</v>
      </c>
      <c r="M120" s="68" t="s">
        <v>8</v>
      </c>
      <c r="N120" s="68">
        <v>62837.0</v>
      </c>
      <c r="O120" s="68">
        <v>242.0</v>
      </c>
      <c r="P120" s="68">
        <v>0.0039</v>
      </c>
      <c r="Q120" s="68">
        <v>7187.46</v>
      </c>
      <c r="S120" s="68">
        <v>29.7</v>
      </c>
      <c r="T120" s="68">
        <v>10.0</v>
      </c>
      <c r="U120" s="68">
        <v>226183.92</v>
      </c>
      <c r="V120" s="68">
        <v>0.0318</v>
      </c>
      <c r="W120" s="68">
        <v>31.4692</v>
      </c>
    </row>
    <row r="121" ht="15.75" customHeight="1">
      <c r="A121" s="107" t="s">
        <v>47</v>
      </c>
      <c r="B121" s="68" t="s">
        <v>779</v>
      </c>
      <c r="C121" s="68" t="s">
        <v>890</v>
      </c>
      <c r="D121" s="68" t="s">
        <v>781</v>
      </c>
      <c r="E121" s="68" t="s">
        <v>463</v>
      </c>
      <c r="F121" s="68" t="s">
        <v>774</v>
      </c>
      <c r="H121" s="181">
        <v>45338.0</v>
      </c>
      <c r="J121" s="68" t="s">
        <v>128</v>
      </c>
      <c r="K121" s="68">
        <v>1000.0</v>
      </c>
      <c r="M121" s="68" t="s">
        <v>8</v>
      </c>
      <c r="N121" s="68">
        <v>69484.0</v>
      </c>
      <c r="O121" s="68">
        <v>484.0</v>
      </c>
      <c r="P121" s="68">
        <v>0.007</v>
      </c>
      <c r="Q121" s="68">
        <v>10139.5</v>
      </c>
      <c r="S121" s="68">
        <v>20.95</v>
      </c>
      <c r="T121" s="68">
        <v>0.0</v>
      </c>
      <c r="U121" s="68">
        <v>0.0</v>
      </c>
      <c r="V121" s="68">
        <v>0.0</v>
      </c>
      <c r="W121" s="68">
        <v>0.0</v>
      </c>
    </row>
    <row r="122" ht="15.75" customHeight="1">
      <c r="A122" s="107" t="s">
        <v>47</v>
      </c>
      <c r="B122" s="68" t="s">
        <v>771</v>
      </c>
      <c r="C122" s="68" t="s">
        <v>891</v>
      </c>
      <c r="D122" s="68" t="s">
        <v>773</v>
      </c>
      <c r="E122" s="68" t="s">
        <v>463</v>
      </c>
      <c r="F122" s="68" t="s">
        <v>774</v>
      </c>
      <c r="H122" s="181">
        <v>45338.0</v>
      </c>
      <c r="J122" s="68" t="s">
        <v>134</v>
      </c>
      <c r="K122" s="68">
        <v>1000.0</v>
      </c>
      <c r="M122" s="68" t="s">
        <v>8</v>
      </c>
      <c r="N122" s="68">
        <v>68364.0</v>
      </c>
      <c r="O122" s="68">
        <v>584.0</v>
      </c>
      <c r="P122" s="68">
        <v>0.0085</v>
      </c>
      <c r="Q122" s="68">
        <v>5244.75</v>
      </c>
      <c r="S122" s="68">
        <v>8.98</v>
      </c>
      <c r="T122" s="68">
        <v>0.0</v>
      </c>
      <c r="U122" s="68">
        <v>0.0</v>
      </c>
      <c r="V122" s="68">
        <v>0.0</v>
      </c>
      <c r="W122" s="68">
        <v>0.0</v>
      </c>
    </row>
    <row r="123" ht="15.75" customHeight="1">
      <c r="A123" s="107" t="s">
        <v>47</v>
      </c>
      <c r="B123" s="68" t="s">
        <v>771</v>
      </c>
      <c r="C123" s="68" t="s">
        <v>892</v>
      </c>
      <c r="D123" s="68" t="s">
        <v>773</v>
      </c>
      <c r="E123" s="68" t="s">
        <v>459</v>
      </c>
      <c r="F123" s="68" t="s">
        <v>774</v>
      </c>
      <c r="G123" s="68" t="s">
        <v>775</v>
      </c>
      <c r="H123" s="181">
        <v>45301.0</v>
      </c>
      <c r="J123" s="68" t="s">
        <v>170</v>
      </c>
      <c r="K123" s="68">
        <v>300.0</v>
      </c>
      <c r="L123" s="68" t="s">
        <v>776</v>
      </c>
      <c r="M123" s="68" t="s">
        <v>8</v>
      </c>
      <c r="N123" s="68">
        <v>20192.0</v>
      </c>
      <c r="O123" s="68">
        <v>124.0</v>
      </c>
      <c r="P123" s="68">
        <v>0.0061</v>
      </c>
      <c r="Q123" s="68">
        <v>1693.07</v>
      </c>
      <c r="S123" s="68">
        <v>13.65</v>
      </c>
      <c r="T123" s="68">
        <v>2.0</v>
      </c>
      <c r="U123" s="68">
        <v>11016.95</v>
      </c>
      <c r="V123" s="68">
        <v>0.1537</v>
      </c>
      <c r="W123" s="68">
        <v>6.5071</v>
      </c>
    </row>
    <row r="124" ht="15.75" customHeight="1">
      <c r="A124" s="107" t="s">
        <v>47</v>
      </c>
      <c r="B124" s="68" t="s">
        <v>771</v>
      </c>
      <c r="C124" s="68" t="s">
        <v>869</v>
      </c>
      <c r="D124" s="68" t="s">
        <v>773</v>
      </c>
      <c r="E124" s="68" t="s">
        <v>459</v>
      </c>
      <c r="F124" s="68" t="s">
        <v>774</v>
      </c>
      <c r="G124" s="68" t="s">
        <v>775</v>
      </c>
      <c r="H124" s="181">
        <v>45301.0</v>
      </c>
      <c r="J124" s="68" t="s">
        <v>158</v>
      </c>
      <c r="K124" s="68">
        <v>300.0</v>
      </c>
      <c r="L124" s="68" t="s">
        <v>776</v>
      </c>
      <c r="M124" s="68" t="s">
        <v>8</v>
      </c>
      <c r="N124" s="68">
        <v>45937.0</v>
      </c>
      <c r="O124" s="68">
        <v>177.0</v>
      </c>
      <c r="P124" s="68">
        <v>0.0039</v>
      </c>
      <c r="Q124" s="68">
        <v>1646.11</v>
      </c>
      <c r="S124" s="68">
        <v>9.3</v>
      </c>
      <c r="T124" s="68">
        <v>0.0</v>
      </c>
      <c r="U124" s="68">
        <v>0.0</v>
      </c>
      <c r="V124" s="68">
        <v>0.0</v>
      </c>
      <c r="W124" s="68">
        <v>0.0</v>
      </c>
    </row>
    <row r="125" ht="15.75" customHeight="1">
      <c r="A125" s="107" t="s">
        <v>47</v>
      </c>
      <c r="B125" s="68" t="s">
        <v>771</v>
      </c>
      <c r="C125" s="68" t="s">
        <v>866</v>
      </c>
      <c r="D125" s="68" t="s">
        <v>773</v>
      </c>
      <c r="E125" s="68" t="s">
        <v>460</v>
      </c>
      <c r="F125" s="68" t="s">
        <v>778</v>
      </c>
      <c r="G125" s="68" t="s">
        <v>775</v>
      </c>
      <c r="H125" s="181">
        <v>45301.0</v>
      </c>
      <c r="J125" s="68" t="s">
        <v>158</v>
      </c>
      <c r="K125" s="68">
        <v>200.0</v>
      </c>
      <c r="L125" s="68" t="s">
        <v>776</v>
      </c>
      <c r="M125" s="68" t="s">
        <v>8</v>
      </c>
      <c r="N125" s="68">
        <v>121703.0</v>
      </c>
      <c r="O125" s="68">
        <v>278.0</v>
      </c>
      <c r="P125" s="68">
        <v>0.0023</v>
      </c>
      <c r="Q125" s="68">
        <v>1452.75</v>
      </c>
      <c r="S125" s="68">
        <v>5.23</v>
      </c>
      <c r="T125" s="68">
        <v>0.0</v>
      </c>
      <c r="U125" s="68">
        <v>0.0</v>
      </c>
      <c r="V125" s="68">
        <v>0.0</v>
      </c>
      <c r="W125" s="68">
        <v>0.0</v>
      </c>
    </row>
    <row r="126" ht="15.75" customHeight="1">
      <c r="A126" s="107" t="s">
        <v>47</v>
      </c>
      <c r="B126" s="68" t="s">
        <v>771</v>
      </c>
      <c r="C126" s="68" t="s">
        <v>872</v>
      </c>
      <c r="D126" s="68" t="s">
        <v>773</v>
      </c>
      <c r="E126" s="68" t="s">
        <v>459</v>
      </c>
      <c r="F126" s="68" t="s">
        <v>774</v>
      </c>
      <c r="G126" s="68" t="s">
        <v>775</v>
      </c>
      <c r="H126" s="181">
        <v>45301.0</v>
      </c>
      <c r="J126" s="68" t="s">
        <v>158</v>
      </c>
      <c r="K126" s="68">
        <v>200.0</v>
      </c>
      <c r="L126" s="68" t="s">
        <v>776</v>
      </c>
      <c r="M126" s="68" t="s">
        <v>8</v>
      </c>
      <c r="N126" s="68">
        <v>57783.0</v>
      </c>
      <c r="O126" s="68">
        <v>216.0</v>
      </c>
      <c r="P126" s="68">
        <v>0.0037</v>
      </c>
      <c r="Q126" s="68">
        <v>1774.49</v>
      </c>
      <c r="S126" s="68">
        <v>8.22</v>
      </c>
      <c r="T126" s="68">
        <v>1.0</v>
      </c>
      <c r="U126" s="68">
        <v>1015.94</v>
      </c>
      <c r="V126" s="68">
        <v>1.7466</v>
      </c>
      <c r="W126" s="68">
        <v>0.5725</v>
      </c>
    </row>
    <row r="127" ht="15.75" customHeight="1">
      <c r="A127" s="107" t="s">
        <v>47</v>
      </c>
      <c r="B127" s="68" t="s">
        <v>771</v>
      </c>
      <c r="C127" s="68" t="s">
        <v>863</v>
      </c>
      <c r="D127" s="68" t="s">
        <v>773</v>
      </c>
      <c r="E127" s="68" t="s">
        <v>460</v>
      </c>
      <c r="F127" s="68" t="s">
        <v>778</v>
      </c>
      <c r="G127" s="68" t="s">
        <v>775</v>
      </c>
      <c r="H127" s="181">
        <v>45301.0</v>
      </c>
      <c r="J127" s="68" t="s">
        <v>170</v>
      </c>
      <c r="K127" s="68">
        <v>200.0</v>
      </c>
      <c r="L127" s="68" t="s">
        <v>776</v>
      </c>
      <c r="M127" s="68" t="s">
        <v>8</v>
      </c>
      <c r="N127" s="68">
        <v>66915.0</v>
      </c>
      <c r="O127" s="68">
        <v>199.0</v>
      </c>
      <c r="P127" s="68">
        <v>0.003</v>
      </c>
      <c r="Q127" s="68">
        <v>1097.11</v>
      </c>
      <c r="S127" s="68">
        <v>5.51</v>
      </c>
      <c r="T127" s="68">
        <v>1.0</v>
      </c>
      <c r="U127" s="68">
        <v>5508.47</v>
      </c>
      <c r="V127" s="68">
        <v>0.1992</v>
      </c>
      <c r="W127" s="68">
        <v>5.0209</v>
      </c>
    </row>
    <row r="128" ht="15.75" customHeight="1">
      <c r="A128" s="107" t="s">
        <v>47</v>
      </c>
      <c r="B128" s="68" t="s">
        <v>779</v>
      </c>
      <c r="C128" s="68" t="s">
        <v>875</v>
      </c>
      <c r="D128" s="68" t="s">
        <v>781</v>
      </c>
      <c r="E128" s="68" t="s">
        <v>460</v>
      </c>
      <c r="F128" s="68" t="s">
        <v>778</v>
      </c>
      <c r="G128" s="68" t="s">
        <v>775</v>
      </c>
      <c r="H128" s="181">
        <v>45309.0</v>
      </c>
      <c r="J128" s="68" t="s">
        <v>182</v>
      </c>
      <c r="K128" s="68">
        <v>300.0</v>
      </c>
      <c r="L128" s="68" t="s">
        <v>776</v>
      </c>
      <c r="M128" s="68" t="s">
        <v>8</v>
      </c>
      <c r="N128" s="68">
        <v>93207.0</v>
      </c>
      <c r="O128" s="68">
        <v>177.0</v>
      </c>
      <c r="P128" s="68">
        <v>0.0019</v>
      </c>
      <c r="Q128" s="68">
        <v>1962.61</v>
      </c>
      <c r="S128" s="68">
        <v>11.09</v>
      </c>
      <c r="T128" s="68">
        <v>0.0</v>
      </c>
      <c r="U128" s="68">
        <v>0.0</v>
      </c>
      <c r="V128" s="68">
        <v>0.0</v>
      </c>
      <c r="W128" s="68">
        <v>0.0</v>
      </c>
    </row>
    <row r="129" ht="15.75" customHeight="1">
      <c r="A129" s="107" t="s">
        <v>47</v>
      </c>
      <c r="B129" s="68" t="s">
        <v>779</v>
      </c>
      <c r="C129" s="68" t="s">
        <v>893</v>
      </c>
      <c r="D129" s="68" t="s">
        <v>781</v>
      </c>
      <c r="E129" s="68" t="s">
        <v>459</v>
      </c>
      <c r="F129" s="68" t="s">
        <v>774</v>
      </c>
      <c r="G129" s="68" t="s">
        <v>775</v>
      </c>
      <c r="H129" s="181">
        <v>45336.0</v>
      </c>
      <c r="J129" s="68" t="s">
        <v>182</v>
      </c>
      <c r="K129" s="68">
        <v>1000.0</v>
      </c>
      <c r="L129" s="27">
        <v>0.309809809809809</v>
      </c>
      <c r="M129" s="68" t="s">
        <v>8</v>
      </c>
      <c r="N129" s="68">
        <v>31609.0</v>
      </c>
      <c r="O129" s="68">
        <v>207.0</v>
      </c>
      <c r="P129" s="68">
        <v>0.0065</v>
      </c>
      <c r="Q129" s="68">
        <v>9290.96</v>
      </c>
      <c r="S129" s="68">
        <v>44.88</v>
      </c>
      <c r="T129" s="68">
        <v>0.0</v>
      </c>
      <c r="U129" s="68">
        <v>0.0</v>
      </c>
      <c r="V129" s="68">
        <v>0.0</v>
      </c>
      <c r="W129" s="68">
        <v>0.0</v>
      </c>
    </row>
    <row r="130" ht="15.75" customHeight="1">
      <c r="A130" s="107" t="s">
        <v>47</v>
      </c>
      <c r="B130" s="68" t="s">
        <v>771</v>
      </c>
      <c r="C130" s="68" t="s">
        <v>894</v>
      </c>
      <c r="D130" s="68" t="s">
        <v>773</v>
      </c>
      <c r="E130" s="68" t="s">
        <v>459</v>
      </c>
      <c r="F130" s="68" t="s">
        <v>774</v>
      </c>
      <c r="G130" s="68" t="s">
        <v>783</v>
      </c>
      <c r="H130" s="181">
        <v>45301.0</v>
      </c>
      <c r="J130" s="68" t="s">
        <v>90</v>
      </c>
      <c r="K130" s="68">
        <v>500.0</v>
      </c>
      <c r="L130" s="27">
        <v>0.107543825093559</v>
      </c>
      <c r="M130" s="68" t="s">
        <v>8</v>
      </c>
      <c r="N130" s="68">
        <v>65525.0</v>
      </c>
      <c r="O130" s="68">
        <v>189.0</v>
      </c>
      <c r="P130" s="68">
        <v>0.0029</v>
      </c>
      <c r="Q130" s="68">
        <v>5342.5</v>
      </c>
      <c r="S130" s="68">
        <v>28.27</v>
      </c>
      <c r="T130" s="68">
        <v>1.0</v>
      </c>
      <c r="U130" s="68">
        <v>25338.98</v>
      </c>
      <c r="V130" s="68">
        <v>0.2108</v>
      </c>
      <c r="W130" s="68">
        <v>4.7429</v>
      </c>
    </row>
    <row r="131" ht="15.75" customHeight="1">
      <c r="A131" s="107" t="s">
        <v>47</v>
      </c>
      <c r="B131" s="68" t="s">
        <v>771</v>
      </c>
      <c r="C131" s="68" t="s">
        <v>895</v>
      </c>
      <c r="D131" s="68" t="s">
        <v>773</v>
      </c>
      <c r="E131" s="68" t="s">
        <v>459</v>
      </c>
      <c r="F131" s="68" t="s">
        <v>774</v>
      </c>
      <c r="G131" s="68" t="s">
        <v>783</v>
      </c>
      <c r="H131" s="181">
        <v>45338.0</v>
      </c>
      <c r="J131" s="68" t="s">
        <v>134</v>
      </c>
      <c r="K131" s="68">
        <v>1000.0</v>
      </c>
      <c r="L131" s="27">
        <v>0.209766422254138</v>
      </c>
      <c r="M131" s="68" t="s">
        <v>8</v>
      </c>
      <c r="N131" s="68">
        <v>10545.0</v>
      </c>
      <c r="O131" s="68">
        <v>112.0</v>
      </c>
      <c r="P131" s="68">
        <v>0.0106</v>
      </c>
      <c r="Q131" s="68">
        <v>4778.98</v>
      </c>
      <c r="S131" s="68">
        <v>42.67</v>
      </c>
      <c r="T131" s="68">
        <v>1.0</v>
      </c>
      <c r="U131" s="68">
        <v>20762.71</v>
      </c>
      <c r="V131" s="68">
        <v>0.2302</v>
      </c>
      <c r="W131" s="68">
        <v>4.3446</v>
      </c>
    </row>
    <row r="132" ht="15.75" customHeight="1">
      <c r="A132" s="107" t="s">
        <v>47</v>
      </c>
      <c r="B132" s="68" t="s">
        <v>779</v>
      </c>
      <c r="C132" s="68" t="s">
        <v>896</v>
      </c>
      <c r="D132" s="68" t="s">
        <v>781</v>
      </c>
      <c r="E132" s="68" t="s">
        <v>459</v>
      </c>
      <c r="F132" s="68" t="s">
        <v>774</v>
      </c>
      <c r="G132" s="68" t="s">
        <v>775</v>
      </c>
      <c r="H132" s="181">
        <v>45309.0</v>
      </c>
      <c r="J132" s="68" t="s">
        <v>874</v>
      </c>
      <c r="K132" s="68">
        <v>500.0</v>
      </c>
      <c r="L132" s="68" t="s">
        <v>776</v>
      </c>
      <c r="M132" s="68" t="s">
        <v>8</v>
      </c>
      <c r="N132" s="68">
        <v>31040.0</v>
      </c>
      <c r="O132" s="68">
        <v>157.0</v>
      </c>
      <c r="P132" s="68">
        <v>0.0051</v>
      </c>
      <c r="Q132" s="68">
        <v>3059.52</v>
      </c>
      <c r="S132" s="68">
        <v>19.49</v>
      </c>
      <c r="T132" s="68">
        <v>1.0</v>
      </c>
      <c r="U132" s="68">
        <v>15169.5</v>
      </c>
      <c r="V132" s="68">
        <v>0.2017</v>
      </c>
      <c r="W132" s="68">
        <v>4.9581</v>
      </c>
    </row>
    <row r="133" ht="15.75" customHeight="1">
      <c r="A133" s="107" t="s">
        <v>47</v>
      </c>
      <c r="B133" s="68" t="s">
        <v>779</v>
      </c>
      <c r="C133" s="68" t="s">
        <v>897</v>
      </c>
      <c r="D133" s="68" t="s">
        <v>781</v>
      </c>
      <c r="E133" s="68" t="s">
        <v>459</v>
      </c>
      <c r="F133" s="68" t="s">
        <v>774</v>
      </c>
      <c r="G133" s="68" t="s">
        <v>783</v>
      </c>
      <c r="H133" s="181">
        <v>45260.0</v>
      </c>
      <c r="J133" s="68" t="s">
        <v>140</v>
      </c>
      <c r="K133" s="68">
        <v>1000.0</v>
      </c>
      <c r="L133" s="68" t="s">
        <v>776</v>
      </c>
      <c r="M133" s="68" t="s">
        <v>8</v>
      </c>
      <c r="N133" s="68">
        <v>50109.0</v>
      </c>
      <c r="O133" s="68">
        <v>123.0</v>
      </c>
      <c r="P133" s="68">
        <v>0.0025</v>
      </c>
      <c r="Q133" s="68">
        <v>2656.97</v>
      </c>
      <c r="S133" s="68">
        <v>21.6</v>
      </c>
      <c r="T133" s="68">
        <v>0.0</v>
      </c>
      <c r="U133" s="68">
        <v>0.0</v>
      </c>
      <c r="V133" s="68">
        <v>0.0</v>
      </c>
      <c r="W133" s="68">
        <v>0.0</v>
      </c>
    </row>
    <row r="134" ht="15.75" customHeight="1">
      <c r="A134" s="107" t="s">
        <v>47</v>
      </c>
      <c r="B134" s="68" t="s">
        <v>779</v>
      </c>
      <c r="C134" s="68" t="s">
        <v>898</v>
      </c>
      <c r="D134" s="68" t="s">
        <v>781</v>
      </c>
      <c r="E134" s="68" t="s">
        <v>459</v>
      </c>
      <c r="F134" s="68" t="s">
        <v>774</v>
      </c>
      <c r="G134" s="68" t="s">
        <v>775</v>
      </c>
      <c r="H134" s="181">
        <v>45260.0</v>
      </c>
      <c r="J134" s="68" t="s">
        <v>140</v>
      </c>
      <c r="K134" s="68">
        <v>250.0</v>
      </c>
      <c r="L134" s="68" t="s">
        <v>776</v>
      </c>
      <c r="M134" s="68" t="s">
        <v>8</v>
      </c>
      <c r="N134" s="68">
        <v>158370.0</v>
      </c>
      <c r="O134" s="68">
        <v>191.0</v>
      </c>
      <c r="P134" s="68">
        <v>0.0012</v>
      </c>
      <c r="Q134" s="68">
        <v>8190.89</v>
      </c>
      <c r="S134" s="68">
        <v>42.88</v>
      </c>
      <c r="T134" s="68">
        <v>0.0</v>
      </c>
      <c r="U134" s="68">
        <v>0.0</v>
      </c>
      <c r="V134" s="68">
        <v>0.0</v>
      </c>
      <c r="W134" s="68">
        <v>0.0</v>
      </c>
    </row>
    <row r="135" ht="15.75" customHeight="1">
      <c r="A135" s="107" t="s">
        <v>47</v>
      </c>
      <c r="B135" s="68" t="s">
        <v>779</v>
      </c>
      <c r="C135" s="68" t="s">
        <v>867</v>
      </c>
      <c r="D135" s="68" t="s">
        <v>781</v>
      </c>
      <c r="E135" s="68" t="s">
        <v>459</v>
      </c>
      <c r="F135" s="68" t="s">
        <v>774</v>
      </c>
      <c r="G135" s="68" t="s">
        <v>775</v>
      </c>
      <c r="H135" s="181">
        <v>45301.0</v>
      </c>
      <c r="J135" s="68" t="s">
        <v>176</v>
      </c>
      <c r="K135" s="68">
        <v>500.0</v>
      </c>
      <c r="L135" s="27">
        <v>0.101694915254237</v>
      </c>
      <c r="M135" s="68" t="s">
        <v>8</v>
      </c>
      <c r="N135" s="68">
        <v>11340.0</v>
      </c>
      <c r="O135" s="68">
        <v>27.0</v>
      </c>
      <c r="P135" s="68">
        <v>0.0024</v>
      </c>
      <c r="Q135" s="68">
        <v>563.55</v>
      </c>
      <c r="S135" s="68">
        <v>20.87</v>
      </c>
      <c r="T135" s="68">
        <v>0.0</v>
      </c>
      <c r="U135" s="68">
        <v>0.0</v>
      </c>
      <c r="V135" s="68">
        <v>0.0</v>
      </c>
      <c r="W135" s="68">
        <v>0.0</v>
      </c>
    </row>
    <row r="136" ht="15.75" customHeight="1">
      <c r="A136" s="107" t="s">
        <v>47</v>
      </c>
      <c r="B136" s="68" t="s">
        <v>771</v>
      </c>
      <c r="C136" s="68" t="s">
        <v>834</v>
      </c>
      <c r="D136" s="68" t="s">
        <v>773</v>
      </c>
      <c r="E136" s="68" t="s">
        <v>459</v>
      </c>
      <c r="F136" s="68" t="s">
        <v>774</v>
      </c>
      <c r="G136" s="68" t="s">
        <v>775</v>
      </c>
      <c r="H136" s="181">
        <v>45260.0</v>
      </c>
      <c r="J136" s="68" t="s">
        <v>134</v>
      </c>
      <c r="K136" s="68">
        <v>500.0</v>
      </c>
      <c r="L136" s="27">
        <v>0.0524956970740103</v>
      </c>
      <c r="M136" s="68" t="s">
        <v>8</v>
      </c>
      <c r="N136" s="68">
        <v>4136.0</v>
      </c>
      <c r="O136" s="68">
        <v>14.0</v>
      </c>
      <c r="P136" s="68">
        <v>0.0034</v>
      </c>
      <c r="Q136" s="68">
        <v>167.23</v>
      </c>
      <c r="S136" s="68">
        <v>11.95</v>
      </c>
      <c r="T136" s="68">
        <v>1.0</v>
      </c>
      <c r="U136" s="68">
        <v>17711.86</v>
      </c>
      <c r="V136" s="68">
        <v>0.0094</v>
      </c>
      <c r="W136" s="68">
        <v>105.9132</v>
      </c>
    </row>
    <row r="137" ht="15.75" customHeight="1">
      <c r="A137" s="107" t="s">
        <v>47</v>
      </c>
      <c r="B137" s="68" t="s">
        <v>779</v>
      </c>
      <c r="C137" s="68" t="s">
        <v>821</v>
      </c>
      <c r="D137" s="68" t="s">
        <v>781</v>
      </c>
      <c r="E137" s="68" t="s">
        <v>459</v>
      </c>
      <c r="F137" s="68" t="s">
        <v>774</v>
      </c>
      <c r="G137" s="68" t="s">
        <v>775</v>
      </c>
      <c r="H137" s="181">
        <v>45280.0</v>
      </c>
      <c r="J137" s="68" t="s">
        <v>134</v>
      </c>
      <c r="K137" s="68">
        <v>250.0</v>
      </c>
      <c r="L137" s="27">
        <v>0.102885389125186</v>
      </c>
      <c r="M137" s="68" t="s">
        <v>8</v>
      </c>
      <c r="N137" s="68">
        <v>16261.0</v>
      </c>
      <c r="O137" s="68">
        <v>134.0</v>
      </c>
      <c r="P137" s="68">
        <v>0.0082</v>
      </c>
      <c r="Q137" s="68">
        <v>4447.28</v>
      </c>
      <c r="S137" s="68">
        <v>33.19</v>
      </c>
      <c r="T137" s="68">
        <v>0.0</v>
      </c>
      <c r="U137" s="68">
        <v>0.0</v>
      </c>
      <c r="V137" s="68">
        <v>0.0</v>
      </c>
      <c r="W137" s="68">
        <v>0.0</v>
      </c>
    </row>
    <row r="138" ht="15.75" customHeight="1">
      <c r="A138" s="107" t="s">
        <v>47</v>
      </c>
      <c r="B138" s="68" t="s">
        <v>779</v>
      </c>
      <c r="C138" s="68" t="s">
        <v>825</v>
      </c>
      <c r="D138" s="68" t="s">
        <v>781</v>
      </c>
      <c r="E138" s="68" t="s">
        <v>459</v>
      </c>
      <c r="F138" s="68" t="s">
        <v>774</v>
      </c>
      <c r="G138" s="68" t="s">
        <v>775</v>
      </c>
      <c r="H138" s="181">
        <v>45260.0</v>
      </c>
      <c r="J138" s="68" t="s">
        <v>134</v>
      </c>
      <c r="K138" s="68">
        <v>500.0</v>
      </c>
      <c r="L138" s="27">
        <v>0.066170151818963</v>
      </c>
      <c r="M138" s="68" t="s">
        <v>8</v>
      </c>
      <c r="N138" s="68">
        <v>18449.0</v>
      </c>
      <c r="O138" s="68">
        <v>104.0</v>
      </c>
      <c r="P138" s="68">
        <v>0.0056</v>
      </c>
      <c r="Q138" s="68">
        <v>2358.89</v>
      </c>
      <c r="S138" s="68">
        <v>22.68</v>
      </c>
      <c r="T138" s="68">
        <v>1.0</v>
      </c>
      <c r="U138" s="68">
        <v>1144.07</v>
      </c>
      <c r="V138" s="68">
        <v>2.0618</v>
      </c>
      <c r="W138" s="68">
        <v>0.485</v>
      </c>
    </row>
    <row r="139" ht="15.75" customHeight="1">
      <c r="A139" s="107" t="s">
        <v>47</v>
      </c>
      <c r="B139" s="68" t="s">
        <v>779</v>
      </c>
      <c r="C139" s="68" t="s">
        <v>865</v>
      </c>
      <c r="D139" s="68" t="s">
        <v>781</v>
      </c>
      <c r="E139" s="68" t="s">
        <v>459</v>
      </c>
      <c r="F139" s="68" t="s">
        <v>774</v>
      </c>
      <c r="G139" s="68" t="s">
        <v>775</v>
      </c>
      <c r="H139" s="181">
        <v>45301.0</v>
      </c>
      <c r="J139" s="68" t="s">
        <v>134</v>
      </c>
      <c r="K139" s="68">
        <v>300.0</v>
      </c>
      <c r="L139" s="27">
        <v>0.289731051344743</v>
      </c>
      <c r="M139" s="68" t="s">
        <v>8</v>
      </c>
      <c r="N139" s="68">
        <v>7996.0</v>
      </c>
      <c r="O139" s="68">
        <v>41.0</v>
      </c>
      <c r="P139" s="68">
        <v>0.0051</v>
      </c>
      <c r="Q139" s="68">
        <v>960.33</v>
      </c>
      <c r="S139" s="68">
        <v>23.42</v>
      </c>
      <c r="T139" s="68">
        <v>1.0</v>
      </c>
      <c r="U139" s="68">
        <v>12711.02</v>
      </c>
      <c r="V139" s="68">
        <v>0.0756</v>
      </c>
      <c r="W139" s="68">
        <v>13.2361</v>
      </c>
    </row>
    <row r="140" ht="15.75" customHeight="1">
      <c r="A140" s="107" t="s">
        <v>47</v>
      </c>
      <c r="B140" s="68" t="s">
        <v>771</v>
      </c>
      <c r="C140" s="68" t="s">
        <v>899</v>
      </c>
      <c r="D140" s="68" t="s">
        <v>773</v>
      </c>
      <c r="E140" s="68" t="s">
        <v>459</v>
      </c>
      <c r="F140" s="68" t="s">
        <v>774</v>
      </c>
      <c r="G140" s="68" t="s">
        <v>783</v>
      </c>
      <c r="H140" s="181">
        <v>45301.0</v>
      </c>
      <c r="J140" s="68" t="s">
        <v>134</v>
      </c>
      <c r="K140" s="68">
        <v>300.0</v>
      </c>
      <c r="L140" s="27">
        <v>0.41637261820748</v>
      </c>
      <c r="M140" s="68" t="s">
        <v>8</v>
      </c>
      <c r="N140" s="68">
        <v>12540.0</v>
      </c>
      <c r="O140" s="68">
        <v>86.0</v>
      </c>
      <c r="P140" s="68">
        <v>0.0069</v>
      </c>
      <c r="Q140" s="68">
        <v>2242.5</v>
      </c>
      <c r="S140" s="68">
        <v>26.08</v>
      </c>
      <c r="T140" s="68">
        <v>2.0</v>
      </c>
      <c r="U140" s="68">
        <v>38474.57</v>
      </c>
      <c r="V140" s="68">
        <v>0.0583</v>
      </c>
      <c r="W140" s="68">
        <v>17.157</v>
      </c>
    </row>
    <row r="141" ht="15.75" customHeight="1">
      <c r="A141" s="107" t="s">
        <v>47</v>
      </c>
      <c r="B141" s="68" t="s">
        <v>771</v>
      </c>
      <c r="C141" s="68" t="s">
        <v>900</v>
      </c>
      <c r="D141" s="68" t="s">
        <v>773</v>
      </c>
      <c r="E141" s="68" t="s">
        <v>459</v>
      </c>
      <c r="F141" s="68" t="s">
        <v>774</v>
      </c>
      <c r="G141" s="68" t="s">
        <v>783</v>
      </c>
      <c r="H141" s="181">
        <v>45301.0</v>
      </c>
      <c r="J141" s="68" t="s">
        <v>134</v>
      </c>
      <c r="K141" s="68">
        <v>300.0</v>
      </c>
      <c r="L141" s="27">
        <v>0.104559794073816</v>
      </c>
      <c r="M141" s="68" t="s">
        <v>8</v>
      </c>
      <c r="N141" s="68">
        <v>35944.0</v>
      </c>
      <c r="O141" s="68">
        <v>284.0</v>
      </c>
      <c r="P141" s="68">
        <v>0.0079</v>
      </c>
      <c r="Q141" s="68">
        <v>7126.01</v>
      </c>
      <c r="S141" s="68">
        <v>25.09</v>
      </c>
      <c r="T141" s="68">
        <v>0.0</v>
      </c>
      <c r="U141" s="68">
        <v>0.0</v>
      </c>
      <c r="V141" s="68">
        <v>0.0</v>
      </c>
      <c r="W141" s="68">
        <v>0.0</v>
      </c>
    </row>
    <row r="142" ht="15.75" customHeight="1">
      <c r="A142" s="107" t="s">
        <v>47</v>
      </c>
      <c r="B142" s="68" t="s">
        <v>771</v>
      </c>
      <c r="C142" s="68" t="s">
        <v>901</v>
      </c>
      <c r="D142" s="68" t="s">
        <v>773</v>
      </c>
      <c r="E142" s="68" t="s">
        <v>459</v>
      </c>
      <c r="F142" s="68" t="s">
        <v>774</v>
      </c>
      <c r="G142" s="68" t="s">
        <v>783</v>
      </c>
      <c r="H142" s="181">
        <v>45301.0</v>
      </c>
      <c r="J142" s="68" t="s">
        <v>134</v>
      </c>
      <c r="K142" s="68">
        <v>300.0</v>
      </c>
      <c r="L142" s="27">
        <v>0.328535444404462</v>
      </c>
      <c r="M142" s="68" t="s">
        <v>8</v>
      </c>
      <c r="N142" s="68">
        <v>3316.0</v>
      </c>
      <c r="O142" s="68">
        <v>85.0</v>
      </c>
      <c r="P142" s="68">
        <v>0.0256</v>
      </c>
      <c r="Q142" s="68">
        <v>1610.55</v>
      </c>
      <c r="S142" s="68">
        <v>18.95</v>
      </c>
      <c r="T142" s="68">
        <v>0.0</v>
      </c>
      <c r="U142" s="68">
        <v>0.0</v>
      </c>
      <c r="V142" s="68">
        <v>0.0</v>
      </c>
      <c r="W142" s="68">
        <v>0.0</v>
      </c>
    </row>
    <row r="143" ht="15.75" customHeight="1">
      <c r="A143" s="107" t="s">
        <v>47</v>
      </c>
      <c r="B143" s="68" t="s">
        <v>771</v>
      </c>
      <c r="C143" s="68" t="s">
        <v>902</v>
      </c>
      <c r="D143" s="68" t="s">
        <v>773</v>
      </c>
      <c r="E143" s="68" t="s">
        <v>459</v>
      </c>
      <c r="F143" s="68" t="s">
        <v>774</v>
      </c>
      <c r="G143" s="68" t="s">
        <v>783</v>
      </c>
      <c r="H143" s="181">
        <v>45301.0</v>
      </c>
      <c r="J143" s="68" t="s">
        <v>134</v>
      </c>
      <c r="K143" s="68">
        <v>300.0</v>
      </c>
      <c r="L143" s="27">
        <v>0.390545863815419</v>
      </c>
      <c r="M143" s="68" t="s">
        <v>8</v>
      </c>
      <c r="N143" s="68">
        <v>18606.0</v>
      </c>
      <c r="O143" s="68">
        <v>113.0</v>
      </c>
      <c r="P143" s="68">
        <v>0.0061</v>
      </c>
      <c r="Q143" s="68">
        <v>3336.12</v>
      </c>
      <c r="S143" s="68">
        <v>29.52</v>
      </c>
      <c r="T143" s="68">
        <v>3.0</v>
      </c>
      <c r="U143" s="68">
        <v>51185.59</v>
      </c>
      <c r="V143" s="68">
        <v>0.0652</v>
      </c>
      <c r="W143" s="68">
        <v>15.3429</v>
      </c>
    </row>
    <row r="144" ht="15.75" customHeight="1">
      <c r="A144" s="107" t="s">
        <v>47</v>
      </c>
      <c r="B144" s="68" t="s">
        <v>771</v>
      </c>
      <c r="C144" s="68" t="s">
        <v>903</v>
      </c>
      <c r="D144" s="68" t="s">
        <v>773</v>
      </c>
      <c r="E144" s="68" t="s">
        <v>459</v>
      </c>
      <c r="F144" s="68" t="s">
        <v>774</v>
      </c>
      <c r="G144" s="68" t="s">
        <v>783</v>
      </c>
      <c r="H144" s="181">
        <v>45260.0</v>
      </c>
      <c r="J144" s="68" t="s">
        <v>134</v>
      </c>
      <c r="K144" s="68">
        <v>2500.0</v>
      </c>
      <c r="L144" s="68" t="s">
        <v>776</v>
      </c>
      <c r="M144" s="68" t="s">
        <v>8</v>
      </c>
      <c r="N144" s="68">
        <v>351651.0</v>
      </c>
      <c r="O144" s="68">
        <v>600.0</v>
      </c>
      <c r="P144" s="68">
        <v>0.0017</v>
      </c>
      <c r="Q144" s="68">
        <v>20785.09</v>
      </c>
      <c r="S144" s="68">
        <v>34.64</v>
      </c>
      <c r="T144" s="68">
        <v>3.0</v>
      </c>
      <c r="U144" s="68">
        <v>56186.43</v>
      </c>
      <c r="V144" s="68">
        <v>0.3699</v>
      </c>
      <c r="W144" s="68">
        <v>2.7032</v>
      </c>
    </row>
    <row r="145" ht="15.75" customHeight="1">
      <c r="A145" s="107" t="s">
        <v>47</v>
      </c>
      <c r="B145" s="68" t="s">
        <v>771</v>
      </c>
      <c r="C145" s="68" t="s">
        <v>904</v>
      </c>
      <c r="D145" s="68" t="s">
        <v>773</v>
      </c>
      <c r="E145" s="68" t="s">
        <v>459</v>
      </c>
      <c r="F145" s="68" t="s">
        <v>774</v>
      </c>
      <c r="G145" s="68" t="s">
        <v>783</v>
      </c>
      <c r="H145" s="181">
        <v>45301.0</v>
      </c>
      <c r="J145" s="68" t="s">
        <v>134</v>
      </c>
      <c r="K145" s="68">
        <v>6000.0</v>
      </c>
      <c r="L145" s="27">
        <v>0.208551805627353</v>
      </c>
      <c r="M145" s="68" t="s">
        <v>8</v>
      </c>
      <c r="N145" s="68">
        <v>108944.0</v>
      </c>
      <c r="O145" s="68">
        <v>407.0</v>
      </c>
      <c r="P145" s="68">
        <v>0.0037</v>
      </c>
      <c r="Q145" s="68">
        <v>16501.55</v>
      </c>
      <c r="S145" s="68">
        <v>40.54</v>
      </c>
      <c r="T145" s="68">
        <v>8.0</v>
      </c>
      <c r="U145" s="68">
        <v>147499.99</v>
      </c>
      <c r="V145" s="68">
        <v>0.1119</v>
      </c>
      <c r="W145" s="68">
        <v>8.9386</v>
      </c>
    </row>
    <row r="146" ht="15.75" customHeight="1">
      <c r="A146" s="107" t="s">
        <v>47</v>
      </c>
      <c r="B146" s="68" t="s">
        <v>779</v>
      </c>
      <c r="C146" s="68" t="s">
        <v>905</v>
      </c>
      <c r="D146" s="68" t="s">
        <v>781</v>
      </c>
      <c r="E146" s="68" t="s">
        <v>459</v>
      </c>
      <c r="F146" s="68" t="s">
        <v>774</v>
      </c>
      <c r="G146" s="68" t="s">
        <v>783</v>
      </c>
      <c r="H146" s="181">
        <v>45341.0</v>
      </c>
      <c r="J146" s="68" t="s">
        <v>134</v>
      </c>
      <c r="K146" s="68">
        <v>3000.0</v>
      </c>
      <c r="L146" s="27">
        <v>0.0788340652716782</v>
      </c>
      <c r="M146" s="68" t="s">
        <v>8</v>
      </c>
      <c r="N146" s="68">
        <v>65376.0</v>
      </c>
      <c r="O146" s="68">
        <v>182.0</v>
      </c>
      <c r="P146" s="68">
        <v>0.0028</v>
      </c>
      <c r="Q146" s="68">
        <v>9100.59</v>
      </c>
      <c r="S146" s="68">
        <v>50.0</v>
      </c>
      <c r="T146" s="68">
        <v>1.0</v>
      </c>
      <c r="U146" s="68">
        <v>17711.86</v>
      </c>
      <c r="V146" s="68">
        <v>0.5138</v>
      </c>
      <c r="W146" s="68">
        <v>1.9462</v>
      </c>
    </row>
    <row r="147" ht="15.75" customHeight="1">
      <c r="A147" s="107" t="s">
        <v>47</v>
      </c>
      <c r="B147" s="68" t="s">
        <v>771</v>
      </c>
      <c r="C147" s="68" t="s">
        <v>906</v>
      </c>
      <c r="D147" s="68" t="s">
        <v>773</v>
      </c>
      <c r="E147" s="68" t="s">
        <v>459</v>
      </c>
      <c r="F147" s="68" t="s">
        <v>774</v>
      </c>
      <c r="G147" s="68" t="s">
        <v>783</v>
      </c>
      <c r="H147" s="181">
        <v>45341.0</v>
      </c>
      <c r="J147" s="68" t="s">
        <v>152</v>
      </c>
      <c r="K147" s="68">
        <v>500.0</v>
      </c>
      <c r="L147" s="27">
        <v>0.209302325581395</v>
      </c>
      <c r="M147" s="68" t="s">
        <v>8</v>
      </c>
      <c r="N147" s="68">
        <v>11063.0</v>
      </c>
      <c r="O147" s="68">
        <v>56.0</v>
      </c>
      <c r="P147" s="68">
        <v>0.0051</v>
      </c>
      <c r="Q147" s="68">
        <v>1530.72</v>
      </c>
      <c r="S147" s="68">
        <v>27.33</v>
      </c>
      <c r="T147" s="68">
        <v>0.0</v>
      </c>
      <c r="U147" s="68">
        <v>0.0</v>
      </c>
      <c r="V147" s="68">
        <v>0.0</v>
      </c>
      <c r="W147" s="68">
        <v>0.0</v>
      </c>
    </row>
    <row r="148" ht="15.75" customHeight="1">
      <c r="A148" s="107" t="s">
        <v>47</v>
      </c>
      <c r="B148" s="68" t="s">
        <v>779</v>
      </c>
      <c r="C148" s="68" t="s">
        <v>907</v>
      </c>
      <c r="D148" s="68" t="s">
        <v>781</v>
      </c>
      <c r="E148" s="68" t="s">
        <v>459</v>
      </c>
      <c r="F148" s="68" t="s">
        <v>774</v>
      </c>
      <c r="G148" s="68" t="s">
        <v>783</v>
      </c>
      <c r="H148" s="181">
        <v>45336.0</v>
      </c>
      <c r="J148" s="68" t="s">
        <v>152</v>
      </c>
      <c r="K148" s="68">
        <v>2000.0</v>
      </c>
      <c r="L148" s="27">
        <v>0.0996256033199512</v>
      </c>
      <c r="M148" s="68" t="s">
        <v>8</v>
      </c>
      <c r="N148" s="68">
        <v>39754.0</v>
      </c>
      <c r="O148" s="68">
        <v>215.0</v>
      </c>
      <c r="P148" s="68">
        <v>0.0054</v>
      </c>
      <c r="Q148" s="68">
        <v>6163.87</v>
      </c>
      <c r="S148" s="68">
        <v>28.67</v>
      </c>
      <c r="T148" s="68">
        <v>0.0</v>
      </c>
      <c r="U148" s="68">
        <v>0.0</v>
      </c>
      <c r="V148" s="68">
        <v>0.0</v>
      </c>
      <c r="W148" s="68">
        <v>0.0</v>
      </c>
    </row>
    <row r="149" ht="15.75" customHeight="1">
      <c r="A149" s="107" t="s">
        <v>47</v>
      </c>
      <c r="B149" s="68" t="s">
        <v>771</v>
      </c>
      <c r="C149" s="68" t="s">
        <v>908</v>
      </c>
      <c r="D149" s="68" t="s">
        <v>773</v>
      </c>
      <c r="E149" s="68" t="s">
        <v>459</v>
      </c>
      <c r="F149" s="68" t="s">
        <v>774</v>
      </c>
      <c r="G149" s="68" t="s">
        <v>783</v>
      </c>
      <c r="H149" s="181">
        <v>45260.0</v>
      </c>
      <c r="J149" s="68" t="s">
        <v>152</v>
      </c>
      <c r="K149" s="68">
        <v>2000.0</v>
      </c>
      <c r="L149" s="68" t="s">
        <v>776</v>
      </c>
      <c r="M149" s="68" t="s">
        <v>8</v>
      </c>
      <c r="N149" s="68">
        <v>209809.0</v>
      </c>
      <c r="O149" s="68">
        <v>331.0</v>
      </c>
      <c r="P149" s="68">
        <v>0.0016</v>
      </c>
      <c r="Q149" s="68">
        <v>11267.91</v>
      </c>
      <c r="S149" s="68">
        <v>34.04</v>
      </c>
      <c r="T149" s="68">
        <v>1.0</v>
      </c>
      <c r="U149" s="68">
        <v>12966.1</v>
      </c>
      <c r="V149" s="68">
        <v>0.869</v>
      </c>
      <c r="W149" s="68">
        <v>1.1507</v>
      </c>
    </row>
    <row r="150" ht="15.75" customHeight="1">
      <c r="A150" s="107" t="s">
        <v>47</v>
      </c>
      <c r="B150" s="68" t="s">
        <v>771</v>
      </c>
      <c r="C150" s="68" t="s">
        <v>909</v>
      </c>
      <c r="D150" s="68" t="s">
        <v>773</v>
      </c>
      <c r="E150" s="68" t="s">
        <v>459</v>
      </c>
      <c r="F150" s="68" t="s">
        <v>774</v>
      </c>
      <c r="G150" s="68" t="s">
        <v>783</v>
      </c>
      <c r="H150" s="181">
        <v>45336.0</v>
      </c>
      <c r="J150" s="68" t="s">
        <v>152</v>
      </c>
      <c r="K150" s="68">
        <v>1000.0</v>
      </c>
      <c r="L150" s="27">
        <v>0.0874638748023338</v>
      </c>
      <c r="M150" s="68" t="s">
        <v>8</v>
      </c>
      <c r="N150" s="68">
        <v>44705.0</v>
      </c>
      <c r="O150" s="68">
        <v>276.0</v>
      </c>
      <c r="P150" s="68">
        <v>0.0062</v>
      </c>
      <c r="Q150" s="68">
        <v>11676.53</v>
      </c>
      <c r="S150" s="68">
        <v>42.31</v>
      </c>
      <c r="T150" s="68">
        <v>1.0</v>
      </c>
      <c r="U150" s="68">
        <v>12711.02</v>
      </c>
      <c r="V150" s="68">
        <v>0.9186</v>
      </c>
      <c r="W150" s="68">
        <v>1.0886</v>
      </c>
    </row>
    <row r="151" ht="15.75" customHeight="1">
      <c r="A151" s="107" t="s">
        <v>47</v>
      </c>
      <c r="B151" s="68" t="s">
        <v>779</v>
      </c>
      <c r="C151" s="68" t="s">
        <v>837</v>
      </c>
      <c r="D151" s="68" t="s">
        <v>781</v>
      </c>
      <c r="E151" s="68" t="s">
        <v>459</v>
      </c>
      <c r="F151" s="68" t="s">
        <v>774</v>
      </c>
      <c r="G151" s="68" t="s">
        <v>775</v>
      </c>
      <c r="H151" s="181">
        <v>45265.0</v>
      </c>
      <c r="J151" s="68" t="s">
        <v>152</v>
      </c>
      <c r="K151" s="68">
        <v>500.0</v>
      </c>
      <c r="L151" s="27">
        <v>0.0672494956287827</v>
      </c>
      <c r="M151" s="68" t="s">
        <v>8</v>
      </c>
      <c r="N151" s="68">
        <v>14902.0</v>
      </c>
      <c r="O151" s="68">
        <v>61.0</v>
      </c>
      <c r="P151" s="68">
        <v>0.0041</v>
      </c>
      <c r="Q151" s="68">
        <v>1082.68</v>
      </c>
      <c r="S151" s="68">
        <v>17.75</v>
      </c>
      <c r="T151" s="68">
        <v>0.0</v>
      </c>
      <c r="U151" s="68">
        <v>0.0</v>
      </c>
      <c r="V151" s="68">
        <v>0.0</v>
      </c>
      <c r="W151" s="68">
        <v>0.0</v>
      </c>
    </row>
    <row r="152" ht="15.75" customHeight="1">
      <c r="A152" s="107" t="s">
        <v>47</v>
      </c>
      <c r="B152" s="68" t="s">
        <v>771</v>
      </c>
      <c r="C152" s="68" t="s">
        <v>910</v>
      </c>
      <c r="D152" s="68" t="s">
        <v>773</v>
      </c>
      <c r="E152" s="68" t="s">
        <v>459</v>
      </c>
      <c r="F152" s="68" t="s">
        <v>774</v>
      </c>
      <c r="G152" s="68" t="s">
        <v>783</v>
      </c>
      <c r="H152" s="181">
        <v>45341.0</v>
      </c>
      <c r="J152" s="68" t="s">
        <v>134</v>
      </c>
      <c r="K152" s="68">
        <v>1000.0</v>
      </c>
      <c r="L152" s="27">
        <v>0.176089476914683</v>
      </c>
      <c r="M152" s="68" t="s">
        <v>8</v>
      </c>
      <c r="N152" s="68">
        <v>20814.0</v>
      </c>
      <c r="O152" s="68">
        <v>151.0</v>
      </c>
      <c r="P152" s="68">
        <v>0.0073</v>
      </c>
      <c r="Q152" s="68">
        <v>5192.65</v>
      </c>
      <c r="S152" s="68">
        <v>34.39</v>
      </c>
      <c r="T152" s="68">
        <v>1.0</v>
      </c>
      <c r="U152" s="68">
        <v>20762.71</v>
      </c>
      <c r="V152" s="68">
        <v>0.2501</v>
      </c>
      <c r="W152" s="68">
        <v>3.9985</v>
      </c>
    </row>
    <row r="153" ht="15.75" customHeight="1">
      <c r="A153" s="107" t="s">
        <v>47</v>
      </c>
      <c r="B153" s="68" t="s">
        <v>779</v>
      </c>
      <c r="C153" s="68" t="s">
        <v>829</v>
      </c>
      <c r="D153" s="68" t="s">
        <v>781</v>
      </c>
      <c r="E153" s="68" t="s">
        <v>459</v>
      </c>
      <c r="F153" s="68" t="s">
        <v>774</v>
      </c>
      <c r="G153" s="68" t="s">
        <v>775</v>
      </c>
      <c r="H153" s="181">
        <v>45301.0</v>
      </c>
      <c r="J153" s="68" t="s">
        <v>90</v>
      </c>
      <c r="K153" s="68">
        <v>500.0</v>
      </c>
      <c r="L153" s="68" t="s">
        <v>776</v>
      </c>
      <c r="M153" s="68" t="s">
        <v>8</v>
      </c>
      <c r="N153" s="68">
        <v>18371.0</v>
      </c>
      <c r="O153" s="68">
        <v>115.0</v>
      </c>
      <c r="P153" s="68">
        <v>0.0063</v>
      </c>
      <c r="Q153" s="68">
        <v>1698.48</v>
      </c>
      <c r="S153" s="68">
        <v>14.77</v>
      </c>
      <c r="T153" s="68">
        <v>0.0</v>
      </c>
      <c r="U153" s="68">
        <v>0.0</v>
      </c>
      <c r="V153" s="68">
        <v>0.0</v>
      </c>
      <c r="W153" s="68">
        <v>0.0</v>
      </c>
    </row>
    <row r="154" ht="15.75" customHeight="1">
      <c r="A154" s="107" t="s">
        <v>47</v>
      </c>
      <c r="B154" s="68" t="s">
        <v>779</v>
      </c>
      <c r="C154" s="68" t="s">
        <v>828</v>
      </c>
      <c r="D154" s="68" t="s">
        <v>781</v>
      </c>
      <c r="E154" s="68" t="s">
        <v>459</v>
      </c>
      <c r="F154" s="68" t="s">
        <v>774</v>
      </c>
      <c r="G154" s="68" t="s">
        <v>775</v>
      </c>
      <c r="H154" s="181">
        <v>45301.0</v>
      </c>
      <c r="J154" s="68" t="s">
        <v>152</v>
      </c>
      <c r="K154" s="68">
        <v>500.0</v>
      </c>
      <c r="L154" s="68" t="s">
        <v>776</v>
      </c>
      <c r="M154" s="68" t="s">
        <v>8</v>
      </c>
      <c r="N154" s="68">
        <v>18971.0</v>
      </c>
      <c r="O154" s="68">
        <v>45.0</v>
      </c>
      <c r="P154" s="68">
        <v>0.0024</v>
      </c>
      <c r="Q154" s="68">
        <v>386.83</v>
      </c>
      <c r="S154" s="68">
        <v>8.6</v>
      </c>
      <c r="T154" s="68">
        <v>0.0</v>
      </c>
      <c r="U154" s="68">
        <v>0.0</v>
      </c>
      <c r="V154" s="68">
        <v>0.0</v>
      </c>
      <c r="W154" s="68">
        <v>0.0</v>
      </c>
    </row>
    <row r="155" ht="15.75" customHeight="1">
      <c r="A155" s="107" t="s">
        <v>47</v>
      </c>
      <c r="B155" s="68" t="s">
        <v>779</v>
      </c>
      <c r="C155" s="68" t="s">
        <v>911</v>
      </c>
      <c r="D155" s="68" t="s">
        <v>781</v>
      </c>
      <c r="E155" s="68" t="s">
        <v>459</v>
      </c>
      <c r="F155" s="68" t="s">
        <v>774</v>
      </c>
      <c r="G155" s="68" t="s">
        <v>775</v>
      </c>
      <c r="H155" s="181">
        <v>45260.0</v>
      </c>
      <c r="J155" s="68" t="s">
        <v>152</v>
      </c>
      <c r="K155" s="68">
        <v>500.0</v>
      </c>
      <c r="L155" s="27">
        <v>0.0655018350087761</v>
      </c>
      <c r="M155" s="68" t="s">
        <v>8</v>
      </c>
      <c r="N155" s="68">
        <v>28029.0</v>
      </c>
      <c r="O155" s="68">
        <v>91.0</v>
      </c>
      <c r="P155" s="68">
        <v>0.0032</v>
      </c>
      <c r="Q155" s="68">
        <v>2327.68</v>
      </c>
      <c r="S155" s="68">
        <v>25.58</v>
      </c>
      <c r="T155" s="68">
        <v>0.0</v>
      </c>
      <c r="U155" s="68">
        <v>0.0</v>
      </c>
      <c r="V155" s="68">
        <v>0.0</v>
      </c>
      <c r="W155" s="68">
        <v>0.0</v>
      </c>
    </row>
    <row r="156" ht="15.75" customHeight="1">
      <c r="A156" s="107" t="s">
        <v>47</v>
      </c>
      <c r="B156" s="68" t="s">
        <v>779</v>
      </c>
      <c r="C156" s="68" t="s">
        <v>835</v>
      </c>
      <c r="D156" s="68" t="s">
        <v>781</v>
      </c>
      <c r="E156" s="68" t="s">
        <v>459</v>
      </c>
      <c r="F156" s="68" t="s">
        <v>774</v>
      </c>
      <c r="G156" s="68" t="s">
        <v>775</v>
      </c>
      <c r="H156" s="181">
        <v>45301.0</v>
      </c>
      <c r="J156" s="68" t="s">
        <v>152</v>
      </c>
      <c r="K156" s="68">
        <v>500.0</v>
      </c>
      <c r="L156" s="27">
        <v>0.053072625698324</v>
      </c>
      <c r="M156" s="68" t="s">
        <v>8</v>
      </c>
      <c r="N156" s="68">
        <v>12348.0</v>
      </c>
      <c r="O156" s="68">
        <v>56.0</v>
      </c>
      <c r="P156" s="68">
        <v>0.0045</v>
      </c>
      <c r="Q156" s="68">
        <v>1097.33</v>
      </c>
      <c r="S156" s="68">
        <v>19.6</v>
      </c>
      <c r="T156" s="68">
        <v>0.0</v>
      </c>
      <c r="U156" s="68">
        <v>0.0</v>
      </c>
      <c r="V156" s="68">
        <v>0.0</v>
      </c>
      <c r="W156" s="68">
        <v>0.0</v>
      </c>
    </row>
    <row r="157" ht="15.75" customHeight="1">
      <c r="A157" s="107" t="s">
        <v>47</v>
      </c>
      <c r="B157" s="68" t="s">
        <v>779</v>
      </c>
      <c r="C157" s="68" t="s">
        <v>871</v>
      </c>
      <c r="D157" s="68" t="s">
        <v>781</v>
      </c>
      <c r="E157" s="68" t="s">
        <v>459</v>
      </c>
      <c r="F157" s="68" t="s">
        <v>774</v>
      </c>
      <c r="G157" s="68" t="s">
        <v>775</v>
      </c>
      <c r="H157" s="181">
        <v>45296.0</v>
      </c>
      <c r="J157" s="68" t="s">
        <v>119</v>
      </c>
      <c r="K157" s="68">
        <v>200.0</v>
      </c>
      <c r="L157" s="68" t="s">
        <v>776</v>
      </c>
      <c r="M157" s="68" t="s">
        <v>8</v>
      </c>
      <c r="N157" s="68">
        <v>8837.0</v>
      </c>
      <c r="O157" s="68">
        <v>102.0</v>
      </c>
      <c r="P157" s="68">
        <v>0.0115</v>
      </c>
      <c r="Q157" s="68">
        <v>748.33</v>
      </c>
      <c r="S157" s="68">
        <v>7.34</v>
      </c>
      <c r="T157" s="68">
        <v>0.0</v>
      </c>
      <c r="U157" s="68">
        <v>0.0</v>
      </c>
      <c r="V157" s="68">
        <v>0.0</v>
      </c>
      <c r="W157" s="68">
        <v>0.0</v>
      </c>
    </row>
    <row r="158" ht="15.75" customHeight="1">
      <c r="A158" s="107" t="s">
        <v>47</v>
      </c>
      <c r="B158" s="68" t="s">
        <v>771</v>
      </c>
      <c r="C158" s="68" t="s">
        <v>827</v>
      </c>
      <c r="D158" s="68" t="s">
        <v>773</v>
      </c>
      <c r="E158" s="68" t="s">
        <v>459</v>
      </c>
      <c r="F158" s="68" t="s">
        <v>774</v>
      </c>
      <c r="G158" s="68" t="s">
        <v>783</v>
      </c>
      <c r="H158" s="181">
        <v>45309.0</v>
      </c>
      <c r="J158" s="68" t="s">
        <v>128</v>
      </c>
      <c r="K158" s="68">
        <v>2000.0</v>
      </c>
      <c r="L158" s="27">
        <v>0.808788137566959</v>
      </c>
      <c r="M158" s="68" t="s">
        <v>8</v>
      </c>
      <c r="N158" s="68">
        <v>169567.0</v>
      </c>
      <c r="O158" s="68">
        <v>1146.0</v>
      </c>
      <c r="P158" s="68">
        <v>0.0068</v>
      </c>
      <c r="Q158" s="68">
        <v>43038.82</v>
      </c>
      <c r="S158" s="68">
        <v>37.56</v>
      </c>
      <c r="T158" s="68">
        <v>17.0</v>
      </c>
      <c r="U158" s="68">
        <v>324489.01</v>
      </c>
      <c r="V158" s="68">
        <v>0.1326</v>
      </c>
      <c r="W158" s="68">
        <v>7.5394</v>
      </c>
    </row>
    <row r="159" ht="15.75" customHeight="1">
      <c r="A159" s="107" t="s">
        <v>47</v>
      </c>
      <c r="B159" s="68" t="s">
        <v>771</v>
      </c>
      <c r="C159" s="68" t="s">
        <v>912</v>
      </c>
      <c r="D159" s="68" t="s">
        <v>773</v>
      </c>
      <c r="E159" s="68" t="s">
        <v>459</v>
      </c>
      <c r="F159" s="68" t="s">
        <v>774</v>
      </c>
      <c r="G159" s="68" t="s">
        <v>783</v>
      </c>
      <c r="H159" s="181">
        <v>45260.0</v>
      </c>
      <c r="J159" s="68" t="s">
        <v>140</v>
      </c>
      <c r="K159" s="68">
        <v>1000.0</v>
      </c>
      <c r="L159" s="27">
        <v>0.27966971221967</v>
      </c>
      <c r="M159" s="68" t="s">
        <v>8</v>
      </c>
      <c r="N159" s="68">
        <v>62600.0</v>
      </c>
      <c r="O159" s="68">
        <v>299.0</v>
      </c>
      <c r="P159" s="68">
        <v>0.0048</v>
      </c>
      <c r="Q159" s="68">
        <v>8687.32</v>
      </c>
      <c r="S159" s="68">
        <v>29.05</v>
      </c>
      <c r="T159" s="68">
        <v>4.0</v>
      </c>
      <c r="U159" s="68">
        <v>88388.99</v>
      </c>
      <c r="V159" s="68">
        <v>0.0983</v>
      </c>
      <c r="W159" s="68">
        <v>10.1745</v>
      </c>
    </row>
    <row r="160" ht="15.75" customHeight="1">
      <c r="A160" s="107" t="s">
        <v>47</v>
      </c>
      <c r="B160" s="68" t="s">
        <v>771</v>
      </c>
      <c r="C160" s="68" t="s">
        <v>798</v>
      </c>
      <c r="D160" s="68" t="s">
        <v>773</v>
      </c>
      <c r="E160" s="68" t="s">
        <v>461</v>
      </c>
      <c r="F160" s="68" t="s">
        <v>774</v>
      </c>
      <c r="H160" s="181">
        <v>45260.0</v>
      </c>
      <c r="J160" s="68" t="s">
        <v>128</v>
      </c>
      <c r="K160" s="68">
        <v>1000.0</v>
      </c>
      <c r="L160" s="27">
        <v>0.695077484047402</v>
      </c>
      <c r="M160" s="68" t="s">
        <v>8</v>
      </c>
      <c r="N160" s="68">
        <v>30779.0</v>
      </c>
      <c r="O160" s="68">
        <v>160.0</v>
      </c>
      <c r="P160" s="68">
        <v>0.0052</v>
      </c>
      <c r="Q160" s="68">
        <v>2860.32</v>
      </c>
      <c r="S160" s="68">
        <v>17.88</v>
      </c>
      <c r="T160" s="68">
        <v>11.0</v>
      </c>
      <c r="U160" s="68">
        <v>184396.63</v>
      </c>
      <c r="V160" s="68">
        <v>0.0155</v>
      </c>
      <c r="W160" s="68">
        <v>64.4671</v>
      </c>
    </row>
    <row r="161" ht="15.75" customHeight="1">
      <c r="A161" s="107" t="s">
        <v>47</v>
      </c>
      <c r="B161" s="68" t="s">
        <v>779</v>
      </c>
      <c r="C161" s="68" t="s">
        <v>808</v>
      </c>
      <c r="D161" s="68" t="s">
        <v>781</v>
      </c>
      <c r="E161" s="68" t="s">
        <v>463</v>
      </c>
      <c r="F161" s="68" t="s">
        <v>774</v>
      </c>
      <c r="H161" s="181">
        <v>45272.0</v>
      </c>
      <c r="J161" s="68" t="s">
        <v>90</v>
      </c>
      <c r="K161" s="68">
        <v>500.0</v>
      </c>
      <c r="M161" s="68" t="s">
        <v>8</v>
      </c>
      <c r="N161" s="68">
        <v>106076.0</v>
      </c>
      <c r="O161" s="68">
        <v>651.0</v>
      </c>
      <c r="P161" s="68">
        <v>0.0061</v>
      </c>
      <c r="Q161" s="68">
        <v>1341.37</v>
      </c>
      <c r="S161" s="68">
        <v>2.06</v>
      </c>
      <c r="T161" s="68">
        <v>0.0</v>
      </c>
      <c r="U161" s="68">
        <v>0.0</v>
      </c>
      <c r="V161" s="68">
        <v>0.0</v>
      </c>
      <c r="W161" s="68">
        <v>0.0</v>
      </c>
    </row>
    <row r="162" ht="15.75" customHeight="1">
      <c r="A162" s="107" t="s">
        <v>47</v>
      </c>
      <c r="B162" s="68" t="s">
        <v>779</v>
      </c>
      <c r="C162" s="68" t="s">
        <v>803</v>
      </c>
      <c r="D162" s="68" t="s">
        <v>781</v>
      </c>
      <c r="E162" s="68" t="s">
        <v>459</v>
      </c>
      <c r="F162" s="68" t="s">
        <v>774</v>
      </c>
      <c r="G162" s="68" t="s">
        <v>775</v>
      </c>
      <c r="H162" s="181">
        <v>45260.0</v>
      </c>
      <c r="J162" s="68" t="s">
        <v>128</v>
      </c>
      <c r="K162" s="68">
        <v>1000.0</v>
      </c>
      <c r="L162" s="27">
        <v>0.75139146567718</v>
      </c>
      <c r="M162" s="68" t="s">
        <v>8</v>
      </c>
      <c r="N162" s="68">
        <v>2603.0</v>
      </c>
      <c r="O162" s="68">
        <v>84.0</v>
      </c>
      <c r="P162" s="68">
        <v>0.0323</v>
      </c>
      <c r="Q162" s="68">
        <v>2978.47</v>
      </c>
      <c r="S162" s="68">
        <v>35.46</v>
      </c>
      <c r="T162" s="68">
        <v>6.0</v>
      </c>
      <c r="U162" s="68">
        <v>115593.2</v>
      </c>
      <c r="V162" s="68">
        <v>0.0258</v>
      </c>
      <c r="W162" s="68">
        <v>38.8096</v>
      </c>
    </row>
    <row r="163" ht="15.75" customHeight="1">
      <c r="A163" s="107" t="s">
        <v>47</v>
      </c>
      <c r="B163" s="68" t="s">
        <v>771</v>
      </c>
      <c r="C163" s="68" t="s">
        <v>789</v>
      </c>
      <c r="D163" s="68" t="s">
        <v>773</v>
      </c>
      <c r="E163" s="68" t="s">
        <v>459</v>
      </c>
      <c r="F163" s="68" t="s">
        <v>774</v>
      </c>
      <c r="G163" s="68" t="s">
        <v>783</v>
      </c>
      <c r="H163" s="181">
        <v>45260.0</v>
      </c>
      <c r="J163" s="68" t="s">
        <v>128</v>
      </c>
      <c r="K163" s="68">
        <v>5000.0</v>
      </c>
      <c r="L163" s="27">
        <v>0.639963167587476</v>
      </c>
      <c r="M163" s="68" t="s">
        <v>8</v>
      </c>
      <c r="N163" s="68">
        <v>281153.0</v>
      </c>
      <c r="O163" s="68">
        <v>608.0</v>
      </c>
      <c r="P163" s="68">
        <v>0.0022</v>
      </c>
      <c r="Q163" s="68">
        <v>25398.87</v>
      </c>
      <c r="S163" s="68">
        <v>41.77</v>
      </c>
      <c r="T163" s="68">
        <v>14.0</v>
      </c>
      <c r="U163" s="68">
        <v>300422.88</v>
      </c>
      <c r="V163" s="68">
        <v>0.0845</v>
      </c>
      <c r="W163" s="68">
        <v>11.8282</v>
      </c>
    </row>
    <row r="164" ht="15.75" customHeight="1">
      <c r="A164" s="107" t="s">
        <v>48</v>
      </c>
      <c r="B164" s="68" t="s">
        <v>771</v>
      </c>
      <c r="C164" s="68" t="s">
        <v>883</v>
      </c>
      <c r="D164" s="68" t="s">
        <v>773</v>
      </c>
      <c r="E164" s="68" t="s">
        <v>462</v>
      </c>
      <c r="F164" s="68" t="s">
        <v>774</v>
      </c>
      <c r="H164" s="181">
        <v>45336.0</v>
      </c>
      <c r="J164" s="68" t="s">
        <v>134</v>
      </c>
      <c r="K164" s="68">
        <v>5000.0</v>
      </c>
      <c r="L164" s="68" t="s">
        <v>776</v>
      </c>
      <c r="M164" s="68" t="s">
        <v>8</v>
      </c>
      <c r="N164" s="68">
        <v>109976.0</v>
      </c>
      <c r="O164" s="68">
        <v>3565.0</v>
      </c>
      <c r="P164" s="68">
        <v>0.0324</v>
      </c>
      <c r="Q164" s="68">
        <v>49047.47</v>
      </c>
      <c r="S164" s="68">
        <v>13.76</v>
      </c>
      <c r="T164" s="68">
        <v>17.0</v>
      </c>
      <c r="U164" s="68">
        <v>317372.02</v>
      </c>
      <c r="V164" s="68">
        <v>0.1545</v>
      </c>
      <c r="W164" s="68">
        <v>6.4707</v>
      </c>
    </row>
    <row r="165" ht="15.75" customHeight="1">
      <c r="A165" s="107" t="s">
        <v>48</v>
      </c>
      <c r="B165" s="68" t="s">
        <v>771</v>
      </c>
      <c r="C165" s="68" t="s">
        <v>904</v>
      </c>
      <c r="D165" s="68" t="s">
        <v>773</v>
      </c>
      <c r="E165" s="68" t="s">
        <v>459</v>
      </c>
      <c r="F165" s="68" t="s">
        <v>774</v>
      </c>
      <c r="G165" s="68" t="s">
        <v>783</v>
      </c>
      <c r="H165" s="181">
        <v>45301.0</v>
      </c>
      <c r="J165" s="68" t="s">
        <v>134</v>
      </c>
      <c r="K165" s="68">
        <v>7000.0</v>
      </c>
      <c r="L165" s="27">
        <v>0.178634978422269</v>
      </c>
      <c r="M165" s="68" t="s">
        <v>8</v>
      </c>
      <c r="N165" s="68">
        <v>233697.0</v>
      </c>
      <c r="O165" s="68">
        <v>946.0</v>
      </c>
      <c r="P165" s="68">
        <v>0.004</v>
      </c>
      <c r="Q165" s="68">
        <v>46876.45</v>
      </c>
      <c r="S165" s="68">
        <v>49.55</v>
      </c>
      <c r="T165" s="68">
        <v>17.0</v>
      </c>
      <c r="U165" s="68">
        <v>330169.49</v>
      </c>
      <c r="V165" s="68">
        <v>0.142</v>
      </c>
      <c r="W165" s="68">
        <v>7.0434</v>
      </c>
    </row>
    <row r="166" ht="15.75" customHeight="1">
      <c r="A166" s="107" t="s">
        <v>48</v>
      </c>
      <c r="B166" s="68" t="s">
        <v>771</v>
      </c>
      <c r="C166" s="68" t="s">
        <v>903</v>
      </c>
      <c r="D166" s="68" t="s">
        <v>773</v>
      </c>
      <c r="E166" s="68" t="s">
        <v>459</v>
      </c>
      <c r="F166" s="68" t="s">
        <v>774</v>
      </c>
      <c r="G166" s="68" t="s">
        <v>783</v>
      </c>
      <c r="H166" s="181">
        <v>45260.0</v>
      </c>
      <c r="J166" s="68" t="s">
        <v>134</v>
      </c>
      <c r="K166" s="68">
        <v>1500.0</v>
      </c>
      <c r="L166" s="27">
        <v>0.116323741272948</v>
      </c>
      <c r="M166" s="68" t="s">
        <v>8</v>
      </c>
      <c r="N166" s="68">
        <v>160332.0</v>
      </c>
      <c r="O166" s="68">
        <v>640.0</v>
      </c>
      <c r="P166" s="68">
        <v>0.004</v>
      </c>
      <c r="Q166" s="68">
        <v>33554.72</v>
      </c>
      <c r="S166" s="68">
        <v>52.43</v>
      </c>
      <c r="T166" s="68">
        <v>3.0</v>
      </c>
      <c r="U166" s="68">
        <v>59491.53</v>
      </c>
      <c r="V166" s="68">
        <v>0.564</v>
      </c>
      <c r="W166" s="68">
        <v>1.773</v>
      </c>
    </row>
    <row r="167" ht="15.75" customHeight="1">
      <c r="A167" s="107" t="s">
        <v>48</v>
      </c>
      <c r="B167" s="68" t="s">
        <v>771</v>
      </c>
      <c r="C167" s="68" t="s">
        <v>827</v>
      </c>
      <c r="D167" s="68" t="s">
        <v>773</v>
      </c>
      <c r="E167" s="68" t="s">
        <v>459</v>
      </c>
      <c r="F167" s="68" t="s">
        <v>774</v>
      </c>
      <c r="G167" s="68" t="s">
        <v>783</v>
      </c>
      <c r="H167" s="181">
        <v>45309.0</v>
      </c>
      <c r="J167" s="68" t="s">
        <v>128</v>
      </c>
      <c r="K167" s="68">
        <v>2000.0</v>
      </c>
      <c r="L167" s="27">
        <v>0.120069629326233</v>
      </c>
      <c r="M167" s="68" t="s">
        <v>8</v>
      </c>
      <c r="N167" s="68">
        <v>208281.0</v>
      </c>
      <c r="O167" s="68">
        <v>817.0</v>
      </c>
      <c r="P167" s="68">
        <v>0.0039</v>
      </c>
      <c r="Q167" s="68">
        <v>32527.67</v>
      </c>
      <c r="S167" s="68">
        <v>39.81</v>
      </c>
      <c r="T167" s="68">
        <v>19.0</v>
      </c>
      <c r="U167" s="68">
        <v>405868.63</v>
      </c>
      <c r="V167" s="68">
        <v>0.0801</v>
      </c>
      <c r="W167" s="68">
        <v>12.4776</v>
      </c>
    </row>
    <row r="168" ht="15.75" customHeight="1">
      <c r="A168" s="107" t="s">
        <v>48</v>
      </c>
      <c r="B168" s="68" t="s">
        <v>771</v>
      </c>
      <c r="C168" s="68" t="s">
        <v>877</v>
      </c>
      <c r="D168" s="68" t="s">
        <v>773</v>
      </c>
      <c r="E168" s="68" t="s">
        <v>461</v>
      </c>
      <c r="F168" s="68" t="s">
        <v>774</v>
      </c>
      <c r="H168" s="181">
        <v>45260.0</v>
      </c>
      <c r="J168" s="68" t="s">
        <v>196</v>
      </c>
      <c r="K168" s="68">
        <v>1000.0</v>
      </c>
      <c r="L168" s="27">
        <v>0.206605755509751</v>
      </c>
      <c r="M168" s="68" t="s">
        <v>8</v>
      </c>
      <c r="N168" s="68">
        <v>179599.0</v>
      </c>
      <c r="O168" s="68">
        <v>925.0</v>
      </c>
      <c r="P168" s="68">
        <v>0.0052</v>
      </c>
      <c r="Q168" s="68">
        <v>23966.21</v>
      </c>
      <c r="S168" s="68">
        <v>25.91</v>
      </c>
      <c r="T168" s="68">
        <v>6.0</v>
      </c>
      <c r="U168" s="68">
        <v>100932.2</v>
      </c>
      <c r="V168" s="68">
        <v>0.2374</v>
      </c>
      <c r="W168" s="68">
        <v>4.2114</v>
      </c>
    </row>
    <row r="169" ht="15.75" customHeight="1">
      <c r="A169" s="107" t="s">
        <v>48</v>
      </c>
      <c r="B169" s="68" t="s">
        <v>771</v>
      </c>
      <c r="C169" s="68" t="s">
        <v>910</v>
      </c>
      <c r="D169" s="68" t="s">
        <v>773</v>
      </c>
      <c r="E169" s="68" t="s">
        <v>459</v>
      </c>
      <c r="F169" s="68" t="s">
        <v>774</v>
      </c>
      <c r="G169" s="68" t="s">
        <v>783</v>
      </c>
      <c r="H169" s="181">
        <v>45341.0</v>
      </c>
      <c r="J169" s="68" t="s">
        <v>134</v>
      </c>
      <c r="K169" s="68">
        <v>2000.0</v>
      </c>
      <c r="L169" s="27">
        <v>0.0807216352869424</v>
      </c>
      <c r="M169" s="68" t="s">
        <v>8</v>
      </c>
      <c r="N169" s="68">
        <v>53598.0</v>
      </c>
      <c r="O169" s="68">
        <v>497.0</v>
      </c>
      <c r="P169" s="68">
        <v>0.0093</v>
      </c>
      <c r="Q169" s="68">
        <v>22474.56</v>
      </c>
      <c r="S169" s="68">
        <v>45.22</v>
      </c>
      <c r="T169" s="68">
        <v>2.0</v>
      </c>
      <c r="U169" s="68">
        <v>39152.54</v>
      </c>
      <c r="V169" s="68">
        <v>0.574</v>
      </c>
      <c r="W169" s="68">
        <v>1.7421</v>
      </c>
    </row>
    <row r="170" ht="15.75" customHeight="1">
      <c r="A170" s="107" t="s">
        <v>48</v>
      </c>
      <c r="B170" s="68" t="s">
        <v>771</v>
      </c>
      <c r="C170" s="68" t="s">
        <v>894</v>
      </c>
      <c r="D170" s="68" t="s">
        <v>773</v>
      </c>
      <c r="E170" s="68" t="s">
        <v>459</v>
      </c>
      <c r="F170" s="68" t="s">
        <v>774</v>
      </c>
      <c r="G170" s="68" t="s">
        <v>783</v>
      </c>
      <c r="H170" s="181">
        <v>45301.0</v>
      </c>
      <c r="J170" s="68" t="s">
        <v>90</v>
      </c>
      <c r="K170" s="68">
        <v>1500.0</v>
      </c>
      <c r="L170" s="27">
        <v>0.331626975294903</v>
      </c>
      <c r="M170" s="68" t="s">
        <v>8</v>
      </c>
      <c r="N170" s="68">
        <v>240029.0</v>
      </c>
      <c r="O170" s="68">
        <v>392.0</v>
      </c>
      <c r="P170" s="68">
        <v>0.0016</v>
      </c>
      <c r="Q170" s="68">
        <v>21984.07</v>
      </c>
      <c r="S170" s="68">
        <v>56.08</v>
      </c>
      <c r="T170" s="68">
        <v>12.0</v>
      </c>
      <c r="U170" s="68">
        <v>269853.38</v>
      </c>
      <c r="V170" s="68">
        <v>0.0815</v>
      </c>
      <c r="W170" s="68">
        <v>12.275</v>
      </c>
    </row>
    <row r="171" ht="15.75" customHeight="1">
      <c r="A171" s="107" t="s">
        <v>48</v>
      </c>
      <c r="B171" s="68" t="s">
        <v>771</v>
      </c>
      <c r="C171" s="68" t="s">
        <v>913</v>
      </c>
      <c r="D171" s="68" t="s">
        <v>773</v>
      </c>
      <c r="E171" s="68" t="s">
        <v>459</v>
      </c>
      <c r="F171" s="68" t="s">
        <v>774</v>
      </c>
      <c r="G171" s="68" t="s">
        <v>783</v>
      </c>
      <c r="H171" s="181">
        <v>45351.0</v>
      </c>
      <c r="J171" s="68" t="s">
        <v>152</v>
      </c>
      <c r="K171" s="68">
        <v>700.0</v>
      </c>
      <c r="L171" s="27">
        <v>0.116027856181909</v>
      </c>
      <c r="M171" s="68" t="s">
        <v>8</v>
      </c>
      <c r="N171" s="68">
        <v>44147.0</v>
      </c>
      <c r="O171" s="68">
        <v>667.0</v>
      </c>
      <c r="P171" s="68">
        <v>0.0151</v>
      </c>
      <c r="Q171" s="68">
        <v>19016.4</v>
      </c>
      <c r="S171" s="68">
        <v>28.51</v>
      </c>
      <c r="T171" s="68">
        <v>8.0</v>
      </c>
      <c r="U171" s="68">
        <v>105756.8</v>
      </c>
      <c r="V171" s="68">
        <v>0.1798</v>
      </c>
      <c r="W171" s="68">
        <v>5.5613</v>
      </c>
    </row>
    <row r="172" ht="15.75" customHeight="1">
      <c r="A172" s="107" t="s">
        <v>48</v>
      </c>
      <c r="B172" s="68" t="s">
        <v>771</v>
      </c>
      <c r="C172" s="68" t="s">
        <v>789</v>
      </c>
      <c r="D172" s="68" t="s">
        <v>773</v>
      </c>
      <c r="E172" s="68" t="s">
        <v>459</v>
      </c>
      <c r="F172" s="68" t="s">
        <v>774</v>
      </c>
      <c r="G172" s="68" t="s">
        <v>783</v>
      </c>
      <c r="H172" s="181">
        <v>45260.0</v>
      </c>
      <c r="J172" s="68" t="s">
        <v>128</v>
      </c>
      <c r="K172" s="68">
        <v>5000.0</v>
      </c>
      <c r="L172" s="27">
        <v>0.50979210605604</v>
      </c>
      <c r="M172" s="68" t="s">
        <v>8</v>
      </c>
      <c r="N172" s="68">
        <v>177424.0</v>
      </c>
      <c r="O172" s="68">
        <v>454.0</v>
      </c>
      <c r="P172" s="68">
        <v>0.0026</v>
      </c>
      <c r="Q172" s="68">
        <v>18586.91</v>
      </c>
      <c r="S172" s="68">
        <v>40.94</v>
      </c>
      <c r="T172" s="68">
        <v>17.0</v>
      </c>
      <c r="U172" s="68">
        <v>390761.84</v>
      </c>
      <c r="V172" s="68">
        <v>0.0476</v>
      </c>
      <c r="W172" s="68">
        <v>21.0235</v>
      </c>
    </row>
    <row r="173" ht="15.75" customHeight="1">
      <c r="A173" s="107" t="s">
        <v>48</v>
      </c>
      <c r="B173" s="68" t="s">
        <v>771</v>
      </c>
      <c r="C173" s="68" t="s">
        <v>914</v>
      </c>
      <c r="D173" s="68" t="s">
        <v>773</v>
      </c>
      <c r="E173" s="68" t="s">
        <v>463</v>
      </c>
      <c r="F173" s="68" t="s">
        <v>774</v>
      </c>
      <c r="H173" s="181">
        <v>45355.0</v>
      </c>
      <c r="J173" s="68" t="s">
        <v>90</v>
      </c>
      <c r="K173" s="68">
        <v>1000.0</v>
      </c>
      <c r="M173" s="68" t="s">
        <v>8</v>
      </c>
      <c r="N173" s="68">
        <v>230135.0</v>
      </c>
      <c r="O173" s="68">
        <v>955.0</v>
      </c>
      <c r="P173" s="68">
        <v>0.0041</v>
      </c>
      <c r="Q173" s="68">
        <v>18029.17</v>
      </c>
      <c r="S173" s="68">
        <v>18.88</v>
      </c>
      <c r="T173" s="68">
        <v>5.0</v>
      </c>
      <c r="U173" s="68">
        <v>106864.41</v>
      </c>
      <c r="V173" s="68">
        <v>0.1687</v>
      </c>
      <c r="W173" s="68">
        <v>5.9273</v>
      </c>
    </row>
    <row r="174" ht="15.75" customHeight="1">
      <c r="A174" s="107" t="s">
        <v>48</v>
      </c>
      <c r="B174" s="68" t="s">
        <v>771</v>
      </c>
      <c r="C174" s="68" t="s">
        <v>915</v>
      </c>
      <c r="D174" s="68" t="s">
        <v>773</v>
      </c>
      <c r="E174" s="68" t="s">
        <v>459</v>
      </c>
      <c r="F174" s="68" t="s">
        <v>774</v>
      </c>
      <c r="G174" s="68" t="s">
        <v>783</v>
      </c>
      <c r="H174" s="181">
        <v>45356.0</v>
      </c>
      <c r="J174" s="68" t="s">
        <v>205</v>
      </c>
      <c r="K174" s="68">
        <v>800.0</v>
      </c>
      <c r="L174" s="27">
        <v>0.051683262209578</v>
      </c>
      <c r="M174" s="68" t="s">
        <v>8</v>
      </c>
      <c r="N174" s="68">
        <v>232433.0</v>
      </c>
      <c r="O174" s="68">
        <v>297.0</v>
      </c>
      <c r="P174" s="68">
        <v>0.0013</v>
      </c>
      <c r="Q174" s="68">
        <v>16873.04</v>
      </c>
      <c r="S174" s="68">
        <v>56.81</v>
      </c>
      <c r="T174" s="68">
        <v>1.0</v>
      </c>
      <c r="U174" s="68">
        <v>27881.36</v>
      </c>
      <c r="V174" s="68">
        <v>0.6052</v>
      </c>
      <c r="W174" s="68">
        <v>1.6524</v>
      </c>
    </row>
    <row r="175" ht="15.75" customHeight="1">
      <c r="A175" s="107" t="s">
        <v>48</v>
      </c>
      <c r="B175" s="68" t="s">
        <v>771</v>
      </c>
      <c r="C175" s="68" t="s">
        <v>895</v>
      </c>
      <c r="D175" s="68" t="s">
        <v>773</v>
      </c>
      <c r="E175" s="68" t="s">
        <v>459</v>
      </c>
      <c r="F175" s="68" t="s">
        <v>774</v>
      </c>
      <c r="G175" s="68" t="s">
        <v>783</v>
      </c>
      <c r="H175" s="181">
        <v>45338.0</v>
      </c>
      <c r="J175" s="68" t="s">
        <v>134</v>
      </c>
      <c r="K175" s="68">
        <v>800.0</v>
      </c>
      <c r="L175" s="27">
        <v>0.053927654109589</v>
      </c>
      <c r="M175" s="68" t="s">
        <v>8</v>
      </c>
      <c r="N175" s="68">
        <v>101456.0</v>
      </c>
      <c r="O175" s="68">
        <v>392.0</v>
      </c>
      <c r="P175" s="68">
        <v>0.0039</v>
      </c>
      <c r="Q175" s="68">
        <v>16540.38</v>
      </c>
      <c r="S175" s="68">
        <v>42.19</v>
      </c>
      <c r="T175" s="68">
        <v>4.0</v>
      </c>
      <c r="U175" s="68">
        <v>72541.53</v>
      </c>
      <c r="V175" s="68">
        <v>0.228</v>
      </c>
      <c r="W175" s="68">
        <v>4.3857</v>
      </c>
    </row>
    <row r="176" ht="15.75" customHeight="1">
      <c r="A176" s="107" t="s">
        <v>48</v>
      </c>
      <c r="B176" s="68" t="s">
        <v>771</v>
      </c>
      <c r="C176" s="68" t="s">
        <v>876</v>
      </c>
      <c r="D176" s="68" t="s">
        <v>773</v>
      </c>
      <c r="E176" s="68" t="s">
        <v>459</v>
      </c>
      <c r="F176" s="68" t="s">
        <v>774</v>
      </c>
      <c r="G176" s="68" t="s">
        <v>783</v>
      </c>
      <c r="H176" s="181">
        <v>44567.0</v>
      </c>
      <c r="J176" s="68" t="s">
        <v>134</v>
      </c>
      <c r="K176" s="68">
        <v>10000.0</v>
      </c>
      <c r="L176" s="68" t="s">
        <v>776</v>
      </c>
      <c r="M176" s="68" t="s">
        <v>8</v>
      </c>
      <c r="N176" s="68">
        <v>36852.0</v>
      </c>
      <c r="O176" s="68">
        <v>319.0</v>
      </c>
      <c r="P176" s="68">
        <v>0.0087</v>
      </c>
      <c r="Q176" s="68">
        <v>14585.53</v>
      </c>
      <c r="S176" s="68">
        <v>45.72</v>
      </c>
      <c r="T176" s="68">
        <v>7.0</v>
      </c>
      <c r="U176" s="68">
        <v>131906.77</v>
      </c>
      <c r="V176" s="68">
        <v>0.1106</v>
      </c>
      <c r="W176" s="68">
        <v>9.0437</v>
      </c>
    </row>
    <row r="177" ht="15.75" customHeight="1">
      <c r="A177" s="107" t="s">
        <v>48</v>
      </c>
      <c r="B177" s="68" t="s">
        <v>771</v>
      </c>
      <c r="C177" s="68" t="s">
        <v>862</v>
      </c>
      <c r="D177" s="68" t="s">
        <v>773</v>
      </c>
      <c r="E177" s="68" t="s">
        <v>463</v>
      </c>
      <c r="F177" s="68" t="s">
        <v>774</v>
      </c>
      <c r="H177" s="181">
        <v>45309.0</v>
      </c>
      <c r="J177" s="68" t="s">
        <v>128</v>
      </c>
      <c r="K177" s="68">
        <v>500.0</v>
      </c>
      <c r="M177" s="68" t="s">
        <v>8</v>
      </c>
      <c r="N177" s="68">
        <v>94735.0</v>
      </c>
      <c r="O177" s="68">
        <v>467.0</v>
      </c>
      <c r="P177" s="68">
        <v>0.0049</v>
      </c>
      <c r="Q177" s="68">
        <v>14463.06</v>
      </c>
      <c r="S177" s="68">
        <v>30.97</v>
      </c>
      <c r="T177" s="68">
        <v>12.0</v>
      </c>
      <c r="U177" s="68">
        <v>258134.74</v>
      </c>
      <c r="V177" s="68">
        <v>0.056</v>
      </c>
      <c r="W177" s="68">
        <v>17.8479</v>
      </c>
    </row>
    <row r="178" ht="15.75" customHeight="1">
      <c r="A178" s="107" t="s">
        <v>48</v>
      </c>
      <c r="B178" s="68" t="s">
        <v>771</v>
      </c>
      <c r="C178" s="68" t="s">
        <v>916</v>
      </c>
      <c r="D178" s="68" t="s">
        <v>773</v>
      </c>
      <c r="E178" s="68" t="s">
        <v>459</v>
      </c>
      <c r="F178" s="68" t="s">
        <v>774</v>
      </c>
      <c r="G178" s="68" t="s">
        <v>783</v>
      </c>
      <c r="H178" s="181">
        <v>45356.0</v>
      </c>
      <c r="J178" s="68" t="s">
        <v>205</v>
      </c>
      <c r="K178" s="68">
        <v>500.0</v>
      </c>
      <c r="L178" s="27">
        <v>0.0887112263516757</v>
      </c>
      <c r="M178" s="68" t="s">
        <v>8</v>
      </c>
      <c r="N178" s="68">
        <v>61392.0</v>
      </c>
      <c r="O178" s="68">
        <v>210.0</v>
      </c>
      <c r="P178" s="68">
        <v>0.0034</v>
      </c>
      <c r="Q178" s="68">
        <v>14405.04</v>
      </c>
      <c r="S178" s="68">
        <v>68.6</v>
      </c>
      <c r="T178" s="68">
        <v>2.0</v>
      </c>
      <c r="U178" s="68">
        <v>39237.29</v>
      </c>
      <c r="V178" s="68">
        <v>0.3671</v>
      </c>
      <c r="W178" s="68">
        <v>2.7239</v>
      </c>
    </row>
    <row r="179" ht="15.75" customHeight="1">
      <c r="A179" s="107" t="s">
        <v>48</v>
      </c>
      <c r="B179" s="68" t="s">
        <v>779</v>
      </c>
      <c r="C179" s="68" t="s">
        <v>917</v>
      </c>
      <c r="D179" s="68" t="s">
        <v>781</v>
      </c>
      <c r="E179" s="68" t="s">
        <v>463</v>
      </c>
      <c r="F179" s="68" t="s">
        <v>774</v>
      </c>
      <c r="H179" s="181">
        <v>45355.0</v>
      </c>
      <c r="J179" s="68" t="s">
        <v>90</v>
      </c>
      <c r="K179" s="68">
        <v>1000.0</v>
      </c>
      <c r="M179" s="68" t="s">
        <v>8</v>
      </c>
      <c r="N179" s="68">
        <v>839393.0</v>
      </c>
      <c r="O179" s="68">
        <v>3443.0</v>
      </c>
      <c r="P179" s="68">
        <v>0.0041</v>
      </c>
      <c r="Q179" s="68">
        <v>13574.54</v>
      </c>
      <c r="S179" s="68">
        <v>3.94</v>
      </c>
      <c r="T179" s="68">
        <v>1.0</v>
      </c>
      <c r="U179" s="68">
        <v>59322.04</v>
      </c>
      <c r="V179" s="68">
        <v>0.2288</v>
      </c>
      <c r="W179" s="68">
        <v>4.3701</v>
      </c>
    </row>
    <row r="180" ht="15.75" customHeight="1">
      <c r="A180" s="107" t="s">
        <v>48</v>
      </c>
      <c r="B180" s="68" t="s">
        <v>771</v>
      </c>
      <c r="C180" s="68" t="s">
        <v>918</v>
      </c>
      <c r="D180" s="68" t="s">
        <v>773</v>
      </c>
      <c r="E180" s="68" t="s">
        <v>462</v>
      </c>
      <c r="F180" s="68" t="s">
        <v>774</v>
      </c>
      <c r="H180" s="181">
        <v>45343.0</v>
      </c>
      <c r="J180" s="68" t="s">
        <v>196</v>
      </c>
      <c r="K180" s="68">
        <v>1000.0</v>
      </c>
      <c r="L180" s="27">
        <v>0.164173993374108</v>
      </c>
      <c r="M180" s="68" t="s">
        <v>8</v>
      </c>
      <c r="N180" s="68">
        <v>24840.0</v>
      </c>
      <c r="O180" s="68">
        <v>399.0</v>
      </c>
      <c r="P180" s="68">
        <v>0.0161</v>
      </c>
      <c r="Q180" s="68">
        <v>12985.41</v>
      </c>
      <c r="S180" s="68">
        <v>32.54</v>
      </c>
      <c r="T180" s="68">
        <v>3.0</v>
      </c>
      <c r="U180" s="68">
        <v>67711.86</v>
      </c>
      <c r="V180" s="68">
        <v>0.1918</v>
      </c>
      <c r="W180" s="68">
        <v>5.2145</v>
      </c>
    </row>
    <row r="181" ht="15.75" customHeight="1">
      <c r="A181" s="107" t="s">
        <v>48</v>
      </c>
      <c r="B181" s="68" t="s">
        <v>771</v>
      </c>
      <c r="C181" s="68" t="s">
        <v>798</v>
      </c>
      <c r="D181" s="68" t="s">
        <v>773</v>
      </c>
      <c r="E181" s="68" t="s">
        <v>461</v>
      </c>
      <c r="F181" s="68" t="s">
        <v>774</v>
      </c>
      <c r="H181" s="181">
        <v>45260.0</v>
      </c>
      <c r="J181" s="68" t="s">
        <v>128</v>
      </c>
      <c r="K181" s="68">
        <v>1000.0</v>
      </c>
      <c r="L181" s="27">
        <v>0.718628490632732</v>
      </c>
      <c r="M181" s="68" t="s">
        <v>8</v>
      </c>
      <c r="N181" s="68">
        <v>130433.0</v>
      </c>
      <c r="O181" s="68">
        <v>458.0</v>
      </c>
      <c r="P181" s="68">
        <v>0.0035</v>
      </c>
      <c r="Q181" s="68">
        <v>12128.3</v>
      </c>
      <c r="S181" s="68">
        <v>26.48</v>
      </c>
      <c r="T181" s="68">
        <v>11.0</v>
      </c>
      <c r="U181" s="68">
        <v>188769.48</v>
      </c>
      <c r="V181" s="68">
        <v>0.0642</v>
      </c>
      <c r="W181" s="68">
        <v>15.5644</v>
      </c>
    </row>
    <row r="182" ht="15.75" customHeight="1">
      <c r="A182" s="107" t="s">
        <v>48</v>
      </c>
      <c r="B182" s="68" t="s">
        <v>771</v>
      </c>
      <c r="C182" s="68" t="s">
        <v>834</v>
      </c>
      <c r="D182" s="68" t="s">
        <v>773</v>
      </c>
      <c r="E182" s="68" t="s">
        <v>459</v>
      </c>
      <c r="F182" s="68" t="s">
        <v>774</v>
      </c>
      <c r="G182" s="68" t="s">
        <v>775</v>
      </c>
      <c r="H182" s="181">
        <v>45260.0</v>
      </c>
      <c r="J182" s="68" t="s">
        <v>134</v>
      </c>
      <c r="K182" s="68">
        <v>900.0</v>
      </c>
      <c r="L182" s="68" t="s">
        <v>776</v>
      </c>
      <c r="M182" s="68" t="s">
        <v>8</v>
      </c>
      <c r="N182" s="68">
        <v>155450.0</v>
      </c>
      <c r="O182" s="68">
        <v>351.0</v>
      </c>
      <c r="P182" s="68">
        <v>0.0023</v>
      </c>
      <c r="Q182" s="68">
        <v>9342.93</v>
      </c>
      <c r="S182" s="68">
        <v>26.62</v>
      </c>
      <c r="T182" s="68">
        <v>2.0</v>
      </c>
      <c r="U182" s="68">
        <v>38983.04</v>
      </c>
      <c r="V182" s="68">
        <v>0.2397</v>
      </c>
      <c r="W182" s="68">
        <v>4.1725</v>
      </c>
    </row>
    <row r="183" ht="15.75" customHeight="1">
      <c r="A183" s="107" t="s">
        <v>48</v>
      </c>
      <c r="B183" s="68" t="s">
        <v>771</v>
      </c>
      <c r="C183" s="68" t="s">
        <v>919</v>
      </c>
      <c r="D183" s="68" t="s">
        <v>773</v>
      </c>
      <c r="E183" s="68" t="s">
        <v>459</v>
      </c>
      <c r="F183" s="68" t="s">
        <v>774</v>
      </c>
      <c r="G183" s="68" t="s">
        <v>783</v>
      </c>
      <c r="H183" s="181">
        <v>45352.0</v>
      </c>
      <c r="J183" s="68" t="s">
        <v>140</v>
      </c>
      <c r="K183" s="68">
        <v>1500.0</v>
      </c>
      <c r="L183" s="27">
        <v>0.225767906094046</v>
      </c>
      <c r="M183" s="68" t="s">
        <v>8</v>
      </c>
      <c r="N183" s="68">
        <v>15073.0</v>
      </c>
      <c r="O183" s="68">
        <v>186.0</v>
      </c>
      <c r="P183" s="68">
        <v>0.0123</v>
      </c>
      <c r="Q183" s="68">
        <v>9247.0</v>
      </c>
      <c r="S183" s="68">
        <v>49.72</v>
      </c>
      <c r="T183" s="68">
        <v>1.0</v>
      </c>
      <c r="U183" s="68">
        <v>28728.81</v>
      </c>
      <c r="V183" s="68">
        <v>0.3219</v>
      </c>
      <c r="W183" s="68">
        <v>3.1068</v>
      </c>
    </row>
    <row r="184" ht="15.75" customHeight="1">
      <c r="A184" s="107" t="s">
        <v>48</v>
      </c>
      <c r="B184" s="68" t="s">
        <v>771</v>
      </c>
      <c r="C184" s="68" t="s">
        <v>822</v>
      </c>
      <c r="D184" s="68" t="s">
        <v>773</v>
      </c>
      <c r="E184" s="68" t="s">
        <v>462</v>
      </c>
      <c r="F184" s="68" t="s">
        <v>774</v>
      </c>
      <c r="H184" s="181">
        <v>45303.0</v>
      </c>
      <c r="J184" s="68" t="s">
        <v>128</v>
      </c>
      <c r="K184" s="68">
        <v>500.0</v>
      </c>
      <c r="L184" s="68" t="s">
        <v>776</v>
      </c>
      <c r="M184" s="68" t="s">
        <v>8</v>
      </c>
      <c r="N184" s="68">
        <v>35832.0</v>
      </c>
      <c r="O184" s="68">
        <v>446.0</v>
      </c>
      <c r="P184" s="68">
        <v>0.0124</v>
      </c>
      <c r="Q184" s="68">
        <v>9119.19</v>
      </c>
      <c r="S184" s="68">
        <v>20.45</v>
      </c>
      <c r="T184" s="68">
        <v>1.0</v>
      </c>
      <c r="U184" s="68">
        <v>21016.95</v>
      </c>
      <c r="V184" s="68">
        <v>0.4339</v>
      </c>
      <c r="W184" s="68">
        <v>2.3047</v>
      </c>
    </row>
    <row r="185" ht="15.75" customHeight="1">
      <c r="A185" s="107" t="s">
        <v>48</v>
      </c>
      <c r="B185" s="68" t="s">
        <v>771</v>
      </c>
      <c r="C185" s="68" t="s">
        <v>920</v>
      </c>
      <c r="D185" s="68" t="s">
        <v>773</v>
      </c>
      <c r="E185" s="68" t="s">
        <v>459</v>
      </c>
      <c r="F185" s="68" t="s">
        <v>774</v>
      </c>
      <c r="G185" s="68" t="s">
        <v>783</v>
      </c>
      <c r="H185" s="181">
        <v>45362.0</v>
      </c>
      <c r="J185" s="68" t="s">
        <v>205</v>
      </c>
      <c r="K185" s="68">
        <v>300.0</v>
      </c>
      <c r="L185" s="27">
        <v>0.104863352086129</v>
      </c>
      <c r="M185" s="68" t="s">
        <v>8</v>
      </c>
      <c r="N185" s="68">
        <v>39302.0</v>
      </c>
      <c r="O185" s="68">
        <v>165.0</v>
      </c>
      <c r="P185" s="68">
        <v>0.0042</v>
      </c>
      <c r="Q185" s="68">
        <v>8857.4</v>
      </c>
      <c r="S185" s="68">
        <v>53.68</v>
      </c>
      <c r="T185" s="68">
        <v>0.0</v>
      </c>
      <c r="U185" s="68">
        <v>0.0</v>
      </c>
      <c r="V185" s="68">
        <v>0.0</v>
      </c>
      <c r="W185" s="68">
        <v>0.0</v>
      </c>
    </row>
    <row r="186" ht="15.75" customHeight="1">
      <c r="A186" s="107" t="s">
        <v>48</v>
      </c>
      <c r="B186" s="68" t="s">
        <v>771</v>
      </c>
      <c r="C186" s="68" t="s">
        <v>906</v>
      </c>
      <c r="D186" s="68" t="s">
        <v>773</v>
      </c>
      <c r="E186" s="68" t="s">
        <v>459</v>
      </c>
      <c r="F186" s="68" t="s">
        <v>774</v>
      </c>
      <c r="G186" s="68" t="s">
        <v>783</v>
      </c>
      <c r="H186" s="181">
        <v>45341.0</v>
      </c>
      <c r="J186" s="68" t="s">
        <v>152</v>
      </c>
      <c r="K186" s="68">
        <v>500.0</v>
      </c>
      <c r="L186" s="68" t="s">
        <v>776</v>
      </c>
      <c r="M186" s="68" t="s">
        <v>8</v>
      </c>
      <c r="N186" s="68">
        <v>37235.0</v>
      </c>
      <c r="O186" s="68">
        <v>255.0</v>
      </c>
      <c r="P186" s="68">
        <v>0.0068</v>
      </c>
      <c r="Q186" s="68">
        <v>8153.8</v>
      </c>
      <c r="S186" s="68">
        <v>31.98</v>
      </c>
      <c r="T186" s="68">
        <v>2.0</v>
      </c>
      <c r="U186" s="68">
        <v>25083.06</v>
      </c>
      <c r="V186" s="68">
        <v>0.3251</v>
      </c>
      <c r="W186" s="68">
        <v>3.0762</v>
      </c>
    </row>
    <row r="187" ht="15.75" customHeight="1">
      <c r="A187" s="107" t="s">
        <v>48</v>
      </c>
      <c r="B187" s="68" t="s">
        <v>771</v>
      </c>
      <c r="C187" s="68" t="s">
        <v>882</v>
      </c>
      <c r="D187" s="68" t="s">
        <v>773</v>
      </c>
      <c r="E187" s="68" t="s">
        <v>462</v>
      </c>
      <c r="F187" s="68" t="s">
        <v>774</v>
      </c>
      <c r="H187" s="181">
        <v>45338.0</v>
      </c>
      <c r="J187" s="68" t="s">
        <v>134</v>
      </c>
      <c r="K187" s="68">
        <v>1000.0</v>
      </c>
      <c r="L187" s="68" t="s">
        <v>776</v>
      </c>
      <c r="M187" s="68" t="s">
        <v>8</v>
      </c>
      <c r="N187" s="68">
        <v>34010.0</v>
      </c>
      <c r="O187" s="68">
        <v>723.0</v>
      </c>
      <c r="P187" s="68">
        <v>0.0213</v>
      </c>
      <c r="Q187" s="68">
        <v>8052.25</v>
      </c>
      <c r="S187" s="68">
        <v>11.14</v>
      </c>
      <c r="T187" s="68">
        <v>4.0</v>
      </c>
      <c r="U187" s="68">
        <v>75423.73</v>
      </c>
      <c r="V187" s="68">
        <v>0.1068</v>
      </c>
      <c r="W187" s="68">
        <v>9.3668</v>
      </c>
    </row>
    <row r="188" ht="15.75" customHeight="1">
      <c r="A188" s="107" t="s">
        <v>48</v>
      </c>
      <c r="B188" s="68" t="s">
        <v>771</v>
      </c>
      <c r="C188" s="68" t="s">
        <v>887</v>
      </c>
      <c r="D188" s="68" t="s">
        <v>773</v>
      </c>
      <c r="E188" s="68" t="s">
        <v>463</v>
      </c>
      <c r="F188" s="68" t="s">
        <v>774</v>
      </c>
      <c r="H188" s="181">
        <v>45342.0</v>
      </c>
      <c r="J188" s="68" t="s">
        <v>152</v>
      </c>
      <c r="K188" s="68">
        <v>1000.0</v>
      </c>
      <c r="M188" s="68" t="s">
        <v>8</v>
      </c>
      <c r="N188" s="68">
        <v>86212.0</v>
      </c>
      <c r="O188" s="68">
        <v>300.0</v>
      </c>
      <c r="P188" s="68">
        <v>0.0035</v>
      </c>
      <c r="Q188" s="68">
        <v>7514.02</v>
      </c>
      <c r="S188" s="68">
        <v>25.05</v>
      </c>
      <c r="T188" s="68">
        <v>1.0</v>
      </c>
      <c r="U188" s="68">
        <v>12541.53</v>
      </c>
      <c r="V188" s="68">
        <v>0.5991</v>
      </c>
      <c r="W188" s="68">
        <v>1.6691</v>
      </c>
    </row>
    <row r="189" ht="15.75" customHeight="1">
      <c r="A189" s="107" t="s">
        <v>48</v>
      </c>
      <c r="B189" s="68" t="s">
        <v>771</v>
      </c>
      <c r="C189" s="68" t="s">
        <v>902</v>
      </c>
      <c r="D189" s="68" t="s">
        <v>773</v>
      </c>
      <c r="E189" s="68" t="s">
        <v>459</v>
      </c>
      <c r="F189" s="68" t="s">
        <v>774</v>
      </c>
      <c r="G189" s="68" t="s">
        <v>783</v>
      </c>
      <c r="H189" s="181">
        <v>45301.0</v>
      </c>
      <c r="J189" s="68" t="s">
        <v>134</v>
      </c>
      <c r="K189" s="68">
        <v>300.0</v>
      </c>
      <c r="L189" s="27">
        <v>0.346970889063729</v>
      </c>
      <c r="M189" s="68" t="s">
        <v>8</v>
      </c>
      <c r="N189" s="68">
        <v>43457.0</v>
      </c>
      <c r="O189" s="68">
        <v>127.0</v>
      </c>
      <c r="P189" s="68">
        <v>0.0029</v>
      </c>
      <c r="Q189" s="68">
        <v>6695.08</v>
      </c>
      <c r="S189" s="68">
        <v>52.72</v>
      </c>
      <c r="T189" s="68">
        <v>1.0</v>
      </c>
      <c r="U189" s="68">
        <v>21186.44</v>
      </c>
      <c r="V189" s="68">
        <v>0.316</v>
      </c>
      <c r="W189" s="68">
        <v>3.1645</v>
      </c>
    </row>
    <row r="190" ht="15.75" customHeight="1">
      <c r="A190" s="107" t="s">
        <v>48</v>
      </c>
      <c r="B190" s="68" t="s">
        <v>771</v>
      </c>
      <c r="C190" s="68" t="s">
        <v>879</v>
      </c>
      <c r="D190" s="68" t="s">
        <v>773</v>
      </c>
      <c r="E190" s="68" t="s">
        <v>462</v>
      </c>
      <c r="F190" s="68" t="s">
        <v>774</v>
      </c>
      <c r="H190" s="181">
        <v>45338.0</v>
      </c>
      <c r="J190" s="68" t="s">
        <v>134</v>
      </c>
      <c r="K190" s="68">
        <v>500.0</v>
      </c>
      <c r="L190" s="68" t="s">
        <v>776</v>
      </c>
      <c r="M190" s="68" t="s">
        <v>8</v>
      </c>
      <c r="N190" s="68">
        <v>26582.0</v>
      </c>
      <c r="O190" s="68">
        <v>473.0</v>
      </c>
      <c r="P190" s="68">
        <v>0.0178</v>
      </c>
      <c r="Q190" s="68">
        <v>6478.74</v>
      </c>
      <c r="S190" s="68">
        <v>13.7</v>
      </c>
      <c r="T190" s="68">
        <v>1.0</v>
      </c>
      <c r="U190" s="68">
        <v>21016.95</v>
      </c>
      <c r="V190" s="68">
        <v>0.3083</v>
      </c>
      <c r="W190" s="68">
        <v>3.244</v>
      </c>
    </row>
    <row r="191" ht="15.75" customHeight="1">
      <c r="A191" s="107" t="s">
        <v>48</v>
      </c>
      <c r="B191" s="68" t="s">
        <v>771</v>
      </c>
      <c r="C191" s="68" t="s">
        <v>921</v>
      </c>
      <c r="D191" s="68" t="s">
        <v>773</v>
      </c>
      <c r="E191" s="68" t="s">
        <v>459</v>
      </c>
      <c r="F191" s="68" t="s">
        <v>774</v>
      </c>
      <c r="G191" s="68" t="s">
        <v>783</v>
      </c>
      <c r="H191" s="181">
        <v>45356.0</v>
      </c>
      <c r="J191" s="68" t="s">
        <v>205</v>
      </c>
      <c r="K191" s="68">
        <v>500.0</v>
      </c>
      <c r="L191" s="27">
        <v>0.287382128423888</v>
      </c>
      <c r="M191" s="68" t="s">
        <v>8</v>
      </c>
      <c r="N191" s="68">
        <v>37317.0</v>
      </c>
      <c r="O191" s="68">
        <v>88.0</v>
      </c>
      <c r="P191" s="68">
        <v>0.0024</v>
      </c>
      <c r="Q191" s="68">
        <v>6190.46</v>
      </c>
      <c r="S191" s="68">
        <v>70.35</v>
      </c>
      <c r="T191" s="68">
        <v>3.0</v>
      </c>
      <c r="U191" s="68">
        <v>85932.2</v>
      </c>
      <c r="V191" s="68">
        <v>0.072</v>
      </c>
      <c r="W191" s="68">
        <v>13.8814</v>
      </c>
    </row>
    <row r="192" ht="15.75" customHeight="1">
      <c r="A192" s="107" t="s">
        <v>48</v>
      </c>
      <c r="B192" s="68" t="s">
        <v>779</v>
      </c>
      <c r="C192" s="68" t="s">
        <v>908</v>
      </c>
      <c r="D192" s="68" t="s">
        <v>781</v>
      </c>
      <c r="E192" s="68" t="s">
        <v>459</v>
      </c>
      <c r="F192" s="68" t="s">
        <v>774</v>
      </c>
      <c r="G192" s="68" t="s">
        <v>783</v>
      </c>
      <c r="H192" s="181">
        <v>45260.0</v>
      </c>
      <c r="J192" s="68" t="s">
        <v>152</v>
      </c>
      <c r="K192" s="68">
        <v>2000.0</v>
      </c>
      <c r="L192" s="27">
        <v>0.0517254780040416</v>
      </c>
      <c r="M192" s="68" t="s">
        <v>8</v>
      </c>
      <c r="N192" s="68">
        <v>33649.0</v>
      </c>
      <c r="O192" s="68">
        <v>138.0</v>
      </c>
      <c r="P192" s="68">
        <v>0.0041</v>
      </c>
      <c r="Q192" s="68">
        <v>6142.18</v>
      </c>
      <c r="S192" s="68">
        <v>44.51</v>
      </c>
      <c r="T192" s="68">
        <v>0.0</v>
      </c>
      <c r="U192" s="68">
        <v>0.0</v>
      </c>
      <c r="V192" s="68">
        <v>0.0</v>
      </c>
      <c r="W192" s="68">
        <v>0.0</v>
      </c>
    </row>
    <row r="193" ht="15.75" customHeight="1">
      <c r="A193" s="107" t="s">
        <v>48</v>
      </c>
      <c r="B193" s="68" t="s">
        <v>771</v>
      </c>
      <c r="C193" s="68" t="s">
        <v>832</v>
      </c>
      <c r="D193" s="68" t="s">
        <v>773</v>
      </c>
      <c r="E193" s="68" t="s">
        <v>463</v>
      </c>
      <c r="F193" s="68" t="s">
        <v>774</v>
      </c>
      <c r="H193" s="181">
        <v>45280.0</v>
      </c>
      <c r="J193" s="68" t="s">
        <v>134</v>
      </c>
      <c r="K193" s="68">
        <v>500.0</v>
      </c>
      <c r="M193" s="68" t="s">
        <v>8</v>
      </c>
      <c r="N193" s="68">
        <v>142326.0</v>
      </c>
      <c r="O193" s="68">
        <v>368.0</v>
      </c>
      <c r="P193" s="68">
        <v>0.0026</v>
      </c>
      <c r="Q193" s="68">
        <v>5736.27</v>
      </c>
      <c r="S193" s="68">
        <v>15.59</v>
      </c>
      <c r="T193" s="68">
        <v>4.0</v>
      </c>
      <c r="U193" s="68">
        <v>74915.25</v>
      </c>
      <c r="V193" s="68">
        <v>0.0766</v>
      </c>
      <c r="W193" s="68">
        <v>13.0599</v>
      </c>
    </row>
    <row r="194" ht="15.75" customHeight="1">
      <c r="A194" s="107" t="s">
        <v>48</v>
      </c>
      <c r="B194" s="68" t="s">
        <v>771</v>
      </c>
      <c r="C194" s="68" t="s">
        <v>922</v>
      </c>
      <c r="D194" s="68" t="s">
        <v>773</v>
      </c>
      <c r="E194" s="68" t="s">
        <v>459</v>
      </c>
      <c r="F194" s="68" t="s">
        <v>774</v>
      </c>
      <c r="G194" s="68" t="s">
        <v>783</v>
      </c>
      <c r="H194" s="181">
        <v>45352.0</v>
      </c>
      <c r="J194" s="68" t="s">
        <v>140</v>
      </c>
      <c r="K194" s="68">
        <v>1000.0</v>
      </c>
      <c r="L194" s="27">
        <v>0.0955243820975284</v>
      </c>
      <c r="M194" s="68" t="s">
        <v>8</v>
      </c>
      <c r="N194" s="68">
        <v>30122.0</v>
      </c>
      <c r="O194" s="68">
        <v>93.0</v>
      </c>
      <c r="P194" s="68">
        <v>0.0031</v>
      </c>
      <c r="Q194" s="68">
        <v>5579.29</v>
      </c>
      <c r="S194" s="68">
        <v>59.99</v>
      </c>
      <c r="T194" s="68">
        <v>1.0</v>
      </c>
      <c r="U194" s="68">
        <v>27881.36</v>
      </c>
      <c r="V194" s="68">
        <v>0.2001</v>
      </c>
      <c r="W194" s="68">
        <v>4.9973</v>
      </c>
    </row>
    <row r="195" ht="15.75" customHeight="1">
      <c r="A195" s="107" t="s">
        <v>48</v>
      </c>
      <c r="B195" s="68" t="s">
        <v>779</v>
      </c>
      <c r="C195" s="68" t="s">
        <v>900</v>
      </c>
      <c r="D195" s="68" t="s">
        <v>781</v>
      </c>
      <c r="E195" s="68" t="s">
        <v>459</v>
      </c>
      <c r="F195" s="68" t="s">
        <v>774</v>
      </c>
      <c r="G195" s="68" t="s">
        <v>783</v>
      </c>
      <c r="H195" s="181">
        <v>45301.0</v>
      </c>
      <c r="J195" s="68" t="s">
        <v>134</v>
      </c>
      <c r="K195" s="68">
        <v>900.0</v>
      </c>
      <c r="L195" s="27">
        <v>0.127013256706831</v>
      </c>
      <c r="M195" s="68" t="s">
        <v>8</v>
      </c>
      <c r="N195" s="68">
        <v>26081.0</v>
      </c>
      <c r="O195" s="68">
        <v>168.0</v>
      </c>
      <c r="P195" s="68">
        <v>0.0064</v>
      </c>
      <c r="Q195" s="68">
        <v>4404.82</v>
      </c>
      <c r="S195" s="68">
        <v>26.22</v>
      </c>
      <c r="T195" s="68">
        <v>0.0</v>
      </c>
      <c r="U195" s="68">
        <v>0.0</v>
      </c>
      <c r="V195" s="68">
        <v>0.0</v>
      </c>
      <c r="W195" s="68">
        <v>0.0</v>
      </c>
    </row>
    <row r="196" ht="15.75" customHeight="1">
      <c r="A196" s="107" t="s">
        <v>48</v>
      </c>
      <c r="B196" s="68" t="s">
        <v>771</v>
      </c>
      <c r="C196" s="68" t="s">
        <v>889</v>
      </c>
      <c r="D196" s="68" t="s">
        <v>773</v>
      </c>
      <c r="E196" s="68" t="s">
        <v>463</v>
      </c>
      <c r="F196" s="68" t="s">
        <v>774</v>
      </c>
      <c r="H196" s="181">
        <v>45342.0</v>
      </c>
      <c r="J196" s="68" t="s">
        <v>134</v>
      </c>
      <c r="K196" s="68">
        <v>1000.0</v>
      </c>
      <c r="M196" s="68" t="s">
        <v>8</v>
      </c>
      <c r="N196" s="68">
        <v>78810.0</v>
      </c>
      <c r="O196" s="68">
        <v>202.0</v>
      </c>
      <c r="P196" s="68">
        <v>0.0026</v>
      </c>
      <c r="Q196" s="68">
        <v>4253.48</v>
      </c>
      <c r="S196" s="68">
        <v>21.06</v>
      </c>
      <c r="T196" s="68">
        <v>2.0</v>
      </c>
      <c r="U196" s="68">
        <v>33389.83</v>
      </c>
      <c r="V196" s="68">
        <v>0.1274</v>
      </c>
      <c r="W196" s="68">
        <v>7.85</v>
      </c>
    </row>
    <row r="197" ht="15.75" customHeight="1">
      <c r="A197" s="107" t="s">
        <v>48</v>
      </c>
      <c r="B197" s="68" t="s">
        <v>771</v>
      </c>
      <c r="C197" s="68" t="s">
        <v>892</v>
      </c>
      <c r="D197" s="68" t="s">
        <v>773</v>
      </c>
      <c r="E197" s="68" t="s">
        <v>459</v>
      </c>
      <c r="F197" s="68" t="s">
        <v>774</v>
      </c>
      <c r="G197" s="68" t="s">
        <v>775</v>
      </c>
      <c r="H197" s="181">
        <v>45301.0</v>
      </c>
      <c r="J197" s="68" t="s">
        <v>170</v>
      </c>
      <c r="K197" s="68">
        <v>300.0</v>
      </c>
      <c r="L197" s="68" t="s">
        <v>776</v>
      </c>
      <c r="M197" s="68" t="s">
        <v>8</v>
      </c>
      <c r="N197" s="68">
        <v>29264.0</v>
      </c>
      <c r="O197" s="68">
        <v>153.0</v>
      </c>
      <c r="P197" s="68">
        <v>0.0052</v>
      </c>
      <c r="Q197" s="68">
        <v>3686.59</v>
      </c>
      <c r="S197" s="68">
        <v>24.1</v>
      </c>
      <c r="T197" s="68">
        <v>1.0</v>
      </c>
      <c r="U197" s="68">
        <v>5000.0</v>
      </c>
      <c r="V197" s="68">
        <v>0.7373</v>
      </c>
      <c r="W197" s="68">
        <v>1.3563</v>
      </c>
    </row>
    <row r="198" ht="15.75" customHeight="1">
      <c r="A198" s="107" t="s">
        <v>48</v>
      </c>
      <c r="B198" s="68" t="s">
        <v>771</v>
      </c>
      <c r="C198" s="68" t="s">
        <v>901</v>
      </c>
      <c r="D198" s="68" t="s">
        <v>773</v>
      </c>
      <c r="E198" s="68" t="s">
        <v>459</v>
      </c>
      <c r="F198" s="68" t="s">
        <v>774</v>
      </c>
      <c r="G198" s="68" t="s">
        <v>783</v>
      </c>
      <c r="H198" s="181">
        <v>45301.0</v>
      </c>
      <c r="J198" s="68" t="s">
        <v>134</v>
      </c>
      <c r="K198" s="68">
        <v>300.0</v>
      </c>
      <c r="L198" s="27">
        <v>0.611377909124492</v>
      </c>
      <c r="M198" s="68" t="s">
        <v>8</v>
      </c>
      <c r="N198" s="68">
        <v>16457.0</v>
      </c>
      <c r="O198" s="68">
        <v>129.0</v>
      </c>
      <c r="P198" s="68">
        <v>0.0078</v>
      </c>
      <c r="Q198" s="68">
        <v>3464.61</v>
      </c>
      <c r="S198" s="68">
        <v>26.86</v>
      </c>
      <c r="T198" s="68">
        <v>0.0</v>
      </c>
      <c r="U198" s="68">
        <v>0.0</v>
      </c>
      <c r="V198" s="68">
        <v>0.0</v>
      </c>
      <c r="W198" s="68">
        <v>0.0</v>
      </c>
    </row>
    <row r="199" ht="15.75" customHeight="1">
      <c r="A199" s="107" t="s">
        <v>48</v>
      </c>
      <c r="B199" s="68" t="s">
        <v>771</v>
      </c>
      <c r="C199" s="68" t="s">
        <v>863</v>
      </c>
      <c r="D199" s="68" t="s">
        <v>773</v>
      </c>
      <c r="E199" s="68" t="s">
        <v>460</v>
      </c>
      <c r="F199" s="68" t="s">
        <v>778</v>
      </c>
      <c r="G199" s="68" t="s">
        <v>775</v>
      </c>
      <c r="H199" s="181">
        <v>45301.0</v>
      </c>
      <c r="J199" s="68" t="s">
        <v>170</v>
      </c>
      <c r="K199" s="68">
        <v>200.0</v>
      </c>
      <c r="L199" s="68" t="s">
        <v>776</v>
      </c>
      <c r="M199" s="68" t="s">
        <v>8</v>
      </c>
      <c r="N199" s="68">
        <v>132899.0</v>
      </c>
      <c r="O199" s="68">
        <v>405.0</v>
      </c>
      <c r="P199" s="68">
        <v>0.003</v>
      </c>
      <c r="Q199" s="68">
        <v>3391.75</v>
      </c>
      <c r="S199" s="68">
        <v>8.37</v>
      </c>
      <c r="T199" s="68">
        <v>0.0</v>
      </c>
      <c r="U199" s="68">
        <v>0.0</v>
      </c>
      <c r="V199" s="68">
        <v>0.0</v>
      </c>
      <c r="W199" s="68">
        <v>0.0</v>
      </c>
    </row>
    <row r="200" ht="15.75" customHeight="1">
      <c r="A200" s="107" t="s">
        <v>48</v>
      </c>
      <c r="B200" s="68" t="s">
        <v>779</v>
      </c>
      <c r="C200" s="68" t="s">
        <v>891</v>
      </c>
      <c r="D200" s="68" t="s">
        <v>781</v>
      </c>
      <c r="E200" s="68" t="s">
        <v>463</v>
      </c>
      <c r="F200" s="68" t="s">
        <v>774</v>
      </c>
      <c r="H200" s="181">
        <v>45338.0</v>
      </c>
      <c r="J200" s="68" t="s">
        <v>134</v>
      </c>
      <c r="K200" s="68">
        <v>1000.0</v>
      </c>
      <c r="M200" s="68" t="s">
        <v>8</v>
      </c>
      <c r="N200" s="68">
        <v>52300.0</v>
      </c>
      <c r="O200" s="68">
        <v>519.0</v>
      </c>
      <c r="P200" s="68">
        <v>0.0099</v>
      </c>
      <c r="Q200" s="68">
        <v>3205.02</v>
      </c>
      <c r="S200" s="68">
        <v>6.18</v>
      </c>
      <c r="T200" s="68">
        <v>0.0</v>
      </c>
      <c r="U200" s="68">
        <v>0.0</v>
      </c>
      <c r="V200" s="68">
        <v>0.0</v>
      </c>
      <c r="W200" s="68">
        <v>0.0</v>
      </c>
    </row>
    <row r="201" ht="15.75" customHeight="1">
      <c r="A201" s="107" t="s">
        <v>48</v>
      </c>
      <c r="B201" s="68" t="s">
        <v>771</v>
      </c>
      <c r="C201" s="68" t="s">
        <v>872</v>
      </c>
      <c r="D201" s="68" t="s">
        <v>773</v>
      </c>
      <c r="E201" s="68" t="s">
        <v>459</v>
      </c>
      <c r="F201" s="68" t="s">
        <v>774</v>
      </c>
      <c r="G201" s="68" t="s">
        <v>775</v>
      </c>
      <c r="H201" s="181">
        <v>45301.0</v>
      </c>
      <c r="J201" s="68" t="s">
        <v>158</v>
      </c>
      <c r="K201" s="68">
        <v>200.0</v>
      </c>
      <c r="L201" s="68" t="s">
        <v>776</v>
      </c>
      <c r="M201" s="68" t="s">
        <v>8</v>
      </c>
      <c r="N201" s="68">
        <v>101814.0</v>
      </c>
      <c r="O201" s="68">
        <v>308.0</v>
      </c>
      <c r="P201" s="68">
        <v>0.003</v>
      </c>
      <c r="Q201" s="68">
        <v>3053.82</v>
      </c>
      <c r="S201" s="68">
        <v>9.91</v>
      </c>
      <c r="T201" s="68">
        <v>0.0</v>
      </c>
      <c r="U201" s="68">
        <v>0.0</v>
      </c>
      <c r="V201" s="68">
        <v>0.0</v>
      </c>
      <c r="W201" s="68">
        <v>0.0</v>
      </c>
    </row>
    <row r="202" ht="15.75" customHeight="1">
      <c r="A202" s="107" t="s">
        <v>48</v>
      </c>
      <c r="B202" s="68" t="s">
        <v>771</v>
      </c>
      <c r="C202" s="68" t="s">
        <v>923</v>
      </c>
      <c r="D202" s="68" t="s">
        <v>773</v>
      </c>
      <c r="E202" s="68" t="s">
        <v>459</v>
      </c>
      <c r="F202" s="68" t="s">
        <v>774</v>
      </c>
      <c r="G202" s="68" t="s">
        <v>783</v>
      </c>
      <c r="H202" s="181">
        <v>45357.0</v>
      </c>
      <c r="J202" s="68" t="s">
        <v>152</v>
      </c>
      <c r="K202" s="68">
        <v>1000.0</v>
      </c>
      <c r="L202" s="68" t="s">
        <v>776</v>
      </c>
      <c r="M202" s="68" t="s">
        <v>8</v>
      </c>
      <c r="N202" s="68">
        <v>83827.0</v>
      </c>
      <c r="O202" s="68">
        <v>202.0</v>
      </c>
      <c r="P202" s="68">
        <v>0.0024</v>
      </c>
      <c r="Q202" s="68">
        <v>3026.98</v>
      </c>
      <c r="S202" s="68">
        <v>14.99</v>
      </c>
      <c r="T202" s="68">
        <v>1.0</v>
      </c>
      <c r="U202" s="68">
        <v>17966.1</v>
      </c>
      <c r="V202" s="68">
        <v>0.1685</v>
      </c>
      <c r="W202" s="68">
        <v>5.9353</v>
      </c>
    </row>
    <row r="203" ht="15.75" customHeight="1">
      <c r="A203" s="107" t="s">
        <v>48</v>
      </c>
      <c r="B203" s="68" t="s">
        <v>771</v>
      </c>
      <c r="C203" s="68" t="s">
        <v>924</v>
      </c>
      <c r="D203" s="68" t="s">
        <v>773</v>
      </c>
      <c r="E203" s="68" t="s">
        <v>460</v>
      </c>
      <c r="F203" s="68" t="s">
        <v>778</v>
      </c>
      <c r="G203" s="68" t="s">
        <v>775</v>
      </c>
      <c r="H203" s="181">
        <v>45356.0</v>
      </c>
      <c r="J203" s="68" t="s">
        <v>211</v>
      </c>
      <c r="K203" s="68">
        <v>300.0</v>
      </c>
      <c r="L203" s="68" t="s">
        <v>776</v>
      </c>
      <c r="M203" s="68" t="s">
        <v>8</v>
      </c>
      <c r="N203" s="68">
        <v>222681.0</v>
      </c>
      <c r="O203" s="68">
        <v>712.0</v>
      </c>
      <c r="P203" s="68">
        <v>0.0032</v>
      </c>
      <c r="Q203" s="68">
        <v>2856.25</v>
      </c>
      <c r="S203" s="68">
        <v>4.01</v>
      </c>
      <c r="T203" s="68">
        <v>17.0</v>
      </c>
      <c r="U203" s="68">
        <v>21014.75</v>
      </c>
      <c r="V203" s="68">
        <v>0.1359</v>
      </c>
      <c r="W203" s="68">
        <v>7.3575</v>
      </c>
    </row>
    <row r="204" ht="15.75" customHeight="1">
      <c r="A204" s="107" t="s">
        <v>48</v>
      </c>
      <c r="B204" s="68" t="s">
        <v>771</v>
      </c>
      <c r="C204" s="68" t="s">
        <v>899</v>
      </c>
      <c r="D204" s="68" t="s">
        <v>773</v>
      </c>
      <c r="E204" s="68" t="s">
        <v>459</v>
      </c>
      <c r="F204" s="68" t="s">
        <v>774</v>
      </c>
      <c r="G204" s="68" t="s">
        <v>783</v>
      </c>
      <c r="H204" s="181">
        <v>45301.0</v>
      </c>
      <c r="J204" s="68" t="s">
        <v>134</v>
      </c>
      <c r="K204" s="68">
        <v>300.0</v>
      </c>
      <c r="L204" s="27">
        <v>0.539797395079594</v>
      </c>
      <c r="M204" s="68" t="s">
        <v>8</v>
      </c>
      <c r="N204" s="68">
        <v>20799.0</v>
      </c>
      <c r="O204" s="68">
        <v>65.0</v>
      </c>
      <c r="P204" s="68">
        <v>0.0031</v>
      </c>
      <c r="Q204" s="68">
        <v>2470.64</v>
      </c>
      <c r="S204" s="68">
        <v>38.01</v>
      </c>
      <c r="T204" s="68">
        <v>0.0</v>
      </c>
      <c r="U204" s="68">
        <v>0.0</v>
      </c>
      <c r="V204" s="68">
        <v>0.0</v>
      </c>
      <c r="W204" s="68">
        <v>0.0</v>
      </c>
    </row>
    <row r="205" ht="15.75" customHeight="1">
      <c r="A205" s="107" t="s">
        <v>48</v>
      </c>
      <c r="B205" s="68" t="s">
        <v>771</v>
      </c>
      <c r="C205" s="68" t="s">
        <v>925</v>
      </c>
      <c r="D205" s="68" t="s">
        <v>773</v>
      </c>
      <c r="E205" s="68" t="s">
        <v>459</v>
      </c>
      <c r="F205" s="68" t="s">
        <v>774</v>
      </c>
      <c r="G205" s="68" t="s">
        <v>783</v>
      </c>
      <c r="H205" s="181">
        <v>45352.0</v>
      </c>
      <c r="J205" s="68" t="s">
        <v>182</v>
      </c>
      <c r="K205" s="68">
        <v>1000.0</v>
      </c>
      <c r="L205" s="27">
        <v>0.257540752149916</v>
      </c>
      <c r="M205" s="68" t="s">
        <v>8</v>
      </c>
      <c r="N205" s="68">
        <v>13556.0</v>
      </c>
      <c r="O205" s="68">
        <v>63.0</v>
      </c>
      <c r="P205" s="68">
        <v>0.0046</v>
      </c>
      <c r="Q205" s="68">
        <v>2245.18</v>
      </c>
      <c r="S205" s="68">
        <v>35.64</v>
      </c>
      <c r="T205" s="68">
        <v>0.0</v>
      </c>
      <c r="U205" s="68">
        <v>0.0</v>
      </c>
      <c r="V205" s="68">
        <v>0.0</v>
      </c>
      <c r="W205" s="68">
        <v>0.0</v>
      </c>
    </row>
    <row r="206" ht="15.75" customHeight="1">
      <c r="A206" s="107" t="s">
        <v>48</v>
      </c>
      <c r="B206" s="68" t="s">
        <v>771</v>
      </c>
      <c r="C206" s="68" t="s">
        <v>898</v>
      </c>
      <c r="D206" s="68" t="s">
        <v>773</v>
      </c>
      <c r="E206" s="68" t="s">
        <v>459</v>
      </c>
      <c r="F206" s="68" t="s">
        <v>774</v>
      </c>
      <c r="G206" s="68" t="s">
        <v>783</v>
      </c>
      <c r="H206" s="181">
        <v>45260.0</v>
      </c>
      <c r="J206" s="68" t="s">
        <v>140</v>
      </c>
      <c r="K206" s="68">
        <v>890.0</v>
      </c>
      <c r="L206" s="27">
        <v>0.0598877627942038</v>
      </c>
      <c r="M206" s="68" t="s">
        <v>8</v>
      </c>
      <c r="N206" s="68">
        <v>16578.0</v>
      </c>
      <c r="O206" s="68">
        <v>41.0</v>
      </c>
      <c r="P206" s="68">
        <v>0.0025</v>
      </c>
      <c r="Q206" s="68">
        <v>2126.63</v>
      </c>
      <c r="S206" s="68">
        <v>51.87</v>
      </c>
      <c r="T206" s="68">
        <v>0.0</v>
      </c>
      <c r="U206" s="68">
        <v>0.0</v>
      </c>
      <c r="V206" s="68">
        <v>0.0</v>
      </c>
      <c r="W206" s="68">
        <v>0.0</v>
      </c>
    </row>
    <row r="207" ht="15.75" customHeight="1">
      <c r="A207" s="107" t="s">
        <v>48</v>
      </c>
      <c r="B207" s="68" t="s">
        <v>771</v>
      </c>
      <c r="C207" s="68" t="s">
        <v>866</v>
      </c>
      <c r="D207" s="68" t="s">
        <v>773</v>
      </c>
      <c r="E207" s="68" t="s">
        <v>460</v>
      </c>
      <c r="F207" s="68" t="s">
        <v>778</v>
      </c>
      <c r="G207" s="68" t="s">
        <v>775</v>
      </c>
      <c r="H207" s="181">
        <v>45301.0</v>
      </c>
      <c r="J207" s="68" t="s">
        <v>158</v>
      </c>
      <c r="K207" s="68">
        <v>200.0</v>
      </c>
      <c r="L207" s="68" t="s">
        <v>776</v>
      </c>
      <c r="M207" s="68" t="s">
        <v>8</v>
      </c>
      <c r="N207" s="68">
        <v>146450.0</v>
      </c>
      <c r="O207" s="68">
        <v>320.0</v>
      </c>
      <c r="P207" s="68">
        <v>0.0022</v>
      </c>
      <c r="Q207" s="68">
        <v>1986.25</v>
      </c>
      <c r="S207" s="68">
        <v>6.21</v>
      </c>
      <c r="T207" s="68">
        <v>1.0</v>
      </c>
      <c r="U207" s="68">
        <v>2372.88</v>
      </c>
      <c r="V207" s="68">
        <v>0.8371</v>
      </c>
      <c r="W207" s="68">
        <v>1.1947</v>
      </c>
    </row>
    <row r="208" ht="15.75" customHeight="1">
      <c r="A208" s="107" t="s">
        <v>48</v>
      </c>
      <c r="B208" s="68" t="s">
        <v>771</v>
      </c>
      <c r="C208" s="68" t="s">
        <v>909</v>
      </c>
      <c r="D208" s="68" t="s">
        <v>773</v>
      </c>
      <c r="E208" s="68" t="s">
        <v>459</v>
      </c>
      <c r="F208" s="68" t="s">
        <v>774</v>
      </c>
      <c r="G208" s="68" t="s">
        <v>783</v>
      </c>
      <c r="H208" s="181">
        <v>45336.0</v>
      </c>
      <c r="J208" s="68" t="s">
        <v>152</v>
      </c>
      <c r="K208" s="68">
        <v>1000.0</v>
      </c>
      <c r="L208" s="27">
        <v>0.143092105263157</v>
      </c>
      <c r="M208" s="68" t="s">
        <v>8</v>
      </c>
      <c r="N208" s="68">
        <v>22268.0</v>
      </c>
      <c r="O208" s="68">
        <v>53.0</v>
      </c>
      <c r="P208" s="68">
        <v>0.0024</v>
      </c>
      <c r="Q208" s="68">
        <v>1942.18</v>
      </c>
      <c r="S208" s="68">
        <v>36.64</v>
      </c>
      <c r="T208" s="68">
        <v>0.0</v>
      </c>
      <c r="U208" s="68">
        <v>0.0</v>
      </c>
      <c r="V208" s="68">
        <v>0.0</v>
      </c>
      <c r="W208" s="68">
        <v>0.0</v>
      </c>
    </row>
    <row r="209" ht="15.75" customHeight="1">
      <c r="A209" s="107" t="s">
        <v>48</v>
      </c>
      <c r="B209" s="68" t="s">
        <v>771</v>
      </c>
      <c r="C209" s="68" t="s">
        <v>869</v>
      </c>
      <c r="D209" s="68" t="s">
        <v>773</v>
      </c>
      <c r="E209" s="68" t="s">
        <v>459</v>
      </c>
      <c r="F209" s="68" t="s">
        <v>774</v>
      </c>
      <c r="G209" s="68" t="s">
        <v>775</v>
      </c>
      <c r="H209" s="181">
        <v>45301.0</v>
      </c>
      <c r="J209" s="68" t="s">
        <v>158</v>
      </c>
      <c r="K209" s="68">
        <v>300.0</v>
      </c>
      <c r="L209" s="68" t="s">
        <v>776</v>
      </c>
      <c r="M209" s="68" t="s">
        <v>8</v>
      </c>
      <c r="N209" s="68">
        <v>45857.0</v>
      </c>
      <c r="O209" s="68">
        <v>148.0</v>
      </c>
      <c r="P209" s="68">
        <v>0.0032</v>
      </c>
      <c r="Q209" s="68">
        <v>1940.2</v>
      </c>
      <c r="S209" s="68">
        <v>13.11</v>
      </c>
      <c r="T209" s="68">
        <v>1.0</v>
      </c>
      <c r="U209" s="68">
        <v>7542.37</v>
      </c>
      <c r="V209" s="68">
        <v>0.2572</v>
      </c>
      <c r="W209" s="68">
        <v>3.8874</v>
      </c>
    </row>
    <row r="210" ht="15.75" customHeight="1">
      <c r="A210" s="107" t="s">
        <v>48</v>
      </c>
      <c r="B210" s="68" t="s">
        <v>771</v>
      </c>
      <c r="C210" s="68" t="s">
        <v>912</v>
      </c>
      <c r="D210" s="68" t="s">
        <v>773</v>
      </c>
      <c r="E210" s="68" t="s">
        <v>459</v>
      </c>
      <c r="F210" s="68" t="s">
        <v>774</v>
      </c>
      <c r="G210" s="68" t="s">
        <v>783</v>
      </c>
      <c r="H210" s="181">
        <v>45260.0</v>
      </c>
      <c r="J210" s="68" t="s">
        <v>140</v>
      </c>
      <c r="K210" s="68">
        <v>1000.0</v>
      </c>
      <c r="L210" s="27">
        <v>0.148859888139968</v>
      </c>
      <c r="M210" s="68" t="s">
        <v>8</v>
      </c>
      <c r="N210" s="68">
        <v>11242.0</v>
      </c>
      <c r="O210" s="68">
        <v>69.0</v>
      </c>
      <c r="P210" s="68">
        <v>0.0061</v>
      </c>
      <c r="Q210" s="68">
        <v>1915.18</v>
      </c>
      <c r="S210" s="68">
        <v>27.76</v>
      </c>
      <c r="T210" s="68">
        <v>1.0</v>
      </c>
      <c r="U210" s="68">
        <v>33050.85</v>
      </c>
      <c r="V210" s="68">
        <v>0.0579</v>
      </c>
      <c r="W210" s="68">
        <v>17.2573</v>
      </c>
    </row>
    <row r="211" ht="15.75" customHeight="1">
      <c r="A211" s="107" t="s">
        <v>48</v>
      </c>
      <c r="B211" s="68" t="s">
        <v>771</v>
      </c>
      <c r="C211" s="68" t="s">
        <v>878</v>
      </c>
      <c r="D211" s="68" t="s">
        <v>773</v>
      </c>
      <c r="E211" s="68" t="s">
        <v>462</v>
      </c>
      <c r="F211" s="68" t="s">
        <v>774</v>
      </c>
      <c r="H211" s="181">
        <v>45338.0</v>
      </c>
      <c r="J211" s="68" t="s">
        <v>134</v>
      </c>
      <c r="K211" s="68">
        <v>300.0</v>
      </c>
      <c r="L211" s="68" t="s">
        <v>776</v>
      </c>
      <c r="M211" s="68" t="s">
        <v>8</v>
      </c>
      <c r="N211" s="68">
        <v>34729.0</v>
      </c>
      <c r="O211" s="68">
        <v>508.0</v>
      </c>
      <c r="P211" s="68">
        <v>0.0146</v>
      </c>
      <c r="Q211" s="68">
        <v>1751.92</v>
      </c>
      <c r="S211" s="68">
        <v>3.45</v>
      </c>
      <c r="T211" s="68">
        <v>1.0</v>
      </c>
      <c r="U211" s="68">
        <v>18813.56</v>
      </c>
      <c r="V211" s="68">
        <v>0.0931</v>
      </c>
      <c r="W211" s="68">
        <v>10.7388</v>
      </c>
    </row>
    <row r="212" ht="15.75" customHeight="1">
      <c r="A212" s="107" t="s">
        <v>48</v>
      </c>
      <c r="B212" s="68" t="s">
        <v>779</v>
      </c>
      <c r="C212" s="68" t="s">
        <v>886</v>
      </c>
      <c r="D212" s="68" t="s">
        <v>781</v>
      </c>
      <c r="E212" s="68" t="s">
        <v>463</v>
      </c>
      <c r="F212" s="68" t="s">
        <v>774</v>
      </c>
      <c r="H212" s="181">
        <v>45338.0</v>
      </c>
      <c r="J212" s="68" t="s">
        <v>134</v>
      </c>
      <c r="K212" s="68">
        <v>1000.0</v>
      </c>
      <c r="M212" s="68" t="s">
        <v>8</v>
      </c>
      <c r="N212" s="68">
        <v>87220.0</v>
      </c>
      <c r="O212" s="68">
        <v>123.0</v>
      </c>
      <c r="P212" s="68">
        <v>0.0014</v>
      </c>
      <c r="Q212" s="68">
        <v>1573.24</v>
      </c>
      <c r="S212" s="68">
        <v>12.79</v>
      </c>
      <c r="T212" s="68">
        <v>0.0</v>
      </c>
      <c r="U212" s="68">
        <v>0.0</v>
      </c>
      <c r="V212" s="68">
        <v>0.0</v>
      </c>
      <c r="W212" s="68">
        <v>0.0</v>
      </c>
    </row>
    <row r="213" ht="15.75" customHeight="1">
      <c r="A213" s="107" t="s">
        <v>48</v>
      </c>
      <c r="B213" s="68" t="s">
        <v>771</v>
      </c>
      <c r="C213" s="68" t="s">
        <v>888</v>
      </c>
      <c r="D213" s="68" t="s">
        <v>773</v>
      </c>
      <c r="E213" s="68" t="s">
        <v>463</v>
      </c>
      <c r="F213" s="68" t="s">
        <v>774</v>
      </c>
      <c r="H213" s="181">
        <v>45351.0</v>
      </c>
      <c r="J213" s="68" t="s">
        <v>152</v>
      </c>
      <c r="K213" s="68">
        <v>1000.0</v>
      </c>
      <c r="M213" s="68" t="s">
        <v>8</v>
      </c>
      <c r="N213" s="68">
        <v>34510.0</v>
      </c>
      <c r="O213" s="68">
        <v>109.0</v>
      </c>
      <c r="P213" s="68">
        <v>0.0032</v>
      </c>
      <c r="Q213" s="68">
        <v>1525.65</v>
      </c>
      <c r="S213" s="68">
        <v>14.0</v>
      </c>
      <c r="T213" s="68">
        <v>0.0</v>
      </c>
      <c r="U213" s="68">
        <v>0.0</v>
      </c>
      <c r="V213" s="68">
        <v>0.0</v>
      </c>
      <c r="W213" s="68">
        <v>0.0</v>
      </c>
    </row>
    <row r="214" ht="15.75" customHeight="1">
      <c r="A214" s="107" t="s">
        <v>48</v>
      </c>
      <c r="B214" s="68" t="s">
        <v>771</v>
      </c>
      <c r="C214" s="68" t="s">
        <v>926</v>
      </c>
      <c r="D214" s="68" t="s">
        <v>773</v>
      </c>
      <c r="E214" s="68" t="s">
        <v>459</v>
      </c>
      <c r="F214" s="68" t="s">
        <v>774</v>
      </c>
      <c r="G214" s="68" t="s">
        <v>783</v>
      </c>
      <c r="H214" s="181">
        <v>45352.0</v>
      </c>
      <c r="J214" s="68" t="s">
        <v>140</v>
      </c>
      <c r="K214" s="68">
        <v>500.0</v>
      </c>
      <c r="L214" s="27">
        <v>0.245004344048653</v>
      </c>
      <c r="M214" s="68" t="s">
        <v>8</v>
      </c>
      <c r="N214" s="68">
        <v>3837.0</v>
      </c>
      <c r="O214" s="68">
        <v>32.0</v>
      </c>
      <c r="P214" s="68">
        <v>0.0083</v>
      </c>
      <c r="Q214" s="68">
        <v>1500.32</v>
      </c>
      <c r="S214" s="68">
        <v>46.89</v>
      </c>
      <c r="T214" s="68">
        <v>1.0</v>
      </c>
      <c r="U214" s="68">
        <v>28728.81</v>
      </c>
      <c r="V214" s="68">
        <v>0.0522</v>
      </c>
      <c r="W214" s="68">
        <v>19.1485</v>
      </c>
    </row>
    <row r="215" ht="15.75" customHeight="1">
      <c r="A215" s="107" t="s">
        <v>48</v>
      </c>
      <c r="B215" s="68" t="s">
        <v>771</v>
      </c>
      <c r="C215" s="68" t="s">
        <v>897</v>
      </c>
      <c r="D215" s="68" t="s">
        <v>773</v>
      </c>
      <c r="E215" s="68" t="s">
        <v>459</v>
      </c>
      <c r="F215" s="68" t="s">
        <v>774</v>
      </c>
      <c r="G215" s="68" t="s">
        <v>783</v>
      </c>
      <c r="H215" s="181">
        <v>45260.0</v>
      </c>
      <c r="J215" s="68" t="s">
        <v>140</v>
      </c>
      <c r="K215" s="68">
        <v>1000.0</v>
      </c>
      <c r="L215" s="68" t="s">
        <v>776</v>
      </c>
      <c r="M215" s="68" t="s">
        <v>8</v>
      </c>
      <c r="N215" s="68">
        <v>16504.0</v>
      </c>
      <c r="O215" s="68">
        <v>44.0</v>
      </c>
      <c r="P215" s="68">
        <v>0.0027</v>
      </c>
      <c r="Q215" s="68">
        <v>1171.56</v>
      </c>
      <c r="S215" s="68">
        <v>26.63</v>
      </c>
      <c r="T215" s="68">
        <v>0.0</v>
      </c>
      <c r="U215" s="68">
        <v>0.0</v>
      </c>
      <c r="V215" s="68">
        <v>0.0</v>
      </c>
      <c r="W215" s="68">
        <v>0.0</v>
      </c>
    </row>
    <row r="216" ht="15.75" customHeight="1">
      <c r="A216" s="107" t="s">
        <v>48</v>
      </c>
      <c r="B216" s="68" t="s">
        <v>779</v>
      </c>
      <c r="C216" s="68" t="s">
        <v>885</v>
      </c>
      <c r="D216" s="68" t="s">
        <v>781</v>
      </c>
      <c r="E216" s="68" t="s">
        <v>463</v>
      </c>
      <c r="F216" s="68" t="s">
        <v>774</v>
      </c>
      <c r="H216" s="181">
        <v>45349.0</v>
      </c>
      <c r="J216" s="68" t="s">
        <v>90</v>
      </c>
      <c r="K216" s="68">
        <v>1500.0</v>
      </c>
      <c r="M216" s="68" t="s">
        <v>8</v>
      </c>
      <c r="N216" s="68">
        <v>76775.0</v>
      </c>
      <c r="O216" s="68">
        <v>331.0</v>
      </c>
      <c r="P216" s="68">
        <v>0.0043</v>
      </c>
      <c r="Q216" s="68">
        <v>813.86</v>
      </c>
      <c r="S216" s="68">
        <v>2.46</v>
      </c>
      <c r="T216" s="68">
        <v>0.0</v>
      </c>
      <c r="U216" s="68">
        <v>0.0</v>
      </c>
      <c r="V216" s="68">
        <v>0.0</v>
      </c>
      <c r="W216" s="68">
        <v>0.0</v>
      </c>
    </row>
    <row r="217" ht="15.75" customHeight="1">
      <c r="A217" s="107" t="s">
        <v>48</v>
      </c>
      <c r="B217" s="68" t="s">
        <v>771</v>
      </c>
      <c r="C217" s="68" t="s">
        <v>927</v>
      </c>
      <c r="D217" s="68" t="s">
        <v>773</v>
      </c>
      <c r="E217" s="68" t="s">
        <v>463</v>
      </c>
      <c r="F217" s="68" t="s">
        <v>774</v>
      </c>
      <c r="H217" s="181">
        <v>45358.0</v>
      </c>
      <c r="J217" s="68" t="s">
        <v>170</v>
      </c>
      <c r="K217" s="68">
        <v>1000.0</v>
      </c>
      <c r="M217" s="68" t="s">
        <v>8</v>
      </c>
      <c r="N217" s="68">
        <v>9035.0</v>
      </c>
      <c r="O217" s="68">
        <v>98.0</v>
      </c>
      <c r="P217" s="68">
        <v>0.0108</v>
      </c>
      <c r="Q217" s="68">
        <v>734.66</v>
      </c>
      <c r="S217" s="68">
        <v>7.5</v>
      </c>
      <c r="T217" s="68">
        <v>2.0</v>
      </c>
      <c r="U217" s="68">
        <v>10000.0</v>
      </c>
      <c r="V217" s="68">
        <v>0.0735</v>
      </c>
      <c r="W217" s="68">
        <v>13.6117</v>
      </c>
    </row>
    <row r="218" ht="15.75" customHeight="1">
      <c r="A218" s="107" t="s">
        <v>48</v>
      </c>
      <c r="B218" s="68" t="s">
        <v>771</v>
      </c>
      <c r="C218" s="68" t="s">
        <v>928</v>
      </c>
      <c r="D218" s="68" t="s">
        <v>773</v>
      </c>
      <c r="E218" s="68" t="s">
        <v>463</v>
      </c>
      <c r="F218" s="68" t="s">
        <v>774</v>
      </c>
      <c r="H218" s="181">
        <v>45352.0</v>
      </c>
      <c r="J218" s="68" t="s">
        <v>182</v>
      </c>
      <c r="K218" s="68">
        <v>1000.0</v>
      </c>
      <c r="M218" s="68" t="s">
        <v>8</v>
      </c>
      <c r="N218" s="68">
        <v>17248.0</v>
      </c>
      <c r="O218" s="68">
        <v>64.0</v>
      </c>
      <c r="P218" s="68">
        <v>0.0037</v>
      </c>
      <c r="Q218" s="68">
        <v>670.33</v>
      </c>
      <c r="S218" s="68">
        <v>10.47</v>
      </c>
      <c r="T218" s="68">
        <v>0.0</v>
      </c>
      <c r="U218" s="68">
        <v>0.0</v>
      </c>
      <c r="V218" s="68">
        <v>0.0</v>
      </c>
      <c r="W218" s="68">
        <v>0.0</v>
      </c>
    </row>
    <row r="219" ht="15.75" customHeight="1">
      <c r="A219" s="107" t="s">
        <v>48</v>
      </c>
      <c r="B219" s="68" t="s">
        <v>771</v>
      </c>
      <c r="C219" s="68" t="s">
        <v>929</v>
      </c>
      <c r="D219" s="68" t="s">
        <v>773</v>
      </c>
      <c r="E219" s="68" t="s">
        <v>460</v>
      </c>
      <c r="F219" s="68" t="s">
        <v>778</v>
      </c>
      <c r="G219" s="68" t="s">
        <v>775</v>
      </c>
      <c r="H219" s="181">
        <v>45356.0</v>
      </c>
      <c r="J219" s="68" t="s">
        <v>217</v>
      </c>
      <c r="K219" s="68">
        <v>500.0</v>
      </c>
      <c r="L219" s="68" t="s">
        <v>776</v>
      </c>
      <c r="M219" s="68" t="s">
        <v>8</v>
      </c>
      <c r="N219" s="68">
        <v>7066.0</v>
      </c>
      <c r="O219" s="68">
        <v>26.0</v>
      </c>
      <c r="P219" s="68">
        <v>0.0037</v>
      </c>
      <c r="Q219" s="68">
        <v>134.57</v>
      </c>
      <c r="S219" s="68">
        <v>5.18</v>
      </c>
      <c r="T219" s="68">
        <v>0.0</v>
      </c>
      <c r="U219" s="68">
        <v>0.0</v>
      </c>
      <c r="V219" s="68">
        <v>0.0</v>
      </c>
      <c r="W219" s="68">
        <v>0.0</v>
      </c>
    </row>
    <row r="220" ht="15.75" customHeight="1">
      <c r="A220" s="107" t="s">
        <v>48</v>
      </c>
      <c r="B220" s="68" t="s">
        <v>779</v>
      </c>
      <c r="C220" s="68" t="s">
        <v>930</v>
      </c>
      <c r="D220" s="68" t="s">
        <v>781</v>
      </c>
      <c r="E220" s="68" t="s">
        <v>463</v>
      </c>
      <c r="F220" s="68" t="s">
        <v>774</v>
      </c>
      <c r="H220" s="181">
        <v>45352.0</v>
      </c>
      <c r="J220" s="68" t="s">
        <v>140</v>
      </c>
      <c r="K220" s="68">
        <v>1000.0</v>
      </c>
      <c r="M220" s="68" t="s">
        <v>8</v>
      </c>
      <c r="N220" s="68">
        <v>1278.0</v>
      </c>
      <c r="O220" s="68">
        <v>3.0</v>
      </c>
      <c r="P220" s="68">
        <v>0.0023</v>
      </c>
      <c r="Q220" s="68">
        <v>18.74</v>
      </c>
      <c r="S220" s="68">
        <v>6.25</v>
      </c>
      <c r="T220" s="68">
        <v>0.0</v>
      </c>
      <c r="U220" s="68">
        <v>0.0</v>
      </c>
      <c r="V220" s="68">
        <v>0.0</v>
      </c>
      <c r="W220" s="68">
        <v>0.0</v>
      </c>
    </row>
    <row r="221" ht="15.75" customHeight="1">
      <c r="A221" s="107" t="s">
        <v>50</v>
      </c>
      <c r="B221" s="68" t="s">
        <v>771</v>
      </c>
      <c r="C221" s="68" t="s">
        <v>924</v>
      </c>
      <c r="D221" s="68" t="s">
        <v>773</v>
      </c>
      <c r="E221" s="68" t="s">
        <v>460</v>
      </c>
      <c r="F221" s="68" t="s">
        <v>778</v>
      </c>
      <c r="G221" s="68" t="s">
        <v>775</v>
      </c>
      <c r="H221" s="181">
        <v>45356.0</v>
      </c>
      <c r="J221" s="68" t="s">
        <v>211</v>
      </c>
      <c r="K221" s="68">
        <v>300.0</v>
      </c>
      <c r="L221" s="68" t="s">
        <v>776</v>
      </c>
      <c r="M221" s="68" t="s">
        <v>8</v>
      </c>
      <c r="N221" s="68">
        <v>307506.0</v>
      </c>
      <c r="O221" s="68">
        <v>944.0</v>
      </c>
      <c r="P221" s="68">
        <v>0.0031</v>
      </c>
      <c r="Q221" s="68">
        <v>3908.75</v>
      </c>
      <c r="S221" s="68">
        <v>4.14</v>
      </c>
      <c r="T221" s="68">
        <v>28.0</v>
      </c>
      <c r="U221" s="68">
        <v>28153.35</v>
      </c>
      <c r="V221" s="68">
        <v>0.1388</v>
      </c>
      <c r="W221" s="68">
        <v>7.2026</v>
      </c>
    </row>
    <row r="222" ht="15.75" customHeight="1">
      <c r="A222" s="107" t="s">
        <v>50</v>
      </c>
      <c r="B222" s="68" t="s">
        <v>771</v>
      </c>
      <c r="C222" s="68" t="s">
        <v>789</v>
      </c>
      <c r="D222" s="68" t="s">
        <v>773</v>
      </c>
      <c r="E222" s="68" t="s">
        <v>459</v>
      </c>
      <c r="F222" s="68" t="s">
        <v>774</v>
      </c>
      <c r="G222" s="68" t="s">
        <v>783</v>
      </c>
      <c r="H222" s="181">
        <v>45260.0</v>
      </c>
      <c r="J222" s="68" t="s">
        <v>128</v>
      </c>
      <c r="K222" s="68">
        <v>5000.0</v>
      </c>
      <c r="L222" s="27">
        <v>0.558481613285883</v>
      </c>
      <c r="M222" s="68" t="s">
        <v>8</v>
      </c>
      <c r="N222" s="68">
        <v>232380.0</v>
      </c>
      <c r="O222" s="68">
        <v>578.0</v>
      </c>
      <c r="P222" s="68">
        <v>0.0025</v>
      </c>
      <c r="Q222" s="68">
        <v>28612.96</v>
      </c>
      <c r="S222" s="68">
        <v>49.5</v>
      </c>
      <c r="T222" s="68">
        <v>27.0</v>
      </c>
      <c r="U222" s="68">
        <v>592414.38</v>
      </c>
      <c r="V222" s="68">
        <v>0.0483</v>
      </c>
      <c r="W222" s="68">
        <v>20.7044</v>
      </c>
    </row>
    <row r="223" ht="15.75" customHeight="1">
      <c r="A223" s="107" t="s">
        <v>50</v>
      </c>
      <c r="B223" s="68" t="s">
        <v>771</v>
      </c>
      <c r="C223" s="68" t="s">
        <v>876</v>
      </c>
      <c r="D223" s="68" t="s">
        <v>773</v>
      </c>
      <c r="E223" s="68" t="s">
        <v>459</v>
      </c>
      <c r="F223" s="68" t="s">
        <v>774</v>
      </c>
      <c r="G223" s="68" t="s">
        <v>783</v>
      </c>
      <c r="H223" s="181">
        <v>44567.0</v>
      </c>
      <c r="J223" s="68" t="s">
        <v>134</v>
      </c>
      <c r="K223" s="68">
        <v>10000.0</v>
      </c>
      <c r="L223" s="27">
        <v>0.126613288718929</v>
      </c>
      <c r="M223" s="68" t="s">
        <v>8</v>
      </c>
      <c r="N223" s="68">
        <v>158578.0</v>
      </c>
      <c r="O223" s="68">
        <v>566.0</v>
      </c>
      <c r="P223" s="68">
        <v>0.0036</v>
      </c>
      <c r="Q223" s="68">
        <v>31671.87</v>
      </c>
      <c r="S223" s="68">
        <v>55.96</v>
      </c>
      <c r="T223" s="68">
        <v>14.0</v>
      </c>
      <c r="U223" s="68">
        <v>298304.21</v>
      </c>
      <c r="V223" s="68">
        <v>0.1062</v>
      </c>
      <c r="W223" s="68">
        <v>9.4186</v>
      </c>
    </row>
    <row r="224" ht="15.75" customHeight="1">
      <c r="A224" s="107" t="s">
        <v>50</v>
      </c>
      <c r="B224" s="68" t="s">
        <v>771</v>
      </c>
      <c r="C224" s="68" t="s">
        <v>827</v>
      </c>
      <c r="D224" s="68" t="s">
        <v>773</v>
      </c>
      <c r="E224" s="68" t="s">
        <v>459</v>
      </c>
      <c r="F224" s="68" t="s">
        <v>774</v>
      </c>
      <c r="G224" s="68" t="s">
        <v>783</v>
      </c>
      <c r="H224" s="181">
        <v>45309.0</v>
      </c>
      <c r="J224" s="68" t="s">
        <v>128</v>
      </c>
      <c r="K224" s="68">
        <v>2000.0</v>
      </c>
      <c r="L224" s="27">
        <v>0.089825601920497</v>
      </c>
      <c r="M224" s="68" t="s">
        <v>8</v>
      </c>
      <c r="N224" s="68">
        <v>234339.0</v>
      </c>
      <c r="O224" s="68">
        <v>841.0</v>
      </c>
      <c r="P224" s="68">
        <v>0.0036</v>
      </c>
      <c r="Q224" s="68">
        <v>42840.82</v>
      </c>
      <c r="S224" s="68">
        <v>50.94</v>
      </c>
      <c r="T224" s="68">
        <v>14.0</v>
      </c>
      <c r="U224" s="68">
        <v>309405.92</v>
      </c>
      <c r="V224" s="68">
        <v>0.1385</v>
      </c>
      <c r="W224" s="68">
        <v>7.2222</v>
      </c>
    </row>
    <row r="225" ht="15.75" customHeight="1">
      <c r="A225" s="107" t="s">
        <v>50</v>
      </c>
      <c r="B225" s="68" t="s">
        <v>771</v>
      </c>
      <c r="C225" s="68" t="s">
        <v>862</v>
      </c>
      <c r="D225" s="68" t="s">
        <v>773</v>
      </c>
      <c r="E225" s="68" t="s">
        <v>463</v>
      </c>
      <c r="F225" s="68" t="s">
        <v>774</v>
      </c>
      <c r="H225" s="181">
        <v>45309.0</v>
      </c>
      <c r="J225" s="68" t="s">
        <v>128</v>
      </c>
      <c r="K225" s="68">
        <v>1000.0</v>
      </c>
      <c r="M225" s="68" t="s">
        <v>8</v>
      </c>
      <c r="N225" s="68">
        <v>129325.0</v>
      </c>
      <c r="O225" s="68">
        <v>665.0</v>
      </c>
      <c r="P225" s="68">
        <v>0.0051</v>
      </c>
      <c r="Q225" s="68">
        <v>18477.79</v>
      </c>
      <c r="S225" s="68">
        <v>27.79</v>
      </c>
      <c r="T225" s="68">
        <v>14.0</v>
      </c>
      <c r="U225" s="68">
        <v>297626.26</v>
      </c>
      <c r="V225" s="68">
        <v>0.0621</v>
      </c>
      <c r="W225" s="68">
        <v>16.1072</v>
      </c>
    </row>
    <row r="226" ht="15.75" customHeight="1">
      <c r="A226" s="107" t="s">
        <v>50</v>
      </c>
      <c r="B226" s="68" t="s">
        <v>771</v>
      </c>
      <c r="C226" s="68" t="s">
        <v>904</v>
      </c>
      <c r="D226" s="68" t="s">
        <v>773</v>
      </c>
      <c r="E226" s="68" t="s">
        <v>459</v>
      </c>
      <c r="F226" s="68" t="s">
        <v>774</v>
      </c>
      <c r="G226" s="68" t="s">
        <v>783</v>
      </c>
      <c r="H226" s="181">
        <v>45301.0</v>
      </c>
      <c r="J226" s="68" t="s">
        <v>134</v>
      </c>
      <c r="K226" s="68">
        <v>7000.0</v>
      </c>
      <c r="L226" s="27">
        <v>0.227223085647078</v>
      </c>
      <c r="M226" s="68" t="s">
        <v>8</v>
      </c>
      <c r="N226" s="68">
        <v>197088.0</v>
      </c>
      <c r="O226" s="68">
        <v>1063.0</v>
      </c>
      <c r="P226" s="68">
        <v>0.0054</v>
      </c>
      <c r="Q226" s="68">
        <v>58543.16</v>
      </c>
      <c r="S226" s="68">
        <v>55.07</v>
      </c>
      <c r="T226" s="68">
        <v>11.0</v>
      </c>
      <c r="U226" s="68">
        <v>221271.18</v>
      </c>
      <c r="V226" s="68">
        <v>0.2646</v>
      </c>
      <c r="W226" s="68">
        <v>3.7796</v>
      </c>
    </row>
    <row r="227" ht="15.75" customHeight="1">
      <c r="A227" s="107" t="s">
        <v>50</v>
      </c>
      <c r="B227" s="68" t="s">
        <v>771</v>
      </c>
      <c r="C227" s="68" t="s">
        <v>914</v>
      </c>
      <c r="D227" s="68" t="s">
        <v>773</v>
      </c>
      <c r="E227" s="68" t="s">
        <v>463</v>
      </c>
      <c r="F227" s="68" t="s">
        <v>774</v>
      </c>
      <c r="H227" s="181">
        <v>45355.0</v>
      </c>
      <c r="J227" s="68" t="s">
        <v>90</v>
      </c>
      <c r="K227" s="68">
        <v>1000.0</v>
      </c>
      <c r="M227" s="68" t="s">
        <v>8</v>
      </c>
      <c r="N227" s="68">
        <v>333483.0</v>
      </c>
      <c r="O227" s="68">
        <v>1154.0</v>
      </c>
      <c r="P227" s="68">
        <v>0.0035</v>
      </c>
      <c r="Q227" s="68">
        <v>22279.39</v>
      </c>
      <c r="S227" s="68">
        <v>19.31</v>
      </c>
      <c r="T227" s="68">
        <v>10.0</v>
      </c>
      <c r="U227" s="68">
        <v>174743.22</v>
      </c>
      <c r="V227" s="68">
        <v>0.1275</v>
      </c>
      <c r="W227" s="68">
        <v>7.8433</v>
      </c>
    </row>
    <row r="228" ht="15.75" customHeight="1">
      <c r="A228" s="107" t="s">
        <v>50</v>
      </c>
      <c r="B228" s="68" t="s">
        <v>771</v>
      </c>
      <c r="C228" s="68" t="s">
        <v>905</v>
      </c>
      <c r="D228" s="68" t="s">
        <v>773</v>
      </c>
      <c r="E228" s="68" t="s">
        <v>459</v>
      </c>
      <c r="F228" s="68" t="s">
        <v>774</v>
      </c>
      <c r="G228" s="68" t="s">
        <v>783</v>
      </c>
      <c r="H228" s="181">
        <v>45341.0</v>
      </c>
      <c r="J228" s="68" t="s">
        <v>134</v>
      </c>
      <c r="K228" s="68">
        <v>3000.0</v>
      </c>
      <c r="L228" s="27">
        <v>0.133141535716236</v>
      </c>
      <c r="M228" s="68" t="s">
        <v>8</v>
      </c>
      <c r="N228" s="68">
        <v>116042.0</v>
      </c>
      <c r="O228" s="68">
        <v>710.0</v>
      </c>
      <c r="P228" s="68">
        <v>0.0061</v>
      </c>
      <c r="Q228" s="68">
        <v>34915.27</v>
      </c>
      <c r="S228" s="68">
        <v>49.18</v>
      </c>
      <c r="T228" s="68">
        <v>9.0</v>
      </c>
      <c r="U228" s="68">
        <v>182288.12</v>
      </c>
      <c r="V228" s="68">
        <v>0.1915</v>
      </c>
      <c r="W228" s="68">
        <v>5.2209</v>
      </c>
    </row>
    <row r="229" ht="15.75" customHeight="1">
      <c r="A229" s="107" t="s">
        <v>50</v>
      </c>
      <c r="B229" s="68" t="s">
        <v>771</v>
      </c>
      <c r="C229" s="68" t="s">
        <v>913</v>
      </c>
      <c r="D229" s="68" t="s">
        <v>773</v>
      </c>
      <c r="E229" s="68" t="s">
        <v>459</v>
      </c>
      <c r="F229" s="68" t="s">
        <v>774</v>
      </c>
      <c r="G229" s="68" t="s">
        <v>783</v>
      </c>
      <c r="H229" s="181">
        <v>45351.0</v>
      </c>
      <c r="J229" s="68" t="s">
        <v>152</v>
      </c>
      <c r="K229" s="68">
        <v>1600.0</v>
      </c>
      <c r="L229" s="27">
        <v>0.258152201270525</v>
      </c>
      <c r="M229" s="68" t="s">
        <v>8</v>
      </c>
      <c r="N229" s="68">
        <v>54492.0</v>
      </c>
      <c r="O229" s="68">
        <v>1109.0</v>
      </c>
      <c r="P229" s="68">
        <v>0.0204</v>
      </c>
      <c r="Q229" s="68">
        <v>40623.96</v>
      </c>
      <c r="S229" s="68">
        <v>36.63</v>
      </c>
      <c r="T229" s="68">
        <v>9.0</v>
      </c>
      <c r="U229" s="68">
        <v>123128.84</v>
      </c>
      <c r="V229" s="68">
        <v>0.3299</v>
      </c>
      <c r="W229" s="68">
        <v>3.0309</v>
      </c>
    </row>
    <row r="230" ht="15.75" customHeight="1">
      <c r="A230" s="107" t="s">
        <v>50</v>
      </c>
      <c r="B230" s="68" t="s">
        <v>771</v>
      </c>
      <c r="C230" s="68" t="s">
        <v>883</v>
      </c>
      <c r="D230" s="68" t="s">
        <v>773</v>
      </c>
      <c r="E230" s="68" t="s">
        <v>462</v>
      </c>
      <c r="F230" s="68" t="s">
        <v>774</v>
      </c>
      <c r="H230" s="181">
        <v>45336.0</v>
      </c>
      <c r="J230" s="68" t="s">
        <v>134</v>
      </c>
      <c r="K230" s="68">
        <v>3000.0</v>
      </c>
      <c r="L230" s="68" t="s">
        <v>776</v>
      </c>
      <c r="M230" s="68" t="s">
        <v>8</v>
      </c>
      <c r="N230" s="68">
        <v>138482.0</v>
      </c>
      <c r="O230" s="68">
        <v>3738.0</v>
      </c>
      <c r="P230" s="68">
        <v>0.027</v>
      </c>
      <c r="Q230" s="68">
        <v>51827.23</v>
      </c>
      <c r="S230" s="68">
        <v>13.86</v>
      </c>
      <c r="T230" s="68">
        <v>7.0</v>
      </c>
      <c r="U230" s="68">
        <v>139322.03</v>
      </c>
      <c r="V230" s="68">
        <v>0.372</v>
      </c>
      <c r="W230" s="68">
        <v>2.6882</v>
      </c>
    </row>
    <row r="231" ht="15.75" customHeight="1">
      <c r="A231" s="107" t="s">
        <v>50</v>
      </c>
      <c r="B231" s="68" t="s">
        <v>771</v>
      </c>
      <c r="C231" s="68" t="s">
        <v>919</v>
      </c>
      <c r="D231" s="68" t="s">
        <v>773</v>
      </c>
      <c r="E231" s="68" t="s">
        <v>459</v>
      </c>
      <c r="F231" s="68" t="s">
        <v>774</v>
      </c>
      <c r="G231" s="68" t="s">
        <v>783</v>
      </c>
      <c r="H231" s="181">
        <v>45352.0</v>
      </c>
      <c r="J231" s="68" t="s">
        <v>140</v>
      </c>
      <c r="K231" s="68">
        <v>1500.0</v>
      </c>
      <c r="L231" s="27">
        <v>0.15012347700326</v>
      </c>
      <c r="M231" s="68" t="s">
        <v>8</v>
      </c>
      <c r="N231" s="68">
        <v>59965.0</v>
      </c>
      <c r="O231" s="68">
        <v>690.0</v>
      </c>
      <c r="P231" s="68">
        <v>0.0115</v>
      </c>
      <c r="Q231" s="68">
        <v>21373.85</v>
      </c>
      <c r="S231" s="68">
        <v>30.98</v>
      </c>
      <c r="T231" s="68">
        <v>5.0</v>
      </c>
      <c r="U231" s="68">
        <v>136271.18</v>
      </c>
      <c r="V231" s="68">
        <v>0.1568</v>
      </c>
      <c r="W231" s="68">
        <v>6.3756</v>
      </c>
    </row>
    <row r="232" ht="15.75" customHeight="1">
      <c r="A232" s="107" t="s">
        <v>50</v>
      </c>
      <c r="B232" s="68" t="s">
        <v>771</v>
      </c>
      <c r="C232" s="68" t="s">
        <v>922</v>
      </c>
      <c r="D232" s="68" t="s">
        <v>931</v>
      </c>
      <c r="E232" s="68" t="s">
        <v>459</v>
      </c>
      <c r="F232" s="68" t="s">
        <v>774</v>
      </c>
      <c r="G232" s="68" t="s">
        <v>783</v>
      </c>
      <c r="H232" s="181">
        <v>45352.0</v>
      </c>
      <c r="J232" s="68" t="s">
        <v>140</v>
      </c>
      <c r="K232" s="68">
        <v>1000.0</v>
      </c>
      <c r="L232" s="27">
        <v>0.0738324384560834</v>
      </c>
      <c r="M232" s="68" t="s">
        <v>8</v>
      </c>
      <c r="N232" s="68">
        <v>155614.0</v>
      </c>
      <c r="O232" s="68">
        <v>328.0</v>
      </c>
      <c r="P232" s="68">
        <v>0.0021</v>
      </c>
      <c r="Q232" s="68">
        <v>17443.9</v>
      </c>
      <c r="S232" s="68">
        <v>53.18</v>
      </c>
      <c r="T232" s="68">
        <v>5.0</v>
      </c>
      <c r="U232" s="68">
        <v>121779.65</v>
      </c>
      <c r="V232" s="68">
        <v>0.1432</v>
      </c>
      <c r="W232" s="68">
        <v>6.9812</v>
      </c>
    </row>
    <row r="233" ht="15.75" customHeight="1">
      <c r="A233" s="107" t="s">
        <v>50</v>
      </c>
      <c r="B233" s="68" t="s">
        <v>771</v>
      </c>
      <c r="C233" s="68" t="s">
        <v>798</v>
      </c>
      <c r="D233" s="68" t="s">
        <v>773</v>
      </c>
      <c r="E233" s="68" t="s">
        <v>461</v>
      </c>
      <c r="F233" s="68" t="s">
        <v>774</v>
      </c>
      <c r="H233" s="181">
        <v>45260.0</v>
      </c>
      <c r="J233" s="68" t="s">
        <v>128</v>
      </c>
      <c r="K233" s="68">
        <v>1000.0</v>
      </c>
      <c r="L233" s="27">
        <v>0.637781109445277</v>
      </c>
      <c r="M233" s="68" t="s">
        <v>8</v>
      </c>
      <c r="N233" s="68">
        <v>158688.0</v>
      </c>
      <c r="O233" s="68">
        <v>547.0</v>
      </c>
      <c r="P233" s="68">
        <v>0.0034</v>
      </c>
      <c r="Q233" s="68">
        <v>15369.86</v>
      </c>
      <c r="S233" s="68">
        <v>28.1</v>
      </c>
      <c r="T233" s="68">
        <v>4.0</v>
      </c>
      <c r="U233" s="68">
        <v>74829.65</v>
      </c>
      <c r="V233" s="68">
        <v>0.2054</v>
      </c>
      <c r="W233" s="68">
        <v>4.8686</v>
      </c>
    </row>
    <row r="234" ht="15.75" customHeight="1">
      <c r="A234" s="107" t="s">
        <v>50</v>
      </c>
      <c r="B234" s="68" t="s">
        <v>771</v>
      </c>
      <c r="C234" s="68" t="s">
        <v>902</v>
      </c>
      <c r="D234" s="68" t="s">
        <v>773</v>
      </c>
      <c r="E234" s="68" t="s">
        <v>459</v>
      </c>
      <c r="F234" s="68" t="s">
        <v>774</v>
      </c>
      <c r="G234" s="68" t="s">
        <v>783</v>
      </c>
      <c r="H234" s="181">
        <v>45301.0</v>
      </c>
      <c r="J234" s="68" t="s">
        <v>134</v>
      </c>
      <c r="K234" s="68">
        <v>300.0</v>
      </c>
      <c r="L234" s="27">
        <v>0.288888888888888</v>
      </c>
      <c r="M234" s="68" t="s">
        <v>8</v>
      </c>
      <c r="N234" s="68">
        <v>50518.0</v>
      </c>
      <c r="O234" s="68">
        <v>100.0</v>
      </c>
      <c r="P234" s="68">
        <v>0.002</v>
      </c>
      <c r="Q234" s="68">
        <v>6587.22</v>
      </c>
      <c r="S234" s="68">
        <v>65.87</v>
      </c>
      <c r="T234" s="68">
        <v>3.0</v>
      </c>
      <c r="U234" s="68">
        <v>333220.35</v>
      </c>
      <c r="V234" s="68">
        <v>0.0198</v>
      </c>
      <c r="W234" s="68">
        <v>50.5859</v>
      </c>
    </row>
    <row r="235" ht="15.75" customHeight="1">
      <c r="A235" s="107" t="s">
        <v>50</v>
      </c>
      <c r="B235" s="68" t="s">
        <v>771</v>
      </c>
      <c r="C235" s="68" t="s">
        <v>892</v>
      </c>
      <c r="D235" s="68" t="s">
        <v>773</v>
      </c>
      <c r="E235" s="68" t="s">
        <v>459</v>
      </c>
      <c r="F235" s="68" t="s">
        <v>774</v>
      </c>
      <c r="G235" s="68" t="s">
        <v>775</v>
      </c>
      <c r="H235" s="181">
        <v>45301.0</v>
      </c>
      <c r="J235" s="68" t="s">
        <v>170</v>
      </c>
      <c r="K235" s="68">
        <v>300.0</v>
      </c>
      <c r="L235" s="68" t="s">
        <v>776</v>
      </c>
      <c r="M235" s="68" t="s">
        <v>8</v>
      </c>
      <c r="N235" s="68">
        <v>27740.0</v>
      </c>
      <c r="O235" s="68">
        <v>117.0</v>
      </c>
      <c r="P235" s="68">
        <v>0.0042</v>
      </c>
      <c r="Q235" s="68">
        <v>2668.69</v>
      </c>
      <c r="S235" s="68">
        <v>22.81</v>
      </c>
      <c r="T235" s="68">
        <v>3.0</v>
      </c>
      <c r="U235" s="68">
        <v>15000.0</v>
      </c>
      <c r="V235" s="68">
        <v>0.1779</v>
      </c>
      <c r="W235" s="68">
        <v>5.6207</v>
      </c>
    </row>
    <row r="236" ht="15.75" customHeight="1">
      <c r="A236" s="107" t="s">
        <v>50</v>
      </c>
      <c r="B236" s="68" t="s">
        <v>779</v>
      </c>
      <c r="C236" s="68" t="s">
        <v>929</v>
      </c>
      <c r="D236" s="68" t="s">
        <v>781</v>
      </c>
      <c r="E236" s="68" t="s">
        <v>460</v>
      </c>
      <c r="F236" s="68" t="s">
        <v>778</v>
      </c>
      <c r="G236" s="68" t="s">
        <v>775</v>
      </c>
      <c r="H236" s="181">
        <v>45356.0</v>
      </c>
      <c r="J236" s="68" t="s">
        <v>217</v>
      </c>
      <c r="K236" s="68">
        <v>500.0</v>
      </c>
      <c r="L236" s="68" t="s">
        <v>776</v>
      </c>
      <c r="M236" s="68" t="s">
        <v>8</v>
      </c>
      <c r="N236" s="68">
        <v>123302.0</v>
      </c>
      <c r="O236" s="68">
        <v>401.0</v>
      </c>
      <c r="P236" s="68">
        <v>0.0033</v>
      </c>
      <c r="Q236" s="68">
        <v>2108.51</v>
      </c>
      <c r="S236" s="68">
        <v>5.26</v>
      </c>
      <c r="T236" s="68">
        <v>3.0</v>
      </c>
      <c r="U236" s="68">
        <v>24192.37</v>
      </c>
      <c r="V236" s="68">
        <v>0.0872</v>
      </c>
      <c r="W236" s="68">
        <v>11.4737</v>
      </c>
    </row>
    <row r="237" ht="15.75" customHeight="1">
      <c r="A237" s="107" t="s">
        <v>50</v>
      </c>
      <c r="B237" s="68" t="s">
        <v>771</v>
      </c>
      <c r="C237" s="68" t="s">
        <v>822</v>
      </c>
      <c r="D237" s="68" t="s">
        <v>773</v>
      </c>
      <c r="E237" s="68" t="s">
        <v>462</v>
      </c>
      <c r="F237" s="68" t="s">
        <v>774</v>
      </c>
      <c r="H237" s="181">
        <v>45303.0</v>
      </c>
      <c r="J237" s="68" t="s">
        <v>128</v>
      </c>
      <c r="K237" s="68">
        <v>500.0</v>
      </c>
      <c r="L237" s="68" t="s">
        <v>776</v>
      </c>
      <c r="M237" s="68" t="s">
        <v>8</v>
      </c>
      <c r="N237" s="68">
        <v>82166.0</v>
      </c>
      <c r="O237" s="68">
        <v>583.0</v>
      </c>
      <c r="P237" s="68">
        <v>0.0071</v>
      </c>
      <c r="Q237" s="68">
        <v>15033.72</v>
      </c>
      <c r="S237" s="68">
        <v>25.79</v>
      </c>
      <c r="T237" s="68">
        <v>3.0</v>
      </c>
      <c r="U237" s="68">
        <v>52881.36</v>
      </c>
      <c r="V237" s="68">
        <v>0.2843</v>
      </c>
      <c r="W237" s="68">
        <v>3.5175</v>
      </c>
    </row>
    <row r="238" ht="15.75" customHeight="1">
      <c r="A238" s="107" t="s">
        <v>50</v>
      </c>
      <c r="B238" s="68" t="s">
        <v>779</v>
      </c>
      <c r="C238" s="68" t="s">
        <v>897</v>
      </c>
      <c r="D238" s="68" t="s">
        <v>781</v>
      </c>
      <c r="E238" s="68" t="s">
        <v>459</v>
      </c>
      <c r="F238" s="68" t="s">
        <v>774</v>
      </c>
      <c r="G238" s="68" t="s">
        <v>783</v>
      </c>
      <c r="H238" s="181">
        <v>45260.0</v>
      </c>
      <c r="J238" s="68" t="s">
        <v>140</v>
      </c>
      <c r="K238" s="68">
        <v>1000.0</v>
      </c>
      <c r="L238" s="68" t="s">
        <v>776</v>
      </c>
      <c r="M238" s="68" t="s">
        <v>8</v>
      </c>
      <c r="N238" s="68">
        <v>64599.0</v>
      </c>
      <c r="O238" s="68">
        <v>161.0</v>
      </c>
      <c r="P238" s="68">
        <v>0.0025</v>
      </c>
      <c r="Q238" s="68">
        <v>2931.55</v>
      </c>
      <c r="S238" s="68">
        <v>18.21</v>
      </c>
      <c r="T238" s="68">
        <v>2.0</v>
      </c>
      <c r="U238" s="68">
        <v>57457.64</v>
      </c>
      <c r="V238" s="68">
        <v>0.051</v>
      </c>
      <c r="W238" s="68">
        <v>19.5997</v>
      </c>
    </row>
    <row r="239" ht="15.75" customHeight="1">
      <c r="A239" s="107" t="s">
        <v>50</v>
      </c>
      <c r="B239" s="68" t="s">
        <v>771</v>
      </c>
      <c r="C239" s="68" t="s">
        <v>894</v>
      </c>
      <c r="D239" s="68" t="s">
        <v>773</v>
      </c>
      <c r="E239" s="68" t="s">
        <v>459</v>
      </c>
      <c r="F239" s="68" t="s">
        <v>774</v>
      </c>
      <c r="G239" s="68" t="s">
        <v>783</v>
      </c>
      <c r="H239" s="181">
        <v>45301.0</v>
      </c>
      <c r="J239" s="68" t="s">
        <v>90</v>
      </c>
      <c r="K239" s="68">
        <v>1500.0</v>
      </c>
      <c r="L239" s="27">
        <v>0.306771955013161</v>
      </c>
      <c r="M239" s="68" t="s">
        <v>8</v>
      </c>
      <c r="N239" s="68">
        <v>184889.0</v>
      </c>
      <c r="O239" s="68">
        <v>236.0</v>
      </c>
      <c r="P239" s="68">
        <v>0.0013</v>
      </c>
      <c r="Q239" s="68">
        <v>15566.89</v>
      </c>
      <c r="S239" s="68">
        <v>65.96</v>
      </c>
      <c r="T239" s="68">
        <v>2.0</v>
      </c>
      <c r="U239" s="68">
        <v>47372.88</v>
      </c>
      <c r="V239" s="68">
        <v>0.3286</v>
      </c>
      <c r="W239" s="68">
        <v>3.0432</v>
      </c>
    </row>
    <row r="240" ht="15.75" customHeight="1">
      <c r="A240" s="107" t="s">
        <v>50</v>
      </c>
      <c r="B240" s="68" t="s">
        <v>771</v>
      </c>
      <c r="C240" s="68" t="s">
        <v>869</v>
      </c>
      <c r="D240" s="68" t="s">
        <v>773</v>
      </c>
      <c r="E240" s="68" t="s">
        <v>459</v>
      </c>
      <c r="F240" s="68" t="s">
        <v>774</v>
      </c>
      <c r="G240" s="68" t="s">
        <v>775</v>
      </c>
      <c r="H240" s="181">
        <v>45301.0</v>
      </c>
      <c r="J240" s="68" t="s">
        <v>158</v>
      </c>
      <c r="K240" s="68">
        <v>300.0</v>
      </c>
      <c r="L240" s="68" t="s">
        <v>776</v>
      </c>
      <c r="M240" s="68" t="s">
        <v>8</v>
      </c>
      <c r="N240" s="68">
        <v>35936.0</v>
      </c>
      <c r="O240" s="68">
        <v>173.0</v>
      </c>
      <c r="P240" s="68">
        <v>0.0048</v>
      </c>
      <c r="Q240" s="68">
        <v>2385.66</v>
      </c>
      <c r="S240" s="68">
        <v>13.79</v>
      </c>
      <c r="T240" s="68">
        <v>2.0</v>
      </c>
      <c r="U240" s="68">
        <v>15084.74</v>
      </c>
      <c r="V240" s="68">
        <v>0.1582</v>
      </c>
      <c r="W240" s="68">
        <v>6.3231</v>
      </c>
    </row>
    <row r="241" ht="15.75" customHeight="1">
      <c r="A241" s="107" t="s">
        <v>50</v>
      </c>
      <c r="B241" s="68" t="s">
        <v>771</v>
      </c>
      <c r="C241" s="68" t="s">
        <v>906</v>
      </c>
      <c r="D241" s="68" t="s">
        <v>773</v>
      </c>
      <c r="E241" s="68" t="s">
        <v>459</v>
      </c>
      <c r="F241" s="68" t="s">
        <v>774</v>
      </c>
      <c r="G241" s="68" t="s">
        <v>783</v>
      </c>
      <c r="H241" s="181">
        <v>45341.0</v>
      </c>
      <c r="J241" s="68" t="s">
        <v>152</v>
      </c>
      <c r="K241" s="68">
        <v>500.0</v>
      </c>
      <c r="L241" s="68" t="s">
        <v>776</v>
      </c>
      <c r="M241" s="68" t="s">
        <v>8</v>
      </c>
      <c r="N241" s="68">
        <v>38106.0</v>
      </c>
      <c r="O241" s="68">
        <v>240.0</v>
      </c>
      <c r="P241" s="68">
        <v>0.0063</v>
      </c>
      <c r="Q241" s="68">
        <v>7921.64</v>
      </c>
      <c r="S241" s="68">
        <v>33.01</v>
      </c>
      <c r="T241" s="68">
        <v>2.0</v>
      </c>
      <c r="U241" s="68">
        <v>25083.05</v>
      </c>
      <c r="V241" s="68">
        <v>0.3158</v>
      </c>
      <c r="W241" s="68">
        <v>3.1664</v>
      </c>
    </row>
    <row r="242" ht="15.75" customHeight="1">
      <c r="A242" s="107" t="s">
        <v>50</v>
      </c>
      <c r="B242" s="68" t="s">
        <v>771</v>
      </c>
      <c r="C242" s="68" t="s">
        <v>923</v>
      </c>
      <c r="D242" s="68" t="s">
        <v>773</v>
      </c>
      <c r="E242" s="68" t="s">
        <v>459</v>
      </c>
      <c r="F242" s="68" t="s">
        <v>774</v>
      </c>
      <c r="G242" s="68" t="s">
        <v>783</v>
      </c>
      <c r="H242" s="181">
        <v>45357.0</v>
      </c>
      <c r="J242" s="68" t="s">
        <v>152</v>
      </c>
      <c r="K242" s="68">
        <v>1000.0</v>
      </c>
      <c r="L242" s="68" t="s">
        <v>776</v>
      </c>
      <c r="M242" s="68" t="s">
        <v>8</v>
      </c>
      <c r="N242" s="68">
        <v>163282.0</v>
      </c>
      <c r="O242" s="68">
        <v>345.0</v>
      </c>
      <c r="P242" s="68">
        <v>0.0021</v>
      </c>
      <c r="Q242" s="68">
        <v>6410.84</v>
      </c>
      <c r="S242" s="68">
        <v>18.58</v>
      </c>
      <c r="T242" s="68">
        <v>2.0</v>
      </c>
      <c r="U242" s="68">
        <v>30507.63</v>
      </c>
      <c r="V242" s="68">
        <v>0.2101</v>
      </c>
      <c r="W242" s="68">
        <v>4.7588</v>
      </c>
    </row>
    <row r="243" ht="15.75" customHeight="1">
      <c r="A243" s="107" t="s">
        <v>50</v>
      </c>
      <c r="B243" s="68" t="s">
        <v>771</v>
      </c>
      <c r="C243" s="68" t="s">
        <v>932</v>
      </c>
      <c r="D243" s="68" t="s">
        <v>773</v>
      </c>
      <c r="E243" s="68" t="s">
        <v>459</v>
      </c>
      <c r="F243" s="68" t="s">
        <v>774</v>
      </c>
      <c r="G243" s="68" t="s">
        <v>783</v>
      </c>
      <c r="H243" s="181">
        <v>45405.0</v>
      </c>
      <c r="J243" s="68" t="s">
        <v>128</v>
      </c>
      <c r="K243" s="68">
        <v>1000.0</v>
      </c>
      <c r="L243" s="27">
        <v>0.345407503234152</v>
      </c>
      <c r="M243" s="68" t="s">
        <v>8</v>
      </c>
      <c r="N243" s="68">
        <v>4058.0</v>
      </c>
      <c r="O243" s="68">
        <v>42.0</v>
      </c>
      <c r="P243" s="68">
        <v>0.0103</v>
      </c>
      <c r="Q243" s="68">
        <v>1212.47</v>
      </c>
      <c r="S243" s="68">
        <v>28.87</v>
      </c>
      <c r="T243" s="68">
        <v>2.0</v>
      </c>
      <c r="U243" s="68">
        <v>58305.08</v>
      </c>
      <c r="V243" s="68">
        <v>0.0208</v>
      </c>
      <c r="W243" s="68">
        <v>48.0879</v>
      </c>
    </row>
    <row r="244" ht="15.75" customHeight="1">
      <c r="A244" s="107" t="s">
        <v>50</v>
      </c>
      <c r="B244" s="68" t="s">
        <v>771</v>
      </c>
      <c r="C244" s="68" t="s">
        <v>927</v>
      </c>
      <c r="D244" s="68" t="s">
        <v>773</v>
      </c>
      <c r="E244" s="68" t="s">
        <v>463</v>
      </c>
      <c r="F244" s="68" t="s">
        <v>774</v>
      </c>
      <c r="H244" s="181">
        <v>45358.0</v>
      </c>
      <c r="J244" s="68" t="s">
        <v>170</v>
      </c>
      <c r="K244" s="68">
        <v>1000.0</v>
      </c>
      <c r="M244" s="68" t="s">
        <v>8</v>
      </c>
      <c r="N244" s="68">
        <v>18766.0</v>
      </c>
      <c r="O244" s="68">
        <v>184.0</v>
      </c>
      <c r="P244" s="68">
        <v>0.0098</v>
      </c>
      <c r="Q244" s="68">
        <v>1586.73</v>
      </c>
      <c r="S244" s="68">
        <v>8.62</v>
      </c>
      <c r="T244" s="68">
        <v>2.0</v>
      </c>
      <c r="U244" s="68">
        <v>10000.0</v>
      </c>
      <c r="V244" s="68">
        <v>0.1587</v>
      </c>
      <c r="W244" s="68">
        <v>6.3023</v>
      </c>
    </row>
    <row r="245" ht="15.75" customHeight="1">
      <c r="A245" s="107" t="s">
        <v>50</v>
      </c>
      <c r="B245" s="68" t="s">
        <v>771</v>
      </c>
      <c r="C245" s="68" t="s">
        <v>834</v>
      </c>
      <c r="D245" s="68" t="s">
        <v>773</v>
      </c>
      <c r="E245" s="68" t="s">
        <v>459</v>
      </c>
      <c r="F245" s="68" t="s">
        <v>774</v>
      </c>
      <c r="G245" s="68" t="s">
        <v>775</v>
      </c>
      <c r="H245" s="181">
        <v>45260.0</v>
      </c>
      <c r="J245" s="68" t="s">
        <v>134</v>
      </c>
      <c r="K245" s="68">
        <v>900.0</v>
      </c>
      <c r="L245" s="68" t="s">
        <v>776</v>
      </c>
      <c r="M245" s="68" t="s">
        <v>8</v>
      </c>
      <c r="N245" s="68">
        <v>52791.0</v>
      </c>
      <c r="O245" s="68">
        <v>144.0</v>
      </c>
      <c r="P245" s="68">
        <v>0.0027</v>
      </c>
      <c r="Q245" s="68">
        <v>3119.88</v>
      </c>
      <c r="S245" s="68">
        <v>21.67</v>
      </c>
      <c r="T245" s="68">
        <v>1.0</v>
      </c>
      <c r="U245" s="68">
        <v>17966.1</v>
      </c>
      <c r="V245" s="68">
        <v>0.1737</v>
      </c>
      <c r="W245" s="68">
        <v>5.7586</v>
      </c>
    </row>
    <row r="246" ht="15.75" customHeight="1">
      <c r="A246" s="107" t="s">
        <v>50</v>
      </c>
      <c r="B246" s="68" t="s">
        <v>771</v>
      </c>
      <c r="C246" s="68" t="s">
        <v>821</v>
      </c>
      <c r="D246" s="68" t="s">
        <v>773</v>
      </c>
      <c r="E246" s="68" t="s">
        <v>459</v>
      </c>
      <c r="F246" s="68" t="s">
        <v>774</v>
      </c>
      <c r="G246" s="68" t="s">
        <v>775</v>
      </c>
      <c r="H246" s="181">
        <v>45280.0</v>
      </c>
      <c r="J246" s="68" t="s">
        <v>134</v>
      </c>
      <c r="K246" s="68">
        <v>250.0</v>
      </c>
      <c r="L246" s="68" t="s">
        <v>776</v>
      </c>
      <c r="M246" s="68" t="s">
        <v>8</v>
      </c>
      <c r="N246" s="68">
        <v>7046.0</v>
      </c>
      <c r="O246" s="68">
        <v>19.0</v>
      </c>
      <c r="P246" s="68">
        <v>0.0027</v>
      </c>
      <c r="Q246" s="68">
        <v>688.85</v>
      </c>
      <c r="S246" s="68">
        <v>36.26</v>
      </c>
      <c r="T246" s="68">
        <v>1.0</v>
      </c>
      <c r="U246" s="68">
        <v>28728.81</v>
      </c>
      <c r="V246" s="68">
        <v>0.024</v>
      </c>
      <c r="W246" s="68">
        <v>41.7055</v>
      </c>
    </row>
    <row r="247" ht="15.75" customHeight="1">
      <c r="A247" s="107" t="s">
        <v>50</v>
      </c>
      <c r="B247" s="68" t="s">
        <v>779</v>
      </c>
      <c r="C247" s="68" t="s">
        <v>863</v>
      </c>
      <c r="D247" s="68" t="s">
        <v>781</v>
      </c>
      <c r="E247" s="68" t="s">
        <v>460</v>
      </c>
      <c r="F247" s="68" t="s">
        <v>778</v>
      </c>
      <c r="G247" s="68" t="s">
        <v>775</v>
      </c>
      <c r="H247" s="181">
        <v>45301.0</v>
      </c>
      <c r="J247" s="68" t="s">
        <v>170</v>
      </c>
      <c r="K247" s="68">
        <v>200.0</v>
      </c>
      <c r="L247" s="68" t="s">
        <v>776</v>
      </c>
      <c r="M247" s="68" t="s">
        <v>8</v>
      </c>
      <c r="N247" s="68">
        <v>109318.0</v>
      </c>
      <c r="O247" s="68">
        <v>440.0</v>
      </c>
      <c r="P247" s="68">
        <v>0.004</v>
      </c>
      <c r="Q247" s="68">
        <v>3408.08</v>
      </c>
      <c r="S247" s="68">
        <v>7.75</v>
      </c>
      <c r="T247" s="68">
        <v>1.0</v>
      </c>
      <c r="U247" s="68">
        <v>5000.0</v>
      </c>
      <c r="V247" s="68">
        <v>0.6816</v>
      </c>
      <c r="W247" s="68">
        <v>1.4671</v>
      </c>
    </row>
    <row r="248" ht="15.75" customHeight="1">
      <c r="A248" s="107" t="s">
        <v>50</v>
      </c>
      <c r="B248" s="68" t="s">
        <v>771</v>
      </c>
      <c r="C248" s="68" t="s">
        <v>926</v>
      </c>
      <c r="D248" s="68" t="s">
        <v>773</v>
      </c>
      <c r="E248" s="68" t="s">
        <v>459</v>
      </c>
      <c r="F248" s="68" t="s">
        <v>774</v>
      </c>
      <c r="G248" s="68" t="s">
        <v>783</v>
      </c>
      <c r="H248" s="181">
        <v>45352.0</v>
      </c>
      <c r="J248" s="68" t="s">
        <v>140</v>
      </c>
      <c r="K248" s="68">
        <v>500.0</v>
      </c>
      <c r="L248" s="27">
        <v>0.305614035087719</v>
      </c>
      <c r="M248" s="68" t="s">
        <v>8</v>
      </c>
      <c r="N248" s="68">
        <v>31363.0</v>
      </c>
      <c r="O248" s="68">
        <v>123.0</v>
      </c>
      <c r="P248" s="68">
        <v>0.0039</v>
      </c>
      <c r="Q248" s="68">
        <v>6106.77</v>
      </c>
      <c r="S248" s="68">
        <v>49.65</v>
      </c>
      <c r="T248" s="68">
        <v>1.0</v>
      </c>
      <c r="U248" s="68">
        <v>28728.81</v>
      </c>
      <c r="V248" s="68">
        <v>0.2126</v>
      </c>
      <c r="W248" s="68">
        <v>4.7044</v>
      </c>
    </row>
    <row r="249" ht="15.75" customHeight="1">
      <c r="A249" s="107" t="s">
        <v>50</v>
      </c>
      <c r="B249" s="68" t="s">
        <v>779</v>
      </c>
      <c r="C249" s="68" t="s">
        <v>916</v>
      </c>
      <c r="D249" s="68" t="s">
        <v>781</v>
      </c>
      <c r="E249" s="68" t="s">
        <v>459</v>
      </c>
      <c r="F249" s="68" t="s">
        <v>774</v>
      </c>
      <c r="G249" s="68" t="s">
        <v>783</v>
      </c>
      <c r="H249" s="181">
        <v>45356.0</v>
      </c>
      <c r="J249" s="68" t="s">
        <v>205</v>
      </c>
      <c r="K249" s="68">
        <v>1000.0</v>
      </c>
      <c r="L249" s="27">
        <v>0.0514992828791568</v>
      </c>
      <c r="M249" s="68" t="s">
        <v>8</v>
      </c>
      <c r="N249" s="68">
        <v>64712.0</v>
      </c>
      <c r="O249" s="68">
        <v>120.0</v>
      </c>
      <c r="P249" s="68">
        <v>0.0019</v>
      </c>
      <c r="Q249" s="68">
        <v>9285.7</v>
      </c>
      <c r="S249" s="68">
        <v>77.38</v>
      </c>
      <c r="T249" s="68">
        <v>1.0</v>
      </c>
      <c r="U249" s="68">
        <v>23305.08</v>
      </c>
      <c r="V249" s="68">
        <v>0.3984</v>
      </c>
      <c r="W249" s="68">
        <v>2.5098</v>
      </c>
    </row>
    <row r="250" ht="15.75" customHeight="1">
      <c r="A250" s="107" t="s">
        <v>50</v>
      </c>
      <c r="B250" s="68" t="s">
        <v>779</v>
      </c>
      <c r="C250" s="68" t="s">
        <v>921</v>
      </c>
      <c r="D250" s="68" t="s">
        <v>781</v>
      </c>
      <c r="E250" s="68" t="s">
        <v>459</v>
      </c>
      <c r="F250" s="68" t="s">
        <v>774</v>
      </c>
      <c r="G250" s="68" t="s">
        <v>783</v>
      </c>
      <c r="H250" s="181">
        <v>45356.0</v>
      </c>
      <c r="J250" s="68" t="s">
        <v>205</v>
      </c>
      <c r="K250" s="68">
        <v>500.0</v>
      </c>
      <c r="L250" s="27">
        <v>0.221270521056388</v>
      </c>
      <c r="M250" s="68" t="s">
        <v>8</v>
      </c>
      <c r="N250" s="68">
        <v>17737.0</v>
      </c>
      <c r="O250" s="68">
        <v>36.0</v>
      </c>
      <c r="P250" s="68">
        <v>0.002</v>
      </c>
      <c r="Q250" s="68">
        <v>2468.36</v>
      </c>
      <c r="S250" s="68">
        <v>68.57</v>
      </c>
      <c r="T250" s="68">
        <v>1.0</v>
      </c>
      <c r="U250" s="68">
        <v>33050.85</v>
      </c>
      <c r="V250" s="68">
        <v>0.0747</v>
      </c>
      <c r="W250" s="68">
        <v>13.3898</v>
      </c>
    </row>
    <row r="251" ht="15.75" customHeight="1">
      <c r="A251" s="107" t="s">
        <v>50</v>
      </c>
      <c r="B251" s="68" t="s">
        <v>779</v>
      </c>
      <c r="C251" s="68" t="s">
        <v>889</v>
      </c>
      <c r="D251" s="68" t="s">
        <v>781</v>
      </c>
      <c r="E251" s="68" t="s">
        <v>463</v>
      </c>
      <c r="F251" s="68" t="s">
        <v>774</v>
      </c>
      <c r="H251" s="181">
        <v>45342.0</v>
      </c>
      <c r="J251" s="68" t="s">
        <v>134</v>
      </c>
      <c r="K251" s="68">
        <v>1000.0</v>
      </c>
      <c r="M251" s="68" t="s">
        <v>8</v>
      </c>
      <c r="N251" s="68">
        <v>71390.0</v>
      </c>
      <c r="O251" s="68">
        <v>188.0</v>
      </c>
      <c r="P251" s="68">
        <v>0.0026</v>
      </c>
      <c r="Q251" s="68">
        <v>5251.41</v>
      </c>
      <c r="S251" s="68">
        <v>27.93</v>
      </c>
      <c r="T251" s="68">
        <v>1.0</v>
      </c>
      <c r="U251" s="68">
        <v>803.39</v>
      </c>
      <c r="V251" s="68">
        <v>6.5366</v>
      </c>
      <c r="W251" s="68">
        <v>0.153</v>
      </c>
    </row>
    <row r="252" ht="15.75" customHeight="1">
      <c r="A252" s="107" t="s">
        <v>50</v>
      </c>
      <c r="B252" s="68" t="s">
        <v>771</v>
      </c>
      <c r="C252" s="68" t="s">
        <v>877</v>
      </c>
      <c r="D252" s="68" t="s">
        <v>931</v>
      </c>
      <c r="E252" s="68" t="s">
        <v>461</v>
      </c>
      <c r="F252" s="68" t="s">
        <v>774</v>
      </c>
      <c r="H252" s="181">
        <v>45260.0</v>
      </c>
      <c r="J252" s="68" t="s">
        <v>196</v>
      </c>
      <c r="K252" s="68">
        <v>1000.0</v>
      </c>
      <c r="L252" s="27">
        <v>0.210112144447691</v>
      </c>
      <c r="M252" s="68" t="s">
        <v>8</v>
      </c>
      <c r="N252" s="68">
        <v>129472.0</v>
      </c>
      <c r="O252" s="68">
        <v>796.0</v>
      </c>
      <c r="P252" s="68">
        <v>0.0061</v>
      </c>
      <c r="Q252" s="68">
        <v>20959.04</v>
      </c>
      <c r="S252" s="68">
        <v>26.33</v>
      </c>
      <c r="T252" s="68">
        <v>1.0</v>
      </c>
      <c r="U252" s="68">
        <v>17966.1</v>
      </c>
      <c r="V252" s="68">
        <v>1.1666</v>
      </c>
      <c r="W252" s="68">
        <v>0.8572</v>
      </c>
    </row>
    <row r="253" ht="15.75" customHeight="1">
      <c r="A253" s="107" t="s">
        <v>50</v>
      </c>
      <c r="B253" s="68" t="s">
        <v>779</v>
      </c>
      <c r="C253" s="68" t="s">
        <v>878</v>
      </c>
      <c r="D253" s="68" t="s">
        <v>781</v>
      </c>
      <c r="E253" s="68" t="s">
        <v>462</v>
      </c>
      <c r="F253" s="68" t="s">
        <v>774</v>
      </c>
      <c r="H253" s="181">
        <v>45338.0</v>
      </c>
      <c r="J253" s="68" t="s">
        <v>134</v>
      </c>
      <c r="K253" s="68">
        <v>300.0</v>
      </c>
      <c r="L253" s="68" t="s">
        <v>776</v>
      </c>
      <c r="M253" s="68" t="s">
        <v>8</v>
      </c>
      <c r="N253" s="68">
        <v>39051.0</v>
      </c>
      <c r="O253" s="68">
        <v>746.0</v>
      </c>
      <c r="P253" s="68">
        <v>0.0191</v>
      </c>
      <c r="Q253" s="68">
        <v>3452.38</v>
      </c>
      <c r="S253" s="68">
        <v>4.63</v>
      </c>
      <c r="T253" s="68">
        <v>1.0</v>
      </c>
      <c r="U253" s="68">
        <v>15423.73</v>
      </c>
      <c r="V253" s="68">
        <v>0.2238</v>
      </c>
      <c r="W253" s="68">
        <v>4.4676</v>
      </c>
    </row>
    <row r="254" ht="15.75" customHeight="1">
      <c r="A254" s="107" t="s">
        <v>50</v>
      </c>
      <c r="B254" s="68" t="s">
        <v>779</v>
      </c>
      <c r="C254" s="68" t="s">
        <v>903</v>
      </c>
      <c r="D254" s="68" t="s">
        <v>781</v>
      </c>
      <c r="E254" s="68" t="s">
        <v>459</v>
      </c>
      <c r="F254" s="68" t="s">
        <v>774</v>
      </c>
      <c r="G254" s="68" t="s">
        <v>783</v>
      </c>
      <c r="H254" s="181">
        <v>45260.0</v>
      </c>
      <c r="J254" s="68" t="s">
        <v>134</v>
      </c>
      <c r="K254" s="68">
        <v>2000.0</v>
      </c>
      <c r="L254" s="27">
        <v>0.101888667992047</v>
      </c>
      <c r="M254" s="68" t="s">
        <v>8</v>
      </c>
      <c r="N254" s="68">
        <v>6631.0</v>
      </c>
      <c r="O254" s="68">
        <v>28.0</v>
      </c>
      <c r="P254" s="68">
        <v>0.0042</v>
      </c>
      <c r="Q254" s="68">
        <v>1510.09</v>
      </c>
      <c r="S254" s="68">
        <v>53.93</v>
      </c>
      <c r="T254" s="68">
        <v>0.0</v>
      </c>
      <c r="U254" s="68">
        <v>0.0</v>
      </c>
      <c r="V254" s="68">
        <v>0.0</v>
      </c>
      <c r="W254" s="68">
        <v>0.0</v>
      </c>
    </row>
    <row r="255" ht="15.75" customHeight="1">
      <c r="A255" s="107" t="s">
        <v>50</v>
      </c>
      <c r="B255" s="68" t="s">
        <v>779</v>
      </c>
      <c r="C255" s="68" t="s">
        <v>912</v>
      </c>
      <c r="D255" s="68" t="s">
        <v>781</v>
      </c>
      <c r="E255" s="68" t="s">
        <v>459</v>
      </c>
      <c r="F255" s="68" t="s">
        <v>774</v>
      </c>
      <c r="G255" s="68" t="s">
        <v>783</v>
      </c>
      <c r="H255" s="181">
        <v>45260.0</v>
      </c>
      <c r="J255" s="68" t="s">
        <v>140</v>
      </c>
      <c r="K255" s="68">
        <v>1000.0</v>
      </c>
      <c r="L255" s="68" t="s">
        <v>776</v>
      </c>
      <c r="M255" s="68" t="s">
        <v>8</v>
      </c>
      <c r="N255" s="68">
        <v>27619.0</v>
      </c>
      <c r="O255" s="68">
        <v>142.0</v>
      </c>
      <c r="P255" s="68">
        <v>0.0051</v>
      </c>
      <c r="Q255" s="68">
        <v>6040.16</v>
      </c>
      <c r="S255" s="68">
        <v>42.54</v>
      </c>
      <c r="T255" s="68">
        <v>0.0</v>
      </c>
      <c r="U255" s="68">
        <v>0.0</v>
      </c>
      <c r="V255" s="68">
        <v>0.0</v>
      </c>
      <c r="W255" s="68">
        <v>0.0</v>
      </c>
    </row>
    <row r="256" ht="15.75" customHeight="1">
      <c r="A256" s="107" t="s">
        <v>50</v>
      </c>
      <c r="B256" s="68" t="s">
        <v>779</v>
      </c>
      <c r="C256" s="68" t="s">
        <v>898</v>
      </c>
      <c r="D256" s="68" t="s">
        <v>781</v>
      </c>
      <c r="E256" s="68" t="s">
        <v>459</v>
      </c>
      <c r="F256" s="68" t="s">
        <v>774</v>
      </c>
      <c r="G256" s="68" t="s">
        <v>783</v>
      </c>
      <c r="H256" s="181">
        <v>45260.0</v>
      </c>
      <c r="J256" s="68" t="s">
        <v>140</v>
      </c>
      <c r="K256" s="68">
        <v>890.0</v>
      </c>
      <c r="L256" s="68" t="s">
        <v>776</v>
      </c>
      <c r="M256" s="68" t="s">
        <v>8</v>
      </c>
      <c r="N256" s="68">
        <v>43300.0</v>
      </c>
      <c r="O256" s="68">
        <v>75.0</v>
      </c>
      <c r="P256" s="68">
        <v>0.0017</v>
      </c>
      <c r="Q256" s="68">
        <v>3823.27</v>
      </c>
      <c r="S256" s="68">
        <v>50.98</v>
      </c>
      <c r="T256" s="68">
        <v>0.0</v>
      </c>
      <c r="U256" s="68">
        <v>0.0</v>
      </c>
      <c r="V256" s="68">
        <v>0.0</v>
      </c>
      <c r="W256" s="68">
        <v>0.0</v>
      </c>
    </row>
    <row r="257" ht="15.75" customHeight="1">
      <c r="A257" s="107" t="s">
        <v>50</v>
      </c>
      <c r="B257" s="68" t="s">
        <v>779</v>
      </c>
      <c r="C257" s="68" t="s">
        <v>901</v>
      </c>
      <c r="D257" s="68" t="s">
        <v>781</v>
      </c>
      <c r="E257" s="68" t="s">
        <v>459</v>
      </c>
      <c r="F257" s="68" t="s">
        <v>774</v>
      </c>
      <c r="G257" s="68" t="s">
        <v>783</v>
      </c>
      <c r="H257" s="181">
        <v>45301.0</v>
      </c>
      <c r="J257" s="68" t="s">
        <v>134</v>
      </c>
      <c r="K257" s="68">
        <v>300.0</v>
      </c>
      <c r="L257" s="27">
        <v>0.55242334322453</v>
      </c>
      <c r="M257" s="68" t="s">
        <v>8</v>
      </c>
      <c r="N257" s="68">
        <v>4036.0</v>
      </c>
      <c r="O257" s="68">
        <v>85.0</v>
      </c>
      <c r="P257" s="68">
        <v>0.0211</v>
      </c>
      <c r="Q257" s="68">
        <v>1906.52</v>
      </c>
      <c r="S257" s="68">
        <v>22.43</v>
      </c>
      <c r="T257" s="68">
        <v>0.0</v>
      </c>
      <c r="U257" s="68">
        <v>0.0</v>
      </c>
      <c r="V257" s="68">
        <v>0.0</v>
      </c>
      <c r="W257" s="68">
        <v>0.0</v>
      </c>
    </row>
    <row r="258" ht="15.75" customHeight="1">
      <c r="A258" s="107" t="s">
        <v>50</v>
      </c>
      <c r="B258" s="68" t="s">
        <v>779</v>
      </c>
      <c r="C258" s="68" t="s">
        <v>899</v>
      </c>
      <c r="D258" s="68" t="s">
        <v>781</v>
      </c>
      <c r="E258" s="68" t="s">
        <v>459</v>
      </c>
      <c r="F258" s="68" t="s">
        <v>774</v>
      </c>
      <c r="G258" s="68" t="s">
        <v>783</v>
      </c>
      <c r="H258" s="181">
        <v>45301.0</v>
      </c>
      <c r="J258" s="68" t="s">
        <v>134</v>
      </c>
      <c r="K258" s="68">
        <v>300.0</v>
      </c>
      <c r="L258" s="27">
        <v>0.37037037037037</v>
      </c>
      <c r="M258" s="68" t="s">
        <v>8</v>
      </c>
      <c r="N258" s="68">
        <v>12001.0</v>
      </c>
      <c r="O258" s="68">
        <v>28.0</v>
      </c>
      <c r="P258" s="68">
        <v>0.0023</v>
      </c>
      <c r="Q258" s="68">
        <v>1724.7</v>
      </c>
      <c r="S258" s="68">
        <v>61.6</v>
      </c>
      <c r="T258" s="68">
        <v>0.0</v>
      </c>
      <c r="U258" s="68">
        <v>0.0</v>
      </c>
      <c r="V258" s="68">
        <v>0.0</v>
      </c>
      <c r="W258" s="68">
        <v>0.0</v>
      </c>
    </row>
    <row r="259" ht="15.75" customHeight="1">
      <c r="A259" s="107" t="s">
        <v>50</v>
      </c>
      <c r="B259" s="68" t="s">
        <v>779</v>
      </c>
      <c r="C259" s="68" t="s">
        <v>866</v>
      </c>
      <c r="D259" s="68" t="s">
        <v>781</v>
      </c>
      <c r="E259" s="68" t="s">
        <v>460</v>
      </c>
      <c r="F259" s="68" t="s">
        <v>778</v>
      </c>
      <c r="G259" s="68" t="s">
        <v>775</v>
      </c>
      <c r="H259" s="181">
        <v>45301.0</v>
      </c>
      <c r="J259" s="68" t="s">
        <v>158</v>
      </c>
      <c r="K259" s="68">
        <v>200.0</v>
      </c>
      <c r="L259" s="68" t="s">
        <v>776</v>
      </c>
      <c r="M259" s="68" t="s">
        <v>8</v>
      </c>
      <c r="N259" s="68">
        <v>254501.0</v>
      </c>
      <c r="O259" s="68">
        <v>480.0</v>
      </c>
      <c r="P259" s="68">
        <v>0.0019</v>
      </c>
      <c r="Q259" s="68">
        <v>3799.0</v>
      </c>
      <c r="S259" s="68">
        <v>7.91</v>
      </c>
      <c r="T259" s="68">
        <v>0.0</v>
      </c>
      <c r="U259" s="68">
        <v>0.0</v>
      </c>
      <c r="V259" s="68">
        <v>0.0</v>
      </c>
      <c r="W259" s="68">
        <v>0.0</v>
      </c>
    </row>
    <row r="260" ht="15.75" customHeight="1">
      <c r="A260" s="107" t="s">
        <v>50</v>
      </c>
      <c r="B260" s="68" t="s">
        <v>779</v>
      </c>
      <c r="C260" s="68" t="s">
        <v>872</v>
      </c>
      <c r="D260" s="68" t="s">
        <v>781</v>
      </c>
      <c r="E260" s="68" t="s">
        <v>459</v>
      </c>
      <c r="F260" s="68" t="s">
        <v>774</v>
      </c>
      <c r="G260" s="68" t="s">
        <v>775</v>
      </c>
      <c r="H260" s="181">
        <v>45301.0</v>
      </c>
      <c r="J260" s="68" t="s">
        <v>158</v>
      </c>
      <c r="K260" s="68">
        <v>200.0</v>
      </c>
      <c r="L260" s="68" t="s">
        <v>776</v>
      </c>
      <c r="M260" s="68" t="s">
        <v>8</v>
      </c>
      <c r="N260" s="68">
        <v>25231.0</v>
      </c>
      <c r="O260" s="68">
        <v>96.0</v>
      </c>
      <c r="P260" s="68">
        <v>0.0038</v>
      </c>
      <c r="Q260" s="68">
        <v>1122.74</v>
      </c>
      <c r="S260" s="68">
        <v>11.7</v>
      </c>
      <c r="T260" s="68">
        <v>0.0</v>
      </c>
      <c r="U260" s="68">
        <v>0.0</v>
      </c>
      <c r="V260" s="68">
        <v>0.0</v>
      </c>
      <c r="W260" s="68">
        <v>0.0</v>
      </c>
    </row>
    <row r="261" ht="15.75" customHeight="1">
      <c r="A261" s="107" t="s">
        <v>50</v>
      </c>
      <c r="B261" s="68" t="s">
        <v>779</v>
      </c>
      <c r="C261" s="68" t="s">
        <v>909</v>
      </c>
      <c r="D261" s="68" t="s">
        <v>781</v>
      </c>
      <c r="E261" s="68" t="s">
        <v>459</v>
      </c>
      <c r="F261" s="68" t="s">
        <v>774</v>
      </c>
      <c r="G261" s="68" t="s">
        <v>783</v>
      </c>
      <c r="H261" s="181">
        <v>45336.0</v>
      </c>
      <c r="J261" s="68" t="s">
        <v>152</v>
      </c>
      <c r="K261" s="68">
        <v>1000.0</v>
      </c>
      <c r="L261" s="68" t="s">
        <v>776</v>
      </c>
      <c r="M261" s="68" t="s">
        <v>8</v>
      </c>
      <c r="N261" s="68">
        <v>683.0</v>
      </c>
      <c r="O261" s="68">
        <v>0.0</v>
      </c>
      <c r="P261" s="68">
        <v>0.0</v>
      </c>
      <c r="Q261" s="68">
        <v>0.0</v>
      </c>
      <c r="S261" s="68">
        <v>0.0</v>
      </c>
      <c r="T261" s="68">
        <v>0.0</v>
      </c>
      <c r="U261" s="68">
        <v>0.0</v>
      </c>
      <c r="V261" s="68">
        <v>0.0</v>
      </c>
      <c r="W261" s="68">
        <v>0.0</v>
      </c>
    </row>
    <row r="262" ht="15.75" customHeight="1">
      <c r="A262" s="107" t="s">
        <v>50</v>
      </c>
      <c r="B262" s="68" t="s">
        <v>779</v>
      </c>
      <c r="C262" s="68" t="s">
        <v>910</v>
      </c>
      <c r="D262" s="68" t="s">
        <v>781</v>
      </c>
      <c r="E262" s="68" t="s">
        <v>459</v>
      </c>
      <c r="F262" s="68" t="s">
        <v>774</v>
      </c>
      <c r="G262" s="68" t="s">
        <v>783</v>
      </c>
      <c r="H262" s="181">
        <v>45341.0</v>
      </c>
      <c r="J262" s="68" t="s">
        <v>134</v>
      </c>
      <c r="K262" s="68">
        <v>2000.0</v>
      </c>
      <c r="L262" s="27">
        <v>0.0677882236516576</v>
      </c>
      <c r="M262" s="68" t="s">
        <v>8</v>
      </c>
      <c r="N262" s="68">
        <v>6833.0</v>
      </c>
      <c r="O262" s="68">
        <v>78.0</v>
      </c>
      <c r="P262" s="68">
        <v>0.0114</v>
      </c>
      <c r="Q262" s="68">
        <v>4039.46</v>
      </c>
      <c r="S262" s="68">
        <v>51.79</v>
      </c>
      <c r="T262" s="68">
        <v>0.0</v>
      </c>
      <c r="U262" s="68">
        <v>0.0</v>
      </c>
      <c r="V262" s="68">
        <v>0.0</v>
      </c>
      <c r="W262" s="68">
        <v>0.0</v>
      </c>
    </row>
    <row r="263" ht="15.75" customHeight="1">
      <c r="A263" s="107" t="s">
        <v>50</v>
      </c>
      <c r="B263" s="68" t="s">
        <v>779</v>
      </c>
      <c r="C263" s="68" t="s">
        <v>895</v>
      </c>
      <c r="D263" s="68" t="s">
        <v>781</v>
      </c>
      <c r="E263" s="68" t="s">
        <v>459</v>
      </c>
      <c r="F263" s="68" t="s">
        <v>774</v>
      </c>
      <c r="G263" s="68" t="s">
        <v>783</v>
      </c>
      <c r="H263" s="181">
        <v>45338.0</v>
      </c>
      <c r="J263" s="68" t="s">
        <v>134</v>
      </c>
      <c r="K263" s="68">
        <v>800.0</v>
      </c>
      <c r="L263" s="27">
        <v>0.0835154101226126</v>
      </c>
      <c r="M263" s="68" t="s">
        <v>8</v>
      </c>
      <c r="N263" s="68">
        <v>98680.0</v>
      </c>
      <c r="O263" s="68">
        <v>280.0</v>
      </c>
      <c r="P263" s="68">
        <v>0.0028</v>
      </c>
      <c r="Q263" s="68">
        <v>14484.39</v>
      </c>
      <c r="S263" s="68">
        <v>51.73</v>
      </c>
      <c r="T263" s="68">
        <v>0.0</v>
      </c>
      <c r="U263" s="68">
        <v>0.0</v>
      </c>
      <c r="V263" s="68">
        <v>0.0</v>
      </c>
      <c r="W263" s="68">
        <v>0.0</v>
      </c>
    </row>
    <row r="264" ht="15.75" customHeight="1">
      <c r="A264" s="107" t="s">
        <v>50</v>
      </c>
      <c r="B264" s="68" t="s">
        <v>779</v>
      </c>
      <c r="C264" s="68" t="s">
        <v>925</v>
      </c>
      <c r="D264" s="68" t="s">
        <v>781</v>
      </c>
      <c r="E264" s="68" t="s">
        <v>459</v>
      </c>
      <c r="F264" s="68" t="s">
        <v>774</v>
      </c>
      <c r="G264" s="68" t="s">
        <v>783</v>
      </c>
      <c r="H264" s="181">
        <v>45352.0</v>
      </c>
      <c r="J264" s="68" t="s">
        <v>182</v>
      </c>
      <c r="K264" s="68">
        <v>1000.0</v>
      </c>
      <c r="L264" s="27">
        <v>0.0643963942732575</v>
      </c>
      <c r="M264" s="68" t="s">
        <v>8</v>
      </c>
      <c r="N264" s="68">
        <v>7466.0</v>
      </c>
      <c r="O264" s="68">
        <v>8.0</v>
      </c>
      <c r="P264" s="68">
        <v>0.0011</v>
      </c>
      <c r="Q264" s="68">
        <v>263.69</v>
      </c>
      <c r="S264" s="68">
        <v>32.96</v>
      </c>
      <c r="T264" s="68">
        <v>0.0</v>
      </c>
      <c r="U264" s="68">
        <v>0.0</v>
      </c>
      <c r="V264" s="68">
        <v>0.0</v>
      </c>
      <c r="W264" s="68">
        <v>0.0</v>
      </c>
    </row>
    <row r="265" ht="15.75" customHeight="1">
      <c r="A265" s="107" t="s">
        <v>50</v>
      </c>
      <c r="B265" s="68" t="s">
        <v>779</v>
      </c>
      <c r="C265" s="68" t="s">
        <v>915</v>
      </c>
      <c r="D265" s="68" t="s">
        <v>781</v>
      </c>
      <c r="E265" s="68" t="s">
        <v>459</v>
      </c>
      <c r="F265" s="68" t="s">
        <v>774</v>
      </c>
      <c r="G265" s="68" t="s">
        <v>783</v>
      </c>
      <c r="H265" s="181">
        <v>45356.0</v>
      </c>
      <c r="J265" s="68" t="s">
        <v>205</v>
      </c>
      <c r="K265" s="68">
        <v>800.0</v>
      </c>
      <c r="L265" s="68" t="s">
        <v>776</v>
      </c>
      <c r="M265" s="68" t="s">
        <v>8</v>
      </c>
      <c r="N265" s="68">
        <v>125926.0</v>
      </c>
      <c r="O265" s="68">
        <v>162.0</v>
      </c>
      <c r="P265" s="68">
        <v>0.0013</v>
      </c>
      <c r="Q265" s="68">
        <v>7289.97</v>
      </c>
      <c r="S265" s="68">
        <v>45.0</v>
      </c>
      <c r="T265" s="68">
        <v>0.0</v>
      </c>
      <c r="U265" s="68">
        <v>0.0</v>
      </c>
      <c r="V265" s="68">
        <v>0.0</v>
      </c>
      <c r="W265" s="68">
        <v>0.0</v>
      </c>
    </row>
    <row r="266" ht="15.75" customHeight="1">
      <c r="A266" s="107" t="s">
        <v>50</v>
      </c>
      <c r="B266" s="68" t="s">
        <v>779</v>
      </c>
      <c r="C266" s="68" t="s">
        <v>920</v>
      </c>
      <c r="D266" s="68" t="s">
        <v>781</v>
      </c>
      <c r="E266" s="68" t="s">
        <v>459</v>
      </c>
      <c r="F266" s="68" t="s">
        <v>774</v>
      </c>
      <c r="G266" s="68" t="s">
        <v>783</v>
      </c>
      <c r="H266" s="181">
        <v>45362.0</v>
      </c>
      <c r="J266" s="68" t="s">
        <v>205</v>
      </c>
      <c r="K266" s="68">
        <v>300.0</v>
      </c>
      <c r="L266" s="27">
        <v>0.110647566390215</v>
      </c>
      <c r="M266" s="68" t="s">
        <v>8</v>
      </c>
      <c r="N266" s="68">
        <v>27465.0</v>
      </c>
      <c r="O266" s="68">
        <v>110.0</v>
      </c>
      <c r="P266" s="68">
        <v>0.004</v>
      </c>
      <c r="Q266" s="68">
        <v>4516.06</v>
      </c>
      <c r="S266" s="68">
        <v>41.06</v>
      </c>
      <c r="T266" s="68">
        <v>0.0</v>
      </c>
      <c r="U266" s="68">
        <v>0.0</v>
      </c>
      <c r="V266" s="68">
        <v>0.0</v>
      </c>
      <c r="W266" s="68">
        <v>0.0</v>
      </c>
    </row>
    <row r="267" ht="15.75" customHeight="1">
      <c r="A267" s="107" t="s">
        <v>50</v>
      </c>
      <c r="B267" s="68" t="s">
        <v>779</v>
      </c>
      <c r="C267" s="68" t="s">
        <v>933</v>
      </c>
      <c r="D267" s="68" t="s">
        <v>781</v>
      </c>
      <c r="E267" s="68" t="s">
        <v>459</v>
      </c>
      <c r="F267" s="68" t="s">
        <v>774</v>
      </c>
      <c r="G267" s="68" t="s">
        <v>783</v>
      </c>
      <c r="H267" s="181">
        <v>45365.0</v>
      </c>
      <c r="J267" s="33" t="s">
        <v>230</v>
      </c>
      <c r="K267" s="68">
        <v>300.0</v>
      </c>
      <c r="L267" s="68" t="s">
        <v>776</v>
      </c>
      <c r="M267" s="68" t="s">
        <v>8</v>
      </c>
      <c r="N267" s="68">
        <v>8426.0</v>
      </c>
      <c r="O267" s="68">
        <v>10.0</v>
      </c>
      <c r="P267" s="68">
        <v>0.0012</v>
      </c>
      <c r="Q267" s="28">
        <v>765.31</v>
      </c>
      <c r="R267" s="28"/>
      <c r="S267" s="68">
        <v>76.53</v>
      </c>
      <c r="T267" s="68">
        <v>0.0</v>
      </c>
      <c r="U267" s="68">
        <v>0.0</v>
      </c>
      <c r="V267" s="68">
        <v>0.0</v>
      </c>
      <c r="W267" s="68">
        <v>0.0</v>
      </c>
    </row>
    <row r="268" ht="15.75" customHeight="1">
      <c r="A268" s="107" t="s">
        <v>50</v>
      </c>
      <c r="B268" s="68" t="s">
        <v>779</v>
      </c>
      <c r="C268" s="68" t="s">
        <v>934</v>
      </c>
      <c r="D268" s="68" t="s">
        <v>781</v>
      </c>
      <c r="E268" s="68" t="s">
        <v>459</v>
      </c>
      <c r="F268" s="68" t="s">
        <v>774</v>
      </c>
      <c r="G268" s="68" t="s">
        <v>775</v>
      </c>
      <c r="H268" s="181">
        <v>45392.0</v>
      </c>
      <c r="J268" s="33" t="s">
        <v>230</v>
      </c>
      <c r="K268" s="68">
        <v>1000.0</v>
      </c>
      <c r="L268" s="68" t="s">
        <v>776</v>
      </c>
      <c r="M268" s="68" t="s">
        <v>8</v>
      </c>
      <c r="N268" s="68">
        <v>24413.0</v>
      </c>
      <c r="O268" s="68">
        <v>36.0</v>
      </c>
      <c r="P268" s="68">
        <v>0.0015</v>
      </c>
      <c r="Q268" s="28">
        <v>1012.15</v>
      </c>
      <c r="R268" s="28"/>
      <c r="S268" s="68">
        <v>28.12</v>
      </c>
      <c r="T268" s="68">
        <v>0.0</v>
      </c>
      <c r="U268" s="68">
        <v>0.0</v>
      </c>
      <c r="V268" s="68">
        <v>0.0</v>
      </c>
      <c r="W268" s="68">
        <v>0.0</v>
      </c>
    </row>
    <row r="269" ht="15.75" customHeight="1">
      <c r="A269" s="107" t="s">
        <v>50</v>
      </c>
      <c r="B269" s="68" t="s">
        <v>779</v>
      </c>
      <c r="C269" s="68" t="s">
        <v>935</v>
      </c>
      <c r="D269" s="68" t="s">
        <v>781</v>
      </c>
      <c r="E269" s="68" t="s">
        <v>459</v>
      </c>
      <c r="F269" s="68" t="s">
        <v>774</v>
      </c>
      <c r="G269" s="68" t="s">
        <v>783</v>
      </c>
      <c r="H269" s="181">
        <v>45392.0</v>
      </c>
      <c r="J269" s="68" t="s">
        <v>205</v>
      </c>
      <c r="K269" s="68">
        <v>500.0</v>
      </c>
      <c r="L269" s="68" t="s">
        <v>776</v>
      </c>
      <c r="M269" s="68" t="s">
        <v>8</v>
      </c>
      <c r="N269" s="68">
        <v>5871.0</v>
      </c>
      <c r="O269" s="68">
        <v>13.0</v>
      </c>
      <c r="P269" s="68">
        <v>0.0022</v>
      </c>
      <c r="Q269" s="68">
        <v>316.18</v>
      </c>
      <c r="S269" s="68">
        <v>24.32</v>
      </c>
      <c r="T269" s="68">
        <v>0.0</v>
      </c>
      <c r="U269" s="68">
        <v>0.0</v>
      </c>
      <c r="V269" s="68">
        <v>0.0</v>
      </c>
      <c r="W269" s="68">
        <v>0.0</v>
      </c>
    </row>
    <row r="270" ht="15.75" customHeight="1">
      <c r="A270" s="107" t="s">
        <v>50</v>
      </c>
      <c r="B270" s="68" t="s">
        <v>779</v>
      </c>
      <c r="C270" s="68" t="s">
        <v>936</v>
      </c>
      <c r="D270" s="68" t="s">
        <v>781</v>
      </c>
      <c r="E270" s="68" t="s">
        <v>459</v>
      </c>
      <c r="F270" s="68" t="s">
        <v>774</v>
      </c>
      <c r="G270" s="68" t="s">
        <v>775</v>
      </c>
      <c r="H270" s="181">
        <v>45392.0</v>
      </c>
      <c r="J270" s="33" t="s">
        <v>230</v>
      </c>
      <c r="K270" s="68">
        <v>1000.0</v>
      </c>
      <c r="L270" s="27">
        <v>0.0769790454016298</v>
      </c>
      <c r="M270" s="68" t="s">
        <v>8</v>
      </c>
      <c r="N270" s="68">
        <v>25445.0</v>
      </c>
      <c r="O270" s="68">
        <v>54.0</v>
      </c>
      <c r="P270" s="68">
        <v>0.0021</v>
      </c>
      <c r="Q270" s="28">
        <v>3161.93</v>
      </c>
      <c r="R270" s="28"/>
      <c r="S270" s="68">
        <v>58.55</v>
      </c>
      <c r="T270" s="68">
        <v>0.0</v>
      </c>
      <c r="U270" s="68">
        <v>0.0</v>
      </c>
      <c r="V270" s="68">
        <v>0.0</v>
      </c>
      <c r="W270" s="68">
        <v>0.0</v>
      </c>
    </row>
    <row r="271" ht="15.75" customHeight="1">
      <c r="A271" s="107" t="s">
        <v>50</v>
      </c>
      <c r="B271" s="68" t="s">
        <v>771</v>
      </c>
      <c r="C271" s="68" t="s">
        <v>937</v>
      </c>
      <c r="D271" s="68" t="s">
        <v>773</v>
      </c>
      <c r="E271" s="68" t="s">
        <v>459</v>
      </c>
      <c r="F271" s="68" t="s">
        <v>774</v>
      </c>
      <c r="G271" s="68" t="s">
        <v>783</v>
      </c>
      <c r="H271" s="181">
        <v>45405.0</v>
      </c>
      <c r="J271" s="68" t="s">
        <v>128</v>
      </c>
      <c r="K271" s="68">
        <v>1000.0</v>
      </c>
      <c r="L271" s="27">
        <v>0.105129039253957</v>
      </c>
      <c r="M271" s="68" t="s">
        <v>8</v>
      </c>
      <c r="N271" s="68">
        <v>9558.0</v>
      </c>
      <c r="O271" s="68">
        <v>98.0</v>
      </c>
      <c r="P271" s="68">
        <v>0.0103</v>
      </c>
      <c r="Q271" s="68">
        <v>7002.93</v>
      </c>
      <c r="S271" s="68">
        <v>71.46</v>
      </c>
      <c r="T271" s="68">
        <v>0.0</v>
      </c>
      <c r="U271" s="68">
        <v>0.0</v>
      </c>
      <c r="V271" s="68">
        <v>0.0</v>
      </c>
      <c r="W271" s="68">
        <v>0.0</v>
      </c>
    </row>
    <row r="272" ht="15.75" customHeight="1">
      <c r="A272" s="107" t="s">
        <v>50</v>
      </c>
      <c r="B272" s="68" t="s">
        <v>771</v>
      </c>
      <c r="C272" s="68" t="s">
        <v>938</v>
      </c>
      <c r="D272" s="68" t="s">
        <v>773</v>
      </c>
      <c r="E272" s="68" t="s">
        <v>459</v>
      </c>
      <c r="F272" s="68" t="s">
        <v>774</v>
      </c>
      <c r="G272" s="68" t="s">
        <v>783</v>
      </c>
      <c r="H272" s="181">
        <v>45405.0</v>
      </c>
      <c r="J272" s="68" t="s">
        <v>128</v>
      </c>
      <c r="K272" s="68">
        <v>1000.0</v>
      </c>
      <c r="L272" s="27">
        <v>0.397959183673469</v>
      </c>
      <c r="M272" s="68" t="s">
        <v>8</v>
      </c>
      <c r="N272" s="68">
        <v>131.0</v>
      </c>
      <c r="O272" s="68">
        <v>8.0</v>
      </c>
      <c r="P272" s="68">
        <v>0.0611</v>
      </c>
      <c r="Q272" s="68">
        <v>233.28</v>
      </c>
      <c r="S272" s="68">
        <v>29.16</v>
      </c>
      <c r="T272" s="68">
        <v>0.0</v>
      </c>
      <c r="U272" s="68">
        <v>0.0</v>
      </c>
      <c r="V272" s="68">
        <v>0.0</v>
      </c>
      <c r="W272" s="68">
        <v>0.0</v>
      </c>
    </row>
    <row r="273" ht="15.75" customHeight="1">
      <c r="A273" s="107" t="s">
        <v>50</v>
      </c>
      <c r="B273" s="68" t="s">
        <v>779</v>
      </c>
      <c r="C273" s="68" t="s">
        <v>832</v>
      </c>
      <c r="D273" s="68" t="s">
        <v>781</v>
      </c>
      <c r="E273" s="68" t="s">
        <v>463</v>
      </c>
      <c r="F273" s="68" t="s">
        <v>774</v>
      </c>
      <c r="H273" s="181">
        <v>45280.0</v>
      </c>
      <c r="J273" s="68" t="s">
        <v>134</v>
      </c>
      <c r="K273" s="68">
        <v>500.0</v>
      </c>
      <c r="M273" s="68" t="s">
        <v>8</v>
      </c>
      <c r="N273" s="68">
        <v>89689.0</v>
      </c>
      <c r="O273" s="68">
        <v>252.0</v>
      </c>
      <c r="P273" s="68">
        <v>0.0028</v>
      </c>
      <c r="Q273" s="68">
        <v>4896.65</v>
      </c>
      <c r="S273" s="68">
        <v>19.43</v>
      </c>
      <c r="T273" s="68">
        <v>0.0</v>
      </c>
      <c r="U273" s="68">
        <v>0.0</v>
      </c>
      <c r="V273" s="68">
        <v>0.0</v>
      </c>
      <c r="W273" s="68">
        <v>0.0</v>
      </c>
    </row>
    <row r="274" ht="15.75" customHeight="1">
      <c r="A274" s="107" t="s">
        <v>50</v>
      </c>
      <c r="B274" s="68" t="s">
        <v>779</v>
      </c>
      <c r="C274" s="68" t="s">
        <v>887</v>
      </c>
      <c r="D274" s="68" t="s">
        <v>781</v>
      </c>
      <c r="E274" s="68" t="s">
        <v>463</v>
      </c>
      <c r="F274" s="68" t="s">
        <v>774</v>
      </c>
      <c r="H274" s="181">
        <v>45342.0</v>
      </c>
      <c r="J274" s="68" t="s">
        <v>152</v>
      </c>
      <c r="K274" s="68">
        <v>1000.0</v>
      </c>
      <c r="M274" s="68" t="s">
        <v>8</v>
      </c>
      <c r="N274" s="68">
        <v>58274.0</v>
      </c>
      <c r="O274" s="68">
        <v>218.0</v>
      </c>
      <c r="P274" s="68">
        <v>0.0037</v>
      </c>
      <c r="Q274" s="68">
        <v>5773.89</v>
      </c>
      <c r="S274" s="68">
        <v>26.49</v>
      </c>
      <c r="T274" s="68">
        <v>0.0</v>
      </c>
      <c r="U274" s="68">
        <v>0.0</v>
      </c>
      <c r="V274" s="68">
        <v>0.0</v>
      </c>
      <c r="W274" s="68">
        <v>0.0</v>
      </c>
    </row>
    <row r="275" ht="15.75" customHeight="1">
      <c r="A275" s="107" t="s">
        <v>50</v>
      </c>
      <c r="B275" s="68" t="s">
        <v>779</v>
      </c>
      <c r="C275" s="68" t="s">
        <v>928</v>
      </c>
      <c r="D275" s="68" t="s">
        <v>781</v>
      </c>
      <c r="E275" s="68" t="s">
        <v>463</v>
      </c>
      <c r="F275" s="68" t="s">
        <v>774</v>
      </c>
      <c r="H275" s="181">
        <v>45352.0</v>
      </c>
      <c r="J275" s="68" t="s">
        <v>182</v>
      </c>
      <c r="K275" s="68">
        <v>1000.0</v>
      </c>
      <c r="M275" s="68" t="s">
        <v>8</v>
      </c>
      <c r="N275" s="68">
        <v>14715.0</v>
      </c>
      <c r="O275" s="68">
        <v>55.0</v>
      </c>
      <c r="P275" s="68">
        <v>0.0037</v>
      </c>
      <c r="Q275" s="68">
        <v>622.1</v>
      </c>
      <c r="S275" s="68">
        <v>11.31</v>
      </c>
      <c r="T275" s="68">
        <v>0.0</v>
      </c>
      <c r="U275" s="68">
        <v>0.0</v>
      </c>
      <c r="V275" s="68">
        <v>0.0</v>
      </c>
      <c r="W275" s="68">
        <v>0.0</v>
      </c>
    </row>
    <row r="276" ht="15.75" customHeight="1">
      <c r="A276" s="107" t="s">
        <v>50</v>
      </c>
      <c r="B276" s="68" t="s">
        <v>779</v>
      </c>
      <c r="C276" s="68" t="s">
        <v>888</v>
      </c>
      <c r="D276" s="68" t="s">
        <v>781</v>
      </c>
      <c r="E276" s="68" t="s">
        <v>463</v>
      </c>
      <c r="F276" s="68" t="s">
        <v>774</v>
      </c>
      <c r="H276" s="181">
        <v>45351.0</v>
      </c>
      <c r="J276" s="68" t="s">
        <v>152</v>
      </c>
      <c r="K276" s="68">
        <v>1000.0</v>
      </c>
      <c r="M276" s="68" t="s">
        <v>8</v>
      </c>
      <c r="N276" s="68">
        <v>58886.0</v>
      </c>
      <c r="O276" s="68">
        <v>228.0</v>
      </c>
      <c r="P276" s="68">
        <v>0.0039</v>
      </c>
      <c r="Q276" s="68">
        <v>3661.9</v>
      </c>
      <c r="S276" s="68">
        <v>16.06</v>
      </c>
      <c r="T276" s="68">
        <v>0.0</v>
      </c>
      <c r="U276" s="68">
        <v>0.0</v>
      </c>
      <c r="V276" s="68">
        <v>0.0</v>
      </c>
      <c r="W276" s="68">
        <v>0.0</v>
      </c>
    </row>
    <row r="277" ht="15.75" customHeight="1">
      <c r="A277" s="107" t="s">
        <v>50</v>
      </c>
      <c r="B277" s="68" t="s">
        <v>779</v>
      </c>
      <c r="C277" s="68" t="s">
        <v>939</v>
      </c>
      <c r="D277" s="68" t="s">
        <v>781</v>
      </c>
      <c r="E277" s="68" t="s">
        <v>463</v>
      </c>
      <c r="F277" s="68" t="s">
        <v>774</v>
      </c>
      <c r="H277" s="181">
        <v>45392.0</v>
      </c>
      <c r="J277" s="68" t="s">
        <v>205</v>
      </c>
      <c r="K277" s="68">
        <v>500.0</v>
      </c>
      <c r="M277" s="68" t="s">
        <v>8</v>
      </c>
      <c r="N277" s="68">
        <v>164408.0</v>
      </c>
      <c r="O277" s="68">
        <v>536.0</v>
      </c>
      <c r="P277" s="68">
        <v>0.0033</v>
      </c>
      <c r="Q277" s="68">
        <v>10530.22</v>
      </c>
      <c r="S277" s="68">
        <v>19.65</v>
      </c>
      <c r="T277" s="68">
        <v>0.0</v>
      </c>
      <c r="U277" s="68">
        <v>0.0</v>
      </c>
      <c r="V277" s="68">
        <v>0.0</v>
      </c>
      <c r="W277" s="68">
        <v>0.0</v>
      </c>
    </row>
    <row r="278" ht="15.75" customHeight="1">
      <c r="A278" s="107" t="s">
        <v>50</v>
      </c>
      <c r="B278" s="68" t="s">
        <v>779</v>
      </c>
      <c r="C278" s="68" t="s">
        <v>940</v>
      </c>
      <c r="D278" s="68" t="s">
        <v>781</v>
      </c>
      <c r="E278" s="68" t="s">
        <v>463</v>
      </c>
      <c r="F278" s="68" t="s">
        <v>774</v>
      </c>
      <c r="H278" s="181">
        <v>45392.0</v>
      </c>
      <c r="J278" s="68" t="s">
        <v>205</v>
      </c>
      <c r="K278" s="68">
        <v>500.0</v>
      </c>
      <c r="M278" s="68" t="s">
        <v>8</v>
      </c>
      <c r="N278" s="68">
        <v>386963.0</v>
      </c>
      <c r="O278" s="68">
        <v>1150.0</v>
      </c>
      <c r="P278" s="68">
        <v>0.003</v>
      </c>
      <c r="Q278" s="68">
        <v>6381.31</v>
      </c>
      <c r="S278" s="68">
        <v>5.55</v>
      </c>
      <c r="T278" s="68">
        <v>0.0</v>
      </c>
      <c r="U278" s="68">
        <v>0.0</v>
      </c>
      <c r="V278" s="68">
        <v>0.0</v>
      </c>
      <c r="W278" s="68">
        <v>0.0</v>
      </c>
    </row>
    <row r="279" ht="15.75" customHeight="1">
      <c r="A279" s="107" t="s">
        <v>50</v>
      </c>
      <c r="B279" s="68" t="s">
        <v>779</v>
      </c>
      <c r="C279" s="68" t="s">
        <v>941</v>
      </c>
      <c r="D279" s="68" t="s">
        <v>781</v>
      </c>
      <c r="E279" s="68" t="s">
        <v>463</v>
      </c>
      <c r="F279" s="68" t="s">
        <v>774</v>
      </c>
      <c r="H279" s="181">
        <v>45392.0</v>
      </c>
      <c r="J279" s="33" t="s">
        <v>230</v>
      </c>
      <c r="K279" s="68">
        <v>1000.0</v>
      </c>
      <c r="M279" s="68" t="s">
        <v>8</v>
      </c>
      <c r="N279" s="68">
        <v>187402.0</v>
      </c>
      <c r="O279" s="68">
        <v>729.0</v>
      </c>
      <c r="P279" s="68">
        <v>0.0039</v>
      </c>
      <c r="Q279" s="28">
        <v>5446.54</v>
      </c>
      <c r="R279" s="28"/>
      <c r="S279" s="68">
        <v>7.47</v>
      </c>
      <c r="T279" s="68">
        <v>0.0</v>
      </c>
      <c r="U279" s="68">
        <v>0.0</v>
      </c>
      <c r="V279" s="68">
        <v>0.0</v>
      </c>
      <c r="W279" s="68">
        <v>0.0</v>
      </c>
    </row>
    <row r="280" ht="15.75" customHeight="1">
      <c r="A280" s="107" t="s">
        <v>50</v>
      </c>
      <c r="B280" s="68" t="s">
        <v>779</v>
      </c>
      <c r="C280" s="68" t="s">
        <v>942</v>
      </c>
      <c r="D280" s="68" t="s">
        <v>781</v>
      </c>
      <c r="E280" s="68" t="s">
        <v>463</v>
      </c>
      <c r="F280" s="68" t="s">
        <v>774</v>
      </c>
      <c r="H280" s="181">
        <v>45392.0</v>
      </c>
      <c r="J280" s="33" t="s">
        <v>230</v>
      </c>
      <c r="K280" s="68">
        <v>1000.0</v>
      </c>
      <c r="M280" s="68" t="s">
        <v>8</v>
      </c>
      <c r="N280" s="68">
        <v>149838.0</v>
      </c>
      <c r="O280" s="68">
        <v>436.0</v>
      </c>
      <c r="P280" s="68">
        <v>0.0029</v>
      </c>
      <c r="Q280" s="28">
        <v>1922.24</v>
      </c>
      <c r="R280" s="28"/>
      <c r="S280" s="68">
        <v>4.41</v>
      </c>
      <c r="T280" s="68">
        <v>0.0</v>
      </c>
      <c r="U280" s="68">
        <v>0.0</v>
      </c>
      <c r="V280" s="68">
        <v>0.0</v>
      </c>
      <c r="W280" s="68">
        <v>0.0</v>
      </c>
    </row>
    <row r="281" ht="15.75" customHeight="1">
      <c r="A281" s="107" t="s">
        <v>50</v>
      </c>
      <c r="B281" s="68" t="s">
        <v>779</v>
      </c>
      <c r="C281" s="68" t="s">
        <v>943</v>
      </c>
      <c r="D281" s="68" t="s">
        <v>781</v>
      </c>
      <c r="E281" s="68" t="s">
        <v>463</v>
      </c>
      <c r="F281" s="68" t="s">
        <v>774</v>
      </c>
      <c r="H281" s="181">
        <v>45401.0</v>
      </c>
      <c r="J281" s="68" t="s">
        <v>134</v>
      </c>
      <c r="K281" s="68">
        <v>1000.0</v>
      </c>
      <c r="M281" s="68" t="s">
        <v>8</v>
      </c>
      <c r="N281" s="68">
        <v>190462.0</v>
      </c>
      <c r="O281" s="68">
        <v>374.0</v>
      </c>
      <c r="P281" s="68">
        <v>0.002</v>
      </c>
      <c r="Q281" s="68">
        <v>2585.08</v>
      </c>
      <c r="S281" s="68">
        <v>6.91</v>
      </c>
      <c r="T281" s="68">
        <v>0.0</v>
      </c>
      <c r="U281" s="68">
        <v>0.0</v>
      </c>
      <c r="V281" s="68">
        <v>0.0</v>
      </c>
      <c r="W281" s="68">
        <v>0.0</v>
      </c>
    </row>
    <row r="282" ht="15.75" customHeight="1">
      <c r="A282" s="107" t="s">
        <v>50</v>
      </c>
      <c r="B282" s="68" t="s">
        <v>779</v>
      </c>
      <c r="C282" s="68" t="s">
        <v>882</v>
      </c>
      <c r="D282" s="68" t="s">
        <v>781</v>
      </c>
      <c r="E282" s="68" t="s">
        <v>462</v>
      </c>
      <c r="F282" s="68" t="s">
        <v>774</v>
      </c>
      <c r="H282" s="181">
        <v>45338.0</v>
      </c>
      <c r="J282" s="68" t="s">
        <v>134</v>
      </c>
      <c r="K282" s="68">
        <v>1000.0</v>
      </c>
      <c r="L282" s="68" t="s">
        <v>776</v>
      </c>
      <c r="M282" s="68" t="s">
        <v>8</v>
      </c>
      <c r="N282" s="68">
        <v>22798.0</v>
      </c>
      <c r="O282" s="68">
        <v>542.0</v>
      </c>
      <c r="P282" s="68">
        <v>0.0238</v>
      </c>
      <c r="Q282" s="68">
        <v>5390.45</v>
      </c>
      <c r="S282" s="68">
        <v>9.95</v>
      </c>
      <c r="T282" s="68">
        <v>0.0</v>
      </c>
      <c r="U282" s="68">
        <v>0.0</v>
      </c>
      <c r="V282" s="68">
        <v>0.0</v>
      </c>
      <c r="W282" s="68">
        <v>0.0</v>
      </c>
    </row>
    <row r="283" ht="15.75" customHeight="1">
      <c r="A283" s="107" t="s">
        <v>50</v>
      </c>
      <c r="B283" s="68" t="s">
        <v>779</v>
      </c>
      <c r="C283" s="68" t="s">
        <v>879</v>
      </c>
      <c r="D283" s="68" t="s">
        <v>781</v>
      </c>
      <c r="E283" s="68" t="s">
        <v>462</v>
      </c>
      <c r="F283" s="68" t="s">
        <v>774</v>
      </c>
      <c r="H283" s="181">
        <v>45338.0</v>
      </c>
      <c r="J283" s="68" t="s">
        <v>134</v>
      </c>
      <c r="K283" s="68">
        <v>500.0</v>
      </c>
      <c r="L283" s="68" t="s">
        <v>776</v>
      </c>
      <c r="M283" s="68" t="s">
        <v>8</v>
      </c>
      <c r="N283" s="68">
        <v>19453.0</v>
      </c>
      <c r="O283" s="68">
        <v>353.0</v>
      </c>
      <c r="P283" s="68">
        <v>0.0181</v>
      </c>
      <c r="Q283" s="68">
        <v>4546.13</v>
      </c>
      <c r="S283" s="68">
        <v>12.88</v>
      </c>
      <c r="T283" s="68">
        <v>0.0</v>
      </c>
      <c r="U283" s="68">
        <v>0.0</v>
      </c>
      <c r="V283" s="68">
        <v>0.0</v>
      </c>
      <c r="W283" s="68">
        <v>0.0</v>
      </c>
    </row>
    <row r="284" ht="15.75" customHeight="1">
      <c r="A284" s="107" t="s">
        <v>50</v>
      </c>
      <c r="B284" s="68" t="s">
        <v>779</v>
      </c>
      <c r="C284" s="68" t="s">
        <v>918</v>
      </c>
      <c r="D284" s="68" t="s">
        <v>781</v>
      </c>
      <c r="E284" s="68" t="s">
        <v>462</v>
      </c>
      <c r="F284" s="68" t="s">
        <v>774</v>
      </c>
      <c r="H284" s="181">
        <v>45343.0</v>
      </c>
      <c r="J284" s="68" t="s">
        <v>196</v>
      </c>
      <c r="K284" s="68">
        <v>1000.0</v>
      </c>
      <c r="L284" s="27">
        <v>0.174965366793522</v>
      </c>
      <c r="M284" s="68" t="s">
        <v>8</v>
      </c>
      <c r="N284" s="68">
        <v>22573.0</v>
      </c>
      <c r="O284" s="68">
        <v>487.0</v>
      </c>
      <c r="P284" s="68">
        <v>0.0216</v>
      </c>
      <c r="Q284" s="68">
        <v>14728.43</v>
      </c>
      <c r="S284" s="68">
        <v>30.24</v>
      </c>
      <c r="T284" s="68">
        <v>0.0</v>
      </c>
      <c r="U284" s="68">
        <v>0.0</v>
      </c>
      <c r="V284" s="68">
        <v>0.0</v>
      </c>
      <c r="W284" s="68">
        <v>0.0</v>
      </c>
    </row>
    <row r="285" ht="15.75" customHeight="1">
      <c r="A285" s="107" t="s">
        <v>54</v>
      </c>
      <c r="B285" s="68" t="s">
        <v>771</v>
      </c>
      <c r="C285" s="68" t="s">
        <v>789</v>
      </c>
      <c r="D285" s="68" t="s">
        <v>773</v>
      </c>
      <c r="E285" s="68" t="s">
        <v>459</v>
      </c>
      <c r="F285" s="68" t="s">
        <v>774</v>
      </c>
      <c r="G285" s="68" t="s">
        <v>783</v>
      </c>
      <c r="H285" s="181">
        <v>45260.0</v>
      </c>
      <c r="J285" s="68" t="s">
        <v>128</v>
      </c>
      <c r="K285" s="68">
        <v>5000.0</v>
      </c>
      <c r="L285" s="27">
        <v>0.6307046018713</v>
      </c>
      <c r="M285" s="68" t="s">
        <v>8</v>
      </c>
      <c r="N285" s="68">
        <v>452558.0</v>
      </c>
      <c r="O285" s="68">
        <v>1172.0</v>
      </c>
      <c r="P285" s="68">
        <v>0.0026</v>
      </c>
      <c r="Q285" s="68">
        <v>73658.56</v>
      </c>
      <c r="S285" s="68">
        <v>62.85</v>
      </c>
      <c r="T285" s="68">
        <v>42.0</v>
      </c>
      <c r="U285" s="68">
        <v>897444.88</v>
      </c>
      <c r="V285" s="68">
        <v>0.0821</v>
      </c>
      <c r="W285" s="68">
        <v>12.1839</v>
      </c>
    </row>
    <row r="286" ht="15.75" customHeight="1">
      <c r="A286" s="107" t="s">
        <v>54</v>
      </c>
      <c r="B286" s="68" t="s">
        <v>771</v>
      </c>
      <c r="C286" s="68" t="s">
        <v>798</v>
      </c>
      <c r="D286" s="68" t="s">
        <v>773</v>
      </c>
      <c r="E286" s="68" t="s">
        <v>461</v>
      </c>
      <c r="F286" s="68" t="s">
        <v>774</v>
      </c>
      <c r="H286" s="181">
        <v>45260.0</v>
      </c>
      <c r="J286" s="68" t="s">
        <v>128</v>
      </c>
      <c r="K286" s="68">
        <v>1000.0</v>
      </c>
      <c r="L286" s="27">
        <v>0.782620392789884</v>
      </c>
      <c r="M286" s="68" t="s">
        <v>8</v>
      </c>
      <c r="N286" s="68">
        <v>147643.0</v>
      </c>
      <c r="O286" s="68">
        <v>644.0</v>
      </c>
      <c r="P286" s="68">
        <v>0.0044</v>
      </c>
      <c r="Q286" s="68">
        <v>15227.37</v>
      </c>
      <c r="S286" s="68">
        <v>23.64</v>
      </c>
      <c r="T286" s="68">
        <v>12.0</v>
      </c>
      <c r="U286" s="68">
        <v>189531.38</v>
      </c>
      <c r="V286" s="68">
        <v>0.0803</v>
      </c>
      <c r="W286" s="68">
        <v>12.4468</v>
      </c>
    </row>
    <row r="287" ht="15.75" customHeight="1">
      <c r="A287" s="107" t="s">
        <v>54</v>
      </c>
      <c r="B287" s="68" t="s">
        <v>771</v>
      </c>
      <c r="C287" s="68" t="s">
        <v>944</v>
      </c>
      <c r="D287" s="68" t="s">
        <v>773</v>
      </c>
      <c r="E287" s="68" t="s">
        <v>459</v>
      </c>
      <c r="F287" s="68" t="s">
        <v>774</v>
      </c>
      <c r="G287" s="68" t="s">
        <v>775</v>
      </c>
      <c r="H287" s="181">
        <v>45427.0</v>
      </c>
      <c r="J287" s="68" t="s">
        <v>90</v>
      </c>
      <c r="K287" s="68">
        <v>1999.0</v>
      </c>
      <c r="L287" s="68" t="s">
        <v>776</v>
      </c>
      <c r="M287" s="68" t="s">
        <v>8</v>
      </c>
      <c r="N287" s="68">
        <v>55397.0</v>
      </c>
      <c r="O287" s="68">
        <v>85.0</v>
      </c>
      <c r="P287" s="68">
        <v>0.0015</v>
      </c>
      <c r="Q287" s="68">
        <v>2377.8</v>
      </c>
      <c r="S287" s="68">
        <v>27.97</v>
      </c>
      <c r="T287" s="68">
        <v>1.0</v>
      </c>
      <c r="U287" s="68">
        <v>29618.64</v>
      </c>
      <c r="V287" s="68">
        <v>0.0803</v>
      </c>
      <c r="W287" s="68">
        <v>12.4563</v>
      </c>
    </row>
    <row r="288" ht="15.75" customHeight="1">
      <c r="A288" s="107" t="s">
        <v>54</v>
      </c>
      <c r="B288" s="68" t="s">
        <v>771</v>
      </c>
      <c r="C288" s="68" t="s">
        <v>827</v>
      </c>
      <c r="D288" s="68" t="s">
        <v>773</v>
      </c>
      <c r="E288" s="68" t="s">
        <v>459</v>
      </c>
      <c r="F288" s="68" t="s">
        <v>774</v>
      </c>
      <c r="G288" s="68" t="s">
        <v>783</v>
      </c>
      <c r="H288" s="181">
        <v>45309.0</v>
      </c>
      <c r="J288" s="68" t="s">
        <v>128</v>
      </c>
      <c r="K288" s="68">
        <v>4000.0</v>
      </c>
      <c r="L288" s="27">
        <v>0.0844168963092861</v>
      </c>
      <c r="M288" s="68" t="s">
        <v>8</v>
      </c>
      <c r="N288" s="68">
        <v>278668.0</v>
      </c>
      <c r="O288" s="68">
        <v>1202.0</v>
      </c>
      <c r="P288" s="68">
        <v>0.0043</v>
      </c>
      <c r="Q288" s="68">
        <v>50804.87</v>
      </c>
      <c r="S288" s="68">
        <v>42.27</v>
      </c>
      <c r="T288" s="68">
        <v>24.0</v>
      </c>
      <c r="U288" s="68">
        <v>517449.15</v>
      </c>
      <c r="V288" s="68">
        <v>0.0982</v>
      </c>
      <c r="W288" s="68">
        <v>10.185</v>
      </c>
    </row>
    <row r="289" ht="15.75" customHeight="1">
      <c r="A289" s="107" t="s">
        <v>54</v>
      </c>
      <c r="B289" s="68" t="s">
        <v>771</v>
      </c>
      <c r="C289" s="68" t="s">
        <v>937</v>
      </c>
      <c r="D289" s="68" t="s">
        <v>773</v>
      </c>
      <c r="E289" s="68" t="s">
        <v>459</v>
      </c>
      <c r="F289" s="68" t="s">
        <v>774</v>
      </c>
      <c r="G289" s="68" t="s">
        <v>783</v>
      </c>
      <c r="H289" s="181">
        <v>45405.0</v>
      </c>
      <c r="J289" s="68" t="s">
        <v>128</v>
      </c>
      <c r="K289" s="68">
        <v>5000.0</v>
      </c>
      <c r="L289" s="27">
        <v>0.0543573527642681</v>
      </c>
      <c r="M289" s="68" t="s">
        <v>8</v>
      </c>
      <c r="N289" s="68">
        <v>63251.0</v>
      </c>
      <c r="O289" s="68">
        <v>510.0</v>
      </c>
      <c r="P289" s="68">
        <v>0.0081</v>
      </c>
      <c r="Q289" s="68">
        <v>35278.3</v>
      </c>
      <c r="S289" s="68">
        <v>69.17</v>
      </c>
      <c r="T289" s="68">
        <v>13.0</v>
      </c>
      <c r="U289" s="68">
        <v>250720.34</v>
      </c>
      <c r="V289" s="68">
        <v>0.1407</v>
      </c>
      <c r="W289" s="68">
        <v>7.1069</v>
      </c>
    </row>
    <row r="290" ht="15.75" customHeight="1">
      <c r="A290" s="107" t="s">
        <v>54</v>
      </c>
      <c r="B290" s="68" t="s">
        <v>779</v>
      </c>
      <c r="C290" s="68" t="s">
        <v>945</v>
      </c>
      <c r="D290" s="68" t="s">
        <v>781</v>
      </c>
      <c r="E290" s="68" t="s">
        <v>459</v>
      </c>
      <c r="F290" s="68" t="s">
        <v>774</v>
      </c>
      <c r="G290" s="68" t="s">
        <v>783</v>
      </c>
      <c r="H290" s="181">
        <v>45415.0</v>
      </c>
      <c r="J290" s="68" t="s">
        <v>232</v>
      </c>
      <c r="K290" s="68">
        <v>1000.0</v>
      </c>
      <c r="L290" s="68" t="s">
        <v>776</v>
      </c>
      <c r="M290" s="68" t="s">
        <v>8</v>
      </c>
      <c r="N290" s="68">
        <v>44856.0</v>
      </c>
      <c r="O290" s="68">
        <v>160.0</v>
      </c>
      <c r="P290" s="68">
        <v>0.0036</v>
      </c>
      <c r="Q290" s="68">
        <v>6546.19</v>
      </c>
      <c r="S290" s="68">
        <v>40.91</v>
      </c>
      <c r="T290" s="68">
        <v>0.0</v>
      </c>
      <c r="U290" s="68">
        <v>0.0</v>
      </c>
      <c r="V290" s="68">
        <v>0.0</v>
      </c>
      <c r="W290" s="68">
        <v>0.0</v>
      </c>
    </row>
    <row r="291" ht="15.75" customHeight="1">
      <c r="A291" s="107" t="s">
        <v>54</v>
      </c>
      <c r="B291" s="68" t="s">
        <v>771</v>
      </c>
      <c r="C291" s="68" t="s">
        <v>946</v>
      </c>
      <c r="D291" s="68" t="s">
        <v>773</v>
      </c>
      <c r="E291" s="68" t="s">
        <v>459</v>
      </c>
      <c r="F291" s="68" t="s">
        <v>774</v>
      </c>
      <c r="G291" s="68" t="s">
        <v>783</v>
      </c>
      <c r="H291" s="181">
        <v>45427.0</v>
      </c>
      <c r="J291" s="68" t="s">
        <v>232</v>
      </c>
      <c r="K291" s="68">
        <v>1000.0</v>
      </c>
      <c r="L291" s="27">
        <v>0.0982540415704387</v>
      </c>
      <c r="M291" s="68" t="s">
        <v>8</v>
      </c>
      <c r="N291" s="68">
        <v>17987.0</v>
      </c>
      <c r="O291" s="68">
        <v>167.0</v>
      </c>
      <c r="P291" s="68">
        <v>0.0093</v>
      </c>
      <c r="Q291" s="68">
        <v>3711.16</v>
      </c>
      <c r="S291" s="68">
        <v>22.22</v>
      </c>
      <c r="T291" s="68">
        <v>0.0</v>
      </c>
      <c r="U291" s="68">
        <v>0.0</v>
      </c>
      <c r="V291" s="68">
        <v>0.0</v>
      </c>
      <c r="W291" s="68">
        <v>0.0</v>
      </c>
    </row>
    <row r="292" ht="15.75" customHeight="1">
      <c r="A292" s="107" t="s">
        <v>54</v>
      </c>
      <c r="B292" s="68" t="s">
        <v>771</v>
      </c>
      <c r="C292" s="68" t="s">
        <v>923</v>
      </c>
      <c r="D292" s="68" t="s">
        <v>931</v>
      </c>
      <c r="E292" s="68" t="s">
        <v>459</v>
      </c>
      <c r="F292" s="68" t="s">
        <v>774</v>
      </c>
      <c r="G292" s="68" t="s">
        <v>783</v>
      </c>
      <c r="H292" s="181">
        <v>45357.0</v>
      </c>
      <c r="J292" s="68" t="s">
        <v>152</v>
      </c>
      <c r="K292" s="68">
        <v>1000.0</v>
      </c>
      <c r="L292" s="68" t="s">
        <v>776</v>
      </c>
      <c r="M292" s="68" t="s">
        <v>8</v>
      </c>
      <c r="N292" s="68">
        <v>209383.0</v>
      </c>
      <c r="O292" s="68">
        <v>388.0</v>
      </c>
      <c r="P292" s="68">
        <v>0.0019</v>
      </c>
      <c r="Q292" s="68">
        <v>10908.35</v>
      </c>
      <c r="S292" s="68">
        <v>28.11</v>
      </c>
      <c r="T292" s="68">
        <v>7.0</v>
      </c>
      <c r="U292" s="68">
        <v>100506.77</v>
      </c>
      <c r="V292" s="68">
        <v>0.1085</v>
      </c>
      <c r="W292" s="68">
        <v>9.2137</v>
      </c>
    </row>
    <row r="293" ht="15.75" customHeight="1">
      <c r="A293" s="107" t="s">
        <v>54</v>
      </c>
      <c r="B293" s="68" t="s">
        <v>771</v>
      </c>
      <c r="C293" s="68" t="s">
        <v>913</v>
      </c>
      <c r="D293" s="68" t="s">
        <v>773</v>
      </c>
      <c r="E293" s="68" t="s">
        <v>459</v>
      </c>
      <c r="F293" s="68" t="s">
        <v>774</v>
      </c>
      <c r="G293" s="68" t="s">
        <v>783</v>
      </c>
      <c r="H293" s="181">
        <v>45351.0</v>
      </c>
      <c r="J293" s="68" t="s">
        <v>152</v>
      </c>
      <c r="K293" s="68">
        <v>2000.0</v>
      </c>
      <c r="L293" s="27">
        <v>0.281771501925545</v>
      </c>
      <c r="M293" s="68" t="s">
        <v>8</v>
      </c>
      <c r="N293" s="68">
        <v>42803.0</v>
      </c>
      <c r="O293" s="68">
        <v>666.0</v>
      </c>
      <c r="P293" s="68">
        <v>0.0156</v>
      </c>
      <c r="Q293" s="68">
        <v>34022.19</v>
      </c>
      <c r="S293" s="68">
        <v>51.08</v>
      </c>
      <c r="T293" s="68">
        <v>13.0</v>
      </c>
      <c r="U293" s="68">
        <v>171128.8</v>
      </c>
      <c r="V293" s="68">
        <v>0.1988</v>
      </c>
      <c r="W293" s="68">
        <v>5.0299</v>
      </c>
    </row>
    <row r="294" ht="15.75" customHeight="1">
      <c r="A294" s="107" t="s">
        <v>54</v>
      </c>
      <c r="B294" s="68" t="s">
        <v>771</v>
      </c>
      <c r="C294" s="68" t="s">
        <v>906</v>
      </c>
      <c r="D294" s="68" t="s">
        <v>773</v>
      </c>
      <c r="E294" s="68" t="s">
        <v>459</v>
      </c>
      <c r="F294" s="68" t="s">
        <v>774</v>
      </c>
      <c r="G294" s="68" t="s">
        <v>783</v>
      </c>
      <c r="H294" s="181">
        <v>45341.0</v>
      </c>
      <c r="J294" s="68" t="s">
        <v>152</v>
      </c>
      <c r="K294" s="68">
        <v>500.0</v>
      </c>
      <c r="L294" s="68" t="s">
        <v>776</v>
      </c>
      <c r="M294" s="68" t="s">
        <v>8</v>
      </c>
      <c r="N294" s="68">
        <v>32574.0</v>
      </c>
      <c r="O294" s="68">
        <v>201.0</v>
      </c>
      <c r="P294" s="68">
        <v>0.0062</v>
      </c>
      <c r="Q294" s="68">
        <v>6680.7</v>
      </c>
      <c r="S294" s="68">
        <v>33.24</v>
      </c>
      <c r="T294" s="68">
        <v>4.0</v>
      </c>
      <c r="U294" s="68">
        <v>52583.88</v>
      </c>
      <c r="V294" s="68">
        <v>0.127</v>
      </c>
      <c r="W294" s="68">
        <v>7.871</v>
      </c>
    </row>
    <row r="295" ht="15.75" customHeight="1">
      <c r="A295" s="107" t="s">
        <v>54</v>
      </c>
      <c r="B295" s="68" t="s">
        <v>771</v>
      </c>
      <c r="C295" s="68" t="s">
        <v>905</v>
      </c>
      <c r="D295" s="68" t="s">
        <v>773</v>
      </c>
      <c r="E295" s="68" t="s">
        <v>459</v>
      </c>
      <c r="F295" s="68" t="s">
        <v>774</v>
      </c>
      <c r="G295" s="68" t="s">
        <v>783</v>
      </c>
      <c r="H295" s="181">
        <v>45341.0</v>
      </c>
      <c r="J295" s="68" t="s">
        <v>134</v>
      </c>
      <c r="K295" s="68">
        <v>5000.0</v>
      </c>
      <c r="L295" s="27">
        <v>0.234815828192354</v>
      </c>
      <c r="M295" s="68" t="s">
        <v>8</v>
      </c>
      <c r="N295" s="68">
        <v>475288.0</v>
      </c>
      <c r="O295" s="68">
        <v>1999.0</v>
      </c>
      <c r="P295" s="68">
        <v>0.0042</v>
      </c>
      <c r="Q295" s="68">
        <v>135732.62</v>
      </c>
      <c r="S295" s="68">
        <v>67.9</v>
      </c>
      <c r="T295" s="68">
        <v>20.0</v>
      </c>
      <c r="U295" s="68">
        <v>384194.08</v>
      </c>
      <c r="V295" s="68">
        <v>0.3533</v>
      </c>
      <c r="W295" s="68">
        <v>2.8305</v>
      </c>
    </row>
    <row r="296" ht="15.75" customHeight="1">
      <c r="A296" s="107" t="s">
        <v>54</v>
      </c>
      <c r="B296" s="68" t="s">
        <v>771</v>
      </c>
      <c r="C296" s="68" t="s">
        <v>904</v>
      </c>
      <c r="D296" s="68" t="s">
        <v>773</v>
      </c>
      <c r="E296" s="68" t="s">
        <v>459</v>
      </c>
      <c r="F296" s="68" t="s">
        <v>774</v>
      </c>
      <c r="G296" s="68" t="s">
        <v>783</v>
      </c>
      <c r="H296" s="181">
        <v>45301.0</v>
      </c>
      <c r="J296" s="68" t="s">
        <v>134</v>
      </c>
      <c r="K296" s="68">
        <v>7000.0</v>
      </c>
      <c r="L296" s="27">
        <v>0.237134223669584</v>
      </c>
      <c r="M296" s="68" t="s">
        <v>8</v>
      </c>
      <c r="N296" s="68">
        <v>258534.0</v>
      </c>
      <c r="O296" s="68">
        <v>1331.0</v>
      </c>
      <c r="P296" s="68">
        <v>0.0051</v>
      </c>
      <c r="Q296" s="68">
        <v>86725.68</v>
      </c>
      <c r="S296" s="68">
        <v>65.16</v>
      </c>
      <c r="T296" s="68">
        <v>17.0</v>
      </c>
      <c r="U296" s="68">
        <v>348686.42</v>
      </c>
      <c r="V296" s="68">
        <v>0.2487</v>
      </c>
      <c r="W296" s="68">
        <v>4.0206</v>
      </c>
    </row>
    <row r="297" ht="15.75" customHeight="1">
      <c r="A297" s="107" t="s">
        <v>54</v>
      </c>
      <c r="B297" s="68" t="s">
        <v>771</v>
      </c>
      <c r="C297" s="68" t="s">
        <v>902</v>
      </c>
      <c r="D297" s="68" t="s">
        <v>773</v>
      </c>
      <c r="E297" s="68" t="s">
        <v>459</v>
      </c>
      <c r="F297" s="68" t="s">
        <v>774</v>
      </c>
      <c r="G297" s="68" t="s">
        <v>783</v>
      </c>
      <c r="H297" s="181">
        <v>45301.0</v>
      </c>
      <c r="J297" s="68" t="s">
        <v>134</v>
      </c>
      <c r="K297" s="68">
        <v>3000.0</v>
      </c>
      <c r="L297" s="27">
        <v>0.347826086956521</v>
      </c>
      <c r="M297" s="68" t="s">
        <v>8</v>
      </c>
      <c r="N297" s="68">
        <v>32586.0</v>
      </c>
      <c r="O297" s="68">
        <v>72.0</v>
      </c>
      <c r="P297" s="68">
        <v>0.0022</v>
      </c>
      <c r="Q297" s="68">
        <v>3998.03</v>
      </c>
      <c r="S297" s="68">
        <v>55.53</v>
      </c>
      <c r="T297" s="68">
        <v>0.0</v>
      </c>
      <c r="U297" s="68">
        <v>0.0</v>
      </c>
      <c r="V297" s="68">
        <v>0.0</v>
      </c>
      <c r="W297" s="68">
        <v>0.0</v>
      </c>
    </row>
    <row r="298" ht="15.75" customHeight="1">
      <c r="A298" s="107" t="s">
        <v>54</v>
      </c>
      <c r="B298" s="68" t="s">
        <v>771</v>
      </c>
      <c r="C298" s="68" t="s">
        <v>821</v>
      </c>
      <c r="D298" s="68" t="s">
        <v>773</v>
      </c>
      <c r="E298" s="68" t="s">
        <v>459</v>
      </c>
      <c r="F298" s="68" t="s">
        <v>774</v>
      </c>
      <c r="G298" s="68" t="s">
        <v>775</v>
      </c>
      <c r="H298" s="181">
        <v>45280.0</v>
      </c>
      <c r="J298" s="68" t="s">
        <v>134</v>
      </c>
      <c r="K298" s="68">
        <v>1000.0</v>
      </c>
      <c r="L298" s="68" t="s">
        <v>776</v>
      </c>
      <c r="M298" s="68" t="s">
        <v>8</v>
      </c>
      <c r="N298" s="68">
        <v>43936.0</v>
      </c>
      <c r="O298" s="68">
        <v>145.0</v>
      </c>
      <c r="P298" s="68">
        <v>0.0033</v>
      </c>
      <c r="Q298" s="68">
        <v>8697.28</v>
      </c>
      <c r="S298" s="68">
        <v>59.98</v>
      </c>
      <c r="T298" s="68">
        <v>1.0</v>
      </c>
      <c r="U298" s="68">
        <v>20338.98</v>
      </c>
      <c r="V298" s="68">
        <v>0.4276</v>
      </c>
      <c r="W298" s="68">
        <v>2.3385</v>
      </c>
    </row>
    <row r="299" ht="15.75" customHeight="1">
      <c r="A299" s="107" t="s">
        <v>54</v>
      </c>
      <c r="B299" s="68" t="s">
        <v>771</v>
      </c>
      <c r="C299" s="68" t="s">
        <v>834</v>
      </c>
      <c r="D299" s="68" t="s">
        <v>773</v>
      </c>
      <c r="E299" s="68" t="s">
        <v>459</v>
      </c>
      <c r="F299" s="68" t="s">
        <v>774</v>
      </c>
      <c r="G299" s="68" t="s">
        <v>775</v>
      </c>
      <c r="H299" s="181">
        <v>45260.0</v>
      </c>
      <c r="J299" s="68" t="s">
        <v>134</v>
      </c>
      <c r="K299" s="68">
        <v>1200.0</v>
      </c>
      <c r="L299" s="68" t="s">
        <v>776</v>
      </c>
      <c r="M299" s="68" t="s">
        <v>8</v>
      </c>
      <c r="N299" s="68">
        <v>258541.0</v>
      </c>
      <c r="O299" s="68">
        <v>450.0</v>
      </c>
      <c r="P299" s="68">
        <v>0.0017</v>
      </c>
      <c r="Q299" s="68">
        <v>16812.14</v>
      </c>
      <c r="S299" s="68">
        <v>37.36</v>
      </c>
      <c r="T299" s="68">
        <v>5.0</v>
      </c>
      <c r="U299" s="68">
        <v>108728.82</v>
      </c>
      <c r="V299" s="68">
        <v>0.1546</v>
      </c>
      <c r="W299" s="68">
        <v>6.4673</v>
      </c>
    </row>
    <row r="300" ht="15.75" customHeight="1">
      <c r="A300" s="107" t="s">
        <v>54</v>
      </c>
      <c r="B300" s="68" t="s">
        <v>779</v>
      </c>
      <c r="C300" s="68" t="s">
        <v>915</v>
      </c>
      <c r="D300" s="68" t="s">
        <v>781</v>
      </c>
      <c r="E300" s="68" t="s">
        <v>459</v>
      </c>
      <c r="F300" s="68" t="s">
        <v>774</v>
      </c>
      <c r="G300" s="68" t="s">
        <v>783</v>
      </c>
      <c r="H300" s="181">
        <v>45356.0</v>
      </c>
      <c r="J300" s="68" t="s">
        <v>205</v>
      </c>
      <c r="K300" s="68">
        <v>500.0</v>
      </c>
      <c r="L300" s="27">
        <v>0.103835360149672</v>
      </c>
      <c r="M300" s="68" t="s">
        <v>8</v>
      </c>
      <c r="N300" s="68">
        <v>103815.0</v>
      </c>
      <c r="O300" s="68">
        <v>125.0</v>
      </c>
      <c r="P300" s="68">
        <v>0.0012</v>
      </c>
      <c r="Q300" s="68">
        <v>10596.08</v>
      </c>
      <c r="S300" s="68">
        <v>84.77</v>
      </c>
      <c r="T300" s="68">
        <v>1.0</v>
      </c>
      <c r="U300" s="68">
        <v>33898.31</v>
      </c>
      <c r="V300" s="68">
        <v>0.3126</v>
      </c>
      <c r="W300" s="68">
        <v>3.1991</v>
      </c>
    </row>
    <row r="301" ht="15.75" customHeight="1">
      <c r="A301" s="107" t="s">
        <v>54</v>
      </c>
      <c r="B301" s="68" t="s">
        <v>779</v>
      </c>
      <c r="C301" s="68" t="s">
        <v>916</v>
      </c>
      <c r="D301" s="68" t="s">
        <v>781</v>
      </c>
      <c r="E301" s="68" t="s">
        <v>459</v>
      </c>
      <c r="F301" s="68" t="s">
        <v>774</v>
      </c>
      <c r="G301" s="68" t="s">
        <v>783</v>
      </c>
      <c r="H301" s="181">
        <v>45356.0</v>
      </c>
      <c r="J301" s="68" t="s">
        <v>205</v>
      </c>
      <c r="K301" s="68">
        <v>500.0</v>
      </c>
      <c r="L301" s="68" t="s">
        <v>776</v>
      </c>
      <c r="M301" s="68" t="s">
        <v>8</v>
      </c>
      <c r="N301" s="68">
        <v>13797.0</v>
      </c>
      <c r="O301" s="68">
        <v>35.0</v>
      </c>
      <c r="P301" s="68">
        <v>0.0025</v>
      </c>
      <c r="Q301" s="68">
        <v>3536.69</v>
      </c>
      <c r="S301" s="68">
        <v>101.05</v>
      </c>
      <c r="T301" s="68">
        <v>0.0</v>
      </c>
      <c r="U301" s="68">
        <v>0.0</v>
      </c>
      <c r="V301" s="68">
        <v>0.0</v>
      </c>
      <c r="W301" s="68">
        <v>0.0</v>
      </c>
    </row>
    <row r="302" ht="15.75" customHeight="1">
      <c r="A302" s="107" t="s">
        <v>54</v>
      </c>
      <c r="B302" s="68" t="s">
        <v>779</v>
      </c>
      <c r="C302" s="68" t="s">
        <v>921</v>
      </c>
      <c r="D302" s="68" t="s">
        <v>781</v>
      </c>
      <c r="E302" s="68" t="s">
        <v>459</v>
      </c>
      <c r="F302" s="68" t="s">
        <v>774</v>
      </c>
      <c r="G302" s="68" t="s">
        <v>783</v>
      </c>
      <c r="H302" s="181">
        <v>45356.0</v>
      </c>
      <c r="J302" s="68" t="s">
        <v>205</v>
      </c>
      <c r="K302" s="68">
        <v>300.0</v>
      </c>
      <c r="L302" s="27">
        <v>0.236323851203501</v>
      </c>
      <c r="M302" s="68" t="s">
        <v>8</v>
      </c>
      <c r="N302" s="68">
        <v>16879.0</v>
      </c>
      <c r="O302" s="68">
        <v>38.0</v>
      </c>
      <c r="P302" s="68">
        <v>0.0023</v>
      </c>
      <c r="Q302" s="68">
        <v>2550.63</v>
      </c>
      <c r="S302" s="68">
        <v>67.12</v>
      </c>
      <c r="T302" s="68">
        <v>0.0</v>
      </c>
      <c r="U302" s="68">
        <v>0.0</v>
      </c>
      <c r="V302" s="68">
        <v>0.0</v>
      </c>
      <c r="W302" s="68">
        <v>0.0</v>
      </c>
    </row>
    <row r="303" ht="15.75" customHeight="1">
      <c r="A303" s="107" t="s">
        <v>54</v>
      </c>
      <c r="B303" s="68" t="s">
        <v>779</v>
      </c>
      <c r="C303" s="68" t="s">
        <v>922</v>
      </c>
      <c r="D303" s="68" t="s">
        <v>781</v>
      </c>
      <c r="E303" s="68" t="s">
        <v>459</v>
      </c>
      <c r="F303" s="68" t="s">
        <v>774</v>
      </c>
      <c r="G303" s="68" t="s">
        <v>783</v>
      </c>
      <c r="H303" s="181">
        <v>45352.0</v>
      </c>
      <c r="J303" s="68" t="s">
        <v>140</v>
      </c>
      <c r="K303" s="68">
        <v>500.0</v>
      </c>
      <c r="L303" s="27">
        <v>0.0932014044047239</v>
      </c>
      <c r="M303" s="68" t="s">
        <v>8</v>
      </c>
      <c r="N303" s="68">
        <v>61218.0</v>
      </c>
      <c r="O303" s="68">
        <v>141.0</v>
      </c>
      <c r="P303" s="68">
        <v>0.0023</v>
      </c>
      <c r="Q303" s="68">
        <v>9566.91</v>
      </c>
      <c r="S303" s="68">
        <v>67.85</v>
      </c>
      <c r="T303" s="68">
        <v>2.0</v>
      </c>
      <c r="U303" s="68">
        <v>46737.29</v>
      </c>
      <c r="V303" s="68">
        <v>0.2047</v>
      </c>
      <c r="W303" s="68">
        <v>4.8853</v>
      </c>
    </row>
    <row r="304" ht="15.75" customHeight="1">
      <c r="A304" s="107" t="s">
        <v>54</v>
      </c>
      <c r="B304" s="68" t="s">
        <v>779</v>
      </c>
      <c r="C304" s="68" t="s">
        <v>926</v>
      </c>
      <c r="D304" s="68" t="s">
        <v>781</v>
      </c>
      <c r="E304" s="68" t="s">
        <v>459</v>
      </c>
      <c r="F304" s="68" t="s">
        <v>774</v>
      </c>
      <c r="G304" s="68" t="s">
        <v>783</v>
      </c>
      <c r="H304" s="181">
        <v>45352.0</v>
      </c>
      <c r="J304" s="68" t="s">
        <v>140</v>
      </c>
      <c r="K304" s="68">
        <v>500.0</v>
      </c>
      <c r="L304" s="27">
        <v>0.289788408463661</v>
      </c>
      <c r="M304" s="68" t="s">
        <v>8</v>
      </c>
      <c r="N304" s="68">
        <v>8918.0</v>
      </c>
      <c r="O304" s="68">
        <v>43.0</v>
      </c>
      <c r="P304" s="68">
        <v>0.0048</v>
      </c>
      <c r="Q304" s="68">
        <v>1983.47</v>
      </c>
      <c r="S304" s="68">
        <v>46.13</v>
      </c>
      <c r="T304" s="68">
        <v>0.0</v>
      </c>
      <c r="U304" s="68">
        <v>0.0</v>
      </c>
      <c r="V304" s="68">
        <v>0.0</v>
      </c>
      <c r="W304" s="68">
        <v>0.0</v>
      </c>
    </row>
    <row r="305" ht="15.75" customHeight="1">
      <c r="A305" s="107" t="s">
        <v>54</v>
      </c>
      <c r="B305" s="68" t="s">
        <v>771</v>
      </c>
      <c r="C305" s="68" t="s">
        <v>894</v>
      </c>
      <c r="D305" s="68" t="s">
        <v>773</v>
      </c>
      <c r="E305" s="68" t="s">
        <v>459</v>
      </c>
      <c r="F305" s="68" t="s">
        <v>774</v>
      </c>
      <c r="G305" s="68" t="s">
        <v>783</v>
      </c>
      <c r="H305" s="181">
        <v>45301.0</v>
      </c>
      <c r="J305" s="68" t="s">
        <v>90</v>
      </c>
      <c r="K305" s="68">
        <v>1500.0</v>
      </c>
      <c r="L305" s="27">
        <v>0.190590111642743</v>
      </c>
      <c r="M305" s="68" t="s">
        <v>8</v>
      </c>
      <c r="N305" s="68">
        <v>204894.0</v>
      </c>
      <c r="O305" s="68">
        <v>356.0</v>
      </c>
      <c r="P305" s="68">
        <v>0.0017</v>
      </c>
      <c r="Q305" s="68">
        <v>22714.68</v>
      </c>
      <c r="S305" s="68">
        <v>63.81</v>
      </c>
      <c r="T305" s="68">
        <v>3.0</v>
      </c>
      <c r="U305" s="68">
        <v>52287.29</v>
      </c>
      <c r="V305" s="68">
        <v>0.4344</v>
      </c>
      <c r="W305" s="68">
        <v>2.3019</v>
      </c>
    </row>
    <row r="306" ht="15.75" customHeight="1">
      <c r="A306" s="107" t="s">
        <v>54</v>
      </c>
      <c r="B306" s="68" t="s">
        <v>771</v>
      </c>
      <c r="C306" s="68" t="s">
        <v>932</v>
      </c>
      <c r="D306" s="68" t="s">
        <v>773</v>
      </c>
      <c r="E306" s="68" t="s">
        <v>459</v>
      </c>
      <c r="F306" s="68" t="s">
        <v>774</v>
      </c>
      <c r="G306" s="68" t="s">
        <v>783</v>
      </c>
      <c r="H306" s="181">
        <v>45405.0</v>
      </c>
      <c r="J306" s="68" t="s">
        <v>128</v>
      </c>
      <c r="K306" s="68">
        <v>1000.0</v>
      </c>
      <c r="L306" s="27">
        <v>0.142372881355932</v>
      </c>
      <c r="M306" s="68" t="s">
        <v>8</v>
      </c>
      <c r="N306" s="68">
        <v>11893.0</v>
      </c>
      <c r="O306" s="68">
        <v>96.0</v>
      </c>
      <c r="P306" s="68">
        <v>0.0081</v>
      </c>
      <c r="Q306" s="68">
        <v>3773.92</v>
      </c>
      <c r="S306" s="68">
        <v>39.31</v>
      </c>
      <c r="T306" s="68">
        <v>1.0</v>
      </c>
      <c r="U306" s="68">
        <v>27457.63</v>
      </c>
      <c r="V306" s="68">
        <v>0.1374</v>
      </c>
      <c r="W306" s="68">
        <v>7.2756</v>
      </c>
    </row>
    <row r="307" ht="15.75" customHeight="1">
      <c r="A307" s="107" t="s">
        <v>54</v>
      </c>
      <c r="B307" s="68" t="s">
        <v>779</v>
      </c>
      <c r="C307" s="68" t="s">
        <v>919</v>
      </c>
      <c r="D307" s="68" t="s">
        <v>781</v>
      </c>
      <c r="E307" s="68" t="s">
        <v>459</v>
      </c>
      <c r="F307" s="68" t="s">
        <v>774</v>
      </c>
      <c r="G307" s="68" t="s">
        <v>783</v>
      </c>
      <c r="H307" s="181">
        <v>45352.0</v>
      </c>
      <c r="J307" s="68" t="s">
        <v>140</v>
      </c>
      <c r="K307" s="68">
        <v>500.0</v>
      </c>
      <c r="L307" s="68" t="s">
        <v>776</v>
      </c>
      <c r="M307" s="68" t="s">
        <v>8</v>
      </c>
      <c r="N307" s="68">
        <v>8286.0</v>
      </c>
      <c r="O307" s="68">
        <v>143.0</v>
      </c>
      <c r="P307" s="68">
        <v>0.0173</v>
      </c>
      <c r="Q307" s="68">
        <v>3675.4</v>
      </c>
      <c r="S307" s="68">
        <v>25.7</v>
      </c>
      <c r="T307" s="68">
        <v>1.0</v>
      </c>
      <c r="U307" s="68">
        <v>29618.64</v>
      </c>
      <c r="V307" s="68">
        <v>0.1241</v>
      </c>
      <c r="W307" s="68">
        <v>8.0586</v>
      </c>
    </row>
    <row r="308" ht="15.75" customHeight="1">
      <c r="A308" s="107" t="s">
        <v>54</v>
      </c>
      <c r="B308" s="68" t="s">
        <v>771</v>
      </c>
      <c r="C308" s="68" t="s">
        <v>938</v>
      </c>
      <c r="D308" s="68" t="s">
        <v>773</v>
      </c>
      <c r="E308" s="68" t="s">
        <v>459</v>
      </c>
      <c r="F308" s="68" t="s">
        <v>774</v>
      </c>
      <c r="G308" s="68" t="s">
        <v>783</v>
      </c>
      <c r="H308" s="181">
        <v>45405.0</v>
      </c>
      <c r="J308" s="68" t="s">
        <v>128</v>
      </c>
      <c r="K308" s="68">
        <v>1000.0</v>
      </c>
      <c r="L308" s="27">
        <v>0.27024567788899</v>
      </c>
      <c r="M308" s="68" t="s">
        <v>8</v>
      </c>
      <c r="N308" s="68">
        <v>771.0</v>
      </c>
      <c r="O308" s="68">
        <v>35.0</v>
      </c>
      <c r="P308" s="68">
        <v>0.0454</v>
      </c>
      <c r="Q308" s="68">
        <v>1458.03</v>
      </c>
      <c r="S308" s="68">
        <v>41.66</v>
      </c>
      <c r="T308" s="68">
        <v>3.0</v>
      </c>
      <c r="U308" s="68">
        <v>60677.96</v>
      </c>
      <c r="V308" s="68">
        <v>0.024</v>
      </c>
      <c r="W308" s="68">
        <v>41.6164</v>
      </c>
    </row>
    <row r="309" ht="15.75" customHeight="1">
      <c r="A309" s="107" t="s">
        <v>54</v>
      </c>
      <c r="B309" s="68" t="s">
        <v>771</v>
      </c>
      <c r="C309" s="68" t="s">
        <v>947</v>
      </c>
      <c r="D309" s="68" t="s">
        <v>773</v>
      </c>
      <c r="E309" s="68" t="s">
        <v>460</v>
      </c>
      <c r="F309" s="68" t="s">
        <v>778</v>
      </c>
      <c r="G309" s="68" t="s">
        <v>775</v>
      </c>
      <c r="H309" s="181">
        <v>45436.0</v>
      </c>
      <c r="J309" s="68" t="s">
        <v>217</v>
      </c>
      <c r="K309" s="68">
        <v>250.0</v>
      </c>
      <c r="L309" s="68" t="s">
        <v>776</v>
      </c>
      <c r="M309" s="68" t="s">
        <v>8</v>
      </c>
      <c r="N309" s="68">
        <v>32436.0</v>
      </c>
      <c r="O309" s="68">
        <v>97.0</v>
      </c>
      <c r="P309" s="68">
        <v>0.003</v>
      </c>
      <c r="Q309" s="68">
        <v>738.16</v>
      </c>
      <c r="S309" s="68">
        <v>7.61</v>
      </c>
      <c r="T309" s="68">
        <v>1.0</v>
      </c>
      <c r="U309" s="68">
        <v>1693.22</v>
      </c>
      <c r="V309" s="68">
        <v>0.436</v>
      </c>
      <c r="W309" s="68">
        <v>2.2938</v>
      </c>
    </row>
    <row r="310" ht="15.75" customHeight="1">
      <c r="A310" s="107" t="s">
        <v>54</v>
      </c>
      <c r="B310" s="68" t="s">
        <v>771</v>
      </c>
      <c r="C310" s="68" t="s">
        <v>924</v>
      </c>
      <c r="D310" s="68" t="s">
        <v>773</v>
      </c>
      <c r="E310" s="68" t="s">
        <v>460</v>
      </c>
      <c r="F310" s="68" t="s">
        <v>778</v>
      </c>
      <c r="G310" s="68" t="s">
        <v>775</v>
      </c>
      <c r="H310" s="181">
        <v>45356.0</v>
      </c>
      <c r="J310" s="68" t="s">
        <v>211</v>
      </c>
      <c r="K310" s="68">
        <v>300.0</v>
      </c>
      <c r="L310" s="68" t="s">
        <v>776</v>
      </c>
      <c r="M310" s="68" t="s">
        <v>8</v>
      </c>
      <c r="N310" s="68">
        <v>377879.0</v>
      </c>
      <c r="O310" s="68">
        <v>1010.0</v>
      </c>
      <c r="P310" s="68">
        <v>0.0027</v>
      </c>
      <c r="Q310" s="68">
        <v>5457.74</v>
      </c>
      <c r="S310" s="68">
        <v>5.4</v>
      </c>
      <c r="T310" s="68">
        <v>25.0</v>
      </c>
      <c r="U310" s="68">
        <v>157818.63</v>
      </c>
      <c r="V310" s="68">
        <v>0.0346</v>
      </c>
      <c r="W310" s="68">
        <v>28.9165</v>
      </c>
    </row>
    <row r="311" ht="15.75" customHeight="1">
      <c r="A311" s="107" t="s">
        <v>54</v>
      </c>
      <c r="B311" s="68" t="s">
        <v>779</v>
      </c>
      <c r="C311" s="68" t="s">
        <v>948</v>
      </c>
      <c r="D311" s="68" t="s">
        <v>781</v>
      </c>
      <c r="E311" s="68" t="s">
        <v>460</v>
      </c>
      <c r="F311" s="68" t="s">
        <v>778</v>
      </c>
      <c r="G311" s="68" t="s">
        <v>775</v>
      </c>
      <c r="H311" s="181">
        <v>45415.0</v>
      </c>
      <c r="J311" s="68" t="s">
        <v>232</v>
      </c>
      <c r="K311" s="68">
        <v>300.0</v>
      </c>
      <c r="L311" s="68" t="s">
        <v>776</v>
      </c>
      <c r="M311" s="68" t="s">
        <v>8</v>
      </c>
      <c r="N311" s="68">
        <v>82332.0</v>
      </c>
      <c r="O311" s="68">
        <v>127.0</v>
      </c>
      <c r="P311" s="68">
        <v>0.0015</v>
      </c>
      <c r="Q311" s="68">
        <v>2517.78</v>
      </c>
      <c r="S311" s="68">
        <v>19.83</v>
      </c>
      <c r="T311" s="68">
        <v>0.0</v>
      </c>
      <c r="U311" s="68">
        <v>0.0</v>
      </c>
      <c r="V311" s="68">
        <v>0.0</v>
      </c>
      <c r="W311" s="68">
        <v>0.0</v>
      </c>
    </row>
    <row r="312" ht="15.75" customHeight="1">
      <c r="A312" s="107" t="s">
        <v>54</v>
      </c>
      <c r="B312" s="68" t="s">
        <v>779</v>
      </c>
      <c r="C312" s="68" t="s">
        <v>892</v>
      </c>
      <c r="D312" s="68" t="s">
        <v>781</v>
      </c>
      <c r="E312" s="68" t="s">
        <v>459</v>
      </c>
      <c r="F312" s="68" t="s">
        <v>774</v>
      </c>
      <c r="G312" s="68" t="s">
        <v>775</v>
      </c>
      <c r="H312" s="181">
        <v>45301.0</v>
      </c>
      <c r="J312" s="68" t="s">
        <v>170</v>
      </c>
      <c r="K312" s="68">
        <v>300.0</v>
      </c>
      <c r="L312" s="68" t="s">
        <v>776</v>
      </c>
      <c r="M312" s="68" t="s">
        <v>8</v>
      </c>
      <c r="N312" s="68">
        <v>5512.0</v>
      </c>
      <c r="O312" s="68">
        <v>15.0</v>
      </c>
      <c r="P312" s="68">
        <v>0.0027</v>
      </c>
      <c r="Q312" s="68">
        <v>345.71</v>
      </c>
      <c r="S312" s="68">
        <v>23.05</v>
      </c>
      <c r="T312" s="68">
        <v>0.0</v>
      </c>
      <c r="U312" s="68">
        <v>0.0</v>
      </c>
      <c r="V312" s="68">
        <v>0.0</v>
      </c>
      <c r="W312" s="68">
        <v>0.0</v>
      </c>
    </row>
    <row r="313" ht="15.75" customHeight="1">
      <c r="A313" s="107" t="s">
        <v>54</v>
      </c>
      <c r="B313" s="68" t="s">
        <v>771</v>
      </c>
      <c r="C313" s="68" t="s">
        <v>949</v>
      </c>
      <c r="D313" s="68" t="s">
        <v>773</v>
      </c>
      <c r="E313" s="68" t="s">
        <v>463</v>
      </c>
      <c r="F313" s="68" t="s">
        <v>774</v>
      </c>
      <c r="G313" s="68" t="s">
        <v>783</v>
      </c>
      <c r="H313" s="181">
        <v>45401.0</v>
      </c>
      <c r="J313" s="68" t="s">
        <v>134</v>
      </c>
      <c r="K313" s="68">
        <v>1000.0</v>
      </c>
      <c r="M313" s="68" t="s">
        <v>8</v>
      </c>
      <c r="N313" s="68">
        <v>5.0</v>
      </c>
      <c r="O313" s="68">
        <v>0.0</v>
      </c>
      <c r="P313" s="68">
        <v>0.0</v>
      </c>
      <c r="Q313" s="68">
        <v>0.0</v>
      </c>
      <c r="S313" s="68">
        <v>0.0</v>
      </c>
      <c r="T313" s="68">
        <v>0.0</v>
      </c>
      <c r="U313" s="68">
        <v>0.0</v>
      </c>
      <c r="V313" s="68">
        <v>0.0</v>
      </c>
      <c r="W313" s="68">
        <v>0.0</v>
      </c>
    </row>
    <row r="314" ht="15.75" customHeight="1">
      <c r="A314" s="107" t="s">
        <v>54</v>
      </c>
      <c r="B314" s="68" t="s">
        <v>779</v>
      </c>
      <c r="C314" s="68" t="s">
        <v>890</v>
      </c>
      <c r="D314" s="68" t="s">
        <v>781</v>
      </c>
      <c r="E314" s="68" t="s">
        <v>463</v>
      </c>
      <c r="F314" s="68" t="s">
        <v>774</v>
      </c>
      <c r="G314" s="68" t="s">
        <v>783</v>
      </c>
      <c r="H314" s="181">
        <v>45338.0</v>
      </c>
      <c r="J314" s="68" t="s">
        <v>128</v>
      </c>
      <c r="K314" s="68">
        <v>1000.0</v>
      </c>
      <c r="M314" s="68" t="s">
        <v>8</v>
      </c>
      <c r="N314" s="68">
        <v>146689.0</v>
      </c>
      <c r="O314" s="68">
        <v>915.0</v>
      </c>
      <c r="P314" s="68">
        <v>0.0062</v>
      </c>
      <c r="Q314" s="68">
        <v>11640.27</v>
      </c>
      <c r="S314" s="68">
        <v>12.72</v>
      </c>
      <c r="T314" s="68">
        <v>0.0</v>
      </c>
      <c r="U314" s="68">
        <v>0.0</v>
      </c>
      <c r="V314" s="68">
        <v>0.0</v>
      </c>
      <c r="W314" s="68">
        <v>0.0</v>
      </c>
    </row>
    <row r="315" ht="15.75" customHeight="1">
      <c r="A315" s="107" t="s">
        <v>54</v>
      </c>
      <c r="B315" s="68" t="s">
        <v>779</v>
      </c>
      <c r="C315" s="68" t="s">
        <v>950</v>
      </c>
      <c r="D315" s="68" t="s">
        <v>781</v>
      </c>
      <c r="E315" s="68" t="s">
        <v>463</v>
      </c>
      <c r="F315" s="68" t="s">
        <v>774</v>
      </c>
      <c r="G315" s="68" t="s">
        <v>783</v>
      </c>
      <c r="H315" s="181">
        <v>45434.0</v>
      </c>
      <c r="J315" s="68" t="s">
        <v>128</v>
      </c>
      <c r="K315" s="68">
        <v>500.0</v>
      </c>
      <c r="M315" s="68" t="s">
        <v>8</v>
      </c>
      <c r="N315" s="68">
        <v>155502.0</v>
      </c>
      <c r="O315" s="68">
        <v>1189.0</v>
      </c>
      <c r="P315" s="68">
        <v>0.0076</v>
      </c>
      <c r="Q315" s="68">
        <v>9075.81</v>
      </c>
      <c r="S315" s="68">
        <v>7.63</v>
      </c>
      <c r="T315" s="68">
        <v>0.0</v>
      </c>
      <c r="U315" s="68">
        <v>0.0</v>
      </c>
      <c r="V315" s="68">
        <v>0.0</v>
      </c>
      <c r="W315" s="68">
        <v>0.0</v>
      </c>
    </row>
    <row r="316" ht="15.75" customHeight="1">
      <c r="A316" s="107" t="s">
        <v>54</v>
      </c>
      <c r="B316" s="68" t="s">
        <v>771</v>
      </c>
      <c r="C316" s="68" t="s">
        <v>862</v>
      </c>
      <c r="D316" s="68" t="s">
        <v>773</v>
      </c>
      <c r="E316" s="68" t="s">
        <v>463</v>
      </c>
      <c r="F316" s="68" t="s">
        <v>774</v>
      </c>
      <c r="G316" s="68" t="s">
        <v>783</v>
      </c>
      <c r="H316" s="181">
        <v>45309.0</v>
      </c>
      <c r="J316" s="68" t="s">
        <v>128</v>
      </c>
      <c r="K316" s="68">
        <v>2000.0</v>
      </c>
      <c r="M316" s="68" t="s">
        <v>8</v>
      </c>
      <c r="N316" s="68">
        <v>155441.0</v>
      </c>
      <c r="O316" s="68">
        <v>665.0</v>
      </c>
      <c r="P316" s="68">
        <v>0.0043</v>
      </c>
      <c r="Q316" s="68">
        <v>25835.36</v>
      </c>
      <c r="S316" s="68">
        <v>38.85</v>
      </c>
      <c r="T316" s="68">
        <v>24.0</v>
      </c>
      <c r="U316" s="68">
        <v>484100.03</v>
      </c>
      <c r="V316" s="68">
        <v>0.0534</v>
      </c>
      <c r="W316" s="68">
        <v>18.7379</v>
      </c>
    </row>
    <row r="317" ht="15.75" customHeight="1">
      <c r="A317" s="107" t="s">
        <v>54</v>
      </c>
      <c r="B317" s="68" t="s">
        <v>779</v>
      </c>
      <c r="C317" s="68" t="s">
        <v>940</v>
      </c>
      <c r="D317" s="68" t="s">
        <v>781</v>
      </c>
      <c r="E317" s="68" t="s">
        <v>463</v>
      </c>
      <c r="F317" s="68" t="s">
        <v>774</v>
      </c>
      <c r="G317" s="68" t="s">
        <v>783</v>
      </c>
      <c r="H317" s="181">
        <v>45392.0</v>
      </c>
      <c r="J317" s="68" t="s">
        <v>205</v>
      </c>
      <c r="K317" s="68">
        <v>1300.0</v>
      </c>
      <c r="M317" s="68" t="s">
        <v>8</v>
      </c>
      <c r="N317" s="68">
        <v>856753.0</v>
      </c>
      <c r="O317" s="68">
        <v>817.0</v>
      </c>
      <c r="P317" s="68">
        <v>0.001</v>
      </c>
      <c r="Q317" s="68">
        <v>7833.22</v>
      </c>
      <c r="S317" s="68">
        <v>9.59</v>
      </c>
      <c r="T317" s="68">
        <v>0.0</v>
      </c>
      <c r="U317" s="68">
        <v>0.0</v>
      </c>
      <c r="V317" s="68">
        <v>0.0</v>
      </c>
      <c r="W317" s="68">
        <v>0.0</v>
      </c>
    </row>
    <row r="318" ht="15.75" customHeight="1">
      <c r="A318" s="107" t="s">
        <v>54</v>
      </c>
      <c r="B318" s="68" t="s">
        <v>771</v>
      </c>
      <c r="C318" s="68" t="s">
        <v>914</v>
      </c>
      <c r="D318" s="68" t="s">
        <v>773</v>
      </c>
      <c r="E318" s="68" t="s">
        <v>463</v>
      </c>
      <c r="F318" s="68" t="s">
        <v>774</v>
      </c>
      <c r="G318" s="68" t="s">
        <v>783</v>
      </c>
      <c r="H318" s="181">
        <v>45355.0</v>
      </c>
      <c r="J318" s="68" t="s">
        <v>90</v>
      </c>
      <c r="K318" s="68">
        <v>1000.0</v>
      </c>
      <c r="M318" s="68" t="s">
        <v>8</v>
      </c>
      <c r="N318" s="68">
        <v>347385.0</v>
      </c>
      <c r="O318" s="68">
        <v>1151.0</v>
      </c>
      <c r="P318" s="68">
        <v>0.0033</v>
      </c>
      <c r="Q318" s="68">
        <v>24107.12</v>
      </c>
      <c r="S318" s="68">
        <v>20.94</v>
      </c>
      <c r="T318" s="68">
        <v>16.0</v>
      </c>
      <c r="U318" s="68">
        <v>305249.16</v>
      </c>
      <c r="V318" s="68">
        <v>0.079</v>
      </c>
      <c r="W318" s="68">
        <v>12.6622</v>
      </c>
    </row>
    <row r="319" ht="15.75" customHeight="1">
      <c r="A319" s="107" t="s">
        <v>54</v>
      </c>
      <c r="B319" s="68" t="s">
        <v>779</v>
      </c>
      <c r="C319" s="68" t="s">
        <v>927</v>
      </c>
      <c r="D319" s="68" t="s">
        <v>781</v>
      </c>
      <c r="E319" s="68" t="s">
        <v>463</v>
      </c>
      <c r="F319" s="68" t="s">
        <v>774</v>
      </c>
      <c r="G319" s="68" t="s">
        <v>783</v>
      </c>
      <c r="H319" s="181">
        <v>45358.0</v>
      </c>
      <c r="J319" s="68" t="s">
        <v>170</v>
      </c>
      <c r="K319" s="68">
        <v>1000.0</v>
      </c>
      <c r="M319" s="68" t="s">
        <v>8</v>
      </c>
      <c r="N319" s="68">
        <v>1543.0</v>
      </c>
      <c r="O319" s="68">
        <v>12.0</v>
      </c>
      <c r="P319" s="68">
        <v>0.0078</v>
      </c>
      <c r="Q319" s="68">
        <v>101.39</v>
      </c>
      <c r="S319" s="68">
        <v>8.45</v>
      </c>
      <c r="T319" s="68">
        <v>0.0</v>
      </c>
      <c r="U319" s="68">
        <v>0.0</v>
      </c>
      <c r="V319" s="68">
        <v>0.0</v>
      </c>
      <c r="W319" s="68">
        <v>0.0</v>
      </c>
    </row>
    <row r="320" ht="15.75" customHeight="1">
      <c r="A320" s="107" t="s">
        <v>54</v>
      </c>
      <c r="B320" s="68" t="s">
        <v>771</v>
      </c>
      <c r="C320" s="68" t="s">
        <v>883</v>
      </c>
      <c r="D320" s="68" t="s">
        <v>773</v>
      </c>
      <c r="E320" s="68" t="s">
        <v>462</v>
      </c>
      <c r="F320" s="68" t="s">
        <v>774</v>
      </c>
      <c r="H320" s="181">
        <v>45336.0</v>
      </c>
      <c r="J320" s="68" t="s">
        <v>134</v>
      </c>
      <c r="K320" s="68">
        <v>3000.0</v>
      </c>
      <c r="L320" s="27">
        <v>0.0694856938831815</v>
      </c>
      <c r="M320" s="68" t="s">
        <v>8</v>
      </c>
      <c r="N320" s="68">
        <v>278950.0</v>
      </c>
      <c r="O320" s="68">
        <v>5671.0</v>
      </c>
      <c r="P320" s="68">
        <v>0.0203</v>
      </c>
      <c r="Q320" s="68">
        <v>65560.83</v>
      </c>
      <c r="S320" s="68">
        <v>11.56</v>
      </c>
      <c r="T320" s="68">
        <v>12.0</v>
      </c>
      <c r="U320" s="68">
        <v>212754.24</v>
      </c>
      <c r="V320" s="68">
        <v>0.3082</v>
      </c>
      <c r="W320" s="68">
        <v>3.2451</v>
      </c>
    </row>
    <row r="321" ht="15.75" customHeight="1">
      <c r="A321" s="107" t="s">
        <v>54</v>
      </c>
      <c r="B321" s="68" t="s">
        <v>771</v>
      </c>
      <c r="C321" s="68" t="s">
        <v>822</v>
      </c>
      <c r="D321" s="68" t="s">
        <v>773</v>
      </c>
      <c r="E321" s="68" t="s">
        <v>462</v>
      </c>
      <c r="F321" s="68" t="s">
        <v>774</v>
      </c>
      <c r="H321" s="181">
        <v>45303.0</v>
      </c>
      <c r="J321" s="68" t="s">
        <v>128</v>
      </c>
      <c r="K321" s="68">
        <v>100.0</v>
      </c>
      <c r="L321" s="27">
        <v>0.0525496302063059</v>
      </c>
      <c r="M321" s="68" t="s">
        <v>8</v>
      </c>
      <c r="N321" s="68">
        <v>453957.0</v>
      </c>
      <c r="O321" s="68">
        <v>2734.0</v>
      </c>
      <c r="P321" s="68">
        <v>0.006</v>
      </c>
      <c r="Q321" s="68">
        <v>51360.24</v>
      </c>
      <c r="S321" s="68">
        <v>18.79</v>
      </c>
      <c r="T321" s="68">
        <v>3.0</v>
      </c>
      <c r="U321" s="68">
        <v>30583.91</v>
      </c>
      <c r="V321" s="68">
        <v>1.6793</v>
      </c>
      <c r="W321" s="68">
        <v>0.5955</v>
      </c>
    </row>
    <row r="322" ht="15.75" customHeight="1">
      <c r="A322" s="107" t="s">
        <v>54</v>
      </c>
      <c r="B322" s="68" t="s">
        <v>771</v>
      </c>
      <c r="C322" s="68" t="s">
        <v>951</v>
      </c>
      <c r="D322" s="68" t="s">
        <v>773</v>
      </c>
      <c r="E322" s="68" t="s">
        <v>462</v>
      </c>
      <c r="F322" s="68" t="s">
        <v>774</v>
      </c>
      <c r="H322" s="181">
        <v>45436.0</v>
      </c>
      <c r="J322" s="68" t="s">
        <v>134</v>
      </c>
      <c r="K322" s="68">
        <v>500.0</v>
      </c>
      <c r="L322" s="68" t="s">
        <v>776</v>
      </c>
      <c r="M322" s="68" t="s">
        <v>8</v>
      </c>
      <c r="N322" s="68">
        <v>197827.0</v>
      </c>
      <c r="O322" s="68">
        <v>1013.0</v>
      </c>
      <c r="P322" s="68">
        <v>0.0051</v>
      </c>
      <c r="Q322" s="68">
        <v>3479.98</v>
      </c>
      <c r="S322" s="68">
        <v>3.44</v>
      </c>
      <c r="T322" s="68">
        <v>1.0</v>
      </c>
      <c r="U322" s="68">
        <v>17966.1</v>
      </c>
      <c r="V322" s="68">
        <v>0.1937</v>
      </c>
      <c r="W322" s="68">
        <v>5.1627</v>
      </c>
    </row>
    <row r="323" ht="15.75" customHeight="1">
      <c r="A323" s="107" t="s">
        <v>54</v>
      </c>
      <c r="B323" s="68" t="s">
        <v>771</v>
      </c>
      <c r="C323" s="68" t="s">
        <v>952</v>
      </c>
      <c r="D323" s="68" t="s">
        <v>773</v>
      </c>
      <c r="E323" s="68" t="s">
        <v>461</v>
      </c>
      <c r="F323" s="68" t="s">
        <v>774</v>
      </c>
      <c r="H323" s="181">
        <v>45414.0</v>
      </c>
      <c r="J323" s="68" t="s">
        <v>196</v>
      </c>
      <c r="K323" s="68">
        <v>500.0</v>
      </c>
      <c r="L323" s="27">
        <v>0.0869860655589178</v>
      </c>
      <c r="M323" s="68" t="s">
        <v>8</v>
      </c>
      <c r="N323" s="68">
        <v>149238.0</v>
      </c>
      <c r="O323" s="68">
        <v>379.0</v>
      </c>
      <c r="P323" s="68">
        <v>0.0025</v>
      </c>
      <c r="Q323" s="68">
        <v>11602.6</v>
      </c>
      <c r="S323" s="68">
        <v>30.61</v>
      </c>
      <c r="T323" s="68">
        <v>1.0</v>
      </c>
      <c r="U323" s="68">
        <v>24915.25</v>
      </c>
      <c r="V323" s="68">
        <v>0.4657</v>
      </c>
      <c r="W323" s="68">
        <v>2.1474</v>
      </c>
    </row>
    <row r="324" ht="15.75" customHeight="1">
      <c r="A324" s="107" t="s">
        <v>54</v>
      </c>
      <c r="B324" s="68" t="s">
        <v>771</v>
      </c>
      <c r="C324" s="68" t="s">
        <v>877</v>
      </c>
      <c r="D324" s="68" t="s">
        <v>773</v>
      </c>
      <c r="E324" s="68" t="s">
        <v>461</v>
      </c>
      <c r="F324" s="68" t="s">
        <v>774</v>
      </c>
      <c r="H324" s="181">
        <v>45260.0</v>
      </c>
      <c r="J324" s="68" t="s">
        <v>196</v>
      </c>
      <c r="K324" s="68">
        <v>1500.0</v>
      </c>
      <c r="L324" s="27">
        <v>0.315798854232972</v>
      </c>
      <c r="M324" s="68" t="s">
        <v>8</v>
      </c>
      <c r="N324" s="68">
        <v>176450.0</v>
      </c>
      <c r="O324" s="68">
        <v>1314.0</v>
      </c>
      <c r="P324" s="68">
        <v>0.0074</v>
      </c>
      <c r="Q324" s="68">
        <v>51082.18</v>
      </c>
      <c r="S324" s="68">
        <v>38.88</v>
      </c>
      <c r="T324" s="68">
        <v>6.0</v>
      </c>
      <c r="U324" s="68">
        <v>114237.29</v>
      </c>
      <c r="V324" s="68">
        <v>0.4472</v>
      </c>
      <c r="W324" s="68">
        <v>2.2363</v>
      </c>
    </row>
    <row r="325" ht="15.75" customHeight="1">
      <c r="A325" s="107" t="s">
        <v>54</v>
      </c>
      <c r="B325" s="68" t="s">
        <v>771</v>
      </c>
      <c r="C325" s="68" t="s">
        <v>876</v>
      </c>
      <c r="D325" s="68" t="s">
        <v>773</v>
      </c>
      <c r="E325" s="68" t="s">
        <v>459</v>
      </c>
      <c r="F325" s="68" t="s">
        <v>774</v>
      </c>
      <c r="G325" s="68" t="s">
        <v>783</v>
      </c>
      <c r="H325" s="181">
        <v>44567.0</v>
      </c>
      <c r="J325" s="68" t="s">
        <v>134</v>
      </c>
      <c r="K325" s="68">
        <v>3500.0</v>
      </c>
      <c r="L325" s="27">
        <v>0.260611574287809</v>
      </c>
      <c r="M325" s="68" t="s">
        <v>8</v>
      </c>
      <c r="N325" s="68">
        <v>589115.0</v>
      </c>
      <c r="O325" s="68">
        <v>1472.0</v>
      </c>
      <c r="P325" s="68">
        <v>0.0025</v>
      </c>
      <c r="Q325" s="68">
        <v>93430.19</v>
      </c>
      <c r="S325" s="68">
        <v>63.47</v>
      </c>
      <c r="T325" s="68">
        <v>27.0</v>
      </c>
      <c r="U325" s="68">
        <v>569318.64</v>
      </c>
      <c r="V325" s="68">
        <v>0.1641</v>
      </c>
      <c r="W325" s="68">
        <v>6.0935</v>
      </c>
    </row>
    <row r="326" ht="15.75" customHeight="1">
      <c r="A326" s="107" t="s">
        <v>56</v>
      </c>
      <c r="B326" s="68" t="s">
        <v>771</v>
      </c>
      <c r="C326" s="68" t="s">
        <v>912</v>
      </c>
      <c r="D326" s="68" t="s">
        <v>773</v>
      </c>
      <c r="E326" s="68" t="s">
        <v>459</v>
      </c>
      <c r="F326" s="68" t="s">
        <v>774</v>
      </c>
      <c r="G326" s="68" t="s">
        <v>783</v>
      </c>
      <c r="H326" s="181">
        <v>45260.0</v>
      </c>
      <c r="J326" s="68" t="s">
        <v>140</v>
      </c>
      <c r="K326" s="68">
        <v>1000.0</v>
      </c>
      <c r="L326" s="68" t="s">
        <v>776</v>
      </c>
      <c r="M326" s="68" t="s">
        <v>8</v>
      </c>
      <c r="N326" s="68">
        <v>29563.0</v>
      </c>
      <c r="O326" s="68">
        <v>47.0</v>
      </c>
      <c r="P326" s="68">
        <v>0.0016</v>
      </c>
      <c r="Q326" s="68">
        <v>2223.84</v>
      </c>
      <c r="S326" s="68">
        <v>47.32</v>
      </c>
      <c r="T326" s="68">
        <v>0.0</v>
      </c>
      <c r="U326" s="68">
        <v>0.0</v>
      </c>
      <c r="V326" s="68">
        <v>0.0</v>
      </c>
      <c r="W326" s="68">
        <v>0.0</v>
      </c>
    </row>
    <row r="327" ht="15.75" customHeight="1">
      <c r="A327" s="107" t="s">
        <v>56</v>
      </c>
      <c r="B327" s="68" t="s">
        <v>779</v>
      </c>
      <c r="C327" s="68" t="s">
        <v>821</v>
      </c>
      <c r="D327" s="68" t="s">
        <v>781</v>
      </c>
      <c r="E327" s="68" t="s">
        <v>459</v>
      </c>
      <c r="F327" s="68" t="s">
        <v>774</v>
      </c>
      <c r="G327" s="68" t="s">
        <v>775</v>
      </c>
      <c r="H327" s="181">
        <v>45280.0</v>
      </c>
      <c r="J327" s="68" t="s">
        <v>134</v>
      </c>
      <c r="K327" s="68">
        <v>1000.0</v>
      </c>
      <c r="L327" s="68" t="s">
        <v>776</v>
      </c>
      <c r="M327" s="68" t="s">
        <v>8</v>
      </c>
      <c r="N327" s="68">
        <v>4043.0</v>
      </c>
      <c r="O327" s="68">
        <v>14.0</v>
      </c>
      <c r="P327" s="68">
        <v>0.0035</v>
      </c>
      <c r="Q327" s="68">
        <v>636.09</v>
      </c>
      <c r="S327" s="68">
        <v>45.44</v>
      </c>
      <c r="T327" s="68">
        <v>0.0</v>
      </c>
      <c r="U327" s="68">
        <v>0.0</v>
      </c>
      <c r="V327" s="68">
        <v>0.0</v>
      </c>
      <c r="W327" s="68">
        <v>0.0</v>
      </c>
    </row>
    <row r="328" ht="15.75" customHeight="1">
      <c r="A328" s="107" t="s">
        <v>56</v>
      </c>
      <c r="B328" s="68" t="s">
        <v>779</v>
      </c>
      <c r="C328" s="68" t="s">
        <v>906</v>
      </c>
      <c r="D328" s="68" t="s">
        <v>781</v>
      </c>
      <c r="E328" s="68" t="s">
        <v>459</v>
      </c>
      <c r="F328" s="68" t="s">
        <v>774</v>
      </c>
      <c r="G328" s="68" t="s">
        <v>783</v>
      </c>
      <c r="H328" s="181">
        <v>45341.0</v>
      </c>
      <c r="J328" s="68" t="s">
        <v>152</v>
      </c>
      <c r="K328" s="68">
        <v>500.0</v>
      </c>
      <c r="L328" s="68" t="s">
        <v>776</v>
      </c>
      <c r="M328" s="68" t="s">
        <v>8</v>
      </c>
      <c r="N328" s="68">
        <v>27628.0</v>
      </c>
      <c r="O328" s="68">
        <v>126.0</v>
      </c>
      <c r="P328" s="68">
        <v>0.0046</v>
      </c>
      <c r="Q328" s="68">
        <v>4593.01</v>
      </c>
      <c r="S328" s="68">
        <v>36.45</v>
      </c>
      <c r="T328" s="68">
        <v>0.0</v>
      </c>
      <c r="U328" s="68">
        <v>0.0</v>
      </c>
      <c r="V328" s="68">
        <v>0.0</v>
      </c>
      <c r="W328" s="68">
        <v>0.0</v>
      </c>
    </row>
    <row r="329" ht="15.75" customHeight="1">
      <c r="A329" s="107" t="s">
        <v>56</v>
      </c>
      <c r="B329" s="68" t="s">
        <v>779</v>
      </c>
      <c r="C329" s="68" t="s">
        <v>936</v>
      </c>
      <c r="D329" s="68" t="s">
        <v>781</v>
      </c>
      <c r="E329" s="68" t="s">
        <v>459</v>
      </c>
      <c r="F329" s="68" t="s">
        <v>774</v>
      </c>
      <c r="G329" s="68" t="s">
        <v>775</v>
      </c>
      <c r="H329" s="181">
        <v>45392.0</v>
      </c>
      <c r="J329" s="33" t="s">
        <v>230</v>
      </c>
      <c r="K329" s="68">
        <v>1000.0</v>
      </c>
      <c r="L329" s="68" t="s">
        <v>776</v>
      </c>
      <c r="M329" s="68" t="s">
        <v>8</v>
      </c>
      <c r="N329" s="68">
        <v>593.0</v>
      </c>
      <c r="O329" s="68">
        <v>2.0</v>
      </c>
      <c r="P329" s="68">
        <v>0.0034</v>
      </c>
      <c r="Q329" s="28">
        <v>130.54</v>
      </c>
      <c r="R329" s="28"/>
      <c r="S329" s="68">
        <v>65.27</v>
      </c>
      <c r="T329" s="68">
        <v>0.0</v>
      </c>
      <c r="U329" s="68">
        <v>0.0</v>
      </c>
      <c r="V329" s="68">
        <v>0.0</v>
      </c>
      <c r="W329" s="68">
        <v>0.0</v>
      </c>
    </row>
    <row r="330" ht="15.75" customHeight="1">
      <c r="A330" s="107" t="s">
        <v>56</v>
      </c>
      <c r="B330" s="68" t="s">
        <v>779</v>
      </c>
      <c r="C330" s="68" t="s">
        <v>932</v>
      </c>
      <c r="D330" s="68" t="s">
        <v>781</v>
      </c>
      <c r="E330" s="68" t="s">
        <v>459</v>
      </c>
      <c r="F330" s="68" t="s">
        <v>774</v>
      </c>
      <c r="G330" s="68" t="s">
        <v>783</v>
      </c>
      <c r="H330" s="181">
        <v>45405.0</v>
      </c>
      <c r="J330" s="68" t="s">
        <v>128</v>
      </c>
      <c r="K330" s="68">
        <v>1000.0</v>
      </c>
      <c r="L330" s="27">
        <v>0.310227272727272</v>
      </c>
      <c r="M330" s="68" t="s">
        <v>8</v>
      </c>
      <c r="N330" s="68">
        <v>4997.0</v>
      </c>
      <c r="O330" s="68">
        <v>35.0</v>
      </c>
      <c r="P330" s="68">
        <v>0.007</v>
      </c>
      <c r="Q330" s="68">
        <v>1037.24</v>
      </c>
      <c r="S330" s="68">
        <v>29.64</v>
      </c>
      <c r="T330" s="68">
        <v>0.0</v>
      </c>
      <c r="U330" s="68">
        <v>0.0</v>
      </c>
      <c r="V330" s="68">
        <v>0.0</v>
      </c>
      <c r="W330" s="68">
        <v>0.0</v>
      </c>
    </row>
    <row r="331" ht="15.75" customHeight="1">
      <c r="A331" s="107" t="s">
        <v>56</v>
      </c>
      <c r="B331" s="68" t="s">
        <v>779</v>
      </c>
      <c r="C331" s="68" t="s">
        <v>938</v>
      </c>
      <c r="D331" s="68" t="s">
        <v>781</v>
      </c>
      <c r="E331" s="68" t="s">
        <v>459</v>
      </c>
      <c r="F331" s="68" t="s">
        <v>774</v>
      </c>
      <c r="G331" s="68" t="s">
        <v>783</v>
      </c>
      <c r="H331" s="181">
        <v>45405.0</v>
      </c>
      <c r="J331" s="68" t="s">
        <v>128</v>
      </c>
      <c r="K331" s="68">
        <v>1000.0</v>
      </c>
      <c r="L331" s="27">
        <v>0.442857142857142</v>
      </c>
      <c r="M331" s="68" t="s">
        <v>8</v>
      </c>
      <c r="N331" s="68">
        <v>149.0</v>
      </c>
      <c r="O331" s="68">
        <v>9.0</v>
      </c>
      <c r="P331" s="68">
        <v>0.0604</v>
      </c>
      <c r="Q331" s="68">
        <v>356.67</v>
      </c>
      <c r="S331" s="68">
        <v>39.63</v>
      </c>
      <c r="T331" s="68">
        <v>0.0</v>
      </c>
      <c r="U331" s="68">
        <v>0.0</v>
      </c>
      <c r="V331" s="68">
        <v>0.0</v>
      </c>
      <c r="W331" s="68">
        <v>0.0</v>
      </c>
    </row>
    <row r="332" ht="15.75" customHeight="1">
      <c r="A332" s="107" t="s">
        <v>56</v>
      </c>
      <c r="B332" s="68" t="s">
        <v>779</v>
      </c>
      <c r="C332" s="68" t="s">
        <v>953</v>
      </c>
      <c r="D332" s="68" t="s">
        <v>781</v>
      </c>
      <c r="E332" s="68" t="s">
        <v>459</v>
      </c>
      <c r="F332" s="68" t="s">
        <v>774</v>
      </c>
      <c r="G332" s="68" t="s">
        <v>775</v>
      </c>
      <c r="H332" s="181">
        <v>45456.0</v>
      </c>
      <c r="J332" s="68" t="s">
        <v>232</v>
      </c>
      <c r="K332" s="68">
        <v>1500.0</v>
      </c>
      <c r="L332" s="68" t="s">
        <v>776</v>
      </c>
      <c r="M332" s="68" t="s">
        <v>8</v>
      </c>
      <c r="N332" s="68">
        <v>310294.0</v>
      </c>
      <c r="O332" s="68">
        <v>520.0</v>
      </c>
      <c r="P332" s="68">
        <v>0.0017</v>
      </c>
      <c r="Q332" s="68">
        <v>19326.72</v>
      </c>
      <c r="S332" s="68">
        <v>37.17</v>
      </c>
      <c r="T332" s="68">
        <v>0.0</v>
      </c>
      <c r="U332" s="68">
        <v>0.0</v>
      </c>
      <c r="V332" s="68">
        <v>0.0</v>
      </c>
      <c r="W332" s="68">
        <v>0.0</v>
      </c>
    </row>
    <row r="333" ht="15.75" customHeight="1">
      <c r="A333" s="107" t="s">
        <v>56</v>
      </c>
      <c r="B333" s="68" t="s">
        <v>771</v>
      </c>
      <c r="C333" s="68" t="s">
        <v>954</v>
      </c>
      <c r="D333" s="68" t="s">
        <v>773</v>
      </c>
      <c r="E333" s="68" t="s">
        <v>459</v>
      </c>
      <c r="F333" s="68" t="s">
        <v>774</v>
      </c>
      <c r="G333" s="68" t="s">
        <v>783</v>
      </c>
      <c r="H333" s="181">
        <v>45457.0</v>
      </c>
      <c r="J333" s="68" t="s">
        <v>134</v>
      </c>
      <c r="K333" s="68">
        <v>1900.0</v>
      </c>
      <c r="L333" s="27">
        <v>0.121733966745843</v>
      </c>
      <c r="M333" s="68" t="s">
        <v>8</v>
      </c>
      <c r="N333" s="68">
        <v>11628.0</v>
      </c>
      <c r="O333" s="68">
        <v>28.0</v>
      </c>
      <c r="P333" s="68">
        <v>0.0024</v>
      </c>
      <c r="Q333" s="68">
        <v>1444.91</v>
      </c>
      <c r="S333" s="68">
        <v>51.6</v>
      </c>
      <c r="T333" s="68">
        <v>0.0</v>
      </c>
      <c r="U333" s="68">
        <v>0.0</v>
      </c>
      <c r="V333" s="68">
        <v>0.0</v>
      </c>
      <c r="W333" s="68">
        <v>0.0</v>
      </c>
    </row>
    <row r="334" ht="15.75" customHeight="1">
      <c r="A334" s="107" t="s">
        <v>56</v>
      </c>
      <c r="B334" s="68" t="s">
        <v>779</v>
      </c>
      <c r="C334" s="68" t="s">
        <v>942</v>
      </c>
      <c r="D334" s="68" t="s">
        <v>781</v>
      </c>
      <c r="E334" s="68" t="s">
        <v>463</v>
      </c>
      <c r="F334" s="68" t="s">
        <v>774</v>
      </c>
      <c r="H334" s="181">
        <v>45392.0</v>
      </c>
      <c r="J334" s="33" t="s">
        <v>230</v>
      </c>
      <c r="K334" s="68">
        <v>1000.0</v>
      </c>
      <c r="M334" s="68" t="s">
        <v>8</v>
      </c>
      <c r="N334" s="68">
        <v>3668.0</v>
      </c>
      <c r="O334" s="68">
        <v>12.0</v>
      </c>
      <c r="P334" s="68">
        <v>0.0033</v>
      </c>
      <c r="Q334" s="28">
        <v>30.23</v>
      </c>
      <c r="R334" s="28"/>
      <c r="S334" s="68">
        <v>2.52</v>
      </c>
      <c r="T334" s="68">
        <v>0.0</v>
      </c>
      <c r="U334" s="68">
        <v>0.0</v>
      </c>
      <c r="V334" s="68">
        <v>0.0</v>
      </c>
      <c r="W334" s="68">
        <v>0.0</v>
      </c>
    </row>
    <row r="335" ht="15.75" customHeight="1">
      <c r="A335" s="107" t="s">
        <v>56</v>
      </c>
      <c r="B335" s="68" t="s">
        <v>779</v>
      </c>
      <c r="C335" s="68" t="s">
        <v>949</v>
      </c>
      <c r="D335" s="68" t="s">
        <v>781</v>
      </c>
      <c r="E335" s="68" t="s">
        <v>463</v>
      </c>
      <c r="F335" s="68" t="s">
        <v>774</v>
      </c>
      <c r="H335" s="181">
        <v>45401.0</v>
      </c>
      <c r="J335" s="68" t="s">
        <v>134</v>
      </c>
      <c r="K335" s="68">
        <v>500.0</v>
      </c>
      <c r="M335" s="68" t="s">
        <v>8</v>
      </c>
      <c r="N335" s="68">
        <v>92551.0</v>
      </c>
      <c r="O335" s="68">
        <v>705.0</v>
      </c>
      <c r="P335" s="68">
        <v>0.0076</v>
      </c>
      <c r="Q335" s="68">
        <v>6584.41</v>
      </c>
      <c r="S335" s="68">
        <v>9.34</v>
      </c>
      <c r="T335" s="68">
        <v>0.0</v>
      </c>
      <c r="U335" s="68">
        <v>0.0</v>
      </c>
      <c r="V335" s="68">
        <v>0.0</v>
      </c>
      <c r="W335" s="68">
        <v>0.0</v>
      </c>
    </row>
    <row r="336" ht="15.75" customHeight="1">
      <c r="A336" s="107" t="s">
        <v>56</v>
      </c>
      <c r="B336" s="68" t="s">
        <v>779</v>
      </c>
      <c r="C336" s="68" t="s">
        <v>955</v>
      </c>
      <c r="D336" s="68" t="s">
        <v>781</v>
      </c>
      <c r="E336" s="68" t="s">
        <v>463</v>
      </c>
      <c r="F336" s="68" t="s">
        <v>774</v>
      </c>
      <c r="H336" s="181">
        <v>45454.0</v>
      </c>
      <c r="J336" s="68" t="s">
        <v>134</v>
      </c>
      <c r="K336" s="68">
        <v>500.0</v>
      </c>
      <c r="M336" s="68" t="s">
        <v>8</v>
      </c>
      <c r="N336" s="68">
        <v>409494.0</v>
      </c>
      <c r="O336" s="68">
        <v>1519.0</v>
      </c>
      <c r="P336" s="68">
        <v>0.0037</v>
      </c>
      <c r="Q336" s="68">
        <v>3293.13</v>
      </c>
      <c r="S336" s="68">
        <v>2.17</v>
      </c>
      <c r="T336" s="68">
        <v>0.0</v>
      </c>
      <c r="U336" s="68">
        <v>0.0</v>
      </c>
      <c r="V336" s="68">
        <v>0.0</v>
      </c>
      <c r="W336" s="68">
        <v>0.0</v>
      </c>
    </row>
    <row r="337" ht="15.75" customHeight="1">
      <c r="A337" s="107" t="s">
        <v>56</v>
      </c>
      <c r="B337" s="68" t="s">
        <v>771</v>
      </c>
      <c r="C337" s="68" t="s">
        <v>956</v>
      </c>
      <c r="D337" s="68" t="s">
        <v>773</v>
      </c>
      <c r="E337" s="68" t="s">
        <v>463</v>
      </c>
      <c r="F337" s="68" t="s">
        <v>774</v>
      </c>
      <c r="H337" s="181">
        <v>45461.0</v>
      </c>
      <c r="J337" s="68" t="s">
        <v>90</v>
      </c>
      <c r="K337" s="68">
        <v>1000.0</v>
      </c>
      <c r="M337" s="68" t="s">
        <v>8</v>
      </c>
      <c r="N337" s="68">
        <v>781008.0</v>
      </c>
      <c r="O337" s="68">
        <v>1623.0</v>
      </c>
      <c r="P337" s="68">
        <v>0.0021</v>
      </c>
      <c r="Q337" s="68">
        <v>12235.17</v>
      </c>
      <c r="S337" s="68">
        <v>7.54</v>
      </c>
      <c r="T337" s="68">
        <v>0.0</v>
      </c>
      <c r="U337" s="68">
        <v>0.0</v>
      </c>
      <c r="V337" s="68">
        <v>0.0</v>
      </c>
      <c r="W337" s="68">
        <v>0.0</v>
      </c>
    </row>
    <row r="338" ht="15.75" customHeight="1">
      <c r="A338" s="107" t="s">
        <v>56</v>
      </c>
      <c r="B338" s="68" t="s">
        <v>771</v>
      </c>
      <c r="C338" s="68" t="s">
        <v>952</v>
      </c>
      <c r="D338" s="68" t="s">
        <v>773</v>
      </c>
      <c r="E338" s="68" t="s">
        <v>461</v>
      </c>
      <c r="F338" s="68" t="s">
        <v>774</v>
      </c>
      <c r="H338" s="181">
        <v>45414.0</v>
      </c>
      <c r="J338" s="68" t="s">
        <v>196</v>
      </c>
      <c r="K338" s="68">
        <v>150.0</v>
      </c>
      <c r="L338" s="68" t="s">
        <v>776</v>
      </c>
      <c r="M338" s="68" t="s">
        <v>8</v>
      </c>
      <c r="N338" s="68">
        <v>282091.0</v>
      </c>
      <c r="O338" s="68">
        <v>440.0</v>
      </c>
      <c r="P338" s="68">
        <v>0.0016</v>
      </c>
      <c r="Q338" s="68">
        <v>4209.09</v>
      </c>
      <c r="S338" s="68">
        <v>9.57</v>
      </c>
      <c r="T338" s="68">
        <v>0.0</v>
      </c>
      <c r="U338" s="68">
        <v>0.0</v>
      </c>
      <c r="V338" s="68">
        <v>0.0</v>
      </c>
      <c r="W338" s="68">
        <v>0.0</v>
      </c>
    </row>
    <row r="339" ht="15.75" customHeight="1">
      <c r="A339" s="107" t="s">
        <v>56</v>
      </c>
      <c r="B339" s="68" t="s">
        <v>771</v>
      </c>
      <c r="C339" s="68" t="s">
        <v>951</v>
      </c>
      <c r="D339" s="68" t="s">
        <v>773</v>
      </c>
      <c r="E339" s="68" t="s">
        <v>462</v>
      </c>
      <c r="F339" s="68" t="s">
        <v>774</v>
      </c>
      <c r="H339" s="181">
        <v>45436.0</v>
      </c>
      <c r="J339" s="68" t="s">
        <v>134</v>
      </c>
      <c r="K339" s="68">
        <v>500.0</v>
      </c>
      <c r="L339" s="68" t="s">
        <v>776</v>
      </c>
      <c r="M339" s="68" t="s">
        <v>8</v>
      </c>
      <c r="N339" s="68">
        <v>114176.0</v>
      </c>
      <c r="O339" s="68">
        <v>532.0</v>
      </c>
      <c r="P339" s="68">
        <v>0.0047</v>
      </c>
      <c r="Q339" s="68">
        <v>1643.88</v>
      </c>
      <c r="S339" s="68">
        <v>3.09</v>
      </c>
      <c r="T339" s="68">
        <v>0.0</v>
      </c>
      <c r="U339" s="68">
        <v>0.0</v>
      </c>
      <c r="V339" s="68">
        <v>0.0</v>
      </c>
      <c r="W339" s="68">
        <v>0.0</v>
      </c>
    </row>
    <row r="340" ht="15.75" customHeight="1">
      <c r="A340" s="107" t="s">
        <v>56</v>
      </c>
      <c r="B340" s="68" t="s">
        <v>779</v>
      </c>
      <c r="C340" s="68" t="s">
        <v>944</v>
      </c>
      <c r="D340" s="68" t="s">
        <v>781</v>
      </c>
      <c r="E340" s="68" t="s">
        <v>459</v>
      </c>
      <c r="F340" s="68" t="s">
        <v>774</v>
      </c>
      <c r="G340" s="68" t="s">
        <v>775</v>
      </c>
      <c r="H340" s="181">
        <v>45427.0</v>
      </c>
      <c r="J340" s="68" t="s">
        <v>90</v>
      </c>
      <c r="K340" s="68">
        <v>1999.0</v>
      </c>
      <c r="L340" s="68" t="s">
        <v>776</v>
      </c>
      <c r="M340" s="68" t="s">
        <v>8</v>
      </c>
      <c r="N340" s="68">
        <v>79536.0</v>
      </c>
      <c r="O340" s="68">
        <v>93.0</v>
      </c>
      <c r="P340" s="68">
        <v>0.0012</v>
      </c>
      <c r="Q340" s="68">
        <v>3674.5</v>
      </c>
      <c r="S340" s="68">
        <v>39.51</v>
      </c>
      <c r="T340" s="68">
        <v>3.0</v>
      </c>
      <c r="U340" s="68">
        <v>73686.43</v>
      </c>
      <c r="V340" s="68">
        <v>0.0499</v>
      </c>
      <c r="W340" s="68">
        <v>20.0535</v>
      </c>
    </row>
    <row r="341" ht="15.75" customHeight="1">
      <c r="A341" s="107" t="s">
        <v>56</v>
      </c>
      <c r="B341" s="68" t="s">
        <v>771</v>
      </c>
      <c r="C341" s="68" t="s">
        <v>789</v>
      </c>
      <c r="D341" s="68" t="s">
        <v>773</v>
      </c>
      <c r="E341" s="68" t="s">
        <v>459</v>
      </c>
      <c r="F341" s="68" t="s">
        <v>774</v>
      </c>
      <c r="G341" s="68" t="s">
        <v>783</v>
      </c>
      <c r="H341" s="181">
        <v>45260.0</v>
      </c>
      <c r="J341" s="68" t="s">
        <v>128</v>
      </c>
      <c r="K341" s="68">
        <v>5000.0</v>
      </c>
      <c r="L341" s="27">
        <v>0.707209416380578</v>
      </c>
      <c r="M341" s="68" t="s">
        <v>8</v>
      </c>
      <c r="N341" s="68">
        <v>347134.0</v>
      </c>
      <c r="O341" s="68">
        <v>973.0</v>
      </c>
      <c r="P341" s="68">
        <v>0.0028</v>
      </c>
      <c r="Q341" s="68">
        <v>47428.99</v>
      </c>
      <c r="S341" s="68">
        <v>48.75</v>
      </c>
      <c r="T341" s="68">
        <v>36.0</v>
      </c>
      <c r="U341" s="68">
        <v>845591.48</v>
      </c>
      <c r="V341" s="68">
        <v>0.0561</v>
      </c>
      <c r="W341" s="68">
        <v>17.8286</v>
      </c>
    </row>
    <row r="342" ht="15.75" customHeight="1">
      <c r="A342" s="107" t="s">
        <v>56</v>
      </c>
      <c r="B342" s="68" t="s">
        <v>771</v>
      </c>
      <c r="C342" s="68" t="s">
        <v>957</v>
      </c>
      <c r="D342" s="68" t="s">
        <v>773</v>
      </c>
      <c r="E342" s="68" t="s">
        <v>459</v>
      </c>
      <c r="F342" s="68" t="s">
        <v>774</v>
      </c>
      <c r="G342" s="68" t="s">
        <v>783</v>
      </c>
      <c r="H342" s="181">
        <v>45260.0</v>
      </c>
      <c r="J342" s="68" t="s">
        <v>140</v>
      </c>
      <c r="K342" s="68">
        <v>1000.0</v>
      </c>
      <c r="L342" s="68" t="s">
        <v>776</v>
      </c>
      <c r="M342" s="68" t="s">
        <v>8</v>
      </c>
      <c r="N342" s="68">
        <v>33334.0</v>
      </c>
      <c r="O342" s="68">
        <v>64.0</v>
      </c>
      <c r="P342" s="68">
        <v>0.0019</v>
      </c>
      <c r="Q342" s="68">
        <v>1673.2</v>
      </c>
      <c r="S342" s="68">
        <v>26.14</v>
      </c>
      <c r="T342" s="68">
        <v>1.0</v>
      </c>
      <c r="U342" s="68">
        <v>25805.08</v>
      </c>
      <c r="V342" s="68">
        <v>0.0648</v>
      </c>
      <c r="W342" s="68">
        <v>15.4226</v>
      </c>
    </row>
    <row r="343" ht="15.75" customHeight="1">
      <c r="A343" s="107" t="s">
        <v>56</v>
      </c>
      <c r="B343" s="68" t="s">
        <v>771</v>
      </c>
      <c r="C343" s="68" t="s">
        <v>924</v>
      </c>
      <c r="D343" s="68" t="s">
        <v>773</v>
      </c>
      <c r="E343" s="68" t="s">
        <v>460</v>
      </c>
      <c r="F343" s="68" t="s">
        <v>778</v>
      </c>
      <c r="G343" s="68" t="s">
        <v>775</v>
      </c>
      <c r="H343" s="181">
        <v>45356.0</v>
      </c>
      <c r="J343" s="68" t="s">
        <v>211</v>
      </c>
      <c r="K343" s="68">
        <v>300.0</v>
      </c>
      <c r="L343" s="68" t="s">
        <v>776</v>
      </c>
      <c r="M343" s="68" t="s">
        <v>8</v>
      </c>
      <c r="N343" s="68">
        <v>475637.0</v>
      </c>
      <c r="O343" s="68">
        <v>1464.0</v>
      </c>
      <c r="P343" s="68">
        <v>0.0031</v>
      </c>
      <c r="Q343" s="68">
        <v>6590.36</v>
      </c>
      <c r="S343" s="68">
        <v>4.5</v>
      </c>
      <c r="T343" s="68">
        <v>41.0</v>
      </c>
      <c r="U343" s="68">
        <v>85771.98</v>
      </c>
      <c r="V343" s="68">
        <v>0.0768</v>
      </c>
      <c r="W343" s="68">
        <v>13.0148</v>
      </c>
    </row>
    <row r="344" ht="15.75" customHeight="1">
      <c r="A344" s="107" t="s">
        <v>56</v>
      </c>
      <c r="B344" s="68" t="s">
        <v>771</v>
      </c>
      <c r="C344" s="68" t="s">
        <v>946</v>
      </c>
      <c r="D344" s="68" t="s">
        <v>773</v>
      </c>
      <c r="E344" s="68" t="s">
        <v>459</v>
      </c>
      <c r="F344" s="68" t="s">
        <v>774</v>
      </c>
      <c r="G344" s="68" t="s">
        <v>783</v>
      </c>
      <c r="H344" s="181">
        <v>45427.0</v>
      </c>
      <c r="J344" s="68" t="s">
        <v>232</v>
      </c>
      <c r="K344" s="68">
        <v>1000.0</v>
      </c>
      <c r="L344" s="27">
        <v>0.0680089694115086</v>
      </c>
      <c r="M344" s="68" t="s">
        <v>8</v>
      </c>
      <c r="N344" s="68">
        <v>138899.0</v>
      </c>
      <c r="O344" s="68">
        <v>253.0</v>
      </c>
      <c r="P344" s="68">
        <v>0.0018</v>
      </c>
      <c r="Q344" s="68">
        <v>6302.66</v>
      </c>
      <c r="S344" s="68">
        <v>24.91</v>
      </c>
      <c r="T344" s="68">
        <v>5.0</v>
      </c>
      <c r="U344" s="68">
        <v>75379.66</v>
      </c>
      <c r="V344" s="68">
        <v>0.0836</v>
      </c>
      <c r="W344" s="68">
        <v>11.96</v>
      </c>
    </row>
    <row r="345" ht="15.75" customHeight="1">
      <c r="A345" s="107" t="s">
        <v>56</v>
      </c>
      <c r="B345" s="68" t="s">
        <v>771</v>
      </c>
      <c r="C345" s="68" t="s">
        <v>862</v>
      </c>
      <c r="D345" s="68" t="s">
        <v>773</v>
      </c>
      <c r="E345" s="68" t="s">
        <v>463</v>
      </c>
      <c r="F345" s="68" t="s">
        <v>774</v>
      </c>
      <c r="H345" s="181">
        <v>45309.0</v>
      </c>
      <c r="J345" s="68" t="s">
        <v>128</v>
      </c>
      <c r="K345" s="68">
        <v>2000.0</v>
      </c>
      <c r="M345" s="68" t="s">
        <v>8</v>
      </c>
      <c r="N345" s="68">
        <v>130770.0</v>
      </c>
      <c r="O345" s="68">
        <v>538.0</v>
      </c>
      <c r="P345" s="68">
        <v>0.0041</v>
      </c>
      <c r="Q345" s="68">
        <v>23402.95</v>
      </c>
      <c r="S345" s="68">
        <v>43.5</v>
      </c>
      <c r="T345" s="68">
        <v>13.0</v>
      </c>
      <c r="U345" s="68">
        <v>279361.0</v>
      </c>
      <c r="V345" s="68">
        <v>0.0838</v>
      </c>
      <c r="W345" s="68">
        <v>11.937</v>
      </c>
    </row>
    <row r="346" ht="15.75" customHeight="1">
      <c r="A346" s="107" t="s">
        <v>56</v>
      </c>
      <c r="B346" s="68" t="s">
        <v>771</v>
      </c>
      <c r="C346" s="68" t="s">
        <v>827</v>
      </c>
      <c r="D346" s="68" t="s">
        <v>773</v>
      </c>
      <c r="E346" s="68" t="s">
        <v>459</v>
      </c>
      <c r="F346" s="68" t="s">
        <v>774</v>
      </c>
      <c r="G346" s="68" t="s">
        <v>783</v>
      </c>
      <c r="H346" s="181">
        <v>45309.0</v>
      </c>
      <c r="J346" s="68" t="s">
        <v>128</v>
      </c>
      <c r="K346" s="68">
        <v>4000.0</v>
      </c>
      <c r="L346" s="27">
        <v>0.0959026507254393</v>
      </c>
      <c r="M346" s="68" t="s">
        <v>8</v>
      </c>
      <c r="N346" s="68">
        <v>232695.0</v>
      </c>
      <c r="O346" s="68">
        <v>736.0</v>
      </c>
      <c r="P346" s="68">
        <v>0.0032</v>
      </c>
      <c r="Q346" s="68">
        <v>33862.31</v>
      </c>
      <c r="S346" s="68">
        <v>46.01</v>
      </c>
      <c r="T346" s="68">
        <v>17.0</v>
      </c>
      <c r="U346" s="68">
        <v>398761.01</v>
      </c>
      <c r="V346" s="68">
        <v>0.0849</v>
      </c>
      <c r="W346" s="68">
        <v>11.776</v>
      </c>
    </row>
    <row r="347" ht="15.75" customHeight="1">
      <c r="A347" s="107" t="s">
        <v>56</v>
      </c>
      <c r="B347" s="68" t="s">
        <v>771</v>
      </c>
      <c r="C347" s="68" t="s">
        <v>914</v>
      </c>
      <c r="D347" s="68" t="s">
        <v>773</v>
      </c>
      <c r="E347" s="68" t="s">
        <v>463</v>
      </c>
      <c r="F347" s="68" t="s">
        <v>774</v>
      </c>
      <c r="H347" s="181">
        <v>45355.0</v>
      </c>
      <c r="J347" s="68" t="s">
        <v>90</v>
      </c>
      <c r="K347" s="68">
        <v>1000.0</v>
      </c>
      <c r="M347" s="68" t="s">
        <v>8</v>
      </c>
      <c r="N347" s="68">
        <v>450453.0</v>
      </c>
      <c r="O347" s="68">
        <v>1331.0</v>
      </c>
      <c r="P347" s="68">
        <v>0.003</v>
      </c>
      <c r="Q347" s="68">
        <v>28873.9</v>
      </c>
      <c r="S347" s="68">
        <v>21.69</v>
      </c>
      <c r="T347" s="68">
        <v>16.0</v>
      </c>
      <c r="U347" s="68">
        <v>303505.93</v>
      </c>
      <c r="V347" s="68">
        <v>0.0951</v>
      </c>
      <c r="W347" s="68">
        <v>10.5114</v>
      </c>
    </row>
    <row r="348" ht="15.75" customHeight="1">
      <c r="A348" s="107" t="s">
        <v>56</v>
      </c>
      <c r="B348" s="68" t="s">
        <v>771</v>
      </c>
      <c r="C348" s="68" t="s">
        <v>883</v>
      </c>
      <c r="D348" s="68" t="s">
        <v>773</v>
      </c>
      <c r="E348" s="68" t="s">
        <v>462</v>
      </c>
      <c r="F348" s="68" t="s">
        <v>774</v>
      </c>
      <c r="H348" s="181">
        <v>45336.0</v>
      </c>
      <c r="J348" s="68" t="s">
        <v>134</v>
      </c>
      <c r="K348" s="68">
        <v>2000.0</v>
      </c>
      <c r="L348" s="68" t="s">
        <v>776</v>
      </c>
      <c r="M348" s="68" t="s">
        <v>8</v>
      </c>
      <c r="N348" s="68">
        <v>171089.0</v>
      </c>
      <c r="O348" s="68">
        <v>3559.0</v>
      </c>
      <c r="P348" s="68">
        <v>0.0208</v>
      </c>
      <c r="Q348" s="68">
        <v>33387.45</v>
      </c>
      <c r="S348" s="68">
        <v>9.38</v>
      </c>
      <c r="T348" s="68">
        <v>14.0</v>
      </c>
      <c r="U348" s="68">
        <v>302033.02</v>
      </c>
      <c r="V348" s="68">
        <v>0.1105</v>
      </c>
      <c r="W348" s="68">
        <v>9.0463</v>
      </c>
    </row>
    <row r="349" ht="15.75" customHeight="1">
      <c r="A349" s="107" t="s">
        <v>56</v>
      </c>
      <c r="B349" s="68" t="s">
        <v>771</v>
      </c>
      <c r="C349" s="68" t="s">
        <v>798</v>
      </c>
      <c r="D349" s="68" t="s">
        <v>773</v>
      </c>
      <c r="E349" s="68" t="s">
        <v>461</v>
      </c>
      <c r="F349" s="68" t="s">
        <v>774</v>
      </c>
      <c r="H349" s="181">
        <v>45260.0</v>
      </c>
      <c r="J349" s="68" t="s">
        <v>128</v>
      </c>
      <c r="K349" s="68">
        <v>1000.0</v>
      </c>
      <c r="L349" s="27">
        <v>0.80389567514031</v>
      </c>
      <c r="M349" s="68" t="s">
        <v>8</v>
      </c>
      <c r="N349" s="68">
        <v>169066.0</v>
      </c>
      <c r="O349" s="68">
        <v>698.0</v>
      </c>
      <c r="P349" s="68">
        <v>0.0041</v>
      </c>
      <c r="Q349" s="68">
        <v>14653.78</v>
      </c>
      <c r="S349" s="68">
        <v>20.99</v>
      </c>
      <c r="T349" s="68">
        <v>6.0</v>
      </c>
      <c r="U349" s="68">
        <v>108938.98</v>
      </c>
      <c r="V349" s="68">
        <v>0.1345</v>
      </c>
      <c r="W349" s="68">
        <v>7.4342</v>
      </c>
    </row>
    <row r="350" ht="15.75" customHeight="1">
      <c r="A350" s="107" t="s">
        <v>56</v>
      </c>
      <c r="B350" s="68" t="s">
        <v>771</v>
      </c>
      <c r="C350" s="68" t="s">
        <v>902</v>
      </c>
      <c r="D350" s="68" t="s">
        <v>773</v>
      </c>
      <c r="E350" s="68" t="s">
        <v>459</v>
      </c>
      <c r="F350" s="68" t="s">
        <v>774</v>
      </c>
      <c r="G350" s="68" t="s">
        <v>783</v>
      </c>
      <c r="H350" s="181">
        <v>45301.0</v>
      </c>
      <c r="J350" s="68" t="s">
        <v>134</v>
      </c>
      <c r="K350" s="68">
        <v>3000.0</v>
      </c>
      <c r="L350" s="27">
        <v>0.234401349072512</v>
      </c>
      <c r="M350" s="68" t="s">
        <v>8</v>
      </c>
      <c r="N350" s="68">
        <v>14824.0</v>
      </c>
      <c r="O350" s="68">
        <v>59.0</v>
      </c>
      <c r="P350" s="68">
        <v>0.004</v>
      </c>
      <c r="Q350" s="68">
        <v>2477.98</v>
      </c>
      <c r="S350" s="68">
        <v>42.0</v>
      </c>
      <c r="T350" s="68">
        <v>1.0</v>
      </c>
      <c r="U350" s="68">
        <v>17966.1</v>
      </c>
      <c r="V350" s="68">
        <v>0.1379</v>
      </c>
      <c r="W350" s="68">
        <v>7.2503</v>
      </c>
    </row>
    <row r="351" ht="15.75" customHeight="1">
      <c r="A351" s="107" t="s">
        <v>56</v>
      </c>
      <c r="B351" s="68" t="s">
        <v>779</v>
      </c>
      <c r="C351" s="68" t="s">
        <v>834</v>
      </c>
      <c r="D351" s="68" t="s">
        <v>781</v>
      </c>
      <c r="E351" s="68" t="s">
        <v>459</v>
      </c>
      <c r="F351" s="68" t="s">
        <v>774</v>
      </c>
      <c r="G351" s="68" t="s">
        <v>775</v>
      </c>
      <c r="H351" s="181">
        <v>45260.0</v>
      </c>
      <c r="J351" s="68" t="s">
        <v>134</v>
      </c>
      <c r="K351" s="68">
        <v>1200.0</v>
      </c>
      <c r="L351" s="68" t="s">
        <v>776</v>
      </c>
      <c r="M351" s="68" t="s">
        <v>8</v>
      </c>
      <c r="N351" s="68">
        <v>37113.0</v>
      </c>
      <c r="O351" s="68">
        <v>114.0</v>
      </c>
      <c r="P351" s="68">
        <v>0.0031</v>
      </c>
      <c r="Q351" s="68">
        <v>2985.96</v>
      </c>
      <c r="S351" s="68">
        <v>26.19</v>
      </c>
      <c r="T351" s="68">
        <v>1.0</v>
      </c>
      <c r="U351" s="68">
        <v>17966.1</v>
      </c>
      <c r="V351" s="68">
        <v>0.1662</v>
      </c>
      <c r="W351" s="68">
        <v>6.0169</v>
      </c>
    </row>
    <row r="352" ht="15.75" customHeight="1">
      <c r="A352" s="107" t="s">
        <v>56</v>
      </c>
      <c r="B352" s="68" t="s">
        <v>771</v>
      </c>
      <c r="C352" s="68" t="s">
        <v>958</v>
      </c>
      <c r="D352" s="68" t="s">
        <v>773</v>
      </c>
      <c r="E352" s="68" t="s">
        <v>460</v>
      </c>
      <c r="F352" s="68" t="s">
        <v>778</v>
      </c>
      <c r="G352" s="68" t="s">
        <v>775</v>
      </c>
      <c r="H352" s="181">
        <v>45454.0</v>
      </c>
      <c r="J352" s="68" t="s">
        <v>241</v>
      </c>
      <c r="K352" s="68">
        <v>200.0</v>
      </c>
      <c r="L352" s="68" t="s">
        <v>776</v>
      </c>
      <c r="M352" s="68" t="s">
        <v>8</v>
      </c>
      <c r="N352" s="68">
        <v>221842.0</v>
      </c>
      <c r="O352" s="68">
        <v>323.0</v>
      </c>
      <c r="P352" s="68">
        <v>0.0015</v>
      </c>
      <c r="Q352" s="68">
        <v>2792.12</v>
      </c>
      <c r="S352" s="68">
        <v>8.64</v>
      </c>
      <c r="T352" s="68">
        <v>2.0</v>
      </c>
      <c r="U352" s="68">
        <v>16354.23</v>
      </c>
      <c r="V352" s="68">
        <v>0.1707</v>
      </c>
      <c r="W352" s="68">
        <v>5.8573</v>
      </c>
    </row>
    <row r="353" ht="15.75" customHeight="1">
      <c r="A353" s="107" t="s">
        <v>56</v>
      </c>
      <c r="B353" s="68" t="s">
        <v>771</v>
      </c>
      <c r="C353" s="68" t="s">
        <v>959</v>
      </c>
      <c r="D353" s="68" t="s">
        <v>773</v>
      </c>
      <c r="E353" s="68" t="s">
        <v>459</v>
      </c>
      <c r="F353" s="68" t="s">
        <v>774</v>
      </c>
      <c r="G353" s="68" t="s">
        <v>783</v>
      </c>
      <c r="H353" s="181">
        <v>45352.0</v>
      </c>
      <c r="J353" s="68" t="s">
        <v>140</v>
      </c>
      <c r="K353" s="68">
        <v>500.0</v>
      </c>
      <c r="L353" s="27">
        <v>0.263506448239804</v>
      </c>
      <c r="M353" s="68" t="s">
        <v>8</v>
      </c>
      <c r="N353" s="68">
        <v>29477.0</v>
      </c>
      <c r="O353" s="68">
        <v>90.0</v>
      </c>
      <c r="P353" s="68">
        <v>0.0031</v>
      </c>
      <c r="Q353" s="68">
        <v>4482.63</v>
      </c>
      <c r="S353" s="68">
        <v>49.81</v>
      </c>
      <c r="T353" s="68">
        <v>1.0</v>
      </c>
      <c r="U353" s="68">
        <v>25805.08</v>
      </c>
      <c r="V353" s="68">
        <v>0.1737</v>
      </c>
      <c r="W353" s="68">
        <v>5.7567</v>
      </c>
    </row>
    <row r="354" ht="15.75" customHeight="1">
      <c r="A354" s="107" t="s">
        <v>56</v>
      </c>
      <c r="B354" s="68" t="s">
        <v>771</v>
      </c>
      <c r="C354" s="68" t="s">
        <v>877</v>
      </c>
      <c r="D354" s="68" t="s">
        <v>773</v>
      </c>
      <c r="E354" s="68" t="s">
        <v>461</v>
      </c>
      <c r="F354" s="68" t="s">
        <v>774</v>
      </c>
      <c r="H354" s="181">
        <v>45260.0</v>
      </c>
      <c r="J354" s="68" t="s">
        <v>196</v>
      </c>
      <c r="K354" s="68">
        <v>2000.0</v>
      </c>
      <c r="L354" s="27">
        <v>0.2153258688758</v>
      </c>
      <c r="M354" s="68" t="s">
        <v>8</v>
      </c>
      <c r="N354" s="68">
        <v>145249.0</v>
      </c>
      <c r="O354" s="68">
        <v>1013.0</v>
      </c>
      <c r="P354" s="68">
        <v>0.007</v>
      </c>
      <c r="Q354" s="68">
        <v>29164.22</v>
      </c>
      <c r="S354" s="68">
        <v>28.79</v>
      </c>
      <c r="T354" s="68">
        <v>8.0</v>
      </c>
      <c r="U354" s="68">
        <v>152413.55</v>
      </c>
      <c r="V354" s="68">
        <v>0.1913</v>
      </c>
      <c r="W354" s="68">
        <v>5.226</v>
      </c>
    </row>
    <row r="355" ht="15.75" customHeight="1">
      <c r="A355" s="107" t="s">
        <v>56</v>
      </c>
      <c r="B355" s="68" t="s">
        <v>771</v>
      </c>
      <c r="C355" s="68" t="s">
        <v>960</v>
      </c>
      <c r="D355" s="68" t="s">
        <v>773</v>
      </c>
      <c r="E355" s="68" t="s">
        <v>459</v>
      </c>
      <c r="F355" s="68" t="s">
        <v>774</v>
      </c>
      <c r="G355" s="68" t="s">
        <v>783</v>
      </c>
      <c r="H355" s="181">
        <v>45352.0</v>
      </c>
      <c r="J355" s="68" t="s">
        <v>140</v>
      </c>
      <c r="K355" s="68">
        <v>1000.0</v>
      </c>
      <c r="L355" s="27">
        <v>0.208425192158732</v>
      </c>
      <c r="M355" s="68" t="s">
        <v>8</v>
      </c>
      <c r="N355" s="68">
        <v>29331.0</v>
      </c>
      <c r="O355" s="68">
        <v>632.0</v>
      </c>
      <c r="P355" s="68">
        <v>0.0215</v>
      </c>
      <c r="Q355" s="68">
        <v>20571.95</v>
      </c>
      <c r="S355" s="68">
        <v>32.55</v>
      </c>
      <c r="T355" s="68">
        <v>4.0</v>
      </c>
      <c r="U355" s="68">
        <v>106906.77</v>
      </c>
      <c r="V355" s="68">
        <v>0.1924</v>
      </c>
      <c r="W355" s="68">
        <v>5.1967</v>
      </c>
    </row>
    <row r="356" ht="15.75" customHeight="1">
      <c r="A356" s="107" t="s">
        <v>56</v>
      </c>
      <c r="B356" s="68" t="s">
        <v>771</v>
      </c>
      <c r="C356" s="68" t="s">
        <v>961</v>
      </c>
      <c r="D356" s="68" t="s">
        <v>773</v>
      </c>
      <c r="E356" s="68" t="s">
        <v>459</v>
      </c>
      <c r="F356" s="68" t="s">
        <v>774</v>
      </c>
      <c r="G356" s="68" t="s">
        <v>783</v>
      </c>
      <c r="H356" s="181">
        <v>45446.0</v>
      </c>
      <c r="J356" s="68" t="s">
        <v>90</v>
      </c>
      <c r="K356" s="68">
        <v>500.0</v>
      </c>
      <c r="L356" s="27">
        <v>0.0657549876861203</v>
      </c>
      <c r="M356" s="68" t="s">
        <v>8</v>
      </c>
      <c r="N356" s="68">
        <v>72773.0</v>
      </c>
      <c r="O356" s="68">
        <v>530.0</v>
      </c>
      <c r="P356" s="68">
        <v>0.0073</v>
      </c>
      <c r="Q356" s="68">
        <v>13522.04</v>
      </c>
      <c r="S356" s="68">
        <v>25.51</v>
      </c>
      <c r="T356" s="68">
        <v>6.0</v>
      </c>
      <c r="U356" s="68">
        <v>68977.94</v>
      </c>
      <c r="V356" s="68">
        <v>0.196</v>
      </c>
      <c r="W356" s="68">
        <v>5.1011</v>
      </c>
    </row>
    <row r="357" ht="15.75" customHeight="1">
      <c r="A357" s="107" t="s">
        <v>56</v>
      </c>
      <c r="B357" s="68" t="s">
        <v>771</v>
      </c>
      <c r="C357" s="68" t="s">
        <v>894</v>
      </c>
      <c r="D357" s="68" t="s">
        <v>773</v>
      </c>
      <c r="E357" s="68" t="s">
        <v>459</v>
      </c>
      <c r="F357" s="68" t="s">
        <v>774</v>
      </c>
      <c r="G357" s="68" t="s">
        <v>783</v>
      </c>
      <c r="H357" s="181">
        <v>45301.0</v>
      </c>
      <c r="J357" s="68" t="s">
        <v>90</v>
      </c>
      <c r="K357" s="68">
        <v>1500.0</v>
      </c>
      <c r="L357" s="27">
        <v>0.163261296660117</v>
      </c>
      <c r="M357" s="68" t="s">
        <v>8</v>
      </c>
      <c r="N357" s="68">
        <v>320373.0</v>
      </c>
      <c r="O357" s="68">
        <v>276.0</v>
      </c>
      <c r="P357" s="68">
        <v>9.0E-4</v>
      </c>
      <c r="Q357" s="68">
        <v>18925.89</v>
      </c>
      <c r="S357" s="68">
        <v>68.57</v>
      </c>
      <c r="T357" s="68">
        <v>3.0</v>
      </c>
      <c r="U357" s="68">
        <v>86271.18</v>
      </c>
      <c r="V357" s="68">
        <v>0.2194</v>
      </c>
      <c r="W357" s="68">
        <v>4.5584</v>
      </c>
    </row>
    <row r="358" ht="15.75" customHeight="1">
      <c r="A358" s="107" t="s">
        <v>56</v>
      </c>
      <c r="B358" s="68" t="s">
        <v>779</v>
      </c>
      <c r="C358" s="68" t="s">
        <v>948</v>
      </c>
      <c r="D358" s="68" t="s">
        <v>781</v>
      </c>
      <c r="E358" s="68" t="s">
        <v>460</v>
      </c>
      <c r="F358" s="68" t="s">
        <v>778</v>
      </c>
      <c r="G358" s="68" t="s">
        <v>775</v>
      </c>
      <c r="H358" s="181">
        <v>45415.0</v>
      </c>
      <c r="J358" s="68" t="s">
        <v>232</v>
      </c>
      <c r="K358" s="68">
        <v>300.0</v>
      </c>
      <c r="L358" s="68" t="s">
        <v>776</v>
      </c>
      <c r="M358" s="68" t="s">
        <v>8</v>
      </c>
      <c r="N358" s="68">
        <v>150772.0</v>
      </c>
      <c r="O358" s="68">
        <v>317.0</v>
      </c>
      <c r="P358" s="68">
        <v>0.0021</v>
      </c>
      <c r="Q358" s="68">
        <v>4210.4</v>
      </c>
      <c r="S358" s="68">
        <v>13.28</v>
      </c>
      <c r="T358" s="68">
        <v>1.0</v>
      </c>
      <c r="U358" s="68">
        <v>15847.46</v>
      </c>
      <c r="V358" s="68">
        <v>0.2657</v>
      </c>
      <c r="W358" s="68">
        <v>3.7639</v>
      </c>
    </row>
    <row r="359" ht="15.75" customHeight="1">
      <c r="A359" s="107" t="s">
        <v>56</v>
      </c>
      <c r="B359" s="68" t="s">
        <v>779</v>
      </c>
      <c r="C359" s="68" t="s">
        <v>962</v>
      </c>
      <c r="D359" s="68" t="s">
        <v>781</v>
      </c>
      <c r="E359" s="68" t="s">
        <v>463</v>
      </c>
      <c r="F359" s="68" t="s">
        <v>774</v>
      </c>
      <c r="H359" s="181">
        <v>45446.0</v>
      </c>
      <c r="J359" s="68" t="s">
        <v>90</v>
      </c>
      <c r="K359" s="68">
        <v>1000.0</v>
      </c>
      <c r="M359" s="68" t="s">
        <v>8</v>
      </c>
      <c r="N359" s="68">
        <v>439567.0</v>
      </c>
      <c r="O359" s="68">
        <v>917.0</v>
      </c>
      <c r="P359" s="68">
        <v>0.0021</v>
      </c>
      <c r="Q359" s="68">
        <v>27141.24</v>
      </c>
      <c r="S359" s="68">
        <v>29.6</v>
      </c>
      <c r="T359" s="68">
        <v>4.0</v>
      </c>
      <c r="U359" s="68">
        <v>87329.67</v>
      </c>
      <c r="V359" s="68">
        <v>0.3108</v>
      </c>
      <c r="W359" s="68">
        <v>3.2176</v>
      </c>
    </row>
    <row r="360" ht="15.75" customHeight="1">
      <c r="A360" s="107" t="s">
        <v>56</v>
      </c>
      <c r="B360" s="68" t="s">
        <v>771</v>
      </c>
      <c r="C360" s="68" t="s">
        <v>822</v>
      </c>
      <c r="D360" s="68" t="s">
        <v>773</v>
      </c>
      <c r="E360" s="68" t="s">
        <v>462</v>
      </c>
      <c r="F360" s="68" t="s">
        <v>774</v>
      </c>
      <c r="H360" s="181">
        <v>45303.0</v>
      </c>
      <c r="J360" s="68" t="s">
        <v>128</v>
      </c>
      <c r="K360" s="68">
        <v>1000.0</v>
      </c>
      <c r="L360" s="27">
        <v>0.0792630676949443</v>
      </c>
      <c r="M360" s="68" t="s">
        <v>8</v>
      </c>
      <c r="N360" s="68">
        <v>234189.0</v>
      </c>
      <c r="O360" s="68">
        <v>1544.0</v>
      </c>
      <c r="P360" s="68">
        <v>0.0066</v>
      </c>
      <c r="Q360" s="68">
        <v>25640.31</v>
      </c>
      <c r="S360" s="68">
        <v>16.61</v>
      </c>
      <c r="T360" s="68">
        <v>3.0</v>
      </c>
      <c r="U360" s="68">
        <v>82245.77</v>
      </c>
      <c r="V360" s="68">
        <v>0.3118</v>
      </c>
      <c r="W360" s="68">
        <v>3.2077</v>
      </c>
    </row>
    <row r="361" ht="15.75" customHeight="1">
      <c r="A361" s="107" t="s">
        <v>56</v>
      </c>
      <c r="B361" s="68" t="s">
        <v>771</v>
      </c>
      <c r="C361" s="68" t="s">
        <v>904</v>
      </c>
      <c r="D361" s="68" t="s">
        <v>773</v>
      </c>
      <c r="E361" s="68" t="s">
        <v>459</v>
      </c>
      <c r="F361" s="68" t="s">
        <v>774</v>
      </c>
      <c r="G361" s="68" t="s">
        <v>783</v>
      </c>
      <c r="H361" s="181">
        <v>45301.0</v>
      </c>
      <c r="J361" s="68" t="s">
        <v>134</v>
      </c>
      <c r="K361" s="68">
        <v>7000.0</v>
      </c>
      <c r="L361" s="27">
        <v>0.203399360611756</v>
      </c>
      <c r="M361" s="68" t="s">
        <v>8</v>
      </c>
      <c r="N361" s="68">
        <v>211759.0</v>
      </c>
      <c r="O361" s="68">
        <v>1201.0</v>
      </c>
      <c r="P361" s="68">
        <v>0.0057</v>
      </c>
      <c r="Q361" s="68">
        <v>67700.3</v>
      </c>
      <c r="S361" s="68">
        <v>56.37</v>
      </c>
      <c r="T361" s="68">
        <v>10.0</v>
      </c>
      <c r="U361" s="68">
        <v>199152.54</v>
      </c>
      <c r="V361" s="68">
        <v>0.3399</v>
      </c>
      <c r="W361" s="68">
        <v>2.9417</v>
      </c>
    </row>
    <row r="362" ht="15.75" customHeight="1">
      <c r="A362" s="107" t="s">
        <v>56</v>
      </c>
      <c r="B362" s="68" t="s">
        <v>771</v>
      </c>
      <c r="C362" s="68" t="s">
        <v>963</v>
      </c>
      <c r="D362" s="68" t="s">
        <v>773</v>
      </c>
      <c r="E362" s="68" t="s">
        <v>459</v>
      </c>
      <c r="F362" s="68" t="s">
        <v>774</v>
      </c>
      <c r="G362" s="68" t="s">
        <v>783</v>
      </c>
      <c r="H362" s="181">
        <v>45352.0</v>
      </c>
      <c r="J362" s="68" t="s">
        <v>140</v>
      </c>
      <c r="K362" s="68">
        <v>2000.0</v>
      </c>
      <c r="L362" s="27">
        <v>0.108943847152414</v>
      </c>
      <c r="M362" s="68" t="s">
        <v>8</v>
      </c>
      <c r="N362" s="68">
        <v>98293.0</v>
      </c>
      <c r="O362" s="68">
        <v>314.0</v>
      </c>
      <c r="P362" s="68">
        <v>0.0032</v>
      </c>
      <c r="Q362" s="68">
        <v>20939.52</v>
      </c>
      <c r="S362" s="68">
        <v>66.69</v>
      </c>
      <c r="T362" s="68">
        <v>2.0</v>
      </c>
      <c r="U362" s="68">
        <v>55423.72</v>
      </c>
      <c r="V362" s="68">
        <v>0.3778</v>
      </c>
      <c r="W362" s="68">
        <v>2.6468</v>
      </c>
    </row>
    <row r="363" ht="15.75" customHeight="1">
      <c r="A363" s="107" t="s">
        <v>56</v>
      </c>
      <c r="B363" s="68" t="s">
        <v>779</v>
      </c>
      <c r="C363" s="68" t="s">
        <v>913</v>
      </c>
      <c r="D363" s="68" t="s">
        <v>781</v>
      </c>
      <c r="E363" s="68" t="s">
        <v>459</v>
      </c>
      <c r="F363" s="68" t="s">
        <v>774</v>
      </c>
      <c r="G363" s="68" t="s">
        <v>783</v>
      </c>
      <c r="H363" s="181">
        <v>45351.0</v>
      </c>
      <c r="J363" s="68" t="s">
        <v>152</v>
      </c>
      <c r="K363" s="68">
        <v>2000.0</v>
      </c>
      <c r="L363" s="27">
        <v>0.286831326796574</v>
      </c>
      <c r="M363" s="68" t="s">
        <v>8</v>
      </c>
      <c r="N363" s="68">
        <v>23118.0</v>
      </c>
      <c r="O363" s="68">
        <v>237.0</v>
      </c>
      <c r="P363" s="68">
        <v>0.0103</v>
      </c>
      <c r="Q363" s="68">
        <v>11655.63</v>
      </c>
      <c r="S363" s="68">
        <v>49.18</v>
      </c>
      <c r="T363" s="68">
        <v>2.0</v>
      </c>
      <c r="U363" s="68">
        <v>26016.94</v>
      </c>
      <c r="V363" s="68">
        <v>0.448</v>
      </c>
      <c r="W363" s="68">
        <v>2.2321</v>
      </c>
    </row>
    <row r="364" ht="15.75" customHeight="1">
      <c r="A364" s="107" t="s">
        <v>56</v>
      </c>
      <c r="B364" s="68" t="s">
        <v>771</v>
      </c>
      <c r="C364" s="68" t="s">
        <v>905</v>
      </c>
      <c r="D364" s="68" t="s">
        <v>773</v>
      </c>
      <c r="E364" s="68" t="s">
        <v>459</v>
      </c>
      <c r="F364" s="68" t="s">
        <v>774</v>
      </c>
      <c r="G364" s="68" t="s">
        <v>783</v>
      </c>
      <c r="H364" s="181">
        <v>45341.0</v>
      </c>
      <c r="J364" s="68" t="s">
        <v>134</v>
      </c>
      <c r="K364" s="68">
        <v>2500.0</v>
      </c>
      <c r="L364" s="27">
        <v>0.189829452355126</v>
      </c>
      <c r="M364" s="68" t="s">
        <v>8</v>
      </c>
      <c r="N364" s="68">
        <v>439519.0</v>
      </c>
      <c r="O364" s="68">
        <v>1833.0</v>
      </c>
      <c r="P364" s="68">
        <v>0.0042</v>
      </c>
      <c r="Q364" s="68">
        <v>115500.1</v>
      </c>
      <c r="S364" s="68">
        <v>63.01</v>
      </c>
      <c r="T364" s="68">
        <v>13.0</v>
      </c>
      <c r="U364" s="68">
        <v>245592.38</v>
      </c>
      <c r="V364" s="68">
        <v>0.4703</v>
      </c>
      <c r="W364" s="68">
        <v>2.1263</v>
      </c>
    </row>
    <row r="365" ht="15.75" customHeight="1">
      <c r="A365" s="107" t="s">
        <v>56</v>
      </c>
      <c r="B365" s="68" t="s">
        <v>779</v>
      </c>
      <c r="C365" s="68" t="s">
        <v>937</v>
      </c>
      <c r="D365" s="68" t="s">
        <v>781</v>
      </c>
      <c r="E365" s="68" t="s">
        <v>459</v>
      </c>
      <c r="F365" s="68" t="s">
        <v>774</v>
      </c>
      <c r="G365" s="68" t="s">
        <v>783</v>
      </c>
      <c r="H365" s="181">
        <v>45405.0</v>
      </c>
      <c r="J365" s="68" t="s">
        <v>128</v>
      </c>
      <c r="K365" s="68">
        <v>5000.0</v>
      </c>
      <c r="L365" s="27">
        <v>0.0502675159235668</v>
      </c>
      <c r="M365" s="68" t="s">
        <v>8</v>
      </c>
      <c r="N365" s="68">
        <v>23688.0</v>
      </c>
      <c r="O365" s="68">
        <v>161.0</v>
      </c>
      <c r="P365" s="68">
        <v>0.0068</v>
      </c>
      <c r="Q365" s="68">
        <v>10549.61</v>
      </c>
      <c r="S365" s="68">
        <v>65.53</v>
      </c>
      <c r="T365" s="68">
        <v>1.0</v>
      </c>
      <c r="U365" s="68">
        <v>15423.72</v>
      </c>
      <c r="V365" s="68">
        <v>0.684</v>
      </c>
      <c r="W365" s="68">
        <v>1.462</v>
      </c>
    </row>
    <row r="366" ht="15.75" customHeight="1">
      <c r="A366" s="107" t="s">
        <v>56</v>
      </c>
      <c r="B366" s="68" t="s">
        <v>771</v>
      </c>
      <c r="C366" s="68" t="s">
        <v>964</v>
      </c>
      <c r="D366" s="68" t="s">
        <v>773</v>
      </c>
      <c r="E366" s="68" t="s">
        <v>459</v>
      </c>
      <c r="F366" s="68" t="s">
        <v>774</v>
      </c>
      <c r="G366" s="68" t="s">
        <v>783</v>
      </c>
      <c r="H366" s="181">
        <v>45460.0</v>
      </c>
      <c r="J366" s="68" t="s">
        <v>232</v>
      </c>
      <c r="K366" s="68">
        <v>1500.0</v>
      </c>
      <c r="L366" s="68" t="s">
        <v>776</v>
      </c>
      <c r="M366" s="68" t="s">
        <v>8</v>
      </c>
      <c r="N366" s="68">
        <v>12958.0</v>
      </c>
      <c r="O366" s="68">
        <v>38.0</v>
      </c>
      <c r="P366" s="68">
        <v>0.0029</v>
      </c>
      <c r="Q366" s="68">
        <v>1946.21</v>
      </c>
      <c r="S366" s="68">
        <v>51.22</v>
      </c>
      <c r="T366" s="68">
        <v>1.0</v>
      </c>
      <c r="U366" s="68">
        <v>2795.76</v>
      </c>
      <c r="V366" s="68">
        <v>0.6961</v>
      </c>
      <c r="W366" s="68">
        <v>1.4365</v>
      </c>
    </row>
    <row r="367" ht="15.75" customHeight="1">
      <c r="A367" s="107" t="s">
        <v>56</v>
      </c>
      <c r="B367" s="68" t="s">
        <v>779</v>
      </c>
      <c r="C367" s="68" t="s">
        <v>965</v>
      </c>
      <c r="D367" s="68" t="s">
        <v>781</v>
      </c>
      <c r="E367" s="68" t="s">
        <v>459</v>
      </c>
      <c r="F367" s="68" t="s">
        <v>774</v>
      </c>
      <c r="G367" s="68" t="s">
        <v>783</v>
      </c>
      <c r="H367" s="181">
        <v>44567.0</v>
      </c>
      <c r="J367" s="68" t="s">
        <v>90</v>
      </c>
      <c r="K367" s="68">
        <v>2000.0</v>
      </c>
      <c r="L367" s="27">
        <v>0.227076395529031</v>
      </c>
      <c r="M367" s="68" t="s">
        <v>8</v>
      </c>
      <c r="N367" s="68">
        <v>364019.0</v>
      </c>
      <c r="O367" s="68">
        <v>454.0</v>
      </c>
      <c r="P367" s="68">
        <v>0.0012</v>
      </c>
      <c r="Q367" s="68">
        <v>32191.94</v>
      </c>
      <c r="S367" s="68">
        <v>70.91</v>
      </c>
      <c r="T367" s="68">
        <v>2.0</v>
      </c>
      <c r="U367" s="68">
        <v>37075.42</v>
      </c>
      <c r="V367" s="68">
        <v>0.8683</v>
      </c>
      <c r="W367" s="68">
        <v>1.1517</v>
      </c>
    </row>
    <row r="368" ht="15.75" customHeight="1">
      <c r="A368" s="107" t="s">
        <v>56</v>
      </c>
      <c r="B368" s="68" t="s">
        <v>771</v>
      </c>
      <c r="C368" s="68" t="s">
        <v>966</v>
      </c>
      <c r="D368" s="68" t="s">
        <v>773</v>
      </c>
      <c r="E368" s="68" t="s">
        <v>459</v>
      </c>
      <c r="F368" s="68" t="s">
        <v>774</v>
      </c>
      <c r="G368" s="68" t="s">
        <v>783</v>
      </c>
      <c r="H368" s="181">
        <v>45357.0</v>
      </c>
      <c r="J368" s="68" t="s">
        <v>232</v>
      </c>
      <c r="K368" s="68">
        <v>2500.0</v>
      </c>
      <c r="L368" s="68" t="s">
        <v>776</v>
      </c>
      <c r="M368" s="68" t="s">
        <v>8</v>
      </c>
      <c r="N368" s="68">
        <v>155958.0</v>
      </c>
      <c r="O368" s="68">
        <v>379.0</v>
      </c>
      <c r="P368" s="68">
        <v>0.0024</v>
      </c>
      <c r="Q368" s="68">
        <v>19548.99</v>
      </c>
      <c r="S368" s="68">
        <v>51.58</v>
      </c>
      <c r="T368" s="68">
        <v>2.0</v>
      </c>
      <c r="U368" s="68">
        <v>18940.67</v>
      </c>
      <c r="V368" s="68">
        <v>1.0321</v>
      </c>
      <c r="W368" s="68">
        <v>0.9689</v>
      </c>
    </row>
    <row r="369" ht="15.75" customHeight="1">
      <c r="A369" s="107" t="s">
        <v>56</v>
      </c>
      <c r="B369" s="68" t="s">
        <v>771</v>
      </c>
      <c r="C369" s="68" t="s">
        <v>967</v>
      </c>
      <c r="D369" s="68" t="s">
        <v>773</v>
      </c>
      <c r="E369" s="68" t="s">
        <v>459</v>
      </c>
      <c r="F369" s="68" t="s">
        <v>774</v>
      </c>
      <c r="G369" s="68" t="s">
        <v>783</v>
      </c>
      <c r="H369" s="181">
        <v>45446.0</v>
      </c>
      <c r="J369" s="68" t="s">
        <v>90</v>
      </c>
      <c r="K369" s="68">
        <v>2000.0</v>
      </c>
      <c r="L369" s="27">
        <v>0.116159017078897</v>
      </c>
      <c r="M369" s="68" t="s">
        <v>8</v>
      </c>
      <c r="N369" s="68">
        <v>123807.0</v>
      </c>
      <c r="O369" s="68">
        <v>353.0</v>
      </c>
      <c r="P369" s="68">
        <v>0.0029</v>
      </c>
      <c r="Q369" s="68">
        <v>22945.97</v>
      </c>
      <c r="S369" s="68">
        <v>65.0</v>
      </c>
      <c r="T369" s="68">
        <v>1.0</v>
      </c>
      <c r="U369" s="68">
        <v>13008.47</v>
      </c>
      <c r="V369" s="68">
        <v>1.7639</v>
      </c>
      <c r="W369" s="68">
        <v>0.5669</v>
      </c>
    </row>
    <row r="370" ht="15.75" customHeight="1">
      <c r="A370" s="107" t="s">
        <v>58</v>
      </c>
      <c r="B370" s="68" t="s">
        <v>771</v>
      </c>
      <c r="C370" s="68" t="s">
        <v>905</v>
      </c>
      <c r="D370" s="68" t="s">
        <v>773</v>
      </c>
      <c r="E370" s="68" t="s">
        <v>459</v>
      </c>
      <c r="F370" s="68" t="s">
        <v>774</v>
      </c>
      <c r="G370" s="68" t="s">
        <v>783</v>
      </c>
      <c r="H370" s="181">
        <v>45341.0</v>
      </c>
      <c r="J370" s="68" t="s">
        <v>134</v>
      </c>
      <c r="K370" s="68">
        <v>700.0</v>
      </c>
      <c r="L370" s="27">
        <v>0.136947257991143</v>
      </c>
      <c r="M370" s="68" t="s">
        <v>8</v>
      </c>
      <c r="N370" s="68">
        <v>344546.0</v>
      </c>
      <c r="O370" s="68">
        <v>1352.0</v>
      </c>
      <c r="P370" s="68">
        <v>0.0039</v>
      </c>
      <c r="Q370" s="68">
        <v>104067.7</v>
      </c>
      <c r="S370" s="68">
        <v>76.97</v>
      </c>
      <c r="T370" s="68">
        <v>13.0</v>
      </c>
      <c r="U370" s="68">
        <v>230363.57</v>
      </c>
      <c r="V370" s="68">
        <v>0.4518</v>
      </c>
      <c r="W370" s="68">
        <v>2.2136</v>
      </c>
    </row>
    <row r="371" ht="15.75" customHeight="1">
      <c r="A371" s="107" t="s">
        <v>58</v>
      </c>
      <c r="B371" s="68" t="s">
        <v>771</v>
      </c>
      <c r="C371" s="68" t="s">
        <v>904</v>
      </c>
      <c r="D371" s="68" t="s">
        <v>773</v>
      </c>
      <c r="E371" s="68" t="s">
        <v>459</v>
      </c>
      <c r="F371" s="68" t="s">
        <v>774</v>
      </c>
      <c r="G371" s="68" t="s">
        <v>968</v>
      </c>
      <c r="H371" s="181">
        <v>45301.0</v>
      </c>
      <c r="J371" s="68" t="s">
        <v>134</v>
      </c>
      <c r="K371" s="68">
        <v>1000.0</v>
      </c>
      <c r="L371" s="27">
        <v>0.163047623890767</v>
      </c>
      <c r="M371" s="68" t="s">
        <v>8</v>
      </c>
      <c r="N371" s="68">
        <v>236745.0</v>
      </c>
      <c r="O371" s="68">
        <v>1233.0</v>
      </c>
      <c r="P371" s="68">
        <v>0.0052</v>
      </c>
      <c r="Q371" s="68">
        <v>74069.43</v>
      </c>
      <c r="S371" s="68">
        <v>60.07</v>
      </c>
      <c r="T371" s="68">
        <v>11.0</v>
      </c>
      <c r="U371" s="68">
        <v>213218.65</v>
      </c>
      <c r="V371" s="68">
        <v>0.3474</v>
      </c>
      <c r="W371" s="68">
        <v>2.8786</v>
      </c>
    </row>
    <row r="372" ht="15.75" customHeight="1">
      <c r="A372" s="107" t="s">
        <v>58</v>
      </c>
      <c r="B372" s="68" t="s">
        <v>771</v>
      </c>
      <c r="C372" s="68" t="s">
        <v>789</v>
      </c>
      <c r="D372" s="68" t="s">
        <v>773</v>
      </c>
      <c r="E372" s="68" t="s">
        <v>459</v>
      </c>
      <c r="F372" s="68" t="s">
        <v>774</v>
      </c>
      <c r="G372" s="68" t="s">
        <v>968</v>
      </c>
      <c r="H372" s="181">
        <v>45260.0</v>
      </c>
      <c r="J372" s="68" t="s">
        <v>128</v>
      </c>
      <c r="K372" s="68">
        <v>500.0</v>
      </c>
      <c r="L372" s="27">
        <v>0.647988027934818</v>
      </c>
      <c r="M372" s="68" t="s">
        <v>8</v>
      </c>
      <c r="N372" s="68">
        <v>392378.0</v>
      </c>
      <c r="O372" s="68">
        <v>1275.0</v>
      </c>
      <c r="P372" s="68">
        <v>0.0032</v>
      </c>
      <c r="Q372" s="68">
        <v>72157.76</v>
      </c>
      <c r="S372" s="68">
        <v>56.59</v>
      </c>
      <c r="T372" s="68">
        <v>49.0</v>
      </c>
      <c r="U372" s="68">
        <v>1118418.66</v>
      </c>
      <c r="V372" s="68">
        <v>0.0645</v>
      </c>
      <c r="W372" s="68">
        <v>15.4996</v>
      </c>
    </row>
    <row r="373" ht="15.75" customHeight="1">
      <c r="A373" s="107" t="s">
        <v>58</v>
      </c>
      <c r="B373" s="68" t="s">
        <v>771</v>
      </c>
      <c r="C373" s="68" t="s">
        <v>877</v>
      </c>
      <c r="D373" s="68" t="s">
        <v>773</v>
      </c>
      <c r="E373" s="68" t="s">
        <v>461</v>
      </c>
      <c r="F373" s="68" t="s">
        <v>774</v>
      </c>
      <c r="H373" s="181">
        <v>45260.0</v>
      </c>
      <c r="J373" s="68" t="s">
        <v>196</v>
      </c>
      <c r="K373" s="68">
        <v>1000.0</v>
      </c>
      <c r="L373" s="27">
        <v>0.156882578242376</v>
      </c>
      <c r="M373" s="68" t="s">
        <v>8</v>
      </c>
      <c r="N373" s="68">
        <v>194851.0</v>
      </c>
      <c r="O373" s="68">
        <v>1536.0</v>
      </c>
      <c r="P373" s="68">
        <v>0.0079</v>
      </c>
      <c r="Q373" s="68">
        <v>65081.25</v>
      </c>
      <c r="S373" s="68">
        <v>42.37</v>
      </c>
      <c r="T373" s="68">
        <v>16.0</v>
      </c>
      <c r="U373" s="68">
        <v>327255.92</v>
      </c>
      <c r="V373" s="68">
        <v>0.1989</v>
      </c>
      <c r="W373" s="68">
        <v>5.0284</v>
      </c>
    </row>
    <row r="374" ht="15.75" customHeight="1">
      <c r="A374" s="107" t="s">
        <v>58</v>
      </c>
      <c r="B374" s="68" t="s">
        <v>771</v>
      </c>
      <c r="C374" s="68" t="s">
        <v>883</v>
      </c>
      <c r="D374" s="68" t="s">
        <v>773</v>
      </c>
      <c r="E374" s="68" t="s">
        <v>462</v>
      </c>
      <c r="F374" s="68" t="s">
        <v>774</v>
      </c>
      <c r="H374" s="181">
        <v>45336.0</v>
      </c>
      <c r="J374" s="68" t="s">
        <v>134</v>
      </c>
      <c r="K374" s="68">
        <v>2000.0</v>
      </c>
      <c r="L374" s="27">
        <v>0.0524492085254892</v>
      </c>
      <c r="M374" s="68" t="s">
        <v>8</v>
      </c>
      <c r="N374" s="68">
        <v>179857.0</v>
      </c>
      <c r="O374" s="68">
        <v>4170.0</v>
      </c>
      <c r="P374" s="68">
        <v>0.0232</v>
      </c>
      <c r="Q374" s="68">
        <v>49198.39</v>
      </c>
      <c r="S374" s="68">
        <v>11.8</v>
      </c>
      <c r="T374" s="68">
        <v>12.0</v>
      </c>
      <c r="U374" s="68">
        <v>222641.52</v>
      </c>
      <c r="V374" s="68">
        <v>0.221</v>
      </c>
      <c r="W374" s="68">
        <v>4.5254</v>
      </c>
    </row>
    <row r="375" ht="15.75" customHeight="1">
      <c r="A375" s="107" t="s">
        <v>58</v>
      </c>
      <c r="B375" s="68" t="s">
        <v>771</v>
      </c>
      <c r="C375" s="68" t="s">
        <v>827</v>
      </c>
      <c r="D375" s="68" t="s">
        <v>773</v>
      </c>
      <c r="E375" s="68" t="s">
        <v>459</v>
      </c>
      <c r="F375" s="68" t="s">
        <v>774</v>
      </c>
      <c r="G375" s="68" t="s">
        <v>968</v>
      </c>
      <c r="H375" s="181">
        <v>45309.0</v>
      </c>
      <c r="J375" s="68" t="s">
        <v>128</v>
      </c>
      <c r="K375" s="68">
        <v>500.0</v>
      </c>
      <c r="L375" s="27">
        <v>0.167696040586743</v>
      </c>
      <c r="M375" s="68" t="s">
        <v>8</v>
      </c>
      <c r="N375" s="68">
        <v>220865.0</v>
      </c>
      <c r="O375" s="68">
        <v>760.0</v>
      </c>
      <c r="P375" s="68">
        <v>0.0034</v>
      </c>
      <c r="Q375" s="68">
        <v>42961.9</v>
      </c>
      <c r="S375" s="68">
        <v>56.53</v>
      </c>
      <c r="T375" s="68">
        <v>27.0</v>
      </c>
      <c r="U375" s="68">
        <v>559244.9</v>
      </c>
      <c r="V375" s="68">
        <v>0.0768</v>
      </c>
      <c r="W375" s="68">
        <v>13.0172</v>
      </c>
    </row>
    <row r="376" ht="15.75" customHeight="1">
      <c r="A376" s="107" t="s">
        <v>58</v>
      </c>
      <c r="B376" s="68" t="s">
        <v>771</v>
      </c>
      <c r="C376" s="68" t="s">
        <v>898</v>
      </c>
      <c r="D376" s="68" t="s">
        <v>773</v>
      </c>
      <c r="E376" s="68" t="s">
        <v>459</v>
      </c>
      <c r="F376" s="68" t="s">
        <v>774</v>
      </c>
      <c r="G376" s="68" t="s">
        <v>775</v>
      </c>
      <c r="H376" s="181">
        <v>45260.0</v>
      </c>
      <c r="J376" s="68" t="s">
        <v>140</v>
      </c>
      <c r="K376" s="68">
        <v>500.0</v>
      </c>
      <c r="L376" s="27">
        <v>0.0609919369396473</v>
      </c>
      <c r="M376" s="68" t="s">
        <v>8</v>
      </c>
      <c r="N376" s="68">
        <v>221140.0</v>
      </c>
      <c r="O376" s="68">
        <v>507.0</v>
      </c>
      <c r="P376" s="68">
        <v>0.0023</v>
      </c>
      <c r="Q376" s="68">
        <v>36150.57</v>
      </c>
      <c r="S376" s="68">
        <v>71.3</v>
      </c>
      <c r="T376" s="68">
        <v>6.0</v>
      </c>
      <c r="U376" s="68">
        <v>114023.72</v>
      </c>
      <c r="V376" s="68">
        <v>0.317</v>
      </c>
      <c r="W376" s="68">
        <v>3.1541</v>
      </c>
    </row>
    <row r="377" ht="15.75" customHeight="1">
      <c r="A377" s="107" t="s">
        <v>58</v>
      </c>
      <c r="B377" s="68" t="s">
        <v>771</v>
      </c>
      <c r="C377" s="68" t="s">
        <v>963</v>
      </c>
      <c r="D377" s="68" t="s">
        <v>773</v>
      </c>
      <c r="E377" s="68" t="s">
        <v>459</v>
      </c>
      <c r="F377" s="68" t="s">
        <v>774</v>
      </c>
      <c r="G377" s="68" t="s">
        <v>775</v>
      </c>
      <c r="H377" s="181">
        <v>45352.0</v>
      </c>
      <c r="J377" s="68" t="s">
        <v>140</v>
      </c>
      <c r="K377" s="68">
        <v>700.0</v>
      </c>
      <c r="L377" s="27">
        <v>0.113550978105972</v>
      </c>
      <c r="M377" s="68" t="s">
        <v>8</v>
      </c>
      <c r="N377" s="68">
        <v>176401.0</v>
      </c>
      <c r="O377" s="68">
        <v>450.0</v>
      </c>
      <c r="P377" s="68">
        <v>0.0026</v>
      </c>
      <c r="Q377" s="68">
        <v>30900.08</v>
      </c>
      <c r="S377" s="68">
        <v>68.67</v>
      </c>
      <c r="T377" s="68">
        <v>6.0</v>
      </c>
      <c r="U377" s="68">
        <v>130787.3</v>
      </c>
      <c r="V377" s="68">
        <v>0.2363</v>
      </c>
      <c r="W377" s="68">
        <v>4.2326</v>
      </c>
    </row>
    <row r="378" ht="15.75" customHeight="1">
      <c r="A378" s="107" t="s">
        <v>58</v>
      </c>
      <c r="B378" s="68" t="s">
        <v>771</v>
      </c>
      <c r="C378" s="68" t="s">
        <v>914</v>
      </c>
      <c r="D378" s="68" t="s">
        <v>773</v>
      </c>
      <c r="E378" s="68" t="s">
        <v>463</v>
      </c>
      <c r="F378" s="68" t="s">
        <v>774</v>
      </c>
      <c r="H378" s="181">
        <v>45355.0</v>
      </c>
      <c r="J378" s="68" t="s">
        <v>90</v>
      </c>
      <c r="K378" s="68">
        <v>500.0</v>
      </c>
      <c r="M378" s="68" t="s">
        <v>8</v>
      </c>
      <c r="N378" s="68">
        <v>342700.0</v>
      </c>
      <c r="O378" s="68">
        <v>1125.0</v>
      </c>
      <c r="P378" s="68">
        <v>0.0033</v>
      </c>
      <c r="Q378" s="68">
        <v>30552.46</v>
      </c>
      <c r="S378" s="68">
        <v>27.16</v>
      </c>
      <c r="T378" s="68">
        <v>18.0</v>
      </c>
      <c r="U378" s="68">
        <v>342759.3</v>
      </c>
      <c r="V378" s="68">
        <v>0.0891</v>
      </c>
      <c r="W378" s="68">
        <v>11.2187</v>
      </c>
    </row>
    <row r="379" ht="15.75" customHeight="1">
      <c r="A379" s="107" t="s">
        <v>58</v>
      </c>
      <c r="B379" s="68" t="s">
        <v>771</v>
      </c>
      <c r="C379" s="68" t="s">
        <v>894</v>
      </c>
      <c r="D379" s="68" t="s">
        <v>773</v>
      </c>
      <c r="E379" s="68" t="s">
        <v>459</v>
      </c>
      <c r="F379" s="68" t="s">
        <v>774</v>
      </c>
      <c r="G379" s="68" t="s">
        <v>775</v>
      </c>
      <c r="H379" s="181">
        <v>45301.0</v>
      </c>
      <c r="J379" s="68" t="s">
        <v>90</v>
      </c>
      <c r="K379" s="68">
        <v>500.0</v>
      </c>
      <c r="L379" s="27">
        <v>0.0514889629321116</v>
      </c>
      <c r="M379" s="68" t="s">
        <v>8</v>
      </c>
      <c r="N379" s="68">
        <v>413425.0</v>
      </c>
      <c r="O379" s="68">
        <v>569.0</v>
      </c>
      <c r="P379" s="68">
        <v>0.0014</v>
      </c>
      <c r="Q379" s="68">
        <v>27998.65</v>
      </c>
      <c r="S379" s="68">
        <v>49.21</v>
      </c>
      <c r="T379" s="68">
        <v>6.0</v>
      </c>
      <c r="U379" s="68">
        <v>145973.74</v>
      </c>
      <c r="V379" s="68">
        <v>0.1918</v>
      </c>
      <c r="W379" s="68">
        <v>5.2136</v>
      </c>
    </row>
    <row r="380" ht="15.75" customHeight="1">
      <c r="A380" s="107" t="s">
        <v>58</v>
      </c>
      <c r="B380" s="68" t="s">
        <v>779</v>
      </c>
      <c r="C380" s="68" t="s">
        <v>910</v>
      </c>
      <c r="D380" s="68" t="s">
        <v>781</v>
      </c>
      <c r="E380" s="68" t="s">
        <v>459</v>
      </c>
      <c r="F380" s="68" t="s">
        <v>774</v>
      </c>
      <c r="G380" s="68" t="s">
        <v>783</v>
      </c>
      <c r="H380" s="181">
        <v>45341.0</v>
      </c>
      <c r="J380" s="68" t="s">
        <v>134</v>
      </c>
      <c r="K380" s="68">
        <v>5750.0</v>
      </c>
      <c r="L380" s="27">
        <v>0.13245173234594</v>
      </c>
      <c r="M380" s="68" t="s">
        <v>8</v>
      </c>
      <c r="N380" s="68">
        <v>20288.0</v>
      </c>
      <c r="O380" s="68">
        <v>153.0</v>
      </c>
      <c r="P380" s="68">
        <v>0.0075</v>
      </c>
      <c r="Q380" s="68">
        <v>22735.8</v>
      </c>
      <c r="S380" s="68">
        <v>148.6</v>
      </c>
      <c r="T380" s="68">
        <v>0.0</v>
      </c>
      <c r="U380" s="68">
        <v>0.0</v>
      </c>
      <c r="V380" s="68">
        <v>0.0</v>
      </c>
      <c r="W380" s="68">
        <v>0.0</v>
      </c>
    </row>
    <row r="381" ht="15.75" customHeight="1">
      <c r="A381" s="107" t="s">
        <v>58</v>
      </c>
      <c r="B381" s="68" t="s">
        <v>771</v>
      </c>
      <c r="C381" s="68" t="s">
        <v>862</v>
      </c>
      <c r="D381" s="68" t="s">
        <v>773</v>
      </c>
      <c r="E381" s="68" t="s">
        <v>463</v>
      </c>
      <c r="F381" s="68" t="s">
        <v>774</v>
      </c>
      <c r="H381" s="181">
        <v>45309.0</v>
      </c>
      <c r="J381" s="68" t="s">
        <v>128</v>
      </c>
      <c r="K381" s="68">
        <v>500.0</v>
      </c>
      <c r="M381" s="68" t="s">
        <v>8</v>
      </c>
      <c r="N381" s="68">
        <v>126007.0</v>
      </c>
      <c r="O381" s="68">
        <v>474.0</v>
      </c>
      <c r="P381" s="68">
        <v>0.0038</v>
      </c>
      <c r="Q381" s="68">
        <v>21139.08</v>
      </c>
      <c r="S381" s="68">
        <v>44.6</v>
      </c>
      <c r="T381" s="68">
        <v>20.0</v>
      </c>
      <c r="U381" s="68">
        <v>399301.69</v>
      </c>
      <c r="V381" s="68">
        <v>0.0529</v>
      </c>
      <c r="W381" s="68">
        <v>18.8893</v>
      </c>
    </row>
    <row r="382" ht="15.75" customHeight="1">
      <c r="A382" s="107" t="s">
        <v>58</v>
      </c>
      <c r="B382" s="68" t="s">
        <v>771</v>
      </c>
      <c r="C382" s="68" t="s">
        <v>822</v>
      </c>
      <c r="D382" s="68" t="s">
        <v>773</v>
      </c>
      <c r="E382" s="68" t="s">
        <v>462</v>
      </c>
      <c r="F382" s="68" t="s">
        <v>774</v>
      </c>
      <c r="H382" s="181">
        <v>45303.0</v>
      </c>
      <c r="J382" s="68" t="s">
        <v>128</v>
      </c>
      <c r="K382" s="68">
        <v>500.0</v>
      </c>
      <c r="L382" s="27">
        <v>0.133353311357506</v>
      </c>
      <c r="M382" s="68" t="s">
        <v>8</v>
      </c>
      <c r="N382" s="68">
        <v>142863.0</v>
      </c>
      <c r="O382" s="68">
        <v>1322.0</v>
      </c>
      <c r="P382" s="68">
        <v>0.0093</v>
      </c>
      <c r="Q382" s="68">
        <v>20257.38</v>
      </c>
      <c r="S382" s="68">
        <v>15.32</v>
      </c>
      <c r="T382" s="68">
        <v>3.0</v>
      </c>
      <c r="U382" s="68">
        <v>56969.49</v>
      </c>
      <c r="V382" s="68">
        <v>0.3556</v>
      </c>
      <c r="W382" s="68">
        <v>2.8123</v>
      </c>
    </row>
    <row r="383" ht="15.75" customHeight="1">
      <c r="A383" s="107" t="s">
        <v>58</v>
      </c>
      <c r="B383" s="68" t="s">
        <v>771</v>
      </c>
      <c r="C383" s="68" t="s">
        <v>798</v>
      </c>
      <c r="D383" s="68" t="s">
        <v>773</v>
      </c>
      <c r="E383" s="68" t="s">
        <v>461</v>
      </c>
      <c r="F383" s="68" t="s">
        <v>774</v>
      </c>
      <c r="H383" s="181">
        <v>45260.0</v>
      </c>
      <c r="J383" s="68" t="s">
        <v>128</v>
      </c>
      <c r="K383" s="68">
        <v>500.0</v>
      </c>
      <c r="L383" s="27">
        <v>0.654485776805251</v>
      </c>
      <c r="M383" s="68" t="s">
        <v>8</v>
      </c>
      <c r="N383" s="68">
        <v>206718.0</v>
      </c>
      <c r="O383" s="68">
        <v>857.0</v>
      </c>
      <c r="P383" s="68">
        <v>0.0041</v>
      </c>
      <c r="Q383" s="68">
        <v>20200.17</v>
      </c>
      <c r="S383" s="68">
        <v>23.57</v>
      </c>
      <c r="T383" s="68">
        <v>11.0</v>
      </c>
      <c r="U383" s="68">
        <v>202404.24</v>
      </c>
      <c r="V383" s="68">
        <v>0.0998</v>
      </c>
      <c r="W383" s="68">
        <v>10.0199</v>
      </c>
    </row>
    <row r="384" ht="15.75" customHeight="1">
      <c r="A384" s="107" t="s">
        <v>58</v>
      </c>
      <c r="B384" s="68" t="s">
        <v>771</v>
      </c>
      <c r="C384" s="68" t="s">
        <v>969</v>
      </c>
      <c r="D384" s="68" t="s">
        <v>773</v>
      </c>
      <c r="E384" s="68" t="s">
        <v>459</v>
      </c>
      <c r="F384" s="68" t="s">
        <v>774</v>
      </c>
      <c r="G384" s="68" t="s">
        <v>783</v>
      </c>
      <c r="H384" s="181">
        <v>45477.0</v>
      </c>
      <c r="J384" s="68" t="s">
        <v>205</v>
      </c>
      <c r="K384" s="68">
        <v>15000.0</v>
      </c>
      <c r="L384" s="68" t="s">
        <v>776</v>
      </c>
      <c r="M384" s="68" t="s">
        <v>8</v>
      </c>
      <c r="N384" s="68">
        <v>194423.0</v>
      </c>
      <c r="O384" s="68">
        <v>223.0</v>
      </c>
      <c r="P384" s="68">
        <v>0.0011</v>
      </c>
      <c r="Q384" s="68">
        <v>17953.7</v>
      </c>
      <c r="S384" s="68">
        <v>80.51</v>
      </c>
      <c r="T384" s="68">
        <v>4.0</v>
      </c>
      <c r="U384" s="68">
        <v>81608.47</v>
      </c>
      <c r="V384" s="68">
        <v>0.22</v>
      </c>
      <c r="W384" s="68">
        <v>4.5455</v>
      </c>
    </row>
    <row r="385" ht="15.75" customHeight="1">
      <c r="A385" s="107" t="s">
        <v>58</v>
      </c>
      <c r="B385" s="68" t="s">
        <v>779</v>
      </c>
      <c r="C385" s="68" t="s">
        <v>939</v>
      </c>
      <c r="D385" s="68" t="s">
        <v>781</v>
      </c>
      <c r="E385" s="68" t="s">
        <v>463</v>
      </c>
      <c r="F385" s="68" t="s">
        <v>774</v>
      </c>
      <c r="H385" s="181">
        <v>45392.0</v>
      </c>
      <c r="J385" s="68" t="s">
        <v>205</v>
      </c>
      <c r="K385" s="68">
        <v>14000.0</v>
      </c>
      <c r="M385" s="68" t="s">
        <v>8</v>
      </c>
      <c r="N385" s="68">
        <v>428960.0</v>
      </c>
      <c r="O385" s="68">
        <v>1343.0</v>
      </c>
      <c r="P385" s="68">
        <v>0.0031</v>
      </c>
      <c r="Q385" s="68">
        <v>17705.02</v>
      </c>
      <c r="S385" s="68">
        <v>13.18</v>
      </c>
      <c r="T385" s="68">
        <v>0.0</v>
      </c>
      <c r="U385" s="68">
        <v>0.0</v>
      </c>
      <c r="V385" s="68">
        <v>0.0</v>
      </c>
      <c r="W385" s="68">
        <v>0.0</v>
      </c>
    </row>
    <row r="386" ht="15.75" customHeight="1">
      <c r="A386" s="107" t="s">
        <v>58</v>
      </c>
      <c r="B386" s="68" t="s">
        <v>779</v>
      </c>
      <c r="C386" s="68" t="s">
        <v>970</v>
      </c>
      <c r="D386" s="68" t="s">
        <v>781</v>
      </c>
      <c r="E386" s="68" t="s">
        <v>459</v>
      </c>
      <c r="F386" s="68" t="s">
        <v>774</v>
      </c>
      <c r="G386" s="68" t="s">
        <v>783</v>
      </c>
      <c r="H386" s="181">
        <v>45488.0</v>
      </c>
      <c r="J386" s="68" t="s">
        <v>90</v>
      </c>
      <c r="K386" s="68">
        <v>7000.0</v>
      </c>
      <c r="L386" s="27">
        <v>0.0870520993624972</v>
      </c>
      <c r="M386" s="68" t="s">
        <v>8</v>
      </c>
      <c r="N386" s="68">
        <v>56797.0</v>
      </c>
      <c r="O386" s="68">
        <v>201.0</v>
      </c>
      <c r="P386" s="68">
        <v>0.0035</v>
      </c>
      <c r="Q386" s="68">
        <v>16870.76</v>
      </c>
      <c r="S386" s="68">
        <v>83.93</v>
      </c>
      <c r="T386" s="68">
        <v>3.0</v>
      </c>
      <c r="U386" s="68">
        <v>76822.03</v>
      </c>
      <c r="V386" s="68">
        <v>0.2196</v>
      </c>
      <c r="W386" s="68">
        <v>4.5536</v>
      </c>
    </row>
    <row r="387" ht="15.75" customHeight="1">
      <c r="A387" s="107" t="s">
        <v>58</v>
      </c>
      <c r="B387" s="68" t="s">
        <v>771</v>
      </c>
      <c r="C387" s="68" t="s">
        <v>967</v>
      </c>
      <c r="D387" s="68" t="s">
        <v>773</v>
      </c>
      <c r="E387" s="68" t="s">
        <v>459</v>
      </c>
      <c r="F387" s="68" t="s">
        <v>774</v>
      </c>
      <c r="G387" s="68" t="s">
        <v>775</v>
      </c>
      <c r="H387" s="181">
        <v>45446.0</v>
      </c>
      <c r="J387" s="68" t="s">
        <v>90</v>
      </c>
      <c r="K387" s="68">
        <v>500.0</v>
      </c>
      <c r="L387" s="27">
        <v>0.0522259876514553</v>
      </c>
      <c r="M387" s="68" t="s">
        <v>8</v>
      </c>
      <c r="N387" s="68">
        <v>98960.0</v>
      </c>
      <c r="O387" s="68">
        <v>253.0</v>
      </c>
      <c r="P387" s="68">
        <v>0.0026</v>
      </c>
      <c r="Q387" s="68">
        <v>15216.57</v>
      </c>
      <c r="S387" s="68">
        <v>60.14</v>
      </c>
      <c r="T387" s="68">
        <v>4.0</v>
      </c>
      <c r="U387" s="68">
        <v>53771.19</v>
      </c>
      <c r="V387" s="68">
        <v>0.283</v>
      </c>
      <c r="W387" s="68">
        <v>3.5337</v>
      </c>
    </row>
    <row r="388" ht="15.75" customHeight="1">
      <c r="A388" s="107" t="s">
        <v>58</v>
      </c>
      <c r="B388" s="68" t="s">
        <v>771</v>
      </c>
      <c r="C388" s="68" t="s">
        <v>966</v>
      </c>
      <c r="D388" s="68" t="s">
        <v>773</v>
      </c>
      <c r="E388" s="68" t="s">
        <v>459</v>
      </c>
      <c r="F388" s="68" t="s">
        <v>774</v>
      </c>
      <c r="G388" s="68" t="s">
        <v>775</v>
      </c>
      <c r="H388" s="181">
        <v>45357.0</v>
      </c>
      <c r="J388" s="68" t="s">
        <v>232</v>
      </c>
      <c r="K388" s="68">
        <v>2500.0</v>
      </c>
      <c r="L388" s="68" t="s">
        <v>776</v>
      </c>
      <c r="M388" s="68" t="s">
        <v>8</v>
      </c>
      <c r="N388" s="68">
        <v>268918.0</v>
      </c>
      <c r="O388" s="68">
        <v>364.0</v>
      </c>
      <c r="P388" s="68">
        <v>0.0014</v>
      </c>
      <c r="Q388" s="68">
        <v>14433.03</v>
      </c>
      <c r="S388" s="68">
        <v>39.65</v>
      </c>
      <c r="T388" s="68">
        <v>2.0</v>
      </c>
      <c r="U388" s="68">
        <v>30898.3</v>
      </c>
      <c r="V388" s="68">
        <v>0.4671</v>
      </c>
      <c r="W388" s="68">
        <v>2.1408</v>
      </c>
    </row>
    <row r="389" ht="15.75" customHeight="1">
      <c r="A389" s="107" t="s">
        <v>58</v>
      </c>
      <c r="B389" s="68" t="s">
        <v>771</v>
      </c>
      <c r="C389" s="68" t="s">
        <v>957</v>
      </c>
      <c r="D389" s="68" t="s">
        <v>773</v>
      </c>
      <c r="E389" s="68" t="s">
        <v>459</v>
      </c>
      <c r="F389" s="68" t="s">
        <v>774</v>
      </c>
      <c r="G389" s="68" t="s">
        <v>775</v>
      </c>
      <c r="H389" s="181">
        <v>45260.0</v>
      </c>
      <c r="J389" s="68" t="s">
        <v>140</v>
      </c>
      <c r="K389" s="68">
        <v>500.0</v>
      </c>
      <c r="L389" s="68" t="s">
        <v>776</v>
      </c>
      <c r="M389" s="68" t="s">
        <v>8</v>
      </c>
      <c r="N389" s="68">
        <v>246387.0</v>
      </c>
      <c r="O389" s="68">
        <v>432.0</v>
      </c>
      <c r="P389" s="68">
        <v>0.0018</v>
      </c>
      <c r="Q389" s="68">
        <v>12640.0</v>
      </c>
      <c r="S389" s="68">
        <v>29.26</v>
      </c>
      <c r="T389" s="68">
        <v>5.0</v>
      </c>
      <c r="U389" s="68">
        <v>109567.79</v>
      </c>
      <c r="V389" s="68">
        <v>0.1154</v>
      </c>
      <c r="W389" s="68">
        <v>8.6683</v>
      </c>
    </row>
    <row r="390" ht="15.75" customHeight="1">
      <c r="A390" s="107" t="s">
        <v>58</v>
      </c>
      <c r="B390" s="68" t="s">
        <v>779</v>
      </c>
      <c r="C390" s="68" t="s">
        <v>971</v>
      </c>
      <c r="D390" s="68" t="s">
        <v>781</v>
      </c>
      <c r="E390" s="68" t="s">
        <v>459</v>
      </c>
      <c r="F390" s="68" t="s">
        <v>774</v>
      </c>
      <c r="G390" s="68" t="s">
        <v>783</v>
      </c>
      <c r="H390" s="181">
        <v>45488.0</v>
      </c>
      <c r="J390" s="68" t="s">
        <v>90</v>
      </c>
      <c r="K390" s="68">
        <v>6000.0</v>
      </c>
      <c r="L390" s="68" t="s">
        <v>776</v>
      </c>
      <c r="M390" s="68" t="s">
        <v>8</v>
      </c>
      <c r="N390" s="68">
        <v>101271.0</v>
      </c>
      <c r="O390" s="68">
        <v>161.0</v>
      </c>
      <c r="P390" s="68">
        <v>0.0016</v>
      </c>
      <c r="Q390" s="68">
        <v>11267.67</v>
      </c>
      <c r="S390" s="68">
        <v>69.99</v>
      </c>
      <c r="T390" s="68">
        <v>1.0</v>
      </c>
      <c r="U390" s="68">
        <v>22033.05</v>
      </c>
      <c r="V390" s="68">
        <v>0.5114</v>
      </c>
      <c r="W390" s="68">
        <v>1.9554</v>
      </c>
    </row>
    <row r="391" ht="15.75" customHeight="1">
      <c r="A391" s="107" t="s">
        <v>58</v>
      </c>
      <c r="B391" s="68" t="s">
        <v>771</v>
      </c>
      <c r="C391" s="68" t="s">
        <v>960</v>
      </c>
      <c r="D391" s="68" t="s">
        <v>773</v>
      </c>
      <c r="E391" s="68" t="s">
        <v>459</v>
      </c>
      <c r="F391" s="68" t="s">
        <v>774</v>
      </c>
      <c r="G391" s="68" t="s">
        <v>775</v>
      </c>
      <c r="H391" s="181">
        <v>45352.0</v>
      </c>
      <c r="J391" s="68" t="s">
        <v>140</v>
      </c>
      <c r="K391" s="68">
        <v>500.0</v>
      </c>
      <c r="L391" s="27">
        <v>0.414471029115018</v>
      </c>
      <c r="M391" s="68" t="s">
        <v>8</v>
      </c>
      <c r="N391" s="68">
        <v>19199.0</v>
      </c>
      <c r="O391" s="68">
        <v>376.0</v>
      </c>
      <c r="P391" s="68">
        <v>0.0196</v>
      </c>
      <c r="Q391" s="68">
        <v>10449.57</v>
      </c>
      <c r="S391" s="68">
        <v>27.79</v>
      </c>
      <c r="T391" s="68">
        <v>4.0</v>
      </c>
      <c r="U391" s="68">
        <v>103050.84</v>
      </c>
      <c r="V391" s="68">
        <v>0.1014</v>
      </c>
      <c r="W391" s="68">
        <v>9.8617</v>
      </c>
    </row>
    <row r="392" ht="15.75" customHeight="1">
      <c r="A392" s="107" t="s">
        <v>58</v>
      </c>
      <c r="B392" s="68" t="s">
        <v>771</v>
      </c>
      <c r="C392" s="68" t="s">
        <v>895</v>
      </c>
      <c r="D392" s="68" t="s">
        <v>773</v>
      </c>
      <c r="E392" s="68" t="s">
        <v>459</v>
      </c>
      <c r="F392" s="68" t="s">
        <v>774</v>
      </c>
      <c r="G392" s="68" t="s">
        <v>775</v>
      </c>
      <c r="H392" s="181">
        <v>45338.0</v>
      </c>
      <c r="J392" s="68" t="s">
        <v>134</v>
      </c>
      <c r="K392" s="68">
        <v>6000.0</v>
      </c>
      <c r="L392" s="68" t="s">
        <v>776</v>
      </c>
      <c r="M392" s="68" t="s">
        <v>8</v>
      </c>
      <c r="N392" s="68">
        <v>12760.0</v>
      </c>
      <c r="O392" s="68">
        <v>113.0</v>
      </c>
      <c r="P392" s="68">
        <v>0.0089</v>
      </c>
      <c r="Q392" s="68">
        <v>10439.37</v>
      </c>
      <c r="S392" s="68">
        <v>92.38</v>
      </c>
      <c r="T392" s="68">
        <v>1.0</v>
      </c>
      <c r="U392" s="68">
        <v>14745.76</v>
      </c>
      <c r="V392" s="68">
        <v>0.708</v>
      </c>
      <c r="W392" s="68">
        <v>1.4125</v>
      </c>
    </row>
    <row r="393" ht="15.75" customHeight="1">
      <c r="A393" s="107" t="s">
        <v>58</v>
      </c>
      <c r="B393" s="68" t="s">
        <v>779</v>
      </c>
      <c r="C393" s="68" t="s">
        <v>972</v>
      </c>
      <c r="D393" s="68" t="s">
        <v>781</v>
      </c>
      <c r="E393" s="68" t="s">
        <v>459</v>
      </c>
      <c r="F393" s="68" t="s">
        <v>774</v>
      </c>
      <c r="G393" s="68" t="s">
        <v>783</v>
      </c>
      <c r="H393" s="181">
        <v>45490.0</v>
      </c>
      <c r="J393" s="68" t="s">
        <v>90</v>
      </c>
      <c r="K393" s="68">
        <v>10000.0</v>
      </c>
      <c r="L393" s="27">
        <v>0.0593262055250359</v>
      </c>
      <c r="M393" s="68" t="s">
        <v>8</v>
      </c>
      <c r="N393" s="68">
        <v>151352.0</v>
      </c>
      <c r="O393" s="68">
        <v>176.0</v>
      </c>
      <c r="P393" s="68">
        <v>0.0012</v>
      </c>
      <c r="Q393" s="68">
        <v>10303.68</v>
      </c>
      <c r="S393" s="68">
        <v>58.54</v>
      </c>
      <c r="T393" s="68">
        <v>3.0</v>
      </c>
      <c r="U393" s="68">
        <v>66905.93</v>
      </c>
      <c r="V393" s="68">
        <v>0.154</v>
      </c>
      <c r="W393" s="68">
        <v>6.4934</v>
      </c>
    </row>
    <row r="394" ht="15.75" customHeight="1">
      <c r="A394" s="107" t="s">
        <v>58</v>
      </c>
      <c r="B394" s="68" t="s">
        <v>779</v>
      </c>
      <c r="C394" s="68" t="s">
        <v>956</v>
      </c>
      <c r="D394" s="68" t="s">
        <v>781</v>
      </c>
      <c r="E394" s="68" t="s">
        <v>463</v>
      </c>
      <c r="F394" s="68" t="s">
        <v>774</v>
      </c>
      <c r="H394" s="181">
        <v>45461.0</v>
      </c>
      <c r="J394" s="68" t="s">
        <v>90</v>
      </c>
      <c r="K394" s="68">
        <v>917.27</v>
      </c>
      <c r="M394" s="68" t="s">
        <v>8</v>
      </c>
      <c r="N394" s="68">
        <v>808786.0</v>
      </c>
      <c r="O394" s="68">
        <v>2809.0</v>
      </c>
      <c r="P394" s="68">
        <v>0.0035</v>
      </c>
      <c r="Q394" s="68">
        <v>9635.48</v>
      </c>
      <c r="S394" s="68">
        <v>3.43</v>
      </c>
      <c r="T394" s="68">
        <v>0.0</v>
      </c>
      <c r="U394" s="68">
        <v>0.0</v>
      </c>
      <c r="V394" s="68">
        <v>0.0</v>
      </c>
      <c r="W394" s="68">
        <v>0.0</v>
      </c>
    </row>
    <row r="395" ht="15.75" customHeight="1">
      <c r="A395" s="107" t="s">
        <v>58</v>
      </c>
      <c r="B395" s="68" t="s">
        <v>779</v>
      </c>
      <c r="C395" s="68" t="s">
        <v>961</v>
      </c>
      <c r="D395" s="68" t="s">
        <v>781</v>
      </c>
      <c r="E395" s="68" t="s">
        <v>459</v>
      </c>
      <c r="F395" s="68" t="s">
        <v>774</v>
      </c>
      <c r="G395" s="68" t="s">
        <v>783</v>
      </c>
      <c r="H395" s="181">
        <v>45446.0</v>
      </c>
      <c r="J395" s="68" t="s">
        <v>90</v>
      </c>
      <c r="K395" s="68">
        <v>596.22</v>
      </c>
      <c r="L395" s="68" t="s">
        <v>776</v>
      </c>
      <c r="M395" s="68" t="s">
        <v>8</v>
      </c>
      <c r="N395" s="68">
        <v>62292.0</v>
      </c>
      <c r="O395" s="68">
        <v>280.0</v>
      </c>
      <c r="P395" s="68">
        <v>0.0045</v>
      </c>
      <c r="Q395" s="68">
        <v>9535.51</v>
      </c>
      <c r="S395" s="68">
        <v>34.06</v>
      </c>
      <c r="T395" s="68">
        <v>2.0</v>
      </c>
      <c r="U395" s="68">
        <v>28381.35</v>
      </c>
      <c r="V395" s="68">
        <v>0.336</v>
      </c>
      <c r="W395" s="68">
        <v>2.9764</v>
      </c>
    </row>
    <row r="396" ht="15.75" customHeight="1">
      <c r="A396" s="107" t="s">
        <v>58</v>
      </c>
      <c r="B396" s="68" t="s">
        <v>771</v>
      </c>
      <c r="C396" s="68" t="s">
        <v>946</v>
      </c>
      <c r="D396" s="68" t="s">
        <v>773</v>
      </c>
      <c r="E396" s="68" t="s">
        <v>459</v>
      </c>
      <c r="F396" s="68" t="s">
        <v>774</v>
      </c>
      <c r="G396" s="68" t="s">
        <v>775</v>
      </c>
      <c r="H396" s="181">
        <v>45427.0</v>
      </c>
      <c r="J396" s="68" t="s">
        <v>232</v>
      </c>
      <c r="K396" s="68">
        <v>917.27</v>
      </c>
      <c r="L396" s="27">
        <v>0.0604180057182118</v>
      </c>
      <c r="M396" s="68" t="s">
        <v>8</v>
      </c>
      <c r="N396" s="68">
        <v>136780.0</v>
      </c>
      <c r="O396" s="68">
        <v>221.0</v>
      </c>
      <c r="P396" s="68">
        <v>0.0016</v>
      </c>
      <c r="Q396" s="68">
        <v>7685.77</v>
      </c>
      <c r="S396" s="68">
        <v>34.78</v>
      </c>
      <c r="T396" s="68">
        <v>0.0</v>
      </c>
      <c r="U396" s="68">
        <v>0.0</v>
      </c>
      <c r="V396" s="68">
        <v>0.0</v>
      </c>
      <c r="W396" s="68">
        <v>0.0</v>
      </c>
    </row>
    <row r="397" ht="15.75" customHeight="1">
      <c r="A397" s="107" t="s">
        <v>58</v>
      </c>
      <c r="B397" s="68" t="s">
        <v>771</v>
      </c>
      <c r="C397" s="68" t="s">
        <v>954</v>
      </c>
      <c r="D397" s="68" t="s">
        <v>773</v>
      </c>
      <c r="E397" s="68" t="s">
        <v>459</v>
      </c>
      <c r="F397" s="68" t="s">
        <v>774</v>
      </c>
      <c r="G397" s="68" t="s">
        <v>783</v>
      </c>
      <c r="H397" s="181">
        <v>45457.0</v>
      </c>
      <c r="J397" s="68" t="s">
        <v>134</v>
      </c>
      <c r="K397" s="68">
        <v>500.0</v>
      </c>
      <c r="L397" s="27">
        <v>0.170629820051413</v>
      </c>
      <c r="M397" s="68" t="s">
        <v>8</v>
      </c>
      <c r="N397" s="68">
        <v>50732.0</v>
      </c>
      <c r="O397" s="68">
        <v>124.0</v>
      </c>
      <c r="P397" s="68">
        <v>0.0024</v>
      </c>
      <c r="Q397" s="68">
        <v>7409.32</v>
      </c>
      <c r="S397" s="68">
        <v>59.75</v>
      </c>
      <c r="T397" s="68">
        <v>4.0</v>
      </c>
      <c r="U397" s="68">
        <v>70423.72</v>
      </c>
      <c r="V397" s="68">
        <v>0.1052</v>
      </c>
      <c r="W397" s="68">
        <v>9.5047</v>
      </c>
    </row>
    <row r="398" ht="15.75" customHeight="1">
      <c r="A398" s="107" t="s">
        <v>58</v>
      </c>
      <c r="B398" s="68" t="s">
        <v>771</v>
      </c>
      <c r="C398" s="68" t="s">
        <v>924</v>
      </c>
      <c r="D398" s="68" t="s">
        <v>773</v>
      </c>
      <c r="E398" s="68" t="s">
        <v>460</v>
      </c>
      <c r="F398" s="68" t="s">
        <v>778</v>
      </c>
      <c r="G398" s="68" t="s">
        <v>775</v>
      </c>
      <c r="H398" s="181">
        <v>45356.0</v>
      </c>
      <c r="J398" s="68" t="s">
        <v>211</v>
      </c>
      <c r="K398" s="68">
        <v>300.0</v>
      </c>
      <c r="L398" s="68" t="s">
        <v>776</v>
      </c>
      <c r="M398" s="68" t="s">
        <v>8</v>
      </c>
      <c r="N398" s="68">
        <v>498872.0</v>
      </c>
      <c r="O398" s="68">
        <v>1502.0</v>
      </c>
      <c r="P398" s="68">
        <v>0.003</v>
      </c>
      <c r="Q398" s="68">
        <v>6792.52</v>
      </c>
      <c r="S398" s="68">
        <v>4.52</v>
      </c>
      <c r="T398" s="68">
        <v>28.0</v>
      </c>
      <c r="U398" s="68">
        <v>112655.98</v>
      </c>
      <c r="V398" s="68">
        <v>0.0603</v>
      </c>
      <c r="W398" s="68">
        <v>16.5853</v>
      </c>
    </row>
    <row r="399" ht="15.75" customHeight="1">
      <c r="A399" s="107" t="s">
        <v>58</v>
      </c>
      <c r="B399" s="68" t="s">
        <v>771</v>
      </c>
      <c r="C399" s="68" t="s">
        <v>953</v>
      </c>
      <c r="D399" s="68" t="s">
        <v>773</v>
      </c>
      <c r="E399" s="68" t="s">
        <v>459</v>
      </c>
      <c r="F399" s="68" t="s">
        <v>774</v>
      </c>
      <c r="G399" s="68" t="s">
        <v>775</v>
      </c>
      <c r="H399" s="181">
        <v>45456.0</v>
      </c>
      <c r="J399" s="68" t="s">
        <v>232</v>
      </c>
      <c r="K399" s="68">
        <v>1500.0</v>
      </c>
      <c r="L399" s="68" t="s">
        <v>776</v>
      </c>
      <c r="M399" s="68" t="s">
        <v>8</v>
      </c>
      <c r="N399" s="68">
        <v>108531.0</v>
      </c>
      <c r="O399" s="68">
        <v>258.0</v>
      </c>
      <c r="P399" s="68">
        <v>0.0024</v>
      </c>
      <c r="Q399" s="68">
        <v>6056.0</v>
      </c>
      <c r="S399" s="68">
        <v>23.47</v>
      </c>
      <c r="T399" s="68">
        <v>3.0</v>
      </c>
      <c r="U399" s="68">
        <v>43042.37</v>
      </c>
      <c r="V399" s="68">
        <v>0.1407</v>
      </c>
      <c r="W399" s="68">
        <v>7.1074</v>
      </c>
    </row>
    <row r="400" ht="15.75" customHeight="1">
      <c r="A400" s="107" t="s">
        <v>58</v>
      </c>
      <c r="B400" s="68" t="s">
        <v>771</v>
      </c>
      <c r="C400" s="68" t="s">
        <v>916</v>
      </c>
      <c r="D400" s="68" t="s">
        <v>773</v>
      </c>
      <c r="E400" s="68" t="s">
        <v>459</v>
      </c>
      <c r="F400" s="68" t="s">
        <v>774</v>
      </c>
      <c r="G400" s="68" t="s">
        <v>783</v>
      </c>
      <c r="H400" s="181">
        <v>45356.0</v>
      </c>
      <c r="J400" s="68" t="s">
        <v>205</v>
      </c>
      <c r="K400" s="68">
        <v>5900.0</v>
      </c>
      <c r="L400" s="27">
        <v>0.0695341059345103</v>
      </c>
      <c r="M400" s="68" t="s">
        <v>8</v>
      </c>
      <c r="N400" s="68">
        <v>30327.0</v>
      </c>
      <c r="O400" s="68">
        <v>43.0</v>
      </c>
      <c r="P400" s="68">
        <v>0.0014</v>
      </c>
      <c r="Q400" s="68">
        <v>5834.02</v>
      </c>
      <c r="S400" s="68">
        <v>135.67</v>
      </c>
      <c r="T400" s="68">
        <v>1.0</v>
      </c>
      <c r="U400" s="68">
        <v>22033.05</v>
      </c>
      <c r="V400" s="68">
        <v>0.2648</v>
      </c>
      <c r="W400" s="68">
        <v>3.7766</v>
      </c>
    </row>
    <row r="401" ht="15.75" customHeight="1">
      <c r="A401" s="107" t="s">
        <v>58</v>
      </c>
      <c r="B401" s="68" t="s">
        <v>771</v>
      </c>
      <c r="C401" s="68" t="s">
        <v>964</v>
      </c>
      <c r="D401" s="68" t="s">
        <v>773</v>
      </c>
      <c r="E401" s="68" t="s">
        <v>459</v>
      </c>
      <c r="F401" s="68" t="s">
        <v>774</v>
      </c>
      <c r="G401" s="68" t="s">
        <v>775</v>
      </c>
      <c r="H401" s="181">
        <v>45460.0</v>
      </c>
      <c r="J401" s="68" t="s">
        <v>232</v>
      </c>
      <c r="K401" s="68">
        <v>887.69</v>
      </c>
      <c r="L401" s="68" t="s">
        <v>776</v>
      </c>
      <c r="M401" s="68" t="s">
        <v>8</v>
      </c>
      <c r="N401" s="68">
        <v>37931.0</v>
      </c>
      <c r="O401" s="68">
        <v>98.0</v>
      </c>
      <c r="P401" s="68">
        <v>0.0026</v>
      </c>
      <c r="Q401" s="68">
        <v>5202.73</v>
      </c>
      <c r="S401" s="68">
        <v>53.09</v>
      </c>
      <c r="T401" s="68">
        <v>2.0</v>
      </c>
      <c r="U401" s="68">
        <v>35312.71</v>
      </c>
      <c r="V401" s="68">
        <v>0.1473</v>
      </c>
      <c r="W401" s="68">
        <v>6.7873</v>
      </c>
    </row>
    <row r="402" ht="15.75" customHeight="1">
      <c r="A402" s="107" t="s">
        <v>58</v>
      </c>
      <c r="B402" s="68" t="s">
        <v>771</v>
      </c>
      <c r="C402" s="68" t="s">
        <v>959</v>
      </c>
      <c r="D402" s="68" t="s">
        <v>773</v>
      </c>
      <c r="E402" s="68" t="s">
        <v>459</v>
      </c>
      <c r="F402" s="68" t="s">
        <v>774</v>
      </c>
      <c r="G402" s="68" t="s">
        <v>775</v>
      </c>
      <c r="H402" s="181">
        <v>45352.0</v>
      </c>
      <c r="J402" s="68" t="s">
        <v>140</v>
      </c>
      <c r="K402" s="68">
        <v>500.0</v>
      </c>
      <c r="L402" s="27">
        <v>0.211237553342816</v>
      </c>
      <c r="M402" s="68" t="s">
        <v>8</v>
      </c>
      <c r="N402" s="68">
        <v>24588.0</v>
      </c>
      <c r="O402" s="68">
        <v>71.0</v>
      </c>
      <c r="P402" s="68">
        <v>0.0029</v>
      </c>
      <c r="Q402" s="68">
        <v>4937.82</v>
      </c>
      <c r="S402" s="68">
        <v>69.55</v>
      </c>
      <c r="T402" s="68">
        <v>0.0</v>
      </c>
      <c r="U402" s="68">
        <v>0.0</v>
      </c>
      <c r="V402" s="68">
        <v>0.0</v>
      </c>
      <c r="W402" s="68">
        <v>0.0</v>
      </c>
    </row>
    <row r="403" ht="15.75" customHeight="1">
      <c r="A403" s="107" t="s">
        <v>58</v>
      </c>
      <c r="B403" s="68" t="s">
        <v>779</v>
      </c>
      <c r="C403" s="68" t="s">
        <v>962</v>
      </c>
      <c r="D403" s="68" t="s">
        <v>781</v>
      </c>
      <c r="E403" s="68" t="s">
        <v>463</v>
      </c>
      <c r="F403" s="68" t="s">
        <v>774</v>
      </c>
      <c r="H403" s="181">
        <v>45446.0</v>
      </c>
      <c r="J403" s="68" t="s">
        <v>90</v>
      </c>
      <c r="K403" s="68">
        <v>591.79</v>
      </c>
      <c r="M403" s="68" t="s">
        <v>8</v>
      </c>
      <c r="N403" s="68">
        <v>77178.0</v>
      </c>
      <c r="O403" s="68">
        <v>132.0</v>
      </c>
      <c r="P403" s="68">
        <v>0.0017</v>
      </c>
      <c r="Q403" s="68">
        <v>4933.18</v>
      </c>
      <c r="S403" s="68">
        <v>37.37</v>
      </c>
      <c r="T403" s="68">
        <v>0.0</v>
      </c>
      <c r="U403" s="68">
        <v>0.0</v>
      </c>
      <c r="V403" s="68">
        <v>0.0</v>
      </c>
      <c r="W403" s="68">
        <v>0.0</v>
      </c>
    </row>
    <row r="404" ht="15.75" customHeight="1">
      <c r="A404" s="107" t="s">
        <v>58</v>
      </c>
      <c r="B404" s="68" t="s">
        <v>779</v>
      </c>
      <c r="C404" s="68" t="s">
        <v>955</v>
      </c>
      <c r="D404" s="68" t="s">
        <v>781</v>
      </c>
      <c r="E404" s="68" t="s">
        <v>463</v>
      </c>
      <c r="F404" s="68" t="s">
        <v>774</v>
      </c>
      <c r="H404" s="181">
        <v>45454.0</v>
      </c>
      <c r="J404" s="68" t="s">
        <v>134</v>
      </c>
      <c r="K404" s="68">
        <v>5000.0</v>
      </c>
      <c r="M404" s="68" t="s">
        <v>8</v>
      </c>
      <c r="N404" s="68">
        <v>491857.0</v>
      </c>
      <c r="O404" s="68">
        <v>2597.0</v>
      </c>
      <c r="P404" s="68">
        <v>0.0053</v>
      </c>
      <c r="Q404" s="68">
        <v>4757.08</v>
      </c>
      <c r="S404" s="68">
        <v>1.83</v>
      </c>
      <c r="T404" s="68">
        <v>0.0</v>
      </c>
      <c r="U404" s="68">
        <v>0.0</v>
      </c>
      <c r="V404" s="68">
        <v>0.0</v>
      </c>
      <c r="W404" s="68">
        <v>0.0</v>
      </c>
    </row>
    <row r="405" ht="15.75" customHeight="1">
      <c r="A405" s="107" t="s">
        <v>58</v>
      </c>
      <c r="B405" s="68" t="s">
        <v>771</v>
      </c>
      <c r="C405" s="68" t="s">
        <v>948</v>
      </c>
      <c r="D405" s="68" t="s">
        <v>773</v>
      </c>
      <c r="E405" s="68" t="s">
        <v>460</v>
      </c>
      <c r="F405" s="68" t="s">
        <v>778</v>
      </c>
      <c r="G405" s="68" t="s">
        <v>775</v>
      </c>
      <c r="H405" s="181">
        <v>45415.0</v>
      </c>
      <c r="J405" s="68" t="s">
        <v>232</v>
      </c>
      <c r="K405" s="68">
        <v>300.0</v>
      </c>
      <c r="L405" s="68" t="s">
        <v>776</v>
      </c>
      <c r="M405" s="68" t="s">
        <v>8</v>
      </c>
      <c r="N405" s="68">
        <v>165488.0</v>
      </c>
      <c r="O405" s="68">
        <v>371.0</v>
      </c>
      <c r="P405" s="68">
        <v>0.0022</v>
      </c>
      <c r="Q405" s="68">
        <v>4504.34</v>
      </c>
      <c r="S405" s="68">
        <v>12.14</v>
      </c>
      <c r="T405" s="68">
        <v>0.0</v>
      </c>
      <c r="U405" s="68">
        <v>0.0</v>
      </c>
      <c r="V405" s="68">
        <v>0.0</v>
      </c>
      <c r="W405" s="68">
        <v>0.0</v>
      </c>
    </row>
    <row r="406" ht="15.75" customHeight="1">
      <c r="A406" s="107" t="s">
        <v>58</v>
      </c>
      <c r="B406" s="68" t="s">
        <v>771</v>
      </c>
      <c r="C406" s="68" t="s">
        <v>912</v>
      </c>
      <c r="D406" s="68" t="s">
        <v>773</v>
      </c>
      <c r="E406" s="68" t="s">
        <v>459</v>
      </c>
      <c r="F406" s="68" t="s">
        <v>774</v>
      </c>
      <c r="G406" s="68" t="s">
        <v>775</v>
      </c>
      <c r="H406" s="181">
        <v>45260.0</v>
      </c>
      <c r="J406" s="68" t="s">
        <v>140</v>
      </c>
      <c r="K406" s="68">
        <v>500.0</v>
      </c>
      <c r="L406" s="68" t="s">
        <v>776</v>
      </c>
      <c r="M406" s="68" t="s">
        <v>8</v>
      </c>
      <c r="N406" s="68">
        <v>37257.0</v>
      </c>
      <c r="O406" s="68">
        <v>89.0</v>
      </c>
      <c r="P406" s="68">
        <v>0.0024</v>
      </c>
      <c r="Q406" s="68">
        <v>4339.1</v>
      </c>
      <c r="S406" s="68">
        <v>48.75</v>
      </c>
      <c r="T406" s="68">
        <v>2.0</v>
      </c>
      <c r="U406" s="68">
        <v>51016.95</v>
      </c>
      <c r="V406" s="68">
        <v>0.0851</v>
      </c>
      <c r="W406" s="68">
        <v>11.7575</v>
      </c>
    </row>
    <row r="407" ht="15.75" customHeight="1">
      <c r="A407" s="107" t="s">
        <v>58</v>
      </c>
      <c r="B407" s="68" t="s">
        <v>779</v>
      </c>
      <c r="C407" s="68" t="s">
        <v>915</v>
      </c>
      <c r="D407" s="68" t="s">
        <v>781</v>
      </c>
      <c r="E407" s="68" t="s">
        <v>459</v>
      </c>
      <c r="F407" s="68" t="s">
        <v>774</v>
      </c>
      <c r="G407" s="68" t="s">
        <v>783</v>
      </c>
      <c r="H407" s="181">
        <v>45356.0</v>
      </c>
      <c r="J407" s="68" t="s">
        <v>205</v>
      </c>
      <c r="K407" s="68">
        <v>1426.0</v>
      </c>
      <c r="L407" s="68" t="s">
        <v>776</v>
      </c>
      <c r="M407" s="68" t="s">
        <v>8</v>
      </c>
      <c r="N407" s="68">
        <v>28278.0</v>
      </c>
      <c r="O407" s="68">
        <v>24.0</v>
      </c>
      <c r="P407" s="68">
        <v>8.0E-4</v>
      </c>
      <c r="Q407" s="68">
        <v>3827.83</v>
      </c>
      <c r="S407" s="68">
        <v>159.49</v>
      </c>
      <c r="T407" s="68">
        <v>0.0</v>
      </c>
      <c r="U407" s="68">
        <v>0.0</v>
      </c>
      <c r="V407" s="68">
        <v>0.0</v>
      </c>
      <c r="W407" s="68">
        <v>0.0</v>
      </c>
    </row>
    <row r="408" ht="15.75" customHeight="1">
      <c r="A408" s="107" t="s">
        <v>58</v>
      </c>
      <c r="B408" s="68" t="s">
        <v>779</v>
      </c>
      <c r="C408" s="68" t="s">
        <v>973</v>
      </c>
      <c r="D408" s="68" t="s">
        <v>781</v>
      </c>
      <c r="E408" s="68" t="s">
        <v>463</v>
      </c>
      <c r="F408" s="68" t="s">
        <v>774</v>
      </c>
      <c r="H408" s="181">
        <v>45477.0</v>
      </c>
      <c r="J408" s="68" t="s">
        <v>90</v>
      </c>
      <c r="K408" s="68">
        <v>458.63</v>
      </c>
      <c r="M408" s="68" t="s">
        <v>8</v>
      </c>
      <c r="N408" s="68">
        <v>140812.0</v>
      </c>
      <c r="O408" s="68">
        <v>270.0</v>
      </c>
      <c r="P408" s="68">
        <v>0.0019</v>
      </c>
      <c r="Q408" s="68">
        <v>3510.33</v>
      </c>
      <c r="S408" s="68">
        <v>13.0</v>
      </c>
      <c r="T408" s="68">
        <v>1.0</v>
      </c>
      <c r="U408" s="68">
        <v>16093.22</v>
      </c>
      <c r="V408" s="68">
        <v>0.2181</v>
      </c>
      <c r="W408" s="68">
        <v>4.5845</v>
      </c>
    </row>
    <row r="409" ht="15.75" customHeight="1">
      <c r="A409" s="107" t="s">
        <v>58</v>
      </c>
      <c r="B409" s="68" t="s">
        <v>771</v>
      </c>
      <c r="C409" s="68" t="s">
        <v>902</v>
      </c>
      <c r="D409" s="68" t="s">
        <v>773</v>
      </c>
      <c r="E409" s="68" t="s">
        <v>459</v>
      </c>
      <c r="F409" s="68" t="s">
        <v>774</v>
      </c>
      <c r="G409" s="68" t="s">
        <v>775</v>
      </c>
      <c r="H409" s="181">
        <v>45301.0</v>
      </c>
      <c r="J409" s="68" t="s">
        <v>134</v>
      </c>
      <c r="K409" s="68">
        <v>3825.03</v>
      </c>
      <c r="L409" s="27">
        <v>0.190580503833515</v>
      </c>
      <c r="M409" s="68" t="s">
        <v>8</v>
      </c>
      <c r="N409" s="68">
        <v>21124.0</v>
      </c>
      <c r="O409" s="68">
        <v>58.0</v>
      </c>
      <c r="P409" s="68">
        <v>0.0027</v>
      </c>
      <c r="Q409" s="68">
        <v>3350.7</v>
      </c>
      <c r="S409" s="68">
        <v>57.77</v>
      </c>
      <c r="T409" s="68">
        <v>0.0</v>
      </c>
      <c r="U409" s="68">
        <v>0.0</v>
      </c>
      <c r="V409" s="68">
        <v>0.0</v>
      </c>
      <c r="W409" s="68">
        <v>0.0</v>
      </c>
    </row>
    <row r="410" ht="15.75" customHeight="1">
      <c r="A410" s="107" t="s">
        <v>58</v>
      </c>
      <c r="B410" s="68" t="s">
        <v>771</v>
      </c>
      <c r="C410" s="68" t="s">
        <v>958</v>
      </c>
      <c r="D410" s="68" t="s">
        <v>773</v>
      </c>
      <c r="E410" s="68" t="s">
        <v>460</v>
      </c>
      <c r="F410" s="68" t="s">
        <v>778</v>
      </c>
      <c r="G410" s="68" t="s">
        <v>775</v>
      </c>
      <c r="H410" s="181">
        <v>45454.0</v>
      </c>
      <c r="J410" s="68" t="s">
        <v>241</v>
      </c>
      <c r="K410" s="68">
        <v>200.0</v>
      </c>
      <c r="L410" s="68" t="s">
        <v>776</v>
      </c>
      <c r="M410" s="68" t="s">
        <v>8</v>
      </c>
      <c r="N410" s="68">
        <v>239743.0</v>
      </c>
      <c r="O410" s="68">
        <v>336.0</v>
      </c>
      <c r="P410" s="68">
        <v>0.0014</v>
      </c>
      <c r="Q410" s="68">
        <v>3078.43</v>
      </c>
      <c r="S410" s="68">
        <v>9.16</v>
      </c>
      <c r="T410" s="68">
        <v>2.0</v>
      </c>
      <c r="U410" s="68">
        <v>30931.35</v>
      </c>
      <c r="V410" s="68">
        <v>0.0995</v>
      </c>
      <c r="W410" s="68">
        <v>10.0478</v>
      </c>
    </row>
    <row r="411" ht="15.75" customHeight="1">
      <c r="A411" s="107" t="s">
        <v>58</v>
      </c>
      <c r="B411" s="68" t="s">
        <v>779</v>
      </c>
      <c r="C411" s="68" t="s">
        <v>952</v>
      </c>
      <c r="D411" s="68" t="s">
        <v>781</v>
      </c>
      <c r="E411" s="68" t="s">
        <v>461</v>
      </c>
      <c r="F411" s="68" t="s">
        <v>774</v>
      </c>
      <c r="H411" s="181">
        <v>45414.0</v>
      </c>
      <c r="J411" s="68" t="s">
        <v>196</v>
      </c>
      <c r="K411" s="68">
        <v>1834.55</v>
      </c>
      <c r="L411" s="68" t="s">
        <v>776</v>
      </c>
      <c r="M411" s="68" t="s">
        <v>8</v>
      </c>
      <c r="N411" s="68">
        <v>244147.0</v>
      </c>
      <c r="O411" s="68">
        <v>302.0</v>
      </c>
      <c r="P411" s="68">
        <v>0.0012</v>
      </c>
      <c r="Q411" s="68">
        <v>3075.84</v>
      </c>
      <c r="S411" s="68">
        <v>10.18</v>
      </c>
      <c r="T411" s="68">
        <v>1.0</v>
      </c>
      <c r="U411" s="68">
        <v>17966.1</v>
      </c>
      <c r="V411" s="68">
        <v>0.1712</v>
      </c>
      <c r="W411" s="68">
        <v>5.841</v>
      </c>
    </row>
    <row r="412" ht="15.75" customHeight="1">
      <c r="A412" s="107" t="s">
        <v>58</v>
      </c>
      <c r="B412" s="68" t="s">
        <v>771</v>
      </c>
      <c r="C412" s="68" t="s">
        <v>920</v>
      </c>
      <c r="D412" s="68" t="s">
        <v>773</v>
      </c>
      <c r="E412" s="68" t="s">
        <v>459</v>
      </c>
      <c r="F412" s="68" t="s">
        <v>774</v>
      </c>
      <c r="G412" s="68" t="s">
        <v>775</v>
      </c>
      <c r="H412" s="181">
        <v>45362.0</v>
      </c>
      <c r="J412" s="68" t="s">
        <v>205</v>
      </c>
      <c r="K412" s="68">
        <v>713.0</v>
      </c>
      <c r="L412" s="27">
        <v>0.113467364362434</v>
      </c>
      <c r="M412" s="68" t="s">
        <v>8</v>
      </c>
      <c r="N412" s="68">
        <v>11817.0</v>
      </c>
      <c r="O412" s="68">
        <v>32.0</v>
      </c>
      <c r="P412" s="68">
        <v>0.0027</v>
      </c>
      <c r="Q412" s="68">
        <v>2172.78</v>
      </c>
      <c r="S412" s="68">
        <v>67.9</v>
      </c>
      <c r="T412" s="68">
        <v>0.0</v>
      </c>
      <c r="U412" s="68">
        <v>0.0</v>
      </c>
      <c r="V412" s="68">
        <v>0.0</v>
      </c>
      <c r="W412" s="68">
        <v>0.0</v>
      </c>
    </row>
    <row r="413" ht="15.75" customHeight="1">
      <c r="A413" s="107" t="s">
        <v>58</v>
      </c>
      <c r="B413" s="68" t="s">
        <v>779</v>
      </c>
      <c r="C413" s="68" t="s">
        <v>879</v>
      </c>
      <c r="D413" s="68" t="s">
        <v>781</v>
      </c>
      <c r="E413" s="68" t="s">
        <v>462</v>
      </c>
      <c r="F413" s="68" t="s">
        <v>774</v>
      </c>
      <c r="H413" s="181">
        <v>45338.0</v>
      </c>
      <c r="J413" s="68" t="s">
        <v>134</v>
      </c>
      <c r="K413" s="68">
        <v>458.63</v>
      </c>
      <c r="L413" s="68" t="s">
        <v>776</v>
      </c>
      <c r="M413" s="68" t="s">
        <v>8</v>
      </c>
      <c r="N413" s="68">
        <v>3994.0</v>
      </c>
      <c r="O413" s="68">
        <v>114.0</v>
      </c>
      <c r="P413" s="68">
        <v>0.0285</v>
      </c>
      <c r="Q413" s="68">
        <v>1614.95</v>
      </c>
      <c r="S413" s="68">
        <v>14.17</v>
      </c>
      <c r="T413" s="68">
        <v>1.0</v>
      </c>
      <c r="U413" s="68">
        <v>20529.66</v>
      </c>
      <c r="V413" s="68">
        <v>0.0787</v>
      </c>
      <c r="W413" s="68">
        <v>12.7123</v>
      </c>
    </row>
    <row r="414" ht="15.75" customHeight="1">
      <c r="A414" s="107" t="s">
        <v>58</v>
      </c>
      <c r="B414" s="68" t="s">
        <v>771</v>
      </c>
      <c r="C414" s="68" t="s">
        <v>921</v>
      </c>
      <c r="D414" s="68" t="s">
        <v>773</v>
      </c>
      <c r="E414" s="68" t="s">
        <v>459</v>
      </c>
      <c r="F414" s="68" t="s">
        <v>774</v>
      </c>
      <c r="G414" s="68" t="s">
        <v>775</v>
      </c>
      <c r="H414" s="181">
        <v>45356.0</v>
      </c>
      <c r="J414" s="68" t="s">
        <v>205</v>
      </c>
      <c r="K414" s="68">
        <v>900.0</v>
      </c>
      <c r="L414" s="27">
        <v>0.165029469548133</v>
      </c>
      <c r="M414" s="68" t="s">
        <v>8</v>
      </c>
      <c r="N414" s="68">
        <v>13274.0</v>
      </c>
      <c r="O414" s="68">
        <v>11.0</v>
      </c>
      <c r="P414" s="68">
        <v>8.0E-4</v>
      </c>
      <c r="Q414" s="68">
        <v>1481.09</v>
      </c>
      <c r="S414" s="68">
        <v>134.64</v>
      </c>
      <c r="T414" s="68">
        <v>0.0</v>
      </c>
      <c r="U414" s="68">
        <v>0.0</v>
      </c>
      <c r="V414" s="68">
        <v>0.0</v>
      </c>
      <c r="W414" s="68">
        <v>0.0</v>
      </c>
    </row>
    <row r="415" ht="15.75" customHeight="1">
      <c r="A415" s="107" t="s">
        <v>58</v>
      </c>
      <c r="B415" s="68" t="s">
        <v>779</v>
      </c>
      <c r="C415" s="68" t="s">
        <v>906</v>
      </c>
      <c r="D415" s="68" t="s">
        <v>781</v>
      </c>
      <c r="E415" s="68" t="s">
        <v>459</v>
      </c>
      <c r="F415" s="68" t="s">
        <v>774</v>
      </c>
      <c r="G415" s="68" t="s">
        <v>783</v>
      </c>
      <c r="H415" s="181">
        <v>45341.0</v>
      </c>
      <c r="J415" s="68" t="s">
        <v>152</v>
      </c>
      <c r="K415" s="68">
        <v>500.0</v>
      </c>
      <c r="L415" s="27">
        <v>0.13</v>
      </c>
      <c r="M415" s="68" t="s">
        <v>8</v>
      </c>
      <c r="N415" s="68">
        <v>4182.0</v>
      </c>
      <c r="O415" s="68">
        <v>36.0</v>
      </c>
      <c r="P415" s="68">
        <v>0.0086</v>
      </c>
      <c r="Q415" s="68">
        <v>1465.44</v>
      </c>
      <c r="S415" s="68">
        <v>40.71</v>
      </c>
      <c r="T415" s="68">
        <v>0.0</v>
      </c>
      <c r="U415" s="68">
        <v>0.0</v>
      </c>
      <c r="V415" s="68">
        <v>0.0</v>
      </c>
      <c r="W415" s="68">
        <v>0.0</v>
      </c>
    </row>
    <row r="416" ht="15.75" customHeight="1">
      <c r="A416" s="107" t="s">
        <v>58</v>
      </c>
      <c r="B416" s="68" t="s">
        <v>771</v>
      </c>
      <c r="C416" s="68" t="s">
        <v>935</v>
      </c>
      <c r="D416" s="68" t="s">
        <v>773</v>
      </c>
      <c r="E416" s="68" t="s">
        <v>459</v>
      </c>
      <c r="F416" s="68" t="s">
        <v>774</v>
      </c>
      <c r="G416" s="68" t="s">
        <v>775</v>
      </c>
      <c r="H416" s="181">
        <v>45392.0</v>
      </c>
      <c r="J416" s="68" t="s">
        <v>205</v>
      </c>
      <c r="K416" s="68">
        <v>713.0</v>
      </c>
      <c r="L416" s="27">
        <v>0.109364319890635</v>
      </c>
      <c r="M416" s="68" t="s">
        <v>8</v>
      </c>
      <c r="N416" s="68">
        <v>8741.0</v>
      </c>
      <c r="O416" s="68">
        <v>18.0</v>
      </c>
      <c r="P416" s="68">
        <v>0.0021</v>
      </c>
      <c r="Q416" s="68">
        <v>1276.99</v>
      </c>
      <c r="S416" s="68">
        <v>70.94</v>
      </c>
      <c r="T416" s="68">
        <v>0.0</v>
      </c>
      <c r="U416" s="68">
        <v>0.0</v>
      </c>
      <c r="V416" s="68">
        <v>0.0</v>
      </c>
      <c r="W416" s="68">
        <v>0.0</v>
      </c>
    </row>
    <row r="417" ht="15.75" customHeight="1">
      <c r="A417" s="107" t="s">
        <v>58</v>
      </c>
      <c r="B417" s="68" t="s">
        <v>779</v>
      </c>
      <c r="C417" s="68" t="s">
        <v>889</v>
      </c>
      <c r="D417" s="68" t="s">
        <v>781</v>
      </c>
      <c r="E417" s="68" t="s">
        <v>463</v>
      </c>
      <c r="F417" s="68" t="s">
        <v>774</v>
      </c>
      <c r="H417" s="181">
        <v>45342.0</v>
      </c>
      <c r="J417" s="68" t="s">
        <v>134</v>
      </c>
      <c r="K417" s="68">
        <v>991.79</v>
      </c>
      <c r="M417" s="68" t="s">
        <v>8</v>
      </c>
      <c r="N417" s="68">
        <v>20136.0</v>
      </c>
      <c r="O417" s="68">
        <v>41.0</v>
      </c>
      <c r="P417" s="68">
        <v>0.002</v>
      </c>
      <c r="Q417" s="68">
        <v>1197.75</v>
      </c>
      <c r="S417" s="68">
        <v>29.21</v>
      </c>
      <c r="T417" s="68">
        <v>1.0</v>
      </c>
      <c r="U417" s="68">
        <v>17288.14</v>
      </c>
      <c r="V417" s="68">
        <v>0.0693</v>
      </c>
      <c r="W417" s="68">
        <v>14.4338</v>
      </c>
    </row>
    <row r="418" ht="15.75" customHeight="1">
      <c r="A418" s="107" t="s">
        <v>58</v>
      </c>
      <c r="B418" s="68" t="s">
        <v>771</v>
      </c>
      <c r="C418" s="68" t="s">
        <v>974</v>
      </c>
      <c r="D418" s="68" t="s">
        <v>773</v>
      </c>
      <c r="E418" s="68" t="s">
        <v>459</v>
      </c>
      <c r="F418" s="68" t="s">
        <v>774</v>
      </c>
      <c r="G418" s="68" t="s">
        <v>783</v>
      </c>
      <c r="H418" s="181">
        <v>45483.0</v>
      </c>
      <c r="J418" s="68" t="s">
        <v>128</v>
      </c>
      <c r="K418" s="68">
        <v>954.5</v>
      </c>
      <c r="L418" s="27">
        <v>0.660377358490566</v>
      </c>
      <c r="M418" s="68" t="s">
        <v>8</v>
      </c>
      <c r="N418" s="68">
        <v>4108.0</v>
      </c>
      <c r="O418" s="68">
        <v>25.0</v>
      </c>
      <c r="P418" s="68">
        <v>0.0061</v>
      </c>
      <c r="Q418" s="68">
        <v>748.12</v>
      </c>
      <c r="S418" s="68">
        <v>29.92</v>
      </c>
      <c r="T418" s="68">
        <v>1.0</v>
      </c>
      <c r="U418" s="68">
        <v>16093.22</v>
      </c>
      <c r="V418" s="68">
        <v>0.0465</v>
      </c>
      <c r="W418" s="68">
        <v>21.5115</v>
      </c>
    </row>
    <row r="419" ht="15.75" customHeight="1">
      <c r="A419" s="107" t="s">
        <v>58</v>
      </c>
      <c r="B419" s="68" t="s">
        <v>779</v>
      </c>
      <c r="C419" s="68" t="s">
        <v>940</v>
      </c>
      <c r="D419" s="68" t="s">
        <v>781</v>
      </c>
      <c r="E419" s="68" t="s">
        <v>463</v>
      </c>
      <c r="F419" s="68" t="s">
        <v>774</v>
      </c>
      <c r="H419" s="181">
        <v>45392.0</v>
      </c>
      <c r="J419" s="68" t="s">
        <v>205</v>
      </c>
      <c r="K419" s="68">
        <v>1192.46</v>
      </c>
      <c r="M419" s="68" t="s">
        <v>8</v>
      </c>
      <c r="N419" s="68">
        <v>87088.0</v>
      </c>
      <c r="O419" s="68">
        <v>61.0</v>
      </c>
      <c r="P419" s="68">
        <v>7.0E-4</v>
      </c>
      <c r="Q419" s="68">
        <v>746.62</v>
      </c>
      <c r="S419" s="68">
        <v>12.24</v>
      </c>
      <c r="T419" s="68">
        <v>0.0</v>
      </c>
      <c r="U419" s="68">
        <v>0.0</v>
      </c>
      <c r="V419" s="68">
        <v>0.0</v>
      </c>
      <c r="W419" s="68">
        <v>0.0</v>
      </c>
    </row>
    <row r="420" ht="15.75" customHeight="1">
      <c r="A420" s="107" t="s">
        <v>58</v>
      </c>
      <c r="B420" s="68" t="s">
        <v>779</v>
      </c>
      <c r="C420" s="68" t="s">
        <v>965</v>
      </c>
      <c r="D420" s="68" t="s">
        <v>781</v>
      </c>
      <c r="E420" s="68" t="s">
        <v>459</v>
      </c>
      <c r="F420" s="68" t="s">
        <v>774</v>
      </c>
      <c r="G420" s="68" t="s">
        <v>968</v>
      </c>
      <c r="H420" s="181">
        <v>44567.0</v>
      </c>
      <c r="J420" s="68" t="s">
        <v>90</v>
      </c>
      <c r="K420" s="68">
        <v>1000.0</v>
      </c>
      <c r="L420" s="27">
        <v>0.0582925911996991</v>
      </c>
      <c r="M420" s="68" t="s">
        <v>8</v>
      </c>
      <c r="N420" s="68">
        <v>4989.0</v>
      </c>
      <c r="O420" s="68">
        <v>22.0</v>
      </c>
      <c r="P420" s="68">
        <v>0.0044</v>
      </c>
      <c r="Q420" s="68">
        <v>644.81</v>
      </c>
      <c r="S420" s="68">
        <v>29.31</v>
      </c>
      <c r="T420" s="68">
        <v>2.0</v>
      </c>
      <c r="U420" s="68">
        <v>36778.82</v>
      </c>
      <c r="V420" s="68">
        <v>0.0175</v>
      </c>
      <c r="W420" s="68">
        <v>57.0382</v>
      </c>
    </row>
    <row r="421" ht="15.75" customHeight="1">
      <c r="A421" s="107" t="s">
        <v>58</v>
      </c>
      <c r="B421" s="68" t="s">
        <v>779</v>
      </c>
      <c r="C421" s="68" t="s">
        <v>975</v>
      </c>
      <c r="D421" s="68" t="s">
        <v>781</v>
      </c>
      <c r="E421" s="68" t="s">
        <v>459</v>
      </c>
      <c r="F421" s="68" t="s">
        <v>774</v>
      </c>
      <c r="G421" s="68" t="s">
        <v>775</v>
      </c>
      <c r="H421" s="181">
        <v>45490.0</v>
      </c>
      <c r="J421" s="68" t="s">
        <v>90</v>
      </c>
      <c r="K421" s="68">
        <v>600.0</v>
      </c>
      <c r="L421" s="27">
        <v>0.0882512181916621</v>
      </c>
      <c r="M421" s="68" t="s">
        <v>8</v>
      </c>
      <c r="N421" s="68">
        <v>2786.0</v>
      </c>
      <c r="O421" s="68">
        <v>16.0</v>
      </c>
      <c r="P421" s="68">
        <v>0.0057</v>
      </c>
      <c r="Q421" s="68">
        <v>600.84</v>
      </c>
      <c r="S421" s="68">
        <v>37.55</v>
      </c>
      <c r="T421" s="68">
        <v>0.0</v>
      </c>
      <c r="U421" s="68">
        <v>0.0</v>
      </c>
      <c r="V421" s="68">
        <v>0.0</v>
      </c>
      <c r="W421" s="68">
        <v>0.0</v>
      </c>
    </row>
    <row r="422" ht="15.75" customHeight="1">
      <c r="A422" s="107" t="s">
        <v>58</v>
      </c>
      <c r="B422" s="68" t="s">
        <v>771</v>
      </c>
      <c r="C422" s="68" t="s">
        <v>834</v>
      </c>
      <c r="D422" s="68" t="s">
        <v>773</v>
      </c>
      <c r="E422" s="68" t="s">
        <v>459</v>
      </c>
      <c r="F422" s="68" t="s">
        <v>774</v>
      </c>
      <c r="G422" s="68" t="s">
        <v>775</v>
      </c>
      <c r="H422" s="181">
        <v>45260.0</v>
      </c>
      <c r="J422" s="68" t="s">
        <v>134</v>
      </c>
      <c r="K422" s="68">
        <v>500.0</v>
      </c>
      <c r="L422" s="27">
        <v>0.0598630439584714</v>
      </c>
      <c r="M422" s="68" t="s">
        <v>8</v>
      </c>
      <c r="N422" s="68">
        <v>16071.0</v>
      </c>
      <c r="O422" s="68">
        <v>32.0</v>
      </c>
      <c r="P422" s="68">
        <v>0.002</v>
      </c>
      <c r="Q422" s="68">
        <v>588.16</v>
      </c>
      <c r="S422" s="68">
        <v>18.38</v>
      </c>
      <c r="T422" s="68">
        <v>0.0</v>
      </c>
      <c r="U422" s="68">
        <v>0.0</v>
      </c>
      <c r="V422" s="68">
        <v>0.0</v>
      </c>
      <c r="W422" s="68">
        <v>0.0</v>
      </c>
    </row>
    <row r="423" ht="15.75" customHeight="1">
      <c r="A423" s="107" t="s">
        <v>58</v>
      </c>
      <c r="B423" s="68" t="s">
        <v>779</v>
      </c>
      <c r="C423" s="68" t="s">
        <v>976</v>
      </c>
      <c r="D423" s="68" t="s">
        <v>781</v>
      </c>
      <c r="E423" s="68" t="s">
        <v>459</v>
      </c>
      <c r="F423" s="68" t="s">
        <v>774</v>
      </c>
      <c r="G423" s="68" t="s">
        <v>783</v>
      </c>
      <c r="H423" s="181">
        <v>45483.0</v>
      </c>
      <c r="J423" s="68" t="s">
        <v>128</v>
      </c>
      <c r="K423" s="68">
        <v>6700.0</v>
      </c>
      <c r="L423" s="68" t="s">
        <v>977</v>
      </c>
      <c r="M423" s="68" t="s">
        <v>8</v>
      </c>
      <c r="N423" s="68">
        <v>2594.0</v>
      </c>
      <c r="O423" s="68">
        <v>18.0</v>
      </c>
      <c r="P423" s="68">
        <v>0.0069</v>
      </c>
      <c r="Q423" s="68">
        <v>519.0</v>
      </c>
      <c r="S423" s="68">
        <v>28.83</v>
      </c>
      <c r="T423" s="68">
        <v>2.0</v>
      </c>
      <c r="U423" s="68">
        <v>27347.46</v>
      </c>
      <c r="V423" s="68">
        <v>0.019</v>
      </c>
      <c r="W423" s="68">
        <v>52.6926</v>
      </c>
    </row>
    <row r="424" ht="15.75" customHeight="1">
      <c r="A424" s="107" t="s">
        <v>58</v>
      </c>
      <c r="B424" s="68" t="s">
        <v>779</v>
      </c>
      <c r="C424" s="68" t="s">
        <v>925</v>
      </c>
      <c r="D424" s="68" t="s">
        <v>781</v>
      </c>
      <c r="E424" s="68" t="s">
        <v>459</v>
      </c>
      <c r="F424" s="68" t="s">
        <v>774</v>
      </c>
      <c r="G424" s="68" t="s">
        <v>783</v>
      </c>
      <c r="H424" s="181">
        <v>45352.0</v>
      </c>
      <c r="J424" s="68" t="s">
        <v>182</v>
      </c>
      <c r="K424" s="68">
        <v>500.0</v>
      </c>
      <c r="L424" s="27">
        <v>0.133333333333333</v>
      </c>
      <c r="M424" s="68" t="s">
        <v>8</v>
      </c>
      <c r="N424" s="68">
        <v>1072.0</v>
      </c>
      <c r="O424" s="68">
        <v>3.0</v>
      </c>
      <c r="P424" s="68">
        <v>0.0028</v>
      </c>
      <c r="Q424" s="68">
        <v>474.19</v>
      </c>
      <c r="S424" s="68">
        <v>158.06</v>
      </c>
      <c r="T424" s="68">
        <v>0.0</v>
      </c>
      <c r="U424" s="68">
        <v>0.0</v>
      </c>
      <c r="V424" s="68">
        <v>0.0</v>
      </c>
      <c r="W424" s="68">
        <v>0.0</v>
      </c>
    </row>
    <row r="425" ht="15.75" customHeight="1">
      <c r="A425" s="107" t="s">
        <v>58</v>
      </c>
      <c r="B425" s="68" t="s">
        <v>779</v>
      </c>
      <c r="C425" s="68" t="s">
        <v>978</v>
      </c>
      <c r="D425" s="68" t="s">
        <v>781</v>
      </c>
      <c r="E425" s="68" t="s">
        <v>459</v>
      </c>
      <c r="F425" s="68" t="s">
        <v>774</v>
      </c>
      <c r="G425" s="68" t="s">
        <v>783</v>
      </c>
      <c r="H425" s="181">
        <v>45483.0</v>
      </c>
      <c r="J425" s="68" t="s">
        <v>128</v>
      </c>
      <c r="K425" s="68">
        <v>1340.0</v>
      </c>
      <c r="L425" s="27">
        <v>0.444444444444444</v>
      </c>
      <c r="M425" s="68" t="s">
        <v>8</v>
      </c>
      <c r="N425" s="68">
        <v>953.0</v>
      </c>
      <c r="O425" s="68">
        <v>6.0</v>
      </c>
      <c r="P425" s="68">
        <v>0.0063</v>
      </c>
      <c r="Q425" s="68">
        <v>464.91</v>
      </c>
      <c r="S425" s="68">
        <v>77.49</v>
      </c>
      <c r="T425" s="68">
        <v>0.0</v>
      </c>
      <c r="U425" s="68">
        <v>0.0</v>
      </c>
      <c r="V425" s="68">
        <v>0.0</v>
      </c>
      <c r="W425" s="68">
        <v>0.0</v>
      </c>
    </row>
    <row r="426" ht="15.75" customHeight="1">
      <c r="A426" s="107" t="s">
        <v>58</v>
      </c>
      <c r="B426" s="68" t="s">
        <v>779</v>
      </c>
      <c r="C426" s="68" t="s">
        <v>979</v>
      </c>
      <c r="D426" s="68" t="s">
        <v>781</v>
      </c>
      <c r="E426" s="68" t="s">
        <v>459</v>
      </c>
      <c r="F426" s="68" t="s">
        <v>774</v>
      </c>
      <c r="G426" s="68" t="s">
        <v>783</v>
      </c>
      <c r="H426" s="181">
        <v>45493.0</v>
      </c>
      <c r="J426" s="68" t="s">
        <v>90</v>
      </c>
      <c r="K426" s="68">
        <v>1069.5</v>
      </c>
      <c r="M426" s="68" t="s">
        <v>8</v>
      </c>
      <c r="N426" s="68">
        <v>788.0</v>
      </c>
      <c r="O426" s="68">
        <v>6.0</v>
      </c>
      <c r="P426" s="68">
        <v>0.0076</v>
      </c>
      <c r="Q426" s="68">
        <v>460.91</v>
      </c>
      <c r="S426" s="68">
        <v>76.82</v>
      </c>
      <c r="T426" s="68">
        <v>0.0</v>
      </c>
      <c r="U426" s="68">
        <v>0.0</v>
      </c>
      <c r="V426" s="68">
        <v>0.0</v>
      </c>
      <c r="W426" s="68">
        <v>0.0</v>
      </c>
    </row>
    <row r="427" ht="15.75" customHeight="1">
      <c r="A427" s="107" t="s">
        <v>58</v>
      </c>
      <c r="B427" s="68" t="s">
        <v>779</v>
      </c>
      <c r="C427" s="68" t="s">
        <v>901</v>
      </c>
      <c r="D427" s="68" t="s">
        <v>781</v>
      </c>
      <c r="E427" s="68" t="s">
        <v>459</v>
      </c>
      <c r="F427" s="68" t="s">
        <v>774</v>
      </c>
      <c r="G427" s="68" t="s">
        <v>783</v>
      </c>
      <c r="H427" s="181">
        <v>45301.0</v>
      </c>
      <c r="J427" s="68" t="s">
        <v>134</v>
      </c>
      <c r="K427" s="68">
        <v>165.77</v>
      </c>
      <c r="L427" s="27">
        <v>0.226890756302521</v>
      </c>
      <c r="M427" s="68" t="s">
        <v>8</v>
      </c>
      <c r="N427" s="68">
        <v>388.0</v>
      </c>
      <c r="O427" s="68">
        <v>5.0</v>
      </c>
      <c r="P427" s="68">
        <v>0.0129</v>
      </c>
      <c r="Q427" s="68">
        <v>174.79</v>
      </c>
      <c r="S427" s="68">
        <v>34.96</v>
      </c>
      <c r="T427" s="68">
        <v>0.0</v>
      </c>
      <c r="U427" s="68">
        <v>0.0</v>
      </c>
      <c r="V427" s="68">
        <v>0.0</v>
      </c>
      <c r="W427" s="68">
        <v>0.0</v>
      </c>
    </row>
    <row r="428" ht="15.75" customHeight="1">
      <c r="A428" s="107" t="s">
        <v>58</v>
      </c>
      <c r="B428" s="68" t="s">
        <v>779</v>
      </c>
      <c r="C428" s="68" t="s">
        <v>913</v>
      </c>
      <c r="D428" s="68" t="s">
        <v>781</v>
      </c>
      <c r="E428" s="68" t="s">
        <v>459</v>
      </c>
      <c r="F428" s="68" t="s">
        <v>774</v>
      </c>
      <c r="G428" s="68" t="s">
        <v>783</v>
      </c>
      <c r="H428" s="181">
        <v>45351.0</v>
      </c>
      <c r="J428" s="68" t="s">
        <v>152</v>
      </c>
      <c r="K428" s="68">
        <v>2000.0</v>
      </c>
      <c r="L428" s="27">
        <v>0.804878048780487</v>
      </c>
      <c r="M428" s="68" t="s">
        <v>8</v>
      </c>
      <c r="N428" s="68">
        <v>1262.0</v>
      </c>
      <c r="O428" s="68">
        <v>5.0</v>
      </c>
      <c r="P428" s="68">
        <v>0.004</v>
      </c>
      <c r="Q428" s="68">
        <v>127.7</v>
      </c>
      <c r="S428" s="68">
        <v>25.54</v>
      </c>
      <c r="T428" s="68">
        <v>1.0</v>
      </c>
      <c r="U428" s="68">
        <v>13558.48</v>
      </c>
      <c r="V428" s="68">
        <v>0.0094</v>
      </c>
      <c r="W428" s="68">
        <v>106.1745</v>
      </c>
    </row>
    <row r="429" ht="15.75" customHeight="1">
      <c r="A429" s="107" t="s">
        <v>58</v>
      </c>
      <c r="B429" s="68" t="s">
        <v>779</v>
      </c>
      <c r="C429" s="68" t="s">
        <v>980</v>
      </c>
      <c r="D429" s="68" t="s">
        <v>781</v>
      </c>
      <c r="E429" s="68" t="s">
        <v>460</v>
      </c>
      <c r="F429" s="68" t="s">
        <v>778</v>
      </c>
      <c r="G429" s="68" t="s">
        <v>775</v>
      </c>
      <c r="H429" s="181">
        <v>45490.0</v>
      </c>
      <c r="J429" s="68" t="s">
        <v>90</v>
      </c>
      <c r="K429" s="68">
        <v>800.0</v>
      </c>
      <c r="L429" s="68" t="s">
        <v>776</v>
      </c>
      <c r="M429" s="68" t="s">
        <v>8</v>
      </c>
      <c r="N429" s="68">
        <v>7215.0</v>
      </c>
      <c r="O429" s="68">
        <v>32.0</v>
      </c>
      <c r="P429" s="68">
        <v>0.0044</v>
      </c>
      <c r="Q429" s="68">
        <v>60.05</v>
      </c>
      <c r="S429" s="68">
        <v>1.88</v>
      </c>
      <c r="T429" s="68">
        <v>0.0</v>
      </c>
      <c r="U429" s="68">
        <v>0.0</v>
      </c>
      <c r="V429" s="68">
        <v>0.0</v>
      </c>
      <c r="W429" s="68">
        <v>0.0</v>
      </c>
    </row>
    <row r="430" ht="15.75" customHeight="1">
      <c r="A430" s="107" t="s">
        <v>58</v>
      </c>
      <c r="B430" s="68" t="s">
        <v>771</v>
      </c>
      <c r="C430" s="68" t="s">
        <v>981</v>
      </c>
      <c r="D430" s="68" t="s">
        <v>773</v>
      </c>
      <c r="E430" s="68" t="s">
        <v>459</v>
      </c>
      <c r="F430" s="68" t="s">
        <v>774</v>
      </c>
      <c r="G430" s="68" t="s">
        <v>775</v>
      </c>
      <c r="H430" s="181">
        <v>45503.0</v>
      </c>
      <c r="J430" s="68" t="s">
        <v>134</v>
      </c>
      <c r="K430" s="68">
        <v>500.0</v>
      </c>
      <c r="L430" s="27">
        <v>0.182857142857142</v>
      </c>
      <c r="M430" s="68" t="s">
        <v>8</v>
      </c>
      <c r="N430" s="68">
        <v>73.0</v>
      </c>
      <c r="O430" s="68">
        <v>3.0</v>
      </c>
      <c r="P430" s="68">
        <v>0.0411</v>
      </c>
      <c r="Q430" s="68">
        <v>35.21</v>
      </c>
      <c r="S430" s="68">
        <v>11.74</v>
      </c>
      <c r="T430" s="68">
        <v>0.0</v>
      </c>
      <c r="U430" s="68">
        <v>0.0</v>
      </c>
      <c r="V430" s="68">
        <v>0.0</v>
      </c>
      <c r="W430" s="68">
        <v>0.0</v>
      </c>
    </row>
    <row r="431" ht="15.75" customHeight="1">
      <c r="A431" s="107" t="s">
        <v>58</v>
      </c>
      <c r="B431" s="68" t="s">
        <v>771</v>
      </c>
      <c r="C431" s="68" t="s">
        <v>899</v>
      </c>
      <c r="D431" s="68" t="s">
        <v>773</v>
      </c>
      <c r="E431" s="68" t="s">
        <v>459</v>
      </c>
      <c r="F431" s="68" t="s">
        <v>774</v>
      </c>
      <c r="G431" s="68" t="s">
        <v>775</v>
      </c>
      <c r="H431" s="181">
        <v>45301.0</v>
      </c>
      <c r="J431" s="68" t="s">
        <v>134</v>
      </c>
      <c r="K431" s="68">
        <v>300.0</v>
      </c>
      <c r="L431" s="27">
        <v>0.5</v>
      </c>
      <c r="M431" s="68" t="s">
        <v>8</v>
      </c>
      <c r="N431" s="68">
        <v>2.0</v>
      </c>
      <c r="O431" s="68">
        <v>0.0</v>
      </c>
      <c r="P431" s="68">
        <v>0.0</v>
      </c>
      <c r="Q431" s="68">
        <v>0.0</v>
      </c>
      <c r="S431" s="68">
        <v>0.0</v>
      </c>
      <c r="T431" s="68">
        <v>0.0</v>
      </c>
      <c r="U431" s="68">
        <v>0.0</v>
      </c>
      <c r="V431" s="68">
        <v>0.0</v>
      </c>
      <c r="W431" s="68">
        <v>0.0</v>
      </c>
    </row>
    <row r="432" ht="15.75" customHeight="1">
      <c r="A432" s="107" t="s">
        <v>58</v>
      </c>
      <c r="B432" s="68" t="s">
        <v>779</v>
      </c>
      <c r="C432" s="68" t="s">
        <v>896</v>
      </c>
      <c r="D432" s="68" t="s">
        <v>781</v>
      </c>
      <c r="E432" s="68" t="s">
        <v>459</v>
      </c>
      <c r="F432" s="68" t="s">
        <v>774</v>
      </c>
      <c r="G432" s="68" t="s">
        <v>775</v>
      </c>
      <c r="H432" s="181">
        <v>45309.0</v>
      </c>
      <c r="J432" s="68" t="s">
        <v>874</v>
      </c>
      <c r="K432" s="68">
        <v>178.25</v>
      </c>
      <c r="L432" s="68" t="s">
        <v>776</v>
      </c>
      <c r="M432" s="68" t="s">
        <v>8</v>
      </c>
      <c r="N432" s="68">
        <v>5.0</v>
      </c>
      <c r="O432" s="68">
        <v>0.0</v>
      </c>
      <c r="P432" s="68">
        <v>0.0</v>
      </c>
      <c r="Q432" s="68">
        <v>0.0</v>
      </c>
      <c r="S432" s="68">
        <v>0.0</v>
      </c>
      <c r="T432" s="68">
        <v>0.0</v>
      </c>
      <c r="U432" s="68">
        <v>0.0</v>
      </c>
      <c r="V432" s="68">
        <v>0.0</v>
      </c>
      <c r="W432" s="68">
        <v>0.0</v>
      </c>
    </row>
    <row r="433" ht="15.75" customHeight="1">
      <c r="A433" s="107" t="s">
        <v>58</v>
      </c>
      <c r="B433" s="68" t="s">
        <v>771</v>
      </c>
      <c r="C433" s="68" t="s">
        <v>982</v>
      </c>
      <c r="D433" s="68" t="s">
        <v>773</v>
      </c>
      <c r="E433" s="68" t="s">
        <v>459</v>
      </c>
      <c r="F433" s="68" t="s">
        <v>774</v>
      </c>
      <c r="G433" s="68" t="s">
        <v>775</v>
      </c>
      <c r="H433" s="181">
        <v>45504.0</v>
      </c>
      <c r="J433" s="68" t="s">
        <v>211</v>
      </c>
      <c r="K433" s="68">
        <v>220.0</v>
      </c>
      <c r="M433" s="68" t="s">
        <v>8</v>
      </c>
      <c r="N433" s="68">
        <v>6.0</v>
      </c>
      <c r="O433" s="68">
        <v>0.0</v>
      </c>
      <c r="P433" s="68">
        <v>0.0</v>
      </c>
      <c r="Q433" s="68">
        <v>0.0</v>
      </c>
      <c r="S433" s="68">
        <v>0.0</v>
      </c>
      <c r="T433" s="68">
        <v>0.0</v>
      </c>
      <c r="U433" s="68">
        <v>0.0</v>
      </c>
      <c r="V433" s="68">
        <v>0.0</v>
      </c>
      <c r="W433" s="68">
        <v>0.0</v>
      </c>
    </row>
    <row r="434" ht="15.75" customHeight="1">
      <c r="A434" s="107" t="s">
        <v>58</v>
      </c>
      <c r="B434" s="68" t="s">
        <v>779</v>
      </c>
      <c r="C434" s="68" t="s">
        <v>951</v>
      </c>
      <c r="D434" s="68" t="s">
        <v>781</v>
      </c>
      <c r="E434" s="68" t="s">
        <v>462</v>
      </c>
      <c r="F434" s="68" t="s">
        <v>774</v>
      </c>
      <c r="H434" s="181">
        <v>45436.0</v>
      </c>
      <c r="J434" s="68" t="s">
        <v>134</v>
      </c>
      <c r="K434" s="68">
        <v>830.0</v>
      </c>
      <c r="L434" s="68" t="s">
        <v>776</v>
      </c>
      <c r="M434" s="68" t="s">
        <v>8</v>
      </c>
      <c r="N434" s="68">
        <v>1.0</v>
      </c>
      <c r="O434" s="68">
        <v>0.0</v>
      </c>
      <c r="P434" s="68">
        <v>0.0</v>
      </c>
      <c r="Q434" s="68">
        <v>0.0</v>
      </c>
      <c r="S434" s="68">
        <v>0.0</v>
      </c>
      <c r="T434" s="68">
        <v>0.0</v>
      </c>
      <c r="U434" s="68">
        <v>0.0</v>
      </c>
      <c r="V434" s="68">
        <v>0.0</v>
      </c>
      <c r="W434" s="68">
        <v>0.0</v>
      </c>
    </row>
    <row r="435" ht="15.75" customHeight="1">
      <c r="A435" s="19" t="s">
        <v>61</v>
      </c>
      <c r="B435" s="68" t="s">
        <v>771</v>
      </c>
      <c r="C435" s="68" t="s">
        <v>983</v>
      </c>
      <c r="D435" s="68" t="s">
        <v>773</v>
      </c>
      <c r="E435" s="68" t="s">
        <v>459</v>
      </c>
      <c r="F435" s="68" t="s">
        <v>774</v>
      </c>
      <c r="G435" s="68" t="s">
        <v>775</v>
      </c>
      <c r="H435" s="181">
        <v>45524.0</v>
      </c>
      <c r="J435" s="68" t="s">
        <v>158</v>
      </c>
      <c r="K435" s="68">
        <v>600.0</v>
      </c>
      <c r="L435" s="27">
        <v>0.0679669917479369</v>
      </c>
      <c r="M435" s="68" t="s">
        <v>8</v>
      </c>
      <c r="N435" s="68">
        <v>58823.0</v>
      </c>
      <c r="O435" s="68">
        <v>190.0</v>
      </c>
      <c r="P435" s="68">
        <v>0.0032</v>
      </c>
      <c r="Q435" s="68">
        <v>3475.6</v>
      </c>
      <c r="S435" s="68">
        <v>18.29</v>
      </c>
      <c r="T435" s="68">
        <v>1.0</v>
      </c>
      <c r="U435" s="68">
        <v>2456.78</v>
      </c>
      <c r="V435" s="68">
        <v>1.4147</v>
      </c>
      <c r="W435" s="68">
        <v>0.7069</v>
      </c>
    </row>
    <row r="436" ht="15.75" customHeight="1">
      <c r="A436" s="19" t="s">
        <v>61</v>
      </c>
      <c r="B436" s="68" t="s">
        <v>771</v>
      </c>
      <c r="C436" s="68" t="s">
        <v>877</v>
      </c>
      <c r="D436" s="68" t="s">
        <v>773</v>
      </c>
      <c r="E436" s="68" t="s">
        <v>461</v>
      </c>
      <c r="F436" s="68" t="s">
        <v>774</v>
      </c>
      <c r="H436" s="181">
        <v>45260.0</v>
      </c>
      <c r="J436" s="68" t="s">
        <v>196</v>
      </c>
      <c r="K436" s="68">
        <v>3024.0</v>
      </c>
      <c r="L436" s="27">
        <v>0.171319791555886</v>
      </c>
      <c r="M436" s="68" t="s">
        <v>8</v>
      </c>
      <c r="N436" s="68">
        <v>510369.0</v>
      </c>
      <c r="O436" s="68">
        <v>2079.0</v>
      </c>
      <c r="P436" s="68">
        <v>0.0041</v>
      </c>
      <c r="Q436" s="68">
        <v>74830.02</v>
      </c>
      <c r="S436" s="68">
        <v>35.99</v>
      </c>
      <c r="T436" s="68">
        <v>12.0</v>
      </c>
      <c r="U436" s="68">
        <v>221909.35</v>
      </c>
      <c r="V436" s="68">
        <v>0.3372</v>
      </c>
      <c r="W436" s="68">
        <v>2.9655</v>
      </c>
    </row>
    <row r="437" ht="15.75" customHeight="1">
      <c r="A437" s="19" t="s">
        <v>61</v>
      </c>
      <c r="B437" s="68" t="s">
        <v>771</v>
      </c>
      <c r="C437" s="68" t="s">
        <v>984</v>
      </c>
      <c r="D437" s="68" t="s">
        <v>773</v>
      </c>
      <c r="E437" s="68" t="s">
        <v>462</v>
      </c>
      <c r="F437" s="68" t="s">
        <v>774</v>
      </c>
      <c r="H437" s="181">
        <v>45505.0</v>
      </c>
      <c r="J437" s="68" t="s">
        <v>140</v>
      </c>
      <c r="K437" s="68">
        <v>181.44</v>
      </c>
      <c r="L437" s="68" t="s">
        <v>776</v>
      </c>
      <c r="M437" s="68" t="s">
        <v>8</v>
      </c>
      <c r="N437" s="68">
        <v>6748.0</v>
      </c>
      <c r="O437" s="68">
        <v>174.0</v>
      </c>
      <c r="P437" s="68">
        <v>0.0258</v>
      </c>
      <c r="Q437" s="68">
        <v>1345.03</v>
      </c>
      <c r="S437" s="68">
        <v>7.73</v>
      </c>
      <c r="T437" s="68">
        <v>0.0</v>
      </c>
      <c r="U437" s="68">
        <v>0.0</v>
      </c>
      <c r="V437" s="68">
        <v>0.0</v>
      </c>
      <c r="W437" s="68">
        <v>0.0</v>
      </c>
    </row>
    <row r="438" ht="15.75" customHeight="1">
      <c r="A438" s="19" t="s">
        <v>61</v>
      </c>
      <c r="B438" s="68" t="s">
        <v>771</v>
      </c>
      <c r="C438" s="68" t="s">
        <v>951</v>
      </c>
      <c r="D438" s="68" t="s">
        <v>773</v>
      </c>
      <c r="E438" s="68" t="s">
        <v>462</v>
      </c>
      <c r="F438" s="68" t="s">
        <v>774</v>
      </c>
      <c r="H438" s="181">
        <v>45436.0</v>
      </c>
      <c r="J438" s="68" t="s">
        <v>134</v>
      </c>
      <c r="K438" s="68">
        <v>830.0</v>
      </c>
      <c r="L438" s="68" t="s">
        <v>776</v>
      </c>
      <c r="M438" s="68" t="s">
        <v>8</v>
      </c>
      <c r="N438" s="68">
        <v>100986.0</v>
      </c>
      <c r="O438" s="68">
        <v>1788.0</v>
      </c>
      <c r="P438" s="68">
        <v>0.0177</v>
      </c>
      <c r="Q438" s="68">
        <v>8539.65</v>
      </c>
      <c r="S438" s="68">
        <v>4.78</v>
      </c>
      <c r="T438" s="68">
        <v>0.0</v>
      </c>
      <c r="U438" s="68">
        <v>0.0</v>
      </c>
      <c r="V438" s="68">
        <v>0.0</v>
      </c>
      <c r="W438" s="68">
        <v>0.0</v>
      </c>
    </row>
    <row r="439" ht="15.75" customHeight="1">
      <c r="A439" s="19" t="s">
        <v>61</v>
      </c>
      <c r="B439" s="68" t="s">
        <v>771</v>
      </c>
      <c r="C439" s="68" t="s">
        <v>822</v>
      </c>
      <c r="D439" s="68" t="s">
        <v>773</v>
      </c>
      <c r="E439" s="68" t="s">
        <v>462</v>
      </c>
      <c r="F439" s="68" t="s">
        <v>774</v>
      </c>
      <c r="H439" s="181">
        <v>45303.0</v>
      </c>
      <c r="J439" s="68" t="s">
        <v>128</v>
      </c>
      <c r="K439" s="68">
        <v>600.0</v>
      </c>
      <c r="L439" s="27">
        <v>0.1130453470879</v>
      </c>
      <c r="M439" s="68" t="s">
        <v>8</v>
      </c>
      <c r="N439" s="68">
        <v>58399.0</v>
      </c>
      <c r="O439" s="68">
        <v>694.0</v>
      </c>
      <c r="P439" s="68">
        <v>0.0119</v>
      </c>
      <c r="Q439" s="68">
        <v>11399.42</v>
      </c>
      <c r="S439" s="68">
        <v>16.43</v>
      </c>
      <c r="T439" s="68">
        <v>0.0</v>
      </c>
      <c r="U439" s="68">
        <v>0.0</v>
      </c>
      <c r="V439" s="68">
        <v>0.0</v>
      </c>
      <c r="W439" s="68">
        <v>0.0</v>
      </c>
    </row>
    <row r="440" ht="15.75" customHeight="1">
      <c r="A440" s="19" t="s">
        <v>61</v>
      </c>
      <c r="B440" s="68" t="s">
        <v>771</v>
      </c>
      <c r="C440" s="68" t="s">
        <v>986</v>
      </c>
      <c r="D440" s="68" t="s">
        <v>773</v>
      </c>
      <c r="E440" s="68" t="s">
        <v>462</v>
      </c>
      <c r="F440" s="68" t="s">
        <v>774</v>
      </c>
      <c r="H440" s="181">
        <v>45505.0</v>
      </c>
      <c r="J440" s="68" t="s">
        <v>134</v>
      </c>
      <c r="K440" s="68">
        <v>880.0</v>
      </c>
      <c r="L440" s="27">
        <v>0.163778877887788</v>
      </c>
      <c r="M440" s="68" t="s">
        <v>8</v>
      </c>
      <c r="N440" s="68">
        <v>3039.0</v>
      </c>
      <c r="O440" s="68">
        <v>60.0</v>
      </c>
      <c r="P440" s="68">
        <v>0.0197</v>
      </c>
      <c r="Q440" s="68">
        <v>741.33</v>
      </c>
      <c r="S440" s="68">
        <v>12.36</v>
      </c>
      <c r="T440" s="68">
        <v>1.0</v>
      </c>
      <c r="U440" s="68">
        <v>28728.81</v>
      </c>
      <c r="V440" s="68">
        <v>0.0258</v>
      </c>
      <c r="W440" s="68">
        <v>38.7531</v>
      </c>
    </row>
    <row r="441" ht="15.75" customHeight="1">
      <c r="A441" s="19" t="s">
        <v>61</v>
      </c>
      <c r="B441" s="68" t="s">
        <v>771</v>
      </c>
      <c r="C441" s="68" t="s">
        <v>987</v>
      </c>
      <c r="D441" s="68" t="s">
        <v>773</v>
      </c>
      <c r="E441" s="68" t="s">
        <v>462</v>
      </c>
      <c r="F441" s="68" t="s">
        <v>774</v>
      </c>
      <c r="H441" s="181">
        <v>45505.0</v>
      </c>
      <c r="J441" s="68" t="s">
        <v>134</v>
      </c>
      <c r="K441" s="68">
        <v>880.0</v>
      </c>
      <c r="L441" s="68" t="s">
        <v>776</v>
      </c>
      <c r="M441" s="68" t="s">
        <v>8</v>
      </c>
      <c r="N441" s="68">
        <v>2092.0</v>
      </c>
      <c r="O441" s="68">
        <v>36.0</v>
      </c>
      <c r="P441" s="68">
        <v>0.0172</v>
      </c>
      <c r="Q441" s="68">
        <v>1199.04</v>
      </c>
      <c r="S441" s="68">
        <v>33.31</v>
      </c>
      <c r="T441" s="68">
        <v>1.0</v>
      </c>
      <c r="U441" s="68">
        <v>17227.12</v>
      </c>
      <c r="V441" s="68">
        <v>0.0696</v>
      </c>
      <c r="W441" s="68">
        <v>14.3674</v>
      </c>
    </row>
    <row r="442" ht="15.75" customHeight="1">
      <c r="A442" s="19" t="s">
        <v>61</v>
      </c>
      <c r="B442" s="68" t="s">
        <v>771</v>
      </c>
      <c r="C442" s="68" t="s">
        <v>882</v>
      </c>
      <c r="D442" s="68" t="s">
        <v>773</v>
      </c>
      <c r="E442" s="68" t="s">
        <v>462</v>
      </c>
      <c r="F442" s="68" t="s">
        <v>774</v>
      </c>
      <c r="H442" s="181">
        <v>45338.0</v>
      </c>
      <c r="J442" s="68" t="s">
        <v>134</v>
      </c>
      <c r="K442" s="68">
        <v>880.0</v>
      </c>
      <c r="L442" s="68" t="s">
        <v>776</v>
      </c>
      <c r="M442" s="68" t="s">
        <v>8</v>
      </c>
      <c r="N442" s="68">
        <v>10447.0</v>
      </c>
      <c r="O442" s="68">
        <v>207.0</v>
      </c>
      <c r="P442" s="68">
        <v>0.0198</v>
      </c>
      <c r="Q442" s="68">
        <v>1049.45</v>
      </c>
      <c r="S442" s="68">
        <v>5.07</v>
      </c>
      <c r="T442" s="68">
        <v>1.0</v>
      </c>
      <c r="U442" s="68">
        <v>15423.73</v>
      </c>
      <c r="V442" s="68">
        <v>0.068</v>
      </c>
      <c r="W442" s="68">
        <v>14.697</v>
      </c>
    </row>
    <row r="443" ht="15.75" customHeight="1">
      <c r="A443" s="19" t="s">
        <v>61</v>
      </c>
      <c r="B443" s="68" t="s">
        <v>771</v>
      </c>
      <c r="C443" s="68" t="s">
        <v>883</v>
      </c>
      <c r="D443" s="68" t="s">
        <v>773</v>
      </c>
      <c r="E443" s="68" t="s">
        <v>462</v>
      </c>
      <c r="F443" s="68" t="s">
        <v>774</v>
      </c>
      <c r="H443" s="181">
        <v>45336.0</v>
      </c>
      <c r="J443" s="68" t="s">
        <v>134</v>
      </c>
      <c r="K443" s="68">
        <v>3000.0</v>
      </c>
      <c r="L443" s="68" t="s">
        <v>776</v>
      </c>
      <c r="M443" s="68" t="s">
        <v>8</v>
      </c>
      <c r="N443" s="68">
        <v>217206.0</v>
      </c>
      <c r="O443" s="68">
        <v>4250.0</v>
      </c>
      <c r="P443" s="68">
        <v>0.0196</v>
      </c>
      <c r="Q443" s="68">
        <v>72808.1</v>
      </c>
      <c r="S443" s="68">
        <v>17.13</v>
      </c>
      <c r="T443" s="68">
        <v>19.0</v>
      </c>
      <c r="U443" s="68">
        <v>338088.13</v>
      </c>
      <c r="V443" s="68">
        <v>0.2154</v>
      </c>
      <c r="W443" s="68">
        <v>4.6436</v>
      </c>
    </row>
    <row r="444" ht="15.75" customHeight="1">
      <c r="A444" s="19" t="s">
        <v>61</v>
      </c>
      <c r="B444" s="68" t="s">
        <v>771</v>
      </c>
      <c r="C444" s="68" t="s">
        <v>988</v>
      </c>
      <c r="D444" s="68" t="s">
        <v>773</v>
      </c>
      <c r="E444" s="68" t="s">
        <v>462</v>
      </c>
      <c r="F444" s="68" t="s">
        <v>774</v>
      </c>
      <c r="H444" s="181">
        <v>45505.0</v>
      </c>
      <c r="J444" s="68" t="s">
        <v>239</v>
      </c>
      <c r="K444" s="68">
        <v>400.0</v>
      </c>
      <c r="L444" s="27">
        <v>0.508936970837253</v>
      </c>
      <c r="M444" s="68" t="s">
        <v>989</v>
      </c>
      <c r="N444" s="68">
        <v>3236.0</v>
      </c>
      <c r="O444" s="68">
        <v>72.0</v>
      </c>
      <c r="P444" s="68">
        <v>0.0222</v>
      </c>
      <c r="Q444" s="68">
        <v>347.29</v>
      </c>
      <c r="S444" s="68">
        <v>4.82</v>
      </c>
      <c r="T444" s="68">
        <v>1.0</v>
      </c>
      <c r="U444" s="68">
        <v>23940.68</v>
      </c>
      <c r="V444" s="68">
        <v>0.0145</v>
      </c>
      <c r="W444" s="68">
        <v>68.9362</v>
      </c>
    </row>
    <row r="445" ht="15.75" customHeight="1">
      <c r="A445" s="19" t="s">
        <v>61</v>
      </c>
      <c r="B445" s="68" t="s">
        <v>771</v>
      </c>
      <c r="C445" s="68" t="s">
        <v>927</v>
      </c>
      <c r="D445" s="68" t="s">
        <v>773</v>
      </c>
      <c r="E445" s="68" t="s">
        <v>463</v>
      </c>
      <c r="F445" s="68" t="s">
        <v>774</v>
      </c>
      <c r="H445" s="181">
        <v>45358.0</v>
      </c>
      <c r="J445" s="68" t="s">
        <v>170</v>
      </c>
      <c r="K445" s="68">
        <v>290.0</v>
      </c>
      <c r="M445" s="68" t="s">
        <v>8</v>
      </c>
      <c r="N445" s="68">
        <v>35778.0</v>
      </c>
      <c r="O445" s="68">
        <v>175.0</v>
      </c>
      <c r="P445" s="68">
        <v>0.0049</v>
      </c>
      <c r="Q445" s="68">
        <v>3861.55</v>
      </c>
      <c r="S445" s="68">
        <v>22.07</v>
      </c>
      <c r="T445" s="68">
        <v>0.0</v>
      </c>
      <c r="U445" s="68">
        <v>0.0</v>
      </c>
      <c r="V445" s="68">
        <v>0.0</v>
      </c>
      <c r="W445" s="68">
        <v>0.0</v>
      </c>
    </row>
    <row r="446" ht="15.75" customHeight="1">
      <c r="A446" s="19" t="s">
        <v>61</v>
      </c>
      <c r="B446" s="68" t="s">
        <v>771</v>
      </c>
      <c r="C446" s="68" t="s">
        <v>990</v>
      </c>
      <c r="D446" s="68" t="s">
        <v>773</v>
      </c>
      <c r="E446" s="68" t="s">
        <v>463</v>
      </c>
      <c r="F446" s="68" t="s">
        <v>774</v>
      </c>
      <c r="H446" s="181">
        <v>45525.0</v>
      </c>
      <c r="J446" s="68" t="s">
        <v>128</v>
      </c>
      <c r="K446" s="68">
        <v>500.0</v>
      </c>
      <c r="M446" s="68" t="s">
        <v>8</v>
      </c>
      <c r="N446" s="68">
        <v>258.0</v>
      </c>
      <c r="O446" s="68">
        <v>0.0</v>
      </c>
      <c r="P446" s="68">
        <v>0.0</v>
      </c>
      <c r="Q446" s="68">
        <v>0.0</v>
      </c>
      <c r="S446" s="68">
        <v>0.0</v>
      </c>
      <c r="T446" s="68">
        <v>0.0</v>
      </c>
      <c r="U446" s="68">
        <v>0.0</v>
      </c>
      <c r="V446" s="68">
        <v>0.0</v>
      </c>
      <c r="W446" s="68">
        <v>0.0</v>
      </c>
    </row>
    <row r="447" ht="15.75" customHeight="1">
      <c r="A447" s="19" t="s">
        <v>61</v>
      </c>
      <c r="B447" s="68" t="s">
        <v>771</v>
      </c>
      <c r="C447" s="68" t="s">
        <v>962</v>
      </c>
      <c r="D447" s="68" t="s">
        <v>773</v>
      </c>
      <c r="E447" s="68" t="s">
        <v>463</v>
      </c>
      <c r="F447" s="68" t="s">
        <v>774</v>
      </c>
      <c r="H447" s="181">
        <v>45446.0</v>
      </c>
      <c r="J447" s="68" t="s">
        <v>90</v>
      </c>
      <c r="K447" s="68">
        <v>591.79</v>
      </c>
      <c r="M447" s="68" t="s">
        <v>8</v>
      </c>
      <c r="N447" s="68">
        <v>56383.0</v>
      </c>
      <c r="O447" s="68">
        <v>81.0</v>
      </c>
      <c r="P447" s="68">
        <v>0.0014</v>
      </c>
      <c r="Q447" s="68">
        <v>651.17</v>
      </c>
      <c r="S447" s="68">
        <v>8.04</v>
      </c>
      <c r="T447" s="68">
        <v>0.0</v>
      </c>
      <c r="U447" s="68">
        <v>0.0</v>
      </c>
      <c r="V447" s="68">
        <v>0.0</v>
      </c>
      <c r="W447" s="68">
        <v>0.0</v>
      </c>
    </row>
    <row r="448" ht="15.75" customHeight="1">
      <c r="A448" s="19" t="s">
        <v>61</v>
      </c>
      <c r="B448" s="68" t="s">
        <v>771</v>
      </c>
      <c r="C448" s="68" t="s">
        <v>914</v>
      </c>
      <c r="D448" s="68" t="s">
        <v>773</v>
      </c>
      <c r="E448" s="68" t="s">
        <v>463</v>
      </c>
      <c r="F448" s="68" t="s">
        <v>774</v>
      </c>
      <c r="H448" s="181">
        <v>45355.0</v>
      </c>
      <c r="J448" s="68" t="s">
        <v>90</v>
      </c>
      <c r="K448" s="68">
        <v>250.0</v>
      </c>
      <c r="M448" s="68" t="s">
        <v>8</v>
      </c>
      <c r="N448" s="68">
        <v>94447.0</v>
      </c>
      <c r="O448" s="68">
        <v>316.0</v>
      </c>
      <c r="P448" s="68">
        <v>0.0033</v>
      </c>
      <c r="Q448" s="68">
        <v>3996.53</v>
      </c>
      <c r="S448" s="68">
        <v>12.65</v>
      </c>
      <c r="T448" s="68">
        <v>1.0</v>
      </c>
      <c r="U448" s="68">
        <v>20974.58</v>
      </c>
      <c r="V448" s="68">
        <v>0.1905</v>
      </c>
      <c r="W448" s="68">
        <v>5.2482</v>
      </c>
    </row>
    <row r="449" ht="15.75" customHeight="1">
      <c r="A449" s="19" t="s">
        <v>61</v>
      </c>
      <c r="B449" s="68" t="s">
        <v>771</v>
      </c>
      <c r="C449" s="68" t="s">
        <v>917</v>
      </c>
      <c r="D449" s="68" t="s">
        <v>773</v>
      </c>
      <c r="E449" s="68" t="s">
        <v>463</v>
      </c>
      <c r="F449" s="68" t="s">
        <v>774</v>
      </c>
      <c r="H449" s="181">
        <v>45355.0</v>
      </c>
      <c r="J449" s="68" t="s">
        <v>90</v>
      </c>
      <c r="K449" s="68">
        <v>500.0</v>
      </c>
      <c r="M449" s="68" t="s">
        <v>8</v>
      </c>
      <c r="N449" s="68">
        <v>997268.0</v>
      </c>
      <c r="O449" s="68">
        <v>3132.0</v>
      </c>
      <c r="P449" s="68">
        <v>0.0031</v>
      </c>
      <c r="Q449" s="68">
        <v>12943.44</v>
      </c>
      <c r="S449" s="68">
        <v>4.13</v>
      </c>
      <c r="T449" s="68">
        <v>0.0</v>
      </c>
      <c r="U449" s="68">
        <v>0.0</v>
      </c>
      <c r="V449" s="68">
        <v>0.0</v>
      </c>
      <c r="W449" s="68">
        <v>0.0</v>
      </c>
    </row>
    <row r="450" ht="15.75" customHeight="1">
      <c r="A450" s="19" t="s">
        <v>61</v>
      </c>
      <c r="B450" s="68" t="s">
        <v>771</v>
      </c>
      <c r="C450" s="68" t="s">
        <v>832</v>
      </c>
      <c r="D450" s="68" t="s">
        <v>773</v>
      </c>
      <c r="E450" s="68" t="s">
        <v>463</v>
      </c>
      <c r="F450" s="68" t="s">
        <v>774</v>
      </c>
      <c r="H450" s="181">
        <v>45280.0</v>
      </c>
      <c r="J450" s="68" t="s">
        <v>134</v>
      </c>
      <c r="K450" s="68">
        <v>880.0</v>
      </c>
      <c r="M450" s="68" t="s">
        <v>8</v>
      </c>
      <c r="N450" s="68">
        <v>50483.0</v>
      </c>
      <c r="O450" s="68">
        <v>110.0</v>
      </c>
      <c r="P450" s="68">
        <v>0.0022</v>
      </c>
      <c r="Q450" s="68">
        <v>1033.2</v>
      </c>
      <c r="S450" s="68">
        <v>9.39</v>
      </c>
      <c r="T450" s="68">
        <v>1.0</v>
      </c>
      <c r="U450" s="68">
        <v>18389.83</v>
      </c>
      <c r="V450" s="68">
        <v>0.0562</v>
      </c>
      <c r="W450" s="68">
        <v>17.7989</v>
      </c>
    </row>
    <row r="451" ht="15.75" customHeight="1">
      <c r="A451" s="19" t="s">
        <v>61</v>
      </c>
      <c r="B451" s="68" t="s">
        <v>771</v>
      </c>
      <c r="C451" s="68" t="s">
        <v>889</v>
      </c>
      <c r="D451" s="68" t="s">
        <v>773</v>
      </c>
      <c r="E451" s="68" t="s">
        <v>463</v>
      </c>
      <c r="F451" s="68" t="s">
        <v>774</v>
      </c>
      <c r="H451" s="181">
        <v>45342.0</v>
      </c>
      <c r="J451" s="68" t="s">
        <v>134</v>
      </c>
      <c r="K451" s="68">
        <v>880.0</v>
      </c>
      <c r="M451" s="68" t="s">
        <v>8</v>
      </c>
      <c r="N451" s="68">
        <v>44360.0</v>
      </c>
      <c r="O451" s="68">
        <v>101.0</v>
      </c>
      <c r="P451" s="68">
        <v>0.0023</v>
      </c>
      <c r="Q451" s="68">
        <v>2882.98</v>
      </c>
      <c r="S451" s="68">
        <v>28.54</v>
      </c>
      <c r="T451" s="68">
        <v>0.0</v>
      </c>
      <c r="U451" s="68">
        <v>0.0</v>
      </c>
      <c r="V451" s="68">
        <v>0.0</v>
      </c>
      <c r="W451" s="68">
        <v>0.0</v>
      </c>
    </row>
    <row r="452" ht="15.75" customHeight="1">
      <c r="A452" s="19" t="s">
        <v>61</v>
      </c>
      <c r="B452" s="68" t="s">
        <v>771</v>
      </c>
      <c r="C452" s="68" t="s">
        <v>862</v>
      </c>
      <c r="D452" s="68" t="s">
        <v>773</v>
      </c>
      <c r="E452" s="68" t="s">
        <v>463</v>
      </c>
      <c r="F452" s="68" t="s">
        <v>774</v>
      </c>
      <c r="H452" s="181">
        <v>45309.0</v>
      </c>
      <c r="J452" s="68" t="s">
        <v>128</v>
      </c>
      <c r="K452" s="68">
        <v>600.0</v>
      </c>
      <c r="M452" s="68" t="s">
        <v>8</v>
      </c>
      <c r="N452" s="68">
        <v>60903.0</v>
      </c>
      <c r="O452" s="68">
        <v>241.0</v>
      </c>
      <c r="P452" s="68">
        <v>0.004</v>
      </c>
      <c r="Q452" s="68">
        <v>4838.32</v>
      </c>
      <c r="S452" s="68">
        <v>20.08</v>
      </c>
      <c r="T452" s="68">
        <v>9.0</v>
      </c>
      <c r="U452" s="68">
        <v>199151.71</v>
      </c>
      <c r="V452" s="68">
        <v>0.0243</v>
      </c>
      <c r="W452" s="68">
        <v>41.1613</v>
      </c>
    </row>
    <row r="453" ht="15.75" customHeight="1">
      <c r="A453" s="19" t="s">
        <v>61</v>
      </c>
      <c r="B453" s="68" t="s">
        <v>779</v>
      </c>
      <c r="C453" s="68" t="s">
        <v>992</v>
      </c>
      <c r="D453" s="68" t="s">
        <v>781</v>
      </c>
      <c r="E453" s="68" t="s">
        <v>463</v>
      </c>
      <c r="F453" s="68" t="s">
        <v>774</v>
      </c>
      <c r="H453" s="181">
        <v>45513.0</v>
      </c>
      <c r="J453" s="68" t="s">
        <v>239</v>
      </c>
      <c r="K453" s="68">
        <v>400.0</v>
      </c>
      <c r="M453" s="68" t="s">
        <v>8</v>
      </c>
      <c r="N453" s="68">
        <v>1642.0</v>
      </c>
      <c r="O453" s="68">
        <v>20.0</v>
      </c>
      <c r="P453" s="68">
        <v>0.0122</v>
      </c>
      <c r="Q453" s="68">
        <v>250.64</v>
      </c>
      <c r="S453" s="68">
        <v>12.53</v>
      </c>
      <c r="T453" s="68">
        <v>0.0</v>
      </c>
      <c r="U453" s="68">
        <v>0.0</v>
      </c>
      <c r="V453" s="68">
        <v>0.0</v>
      </c>
      <c r="W453" s="68">
        <v>0.0</v>
      </c>
    </row>
    <row r="454" ht="15.75" customHeight="1">
      <c r="A454" s="19" t="s">
        <v>61</v>
      </c>
      <c r="B454" s="68" t="s">
        <v>771</v>
      </c>
      <c r="C454" s="68" t="s">
        <v>993</v>
      </c>
      <c r="D454" s="68" t="s">
        <v>773</v>
      </c>
      <c r="E454" s="68" t="s">
        <v>463</v>
      </c>
      <c r="F454" s="68" t="s">
        <v>774</v>
      </c>
      <c r="H454" s="181">
        <v>45505.0</v>
      </c>
      <c r="J454" s="68" t="s">
        <v>239</v>
      </c>
      <c r="K454" s="68">
        <v>400.0</v>
      </c>
      <c r="M454" s="68" t="s">
        <v>8</v>
      </c>
      <c r="N454" s="68">
        <v>94956.0</v>
      </c>
      <c r="O454" s="68">
        <v>502.0</v>
      </c>
      <c r="P454" s="68">
        <v>0.0053</v>
      </c>
      <c r="Q454" s="68">
        <v>12515.94</v>
      </c>
      <c r="S454" s="68">
        <v>24.93</v>
      </c>
      <c r="T454" s="68">
        <v>1.0</v>
      </c>
      <c r="U454" s="68">
        <v>16948.31</v>
      </c>
      <c r="V454" s="68">
        <v>0.7385</v>
      </c>
      <c r="W454" s="68">
        <v>1.3541</v>
      </c>
    </row>
    <row r="455" ht="15.75" customHeight="1">
      <c r="A455" s="19" t="s">
        <v>61</v>
      </c>
      <c r="B455" s="68" t="s">
        <v>779</v>
      </c>
      <c r="C455" s="68" t="s">
        <v>994</v>
      </c>
      <c r="D455" s="68" t="s">
        <v>781</v>
      </c>
      <c r="E455" s="68" t="s">
        <v>463</v>
      </c>
      <c r="F455" s="68" t="s">
        <v>774</v>
      </c>
      <c r="H455" s="181">
        <v>45505.0</v>
      </c>
      <c r="J455" s="68" t="s">
        <v>239</v>
      </c>
      <c r="K455" s="68">
        <v>600.0</v>
      </c>
      <c r="M455" s="68" t="s">
        <v>8</v>
      </c>
      <c r="N455" s="68">
        <v>86587.0</v>
      </c>
      <c r="O455" s="68">
        <v>404.0</v>
      </c>
      <c r="P455" s="68">
        <v>0.0047</v>
      </c>
      <c r="Q455" s="68">
        <v>3457.38</v>
      </c>
      <c r="S455" s="68">
        <v>8.56</v>
      </c>
      <c r="T455" s="68">
        <v>0.0</v>
      </c>
      <c r="U455" s="68">
        <v>0.0</v>
      </c>
      <c r="V455" s="68">
        <v>0.0</v>
      </c>
      <c r="W455" s="68">
        <v>0.0</v>
      </c>
    </row>
    <row r="456" ht="15.75" customHeight="1">
      <c r="A456" s="19" t="s">
        <v>61</v>
      </c>
      <c r="B456" s="68" t="s">
        <v>779</v>
      </c>
      <c r="C456" s="68" t="s">
        <v>995</v>
      </c>
      <c r="D456" s="68" t="s">
        <v>781</v>
      </c>
      <c r="E456" s="68" t="s">
        <v>463</v>
      </c>
      <c r="F456" s="68" t="s">
        <v>774</v>
      </c>
      <c r="H456" s="181">
        <v>45505.0</v>
      </c>
      <c r="J456" s="68" t="s">
        <v>239</v>
      </c>
      <c r="K456" s="68">
        <v>960.0</v>
      </c>
      <c r="M456" s="68" t="s">
        <v>8</v>
      </c>
      <c r="N456" s="68">
        <v>39134.0</v>
      </c>
      <c r="O456" s="68">
        <v>458.0</v>
      </c>
      <c r="P456" s="68">
        <v>0.0117</v>
      </c>
      <c r="Q456" s="68">
        <v>8738.88</v>
      </c>
      <c r="S456" s="68">
        <v>19.08</v>
      </c>
      <c r="T456" s="68">
        <v>0.0</v>
      </c>
      <c r="U456" s="68">
        <v>0.0</v>
      </c>
      <c r="V456" s="68">
        <v>0.0</v>
      </c>
      <c r="W456" s="68">
        <v>0.0</v>
      </c>
    </row>
    <row r="457" ht="15.75" customHeight="1">
      <c r="A457" s="19" t="s">
        <v>61</v>
      </c>
      <c r="B457" s="68" t="s">
        <v>779</v>
      </c>
      <c r="C457" s="68" t="s">
        <v>996</v>
      </c>
      <c r="D457" s="68" t="s">
        <v>781</v>
      </c>
      <c r="E457" s="68" t="s">
        <v>463</v>
      </c>
      <c r="F457" s="68" t="s">
        <v>774</v>
      </c>
      <c r="H457" s="181">
        <v>45513.0</v>
      </c>
      <c r="J457" s="68" t="s">
        <v>239</v>
      </c>
      <c r="K457" s="68">
        <v>400.0</v>
      </c>
      <c r="M457" s="68" t="s">
        <v>8</v>
      </c>
      <c r="N457" s="68">
        <v>3654.0</v>
      </c>
      <c r="O457" s="68">
        <v>39.0</v>
      </c>
      <c r="P457" s="68">
        <v>0.0107</v>
      </c>
      <c r="Q457" s="68">
        <v>544.11</v>
      </c>
      <c r="S457" s="68">
        <v>13.95</v>
      </c>
      <c r="T457" s="68">
        <v>0.0</v>
      </c>
      <c r="U457" s="68">
        <v>0.0</v>
      </c>
      <c r="V457" s="68">
        <v>0.0</v>
      </c>
      <c r="W457" s="68">
        <v>0.0</v>
      </c>
    </row>
    <row r="458" ht="15.75" customHeight="1">
      <c r="A458" s="19" t="s">
        <v>61</v>
      </c>
      <c r="B458" s="68" t="s">
        <v>779</v>
      </c>
      <c r="C458" s="68" t="s">
        <v>997</v>
      </c>
      <c r="D458" s="68" t="s">
        <v>781</v>
      </c>
      <c r="E458" s="68" t="s">
        <v>463</v>
      </c>
      <c r="F458" s="68" t="s">
        <v>774</v>
      </c>
      <c r="H458" s="181">
        <v>45525.0</v>
      </c>
      <c r="J458" s="68" t="s">
        <v>239</v>
      </c>
      <c r="K458" s="68">
        <v>400.0</v>
      </c>
      <c r="M458" s="68" t="s">
        <v>989</v>
      </c>
      <c r="N458" s="68">
        <v>92021.0</v>
      </c>
      <c r="O458" s="68">
        <v>212.0</v>
      </c>
      <c r="P458" s="68">
        <v>0.0023</v>
      </c>
      <c r="Q458" s="68">
        <v>603.83</v>
      </c>
      <c r="S458" s="68">
        <v>2.85</v>
      </c>
      <c r="T458" s="68">
        <v>0.0</v>
      </c>
      <c r="U458" s="68">
        <v>0.0</v>
      </c>
      <c r="V458" s="68">
        <v>0.0</v>
      </c>
      <c r="W458" s="68">
        <v>0.0</v>
      </c>
    </row>
    <row r="459" ht="15.75" customHeight="1">
      <c r="A459" s="19" t="s">
        <v>61</v>
      </c>
      <c r="B459" s="68" t="s">
        <v>771</v>
      </c>
      <c r="C459" s="68" t="s">
        <v>892</v>
      </c>
      <c r="D459" s="68" t="s">
        <v>773</v>
      </c>
      <c r="E459" s="68" t="s">
        <v>459</v>
      </c>
      <c r="F459" s="68" t="s">
        <v>774</v>
      </c>
      <c r="G459" s="68" t="s">
        <v>775</v>
      </c>
      <c r="H459" s="181">
        <v>45301.0</v>
      </c>
      <c r="J459" s="68" t="s">
        <v>170</v>
      </c>
      <c r="K459" s="68">
        <v>300.0</v>
      </c>
      <c r="L459" s="27">
        <v>0.311965811965811</v>
      </c>
      <c r="M459" s="68" t="s">
        <v>8</v>
      </c>
      <c r="N459" s="68">
        <v>49553.0</v>
      </c>
      <c r="O459" s="68">
        <v>244.0</v>
      </c>
      <c r="P459" s="68">
        <v>0.0049</v>
      </c>
      <c r="Q459" s="68">
        <v>5612.29</v>
      </c>
      <c r="S459" s="68">
        <v>23.0</v>
      </c>
      <c r="T459" s="68">
        <v>0.0</v>
      </c>
      <c r="U459" s="68">
        <v>0.0</v>
      </c>
      <c r="V459" s="68">
        <v>0.0</v>
      </c>
      <c r="W459" s="68">
        <v>0.0</v>
      </c>
    </row>
    <row r="460" ht="15.75" customHeight="1">
      <c r="A460" s="19" t="s">
        <v>61</v>
      </c>
      <c r="B460" s="68" t="s">
        <v>771</v>
      </c>
      <c r="C460" s="68" t="s">
        <v>998</v>
      </c>
      <c r="D460" s="68" t="s">
        <v>773</v>
      </c>
      <c r="E460" s="68" t="s">
        <v>460</v>
      </c>
      <c r="F460" s="68" t="s">
        <v>778</v>
      </c>
      <c r="G460" s="68" t="s">
        <v>775</v>
      </c>
      <c r="H460" s="181">
        <v>45525.0</v>
      </c>
      <c r="J460" s="68" t="s">
        <v>240</v>
      </c>
      <c r="K460" s="68">
        <v>400.0</v>
      </c>
      <c r="L460" s="68" t="s">
        <v>776</v>
      </c>
      <c r="M460" s="68" t="s">
        <v>8</v>
      </c>
      <c r="N460" s="68">
        <v>55797.0</v>
      </c>
      <c r="O460" s="68">
        <v>367.0</v>
      </c>
      <c r="P460" s="68">
        <v>0.0066</v>
      </c>
      <c r="Q460" s="68">
        <v>2012.43</v>
      </c>
      <c r="S460" s="68">
        <v>5.48</v>
      </c>
      <c r="T460" s="68">
        <v>4.0</v>
      </c>
      <c r="U460" s="68">
        <v>10843.22</v>
      </c>
      <c r="V460" s="68">
        <v>0.1856</v>
      </c>
      <c r="W460" s="68">
        <v>5.3881</v>
      </c>
    </row>
    <row r="461" ht="15.75" customHeight="1">
      <c r="A461" s="19" t="s">
        <v>61</v>
      </c>
      <c r="B461" s="68" t="s">
        <v>771</v>
      </c>
      <c r="C461" s="68" t="s">
        <v>999</v>
      </c>
      <c r="D461" s="68" t="s">
        <v>773</v>
      </c>
      <c r="E461" s="68" t="s">
        <v>460</v>
      </c>
      <c r="F461" s="68" t="s">
        <v>778</v>
      </c>
      <c r="G461" s="68" t="s">
        <v>775</v>
      </c>
      <c r="H461" s="181">
        <v>45524.0</v>
      </c>
      <c r="J461" s="68" t="s">
        <v>158</v>
      </c>
      <c r="K461" s="68">
        <v>150.0</v>
      </c>
      <c r="L461" s="68" t="s">
        <v>776</v>
      </c>
      <c r="M461" s="68" t="s">
        <v>8</v>
      </c>
      <c r="N461" s="68">
        <v>334272.0</v>
      </c>
      <c r="O461" s="68">
        <v>286.0</v>
      </c>
      <c r="P461" s="68">
        <v>9.0E-4</v>
      </c>
      <c r="Q461" s="68">
        <v>2582.5</v>
      </c>
      <c r="S461" s="68">
        <v>9.03</v>
      </c>
      <c r="T461" s="68">
        <v>0.0</v>
      </c>
      <c r="U461" s="68">
        <v>0.0</v>
      </c>
      <c r="V461" s="68">
        <v>0.0</v>
      </c>
      <c r="W461" s="68">
        <v>0.0</v>
      </c>
    </row>
    <row r="462" ht="15.75" customHeight="1">
      <c r="A462" s="19" t="s">
        <v>61</v>
      </c>
      <c r="B462" s="68" t="s">
        <v>771</v>
      </c>
      <c r="C462" s="68" t="s">
        <v>948</v>
      </c>
      <c r="D462" s="68" t="s">
        <v>773</v>
      </c>
      <c r="E462" s="68" t="s">
        <v>460</v>
      </c>
      <c r="F462" s="68" t="s">
        <v>778</v>
      </c>
      <c r="G462" s="68" t="s">
        <v>775</v>
      </c>
      <c r="H462" s="181">
        <v>45415.0</v>
      </c>
      <c r="J462" s="68" t="s">
        <v>232</v>
      </c>
      <c r="K462" s="68">
        <v>241.92</v>
      </c>
      <c r="L462" s="68" t="s">
        <v>776</v>
      </c>
      <c r="M462" s="68" t="s">
        <v>8</v>
      </c>
      <c r="N462" s="68">
        <v>12387.0</v>
      </c>
      <c r="O462" s="68">
        <v>40.0</v>
      </c>
      <c r="P462" s="68">
        <v>0.0032</v>
      </c>
      <c r="Q462" s="68">
        <v>120.09</v>
      </c>
      <c r="S462" s="68">
        <v>3.0</v>
      </c>
      <c r="T462" s="68">
        <v>1.0</v>
      </c>
      <c r="U462" s="68">
        <v>25338.98</v>
      </c>
      <c r="V462" s="68">
        <v>0.0047</v>
      </c>
      <c r="W462" s="68">
        <v>210.9999</v>
      </c>
    </row>
    <row r="463" ht="15.75" customHeight="1">
      <c r="A463" s="19" t="s">
        <v>61</v>
      </c>
      <c r="B463" s="68" t="s">
        <v>771</v>
      </c>
      <c r="C463" s="68" t="s">
        <v>974</v>
      </c>
      <c r="D463" s="68" t="s">
        <v>773</v>
      </c>
      <c r="E463" s="68" t="s">
        <v>459</v>
      </c>
      <c r="F463" s="68" t="s">
        <v>774</v>
      </c>
      <c r="G463" s="68" t="s">
        <v>783</v>
      </c>
      <c r="H463" s="181">
        <v>45483.0</v>
      </c>
      <c r="J463" s="68" t="s">
        <v>128</v>
      </c>
      <c r="K463" s="68">
        <v>769.71</v>
      </c>
      <c r="L463" s="27">
        <v>0.392405063291139</v>
      </c>
      <c r="M463" s="68" t="s">
        <v>8</v>
      </c>
      <c r="N463" s="68">
        <v>1135.0</v>
      </c>
      <c r="O463" s="68">
        <v>15.0</v>
      </c>
      <c r="P463" s="68">
        <v>0.0132</v>
      </c>
      <c r="Q463" s="68">
        <v>399.74</v>
      </c>
      <c r="S463" s="68">
        <v>26.65</v>
      </c>
      <c r="T463" s="68">
        <v>0.0</v>
      </c>
      <c r="U463" s="68">
        <v>0.0</v>
      </c>
      <c r="V463" s="68">
        <v>0.0</v>
      </c>
      <c r="W463" s="68">
        <v>0.0</v>
      </c>
    </row>
    <row r="464" ht="15.75" customHeight="1">
      <c r="A464" s="19" t="s">
        <v>61</v>
      </c>
      <c r="B464" s="68" t="s">
        <v>771</v>
      </c>
      <c r="C464" s="68" t="s">
        <v>1001</v>
      </c>
      <c r="D464" s="68" t="s">
        <v>773</v>
      </c>
      <c r="E464" s="68" t="s">
        <v>460</v>
      </c>
      <c r="F464" s="68" t="s">
        <v>778</v>
      </c>
      <c r="G464" s="68" t="s">
        <v>775</v>
      </c>
      <c r="H464" s="181">
        <v>45525.0</v>
      </c>
      <c r="J464" s="68" t="s">
        <v>217</v>
      </c>
      <c r="K464" s="68">
        <v>800.0</v>
      </c>
      <c r="L464" s="68" t="s">
        <v>776</v>
      </c>
      <c r="M464" s="68" t="s">
        <v>8</v>
      </c>
      <c r="N464" s="68">
        <v>139199.0</v>
      </c>
      <c r="O464" s="68">
        <v>808.0</v>
      </c>
      <c r="P464" s="68">
        <v>0.0058</v>
      </c>
      <c r="Q464" s="68">
        <v>5879.22</v>
      </c>
      <c r="S464" s="68">
        <v>7.28</v>
      </c>
      <c r="T464" s="68">
        <v>9.0</v>
      </c>
      <c r="U464" s="68">
        <v>8891.54</v>
      </c>
      <c r="V464" s="68">
        <v>0.6612</v>
      </c>
      <c r="W464" s="68">
        <v>1.5124</v>
      </c>
    </row>
    <row r="465" ht="15.75" customHeight="1">
      <c r="A465" s="19" t="s">
        <v>61</v>
      </c>
      <c r="B465" s="68" t="s">
        <v>771</v>
      </c>
      <c r="C465" s="68" t="s">
        <v>1002</v>
      </c>
      <c r="D465" s="68" t="s">
        <v>773</v>
      </c>
      <c r="E465" s="68" t="s">
        <v>459</v>
      </c>
      <c r="F465" s="68" t="s">
        <v>774</v>
      </c>
      <c r="G465" s="68" t="s">
        <v>775</v>
      </c>
      <c r="H465" s="181">
        <v>45534.0</v>
      </c>
      <c r="J465" s="68" t="s">
        <v>217</v>
      </c>
      <c r="K465" s="68">
        <v>500.0</v>
      </c>
      <c r="L465" s="68" t="s">
        <v>776</v>
      </c>
      <c r="M465" s="68" t="s">
        <v>8</v>
      </c>
      <c r="N465" s="68">
        <v>154.0</v>
      </c>
      <c r="O465" s="68">
        <v>3.0</v>
      </c>
      <c r="P465" s="68">
        <v>0.0195</v>
      </c>
      <c r="Q465" s="68">
        <v>12.08</v>
      </c>
      <c r="S465" s="68">
        <v>4.03</v>
      </c>
      <c r="T465" s="68">
        <v>0.0</v>
      </c>
      <c r="U465" s="68">
        <v>0.0</v>
      </c>
      <c r="V465" s="68">
        <v>0.0</v>
      </c>
      <c r="W465" s="68">
        <v>0.0</v>
      </c>
    </row>
    <row r="466" ht="15.75" customHeight="1">
      <c r="A466" s="19" t="s">
        <v>61</v>
      </c>
      <c r="B466" s="68" t="s">
        <v>779</v>
      </c>
      <c r="C466" s="68" t="s">
        <v>924</v>
      </c>
      <c r="D466" s="68" t="s">
        <v>781</v>
      </c>
      <c r="E466" s="68" t="s">
        <v>460</v>
      </c>
      <c r="F466" s="68" t="s">
        <v>778</v>
      </c>
      <c r="G466" s="68" t="s">
        <v>775</v>
      </c>
      <c r="H466" s="181">
        <v>45356.0</v>
      </c>
      <c r="J466" s="68" t="s">
        <v>211</v>
      </c>
      <c r="K466" s="68">
        <v>550.0</v>
      </c>
      <c r="L466" s="68" t="s">
        <v>776</v>
      </c>
      <c r="M466" s="68" t="s">
        <v>8</v>
      </c>
      <c r="N466" s="68">
        <v>199831.0</v>
      </c>
      <c r="O466" s="68">
        <v>1091.0</v>
      </c>
      <c r="P466" s="68">
        <v>0.0055</v>
      </c>
      <c r="Q466" s="68">
        <v>5824.72</v>
      </c>
      <c r="S466" s="68">
        <v>5.34</v>
      </c>
      <c r="T466" s="68">
        <v>18.0</v>
      </c>
      <c r="U466" s="68">
        <v>36344.93</v>
      </c>
      <c r="V466" s="68">
        <v>0.1603</v>
      </c>
      <c r="W466" s="68">
        <v>6.2398</v>
      </c>
    </row>
    <row r="467" ht="15.75" customHeight="1">
      <c r="A467" s="19" t="s">
        <v>61</v>
      </c>
      <c r="B467" s="68" t="s">
        <v>779</v>
      </c>
      <c r="C467" s="68" t="s">
        <v>1004</v>
      </c>
      <c r="D467" s="68" t="s">
        <v>781</v>
      </c>
      <c r="E467" s="68" t="s">
        <v>459</v>
      </c>
      <c r="F467" s="68" t="s">
        <v>774</v>
      </c>
      <c r="G467" s="68" t="s">
        <v>775</v>
      </c>
      <c r="H467" s="181">
        <v>45504.0</v>
      </c>
      <c r="J467" s="68" t="s">
        <v>128</v>
      </c>
      <c r="K467" s="68">
        <v>500.0</v>
      </c>
      <c r="L467" s="27">
        <v>0.466666666666666</v>
      </c>
      <c r="M467" s="68" t="s">
        <v>8</v>
      </c>
      <c r="N467" s="68">
        <v>34.0</v>
      </c>
      <c r="O467" s="68">
        <v>7.0</v>
      </c>
      <c r="P467" s="68">
        <v>0.2059</v>
      </c>
      <c r="Q467" s="68">
        <v>24.64</v>
      </c>
      <c r="S467" s="68">
        <v>3.52</v>
      </c>
      <c r="T467" s="68">
        <v>0.0</v>
      </c>
      <c r="U467" s="68">
        <v>0.0</v>
      </c>
      <c r="V467" s="68">
        <v>0.0</v>
      </c>
      <c r="W467" s="68">
        <v>0.0</v>
      </c>
    </row>
    <row r="468" ht="15.75" customHeight="1">
      <c r="A468" s="19" t="s">
        <v>61</v>
      </c>
      <c r="B468" s="68" t="s">
        <v>779</v>
      </c>
      <c r="C468" s="68" t="s">
        <v>982</v>
      </c>
      <c r="D468" s="68" t="s">
        <v>781</v>
      </c>
      <c r="E468" s="68" t="s">
        <v>459</v>
      </c>
      <c r="F468" s="68" t="s">
        <v>774</v>
      </c>
      <c r="G468" s="68" t="s">
        <v>775</v>
      </c>
      <c r="H468" s="181">
        <v>45504.0</v>
      </c>
      <c r="J468" s="68" t="s">
        <v>211</v>
      </c>
      <c r="K468" s="68">
        <v>264.0</v>
      </c>
      <c r="L468" s="68" t="s">
        <v>776</v>
      </c>
      <c r="M468" s="68" t="s">
        <v>8</v>
      </c>
      <c r="N468" s="68">
        <v>5985.0</v>
      </c>
      <c r="O468" s="68">
        <v>59.0</v>
      </c>
      <c r="P468" s="68">
        <v>0.0099</v>
      </c>
      <c r="Q468" s="68">
        <v>264.0</v>
      </c>
      <c r="S468" s="68">
        <v>4.47</v>
      </c>
      <c r="T468" s="68">
        <v>2.0</v>
      </c>
      <c r="U468" s="68">
        <v>3728.81</v>
      </c>
      <c r="V468" s="68">
        <v>0.0708</v>
      </c>
      <c r="W468" s="68">
        <v>14.1243</v>
      </c>
    </row>
    <row r="469" ht="15.75" customHeight="1">
      <c r="A469" s="19" t="s">
        <v>61</v>
      </c>
      <c r="B469" s="68" t="s">
        <v>779</v>
      </c>
      <c r="C469" s="68" t="s">
        <v>1006</v>
      </c>
      <c r="D469" s="68" t="s">
        <v>781</v>
      </c>
      <c r="E469" s="68" t="s">
        <v>459</v>
      </c>
      <c r="F469" s="68" t="s">
        <v>774</v>
      </c>
      <c r="G469" s="68" t="s">
        <v>775</v>
      </c>
      <c r="H469" s="181">
        <v>45504.0</v>
      </c>
      <c r="J469" s="68" t="s">
        <v>241</v>
      </c>
      <c r="K469" s="68">
        <v>190.0</v>
      </c>
      <c r="L469" s="68" t="s">
        <v>776</v>
      </c>
      <c r="M469" s="68" t="s">
        <v>8</v>
      </c>
      <c r="N469" s="68">
        <v>674.0</v>
      </c>
      <c r="O469" s="68">
        <v>1.0</v>
      </c>
      <c r="P469" s="68">
        <v>0.0015</v>
      </c>
      <c r="Q469" s="68">
        <v>7.45</v>
      </c>
      <c r="S469" s="68">
        <v>7.45</v>
      </c>
      <c r="T469" s="68">
        <v>0.0</v>
      </c>
      <c r="U469" s="68">
        <v>0.0</v>
      </c>
      <c r="V469" s="68">
        <v>0.0</v>
      </c>
      <c r="W469" s="68">
        <v>0.0</v>
      </c>
    </row>
    <row r="470" ht="15.75" customHeight="1">
      <c r="A470" s="19" t="s">
        <v>61</v>
      </c>
      <c r="B470" s="68" t="s">
        <v>779</v>
      </c>
      <c r="C470" s="68" t="s">
        <v>1007</v>
      </c>
      <c r="D470" s="68" t="s">
        <v>781</v>
      </c>
      <c r="E470" s="68" t="s">
        <v>459</v>
      </c>
      <c r="F470" s="68" t="s">
        <v>774</v>
      </c>
      <c r="G470" s="68" t="s">
        <v>775</v>
      </c>
      <c r="H470" s="181">
        <v>45504.0</v>
      </c>
      <c r="J470" s="68" t="s">
        <v>241</v>
      </c>
      <c r="K470" s="68">
        <v>510.0</v>
      </c>
      <c r="L470" s="68" t="s">
        <v>776</v>
      </c>
      <c r="M470" s="68" t="s">
        <v>8</v>
      </c>
      <c r="N470" s="68">
        <v>1847.0</v>
      </c>
      <c r="O470" s="68">
        <v>3.0</v>
      </c>
      <c r="P470" s="68">
        <v>0.0016</v>
      </c>
      <c r="Q470" s="68">
        <v>32.31</v>
      </c>
      <c r="S470" s="68">
        <v>10.77</v>
      </c>
      <c r="T470" s="68">
        <v>0.0</v>
      </c>
      <c r="U470" s="68">
        <v>0.0</v>
      </c>
      <c r="V470" s="68">
        <v>0.0</v>
      </c>
      <c r="W470" s="68">
        <v>0.0</v>
      </c>
    </row>
    <row r="471" ht="15.75" customHeight="1">
      <c r="A471" s="19" t="s">
        <v>61</v>
      </c>
      <c r="B471" s="68" t="s">
        <v>779</v>
      </c>
      <c r="C471" s="68" t="s">
        <v>958</v>
      </c>
      <c r="D471" s="68" t="s">
        <v>781</v>
      </c>
      <c r="E471" s="68" t="s">
        <v>460</v>
      </c>
      <c r="F471" s="68" t="s">
        <v>778</v>
      </c>
      <c r="G471" s="68" t="s">
        <v>775</v>
      </c>
      <c r="H471" s="181">
        <v>45454.0</v>
      </c>
      <c r="J471" s="68" t="s">
        <v>241</v>
      </c>
      <c r="K471" s="68">
        <v>2400.0</v>
      </c>
      <c r="L471" s="68" t="s">
        <v>776</v>
      </c>
      <c r="M471" s="68" t="s">
        <v>8</v>
      </c>
      <c r="N471" s="68">
        <v>137470.0</v>
      </c>
      <c r="O471" s="68">
        <v>273.0</v>
      </c>
      <c r="P471" s="68">
        <v>0.002</v>
      </c>
      <c r="Q471" s="68">
        <v>2977.42</v>
      </c>
      <c r="S471" s="68">
        <v>10.91</v>
      </c>
      <c r="T471" s="68">
        <v>2.0</v>
      </c>
      <c r="U471" s="68">
        <v>23495.76</v>
      </c>
      <c r="V471" s="68">
        <v>0.1267</v>
      </c>
      <c r="W471" s="68">
        <v>7.8913</v>
      </c>
    </row>
    <row r="472" ht="15.75" customHeight="1">
      <c r="A472" s="19" t="s">
        <v>61</v>
      </c>
      <c r="B472" s="68" t="s">
        <v>771</v>
      </c>
      <c r="C472" s="68" t="s">
        <v>1008</v>
      </c>
      <c r="D472" s="68" t="s">
        <v>773</v>
      </c>
      <c r="E472" s="68" t="s">
        <v>459</v>
      </c>
      <c r="F472" s="68" t="s">
        <v>774</v>
      </c>
      <c r="G472" s="68" t="s">
        <v>775</v>
      </c>
      <c r="H472" s="181">
        <v>45525.0</v>
      </c>
      <c r="J472" s="68" t="s">
        <v>240</v>
      </c>
      <c r="K472" s="68">
        <v>500.0</v>
      </c>
      <c r="L472" s="27">
        <v>0.0515463917525773</v>
      </c>
      <c r="M472" s="68" t="s">
        <v>8</v>
      </c>
      <c r="N472" s="68">
        <v>1134.0</v>
      </c>
      <c r="O472" s="68">
        <v>19.0</v>
      </c>
      <c r="P472" s="68">
        <v>0.0168</v>
      </c>
      <c r="Q472" s="68">
        <v>192.09</v>
      </c>
      <c r="S472" s="68">
        <v>10.11</v>
      </c>
      <c r="T472" s="68">
        <v>0.0</v>
      </c>
      <c r="U472" s="68">
        <v>0.0</v>
      </c>
      <c r="V472" s="68">
        <v>0.0</v>
      </c>
      <c r="W472" s="68">
        <v>0.0</v>
      </c>
    </row>
    <row r="473" ht="15.75" customHeight="1">
      <c r="A473" s="19" t="s">
        <v>61</v>
      </c>
      <c r="B473" s="68" t="s">
        <v>771</v>
      </c>
      <c r="C473" s="68" t="s">
        <v>1009</v>
      </c>
      <c r="D473" s="68" t="s">
        <v>773</v>
      </c>
      <c r="E473" s="68" t="s">
        <v>459</v>
      </c>
      <c r="F473" s="68" t="s">
        <v>774</v>
      </c>
      <c r="G473" s="68" t="s">
        <v>775</v>
      </c>
      <c r="H473" s="181">
        <v>45525.0</v>
      </c>
      <c r="J473" s="68" t="s">
        <v>240</v>
      </c>
      <c r="K473" s="68">
        <v>500.0</v>
      </c>
      <c r="L473" s="27">
        <v>0.101803607214428</v>
      </c>
      <c r="M473" s="68" t="s">
        <v>8</v>
      </c>
      <c r="N473" s="68">
        <v>1650.0</v>
      </c>
      <c r="O473" s="68">
        <v>45.0</v>
      </c>
      <c r="P473" s="68">
        <v>0.0273</v>
      </c>
      <c r="Q473" s="68">
        <v>308.8</v>
      </c>
      <c r="S473" s="68">
        <v>6.86</v>
      </c>
      <c r="T473" s="68">
        <v>1.0</v>
      </c>
      <c r="U473" s="68">
        <v>3050.0</v>
      </c>
      <c r="V473" s="68">
        <v>0.1012</v>
      </c>
      <c r="W473" s="68">
        <v>9.8769</v>
      </c>
    </row>
    <row r="474" ht="15.75" customHeight="1">
      <c r="A474" s="19" t="s">
        <v>61</v>
      </c>
      <c r="B474" s="68" t="s">
        <v>771</v>
      </c>
      <c r="C474" s="68" t="s">
        <v>1010</v>
      </c>
      <c r="D474" s="68" t="s">
        <v>773</v>
      </c>
      <c r="E474" s="68" t="s">
        <v>459</v>
      </c>
      <c r="F474" s="68" t="s">
        <v>774</v>
      </c>
      <c r="G474" s="68" t="s">
        <v>775</v>
      </c>
      <c r="H474" s="181">
        <v>45525.0</v>
      </c>
      <c r="J474" s="68" t="s">
        <v>240</v>
      </c>
      <c r="K474" s="68">
        <v>500.0</v>
      </c>
      <c r="L474" s="68" t="s">
        <v>776</v>
      </c>
      <c r="M474" s="68" t="s">
        <v>8</v>
      </c>
      <c r="N474" s="68">
        <v>15510.0</v>
      </c>
      <c r="O474" s="68">
        <v>114.0</v>
      </c>
      <c r="P474" s="68">
        <v>0.0074</v>
      </c>
      <c r="Q474" s="68">
        <v>1270.95</v>
      </c>
      <c r="S474" s="68">
        <v>11.15</v>
      </c>
      <c r="T474" s="68">
        <v>5.0</v>
      </c>
      <c r="U474" s="68">
        <v>15250.0</v>
      </c>
      <c r="V474" s="68">
        <v>0.0833</v>
      </c>
      <c r="W474" s="68">
        <v>11.9989</v>
      </c>
    </row>
    <row r="475" ht="15.75" customHeight="1">
      <c r="A475" s="19" t="s">
        <v>61</v>
      </c>
      <c r="B475" s="68" t="s">
        <v>771</v>
      </c>
      <c r="C475" s="68" t="s">
        <v>1011</v>
      </c>
      <c r="D475" s="68" t="s">
        <v>773</v>
      </c>
      <c r="E475" s="68" t="s">
        <v>459</v>
      </c>
      <c r="F475" s="68" t="s">
        <v>774</v>
      </c>
      <c r="G475" s="68" t="s">
        <v>775</v>
      </c>
      <c r="H475" s="181">
        <v>45301.0</v>
      </c>
      <c r="J475" s="68" t="s">
        <v>158</v>
      </c>
      <c r="K475" s="68">
        <v>300.0</v>
      </c>
      <c r="L475" s="68" t="s">
        <v>776</v>
      </c>
      <c r="M475" s="68" t="s">
        <v>8</v>
      </c>
      <c r="N475" s="68">
        <v>25926.0</v>
      </c>
      <c r="O475" s="68">
        <v>76.0</v>
      </c>
      <c r="P475" s="68">
        <v>0.0029</v>
      </c>
      <c r="Q475" s="68">
        <v>1762.32</v>
      </c>
      <c r="S475" s="68">
        <v>23.19</v>
      </c>
      <c r="T475" s="68">
        <v>0.0</v>
      </c>
      <c r="U475" s="68">
        <v>0.0</v>
      </c>
      <c r="V475" s="68">
        <v>0.0</v>
      </c>
      <c r="W475" s="68">
        <v>0.0</v>
      </c>
    </row>
    <row r="476" ht="15.75" customHeight="1">
      <c r="A476" s="19" t="s">
        <v>61</v>
      </c>
      <c r="B476" s="68" t="s">
        <v>771</v>
      </c>
      <c r="C476" s="68" t="s">
        <v>1012</v>
      </c>
      <c r="D476" s="68" t="s">
        <v>773</v>
      </c>
      <c r="E476" s="68" t="s">
        <v>459</v>
      </c>
      <c r="F476" s="68" t="s">
        <v>774</v>
      </c>
      <c r="G476" s="68" t="s">
        <v>775</v>
      </c>
      <c r="H476" s="181">
        <v>45524.0</v>
      </c>
      <c r="J476" s="68" t="s">
        <v>158</v>
      </c>
      <c r="K476" s="68">
        <v>600.0</v>
      </c>
      <c r="L476" s="68" t="s">
        <v>776</v>
      </c>
      <c r="M476" s="68" t="s">
        <v>8</v>
      </c>
      <c r="N476" s="68">
        <v>37354.0</v>
      </c>
      <c r="O476" s="68">
        <v>136.0</v>
      </c>
      <c r="P476" s="68">
        <v>0.0036</v>
      </c>
      <c r="Q476" s="68">
        <v>3297.34</v>
      </c>
      <c r="S476" s="68">
        <v>24.25</v>
      </c>
      <c r="T476" s="68">
        <v>2.0</v>
      </c>
      <c r="U476" s="68">
        <v>7370.34</v>
      </c>
      <c r="V476" s="68">
        <v>0.4474</v>
      </c>
      <c r="W476" s="68">
        <v>2.2352</v>
      </c>
    </row>
    <row r="477" ht="15.75" customHeight="1">
      <c r="A477" s="19" t="s">
        <v>61</v>
      </c>
      <c r="B477" s="68" t="s">
        <v>771</v>
      </c>
      <c r="C477" s="68" t="s">
        <v>1013</v>
      </c>
      <c r="D477" s="68" t="s">
        <v>773</v>
      </c>
      <c r="E477" s="68" t="s">
        <v>459</v>
      </c>
      <c r="F477" s="68" t="s">
        <v>774</v>
      </c>
      <c r="G477" s="68" t="s">
        <v>775</v>
      </c>
      <c r="H477" s="181">
        <v>45301.0</v>
      </c>
      <c r="J477" s="68" t="s">
        <v>158</v>
      </c>
      <c r="K477" s="68">
        <v>200.0</v>
      </c>
      <c r="L477" s="68" t="s">
        <v>776</v>
      </c>
      <c r="M477" s="68" t="s">
        <v>8</v>
      </c>
      <c r="N477" s="68">
        <v>7442.0</v>
      </c>
      <c r="O477" s="68">
        <v>23.0</v>
      </c>
      <c r="P477" s="68">
        <v>0.0031</v>
      </c>
      <c r="Q477" s="68">
        <v>385.38</v>
      </c>
      <c r="S477" s="68">
        <v>16.76</v>
      </c>
      <c r="T477" s="68">
        <v>0.0</v>
      </c>
      <c r="U477" s="68">
        <v>0.0</v>
      </c>
      <c r="V477" s="68">
        <v>0.0</v>
      </c>
      <c r="W477" s="68">
        <v>0.0</v>
      </c>
    </row>
    <row r="478" ht="15.75" customHeight="1">
      <c r="A478" s="19" t="s">
        <v>61</v>
      </c>
      <c r="B478" s="68" t="s">
        <v>771</v>
      </c>
      <c r="C478" s="68" t="s">
        <v>1014</v>
      </c>
      <c r="D478" s="68" t="s">
        <v>773</v>
      </c>
      <c r="E478" s="68" t="s">
        <v>459</v>
      </c>
      <c r="F478" s="68" t="s">
        <v>774</v>
      </c>
      <c r="G478" s="68" t="s">
        <v>775</v>
      </c>
      <c r="H478" s="181">
        <v>45510.0</v>
      </c>
      <c r="J478" s="68" t="s">
        <v>182</v>
      </c>
      <c r="K478" s="68">
        <v>252.0</v>
      </c>
      <c r="L478" s="68" t="s">
        <v>776</v>
      </c>
      <c r="M478" s="68" t="s">
        <v>8</v>
      </c>
      <c r="N478" s="68">
        <v>103345.0</v>
      </c>
      <c r="O478" s="68">
        <v>131.0</v>
      </c>
      <c r="P478" s="68">
        <v>0.0013</v>
      </c>
      <c r="Q478" s="68">
        <v>4697.54</v>
      </c>
      <c r="S478" s="68">
        <v>35.86</v>
      </c>
      <c r="T478" s="68">
        <v>0.0</v>
      </c>
      <c r="U478" s="68">
        <v>0.0</v>
      </c>
      <c r="V478" s="68">
        <v>0.0</v>
      </c>
      <c r="W478" s="68">
        <v>0.0</v>
      </c>
    </row>
    <row r="479" ht="15.75" customHeight="1">
      <c r="A479" s="19" t="s">
        <v>61</v>
      </c>
      <c r="B479" s="68" t="s">
        <v>771</v>
      </c>
      <c r="C479" s="68" t="s">
        <v>935</v>
      </c>
      <c r="D479" s="68" t="s">
        <v>773</v>
      </c>
      <c r="E479" s="68" t="s">
        <v>459</v>
      </c>
      <c r="F479" s="68" t="s">
        <v>774</v>
      </c>
      <c r="G479" s="68" t="s">
        <v>775</v>
      </c>
      <c r="H479" s="181">
        <v>45392.0</v>
      </c>
      <c r="J479" s="68" t="s">
        <v>205</v>
      </c>
      <c r="K479" s="68">
        <v>600.0</v>
      </c>
      <c r="L479" s="68" t="s">
        <v>776</v>
      </c>
      <c r="M479" s="68" t="s">
        <v>8</v>
      </c>
      <c r="N479" s="68">
        <v>28301.0</v>
      </c>
      <c r="O479" s="68">
        <v>61.0</v>
      </c>
      <c r="P479" s="68">
        <v>0.0022</v>
      </c>
      <c r="Q479" s="68">
        <v>2316.65</v>
      </c>
      <c r="S479" s="68">
        <v>37.98</v>
      </c>
      <c r="T479" s="68">
        <v>0.0</v>
      </c>
      <c r="U479" s="68">
        <v>0.0</v>
      </c>
      <c r="V479" s="68">
        <v>0.0</v>
      </c>
      <c r="W479" s="68">
        <v>0.0</v>
      </c>
    </row>
    <row r="480" ht="15.75" customHeight="1">
      <c r="A480" s="19" t="s">
        <v>61</v>
      </c>
      <c r="B480" s="68" t="s">
        <v>771</v>
      </c>
      <c r="C480" s="68" t="s">
        <v>925</v>
      </c>
      <c r="D480" s="68" t="s">
        <v>773</v>
      </c>
      <c r="E480" s="68" t="s">
        <v>459</v>
      </c>
      <c r="F480" s="68" t="s">
        <v>774</v>
      </c>
      <c r="G480" s="68" t="s">
        <v>775</v>
      </c>
      <c r="H480" s="181">
        <v>45352.0</v>
      </c>
      <c r="J480" s="68" t="s">
        <v>182</v>
      </c>
      <c r="K480" s="68">
        <v>1008.0</v>
      </c>
      <c r="L480" s="27">
        <v>0.0511756569847856</v>
      </c>
      <c r="M480" s="68" t="s">
        <v>8</v>
      </c>
      <c r="N480" s="68">
        <v>2981.0</v>
      </c>
      <c r="O480" s="68">
        <v>10.0</v>
      </c>
      <c r="P480" s="68">
        <v>0.0034</v>
      </c>
      <c r="Q480" s="68">
        <v>180.66</v>
      </c>
      <c r="S480" s="68">
        <v>18.07</v>
      </c>
      <c r="T480" s="68">
        <v>0.0</v>
      </c>
      <c r="U480" s="68">
        <v>0.0</v>
      </c>
      <c r="V480" s="68">
        <v>0.0</v>
      </c>
      <c r="W480" s="68">
        <v>0.0</v>
      </c>
    </row>
    <row r="481" ht="15.75" customHeight="1">
      <c r="A481" s="19" t="s">
        <v>61</v>
      </c>
      <c r="B481" s="68" t="s">
        <v>779</v>
      </c>
      <c r="C481" s="68" t="s">
        <v>960</v>
      </c>
      <c r="D481" s="68" t="s">
        <v>781</v>
      </c>
      <c r="E481" s="68" t="s">
        <v>459</v>
      </c>
      <c r="F481" s="68" t="s">
        <v>774</v>
      </c>
      <c r="G481" s="68" t="s">
        <v>775</v>
      </c>
      <c r="H481" s="181">
        <v>45352.0</v>
      </c>
      <c r="J481" s="68" t="s">
        <v>140</v>
      </c>
      <c r="K481" s="68">
        <v>725.76</v>
      </c>
      <c r="L481" s="27">
        <v>0.218747543045836</v>
      </c>
      <c r="M481" s="68" t="s">
        <v>8</v>
      </c>
      <c r="N481" s="68">
        <v>38026.0</v>
      </c>
      <c r="O481" s="68">
        <v>853.0</v>
      </c>
      <c r="P481" s="68">
        <v>0.0224</v>
      </c>
      <c r="Q481" s="68">
        <v>31068.92</v>
      </c>
      <c r="S481" s="68">
        <v>36.42</v>
      </c>
      <c r="T481" s="68">
        <v>3.0</v>
      </c>
      <c r="U481" s="68">
        <v>48983.06</v>
      </c>
      <c r="V481" s="68">
        <v>0.6343</v>
      </c>
      <c r="W481" s="68">
        <v>1.5766</v>
      </c>
    </row>
    <row r="482" ht="15.75" customHeight="1">
      <c r="A482" s="19" t="s">
        <v>61</v>
      </c>
      <c r="B482" s="68" t="s">
        <v>771</v>
      </c>
      <c r="C482" s="68" t="s">
        <v>894</v>
      </c>
      <c r="D482" s="68" t="s">
        <v>773</v>
      </c>
      <c r="E482" s="68" t="s">
        <v>459</v>
      </c>
      <c r="F482" s="68" t="s">
        <v>774</v>
      </c>
      <c r="G482" s="68" t="s">
        <v>775</v>
      </c>
      <c r="H482" s="181">
        <v>45301.0</v>
      </c>
      <c r="J482" s="68" t="s">
        <v>90</v>
      </c>
      <c r="K482" s="68">
        <v>675.0</v>
      </c>
      <c r="L482" s="68" t="s">
        <v>776</v>
      </c>
      <c r="M482" s="68" t="s">
        <v>8</v>
      </c>
      <c r="N482" s="68">
        <v>157635.0</v>
      </c>
      <c r="O482" s="68">
        <v>145.0</v>
      </c>
      <c r="P482" s="68">
        <v>9.0E-4</v>
      </c>
      <c r="Q482" s="68">
        <v>5146.41</v>
      </c>
      <c r="S482" s="68">
        <v>35.49</v>
      </c>
      <c r="T482" s="68">
        <v>1.0</v>
      </c>
      <c r="U482" s="68">
        <v>21016.95</v>
      </c>
      <c r="V482" s="68">
        <v>0.2449</v>
      </c>
      <c r="W482" s="68">
        <v>4.0838</v>
      </c>
    </row>
    <row r="483" ht="15.75" customHeight="1">
      <c r="A483" s="19" t="s">
        <v>61</v>
      </c>
      <c r="B483" s="68" t="s">
        <v>771</v>
      </c>
      <c r="C483" s="68" t="s">
        <v>895</v>
      </c>
      <c r="D483" s="68" t="s">
        <v>773</v>
      </c>
      <c r="E483" s="68" t="s">
        <v>459</v>
      </c>
      <c r="F483" s="68" t="s">
        <v>774</v>
      </c>
      <c r="G483" s="68" t="s">
        <v>775</v>
      </c>
      <c r="H483" s="181">
        <v>45338.0</v>
      </c>
      <c r="J483" s="68" t="s">
        <v>134</v>
      </c>
      <c r="K483" s="68">
        <v>1700.0</v>
      </c>
      <c r="L483" s="68" t="s">
        <v>776</v>
      </c>
      <c r="M483" s="68" t="s">
        <v>8</v>
      </c>
      <c r="N483" s="68">
        <v>173479.0</v>
      </c>
      <c r="O483" s="68">
        <v>765.0</v>
      </c>
      <c r="P483" s="68">
        <v>0.0044</v>
      </c>
      <c r="Q483" s="68">
        <v>35154.26</v>
      </c>
      <c r="S483" s="68">
        <v>45.95</v>
      </c>
      <c r="T483" s="68">
        <v>5.0</v>
      </c>
      <c r="U483" s="68">
        <v>88982.21</v>
      </c>
      <c r="V483" s="68">
        <v>0.3951</v>
      </c>
      <c r="W483" s="68">
        <v>2.5312</v>
      </c>
    </row>
    <row r="484" ht="15.75" customHeight="1">
      <c r="A484" s="19" t="s">
        <v>61</v>
      </c>
      <c r="B484" s="68" t="s">
        <v>771</v>
      </c>
      <c r="C484" s="68" t="s">
        <v>896</v>
      </c>
      <c r="D484" s="68" t="s">
        <v>773</v>
      </c>
      <c r="E484" s="68" t="s">
        <v>459</v>
      </c>
      <c r="F484" s="68" t="s">
        <v>774</v>
      </c>
      <c r="G484" s="68" t="s">
        <v>775</v>
      </c>
      <c r="H484" s="181">
        <v>45309.0</v>
      </c>
      <c r="J484" s="68" t="s">
        <v>874</v>
      </c>
      <c r="K484" s="68">
        <v>80.21</v>
      </c>
      <c r="L484" s="68" t="s">
        <v>776</v>
      </c>
      <c r="M484" s="68" t="s">
        <v>8</v>
      </c>
      <c r="N484" s="68">
        <v>12315.0</v>
      </c>
      <c r="O484" s="68">
        <v>41.0</v>
      </c>
      <c r="P484" s="68">
        <v>0.0033</v>
      </c>
      <c r="Q484" s="68">
        <v>913.38</v>
      </c>
      <c r="S484" s="68">
        <v>22.28</v>
      </c>
      <c r="T484" s="68">
        <v>0.0</v>
      </c>
      <c r="U484" s="68">
        <v>0.0</v>
      </c>
      <c r="V484" s="68">
        <v>0.0</v>
      </c>
      <c r="W484" s="68">
        <v>0.0</v>
      </c>
    </row>
    <row r="485" ht="15.75" customHeight="1">
      <c r="A485" s="19" t="s">
        <v>61</v>
      </c>
      <c r="B485" s="68" t="s">
        <v>771</v>
      </c>
      <c r="C485" s="68" t="s">
        <v>1018</v>
      </c>
      <c r="D485" s="68" t="s">
        <v>773</v>
      </c>
      <c r="E485" s="68" t="s">
        <v>459</v>
      </c>
      <c r="F485" s="68" t="s">
        <v>774</v>
      </c>
      <c r="G485" s="68" t="s">
        <v>775</v>
      </c>
      <c r="H485" s="181">
        <v>45510.0</v>
      </c>
      <c r="J485" s="68" t="s">
        <v>182</v>
      </c>
      <c r="K485" s="68">
        <v>1000.0</v>
      </c>
      <c r="L485" s="68" t="s">
        <v>776</v>
      </c>
      <c r="M485" s="68" t="s">
        <v>8</v>
      </c>
      <c r="N485" s="68">
        <v>38966.0</v>
      </c>
      <c r="O485" s="68">
        <v>107.0</v>
      </c>
      <c r="P485" s="68">
        <v>0.0027</v>
      </c>
      <c r="Q485" s="68">
        <v>4543.52</v>
      </c>
      <c r="S485" s="68">
        <v>42.46</v>
      </c>
      <c r="T485" s="68">
        <v>1.0</v>
      </c>
      <c r="U485" s="68">
        <v>30406.78</v>
      </c>
      <c r="V485" s="68">
        <v>0.1494</v>
      </c>
      <c r="W485" s="68">
        <v>6.6923</v>
      </c>
    </row>
    <row r="486" ht="15.75" customHeight="1">
      <c r="A486" s="19" t="s">
        <v>61</v>
      </c>
      <c r="B486" s="68" t="s">
        <v>771</v>
      </c>
      <c r="C486" s="68" t="s">
        <v>1019</v>
      </c>
      <c r="D486" s="68" t="s">
        <v>773</v>
      </c>
      <c r="E486" s="68" t="s">
        <v>459</v>
      </c>
      <c r="F486" s="68" t="s">
        <v>774</v>
      </c>
      <c r="G486" s="68" t="s">
        <v>775</v>
      </c>
      <c r="H486" s="181">
        <v>45510.0</v>
      </c>
      <c r="J486" s="68" t="s">
        <v>182</v>
      </c>
      <c r="K486" s="68">
        <v>560.0</v>
      </c>
      <c r="M486" s="68" t="s">
        <v>8</v>
      </c>
      <c r="N486" s="68">
        <v>1.0</v>
      </c>
      <c r="O486" s="68">
        <v>0.0</v>
      </c>
      <c r="P486" s="68">
        <v>0.0</v>
      </c>
      <c r="Q486" s="68">
        <v>0.0</v>
      </c>
      <c r="S486" s="68">
        <v>0.0</v>
      </c>
      <c r="T486" s="68">
        <v>0.0</v>
      </c>
      <c r="U486" s="68">
        <v>0.0</v>
      </c>
      <c r="V486" s="68">
        <v>0.0</v>
      </c>
      <c r="W486" s="68">
        <v>0.0</v>
      </c>
    </row>
    <row r="487" ht="15.75" customHeight="1">
      <c r="A487" s="19" t="s">
        <v>61</v>
      </c>
      <c r="B487" s="68" t="s">
        <v>771</v>
      </c>
      <c r="C487" s="68" t="s">
        <v>898</v>
      </c>
      <c r="D487" s="68" t="s">
        <v>773</v>
      </c>
      <c r="E487" s="68" t="s">
        <v>459</v>
      </c>
      <c r="F487" s="68" t="s">
        <v>774</v>
      </c>
      <c r="G487" s="68" t="s">
        <v>775</v>
      </c>
      <c r="H487" s="181">
        <v>45260.0</v>
      </c>
      <c r="J487" s="68" t="s">
        <v>140</v>
      </c>
      <c r="K487" s="68">
        <v>1052.35</v>
      </c>
      <c r="L487" s="27">
        <v>0.0555783096218789</v>
      </c>
      <c r="M487" s="68" t="s">
        <v>8</v>
      </c>
      <c r="N487" s="68">
        <v>146831.0</v>
      </c>
      <c r="O487" s="68">
        <v>342.0</v>
      </c>
      <c r="P487" s="68">
        <v>0.0023</v>
      </c>
      <c r="Q487" s="68">
        <v>19902.34</v>
      </c>
      <c r="S487" s="68">
        <v>58.19</v>
      </c>
      <c r="T487" s="68">
        <v>3.0</v>
      </c>
      <c r="U487" s="68">
        <v>79110.17</v>
      </c>
      <c r="V487" s="68">
        <v>0.2516</v>
      </c>
      <c r="W487" s="68">
        <v>3.9749</v>
      </c>
    </row>
    <row r="488" ht="15.75" customHeight="1">
      <c r="A488" s="19" t="s">
        <v>61</v>
      </c>
      <c r="B488" s="68" t="s">
        <v>771</v>
      </c>
      <c r="C488" s="68" t="s">
        <v>957</v>
      </c>
      <c r="D488" s="68" t="s">
        <v>773</v>
      </c>
      <c r="E488" s="68" t="s">
        <v>459</v>
      </c>
      <c r="F488" s="68" t="s">
        <v>774</v>
      </c>
      <c r="G488" s="68" t="s">
        <v>775</v>
      </c>
      <c r="H488" s="181">
        <v>45260.0</v>
      </c>
      <c r="J488" s="68" t="s">
        <v>140</v>
      </c>
      <c r="K488" s="68">
        <v>250.0</v>
      </c>
      <c r="L488" s="68" t="s">
        <v>776</v>
      </c>
      <c r="M488" s="68" t="s">
        <v>8</v>
      </c>
      <c r="N488" s="68">
        <v>157046.0</v>
      </c>
      <c r="O488" s="68">
        <v>444.0</v>
      </c>
      <c r="P488" s="68">
        <v>0.0028</v>
      </c>
      <c r="Q488" s="68">
        <v>9446.43</v>
      </c>
      <c r="S488" s="68">
        <v>21.28</v>
      </c>
      <c r="T488" s="68">
        <v>1.0</v>
      </c>
      <c r="U488" s="68">
        <v>28728.81</v>
      </c>
      <c r="V488" s="68">
        <v>0.3288</v>
      </c>
      <c r="W488" s="68">
        <v>3.0412</v>
      </c>
    </row>
    <row r="489" ht="15.75" customHeight="1">
      <c r="A489" s="19" t="s">
        <v>61</v>
      </c>
      <c r="B489" s="68" t="s">
        <v>771</v>
      </c>
      <c r="C489" s="68" t="s">
        <v>959</v>
      </c>
      <c r="D489" s="68" t="s">
        <v>773</v>
      </c>
      <c r="E489" s="68" t="s">
        <v>459</v>
      </c>
      <c r="F489" s="68" t="s">
        <v>774</v>
      </c>
      <c r="G489" s="68" t="s">
        <v>775</v>
      </c>
      <c r="H489" s="181">
        <v>45352.0</v>
      </c>
      <c r="J489" s="68" t="s">
        <v>140</v>
      </c>
      <c r="K489" s="68">
        <v>403.2</v>
      </c>
      <c r="L489" s="27">
        <v>0.0768514205868653</v>
      </c>
      <c r="M489" s="68" t="s">
        <v>8</v>
      </c>
      <c r="N489" s="68">
        <v>8394.0</v>
      </c>
      <c r="O489" s="68">
        <v>16.0</v>
      </c>
      <c r="P489" s="68">
        <v>0.0019</v>
      </c>
      <c r="Q489" s="68">
        <v>434.56</v>
      </c>
      <c r="S489" s="68">
        <v>27.16</v>
      </c>
      <c r="T489" s="68">
        <v>0.0</v>
      </c>
      <c r="U489" s="68">
        <v>0.0</v>
      </c>
      <c r="V489" s="68">
        <v>0.0</v>
      </c>
      <c r="W489" s="68">
        <v>0.0</v>
      </c>
    </row>
    <row r="490" ht="15.75" customHeight="1">
      <c r="A490" s="19" t="s">
        <v>61</v>
      </c>
      <c r="B490" s="68" t="s">
        <v>771</v>
      </c>
      <c r="C490" s="68" t="s">
        <v>963</v>
      </c>
      <c r="D490" s="68" t="s">
        <v>773</v>
      </c>
      <c r="E490" s="68" t="s">
        <v>459</v>
      </c>
      <c r="F490" s="68" t="s">
        <v>774</v>
      </c>
      <c r="G490" s="68" t="s">
        <v>775</v>
      </c>
      <c r="H490" s="181">
        <v>45352.0</v>
      </c>
      <c r="J490" s="68" t="s">
        <v>140</v>
      </c>
      <c r="K490" s="68">
        <v>1008.0</v>
      </c>
      <c r="L490" s="27">
        <v>0.163338707677043</v>
      </c>
      <c r="M490" s="68" t="s">
        <v>8</v>
      </c>
      <c r="N490" s="68">
        <v>332697.0</v>
      </c>
      <c r="O490" s="68">
        <v>453.0</v>
      </c>
      <c r="P490" s="68">
        <v>0.0014</v>
      </c>
      <c r="Q490" s="68">
        <v>25947.6</v>
      </c>
      <c r="S490" s="68">
        <v>57.28</v>
      </c>
      <c r="T490" s="68">
        <v>5.0</v>
      </c>
      <c r="U490" s="68">
        <v>143686.44</v>
      </c>
      <c r="V490" s="68">
        <v>0.1806</v>
      </c>
      <c r="W490" s="68">
        <v>5.5376</v>
      </c>
    </row>
    <row r="491" ht="15.75" customHeight="1">
      <c r="A491" s="19" t="s">
        <v>61</v>
      </c>
      <c r="B491" s="68" t="s">
        <v>771</v>
      </c>
      <c r="C491" s="68" t="s">
        <v>920</v>
      </c>
      <c r="D491" s="68" t="s">
        <v>773</v>
      </c>
      <c r="E491" s="68" t="s">
        <v>459</v>
      </c>
      <c r="F491" s="68" t="s">
        <v>774</v>
      </c>
      <c r="G491" s="68" t="s">
        <v>775</v>
      </c>
      <c r="H491" s="181">
        <v>45362.0</v>
      </c>
      <c r="J491" s="68" t="s">
        <v>205</v>
      </c>
      <c r="K491" s="68">
        <v>600.0</v>
      </c>
      <c r="L491" s="68" t="s">
        <v>776</v>
      </c>
      <c r="M491" s="68" t="s">
        <v>8</v>
      </c>
      <c r="N491" s="68">
        <v>28016.0</v>
      </c>
      <c r="O491" s="68">
        <v>33.0</v>
      </c>
      <c r="P491" s="68">
        <v>0.0012</v>
      </c>
      <c r="Q491" s="68">
        <v>655.98</v>
      </c>
      <c r="S491" s="68">
        <v>19.88</v>
      </c>
      <c r="T491" s="68">
        <v>0.0</v>
      </c>
      <c r="U491" s="68">
        <v>0.0</v>
      </c>
      <c r="V491" s="68">
        <v>0.0</v>
      </c>
      <c r="W491" s="68">
        <v>0.0</v>
      </c>
    </row>
    <row r="492" ht="15.75" customHeight="1">
      <c r="A492" s="19" t="s">
        <v>61</v>
      </c>
      <c r="B492" s="68" t="s">
        <v>771</v>
      </c>
      <c r="C492" s="68" t="s">
        <v>921</v>
      </c>
      <c r="D492" s="68" t="s">
        <v>773</v>
      </c>
      <c r="E492" s="68" t="s">
        <v>459</v>
      </c>
      <c r="F492" s="68" t="s">
        <v>774</v>
      </c>
      <c r="G492" s="68" t="s">
        <v>775</v>
      </c>
      <c r="H492" s="181">
        <v>45356.0</v>
      </c>
      <c r="J492" s="68" t="s">
        <v>205</v>
      </c>
      <c r="K492" s="68">
        <v>600.0</v>
      </c>
      <c r="L492" s="27">
        <v>0.160652651396297</v>
      </c>
      <c r="M492" s="68" t="s">
        <v>8</v>
      </c>
      <c r="N492" s="68">
        <v>47831.0</v>
      </c>
      <c r="O492" s="68">
        <v>75.0</v>
      </c>
      <c r="P492" s="68">
        <v>0.0016</v>
      </c>
      <c r="Q492" s="68">
        <v>3436.39</v>
      </c>
      <c r="S492" s="68">
        <v>45.82</v>
      </c>
      <c r="T492" s="68">
        <v>0.0</v>
      </c>
      <c r="U492" s="68">
        <v>0.0</v>
      </c>
      <c r="V492" s="68">
        <v>0.0</v>
      </c>
      <c r="W492" s="68">
        <v>0.0</v>
      </c>
    </row>
    <row r="493" ht="15.75" customHeight="1">
      <c r="A493" s="19" t="s">
        <v>61</v>
      </c>
      <c r="B493" s="68" t="s">
        <v>771</v>
      </c>
      <c r="C493" s="68" t="s">
        <v>916</v>
      </c>
      <c r="D493" s="68" t="s">
        <v>773</v>
      </c>
      <c r="E493" s="68" t="s">
        <v>459</v>
      </c>
      <c r="F493" s="68" t="s">
        <v>774</v>
      </c>
      <c r="G493" s="68" t="s">
        <v>783</v>
      </c>
      <c r="H493" s="181">
        <v>45356.0</v>
      </c>
      <c r="J493" s="68" t="s">
        <v>205</v>
      </c>
      <c r="K493" s="68">
        <v>600.0</v>
      </c>
      <c r="L493" s="68" t="s">
        <v>776</v>
      </c>
      <c r="M493" s="68" t="s">
        <v>8</v>
      </c>
      <c r="N493" s="68">
        <v>26878.0</v>
      </c>
      <c r="O493" s="68">
        <v>57.0</v>
      </c>
      <c r="P493" s="68">
        <v>0.0021</v>
      </c>
      <c r="Q493" s="68">
        <v>1536.29</v>
      </c>
      <c r="S493" s="68">
        <v>26.95</v>
      </c>
      <c r="T493" s="68">
        <v>0.0</v>
      </c>
      <c r="U493" s="68">
        <v>0.0</v>
      </c>
      <c r="V493" s="68">
        <v>0.0</v>
      </c>
      <c r="W493" s="68">
        <v>0.0</v>
      </c>
    </row>
    <row r="494" ht="15.75" customHeight="1">
      <c r="A494" s="19" t="s">
        <v>61</v>
      </c>
      <c r="B494" s="68" t="s">
        <v>779</v>
      </c>
      <c r="C494" s="68" t="s">
        <v>915</v>
      </c>
      <c r="D494" s="68" t="s">
        <v>781</v>
      </c>
      <c r="E494" s="68" t="s">
        <v>459</v>
      </c>
      <c r="F494" s="68" t="s">
        <v>774</v>
      </c>
      <c r="G494" s="68" t="s">
        <v>783</v>
      </c>
      <c r="H494" s="181">
        <v>45356.0</v>
      </c>
      <c r="J494" s="68" t="s">
        <v>205</v>
      </c>
      <c r="K494" s="68">
        <v>600.0</v>
      </c>
      <c r="L494" s="68" t="s">
        <v>776</v>
      </c>
      <c r="M494" s="68" t="s">
        <v>8</v>
      </c>
      <c r="N494" s="68">
        <v>55355.0</v>
      </c>
      <c r="O494" s="68">
        <v>76.0</v>
      </c>
      <c r="P494" s="68">
        <v>0.0014</v>
      </c>
      <c r="Q494" s="68">
        <v>5156.5</v>
      </c>
      <c r="S494" s="68">
        <v>67.85</v>
      </c>
      <c r="T494" s="68">
        <v>0.0</v>
      </c>
      <c r="U494" s="68">
        <v>0.0</v>
      </c>
      <c r="V494" s="68">
        <v>0.0</v>
      </c>
      <c r="W494" s="68">
        <v>0.0</v>
      </c>
    </row>
    <row r="495" ht="15.75" customHeight="1">
      <c r="A495" s="19" t="s">
        <v>61</v>
      </c>
      <c r="B495" s="68" t="s">
        <v>771</v>
      </c>
      <c r="C495" s="68" t="s">
        <v>933</v>
      </c>
      <c r="D495" s="68" t="s">
        <v>773</v>
      </c>
      <c r="E495" s="68" t="s">
        <v>459</v>
      </c>
      <c r="F495" s="68" t="s">
        <v>774</v>
      </c>
      <c r="G495" s="68" t="s">
        <v>783</v>
      </c>
      <c r="H495" s="181">
        <v>45365.0</v>
      </c>
      <c r="J495" s="33" t="s">
        <v>230</v>
      </c>
      <c r="K495" s="68">
        <v>800.0</v>
      </c>
      <c r="L495" s="27">
        <v>0.201459854014598</v>
      </c>
      <c r="M495" s="68" t="s">
        <v>8</v>
      </c>
      <c r="N495" s="68">
        <v>17173.0</v>
      </c>
      <c r="O495" s="68">
        <v>85.0</v>
      </c>
      <c r="P495" s="68">
        <v>0.0049</v>
      </c>
      <c r="Q495" s="28">
        <v>3828.69</v>
      </c>
      <c r="R495" s="28"/>
      <c r="S495" s="68">
        <v>45.04</v>
      </c>
      <c r="T495" s="68">
        <v>1.0</v>
      </c>
      <c r="U495" s="68">
        <v>17966.1</v>
      </c>
      <c r="V495" s="68">
        <v>0.2131</v>
      </c>
      <c r="W495" s="68">
        <v>4.6925</v>
      </c>
    </row>
    <row r="496" ht="15.75" customHeight="1">
      <c r="A496" s="19" t="s">
        <v>61</v>
      </c>
      <c r="B496" s="68" t="s">
        <v>771</v>
      </c>
      <c r="C496" s="68" t="s">
        <v>936</v>
      </c>
      <c r="D496" s="68" t="s">
        <v>773</v>
      </c>
      <c r="E496" s="68" t="s">
        <v>459</v>
      </c>
      <c r="F496" s="68" t="s">
        <v>774</v>
      </c>
      <c r="G496" s="68" t="s">
        <v>775</v>
      </c>
      <c r="H496" s="181">
        <v>45392.0</v>
      </c>
      <c r="J496" s="33" t="s">
        <v>230</v>
      </c>
      <c r="K496" s="68">
        <v>1000.0</v>
      </c>
      <c r="L496" s="27">
        <v>0.186405045550105</v>
      </c>
      <c r="M496" s="68" t="s">
        <v>8</v>
      </c>
      <c r="N496" s="68">
        <v>24288.0</v>
      </c>
      <c r="O496" s="68">
        <v>53.0</v>
      </c>
      <c r="P496" s="68">
        <v>0.0022</v>
      </c>
      <c r="Q496" s="28">
        <v>2780.47</v>
      </c>
      <c r="R496" s="28"/>
      <c r="S496" s="68">
        <v>52.46</v>
      </c>
      <c r="T496" s="68">
        <v>0.0</v>
      </c>
      <c r="U496" s="68">
        <v>0.0</v>
      </c>
      <c r="V496" s="68">
        <v>0.0</v>
      </c>
      <c r="W496" s="68">
        <v>0.0</v>
      </c>
    </row>
    <row r="497" ht="15.75" customHeight="1">
      <c r="A497" s="19" t="s">
        <v>61</v>
      </c>
      <c r="B497" s="68" t="s">
        <v>771</v>
      </c>
      <c r="C497" s="68" t="s">
        <v>934</v>
      </c>
      <c r="D497" s="68" t="s">
        <v>773</v>
      </c>
      <c r="E497" s="68" t="s">
        <v>459</v>
      </c>
      <c r="F497" s="68" t="s">
        <v>774</v>
      </c>
      <c r="G497" s="68" t="s">
        <v>775</v>
      </c>
      <c r="H497" s="181">
        <v>45392.0</v>
      </c>
      <c r="J497" s="33" t="s">
        <v>230</v>
      </c>
      <c r="K497" s="68">
        <v>1000.0</v>
      </c>
      <c r="L497" s="68" t="s">
        <v>776</v>
      </c>
      <c r="M497" s="68" t="s">
        <v>8</v>
      </c>
      <c r="N497" s="68">
        <v>17180.0</v>
      </c>
      <c r="O497" s="68">
        <v>43.0</v>
      </c>
      <c r="P497" s="68">
        <v>0.0025</v>
      </c>
      <c r="Q497" s="28">
        <v>1123.2</v>
      </c>
      <c r="R497" s="28"/>
      <c r="S497" s="68">
        <v>26.12</v>
      </c>
      <c r="T497" s="68">
        <v>0.0</v>
      </c>
      <c r="U497" s="68">
        <v>0.0</v>
      </c>
      <c r="V497" s="68">
        <v>0.0</v>
      </c>
      <c r="W497" s="68">
        <v>0.0</v>
      </c>
    </row>
    <row r="498" ht="15.75" customHeight="1">
      <c r="A498" s="19" t="s">
        <v>61</v>
      </c>
      <c r="B498" s="68" t="s">
        <v>771</v>
      </c>
      <c r="C498" s="68" t="s">
        <v>834</v>
      </c>
      <c r="D498" s="68" t="s">
        <v>773</v>
      </c>
      <c r="E498" s="68" t="s">
        <v>459</v>
      </c>
      <c r="F498" s="68" t="s">
        <v>774</v>
      </c>
      <c r="G498" s="68" t="s">
        <v>775</v>
      </c>
      <c r="H498" s="181">
        <v>45260.0</v>
      </c>
      <c r="J498" s="68" t="s">
        <v>134</v>
      </c>
      <c r="K498" s="68">
        <v>880.0</v>
      </c>
      <c r="L498" s="68" t="s">
        <v>776</v>
      </c>
      <c r="M498" s="68" t="s">
        <v>8</v>
      </c>
      <c r="N498" s="68">
        <v>162627.0</v>
      </c>
      <c r="O498" s="68">
        <v>369.0</v>
      </c>
      <c r="P498" s="68">
        <v>0.0023</v>
      </c>
      <c r="Q498" s="68">
        <v>10533.83</v>
      </c>
      <c r="S498" s="68">
        <v>28.55</v>
      </c>
      <c r="T498" s="68">
        <v>4.0</v>
      </c>
      <c r="U498" s="68">
        <v>73155.94</v>
      </c>
      <c r="V498" s="68">
        <v>0.144</v>
      </c>
      <c r="W498" s="68">
        <v>6.9449</v>
      </c>
    </row>
    <row r="499" ht="15.75" customHeight="1">
      <c r="A499" s="19" t="s">
        <v>61</v>
      </c>
      <c r="B499" s="68" t="s">
        <v>779</v>
      </c>
      <c r="C499" s="68" t="s">
        <v>821</v>
      </c>
      <c r="D499" s="68" t="s">
        <v>781</v>
      </c>
      <c r="E499" s="68" t="s">
        <v>459</v>
      </c>
      <c r="F499" s="68" t="s">
        <v>774</v>
      </c>
      <c r="G499" s="68" t="s">
        <v>775</v>
      </c>
      <c r="H499" s="181">
        <v>45280.0</v>
      </c>
      <c r="J499" s="68" t="s">
        <v>134</v>
      </c>
      <c r="K499" s="68">
        <v>1004.4</v>
      </c>
      <c r="L499" s="68" t="s">
        <v>776</v>
      </c>
      <c r="M499" s="68" t="s">
        <v>8</v>
      </c>
      <c r="N499" s="68">
        <v>40207.0</v>
      </c>
      <c r="O499" s="68">
        <v>159.0</v>
      </c>
      <c r="P499" s="68">
        <v>0.004</v>
      </c>
      <c r="Q499" s="68">
        <v>7845.76</v>
      </c>
      <c r="S499" s="68">
        <v>49.34</v>
      </c>
      <c r="T499" s="68">
        <v>1.0</v>
      </c>
      <c r="U499" s="68">
        <v>17288.14</v>
      </c>
      <c r="V499" s="68">
        <v>0.4538</v>
      </c>
      <c r="W499" s="68">
        <v>2.2035</v>
      </c>
    </row>
    <row r="500" ht="15.75" customHeight="1">
      <c r="A500" s="19" t="s">
        <v>61</v>
      </c>
      <c r="B500" s="68" t="s">
        <v>771</v>
      </c>
      <c r="C500" s="68" t="s">
        <v>899</v>
      </c>
      <c r="D500" s="68" t="s">
        <v>773</v>
      </c>
      <c r="E500" s="68" t="s">
        <v>459</v>
      </c>
      <c r="F500" s="68" t="s">
        <v>774</v>
      </c>
      <c r="G500" s="68" t="s">
        <v>775</v>
      </c>
      <c r="H500" s="181">
        <v>45301.0</v>
      </c>
      <c r="J500" s="68" t="s">
        <v>134</v>
      </c>
      <c r="K500" s="68">
        <v>880.0</v>
      </c>
      <c r="L500" s="27">
        <v>0.178173719376391</v>
      </c>
      <c r="M500" s="68" t="s">
        <v>8</v>
      </c>
      <c r="N500" s="68">
        <v>16569.0</v>
      </c>
      <c r="O500" s="68">
        <v>25.0</v>
      </c>
      <c r="P500" s="68">
        <v>0.0015</v>
      </c>
      <c r="Q500" s="68">
        <v>965.99</v>
      </c>
      <c r="S500" s="68">
        <v>38.64</v>
      </c>
      <c r="T500" s="68">
        <v>0.0</v>
      </c>
      <c r="U500" s="68">
        <v>0.0</v>
      </c>
      <c r="V500" s="68">
        <v>0.0</v>
      </c>
      <c r="W500" s="68">
        <v>0.0</v>
      </c>
    </row>
    <row r="501" ht="15.75" customHeight="1">
      <c r="A501" s="19" t="s">
        <v>61</v>
      </c>
      <c r="B501" s="68" t="s">
        <v>771</v>
      </c>
      <c r="C501" s="68" t="s">
        <v>902</v>
      </c>
      <c r="D501" s="68" t="s">
        <v>773</v>
      </c>
      <c r="E501" s="68" t="s">
        <v>459</v>
      </c>
      <c r="F501" s="68" t="s">
        <v>774</v>
      </c>
      <c r="G501" s="68" t="s">
        <v>775</v>
      </c>
      <c r="H501" s="181">
        <v>45301.0</v>
      </c>
      <c r="J501" s="68" t="s">
        <v>134</v>
      </c>
      <c r="K501" s="68">
        <v>880.0</v>
      </c>
      <c r="L501" s="27">
        <v>0.196563573883161</v>
      </c>
      <c r="M501" s="68" t="s">
        <v>8</v>
      </c>
      <c r="N501" s="68">
        <v>22709.0</v>
      </c>
      <c r="O501" s="68">
        <v>44.0</v>
      </c>
      <c r="P501" s="68">
        <v>0.0019</v>
      </c>
      <c r="Q501" s="68">
        <v>1884.54</v>
      </c>
      <c r="S501" s="68">
        <v>42.83</v>
      </c>
      <c r="T501" s="68">
        <v>0.0</v>
      </c>
      <c r="U501" s="68">
        <v>0.0</v>
      </c>
      <c r="V501" s="68">
        <v>0.0</v>
      </c>
      <c r="W501" s="68">
        <v>0.0</v>
      </c>
    </row>
    <row r="502" ht="15.75" customHeight="1">
      <c r="A502" s="19" t="s">
        <v>61</v>
      </c>
      <c r="B502" s="68" t="s">
        <v>771</v>
      </c>
      <c r="C502" s="68" t="s">
        <v>904</v>
      </c>
      <c r="D502" s="68" t="s">
        <v>773</v>
      </c>
      <c r="E502" s="68" t="s">
        <v>459</v>
      </c>
      <c r="F502" s="68" t="s">
        <v>774</v>
      </c>
      <c r="G502" s="68" t="s">
        <v>783</v>
      </c>
      <c r="H502" s="181">
        <v>45301.0</v>
      </c>
      <c r="J502" s="68" t="s">
        <v>134</v>
      </c>
      <c r="K502" s="68">
        <v>2000.0</v>
      </c>
      <c r="L502" s="27">
        <v>0.170297056661311</v>
      </c>
      <c r="M502" s="68" t="s">
        <v>8</v>
      </c>
      <c r="N502" s="68">
        <v>179001.0</v>
      </c>
      <c r="O502" s="68">
        <v>1020.0</v>
      </c>
      <c r="P502" s="68">
        <v>0.0057</v>
      </c>
      <c r="Q502" s="68">
        <v>48245.1</v>
      </c>
      <c r="S502" s="68">
        <v>47.3</v>
      </c>
      <c r="T502" s="68">
        <v>13.0</v>
      </c>
      <c r="U502" s="68">
        <v>226988.17</v>
      </c>
      <c r="V502" s="68">
        <v>0.2125</v>
      </c>
      <c r="W502" s="68">
        <v>4.7049</v>
      </c>
    </row>
    <row r="503" ht="15.75" customHeight="1">
      <c r="A503" s="19" t="s">
        <v>61</v>
      </c>
      <c r="B503" s="68" t="s">
        <v>771</v>
      </c>
      <c r="C503" s="68" t="s">
        <v>905</v>
      </c>
      <c r="D503" s="68" t="s">
        <v>773</v>
      </c>
      <c r="E503" s="68" t="s">
        <v>459</v>
      </c>
      <c r="F503" s="68" t="s">
        <v>774</v>
      </c>
      <c r="G503" s="68" t="s">
        <v>783</v>
      </c>
      <c r="H503" s="181">
        <v>45341.0</v>
      </c>
      <c r="J503" s="68" t="s">
        <v>134</v>
      </c>
      <c r="K503" s="68">
        <v>3803.04</v>
      </c>
      <c r="L503" s="27">
        <v>0.194049620459524</v>
      </c>
      <c r="M503" s="68" t="s">
        <v>8</v>
      </c>
      <c r="N503" s="68">
        <v>418647.0</v>
      </c>
      <c r="O503" s="68">
        <v>1792.0</v>
      </c>
      <c r="P503" s="68">
        <v>0.0043</v>
      </c>
      <c r="Q503" s="68">
        <v>114582.59</v>
      </c>
      <c r="S503" s="68">
        <v>63.94</v>
      </c>
      <c r="T503" s="68">
        <v>13.0</v>
      </c>
      <c r="U503" s="68">
        <v>229658.48</v>
      </c>
      <c r="V503" s="68">
        <v>0.4989</v>
      </c>
      <c r="W503" s="68">
        <v>2.0043</v>
      </c>
    </row>
    <row r="504" ht="15.75" customHeight="1">
      <c r="A504" s="19" t="s">
        <v>61</v>
      </c>
      <c r="B504" s="68" t="s">
        <v>771</v>
      </c>
      <c r="C504" s="68" t="s">
        <v>954</v>
      </c>
      <c r="D504" s="68" t="s">
        <v>773</v>
      </c>
      <c r="E504" s="68" t="s">
        <v>459</v>
      </c>
      <c r="F504" s="68" t="s">
        <v>774</v>
      </c>
      <c r="G504" s="68" t="s">
        <v>783</v>
      </c>
      <c r="H504" s="181">
        <v>45457.0</v>
      </c>
      <c r="J504" s="68" t="s">
        <v>134</v>
      </c>
      <c r="K504" s="68">
        <v>880.0</v>
      </c>
      <c r="L504" s="27">
        <v>0.193965517241379</v>
      </c>
      <c r="M504" s="68" t="s">
        <v>8</v>
      </c>
      <c r="N504" s="68">
        <v>109410.0</v>
      </c>
      <c r="O504" s="68">
        <v>279.0</v>
      </c>
      <c r="P504" s="68">
        <v>0.0026</v>
      </c>
      <c r="Q504" s="68">
        <v>14796.03</v>
      </c>
      <c r="S504" s="68">
        <v>53.03</v>
      </c>
      <c r="T504" s="68">
        <v>4.0</v>
      </c>
      <c r="U504" s="68">
        <v>79576.28</v>
      </c>
      <c r="V504" s="68">
        <v>0.1859</v>
      </c>
      <c r="W504" s="68">
        <v>5.3782</v>
      </c>
    </row>
    <row r="505" ht="15.75" customHeight="1">
      <c r="A505" s="19" t="s">
        <v>61</v>
      </c>
      <c r="B505" s="68" t="s">
        <v>771</v>
      </c>
      <c r="C505" s="68" t="s">
        <v>979</v>
      </c>
      <c r="D505" s="68" t="s">
        <v>773</v>
      </c>
      <c r="E505" s="68" t="s">
        <v>459</v>
      </c>
      <c r="F505" s="68" t="s">
        <v>774</v>
      </c>
      <c r="G505" s="68" t="s">
        <v>783</v>
      </c>
      <c r="H505" s="181">
        <v>45493.0</v>
      </c>
      <c r="J505" s="68" t="s">
        <v>90</v>
      </c>
      <c r="K505" s="68">
        <v>388.1</v>
      </c>
      <c r="L505" s="27">
        <v>0.263899184581171</v>
      </c>
      <c r="M505" s="68" t="s">
        <v>8</v>
      </c>
      <c r="N505" s="68">
        <v>13227.0</v>
      </c>
      <c r="O505" s="68">
        <v>95.0</v>
      </c>
      <c r="P505" s="68">
        <v>0.0072</v>
      </c>
      <c r="Q505" s="68">
        <v>4880.33</v>
      </c>
      <c r="S505" s="68">
        <v>51.37</v>
      </c>
      <c r="T505" s="68">
        <v>1.0</v>
      </c>
      <c r="U505" s="68">
        <v>17288.14</v>
      </c>
      <c r="V505" s="68">
        <v>0.2823</v>
      </c>
      <c r="W505" s="68">
        <v>3.5424</v>
      </c>
    </row>
    <row r="506" ht="15.75" customHeight="1">
      <c r="A506" s="19" t="s">
        <v>61</v>
      </c>
      <c r="B506" s="68" t="s">
        <v>771</v>
      </c>
      <c r="C506" s="68" t="s">
        <v>967</v>
      </c>
      <c r="D506" s="68" t="s">
        <v>773</v>
      </c>
      <c r="E506" s="68" t="s">
        <v>459</v>
      </c>
      <c r="F506" s="68" t="s">
        <v>774</v>
      </c>
      <c r="G506" s="68" t="s">
        <v>775</v>
      </c>
      <c r="H506" s="181">
        <v>45446.0</v>
      </c>
      <c r="J506" s="68" t="s">
        <v>90</v>
      </c>
      <c r="K506" s="68">
        <v>181.44</v>
      </c>
      <c r="L506" s="68" t="s">
        <v>776</v>
      </c>
      <c r="M506" s="68" t="s">
        <v>8</v>
      </c>
      <c r="N506" s="68">
        <v>54002.0</v>
      </c>
      <c r="O506" s="68">
        <v>102.0</v>
      </c>
      <c r="P506" s="68">
        <v>0.0019</v>
      </c>
      <c r="Q506" s="68">
        <v>2519.79</v>
      </c>
      <c r="S506" s="68">
        <v>24.7</v>
      </c>
      <c r="T506" s="68">
        <v>0.0</v>
      </c>
      <c r="U506" s="68">
        <v>0.0</v>
      </c>
      <c r="V506" s="68">
        <v>0.0</v>
      </c>
      <c r="W506" s="68">
        <v>0.0</v>
      </c>
    </row>
    <row r="507" ht="15.75" customHeight="1">
      <c r="A507" s="19" t="s">
        <v>61</v>
      </c>
      <c r="B507" s="68" t="s">
        <v>771</v>
      </c>
      <c r="C507" s="68" t="s">
        <v>953</v>
      </c>
      <c r="D507" s="68" t="s">
        <v>773</v>
      </c>
      <c r="E507" s="68" t="s">
        <v>459</v>
      </c>
      <c r="F507" s="68" t="s">
        <v>774</v>
      </c>
      <c r="G507" s="68" t="s">
        <v>775</v>
      </c>
      <c r="H507" s="181">
        <v>45456.0</v>
      </c>
      <c r="J507" s="68" t="s">
        <v>232</v>
      </c>
      <c r="K507" s="68">
        <v>453.6</v>
      </c>
      <c r="L507" s="68" t="s">
        <v>776</v>
      </c>
      <c r="M507" s="68" t="s">
        <v>8</v>
      </c>
      <c r="N507" s="68">
        <v>37914.0</v>
      </c>
      <c r="O507" s="68">
        <v>93.0</v>
      </c>
      <c r="P507" s="68">
        <v>0.0025</v>
      </c>
      <c r="Q507" s="68">
        <v>1059.66</v>
      </c>
      <c r="S507" s="68">
        <v>11.39</v>
      </c>
      <c r="T507" s="68">
        <v>2.0</v>
      </c>
      <c r="U507" s="68">
        <v>33381.36</v>
      </c>
      <c r="V507" s="68">
        <v>0.0317</v>
      </c>
      <c r="W507" s="68">
        <v>31.502</v>
      </c>
    </row>
    <row r="508" ht="15.75" customHeight="1">
      <c r="A508" s="19" t="s">
        <v>61</v>
      </c>
      <c r="B508" s="68" t="s">
        <v>771</v>
      </c>
      <c r="C508" s="68" t="s">
        <v>946</v>
      </c>
      <c r="D508" s="68" t="s">
        <v>773</v>
      </c>
      <c r="E508" s="68" t="s">
        <v>459</v>
      </c>
      <c r="F508" s="68" t="s">
        <v>774</v>
      </c>
      <c r="G508" s="68" t="s">
        <v>775</v>
      </c>
      <c r="H508" s="181">
        <v>45427.0</v>
      </c>
      <c r="J508" s="68" t="s">
        <v>232</v>
      </c>
      <c r="K508" s="68">
        <v>739.68</v>
      </c>
      <c r="L508" s="68" t="s">
        <v>776</v>
      </c>
      <c r="M508" s="68" t="s">
        <v>8</v>
      </c>
      <c r="N508" s="68">
        <v>2166.0</v>
      </c>
      <c r="O508" s="68">
        <v>4.0</v>
      </c>
      <c r="P508" s="68">
        <v>0.0018</v>
      </c>
      <c r="Q508" s="68">
        <v>31.77</v>
      </c>
      <c r="S508" s="68">
        <v>7.94</v>
      </c>
      <c r="T508" s="68">
        <v>0.0</v>
      </c>
      <c r="U508" s="68">
        <v>0.0</v>
      </c>
      <c r="V508" s="68">
        <v>0.0</v>
      </c>
      <c r="W508" s="68">
        <v>0.0</v>
      </c>
    </row>
    <row r="509" ht="15.75" customHeight="1">
      <c r="A509" s="19" t="s">
        <v>61</v>
      </c>
      <c r="B509" s="68" t="s">
        <v>771</v>
      </c>
      <c r="C509" s="68" t="s">
        <v>945</v>
      </c>
      <c r="D509" s="68" t="s">
        <v>773</v>
      </c>
      <c r="E509" s="68" t="s">
        <v>459</v>
      </c>
      <c r="F509" s="68" t="s">
        <v>774</v>
      </c>
      <c r="G509" s="68" t="s">
        <v>783</v>
      </c>
      <c r="H509" s="181">
        <v>45415.0</v>
      </c>
      <c r="J509" s="68" t="s">
        <v>232</v>
      </c>
      <c r="K509" s="68">
        <v>1260.0</v>
      </c>
      <c r="L509" s="27">
        <v>0.064782413293743</v>
      </c>
      <c r="M509" s="68" t="s">
        <v>8</v>
      </c>
      <c r="N509" s="68">
        <v>423173.0</v>
      </c>
      <c r="O509" s="68">
        <v>1126.0</v>
      </c>
      <c r="P509" s="68">
        <v>0.0027</v>
      </c>
      <c r="Q509" s="68">
        <v>46970.32</v>
      </c>
      <c r="S509" s="68">
        <v>41.71</v>
      </c>
      <c r="T509" s="68">
        <v>9.0</v>
      </c>
      <c r="U509" s="68">
        <v>149099.17</v>
      </c>
      <c r="V509" s="68">
        <v>0.315</v>
      </c>
      <c r="W509" s="68">
        <v>3.1743</v>
      </c>
    </row>
    <row r="510" ht="15.75" customHeight="1">
      <c r="A510" s="19" t="s">
        <v>61</v>
      </c>
      <c r="B510" s="68" t="s">
        <v>771</v>
      </c>
      <c r="C510" s="68" t="s">
        <v>964</v>
      </c>
      <c r="D510" s="68" t="s">
        <v>773</v>
      </c>
      <c r="E510" s="68" t="s">
        <v>459</v>
      </c>
      <c r="F510" s="68" t="s">
        <v>774</v>
      </c>
      <c r="G510" s="68" t="s">
        <v>775</v>
      </c>
      <c r="H510" s="181">
        <v>45460.0</v>
      </c>
      <c r="J510" s="68" t="s">
        <v>232</v>
      </c>
      <c r="K510" s="68">
        <v>715.84</v>
      </c>
      <c r="L510" s="68" t="s">
        <v>776</v>
      </c>
      <c r="M510" s="68" t="s">
        <v>8</v>
      </c>
      <c r="N510" s="68">
        <v>2049.0</v>
      </c>
      <c r="O510" s="68">
        <v>7.0</v>
      </c>
      <c r="P510" s="68">
        <v>0.0034</v>
      </c>
      <c r="Q510" s="68">
        <v>86.71</v>
      </c>
      <c r="S510" s="68">
        <v>12.39</v>
      </c>
      <c r="T510" s="68">
        <v>0.0</v>
      </c>
      <c r="U510" s="68">
        <v>0.0</v>
      </c>
      <c r="V510" s="68">
        <v>0.0</v>
      </c>
      <c r="W510" s="68">
        <v>0.0</v>
      </c>
    </row>
    <row r="511" ht="15.75" customHeight="1">
      <c r="A511" s="19" t="s">
        <v>61</v>
      </c>
      <c r="B511" s="68" t="s">
        <v>771</v>
      </c>
      <c r="C511" s="68" t="s">
        <v>966</v>
      </c>
      <c r="D511" s="68" t="s">
        <v>773</v>
      </c>
      <c r="E511" s="68" t="s">
        <v>459</v>
      </c>
      <c r="F511" s="68" t="s">
        <v>774</v>
      </c>
      <c r="G511" s="68" t="s">
        <v>775</v>
      </c>
      <c r="H511" s="181">
        <v>45357.0</v>
      </c>
      <c r="J511" s="68" t="s">
        <v>232</v>
      </c>
      <c r="K511" s="68">
        <v>907.2</v>
      </c>
      <c r="L511" s="68" t="s">
        <v>776</v>
      </c>
      <c r="M511" s="68" t="s">
        <v>8</v>
      </c>
      <c r="N511" s="68">
        <v>85084.0</v>
      </c>
      <c r="O511" s="68">
        <v>102.0</v>
      </c>
      <c r="P511" s="68">
        <v>0.0012</v>
      </c>
      <c r="Q511" s="68">
        <v>1839.1</v>
      </c>
      <c r="S511" s="68">
        <v>18.03</v>
      </c>
      <c r="T511" s="68">
        <v>0.0</v>
      </c>
      <c r="U511" s="68">
        <v>0.0</v>
      </c>
      <c r="V511" s="68">
        <v>0.0</v>
      </c>
      <c r="W511" s="68">
        <v>0.0</v>
      </c>
    </row>
    <row r="512" ht="15.75" customHeight="1">
      <c r="A512" s="19" t="s">
        <v>61</v>
      </c>
      <c r="B512" s="68" t="s">
        <v>779</v>
      </c>
      <c r="C512" s="68" t="s">
        <v>1020</v>
      </c>
      <c r="D512" s="68" t="s">
        <v>781</v>
      </c>
      <c r="E512" s="68" t="s">
        <v>459</v>
      </c>
      <c r="F512" s="68" t="s">
        <v>774</v>
      </c>
      <c r="G512" s="68" t="s">
        <v>783</v>
      </c>
      <c r="H512" s="181">
        <v>45510.0</v>
      </c>
      <c r="J512" s="68" t="s">
        <v>134</v>
      </c>
      <c r="K512" s="68">
        <v>2000.0</v>
      </c>
      <c r="L512" s="68" t="s">
        <v>776</v>
      </c>
      <c r="M512" s="68" t="s">
        <v>8</v>
      </c>
      <c r="N512" s="68">
        <v>34802.0</v>
      </c>
      <c r="O512" s="68">
        <v>135.0</v>
      </c>
      <c r="P512" s="68">
        <v>0.0039</v>
      </c>
      <c r="Q512" s="68">
        <v>9773.62</v>
      </c>
      <c r="S512" s="68">
        <v>72.4</v>
      </c>
      <c r="T512" s="68">
        <v>0.0</v>
      </c>
      <c r="U512" s="68">
        <v>0.0</v>
      </c>
      <c r="V512" s="68">
        <v>0.0</v>
      </c>
      <c r="W512" s="68">
        <v>0.0</v>
      </c>
    </row>
    <row r="513" ht="15.75" customHeight="1">
      <c r="A513" s="19" t="s">
        <v>61</v>
      </c>
      <c r="B513" s="68" t="s">
        <v>779</v>
      </c>
      <c r="C513" s="68" t="s">
        <v>1021</v>
      </c>
      <c r="D513" s="68" t="s">
        <v>781</v>
      </c>
      <c r="E513" s="68" t="s">
        <v>459</v>
      </c>
      <c r="F513" s="68" t="s">
        <v>774</v>
      </c>
      <c r="G513" s="68" t="s">
        <v>783</v>
      </c>
      <c r="H513" s="181">
        <v>45512.0</v>
      </c>
      <c r="J513" s="68" t="s">
        <v>134</v>
      </c>
      <c r="K513" s="68">
        <v>1000.0</v>
      </c>
      <c r="L513" s="68" t="s">
        <v>776</v>
      </c>
      <c r="M513" s="68" t="s">
        <v>8</v>
      </c>
      <c r="N513" s="68">
        <v>11042.0</v>
      </c>
      <c r="O513" s="68">
        <v>48.0</v>
      </c>
      <c r="P513" s="68">
        <v>0.0043</v>
      </c>
      <c r="Q513" s="68">
        <v>4024.03</v>
      </c>
      <c r="S513" s="68">
        <v>83.83</v>
      </c>
      <c r="T513" s="68">
        <v>0.0</v>
      </c>
      <c r="U513" s="68">
        <v>0.0</v>
      </c>
      <c r="V513" s="68">
        <v>0.0</v>
      </c>
      <c r="W513" s="68">
        <v>0.0</v>
      </c>
    </row>
    <row r="514" ht="15.75" customHeight="1">
      <c r="A514" s="19" t="s">
        <v>61</v>
      </c>
      <c r="B514" s="68" t="s">
        <v>771</v>
      </c>
      <c r="C514" s="68" t="s">
        <v>827</v>
      </c>
      <c r="D514" s="68" t="s">
        <v>773</v>
      </c>
      <c r="E514" s="68" t="s">
        <v>459</v>
      </c>
      <c r="F514" s="68" t="s">
        <v>774</v>
      </c>
      <c r="G514" s="68" t="s">
        <v>968</v>
      </c>
      <c r="H514" s="181">
        <v>45309.0</v>
      </c>
      <c r="J514" s="68" t="s">
        <v>128</v>
      </c>
      <c r="K514" s="68">
        <v>6000.0</v>
      </c>
      <c r="L514" s="27">
        <v>0.162215320910973</v>
      </c>
      <c r="M514" s="68" t="s">
        <v>8</v>
      </c>
      <c r="N514" s="68">
        <v>363434.0</v>
      </c>
      <c r="O514" s="68">
        <v>1118.0</v>
      </c>
      <c r="P514" s="68">
        <v>0.0031</v>
      </c>
      <c r="Q514" s="68">
        <v>64252.74</v>
      </c>
      <c r="S514" s="68">
        <v>57.47</v>
      </c>
      <c r="T514" s="68">
        <v>29.0</v>
      </c>
      <c r="U514" s="68">
        <v>662861.91</v>
      </c>
      <c r="V514" s="68">
        <v>0.0969</v>
      </c>
      <c r="W514" s="68">
        <v>10.3165</v>
      </c>
    </row>
    <row r="515" ht="15.75" customHeight="1">
      <c r="A515" s="19" t="s">
        <v>61</v>
      </c>
      <c r="B515" s="68" t="s">
        <v>771</v>
      </c>
      <c r="C515" s="68" t="s">
        <v>944</v>
      </c>
      <c r="D515" s="68" t="s">
        <v>773</v>
      </c>
      <c r="E515" s="68" t="s">
        <v>459</v>
      </c>
      <c r="F515" s="68" t="s">
        <v>774</v>
      </c>
      <c r="G515" s="68" t="s">
        <v>775</v>
      </c>
      <c r="H515" s="181">
        <v>45427.0</v>
      </c>
      <c r="J515" s="68" t="s">
        <v>90</v>
      </c>
      <c r="K515" s="68">
        <v>1999.0</v>
      </c>
      <c r="L515" s="68" t="s">
        <v>776</v>
      </c>
      <c r="M515" s="68" t="s">
        <v>8</v>
      </c>
      <c r="N515" s="68">
        <v>40343.0</v>
      </c>
      <c r="O515" s="68">
        <v>47.0</v>
      </c>
      <c r="P515" s="68">
        <v>0.0012</v>
      </c>
      <c r="Q515" s="68">
        <v>815.02</v>
      </c>
      <c r="S515" s="68">
        <v>17.34</v>
      </c>
      <c r="T515" s="68">
        <v>0.0</v>
      </c>
      <c r="U515" s="68">
        <v>0.0</v>
      </c>
      <c r="V515" s="68">
        <v>0.0</v>
      </c>
      <c r="W515" s="68">
        <v>0.0</v>
      </c>
    </row>
    <row r="516" ht="15.75" customHeight="1">
      <c r="A516" s="19" t="s">
        <v>61</v>
      </c>
      <c r="B516" s="68" t="s">
        <v>771</v>
      </c>
      <c r="C516" s="68" t="s">
        <v>981</v>
      </c>
      <c r="D516" s="68" t="s">
        <v>773</v>
      </c>
      <c r="E516" s="68" t="s">
        <v>459</v>
      </c>
      <c r="F516" s="68" t="s">
        <v>774</v>
      </c>
      <c r="G516" s="68" t="s">
        <v>783</v>
      </c>
      <c r="H516" s="181">
        <v>45503.0</v>
      </c>
      <c r="J516" s="68" t="s">
        <v>134</v>
      </c>
      <c r="K516" s="68">
        <v>600.0</v>
      </c>
      <c r="L516" s="27">
        <v>0.26395051768186</v>
      </c>
      <c r="M516" s="68" t="s">
        <v>8</v>
      </c>
      <c r="N516" s="68">
        <v>10299.0</v>
      </c>
      <c r="O516" s="68">
        <v>69.0</v>
      </c>
      <c r="P516" s="68">
        <v>0.0067</v>
      </c>
      <c r="Q516" s="68">
        <v>2538.81</v>
      </c>
      <c r="S516" s="68">
        <v>36.79</v>
      </c>
      <c r="T516" s="68">
        <v>1.0</v>
      </c>
      <c r="U516" s="68">
        <v>20529.66</v>
      </c>
      <c r="V516" s="68">
        <v>0.1237</v>
      </c>
      <c r="W516" s="68">
        <v>8.0863</v>
      </c>
    </row>
    <row r="517" ht="15.75" customHeight="1">
      <c r="A517" s="19" t="s">
        <v>61</v>
      </c>
      <c r="B517" s="68" t="s">
        <v>779</v>
      </c>
      <c r="C517" s="68" t="s">
        <v>912</v>
      </c>
      <c r="D517" s="68" t="s">
        <v>781</v>
      </c>
      <c r="E517" s="68" t="s">
        <v>459</v>
      </c>
      <c r="F517" s="68" t="s">
        <v>774</v>
      </c>
      <c r="G517" s="68" t="s">
        <v>775</v>
      </c>
      <c r="H517" s="181">
        <v>45260.0</v>
      </c>
      <c r="J517" s="68" t="s">
        <v>140</v>
      </c>
      <c r="K517" s="68">
        <v>181.44</v>
      </c>
      <c r="L517" s="68" t="s">
        <v>776</v>
      </c>
      <c r="M517" s="68" t="s">
        <v>8</v>
      </c>
      <c r="N517" s="68">
        <v>40279.0</v>
      </c>
      <c r="O517" s="68">
        <v>107.0</v>
      </c>
      <c r="P517" s="68">
        <v>0.0027</v>
      </c>
      <c r="Q517" s="68">
        <v>4927.94</v>
      </c>
      <c r="S517" s="68">
        <v>46.06</v>
      </c>
      <c r="T517" s="68">
        <v>0.0</v>
      </c>
      <c r="U517" s="68">
        <v>0.0</v>
      </c>
      <c r="V517" s="68">
        <v>0.0</v>
      </c>
      <c r="W517" s="68">
        <v>0.0</v>
      </c>
    </row>
    <row r="518" ht="15.75" customHeight="1">
      <c r="A518" s="19" t="s">
        <v>61</v>
      </c>
      <c r="B518" s="68" t="s">
        <v>779</v>
      </c>
      <c r="C518" s="68" t="s">
        <v>969</v>
      </c>
      <c r="D518" s="68" t="s">
        <v>781</v>
      </c>
      <c r="E518" s="68" t="s">
        <v>459</v>
      </c>
      <c r="F518" s="68" t="s">
        <v>774</v>
      </c>
      <c r="G518" s="68" t="s">
        <v>783</v>
      </c>
      <c r="H518" s="181">
        <v>45477.0</v>
      </c>
      <c r="J518" s="68" t="s">
        <v>205</v>
      </c>
      <c r="K518" s="68">
        <v>600.0</v>
      </c>
      <c r="L518" s="68" t="s">
        <v>776</v>
      </c>
      <c r="M518" s="68" t="s">
        <v>8</v>
      </c>
      <c r="N518" s="68">
        <v>213506.0</v>
      </c>
      <c r="O518" s="68">
        <v>361.0</v>
      </c>
      <c r="P518" s="68">
        <v>0.0017</v>
      </c>
      <c r="Q518" s="68">
        <v>18315.89</v>
      </c>
      <c r="S518" s="68">
        <v>50.74</v>
      </c>
      <c r="T518" s="68">
        <v>3.0</v>
      </c>
      <c r="U518" s="68">
        <v>100559.32</v>
      </c>
      <c r="V518" s="68">
        <v>0.1821</v>
      </c>
      <c r="W518" s="68">
        <v>5.4903</v>
      </c>
    </row>
    <row r="519" ht="15.75" customHeight="1">
      <c r="A519" s="19" t="s">
        <v>61</v>
      </c>
      <c r="B519" s="68" t="s">
        <v>771</v>
      </c>
      <c r="C519" s="68" t="s">
        <v>798</v>
      </c>
      <c r="D519" s="68" t="s">
        <v>773</v>
      </c>
      <c r="E519" s="68" t="s">
        <v>461</v>
      </c>
      <c r="F519" s="68" t="s">
        <v>774</v>
      </c>
      <c r="H519" s="181">
        <v>45260.0</v>
      </c>
      <c r="J519" s="68" t="s">
        <v>128</v>
      </c>
      <c r="K519" s="68">
        <v>6000.0</v>
      </c>
      <c r="L519" s="27">
        <v>0.65086531226486</v>
      </c>
      <c r="M519" s="68" t="s">
        <v>8</v>
      </c>
      <c r="N519" s="68">
        <v>281586.0</v>
      </c>
      <c r="O519" s="68">
        <v>938.0</v>
      </c>
      <c r="P519" s="68">
        <v>0.0033</v>
      </c>
      <c r="Q519" s="68">
        <v>19479.11</v>
      </c>
      <c r="S519" s="68">
        <v>20.77</v>
      </c>
      <c r="T519" s="68">
        <v>10.0</v>
      </c>
      <c r="U519" s="68">
        <v>195792.37</v>
      </c>
      <c r="V519" s="68">
        <v>0.0995</v>
      </c>
      <c r="W519" s="68">
        <v>10.0514</v>
      </c>
    </row>
    <row r="520" ht="15.75" customHeight="1">
      <c r="A520" s="19" t="s">
        <v>61</v>
      </c>
      <c r="B520" s="68" t="s">
        <v>771</v>
      </c>
      <c r="C520" s="68" t="s">
        <v>789</v>
      </c>
      <c r="D520" s="68" t="s">
        <v>773</v>
      </c>
      <c r="E520" s="68" t="s">
        <v>459</v>
      </c>
      <c r="F520" s="68" t="s">
        <v>774</v>
      </c>
      <c r="G520" s="68" t="s">
        <v>968</v>
      </c>
      <c r="H520" s="181">
        <v>45260.0</v>
      </c>
      <c r="J520" s="68" t="s">
        <v>128</v>
      </c>
      <c r="K520" s="68">
        <v>12000.0</v>
      </c>
      <c r="L520" s="27">
        <v>0.63829357056207</v>
      </c>
      <c r="M520" s="68" t="s">
        <v>8</v>
      </c>
      <c r="N520" s="68">
        <v>224926.0</v>
      </c>
      <c r="O520" s="68">
        <v>759.0</v>
      </c>
      <c r="P520" s="68">
        <v>0.0034</v>
      </c>
      <c r="Q520" s="68">
        <v>27918.47</v>
      </c>
      <c r="S520" s="68">
        <v>36.78</v>
      </c>
      <c r="T520" s="68">
        <v>26.0</v>
      </c>
      <c r="U520" s="68">
        <v>593408.47</v>
      </c>
      <c r="V520" s="68">
        <v>0.047</v>
      </c>
      <c r="W520" s="68">
        <v>21.255</v>
      </c>
    </row>
    <row r="521" ht="15.75" customHeight="1">
      <c r="A521" s="3" t="s">
        <v>63</v>
      </c>
      <c r="B521" s="68" t="s">
        <v>771</v>
      </c>
      <c r="C521" s="68" t="s">
        <v>905</v>
      </c>
      <c r="D521" s="68" t="s">
        <v>773</v>
      </c>
      <c r="E521" s="68" t="s">
        <v>459</v>
      </c>
      <c r="F521" s="68" t="s">
        <v>774</v>
      </c>
      <c r="G521" s="68" t="s">
        <v>783</v>
      </c>
      <c r="H521" s="181">
        <v>45341.0</v>
      </c>
      <c r="J521" s="68" t="s">
        <v>134</v>
      </c>
      <c r="K521" s="68">
        <v>14808.18</v>
      </c>
      <c r="L521" s="27">
        <v>0.210110360335774</v>
      </c>
      <c r="M521" s="68" t="s">
        <v>8</v>
      </c>
      <c r="N521" s="68">
        <v>807636.0</v>
      </c>
      <c r="O521" s="68">
        <v>2413.0</v>
      </c>
      <c r="P521" s="68">
        <v>0.003</v>
      </c>
      <c r="Q521" s="68">
        <v>189829.8</v>
      </c>
      <c r="S521" s="68">
        <v>78.67</v>
      </c>
      <c r="T521" s="68">
        <v>20.0</v>
      </c>
      <c r="U521" s="68">
        <v>353855.12</v>
      </c>
      <c r="V521" s="68">
        <v>0.5365</v>
      </c>
      <c r="W521" s="68">
        <v>1.8641</v>
      </c>
    </row>
    <row r="522" ht="15.75" customHeight="1">
      <c r="A522" s="3" t="s">
        <v>63</v>
      </c>
      <c r="B522" s="68" t="s">
        <v>771</v>
      </c>
      <c r="C522" s="68" t="s">
        <v>883</v>
      </c>
      <c r="D522" s="68" t="s">
        <v>773</v>
      </c>
      <c r="E522" s="68" t="s">
        <v>462</v>
      </c>
      <c r="F522" s="68" t="s">
        <v>774</v>
      </c>
      <c r="H522" s="181">
        <v>45336.0</v>
      </c>
      <c r="J522" s="68" t="s">
        <v>134</v>
      </c>
      <c r="K522" s="68">
        <v>9000.0</v>
      </c>
      <c r="L522" s="27">
        <v>0.153347966462908</v>
      </c>
      <c r="M522" s="68" t="s">
        <v>8</v>
      </c>
      <c r="N522" s="68">
        <v>258545.0</v>
      </c>
      <c r="O522" s="68">
        <v>5512.0</v>
      </c>
      <c r="P522" s="68">
        <v>0.0213</v>
      </c>
      <c r="Q522" s="68">
        <v>113109.73</v>
      </c>
      <c r="S522" s="68">
        <v>20.52</v>
      </c>
      <c r="T522" s="68">
        <v>31.0</v>
      </c>
      <c r="U522" s="68">
        <v>511011.86</v>
      </c>
      <c r="V522" s="68">
        <v>0.2213</v>
      </c>
      <c r="W522" s="68">
        <v>4.5178</v>
      </c>
    </row>
    <row r="523" ht="15.75" customHeight="1">
      <c r="A523" s="3" t="s">
        <v>63</v>
      </c>
      <c r="B523" s="68" t="s">
        <v>771</v>
      </c>
      <c r="C523" s="68" t="s">
        <v>904</v>
      </c>
      <c r="D523" s="68" t="s">
        <v>773</v>
      </c>
      <c r="E523" s="68" t="s">
        <v>459</v>
      </c>
      <c r="F523" s="68" t="s">
        <v>774</v>
      </c>
      <c r="G523" s="68" t="s">
        <v>783</v>
      </c>
      <c r="H523" s="181">
        <v>45301.0</v>
      </c>
      <c r="J523" s="68" t="s">
        <v>134</v>
      </c>
      <c r="K523" s="68">
        <v>10000.0</v>
      </c>
      <c r="L523" s="27">
        <v>0.223593022239426</v>
      </c>
      <c r="M523" s="68" t="s">
        <v>8</v>
      </c>
      <c r="N523" s="68">
        <v>225070.0</v>
      </c>
      <c r="O523" s="68">
        <v>1396.0</v>
      </c>
      <c r="P523" s="68">
        <v>0.0062</v>
      </c>
      <c r="Q523" s="68">
        <v>104684.63</v>
      </c>
      <c r="S523" s="68">
        <v>74.99</v>
      </c>
      <c r="T523" s="68">
        <v>19.0</v>
      </c>
      <c r="U523" s="68">
        <v>347150.01</v>
      </c>
      <c r="V523" s="68">
        <v>0.3016</v>
      </c>
      <c r="W523" s="68">
        <v>3.3162</v>
      </c>
    </row>
    <row r="524" ht="15.75" customHeight="1">
      <c r="A524" s="3" t="s">
        <v>63</v>
      </c>
      <c r="B524" s="68" t="s">
        <v>771</v>
      </c>
      <c r="C524" s="68" t="s">
        <v>827</v>
      </c>
      <c r="D524" s="68" t="s">
        <v>773</v>
      </c>
      <c r="E524" s="68" t="s">
        <v>459</v>
      </c>
      <c r="F524" s="68" t="s">
        <v>774</v>
      </c>
      <c r="G524" s="68" t="s">
        <v>783</v>
      </c>
      <c r="H524" s="181">
        <v>45309.0</v>
      </c>
      <c r="J524" s="68" t="s">
        <v>128</v>
      </c>
      <c r="K524" s="68">
        <v>19072.47</v>
      </c>
      <c r="L524" s="27">
        <v>0.0715161011671588</v>
      </c>
      <c r="M524" s="68" t="s">
        <v>8</v>
      </c>
      <c r="N524" s="68">
        <v>573250.0</v>
      </c>
      <c r="O524" s="68">
        <v>1877.0</v>
      </c>
      <c r="P524" s="68">
        <v>0.0033</v>
      </c>
      <c r="Q524" s="68">
        <v>102278.06</v>
      </c>
      <c r="S524" s="68">
        <v>54.49</v>
      </c>
      <c r="T524" s="68">
        <v>50.0</v>
      </c>
      <c r="U524" s="68">
        <v>1022709.35</v>
      </c>
      <c r="V524" s="68">
        <v>0.1</v>
      </c>
      <c r="W524" s="68">
        <v>9.9993</v>
      </c>
    </row>
    <row r="525" ht="15.75" customHeight="1">
      <c r="A525" s="3" t="s">
        <v>63</v>
      </c>
      <c r="B525" s="68" t="s">
        <v>771</v>
      </c>
      <c r="C525" s="68" t="s">
        <v>789</v>
      </c>
      <c r="D525" s="68" t="s">
        <v>773</v>
      </c>
      <c r="E525" s="68" t="s">
        <v>459</v>
      </c>
      <c r="F525" s="68" t="s">
        <v>774</v>
      </c>
      <c r="G525" s="68" t="s">
        <v>783</v>
      </c>
      <c r="H525" s="181">
        <v>45260.0</v>
      </c>
      <c r="J525" s="68" t="s">
        <v>128</v>
      </c>
      <c r="K525" s="68">
        <v>38144.93</v>
      </c>
      <c r="L525" s="27">
        <v>0.777047983944535</v>
      </c>
      <c r="M525" s="68" t="s">
        <v>8</v>
      </c>
      <c r="N525" s="68">
        <v>530806.0</v>
      </c>
      <c r="O525" s="68">
        <v>1323.0</v>
      </c>
      <c r="P525" s="68">
        <v>0.0025</v>
      </c>
      <c r="Q525" s="68">
        <v>75212.34</v>
      </c>
      <c r="S525" s="68">
        <v>56.85</v>
      </c>
      <c r="T525" s="68">
        <v>67.0</v>
      </c>
      <c r="U525" s="68">
        <v>1381483.94</v>
      </c>
      <c r="V525" s="68">
        <v>0.0544</v>
      </c>
      <c r="W525" s="68">
        <v>18.3678</v>
      </c>
    </row>
    <row r="526" ht="15.75" customHeight="1">
      <c r="A526" s="3" t="s">
        <v>63</v>
      </c>
      <c r="B526" s="68" t="s">
        <v>771</v>
      </c>
      <c r="C526" s="68" t="s">
        <v>945</v>
      </c>
      <c r="D526" s="68" t="s">
        <v>773</v>
      </c>
      <c r="E526" s="68" t="s">
        <v>459</v>
      </c>
      <c r="F526" s="68" t="s">
        <v>774</v>
      </c>
      <c r="G526" s="68" t="s">
        <v>783</v>
      </c>
      <c r="H526" s="181">
        <v>45415.0</v>
      </c>
      <c r="J526" s="68" t="s">
        <v>232</v>
      </c>
      <c r="K526" s="68">
        <v>5308.88</v>
      </c>
      <c r="L526" s="68" t="s">
        <v>776</v>
      </c>
      <c r="M526" s="68" t="s">
        <v>8</v>
      </c>
      <c r="N526" s="68">
        <v>577902.0</v>
      </c>
      <c r="O526" s="68">
        <v>1350.0</v>
      </c>
      <c r="P526" s="68">
        <v>0.0023</v>
      </c>
      <c r="Q526" s="68">
        <v>67145.28</v>
      </c>
      <c r="S526" s="68">
        <v>49.74</v>
      </c>
      <c r="T526" s="68">
        <v>17.0</v>
      </c>
      <c r="U526" s="68">
        <v>249650.82</v>
      </c>
      <c r="V526" s="68">
        <v>0.269</v>
      </c>
      <c r="W526" s="68">
        <v>3.7181</v>
      </c>
    </row>
    <row r="527" ht="15.75" customHeight="1">
      <c r="A527" s="3" t="s">
        <v>63</v>
      </c>
      <c r="B527" s="68" t="s">
        <v>771</v>
      </c>
      <c r="C527" s="68" t="s">
        <v>877</v>
      </c>
      <c r="D527" s="68" t="s">
        <v>773</v>
      </c>
      <c r="E527" s="68" t="s">
        <v>461</v>
      </c>
      <c r="F527" s="68" t="s">
        <v>774</v>
      </c>
      <c r="H527" s="181">
        <v>45260.0</v>
      </c>
      <c r="J527" s="68" t="s">
        <v>196</v>
      </c>
      <c r="K527" s="68">
        <v>7000.0</v>
      </c>
      <c r="L527" s="27">
        <v>0.119876709455207</v>
      </c>
      <c r="M527" s="68" t="s">
        <v>8</v>
      </c>
      <c r="N527" s="68">
        <v>338621.0</v>
      </c>
      <c r="O527" s="68">
        <v>1659.0</v>
      </c>
      <c r="P527" s="68">
        <v>0.0049</v>
      </c>
      <c r="Q527" s="68">
        <v>55051.68</v>
      </c>
      <c r="S527" s="68">
        <v>33.18</v>
      </c>
      <c r="T527" s="68">
        <v>18.0</v>
      </c>
      <c r="U527" s="68">
        <v>264933.05</v>
      </c>
      <c r="V527" s="68">
        <v>0.2078</v>
      </c>
      <c r="W527" s="68">
        <v>4.8124</v>
      </c>
    </row>
    <row r="528" ht="15.75" customHeight="1">
      <c r="A528" s="3" t="s">
        <v>63</v>
      </c>
      <c r="B528" s="68" t="s">
        <v>771</v>
      </c>
      <c r="C528" s="68" t="s">
        <v>1023</v>
      </c>
      <c r="D528" s="68" t="s">
        <v>773</v>
      </c>
      <c r="E528" s="68" t="s">
        <v>459</v>
      </c>
      <c r="F528" s="68" t="s">
        <v>774</v>
      </c>
      <c r="G528" s="68" t="s">
        <v>783</v>
      </c>
      <c r="H528" s="181">
        <v>45539.0</v>
      </c>
      <c r="J528" s="33" t="s">
        <v>230</v>
      </c>
      <c r="K528" s="68">
        <v>6557.91</v>
      </c>
      <c r="L528" s="68" t="s">
        <v>776</v>
      </c>
      <c r="M528" s="68" t="s">
        <v>8</v>
      </c>
      <c r="N528" s="68">
        <v>347659.0</v>
      </c>
      <c r="O528" s="68">
        <v>706.0</v>
      </c>
      <c r="P528" s="68">
        <v>0.002</v>
      </c>
      <c r="Q528" s="28">
        <v>48678.0</v>
      </c>
      <c r="R528" s="28"/>
      <c r="S528" s="68">
        <v>68.95</v>
      </c>
      <c r="T528" s="68">
        <v>8.0</v>
      </c>
      <c r="U528" s="68">
        <v>177432.21</v>
      </c>
      <c r="V528" s="68">
        <v>0.2743</v>
      </c>
      <c r="W528" s="68">
        <v>3.645</v>
      </c>
    </row>
    <row r="529" ht="15.75" customHeight="1">
      <c r="A529" s="3" t="s">
        <v>63</v>
      </c>
      <c r="B529" s="68" t="s">
        <v>771</v>
      </c>
      <c r="C529" s="68" t="s">
        <v>936</v>
      </c>
      <c r="D529" s="68" t="s">
        <v>773</v>
      </c>
      <c r="E529" s="68" t="s">
        <v>459</v>
      </c>
      <c r="F529" s="68" t="s">
        <v>774</v>
      </c>
      <c r="G529" s="68" t="s">
        <v>783</v>
      </c>
      <c r="H529" s="181">
        <v>45392.0</v>
      </c>
      <c r="J529" s="33" t="s">
        <v>230</v>
      </c>
      <c r="K529" s="68">
        <v>1597.17</v>
      </c>
      <c r="L529" s="27">
        <v>0.125660166565102</v>
      </c>
      <c r="M529" s="68" t="s">
        <v>8</v>
      </c>
      <c r="N529" s="68">
        <v>277236.0</v>
      </c>
      <c r="O529" s="68">
        <v>795.0</v>
      </c>
      <c r="P529" s="68">
        <v>0.0029</v>
      </c>
      <c r="Q529" s="28">
        <v>44885.75</v>
      </c>
      <c r="R529" s="28"/>
      <c r="S529" s="68">
        <v>56.46</v>
      </c>
      <c r="T529" s="68">
        <v>10.0</v>
      </c>
      <c r="U529" s="68">
        <v>227545.76</v>
      </c>
      <c r="V529" s="68">
        <v>0.1973</v>
      </c>
      <c r="W529" s="68">
        <v>5.0694</v>
      </c>
    </row>
    <row r="530" ht="15.75" customHeight="1">
      <c r="A530" s="3" t="s">
        <v>63</v>
      </c>
      <c r="B530" s="68" t="s">
        <v>771</v>
      </c>
      <c r="C530" s="68" t="s">
        <v>963</v>
      </c>
      <c r="D530" s="68" t="s">
        <v>773</v>
      </c>
      <c r="E530" s="68" t="s">
        <v>459</v>
      </c>
      <c r="F530" s="68" t="s">
        <v>774</v>
      </c>
      <c r="G530" s="68" t="s">
        <v>783</v>
      </c>
      <c r="H530" s="181">
        <v>45352.0</v>
      </c>
      <c r="J530" s="68" t="s">
        <v>140</v>
      </c>
      <c r="K530" s="68">
        <v>3384.73</v>
      </c>
      <c r="L530" s="27">
        <v>0.0996025832091406</v>
      </c>
      <c r="M530" s="68" t="s">
        <v>8</v>
      </c>
      <c r="N530" s="68">
        <v>360237.0</v>
      </c>
      <c r="O530" s="68">
        <v>393.0</v>
      </c>
      <c r="P530" s="68">
        <v>0.0011</v>
      </c>
      <c r="Q530" s="68">
        <v>36696.67</v>
      </c>
      <c r="S530" s="68">
        <v>93.38</v>
      </c>
      <c r="T530" s="68">
        <v>3.0</v>
      </c>
      <c r="U530" s="68">
        <v>76254.25</v>
      </c>
      <c r="V530" s="68">
        <v>0.4812</v>
      </c>
      <c r="W530" s="68">
        <v>2.078</v>
      </c>
    </row>
    <row r="531" ht="15.75" customHeight="1">
      <c r="A531" s="3" t="s">
        <v>63</v>
      </c>
      <c r="B531" s="68" t="s">
        <v>771</v>
      </c>
      <c r="C531" s="68" t="s">
        <v>898</v>
      </c>
      <c r="D531" s="68" t="s">
        <v>773</v>
      </c>
      <c r="E531" s="68" t="s">
        <v>459</v>
      </c>
      <c r="F531" s="68" t="s">
        <v>774</v>
      </c>
      <c r="G531" s="68" t="s">
        <v>783</v>
      </c>
      <c r="H531" s="181">
        <v>45260.0</v>
      </c>
      <c r="J531" s="68" t="s">
        <v>140</v>
      </c>
      <c r="K531" s="68">
        <v>2000.0</v>
      </c>
      <c r="L531" s="68" t="s">
        <v>776</v>
      </c>
      <c r="M531" s="68" t="s">
        <v>8</v>
      </c>
      <c r="N531" s="68">
        <v>580793.0</v>
      </c>
      <c r="O531" s="68">
        <v>525.0</v>
      </c>
      <c r="P531" s="68">
        <v>9.0E-4</v>
      </c>
      <c r="Q531" s="68">
        <v>32516.28</v>
      </c>
      <c r="S531" s="68">
        <v>61.94</v>
      </c>
      <c r="T531" s="68">
        <v>4.0</v>
      </c>
      <c r="U531" s="68">
        <v>70067.79</v>
      </c>
      <c r="V531" s="68">
        <v>0.4641</v>
      </c>
      <c r="W531" s="68">
        <v>2.1549</v>
      </c>
    </row>
    <row r="532" ht="15.75" customHeight="1">
      <c r="A532" s="3" t="s">
        <v>63</v>
      </c>
      <c r="B532" s="68" t="s">
        <v>771</v>
      </c>
      <c r="C532" s="68" t="s">
        <v>895</v>
      </c>
      <c r="D532" s="68" t="s">
        <v>773</v>
      </c>
      <c r="E532" s="68" t="s">
        <v>459</v>
      </c>
      <c r="F532" s="68" t="s">
        <v>774</v>
      </c>
      <c r="G532" s="68" t="s">
        <v>783</v>
      </c>
      <c r="H532" s="181">
        <v>45338.0</v>
      </c>
      <c r="J532" s="68" t="s">
        <v>134</v>
      </c>
      <c r="K532" s="68">
        <v>3539.25</v>
      </c>
      <c r="L532" s="68" t="s">
        <v>776</v>
      </c>
      <c r="M532" s="68" t="s">
        <v>8</v>
      </c>
      <c r="N532" s="68">
        <v>50714.0</v>
      </c>
      <c r="O532" s="68">
        <v>417.0</v>
      </c>
      <c r="P532" s="68">
        <v>0.0082</v>
      </c>
      <c r="Q532" s="68">
        <v>28510.98</v>
      </c>
      <c r="S532" s="68">
        <v>68.37</v>
      </c>
      <c r="T532" s="68">
        <v>5.0</v>
      </c>
      <c r="U532" s="68">
        <v>87449.16</v>
      </c>
      <c r="V532" s="68">
        <v>0.326</v>
      </c>
      <c r="W532" s="68">
        <v>3.0672</v>
      </c>
    </row>
    <row r="533" ht="15.75" customHeight="1">
      <c r="A533" s="3" t="s">
        <v>63</v>
      </c>
      <c r="B533" s="68" t="s">
        <v>779</v>
      </c>
      <c r="C533" s="68" t="s">
        <v>941</v>
      </c>
      <c r="D533" s="68" t="s">
        <v>781</v>
      </c>
      <c r="E533" s="68" t="s">
        <v>463</v>
      </c>
      <c r="F533" s="68" t="s">
        <v>774</v>
      </c>
      <c r="H533" s="181">
        <v>45392.0</v>
      </c>
      <c r="J533" s="33" t="s">
        <v>230</v>
      </c>
      <c r="K533" s="68">
        <v>1780.1</v>
      </c>
      <c r="M533" s="68" t="s">
        <v>8</v>
      </c>
      <c r="N533" s="68">
        <v>1165655.0</v>
      </c>
      <c r="O533" s="68">
        <v>5293.0</v>
      </c>
      <c r="P533" s="68">
        <v>0.0045</v>
      </c>
      <c r="Q533" s="28">
        <v>21458.52</v>
      </c>
      <c r="R533" s="28"/>
      <c r="S533" s="68">
        <v>4.05</v>
      </c>
      <c r="T533" s="68">
        <v>0.0</v>
      </c>
      <c r="U533" s="68">
        <v>0.0</v>
      </c>
      <c r="V533" s="68">
        <v>0.0</v>
      </c>
      <c r="W533" s="68">
        <v>0.0</v>
      </c>
    </row>
    <row r="534" ht="15.75" customHeight="1">
      <c r="A534" s="3" t="s">
        <v>63</v>
      </c>
      <c r="B534" s="68" t="s">
        <v>771</v>
      </c>
      <c r="C534" s="68" t="s">
        <v>822</v>
      </c>
      <c r="D534" s="68" t="s">
        <v>773</v>
      </c>
      <c r="E534" s="68" t="s">
        <v>462</v>
      </c>
      <c r="F534" s="68" t="s">
        <v>774</v>
      </c>
      <c r="H534" s="181">
        <v>45303.0</v>
      </c>
      <c r="J534" s="68" t="s">
        <v>128</v>
      </c>
      <c r="K534" s="68">
        <v>9536.24</v>
      </c>
      <c r="L534" s="27">
        <v>0.110316467012336</v>
      </c>
      <c r="M534" s="68" t="s">
        <v>8</v>
      </c>
      <c r="N534" s="68">
        <v>89640.0</v>
      </c>
      <c r="O534" s="68">
        <v>954.0</v>
      </c>
      <c r="P534" s="68">
        <v>0.0106</v>
      </c>
      <c r="Q534" s="68">
        <v>20250.96</v>
      </c>
      <c r="S534" s="68">
        <v>21.23</v>
      </c>
      <c r="T534" s="68">
        <v>4.0</v>
      </c>
      <c r="U534" s="68">
        <v>88511.87</v>
      </c>
      <c r="V534" s="68">
        <v>0.2288</v>
      </c>
      <c r="W534" s="68">
        <v>4.3707</v>
      </c>
    </row>
    <row r="535" ht="15.75" customHeight="1">
      <c r="A535" s="3" t="s">
        <v>63</v>
      </c>
      <c r="B535" s="68" t="s">
        <v>771</v>
      </c>
      <c r="C535" s="68" t="s">
        <v>862</v>
      </c>
      <c r="D535" s="68" t="s">
        <v>773</v>
      </c>
      <c r="E535" s="68" t="s">
        <v>463</v>
      </c>
      <c r="F535" s="68" t="s">
        <v>774</v>
      </c>
      <c r="H535" s="181">
        <v>45309.0</v>
      </c>
      <c r="J535" s="68" t="s">
        <v>128</v>
      </c>
      <c r="K535" s="68">
        <v>14304.34</v>
      </c>
      <c r="M535" s="68" t="s">
        <v>8</v>
      </c>
      <c r="N535" s="68">
        <v>141160.0</v>
      </c>
      <c r="O535" s="68">
        <v>643.0</v>
      </c>
      <c r="P535" s="68">
        <v>0.0046</v>
      </c>
      <c r="Q535" s="68">
        <v>19546.13</v>
      </c>
      <c r="S535" s="68">
        <v>30.4</v>
      </c>
      <c r="T535" s="68">
        <v>24.0</v>
      </c>
      <c r="U535" s="68">
        <v>467123.76</v>
      </c>
      <c r="V535" s="68">
        <v>0.0418</v>
      </c>
      <c r="W535" s="68">
        <v>23.8985</v>
      </c>
    </row>
    <row r="536" ht="15.75" customHeight="1">
      <c r="A536" s="3" t="s">
        <v>63</v>
      </c>
      <c r="B536" s="68" t="s">
        <v>771</v>
      </c>
      <c r="C536" s="68" t="s">
        <v>962</v>
      </c>
      <c r="D536" s="68" t="s">
        <v>773</v>
      </c>
      <c r="E536" s="68" t="s">
        <v>463</v>
      </c>
      <c r="F536" s="68" t="s">
        <v>774</v>
      </c>
      <c r="H536" s="181">
        <v>45446.0</v>
      </c>
      <c r="J536" s="68" t="s">
        <v>90</v>
      </c>
      <c r="K536" s="68">
        <v>5000.0</v>
      </c>
      <c r="M536" s="68" t="s">
        <v>8</v>
      </c>
      <c r="N536" s="68">
        <v>365468.0</v>
      </c>
      <c r="O536" s="68">
        <v>675.0</v>
      </c>
      <c r="P536" s="68">
        <v>0.0018</v>
      </c>
      <c r="Q536" s="68">
        <v>19110.72</v>
      </c>
      <c r="S536" s="68">
        <v>28.31</v>
      </c>
      <c r="T536" s="68">
        <v>4.0</v>
      </c>
      <c r="U536" s="68">
        <v>101576.27</v>
      </c>
      <c r="V536" s="68">
        <v>0.1881</v>
      </c>
      <c r="W536" s="68">
        <v>5.3151</v>
      </c>
    </row>
    <row r="537" ht="15.75" customHeight="1">
      <c r="A537" s="3" t="s">
        <v>63</v>
      </c>
      <c r="B537" s="68" t="s">
        <v>771</v>
      </c>
      <c r="C537" s="68" t="s">
        <v>917</v>
      </c>
      <c r="D537" s="68" t="s">
        <v>773</v>
      </c>
      <c r="E537" s="68" t="s">
        <v>463</v>
      </c>
      <c r="F537" s="68" t="s">
        <v>774</v>
      </c>
      <c r="H537" s="181">
        <v>45355.0</v>
      </c>
      <c r="J537" s="68" t="s">
        <v>90</v>
      </c>
      <c r="K537" s="68">
        <v>3000.0</v>
      </c>
      <c r="M537" s="68" t="s">
        <v>8</v>
      </c>
      <c r="N537" s="68">
        <v>2167773.0</v>
      </c>
      <c r="O537" s="68">
        <v>8050.0</v>
      </c>
      <c r="P537" s="68">
        <v>0.0037</v>
      </c>
      <c r="Q537" s="68">
        <v>18819.48</v>
      </c>
      <c r="S537" s="68">
        <v>2.34</v>
      </c>
      <c r="T537" s="68">
        <v>0.0</v>
      </c>
      <c r="U537" s="68">
        <v>0.0</v>
      </c>
      <c r="V537" s="68">
        <v>0.0</v>
      </c>
      <c r="W537" s="68">
        <v>0.0</v>
      </c>
    </row>
    <row r="538" ht="15.75" customHeight="1">
      <c r="A538" s="3" t="s">
        <v>63</v>
      </c>
      <c r="B538" s="68" t="s">
        <v>771</v>
      </c>
      <c r="C538" s="68" t="s">
        <v>1024</v>
      </c>
      <c r="D538" s="68" t="s">
        <v>773</v>
      </c>
      <c r="E538" s="68" t="s">
        <v>459</v>
      </c>
      <c r="F538" s="68" t="s">
        <v>774</v>
      </c>
      <c r="G538" s="68" t="s">
        <v>775</v>
      </c>
      <c r="H538" s="181">
        <v>45541.0</v>
      </c>
      <c r="J538" s="68" t="s">
        <v>134</v>
      </c>
      <c r="K538" s="68">
        <v>2212.03</v>
      </c>
      <c r="L538" s="68" t="s">
        <v>776</v>
      </c>
      <c r="M538" s="68" t="s">
        <v>8</v>
      </c>
      <c r="N538" s="68">
        <v>351630.0</v>
      </c>
      <c r="O538" s="68">
        <v>545.0</v>
      </c>
      <c r="P538" s="68">
        <v>0.0015</v>
      </c>
      <c r="Q538" s="68">
        <v>16991.5</v>
      </c>
      <c r="S538" s="68">
        <v>31.18</v>
      </c>
      <c r="T538" s="68">
        <v>5.0</v>
      </c>
      <c r="U538" s="68">
        <v>105194.91</v>
      </c>
      <c r="V538" s="68">
        <v>0.1615</v>
      </c>
      <c r="W538" s="68">
        <v>6.191</v>
      </c>
    </row>
    <row r="539" ht="15.75" customHeight="1">
      <c r="A539" s="3" t="s">
        <v>63</v>
      </c>
      <c r="B539" s="68" t="s">
        <v>771</v>
      </c>
      <c r="C539" s="68" t="s">
        <v>1012</v>
      </c>
      <c r="D539" s="68" t="s">
        <v>773</v>
      </c>
      <c r="E539" s="68" t="s">
        <v>459</v>
      </c>
      <c r="F539" s="68" t="s">
        <v>774</v>
      </c>
      <c r="G539" s="68" t="s">
        <v>775</v>
      </c>
      <c r="H539" s="181">
        <v>45524.0</v>
      </c>
      <c r="J539" s="68" t="s">
        <v>158</v>
      </c>
      <c r="K539" s="68">
        <v>9536.24</v>
      </c>
      <c r="L539" s="68" t="s">
        <v>776</v>
      </c>
      <c r="M539" s="68" t="s">
        <v>8</v>
      </c>
      <c r="N539" s="68">
        <v>193213.0</v>
      </c>
      <c r="O539" s="68">
        <v>673.0</v>
      </c>
      <c r="P539" s="68">
        <v>0.0035</v>
      </c>
      <c r="Q539" s="68">
        <v>16850.66</v>
      </c>
      <c r="S539" s="68">
        <v>25.04</v>
      </c>
      <c r="T539" s="68">
        <v>14.0</v>
      </c>
      <c r="U539" s="68">
        <v>55477.13</v>
      </c>
      <c r="V539" s="68">
        <v>0.3037</v>
      </c>
      <c r="W539" s="68">
        <v>3.2923</v>
      </c>
    </row>
    <row r="540" ht="15.75" customHeight="1">
      <c r="A540" s="3" t="s">
        <v>63</v>
      </c>
      <c r="B540" s="68" t="s">
        <v>771</v>
      </c>
      <c r="C540" s="68" t="s">
        <v>798</v>
      </c>
      <c r="D540" s="68" t="s">
        <v>773</v>
      </c>
      <c r="E540" s="68" t="s">
        <v>461</v>
      </c>
      <c r="F540" s="68" t="s">
        <v>774</v>
      </c>
      <c r="H540" s="181">
        <v>45260.0</v>
      </c>
      <c r="J540" s="68" t="s">
        <v>128</v>
      </c>
      <c r="K540" s="68">
        <v>19072.47</v>
      </c>
      <c r="L540" s="27">
        <v>0.718754568045607</v>
      </c>
      <c r="M540" s="68" t="s">
        <v>8</v>
      </c>
      <c r="N540" s="68">
        <v>174938.0</v>
      </c>
      <c r="O540" s="68">
        <v>753.0</v>
      </c>
      <c r="P540" s="68">
        <v>0.0043</v>
      </c>
      <c r="Q540" s="68">
        <v>16049.12</v>
      </c>
      <c r="S540" s="68">
        <v>21.31</v>
      </c>
      <c r="T540" s="68">
        <v>19.0</v>
      </c>
      <c r="U540" s="68">
        <v>348138.99</v>
      </c>
      <c r="V540" s="68">
        <v>0.0461</v>
      </c>
      <c r="W540" s="68">
        <v>21.6921</v>
      </c>
    </row>
    <row r="541" ht="15.75" customHeight="1">
      <c r="A541" s="3" t="s">
        <v>63</v>
      </c>
      <c r="B541" s="68" t="s">
        <v>771</v>
      </c>
      <c r="C541" s="68" t="s">
        <v>916</v>
      </c>
      <c r="D541" s="68" t="s">
        <v>773</v>
      </c>
      <c r="E541" s="68" t="s">
        <v>459</v>
      </c>
      <c r="F541" s="68" t="s">
        <v>774</v>
      </c>
      <c r="G541" s="68" t="s">
        <v>783</v>
      </c>
      <c r="H541" s="181">
        <v>45356.0</v>
      </c>
      <c r="J541" s="68" t="s">
        <v>205</v>
      </c>
      <c r="K541" s="68">
        <v>1500.0</v>
      </c>
      <c r="L541" s="68" t="s">
        <v>776</v>
      </c>
      <c r="M541" s="68" t="s">
        <v>8</v>
      </c>
      <c r="N541" s="68">
        <v>147069.0</v>
      </c>
      <c r="O541" s="68">
        <v>168.0</v>
      </c>
      <c r="P541" s="68">
        <v>0.0011</v>
      </c>
      <c r="Q541" s="68">
        <v>16021.39</v>
      </c>
      <c r="S541" s="68">
        <v>95.37</v>
      </c>
      <c r="T541" s="68">
        <v>3.0</v>
      </c>
      <c r="U541" s="68">
        <v>74830.51</v>
      </c>
      <c r="V541" s="68">
        <v>0.2141</v>
      </c>
      <c r="W541" s="68">
        <v>4.6707</v>
      </c>
    </row>
    <row r="542" ht="15.75" customHeight="1">
      <c r="A542" s="3" t="s">
        <v>63</v>
      </c>
      <c r="B542" s="68" t="s">
        <v>771</v>
      </c>
      <c r="C542" s="68" t="s">
        <v>933</v>
      </c>
      <c r="D542" s="68" t="s">
        <v>773</v>
      </c>
      <c r="E542" s="68" t="s">
        <v>459</v>
      </c>
      <c r="F542" s="68" t="s">
        <v>774</v>
      </c>
      <c r="G542" s="68" t="s">
        <v>783</v>
      </c>
      <c r="H542" s="181">
        <v>45365.0</v>
      </c>
      <c r="J542" s="33" t="s">
        <v>230</v>
      </c>
      <c r="K542" s="68">
        <v>1269.88</v>
      </c>
      <c r="L542" s="27">
        <v>0.0933333333333333</v>
      </c>
      <c r="M542" s="68" t="s">
        <v>8</v>
      </c>
      <c r="N542" s="68">
        <v>52847.0</v>
      </c>
      <c r="O542" s="68">
        <v>285.0</v>
      </c>
      <c r="P542" s="68">
        <v>0.0054</v>
      </c>
      <c r="Q542" s="28">
        <v>14910.47</v>
      </c>
      <c r="R542" s="28"/>
      <c r="S542" s="68">
        <v>52.32</v>
      </c>
      <c r="T542" s="68">
        <v>1.0</v>
      </c>
      <c r="U542" s="68">
        <v>1864.41</v>
      </c>
      <c r="V542" s="68">
        <v>7.9974</v>
      </c>
      <c r="W542" s="68">
        <v>0.125</v>
      </c>
    </row>
    <row r="543" ht="15.75" customHeight="1">
      <c r="A543" s="3" t="s">
        <v>63</v>
      </c>
      <c r="B543" s="68" t="s">
        <v>771</v>
      </c>
      <c r="C543" s="68" t="s">
        <v>966</v>
      </c>
      <c r="D543" s="68" t="s">
        <v>773</v>
      </c>
      <c r="E543" s="68" t="s">
        <v>459</v>
      </c>
      <c r="F543" s="68" t="s">
        <v>774</v>
      </c>
      <c r="G543" s="68" t="s">
        <v>783</v>
      </c>
      <c r="H543" s="181">
        <v>45357.0</v>
      </c>
      <c r="J543" s="68" t="s">
        <v>232</v>
      </c>
      <c r="K543" s="68">
        <v>2654.44</v>
      </c>
      <c r="L543" s="68" t="s">
        <v>776</v>
      </c>
      <c r="M543" s="68" t="s">
        <v>8</v>
      </c>
      <c r="N543" s="68">
        <v>168382.0</v>
      </c>
      <c r="O543" s="68">
        <v>292.0</v>
      </c>
      <c r="P543" s="68">
        <v>0.0017</v>
      </c>
      <c r="Q543" s="68">
        <v>14121.71</v>
      </c>
      <c r="S543" s="68">
        <v>48.36</v>
      </c>
      <c r="T543" s="68">
        <v>2.0</v>
      </c>
      <c r="U543" s="68">
        <v>32396.61</v>
      </c>
      <c r="V543" s="68">
        <v>0.4359</v>
      </c>
      <c r="W543" s="68">
        <v>2.2941</v>
      </c>
    </row>
    <row r="544" ht="15.75" customHeight="1">
      <c r="A544" s="3" t="s">
        <v>63</v>
      </c>
      <c r="B544" s="68" t="s">
        <v>771</v>
      </c>
      <c r="C544" s="68" t="s">
        <v>954</v>
      </c>
      <c r="D544" s="68" t="s">
        <v>773</v>
      </c>
      <c r="E544" s="68" t="s">
        <v>459</v>
      </c>
      <c r="F544" s="68" t="s">
        <v>774</v>
      </c>
      <c r="G544" s="68" t="s">
        <v>783</v>
      </c>
      <c r="H544" s="181">
        <v>45457.0</v>
      </c>
      <c r="J544" s="68" t="s">
        <v>134</v>
      </c>
      <c r="K544" s="68">
        <v>1678.93</v>
      </c>
      <c r="L544" s="27">
        <v>0.136208853575482</v>
      </c>
      <c r="M544" s="68" t="s">
        <v>8</v>
      </c>
      <c r="N544" s="68">
        <v>74524.0</v>
      </c>
      <c r="O544" s="68">
        <v>201.0</v>
      </c>
      <c r="P544" s="68">
        <v>0.0027</v>
      </c>
      <c r="Q544" s="68">
        <v>12370.61</v>
      </c>
      <c r="S544" s="68">
        <v>61.55</v>
      </c>
      <c r="T544" s="68">
        <v>2.0</v>
      </c>
      <c r="U544" s="68">
        <v>36355.93</v>
      </c>
      <c r="V544" s="68">
        <v>0.3403</v>
      </c>
      <c r="W544" s="68">
        <v>2.9389</v>
      </c>
    </row>
    <row r="545" ht="15.75" customHeight="1">
      <c r="A545" s="3" t="s">
        <v>63</v>
      </c>
      <c r="B545" s="68" t="s">
        <v>771</v>
      </c>
      <c r="C545" s="68" t="s">
        <v>1025</v>
      </c>
      <c r="D545" s="68" t="s">
        <v>773</v>
      </c>
      <c r="E545" s="68" t="s">
        <v>459</v>
      </c>
      <c r="F545" s="68" t="s">
        <v>774</v>
      </c>
      <c r="G545" s="68" t="s">
        <v>783</v>
      </c>
      <c r="H545" s="181">
        <v>45503.0</v>
      </c>
      <c r="J545" s="68" t="s">
        <v>134</v>
      </c>
      <c r="K545" s="68">
        <v>1500.0</v>
      </c>
      <c r="L545" s="27">
        <v>0.356573116691285</v>
      </c>
      <c r="M545" s="68" t="s">
        <v>8</v>
      </c>
      <c r="N545" s="68">
        <v>79310.0</v>
      </c>
      <c r="O545" s="68">
        <v>210.0</v>
      </c>
      <c r="P545" s="68">
        <v>0.0026</v>
      </c>
      <c r="Q545" s="68">
        <v>12134.56</v>
      </c>
      <c r="S545" s="68">
        <v>57.78</v>
      </c>
      <c r="T545" s="68">
        <v>3.0</v>
      </c>
      <c r="U545" s="68">
        <v>53093.23</v>
      </c>
      <c r="V545" s="68">
        <v>0.2286</v>
      </c>
      <c r="W545" s="68">
        <v>4.3754</v>
      </c>
    </row>
    <row r="546" ht="15.75" customHeight="1">
      <c r="A546" s="3" t="s">
        <v>63</v>
      </c>
      <c r="B546" s="68" t="s">
        <v>779</v>
      </c>
      <c r="C546" s="68" t="s">
        <v>879</v>
      </c>
      <c r="D546" s="68" t="s">
        <v>781</v>
      </c>
      <c r="E546" s="68" t="s">
        <v>462</v>
      </c>
      <c r="F546" s="68" t="s">
        <v>774</v>
      </c>
      <c r="H546" s="181">
        <v>45338.0</v>
      </c>
      <c r="J546" s="68" t="s">
        <v>134</v>
      </c>
      <c r="K546" s="68">
        <v>5000.0</v>
      </c>
      <c r="L546" s="68" t="s">
        <v>776</v>
      </c>
      <c r="M546" s="68" t="s">
        <v>8</v>
      </c>
      <c r="N546" s="68">
        <v>35377.0</v>
      </c>
      <c r="O546" s="68">
        <v>704.0</v>
      </c>
      <c r="P546" s="68">
        <v>0.0199</v>
      </c>
      <c r="Q546" s="68">
        <v>12134.45</v>
      </c>
      <c r="S546" s="68">
        <v>17.24</v>
      </c>
      <c r="T546" s="68">
        <v>0.0</v>
      </c>
      <c r="U546" s="68">
        <v>0.0</v>
      </c>
      <c r="V546" s="68">
        <v>0.0</v>
      </c>
      <c r="W546" s="68">
        <v>0.0</v>
      </c>
    </row>
    <row r="547" ht="15.75" customHeight="1">
      <c r="A547" s="3" t="s">
        <v>63</v>
      </c>
      <c r="B547" s="68" t="s">
        <v>779</v>
      </c>
      <c r="C547" s="68" t="s">
        <v>960</v>
      </c>
      <c r="D547" s="68" t="s">
        <v>781</v>
      </c>
      <c r="E547" s="68" t="s">
        <v>459</v>
      </c>
      <c r="F547" s="68" t="s">
        <v>774</v>
      </c>
      <c r="G547" s="68" t="s">
        <v>783</v>
      </c>
      <c r="H547" s="181">
        <v>45352.0</v>
      </c>
      <c r="J547" s="68" t="s">
        <v>140</v>
      </c>
      <c r="K547" s="68">
        <v>5000.0</v>
      </c>
      <c r="L547" s="27">
        <v>0.17052489205639</v>
      </c>
      <c r="M547" s="68" t="s">
        <v>8</v>
      </c>
      <c r="N547" s="68">
        <v>11482.0</v>
      </c>
      <c r="O547" s="68">
        <v>118.0</v>
      </c>
      <c r="P547" s="68">
        <v>0.0103</v>
      </c>
      <c r="Q547" s="68">
        <v>11122.84</v>
      </c>
      <c r="S547" s="68">
        <v>94.26</v>
      </c>
      <c r="T547" s="68">
        <v>0.0</v>
      </c>
      <c r="U547" s="68">
        <v>0.0</v>
      </c>
      <c r="V547" s="68">
        <v>0.0</v>
      </c>
      <c r="W547" s="68">
        <v>0.0</v>
      </c>
    </row>
    <row r="548" ht="15.75" customHeight="1">
      <c r="A548" s="3" t="s">
        <v>63</v>
      </c>
      <c r="B548" s="68" t="s">
        <v>771</v>
      </c>
      <c r="C548" s="68" t="s">
        <v>1001</v>
      </c>
      <c r="D548" s="68" t="s">
        <v>773</v>
      </c>
      <c r="E548" s="68" t="s">
        <v>460</v>
      </c>
      <c r="F548" s="68" t="s">
        <v>778</v>
      </c>
      <c r="G548" s="68" t="s">
        <v>775</v>
      </c>
      <c r="H548" s="181">
        <v>45525.0</v>
      </c>
      <c r="J548" s="68" t="s">
        <v>217</v>
      </c>
      <c r="K548" s="68">
        <v>794.7</v>
      </c>
      <c r="L548" s="68" t="s">
        <v>776</v>
      </c>
      <c r="M548" s="68" t="s">
        <v>8</v>
      </c>
      <c r="N548" s="68">
        <v>476140.0</v>
      </c>
      <c r="O548" s="68">
        <v>1823.0</v>
      </c>
      <c r="P548" s="68">
        <v>0.0038</v>
      </c>
      <c r="Q548" s="68">
        <v>10854.11</v>
      </c>
      <c r="S548" s="68">
        <v>5.95</v>
      </c>
      <c r="T548" s="68">
        <v>18.0</v>
      </c>
      <c r="U548" s="68">
        <v>67215.27</v>
      </c>
      <c r="V548" s="68">
        <v>0.1615</v>
      </c>
      <c r="W548" s="68">
        <v>6.1926</v>
      </c>
    </row>
    <row r="549" ht="15.75" customHeight="1">
      <c r="A549" s="3" t="s">
        <v>63</v>
      </c>
      <c r="B549" s="68" t="s">
        <v>771</v>
      </c>
      <c r="C549" s="68" t="s">
        <v>882</v>
      </c>
      <c r="D549" s="68" t="s">
        <v>773</v>
      </c>
      <c r="E549" s="68" t="s">
        <v>462</v>
      </c>
      <c r="F549" s="68" t="s">
        <v>774</v>
      </c>
      <c r="H549" s="181">
        <v>45338.0</v>
      </c>
      <c r="J549" s="68" t="s">
        <v>134</v>
      </c>
      <c r="K549" s="68">
        <v>1500.0</v>
      </c>
      <c r="L549" s="68" t="s">
        <v>776</v>
      </c>
      <c r="M549" s="68" t="s">
        <v>8</v>
      </c>
      <c r="N549" s="68">
        <v>58120.0</v>
      </c>
      <c r="O549" s="68">
        <v>1123.0</v>
      </c>
      <c r="P549" s="68">
        <v>0.0193</v>
      </c>
      <c r="Q549" s="68">
        <v>10734.94</v>
      </c>
      <c r="S549" s="68">
        <v>9.56</v>
      </c>
      <c r="T549" s="68">
        <v>3.0</v>
      </c>
      <c r="U549" s="68">
        <v>70055.08</v>
      </c>
      <c r="V549" s="68">
        <v>0.1532</v>
      </c>
      <c r="W549" s="68">
        <v>6.5259</v>
      </c>
    </row>
    <row r="550" ht="15.75" customHeight="1">
      <c r="A550" s="3" t="s">
        <v>63</v>
      </c>
      <c r="B550" s="68" t="s">
        <v>771</v>
      </c>
      <c r="C550" s="68" t="s">
        <v>948</v>
      </c>
      <c r="D550" s="68" t="s">
        <v>773</v>
      </c>
      <c r="E550" s="68" t="s">
        <v>460</v>
      </c>
      <c r="F550" s="68" t="s">
        <v>778</v>
      </c>
      <c r="G550" s="68" t="s">
        <v>775</v>
      </c>
      <c r="H550" s="181">
        <v>45415.0</v>
      </c>
      <c r="J550" s="68" t="s">
        <v>232</v>
      </c>
      <c r="K550" s="68">
        <v>1480.82</v>
      </c>
      <c r="L550" s="68" t="s">
        <v>776</v>
      </c>
      <c r="M550" s="68" t="s">
        <v>8</v>
      </c>
      <c r="N550" s="68">
        <v>354249.0</v>
      </c>
      <c r="O550" s="68">
        <v>569.0</v>
      </c>
      <c r="P550" s="68">
        <v>0.0016</v>
      </c>
      <c r="Q550" s="68">
        <v>10159.16</v>
      </c>
      <c r="S550" s="68">
        <v>17.85</v>
      </c>
      <c r="T550" s="68">
        <v>5.0</v>
      </c>
      <c r="U550" s="68">
        <v>61325.43</v>
      </c>
      <c r="V550" s="68">
        <v>0.1657</v>
      </c>
      <c r="W550" s="68">
        <v>6.0365</v>
      </c>
    </row>
    <row r="551" ht="15.75" customHeight="1">
      <c r="A551" s="3" t="s">
        <v>63</v>
      </c>
      <c r="B551" s="68" t="s">
        <v>771</v>
      </c>
      <c r="C551" s="68" t="s">
        <v>889</v>
      </c>
      <c r="D551" s="68" t="s">
        <v>773</v>
      </c>
      <c r="E551" s="68" t="s">
        <v>463</v>
      </c>
      <c r="F551" s="68" t="s">
        <v>774</v>
      </c>
      <c r="H551" s="181">
        <v>45342.0</v>
      </c>
      <c r="J551" s="68" t="s">
        <v>134</v>
      </c>
      <c r="K551" s="68">
        <v>1327.22</v>
      </c>
      <c r="M551" s="68" t="s">
        <v>8</v>
      </c>
      <c r="N551" s="68">
        <v>115606.0</v>
      </c>
      <c r="O551" s="68">
        <v>231.0</v>
      </c>
      <c r="P551" s="68">
        <v>0.002</v>
      </c>
      <c r="Q551" s="68">
        <v>9944.81</v>
      </c>
      <c r="S551" s="68">
        <v>43.05</v>
      </c>
      <c r="T551" s="68">
        <v>3.0</v>
      </c>
      <c r="U551" s="68">
        <v>63328.82</v>
      </c>
      <c r="V551" s="68">
        <v>0.157</v>
      </c>
      <c r="W551" s="68">
        <v>6.368</v>
      </c>
    </row>
    <row r="552" ht="15.75" customHeight="1">
      <c r="A552" s="3" t="s">
        <v>63</v>
      </c>
      <c r="B552" s="68" t="s">
        <v>771</v>
      </c>
      <c r="C552" s="68" t="s">
        <v>1027</v>
      </c>
      <c r="D552" s="68" t="s">
        <v>773</v>
      </c>
      <c r="E552" s="68" t="s">
        <v>459</v>
      </c>
      <c r="F552" s="68" t="s">
        <v>774</v>
      </c>
      <c r="G552" s="68" t="s">
        <v>775</v>
      </c>
      <c r="H552" s="181">
        <v>45538.0</v>
      </c>
      <c r="J552" s="68" t="s">
        <v>176</v>
      </c>
      <c r="K552" s="68">
        <v>554.93</v>
      </c>
      <c r="L552" s="27">
        <v>0.236275695284159</v>
      </c>
      <c r="M552" s="68" t="s">
        <v>8</v>
      </c>
      <c r="N552" s="68">
        <v>48603.0</v>
      </c>
      <c r="O552" s="68">
        <v>270.0</v>
      </c>
      <c r="P552" s="68">
        <v>0.0056</v>
      </c>
      <c r="Q552" s="68">
        <v>9830.1</v>
      </c>
      <c r="S552" s="68">
        <v>36.41</v>
      </c>
      <c r="T552" s="68">
        <v>7.0</v>
      </c>
      <c r="U552" s="68">
        <v>205919.5</v>
      </c>
      <c r="V552" s="68">
        <v>0.0477</v>
      </c>
      <c r="W552" s="68">
        <v>20.9479</v>
      </c>
    </row>
    <row r="553" ht="15.75" customHeight="1">
      <c r="A553" s="3" t="s">
        <v>63</v>
      </c>
      <c r="B553" s="68" t="s">
        <v>771</v>
      </c>
      <c r="C553" s="68" t="s">
        <v>994</v>
      </c>
      <c r="D553" s="68" t="s">
        <v>773</v>
      </c>
      <c r="E553" s="68" t="s">
        <v>463</v>
      </c>
      <c r="F553" s="68" t="s">
        <v>774</v>
      </c>
      <c r="H553" s="181">
        <v>45505.0</v>
      </c>
      <c r="J553" s="68" t="s">
        <v>239</v>
      </c>
      <c r="K553" s="68">
        <v>5085.99</v>
      </c>
      <c r="M553" s="68" t="s">
        <v>8</v>
      </c>
      <c r="N553" s="68">
        <v>746702.0</v>
      </c>
      <c r="O553" s="68">
        <v>1199.0</v>
      </c>
      <c r="P553" s="68">
        <v>0.0016</v>
      </c>
      <c r="Q553" s="68">
        <v>9322.0</v>
      </c>
      <c r="S553" s="68">
        <v>7.77</v>
      </c>
      <c r="T553" s="68">
        <v>0.0</v>
      </c>
      <c r="U553" s="68">
        <v>0.0</v>
      </c>
      <c r="V553" s="68">
        <v>0.0</v>
      </c>
      <c r="W553" s="68">
        <v>0.0</v>
      </c>
    </row>
    <row r="554" ht="15.75" customHeight="1">
      <c r="A554" s="3" t="s">
        <v>63</v>
      </c>
      <c r="B554" s="68" t="s">
        <v>771</v>
      </c>
      <c r="C554" s="68" t="s">
        <v>1018</v>
      </c>
      <c r="D554" s="68" t="s">
        <v>773</v>
      </c>
      <c r="E554" s="68" t="s">
        <v>459</v>
      </c>
      <c r="F554" s="68" t="s">
        <v>774</v>
      </c>
      <c r="G554" s="68" t="s">
        <v>775</v>
      </c>
      <c r="H554" s="181">
        <v>45510.0</v>
      </c>
      <c r="J554" s="68" t="s">
        <v>182</v>
      </c>
      <c r="K554" s="68">
        <v>790.0</v>
      </c>
      <c r="L554" s="27">
        <v>0.0777395344105529</v>
      </c>
      <c r="M554" s="68" t="s">
        <v>8</v>
      </c>
      <c r="N554" s="68">
        <v>83164.0</v>
      </c>
      <c r="O554" s="68">
        <v>236.0</v>
      </c>
      <c r="P554" s="68">
        <v>0.0028</v>
      </c>
      <c r="Q554" s="68">
        <v>9140.42</v>
      </c>
      <c r="S554" s="68">
        <v>38.73</v>
      </c>
      <c r="T554" s="68">
        <v>1.0</v>
      </c>
      <c r="U554" s="68">
        <v>26567.8</v>
      </c>
      <c r="V554" s="68">
        <v>0.344</v>
      </c>
      <c r="W554" s="68">
        <v>2.9066</v>
      </c>
    </row>
    <row r="555" ht="15.75" customHeight="1">
      <c r="A555" s="3" t="s">
        <v>63</v>
      </c>
      <c r="B555" s="68" t="s">
        <v>779</v>
      </c>
      <c r="C555" s="68" t="s">
        <v>924</v>
      </c>
      <c r="D555" s="68" t="s">
        <v>781</v>
      </c>
      <c r="E555" s="68" t="s">
        <v>460</v>
      </c>
      <c r="F555" s="68" t="s">
        <v>778</v>
      </c>
      <c r="G555" s="68" t="s">
        <v>775</v>
      </c>
      <c r="H555" s="181">
        <v>45356.0</v>
      </c>
      <c r="J555" s="68" t="s">
        <v>211</v>
      </c>
      <c r="K555" s="68">
        <v>6357.49</v>
      </c>
      <c r="L555" s="68" t="s">
        <v>776</v>
      </c>
      <c r="M555" s="68" t="s">
        <v>8</v>
      </c>
      <c r="N555" s="68">
        <v>263157.0</v>
      </c>
      <c r="O555" s="68">
        <v>1515.0</v>
      </c>
      <c r="P555" s="68">
        <v>0.0058</v>
      </c>
      <c r="Q555" s="68">
        <v>9119.76</v>
      </c>
      <c r="S555" s="68">
        <v>6.02</v>
      </c>
      <c r="T555" s="68">
        <v>32.0</v>
      </c>
      <c r="U555" s="68">
        <v>112755.1</v>
      </c>
      <c r="V555" s="68">
        <v>0.0809</v>
      </c>
      <c r="W555" s="68">
        <v>12.3638</v>
      </c>
    </row>
    <row r="556" ht="15.75" customHeight="1">
      <c r="A556" s="3" t="s">
        <v>63</v>
      </c>
      <c r="B556" s="68" t="s">
        <v>771</v>
      </c>
      <c r="C556" s="68" t="s">
        <v>910</v>
      </c>
      <c r="D556" s="68" t="s">
        <v>773</v>
      </c>
      <c r="E556" s="68" t="s">
        <v>459</v>
      </c>
      <c r="F556" s="68" t="s">
        <v>774</v>
      </c>
      <c r="G556" s="68" t="s">
        <v>783</v>
      </c>
      <c r="H556" s="181">
        <v>45341.0</v>
      </c>
      <c r="J556" s="68" t="s">
        <v>134</v>
      </c>
      <c r="K556" s="68">
        <v>5000.0</v>
      </c>
      <c r="L556" s="27">
        <v>0.0567924199267569</v>
      </c>
      <c r="M556" s="68" t="s">
        <v>8</v>
      </c>
      <c r="N556" s="68">
        <v>18712.0</v>
      </c>
      <c r="O556" s="68">
        <v>82.0</v>
      </c>
      <c r="P556" s="68">
        <v>0.0044</v>
      </c>
      <c r="Q556" s="68">
        <v>8986.73</v>
      </c>
      <c r="S556" s="68">
        <v>109.59</v>
      </c>
      <c r="T556" s="68">
        <v>4.0</v>
      </c>
      <c r="U556" s="68">
        <v>76512.71</v>
      </c>
      <c r="V556" s="68">
        <v>0.1175</v>
      </c>
      <c r="W556" s="68">
        <v>8.514</v>
      </c>
    </row>
    <row r="557" ht="15.75" customHeight="1">
      <c r="A557" s="3" t="s">
        <v>63</v>
      </c>
      <c r="B557" s="68" t="s">
        <v>771</v>
      </c>
      <c r="C557" s="68" t="s">
        <v>964</v>
      </c>
      <c r="D557" s="68" t="s">
        <v>773</v>
      </c>
      <c r="E557" s="68" t="s">
        <v>459</v>
      </c>
      <c r="F557" s="68" t="s">
        <v>774</v>
      </c>
      <c r="G557" s="68" t="s">
        <v>783</v>
      </c>
      <c r="H557" s="181">
        <v>45460.0</v>
      </c>
      <c r="J557" s="68" t="s">
        <v>232</v>
      </c>
      <c r="K557" s="68">
        <v>707.85</v>
      </c>
      <c r="L557" s="68" t="s">
        <v>776</v>
      </c>
      <c r="M557" s="68" t="s">
        <v>8</v>
      </c>
      <c r="N557" s="68">
        <v>21621.0</v>
      </c>
      <c r="O557" s="68">
        <v>137.0</v>
      </c>
      <c r="P557" s="68">
        <v>0.0063</v>
      </c>
      <c r="Q557" s="68">
        <v>8705.65</v>
      </c>
      <c r="S557" s="68">
        <v>63.54</v>
      </c>
      <c r="T557" s="68">
        <v>4.0</v>
      </c>
      <c r="U557" s="68">
        <v>59436.45</v>
      </c>
      <c r="V557" s="68">
        <v>0.1465</v>
      </c>
      <c r="W557" s="68">
        <v>6.8273</v>
      </c>
    </row>
    <row r="558" ht="15.75" customHeight="1">
      <c r="A558" s="3" t="s">
        <v>63</v>
      </c>
      <c r="B558" s="68" t="s">
        <v>771</v>
      </c>
      <c r="C558" s="68" t="s">
        <v>925</v>
      </c>
      <c r="D558" s="68" t="s">
        <v>773</v>
      </c>
      <c r="E558" s="68" t="s">
        <v>459</v>
      </c>
      <c r="F558" s="68" t="s">
        <v>774</v>
      </c>
      <c r="G558" s="68" t="s">
        <v>775</v>
      </c>
      <c r="H558" s="181">
        <v>45352.0</v>
      </c>
      <c r="J558" s="68" t="s">
        <v>182</v>
      </c>
      <c r="K558" s="68">
        <v>338.48</v>
      </c>
      <c r="L558" s="27">
        <v>0.0514408808927267</v>
      </c>
      <c r="M558" s="68" t="s">
        <v>8</v>
      </c>
      <c r="N558" s="68">
        <v>50112.0</v>
      </c>
      <c r="O558" s="68">
        <v>236.0</v>
      </c>
      <c r="P558" s="68">
        <v>0.0047</v>
      </c>
      <c r="Q558" s="68">
        <v>8535.14</v>
      </c>
      <c r="S558" s="68">
        <v>36.17</v>
      </c>
      <c r="T558" s="68">
        <v>3.0</v>
      </c>
      <c r="U558" s="68">
        <v>80076.27</v>
      </c>
      <c r="V558" s="68">
        <v>0.1066</v>
      </c>
      <c r="W558" s="68">
        <v>9.382</v>
      </c>
    </row>
    <row r="559" ht="15.75" customHeight="1">
      <c r="A559" s="3" t="s">
        <v>63</v>
      </c>
      <c r="B559" s="68" t="s">
        <v>771</v>
      </c>
      <c r="C559" s="68" t="s">
        <v>1030</v>
      </c>
      <c r="D559" s="68" t="s">
        <v>773</v>
      </c>
      <c r="E559" s="68" t="s">
        <v>459</v>
      </c>
      <c r="F559" s="68" t="s">
        <v>774</v>
      </c>
      <c r="G559" s="68" t="s">
        <v>775</v>
      </c>
      <c r="H559" s="181">
        <v>45524.0</v>
      </c>
      <c r="J559" s="68" t="s">
        <v>158</v>
      </c>
      <c r="K559" s="68">
        <v>3178.76</v>
      </c>
      <c r="L559" s="27">
        <v>0.0699094856133637</v>
      </c>
      <c r="M559" s="68" t="s">
        <v>8</v>
      </c>
      <c r="N559" s="68">
        <v>83850.0</v>
      </c>
      <c r="O559" s="68">
        <v>387.0</v>
      </c>
      <c r="P559" s="68">
        <v>0.0046</v>
      </c>
      <c r="Q559" s="68">
        <v>7500.6</v>
      </c>
      <c r="S559" s="68">
        <v>19.38</v>
      </c>
      <c r="T559" s="68">
        <v>6.0</v>
      </c>
      <c r="U559" s="68">
        <v>46227.97</v>
      </c>
      <c r="V559" s="68">
        <v>0.1623</v>
      </c>
      <c r="W559" s="68">
        <v>6.1632</v>
      </c>
    </row>
    <row r="560" ht="15.75" customHeight="1">
      <c r="A560" s="3" t="s">
        <v>63</v>
      </c>
      <c r="B560" s="68" t="s">
        <v>771</v>
      </c>
      <c r="C560" s="68" t="s">
        <v>934</v>
      </c>
      <c r="D560" s="68" t="s">
        <v>773</v>
      </c>
      <c r="E560" s="68" t="s">
        <v>459</v>
      </c>
      <c r="F560" s="68" t="s">
        <v>774</v>
      </c>
      <c r="G560" s="68" t="s">
        <v>775</v>
      </c>
      <c r="H560" s="181">
        <v>45392.0</v>
      </c>
      <c r="J560" s="33" t="s">
        <v>230</v>
      </c>
      <c r="K560" s="68">
        <v>1000.0</v>
      </c>
      <c r="L560" s="68" t="s">
        <v>776</v>
      </c>
      <c r="M560" s="68" t="s">
        <v>8</v>
      </c>
      <c r="N560" s="68">
        <v>82933.0</v>
      </c>
      <c r="O560" s="68">
        <v>248.0</v>
      </c>
      <c r="P560" s="68">
        <v>0.003</v>
      </c>
      <c r="Q560" s="28">
        <v>7471.72</v>
      </c>
      <c r="R560" s="28"/>
      <c r="S560" s="68">
        <v>30.13</v>
      </c>
      <c r="T560" s="68">
        <v>0.0</v>
      </c>
      <c r="U560" s="68">
        <v>0.0</v>
      </c>
      <c r="V560" s="68">
        <v>0.0</v>
      </c>
      <c r="W560" s="68">
        <v>0.0</v>
      </c>
    </row>
    <row r="561" ht="15.75" customHeight="1">
      <c r="A561" s="3" t="s">
        <v>63</v>
      </c>
      <c r="B561" s="68" t="s">
        <v>771</v>
      </c>
      <c r="C561" s="68" t="s">
        <v>1031</v>
      </c>
      <c r="D561" s="68" t="s">
        <v>773</v>
      </c>
      <c r="E561" s="68" t="s">
        <v>459</v>
      </c>
      <c r="F561" s="68" t="s">
        <v>774</v>
      </c>
      <c r="G561" s="68" t="s">
        <v>775</v>
      </c>
      <c r="H561" s="181">
        <v>45537.0</v>
      </c>
      <c r="J561" s="68" t="s">
        <v>134</v>
      </c>
      <c r="K561" s="68">
        <v>375.71</v>
      </c>
      <c r="L561" s="27">
        <v>0.197809011988424</v>
      </c>
      <c r="M561" s="68" t="s">
        <v>8</v>
      </c>
      <c r="N561" s="68">
        <v>84247.0</v>
      </c>
      <c r="O561" s="68">
        <v>180.0</v>
      </c>
      <c r="P561" s="68">
        <v>0.0021</v>
      </c>
      <c r="Q561" s="68">
        <v>7075.8</v>
      </c>
      <c r="S561" s="68">
        <v>39.31</v>
      </c>
      <c r="T561" s="68">
        <v>3.0</v>
      </c>
      <c r="U561" s="68">
        <v>59337.3</v>
      </c>
      <c r="V561" s="68">
        <v>0.1192</v>
      </c>
      <c r="W561" s="68">
        <v>8.3859</v>
      </c>
    </row>
    <row r="562" ht="15.75" customHeight="1">
      <c r="A562" s="3" t="s">
        <v>63</v>
      </c>
      <c r="B562" s="68" t="s">
        <v>771</v>
      </c>
      <c r="C562" s="68" t="s">
        <v>892</v>
      </c>
      <c r="D562" s="68" t="s">
        <v>773</v>
      </c>
      <c r="E562" s="68" t="s">
        <v>459</v>
      </c>
      <c r="F562" s="68" t="s">
        <v>774</v>
      </c>
      <c r="G562" s="68" t="s">
        <v>775</v>
      </c>
      <c r="H562" s="181">
        <v>45301.0</v>
      </c>
      <c r="J562" s="68" t="s">
        <v>170</v>
      </c>
      <c r="K562" s="68">
        <v>2225.15</v>
      </c>
      <c r="L562" s="27">
        <v>0.11765356945213</v>
      </c>
      <c r="M562" s="68" t="s">
        <v>8</v>
      </c>
      <c r="N562" s="68">
        <v>46243.0</v>
      </c>
      <c r="O562" s="68">
        <v>213.0</v>
      </c>
      <c r="P562" s="68">
        <v>0.0046</v>
      </c>
      <c r="Q562" s="68">
        <v>6822.82</v>
      </c>
      <c r="S562" s="68">
        <v>32.03</v>
      </c>
      <c r="T562" s="68">
        <v>0.0</v>
      </c>
      <c r="U562" s="68">
        <v>0.0</v>
      </c>
      <c r="V562" s="68">
        <v>0.0</v>
      </c>
      <c r="W562" s="68">
        <v>0.0</v>
      </c>
    </row>
    <row r="563" ht="15.75" customHeight="1">
      <c r="A563" s="3" t="s">
        <v>63</v>
      </c>
      <c r="B563" s="68" t="s">
        <v>771</v>
      </c>
      <c r="C563" s="68" t="s">
        <v>996</v>
      </c>
      <c r="D563" s="68" t="s">
        <v>773</v>
      </c>
      <c r="E563" s="68" t="s">
        <v>463</v>
      </c>
      <c r="F563" s="68" t="s">
        <v>774</v>
      </c>
      <c r="H563" s="181">
        <v>45513.0</v>
      </c>
      <c r="J563" s="68" t="s">
        <v>239</v>
      </c>
      <c r="K563" s="68">
        <v>3814.5</v>
      </c>
      <c r="M563" s="68" t="s">
        <v>8</v>
      </c>
      <c r="N563" s="68">
        <v>16884.0</v>
      </c>
      <c r="O563" s="68">
        <v>89.0</v>
      </c>
      <c r="P563" s="68">
        <v>0.0053</v>
      </c>
      <c r="Q563" s="68">
        <v>6710.22</v>
      </c>
      <c r="S563" s="68">
        <v>75.4</v>
      </c>
      <c r="T563" s="68">
        <v>2.0</v>
      </c>
      <c r="U563" s="68">
        <v>29881.35</v>
      </c>
      <c r="V563" s="68">
        <v>0.2246</v>
      </c>
      <c r="W563" s="68">
        <v>4.4531</v>
      </c>
    </row>
    <row r="564" ht="15.75" customHeight="1">
      <c r="A564" s="3" t="s">
        <v>63</v>
      </c>
      <c r="B564" s="68" t="s">
        <v>779</v>
      </c>
      <c r="C564" s="68" t="s">
        <v>920</v>
      </c>
      <c r="D564" s="68" t="s">
        <v>781</v>
      </c>
      <c r="E564" s="68" t="s">
        <v>459</v>
      </c>
      <c r="F564" s="68" t="s">
        <v>774</v>
      </c>
      <c r="G564" s="68" t="s">
        <v>775</v>
      </c>
      <c r="H564" s="181">
        <v>45362.0</v>
      </c>
      <c r="J564" s="68" t="s">
        <v>205</v>
      </c>
      <c r="K564" s="68">
        <v>2632.5</v>
      </c>
      <c r="L564" s="68" t="s">
        <v>776</v>
      </c>
      <c r="M564" s="68" t="s">
        <v>8</v>
      </c>
      <c r="N564" s="68">
        <v>75577.0</v>
      </c>
      <c r="O564" s="68">
        <v>91.0</v>
      </c>
      <c r="P564" s="68">
        <v>0.0012</v>
      </c>
      <c r="Q564" s="68">
        <v>6704.15</v>
      </c>
      <c r="S564" s="68">
        <v>73.67</v>
      </c>
      <c r="T564" s="68">
        <v>0.0</v>
      </c>
      <c r="U564" s="68">
        <v>0.0</v>
      </c>
      <c r="V564" s="68">
        <v>0.0</v>
      </c>
      <c r="W564" s="68">
        <v>0.0</v>
      </c>
    </row>
    <row r="565" ht="15.75" customHeight="1">
      <c r="A565" s="3" t="s">
        <v>63</v>
      </c>
      <c r="B565" s="68" t="s">
        <v>771</v>
      </c>
      <c r="C565" s="68" t="s">
        <v>951</v>
      </c>
      <c r="D565" s="68" t="s">
        <v>773</v>
      </c>
      <c r="E565" s="68" t="s">
        <v>462</v>
      </c>
      <c r="F565" s="68" t="s">
        <v>774</v>
      </c>
      <c r="H565" s="181">
        <v>45436.0</v>
      </c>
      <c r="J565" s="68" t="s">
        <v>134</v>
      </c>
      <c r="K565" s="68">
        <v>1500.0</v>
      </c>
      <c r="L565" s="68" t="s">
        <v>776</v>
      </c>
      <c r="M565" s="68" t="s">
        <v>8</v>
      </c>
      <c r="N565" s="68">
        <v>140088.0</v>
      </c>
      <c r="O565" s="68">
        <v>3093.0</v>
      </c>
      <c r="P565" s="68">
        <v>0.0221</v>
      </c>
      <c r="Q565" s="68">
        <v>6610.71</v>
      </c>
      <c r="S565" s="68">
        <v>2.14</v>
      </c>
      <c r="T565" s="68">
        <v>1.0</v>
      </c>
      <c r="U565" s="68">
        <v>17877.12</v>
      </c>
      <c r="V565" s="68">
        <v>0.3698</v>
      </c>
      <c r="W565" s="68">
        <v>2.7043</v>
      </c>
    </row>
    <row r="566" ht="15.75" customHeight="1">
      <c r="A566" s="3" t="s">
        <v>63</v>
      </c>
      <c r="B566" s="68" t="s">
        <v>771</v>
      </c>
      <c r="C566" s="68" t="s">
        <v>995</v>
      </c>
      <c r="D566" s="68" t="s">
        <v>773</v>
      </c>
      <c r="E566" s="68" t="s">
        <v>463</v>
      </c>
      <c r="F566" s="68" t="s">
        <v>774</v>
      </c>
      <c r="H566" s="181">
        <v>45505.0</v>
      </c>
      <c r="J566" s="68" t="s">
        <v>239</v>
      </c>
      <c r="K566" s="68">
        <v>3051.59</v>
      </c>
      <c r="M566" s="68" t="s">
        <v>8</v>
      </c>
      <c r="N566" s="68">
        <v>86382.0</v>
      </c>
      <c r="O566" s="68">
        <v>982.0</v>
      </c>
      <c r="P566" s="68">
        <v>0.0114</v>
      </c>
      <c r="Q566" s="68">
        <v>5874.94</v>
      </c>
      <c r="S566" s="68">
        <v>5.98</v>
      </c>
      <c r="T566" s="68">
        <v>7.0</v>
      </c>
      <c r="U566" s="68">
        <v>105603.41</v>
      </c>
      <c r="V566" s="68">
        <v>0.0556</v>
      </c>
      <c r="W566" s="68">
        <v>17.9752</v>
      </c>
    </row>
    <row r="567" ht="15.75" customHeight="1">
      <c r="A567" s="3" t="s">
        <v>63</v>
      </c>
      <c r="B567" s="68" t="s">
        <v>771</v>
      </c>
      <c r="C567" s="68" t="s">
        <v>836</v>
      </c>
      <c r="D567" s="68" t="s">
        <v>773</v>
      </c>
      <c r="E567" s="68" t="s">
        <v>462</v>
      </c>
      <c r="F567" s="68" t="s">
        <v>774</v>
      </c>
      <c r="H567" s="181">
        <v>45304.0</v>
      </c>
      <c r="J567" s="68" t="s">
        <v>158</v>
      </c>
      <c r="K567" s="68">
        <v>4768.14</v>
      </c>
      <c r="L567" s="27">
        <v>0.213173950940107</v>
      </c>
      <c r="M567" s="68" t="s">
        <v>8</v>
      </c>
      <c r="N567" s="68">
        <v>34060.0</v>
      </c>
      <c r="O567" s="68">
        <v>601.0</v>
      </c>
      <c r="P567" s="68">
        <v>0.0176</v>
      </c>
      <c r="Q567" s="68">
        <v>5564.6</v>
      </c>
      <c r="S567" s="68">
        <v>9.26</v>
      </c>
      <c r="T567" s="68">
        <v>9.0</v>
      </c>
      <c r="U567" s="68">
        <v>42684.74</v>
      </c>
      <c r="V567" s="68">
        <v>0.1304</v>
      </c>
      <c r="W567" s="68">
        <v>7.6708</v>
      </c>
    </row>
    <row r="568" ht="15.75" customHeight="1">
      <c r="A568" s="3" t="s">
        <v>63</v>
      </c>
      <c r="B568" s="68" t="s">
        <v>771</v>
      </c>
      <c r="C568" s="68" t="s">
        <v>1011</v>
      </c>
      <c r="D568" s="68" t="s">
        <v>773</v>
      </c>
      <c r="E568" s="68" t="s">
        <v>459</v>
      </c>
      <c r="F568" s="68" t="s">
        <v>774</v>
      </c>
      <c r="G568" s="68" t="s">
        <v>775</v>
      </c>
      <c r="H568" s="181">
        <v>45301.0</v>
      </c>
      <c r="J568" s="68" t="s">
        <v>158</v>
      </c>
      <c r="K568" s="68">
        <v>3178.76</v>
      </c>
      <c r="L568" s="68" t="s">
        <v>776</v>
      </c>
      <c r="M568" s="68" t="s">
        <v>8</v>
      </c>
      <c r="N568" s="68">
        <v>47157.0</v>
      </c>
      <c r="O568" s="68">
        <v>176.0</v>
      </c>
      <c r="P568" s="68">
        <v>0.0037</v>
      </c>
      <c r="Q568" s="68">
        <v>4842.3</v>
      </c>
      <c r="S568" s="68">
        <v>27.51</v>
      </c>
      <c r="T568" s="68">
        <v>2.0</v>
      </c>
      <c r="U568" s="68">
        <v>7372.04</v>
      </c>
      <c r="V568" s="68">
        <v>0.6568</v>
      </c>
      <c r="W568" s="68">
        <v>1.5224</v>
      </c>
    </row>
    <row r="569" ht="15.75" customHeight="1">
      <c r="A569" s="3" t="s">
        <v>63</v>
      </c>
      <c r="B569" s="68" t="s">
        <v>779</v>
      </c>
      <c r="C569" s="68" t="s">
        <v>834</v>
      </c>
      <c r="D569" s="68" t="s">
        <v>781</v>
      </c>
      <c r="E569" s="68" t="s">
        <v>459</v>
      </c>
      <c r="F569" s="68" t="s">
        <v>774</v>
      </c>
      <c r="G569" s="68" t="s">
        <v>775</v>
      </c>
      <c r="H569" s="181">
        <v>45260.0</v>
      </c>
      <c r="J569" s="68" t="s">
        <v>134</v>
      </c>
      <c r="K569" s="68">
        <v>880.0</v>
      </c>
      <c r="L569" s="68" t="s">
        <v>776</v>
      </c>
      <c r="M569" s="68" t="s">
        <v>8</v>
      </c>
      <c r="N569" s="68">
        <v>83310.0</v>
      </c>
      <c r="O569" s="68">
        <v>198.0</v>
      </c>
      <c r="P569" s="68">
        <v>0.0024</v>
      </c>
      <c r="Q569" s="68">
        <v>4792.13</v>
      </c>
      <c r="S569" s="68">
        <v>24.2</v>
      </c>
      <c r="T569" s="68">
        <v>2.0</v>
      </c>
      <c r="U569" s="68">
        <v>38304.24</v>
      </c>
      <c r="V569" s="68">
        <v>0.1251</v>
      </c>
      <c r="W569" s="68">
        <v>7.9932</v>
      </c>
    </row>
    <row r="570" ht="15.75" customHeight="1">
      <c r="A570" s="3" t="s">
        <v>63</v>
      </c>
      <c r="B570" s="68" t="s">
        <v>771</v>
      </c>
      <c r="C570" s="68" t="s">
        <v>1013</v>
      </c>
      <c r="D570" s="68" t="s">
        <v>773</v>
      </c>
      <c r="E570" s="68" t="s">
        <v>459</v>
      </c>
      <c r="F570" s="68" t="s">
        <v>774</v>
      </c>
      <c r="G570" s="68" t="s">
        <v>775</v>
      </c>
      <c r="H570" s="181">
        <v>45301.0</v>
      </c>
      <c r="J570" s="68" t="s">
        <v>158</v>
      </c>
      <c r="K570" s="68">
        <v>12714.98</v>
      </c>
      <c r="L570" s="68" t="s">
        <v>776</v>
      </c>
      <c r="M570" s="68" t="s">
        <v>8</v>
      </c>
      <c r="N570" s="68">
        <v>84967.0</v>
      </c>
      <c r="O570" s="68">
        <v>234.0</v>
      </c>
      <c r="P570" s="68">
        <v>0.0028</v>
      </c>
      <c r="Q570" s="68">
        <v>4625.24</v>
      </c>
      <c r="S570" s="68">
        <v>19.77</v>
      </c>
      <c r="T570" s="68">
        <v>2.0</v>
      </c>
      <c r="U570" s="68">
        <v>10127.12</v>
      </c>
      <c r="V570" s="68">
        <v>0.4567</v>
      </c>
      <c r="W570" s="68">
        <v>2.1895</v>
      </c>
    </row>
    <row r="571" ht="15.75" customHeight="1">
      <c r="A571" s="3" t="s">
        <v>63</v>
      </c>
      <c r="B571" s="68" t="s">
        <v>771</v>
      </c>
      <c r="C571" s="68" t="s">
        <v>935</v>
      </c>
      <c r="D571" s="68" t="s">
        <v>773</v>
      </c>
      <c r="E571" s="68" t="s">
        <v>459</v>
      </c>
      <c r="F571" s="68" t="s">
        <v>774</v>
      </c>
      <c r="G571" s="68" t="s">
        <v>783</v>
      </c>
      <c r="H571" s="181">
        <v>45392.0</v>
      </c>
      <c r="J571" s="68" t="s">
        <v>205</v>
      </c>
      <c r="K571" s="68">
        <v>500.0</v>
      </c>
      <c r="L571" s="27">
        <v>0.0667049039288786</v>
      </c>
      <c r="M571" s="68" t="s">
        <v>8</v>
      </c>
      <c r="N571" s="68">
        <v>63285.0</v>
      </c>
      <c r="O571" s="68">
        <v>86.0</v>
      </c>
      <c r="P571" s="68">
        <v>0.0014</v>
      </c>
      <c r="Q571" s="68">
        <v>4093.77</v>
      </c>
      <c r="S571" s="68">
        <v>47.6</v>
      </c>
      <c r="T571" s="68">
        <v>2.0</v>
      </c>
      <c r="U571" s="68">
        <v>62610.17</v>
      </c>
      <c r="V571" s="68">
        <v>0.0654</v>
      </c>
      <c r="W571" s="68">
        <v>15.294</v>
      </c>
    </row>
    <row r="572" ht="15.75" customHeight="1">
      <c r="A572" s="3" t="s">
        <v>63</v>
      </c>
      <c r="B572" s="68" t="s">
        <v>771</v>
      </c>
      <c r="C572" s="68" t="s">
        <v>971</v>
      </c>
      <c r="D572" s="68" t="s">
        <v>773</v>
      </c>
      <c r="E572" s="68" t="s">
        <v>459</v>
      </c>
      <c r="F572" s="68" t="s">
        <v>774</v>
      </c>
      <c r="G572" s="68" t="s">
        <v>783</v>
      </c>
      <c r="H572" s="181">
        <v>45488.0</v>
      </c>
      <c r="J572" s="68" t="s">
        <v>90</v>
      </c>
      <c r="K572" s="68">
        <v>6000.0</v>
      </c>
      <c r="M572" s="68" t="s">
        <v>8</v>
      </c>
      <c r="N572" s="68">
        <v>43522.0</v>
      </c>
      <c r="O572" s="68">
        <v>44.0</v>
      </c>
      <c r="P572" s="68">
        <v>0.001</v>
      </c>
      <c r="Q572" s="68">
        <v>4072.67</v>
      </c>
      <c r="S572" s="68">
        <v>92.56</v>
      </c>
      <c r="T572" s="68">
        <v>0.0</v>
      </c>
      <c r="U572" s="68">
        <v>0.0</v>
      </c>
      <c r="V572" s="68">
        <v>0.0</v>
      </c>
      <c r="W572" s="68">
        <v>0.0</v>
      </c>
    </row>
    <row r="573" ht="15.75" customHeight="1">
      <c r="A573" s="3" t="s">
        <v>63</v>
      </c>
      <c r="B573" s="68" t="s">
        <v>779</v>
      </c>
      <c r="C573" s="68" t="s">
        <v>1014</v>
      </c>
      <c r="D573" s="68" t="s">
        <v>781</v>
      </c>
      <c r="E573" s="68" t="s">
        <v>459</v>
      </c>
      <c r="F573" s="68" t="s">
        <v>774</v>
      </c>
      <c r="G573" s="68" t="s">
        <v>775</v>
      </c>
      <c r="H573" s="181">
        <v>45510.0</v>
      </c>
      <c r="J573" s="68" t="s">
        <v>182</v>
      </c>
      <c r="K573" s="68">
        <v>666.0</v>
      </c>
      <c r="L573" s="68" t="s">
        <v>776</v>
      </c>
      <c r="M573" s="68" t="s">
        <v>8</v>
      </c>
      <c r="N573" s="68">
        <v>110389.0</v>
      </c>
      <c r="O573" s="68">
        <v>100.0</v>
      </c>
      <c r="P573" s="68">
        <v>9.0E-4</v>
      </c>
      <c r="Q573" s="68">
        <v>3905.39</v>
      </c>
      <c r="S573" s="68">
        <v>39.05</v>
      </c>
      <c r="T573" s="68">
        <v>0.0</v>
      </c>
      <c r="U573" s="68">
        <v>0.0</v>
      </c>
      <c r="V573" s="68">
        <v>0.0</v>
      </c>
      <c r="W573" s="68">
        <v>0.0</v>
      </c>
    </row>
    <row r="574" ht="15.75" customHeight="1">
      <c r="A574" s="3" t="s">
        <v>63</v>
      </c>
      <c r="B574" s="68" t="s">
        <v>779</v>
      </c>
      <c r="C574" s="68" t="s">
        <v>957</v>
      </c>
      <c r="D574" s="68" t="s">
        <v>781</v>
      </c>
      <c r="E574" s="68" t="s">
        <v>459</v>
      </c>
      <c r="F574" s="68" t="s">
        <v>774</v>
      </c>
      <c r="G574" s="68" t="s">
        <v>775</v>
      </c>
      <c r="H574" s="181">
        <v>45260.0</v>
      </c>
      <c r="J574" s="68" t="s">
        <v>140</v>
      </c>
      <c r="K574" s="68">
        <v>250.0</v>
      </c>
      <c r="L574" s="68" t="s">
        <v>776</v>
      </c>
      <c r="M574" s="68" t="s">
        <v>8</v>
      </c>
      <c r="N574" s="68">
        <v>30169.0</v>
      </c>
      <c r="O574" s="68">
        <v>77.0</v>
      </c>
      <c r="P574" s="68">
        <v>0.0026</v>
      </c>
      <c r="Q574" s="68">
        <v>3393.96</v>
      </c>
      <c r="S574" s="68">
        <v>44.08</v>
      </c>
      <c r="T574" s="68">
        <v>0.0</v>
      </c>
      <c r="U574" s="68">
        <v>0.0</v>
      </c>
      <c r="V574" s="68">
        <v>0.0</v>
      </c>
      <c r="W574" s="68">
        <v>0.0</v>
      </c>
    </row>
    <row r="575" ht="15.75" customHeight="1">
      <c r="A575" s="3" t="s">
        <v>63</v>
      </c>
      <c r="B575" s="68" t="s">
        <v>771</v>
      </c>
      <c r="C575" s="68" t="s">
        <v>999</v>
      </c>
      <c r="D575" s="68" t="s">
        <v>773</v>
      </c>
      <c r="E575" s="68" t="s">
        <v>460</v>
      </c>
      <c r="F575" s="68" t="s">
        <v>778</v>
      </c>
      <c r="G575" s="68" t="s">
        <v>775</v>
      </c>
      <c r="H575" s="181">
        <v>45524.0</v>
      </c>
      <c r="J575" s="68" t="s">
        <v>158</v>
      </c>
      <c r="K575" s="68">
        <v>1112.55</v>
      </c>
      <c r="L575" s="68" t="s">
        <v>776</v>
      </c>
      <c r="M575" s="68" t="s">
        <v>8</v>
      </c>
      <c r="N575" s="68">
        <v>494618.0</v>
      </c>
      <c r="O575" s="68">
        <v>357.0</v>
      </c>
      <c r="P575" s="68">
        <v>7.0E-4</v>
      </c>
      <c r="Q575" s="68">
        <v>3390.14</v>
      </c>
      <c r="S575" s="68">
        <v>9.5</v>
      </c>
      <c r="T575" s="68">
        <v>3.0</v>
      </c>
      <c r="U575" s="68">
        <v>4405.94</v>
      </c>
      <c r="V575" s="68">
        <v>0.7694</v>
      </c>
      <c r="W575" s="68">
        <v>1.2996</v>
      </c>
    </row>
    <row r="576" ht="15.75" customHeight="1">
      <c r="A576" s="3" t="s">
        <v>63</v>
      </c>
      <c r="B576" s="68" t="s">
        <v>771</v>
      </c>
      <c r="C576" s="68" t="s">
        <v>921</v>
      </c>
      <c r="D576" s="68" t="s">
        <v>931</v>
      </c>
      <c r="E576" s="68" t="s">
        <v>459</v>
      </c>
      <c r="F576" s="68" t="s">
        <v>774</v>
      </c>
      <c r="G576" s="68" t="s">
        <v>783</v>
      </c>
      <c r="H576" s="181">
        <v>45356.0</v>
      </c>
      <c r="J576" s="68" t="s">
        <v>205</v>
      </c>
      <c r="K576" s="68">
        <v>268.63</v>
      </c>
      <c r="L576" s="27">
        <v>0.134085213032581</v>
      </c>
      <c r="M576" s="68" t="s">
        <v>8</v>
      </c>
      <c r="N576" s="68">
        <v>41391.0</v>
      </c>
      <c r="O576" s="68">
        <v>63.0</v>
      </c>
      <c r="P576" s="68">
        <v>0.0015</v>
      </c>
      <c r="Q576" s="68">
        <v>3383.77</v>
      </c>
      <c r="S576" s="68">
        <v>53.71</v>
      </c>
      <c r="T576" s="68">
        <v>0.0</v>
      </c>
      <c r="U576" s="68">
        <v>0.0</v>
      </c>
      <c r="V576" s="68">
        <v>0.0</v>
      </c>
      <c r="W576" s="68">
        <v>0.0</v>
      </c>
    </row>
    <row r="577" ht="15.75" customHeight="1">
      <c r="A577" s="3" t="s">
        <v>63</v>
      </c>
      <c r="B577" s="68" t="s">
        <v>771</v>
      </c>
      <c r="C577" s="68" t="s">
        <v>979</v>
      </c>
      <c r="D577" s="68" t="s">
        <v>931</v>
      </c>
      <c r="E577" s="68" t="s">
        <v>459</v>
      </c>
      <c r="F577" s="68" t="s">
        <v>774</v>
      </c>
      <c r="G577" s="68" t="s">
        <v>783</v>
      </c>
      <c r="H577" s="181">
        <v>45493.0</v>
      </c>
      <c r="J577" s="68" t="s">
        <v>90</v>
      </c>
      <c r="K577" s="68">
        <v>800.0</v>
      </c>
      <c r="L577" s="27">
        <v>0.462783171521035</v>
      </c>
      <c r="M577" s="68" t="s">
        <v>8</v>
      </c>
      <c r="N577" s="68">
        <v>2156.0</v>
      </c>
      <c r="O577" s="68">
        <v>30.0</v>
      </c>
      <c r="P577" s="68">
        <v>0.0139</v>
      </c>
      <c r="Q577" s="68">
        <v>3365.93</v>
      </c>
      <c r="S577" s="68">
        <v>112.2</v>
      </c>
      <c r="T577" s="68">
        <v>0.0</v>
      </c>
      <c r="U577" s="68">
        <v>0.0</v>
      </c>
      <c r="V577" s="68">
        <v>0.0</v>
      </c>
      <c r="W577" s="68">
        <v>0.0</v>
      </c>
    </row>
    <row r="578" ht="15.75" customHeight="1">
      <c r="A578" s="3" t="s">
        <v>63</v>
      </c>
      <c r="B578" s="68" t="s">
        <v>771</v>
      </c>
      <c r="C578" s="68" t="s">
        <v>959</v>
      </c>
      <c r="D578" s="68" t="s">
        <v>773</v>
      </c>
      <c r="E578" s="68" t="s">
        <v>459</v>
      </c>
      <c r="F578" s="68" t="s">
        <v>774</v>
      </c>
      <c r="G578" s="68" t="s">
        <v>775</v>
      </c>
      <c r="H578" s="181">
        <v>45352.0</v>
      </c>
      <c r="J578" s="68" t="s">
        <v>140</v>
      </c>
      <c r="K578" s="68">
        <v>442.41</v>
      </c>
      <c r="L578" s="27">
        <v>0.116388308977035</v>
      </c>
      <c r="M578" s="68" t="s">
        <v>8</v>
      </c>
      <c r="N578" s="68">
        <v>23151.0</v>
      </c>
      <c r="O578" s="68">
        <v>53.0</v>
      </c>
      <c r="P578" s="68">
        <v>0.0023</v>
      </c>
      <c r="Q578" s="68">
        <v>3069.1</v>
      </c>
      <c r="S578" s="68">
        <v>57.91</v>
      </c>
      <c r="T578" s="68">
        <v>2.0</v>
      </c>
      <c r="U578" s="68">
        <v>6101.69</v>
      </c>
      <c r="V578" s="68">
        <v>0.503</v>
      </c>
      <c r="W578" s="68">
        <v>1.9881</v>
      </c>
    </row>
    <row r="579" ht="15.75" customHeight="1">
      <c r="A579" s="3" t="s">
        <v>63</v>
      </c>
      <c r="B579" s="68" t="s">
        <v>779</v>
      </c>
      <c r="C579" s="68" t="s">
        <v>891</v>
      </c>
      <c r="D579" s="68" t="s">
        <v>781</v>
      </c>
      <c r="E579" s="68" t="s">
        <v>463</v>
      </c>
      <c r="F579" s="68" t="s">
        <v>774</v>
      </c>
      <c r="H579" s="181">
        <v>45338.0</v>
      </c>
      <c r="J579" s="68" t="s">
        <v>134</v>
      </c>
      <c r="K579" s="68">
        <v>1000.0</v>
      </c>
      <c r="M579" s="68" t="s">
        <v>8</v>
      </c>
      <c r="N579" s="68">
        <v>31055.0</v>
      </c>
      <c r="O579" s="68">
        <v>201.0</v>
      </c>
      <c r="P579" s="68">
        <v>0.0065</v>
      </c>
      <c r="Q579" s="68">
        <v>3026.32</v>
      </c>
      <c r="S579" s="68">
        <v>15.06</v>
      </c>
      <c r="T579" s="68">
        <v>0.0</v>
      </c>
      <c r="U579" s="68">
        <v>0.0</v>
      </c>
      <c r="V579" s="68">
        <v>0.0</v>
      </c>
      <c r="W579" s="68">
        <v>0.0</v>
      </c>
    </row>
    <row r="580" ht="15.75" customHeight="1">
      <c r="A580" s="3" t="s">
        <v>63</v>
      </c>
      <c r="B580" s="68" t="s">
        <v>771</v>
      </c>
      <c r="C580" s="68" t="s">
        <v>944</v>
      </c>
      <c r="D580" s="68" t="s">
        <v>773</v>
      </c>
      <c r="E580" s="68" t="s">
        <v>459</v>
      </c>
      <c r="F580" s="68" t="s">
        <v>774</v>
      </c>
      <c r="G580" s="68" t="s">
        <v>775</v>
      </c>
      <c r="H580" s="181">
        <v>45427.0</v>
      </c>
      <c r="J580" s="68" t="s">
        <v>90</v>
      </c>
      <c r="K580" s="68">
        <v>91.09</v>
      </c>
      <c r="L580" s="68" t="s">
        <v>776</v>
      </c>
      <c r="M580" s="68" t="s">
        <v>8</v>
      </c>
      <c r="N580" s="68">
        <v>149433.0</v>
      </c>
      <c r="O580" s="68">
        <v>156.0</v>
      </c>
      <c r="P580" s="68">
        <v>0.001</v>
      </c>
      <c r="Q580" s="68">
        <v>2906.9</v>
      </c>
      <c r="S580" s="68">
        <v>18.63</v>
      </c>
      <c r="T580" s="68">
        <v>2.0</v>
      </c>
      <c r="U580" s="68">
        <v>67389.83</v>
      </c>
      <c r="V580" s="68">
        <v>0.0431</v>
      </c>
      <c r="W580" s="68">
        <v>23.1827</v>
      </c>
    </row>
    <row r="581" ht="15.75" customHeight="1">
      <c r="A581" s="3" t="s">
        <v>63</v>
      </c>
      <c r="B581" s="68" t="s">
        <v>771</v>
      </c>
      <c r="C581" s="68" t="s">
        <v>896</v>
      </c>
      <c r="D581" s="68" t="s">
        <v>773</v>
      </c>
      <c r="E581" s="68" t="s">
        <v>459</v>
      </c>
      <c r="F581" s="68" t="s">
        <v>774</v>
      </c>
      <c r="G581" s="68" t="s">
        <v>775</v>
      </c>
      <c r="H581" s="181">
        <v>45309.0</v>
      </c>
      <c r="J581" s="68" t="s">
        <v>874</v>
      </c>
      <c r="K581" s="68">
        <v>92.24</v>
      </c>
      <c r="L581" s="68" t="s">
        <v>776</v>
      </c>
      <c r="M581" s="68" t="s">
        <v>8</v>
      </c>
      <c r="N581" s="68">
        <v>29640.0</v>
      </c>
      <c r="O581" s="68">
        <v>125.0</v>
      </c>
      <c r="P581" s="68">
        <v>0.0042</v>
      </c>
      <c r="Q581" s="68">
        <v>2809.5</v>
      </c>
      <c r="S581" s="68">
        <v>22.48</v>
      </c>
      <c r="T581" s="68">
        <v>0.0</v>
      </c>
      <c r="U581" s="68">
        <v>0.0</v>
      </c>
      <c r="V581" s="68">
        <v>0.0</v>
      </c>
      <c r="W581" s="68">
        <v>0.0</v>
      </c>
    </row>
    <row r="582" ht="15.75" customHeight="1">
      <c r="A582" s="3" t="s">
        <v>63</v>
      </c>
      <c r="B582" s="68" t="s">
        <v>771</v>
      </c>
      <c r="C582" s="68" t="s">
        <v>984</v>
      </c>
      <c r="D582" s="68" t="s">
        <v>773</v>
      </c>
      <c r="E582" s="68" t="s">
        <v>462</v>
      </c>
      <c r="F582" s="68" t="s">
        <v>774</v>
      </c>
      <c r="H582" s="181">
        <v>45505.0</v>
      </c>
      <c r="J582" s="68" t="s">
        <v>140</v>
      </c>
      <c r="K582" s="68">
        <v>5000.0</v>
      </c>
      <c r="L582" s="68" t="s">
        <v>776</v>
      </c>
      <c r="M582" s="68" t="s">
        <v>8</v>
      </c>
      <c r="N582" s="68">
        <v>10274.0</v>
      </c>
      <c r="O582" s="68">
        <v>293.0</v>
      </c>
      <c r="P582" s="68">
        <v>0.0285</v>
      </c>
      <c r="Q582" s="68">
        <v>2638.4</v>
      </c>
      <c r="S582" s="68">
        <v>9.0</v>
      </c>
      <c r="T582" s="68">
        <v>1.0</v>
      </c>
      <c r="U582" s="68">
        <v>27262.71</v>
      </c>
      <c r="V582" s="68">
        <v>0.0968</v>
      </c>
      <c r="W582" s="68">
        <v>10.333</v>
      </c>
    </row>
    <row r="583" ht="15.75" customHeight="1">
      <c r="A583" s="3" t="s">
        <v>63</v>
      </c>
      <c r="B583" s="68" t="s">
        <v>771</v>
      </c>
      <c r="C583" s="68" t="s">
        <v>832</v>
      </c>
      <c r="D583" s="68" t="s">
        <v>773</v>
      </c>
      <c r="E583" s="68" t="s">
        <v>463</v>
      </c>
      <c r="F583" s="68" t="s">
        <v>774</v>
      </c>
      <c r="H583" s="181">
        <v>45280.0</v>
      </c>
      <c r="J583" s="68" t="s">
        <v>134</v>
      </c>
      <c r="K583" s="68">
        <v>112.42</v>
      </c>
      <c r="M583" s="68" t="s">
        <v>8</v>
      </c>
      <c r="N583" s="68">
        <v>99518.0</v>
      </c>
      <c r="O583" s="68">
        <v>262.0</v>
      </c>
      <c r="P583" s="68">
        <v>0.0026</v>
      </c>
      <c r="Q583" s="68">
        <v>2529.57</v>
      </c>
      <c r="S583" s="68">
        <v>9.65</v>
      </c>
      <c r="T583" s="68">
        <v>4.0</v>
      </c>
      <c r="U583" s="68">
        <v>51227.98</v>
      </c>
      <c r="V583" s="68">
        <v>0.0494</v>
      </c>
      <c r="W583" s="68">
        <v>20.2517</v>
      </c>
    </row>
    <row r="584" ht="15.75" customHeight="1">
      <c r="A584" s="3" t="s">
        <v>63</v>
      </c>
      <c r="B584" s="68" t="s">
        <v>771</v>
      </c>
      <c r="C584" s="68" t="s">
        <v>927</v>
      </c>
      <c r="D584" s="68" t="s">
        <v>773</v>
      </c>
      <c r="E584" s="68" t="s">
        <v>463</v>
      </c>
      <c r="F584" s="68" t="s">
        <v>774</v>
      </c>
      <c r="H584" s="181">
        <v>45358.0</v>
      </c>
      <c r="J584" s="68" t="s">
        <v>170</v>
      </c>
      <c r="K584" s="68">
        <v>195.0</v>
      </c>
      <c r="M584" s="68" t="s">
        <v>8</v>
      </c>
      <c r="N584" s="68">
        <v>49413.0</v>
      </c>
      <c r="O584" s="68">
        <v>204.0</v>
      </c>
      <c r="P584" s="68">
        <v>0.0041</v>
      </c>
      <c r="Q584" s="68">
        <v>2488.14</v>
      </c>
      <c r="S584" s="68">
        <v>12.2</v>
      </c>
      <c r="T584" s="68">
        <v>1.0</v>
      </c>
      <c r="U584" s="68">
        <v>5923.72</v>
      </c>
      <c r="V584" s="68">
        <v>0.42</v>
      </c>
      <c r="W584" s="68">
        <v>2.3808</v>
      </c>
    </row>
    <row r="585" ht="15.75" customHeight="1">
      <c r="A585" s="3" t="s">
        <v>63</v>
      </c>
      <c r="B585" s="68" t="s">
        <v>779</v>
      </c>
      <c r="C585" s="68" t="s">
        <v>946</v>
      </c>
      <c r="D585" s="68" t="s">
        <v>781</v>
      </c>
      <c r="E585" s="68" t="s">
        <v>459</v>
      </c>
      <c r="F585" s="68" t="s">
        <v>774</v>
      </c>
      <c r="G585" s="68" t="s">
        <v>775</v>
      </c>
      <c r="H585" s="181">
        <v>45427.0</v>
      </c>
      <c r="J585" s="68" t="s">
        <v>232</v>
      </c>
      <c r="K585" s="68">
        <v>739.68</v>
      </c>
      <c r="L585" s="68" t="s">
        <v>776</v>
      </c>
      <c r="M585" s="68" t="s">
        <v>8</v>
      </c>
      <c r="N585" s="68">
        <v>36716.0</v>
      </c>
      <c r="O585" s="68">
        <v>60.0</v>
      </c>
      <c r="P585" s="68">
        <v>0.0016</v>
      </c>
      <c r="Q585" s="68">
        <v>2359.92</v>
      </c>
      <c r="S585" s="68">
        <v>39.33</v>
      </c>
      <c r="T585" s="68">
        <v>0.0</v>
      </c>
      <c r="U585" s="68">
        <v>0.0</v>
      </c>
      <c r="V585" s="68">
        <v>0.0</v>
      </c>
      <c r="W585" s="68">
        <v>0.0</v>
      </c>
    </row>
    <row r="586" ht="15.75" customHeight="1">
      <c r="A586" s="3" t="s">
        <v>63</v>
      </c>
      <c r="B586" s="68" t="s">
        <v>771</v>
      </c>
      <c r="C586" s="68" t="s">
        <v>1036</v>
      </c>
      <c r="D586" s="68" t="s">
        <v>773</v>
      </c>
      <c r="E586" s="68" t="s">
        <v>459</v>
      </c>
      <c r="F586" s="68" t="s">
        <v>774</v>
      </c>
      <c r="G586" s="68" t="s">
        <v>775</v>
      </c>
      <c r="H586" s="181">
        <v>45538.0</v>
      </c>
      <c r="J586" s="68" t="s">
        <v>248</v>
      </c>
      <c r="K586" s="68">
        <v>800.0</v>
      </c>
      <c r="L586" s="27">
        <v>0.109646079111727</v>
      </c>
      <c r="M586" s="68" t="s">
        <v>8</v>
      </c>
      <c r="N586" s="68">
        <v>11988.0</v>
      </c>
      <c r="O586" s="68">
        <v>143.0</v>
      </c>
      <c r="P586" s="68">
        <v>0.0119</v>
      </c>
      <c r="Q586" s="68">
        <v>2058.01</v>
      </c>
      <c r="S586" s="68">
        <v>14.39</v>
      </c>
      <c r="T586" s="68">
        <v>2.0</v>
      </c>
      <c r="U586" s="68">
        <v>19661.02</v>
      </c>
      <c r="V586" s="68">
        <v>0.1047</v>
      </c>
      <c r="W586" s="68">
        <v>9.5534</v>
      </c>
    </row>
    <row r="587" ht="15.75" customHeight="1">
      <c r="A587" s="3" t="s">
        <v>63</v>
      </c>
      <c r="B587" s="68" t="s">
        <v>771</v>
      </c>
      <c r="C587" s="68" t="s">
        <v>902</v>
      </c>
      <c r="D587" s="68" t="s">
        <v>773</v>
      </c>
      <c r="E587" s="68" t="s">
        <v>459</v>
      </c>
      <c r="F587" s="68" t="s">
        <v>774</v>
      </c>
      <c r="G587" s="68" t="s">
        <v>775</v>
      </c>
      <c r="H587" s="181">
        <v>45301.0</v>
      </c>
      <c r="J587" s="68" t="s">
        <v>134</v>
      </c>
      <c r="K587" s="68">
        <v>54.88</v>
      </c>
      <c r="L587" s="27">
        <v>0.177221926556679</v>
      </c>
      <c r="M587" s="68" t="s">
        <v>8</v>
      </c>
      <c r="N587" s="68">
        <v>16635.0</v>
      </c>
      <c r="O587" s="68">
        <v>44.0</v>
      </c>
      <c r="P587" s="68">
        <v>0.0026</v>
      </c>
      <c r="Q587" s="68">
        <v>2049.5</v>
      </c>
      <c r="S587" s="68">
        <v>46.58</v>
      </c>
      <c r="T587" s="68">
        <v>0.0</v>
      </c>
      <c r="U587" s="68">
        <v>0.0</v>
      </c>
      <c r="V587" s="68">
        <v>0.0</v>
      </c>
      <c r="W587" s="68">
        <v>0.0</v>
      </c>
    </row>
    <row r="588" ht="15.75" customHeight="1">
      <c r="A588" s="3" t="s">
        <v>63</v>
      </c>
      <c r="B588" s="68" t="s">
        <v>771</v>
      </c>
      <c r="C588" s="68" t="s">
        <v>987</v>
      </c>
      <c r="D588" s="68" t="s">
        <v>773</v>
      </c>
      <c r="E588" s="68" t="s">
        <v>462</v>
      </c>
      <c r="F588" s="68" t="s">
        <v>774</v>
      </c>
      <c r="H588" s="181">
        <v>45505.0</v>
      </c>
      <c r="J588" s="68" t="s">
        <v>134</v>
      </c>
      <c r="K588" s="68">
        <v>442.41</v>
      </c>
      <c r="L588" s="27">
        <v>0.0807600950118764</v>
      </c>
      <c r="M588" s="68" t="s">
        <v>8</v>
      </c>
      <c r="N588" s="68">
        <v>3129.0</v>
      </c>
      <c r="O588" s="68">
        <v>76.0</v>
      </c>
      <c r="P588" s="68">
        <v>0.0243</v>
      </c>
      <c r="Q588" s="68">
        <v>2032.72</v>
      </c>
      <c r="S588" s="68">
        <v>26.75</v>
      </c>
      <c r="T588" s="68">
        <v>0.0</v>
      </c>
      <c r="U588" s="68">
        <v>0.0</v>
      </c>
      <c r="V588" s="68">
        <v>0.0</v>
      </c>
      <c r="W588" s="68">
        <v>0.0</v>
      </c>
    </row>
    <row r="589" ht="15.75" customHeight="1">
      <c r="A589" s="3" t="s">
        <v>63</v>
      </c>
      <c r="B589" s="68" t="s">
        <v>779</v>
      </c>
      <c r="C589" s="68" t="s">
        <v>993</v>
      </c>
      <c r="D589" s="68" t="s">
        <v>781</v>
      </c>
      <c r="E589" s="68" t="s">
        <v>463</v>
      </c>
      <c r="F589" s="68" t="s">
        <v>774</v>
      </c>
      <c r="H589" s="181">
        <v>45505.0</v>
      </c>
      <c r="J589" s="68" t="s">
        <v>239</v>
      </c>
      <c r="K589" s="68">
        <v>400.0</v>
      </c>
      <c r="M589" s="68" t="s">
        <v>8</v>
      </c>
      <c r="N589" s="68">
        <v>14979.0</v>
      </c>
      <c r="O589" s="68">
        <v>109.0</v>
      </c>
      <c r="P589" s="68">
        <v>0.0073</v>
      </c>
      <c r="Q589" s="68">
        <v>1937.41</v>
      </c>
      <c r="S589" s="68">
        <v>17.77</v>
      </c>
      <c r="T589" s="68">
        <v>0.0</v>
      </c>
      <c r="U589" s="68">
        <v>0.0</v>
      </c>
      <c r="V589" s="68">
        <v>0.0</v>
      </c>
      <c r="W589" s="68">
        <v>0.0</v>
      </c>
    </row>
    <row r="590" ht="15.75" customHeight="1">
      <c r="A590" s="3" t="s">
        <v>63</v>
      </c>
      <c r="B590" s="68" t="s">
        <v>771</v>
      </c>
      <c r="C590" s="68" t="s">
        <v>1002</v>
      </c>
      <c r="D590" s="68" t="s">
        <v>773</v>
      </c>
      <c r="E590" s="68" t="s">
        <v>459</v>
      </c>
      <c r="F590" s="68" t="s">
        <v>774</v>
      </c>
      <c r="G590" s="68" t="s">
        <v>775</v>
      </c>
      <c r="H590" s="181">
        <v>45534.0</v>
      </c>
      <c r="J590" s="68" t="s">
        <v>217</v>
      </c>
      <c r="K590" s="68">
        <v>500.0</v>
      </c>
      <c r="L590" s="27">
        <v>0.22463768115942</v>
      </c>
      <c r="M590" s="68" t="s">
        <v>8</v>
      </c>
      <c r="N590" s="68">
        <v>31503.0</v>
      </c>
      <c r="O590" s="68">
        <v>229.0</v>
      </c>
      <c r="P590" s="68">
        <v>0.0073</v>
      </c>
      <c r="Q590" s="68">
        <v>1692.09</v>
      </c>
      <c r="S590" s="68">
        <v>7.39</v>
      </c>
      <c r="T590" s="68">
        <v>5.0</v>
      </c>
      <c r="U590" s="68">
        <v>22734.75</v>
      </c>
      <c r="V590" s="68">
        <v>0.0744</v>
      </c>
      <c r="W590" s="68">
        <v>13.4359</v>
      </c>
    </row>
    <row r="591" ht="15.75" customHeight="1">
      <c r="A591" s="3" t="s">
        <v>63</v>
      </c>
      <c r="B591" s="68" t="s">
        <v>771</v>
      </c>
      <c r="C591" s="68" t="s">
        <v>1038</v>
      </c>
      <c r="D591" s="68" t="s">
        <v>773</v>
      </c>
      <c r="E591" s="68" t="s">
        <v>459</v>
      </c>
      <c r="F591" s="68" t="s">
        <v>774</v>
      </c>
      <c r="G591" s="68" t="s">
        <v>775</v>
      </c>
      <c r="H591" s="181">
        <v>45541.0</v>
      </c>
      <c r="J591" s="68" t="s">
        <v>158</v>
      </c>
      <c r="K591" s="68">
        <v>760.73</v>
      </c>
      <c r="L591" s="27">
        <v>0.112233262746375</v>
      </c>
      <c r="M591" s="68" t="s">
        <v>8</v>
      </c>
      <c r="N591" s="68">
        <v>30829.0</v>
      </c>
      <c r="O591" s="68">
        <v>97.0</v>
      </c>
      <c r="P591" s="68">
        <v>0.0031</v>
      </c>
      <c r="Q591" s="68">
        <v>1581.62</v>
      </c>
      <c r="S591" s="68">
        <v>16.31</v>
      </c>
      <c r="T591" s="68">
        <v>1.0</v>
      </c>
      <c r="U591" s="68">
        <v>2541.53</v>
      </c>
      <c r="V591" s="68">
        <v>0.6223</v>
      </c>
      <c r="W591" s="68">
        <v>1.6069</v>
      </c>
    </row>
    <row r="592" ht="15.75" customHeight="1">
      <c r="A592" s="3" t="s">
        <v>63</v>
      </c>
      <c r="B592" s="68" t="s">
        <v>779</v>
      </c>
      <c r="C592" s="68" t="s">
        <v>949</v>
      </c>
      <c r="D592" s="68" t="s">
        <v>781</v>
      </c>
      <c r="E592" s="68" t="s">
        <v>463</v>
      </c>
      <c r="F592" s="68" t="s">
        <v>774</v>
      </c>
      <c r="H592" s="181">
        <v>45401.0</v>
      </c>
      <c r="J592" s="68" t="s">
        <v>134</v>
      </c>
      <c r="K592" s="68">
        <v>500.0</v>
      </c>
      <c r="M592" s="68" t="s">
        <v>8</v>
      </c>
      <c r="N592" s="68">
        <v>20175.0</v>
      </c>
      <c r="O592" s="68">
        <v>110.0</v>
      </c>
      <c r="P592" s="68">
        <v>0.0055</v>
      </c>
      <c r="Q592" s="68">
        <v>1551.28</v>
      </c>
      <c r="S592" s="68">
        <v>14.1</v>
      </c>
      <c r="T592" s="68">
        <v>0.0</v>
      </c>
      <c r="U592" s="68">
        <v>0.0</v>
      </c>
      <c r="V592" s="68">
        <v>0.0</v>
      </c>
      <c r="W592" s="68">
        <v>0.0</v>
      </c>
    </row>
    <row r="593" ht="15.75" customHeight="1">
      <c r="A593" s="3" t="s">
        <v>63</v>
      </c>
      <c r="B593" s="68" t="s">
        <v>779</v>
      </c>
      <c r="C593" s="68" t="s">
        <v>967</v>
      </c>
      <c r="D593" s="68" t="s">
        <v>781</v>
      </c>
      <c r="E593" s="68" t="s">
        <v>459</v>
      </c>
      <c r="F593" s="68" t="s">
        <v>774</v>
      </c>
      <c r="G593" s="68" t="s">
        <v>775</v>
      </c>
      <c r="H593" s="181">
        <v>45446.0</v>
      </c>
      <c r="J593" s="68" t="s">
        <v>90</v>
      </c>
      <c r="K593" s="68">
        <v>181.44</v>
      </c>
      <c r="L593" s="68" t="s">
        <v>776</v>
      </c>
      <c r="M593" s="68" t="s">
        <v>8</v>
      </c>
      <c r="N593" s="68">
        <v>19319.0</v>
      </c>
      <c r="O593" s="68">
        <v>42.0</v>
      </c>
      <c r="P593" s="68">
        <v>0.0022</v>
      </c>
      <c r="Q593" s="68">
        <v>1252.33</v>
      </c>
      <c r="S593" s="68">
        <v>29.82</v>
      </c>
      <c r="T593" s="68">
        <v>0.0</v>
      </c>
      <c r="U593" s="68">
        <v>0.0</v>
      </c>
      <c r="V593" s="68">
        <v>0.0</v>
      </c>
      <c r="W593" s="68">
        <v>0.0</v>
      </c>
    </row>
    <row r="594" ht="15.75" customHeight="1">
      <c r="A594" s="3" t="s">
        <v>63</v>
      </c>
      <c r="B594" s="68" t="s">
        <v>779</v>
      </c>
      <c r="C594" s="68" t="s">
        <v>1010</v>
      </c>
      <c r="D594" s="68" t="s">
        <v>781</v>
      </c>
      <c r="E594" s="68" t="s">
        <v>459</v>
      </c>
      <c r="F594" s="68" t="s">
        <v>774</v>
      </c>
      <c r="G594" s="68" t="s">
        <v>775</v>
      </c>
      <c r="H594" s="181">
        <v>45525.0</v>
      </c>
      <c r="J594" s="68" t="s">
        <v>240</v>
      </c>
      <c r="K594" s="68">
        <v>625.0</v>
      </c>
      <c r="L594" s="27">
        <v>0.116052814454482</v>
      </c>
      <c r="M594" s="68" t="s">
        <v>8</v>
      </c>
      <c r="N594" s="68">
        <v>7183.0</v>
      </c>
      <c r="O594" s="68">
        <v>101.0</v>
      </c>
      <c r="P594" s="68">
        <v>0.0141</v>
      </c>
      <c r="Q594" s="68">
        <v>1080.23</v>
      </c>
      <c r="S594" s="68">
        <v>10.7</v>
      </c>
      <c r="T594" s="68">
        <v>5.0</v>
      </c>
      <c r="U594" s="68">
        <v>13940.7</v>
      </c>
      <c r="V594" s="68">
        <v>0.0775</v>
      </c>
      <c r="W594" s="68">
        <v>12.9053</v>
      </c>
    </row>
    <row r="595" ht="15.75" customHeight="1">
      <c r="A595" s="3" t="s">
        <v>63</v>
      </c>
      <c r="B595" s="68" t="s">
        <v>771</v>
      </c>
      <c r="C595" s="68" t="s">
        <v>899</v>
      </c>
      <c r="D595" s="68" t="s">
        <v>931</v>
      </c>
      <c r="E595" s="68" t="s">
        <v>459</v>
      </c>
      <c r="F595" s="68" t="s">
        <v>774</v>
      </c>
      <c r="G595" s="68" t="s">
        <v>775</v>
      </c>
      <c r="H595" s="181">
        <v>45301.0</v>
      </c>
      <c r="J595" s="68" t="s">
        <v>134</v>
      </c>
      <c r="K595" s="68">
        <v>54.88</v>
      </c>
      <c r="L595" s="27">
        <v>0.260869565217391</v>
      </c>
      <c r="M595" s="68" t="s">
        <v>8</v>
      </c>
      <c r="N595" s="68">
        <v>20052.0</v>
      </c>
      <c r="O595" s="68">
        <v>20.0</v>
      </c>
      <c r="P595" s="68">
        <v>0.001</v>
      </c>
      <c r="Q595" s="68">
        <v>1021.82</v>
      </c>
      <c r="S595" s="68">
        <v>51.09</v>
      </c>
      <c r="T595" s="68">
        <v>0.0</v>
      </c>
      <c r="U595" s="68">
        <v>0.0</v>
      </c>
      <c r="V595" s="68">
        <v>0.0</v>
      </c>
      <c r="W595" s="68">
        <v>0.0</v>
      </c>
    </row>
    <row r="596" ht="15.75" customHeight="1">
      <c r="A596" s="3" t="s">
        <v>63</v>
      </c>
      <c r="B596" s="68" t="s">
        <v>779</v>
      </c>
      <c r="C596" s="68" t="s">
        <v>914</v>
      </c>
      <c r="D596" s="68" t="s">
        <v>781</v>
      </c>
      <c r="E596" s="68" t="s">
        <v>463</v>
      </c>
      <c r="F596" s="68" t="s">
        <v>774</v>
      </c>
      <c r="H596" s="181">
        <v>45355.0</v>
      </c>
      <c r="J596" s="68" t="s">
        <v>90</v>
      </c>
      <c r="K596" s="68">
        <v>250.0</v>
      </c>
      <c r="M596" s="68" t="s">
        <v>8</v>
      </c>
      <c r="N596" s="68">
        <v>32717.0</v>
      </c>
      <c r="O596" s="68">
        <v>94.0</v>
      </c>
      <c r="P596" s="68">
        <v>0.0029</v>
      </c>
      <c r="Q596" s="68">
        <v>1017.88</v>
      </c>
      <c r="S596" s="68">
        <v>10.83</v>
      </c>
      <c r="T596" s="68">
        <v>0.0</v>
      </c>
      <c r="U596" s="68">
        <v>0.0</v>
      </c>
      <c r="V596" s="68">
        <v>0.0</v>
      </c>
      <c r="W596" s="68">
        <v>0.0</v>
      </c>
    </row>
    <row r="597" ht="15.75" customHeight="1">
      <c r="A597" s="3" t="s">
        <v>63</v>
      </c>
      <c r="B597" s="68" t="s">
        <v>771</v>
      </c>
      <c r="C597" s="68" t="s">
        <v>974</v>
      </c>
      <c r="D597" s="68" t="s">
        <v>773</v>
      </c>
      <c r="E597" s="68" t="s">
        <v>459</v>
      </c>
      <c r="F597" s="68" t="s">
        <v>774</v>
      </c>
      <c r="G597" s="68" t="s">
        <v>783</v>
      </c>
      <c r="H597" s="181">
        <v>45483.0</v>
      </c>
      <c r="J597" s="68" t="s">
        <v>128</v>
      </c>
      <c r="K597" s="68">
        <v>1500.0</v>
      </c>
      <c r="L597" s="27">
        <v>0.526315789473684</v>
      </c>
      <c r="M597" s="68" t="s">
        <v>8</v>
      </c>
      <c r="N597" s="68">
        <v>1802.0</v>
      </c>
      <c r="O597" s="68">
        <v>20.0</v>
      </c>
      <c r="P597" s="68">
        <v>0.0111</v>
      </c>
      <c r="Q597" s="68">
        <v>886.7</v>
      </c>
      <c r="S597" s="68">
        <v>44.33</v>
      </c>
      <c r="T597" s="68">
        <v>2.0</v>
      </c>
      <c r="U597" s="68">
        <v>33665.25</v>
      </c>
      <c r="V597" s="68">
        <v>0.0263</v>
      </c>
      <c r="W597" s="68">
        <v>37.9669</v>
      </c>
    </row>
    <row r="598" ht="15.75" customHeight="1">
      <c r="A598" s="3" t="s">
        <v>63</v>
      </c>
      <c r="B598" s="68" t="s">
        <v>771</v>
      </c>
      <c r="C598" s="68" t="s">
        <v>1040</v>
      </c>
      <c r="D598" s="68" t="s">
        <v>773</v>
      </c>
      <c r="E598" s="68" t="s">
        <v>459</v>
      </c>
      <c r="F598" s="68" t="s">
        <v>774</v>
      </c>
      <c r="G598" s="68" t="s">
        <v>775</v>
      </c>
      <c r="H598" s="181">
        <v>45541.0</v>
      </c>
      <c r="J598" s="68" t="s">
        <v>134</v>
      </c>
      <c r="K598" s="68">
        <v>61.62</v>
      </c>
      <c r="L598" s="68" t="s">
        <v>776</v>
      </c>
      <c r="M598" s="68" t="s">
        <v>8</v>
      </c>
      <c r="N598" s="68">
        <v>24251.0</v>
      </c>
      <c r="O598" s="68">
        <v>48.0</v>
      </c>
      <c r="P598" s="68">
        <v>0.002</v>
      </c>
      <c r="Q598" s="68">
        <v>789.08</v>
      </c>
      <c r="S598" s="68">
        <v>16.44</v>
      </c>
      <c r="T598" s="68">
        <v>0.0</v>
      </c>
      <c r="U598" s="68">
        <v>0.0</v>
      </c>
      <c r="V598" s="68">
        <v>0.0</v>
      </c>
      <c r="W598" s="68">
        <v>0.0</v>
      </c>
    </row>
    <row r="599" ht="15.75" customHeight="1">
      <c r="A599" s="3" t="s">
        <v>63</v>
      </c>
      <c r="B599" s="68" t="s">
        <v>771</v>
      </c>
      <c r="C599" s="68" t="s">
        <v>1041</v>
      </c>
      <c r="D599" s="68" t="s">
        <v>773</v>
      </c>
      <c r="E599" s="68" t="s">
        <v>462</v>
      </c>
      <c r="F599" s="68" t="s">
        <v>774</v>
      </c>
      <c r="H599" s="181">
        <v>45541.0</v>
      </c>
      <c r="J599" s="68" t="s">
        <v>239</v>
      </c>
      <c r="K599" s="68">
        <v>1000.0</v>
      </c>
      <c r="L599" s="27">
        <v>0.276910088644997</v>
      </c>
      <c r="M599" s="68" t="s">
        <v>989</v>
      </c>
      <c r="N599" s="68">
        <v>663.0</v>
      </c>
      <c r="O599" s="68">
        <v>11.0</v>
      </c>
      <c r="P599" s="68">
        <v>0.0166</v>
      </c>
      <c r="Q599" s="68">
        <v>549.82</v>
      </c>
      <c r="S599" s="68">
        <v>49.98</v>
      </c>
      <c r="T599" s="68">
        <v>1.0</v>
      </c>
      <c r="U599" s="68">
        <v>21347.46</v>
      </c>
      <c r="V599" s="68">
        <v>0.0258</v>
      </c>
      <c r="W599" s="68">
        <v>38.8263</v>
      </c>
    </row>
    <row r="600" ht="15.75" customHeight="1">
      <c r="A600" s="3" t="s">
        <v>63</v>
      </c>
      <c r="B600" s="68" t="s">
        <v>771</v>
      </c>
      <c r="C600" s="68" t="s">
        <v>988</v>
      </c>
      <c r="D600" s="68" t="s">
        <v>773</v>
      </c>
      <c r="E600" s="68" t="s">
        <v>462</v>
      </c>
      <c r="F600" s="68" t="s">
        <v>774</v>
      </c>
      <c r="H600" s="181">
        <v>45505.0</v>
      </c>
      <c r="J600" s="68" t="s">
        <v>239</v>
      </c>
      <c r="K600" s="68">
        <v>400.0</v>
      </c>
      <c r="L600" s="27">
        <v>0.32565445026178</v>
      </c>
      <c r="M600" s="68" t="s">
        <v>989</v>
      </c>
      <c r="N600" s="68">
        <v>2202.0</v>
      </c>
      <c r="O600" s="68">
        <v>44.0</v>
      </c>
      <c r="P600" s="68">
        <v>0.02</v>
      </c>
      <c r="Q600" s="68">
        <v>485.83</v>
      </c>
      <c r="S600" s="68">
        <v>11.04</v>
      </c>
      <c r="T600" s="68">
        <v>0.0</v>
      </c>
      <c r="U600" s="68">
        <v>0.0</v>
      </c>
      <c r="V600" s="68">
        <v>0.0</v>
      </c>
      <c r="W600" s="68">
        <v>0.0</v>
      </c>
    </row>
    <row r="601" ht="15.75" customHeight="1">
      <c r="A601" s="3" t="s">
        <v>63</v>
      </c>
      <c r="B601" s="68" t="s">
        <v>779</v>
      </c>
      <c r="C601" s="68" t="s">
        <v>998</v>
      </c>
      <c r="D601" s="68" t="s">
        <v>781</v>
      </c>
      <c r="E601" s="68" t="s">
        <v>460</v>
      </c>
      <c r="F601" s="68" t="s">
        <v>778</v>
      </c>
      <c r="G601" s="68" t="s">
        <v>775</v>
      </c>
      <c r="H601" s="181">
        <v>45525.0</v>
      </c>
      <c r="J601" s="68" t="s">
        <v>240</v>
      </c>
      <c r="K601" s="68">
        <v>400.0</v>
      </c>
      <c r="L601" s="68" t="s">
        <v>776</v>
      </c>
      <c r="M601" s="68" t="s">
        <v>8</v>
      </c>
      <c r="N601" s="68">
        <v>15586.0</v>
      </c>
      <c r="O601" s="68">
        <v>74.0</v>
      </c>
      <c r="P601" s="68">
        <v>0.0047</v>
      </c>
      <c r="Q601" s="68">
        <v>409.37</v>
      </c>
      <c r="S601" s="68">
        <v>5.53</v>
      </c>
      <c r="T601" s="68">
        <v>0.0</v>
      </c>
      <c r="U601" s="68">
        <v>0.0</v>
      </c>
      <c r="V601" s="68">
        <v>0.0</v>
      </c>
      <c r="W601" s="68">
        <v>0.0</v>
      </c>
    </row>
    <row r="602" ht="15.75" customHeight="1">
      <c r="A602" s="3" t="s">
        <v>63</v>
      </c>
      <c r="B602" s="68" t="s">
        <v>779</v>
      </c>
      <c r="C602" s="68" t="s">
        <v>953</v>
      </c>
      <c r="D602" s="68" t="s">
        <v>781</v>
      </c>
      <c r="E602" s="68" t="s">
        <v>459</v>
      </c>
      <c r="F602" s="68" t="s">
        <v>774</v>
      </c>
      <c r="G602" s="68" t="s">
        <v>775</v>
      </c>
      <c r="H602" s="181">
        <v>45456.0</v>
      </c>
      <c r="J602" s="68" t="s">
        <v>232</v>
      </c>
      <c r="K602" s="68">
        <v>453.6</v>
      </c>
      <c r="L602" s="68" t="s">
        <v>776</v>
      </c>
      <c r="M602" s="68" t="s">
        <v>8</v>
      </c>
      <c r="N602" s="68">
        <v>18182.0</v>
      </c>
      <c r="O602" s="68">
        <v>29.0</v>
      </c>
      <c r="P602" s="68">
        <v>0.0016</v>
      </c>
      <c r="Q602" s="68">
        <v>407.13</v>
      </c>
      <c r="S602" s="68">
        <v>14.04</v>
      </c>
      <c r="T602" s="68">
        <v>0.0</v>
      </c>
      <c r="U602" s="68">
        <v>0.0</v>
      </c>
      <c r="V602" s="68">
        <v>0.0</v>
      </c>
      <c r="W602" s="68">
        <v>0.0</v>
      </c>
    </row>
    <row r="603" ht="15.75" customHeight="1">
      <c r="A603" s="3" t="s">
        <v>63</v>
      </c>
      <c r="B603" s="68" t="s">
        <v>771</v>
      </c>
      <c r="C603" s="68" t="s">
        <v>986</v>
      </c>
      <c r="D603" s="68" t="s">
        <v>773</v>
      </c>
      <c r="E603" s="68" t="s">
        <v>462</v>
      </c>
      <c r="F603" s="68" t="s">
        <v>774</v>
      </c>
      <c r="H603" s="181">
        <v>45505.0</v>
      </c>
      <c r="J603" s="68" t="s">
        <v>134</v>
      </c>
      <c r="K603" s="68">
        <v>67.08</v>
      </c>
      <c r="L603" s="27">
        <v>0.103341288782816</v>
      </c>
      <c r="M603" s="68" t="s">
        <v>8</v>
      </c>
      <c r="N603" s="68">
        <v>1922.0</v>
      </c>
      <c r="O603" s="68">
        <v>21.0</v>
      </c>
      <c r="P603" s="68">
        <v>0.0109</v>
      </c>
      <c r="Q603" s="68">
        <v>367.44</v>
      </c>
      <c r="S603" s="68">
        <v>17.5</v>
      </c>
      <c r="T603" s="68">
        <v>0.0</v>
      </c>
      <c r="U603" s="68">
        <v>0.0</v>
      </c>
      <c r="V603" s="68">
        <v>0.0</v>
      </c>
      <c r="W603" s="68">
        <v>0.0</v>
      </c>
    </row>
    <row r="604" ht="15.75" customHeight="1">
      <c r="A604" s="3" t="s">
        <v>63</v>
      </c>
      <c r="B604" s="68" t="s">
        <v>771</v>
      </c>
      <c r="C604" s="68" t="s">
        <v>1042</v>
      </c>
      <c r="D604" s="68" t="s">
        <v>773</v>
      </c>
      <c r="E604" s="68" t="s">
        <v>459</v>
      </c>
      <c r="F604" s="68" t="s">
        <v>774</v>
      </c>
      <c r="G604" s="68" t="s">
        <v>775</v>
      </c>
      <c r="H604" s="181">
        <v>45504.0</v>
      </c>
      <c r="J604" s="68" t="s">
        <v>241</v>
      </c>
      <c r="K604" s="68">
        <v>510.0</v>
      </c>
      <c r="L604" s="68" t="s">
        <v>776</v>
      </c>
      <c r="M604" s="68" t="s">
        <v>8</v>
      </c>
      <c r="N604" s="68">
        <v>11784.0</v>
      </c>
      <c r="O604" s="68">
        <v>24.0</v>
      </c>
      <c r="P604" s="68">
        <v>0.002</v>
      </c>
      <c r="Q604" s="68">
        <v>344.52</v>
      </c>
      <c r="S604" s="68">
        <v>14.35</v>
      </c>
      <c r="T604" s="68">
        <v>0.0</v>
      </c>
      <c r="U604" s="68">
        <v>0.0</v>
      </c>
      <c r="V604" s="68">
        <v>0.0</v>
      </c>
      <c r="W604" s="68">
        <v>0.0</v>
      </c>
    </row>
    <row r="605" ht="15.75" customHeight="1">
      <c r="A605" s="3" t="s">
        <v>63</v>
      </c>
      <c r="B605" s="68" t="s">
        <v>779</v>
      </c>
      <c r="C605" s="68" t="s">
        <v>982</v>
      </c>
      <c r="D605" s="68" t="s">
        <v>781</v>
      </c>
      <c r="E605" s="68" t="s">
        <v>459</v>
      </c>
      <c r="F605" s="68" t="s">
        <v>774</v>
      </c>
      <c r="G605" s="68" t="s">
        <v>775</v>
      </c>
      <c r="H605" s="181">
        <v>45504.0</v>
      </c>
      <c r="J605" s="68" t="s">
        <v>211</v>
      </c>
      <c r="K605" s="68">
        <v>264.0</v>
      </c>
      <c r="L605" s="68" t="s">
        <v>776</v>
      </c>
      <c r="M605" s="68" t="s">
        <v>8</v>
      </c>
      <c r="N605" s="68">
        <v>7432.0</v>
      </c>
      <c r="O605" s="68">
        <v>40.0</v>
      </c>
      <c r="P605" s="68">
        <v>0.0054</v>
      </c>
      <c r="Q605" s="68">
        <v>301.99</v>
      </c>
      <c r="S605" s="68">
        <v>7.55</v>
      </c>
      <c r="T605" s="68">
        <v>0.0</v>
      </c>
      <c r="U605" s="68">
        <v>0.0</v>
      </c>
      <c r="V605" s="68">
        <v>0.0</v>
      </c>
      <c r="W605" s="68">
        <v>0.0</v>
      </c>
    </row>
    <row r="606" ht="15.75" customHeight="1">
      <c r="A606" s="3" t="s">
        <v>63</v>
      </c>
      <c r="B606" s="68" t="s">
        <v>771</v>
      </c>
      <c r="C606" s="68" t="s">
        <v>894</v>
      </c>
      <c r="D606" s="68" t="s">
        <v>773</v>
      </c>
      <c r="E606" s="68" t="s">
        <v>459</v>
      </c>
      <c r="F606" s="68" t="s">
        <v>774</v>
      </c>
      <c r="G606" s="68" t="s">
        <v>775</v>
      </c>
      <c r="H606" s="181">
        <v>45301.0</v>
      </c>
      <c r="J606" s="68" t="s">
        <v>90</v>
      </c>
      <c r="K606" s="68">
        <v>51.46</v>
      </c>
      <c r="L606" s="68" t="s">
        <v>776</v>
      </c>
      <c r="M606" s="68" t="s">
        <v>8</v>
      </c>
      <c r="N606" s="68">
        <v>14530.0</v>
      </c>
      <c r="O606" s="68">
        <v>17.0</v>
      </c>
      <c r="P606" s="68">
        <v>0.0012</v>
      </c>
      <c r="Q606" s="68">
        <v>228.87</v>
      </c>
      <c r="S606" s="68">
        <v>13.46</v>
      </c>
      <c r="T606" s="68">
        <v>0.0</v>
      </c>
      <c r="U606" s="68">
        <v>0.0</v>
      </c>
      <c r="V606" s="68">
        <v>0.0</v>
      </c>
      <c r="W606" s="68">
        <v>0.0</v>
      </c>
    </row>
    <row r="607" ht="15.75" customHeight="1">
      <c r="A607" s="3" t="s">
        <v>63</v>
      </c>
      <c r="B607" s="68" t="s">
        <v>779</v>
      </c>
      <c r="C607" s="68" t="s">
        <v>1009</v>
      </c>
      <c r="D607" s="68" t="s">
        <v>781</v>
      </c>
      <c r="E607" s="68" t="s">
        <v>459</v>
      </c>
      <c r="F607" s="68" t="s">
        <v>774</v>
      </c>
      <c r="G607" s="68" t="s">
        <v>775</v>
      </c>
      <c r="H607" s="181">
        <v>45525.0</v>
      </c>
      <c r="J607" s="68" t="s">
        <v>1043</v>
      </c>
      <c r="K607" s="68">
        <v>500.0</v>
      </c>
      <c r="L607" s="27">
        <v>0.0896130346232179</v>
      </c>
      <c r="M607" s="68" t="s">
        <v>8</v>
      </c>
      <c r="N607" s="68">
        <v>947.0</v>
      </c>
      <c r="O607" s="68">
        <v>25.0</v>
      </c>
      <c r="P607" s="68">
        <v>0.0264</v>
      </c>
      <c r="Q607" s="68">
        <v>196.37</v>
      </c>
      <c r="S607" s="68">
        <v>7.85</v>
      </c>
      <c r="T607" s="68">
        <v>1.0</v>
      </c>
      <c r="U607" s="68">
        <v>2788.14</v>
      </c>
      <c r="V607" s="68">
        <v>0.0704</v>
      </c>
      <c r="W607" s="68">
        <v>14.1984</v>
      </c>
    </row>
    <row r="608" ht="15.75" customHeight="1">
      <c r="A608" s="3" t="s">
        <v>63</v>
      </c>
      <c r="B608" s="68" t="s">
        <v>771</v>
      </c>
      <c r="C608" s="68" t="s">
        <v>867</v>
      </c>
      <c r="D608" s="68" t="s">
        <v>773</v>
      </c>
      <c r="E608" s="68" t="s">
        <v>459</v>
      </c>
      <c r="F608" s="68" t="s">
        <v>774</v>
      </c>
      <c r="G608" s="68" t="s">
        <v>775</v>
      </c>
      <c r="H608" s="181">
        <v>45301.0</v>
      </c>
      <c r="J608" s="68" t="s">
        <v>176</v>
      </c>
      <c r="K608" s="68">
        <v>87.89</v>
      </c>
      <c r="L608" s="68" t="s">
        <v>776</v>
      </c>
      <c r="M608" s="68" t="s">
        <v>8</v>
      </c>
      <c r="N608" s="68">
        <v>2764.0</v>
      </c>
      <c r="O608" s="68">
        <v>11.0</v>
      </c>
      <c r="P608" s="68">
        <v>0.004</v>
      </c>
      <c r="Q608" s="68">
        <v>196.3</v>
      </c>
      <c r="S608" s="68">
        <v>17.85</v>
      </c>
      <c r="T608" s="68">
        <v>1.0</v>
      </c>
      <c r="U608" s="68">
        <v>22152.54</v>
      </c>
      <c r="V608" s="68">
        <v>0.0089</v>
      </c>
      <c r="W608" s="68">
        <v>112.8504</v>
      </c>
    </row>
    <row r="609" ht="15.75" customHeight="1">
      <c r="A609" s="3" t="s">
        <v>63</v>
      </c>
      <c r="B609" s="68" t="s">
        <v>771</v>
      </c>
      <c r="C609" s="68" t="s">
        <v>1044</v>
      </c>
      <c r="D609" s="68" t="s">
        <v>773</v>
      </c>
      <c r="E609" s="68" t="s">
        <v>460</v>
      </c>
      <c r="F609" s="68" t="s">
        <v>778</v>
      </c>
      <c r="G609" s="68" t="s">
        <v>775</v>
      </c>
      <c r="H609" s="181">
        <v>45454.0</v>
      </c>
      <c r="J609" s="68" t="s">
        <v>241</v>
      </c>
      <c r="K609" s="68">
        <v>2608.2</v>
      </c>
      <c r="L609" s="68" t="s">
        <v>776</v>
      </c>
      <c r="M609" s="68" t="s">
        <v>8</v>
      </c>
      <c r="N609" s="68">
        <v>30915.0</v>
      </c>
      <c r="O609" s="68">
        <v>28.0</v>
      </c>
      <c r="P609" s="68">
        <v>9.0E-4</v>
      </c>
      <c r="Q609" s="68">
        <v>194.68</v>
      </c>
      <c r="S609" s="68">
        <v>6.95</v>
      </c>
      <c r="T609" s="68">
        <v>0.0</v>
      </c>
      <c r="U609" s="68">
        <v>0.0</v>
      </c>
      <c r="V609" s="68">
        <v>0.0</v>
      </c>
      <c r="W609" s="68">
        <v>0.0</v>
      </c>
    </row>
    <row r="610" ht="15.75" customHeight="1">
      <c r="A610" s="3" t="s">
        <v>63</v>
      </c>
      <c r="B610" s="68" t="s">
        <v>771</v>
      </c>
      <c r="C610" s="68" t="s">
        <v>1045</v>
      </c>
      <c r="D610" s="68" t="s">
        <v>773</v>
      </c>
      <c r="E610" s="68" t="s">
        <v>459</v>
      </c>
      <c r="F610" s="68" t="s">
        <v>774</v>
      </c>
      <c r="G610" s="68" t="s">
        <v>775</v>
      </c>
      <c r="H610" s="181">
        <v>45541.0</v>
      </c>
      <c r="J610" s="68" t="s">
        <v>158</v>
      </c>
      <c r="K610" s="68">
        <v>700.0</v>
      </c>
      <c r="L610" s="27">
        <v>0.0943396226415094</v>
      </c>
      <c r="M610" s="68" t="s">
        <v>8</v>
      </c>
      <c r="N610" s="68">
        <v>4467.0</v>
      </c>
      <c r="O610" s="68">
        <v>5.0</v>
      </c>
      <c r="P610" s="68">
        <v>0.0011</v>
      </c>
      <c r="Q610" s="68">
        <v>154.22</v>
      </c>
      <c r="S610" s="68">
        <v>30.84</v>
      </c>
      <c r="T610" s="68">
        <v>0.0</v>
      </c>
      <c r="U610" s="68">
        <v>0.0</v>
      </c>
      <c r="V610" s="68">
        <v>0.0</v>
      </c>
      <c r="W610" s="68">
        <v>0.0</v>
      </c>
    </row>
    <row r="611" ht="15.75" customHeight="1">
      <c r="A611" s="3" t="s">
        <v>63</v>
      </c>
      <c r="B611" s="68" t="s">
        <v>779</v>
      </c>
      <c r="C611" s="68" t="s">
        <v>990</v>
      </c>
      <c r="D611" s="68" t="s">
        <v>781</v>
      </c>
      <c r="E611" s="68" t="s">
        <v>463</v>
      </c>
      <c r="F611" s="68" t="s">
        <v>774</v>
      </c>
      <c r="H611" s="181">
        <v>45525.0</v>
      </c>
      <c r="J611" s="68" t="s">
        <v>128</v>
      </c>
      <c r="K611" s="68">
        <v>500.0</v>
      </c>
      <c r="M611" s="68" t="s">
        <v>8</v>
      </c>
      <c r="N611" s="68">
        <v>2361.0</v>
      </c>
      <c r="O611" s="68">
        <v>8.0</v>
      </c>
      <c r="P611" s="68">
        <v>0.0034</v>
      </c>
      <c r="Q611" s="68">
        <v>97.24</v>
      </c>
      <c r="S611" s="68">
        <v>12.16</v>
      </c>
      <c r="T611" s="68">
        <v>0.0</v>
      </c>
      <c r="U611" s="68">
        <v>0.0</v>
      </c>
      <c r="V611" s="68">
        <v>0.0</v>
      </c>
      <c r="W611" s="68">
        <v>0.0</v>
      </c>
    </row>
    <row r="612" ht="15.75" customHeight="1">
      <c r="A612" s="3" t="s">
        <v>63</v>
      </c>
      <c r="B612" s="68" t="s">
        <v>779</v>
      </c>
      <c r="C612" s="68" t="s">
        <v>1008</v>
      </c>
      <c r="D612" s="68" t="s">
        <v>781</v>
      </c>
      <c r="E612" s="68" t="s">
        <v>459</v>
      </c>
      <c r="F612" s="68" t="s">
        <v>774</v>
      </c>
      <c r="G612" s="68" t="s">
        <v>775</v>
      </c>
      <c r="H612" s="181">
        <v>45525.0</v>
      </c>
      <c r="J612" s="68" t="s">
        <v>240</v>
      </c>
      <c r="K612" s="68">
        <v>500.0</v>
      </c>
      <c r="L612" s="68" t="s">
        <v>776</v>
      </c>
      <c r="M612" s="68" t="s">
        <v>8</v>
      </c>
      <c r="N612" s="68">
        <v>297.0</v>
      </c>
      <c r="O612" s="68">
        <v>4.0</v>
      </c>
      <c r="P612" s="68">
        <v>0.0135</v>
      </c>
      <c r="Q612" s="68">
        <v>36.91</v>
      </c>
      <c r="S612" s="68">
        <v>9.23</v>
      </c>
      <c r="T612" s="68">
        <v>0.0</v>
      </c>
      <c r="U612" s="68">
        <v>0.0</v>
      </c>
      <c r="V612" s="68">
        <v>0.0</v>
      </c>
      <c r="W612" s="68">
        <v>0.0</v>
      </c>
    </row>
    <row r="613" ht="15.75" customHeight="1">
      <c r="A613" s="3" t="s">
        <v>63</v>
      </c>
      <c r="B613" s="68" t="s">
        <v>771</v>
      </c>
      <c r="C613" s="68" t="s">
        <v>1046</v>
      </c>
      <c r="D613" s="68" t="s">
        <v>773</v>
      </c>
      <c r="E613" s="68" t="s">
        <v>459</v>
      </c>
      <c r="F613" s="68" t="s">
        <v>774</v>
      </c>
      <c r="G613" s="68" t="s">
        <v>775</v>
      </c>
      <c r="H613" s="181">
        <v>45541.0</v>
      </c>
      <c r="J613" s="68" t="s">
        <v>217</v>
      </c>
      <c r="K613" s="68">
        <v>200.0</v>
      </c>
      <c r="L613" s="68" t="s">
        <v>776</v>
      </c>
      <c r="M613" s="68" t="s">
        <v>8</v>
      </c>
      <c r="N613" s="68">
        <v>2035.0</v>
      </c>
      <c r="O613" s="68">
        <v>19.0</v>
      </c>
      <c r="P613" s="68">
        <v>0.0093</v>
      </c>
      <c r="Q613" s="68">
        <v>27.86</v>
      </c>
      <c r="S613" s="68">
        <v>1.47</v>
      </c>
      <c r="T613" s="68">
        <v>0.0</v>
      </c>
      <c r="U613" s="68">
        <v>0.0</v>
      </c>
      <c r="V613" s="68">
        <v>0.0</v>
      </c>
      <c r="W613" s="68">
        <v>0.0</v>
      </c>
    </row>
    <row r="614" ht="15.75" customHeight="1">
      <c r="A614" s="3" t="s">
        <v>63</v>
      </c>
      <c r="B614" s="68" t="s">
        <v>771</v>
      </c>
      <c r="C614" s="68" t="s">
        <v>1047</v>
      </c>
      <c r="D614" s="68" t="s">
        <v>773</v>
      </c>
      <c r="E614" s="68" t="s">
        <v>462</v>
      </c>
      <c r="F614" s="68" t="s">
        <v>774</v>
      </c>
      <c r="H614" s="181">
        <v>45541.0</v>
      </c>
      <c r="J614" s="68" t="s">
        <v>239</v>
      </c>
      <c r="K614" s="68">
        <v>1000.0</v>
      </c>
      <c r="L614" s="27">
        <v>0.208976157082748</v>
      </c>
      <c r="M614" s="68" t="s">
        <v>989</v>
      </c>
      <c r="N614" s="68">
        <v>149.0</v>
      </c>
      <c r="O614" s="68">
        <v>3.0</v>
      </c>
      <c r="P614" s="68">
        <v>0.0201</v>
      </c>
      <c r="Q614" s="68">
        <v>11.95</v>
      </c>
      <c r="S614" s="68">
        <v>3.98</v>
      </c>
      <c r="T614" s="68">
        <v>0.0</v>
      </c>
      <c r="U614" s="68">
        <v>0.0</v>
      </c>
      <c r="V614" s="68">
        <v>0.0</v>
      </c>
      <c r="W614" s="68">
        <v>0.0</v>
      </c>
    </row>
    <row r="615" ht="15.75" customHeight="1">
      <c r="A615" s="3" t="s">
        <v>63</v>
      </c>
      <c r="B615" s="68" t="s">
        <v>771</v>
      </c>
      <c r="C615" s="68" t="s">
        <v>1048</v>
      </c>
      <c r="D615" s="68" t="s">
        <v>773</v>
      </c>
      <c r="E615" s="68" t="s">
        <v>462</v>
      </c>
      <c r="F615" s="68" t="s">
        <v>774</v>
      </c>
      <c r="H615" s="181">
        <v>45541.0</v>
      </c>
      <c r="J615" s="68" t="s">
        <v>239</v>
      </c>
      <c r="K615" s="68">
        <v>1000.0</v>
      </c>
      <c r="L615" s="27">
        <v>0.677419354838709</v>
      </c>
      <c r="M615" s="68" t="s">
        <v>989</v>
      </c>
      <c r="N615" s="68">
        <v>65.0</v>
      </c>
      <c r="O615" s="68">
        <v>2.0</v>
      </c>
      <c r="P615" s="68">
        <v>0.0308</v>
      </c>
      <c r="Q615" s="68">
        <v>7.2</v>
      </c>
      <c r="S615" s="68">
        <v>3.6</v>
      </c>
      <c r="T615" s="68">
        <v>0.0</v>
      </c>
      <c r="U615" s="68">
        <v>0.0</v>
      </c>
      <c r="V615" s="68">
        <v>0.0</v>
      </c>
      <c r="W615" s="68">
        <v>0.0</v>
      </c>
    </row>
    <row r="616" ht="15.75" customHeight="1">
      <c r="A616" s="3" t="s">
        <v>63</v>
      </c>
      <c r="B616" s="68" t="s">
        <v>771</v>
      </c>
      <c r="C616" s="68" t="s">
        <v>1019</v>
      </c>
      <c r="D616" s="68" t="s">
        <v>773</v>
      </c>
      <c r="E616" s="68" t="s">
        <v>459</v>
      </c>
      <c r="F616" s="68" t="s">
        <v>774</v>
      </c>
      <c r="G616" s="68" t="s">
        <v>775</v>
      </c>
      <c r="H616" s="181">
        <v>45510.0</v>
      </c>
      <c r="J616" s="68" t="s">
        <v>182</v>
      </c>
      <c r="K616" s="68">
        <v>77.62</v>
      </c>
      <c r="L616" s="27">
        <v>0.5</v>
      </c>
      <c r="M616" s="68" t="s">
        <v>8</v>
      </c>
      <c r="N616" s="68">
        <v>38.0</v>
      </c>
      <c r="O616" s="68">
        <v>0.0</v>
      </c>
      <c r="P616" s="68">
        <v>0.0</v>
      </c>
      <c r="Q616" s="68">
        <v>0.0</v>
      </c>
      <c r="S616" s="68">
        <v>0.0</v>
      </c>
      <c r="T616" s="68">
        <v>0.0</v>
      </c>
      <c r="U616" s="68">
        <v>0.0</v>
      </c>
      <c r="V616" s="68">
        <v>0.0</v>
      </c>
      <c r="W616" s="68">
        <v>0.0</v>
      </c>
    </row>
    <row r="617" ht="15.75" customHeight="1">
      <c r="A617" s="3" t="s">
        <v>65</v>
      </c>
      <c r="B617" s="68" t="s">
        <v>779</v>
      </c>
      <c r="C617" s="68" t="s">
        <v>1019</v>
      </c>
      <c r="D617" s="68" t="s">
        <v>781</v>
      </c>
      <c r="E617" s="68" t="s">
        <v>459</v>
      </c>
      <c r="F617" s="68" t="s">
        <v>774</v>
      </c>
      <c r="G617" s="68" t="s">
        <v>775</v>
      </c>
      <c r="H617" s="181">
        <v>45510.0</v>
      </c>
      <c r="J617" s="68" t="s">
        <v>182</v>
      </c>
      <c r="K617" s="68">
        <v>77.62</v>
      </c>
      <c r="L617" s="27">
        <v>0.666666666666666</v>
      </c>
      <c r="M617" s="68" t="s">
        <v>8</v>
      </c>
      <c r="N617" s="68">
        <v>13.0</v>
      </c>
      <c r="O617" s="68">
        <v>0.0</v>
      </c>
      <c r="P617" s="68">
        <v>0.0</v>
      </c>
      <c r="Q617" s="68">
        <v>0.0</v>
      </c>
      <c r="S617" s="68">
        <v>0.0</v>
      </c>
      <c r="T617" s="68">
        <v>0.0</v>
      </c>
      <c r="U617" s="68">
        <v>0.0</v>
      </c>
      <c r="V617" s="68">
        <v>0.0</v>
      </c>
      <c r="W617" s="68">
        <v>0.0</v>
      </c>
    </row>
    <row r="618" ht="15.75" customHeight="1">
      <c r="A618" s="3" t="s">
        <v>65</v>
      </c>
      <c r="B618" s="68" t="s">
        <v>779</v>
      </c>
      <c r="C618" s="68" t="s">
        <v>1047</v>
      </c>
      <c r="D618" s="68" t="s">
        <v>781</v>
      </c>
      <c r="E618" s="68" t="s">
        <v>462</v>
      </c>
      <c r="F618" s="68" t="s">
        <v>774</v>
      </c>
      <c r="H618" s="181">
        <v>45541.0</v>
      </c>
      <c r="J618" s="68" t="s">
        <v>239</v>
      </c>
      <c r="K618" s="68">
        <v>1000.0</v>
      </c>
      <c r="L618" s="27">
        <v>0.185741088180112</v>
      </c>
      <c r="M618" s="68" t="s">
        <v>989</v>
      </c>
      <c r="N618" s="68">
        <v>99.0</v>
      </c>
      <c r="O618" s="68">
        <v>1.0</v>
      </c>
      <c r="P618" s="68">
        <v>0.0101</v>
      </c>
      <c r="Q618" s="68">
        <v>7.71</v>
      </c>
      <c r="S618" s="68">
        <v>7.71</v>
      </c>
      <c r="T618" s="68">
        <v>0.0</v>
      </c>
      <c r="U618" s="68">
        <v>0.0</v>
      </c>
      <c r="V618" s="68">
        <v>0.0</v>
      </c>
      <c r="W618" s="68">
        <v>0.0</v>
      </c>
    </row>
    <row r="619" ht="15.75" customHeight="1">
      <c r="A619" s="3" t="s">
        <v>65</v>
      </c>
      <c r="B619" s="68" t="s">
        <v>779</v>
      </c>
      <c r="C619" s="68" t="s">
        <v>1045</v>
      </c>
      <c r="D619" s="68" t="s">
        <v>781</v>
      </c>
      <c r="E619" s="68" t="s">
        <v>459</v>
      </c>
      <c r="F619" s="68" t="s">
        <v>774</v>
      </c>
      <c r="G619" s="68" t="s">
        <v>775</v>
      </c>
      <c r="H619" s="181">
        <v>45541.0</v>
      </c>
      <c r="J619" s="68" t="s">
        <v>158</v>
      </c>
      <c r="K619" s="68">
        <v>700.0</v>
      </c>
      <c r="L619" s="27">
        <v>0.0686274509803921</v>
      </c>
      <c r="M619" s="68" t="s">
        <v>8</v>
      </c>
      <c r="N619" s="68">
        <v>4816.0</v>
      </c>
      <c r="O619" s="68">
        <v>2.0</v>
      </c>
      <c r="P619" s="68">
        <v>4.0E-4</v>
      </c>
      <c r="Q619" s="68">
        <v>48.98</v>
      </c>
      <c r="S619" s="68">
        <v>24.49</v>
      </c>
      <c r="T619" s="68">
        <v>0.0</v>
      </c>
      <c r="U619" s="68">
        <v>0.0</v>
      </c>
      <c r="V619" s="68">
        <v>0.0</v>
      </c>
      <c r="W619" s="68">
        <v>0.0</v>
      </c>
    </row>
    <row r="620" ht="15.75" customHeight="1">
      <c r="A620" s="3" t="s">
        <v>65</v>
      </c>
      <c r="B620" s="68" t="s">
        <v>779</v>
      </c>
      <c r="C620" s="68" t="s">
        <v>1048</v>
      </c>
      <c r="D620" s="68" t="s">
        <v>781</v>
      </c>
      <c r="E620" s="68" t="s">
        <v>462</v>
      </c>
      <c r="F620" s="68" t="s">
        <v>774</v>
      </c>
      <c r="H620" s="181">
        <v>45541.0</v>
      </c>
      <c r="J620" s="68" t="s">
        <v>239</v>
      </c>
      <c r="K620" s="68">
        <v>1000.0</v>
      </c>
      <c r="L620" s="27">
        <v>0.554054054054054</v>
      </c>
      <c r="M620" s="68" t="s">
        <v>989</v>
      </c>
      <c r="N620" s="68">
        <v>123.0</v>
      </c>
      <c r="O620" s="68">
        <v>2.0</v>
      </c>
      <c r="P620" s="68">
        <v>0.0163</v>
      </c>
      <c r="Q620" s="68">
        <v>9.91</v>
      </c>
      <c r="S620" s="68">
        <v>4.95</v>
      </c>
      <c r="T620" s="68">
        <v>0.0</v>
      </c>
      <c r="U620" s="68">
        <v>0.0</v>
      </c>
      <c r="V620" s="68">
        <v>0.0</v>
      </c>
      <c r="W620" s="68">
        <v>0.0</v>
      </c>
    </row>
    <row r="621" ht="15.75" customHeight="1">
      <c r="A621" s="3" t="s">
        <v>65</v>
      </c>
      <c r="B621" s="68" t="s">
        <v>771</v>
      </c>
      <c r="C621" s="68" t="s">
        <v>974</v>
      </c>
      <c r="D621" s="68" t="s">
        <v>773</v>
      </c>
      <c r="E621" s="68" t="s">
        <v>459</v>
      </c>
      <c r="F621" s="68" t="s">
        <v>774</v>
      </c>
      <c r="G621" s="68" t="s">
        <v>783</v>
      </c>
      <c r="H621" s="181">
        <v>45483.0</v>
      </c>
      <c r="J621" s="68" t="s">
        <v>128</v>
      </c>
      <c r="K621" s="68">
        <v>206.98</v>
      </c>
      <c r="L621" s="27">
        <v>0.375</v>
      </c>
      <c r="M621" s="68" t="s">
        <v>8</v>
      </c>
      <c r="N621" s="68">
        <v>777.0</v>
      </c>
      <c r="O621" s="68">
        <v>6.0</v>
      </c>
      <c r="P621" s="68">
        <v>0.0077</v>
      </c>
      <c r="Q621" s="68">
        <v>360.54</v>
      </c>
      <c r="S621" s="68">
        <v>60.09</v>
      </c>
      <c r="T621" s="68">
        <v>1.0</v>
      </c>
      <c r="U621" s="68">
        <v>13135.59</v>
      </c>
      <c r="V621" s="68">
        <v>0.0274</v>
      </c>
      <c r="W621" s="68">
        <v>36.4331</v>
      </c>
    </row>
    <row r="622" ht="15.75" customHeight="1">
      <c r="A622" s="3" t="s">
        <v>65</v>
      </c>
      <c r="B622" s="68" t="s">
        <v>779</v>
      </c>
      <c r="C622" s="68" t="s">
        <v>1049</v>
      </c>
      <c r="D622" s="68" t="s">
        <v>781</v>
      </c>
      <c r="E622" s="68" t="s">
        <v>459</v>
      </c>
      <c r="F622" s="68" t="s">
        <v>774</v>
      </c>
      <c r="G622" s="68" t="s">
        <v>783</v>
      </c>
      <c r="H622" s="181">
        <v>45581.0</v>
      </c>
      <c r="J622" s="68" t="s">
        <v>232</v>
      </c>
      <c r="K622" s="68">
        <v>282.24</v>
      </c>
      <c r="L622" s="27">
        <v>0.0674807197943444</v>
      </c>
      <c r="M622" s="68" t="s">
        <v>8</v>
      </c>
      <c r="N622" s="68">
        <v>493.0</v>
      </c>
      <c r="O622" s="68">
        <v>6.0</v>
      </c>
      <c r="P622" s="68">
        <v>0.0122</v>
      </c>
      <c r="Q622" s="68">
        <v>389.7</v>
      </c>
      <c r="S622" s="68">
        <v>64.95</v>
      </c>
      <c r="T622" s="68">
        <v>0.0</v>
      </c>
      <c r="U622" s="68">
        <v>0.0</v>
      </c>
      <c r="V622" s="68">
        <v>0.0</v>
      </c>
      <c r="W622" s="68">
        <v>0.0</v>
      </c>
    </row>
    <row r="623" ht="15.75" customHeight="1">
      <c r="A623" s="3" t="s">
        <v>65</v>
      </c>
      <c r="B623" s="68" t="s">
        <v>771</v>
      </c>
      <c r="C623" s="68" t="s">
        <v>1050</v>
      </c>
      <c r="D623" s="68" t="s">
        <v>773</v>
      </c>
      <c r="E623" s="68" t="s">
        <v>460</v>
      </c>
      <c r="F623" s="68" t="s">
        <v>778</v>
      </c>
      <c r="G623" s="68" t="s">
        <v>775</v>
      </c>
      <c r="H623" s="181">
        <v>45586.0</v>
      </c>
      <c r="J623" s="68" t="s">
        <v>241</v>
      </c>
      <c r="K623" s="68">
        <v>500.0</v>
      </c>
      <c r="L623" s="68" t="s">
        <v>776</v>
      </c>
      <c r="M623" s="68" t="s">
        <v>8</v>
      </c>
      <c r="N623" s="68">
        <v>2028.0</v>
      </c>
      <c r="O623" s="68">
        <v>6.0</v>
      </c>
      <c r="P623" s="68">
        <v>0.003</v>
      </c>
      <c r="Q623" s="68">
        <v>24.17</v>
      </c>
      <c r="S623" s="68">
        <v>4.03</v>
      </c>
      <c r="T623" s="68">
        <v>0.0</v>
      </c>
      <c r="U623" s="68">
        <v>0.0</v>
      </c>
      <c r="V623" s="68">
        <v>0.0</v>
      </c>
      <c r="W623" s="68">
        <v>0.0</v>
      </c>
    </row>
    <row r="624" ht="15.75" customHeight="1">
      <c r="A624" s="3" t="s">
        <v>65</v>
      </c>
      <c r="B624" s="68" t="s">
        <v>779</v>
      </c>
      <c r="C624" s="68" t="s">
        <v>986</v>
      </c>
      <c r="D624" s="68" t="s">
        <v>781</v>
      </c>
      <c r="E624" s="68" t="s">
        <v>462</v>
      </c>
      <c r="F624" s="68" t="s">
        <v>774</v>
      </c>
      <c r="H624" s="181">
        <v>45505.0</v>
      </c>
      <c r="J624" s="68" t="s">
        <v>134</v>
      </c>
      <c r="K624" s="68">
        <v>67.08</v>
      </c>
      <c r="L624" s="68" t="s">
        <v>776</v>
      </c>
      <c r="M624" s="68" t="s">
        <v>8</v>
      </c>
      <c r="N624" s="68">
        <v>936.0</v>
      </c>
      <c r="O624" s="68">
        <v>9.0</v>
      </c>
      <c r="P624" s="68">
        <v>0.0096</v>
      </c>
      <c r="Q624" s="68">
        <v>136.25</v>
      </c>
      <c r="S624" s="68">
        <v>15.14</v>
      </c>
      <c r="T624" s="68">
        <v>0.0</v>
      </c>
      <c r="U624" s="68">
        <v>0.0</v>
      </c>
      <c r="V624" s="68">
        <v>0.0</v>
      </c>
      <c r="W624" s="68">
        <v>0.0</v>
      </c>
    </row>
    <row r="625" ht="15.75" customHeight="1">
      <c r="A625" s="3" t="s">
        <v>65</v>
      </c>
      <c r="B625" s="68" t="s">
        <v>779</v>
      </c>
      <c r="C625" s="68" t="s">
        <v>921</v>
      </c>
      <c r="D625" s="68" t="s">
        <v>781</v>
      </c>
      <c r="E625" s="68" t="s">
        <v>459</v>
      </c>
      <c r="F625" s="68" t="s">
        <v>774</v>
      </c>
      <c r="G625" s="68" t="s">
        <v>783</v>
      </c>
      <c r="H625" s="181">
        <v>45356.0</v>
      </c>
      <c r="J625" s="68" t="s">
        <v>205</v>
      </c>
      <c r="K625" s="68">
        <v>360.0</v>
      </c>
      <c r="L625" s="27">
        <v>0.165226781857451</v>
      </c>
      <c r="M625" s="68" t="s">
        <v>8</v>
      </c>
      <c r="N625" s="68">
        <v>6725.0</v>
      </c>
      <c r="O625" s="68">
        <v>10.0</v>
      </c>
      <c r="P625" s="68">
        <v>0.0015</v>
      </c>
      <c r="Q625" s="68">
        <v>1661.82</v>
      </c>
      <c r="S625" s="68">
        <v>166.18</v>
      </c>
      <c r="T625" s="68">
        <v>0.0</v>
      </c>
      <c r="U625" s="68">
        <v>0.0</v>
      </c>
      <c r="V625" s="68">
        <v>0.0</v>
      </c>
      <c r="W625" s="68">
        <v>0.0</v>
      </c>
    </row>
    <row r="626" ht="15.75" customHeight="1">
      <c r="A626" s="3" t="s">
        <v>65</v>
      </c>
      <c r="B626" s="68" t="s">
        <v>779</v>
      </c>
      <c r="C626" s="68" t="s">
        <v>902</v>
      </c>
      <c r="D626" s="68" t="s">
        <v>781</v>
      </c>
      <c r="E626" s="68" t="s">
        <v>459</v>
      </c>
      <c r="F626" s="68" t="s">
        <v>774</v>
      </c>
      <c r="G626" s="68" t="s">
        <v>775</v>
      </c>
      <c r="H626" s="181">
        <v>45301.0</v>
      </c>
      <c r="J626" s="68" t="s">
        <v>134</v>
      </c>
      <c r="K626" s="68">
        <v>54.88</v>
      </c>
      <c r="L626" s="27">
        <v>0.146341463414634</v>
      </c>
      <c r="M626" s="68" t="s">
        <v>8</v>
      </c>
      <c r="N626" s="68">
        <v>6577.0</v>
      </c>
      <c r="O626" s="68">
        <v>11.0</v>
      </c>
      <c r="P626" s="68">
        <v>0.0017</v>
      </c>
      <c r="Q626" s="68">
        <v>411.48</v>
      </c>
      <c r="S626" s="68">
        <v>37.41</v>
      </c>
      <c r="T626" s="68">
        <v>0.0</v>
      </c>
      <c r="U626" s="68">
        <v>0.0</v>
      </c>
      <c r="V626" s="68">
        <v>0.0</v>
      </c>
      <c r="W626" s="68">
        <v>0.0</v>
      </c>
    </row>
    <row r="627" ht="15.75" customHeight="1">
      <c r="A627" s="3" t="s">
        <v>65</v>
      </c>
      <c r="B627" s="68" t="s">
        <v>779</v>
      </c>
      <c r="C627" s="68" t="s">
        <v>988</v>
      </c>
      <c r="D627" s="68" t="s">
        <v>781</v>
      </c>
      <c r="E627" s="68" t="s">
        <v>462</v>
      </c>
      <c r="F627" s="68" t="s">
        <v>774</v>
      </c>
      <c r="H627" s="181">
        <v>45505.0</v>
      </c>
      <c r="J627" s="68" t="s">
        <v>239</v>
      </c>
      <c r="K627" s="68">
        <v>400.0</v>
      </c>
      <c r="L627" s="27">
        <v>0.194757609921082</v>
      </c>
      <c r="M627" s="68" t="s">
        <v>989</v>
      </c>
      <c r="N627" s="68">
        <v>694.0</v>
      </c>
      <c r="O627" s="68">
        <v>11.0</v>
      </c>
      <c r="P627" s="68">
        <v>0.0159</v>
      </c>
      <c r="Q627" s="68">
        <v>278.12</v>
      </c>
      <c r="S627" s="68">
        <v>25.28</v>
      </c>
      <c r="T627" s="68">
        <v>0.0</v>
      </c>
      <c r="U627" s="68">
        <v>0.0</v>
      </c>
      <c r="V627" s="68">
        <v>0.0</v>
      </c>
      <c r="W627" s="68">
        <v>0.0</v>
      </c>
    </row>
    <row r="628" ht="15.75" customHeight="1">
      <c r="A628" s="3" t="s">
        <v>65</v>
      </c>
      <c r="B628" s="68" t="s">
        <v>771</v>
      </c>
      <c r="C628" s="68" t="s">
        <v>982</v>
      </c>
      <c r="D628" s="68" t="s">
        <v>773</v>
      </c>
      <c r="E628" s="68" t="s">
        <v>459</v>
      </c>
      <c r="F628" s="68" t="s">
        <v>774</v>
      </c>
      <c r="G628" s="68" t="s">
        <v>775</v>
      </c>
      <c r="H628" s="181">
        <v>45504.0</v>
      </c>
      <c r="J628" s="68" t="s">
        <v>211</v>
      </c>
      <c r="K628" s="68">
        <v>264.0</v>
      </c>
      <c r="L628" s="27">
        <v>0.0795811518324607</v>
      </c>
      <c r="M628" s="68" t="s">
        <v>8</v>
      </c>
      <c r="N628" s="68">
        <v>606.0</v>
      </c>
      <c r="O628" s="68">
        <v>14.0</v>
      </c>
      <c r="P628" s="68">
        <v>0.0231</v>
      </c>
      <c r="Q628" s="68">
        <v>179.42</v>
      </c>
      <c r="S628" s="68">
        <v>12.82</v>
      </c>
      <c r="T628" s="68">
        <v>1.0</v>
      </c>
      <c r="U628" s="68">
        <v>1863.56</v>
      </c>
      <c r="V628" s="68">
        <v>0.0963</v>
      </c>
      <c r="W628" s="68">
        <v>10.3866</v>
      </c>
    </row>
    <row r="629" ht="15.75" customHeight="1">
      <c r="A629" s="3" t="s">
        <v>65</v>
      </c>
      <c r="B629" s="68" t="s">
        <v>779</v>
      </c>
      <c r="C629" s="68" t="s">
        <v>899</v>
      </c>
      <c r="D629" s="68" t="s">
        <v>781</v>
      </c>
      <c r="E629" s="68" t="s">
        <v>459</v>
      </c>
      <c r="F629" s="68" t="s">
        <v>774</v>
      </c>
      <c r="G629" s="68" t="s">
        <v>775</v>
      </c>
      <c r="H629" s="181">
        <v>45301.0</v>
      </c>
      <c r="J629" s="68" t="s">
        <v>134</v>
      </c>
      <c r="K629" s="68">
        <v>101.43</v>
      </c>
      <c r="L629" s="27">
        <v>0.10948905109489</v>
      </c>
      <c r="M629" s="68" t="s">
        <v>8</v>
      </c>
      <c r="N629" s="68">
        <v>25656.0</v>
      </c>
      <c r="O629" s="68">
        <v>17.0</v>
      </c>
      <c r="P629" s="68">
        <v>7.0E-4</v>
      </c>
      <c r="Q629" s="68">
        <v>1269.95</v>
      </c>
      <c r="S629" s="68">
        <v>74.7</v>
      </c>
      <c r="T629" s="68">
        <v>0.0</v>
      </c>
      <c r="U629" s="68">
        <v>0.0</v>
      </c>
      <c r="V629" s="68">
        <v>0.0</v>
      </c>
      <c r="W629" s="68">
        <v>0.0</v>
      </c>
    </row>
    <row r="630" ht="15.75" customHeight="1">
      <c r="A630" s="3" t="s">
        <v>65</v>
      </c>
      <c r="B630" s="68" t="s">
        <v>771</v>
      </c>
      <c r="C630" s="68" t="s">
        <v>924</v>
      </c>
      <c r="D630" s="68" t="s">
        <v>773</v>
      </c>
      <c r="E630" s="68" t="s">
        <v>460</v>
      </c>
      <c r="F630" s="68" t="s">
        <v>778</v>
      </c>
      <c r="G630" s="68" t="s">
        <v>775</v>
      </c>
      <c r="H630" s="181">
        <v>45356.0</v>
      </c>
      <c r="J630" s="68" t="s">
        <v>211</v>
      </c>
      <c r="K630" s="68">
        <v>200.0</v>
      </c>
      <c r="L630" s="68" t="s">
        <v>776</v>
      </c>
      <c r="M630" s="68" t="s">
        <v>8</v>
      </c>
      <c r="N630" s="68">
        <v>1141.0</v>
      </c>
      <c r="O630" s="68">
        <v>20.0</v>
      </c>
      <c r="P630" s="68">
        <v>0.0175</v>
      </c>
      <c r="Q630" s="68">
        <v>143.98</v>
      </c>
      <c r="S630" s="68">
        <v>7.2</v>
      </c>
      <c r="T630" s="68">
        <v>1.0</v>
      </c>
      <c r="U630" s="68">
        <v>1439.83</v>
      </c>
      <c r="V630" s="68">
        <v>0.1</v>
      </c>
      <c r="W630" s="68">
        <v>10.0002</v>
      </c>
    </row>
    <row r="631" ht="15.75" customHeight="1">
      <c r="A631" s="3" t="s">
        <v>65</v>
      </c>
      <c r="B631" s="68" t="s">
        <v>779</v>
      </c>
      <c r="C631" s="68" t="s">
        <v>1041</v>
      </c>
      <c r="D631" s="68" t="s">
        <v>781</v>
      </c>
      <c r="E631" s="68" t="s">
        <v>462</v>
      </c>
      <c r="F631" s="68" t="s">
        <v>774</v>
      </c>
      <c r="H631" s="181">
        <v>45541.0</v>
      </c>
      <c r="J631" s="68" t="s">
        <v>239</v>
      </c>
      <c r="K631" s="68">
        <v>1200.0</v>
      </c>
      <c r="L631" s="27">
        <v>0.421615837346174</v>
      </c>
      <c r="M631" s="68" t="s">
        <v>989</v>
      </c>
      <c r="N631" s="68">
        <v>795.0</v>
      </c>
      <c r="O631" s="68">
        <v>21.0</v>
      </c>
      <c r="P631" s="68">
        <v>0.0264</v>
      </c>
      <c r="Q631" s="68">
        <v>871.81</v>
      </c>
      <c r="S631" s="68">
        <v>41.51</v>
      </c>
      <c r="T631" s="68">
        <v>1.0</v>
      </c>
      <c r="U631" s="68">
        <v>1367.8</v>
      </c>
      <c r="V631" s="68">
        <v>0.6374</v>
      </c>
      <c r="W631" s="68">
        <v>1.5689</v>
      </c>
    </row>
    <row r="632" ht="15.75" customHeight="1">
      <c r="A632" s="3" t="s">
        <v>65</v>
      </c>
      <c r="B632" s="68" t="s">
        <v>779</v>
      </c>
      <c r="C632" s="68" t="s">
        <v>1051</v>
      </c>
      <c r="D632" s="68" t="s">
        <v>781</v>
      </c>
      <c r="E632" s="68" t="s">
        <v>459</v>
      </c>
      <c r="F632" s="68" t="s">
        <v>774</v>
      </c>
      <c r="G632" s="68" t="s">
        <v>783</v>
      </c>
      <c r="H632" s="181">
        <v>45365.0</v>
      </c>
      <c r="J632" s="33" t="s">
        <v>230</v>
      </c>
      <c r="K632" s="68">
        <v>558.75</v>
      </c>
      <c r="L632" s="68" t="s">
        <v>776</v>
      </c>
      <c r="M632" s="68" t="s">
        <v>8</v>
      </c>
      <c r="N632" s="68">
        <v>5046.0</v>
      </c>
      <c r="O632" s="68">
        <v>22.0</v>
      </c>
      <c r="P632" s="68">
        <v>0.0044</v>
      </c>
      <c r="Q632" s="28">
        <v>1916.34</v>
      </c>
      <c r="R632" s="28"/>
      <c r="S632" s="68">
        <v>87.11</v>
      </c>
      <c r="T632" s="68">
        <v>0.0</v>
      </c>
      <c r="U632" s="68">
        <v>0.0</v>
      </c>
      <c r="V632" s="68">
        <v>0.0</v>
      </c>
      <c r="W632" s="68">
        <v>0.0</v>
      </c>
    </row>
    <row r="633" ht="15.75" customHeight="1">
      <c r="A633" s="3" t="s">
        <v>65</v>
      </c>
      <c r="B633" s="68" t="s">
        <v>779</v>
      </c>
      <c r="C633" s="68" t="s">
        <v>1052</v>
      </c>
      <c r="D633" s="68" t="s">
        <v>781</v>
      </c>
      <c r="E633" s="68" t="s">
        <v>459</v>
      </c>
      <c r="F633" s="68" t="s">
        <v>774</v>
      </c>
      <c r="G633" s="68" t="s">
        <v>775</v>
      </c>
      <c r="H633" s="181">
        <v>45309.0</v>
      </c>
      <c r="J633" s="68" t="s">
        <v>182</v>
      </c>
      <c r="K633" s="68">
        <v>92.24</v>
      </c>
      <c r="L633" s="68" t="s">
        <v>776</v>
      </c>
      <c r="M633" s="68" t="s">
        <v>8</v>
      </c>
      <c r="N633" s="68">
        <v>4845.0</v>
      </c>
      <c r="O633" s="68">
        <v>23.0</v>
      </c>
      <c r="P633" s="68">
        <v>0.0047</v>
      </c>
      <c r="Q633" s="68">
        <v>525.45</v>
      </c>
      <c r="S633" s="68">
        <v>22.85</v>
      </c>
      <c r="T633" s="68">
        <v>0.0</v>
      </c>
      <c r="U633" s="68">
        <v>0.0</v>
      </c>
      <c r="V633" s="68">
        <v>0.0</v>
      </c>
      <c r="W633" s="68">
        <v>0.0</v>
      </c>
    </row>
    <row r="634" ht="15.75" customHeight="1">
      <c r="A634" s="3" t="s">
        <v>65</v>
      </c>
      <c r="B634" s="68" t="s">
        <v>771</v>
      </c>
      <c r="C634" s="68" t="s">
        <v>959</v>
      </c>
      <c r="D634" s="68" t="s">
        <v>773</v>
      </c>
      <c r="E634" s="68" t="s">
        <v>459</v>
      </c>
      <c r="F634" s="68" t="s">
        <v>774</v>
      </c>
      <c r="G634" s="68" t="s">
        <v>775</v>
      </c>
      <c r="H634" s="181">
        <v>45352.0</v>
      </c>
      <c r="J634" s="68" t="s">
        <v>140</v>
      </c>
      <c r="K634" s="68">
        <v>800.0</v>
      </c>
      <c r="L634" s="27">
        <v>0.171676686706746</v>
      </c>
      <c r="M634" s="68" t="s">
        <v>8</v>
      </c>
      <c r="N634" s="68">
        <v>11871.0</v>
      </c>
      <c r="O634" s="68">
        <v>24.0</v>
      </c>
      <c r="P634" s="68">
        <v>0.002</v>
      </c>
      <c r="Q634" s="68">
        <v>2097.66</v>
      </c>
      <c r="S634" s="68">
        <v>87.4</v>
      </c>
      <c r="T634" s="68">
        <v>0.0</v>
      </c>
      <c r="U634" s="68">
        <v>0.0</v>
      </c>
      <c r="V634" s="68">
        <v>0.0</v>
      </c>
      <c r="W634" s="68">
        <v>0.0</v>
      </c>
    </row>
    <row r="635" ht="15.75" customHeight="1">
      <c r="A635" s="3" t="s">
        <v>65</v>
      </c>
      <c r="B635" s="68" t="s">
        <v>779</v>
      </c>
      <c r="C635" s="68" t="s">
        <v>1040</v>
      </c>
      <c r="D635" s="68" t="s">
        <v>781</v>
      </c>
      <c r="E635" s="68" t="s">
        <v>459</v>
      </c>
      <c r="F635" s="68" t="s">
        <v>774</v>
      </c>
      <c r="G635" s="68" t="s">
        <v>775</v>
      </c>
      <c r="H635" s="181">
        <v>45541.0</v>
      </c>
      <c r="J635" s="68" t="s">
        <v>134</v>
      </c>
      <c r="K635" s="68">
        <v>61.62</v>
      </c>
      <c r="L635" s="68" t="s">
        <v>776</v>
      </c>
      <c r="M635" s="68" t="s">
        <v>8</v>
      </c>
      <c r="N635" s="68">
        <v>15949.0</v>
      </c>
      <c r="O635" s="68">
        <v>27.0</v>
      </c>
      <c r="P635" s="68">
        <v>0.0017</v>
      </c>
      <c r="Q635" s="68">
        <v>307.76</v>
      </c>
      <c r="S635" s="68">
        <v>11.4</v>
      </c>
      <c r="T635" s="68">
        <v>0.0</v>
      </c>
      <c r="U635" s="68">
        <v>0.0</v>
      </c>
      <c r="V635" s="68">
        <v>0.0</v>
      </c>
      <c r="W635" s="68">
        <v>0.0</v>
      </c>
    </row>
    <row r="636" ht="15.75" customHeight="1">
      <c r="A636" s="3" t="s">
        <v>65</v>
      </c>
      <c r="B636" s="68" t="s">
        <v>779</v>
      </c>
      <c r="C636" s="68" t="s">
        <v>894</v>
      </c>
      <c r="D636" s="68" t="s">
        <v>781</v>
      </c>
      <c r="E636" s="68" t="s">
        <v>459</v>
      </c>
      <c r="F636" s="68" t="s">
        <v>774</v>
      </c>
      <c r="G636" s="68" t="s">
        <v>775</v>
      </c>
      <c r="H636" s="181">
        <v>45301.0</v>
      </c>
      <c r="J636" s="68" t="s">
        <v>90</v>
      </c>
      <c r="K636" s="68">
        <v>51.46</v>
      </c>
      <c r="L636" s="68" t="s">
        <v>776</v>
      </c>
      <c r="M636" s="68" t="s">
        <v>8</v>
      </c>
      <c r="N636" s="68">
        <v>34368.0</v>
      </c>
      <c r="O636" s="68">
        <v>30.0</v>
      </c>
      <c r="P636" s="68">
        <v>9.0E-4</v>
      </c>
      <c r="Q636" s="68">
        <v>798.97</v>
      </c>
      <c r="S636" s="68">
        <v>26.63</v>
      </c>
      <c r="T636" s="68">
        <v>0.0</v>
      </c>
      <c r="U636" s="68">
        <v>0.0</v>
      </c>
      <c r="V636" s="68">
        <v>0.0</v>
      </c>
      <c r="W636" s="68">
        <v>0.0</v>
      </c>
    </row>
    <row r="637" ht="15.75" customHeight="1">
      <c r="A637" s="3" t="s">
        <v>65</v>
      </c>
      <c r="B637" s="68" t="s">
        <v>779</v>
      </c>
      <c r="C637" s="68" t="s">
        <v>987</v>
      </c>
      <c r="D637" s="68" t="s">
        <v>781</v>
      </c>
      <c r="E637" s="68" t="s">
        <v>462</v>
      </c>
      <c r="F637" s="68" t="s">
        <v>774</v>
      </c>
      <c r="H637" s="181">
        <v>45505.0</v>
      </c>
      <c r="J637" s="68" t="s">
        <v>134</v>
      </c>
      <c r="K637" s="68">
        <v>194.66</v>
      </c>
      <c r="L637" s="27">
        <v>0.0600303951367781</v>
      </c>
      <c r="M637" s="68" t="s">
        <v>8</v>
      </c>
      <c r="N637" s="68">
        <v>2354.0</v>
      </c>
      <c r="O637" s="68">
        <v>32.0</v>
      </c>
      <c r="P637" s="68">
        <v>0.0136</v>
      </c>
      <c r="Q637" s="68">
        <v>1126.03</v>
      </c>
      <c r="S637" s="68">
        <v>35.19</v>
      </c>
      <c r="T637" s="68">
        <v>0.0</v>
      </c>
      <c r="U637" s="68">
        <v>0.0</v>
      </c>
      <c r="V637" s="68">
        <v>0.0</v>
      </c>
      <c r="W637" s="68">
        <v>0.0</v>
      </c>
    </row>
    <row r="638" ht="15.75" customHeight="1">
      <c r="A638" s="3" t="s">
        <v>65</v>
      </c>
      <c r="B638" s="68" t="s">
        <v>779</v>
      </c>
      <c r="C638" s="68" t="s">
        <v>1053</v>
      </c>
      <c r="D638" s="68" t="s">
        <v>781</v>
      </c>
      <c r="E638" s="68" t="s">
        <v>463</v>
      </c>
      <c r="F638" s="68" t="s">
        <v>774</v>
      </c>
      <c r="H638" s="181">
        <v>45358.0</v>
      </c>
      <c r="J638" s="68" t="s">
        <v>170</v>
      </c>
      <c r="K638" s="68">
        <v>195.0</v>
      </c>
      <c r="M638" s="68" t="s">
        <v>8</v>
      </c>
      <c r="N638" s="68">
        <v>4897.0</v>
      </c>
      <c r="O638" s="68">
        <v>33.0</v>
      </c>
      <c r="P638" s="68">
        <v>0.0067</v>
      </c>
      <c r="Q638" s="68">
        <v>907.71</v>
      </c>
      <c r="S638" s="68">
        <v>27.51</v>
      </c>
      <c r="T638" s="68">
        <v>0.0</v>
      </c>
      <c r="U638" s="68">
        <v>0.0</v>
      </c>
      <c r="V638" s="68">
        <v>0.0</v>
      </c>
      <c r="W638" s="68">
        <v>0.0</v>
      </c>
    </row>
    <row r="639" ht="15.75" customHeight="1">
      <c r="A639" s="3" t="s">
        <v>65</v>
      </c>
      <c r="B639" s="68" t="s">
        <v>779</v>
      </c>
      <c r="C639" s="68" t="s">
        <v>867</v>
      </c>
      <c r="D639" s="68" t="s">
        <v>781</v>
      </c>
      <c r="E639" s="68" t="s">
        <v>459</v>
      </c>
      <c r="F639" s="68" t="s">
        <v>774</v>
      </c>
      <c r="G639" s="68" t="s">
        <v>775</v>
      </c>
      <c r="H639" s="181">
        <v>45301.0</v>
      </c>
      <c r="J639" s="68" t="s">
        <v>176</v>
      </c>
      <c r="K639" s="68">
        <v>59.06</v>
      </c>
      <c r="L639" s="27">
        <v>0.0616621983914209</v>
      </c>
      <c r="M639" s="68" t="s">
        <v>8</v>
      </c>
      <c r="N639" s="68">
        <v>16205.0</v>
      </c>
      <c r="O639" s="68">
        <v>37.0</v>
      </c>
      <c r="P639" s="68">
        <v>0.0023</v>
      </c>
      <c r="Q639" s="68">
        <v>1011.51</v>
      </c>
      <c r="S639" s="68">
        <v>27.34</v>
      </c>
      <c r="T639" s="68">
        <v>0.0</v>
      </c>
      <c r="U639" s="68">
        <v>0.0</v>
      </c>
      <c r="V639" s="68">
        <v>0.0</v>
      </c>
      <c r="W639" s="68">
        <v>0.0</v>
      </c>
    </row>
    <row r="640" ht="15.75" customHeight="1">
      <c r="A640" s="3" t="s">
        <v>65</v>
      </c>
      <c r="B640" s="68" t="s">
        <v>779</v>
      </c>
      <c r="C640" s="68" t="s">
        <v>1054</v>
      </c>
      <c r="D640" s="68" t="s">
        <v>781</v>
      </c>
      <c r="E640" s="68" t="s">
        <v>459</v>
      </c>
      <c r="F640" s="68" t="s">
        <v>774</v>
      </c>
      <c r="G640" s="68" t="s">
        <v>783</v>
      </c>
      <c r="H640" s="181">
        <v>45587.0</v>
      </c>
      <c r="J640" s="68" t="s">
        <v>232</v>
      </c>
      <c r="K640" s="68">
        <v>900.0</v>
      </c>
      <c r="L640" s="68" t="s">
        <v>776</v>
      </c>
      <c r="M640" s="68" t="s">
        <v>8</v>
      </c>
      <c r="N640" s="68">
        <v>27570.0</v>
      </c>
      <c r="O640" s="68">
        <v>41.0</v>
      </c>
      <c r="P640" s="68">
        <v>0.0015</v>
      </c>
      <c r="Q640" s="68">
        <v>2667.54</v>
      </c>
      <c r="S640" s="68">
        <v>65.06</v>
      </c>
      <c r="T640" s="68">
        <v>0.0</v>
      </c>
      <c r="U640" s="68">
        <v>0.0</v>
      </c>
      <c r="V640" s="68">
        <v>0.0</v>
      </c>
      <c r="W640" s="68">
        <v>0.0</v>
      </c>
    </row>
    <row r="641" ht="15.75" customHeight="1">
      <c r="A641" s="3" t="s">
        <v>65</v>
      </c>
      <c r="B641" s="68" t="s">
        <v>779</v>
      </c>
      <c r="C641" s="68" t="s">
        <v>1038</v>
      </c>
      <c r="D641" s="68" t="s">
        <v>781</v>
      </c>
      <c r="E641" s="68" t="s">
        <v>459</v>
      </c>
      <c r="F641" s="68" t="s">
        <v>774</v>
      </c>
      <c r="G641" s="68" t="s">
        <v>775</v>
      </c>
      <c r="H641" s="181">
        <v>45541.0</v>
      </c>
      <c r="J641" s="68" t="s">
        <v>158</v>
      </c>
      <c r="K641" s="68">
        <v>912.88</v>
      </c>
      <c r="L641" s="27">
        <v>0.102387578731507</v>
      </c>
      <c r="M641" s="68" t="s">
        <v>8</v>
      </c>
      <c r="N641" s="68">
        <v>15341.0</v>
      </c>
      <c r="O641" s="68">
        <v>42.0</v>
      </c>
      <c r="P641" s="68">
        <v>0.0027</v>
      </c>
      <c r="Q641" s="68">
        <v>772.81</v>
      </c>
      <c r="S641" s="68">
        <v>18.4</v>
      </c>
      <c r="T641" s="68">
        <v>0.0</v>
      </c>
      <c r="U641" s="68">
        <v>0.0</v>
      </c>
      <c r="V641" s="68">
        <v>0.0</v>
      </c>
      <c r="W641" s="68">
        <v>0.0</v>
      </c>
    </row>
    <row r="642" ht="15.75" customHeight="1">
      <c r="A642" s="3" t="s">
        <v>65</v>
      </c>
      <c r="B642" s="68" t="s">
        <v>779</v>
      </c>
      <c r="C642" s="68" t="s">
        <v>916</v>
      </c>
      <c r="D642" s="68" t="s">
        <v>781</v>
      </c>
      <c r="E642" s="68" t="s">
        <v>459</v>
      </c>
      <c r="F642" s="68" t="s">
        <v>774</v>
      </c>
      <c r="G642" s="68" t="s">
        <v>783</v>
      </c>
      <c r="H642" s="181">
        <v>45356.0</v>
      </c>
      <c r="J642" s="68" t="s">
        <v>205</v>
      </c>
      <c r="K642" s="68">
        <v>356.4</v>
      </c>
      <c r="L642" s="68" t="s">
        <v>776</v>
      </c>
      <c r="M642" s="68" t="s">
        <v>8</v>
      </c>
      <c r="N642" s="68">
        <v>43021.0</v>
      </c>
      <c r="O642" s="68">
        <v>47.0</v>
      </c>
      <c r="P642" s="68">
        <v>0.0011</v>
      </c>
      <c r="Q642" s="68">
        <v>4241.55</v>
      </c>
      <c r="S642" s="68">
        <v>90.25</v>
      </c>
      <c r="T642" s="68">
        <v>0.0</v>
      </c>
      <c r="U642" s="68">
        <v>0.0</v>
      </c>
      <c r="V642" s="68">
        <v>0.0</v>
      </c>
      <c r="W642" s="68">
        <v>0.0</v>
      </c>
    </row>
    <row r="643" ht="15.75" customHeight="1">
      <c r="A643" s="3" t="s">
        <v>65</v>
      </c>
      <c r="B643" s="68" t="s">
        <v>779</v>
      </c>
      <c r="C643" s="68" t="s">
        <v>1031</v>
      </c>
      <c r="D643" s="68" t="s">
        <v>781</v>
      </c>
      <c r="E643" s="68" t="s">
        <v>459</v>
      </c>
      <c r="F643" s="68" t="s">
        <v>774</v>
      </c>
      <c r="G643" s="68" t="s">
        <v>775</v>
      </c>
      <c r="H643" s="181">
        <v>45537.0</v>
      </c>
      <c r="J643" s="68" t="s">
        <v>134</v>
      </c>
      <c r="K643" s="68">
        <v>111.09</v>
      </c>
      <c r="L643" s="68" t="s">
        <v>776</v>
      </c>
      <c r="M643" s="68" t="s">
        <v>8</v>
      </c>
      <c r="N643" s="68">
        <v>29019.0</v>
      </c>
      <c r="O643" s="68">
        <v>61.0</v>
      </c>
      <c r="P643" s="68">
        <v>0.0021</v>
      </c>
      <c r="Q643" s="68">
        <v>3038.02</v>
      </c>
      <c r="S643" s="68">
        <v>49.8</v>
      </c>
      <c r="T643" s="68">
        <v>1.0</v>
      </c>
      <c r="U643" s="68">
        <v>27830.51</v>
      </c>
      <c r="V643" s="68">
        <v>0.1092</v>
      </c>
      <c r="W643" s="68">
        <v>9.1607</v>
      </c>
    </row>
    <row r="644" ht="15.75" customHeight="1">
      <c r="A644" s="3" t="s">
        <v>65</v>
      </c>
      <c r="B644" s="68" t="s">
        <v>771</v>
      </c>
      <c r="C644" s="68" t="s">
        <v>954</v>
      </c>
      <c r="D644" s="68" t="s">
        <v>773</v>
      </c>
      <c r="E644" s="68" t="s">
        <v>459</v>
      </c>
      <c r="F644" s="68" t="s">
        <v>774</v>
      </c>
      <c r="G644" s="68" t="s">
        <v>783</v>
      </c>
      <c r="H644" s="181">
        <v>45457.0</v>
      </c>
      <c r="J644" s="68" t="s">
        <v>134</v>
      </c>
      <c r="K644" s="68">
        <v>578.92</v>
      </c>
      <c r="L644" s="27">
        <v>0.0817928589516333</v>
      </c>
      <c r="M644" s="68" t="s">
        <v>8</v>
      </c>
      <c r="N644" s="68">
        <v>32724.0</v>
      </c>
      <c r="O644" s="68">
        <v>64.0</v>
      </c>
      <c r="P644" s="68">
        <v>0.002</v>
      </c>
      <c r="Q644" s="68">
        <v>6663.84</v>
      </c>
      <c r="S644" s="68">
        <v>104.12</v>
      </c>
      <c r="T644" s="68">
        <v>0.0</v>
      </c>
      <c r="U644" s="68">
        <v>0.0</v>
      </c>
      <c r="V644" s="68">
        <v>0.0</v>
      </c>
      <c r="W644" s="68">
        <v>0.0</v>
      </c>
    </row>
    <row r="645" ht="15.75" customHeight="1">
      <c r="A645" s="3" t="s">
        <v>65</v>
      </c>
      <c r="B645" s="68" t="s">
        <v>779</v>
      </c>
      <c r="C645" s="68" t="s">
        <v>1055</v>
      </c>
      <c r="D645" s="68" t="s">
        <v>781</v>
      </c>
      <c r="E645" s="68" t="s">
        <v>463</v>
      </c>
      <c r="F645" s="68" t="s">
        <v>774</v>
      </c>
      <c r="H645" s="181">
        <v>45280.0</v>
      </c>
      <c r="J645" s="68" t="s">
        <v>134</v>
      </c>
      <c r="K645" s="68">
        <v>99.0</v>
      </c>
      <c r="M645" s="68" t="s">
        <v>8</v>
      </c>
      <c r="N645" s="68">
        <v>37961.0</v>
      </c>
      <c r="O645" s="68">
        <v>68.0</v>
      </c>
      <c r="P645" s="68">
        <v>0.0018</v>
      </c>
      <c r="Q645" s="68">
        <v>2305.98</v>
      </c>
      <c r="S645" s="68">
        <v>33.91</v>
      </c>
      <c r="T645" s="68">
        <v>0.0</v>
      </c>
      <c r="U645" s="68">
        <v>0.0</v>
      </c>
      <c r="V645" s="68">
        <v>0.0</v>
      </c>
      <c r="W645" s="68">
        <v>0.0</v>
      </c>
    </row>
    <row r="646" ht="15.75" customHeight="1">
      <c r="A646" s="3" t="s">
        <v>65</v>
      </c>
      <c r="B646" s="68" t="s">
        <v>779</v>
      </c>
      <c r="C646" s="68" t="s">
        <v>1013</v>
      </c>
      <c r="D646" s="68" t="s">
        <v>781</v>
      </c>
      <c r="E646" s="68" t="s">
        <v>459</v>
      </c>
      <c r="F646" s="68" t="s">
        <v>774</v>
      </c>
      <c r="G646" s="68" t="s">
        <v>775</v>
      </c>
      <c r="H646" s="181">
        <v>45301.0</v>
      </c>
      <c r="J646" s="68" t="s">
        <v>158</v>
      </c>
      <c r="K646" s="68">
        <v>23649.87</v>
      </c>
      <c r="L646" s="68" t="s">
        <v>776</v>
      </c>
      <c r="M646" s="68" t="s">
        <v>8</v>
      </c>
      <c r="N646" s="68">
        <v>26914.0</v>
      </c>
      <c r="O646" s="68">
        <v>70.0</v>
      </c>
      <c r="P646" s="68">
        <v>0.0026</v>
      </c>
      <c r="Q646" s="68">
        <v>1527.14</v>
      </c>
      <c r="S646" s="68">
        <v>21.82</v>
      </c>
      <c r="T646" s="68">
        <v>0.0</v>
      </c>
      <c r="U646" s="68">
        <v>0.0</v>
      </c>
      <c r="V646" s="68">
        <v>0.0</v>
      </c>
      <c r="W646" s="68">
        <v>0.0</v>
      </c>
    </row>
    <row r="647" ht="15.75" customHeight="1">
      <c r="A647" s="3" t="s">
        <v>65</v>
      </c>
      <c r="B647" s="68" t="s">
        <v>771</v>
      </c>
      <c r="C647" s="68" t="s">
        <v>936</v>
      </c>
      <c r="D647" s="68" t="s">
        <v>773</v>
      </c>
      <c r="E647" s="68" t="s">
        <v>459</v>
      </c>
      <c r="F647" s="68" t="s">
        <v>774</v>
      </c>
      <c r="G647" s="68" t="s">
        <v>783</v>
      </c>
      <c r="H647" s="181">
        <v>45392.0</v>
      </c>
      <c r="J647" s="33" t="s">
        <v>230</v>
      </c>
      <c r="K647" s="68">
        <v>854.68</v>
      </c>
      <c r="L647" s="27">
        <v>0.119397217928902</v>
      </c>
      <c r="M647" s="68" t="s">
        <v>8</v>
      </c>
      <c r="N647" s="68">
        <v>21640.0</v>
      </c>
      <c r="O647" s="68">
        <v>71.0</v>
      </c>
      <c r="P647" s="68">
        <v>0.0033</v>
      </c>
      <c r="Q647" s="28">
        <v>9158.66</v>
      </c>
      <c r="R647" s="28"/>
      <c r="S647" s="68">
        <v>129.0</v>
      </c>
      <c r="T647" s="68">
        <v>0.0</v>
      </c>
      <c r="U647" s="68">
        <v>0.0</v>
      </c>
      <c r="V647" s="68">
        <v>0.0</v>
      </c>
      <c r="W647" s="68">
        <v>0.0</v>
      </c>
    </row>
    <row r="648" ht="15.75" customHeight="1">
      <c r="A648" s="3" t="s">
        <v>65</v>
      </c>
      <c r="B648" s="68" t="s">
        <v>779</v>
      </c>
      <c r="C648" s="68" t="s">
        <v>889</v>
      </c>
      <c r="D648" s="68" t="s">
        <v>781</v>
      </c>
      <c r="E648" s="68" t="s">
        <v>463</v>
      </c>
      <c r="F648" s="68" t="s">
        <v>774</v>
      </c>
      <c r="H648" s="181">
        <v>45342.0</v>
      </c>
      <c r="J648" s="68" t="s">
        <v>134</v>
      </c>
      <c r="K648" s="68">
        <v>1860.0</v>
      </c>
      <c r="M648" s="68" t="s">
        <v>8</v>
      </c>
      <c r="N648" s="68">
        <v>29545.0</v>
      </c>
      <c r="O648" s="68">
        <v>74.0</v>
      </c>
      <c r="P648" s="68">
        <v>0.0025</v>
      </c>
      <c r="Q648" s="68">
        <v>7293.51</v>
      </c>
      <c r="S648" s="68">
        <v>98.56</v>
      </c>
      <c r="T648" s="68">
        <v>0.0</v>
      </c>
      <c r="U648" s="68">
        <v>0.0</v>
      </c>
      <c r="V648" s="68">
        <v>0.0</v>
      </c>
      <c r="W648" s="68">
        <v>0.0</v>
      </c>
    </row>
    <row r="649" ht="15.75" customHeight="1">
      <c r="A649" s="3" t="s">
        <v>65</v>
      </c>
      <c r="B649" s="68" t="s">
        <v>779</v>
      </c>
      <c r="C649" s="68" t="s">
        <v>1011</v>
      </c>
      <c r="D649" s="68" t="s">
        <v>781</v>
      </c>
      <c r="E649" s="68" t="s">
        <v>459</v>
      </c>
      <c r="F649" s="68" t="s">
        <v>774</v>
      </c>
      <c r="G649" s="68" t="s">
        <v>775</v>
      </c>
      <c r="H649" s="181">
        <v>45301.0</v>
      </c>
      <c r="J649" s="68" t="s">
        <v>158</v>
      </c>
      <c r="K649" s="68">
        <v>5912.49</v>
      </c>
      <c r="L649" s="68" t="s">
        <v>776</v>
      </c>
      <c r="M649" s="68" t="s">
        <v>8</v>
      </c>
      <c r="N649" s="68">
        <v>23867.0</v>
      </c>
      <c r="O649" s="68">
        <v>77.0</v>
      </c>
      <c r="P649" s="68">
        <v>0.0032</v>
      </c>
      <c r="Q649" s="68">
        <v>1901.29</v>
      </c>
      <c r="S649" s="68">
        <v>24.69</v>
      </c>
      <c r="T649" s="68">
        <v>2.0</v>
      </c>
      <c r="U649" s="68">
        <v>4333.9</v>
      </c>
      <c r="V649" s="68">
        <v>0.4387</v>
      </c>
      <c r="W649" s="68">
        <v>2.2795</v>
      </c>
    </row>
    <row r="650" ht="15.75" customHeight="1">
      <c r="A650" s="3" t="s">
        <v>65</v>
      </c>
      <c r="B650" s="68" t="s">
        <v>771</v>
      </c>
      <c r="C650" s="68" t="s">
        <v>963</v>
      </c>
      <c r="D650" s="68" t="s">
        <v>773</v>
      </c>
      <c r="E650" s="68" t="s">
        <v>459</v>
      </c>
      <c r="F650" s="68" t="s">
        <v>774</v>
      </c>
      <c r="G650" s="68" t="s">
        <v>783</v>
      </c>
      <c r="H650" s="181">
        <v>45352.0</v>
      </c>
      <c r="J650" s="68" t="s">
        <v>140</v>
      </c>
      <c r="K650" s="68">
        <v>900.0</v>
      </c>
      <c r="L650" s="68" t="s">
        <v>776</v>
      </c>
      <c r="M650" s="68" t="s">
        <v>8</v>
      </c>
      <c r="N650" s="68">
        <v>54989.0</v>
      </c>
      <c r="O650" s="68">
        <v>80.0</v>
      </c>
      <c r="P650" s="68">
        <v>0.0015</v>
      </c>
      <c r="Q650" s="68">
        <v>9749.05</v>
      </c>
      <c r="S650" s="68">
        <v>121.86</v>
      </c>
      <c r="T650" s="68">
        <v>1.0</v>
      </c>
      <c r="U650" s="68">
        <v>25000.0</v>
      </c>
      <c r="V650" s="68">
        <v>0.39</v>
      </c>
      <c r="W650" s="68">
        <v>2.5644</v>
      </c>
    </row>
    <row r="651" ht="15.75" customHeight="1">
      <c r="A651" s="3" t="s">
        <v>65</v>
      </c>
      <c r="B651" s="68" t="s">
        <v>779</v>
      </c>
      <c r="C651" s="68" t="s">
        <v>1030</v>
      </c>
      <c r="D651" s="68" t="s">
        <v>781</v>
      </c>
      <c r="E651" s="68" t="s">
        <v>459</v>
      </c>
      <c r="F651" s="68" t="s">
        <v>774</v>
      </c>
      <c r="G651" s="68" t="s">
        <v>775</v>
      </c>
      <c r="H651" s="181">
        <v>45524.0</v>
      </c>
      <c r="J651" s="68" t="s">
        <v>158</v>
      </c>
      <c r="K651" s="68">
        <v>5912.49</v>
      </c>
      <c r="L651" s="68" t="s">
        <v>776</v>
      </c>
      <c r="M651" s="68" t="s">
        <v>8</v>
      </c>
      <c r="N651" s="68">
        <v>20699.0</v>
      </c>
      <c r="O651" s="68">
        <v>80.0</v>
      </c>
      <c r="P651" s="68">
        <v>0.0039</v>
      </c>
      <c r="Q651" s="68">
        <v>1503.84</v>
      </c>
      <c r="S651" s="68">
        <v>18.8</v>
      </c>
      <c r="T651" s="68">
        <v>1.0</v>
      </c>
      <c r="U651" s="68">
        <v>2966.1</v>
      </c>
      <c r="V651" s="68">
        <v>0.507</v>
      </c>
      <c r="W651" s="68">
        <v>1.9724</v>
      </c>
    </row>
    <row r="652" ht="15.75" customHeight="1">
      <c r="A652" s="3" t="s">
        <v>65</v>
      </c>
      <c r="B652" s="68" t="s">
        <v>779</v>
      </c>
      <c r="C652" s="68" t="s">
        <v>984</v>
      </c>
      <c r="D652" s="68" t="s">
        <v>781</v>
      </c>
      <c r="E652" s="68" t="s">
        <v>462</v>
      </c>
      <c r="F652" s="68" t="s">
        <v>774</v>
      </c>
      <c r="H652" s="181">
        <v>45505.0</v>
      </c>
      <c r="J652" s="68" t="s">
        <v>140</v>
      </c>
      <c r="K652" s="68">
        <v>118.8</v>
      </c>
      <c r="L652" s="68" t="s">
        <v>776</v>
      </c>
      <c r="M652" s="68" t="s">
        <v>8</v>
      </c>
      <c r="N652" s="68">
        <v>3591.0</v>
      </c>
      <c r="O652" s="68">
        <v>80.0</v>
      </c>
      <c r="P652" s="68">
        <v>0.0223</v>
      </c>
      <c r="Q652" s="68">
        <v>1060.64</v>
      </c>
      <c r="S652" s="68">
        <v>13.26</v>
      </c>
      <c r="T652" s="68">
        <v>0.0</v>
      </c>
      <c r="U652" s="68">
        <v>0.0</v>
      </c>
      <c r="V652" s="68">
        <v>0.0</v>
      </c>
      <c r="W652" s="68">
        <v>0.0</v>
      </c>
    </row>
    <row r="653" ht="15.75" customHeight="1">
      <c r="A653" s="3" t="s">
        <v>65</v>
      </c>
      <c r="B653" s="68" t="s">
        <v>771</v>
      </c>
      <c r="C653" s="68" t="s">
        <v>964</v>
      </c>
      <c r="D653" s="68" t="s">
        <v>773</v>
      </c>
      <c r="E653" s="68" t="s">
        <v>459</v>
      </c>
      <c r="F653" s="68" t="s">
        <v>774</v>
      </c>
      <c r="G653" s="68" t="s">
        <v>783</v>
      </c>
      <c r="H653" s="181">
        <v>45460.0</v>
      </c>
      <c r="J653" s="68" t="s">
        <v>232</v>
      </c>
      <c r="K653" s="68">
        <v>1181.74</v>
      </c>
      <c r="L653" s="68" t="s">
        <v>776</v>
      </c>
      <c r="M653" s="68" t="s">
        <v>8</v>
      </c>
      <c r="N653" s="68">
        <v>10261.0</v>
      </c>
      <c r="O653" s="68">
        <v>84.0</v>
      </c>
      <c r="P653" s="68">
        <v>0.0082</v>
      </c>
      <c r="Q653" s="68">
        <v>8185.45</v>
      </c>
      <c r="S653" s="68">
        <v>97.45</v>
      </c>
      <c r="T653" s="68">
        <v>3.0</v>
      </c>
      <c r="U653" s="68">
        <v>27638.98</v>
      </c>
      <c r="V653" s="68">
        <v>0.2962</v>
      </c>
      <c r="W653" s="68">
        <v>3.3766</v>
      </c>
    </row>
    <row r="654" ht="15.75" customHeight="1">
      <c r="A654" s="3" t="s">
        <v>65</v>
      </c>
      <c r="B654" s="68" t="s">
        <v>779</v>
      </c>
      <c r="C654" s="68" t="s">
        <v>1025</v>
      </c>
      <c r="D654" s="68" t="s">
        <v>781</v>
      </c>
      <c r="E654" s="68" t="s">
        <v>459</v>
      </c>
      <c r="F654" s="68" t="s">
        <v>774</v>
      </c>
      <c r="G654" s="68" t="s">
        <v>783</v>
      </c>
      <c r="H654" s="181">
        <v>45503.0</v>
      </c>
      <c r="J654" s="68" t="s">
        <v>134</v>
      </c>
      <c r="K654" s="68">
        <v>356.4</v>
      </c>
      <c r="L654" s="27">
        <v>0.331405693950177</v>
      </c>
      <c r="M654" s="68" t="s">
        <v>8</v>
      </c>
      <c r="N654" s="68">
        <v>28229.0</v>
      </c>
      <c r="O654" s="68">
        <v>87.0</v>
      </c>
      <c r="P654" s="68">
        <v>0.0031</v>
      </c>
      <c r="Q654" s="68">
        <v>6552.75</v>
      </c>
      <c r="S654" s="68">
        <v>75.32</v>
      </c>
      <c r="T654" s="68">
        <v>0.0</v>
      </c>
      <c r="U654" s="68">
        <v>0.0</v>
      </c>
      <c r="V654" s="68">
        <v>0.0</v>
      </c>
      <c r="W654" s="68">
        <v>0.0</v>
      </c>
    </row>
    <row r="655" ht="15.75" customHeight="1">
      <c r="A655" s="3" t="s">
        <v>65</v>
      </c>
      <c r="B655" s="68" t="s">
        <v>771</v>
      </c>
      <c r="C655" s="68" t="s">
        <v>1046</v>
      </c>
      <c r="D655" s="68" t="s">
        <v>773</v>
      </c>
      <c r="E655" s="68" t="s">
        <v>459</v>
      </c>
      <c r="F655" s="68" t="s">
        <v>774</v>
      </c>
      <c r="G655" s="68" t="s">
        <v>775</v>
      </c>
      <c r="H655" s="181">
        <v>45541.0</v>
      </c>
      <c r="J655" s="68" t="s">
        <v>217</v>
      </c>
      <c r="K655" s="68">
        <v>200.0</v>
      </c>
      <c r="L655" s="68" t="s">
        <v>776</v>
      </c>
      <c r="M655" s="68" t="s">
        <v>8</v>
      </c>
      <c r="N655" s="68">
        <v>8938.0</v>
      </c>
      <c r="O655" s="68">
        <v>89.0</v>
      </c>
      <c r="P655" s="68">
        <v>0.01</v>
      </c>
      <c r="Q655" s="68">
        <v>236.2</v>
      </c>
      <c r="S655" s="68">
        <v>2.65</v>
      </c>
      <c r="T655" s="68">
        <v>1.0</v>
      </c>
      <c r="U655" s="68">
        <v>1270.34</v>
      </c>
      <c r="V655" s="68">
        <v>0.1859</v>
      </c>
      <c r="W655" s="68">
        <v>5.3782</v>
      </c>
    </row>
    <row r="656" ht="15.75" customHeight="1">
      <c r="A656" s="3" t="s">
        <v>65</v>
      </c>
      <c r="B656" s="68" t="s">
        <v>779</v>
      </c>
      <c r="C656" s="68" t="s">
        <v>935</v>
      </c>
      <c r="D656" s="68" t="s">
        <v>781</v>
      </c>
      <c r="E656" s="68" t="s">
        <v>459</v>
      </c>
      <c r="F656" s="68" t="s">
        <v>774</v>
      </c>
      <c r="G656" s="68" t="s">
        <v>783</v>
      </c>
      <c r="H656" s="181">
        <v>45392.0</v>
      </c>
      <c r="J656" s="68" t="s">
        <v>205</v>
      </c>
      <c r="K656" s="68">
        <v>405.0</v>
      </c>
      <c r="L656" s="27">
        <v>0.0522851531397632</v>
      </c>
      <c r="M656" s="68" t="s">
        <v>8</v>
      </c>
      <c r="N656" s="68">
        <v>69461.0</v>
      </c>
      <c r="O656" s="68">
        <v>96.0</v>
      </c>
      <c r="P656" s="68">
        <v>0.0014</v>
      </c>
      <c r="Q656" s="68">
        <v>7247.93</v>
      </c>
      <c r="S656" s="68">
        <v>75.5</v>
      </c>
      <c r="T656" s="68">
        <v>2.0</v>
      </c>
      <c r="U656" s="68">
        <v>26059.32</v>
      </c>
      <c r="V656" s="68">
        <v>0.2781</v>
      </c>
      <c r="W656" s="68">
        <v>3.5954</v>
      </c>
    </row>
    <row r="657" ht="15.75" customHeight="1">
      <c r="A657" s="3" t="s">
        <v>65</v>
      </c>
      <c r="B657" s="68" t="s">
        <v>779</v>
      </c>
      <c r="C657" s="68" t="s">
        <v>925</v>
      </c>
      <c r="D657" s="68" t="s">
        <v>781</v>
      </c>
      <c r="E657" s="68" t="s">
        <v>459</v>
      </c>
      <c r="F657" s="68" t="s">
        <v>774</v>
      </c>
      <c r="G657" s="68" t="s">
        <v>775</v>
      </c>
      <c r="H657" s="181">
        <v>45352.0</v>
      </c>
      <c r="J657" s="68" t="s">
        <v>182</v>
      </c>
      <c r="K657" s="68">
        <v>405.0</v>
      </c>
      <c r="L657" s="68" t="s">
        <v>776</v>
      </c>
      <c r="M657" s="68" t="s">
        <v>8</v>
      </c>
      <c r="N657" s="68">
        <v>18179.0</v>
      </c>
      <c r="O657" s="68">
        <v>97.0</v>
      </c>
      <c r="P657" s="68">
        <v>0.0053</v>
      </c>
      <c r="Q657" s="68">
        <v>5542.6</v>
      </c>
      <c r="S657" s="68">
        <v>57.14</v>
      </c>
      <c r="T657" s="68">
        <v>1.0</v>
      </c>
      <c r="U657" s="68">
        <v>16745.76</v>
      </c>
      <c r="V657" s="68">
        <v>0.331</v>
      </c>
      <c r="W657" s="68">
        <v>3.0213</v>
      </c>
    </row>
    <row r="658" ht="15.75" customHeight="1">
      <c r="A658" s="3" t="s">
        <v>65</v>
      </c>
      <c r="B658" s="68" t="s">
        <v>779</v>
      </c>
      <c r="C658" s="68" t="s">
        <v>979</v>
      </c>
      <c r="D658" s="68" t="s">
        <v>781</v>
      </c>
      <c r="E658" s="68" t="s">
        <v>459</v>
      </c>
      <c r="F658" s="68" t="s">
        <v>774</v>
      </c>
      <c r="G658" s="68" t="s">
        <v>783</v>
      </c>
      <c r="H658" s="181">
        <v>45493.0</v>
      </c>
      <c r="J658" s="68" t="s">
        <v>90</v>
      </c>
      <c r="K658" s="68">
        <v>405.0</v>
      </c>
      <c r="L658" s="27">
        <v>0.370169344333478</v>
      </c>
      <c r="M658" s="68" t="s">
        <v>8</v>
      </c>
      <c r="N658" s="68">
        <v>7172.0</v>
      </c>
      <c r="O658" s="68">
        <v>98.0</v>
      </c>
      <c r="P658" s="68">
        <v>0.0137</v>
      </c>
      <c r="Q658" s="68">
        <v>9252.83</v>
      </c>
      <c r="S658" s="68">
        <v>94.42</v>
      </c>
      <c r="T658" s="68">
        <v>1.0</v>
      </c>
      <c r="U658" s="68">
        <v>17241.53</v>
      </c>
      <c r="V658" s="68">
        <v>0.5367</v>
      </c>
      <c r="W658" s="68">
        <v>1.8634</v>
      </c>
    </row>
    <row r="659" ht="15.75" customHeight="1">
      <c r="A659" s="3" t="s">
        <v>65</v>
      </c>
      <c r="B659" s="68" t="s">
        <v>771</v>
      </c>
      <c r="C659" s="68" t="s">
        <v>966</v>
      </c>
      <c r="D659" s="68" t="s">
        <v>773</v>
      </c>
      <c r="E659" s="68" t="s">
        <v>459</v>
      </c>
      <c r="F659" s="68" t="s">
        <v>774</v>
      </c>
      <c r="G659" s="68" t="s">
        <v>783</v>
      </c>
      <c r="H659" s="181">
        <v>45357.0</v>
      </c>
      <c r="J659" s="68" t="s">
        <v>232</v>
      </c>
      <c r="K659" s="68">
        <v>3100.0</v>
      </c>
      <c r="L659" s="68" t="s">
        <v>776</v>
      </c>
      <c r="M659" s="68" t="s">
        <v>8</v>
      </c>
      <c r="N659" s="68">
        <v>65749.0</v>
      </c>
      <c r="O659" s="68">
        <v>109.0</v>
      </c>
      <c r="P659" s="68">
        <v>0.0017</v>
      </c>
      <c r="Q659" s="68">
        <v>7241.8</v>
      </c>
      <c r="S659" s="68">
        <v>66.44</v>
      </c>
      <c r="T659" s="68">
        <v>1.0</v>
      </c>
      <c r="U659" s="68">
        <v>16419.5</v>
      </c>
      <c r="V659" s="68">
        <v>0.441</v>
      </c>
      <c r="W659" s="68">
        <v>2.2673</v>
      </c>
    </row>
    <row r="660" ht="15.75" customHeight="1">
      <c r="A660" s="3" t="s">
        <v>65</v>
      </c>
      <c r="B660" s="68" t="s">
        <v>779</v>
      </c>
      <c r="C660" s="68" t="s">
        <v>1018</v>
      </c>
      <c r="D660" s="68" t="s">
        <v>781</v>
      </c>
      <c r="E660" s="68" t="s">
        <v>459</v>
      </c>
      <c r="F660" s="68" t="s">
        <v>774</v>
      </c>
      <c r="G660" s="68" t="s">
        <v>775</v>
      </c>
      <c r="H660" s="181">
        <v>45510.0</v>
      </c>
      <c r="J660" s="68" t="s">
        <v>182</v>
      </c>
      <c r="K660" s="68">
        <v>77.24</v>
      </c>
      <c r="L660" s="27">
        <v>0.0553611144635437</v>
      </c>
      <c r="M660" s="68" t="s">
        <v>8</v>
      </c>
      <c r="N660" s="68">
        <v>33518.0</v>
      </c>
      <c r="O660" s="68">
        <v>110.0</v>
      </c>
      <c r="P660" s="68">
        <v>0.0033</v>
      </c>
      <c r="Q660" s="68">
        <v>5647.64</v>
      </c>
      <c r="S660" s="68">
        <v>51.34</v>
      </c>
      <c r="T660" s="68">
        <v>4.0</v>
      </c>
      <c r="U660" s="68">
        <v>92076.27</v>
      </c>
      <c r="V660" s="68">
        <v>0.0613</v>
      </c>
      <c r="W660" s="68">
        <v>16.3035</v>
      </c>
    </row>
    <row r="661" ht="15.75" customHeight="1">
      <c r="A661" s="3" t="s">
        <v>65</v>
      </c>
      <c r="B661" s="68" t="s">
        <v>779</v>
      </c>
      <c r="C661" s="68" t="s">
        <v>1057</v>
      </c>
      <c r="D661" s="68" t="s">
        <v>781</v>
      </c>
      <c r="E661" s="68" t="s">
        <v>459</v>
      </c>
      <c r="F661" s="68" t="s">
        <v>774</v>
      </c>
      <c r="G661" s="68" t="s">
        <v>775</v>
      </c>
      <c r="H661" s="181">
        <v>45580.0</v>
      </c>
      <c r="J661" s="68" t="s">
        <v>90</v>
      </c>
      <c r="K661" s="68">
        <v>268.13</v>
      </c>
      <c r="L661" s="68" t="s">
        <v>776</v>
      </c>
      <c r="M661" s="68" t="s">
        <v>8</v>
      </c>
      <c r="N661" s="68">
        <v>78690.0</v>
      </c>
      <c r="O661" s="68">
        <v>113.0</v>
      </c>
      <c r="P661" s="68">
        <v>0.0014</v>
      </c>
      <c r="Q661" s="68">
        <v>5223.35</v>
      </c>
      <c r="S661" s="68">
        <v>46.22</v>
      </c>
      <c r="T661" s="68">
        <v>0.0</v>
      </c>
      <c r="U661" s="68">
        <v>0.0</v>
      </c>
      <c r="V661" s="68">
        <v>0.0</v>
      </c>
      <c r="W661" s="68">
        <v>0.0</v>
      </c>
    </row>
    <row r="662" ht="15.75" customHeight="1">
      <c r="A662" s="3" t="s">
        <v>65</v>
      </c>
      <c r="B662" s="68" t="s">
        <v>771</v>
      </c>
      <c r="C662" s="68" t="s">
        <v>1058</v>
      </c>
      <c r="D662" s="68" t="s">
        <v>773</v>
      </c>
      <c r="E662" s="68" t="s">
        <v>459</v>
      </c>
      <c r="F662" s="68" t="s">
        <v>774</v>
      </c>
      <c r="G662" s="68" t="s">
        <v>775</v>
      </c>
      <c r="H662" s="181">
        <v>45538.0</v>
      </c>
      <c r="J662" s="68" t="s">
        <v>248</v>
      </c>
      <c r="K662" s="68">
        <v>800.0</v>
      </c>
      <c r="L662" s="27">
        <v>0.0914826498422713</v>
      </c>
      <c r="M662" s="68" t="s">
        <v>8</v>
      </c>
      <c r="N662" s="68">
        <v>6827.0</v>
      </c>
      <c r="O662" s="68">
        <v>117.0</v>
      </c>
      <c r="P662" s="68">
        <v>0.0171</v>
      </c>
      <c r="Q662" s="68">
        <v>1603.27</v>
      </c>
      <c r="S662" s="68">
        <v>13.7</v>
      </c>
      <c r="T662" s="68">
        <v>0.0</v>
      </c>
      <c r="U662" s="68">
        <v>0.0</v>
      </c>
      <c r="V662" s="68">
        <v>0.0</v>
      </c>
      <c r="W662" s="68">
        <v>0.0</v>
      </c>
    </row>
    <row r="663" ht="15.75" customHeight="1">
      <c r="A663" s="3" t="s">
        <v>65</v>
      </c>
      <c r="B663" s="68" t="s">
        <v>779</v>
      </c>
      <c r="C663" s="68" t="s">
        <v>1027</v>
      </c>
      <c r="D663" s="68" t="s">
        <v>781</v>
      </c>
      <c r="E663" s="68" t="s">
        <v>459</v>
      </c>
      <c r="F663" s="68" t="s">
        <v>774</v>
      </c>
      <c r="G663" s="68" t="s">
        <v>775</v>
      </c>
      <c r="H663" s="181">
        <v>45538.0</v>
      </c>
      <c r="J663" s="68" t="s">
        <v>176</v>
      </c>
      <c r="K663" s="68">
        <v>124.19</v>
      </c>
      <c r="L663" s="27">
        <v>0.0696594427244582</v>
      </c>
      <c r="M663" s="68" t="s">
        <v>8</v>
      </c>
      <c r="N663" s="68">
        <v>17481.0</v>
      </c>
      <c r="O663" s="68">
        <v>119.0</v>
      </c>
      <c r="P663" s="68">
        <v>0.0068</v>
      </c>
      <c r="Q663" s="68">
        <v>4450.93</v>
      </c>
      <c r="S663" s="68">
        <v>37.4</v>
      </c>
      <c r="T663" s="68">
        <v>0.0</v>
      </c>
      <c r="U663" s="68">
        <v>0.0</v>
      </c>
      <c r="V663" s="68">
        <v>0.0</v>
      </c>
      <c r="W663" s="68">
        <v>0.0</v>
      </c>
    </row>
    <row r="664" ht="15.75" customHeight="1">
      <c r="A664" s="3" t="s">
        <v>65</v>
      </c>
      <c r="B664" s="68" t="s">
        <v>771</v>
      </c>
      <c r="C664" s="68" t="s">
        <v>898</v>
      </c>
      <c r="D664" s="68" t="s">
        <v>773</v>
      </c>
      <c r="E664" s="68" t="s">
        <v>459</v>
      </c>
      <c r="F664" s="68" t="s">
        <v>774</v>
      </c>
      <c r="G664" s="68" t="s">
        <v>783</v>
      </c>
      <c r="H664" s="181">
        <v>45260.0</v>
      </c>
      <c r="J664" s="68" t="s">
        <v>140</v>
      </c>
      <c r="K664" s="68">
        <v>675.0</v>
      </c>
      <c r="L664" s="68" t="s">
        <v>776</v>
      </c>
      <c r="M664" s="68" t="s">
        <v>8</v>
      </c>
      <c r="N664" s="68">
        <v>115684.0</v>
      </c>
      <c r="O664" s="68">
        <v>120.0</v>
      </c>
      <c r="P664" s="68">
        <v>0.001</v>
      </c>
      <c r="Q664" s="68">
        <v>10844.17</v>
      </c>
      <c r="S664" s="68">
        <v>90.37</v>
      </c>
      <c r="T664" s="68">
        <v>3.0</v>
      </c>
      <c r="U664" s="68">
        <v>53545.76</v>
      </c>
      <c r="V664" s="68">
        <v>0.2025</v>
      </c>
      <c r="W664" s="68">
        <v>4.9377</v>
      </c>
    </row>
    <row r="665" ht="15.75" customHeight="1">
      <c r="A665" s="3" t="s">
        <v>65</v>
      </c>
      <c r="B665" s="68" t="s">
        <v>771</v>
      </c>
      <c r="C665" s="68" t="s">
        <v>1042</v>
      </c>
      <c r="D665" s="68" t="s">
        <v>773</v>
      </c>
      <c r="E665" s="68" t="s">
        <v>459</v>
      </c>
      <c r="F665" s="68" t="s">
        <v>774</v>
      </c>
      <c r="G665" s="68" t="s">
        <v>775</v>
      </c>
      <c r="H665" s="181">
        <v>45504.0</v>
      </c>
      <c r="J665" s="68" t="s">
        <v>241</v>
      </c>
      <c r="K665" s="68">
        <v>510.0</v>
      </c>
      <c r="L665" s="68" t="s">
        <v>776</v>
      </c>
      <c r="M665" s="68" t="s">
        <v>8</v>
      </c>
      <c r="N665" s="68">
        <v>53766.0</v>
      </c>
      <c r="O665" s="68">
        <v>123.0</v>
      </c>
      <c r="P665" s="68">
        <v>0.0023</v>
      </c>
      <c r="Q665" s="68">
        <v>2292.31</v>
      </c>
      <c r="S665" s="68">
        <v>18.64</v>
      </c>
      <c r="T665" s="68">
        <v>2.0</v>
      </c>
      <c r="U665" s="68">
        <v>3770.34</v>
      </c>
      <c r="V665" s="68">
        <v>0.608</v>
      </c>
      <c r="W665" s="68">
        <v>1.6448</v>
      </c>
    </row>
    <row r="666" ht="15.75" customHeight="1">
      <c r="A666" s="3" t="s">
        <v>65</v>
      </c>
      <c r="B666" s="68" t="s">
        <v>771</v>
      </c>
      <c r="C666" s="68" t="s">
        <v>895</v>
      </c>
      <c r="D666" s="68" t="s">
        <v>773</v>
      </c>
      <c r="E666" s="68" t="s">
        <v>459</v>
      </c>
      <c r="F666" s="68" t="s">
        <v>774</v>
      </c>
      <c r="G666" s="68" t="s">
        <v>783</v>
      </c>
      <c r="H666" s="181">
        <v>45338.0</v>
      </c>
      <c r="J666" s="68" t="s">
        <v>134</v>
      </c>
      <c r="K666" s="68">
        <v>585.0</v>
      </c>
      <c r="L666" s="68" t="s">
        <v>776</v>
      </c>
      <c r="M666" s="68" t="s">
        <v>8</v>
      </c>
      <c r="N666" s="68">
        <v>27867.0</v>
      </c>
      <c r="O666" s="68">
        <v>124.0</v>
      </c>
      <c r="P666" s="68">
        <v>0.0044</v>
      </c>
      <c r="Q666" s="68">
        <v>10119.64</v>
      </c>
      <c r="S666" s="68">
        <v>81.61</v>
      </c>
      <c r="T666" s="68">
        <v>0.0</v>
      </c>
      <c r="U666" s="68">
        <v>0.0</v>
      </c>
      <c r="V666" s="68">
        <v>0.0</v>
      </c>
      <c r="W666" s="68">
        <v>0.0</v>
      </c>
    </row>
    <row r="667" ht="15.75" customHeight="1">
      <c r="A667" s="3" t="s">
        <v>65</v>
      </c>
      <c r="B667" s="68" t="s">
        <v>771</v>
      </c>
      <c r="C667" s="68" t="s">
        <v>1044</v>
      </c>
      <c r="D667" s="68" t="s">
        <v>773</v>
      </c>
      <c r="E667" s="68" t="s">
        <v>460</v>
      </c>
      <c r="F667" s="68" t="s">
        <v>778</v>
      </c>
      <c r="G667" s="68" t="s">
        <v>775</v>
      </c>
      <c r="H667" s="181">
        <v>45454.0</v>
      </c>
      <c r="J667" s="68" t="s">
        <v>241</v>
      </c>
      <c r="K667" s="68">
        <v>4042.71</v>
      </c>
      <c r="L667" s="68" t="s">
        <v>776</v>
      </c>
      <c r="M667" s="68" t="s">
        <v>8</v>
      </c>
      <c r="N667" s="68">
        <v>90438.0</v>
      </c>
      <c r="O667" s="68">
        <v>127.0</v>
      </c>
      <c r="P667" s="68">
        <v>0.0014</v>
      </c>
      <c r="Q667" s="68">
        <v>1172.03</v>
      </c>
      <c r="S667" s="68">
        <v>9.23</v>
      </c>
      <c r="T667" s="68">
        <v>2.0</v>
      </c>
      <c r="U667" s="68">
        <v>39610.17</v>
      </c>
      <c r="V667" s="68">
        <v>0.0296</v>
      </c>
      <c r="W667" s="68">
        <v>33.7962</v>
      </c>
    </row>
    <row r="668" ht="15.75" customHeight="1">
      <c r="A668" s="3" t="s">
        <v>65</v>
      </c>
      <c r="B668" s="68" t="s">
        <v>779</v>
      </c>
      <c r="C668" s="68" t="s">
        <v>962</v>
      </c>
      <c r="D668" s="68" t="s">
        <v>781</v>
      </c>
      <c r="E668" s="68" t="s">
        <v>463</v>
      </c>
      <c r="F668" s="68" t="s">
        <v>774</v>
      </c>
      <c r="H668" s="181">
        <v>45446.0</v>
      </c>
      <c r="J668" s="68" t="s">
        <v>90</v>
      </c>
      <c r="K668" s="68">
        <v>2325.0</v>
      </c>
      <c r="M668" s="68" t="s">
        <v>8</v>
      </c>
      <c r="N668" s="68">
        <v>92482.0</v>
      </c>
      <c r="O668" s="68">
        <v>130.0</v>
      </c>
      <c r="P668" s="68">
        <v>0.0014</v>
      </c>
      <c r="Q668" s="68">
        <v>6537.68</v>
      </c>
      <c r="S668" s="68">
        <v>50.29</v>
      </c>
      <c r="T668" s="68">
        <v>0.0</v>
      </c>
      <c r="U668" s="68">
        <v>0.0</v>
      </c>
      <c r="V668" s="68">
        <v>0.0</v>
      </c>
      <c r="W668" s="68">
        <v>0.0</v>
      </c>
    </row>
    <row r="669" ht="15.75" customHeight="1">
      <c r="A669" s="3" t="s">
        <v>65</v>
      </c>
      <c r="B669" s="68" t="s">
        <v>779</v>
      </c>
      <c r="C669" s="68" t="s">
        <v>1012</v>
      </c>
      <c r="D669" s="68" t="s">
        <v>781</v>
      </c>
      <c r="E669" s="68" t="s">
        <v>459</v>
      </c>
      <c r="F669" s="68" t="s">
        <v>774</v>
      </c>
      <c r="G669" s="68" t="s">
        <v>775</v>
      </c>
      <c r="H669" s="181">
        <v>45524.0</v>
      </c>
      <c r="J669" s="68" t="s">
        <v>158</v>
      </c>
      <c r="K669" s="68">
        <v>190.0</v>
      </c>
      <c r="L669" s="68" t="s">
        <v>776</v>
      </c>
      <c r="M669" s="68" t="s">
        <v>8</v>
      </c>
      <c r="N669" s="68">
        <v>41062.0</v>
      </c>
      <c r="O669" s="68">
        <v>174.0</v>
      </c>
      <c r="P669" s="68">
        <v>0.0042</v>
      </c>
      <c r="Q669" s="68">
        <v>4621.4</v>
      </c>
      <c r="S669" s="68">
        <v>26.56</v>
      </c>
      <c r="T669" s="68">
        <v>2.0</v>
      </c>
      <c r="U669" s="68">
        <v>4333.9</v>
      </c>
      <c r="V669" s="68">
        <v>1.0663</v>
      </c>
      <c r="W669" s="68">
        <v>0.9378</v>
      </c>
    </row>
    <row r="670" ht="15.75" customHeight="1">
      <c r="A670" s="3" t="s">
        <v>65</v>
      </c>
      <c r="B670" s="68" t="s">
        <v>771</v>
      </c>
      <c r="C670" s="68" t="s">
        <v>1024</v>
      </c>
      <c r="D670" s="68" t="s">
        <v>773</v>
      </c>
      <c r="E670" s="68" t="s">
        <v>459</v>
      </c>
      <c r="F670" s="68" t="s">
        <v>774</v>
      </c>
      <c r="G670" s="68" t="s">
        <v>775</v>
      </c>
      <c r="H670" s="181">
        <v>45541.0</v>
      </c>
      <c r="J670" s="68" t="s">
        <v>134</v>
      </c>
      <c r="K670" s="68">
        <v>900.0</v>
      </c>
      <c r="L670" s="68" t="s">
        <v>776</v>
      </c>
      <c r="M670" s="68" t="s">
        <v>8</v>
      </c>
      <c r="N670" s="68">
        <v>151151.0</v>
      </c>
      <c r="O670" s="68">
        <v>180.0</v>
      </c>
      <c r="P670" s="68">
        <v>0.0012</v>
      </c>
      <c r="Q670" s="68">
        <v>10012.25</v>
      </c>
      <c r="S670" s="68">
        <v>55.62</v>
      </c>
      <c r="T670" s="68">
        <v>1.0</v>
      </c>
      <c r="U670" s="68">
        <v>19889.83</v>
      </c>
      <c r="V670" s="68">
        <v>0.5034</v>
      </c>
      <c r="W670" s="68">
        <v>1.9865</v>
      </c>
    </row>
    <row r="671" ht="15.75" customHeight="1">
      <c r="A671" s="3" t="s">
        <v>65</v>
      </c>
      <c r="B671" s="68" t="s">
        <v>771</v>
      </c>
      <c r="C671" s="68" t="s">
        <v>910</v>
      </c>
      <c r="D671" s="68" t="s">
        <v>773</v>
      </c>
      <c r="E671" s="68" t="s">
        <v>459</v>
      </c>
      <c r="F671" s="68" t="s">
        <v>774</v>
      </c>
      <c r="G671" s="68" t="s">
        <v>783</v>
      </c>
      <c r="H671" s="181">
        <v>45341.0</v>
      </c>
      <c r="J671" s="68" t="s">
        <v>134</v>
      </c>
      <c r="K671" s="68">
        <v>1188.0</v>
      </c>
      <c r="L671" s="27">
        <v>0.0501547005156683</v>
      </c>
      <c r="M671" s="68" t="s">
        <v>8</v>
      </c>
      <c r="N671" s="68">
        <v>34782.0</v>
      </c>
      <c r="O671" s="68">
        <v>186.0</v>
      </c>
      <c r="P671" s="68">
        <v>0.0053</v>
      </c>
      <c r="Q671" s="68">
        <v>22273.91</v>
      </c>
      <c r="S671" s="68">
        <v>119.75</v>
      </c>
      <c r="T671" s="68">
        <v>0.0</v>
      </c>
      <c r="U671" s="68">
        <v>0.0</v>
      </c>
      <c r="V671" s="68">
        <v>0.0</v>
      </c>
      <c r="W671" s="68">
        <v>0.0</v>
      </c>
    </row>
    <row r="672" ht="15.75" customHeight="1">
      <c r="A672" s="3" t="s">
        <v>65</v>
      </c>
      <c r="B672" s="68" t="s">
        <v>779</v>
      </c>
      <c r="C672" s="68" t="s">
        <v>1059</v>
      </c>
      <c r="D672" s="68" t="s">
        <v>781</v>
      </c>
      <c r="E672" s="68" t="s">
        <v>459</v>
      </c>
      <c r="F672" s="68" t="s">
        <v>774</v>
      </c>
      <c r="G672" s="68" t="s">
        <v>783</v>
      </c>
      <c r="H672" s="181">
        <v>45512.0</v>
      </c>
      <c r="J672" s="68" t="s">
        <v>90</v>
      </c>
      <c r="K672" s="68">
        <v>9000.0</v>
      </c>
      <c r="L672" s="68" t="s">
        <v>776</v>
      </c>
      <c r="M672" s="68" t="s">
        <v>8</v>
      </c>
      <c r="N672" s="68">
        <v>75751.0</v>
      </c>
      <c r="O672" s="68">
        <v>190.0</v>
      </c>
      <c r="P672" s="68">
        <v>0.0025</v>
      </c>
      <c r="Q672" s="68">
        <v>16946.49</v>
      </c>
      <c r="S672" s="68">
        <v>89.19</v>
      </c>
      <c r="T672" s="68">
        <v>5.0</v>
      </c>
      <c r="U672" s="68">
        <v>69822.03</v>
      </c>
      <c r="V672" s="68">
        <v>0.2427</v>
      </c>
      <c r="W672" s="68">
        <v>4.1201</v>
      </c>
    </row>
    <row r="673" ht="15.75" customHeight="1">
      <c r="A673" s="3" t="s">
        <v>65</v>
      </c>
      <c r="B673" s="68" t="s">
        <v>779</v>
      </c>
      <c r="C673" s="68" t="s">
        <v>944</v>
      </c>
      <c r="D673" s="68" t="s">
        <v>781</v>
      </c>
      <c r="E673" s="68" t="s">
        <v>459</v>
      </c>
      <c r="F673" s="68" t="s">
        <v>774</v>
      </c>
      <c r="G673" s="68" t="s">
        <v>775</v>
      </c>
      <c r="H673" s="181">
        <v>45427.0</v>
      </c>
      <c r="J673" s="68" t="s">
        <v>90</v>
      </c>
      <c r="K673" s="68">
        <v>392.0</v>
      </c>
      <c r="L673" s="68" t="s">
        <v>776</v>
      </c>
      <c r="M673" s="68" t="s">
        <v>8</v>
      </c>
      <c r="N673" s="68">
        <v>234733.0</v>
      </c>
      <c r="O673" s="68">
        <v>191.0</v>
      </c>
      <c r="P673" s="68">
        <v>8.0E-4</v>
      </c>
      <c r="Q673" s="68">
        <v>11980.75</v>
      </c>
      <c r="S673" s="68">
        <v>62.73</v>
      </c>
      <c r="T673" s="68">
        <v>6.0</v>
      </c>
      <c r="U673" s="68">
        <v>135723.72</v>
      </c>
      <c r="V673" s="68">
        <v>0.0883</v>
      </c>
      <c r="W673" s="68">
        <v>11.3285</v>
      </c>
    </row>
    <row r="674" ht="15.75" customHeight="1">
      <c r="A674" s="3" t="s">
        <v>65</v>
      </c>
      <c r="B674" s="68" t="s">
        <v>771</v>
      </c>
      <c r="C674" s="68" t="s">
        <v>934</v>
      </c>
      <c r="D674" s="68" t="s">
        <v>773</v>
      </c>
      <c r="E674" s="68" t="s">
        <v>459</v>
      </c>
      <c r="F674" s="68" t="s">
        <v>774</v>
      </c>
      <c r="G674" s="68" t="s">
        <v>775</v>
      </c>
      <c r="H674" s="181">
        <v>45392.0</v>
      </c>
      <c r="J674" s="33" t="s">
        <v>230</v>
      </c>
      <c r="K674" s="68">
        <v>130.96</v>
      </c>
      <c r="L674" s="68" t="s">
        <v>776</v>
      </c>
      <c r="M674" s="68" t="s">
        <v>8</v>
      </c>
      <c r="N674" s="68">
        <v>68831.0</v>
      </c>
      <c r="O674" s="68">
        <v>200.0</v>
      </c>
      <c r="P674" s="68">
        <v>0.0029</v>
      </c>
      <c r="Q674" s="28">
        <v>9651.12</v>
      </c>
      <c r="R674" s="28"/>
      <c r="S674" s="68">
        <v>48.26</v>
      </c>
      <c r="T674" s="68">
        <v>5.0</v>
      </c>
      <c r="U674" s="68">
        <v>90042.38</v>
      </c>
      <c r="V674" s="68">
        <v>0.1072</v>
      </c>
      <c r="W674" s="68">
        <v>9.3297</v>
      </c>
    </row>
    <row r="675" ht="15.75" customHeight="1">
      <c r="A675" s="3" t="s">
        <v>65</v>
      </c>
      <c r="B675" s="68" t="s">
        <v>779</v>
      </c>
      <c r="C675" s="68" t="s">
        <v>1060</v>
      </c>
      <c r="D675" s="68" t="s">
        <v>781</v>
      </c>
      <c r="E675" s="68" t="s">
        <v>459</v>
      </c>
      <c r="F675" s="68" t="s">
        <v>774</v>
      </c>
      <c r="G675" s="68" t="s">
        <v>775</v>
      </c>
      <c r="H675" s="181">
        <v>45301.0</v>
      </c>
      <c r="J675" s="68" t="s">
        <v>170</v>
      </c>
      <c r="K675" s="68">
        <v>500.0</v>
      </c>
      <c r="L675" s="27">
        <v>0.180843329698291</v>
      </c>
      <c r="M675" s="68" t="s">
        <v>8</v>
      </c>
      <c r="N675" s="68">
        <v>28661.0</v>
      </c>
      <c r="O675" s="68">
        <v>217.0</v>
      </c>
      <c r="P675" s="68">
        <v>0.0076</v>
      </c>
      <c r="Q675" s="68">
        <v>6477.58</v>
      </c>
      <c r="S675" s="68">
        <v>29.85</v>
      </c>
      <c r="T675" s="68">
        <v>1.0</v>
      </c>
      <c r="U675" s="68">
        <v>5923.73</v>
      </c>
      <c r="V675" s="68">
        <v>1.0935</v>
      </c>
      <c r="W675" s="68">
        <v>0.9145</v>
      </c>
    </row>
    <row r="676" ht="15.75" customHeight="1">
      <c r="A676" s="3" t="s">
        <v>65</v>
      </c>
      <c r="B676" s="68" t="s">
        <v>779</v>
      </c>
      <c r="C676" s="68" t="s">
        <v>996</v>
      </c>
      <c r="D676" s="68" t="s">
        <v>781</v>
      </c>
      <c r="E676" s="68" t="s">
        <v>463</v>
      </c>
      <c r="F676" s="68" t="s">
        <v>774</v>
      </c>
      <c r="H676" s="181">
        <v>45513.0</v>
      </c>
      <c r="J676" s="68" t="s">
        <v>239</v>
      </c>
      <c r="K676" s="68">
        <v>7094.97</v>
      </c>
      <c r="M676" s="68" t="s">
        <v>8</v>
      </c>
      <c r="N676" s="68">
        <v>38480.0</v>
      </c>
      <c r="O676" s="68">
        <v>232.0</v>
      </c>
      <c r="P676" s="68">
        <v>0.006</v>
      </c>
      <c r="Q676" s="68">
        <v>17878.74</v>
      </c>
      <c r="S676" s="68">
        <v>77.06</v>
      </c>
      <c r="T676" s="68">
        <v>1.0</v>
      </c>
      <c r="U676" s="68">
        <v>16745.76</v>
      </c>
      <c r="V676" s="68">
        <v>1.0677</v>
      </c>
      <c r="W676" s="68">
        <v>0.9366</v>
      </c>
    </row>
    <row r="677" ht="15.75" customHeight="1">
      <c r="A677" s="3" t="s">
        <v>65</v>
      </c>
      <c r="B677" s="68" t="s">
        <v>771</v>
      </c>
      <c r="C677" s="68" t="s">
        <v>945</v>
      </c>
      <c r="D677" s="68" t="s">
        <v>773</v>
      </c>
      <c r="E677" s="68" t="s">
        <v>459</v>
      </c>
      <c r="F677" s="68" t="s">
        <v>774</v>
      </c>
      <c r="G677" s="68" t="s">
        <v>783</v>
      </c>
      <c r="H677" s="181">
        <v>45415.0</v>
      </c>
      <c r="J677" s="68" t="s">
        <v>232</v>
      </c>
      <c r="K677" s="68">
        <v>944.91</v>
      </c>
      <c r="L677" s="68" t="s">
        <v>776</v>
      </c>
      <c r="M677" s="68" t="s">
        <v>8</v>
      </c>
      <c r="N677" s="68">
        <v>92474.0</v>
      </c>
      <c r="O677" s="68">
        <v>279.0</v>
      </c>
      <c r="P677" s="68">
        <v>0.003</v>
      </c>
      <c r="Q677" s="68">
        <v>18634.42</v>
      </c>
      <c r="S677" s="68">
        <v>66.79</v>
      </c>
      <c r="T677" s="68">
        <v>1.0</v>
      </c>
      <c r="U677" s="68">
        <v>13135.59</v>
      </c>
      <c r="V677" s="68">
        <v>1.4186</v>
      </c>
      <c r="W677" s="68">
        <v>0.7049</v>
      </c>
    </row>
    <row r="678" ht="15.75" customHeight="1">
      <c r="A678" s="3" t="s">
        <v>65</v>
      </c>
      <c r="B678" s="68" t="s">
        <v>771</v>
      </c>
      <c r="C678" s="68" t="s">
        <v>1061</v>
      </c>
      <c r="D678" s="68" t="s">
        <v>773</v>
      </c>
      <c r="E678" s="68" t="s">
        <v>459</v>
      </c>
      <c r="F678" s="68" t="s">
        <v>774</v>
      </c>
      <c r="G678" s="68" t="s">
        <v>775</v>
      </c>
      <c r="H678" s="181">
        <v>45580.0</v>
      </c>
      <c r="J678" s="68" t="s">
        <v>134</v>
      </c>
      <c r="K678" s="68">
        <v>1000.0</v>
      </c>
      <c r="L678" s="68" t="s">
        <v>776</v>
      </c>
      <c r="M678" s="68" t="s">
        <v>8</v>
      </c>
      <c r="N678" s="68">
        <v>20523.0</v>
      </c>
      <c r="O678" s="68">
        <v>288.0</v>
      </c>
      <c r="P678" s="68">
        <v>0.014</v>
      </c>
      <c r="Q678" s="68">
        <v>22240.44</v>
      </c>
      <c r="S678" s="68">
        <v>77.22</v>
      </c>
      <c r="T678" s="68">
        <v>3.0</v>
      </c>
      <c r="U678" s="68">
        <v>47453.39</v>
      </c>
      <c r="V678" s="68">
        <v>0.4687</v>
      </c>
      <c r="W678" s="68">
        <v>2.1337</v>
      </c>
    </row>
    <row r="679" ht="15.75" customHeight="1">
      <c r="A679" s="3" t="s">
        <v>65</v>
      </c>
      <c r="B679" s="68" t="s">
        <v>771</v>
      </c>
      <c r="C679" s="68" t="s">
        <v>1002</v>
      </c>
      <c r="D679" s="68" t="s">
        <v>773</v>
      </c>
      <c r="E679" s="68" t="s">
        <v>459</v>
      </c>
      <c r="F679" s="68" t="s">
        <v>774</v>
      </c>
      <c r="G679" s="68" t="s">
        <v>775</v>
      </c>
      <c r="H679" s="181">
        <v>45534.0</v>
      </c>
      <c r="J679" s="68" t="s">
        <v>217</v>
      </c>
      <c r="K679" s="68">
        <v>500.0</v>
      </c>
      <c r="L679" s="27">
        <v>0.310344827586206</v>
      </c>
      <c r="M679" s="68" t="s">
        <v>8</v>
      </c>
      <c r="N679" s="68">
        <v>41733.0</v>
      </c>
      <c r="O679" s="68">
        <v>291.0</v>
      </c>
      <c r="P679" s="68">
        <v>0.007</v>
      </c>
      <c r="Q679" s="68">
        <v>2338.63</v>
      </c>
      <c r="S679" s="68">
        <v>8.04</v>
      </c>
      <c r="T679" s="68">
        <v>7.0</v>
      </c>
      <c r="U679" s="68">
        <v>44877.99</v>
      </c>
      <c r="V679" s="68">
        <v>0.0521</v>
      </c>
      <c r="W679" s="68">
        <v>19.1899</v>
      </c>
    </row>
    <row r="680" ht="15.75" customHeight="1">
      <c r="A680" s="3" t="s">
        <v>65</v>
      </c>
      <c r="B680" s="68" t="s">
        <v>771</v>
      </c>
      <c r="C680" s="68" t="s">
        <v>882</v>
      </c>
      <c r="D680" s="68" t="s">
        <v>773</v>
      </c>
      <c r="E680" s="68" t="s">
        <v>462</v>
      </c>
      <c r="F680" s="68" t="s">
        <v>774</v>
      </c>
      <c r="H680" s="181">
        <v>45338.0</v>
      </c>
      <c r="J680" s="68" t="s">
        <v>134</v>
      </c>
      <c r="K680" s="68">
        <v>356.4</v>
      </c>
      <c r="L680" s="68" t="s">
        <v>776</v>
      </c>
      <c r="M680" s="68" t="s">
        <v>8</v>
      </c>
      <c r="N680" s="68">
        <v>18604.0</v>
      </c>
      <c r="O680" s="68">
        <v>331.0</v>
      </c>
      <c r="P680" s="68">
        <v>0.0178</v>
      </c>
      <c r="Q680" s="68">
        <v>5818.46</v>
      </c>
      <c r="S680" s="68">
        <v>17.58</v>
      </c>
      <c r="T680" s="68">
        <v>0.0</v>
      </c>
      <c r="U680" s="68">
        <v>0.0</v>
      </c>
      <c r="V680" s="68">
        <v>0.0</v>
      </c>
      <c r="W680" s="68">
        <v>0.0</v>
      </c>
    </row>
    <row r="681" ht="15.75" customHeight="1">
      <c r="A681" s="3" t="s">
        <v>65</v>
      </c>
      <c r="B681" s="68" t="s">
        <v>779</v>
      </c>
      <c r="C681" s="68" t="s">
        <v>999</v>
      </c>
      <c r="D681" s="68" t="s">
        <v>781</v>
      </c>
      <c r="E681" s="68" t="s">
        <v>460</v>
      </c>
      <c r="F681" s="68" t="s">
        <v>778</v>
      </c>
      <c r="G681" s="68" t="s">
        <v>775</v>
      </c>
      <c r="H681" s="181">
        <v>45524.0</v>
      </c>
      <c r="J681" s="68" t="s">
        <v>158</v>
      </c>
      <c r="K681" s="68">
        <v>190.0</v>
      </c>
      <c r="L681" s="68" t="s">
        <v>776</v>
      </c>
      <c r="M681" s="68" t="s">
        <v>8</v>
      </c>
      <c r="N681" s="68">
        <v>415917.0</v>
      </c>
      <c r="O681" s="68">
        <v>359.0</v>
      </c>
      <c r="P681" s="68">
        <v>9.0E-4</v>
      </c>
      <c r="Q681" s="68">
        <v>4413.89</v>
      </c>
      <c r="S681" s="68">
        <v>12.29</v>
      </c>
      <c r="T681" s="68">
        <v>3.0</v>
      </c>
      <c r="U681" s="68">
        <v>20220.34</v>
      </c>
      <c r="V681" s="68">
        <v>0.2183</v>
      </c>
      <c r="W681" s="68">
        <v>4.5811</v>
      </c>
    </row>
    <row r="682" ht="15.75" customHeight="1">
      <c r="A682" s="3" t="s">
        <v>65</v>
      </c>
      <c r="B682" s="68" t="s">
        <v>771</v>
      </c>
      <c r="C682" s="68" t="s">
        <v>862</v>
      </c>
      <c r="D682" s="68" t="s">
        <v>773</v>
      </c>
      <c r="E682" s="68" t="s">
        <v>463</v>
      </c>
      <c r="F682" s="68" t="s">
        <v>774</v>
      </c>
      <c r="H682" s="181">
        <v>45309.0</v>
      </c>
      <c r="J682" s="68" t="s">
        <v>128</v>
      </c>
      <c r="K682" s="68">
        <v>26606.08</v>
      </c>
      <c r="M682" s="68" t="s">
        <v>8</v>
      </c>
      <c r="N682" s="68">
        <v>106961.0</v>
      </c>
      <c r="O682" s="68">
        <v>395.0</v>
      </c>
      <c r="P682" s="68">
        <v>0.0037</v>
      </c>
      <c r="Q682" s="68">
        <v>28130.37</v>
      </c>
      <c r="S682" s="68">
        <v>71.22</v>
      </c>
      <c r="T682" s="68">
        <v>21.0</v>
      </c>
      <c r="U682" s="68">
        <v>427483.07</v>
      </c>
      <c r="V682" s="68">
        <v>0.0658</v>
      </c>
      <c r="W682" s="68">
        <v>15.1965</v>
      </c>
    </row>
    <row r="683" ht="15.75" customHeight="1">
      <c r="A683" s="3" t="s">
        <v>65</v>
      </c>
      <c r="B683" s="68" t="s">
        <v>771</v>
      </c>
      <c r="C683" s="68" t="s">
        <v>1023</v>
      </c>
      <c r="D683" s="68" t="s">
        <v>773</v>
      </c>
      <c r="E683" s="68" t="s">
        <v>459</v>
      </c>
      <c r="F683" s="68" t="s">
        <v>774</v>
      </c>
      <c r="G683" s="68" t="s">
        <v>783</v>
      </c>
      <c r="H683" s="181">
        <v>45539.0</v>
      </c>
      <c r="J683" s="33" t="s">
        <v>230</v>
      </c>
      <c r="K683" s="68">
        <v>3100.0</v>
      </c>
      <c r="L683" s="27">
        <v>0.0580155505599439</v>
      </c>
      <c r="M683" s="68" t="s">
        <v>8</v>
      </c>
      <c r="N683" s="68">
        <v>246570.0</v>
      </c>
      <c r="O683" s="68">
        <v>456.0</v>
      </c>
      <c r="P683" s="68">
        <v>0.0018</v>
      </c>
      <c r="Q683" s="28">
        <v>44323.94</v>
      </c>
      <c r="R683" s="28"/>
      <c r="S683" s="68">
        <v>97.2</v>
      </c>
      <c r="T683" s="68">
        <v>2.0</v>
      </c>
      <c r="U683" s="68">
        <v>44067.8</v>
      </c>
      <c r="V683" s="68">
        <v>1.0058</v>
      </c>
      <c r="W683" s="68">
        <v>0.9942</v>
      </c>
    </row>
    <row r="684" ht="15.75" customHeight="1">
      <c r="A684" s="3" t="s">
        <v>65</v>
      </c>
      <c r="B684" s="68" t="s">
        <v>771</v>
      </c>
      <c r="C684" s="68" t="s">
        <v>948</v>
      </c>
      <c r="D684" s="68" t="s">
        <v>773</v>
      </c>
      <c r="E684" s="68" t="s">
        <v>460</v>
      </c>
      <c r="F684" s="68" t="s">
        <v>778</v>
      </c>
      <c r="G684" s="68" t="s">
        <v>775</v>
      </c>
      <c r="H684" s="181">
        <v>45415.0</v>
      </c>
      <c r="J684" s="68" t="s">
        <v>232</v>
      </c>
      <c r="K684" s="68">
        <v>900.39</v>
      </c>
      <c r="L684" s="68" t="s">
        <v>776</v>
      </c>
      <c r="M684" s="68" t="s">
        <v>8</v>
      </c>
      <c r="N684" s="68">
        <v>393393.0</v>
      </c>
      <c r="O684" s="68">
        <v>587.0</v>
      </c>
      <c r="P684" s="68">
        <v>0.0015</v>
      </c>
      <c r="Q684" s="68">
        <v>14246.25</v>
      </c>
      <c r="S684" s="68">
        <v>24.27</v>
      </c>
      <c r="T684" s="68">
        <v>3.0</v>
      </c>
      <c r="U684" s="68">
        <v>46161.02</v>
      </c>
      <c r="V684" s="68">
        <v>0.3086</v>
      </c>
      <c r="W684" s="68">
        <v>3.2402</v>
      </c>
    </row>
    <row r="685" ht="15.75" customHeight="1">
      <c r="A685" s="3" t="s">
        <v>65</v>
      </c>
      <c r="B685" s="68" t="s">
        <v>771</v>
      </c>
      <c r="C685" s="68" t="s">
        <v>798</v>
      </c>
      <c r="D685" s="68" t="s">
        <v>773</v>
      </c>
      <c r="E685" s="68" t="s">
        <v>461</v>
      </c>
      <c r="F685" s="68" t="s">
        <v>774</v>
      </c>
      <c r="H685" s="181">
        <v>45260.0</v>
      </c>
      <c r="J685" s="68" t="s">
        <v>128</v>
      </c>
      <c r="K685" s="68">
        <v>35474.79</v>
      </c>
      <c r="L685" s="27">
        <v>0.624172707217144</v>
      </c>
      <c r="M685" s="68" t="s">
        <v>8</v>
      </c>
      <c r="N685" s="68">
        <v>130908.0</v>
      </c>
      <c r="O685" s="68">
        <v>607.0</v>
      </c>
      <c r="P685" s="68">
        <v>0.0046</v>
      </c>
      <c r="Q685" s="68">
        <v>18547.75</v>
      </c>
      <c r="S685" s="68">
        <v>30.56</v>
      </c>
      <c r="T685" s="68">
        <v>18.0</v>
      </c>
      <c r="U685" s="68">
        <v>253529.69</v>
      </c>
      <c r="V685" s="68">
        <v>0.0732</v>
      </c>
      <c r="W685" s="68">
        <v>13.669</v>
      </c>
    </row>
    <row r="686" ht="15.75" customHeight="1">
      <c r="A686" s="3" t="s">
        <v>65</v>
      </c>
      <c r="B686" s="68" t="s">
        <v>779</v>
      </c>
      <c r="C686" s="68" t="s">
        <v>917</v>
      </c>
      <c r="D686" s="68" t="s">
        <v>781</v>
      </c>
      <c r="E686" s="68" t="s">
        <v>463</v>
      </c>
      <c r="F686" s="68" t="s">
        <v>774</v>
      </c>
      <c r="H686" s="181">
        <v>45355.0</v>
      </c>
      <c r="J686" s="68" t="s">
        <v>90</v>
      </c>
      <c r="K686" s="68">
        <v>4650.0</v>
      </c>
      <c r="M686" s="68" t="s">
        <v>8</v>
      </c>
      <c r="N686" s="68">
        <v>94603.0</v>
      </c>
      <c r="O686" s="68">
        <v>632.0</v>
      </c>
      <c r="P686" s="68">
        <v>0.0067</v>
      </c>
      <c r="Q686" s="68">
        <v>3081.3</v>
      </c>
      <c r="S686" s="68">
        <v>4.88</v>
      </c>
      <c r="T686" s="68">
        <v>0.0</v>
      </c>
      <c r="U686" s="68">
        <v>0.0</v>
      </c>
      <c r="V686" s="68">
        <v>0.0</v>
      </c>
      <c r="W686" s="68">
        <v>0.0</v>
      </c>
    </row>
    <row r="687" ht="15.75" customHeight="1">
      <c r="A687" s="3" t="s">
        <v>65</v>
      </c>
      <c r="B687" s="68" t="s">
        <v>771</v>
      </c>
      <c r="C687" s="68" t="s">
        <v>904</v>
      </c>
      <c r="D687" s="68" t="s">
        <v>773</v>
      </c>
      <c r="E687" s="68" t="s">
        <v>459</v>
      </c>
      <c r="F687" s="68" t="s">
        <v>774</v>
      </c>
      <c r="G687" s="68" t="s">
        <v>783</v>
      </c>
      <c r="H687" s="181">
        <v>45301.0</v>
      </c>
      <c r="J687" s="68" t="s">
        <v>134</v>
      </c>
      <c r="K687" s="68">
        <v>500.0</v>
      </c>
      <c r="L687" s="27">
        <v>0.109203638171555</v>
      </c>
      <c r="M687" s="68" t="s">
        <v>8</v>
      </c>
      <c r="N687" s="68">
        <v>128148.0</v>
      </c>
      <c r="O687" s="68">
        <v>644.0</v>
      </c>
      <c r="P687" s="68">
        <v>0.005</v>
      </c>
      <c r="Q687" s="68">
        <v>65856.07</v>
      </c>
      <c r="S687" s="68">
        <v>102.26</v>
      </c>
      <c r="T687" s="68">
        <v>6.0</v>
      </c>
      <c r="U687" s="68">
        <v>129805.09</v>
      </c>
      <c r="V687" s="68">
        <v>0.5073</v>
      </c>
      <c r="W687" s="68">
        <v>1.971</v>
      </c>
    </row>
    <row r="688" ht="15.75" customHeight="1">
      <c r="A688" s="3" t="s">
        <v>65</v>
      </c>
      <c r="B688" s="68" t="s">
        <v>779</v>
      </c>
      <c r="C688" s="68" t="s">
        <v>836</v>
      </c>
      <c r="D688" s="68" t="s">
        <v>781</v>
      </c>
      <c r="E688" s="68" t="s">
        <v>462</v>
      </c>
      <c r="F688" s="68" t="s">
        <v>774</v>
      </c>
      <c r="H688" s="181">
        <v>45304.0</v>
      </c>
      <c r="J688" s="68" t="s">
        <v>158</v>
      </c>
      <c r="K688" s="68">
        <v>190.0</v>
      </c>
      <c r="L688" s="27">
        <v>0.233634254162361</v>
      </c>
      <c r="M688" s="68" t="s">
        <v>8</v>
      </c>
      <c r="N688" s="68">
        <v>62594.0</v>
      </c>
      <c r="O688" s="68">
        <v>981.0</v>
      </c>
      <c r="P688" s="68">
        <v>0.0157</v>
      </c>
      <c r="Q688" s="68">
        <v>9047.05</v>
      </c>
      <c r="S688" s="68">
        <v>9.22</v>
      </c>
      <c r="T688" s="68">
        <v>7.0</v>
      </c>
      <c r="U688" s="68">
        <v>20762.7</v>
      </c>
      <c r="V688" s="68">
        <v>0.4357</v>
      </c>
      <c r="W688" s="68">
        <v>2.295</v>
      </c>
    </row>
    <row r="689" ht="15.75" customHeight="1">
      <c r="A689" s="3" t="s">
        <v>65</v>
      </c>
      <c r="B689" s="68" t="s">
        <v>779</v>
      </c>
      <c r="C689" s="68" t="s">
        <v>951</v>
      </c>
      <c r="D689" s="68" t="s">
        <v>781</v>
      </c>
      <c r="E689" s="68" t="s">
        <v>462</v>
      </c>
      <c r="F689" s="68" t="s">
        <v>774</v>
      </c>
      <c r="H689" s="181">
        <v>45436.0</v>
      </c>
      <c r="J689" s="68" t="s">
        <v>134</v>
      </c>
      <c r="K689" s="68">
        <v>356.4</v>
      </c>
      <c r="L689" s="68" t="s">
        <v>776</v>
      </c>
      <c r="M689" s="68" t="s">
        <v>8</v>
      </c>
      <c r="N689" s="68">
        <v>45642.0</v>
      </c>
      <c r="O689" s="68">
        <v>1016.0</v>
      </c>
      <c r="P689" s="68">
        <v>0.0223</v>
      </c>
      <c r="Q689" s="68">
        <v>2435.68</v>
      </c>
      <c r="S689" s="68">
        <v>2.4</v>
      </c>
      <c r="T689" s="68">
        <v>0.0</v>
      </c>
      <c r="U689" s="68">
        <v>0.0</v>
      </c>
      <c r="V689" s="68">
        <v>0.0</v>
      </c>
      <c r="W689" s="68">
        <v>0.0</v>
      </c>
    </row>
    <row r="690" ht="15.75" customHeight="1">
      <c r="A690" s="3" t="s">
        <v>65</v>
      </c>
      <c r="B690" s="68" t="s">
        <v>779</v>
      </c>
      <c r="C690" s="68" t="s">
        <v>995</v>
      </c>
      <c r="D690" s="68" t="s">
        <v>781</v>
      </c>
      <c r="E690" s="68" t="s">
        <v>463</v>
      </c>
      <c r="F690" s="68" t="s">
        <v>774</v>
      </c>
      <c r="H690" s="181">
        <v>45505.0</v>
      </c>
      <c r="J690" s="68" t="s">
        <v>239</v>
      </c>
      <c r="K690" s="68">
        <v>5675.96</v>
      </c>
      <c r="M690" s="68" t="s">
        <v>8</v>
      </c>
      <c r="N690" s="68">
        <v>81192.0</v>
      </c>
      <c r="O690" s="68">
        <v>1158.0</v>
      </c>
      <c r="P690" s="68">
        <v>0.0143</v>
      </c>
      <c r="Q690" s="68">
        <v>11463.46</v>
      </c>
      <c r="S690" s="68">
        <v>9.9</v>
      </c>
      <c r="T690" s="68">
        <v>0.0</v>
      </c>
      <c r="U690" s="68">
        <v>0.0</v>
      </c>
      <c r="V690" s="68">
        <v>0.0</v>
      </c>
      <c r="W690" s="68">
        <v>0.0</v>
      </c>
    </row>
    <row r="691" ht="15.75" customHeight="1">
      <c r="A691" s="3" t="s">
        <v>65</v>
      </c>
      <c r="B691" s="68" t="s">
        <v>771</v>
      </c>
      <c r="C691" s="68" t="s">
        <v>789</v>
      </c>
      <c r="D691" s="68" t="s">
        <v>773</v>
      </c>
      <c r="E691" s="68" t="s">
        <v>459</v>
      </c>
      <c r="F691" s="68" t="s">
        <v>774</v>
      </c>
      <c r="G691" s="68" t="s">
        <v>783</v>
      </c>
      <c r="H691" s="181">
        <v>45260.0</v>
      </c>
      <c r="J691" s="68" t="s">
        <v>128</v>
      </c>
      <c r="K691" s="68">
        <v>7399.58</v>
      </c>
      <c r="L691" s="27">
        <v>0.703084355258268</v>
      </c>
      <c r="M691" s="68" t="s">
        <v>8</v>
      </c>
      <c r="N691" s="68">
        <v>465448.0</v>
      </c>
      <c r="O691" s="68">
        <v>1360.0</v>
      </c>
      <c r="P691" s="68">
        <v>0.0029</v>
      </c>
      <c r="Q691" s="68">
        <v>90983.32</v>
      </c>
      <c r="S691" s="68">
        <v>66.9</v>
      </c>
      <c r="T691" s="68">
        <v>66.0</v>
      </c>
      <c r="U691" s="68">
        <v>1368216.95</v>
      </c>
      <c r="V691" s="68">
        <v>0.0665</v>
      </c>
      <c r="W691" s="68">
        <v>15.0381</v>
      </c>
    </row>
    <row r="692" ht="15.75" customHeight="1">
      <c r="A692" s="3" t="s">
        <v>65</v>
      </c>
      <c r="B692" s="68" t="s">
        <v>771</v>
      </c>
      <c r="C692" s="68" t="s">
        <v>822</v>
      </c>
      <c r="D692" s="68" t="s">
        <v>773</v>
      </c>
      <c r="E692" s="68" t="s">
        <v>462</v>
      </c>
      <c r="F692" s="68" t="s">
        <v>774</v>
      </c>
      <c r="H692" s="181">
        <v>45303.0</v>
      </c>
      <c r="J692" s="68" t="s">
        <v>128</v>
      </c>
      <c r="K692" s="68">
        <v>17737.41</v>
      </c>
      <c r="L692" s="27">
        <v>0.25258493353028</v>
      </c>
      <c r="M692" s="68" t="s">
        <v>8</v>
      </c>
      <c r="N692" s="68">
        <v>126449.0</v>
      </c>
      <c r="O692" s="68">
        <v>1384.0</v>
      </c>
      <c r="P692" s="68">
        <v>0.0109</v>
      </c>
      <c r="Q692" s="68">
        <v>43218.09</v>
      </c>
      <c r="S692" s="68">
        <v>31.23</v>
      </c>
      <c r="T692" s="68">
        <v>5.0</v>
      </c>
      <c r="U692" s="68">
        <v>92016.95</v>
      </c>
      <c r="V692" s="68">
        <v>0.4697</v>
      </c>
      <c r="W692" s="68">
        <v>2.1291</v>
      </c>
    </row>
    <row r="693" ht="15.75" customHeight="1">
      <c r="A693" s="3" t="s">
        <v>65</v>
      </c>
      <c r="B693" s="68" t="s">
        <v>771</v>
      </c>
      <c r="C693" s="68" t="s">
        <v>1062</v>
      </c>
      <c r="D693" s="68" t="s">
        <v>773</v>
      </c>
      <c r="E693" s="68" t="s">
        <v>459</v>
      </c>
      <c r="F693" s="68" t="s">
        <v>774</v>
      </c>
      <c r="G693" s="68" t="s">
        <v>783</v>
      </c>
      <c r="H693" s="181">
        <v>45309.0</v>
      </c>
      <c r="J693" s="68" t="s">
        <v>128</v>
      </c>
      <c r="K693" s="68">
        <v>35474.79</v>
      </c>
      <c r="L693" s="27">
        <v>0.0721080454571153</v>
      </c>
      <c r="M693" s="68" t="s">
        <v>8</v>
      </c>
      <c r="N693" s="68">
        <v>466926.0</v>
      </c>
      <c r="O693" s="68">
        <v>1405.0</v>
      </c>
      <c r="P693" s="68">
        <v>0.003</v>
      </c>
      <c r="Q693" s="68">
        <v>106834.12</v>
      </c>
      <c r="S693" s="68">
        <v>76.04</v>
      </c>
      <c r="T693" s="68">
        <v>58.0</v>
      </c>
      <c r="U693" s="68">
        <v>1164115.26</v>
      </c>
      <c r="V693" s="68">
        <v>0.0918</v>
      </c>
      <c r="W693" s="68">
        <v>10.8965</v>
      </c>
    </row>
    <row r="694" ht="15.75" customHeight="1">
      <c r="A694" s="3" t="s">
        <v>65</v>
      </c>
      <c r="B694" s="68" t="s">
        <v>771</v>
      </c>
      <c r="C694" s="68" t="s">
        <v>905</v>
      </c>
      <c r="D694" s="68" t="s">
        <v>773</v>
      </c>
      <c r="E694" s="68" t="s">
        <v>459</v>
      </c>
      <c r="F694" s="68" t="s">
        <v>774</v>
      </c>
      <c r="G694" s="68" t="s">
        <v>775</v>
      </c>
      <c r="H694" s="181">
        <v>45341.0</v>
      </c>
      <c r="J694" s="68" t="s">
        <v>134</v>
      </c>
      <c r="K694" s="68">
        <v>500.0</v>
      </c>
      <c r="L694" s="27">
        <v>0.11259750761035</v>
      </c>
      <c r="M694" s="68" t="s">
        <v>8</v>
      </c>
      <c r="N694" s="68">
        <v>561265.0</v>
      </c>
      <c r="O694" s="68">
        <v>1475.0</v>
      </c>
      <c r="P694" s="68">
        <v>0.0026</v>
      </c>
      <c r="Q694" s="68">
        <v>170687.42</v>
      </c>
      <c r="S694" s="68">
        <v>115.72</v>
      </c>
      <c r="T694" s="68">
        <v>9.0</v>
      </c>
      <c r="U694" s="68">
        <v>154902.56</v>
      </c>
      <c r="V694" s="68">
        <v>1.1019</v>
      </c>
      <c r="W694" s="68">
        <v>0.9075</v>
      </c>
    </row>
    <row r="695" ht="15.75" customHeight="1">
      <c r="A695" s="3" t="s">
        <v>65</v>
      </c>
      <c r="B695" s="68" t="s">
        <v>779</v>
      </c>
      <c r="C695" s="68" t="s">
        <v>994</v>
      </c>
      <c r="D695" s="68" t="s">
        <v>781</v>
      </c>
      <c r="E695" s="68" t="s">
        <v>463</v>
      </c>
      <c r="F695" s="68" t="s">
        <v>774</v>
      </c>
      <c r="H695" s="181">
        <v>45505.0</v>
      </c>
      <c r="J695" s="68" t="s">
        <v>239</v>
      </c>
      <c r="K695" s="68">
        <v>9459.94</v>
      </c>
      <c r="M695" s="68" t="s">
        <v>8</v>
      </c>
      <c r="N695" s="68">
        <v>105325.0</v>
      </c>
      <c r="O695" s="68">
        <v>1569.0</v>
      </c>
      <c r="P695" s="68">
        <v>0.0149</v>
      </c>
      <c r="Q695" s="68">
        <v>16985.96</v>
      </c>
      <c r="S695" s="68">
        <v>10.83</v>
      </c>
      <c r="T695" s="68">
        <v>0.0</v>
      </c>
      <c r="U695" s="68">
        <v>0.0</v>
      </c>
      <c r="V695" s="68">
        <v>0.0</v>
      </c>
      <c r="W695" s="68">
        <v>0.0</v>
      </c>
    </row>
    <row r="696" ht="15.75" customHeight="1">
      <c r="A696" s="3" t="s">
        <v>65</v>
      </c>
      <c r="B696" s="68" t="s">
        <v>771</v>
      </c>
      <c r="C696" s="68" t="s">
        <v>1001</v>
      </c>
      <c r="D696" s="68" t="s">
        <v>773</v>
      </c>
      <c r="E696" s="68" t="s">
        <v>460</v>
      </c>
      <c r="F696" s="68" t="s">
        <v>778</v>
      </c>
      <c r="G696" s="68" t="s">
        <v>775</v>
      </c>
      <c r="H696" s="181">
        <v>45525.0</v>
      </c>
      <c r="J696" s="68" t="s">
        <v>217</v>
      </c>
      <c r="K696" s="68">
        <v>953.64</v>
      </c>
      <c r="L696" s="68" t="s">
        <v>776</v>
      </c>
      <c r="M696" s="68" t="s">
        <v>8</v>
      </c>
      <c r="N696" s="68">
        <v>358760.0</v>
      </c>
      <c r="O696" s="68">
        <v>1574.0</v>
      </c>
      <c r="P696" s="68">
        <v>0.0044</v>
      </c>
      <c r="Q696" s="68">
        <v>8155.41</v>
      </c>
      <c r="S696" s="68">
        <v>5.18</v>
      </c>
      <c r="T696" s="68">
        <v>20.0</v>
      </c>
      <c r="U696" s="68">
        <v>56515.3</v>
      </c>
      <c r="V696" s="68">
        <v>0.1443</v>
      </c>
      <c r="W696" s="68">
        <v>6.9298</v>
      </c>
    </row>
    <row r="697" ht="15.75" customHeight="1">
      <c r="A697" s="3" t="s">
        <v>65</v>
      </c>
      <c r="B697" s="68" t="s">
        <v>771</v>
      </c>
      <c r="C697" s="68" t="s">
        <v>971</v>
      </c>
      <c r="D697" s="68" t="s">
        <v>773</v>
      </c>
      <c r="E697" s="68" t="s">
        <v>459</v>
      </c>
      <c r="F697" s="68" t="s">
        <v>774</v>
      </c>
      <c r="G697" s="68" t="s">
        <v>783</v>
      </c>
      <c r="H697" s="181">
        <v>45488.0</v>
      </c>
      <c r="J697" s="68" t="s">
        <v>90</v>
      </c>
      <c r="K697" s="68">
        <v>2000.0</v>
      </c>
      <c r="L697" s="68" t="s">
        <v>776</v>
      </c>
      <c r="M697" s="68" t="s">
        <v>8</v>
      </c>
      <c r="N697" s="68">
        <v>1687621.0</v>
      </c>
      <c r="O697" s="68">
        <v>1982.0</v>
      </c>
      <c r="P697" s="68">
        <v>0.0012</v>
      </c>
      <c r="Q697" s="68">
        <v>86012.35</v>
      </c>
      <c r="S697" s="68">
        <v>43.4</v>
      </c>
      <c r="T697" s="68">
        <v>41.0</v>
      </c>
      <c r="U697" s="68">
        <v>780544.9</v>
      </c>
      <c r="V697" s="68">
        <v>0.1102</v>
      </c>
      <c r="W697" s="68">
        <v>9.0748</v>
      </c>
    </row>
    <row r="698" ht="15.75" customHeight="1">
      <c r="A698" s="3" t="s">
        <v>65</v>
      </c>
      <c r="B698" s="68" t="s">
        <v>771</v>
      </c>
      <c r="C698" s="68" t="s">
        <v>877</v>
      </c>
      <c r="D698" s="68" t="s">
        <v>773</v>
      </c>
      <c r="E698" s="68" t="s">
        <v>461</v>
      </c>
      <c r="F698" s="68" t="s">
        <v>774</v>
      </c>
      <c r="H698" s="181">
        <v>45260.0</v>
      </c>
      <c r="J698" s="68" t="s">
        <v>196</v>
      </c>
      <c r="K698" s="68">
        <v>500.0</v>
      </c>
      <c r="L698" s="27">
        <v>0.207238881489214</v>
      </c>
      <c r="M698" s="68" t="s">
        <v>8</v>
      </c>
      <c r="N698" s="68">
        <v>285578.0</v>
      </c>
      <c r="O698" s="68">
        <v>1991.0</v>
      </c>
      <c r="P698" s="68">
        <v>0.007</v>
      </c>
      <c r="Q698" s="68">
        <v>86344.97</v>
      </c>
      <c r="S698" s="68">
        <v>43.37</v>
      </c>
      <c r="T698" s="68">
        <v>16.0</v>
      </c>
      <c r="U698" s="68">
        <v>302613.54</v>
      </c>
      <c r="V698" s="68">
        <v>0.2853</v>
      </c>
      <c r="W698" s="68">
        <v>3.5047</v>
      </c>
    </row>
    <row r="699" ht="15.75" customHeight="1">
      <c r="A699" s="3" t="s">
        <v>65</v>
      </c>
      <c r="B699" s="68" t="s">
        <v>771</v>
      </c>
      <c r="C699" s="68" t="s">
        <v>883</v>
      </c>
      <c r="D699" s="68" t="s">
        <v>773</v>
      </c>
      <c r="E699" s="68" t="s">
        <v>462</v>
      </c>
      <c r="F699" s="68" t="s">
        <v>774</v>
      </c>
      <c r="H699" s="181">
        <v>45336.0</v>
      </c>
      <c r="J699" s="68" t="s">
        <v>134</v>
      </c>
      <c r="K699" s="68">
        <v>500.0</v>
      </c>
      <c r="L699" s="27">
        <v>0.149909595107977</v>
      </c>
      <c r="M699" s="68" t="s">
        <v>8</v>
      </c>
      <c r="N699" s="68">
        <v>246264.0</v>
      </c>
      <c r="O699" s="68">
        <v>4143.0</v>
      </c>
      <c r="P699" s="68">
        <v>0.0168</v>
      </c>
      <c r="Q699" s="68">
        <v>163438.58</v>
      </c>
      <c r="S699" s="68">
        <v>39.45</v>
      </c>
      <c r="T699" s="68">
        <v>12.0</v>
      </c>
      <c r="U699" s="68">
        <v>202932.19</v>
      </c>
      <c r="V699" s="68">
        <v>0.8054</v>
      </c>
      <c r="W699" s="68">
        <v>1.2416</v>
      </c>
    </row>
    <row r="700" ht="15.75" customHeight="1">
      <c r="A700" s="3" t="s">
        <v>67</v>
      </c>
      <c r="B700" s="68" t="s">
        <v>771</v>
      </c>
      <c r="C700" s="68" t="s">
        <v>971</v>
      </c>
      <c r="D700" s="68" t="s">
        <v>773</v>
      </c>
      <c r="E700" s="68" t="s">
        <v>1063</v>
      </c>
      <c r="F700" s="68" t="s">
        <v>774</v>
      </c>
      <c r="G700" s="68" t="s">
        <v>775</v>
      </c>
      <c r="H700" s="181">
        <v>45488.0</v>
      </c>
      <c r="J700" s="68" t="s">
        <v>90</v>
      </c>
      <c r="K700" s="68">
        <v>5000.0</v>
      </c>
      <c r="L700" s="27">
        <v>0.0933518759258699</v>
      </c>
      <c r="M700" s="68" t="s">
        <v>8</v>
      </c>
      <c r="N700" s="68">
        <v>1687616.0</v>
      </c>
      <c r="O700" s="68">
        <v>2024.0</v>
      </c>
      <c r="P700" s="68">
        <v>0.0012</v>
      </c>
      <c r="Q700" s="68">
        <v>105295.19</v>
      </c>
      <c r="S700" s="68">
        <v>52.02</v>
      </c>
      <c r="T700" s="68">
        <v>13.0</v>
      </c>
      <c r="U700" s="68">
        <v>327321.19</v>
      </c>
      <c r="V700" s="68">
        <v>0.3217</v>
      </c>
      <c r="W700" s="68">
        <v>3.1086</v>
      </c>
    </row>
    <row r="701" ht="15.75" customHeight="1">
      <c r="A701" s="3" t="s">
        <v>67</v>
      </c>
      <c r="B701" s="68" t="s">
        <v>779</v>
      </c>
      <c r="C701" s="68" t="s">
        <v>905</v>
      </c>
      <c r="D701" s="68" t="s">
        <v>781</v>
      </c>
      <c r="E701" s="68" t="s">
        <v>1063</v>
      </c>
      <c r="F701" s="68" t="s">
        <v>774</v>
      </c>
      <c r="G701" s="68" t="s">
        <v>775</v>
      </c>
      <c r="H701" s="181">
        <v>45341.0</v>
      </c>
      <c r="J701" s="68" t="s">
        <v>134</v>
      </c>
      <c r="K701" s="68">
        <v>3000.0</v>
      </c>
      <c r="L701" s="27">
        <v>0.142932587316766</v>
      </c>
      <c r="M701" s="68" t="s">
        <v>8</v>
      </c>
      <c r="N701" s="68">
        <v>359877.0</v>
      </c>
      <c r="O701" s="68">
        <v>798.0</v>
      </c>
      <c r="P701" s="68">
        <v>0.0022</v>
      </c>
      <c r="Q701" s="68">
        <v>68369.28</v>
      </c>
      <c r="S701" s="68">
        <v>85.68</v>
      </c>
      <c r="T701" s="68">
        <v>7.0</v>
      </c>
      <c r="U701" s="68">
        <v>136652.54</v>
      </c>
      <c r="V701" s="68">
        <v>0.5003</v>
      </c>
      <c r="W701" s="68">
        <v>1.9987</v>
      </c>
    </row>
    <row r="702" ht="15.75" customHeight="1">
      <c r="A702" s="3" t="s">
        <v>67</v>
      </c>
      <c r="B702" s="68" t="s">
        <v>779</v>
      </c>
      <c r="C702" s="68" t="s">
        <v>904</v>
      </c>
      <c r="D702" s="68" t="s">
        <v>781</v>
      </c>
      <c r="E702" s="68" t="s">
        <v>1063</v>
      </c>
      <c r="F702" s="68" t="s">
        <v>774</v>
      </c>
      <c r="G702" s="68" t="s">
        <v>775</v>
      </c>
      <c r="H702" s="181">
        <v>45301.0</v>
      </c>
      <c r="J702" s="68" t="s">
        <v>134</v>
      </c>
      <c r="K702" s="68">
        <v>1000.0</v>
      </c>
      <c r="L702" s="27">
        <v>0.17236673490106</v>
      </c>
      <c r="M702" s="68" t="s">
        <v>8</v>
      </c>
      <c r="N702" s="68">
        <v>162053.0</v>
      </c>
      <c r="O702" s="68">
        <v>641.0</v>
      </c>
      <c r="P702" s="68">
        <v>0.004</v>
      </c>
      <c r="Q702" s="68">
        <v>49671.63</v>
      </c>
      <c r="S702" s="68">
        <v>77.49</v>
      </c>
      <c r="T702" s="68">
        <v>7.0</v>
      </c>
      <c r="U702" s="68">
        <v>122244.91</v>
      </c>
      <c r="V702" s="68">
        <v>0.4063</v>
      </c>
      <c r="W702" s="68">
        <v>2.4611</v>
      </c>
    </row>
    <row r="703" ht="15.75" customHeight="1">
      <c r="A703" s="3" t="s">
        <v>67</v>
      </c>
      <c r="B703" s="68" t="s">
        <v>779</v>
      </c>
      <c r="C703" s="68" t="s">
        <v>1062</v>
      </c>
      <c r="D703" s="68" t="s">
        <v>781</v>
      </c>
      <c r="E703" s="68" t="s">
        <v>1063</v>
      </c>
      <c r="F703" s="68" t="s">
        <v>774</v>
      </c>
      <c r="G703" s="68" t="s">
        <v>775</v>
      </c>
      <c r="H703" s="181">
        <v>45309.0</v>
      </c>
      <c r="J703" s="68" t="s">
        <v>128</v>
      </c>
      <c r="K703" s="68">
        <v>54985.92</v>
      </c>
      <c r="L703" s="27">
        <v>0.173240208162147</v>
      </c>
      <c r="M703" s="68" t="s">
        <v>8</v>
      </c>
      <c r="N703" s="68">
        <v>337418.0</v>
      </c>
      <c r="O703" s="68">
        <v>1039.0</v>
      </c>
      <c r="P703" s="68">
        <v>0.0031</v>
      </c>
      <c r="Q703" s="68">
        <v>48649.1</v>
      </c>
      <c r="S703" s="68">
        <v>46.82</v>
      </c>
      <c r="T703" s="68">
        <v>26.0</v>
      </c>
      <c r="U703" s="68">
        <v>567985.59</v>
      </c>
      <c r="V703" s="68">
        <v>0.0857</v>
      </c>
      <c r="W703" s="68">
        <v>11.6752</v>
      </c>
    </row>
    <row r="704" ht="15.75" customHeight="1">
      <c r="A704" s="3" t="s">
        <v>67</v>
      </c>
      <c r="B704" s="68" t="s">
        <v>779</v>
      </c>
      <c r="C704" s="68" t="s">
        <v>883</v>
      </c>
      <c r="D704" s="68" t="s">
        <v>781</v>
      </c>
      <c r="E704" s="68" t="s">
        <v>462</v>
      </c>
      <c r="F704" s="68" t="s">
        <v>774</v>
      </c>
      <c r="H704" s="181">
        <v>45336.0</v>
      </c>
      <c r="J704" s="68" t="s">
        <v>134</v>
      </c>
      <c r="K704" s="68">
        <v>4650.0</v>
      </c>
      <c r="L704" s="27">
        <v>0.154378530101749</v>
      </c>
      <c r="M704" s="68" t="s">
        <v>8</v>
      </c>
      <c r="N704" s="68">
        <v>128978.0</v>
      </c>
      <c r="O704" s="68">
        <v>2484.0</v>
      </c>
      <c r="P704" s="68">
        <v>0.0193</v>
      </c>
      <c r="Q704" s="68">
        <v>43830.36</v>
      </c>
      <c r="S704" s="68">
        <v>17.65</v>
      </c>
      <c r="T704" s="68">
        <v>11.0</v>
      </c>
      <c r="U704" s="68">
        <v>180793.19</v>
      </c>
      <c r="V704" s="68">
        <v>0.2424</v>
      </c>
      <c r="W704" s="68">
        <v>4.1248</v>
      </c>
    </row>
    <row r="705" ht="15.75" customHeight="1">
      <c r="A705" s="3" t="s">
        <v>67</v>
      </c>
      <c r="B705" s="68" t="s">
        <v>771</v>
      </c>
      <c r="C705" s="68" t="s">
        <v>789</v>
      </c>
      <c r="D705" s="68" t="s">
        <v>773</v>
      </c>
      <c r="E705" s="68" t="s">
        <v>1063</v>
      </c>
      <c r="F705" s="68" t="s">
        <v>774</v>
      </c>
      <c r="G705" s="68" t="s">
        <v>775</v>
      </c>
      <c r="H705" s="181">
        <v>45260.0</v>
      </c>
      <c r="J705" s="68" t="s">
        <v>128</v>
      </c>
      <c r="K705" s="68">
        <v>11469.35</v>
      </c>
      <c r="L705" s="27">
        <v>0.459302325581395</v>
      </c>
      <c r="M705" s="68" t="s">
        <v>8</v>
      </c>
      <c r="N705" s="68">
        <v>345659.0</v>
      </c>
      <c r="O705" s="68">
        <v>937.0</v>
      </c>
      <c r="P705" s="68">
        <v>0.0027</v>
      </c>
      <c r="Q705" s="68">
        <v>41114.74</v>
      </c>
      <c r="S705" s="68">
        <v>43.88</v>
      </c>
      <c r="T705" s="68">
        <v>21.0</v>
      </c>
      <c r="U705" s="68">
        <v>387273.71</v>
      </c>
      <c r="V705" s="68">
        <v>0.1062</v>
      </c>
      <c r="W705" s="68">
        <v>9.4193</v>
      </c>
    </row>
    <row r="706" ht="15.75" customHeight="1">
      <c r="A706" s="3" t="s">
        <v>67</v>
      </c>
      <c r="B706" s="68" t="s">
        <v>771</v>
      </c>
      <c r="C706" s="68" t="s">
        <v>822</v>
      </c>
      <c r="D706" s="68" t="s">
        <v>773</v>
      </c>
      <c r="E706" s="68" t="s">
        <v>462</v>
      </c>
      <c r="F706" s="68" t="s">
        <v>774</v>
      </c>
      <c r="H706" s="181">
        <v>45303.0</v>
      </c>
      <c r="J706" s="68" t="s">
        <v>128</v>
      </c>
      <c r="K706" s="68">
        <v>27492.99</v>
      </c>
      <c r="L706" s="27">
        <v>0.360978352544278</v>
      </c>
      <c r="M706" s="68" t="s">
        <v>8</v>
      </c>
      <c r="N706" s="68">
        <v>227062.0</v>
      </c>
      <c r="O706" s="68">
        <v>1752.0</v>
      </c>
      <c r="P706" s="68">
        <v>0.0077</v>
      </c>
      <c r="Q706" s="68">
        <v>37383.81</v>
      </c>
      <c r="S706" s="68">
        <v>21.34</v>
      </c>
      <c r="T706" s="68">
        <v>7.0</v>
      </c>
      <c r="U706" s="68">
        <v>138262.72</v>
      </c>
      <c r="V706" s="68">
        <v>0.2704</v>
      </c>
      <c r="W706" s="68">
        <v>3.6985</v>
      </c>
    </row>
    <row r="707" ht="15.75" customHeight="1">
      <c r="A707" s="3" t="s">
        <v>67</v>
      </c>
      <c r="B707" s="68" t="s">
        <v>771</v>
      </c>
      <c r="C707" s="68" t="s">
        <v>1064</v>
      </c>
      <c r="D707" s="68" t="s">
        <v>773</v>
      </c>
      <c r="E707" s="68" t="s">
        <v>1063</v>
      </c>
      <c r="F707" s="68" t="s">
        <v>774</v>
      </c>
      <c r="G707" s="68" t="s">
        <v>775</v>
      </c>
      <c r="H707" s="181">
        <v>45615.0</v>
      </c>
      <c r="J707" s="68" t="s">
        <v>413</v>
      </c>
      <c r="K707" s="68">
        <v>2240.0</v>
      </c>
      <c r="L707" s="27">
        <v>0.218329484831594</v>
      </c>
      <c r="M707" s="68" t="s">
        <v>8</v>
      </c>
      <c r="N707" s="68">
        <v>66896.0</v>
      </c>
      <c r="O707" s="68">
        <v>540.0</v>
      </c>
      <c r="P707" s="68">
        <v>0.0081</v>
      </c>
      <c r="Q707" s="68">
        <v>34414.93</v>
      </c>
      <c r="S707" s="68">
        <v>63.73</v>
      </c>
      <c r="T707" s="68">
        <v>11.0</v>
      </c>
      <c r="U707" s="68">
        <v>144059.31</v>
      </c>
      <c r="V707" s="68">
        <v>0.2389</v>
      </c>
      <c r="W707" s="68">
        <v>4.186</v>
      </c>
    </row>
    <row r="708" ht="15.75" customHeight="1">
      <c r="A708" s="3" t="s">
        <v>67</v>
      </c>
      <c r="B708" s="68" t="s">
        <v>779</v>
      </c>
      <c r="C708" s="68" t="s">
        <v>1065</v>
      </c>
      <c r="D708" s="68" t="s">
        <v>781</v>
      </c>
      <c r="E708" s="68" t="s">
        <v>1063</v>
      </c>
      <c r="F708" s="68" t="s">
        <v>774</v>
      </c>
      <c r="G708" s="68" t="s">
        <v>775</v>
      </c>
      <c r="H708" s="181">
        <v>45615.0</v>
      </c>
      <c r="J708" s="68" t="s">
        <v>413</v>
      </c>
      <c r="K708" s="68">
        <v>3079.94</v>
      </c>
      <c r="L708" s="27">
        <v>0.138599319362349</v>
      </c>
      <c r="M708" s="68" t="s">
        <v>8</v>
      </c>
      <c r="N708" s="68">
        <v>52858.0</v>
      </c>
      <c r="O708" s="68">
        <v>458.0</v>
      </c>
      <c r="P708" s="68">
        <v>0.0087</v>
      </c>
      <c r="Q708" s="68">
        <v>29909.45</v>
      </c>
      <c r="S708" s="68">
        <v>65.3</v>
      </c>
      <c r="T708" s="68">
        <v>4.0</v>
      </c>
      <c r="U708" s="68">
        <v>57623.73</v>
      </c>
      <c r="V708" s="68">
        <v>0.519</v>
      </c>
      <c r="W708" s="68">
        <v>1.9266</v>
      </c>
    </row>
    <row r="709" ht="15.75" customHeight="1">
      <c r="A709" s="3" t="s">
        <v>67</v>
      </c>
      <c r="B709" s="68" t="s">
        <v>771</v>
      </c>
      <c r="C709" s="68" t="s">
        <v>1066</v>
      </c>
      <c r="D709" s="68" t="s">
        <v>773</v>
      </c>
      <c r="E709" s="68" t="s">
        <v>460</v>
      </c>
      <c r="F709" s="68" t="s">
        <v>778</v>
      </c>
      <c r="G709" s="68" t="s">
        <v>775</v>
      </c>
      <c r="H709" s="181">
        <v>45356.0</v>
      </c>
      <c r="J709" s="68" t="s">
        <v>211</v>
      </c>
      <c r="K709" s="68">
        <v>1000.0</v>
      </c>
      <c r="L709" s="68" t="s">
        <v>776</v>
      </c>
      <c r="M709" s="68" t="s">
        <v>8</v>
      </c>
      <c r="N709" s="68">
        <v>1066933.0</v>
      </c>
      <c r="O709" s="68">
        <v>4487.0</v>
      </c>
      <c r="P709" s="68">
        <v>0.0042</v>
      </c>
      <c r="Q709" s="68">
        <v>29427.35</v>
      </c>
      <c r="S709" s="68">
        <v>6.56</v>
      </c>
      <c r="T709" s="68">
        <v>41.0</v>
      </c>
      <c r="U709" s="68">
        <v>238936.41</v>
      </c>
      <c r="V709" s="68">
        <v>0.1232</v>
      </c>
      <c r="W709" s="68">
        <v>8.1195</v>
      </c>
    </row>
    <row r="710" ht="15.75" customHeight="1">
      <c r="A710" s="3" t="s">
        <v>67</v>
      </c>
      <c r="B710" s="68" t="s">
        <v>779</v>
      </c>
      <c r="C710" s="68" t="s">
        <v>877</v>
      </c>
      <c r="D710" s="68" t="s">
        <v>781</v>
      </c>
      <c r="E710" s="68" t="s">
        <v>461</v>
      </c>
      <c r="F710" s="68" t="s">
        <v>774</v>
      </c>
      <c r="H710" s="181">
        <v>45260.0</v>
      </c>
      <c r="J710" s="68" t="s">
        <v>196</v>
      </c>
      <c r="K710" s="68">
        <v>3100.0</v>
      </c>
      <c r="L710" s="27">
        <v>0.107581896690176</v>
      </c>
      <c r="M710" s="68" t="s">
        <v>8</v>
      </c>
      <c r="N710" s="68">
        <v>176193.0</v>
      </c>
      <c r="O710" s="68">
        <v>932.0</v>
      </c>
      <c r="P710" s="68">
        <v>0.0053</v>
      </c>
      <c r="Q710" s="68">
        <v>25982.78</v>
      </c>
      <c r="S710" s="68">
        <v>27.88</v>
      </c>
      <c r="T710" s="68">
        <v>6.0</v>
      </c>
      <c r="U710" s="68">
        <v>112328.82</v>
      </c>
      <c r="V710" s="68">
        <v>0.2313</v>
      </c>
      <c r="W710" s="68">
        <v>4.3232</v>
      </c>
    </row>
    <row r="711" ht="15.75" customHeight="1">
      <c r="A711" s="3" t="s">
        <v>67</v>
      </c>
      <c r="B711" s="68" t="s">
        <v>779</v>
      </c>
      <c r="C711" s="68" t="s">
        <v>910</v>
      </c>
      <c r="D711" s="68" t="s">
        <v>781</v>
      </c>
      <c r="E711" s="68" t="s">
        <v>1063</v>
      </c>
      <c r="F711" s="68" t="s">
        <v>774</v>
      </c>
      <c r="G711" s="68" t="s">
        <v>783</v>
      </c>
      <c r="H711" s="181">
        <v>45341.0</v>
      </c>
      <c r="J711" s="68" t="s">
        <v>134</v>
      </c>
      <c r="K711" s="68">
        <v>1550.0</v>
      </c>
      <c r="L711" s="27">
        <v>0.0892178125792186</v>
      </c>
      <c r="M711" s="68" t="s">
        <v>8</v>
      </c>
      <c r="N711" s="68">
        <v>37132.0</v>
      </c>
      <c r="O711" s="68">
        <v>250.0</v>
      </c>
      <c r="P711" s="68">
        <v>0.0067</v>
      </c>
      <c r="Q711" s="68">
        <v>20487.67</v>
      </c>
      <c r="S711" s="68">
        <v>81.95</v>
      </c>
      <c r="T711" s="68">
        <v>1.0</v>
      </c>
      <c r="U711" s="68">
        <v>18432.2</v>
      </c>
      <c r="V711" s="68">
        <v>1.1115</v>
      </c>
      <c r="W711" s="68">
        <v>0.8997</v>
      </c>
    </row>
    <row r="712" ht="15.75" customHeight="1">
      <c r="A712" s="3" t="s">
        <v>67</v>
      </c>
      <c r="B712" s="68" t="s">
        <v>779</v>
      </c>
      <c r="C712" s="68" t="s">
        <v>1067</v>
      </c>
      <c r="D712" s="68" t="s">
        <v>781</v>
      </c>
      <c r="E712" s="68" t="s">
        <v>1063</v>
      </c>
      <c r="F712" s="68" t="s">
        <v>774</v>
      </c>
      <c r="G712" s="68" t="s">
        <v>775</v>
      </c>
      <c r="H712" s="181">
        <v>45615.0</v>
      </c>
      <c r="J712" s="68" t="s">
        <v>413</v>
      </c>
      <c r="K712" s="68">
        <v>7812.0</v>
      </c>
      <c r="L712" s="68" t="s">
        <v>776</v>
      </c>
      <c r="M712" s="68" t="s">
        <v>8</v>
      </c>
      <c r="N712" s="68">
        <v>165119.0</v>
      </c>
      <c r="O712" s="68">
        <v>313.0</v>
      </c>
      <c r="P712" s="68">
        <v>0.0019</v>
      </c>
      <c r="Q712" s="68">
        <v>18902.07</v>
      </c>
      <c r="S712" s="68">
        <v>60.39</v>
      </c>
      <c r="T712" s="68">
        <v>0.0</v>
      </c>
      <c r="U712" s="68">
        <v>0.0</v>
      </c>
      <c r="V712" s="68">
        <v>0.0</v>
      </c>
      <c r="W712" s="68">
        <v>0.0</v>
      </c>
    </row>
    <row r="713" ht="15.75" customHeight="1">
      <c r="A713" s="3" t="s">
        <v>67</v>
      </c>
      <c r="B713" s="68" t="s">
        <v>771</v>
      </c>
      <c r="C713" s="68" t="s">
        <v>798</v>
      </c>
      <c r="D713" s="68" t="s">
        <v>773</v>
      </c>
      <c r="E713" s="68" t="s">
        <v>461</v>
      </c>
      <c r="F713" s="68" t="s">
        <v>774</v>
      </c>
      <c r="H713" s="181">
        <v>45260.0</v>
      </c>
      <c r="J713" s="68" t="s">
        <v>128</v>
      </c>
      <c r="K713" s="68">
        <v>54985.92</v>
      </c>
      <c r="L713" s="27">
        <v>0.588019879675647</v>
      </c>
      <c r="M713" s="68" t="s">
        <v>8</v>
      </c>
      <c r="N713" s="68">
        <v>280301.0</v>
      </c>
      <c r="O713" s="68">
        <v>819.0</v>
      </c>
      <c r="P713" s="68">
        <v>0.0029</v>
      </c>
      <c r="Q713" s="68">
        <v>14827.38</v>
      </c>
      <c r="S713" s="68">
        <v>18.1</v>
      </c>
      <c r="T713" s="68">
        <v>11.0</v>
      </c>
      <c r="U713" s="68">
        <v>164248.31</v>
      </c>
      <c r="V713" s="68">
        <v>0.0903</v>
      </c>
      <c r="W713" s="68">
        <v>11.0774</v>
      </c>
    </row>
    <row r="714" ht="15.75" customHeight="1">
      <c r="A714" s="3" t="s">
        <v>67</v>
      </c>
      <c r="B714" s="68" t="s">
        <v>779</v>
      </c>
      <c r="C714" s="68" t="s">
        <v>895</v>
      </c>
      <c r="D714" s="68" t="s">
        <v>781</v>
      </c>
      <c r="E714" s="68" t="s">
        <v>1063</v>
      </c>
      <c r="F714" s="68" t="s">
        <v>774</v>
      </c>
      <c r="G714" s="68" t="s">
        <v>783</v>
      </c>
      <c r="H714" s="181">
        <v>45338.0</v>
      </c>
      <c r="J714" s="68" t="s">
        <v>134</v>
      </c>
      <c r="K714" s="68">
        <v>1550.0</v>
      </c>
      <c r="L714" s="27">
        <v>0.071211743651315</v>
      </c>
      <c r="M714" s="68" t="s">
        <v>8</v>
      </c>
      <c r="N714" s="68">
        <v>43256.0</v>
      </c>
      <c r="O714" s="68">
        <v>267.0</v>
      </c>
      <c r="P714" s="68">
        <v>0.0062</v>
      </c>
      <c r="Q714" s="68">
        <v>14647.13</v>
      </c>
      <c r="S714" s="68">
        <v>54.86</v>
      </c>
      <c r="T714" s="68">
        <v>1.0</v>
      </c>
      <c r="U714" s="68">
        <v>18432.2</v>
      </c>
      <c r="V714" s="68">
        <v>0.7946</v>
      </c>
      <c r="W714" s="68">
        <v>1.2584</v>
      </c>
    </row>
    <row r="715" ht="15.75" customHeight="1">
      <c r="A715" s="3" t="s">
        <v>67</v>
      </c>
      <c r="B715" s="68" t="s">
        <v>779</v>
      </c>
      <c r="C715" s="68" t="s">
        <v>882</v>
      </c>
      <c r="D715" s="68" t="s">
        <v>781</v>
      </c>
      <c r="E715" s="68" t="s">
        <v>462</v>
      </c>
      <c r="F715" s="68" t="s">
        <v>774</v>
      </c>
      <c r="H715" s="181">
        <v>45338.0</v>
      </c>
      <c r="J715" s="68" t="s">
        <v>134</v>
      </c>
      <c r="K715" s="68">
        <v>1550.0</v>
      </c>
      <c r="L715" s="27">
        <v>0.175381192330344</v>
      </c>
      <c r="M715" s="68" t="s">
        <v>8</v>
      </c>
      <c r="N715" s="68">
        <v>54089.0</v>
      </c>
      <c r="O715" s="68">
        <v>937.0</v>
      </c>
      <c r="P715" s="68">
        <v>0.0173</v>
      </c>
      <c r="Q715" s="68">
        <v>9729.98</v>
      </c>
      <c r="S715" s="68">
        <v>10.38</v>
      </c>
      <c r="T715" s="68">
        <v>3.0</v>
      </c>
      <c r="U715" s="68">
        <v>34701.69</v>
      </c>
      <c r="V715" s="68">
        <v>0.2804</v>
      </c>
      <c r="W715" s="68">
        <v>3.5665</v>
      </c>
    </row>
    <row r="716" ht="15.75" customHeight="1">
      <c r="A716" s="3" t="s">
        <v>67</v>
      </c>
      <c r="B716" s="68" t="s">
        <v>771</v>
      </c>
      <c r="C716" s="68" t="s">
        <v>862</v>
      </c>
      <c r="D716" s="68" t="s">
        <v>773</v>
      </c>
      <c r="E716" s="68" t="s">
        <v>463</v>
      </c>
      <c r="F716" s="68" t="s">
        <v>774</v>
      </c>
      <c r="H716" s="181">
        <v>45309.0</v>
      </c>
      <c r="J716" s="68" t="s">
        <v>128</v>
      </c>
      <c r="K716" s="68">
        <v>41239.42</v>
      </c>
      <c r="M716" s="68" t="s">
        <v>8</v>
      </c>
      <c r="N716" s="68">
        <v>72775.0</v>
      </c>
      <c r="O716" s="68">
        <v>234.0</v>
      </c>
      <c r="P716" s="68">
        <v>0.0032</v>
      </c>
      <c r="Q716" s="68">
        <v>8429.87</v>
      </c>
      <c r="S716" s="68">
        <v>36.03</v>
      </c>
      <c r="T716" s="68">
        <v>3.0</v>
      </c>
      <c r="U716" s="68">
        <v>80651.7</v>
      </c>
      <c r="V716" s="68">
        <v>0.1045</v>
      </c>
      <c r="W716" s="68">
        <v>9.5674</v>
      </c>
    </row>
    <row r="717" ht="15.75" customHeight="1">
      <c r="A717" s="3" t="s">
        <v>67</v>
      </c>
      <c r="B717" s="68" t="s">
        <v>779</v>
      </c>
      <c r="C717" s="68" t="s">
        <v>1023</v>
      </c>
      <c r="D717" s="68" t="s">
        <v>781</v>
      </c>
      <c r="E717" s="68" t="s">
        <v>1063</v>
      </c>
      <c r="F717" s="68" t="s">
        <v>774</v>
      </c>
      <c r="G717" s="68" t="s">
        <v>783</v>
      </c>
      <c r="H717" s="181">
        <v>45539.0</v>
      </c>
      <c r="J717" s="33" t="s">
        <v>230</v>
      </c>
      <c r="K717" s="68">
        <v>4805.0</v>
      </c>
      <c r="L717" s="27">
        <v>0.0676861753094937</v>
      </c>
      <c r="M717" s="68" t="s">
        <v>8</v>
      </c>
      <c r="N717" s="68">
        <v>95293.0</v>
      </c>
      <c r="O717" s="68">
        <v>187.0</v>
      </c>
      <c r="P717" s="68">
        <v>0.002</v>
      </c>
      <c r="Q717" s="68">
        <v>8361.39</v>
      </c>
      <c r="S717" s="68">
        <v>44.71</v>
      </c>
      <c r="T717" s="68">
        <v>0.0</v>
      </c>
      <c r="U717" s="68">
        <v>0.0</v>
      </c>
      <c r="V717" s="68">
        <v>0.0</v>
      </c>
      <c r="W717" s="68">
        <v>0.0</v>
      </c>
    </row>
    <row r="718" ht="15.75" customHeight="1">
      <c r="A718" s="3" t="s">
        <v>67</v>
      </c>
      <c r="B718" s="68" t="s">
        <v>771</v>
      </c>
      <c r="C718" s="68" t="s">
        <v>1068</v>
      </c>
      <c r="D718" s="68" t="s">
        <v>773</v>
      </c>
      <c r="E718" s="68" t="s">
        <v>462</v>
      </c>
      <c r="F718" s="68" t="s">
        <v>774</v>
      </c>
      <c r="H718" s="181">
        <v>45617.0</v>
      </c>
      <c r="J718" s="68" t="s">
        <v>413</v>
      </c>
      <c r="K718" s="68">
        <v>2604.0</v>
      </c>
      <c r="L718" s="27">
        <v>0.104731713044499</v>
      </c>
      <c r="M718" s="68" t="s">
        <v>8</v>
      </c>
      <c r="N718" s="68">
        <v>19784.0</v>
      </c>
      <c r="O718" s="68">
        <v>529.0</v>
      </c>
      <c r="P718" s="68">
        <v>0.0267</v>
      </c>
      <c r="Q718" s="68">
        <v>7408.76</v>
      </c>
      <c r="S718" s="68">
        <v>14.01</v>
      </c>
      <c r="T718" s="68">
        <v>1.0</v>
      </c>
      <c r="U718" s="68">
        <v>14405.93</v>
      </c>
      <c r="V718" s="68">
        <v>0.5143</v>
      </c>
      <c r="W718" s="68">
        <v>1.9444</v>
      </c>
    </row>
    <row r="719" ht="15.75" customHeight="1">
      <c r="A719" s="3" t="s">
        <v>67</v>
      </c>
      <c r="B719" s="68" t="s">
        <v>771</v>
      </c>
      <c r="C719" s="68" t="s">
        <v>1069</v>
      </c>
      <c r="D719" s="68" t="s">
        <v>773</v>
      </c>
      <c r="E719" s="68" t="s">
        <v>1063</v>
      </c>
      <c r="F719" s="68" t="s">
        <v>774</v>
      </c>
      <c r="G719" s="68" t="s">
        <v>775</v>
      </c>
      <c r="H719" s="181">
        <v>45504.0</v>
      </c>
      <c r="J719" s="68" t="s">
        <v>211</v>
      </c>
      <c r="K719" s="68">
        <v>500.0</v>
      </c>
      <c r="L719" s="27">
        <v>0.161189596740413</v>
      </c>
      <c r="M719" s="68" t="s">
        <v>8</v>
      </c>
      <c r="N719" s="68">
        <v>55802.0</v>
      </c>
      <c r="O719" s="68">
        <v>799.0</v>
      </c>
      <c r="P719" s="68">
        <v>0.0143</v>
      </c>
      <c r="Q719" s="68">
        <v>6286.93</v>
      </c>
      <c r="S719" s="68">
        <v>7.87</v>
      </c>
      <c r="T719" s="68">
        <v>17.0</v>
      </c>
      <c r="U719" s="68">
        <v>34985.59</v>
      </c>
      <c r="V719" s="68">
        <v>0.1797</v>
      </c>
      <c r="W719" s="68">
        <v>5.5648</v>
      </c>
    </row>
    <row r="720" ht="15.75" customHeight="1">
      <c r="A720" s="3" t="s">
        <v>67</v>
      </c>
      <c r="B720" s="68" t="s">
        <v>771</v>
      </c>
      <c r="C720" s="68" t="s">
        <v>1001</v>
      </c>
      <c r="D720" s="68" t="s">
        <v>773</v>
      </c>
      <c r="E720" s="68" t="s">
        <v>460</v>
      </c>
      <c r="F720" s="68" t="s">
        <v>778</v>
      </c>
      <c r="G720" s="68" t="s">
        <v>775</v>
      </c>
      <c r="H720" s="181">
        <v>45525.0</v>
      </c>
      <c r="J720" s="68" t="s">
        <v>217</v>
      </c>
      <c r="K720" s="68">
        <v>200.0</v>
      </c>
      <c r="L720" s="68" t="s">
        <v>776</v>
      </c>
      <c r="M720" s="68" t="s">
        <v>8</v>
      </c>
      <c r="N720" s="68">
        <v>314322.0</v>
      </c>
      <c r="O720" s="68">
        <v>1349.0</v>
      </c>
      <c r="P720" s="68">
        <v>0.0043</v>
      </c>
      <c r="Q720" s="68">
        <v>6135.39</v>
      </c>
      <c r="S720" s="68">
        <v>4.55</v>
      </c>
      <c r="T720" s="68">
        <v>13.0</v>
      </c>
      <c r="U720" s="68">
        <v>38416.1</v>
      </c>
      <c r="V720" s="68">
        <v>0.1597</v>
      </c>
      <c r="W720" s="68">
        <v>6.2614</v>
      </c>
    </row>
    <row r="721" ht="15.75" customHeight="1">
      <c r="A721" s="3" t="s">
        <v>67</v>
      </c>
      <c r="B721" s="68" t="s">
        <v>779</v>
      </c>
      <c r="C721" s="68" t="s">
        <v>945</v>
      </c>
      <c r="D721" s="68" t="s">
        <v>781</v>
      </c>
      <c r="E721" s="68" t="s">
        <v>1063</v>
      </c>
      <c r="F721" s="68" t="s">
        <v>774</v>
      </c>
      <c r="G721" s="68" t="s">
        <v>775</v>
      </c>
      <c r="H721" s="181">
        <v>45415.0</v>
      </c>
      <c r="J721" s="68" t="s">
        <v>232</v>
      </c>
      <c r="K721" s="68">
        <v>1464.61</v>
      </c>
      <c r="L721" s="68" t="s">
        <v>776</v>
      </c>
      <c r="M721" s="68" t="s">
        <v>8</v>
      </c>
      <c r="N721" s="68">
        <v>180783.0</v>
      </c>
      <c r="O721" s="68">
        <v>257.0</v>
      </c>
      <c r="P721" s="68">
        <v>0.0014</v>
      </c>
      <c r="Q721" s="68">
        <v>5140.08</v>
      </c>
      <c r="S721" s="68">
        <v>20.0</v>
      </c>
      <c r="T721" s="68">
        <v>2.0</v>
      </c>
      <c r="U721" s="68">
        <v>20338.14</v>
      </c>
      <c r="V721" s="68">
        <v>0.2527</v>
      </c>
      <c r="W721" s="68">
        <v>3.9568</v>
      </c>
    </row>
    <row r="722" ht="15.75" customHeight="1">
      <c r="A722" s="3" t="s">
        <v>67</v>
      </c>
      <c r="B722" s="68" t="s">
        <v>771</v>
      </c>
      <c r="C722" s="68" t="s">
        <v>1013</v>
      </c>
      <c r="D722" s="68" t="s">
        <v>773</v>
      </c>
      <c r="E722" s="68" t="s">
        <v>1063</v>
      </c>
      <c r="F722" s="68" t="s">
        <v>774</v>
      </c>
      <c r="G722" s="68" t="s">
        <v>775</v>
      </c>
      <c r="H722" s="181">
        <v>45301.0</v>
      </c>
      <c r="J722" s="68" t="s">
        <v>158</v>
      </c>
      <c r="K722" s="68">
        <v>1000.0</v>
      </c>
      <c r="L722" s="68" t="s">
        <v>776</v>
      </c>
      <c r="M722" s="68" t="s">
        <v>8</v>
      </c>
      <c r="N722" s="68">
        <v>42881.0</v>
      </c>
      <c r="O722" s="68">
        <v>144.0</v>
      </c>
      <c r="P722" s="68">
        <v>0.0034</v>
      </c>
      <c r="Q722" s="68">
        <v>3711.09</v>
      </c>
      <c r="S722" s="68">
        <v>25.77</v>
      </c>
      <c r="T722" s="68">
        <v>2.0</v>
      </c>
      <c r="U722" s="68">
        <v>7118.64</v>
      </c>
      <c r="V722" s="68">
        <v>0.5213</v>
      </c>
      <c r="W722" s="68">
        <v>1.9182</v>
      </c>
    </row>
    <row r="723" ht="15.75" customHeight="1">
      <c r="A723" s="3" t="s">
        <v>67</v>
      </c>
      <c r="B723" s="68" t="s">
        <v>779</v>
      </c>
      <c r="C723" s="68" t="s">
        <v>898</v>
      </c>
      <c r="D723" s="68" t="s">
        <v>781</v>
      </c>
      <c r="E723" s="68" t="s">
        <v>1063</v>
      </c>
      <c r="F723" s="68" t="s">
        <v>774</v>
      </c>
      <c r="G723" s="68" t="s">
        <v>775</v>
      </c>
      <c r="H723" s="181">
        <v>45260.0</v>
      </c>
      <c r="J723" s="68" t="s">
        <v>140</v>
      </c>
      <c r="K723" s="68">
        <v>1046.25</v>
      </c>
      <c r="L723" s="68" t="s">
        <v>776</v>
      </c>
      <c r="M723" s="68" t="s">
        <v>8</v>
      </c>
      <c r="N723" s="68">
        <v>32254.0</v>
      </c>
      <c r="O723" s="68">
        <v>82.0</v>
      </c>
      <c r="P723" s="68">
        <v>0.0025</v>
      </c>
      <c r="Q723" s="68">
        <v>3454.91</v>
      </c>
      <c r="S723" s="68">
        <v>42.13</v>
      </c>
      <c r="T723" s="68">
        <v>0.0</v>
      </c>
      <c r="U723" s="68">
        <v>0.0</v>
      </c>
      <c r="V723" s="68">
        <v>0.0</v>
      </c>
      <c r="W723" s="68">
        <v>0.0</v>
      </c>
    </row>
    <row r="724" ht="15.75" customHeight="1">
      <c r="A724" s="3" t="s">
        <v>67</v>
      </c>
      <c r="B724" s="68" t="s">
        <v>779</v>
      </c>
      <c r="C724" s="68" t="s">
        <v>1070</v>
      </c>
      <c r="D724" s="68" t="s">
        <v>781</v>
      </c>
      <c r="E724" s="68" t="s">
        <v>462</v>
      </c>
      <c r="F724" s="68" t="s">
        <v>774</v>
      </c>
      <c r="H724" s="181">
        <v>45617.0</v>
      </c>
      <c r="J724" s="68" t="s">
        <v>413</v>
      </c>
      <c r="K724" s="68">
        <v>150.0</v>
      </c>
      <c r="L724" s="27">
        <v>0.0983588973506382</v>
      </c>
      <c r="M724" s="68" t="s">
        <v>8</v>
      </c>
      <c r="N724" s="68">
        <v>6867.0</v>
      </c>
      <c r="O724" s="68">
        <v>159.0</v>
      </c>
      <c r="P724" s="68">
        <v>0.0232</v>
      </c>
      <c r="Q724" s="68">
        <v>3081.03</v>
      </c>
      <c r="S724" s="68">
        <v>19.38</v>
      </c>
      <c r="T724" s="68">
        <v>0.0</v>
      </c>
      <c r="U724" s="68">
        <v>0.0</v>
      </c>
      <c r="V724" s="68">
        <v>0.0</v>
      </c>
      <c r="W724" s="68">
        <v>0.0</v>
      </c>
    </row>
    <row r="725" ht="15.75" customHeight="1">
      <c r="A725" s="3" t="s">
        <v>67</v>
      </c>
      <c r="B725" s="68" t="s">
        <v>779</v>
      </c>
      <c r="C725" s="68" t="s">
        <v>1054</v>
      </c>
      <c r="D725" s="68" t="s">
        <v>781</v>
      </c>
      <c r="E725" s="68" t="s">
        <v>1063</v>
      </c>
      <c r="F725" s="68" t="s">
        <v>774</v>
      </c>
      <c r="G725" s="68" t="s">
        <v>783</v>
      </c>
      <c r="H725" s="181">
        <v>45587.0</v>
      </c>
      <c r="J725" s="68" t="s">
        <v>232</v>
      </c>
      <c r="K725" s="68">
        <v>1395.0</v>
      </c>
      <c r="L725" s="68" t="s">
        <v>776</v>
      </c>
      <c r="M725" s="68" t="s">
        <v>8</v>
      </c>
      <c r="N725" s="68">
        <v>31650.0</v>
      </c>
      <c r="O725" s="68">
        <v>41.0</v>
      </c>
      <c r="P725" s="68">
        <v>0.0013</v>
      </c>
      <c r="Q725" s="68">
        <v>3013.08</v>
      </c>
      <c r="S725" s="68">
        <v>73.49</v>
      </c>
      <c r="T725" s="68">
        <v>0.0</v>
      </c>
      <c r="U725" s="68">
        <v>0.0</v>
      </c>
      <c r="V725" s="68">
        <v>0.0</v>
      </c>
      <c r="W725" s="68">
        <v>0.0</v>
      </c>
    </row>
    <row r="726" ht="15.75" customHeight="1">
      <c r="A726" s="3" t="s">
        <v>67</v>
      </c>
      <c r="B726" s="68" t="s">
        <v>779</v>
      </c>
      <c r="C726" s="68" t="s">
        <v>934</v>
      </c>
      <c r="D726" s="68" t="s">
        <v>781</v>
      </c>
      <c r="E726" s="68" t="s">
        <v>1063</v>
      </c>
      <c r="F726" s="68" t="s">
        <v>774</v>
      </c>
      <c r="G726" s="68" t="s">
        <v>775</v>
      </c>
      <c r="H726" s="181">
        <v>45392.0</v>
      </c>
      <c r="J726" s="33" t="s">
        <v>230</v>
      </c>
      <c r="K726" s="68">
        <v>1500.0</v>
      </c>
      <c r="L726" s="68" t="s">
        <v>776</v>
      </c>
      <c r="M726" s="68" t="s">
        <v>8</v>
      </c>
      <c r="N726" s="68">
        <v>70853.0</v>
      </c>
      <c r="O726" s="68">
        <v>178.0</v>
      </c>
      <c r="P726" s="68">
        <v>0.0025</v>
      </c>
      <c r="Q726" s="68">
        <v>2812.8</v>
      </c>
      <c r="S726" s="68">
        <v>15.8</v>
      </c>
      <c r="T726" s="68">
        <v>2.0</v>
      </c>
      <c r="U726" s="68">
        <v>48050.84</v>
      </c>
      <c r="V726" s="68">
        <v>0.0585</v>
      </c>
      <c r="W726" s="68">
        <v>17.0829</v>
      </c>
    </row>
    <row r="727" ht="15.75" customHeight="1">
      <c r="A727" s="3" t="s">
        <v>67</v>
      </c>
      <c r="B727" s="68" t="s">
        <v>779</v>
      </c>
      <c r="C727" s="68" t="s">
        <v>1061</v>
      </c>
      <c r="D727" s="68" t="s">
        <v>781</v>
      </c>
      <c r="E727" s="68" t="s">
        <v>1063</v>
      </c>
      <c r="F727" s="68" t="s">
        <v>774</v>
      </c>
      <c r="G727" s="68" t="s">
        <v>775</v>
      </c>
      <c r="H727" s="181">
        <v>45580.0</v>
      </c>
      <c r="J727" s="68" t="s">
        <v>134</v>
      </c>
      <c r="K727" s="68">
        <v>1550.0</v>
      </c>
      <c r="L727" s="27">
        <v>0.0650135376081357</v>
      </c>
      <c r="M727" s="68" t="s">
        <v>8</v>
      </c>
      <c r="N727" s="68">
        <v>3700.0</v>
      </c>
      <c r="O727" s="68">
        <v>111.0</v>
      </c>
      <c r="P727" s="68">
        <v>0.03</v>
      </c>
      <c r="Q727" s="68">
        <v>2777.78</v>
      </c>
      <c r="S727" s="68">
        <v>25.03</v>
      </c>
      <c r="T727" s="68">
        <v>1.0</v>
      </c>
      <c r="U727" s="68">
        <v>20974.58</v>
      </c>
      <c r="V727" s="68">
        <v>0.1324</v>
      </c>
      <c r="W727" s="68">
        <v>7.5508</v>
      </c>
    </row>
    <row r="728" ht="15.75" customHeight="1">
      <c r="A728" s="3" t="s">
        <v>67</v>
      </c>
      <c r="B728" s="68" t="s">
        <v>779</v>
      </c>
      <c r="C728" s="68" t="s">
        <v>1071</v>
      </c>
      <c r="D728" s="68" t="s">
        <v>781</v>
      </c>
      <c r="E728" s="68" t="s">
        <v>1063</v>
      </c>
      <c r="F728" s="68" t="s">
        <v>774</v>
      </c>
      <c r="G728" s="68" t="s">
        <v>775</v>
      </c>
      <c r="H728" s="181">
        <v>45617.0</v>
      </c>
      <c r="J728" s="68" t="s">
        <v>211</v>
      </c>
      <c r="K728" s="68">
        <v>200.0</v>
      </c>
      <c r="L728" s="68" t="s">
        <v>776</v>
      </c>
      <c r="M728" s="68" t="s">
        <v>8</v>
      </c>
      <c r="N728" s="68">
        <v>45676.0</v>
      </c>
      <c r="O728" s="68">
        <v>208.0</v>
      </c>
      <c r="P728" s="68">
        <v>0.0046</v>
      </c>
      <c r="Q728" s="68">
        <v>2340.54</v>
      </c>
      <c r="S728" s="68">
        <v>11.25</v>
      </c>
      <c r="T728" s="68">
        <v>1.0</v>
      </c>
      <c r="U728" s="68">
        <v>1610.17</v>
      </c>
      <c r="V728" s="68">
        <v>1.4536</v>
      </c>
      <c r="W728" s="68">
        <v>0.6879</v>
      </c>
    </row>
    <row r="729" ht="15.75" customHeight="1">
      <c r="A729" s="3" t="s">
        <v>67</v>
      </c>
      <c r="B729" s="68" t="s">
        <v>779</v>
      </c>
      <c r="C729" s="68" t="s">
        <v>1042</v>
      </c>
      <c r="D729" s="68" t="s">
        <v>781</v>
      </c>
      <c r="E729" s="68" t="s">
        <v>1063</v>
      </c>
      <c r="F729" s="68" t="s">
        <v>774</v>
      </c>
      <c r="G729" s="68" t="s">
        <v>775</v>
      </c>
      <c r="H729" s="181">
        <v>45504.0</v>
      </c>
      <c r="J729" s="68" t="s">
        <v>241</v>
      </c>
      <c r="K729" s="68">
        <v>790.5</v>
      </c>
      <c r="L729" s="68" t="s">
        <v>776</v>
      </c>
      <c r="M729" s="68" t="s">
        <v>8</v>
      </c>
      <c r="N729" s="68">
        <v>54476.0</v>
      </c>
      <c r="O729" s="68">
        <v>115.0</v>
      </c>
      <c r="P729" s="68">
        <v>0.0021</v>
      </c>
      <c r="Q729" s="68">
        <v>2243.79</v>
      </c>
      <c r="S729" s="68">
        <v>19.51</v>
      </c>
      <c r="T729" s="68">
        <v>2.0</v>
      </c>
      <c r="U729" s="68">
        <v>3813.56</v>
      </c>
      <c r="V729" s="68">
        <v>0.5884</v>
      </c>
      <c r="W729" s="68">
        <v>1.6996</v>
      </c>
    </row>
    <row r="730" ht="15.75" customHeight="1">
      <c r="A730" s="3" t="s">
        <v>67</v>
      </c>
      <c r="B730" s="68" t="s">
        <v>779</v>
      </c>
      <c r="C730" s="68" t="s">
        <v>964</v>
      </c>
      <c r="D730" s="68" t="s">
        <v>781</v>
      </c>
      <c r="E730" s="68" t="s">
        <v>1063</v>
      </c>
      <c r="F730" s="68" t="s">
        <v>774</v>
      </c>
      <c r="G730" s="68" t="s">
        <v>775</v>
      </c>
      <c r="H730" s="181">
        <v>45460.0</v>
      </c>
      <c r="J730" s="68" t="s">
        <v>232</v>
      </c>
      <c r="K730" s="68">
        <v>1831.7</v>
      </c>
      <c r="L730" s="68" t="s">
        <v>776</v>
      </c>
      <c r="M730" s="68" t="s">
        <v>8</v>
      </c>
      <c r="N730" s="68">
        <v>14477.0</v>
      </c>
      <c r="O730" s="68">
        <v>49.0</v>
      </c>
      <c r="P730" s="68">
        <v>0.0034</v>
      </c>
      <c r="Q730" s="68">
        <v>2217.71</v>
      </c>
      <c r="S730" s="68">
        <v>45.26</v>
      </c>
      <c r="T730" s="68">
        <v>0.0</v>
      </c>
      <c r="U730" s="68">
        <v>0.0</v>
      </c>
      <c r="V730" s="68">
        <v>0.0</v>
      </c>
      <c r="W730" s="68">
        <v>0.0</v>
      </c>
    </row>
    <row r="731" ht="15.75" customHeight="1">
      <c r="A731" s="3" t="s">
        <v>67</v>
      </c>
      <c r="B731" s="68" t="s">
        <v>771</v>
      </c>
      <c r="C731" s="68" t="s">
        <v>1002</v>
      </c>
      <c r="D731" s="68" t="s">
        <v>773</v>
      </c>
      <c r="E731" s="68" t="s">
        <v>1063</v>
      </c>
      <c r="F731" s="68" t="s">
        <v>774</v>
      </c>
      <c r="G731" s="68" t="s">
        <v>775</v>
      </c>
      <c r="H731" s="181">
        <v>45534.0</v>
      </c>
      <c r="J731" s="68" t="s">
        <v>217</v>
      </c>
      <c r="K731" s="68">
        <v>200.0</v>
      </c>
      <c r="L731" s="27">
        <v>0.33254716981132</v>
      </c>
      <c r="M731" s="68" t="s">
        <v>8</v>
      </c>
      <c r="N731" s="68">
        <v>34393.0</v>
      </c>
      <c r="O731" s="68">
        <v>274.0</v>
      </c>
      <c r="P731" s="68">
        <v>0.008</v>
      </c>
      <c r="Q731" s="68">
        <v>2053.92</v>
      </c>
      <c r="S731" s="68">
        <v>7.5</v>
      </c>
      <c r="T731" s="68">
        <v>5.0</v>
      </c>
      <c r="U731" s="68">
        <v>7708.48</v>
      </c>
      <c r="V731" s="68">
        <v>0.2664</v>
      </c>
      <c r="W731" s="68">
        <v>3.7531</v>
      </c>
    </row>
    <row r="732" ht="15.75" customHeight="1">
      <c r="A732" s="3" t="s">
        <v>67</v>
      </c>
      <c r="B732" s="68" t="s">
        <v>779</v>
      </c>
      <c r="C732" s="68" t="s">
        <v>966</v>
      </c>
      <c r="D732" s="68" t="s">
        <v>781</v>
      </c>
      <c r="E732" s="68" t="s">
        <v>1063</v>
      </c>
      <c r="F732" s="68" t="s">
        <v>774</v>
      </c>
      <c r="G732" s="68" t="s">
        <v>775</v>
      </c>
      <c r="H732" s="181">
        <v>45357.0</v>
      </c>
      <c r="J732" s="68" t="s">
        <v>232</v>
      </c>
      <c r="K732" s="68">
        <v>4805.0</v>
      </c>
      <c r="L732" s="68" t="s">
        <v>776</v>
      </c>
      <c r="M732" s="68" t="s">
        <v>8</v>
      </c>
      <c r="N732" s="68">
        <v>85146.0</v>
      </c>
      <c r="O732" s="68">
        <v>61.0</v>
      </c>
      <c r="P732" s="68">
        <v>7.0E-4</v>
      </c>
      <c r="Q732" s="68">
        <v>1867.16</v>
      </c>
      <c r="S732" s="68">
        <v>30.61</v>
      </c>
      <c r="T732" s="68">
        <v>0.0</v>
      </c>
      <c r="U732" s="68">
        <v>0.0</v>
      </c>
      <c r="V732" s="68">
        <v>0.0</v>
      </c>
      <c r="W732" s="68">
        <v>0.0</v>
      </c>
    </row>
    <row r="733" ht="15.75" customHeight="1">
      <c r="A733" s="3" t="s">
        <v>67</v>
      </c>
      <c r="B733" s="68" t="s">
        <v>779</v>
      </c>
      <c r="C733" s="68" t="s">
        <v>1055</v>
      </c>
      <c r="D733" s="68" t="s">
        <v>781</v>
      </c>
      <c r="E733" s="68" t="s">
        <v>463</v>
      </c>
      <c r="F733" s="68" t="s">
        <v>774</v>
      </c>
      <c r="H733" s="181">
        <v>45280.0</v>
      </c>
      <c r="J733" s="68" t="s">
        <v>134</v>
      </c>
      <c r="K733" s="68">
        <v>1000.0</v>
      </c>
      <c r="M733" s="68" t="s">
        <v>8</v>
      </c>
      <c r="N733" s="68">
        <v>36683.0</v>
      </c>
      <c r="O733" s="68">
        <v>79.0</v>
      </c>
      <c r="P733" s="68">
        <v>0.0022</v>
      </c>
      <c r="Q733" s="68">
        <v>1833.52</v>
      </c>
      <c r="S733" s="68">
        <v>23.21</v>
      </c>
      <c r="T733" s="68">
        <v>0.0</v>
      </c>
      <c r="U733" s="68">
        <v>0.0</v>
      </c>
      <c r="V733" s="68">
        <v>0.0</v>
      </c>
      <c r="W733" s="68">
        <v>0.0</v>
      </c>
    </row>
    <row r="734" ht="15.75" customHeight="1">
      <c r="A734" s="3" t="s">
        <v>67</v>
      </c>
      <c r="B734" s="68" t="s">
        <v>779</v>
      </c>
      <c r="C734" s="68" t="s">
        <v>1011</v>
      </c>
      <c r="D734" s="68" t="s">
        <v>781</v>
      </c>
      <c r="E734" s="68" t="s">
        <v>1063</v>
      </c>
      <c r="F734" s="68" t="s">
        <v>774</v>
      </c>
      <c r="G734" s="68" t="s">
        <v>775</v>
      </c>
      <c r="H734" s="181">
        <v>45301.0</v>
      </c>
      <c r="J734" s="68" t="s">
        <v>158</v>
      </c>
      <c r="K734" s="68">
        <v>500.0</v>
      </c>
      <c r="L734" s="68" t="s">
        <v>776</v>
      </c>
      <c r="M734" s="68" t="s">
        <v>8</v>
      </c>
      <c r="N734" s="68">
        <v>38209.0</v>
      </c>
      <c r="O734" s="68">
        <v>86.0</v>
      </c>
      <c r="P734" s="68">
        <v>0.0023</v>
      </c>
      <c r="Q734" s="68">
        <v>1572.67</v>
      </c>
      <c r="S734" s="68">
        <v>18.29</v>
      </c>
      <c r="T734" s="68">
        <v>0.0</v>
      </c>
      <c r="U734" s="68">
        <v>0.0</v>
      </c>
      <c r="V734" s="68">
        <v>0.0</v>
      </c>
      <c r="W734" s="68">
        <v>0.0</v>
      </c>
    </row>
    <row r="735" ht="15.75" customHeight="1">
      <c r="A735" s="3" t="s">
        <v>67</v>
      </c>
      <c r="B735" s="68" t="s">
        <v>779</v>
      </c>
      <c r="C735" s="68" t="s">
        <v>1058</v>
      </c>
      <c r="D735" s="68" t="s">
        <v>781</v>
      </c>
      <c r="E735" s="68" t="s">
        <v>1063</v>
      </c>
      <c r="F735" s="68" t="s">
        <v>774</v>
      </c>
      <c r="G735" s="68" t="s">
        <v>775</v>
      </c>
      <c r="H735" s="181">
        <v>45538.0</v>
      </c>
      <c r="J735" s="68" t="s">
        <v>248</v>
      </c>
      <c r="K735" s="68">
        <v>1240.0</v>
      </c>
      <c r="L735" s="27">
        <v>0.142857142857142</v>
      </c>
      <c r="M735" s="68" t="s">
        <v>8</v>
      </c>
      <c r="N735" s="68">
        <v>5342.0</v>
      </c>
      <c r="O735" s="68">
        <v>103.0</v>
      </c>
      <c r="P735" s="68">
        <v>0.0193</v>
      </c>
      <c r="Q735" s="68">
        <v>1556.28</v>
      </c>
      <c r="S735" s="68">
        <v>15.11</v>
      </c>
      <c r="T735" s="68">
        <v>1.0</v>
      </c>
      <c r="U735" s="68">
        <v>10296.61</v>
      </c>
      <c r="V735" s="68">
        <v>0.1511</v>
      </c>
      <c r="W735" s="68">
        <v>6.6162</v>
      </c>
    </row>
    <row r="736" ht="15.75" customHeight="1">
      <c r="A736" s="3" t="s">
        <v>67</v>
      </c>
      <c r="B736" s="68" t="s">
        <v>779</v>
      </c>
      <c r="C736" s="68" t="s">
        <v>1044</v>
      </c>
      <c r="D736" s="68" t="s">
        <v>781</v>
      </c>
      <c r="E736" s="68" t="s">
        <v>460</v>
      </c>
      <c r="F736" s="68" t="s">
        <v>778</v>
      </c>
      <c r="G736" s="68" t="s">
        <v>775</v>
      </c>
      <c r="H736" s="181">
        <v>45454.0</v>
      </c>
      <c r="J736" s="68" t="s">
        <v>241</v>
      </c>
      <c r="K736" s="68">
        <v>6266.2</v>
      </c>
      <c r="L736" s="68" t="s">
        <v>776</v>
      </c>
      <c r="M736" s="68" t="s">
        <v>8</v>
      </c>
      <c r="N736" s="68">
        <v>62275.0</v>
      </c>
      <c r="O736" s="68">
        <v>164.0</v>
      </c>
      <c r="P736" s="68">
        <v>0.0026</v>
      </c>
      <c r="Q736" s="68">
        <v>1500.84</v>
      </c>
      <c r="S736" s="68">
        <v>9.15</v>
      </c>
      <c r="T736" s="68">
        <v>2.0</v>
      </c>
      <c r="U736" s="68">
        <v>2710.18</v>
      </c>
      <c r="V736" s="68">
        <v>0.5538</v>
      </c>
      <c r="W736" s="68">
        <v>1.8058</v>
      </c>
    </row>
    <row r="737" ht="15.75" customHeight="1">
      <c r="A737" s="3" t="s">
        <v>67</v>
      </c>
      <c r="B737" s="68" t="s">
        <v>771</v>
      </c>
      <c r="C737" s="68" t="s">
        <v>1072</v>
      </c>
      <c r="D737" s="68" t="s">
        <v>773</v>
      </c>
      <c r="E737" s="68" t="s">
        <v>1063</v>
      </c>
      <c r="F737" s="68" t="s">
        <v>774</v>
      </c>
      <c r="G737" s="68" t="s">
        <v>775</v>
      </c>
      <c r="H737" s="181">
        <v>45600.0</v>
      </c>
      <c r="J737" s="68" t="s">
        <v>211</v>
      </c>
      <c r="K737" s="68">
        <v>200.0</v>
      </c>
      <c r="L737" s="27">
        <v>0.0759002770083102</v>
      </c>
      <c r="M737" s="68" t="s">
        <v>8</v>
      </c>
      <c r="N737" s="68">
        <v>9998.0</v>
      </c>
      <c r="O737" s="68">
        <v>246.0</v>
      </c>
      <c r="P737" s="68">
        <v>0.0246</v>
      </c>
      <c r="Q737" s="68">
        <v>1342.03</v>
      </c>
      <c r="S737" s="68">
        <v>5.46</v>
      </c>
      <c r="T737" s="68">
        <v>6.0</v>
      </c>
      <c r="U737" s="68">
        <v>9486.45</v>
      </c>
      <c r="V737" s="68">
        <v>0.1415</v>
      </c>
      <c r="W737" s="68">
        <v>7.0687</v>
      </c>
    </row>
    <row r="738" ht="15.75" customHeight="1">
      <c r="A738" s="3" t="s">
        <v>67</v>
      </c>
      <c r="B738" s="68" t="s">
        <v>779</v>
      </c>
      <c r="C738" s="68" t="s">
        <v>936</v>
      </c>
      <c r="D738" s="68" t="s">
        <v>781</v>
      </c>
      <c r="E738" s="68" t="s">
        <v>1063</v>
      </c>
      <c r="F738" s="68" t="s">
        <v>774</v>
      </c>
      <c r="G738" s="68" t="s">
        <v>775</v>
      </c>
      <c r="H738" s="181">
        <v>45392.0</v>
      </c>
      <c r="J738" s="33" t="s">
        <v>230</v>
      </c>
      <c r="K738" s="68">
        <v>1324.75</v>
      </c>
      <c r="L738" s="68" t="s">
        <v>776</v>
      </c>
      <c r="M738" s="68" t="s">
        <v>8</v>
      </c>
      <c r="N738" s="68">
        <v>22600.0</v>
      </c>
      <c r="O738" s="68">
        <v>39.0</v>
      </c>
      <c r="P738" s="68">
        <v>0.0017</v>
      </c>
      <c r="Q738" s="68">
        <v>1242.75</v>
      </c>
      <c r="S738" s="68">
        <v>31.87</v>
      </c>
      <c r="T738" s="68">
        <v>0.0</v>
      </c>
      <c r="U738" s="68">
        <v>0.0</v>
      </c>
      <c r="V738" s="68">
        <v>0.0</v>
      </c>
      <c r="W738" s="68">
        <v>0.0</v>
      </c>
    </row>
    <row r="739" ht="15.75" customHeight="1">
      <c r="A739" s="3" t="s">
        <v>67</v>
      </c>
      <c r="B739" s="68" t="s">
        <v>779</v>
      </c>
      <c r="C739" s="68" t="s">
        <v>1024</v>
      </c>
      <c r="D739" s="68" t="s">
        <v>781</v>
      </c>
      <c r="E739" s="68" t="s">
        <v>1063</v>
      </c>
      <c r="F739" s="68" t="s">
        <v>774</v>
      </c>
      <c r="G739" s="68" t="s">
        <v>775</v>
      </c>
      <c r="H739" s="181">
        <v>45541.0</v>
      </c>
      <c r="J739" s="68" t="s">
        <v>134</v>
      </c>
      <c r="K739" s="68">
        <v>1550.0</v>
      </c>
      <c r="L739" s="68" t="s">
        <v>776</v>
      </c>
      <c r="M739" s="68" t="s">
        <v>8</v>
      </c>
      <c r="N739" s="68">
        <v>31283.0</v>
      </c>
      <c r="O739" s="68">
        <v>55.0</v>
      </c>
      <c r="P739" s="68">
        <v>0.0018</v>
      </c>
      <c r="Q739" s="68">
        <v>1219.85</v>
      </c>
      <c r="S739" s="68">
        <v>22.18</v>
      </c>
      <c r="T739" s="68">
        <v>0.0</v>
      </c>
      <c r="U739" s="68">
        <v>0.0</v>
      </c>
      <c r="V739" s="68">
        <v>0.0</v>
      </c>
      <c r="W739" s="68">
        <v>0.0</v>
      </c>
    </row>
    <row r="740" ht="15.75" customHeight="1">
      <c r="A740" s="3" t="s">
        <v>67</v>
      </c>
      <c r="B740" s="68" t="s">
        <v>771</v>
      </c>
      <c r="C740" s="68" t="s">
        <v>871</v>
      </c>
      <c r="D740" s="68" t="s">
        <v>773</v>
      </c>
      <c r="E740" s="68" t="s">
        <v>1063</v>
      </c>
      <c r="F740" s="68" t="s">
        <v>774</v>
      </c>
      <c r="G740" s="68" t="s">
        <v>775</v>
      </c>
      <c r="H740" s="181">
        <v>45296.0</v>
      </c>
      <c r="J740" s="68" t="s">
        <v>119</v>
      </c>
      <c r="K740" s="68">
        <v>310.0</v>
      </c>
      <c r="L740" s="27">
        <v>0.0731442869057547</v>
      </c>
      <c r="M740" s="68" t="s">
        <v>8</v>
      </c>
      <c r="N740" s="68">
        <v>23470.0</v>
      </c>
      <c r="O740" s="68">
        <v>308.0</v>
      </c>
      <c r="P740" s="68">
        <v>0.0131</v>
      </c>
      <c r="Q740" s="68">
        <v>1202.73</v>
      </c>
      <c r="S740" s="68">
        <v>3.9</v>
      </c>
      <c r="T740" s="68">
        <v>1.0</v>
      </c>
      <c r="U740" s="68">
        <v>13135.59</v>
      </c>
      <c r="V740" s="68">
        <v>0.0916</v>
      </c>
      <c r="W740" s="68">
        <v>10.9215</v>
      </c>
    </row>
    <row r="741" ht="15.75" customHeight="1">
      <c r="A741" s="3" t="s">
        <v>67</v>
      </c>
      <c r="B741" s="68" t="s">
        <v>779</v>
      </c>
      <c r="C741" s="68" t="s">
        <v>995</v>
      </c>
      <c r="D741" s="68" t="s">
        <v>781</v>
      </c>
      <c r="E741" s="68" t="s">
        <v>463</v>
      </c>
      <c r="F741" s="68" t="s">
        <v>774</v>
      </c>
      <c r="H741" s="181">
        <v>45505.0</v>
      </c>
      <c r="J741" s="68" t="s">
        <v>134</v>
      </c>
      <c r="K741" s="68">
        <v>500.0</v>
      </c>
      <c r="M741" s="68" t="s">
        <v>8</v>
      </c>
      <c r="N741" s="68">
        <v>2768.0</v>
      </c>
      <c r="O741" s="68">
        <v>129.0</v>
      </c>
      <c r="P741" s="68">
        <v>0.0466</v>
      </c>
      <c r="Q741" s="68">
        <v>1148.77</v>
      </c>
      <c r="S741" s="68">
        <v>8.91</v>
      </c>
      <c r="T741" s="68">
        <v>0.0</v>
      </c>
      <c r="U741" s="68">
        <v>0.0</v>
      </c>
      <c r="V741" s="68">
        <v>0.0</v>
      </c>
      <c r="W741" s="68">
        <v>0.0</v>
      </c>
    </row>
    <row r="742" ht="15.75" customHeight="1">
      <c r="A742" s="3" t="s">
        <v>67</v>
      </c>
      <c r="B742" s="68" t="s">
        <v>779</v>
      </c>
      <c r="C742" s="68" t="s">
        <v>960</v>
      </c>
      <c r="D742" s="68" t="s">
        <v>781</v>
      </c>
      <c r="E742" s="68" t="s">
        <v>1063</v>
      </c>
      <c r="F742" s="68" t="s">
        <v>774</v>
      </c>
      <c r="G742" s="68" t="s">
        <v>775</v>
      </c>
      <c r="H742" s="181">
        <v>45352.0</v>
      </c>
      <c r="J742" s="68" t="s">
        <v>140</v>
      </c>
      <c r="K742" s="68">
        <v>1000.0</v>
      </c>
      <c r="L742" s="68" t="s">
        <v>776</v>
      </c>
      <c r="M742" s="68" t="s">
        <v>8</v>
      </c>
      <c r="N742" s="68">
        <v>3602.0</v>
      </c>
      <c r="O742" s="68">
        <v>20.0</v>
      </c>
      <c r="P742" s="68">
        <v>0.0056</v>
      </c>
      <c r="Q742" s="68">
        <v>1017.05</v>
      </c>
      <c r="S742" s="68">
        <v>50.85</v>
      </c>
      <c r="T742" s="68">
        <v>0.0</v>
      </c>
      <c r="U742" s="68">
        <v>0.0</v>
      </c>
      <c r="V742" s="68">
        <v>0.0</v>
      </c>
      <c r="W742" s="68">
        <v>0.0</v>
      </c>
    </row>
    <row r="743" ht="15.75" customHeight="1">
      <c r="A743" s="3" t="s">
        <v>67</v>
      </c>
      <c r="B743" s="68" t="s">
        <v>771</v>
      </c>
      <c r="C743" s="68" t="s">
        <v>1073</v>
      </c>
      <c r="D743" s="68" t="s">
        <v>773</v>
      </c>
      <c r="E743" s="68" t="s">
        <v>1063</v>
      </c>
      <c r="F743" s="68" t="s">
        <v>774</v>
      </c>
      <c r="G743" s="68" t="s">
        <v>775</v>
      </c>
      <c r="H743" s="181">
        <v>45617.0</v>
      </c>
      <c r="J743" s="68" t="s">
        <v>211</v>
      </c>
      <c r="K743" s="68">
        <v>100.0</v>
      </c>
      <c r="L743" s="68" t="s">
        <v>776</v>
      </c>
      <c r="M743" s="68" t="s">
        <v>8</v>
      </c>
      <c r="N743" s="68">
        <v>8955.0</v>
      </c>
      <c r="O743" s="68">
        <v>116.0</v>
      </c>
      <c r="P743" s="68">
        <v>0.013</v>
      </c>
      <c r="Q743" s="68">
        <v>1009.98</v>
      </c>
      <c r="S743" s="68">
        <v>8.71</v>
      </c>
      <c r="T743" s="68">
        <v>1.0</v>
      </c>
      <c r="U743" s="68">
        <v>1439.84</v>
      </c>
      <c r="V743" s="68">
        <v>0.7015</v>
      </c>
      <c r="W743" s="68">
        <v>1.4256</v>
      </c>
    </row>
    <row r="744" ht="15.75" customHeight="1">
      <c r="A744" s="3" t="s">
        <v>67</v>
      </c>
      <c r="B744" s="68" t="s">
        <v>771</v>
      </c>
      <c r="C744" s="68" t="s">
        <v>914</v>
      </c>
      <c r="D744" s="68" t="s">
        <v>773</v>
      </c>
      <c r="E744" s="68" t="s">
        <v>463</v>
      </c>
      <c r="F744" s="68" t="s">
        <v>774</v>
      </c>
      <c r="H744" s="181">
        <v>45355.0</v>
      </c>
      <c r="J744" s="68" t="s">
        <v>128</v>
      </c>
      <c r="K744" s="68">
        <v>1500.0</v>
      </c>
      <c r="M744" s="68" t="s">
        <v>8</v>
      </c>
      <c r="N744" s="68">
        <v>24890.0</v>
      </c>
      <c r="O744" s="68">
        <v>67.0</v>
      </c>
      <c r="P744" s="68">
        <v>0.0027</v>
      </c>
      <c r="Q744" s="68">
        <v>1009.97</v>
      </c>
      <c r="S744" s="68">
        <v>15.07</v>
      </c>
      <c r="T744" s="68">
        <v>2.0</v>
      </c>
      <c r="U744" s="68">
        <v>35380.51</v>
      </c>
      <c r="V744" s="68">
        <v>0.0285</v>
      </c>
      <c r="W744" s="68">
        <v>35.0312</v>
      </c>
    </row>
    <row r="745" ht="15.75" customHeight="1">
      <c r="A745" s="3" t="s">
        <v>67</v>
      </c>
      <c r="B745" s="68" t="s">
        <v>779</v>
      </c>
      <c r="C745" s="68" t="s">
        <v>834</v>
      </c>
      <c r="D745" s="68" t="s">
        <v>781</v>
      </c>
      <c r="E745" s="68" t="s">
        <v>1063</v>
      </c>
      <c r="F745" s="68" t="s">
        <v>774</v>
      </c>
      <c r="G745" s="68" t="s">
        <v>775</v>
      </c>
      <c r="H745" s="181">
        <v>45260.0</v>
      </c>
      <c r="J745" s="68" t="s">
        <v>134</v>
      </c>
      <c r="K745" s="68">
        <v>1550.0</v>
      </c>
      <c r="L745" s="68" t="s">
        <v>776</v>
      </c>
      <c r="M745" s="68" t="s">
        <v>8</v>
      </c>
      <c r="N745" s="68">
        <v>35541.0</v>
      </c>
      <c r="O745" s="68">
        <v>69.0</v>
      </c>
      <c r="P745" s="68">
        <v>0.0019</v>
      </c>
      <c r="Q745" s="68">
        <v>935.43</v>
      </c>
      <c r="S745" s="68">
        <v>13.56</v>
      </c>
      <c r="T745" s="68">
        <v>1.0</v>
      </c>
      <c r="U745" s="68">
        <v>20974.58</v>
      </c>
      <c r="V745" s="68">
        <v>0.0446</v>
      </c>
      <c r="W745" s="68">
        <v>22.4224</v>
      </c>
    </row>
    <row r="746" ht="15.75" customHeight="1">
      <c r="A746" s="3" t="s">
        <v>67</v>
      </c>
      <c r="B746" s="68" t="s">
        <v>779</v>
      </c>
      <c r="C746" s="68" t="s">
        <v>963</v>
      </c>
      <c r="D746" s="68" t="s">
        <v>781</v>
      </c>
      <c r="E746" s="68" t="s">
        <v>1063</v>
      </c>
      <c r="F746" s="68" t="s">
        <v>774</v>
      </c>
      <c r="G746" s="68" t="s">
        <v>775</v>
      </c>
      <c r="H746" s="181">
        <v>45352.0</v>
      </c>
      <c r="J746" s="68" t="s">
        <v>140</v>
      </c>
      <c r="K746" s="68">
        <v>1395.0</v>
      </c>
      <c r="L746" s="68" t="s">
        <v>776</v>
      </c>
      <c r="M746" s="68" t="s">
        <v>8</v>
      </c>
      <c r="N746" s="68">
        <v>17474.0</v>
      </c>
      <c r="O746" s="68">
        <v>23.0</v>
      </c>
      <c r="P746" s="68">
        <v>0.0013</v>
      </c>
      <c r="Q746" s="68">
        <v>852.77</v>
      </c>
      <c r="S746" s="68">
        <v>37.08</v>
      </c>
      <c r="T746" s="68">
        <v>0.0</v>
      </c>
      <c r="U746" s="68">
        <v>0.0</v>
      </c>
      <c r="V746" s="68">
        <v>0.0</v>
      </c>
      <c r="W746" s="68">
        <v>0.0</v>
      </c>
    </row>
    <row r="747" ht="15.75" customHeight="1">
      <c r="A747" s="3" t="s">
        <v>67</v>
      </c>
      <c r="B747" s="68" t="s">
        <v>771</v>
      </c>
      <c r="C747" s="68" t="s">
        <v>959</v>
      </c>
      <c r="D747" s="68" t="s">
        <v>773</v>
      </c>
      <c r="E747" s="68" t="s">
        <v>1063</v>
      </c>
      <c r="F747" s="68" t="s">
        <v>774</v>
      </c>
      <c r="G747" s="68" t="s">
        <v>775</v>
      </c>
      <c r="H747" s="181">
        <v>45352.0</v>
      </c>
      <c r="J747" s="68" t="s">
        <v>140</v>
      </c>
      <c r="K747" s="68">
        <v>1240.0</v>
      </c>
      <c r="L747" s="27">
        <v>0.134943181818181</v>
      </c>
      <c r="M747" s="68" t="s">
        <v>8</v>
      </c>
      <c r="N747" s="68">
        <v>4633.0</v>
      </c>
      <c r="O747" s="68">
        <v>31.0</v>
      </c>
      <c r="P747" s="68">
        <v>0.0067</v>
      </c>
      <c r="Q747" s="68">
        <v>749.76</v>
      </c>
      <c r="S747" s="68">
        <v>24.19</v>
      </c>
      <c r="T747" s="68">
        <v>1.0</v>
      </c>
      <c r="U747" s="68">
        <v>23932.2</v>
      </c>
      <c r="V747" s="68">
        <v>0.0313</v>
      </c>
      <c r="W747" s="68">
        <v>31.9198</v>
      </c>
    </row>
    <row r="748" ht="15.75" customHeight="1">
      <c r="A748" s="3" t="s">
        <v>67</v>
      </c>
      <c r="B748" s="68" t="s">
        <v>771</v>
      </c>
      <c r="C748" s="68" t="s">
        <v>1046</v>
      </c>
      <c r="D748" s="68" t="s">
        <v>773</v>
      </c>
      <c r="E748" s="68" t="s">
        <v>1063</v>
      </c>
      <c r="F748" s="68" t="s">
        <v>774</v>
      </c>
      <c r="G748" s="68" t="s">
        <v>775</v>
      </c>
      <c r="H748" s="181">
        <v>45541.0</v>
      </c>
      <c r="J748" s="68" t="s">
        <v>217</v>
      </c>
      <c r="K748" s="68">
        <v>200.0</v>
      </c>
      <c r="L748" s="68" t="s">
        <v>776</v>
      </c>
      <c r="M748" s="68" t="s">
        <v>8</v>
      </c>
      <c r="N748" s="68">
        <v>31612.0</v>
      </c>
      <c r="O748" s="68">
        <v>211.0</v>
      </c>
      <c r="P748" s="68">
        <v>0.0067</v>
      </c>
      <c r="Q748" s="68">
        <v>601.87</v>
      </c>
      <c r="S748" s="68">
        <v>2.85</v>
      </c>
      <c r="T748" s="68">
        <v>1.0</v>
      </c>
      <c r="U748" s="68">
        <v>846.61</v>
      </c>
      <c r="V748" s="68">
        <v>0.7109</v>
      </c>
      <c r="W748" s="68">
        <v>1.4066</v>
      </c>
    </row>
    <row r="749" ht="15.75" customHeight="1">
      <c r="A749" s="3" t="s">
        <v>67</v>
      </c>
      <c r="B749" s="68" t="s">
        <v>779</v>
      </c>
      <c r="C749" s="68" t="s">
        <v>957</v>
      </c>
      <c r="D749" s="68" t="s">
        <v>781</v>
      </c>
      <c r="E749" s="68" t="s">
        <v>1063</v>
      </c>
      <c r="F749" s="68" t="s">
        <v>774</v>
      </c>
      <c r="G749" s="68" t="s">
        <v>775</v>
      </c>
      <c r="H749" s="181">
        <v>45260.0</v>
      </c>
      <c r="J749" s="68" t="s">
        <v>140</v>
      </c>
      <c r="K749" s="68">
        <v>250.0</v>
      </c>
      <c r="L749" s="68" t="s">
        <v>776</v>
      </c>
      <c r="M749" s="68" t="s">
        <v>8</v>
      </c>
      <c r="N749" s="68">
        <v>9637.0</v>
      </c>
      <c r="O749" s="68">
        <v>35.0</v>
      </c>
      <c r="P749" s="68">
        <v>0.0036</v>
      </c>
      <c r="Q749" s="68">
        <v>599.86</v>
      </c>
      <c r="S749" s="68">
        <v>17.14</v>
      </c>
      <c r="T749" s="68">
        <v>0.0</v>
      </c>
      <c r="U749" s="68">
        <v>0.0</v>
      </c>
      <c r="V749" s="68">
        <v>0.0</v>
      </c>
      <c r="W749" s="68">
        <v>0.0</v>
      </c>
    </row>
    <row r="750" ht="15.75" customHeight="1">
      <c r="A750" s="3" t="s">
        <v>67</v>
      </c>
      <c r="B750" s="68" t="s">
        <v>771</v>
      </c>
      <c r="C750" s="68" t="s">
        <v>1074</v>
      </c>
      <c r="D750" s="68" t="s">
        <v>773</v>
      </c>
      <c r="E750" s="68" t="s">
        <v>1063</v>
      </c>
      <c r="F750" s="68" t="s">
        <v>774</v>
      </c>
      <c r="G750" s="68" t="s">
        <v>775</v>
      </c>
      <c r="H750" s="181">
        <v>45617.0</v>
      </c>
      <c r="J750" s="68" t="s">
        <v>128</v>
      </c>
      <c r="K750" s="68">
        <v>1550.0</v>
      </c>
      <c r="L750" s="27">
        <v>0.0813953488372093</v>
      </c>
      <c r="M750" s="68" t="s">
        <v>8</v>
      </c>
      <c r="N750" s="68">
        <v>2507.0</v>
      </c>
      <c r="O750" s="68">
        <v>25.0</v>
      </c>
      <c r="P750" s="68">
        <v>0.01</v>
      </c>
      <c r="Q750" s="68">
        <v>466.89</v>
      </c>
      <c r="S750" s="68">
        <v>18.68</v>
      </c>
      <c r="T750" s="68">
        <v>0.0</v>
      </c>
      <c r="U750" s="68">
        <v>0.0</v>
      </c>
      <c r="V750" s="68">
        <v>0.0</v>
      </c>
      <c r="W750" s="68">
        <v>0.0</v>
      </c>
    </row>
    <row r="751" ht="15.75" customHeight="1">
      <c r="A751" s="3" t="s">
        <v>67</v>
      </c>
      <c r="B751" s="68" t="s">
        <v>771</v>
      </c>
      <c r="C751" s="68" t="s">
        <v>1050</v>
      </c>
      <c r="D751" s="68" t="s">
        <v>773</v>
      </c>
      <c r="E751" s="68" t="s">
        <v>460</v>
      </c>
      <c r="F751" s="68" t="s">
        <v>778</v>
      </c>
      <c r="G751" s="68" t="s">
        <v>775</v>
      </c>
      <c r="H751" s="181">
        <v>45586.0</v>
      </c>
      <c r="J751" s="68" t="s">
        <v>241</v>
      </c>
      <c r="K751" s="68">
        <v>775.0</v>
      </c>
      <c r="L751" s="68" t="s">
        <v>776</v>
      </c>
      <c r="M751" s="68" t="s">
        <v>8</v>
      </c>
      <c r="N751" s="68">
        <v>27985.0</v>
      </c>
      <c r="O751" s="68">
        <v>80.0</v>
      </c>
      <c r="P751" s="68">
        <v>0.0029</v>
      </c>
      <c r="Q751" s="68">
        <v>433.06</v>
      </c>
      <c r="S751" s="68">
        <v>5.41</v>
      </c>
      <c r="T751" s="68">
        <v>1.0</v>
      </c>
      <c r="U751" s="68">
        <v>2541.53</v>
      </c>
      <c r="V751" s="68">
        <v>0.1704</v>
      </c>
      <c r="W751" s="68">
        <v>5.8688</v>
      </c>
    </row>
    <row r="752" ht="15.75" customHeight="1">
      <c r="A752" s="3" t="s">
        <v>67</v>
      </c>
      <c r="B752" s="68" t="s">
        <v>779</v>
      </c>
      <c r="C752" s="68" t="s">
        <v>889</v>
      </c>
      <c r="D752" s="68" t="s">
        <v>781</v>
      </c>
      <c r="E752" s="68" t="s">
        <v>463</v>
      </c>
      <c r="F752" s="68" t="s">
        <v>774</v>
      </c>
      <c r="H752" s="181">
        <v>45342.0</v>
      </c>
      <c r="J752" s="68" t="s">
        <v>134</v>
      </c>
      <c r="K752" s="68">
        <v>1000.0</v>
      </c>
      <c r="M752" s="68" t="s">
        <v>8</v>
      </c>
      <c r="N752" s="68">
        <v>5685.0</v>
      </c>
      <c r="O752" s="68">
        <v>8.0</v>
      </c>
      <c r="P752" s="68">
        <v>0.0014</v>
      </c>
      <c r="Q752" s="68">
        <v>430.15</v>
      </c>
      <c r="S752" s="68">
        <v>53.77</v>
      </c>
      <c r="T752" s="68">
        <v>0.0</v>
      </c>
      <c r="U752" s="68">
        <v>0.0</v>
      </c>
      <c r="V752" s="68">
        <v>0.0</v>
      </c>
      <c r="W752" s="68">
        <v>0.0</v>
      </c>
    </row>
    <row r="753" ht="15.75" customHeight="1">
      <c r="A753" s="3" t="s">
        <v>67</v>
      </c>
      <c r="B753" s="68" t="s">
        <v>779</v>
      </c>
      <c r="C753" s="68" t="s">
        <v>953</v>
      </c>
      <c r="D753" s="68" t="s">
        <v>781</v>
      </c>
      <c r="E753" s="68" t="s">
        <v>1063</v>
      </c>
      <c r="F753" s="68" t="s">
        <v>774</v>
      </c>
      <c r="G753" s="68" t="s">
        <v>775</v>
      </c>
      <c r="H753" s="181">
        <v>45456.0</v>
      </c>
      <c r="J753" s="68" t="s">
        <v>232</v>
      </c>
      <c r="K753" s="68">
        <v>1000.0</v>
      </c>
      <c r="L753" s="68" t="s">
        <v>776</v>
      </c>
      <c r="M753" s="68" t="s">
        <v>8</v>
      </c>
      <c r="N753" s="68">
        <v>4039.0</v>
      </c>
      <c r="O753" s="68">
        <v>10.0</v>
      </c>
      <c r="P753" s="68">
        <v>0.0025</v>
      </c>
      <c r="Q753" s="68">
        <v>132.87</v>
      </c>
      <c r="S753" s="68">
        <v>13.29</v>
      </c>
      <c r="T753" s="68">
        <v>0.0</v>
      </c>
      <c r="U753" s="68">
        <v>0.0</v>
      </c>
      <c r="V753" s="68">
        <v>0.0</v>
      </c>
      <c r="W753" s="68">
        <v>0.0</v>
      </c>
    </row>
    <row r="754" ht="15.75" customHeight="1">
      <c r="A754" s="3" t="s">
        <v>67</v>
      </c>
      <c r="B754" s="68" t="s">
        <v>779</v>
      </c>
      <c r="C754" s="68" t="s">
        <v>1027</v>
      </c>
      <c r="D754" s="68" t="s">
        <v>781</v>
      </c>
      <c r="E754" s="68" t="s">
        <v>1063</v>
      </c>
      <c r="F754" s="68" t="s">
        <v>774</v>
      </c>
      <c r="G754" s="68" t="s">
        <v>775</v>
      </c>
      <c r="H754" s="181">
        <v>45538.0</v>
      </c>
      <c r="J754" s="68" t="s">
        <v>176</v>
      </c>
      <c r="K754" s="68">
        <v>124.19</v>
      </c>
      <c r="L754" s="27">
        <v>0.239436619718309</v>
      </c>
      <c r="M754" s="68" t="s">
        <v>8</v>
      </c>
      <c r="N754" s="68">
        <v>1571.0</v>
      </c>
      <c r="O754" s="68">
        <v>9.0</v>
      </c>
      <c r="P754" s="68">
        <v>0.0057</v>
      </c>
      <c r="Q754" s="68">
        <v>124.95</v>
      </c>
      <c r="S754" s="68">
        <v>13.88</v>
      </c>
      <c r="T754" s="68">
        <v>0.0</v>
      </c>
      <c r="U754" s="68">
        <v>0.0</v>
      </c>
      <c r="V754" s="68">
        <v>0.0</v>
      </c>
      <c r="W754" s="68">
        <v>0.0</v>
      </c>
    </row>
    <row r="755" ht="15.75" customHeight="1">
      <c r="A755" s="3" t="s">
        <v>67</v>
      </c>
      <c r="B755" s="68" t="s">
        <v>771</v>
      </c>
      <c r="C755" s="68" t="s">
        <v>836</v>
      </c>
      <c r="D755" s="68" t="s">
        <v>773</v>
      </c>
      <c r="E755" s="68" t="s">
        <v>462</v>
      </c>
      <c r="F755" s="68" t="s">
        <v>774</v>
      </c>
      <c r="H755" s="181">
        <v>45304.0</v>
      </c>
      <c r="J755" s="68" t="s">
        <v>158</v>
      </c>
      <c r="K755" s="68">
        <v>190.0</v>
      </c>
      <c r="L755" s="27">
        <v>0.082279258258627</v>
      </c>
      <c r="M755" s="68" t="s">
        <v>8</v>
      </c>
      <c r="N755" s="68">
        <v>2685.0</v>
      </c>
      <c r="O755" s="68">
        <v>12.0</v>
      </c>
      <c r="P755" s="68">
        <v>0.0045</v>
      </c>
      <c r="Q755" s="68">
        <v>117.32</v>
      </c>
      <c r="S755" s="68">
        <v>9.78</v>
      </c>
      <c r="T755" s="68">
        <v>0.0</v>
      </c>
      <c r="U755" s="68">
        <v>0.0</v>
      </c>
      <c r="V755" s="68">
        <v>0.0</v>
      </c>
      <c r="W755" s="68">
        <v>0.0</v>
      </c>
    </row>
    <row r="756" ht="15.75" customHeight="1">
      <c r="A756" s="3" t="s">
        <v>67</v>
      </c>
      <c r="B756" s="68" t="s">
        <v>779</v>
      </c>
      <c r="C756" s="68" t="s">
        <v>1060</v>
      </c>
      <c r="D756" s="68" t="s">
        <v>781</v>
      </c>
      <c r="E756" s="68" t="s">
        <v>1063</v>
      </c>
      <c r="F756" s="68" t="s">
        <v>774</v>
      </c>
      <c r="G756" s="68" t="s">
        <v>775</v>
      </c>
      <c r="H756" s="181">
        <v>45301.0</v>
      </c>
      <c r="J756" s="68" t="s">
        <v>170</v>
      </c>
      <c r="K756" s="68">
        <v>775.0</v>
      </c>
      <c r="L756" s="27">
        <v>0.27027027027027</v>
      </c>
      <c r="M756" s="68" t="s">
        <v>8</v>
      </c>
      <c r="N756" s="68">
        <v>902.0</v>
      </c>
      <c r="O756" s="68">
        <v>11.0</v>
      </c>
      <c r="P756" s="68">
        <v>0.0122</v>
      </c>
      <c r="Q756" s="68">
        <v>111.56</v>
      </c>
      <c r="S756" s="68">
        <v>10.14</v>
      </c>
      <c r="T756" s="68">
        <v>0.0</v>
      </c>
      <c r="U756" s="68">
        <v>0.0</v>
      </c>
      <c r="V756" s="68">
        <v>0.0</v>
      </c>
      <c r="W756" s="68">
        <v>0.0</v>
      </c>
    </row>
    <row r="757" ht="15.75" customHeight="1">
      <c r="A757" s="3" t="s">
        <v>67</v>
      </c>
      <c r="B757" s="68" t="s">
        <v>779</v>
      </c>
      <c r="C757" s="68" t="s">
        <v>948</v>
      </c>
      <c r="D757" s="68" t="s">
        <v>781</v>
      </c>
      <c r="E757" s="68" t="s">
        <v>460</v>
      </c>
      <c r="F757" s="68" t="s">
        <v>778</v>
      </c>
      <c r="G757" s="68" t="s">
        <v>775</v>
      </c>
      <c r="H757" s="181">
        <v>45415.0</v>
      </c>
      <c r="J757" s="68" t="s">
        <v>232</v>
      </c>
      <c r="K757" s="68">
        <v>1395.6</v>
      </c>
      <c r="L757" s="68" t="s">
        <v>776</v>
      </c>
      <c r="M757" s="68" t="s">
        <v>8</v>
      </c>
      <c r="N757" s="68">
        <v>11099.0</v>
      </c>
      <c r="O757" s="68">
        <v>22.0</v>
      </c>
      <c r="P757" s="68">
        <v>0.002</v>
      </c>
      <c r="Q757" s="68">
        <v>94.63</v>
      </c>
      <c r="S757" s="68">
        <v>4.3</v>
      </c>
      <c r="T757" s="68">
        <v>0.0</v>
      </c>
      <c r="U757" s="68">
        <v>0.0</v>
      </c>
      <c r="V757" s="68">
        <v>0.0</v>
      </c>
      <c r="W757" s="68">
        <v>0.0</v>
      </c>
    </row>
    <row r="758" ht="15.75" customHeight="1">
      <c r="A758" s="3" t="s">
        <v>67</v>
      </c>
      <c r="B758" s="68" t="s">
        <v>779</v>
      </c>
      <c r="C758" s="68" t="s">
        <v>916</v>
      </c>
      <c r="D758" s="68" t="s">
        <v>781</v>
      </c>
      <c r="E758" s="68" t="s">
        <v>1063</v>
      </c>
      <c r="F758" s="68" t="s">
        <v>774</v>
      </c>
      <c r="G758" s="68" t="s">
        <v>775</v>
      </c>
      <c r="H758" s="181">
        <v>45356.0</v>
      </c>
      <c r="J758" s="68" t="s">
        <v>205</v>
      </c>
      <c r="K758" s="68">
        <v>356.4</v>
      </c>
      <c r="L758" s="68" t="s">
        <v>776</v>
      </c>
      <c r="M758" s="68" t="s">
        <v>8</v>
      </c>
      <c r="N758" s="68">
        <v>488.0</v>
      </c>
      <c r="O758" s="68">
        <v>1.0</v>
      </c>
      <c r="P758" s="68">
        <v>0.002</v>
      </c>
      <c r="Q758" s="68">
        <v>46.86</v>
      </c>
      <c r="S758" s="68">
        <v>46.86</v>
      </c>
      <c r="T758" s="68">
        <v>0.0</v>
      </c>
      <c r="U758" s="68">
        <v>0.0</v>
      </c>
      <c r="V758" s="68">
        <v>0.0</v>
      </c>
      <c r="W758" s="68">
        <v>0.0</v>
      </c>
    </row>
    <row r="759" ht="15.75" customHeight="1">
      <c r="A759" s="3" t="s">
        <v>67</v>
      </c>
      <c r="B759" s="68" t="s">
        <v>779</v>
      </c>
      <c r="C759" s="68" t="s">
        <v>954</v>
      </c>
      <c r="D759" s="68" t="s">
        <v>781</v>
      </c>
      <c r="E759" s="68" t="s">
        <v>1063</v>
      </c>
      <c r="F759" s="68" t="s">
        <v>774</v>
      </c>
      <c r="G759" s="68" t="s">
        <v>783</v>
      </c>
      <c r="H759" s="181">
        <v>45457.0</v>
      </c>
      <c r="J759" s="68" t="s">
        <v>134</v>
      </c>
      <c r="K759" s="68">
        <v>1550.0</v>
      </c>
      <c r="L759" s="68" t="s">
        <v>776</v>
      </c>
      <c r="M759" s="68" t="s">
        <v>8</v>
      </c>
      <c r="N759" s="68">
        <v>1785.0</v>
      </c>
      <c r="O759" s="68">
        <v>3.0</v>
      </c>
      <c r="P759" s="68">
        <v>0.0017</v>
      </c>
      <c r="Q759" s="68">
        <v>43.6</v>
      </c>
      <c r="S759" s="68">
        <v>14.53</v>
      </c>
      <c r="T759" s="68">
        <v>0.0</v>
      </c>
      <c r="U759" s="68">
        <v>0.0</v>
      </c>
      <c r="V759" s="68">
        <v>0.0</v>
      </c>
      <c r="W759" s="68">
        <v>0.0</v>
      </c>
    </row>
    <row r="760" ht="15.75" customHeight="1">
      <c r="A760" s="3" t="s">
        <v>67</v>
      </c>
      <c r="B760" s="68" t="s">
        <v>779</v>
      </c>
      <c r="C760" s="68" t="s">
        <v>833</v>
      </c>
      <c r="D760" s="68" t="s">
        <v>781</v>
      </c>
      <c r="E760" s="68" t="s">
        <v>460</v>
      </c>
      <c r="F760" s="68" t="s">
        <v>778</v>
      </c>
      <c r="G760" s="68" t="s">
        <v>775</v>
      </c>
      <c r="H760" s="181">
        <v>45296.0</v>
      </c>
      <c r="J760" s="68" t="s">
        <v>119</v>
      </c>
      <c r="K760" s="68">
        <v>310.0</v>
      </c>
      <c r="L760" s="68" t="s">
        <v>776</v>
      </c>
      <c r="M760" s="68" t="s">
        <v>8</v>
      </c>
      <c r="N760" s="68">
        <v>3666.0</v>
      </c>
      <c r="O760" s="68">
        <v>21.0</v>
      </c>
      <c r="P760" s="68">
        <v>0.0057</v>
      </c>
      <c r="Q760" s="68">
        <v>36.56</v>
      </c>
      <c r="S760" s="68">
        <v>1.74</v>
      </c>
      <c r="T760" s="68">
        <v>0.0</v>
      </c>
      <c r="U760" s="68">
        <v>0.0</v>
      </c>
      <c r="V760" s="68">
        <v>0.0</v>
      </c>
      <c r="W760" s="68">
        <v>0.0</v>
      </c>
    </row>
    <row r="761" ht="15.75" customHeight="1">
      <c r="A761" s="3" t="s">
        <v>67</v>
      </c>
      <c r="B761" s="68" t="s">
        <v>779</v>
      </c>
      <c r="C761" s="68" t="s">
        <v>974</v>
      </c>
      <c r="D761" s="68" t="s">
        <v>781</v>
      </c>
      <c r="E761" s="68" t="s">
        <v>1063</v>
      </c>
      <c r="F761" s="68" t="s">
        <v>774</v>
      </c>
      <c r="G761" s="68" t="s">
        <v>783</v>
      </c>
      <c r="H761" s="181">
        <v>45483.0</v>
      </c>
      <c r="J761" s="68" t="s">
        <v>128</v>
      </c>
      <c r="K761" s="68">
        <v>320.82</v>
      </c>
      <c r="L761" s="27">
        <v>0.666666666666666</v>
      </c>
      <c r="M761" s="68" t="s">
        <v>8</v>
      </c>
      <c r="N761" s="68">
        <v>61.0</v>
      </c>
      <c r="O761" s="68">
        <v>1.0</v>
      </c>
      <c r="P761" s="68">
        <v>0.0164</v>
      </c>
      <c r="Q761" s="68">
        <v>21.72</v>
      </c>
      <c r="S761" s="68">
        <v>21.72</v>
      </c>
      <c r="T761" s="68">
        <v>1.0</v>
      </c>
      <c r="U761" s="68">
        <v>15906.78</v>
      </c>
      <c r="V761" s="68">
        <v>0.0014</v>
      </c>
      <c r="W761" s="68">
        <v>732.3564</v>
      </c>
    </row>
    <row r="762" ht="15.75" customHeight="1">
      <c r="A762" s="3" t="s">
        <v>67</v>
      </c>
      <c r="B762" s="68" t="s">
        <v>779</v>
      </c>
      <c r="C762" s="68" t="s">
        <v>867</v>
      </c>
      <c r="D762" s="68" t="s">
        <v>781</v>
      </c>
      <c r="E762" s="68" t="s">
        <v>1063</v>
      </c>
      <c r="F762" s="68" t="s">
        <v>774</v>
      </c>
      <c r="G762" s="68" t="s">
        <v>775</v>
      </c>
      <c r="H762" s="181">
        <v>45301.0</v>
      </c>
      <c r="J762" s="68" t="s">
        <v>176</v>
      </c>
      <c r="K762" s="68">
        <v>59.06</v>
      </c>
      <c r="L762" s="68" t="s">
        <v>776</v>
      </c>
      <c r="M762" s="68" t="s">
        <v>8</v>
      </c>
      <c r="N762" s="68">
        <v>32.0</v>
      </c>
      <c r="O762" s="68">
        <v>2.0</v>
      </c>
      <c r="P762" s="68">
        <v>0.0625</v>
      </c>
      <c r="Q762" s="68">
        <v>12.67</v>
      </c>
      <c r="S762" s="68">
        <v>6.34</v>
      </c>
      <c r="T762" s="68">
        <v>0.0</v>
      </c>
      <c r="U762" s="68">
        <v>0.0</v>
      </c>
      <c r="V762" s="68">
        <v>0.0</v>
      </c>
      <c r="W762" s="68">
        <v>0.0</v>
      </c>
    </row>
    <row r="763" ht="15.75" customHeight="1">
      <c r="A763" s="3" t="s">
        <v>67</v>
      </c>
      <c r="B763" s="68" t="s">
        <v>779</v>
      </c>
      <c r="C763" s="68" t="s">
        <v>1049</v>
      </c>
      <c r="D763" s="68" t="s">
        <v>781</v>
      </c>
      <c r="E763" s="68" t="s">
        <v>1063</v>
      </c>
      <c r="F763" s="68" t="s">
        <v>774</v>
      </c>
      <c r="G763" s="68" t="s">
        <v>783</v>
      </c>
      <c r="H763" s="181">
        <v>45581.0</v>
      </c>
      <c r="J763" s="68" t="s">
        <v>232</v>
      </c>
      <c r="K763" s="68">
        <v>282.24</v>
      </c>
      <c r="L763" s="27">
        <v>0.0714285714285714</v>
      </c>
      <c r="M763" s="68" t="s">
        <v>8</v>
      </c>
      <c r="N763" s="68">
        <v>18.0</v>
      </c>
      <c r="O763" s="68">
        <v>0.0</v>
      </c>
      <c r="P763" s="68">
        <v>0.0</v>
      </c>
      <c r="Q763" s="68">
        <v>0.0</v>
      </c>
      <c r="S763" s="68">
        <v>0.0</v>
      </c>
      <c r="T763" s="68">
        <v>0.0</v>
      </c>
      <c r="U763" s="68">
        <v>0.0</v>
      </c>
      <c r="V763" s="68">
        <v>0.0</v>
      </c>
      <c r="W763" s="68">
        <v>0.0</v>
      </c>
    </row>
    <row r="764" ht="15.75" customHeight="1">
      <c r="A764" s="3" t="s">
        <v>70</v>
      </c>
      <c r="B764" s="68" t="s">
        <v>771</v>
      </c>
      <c r="C764" s="68" t="s">
        <v>1075</v>
      </c>
      <c r="D764" s="68" t="s">
        <v>773</v>
      </c>
      <c r="E764" s="68" t="s">
        <v>459</v>
      </c>
      <c r="F764" s="68" t="s">
        <v>774</v>
      </c>
      <c r="G764" s="68" t="s">
        <v>775</v>
      </c>
      <c r="H764" s="181">
        <v>45656.0</v>
      </c>
      <c r="J764" s="68" t="s">
        <v>134</v>
      </c>
      <c r="K764" s="68">
        <v>500.0</v>
      </c>
      <c r="L764" s="68" t="s">
        <v>776</v>
      </c>
      <c r="M764" s="68" t="s">
        <v>8</v>
      </c>
      <c r="N764" s="68">
        <v>19.0</v>
      </c>
      <c r="O764" s="68">
        <v>0.0</v>
      </c>
      <c r="P764" s="68">
        <v>0.0</v>
      </c>
      <c r="Q764" s="68">
        <v>0.0</v>
      </c>
      <c r="R764" s="68">
        <v>0.0</v>
      </c>
      <c r="S764" s="68">
        <v>0.0</v>
      </c>
      <c r="T764" s="68">
        <v>0.0</v>
      </c>
      <c r="U764" s="68">
        <v>0.0</v>
      </c>
      <c r="V764" s="68">
        <v>0.0</v>
      </c>
      <c r="W764" s="68">
        <v>0.0</v>
      </c>
      <c r="X764" s="68">
        <v>0.0</v>
      </c>
      <c r="Y764" s="68">
        <v>0.0</v>
      </c>
      <c r="Z764" s="68">
        <v>0.0</v>
      </c>
      <c r="AA764" s="68">
        <v>0.0</v>
      </c>
      <c r="AB764" s="68">
        <v>0.0</v>
      </c>
      <c r="AC764" s="68">
        <v>0.0</v>
      </c>
      <c r="AD764" s="68">
        <v>0.0</v>
      </c>
      <c r="AE764" s="68">
        <v>0.0</v>
      </c>
      <c r="AF764" s="68">
        <v>0.0</v>
      </c>
      <c r="AG764" s="68">
        <v>0.0</v>
      </c>
      <c r="AH764" s="68">
        <v>0.0</v>
      </c>
      <c r="AI764" s="68">
        <v>0.0</v>
      </c>
      <c r="AJ764" s="68">
        <v>0.0</v>
      </c>
    </row>
    <row r="765" ht="15.75" customHeight="1">
      <c r="A765" s="3" t="s">
        <v>70</v>
      </c>
      <c r="B765" s="68" t="s">
        <v>779</v>
      </c>
      <c r="C765" s="68" t="s">
        <v>899</v>
      </c>
      <c r="D765" s="68" t="s">
        <v>781</v>
      </c>
      <c r="E765" s="68" t="s">
        <v>459</v>
      </c>
      <c r="F765" s="68" t="s">
        <v>774</v>
      </c>
      <c r="G765" s="68" t="s">
        <v>775</v>
      </c>
      <c r="H765" s="181">
        <v>45301.0</v>
      </c>
      <c r="J765" s="68" t="s">
        <v>134</v>
      </c>
      <c r="K765" s="68">
        <v>500.0</v>
      </c>
      <c r="L765" s="27">
        <v>0.148648648648648</v>
      </c>
      <c r="M765" s="68" t="s">
        <v>8</v>
      </c>
      <c r="N765" s="68">
        <v>145.0</v>
      </c>
      <c r="O765" s="68">
        <v>1.0</v>
      </c>
      <c r="P765" s="68">
        <v>0.0069</v>
      </c>
      <c r="Q765" s="68">
        <v>25.37</v>
      </c>
      <c r="R765" s="68">
        <v>25.37</v>
      </c>
      <c r="S765" s="68">
        <v>0.0</v>
      </c>
      <c r="T765" s="68">
        <v>0.0</v>
      </c>
      <c r="U765" s="68">
        <v>0.0</v>
      </c>
      <c r="V765" s="68">
        <v>0.0</v>
      </c>
      <c r="W765" s="68">
        <v>0.0</v>
      </c>
      <c r="X765" s="68">
        <v>0.0</v>
      </c>
      <c r="Y765" s="68">
        <v>0.0</v>
      </c>
      <c r="Z765" s="68">
        <v>0.0</v>
      </c>
      <c r="AA765" s="68">
        <v>0.0</v>
      </c>
      <c r="AB765" s="68">
        <v>0.0</v>
      </c>
      <c r="AC765" s="68">
        <v>0.0</v>
      </c>
      <c r="AD765" s="68">
        <v>0.0</v>
      </c>
      <c r="AE765" s="68">
        <v>0.0</v>
      </c>
      <c r="AF765" s="68">
        <v>0.0</v>
      </c>
      <c r="AG765" s="68">
        <v>0.0</v>
      </c>
      <c r="AH765" s="68">
        <v>0.0</v>
      </c>
      <c r="AI765" s="68">
        <v>0.0</v>
      </c>
      <c r="AJ765" s="68">
        <v>0.0</v>
      </c>
    </row>
    <row r="766" ht="15.75" customHeight="1">
      <c r="A766" s="3" t="s">
        <v>70</v>
      </c>
      <c r="B766" s="68" t="s">
        <v>779</v>
      </c>
      <c r="C766" s="68" t="s">
        <v>902</v>
      </c>
      <c r="D766" s="68" t="s">
        <v>781</v>
      </c>
      <c r="E766" s="68" t="s">
        <v>459</v>
      </c>
      <c r="F766" s="68" t="s">
        <v>774</v>
      </c>
      <c r="G766" s="68" t="s">
        <v>775</v>
      </c>
      <c r="H766" s="181">
        <v>45301.0</v>
      </c>
      <c r="J766" s="68" t="s">
        <v>134</v>
      </c>
      <c r="K766" s="68">
        <v>500.0</v>
      </c>
      <c r="L766" s="27">
        <v>0.118852459016393</v>
      </c>
      <c r="M766" s="68" t="s">
        <v>8</v>
      </c>
      <c r="N766" s="68">
        <v>408.0</v>
      </c>
      <c r="O766" s="68">
        <v>2.0</v>
      </c>
      <c r="P766" s="68">
        <v>0.0049</v>
      </c>
      <c r="Q766" s="68">
        <v>122.59</v>
      </c>
      <c r="R766" s="68">
        <v>61.3</v>
      </c>
      <c r="S766" s="68">
        <v>0.0</v>
      </c>
      <c r="T766" s="68">
        <v>0.0</v>
      </c>
      <c r="U766" s="68">
        <v>0.0</v>
      </c>
      <c r="V766" s="68">
        <v>0.0</v>
      </c>
      <c r="W766" s="68">
        <v>0.0</v>
      </c>
      <c r="X766" s="68">
        <v>0.0</v>
      </c>
      <c r="Y766" s="68">
        <v>0.0</v>
      </c>
      <c r="Z766" s="68">
        <v>0.0</v>
      </c>
      <c r="AA766" s="68">
        <v>0.0</v>
      </c>
      <c r="AB766" s="68">
        <v>0.0</v>
      </c>
      <c r="AC766" s="68">
        <v>0.0</v>
      </c>
      <c r="AD766" s="68">
        <v>0.0</v>
      </c>
      <c r="AE766" s="68">
        <v>0.0</v>
      </c>
      <c r="AF766" s="68">
        <v>0.0</v>
      </c>
      <c r="AG766" s="68">
        <v>0.0</v>
      </c>
      <c r="AH766" s="68">
        <v>0.0</v>
      </c>
      <c r="AI766" s="68">
        <v>0.0</v>
      </c>
      <c r="AJ766" s="68">
        <v>0.0</v>
      </c>
    </row>
    <row r="767" ht="15.75" customHeight="1">
      <c r="A767" s="3" t="s">
        <v>70</v>
      </c>
      <c r="B767" s="68" t="s">
        <v>771</v>
      </c>
      <c r="C767" s="68" t="s">
        <v>1076</v>
      </c>
      <c r="D767" s="68" t="s">
        <v>773</v>
      </c>
      <c r="E767" s="68" t="s">
        <v>460</v>
      </c>
      <c r="F767" s="68" t="s">
        <v>778</v>
      </c>
      <c r="G767" s="68" t="s">
        <v>775</v>
      </c>
      <c r="H767" s="181">
        <v>45656.0</v>
      </c>
      <c r="J767" s="68" t="s">
        <v>134</v>
      </c>
      <c r="K767" s="68">
        <v>100.0</v>
      </c>
      <c r="L767" s="68" t="s">
        <v>776</v>
      </c>
      <c r="M767" s="68" t="s">
        <v>8</v>
      </c>
      <c r="N767" s="68">
        <v>420.0</v>
      </c>
      <c r="O767" s="68">
        <v>0.0</v>
      </c>
      <c r="P767" s="68">
        <v>0.0</v>
      </c>
      <c r="Q767" s="68">
        <v>0.0</v>
      </c>
      <c r="R767" s="68">
        <v>0.0</v>
      </c>
      <c r="S767" s="68">
        <v>0.0</v>
      </c>
      <c r="T767" s="68">
        <v>0.0</v>
      </c>
      <c r="U767" s="68">
        <v>0.0</v>
      </c>
      <c r="V767" s="68">
        <v>0.0</v>
      </c>
      <c r="W767" s="68">
        <v>0.0</v>
      </c>
      <c r="X767" s="68">
        <v>0.0</v>
      </c>
      <c r="Y767" s="68">
        <v>0.0</v>
      </c>
      <c r="Z767" s="68">
        <v>0.0</v>
      </c>
      <c r="AA767" s="68">
        <v>0.0</v>
      </c>
      <c r="AB767" s="68">
        <v>0.0</v>
      </c>
      <c r="AC767" s="68">
        <v>0.0</v>
      </c>
      <c r="AD767" s="68">
        <v>0.0</v>
      </c>
      <c r="AE767" s="68">
        <v>0.0</v>
      </c>
      <c r="AF767" s="68">
        <v>0.0</v>
      </c>
      <c r="AG767" s="68">
        <v>0.0</v>
      </c>
      <c r="AH767" s="68">
        <v>0.0</v>
      </c>
      <c r="AI767" s="68">
        <v>0.0</v>
      </c>
      <c r="AJ767" s="68">
        <v>0.0</v>
      </c>
    </row>
    <row r="768" ht="15.75" customHeight="1">
      <c r="A768" s="3" t="s">
        <v>70</v>
      </c>
      <c r="B768" s="68" t="s">
        <v>779</v>
      </c>
      <c r="C768" s="68" t="s">
        <v>900</v>
      </c>
      <c r="D768" s="68" t="s">
        <v>781</v>
      </c>
      <c r="E768" s="68" t="s">
        <v>459</v>
      </c>
      <c r="F768" s="68" t="s">
        <v>774</v>
      </c>
      <c r="G768" s="68" t="s">
        <v>775</v>
      </c>
      <c r="H768" s="181">
        <v>45301.0</v>
      </c>
      <c r="J768" s="68" t="s">
        <v>134</v>
      </c>
      <c r="K768" s="68">
        <v>1000.0</v>
      </c>
      <c r="L768" s="68" t="s">
        <v>776</v>
      </c>
      <c r="M768" s="68" t="s">
        <v>8</v>
      </c>
      <c r="N768" s="68">
        <v>756.0</v>
      </c>
      <c r="O768" s="68">
        <v>0.0</v>
      </c>
      <c r="P768" s="68">
        <v>0.0</v>
      </c>
      <c r="Q768" s="68">
        <v>0.0</v>
      </c>
      <c r="R768" s="68">
        <v>0.0</v>
      </c>
      <c r="S768" s="68">
        <v>0.0</v>
      </c>
      <c r="T768" s="68">
        <v>0.0</v>
      </c>
      <c r="U768" s="68">
        <v>0.0</v>
      </c>
      <c r="V768" s="68">
        <v>0.0</v>
      </c>
      <c r="W768" s="68">
        <v>0.0</v>
      </c>
      <c r="X768" s="68">
        <v>0.0</v>
      </c>
      <c r="Y768" s="68">
        <v>0.0</v>
      </c>
      <c r="Z768" s="68">
        <v>0.0</v>
      </c>
      <c r="AA768" s="68">
        <v>0.0</v>
      </c>
      <c r="AB768" s="68">
        <v>0.0</v>
      </c>
      <c r="AC768" s="68">
        <v>0.0</v>
      </c>
      <c r="AD768" s="68">
        <v>0.0</v>
      </c>
      <c r="AE768" s="68">
        <v>0.0</v>
      </c>
      <c r="AF768" s="68">
        <v>0.0</v>
      </c>
      <c r="AG768" s="68">
        <v>0.0</v>
      </c>
      <c r="AH768" s="68">
        <v>0.0</v>
      </c>
      <c r="AI768" s="68">
        <v>0.0</v>
      </c>
      <c r="AJ768" s="68">
        <v>0.0</v>
      </c>
    </row>
    <row r="769" ht="15.75" customHeight="1">
      <c r="A769" s="3" t="s">
        <v>70</v>
      </c>
      <c r="B769" s="68" t="s">
        <v>779</v>
      </c>
      <c r="C769" s="68" t="s">
        <v>916</v>
      </c>
      <c r="D769" s="68" t="s">
        <v>781</v>
      </c>
      <c r="E769" s="68" t="s">
        <v>459</v>
      </c>
      <c r="F769" s="68" t="s">
        <v>774</v>
      </c>
      <c r="G769" s="68" t="s">
        <v>775</v>
      </c>
      <c r="H769" s="181">
        <v>45356.0</v>
      </c>
      <c r="J769" s="68" t="s">
        <v>205</v>
      </c>
      <c r="K769" s="68">
        <v>356.4</v>
      </c>
      <c r="L769" s="68" t="s">
        <v>776</v>
      </c>
      <c r="M769" s="68" t="s">
        <v>8</v>
      </c>
      <c r="N769" s="68">
        <v>845.0</v>
      </c>
      <c r="O769" s="68">
        <v>1.0</v>
      </c>
      <c r="P769" s="68">
        <v>0.0012</v>
      </c>
      <c r="Q769" s="68">
        <v>26.55</v>
      </c>
      <c r="R769" s="68">
        <v>26.55</v>
      </c>
      <c r="S769" s="68">
        <v>0.0</v>
      </c>
      <c r="T769" s="68">
        <v>0.0</v>
      </c>
      <c r="U769" s="68">
        <v>0.0</v>
      </c>
      <c r="V769" s="68">
        <v>0.0</v>
      </c>
      <c r="W769" s="68">
        <v>0.0</v>
      </c>
      <c r="X769" s="68">
        <v>0.0</v>
      </c>
      <c r="Y769" s="68">
        <v>0.0</v>
      </c>
      <c r="Z769" s="68">
        <v>0.0</v>
      </c>
      <c r="AA769" s="68">
        <v>0.0</v>
      </c>
      <c r="AB769" s="68">
        <v>0.0</v>
      </c>
      <c r="AC769" s="68">
        <v>0.0</v>
      </c>
      <c r="AD769" s="68">
        <v>0.0</v>
      </c>
      <c r="AE769" s="68">
        <v>0.0</v>
      </c>
      <c r="AF769" s="68">
        <v>0.0</v>
      </c>
      <c r="AG769" s="68">
        <v>0.0</v>
      </c>
      <c r="AH769" s="68">
        <v>0.0</v>
      </c>
      <c r="AI769" s="68">
        <v>0.0</v>
      </c>
      <c r="AJ769" s="68">
        <v>0.0</v>
      </c>
    </row>
    <row r="770" ht="15.75" customHeight="1">
      <c r="A770" s="3" t="s">
        <v>70</v>
      </c>
      <c r="B770" s="68" t="s">
        <v>771</v>
      </c>
      <c r="C770" s="68" t="s">
        <v>1077</v>
      </c>
      <c r="D770" s="68" t="s">
        <v>773</v>
      </c>
      <c r="E770" s="68" t="s">
        <v>459</v>
      </c>
      <c r="F770" s="68" t="s">
        <v>774</v>
      </c>
      <c r="G770" s="68" t="s">
        <v>775</v>
      </c>
      <c r="H770" s="181">
        <v>45656.0</v>
      </c>
      <c r="J770" s="68" t="s">
        <v>413</v>
      </c>
      <c r="K770" s="68">
        <v>1000.0</v>
      </c>
      <c r="L770" s="68" t="s">
        <v>776</v>
      </c>
      <c r="M770" s="68" t="s">
        <v>8</v>
      </c>
      <c r="N770" s="68">
        <v>931.0</v>
      </c>
      <c r="O770" s="68">
        <v>1.0</v>
      </c>
      <c r="P770" s="68">
        <v>0.0011</v>
      </c>
      <c r="Q770" s="68">
        <v>2.94</v>
      </c>
      <c r="R770" s="68">
        <v>2.94</v>
      </c>
      <c r="S770" s="68">
        <v>0.0</v>
      </c>
      <c r="T770" s="68">
        <v>0.0</v>
      </c>
      <c r="U770" s="68">
        <v>0.0</v>
      </c>
      <c r="V770" s="68">
        <v>0.0</v>
      </c>
      <c r="W770" s="68">
        <v>0.0</v>
      </c>
      <c r="X770" s="68">
        <v>0.0</v>
      </c>
      <c r="Y770" s="68">
        <v>0.0</v>
      </c>
      <c r="Z770" s="68">
        <v>0.0</v>
      </c>
      <c r="AA770" s="68">
        <v>0.0</v>
      </c>
      <c r="AB770" s="68">
        <v>0.0</v>
      </c>
      <c r="AC770" s="68">
        <v>0.0</v>
      </c>
      <c r="AD770" s="68">
        <v>0.0</v>
      </c>
      <c r="AE770" s="68">
        <v>0.0</v>
      </c>
      <c r="AF770" s="68">
        <v>0.0</v>
      </c>
      <c r="AG770" s="68">
        <v>0.0</v>
      </c>
      <c r="AH770" s="68">
        <v>0.0</v>
      </c>
      <c r="AI770" s="68">
        <v>0.0</v>
      </c>
      <c r="AJ770" s="68">
        <v>0.0</v>
      </c>
    </row>
    <row r="771" ht="15.75" customHeight="1">
      <c r="A771" s="3" t="s">
        <v>70</v>
      </c>
      <c r="B771" s="68" t="s">
        <v>771</v>
      </c>
      <c r="C771" s="68" t="s">
        <v>1078</v>
      </c>
      <c r="D771" s="68" t="s">
        <v>773</v>
      </c>
      <c r="E771" s="68" t="s">
        <v>459</v>
      </c>
      <c r="F771" s="68" t="s">
        <v>774</v>
      </c>
      <c r="G771" s="68" t="s">
        <v>775</v>
      </c>
      <c r="H771" s="181">
        <v>45656.0</v>
      </c>
      <c r="J771" s="68" t="s">
        <v>134</v>
      </c>
      <c r="K771" s="68">
        <v>1000.0</v>
      </c>
      <c r="L771" s="68" t="s">
        <v>776</v>
      </c>
      <c r="M771" s="68" t="s">
        <v>8</v>
      </c>
      <c r="N771" s="68">
        <v>955.0</v>
      </c>
      <c r="O771" s="68">
        <v>11.0</v>
      </c>
      <c r="P771" s="68">
        <v>0.0115</v>
      </c>
      <c r="Q771" s="68">
        <v>568.84</v>
      </c>
      <c r="R771" s="68">
        <v>51.71</v>
      </c>
      <c r="S771" s="68">
        <v>0.0</v>
      </c>
      <c r="T771" s="68">
        <v>0.0</v>
      </c>
      <c r="U771" s="68">
        <v>0.0</v>
      </c>
      <c r="V771" s="68">
        <v>0.0</v>
      </c>
      <c r="W771" s="68">
        <v>0.0</v>
      </c>
      <c r="X771" s="68">
        <v>0.0</v>
      </c>
      <c r="Y771" s="68">
        <v>0.0</v>
      </c>
      <c r="Z771" s="68">
        <v>0.0</v>
      </c>
      <c r="AA771" s="68">
        <v>0.0</v>
      </c>
      <c r="AB771" s="68">
        <v>0.0</v>
      </c>
      <c r="AC771" s="68">
        <v>0.0</v>
      </c>
      <c r="AD771" s="68">
        <v>0.0</v>
      </c>
      <c r="AE771" s="68">
        <v>0.0</v>
      </c>
      <c r="AF771" s="68">
        <v>0.0</v>
      </c>
      <c r="AG771" s="68">
        <v>0.0</v>
      </c>
      <c r="AH771" s="68">
        <v>0.0</v>
      </c>
      <c r="AI771" s="68">
        <v>0.0</v>
      </c>
      <c r="AJ771" s="68">
        <v>0.0</v>
      </c>
    </row>
    <row r="772" ht="15.75" customHeight="1">
      <c r="A772" s="3" t="s">
        <v>70</v>
      </c>
      <c r="B772" s="68" t="s">
        <v>771</v>
      </c>
      <c r="C772" s="68" t="s">
        <v>1079</v>
      </c>
      <c r="D772" s="68" t="s">
        <v>773</v>
      </c>
      <c r="E772" s="68" t="s">
        <v>459</v>
      </c>
      <c r="F772" s="68" t="s">
        <v>774</v>
      </c>
      <c r="G772" s="68" t="s">
        <v>775</v>
      </c>
      <c r="H772" s="181">
        <v>45656.0</v>
      </c>
      <c r="J772" s="68" t="s">
        <v>429</v>
      </c>
      <c r="K772" s="68">
        <v>1000.0</v>
      </c>
      <c r="L772" s="68" t="s">
        <v>776</v>
      </c>
      <c r="M772" s="68" t="s">
        <v>8</v>
      </c>
      <c r="N772" s="68">
        <v>1219.0</v>
      </c>
      <c r="O772" s="68">
        <v>4.0</v>
      </c>
      <c r="P772" s="68">
        <v>0.0033</v>
      </c>
      <c r="Q772" s="68">
        <v>44.36</v>
      </c>
      <c r="R772" s="68">
        <v>11.09</v>
      </c>
      <c r="S772" s="68">
        <v>0.0</v>
      </c>
      <c r="T772" s="68">
        <v>0.0</v>
      </c>
      <c r="U772" s="68">
        <v>0.0</v>
      </c>
      <c r="V772" s="68">
        <v>0.0</v>
      </c>
      <c r="W772" s="68">
        <v>0.0</v>
      </c>
      <c r="X772" s="68">
        <v>0.0</v>
      </c>
      <c r="Y772" s="68">
        <v>0.0</v>
      </c>
      <c r="Z772" s="68">
        <v>0.0</v>
      </c>
      <c r="AA772" s="68">
        <v>0.0</v>
      </c>
      <c r="AB772" s="68">
        <v>0.0</v>
      </c>
      <c r="AC772" s="68">
        <v>0.0</v>
      </c>
      <c r="AD772" s="68">
        <v>0.0</v>
      </c>
      <c r="AE772" s="68">
        <v>0.0</v>
      </c>
      <c r="AF772" s="68">
        <v>0.0</v>
      </c>
      <c r="AG772" s="68">
        <v>0.0</v>
      </c>
      <c r="AH772" s="68">
        <v>0.0</v>
      </c>
      <c r="AI772" s="68">
        <v>0.0</v>
      </c>
      <c r="AJ772" s="68">
        <v>0.0</v>
      </c>
    </row>
    <row r="773" ht="15.75" customHeight="1">
      <c r="A773" s="3" t="s">
        <v>70</v>
      </c>
      <c r="B773" s="68" t="s">
        <v>779</v>
      </c>
      <c r="C773" s="68" t="s">
        <v>964</v>
      </c>
      <c r="D773" s="68" t="s">
        <v>781</v>
      </c>
      <c r="E773" s="68" t="s">
        <v>459</v>
      </c>
      <c r="F773" s="68" t="s">
        <v>774</v>
      </c>
      <c r="G773" s="68" t="s">
        <v>775</v>
      </c>
      <c r="H773" s="181">
        <v>45460.0</v>
      </c>
      <c r="J773" s="68" t="s">
        <v>232</v>
      </c>
      <c r="K773" s="68">
        <v>1831.7</v>
      </c>
      <c r="L773" s="68" t="s">
        <v>776</v>
      </c>
      <c r="M773" s="68" t="s">
        <v>8</v>
      </c>
      <c r="N773" s="68">
        <v>1880.0</v>
      </c>
      <c r="O773" s="68">
        <v>3.0</v>
      </c>
      <c r="P773" s="68">
        <v>0.0016</v>
      </c>
      <c r="Q773" s="68">
        <v>113.45</v>
      </c>
      <c r="R773" s="68">
        <v>37.82</v>
      </c>
      <c r="S773" s="68">
        <v>0.0</v>
      </c>
      <c r="T773" s="68">
        <v>0.0</v>
      </c>
      <c r="U773" s="68">
        <v>0.0</v>
      </c>
      <c r="V773" s="68">
        <v>0.0</v>
      </c>
      <c r="W773" s="68">
        <v>0.0</v>
      </c>
      <c r="X773" s="68">
        <v>0.0</v>
      </c>
      <c r="Y773" s="68">
        <v>0.0</v>
      </c>
      <c r="Z773" s="68">
        <v>0.0</v>
      </c>
      <c r="AA773" s="68">
        <v>0.0</v>
      </c>
      <c r="AB773" s="68">
        <v>0.0</v>
      </c>
      <c r="AC773" s="68">
        <v>0.0</v>
      </c>
      <c r="AD773" s="68">
        <v>0.0</v>
      </c>
      <c r="AE773" s="68">
        <v>0.0</v>
      </c>
      <c r="AF773" s="68">
        <v>0.0</v>
      </c>
      <c r="AG773" s="68">
        <v>0.0</v>
      </c>
      <c r="AH773" s="68">
        <v>0.0</v>
      </c>
      <c r="AI773" s="68">
        <v>0.0</v>
      </c>
      <c r="AJ773" s="68">
        <v>0.0</v>
      </c>
    </row>
    <row r="774" ht="15.75" customHeight="1">
      <c r="A774" s="3" t="s">
        <v>70</v>
      </c>
      <c r="B774" s="68" t="s">
        <v>779</v>
      </c>
      <c r="C774" s="68" t="s">
        <v>963</v>
      </c>
      <c r="D774" s="68" t="s">
        <v>781</v>
      </c>
      <c r="E774" s="68" t="s">
        <v>459</v>
      </c>
      <c r="F774" s="68" t="s">
        <v>774</v>
      </c>
      <c r="G774" s="68" t="s">
        <v>775</v>
      </c>
      <c r="H774" s="181">
        <v>45352.0</v>
      </c>
      <c r="J774" s="68" t="s">
        <v>140</v>
      </c>
      <c r="K774" s="68">
        <v>1395.0</v>
      </c>
      <c r="L774" s="68" t="s">
        <v>776</v>
      </c>
      <c r="M774" s="68" t="s">
        <v>8</v>
      </c>
      <c r="N774" s="68">
        <v>2053.0</v>
      </c>
      <c r="O774" s="68">
        <v>4.0</v>
      </c>
      <c r="P774" s="68">
        <v>0.0019</v>
      </c>
      <c r="Q774" s="68">
        <v>155.18</v>
      </c>
      <c r="R774" s="68">
        <v>38.8</v>
      </c>
      <c r="S774" s="68">
        <v>0.0</v>
      </c>
      <c r="T774" s="68">
        <v>0.0</v>
      </c>
      <c r="U774" s="68">
        <v>0.0</v>
      </c>
      <c r="V774" s="68">
        <v>0.0</v>
      </c>
      <c r="W774" s="68">
        <v>0.0</v>
      </c>
      <c r="X774" s="68">
        <v>0.0</v>
      </c>
      <c r="Y774" s="68">
        <v>0.0</v>
      </c>
      <c r="Z774" s="68">
        <v>0.0</v>
      </c>
      <c r="AA774" s="68">
        <v>0.0</v>
      </c>
      <c r="AB774" s="68">
        <v>0.0</v>
      </c>
      <c r="AC774" s="68">
        <v>0.0</v>
      </c>
      <c r="AD774" s="68">
        <v>0.0</v>
      </c>
      <c r="AE774" s="68">
        <v>0.0</v>
      </c>
      <c r="AF774" s="68">
        <v>0.0</v>
      </c>
      <c r="AG774" s="68">
        <v>0.0</v>
      </c>
      <c r="AH774" s="68">
        <v>0.0</v>
      </c>
      <c r="AI774" s="68">
        <v>0.0</v>
      </c>
      <c r="AJ774" s="68">
        <v>0.0</v>
      </c>
    </row>
    <row r="775" ht="15.75" customHeight="1">
      <c r="A775" s="3" t="s">
        <v>70</v>
      </c>
      <c r="B775" s="68" t="s">
        <v>779</v>
      </c>
      <c r="C775" s="68" t="s">
        <v>1058</v>
      </c>
      <c r="D775" s="68" t="s">
        <v>781</v>
      </c>
      <c r="E775" s="68" t="s">
        <v>459</v>
      </c>
      <c r="F775" s="68" t="s">
        <v>774</v>
      </c>
      <c r="G775" s="68" t="s">
        <v>775</v>
      </c>
      <c r="H775" s="181">
        <v>45538.0</v>
      </c>
      <c r="J775" s="68" t="s">
        <v>248</v>
      </c>
      <c r="K775" s="68">
        <v>1240.0</v>
      </c>
      <c r="L775" s="27">
        <v>0.102112676056338</v>
      </c>
      <c r="M775" s="68" t="s">
        <v>8</v>
      </c>
      <c r="N775" s="68">
        <v>2057.0</v>
      </c>
      <c r="O775" s="68">
        <v>49.0</v>
      </c>
      <c r="P775" s="68">
        <v>0.0238</v>
      </c>
      <c r="Q775" s="68">
        <v>723.99</v>
      </c>
      <c r="R775" s="68">
        <v>14.78</v>
      </c>
      <c r="S775" s="68">
        <v>0.0</v>
      </c>
      <c r="T775" s="68">
        <v>2.0</v>
      </c>
      <c r="U775" s="68">
        <v>22076.28</v>
      </c>
      <c r="V775" s="68">
        <v>0.0328</v>
      </c>
      <c r="W775" s="68">
        <v>30.4925</v>
      </c>
      <c r="X775" s="68">
        <v>0.0</v>
      </c>
      <c r="Y775" s="68">
        <v>0.0</v>
      </c>
      <c r="Z775" s="68">
        <v>0.0</v>
      </c>
      <c r="AA775" s="68">
        <v>0.0</v>
      </c>
      <c r="AB775" s="68">
        <v>0.0</v>
      </c>
      <c r="AC775" s="68">
        <v>0.0</v>
      </c>
      <c r="AD775" s="68">
        <v>0.0</v>
      </c>
      <c r="AE775" s="68">
        <v>0.0</v>
      </c>
      <c r="AF775" s="68">
        <v>0.0</v>
      </c>
      <c r="AG775" s="68">
        <v>0.0</v>
      </c>
      <c r="AH775" s="68">
        <v>0.0</v>
      </c>
      <c r="AI775" s="68">
        <v>0.0</v>
      </c>
      <c r="AJ775" s="68">
        <v>0.0</v>
      </c>
    </row>
    <row r="776" ht="15.75" customHeight="1">
      <c r="A776" s="3" t="s">
        <v>70</v>
      </c>
      <c r="B776" s="68" t="s">
        <v>779</v>
      </c>
      <c r="C776" s="68" t="s">
        <v>984</v>
      </c>
      <c r="D776" s="68" t="s">
        <v>781</v>
      </c>
      <c r="E776" s="68" t="s">
        <v>462</v>
      </c>
      <c r="F776" s="68" t="s">
        <v>774</v>
      </c>
      <c r="H776" s="181">
        <v>45505.0</v>
      </c>
      <c r="J776" s="68" t="s">
        <v>140</v>
      </c>
      <c r="K776" s="68">
        <v>118.8</v>
      </c>
      <c r="L776" s="27">
        <v>0.612244897959183</v>
      </c>
      <c r="M776" s="68" t="s">
        <v>8</v>
      </c>
      <c r="N776" s="68">
        <v>2250.0</v>
      </c>
      <c r="O776" s="68">
        <v>39.0</v>
      </c>
      <c r="P776" s="68">
        <v>0.0173</v>
      </c>
      <c r="Q776" s="68">
        <v>526.3</v>
      </c>
      <c r="R776" s="68">
        <v>13.49</v>
      </c>
      <c r="S776" s="68">
        <v>77.0</v>
      </c>
      <c r="T776" s="68">
        <v>1.0</v>
      </c>
      <c r="U776" s="68">
        <v>1439.83</v>
      </c>
      <c r="V776" s="68">
        <v>0.3655</v>
      </c>
      <c r="W776" s="68">
        <v>2.7358</v>
      </c>
      <c r="X776" s="68">
        <v>1.0</v>
      </c>
      <c r="Y776" s="68">
        <v>1.0</v>
      </c>
      <c r="Z776" s="68">
        <v>1439.83</v>
      </c>
      <c r="AA776" s="68">
        <v>1.0</v>
      </c>
      <c r="AB776" s="68">
        <v>546.0</v>
      </c>
      <c r="AC776" s="68">
        <v>963.92</v>
      </c>
      <c r="AD776" s="68">
        <v>0.0</v>
      </c>
      <c r="AE776" s="68">
        <v>0.0</v>
      </c>
      <c r="AF776" s="68">
        <v>0.0</v>
      </c>
      <c r="AG776" s="68">
        <v>0.0</v>
      </c>
      <c r="AH776" s="68">
        <v>0.0</v>
      </c>
      <c r="AI776" s="68">
        <v>0.0</v>
      </c>
      <c r="AJ776" s="68">
        <v>0.0</v>
      </c>
    </row>
    <row r="777" ht="15.75" customHeight="1">
      <c r="A777" s="3" t="s">
        <v>70</v>
      </c>
      <c r="B777" s="68" t="s">
        <v>771</v>
      </c>
      <c r="C777" s="68" t="s">
        <v>1080</v>
      </c>
      <c r="D777" s="68" t="s">
        <v>773</v>
      </c>
      <c r="E777" s="68" t="s">
        <v>459</v>
      </c>
      <c r="F777" s="68" t="s">
        <v>774</v>
      </c>
      <c r="G777" s="68" t="s">
        <v>775</v>
      </c>
      <c r="H777" s="181">
        <v>45656.0</v>
      </c>
      <c r="J777" s="68" t="s">
        <v>140</v>
      </c>
      <c r="K777" s="68">
        <v>1000.0</v>
      </c>
      <c r="L777" s="27">
        <v>0.065398335315101</v>
      </c>
      <c r="M777" s="68" t="s">
        <v>8</v>
      </c>
      <c r="N777" s="68">
        <v>2600.0</v>
      </c>
      <c r="O777" s="68">
        <v>13.0</v>
      </c>
      <c r="P777" s="68">
        <v>0.005</v>
      </c>
      <c r="Q777" s="68">
        <v>232.49</v>
      </c>
      <c r="R777" s="68">
        <v>17.88</v>
      </c>
      <c r="S777" s="68">
        <v>0.0</v>
      </c>
      <c r="T777" s="68">
        <v>1.0</v>
      </c>
      <c r="U777" s="68">
        <v>23135.59</v>
      </c>
      <c r="V777" s="68">
        <v>0.01</v>
      </c>
      <c r="W777" s="68">
        <v>99.5122</v>
      </c>
      <c r="X777" s="68">
        <v>0.0</v>
      </c>
      <c r="Y777" s="68">
        <v>0.0</v>
      </c>
      <c r="Z777" s="68">
        <v>0.0</v>
      </c>
      <c r="AA777" s="68">
        <v>0.0</v>
      </c>
      <c r="AB777" s="68">
        <v>0.0</v>
      </c>
      <c r="AC777" s="68">
        <v>0.0</v>
      </c>
      <c r="AD777" s="68">
        <v>0.0</v>
      </c>
      <c r="AE777" s="68">
        <v>0.0</v>
      </c>
      <c r="AF777" s="68">
        <v>0.0</v>
      </c>
      <c r="AG777" s="68">
        <v>0.0</v>
      </c>
      <c r="AH777" s="68">
        <v>0.0</v>
      </c>
      <c r="AI777" s="68">
        <v>0.0</v>
      </c>
      <c r="AJ777" s="68">
        <v>0.0</v>
      </c>
    </row>
    <row r="778" ht="15.75" customHeight="1">
      <c r="A778" s="3" t="s">
        <v>70</v>
      </c>
      <c r="B778" s="68" t="s">
        <v>779</v>
      </c>
      <c r="C778" s="68" t="s">
        <v>953</v>
      </c>
      <c r="D778" s="68" t="s">
        <v>781</v>
      </c>
      <c r="E778" s="68" t="s">
        <v>459</v>
      </c>
      <c r="F778" s="68" t="s">
        <v>774</v>
      </c>
      <c r="G778" s="68" t="s">
        <v>775</v>
      </c>
      <c r="H778" s="181">
        <v>45456.0</v>
      </c>
      <c r="J778" s="68" t="s">
        <v>232</v>
      </c>
      <c r="K778" s="68">
        <v>1000.0</v>
      </c>
      <c r="L778" s="68" t="s">
        <v>776</v>
      </c>
      <c r="M778" s="68" t="s">
        <v>8</v>
      </c>
      <c r="N778" s="68">
        <v>2787.0</v>
      </c>
      <c r="O778" s="68">
        <v>4.0</v>
      </c>
      <c r="P778" s="68">
        <v>0.0014</v>
      </c>
      <c r="Q778" s="68">
        <v>58.31</v>
      </c>
      <c r="R778" s="68">
        <v>14.58</v>
      </c>
      <c r="S778" s="68">
        <v>0.0</v>
      </c>
      <c r="T778" s="68">
        <v>0.0</v>
      </c>
      <c r="U778" s="68">
        <v>0.0</v>
      </c>
      <c r="V778" s="68">
        <v>0.0</v>
      </c>
      <c r="W778" s="68">
        <v>0.0</v>
      </c>
      <c r="X778" s="68">
        <v>0.0</v>
      </c>
      <c r="Y778" s="68">
        <v>0.0</v>
      </c>
      <c r="Z778" s="68">
        <v>0.0</v>
      </c>
      <c r="AA778" s="68">
        <v>0.0</v>
      </c>
      <c r="AB778" s="68">
        <v>0.0</v>
      </c>
      <c r="AC778" s="68">
        <v>0.0</v>
      </c>
      <c r="AD778" s="68">
        <v>0.0</v>
      </c>
      <c r="AE778" s="68">
        <v>0.0</v>
      </c>
      <c r="AF778" s="68">
        <v>0.0</v>
      </c>
      <c r="AG778" s="68">
        <v>0.0</v>
      </c>
      <c r="AH778" s="68">
        <v>0.0</v>
      </c>
      <c r="AI778" s="68">
        <v>0.0</v>
      </c>
      <c r="AJ778" s="68">
        <v>0.0</v>
      </c>
    </row>
    <row r="779" ht="15.75" customHeight="1">
      <c r="A779" s="3" t="s">
        <v>70</v>
      </c>
      <c r="B779" s="68" t="s">
        <v>771</v>
      </c>
      <c r="C779" s="68" t="s">
        <v>1081</v>
      </c>
      <c r="D779" s="68" t="s">
        <v>773</v>
      </c>
      <c r="E779" s="68" t="s">
        <v>459</v>
      </c>
      <c r="F779" s="68" t="s">
        <v>774</v>
      </c>
      <c r="G779" s="68" t="s">
        <v>775</v>
      </c>
      <c r="H779" s="181">
        <v>45649.0</v>
      </c>
      <c r="J779" s="68" t="s">
        <v>134</v>
      </c>
      <c r="K779" s="68">
        <v>1500.0</v>
      </c>
      <c r="L779" s="27">
        <v>0.101177336276674</v>
      </c>
      <c r="M779" s="68" t="s">
        <v>8</v>
      </c>
      <c r="N779" s="68">
        <v>4635.0</v>
      </c>
      <c r="O779" s="68">
        <v>38.0</v>
      </c>
      <c r="P779" s="68">
        <v>0.0082</v>
      </c>
      <c r="Q779" s="68">
        <v>1525.94</v>
      </c>
      <c r="R779" s="68">
        <v>40.16</v>
      </c>
      <c r="S779" s="68">
        <v>0.0</v>
      </c>
      <c r="T779" s="68">
        <v>1.0</v>
      </c>
      <c r="U779" s="68">
        <v>22668.64</v>
      </c>
      <c r="V779" s="68">
        <v>0.0673</v>
      </c>
      <c r="W779" s="68">
        <v>14.8555</v>
      </c>
      <c r="X779" s="68">
        <v>0.0</v>
      </c>
      <c r="Y779" s="68">
        <v>0.0</v>
      </c>
      <c r="Z779" s="68">
        <v>0.0</v>
      </c>
      <c r="AA779" s="68">
        <v>0.0</v>
      </c>
      <c r="AB779" s="68">
        <v>0.0</v>
      </c>
      <c r="AC779" s="68">
        <v>0.0</v>
      </c>
      <c r="AD779" s="68">
        <v>0.0</v>
      </c>
      <c r="AE779" s="68">
        <v>0.0</v>
      </c>
      <c r="AF779" s="68">
        <v>0.0</v>
      </c>
      <c r="AG779" s="68">
        <v>0.0</v>
      </c>
      <c r="AH779" s="68">
        <v>0.0</v>
      </c>
      <c r="AI779" s="68">
        <v>0.0</v>
      </c>
      <c r="AJ779" s="68">
        <v>0.0</v>
      </c>
    </row>
    <row r="780" ht="15.75" customHeight="1">
      <c r="A780" s="3" t="s">
        <v>70</v>
      </c>
      <c r="B780" s="68" t="s">
        <v>771</v>
      </c>
      <c r="C780" s="68" t="s">
        <v>1082</v>
      </c>
      <c r="D780" s="68" t="s">
        <v>773</v>
      </c>
      <c r="E780" s="68" t="s">
        <v>461</v>
      </c>
      <c r="F780" s="68" t="s">
        <v>774</v>
      </c>
      <c r="H780" s="181">
        <v>45653.0</v>
      </c>
      <c r="J780" s="68" t="s">
        <v>211</v>
      </c>
      <c r="K780" s="68">
        <v>1000.0</v>
      </c>
      <c r="L780" s="27">
        <v>0.216536404771698</v>
      </c>
      <c r="M780" s="68" t="s">
        <v>8</v>
      </c>
      <c r="N780" s="68">
        <v>4636.0</v>
      </c>
      <c r="O780" s="68">
        <v>122.0</v>
      </c>
      <c r="P780" s="68">
        <v>0.0263</v>
      </c>
      <c r="Q780" s="68">
        <v>881.42</v>
      </c>
      <c r="R780" s="68">
        <v>7.22</v>
      </c>
      <c r="S780" s="68">
        <v>192.0</v>
      </c>
      <c r="T780" s="68">
        <v>0.0</v>
      </c>
      <c r="U780" s="68">
        <v>0.0</v>
      </c>
      <c r="V780" s="68">
        <v>0.0</v>
      </c>
      <c r="W780" s="68">
        <v>0.0</v>
      </c>
      <c r="X780" s="68">
        <v>0.0</v>
      </c>
      <c r="Y780" s="68">
        <v>0.0</v>
      </c>
      <c r="Z780" s="68">
        <v>0.0</v>
      </c>
      <c r="AA780" s="68">
        <v>0.0</v>
      </c>
      <c r="AB780" s="68">
        <v>2220.0</v>
      </c>
      <c r="AC780" s="68">
        <v>397.04</v>
      </c>
      <c r="AD780" s="68">
        <v>0.0</v>
      </c>
      <c r="AE780" s="68">
        <v>0.0</v>
      </c>
      <c r="AF780" s="68">
        <v>0.0</v>
      </c>
      <c r="AG780" s="68">
        <v>0.0</v>
      </c>
      <c r="AH780" s="68">
        <v>0.0</v>
      </c>
      <c r="AI780" s="68">
        <v>0.0</v>
      </c>
      <c r="AJ780" s="68">
        <v>0.0</v>
      </c>
    </row>
    <row r="781" ht="15.75" customHeight="1">
      <c r="A781" s="3" t="s">
        <v>70</v>
      </c>
      <c r="B781" s="68" t="s">
        <v>771</v>
      </c>
      <c r="C781" s="68" t="s">
        <v>1083</v>
      </c>
      <c r="D781" s="68" t="s">
        <v>773</v>
      </c>
      <c r="E781" s="68" t="s">
        <v>463</v>
      </c>
      <c r="F781" s="68" t="s">
        <v>774</v>
      </c>
      <c r="H781" s="181">
        <v>45656.0</v>
      </c>
      <c r="J781" s="68" t="s">
        <v>90</v>
      </c>
      <c r="K781" s="68">
        <v>1000.0</v>
      </c>
      <c r="M781" s="68" t="s">
        <v>8</v>
      </c>
      <c r="N781" s="68">
        <v>4642.0</v>
      </c>
      <c r="O781" s="68">
        <v>15.0</v>
      </c>
      <c r="P781" s="68">
        <v>0.0032</v>
      </c>
      <c r="Q781" s="68">
        <v>14.13</v>
      </c>
      <c r="R781" s="68">
        <v>0.94</v>
      </c>
      <c r="S781" s="68">
        <v>9.0</v>
      </c>
      <c r="T781" s="68">
        <v>0.0</v>
      </c>
      <c r="U781" s="68">
        <v>0.0</v>
      </c>
      <c r="V781" s="68">
        <v>0.0</v>
      </c>
      <c r="W781" s="68">
        <v>0.0</v>
      </c>
      <c r="X781" s="68">
        <v>0.0</v>
      </c>
      <c r="Y781" s="68">
        <v>0.0</v>
      </c>
      <c r="Z781" s="68">
        <v>0.0</v>
      </c>
      <c r="AA781" s="68">
        <v>0.0</v>
      </c>
      <c r="AB781" s="68">
        <v>0.0</v>
      </c>
      <c r="AC781" s="68">
        <v>0.0</v>
      </c>
      <c r="AD781" s="68">
        <v>0.0</v>
      </c>
      <c r="AE781" s="68">
        <v>0.0</v>
      </c>
      <c r="AF781" s="68">
        <v>0.0</v>
      </c>
      <c r="AG781" s="68">
        <v>0.0</v>
      </c>
      <c r="AH781" s="68">
        <v>0.0</v>
      </c>
      <c r="AI781" s="68">
        <v>0.0</v>
      </c>
      <c r="AJ781" s="68">
        <v>0.0</v>
      </c>
    </row>
    <row r="782" ht="15.75" customHeight="1">
      <c r="A782" s="3" t="s">
        <v>70</v>
      </c>
      <c r="B782" s="68" t="s">
        <v>779</v>
      </c>
      <c r="C782" s="68" t="s">
        <v>867</v>
      </c>
      <c r="D782" s="68" t="s">
        <v>781</v>
      </c>
      <c r="E782" s="68" t="s">
        <v>459</v>
      </c>
      <c r="F782" s="68" t="s">
        <v>774</v>
      </c>
      <c r="G782" s="68" t="s">
        <v>775</v>
      </c>
      <c r="H782" s="181">
        <v>45301.0</v>
      </c>
      <c r="J782" s="68" t="s">
        <v>176</v>
      </c>
      <c r="K782" s="68">
        <v>59.06</v>
      </c>
      <c r="L782" s="27">
        <v>0.110344827586206</v>
      </c>
      <c r="M782" s="68" t="s">
        <v>8</v>
      </c>
      <c r="N782" s="68">
        <v>5190.0</v>
      </c>
      <c r="O782" s="68">
        <v>8.0</v>
      </c>
      <c r="P782" s="68">
        <v>0.0015</v>
      </c>
      <c r="Q782" s="68">
        <v>163.11</v>
      </c>
      <c r="R782" s="68">
        <v>20.39</v>
      </c>
      <c r="S782" s="68">
        <v>0.0</v>
      </c>
      <c r="T782" s="68">
        <v>0.0</v>
      </c>
      <c r="U782" s="68">
        <v>0.0</v>
      </c>
      <c r="V782" s="68">
        <v>0.0</v>
      </c>
      <c r="W782" s="68">
        <v>0.0</v>
      </c>
      <c r="X782" s="68">
        <v>0.0</v>
      </c>
      <c r="Y782" s="68">
        <v>0.0</v>
      </c>
      <c r="Z782" s="68">
        <v>0.0</v>
      </c>
      <c r="AA782" s="68">
        <v>0.0</v>
      </c>
      <c r="AB782" s="68">
        <v>0.0</v>
      </c>
      <c r="AC782" s="68">
        <v>0.0</v>
      </c>
      <c r="AD782" s="68">
        <v>0.0</v>
      </c>
      <c r="AE782" s="68">
        <v>0.0</v>
      </c>
      <c r="AF782" s="68">
        <v>0.0</v>
      </c>
      <c r="AG782" s="68">
        <v>0.0</v>
      </c>
      <c r="AH782" s="68">
        <v>0.0</v>
      </c>
      <c r="AI782" s="68">
        <v>0.0</v>
      </c>
      <c r="AJ782" s="68">
        <v>0.0</v>
      </c>
    </row>
    <row r="783" ht="15.75" customHeight="1">
      <c r="A783" s="3" t="s">
        <v>70</v>
      </c>
      <c r="B783" s="68" t="s">
        <v>779</v>
      </c>
      <c r="C783" s="68" t="s">
        <v>1027</v>
      </c>
      <c r="D783" s="68" t="s">
        <v>781</v>
      </c>
      <c r="E783" s="68" t="s">
        <v>459</v>
      </c>
      <c r="F783" s="68" t="s">
        <v>774</v>
      </c>
      <c r="G783" s="68" t="s">
        <v>775</v>
      </c>
      <c r="H783" s="181">
        <v>45538.0</v>
      </c>
      <c r="J783" s="68" t="s">
        <v>176</v>
      </c>
      <c r="K783" s="68">
        <v>124.19</v>
      </c>
      <c r="L783" s="27">
        <v>0.0763765541740675</v>
      </c>
      <c r="M783" s="68" t="s">
        <v>8</v>
      </c>
      <c r="N783" s="68">
        <v>5801.0</v>
      </c>
      <c r="O783" s="68">
        <v>37.0</v>
      </c>
      <c r="P783" s="68">
        <v>0.0064</v>
      </c>
      <c r="Q783" s="68">
        <v>718.39</v>
      </c>
      <c r="R783" s="68">
        <v>19.42</v>
      </c>
      <c r="S783" s="68">
        <v>0.0</v>
      </c>
      <c r="T783" s="68">
        <v>0.0</v>
      </c>
      <c r="U783" s="68">
        <v>0.0</v>
      </c>
      <c r="V783" s="68">
        <v>0.0</v>
      </c>
      <c r="W783" s="68">
        <v>0.0</v>
      </c>
      <c r="X783" s="68">
        <v>0.0</v>
      </c>
      <c r="Y783" s="68">
        <v>0.0</v>
      </c>
      <c r="Z783" s="68">
        <v>0.0</v>
      </c>
      <c r="AA783" s="68">
        <v>0.0</v>
      </c>
      <c r="AB783" s="68">
        <v>0.0</v>
      </c>
      <c r="AC783" s="68">
        <v>0.0</v>
      </c>
      <c r="AD783" s="68">
        <v>0.0</v>
      </c>
      <c r="AE783" s="68">
        <v>0.0</v>
      </c>
      <c r="AF783" s="68">
        <v>0.0</v>
      </c>
      <c r="AG783" s="68">
        <v>0.0</v>
      </c>
      <c r="AH783" s="68">
        <v>0.0</v>
      </c>
      <c r="AI783" s="68">
        <v>0.0</v>
      </c>
      <c r="AJ783" s="68">
        <v>0.0</v>
      </c>
    </row>
    <row r="784" ht="15.75" customHeight="1">
      <c r="A784" s="3" t="s">
        <v>70</v>
      </c>
      <c r="B784" s="68" t="s">
        <v>771</v>
      </c>
      <c r="C784" s="68" t="s">
        <v>1084</v>
      </c>
      <c r="D784" s="68" t="s">
        <v>773</v>
      </c>
      <c r="E784" s="68" t="s">
        <v>459</v>
      </c>
      <c r="F784" s="68" t="s">
        <v>774</v>
      </c>
      <c r="G784" s="68" t="s">
        <v>775</v>
      </c>
      <c r="H784" s="181">
        <v>45632.0</v>
      </c>
      <c r="J784" s="68" t="s">
        <v>211</v>
      </c>
      <c r="K784" s="68">
        <v>500.0</v>
      </c>
      <c r="L784" s="68" t="s">
        <v>776</v>
      </c>
      <c r="M784" s="68" t="s">
        <v>8</v>
      </c>
      <c r="N784" s="68">
        <v>6092.0</v>
      </c>
      <c r="O784" s="68">
        <v>108.0</v>
      </c>
      <c r="P784" s="68">
        <v>0.0177</v>
      </c>
      <c r="Q784" s="68">
        <v>282.39</v>
      </c>
      <c r="R784" s="68">
        <v>2.61</v>
      </c>
      <c r="S784" s="68">
        <v>0.0</v>
      </c>
      <c r="T784" s="68">
        <v>2.0</v>
      </c>
      <c r="U784" s="68">
        <v>2311.87</v>
      </c>
      <c r="V784" s="68">
        <v>0.1221</v>
      </c>
      <c r="W784" s="68">
        <v>8.1868</v>
      </c>
      <c r="X784" s="68">
        <v>0.0</v>
      </c>
      <c r="Y784" s="68">
        <v>0.0</v>
      </c>
      <c r="Z784" s="68">
        <v>0.0</v>
      </c>
      <c r="AA784" s="68">
        <v>0.0</v>
      </c>
      <c r="AB784" s="68">
        <v>0.0</v>
      </c>
      <c r="AC784" s="68">
        <v>0.0</v>
      </c>
      <c r="AD784" s="68">
        <v>0.0</v>
      </c>
      <c r="AE784" s="68">
        <v>0.0</v>
      </c>
      <c r="AF784" s="68">
        <v>0.0</v>
      </c>
      <c r="AG784" s="68">
        <v>0.0</v>
      </c>
      <c r="AH784" s="68">
        <v>0.0</v>
      </c>
      <c r="AI784" s="68">
        <v>0.0</v>
      </c>
      <c r="AJ784" s="68">
        <v>0.0</v>
      </c>
    </row>
    <row r="785" ht="15.75" customHeight="1">
      <c r="A785" s="3" t="s">
        <v>70</v>
      </c>
      <c r="B785" s="68" t="s">
        <v>771</v>
      </c>
      <c r="C785" s="68" t="s">
        <v>1002</v>
      </c>
      <c r="D785" s="68" t="s">
        <v>773</v>
      </c>
      <c r="E785" s="68" t="s">
        <v>459</v>
      </c>
      <c r="F785" s="68" t="s">
        <v>774</v>
      </c>
      <c r="G785" s="68" t="s">
        <v>775</v>
      </c>
      <c r="H785" s="181">
        <v>45534.0</v>
      </c>
      <c r="J785" s="68" t="s">
        <v>217</v>
      </c>
      <c r="K785" s="68">
        <v>200.0</v>
      </c>
      <c r="L785" s="27">
        <v>0.223684210526315</v>
      </c>
      <c r="M785" s="68" t="s">
        <v>8</v>
      </c>
      <c r="N785" s="68">
        <v>6414.0</v>
      </c>
      <c r="O785" s="68">
        <v>67.0</v>
      </c>
      <c r="P785" s="68">
        <v>0.0104</v>
      </c>
      <c r="Q785" s="68">
        <v>442.23</v>
      </c>
      <c r="R785" s="68">
        <v>6.6</v>
      </c>
      <c r="S785" s="68">
        <v>0.0</v>
      </c>
      <c r="T785" s="68">
        <v>2.0</v>
      </c>
      <c r="U785" s="68">
        <v>2625.44</v>
      </c>
      <c r="V785" s="68">
        <v>0.1684</v>
      </c>
      <c r="W785" s="68">
        <v>5.9368</v>
      </c>
      <c r="X785" s="68">
        <v>0.0</v>
      </c>
      <c r="Y785" s="68">
        <v>0.0</v>
      </c>
      <c r="Z785" s="68">
        <v>0.0</v>
      </c>
      <c r="AA785" s="68">
        <v>0.0</v>
      </c>
      <c r="AB785" s="68">
        <v>0.0</v>
      </c>
      <c r="AC785" s="68">
        <v>0.0</v>
      </c>
      <c r="AD785" s="68">
        <v>0.0</v>
      </c>
      <c r="AE785" s="68">
        <v>0.0</v>
      </c>
      <c r="AF785" s="68">
        <v>0.0</v>
      </c>
      <c r="AG785" s="68">
        <v>0.0</v>
      </c>
      <c r="AH785" s="68">
        <v>0.0</v>
      </c>
      <c r="AI785" s="68">
        <v>0.0</v>
      </c>
      <c r="AJ785" s="68">
        <v>0.0</v>
      </c>
    </row>
    <row r="786" ht="15.75" customHeight="1">
      <c r="A786" s="3" t="s">
        <v>70</v>
      </c>
      <c r="B786" s="68" t="s">
        <v>771</v>
      </c>
      <c r="C786" s="68" t="s">
        <v>1085</v>
      </c>
      <c r="D786" s="68" t="s">
        <v>773</v>
      </c>
      <c r="E786" s="68" t="s">
        <v>459</v>
      </c>
      <c r="F786" s="68" t="s">
        <v>774</v>
      </c>
      <c r="G786" s="68" t="s">
        <v>775</v>
      </c>
      <c r="H786" s="181">
        <v>45656.0</v>
      </c>
      <c r="J786" s="68" t="s">
        <v>90</v>
      </c>
      <c r="K786" s="68">
        <v>1000.0</v>
      </c>
      <c r="L786" s="27">
        <v>0.0696359137504418</v>
      </c>
      <c r="M786" s="68" t="s">
        <v>8</v>
      </c>
      <c r="N786" s="68">
        <v>7257.0</v>
      </c>
      <c r="O786" s="68">
        <v>23.0</v>
      </c>
      <c r="P786" s="68">
        <v>0.0032</v>
      </c>
      <c r="Q786" s="68">
        <v>530.93</v>
      </c>
      <c r="R786" s="68">
        <v>23.08</v>
      </c>
      <c r="S786" s="68">
        <v>0.0</v>
      </c>
      <c r="T786" s="68">
        <v>0.0</v>
      </c>
      <c r="U786" s="68">
        <v>0.0</v>
      </c>
      <c r="V786" s="68">
        <v>0.0</v>
      </c>
      <c r="W786" s="68">
        <v>0.0</v>
      </c>
      <c r="X786" s="68">
        <v>0.0</v>
      </c>
      <c r="Y786" s="68">
        <v>0.0</v>
      </c>
      <c r="Z786" s="68">
        <v>0.0</v>
      </c>
      <c r="AA786" s="68">
        <v>0.0</v>
      </c>
      <c r="AB786" s="68">
        <v>0.0</v>
      </c>
      <c r="AC786" s="68">
        <v>0.0</v>
      </c>
      <c r="AD786" s="68">
        <v>0.0</v>
      </c>
      <c r="AE786" s="68">
        <v>0.0</v>
      </c>
      <c r="AF786" s="68">
        <v>0.0</v>
      </c>
      <c r="AG786" s="68">
        <v>0.0</v>
      </c>
      <c r="AH786" s="68">
        <v>0.0</v>
      </c>
      <c r="AI786" s="68">
        <v>0.0</v>
      </c>
      <c r="AJ786" s="68">
        <v>0.0</v>
      </c>
    </row>
    <row r="787" ht="15.75" customHeight="1">
      <c r="A787" s="3" t="s">
        <v>70</v>
      </c>
      <c r="B787" s="68" t="s">
        <v>771</v>
      </c>
      <c r="C787" s="68" t="s">
        <v>1074</v>
      </c>
      <c r="D787" s="68" t="s">
        <v>773</v>
      </c>
      <c r="E787" s="68" t="s">
        <v>459</v>
      </c>
      <c r="F787" s="68" t="s">
        <v>774</v>
      </c>
      <c r="G787" s="68" t="s">
        <v>775</v>
      </c>
      <c r="H787" s="181">
        <v>45617.0</v>
      </c>
      <c r="J787" s="68" t="s">
        <v>128</v>
      </c>
      <c r="K787" s="68">
        <v>1550.0</v>
      </c>
      <c r="L787" s="27">
        <v>0.190163934426229</v>
      </c>
      <c r="M787" s="68" t="s">
        <v>8</v>
      </c>
      <c r="N787" s="68">
        <v>8908.0</v>
      </c>
      <c r="O787" s="68">
        <v>110.0</v>
      </c>
      <c r="P787" s="68">
        <v>0.0123</v>
      </c>
      <c r="Q787" s="68">
        <v>1361.5</v>
      </c>
      <c r="R787" s="68">
        <v>12.38</v>
      </c>
      <c r="S787" s="68">
        <v>0.0</v>
      </c>
      <c r="T787" s="68">
        <v>7.0</v>
      </c>
      <c r="U787" s="68">
        <v>40088.13</v>
      </c>
      <c r="V787" s="68">
        <v>0.034</v>
      </c>
      <c r="W787" s="68">
        <v>29.4441</v>
      </c>
      <c r="X787" s="68">
        <v>0.0</v>
      </c>
      <c r="Y787" s="68">
        <v>0.0</v>
      </c>
      <c r="Z787" s="68">
        <v>0.0</v>
      </c>
      <c r="AA787" s="68">
        <v>0.0</v>
      </c>
      <c r="AB787" s="68">
        <v>0.0</v>
      </c>
      <c r="AC787" s="68">
        <v>0.0</v>
      </c>
      <c r="AD787" s="68">
        <v>0.0</v>
      </c>
      <c r="AE787" s="68">
        <v>0.0</v>
      </c>
      <c r="AF787" s="68">
        <v>0.0</v>
      </c>
      <c r="AG787" s="68">
        <v>0.0</v>
      </c>
      <c r="AH787" s="68">
        <v>0.0</v>
      </c>
      <c r="AI787" s="68">
        <v>0.0</v>
      </c>
      <c r="AJ787" s="68">
        <v>0.0</v>
      </c>
    </row>
    <row r="788" ht="15.75" customHeight="1">
      <c r="A788" s="3" t="s">
        <v>70</v>
      </c>
      <c r="B788" s="68" t="s">
        <v>779</v>
      </c>
      <c r="C788" s="68" t="s">
        <v>936</v>
      </c>
      <c r="D788" s="68" t="s">
        <v>781</v>
      </c>
      <c r="E788" s="68" t="s">
        <v>459</v>
      </c>
      <c r="F788" s="68" t="s">
        <v>774</v>
      </c>
      <c r="G788" s="68" t="s">
        <v>775</v>
      </c>
      <c r="H788" s="181">
        <v>45392.0</v>
      </c>
      <c r="J788" s="68" t="s">
        <v>230</v>
      </c>
      <c r="K788" s="68">
        <v>1324.75</v>
      </c>
      <c r="L788" s="68" t="s">
        <v>776</v>
      </c>
      <c r="M788" s="68" t="s">
        <v>8</v>
      </c>
      <c r="N788" s="68">
        <v>8981.0</v>
      </c>
      <c r="O788" s="68">
        <v>13.0</v>
      </c>
      <c r="P788" s="68">
        <v>0.0014</v>
      </c>
      <c r="Q788" s="68">
        <v>253.11</v>
      </c>
      <c r="R788" s="68">
        <v>19.47</v>
      </c>
      <c r="S788" s="68">
        <v>0.0</v>
      </c>
      <c r="T788" s="68">
        <v>0.0</v>
      </c>
      <c r="U788" s="68">
        <v>0.0</v>
      </c>
      <c r="V788" s="68">
        <v>0.0</v>
      </c>
      <c r="W788" s="68">
        <v>0.0</v>
      </c>
      <c r="X788" s="68">
        <v>0.0</v>
      </c>
      <c r="Y788" s="68">
        <v>0.0</v>
      </c>
      <c r="Z788" s="68">
        <v>0.0</v>
      </c>
      <c r="AA788" s="68">
        <v>0.0</v>
      </c>
      <c r="AB788" s="68">
        <v>0.0</v>
      </c>
      <c r="AC788" s="68">
        <v>0.0</v>
      </c>
      <c r="AD788" s="68">
        <v>0.0</v>
      </c>
      <c r="AE788" s="68">
        <v>0.0</v>
      </c>
      <c r="AF788" s="68">
        <v>0.0</v>
      </c>
      <c r="AG788" s="68">
        <v>0.0</v>
      </c>
      <c r="AH788" s="68">
        <v>0.0</v>
      </c>
      <c r="AI788" s="68">
        <v>0.0</v>
      </c>
      <c r="AJ788" s="68">
        <v>0.0</v>
      </c>
    </row>
    <row r="789" ht="15.75" customHeight="1">
      <c r="A789" s="3" t="s">
        <v>70</v>
      </c>
      <c r="B789" s="68" t="s">
        <v>779</v>
      </c>
      <c r="C789" s="68" t="s">
        <v>1086</v>
      </c>
      <c r="D789" s="68" t="s">
        <v>781</v>
      </c>
      <c r="E789" s="68" t="s">
        <v>463</v>
      </c>
      <c r="F789" s="68" t="s">
        <v>774</v>
      </c>
      <c r="H789" s="181">
        <v>45632.0</v>
      </c>
      <c r="J789" s="68" t="s">
        <v>140</v>
      </c>
      <c r="K789" s="68">
        <v>800.0</v>
      </c>
      <c r="M789" s="68" t="s">
        <v>8</v>
      </c>
      <c r="N789" s="68">
        <v>9656.0</v>
      </c>
      <c r="O789" s="68">
        <v>3.0</v>
      </c>
      <c r="P789" s="68">
        <v>3.0E-4</v>
      </c>
      <c r="Q789" s="68">
        <v>31.68</v>
      </c>
      <c r="R789" s="68">
        <v>10.56</v>
      </c>
      <c r="S789" s="68">
        <v>6.0</v>
      </c>
      <c r="T789" s="68">
        <v>0.0</v>
      </c>
      <c r="U789" s="68">
        <v>0.0</v>
      </c>
      <c r="V789" s="68">
        <v>0.0</v>
      </c>
      <c r="W789" s="68">
        <v>0.0</v>
      </c>
      <c r="X789" s="68">
        <v>0.0</v>
      </c>
      <c r="Y789" s="68">
        <v>0.0</v>
      </c>
      <c r="Z789" s="68">
        <v>0.0</v>
      </c>
      <c r="AA789" s="68">
        <v>0.0</v>
      </c>
      <c r="AB789" s="68">
        <v>0.0</v>
      </c>
      <c r="AC789" s="68">
        <v>0.0</v>
      </c>
      <c r="AD789" s="68">
        <v>0.0</v>
      </c>
      <c r="AE789" s="68">
        <v>0.0</v>
      </c>
      <c r="AF789" s="68">
        <v>0.0</v>
      </c>
      <c r="AG789" s="68">
        <v>0.0</v>
      </c>
      <c r="AH789" s="68">
        <v>0.0</v>
      </c>
      <c r="AI789" s="68">
        <v>0.0</v>
      </c>
      <c r="AJ789" s="68">
        <v>0.0</v>
      </c>
    </row>
    <row r="790" ht="15.75" customHeight="1">
      <c r="A790" s="3" t="s">
        <v>70</v>
      </c>
      <c r="B790" s="68" t="s">
        <v>771</v>
      </c>
      <c r="C790" s="68" t="s">
        <v>1087</v>
      </c>
      <c r="D790" s="68" t="s">
        <v>773</v>
      </c>
      <c r="E790" s="68" t="s">
        <v>459</v>
      </c>
      <c r="F790" s="68" t="s">
        <v>774</v>
      </c>
      <c r="G790" s="68" t="s">
        <v>775</v>
      </c>
      <c r="H790" s="181">
        <v>45632.0</v>
      </c>
      <c r="J790" s="68" t="s">
        <v>128</v>
      </c>
      <c r="K790" s="68">
        <v>1000.0</v>
      </c>
      <c r="L790" s="68" t="s">
        <v>776</v>
      </c>
      <c r="M790" s="68" t="s">
        <v>8</v>
      </c>
      <c r="N790" s="68">
        <v>10439.0</v>
      </c>
      <c r="O790" s="68">
        <v>49.0</v>
      </c>
      <c r="P790" s="68">
        <v>0.0047</v>
      </c>
      <c r="Q790" s="68">
        <v>1765.25</v>
      </c>
      <c r="R790" s="68">
        <v>36.03</v>
      </c>
      <c r="S790" s="68">
        <v>0.0</v>
      </c>
      <c r="T790" s="68">
        <v>0.0</v>
      </c>
      <c r="U790" s="68">
        <v>0.0</v>
      </c>
      <c r="V790" s="68">
        <v>0.0</v>
      </c>
      <c r="W790" s="68">
        <v>0.0</v>
      </c>
      <c r="X790" s="68">
        <v>0.0</v>
      </c>
      <c r="Y790" s="68">
        <v>0.0</v>
      </c>
      <c r="Z790" s="68">
        <v>0.0</v>
      </c>
      <c r="AA790" s="68">
        <v>0.0</v>
      </c>
      <c r="AB790" s="68">
        <v>0.0</v>
      </c>
      <c r="AC790" s="68">
        <v>0.0</v>
      </c>
      <c r="AD790" s="68">
        <v>0.0</v>
      </c>
      <c r="AE790" s="68">
        <v>0.0</v>
      </c>
      <c r="AF790" s="68">
        <v>0.0</v>
      </c>
      <c r="AG790" s="68">
        <v>0.0</v>
      </c>
      <c r="AH790" s="68">
        <v>0.0</v>
      </c>
      <c r="AI790" s="68">
        <v>0.0</v>
      </c>
      <c r="AJ790" s="68">
        <v>0.0</v>
      </c>
    </row>
    <row r="791" ht="15.75" customHeight="1">
      <c r="A791" s="3" t="s">
        <v>70</v>
      </c>
      <c r="B791" s="68" t="s">
        <v>779</v>
      </c>
      <c r="C791" s="68" t="s">
        <v>1088</v>
      </c>
      <c r="D791" s="68" t="s">
        <v>781</v>
      </c>
      <c r="E791" s="68" t="s">
        <v>459</v>
      </c>
      <c r="F791" s="68" t="s">
        <v>774</v>
      </c>
      <c r="G791" s="68" t="s">
        <v>775</v>
      </c>
      <c r="H791" s="181">
        <v>45638.0</v>
      </c>
      <c r="J791" s="68" t="s">
        <v>429</v>
      </c>
      <c r="K791" s="68">
        <v>1000.0</v>
      </c>
      <c r="L791" s="68" t="s">
        <v>776</v>
      </c>
      <c r="M791" s="68" t="s">
        <v>8</v>
      </c>
      <c r="N791" s="68">
        <v>11130.0</v>
      </c>
      <c r="O791" s="68">
        <v>47.0</v>
      </c>
      <c r="P791" s="68">
        <v>0.0042</v>
      </c>
      <c r="Q791" s="68">
        <v>1266.43</v>
      </c>
      <c r="R791" s="68">
        <v>26.95</v>
      </c>
      <c r="S791" s="68">
        <v>0.0</v>
      </c>
      <c r="T791" s="68">
        <v>0.0</v>
      </c>
      <c r="U791" s="68">
        <v>0.0</v>
      </c>
      <c r="V791" s="68">
        <v>0.0</v>
      </c>
      <c r="W791" s="68">
        <v>0.0</v>
      </c>
      <c r="X791" s="68">
        <v>0.0</v>
      </c>
      <c r="Y791" s="68">
        <v>0.0</v>
      </c>
      <c r="Z791" s="68">
        <v>0.0</v>
      </c>
      <c r="AA791" s="68">
        <v>0.0</v>
      </c>
      <c r="AB791" s="68">
        <v>0.0</v>
      </c>
      <c r="AC791" s="68">
        <v>0.0</v>
      </c>
      <c r="AD791" s="68">
        <v>0.0</v>
      </c>
      <c r="AE791" s="68">
        <v>0.0</v>
      </c>
      <c r="AF791" s="68">
        <v>0.0</v>
      </c>
      <c r="AG791" s="68">
        <v>0.0</v>
      </c>
      <c r="AH791" s="68">
        <v>0.0</v>
      </c>
      <c r="AI791" s="68">
        <v>0.0</v>
      </c>
      <c r="AJ791" s="68">
        <v>0.0</v>
      </c>
    </row>
    <row r="792" ht="15.75" customHeight="1">
      <c r="A792" s="3" t="s">
        <v>70</v>
      </c>
      <c r="B792" s="68" t="s">
        <v>779</v>
      </c>
      <c r="C792" s="68" t="s">
        <v>912</v>
      </c>
      <c r="D792" s="68" t="s">
        <v>781</v>
      </c>
      <c r="E792" s="68" t="s">
        <v>459</v>
      </c>
      <c r="F792" s="68" t="s">
        <v>774</v>
      </c>
      <c r="G792" s="68" t="s">
        <v>775</v>
      </c>
      <c r="H792" s="181">
        <v>45260.0</v>
      </c>
      <c r="J792" s="68" t="s">
        <v>140</v>
      </c>
      <c r="K792" s="68">
        <v>181.44</v>
      </c>
      <c r="L792" s="68" t="s">
        <v>776</v>
      </c>
      <c r="M792" s="68" t="s">
        <v>8</v>
      </c>
      <c r="N792" s="68">
        <v>11454.0</v>
      </c>
      <c r="O792" s="68">
        <v>39.0</v>
      </c>
      <c r="P792" s="68">
        <v>0.0034</v>
      </c>
      <c r="Q792" s="68">
        <v>2071.13</v>
      </c>
      <c r="R792" s="68">
        <v>53.11</v>
      </c>
      <c r="S792" s="68">
        <v>0.0</v>
      </c>
      <c r="T792" s="68">
        <v>0.0</v>
      </c>
      <c r="U792" s="68">
        <v>0.0</v>
      </c>
      <c r="V792" s="68">
        <v>0.0</v>
      </c>
      <c r="W792" s="68">
        <v>0.0</v>
      </c>
      <c r="X792" s="68">
        <v>0.0</v>
      </c>
      <c r="Y792" s="68">
        <v>0.0</v>
      </c>
      <c r="Z792" s="68">
        <v>0.0</v>
      </c>
      <c r="AA792" s="68">
        <v>0.0</v>
      </c>
      <c r="AB792" s="68">
        <v>0.0</v>
      </c>
      <c r="AC792" s="68">
        <v>0.0</v>
      </c>
      <c r="AD792" s="68">
        <v>0.0</v>
      </c>
      <c r="AE792" s="68">
        <v>0.0</v>
      </c>
      <c r="AF792" s="68">
        <v>0.0</v>
      </c>
      <c r="AG792" s="68">
        <v>0.0</v>
      </c>
      <c r="AH792" s="68">
        <v>0.0</v>
      </c>
      <c r="AI792" s="68">
        <v>0.0</v>
      </c>
      <c r="AJ792" s="68">
        <v>0.0</v>
      </c>
    </row>
    <row r="793" ht="15.75" customHeight="1">
      <c r="A793" s="3" t="s">
        <v>70</v>
      </c>
      <c r="B793" s="68" t="s">
        <v>771</v>
      </c>
      <c r="C793" s="68" t="s">
        <v>959</v>
      </c>
      <c r="D793" s="68" t="s">
        <v>773</v>
      </c>
      <c r="E793" s="68" t="s">
        <v>459</v>
      </c>
      <c r="F793" s="68" t="s">
        <v>774</v>
      </c>
      <c r="G793" s="68" t="s">
        <v>775</v>
      </c>
      <c r="H793" s="181">
        <v>45352.0</v>
      </c>
      <c r="J793" s="68" t="s">
        <v>140</v>
      </c>
      <c r="K793" s="68">
        <v>1240.0</v>
      </c>
      <c r="L793" s="27">
        <v>0.235874744724302</v>
      </c>
      <c r="M793" s="68" t="s">
        <v>8</v>
      </c>
      <c r="N793" s="68">
        <v>13803.0</v>
      </c>
      <c r="O793" s="68">
        <v>58.0</v>
      </c>
      <c r="P793" s="68">
        <v>0.0042</v>
      </c>
      <c r="Q793" s="68">
        <v>2842.52</v>
      </c>
      <c r="R793" s="68">
        <v>49.01</v>
      </c>
      <c r="S793" s="68">
        <v>0.0</v>
      </c>
      <c r="T793" s="68">
        <v>0.0</v>
      </c>
      <c r="U793" s="68">
        <v>0.0</v>
      </c>
      <c r="V793" s="68">
        <v>0.0</v>
      </c>
      <c r="W793" s="68">
        <v>0.0</v>
      </c>
      <c r="X793" s="68">
        <v>0.0</v>
      </c>
      <c r="Y793" s="68">
        <v>0.0</v>
      </c>
      <c r="Z793" s="68">
        <v>0.0</v>
      </c>
      <c r="AA793" s="68">
        <v>0.0</v>
      </c>
      <c r="AB793" s="68">
        <v>0.0</v>
      </c>
      <c r="AC793" s="68">
        <v>0.0</v>
      </c>
      <c r="AD793" s="68">
        <v>0.0</v>
      </c>
      <c r="AE793" s="68">
        <v>0.0</v>
      </c>
      <c r="AF793" s="68">
        <v>0.0</v>
      </c>
      <c r="AG793" s="68">
        <v>0.0</v>
      </c>
      <c r="AH793" s="68">
        <v>0.0</v>
      </c>
      <c r="AI793" s="68">
        <v>0.0</v>
      </c>
      <c r="AJ793" s="68">
        <v>0.0</v>
      </c>
    </row>
    <row r="794" ht="15.75" customHeight="1">
      <c r="A794" s="3" t="s">
        <v>70</v>
      </c>
      <c r="B794" s="68" t="s">
        <v>779</v>
      </c>
      <c r="C794" s="68" t="s">
        <v>1046</v>
      </c>
      <c r="D794" s="68" t="s">
        <v>781</v>
      </c>
      <c r="E794" s="68" t="s">
        <v>459</v>
      </c>
      <c r="F794" s="68" t="s">
        <v>774</v>
      </c>
      <c r="G794" s="68" t="s">
        <v>775</v>
      </c>
      <c r="H794" s="181">
        <v>45541.0</v>
      </c>
      <c r="J794" s="68" t="s">
        <v>217</v>
      </c>
      <c r="K794" s="68">
        <v>200.0</v>
      </c>
      <c r="L794" s="68" t="s">
        <v>776</v>
      </c>
      <c r="M794" s="68" t="s">
        <v>8</v>
      </c>
      <c r="N794" s="68">
        <v>13886.0</v>
      </c>
      <c r="O794" s="68">
        <v>122.0</v>
      </c>
      <c r="P794" s="68">
        <v>0.0088</v>
      </c>
      <c r="Q794" s="68">
        <v>353.24</v>
      </c>
      <c r="R794" s="68">
        <v>2.9</v>
      </c>
      <c r="S794" s="68">
        <v>0.0</v>
      </c>
      <c r="T794" s="68">
        <v>1.0</v>
      </c>
      <c r="U794" s="68">
        <v>1270.34</v>
      </c>
      <c r="V794" s="68">
        <v>0.2781</v>
      </c>
      <c r="W794" s="68">
        <v>3.5963</v>
      </c>
      <c r="X794" s="68">
        <v>0.0</v>
      </c>
      <c r="Y794" s="68">
        <v>0.0</v>
      </c>
      <c r="Z794" s="68">
        <v>0.0</v>
      </c>
      <c r="AA794" s="68">
        <v>0.0</v>
      </c>
      <c r="AB794" s="68">
        <v>0.0</v>
      </c>
      <c r="AC794" s="68">
        <v>0.0</v>
      </c>
      <c r="AD794" s="68">
        <v>0.0</v>
      </c>
      <c r="AE794" s="68">
        <v>0.0</v>
      </c>
      <c r="AF794" s="68">
        <v>0.0</v>
      </c>
      <c r="AG794" s="68">
        <v>0.0</v>
      </c>
      <c r="AH794" s="68">
        <v>0.0</v>
      </c>
      <c r="AI794" s="68">
        <v>0.0</v>
      </c>
      <c r="AJ794" s="68">
        <v>0.0</v>
      </c>
    </row>
    <row r="795" ht="15.75" customHeight="1">
      <c r="A795" s="3" t="s">
        <v>70</v>
      </c>
      <c r="B795" s="68" t="s">
        <v>779</v>
      </c>
      <c r="C795" s="68" t="s">
        <v>1089</v>
      </c>
      <c r="D795" s="68" t="s">
        <v>781</v>
      </c>
      <c r="E795" s="68" t="s">
        <v>463</v>
      </c>
      <c r="F795" s="68" t="s">
        <v>774</v>
      </c>
      <c r="H795" s="181">
        <v>45628.0</v>
      </c>
      <c r="J795" s="68" t="s">
        <v>413</v>
      </c>
      <c r="K795" s="68">
        <v>1000.0</v>
      </c>
      <c r="M795" s="68" t="s">
        <v>989</v>
      </c>
      <c r="N795" s="68">
        <v>14516.0</v>
      </c>
      <c r="O795" s="68">
        <v>21.0</v>
      </c>
      <c r="P795" s="68">
        <v>0.0014</v>
      </c>
      <c r="Q795" s="68">
        <v>1353.17</v>
      </c>
      <c r="R795" s="68">
        <v>64.44</v>
      </c>
      <c r="S795" s="68">
        <v>940.0</v>
      </c>
      <c r="T795" s="68">
        <v>0.0</v>
      </c>
      <c r="U795" s="68">
        <v>0.0</v>
      </c>
      <c r="V795" s="68">
        <v>0.0</v>
      </c>
      <c r="W795" s="68">
        <v>0.0</v>
      </c>
      <c r="X795" s="68">
        <v>0.0</v>
      </c>
      <c r="Y795" s="68">
        <v>0.0</v>
      </c>
      <c r="Z795" s="68">
        <v>0.0</v>
      </c>
      <c r="AA795" s="68">
        <v>0.0</v>
      </c>
      <c r="AB795" s="68">
        <v>7018.0</v>
      </c>
      <c r="AC795" s="68">
        <v>192.81</v>
      </c>
      <c r="AD795" s="68">
        <v>0.0</v>
      </c>
      <c r="AE795" s="68">
        <v>0.0</v>
      </c>
      <c r="AF795" s="68">
        <v>0.0</v>
      </c>
      <c r="AG795" s="68">
        <v>0.0</v>
      </c>
      <c r="AH795" s="68">
        <v>0.0</v>
      </c>
      <c r="AI795" s="68">
        <v>0.4835</v>
      </c>
      <c r="AJ795" s="68">
        <v>0.003</v>
      </c>
    </row>
    <row r="796" ht="15.75" customHeight="1">
      <c r="A796" s="3" t="s">
        <v>70</v>
      </c>
      <c r="B796" s="68" t="s">
        <v>771</v>
      </c>
      <c r="C796" s="68" t="s">
        <v>1072</v>
      </c>
      <c r="D796" s="68" t="s">
        <v>773</v>
      </c>
      <c r="E796" s="68" t="s">
        <v>459</v>
      </c>
      <c r="F796" s="68" t="s">
        <v>774</v>
      </c>
      <c r="G796" s="68" t="s">
        <v>775</v>
      </c>
      <c r="H796" s="181">
        <v>45600.0</v>
      </c>
      <c r="J796" s="68" t="s">
        <v>211</v>
      </c>
      <c r="K796" s="68">
        <v>200.0</v>
      </c>
      <c r="L796" s="27">
        <v>0.265800288792624</v>
      </c>
      <c r="M796" s="68" t="s">
        <v>8</v>
      </c>
      <c r="N796" s="68">
        <v>14575.0</v>
      </c>
      <c r="O796" s="68">
        <v>585.0</v>
      </c>
      <c r="P796" s="68">
        <v>0.0401</v>
      </c>
      <c r="Q796" s="68">
        <v>4034.83</v>
      </c>
      <c r="R796" s="68">
        <v>6.9</v>
      </c>
      <c r="S796" s="68">
        <v>0.0</v>
      </c>
      <c r="T796" s="68">
        <v>21.0</v>
      </c>
      <c r="U796" s="68">
        <v>32916.08</v>
      </c>
      <c r="V796" s="68">
        <v>0.1226</v>
      </c>
      <c r="W796" s="68">
        <v>8.158</v>
      </c>
      <c r="X796" s="68">
        <v>0.0</v>
      </c>
      <c r="Y796" s="68">
        <v>0.0</v>
      </c>
      <c r="Z796" s="68">
        <v>0.0</v>
      </c>
      <c r="AA796" s="68">
        <v>0.0</v>
      </c>
      <c r="AB796" s="68">
        <v>0.0</v>
      </c>
      <c r="AC796" s="68">
        <v>0.0</v>
      </c>
      <c r="AD796" s="68">
        <v>0.0</v>
      </c>
      <c r="AE796" s="68">
        <v>0.0</v>
      </c>
      <c r="AF796" s="68">
        <v>0.0</v>
      </c>
      <c r="AG796" s="68">
        <v>0.0</v>
      </c>
      <c r="AH796" s="68">
        <v>0.0</v>
      </c>
      <c r="AI796" s="68">
        <v>0.0</v>
      </c>
      <c r="AJ796" s="68">
        <v>0.0</v>
      </c>
    </row>
    <row r="797" ht="15.75" customHeight="1">
      <c r="A797" s="3" t="s">
        <v>70</v>
      </c>
      <c r="B797" s="68" t="s">
        <v>771</v>
      </c>
      <c r="C797" s="68" t="s">
        <v>1090</v>
      </c>
      <c r="D797" s="68" t="s">
        <v>773</v>
      </c>
      <c r="E797" s="68" t="s">
        <v>463</v>
      </c>
      <c r="F797" s="68" t="s">
        <v>774</v>
      </c>
      <c r="H797" s="181">
        <v>45653.0</v>
      </c>
      <c r="J797" s="68" t="s">
        <v>211</v>
      </c>
      <c r="K797" s="68">
        <v>500.0</v>
      </c>
      <c r="M797" s="68" t="s">
        <v>8</v>
      </c>
      <c r="N797" s="68">
        <v>15345.0</v>
      </c>
      <c r="O797" s="68">
        <v>59.0</v>
      </c>
      <c r="P797" s="68">
        <v>0.0038</v>
      </c>
      <c r="Q797" s="68">
        <v>207.79</v>
      </c>
      <c r="R797" s="68">
        <v>3.52</v>
      </c>
      <c r="S797" s="68">
        <v>56.0</v>
      </c>
      <c r="T797" s="68">
        <v>0.0</v>
      </c>
      <c r="U797" s="68">
        <v>0.0</v>
      </c>
      <c r="V797" s="68">
        <v>0.0</v>
      </c>
      <c r="W797" s="68">
        <v>0.0</v>
      </c>
      <c r="X797" s="68">
        <v>0.0</v>
      </c>
      <c r="Y797" s="68">
        <v>0.0</v>
      </c>
      <c r="Z797" s="68">
        <v>0.0</v>
      </c>
      <c r="AA797" s="68">
        <v>0.0</v>
      </c>
      <c r="AB797" s="68">
        <v>0.0</v>
      </c>
      <c r="AC797" s="68">
        <v>0.0</v>
      </c>
      <c r="AD797" s="68">
        <v>0.0</v>
      </c>
      <c r="AE797" s="68">
        <v>0.0</v>
      </c>
      <c r="AF797" s="68">
        <v>0.0</v>
      </c>
      <c r="AG797" s="68">
        <v>0.0</v>
      </c>
      <c r="AH797" s="68">
        <v>0.0</v>
      </c>
      <c r="AI797" s="68">
        <v>0.0</v>
      </c>
      <c r="AJ797" s="68">
        <v>0.0</v>
      </c>
    </row>
    <row r="798" ht="15.75" customHeight="1">
      <c r="A798" s="3" t="s">
        <v>70</v>
      </c>
      <c r="B798" s="68" t="s">
        <v>779</v>
      </c>
      <c r="C798" s="68" t="s">
        <v>898</v>
      </c>
      <c r="D798" s="68" t="s">
        <v>781</v>
      </c>
      <c r="E798" s="68" t="s">
        <v>459</v>
      </c>
      <c r="F798" s="68" t="s">
        <v>774</v>
      </c>
      <c r="G798" s="68" t="s">
        <v>775</v>
      </c>
      <c r="H798" s="181">
        <v>45260.0</v>
      </c>
      <c r="J798" s="68" t="s">
        <v>140</v>
      </c>
      <c r="K798" s="68">
        <v>1046.25</v>
      </c>
      <c r="L798" s="68" t="s">
        <v>776</v>
      </c>
      <c r="M798" s="68" t="s">
        <v>8</v>
      </c>
      <c r="N798" s="68">
        <v>15376.0</v>
      </c>
      <c r="O798" s="68">
        <v>54.0</v>
      </c>
      <c r="P798" s="68">
        <v>0.0035</v>
      </c>
      <c r="Q798" s="68">
        <v>3674.8</v>
      </c>
      <c r="R798" s="68">
        <v>68.05</v>
      </c>
      <c r="S798" s="68">
        <v>0.0</v>
      </c>
      <c r="T798" s="68">
        <v>0.0</v>
      </c>
      <c r="U798" s="68">
        <v>0.0</v>
      </c>
      <c r="V798" s="68">
        <v>0.0</v>
      </c>
      <c r="W798" s="68">
        <v>0.0</v>
      </c>
      <c r="X798" s="68">
        <v>0.0</v>
      </c>
      <c r="Y798" s="68">
        <v>0.0</v>
      </c>
      <c r="Z798" s="68">
        <v>0.0</v>
      </c>
      <c r="AA798" s="68">
        <v>0.0</v>
      </c>
      <c r="AB798" s="68">
        <v>0.0</v>
      </c>
      <c r="AC798" s="68">
        <v>0.0</v>
      </c>
      <c r="AD798" s="68">
        <v>0.0</v>
      </c>
      <c r="AE798" s="68">
        <v>0.0</v>
      </c>
      <c r="AF798" s="68">
        <v>0.0</v>
      </c>
      <c r="AG798" s="68">
        <v>0.0</v>
      </c>
      <c r="AH798" s="68">
        <v>0.0</v>
      </c>
      <c r="AI798" s="68">
        <v>0.0</v>
      </c>
      <c r="AJ798" s="68">
        <v>0.0</v>
      </c>
    </row>
    <row r="799" ht="15.75" customHeight="1">
      <c r="A799" s="3" t="s">
        <v>70</v>
      </c>
      <c r="B799" s="68" t="s">
        <v>771</v>
      </c>
      <c r="C799" s="68" t="s">
        <v>1050</v>
      </c>
      <c r="D799" s="68" t="s">
        <v>773</v>
      </c>
      <c r="E799" s="68" t="s">
        <v>460</v>
      </c>
      <c r="F799" s="68" t="s">
        <v>778</v>
      </c>
      <c r="G799" s="68" t="s">
        <v>775</v>
      </c>
      <c r="H799" s="181">
        <v>45586.0</v>
      </c>
      <c r="J799" s="68" t="s">
        <v>241</v>
      </c>
      <c r="K799" s="68">
        <v>775.0</v>
      </c>
      <c r="L799" s="68" t="s">
        <v>776</v>
      </c>
      <c r="M799" s="68" t="s">
        <v>8</v>
      </c>
      <c r="N799" s="68">
        <v>17423.0</v>
      </c>
      <c r="O799" s="68">
        <v>75.0</v>
      </c>
      <c r="P799" s="68">
        <v>0.0043</v>
      </c>
      <c r="Q799" s="68">
        <v>411.51</v>
      </c>
      <c r="R799" s="68">
        <v>5.49</v>
      </c>
      <c r="S799" s="68">
        <v>0.0</v>
      </c>
      <c r="T799" s="68">
        <v>4.0</v>
      </c>
      <c r="U799" s="68">
        <v>11994.9</v>
      </c>
      <c r="V799" s="68">
        <v>0.0343</v>
      </c>
      <c r="W799" s="68">
        <v>29.1485</v>
      </c>
      <c r="X799" s="68">
        <v>0.0</v>
      </c>
      <c r="Y799" s="68">
        <v>0.0</v>
      </c>
      <c r="Z799" s="68">
        <v>0.0</v>
      </c>
      <c r="AA799" s="68">
        <v>0.0</v>
      </c>
      <c r="AB799" s="68">
        <v>0.0</v>
      </c>
      <c r="AC799" s="68">
        <v>0.0</v>
      </c>
      <c r="AD799" s="68">
        <v>0.0</v>
      </c>
      <c r="AE799" s="68">
        <v>0.0</v>
      </c>
      <c r="AF799" s="68">
        <v>0.0</v>
      </c>
      <c r="AG799" s="68">
        <v>0.0</v>
      </c>
      <c r="AH799" s="68">
        <v>0.0</v>
      </c>
      <c r="AI799" s="68">
        <v>0.0</v>
      </c>
      <c r="AJ799" s="68">
        <v>0.0</v>
      </c>
    </row>
    <row r="800" ht="15.75" customHeight="1">
      <c r="A800" s="3" t="s">
        <v>70</v>
      </c>
      <c r="B800" s="68" t="s">
        <v>779</v>
      </c>
      <c r="C800" s="68" t="s">
        <v>995</v>
      </c>
      <c r="D800" s="68" t="s">
        <v>781</v>
      </c>
      <c r="E800" s="68" t="s">
        <v>463</v>
      </c>
      <c r="F800" s="68" t="s">
        <v>774</v>
      </c>
      <c r="H800" s="181">
        <v>45505.0</v>
      </c>
      <c r="J800" s="68" t="s">
        <v>134</v>
      </c>
      <c r="K800" s="68">
        <v>500.0</v>
      </c>
      <c r="M800" s="68" t="s">
        <v>8</v>
      </c>
      <c r="N800" s="68">
        <v>18659.0</v>
      </c>
      <c r="O800" s="68">
        <v>941.0</v>
      </c>
      <c r="P800" s="68">
        <v>0.0504</v>
      </c>
      <c r="Q800" s="68">
        <v>9943.58</v>
      </c>
      <c r="R800" s="68">
        <v>10.57</v>
      </c>
      <c r="S800" s="68">
        <v>1187.0</v>
      </c>
      <c r="T800" s="68">
        <v>0.0</v>
      </c>
      <c r="U800" s="68">
        <v>0.0</v>
      </c>
      <c r="V800" s="68">
        <v>0.0</v>
      </c>
      <c r="W800" s="68">
        <v>0.0</v>
      </c>
      <c r="X800" s="68">
        <v>0.0</v>
      </c>
      <c r="Y800" s="68">
        <v>0.0</v>
      </c>
      <c r="Z800" s="68">
        <v>0.0</v>
      </c>
      <c r="AA800" s="68">
        <v>0.0</v>
      </c>
      <c r="AB800" s="68">
        <v>0.0</v>
      </c>
      <c r="AC800" s="68">
        <v>0.0</v>
      </c>
      <c r="AD800" s="68">
        <v>0.0</v>
      </c>
      <c r="AE800" s="68">
        <v>0.0</v>
      </c>
      <c r="AF800" s="68">
        <v>0.0</v>
      </c>
      <c r="AG800" s="68">
        <v>0.0</v>
      </c>
      <c r="AH800" s="68">
        <v>0.0</v>
      </c>
      <c r="AI800" s="68">
        <v>0.0</v>
      </c>
      <c r="AJ800" s="68">
        <v>0.0</v>
      </c>
    </row>
    <row r="801" ht="15.75" customHeight="1">
      <c r="A801" s="3" t="s">
        <v>70</v>
      </c>
      <c r="B801" s="68" t="s">
        <v>779</v>
      </c>
      <c r="C801" s="68" t="s">
        <v>1091</v>
      </c>
      <c r="D801" s="68" t="s">
        <v>781</v>
      </c>
      <c r="E801" s="68" t="s">
        <v>459</v>
      </c>
      <c r="F801" s="68" t="s">
        <v>774</v>
      </c>
      <c r="G801" s="68" t="s">
        <v>775</v>
      </c>
      <c r="H801" s="181">
        <v>45628.0</v>
      </c>
      <c r="J801" s="68" t="s">
        <v>413</v>
      </c>
      <c r="K801" s="68">
        <v>590.0</v>
      </c>
      <c r="L801" s="27">
        <v>0.172963254851738</v>
      </c>
      <c r="M801" s="68" t="s">
        <v>8</v>
      </c>
      <c r="N801" s="68">
        <v>20566.0</v>
      </c>
      <c r="O801" s="68">
        <v>88.0</v>
      </c>
      <c r="P801" s="68">
        <v>0.0043</v>
      </c>
      <c r="Q801" s="68">
        <v>4997.47</v>
      </c>
      <c r="R801" s="68">
        <v>56.79</v>
      </c>
      <c r="S801" s="68">
        <v>0.0</v>
      </c>
      <c r="T801" s="68">
        <v>0.0</v>
      </c>
      <c r="U801" s="68">
        <v>0.0</v>
      </c>
      <c r="V801" s="68">
        <v>0.0</v>
      </c>
      <c r="W801" s="68">
        <v>0.0</v>
      </c>
      <c r="X801" s="68">
        <v>0.0</v>
      </c>
      <c r="Y801" s="68">
        <v>0.0</v>
      </c>
      <c r="Z801" s="68">
        <v>0.0</v>
      </c>
      <c r="AA801" s="68">
        <v>0.0</v>
      </c>
      <c r="AB801" s="68">
        <v>0.0</v>
      </c>
      <c r="AC801" s="68">
        <v>0.0</v>
      </c>
      <c r="AD801" s="68">
        <v>0.0</v>
      </c>
      <c r="AE801" s="68">
        <v>0.0</v>
      </c>
      <c r="AF801" s="68">
        <v>0.0</v>
      </c>
      <c r="AG801" s="68">
        <v>0.0</v>
      </c>
      <c r="AH801" s="68">
        <v>0.0</v>
      </c>
      <c r="AI801" s="68">
        <v>0.0</v>
      </c>
      <c r="AJ801" s="68">
        <v>0.0</v>
      </c>
    </row>
    <row r="802" ht="15.75" customHeight="1">
      <c r="A802" s="3" t="s">
        <v>70</v>
      </c>
      <c r="B802" s="68" t="s">
        <v>779</v>
      </c>
      <c r="C802" s="68" t="s">
        <v>960</v>
      </c>
      <c r="D802" s="68" t="s">
        <v>781</v>
      </c>
      <c r="E802" s="68" t="s">
        <v>459</v>
      </c>
      <c r="F802" s="68" t="s">
        <v>774</v>
      </c>
      <c r="G802" s="68" t="s">
        <v>775</v>
      </c>
      <c r="H802" s="181">
        <v>45352.0</v>
      </c>
      <c r="J802" s="68" t="s">
        <v>140</v>
      </c>
      <c r="K802" s="68">
        <v>1000.0</v>
      </c>
      <c r="L802" s="68" t="s">
        <v>776</v>
      </c>
      <c r="M802" s="68" t="s">
        <v>8</v>
      </c>
      <c r="N802" s="68">
        <v>21143.0</v>
      </c>
      <c r="O802" s="68">
        <v>142.0</v>
      </c>
      <c r="P802" s="68">
        <v>0.0067</v>
      </c>
      <c r="Q802" s="68">
        <v>4700.37</v>
      </c>
      <c r="R802" s="68">
        <v>33.1</v>
      </c>
      <c r="S802" s="68">
        <v>0.0</v>
      </c>
      <c r="T802" s="68">
        <v>1.0</v>
      </c>
      <c r="U802" s="68">
        <v>1439.83</v>
      </c>
      <c r="V802" s="68">
        <v>3.2645</v>
      </c>
      <c r="W802" s="68">
        <v>0.3063</v>
      </c>
      <c r="X802" s="68">
        <v>0.0</v>
      </c>
      <c r="Y802" s="68">
        <v>0.0</v>
      </c>
      <c r="Z802" s="68">
        <v>0.0</v>
      </c>
      <c r="AA802" s="68">
        <v>0.0</v>
      </c>
      <c r="AB802" s="68">
        <v>0.0</v>
      </c>
      <c r="AC802" s="68">
        <v>0.0</v>
      </c>
      <c r="AD802" s="68">
        <v>0.0</v>
      </c>
      <c r="AE802" s="68">
        <v>0.0</v>
      </c>
      <c r="AF802" s="68">
        <v>0.0</v>
      </c>
      <c r="AG802" s="68">
        <v>0.0</v>
      </c>
      <c r="AH802" s="68">
        <v>0.0</v>
      </c>
      <c r="AI802" s="68">
        <v>0.0</v>
      </c>
      <c r="AJ802" s="68">
        <v>0.0</v>
      </c>
    </row>
    <row r="803" ht="15.75" customHeight="1">
      <c r="A803" s="3" t="s">
        <v>70</v>
      </c>
      <c r="B803" s="68" t="s">
        <v>779</v>
      </c>
      <c r="C803" s="68" t="s">
        <v>889</v>
      </c>
      <c r="D803" s="68" t="s">
        <v>781</v>
      </c>
      <c r="E803" s="68" t="s">
        <v>463</v>
      </c>
      <c r="F803" s="68" t="s">
        <v>774</v>
      </c>
      <c r="H803" s="181">
        <v>45342.0</v>
      </c>
      <c r="J803" s="68" t="s">
        <v>134</v>
      </c>
      <c r="K803" s="68">
        <v>1000.0</v>
      </c>
      <c r="M803" s="68" t="s">
        <v>8</v>
      </c>
      <c r="N803" s="68">
        <v>21776.0</v>
      </c>
      <c r="O803" s="68">
        <v>29.0</v>
      </c>
      <c r="P803" s="68">
        <v>0.0013</v>
      </c>
      <c r="Q803" s="68">
        <v>1077.29</v>
      </c>
      <c r="R803" s="68">
        <v>37.15</v>
      </c>
      <c r="S803" s="68">
        <v>61.0</v>
      </c>
      <c r="T803" s="68">
        <v>0.0</v>
      </c>
      <c r="U803" s="68">
        <v>0.0</v>
      </c>
      <c r="V803" s="68">
        <v>0.0</v>
      </c>
      <c r="W803" s="68">
        <v>0.0</v>
      </c>
      <c r="X803" s="68">
        <v>0.0</v>
      </c>
      <c r="Y803" s="68">
        <v>0.0</v>
      </c>
      <c r="Z803" s="68">
        <v>0.0</v>
      </c>
      <c r="AA803" s="68">
        <v>0.0</v>
      </c>
      <c r="AB803" s="68">
        <v>0.0</v>
      </c>
      <c r="AC803" s="68">
        <v>0.0</v>
      </c>
      <c r="AD803" s="68">
        <v>0.0</v>
      </c>
      <c r="AE803" s="68">
        <v>0.0</v>
      </c>
      <c r="AF803" s="68">
        <v>0.0</v>
      </c>
      <c r="AG803" s="68">
        <v>0.0</v>
      </c>
      <c r="AH803" s="68">
        <v>0.0</v>
      </c>
      <c r="AI803" s="68">
        <v>0.0</v>
      </c>
      <c r="AJ803" s="68">
        <v>0.0</v>
      </c>
    </row>
    <row r="804" ht="15.75" customHeight="1">
      <c r="A804" s="3" t="s">
        <v>70</v>
      </c>
      <c r="B804" s="68" t="s">
        <v>771</v>
      </c>
      <c r="C804" s="68" t="s">
        <v>1069</v>
      </c>
      <c r="D804" s="68" t="s">
        <v>773</v>
      </c>
      <c r="E804" s="68" t="s">
        <v>459</v>
      </c>
      <c r="F804" s="68" t="s">
        <v>774</v>
      </c>
      <c r="G804" s="68" t="s">
        <v>775</v>
      </c>
      <c r="H804" s="181">
        <v>45504.0</v>
      </c>
      <c r="J804" s="68" t="s">
        <v>211</v>
      </c>
      <c r="K804" s="68">
        <v>500.0</v>
      </c>
      <c r="L804" s="27">
        <v>0.135682958631316</v>
      </c>
      <c r="M804" s="68" t="s">
        <v>8</v>
      </c>
      <c r="N804" s="68">
        <v>24396.0</v>
      </c>
      <c r="O804" s="68">
        <v>557.0</v>
      </c>
      <c r="P804" s="68">
        <v>0.0228</v>
      </c>
      <c r="Q804" s="68">
        <v>4450.16</v>
      </c>
      <c r="R804" s="68">
        <v>7.99</v>
      </c>
      <c r="S804" s="68">
        <v>0.0</v>
      </c>
      <c r="T804" s="68">
        <v>21.0</v>
      </c>
      <c r="U804" s="68">
        <v>36138.13</v>
      </c>
      <c r="V804" s="68">
        <v>0.1231</v>
      </c>
      <c r="W804" s="68">
        <v>8.1206</v>
      </c>
      <c r="X804" s="68">
        <v>0.0</v>
      </c>
      <c r="Y804" s="68">
        <v>0.0</v>
      </c>
      <c r="Z804" s="68">
        <v>0.0</v>
      </c>
      <c r="AA804" s="68">
        <v>0.0</v>
      </c>
      <c r="AB804" s="68">
        <v>0.0</v>
      </c>
      <c r="AC804" s="68">
        <v>0.0</v>
      </c>
      <c r="AD804" s="68">
        <v>0.0</v>
      </c>
      <c r="AE804" s="68">
        <v>0.0</v>
      </c>
      <c r="AF804" s="68">
        <v>0.0</v>
      </c>
      <c r="AG804" s="68">
        <v>0.0</v>
      </c>
      <c r="AH804" s="68">
        <v>0.0</v>
      </c>
      <c r="AI804" s="68">
        <v>0.0</v>
      </c>
      <c r="AJ804" s="68">
        <v>0.0</v>
      </c>
    </row>
    <row r="805" ht="15.75" customHeight="1">
      <c r="A805" s="3" t="s">
        <v>70</v>
      </c>
      <c r="B805" s="68" t="s">
        <v>771</v>
      </c>
      <c r="C805" s="68" t="s">
        <v>1073</v>
      </c>
      <c r="D805" s="68" t="s">
        <v>773</v>
      </c>
      <c r="E805" s="68" t="s">
        <v>459</v>
      </c>
      <c r="F805" s="68" t="s">
        <v>774</v>
      </c>
      <c r="G805" s="68" t="s">
        <v>775</v>
      </c>
      <c r="H805" s="181">
        <v>45617.0</v>
      </c>
      <c r="J805" s="68" t="s">
        <v>211</v>
      </c>
      <c r="K805" s="68">
        <v>100.0</v>
      </c>
      <c r="L805" s="68" t="s">
        <v>776</v>
      </c>
      <c r="M805" s="68" t="s">
        <v>8</v>
      </c>
      <c r="N805" s="68">
        <v>24806.0</v>
      </c>
      <c r="O805" s="68">
        <v>389.0</v>
      </c>
      <c r="P805" s="68">
        <v>0.0157</v>
      </c>
      <c r="Q805" s="68">
        <v>3181.73</v>
      </c>
      <c r="R805" s="68">
        <v>8.18</v>
      </c>
      <c r="S805" s="68">
        <v>0.0</v>
      </c>
      <c r="T805" s="68">
        <v>3.0</v>
      </c>
      <c r="U805" s="68">
        <v>3714.41</v>
      </c>
      <c r="V805" s="68">
        <v>0.8566</v>
      </c>
      <c r="W805" s="68">
        <v>1.1674</v>
      </c>
      <c r="X805" s="68">
        <v>0.0</v>
      </c>
      <c r="Y805" s="68">
        <v>0.0</v>
      </c>
      <c r="Z805" s="68">
        <v>0.0</v>
      </c>
      <c r="AA805" s="68">
        <v>0.0</v>
      </c>
      <c r="AB805" s="68">
        <v>0.0</v>
      </c>
      <c r="AC805" s="68">
        <v>0.0</v>
      </c>
      <c r="AD805" s="68">
        <v>0.0</v>
      </c>
      <c r="AE805" s="68">
        <v>0.0</v>
      </c>
      <c r="AF805" s="68">
        <v>0.0</v>
      </c>
      <c r="AG805" s="68">
        <v>0.0</v>
      </c>
      <c r="AH805" s="68">
        <v>0.0</v>
      </c>
      <c r="AI805" s="68">
        <v>0.0</v>
      </c>
      <c r="AJ805" s="68">
        <v>0.0</v>
      </c>
    </row>
    <row r="806" ht="15.75" customHeight="1">
      <c r="A806" s="3" t="s">
        <v>70</v>
      </c>
      <c r="B806" s="68" t="s">
        <v>771</v>
      </c>
      <c r="C806" s="68" t="s">
        <v>1092</v>
      </c>
      <c r="D806" s="68" t="s">
        <v>773</v>
      </c>
      <c r="E806" s="68" t="s">
        <v>459</v>
      </c>
      <c r="F806" s="68" t="s">
        <v>774</v>
      </c>
      <c r="G806" s="68" t="s">
        <v>775</v>
      </c>
      <c r="H806" s="181">
        <v>45632.0</v>
      </c>
      <c r="J806" s="68" t="s">
        <v>128</v>
      </c>
      <c r="K806" s="68">
        <v>500.0</v>
      </c>
      <c r="L806" s="27">
        <v>0.437276252983293</v>
      </c>
      <c r="M806" s="68" t="s">
        <v>8</v>
      </c>
      <c r="N806" s="68">
        <v>25849.0</v>
      </c>
      <c r="O806" s="68">
        <v>1024.0</v>
      </c>
      <c r="P806" s="68">
        <v>0.0396</v>
      </c>
      <c r="Q806" s="68">
        <v>6043.93</v>
      </c>
      <c r="R806" s="68">
        <v>5.9</v>
      </c>
      <c r="S806" s="68">
        <v>0.0</v>
      </c>
      <c r="T806" s="68">
        <v>42.0</v>
      </c>
      <c r="U806" s="68">
        <v>61238.96</v>
      </c>
      <c r="V806" s="68">
        <v>0.0987</v>
      </c>
      <c r="W806" s="68">
        <v>10.1323</v>
      </c>
      <c r="X806" s="68">
        <v>0.0</v>
      </c>
      <c r="Y806" s="68">
        <v>0.0</v>
      </c>
      <c r="Z806" s="68">
        <v>0.0</v>
      </c>
      <c r="AA806" s="68">
        <v>0.0</v>
      </c>
      <c r="AB806" s="68">
        <v>0.0</v>
      </c>
      <c r="AC806" s="68">
        <v>0.0</v>
      </c>
      <c r="AD806" s="68">
        <v>0.0</v>
      </c>
      <c r="AE806" s="68">
        <v>0.0</v>
      </c>
      <c r="AF806" s="68">
        <v>0.0</v>
      </c>
      <c r="AG806" s="68">
        <v>0.0</v>
      </c>
      <c r="AH806" s="68">
        <v>0.0</v>
      </c>
      <c r="AI806" s="68">
        <v>0.0</v>
      </c>
      <c r="AJ806" s="68">
        <v>0.0</v>
      </c>
    </row>
    <row r="807" ht="15.75" customHeight="1">
      <c r="A807" s="3" t="s">
        <v>70</v>
      </c>
      <c r="B807" s="68" t="s">
        <v>779</v>
      </c>
      <c r="C807" s="68" t="s">
        <v>1042</v>
      </c>
      <c r="D807" s="68" t="s">
        <v>781</v>
      </c>
      <c r="E807" s="68" t="s">
        <v>459</v>
      </c>
      <c r="F807" s="68" t="s">
        <v>774</v>
      </c>
      <c r="G807" s="68" t="s">
        <v>775</v>
      </c>
      <c r="H807" s="181">
        <v>45504.0</v>
      </c>
      <c r="J807" s="68" t="s">
        <v>241</v>
      </c>
      <c r="K807" s="68">
        <v>790.5</v>
      </c>
      <c r="L807" s="68" t="s">
        <v>776</v>
      </c>
      <c r="M807" s="68" t="s">
        <v>8</v>
      </c>
      <c r="N807" s="68">
        <v>25908.0</v>
      </c>
      <c r="O807" s="68">
        <v>57.0</v>
      </c>
      <c r="P807" s="68">
        <v>0.0022</v>
      </c>
      <c r="Q807" s="68">
        <v>1144.75</v>
      </c>
      <c r="R807" s="68">
        <v>20.08</v>
      </c>
      <c r="S807" s="68">
        <v>0.0</v>
      </c>
      <c r="T807" s="68">
        <v>0.0</v>
      </c>
      <c r="U807" s="68">
        <v>0.0</v>
      </c>
      <c r="V807" s="68">
        <v>0.0</v>
      </c>
      <c r="W807" s="68">
        <v>0.0</v>
      </c>
      <c r="X807" s="68">
        <v>0.0</v>
      </c>
      <c r="Y807" s="68">
        <v>0.0</v>
      </c>
      <c r="Z807" s="68">
        <v>0.0</v>
      </c>
      <c r="AA807" s="68">
        <v>0.0</v>
      </c>
      <c r="AB807" s="68">
        <v>0.0</v>
      </c>
      <c r="AC807" s="68">
        <v>0.0</v>
      </c>
      <c r="AD807" s="68">
        <v>0.0</v>
      </c>
      <c r="AE807" s="68">
        <v>0.0</v>
      </c>
      <c r="AF807" s="68">
        <v>0.0</v>
      </c>
      <c r="AG807" s="68">
        <v>0.0</v>
      </c>
      <c r="AH807" s="68">
        <v>0.0</v>
      </c>
      <c r="AI807" s="68">
        <v>0.0</v>
      </c>
      <c r="AJ807" s="68">
        <v>0.0</v>
      </c>
    </row>
    <row r="808" ht="15.75" customHeight="1">
      <c r="A808" s="3" t="s">
        <v>70</v>
      </c>
      <c r="B808" s="68" t="s">
        <v>779</v>
      </c>
      <c r="C808" s="68" t="s">
        <v>957</v>
      </c>
      <c r="D808" s="68" t="s">
        <v>781</v>
      </c>
      <c r="E808" s="68" t="s">
        <v>459</v>
      </c>
      <c r="F808" s="68" t="s">
        <v>774</v>
      </c>
      <c r="G808" s="68" t="s">
        <v>775</v>
      </c>
      <c r="H808" s="181">
        <v>45260.0</v>
      </c>
      <c r="J808" s="68" t="s">
        <v>140</v>
      </c>
      <c r="K808" s="68">
        <v>250.0</v>
      </c>
      <c r="L808" s="68" t="s">
        <v>776</v>
      </c>
      <c r="M808" s="68" t="s">
        <v>8</v>
      </c>
      <c r="N808" s="68">
        <v>26784.0</v>
      </c>
      <c r="O808" s="68">
        <v>92.0</v>
      </c>
      <c r="P808" s="68">
        <v>0.0034</v>
      </c>
      <c r="Q808" s="68">
        <v>1402.7</v>
      </c>
      <c r="R808" s="68">
        <v>15.25</v>
      </c>
      <c r="S808" s="68">
        <v>0.0</v>
      </c>
      <c r="T808" s="68">
        <v>0.0</v>
      </c>
      <c r="U808" s="68">
        <v>0.0</v>
      </c>
      <c r="V808" s="68">
        <v>0.0</v>
      </c>
      <c r="W808" s="68">
        <v>0.0</v>
      </c>
      <c r="X808" s="68">
        <v>0.0</v>
      </c>
      <c r="Y808" s="68">
        <v>0.0</v>
      </c>
      <c r="Z808" s="68">
        <v>0.0</v>
      </c>
      <c r="AA808" s="68">
        <v>0.0</v>
      </c>
      <c r="AB808" s="68">
        <v>0.0</v>
      </c>
      <c r="AC808" s="68">
        <v>0.0</v>
      </c>
      <c r="AD808" s="68">
        <v>0.0</v>
      </c>
      <c r="AE808" s="68">
        <v>0.0</v>
      </c>
      <c r="AF808" s="68">
        <v>0.0</v>
      </c>
      <c r="AG808" s="68">
        <v>0.0</v>
      </c>
      <c r="AH808" s="68">
        <v>0.0</v>
      </c>
      <c r="AI808" s="68">
        <v>0.0</v>
      </c>
      <c r="AJ808" s="68">
        <v>0.0</v>
      </c>
    </row>
    <row r="809" ht="15.75" customHeight="1">
      <c r="A809" s="3" t="s">
        <v>70</v>
      </c>
      <c r="B809" s="68" t="s">
        <v>779</v>
      </c>
      <c r="C809" s="68" t="s">
        <v>945</v>
      </c>
      <c r="D809" s="68" t="s">
        <v>781</v>
      </c>
      <c r="E809" s="68" t="s">
        <v>459</v>
      </c>
      <c r="F809" s="68" t="s">
        <v>774</v>
      </c>
      <c r="G809" s="68" t="s">
        <v>775</v>
      </c>
      <c r="H809" s="181">
        <v>45415.0</v>
      </c>
      <c r="J809" s="68" t="s">
        <v>232</v>
      </c>
      <c r="K809" s="68">
        <v>1464.61</v>
      </c>
      <c r="L809" s="68" t="s">
        <v>776</v>
      </c>
      <c r="M809" s="68" t="s">
        <v>8</v>
      </c>
      <c r="N809" s="68">
        <v>27656.0</v>
      </c>
      <c r="O809" s="68">
        <v>17.0</v>
      </c>
      <c r="P809" s="68">
        <v>6.0E-4</v>
      </c>
      <c r="Q809" s="68">
        <v>267.19</v>
      </c>
      <c r="R809" s="68">
        <v>15.72</v>
      </c>
      <c r="S809" s="68">
        <v>0.0</v>
      </c>
      <c r="T809" s="68">
        <v>0.0</v>
      </c>
      <c r="U809" s="68">
        <v>0.0</v>
      </c>
      <c r="V809" s="68">
        <v>0.0</v>
      </c>
      <c r="W809" s="68">
        <v>0.0</v>
      </c>
      <c r="X809" s="68">
        <v>0.0</v>
      </c>
      <c r="Y809" s="68">
        <v>0.0</v>
      </c>
      <c r="Z809" s="68">
        <v>0.0</v>
      </c>
      <c r="AA809" s="68">
        <v>0.0</v>
      </c>
      <c r="AB809" s="68">
        <v>0.0</v>
      </c>
      <c r="AC809" s="68">
        <v>0.0</v>
      </c>
      <c r="AD809" s="68">
        <v>0.0</v>
      </c>
      <c r="AE809" s="68">
        <v>0.0</v>
      </c>
      <c r="AF809" s="68">
        <v>0.0</v>
      </c>
      <c r="AG809" s="68">
        <v>0.0</v>
      </c>
      <c r="AH809" s="68">
        <v>0.0</v>
      </c>
      <c r="AI809" s="68">
        <v>0.0</v>
      </c>
      <c r="AJ809" s="68">
        <v>0.0</v>
      </c>
    </row>
    <row r="810" ht="15.75" customHeight="1">
      <c r="A810" s="3" t="s">
        <v>70</v>
      </c>
      <c r="B810" s="68" t="s">
        <v>779</v>
      </c>
      <c r="C810" s="68" t="s">
        <v>1067</v>
      </c>
      <c r="D810" s="68" t="s">
        <v>781</v>
      </c>
      <c r="E810" s="68" t="s">
        <v>459</v>
      </c>
      <c r="F810" s="68" t="s">
        <v>774</v>
      </c>
      <c r="G810" s="68" t="s">
        <v>775</v>
      </c>
      <c r="H810" s="181">
        <v>45615.0</v>
      </c>
      <c r="J810" s="68" t="s">
        <v>413</v>
      </c>
      <c r="K810" s="68">
        <v>7812.0</v>
      </c>
      <c r="L810" s="68" t="s">
        <v>776</v>
      </c>
      <c r="M810" s="68" t="s">
        <v>8</v>
      </c>
      <c r="N810" s="68">
        <v>28767.0</v>
      </c>
      <c r="O810" s="68">
        <v>54.0</v>
      </c>
      <c r="P810" s="68">
        <v>0.0019</v>
      </c>
      <c r="Q810" s="68">
        <v>2397.76</v>
      </c>
      <c r="R810" s="68">
        <v>44.4</v>
      </c>
      <c r="S810" s="68">
        <v>0.0</v>
      </c>
      <c r="T810" s="68">
        <v>1.0</v>
      </c>
      <c r="U810" s="68">
        <v>14405.93</v>
      </c>
      <c r="V810" s="68">
        <v>0.1664</v>
      </c>
      <c r="W810" s="68">
        <v>6.0081</v>
      </c>
      <c r="X810" s="68">
        <v>0.0</v>
      </c>
      <c r="Y810" s="68">
        <v>0.0</v>
      </c>
      <c r="Z810" s="68">
        <v>0.0</v>
      </c>
      <c r="AA810" s="68">
        <v>0.0</v>
      </c>
      <c r="AB810" s="68">
        <v>0.0</v>
      </c>
      <c r="AC810" s="68">
        <v>0.0</v>
      </c>
      <c r="AD810" s="68">
        <v>0.0</v>
      </c>
      <c r="AE810" s="68">
        <v>0.0</v>
      </c>
      <c r="AF810" s="68">
        <v>0.0</v>
      </c>
      <c r="AG810" s="68">
        <v>0.0</v>
      </c>
      <c r="AH810" s="68">
        <v>0.0</v>
      </c>
      <c r="AI810" s="68">
        <v>0.0</v>
      </c>
      <c r="AJ810" s="68">
        <v>0.0</v>
      </c>
    </row>
    <row r="811" ht="15.75" customHeight="1">
      <c r="A811" s="3" t="s">
        <v>70</v>
      </c>
      <c r="B811" s="68" t="s">
        <v>771</v>
      </c>
      <c r="C811" s="68" t="s">
        <v>1093</v>
      </c>
      <c r="D811" s="68" t="s">
        <v>773</v>
      </c>
      <c r="E811" s="68" t="s">
        <v>462</v>
      </c>
      <c r="F811" s="68" t="s">
        <v>774</v>
      </c>
      <c r="H811" s="181">
        <v>45649.0</v>
      </c>
      <c r="J811" s="68" t="s">
        <v>134</v>
      </c>
      <c r="K811" s="68">
        <v>2000.0</v>
      </c>
      <c r="L811" s="27">
        <v>0.0973500973500973</v>
      </c>
      <c r="M811" s="68" t="s">
        <v>8</v>
      </c>
      <c r="N811" s="68">
        <v>31250.0</v>
      </c>
      <c r="O811" s="68">
        <v>515.0</v>
      </c>
      <c r="P811" s="68">
        <v>0.0165</v>
      </c>
      <c r="Q811" s="68">
        <v>9848.94</v>
      </c>
      <c r="R811" s="68">
        <v>19.12</v>
      </c>
      <c r="S811" s="68">
        <v>1019.0</v>
      </c>
      <c r="T811" s="68">
        <v>1.0</v>
      </c>
      <c r="U811" s="68">
        <v>20974.58</v>
      </c>
      <c r="V811" s="68">
        <v>0.4696</v>
      </c>
      <c r="W811" s="68">
        <v>2.1296</v>
      </c>
      <c r="X811" s="68">
        <v>1.0</v>
      </c>
      <c r="Y811" s="68">
        <v>1.0</v>
      </c>
      <c r="Z811" s="68">
        <v>20974.58</v>
      </c>
      <c r="AA811" s="68">
        <v>1.0</v>
      </c>
      <c r="AB811" s="68">
        <v>6395.0</v>
      </c>
      <c r="AC811" s="68">
        <v>1540.1</v>
      </c>
      <c r="AD811" s="68">
        <v>0.0</v>
      </c>
      <c r="AE811" s="68">
        <v>0.0</v>
      </c>
      <c r="AF811" s="68">
        <v>0.0</v>
      </c>
      <c r="AG811" s="68">
        <v>0.0</v>
      </c>
      <c r="AH811" s="68">
        <v>0.0</v>
      </c>
      <c r="AI811" s="68">
        <v>0.0</v>
      </c>
      <c r="AJ811" s="68">
        <v>0.0</v>
      </c>
    </row>
    <row r="812" ht="15.75" customHeight="1">
      <c r="A812" s="3" t="s">
        <v>70</v>
      </c>
      <c r="B812" s="68" t="s">
        <v>779</v>
      </c>
      <c r="C812" s="68" t="s">
        <v>1095</v>
      </c>
      <c r="D812" s="68" t="s">
        <v>781</v>
      </c>
      <c r="E812" s="68" t="s">
        <v>463</v>
      </c>
      <c r="F812" s="68" t="s">
        <v>774</v>
      </c>
      <c r="H812" s="181">
        <v>45628.0</v>
      </c>
      <c r="J812" s="68" t="s">
        <v>413</v>
      </c>
      <c r="K812" s="68">
        <v>1000.0</v>
      </c>
      <c r="M812" s="68" t="s">
        <v>8</v>
      </c>
      <c r="N812" s="68">
        <v>31828.0</v>
      </c>
      <c r="O812" s="68">
        <v>127.0</v>
      </c>
      <c r="P812" s="68">
        <v>0.004</v>
      </c>
      <c r="Q812" s="68">
        <v>4040.58</v>
      </c>
      <c r="R812" s="68">
        <v>31.82</v>
      </c>
      <c r="S812" s="68">
        <v>326.0</v>
      </c>
      <c r="T812" s="68">
        <v>0.0</v>
      </c>
      <c r="U812" s="68">
        <v>0.0</v>
      </c>
      <c r="V812" s="68">
        <v>0.0</v>
      </c>
      <c r="W812" s="68">
        <v>0.0</v>
      </c>
      <c r="X812" s="68">
        <v>0.0</v>
      </c>
      <c r="Y812" s="68">
        <v>0.0</v>
      </c>
      <c r="Z812" s="68">
        <v>0.0</v>
      </c>
      <c r="AA812" s="68">
        <v>0.0</v>
      </c>
      <c r="AB812" s="68">
        <v>0.0</v>
      </c>
      <c r="AC812" s="68">
        <v>0.0</v>
      </c>
      <c r="AD812" s="68">
        <v>0.0</v>
      </c>
      <c r="AE812" s="68">
        <v>0.0</v>
      </c>
      <c r="AF812" s="68">
        <v>0.0</v>
      </c>
      <c r="AG812" s="68">
        <v>0.0</v>
      </c>
      <c r="AH812" s="68">
        <v>0.0</v>
      </c>
      <c r="AI812" s="68">
        <v>0.0</v>
      </c>
      <c r="AJ812" s="68">
        <v>0.0</v>
      </c>
    </row>
    <row r="813" ht="15.75" customHeight="1">
      <c r="A813" s="3" t="s">
        <v>70</v>
      </c>
      <c r="B813" s="68" t="s">
        <v>779</v>
      </c>
      <c r="C813" s="68" t="s">
        <v>1096</v>
      </c>
      <c r="D813" s="68" t="s">
        <v>781</v>
      </c>
      <c r="E813" s="68" t="s">
        <v>459</v>
      </c>
      <c r="F813" s="68" t="s">
        <v>774</v>
      </c>
      <c r="G813" s="68" t="s">
        <v>775</v>
      </c>
      <c r="H813" s="181">
        <v>45632.0</v>
      </c>
      <c r="J813" s="68" t="s">
        <v>140</v>
      </c>
      <c r="K813" s="68">
        <v>500.0</v>
      </c>
      <c r="L813" s="68" t="s">
        <v>776</v>
      </c>
      <c r="M813" s="68" t="s">
        <v>8</v>
      </c>
      <c r="N813" s="68">
        <v>32914.0</v>
      </c>
      <c r="O813" s="68">
        <v>57.0</v>
      </c>
      <c r="P813" s="68">
        <v>0.0017</v>
      </c>
      <c r="Q813" s="68">
        <v>2150.25</v>
      </c>
      <c r="R813" s="68">
        <v>37.72</v>
      </c>
      <c r="S813" s="68">
        <v>0.0</v>
      </c>
      <c r="T813" s="68">
        <v>0.0</v>
      </c>
      <c r="U813" s="68">
        <v>0.0</v>
      </c>
      <c r="V813" s="68">
        <v>0.0</v>
      </c>
      <c r="W813" s="68">
        <v>0.0</v>
      </c>
      <c r="X813" s="68">
        <v>0.0</v>
      </c>
      <c r="Y813" s="68">
        <v>0.0</v>
      </c>
      <c r="Z813" s="68">
        <v>0.0</v>
      </c>
      <c r="AA813" s="68">
        <v>0.0</v>
      </c>
      <c r="AB813" s="68">
        <v>0.0</v>
      </c>
      <c r="AC813" s="68">
        <v>0.0</v>
      </c>
      <c r="AD813" s="68">
        <v>0.0</v>
      </c>
      <c r="AE813" s="68">
        <v>0.0</v>
      </c>
      <c r="AF813" s="68">
        <v>0.0</v>
      </c>
      <c r="AG813" s="68">
        <v>0.0</v>
      </c>
      <c r="AH813" s="68">
        <v>0.0</v>
      </c>
      <c r="AI813" s="68">
        <v>0.0</v>
      </c>
      <c r="AJ813" s="68">
        <v>0.0</v>
      </c>
    </row>
    <row r="814" ht="15.75" customHeight="1">
      <c r="A814" s="3" t="s">
        <v>70</v>
      </c>
      <c r="B814" s="68" t="s">
        <v>771</v>
      </c>
      <c r="C814" s="68" t="s">
        <v>871</v>
      </c>
      <c r="D814" s="68" t="s">
        <v>773</v>
      </c>
      <c r="E814" s="68" t="s">
        <v>459</v>
      </c>
      <c r="F814" s="68" t="s">
        <v>774</v>
      </c>
      <c r="G814" s="68" t="s">
        <v>775</v>
      </c>
      <c r="H814" s="181">
        <v>45296.0</v>
      </c>
      <c r="J814" s="68" t="s">
        <v>119</v>
      </c>
      <c r="K814" s="68">
        <v>310.0</v>
      </c>
      <c r="L814" s="27">
        <v>0.0655867873590598</v>
      </c>
      <c r="M814" s="68" t="s">
        <v>8</v>
      </c>
      <c r="N814" s="68">
        <v>34914.0</v>
      </c>
      <c r="O814" s="68">
        <v>479.0</v>
      </c>
      <c r="P814" s="68">
        <v>0.0137</v>
      </c>
      <c r="Q814" s="68">
        <v>1855.23</v>
      </c>
      <c r="R814" s="68">
        <v>3.87</v>
      </c>
      <c r="S814" s="68">
        <v>0.0</v>
      </c>
      <c r="T814" s="68">
        <v>3.0</v>
      </c>
      <c r="U814" s="68">
        <v>21493.23</v>
      </c>
      <c r="V814" s="68">
        <v>0.0863</v>
      </c>
      <c r="W814" s="68">
        <v>11.5852</v>
      </c>
      <c r="X814" s="68">
        <v>0.0</v>
      </c>
      <c r="Y814" s="68">
        <v>0.0</v>
      </c>
      <c r="Z814" s="68">
        <v>0.0</v>
      </c>
      <c r="AA814" s="68">
        <v>0.0</v>
      </c>
      <c r="AB814" s="68">
        <v>0.0</v>
      </c>
      <c r="AC814" s="68">
        <v>0.0</v>
      </c>
      <c r="AD814" s="68">
        <v>0.0</v>
      </c>
      <c r="AE814" s="68">
        <v>0.0</v>
      </c>
      <c r="AF814" s="68">
        <v>0.0</v>
      </c>
      <c r="AG814" s="68">
        <v>0.0</v>
      </c>
      <c r="AH814" s="68">
        <v>0.0</v>
      </c>
      <c r="AI814" s="68">
        <v>0.0</v>
      </c>
      <c r="AJ814" s="68">
        <v>0.0</v>
      </c>
    </row>
    <row r="815" ht="15.75" customHeight="1">
      <c r="A815" s="3" t="s">
        <v>70</v>
      </c>
      <c r="B815" s="68" t="s">
        <v>779</v>
      </c>
      <c r="C815" s="68" t="s">
        <v>882</v>
      </c>
      <c r="D815" s="68" t="s">
        <v>781</v>
      </c>
      <c r="E815" s="68" t="s">
        <v>462</v>
      </c>
      <c r="F815" s="68" t="s">
        <v>774</v>
      </c>
      <c r="H815" s="181">
        <v>45338.0</v>
      </c>
      <c r="J815" s="68" t="s">
        <v>134</v>
      </c>
      <c r="K815" s="68">
        <v>1550.0</v>
      </c>
      <c r="L815" s="27">
        <v>0.219294310401997</v>
      </c>
      <c r="M815" s="68" t="s">
        <v>8</v>
      </c>
      <c r="N815" s="68">
        <v>36692.0</v>
      </c>
      <c r="O815" s="68">
        <v>555.0</v>
      </c>
      <c r="P815" s="68">
        <v>0.0151</v>
      </c>
      <c r="Q815" s="68">
        <v>5292.88</v>
      </c>
      <c r="R815" s="68">
        <v>9.54</v>
      </c>
      <c r="S815" s="68">
        <v>1094.0</v>
      </c>
      <c r="T815" s="68">
        <v>1.0</v>
      </c>
      <c r="U815" s="68">
        <v>18388.98</v>
      </c>
      <c r="V815" s="68">
        <v>0.2878</v>
      </c>
      <c r="W815" s="68">
        <v>3.4743</v>
      </c>
      <c r="X815" s="68">
        <v>1.0</v>
      </c>
      <c r="Y815" s="68">
        <v>1.0</v>
      </c>
      <c r="Z815" s="68">
        <v>18388.98</v>
      </c>
      <c r="AA815" s="68">
        <v>1.0</v>
      </c>
      <c r="AB815" s="68">
        <v>7905.0</v>
      </c>
      <c r="AC815" s="68">
        <v>669.56</v>
      </c>
      <c r="AD815" s="68">
        <v>0.0</v>
      </c>
      <c r="AE815" s="68">
        <v>0.0</v>
      </c>
      <c r="AF815" s="68">
        <v>0.0</v>
      </c>
      <c r="AG815" s="68">
        <v>0.0</v>
      </c>
      <c r="AH815" s="68">
        <v>0.0</v>
      </c>
      <c r="AI815" s="68">
        <v>0.0</v>
      </c>
      <c r="AJ815" s="68">
        <v>0.0</v>
      </c>
    </row>
    <row r="816" ht="15.75" customHeight="1">
      <c r="A816" s="3" t="s">
        <v>70</v>
      </c>
      <c r="B816" s="68" t="s">
        <v>779</v>
      </c>
      <c r="C816" s="68" t="s">
        <v>891</v>
      </c>
      <c r="D816" s="68" t="s">
        <v>781</v>
      </c>
      <c r="E816" s="68" t="s">
        <v>463</v>
      </c>
      <c r="F816" s="68" t="s">
        <v>774</v>
      </c>
      <c r="H816" s="181">
        <v>45338.0</v>
      </c>
      <c r="J816" s="68" t="s">
        <v>134</v>
      </c>
      <c r="K816" s="68">
        <v>2000.0</v>
      </c>
      <c r="M816" s="68" t="s">
        <v>8</v>
      </c>
      <c r="N816" s="68">
        <v>37679.0</v>
      </c>
      <c r="O816" s="68">
        <v>1696.0</v>
      </c>
      <c r="P816" s="68">
        <v>0.045</v>
      </c>
      <c r="Q816" s="68">
        <v>7301.29</v>
      </c>
      <c r="R816" s="68">
        <v>4.31</v>
      </c>
      <c r="S816" s="68">
        <v>2116.0</v>
      </c>
      <c r="T816" s="68">
        <v>0.0</v>
      </c>
      <c r="U816" s="68">
        <v>0.0</v>
      </c>
      <c r="V816" s="68">
        <v>0.0</v>
      </c>
      <c r="W816" s="68">
        <v>0.0</v>
      </c>
      <c r="X816" s="68">
        <v>0.0</v>
      </c>
      <c r="Y816" s="68">
        <v>0.0</v>
      </c>
      <c r="Z816" s="68">
        <v>0.0</v>
      </c>
      <c r="AA816" s="68">
        <v>0.0</v>
      </c>
      <c r="AB816" s="68">
        <v>0.0</v>
      </c>
      <c r="AC816" s="68">
        <v>0.0</v>
      </c>
      <c r="AD816" s="68">
        <v>0.0</v>
      </c>
      <c r="AE816" s="68">
        <v>0.0</v>
      </c>
      <c r="AF816" s="68">
        <v>0.0</v>
      </c>
      <c r="AG816" s="68">
        <v>0.0</v>
      </c>
      <c r="AH816" s="68">
        <v>0.0</v>
      </c>
      <c r="AI816" s="68">
        <v>0.0</v>
      </c>
      <c r="AJ816" s="68">
        <v>0.0</v>
      </c>
    </row>
    <row r="817" ht="15.75" customHeight="1">
      <c r="A817" s="3" t="s">
        <v>70</v>
      </c>
      <c r="B817" s="68" t="s">
        <v>779</v>
      </c>
      <c r="C817" s="68" t="s">
        <v>1011</v>
      </c>
      <c r="D817" s="68" t="s">
        <v>781</v>
      </c>
      <c r="E817" s="68" t="s">
        <v>459</v>
      </c>
      <c r="F817" s="68" t="s">
        <v>774</v>
      </c>
      <c r="G817" s="68" t="s">
        <v>775</v>
      </c>
      <c r="H817" s="181">
        <v>45301.0</v>
      </c>
      <c r="J817" s="68" t="s">
        <v>158</v>
      </c>
      <c r="K817" s="68">
        <v>500.0</v>
      </c>
      <c r="L817" s="68" t="s">
        <v>776</v>
      </c>
      <c r="M817" s="68" t="s">
        <v>8</v>
      </c>
      <c r="N817" s="68">
        <v>41746.0</v>
      </c>
      <c r="O817" s="68">
        <v>190.0</v>
      </c>
      <c r="P817" s="68">
        <v>0.0046</v>
      </c>
      <c r="Q817" s="68">
        <v>3488.97</v>
      </c>
      <c r="R817" s="68">
        <v>18.36</v>
      </c>
      <c r="S817" s="68">
        <v>0.0</v>
      </c>
      <c r="T817" s="68">
        <v>0.0</v>
      </c>
      <c r="U817" s="68">
        <v>0.0</v>
      </c>
      <c r="V817" s="68">
        <v>0.0</v>
      </c>
      <c r="W817" s="68">
        <v>0.0</v>
      </c>
      <c r="X817" s="68">
        <v>0.0</v>
      </c>
      <c r="Y817" s="68">
        <v>0.0</v>
      </c>
      <c r="Z817" s="68">
        <v>0.0</v>
      </c>
      <c r="AA817" s="68">
        <v>0.0</v>
      </c>
      <c r="AB817" s="68">
        <v>0.0</v>
      </c>
      <c r="AC817" s="68">
        <v>0.0</v>
      </c>
      <c r="AD817" s="68">
        <v>0.0</v>
      </c>
      <c r="AE817" s="68">
        <v>0.0</v>
      </c>
      <c r="AF817" s="68">
        <v>0.0</v>
      </c>
      <c r="AG817" s="68">
        <v>0.0</v>
      </c>
      <c r="AH817" s="68">
        <v>0.0</v>
      </c>
      <c r="AI817" s="68">
        <v>0.0</v>
      </c>
      <c r="AJ817" s="68">
        <v>0.0</v>
      </c>
    </row>
    <row r="818" ht="15.75" customHeight="1">
      <c r="A818" s="3" t="s">
        <v>70</v>
      </c>
      <c r="B818" s="68" t="s">
        <v>771</v>
      </c>
      <c r="C818" s="68" t="s">
        <v>1097</v>
      </c>
      <c r="D818" s="68" t="s">
        <v>773</v>
      </c>
      <c r="E818" s="68" t="s">
        <v>459</v>
      </c>
      <c r="F818" s="68" t="s">
        <v>774</v>
      </c>
      <c r="G818" s="68" t="s">
        <v>775</v>
      </c>
      <c r="H818" s="181">
        <v>45632.0</v>
      </c>
      <c r="J818" s="68" t="s">
        <v>128</v>
      </c>
      <c r="K818" s="68">
        <v>1000.0</v>
      </c>
      <c r="L818" s="68" t="s">
        <v>776</v>
      </c>
      <c r="M818" s="68" t="s">
        <v>8</v>
      </c>
      <c r="N818" s="68">
        <v>42390.0</v>
      </c>
      <c r="O818" s="68">
        <v>268.0</v>
      </c>
      <c r="P818" s="68">
        <v>0.0063</v>
      </c>
      <c r="Q818" s="68">
        <v>9689.75</v>
      </c>
      <c r="R818" s="68">
        <v>36.16</v>
      </c>
      <c r="S818" s="68">
        <v>0.0</v>
      </c>
      <c r="T818" s="68">
        <v>2.0</v>
      </c>
      <c r="U818" s="68">
        <v>32794.91</v>
      </c>
      <c r="V818" s="68">
        <v>0.2955</v>
      </c>
      <c r="W818" s="68">
        <v>3.3845</v>
      </c>
      <c r="X818" s="68">
        <v>0.0</v>
      </c>
      <c r="Y818" s="68">
        <v>0.0</v>
      </c>
      <c r="Z818" s="68">
        <v>0.0</v>
      </c>
      <c r="AA818" s="68">
        <v>0.0</v>
      </c>
      <c r="AB818" s="68">
        <v>0.0</v>
      </c>
      <c r="AC818" s="68">
        <v>0.0</v>
      </c>
      <c r="AD818" s="68">
        <v>0.0</v>
      </c>
      <c r="AE818" s="68">
        <v>0.0</v>
      </c>
      <c r="AF818" s="68">
        <v>0.0</v>
      </c>
      <c r="AG818" s="68">
        <v>0.0</v>
      </c>
      <c r="AH818" s="68">
        <v>0.0</v>
      </c>
      <c r="AI818" s="68">
        <v>0.0</v>
      </c>
      <c r="AJ818" s="68">
        <v>0.0</v>
      </c>
    </row>
    <row r="819" ht="15.75" customHeight="1">
      <c r="A819" s="3" t="s">
        <v>70</v>
      </c>
      <c r="B819" s="68" t="s">
        <v>779</v>
      </c>
      <c r="C819" s="68" t="s">
        <v>934</v>
      </c>
      <c r="D819" s="68" t="s">
        <v>781</v>
      </c>
      <c r="E819" s="68" t="s">
        <v>459</v>
      </c>
      <c r="F819" s="68" t="s">
        <v>774</v>
      </c>
      <c r="G819" s="68" t="s">
        <v>775</v>
      </c>
      <c r="H819" s="181">
        <v>45392.0</v>
      </c>
      <c r="J819" s="68" t="s">
        <v>230</v>
      </c>
      <c r="K819" s="68">
        <v>1500.0</v>
      </c>
      <c r="L819" s="68" t="s">
        <v>776</v>
      </c>
      <c r="M819" s="68" t="s">
        <v>8</v>
      </c>
      <c r="N819" s="68">
        <v>45066.0</v>
      </c>
      <c r="O819" s="68">
        <v>214.0</v>
      </c>
      <c r="P819" s="68">
        <v>0.0047</v>
      </c>
      <c r="Q819" s="68">
        <v>9344.6</v>
      </c>
      <c r="R819" s="68">
        <v>43.67</v>
      </c>
      <c r="S819" s="68">
        <v>0.0</v>
      </c>
      <c r="T819" s="68">
        <v>1.0</v>
      </c>
      <c r="U819" s="68">
        <v>23135.6</v>
      </c>
      <c r="V819" s="68">
        <v>0.4039</v>
      </c>
      <c r="W819" s="68">
        <v>2.4758</v>
      </c>
      <c r="X819" s="68">
        <v>0.0</v>
      </c>
      <c r="Y819" s="68">
        <v>0.0</v>
      </c>
      <c r="Z819" s="68">
        <v>0.0</v>
      </c>
      <c r="AA819" s="68">
        <v>0.0</v>
      </c>
      <c r="AB819" s="68">
        <v>0.0</v>
      </c>
      <c r="AC819" s="68">
        <v>0.0</v>
      </c>
      <c r="AD819" s="68">
        <v>0.0</v>
      </c>
      <c r="AE819" s="68">
        <v>0.0</v>
      </c>
      <c r="AF819" s="68">
        <v>0.0</v>
      </c>
      <c r="AG819" s="68">
        <v>0.0</v>
      </c>
      <c r="AH819" s="68">
        <v>0.0</v>
      </c>
      <c r="AI819" s="68">
        <v>0.0</v>
      </c>
      <c r="AJ819" s="68">
        <v>0.0</v>
      </c>
    </row>
    <row r="820" ht="15.75" customHeight="1">
      <c r="A820" s="3" t="s">
        <v>70</v>
      </c>
      <c r="B820" s="68" t="s">
        <v>779</v>
      </c>
      <c r="C820" s="68" t="s">
        <v>836</v>
      </c>
      <c r="D820" s="68" t="s">
        <v>781</v>
      </c>
      <c r="E820" s="68" t="s">
        <v>462</v>
      </c>
      <c r="F820" s="68" t="s">
        <v>774</v>
      </c>
      <c r="H820" s="181">
        <v>45304.0</v>
      </c>
      <c r="J820" s="68" t="s">
        <v>158</v>
      </c>
      <c r="K820" s="68">
        <v>190.0</v>
      </c>
      <c r="L820" s="27">
        <v>0.118496463582549</v>
      </c>
      <c r="M820" s="68" t="s">
        <v>8</v>
      </c>
      <c r="N820" s="68">
        <v>45668.0</v>
      </c>
      <c r="O820" s="68">
        <v>424.0</v>
      </c>
      <c r="P820" s="68">
        <v>0.0093</v>
      </c>
      <c r="Q820" s="68">
        <v>3753.41</v>
      </c>
      <c r="R820" s="68">
        <v>8.85</v>
      </c>
      <c r="S820" s="68">
        <v>905.0</v>
      </c>
      <c r="T820" s="68">
        <v>1.0</v>
      </c>
      <c r="U820" s="68">
        <v>5231.36</v>
      </c>
      <c r="V820" s="68">
        <v>0.7175</v>
      </c>
      <c r="W820" s="68">
        <v>1.3938</v>
      </c>
      <c r="X820" s="68">
        <v>1.0</v>
      </c>
      <c r="Y820" s="68">
        <v>1.0</v>
      </c>
      <c r="Z820" s="68">
        <v>5231.36</v>
      </c>
      <c r="AA820" s="68">
        <v>1.0</v>
      </c>
      <c r="AB820" s="68">
        <v>8161.0</v>
      </c>
      <c r="AC820" s="68">
        <v>459.92</v>
      </c>
      <c r="AD820" s="68">
        <v>0.0</v>
      </c>
      <c r="AE820" s="68">
        <v>0.0</v>
      </c>
      <c r="AF820" s="68">
        <v>0.0</v>
      </c>
      <c r="AG820" s="68">
        <v>0.0</v>
      </c>
      <c r="AH820" s="68">
        <v>0.0</v>
      </c>
      <c r="AI820" s="68">
        <v>0.0</v>
      </c>
      <c r="AJ820" s="68">
        <v>0.0</v>
      </c>
    </row>
    <row r="821" ht="15.75" customHeight="1">
      <c r="A821" s="3" t="s">
        <v>70</v>
      </c>
      <c r="B821" s="68" t="s">
        <v>779</v>
      </c>
      <c r="C821" s="68" t="s">
        <v>1071</v>
      </c>
      <c r="D821" s="68" t="s">
        <v>781</v>
      </c>
      <c r="E821" s="68" t="s">
        <v>459</v>
      </c>
      <c r="F821" s="68" t="s">
        <v>774</v>
      </c>
      <c r="G821" s="68" t="s">
        <v>775</v>
      </c>
      <c r="H821" s="181">
        <v>45617.0</v>
      </c>
      <c r="J821" s="68" t="s">
        <v>211</v>
      </c>
      <c r="K821" s="68">
        <v>200.0</v>
      </c>
      <c r="L821" s="68" t="s">
        <v>776</v>
      </c>
      <c r="M821" s="68" t="s">
        <v>8</v>
      </c>
      <c r="N821" s="68">
        <v>46171.0</v>
      </c>
      <c r="O821" s="68">
        <v>353.0</v>
      </c>
      <c r="P821" s="68">
        <v>0.0076</v>
      </c>
      <c r="Q821" s="68">
        <v>3802.04</v>
      </c>
      <c r="R821" s="68">
        <v>10.77</v>
      </c>
      <c r="S821" s="68">
        <v>0.0</v>
      </c>
      <c r="T821" s="68">
        <v>1.0</v>
      </c>
      <c r="U821" s="68">
        <v>1439.84</v>
      </c>
      <c r="V821" s="68">
        <v>2.6406</v>
      </c>
      <c r="W821" s="68">
        <v>0.3787</v>
      </c>
      <c r="X821" s="68">
        <v>0.0</v>
      </c>
      <c r="Y821" s="68">
        <v>0.0</v>
      </c>
      <c r="Z821" s="68">
        <v>0.0</v>
      </c>
      <c r="AA821" s="68">
        <v>0.0</v>
      </c>
      <c r="AB821" s="68">
        <v>0.0</v>
      </c>
      <c r="AC821" s="68">
        <v>0.0</v>
      </c>
      <c r="AD821" s="68">
        <v>0.0</v>
      </c>
      <c r="AE821" s="68">
        <v>0.0</v>
      </c>
      <c r="AF821" s="68">
        <v>0.0</v>
      </c>
      <c r="AG821" s="68">
        <v>0.0</v>
      </c>
      <c r="AH821" s="68">
        <v>0.0</v>
      </c>
      <c r="AI821" s="68">
        <v>0.0</v>
      </c>
      <c r="AJ821" s="68">
        <v>0.0</v>
      </c>
    </row>
    <row r="822" ht="15.75" customHeight="1">
      <c r="A822" s="3" t="s">
        <v>70</v>
      </c>
      <c r="B822" s="68" t="s">
        <v>779</v>
      </c>
      <c r="C822" s="68" t="s">
        <v>1065</v>
      </c>
      <c r="D822" s="68" t="s">
        <v>781</v>
      </c>
      <c r="E822" s="68" t="s">
        <v>459</v>
      </c>
      <c r="F822" s="68" t="s">
        <v>774</v>
      </c>
      <c r="G822" s="68" t="s">
        <v>775</v>
      </c>
      <c r="H822" s="181">
        <v>45615.0</v>
      </c>
      <c r="J822" s="68" t="s">
        <v>413</v>
      </c>
      <c r="K822" s="68">
        <v>3079.94</v>
      </c>
      <c r="L822" s="27">
        <v>0.0666807121036553</v>
      </c>
      <c r="M822" s="68" t="s">
        <v>8</v>
      </c>
      <c r="N822" s="68">
        <v>47149.0</v>
      </c>
      <c r="O822" s="68">
        <v>358.0</v>
      </c>
      <c r="P822" s="68">
        <v>0.0076</v>
      </c>
      <c r="Q822" s="68">
        <v>20949.56</v>
      </c>
      <c r="R822" s="68">
        <v>58.52</v>
      </c>
      <c r="S822" s="68">
        <v>0.0</v>
      </c>
      <c r="T822" s="68">
        <v>1.0</v>
      </c>
      <c r="U822" s="68">
        <v>19110.17</v>
      </c>
      <c r="V822" s="68">
        <v>1.0963</v>
      </c>
      <c r="W822" s="68">
        <v>0.9122</v>
      </c>
      <c r="X822" s="68">
        <v>0.0</v>
      </c>
      <c r="Y822" s="68">
        <v>0.0</v>
      </c>
      <c r="Z822" s="68">
        <v>0.0</v>
      </c>
      <c r="AA822" s="68">
        <v>0.0</v>
      </c>
      <c r="AB822" s="68">
        <v>0.0</v>
      </c>
      <c r="AC822" s="68">
        <v>0.0</v>
      </c>
      <c r="AD822" s="68">
        <v>0.0</v>
      </c>
      <c r="AE822" s="68">
        <v>0.0</v>
      </c>
      <c r="AF822" s="68">
        <v>0.0</v>
      </c>
      <c r="AG822" s="68">
        <v>0.0</v>
      </c>
      <c r="AH822" s="68">
        <v>0.0</v>
      </c>
      <c r="AI822" s="68">
        <v>0.0</v>
      </c>
      <c r="AJ822" s="68">
        <v>0.0</v>
      </c>
    </row>
    <row r="823" ht="15.75" customHeight="1">
      <c r="A823" s="3" t="s">
        <v>70</v>
      </c>
      <c r="B823" s="68" t="s">
        <v>779</v>
      </c>
      <c r="C823" s="68" t="s">
        <v>966</v>
      </c>
      <c r="D823" s="68" t="s">
        <v>781</v>
      </c>
      <c r="E823" s="68" t="s">
        <v>459</v>
      </c>
      <c r="F823" s="68" t="s">
        <v>774</v>
      </c>
      <c r="G823" s="68" t="s">
        <v>775</v>
      </c>
      <c r="H823" s="181">
        <v>45357.0</v>
      </c>
      <c r="J823" s="68" t="s">
        <v>232</v>
      </c>
      <c r="K823" s="68">
        <v>4805.0</v>
      </c>
      <c r="L823" s="68" t="s">
        <v>776</v>
      </c>
      <c r="M823" s="68" t="s">
        <v>8</v>
      </c>
      <c r="N823" s="68">
        <v>48275.0</v>
      </c>
      <c r="O823" s="68">
        <v>26.0</v>
      </c>
      <c r="P823" s="68">
        <v>5.0E-4</v>
      </c>
      <c r="Q823" s="68">
        <v>805.79</v>
      </c>
      <c r="R823" s="68">
        <v>30.99</v>
      </c>
      <c r="S823" s="68">
        <v>0.0</v>
      </c>
      <c r="T823" s="68">
        <v>0.0</v>
      </c>
      <c r="U823" s="68">
        <v>0.0</v>
      </c>
      <c r="V823" s="68">
        <v>0.0</v>
      </c>
      <c r="W823" s="68">
        <v>0.0</v>
      </c>
      <c r="X823" s="68">
        <v>0.0</v>
      </c>
      <c r="Y823" s="68">
        <v>0.0</v>
      </c>
      <c r="Z823" s="68">
        <v>0.0</v>
      </c>
      <c r="AA823" s="68">
        <v>0.0</v>
      </c>
      <c r="AB823" s="68">
        <v>0.0</v>
      </c>
      <c r="AC823" s="68">
        <v>0.0</v>
      </c>
      <c r="AD823" s="68">
        <v>0.0</v>
      </c>
      <c r="AE823" s="68">
        <v>0.0</v>
      </c>
      <c r="AF823" s="68">
        <v>0.0</v>
      </c>
      <c r="AG823" s="68">
        <v>0.0</v>
      </c>
      <c r="AH823" s="68">
        <v>0.0</v>
      </c>
      <c r="AI823" s="68">
        <v>0.0</v>
      </c>
      <c r="AJ823" s="68">
        <v>0.0</v>
      </c>
    </row>
    <row r="824" ht="15.75" customHeight="1">
      <c r="A824" s="3" t="s">
        <v>70</v>
      </c>
      <c r="B824" s="68" t="s">
        <v>771</v>
      </c>
      <c r="C824" s="68" t="s">
        <v>1099</v>
      </c>
      <c r="D824" s="68" t="s">
        <v>773</v>
      </c>
      <c r="E824" s="68" t="s">
        <v>459</v>
      </c>
      <c r="F824" s="68" t="s">
        <v>774</v>
      </c>
      <c r="G824" s="68" t="s">
        <v>775</v>
      </c>
      <c r="H824" s="181">
        <v>45628.0</v>
      </c>
      <c r="J824" s="68" t="s">
        <v>211</v>
      </c>
      <c r="K824" s="68">
        <v>200.0</v>
      </c>
      <c r="L824" s="68" t="s">
        <v>776</v>
      </c>
      <c r="M824" s="68" t="s">
        <v>8</v>
      </c>
      <c r="N824" s="68">
        <v>55076.0</v>
      </c>
      <c r="O824" s="68">
        <v>719.0</v>
      </c>
      <c r="P824" s="68">
        <v>0.0131</v>
      </c>
      <c r="Q824" s="68">
        <v>5306.2</v>
      </c>
      <c r="R824" s="68">
        <v>7.38</v>
      </c>
      <c r="S824" s="68">
        <v>0.0</v>
      </c>
      <c r="T824" s="68">
        <v>15.0</v>
      </c>
      <c r="U824" s="68">
        <v>44001.7</v>
      </c>
      <c r="V824" s="68">
        <v>0.1206</v>
      </c>
      <c r="W824" s="68">
        <v>8.2925</v>
      </c>
      <c r="X824" s="68">
        <v>0.0</v>
      </c>
      <c r="Y824" s="68">
        <v>0.0</v>
      </c>
      <c r="Z824" s="68">
        <v>0.0</v>
      </c>
      <c r="AA824" s="68">
        <v>0.0</v>
      </c>
      <c r="AB824" s="68">
        <v>0.0</v>
      </c>
      <c r="AC824" s="68">
        <v>0.0</v>
      </c>
      <c r="AD824" s="68">
        <v>0.0</v>
      </c>
      <c r="AE824" s="68">
        <v>0.0</v>
      </c>
      <c r="AF824" s="68">
        <v>0.0</v>
      </c>
      <c r="AG824" s="68">
        <v>0.0</v>
      </c>
      <c r="AH824" s="68">
        <v>0.0</v>
      </c>
      <c r="AI824" s="68">
        <v>0.0</v>
      </c>
      <c r="AJ824" s="68">
        <v>0.0</v>
      </c>
    </row>
    <row r="825" ht="15.75" customHeight="1">
      <c r="A825" s="3" t="s">
        <v>70</v>
      </c>
      <c r="B825" s="68" t="s">
        <v>779</v>
      </c>
      <c r="C825" s="68" t="s">
        <v>1100</v>
      </c>
      <c r="D825" s="68" t="s">
        <v>781</v>
      </c>
      <c r="E825" s="68" t="s">
        <v>459</v>
      </c>
      <c r="F825" s="68" t="s">
        <v>774</v>
      </c>
      <c r="G825" s="68" t="s">
        <v>775</v>
      </c>
      <c r="H825" s="181">
        <v>45628.0</v>
      </c>
      <c r="J825" s="68" t="s">
        <v>413</v>
      </c>
      <c r="K825" s="68">
        <v>1000.0</v>
      </c>
      <c r="L825" s="68" t="s">
        <v>776</v>
      </c>
      <c r="M825" s="68" t="s">
        <v>8</v>
      </c>
      <c r="N825" s="68">
        <v>59272.0</v>
      </c>
      <c r="O825" s="68">
        <v>172.0</v>
      </c>
      <c r="P825" s="68">
        <v>0.0029</v>
      </c>
      <c r="Q825" s="68">
        <v>9075.52</v>
      </c>
      <c r="R825" s="68">
        <v>52.76</v>
      </c>
      <c r="S825" s="68">
        <v>0.0</v>
      </c>
      <c r="T825" s="68">
        <v>1.0</v>
      </c>
      <c r="U825" s="68">
        <v>23932.2</v>
      </c>
      <c r="V825" s="68">
        <v>0.3792</v>
      </c>
      <c r="W825" s="68">
        <v>2.637</v>
      </c>
      <c r="X825" s="68">
        <v>0.0</v>
      </c>
      <c r="Y825" s="68">
        <v>0.0</v>
      </c>
      <c r="Z825" s="68">
        <v>0.0</v>
      </c>
      <c r="AA825" s="68">
        <v>0.0</v>
      </c>
      <c r="AB825" s="68">
        <v>0.0</v>
      </c>
      <c r="AC825" s="68">
        <v>0.0</v>
      </c>
      <c r="AD825" s="68">
        <v>0.0</v>
      </c>
      <c r="AE825" s="68">
        <v>0.0</v>
      </c>
      <c r="AF825" s="68">
        <v>0.0</v>
      </c>
      <c r="AG825" s="68">
        <v>0.0</v>
      </c>
      <c r="AH825" s="68">
        <v>0.0</v>
      </c>
      <c r="AI825" s="68">
        <v>0.0</v>
      </c>
      <c r="AJ825" s="68">
        <v>0.0</v>
      </c>
    </row>
    <row r="826" ht="15.75" customHeight="1">
      <c r="A826" s="3" t="s">
        <v>70</v>
      </c>
      <c r="B826" s="68" t="s">
        <v>771</v>
      </c>
      <c r="C826" s="68" t="s">
        <v>1101</v>
      </c>
      <c r="D826" s="68" t="s">
        <v>773</v>
      </c>
      <c r="E826" s="68" t="s">
        <v>459</v>
      </c>
      <c r="F826" s="68" t="s">
        <v>774</v>
      </c>
      <c r="G826" s="68" t="s">
        <v>775</v>
      </c>
      <c r="H826" s="181">
        <v>45632.0</v>
      </c>
      <c r="J826" s="68" t="s">
        <v>128</v>
      </c>
      <c r="K826" s="68">
        <v>1000.0</v>
      </c>
      <c r="L826" s="27">
        <v>0.0540821695044958</v>
      </c>
      <c r="M826" s="68" t="s">
        <v>8</v>
      </c>
      <c r="N826" s="68">
        <v>60062.0</v>
      </c>
      <c r="O826" s="68">
        <v>332.0</v>
      </c>
      <c r="P826" s="68">
        <v>0.0055</v>
      </c>
      <c r="Q826" s="68">
        <v>12856.14</v>
      </c>
      <c r="R826" s="68">
        <v>38.72</v>
      </c>
      <c r="S826" s="68">
        <v>0.0</v>
      </c>
      <c r="T826" s="68">
        <v>9.0</v>
      </c>
      <c r="U826" s="68">
        <v>212428.81</v>
      </c>
      <c r="V826" s="68">
        <v>0.0605</v>
      </c>
      <c r="W826" s="68">
        <v>16.5235</v>
      </c>
      <c r="X826" s="68">
        <v>0.0</v>
      </c>
      <c r="Y826" s="68">
        <v>0.0</v>
      </c>
      <c r="Z826" s="68">
        <v>0.0</v>
      </c>
      <c r="AA826" s="68">
        <v>0.0</v>
      </c>
      <c r="AB826" s="68">
        <v>0.0</v>
      </c>
      <c r="AC826" s="68">
        <v>0.0</v>
      </c>
      <c r="AD826" s="68">
        <v>0.0</v>
      </c>
      <c r="AE826" s="68">
        <v>0.0</v>
      </c>
      <c r="AF826" s="68">
        <v>0.0</v>
      </c>
      <c r="AG826" s="68">
        <v>0.0</v>
      </c>
      <c r="AH826" s="68">
        <v>0.0</v>
      </c>
      <c r="AI826" s="68">
        <v>0.0</v>
      </c>
      <c r="AJ826" s="68">
        <v>0.0</v>
      </c>
    </row>
    <row r="827" ht="15.75" customHeight="1">
      <c r="A827" s="3" t="s">
        <v>70</v>
      </c>
      <c r="B827" s="68" t="s">
        <v>771</v>
      </c>
      <c r="C827" s="68" t="s">
        <v>1064</v>
      </c>
      <c r="D827" s="68" t="s">
        <v>773</v>
      </c>
      <c r="E827" s="68" t="s">
        <v>459</v>
      </c>
      <c r="F827" s="68" t="s">
        <v>774</v>
      </c>
      <c r="G827" s="68" t="s">
        <v>775</v>
      </c>
      <c r="H827" s="181">
        <v>45615.0</v>
      </c>
      <c r="J827" s="68" t="s">
        <v>413</v>
      </c>
      <c r="K827" s="68">
        <v>2240.0</v>
      </c>
      <c r="L827" s="27">
        <v>0.20916062442726</v>
      </c>
      <c r="M827" s="68" t="s">
        <v>8</v>
      </c>
      <c r="N827" s="68">
        <v>77846.0</v>
      </c>
      <c r="O827" s="68">
        <v>1079.0</v>
      </c>
      <c r="P827" s="68">
        <v>0.0139</v>
      </c>
      <c r="Q827" s="68">
        <v>57645.71</v>
      </c>
      <c r="R827" s="68">
        <v>53.43</v>
      </c>
      <c r="S827" s="68">
        <v>0.0</v>
      </c>
      <c r="T827" s="68">
        <v>15.0</v>
      </c>
      <c r="U827" s="68">
        <v>207529.65</v>
      </c>
      <c r="V827" s="68">
        <v>0.2778</v>
      </c>
      <c r="W827" s="68">
        <v>3.6001</v>
      </c>
      <c r="X827" s="68">
        <v>0.0</v>
      </c>
      <c r="Y827" s="68">
        <v>0.0</v>
      </c>
      <c r="Z827" s="68">
        <v>0.0</v>
      </c>
      <c r="AA827" s="68">
        <v>0.0</v>
      </c>
      <c r="AB827" s="68">
        <v>0.0</v>
      </c>
      <c r="AC827" s="68">
        <v>0.0</v>
      </c>
      <c r="AD827" s="68">
        <v>0.0</v>
      </c>
      <c r="AE827" s="68">
        <v>0.0</v>
      </c>
      <c r="AF827" s="68">
        <v>0.0</v>
      </c>
      <c r="AG827" s="68">
        <v>0.0</v>
      </c>
      <c r="AH827" s="68">
        <v>0.0</v>
      </c>
      <c r="AI827" s="68">
        <v>0.0</v>
      </c>
      <c r="AJ827" s="68">
        <v>0.0</v>
      </c>
    </row>
    <row r="828" ht="15.75" customHeight="1">
      <c r="A828" s="3" t="s">
        <v>70</v>
      </c>
      <c r="B828" s="68" t="s">
        <v>771</v>
      </c>
      <c r="C828" s="68" t="s">
        <v>1068</v>
      </c>
      <c r="D828" s="68" t="s">
        <v>773</v>
      </c>
      <c r="E828" s="68" t="s">
        <v>462</v>
      </c>
      <c r="F828" s="68" t="s">
        <v>774</v>
      </c>
      <c r="H828" s="181">
        <v>45617.0</v>
      </c>
      <c r="J828" s="68" t="s">
        <v>413</v>
      </c>
      <c r="K828" s="68">
        <v>2604.0</v>
      </c>
      <c r="L828" s="27">
        <v>0.06442892044164</v>
      </c>
      <c r="M828" s="68" t="s">
        <v>8</v>
      </c>
      <c r="N828" s="68">
        <v>78055.0</v>
      </c>
      <c r="O828" s="68">
        <v>1512.0</v>
      </c>
      <c r="P828" s="68">
        <v>0.0194</v>
      </c>
      <c r="Q828" s="68">
        <v>16561.6</v>
      </c>
      <c r="R828" s="68">
        <v>10.95</v>
      </c>
      <c r="S828" s="68">
        <v>3014.0</v>
      </c>
      <c r="T828" s="68">
        <v>5.0</v>
      </c>
      <c r="U828" s="68">
        <v>74785.59</v>
      </c>
      <c r="V828" s="68">
        <v>0.2215</v>
      </c>
      <c r="W828" s="68">
        <v>4.5156</v>
      </c>
      <c r="X828" s="68">
        <v>3.0</v>
      </c>
      <c r="Y828" s="68">
        <v>0.6</v>
      </c>
      <c r="Z828" s="68">
        <v>45973.73</v>
      </c>
      <c r="AA828" s="68">
        <v>0.6147</v>
      </c>
      <c r="AB828" s="68">
        <v>13302.0</v>
      </c>
      <c r="AC828" s="68">
        <v>1245.05</v>
      </c>
      <c r="AD828" s="68">
        <v>0.0</v>
      </c>
      <c r="AE828" s="68">
        <v>0.0</v>
      </c>
      <c r="AF828" s="68">
        <v>0.0</v>
      </c>
      <c r="AG828" s="68">
        <v>0.0</v>
      </c>
      <c r="AH828" s="68">
        <v>0.0</v>
      </c>
      <c r="AI828" s="68">
        <v>0.0</v>
      </c>
      <c r="AJ828" s="68">
        <v>0.0</v>
      </c>
    </row>
    <row r="829" ht="15.75" customHeight="1">
      <c r="A829" s="3" t="s">
        <v>70</v>
      </c>
      <c r="B829" s="68" t="s">
        <v>771</v>
      </c>
      <c r="C829" s="68" t="s">
        <v>1102</v>
      </c>
      <c r="D829" s="68" t="s">
        <v>773</v>
      </c>
      <c r="E829" s="68" t="s">
        <v>460</v>
      </c>
      <c r="F829" s="68" t="s">
        <v>778</v>
      </c>
      <c r="G829" s="68" t="s">
        <v>775</v>
      </c>
      <c r="H829" s="181">
        <v>45632.0</v>
      </c>
      <c r="J829" s="68" t="s">
        <v>211</v>
      </c>
      <c r="K829" s="68">
        <v>290.0</v>
      </c>
      <c r="L829" s="68" t="s">
        <v>776</v>
      </c>
      <c r="M829" s="68" t="s">
        <v>8</v>
      </c>
      <c r="N829" s="68">
        <v>79850.0</v>
      </c>
      <c r="O829" s="68">
        <v>893.0</v>
      </c>
      <c r="P829" s="68">
        <v>0.0112</v>
      </c>
      <c r="Q829" s="68">
        <v>3810.21</v>
      </c>
      <c r="R829" s="68">
        <v>4.27</v>
      </c>
      <c r="S829" s="68">
        <v>0.0</v>
      </c>
      <c r="T829" s="68">
        <v>10.0</v>
      </c>
      <c r="U829" s="68">
        <v>12902.55</v>
      </c>
      <c r="V829" s="68">
        <v>0.2953</v>
      </c>
      <c r="W829" s="68">
        <v>3.3863</v>
      </c>
      <c r="X829" s="68">
        <v>0.0</v>
      </c>
      <c r="Y829" s="68">
        <v>0.0</v>
      </c>
      <c r="Z829" s="68">
        <v>0.0</v>
      </c>
      <c r="AA829" s="68">
        <v>0.0</v>
      </c>
      <c r="AB829" s="68">
        <v>0.0</v>
      </c>
      <c r="AC829" s="68">
        <v>0.0</v>
      </c>
      <c r="AD829" s="68">
        <v>0.0</v>
      </c>
      <c r="AE829" s="68">
        <v>0.0</v>
      </c>
      <c r="AF829" s="68">
        <v>0.0</v>
      </c>
      <c r="AG829" s="68">
        <v>0.0</v>
      </c>
      <c r="AH829" s="68">
        <v>0.0</v>
      </c>
      <c r="AI829" s="68">
        <v>0.0</v>
      </c>
      <c r="AJ829" s="68">
        <v>0.0</v>
      </c>
    </row>
    <row r="830" ht="15.75" customHeight="1">
      <c r="A830" s="3" t="s">
        <v>70</v>
      </c>
      <c r="B830" s="68" t="s">
        <v>771</v>
      </c>
      <c r="C830" s="68" t="s">
        <v>862</v>
      </c>
      <c r="D830" s="68" t="s">
        <v>773</v>
      </c>
      <c r="E830" s="68" t="s">
        <v>463</v>
      </c>
      <c r="F830" s="68" t="s">
        <v>774</v>
      </c>
      <c r="H830" s="181">
        <v>45309.0</v>
      </c>
      <c r="J830" s="68" t="s">
        <v>128</v>
      </c>
      <c r="K830" s="68">
        <v>41239.42</v>
      </c>
      <c r="M830" s="68" t="s">
        <v>8</v>
      </c>
      <c r="N830" s="68">
        <v>80535.0</v>
      </c>
      <c r="O830" s="68">
        <v>299.0</v>
      </c>
      <c r="P830" s="68">
        <v>0.0037</v>
      </c>
      <c r="Q830" s="68">
        <v>9306.34</v>
      </c>
      <c r="R830" s="68">
        <v>31.12</v>
      </c>
      <c r="S830" s="68">
        <v>1339.0</v>
      </c>
      <c r="T830" s="68">
        <v>5.0</v>
      </c>
      <c r="U830" s="68">
        <v>90160.17</v>
      </c>
      <c r="V830" s="68">
        <v>0.1032</v>
      </c>
      <c r="W830" s="68">
        <v>9.688</v>
      </c>
      <c r="X830" s="68">
        <v>4.0</v>
      </c>
      <c r="Y830" s="68">
        <v>0.8</v>
      </c>
      <c r="Z830" s="68">
        <v>74736.44</v>
      </c>
      <c r="AA830" s="68">
        <v>0.8289</v>
      </c>
      <c r="AB830" s="68">
        <v>0.0</v>
      </c>
      <c r="AC830" s="68">
        <v>0.0</v>
      </c>
      <c r="AD830" s="68">
        <v>0.0</v>
      </c>
      <c r="AE830" s="68">
        <v>0.0</v>
      </c>
      <c r="AF830" s="68">
        <v>0.0</v>
      </c>
      <c r="AG830" s="68">
        <v>0.0</v>
      </c>
      <c r="AH830" s="68">
        <v>0.0</v>
      </c>
      <c r="AI830" s="68">
        <v>0.0</v>
      </c>
      <c r="AJ830" s="68">
        <v>0.0</v>
      </c>
    </row>
    <row r="831" ht="15.75" customHeight="1">
      <c r="A831" s="3" t="s">
        <v>70</v>
      </c>
      <c r="B831" s="68" t="s">
        <v>779</v>
      </c>
      <c r="C831" s="68" t="s">
        <v>877</v>
      </c>
      <c r="D831" s="68" t="s">
        <v>781</v>
      </c>
      <c r="E831" s="68" t="s">
        <v>461</v>
      </c>
      <c r="F831" s="68" t="s">
        <v>774</v>
      </c>
      <c r="H831" s="181">
        <v>45260.0</v>
      </c>
      <c r="J831" s="68" t="s">
        <v>196</v>
      </c>
      <c r="K831" s="68">
        <v>3100.0</v>
      </c>
      <c r="L831" s="27">
        <v>0.177938677369201</v>
      </c>
      <c r="M831" s="68" t="s">
        <v>8</v>
      </c>
      <c r="N831" s="68">
        <v>93098.0</v>
      </c>
      <c r="O831" s="68">
        <v>764.0</v>
      </c>
      <c r="P831" s="68">
        <v>0.0082</v>
      </c>
      <c r="Q831" s="68">
        <v>23485.35</v>
      </c>
      <c r="R831" s="68">
        <v>30.74</v>
      </c>
      <c r="S831" s="68">
        <v>1696.0</v>
      </c>
      <c r="T831" s="68">
        <v>1.0</v>
      </c>
      <c r="U831" s="68">
        <v>29796.62</v>
      </c>
      <c r="V831" s="68">
        <v>0.7882</v>
      </c>
      <c r="W831" s="68">
        <v>1.2687</v>
      </c>
      <c r="X831" s="68">
        <v>1.0</v>
      </c>
      <c r="Y831" s="68">
        <v>1.0</v>
      </c>
      <c r="Z831" s="68">
        <v>29796.62</v>
      </c>
      <c r="AA831" s="68">
        <v>1.0</v>
      </c>
      <c r="AB831" s="68">
        <v>27545.0</v>
      </c>
      <c r="AC831" s="68">
        <v>852.62</v>
      </c>
      <c r="AD831" s="68">
        <v>0.0</v>
      </c>
      <c r="AE831" s="68">
        <v>0.0</v>
      </c>
      <c r="AF831" s="68">
        <v>0.0</v>
      </c>
      <c r="AG831" s="68">
        <v>0.0</v>
      </c>
      <c r="AH831" s="68">
        <v>0.0</v>
      </c>
      <c r="AI831" s="68">
        <v>0.0</v>
      </c>
      <c r="AJ831" s="68">
        <v>0.0</v>
      </c>
    </row>
    <row r="832" ht="15.75" customHeight="1">
      <c r="A832" s="3" t="s">
        <v>70</v>
      </c>
      <c r="B832" s="68" t="s">
        <v>779</v>
      </c>
      <c r="C832" s="68" t="s">
        <v>883</v>
      </c>
      <c r="D832" s="68" t="s">
        <v>781</v>
      </c>
      <c r="E832" s="68" t="s">
        <v>462</v>
      </c>
      <c r="F832" s="68" t="s">
        <v>774</v>
      </c>
      <c r="H832" s="181">
        <v>45336.0</v>
      </c>
      <c r="J832" s="68" t="s">
        <v>134</v>
      </c>
      <c r="K832" s="68">
        <v>4650.0</v>
      </c>
      <c r="L832" s="27">
        <v>0.208264056190831</v>
      </c>
      <c r="M832" s="68" t="s">
        <v>8</v>
      </c>
      <c r="N832" s="68">
        <v>95787.0</v>
      </c>
      <c r="O832" s="68">
        <v>1980.0</v>
      </c>
      <c r="P832" s="68">
        <v>0.0207</v>
      </c>
      <c r="Q832" s="68">
        <v>37195.84</v>
      </c>
      <c r="R832" s="68">
        <v>18.79</v>
      </c>
      <c r="S832" s="68">
        <v>4062.0</v>
      </c>
      <c r="T832" s="68">
        <v>6.0</v>
      </c>
      <c r="U832" s="68">
        <v>144287.3</v>
      </c>
      <c r="V832" s="68">
        <v>0.2578</v>
      </c>
      <c r="W832" s="68">
        <v>3.8791</v>
      </c>
      <c r="X832" s="68">
        <v>5.0</v>
      </c>
      <c r="Y832" s="68">
        <v>0.8333</v>
      </c>
      <c r="Z832" s="68">
        <v>113355.94</v>
      </c>
      <c r="AA832" s="68">
        <v>0.7856</v>
      </c>
      <c r="AB832" s="68">
        <v>22669.0</v>
      </c>
      <c r="AC832" s="68">
        <v>1640.82</v>
      </c>
      <c r="AD832" s="68">
        <v>0.0</v>
      </c>
      <c r="AE832" s="68">
        <v>0.0</v>
      </c>
      <c r="AF832" s="68">
        <v>0.0</v>
      </c>
      <c r="AG832" s="68">
        <v>0.0</v>
      </c>
      <c r="AH832" s="68">
        <v>0.0</v>
      </c>
      <c r="AI832" s="68">
        <v>0.0</v>
      </c>
      <c r="AJ832" s="68">
        <v>0.0</v>
      </c>
    </row>
    <row r="833" ht="15.75" customHeight="1">
      <c r="A833" s="3" t="s">
        <v>70</v>
      </c>
      <c r="B833" s="68" t="s">
        <v>771</v>
      </c>
      <c r="C833" s="68" t="s">
        <v>1103</v>
      </c>
      <c r="D833" s="68" t="s">
        <v>773</v>
      </c>
      <c r="E833" s="68" t="s">
        <v>463</v>
      </c>
      <c r="F833" s="68" t="s">
        <v>774</v>
      </c>
      <c r="H833" s="181">
        <v>45632.0</v>
      </c>
      <c r="J833" s="68" t="s">
        <v>140</v>
      </c>
      <c r="K833" s="68">
        <v>1000.0</v>
      </c>
      <c r="M833" s="68" t="s">
        <v>8</v>
      </c>
      <c r="N833" s="68">
        <v>99025.0</v>
      </c>
      <c r="O833" s="68">
        <v>166.0</v>
      </c>
      <c r="P833" s="68">
        <v>0.0017</v>
      </c>
      <c r="Q833" s="68">
        <v>5657.09</v>
      </c>
      <c r="R833" s="68">
        <v>34.08</v>
      </c>
      <c r="S833" s="68">
        <v>372.0</v>
      </c>
      <c r="T833" s="68">
        <v>1.0</v>
      </c>
      <c r="U833" s="68">
        <v>29796.61</v>
      </c>
      <c r="V833" s="68">
        <v>0.1899</v>
      </c>
      <c r="W833" s="68">
        <v>5.2671</v>
      </c>
      <c r="X833" s="68">
        <v>1.0</v>
      </c>
      <c r="Y833" s="68">
        <v>1.0</v>
      </c>
      <c r="Z833" s="68">
        <v>29796.61</v>
      </c>
      <c r="AA833" s="68">
        <v>1.0</v>
      </c>
      <c r="AB833" s="68">
        <v>0.0</v>
      </c>
      <c r="AC833" s="68">
        <v>0.0</v>
      </c>
      <c r="AD833" s="68">
        <v>0.0</v>
      </c>
      <c r="AE833" s="68">
        <v>0.0</v>
      </c>
      <c r="AF833" s="68">
        <v>0.0</v>
      </c>
      <c r="AG833" s="68">
        <v>0.0</v>
      </c>
      <c r="AH833" s="68">
        <v>0.0</v>
      </c>
      <c r="AI833" s="68">
        <v>0.0</v>
      </c>
      <c r="AJ833" s="68">
        <v>0.0</v>
      </c>
    </row>
    <row r="834" ht="15.75" customHeight="1">
      <c r="A834" s="3" t="s">
        <v>70</v>
      </c>
      <c r="B834" s="68" t="s">
        <v>779</v>
      </c>
      <c r="C834" s="68" t="s">
        <v>905</v>
      </c>
      <c r="D834" s="68" t="s">
        <v>781</v>
      </c>
      <c r="E834" s="68" t="s">
        <v>459</v>
      </c>
      <c r="F834" s="68" t="s">
        <v>774</v>
      </c>
      <c r="G834" s="68" t="s">
        <v>775</v>
      </c>
      <c r="H834" s="181">
        <v>45341.0</v>
      </c>
      <c r="J834" s="68" t="s">
        <v>134</v>
      </c>
      <c r="K834" s="68">
        <v>3000.0</v>
      </c>
      <c r="L834" s="27">
        <v>0.163382538047831</v>
      </c>
      <c r="M834" s="68" t="s">
        <v>8</v>
      </c>
      <c r="N834" s="68">
        <v>113987.0</v>
      </c>
      <c r="O834" s="68">
        <v>442.0</v>
      </c>
      <c r="P834" s="68">
        <v>0.0039</v>
      </c>
      <c r="Q834" s="68">
        <v>31419.09</v>
      </c>
      <c r="R834" s="68">
        <v>71.08</v>
      </c>
      <c r="S834" s="68">
        <v>0.0</v>
      </c>
      <c r="T834" s="68">
        <v>3.0</v>
      </c>
      <c r="U834" s="68">
        <v>54872.88</v>
      </c>
      <c r="V834" s="68">
        <v>0.5726</v>
      </c>
      <c r="W834" s="68">
        <v>1.7465</v>
      </c>
      <c r="X834" s="68">
        <v>0.0</v>
      </c>
      <c r="Y834" s="68">
        <v>0.0</v>
      </c>
      <c r="Z834" s="68">
        <v>0.0</v>
      </c>
      <c r="AA834" s="68">
        <v>0.0</v>
      </c>
      <c r="AB834" s="68">
        <v>0.0</v>
      </c>
      <c r="AC834" s="68">
        <v>0.0</v>
      </c>
      <c r="AD834" s="68">
        <v>0.0</v>
      </c>
      <c r="AE834" s="68">
        <v>0.0</v>
      </c>
      <c r="AF834" s="68">
        <v>0.0</v>
      </c>
      <c r="AG834" s="68">
        <v>0.0</v>
      </c>
      <c r="AH834" s="68">
        <v>0.0</v>
      </c>
      <c r="AI834" s="68">
        <v>0.0</v>
      </c>
      <c r="AJ834" s="68">
        <v>0.0</v>
      </c>
    </row>
    <row r="835" ht="15.75" customHeight="1">
      <c r="A835" s="3" t="s">
        <v>70</v>
      </c>
      <c r="B835" s="68" t="s">
        <v>771</v>
      </c>
      <c r="C835" s="68" t="s">
        <v>789</v>
      </c>
      <c r="D835" s="68" t="s">
        <v>773</v>
      </c>
      <c r="E835" s="68" t="s">
        <v>459</v>
      </c>
      <c r="F835" s="68" t="s">
        <v>774</v>
      </c>
      <c r="G835" s="68" t="s">
        <v>775</v>
      </c>
      <c r="H835" s="181">
        <v>45260.0</v>
      </c>
      <c r="J835" s="68" t="s">
        <v>128</v>
      </c>
      <c r="K835" s="68">
        <v>11469.35</v>
      </c>
      <c r="L835" s="27">
        <v>0.445669802140772</v>
      </c>
      <c r="M835" s="68" t="s">
        <v>8</v>
      </c>
      <c r="N835" s="68">
        <v>114070.0</v>
      </c>
      <c r="O835" s="68">
        <v>409.0</v>
      </c>
      <c r="P835" s="68">
        <v>0.0036</v>
      </c>
      <c r="Q835" s="68">
        <v>9771.93</v>
      </c>
      <c r="R835" s="68">
        <v>23.89</v>
      </c>
      <c r="S835" s="68">
        <v>0.0</v>
      </c>
      <c r="T835" s="68">
        <v>17.0</v>
      </c>
      <c r="U835" s="68">
        <v>332186.44</v>
      </c>
      <c r="V835" s="68">
        <v>0.0294</v>
      </c>
      <c r="W835" s="68">
        <v>33.9939</v>
      </c>
      <c r="X835" s="68">
        <v>0.0</v>
      </c>
      <c r="Y835" s="68">
        <v>0.0</v>
      </c>
      <c r="Z835" s="68">
        <v>0.0</v>
      </c>
      <c r="AA835" s="68">
        <v>0.0</v>
      </c>
      <c r="AB835" s="68">
        <v>0.0</v>
      </c>
      <c r="AC835" s="68">
        <v>0.0</v>
      </c>
      <c r="AD835" s="68">
        <v>0.0</v>
      </c>
      <c r="AE835" s="68">
        <v>0.0</v>
      </c>
      <c r="AF835" s="68">
        <v>0.0</v>
      </c>
      <c r="AG835" s="68">
        <v>0.0</v>
      </c>
      <c r="AH835" s="68">
        <v>0.0</v>
      </c>
      <c r="AI835" s="68">
        <v>0.0</v>
      </c>
      <c r="AJ835" s="68">
        <v>0.0</v>
      </c>
    </row>
    <row r="836" ht="15.75" customHeight="1">
      <c r="A836" s="3" t="s">
        <v>70</v>
      </c>
      <c r="B836" s="68" t="s">
        <v>771</v>
      </c>
      <c r="C836" s="68" t="s">
        <v>1013</v>
      </c>
      <c r="D836" s="68" t="s">
        <v>773</v>
      </c>
      <c r="E836" s="68" t="s">
        <v>459</v>
      </c>
      <c r="F836" s="68" t="s">
        <v>774</v>
      </c>
      <c r="G836" s="68" t="s">
        <v>775</v>
      </c>
      <c r="H836" s="181">
        <v>45301.0</v>
      </c>
      <c r="J836" s="68" t="s">
        <v>158</v>
      </c>
      <c r="K836" s="68">
        <v>500.0</v>
      </c>
      <c r="L836" s="68" t="s">
        <v>776</v>
      </c>
      <c r="M836" s="68" t="s">
        <v>8</v>
      </c>
      <c r="N836" s="68">
        <v>124183.0</v>
      </c>
      <c r="O836" s="68">
        <v>602.0</v>
      </c>
      <c r="P836" s="68">
        <v>0.0048</v>
      </c>
      <c r="Q836" s="68">
        <v>9968.01</v>
      </c>
      <c r="R836" s="68">
        <v>16.56</v>
      </c>
      <c r="S836" s="68">
        <v>0.0</v>
      </c>
      <c r="T836" s="68">
        <v>4.0</v>
      </c>
      <c r="U836" s="68">
        <v>16842.39</v>
      </c>
      <c r="V836" s="68">
        <v>0.5918</v>
      </c>
      <c r="W836" s="68">
        <v>1.6896</v>
      </c>
      <c r="X836" s="68">
        <v>0.0</v>
      </c>
      <c r="Y836" s="68">
        <v>0.0</v>
      </c>
      <c r="Z836" s="68">
        <v>0.0</v>
      </c>
      <c r="AA836" s="68">
        <v>0.0</v>
      </c>
      <c r="AB836" s="68">
        <v>0.0</v>
      </c>
      <c r="AC836" s="68">
        <v>0.0</v>
      </c>
      <c r="AD836" s="68">
        <v>0.0</v>
      </c>
      <c r="AE836" s="68">
        <v>0.0</v>
      </c>
      <c r="AF836" s="68">
        <v>0.0</v>
      </c>
      <c r="AG836" s="68">
        <v>0.0</v>
      </c>
      <c r="AH836" s="68">
        <v>0.0</v>
      </c>
      <c r="AI836" s="68">
        <v>0.0</v>
      </c>
      <c r="AJ836" s="68">
        <v>0.0</v>
      </c>
    </row>
    <row r="837" ht="15.75" customHeight="1">
      <c r="A837" s="3" t="s">
        <v>70</v>
      </c>
      <c r="B837" s="68" t="s">
        <v>779</v>
      </c>
      <c r="C837" s="68" t="s">
        <v>1055</v>
      </c>
      <c r="D837" s="68" t="s">
        <v>781</v>
      </c>
      <c r="E837" s="68" t="s">
        <v>463</v>
      </c>
      <c r="F837" s="68" t="s">
        <v>774</v>
      </c>
      <c r="H837" s="181">
        <v>45280.0</v>
      </c>
      <c r="J837" s="68" t="s">
        <v>134</v>
      </c>
      <c r="K837" s="68">
        <v>1000.0</v>
      </c>
      <c r="M837" s="68" t="s">
        <v>8</v>
      </c>
      <c r="N837" s="68">
        <v>141341.0</v>
      </c>
      <c r="O837" s="68">
        <v>234.0</v>
      </c>
      <c r="P837" s="68">
        <v>0.0017</v>
      </c>
      <c r="Q837" s="68">
        <v>5048.87</v>
      </c>
      <c r="R837" s="68">
        <v>21.58</v>
      </c>
      <c r="S837" s="68">
        <v>553.0</v>
      </c>
      <c r="T837" s="68">
        <v>0.0</v>
      </c>
      <c r="U837" s="68">
        <v>0.0</v>
      </c>
      <c r="V837" s="68">
        <v>0.0</v>
      </c>
      <c r="W837" s="68">
        <v>0.0</v>
      </c>
      <c r="X837" s="68">
        <v>0.0</v>
      </c>
      <c r="Y837" s="68">
        <v>0.0</v>
      </c>
      <c r="Z837" s="68">
        <v>0.0</v>
      </c>
      <c r="AA837" s="68">
        <v>0.0</v>
      </c>
      <c r="AB837" s="68">
        <v>0.0</v>
      </c>
      <c r="AC837" s="68">
        <v>0.0</v>
      </c>
      <c r="AD837" s="68">
        <v>0.0</v>
      </c>
      <c r="AE837" s="68">
        <v>0.0</v>
      </c>
      <c r="AF837" s="68">
        <v>0.0</v>
      </c>
      <c r="AG837" s="68">
        <v>0.0</v>
      </c>
      <c r="AH837" s="68">
        <v>0.0</v>
      </c>
      <c r="AI837" s="68">
        <v>0.0</v>
      </c>
      <c r="AJ837" s="68">
        <v>0.0</v>
      </c>
    </row>
    <row r="838" ht="15.75" customHeight="1">
      <c r="A838" s="3" t="s">
        <v>70</v>
      </c>
      <c r="B838" s="68" t="s">
        <v>779</v>
      </c>
      <c r="C838" s="68" t="s">
        <v>904</v>
      </c>
      <c r="D838" s="68" t="s">
        <v>781</v>
      </c>
      <c r="E838" s="68" t="s">
        <v>459</v>
      </c>
      <c r="F838" s="68" t="s">
        <v>774</v>
      </c>
      <c r="G838" s="68" t="s">
        <v>775</v>
      </c>
      <c r="H838" s="181">
        <v>45301.0</v>
      </c>
      <c r="J838" s="68" t="s">
        <v>134</v>
      </c>
      <c r="K838" s="68">
        <v>1000.0</v>
      </c>
      <c r="L838" s="27">
        <v>0.179068054148632</v>
      </c>
      <c r="M838" s="68" t="s">
        <v>8</v>
      </c>
      <c r="N838" s="68">
        <v>144858.0</v>
      </c>
      <c r="O838" s="68">
        <v>517.0</v>
      </c>
      <c r="P838" s="68">
        <v>0.0036</v>
      </c>
      <c r="Q838" s="68">
        <v>34938.1</v>
      </c>
      <c r="R838" s="68">
        <v>67.58</v>
      </c>
      <c r="S838" s="68">
        <v>0.0</v>
      </c>
      <c r="T838" s="68">
        <v>3.0</v>
      </c>
      <c r="U838" s="68">
        <v>51864.4</v>
      </c>
      <c r="V838" s="68">
        <v>0.6736</v>
      </c>
      <c r="W838" s="68">
        <v>1.4845</v>
      </c>
      <c r="X838" s="68">
        <v>0.0</v>
      </c>
      <c r="Y838" s="68">
        <v>0.0</v>
      </c>
      <c r="Z838" s="68">
        <v>0.0</v>
      </c>
      <c r="AA838" s="68">
        <v>0.0</v>
      </c>
      <c r="AB838" s="68">
        <v>0.0</v>
      </c>
      <c r="AC838" s="68">
        <v>0.0</v>
      </c>
      <c r="AD838" s="68">
        <v>0.0</v>
      </c>
      <c r="AE838" s="68">
        <v>0.0</v>
      </c>
      <c r="AF838" s="68">
        <v>0.0</v>
      </c>
      <c r="AG838" s="68">
        <v>0.0</v>
      </c>
      <c r="AH838" s="68">
        <v>0.0</v>
      </c>
      <c r="AI838" s="68">
        <v>0.0</v>
      </c>
      <c r="AJ838" s="68">
        <v>0.0</v>
      </c>
    </row>
    <row r="839" ht="15.75" customHeight="1">
      <c r="A839" s="3" t="s">
        <v>70</v>
      </c>
      <c r="B839" s="68" t="s">
        <v>771</v>
      </c>
      <c r="C839" s="68" t="s">
        <v>1104</v>
      </c>
      <c r="D839" s="68" t="s">
        <v>773</v>
      </c>
      <c r="E839" s="68" t="s">
        <v>463</v>
      </c>
      <c r="F839" s="68" t="s">
        <v>774</v>
      </c>
      <c r="H839" s="181">
        <v>45632.0</v>
      </c>
      <c r="J839" s="68" t="s">
        <v>413</v>
      </c>
      <c r="K839" s="68">
        <v>1000.0</v>
      </c>
      <c r="M839" s="68" t="s">
        <v>8</v>
      </c>
      <c r="N839" s="68">
        <v>172996.0</v>
      </c>
      <c r="O839" s="68">
        <v>367.0</v>
      </c>
      <c r="P839" s="68">
        <v>0.0021</v>
      </c>
      <c r="Q839" s="68">
        <v>2451.64</v>
      </c>
      <c r="R839" s="68">
        <v>6.68</v>
      </c>
      <c r="S839" s="68">
        <v>654.0</v>
      </c>
      <c r="T839" s="68">
        <v>1.0</v>
      </c>
      <c r="U839" s="68">
        <v>1863.56</v>
      </c>
      <c r="V839" s="68">
        <v>1.3156</v>
      </c>
      <c r="W839" s="68">
        <v>0.7601</v>
      </c>
      <c r="X839" s="68">
        <v>1.0</v>
      </c>
      <c r="Y839" s="68">
        <v>1.0</v>
      </c>
      <c r="Z839" s="68">
        <v>1863.56</v>
      </c>
      <c r="AA839" s="68">
        <v>1.0</v>
      </c>
      <c r="AB839" s="68">
        <v>0.0</v>
      </c>
      <c r="AC839" s="68">
        <v>0.0</v>
      </c>
      <c r="AD839" s="68">
        <v>0.0</v>
      </c>
      <c r="AE839" s="68">
        <v>0.0</v>
      </c>
      <c r="AF839" s="68">
        <v>0.0</v>
      </c>
      <c r="AG839" s="68">
        <v>0.0</v>
      </c>
      <c r="AH839" s="68">
        <v>0.0</v>
      </c>
      <c r="AI839" s="68">
        <v>0.0</v>
      </c>
      <c r="AJ839" s="68">
        <v>0.0</v>
      </c>
    </row>
    <row r="840" ht="15.75" customHeight="1">
      <c r="A840" s="3" t="s">
        <v>70</v>
      </c>
      <c r="B840" s="68" t="s">
        <v>771</v>
      </c>
      <c r="C840" s="68" t="s">
        <v>1001</v>
      </c>
      <c r="D840" s="68" t="s">
        <v>773</v>
      </c>
      <c r="E840" s="68" t="s">
        <v>460</v>
      </c>
      <c r="F840" s="68" t="s">
        <v>778</v>
      </c>
      <c r="G840" s="68" t="s">
        <v>775</v>
      </c>
      <c r="H840" s="181">
        <v>45525.0</v>
      </c>
      <c r="J840" s="68" t="s">
        <v>217</v>
      </c>
      <c r="K840" s="68">
        <v>200.0</v>
      </c>
      <c r="L840" s="68" t="s">
        <v>776</v>
      </c>
      <c r="M840" s="68" t="s">
        <v>8</v>
      </c>
      <c r="N840" s="68">
        <v>201739.0</v>
      </c>
      <c r="O840" s="68">
        <v>1093.0</v>
      </c>
      <c r="P840" s="68">
        <v>0.0054</v>
      </c>
      <c r="Q840" s="68">
        <v>4917.63</v>
      </c>
      <c r="R840" s="68">
        <v>4.5</v>
      </c>
      <c r="S840" s="68">
        <v>0.0</v>
      </c>
      <c r="T840" s="68">
        <v>16.0</v>
      </c>
      <c r="U840" s="68">
        <v>48321.21</v>
      </c>
      <c r="V840" s="68">
        <v>0.1018</v>
      </c>
      <c r="W840" s="68">
        <v>9.8261</v>
      </c>
      <c r="X840" s="68">
        <v>0.0</v>
      </c>
      <c r="Y840" s="68">
        <v>0.0</v>
      </c>
      <c r="Z840" s="68">
        <v>0.0</v>
      </c>
      <c r="AA840" s="68">
        <v>0.0</v>
      </c>
      <c r="AB840" s="68">
        <v>0.0</v>
      </c>
      <c r="AC840" s="68">
        <v>0.0</v>
      </c>
      <c r="AD840" s="68">
        <v>0.0</v>
      </c>
      <c r="AE840" s="68">
        <v>0.0</v>
      </c>
      <c r="AF840" s="68">
        <v>0.0</v>
      </c>
      <c r="AG840" s="68">
        <v>0.0</v>
      </c>
      <c r="AH840" s="68">
        <v>0.0</v>
      </c>
      <c r="AI840" s="68">
        <v>0.0</v>
      </c>
      <c r="AJ840" s="68">
        <v>0.0</v>
      </c>
    </row>
    <row r="841" ht="15.75" customHeight="1">
      <c r="A841" s="3" t="s">
        <v>70</v>
      </c>
      <c r="B841" s="68" t="s">
        <v>779</v>
      </c>
      <c r="C841" s="68" t="s">
        <v>1062</v>
      </c>
      <c r="D841" s="68" t="s">
        <v>781</v>
      </c>
      <c r="E841" s="68" t="s">
        <v>459</v>
      </c>
      <c r="F841" s="68" t="s">
        <v>774</v>
      </c>
      <c r="G841" s="68" t="s">
        <v>775</v>
      </c>
      <c r="H841" s="181">
        <v>45309.0</v>
      </c>
      <c r="J841" s="68" t="s">
        <v>128</v>
      </c>
      <c r="K841" s="68">
        <v>54985.92</v>
      </c>
      <c r="L841" s="27">
        <v>0.156848759928675</v>
      </c>
      <c r="M841" s="68" t="s">
        <v>8</v>
      </c>
      <c r="N841" s="68">
        <v>206819.0</v>
      </c>
      <c r="O841" s="68">
        <v>678.0</v>
      </c>
      <c r="P841" s="68">
        <v>0.0033</v>
      </c>
      <c r="Q841" s="68">
        <v>25614.18</v>
      </c>
      <c r="R841" s="68">
        <v>37.78</v>
      </c>
      <c r="S841" s="68">
        <v>0.0</v>
      </c>
      <c r="T841" s="68">
        <v>11.0</v>
      </c>
      <c r="U841" s="68">
        <v>219241.52</v>
      </c>
      <c r="V841" s="68">
        <v>0.1168</v>
      </c>
      <c r="W841" s="68">
        <v>8.5594</v>
      </c>
      <c r="X841" s="68">
        <v>0.0</v>
      </c>
      <c r="Y841" s="68">
        <v>0.0</v>
      </c>
      <c r="Z841" s="68">
        <v>0.0</v>
      </c>
      <c r="AA841" s="68">
        <v>0.0</v>
      </c>
      <c r="AB841" s="68">
        <v>0.0</v>
      </c>
      <c r="AC841" s="68">
        <v>0.0</v>
      </c>
      <c r="AD841" s="68">
        <v>0.0</v>
      </c>
      <c r="AE841" s="68">
        <v>0.0</v>
      </c>
      <c r="AF841" s="68">
        <v>0.0</v>
      </c>
      <c r="AG841" s="68">
        <v>0.0</v>
      </c>
      <c r="AH841" s="68">
        <v>0.0</v>
      </c>
      <c r="AI841" s="68">
        <v>0.0</v>
      </c>
      <c r="AJ841" s="68">
        <v>0.0</v>
      </c>
    </row>
    <row r="842" ht="15.75" customHeight="1">
      <c r="A842" s="3" t="s">
        <v>70</v>
      </c>
      <c r="B842" s="68" t="s">
        <v>771</v>
      </c>
      <c r="C842" s="68" t="s">
        <v>798</v>
      </c>
      <c r="D842" s="68" t="s">
        <v>773</v>
      </c>
      <c r="E842" s="68" t="s">
        <v>461</v>
      </c>
      <c r="F842" s="68" t="s">
        <v>774</v>
      </c>
      <c r="H842" s="181">
        <v>45260.0</v>
      </c>
      <c r="J842" s="68" t="s">
        <v>128</v>
      </c>
      <c r="K842" s="68">
        <v>54985.92</v>
      </c>
      <c r="L842" s="27">
        <v>0.629706629706629</v>
      </c>
      <c r="M842" s="68" t="s">
        <v>8</v>
      </c>
      <c r="N842" s="68">
        <v>251803.0</v>
      </c>
      <c r="O842" s="68">
        <v>850.0</v>
      </c>
      <c r="P842" s="68">
        <v>0.0034</v>
      </c>
      <c r="Q842" s="68">
        <v>16162.4</v>
      </c>
      <c r="R842" s="68">
        <v>19.01</v>
      </c>
      <c r="S842" s="68">
        <v>2037.0</v>
      </c>
      <c r="T842" s="68">
        <v>6.0</v>
      </c>
      <c r="U842" s="68">
        <v>79035.59</v>
      </c>
      <c r="V842" s="68">
        <v>0.2045</v>
      </c>
      <c r="W842" s="68">
        <v>4.8901</v>
      </c>
      <c r="X842" s="68">
        <v>6.0</v>
      </c>
      <c r="Y842" s="68">
        <v>1.0</v>
      </c>
      <c r="Z842" s="68">
        <v>79035.59</v>
      </c>
      <c r="AA842" s="68">
        <v>1.0</v>
      </c>
      <c r="AB842" s="68">
        <v>51218.0</v>
      </c>
      <c r="AC842" s="68">
        <v>315.56</v>
      </c>
      <c r="AD842" s="68">
        <v>0.0</v>
      </c>
      <c r="AE842" s="68">
        <v>0.0</v>
      </c>
      <c r="AF842" s="68">
        <v>0.0</v>
      </c>
      <c r="AG842" s="68">
        <v>0.0</v>
      </c>
      <c r="AH842" s="68">
        <v>0.0</v>
      </c>
      <c r="AI842" s="68">
        <v>0.0</v>
      </c>
      <c r="AJ842" s="68">
        <v>0.0</v>
      </c>
    </row>
    <row r="843" ht="15.75" customHeight="1">
      <c r="A843" s="3" t="s">
        <v>70</v>
      </c>
      <c r="B843" s="68" t="s">
        <v>771</v>
      </c>
      <c r="C843" s="68" t="s">
        <v>822</v>
      </c>
      <c r="D843" s="68" t="s">
        <v>773</v>
      </c>
      <c r="E843" s="68" t="s">
        <v>462</v>
      </c>
      <c r="F843" s="68" t="s">
        <v>774</v>
      </c>
      <c r="H843" s="181">
        <v>45303.0</v>
      </c>
      <c r="J843" s="68" t="s">
        <v>128</v>
      </c>
      <c r="K843" s="68">
        <v>27492.99</v>
      </c>
      <c r="L843" s="27">
        <v>0.304527750730282</v>
      </c>
      <c r="M843" s="68" t="s">
        <v>8</v>
      </c>
      <c r="N843" s="68">
        <v>251922.0</v>
      </c>
      <c r="O843" s="68">
        <v>1897.0</v>
      </c>
      <c r="P843" s="68">
        <v>0.0075</v>
      </c>
      <c r="Q843" s="68">
        <v>38633.15</v>
      </c>
      <c r="R843" s="68">
        <v>20.37</v>
      </c>
      <c r="S843" s="68">
        <v>3753.0</v>
      </c>
      <c r="T843" s="68">
        <v>5.0</v>
      </c>
      <c r="U843" s="68">
        <v>67497.46</v>
      </c>
      <c r="V843" s="68">
        <v>0.5724</v>
      </c>
      <c r="W843" s="68">
        <v>1.7471</v>
      </c>
      <c r="X843" s="68">
        <v>5.0</v>
      </c>
      <c r="Y843" s="68">
        <v>1.0</v>
      </c>
      <c r="Z843" s="68">
        <v>67497.46</v>
      </c>
      <c r="AA843" s="68">
        <v>1.0</v>
      </c>
      <c r="AB843" s="68">
        <v>32271.0</v>
      </c>
      <c r="AC843" s="68">
        <v>1197.15</v>
      </c>
      <c r="AD843" s="68">
        <v>0.0</v>
      </c>
      <c r="AE843" s="68">
        <v>0.0</v>
      </c>
      <c r="AF843" s="68">
        <v>0.0</v>
      </c>
      <c r="AG843" s="68">
        <v>0.0</v>
      </c>
      <c r="AH843" s="68">
        <v>0.0</v>
      </c>
      <c r="AI843" s="68">
        <v>0.0</v>
      </c>
      <c r="AJ843" s="68">
        <v>0.0</v>
      </c>
    </row>
    <row r="844" ht="15.75" customHeight="1">
      <c r="A844" s="3" t="s">
        <v>70</v>
      </c>
      <c r="B844" s="68" t="s">
        <v>771</v>
      </c>
      <c r="C844" s="68" t="s">
        <v>914</v>
      </c>
      <c r="D844" s="68" t="s">
        <v>773</v>
      </c>
      <c r="E844" s="68" t="s">
        <v>463</v>
      </c>
      <c r="F844" s="68" t="s">
        <v>774</v>
      </c>
      <c r="H844" s="181">
        <v>45355.0</v>
      </c>
      <c r="J844" s="68" t="s">
        <v>128</v>
      </c>
      <c r="K844" s="68">
        <v>1500.0</v>
      </c>
      <c r="M844" s="68" t="s">
        <v>8</v>
      </c>
      <c r="N844" s="68">
        <v>487124.0</v>
      </c>
      <c r="O844" s="68">
        <v>1457.0</v>
      </c>
      <c r="P844" s="68">
        <v>0.003</v>
      </c>
      <c r="Q844" s="68">
        <v>16635.04</v>
      </c>
      <c r="R844" s="68">
        <v>11.42</v>
      </c>
      <c r="S844" s="68">
        <v>3245.0</v>
      </c>
      <c r="T844" s="68">
        <v>7.0</v>
      </c>
      <c r="U844" s="68">
        <v>145550.85</v>
      </c>
      <c r="V844" s="68">
        <v>0.1143</v>
      </c>
      <c r="W844" s="68">
        <v>8.7497</v>
      </c>
      <c r="X844" s="68">
        <v>3.0</v>
      </c>
      <c r="Y844" s="68">
        <v>0.4286</v>
      </c>
      <c r="Z844" s="68">
        <v>70380.5</v>
      </c>
      <c r="AA844" s="68">
        <v>0.4835</v>
      </c>
      <c r="AB844" s="68">
        <v>0.0</v>
      </c>
      <c r="AC844" s="68">
        <v>0.0</v>
      </c>
      <c r="AD844" s="68">
        <v>0.0</v>
      </c>
      <c r="AE844" s="68">
        <v>0.0</v>
      </c>
      <c r="AF844" s="68">
        <v>0.0</v>
      </c>
      <c r="AG844" s="68">
        <v>0.0</v>
      </c>
      <c r="AH844" s="68">
        <v>0.0</v>
      </c>
      <c r="AI844" s="68">
        <v>0.0</v>
      </c>
      <c r="AJ844" s="68">
        <v>0.0</v>
      </c>
    </row>
    <row r="845" ht="15.75" customHeight="1">
      <c r="A845" s="3" t="s">
        <v>70</v>
      </c>
      <c r="B845" s="68" t="s">
        <v>771</v>
      </c>
      <c r="C845" s="68" t="s">
        <v>1066</v>
      </c>
      <c r="D845" s="68" t="s">
        <v>773</v>
      </c>
      <c r="E845" s="68" t="s">
        <v>460</v>
      </c>
      <c r="F845" s="68" t="s">
        <v>778</v>
      </c>
      <c r="G845" s="68" t="s">
        <v>775</v>
      </c>
      <c r="H845" s="181">
        <v>45356.0</v>
      </c>
      <c r="J845" s="68" t="s">
        <v>211</v>
      </c>
      <c r="K845" s="68">
        <v>1000.0</v>
      </c>
      <c r="L845" s="68" t="s">
        <v>776</v>
      </c>
      <c r="M845" s="68" t="s">
        <v>8</v>
      </c>
      <c r="N845" s="68">
        <v>612770.0</v>
      </c>
      <c r="O845" s="68">
        <v>2698.0</v>
      </c>
      <c r="P845" s="68">
        <v>0.0044</v>
      </c>
      <c r="Q845" s="68">
        <v>13825.2</v>
      </c>
      <c r="R845" s="68">
        <v>5.12</v>
      </c>
      <c r="S845" s="68">
        <v>0.0</v>
      </c>
      <c r="T845" s="68">
        <v>22.0</v>
      </c>
      <c r="U845" s="68">
        <v>130844.92</v>
      </c>
      <c r="V845" s="68">
        <v>0.1057</v>
      </c>
      <c r="W845" s="68">
        <v>9.4642</v>
      </c>
      <c r="X845" s="68">
        <v>0.0</v>
      </c>
      <c r="Y845" s="68">
        <v>0.0</v>
      </c>
      <c r="Z845" s="68">
        <v>0.0</v>
      </c>
      <c r="AA845" s="68">
        <v>0.0</v>
      </c>
      <c r="AB845" s="68">
        <v>0.0</v>
      </c>
      <c r="AC845" s="68">
        <v>0.0</v>
      </c>
      <c r="AD845" s="68">
        <v>0.0</v>
      </c>
      <c r="AE845" s="68">
        <v>0.0</v>
      </c>
      <c r="AF845" s="68">
        <v>0.0</v>
      </c>
      <c r="AG845" s="68">
        <v>0.0</v>
      </c>
      <c r="AH845" s="68">
        <v>0.0</v>
      </c>
      <c r="AI845" s="68">
        <v>0.0</v>
      </c>
      <c r="AJ845" s="68">
        <v>0.0</v>
      </c>
    </row>
    <row r="846" ht="15.75" customHeight="1">
      <c r="A846" s="3" t="s">
        <v>70</v>
      </c>
      <c r="B846" s="68" t="s">
        <v>779</v>
      </c>
      <c r="C846" s="68" t="s">
        <v>971</v>
      </c>
      <c r="D846" s="68" t="s">
        <v>781</v>
      </c>
      <c r="E846" s="68" t="s">
        <v>459</v>
      </c>
      <c r="F846" s="68" t="s">
        <v>774</v>
      </c>
      <c r="G846" s="68" t="s">
        <v>775</v>
      </c>
      <c r="H846" s="181">
        <v>45488.0</v>
      </c>
      <c r="J846" s="68" t="s">
        <v>90</v>
      </c>
      <c r="K846" s="68">
        <v>5000.0</v>
      </c>
      <c r="L846" s="27">
        <v>0.121691341408703</v>
      </c>
      <c r="M846" s="68" t="s">
        <v>8</v>
      </c>
      <c r="N846" s="68">
        <v>1202390.0</v>
      </c>
      <c r="O846" s="68">
        <v>2095.0</v>
      </c>
      <c r="P846" s="68">
        <v>0.0017</v>
      </c>
      <c r="Q846" s="68">
        <v>111843.19</v>
      </c>
      <c r="R846" s="68">
        <v>53.39</v>
      </c>
      <c r="S846" s="68">
        <v>0.0</v>
      </c>
      <c r="T846" s="68">
        <v>17.0</v>
      </c>
      <c r="U846" s="68">
        <v>306799.99</v>
      </c>
      <c r="V846" s="68">
        <v>0.3645</v>
      </c>
      <c r="W846" s="68">
        <v>2.7431</v>
      </c>
      <c r="X846" s="68">
        <v>0.0</v>
      </c>
      <c r="Y846" s="68">
        <v>0.0</v>
      </c>
      <c r="Z846" s="68">
        <v>0.0</v>
      </c>
      <c r="AA846" s="68">
        <v>0.0</v>
      </c>
      <c r="AB846" s="68">
        <v>0.0</v>
      </c>
      <c r="AC846" s="68">
        <v>0.0</v>
      </c>
      <c r="AD846" s="68">
        <v>0.0</v>
      </c>
      <c r="AE846" s="68">
        <v>0.0</v>
      </c>
      <c r="AF846" s="68">
        <v>0.0</v>
      </c>
      <c r="AG846" s="68">
        <v>0.0</v>
      </c>
      <c r="AH846" s="68">
        <v>0.0</v>
      </c>
      <c r="AI846" s="68">
        <v>0.0</v>
      </c>
      <c r="AJ846" s="68">
        <v>0.0</v>
      </c>
    </row>
    <row r="847" ht="15.75" customHeight="1">
      <c r="A847" s="3" t="s">
        <v>70</v>
      </c>
      <c r="B847" s="68" t="s">
        <v>779</v>
      </c>
      <c r="C847" s="68" t="s">
        <v>1105</v>
      </c>
      <c r="D847" s="68" t="s">
        <v>781</v>
      </c>
      <c r="E847" s="68" t="s">
        <v>463</v>
      </c>
      <c r="F847" s="68" t="s">
        <v>774</v>
      </c>
      <c r="H847" s="181">
        <v>45632.0</v>
      </c>
      <c r="J847" s="68" t="s">
        <v>413</v>
      </c>
      <c r="K847" s="68">
        <v>1000.0</v>
      </c>
      <c r="M847" s="68" t="s">
        <v>8</v>
      </c>
      <c r="N847" s="68">
        <v>2023853.0</v>
      </c>
      <c r="O847" s="68">
        <v>4986.0</v>
      </c>
      <c r="P847" s="68">
        <v>0.0025</v>
      </c>
      <c r="Q847" s="68">
        <v>9231.74</v>
      </c>
      <c r="R847" s="68">
        <v>1.85</v>
      </c>
      <c r="S847" s="68">
        <v>4780.0</v>
      </c>
      <c r="T847" s="68">
        <v>0.0</v>
      </c>
      <c r="U847" s="68">
        <v>0.0</v>
      </c>
      <c r="V847" s="68">
        <v>0.0</v>
      </c>
      <c r="W847" s="68">
        <v>0.0</v>
      </c>
      <c r="X847" s="68">
        <v>0.0</v>
      </c>
      <c r="Y847" s="68">
        <v>0.0</v>
      </c>
      <c r="Z847" s="68">
        <v>0.0</v>
      </c>
      <c r="AA847" s="68">
        <v>0.0</v>
      </c>
      <c r="AB847" s="68">
        <v>0.0</v>
      </c>
      <c r="AC847" s="68">
        <v>0.0</v>
      </c>
      <c r="AD847" s="68">
        <v>0.0</v>
      </c>
      <c r="AE847" s="68">
        <v>0.0</v>
      </c>
      <c r="AF847" s="68">
        <v>0.0</v>
      </c>
      <c r="AG847" s="68">
        <v>0.0</v>
      </c>
      <c r="AH847" s="68">
        <v>0.0</v>
      </c>
      <c r="AI847" s="68">
        <v>0.0</v>
      </c>
      <c r="AJ847" s="68">
        <v>0.0</v>
      </c>
    </row>
    <row r="848" ht="15.75" customHeight="1">
      <c r="A848" s="65">
        <v>45658.0</v>
      </c>
      <c r="B848" s="179" t="s">
        <v>771</v>
      </c>
      <c r="C848" s="179" t="s">
        <v>905</v>
      </c>
      <c r="D848" s="179" t="s">
        <v>773</v>
      </c>
      <c r="E848" s="179" t="s">
        <v>459</v>
      </c>
      <c r="F848" s="179" t="s">
        <v>774</v>
      </c>
      <c r="G848" s="179" t="s">
        <v>783</v>
      </c>
      <c r="H848" s="179" t="s">
        <v>1106</v>
      </c>
      <c r="I848" s="179"/>
      <c r="J848" s="179" t="s">
        <v>134</v>
      </c>
      <c r="K848" s="179">
        <v>10000.0</v>
      </c>
      <c r="L848" s="195">
        <v>0.2433</v>
      </c>
      <c r="M848" s="179" t="s">
        <v>8</v>
      </c>
      <c r="N848" s="179">
        <v>432118.0</v>
      </c>
      <c r="O848" s="179">
        <v>1399.0</v>
      </c>
      <c r="P848" s="179">
        <v>0.0032</v>
      </c>
      <c r="Q848" s="179">
        <v>119776.5</v>
      </c>
      <c r="R848" s="179">
        <v>85.62</v>
      </c>
      <c r="S848" s="179">
        <v>0.0</v>
      </c>
      <c r="T848" s="179">
        <v>7.0</v>
      </c>
      <c r="U848" s="179">
        <v>151880.5</v>
      </c>
      <c r="V848" s="179">
        <v>0.7886</v>
      </c>
      <c r="W848" s="179">
        <v>1.268</v>
      </c>
      <c r="X848" s="179">
        <v>0.0</v>
      </c>
      <c r="Y848" s="179">
        <v>0.0</v>
      </c>
      <c r="Z848" s="179">
        <v>0.0</v>
      </c>
      <c r="AA848" s="179">
        <v>0.0</v>
      </c>
      <c r="AB848" s="179">
        <v>0.0</v>
      </c>
      <c r="AC848" s="179">
        <v>0.0</v>
      </c>
      <c r="AD848" s="179">
        <v>0.0</v>
      </c>
      <c r="AE848" s="179">
        <v>0.0</v>
      </c>
      <c r="AF848" s="179">
        <v>0.0</v>
      </c>
      <c r="AG848" s="179">
        <v>0.0</v>
      </c>
      <c r="AH848" s="179">
        <v>0.0</v>
      </c>
      <c r="AI848" s="179">
        <v>0.0</v>
      </c>
      <c r="AJ848" s="179">
        <v>0.0</v>
      </c>
    </row>
    <row r="849" ht="15.75" customHeight="1">
      <c r="A849" s="65">
        <v>45658.0</v>
      </c>
      <c r="B849" s="179" t="s">
        <v>771</v>
      </c>
      <c r="C849" s="179" t="s">
        <v>883</v>
      </c>
      <c r="D849" s="179" t="s">
        <v>773</v>
      </c>
      <c r="E849" s="179" t="s">
        <v>462</v>
      </c>
      <c r="F849" s="179" t="s">
        <v>774</v>
      </c>
      <c r="G849" s="179"/>
      <c r="H849" s="179" t="s">
        <v>1106</v>
      </c>
      <c r="I849" s="179"/>
      <c r="J849" s="179" t="s">
        <v>134</v>
      </c>
      <c r="K849" s="179">
        <v>4650.0</v>
      </c>
      <c r="L849" s="195">
        <v>0.2503</v>
      </c>
      <c r="M849" s="179" t="s">
        <v>8</v>
      </c>
      <c r="N849" s="179">
        <v>242873.0</v>
      </c>
      <c r="O849" s="179">
        <v>4257.0</v>
      </c>
      <c r="P849" s="179">
        <v>0.0175</v>
      </c>
      <c r="Q849" s="179">
        <v>71840.59</v>
      </c>
      <c r="R849" s="179">
        <v>16.88</v>
      </c>
      <c r="S849" s="179">
        <v>7984.0</v>
      </c>
      <c r="T849" s="179">
        <v>10.0</v>
      </c>
      <c r="U849" s="179">
        <v>175961.9</v>
      </c>
      <c r="V849" s="179">
        <v>0.4083</v>
      </c>
      <c r="W849" s="179">
        <v>2.4493</v>
      </c>
      <c r="X849" s="179">
        <v>10.0</v>
      </c>
      <c r="Y849" s="179">
        <v>1.0</v>
      </c>
      <c r="Z849" s="179">
        <v>175961.9</v>
      </c>
      <c r="AA849" s="179">
        <v>1.0</v>
      </c>
      <c r="AB849" s="179">
        <v>44901.0</v>
      </c>
      <c r="AC849" s="179">
        <v>1599.98</v>
      </c>
      <c r="AD849" s="179">
        <v>0.0</v>
      </c>
      <c r="AE849" s="179">
        <v>0.0</v>
      </c>
      <c r="AF849" s="179">
        <v>0.0</v>
      </c>
      <c r="AG849" s="179">
        <v>0.0</v>
      </c>
      <c r="AH849" s="179">
        <v>0.0</v>
      </c>
      <c r="AI849" s="179">
        <v>0.0</v>
      </c>
      <c r="AJ849" s="179">
        <v>0.0</v>
      </c>
    </row>
    <row r="850" ht="15.75" customHeight="1">
      <c r="A850" s="65">
        <v>45658.0</v>
      </c>
      <c r="B850" s="179" t="s">
        <v>771</v>
      </c>
      <c r="C850" s="179" t="s">
        <v>914</v>
      </c>
      <c r="D850" s="179" t="s">
        <v>773</v>
      </c>
      <c r="E850" s="179" t="s">
        <v>463</v>
      </c>
      <c r="F850" s="179" t="s">
        <v>774</v>
      </c>
      <c r="G850" s="179"/>
      <c r="H850" s="179" t="s">
        <v>1106</v>
      </c>
      <c r="I850" s="179"/>
      <c r="J850" s="179" t="s">
        <v>128</v>
      </c>
      <c r="K850" s="179">
        <v>1500.0</v>
      </c>
      <c r="L850" s="179"/>
      <c r="M850" s="179" t="s">
        <v>8</v>
      </c>
      <c r="N850" s="179">
        <v>803957.0</v>
      </c>
      <c r="O850" s="179">
        <v>2131.0</v>
      </c>
      <c r="P850" s="179">
        <v>0.0027</v>
      </c>
      <c r="Q850" s="179">
        <v>42432.1</v>
      </c>
      <c r="R850" s="179">
        <v>19.91</v>
      </c>
      <c r="S850" s="179">
        <v>5964.0</v>
      </c>
      <c r="T850" s="179">
        <v>12.0</v>
      </c>
      <c r="U850" s="179">
        <v>197786.5</v>
      </c>
      <c r="V850" s="179">
        <v>0.2145</v>
      </c>
      <c r="W850" s="179">
        <v>4.6612</v>
      </c>
      <c r="X850" s="179">
        <v>8.0</v>
      </c>
      <c r="Y850" s="179">
        <v>0.6667</v>
      </c>
      <c r="Z850" s="179">
        <v>144151.7</v>
      </c>
      <c r="AA850" s="179">
        <v>0.7288</v>
      </c>
      <c r="AB850" s="179">
        <v>0.0</v>
      </c>
      <c r="AC850" s="179">
        <v>0.0</v>
      </c>
      <c r="AD850" s="179">
        <v>0.0</v>
      </c>
      <c r="AE850" s="179">
        <v>0.0</v>
      </c>
      <c r="AF850" s="179">
        <v>0.0</v>
      </c>
      <c r="AG850" s="179">
        <v>0.0</v>
      </c>
      <c r="AH850" s="179">
        <v>0.0</v>
      </c>
      <c r="AI850" s="179">
        <v>0.0</v>
      </c>
      <c r="AJ850" s="179">
        <v>0.0</v>
      </c>
    </row>
    <row r="851" ht="15.75" customHeight="1">
      <c r="A851" s="65">
        <v>45658.0</v>
      </c>
      <c r="B851" s="179" t="s">
        <v>771</v>
      </c>
      <c r="C851" s="179" t="s">
        <v>877</v>
      </c>
      <c r="D851" s="179" t="s">
        <v>773</v>
      </c>
      <c r="E851" s="179" t="s">
        <v>461</v>
      </c>
      <c r="F851" s="179" t="s">
        <v>774</v>
      </c>
      <c r="G851" s="179"/>
      <c r="H851" s="179" t="s">
        <v>1106</v>
      </c>
      <c r="I851" s="179"/>
      <c r="J851" s="179" t="s">
        <v>196</v>
      </c>
      <c r="K851" s="179">
        <v>3100.0</v>
      </c>
      <c r="L851" s="195">
        <v>0.2011</v>
      </c>
      <c r="M851" s="179" t="s">
        <v>8</v>
      </c>
      <c r="N851" s="179">
        <v>222224.0</v>
      </c>
      <c r="O851" s="179">
        <v>1428.0</v>
      </c>
      <c r="P851" s="179">
        <v>0.0064</v>
      </c>
      <c r="Q851" s="179">
        <v>36803.34</v>
      </c>
      <c r="R851" s="179">
        <v>25.77</v>
      </c>
      <c r="S851" s="179">
        <v>3064.0</v>
      </c>
      <c r="T851" s="179">
        <v>7.0</v>
      </c>
      <c r="U851" s="179">
        <v>108093.2</v>
      </c>
      <c r="V851" s="179">
        <v>0.3405</v>
      </c>
      <c r="W851" s="179">
        <v>2.937</v>
      </c>
      <c r="X851" s="179">
        <v>5.0</v>
      </c>
      <c r="Y851" s="179">
        <v>0.7143</v>
      </c>
      <c r="Z851" s="179">
        <v>71313.55</v>
      </c>
      <c r="AA851" s="179">
        <v>0.6597</v>
      </c>
      <c r="AB851" s="179">
        <v>64511.0</v>
      </c>
      <c r="AC851" s="179">
        <v>570.5</v>
      </c>
      <c r="AD851" s="179">
        <v>0.0</v>
      </c>
      <c r="AE851" s="179">
        <v>0.0</v>
      </c>
      <c r="AF851" s="179">
        <v>0.0</v>
      </c>
      <c r="AG851" s="179">
        <v>0.0</v>
      </c>
      <c r="AH851" s="179">
        <v>0.0</v>
      </c>
      <c r="AI851" s="179">
        <v>0.0</v>
      </c>
      <c r="AJ851" s="179">
        <v>0.0</v>
      </c>
    </row>
    <row r="852" ht="15.75" customHeight="1">
      <c r="A852" s="65">
        <v>45658.0</v>
      </c>
      <c r="B852" s="179" t="s">
        <v>771</v>
      </c>
      <c r="C852" s="179" t="s">
        <v>822</v>
      </c>
      <c r="D852" s="179" t="s">
        <v>773</v>
      </c>
      <c r="E852" s="179" t="s">
        <v>462</v>
      </c>
      <c r="F852" s="179" t="s">
        <v>774</v>
      </c>
      <c r="G852" s="179"/>
      <c r="H852" s="179" t="s">
        <v>1106</v>
      </c>
      <c r="I852" s="179"/>
      <c r="J852" s="179" t="s">
        <v>128</v>
      </c>
      <c r="K852" s="179">
        <v>27492.99</v>
      </c>
      <c r="L852" s="195">
        <v>0.2925</v>
      </c>
      <c r="M852" s="179" t="s">
        <v>8</v>
      </c>
      <c r="N852" s="179">
        <v>208215.0</v>
      </c>
      <c r="O852" s="179">
        <v>1435.0</v>
      </c>
      <c r="P852" s="179">
        <v>0.0069</v>
      </c>
      <c r="Q852" s="179">
        <v>36453.88</v>
      </c>
      <c r="R852" s="179">
        <v>25.4</v>
      </c>
      <c r="S852" s="179">
        <v>2912.0</v>
      </c>
      <c r="T852" s="179">
        <v>7.0</v>
      </c>
      <c r="U852" s="179">
        <v>127155.9</v>
      </c>
      <c r="V852" s="179">
        <v>0.2867</v>
      </c>
      <c r="W852" s="179">
        <v>3.4881</v>
      </c>
      <c r="X852" s="179">
        <v>7.0</v>
      </c>
      <c r="Y852" s="179">
        <v>1.0</v>
      </c>
      <c r="Z852" s="179">
        <v>127155.9</v>
      </c>
      <c r="AA852" s="179">
        <v>1.0</v>
      </c>
      <c r="AB852" s="179">
        <v>23717.0</v>
      </c>
      <c r="AC852" s="179">
        <v>1537.04</v>
      </c>
      <c r="AD852" s="179">
        <v>0.0</v>
      </c>
      <c r="AE852" s="179">
        <v>0.0</v>
      </c>
      <c r="AF852" s="179">
        <v>0.0</v>
      </c>
      <c r="AG852" s="179">
        <v>0.0</v>
      </c>
      <c r="AH852" s="179">
        <v>0.0</v>
      </c>
      <c r="AI852" s="179">
        <v>0.0</v>
      </c>
      <c r="AJ852" s="179">
        <v>0.0</v>
      </c>
    </row>
    <row r="853" ht="15.75" customHeight="1">
      <c r="A853" s="65">
        <v>45658.0</v>
      </c>
      <c r="B853" s="179" t="s">
        <v>771</v>
      </c>
      <c r="C853" s="179" t="s">
        <v>910</v>
      </c>
      <c r="D853" s="179" t="s">
        <v>773</v>
      </c>
      <c r="E853" s="179" t="s">
        <v>459</v>
      </c>
      <c r="F853" s="179" t="s">
        <v>774</v>
      </c>
      <c r="G853" s="179" t="s">
        <v>775</v>
      </c>
      <c r="H853" s="179" t="s">
        <v>1106</v>
      </c>
      <c r="I853" s="179"/>
      <c r="J853" s="179" t="s">
        <v>134</v>
      </c>
      <c r="K853" s="179">
        <v>1550.0</v>
      </c>
      <c r="L853" s="195">
        <v>0.1143</v>
      </c>
      <c r="M853" s="179" t="s">
        <v>8</v>
      </c>
      <c r="N853" s="179">
        <v>76352.0</v>
      </c>
      <c r="O853" s="179">
        <v>680.0</v>
      </c>
      <c r="P853" s="179">
        <v>0.0089</v>
      </c>
      <c r="Q853" s="179">
        <v>30840.51</v>
      </c>
      <c r="R853" s="179">
        <v>45.35</v>
      </c>
      <c r="S853" s="179">
        <v>0.0</v>
      </c>
      <c r="T853" s="179">
        <v>5.0</v>
      </c>
      <c r="U853" s="179">
        <v>75102.52</v>
      </c>
      <c r="V853" s="179">
        <v>0.4106</v>
      </c>
      <c r="W853" s="179">
        <v>2.4352</v>
      </c>
      <c r="X853" s="179">
        <v>0.0</v>
      </c>
      <c r="Y853" s="179">
        <v>0.0</v>
      </c>
      <c r="Z853" s="179">
        <v>0.0</v>
      </c>
      <c r="AA853" s="179">
        <v>0.0</v>
      </c>
      <c r="AB853" s="179">
        <v>0.0</v>
      </c>
      <c r="AC853" s="179">
        <v>0.0</v>
      </c>
      <c r="AD853" s="179">
        <v>0.0</v>
      </c>
      <c r="AE853" s="179">
        <v>0.0</v>
      </c>
      <c r="AF853" s="179">
        <v>0.0</v>
      </c>
      <c r="AG853" s="179">
        <v>0.0</v>
      </c>
      <c r="AH853" s="179">
        <v>0.0</v>
      </c>
      <c r="AI853" s="179">
        <v>0.0</v>
      </c>
      <c r="AJ853" s="179">
        <v>0.0</v>
      </c>
    </row>
    <row r="854" ht="15.75" customHeight="1">
      <c r="A854" s="65">
        <v>45658.0</v>
      </c>
      <c r="B854" s="179" t="s">
        <v>771</v>
      </c>
      <c r="C854" s="179" t="s">
        <v>904</v>
      </c>
      <c r="D854" s="179" t="s">
        <v>773</v>
      </c>
      <c r="E854" s="179" t="s">
        <v>459</v>
      </c>
      <c r="F854" s="179" t="s">
        <v>774</v>
      </c>
      <c r="G854" s="179" t="s">
        <v>783</v>
      </c>
      <c r="H854" s="179" t="s">
        <v>1106</v>
      </c>
      <c r="I854" s="179"/>
      <c r="J854" s="179" t="s">
        <v>134</v>
      </c>
      <c r="K854" s="179">
        <v>5000.0</v>
      </c>
      <c r="L854" s="195">
        <v>0.1515</v>
      </c>
      <c r="M854" s="179" t="s">
        <v>8</v>
      </c>
      <c r="N854" s="179">
        <v>50861.0</v>
      </c>
      <c r="O854" s="179">
        <v>429.0</v>
      </c>
      <c r="P854" s="179">
        <v>0.0084</v>
      </c>
      <c r="Q854" s="179">
        <v>30435.59</v>
      </c>
      <c r="R854" s="179">
        <v>70.95</v>
      </c>
      <c r="S854" s="179">
        <v>0.0</v>
      </c>
      <c r="T854" s="179">
        <v>3.0</v>
      </c>
      <c r="U854" s="179">
        <v>55664.4</v>
      </c>
      <c r="V854" s="179">
        <v>0.5468</v>
      </c>
      <c r="W854" s="179">
        <v>1.8289</v>
      </c>
      <c r="X854" s="179">
        <v>0.0</v>
      </c>
      <c r="Y854" s="179">
        <v>0.0</v>
      </c>
      <c r="Z854" s="179">
        <v>0.0</v>
      </c>
      <c r="AA854" s="179">
        <v>0.0</v>
      </c>
      <c r="AB854" s="179">
        <v>0.0</v>
      </c>
      <c r="AC854" s="179">
        <v>0.0</v>
      </c>
      <c r="AD854" s="179">
        <v>0.0</v>
      </c>
      <c r="AE854" s="179">
        <v>0.0</v>
      </c>
      <c r="AF854" s="179">
        <v>0.0</v>
      </c>
      <c r="AG854" s="179">
        <v>0.0</v>
      </c>
      <c r="AH854" s="179">
        <v>0.0</v>
      </c>
      <c r="AI854" s="179">
        <v>0.0</v>
      </c>
      <c r="AJ854" s="179">
        <v>0.0</v>
      </c>
    </row>
    <row r="855" ht="15.75" customHeight="1">
      <c r="A855" s="65">
        <v>45658.0</v>
      </c>
      <c r="B855" s="179" t="s">
        <v>779</v>
      </c>
      <c r="C855" s="179" t="s">
        <v>1064</v>
      </c>
      <c r="D855" s="179" t="s">
        <v>781</v>
      </c>
      <c r="E855" s="179" t="s">
        <v>459</v>
      </c>
      <c r="F855" s="179" t="s">
        <v>774</v>
      </c>
      <c r="G855" s="179" t="s">
        <v>775</v>
      </c>
      <c r="H855" s="179" t="s">
        <v>1106</v>
      </c>
      <c r="I855" s="179"/>
      <c r="J855" s="179" t="s">
        <v>413</v>
      </c>
      <c r="K855" s="179">
        <v>1500.0</v>
      </c>
      <c r="L855" s="195">
        <v>0.1571</v>
      </c>
      <c r="M855" s="179" t="s">
        <v>8</v>
      </c>
      <c r="N855" s="179">
        <v>29263.0</v>
      </c>
      <c r="O855" s="179">
        <v>460.0</v>
      </c>
      <c r="P855" s="179">
        <v>0.0157</v>
      </c>
      <c r="Q855" s="179">
        <v>21928.9</v>
      </c>
      <c r="R855" s="179">
        <v>47.67</v>
      </c>
      <c r="S855" s="179">
        <v>0.0</v>
      </c>
      <c r="T855" s="179">
        <v>4.0</v>
      </c>
      <c r="U855" s="179">
        <v>67273.73</v>
      </c>
      <c r="V855" s="179">
        <v>0.326</v>
      </c>
      <c r="W855" s="179">
        <v>3.0678</v>
      </c>
      <c r="X855" s="179">
        <v>0.0</v>
      </c>
      <c r="Y855" s="179">
        <v>0.0</v>
      </c>
      <c r="Z855" s="179">
        <v>0.0</v>
      </c>
      <c r="AA855" s="179">
        <v>0.0</v>
      </c>
      <c r="AB855" s="179">
        <v>0.0</v>
      </c>
      <c r="AC855" s="179">
        <v>0.0</v>
      </c>
      <c r="AD855" s="179">
        <v>0.0</v>
      </c>
      <c r="AE855" s="179">
        <v>0.0</v>
      </c>
      <c r="AF855" s="179">
        <v>0.0</v>
      </c>
      <c r="AG855" s="179">
        <v>0.0</v>
      </c>
      <c r="AH855" s="179">
        <v>0.0</v>
      </c>
      <c r="AI855" s="179">
        <v>0.0</v>
      </c>
      <c r="AJ855" s="179">
        <v>0.0</v>
      </c>
    </row>
    <row r="856" ht="15.75" customHeight="1">
      <c r="A856" s="65">
        <v>45658.0</v>
      </c>
      <c r="B856" s="179" t="s">
        <v>771</v>
      </c>
      <c r="C856" s="179" t="s">
        <v>798</v>
      </c>
      <c r="D856" s="179" t="s">
        <v>773</v>
      </c>
      <c r="E856" s="179" t="s">
        <v>461</v>
      </c>
      <c r="F856" s="179" t="s">
        <v>774</v>
      </c>
      <c r="G856" s="179"/>
      <c r="H856" s="179" t="s">
        <v>1106</v>
      </c>
      <c r="I856" s="179"/>
      <c r="J856" s="179" t="s">
        <v>128</v>
      </c>
      <c r="K856" s="179">
        <v>54985.92</v>
      </c>
      <c r="L856" s="195">
        <v>0.5797</v>
      </c>
      <c r="M856" s="179" t="s">
        <v>8</v>
      </c>
      <c r="N856" s="179">
        <v>242101.0</v>
      </c>
      <c r="O856" s="179">
        <v>899.0</v>
      </c>
      <c r="P856" s="179">
        <v>0.0037</v>
      </c>
      <c r="Q856" s="179">
        <v>19293.24</v>
      </c>
      <c r="R856" s="179">
        <v>21.46</v>
      </c>
      <c r="S856" s="179">
        <v>1863.0</v>
      </c>
      <c r="T856" s="179">
        <v>9.0</v>
      </c>
      <c r="U856" s="179">
        <v>148998.3</v>
      </c>
      <c r="V856" s="179">
        <v>0.1295</v>
      </c>
      <c r="W856" s="179">
        <v>7.7228</v>
      </c>
      <c r="X856" s="179">
        <v>7.0</v>
      </c>
      <c r="Y856" s="179">
        <v>0.7778</v>
      </c>
      <c r="Z856" s="179">
        <v>116361.9</v>
      </c>
      <c r="AA856" s="179">
        <v>0.781</v>
      </c>
      <c r="AB856" s="179">
        <v>34537.0</v>
      </c>
      <c r="AC856" s="179">
        <v>558.63</v>
      </c>
      <c r="AD856" s="179">
        <v>0.0</v>
      </c>
      <c r="AE856" s="179">
        <v>0.0</v>
      </c>
      <c r="AF856" s="179">
        <v>0.0</v>
      </c>
      <c r="AG856" s="179">
        <v>0.0</v>
      </c>
      <c r="AH856" s="179">
        <v>0.0</v>
      </c>
      <c r="AI856" s="179">
        <v>0.0</v>
      </c>
      <c r="AJ856" s="179">
        <v>0.0</v>
      </c>
    </row>
    <row r="857" ht="15.75" customHeight="1">
      <c r="A857" s="65">
        <v>45658.0</v>
      </c>
      <c r="B857" s="179" t="s">
        <v>779</v>
      </c>
      <c r="C857" s="179" t="s">
        <v>1093</v>
      </c>
      <c r="D857" s="179" t="s">
        <v>781</v>
      </c>
      <c r="E857" s="179" t="s">
        <v>462</v>
      </c>
      <c r="F857" s="179" t="s">
        <v>774</v>
      </c>
      <c r="G857" s="179"/>
      <c r="H857" s="179" t="s">
        <v>1106</v>
      </c>
      <c r="I857" s="179"/>
      <c r="J857" s="179" t="s">
        <v>134</v>
      </c>
      <c r="K857" s="179">
        <v>8000.0</v>
      </c>
      <c r="L857" s="195">
        <v>0.1517</v>
      </c>
      <c r="M857" s="179" t="s">
        <v>8</v>
      </c>
      <c r="N857" s="179">
        <v>56350.0</v>
      </c>
      <c r="O857" s="179">
        <v>931.0</v>
      </c>
      <c r="P857" s="179">
        <v>0.0165</v>
      </c>
      <c r="Q857" s="179">
        <v>18846.75</v>
      </c>
      <c r="R857" s="179">
        <v>20.24</v>
      </c>
      <c r="S857" s="179">
        <v>1820.0</v>
      </c>
      <c r="T857" s="179">
        <v>5.0</v>
      </c>
      <c r="U857" s="179">
        <v>97581.35</v>
      </c>
      <c r="V857" s="179">
        <v>0.1931</v>
      </c>
      <c r="W857" s="179">
        <v>5.1776</v>
      </c>
      <c r="X857" s="179">
        <v>5.0</v>
      </c>
      <c r="Y857" s="179">
        <v>1.0</v>
      </c>
      <c r="Z857" s="179">
        <v>97581.35</v>
      </c>
      <c r="AA857" s="179">
        <v>1.0</v>
      </c>
      <c r="AB857" s="179">
        <v>12415.0</v>
      </c>
      <c r="AC857" s="179">
        <v>1518.06</v>
      </c>
      <c r="AD857" s="179">
        <v>0.0</v>
      </c>
      <c r="AE857" s="179">
        <v>0.0</v>
      </c>
      <c r="AF857" s="179">
        <v>0.0</v>
      </c>
      <c r="AG857" s="179">
        <v>0.0</v>
      </c>
      <c r="AH857" s="179">
        <v>0.0</v>
      </c>
      <c r="AI857" s="179">
        <v>0.0</v>
      </c>
      <c r="AJ857" s="179">
        <v>0.0</v>
      </c>
    </row>
    <row r="858" ht="15.75" customHeight="1">
      <c r="A858" s="65">
        <v>45658.0</v>
      </c>
      <c r="B858" s="179" t="s">
        <v>771</v>
      </c>
      <c r="C858" s="179" t="s">
        <v>789</v>
      </c>
      <c r="D858" s="179" t="s">
        <v>773</v>
      </c>
      <c r="E858" s="179" t="s">
        <v>459</v>
      </c>
      <c r="F858" s="179" t="s">
        <v>774</v>
      </c>
      <c r="G858" s="179" t="s">
        <v>783</v>
      </c>
      <c r="H858" s="179" t="s">
        <v>1106</v>
      </c>
      <c r="I858" s="179"/>
      <c r="J858" s="179" t="s">
        <v>128</v>
      </c>
      <c r="K858" s="179">
        <v>11469.35</v>
      </c>
      <c r="L858" s="195">
        <v>0.5265</v>
      </c>
      <c r="M858" s="179" t="s">
        <v>8</v>
      </c>
      <c r="N858" s="179">
        <v>139391.0</v>
      </c>
      <c r="O858" s="179">
        <v>664.0</v>
      </c>
      <c r="P858" s="179">
        <v>0.0048</v>
      </c>
      <c r="Q858" s="179">
        <v>18046.35</v>
      </c>
      <c r="R858" s="179">
        <v>27.18</v>
      </c>
      <c r="S858" s="179">
        <v>0.0</v>
      </c>
      <c r="T858" s="179">
        <v>24.0</v>
      </c>
      <c r="U858" s="179">
        <v>417889.8</v>
      </c>
      <c r="V858" s="179">
        <v>0.0432</v>
      </c>
      <c r="W858" s="179">
        <v>23.1565</v>
      </c>
      <c r="X858" s="179">
        <v>0.0</v>
      </c>
      <c r="Y858" s="179">
        <v>0.0</v>
      </c>
      <c r="Z858" s="179">
        <v>0.0</v>
      </c>
      <c r="AA858" s="179">
        <v>0.0</v>
      </c>
      <c r="AB858" s="179">
        <v>0.0</v>
      </c>
      <c r="AC858" s="179">
        <v>0.0</v>
      </c>
      <c r="AD858" s="179">
        <v>0.0</v>
      </c>
      <c r="AE858" s="179">
        <v>0.0</v>
      </c>
      <c r="AF858" s="179">
        <v>0.0</v>
      </c>
      <c r="AG858" s="179">
        <v>0.0</v>
      </c>
      <c r="AH858" s="179">
        <v>0.0</v>
      </c>
      <c r="AI858" s="179">
        <v>0.0</v>
      </c>
      <c r="AJ858" s="179">
        <v>0.0</v>
      </c>
    </row>
    <row r="859" ht="15.75" customHeight="1">
      <c r="A859" s="65">
        <v>45658.0</v>
      </c>
      <c r="B859" s="179" t="s">
        <v>771</v>
      </c>
      <c r="C859" s="179" t="s">
        <v>862</v>
      </c>
      <c r="D859" s="179" t="s">
        <v>773</v>
      </c>
      <c r="E859" s="179" t="s">
        <v>463</v>
      </c>
      <c r="F859" s="179" t="s">
        <v>774</v>
      </c>
      <c r="G859" s="179"/>
      <c r="H859" s="179" t="s">
        <v>1106</v>
      </c>
      <c r="I859" s="179"/>
      <c r="J859" s="179" t="s">
        <v>128</v>
      </c>
      <c r="K859" s="179">
        <v>10000.0</v>
      </c>
      <c r="L859" s="179"/>
      <c r="M859" s="179" t="s">
        <v>8</v>
      </c>
      <c r="N859" s="179">
        <v>113156.0</v>
      </c>
      <c r="O859" s="179">
        <v>455.0</v>
      </c>
      <c r="P859" s="179">
        <v>0.004</v>
      </c>
      <c r="Q859" s="179">
        <v>15104.67</v>
      </c>
      <c r="R859" s="179">
        <v>33.2</v>
      </c>
      <c r="S859" s="179">
        <v>1870.0</v>
      </c>
      <c r="T859" s="179">
        <v>11.0</v>
      </c>
      <c r="U859" s="179">
        <v>250447.5</v>
      </c>
      <c r="V859" s="179">
        <v>0.0603</v>
      </c>
      <c r="W859" s="179">
        <v>16.5808</v>
      </c>
      <c r="X859" s="179">
        <v>8.0</v>
      </c>
      <c r="Y859" s="179">
        <v>0.7273</v>
      </c>
      <c r="Z859" s="179">
        <v>168353.4</v>
      </c>
      <c r="AA859" s="179">
        <v>0.6722</v>
      </c>
      <c r="AB859" s="179">
        <v>0.0</v>
      </c>
      <c r="AC859" s="179">
        <v>0.0</v>
      </c>
      <c r="AD859" s="179">
        <v>0.0</v>
      </c>
      <c r="AE859" s="179">
        <v>0.0</v>
      </c>
      <c r="AF859" s="179">
        <v>0.0</v>
      </c>
      <c r="AG859" s="179">
        <v>0.0</v>
      </c>
      <c r="AH859" s="179">
        <v>0.0</v>
      </c>
      <c r="AI859" s="179">
        <v>0.0</v>
      </c>
      <c r="AJ859" s="179">
        <v>0.0</v>
      </c>
    </row>
    <row r="860" ht="15.75" customHeight="1">
      <c r="A860" s="65">
        <v>45658.0</v>
      </c>
      <c r="B860" s="179" t="s">
        <v>771</v>
      </c>
      <c r="C860" s="179" t="s">
        <v>898</v>
      </c>
      <c r="D860" s="179" t="s">
        <v>773</v>
      </c>
      <c r="E860" s="179" t="s">
        <v>459</v>
      </c>
      <c r="F860" s="179" t="s">
        <v>774</v>
      </c>
      <c r="G860" s="179" t="s">
        <v>775</v>
      </c>
      <c r="H860" s="179" t="s">
        <v>1106</v>
      </c>
      <c r="I860" s="179"/>
      <c r="J860" s="179" t="s">
        <v>140</v>
      </c>
      <c r="K860" s="179">
        <v>3000.0</v>
      </c>
      <c r="L860" s="179" t="s">
        <v>776</v>
      </c>
      <c r="M860" s="179" t="s">
        <v>8</v>
      </c>
      <c r="N860" s="179">
        <v>180524.0</v>
      </c>
      <c r="O860" s="179">
        <v>256.0</v>
      </c>
      <c r="P860" s="179">
        <v>0.0014</v>
      </c>
      <c r="Q860" s="179">
        <v>13453.3</v>
      </c>
      <c r="R860" s="179">
        <v>52.55</v>
      </c>
      <c r="S860" s="179">
        <v>0.0</v>
      </c>
      <c r="T860" s="179">
        <v>1.0</v>
      </c>
      <c r="U860" s="179">
        <v>26655.93</v>
      </c>
      <c r="V860" s="179">
        <v>0.5047</v>
      </c>
      <c r="W860" s="179">
        <v>1.9814</v>
      </c>
      <c r="X860" s="179">
        <v>0.0</v>
      </c>
      <c r="Y860" s="179">
        <v>0.0</v>
      </c>
      <c r="Z860" s="179">
        <v>0.0</v>
      </c>
      <c r="AA860" s="179">
        <v>0.0</v>
      </c>
      <c r="AB860" s="179">
        <v>0.0</v>
      </c>
      <c r="AC860" s="179">
        <v>0.0</v>
      </c>
      <c r="AD860" s="179">
        <v>0.0</v>
      </c>
      <c r="AE860" s="179">
        <v>0.0</v>
      </c>
      <c r="AF860" s="179">
        <v>0.0</v>
      </c>
      <c r="AG860" s="179">
        <v>0.0</v>
      </c>
      <c r="AH860" s="179">
        <v>0.0</v>
      </c>
      <c r="AI860" s="179">
        <v>0.0</v>
      </c>
      <c r="AJ860" s="179">
        <v>0.0</v>
      </c>
    </row>
    <row r="861" ht="15.75" customHeight="1">
      <c r="A861" s="65">
        <v>45658.0</v>
      </c>
      <c r="B861" s="179" t="s">
        <v>771</v>
      </c>
      <c r="C861" s="179" t="s">
        <v>1108</v>
      </c>
      <c r="D861" s="179" t="s">
        <v>773</v>
      </c>
      <c r="E861" s="179" t="s">
        <v>459</v>
      </c>
      <c r="F861" s="179" t="s">
        <v>774</v>
      </c>
      <c r="G861" s="179" t="s">
        <v>775</v>
      </c>
      <c r="H861" s="179" t="s">
        <v>1106</v>
      </c>
      <c r="I861" s="179"/>
      <c r="J861" s="179" t="s">
        <v>230</v>
      </c>
      <c r="K861" s="179">
        <v>1000.0</v>
      </c>
      <c r="L861" s="195">
        <v>0.0552</v>
      </c>
      <c r="M861" s="179" t="s">
        <v>8</v>
      </c>
      <c r="N861" s="179">
        <v>34673.0</v>
      </c>
      <c r="O861" s="179">
        <v>193.0</v>
      </c>
      <c r="P861" s="179">
        <v>0.0056</v>
      </c>
      <c r="Q861" s="179">
        <v>12204.96</v>
      </c>
      <c r="R861" s="179">
        <v>63.24</v>
      </c>
      <c r="S861" s="179">
        <v>0.0</v>
      </c>
      <c r="T861" s="179">
        <v>0.0</v>
      </c>
      <c r="U861" s="179">
        <v>0.0</v>
      </c>
      <c r="V861" s="179">
        <v>0.0</v>
      </c>
      <c r="W861" s="179">
        <v>0.0</v>
      </c>
      <c r="X861" s="179">
        <v>0.0</v>
      </c>
      <c r="Y861" s="179">
        <v>0.0</v>
      </c>
      <c r="Z861" s="179">
        <v>0.0</v>
      </c>
      <c r="AA861" s="179">
        <v>0.0</v>
      </c>
      <c r="AB861" s="179">
        <v>0.0</v>
      </c>
      <c r="AC861" s="179">
        <v>0.0</v>
      </c>
      <c r="AD861" s="179">
        <v>0.0</v>
      </c>
      <c r="AE861" s="179">
        <v>0.0</v>
      </c>
      <c r="AF861" s="179">
        <v>0.0</v>
      </c>
      <c r="AG861" s="179">
        <v>0.0</v>
      </c>
      <c r="AH861" s="179">
        <v>0.0</v>
      </c>
      <c r="AI861" s="179">
        <v>0.0</v>
      </c>
      <c r="AJ861" s="179">
        <v>0.0</v>
      </c>
    </row>
    <row r="862" ht="15.75" customHeight="1">
      <c r="A862" s="65">
        <v>45658.0</v>
      </c>
      <c r="B862" s="179" t="s">
        <v>771</v>
      </c>
      <c r="C862" s="179" t="s">
        <v>934</v>
      </c>
      <c r="D862" s="179" t="s">
        <v>773</v>
      </c>
      <c r="E862" s="179" t="s">
        <v>459</v>
      </c>
      <c r="F862" s="179" t="s">
        <v>774</v>
      </c>
      <c r="G862" s="179" t="s">
        <v>775</v>
      </c>
      <c r="H862" s="179" t="s">
        <v>1106</v>
      </c>
      <c r="I862" s="179"/>
      <c r="J862" s="179" t="s">
        <v>230</v>
      </c>
      <c r="K862" s="179">
        <v>1500.0</v>
      </c>
      <c r="L862" s="179" t="s">
        <v>776</v>
      </c>
      <c r="M862" s="179" t="s">
        <v>8</v>
      </c>
      <c r="N862" s="179">
        <v>126151.0</v>
      </c>
      <c r="O862" s="179">
        <v>337.0</v>
      </c>
      <c r="P862" s="179">
        <v>0.0027</v>
      </c>
      <c r="Q862" s="179">
        <v>11735.74</v>
      </c>
      <c r="R862" s="179">
        <v>34.82</v>
      </c>
      <c r="S862" s="179">
        <v>0.0</v>
      </c>
      <c r="T862" s="179">
        <v>4.0</v>
      </c>
      <c r="U862" s="179">
        <v>71621.18</v>
      </c>
      <c r="V862" s="179">
        <v>0.1639</v>
      </c>
      <c r="W862" s="179">
        <v>6.1028</v>
      </c>
      <c r="X862" s="179">
        <v>0.0</v>
      </c>
      <c r="Y862" s="179">
        <v>0.0</v>
      </c>
      <c r="Z862" s="179">
        <v>0.0</v>
      </c>
      <c r="AA862" s="179">
        <v>0.0</v>
      </c>
      <c r="AB862" s="179">
        <v>0.0</v>
      </c>
      <c r="AC862" s="179">
        <v>0.0</v>
      </c>
      <c r="AD862" s="179">
        <v>0.0</v>
      </c>
      <c r="AE862" s="179">
        <v>0.0</v>
      </c>
      <c r="AF862" s="179">
        <v>0.0</v>
      </c>
      <c r="AG862" s="179">
        <v>0.0</v>
      </c>
      <c r="AH862" s="179">
        <v>0.0</v>
      </c>
      <c r="AI862" s="179">
        <v>0.0</v>
      </c>
      <c r="AJ862" s="179">
        <v>0.0</v>
      </c>
    </row>
    <row r="863" ht="15.75" customHeight="1">
      <c r="A863" s="65">
        <v>45658.0</v>
      </c>
      <c r="B863" s="179" t="s">
        <v>771</v>
      </c>
      <c r="C863" s="179" t="s">
        <v>1109</v>
      </c>
      <c r="D863" s="179" t="s">
        <v>773</v>
      </c>
      <c r="E863" s="179" t="s">
        <v>461</v>
      </c>
      <c r="F863" s="179" t="s">
        <v>774</v>
      </c>
      <c r="G863" s="179"/>
      <c r="H863" s="179" t="s">
        <v>1106</v>
      </c>
      <c r="I863" s="179"/>
      <c r="J863" s="179" t="s">
        <v>211</v>
      </c>
      <c r="K863" s="179">
        <v>1000.0</v>
      </c>
      <c r="L863" s="195">
        <v>0.5365</v>
      </c>
      <c r="M863" s="179" t="s">
        <v>8</v>
      </c>
      <c r="N863" s="179">
        <v>130308.0</v>
      </c>
      <c r="O863" s="179">
        <v>2310.0</v>
      </c>
      <c r="P863" s="179">
        <v>0.0177</v>
      </c>
      <c r="Q863" s="179">
        <v>11729.43</v>
      </c>
      <c r="R863" s="179">
        <v>5.08</v>
      </c>
      <c r="S863" s="179">
        <v>3675.0</v>
      </c>
      <c r="T863" s="179">
        <v>51.0</v>
      </c>
      <c r="U863" s="179">
        <v>111940.7</v>
      </c>
      <c r="V863" s="179">
        <v>0.1048</v>
      </c>
      <c r="W863" s="179">
        <v>9.5436</v>
      </c>
      <c r="X863" s="179">
        <v>44.0</v>
      </c>
      <c r="Y863" s="179">
        <v>0.8627</v>
      </c>
      <c r="Z863" s="179">
        <v>102011.8</v>
      </c>
      <c r="AA863" s="179">
        <v>0.9113</v>
      </c>
      <c r="AB863" s="179">
        <v>48334.0</v>
      </c>
      <c r="AC863" s="179">
        <v>242.67</v>
      </c>
      <c r="AD863" s="179">
        <v>0.0</v>
      </c>
      <c r="AE863" s="179">
        <v>0.0</v>
      </c>
      <c r="AF863" s="179">
        <v>0.0</v>
      </c>
      <c r="AG863" s="179">
        <v>0.0</v>
      </c>
      <c r="AH863" s="179">
        <v>0.0</v>
      </c>
      <c r="AI863" s="179">
        <v>0.0</v>
      </c>
      <c r="AJ863" s="179">
        <v>0.0</v>
      </c>
    </row>
    <row r="864" ht="15.75" customHeight="1">
      <c r="A864" s="65">
        <v>45658.0</v>
      </c>
      <c r="B864" s="179" t="s">
        <v>771</v>
      </c>
      <c r="C864" s="179" t="s">
        <v>1101</v>
      </c>
      <c r="D864" s="179" t="s">
        <v>773</v>
      </c>
      <c r="E864" s="179" t="s">
        <v>459</v>
      </c>
      <c r="F864" s="179" t="s">
        <v>774</v>
      </c>
      <c r="G864" s="179" t="s">
        <v>783</v>
      </c>
      <c r="H864" s="179" t="s">
        <v>1106</v>
      </c>
      <c r="I864" s="179"/>
      <c r="J864" s="179" t="s">
        <v>128</v>
      </c>
      <c r="K864" s="179">
        <v>1000.0</v>
      </c>
      <c r="L864" s="179" t="s">
        <v>776</v>
      </c>
      <c r="M864" s="179" t="s">
        <v>8</v>
      </c>
      <c r="N864" s="179">
        <v>41851.0</v>
      </c>
      <c r="O864" s="179">
        <v>311.0</v>
      </c>
      <c r="P864" s="179">
        <v>0.0074</v>
      </c>
      <c r="Q864" s="179">
        <v>11273.56</v>
      </c>
      <c r="R864" s="179">
        <v>36.25</v>
      </c>
      <c r="S864" s="179">
        <v>0.0</v>
      </c>
      <c r="T864" s="179">
        <v>7.0</v>
      </c>
      <c r="U864" s="179">
        <v>159690.7</v>
      </c>
      <c r="V864" s="179">
        <v>0.0706</v>
      </c>
      <c r="W864" s="179">
        <v>14.1651</v>
      </c>
      <c r="X864" s="179">
        <v>0.0</v>
      </c>
      <c r="Y864" s="179">
        <v>0.0</v>
      </c>
      <c r="Z864" s="179">
        <v>0.0</v>
      </c>
      <c r="AA864" s="179">
        <v>0.0</v>
      </c>
      <c r="AB864" s="179">
        <v>0.0</v>
      </c>
      <c r="AC864" s="179">
        <v>0.0</v>
      </c>
      <c r="AD864" s="179">
        <v>0.0</v>
      </c>
      <c r="AE864" s="179">
        <v>0.0</v>
      </c>
      <c r="AF864" s="179">
        <v>0.0</v>
      </c>
      <c r="AG864" s="179">
        <v>0.0</v>
      </c>
      <c r="AH864" s="179">
        <v>0.0</v>
      </c>
      <c r="AI864" s="179">
        <v>0.0</v>
      </c>
      <c r="AJ864" s="179">
        <v>0.0</v>
      </c>
    </row>
    <row r="865" ht="15.75" customHeight="1">
      <c r="A865" s="65">
        <v>45658.0</v>
      </c>
      <c r="B865" s="179" t="s">
        <v>771</v>
      </c>
      <c r="C865" s="179" t="s">
        <v>1100</v>
      </c>
      <c r="D865" s="179" t="s">
        <v>773</v>
      </c>
      <c r="E865" s="179" t="s">
        <v>459</v>
      </c>
      <c r="F865" s="179" t="s">
        <v>774</v>
      </c>
      <c r="G865" s="179" t="s">
        <v>775</v>
      </c>
      <c r="H865" s="179" t="s">
        <v>1106</v>
      </c>
      <c r="I865" s="179"/>
      <c r="J865" s="179" t="s">
        <v>413</v>
      </c>
      <c r="K865" s="179">
        <v>1000.0</v>
      </c>
      <c r="L865" s="179" t="s">
        <v>776</v>
      </c>
      <c r="M865" s="179" t="s">
        <v>8</v>
      </c>
      <c r="N865" s="179">
        <v>23282.0</v>
      </c>
      <c r="O865" s="179">
        <v>227.0</v>
      </c>
      <c r="P865" s="179">
        <v>0.0098</v>
      </c>
      <c r="Q865" s="179">
        <v>10725.12</v>
      </c>
      <c r="R865" s="179">
        <v>47.25</v>
      </c>
      <c r="S865" s="179">
        <v>0.0</v>
      </c>
      <c r="T865" s="179">
        <v>1.0</v>
      </c>
      <c r="U865" s="179">
        <v>14652.54</v>
      </c>
      <c r="V865" s="179">
        <v>0.732</v>
      </c>
      <c r="W865" s="179">
        <v>1.3662</v>
      </c>
      <c r="X865" s="179">
        <v>0.0</v>
      </c>
      <c r="Y865" s="179">
        <v>0.0</v>
      </c>
      <c r="Z865" s="179">
        <v>0.0</v>
      </c>
      <c r="AA865" s="179">
        <v>0.0</v>
      </c>
      <c r="AB865" s="179">
        <v>0.0</v>
      </c>
      <c r="AC865" s="179">
        <v>0.0</v>
      </c>
      <c r="AD865" s="179">
        <v>0.0</v>
      </c>
      <c r="AE865" s="179">
        <v>0.0</v>
      </c>
      <c r="AF865" s="179">
        <v>0.0</v>
      </c>
      <c r="AG865" s="179">
        <v>0.0</v>
      </c>
      <c r="AH865" s="179">
        <v>0.0</v>
      </c>
      <c r="AI865" s="179">
        <v>0.0</v>
      </c>
      <c r="AJ865" s="179">
        <v>0.0</v>
      </c>
    </row>
    <row r="866" ht="15.75" customHeight="1">
      <c r="A866" s="65">
        <v>45658.0</v>
      </c>
      <c r="B866" s="179" t="s">
        <v>779</v>
      </c>
      <c r="C866" s="179" t="s">
        <v>941</v>
      </c>
      <c r="D866" s="179" t="s">
        <v>781</v>
      </c>
      <c r="E866" s="179" t="s">
        <v>463</v>
      </c>
      <c r="F866" s="179" t="s">
        <v>774</v>
      </c>
      <c r="G866" s="179"/>
      <c r="H866" s="179" t="s">
        <v>1106</v>
      </c>
      <c r="I866" s="179"/>
      <c r="J866" s="179" t="s">
        <v>230</v>
      </c>
      <c r="K866" s="179">
        <v>500.0</v>
      </c>
      <c r="L866" s="179"/>
      <c r="M866" s="179" t="s">
        <v>8</v>
      </c>
      <c r="N866" s="179">
        <v>770531.0</v>
      </c>
      <c r="O866" s="179">
        <v>1899.0</v>
      </c>
      <c r="P866" s="179">
        <v>0.0025</v>
      </c>
      <c r="Q866" s="179">
        <v>9943.47</v>
      </c>
      <c r="R866" s="179">
        <v>5.24</v>
      </c>
      <c r="S866" s="179">
        <v>2121.0</v>
      </c>
      <c r="T866" s="179">
        <v>0.0</v>
      </c>
      <c r="U866" s="179">
        <v>0.0</v>
      </c>
      <c r="V866" s="179">
        <v>0.0</v>
      </c>
      <c r="W866" s="179">
        <v>0.0</v>
      </c>
      <c r="X866" s="179">
        <v>0.0</v>
      </c>
      <c r="Y866" s="179">
        <v>0.0</v>
      </c>
      <c r="Z866" s="179">
        <v>0.0</v>
      </c>
      <c r="AA866" s="179">
        <v>0.0</v>
      </c>
      <c r="AB866" s="179">
        <v>0.0</v>
      </c>
      <c r="AC866" s="179">
        <v>0.0</v>
      </c>
      <c r="AD866" s="179">
        <v>0.0</v>
      </c>
      <c r="AE866" s="179">
        <v>0.0</v>
      </c>
      <c r="AF866" s="179">
        <v>0.0</v>
      </c>
      <c r="AG866" s="179">
        <v>0.0</v>
      </c>
      <c r="AH866" s="179">
        <v>0.0</v>
      </c>
      <c r="AI866" s="179">
        <v>0.0</v>
      </c>
      <c r="AJ866" s="179">
        <v>0.0</v>
      </c>
    </row>
    <row r="867" ht="15.75" customHeight="1">
      <c r="A867" s="65">
        <v>45658.0</v>
      </c>
      <c r="B867" s="179" t="s">
        <v>771</v>
      </c>
      <c r="C867" s="179" t="s">
        <v>1110</v>
      </c>
      <c r="D867" s="179" t="s">
        <v>773</v>
      </c>
      <c r="E867" s="179" t="s">
        <v>459</v>
      </c>
      <c r="F867" s="179" t="s">
        <v>774</v>
      </c>
      <c r="G867" s="179" t="s">
        <v>775</v>
      </c>
      <c r="H867" s="179" t="s">
        <v>1106</v>
      </c>
      <c r="I867" s="179"/>
      <c r="J867" s="179" t="s">
        <v>230</v>
      </c>
      <c r="K867" s="179">
        <v>3000.0</v>
      </c>
      <c r="L867" s="195">
        <v>0.1569</v>
      </c>
      <c r="M867" s="179" t="s">
        <v>8</v>
      </c>
      <c r="N867" s="179">
        <v>21313.0</v>
      </c>
      <c r="O867" s="179">
        <v>188.0</v>
      </c>
      <c r="P867" s="179">
        <v>0.0088</v>
      </c>
      <c r="Q867" s="179">
        <v>9250.02</v>
      </c>
      <c r="R867" s="179">
        <v>49.2</v>
      </c>
      <c r="S867" s="179">
        <v>0.0</v>
      </c>
      <c r="T867" s="179">
        <v>1.0</v>
      </c>
      <c r="U867" s="179">
        <v>27033.9</v>
      </c>
      <c r="V867" s="179">
        <v>0.3422</v>
      </c>
      <c r="W867" s="179">
        <v>2.9226</v>
      </c>
      <c r="X867" s="179">
        <v>0.0</v>
      </c>
      <c r="Y867" s="179">
        <v>0.0</v>
      </c>
      <c r="Z867" s="179">
        <v>0.0</v>
      </c>
      <c r="AA867" s="179">
        <v>0.0</v>
      </c>
      <c r="AB867" s="179">
        <v>0.0</v>
      </c>
      <c r="AC867" s="179">
        <v>0.0</v>
      </c>
      <c r="AD867" s="179">
        <v>0.0</v>
      </c>
      <c r="AE867" s="179">
        <v>0.0</v>
      </c>
      <c r="AF867" s="179">
        <v>0.0</v>
      </c>
      <c r="AG867" s="179">
        <v>0.0</v>
      </c>
      <c r="AH867" s="179">
        <v>0.0</v>
      </c>
      <c r="AI867" s="179">
        <v>0.0</v>
      </c>
      <c r="AJ867" s="179">
        <v>0.0</v>
      </c>
    </row>
    <row r="868" ht="15.75" customHeight="1">
      <c r="A868" s="65">
        <v>45658.0</v>
      </c>
      <c r="B868" s="179" t="s">
        <v>771</v>
      </c>
      <c r="C868" s="179" t="s">
        <v>1087</v>
      </c>
      <c r="D868" s="179" t="s">
        <v>773</v>
      </c>
      <c r="E868" s="179" t="s">
        <v>459</v>
      </c>
      <c r="F868" s="179" t="s">
        <v>774</v>
      </c>
      <c r="G868" s="179" t="s">
        <v>775</v>
      </c>
      <c r="H868" s="179" t="s">
        <v>1106</v>
      </c>
      <c r="I868" s="179"/>
      <c r="J868" s="179" t="s">
        <v>128</v>
      </c>
      <c r="K868" s="179">
        <v>1000.0</v>
      </c>
      <c r="L868" s="179" t="s">
        <v>776</v>
      </c>
      <c r="M868" s="179" t="s">
        <v>8</v>
      </c>
      <c r="N868" s="179">
        <v>46250.0</v>
      </c>
      <c r="O868" s="179">
        <v>173.0</v>
      </c>
      <c r="P868" s="179">
        <v>0.0037</v>
      </c>
      <c r="Q868" s="179">
        <v>8827.7</v>
      </c>
      <c r="R868" s="179">
        <v>51.03</v>
      </c>
      <c r="S868" s="179">
        <v>0.0</v>
      </c>
      <c r="T868" s="179">
        <v>7.0</v>
      </c>
      <c r="U868" s="179">
        <v>148832.2</v>
      </c>
      <c r="V868" s="179">
        <v>0.0593</v>
      </c>
      <c r="W868" s="179">
        <v>16.8597</v>
      </c>
      <c r="X868" s="179">
        <v>0.0</v>
      </c>
      <c r="Y868" s="179">
        <v>0.0</v>
      </c>
      <c r="Z868" s="179">
        <v>0.0</v>
      </c>
      <c r="AA868" s="179">
        <v>0.0</v>
      </c>
      <c r="AB868" s="179">
        <v>0.0</v>
      </c>
      <c r="AC868" s="179">
        <v>0.0</v>
      </c>
      <c r="AD868" s="179">
        <v>0.0</v>
      </c>
      <c r="AE868" s="179">
        <v>0.0</v>
      </c>
      <c r="AF868" s="179">
        <v>0.0</v>
      </c>
      <c r="AG868" s="179">
        <v>0.0</v>
      </c>
      <c r="AH868" s="179">
        <v>0.0</v>
      </c>
      <c r="AI868" s="179">
        <v>0.0</v>
      </c>
      <c r="AJ868" s="179">
        <v>0.0</v>
      </c>
    </row>
    <row r="869" ht="15.75" customHeight="1">
      <c r="A869" s="65">
        <v>45658.0</v>
      </c>
      <c r="B869" s="179" t="s">
        <v>771</v>
      </c>
      <c r="C869" s="179" t="s">
        <v>1081</v>
      </c>
      <c r="D869" s="179" t="s">
        <v>773</v>
      </c>
      <c r="E869" s="179" t="s">
        <v>459</v>
      </c>
      <c r="F869" s="179" t="s">
        <v>774</v>
      </c>
      <c r="G869" s="179" t="s">
        <v>775</v>
      </c>
      <c r="H869" s="179" t="s">
        <v>1106</v>
      </c>
      <c r="I869" s="179"/>
      <c r="J869" s="179" t="s">
        <v>134</v>
      </c>
      <c r="K869" s="179">
        <v>2000.0</v>
      </c>
      <c r="L869" s="195">
        <v>0.0693</v>
      </c>
      <c r="M869" s="179" t="s">
        <v>8</v>
      </c>
      <c r="N869" s="179">
        <v>25441.0</v>
      </c>
      <c r="O869" s="179">
        <v>159.0</v>
      </c>
      <c r="P869" s="179">
        <v>0.0062</v>
      </c>
      <c r="Q869" s="179">
        <v>8818.1</v>
      </c>
      <c r="R869" s="179">
        <v>55.46</v>
      </c>
      <c r="S869" s="179">
        <v>0.0</v>
      </c>
      <c r="T869" s="179">
        <v>0.0</v>
      </c>
      <c r="U869" s="179">
        <v>0.0</v>
      </c>
      <c r="V869" s="179">
        <v>0.0</v>
      </c>
      <c r="W869" s="179">
        <v>0.0</v>
      </c>
      <c r="X869" s="179">
        <v>0.0</v>
      </c>
      <c r="Y869" s="179">
        <v>0.0</v>
      </c>
      <c r="Z869" s="179">
        <v>0.0</v>
      </c>
      <c r="AA869" s="179">
        <v>0.0</v>
      </c>
      <c r="AB869" s="179">
        <v>0.0</v>
      </c>
      <c r="AC869" s="179">
        <v>0.0</v>
      </c>
      <c r="AD869" s="179">
        <v>0.0</v>
      </c>
      <c r="AE869" s="179">
        <v>0.0</v>
      </c>
      <c r="AF869" s="179">
        <v>0.0</v>
      </c>
      <c r="AG869" s="179">
        <v>0.0</v>
      </c>
      <c r="AH869" s="179">
        <v>0.0</v>
      </c>
      <c r="AI869" s="179">
        <v>0.0</v>
      </c>
      <c r="AJ869" s="179">
        <v>0.0</v>
      </c>
    </row>
    <row r="870" ht="15.75" customHeight="1">
      <c r="A870" s="65">
        <v>45658.0</v>
      </c>
      <c r="B870" s="179" t="s">
        <v>771</v>
      </c>
      <c r="C870" s="179" t="s">
        <v>1079</v>
      </c>
      <c r="D870" s="179" t="s">
        <v>773</v>
      </c>
      <c r="E870" s="179" t="s">
        <v>459</v>
      </c>
      <c r="F870" s="179" t="s">
        <v>774</v>
      </c>
      <c r="G870" s="179" t="s">
        <v>775</v>
      </c>
      <c r="H870" s="179" t="s">
        <v>1106</v>
      </c>
      <c r="I870" s="179"/>
      <c r="J870" s="179" t="s">
        <v>429</v>
      </c>
      <c r="K870" s="179">
        <v>1000.0</v>
      </c>
      <c r="L870" s="179" t="s">
        <v>776</v>
      </c>
      <c r="M870" s="179" t="s">
        <v>8</v>
      </c>
      <c r="N870" s="179">
        <v>31121.0</v>
      </c>
      <c r="O870" s="179">
        <v>243.0</v>
      </c>
      <c r="P870" s="179">
        <v>0.0078</v>
      </c>
      <c r="Q870" s="179">
        <v>8635.73</v>
      </c>
      <c r="R870" s="179">
        <v>35.54</v>
      </c>
      <c r="S870" s="179">
        <v>0.0</v>
      </c>
      <c r="T870" s="179">
        <v>2.0</v>
      </c>
      <c r="U870" s="179">
        <v>26245.76</v>
      </c>
      <c r="V870" s="179">
        <v>0.329</v>
      </c>
      <c r="W870" s="179">
        <v>3.0392</v>
      </c>
      <c r="X870" s="179">
        <v>0.0</v>
      </c>
      <c r="Y870" s="179">
        <v>0.0</v>
      </c>
      <c r="Z870" s="179">
        <v>0.0</v>
      </c>
      <c r="AA870" s="179">
        <v>0.0</v>
      </c>
      <c r="AB870" s="179">
        <v>0.0</v>
      </c>
      <c r="AC870" s="179">
        <v>0.0</v>
      </c>
      <c r="AD870" s="179">
        <v>0.0</v>
      </c>
      <c r="AE870" s="179">
        <v>0.0</v>
      </c>
      <c r="AF870" s="179">
        <v>0.0</v>
      </c>
      <c r="AG870" s="179">
        <v>0.0</v>
      </c>
      <c r="AH870" s="179">
        <v>0.0</v>
      </c>
      <c r="AI870" s="179">
        <v>0.0</v>
      </c>
      <c r="AJ870" s="179">
        <v>0.0</v>
      </c>
    </row>
    <row r="871" ht="15.75" customHeight="1">
      <c r="A871" s="65">
        <v>45658.0</v>
      </c>
      <c r="B871" s="179" t="s">
        <v>779</v>
      </c>
      <c r="C871" s="179" t="s">
        <v>1078</v>
      </c>
      <c r="D871" s="179" t="s">
        <v>781</v>
      </c>
      <c r="E871" s="179" t="s">
        <v>459</v>
      </c>
      <c r="F871" s="179" t="s">
        <v>774</v>
      </c>
      <c r="G871" s="179" t="s">
        <v>775</v>
      </c>
      <c r="H871" s="179" t="s">
        <v>1106</v>
      </c>
      <c r="I871" s="179"/>
      <c r="J871" s="179" t="s">
        <v>134</v>
      </c>
      <c r="K871" s="179">
        <v>5000.0</v>
      </c>
      <c r="L871" s="195">
        <v>0.0917</v>
      </c>
      <c r="M871" s="179" t="s">
        <v>8</v>
      </c>
      <c r="N871" s="179">
        <v>12842.0</v>
      </c>
      <c r="O871" s="179">
        <v>105.0</v>
      </c>
      <c r="P871" s="179">
        <v>0.0082</v>
      </c>
      <c r="Q871" s="179">
        <v>7451.87</v>
      </c>
      <c r="R871" s="179">
        <v>70.97</v>
      </c>
      <c r="S871" s="179">
        <v>0.0</v>
      </c>
      <c r="T871" s="179">
        <v>2.0</v>
      </c>
      <c r="U871" s="179">
        <v>52932.2</v>
      </c>
      <c r="V871" s="179">
        <v>0.1408</v>
      </c>
      <c r="W871" s="179">
        <v>7.1032</v>
      </c>
      <c r="X871" s="179">
        <v>0.0</v>
      </c>
      <c r="Y871" s="179">
        <v>0.0</v>
      </c>
      <c r="Z871" s="179">
        <v>0.0</v>
      </c>
      <c r="AA871" s="179">
        <v>0.0</v>
      </c>
      <c r="AB871" s="179">
        <v>0.0</v>
      </c>
      <c r="AC871" s="179">
        <v>0.0</v>
      </c>
      <c r="AD871" s="179">
        <v>0.0</v>
      </c>
      <c r="AE871" s="179">
        <v>0.0</v>
      </c>
      <c r="AF871" s="179">
        <v>0.0</v>
      </c>
      <c r="AG871" s="179">
        <v>0.0</v>
      </c>
      <c r="AH871" s="179">
        <v>0.0</v>
      </c>
      <c r="AI871" s="179">
        <v>0.0</v>
      </c>
      <c r="AJ871" s="179">
        <v>0.0</v>
      </c>
    </row>
    <row r="872" ht="15.75" customHeight="1">
      <c r="A872" s="65">
        <v>45658.0</v>
      </c>
      <c r="B872" s="179" t="s">
        <v>771</v>
      </c>
      <c r="C872" s="179" t="s">
        <v>1111</v>
      </c>
      <c r="D872" s="179" t="s">
        <v>773</v>
      </c>
      <c r="E872" s="179" t="s">
        <v>462</v>
      </c>
      <c r="F872" s="179" t="s">
        <v>774</v>
      </c>
      <c r="G872" s="179"/>
      <c r="H872" s="179" t="s">
        <v>1106</v>
      </c>
      <c r="I872" s="179"/>
      <c r="J872" s="179" t="s">
        <v>134</v>
      </c>
      <c r="K872" s="179">
        <v>2000.0</v>
      </c>
      <c r="L872" s="195">
        <v>0.1108</v>
      </c>
      <c r="M872" s="179" t="s">
        <v>8</v>
      </c>
      <c r="N872" s="179">
        <v>34995.0</v>
      </c>
      <c r="O872" s="179">
        <v>352.0</v>
      </c>
      <c r="P872" s="179">
        <v>0.0101</v>
      </c>
      <c r="Q872" s="179">
        <v>7426.07</v>
      </c>
      <c r="R872" s="179">
        <v>21.1</v>
      </c>
      <c r="S872" s="179">
        <v>664.0</v>
      </c>
      <c r="T872" s="179">
        <v>0.0</v>
      </c>
      <c r="U872" s="179">
        <v>0.0</v>
      </c>
      <c r="V872" s="179">
        <v>0.0</v>
      </c>
      <c r="W872" s="179">
        <v>0.0</v>
      </c>
      <c r="X872" s="179">
        <v>0.0</v>
      </c>
      <c r="Y872" s="179">
        <v>0.0</v>
      </c>
      <c r="Z872" s="179">
        <v>0.0</v>
      </c>
      <c r="AA872" s="179">
        <v>0.0</v>
      </c>
      <c r="AB872" s="179">
        <v>4416.0</v>
      </c>
      <c r="AC872" s="179">
        <v>1681.63</v>
      </c>
      <c r="AD872" s="179">
        <v>0.0</v>
      </c>
      <c r="AE872" s="179">
        <v>0.0</v>
      </c>
      <c r="AF872" s="179">
        <v>0.0</v>
      </c>
      <c r="AG872" s="179">
        <v>0.0</v>
      </c>
      <c r="AH872" s="179">
        <v>0.0</v>
      </c>
      <c r="AI872" s="179">
        <v>0.0</v>
      </c>
      <c r="AJ872" s="179">
        <v>0.0</v>
      </c>
    </row>
    <row r="873" ht="15.75" customHeight="1">
      <c r="A873" s="65">
        <v>45658.0</v>
      </c>
      <c r="B873" s="179" t="s">
        <v>771</v>
      </c>
      <c r="C873" s="179" t="s">
        <v>1112</v>
      </c>
      <c r="D873" s="179" t="s">
        <v>773</v>
      </c>
      <c r="E873" s="179" t="s">
        <v>459</v>
      </c>
      <c r="F873" s="179" t="s">
        <v>774</v>
      </c>
      <c r="G873" s="179" t="s">
        <v>775</v>
      </c>
      <c r="H873" s="179" t="s">
        <v>1106</v>
      </c>
      <c r="I873" s="179"/>
      <c r="J873" s="179" t="s">
        <v>230</v>
      </c>
      <c r="K873" s="179">
        <v>1000.0</v>
      </c>
      <c r="L873" s="195">
        <v>0.3649</v>
      </c>
      <c r="M873" s="179" t="s">
        <v>8</v>
      </c>
      <c r="N873" s="179">
        <v>58866.0</v>
      </c>
      <c r="O873" s="179">
        <v>155.0</v>
      </c>
      <c r="P873" s="179">
        <v>0.0026</v>
      </c>
      <c r="Q873" s="179">
        <v>7324.9</v>
      </c>
      <c r="R873" s="179">
        <v>47.26</v>
      </c>
      <c r="S873" s="179">
        <v>0.0</v>
      </c>
      <c r="T873" s="179">
        <v>1.0</v>
      </c>
      <c r="U873" s="179">
        <v>14652.54</v>
      </c>
      <c r="V873" s="179">
        <v>0.4999</v>
      </c>
      <c r="W873" s="179">
        <v>2.0004</v>
      </c>
      <c r="X873" s="179">
        <v>0.0</v>
      </c>
      <c r="Y873" s="179">
        <v>0.0</v>
      </c>
      <c r="Z873" s="179">
        <v>0.0</v>
      </c>
      <c r="AA873" s="179">
        <v>0.0</v>
      </c>
      <c r="AB873" s="179">
        <v>0.0</v>
      </c>
      <c r="AC873" s="179">
        <v>0.0</v>
      </c>
      <c r="AD873" s="179">
        <v>0.0</v>
      </c>
      <c r="AE873" s="179">
        <v>0.0</v>
      </c>
      <c r="AF873" s="179">
        <v>0.0</v>
      </c>
      <c r="AG873" s="179">
        <v>0.0</v>
      </c>
      <c r="AH873" s="179">
        <v>0.0</v>
      </c>
      <c r="AI873" s="179">
        <v>0.0</v>
      </c>
      <c r="AJ873" s="179">
        <v>0.0</v>
      </c>
    </row>
    <row r="874" ht="15.75" customHeight="1">
      <c r="A874" s="65">
        <v>45658.0</v>
      </c>
      <c r="B874" s="179" t="s">
        <v>771</v>
      </c>
      <c r="C874" s="179" t="s">
        <v>1097</v>
      </c>
      <c r="D874" s="179" t="s">
        <v>773</v>
      </c>
      <c r="E874" s="179" t="s">
        <v>459</v>
      </c>
      <c r="F874" s="179" t="s">
        <v>774</v>
      </c>
      <c r="G874" s="179" t="s">
        <v>775</v>
      </c>
      <c r="H874" s="179" t="s">
        <v>1106</v>
      </c>
      <c r="I874" s="179"/>
      <c r="J874" s="179" t="s">
        <v>128</v>
      </c>
      <c r="K874" s="179">
        <v>1000.0</v>
      </c>
      <c r="L874" s="179" t="s">
        <v>776</v>
      </c>
      <c r="M874" s="179" t="s">
        <v>8</v>
      </c>
      <c r="N874" s="179">
        <v>26031.0</v>
      </c>
      <c r="O874" s="179">
        <v>231.0</v>
      </c>
      <c r="P874" s="179">
        <v>0.0089</v>
      </c>
      <c r="Q874" s="179">
        <v>7293.23</v>
      </c>
      <c r="R874" s="179">
        <v>31.57</v>
      </c>
      <c r="S874" s="179">
        <v>0.0</v>
      </c>
      <c r="T874" s="179">
        <v>11.0</v>
      </c>
      <c r="U874" s="179">
        <v>165839.0</v>
      </c>
      <c r="V874" s="179">
        <v>0.044</v>
      </c>
      <c r="W874" s="179">
        <v>22.7388</v>
      </c>
      <c r="X874" s="179">
        <v>0.0</v>
      </c>
      <c r="Y874" s="179">
        <v>0.0</v>
      </c>
      <c r="Z874" s="179">
        <v>0.0</v>
      </c>
      <c r="AA874" s="179">
        <v>0.0</v>
      </c>
      <c r="AB874" s="179">
        <v>0.0</v>
      </c>
      <c r="AC874" s="179">
        <v>0.0</v>
      </c>
      <c r="AD874" s="179">
        <v>0.0</v>
      </c>
      <c r="AE874" s="179">
        <v>0.0</v>
      </c>
      <c r="AF874" s="179">
        <v>0.0</v>
      </c>
      <c r="AG874" s="179">
        <v>0.0</v>
      </c>
      <c r="AH874" s="179">
        <v>0.0</v>
      </c>
      <c r="AI874" s="179">
        <v>0.0</v>
      </c>
      <c r="AJ874" s="179">
        <v>0.0</v>
      </c>
    </row>
    <row r="875" ht="15.75" customHeight="1">
      <c r="A875" s="65">
        <v>45658.0</v>
      </c>
      <c r="B875" s="179" t="s">
        <v>771</v>
      </c>
      <c r="C875" s="179" t="s">
        <v>971</v>
      </c>
      <c r="D875" s="179" t="s">
        <v>773</v>
      </c>
      <c r="E875" s="179" t="s">
        <v>459</v>
      </c>
      <c r="F875" s="179" t="s">
        <v>774</v>
      </c>
      <c r="G875" s="179" t="s">
        <v>775</v>
      </c>
      <c r="H875" s="179" t="s">
        <v>1106</v>
      </c>
      <c r="I875" s="179"/>
      <c r="J875" s="179" t="s">
        <v>90</v>
      </c>
      <c r="K875" s="179">
        <v>3000.0</v>
      </c>
      <c r="L875" s="179" t="s">
        <v>776</v>
      </c>
      <c r="M875" s="179" t="s">
        <v>8</v>
      </c>
      <c r="N875" s="179">
        <v>66652.0</v>
      </c>
      <c r="O875" s="179">
        <v>139.0</v>
      </c>
      <c r="P875" s="179">
        <v>0.0021</v>
      </c>
      <c r="Q875" s="179">
        <v>6948.43</v>
      </c>
      <c r="R875" s="179">
        <v>49.99</v>
      </c>
      <c r="S875" s="179">
        <v>0.0</v>
      </c>
      <c r="T875" s="179">
        <v>1.0</v>
      </c>
      <c r="U875" s="179">
        <v>13689.83</v>
      </c>
      <c r="V875" s="179">
        <v>0.5076</v>
      </c>
      <c r="W875" s="179">
        <v>1.9702</v>
      </c>
      <c r="X875" s="179">
        <v>0.0</v>
      </c>
      <c r="Y875" s="179">
        <v>0.0</v>
      </c>
      <c r="Z875" s="179">
        <v>0.0</v>
      </c>
      <c r="AA875" s="179">
        <v>0.0</v>
      </c>
      <c r="AB875" s="179">
        <v>0.0</v>
      </c>
      <c r="AC875" s="179">
        <v>0.0</v>
      </c>
      <c r="AD875" s="179">
        <v>0.0</v>
      </c>
      <c r="AE875" s="179">
        <v>0.0</v>
      </c>
      <c r="AF875" s="179">
        <v>0.0</v>
      </c>
      <c r="AG875" s="179">
        <v>0.0</v>
      </c>
      <c r="AH875" s="179">
        <v>0.0</v>
      </c>
      <c r="AI875" s="179">
        <v>0.0</v>
      </c>
      <c r="AJ875" s="179">
        <v>0.0</v>
      </c>
    </row>
    <row r="876" ht="15.75" customHeight="1">
      <c r="A876" s="65">
        <v>45658.0</v>
      </c>
      <c r="B876" s="179" t="s">
        <v>771</v>
      </c>
      <c r="C876" s="179" t="s">
        <v>1080</v>
      </c>
      <c r="D876" s="179" t="s">
        <v>773</v>
      </c>
      <c r="E876" s="179" t="s">
        <v>459</v>
      </c>
      <c r="F876" s="179" t="s">
        <v>774</v>
      </c>
      <c r="G876" s="179" t="s">
        <v>775</v>
      </c>
      <c r="H876" s="179" t="s">
        <v>1106</v>
      </c>
      <c r="I876" s="179"/>
      <c r="J876" s="179" t="s">
        <v>140</v>
      </c>
      <c r="K876" s="179">
        <v>3000.0</v>
      </c>
      <c r="L876" s="195">
        <v>0.0941</v>
      </c>
      <c r="M876" s="179" t="s">
        <v>8</v>
      </c>
      <c r="N876" s="179">
        <v>67179.0</v>
      </c>
      <c r="O876" s="179">
        <v>181.0</v>
      </c>
      <c r="P876" s="179">
        <v>0.0027</v>
      </c>
      <c r="Q876" s="179">
        <v>6322.2</v>
      </c>
      <c r="R876" s="179">
        <v>34.93</v>
      </c>
      <c r="S876" s="179">
        <v>0.0</v>
      </c>
      <c r="T876" s="179">
        <v>7.0</v>
      </c>
      <c r="U876" s="179">
        <v>158354.2</v>
      </c>
      <c r="V876" s="179">
        <v>0.0399</v>
      </c>
      <c r="W876" s="179">
        <v>25.0473</v>
      </c>
      <c r="X876" s="179">
        <v>0.0</v>
      </c>
      <c r="Y876" s="179">
        <v>0.0</v>
      </c>
      <c r="Z876" s="179">
        <v>0.0</v>
      </c>
      <c r="AA876" s="179">
        <v>0.0</v>
      </c>
      <c r="AB876" s="179">
        <v>0.0</v>
      </c>
      <c r="AC876" s="179">
        <v>0.0</v>
      </c>
      <c r="AD876" s="179">
        <v>0.0</v>
      </c>
      <c r="AE876" s="179">
        <v>0.0</v>
      </c>
      <c r="AF876" s="179">
        <v>0.0</v>
      </c>
      <c r="AG876" s="179">
        <v>0.0</v>
      </c>
      <c r="AH876" s="179">
        <v>0.0</v>
      </c>
      <c r="AI876" s="179">
        <v>0.0</v>
      </c>
      <c r="AJ876" s="179">
        <v>0.0</v>
      </c>
    </row>
    <row r="877" ht="15.75" customHeight="1">
      <c r="A877" s="65">
        <v>45658.0</v>
      </c>
      <c r="B877" s="179" t="s">
        <v>771</v>
      </c>
      <c r="C877" s="179" t="s">
        <v>1113</v>
      </c>
      <c r="D877" s="179" t="s">
        <v>773</v>
      </c>
      <c r="E877" s="179" t="s">
        <v>459</v>
      </c>
      <c r="F877" s="179" t="s">
        <v>774</v>
      </c>
      <c r="G877" s="179" t="s">
        <v>775</v>
      </c>
      <c r="H877" s="179" t="s">
        <v>1106</v>
      </c>
      <c r="I877" s="179"/>
      <c r="J877" s="179" t="s">
        <v>134</v>
      </c>
      <c r="K877" s="179">
        <v>500.0</v>
      </c>
      <c r="L877" s="195">
        <v>0.1099</v>
      </c>
      <c r="M877" s="179" t="s">
        <v>8</v>
      </c>
      <c r="N877" s="179">
        <v>6642.0</v>
      </c>
      <c r="O877" s="179">
        <v>116.0</v>
      </c>
      <c r="P877" s="179">
        <v>0.0175</v>
      </c>
      <c r="Q877" s="179">
        <v>5978.08</v>
      </c>
      <c r="R877" s="179">
        <v>51.54</v>
      </c>
      <c r="S877" s="179">
        <v>0.0</v>
      </c>
      <c r="T877" s="179">
        <v>0.0</v>
      </c>
      <c r="U877" s="179">
        <v>0.0</v>
      </c>
      <c r="V877" s="179">
        <v>0.0</v>
      </c>
      <c r="W877" s="179">
        <v>0.0</v>
      </c>
      <c r="X877" s="179">
        <v>0.0</v>
      </c>
      <c r="Y877" s="179">
        <v>0.0</v>
      </c>
      <c r="Z877" s="179">
        <v>0.0</v>
      </c>
      <c r="AA877" s="179">
        <v>0.0</v>
      </c>
      <c r="AB877" s="179">
        <v>0.0</v>
      </c>
      <c r="AC877" s="179">
        <v>0.0</v>
      </c>
      <c r="AD877" s="179">
        <v>0.0</v>
      </c>
      <c r="AE877" s="179">
        <v>0.0</v>
      </c>
      <c r="AF877" s="179">
        <v>0.0</v>
      </c>
      <c r="AG877" s="179">
        <v>0.0</v>
      </c>
      <c r="AH877" s="179">
        <v>0.0</v>
      </c>
      <c r="AI877" s="179">
        <v>0.0</v>
      </c>
      <c r="AJ877" s="179">
        <v>0.0</v>
      </c>
    </row>
    <row r="878" ht="15.75" customHeight="1">
      <c r="A878" s="65">
        <v>45658.0</v>
      </c>
      <c r="B878" s="179" t="s">
        <v>771</v>
      </c>
      <c r="C878" s="179" t="s">
        <v>963</v>
      </c>
      <c r="D878" s="179" t="s">
        <v>773</v>
      </c>
      <c r="E878" s="179" t="s">
        <v>459</v>
      </c>
      <c r="F878" s="179" t="s">
        <v>774</v>
      </c>
      <c r="G878" s="179" t="s">
        <v>775</v>
      </c>
      <c r="H878" s="179" t="s">
        <v>1106</v>
      </c>
      <c r="I878" s="179"/>
      <c r="J878" s="179" t="s">
        <v>140</v>
      </c>
      <c r="K878" s="179">
        <v>3000.0</v>
      </c>
      <c r="L878" s="179" t="s">
        <v>776</v>
      </c>
      <c r="M878" s="179" t="s">
        <v>8</v>
      </c>
      <c r="N878" s="179">
        <v>29747.0</v>
      </c>
      <c r="O878" s="179">
        <v>100.0</v>
      </c>
      <c r="P878" s="179">
        <v>0.0034</v>
      </c>
      <c r="Q878" s="179">
        <v>5808.02</v>
      </c>
      <c r="R878" s="179">
        <v>58.08</v>
      </c>
      <c r="S878" s="179">
        <v>0.0</v>
      </c>
      <c r="T878" s="179">
        <v>1.0</v>
      </c>
      <c r="U878" s="179">
        <v>32584.75</v>
      </c>
      <c r="V878" s="179">
        <v>0.1782</v>
      </c>
      <c r="W878" s="179">
        <v>5.6103</v>
      </c>
      <c r="X878" s="179">
        <v>0.0</v>
      </c>
      <c r="Y878" s="179">
        <v>0.0</v>
      </c>
      <c r="Z878" s="179">
        <v>0.0</v>
      </c>
      <c r="AA878" s="179">
        <v>0.0</v>
      </c>
      <c r="AB878" s="179">
        <v>0.0</v>
      </c>
      <c r="AC878" s="179">
        <v>0.0</v>
      </c>
      <c r="AD878" s="179">
        <v>0.0</v>
      </c>
      <c r="AE878" s="179">
        <v>0.0</v>
      </c>
      <c r="AF878" s="179">
        <v>0.0</v>
      </c>
      <c r="AG878" s="179">
        <v>0.0</v>
      </c>
      <c r="AH878" s="179">
        <v>0.0</v>
      </c>
      <c r="AI878" s="179">
        <v>0.0</v>
      </c>
      <c r="AJ878" s="179">
        <v>0.0</v>
      </c>
    </row>
    <row r="879" ht="15.75" customHeight="1">
      <c r="A879" s="65">
        <v>45658.0</v>
      </c>
      <c r="B879" s="179" t="s">
        <v>771</v>
      </c>
      <c r="C879" s="179" t="s">
        <v>960</v>
      </c>
      <c r="D879" s="179" t="s">
        <v>773</v>
      </c>
      <c r="E879" s="179" t="s">
        <v>459</v>
      </c>
      <c r="F879" s="179" t="s">
        <v>774</v>
      </c>
      <c r="G879" s="179" t="s">
        <v>775</v>
      </c>
      <c r="H879" s="179" t="s">
        <v>1106</v>
      </c>
      <c r="I879" s="179"/>
      <c r="J879" s="179" t="s">
        <v>140</v>
      </c>
      <c r="K879" s="179">
        <v>3000.0</v>
      </c>
      <c r="L879" s="179" t="s">
        <v>776</v>
      </c>
      <c r="M879" s="179" t="s">
        <v>8</v>
      </c>
      <c r="N879" s="179">
        <v>46213.0</v>
      </c>
      <c r="O879" s="179">
        <v>207.0</v>
      </c>
      <c r="P879" s="179">
        <v>0.0045</v>
      </c>
      <c r="Q879" s="179">
        <v>5796.43</v>
      </c>
      <c r="R879" s="179">
        <v>28.0</v>
      </c>
      <c r="S879" s="179">
        <v>0.0</v>
      </c>
      <c r="T879" s="179">
        <v>1.0</v>
      </c>
      <c r="U879" s="179">
        <v>22889.83</v>
      </c>
      <c r="V879" s="179">
        <v>0.2532</v>
      </c>
      <c r="W879" s="179">
        <v>3.949</v>
      </c>
      <c r="X879" s="179">
        <v>0.0</v>
      </c>
      <c r="Y879" s="179">
        <v>0.0</v>
      </c>
      <c r="Z879" s="179">
        <v>0.0</v>
      </c>
      <c r="AA879" s="179">
        <v>0.0</v>
      </c>
      <c r="AB879" s="179">
        <v>0.0</v>
      </c>
      <c r="AC879" s="179">
        <v>0.0</v>
      </c>
      <c r="AD879" s="179">
        <v>0.0</v>
      </c>
      <c r="AE879" s="179">
        <v>0.0</v>
      </c>
      <c r="AF879" s="179">
        <v>0.0</v>
      </c>
      <c r="AG879" s="179">
        <v>0.0</v>
      </c>
      <c r="AH879" s="179">
        <v>0.0</v>
      </c>
      <c r="AI879" s="179">
        <v>0.0</v>
      </c>
      <c r="AJ879" s="179">
        <v>0.0</v>
      </c>
    </row>
    <row r="880" ht="15.75" customHeight="1">
      <c r="A880" s="65">
        <v>45658.0</v>
      </c>
      <c r="B880" s="179" t="s">
        <v>771</v>
      </c>
      <c r="C880" s="179" t="s">
        <v>957</v>
      </c>
      <c r="D880" s="179" t="s">
        <v>773</v>
      </c>
      <c r="E880" s="179" t="s">
        <v>459</v>
      </c>
      <c r="F880" s="179" t="s">
        <v>774</v>
      </c>
      <c r="G880" s="179" t="s">
        <v>775</v>
      </c>
      <c r="H880" s="179" t="s">
        <v>1106</v>
      </c>
      <c r="I880" s="179"/>
      <c r="J880" s="179" t="s">
        <v>140</v>
      </c>
      <c r="K880" s="179">
        <v>3000.0</v>
      </c>
      <c r="L880" s="179" t="s">
        <v>776</v>
      </c>
      <c r="M880" s="179" t="s">
        <v>8</v>
      </c>
      <c r="N880" s="179">
        <v>56828.0</v>
      </c>
      <c r="O880" s="179">
        <v>153.0</v>
      </c>
      <c r="P880" s="179">
        <v>0.0027</v>
      </c>
      <c r="Q880" s="179">
        <v>5668.49</v>
      </c>
      <c r="R880" s="179">
        <v>37.05</v>
      </c>
      <c r="S880" s="179">
        <v>0.0</v>
      </c>
      <c r="T880" s="179">
        <v>0.0</v>
      </c>
      <c r="U880" s="179">
        <v>0.0</v>
      </c>
      <c r="V880" s="179">
        <v>0.0</v>
      </c>
      <c r="W880" s="179">
        <v>0.0</v>
      </c>
      <c r="X880" s="179">
        <v>0.0</v>
      </c>
      <c r="Y880" s="179">
        <v>0.0</v>
      </c>
      <c r="Z880" s="179">
        <v>0.0</v>
      </c>
      <c r="AA880" s="179">
        <v>0.0</v>
      </c>
      <c r="AB880" s="179">
        <v>0.0</v>
      </c>
      <c r="AC880" s="179">
        <v>0.0</v>
      </c>
      <c r="AD880" s="179">
        <v>0.0</v>
      </c>
      <c r="AE880" s="179">
        <v>0.0</v>
      </c>
      <c r="AF880" s="179">
        <v>0.0</v>
      </c>
      <c r="AG880" s="179">
        <v>0.0</v>
      </c>
      <c r="AH880" s="179">
        <v>0.0</v>
      </c>
      <c r="AI880" s="179">
        <v>0.0</v>
      </c>
      <c r="AJ880" s="179">
        <v>0.0</v>
      </c>
    </row>
    <row r="881" ht="15.75" customHeight="1">
      <c r="A881" s="65">
        <v>45658.0</v>
      </c>
      <c r="B881" s="179" t="s">
        <v>771</v>
      </c>
      <c r="C881" s="179" t="s">
        <v>1103</v>
      </c>
      <c r="D881" s="179" t="s">
        <v>773</v>
      </c>
      <c r="E881" s="179" t="s">
        <v>463</v>
      </c>
      <c r="F881" s="179" t="s">
        <v>774</v>
      </c>
      <c r="G881" s="179"/>
      <c r="H881" s="179" t="s">
        <v>1106</v>
      </c>
      <c r="I881" s="179"/>
      <c r="J881" s="179" t="s">
        <v>140</v>
      </c>
      <c r="K881" s="179">
        <v>1000.0</v>
      </c>
      <c r="L881" s="179"/>
      <c r="M881" s="179" t="s">
        <v>8</v>
      </c>
      <c r="N881" s="179">
        <v>94031.0</v>
      </c>
      <c r="O881" s="179">
        <v>135.0</v>
      </c>
      <c r="P881" s="179">
        <v>0.0014</v>
      </c>
      <c r="Q881" s="179">
        <v>4718.49</v>
      </c>
      <c r="R881" s="179">
        <v>34.95</v>
      </c>
      <c r="S881" s="179">
        <v>271.0</v>
      </c>
      <c r="T881" s="179">
        <v>2.0</v>
      </c>
      <c r="U881" s="179">
        <v>52520.34</v>
      </c>
      <c r="V881" s="179">
        <v>0.0898</v>
      </c>
      <c r="W881" s="179">
        <v>11.1308</v>
      </c>
      <c r="X881" s="179">
        <v>2.0</v>
      </c>
      <c r="Y881" s="179">
        <v>1.0</v>
      </c>
      <c r="Z881" s="179">
        <v>52520.34</v>
      </c>
      <c r="AA881" s="179">
        <v>1.0</v>
      </c>
      <c r="AB881" s="179">
        <v>0.0</v>
      </c>
      <c r="AC881" s="179">
        <v>0.0</v>
      </c>
      <c r="AD881" s="179">
        <v>0.0</v>
      </c>
      <c r="AE881" s="179">
        <v>0.0</v>
      </c>
      <c r="AF881" s="179">
        <v>0.0</v>
      </c>
      <c r="AG881" s="179">
        <v>0.0</v>
      </c>
      <c r="AH881" s="179">
        <v>0.0</v>
      </c>
      <c r="AI881" s="179">
        <v>0.0</v>
      </c>
      <c r="AJ881" s="179">
        <v>0.0</v>
      </c>
    </row>
    <row r="882" ht="15.75" customHeight="1">
      <c r="A882" s="65">
        <v>45658.0</v>
      </c>
      <c r="B882" s="179" t="s">
        <v>779</v>
      </c>
      <c r="C882" s="179" t="s">
        <v>1102</v>
      </c>
      <c r="D882" s="179" t="s">
        <v>781</v>
      </c>
      <c r="E882" s="179" t="s">
        <v>460</v>
      </c>
      <c r="F882" s="179" t="s">
        <v>778</v>
      </c>
      <c r="G882" s="179" t="s">
        <v>775</v>
      </c>
      <c r="H882" s="179" t="s">
        <v>1106</v>
      </c>
      <c r="I882" s="179"/>
      <c r="J882" s="179" t="s">
        <v>211</v>
      </c>
      <c r="K882" s="179">
        <v>1000.0</v>
      </c>
      <c r="L882" s="179" t="s">
        <v>776</v>
      </c>
      <c r="M882" s="179" t="s">
        <v>8</v>
      </c>
      <c r="N882" s="179">
        <v>67207.0</v>
      </c>
      <c r="O882" s="179">
        <v>852.0</v>
      </c>
      <c r="P882" s="179">
        <v>0.0127</v>
      </c>
      <c r="Q882" s="179">
        <v>4226.54</v>
      </c>
      <c r="R882" s="179">
        <v>4.96</v>
      </c>
      <c r="S882" s="179">
        <v>0.0</v>
      </c>
      <c r="T882" s="179">
        <v>16.0</v>
      </c>
      <c r="U882" s="179">
        <v>18853.39</v>
      </c>
      <c r="V882" s="179">
        <v>0.2242</v>
      </c>
      <c r="W882" s="179">
        <v>4.4607</v>
      </c>
      <c r="X882" s="179">
        <v>0.0</v>
      </c>
      <c r="Y882" s="179">
        <v>0.0</v>
      </c>
      <c r="Z882" s="179">
        <v>0.0</v>
      </c>
      <c r="AA882" s="179">
        <v>0.0</v>
      </c>
      <c r="AB882" s="179">
        <v>0.0</v>
      </c>
      <c r="AC882" s="179">
        <v>0.0</v>
      </c>
      <c r="AD882" s="179">
        <v>0.0</v>
      </c>
      <c r="AE882" s="179">
        <v>0.0</v>
      </c>
      <c r="AF882" s="179">
        <v>0.0</v>
      </c>
      <c r="AG882" s="179">
        <v>0.0</v>
      </c>
      <c r="AH882" s="179">
        <v>0.0</v>
      </c>
      <c r="AI882" s="179">
        <v>0.0</v>
      </c>
      <c r="AJ882" s="179">
        <v>0.0</v>
      </c>
    </row>
    <row r="883" ht="15.75" customHeight="1">
      <c r="A883" s="65">
        <v>45658.0</v>
      </c>
      <c r="B883" s="179" t="s">
        <v>771</v>
      </c>
      <c r="C883" s="179" t="s">
        <v>979</v>
      </c>
      <c r="D883" s="179" t="s">
        <v>773</v>
      </c>
      <c r="E883" s="179" t="s">
        <v>459</v>
      </c>
      <c r="F883" s="179" t="s">
        <v>774</v>
      </c>
      <c r="G883" s="179" t="s">
        <v>775</v>
      </c>
      <c r="H883" s="179" t="s">
        <v>1106</v>
      </c>
      <c r="I883" s="179"/>
      <c r="J883" s="179" t="s">
        <v>90</v>
      </c>
      <c r="K883" s="179">
        <v>2000.0</v>
      </c>
      <c r="L883" s="195">
        <v>0.0624</v>
      </c>
      <c r="M883" s="179" t="s">
        <v>8</v>
      </c>
      <c r="N883" s="179">
        <v>11884.0</v>
      </c>
      <c r="O883" s="179">
        <v>106.0</v>
      </c>
      <c r="P883" s="179">
        <v>0.0089</v>
      </c>
      <c r="Q883" s="179">
        <v>4127.45</v>
      </c>
      <c r="R883" s="179">
        <v>38.94</v>
      </c>
      <c r="S883" s="179">
        <v>0.0</v>
      </c>
      <c r="T883" s="179">
        <v>1.0</v>
      </c>
      <c r="U883" s="179">
        <v>28306.78</v>
      </c>
      <c r="V883" s="179">
        <v>0.1458</v>
      </c>
      <c r="W883" s="179">
        <v>6.8582</v>
      </c>
      <c r="X883" s="179">
        <v>0.0</v>
      </c>
      <c r="Y883" s="179">
        <v>0.0</v>
      </c>
      <c r="Z883" s="179">
        <v>0.0</v>
      </c>
      <c r="AA883" s="179">
        <v>0.0</v>
      </c>
      <c r="AB883" s="179">
        <v>0.0</v>
      </c>
      <c r="AC883" s="179">
        <v>0.0</v>
      </c>
      <c r="AD883" s="179">
        <v>0.0</v>
      </c>
      <c r="AE883" s="179">
        <v>0.0</v>
      </c>
      <c r="AF883" s="179">
        <v>0.0</v>
      </c>
      <c r="AG883" s="179">
        <v>0.0</v>
      </c>
      <c r="AH883" s="179">
        <v>0.0</v>
      </c>
      <c r="AI883" s="179">
        <v>0.0</v>
      </c>
      <c r="AJ883" s="179">
        <v>0.0</v>
      </c>
    </row>
    <row r="884" ht="15.75" customHeight="1">
      <c r="A884" s="65">
        <v>45658.0</v>
      </c>
      <c r="B884" s="179" t="s">
        <v>771</v>
      </c>
      <c r="C884" s="179" t="s">
        <v>1114</v>
      </c>
      <c r="D884" s="179" t="s">
        <v>773</v>
      </c>
      <c r="E884" s="179" t="s">
        <v>459</v>
      </c>
      <c r="F884" s="179" t="s">
        <v>774</v>
      </c>
      <c r="G884" s="179" t="s">
        <v>775</v>
      </c>
      <c r="H884" s="179" t="s">
        <v>1106</v>
      </c>
      <c r="I884" s="179"/>
      <c r="J884" s="179" t="s">
        <v>429</v>
      </c>
      <c r="K884" s="179">
        <v>1000.0</v>
      </c>
      <c r="L884" s="195">
        <v>0.1297</v>
      </c>
      <c r="M884" s="179" t="s">
        <v>8</v>
      </c>
      <c r="N884" s="179">
        <v>16005.0</v>
      </c>
      <c r="O884" s="179">
        <v>166.0</v>
      </c>
      <c r="P884" s="179">
        <v>0.0104</v>
      </c>
      <c r="Q884" s="179">
        <v>4100.44</v>
      </c>
      <c r="R884" s="179">
        <v>24.7</v>
      </c>
      <c r="S884" s="179">
        <v>0.0</v>
      </c>
      <c r="T884" s="179">
        <v>0.0</v>
      </c>
      <c r="U884" s="179">
        <v>0.0</v>
      </c>
      <c r="V884" s="179">
        <v>0.0</v>
      </c>
      <c r="W884" s="179">
        <v>0.0</v>
      </c>
      <c r="X884" s="179">
        <v>0.0</v>
      </c>
      <c r="Y884" s="179">
        <v>0.0</v>
      </c>
      <c r="Z884" s="179">
        <v>0.0</v>
      </c>
      <c r="AA884" s="179">
        <v>0.0</v>
      </c>
      <c r="AB884" s="179">
        <v>0.0</v>
      </c>
      <c r="AC884" s="179">
        <v>0.0</v>
      </c>
      <c r="AD884" s="179">
        <v>0.0</v>
      </c>
      <c r="AE884" s="179">
        <v>0.0</v>
      </c>
      <c r="AF884" s="179">
        <v>0.0</v>
      </c>
      <c r="AG884" s="179">
        <v>0.0</v>
      </c>
      <c r="AH884" s="179">
        <v>0.0</v>
      </c>
      <c r="AI884" s="179">
        <v>0.0</v>
      </c>
      <c r="AJ884" s="179">
        <v>0.0</v>
      </c>
    </row>
    <row r="885" ht="15.75" customHeight="1">
      <c r="A885" s="65">
        <v>45658.0</v>
      </c>
      <c r="B885" s="179" t="s">
        <v>771</v>
      </c>
      <c r="C885" s="179" t="s">
        <v>1018</v>
      </c>
      <c r="D885" s="179" t="s">
        <v>773</v>
      </c>
      <c r="E885" s="179" t="s">
        <v>459</v>
      </c>
      <c r="F885" s="179" t="s">
        <v>774</v>
      </c>
      <c r="G885" s="179" t="s">
        <v>775</v>
      </c>
      <c r="H885" s="179" t="s">
        <v>1106</v>
      </c>
      <c r="I885" s="179"/>
      <c r="J885" s="179" t="s">
        <v>182</v>
      </c>
      <c r="K885" s="179">
        <v>3000.0</v>
      </c>
      <c r="L885" s="195">
        <v>0.0768</v>
      </c>
      <c r="M885" s="179" t="s">
        <v>8</v>
      </c>
      <c r="N885" s="179">
        <v>35856.0</v>
      </c>
      <c r="O885" s="179">
        <v>91.0</v>
      </c>
      <c r="P885" s="179">
        <v>0.0025</v>
      </c>
      <c r="Q885" s="179">
        <v>4026.28</v>
      </c>
      <c r="R885" s="179">
        <v>44.24</v>
      </c>
      <c r="S885" s="179">
        <v>0.0</v>
      </c>
      <c r="T885" s="179">
        <v>0.0</v>
      </c>
      <c r="U885" s="179">
        <v>0.0</v>
      </c>
      <c r="V885" s="179">
        <v>0.0</v>
      </c>
      <c r="W885" s="179">
        <v>0.0</v>
      </c>
      <c r="X885" s="179">
        <v>0.0</v>
      </c>
      <c r="Y885" s="179">
        <v>0.0</v>
      </c>
      <c r="Z885" s="179">
        <v>0.0</v>
      </c>
      <c r="AA885" s="179">
        <v>0.0</v>
      </c>
      <c r="AB885" s="179">
        <v>0.0</v>
      </c>
      <c r="AC885" s="179">
        <v>0.0</v>
      </c>
      <c r="AD885" s="179">
        <v>0.0</v>
      </c>
      <c r="AE885" s="179">
        <v>0.0</v>
      </c>
      <c r="AF885" s="179">
        <v>0.0</v>
      </c>
      <c r="AG885" s="179">
        <v>0.0</v>
      </c>
      <c r="AH885" s="179">
        <v>0.0</v>
      </c>
      <c r="AI885" s="179">
        <v>0.0</v>
      </c>
      <c r="AJ885" s="179">
        <v>0.0</v>
      </c>
    </row>
    <row r="886" ht="15.75" customHeight="1">
      <c r="A886" s="65">
        <v>45658.0</v>
      </c>
      <c r="B886" s="179" t="s">
        <v>771</v>
      </c>
      <c r="C886" s="179" t="s">
        <v>912</v>
      </c>
      <c r="D886" s="179" t="s">
        <v>773</v>
      </c>
      <c r="E886" s="179" t="s">
        <v>459</v>
      </c>
      <c r="F886" s="179" t="s">
        <v>774</v>
      </c>
      <c r="G886" s="179" t="s">
        <v>775</v>
      </c>
      <c r="H886" s="179" t="s">
        <v>1106</v>
      </c>
      <c r="I886" s="179"/>
      <c r="J886" s="179" t="s">
        <v>140</v>
      </c>
      <c r="K886" s="179">
        <v>3000.0</v>
      </c>
      <c r="L886" s="195">
        <v>0.106</v>
      </c>
      <c r="M886" s="179" t="s">
        <v>8</v>
      </c>
      <c r="N886" s="179">
        <v>49450.0</v>
      </c>
      <c r="O886" s="179">
        <v>108.0</v>
      </c>
      <c r="P886" s="179">
        <v>0.0022</v>
      </c>
      <c r="Q886" s="179">
        <v>3982.72</v>
      </c>
      <c r="R886" s="179">
        <v>36.88</v>
      </c>
      <c r="S886" s="179">
        <v>0.0</v>
      </c>
      <c r="T886" s="179">
        <v>1.0</v>
      </c>
      <c r="U886" s="179">
        <v>29491.53</v>
      </c>
      <c r="V886" s="179">
        <v>0.135</v>
      </c>
      <c r="W886" s="179">
        <v>7.4049</v>
      </c>
      <c r="X886" s="179">
        <v>0.0</v>
      </c>
      <c r="Y886" s="179">
        <v>0.0</v>
      </c>
      <c r="Z886" s="179">
        <v>0.0</v>
      </c>
      <c r="AA886" s="179">
        <v>0.0</v>
      </c>
      <c r="AB886" s="179">
        <v>0.0</v>
      </c>
      <c r="AC886" s="179">
        <v>0.0</v>
      </c>
      <c r="AD886" s="179">
        <v>0.0</v>
      </c>
      <c r="AE886" s="179">
        <v>0.0</v>
      </c>
      <c r="AF886" s="179">
        <v>0.0</v>
      </c>
      <c r="AG886" s="179">
        <v>0.0</v>
      </c>
      <c r="AH886" s="179">
        <v>0.0</v>
      </c>
      <c r="AI886" s="179">
        <v>0.0</v>
      </c>
      <c r="AJ886" s="179">
        <v>0.0</v>
      </c>
    </row>
    <row r="887" ht="15.75" customHeight="1">
      <c r="A887" s="65">
        <v>45658.0</v>
      </c>
      <c r="B887" s="179" t="s">
        <v>771</v>
      </c>
      <c r="C887" s="179" t="s">
        <v>1013</v>
      </c>
      <c r="D887" s="179" t="s">
        <v>773</v>
      </c>
      <c r="E887" s="179" t="s">
        <v>459</v>
      </c>
      <c r="F887" s="179" t="s">
        <v>774</v>
      </c>
      <c r="G887" s="179" t="s">
        <v>775</v>
      </c>
      <c r="H887" s="179" t="s">
        <v>1106</v>
      </c>
      <c r="I887" s="179"/>
      <c r="J887" s="179" t="s">
        <v>158</v>
      </c>
      <c r="K887" s="179">
        <v>500.0</v>
      </c>
      <c r="L887" s="179" t="s">
        <v>776</v>
      </c>
      <c r="M887" s="179" t="s">
        <v>8</v>
      </c>
      <c r="N887" s="179">
        <v>49776.0</v>
      </c>
      <c r="O887" s="179">
        <v>339.0</v>
      </c>
      <c r="P887" s="179">
        <v>0.0068</v>
      </c>
      <c r="Q887" s="179">
        <v>3951.57</v>
      </c>
      <c r="R887" s="179">
        <v>11.66</v>
      </c>
      <c r="S887" s="179">
        <v>0.0</v>
      </c>
      <c r="T887" s="179">
        <v>3.0</v>
      </c>
      <c r="U887" s="179">
        <v>15686.44</v>
      </c>
      <c r="V887" s="179">
        <v>0.2519</v>
      </c>
      <c r="W887" s="179">
        <v>3.9697</v>
      </c>
      <c r="X887" s="179">
        <v>0.0</v>
      </c>
      <c r="Y887" s="179">
        <v>0.0</v>
      </c>
      <c r="Z887" s="179">
        <v>0.0</v>
      </c>
      <c r="AA887" s="179">
        <v>0.0</v>
      </c>
      <c r="AB887" s="179">
        <v>0.0</v>
      </c>
      <c r="AC887" s="179">
        <v>0.0</v>
      </c>
      <c r="AD887" s="179">
        <v>0.0</v>
      </c>
      <c r="AE887" s="179">
        <v>0.0</v>
      </c>
      <c r="AF887" s="179">
        <v>0.0</v>
      </c>
      <c r="AG887" s="179">
        <v>0.0</v>
      </c>
      <c r="AH887" s="179">
        <v>0.0</v>
      </c>
      <c r="AI887" s="179">
        <v>0.0</v>
      </c>
      <c r="AJ887" s="179">
        <v>0.0</v>
      </c>
    </row>
    <row r="888" ht="15.75" customHeight="1">
      <c r="A888" s="65">
        <v>45658.0</v>
      </c>
      <c r="B888" s="179" t="s">
        <v>779</v>
      </c>
      <c r="C888" s="179" t="s">
        <v>1085</v>
      </c>
      <c r="D888" s="179" t="s">
        <v>781</v>
      </c>
      <c r="E888" s="179" t="s">
        <v>459</v>
      </c>
      <c r="F888" s="179" t="s">
        <v>774</v>
      </c>
      <c r="G888" s="179" t="s">
        <v>775</v>
      </c>
      <c r="H888" s="179" t="s">
        <v>1106</v>
      </c>
      <c r="I888" s="179"/>
      <c r="J888" s="179" t="s">
        <v>90</v>
      </c>
      <c r="K888" s="179">
        <v>1000.0</v>
      </c>
      <c r="L888" s="195">
        <v>0.0837</v>
      </c>
      <c r="M888" s="179" t="s">
        <v>8</v>
      </c>
      <c r="N888" s="179">
        <v>42155.0</v>
      </c>
      <c r="O888" s="179">
        <v>159.0</v>
      </c>
      <c r="P888" s="179">
        <v>0.0038</v>
      </c>
      <c r="Q888" s="179">
        <v>3864.65</v>
      </c>
      <c r="R888" s="179">
        <v>24.31</v>
      </c>
      <c r="S888" s="179">
        <v>0.0</v>
      </c>
      <c r="T888" s="179">
        <v>0.0</v>
      </c>
      <c r="U888" s="179">
        <v>0.0</v>
      </c>
      <c r="V888" s="179">
        <v>0.0</v>
      </c>
      <c r="W888" s="179">
        <v>0.0</v>
      </c>
      <c r="X888" s="179">
        <v>0.0</v>
      </c>
      <c r="Y888" s="179">
        <v>0.0</v>
      </c>
      <c r="Z888" s="179">
        <v>0.0</v>
      </c>
      <c r="AA888" s="179">
        <v>0.0</v>
      </c>
      <c r="AB888" s="179">
        <v>0.0</v>
      </c>
      <c r="AC888" s="179">
        <v>0.0</v>
      </c>
      <c r="AD888" s="179">
        <v>0.0</v>
      </c>
      <c r="AE888" s="179">
        <v>0.0</v>
      </c>
      <c r="AF888" s="179">
        <v>0.0</v>
      </c>
      <c r="AG888" s="179">
        <v>0.0</v>
      </c>
      <c r="AH888" s="179">
        <v>0.0</v>
      </c>
      <c r="AI888" s="179">
        <v>0.0</v>
      </c>
      <c r="AJ888" s="179">
        <v>0.0</v>
      </c>
    </row>
    <row r="889" ht="15.75" customHeight="1">
      <c r="A889" s="65">
        <v>45658.0</v>
      </c>
      <c r="B889" s="179" t="s">
        <v>771</v>
      </c>
      <c r="C889" s="179" t="s">
        <v>1115</v>
      </c>
      <c r="D889" s="179" t="s">
        <v>773</v>
      </c>
      <c r="E889" s="179" t="s">
        <v>459</v>
      </c>
      <c r="F889" s="179" t="s">
        <v>774</v>
      </c>
      <c r="G889" s="179" t="s">
        <v>775</v>
      </c>
      <c r="H889" s="179" t="s">
        <v>1106</v>
      </c>
      <c r="I889" s="179"/>
      <c r="J889" s="179" t="s">
        <v>429</v>
      </c>
      <c r="K889" s="179">
        <v>1000.0</v>
      </c>
      <c r="L889" s="195">
        <v>0.0678</v>
      </c>
      <c r="M889" s="179" t="s">
        <v>8</v>
      </c>
      <c r="N889" s="179">
        <v>18386.0</v>
      </c>
      <c r="O889" s="179">
        <v>98.0</v>
      </c>
      <c r="P889" s="179">
        <v>0.0053</v>
      </c>
      <c r="Q889" s="179">
        <v>3455.66</v>
      </c>
      <c r="R889" s="179">
        <v>35.26</v>
      </c>
      <c r="S889" s="179">
        <v>0.0</v>
      </c>
      <c r="T889" s="179">
        <v>1.0</v>
      </c>
      <c r="U889" s="179">
        <v>13110.17</v>
      </c>
      <c r="V889" s="179">
        <v>0.2636</v>
      </c>
      <c r="W889" s="179">
        <v>3.7938</v>
      </c>
      <c r="X889" s="179">
        <v>0.0</v>
      </c>
      <c r="Y889" s="179">
        <v>0.0</v>
      </c>
      <c r="Z889" s="179">
        <v>0.0</v>
      </c>
      <c r="AA889" s="179">
        <v>0.0</v>
      </c>
      <c r="AB889" s="179">
        <v>0.0</v>
      </c>
      <c r="AC889" s="179">
        <v>0.0</v>
      </c>
      <c r="AD889" s="179">
        <v>0.0</v>
      </c>
      <c r="AE889" s="179">
        <v>0.0</v>
      </c>
      <c r="AF889" s="179">
        <v>0.0</v>
      </c>
      <c r="AG889" s="179">
        <v>0.0</v>
      </c>
      <c r="AH889" s="179">
        <v>0.0</v>
      </c>
      <c r="AI889" s="179">
        <v>0.0</v>
      </c>
      <c r="AJ889" s="179">
        <v>0.0</v>
      </c>
    </row>
    <row r="890" ht="15.75" customHeight="1">
      <c r="A890" s="65">
        <v>45658.0</v>
      </c>
      <c r="B890" s="179" t="s">
        <v>779</v>
      </c>
      <c r="C890" s="179" t="s">
        <v>1068</v>
      </c>
      <c r="D890" s="179" t="s">
        <v>781</v>
      </c>
      <c r="E890" s="179" t="s">
        <v>462</v>
      </c>
      <c r="F890" s="179" t="s">
        <v>774</v>
      </c>
      <c r="G890" s="179"/>
      <c r="H890" s="179" t="s">
        <v>1106</v>
      </c>
      <c r="I890" s="179"/>
      <c r="J890" s="179" t="s">
        <v>413</v>
      </c>
      <c r="K890" s="179">
        <v>2604.0</v>
      </c>
      <c r="L890" s="195">
        <v>0.0772</v>
      </c>
      <c r="M890" s="179" t="s">
        <v>8</v>
      </c>
      <c r="N890" s="179">
        <v>18020.0</v>
      </c>
      <c r="O890" s="179">
        <v>280.0</v>
      </c>
      <c r="P890" s="179">
        <v>0.0155</v>
      </c>
      <c r="Q890" s="179">
        <v>3424.42</v>
      </c>
      <c r="R890" s="179">
        <v>12.23</v>
      </c>
      <c r="S890" s="179">
        <v>664.0</v>
      </c>
      <c r="T890" s="179">
        <v>0.0</v>
      </c>
      <c r="U890" s="179">
        <v>0.0</v>
      </c>
      <c r="V890" s="179">
        <v>0.0</v>
      </c>
      <c r="W890" s="179">
        <v>0.0</v>
      </c>
      <c r="X890" s="179">
        <v>0.0</v>
      </c>
      <c r="Y890" s="179">
        <v>0.0</v>
      </c>
      <c r="Z890" s="179">
        <v>0.0</v>
      </c>
      <c r="AA890" s="179">
        <v>0.0</v>
      </c>
      <c r="AB890" s="179">
        <v>3034.0</v>
      </c>
      <c r="AC890" s="179">
        <v>1128.68</v>
      </c>
      <c r="AD890" s="179">
        <v>0.0</v>
      </c>
      <c r="AE890" s="179">
        <v>0.0</v>
      </c>
      <c r="AF890" s="179">
        <v>0.0</v>
      </c>
      <c r="AG890" s="179">
        <v>0.0</v>
      </c>
      <c r="AH890" s="179">
        <v>0.0</v>
      </c>
      <c r="AI890" s="179">
        <v>0.0</v>
      </c>
      <c r="AJ890" s="179">
        <v>0.0</v>
      </c>
    </row>
    <row r="891" ht="15.75" customHeight="1">
      <c r="A891" s="65">
        <v>45658.0</v>
      </c>
      <c r="B891" s="179" t="s">
        <v>771</v>
      </c>
      <c r="C891" s="179" t="s">
        <v>1116</v>
      </c>
      <c r="D891" s="179" t="s">
        <v>773</v>
      </c>
      <c r="E891" s="179" t="s">
        <v>459</v>
      </c>
      <c r="F891" s="179" t="s">
        <v>774</v>
      </c>
      <c r="G891" s="179" t="s">
        <v>775</v>
      </c>
      <c r="H891" s="179" t="s">
        <v>1106</v>
      </c>
      <c r="I891" s="179"/>
      <c r="J891" s="179" t="s">
        <v>230</v>
      </c>
      <c r="K891" s="179">
        <v>500.0</v>
      </c>
      <c r="L891" s="195">
        <v>0.0857</v>
      </c>
      <c r="M891" s="179" t="s">
        <v>8</v>
      </c>
      <c r="N891" s="179">
        <v>9613.0</v>
      </c>
      <c r="O891" s="179">
        <v>58.0</v>
      </c>
      <c r="P891" s="179">
        <v>0.006</v>
      </c>
      <c r="Q891" s="179">
        <v>3411.57</v>
      </c>
      <c r="R891" s="179">
        <v>58.82</v>
      </c>
      <c r="S891" s="179">
        <v>0.0</v>
      </c>
      <c r="T891" s="179">
        <v>0.0</v>
      </c>
      <c r="U891" s="179">
        <v>0.0</v>
      </c>
      <c r="V891" s="179">
        <v>0.0</v>
      </c>
      <c r="W891" s="179">
        <v>0.0</v>
      </c>
      <c r="X891" s="179">
        <v>0.0</v>
      </c>
      <c r="Y891" s="179">
        <v>0.0</v>
      </c>
      <c r="Z891" s="179">
        <v>0.0</v>
      </c>
      <c r="AA891" s="179">
        <v>0.0</v>
      </c>
      <c r="AB891" s="179">
        <v>0.0</v>
      </c>
      <c r="AC891" s="179">
        <v>0.0</v>
      </c>
      <c r="AD891" s="179">
        <v>0.0</v>
      </c>
      <c r="AE891" s="179">
        <v>0.0</v>
      </c>
      <c r="AF891" s="179">
        <v>0.0</v>
      </c>
      <c r="AG891" s="179">
        <v>0.0</v>
      </c>
      <c r="AH891" s="179">
        <v>0.0</v>
      </c>
      <c r="AI891" s="179">
        <v>0.0</v>
      </c>
      <c r="AJ891" s="179">
        <v>0.0</v>
      </c>
    </row>
    <row r="892" ht="15.75" customHeight="1">
      <c r="A892" s="65">
        <v>45658.0</v>
      </c>
      <c r="B892" s="179" t="s">
        <v>771</v>
      </c>
      <c r="C892" s="179" t="s">
        <v>954</v>
      </c>
      <c r="D892" s="179" t="s">
        <v>773</v>
      </c>
      <c r="E892" s="179" t="s">
        <v>459</v>
      </c>
      <c r="F892" s="179" t="s">
        <v>774</v>
      </c>
      <c r="G892" s="179" t="s">
        <v>775</v>
      </c>
      <c r="H892" s="179" t="s">
        <v>1106</v>
      </c>
      <c r="I892" s="179"/>
      <c r="J892" s="179" t="s">
        <v>134</v>
      </c>
      <c r="K892" s="179">
        <v>1550.0</v>
      </c>
      <c r="L892" s="195">
        <v>0.061</v>
      </c>
      <c r="M892" s="179" t="s">
        <v>8</v>
      </c>
      <c r="N892" s="179">
        <v>41807.0</v>
      </c>
      <c r="O892" s="179">
        <v>67.0</v>
      </c>
      <c r="P892" s="179">
        <v>0.0016</v>
      </c>
      <c r="Q892" s="179">
        <v>3092.57</v>
      </c>
      <c r="R892" s="179">
        <v>46.16</v>
      </c>
      <c r="S892" s="179">
        <v>0.0</v>
      </c>
      <c r="T892" s="179">
        <v>0.0</v>
      </c>
      <c r="U892" s="179">
        <v>0.0</v>
      </c>
      <c r="V892" s="179">
        <v>0.0</v>
      </c>
      <c r="W892" s="179">
        <v>0.0</v>
      </c>
      <c r="X892" s="179">
        <v>0.0</v>
      </c>
      <c r="Y892" s="179">
        <v>0.0</v>
      </c>
      <c r="Z892" s="179">
        <v>0.0</v>
      </c>
      <c r="AA892" s="179">
        <v>0.0</v>
      </c>
      <c r="AB892" s="179">
        <v>0.0</v>
      </c>
      <c r="AC892" s="179">
        <v>0.0</v>
      </c>
      <c r="AD892" s="179">
        <v>0.0</v>
      </c>
      <c r="AE892" s="179">
        <v>0.0</v>
      </c>
      <c r="AF892" s="179">
        <v>0.0</v>
      </c>
      <c r="AG892" s="179">
        <v>0.0</v>
      </c>
      <c r="AH892" s="179">
        <v>0.0</v>
      </c>
      <c r="AI892" s="179">
        <v>0.0</v>
      </c>
      <c r="AJ892" s="179">
        <v>0.0</v>
      </c>
    </row>
    <row r="893" ht="15.75" customHeight="1">
      <c r="A893" s="65">
        <v>45658.0</v>
      </c>
      <c r="B893" s="179" t="s">
        <v>771</v>
      </c>
      <c r="C893" s="179" t="s">
        <v>1001</v>
      </c>
      <c r="D893" s="179" t="s">
        <v>931</v>
      </c>
      <c r="E893" s="179" t="s">
        <v>460</v>
      </c>
      <c r="F893" s="179" t="s">
        <v>778</v>
      </c>
      <c r="G893" s="179" t="s">
        <v>775</v>
      </c>
      <c r="H893" s="179" t="s">
        <v>1106</v>
      </c>
      <c r="I893" s="179"/>
      <c r="J893" s="179" t="s">
        <v>217</v>
      </c>
      <c r="K893" s="179">
        <v>100.0</v>
      </c>
      <c r="L893" s="179" t="s">
        <v>776</v>
      </c>
      <c r="M893" s="179" t="s">
        <v>8</v>
      </c>
      <c r="N893" s="179">
        <v>87955.0</v>
      </c>
      <c r="O893" s="179">
        <v>545.0</v>
      </c>
      <c r="P893" s="179">
        <v>0.0062</v>
      </c>
      <c r="Q893" s="179">
        <v>2988.17</v>
      </c>
      <c r="R893" s="179">
        <v>5.48</v>
      </c>
      <c r="S893" s="179">
        <v>0.0</v>
      </c>
      <c r="T893" s="179">
        <v>5.0</v>
      </c>
      <c r="U893" s="179">
        <v>6064.4</v>
      </c>
      <c r="V893" s="179">
        <v>0.4927</v>
      </c>
      <c r="W893" s="179">
        <v>2.0295</v>
      </c>
      <c r="X893" s="179">
        <v>0.0</v>
      </c>
      <c r="Y893" s="179">
        <v>0.0</v>
      </c>
      <c r="Z893" s="179">
        <v>0.0</v>
      </c>
      <c r="AA893" s="179">
        <v>0.0</v>
      </c>
      <c r="AB893" s="179">
        <v>0.0</v>
      </c>
      <c r="AC893" s="179">
        <v>0.0</v>
      </c>
      <c r="AD893" s="179">
        <v>0.0</v>
      </c>
      <c r="AE893" s="179">
        <v>0.0</v>
      </c>
      <c r="AF893" s="179">
        <v>0.0</v>
      </c>
      <c r="AG893" s="179">
        <v>0.0</v>
      </c>
      <c r="AH893" s="179">
        <v>0.0</v>
      </c>
      <c r="AI893" s="179">
        <v>0.0</v>
      </c>
      <c r="AJ893" s="179">
        <v>0.0</v>
      </c>
    </row>
    <row r="894" ht="15.75" customHeight="1">
      <c r="A894" s="65">
        <v>45658.0</v>
      </c>
      <c r="B894" s="179" t="s">
        <v>771</v>
      </c>
      <c r="C894" s="179" t="s">
        <v>1104</v>
      </c>
      <c r="D894" s="179" t="s">
        <v>773</v>
      </c>
      <c r="E894" s="179" t="s">
        <v>463</v>
      </c>
      <c r="F894" s="179" t="s">
        <v>774</v>
      </c>
      <c r="G894" s="179"/>
      <c r="H894" s="179" t="s">
        <v>1106</v>
      </c>
      <c r="I894" s="179"/>
      <c r="J894" s="179" t="s">
        <v>413</v>
      </c>
      <c r="K894" s="179">
        <v>1000.0</v>
      </c>
      <c r="L894" s="179"/>
      <c r="M894" s="179" t="s">
        <v>8</v>
      </c>
      <c r="N894" s="179">
        <v>217046.0</v>
      </c>
      <c r="O894" s="179">
        <v>410.0</v>
      </c>
      <c r="P894" s="179">
        <v>0.0019</v>
      </c>
      <c r="Q894" s="179">
        <v>2721.12</v>
      </c>
      <c r="R894" s="179">
        <v>6.64</v>
      </c>
      <c r="S894" s="179">
        <v>749.0</v>
      </c>
      <c r="T894" s="179">
        <v>0.0</v>
      </c>
      <c r="U894" s="179">
        <v>0.0</v>
      </c>
      <c r="V894" s="179">
        <v>0.0</v>
      </c>
      <c r="W894" s="179">
        <v>0.0</v>
      </c>
      <c r="X894" s="179">
        <v>0.0</v>
      </c>
      <c r="Y894" s="179">
        <v>0.0</v>
      </c>
      <c r="Z894" s="179">
        <v>0.0</v>
      </c>
      <c r="AA894" s="179">
        <v>0.0</v>
      </c>
      <c r="AB894" s="179">
        <v>0.0</v>
      </c>
      <c r="AC894" s="179">
        <v>0.0</v>
      </c>
      <c r="AD894" s="179">
        <v>0.0</v>
      </c>
      <c r="AE894" s="179">
        <v>0.0</v>
      </c>
      <c r="AF894" s="179">
        <v>0.0</v>
      </c>
      <c r="AG894" s="179">
        <v>0.0</v>
      </c>
      <c r="AH894" s="179">
        <v>0.0</v>
      </c>
      <c r="AI894" s="179">
        <v>0.0</v>
      </c>
      <c r="AJ894" s="179">
        <v>0.0</v>
      </c>
    </row>
    <row r="895" ht="15.75" customHeight="1">
      <c r="A895" s="65">
        <v>45658.0</v>
      </c>
      <c r="B895" s="179" t="s">
        <v>771</v>
      </c>
      <c r="C895" s="179" t="s">
        <v>1117</v>
      </c>
      <c r="D895" s="179" t="s">
        <v>773</v>
      </c>
      <c r="E895" s="179" t="s">
        <v>459</v>
      </c>
      <c r="F895" s="179" t="s">
        <v>774</v>
      </c>
      <c r="G895" s="179" t="s">
        <v>775</v>
      </c>
      <c r="H895" s="179" t="s">
        <v>1106</v>
      </c>
      <c r="I895" s="179"/>
      <c r="J895" s="179" t="s">
        <v>230</v>
      </c>
      <c r="K895" s="179">
        <v>1000.0</v>
      </c>
      <c r="L895" s="195">
        <v>0.1967</v>
      </c>
      <c r="M895" s="179" t="s">
        <v>8</v>
      </c>
      <c r="N895" s="179">
        <v>19680.0</v>
      </c>
      <c r="O895" s="179">
        <v>46.0</v>
      </c>
      <c r="P895" s="179">
        <v>0.0023</v>
      </c>
      <c r="Q895" s="179">
        <v>2690.42</v>
      </c>
      <c r="R895" s="179">
        <v>58.49</v>
      </c>
      <c r="S895" s="179">
        <v>0.0</v>
      </c>
      <c r="T895" s="179">
        <v>1.0</v>
      </c>
      <c r="U895" s="179">
        <v>17791.52</v>
      </c>
      <c r="V895" s="179">
        <v>0.1512</v>
      </c>
      <c r="W895" s="179">
        <v>6.6129</v>
      </c>
      <c r="X895" s="179">
        <v>0.0</v>
      </c>
      <c r="Y895" s="179">
        <v>0.0</v>
      </c>
      <c r="Z895" s="179">
        <v>0.0</v>
      </c>
      <c r="AA895" s="179">
        <v>0.0</v>
      </c>
      <c r="AB895" s="179">
        <v>0.0</v>
      </c>
      <c r="AC895" s="179">
        <v>0.0</v>
      </c>
      <c r="AD895" s="179">
        <v>0.0</v>
      </c>
      <c r="AE895" s="179">
        <v>0.0</v>
      </c>
      <c r="AF895" s="179">
        <v>0.0</v>
      </c>
      <c r="AG895" s="179">
        <v>0.0</v>
      </c>
      <c r="AH895" s="179">
        <v>0.0</v>
      </c>
      <c r="AI895" s="179">
        <v>0.0</v>
      </c>
      <c r="AJ895" s="179">
        <v>0.0</v>
      </c>
    </row>
    <row r="896" ht="15.75" customHeight="1">
      <c r="A896" s="65">
        <v>45658.0</v>
      </c>
      <c r="B896" s="179" t="s">
        <v>771</v>
      </c>
      <c r="C896" s="179" t="s">
        <v>1092</v>
      </c>
      <c r="D896" s="179" t="s">
        <v>773</v>
      </c>
      <c r="E896" s="179" t="s">
        <v>459</v>
      </c>
      <c r="F896" s="179" t="s">
        <v>774</v>
      </c>
      <c r="G896" s="179" t="s">
        <v>775</v>
      </c>
      <c r="H896" s="179" t="s">
        <v>1106</v>
      </c>
      <c r="I896" s="179"/>
      <c r="J896" s="179" t="s">
        <v>128</v>
      </c>
      <c r="K896" s="179">
        <v>500.0</v>
      </c>
      <c r="L896" s="195">
        <v>0.1041</v>
      </c>
      <c r="M896" s="179" t="s">
        <v>8</v>
      </c>
      <c r="N896" s="179">
        <v>12276.0</v>
      </c>
      <c r="O896" s="179">
        <v>586.0</v>
      </c>
      <c r="P896" s="179">
        <v>0.0477</v>
      </c>
      <c r="Q896" s="179">
        <v>2680.07</v>
      </c>
      <c r="R896" s="179">
        <v>4.57</v>
      </c>
      <c r="S896" s="179">
        <v>0.0</v>
      </c>
      <c r="T896" s="179">
        <v>21.0</v>
      </c>
      <c r="U896" s="179">
        <v>106894.9</v>
      </c>
      <c r="V896" s="179">
        <v>0.0251</v>
      </c>
      <c r="W896" s="179">
        <v>39.8851</v>
      </c>
      <c r="X896" s="179">
        <v>0.0</v>
      </c>
      <c r="Y896" s="179">
        <v>0.0</v>
      </c>
      <c r="Z896" s="179">
        <v>0.0</v>
      </c>
      <c r="AA896" s="179">
        <v>0.0</v>
      </c>
      <c r="AB896" s="179">
        <v>0.0</v>
      </c>
      <c r="AC896" s="179">
        <v>0.0</v>
      </c>
      <c r="AD896" s="179">
        <v>0.0</v>
      </c>
      <c r="AE896" s="179">
        <v>0.0</v>
      </c>
      <c r="AF896" s="179">
        <v>0.0</v>
      </c>
      <c r="AG896" s="179">
        <v>0.0</v>
      </c>
      <c r="AH896" s="179">
        <v>0.0</v>
      </c>
      <c r="AI896" s="179">
        <v>0.0</v>
      </c>
      <c r="AJ896" s="179">
        <v>0.0</v>
      </c>
    </row>
    <row r="897" ht="15.75" customHeight="1">
      <c r="A897" s="65">
        <v>45658.0</v>
      </c>
      <c r="B897" s="179" t="s">
        <v>771</v>
      </c>
      <c r="C897" s="179" t="s">
        <v>1118</v>
      </c>
      <c r="D897" s="179" t="s">
        <v>773</v>
      </c>
      <c r="E897" s="179" t="s">
        <v>459</v>
      </c>
      <c r="F897" s="179" t="s">
        <v>774</v>
      </c>
      <c r="G897" s="179" t="s">
        <v>775</v>
      </c>
      <c r="H897" s="179" t="s">
        <v>1106</v>
      </c>
      <c r="I897" s="179"/>
      <c r="J897" s="179" t="s">
        <v>211</v>
      </c>
      <c r="K897" s="179">
        <v>200.0</v>
      </c>
      <c r="L897" s="195">
        <v>0.2158</v>
      </c>
      <c r="M897" s="179" t="s">
        <v>8</v>
      </c>
      <c r="N897" s="179">
        <v>12843.0</v>
      </c>
      <c r="O897" s="179">
        <v>436.0</v>
      </c>
      <c r="P897" s="179">
        <v>0.0339</v>
      </c>
      <c r="Q897" s="179">
        <v>2554.67</v>
      </c>
      <c r="R897" s="179">
        <v>5.86</v>
      </c>
      <c r="S897" s="179">
        <v>0.0</v>
      </c>
      <c r="T897" s="179">
        <v>3.0</v>
      </c>
      <c r="U897" s="179">
        <v>5492.37</v>
      </c>
      <c r="V897" s="179">
        <v>0.4651</v>
      </c>
      <c r="W897" s="179">
        <v>2.1499</v>
      </c>
      <c r="X897" s="179">
        <v>0.0</v>
      </c>
      <c r="Y897" s="179">
        <v>0.0</v>
      </c>
      <c r="Z897" s="179">
        <v>0.0</v>
      </c>
      <c r="AA897" s="179">
        <v>0.0</v>
      </c>
      <c r="AB897" s="179">
        <v>0.0</v>
      </c>
      <c r="AC897" s="179">
        <v>0.0</v>
      </c>
      <c r="AD897" s="179">
        <v>0.0</v>
      </c>
      <c r="AE897" s="179">
        <v>0.0</v>
      </c>
      <c r="AF897" s="179">
        <v>0.0</v>
      </c>
      <c r="AG897" s="179">
        <v>0.0</v>
      </c>
      <c r="AH897" s="179">
        <v>0.0</v>
      </c>
      <c r="AI897" s="179">
        <v>0.0</v>
      </c>
      <c r="AJ897" s="179">
        <v>0.0</v>
      </c>
    </row>
    <row r="898" ht="15.75" customHeight="1">
      <c r="A898" s="65">
        <v>45658.0</v>
      </c>
      <c r="B898" s="179" t="s">
        <v>771</v>
      </c>
      <c r="C898" s="179" t="s">
        <v>889</v>
      </c>
      <c r="D898" s="179" t="s">
        <v>773</v>
      </c>
      <c r="E898" s="179" t="s">
        <v>463</v>
      </c>
      <c r="F898" s="179" t="s">
        <v>774</v>
      </c>
      <c r="G898" s="179"/>
      <c r="H898" s="179" t="s">
        <v>1106</v>
      </c>
      <c r="I898" s="179"/>
      <c r="J898" s="179" t="s">
        <v>134</v>
      </c>
      <c r="K898" s="179">
        <v>1000.0</v>
      </c>
      <c r="L898" s="179"/>
      <c r="M898" s="179" t="s">
        <v>8</v>
      </c>
      <c r="N898" s="179">
        <v>61188.0</v>
      </c>
      <c r="O898" s="179">
        <v>120.0</v>
      </c>
      <c r="P898" s="179">
        <v>0.002</v>
      </c>
      <c r="Q898" s="179">
        <v>2553.09</v>
      </c>
      <c r="R898" s="179">
        <v>21.28</v>
      </c>
      <c r="S898" s="179">
        <v>249.0</v>
      </c>
      <c r="T898" s="179">
        <v>0.0</v>
      </c>
      <c r="U898" s="179">
        <v>0.0</v>
      </c>
      <c r="V898" s="179">
        <v>0.0</v>
      </c>
      <c r="W898" s="179">
        <v>0.0</v>
      </c>
      <c r="X898" s="179">
        <v>0.0</v>
      </c>
      <c r="Y898" s="179">
        <v>0.0</v>
      </c>
      <c r="Z898" s="179">
        <v>0.0</v>
      </c>
      <c r="AA898" s="179">
        <v>0.0</v>
      </c>
      <c r="AB898" s="179">
        <v>0.0</v>
      </c>
      <c r="AC898" s="179">
        <v>0.0</v>
      </c>
      <c r="AD898" s="179">
        <v>0.0</v>
      </c>
      <c r="AE898" s="179">
        <v>0.0</v>
      </c>
      <c r="AF898" s="179">
        <v>0.0</v>
      </c>
      <c r="AG898" s="179">
        <v>0.0</v>
      </c>
      <c r="AH898" s="179">
        <v>0.0</v>
      </c>
      <c r="AI898" s="179">
        <v>0.0</v>
      </c>
      <c r="AJ898" s="179">
        <v>0.0</v>
      </c>
    </row>
    <row r="899" ht="15.75" customHeight="1">
      <c r="A899" s="65">
        <v>45658.0</v>
      </c>
      <c r="B899" s="179" t="s">
        <v>771</v>
      </c>
      <c r="C899" s="179" t="s">
        <v>959</v>
      </c>
      <c r="D899" s="179" t="s">
        <v>773</v>
      </c>
      <c r="E899" s="179" t="s">
        <v>459</v>
      </c>
      <c r="F899" s="179" t="s">
        <v>774</v>
      </c>
      <c r="G899" s="179" t="s">
        <v>775</v>
      </c>
      <c r="H899" s="179" t="s">
        <v>1106</v>
      </c>
      <c r="I899" s="179"/>
      <c r="J899" s="179" t="s">
        <v>140</v>
      </c>
      <c r="K899" s="179">
        <v>3000.0</v>
      </c>
      <c r="L899" s="195">
        <v>0.1546</v>
      </c>
      <c r="M899" s="179" t="s">
        <v>8</v>
      </c>
      <c r="N899" s="179">
        <v>8414.0</v>
      </c>
      <c r="O899" s="179">
        <v>40.0</v>
      </c>
      <c r="P899" s="179">
        <v>0.0048</v>
      </c>
      <c r="Q899" s="179">
        <v>2444.79</v>
      </c>
      <c r="R899" s="179">
        <v>61.12</v>
      </c>
      <c r="S899" s="179">
        <v>0.0</v>
      </c>
      <c r="T899" s="179">
        <v>0.0</v>
      </c>
      <c r="U899" s="179">
        <v>0.0</v>
      </c>
      <c r="V899" s="179">
        <v>0.0</v>
      </c>
      <c r="W899" s="179">
        <v>0.0</v>
      </c>
      <c r="X899" s="179">
        <v>0.0</v>
      </c>
      <c r="Y899" s="179">
        <v>0.0</v>
      </c>
      <c r="Z899" s="179">
        <v>0.0</v>
      </c>
      <c r="AA899" s="179">
        <v>0.0</v>
      </c>
      <c r="AB899" s="179">
        <v>0.0</v>
      </c>
      <c r="AC899" s="179">
        <v>0.0</v>
      </c>
      <c r="AD899" s="179">
        <v>0.0</v>
      </c>
      <c r="AE899" s="179">
        <v>0.0</v>
      </c>
      <c r="AF899" s="179">
        <v>0.0</v>
      </c>
      <c r="AG899" s="179">
        <v>0.0</v>
      </c>
      <c r="AH899" s="179">
        <v>0.0</v>
      </c>
      <c r="AI899" s="179">
        <v>0.0</v>
      </c>
      <c r="AJ899" s="179">
        <v>0.0</v>
      </c>
    </row>
    <row r="900" ht="15.75" customHeight="1">
      <c r="A900" s="65">
        <v>45658.0</v>
      </c>
      <c r="B900" s="179" t="s">
        <v>771</v>
      </c>
      <c r="C900" s="179" t="s">
        <v>935</v>
      </c>
      <c r="D900" s="179" t="s">
        <v>773</v>
      </c>
      <c r="E900" s="179" t="s">
        <v>459</v>
      </c>
      <c r="F900" s="179" t="s">
        <v>774</v>
      </c>
      <c r="G900" s="179" t="s">
        <v>775</v>
      </c>
      <c r="H900" s="179" t="s">
        <v>1106</v>
      </c>
      <c r="I900" s="179"/>
      <c r="J900" s="179" t="s">
        <v>205</v>
      </c>
      <c r="K900" s="179">
        <v>405.0</v>
      </c>
      <c r="L900" s="195">
        <v>0.1213</v>
      </c>
      <c r="M900" s="179" t="s">
        <v>8</v>
      </c>
      <c r="N900" s="179">
        <v>38846.0</v>
      </c>
      <c r="O900" s="179">
        <v>67.0</v>
      </c>
      <c r="P900" s="179">
        <v>0.0017</v>
      </c>
      <c r="Q900" s="179">
        <v>2413.06</v>
      </c>
      <c r="R900" s="179">
        <v>36.02</v>
      </c>
      <c r="S900" s="179">
        <v>0.0</v>
      </c>
      <c r="T900" s="179">
        <v>0.0</v>
      </c>
      <c r="U900" s="179">
        <v>0.0</v>
      </c>
      <c r="V900" s="179">
        <v>0.0</v>
      </c>
      <c r="W900" s="179">
        <v>0.0</v>
      </c>
      <c r="X900" s="179">
        <v>0.0</v>
      </c>
      <c r="Y900" s="179">
        <v>0.0</v>
      </c>
      <c r="Z900" s="179">
        <v>0.0</v>
      </c>
      <c r="AA900" s="179">
        <v>0.0</v>
      </c>
      <c r="AB900" s="179">
        <v>0.0</v>
      </c>
      <c r="AC900" s="179">
        <v>0.0</v>
      </c>
      <c r="AD900" s="179">
        <v>0.0</v>
      </c>
      <c r="AE900" s="179">
        <v>0.0</v>
      </c>
      <c r="AF900" s="179">
        <v>0.0</v>
      </c>
      <c r="AG900" s="179">
        <v>0.0</v>
      </c>
      <c r="AH900" s="179">
        <v>0.0</v>
      </c>
      <c r="AI900" s="179">
        <v>0.0</v>
      </c>
      <c r="AJ900" s="179">
        <v>0.0</v>
      </c>
    </row>
    <row r="901" ht="15.75" customHeight="1">
      <c r="A901" s="65">
        <v>45658.0</v>
      </c>
      <c r="B901" s="179" t="s">
        <v>771</v>
      </c>
      <c r="C901" s="179" t="s">
        <v>1119</v>
      </c>
      <c r="D901" s="179" t="s">
        <v>773</v>
      </c>
      <c r="E901" s="179" t="s">
        <v>459</v>
      </c>
      <c r="F901" s="179" t="s">
        <v>774</v>
      </c>
      <c r="G901" s="179" t="s">
        <v>775</v>
      </c>
      <c r="H901" s="179" t="s">
        <v>1106</v>
      </c>
      <c r="I901" s="179"/>
      <c r="J901" s="179" t="s">
        <v>230</v>
      </c>
      <c r="K901" s="179">
        <v>1000.0</v>
      </c>
      <c r="L901" s="195">
        <v>0.4318</v>
      </c>
      <c r="M901" s="179" t="s">
        <v>8</v>
      </c>
      <c r="N901" s="179">
        <v>9727.0</v>
      </c>
      <c r="O901" s="179">
        <v>45.0</v>
      </c>
      <c r="P901" s="179">
        <v>0.0046</v>
      </c>
      <c r="Q901" s="179">
        <v>2411.41</v>
      </c>
      <c r="R901" s="179">
        <v>53.59</v>
      </c>
      <c r="S901" s="179">
        <v>0.0</v>
      </c>
      <c r="T901" s="179">
        <v>0.0</v>
      </c>
      <c r="U901" s="179">
        <v>0.0</v>
      </c>
      <c r="V901" s="179">
        <v>0.0</v>
      </c>
      <c r="W901" s="179">
        <v>0.0</v>
      </c>
      <c r="X901" s="179">
        <v>0.0</v>
      </c>
      <c r="Y901" s="179">
        <v>0.0</v>
      </c>
      <c r="Z901" s="179">
        <v>0.0</v>
      </c>
      <c r="AA901" s="179">
        <v>0.0</v>
      </c>
      <c r="AB901" s="179">
        <v>0.0</v>
      </c>
      <c r="AC901" s="179">
        <v>0.0</v>
      </c>
      <c r="AD901" s="179">
        <v>0.0</v>
      </c>
      <c r="AE901" s="179">
        <v>0.0</v>
      </c>
      <c r="AF901" s="179">
        <v>0.0</v>
      </c>
      <c r="AG901" s="179">
        <v>0.0</v>
      </c>
      <c r="AH901" s="179">
        <v>0.0</v>
      </c>
      <c r="AI901" s="179">
        <v>0.0</v>
      </c>
      <c r="AJ901" s="179">
        <v>0.0</v>
      </c>
    </row>
    <row r="902" ht="15.75" customHeight="1">
      <c r="A902" s="65">
        <v>45658.0</v>
      </c>
      <c r="B902" s="179" t="s">
        <v>771</v>
      </c>
      <c r="C902" s="179" t="s">
        <v>902</v>
      </c>
      <c r="D902" s="179" t="s">
        <v>773</v>
      </c>
      <c r="E902" s="179" t="s">
        <v>459</v>
      </c>
      <c r="F902" s="179" t="s">
        <v>774</v>
      </c>
      <c r="G902" s="179" t="s">
        <v>775</v>
      </c>
      <c r="H902" s="179" t="s">
        <v>1106</v>
      </c>
      <c r="I902" s="179"/>
      <c r="J902" s="179" t="s">
        <v>134</v>
      </c>
      <c r="K902" s="179">
        <v>500.0</v>
      </c>
      <c r="L902" s="195">
        <v>0.2473</v>
      </c>
      <c r="M902" s="179" t="s">
        <v>8</v>
      </c>
      <c r="N902" s="179">
        <v>2294.0</v>
      </c>
      <c r="O902" s="179">
        <v>35.0</v>
      </c>
      <c r="P902" s="179">
        <v>0.0153</v>
      </c>
      <c r="Q902" s="179">
        <v>2307.6</v>
      </c>
      <c r="R902" s="179">
        <v>65.93</v>
      </c>
      <c r="S902" s="179">
        <v>0.0</v>
      </c>
      <c r="T902" s="179">
        <v>0.0</v>
      </c>
      <c r="U902" s="179">
        <v>0.0</v>
      </c>
      <c r="V902" s="179">
        <v>0.0</v>
      </c>
      <c r="W902" s="179">
        <v>0.0</v>
      </c>
      <c r="X902" s="179">
        <v>0.0</v>
      </c>
      <c r="Y902" s="179">
        <v>0.0</v>
      </c>
      <c r="Z902" s="179">
        <v>0.0</v>
      </c>
      <c r="AA902" s="179">
        <v>0.0</v>
      </c>
      <c r="AB902" s="179">
        <v>0.0</v>
      </c>
      <c r="AC902" s="179">
        <v>0.0</v>
      </c>
      <c r="AD902" s="179">
        <v>0.0</v>
      </c>
      <c r="AE902" s="179">
        <v>0.0</v>
      </c>
      <c r="AF902" s="179">
        <v>0.0</v>
      </c>
      <c r="AG902" s="179">
        <v>0.0</v>
      </c>
      <c r="AH902" s="179">
        <v>0.0</v>
      </c>
      <c r="AI902" s="179">
        <v>0.0</v>
      </c>
      <c r="AJ902" s="179">
        <v>0.0</v>
      </c>
    </row>
    <row r="903" ht="15.75" customHeight="1">
      <c r="A903" s="65">
        <v>45658.0</v>
      </c>
      <c r="B903" s="179" t="s">
        <v>771</v>
      </c>
      <c r="C903" s="179" t="s">
        <v>925</v>
      </c>
      <c r="D903" s="179" t="s">
        <v>773</v>
      </c>
      <c r="E903" s="179" t="s">
        <v>459</v>
      </c>
      <c r="F903" s="179" t="s">
        <v>774</v>
      </c>
      <c r="G903" s="179" t="s">
        <v>775</v>
      </c>
      <c r="H903" s="179" t="s">
        <v>1106</v>
      </c>
      <c r="I903" s="179"/>
      <c r="J903" s="179" t="s">
        <v>182</v>
      </c>
      <c r="K903" s="179">
        <v>1500.0</v>
      </c>
      <c r="L903" s="195">
        <v>0.3635</v>
      </c>
      <c r="M903" s="179" t="s">
        <v>8</v>
      </c>
      <c r="N903" s="179">
        <v>5471.0</v>
      </c>
      <c r="O903" s="179">
        <v>43.0</v>
      </c>
      <c r="P903" s="179">
        <v>0.0079</v>
      </c>
      <c r="Q903" s="179">
        <v>2157.04</v>
      </c>
      <c r="R903" s="179">
        <v>50.16</v>
      </c>
      <c r="S903" s="179">
        <v>0.0</v>
      </c>
      <c r="T903" s="179">
        <v>1.0</v>
      </c>
      <c r="U903" s="179">
        <v>29491.52</v>
      </c>
      <c r="V903" s="179">
        <v>0.0731</v>
      </c>
      <c r="W903" s="179">
        <v>13.6722</v>
      </c>
      <c r="X903" s="179">
        <v>0.0</v>
      </c>
      <c r="Y903" s="179">
        <v>0.0</v>
      </c>
      <c r="Z903" s="179">
        <v>0.0</v>
      </c>
      <c r="AA903" s="179">
        <v>0.0</v>
      </c>
      <c r="AB903" s="179">
        <v>0.0</v>
      </c>
      <c r="AC903" s="179">
        <v>0.0</v>
      </c>
      <c r="AD903" s="179">
        <v>0.0</v>
      </c>
      <c r="AE903" s="179">
        <v>0.0</v>
      </c>
      <c r="AF903" s="179">
        <v>0.0</v>
      </c>
      <c r="AG903" s="179">
        <v>0.0</v>
      </c>
      <c r="AH903" s="179">
        <v>0.0</v>
      </c>
      <c r="AI903" s="179">
        <v>0.0</v>
      </c>
      <c r="AJ903" s="179">
        <v>0.0</v>
      </c>
    </row>
    <row r="904" ht="15.75" customHeight="1">
      <c r="A904" s="65">
        <v>45658.0</v>
      </c>
      <c r="B904" s="179" t="s">
        <v>771</v>
      </c>
      <c r="C904" s="179" t="s">
        <v>1120</v>
      </c>
      <c r="D904" s="179" t="s">
        <v>773</v>
      </c>
      <c r="E904" s="179" t="s">
        <v>459</v>
      </c>
      <c r="F904" s="179" t="s">
        <v>774</v>
      </c>
      <c r="G904" s="179" t="s">
        <v>775</v>
      </c>
      <c r="H904" s="179" t="s">
        <v>1106</v>
      </c>
      <c r="I904" s="179"/>
      <c r="J904" s="179" t="s">
        <v>211</v>
      </c>
      <c r="K904" s="179">
        <v>500.0</v>
      </c>
      <c r="L904" s="195">
        <v>0.0836</v>
      </c>
      <c r="M904" s="179" t="s">
        <v>8</v>
      </c>
      <c r="N904" s="179">
        <v>38991.0</v>
      </c>
      <c r="O904" s="179">
        <v>347.0</v>
      </c>
      <c r="P904" s="179">
        <v>0.0089</v>
      </c>
      <c r="Q904" s="179">
        <v>2100.77</v>
      </c>
      <c r="R904" s="179">
        <v>6.05</v>
      </c>
      <c r="S904" s="179">
        <v>0.0</v>
      </c>
      <c r="T904" s="179">
        <v>6.0</v>
      </c>
      <c r="U904" s="179">
        <v>8347.47</v>
      </c>
      <c r="V904" s="179">
        <v>0.2517</v>
      </c>
      <c r="W904" s="179">
        <v>3.9735</v>
      </c>
      <c r="X904" s="179">
        <v>0.0</v>
      </c>
      <c r="Y904" s="179">
        <v>0.0</v>
      </c>
      <c r="Z904" s="179">
        <v>0.0</v>
      </c>
      <c r="AA904" s="179">
        <v>0.0</v>
      </c>
      <c r="AB904" s="179">
        <v>0.0</v>
      </c>
      <c r="AC904" s="179">
        <v>0.0</v>
      </c>
      <c r="AD904" s="179">
        <v>0.0</v>
      </c>
      <c r="AE904" s="179">
        <v>0.0</v>
      </c>
      <c r="AF904" s="179">
        <v>0.0</v>
      </c>
      <c r="AG904" s="179">
        <v>0.0</v>
      </c>
      <c r="AH904" s="179">
        <v>0.0</v>
      </c>
      <c r="AI904" s="179">
        <v>0.0</v>
      </c>
      <c r="AJ904" s="179">
        <v>0.0</v>
      </c>
    </row>
    <row r="905" ht="15.75" customHeight="1">
      <c r="A905" s="65">
        <v>45658.0</v>
      </c>
      <c r="B905" s="179" t="s">
        <v>771</v>
      </c>
      <c r="C905" s="179" t="s">
        <v>995</v>
      </c>
      <c r="D905" s="179" t="s">
        <v>773</v>
      </c>
      <c r="E905" s="179" t="s">
        <v>463</v>
      </c>
      <c r="F905" s="179" t="s">
        <v>774</v>
      </c>
      <c r="G905" s="179"/>
      <c r="H905" s="179" t="s">
        <v>1106</v>
      </c>
      <c r="I905" s="179"/>
      <c r="J905" s="179" t="s">
        <v>134</v>
      </c>
      <c r="K905" s="179">
        <v>500.0</v>
      </c>
      <c r="L905" s="179"/>
      <c r="M905" s="179" t="s">
        <v>8</v>
      </c>
      <c r="N905" s="179">
        <v>4863.0</v>
      </c>
      <c r="O905" s="179">
        <v>121.0</v>
      </c>
      <c r="P905" s="179">
        <v>0.0249</v>
      </c>
      <c r="Q905" s="179">
        <v>1859.72</v>
      </c>
      <c r="R905" s="179">
        <v>15.37</v>
      </c>
      <c r="S905" s="179">
        <v>117.0</v>
      </c>
      <c r="T905" s="179">
        <v>0.0</v>
      </c>
      <c r="U905" s="179">
        <v>0.0</v>
      </c>
      <c r="V905" s="179">
        <v>0.0</v>
      </c>
      <c r="W905" s="179">
        <v>0.0</v>
      </c>
      <c r="X905" s="179">
        <v>0.0</v>
      </c>
      <c r="Y905" s="179">
        <v>0.0</v>
      </c>
      <c r="Z905" s="179">
        <v>0.0</v>
      </c>
      <c r="AA905" s="179">
        <v>0.0</v>
      </c>
      <c r="AB905" s="179">
        <v>0.0</v>
      </c>
      <c r="AC905" s="179">
        <v>0.0</v>
      </c>
      <c r="AD905" s="179">
        <v>0.0</v>
      </c>
      <c r="AE905" s="179">
        <v>0.0</v>
      </c>
      <c r="AF905" s="179">
        <v>0.0</v>
      </c>
      <c r="AG905" s="179">
        <v>0.0</v>
      </c>
      <c r="AH905" s="179">
        <v>0.0</v>
      </c>
      <c r="AI905" s="179">
        <v>0.0</v>
      </c>
      <c r="AJ905" s="179">
        <v>0.0</v>
      </c>
    </row>
    <row r="906" ht="15.75" customHeight="1">
      <c r="A906" s="65">
        <v>45658.0</v>
      </c>
      <c r="B906" s="179" t="s">
        <v>771</v>
      </c>
      <c r="C906" s="179" t="s">
        <v>899</v>
      </c>
      <c r="D906" s="179" t="s">
        <v>773</v>
      </c>
      <c r="E906" s="179" t="s">
        <v>459</v>
      </c>
      <c r="F906" s="179" t="s">
        <v>774</v>
      </c>
      <c r="G906" s="179" t="s">
        <v>775</v>
      </c>
      <c r="H906" s="179" t="s">
        <v>1106</v>
      </c>
      <c r="I906" s="179"/>
      <c r="J906" s="179" t="s">
        <v>134</v>
      </c>
      <c r="K906" s="179">
        <v>500.0</v>
      </c>
      <c r="L906" s="195">
        <v>0.3876</v>
      </c>
      <c r="M906" s="179" t="s">
        <v>8</v>
      </c>
      <c r="N906" s="179">
        <v>2940.0</v>
      </c>
      <c r="O906" s="179">
        <v>27.0</v>
      </c>
      <c r="P906" s="179">
        <v>0.0092</v>
      </c>
      <c r="Q906" s="179">
        <v>1590.73</v>
      </c>
      <c r="R906" s="179">
        <v>58.92</v>
      </c>
      <c r="S906" s="179">
        <v>0.0</v>
      </c>
      <c r="T906" s="179">
        <v>0.0</v>
      </c>
      <c r="U906" s="179">
        <v>0.0</v>
      </c>
      <c r="V906" s="179">
        <v>0.0</v>
      </c>
      <c r="W906" s="179">
        <v>0.0</v>
      </c>
      <c r="X906" s="179">
        <v>0.0</v>
      </c>
      <c r="Y906" s="179">
        <v>0.0</v>
      </c>
      <c r="Z906" s="179">
        <v>0.0</v>
      </c>
      <c r="AA906" s="179">
        <v>0.0</v>
      </c>
      <c r="AB906" s="179">
        <v>0.0</v>
      </c>
      <c r="AC906" s="179">
        <v>0.0</v>
      </c>
      <c r="AD906" s="179">
        <v>0.0</v>
      </c>
      <c r="AE906" s="179">
        <v>0.0</v>
      </c>
      <c r="AF906" s="179">
        <v>0.0</v>
      </c>
      <c r="AG906" s="179">
        <v>0.0</v>
      </c>
      <c r="AH906" s="179">
        <v>0.0</v>
      </c>
      <c r="AI906" s="179">
        <v>0.0</v>
      </c>
      <c r="AJ906" s="179">
        <v>0.0</v>
      </c>
    </row>
    <row r="907" ht="15.75" customHeight="1">
      <c r="A907" s="65">
        <v>45658.0</v>
      </c>
      <c r="B907" s="179" t="s">
        <v>779</v>
      </c>
      <c r="C907" s="179" t="s">
        <v>1083</v>
      </c>
      <c r="D907" s="179" t="s">
        <v>781</v>
      </c>
      <c r="E907" s="179" t="s">
        <v>463</v>
      </c>
      <c r="F907" s="179" t="s">
        <v>774</v>
      </c>
      <c r="G907" s="179"/>
      <c r="H907" s="179" t="s">
        <v>1106</v>
      </c>
      <c r="I907" s="179"/>
      <c r="J907" s="179" t="s">
        <v>90</v>
      </c>
      <c r="K907" s="179">
        <v>1000.0</v>
      </c>
      <c r="L907" s="179"/>
      <c r="M907" s="179" t="s">
        <v>8</v>
      </c>
      <c r="N907" s="179">
        <v>256812.0</v>
      </c>
      <c r="O907" s="179">
        <v>758.0</v>
      </c>
      <c r="P907" s="179">
        <v>0.003</v>
      </c>
      <c r="Q907" s="179">
        <v>1443.22</v>
      </c>
      <c r="R907" s="179">
        <v>1.9</v>
      </c>
      <c r="S907" s="179">
        <v>840.0</v>
      </c>
      <c r="T907" s="179">
        <v>0.0</v>
      </c>
      <c r="U907" s="179">
        <v>0.0</v>
      </c>
      <c r="V907" s="179">
        <v>0.0</v>
      </c>
      <c r="W907" s="179">
        <v>0.0</v>
      </c>
      <c r="X907" s="179">
        <v>0.0</v>
      </c>
      <c r="Y907" s="179">
        <v>0.0</v>
      </c>
      <c r="Z907" s="179">
        <v>0.0</v>
      </c>
      <c r="AA907" s="179">
        <v>0.0</v>
      </c>
      <c r="AB907" s="179">
        <v>0.0</v>
      </c>
      <c r="AC907" s="179">
        <v>0.0</v>
      </c>
      <c r="AD907" s="179">
        <v>0.0</v>
      </c>
      <c r="AE907" s="179">
        <v>0.0</v>
      </c>
      <c r="AF907" s="179">
        <v>0.0</v>
      </c>
      <c r="AG907" s="179">
        <v>0.0</v>
      </c>
      <c r="AH907" s="179">
        <v>0.0</v>
      </c>
      <c r="AI907" s="179">
        <v>0.0</v>
      </c>
      <c r="AJ907" s="179">
        <v>0.0</v>
      </c>
    </row>
    <row r="908" ht="15.75" customHeight="1">
      <c r="A908" s="65">
        <v>45658.0</v>
      </c>
      <c r="B908" s="179" t="s">
        <v>771</v>
      </c>
      <c r="C908" s="179" t="s">
        <v>1122</v>
      </c>
      <c r="D908" s="179" t="s">
        <v>773</v>
      </c>
      <c r="E908" s="179" t="s">
        <v>459</v>
      </c>
      <c r="F908" s="179" t="s">
        <v>774</v>
      </c>
      <c r="G908" s="179" t="s">
        <v>775</v>
      </c>
      <c r="H908" s="179" t="s">
        <v>1106</v>
      </c>
      <c r="I908" s="179"/>
      <c r="J908" s="179" t="s">
        <v>211</v>
      </c>
      <c r="K908" s="179">
        <v>200.0</v>
      </c>
      <c r="L908" s="195">
        <v>0.0626</v>
      </c>
      <c r="M908" s="179" t="s">
        <v>8</v>
      </c>
      <c r="N908" s="179">
        <v>12415.0</v>
      </c>
      <c r="O908" s="179">
        <v>220.0</v>
      </c>
      <c r="P908" s="179">
        <v>0.0177</v>
      </c>
      <c r="Q908" s="179">
        <v>1191.08</v>
      </c>
      <c r="R908" s="179">
        <v>5.41</v>
      </c>
      <c r="S908" s="179">
        <v>0.0</v>
      </c>
      <c r="T908" s="179">
        <v>7.0</v>
      </c>
      <c r="U908" s="179">
        <v>27060.18</v>
      </c>
      <c r="V908" s="179">
        <v>0.044</v>
      </c>
      <c r="W908" s="179">
        <v>22.719</v>
      </c>
      <c r="X908" s="179">
        <v>0.0</v>
      </c>
      <c r="Y908" s="179">
        <v>0.0</v>
      </c>
      <c r="Z908" s="179">
        <v>0.0</v>
      </c>
      <c r="AA908" s="179">
        <v>0.0</v>
      </c>
      <c r="AB908" s="179">
        <v>0.0</v>
      </c>
      <c r="AC908" s="179">
        <v>0.0</v>
      </c>
      <c r="AD908" s="179">
        <v>0.0</v>
      </c>
      <c r="AE908" s="179">
        <v>0.0</v>
      </c>
      <c r="AF908" s="179">
        <v>0.0</v>
      </c>
      <c r="AG908" s="179">
        <v>0.0</v>
      </c>
      <c r="AH908" s="179">
        <v>0.0</v>
      </c>
      <c r="AI908" s="179">
        <v>0.0</v>
      </c>
      <c r="AJ908" s="179">
        <v>0.0</v>
      </c>
    </row>
    <row r="909" ht="15.75" customHeight="1">
      <c r="A909" s="65">
        <v>45658.0</v>
      </c>
      <c r="B909" s="179" t="s">
        <v>771</v>
      </c>
      <c r="C909" s="179" t="s">
        <v>1046</v>
      </c>
      <c r="D909" s="179" t="s">
        <v>773</v>
      </c>
      <c r="E909" s="179" t="s">
        <v>459</v>
      </c>
      <c r="F909" s="179" t="s">
        <v>774</v>
      </c>
      <c r="G909" s="179" t="s">
        <v>775</v>
      </c>
      <c r="H909" s="179" t="s">
        <v>1106</v>
      </c>
      <c r="I909" s="179"/>
      <c r="J909" s="179" t="s">
        <v>217</v>
      </c>
      <c r="K909" s="179">
        <v>150.0</v>
      </c>
      <c r="L909" s="179" t="s">
        <v>776</v>
      </c>
      <c r="M909" s="179" t="s">
        <v>8</v>
      </c>
      <c r="N909" s="179">
        <v>22856.0</v>
      </c>
      <c r="O909" s="179">
        <v>172.0</v>
      </c>
      <c r="P909" s="179">
        <v>0.0075</v>
      </c>
      <c r="Q909" s="179">
        <v>1150.18</v>
      </c>
      <c r="R909" s="179">
        <v>6.69</v>
      </c>
      <c r="S909" s="179">
        <v>0.0</v>
      </c>
      <c r="T909" s="179">
        <v>0.0</v>
      </c>
      <c r="U909" s="179">
        <v>0.0</v>
      </c>
      <c r="V909" s="179">
        <v>0.0</v>
      </c>
      <c r="W909" s="179">
        <v>0.0</v>
      </c>
      <c r="X909" s="179">
        <v>0.0</v>
      </c>
      <c r="Y909" s="179">
        <v>0.0</v>
      </c>
      <c r="Z909" s="179">
        <v>0.0</v>
      </c>
      <c r="AA909" s="179">
        <v>0.0</v>
      </c>
      <c r="AB909" s="179">
        <v>0.0</v>
      </c>
      <c r="AC909" s="179">
        <v>0.0</v>
      </c>
      <c r="AD909" s="179">
        <v>0.0</v>
      </c>
      <c r="AE909" s="179">
        <v>0.0</v>
      </c>
      <c r="AF909" s="179">
        <v>0.0</v>
      </c>
      <c r="AG909" s="179">
        <v>0.0</v>
      </c>
      <c r="AH909" s="179">
        <v>0.0</v>
      </c>
      <c r="AI909" s="179">
        <v>0.0</v>
      </c>
      <c r="AJ909" s="179">
        <v>0.0</v>
      </c>
    </row>
    <row r="910" ht="15.75" customHeight="1">
      <c r="A910" s="65">
        <v>45658.0</v>
      </c>
      <c r="B910" s="179" t="s">
        <v>771</v>
      </c>
      <c r="C910" s="179" t="s">
        <v>1123</v>
      </c>
      <c r="D910" s="179" t="s">
        <v>773</v>
      </c>
      <c r="E910" s="179" t="s">
        <v>460</v>
      </c>
      <c r="F910" s="179" t="s">
        <v>778</v>
      </c>
      <c r="G910" s="179" t="s">
        <v>775</v>
      </c>
      <c r="H910" s="179" t="s">
        <v>1106</v>
      </c>
      <c r="I910" s="179"/>
      <c r="J910" s="179" t="s">
        <v>211</v>
      </c>
      <c r="K910" s="179">
        <v>1000.0</v>
      </c>
      <c r="L910" s="179" t="s">
        <v>776</v>
      </c>
      <c r="M910" s="179" t="s">
        <v>8</v>
      </c>
      <c r="N910" s="179">
        <v>38306.0</v>
      </c>
      <c r="O910" s="179">
        <v>199.0</v>
      </c>
      <c r="P910" s="179">
        <v>0.0052</v>
      </c>
      <c r="Q910" s="179">
        <v>1142.35</v>
      </c>
      <c r="R910" s="179">
        <v>5.74</v>
      </c>
      <c r="S910" s="179">
        <v>0.0</v>
      </c>
      <c r="T910" s="179">
        <v>5.0</v>
      </c>
      <c r="U910" s="179">
        <v>51955.1</v>
      </c>
      <c r="V910" s="179">
        <v>0.022</v>
      </c>
      <c r="W910" s="179">
        <v>45.4809</v>
      </c>
      <c r="X910" s="179">
        <v>0.0</v>
      </c>
      <c r="Y910" s="179">
        <v>0.0</v>
      </c>
      <c r="Z910" s="179">
        <v>0.0</v>
      </c>
      <c r="AA910" s="179">
        <v>0.0</v>
      </c>
      <c r="AB910" s="179">
        <v>0.0</v>
      </c>
      <c r="AC910" s="179">
        <v>0.0</v>
      </c>
      <c r="AD910" s="179">
        <v>0.0</v>
      </c>
      <c r="AE910" s="179">
        <v>0.0</v>
      </c>
      <c r="AF910" s="179">
        <v>0.0</v>
      </c>
      <c r="AG910" s="179">
        <v>0.0</v>
      </c>
      <c r="AH910" s="179">
        <v>0.0</v>
      </c>
      <c r="AI910" s="179">
        <v>0.0</v>
      </c>
      <c r="AJ910" s="179">
        <v>0.0</v>
      </c>
    </row>
    <row r="911" ht="15.75" customHeight="1">
      <c r="A911" s="65">
        <v>45658.0</v>
      </c>
      <c r="B911" s="179" t="s">
        <v>771</v>
      </c>
      <c r="C911" s="179" t="s">
        <v>916</v>
      </c>
      <c r="D911" s="179" t="s">
        <v>773</v>
      </c>
      <c r="E911" s="179" t="s">
        <v>459</v>
      </c>
      <c r="F911" s="179" t="s">
        <v>774</v>
      </c>
      <c r="G911" s="179" t="s">
        <v>775</v>
      </c>
      <c r="H911" s="179" t="s">
        <v>1106</v>
      </c>
      <c r="I911" s="179"/>
      <c r="J911" s="179" t="s">
        <v>205</v>
      </c>
      <c r="K911" s="179">
        <v>500.0</v>
      </c>
      <c r="L911" s="179" t="s">
        <v>776</v>
      </c>
      <c r="M911" s="179" t="s">
        <v>8</v>
      </c>
      <c r="N911" s="179">
        <v>23450.0</v>
      </c>
      <c r="O911" s="179">
        <v>23.0</v>
      </c>
      <c r="P911" s="179">
        <v>0.001</v>
      </c>
      <c r="Q911" s="179">
        <v>1140.87</v>
      </c>
      <c r="R911" s="179">
        <v>49.6</v>
      </c>
      <c r="S911" s="179">
        <v>0.0</v>
      </c>
      <c r="T911" s="179">
        <v>0.0</v>
      </c>
      <c r="U911" s="179">
        <v>0.0</v>
      </c>
      <c r="V911" s="179">
        <v>0.0</v>
      </c>
      <c r="W911" s="179">
        <v>0.0</v>
      </c>
      <c r="X911" s="179">
        <v>0.0</v>
      </c>
      <c r="Y911" s="179">
        <v>0.0</v>
      </c>
      <c r="Z911" s="179">
        <v>0.0</v>
      </c>
      <c r="AA911" s="179">
        <v>0.0</v>
      </c>
      <c r="AB911" s="179">
        <v>0.0</v>
      </c>
      <c r="AC911" s="179">
        <v>0.0</v>
      </c>
      <c r="AD911" s="179">
        <v>0.0</v>
      </c>
      <c r="AE911" s="179">
        <v>0.0</v>
      </c>
      <c r="AF911" s="179">
        <v>0.0</v>
      </c>
      <c r="AG911" s="179">
        <v>0.0</v>
      </c>
      <c r="AH911" s="179">
        <v>0.0</v>
      </c>
      <c r="AI911" s="179">
        <v>0.0</v>
      </c>
      <c r="AJ911" s="179">
        <v>0.0</v>
      </c>
    </row>
    <row r="912" ht="15.75" customHeight="1">
      <c r="A912" s="65">
        <v>45658.0</v>
      </c>
      <c r="B912" s="179" t="s">
        <v>771</v>
      </c>
      <c r="C912" s="179" t="s">
        <v>1090</v>
      </c>
      <c r="D912" s="179" t="s">
        <v>773</v>
      </c>
      <c r="E912" s="179" t="s">
        <v>463</v>
      </c>
      <c r="F912" s="179" t="s">
        <v>774</v>
      </c>
      <c r="G912" s="179"/>
      <c r="H912" s="179" t="s">
        <v>1106</v>
      </c>
      <c r="I912" s="179"/>
      <c r="J912" s="179" t="s">
        <v>211</v>
      </c>
      <c r="K912" s="179">
        <v>500.0</v>
      </c>
      <c r="L912" s="179"/>
      <c r="M912" s="179" t="s">
        <v>8</v>
      </c>
      <c r="N912" s="179">
        <v>79041.0</v>
      </c>
      <c r="O912" s="179">
        <v>283.0</v>
      </c>
      <c r="P912" s="179">
        <v>0.0036</v>
      </c>
      <c r="Q912" s="179">
        <v>965.21</v>
      </c>
      <c r="R912" s="179">
        <v>3.41</v>
      </c>
      <c r="S912" s="179">
        <v>382.0</v>
      </c>
      <c r="T912" s="179">
        <v>1.0</v>
      </c>
      <c r="U912" s="179">
        <v>1146.61</v>
      </c>
      <c r="V912" s="179">
        <v>0.8418</v>
      </c>
      <c r="W912" s="179">
        <v>1.1879</v>
      </c>
      <c r="X912" s="179">
        <v>1.0</v>
      </c>
      <c r="Y912" s="179">
        <v>1.0</v>
      </c>
      <c r="Z912" s="179">
        <v>1146.61</v>
      </c>
      <c r="AA912" s="179">
        <v>1.0</v>
      </c>
      <c r="AB912" s="179">
        <v>0.0</v>
      </c>
      <c r="AC912" s="179">
        <v>0.0</v>
      </c>
      <c r="AD912" s="179">
        <v>0.0</v>
      </c>
      <c r="AE912" s="179">
        <v>0.0</v>
      </c>
      <c r="AF912" s="179">
        <v>0.0</v>
      </c>
      <c r="AG912" s="179">
        <v>0.0</v>
      </c>
      <c r="AH912" s="179">
        <v>0.0</v>
      </c>
      <c r="AI912" s="179">
        <v>0.0</v>
      </c>
      <c r="AJ912" s="179">
        <v>0.0</v>
      </c>
    </row>
    <row r="913" ht="15.75" customHeight="1">
      <c r="A913" s="65">
        <v>45658.0</v>
      </c>
      <c r="B913" s="179" t="s">
        <v>771</v>
      </c>
      <c r="C913" s="179" t="s">
        <v>1075</v>
      </c>
      <c r="D913" s="179" t="s">
        <v>773</v>
      </c>
      <c r="E913" s="179" t="s">
        <v>459</v>
      </c>
      <c r="F913" s="179" t="s">
        <v>774</v>
      </c>
      <c r="G913" s="179" t="s">
        <v>775</v>
      </c>
      <c r="H913" s="179" t="s">
        <v>1106</v>
      </c>
      <c r="I913" s="179"/>
      <c r="J913" s="179" t="s">
        <v>134</v>
      </c>
      <c r="K913" s="179">
        <v>500.0</v>
      </c>
      <c r="L913" s="195">
        <v>0.1065</v>
      </c>
      <c r="M913" s="179" t="s">
        <v>8</v>
      </c>
      <c r="N913" s="179">
        <v>3671.0</v>
      </c>
      <c r="O913" s="179">
        <v>20.0</v>
      </c>
      <c r="P913" s="179">
        <v>0.0054</v>
      </c>
      <c r="Q913" s="179">
        <v>959.89</v>
      </c>
      <c r="R913" s="179">
        <v>47.99</v>
      </c>
      <c r="S913" s="179">
        <v>0.0</v>
      </c>
      <c r="T913" s="179">
        <v>1.0</v>
      </c>
      <c r="U913" s="179">
        <v>20974.58</v>
      </c>
      <c r="V913" s="179">
        <v>0.0458</v>
      </c>
      <c r="W913" s="179">
        <v>21.851</v>
      </c>
      <c r="X913" s="179">
        <v>0.0</v>
      </c>
      <c r="Y913" s="179">
        <v>0.0</v>
      </c>
      <c r="Z913" s="179">
        <v>0.0</v>
      </c>
      <c r="AA913" s="179">
        <v>0.0</v>
      </c>
      <c r="AB913" s="179">
        <v>0.0</v>
      </c>
      <c r="AC913" s="179">
        <v>0.0</v>
      </c>
      <c r="AD913" s="179">
        <v>0.0</v>
      </c>
      <c r="AE913" s="179">
        <v>0.0</v>
      </c>
      <c r="AF913" s="179">
        <v>0.0</v>
      </c>
      <c r="AG913" s="179">
        <v>0.0</v>
      </c>
      <c r="AH913" s="179">
        <v>0.0</v>
      </c>
      <c r="AI913" s="179">
        <v>0.0</v>
      </c>
      <c r="AJ913" s="179">
        <v>0.0</v>
      </c>
    </row>
    <row r="914" ht="15.75" customHeight="1">
      <c r="A914" s="65">
        <v>45658.0</v>
      </c>
      <c r="B914" s="179" t="s">
        <v>771</v>
      </c>
      <c r="C914" s="179" t="s">
        <v>871</v>
      </c>
      <c r="D914" s="179" t="s">
        <v>773</v>
      </c>
      <c r="E914" s="179" t="s">
        <v>459</v>
      </c>
      <c r="F914" s="179" t="s">
        <v>774</v>
      </c>
      <c r="G914" s="179" t="s">
        <v>775</v>
      </c>
      <c r="H914" s="179" t="s">
        <v>1106</v>
      </c>
      <c r="I914" s="179"/>
      <c r="J914" s="179" t="s">
        <v>119</v>
      </c>
      <c r="K914" s="179">
        <v>310.0</v>
      </c>
      <c r="L914" s="179" t="s">
        <v>776</v>
      </c>
      <c r="M914" s="179" t="s">
        <v>8</v>
      </c>
      <c r="N914" s="179">
        <v>16925.0</v>
      </c>
      <c r="O914" s="179">
        <v>284.0</v>
      </c>
      <c r="P914" s="179">
        <v>0.0168</v>
      </c>
      <c r="Q914" s="179">
        <v>912.03</v>
      </c>
      <c r="R914" s="179">
        <v>3.21</v>
      </c>
      <c r="S914" s="179">
        <v>0.0</v>
      </c>
      <c r="T914" s="179">
        <v>1.0</v>
      </c>
      <c r="U914" s="179">
        <v>7164.41</v>
      </c>
      <c r="V914" s="179">
        <v>0.1273</v>
      </c>
      <c r="W914" s="179">
        <v>7.8555</v>
      </c>
      <c r="X914" s="179">
        <v>0.0</v>
      </c>
      <c r="Y914" s="179">
        <v>0.0</v>
      </c>
      <c r="Z914" s="179">
        <v>0.0</v>
      </c>
      <c r="AA914" s="179">
        <v>0.0</v>
      </c>
      <c r="AB914" s="179">
        <v>0.0</v>
      </c>
      <c r="AC914" s="179">
        <v>0.0</v>
      </c>
      <c r="AD914" s="179">
        <v>0.0</v>
      </c>
      <c r="AE914" s="179">
        <v>0.0</v>
      </c>
      <c r="AF914" s="179">
        <v>0.0</v>
      </c>
      <c r="AG914" s="179">
        <v>0.0</v>
      </c>
      <c r="AH914" s="179">
        <v>0.0</v>
      </c>
      <c r="AI914" s="179">
        <v>0.0</v>
      </c>
      <c r="AJ914" s="179">
        <v>0.0</v>
      </c>
    </row>
    <row r="915" ht="15.75" customHeight="1">
      <c r="A915" s="65">
        <v>45658.0</v>
      </c>
      <c r="B915" s="179" t="s">
        <v>771</v>
      </c>
      <c r="C915" s="179" t="s">
        <v>1084</v>
      </c>
      <c r="D915" s="179" t="s">
        <v>773</v>
      </c>
      <c r="E915" s="179" t="s">
        <v>459</v>
      </c>
      <c r="F915" s="179" t="s">
        <v>774</v>
      </c>
      <c r="G915" s="179" t="s">
        <v>775</v>
      </c>
      <c r="H915" s="179" t="s">
        <v>1106</v>
      </c>
      <c r="I915" s="179"/>
      <c r="J915" s="179" t="s">
        <v>211</v>
      </c>
      <c r="K915" s="179">
        <v>500.0</v>
      </c>
      <c r="L915" s="179" t="s">
        <v>776</v>
      </c>
      <c r="M915" s="179" t="s">
        <v>8</v>
      </c>
      <c r="N915" s="179">
        <v>19278.0</v>
      </c>
      <c r="O915" s="179">
        <v>359.0</v>
      </c>
      <c r="P915" s="179">
        <v>0.0186</v>
      </c>
      <c r="Q915" s="179">
        <v>883.35</v>
      </c>
      <c r="R915" s="179">
        <v>2.46</v>
      </c>
      <c r="S915" s="179">
        <v>0.0</v>
      </c>
      <c r="T915" s="179">
        <v>4.0</v>
      </c>
      <c r="U915" s="179">
        <v>5183.05</v>
      </c>
      <c r="V915" s="179">
        <v>0.1704</v>
      </c>
      <c r="W915" s="179">
        <v>5.8675</v>
      </c>
      <c r="X915" s="179">
        <v>0.0</v>
      </c>
      <c r="Y915" s="179">
        <v>0.0</v>
      </c>
      <c r="Z915" s="179">
        <v>0.0</v>
      </c>
      <c r="AA915" s="179">
        <v>0.0</v>
      </c>
      <c r="AB915" s="179">
        <v>0.0</v>
      </c>
      <c r="AC915" s="179">
        <v>0.0</v>
      </c>
      <c r="AD915" s="179">
        <v>0.0</v>
      </c>
      <c r="AE915" s="179">
        <v>0.0</v>
      </c>
      <c r="AF915" s="179">
        <v>0.0</v>
      </c>
      <c r="AG915" s="179">
        <v>0.0</v>
      </c>
      <c r="AH915" s="179">
        <v>0.0</v>
      </c>
      <c r="AI915" s="179">
        <v>0.0</v>
      </c>
      <c r="AJ915" s="179">
        <v>0.0</v>
      </c>
    </row>
    <row r="916" ht="15.75" customHeight="1">
      <c r="A916" s="65">
        <v>45658.0</v>
      </c>
      <c r="B916" s="179" t="s">
        <v>771</v>
      </c>
      <c r="C916" s="179" t="s">
        <v>1126</v>
      </c>
      <c r="D916" s="179" t="s">
        <v>773</v>
      </c>
      <c r="E916" s="179" t="s">
        <v>462</v>
      </c>
      <c r="F916" s="179" t="s">
        <v>774</v>
      </c>
      <c r="G916" s="179"/>
      <c r="H916" s="179" t="s">
        <v>1106</v>
      </c>
      <c r="I916" s="179"/>
      <c r="J916" s="179" t="s">
        <v>158</v>
      </c>
      <c r="K916" s="179">
        <v>800.0</v>
      </c>
      <c r="L916" s="195">
        <v>0.112</v>
      </c>
      <c r="M916" s="179" t="s">
        <v>8</v>
      </c>
      <c r="N916" s="179">
        <v>2977.0</v>
      </c>
      <c r="O916" s="179">
        <v>59.0</v>
      </c>
      <c r="P916" s="179">
        <v>0.0198</v>
      </c>
      <c r="Q916" s="179">
        <v>875.52</v>
      </c>
      <c r="R916" s="179">
        <v>14.84</v>
      </c>
      <c r="S916" s="179">
        <v>113.0</v>
      </c>
      <c r="T916" s="179">
        <v>0.0</v>
      </c>
      <c r="U916" s="179">
        <v>0.0</v>
      </c>
      <c r="V916" s="179">
        <v>0.0</v>
      </c>
      <c r="W916" s="179">
        <v>0.0</v>
      </c>
      <c r="X916" s="179">
        <v>0.0</v>
      </c>
      <c r="Y916" s="179">
        <v>0.0</v>
      </c>
      <c r="Z916" s="179">
        <v>0.0</v>
      </c>
      <c r="AA916" s="179">
        <v>0.0</v>
      </c>
      <c r="AB916" s="179">
        <v>606.0</v>
      </c>
      <c r="AC916" s="179">
        <v>1444.75</v>
      </c>
      <c r="AD916" s="179">
        <v>0.0</v>
      </c>
      <c r="AE916" s="179">
        <v>0.0</v>
      </c>
      <c r="AF916" s="179">
        <v>0.0</v>
      </c>
      <c r="AG916" s="179">
        <v>0.0</v>
      </c>
      <c r="AH916" s="179">
        <v>0.0</v>
      </c>
      <c r="AI916" s="179">
        <v>0.0</v>
      </c>
      <c r="AJ916" s="179">
        <v>0.0</v>
      </c>
    </row>
    <row r="917" ht="15.75" customHeight="1">
      <c r="A917" s="65">
        <v>45658.0</v>
      </c>
      <c r="B917" s="179" t="s">
        <v>771</v>
      </c>
      <c r="C917" s="179" t="s">
        <v>1128</v>
      </c>
      <c r="D917" s="179" t="s">
        <v>773</v>
      </c>
      <c r="E917" s="179" t="s">
        <v>459</v>
      </c>
      <c r="F917" s="179" t="s">
        <v>774</v>
      </c>
      <c r="G917" s="179" t="s">
        <v>775</v>
      </c>
      <c r="H917" s="179" t="s">
        <v>1106</v>
      </c>
      <c r="I917" s="179"/>
      <c r="J917" s="179" t="s">
        <v>158</v>
      </c>
      <c r="K917" s="179">
        <v>500.0</v>
      </c>
      <c r="L917" s="179" t="s">
        <v>776</v>
      </c>
      <c r="M917" s="179" t="s">
        <v>8</v>
      </c>
      <c r="N917" s="179">
        <v>14052.0</v>
      </c>
      <c r="O917" s="179">
        <v>94.0</v>
      </c>
      <c r="P917" s="179">
        <v>0.0067</v>
      </c>
      <c r="Q917" s="179">
        <v>833.07</v>
      </c>
      <c r="R917" s="179">
        <v>8.86</v>
      </c>
      <c r="S917" s="179">
        <v>0.0</v>
      </c>
      <c r="T917" s="179">
        <v>0.0</v>
      </c>
      <c r="U917" s="179">
        <v>0.0</v>
      </c>
      <c r="V917" s="179">
        <v>0.0</v>
      </c>
      <c r="W917" s="179">
        <v>0.0</v>
      </c>
      <c r="X917" s="179">
        <v>0.0</v>
      </c>
      <c r="Y917" s="179">
        <v>0.0</v>
      </c>
      <c r="Z917" s="179">
        <v>0.0</v>
      </c>
      <c r="AA917" s="179">
        <v>0.0</v>
      </c>
      <c r="AB917" s="179">
        <v>0.0</v>
      </c>
      <c r="AC917" s="179">
        <v>0.0</v>
      </c>
      <c r="AD917" s="179">
        <v>0.0</v>
      </c>
      <c r="AE917" s="179">
        <v>0.0</v>
      </c>
      <c r="AF917" s="179">
        <v>0.0</v>
      </c>
      <c r="AG917" s="179">
        <v>0.0</v>
      </c>
      <c r="AH917" s="179">
        <v>0.0</v>
      </c>
      <c r="AI917" s="179">
        <v>0.0</v>
      </c>
      <c r="AJ917" s="179">
        <v>0.0</v>
      </c>
    </row>
    <row r="918" ht="15.75" customHeight="1">
      <c r="A918" s="65">
        <v>45658.0</v>
      </c>
      <c r="B918" s="179" t="s">
        <v>771</v>
      </c>
      <c r="C918" s="179" t="s">
        <v>900</v>
      </c>
      <c r="D918" s="179" t="s">
        <v>773</v>
      </c>
      <c r="E918" s="179" t="s">
        <v>459</v>
      </c>
      <c r="F918" s="179" t="s">
        <v>774</v>
      </c>
      <c r="G918" s="179" t="s">
        <v>775</v>
      </c>
      <c r="H918" s="179" t="s">
        <v>1106</v>
      </c>
      <c r="I918" s="179"/>
      <c r="J918" s="179" t="s">
        <v>134</v>
      </c>
      <c r="K918" s="179">
        <v>1000.0</v>
      </c>
      <c r="L918" s="179" t="s">
        <v>776</v>
      </c>
      <c r="M918" s="179" t="s">
        <v>8</v>
      </c>
      <c r="N918" s="179">
        <v>25976.0</v>
      </c>
      <c r="O918" s="179">
        <v>27.0</v>
      </c>
      <c r="P918" s="179">
        <v>0.001</v>
      </c>
      <c r="Q918" s="179">
        <v>816.73</v>
      </c>
      <c r="R918" s="179">
        <v>30.25</v>
      </c>
      <c r="S918" s="179">
        <v>0.0</v>
      </c>
      <c r="T918" s="179">
        <v>0.0</v>
      </c>
      <c r="U918" s="179">
        <v>0.0</v>
      </c>
      <c r="V918" s="179">
        <v>0.0</v>
      </c>
      <c r="W918" s="179">
        <v>0.0</v>
      </c>
      <c r="X918" s="179">
        <v>0.0</v>
      </c>
      <c r="Y918" s="179">
        <v>0.0</v>
      </c>
      <c r="Z918" s="179">
        <v>0.0</v>
      </c>
      <c r="AA918" s="179">
        <v>0.0</v>
      </c>
      <c r="AB918" s="179">
        <v>0.0</v>
      </c>
      <c r="AC918" s="179">
        <v>0.0</v>
      </c>
      <c r="AD918" s="179">
        <v>0.0</v>
      </c>
      <c r="AE918" s="179">
        <v>0.0</v>
      </c>
      <c r="AF918" s="179">
        <v>0.0</v>
      </c>
      <c r="AG918" s="179">
        <v>0.0</v>
      </c>
      <c r="AH918" s="179">
        <v>0.0</v>
      </c>
      <c r="AI918" s="179">
        <v>0.0</v>
      </c>
      <c r="AJ918" s="179">
        <v>0.0</v>
      </c>
    </row>
    <row r="919" ht="15.75" customHeight="1">
      <c r="A919" s="65">
        <v>45658.0</v>
      </c>
      <c r="B919" s="179" t="s">
        <v>771</v>
      </c>
      <c r="C919" s="179" t="s">
        <v>999</v>
      </c>
      <c r="D919" s="179" t="s">
        <v>773</v>
      </c>
      <c r="E919" s="179" t="s">
        <v>460</v>
      </c>
      <c r="F919" s="179" t="s">
        <v>778</v>
      </c>
      <c r="G919" s="179" t="s">
        <v>775</v>
      </c>
      <c r="H919" s="179" t="s">
        <v>1106</v>
      </c>
      <c r="I919" s="179"/>
      <c r="J919" s="179" t="s">
        <v>158</v>
      </c>
      <c r="K919" s="179">
        <v>190.0</v>
      </c>
      <c r="L919" s="195">
        <v>0.0514</v>
      </c>
      <c r="M919" s="179" t="s">
        <v>8</v>
      </c>
      <c r="N919" s="179">
        <v>7709.0</v>
      </c>
      <c r="O919" s="179">
        <v>53.0</v>
      </c>
      <c r="P919" s="179">
        <v>0.0069</v>
      </c>
      <c r="Q919" s="179">
        <v>701.39</v>
      </c>
      <c r="R919" s="179">
        <v>13.23</v>
      </c>
      <c r="S919" s="179">
        <v>0.0</v>
      </c>
      <c r="T919" s="179">
        <v>2.0</v>
      </c>
      <c r="U919" s="179">
        <v>20770.34</v>
      </c>
      <c r="V919" s="179">
        <v>0.0338</v>
      </c>
      <c r="W919" s="179">
        <v>29.6131</v>
      </c>
      <c r="X919" s="179">
        <v>0.0</v>
      </c>
      <c r="Y919" s="179">
        <v>0.0</v>
      </c>
      <c r="Z919" s="179">
        <v>0.0</v>
      </c>
      <c r="AA919" s="179">
        <v>0.0</v>
      </c>
      <c r="AB919" s="179">
        <v>0.0</v>
      </c>
      <c r="AC919" s="179">
        <v>0.0</v>
      </c>
      <c r="AD919" s="179">
        <v>0.0</v>
      </c>
      <c r="AE919" s="179">
        <v>0.0</v>
      </c>
      <c r="AF919" s="179">
        <v>0.0</v>
      </c>
      <c r="AG919" s="179">
        <v>0.0</v>
      </c>
      <c r="AH919" s="179">
        <v>0.0</v>
      </c>
      <c r="AI919" s="179">
        <v>0.0</v>
      </c>
      <c r="AJ919" s="179">
        <v>0.0</v>
      </c>
    </row>
    <row r="920" ht="15.75" customHeight="1">
      <c r="A920" s="65">
        <v>45658.0</v>
      </c>
      <c r="B920" s="179" t="s">
        <v>771</v>
      </c>
      <c r="C920" s="179" t="s">
        <v>1012</v>
      </c>
      <c r="D920" s="179" t="s">
        <v>773</v>
      </c>
      <c r="E920" s="179" t="s">
        <v>459</v>
      </c>
      <c r="F920" s="179" t="s">
        <v>774</v>
      </c>
      <c r="G920" s="179" t="s">
        <v>775</v>
      </c>
      <c r="H920" s="179" t="s">
        <v>1106</v>
      </c>
      <c r="I920" s="179"/>
      <c r="J920" s="179" t="s">
        <v>158</v>
      </c>
      <c r="K920" s="179">
        <v>190.0</v>
      </c>
      <c r="L920" s="179" t="s">
        <v>776</v>
      </c>
      <c r="M920" s="179" t="s">
        <v>8</v>
      </c>
      <c r="N920" s="179">
        <v>3036.0</v>
      </c>
      <c r="O920" s="179">
        <v>33.0</v>
      </c>
      <c r="P920" s="179">
        <v>0.0109</v>
      </c>
      <c r="Q920" s="179">
        <v>674.15</v>
      </c>
      <c r="R920" s="179">
        <v>20.43</v>
      </c>
      <c r="S920" s="179">
        <v>0.0</v>
      </c>
      <c r="T920" s="179">
        <v>0.0</v>
      </c>
      <c r="U920" s="179">
        <v>0.0</v>
      </c>
      <c r="V920" s="179">
        <v>0.0</v>
      </c>
      <c r="W920" s="179">
        <v>0.0</v>
      </c>
      <c r="X920" s="179">
        <v>0.0</v>
      </c>
      <c r="Y920" s="179">
        <v>0.0</v>
      </c>
      <c r="Z920" s="179">
        <v>0.0</v>
      </c>
      <c r="AA920" s="179">
        <v>0.0</v>
      </c>
      <c r="AB920" s="179">
        <v>0.0</v>
      </c>
      <c r="AC920" s="179">
        <v>0.0</v>
      </c>
      <c r="AD920" s="179">
        <v>0.0</v>
      </c>
      <c r="AE920" s="179">
        <v>0.0</v>
      </c>
      <c r="AF920" s="179">
        <v>0.0</v>
      </c>
      <c r="AG920" s="179">
        <v>0.0</v>
      </c>
      <c r="AH920" s="179">
        <v>0.0</v>
      </c>
      <c r="AI920" s="179">
        <v>0.0</v>
      </c>
      <c r="AJ920" s="179">
        <v>0.0</v>
      </c>
    </row>
    <row r="921" ht="15.75" customHeight="1">
      <c r="A921" s="65">
        <v>45658.0</v>
      </c>
      <c r="B921" s="179" t="s">
        <v>771</v>
      </c>
      <c r="C921" s="179" t="s">
        <v>1076</v>
      </c>
      <c r="D921" s="179" t="s">
        <v>773</v>
      </c>
      <c r="E921" s="179" t="s">
        <v>460</v>
      </c>
      <c r="F921" s="179" t="s">
        <v>778</v>
      </c>
      <c r="G921" s="179" t="s">
        <v>775</v>
      </c>
      <c r="H921" s="179" t="s">
        <v>1106</v>
      </c>
      <c r="I921" s="179"/>
      <c r="J921" s="179" t="s">
        <v>134</v>
      </c>
      <c r="K921" s="179">
        <v>100.0</v>
      </c>
      <c r="L921" s="179" t="s">
        <v>776</v>
      </c>
      <c r="M921" s="179" t="s">
        <v>8</v>
      </c>
      <c r="N921" s="179">
        <v>88505.0</v>
      </c>
      <c r="O921" s="179">
        <v>92.0</v>
      </c>
      <c r="P921" s="179">
        <v>0.001</v>
      </c>
      <c r="Q921" s="179">
        <v>625.3</v>
      </c>
      <c r="R921" s="179">
        <v>6.8</v>
      </c>
      <c r="S921" s="179">
        <v>0.0</v>
      </c>
      <c r="T921" s="179">
        <v>1.0</v>
      </c>
      <c r="U921" s="179">
        <v>15220.34</v>
      </c>
      <c r="V921" s="179">
        <v>0.0411</v>
      </c>
      <c r="W921" s="179">
        <v>24.3409</v>
      </c>
      <c r="X921" s="179">
        <v>0.0</v>
      </c>
      <c r="Y921" s="179">
        <v>0.0</v>
      </c>
      <c r="Z921" s="179">
        <v>0.0</v>
      </c>
      <c r="AA921" s="179">
        <v>0.0</v>
      </c>
      <c r="AB921" s="179">
        <v>0.0</v>
      </c>
      <c r="AC921" s="179">
        <v>0.0</v>
      </c>
      <c r="AD921" s="179">
        <v>0.0</v>
      </c>
      <c r="AE921" s="179">
        <v>0.0</v>
      </c>
      <c r="AF921" s="179">
        <v>0.0</v>
      </c>
      <c r="AG921" s="179">
        <v>0.0</v>
      </c>
      <c r="AH921" s="179">
        <v>0.0</v>
      </c>
      <c r="AI921" s="179">
        <v>0.0</v>
      </c>
      <c r="AJ921" s="179">
        <v>0.0</v>
      </c>
    </row>
    <row r="922" ht="15.75" customHeight="1">
      <c r="A922" s="65">
        <v>45658.0</v>
      </c>
      <c r="B922" s="179" t="s">
        <v>771</v>
      </c>
      <c r="C922" s="179" t="s">
        <v>1129</v>
      </c>
      <c r="D922" s="179" t="s">
        <v>773</v>
      </c>
      <c r="E922" s="179" t="s">
        <v>459</v>
      </c>
      <c r="F922" s="179" t="s">
        <v>774</v>
      </c>
      <c r="G922" s="179" t="s">
        <v>775</v>
      </c>
      <c r="H922" s="179" t="s">
        <v>1106</v>
      </c>
      <c r="I922" s="179"/>
      <c r="J922" s="179" t="s">
        <v>211</v>
      </c>
      <c r="K922" s="179">
        <v>100.0</v>
      </c>
      <c r="L922" s="179" t="s">
        <v>776</v>
      </c>
      <c r="M922" s="179" t="s">
        <v>8</v>
      </c>
      <c r="N922" s="179">
        <v>6103.0</v>
      </c>
      <c r="O922" s="179">
        <v>120.0</v>
      </c>
      <c r="P922" s="179">
        <v>0.0197</v>
      </c>
      <c r="Q922" s="179">
        <v>620.73</v>
      </c>
      <c r="R922" s="179">
        <v>5.17</v>
      </c>
      <c r="S922" s="179">
        <v>0.0</v>
      </c>
      <c r="T922" s="179">
        <v>3.0</v>
      </c>
      <c r="U922" s="179">
        <v>4728.82</v>
      </c>
      <c r="V922" s="179">
        <v>0.1313</v>
      </c>
      <c r="W922" s="179">
        <v>7.6182</v>
      </c>
      <c r="X922" s="179">
        <v>0.0</v>
      </c>
      <c r="Y922" s="179">
        <v>0.0</v>
      </c>
      <c r="Z922" s="179">
        <v>0.0</v>
      </c>
      <c r="AA922" s="179">
        <v>0.0</v>
      </c>
      <c r="AB922" s="179">
        <v>0.0</v>
      </c>
      <c r="AC922" s="179">
        <v>0.0</v>
      </c>
      <c r="AD922" s="179">
        <v>0.0</v>
      </c>
      <c r="AE922" s="179">
        <v>0.0</v>
      </c>
      <c r="AF922" s="179">
        <v>0.0</v>
      </c>
      <c r="AG922" s="179">
        <v>0.0</v>
      </c>
      <c r="AH922" s="179">
        <v>0.0</v>
      </c>
      <c r="AI922" s="179">
        <v>0.0</v>
      </c>
      <c r="AJ922" s="179">
        <v>0.0</v>
      </c>
    </row>
    <row r="923" ht="15.75" customHeight="1">
      <c r="A923" s="65">
        <v>45658.0</v>
      </c>
      <c r="B923" s="179" t="s">
        <v>771</v>
      </c>
      <c r="C923" s="179" t="s">
        <v>1131</v>
      </c>
      <c r="D923" s="179" t="s">
        <v>773</v>
      </c>
      <c r="E923" s="179" t="s">
        <v>459</v>
      </c>
      <c r="F923" s="179" t="s">
        <v>774</v>
      </c>
      <c r="G923" s="179" t="s">
        <v>775</v>
      </c>
      <c r="H923" s="179" t="s">
        <v>1106</v>
      </c>
      <c r="I923" s="179"/>
      <c r="J923" s="179" t="s">
        <v>230</v>
      </c>
      <c r="K923" s="179">
        <v>1000.0</v>
      </c>
      <c r="L923" s="195">
        <v>0.1835</v>
      </c>
      <c r="M923" s="179" t="s">
        <v>8</v>
      </c>
      <c r="N923" s="179">
        <v>1785.0</v>
      </c>
      <c r="O923" s="179">
        <v>9.0</v>
      </c>
      <c r="P923" s="179">
        <v>0.005</v>
      </c>
      <c r="Q923" s="179">
        <v>529.02</v>
      </c>
      <c r="R923" s="179">
        <v>58.78</v>
      </c>
      <c r="S923" s="179">
        <v>0.0</v>
      </c>
      <c r="T923" s="179">
        <v>0.0</v>
      </c>
      <c r="U923" s="179">
        <v>0.0</v>
      </c>
      <c r="V923" s="179">
        <v>0.0</v>
      </c>
      <c r="W923" s="179">
        <v>0.0</v>
      </c>
      <c r="X923" s="179">
        <v>0.0</v>
      </c>
      <c r="Y923" s="179">
        <v>0.0</v>
      </c>
      <c r="Z923" s="179">
        <v>0.0</v>
      </c>
      <c r="AA923" s="179">
        <v>0.0</v>
      </c>
      <c r="AB923" s="179">
        <v>0.0</v>
      </c>
      <c r="AC923" s="179">
        <v>0.0</v>
      </c>
      <c r="AD923" s="179">
        <v>0.0</v>
      </c>
      <c r="AE923" s="179">
        <v>0.0</v>
      </c>
      <c r="AF923" s="179">
        <v>0.0</v>
      </c>
      <c r="AG923" s="179">
        <v>0.0</v>
      </c>
      <c r="AH923" s="179">
        <v>0.0</v>
      </c>
      <c r="AI923" s="179">
        <v>0.0</v>
      </c>
      <c r="AJ923" s="179">
        <v>0.0</v>
      </c>
    </row>
    <row r="924" ht="15.75" customHeight="1">
      <c r="A924" s="65">
        <v>45658.0</v>
      </c>
      <c r="B924" s="179" t="s">
        <v>771</v>
      </c>
      <c r="C924" s="179" t="s">
        <v>1002</v>
      </c>
      <c r="D924" s="179" t="s">
        <v>773</v>
      </c>
      <c r="E924" s="179" t="s">
        <v>459</v>
      </c>
      <c r="F924" s="179" t="s">
        <v>774</v>
      </c>
      <c r="G924" s="179" t="s">
        <v>775</v>
      </c>
      <c r="H924" s="179" t="s">
        <v>1106</v>
      </c>
      <c r="I924" s="179"/>
      <c r="J924" s="179" t="s">
        <v>217</v>
      </c>
      <c r="K924" s="179">
        <v>200.0</v>
      </c>
      <c r="L924" s="195">
        <v>0.2235</v>
      </c>
      <c r="M924" s="179" t="s">
        <v>8</v>
      </c>
      <c r="N924" s="179">
        <v>7706.0</v>
      </c>
      <c r="O924" s="179">
        <v>69.0</v>
      </c>
      <c r="P924" s="179">
        <v>0.009</v>
      </c>
      <c r="Q924" s="179">
        <v>489.27</v>
      </c>
      <c r="R924" s="179">
        <v>7.09</v>
      </c>
      <c r="S924" s="179">
        <v>0.0</v>
      </c>
      <c r="T924" s="179">
        <v>0.0</v>
      </c>
      <c r="U924" s="179">
        <v>0.0</v>
      </c>
      <c r="V924" s="179">
        <v>0.0</v>
      </c>
      <c r="W924" s="179">
        <v>0.0</v>
      </c>
      <c r="X924" s="179">
        <v>0.0</v>
      </c>
      <c r="Y924" s="179">
        <v>0.0</v>
      </c>
      <c r="Z924" s="179">
        <v>0.0</v>
      </c>
      <c r="AA924" s="179">
        <v>0.0</v>
      </c>
      <c r="AB924" s="179">
        <v>0.0</v>
      </c>
      <c r="AC924" s="179">
        <v>0.0</v>
      </c>
      <c r="AD924" s="179">
        <v>0.0</v>
      </c>
      <c r="AE924" s="179">
        <v>0.0</v>
      </c>
      <c r="AF924" s="179">
        <v>0.0</v>
      </c>
      <c r="AG924" s="179">
        <v>0.0</v>
      </c>
      <c r="AH924" s="179">
        <v>0.0</v>
      </c>
      <c r="AI924" s="179">
        <v>0.0</v>
      </c>
      <c r="AJ924" s="179">
        <v>0.0</v>
      </c>
    </row>
    <row r="925" ht="15.75" customHeight="1">
      <c r="A925" s="65">
        <v>45658.0</v>
      </c>
      <c r="B925" s="179" t="s">
        <v>771</v>
      </c>
      <c r="C925" s="179" t="s">
        <v>1074</v>
      </c>
      <c r="D925" s="179" t="s">
        <v>773</v>
      </c>
      <c r="E925" s="179" t="s">
        <v>459</v>
      </c>
      <c r="F925" s="179" t="s">
        <v>774</v>
      </c>
      <c r="G925" s="179" t="s">
        <v>775</v>
      </c>
      <c r="H925" s="179" t="s">
        <v>1106</v>
      </c>
      <c r="I925" s="179"/>
      <c r="J925" s="179" t="s">
        <v>128</v>
      </c>
      <c r="K925" s="179">
        <v>1550.0</v>
      </c>
      <c r="L925" s="195">
        <v>0.3182</v>
      </c>
      <c r="M925" s="179" t="s">
        <v>8</v>
      </c>
      <c r="N925" s="179">
        <v>4489.0</v>
      </c>
      <c r="O925" s="179">
        <v>52.0</v>
      </c>
      <c r="P925" s="179">
        <v>0.0116</v>
      </c>
      <c r="Q925" s="179">
        <v>381.62</v>
      </c>
      <c r="R925" s="179">
        <v>7.34</v>
      </c>
      <c r="S925" s="179">
        <v>0.0</v>
      </c>
      <c r="T925" s="179">
        <v>1.0</v>
      </c>
      <c r="U925" s="179">
        <v>422.88</v>
      </c>
      <c r="V925" s="179">
        <v>0.9024</v>
      </c>
      <c r="W925" s="179">
        <v>1.1081</v>
      </c>
      <c r="X925" s="179">
        <v>0.0</v>
      </c>
      <c r="Y925" s="179">
        <v>0.0</v>
      </c>
      <c r="Z925" s="179">
        <v>0.0</v>
      </c>
      <c r="AA925" s="179">
        <v>0.0</v>
      </c>
      <c r="AB925" s="179">
        <v>0.0</v>
      </c>
      <c r="AC925" s="179">
        <v>0.0</v>
      </c>
      <c r="AD925" s="179">
        <v>0.0</v>
      </c>
      <c r="AE925" s="179">
        <v>0.0</v>
      </c>
      <c r="AF925" s="179">
        <v>0.0</v>
      </c>
      <c r="AG925" s="179">
        <v>0.0</v>
      </c>
      <c r="AH925" s="179">
        <v>0.0</v>
      </c>
      <c r="AI925" s="179">
        <v>0.0</v>
      </c>
      <c r="AJ925" s="179">
        <v>0.0</v>
      </c>
    </row>
    <row r="926" ht="15.75" customHeight="1">
      <c r="A926" s="65">
        <v>45658.0</v>
      </c>
      <c r="B926" s="179" t="s">
        <v>771</v>
      </c>
      <c r="C926" s="179" t="s">
        <v>984</v>
      </c>
      <c r="D926" s="179" t="s">
        <v>773</v>
      </c>
      <c r="E926" s="179" t="s">
        <v>462</v>
      </c>
      <c r="F926" s="179" t="s">
        <v>774</v>
      </c>
      <c r="G926" s="179"/>
      <c r="H926" s="179" t="s">
        <v>1106</v>
      </c>
      <c r="I926" s="179"/>
      <c r="J926" s="179" t="s">
        <v>140</v>
      </c>
      <c r="K926" s="179">
        <v>555.0</v>
      </c>
      <c r="L926" s="195">
        <v>0.4737</v>
      </c>
      <c r="M926" s="179" t="s">
        <v>8</v>
      </c>
      <c r="N926" s="179">
        <v>221.0</v>
      </c>
      <c r="O926" s="179">
        <v>8.0</v>
      </c>
      <c r="P926" s="179">
        <v>0.0362</v>
      </c>
      <c r="Q926" s="179">
        <v>357.82</v>
      </c>
      <c r="R926" s="179">
        <v>44.73</v>
      </c>
      <c r="S926" s="179">
        <v>13.0</v>
      </c>
      <c r="T926" s="179">
        <v>0.0</v>
      </c>
      <c r="U926" s="179">
        <v>0.0</v>
      </c>
      <c r="V926" s="179">
        <v>0.0</v>
      </c>
      <c r="W926" s="179">
        <v>0.0</v>
      </c>
      <c r="X926" s="179">
        <v>0.0</v>
      </c>
      <c r="Y926" s="179">
        <v>0.0</v>
      </c>
      <c r="Z926" s="179">
        <v>0.0</v>
      </c>
      <c r="AA926" s="179">
        <v>0.0</v>
      </c>
      <c r="AB926" s="179">
        <v>60.0</v>
      </c>
      <c r="AC926" s="179">
        <v>5963.67</v>
      </c>
      <c r="AD926" s="179">
        <v>0.0</v>
      </c>
      <c r="AE926" s="179">
        <v>0.0</v>
      </c>
      <c r="AF926" s="179">
        <v>0.0</v>
      </c>
      <c r="AG926" s="179">
        <v>0.0</v>
      </c>
      <c r="AH926" s="179">
        <v>0.0</v>
      </c>
      <c r="AI926" s="179">
        <v>0.0</v>
      </c>
      <c r="AJ926" s="179">
        <v>0.0</v>
      </c>
    </row>
    <row r="927" ht="15.75" customHeight="1">
      <c r="A927" s="65">
        <v>45658.0</v>
      </c>
      <c r="B927" s="179" t="s">
        <v>771</v>
      </c>
      <c r="C927" s="179" t="s">
        <v>1134</v>
      </c>
      <c r="D927" s="179" t="s">
        <v>773</v>
      </c>
      <c r="E927" s="179" t="s">
        <v>459</v>
      </c>
      <c r="F927" s="179" t="s">
        <v>774</v>
      </c>
      <c r="G927" s="179" t="s">
        <v>775</v>
      </c>
      <c r="H927" s="179" t="s">
        <v>1106</v>
      </c>
      <c r="I927" s="179"/>
      <c r="J927" s="179" t="s">
        <v>230</v>
      </c>
      <c r="K927" s="179">
        <v>1000.0</v>
      </c>
      <c r="L927" s="195">
        <v>0.1503</v>
      </c>
      <c r="M927" s="179" t="s">
        <v>8</v>
      </c>
      <c r="N927" s="179">
        <v>1480.0</v>
      </c>
      <c r="O927" s="179">
        <v>7.0</v>
      </c>
      <c r="P927" s="179">
        <v>0.0047</v>
      </c>
      <c r="Q927" s="179">
        <v>342.06</v>
      </c>
      <c r="R927" s="179">
        <v>48.87</v>
      </c>
      <c r="S927" s="179">
        <v>0.0</v>
      </c>
      <c r="T927" s="179">
        <v>0.0</v>
      </c>
      <c r="U927" s="179">
        <v>0.0</v>
      </c>
      <c r="V927" s="179">
        <v>0.0</v>
      </c>
      <c r="W927" s="179">
        <v>0.0</v>
      </c>
      <c r="X927" s="179">
        <v>0.0</v>
      </c>
      <c r="Y927" s="179">
        <v>0.0</v>
      </c>
      <c r="Z927" s="179">
        <v>0.0</v>
      </c>
      <c r="AA927" s="179">
        <v>0.0</v>
      </c>
      <c r="AB927" s="179">
        <v>0.0</v>
      </c>
      <c r="AC927" s="179">
        <v>0.0</v>
      </c>
      <c r="AD927" s="179">
        <v>0.0</v>
      </c>
      <c r="AE927" s="179">
        <v>0.0</v>
      </c>
      <c r="AF927" s="179">
        <v>0.0</v>
      </c>
      <c r="AG927" s="179">
        <v>0.0</v>
      </c>
      <c r="AH927" s="179">
        <v>0.0</v>
      </c>
      <c r="AI927" s="179">
        <v>0.0</v>
      </c>
      <c r="AJ927" s="179">
        <v>0.0</v>
      </c>
    </row>
    <row r="928" ht="15.75" customHeight="1">
      <c r="A928" s="65">
        <v>45658.0</v>
      </c>
      <c r="B928" s="179" t="s">
        <v>771</v>
      </c>
      <c r="C928" s="179" t="s">
        <v>1135</v>
      </c>
      <c r="D928" s="179" t="s">
        <v>773</v>
      </c>
      <c r="E928" s="179" t="s">
        <v>459</v>
      </c>
      <c r="F928" s="179" t="s">
        <v>774</v>
      </c>
      <c r="G928" s="179" t="s">
        <v>775</v>
      </c>
      <c r="H928" s="179" t="s">
        <v>1106</v>
      </c>
      <c r="I928" s="179"/>
      <c r="J928" s="179" t="s">
        <v>230</v>
      </c>
      <c r="K928" s="179">
        <v>1000.0</v>
      </c>
      <c r="L928" s="195">
        <v>0.1025</v>
      </c>
      <c r="M928" s="179" t="s">
        <v>8</v>
      </c>
      <c r="N928" s="179">
        <v>502.0</v>
      </c>
      <c r="O928" s="179">
        <v>7.0</v>
      </c>
      <c r="P928" s="179">
        <v>0.0139</v>
      </c>
      <c r="Q928" s="179">
        <v>334.64</v>
      </c>
      <c r="R928" s="179">
        <v>47.81</v>
      </c>
      <c r="S928" s="179">
        <v>0.0</v>
      </c>
      <c r="T928" s="179">
        <v>0.0</v>
      </c>
      <c r="U928" s="179">
        <v>0.0</v>
      </c>
      <c r="V928" s="179">
        <v>0.0</v>
      </c>
      <c r="W928" s="179">
        <v>0.0</v>
      </c>
      <c r="X928" s="179">
        <v>0.0</v>
      </c>
      <c r="Y928" s="179">
        <v>0.0</v>
      </c>
      <c r="Z928" s="179">
        <v>0.0</v>
      </c>
      <c r="AA928" s="179">
        <v>0.0</v>
      </c>
      <c r="AB928" s="179">
        <v>0.0</v>
      </c>
      <c r="AC928" s="179">
        <v>0.0</v>
      </c>
      <c r="AD928" s="179">
        <v>0.0</v>
      </c>
      <c r="AE928" s="179">
        <v>0.0</v>
      </c>
      <c r="AF928" s="179">
        <v>0.0</v>
      </c>
      <c r="AG928" s="179">
        <v>0.0</v>
      </c>
      <c r="AH928" s="179">
        <v>0.0</v>
      </c>
      <c r="AI928" s="179">
        <v>0.0</v>
      </c>
      <c r="AJ928" s="179">
        <v>0.0</v>
      </c>
    </row>
    <row r="929" ht="15.75" customHeight="1">
      <c r="A929" s="65">
        <v>45658.0</v>
      </c>
      <c r="B929" s="179" t="s">
        <v>771</v>
      </c>
      <c r="C929" s="179" t="s">
        <v>921</v>
      </c>
      <c r="D929" s="179" t="s">
        <v>773</v>
      </c>
      <c r="E929" s="179" t="s">
        <v>459</v>
      </c>
      <c r="F929" s="179" t="s">
        <v>774</v>
      </c>
      <c r="G929" s="179" t="s">
        <v>775</v>
      </c>
      <c r="H929" s="179" t="s">
        <v>1106</v>
      </c>
      <c r="I929" s="179"/>
      <c r="J929" s="179" t="s">
        <v>205</v>
      </c>
      <c r="K929" s="179">
        <v>500.0</v>
      </c>
      <c r="L929" s="179" t="s">
        <v>776</v>
      </c>
      <c r="M929" s="179" t="s">
        <v>8</v>
      </c>
      <c r="N929" s="179">
        <v>3053.0</v>
      </c>
      <c r="O929" s="179">
        <v>9.0</v>
      </c>
      <c r="P929" s="179">
        <v>0.0029</v>
      </c>
      <c r="Q929" s="179">
        <v>319.66</v>
      </c>
      <c r="R929" s="179">
        <v>35.52</v>
      </c>
      <c r="S929" s="179">
        <v>0.0</v>
      </c>
      <c r="T929" s="179">
        <v>0.0</v>
      </c>
      <c r="U929" s="179">
        <v>0.0</v>
      </c>
      <c r="V929" s="179">
        <v>0.0</v>
      </c>
      <c r="W929" s="179">
        <v>0.0</v>
      </c>
      <c r="X929" s="179">
        <v>0.0</v>
      </c>
      <c r="Y929" s="179">
        <v>0.0</v>
      </c>
      <c r="Z929" s="179">
        <v>0.0</v>
      </c>
      <c r="AA929" s="179">
        <v>0.0</v>
      </c>
      <c r="AB929" s="179">
        <v>0.0</v>
      </c>
      <c r="AC929" s="179">
        <v>0.0</v>
      </c>
      <c r="AD929" s="179">
        <v>0.0</v>
      </c>
      <c r="AE929" s="179">
        <v>0.0</v>
      </c>
      <c r="AF929" s="179">
        <v>0.0</v>
      </c>
      <c r="AG929" s="179">
        <v>0.0</v>
      </c>
      <c r="AH929" s="179">
        <v>0.0</v>
      </c>
      <c r="AI929" s="179">
        <v>0.0</v>
      </c>
      <c r="AJ929" s="179">
        <v>0.0</v>
      </c>
    </row>
    <row r="930" ht="15.75" customHeight="1">
      <c r="A930" s="65">
        <v>45658.0</v>
      </c>
      <c r="B930" s="179" t="s">
        <v>779</v>
      </c>
      <c r="C930" s="179" t="s">
        <v>1077</v>
      </c>
      <c r="D930" s="179" t="s">
        <v>781</v>
      </c>
      <c r="E930" s="179" t="s">
        <v>459</v>
      </c>
      <c r="F930" s="179" t="s">
        <v>774</v>
      </c>
      <c r="G930" s="179" t="s">
        <v>775</v>
      </c>
      <c r="H930" s="179" t="s">
        <v>1106</v>
      </c>
      <c r="I930" s="179"/>
      <c r="J930" s="179" t="s">
        <v>413</v>
      </c>
      <c r="K930" s="179">
        <v>1000.0</v>
      </c>
      <c r="L930" s="179" t="s">
        <v>776</v>
      </c>
      <c r="M930" s="179" t="s">
        <v>8</v>
      </c>
      <c r="N930" s="179">
        <v>4340.0</v>
      </c>
      <c r="O930" s="179">
        <v>20.0</v>
      </c>
      <c r="P930" s="179">
        <v>0.0046</v>
      </c>
      <c r="Q930" s="179">
        <v>306.86</v>
      </c>
      <c r="R930" s="179">
        <v>15.34</v>
      </c>
      <c r="S930" s="179">
        <v>0.0</v>
      </c>
      <c r="T930" s="179">
        <v>0.0</v>
      </c>
      <c r="U930" s="179">
        <v>0.0</v>
      </c>
      <c r="V930" s="179">
        <v>0.0</v>
      </c>
      <c r="W930" s="179">
        <v>0.0</v>
      </c>
      <c r="X930" s="179">
        <v>0.0</v>
      </c>
      <c r="Y930" s="179">
        <v>0.0</v>
      </c>
      <c r="Z930" s="179">
        <v>0.0</v>
      </c>
      <c r="AA930" s="179">
        <v>0.0</v>
      </c>
      <c r="AB930" s="179">
        <v>0.0</v>
      </c>
      <c r="AC930" s="179">
        <v>0.0</v>
      </c>
      <c r="AD930" s="179">
        <v>0.0</v>
      </c>
      <c r="AE930" s="179">
        <v>0.0</v>
      </c>
      <c r="AF930" s="179">
        <v>0.0</v>
      </c>
      <c r="AG930" s="179">
        <v>0.0</v>
      </c>
      <c r="AH930" s="179">
        <v>0.0</v>
      </c>
      <c r="AI930" s="179">
        <v>0.0</v>
      </c>
      <c r="AJ930" s="179">
        <v>0.0</v>
      </c>
    </row>
    <row r="931" ht="15.75" customHeight="1">
      <c r="A931" s="65">
        <v>45658.0</v>
      </c>
      <c r="B931" s="179" t="s">
        <v>771</v>
      </c>
      <c r="C931" s="179" t="s">
        <v>1136</v>
      </c>
      <c r="D931" s="179" t="s">
        <v>773</v>
      </c>
      <c r="E931" s="179" t="s">
        <v>460</v>
      </c>
      <c r="F931" s="179" t="s">
        <v>778</v>
      </c>
      <c r="G931" s="179" t="s">
        <v>775</v>
      </c>
      <c r="H931" s="179" t="s">
        <v>1106</v>
      </c>
      <c r="I931" s="179"/>
      <c r="J931" s="179" t="s">
        <v>321</v>
      </c>
      <c r="K931" s="179">
        <v>200.0</v>
      </c>
      <c r="L931" s="179" t="s">
        <v>776</v>
      </c>
      <c r="M931" s="179" t="s">
        <v>8</v>
      </c>
      <c r="N931" s="179">
        <v>6318.0</v>
      </c>
      <c r="O931" s="179">
        <v>51.0</v>
      </c>
      <c r="P931" s="179">
        <v>0.0081</v>
      </c>
      <c r="Q931" s="179">
        <v>238.65</v>
      </c>
      <c r="R931" s="179">
        <v>4.68</v>
      </c>
      <c r="S931" s="179">
        <v>0.0</v>
      </c>
      <c r="T931" s="179">
        <v>2.0</v>
      </c>
      <c r="U931" s="179">
        <v>845.76</v>
      </c>
      <c r="V931" s="179">
        <v>0.2822</v>
      </c>
      <c r="W931" s="179">
        <v>3.5439</v>
      </c>
      <c r="X931" s="179">
        <v>0.0</v>
      </c>
      <c r="Y931" s="179">
        <v>0.0</v>
      </c>
      <c r="Z931" s="179">
        <v>0.0</v>
      </c>
      <c r="AA931" s="179">
        <v>0.0</v>
      </c>
      <c r="AB931" s="179">
        <v>0.0</v>
      </c>
      <c r="AC931" s="179">
        <v>0.0</v>
      </c>
      <c r="AD931" s="179">
        <v>0.0</v>
      </c>
      <c r="AE931" s="179">
        <v>0.0</v>
      </c>
      <c r="AF931" s="179">
        <v>0.0</v>
      </c>
      <c r="AG931" s="179">
        <v>0.0</v>
      </c>
      <c r="AH931" s="179">
        <v>0.0</v>
      </c>
      <c r="AI931" s="179">
        <v>0.0</v>
      </c>
      <c r="AJ931" s="179">
        <v>0.0</v>
      </c>
    </row>
    <row r="932" ht="15.75" customHeight="1">
      <c r="A932" s="65">
        <v>45658.0</v>
      </c>
      <c r="B932" s="179" t="s">
        <v>771</v>
      </c>
      <c r="C932" s="179" t="s">
        <v>1030</v>
      </c>
      <c r="D932" s="179" t="s">
        <v>773</v>
      </c>
      <c r="E932" s="179" t="s">
        <v>459</v>
      </c>
      <c r="F932" s="179" t="s">
        <v>774</v>
      </c>
      <c r="G932" s="179" t="s">
        <v>775</v>
      </c>
      <c r="H932" s="179" t="s">
        <v>1106</v>
      </c>
      <c r="I932" s="179"/>
      <c r="J932" s="179" t="s">
        <v>158</v>
      </c>
      <c r="K932" s="179">
        <v>5912.49</v>
      </c>
      <c r="L932" s="179" t="s">
        <v>776</v>
      </c>
      <c r="M932" s="179" t="s">
        <v>8</v>
      </c>
      <c r="N932" s="179">
        <v>2621.0</v>
      </c>
      <c r="O932" s="179">
        <v>13.0</v>
      </c>
      <c r="P932" s="179">
        <v>0.005</v>
      </c>
      <c r="Q932" s="179">
        <v>192.04</v>
      </c>
      <c r="R932" s="179">
        <v>14.77</v>
      </c>
      <c r="S932" s="179">
        <v>0.0</v>
      </c>
      <c r="T932" s="179">
        <v>0.0</v>
      </c>
      <c r="U932" s="179">
        <v>0.0</v>
      </c>
      <c r="V932" s="179">
        <v>0.0</v>
      </c>
      <c r="W932" s="179">
        <v>0.0</v>
      </c>
      <c r="X932" s="179">
        <v>0.0</v>
      </c>
      <c r="Y932" s="179">
        <v>0.0</v>
      </c>
      <c r="Z932" s="179">
        <v>0.0</v>
      </c>
      <c r="AA932" s="179">
        <v>0.0</v>
      </c>
      <c r="AB932" s="179">
        <v>0.0</v>
      </c>
      <c r="AC932" s="179">
        <v>0.0</v>
      </c>
      <c r="AD932" s="179">
        <v>0.0</v>
      </c>
      <c r="AE932" s="179">
        <v>0.0</v>
      </c>
      <c r="AF932" s="179">
        <v>0.0</v>
      </c>
      <c r="AG932" s="179">
        <v>0.0</v>
      </c>
      <c r="AH932" s="179">
        <v>0.0</v>
      </c>
      <c r="AI932" s="179">
        <v>0.0</v>
      </c>
      <c r="AJ932" s="179">
        <v>0.0</v>
      </c>
    </row>
    <row r="933" ht="15.75" customHeight="1">
      <c r="A933" s="65">
        <v>45658.0</v>
      </c>
      <c r="B933" s="179" t="s">
        <v>771</v>
      </c>
      <c r="C933" s="179" t="s">
        <v>1137</v>
      </c>
      <c r="D933" s="179" t="s">
        <v>773</v>
      </c>
      <c r="E933" s="179" t="s">
        <v>460</v>
      </c>
      <c r="F933" s="179" t="s">
        <v>778</v>
      </c>
      <c r="G933" s="179" t="s">
        <v>775</v>
      </c>
      <c r="H933" s="179" t="s">
        <v>1106</v>
      </c>
      <c r="I933" s="179"/>
      <c r="J933" s="179" t="s">
        <v>211</v>
      </c>
      <c r="K933" s="179">
        <v>500.0</v>
      </c>
      <c r="L933" s="179" t="s">
        <v>776</v>
      </c>
      <c r="M933" s="179" t="s">
        <v>8</v>
      </c>
      <c r="N933" s="179">
        <v>8884.0</v>
      </c>
      <c r="O933" s="179">
        <v>57.0</v>
      </c>
      <c r="P933" s="179">
        <v>0.0064</v>
      </c>
      <c r="Q933" s="179">
        <v>153.71</v>
      </c>
      <c r="R933" s="179">
        <v>2.7</v>
      </c>
      <c r="S933" s="179">
        <v>0.0</v>
      </c>
      <c r="T933" s="179">
        <v>0.0</v>
      </c>
      <c r="U933" s="179">
        <v>0.0</v>
      </c>
      <c r="V933" s="179">
        <v>0.0</v>
      </c>
      <c r="W933" s="179">
        <v>0.0</v>
      </c>
      <c r="X933" s="179">
        <v>0.0</v>
      </c>
      <c r="Y933" s="179">
        <v>0.0</v>
      </c>
      <c r="Z933" s="179">
        <v>0.0</v>
      </c>
      <c r="AA933" s="179">
        <v>0.0</v>
      </c>
      <c r="AB933" s="179">
        <v>0.0</v>
      </c>
      <c r="AC933" s="179">
        <v>0.0</v>
      </c>
      <c r="AD933" s="179">
        <v>0.0</v>
      </c>
      <c r="AE933" s="179">
        <v>0.0</v>
      </c>
      <c r="AF933" s="179">
        <v>0.0</v>
      </c>
      <c r="AG933" s="179">
        <v>0.0</v>
      </c>
      <c r="AH933" s="179">
        <v>0.0</v>
      </c>
      <c r="AI933" s="179">
        <v>0.0</v>
      </c>
      <c r="AJ933" s="179">
        <v>0.0</v>
      </c>
    </row>
    <row r="934" ht="15.75" customHeight="1">
      <c r="A934" s="65">
        <v>45658.0</v>
      </c>
      <c r="B934" s="179" t="s">
        <v>771</v>
      </c>
      <c r="C934" s="179" t="s">
        <v>1138</v>
      </c>
      <c r="D934" s="179" t="s">
        <v>773</v>
      </c>
      <c r="E934" s="179" t="s">
        <v>461</v>
      </c>
      <c r="F934" s="179" t="s">
        <v>774</v>
      </c>
      <c r="G934" s="179"/>
      <c r="H934" s="179" t="s">
        <v>1106</v>
      </c>
      <c r="I934" s="179"/>
      <c r="J934" s="179" t="s">
        <v>158</v>
      </c>
      <c r="K934" s="179">
        <v>500.0</v>
      </c>
      <c r="L934" s="195">
        <v>0.1762</v>
      </c>
      <c r="M934" s="179" t="s">
        <v>8</v>
      </c>
      <c r="N934" s="179">
        <v>634.0</v>
      </c>
      <c r="O934" s="179">
        <v>6.0</v>
      </c>
      <c r="P934" s="179">
        <v>0.0095</v>
      </c>
      <c r="Q934" s="179">
        <v>146.0</v>
      </c>
      <c r="R934" s="179">
        <v>24.33</v>
      </c>
      <c r="S934" s="179">
        <v>10.0</v>
      </c>
      <c r="T934" s="179">
        <v>0.0</v>
      </c>
      <c r="U934" s="179">
        <v>0.0</v>
      </c>
      <c r="V934" s="179">
        <v>0.0</v>
      </c>
      <c r="W934" s="179">
        <v>0.0</v>
      </c>
      <c r="X934" s="179">
        <v>0.0</v>
      </c>
      <c r="Y934" s="179">
        <v>0.0</v>
      </c>
      <c r="Z934" s="179">
        <v>0.0</v>
      </c>
      <c r="AA934" s="179">
        <v>0.0</v>
      </c>
      <c r="AB934" s="179">
        <v>172.0</v>
      </c>
      <c r="AC934" s="179">
        <v>848.84</v>
      </c>
      <c r="AD934" s="179">
        <v>0.0</v>
      </c>
      <c r="AE934" s="179">
        <v>0.0</v>
      </c>
      <c r="AF934" s="179">
        <v>0.0</v>
      </c>
      <c r="AG934" s="179">
        <v>0.0</v>
      </c>
      <c r="AH934" s="179">
        <v>0.0</v>
      </c>
      <c r="AI934" s="179">
        <v>0.0</v>
      </c>
      <c r="AJ934" s="179">
        <v>0.0</v>
      </c>
    </row>
    <row r="935" ht="15.75" customHeight="1">
      <c r="A935" s="65">
        <v>45658.0</v>
      </c>
      <c r="B935" s="179" t="s">
        <v>771</v>
      </c>
      <c r="C935" s="179" t="s">
        <v>1050</v>
      </c>
      <c r="D935" s="179" t="s">
        <v>773</v>
      </c>
      <c r="E935" s="179" t="s">
        <v>460</v>
      </c>
      <c r="F935" s="179" t="s">
        <v>778</v>
      </c>
      <c r="G935" s="179" t="s">
        <v>775</v>
      </c>
      <c r="H935" s="179" t="s">
        <v>1106</v>
      </c>
      <c r="I935" s="179"/>
      <c r="J935" s="179" t="s">
        <v>241</v>
      </c>
      <c r="K935" s="179">
        <v>775.0</v>
      </c>
      <c r="L935" s="179" t="s">
        <v>776</v>
      </c>
      <c r="M935" s="179" t="s">
        <v>8</v>
      </c>
      <c r="N935" s="179">
        <v>7560.0</v>
      </c>
      <c r="O935" s="179">
        <v>31.0</v>
      </c>
      <c r="P935" s="179">
        <v>0.0041</v>
      </c>
      <c r="Q935" s="179">
        <v>136.89</v>
      </c>
      <c r="R935" s="179">
        <v>4.42</v>
      </c>
      <c r="S935" s="179">
        <v>0.0</v>
      </c>
      <c r="T935" s="179">
        <v>1.0</v>
      </c>
      <c r="U935" s="179">
        <v>1425.42</v>
      </c>
      <c r="V935" s="179">
        <v>0.096</v>
      </c>
      <c r="W935" s="179">
        <v>10.4129</v>
      </c>
      <c r="X935" s="179">
        <v>0.0</v>
      </c>
      <c r="Y935" s="179">
        <v>0.0</v>
      </c>
      <c r="Z935" s="179">
        <v>0.0</v>
      </c>
      <c r="AA935" s="179">
        <v>0.0</v>
      </c>
      <c r="AB935" s="179">
        <v>0.0</v>
      </c>
      <c r="AC935" s="179">
        <v>0.0</v>
      </c>
      <c r="AD935" s="179">
        <v>0.0</v>
      </c>
      <c r="AE935" s="179">
        <v>0.0</v>
      </c>
      <c r="AF935" s="179">
        <v>0.0</v>
      </c>
      <c r="AG935" s="179">
        <v>0.0</v>
      </c>
      <c r="AH935" s="179">
        <v>0.0</v>
      </c>
      <c r="AI935" s="179">
        <v>0.0</v>
      </c>
      <c r="AJ935" s="179">
        <v>0.0</v>
      </c>
    </row>
    <row r="936" ht="15.75" customHeight="1">
      <c r="A936" s="65">
        <v>45658.0</v>
      </c>
      <c r="B936" s="179" t="s">
        <v>771</v>
      </c>
      <c r="C936" s="179" t="s">
        <v>1139</v>
      </c>
      <c r="D936" s="179" t="s">
        <v>773</v>
      </c>
      <c r="E936" s="179" t="s">
        <v>463</v>
      </c>
      <c r="F936" s="179" t="s">
        <v>774</v>
      </c>
      <c r="G936" s="179"/>
      <c r="H936" s="179" t="s">
        <v>1106</v>
      </c>
      <c r="I936" s="179"/>
      <c r="J936" s="179" t="s">
        <v>158</v>
      </c>
      <c r="K936" s="179">
        <v>1000.0</v>
      </c>
      <c r="L936" s="179"/>
      <c r="M936" s="179" t="s">
        <v>8</v>
      </c>
      <c r="N936" s="179">
        <v>3032.0</v>
      </c>
      <c r="O936" s="179">
        <v>7.0</v>
      </c>
      <c r="P936" s="179">
        <v>0.0023</v>
      </c>
      <c r="Q936" s="179">
        <v>61.35</v>
      </c>
      <c r="R936" s="179">
        <v>8.76</v>
      </c>
      <c r="S936" s="179">
        <v>11.0</v>
      </c>
      <c r="T936" s="179">
        <v>0.0</v>
      </c>
      <c r="U936" s="179">
        <v>0.0</v>
      </c>
      <c r="V936" s="179">
        <v>0.0</v>
      </c>
      <c r="W936" s="179">
        <v>0.0</v>
      </c>
      <c r="X936" s="179">
        <v>0.0</v>
      </c>
      <c r="Y936" s="179">
        <v>0.0</v>
      </c>
      <c r="Z936" s="179">
        <v>0.0</v>
      </c>
      <c r="AA936" s="179">
        <v>0.0</v>
      </c>
      <c r="AB936" s="179">
        <v>0.0</v>
      </c>
      <c r="AC936" s="179">
        <v>0.0</v>
      </c>
      <c r="AD936" s="179">
        <v>0.0</v>
      </c>
      <c r="AE936" s="179">
        <v>0.0</v>
      </c>
      <c r="AF936" s="179">
        <v>0.0</v>
      </c>
      <c r="AG936" s="179">
        <v>0.0</v>
      </c>
      <c r="AH936" s="179">
        <v>0.0</v>
      </c>
      <c r="AI936" s="179">
        <v>0.0</v>
      </c>
      <c r="AJ936" s="179">
        <v>0.0</v>
      </c>
    </row>
    <row r="937" ht="15.75" customHeight="1">
      <c r="A937" s="65">
        <v>45658.0</v>
      </c>
      <c r="B937" s="179" t="s">
        <v>779</v>
      </c>
      <c r="C937" s="179" t="s">
        <v>1038</v>
      </c>
      <c r="D937" s="179" t="s">
        <v>781</v>
      </c>
      <c r="E937" s="179" t="s">
        <v>459</v>
      </c>
      <c r="F937" s="179" t="s">
        <v>774</v>
      </c>
      <c r="G937" s="179" t="s">
        <v>775</v>
      </c>
      <c r="H937" s="179" t="s">
        <v>1106</v>
      </c>
      <c r="I937" s="179"/>
      <c r="J937" s="179" t="s">
        <v>158</v>
      </c>
      <c r="K937" s="179">
        <v>912.88</v>
      </c>
      <c r="L937" s="195">
        <v>0.0996</v>
      </c>
      <c r="M937" s="179" t="s">
        <v>8</v>
      </c>
      <c r="N937" s="179">
        <v>526.0</v>
      </c>
      <c r="O937" s="179">
        <v>2.0</v>
      </c>
      <c r="P937" s="179">
        <v>0.0038</v>
      </c>
      <c r="Q937" s="179">
        <v>41.63</v>
      </c>
      <c r="R937" s="179">
        <v>20.82</v>
      </c>
      <c r="S937" s="179">
        <v>0.0</v>
      </c>
      <c r="T937" s="179">
        <v>0.0</v>
      </c>
      <c r="U937" s="179">
        <v>0.0</v>
      </c>
      <c r="V937" s="179">
        <v>0.0</v>
      </c>
      <c r="W937" s="179">
        <v>0.0</v>
      </c>
      <c r="X937" s="179">
        <v>0.0</v>
      </c>
      <c r="Y937" s="179">
        <v>0.0</v>
      </c>
      <c r="Z937" s="179">
        <v>0.0</v>
      </c>
      <c r="AA937" s="179">
        <v>0.0</v>
      </c>
      <c r="AB937" s="179">
        <v>0.0</v>
      </c>
      <c r="AC937" s="179">
        <v>0.0</v>
      </c>
      <c r="AD937" s="179">
        <v>0.0</v>
      </c>
      <c r="AE937" s="179">
        <v>0.0</v>
      </c>
      <c r="AF937" s="179">
        <v>0.0</v>
      </c>
      <c r="AG937" s="179">
        <v>0.0</v>
      </c>
      <c r="AH937" s="179">
        <v>0.0</v>
      </c>
      <c r="AI937" s="179">
        <v>0.0</v>
      </c>
      <c r="AJ937" s="179">
        <v>0.0</v>
      </c>
    </row>
    <row r="938" ht="15.75" customHeight="1">
      <c r="A938" s="65">
        <v>45658.0</v>
      </c>
      <c r="B938" s="179" t="s">
        <v>771</v>
      </c>
      <c r="C938" s="179" t="s">
        <v>1141</v>
      </c>
      <c r="D938" s="179" t="s">
        <v>773</v>
      </c>
      <c r="E938" s="179" t="s">
        <v>459</v>
      </c>
      <c r="F938" s="179" t="s">
        <v>774</v>
      </c>
      <c r="G938" s="179" t="s">
        <v>775</v>
      </c>
      <c r="H938" s="179" t="s">
        <v>1106</v>
      </c>
      <c r="I938" s="179"/>
      <c r="J938" s="179" t="s">
        <v>158</v>
      </c>
      <c r="K938" s="179">
        <v>700.0</v>
      </c>
      <c r="L938" s="195">
        <v>0.1329</v>
      </c>
      <c r="M938" s="179" t="s">
        <v>8</v>
      </c>
      <c r="N938" s="179">
        <v>429.0</v>
      </c>
      <c r="O938" s="179">
        <v>2.0</v>
      </c>
      <c r="P938" s="179">
        <v>0.0047</v>
      </c>
      <c r="Q938" s="179">
        <v>32.99</v>
      </c>
      <c r="R938" s="179">
        <v>16.5</v>
      </c>
      <c r="S938" s="179">
        <v>0.0</v>
      </c>
      <c r="T938" s="179">
        <v>0.0</v>
      </c>
      <c r="U938" s="179">
        <v>0.0</v>
      </c>
      <c r="V938" s="179">
        <v>0.0</v>
      </c>
      <c r="W938" s="179">
        <v>0.0</v>
      </c>
      <c r="X938" s="179">
        <v>0.0</v>
      </c>
      <c r="Y938" s="179">
        <v>0.0</v>
      </c>
      <c r="Z938" s="179">
        <v>0.0</v>
      </c>
      <c r="AA938" s="179">
        <v>0.0</v>
      </c>
      <c r="AB938" s="179">
        <v>0.0</v>
      </c>
      <c r="AC938" s="179">
        <v>0.0</v>
      </c>
      <c r="AD938" s="179">
        <v>0.0</v>
      </c>
      <c r="AE938" s="179">
        <v>0.0</v>
      </c>
      <c r="AF938" s="179">
        <v>0.0</v>
      </c>
      <c r="AG938" s="179">
        <v>0.0</v>
      </c>
      <c r="AH938" s="179">
        <v>0.0</v>
      </c>
      <c r="AI938" s="179">
        <v>0.0</v>
      </c>
      <c r="AJ938" s="179">
        <v>0.0</v>
      </c>
    </row>
    <row r="939" ht="15.75" customHeight="1">
      <c r="A939" s="65">
        <v>45658.0</v>
      </c>
      <c r="B939" s="179" t="s">
        <v>771</v>
      </c>
      <c r="C939" s="179" t="s">
        <v>1142</v>
      </c>
      <c r="D939" s="179" t="s">
        <v>773</v>
      </c>
      <c r="E939" s="179" t="s">
        <v>459</v>
      </c>
      <c r="F939" s="179" t="s">
        <v>774</v>
      </c>
      <c r="G939" s="179" t="s">
        <v>775</v>
      </c>
      <c r="H939" s="179" t="s">
        <v>1106</v>
      </c>
      <c r="I939" s="179"/>
      <c r="J939" s="179" t="s">
        <v>321</v>
      </c>
      <c r="K939" s="179">
        <v>500.0</v>
      </c>
      <c r="L939" s="195">
        <v>0.0825</v>
      </c>
      <c r="M939" s="179" t="s">
        <v>8</v>
      </c>
      <c r="N939" s="179">
        <v>338.0</v>
      </c>
      <c r="O939" s="179">
        <v>6.0</v>
      </c>
      <c r="P939" s="179">
        <v>0.0178</v>
      </c>
      <c r="Q939" s="179">
        <v>27.96</v>
      </c>
      <c r="R939" s="179">
        <v>4.66</v>
      </c>
      <c r="S939" s="179">
        <v>0.0</v>
      </c>
      <c r="T939" s="179">
        <v>0.0</v>
      </c>
      <c r="U939" s="179">
        <v>0.0</v>
      </c>
      <c r="V939" s="179">
        <v>0.0</v>
      </c>
      <c r="W939" s="179">
        <v>0.0</v>
      </c>
      <c r="X939" s="179">
        <v>0.0</v>
      </c>
      <c r="Y939" s="179">
        <v>0.0</v>
      </c>
      <c r="Z939" s="179">
        <v>0.0</v>
      </c>
      <c r="AA939" s="179">
        <v>0.0</v>
      </c>
      <c r="AB939" s="179">
        <v>0.0</v>
      </c>
      <c r="AC939" s="179">
        <v>0.0</v>
      </c>
      <c r="AD939" s="179">
        <v>0.0</v>
      </c>
      <c r="AE939" s="179">
        <v>0.0</v>
      </c>
      <c r="AF939" s="179">
        <v>0.0</v>
      </c>
      <c r="AG939" s="179">
        <v>0.0</v>
      </c>
      <c r="AH939" s="179">
        <v>0.0</v>
      </c>
      <c r="AI939" s="179">
        <v>0.0</v>
      </c>
      <c r="AJ939" s="179">
        <v>0.0</v>
      </c>
    </row>
    <row r="940" ht="15.75" customHeight="1">
      <c r="A940" s="65">
        <v>45658.0</v>
      </c>
      <c r="B940" s="179" t="s">
        <v>771</v>
      </c>
      <c r="C940" s="179" t="s">
        <v>867</v>
      </c>
      <c r="D940" s="179" t="s">
        <v>773</v>
      </c>
      <c r="E940" s="179" t="s">
        <v>459</v>
      </c>
      <c r="F940" s="179" t="s">
        <v>774</v>
      </c>
      <c r="G940" s="179" t="s">
        <v>775</v>
      </c>
      <c r="H940" s="179" t="s">
        <v>1106</v>
      </c>
      <c r="I940" s="179"/>
      <c r="J940" s="179" t="s">
        <v>176</v>
      </c>
      <c r="K940" s="179">
        <v>59.06</v>
      </c>
      <c r="L940" s="195">
        <v>0.1053</v>
      </c>
      <c r="M940" s="179" t="s">
        <v>8</v>
      </c>
      <c r="N940" s="179">
        <v>186.0</v>
      </c>
      <c r="O940" s="179">
        <v>1.0</v>
      </c>
      <c r="P940" s="179">
        <v>0.0054</v>
      </c>
      <c r="Q940" s="179">
        <v>15.39</v>
      </c>
      <c r="R940" s="179">
        <v>15.39</v>
      </c>
      <c r="S940" s="179">
        <v>0.0</v>
      </c>
      <c r="T940" s="179">
        <v>0.0</v>
      </c>
      <c r="U940" s="179">
        <v>0.0</v>
      </c>
      <c r="V940" s="179">
        <v>0.0</v>
      </c>
      <c r="W940" s="179">
        <v>0.0</v>
      </c>
      <c r="X940" s="179">
        <v>0.0</v>
      </c>
      <c r="Y940" s="179">
        <v>0.0</v>
      </c>
      <c r="Z940" s="179">
        <v>0.0</v>
      </c>
      <c r="AA940" s="179">
        <v>0.0</v>
      </c>
      <c r="AB940" s="179">
        <v>0.0</v>
      </c>
      <c r="AC940" s="179">
        <v>0.0</v>
      </c>
      <c r="AD940" s="179">
        <v>0.0</v>
      </c>
      <c r="AE940" s="179">
        <v>0.0</v>
      </c>
      <c r="AF940" s="179">
        <v>0.0</v>
      </c>
      <c r="AG940" s="179">
        <v>0.0</v>
      </c>
      <c r="AH940" s="179">
        <v>0.0</v>
      </c>
      <c r="AI940" s="179">
        <v>0.0</v>
      </c>
      <c r="AJ940" s="179">
        <v>0.0</v>
      </c>
    </row>
    <row r="941" ht="15.75" customHeight="1">
      <c r="A941" s="65">
        <v>45658.0</v>
      </c>
      <c r="B941" s="179" t="s">
        <v>771</v>
      </c>
      <c r="C941" s="179" t="s">
        <v>1144</v>
      </c>
      <c r="D941" s="179" t="s">
        <v>773</v>
      </c>
      <c r="E941" s="179" t="s">
        <v>459</v>
      </c>
      <c r="F941" s="179" t="s">
        <v>774</v>
      </c>
      <c r="G941" s="179" t="s">
        <v>775</v>
      </c>
      <c r="H941" s="179" t="s">
        <v>1106</v>
      </c>
      <c r="I941" s="179"/>
      <c r="J941" s="179" t="s">
        <v>211</v>
      </c>
      <c r="K941" s="179">
        <v>150.0</v>
      </c>
      <c r="L941" s="179"/>
      <c r="M941" s="179" t="s">
        <v>8</v>
      </c>
      <c r="N941" s="179">
        <v>1.0</v>
      </c>
      <c r="O941" s="179">
        <v>0.0</v>
      </c>
      <c r="P941" s="179">
        <v>0.0</v>
      </c>
      <c r="Q941" s="179">
        <v>0.0</v>
      </c>
      <c r="R941" s="179">
        <v>0.0</v>
      </c>
      <c r="S941" s="179">
        <v>0.0</v>
      </c>
      <c r="T941" s="179">
        <v>0.0</v>
      </c>
      <c r="U941" s="179">
        <v>0.0</v>
      </c>
      <c r="V941" s="179">
        <v>0.0</v>
      </c>
      <c r="W941" s="179">
        <v>0.0</v>
      </c>
      <c r="X941" s="179">
        <v>0.0</v>
      </c>
      <c r="Y941" s="179">
        <v>0.0</v>
      </c>
      <c r="Z941" s="179">
        <v>0.0</v>
      </c>
      <c r="AA941" s="179">
        <v>0.0</v>
      </c>
      <c r="AB941" s="179">
        <v>0.0</v>
      </c>
      <c r="AC941" s="179">
        <v>0.0</v>
      </c>
      <c r="AD941" s="179">
        <v>0.0</v>
      </c>
      <c r="AE941" s="179">
        <v>0.0</v>
      </c>
      <c r="AF941" s="179">
        <v>0.0</v>
      </c>
      <c r="AG941" s="179">
        <v>0.0</v>
      </c>
      <c r="AH941" s="179">
        <v>0.0</v>
      </c>
      <c r="AI941" s="179">
        <v>0.0</v>
      </c>
      <c r="AJ941" s="179">
        <v>0.0</v>
      </c>
    </row>
    <row r="942" ht="15.75" customHeight="1">
      <c r="A942" s="65">
        <v>45658.0</v>
      </c>
      <c r="B942" s="179" t="s">
        <v>771</v>
      </c>
      <c r="C942" s="179" t="s">
        <v>1145</v>
      </c>
      <c r="D942" s="179" t="s">
        <v>773</v>
      </c>
      <c r="E942" s="179" t="s">
        <v>463</v>
      </c>
      <c r="F942" s="179" t="s">
        <v>774</v>
      </c>
      <c r="G942" s="179"/>
      <c r="H942" s="179" t="s">
        <v>1106</v>
      </c>
      <c r="I942" s="179"/>
      <c r="J942" s="179" t="s">
        <v>211</v>
      </c>
      <c r="K942" s="179">
        <v>200.0</v>
      </c>
      <c r="L942" s="179"/>
      <c r="M942" s="179" t="s">
        <v>8</v>
      </c>
      <c r="N942" s="179">
        <v>80.0</v>
      </c>
      <c r="O942" s="179">
        <v>0.0</v>
      </c>
      <c r="P942" s="179">
        <v>0.0</v>
      </c>
      <c r="Q942" s="179">
        <v>0.0</v>
      </c>
      <c r="R942" s="179">
        <v>0.0</v>
      </c>
      <c r="S942" s="179">
        <v>0.0</v>
      </c>
      <c r="T942" s="179">
        <v>0.0</v>
      </c>
      <c r="U942" s="179">
        <v>0.0</v>
      </c>
      <c r="V942" s="179">
        <v>0.0</v>
      </c>
      <c r="W942" s="179">
        <v>0.0</v>
      </c>
      <c r="X942" s="179">
        <v>0.0</v>
      </c>
      <c r="Y942" s="179">
        <v>0.0</v>
      </c>
      <c r="Z942" s="179">
        <v>0.0</v>
      </c>
      <c r="AA942" s="179">
        <v>0.0</v>
      </c>
      <c r="AB942" s="179">
        <v>0.0</v>
      </c>
      <c r="AC942" s="179">
        <v>0.0</v>
      </c>
      <c r="AD942" s="179">
        <v>0.0</v>
      </c>
      <c r="AE942" s="179">
        <v>0.0</v>
      </c>
      <c r="AF942" s="179">
        <v>0.0</v>
      </c>
      <c r="AG942" s="179">
        <v>0.0</v>
      </c>
      <c r="AH942" s="179">
        <v>0.0</v>
      </c>
      <c r="AI942" s="179">
        <v>0.0</v>
      </c>
      <c r="AJ942" s="179">
        <v>0.0</v>
      </c>
    </row>
    <row r="943" ht="15.75" customHeight="1">
      <c r="A943" s="65">
        <v>45658.0</v>
      </c>
      <c r="B943" s="179" t="s">
        <v>771</v>
      </c>
      <c r="C943" s="179" t="s">
        <v>1146</v>
      </c>
      <c r="D943" s="179" t="s">
        <v>773</v>
      </c>
      <c r="E943" s="179" t="s">
        <v>463</v>
      </c>
      <c r="F943" s="179" t="s">
        <v>774</v>
      </c>
      <c r="G943" s="179"/>
      <c r="H943" s="179" t="s">
        <v>1106</v>
      </c>
      <c r="I943" s="179"/>
      <c r="J943" s="179" t="s">
        <v>128</v>
      </c>
      <c r="K943" s="179">
        <v>1000.0</v>
      </c>
      <c r="L943" s="179"/>
      <c r="M943" s="179" t="s">
        <v>8</v>
      </c>
      <c r="N943" s="179">
        <v>2.0</v>
      </c>
      <c r="O943" s="179">
        <v>0.0</v>
      </c>
      <c r="P943" s="179">
        <v>0.0</v>
      </c>
      <c r="Q943" s="179">
        <v>0.0</v>
      </c>
      <c r="R943" s="179">
        <v>0.0</v>
      </c>
      <c r="S943" s="179">
        <v>0.0</v>
      </c>
      <c r="T943" s="179">
        <v>0.0</v>
      </c>
      <c r="U943" s="179">
        <v>0.0</v>
      </c>
      <c r="V943" s="179">
        <v>0.0</v>
      </c>
      <c r="W943" s="179">
        <v>0.0</v>
      </c>
      <c r="X943" s="179">
        <v>0.0</v>
      </c>
      <c r="Y943" s="179">
        <v>0.0</v>
      </c>
      <c r="Z943" s="179">
        <v>0.0</v>
      </c>
      <c r="AA943" s="179">
        <v>0.0</v>
      </c>
      <c r="AB943" s="179">
        <v>0.0</v>
      </c>
      <c r="AC943" s="179">
        <v>0.0</v>
      </c>
      <c r="AD943" s="179">
        <v>0.0</v>
      </c>
      <c r="AE943" s="179">
        <v>0.0</v>
      </c>
      <c r="AF943" s="179">
        <v>0.0</v>
      </c>
      <c r="AG943" s="179">
        <v>0.0</v>
      </c>
      <c r="AH943" s="179">
        <v>0.0</v>
      </c>
      <c r="AI943" s="179">
        <v>0.0</v>
      </c>
      <c r="AJ943" s="179">
        <v>0.0</v>
      </c>
    </row>
    <row r="944" ht="15.75" customHeight="1">
      <c r="A944" s="65">
        <v>45689.0</v>
      </c>
      <c r="B944" s="179" t="s">
        <v>771</v>
      </c>
      <c r="C944" s="179" t="s">
        <v>1109</v>
      </c>
      <c r="D944" s="179" t="s">
        <v>773</v>
      </c>
      <c r="E944" s="179" t="s">
        <v>461</v>
      </c>
      <c r="F944" s="179" t="s">
        <v>774</v>
      </c>
      <c r="G944" s="179"/>
      <c r="H944" s="179" t="s">
        <v>1106</v>
      </c>
      <c r="I944" s="179"/>
      <c r="J944" s="179" t="s">
        <v>211</v>
      </c>
      <c r="K944" s="179">
        <v>1000.0</v>
      </c>
      <c r="L944" s="195">
        <v>0.5704</v>
      </c>
      <c r="M944" s="179" t="s">
        <v>8</v>
      </c>
      <c r="N944" s="179">
        <v>128116.0</v>
      </c>
      <c r="O944" s="179">
        <v>1682.0</v>
      </c>
      <c r="P944" s="179">
        <v>0.0131</v>
      </c>
      <c r="Q944" s="179">
        <v>9340.08</v>
      </c>
      <c r="R944" s="179">
        <v>5.55</v>
      </c>
      <c r="S944" s="179">
        <v>3319.0</v>
      </c>
      <c r="T944" s="179">
        <v>41.0</v>
      </c>
      <c r="U944" s="179">
        <v>78780.5</v>
      </c>
      <c r="V944" s="179">
        <v>0.1186</v>
      </c>
      <c r="W944" s="179">
        <v>8.4347</v>
      </c>
      <c r="X944" s="179">
        <v>36.0</v>
      </c>
      <c r="Y944" s="179">
        <v>0.878</v>
      </c>
      <c r="Z944" s="179">
        <v>66091.5</v>
      </c>
      <c r="AA944" s="179">
        <v>0.8389</v>
      </c>
      <c r="AB944" s="179">
        <v>43968.0</v>
      </c>
      <c r="AC944" s="179">
        <v>212.43</v>
      </c>
      <c r="AD944" s="179">
        <v>0.0</v>
      </c>
      <c r="AE944" s="179">
        <v>0.0</v>
      </c>
      <c r="AF944" s="179">
        <v>0.0</v>
      </c>
      <c r="AG944" s="179">
        <v>0.0</v>
      </c>
      <c r="AH944" s="179">
        <v>0.0</v>
      </c>
      <c r="AI944" s="179">
        <v>0.0</v>
      </c>
      <c r="AJ944" s="179">
        <v>0.0</v>
      </c>
    </row>
    <row r="945" ht="15.75" customHeight="1">
      <c r="A945" s="65">
        <v>45689.0</v>
      </c>
      <c r="B945" s="179" t="s">
        <v>771</v>
      </c>
      <c r="C945" s="179" t="s">
        <v>1120</v>
      </c>
      <c r="D945" s="179" t="s">
        <v>773</v>
      </c>
      <c r="E945" s="179" t="s">
        <v>459</v>
      </c>
      <c r="F945" s="179" t="s">
        <v>774</v>
      </c>
      <c r="G945" s="179" t="s">
        <v>775</v>
      </c>
      <c r="H945" s="179" t="s">
        <v>1106</v>
      </c>
      <c r="I945" s="179"/>
      <c r="J945" s="179" t="s">
        <v>211</v>
      </c>
      <c r="K945" s="179">
        <v>500.0</v>
      </c>
      <c r="L945" s="195">
        <v>0.2287</v>
      </c>
      <c r="M945" s="179" t="s">
        <v>8</v>
      </c>
      <c r="N945" s="179">
        <v>144846.0</v>
      </c>
      <c r="O945" s="179">
        <v>1454.0</v>
      </c>
      <c r="P945" s="179">
        <v>0.01</v>
      </c>
      <c r="Q945" s="179">
        <v>9924.05</v>
      </c>
      <c r="R945" s="179">
        <v>6.83</v>
      </c>
      <c r="S945" s="179">
        <v>0.0</v>
      </c>
      <c r="T945" s="179">
        <v>40.0</v>
      </c>
      <c r="U945" s="179">
        <v>69346.63</v>
      </c>
      <c r="V945" s="179">
        <v>0.1431</v>
      </c>
      <c r="W945" s="179">
        <v>6.9877</v>
      </c>
      <c r="X945" s="179">
        <v>0.0</v>
      </c>
      <c r="Y945" s="179">
        <v>0.0</v>
      </c>
      <c r="Z945" s="179">
        <v>0.0</v>
      </c>
      <c r="AA945" s="179">
        <v>0.0</v>
      </c>
      <c r="AB945" s="179">
        <v>0.0</v>
      </c>
      <c r="AC945" s="179">
        <v>0.0</v>
      </c>
      <c r="AD945" s="179">
        <v>0.0</v>
      </c>
      <c r="AE945" s="179">
        <v>0.0</v>
      </c>
      <c r="AF945" s="179">
        <v>0.0</v>
      </c>
      <c r="AG945" s="179">
        <v>0.0</v>
      </c>
      <c r="AH945" s="179">
        <v>0.0</v>
      </c>
      <c r="AI945" s="179">
        <v>0.0</v>
      </c>
      <c r="AJ945" s="179">
        <v>0.0</v>
      </c>
    </row>
    <row r="946" ht="15.75" customHeight="1">
      <c r="A946" s="65">
        <v>45689.0</v>
      </c>
      <c r="B946" s="179" t="s">
        <v>771</v>
      </c>
      <c r="C946" s="179" t="s">
        <v>1123</v>
      </c>
      <c r="D946" s="179" t="s">
        <v>773</v>
      </c>
      <c r="E946" s="179" t="s">
        <v>460</v>
      </c>
      <c r="F946" s="179" t="s">
        <v>778</v>
      </c>
      <c r="G946" s="179" t="s">
        <v>775</v>
      </c>
      <c r="H946" s="179" t="s">
        <v>1106</v>
      </c>
      <c r="I946" s="179"/>
      <c r="J946" s="179" t="s">
        <v>211</v>
      </c>
      <c r="K946" s="179">
        <v>1000.0</v>
      </c>
      <c r="L946" s="179" t="s">
        <v>776</v>
      </c>
      <c r="M946" s="179" t="s">
        <v>8</v>
      </c>
      <c r="N946" s="179">
        <v>630994.0</v>
      </c>
      <c r="O946" s="179">
        <v>3447.0</v>
      </c>
      <c r="P946" s="179">
        <v>0.0055</v>
      </c>
      <c r="Q946" s="179">
        <v>22277.18</v>
      </c>
      <c r="R946" s="179">
        <v>6.46</v>
      </c>
      <c r="S946" s="179">
        <v>0.0</v>
      </c>
      <c r="T946" s="179">
        <v>39.0</v>
      </c>
      <c r="U946" s="179">
        <v>135593.2</v>
      </c>
      <c r="V946" s="179">
        <v>0.1643</v>
      </c>
      <c r="W946" s="179">
        <v>6.0866</v>
      </c>
      <c r="X946" s="179">
        <v>0.0</v>
      </c>
      <c r="Y946" s="179">
        <v>0.0</v>
      </c>
      <c r="Z946" s="179">
        <v>0.0</v>
      </c>
      <c r="AA946" s="179">
        <v>0.0</v>
      </c>
      <c r="AB946" s="179">
        <v>0.0</v>
      </c>
      <c r="AC946" s="179">
        <v>0.0</v>
      </c>
      <c r="AD946" s="179">
        <v>0.0</v>
      </c>
      <c r="AE946" s="179">
        <v>0.0</v>
      </c>
      <c r="AF946" s="179">
        <v>0.0</v>
      </c>
      <c r="AG946" s="179">
        <v>0.0</v>
      </c>
      <c r="AH946" s="179">
        <v>0.0</v>
      </c>
      <c r="AI946" s="179">
        <v>0.0</v>
      </c>
      <c r="AJ946" s="179">
        <v>0.0</v>
      </c>
    </row>
    <row r="947" ht="15.75" customHeight="1">
      <c r="A947" s="65">
        <v>45689.0</v>
      </c>
      <c r="B947" s="179" t="s">
        <v>771</v>
      </c>
      <c r="C947" s="179" t="s">
        <v>1126</v>
      </c>
      <c r="D947" s="179" t="s">
        <v>773</v>
      </c>
      <c r="E947" s="179" t="s">
        <v>462</v>
      </c>
      <c r="F947" s="179" t="s">
        <v>774</v>
      </c>
      <c r="G947" s="179"/>
      <c r="H947" s="179" t="s">
        <v>1106</v>
      </c>
      <c r="I947" s="179"/>
      <c r="J947" s="179" t="s">
        <v>158</v>
      </c>
      <c r="K947" s="179">
        <v>1500.0</v>
      </c>
      <c r="L947" s="195">
        <v>0.218</v>
      </c>
      <c r="M947" s="179" t="s">
        <v>8</v>
      </c>
      <c r="N947" s="179">
        <v>166555.0</v>
      </c>
      <c r="O947" s="179">
        <v>2044.0</v>
      </c>
      <c r="P947" s="179">
        <v>0.0123</v>
      </c>
      <c r="Q947" s="179">
        <v>22401.54</v>
      </c>
      <c r="R947" s="179">
        <v>10.96</v>
      </c>
      <c r="S947" s="179">
        <v>4378.0</v>
      </c>
      <c r="T947" s="179">
        <v>34.0</v>
      </c>
      <c r="U947" s="179">
        <v>92368.67</v>
      </c>
      <c r="V947" s="179">
        <v>0.2425</v>
      </c>
      <c r="W947" s="179">
        <v>4.1233</v>
      </c>
      <c r="X947" s="179">
        <v>27.0</v>
      </c>
      <c r="Y947" s="179">
        <v>0.7941</v>
      </c>
      <c r="Z947" s="179">
        <v>76694.93</v>
      </c>
      <c r="AA947" s="179">
        <v>0.8303</v>
      </c>
      <c r="AB947" s="179">
        <v>29177.0</v>
      </c>
      <c r="AC947" s="179">
        <v>767.78</v>
      </c>
      <c r="AD947" s="179">
        <v>0.0</v>
      </c>
      <c r="AE947" s="179">
        <v>0.0</v>
      </c>
      <c r="AF947" s="179">
        <v>0.0</v>
      </c>
      <c r="AG947" s="179">
        <v>0.0</v>
      </c>
      <c r="AH947" s="179">
        <v>0.0</v>
      </c>
      <c r="AI947" s="179">
        <v>0.0</v>
      </c>
      <c r="AJ947" s="179">
        <v>0.0</v>
      </c>
    </row>
    <row r="948" ht="15.75" customHeight="1">
      <c r="A948" s="65">
        <v>45689.0</v>
      </c>
      <c r="B948" s="179" t="s">
        <v>771</v>
      </c>
      <c r="C948" s="179" t="s">
        <v>789</v>
      </c>
      <c r="D948" s="179" t="s">
        <v>773</v>
      </c>
      <c r="E948" s="179" t="s">
        <v>459</v>
      </c>
      <c r="F948" s="179" t="s">
        <v>774</v>
      </c>
      <c r="G948" s="179" t="s">
        <v>775</v>
      </c>
      <c r="H948" s="179" t="s">
        <v>1106</v>
      </c>
      <c r="I948" s="179"/>
      <c r="J948" s="179" t="s">
        <v>128</v>
      </c>
      <c r="K948" s="179">
        <v>11469.35</v>
      </c>
      <c r="L948" s="195">
        <v>0.562</v>
      </c>
      <c r="M948" s="179" t="s">
        <v>8</v>
      </c>
      <c r="N948" s="179">
        <v>36835.0</v>
      </c>
      <c r="O948" s="179">
        <v>317.0</v>
      </c>
      <c r="P948" s="179">
        <v>0.0086</v>
      </c>
      <c r="Q948" s="179">
        <v>7811.52</v>
      </c>
      <c r="R948" s="179">
        <v>24.64</v>
      </c>
      <c r="S948" s="179">
        <v>0.0</v>
      </c>
      <c r="T948" s="179">
        <v>22.0</v>
      </c>
      <c r="U948" s="179">
        <v>464057.7</v>
      </c>
      <c r="V948" s="179">
        <v>0.0168</v>
      </c>
      <c r="W948" s="179">
        <v>59.4068</v>
      </c>
      <c r="X948" s="179">
        <v>0.0</v>
      </c>
      <c r="Y948" s="179">
        <v>0.0</v>
      </c>
      <c r="Z948" s="179">
        <v>0.0</v>
      </c>
      <c r="AA948" s="179">
        <v>0.0</v>
      </c>
      <c r="AB948" s="179">
        <v>0.0</v>
      </c>
      <c r="AC948" s="179">
        <v>0.0</v>
      </c>
      <c r="AD948" s="179">
        <v>0.0</v>
      </c>
      <c r="AE948" s="179">
        <v>0.0</v>
      </c>
      <c r="AF948" s="179">
        <v>0.0</v>
      </c>
      <c r="AG948" s="179">
        <v>0.0</v>
      </c>
      <c r="AH948" s="179">
        <v>0.0</v>
      </c>
      <c r="AI948" s="179">
        <v>0.0</v>
      </c>
      <c r="AJ948" s="179">
        <v>0.0</v>
      </c>
    </row>
    <row r="949" ht="15.75" customHeight="1">
      <c r="A949" s="65">
        <v>45689.0</v>
      </c>
      <c r="B949" s="179" t="s">
        <v>771</v>
      </c>
      <c r="C949" s="179" t="s">
        <v>999</v>
      </c>
      <c r="D949" s="179" t="s">
        <v>773</v>
      </c>
      <c r="E949" s="179" t="s">
        <v>460</v>
      </c>
      <c r="F949" s="179" t="s">
        <v>778</v>
      </c>
      <c r="G949" s="179" t="s">
        <v>775</v>
      </c>
      <c r="H949" s="179" t="s">
        <v>1106</v>
      </c>
      <c r="I949" s="179"/>
      <c r="J949" s="179" t="s">
        <v>158</v>
      </c>
      <c r="K949" s="179">
        <v>1000.0</v>
      </c>
      <c r="L949" s="179" t="s">
        <v>776</v>
      </c>
      <c r="M949" s="179" t="s">
        <v>8</v>
      </c>
      <c r="N949" s="179">
        <v>124717.0</v>
      </c>
      <c r="O949" s="179">
        <v>698.0</v>
      </c>
      <c r="P949" s="179">
        <v>0.0056</v>
      </c>
      <c r="Q949" s="179">
        <v>7844.94</v>
      </c>
      <c r="R949" s="179">
        <v>11.24</v>
      </c>
      <c r="S949" s="179">
        <v>0.0</v>
      </c>
      <c r="T949" s="179">
        <v>20.0</v>
      </c>
      <c r="U949" s="179">
        <v>62137.27</v>
      </c>
      <c r="V949" s="179">
        <v>0.1263</v>
      </c>
      <c r="W949" s="179">
        <v>7.9207</v>
      </c>
      <c r="X949" s="179">
        <v>0.0</v>
      </c>
      <c r="Y949" s="179">
        <v>0.0</v>
      </c>
      <c r="Z949" s="179">
        <v>0.0</v>
      </c>
      <c r="AA949" s="179">
        <v>0.0</v>
      </c>
      <c r="AB949" s="179">
        <v>0.0</v>
      </c>
      <c r="AC949" s="179">
        <v>0.0</v>
      </c>
      <c r="AD949" s="179">
        <v>0.0</v>
      </c>
      <c r="AE949" s="179">
        <v>0.0</v>
      </c>
      <c r="AF949" s="179">
        <v>0.0</v>
      </c>
      <c r="AG949" s="179">
        <v>0.0</v>
      </c>
      <c r="AH949" s="179">
        <v>0.0</v>
      </c>
      <c r="AI949" s="179">
        <v>0.0</v>
      </c>
      <c r="AJ949" s="179">
        <v>0.0</v>
      </c>
    </row>
    <row r="950" ht="15.75" customHeight="1">
      <c r="A950" s="65">
        <v>45689.0</v>
      </c>
      <c r="B950" s="179" t="s">
        <v>771</v>
      </c>
      <c r="C950" s="179" t="s">
        <v>1084</v>
      </c>
      <c r="D950" s="179" t="s">
        <v>773</v>
      </c>
      <c r="E950" s="179" t="s">
        <v>459</v>
      </c>
      <c r="F950" s="179" t="s">
        <v>774</v>
      </c>
      <c r="G950" s="179" t="s">
        <v>775</v>
      </c>
      <c r="H950" s="179" t="s">
        <v>1106</v>
      </c>
      <c r="I950" s="179"/>
      <c r="J950" s="179" t="s">
        <v>211</v>
      </c>
      <c r="K950" s="179">
        <v>500.0</v>
      </c>
      <c r="L950" s="179" t="s">
        <v>776</v>
      </c>
      <c r="M950" s="179" t="s">
        <v>8</v>
      </c>
      <c r="N950" s="179">
        <v>39988.0</v>
      </c>
      <c r="O950" s="179">
        <v>514.0</v>
      </c>
      <c r="P950" s="179">
        <v>0.0129</v>
      </c>
      <c r="Q950" s="179">
        <v>2008.27</v>
      </c>
      <c r="R950" s="179">
        <v>3.91</v>
      </c>
      <c r="S950" s="179">
        <v>0.0</v>
      </c>
      <c r="T950" s="179">
        <v>10.0</v>
      </c>
      <c r="U950" s="179">
        <v>13572.04</v>
      </c>
      <c r="V950" s="179">
        <v>0.148</v>
      </c>
      <c r="W950" s="179">
        <v>6.7581</v>
      </c>
      <c r="X950" s="179">
        <v>0.0</v>
      </c>
      <c r="Y950" s="179">
        <v>0.0</v>
      </c>
      <c r="Z950" s="179">
        <v>0.0</v>
      </c>
      <c r="AA950" s="179">
        <v>0.0</v>
      </c>
      <c r="AB950" s="179">
        <v>0.0</v>
      </c>
      <c r="AC950" s="179">
        <v>0.0</v>
      </c>
      <c r="AD950" s="179">
        <v>0.0</v>
      </c>
      <c r="AE950" s="179">
        <v>0.0</v>
      </c>
      <c r="AF950" s="179">
        <v>0.0</v>
      </c>
      <c r="AG950" s="179">
        <v>0.0</v>
      </c>
      <c r="AH950" s="179">
        <v>0.0</v>
      </c>
      <c r="AI950" s="179">
        <v>0.0</v>
      </c>
      <c r="AJ950" s="179">
        <v>0.0</v>
      </c>
    </row>
    <row r="951" ht="15.75" customHeight="1">
      <c r="A951" s="65">
        <v>45689.0</v>
      </c>
      <c r="B951" s="179" t="s">
        <v>771</v>
      </c>
      <c r="C951" s="179" t="s">
        <v>1147</v>
      </c>
      <c r="D951" s="179" t="s">
        <v>773</v>
      </c>
      <c r="E951" s="179" t="s">
        <v>459</v>
      </c>
      <c r="F951" s="179" t="s">
        <v>774</v>
      </c>
      <c r="G951" s="179" t="s">
        <v>775</v>
      </c>
      <c r="H951" s="179" t="s">
        <v>1106</v>
      </c>
      <c r="I951" s="179"/>
      <c r="J951" s="179" t="s">
        <v>211</v>
      </c>
      <c r="K951" s="179">
        <v>500.0</v>
      </c>
      <c r="L951" s="195">
        <v>0.0644</v>
      </c>
      <c r="M951" s="179" t="s">
        <v>8</v>
      </c>
      <c r="N951" s="179">
        <v>37516.0</v>
      </c>
      <c r="O951" s="179">
        <v>369.0</v>
      </c>
      <c r="P951" s="179">
        <v>0.0098</v>
      </c>
      <c r="Q951" s="179">
        <v>2473.81</v>
      </c>
      <c r="R951" s="179">
        <v>6.7</v>
      </c>
      <c r="S951" s="179">
        <v>0.0</v>
      </c>
      <c r="T951" s="179">
        <v>10.0</v>
      </c>
      <c r="U951" s="179">
        <v>18722.03</v>
      </c>
      <c r="V951" s="179">
        <v>0.1321</v>
      </c>
      <c r="W951" s="179">
        <v>7.5681</v>
      </c>
      <c r="X951" s="179">
        <v>0.0</v>
      </c>
      <c r="Y951" s="179">
        <v>0.0</v>
      </c>
      <c r="Z951" s="179">
        <v>0.0</v>
      </c>
      <c r="AA951" s="179">
        <v>0.0</v>
      </c>
      <c r="AB951" s="179">
        <v>0.0</v>
      </c>
      <c r="AC951" s="179">
        <v>0.0</v>
      </c>
      <c r="AD951" s="179">
        <v>0.0</v>
      </c>
      <c r="AE951" s="179">
        <v>0.0</v>
      </c>
      <c r="AF951" s="179">
        <v>0.0</v>
      </c>
      <c r="AG951" s="179">
        <v>0.0</v>
      </c>
      <c r="AH951" s="179">
        <v>0.0</v>
      </c>
      <c r="AI951" s="179">
        <v>0.0</v>
      </c>
      <c r="AJ951" s="179">
        <v>0.0</v>
      </c>
    </row>
    <row r="952" ht="15.75" customHeight="1">
      <c r="A952" s="65">
        <v>45689.0</v>
      </c>
      <c r="B952" s="179" t="s">
        <v>771</v>
      </c>
      <c r="C952" s="179" t="s">
        <v>1148</v>
      </c>
      <c r="D952" s="179" t="s">
        <v>773</v>
      </c>
      <c r="E952" s="179" t="s">
        <v>459</v>
      </c>
      <c r="F952" s="179" t="s">
        <v>774</v>
      </c>
      <c r="G952" s="179" t="s">
        <v>775</v>
      </c>
      <c r="H952" s="179" t="s">
        <v>1106</v>
      </c>
      <c r="I952" s="179"/>
      <c r="J952" s="179" t="s">
        <v>128</v>
      </c>
      <c r="K952" s="179">
        <v>500.0</v>
      </c>
      <c r="L952" s="179" t="s">
        <v>776</v>
      </c>
      <c r="M952" s="179" t="s">
        <v>8</v>
      </c>
      <c r="N952" s="179">
        <v>18954.0</v>
      </c>
      <c r="O952" s="179">
        <v>457.0</v>
      </c>
      <c r="P952" s="179">
        <v>0.0241</v>
      </c>
      <c r="Q952" s="179">
        <v>2722.9</v>
      </c>
      <c r="R952" s="179">
        <v>5.96</v>
      </c>
      <c r="S952" s="179">
        <v>0.0</v>
      </c>
      <c r="T952" s="179">
        <v>9.0</v>
      </c>
      <c r="U952" s="179">
        <v>31404.24</v>
      </c>
      <c r="V952" s="179">
        <v>0.0867</v>
      </c>
      <c r="W952" s="179">
        <v>11.5334</v>
      </c>
      <c r="X952" s="179">
        <v>0.0</v>
      </c>
      <c r="Y952" s="179">
        <v>0.0</v>
      </c>
      <c r="Z952" s="179">
        <v>0.0</v>
      </c>
      <c r="AA952" s="179">
        <v>0.0</v>
      </c>
      <c r="AB952" s="179">
        <v>0.0</v>
      </c>
      <c r="AC952" s="179">
        <v>0.0</v>
      </c>
      <c r="AD952" s="179">
        <v>0.0</v>
      </c>
      <c r="AE952" s="179">
        <v>0.0</v>
      </c>
      <c r="AF952" s="179">
        <v>0.0</v>
      </c>
      <c r="AG952" s="179">
        <v>0.0</v>
      </c>
      <c r="AH952" s="179">
        <v>0.0</v>
      </c>
      <c r="AI952" s="179">
        <v>0.0</v>
      </c>
      <c r="AJ952" s="179">
        <v>0.0</v>
      </c>
    </row>
    <row r="953" ht="15.75" customHeight="1">
      <c r="A953" s="65">
        <v>45689.0</v>
      </c>
      <c r="B953" s="179" t="s">
        <v>771</v>
      </c>
      <c r="C953" s="179" t="s">
        <v>1138</v>
      </c>
      <c r="D953" s="179" t="s">
        <v>773</v>
      </c>
      <c r="E953" s="179" t="s">
        <v>461</v>
      </c>
      <c r="F953" s="179" t="s">
        <v>774</v>
      </c>
      <c r="G953" s="179"/>
      <c r="H953" s="179" t="s">
        <v>1106</v>
      </c>
      <c r="I953" s="179"/>
      <c r="J953" s="179" t="s">
        <v>158</v>
      </c>
      <c r="K953" s="179">
        <v>1000.0</v>
      </c>
      <c r="L953" s="195">
        <v>0.5106</v>
      </c>
      <c r="M953" s="179" t="s">
        <v>8</v>
      </c>
      <c r="N953" s="179">
        <v>123271.0</v>
      </c>
      <c r="O953" s="179">
        <v>1006.0</v>
      </c>
      <c r="P953" s="179">
        <v>0.0082</v>
      </c>
      <c r="Q953" s="179">
        <v>12210.79</v>
      </c>
      <c r="R953" s="179">
        <v>12.14</v>
      </c>
      <c r="S953" s="179">
        <v>1709.0</v>
      </c>
      <c r="T953" s="179">
        <v>8.0</v>
      </c>
      <c r="U953" s="179">
        <v>20503.41</v>
      </c>
      <c r="V953" s="179">
        <v>0.5955</v>
      </c>
      <c r="W953" s="179">
        <v>1.6791</v>
      </c>
      <c r="X953" s="179">
        <v>7.0</v>
      </c>
      <c r="Y953" s="179">
        <v>0.875</v>
      </c>
      <c r="Z953" s="179">
        <v>17961.88</v>
      </c>
      <c r="AA953" s="179">
        <v>0.876</v>
      </c>
      <c r="AB953" s="179">
        <v>23511.0</v>
      </c>
      <c r="AC953" s="179">
        <v>519.36</v>
      </c>
      <c r="AD953" s="179">
        <v>0.0</v>
      </c>
      <c r="AE953" s="179">
        <v>0.0</v>
      </c>
      <c r="AF953" s="179">
        <v>0.0</v>
      </c>
      <c r="AG953" s="179">
        <v>0.0</v>
      </c>
      <c r="AH953" s="179">
        <v>0.0</v>
      </c>
      <c r="AI953" s="179">
        <v>0.0</v>
      </c>
      <c r="AJ953" s="179">
        <v>0.0</v>
      </c>
    </row>
    <row r="954" ht="15.75" customHeight="1">
      <c r="A954" s="65">
        <v>45689.0</v>
      </c>
      <c r="B954" s="179" t="s">
        <v>771</v>
      </c>
      <c r="C954" s="179" t="s">
        <v>934</v>
      </c>
      <c r="D954" s="179" t="s">
        <v>773</v>
      </c>
      <c r="E954" s="179" t="s">
        <v>459</v>
      </c>
      <c r="F954" s="179" t="s">
        <v>774</v>
      </c>
      <c r="G954" s="179" t="s">
        <v>775</v>
      </c>
      <c r="H954" s="179" t="s">
        <v>1106</v>
      </c>
      <c r="I954" s="179"/>
      <c r="J954" s="179" t="s">
        <v>230</v>
      </c>
      <c r="K954" s="179">
        <v>1500.0</v>
      </c>
      <c r="L954" s="179" t="s">
        <v>776</v>
      </c>
      <c r="M954" s="179" t="s">
        <v>8</v>
      </c>
      <c r="N954" s="179">
        <v>239790.0</v>
      </c>
      <c r="O954" s="179">
        <v>568.0</v>
      </c>
      <c r="P954" s="179">
        <v>0.0024</v>
      </c>
      <c r="Q954" s="179">
        <v>20904.71</v>
      </c>
      <c r="R954" s="179">
        <v>36.8</v>
      </c>
      <c r="S954" s="179">
        <v>0.0</v>
      </c>
      <c r="T954" s="179">
        <v>7.0</v>
      </c>
      <c r="U954" s="179">
        <v>137507.6</v>
      </c>
      <c r="V954" s="179">
        <v>0.152</v>
      </c>
      <c r="W954" s="179">
        <v>6.5778</v>
      </c>
      <c r="X954" s="179">
        <v>0.0</v>
      </c>
      <c r="Y954" s="179">
        <v>0.0</v>
      </c>
      <c r="Z954" s="179">
        <v>0.0</v>
      </c>
      <c r="AA954" s="179">
        <v>0.0</v>
      </c>
      <c r="AB954" s="179">
        <v>0.0</v>
      </c>
      <c r="AC954" s="179">
        <v>0.0</v>
      </c>
      <c r="AD954" s="179">
        <v>0.0</v>
      </c>
      <c r="AE954" s="179">
        <v>0.0</v>
      </c>
      <c r="AF954" s="179">
        <v>0.0</v>
      </c>
      <c r="AG954" s="179">
        <v>0.0</v>
      </c>
      <c r="AH954" s="179">
        <v>0.0</v>
      </c>
      <c r="AI954" s="179">
        <v>0.0</v>
      </c>
      <c r="AJ954" s="179">
        <v>0.0</v>
      </c>
    </row>
    <row r="955" ht="15.75" customHeight="1">
      <c r="A955" s="65">
        <v>45689.0</v>
      </c>
      <c r="B955" s="179" t="s">
        <v>771</v>
      </c>
      <c r="C955" s="179" t="s">
        <v>1151</v>
      </c>
      <c r="D955" s="179" t="s">
        <v>773</v>
      </c>
      <c r="E955" s="179" t="s">
        <v>459</v>
      </c>
      <c r="F955" s="179" t="s">
        <v>774</v>
      </c>
      <c r="G955" s="179" t="s">
        <v>775</v>
      </c>
      <c r="H955" s="179" t="s">
        <v>1106</v>
      </c>
      <c r="I955" s="179"/>
      <c r="J955" s="179" t="s">
        <v>158</v>
      </c>
      <c r="K955" s="179">
        <v>800.0</v>
      </c>
      <c r="L955" s="179" t="s">
        <v>776</v>
      </c>
      <c r="M955" s="179" t="s">
        <v>8</v>
      </c>
      <c r="N955" s="179">
        <v>105397.0</v>
      </c>
      <c r="O955" s="179">
        <v>540.0</v>
      </c>
      <c r="P955" s="179">
        <v>0.0051</v>
      </c>
      <c r="Q955" s="179">
        <v>8132.47</v>
      </c>
      <c r="R955" s="179">
        <v>15.06</v>
      </c>
      <c r="S955" s="179">
        <v>0.0</v>
      </c>
      <c r="T955" s="179">
        <v>7.0</v>
      </c>
      <c r="U955" s="179">
        <v>37860.17</v>
      </c>
      <c r="V955" s="179">
        <v>0.2148</v>
      </c>
      <c r="W955" s="179">
        <v>4.6554</v>
      </c>
      <c r="X955" s="179">
        <v>0.0</v>
      </c>
      <c r="Y955" s="179">
        <v>0.0</v>
      </c>
      <c r="Z955" s="179">
        <v>0.0</v>
      </c>
      <c r="AA955" s="179">
        <v>0.0</v>
      </c>
      <c r="AB955" s="179">
        <v>0.0</v>
      </c>
      <c r="AC955" s="179">
        <v>0.0</v>
      </c>
      <c r="AD955" s="179">
        <v>0.0</v>
      </c>
      <c r="AE955" s="179">
        <v>0.0</v>
      </c>
      <c r="AF955" s="179">
        <v>0.0</v>
      </c>
      <c r="AG955" s="179">
        <v>0.0</v>
      </c>
      <c r="AH955" s="179">
        <v>0.0</v>
      </c>
      <c r="AI955" s="179">
        <v>0.0</v>
      </c>
      <c r="AJ955" s="179">
        <v>0.0</v>
      </c>
    </row>
    <row r="956" ht="15.75" customHeight="1">
      <c r="A956" s="65">
        <v>45689.0</v>
      </c>
      <c r="B956" s="179" t="s">
        <v>771</v>
      </c>
      <c r="C956" s="179" t="s">
        <v>877</v>
      </c>
      <c r="D956" s="179" t="s">
        <v>773</v>
      </c>
      <c r="E956" s="179" t="s">
        <v>461</v>
      </c>
      <c r="F956" s="179" t="s">
        <v>774</v>
      </c>
      <c r="G956" s="179"/>
      <c r="H956" s="179" t="s">
        <v>1106</v>
      </c>
      <c r="I956" s="179"/>
      <c r="J956" s="179" t="s">
        <v>196</v>
      </c>
      <c r="K956" s="179">
        <v>3100.0</v>
      </c>
      <c r="L956" s="195">
        <v>0.241</v>
      </c>
      <c r="M956" s="179" t="s">
        <v>8</v>
      </c>
      <c r="N956" s="179">
        <v>246789.0</v>
      </c>
      <c r="O956" s="179">
        <v>1471.0</v>
      </c>
      <c r="P956" s="179">
        <v>0.006</v>
      </c>
      <c r="Q956" s="179">
        <v>39242.58</v>
      </c>
      <c r="R956" s="179">
        <v>26.68</v>
      </c>
      <c r="S956" s="179">
        <v>2332.0</v>
      </c>
      <c r="T956" s="179">
        <v>7.0</v>
      </c>
      <c r="U956" s="179">
        <v>95659.32</v>
      </c>
      <c r="V956" s="179">
        <v>0.4102</v>
      </c>
      <c r="W956" s="179">
        <v>2.4376</v>
      </c>
      <c r="X956" s="179">
        <v>7.0</v>
      </c>
      <c r="Y956" s="179">
        <v>1.0</v>
      </c>
      <c r="Z956" s="179">
        <v>95659.32</v>
      </c>
      <c r="AA956" s="179">
        <v>1.0</v>
      </c>
      <c r="AB956" s="179">
        <v>69060.0</v>
      </c>
      <c r="AC956" s="179">
        <v>568.24</v>
      </c>
      <c r="AD956" s="179">
        <v>0.0</v>
      </c>
      <c r="AE956" s="179">
        <v>0.0</v>
      </c>
      <c r="AF956" s="179">
        <v>0.0</v>
      </c>
      <c r="AG956" s="179">
        <v>0.0</v>
      </c>
      <c r="AH956" s="179">
        <v>0.0</v>
      </c>
      <c r="AI956" s="179">
        <v>0.0</v>
      </c>
      <c r="AJ956" s="179">
        <v>0.0</v>
      </c>
    </row>
    <row r="957" ht="15.75" customHeight="1">
      <c r="A957" s="65">
        <v>45689.0</v>
      </c>
      <c r="B957" s="179" t="s">
        <v>771</v>
      </c>
      <c r="C957" s="179" t="s">
        <v>1001</v>
      </c>
      <c r="D957" s="179" t="s">
        <v>773</v>
      </c>
      <c r="E957" s="179" t="s">
        <v>460</v>
      </c>
      <c r="F957" s="179" t="s">
        <v>778</v>
      </c>
      <c r="G957" s="179" t="s">
        <v>775</v>
      </c>
      <c r="H957" s="179" t="s">
        <v>1106</v>
      </c>
      <c r="I957" s="179"/>
      <c r="J957" s="179" t="s">
        <v>217</v>
      </c>
      <c r="K957" s="179">
        <v>100.0</v>
      </c>
      <c r="L957" s="179" t="s">
        <v>776</v>
      </c>
      <c r="M957" s="179" t="s">
        <v>8</v>
      </c>
      <c r="N957" s="179">
        <v>65155.0</v>
      </c>
      <c r="O957" s="179">
        <v>453.0</v>
      </c>
      <c r="P957" s="179">
        <v>0.007</v>
      </c>
      <c r="Q957" s="179">
        <v>2804.65</v>
      </c>
      <c r="R957" s="179">
        <v>6.19</v>
      </c>
      <c r="S957" s="179">
        <v>0.0</v>
      </c>
      <c r="T957" s="179">
        <v>6.0</v>
      </c>
      <c r="U957" s="179">
        <v>7792.4</v>
      </c>
      <c r="V957" s="179">
        <v>0.3599</v>
      </c>
      <c r="W957" s="179">
        <v>2.7784</v>
      </c>
      <c r="X957" s="179">
        <v>0.0</v>
      </c>
      <c r="Y957" s="179">
        <v>0.0</v>
      </c>
      <c r="Z957" s="179">
        <v>0.0</v>
      </c>
      <c r="AA957" s="179">
        <v>0.0</v>
      </c>
      <c r="AB957" s="179">
        <v>0.0</v>
      </c>
      <c r="AC957" s="179">
        <v>0.0</v>
      </c>
      <c r="AD957" s="179">
        <v>0.0</v>
      </c>
      <c r="AE957" s="179">
        <v>0.0</v>
      </c>
      <c r="AF957" s="179">
        <v>0.0</v>
      </c>
      <c r="AG957" s="179">
        <v>0.0</v>
      </c>
      <c r="AH957" s="179">
        <v>0.0</v>
      </c>
      <c r="AI957" s="179">
        <v>0.0</v>
      </c>
      <c r="AJ957" s="179">
        <v>0.0</v>
      </c>
    </row>
    <row r="958" ht="15.75" customHeight="1">
      <c r="A958" s="65">
        <v>45689.0</v>
      </c>
      <c r="B958" s="179" t="s">
        <v>771</v>
      </c>
      <c r="C958" s="179" t="s">
        <v>1013</v>
      </c>
      <c r="D958" s="179" t="s">
        <v>773</v>
      </c>
      <c r="E958" s="179" t="s">
        <v>459</v>
      </c>
      <c r="F958" s="179" t="s">
        <v>774</v>
      </c>
      <c r="G958" s="179" t="s">
        <v>775</v>
      </c>
      <c r="H958" s="179" t="s">
        <v>1106</v>
      </c>
      <c r="I958" s="179"/>
      <c r="J958" s="179" t="s">
        <v>158</v>
      </c>
      <c r="K958" s="179">
        <v>500.0</v>
      </c>
      <c r="L958" s="179" t="s">
        <v>776</v>
      </c>
      <c r="M958" s="179" t="s">
        <v>8</v>
      </c>
      <c r="N958" s="179">
        <v>54842.0</v>
      </c>
      <c r="O958" s="179">
        <v>322.0</v>
      </c>
      <c r="P958" s="179">
        <v>0.0059</v>
      </c>
      <c r="Q958" s="179">
        <v>2919.69</v>
      </c>
      <c r="R958" s="179">
        <v>9.07</v>
      </c>
      <c r="S958" s="179">
        <v>0.0</v>
      </c>
      <c r="T958" s="179">
        <v>5.0</v>
      </c>
      <c r="U958" s="179">
        <v>20769.48</v>
      </c>
      <c r="V958" s="179">
        <v>0.1406</v>
      </c>
      <c r="W958" s="179">
        <v>7.1136</v>
      </c>
      <c r="X958" s="179">
        <v>0.0</v>
      </c>
      <c r="Y958" s="179">
        <v>0.0</v>
      </c>
      <c r="Z958" s="179">
        <v>0.0</v>
      </c>
      <c r="AA958" s="179">
        <v>0.0</v>
      </c>
      <c r="AB958" s="179">
        <v>0.0</v>
      </c>
      <c r="AC958" s="179">
        <v>0.0</v>
      </c>
      <c r="AD958" s="179">
        <v>0.0</v>
      </c>
      <c r="AE958" s="179">
        <v>0.0</v>
      </c>
      <c r="AF958" s="179">
        <v>0.0</v>
      </c>
      <c r="AG958" s="179">
        <v>0.0</v>
      </c>
      <c r="AH958" s="179">
        <v>0.0</v>
      </c>
      <c r="AI958" s="179">
        <v>0.0</v>
      </c>
      <c r="AJ958" s="179">
        <v>0.0</v>
      </c>
    </row>
    <row r="959" ht="15.75" customHeight="1">
      <c r="A959" s="65">
        <v>45689.0</v>
      </c>
      <c r="B959" s="179" t="s">
        <v>771</v>
      </c>
      <c r="C959" s="179" t="s">
        <v>1074</v>
      </c>
      <c r="D959" s="179" t="s">
        <v>773</v>
      </c>
      <c r="E959" s="179" t="s">
        <v>459</v>
      </c>
      <c r="F959" s="179" t="s">
        <v>774</v>
      </c>
      <c r="G959" s="179" t="s">
        <v>775</v>
      </c>
      <c r="H959" s="179" t="s">
        <v>1106</v>
      </c>
      <c r="I959" s="179"/>
      <c r="J959" s="179" t="s">
        <v>128</v>
      </c>
      <c r="K959" s="179">
        <v>1550.0</v>
      </c>
      <c r="L959" s="195">
        <v>0.1377</v>
      </c>
      <c r="M959" s="179" t="s">
        <v>8</v>
      </c>
      <c r="N959" s="179">
        <v>1867.0</v>
      </c>
      <c r="O959" s="179">
        <v>29.0</v>
      </c>
      <c r="P959" s="179">
        <v>0.0155</v>
      </c>
      <c r="Q959" s="179">
        <v>161.28</v>
      </c>
      <c r="R959" s="179">
        <v>5.56</v>
      </c>
      <c r="S959" s="179">
        <v>0.0</v>
      </c>
      <c r="T959" s="179">
        <v>4.0</v>
      </c>
      <c r="U959" s="179">
        <v>8046.62</v>
      </c>
      <c r="V959" s="179">
        <v>0.02</v>
      </c>
      <c r="W959" s="179">
        <v>49.8922</v>
      </c>
      <c r="X959" s="179">
        <v>0.0</v>
      </c>
      <c r="Y959" s="179">
        <v>0.0</v>
      </c>
      <c r="Z959" s="179">
        <v>0.0</v>
      </c>
      <c r="AA959" s="179">
        <v>0.0</v>
      </c>
      <c r="AB959" s="179">
        <v>0.0</v>
      </c>
      <c r="AC959" s="179">
        <v>0.0</v>
      </c>
      <c r="AD959" s="179">
        <v>0.0</v>
      </c>
      <c r="AE959" s="179">
        <v>0.0</v>
      </c>
      <c r="AF959" s="179">
        <v>0.0</v>
      </c>
      <c r="AG959" s="179">
        <v>0.0</v>
      </c>
      <c r="AH959" s="179">
        <v>0.0</v>
      </c>
      <c r="AI959" s="179">
        <v>0.0</v>
      </c>
      <c r="AJ959" s="179">
        <v>0.0</v>
      </c>
    </row>
    <row r="960" ht="15.75" customHeight="1">
      <c r="A960" s="65">
        <v>45689.0</v>
      </c>
      <c r="B960" s="179" t="s">
        <v>771</v>
      </c>
      <c r="C960" s="179" t="s">
        <v>1136</v>
      </c>
      <c r="D960" s="179" t="s">
        <v>773</v>
      </c>
      <c r="E960" s="179" t="s">
        <v>460</v>
      </c>
      <c r="F960" s="179" t="s">
        <v>778</v>
      </c>
      <c r="G960" s="179" t="s">
        <v>775</v>
      </c>
      <c r="H960" s="179" t="s">
        <v>1106</v>
      </c>
      <c r="I960" s="179"/>
      <c r="J960" s="179" t="s">
        <v>321</v>
      </c>
      <c r="K960" s="179">
        <v>200.0</v>
      </c>
      <c r="L960" s="179" t="s">
        <v>776</v>
      </c>
      <c r="M960" s="179" t="s">
        <v>8</v>
      </c>
      <c r="N960" s="179">
        <v>47871.0</v>
      </c>
      <c r="O960" s="179">
        <v>365.0</v>
      </c>
      <c r="P960" s="179">
        <v>0.0076</v>
      </c>
      <c r="Q960" s="179">
        <v>2709.13</v>
      </c>
      <c r="R960" s="179">
        <v>7.42</v>
      </c>
      <c r="S960" s="179">
        <v>0.0</v>
      </c>
      <c r="T960" s="179">
        <v>4.0</v>
      </c>
      <c r="U960" s="179">
        <v>3131.35</v>
      </c>
      <c r="V960" s="179">
        <v>0.8652</v>
      </c>
      <c r="W960" s="179">
        <v>1.1559</v>
      </c>
      <c r="X960" s="179">
        <v>0.0</v>
      </c>
      <c r="Y960" s="179">
        <v>0.0</v>
      </c>
      <c r="Z960" s="179">
        <v>0.0</v>
      </c>
      <c r="AA960" s="179">
        <v>0.0</v>
      </c>
      <c r="AB960" s="179">
        <v>0.0</v>
      </c>
      <c r="AC960" s="179">
        <v>0.0</v>
      </c>
      <c r="AD960" s="179">
        <v>0.0</v>
      </c>
      <c r="AE960" s="179">
        <v>0.0</v>
      </c>
      <c r="AF960" s="179">
        <v>0.0</v>
      </c>
      <c r="AG960" s="179">
        <v>0.0</v>
      </c>
      <c r="AH960" s="179">
        <v>0.0</v>
      </c>
      <c r="AI960" s="179">
        <v>0.0</v>
      </c>
      <c r="AJ960" s="179">
        <v>0.0</v>
      </c>
    </row>
    <row r="961" ht="15.75" customHeight="1">
      <c r="A961" s="65">
        <v>45689.0</v>
      </c>
      <c r="B961" s="179" t="s">
        <v>771</v>
      </c>
      <c r="C961" s="179" t="s">
        <v>798</v>
      </c>
      <c r="D961" s="179" t="s">
        <v>773</v>
      </c>
      <c r="E961" s="179" t="s">
        <v>461</v>
      </c>
      <c r="F961" s="179" t="s">
        <v>774</v>
      </c>
      <c r="G961" s="179"/>
      <c r="H961" s="179" t="s">
        <v>1106</v>
      </c>
      <c r="I961" s="179"/>
      <c r="J961" s="179" t="s">
        <v>128</v>
      </c>
      <c r="K961" s="179">
        <v>54985.92</v>
      </c>
      <c r="L961" s="195">
        <v>0.4403</v>
      </c>
      <c r="M961" s="179" t="s">
        <v>8</v>
      </c>
      <c r="N961" s="179">
        <v>300552.0</v>
      </c>
      <c r="O961" s="179">
        <v>850.0</v>
      </c>
      <c r="P961" s="179">
        <v>0.0028</v>
      </c>
      <c r="Q961" s="179">
        <v>23407.71</v>
      </c>
      <c r="R961" s="179">
        <v>27.54</v>
      </c>
      <c r="S961" s="179">
        <v>1046.0</v>
      </c>
      <c r="T961" s="179">
        <v>4.0</v>
      </c>
      <c r="U961" s="179">
        <v>125805.1</v>
      </c>
      <c r="V961" s="179">
        <v>0.1861</v>
      </c>
      <c r="W961" s="179">
        <v>5.3745</v>
      </c>
      <c r="X961" s="179">
        <v>3.0</v>
      </c>
      <c r="Y961" s="179">
        <v>0.75</v>
      </c>
      <c r="Z961" s="179">
        <v>91525.43</v>
      </c>
      <c r="AA961" s="179">
        <v>0.7275</v>
      </c>
      <c r="AB961" s="179">
        <v>31228.0</v>
      </c>
      <c r="AC961" s="179">
        <v>749.57</v>
      </c>
      <c r="AD961" s="179">
        <v>0.0</v>
      </c>
      <c r="AE961" s="179">
        <v>0.0</v>
      </c>
      <c r="AF961" s="179">
        <v>0.0</v>
      </c>
      <c r="AG961" s="179">
        <v>0.0</v>
      </c>
      <c r="AH961" s="179">
        <v>0.0</v>
      </c>
      <c r="AI961" s="179">
        <v>0.0</v>
      </c>
      <c r="AJ961" s="179">
        <v>0.0</v>
      </c>
    </row>
    <row r="962" ht="15.75" customHeight="1">
      <c r="A962" s="65">
        <v>45689.0</v>
      </c>
      <c r="B962" s="179" t="s">
        <v>779</v>
      </c>
      <c r="C962" s="179" t="s">
        <v>1012</v>
      </c>
      <c r="D962" s="179" t="s">
        <v>781</v>
      </c>
      <c r="E962" s="179" t="s">
        <v>459</v>
      </c>
      <c r="F962" s="179" t="s">
        <v>774</v>
      </c>
      <c r="G962" s="179" t="s">
        <v>775</v>
      </c>
      <c r="H962" s="179" t="s">
        <v>1106</v>
      </c>
      <c r="I962" s="179"/>
      <c r="J962" s="179" t="s">
        <v>158</v>
      </c>
      <c r="K962" s="179">
        <v>800.0</v>
      </c>
      <c r="L962" s="179" t="s">
        <v>776</v>
      </c>
      <c r="M962" s="179" t="s">
        <v>8</v>
      </c>
      <c r="N962" s="179">
        <v>17712.0</v>
      </c>
      <c r="O962" s="179">
        <v>211.0</v>
      </c>
      <c r="P962" s="179">
        <v>0.0119</v>
      </c>
      <c r="Q962" s="179">
        <v>4549.55</v>
      </c>
      <c r="R962" s="179">
        <v>21.56</v>
      </c>
      <c r="S962" s="179">
        <v>0.0</v>
      </c>
      <c r="T962" s="179">
        <v>3.0</v>
      </c>
      <c r="U962" s="179">
        <v>10166.12</v>
      </c>
      <c r="V962" s="179">
        <v>0.4475</v>
      </c>
      <c r="W962" s="179">
        <v>2.2345</v>
      </c>
      <c r="X962" s="179">
        <v>0.0</v>
      </c>
      <c r="Y962" s="179">
        <v>0.0</v>
      </c>
      <c r="Z962" s="179">
        <v>0.0</v>
      </c>
      <c r="AA962" s="179">
        <v>0.0</v>
      </c>
      <c r="AB962" s="179">
        <v>0.0</v>
      </c>
      <c r="AC962" s="179">
        <v>0.0</v>
      </c>
      <c r="AD962" s="179">
        <v>0.0</v>
      </c>
      <c r="AE962" s="179">
        <v>0.0</v>
      </c>
      <c r="AF962" s="179">
        <v>0.0</v>
      </c>
      <c r="AG962" s="179">
        <v>0.0</v>
      </c>
      <c r="AH962" s="179">
        <v>0.0</v>
      </c>
      <c r="AI962" s="179">
        <v>0.0</v>
      </c>
      <c r="AJ962" s="179">
        <v>0.0</v>
      </c>
    </row>
    <row r="963" ht="15.75" customHeight="1">
      <c r="A963" s="65">
        <v>45689.0</v>
      </c>
      <c r="B963" s="179" t="s">
        <v>771</v>
      </c>
      <c r="C963" s="179" t="s">
        <v>1023</v>
      </c>
      <c r="D963" s="179" t="s">
        <v>773</v>
      </c>
      <c r="E963" s="179" t="s">
        <v>459</v>
      </c>
      <c r="F963" s="179" t="s">
        <v>774</v>
      </c>
      <c r="G963" s="179" t="s">
        <v>775</v>
      </c>
      <c r="H963" s="179" t="s">
        <v>1106</v>
      </c>
      <c r="I963" s="179"/>
      <c r="J963" s="179" t="s">
        <v>230</v>
      </c>
      <c r="K963" s="179">
        <v>4805.0</v>
      </c>
      <c r="L963" s="195">
        <v>0.0894</v>
      </c>
      <c r="M963" s="179" t="s">
        <v>8</v>
      </c>
      <c r="N963" s="179">
        <v>11967.0</v>
      </c>
      <c r="O963" s="179">
        <v>213.0</v>
      </c>
      <c r="P963" s="179">
        <v>0.0178</v>
      </c>
      <c r="Q963" s="179">
        <v>16715.76</v>
      </c>
      <c r="R963" s="179">
        <v>78.48</v>
      </c>
      <c r="S963" s="179">
        <v>0.0</v>
      </c>
      <c r="T963" s="179">
        <v>3.0</v>
      </c>
      <c r="U963" s="179">
        <v>63796.6</v>
      </c>
      <c r="V963" s="179">
        <v>0.262</v>
      </c>
      <c r="W963" s="179">
        <v>3.8166</v>
      </c>
      <c r="X963" s="179">
        <v>0.0</v>
      </c>
      <c r="Y963" s="179">
        <v>0.0</v>
      </c>
      <c r="Z963" s="179">
        <v>0.0</v>
      </c>
      <c r="AA963" s="179">
        <v>0.0</v>
      </c>
      <c r="AB963" s="179">
        <v>0.0</v>
      </c>
      <c r="AC963" s="179">
        <v>0.0</v>
      </c>
      <c r="AD963" s="179">
        <v>0.0</v>
      </c>
      <c r="AE963" s="179">
        <v>0.0</v>
      </c>
      <c r="AF963" s="179">
        <v>0.0</v>
      </c>
      <c r="AG963" s="179">
        <v>0.0</v>
      </c>
      <c r="AH963" s="179">
        <v>0.0</v>
      </c>
      <c r="AI963" s="179">
        <v>0.0</v>
      </c>
      <c r="AJ963" s="179">
        <v>0.0</v>
      </c>
    </row>
    <row r="964" ht="15.75" customHeight="1">
      <c r="A964" s="65">
        <v>45689.0</v>
      </c>
      <c r="B964" s="179" t="s">
        <v>779</v>
      </c>
      <c r="C964" s="179" t="s">
        <v>1076</v>
      </c>
      <c r="D964" s="179" t="s">
        <v>781</v>
      </c>
      <c r="E964" s="179" t="s">
        <v>460</v>
      </c>
      <c r="F964" s="179" t="s">
        <v>778</v>
      </c>
      <c r="G964" s="179" t="s">
        <v>775</v>
      </c>
      <c r="H964" s="179" t="s">
        <v>1106</v>
      </c>
      <c r="I964" s="179"/>
      <c r="J964" s="179" t="s">
        <v>134</v>
      </c>
      <c r="K964" s="179">
        <v>800.0</v>
      </c>
      <c r="L964" s="179" t="s">
        <v>776</v>
      </c>
      <c r="M964" s="179" t="s">
        <v>8</v>
      </c>
      <c r="N964" s="179">
        <v>132194.0</v>
      </c>
      <c r="O964" s="179">
        <v>175.0</v>
      </c>
      <c r="P964" s="179">
        <v>0.0013</v>
      </c>
      <c r="Q964" s="179">
        <v>1574.73</v>
      </c>
      <c r="R964" s="179">
        <v>9.0</v>
      </c>
      <c r="S964" s="179">
        <v>0.0</v>
      </c>
      <c r="T964" s="179">
        <v>3.0</v>
      </c>
      <c r="U964" s="179">
        <v>21238.98</v>
      </c>
      <c r="V964" s="179">
        <v>0.0741</v>
      </c>
      <c r="W964" s="179">
        <v>13.4874</v>
      </c>
      <c r="X964" s="179">
        <v>0.0</v>
      </c>
      <c r="Y964" s="179">
        <v>0.0</v>
      </c>
      <c r="Z964" s="179">
        <v>0.0</v>
      </c>
      <c r="AA964" s="179">
        <v>0.0</v>
      </c>
      <c r="AB964" s="179">
        <v>0.0</v>
      </c>
      <c r="AC964" s="179">
        <v>0.0</v>
      </c>
      <c r="AD964" s="179">
        <v>0.0</v>
      </c>
      <c r="AE964" s="179">
        <v>0.0</v>
      </c>
      <c r="AF964" s="179">
        <v>0.0</v>
      </c>
      <c r="AG964" s="179">
        <v>0.0</v>
      </c>
      <c r="AH964" s="179">
        <v>0.0</v>
      </c>
      <c r="AI964" s="179">
        <v>0.0</v>
      </c>
      <c r="AJ964" s="179">
        <v>0.0</v>
      </c>
    </row>
    <row r="965" ht="15.75" customHeight="1">
      <c r="A965" s="65">
        <v>45689.0</v>
      </c>
      <c r="B965" s="179" t="s">
        <v>771</v>
      </c>
      <c r="C965" s="179" t="s">
        <v>1114</v>
      </c>
      <c r="D965" s="179" t="s">
        <v>773</v>
      </c>
      <c r="E965" s="179" t="s">
        <v>459</v>
      </c>
      <c r="F965" s="179" t="s">
        <v>774</v>
      </c>
      <c r="G965" s="179" t="s">
        <v>775</v>
      </c>
      <c r="H965" s="179" t="s">
        <v>1106</v>
      </c>
      <c r="I965" s="179"/>
      <c r="J965" s="179" t="s">
        <v>429</v>
      </c>
      <c r="K965" s="179">
        <v>1000.0</v>
      </c>
      <c r="L965" s="195">
        <v>0.0924</v>
      </c>
      <c r="M965" s="179" t="s">
        <v>8</v>
      </c>
      <c r="N965" s="179">
        <v>29484.0</v>
      </c>
      <c r="O965" s="179">
        <v>261.0</v>
      </c>
      <c r="P965" s="179">
        <v>0.0089</v>
      </c>
      <c r="Q965" s="179">
        <v>8543.57</v>
      </c>
      <c r="R965" s="179">
        <v>32.73</v>
      </c>
      <c r="S965" s="179">
        <v>0.0</v>
      </c>
      <c r="T965" s="179">
        <v>3.0</v>
      </c>
      <c r="U965" s="179">
        <v>39783.89</v>
      </c>
      <c r="V965" s="179">
        <v>0.2147</v>
      </c>
      <c r="W965" s="179">
        <v>4.6566</v>
      </c>
      <c r="X965" s="179">
        <v>0.0</v>
      </c>
      <c r="Y965" s="179">
        <v>0.0</v>
      </c>
      <c r="Z965" s="179">
        <v>0.0</v>
      </c>
      <c r="AA965" s="179">
        <v>0.0</v>
      </c>
      <c r="AB965" s="179">
        <v>0.0</v>
      </c>
      <c r="AC965" s="179">
        <v>0.0</v>
      </c>
      <c r="AD965" s="179">
        <v>0.0</v>
      </c>
      <c r="AE965" s="179">
        <v>0.0</v>
      </c>
      <c r="AF965" s="179">
        <v>0.0</v>
      </c>
      <c r="AG965" s="179">
        <v>0.0</v>
      </c>
      <c r="AH965" s="179">
        <v>0.0</v>
      </c>
      <c r="AI965" s="179">
        <v>0.0</v>
      </c>
      <c r="AJ965" s="179">
        <v>0.0</v>
      </c>
    </row>
    <row r="966" ht="15.75" customHeight="1">
      <c r="A966" s="65">
        <v>45689.0</v>
      </c>
      <c r="B966" s="179" t="s">
        <v>771</v>
      </c>
      <c r="C966" s="179" t="s">
        <v>1128</v>
      </c>
      <c r="D966" s="179" t="s">
        <v>773</v>
      </c>
      <c r="E966" s="179" t="s">
        <v>459</v>
      </c>
      <c r="F966" s="179" t="s">
        <v>774</v>
      </c>
      <c r="G966" s="179" t="s">
        <v>775</v>
      </c>
      <c r="H966" s="179" t="s">
        <v>1106</v>
      </c>
      <c r="I966" s="179"/>
      <c r="J966" s="179" t="s">
        <v>158</v>
      </c>
      <c r="K966" s="179">
        <v>500.0</v>
      </c>
      <c r="L966" s="179" t="s">
        <v>776</v>
      </c>
      <c r="M966" s="179" t="s">
        <v>8</v>
      </c>
      <c r="N966" s="179">
        <v>34556.0</v>
      </c>
      <c r="O966" s="179">
        <v>238.0</v>
      </c>
      <c r="P966" s="179">
        <v>0.0069</v>
      </c>
      <c r="Q966" s="179">
        <v>2651.42</v>
      </c>
      <c r="R966" s="179">
        <v>11.14</v>
      </c>
      <c r="S966" s="179">
        <v>0.0</v>
      </c>
      <c r="T966" s="179">
        <v>3.0</v>
      </c>
      <c r="U966" s="179">
        <v>30998.3</v>
      </c>
      <c r="V966" s="179">
        <v>0.0855</v>
      </c>
      <c r="W966" s="179">
        <v>11.6912</v>
      </c>
      <c r="X966" s="179">
        <v>0.0</v>
      </c>
      <c r="Y966" s="179">
        <v>0.0</v>
      </c>
      <c r="Z966" s="179">
        <v>0.0</v>
      </c>
      <c r="AA966" s="179">
        <v>0.0</v>
      </c>
      <c r="AB966" s="179">
        <v>0.0</v>
      </c>
      <c r="AC966" s="179">
        <v>0.0</v>
      </c>
      <c r="AD966" s="179">
        <v>0.0</v>
      </c>
      <c r="AE966" s="179">
        <v>0.0</v>
      </c>
      <c r="AF966" s="179">
        <v>0.0</v>
      </c>
      <c r="AG966" s="179">
        <v>0.0</v>
      </c>
      <c r="AH966" s="179">
        <v>0.0</v>
      </c>
      <c r="AI966" s="179">
        <v>0.0</v>
      </c>
      <c r="AJ966" s="179">
        <v>0.0</v>
      </c>
    </row>
    <row r="967" ht="15.75" customHeight="1">
      <c r="A967" s="65">
        <v>45689.0</v>
      </c>
      <c r="B967" s="179" t="s">
        <v>771</v>
      </c>
      <c r="C967" s="179" t="s">
        <v>1155</v>
      </c>
      <c r="D967" s="179" t="s">
        <v>773</v>
      </c>
      <c r="E967" s="179" t="s">
        <v>459</v>
      </c>
      <c r="F967" s="179" t="s">
        <v>774</v>
      </c>
      <c r="G967" s="179" t="s">
        <v>775</v>
      </c>
      <c r="H967" s="179" t="s">
        <v>1106</v>
      </c>
      <c r="I967" s="179"/>
      <c r="J967" s="179" t="s">
        <v>128</v>
      </c>
      <c r="K967" s="179">
        <v>1000.0</v>
      </c>
      <c r="L967" s="179" t="s">
        <v>776</v>
      </c>
      <c r="M967" s="179" t="s">
        <v>8</v>
      </c>
      <c r="N967" s="179">
        <v>6302.0</v>
      </c>
      <c r="O967" s="179">
        <v>43.0</v>
      </c>
      <c r="P967" s="179">
        <v>0.0068</v>
      </c>
      <c r="Q967" s="179">
        <v>1569.76</v>
      </c>
      <c r="R967" s="179">
        <v>36.51</v>
      </c>
      <c r="S967" s="179">
        <v>0.0</v>
      </c>
      <c r="T967" s="179">
        <v>3.0</v>
      </c>
      <c r="U967" s="179">
        <v>57228.82</v>
      </c>
      <c r="V967" s="179">
        <v>0.0274</v>
      </c>
      <c r="W967" s="179">
        <v>36.4571</v>
      </c>
      <c r="X967" s="179">
        <v>0.0</v>
      </c>
      <c r="Y967" s="179">
        <v>0.0</v>
      </c>
      <c r="Z967" s="179">
        <v>0.0</v>
      </c>
      <c r="AA967" s="179">
        <v>0.0</v>
      </c>
      <c r="AB967" s="179">
        <v>0.0</v>
      </c>
      <c r="AC967" s="179">
        <v>0.0</v>
      </c>
      <c r="AD967" s="179">
        <v>0.0</v>
      </c>
      <c r="AE967" s="179">
        <v>0.0</v>
      </c>
      <c r="AF967" s="179">
        <v>0.0</v>
      </c>
      <c r="AG967" s="179">
        <v>0.0</v>
      </c>
      <c r="AH967" s="179">
        <v>0.0</v>
      </c>
      <c r="AI967" s="179">
        <v>0.0</v>
      </c>
      <c r="AJ967" s="179">
        <v>0.0</v>
      </c>
    </row>
    <row r="968" ht="15.75" customHeight="1">
      <c r="A968" s="65">
        <v>45689.0</v>
      </c>
      <c r="B968" s="179" t="s">
        <v>779</v>
      </c>
      <c r="C968" s="179" t="s">
        <v>883</v>
      </c>
      <c r="D968" s="179" t="s">
        <v>781</v>
      </c>
      <c r="E968" s="179" t="s">
        <v>462</v>
      </c>
      <c r="F968" s="179" t="s">
        <v>774</v>
      </c>
      <c r="G968" s="179"/>
      <c r="H968" s="179" t="s">
        <v>1106</v>
      </c>
      <c r="I968" s="179"/>
      <c r="J968" s="179" t="s">
        <v>134</v>
      </c>
      <c r="K968" s="179">
        <v>2500.0</v>
      </c>
      <c r="L968" s="195">
        <v>0.1047</v>
      </c>
      <c r="M968" s="179" t="s">
        <v>8</v>
      </c>
      <c r="N968" s="179">
        <v>176307.0</v>
      </c>
      <c r="O968" s="179">
        <v>2800.0</v>
      </c>
      <c r="P968" s="179">
        <v>0.0159</v>
      </c>
      <c r="Q968" s="179">
        <v>43664.58</v>
      </c>
      <c r="R968" s="179">
        <v>15.59</v>
      </c>
      <c r="S968" s="179">
        <v>5070.0</v>
      </c>
      <c r="T968" s="179">
        <v>3.0</v>
      </c>
      <c r="U968" s="179">
        <v>37304.24</v>
      </c>
      <c r="V968" s="179">
        <v>1.1705</v>
      </c>
      <c r="W968" s="179">
        <v>0.8543</v>
      </c>
      <c r="X968" s="179">
        <v>3.0</v>
      </c>
      <c r="Y968" s="179">
        <v>1.0</v>
      </c>
      <c r="Z968" s="179">
        <v>37304.24</v>
      </c>
      <c r="AA968" s="179">
        <v>1.0</v>
      </c>
      <c r="AB968" s="179">
        <v>31336.0</v>
      </c>
      <c r="AC968" s="179">
        <v>1393.43</v>
      </c>
      <c r="AD968" s="179">
        <v>0.0</v>
      </c>
      <c r="AE968" s="179">
        <v>0.0</v>
      </c>
      <c r="AF968" s="179">
        <v>0.0</v>
      </c>
      <c r="AG968" s="179">
        <v>0.0</v>
      </c>
      <c r="AH968" s="179">
        <v>0.0</v>
      </c>
      <c r="AI968" s="179">
        <v>0.0</v>
      </c>
      <c r="AJ968" s="179">
        <v>0.0</v>
      </c>
    </row>
    <row r="969" ht="15.75" customHeight="1">
      <c r="A969" s="65">
        <v>45689.0</v>
      </c>
      <c r="B969" s="179" t="s">
        <v>771</v>
      </c>
      <c r="C969" s="179" t="s">
        <v>925</v>
      </c>
      <c r="D969" s="179" t="s">
        <v>773</v>
      </c>
      <c r="E969" s="179" t="s">
        <v>459</v>
      </c>
      <c r="F969" s="179" t="s">
        <v>774</v>
      </c>
      <c r="G969" s="179" t="s">
        <v>775</v>
      </c>
      <c r="H969" s="179" t="s">
        <v>1106</v>
      </c>
      <c r="I969" s="179"/>
      <c r="J969" s="179" t="s">
        <v>182</v>
      </c>
      <c r="K969" s="179">
        <v>1500.0</v>
      </c>
      <c r="L969" s="195">
        <v>0.4934</v>
      </c>
      <c r="M969" s="179" t="s">
        <v>8</v>
      </c>
      <c r="N969" s="179">
        <v>6110.0</v>
      </c>
      <c r="O969" s="179">
        <v>43.0</v>
      </c>
      <c r="P969" s="179">
        <v>0.007</v>
      </c>
      <c r="Q969" s="179">
        <v>2676.07</v>
      </c>
      <c r="R969" s="179">
        <v>62.23</v>
      </c>
      <c r="S969" s="179">
        <v>0.0</v>
      </c>
      <c r="T969" s="179">
        <v>2.0</v>
      </c>
      <c r="U969" s="179">
        <v>36398.3</v>
      </c>
      <c r="V969" s="179">
        <v>0.0735</v>
      </c>
      <c r="W969" s="179">
        <v>13.6014</v>
      </c>
      <c r="X969" s="179">
        <v>0.0</v>
      </c>
      <c r="Y969" s="179">
        <v>0.0</v>
      </c>
      <c r="Z969" s="179">
        <v>0.0</v>
      </c>
      <c r="AA969" s="179">
        <v>0.0</v>
      </c>
      <c r="AB969" s="179">
        <v>0.0</v>
      </c>
      <c r="AC969" s="179">
        <v>0.0</v>
      </c>
      <c r="AD969" s="179">
        <v>0.0</v>
      </c>
      <c r="AE969" s="179">
        <v>0.0</v>
      </c>
      <c r="AF969" s="179">
        <v>0.0</v>
      </c>
      <c r="AG969" s="179">
        <v>0.0</v>
      </c>
      <c r="AH969" s="179">
        <v>0.0</v>
      </c>
      <c r="AI969" s="179">
        <v>0.0</v>
      </c>
      <c r="AJ969" s="179">
        <v>0.0</v>
      </c>
    </row>
    <row r="970" ht="15.75" customHeight="1">
      <c r="A970" s="65">
        <v>45689.0</v>
      </c>
      <c r="B970" s="179" t="s">
        <v>771</v>
      </c>
      <c r="C970" s="179" t="s">
        <v>960</v>
      </c>
      <c r="D970" s="179" t="s">
        <v>773</v>
      </c>
      <c r="E970" s="179" t="s">
        <v>459</v>
      </c>
      <c r="F970" s="179" t="s">
        <v>774</v>
      </c>
      <c r="G970" s="179" t="s">
        <v>775</v>
      </c>
      <c r="H970" s="179" t="s">
        <v>1106</v>
      </c>
      <c r="I970" s="179"/>
      <c r="J970" s="179" t="s">
        <v>140</v>
      </c>
      <c r="K970" s="179">
        <v>3000.0</v>
      </c>
      <c r="L970" s="179" t="s">
        <v>776</v>
      </c>
      <c r="M970" s="179" t="s">
        <v>8</v>
      </c>
      <c r="N970" s="179">
        <v>99563.0</v>
      </c>
      <c r="O970" s="179">
        <v>365.0</v>
      </c>
      <c r="P970" s="179">
        <v>0.0037</v>
      </c>
      <c r="Q970" s="179">
        <v>10802.48</v>
      </c>
      <c r="R970" s="179">
        <v>29.6</v>
      </c>
      <c r="S970" s="179">
        <v>0.0</v>
      </c>
      <c r="T970" s="179">
        <v>2.0</v>
      </c>
      <c r="U970" s="179">
        <v>47881.36</v>
      </c>
      <c r="V970" s="179">
        <v>0.2256</v>
      </c>
      <c r="W970" s="179">
        <v>4.4324</v>
      </c>
      <c r="X970" s="179">
        <v>0.0</v>
      </c>
      <c r="Y970" s="179">
        <v>0.0</v>
      </c>
      <c r="Z970" s="179">
        <v>0.0</v>
      </c>
      <c r="AA970" s="179">
        <v>0.0</v>
      </c>
      <c r="AB970" s="179">
        <v>0.0</v>
      </c>
      <c r="AC970" s="179">
        <v>0.0</v>
      </c>
      <c r="AD970" s="179">
        <v>0.0</v>
      </c>
      <c r="AE970" s="179">
        <v>0.0</v>
      </c>
      <c r="AF970" s="179">
        <v>0.0</v>
      </c>
      <c r="AG970" s="179">
        <v>0.0</v>
      </c>
      <c r="AH970" s="179">
        <v>0.0</v>
      </c>
      <c r="AI970" s="179">
        <v>0.0</v>
      </c>
      <c r="AJ970" s="179">
        <v>0.0</v>
      </c>
    </row>
    <row r="971" ht="15.75" customHeight="1">
      <c r="A971" s="65">
        <v>45689.0</v>
      </c>
      <c r="B971" s="179" t="s">
        <v>771</v>
      </c>
      <c r="C971" s="179" t="s">
        <v>963</v>
      </c>
      <c r="D971" s="179" t="s">
        <v>773</v>
      </c>
      <c r="E971" s="179" t="s">
        <v>459</v>
      </c>
      <c r="F971" s="179" t="s">
        <v>774</v>
      </c>
      <c r="G971" s="179" t="s">
        <v>775</v>
      </c>
      <c r="H971" s="179" t="s">
        <v>1106</v>
      </c>
      <c r="I971" s="179"/>
      <c r="J971" s="179" t="s">
        <v>140</v>
      </c>
      <c r="K971" s="179">
        <v>3000.0</v>
      </c>
      <c r="L971" s="179" t="s">
        <v>776</v>
      </c>
      <c r="M971" s="179" t="s">
        <v>8</v>
      </c>
      <c r="N971" s="179">
        <v>36781.0</v>
      </c>
      <c r="O971" s="179">
        <v>86.0</v>
      </c>
      <c r="P971" s="179">
        <v>0.0023</v>
      </c>
      <c r="Q971" s="179">
        <v>4467.13</v>
      </c>
      <c r="R971" s="179">
        <v>51.94</v>
      </c>
      <c r="S971" s="179">
        <v>0.0</v>
      </c>
      <c r="T971" s="179">
        <v>2.0</v>
      </c>
      <c r="U971" s="179">
        <v>19244.92</v>
      </c>
      <c r="V971" s="179">
        <v>0.2321</v>
      </c>
      <c r="W971" s="179">
        <v>4.3081</v>
      </c>
      <c r="X971" s="179">
        <v>0.0</v>
      </c>
      <c r="Y971" s="179">
        <v>0.0</v>
      </c>
      <c r="Z971" s="179">
        <v>0.0</v>
      </c>
      <c r="AA971" s="179">
        <v>0.0</v>
      </c>
      <c r="AB971" s="179">
        <v>0.0</v>
      </c>
      <c r="AC971" s="179">
        <v>0.0</v>
      </c>
      <c r="AD971" s="179">
        <v>0.0</v>
      </c>
      <c r="AE971" s="179">
        <v>0.0</v>
      </c>
      <c r="AF971" s="179">
        <v>0.0</v>
      </c>
      <c r="AG971" s="179">
        <v>0.0</v>
      </c>
      <c r="AH971" s="179">
        <v>0.0</v>
      </c>
      <c r="AI971" s="179">
        <v>0.0</v>
      </c>
      <c r="AJ971" s="179">
        <v>0.0</v>
      </c>
    </row>
    <row r="972" ht="15.75" customHeight="1">
      <c r="A972" s="65">
        <v>45689.0</v>
      </c>
      <c r="B972" s="179" t="s">
        <v>771</v>
      </c>
      <c r="C972" s="179" t="s">
        <v>937</v>
      </c>
      <c r="D972" s="179" t="s">
        <v>773</v>
      </c>
      <c r="E972" s="179" t="s">
        <v>459</v>
      </c>
      <c r="F972" s="179" t="s">
        <v>774</v>
      </c>
      <c r="G972" s="179" t="s">
        <v>775</v>
      </c>
      <c r="H972" s="179" t="s">
        <v>1106</v>
      </c>
      <c r="I972" s="179"/>
      <c r="J972" s="179" t="s">
        <v>128</v>
      </c>
      <c r="K972" s="179">
        <v>7750.0</v>
      </c>
      <c r="L972" s="179" t="s">
        <v>776</v>
      </c>
      <c r="M972" s="179" t="s">
        <v>8</v>
      </c>
      <c r="N972" s="179">
        <v>14122.0</v>
      </c>
      <c r="O972" s="179">
        <v>119.0</v>
      </c>
      <c r="P972" s="179">
        <v>0.0084</v>
      </c>
      <c r="Q972" s="179">
        <v>6273.75</v>
      </c>
      <c r="R972" s="179">
        <v>52.72</v>
      </c>
      <c r="S972" s="179">
        <v>0.0</v>
      </c>
      <c r="T972" s="179">
        <v>2.0</v>
      </c>
      <c r="U972" s="179">
        <v>34381.35</v>
      </c>
      <c r="V972" s="179">
        <v>0.1825</v>
      </c>
      <c r="W972" s="179">
        <v>5.4802</v>
      </c>
      <c r="X972" s="179">
        <v>0.0</v>
      </c>
      <c r="Y972" s="179">
        <v>0.0</v>
      </c>
      <c r="Z972" s="179">
        <v>0.0</v>
      </c>
      <c r="AA972" s="179">
        <v>0.0</v>
      </c>
      <c r="AB972" s="179">
        <v>0.0</v>
      </c>
      <c r="AC972" s="179">
        <v>0.0</v>
      </c>
      <c r="AD972" s="179">
        <v>0.0</v>
      </c>
      <c r="AE972" s="179">
        <v>0.0</v>
      </c>
      <c r="AF972" s="179">
        <v>0.0</v>
      </c>
      <c r="AG972" s="179">
        <v>0.0</v>
      </c>
      <c r="AH972" s="179">
        <v>0.0</v>
      </c>
      <c r="AI972" s="179">
        <v>0.0</v>
      </c>
      <c r="AJ972" s="179">
        <v>0.0</v>
      </c>
    </row>
    <row r="973" ht="15.75" customHeight="1">
      <c r="A973" s="65">
        <v>45689.0</v>
      </c>
      <c r="B973" s="179" t="s">
        <v>771</v>
      </c>
      <c r="C973" s="179" t="s">
        <v>1038</v>
      </c>
      <c r="D973" s="179" t="s">
        <v>773</v>
      </c>
      <c r="E973" s="179" t="s">
        <v>459</v>
      </c>
      <c r="F973" s="179" t="s">
        <v>774</v>
      </c>
      <c r="G973" s="179" t="s">
        <v>775</v>
      </c>
      <c r="H973" s="179" t="s">
        <v>1106</v>
      </c>
      <c r="I973" s="179"/>
      <c r="J973" s="179" t="s">
        <v>158</v>
      </c>
      <c r="K973" s="179">
        <v>912.88</v>
      </c>
      <c r="L973" s="195">
        <v>0.2547</v>
      </c>
      <c r="M973" s="179" t="s">
        <v>8</v>
      </c>
      <c r="N973" s="179">
        <v>29850.0</v>
      </c>
      <c r="O973" s="179">
        <v>241.0</v>
      </c>
      <c r="P973" s="179">
        <v>0.0081</v>
      </c>
      <c r="Q973" s="179">
        <v>4408.35</v>
      </c>
      <c r="R973" s="179">
        <v>18.29</v>
      </c>
      <c r="S973" s="179">
        <v>0.0</v>
      </c>
      <c r="T973" s="179">
        <v>2.0</v>
      </c>
      <c r="U973" s="179">
        <v>5083.06</v>
      </c>
      <c r="V973" s="179">
        <v>0.8673</v>
      </c>
      <c r="W973" s="179">
        <v>1.1531</v>
      </c>
      <c r="X973" s="179">
        <v>0.0</v>
      </c>
      <c r="Y973" s="179">
        <v>0.0</v>
      </c>
      <c r="Z973" s="179">
        <v>0.0</v>
      </c>
      <c r="AA973" s="179">
        <v>0.0</v>
      </c>
      <c r="AB973" s="179">
        <v>0.0</v>
      </c>
      <c r="AC973" s="179">
        <v>0.0</v>
      </c>
      <c r="AD973" s="179">
        <v>0.0</v>
      </c>
      <c r="AE973" s="179">
        <v>0.0</v>
      </c>
      <c r="AF973" s="179">
        <v>0.0</v>
      </c>
      <c r="AG973" s="179">
        <v>0.0</v>
      </c>
      <c r="AH973" s="179">
        <v>0.0</v>
      </c>
      <c r="AI973" s="179">
        <v>0.0</v>
      </c>
      <c r="AJ973" s="179">
        <v>0.0</v>
      </c>
    </row>
    <row r="974" ht="15.75" customHeight="1">
      <c r="A974" s="65">
        <v>45689.0</v>
      </c>
      <c r="B974" s="179" t="s">
        <v>771</v>
      </c>
      <c r="C974" s="179" t="s">
        <v>1129</v>
      </c>
      <c r="D974" s="179" t="s">
        <v>773</v>
      </c>
      <c r="E974" s="179" t="s">
        <v>459</v>
      </c>
      <c r="F974" s="179" t="s">
        <v>774</v>
      </c>
      <c r="G974" s="179" t="s">
        <v>775</v>
      </c>
      <c r="H974" s="179" t="s">
        <v>1106</v>
      </c>
      <c r="I974" s="179"/>
      <c r="J974" s="179" t="s">
        <v>211</v>
      </c>
      <c r="K974" s="179">
        <v>100.0</v>
      </c>
      <c r="L974" s="179" t="s">
        <v>776</v>
      </c>
      <c r="M974" s="179" t="s">
        <v>8</v>
      </c>
      <c r="N974" s="179">
        <v>10205.0</v>
      </c>
      <c r="O974" s="179">
        <v>121.0</v>
      </c>
      <c r="P974" s="179">
        <v>0.0119</v>
      </c>
      <c r="Q974" s="179">
        <v>672.15</v>
      </c>
      <c r="R974" s="179">
        <v>5.55</v>
      </c>
      <c r="S974" s="179">
        <v>0.0</v>
      </c>
      <c r="T974" s="179">
        <v>2.0</v>
      </c>
      <c r="U974" s="179">
        <v>3727.12</v>
      </c>
      <c r="V974" s="179">
        <v>0.1803</v>
      </c>
      <c r="W974" s="179">
        <v>5.5451</v>
      </c>
      <c r="X974" s="179">
        <v>0.0</v>
      </c>
      <c r="Y974" s="179">
        <v>0.0</v>
      </c>
      <c r="Z974" s="179">
        <v>0.0</v>
      </c>
      <c r="AA974" s="179">
        <v>0.0</v>
      </c>
      <c r="AB974" s="179">
        <v>0.0</v>
      </c>
      <c r="AC974" s="179">
        <v>0.0</v>
      </c>
      <c r="AD974" s="179">
        <v>0.0</v>
      </c>
      <c r="AE974" s="179">
        <v>0.0</v>
      </c>
      <c r="AF974" s="179">
        <v>0.0</v>
      </c>
      <c r="AG974" s="179">
        <v>0.0</v>
      </c>
      <c r="AH974" s="179">
        <v>0.0</v>
      </c>
      <c r="AI974" s="179">
        <v>0.0</v>
      </c>
      <c r="AJ974" s="179">
        <v>0.0</v>
      </c>
    </row>
    <row r="975" ht="15.75" customHeight="1">
      <c r="A975" s="65">
        <v>45689.0</v>
      </c>
      <c r="B975" s="179" t="s">
        <v>771</v>
      </c>
      <c r="C975" s="179" t="s">
        <v>1101</v>
      </c>
      <c r="D975" s="179" t="s">
        <v>773</v>
      </c>
      <c r="E975" s="179" t="s">
        <v>459</v>
      </c>
      <c r="F975" s="179" t="s">
        <v>774</v>
      </c>
      <c r="G975" s="179" t="s">
        <v>775</v>
      </c>
      <c r="H975" s="179" t="s">
        <v>1106</v>
      </c>
      <c r="I975" s="179"/>
      <c r="J975" s="179" t="s">
        <v>128</v>
      </c>
      <c r="K975" s="179">
        <v>2450.0</v>
      </c>
      <c r="L975" s="179" t="s">
        <v>776</v>
      </c>
      <c r="M975" s="179" t="s">
        <v>8</v>
      </c>
      <c r="N975" s="179">
        <v>53984.0</v>
      </c>
      <c r="O975" s="179">
        <v>257.0</v>
      </c>
      <c r="P975" s="179">
        <v>0.0048</v>
      </c>
      <c r="Q975" s="179">
        <v>11190.05</v>
      </c>
      <c r="R975" s="179">
        <v>43.54</v>
      </c>
      <c r="S975" s="179">
        <v>0.0</v>
      </c>
      <c r="T975" s="179">
        <v>2.0</v>
      </c>
      <c r="U975" s="179">
        <v>54864.41</v>
      </c>
      <c r="V975" s="179">
        <v>0.204</v>
      </c>
      <c r="W975" s="179">
        <v>4.903</v>
      </c>
      <c r="X975" s="179">
        <v>0.0</v>
      </c>
      <c r="Y975" s="179">
        <v>0.0</v>
      </c>
      <c r="Z975" s="179">
        <v>0.0</v>
      </c>
      <c r="AA975" s="179">
        <v>0.0</v>
      </c>
      <c r="AB975" s="179">
        <v>0.0</v>
      </c>
      <c r="AC975" s="179">
        <v>0.0</v>
      </c>
      <c r="AD975" s="179">
        <v>0.0</v>
      </c>
      <c r="AE975" s="179">
        <v>0.0</v>
      </c>
      <c r="AF975" s="179">
        <v>0.0</v>
      </c>
      <c r="AG975" s="179">
        <v>0.0</v>
      </c>
      <c r="AH975" s="179">
        <v>0.0</v>
      </c>
      <c r="AI975" s="179">
        <v>0.0</v>
      </c>
      <c r="AJ975" s="179">
        <v>0.0</v>
      </c>
    </row>
    <row r="976" ht="15.75" customHeight="1">
      <c r="A976" s="65">
        <v>45689.0</v>
      </c>
      <c r="B976" s="179" t="s">
        <v>771</v>
      </c>
      <c r="C976" s="179" t="s">
        <v>1156</v>
      </c>
      <c r="D976" s="179" t="s">
        <v>773</v>
      </c>
      <c r="E976" s="179" t="s">
        <v>459</v>
      </c>
      <c r="F976" s="179" t="s">
        <v>774</v>
      </c>
      <c r="G976" s="179" t="s">
        <v>775</v>
      </c>
      <c r="H976" s="179" t="s">
        <v>1106</v>
      </c>
      <c r="I976" s="179"/>
      <c r="J976" s="179" t="s">
        <v>134</v>
      </c>
      <c r="K976" s="179">
        <v>500.0</v>
      </c>
      <c r="L976" s="179" t="s">
        <v>776</v>
      </c>
      <c r="M976" s="179" t="s">
        <v>8</v>
      </c>
      <c r="N976" s="179">
        <v>142969.0</v>
      </c>
      <c r="O976" s="179">
        <v>223.0</v>
      </c>
      <c r="P976" s="179">
        <v>0.0016</v>
      </c>
      <c r="Q976" s="179">
        <v>6430.44</v>
      </c>
      <c r="R976" s="179">
        <v>28.84</v>
      </c>
      <c r="S976" s="179">
        <v>0.0</v>
      </c>
      <c r="T976" s="179">
        <v>2.0</v>
      </c>
      <c r="U976" s="179">
        <v>21787.29</v>
      </c>
      <c r="V976" s="179">
        <v>0.2951</v>
      </c>
      <c r="W976" s="179">
        <v>3.3881</v>
      </c>
      <c r="X976" s="179">
        <v>0.0</v>
      </c>
      <c r="Y976" s="179">
        <v>0.0</v>
      </c>
      <c r="Z976" s="179">
        <v>0.0</v>
      </c>
      <c r="AA976" s="179">
        <v>0.0</v>
      </c>
      <c r="AB976" s="179">
        <v>0.0</v>
      </c>
      <c r="AC976" s="179">
        <v>0.0</v>
      </c>
      <c r="AD976" s="179">
        <v>0.0</v>
      </c>
      <c r="AE976" s="179">
        <v>0.0</v>
      </c>
      <c r="AF976" s="179">
        <v>0.0</v>
      </c>
      <c r="AG976" s="179">
        <v>0.0</v>
      </c>
      <c r="AH976" s="179">
        <v>0.0</v>
      </c>
      <c r="AI976" s="179">
        <v>0.0</v>
      </c>
      <c r="AJ976" s="179">
        <v>0.0</v>
      </c>
    </row>
    <row r="977" ht="15.75" customHeight="1">
      <c r="A977" s="65">
        <v>45689.0</v>
      </c>
      <c r="B977" s="179" t="s">
        <v>771</v>
      </c>
      <c r="C977" s="179" t="s">
        <v>822</v>
      </c>
      <c r="D977" s="179" t="s">
        <v>773</v>
      </c>
      <c r="E977" s="179" t="s">
        <v>462</v>
      </c>
      <c r="F977" s="179" t="s">
        <v>774</v>
      </c>
      <c r="G977" s="179"/>
      <c r="H977" s="179" t="s">
        <v>1106</v>
      </c>
      <c r="I977" s="179"/>
      <c r="J977" s="179" t="s">
        <v>128</v>
      </c>
      <c r="K977" s="179">
        <v>27492.99</v>
      </c>
      <c r="L977" s="195">
        <v>0.3678</v>
      </c>
      <c r="M977" s="179" t="s">
        <v>8</v>
      </c>
      <c r="N977" s="179">
        <v>329927.0</v>
      </c>
      <c r="O977" s="179">
        <v>1587.0</v>
      </c>
      <c r="P977" s="179">
        <v>0.0048</v>
      </c>
      <c r="Q977" s="179">
        <v>40201.35</v>
      </c>
      <c r="R977" s="179">
        <v>25.33</v>
      </c>
      <c r="S977" s="179">
        <v>3393.0</v>
      </c>
      <c r="T977" s="179">
        <v>2.0</v>
      </c>
      <c r="U977" s="179">
        <v>42050.85</v>
      </c>
      <c r="V977" s="179">
        <v>0.956</v>
      </c>
      <c r="W977" s="179">
        <v>1.046</v>
      </c>
      <c r="X977" s="179">
        <v>2.0</v>
      </c>
      <c r="Y977" s="179">
        <v>1.0</v>
      </c>
      <c r="Z977" s="179">
        <v>42050.85</v>
      </c>
      <c r="AA977" s="179">
        <v>1.0</v>
      </c>
      <c r="AB977" s="179">
        <v>28033.0</v>
      </c>
      <c r="AC977" s="179">
        <v>1434.07</v>
      </c>
      <c r="AD977" s="179">
        <v>0.0</v>
      </c>
      <c r="AE977" s="179">
        <v>0.0</v>
      </c>
      <c r="AF977" s="179">
        <v>0.0</v>
      </c>
      <c r="AG977" s="179">
        <v>0.0</v>
      </c>
      <c r="AH977" s="179">
        <v>0.0</v>
      </c>
      <c r="AI977" s="179">
        <v>0.0</v>
      </c>
      <c r="AJ977" s="179">
        <v>0.0</v>
      </c>
    </row>
    <row r="978" ht="15.75" customHeight="1">
      <c r="A978" s="65">
        <v>45689.0</v>
      </c>
      <c r="B978" s="179" t="s">
        <v>771</v>
      </c>
      <c r="C978" s="179" t="s">
        <v>898</v>
      </c>
      <c r="D978" s="179" t="s">
        <v>773</v>
      </c>
      <c r="E978" s="179" t="s">
        <v>459</v>
      </c>
      <c r="F978" s="179" t="s">
        <v>774</v>
      </c>
      <c r="G978" s="179" t="s">
        <v>775</v>
      </c>
      <c r="H978" s="179" t="s">
        <v>1106</v>
      </c>
      <c r="I978" s="179"/>
      <c r="J978" s="179" t="s">
        <v>140</v>
      </c>
      <c r="K978" s="179">
        <v>3000.0</v>
      </c>
      <c r="L978" s="195">
        <v>0.0514</v>
      </c>
      <c r="M978" s="179" t="s">
        <v>8</v>
      </c>
      <c r="N978" s="179">
        <v>50201.0</v>
      </c>
      <c r="O978" s="179">
        <v>131.0</v>
      </c>
      <c r="P978" s="179">
        <v>0.0026</v>
      </c>
      <c r="Q978" s="179">
        <v>8028.07</v>
      </c>
      <c r="R978" s="179">
        <v>61.28</v>
      </c>
      <c r="S978" s="179">
        <v>0.0</v>
      </c>
      <c r="T978" s="179">
        <v>1.0</v>
      </c>
      <c r="U978" s="179">
        <v>27754.24</v>
      </c>
      <c r="V978" s="179">
        <v>0.2893</v>
      </c>
      <c r="W978" s="179">
        <v>3.4571</v>
      </c>
      <c r="X978" s="179">
        <v>0.0</v>
      </c>
      <c r="Y978" s="179">
        <v>0.0</v>
      </c>
      <c r="Z978" s="179">
        <v>0.0</v>
      </c>
      <c r="AA978" s="179">
        <v>0.0</v>
      </c>
      <c r="AB978" s="179">
        <v>0.0</v>
      </c>
      <c r="AC978" s="179">
        <v>0.0</v>
      </c>
      <c r="AD978" s="179">
        <v>0.0</v>
      </c>
      <c r="AE978" s="179">
        <v>0.0</v>
      </c>
      <c r="AF978" s="179">
        <v>0.0</v>
      </c>
      <c r="AG978" s="179">
        <v>0.0</v>
      </c>
      <c r="AH978" s="179">
        <v>0.0</v>
      </c>
      <c r="AI978" s="179">
        <v>0.0</v>
      </c>
      <c r="AJ978" s="179">
        <v>0.0</v>
      </c>
    </row>
    <row r="979" ht="15.75" customHeight="1">
      <c r="A979" s="65">
        <v>45689.0</v>
      </c>
      <c r="B979" s="179" t="s">
        <v>771</v>
      </c>
      <c r="C979" s="179" t="s">
        <v>871</v>
      </c>
      <c r="D979" s="179" t="s">
        <v>773</v>
      </c>
      <c r="E979" s="179" t="s">
        <v>459</v>
      </c>
      <c r="F979" s="179" t="s">
        <v>774</v>
      </c>
      <c r="G979" s="179" t="s">
        <v>775</v>
      </c>
      <c r="H979" s="179" t="s">
        <v>1106</v>
      </c>
      <c r="I979" s="179"/>
      <c r="J979" s="179" t="s">
        <v>119</v>
      </c>
      <c r="K979" s="179">
        <v>310.0</v>
      </c>
      <c r="L979" s="179" t="s">
        <v>776</v>
      </c>
      <c r="M979" s="179" t="s">
        <v>8</v>
      </c>
      <c r="N979" s="179">
        <v>6766.0</v>
      </c>
      <c r="O979" s="179">
        <v>114.0</v>
      </c>
      <c r="P979" s="179">
        <v>0.0168</v>
      </c>
      <c r="Q979" s="179">
        <v>192.4</v>
      </c>
      <c r="R979" s="179">
        <v>1.69</v>
      </c>
      <c r="S979" s="179">
        <v>0.0</v>
      </c>
      <c r="T979" s="179">
        <v>1.0</v>
      </c>
      <c r="U979" s="179">
        <v>19923.73</v>
      </c>
      <c r="V979" s="179">
        <v>0.0097</v>
      </c>
      <c r="W979" s="179">
        <v>103.5537</v>
      </c>
      <c r="X979" s="179">
        <v>0.0</v>
      </c>
      <c r="Y979" s="179">
        <v>0.0</v>
      </c>
      <c r="Z979" s="179">
        <v>0.0</v>
      </c>
      <c r="AA979" s="179">
        <v>0.0</v>
      </c>
      <c r="AB979" s="179">
        <v>0.0</v>
      </c>
      <c r="AC979" s="179">
        <v>0.0</v>
      </c>
      <c r="AD979" s="179">
        <v>0.0</v>
      </c>
      <c r="AE979" s="179">
        <v>0.0</v>
      </c>
      <c r="AF979" s="179">
        <v>0.0</v>
      </c>
      <c r="AG979" s="179">
        <v>0.0</v>
      </c>
      <c r="AH979" s="179">
        <v>0.0</v>
      </c>
      <c r="AI979" s="179">
        <v>0.0</v>
      </c>
      <c r="AJ979" s="179">
        <v>0.0</v>
      </c>
    </row>
    <row r="980" ht="15.75" customHeight="1">
      <c r="A980" s="65">
        <v>45689.0</v>
      </c>
      <c r="B980" s="179" t="s">
        <v>771</v>
      </c>
      <c r="C980" s="179" t="s">
        <v>867</v>
      </c>
      <c r="D980" s="179" t="s">
        <v>773</v>
      </c>
      <c r="E980" s="179" t="s">
        <v>459</v>
      </c>
      <c r="F980" s="179" t="s">
        <v>774</v>
      </c>
      <c r="G980" s="179" t="s">
        <v>775</v>
      </c>
      <c r="H980" s="179" t="s">
        <v>1106</v>
      </c>
      <c r="I980" s="179"/>
      <c r="J980" s="179" t="s">
        <v>176</v>
      </c>
      <c r="K980" s="179">
        <v>2000.0</v>
      </c>
      <c r="L980" s="195">
        <v>0.3036</v>
      </c>
      <c r="M980" s="179" t="s">
        <v>8</v>
      </c>
      <c r="N980" s="179">
        <v>17603.0</v>
      </c>
      <c r="O980" s="179">
        <v>99.0</v>
      </c>
      <c r="P980" s="179">
        <v>0.0056</v>
      </c>
      <c r="Q980" s="179">
        <v>2828.21</v>
      </c>
      <c r="R980" s="179">
        <v>28.57</v>
      </c>
      <c r="S980" s="179">
        <v>0.0</v>
      </c>
      <c r="T980" s="179">
        <v>1.0</v>
      </c>
      <c r="U980" s="179">
        <v>15220.34</v>
      </c>
      <c r="V980" s="179">
        <v>0.1858</v>
      </c>
      <c r="W980" s="179">
        <v>5.3816</v>
      </c>
      <c r="X980" s="179">
        <v>0.0</v>
      </c>
      <c r="Y980" s="179">
        <v>0.0</v>
      </c>
      <c r="Z980" s="179">
        <v>0.0</v>
      </c>
      <c r="AA980" s="179">
        <v>0.0</v>
      </c>
      <c r="AB980" s="179">
        <v>0.0</v>
      </c>
      <c r="AC980" s="179">
        <v>0.0</v>
      </c>
      <c r="AD980" s="179">
        <v>0.0</v>
      </c>
      <c r="AE980" s="179">
        <v>0.0</v>
      </c>
      <c r="AF980" s="179">
        <v>0.0</v>
      </c>
      <c r="AG980" s="179">
        <v>0.0</v>
      </c>
      <c r="AH980" s="179">
        <v>0.0</v>
      </c>
      <c r="AI980" s="179">
        <v>0.0</v>
      </c>
      <c r="AJ980" s="179">
        <v>0.0</v>
      </c>
    </row>
    <row r="981" ht="15.75" customHeight="1">
      <c r="A981" s="65">
        <v>45689.0</v>
      </c>
      <c r="B981" s="179" t="s">
        <v>779</v>
      </c>
      <c r="C981" s="179" t="s">
        <v>910</v>
      </c>
      <c r="D981" s="179" t="s">
        <v>781</v>
      </c>
      <c r="E981" s="179" t="s">
        <v>459</v>
      </c>
      <c r="F981" s="179" t="s">
        <v>774</v>
      </c>
      <c r="G981" s="179" t="s">
        <v>775</v>
      </c>
      <c r="H981" s="179" t="s">
        <v>1106</v>
      </c>
      <c r="I981" s="179"/>
      <c r="J981" s="179" t="s">
        <v>134</v>
      </c>
      <c r="K981" s="179">
        <v>2500.0</v>
      </c>
      <c r="L981" s="195">
        <v>0.0698</v>
      </c>
      <c r="M981" s="179" t="s">
        <v>8</v>
      </c>
      <c r="N981" s="179">
        <v>69150.0</v>
      </c>
      <c r="O981" s="179">
        <v>427.0</v>
      </c>
      <c r="P981" s="179">
        <v>0.0062</v>
      </c>
      <c r="Q981" s="179">
        <v>19894.89</v>
      </c>
      <c r="R981" s="179">
        <v>46.59</v>
      </c>
      <c r="S981" s="179">
        <v>0.0</v>
      </c>
      <c r="T981" s="179">
        <v>1.0</v>
      </c>
      <c r="U981" s="179">
        <v>17381.36</v>
      </c>
      <c r="V981" s="179">
        <v>1.1446</v>
      </c>
      <c r="W981" s="179">
        <v>0.8737</v>
      </c>
      <c r="X981" s="179">
        <v>0.0</v>
      </c>
      <c r="Y981" s="179">
        <v>0.0</v>
      </c>
      <c r="Z981" s="179">
        <v>0.0</v>
      </c>
      <c r="AA981" s="179">
        <v>0.0</v>
      </c>
      <c r="AB981" s="179">
        <v>0.0</v>
      </c>
      <c r="AC981" s="179">
        <v>0.0</v>
      </c>
      <c r="AD981" s="179">
        <v>0.0</v>
      </c>
      <c r="AE981" s="179">
        <v>0.0</v>
      </c>
      <c r="AF981" s="179">
        <v>0.0</v>
      </c>
      <c r="AG981" s="179">
        <v>0.0</v>
      </c>
      <c r="AH981" s="179">
        <v>0.0</v>
      </c>
      <c r="AI981" s="179">
        <v>0.0</v>
      </c>
      <c r="AJ981" s="179">
        <v>0.0</v>
      </c>
    </row>
    <row r="982" ht="15.75" customHeight="1">
      <c r="A982" s="65">
        <v>45689.0</v>
      </c>
      <c r="B982" s="179" t="s">
        <v>779</v>
      </c>
      <c r="C982" s="179" t="s">
        <v>905</v>
      </c>
      <c r="D982" s="179" t="s">
        <v>781</v>
      </c>
      <c r="E982" s="179" t="s">
        <v>459</v>
      </c>
      <c r="F982" s="179" t="s">
        <v>774</v>
      </c>
      <c r="G982" s="179" t="s">
        <v>775</v>
      </c>
      <c r="H982" s="179" t="s">
        <v>1106</v>
      </c>
      <c r="I982" s="179"/>
      <c r="J982" s="179" t="s">
        <v>134</v>
      </c>
      <c r="K982" s="179">
        <v>2900.0</v>
      </c>
      <c r="L982" s="195">
        <v>0.1814</v>
      </c>
      <c r="M982" s="179" t="s">
        <v>8</v>
      </c>
      <c r="N982" s="179">
        <v>129342.0</v>
      </c>
      <c r="O982" s="179">
        <v>497.0</v>
      </c>
      <c r="P982" s="179">
        <v>0.0038</v>
      </c>
      <c r="Q982" s="179">
        <v>35736.06</v>
      </c>
      <c r="R982" s="179">
        <v>71.9</v>
      </c>
      <c r="S982" s="179">
        <v>0.0</v>
      </c>
      <c r="T982" s="179">
        <v>1.0</v>
      </c>
      <c r="U982" s="179">
        <v>20771.19</v>
      </c>
      <c r="V982" s="179">
        <v>1.7205</v>
      </c>
      <c r="W982" s="179">
        <v>0.5812</v>
      </c>
      <c r="X982" s="179">
        <v>0.0</v>
      </c>
      <c r="Y982" s="179">
        <v>0.0</v>
      </c>
      <c r="Z982" s="179">
        <v>0.0</v>
      </c>
      <c r="AA982" s="179">
        <v>0.0</v>
      </c>
      <c r="AB982" s="179">
        <v>0.0</v>
      </c>
      <c r="AC982" s="179">
        <v>0.0</v>
      </c>
      <c r="AD982" s="179">
        <v>0.0</v>
      </c>
      <c r="AE982" s="179">
        <v>0.0</v>
      </c>
      <c r="AF982" s="179">
        <v>0.0</v>
      </c>
      <c r="AG982" s="179">
        <v>0.0</v>
      </c>
      <c r="AH982" s="179">
        <v>0.0</v>
      </c>
      <c r="AI982" s="179">
        <v>0.0</v>
      </c>
      <c r="AJ982" s="179">
        <v>0.0</v>
      </c>
    </row>
    <row r="983" ht="15.75" customHeight="1">
      <c r="A983" s="65">
        <v>45689.0</v>
      </c>
      <c r="B983" s="179" t="s">
        <v>771</v>
      </c>
      <c r="C983" s="179" t="s">
        <v>916</v>
      </c>
      <c r="D983" s="179" t="s">
        <v>773</v>
      </c>
      <c r="E983" s="179" t="s">
        <v>459</v>
      </c>
      <c r="F983" s="179" t="s">
        <v>774</v>
      </c>
      <c r="G983" s="179" t="s">
        <v>775</v>
      </c>
      <c r="H983" s="179" t="s">
        <v>1106</v>
      </c>
      <c r="I983" s="179"/>
      <c r="J983" s="179" t="s">
        <v>205</v>
      </c>
      <c r="K983" s="179">
        <v>500.0</v>
      </c>
      <c r="L983" s="179" t="s">
        <v>776</v>
      </c>
      <c r="M983" s="179" t="s">
        <v>8</v>
      </c>
      <c r="N983" s="179">
        <v>16756.0</v>
      </c>
      <c r="O983" s="179">
        <v>14.0</v>
      </c>
      <c r="P983" s="179">
        <v>8.0E-4</v>
      </c>
      <c r="Q983" s="179">
        <v>470.16</v>
      </c>
      <c r="R983" s="179">
        <v>33.58</v>
      </c>
      <c r="S983" s="179">
        <v>0.0</v>
      </c>
      <c r="T983" s="179">
        <v>1.0</v>
      </c>
      <c r="U983" s="179">
        <v>18228.81</v>
      </c>
      <c r="V983" s="179">
        <v>0.0258</v>
      </c>
      <c r="W983" s="179">
        <v>38.7715</v>
      </c>
      <c r="X983" s="179">
        <v>0.0</v>
      </c>
      <c r="Y983" s="179">
        <v>0.0</v>
      </c>
      <c r="Z983" s="179">
        <v>0.0</v>
      </c>
      <c r="AA983" s="179">
        <v>0.0</v>
      </c>
      <c r="AB983" s="179">
        <v>0.0</v>
      </c>
      <c r="AC983" s="179">
        <v>0.0</v>
      </c>
      <c r="AD983" s="179">
        <v>0.0</v>
      </c>
      <c r="AE983" s="179">
        <v>0.0</v>
      </c>
      <c r="AF983" s="179">
        <v>0.0</v>
      </c>
      <c r="AG983" s="179">
        <v>0.0</v>
      </c>
      <c r="AH983" s="179">
        <v>0.0</v>
      </c>
      <c r="AI983" s="179">
        <v>0.0</v>
      </c>
      <c r="AJ983" s="179">
        <v>0.0</v>
      </c>
    </row>
    <row r="984" ht="15.75" customHeight="1">
      <c r="A984" s="65">
        <v>45689.0</v>
      </c>
      <c r="B984" s="179" t="s">
        <v>771</v>
      </c>
      <c r="C984" s="179" t="s">
        <v>932</v>
      </c>
      <c r="D984" s="179" t="s">
        <v>773</v>
      </c>
      <c r="E984" s="179" t="s">
        <v>459</v>
      </c>
      <c r="F984" s="179" t="s">
        <v>774</v>
      </c>
      <c r="G984" s="179" t="s">
        <v>775</v>
      </c>
      <c r="H984" s="179" t="s">
        <v>1106</v>
      </c>
      <c r="I984" s="179"/>
      <c r="J984" s="179" t="s">
        <v>128</v>
      </c>
      <c r="K984" s="179">
        <v>1000.0</v>
      </c>
      <c r="L984" s="179" t="s">
        <v>776</v>
      </c>
      <c r="M984" s="179" t="s">
        <v>8</v>
      </c>
      <c r="N984" s="179">
        <v>5268.0</v>
      </c>
      <c r="O984" s="179">
        <v>36.0</v>
      </c>
      <c r="P984" s="179">
        <v>0.0068</v>
      </c>
      <c r="Q984" s="179">
        <v>1168.58</v>
      </c>
      <c r="R984" s="179">
        <v>32.46</v>
      </c>
      <c r="S984" s="179">
        <v>0.0</v>
      </c>
      <c r="T984" s="179">
        <v>1.0</v>
      </c>
      <c r="U984" s="179">
        <v>34279.66</v>
      </c>
      <c r="V984" s="179">
        <v>0.0341</v>
      </c>
      <c r="W984" s="179">
        <v>29.3345</v>
      </c>
      <c r="X984" s="179">
        <v>0.0</v>
      </c>
      <c r="Y984" s="179">
        <v>0.0</v>
      </c>
      <c r="Z984" s="179">
        <v>0.0</v>
      </c>
      <c r="AA984" s="179">
        <v>0.0</v>
      </c>
      <c r="AB984" s="179">
        <v>0.0</v>
      </c>
      <c r="AC984" s="179">
        <v>0.0</v>
      </c>
      <c r="AD984" s="179">
        <v>0.0</v>
      </c>
      <c r="AE984" s="179">
        <v>0.0</v>
      </c>
      <c r="AF984" s="179">
        <v>0.0</v>
      </c>
      <c r="AG984" s="179">
        <v>0.0</v>
      </c>
      <c r="AH984" s="179">
        <v>0.0</v>
      </c>
      <c r="AI984" s="179">
        <v>0.0</v>
      </c>
      <c r="AJ984" s="179">
        <v>0.0</v>
      </c>
    </row>
    <row r="985" ht="15.75" customHeight="1">
      <c r="A985" s="65">
        <v>45689.0</v>
      </c>
      <c r="B985" s="179" t="s">
        <v>779</v>
      </c>
      <c r="C985" s="179" t="s">
        <v>1158</v>
      </c>
      <c r="D985" s="179" t="s">
        <v>781</v>
      </c>
      <c r="E985" s="179" t="s">
        <v>459</v>
      </c>
      <c r="F985" s="179" t="s">
        <v>774</v>
      </c>
      <c r="G985" s="179" t="s">
        <v>775</v>
      </c>
      <c r="H985" s="179" t="s">
        <v>1106</v>
      </c>
      <c r="I985" s="179"/>
      <c r="J985" s="179" t="s">
        <v>90</v>
      </c>
      <c r="K985" s="179">
        <v>2000.0</v>
      </c>
      <c r="L985" s="195">
        <v>0.0593</v>
      </c>
      <c r="M985" s="179" t="s">
        <v>8</v>
      </c>
      <c r="N985" s="179">
        <v>6234.0</v>
      </c>
      <c r="O985" s="179">
        <v>83.0</v>
      </c>
      <c r="P985" s="179">
        <v>0.0133</v>
      </c>
      <c r="Q985" s="179">
        <v>6307.31</v>
      </c>
      <c r="R985" s="179">
        <v>75.99</v>
      </c>
      <c r="S985" s="179">
        <v>0.0</v>
      </c>
      <c r="T985" s="179">
        <v>1.0</v>
      </c>
      <c r="U985" s="179">
        <v>17381.36</v>
      </c>
      <c r="V985" s="179">
        <v>0.3629</v>
      </c>
      <c r="W985" s="179">
        <v>2.7557</v>
      </c>
      <c r="X985" s="179">
        <v>0.0</v>
      </c>
      <c r="Y985" s="179">
        <v>0.0</v>
      </c>
      <c r="Z985" s="179">
        <v>0.0</v>
      </c>
      <c r="AA985" s="179">
        <v>0.0</v>
      </c>
      <c r="AB985" s="179">
        <v>0.0</v>
      </c>
      <c r="AC985" s="179">
        <v>0.0</v>
      </c>
      <c r="AD985" s="179">
        <v>0.0</v>
      </c>
      <c r="AE985" s="179">
        <v>0.0</v>
      </c>
      <c r="AF985" s="179">
        <v>0.0</v>
      </c>
      <c r="AG985" s="179">
        <v>0.0</v>
      </c>
      <c r="AH985" s="179">
        <v>0.0</v>
      </c>
      <c r="AI985" s="179">
        <v>0.0</v>
      </c>
      <c r="AJ985" s="179">
        <v>0.0</v>
      </c>
    </row>
    <row r="986" ht="15.75" customHeight="1">
      <c r="A986" s="65">
        <v>45689.0</v>
      </c>
      <c r="B986" s="179" t="s">
        <v>779</v>
      </c>
      <c r="C986" s="179" t="s">
        <v>1030</v>
      </c>
      <c r="D986" s="179" t="s">
        <v>781</v>
      </c>
      <c r="E986" s="179" t="s">
        <v>459</v>
      </c>
      <c r="F986" s="179" t="s">
        <v>774</v>
      </c>
      <c r="G986" s="179" t="s">
        <v>775</v>
      </c>
      <c r="H986" s="179" t="s">
        <v>1106</v>
      </c>
      <c r="I986" s="179"/>
      <c r="J986" s="179" t="s">
        <v>158</v>
      </c>
      <c r="K986" s="179">
        <v>5912.49</v>
      </c>
      <c r="L986" s="195">
        <v>0.0636</v>
      </c>
      <c r="M986" s="179" t="s">
        <v>8</v>
      </c>
      <c r="N986" s="179">
        <v>23344.0</v>
      </c>
      <c r="O986" s="179">
        <v>129.0</v>
      </c>
      <c r="P986" s="179">
        <v>0.0055</v>
      </c>
      <c r="Q986" s="179">
        <v>2062.94</v>
      </c>
      <c r="R986" s="179">
        <v>15.99</v>
      </c>
      <c r="S986" s="179">
        <v>0.0</v>
      </c>
      <c r="T986" s="179">
        <v>1.0</v>
      </c>
      <c r="U986" s="179">
        <v>2541.53</v>
      </c>
      <c r="V986" s="179">
        <v>0.8117</v>
      </c>
      <c r="W986" s="179">
        <v>1.232</v>
      </c>
      <c r="X986" s="179">
        <v>0.0</v>
      </c>
      <c r="Y986" s="179">
        <v>0.0</v>
      </c>
      <c r="Z986" s="179">
        <v>0.0</v>
      </c>
      <c r="AA986" s="179">
        <v>0.0</v>
      </c>
      <c r="AB986" s="179">
        <v>0.0</v>
      </c>
      <c r="AC986" s="179">
        <v>0.0</v>
      </c>
      <c r="AD986" s="179">
        <v>0.0</v>
      </c>
      <c r="AE986" s="179">
        <v>0.0</v>
      </c>
      <c r="AF986" s="179">
        <v>0.0</v>
      </c>
      <c r="AG986" s="179">
        <v>0.0</v>
      </c>
      <c r="AH986" s="179">
        <v>0.0</v>
      </c>
      <c r="AI986" s="179">
        <v>0.0</v>
      </c>
      <c r="AJ986" s="179">
        <v>0.0</v>
      </c>
    </row>
    <row r="987" ht="15.75" customHeight="1">
      <c r="A987" s="65">
        <v>45689.0</v>
      </c>
      <c r="B987" s="179" t="s">
        <v>771</v>
      </c>
      <c r="C987" s="179" t="s">
        <v>1027</v>
      </c>
      <c r="D987" s="179" t="s">
        <v>773</v>
      </c>
      <c r="E987" s="179" t="s">
        <v>459</v>
      </c>
      <c r="F987" s="179" t="s">
        <v>774</v>
      </c>
      <c r="G987" s="179" t="s">
        <v>775</v>
      </c>
      <c r="H987" s="179" t="s">
        <v>1106</v>
      </c>
      <c r="I987" s="179"/>
      <c r="J987" s="179" t="s">
        <v>176</v>
      </c>
      <c r="K987" s="179">
        <v>2000.0</v>
      </c>
      <c r="L987" s="195">
        <v>0.1501</v>
      </c>
      <c r="M987" s="179" t="s">
        <v>8</v>
      </c>
      <c r="N987" s="179">
        <v>20173.0</v>
      </c>
      <c r="O987" s="179">
        <v>103.0</v>
      </c>
      <c r="P987" s="179">
        <v>0.0051</v>
      </c>
      <c r="Q987" s="179">
        <v>2680.97</v>
      </c>
      <c r="R987" s="179">
        <v>26.03</v>
      </c>
      <c r="S987" s="179">
        <v>0.0</v>
      </c>
      <c r="T987" s="179">
        <v>1.0</v>
      </c>
      <c r="U987" s="179">
        <v>24957.62</v>
      </c>
      <c r="V987" s="179">
        <v>0.1074</v>
      </c>
      <c r="W987" s="179">
        <v>9.3092</v>
      </c>
      <c r="X987" s="179">
        <v>0.0</v>
      </c>
      <c r="Y987" s="179">
        <v>0.0</v>
      </c>
      <c r="Z987" s="179">
        <v>0.0</v>
      </c>
      <c r="AA987" s="179">
        <v>0.0</v>
      </c>
      <c r="AB987" s="179">
        <v>0.0</v>
      </c>
      <c r="AC987" s="179">
        <v>0.0</v>
      </c>
      <c r="AD987" s="179">
        <v>0.0</v>
      </c>
      <c r="AE987" s="179">
        <v>0.0</v>
      </c>
      <c r="AF987" s="179">
        <v>0.0</v>
      </c>
      <c r="AG987" s="179">
        <v>0.0</v>
      </c>
      <c r="AH987" s="179">
        <v>0.0</v>
      </c>
      <c r="AI987" s="179">
        <v>0.0</v>
      </c>
      <c r="AJ987" s="179">
        <v>0.0</v>
      </c>
    </row>
    <row r="988" ht="15.75" customHeight="1">
      <c r="A988" s="65">
        <v>45689.0</v>
      </c>
      <c r="B988" s="179" t="s">
        <v>771</v>
      </c>
      <c r="C988" s="179" t="s">
        <v>1050</v>
      </c>
      <c r="D988" s="179" t="s">
        <v>773</v>
      </c>
      <c r="E988" s="179" t="s">
        <v>460</v>
      </c>
      <c r="F988" s="179" t="s">
        <v>778</v>
      </c>
      <c r="G988" s="179" t="s">
        <v>775</v>
      </c>
      <c r="H988" s="179" t="s">
        <v>1106</v>
      </c>
      <c r="I988" s="179"/>
      <c r="J988" s="179" t="s">
        <v>241</v>
      </c>
      <c r="K988" s="179">
        <v>775.0</v>
      </c>
      <c r="L988" s="179" t="s">
        <v>776</v>
      </c>
      <c r="M988" s="179" t="s">
        <v>8</v>
      </c>
      <c r="N988" s="179">
        <v>6719.0</v>
      </c>
      <c r="O988" s="179">
        <v>33.0</v>
      </c>
      <c r="P988" s="179">
        <v>0.0049</v>
      </c>
      <c r="Q988" s="179">
        <v>101.76</v>
      </c>
      <c r="R988" s="179">
        <v>3.08</v>
      </c>
      <c r="S988" s="179">
        <v>0.0</v>
      </c>
      <c r="T988" s="179">
        <v>1.0</v>
      </c>
      <c r="U988" s="179">
        <v>2541.52</v>
      </c>
      <c r="V988" s="179">
        <v>0.04</v>
      </c>
      <c r="W988" s="179">
        <v>24.9756</v>
      </c>
      <c r="X988" s="179">
        <v>0.0</v>
      </c>
      <c r="Y988" s="179">
        <v>0.0</v>
      </c>
      <c r="Z988" s="179">
        <v>0.0</v>
      </c>
      <c r="AA988" s="179">
        <v>0.0</v>
      </c>
      <c r="AB988" s="179">
        <v>0.0</v>
      </c>
      <c r="AC988" s="179">
        <v>0.0</v>
      </c>
      <c r="AD988" s="179">
        <v>0.0</v>
      </c>
      <c r="AE988" s="179">
        <v>0.0</v>
      </c>
      <c r="AF988" s="179">
        <v>0.0</v>
      </c>
      <c r="AG988" s="179">
        <v>0.0</v>
      </c>
      <c r="AH988" s="179">
        <v>0.0</v>
      </c>
      <c r="AI988" s="179">
        <v>0.0</v>
      </c>
      <c r="AJ988" s="179">
        <v>0.0</v>
      </c>
    </row>
    <row r="989" ht="15.75" customHeight="1">
      <c r="A989" s="65">
        <v>45689.0</v>
      </c>
      <c r="B989" s="179" t="s">
        <v>779</v>
      </c>
      <c r="C989" s="179" t="s">
        <v>1118</v>
      </c>
      <c r="D989" s="179" t="s">
        <v>781</v>
      </c>
      <c r="E989" s="179" t="s">
        <v>459</v>
      </c>
      <c r="F989" s="179" t="s">
        <v>774</v>
      </c>
      <c r="G989" s="179" t="s">
        <v>775</v>
      </c>
      <c r="H989" s="179" t="s">
        <v>1106</v>
      </c>
      <c r="I989" s="179"/>
      <c r="J989" s="179" t="s">
        <v>211</v>
      </c>
      <c r="K989" s="179">
        <v>200.0</v>
      </c>
      <c r="L989" s="195">
        <v>0.4521</v>
      </c>
      <c r="M989" s="179" t="s">
        <v>8</v>
      </c>
      <c r="N989" s="179">
        <v>1305.0</v>
      </c>
      <c r="O989" s="179">
        <v>36.0</v>
      </c>
      <c r="P989" s="179">
        <v>0.0276</v>
      </c>
      <c r="Q989" s="179">
        <v>195.57</v>
      </c>
      <c r="R989" s="179">
        <v>5.43</v>
      </c>
      <c r="S989" s="179">
        <v>0.0</v>
      </c>
      <c r="T989" s="179">
        <v>1.0</v>
      </c>
      <c r="U989" s="179">
        <v>1863.56</v>
      </c>
      <c r="V989" s="179">
        <v>0.1049</v>
      </c>
      <c r="W989" s="179">
        <v>9.5289</v>
      </c>
      <c r="X989" s="179">
        <v>0.0</v>
      </c>
      <c r="Y989" s="179">
        <v>0.0</v>
      </c>
      <c r="Z989" s="179">
        <v>0.0</v>
      </c>
      <c r="AA989" s="179">
        <v>0.0</v>
      </c>
      <c r="AB989" s="179">
        <v>0.0</v>
      </c>
      <c r="AC989" s="179">
        <v>0.0</v>
      </c>
      <c r="AD989" s="179">
        <v>0.0</v>
      </c>
      <c r="AE989" s="179">
        <v>0.0</v>
      </c>
      <c r="AF989" s="179">
        <v>0.0</v>
      </c>
      <c r="AG989" s="179">
        <v>0.0</v>
      </c>
      <c r="AH989" s="179">
        <v>0.0</v>
      </c>
      <c r="AI989" s="179">
        <v>0.0</v>
      </c>
      <c r="AJ989" s="179">
        <v>0.0</v>
      </c>
    </row>
    <row r="990" ht="15.75" customHeight="1">
      <c r="A990" s="65">
        <v>45689.0</v>
      </c>
      <c r="B990" s="179" t="s">
        <v>779</v>
      </c>
      <c r="C990" s="179" t="s">
        <v>1122</v>
      </c>
      <c r="D990" s="179" t="s">
        <v>781</v>
      </c>
      <c r="E990" s="179" t="s">
        <v>459</v>
      </c>
      <c r="F990" s="179" t="s">
        <v>774</v>
      </c>
      <c r="G990" s="179" t="s">
        <v>775</v>
      </c>
      <c r="H990" s="179" t="s">
        <v>1106</v>
      </c>
      <c r="I990" s="179"/>
      <c r="J990" s="179" t="s">
        <v>211</v>
      </c>
      <c r="K990" s="179">
        <v>200.0</v>
      </c>
      <c r="L990" s="179" t="s">
        <v>776</v>
      </c>
      <c r="M990" s="179" t="s">
        <v>8</v>
      </c>
      <c r="N990" s="179">
        <v>2708.0</v>
      </c>
      <c r="O990" s="179">
        <v>20.0</v>
      </c>
      <c r="P990" s="179">
        <v>0.0074</v>
      </c>
      <c r="Q990" s="179">
        <v>106.28</v>
      </c>
      <c r="R990" s="179">
        <v>5.31</v>
      </c>
      <c r="S990" s="179">
        <v>0.0</v>
      </c>
      <c r="T990" s="179">
        <v>1.0</v>
      </c>
      <c r="U990" s="179">
        <v>1610.17</v>
      </c>
      <c r="V990" s="179">
        <v>0.066</v>
      </c>
      <c r="W990" s="179">
        <v>15.1503</v>
      </c>
      <c r="X990" s="179">
        <v>0.0</v>
      </c>
      <c r="Y990" s="179">
        <v>0.0</v>
      </c>
      <c r="Z990" s="179">
        <v>0.0</v>
      </c>
      <c r="AA990" s="179">
        <v>0.0</v>
      </c>
      <c r="AB990" s="179">
        <v>0.0</v>
      </c>
      <c r="AC990" s="179">
        <v>0.0</v>
      </c>
      <c r="AD990" s="179">
        <v>0.0</v>
      </c>
      <c r="AE990" s="179">
        <v>0.0</v>
      </c>
      <c r="AF990" s="179">
        <v>0.0</v>
      </c>
      <c r="AG990" s="179">
        <v>0.0</v>
      </c>
      <c r="AH990" s="179">
        <v>0.0</v>
      </c>
      <c r="AI990" s="179">
        <v>0.0</v>
      </c>
      <c r="AJ990" s="179">
        <v>0.0</v>
      </c>
    </row>
    <row r="991" ht="15.75" customHeight="1">
      <c r="A991" s="65">
        <v>45689.0</v>
      </c>
      <c r="B991" s="179" t="s">
        <v>771</v>
      </c>
      <c r="C991" s="179" t="s">
        <v>1087</v>
      </c>
      <c r="D991" s="179" t="s">
        <v>773</v>
      </c>
      <c r="E991" s="179" t="s">
        <v>459</v>
      </c>
      <c r="F991" s="179" t="s">
        <v>774</v>
      </c>
      <c r="G991" s="179" t="s">
        <v>775</v>
      </c>
      <c r="H991" s="179" t="s">
        <v>1106</v>
      </c>
      <c r="I991" s="179"/>
      <c r="J991" s="179" t="s">
        <v>128</v>
      </c>
      <c r="K991" s="179">
        <v>1000.0</v>
      </c>
      <c r="L991" s="179" t="s">
        <v>776</v>
      </c>
      <c r="M991" s="179" t="s">
        <v>8</v>
      </c>
      <c r="N991" s="179">
        <v>30272.0</v>
      </c>
      <c r="O991" s="179">
        <v>103.0</v>
      </c>
      <c r="P991" s="179">
        <v>0.0034</v>
      </c>
      <c r="Q991" s="179">
        <v>4800.89</v>
      </c>
      <c r="R991" s="179">
        <v>46.61</v>
      </c>
      <c r="S991" s="179">
        <v>0.0</v>
      </c>
      <c r="T991" s="179">
        <v>1.0</v>
      </c>
      <c r="U991" s="179">
        <v>27754.24</v>
      </c>
      <c r="V991" s="179">
        <v>0.173</v>
      </c>
      <c r="W991" s="179">
        <v>5.7811</v>
      </c>
      <c r="X991" s="179">
        <v>0.0</v>
      </c>
      <c r="Y991" s="179">
        <v>0.0</v>
      </c>
      <c r="Z991" s="179">
        <v>0.0</v>
      </c>
      <c r="AA991" s="179">
        <v>0.0</v>
      </c>
      <c r="AB991" s="179">
        <v>0.0</v>
      </c>
      <c r="AC991" s="179">
        <v>0.0</v>
      </c>
      <c r="AD991" s="179">
        <v>0.0</v>
      </c>
      <c r="AE991" s="179">
        <v>0.0</v>
      </c>
      <c r="AF991" s="179">
        <v>0.0</v>
      </c>
      <c r="AG991" s="179">
        <v>0.0</v>
      </c>
      <c r="AH991" s="179">
        <v>0.0</v>
      </c>
      <c r="AI991" s="179">
        <v>0.0</v>
      </c>
      <c r="AJ991" s="179">
        <v>0.0</v>
      </c>
    </row>
    <row r="992" ht="15.75" customHeight="1">
      <c r="A992" s="65">
        <v>45689.0</v>
      </c>
      <c r="B992" s="179" t="s">
        <v>771</v>
      </c>
      <c r="C992" s="179" t="s">
        <v>1096</v>
      </c>
      <c r="D992" s="179" t="s">
        <v>773</v>
      </c>
      <c r="E992" s="179" t="s">
        <v>459</v>
      </c>
      <c r="F992" s="179" t="s">
        <v>774</v>
      </c>
      <c r="G992" s="179" t="s">
        <v>775</v>
      </c>
      <c r="H992" s="179" t="s">
        <v>1106</v>
      </c>
      <c r="I992" s="179"/>
      <c r="J992" s="179" t="s">
        <v>140</v>
      </c>
      <c r="K992" s="179">
        <v>500.0</v>
      </c>
      <c r="L992" s="179" t="s">
        <v>776</v>
      </c>
      <c r="M992" s="179" t="s">
        <v>8</v>
      </c>
      <c r="N992" s="179">
        <v>54328.0</v>
      </c>
      <c r="O992" s="179">
        <v>72.0</v>
      </c>
      <c r="P992" s="179">
        <v>0.0013</v>
      </c>
      <c r="Q992" s="179">
        <v>2286.99</v>
      </c>
      <c r="R992" s="179">
        <v>31.76</v>
      </c>
      <c r="S992" s="179">
        <v>0.0</v>
      </c>
      <c r="T992" s="179">
        <v>1.0</v>
      </c>
      <c r="U992" s="179">
        <v>29491.53</v>
      </c>
      <c r="V992" s="179">
        <v>0.0775</v>
      </c>
      <c r="W992" s="179">
        <v>12.8953</v>
      </c>
      <c r="X992" s="179">
        <v>0.0</v>
      </c>
      <c r="Y992" s="179">
        <v>0.0</v>
      </c>
      <c r="Z992" s="179">
        <v>0.0</v>
      </c>
      <c r="AA992" s="179">
        <v>0.0</v>
      </c>
      <c r="AB992" s="179">
        <v>0.0</v>
      </c>
      <c r="AC992" s="179">
        <v>0.0</v>
      </c>
      <c r="AD992" s="179">
        <v>0.0</v>
      </c>
      <c r="AE992" s="179">
        <v>0.0</v>
      </c>
      <c r="AF992" s="179">
        <v>0.0</v>
      </c>
      <c r="AG992" s="179">
        <v>0.0</v>
      </c>
      <c r="AH992" s="179">
        <v>0.0</v>
      </c>
      <c r="AI992" s="179">
        <v>0.0</v>
      </c>
      <c r="AJ992" s="179">
        <v>0.0</v>
      </c>
    </row>
    <row r="993" ht="15.75" customHeight="1">
      <c r="A993" s="65">
        <v>45689.0</v>
      </c>
      <c r="B993" s="179" t="s">
        <v>779</v>
      </c>
      <c r="C993" s="179" t="s">
        <v>1081</v>
      </c>
      <c r="D993" s="179" t="s">
        <v>781</v>
      </c>
      <c r="E993" s="179" t="s">
        <v>459</v>
      </c>
      <c r="F993" s="179" t="s">
        <v>774</v>
      </c>
      <c r="G993" s="179" t="s">
        <v>775</v>
      </c>
      <c r="H993" s="179" t="s">
        <v>1106</v>
      </c>
      <c r="I993" s="179"/>
      <c r="J993" s="179" t="s">
        <v>134</v>
      </c>
      <c r="K993" s="179">
        <v>2000.0</v>
      </c>
      <c r="L993" s="179" t="s">
        <v>776</v>
      </c>
      <c r="M993" s="179" t="s">
        <v>8</v>
      </c>
      <c r="N993" s="179">
        <v>21340.0</v>
      </c>
      <c r="O993" s="179">
        <v>52.0</v>
      </c>
      <c r="P993" s="179">
        <v>0.0024</v>
      </c>
      <c r="Q993" s="179">
        <v>2236.36</v>
      </c>
      <c r="R993" s="179">
        <v>43.01</v>
      </c>
      <c r="S993" s="179">
        <v>0.0</v>
      </c>
      <c r="T993" s="179">
        <v>1.0</v>
      </c>
      <c r="U993" s="179">
        <v>18228.81</v>
      </c>
      <c r="V993" s="179">
        <v>0.1227</v>
      </c>
      <c r="W993" s="179">
        <v>8.1511</v>
      </c>
      <c r="X993" s="179">
        <v>0.0</v>
      </c>
      <c r="Y993" s="179">
        <v>0.0</v>
      </c>
      <c r="Z993" s="179">
        <v>0.0</v>
      </c>
      <c r="AA993" s="179">
        <v>0.0</v>
      </c>
      <c r="AB993" s="179">
        <v>0.0</v>
      </c>
      <c r="AC993" s="179">
        <v>0.0</v>
      </c>
      <c r="AD993" s="179">
        <v>0.0</v>
      </c>
      <c r="AE993" s="179">
        <v>0.0</v>
      </c>
      <c r="AF993" s="179">
        <v>0.0</v>
      </c>
      <c r="AG993" s="179">
        <v>0.0</v>
      </c>
      <c r="AH993" s="179">
        <v>0.0</v>
      </c>
      <c r="AI993" s="179">
        <v>0.0</v>
      </c>
      <c r="AJ993" s="179">
        <v>0.0</v>
      </c>
    </row>
    <row r="994" ht="15.75" customHeight="1">
      <c r="A994" s="65">
        <v>45689.0</v>
      </c>
      <c r="B994" s="179" t="s">
        <v>771</v>
      </c>
      <c r="C994" s="179" t="s">
        <v>1079</v>
      </c>
      <c r="D994" s="179" t="s">
        <v>773</v>
      </c>
      <c r="E994" s="179" t="s">
        <v>459</v>
      </c>
      <c r="F994" s="179" t="s">
        <v>774</v>
      </c>
      <c r="G994" s="179" t="s">
        <v>775</v>
      </c>
      <c r="H994" s="179" t="s">
        <v>1106</v>
      </c>
      <c r="I994" s="179"/>
      <c r="J994" s="179" t="s">
        <v>429</v>
      </c>
      <c r="K994" s="179">
        <v>1000.0</v>
      </c>
      <c r="L994" s="179" t="s">
        <v>776</v>
      </c>
      <c r="M994" s="179" t="s">
        <v>8</v>
      </c>
      <c r="N994" s="179">
        <v>8680.0</v>
      </c>
      <c r="O994" s="179">
        <v>96.0</v>
      </c>
      <c r="P994" s="179">
        <v>0.0111</v>
      </c>
      <c r="Q994" s="179">
        <v>3298.81</v>
      </c>
      <c r="R994" s="179">
        <v>34.36</v>
      </c>
      <c r="S994" s="179">
        <v>0.0</v>
      </c>
      <c r="T994" s="179">
        <v>1.0</v>
      </c>
      <c r="U994" s="179">
        <v>13110.16</v>
      </c>
      <c r="V994" s="179">
        <v>0.2516</v>
      </c>
      <c r="W994" s="179">
        <v>3.9742</v>
      </c>
      <c r="X994" s="179">
        <v>0.0</v>
      </c>
      <c r="Y994" s="179">
        <v>0.0</v>
      </c>
      <c r="Z994" s="179">
        <v>0.0</v>
      </c>
      <c r="AA994" s="179">
        <v>0.0</v>
      </c>
      <c r="AB994" s="179">
        <v>0.0</v>
      </c>
      <c r="AC994" s="179">
        <v>0.0</v>
      </c>
      <c r="AD994" s="179">
        <v>0.0</v>
      </c>
      <c r="AE994" s="179">
        <v>0.0</v>
      </c>
      <c r="AF994" s="179">
        <v>0.0</v>
      </c>
      <c r="AG994" s="179">
        <v>0.0</v>
      </c>
      <c r="AH994" s="179">
        <v>0.0</v>
      </c>
      <c r="AI994" s="179">
        <v>0.0</v>
      </c>
      <c r="AJ994" s="179">
        <v>0.0</v>
      </c>
    </row>
    <row r="995" ht="15.75" customHeight="1">
      <c r="A995" s="65">
        <v>45689.0</v>
      </c>
      <c r="B995" s="179" t="s">
        <v>771</v>
      </c>
      <c r="C995" s="179" t="s">
        <v>1110</v>
      </c>
      <c r="D995" s="179" t="s">
        <v>773</v>
      </c>
      <c r="E995" s="179" t="s">
        <v>459</v>
      </c>
      <c r="F995" s="179" t="s">
        <v>774</v>
      </c>
      <c r="G995" s="179" t="s">
        <v>775</v>
      </c>
      <c r="H995" s="179" t="s">
        <v>1106</v>
      </c>
      <c r="I995" s="179"/>
      <c r="J995" s="179" t="s">
        <v>230</v>
      </c>
      <c r="K995" s="179">
        <v>3000.0</v>
      </c>
      <c r="L995" s="195">
        <v>0.2316</v>
      </c>
      <c r="M995" s="179" t="s">
        <v>8</v>
      </c>
      <c r="N995" s="179">
        <v>12141.0</v>
      </c>
      <c r="O995" s="179">
        <v>97.0</v>
      </c>
      <c r="P995" s="179">
        <v>0.008</v>
      </c>
      <c r="Q995" s="179">
        <v>5057.41</v>
      </c>
      <c r="R995" s="179">
        <v>52.14</v>
      </c>
      <c r="S995" s="179">
        <v>0.0</v>
      </c>
      <c r="T995" s="179">
        <v>1.0</v>
      </c>
      <c r="U995" s="179">
        <v>30084.75</v>
      </c>
      <c r="V995" s="179">
        <v>0.1681</v>
      </c>
      <c r="W995" s="179">
        <v>5.9486</v>
      </c>
      <c r="X995" s="179">
        <v>0.0</v>
      </c>
      <c r="Y995" s="179">
        <v>0.0</v>
      </c>
      <c r="Z995" s="179">
        <v>0.0</v>
      </c>
      <c r="AA995" s="179">
        <v>0.0</v>
      </c>
      <c r="AB995" s="179">
        <v>0.0</v>
      </c>
      <c r="AC995" s="179">
        <v>0.0</v>
      </c>
      <c r="AD995" s="179">
        <v>0.0</v>
      </c>
      <c r="AE995" s="179">
        <v>0.0</v>
      </c>
      <c r="AF995" s="179">
        <v>0.0</v>
      </c>
      <c r="AG995" s="179">
        <v>0.0</v>
      </c>
      <c r="AH995" s="179">
        <v>0.0</v>
      </c>
      <c r="AI995" s="179">
        <v>0.0</v>
      </c>
      <c r="AJ995" s="179">
        <v>0.0</v>
      </c>
    </row>
    <row r="996" ht="15.75" customHeight="1">
      <c r="A996" s="65">
        <v>45689.0</v>
      </c>
      <c r="B996" s="179" t="s">
        <v>771</v>
      </c>
      <c r="C996" s="179" t="s">
        <v>1131</v>
      </c>
      <c r="D996" s="179" t="s">
        <v>773</v>
      </c>
      <c r="E996" s="179" t="s">
        <v>459</v>
      </c>
      <c r="F996" s="179" t="s">
        <v>774</v>
      </c>
      <c r="G996" s="179" t="s">
        <v>775</v>
      </c>
      <c r="H996" s="179" t="s">
        <v>1106</v>
      </c>
      <c r="I996" s="179"/>
      <c r="J996" s="179" t="s">
        <v>230</v>
      </c>
      <c r="K996" s="179">
        <v>1000.0</v>
      </c>
      <c r="L996" s="195">
        <v>0.0921</v>
      </c>
      <c r="M996" s="179" t="s">
        <v>8</v>
      </c>
      <c r="N996" s="179">
        <v>1349.0</v>
      </c>
      <c r="O996" s="179">
        <v>3.0</v>
      </c>
      <c r="P996" s="179">
        <v>0.0022</v>
      </c>
      <c r="Q996" s="179">
        <v>173.15</v>
      </c>
      <c r="R996" s="179">
        <v>57.72</v>
      </c>
      <c r="S996" s="179">
        <v>0.0</v>
      </c>
      <c r="T996" s="179">
        <v>1.0</v>
      </c>
      <c r="U996" s="179">
        <v>22889.83</v>
      </c>
      <c r="V996" s="179">
        <v>0.0076</v>
      </c>
      <c r="W996" s="179">
        <v>132.1965</v>
      </c>
      <c r="X996" s="179">
        <v>0.0</v>
      </c>
      <c r="Y996" s="179">
        <v>0.0</v>
      </c>
      <c r="Z996" s="179">
        <v>0.0</v>
      </c>
      <c r="AA996" s="179">
        <v>0.0</v>
      </c>
      <c r="AB996" s="179">
        <v>0.0</v>
      </c>
      <c r="AC996" s="179">
        <v>0.0</v>
      </c>
      <c r="AD996" s="179">
        <v>0.0</v>
      </c>
      <c r="AE996" s="179">
        <v>0.0</v>
      </c>
      <c r="AF996" s="179">
        <v>0.0</v>
      </c>
      <c r="AG996" s="179">
        <v>0.0</v>
      </c>
      <c r="AH996" s="179">
        <v>0.0</v>
      </c>
      <c r="AI996" s="179">
        <v>0.0</v>
      </c>
      <c r="AJ996" s="179">
        <v>0.0</v>
      </c>
    </row>
    <row r="997" ht="15.75" customHeight="1">
      <c r="A997" s="65">
        <v>45689.0</v>
      </c>
      <c r="B997" s="179" t="s">
        <v>771</v>
      </c>
      <c r="C997" s="179" t="s">
        <v>1116</v>
      </c>
      <c r="D997" s="179" t="s">
        <v>773</v>
      </c>
      <c r="E997" s="179" t="s">
        <v>459</v>
      </c>
      <c r="F997" s="179" t="s">
        <v>774</v>
      </c>
      <c r="G997" s="179" t="s">
        <v>775</v>
      </c>
      <c r="H997" s="179" t="s">
        <v>1106</v>
      </c>
      <c r="I997" s="179"/>
      <c r="J997" s="179" t="s">
        <v>230</v>
      </c>
      <c r="K997" s="179">
        <v>500.0</v>
      </c>
      <c r="L997" s="195">
        <v>0.0594</v>
      </c>
      <c r="M997" s="179" t="s">
        <v>8</v>
      </c>
      <c r="N997" s="179">
        <v>10514.0</v>
      </c>
      <c r="O997" s="179">
        <v>59.0</v>
      </c>
      <c r="P997" s="179">
        <v>0.0056</v>
      </c>
      <c r="Q997" s="179">
        <v>3529.56</v>
      </c>
      <c r="R997" s="179">
        <v>59.82</v>
      </c>
      <c r="S997" s="179">
        <v>0.0</v>
      </c>
      <c r="T997" s="179">
        <v>1.0</v>
      </c>
      <c r="U997" s="179">
        <v>13110.16</v>
      </c>
      <c r="V997" s="179">
        <v>0.2692</v>
      </c>
      <c r="W997" s="179">
        <v>3.7144</v>
      </c>
      <c r="X997" s="179">
        <v>0.0</v>
      </c>
      <c r="Y997" s="179">
        <v>0.0</v>
      </c>
      <c r="Z997" s="179">
        <v>0.0</v>
      </c>
      <c r="AA997" s="179">
        <v>0.0</v>
      </c>
      <c r="AB997" s="179">
        <v>0.0</v>
      </c>
      <c r="AC997" s="179">
        <v>0.0</v>
      </c>
      <c r="AD997" s="179">
        <v>0.0</v>
      </c>
      <c r="AE997" s="179">
        <v>0.0</v>
      </c>
      <c r="AF997" s="179">
        <v>0.0</v>
      </c>
      <c r="AG997" s="179">
        <v>0.0</v>
      </c>
      <c r="AH997" s="179">
        <v>0.0</v>
      </c>
      <c r="AI997" s="179">
        <v>0.0</v>
      </c>
      <c r="AJ997" s="179">
        <v>0.0</v>
      </c>
    </row>
    <row r="998" ht="15.75" customHeight="1">
      <c r="A998" s="65">
        <v>45689.0</v>
      </c>
      <c r="B998" s="179" t="s">
        <v>771</v>
      </c>
      <c r="C998" s="179" t="s">
        <v>1164</v>
      </c>
      <c r="D998" s="179" t="s">
        <v>773</v>
      </c>
      <c r="E998" s="179" t="s">
        <v>459</v>
      </c>
      <c r="F998" s="179" t="s">
        <v>774</v>
      </c>
      <c r="G998" s="179" t="s">
        <v>775</v>
      </c>
      <c r="H998" s="179" t="s">
        <v>1106</v>
      </c>
      <c r="I998" s="179"/>
      <c r="J998" s="179" t="s">
        <v>128</v>
      </c>
      <c r="K998" s="179">
        <v>2000.0</v>
      </c>
      <c r="L998" s="195">
        <v>0.0988</v>
      </c>
      <c r="M998" s="179" t="s">
        <v>8</v>
      </c>
      <c r="N998" s="179">
        <v>7547.0</v>
      </c>
      <c r="O998" s="179">
        <v>31.0</v>
      </c>
      <c r="P998" s="179">
        <v>0.0041</v>
      </c>
      <c r="Q998" s="179">
        <v>807.98</v>
      </c>
      <c r="R998" s="179">
        <v>26.06</v>
      </c>
      <c r="S998" s="179">
        <v>0.0</v>
      </c>
      <c r="T998" s="179">
        <v>1.0</v>
      </c>
      <c r="U998" s="179">
        <v>13110.17</v>
      </c>
      <c r="V998" s="179">
        <v>0.0616</v>
      </c>
      <c r="W998" s="179">
        <v>16.2259</v>
      </c>
      <c r="X998" s="179">
        <v>0.0</v>
      </c>
      <c r="Y998" s="179">
        <v>0.0</v>
      </c>
      <c r="Z998" s="179">
        <v>0.0</v>
      </c>
      <c r="AA998" s="179">
        <v>0.0</v>
      </c>
      <c r="AB998" s="179">
        <v>0.0</v>
      </c>
      <c r="AC998" s="179">
        <v>0.0</v>
      </c>
      <c r="AD998" s="179">
        <v>0.0</v>
      </c>
      <c r="AE998" s="179">
        <v>0.0</v>
      </c>
      <c r="AF998" s="179">
        <v>0.0</v>
      </c>
      <c r="AG998" s="179">
        <v>0.0</v>
      </c>
      <c r="AH998" s="179">
        <v>0.0</v>
      </c>
      <c r="AI998" s="179">
        <v>0.0</v>
      </c>
      <c r="AJ998" s="179">
        <v>0.0</v>
      </c>
    </row>
    <row r="999" ht="15.75" customHeight="1">
      <c r="A999" s="65">
        <v>45689.0</v>
      </c>
      <c r="B999" s="179" t="s">
        <v>771</v>
      </c>
      <c r="C999" s="179" t="s">
        <v>1166</v>
      </c>
      <c r="D999" s="179" t="s">
        <v>773</v>
      </c>
      <c r="E999" s="179" t="s">
        <v>459</v>
      </c>
      <c r="F999" s="179" t="s">
        <v>774</v>
      </c>
      <c r="G999" s="179" t="s">
        <v>775</v>
      </c>
      <c r="H999" s="179" t="s">
        <v>1106</v>
      </c>
      <c r="I999" s="179"/>
      <c r="J999" s="179" t="s">
        <v>134</v>
      </c>
      <c r="K999" s="179">
        <v>1000.0</v>
      </c>
      <c r="L999" s="179" t="s">
        <v>776</v>
      </c>
      <c r="M999" s="179" t="s">
        <v>8</v>
      </c>
      <c r="N999" s="179">
        <v>8272.0</v>
      </c>
      <c r="O999" s="179">
        <v>54.0</v>
      </c>
      <c r="P999" s="179">
        <v>0.0065</v>
      </c>
      <c r="Q999" s="179">
        <v>4058.2</v>
      </c>
      <c r="R999" s="179">
        <v>75.15</v>
      </c>
      <c r="S999" s="179">
        <v>0.0</v>
      </c>
      <c r="T999" s="179">
        <v>1.0</v>
      </c>
      <c r="U999" s="179">
        <v>24669.49</v>
      </c>
      <c r="V999" s="179">
        <v>0.1645</v>
      </c>
      <c r="W999" s="179">
        <v>6.0789</v>
      </c>
      <c r="X999" s="179">
        <v>0.0</v>
      </c>
      <c r="Y999" s="179">
        <v>0.0</v>
      </c>
      <c r="Z999" s="179">
        <v>0.0</v>
      </c>
      <c r="AA999" s="179">
        <v>0.0</v>
      </c>
      <c r="AB999" s="179">
        <v>0.0</v>
      </c>
      <c r="AC999" s="179">
        <v>0.0</v>
      </c>
      <c r="AD999" s="179">
        <v>0.0</v>
      </c>
      <c r="AE999" s="179">
        <v>0.0</v>
      </c>
      <c r="AF999" s="179">
        <v>0.0</v>
      </c>
      <c r="AG999" s="179">
        <v>0.0</v>
      </c>
      <c r="AH999" s="179">
        <v>0.0</v>
      </c>
      <c r="AI999" s="179">
        <v>0.0</v>
      </c>
      <c r="AJ999" s="179">
        <v>0.0</v>
      </c>
    </row>
    <row r="1000" ht="15.75" customHeight="1">
      <c r="A1000" s="65">
        <v>45689.0</v>
      </c>
      <c r="B1000" s="179" t="s">
        <v>771</v>
      </c>
      <c r="C1000" s="179" t="s">
        <v>1167</v>
      </c>
      <c r="D1000" s="179" t="s">
        <v>773</v>
      </c>
      <c r="E1000" s="179" t="s">
        <v>459</v>
      </c>
      <c r="F1000" s="179" t="s">
        <v>774</v>
      </c>
      <c r="G1000" s="179" t="s">
        <v>775</v>
      </c>
      <c r="H1000" s="179" t="s">
        <v>1106</v>
      </c>
      <c r="I1000" s="179"/>
      <c r="J1000" s="179" t="s">
        <v>182</v>
      </c>
      <c r="K1000" s="179">
        <v>1000.0</v>
      </c>
      <c r="L1000" s="195">
        <v>0.0915</v>
      </c>
      <c r="M1000" s="179" t="s">
        <v>8</v>
      </c>
      <c r="N1000" s="179">
        <v>7530.0</v>
      </c>
      <c r="O1000" s="179">
        <v>106.0</v>
      </c>
      <c r="P1000" s="179">
        <v>0.0141</v>
      </c>
      <c r="Q1000" s="179">
        <v>10033.04</v>
      </c>
      <c r="R1000" s="179">
        <v>94.65</v>
      </c>
      <c r="S1000" s="179">
        <v>0.0</v>
      </c>
      <c r="T1000" s="179">
        <v>1.0</v>
      </c>
      <c r="U1000" s="179">
        <v>19923.73</v>
      </c>
      <c r="V1000" s="179">
        <v>0.5036</v>
      </c>
      <c r="W1000" s="179">
        <v>1.9858</v>
      </c>
      <c r="X1000" s="179">
        <v>0.0</v>
      </c>
      <c r="Y1000" s="179">
        <v>0.0</v>
      </c>
      <c r="Z1000" s="179">
        <v>0.0</v>
      </c>
      <c r="AA1000" s="179">
        <v>0.0</v>
      </c>
      <c r="AB1000" s="179">
        <v>0.0</v>
      </c>
      <c r="AC1000" s="179">
        <v>0.0</v>
      </c>
      <c r="AD1000" s="179">
        <v>0.0</v>
      </c>
      <c r="AE1000" s="179">
        <v>0.0</v>
      </c>
      <c r="AF1000" s="179">
        <v>0.0</v>
      </c>
      <c r="AG1000" s="179">
        <v>0.0</v>
      </c>
      <c r="AH1000" s="179">
        <v>0.0</v>
      </c>
      <c r="AI1000" s="179">
        <v>0.0</v>
      </c>
      <c r="AJ1000" s="179">
        <v>0.0</v>
      </c>
    </row>
    <row r="1001" ht="15.75" customHeight="1">
      <c r="A1001" s="65">
        <v>45689.0</v>
      </c>
      <c r="B1001" s="179" t="s">
        <v>771</v>
      </c>
      <c r="C1001" s="179" t="s">
        <v>1169</v>
      </c>
      <c r="D1001" s="179" t="s">
        <v>773</v>
      </c>
      <c r="E1001" s="179" t="s">
        <v>459</v>
      </c>
      <c r="F1001" s="179" t="s">
        <v>774</v>
      </c>
      <c r="G1001" s="179" t="s">
        <v>775</v>
      </c>
      <c r="H1001" s="179" t="s">
        <v>1106</v>
      </c>
      <c r="I1001" s="179"/>
      <c r="J1001" s="179" t="s">
        <v>429</v>
      </c>
      <c r="K1001" s="179">
        <v>1000.0</v>
      </c>
      <c r="L1001" s="195">
        <v>0.0854</v>
      </c>
      <c r="M1001" s="179" t="s">
        <v>8</v>
      </c>
      <c r="N1001" s="179">
        <v>3009.0</v>
      </c>
      <c r="O1001" s="179">
        <v>18.0</v>
      </c>
      <c r="P1001" s="179">
        <v>0.006</v>
      </c>
      <c r="Q1001" s="179">
        <v>504.51</v>
      </c>
      <c r="R1001" s="179">
        <v>28.03</v>
      </c>
      <c r="S1001" s="179">
        <v>0.0</v>
      </c>
      <c r="T1001" s="179">
        <v>1.0</v>
      </c>
      <c r="U1001" s="179">
        <v>13110.17</v>
      </c>
      <c r="V1001" s="179">
        <v>0.0385</v>
      </c>
      <c r="W1001" s="179">
        <v>25.9859</v>
      </c>
      <c r="X1001" s="179">
        <v>0.0</v>
      </c>
      <c r="Y1001" s="179">
        <v>0.0</v>
      </c>
      <c r="Z1001" s="179">
        <v>0.0</v>
      </c>
      <c r="AA1001" s="179">
        <v>0.0</v>
      </c>
      <c r="AB1001" s="179">
        <v>0.0</v>
      </c>
      <c r="AC1001" s="179">
        <v>0.0</v>
      </c>
      <c r="AD1001" s="179">
        <v>0.0</v>
      </c>
      <c r="AE1001" s="179">
        <v>0.0</v>
      </c>
      <c r="AF1001" s="179">
        <v>0.0</v>
      </c>
      <c r="AG1001" s="179">
        <v>0.0</v>
      </c>
      <c r="AH1001" s="179">
        <v>0.0</v>
      </c>
      <c r="AI1001" s="179">
        <v>0.0</v>
      </c>
      <c r="AJ1001" s="179">
        <v>0.0</v>
      </c>
    </row>
    <row r="1002" ht="15.75" customHeight="1">
      <c r="A1002" s="65">
        <v>45689.0</v>
      </c>
      <c r="B1002" s="179" t="s">
        <v>771</v>
      </c>
      <c r="C1002" s="179" t="s">
        <v>1171</v>
      </c>
      <c r="D1002" s="179" t="s">
        <v>773</v>
      </c>
      <c r="E1002" s="179" t="s">
        <v>459</v>
      </c>
      <c r="F1002" s="179" t="s">
        <v>774</v>
      </c>
      <c r="G1002" s="179" t="s">
        <v>775</v>
      </c>
      <c r="H1002" s="179" t="s">
        <v>1106</v>
      </c>
      <c r="I1002" s="179"/>
      <c r="J1002" s="179" t="s">
        <v>429</v>
      </c>
      <c r="K1002" s="179">
        <v>1000.0</v>
      </c>
      <c r="L1002" s="179" t="s">
        <v>776</v>
      </c>
      <c r="M1002" s="179" t="s">
        <v>8</v>
      </c>
      <c r="N1002" s="179">
        <v>3382.0</v>
      </c>
      <c r="O1002" s="179">
        <v>19.0</v>
      </c>
      <c r="P1002" s="179">
        <v>0.0056</v>
      </c>
      <c r="Q1002" s="179">
        <v>418.18</v>
      </c>
      <c r="R1002" s="179">
        <v>22.01</v>
      </c>
      <c r="S1002" s="179">
        <v>0.0</v>
      </c>
      <c r="T1002" s="179">
        <v>1.0</v>
      </c>
      <c r="U1002" s="179">
        <v>13110.16</v>
      </c>
      <c r="V1002" s="179">
        <v>0.0319</v>
      </c>
      <c r="W1002" s="179">
        <v>31.3505</v>
      </c>
      <c r="X1002" s="179">
        <v>0.0</v>
      </c>
      <c r="Y1002" s="179">
        <v>0.0</v>
      </c>
      <c r="Z1002" s="179">
        <v>0.0</v>
      </c>
      <c r="AA1002" s="179">
        <v>0.0</v>
      </c>
      <c r="AB1002" s="179">
        <v>0.0</v>
      </c>
      <c r="AC1002" s="179">
        <v>0.0</v>
      </c>
      <c r="AD1002" s="179">
        <v>0.0</v>
      </c>
      <c r="AE1002" s="179">
        <v>0.0</v>
      </c>
      <c r="AF1002" s="179">
        <v>0.0</v>
      </c>
      <c r="AG1002" s="179">
        <v>0.0</v>
      </c>
      <c r="AH1002" s="179">
        <v>0.0</v>
      </c>
      <c r="AI1002" s="179">
        <v>0.0</v>
      </c>
      <c r="AJ1002" s="179">
        <v>0.0</v>
      </c>
    </row>
    <row r="1003" ht="15.75" customHeight="1">
      <c r="A1003" s="65">
        <v>45689.0</v>
      </c>
      <c r="B1003" s="179" t="s">
        <v>771</v>
      </c>
      <c r="C1003" s="179" t="s">
        <v>862</v>
      </c>
      <c r="D1003" s="179" t="s">
        <v>773</v>
      </c>
      <c r="E1003" s="179" t="s">
        <v>463</v>
      </c>
      <c r="F1003" s="179" t="s">
        <v>774</v>
      </c>
      <c r="G1003" s="179"/>
      <c r="H1003" s="179" t="s">
        <v>1106</v>
      </c>
      <c r="I1003" s="179"/>
      <c r="J1003" s="179" t="s">
        <v>128</v>
      </c>
      <c r="K1003" s="179">
        <v>10000.0</v>
      </c>
      <c r="L1003" s="179"/>
      <c r="M1003" s="179" t="s">
        <v>8</v>
      </c>
      <c r="N1003" s="179">
        <v>64090.0</v>
      </c>
      <c r="O1003" s="179">
        <v>164.0</v>
      </c>
      <c r="P1003" s="179">
        <v>0.0026</v>
      </c>
      <c r="Q1003" s="179">
        <v>5794.1</v>
      </c>
      <c r="R1003" s="179">
        <v>35.33</v>
      </c>
      <c r="S1003" s="179">
        <v>923.0</v>
      </c>
      <c r="T1003" s="179">
        <v>1.0</v>
      </c>
      <c r="U1003" s="179">
        <v>34279.66</v>
      </c>
      <c r="V1003" s="179">
        <v>0.169</v>
      </c>
      <c r="W1003" s="179">
        <v>5.9163</v>
      </c>
      <c r="X1003" s="179">
        <v>0.0</v>
      </c>
      <c r="Y1003" s="179">
        <v>0.0</v>
      </c>
      <c r="Z1003" s="179">
        <v>0.0</v>
      </c>
      <c r="AA1003" s="179">
        <v>0.0</v>
      </c>
      <c r="AB1003" s="179">
        <v>0.0</v>
      </c>
      <c r="AC1003" s="179">
        <v>0.0</v>
      </c>
      <c r="AD1003" s="179">
        <v>0.0</v>
      </c>
      <c r="AE1003" s="179">
        <v>0.0</v>
      </c>
      <c r="AF1003" s="179">
        <v>0.0</v>
      </c>
      <c r="AG1003" s="179">
        <v>0.0</v>
      </c>
      <c r="AH1003" s="179">
        <v>0.0</v>
      </c>
      <c r="AI1003" s="179">
        <v>0.0</v>
      </c>
      <c r="AJ1003" s="179">
        <v>0.0</v>
      </c>
    </row>
    <row r="1004" ht="15.75" customHeight="1">
      <c r="A1004" s="65">
        <v>45689.0</v>
      </c>
      <c r="B1004" s="179" t="s">
        <v>779</v>
      </c>
      <c r="C1004" s="179" t="s">
        <v>914</v>
      </c>
      <c r="D1004" s="179" t="s">
        <v>781</v>
      </c>
      <c r="E1004" s="179" t="s">
        <v>463</v>
      </c>
      <c r="F1004" s="179" t="s">
        <v>774</v>
      </c>
      <c r="G1004" s="179"/>
      <c r="H1004" s="179" t="s">
        <v>1106</v>
      </c>
      <c r="I1004" s="179"/>
      <c r="J1004" s="179" t="s">
        <v>128</v>
      </c>
      <c r="K1004" s="179">
        <v>500.0</v>
      </c>
      <c r="L1004" s="179"/>
      <c r="M1004" s="179" t="s">
        <v>8</v>
      </c>
      <c r="N1004" s="179">
        <v>233855.0</v>
      </c>
      <c r="O1004" s="179">
        <v>603.0</v>
      </c>
      <c r="P1004" s="179">
        <v>0.0026</v>
      </c>
      <c r="Q1004" s="179">
        <v>9890.01</v>
      </c>
      <c r="R1004" s="179">
        <v>16.4</v>
      </c>
      <c r="S1004" s="179">
        <v>1410.0</v>
      </c>
      <c r="T1004" s="179">
        <v>1.0</v>
      </c>
      <c r="U1004" s="179">
        <v>17966.1</v>
      </c>
      <c r="V1004" s="179">
        <v>0.5505</v>
      </c>
      <c r="W1004" s="179">
        <v>1.8166</v>
      </c>
      <c r="X1004" s="179">
        <v>0.0</v>
      </c>
      <c r="Y1004" s="179">
        <v>0.0</v>
      </c>
      <c r="Z1004" s="179">
        <v>0.0</v>
      </c>
      <c r="AA1004" s="179">
        <v>0.0</v>
      </c>
      <c r="AB1004" s="179">
        <v>0.0</v>
      </c>
      <c r="AC1004" s="179">
        <v>0.0</v>
      </c>
      <c r="AD1004" s="179">
        <v>0.0</v>
      </c>
      <c r="AE1004" s="179">
        <v>0.0</v>
      </c>
      <c r="AF1004" s="179">
        <v>0.0</v>
      </c>
      <c r="AG1004" s="179">
        <v>0.0</v>
      </c>
      <c r="AH1004" s="179">
        <v>0.0</v>
      </c>
      <c r="AI1004" s="179">
        <v>0.0</v>
      </c>
      <c r="AJ1004" s="179">
        <v>0.0</v>
      </c>
    </row>
    <row r="1005" ht="15.75" customHeight="1">
      <c r="A1005" s="65">
        <v>45689.0</v>
      </c>
      <c r="B1005" s="179" t="s">
        <v>771</v>
      </c>
      <c r="C1005" s="179" t="s">
        <v>1090</v>
      </c>
      <c r="D1005" s="179" t="s">
        <v>773</v>
      </c>
      <c r="E1005" s="179" t="s">
        <v>463</v>
      </c>
      <c r="F1005" s="179" t="s">
        <v>774</v>
      </c>
      <c r="G1005" s="179"/>
      <c r="H1005" s="179" t="s">
        <v>1106</v>
      </c>
      <c r="I1005" s="179"/>
      <c r="J1005" s="179" t="s">
        <v>211</v>
      </c>
      <c r="K1005" s="179">
        <v>500.0</v>
      </c>
      <c r="L1005" s="179"/>
      <c r="M1005" s="179" t="s">
        <v>8</v>
      </c>
      <c r="N1005" s="179">
        <v>193270.0</v>
      </c>
      <c r="O1005" s="179">
        <v>762.0</v>
      </c>
      <c r="P1005" s="179">
        <v>0.0039</v>
      </c>
      <c r="Q1005" s="179">
        <v>3187.63</v>
      </c>
      <c r="R1005" s="179">
        <v>4.18</v>
      </c>
      <c r="S1005" s="179">
        <v>1076.0</v>
      </c>
      <c r="T1005" s="179">
        <v>1.0</v>
      </c>
      <c r="U1005" s="179">
        <v>1863.56</v>
      </c>
      <c r="V1005" s="179">
        <v>1.7105</v>
      </c>
      <c r="W1005" s="179">
        <v>0.5846</v>
      </c>
      <c r="X1005" s="179">
        <v>1.0</v>
      </c>
      <c r="Y1005" s="179">
        <v>1.0</v>
      </c>
      <c r="Z1005" s="179">
        <v>1863.56</v>
      </c>
      <c r="AA1005" s="179">
        <v>1.0</v>
      </c>
      <c r="AB1005" s="179">
        <v>0.0</v>
      </c>
      <c r="AC1005" s="179">
        <v>0.0</v>
      </c>
      <c r="AD1005" s="179">
        <v>0.0</v>
      </c>
      <c r="AE1005" s="179">
        <v>0.0</v>
      </c>
      <c r="AF1005" s="179">
        <v>0.0</v>
      </c>
      <c r="AG1005" s="179">
        <v>0.0</v>
      </c>
      <c r="AH1005" s="179">
        <v>0.0</v>
      </c>
      <c r="AI1005" s="179">
        <v>0.0</v>
      </c>
      <c r="AJ1005" s="179">
        <v>0.0</v>
      </c>
    </row>
    <row r="1006" ht="15.75" customHeight="1">
      <c r="A1006" s="65">
        <v>45689.0</v>
      </c>
      <c r="B1006" s="179" t="s">
        <v>779</v>
      </c>
      <c r="C1006" s="179" t="s">
        <v>1139</v>
      </c>
      <c r="D1006" s="179" t="s">
        <v>781</v>
      </c>
      <c r="E1006" s="179" t="s">
        <v>463</v>
      </c>
      <c r="F1006" s="179" t="s">
        <v>774</v>
      </c>
      <c r="G1006" s="179"/>
      <c r="H1006" s="179" t="s">
        <v>1106</v>
      </c>
      <c r="I1006" s="179"/>
      <c r="J1006" s="179" t="s">
        <v>158</v>
      </c>
      <c r="K1006" s="179">
        <v>1000.0</v>
      </c>
      <c r="L1006" s="179"/>
      <c r="M1006" s="179" t="s">
        <v>8</v>
      </c>
      <c r="N1006" s="179">
        <v>78107.0</v>
      </c>
      <c r="O1006" s="179">
        <v>302.0</v>
      </c>
      <c r="P1006" s="179">
        <v>0.0039</v>
      </c>
      <c r="Q1006" s="179">
        <v>3206.11</v>
      </c>
      <c r="R1006" s="179">
        <v>10.62</v>
      </c>
      <c r="S1006" s="179">
        <v>629.0</v>
      </c>
      <c r="T1006" s="179">
        <v>1.0</v>
      </c>
      <c r="U1006" s="179">
        <v>2541.53</v>
      </c>
      <c r="V1006" s="179">
        <v>1.2615</v>
      </c>
      <c r="W1006" s="179">
        <v>0.7927</v>
      </c>
      <c r="X1006" s="179">
        <v>1.0</v>
      </c>
      <c r="Y1006" s="179">
        <v>1.0</v>
      </c>
      <c r="Z1006" s="179">
        <v>2541.53</v>
      </c>
      <c r="AA1006" s="179">
        <v>1.0</v>
      </c>
      <c r="AB1006" s="179">
        <v>0.0</v>
      </c>
      <c r="AC1006" s="179">
        <v>0.0</v>
      </c>
      <c r="AD1006" s="179">
        <v>0.0</v>
      </c>
      <c r="AE1006" s="179">
        <v>0.0</v>
      </c>
      <c r="AF1006" s="179">
        <v>0.0</v>
      </c>
      <c r="AG1006" s="179">
        <v>0.0</v>
      </c>
      <c r="AH1006" s="179">
        <v>0.0</v>
      </c>
      <c r="AI1006" s="179">
        <v>0.0</v>
      </c>
      <c r="AJ1006" s="179">
        <v>0.0</v>
      </c>
    </row>
    <row r="1007" ht="15.75" customHeight="1">
      <c r="A1007" s="65">
        <v>45689.0</v>
      </c>
      <c r="B1007" s="179" t="s">
        <v>779</v>
      </c>
      <c r="C1007" s="179" t="s">
        <v>965</v>
      </c>
      <c r="D1007" s="179" t="s">
        <v>781</v>
      </c>
      <c r="E1007" s="179" t="s">
        <v>459</v>
      </c>
      <c r="F1007" s="179" t="s">
        <v>774</v>
      </c>
      <c r="G1007" s="179" t="s">
        <v>775</v>
      </c>
      <c r="H1007" s="179" t="s">
        <v>1106</v>
      </c>
      <c r="I1007" s="179"/>
      <c r="J1007" s="179" t="s">
        <v>90</v>
      </c>
      <c r="K1007" s="179">
        <v>500.0</v>
      </c>
      <c r="L1007" s="179" t="s">
        <v>776</v>
      </c>
      <c r="M1007" s="179" t="s">
        <v>8</v>
      </c>
      <c r="N1007" s="179">
        <v>3256.0</v>
      </c>
      <c r="O1007" s="179">
        <v>3.0</v>
      </c>
      <c r="P1007" s="179">
        <v>9.0E-4</v>
      </c>
      <c r="Q1007" s="179">
        <v>104.66</v>
      </c>
      <c r="R1007" s="179">
        <v>34.89</v>
      </c>
      <c r="S1007" s="179">
        <v>0.0</v>
      </c>
      <c r="T1007" s="179">
        <v>0.0</v>
      </c>
      <c r="U1007" s="179">
        <v>0.0</v>
      </c>
      <c r="V1007" s="179">
        <v>0.0</v>
      </c>
      <c r="W1007" s="179">
        <v>0.0</v>
      </c>
      <c r="X1007" s="179">
        <v>0.0</v>
      </c>
      <c r="Y1007" s="179">
        <v>0.0</v>
      </c>
      <c r="Z1007" s="179">
        <v>0.0</v>
      </c>
      <c r="AA1007" s="179">
        <v>0.0</v>
      </c>
      <c r="AB1007" s="179">
        <v>0.0</v>
      </c>
      <c r="AC1007" s="179">
        <v>0.0</v>
      </c>
      <c r="AD1007" s="179">
        <v>0.0</v>
      </c>
      <c r="AE1007" s="179">
        <v>0.0</v>
      </c>
      <c r="AF1007" s="179">
        <v>0.0</v>
      </c>
      <c r="AG1007" s="179">
        <v>0.0</v>
      </c>
      <c r="AH1007" s="179">
        <v>0.0</v>
      </c>
      <c r="AI1007" s="179">
        <v>0.0</v>
      </c>
      <c r="AJ1007" s="179">
        <v>0.0</v>
      </c>
    </row>
    <row r="1008" ht="15.75" customHeight="1">
      <c r="A1008" s="65">
        <v>45689.0</v>
      </c>
      <c r="B1008" s="179" t="s">
        <v>779</v>
      </c>
      <c r="C1008" s="179" t="s">
        <v>834</v>
      </c>
      <c r="D1008" s="179" t="s">
        <v>781</v>
      </c>
      <c r="E1008" s="179" t="s">
        <v>459</v>
      </c>
      <c r="F1008" s="179" t="s">
        <v>774</v>
      </c>
      <c r="G1008" s="179" t="s">
        <v>775</v>
      </c>
      <c r="H1008" s="179" t="s">
        <v>1106</v>
      </c>
      <c r="I1008" s="179"/>
      <c r="J1008" s="179" t="s">
        <v>134</v>
      </c>
      <c r="K1008" s="179">
        <v>500.0</v>
      </c>
      <c r="L1008" s="179" t="s">
        <v>776</v>
      </c>
      <c r="M1008" s="179" t="s">
        <v>8</v>
      </c>
      <c r="N1008" s="179">
        <v>495.0</v>
      </c>
      <c r="O1008" s="179">
        <v>0.0</v>
      </c>
      <c r="P1008" s="179">
        <v>0.0</v>
      </c>
      <c r="Q1008" s="179">
        <v>0.0</v>
      </c>
      <c r="R1008" s="179">
        <v>0.0</v>
      </c>
      <c r="S1008" s="179">
        <v>0.0</v>
      </c>
      <c r="T1008" s="179">
        <v>0.0</v>
      </c>
      <c r="U1008" s="179">
        <v>0.0</v>
      </c>
      <c r="V1008" s="179">
        <v>0.0</v>
      </c>
      <c r="W1008" s="179">
        <v>0.0</v>
      </c>
      <c r="X1008" s="179">
        <v>0.0</v>
      </c>
      <c r="Y1008" s="179">
        <v>0.0</v>
      </c>
      <c r="Z1008" s="179">
        <v>0.0</v>
      </c>
      <c r="AA1008" s="179">
        <v>0.0</v>
      </c>
      <c r="AB1008" s="179">
        <v>0.0</v>
      </c>
      <c r="AC1008" s="179">
        <v>0.0</v>
      </c>
      <c r="AD1008" s="179">
        <v>0.0</v>
      </c>
      <c r="AE1008" s="179">
        <v>0.0</v>
      </c>
      <c r="AF1008" s="179">
        <v>0.0</v>
      </c>
      <c r="AG1008" s="179">
        <v>0.0</v>
      </c>
      <c r="AH1008" s="179">
        <v>0.0</v>
      </c>
      <c r="AI1008" s="179">
        <v>0.0</v>
      </c>
      <c r="AJ1008" s="179">
        <v>0.0</v>
      </c>
    </row>
    <row r="1009" ht="15.75" customHeight="1">
      <c r="A1009" s="65">
        <v>45689.0</v>
      </c>
      <c r="B1009" s="179" t="s">
        <v>771</v>
      </c>
      <c r="C1009" s="179" t="s">
        <v>912</v>
      </c>
      <c r="D1009" s="179" t="s">
        <v>773</v>
      </c>
      <c r="E1009" s="179" t="s">
        <v>459</v>
      </c>
      <c r="F1009" s="179" t="s">
        <v>774</v>
      </c>
      <c r="G1009" s="179" t="s">
        <v>775</v>
      </c>
      <c r="H1009" s="179" t="s">
        <v>1106</v>
      </c>
      <c r="I1009" s="179"/>
      <c r="J1009" s="179" t="s">
        <v>140</v>
      </c>
      <c r="K1009" s="179">
        <v>3000.0</v>
      </c>
      <c r="L1009" s="195">
        <v>0.0558</v>
      </c>
      <c r="M1009" s="179" t="s">
        <v>8</v>
      </c>
      <c r="N1009" s="179">
        <v>42521.0</v>
      </c>
      <c r="O1009" s="179">
        <v>59.0</v>
      </c>
      <c r="P1009" s="179">
        <v>0.0014</v>
      </c>
      <c r="Q1009" s="179">
        <v>2400.77</v>
      </c>
      <c r="R1009" s="179">
        <v>40.69</v>
      </c>
      <c r="S1009" s="179">
        <v>0.0</v>
      </c>
      <c r="T1009" s="179">
        <v>0.0</v>
      </c>
      <c r="U1009" s="179">
        <v>0.0</v>
      </c>
      <c r="V1009" s="179">
        <v>0.0</v>
      </c>
      <c r="W1009" s="179">
        <v>0.0</v>
      </c>
      <c r="X1009" s="179">
        <v>0.0</v>
      </c>
      <c r="Y1009" s="179">
        <v>0.0</v>
      </c>
      <c r="Z1009" s="179">
        <v>0.0</v>
      </c>
      <c r="AA1009" s="179">
        <v>0.0</v>
      </c>
      <c r="AB1009" s="179">
        <v>0.0</v>
      </c>
      <c r="AC1009" s="179">
        <v>0.0</v>
      </c>
      <c r="AD1009" s="179">
        <v>0.0</v>
      </c>
      <c r="AE1009" s="179">
        <v>0.0</v>
      </c>
      <c r="AF1009" s="179">
        <v>0.0</v>
      </c>
      <c r="AG1009" s="179">
        <v>0.0</v>
      </c>
      <c r="AH1009" s="179">
        <v>0.0</v>
      </c>
      <c r="AI1009" s="179">
        <v>0.0</v>
      </c>
      <c r="AJ1009" s="179">
        <v>0.0</v>
      </c>
    </row>
    <row r="1010" ht="15.75" customHeight="1">
      <c r="A1010" s="65">
        <v>45689.0</v>
      </c>
      <c r="B1010" s="179" t="s">
        <v>779</v>
      </c>
      <c r="C1010" s="179" t="s">
        <v>957</v>
      </c>
      <c r="D1010" s="179" t="s">
        <v>781</v>
      </c>
      <c r="E1010" s="179" t="s">
        <v>459</v>
      </c>
      <c r="F1010" s="179" t="s">
        <v>774</v>
      </c>
      <c r="G1010" s="179" t="s">
        <v>775</v>
      </c>
      <c r="H1010" s="179" t="s">
        <v>1106</v>
      </c>
      <c r="I1010" s="179"/>
      <c r="J1010" s="179" t="s">
        <v>140</v>
      </c>
      <c r="K1010" s="179">
        <v>3000.0</v>
      </c>
      <c r="L1010" s="179" t="s">
        <v>776</v>
      </c>
      <c r="M1010" s="179" t="s">
        <v>8</v>
      </c>
      <c r="N1010" s="179">
        <v>57129.0</v>
      </c>
      <c r="O1010" s="179">
        <v>152.0</v>
      </c>
      <c r="P1010" s="179">
        <v>0.0027</v>
      </c>
      <c r="Q1010" s="179">
        <v>6133.16</v>
      </c>
      <c r="R1010" s="179">
        <v>40.35</v>
      </c>
      <c r="S1010" s="179">
        <v>0.0</v>
      </c>
      <c r="T1010" s="179">
        <v>0.0</v>
      </c>
      <c r="U1010" s="179">
        <v>0.0</v>
      </c>
      <c r="V1010" s="179">
        <v>0.0</v>
      </c>
      <c r="W1010" s="179">
        <v>0.0</v>
      </c>
      <c r="X1010" s="179">
        <v>0.0</v>
      </c>
      <c r="Y1010" s="179">
        <v>0.0</v>
      </c>
      <c r="Z1010" s="179">
        <v>0.0</v>
      </c>
      <c r="AA1010" s="179">
        <v>0.0</v>
      </c>
      <c r="AB1010" s="179">
        <v>0.0</v>
      </c>
      <c r="AC1010" s="179">
        <v>0.0</v>
      </c>
      <c r="AD1010" s="179">
        <v>0.0</v>
      </c>
      <c r="AE1010" s="179">
        <v>0.0</v>
      </c>
      <c r="AF1010" s="179">
        <v>0.0</v>
      </c>
      <c r="AG1010" s="179">
        <v>0.0</v>
      </c>
      <c r="AH1010" s="179">
        <v>0.0</v>
      </c>
      <c r="AI1010" s="179">
        <v>0.0</v>
      </c>
      <c r="AJ1010" s="179">
        <v>0.0</v>
      </c>
    </row>
    <row r="1011" ht="15.75" customHeight="1">
      <c r="A1011" s="65">
        <v>45689.0</v>
      </c>
      <c r="B1011" s="179" t="s">
        <v>779</v>
      </c>
      <c r="C1011" s="179" t="s">
        <v>901</v>
      </c>
      <c r="D1011" s="179" t="s">
        <v>781</v>
      </c>
      <c r="E1011" s="179" t="s">
        <v>459</v>
      </c>
      <c r="F1011" s="179" t="s">
        <v>774</v>
      </c>
      <c r="G1011" s="179" t="s">
        <v>775</v>
      </c>
      <c r="H1011" s="179" t="s">
        <v>1106</v>
      </c>
      <c r="I1011" s="179"/>
      <c r="J1011" s="179" t="s">
        <v>134</v>
      </c>
      <c r="K1011" s="179">
        <v>1000.0</v>
      </c>
      <c r="L1011" s="179" t="s">
        <v>776</v>
      </c>
      <c r="M1011" s="179" t="s">
        <v>8</v>
      </c>
      <c r="N1011" s="179">
        <v>33.0</v>
      </c>
      <c r="O1011" s="179">
        <v>0.0</v>
      </c>
      <c r="P1011" s="179">
        <v>0.0</v>
      </c>
      <c r="Q1011" s="179">
        <v>0.0</v>
      </c>
      <c r="R1011" s="179">
        <v>0.0</v>
      </c>
      <c r="S1011" s="179">
        <v>0.0</v>
      </c>
      <c r="T1011" s="179">
        <v>0.0</v>
      </c>
      <c r="U1011" s="179">
        <v>0.0</v>
      </c>
      <c r="V1011" s="179">
        <v>0.0</v>
      </c>
      <c r="W1011" s="179">
        <v>0.0</v>
      </c>
      <c r="X1011" s="179">
        <v>0.0</v>
      </c>
      <c r="Y1011" s="179">
        <v>0.0</v>
      </c>
      <c r="Z1011" s="179">
        <v>0.0</v>
      </c>
      <c r="AA1011" s="179">
        <v>0.0</v>
      </c>
      <c r="AB1011" s="179">
        <v>0.0</v>
      </c>
      <c r="AC1011" s="179">
        <v>0.0</v>
      </c>
      <c r="AD1011" s="179">
        <v>0.0</v>
      </c>
      <c r="AE1011" s="179">
        <v>0.0</v>
      </c>
      <c r="AF1011" s="179">
        <v>0.0</v>
      </c>
      <c r="AG1011" s="179">
        <v>0.0</v>
      </c>
      <c r="AH1011" s="179">
        <v>0.0</v>
      </c>
      <c r="AI1011" s="179">
        <v>0.0</v>
      </c>
      <c r="AJ1011" s="179">
        <v>0.0</v>
      </c>
    </row>
    <row r="1012" ht="15.75" customHeight="1">
      <c r="A1012" s="65">
        <v>45689.0</v>
      </c>
      <c r="B1012" s="179" t="s">
        <v>779</v>
      </c>
      <c r="C1012" s="179" t="s">
        <v>902</v>
      </c>
      <c r="D1012" s="179" t="s">
        <v>781</v>
      </c>
      <c r="E1012" s="179" t="s">
        <v>459</v>
      </c>
      <c r="F1012" s="179" t="s">
        <v>774</v>
      </c>
      <c r="G1012" s="179" t="s">
        <v>775</v>
      </c>
      <c r="H1012" s="179" t="s">
        <v>1106</v>
      </c>
      <c r="I1012" s="179"/>
      <c r="J1012" s="179" t="s">
        <v>134</v>
      </c>
      <c r="K1012" s="179">
        <v>500.0</v>
      </c>
      <c r="L1012" s="195">
        <v>0.2923</v>
      </c>
      <c r="M1012" s="179" t="s">
        <v>8</v>
      </c>
      <c r="N1012" s="179">
        <v>1535.0</v>
      </c>
      <c r="O1012" s="179">
        <v>22.0</v>
      </c>
      <c r="P1012" s="179">
        <v>0.0143</v>
      </c>
      <c r="Q1012" s="179">
        <v>1203.76</v>
      </c>
      <c r="R1012" s="179">
        <v>54.72</v>
      </c>
      <c r="S1012" s="179">
        <v>0.0</v>
      </c>
      <c r="T1012" s="179">
        <v>0.0</v>
      </c>
      <c r="U1012" s="179">
        <v>0.0</v>
      </c>
      <c r="V1012" s="179">
        <v>0.0</v>
      </c>
      <c r="W1012" s="179">
        <v>0.0</v>
      </c>
      <c r="X1012" s="179">
        <v>0.0</v>
      </c>
      <c r="Y1012" s="179">
        <v>0.0</v>
      </c>
      <c r="Z1012" s="179">
        <v>0.0</v>
      </c>
      <c r="AA1012" s="179">
        <v>0.0</v>
      </c>
      <c r="AB1012" s="179">
        <v>0.0</v>
      </c>
      <c r="AC1012" s="179">
        <v>0.0</v>
      </c>
      <c r="AD1012" s="179">
        <v>0.0</v>
      </c>
      <c r="AE1012" s="179">
        <v>0.0</v>
      </c>
      <c r="AF1012" s="179">
        <v>0.0</v>
      </c>
      <c r="AG1012" s="179">
        <v>0.0</v>
      </c>
      <c r="AH1012" s="179">
        <v>0.0</v>
      </c>
      <c r="AI1012" s="179">
        <v>0.0</v>
      </c>
      <c r="AJ1012" s="179">
        <v>0.0</v>
      </c>
    </row>
    <row r="1013" ht="15.75" customHeight="1">
      <c r="A1013" s="65">
        <v>45689.0</v>
      </c>
      <c r="B1013" s="179" t="s">
        <v>779</v>
      </c>
      <c r="C1013" s="179" t="s">
        <v>900</v>
      </c>
      <c r="D1013" s="179" t="s">
        <v>781</v>
      </c>
      <c r="E1013" s="179" t="s">
        <v>459</v>
      </c>
      <c r="F1013" s="179" t="s">
        <v>774</v>
      </c>
      <c r="G1013" s="179" t="s">
        <v>775</v>
      </c>
      <c r="H1013" s="179" t="s">
        <v>1106</v>
      </c>
      <c r="I1013" s="179"/>
      <c r="J1013" s="179" t="s">
        <v>134</v>
      </c>
      <c r="K1013" s="179">
        <v>800.0</v>
      </c>
      <c r="L1013" s="179" t="s">
        <v>776</v>
      </c>
      <c r="M1013" s="179" t="s">
        <v>8</v>
      </c>
      <c r="N1013" s="179">
        <v>27173.0</v>
      </c>
      <c r="O1013" s="179">
        <v>34.0</v>
      </c>
      <c r="P1013" s="179">
        <v>0.0013</v>
      </c>
      <c r="Q1013" s="179">
        <v>1666.63</v>
      </c>
      <c r="R1013" s="179">
        <v>49.02</v>
      </c>
      <c r="S1013" s="179">
        <v>0.0</v>
      </c>
      <c r="T1013" s="179">
        <v>0.0</v>
      </c>
      <c r="U1013" s="179">
        <v>0.0</v>
      </c>
      <c r="V1013" s="179">
        <v>0.0</v>
      </c>
      <c r="W1013" s="179">
        <v>0.0</v>
      </c>
      <c r="X1013" s="179">
        <v>0.0</v>
      </c>
      <c r="Y1013" s="179">
        <v>0.0</v>
      </c>
      <c r="Z1013" s="179">
        <v>0.0</v>
      </c>
      <c r="AA1013" s="179">
        <v>0.0</v>
      </c>
      <c r="AB1013" s="179">
        <v>0.0</v>
      </c>
      <c r="AC1013" s="179">
        <v>0.0</v>
      </c>
      <c r="AD1013" s="179">
        <v>0.0</v>
      </c>
      <c r="AE1013" s="179">
        <v>0.0</v>
      </c>
      <c r="AF1013" s="179">
        <v>0.0</v>
      </c>
      <c r="AG1013" s="179">
        <v>0.0</v>
      </c>
      <c r="AH1013" s="179">
        <v>0.0</v>
      </c>
      <c r="AI1013" s="179">
        <v>0.0</v>
      </c>
      <c r="AJ1013" s="179">
        <v>0.0</v>
      </c>
    </row>
    <row r="1014" ht="15.75" customHeight="1">
      <c r="A1014" s="65">
        <v>45689.0</v>
      </c>
      <c r="B1014" s="179" t="s">
        <v>779</v>
      </c>
      <c r="C1014" s="179" t="s">
        <v>899</v>
      </c>
      <c r="D1014" s="179" t="s">
        <v>781</v>
      </c>
      <c r="E1014" s="179" t="s">
        <v>459</v>
      </c>
      <c r="F1014" s="179" t="s">
        <v>774</v>
      </c>
      <c r="G1014" s="179" t="s">
        <v>775</v>
      </c>
      <c r="H1014" s="179" t="s">
        <v>1106</v>
      </c>
      <c r="I1014" s="179"/>
      <c r="J1014" s="179" t="s">
        <v>134</v>
      </c>
      <c r="K1014" s="179">
        <v>800.0</v>
      </c>
      <c r="L1014" s="195">
        <v>0.3874</v>
      </c>
      <c r="M1014" s="179" t="s">
        <v>8</v>
      </c>
      <c r="N1014" s="179">
        <v>5875.0</v>
      </c>
      <c r="O1014" s="179">
        <v>20.0</v>
      </c>
      <c r="P1014" s="179">
        <v>0.0034</v>
      </c>
      <c r="Q1014" s="179">
        <v>910.58</v>
      </c>
      <c r="R1014" s="179">
        <v>45.53</v>
      </c>
      <c r="S1014" s="179">
        <v>0.0</v>
      </c>
      <c r="T1014" s="179">
        <v>0.0</v>
      </c>
      <c r="U1014" s="179">
        <v>0.0</v>
      </c>
      <c r="V1014" s="179">
        <v>0.0</v>
      </c>
      <c r="W1014" s="179">
        <v>0.0</v>
      </c>
      <c r="X1014" s="179">
        <v>0.0</v>
      </c>
      <c r="Y1014" s="179">
        <v>0.0</v>
      </c>
      <c r="Z1014" s="179">
        <v>0.0</v>
      </c>
      <c r="AA1014" s="179">
        <v>0.0</v>
      </c>
      <c r="AB1014" s="179">
        <v>0.0</v>
      </c>
      <c r="AC1014" s="179">
        <v>0.0</v>
      </c>
      <c r="AD1014" s="179">
        <v>0.0</v>
      </c>
      <c r="AE1014" s="179">
        <v>0.0</v>
      </c>
      <c r="AF1014" s="179">
        <v>0.0</v>
      </c>
      <c r="AG1014" s="179">
        <v>0.0</v>
      </c>
      <c r="AH1014" s="179">
        <v>0.0</v>
      </c>
      <c r="AI1014" s="179">
        <v>0.0</v>
      </c>
      <c r="AJ1014" s="179">
        <v>0.0</v>
      </c>
    </row>
    <row r="1015" ht="15.75" customHeight="1">
      <c r="A1015" s="65">
        <v>45689.0</v>
      </c>
      <c r="B1015" s="179" t="s">
        <v>779</v>
      </c>
      <c r="C1015" s="179" t="s">
        <v>904</v>
      </c>
      <c r="D1015" s="179" t="s">
        <v>781</v>
      </c>
      <c r="E1015" s="179" t="s">
        <v>459</v>
      </c>
      <c r="F1015" s="179" t="s">
        <v>774</v>
      </c>
      <c r="G1015" s="179" t="s">
        <v>775</v>
      </c>
      <c r="H1015" s="179" t="s">
        <v>1106</v>
      </c>
      <c r="I1015" s="179"/>
      <c r="J1015" s="179" t="s">
        <v>134</v>
      </c>
      <c r="K1015" s="179">
        <v>800.0</v>
      </c>
      <c r="L1015" s="195">
        <v>0.1342</v>
      </c>
      <c r="M1015" s="179" t="s">
        <v>8</v>
      </c>
      <c r="N1015" s="179">
        <v>32475.0</v>
      </c>
      <c r="O1015" s="179">
        <v>211.0</v>
      </c>
      <c r="P1015" s="179">
        <v>0.0065</v>
      </c>
      <c r="Q1015" s="179">
        <v>12765.77</v>
      </c>
      <c r="R1015" s="179">
        <v>60.5</v>
      </c>
      <c r="S1015" s="179">
        <v>0.0</v>
      </c>
      <c r="T1015" s="179">
        <v>0.0</v>
      </c>
      <c r="U1015" s="179">
        <v>0.0</v>
      </c>
      <c r="V1015" s="179">
        <v>0.0</v>
      </c>
      <c r="W1015" s="179">
        <v>0.0</v>
      </c>
      <c r="X1015" s="179">
        <v>0.0</v>
      </c>
      <c r="Y1015" s="179">
        <v>0.0</v>
      </c>
      <c r="Z1015" s="179">
        <v>0.0</v>
      </c>
      <c r="AA1015" s="179">
        <v>0.0</v>
      </c>
      <c r="AB1015" s="179">
        <v>0.0</v>
      </c>
      <c r="AC1015" s="179">
        <v>0.0</v>
      </c>
      <c r="AD1015" s="179">
        <v>0.0</v>
      </c>
      <c r="AE1015" s="179">
        <v>0.0</v>
      </c>
      <c r="AF1015" s="179">
        <v>0.0</v>
      </c>
      <c r="AG1015" s="179">
        <v>0.0</v>
      </c>
      <c r="AH1015" s="179">
        <v>0.0</v>
      </c>
      <c r="AI1015" s="179">
        <v>0.0</v>
      </c>
      <c r="AJ1015" s="179">
        <v>0.0</v>
      </c>
    </row>
    <row r="1016" ht="15.75" customHeight="1">
      <c r="A1016" s="65">
        <v>45689.0</v>
      </c>
      <c r="B1016" s="179" t="s">
        <v>771</v>
      </c>
      <c r="C1016" s="179" t="s">
        <v>875</v>
      </c>
      <c r="D1016" s="179" t="s">
        <v>773</v>
      </c>
      <c r="E1016" s="179" t="s">
        <v>460</v>
      </c>
      <c r="F1016" s="179" t="s">
        <v>778</v>
      </c>
      <c r="G1016" s="179" t="s">
        <v>775</v>
      </c>
      <c r="H1016" s="179" t="s">
        <v>1106</v>
      </c>
      <c r="I1016" s="179"/>
      <c r="J1016" s="179" t="s">
        <v>182</v>
      </c>
      <c r="K1016" s="179">
        <v>135.0</v>
      </c>
      <c r="L1016" s="179" t="s">
        <v>776</v>
      </c>
      <c r="M1016" s="179" t="s">
        <v>8</v>
      </c>
      <c r="N1016" s="179">
        <v>69064.0</v>
      </c>
      <c r="O1016" s="179">
        <v>64.0</v>
      </c>
      <c r="P1016" s="179">
        <v>9.0E-4</v>
      </c>
      <c r="Q1016" s="179">
        <v>920.94</v>
      </c>
      <c r="R1016" s="179">
        <v>14.39</v>
      </c>
      <c r="S1016" s="179">
        <v>0.0</v>
      </c>
      <c r="T1016" s="179">
        <v>0.0</v>
      </c>
      <c r="U1016" s="179">
        <v>0.0</v>
      </c>
      <c r="V1016" s="179">
        <v>0.0</v>
      </c>
      <c r="W1016" s="179">
        <v>0.0</v>
      </c>
      <c r="X1016" s="179">
        <v>0.0</v>
      </c>
      <c r="Y1016" s="179">
        <v>0.0</v>
      </c>
      <c r="Z1016" s="179">
        <v>0.0</v>
      </c>
      <c r="AA1016" s="179">
        <v>0.0</v>
      </c>
      <c r="AB1016" s="179">
        <v>0.0</v>
      </c>
      <c r="AC1016" s="179">
        <v>0.0</v>
      </c>
      <c r="AD1016" s="179">
        <v>0.0</v>
      </c>
      <c r="AE1016" s="179">
        <v>0.0</v>
      </c>
      <c r="AF1016" s="179">
        <v>0.0</v>
      </c>
      <c r="AG1016" s="179">
        <v>0.0</v>
      </c>
      <c r="AH1016" s="179">
        <v>0.0</v>
      </c>
      <c r="AI1016" s="179">
        <v>0.0</v>
      </c>
      <c r="AJ1016" s="179">
        <v>0.0</v>
      </c>
    </row>
    <row r="1017" ht="15.75" customHeight="1">
      <c r="A1017" s="65">
        <v>45689.0</v>
      </c>
      <c r="B1017" s="179" t="s">
        <v>779</v>
      </c>
      <c r="C1017" s="179" t="s">
        <v>895</v>
      </c>
      <c r="D1017" s="179" t="s">
        <v>781</v>
      </c>
      <c r="E1017" s="179" t="s">
        <v>459</v>
      </c>
      <c r="F1017" s="179" t="s">
        <v>774</v>
      </c>
      <c r="G1017" s="179" t="s">
        <v>775</v>
      </c>
      <c r="H1017" s="179" t="s">
        <v>1106</v>
      </c>
      <c r="I1017" s="179"/>
      <c r="J1017" s="179" t="s">
        <v>134</v>
      </c>
      <c r="K1017" s="179">
        <v>1550.0</v>
      </c>
      <c r="L1017" s="179" t="s">
        <v>776</v>
      </c>
      <c r="M1017" s="179" t="s">
        <v>8</v>
      </c>
      <c r="N1017" s="179">
        <v>3195.0</v>
      </c>
      <c r="O1017" s="179">
        <v>6.0</v>
      </c>
      <c r="P1017" s="179">
        <v>0.0019</v>
      </c>
      <c r="Q1017" s="179">
        <v>157.83</v>
      </c>
      <c r="R1017" s="179">
        <v>26.3</v>
      </c>
      <c r="S1017" s="179">
        <v>0.0</v>
      </c>
      <c r="T1017" s="179">
        <v>0.0</v>
      </c>
      <c r="U1017" s="179">
        <v>0.0</v>
      </c>
      <c r="V1017" s="179">
        <v>0.0</v>
      </c>
      <c r="W1017" s="179">
        <v>0.0</v>
      </c>
      <c r="X1017" s="179">
        <v>0.0</v>
      </c>
      <c r="Y1017" s="179">
        <v>0.0</v>
      </c>
      <c r="Z1017" s="179">
        <v>0.0</v>
      </c>
      <c r="AA1017" s="179">
        <v>0.0</v>
      </c>
      <c r="AB1017" s="179">
        <v>0.0</v>
      </c>
      <c r="AC1017" s="179">
        <v>0.0</v>
      </c>
      <c r="AD1017" s="179">
        <v>0.0</v>
      </c>
      <c r="AE1017" s="179">
        <v>0.0</v>
      </c>
      <c r="AF1017" s="179">
        <v>0.0</v>
      </c>
      <c r="AG1017" s="179">
        <v>0.0</v>
      </c>
      <c r="AH1017" s="179">
        <v>0.0</v>
      </c>
      <c r="AI1017" s="179">
        <v>0.0</v>
      </c>
      <c r="AJ1017" s="179">
        <v>0.0</v>
      </c>
    </row>
    <row r="1018" ht="15.75" customHeight="1">
      <c r="A1018" s="65">
        <v>45689.0</v>
      </c>
      <c r="B1018" s="179" t="s">
        <v>771</v>
      </c>
      <c r="C1018" s="179" t="s">
        <v>959</v>
      </c>
      <c r="D1018" s="179" t="s">
        <v>773</v>
      </c>
      <c r="E1018" s="179" t="s">
        <v>459</v>
      </c>
      <c r="F1018" s="179" t="s">
        <v>774</v>
      </c>
      <c r="G1018" s="179" t="s">
        <v>775</v>
      </c>
      <c r="H1018" s="179" t="s">
        <v>1106</v>
      </c>
      <c r="I1018" s="179"/>
      <c r="J1018" s="179" t="s">
        <v>140</v>
      </c>
      <c r="K1018" s="179">
        <v>3000.0</v>
      </c>
      <c r="L1018" s="195">
        <v>0.2141</v>
      </c>
      <c r="M1018" s="179" t="s">
        <v>8</v>
      </c>
      <c r="N1018" s="179">
        <v>4346.0</v>
      </c>
      <c r="O1018" s="179">
        <v>14.0</v>
      </c>
      <c r="P1018" s="179">
        <v>0.0032</v>
      </c>
      <c r="Q1018" s="179">
        <v>857.52</v>
      </c>
      <c r="R1018" s="179">
        <v>61.25</v>
      </c>
      <c r="S1018" s="179">
        <v>0.0</v>
      </c>
      <c r="T1018" s="179">
        <v>0.0</v>
      </c>
      <c r="U1018" s="179">
        <v>0.0</v>
      </c>
      <c r="V1018" s="179">
        <v>0.0</v>
      </c>
      <c r="W1018" s="179">
        <v>0.0</v>
      </c>
      <c r="X1018" s="179">
        <v>0.0</v>
      </c>
      <c r="Y1018" s="179">
        <v>0.0</v>
      </c>
      <c r="Z1018" s="179">
        <v>0.0</v>
      </c>
      <c r="AA1018" s="179">
        <v>0.0</v>
      </c>
      <c r="AB1018" s="179">
        <v>0.0</v>
      </c>
      <c r="AC1018" s="179">
        <v>0.0</v>
      </c>
      <c r="AD1018" s="179">
        <v>0.0</v>
      </c>
      <c r="AE1018" s="179">
        <v>0.0</v>
      </c>
      <c r="AF1018" s="179">
        <v>0.0</v>
      </c>
      <c r="AG1018" s="179">
        <v>0.0</v>
      </c>
      <c r="AH1018" s="179">
        <v>0.0</v>
      </c>
      <c r="AI1018" s="179">
        <v>0.0</v>
      </c>
      <c r="AJ1018" s="179">
        <v>0.0</v>
      </c>
    </row>
    <row r="1019" ht="15.75" customHeight="1">
      <c r="A1019" s="65">
        <v>45689.0</v>
      </c>
      <c r="B1019" s="179" t="s">
        <v>779</v>
      </c>
      <c r="C1019" s="179" t="s">
        <v>921</v>
      </c>
      <c r="D1019" s="179" t="s">
        <v>781</v>
      </c>
      <c r="E1019" s="179" t="s">
        <v>459</v>
      </c>
      <c r="F1019" s="179" t="s">
        <v>774</v>
      </c>
      <c r="G1019" s="179" t="s">
        <v>775</v>
      </c>
      <c r="H1019" s="179" t="s">
        <v>1106</v>
      </c>
      <c r="I1019" s="179"/>
      <c r="J1019" s="179" t="s">
        <v>205</v>
      </c>
      <c r="K1019" s="179">
        <v>500.0</v>
      </c>
      <c r="L1019" s="179" t="s">
        <v>776</v>
      </c>
      <c r="M1019" s="179" t="s">
        <v>8</v>
      </c>
      <c r="N1019" s="179">
        <v>1214.0</v>
      </c>
      <c r="O1019" s="179">
        <v>2.0</v>
      </c>
      <c r="P1019" s="179">
        <v>0.0016</v>
      </c>
      <c r="Q1019" s="179">
        <v>83.32</v>
      </c>
      <c r="R1019" s="179">
        <v>41.66</v>
      </c>
      <c r="S1019" s="179">
        <v>0.0</v>
      </c>
      <c r="T1019" s="179">
        <v>0.0</v>
      </c>
      <c r="U1019" s="179">
        <v>0.0</v>
      </c>
      <c r="V1019" s="179">
        <v>0.0</v>
      </c>
      <c r="W1019" s="179">
        <v>0.0</v>
      </c>
      <c r="X1019" s="179">
        <v>0.0</v>
      </c>
      <c r="Y1019" s="179">
        <v>0.0</v>
      </c>
      <c r="Z1019" s="179">
        <v>0.0</v>
      </c>
      <c r="AA1019" s="179">
        <v>0.0</v>
      </c>
      <c r="AB1019" s="179">
        <v>0.0</v>
      </c>
      <c r="AC1019" s="179">
        <v>0.0</v>
      </c>
      <c r="AD1019" s="179">
        <v>0.0</v>
      </c>
      <c r="AE1019" s="179">
        <v>0.0</v>
      </c>
      <c r="AF1019" s="179">
        <v>0.0</v>
      </c>
      <c r="AG1019" s="179">
        <v>0.0</v>
      </c>
      <c r="AH1019" s="179">
        <v>0.0</v>
      </c>
      <c r="AI1019" s="179">
        <v>0.0</v>
      </c>
      <c r="AJ1019" s="179">
        <v>0.0</v>
      </c>
    </row>
    <row r="1020" ht="15.75" customHeight="1">
      <c r="A1020" s="65">
        <v>45689.0</v>
      </c>
      <c r="B1020" s="179" t="s">
        <v>779</v>
      </c>
      <c r="C1020" s="179" t="s">
        <v>935</v>
      </c>
      <c r="D1020" s="179" t="s">
        <v>781</v>
      </c>
      <c r="E1020" s="179" t="s">
        <v>459</v>
      </c>
      <c r="F1020" s="179" t="s">
        <v>774</v>
      </c>
      <c r="G1020" s="179" t="s">
        <v>775</v>
      </c>
      <c r="H1020" s="179" t="s">
        <v>1106</v>
      </c>
      <c r="I1020" s="179"/>
      <c r="J1020" s="179" t="s">
        <v>205</v>
      </c>
      <c r="K1020" s="179">
        <v>405.0</v>
      </c>
      <c r="L1020" s="195">
        <v>0.1685</v>
      </c>
      <c r="M1020" s="179" t="s">
        <v>8</v>
      </c>
      <c r="N1020" s="179">
        <v>29500.0</v>
      </c>
      <c r="O1020" s="179">
        <v>49.0</v>
      </c>
      <c r="P1020" s="179">
        <v>0.0017</v>
      </c>
      <c r="Q1020" s="179">
        <v>2078.69</v>
      </c>
      <c r="R1020" s="179">
        <v>42.42</v>
      </c>
      <c r="S1020" s="179">
        <v>0.0</v>
      </c>
      <c r="T1020" s="179">
        <v>0.0</v>
      </c>
      <c r="U1020" s="179">
        <v>0.0</v>
      </c>
      <c r="V1020" s="179">
        <v>0.0</v>
      </c>
      <c r="W1020" s="179">
        <v>0.0</v>
      </c>
      <c r="X1020" s="179">
        <v>0.0</v>
      </c>
      <c r="Y1020" s="179">
        <v>0.0</v>
      </c>
      <c r="Z1020" s="179">
        <v>0.0</v>
      </c>
      <c r="AA1020" s="179">
        <v>0.0</v>
      </c>
      <c r="AB1020" s="179">
        <v>0.0</v>
      </c>
      <c r="AC1020" s="179">
        <v>0.0</v>
      </c>
      <c r="AD1020" s="179">
        <v>0.0</v>
      </c>
      <c r="AE1020" s="179">
        <v>0.0</v>
      </c>
      <c r="AF1020" s="179">
        <v>0.0</v>
      </c>
      <c r="AG1020" s="179">
        <v>0.0</v>
      </c>
      <c r="AH1020" s="179">
        <v>0.0</v>
      </c>
      <c r="AI1020" s="179">
        <v>0.0</v>
      </c>
      <c r="AJ1020" s="179">
        <v>0.0</v>
      </c>
    </row>
    <row r="1021" ht="15.75" customHeight="1">
      <c r="A1021" s="65">
        <v>45689.0</v>
      </c>
      <c r="B1021" s="179" t="s">
        <v>771</v>
      </c>
      <c r="C1021" s="179" t="s">
        <v>938</v>
      </c>
      <c r="D1021" s="179" t="s">
        <v>773</v>
      </c>
      <c r="E1021" s="179" t="s">
        <v>459</v>
      </c>
      <c r="F1021" s="179" t="s">
        <v>774</v>
      </c>
      <c r="G1021" s="179" t="s">
        <v>775</v>
      </c>
      <c r="H1021" s="179" t="s">
        <v>1106</v>
      </c>
      <c r="I1021" s="179"/>
      <c r="J1021" s="179" t="s">
        <v>128</v>
      </c>
      <c r="K1021" s="179">
        <v>1000.0</v>
      </c>
      <c r="L1021" s="195">
        <v>0.6911</v>
      </c>
      <c r="M1021" s="179" t="s">
        <v>8</v>
      </c>
      <c r="N1021" s="179">
        <v>762.0</v>
      </c>
      <c r="O1021" s="179">
        <v>31.0</v>
      </c>
      <c r="P1021" s="179">
        <v>0.0407</v>
      </c>
      <c r="Q1021" s="179">
        <v>1200.81</v>
      </c>
      <c r="R1021" s="179">
        <v>38.74</v>
      </c>
      <c r="S1021" s="179">
        <v>0.0</v>
      </c>
      <c r="T1021" s="179">
        <v>0.0</v>
      </c>
      <c r="U1021" s="179">
        <v>0.0</v>
      </c>
      <c r="V1021" s="179">
        <v>0.0</v>
      </c>
      <c r="W1021" s="179">
        <v>0.0</v>
      </c>
      <c r="X1021" s="179">
        <v>0.0</v>
      </c>
      <c r="Y1021" s="179">
        <v>0.0</v>
      </c>
      <c r="Z1021" s="179">
        <v>0.0</v>
      </c>
      <c r="AA1021" s="179">
        <v>0.0</v>
      </c>
      <c r="AB1021" s="179">
        <v>0.0</v>
      </c>
      <c r="AC1021" s="179">
        <v>0.0</v>
      </c>
      <c r="AD1021" s="179">
        <v>0.0</v>
      </c>
      <c r="AE1021" s="179">
        <v>0.0</v>
      </c>
      <c r="AF1021" s="179">
        <v>0.0</v>
      </c>
      <c r="AG1021" s="179">
        <v>0.0</v>
      </c>
      <c r="AH1021" s="179">
        <v>0.0</v>
      </c>
      <c r="AI1021" s="179">
        <v>0.0</v>
      </c>
      <c r="AJ1021" s="179">
        <v>0.0</v>
      </c>
    </row>
    <row r="1022" ht="15.75" customHeight="1">
      <c r="A1022" s="65">
        <v>45689.0</v>
      </c>
      <c r="B1022" s="179" t="s">
        <v>779</v>
      </c>
      <c r="C1022" s="179" t="s">
        <v>954</v>
      </c>
      <c r="D1022" s="179" t="s">
        <v>781</v>
      </c>
      <c r="E1022" s="179" t="s">
        <v>459</v>
      </c>
      <c r="F1022" s="179" t="s">
        <v>774</v>
      </c>
      <c r="G1022" s="179" t="s">
        <v>775</v>
      </c>
      <c r="H1022" s="179" t="s">
        <v>1106</v>
      </c>
      <c r="I1022" s="179"/>
      <c r="J1022" s="179" t="s">
        <v>134</v>
      </c>
      <c r="K1022" s="179">
        <v>800.0</v>
      </c>
      <c r="L1022" s="179" t="s">
        <v>776</v>
      </c>
      <c r="M1022" s="179" t="s">
        <v>8</v>
      </c>
      <c r="N1022" s="179">
        <v>13225.0</v>
      </c>
      <c r="O1022" s="179">
        <v>14.0</v>
      </c>
      <c r="P1022" s="179">
        <v>0.0011</v>
      </c>
      <c r="Q1022" s="179">
        <v>774.09</v>
      </c>
      <c r="R1022" s="179">
        <v>55.29</v>
      </c>
      <c r="S1022" s="179">
        <v>0.0</v>
      </c>
      <c r="T1022" s="179">
        <v>0.0</v>
      </c>
      <c r="U1022" s="179">
        <v>0.0</v>
      </c>
      <c r="V1022" s="179">
        <v>0.0</v>
      </c>
      <c r="W1022" s="179">
        <v>0.0</v>
      </c>
      <c r="X1022" s="179">
        <v>0.0</v>
      </c>
      <c r="Y1022" s="179">
        <v>0.0</v>
      </c>
      <c r="Z1022" s="179">
        <v>0.0</v>
      </c>
      <c r="AA1022" s="179">
        <v>0.0</v>
      </c>
      <c r="AB1022" s="179">
        <v>0.0</v>
      </c>
      <c r="AC1022" s="179">
        <v>0.0</v>
      </c>
      <c r="AD1022" s="179">
        <v>0.0</v>
      </c>
      <c r="AE1022" s="179">
        <v>0.0</v>
      </c>
      <c r="AF1022" s="179">
        <v>0.0</v>
      </c>
      <c r="AG1022" s="179">
        <v>0.0</v>
      </c>
      <c r="AH1022" s="179">
        <v>0.0</v>
      </c>
      <c r="AI1022" s="179">
        <v>0.0</v>
      </c>
      <c r="AJ1022" s="179">
        <v>0.0</v>
      </c>
    </row>
    <row r="1023" ht="15.75" customHeight="1">
      <c r="A1023" s="65">
        <v>45689.0</v>
      </c>
      <c r="B1023" s="179" t="s">
        <v>779</v>
      </c>
      <c r="C1023" s="179" t="s">
        <v>971</v>
      </c>
      <c r="D1023" s="179" t="s">
        <v>781</v>
      </c>
      <c r="E1023" s="179" t="s">
        <v>459</v>
      </c>
      <c r="F1023" s="179" t="s">
        <v>774</v>
      </c>
      <c r="G1023" s="179" t="s">
        <v>775</v>
      </c>
      <c r="H1023" s="179" t="s">
        <v>1106</v>
      </c>
      <c r="I1023" s="179"/>
      <c r="J1023" s="179" t="s">
        <v>90</v>
      </c>
      <c r="K1023" s="179">
        <v>3000.0</v>
      </c>
      <c r="L1023" s="179" t="s">
        <v>776</v>
      </c>
      <c r="M1023" s="179" t="s">
        <v>8</v>
      </c>
      <c r="N1023" s="179">
        <v>14891.0</v>
      </c>
      <c r="O1023" s="179">
        <v>24.0</v>
      </c>
      <c r="P1023" s="179">
        <v>0.0016</v>
      </c>
      <c r="Q1023" s="179">
        <v>954.3</v>
      </c>
      <c r="R1023" s="179">
        <v>39.76</v>
      </c>
      <c r="S1023" s="179">
        <v>0.0</v>
      </c>
      <c r="T1023" s="179">
        <v>0.0</v>
      </c>
      <c r="U1023" s="179">
        <v>0.0</v>
      </c>
      <c r="V1023" s="179">
        <v>0.0</v>
      </c>
      <c r="W1023" s="179">
        <v>0.0</v>
      </c>
      <c r="X1023" s="179">
        <v>0.0</v>
      </c>
      <c r="Y1023" s="179">
        <v>0.0</v>
      </c>
      <c r="Z1023" s="179">
        <v>0.0</v>
      </c>
      <c r="AA1023" s="179">
        <v>0.0</v>
      </c>
      <c r="AB1023" s="179">
        <v>0.0</v>
      </c>
      <c r="AC1023" s="179">
        <v>0.0</v>
      </c>
      <c r="AD1023" s="179">
        <v>0.0</v>
      </c>
      <c r="AE1023" s="179">
        <v>0.0</v>
      </c>
      <c r="AF1023" s="179">
        <v>0.0</v>
      </c>
      <c r="AG1023" s="179">
        <v>0.0</v>
      </c>
      <c r="AH1023" s="179">
        <v>0.0</v>
      </c>
      <c r="AI1023" s="179">
        <v>0.0</v>
      </c>
      <c r="AJ1023" s="179">
        <v>0.0</v>
      </c>
    </row>
    <row r="1024" ht="15.75" customHeight="1">
      <c r="A1024" s="65">
        <v>45689.0</v>
      </c>
      <c r="B1024" s="179" t="s">
        <v>779</v>
      </c>
      <c r="C1024" s="179" t="s">
        <v>1025</v>
      </c>
      <c r="D1024" s="179" t="s">
        <v>781</v>
      </c>
      <c r="E1024" s="179" t="s">
        <v>459</v>
      </c>
      <c r="F1024" s="179" t="s">
        <v>774</v>
      </c>
      <c r="G1024" s="179" t="s">
        <v>775</v>
      </c>
      <c r="H1024" s="179" t="s">
        <v>1106</v>
      </c>
      <c r="I1024" s="179"/>
      <c r="J1024" s="179" t="s">
        <v>134</v>
      </c>
      <c r="K1024" s="179">
        <v>1000.0</v>
      </c>
      <c r="L1024" s="195">
        <v>0.0833</v>
      </c>
      <c r="M1024" s="179" t="s">
        <v>8</v>
      </c>
      <c r="N1024" s="179">
        <v>14.0</v>
      </c>
      <c r="O1024" s="179">
        <v>0.0</v>
      </c>
      <c r="P1024" s="179">
        <v>0.0</v>
      </c>
      <c r="Q1024" s="179">
        <v>0.0</v>
      </c>
      <c r="R1024" s="179">
        <v>0.0</v>
      </c>
      <c r="S1024" s="179">
        <v>0.0</v>
      </c>
      <c r="T1024" s="179">
        <v>0.0</v>
      </c>
      <c r="U1024" s="179">
        <v>0.0</v>
      </c>
      <c r="V1024" s="179">
        <v>0.0</v>
      </c>
      <c r="W1024" s="179">
        <v>0.0</v>
      </c>
      <c r="X1024" s="179">
        <v>0.0</v>
      </c>
      <c r="Y1024" s="179">
        <v>0.0</v>
      </c>
      <c r="Z1024" s="179">
        <v>0.0</v>
      </c>
      <c r="AA1024" s="179">
        <v>0.0</v>
      </c>
      <c r="AB1024" s="179">
        <v>0.0</v>
      </c>
      <c r="AC1024" s="179">
        <v>0.0</v>
      </c>
      <c r="AD1024" s="179">
        <v>0.0</v>
      </c>
      <c r="AE1024" s="179">
        <v>0.0</v>
      </c>
      <c r="AF1024" s="179">
        <v>0.0</v>
      </c>
      <c r="AG1024" s="179">
        <v>0.0</v>
      </c>
      <c r="AH1024" s="179">
        <v>0.0</v>
      </c>
      <c r="AI1024" s="179">
        <v>0.0</v>
      </c>
      <c r="AJ1024" s="179">
        <v>0.0</v>
      </c>
    </row>
    <row r="1025" ht="15.75" customHeight="1">
      <c r="A1025" s="65">
        <v>45689.0</v>
      </c>
      <c r="B1025" s="179" t="s">
        <v>771</v>
      </c>
      <c r="C1025" s="179" t="s">
        <v>1018</v>
      </c>
      <c r="D1025" s="179" t="s">
        <v>773</v>
      </c>
      <c r="E1025" s="179" t="s">
        <v>459</v>
      </c>
      <c r="F1025" s="179" t="s">
        <v>774</v>
      </c>
      <c r="G1025" s="179" t="s">
        <v>775</v>
      </c>
      <c r="H1025" s="179" t="s">
        <v>1106</v>
      </c>
      <c r="I1025" s="179"/>
      <c r="J1025" s="179" t="s">
        <v>182</v>
      </c>
      <c r="K1025" s="179">
        <v>3000.0</v>
      </c>
      <c r="L1025" s="195">
        <v>0.0506</v>
      </c>
      <c r="M1025" s="179" t="s">
        <v>8</v>
      </c>
      <c r="N1025" s="179">
        <v>74952.0</v>
      </c>
      <c r="O1025" s="179">
        <v>131.0</v>
      </c>
      <c r="P1025" s="179">
        <v>0.0017</v>
      </c>
      <c r="Q1025" s="179">
        <v>5137.2</v>
      </c>
      <c r="R1025" s="179">
        <v>39.22</v>
      </c>
      <c r="S1025" s="179">
        <v>0.0</v>
      </c>
      <c r="T1025" s="179">
        <v>0.0</v>
      </c>
      <c r="U1025" s="179">
        <v>0.0</v>
      </c>
      <c r="V1025" s="179">
        <v>0.0</v>
      </c>
      <c r="W1025" s="179">
        <v>0.0</v>
      </c>
      <c r="X1025" s="179">
        <v>0.0</v>
      </c>
      <c r="Y1025" s="179">
        <v>0.0</v>
      </c>
      <c r="Z1025" s="179">
        <v>0.0</v>
      </c>
      <c r="AA1025" s="179">
        <v>0.0</v>
      </c>
      <c r="AB1025" s="179">
        <v>0.0</v>
      </c>
      <c r="AC1025" s="179">
        <v>0.0</v>
      </c>
      <c r="AD1025" s="179">
        <v>0.0</v>
      </c>
      <c r="AE1025" s="179">
        <v>0.0</v>
      </c>
      <c r="AF1025" s="179">
        <v>0.0</v>
      </c>
      <c r="AG1025" s="179">
        <v>0.0</v>
      </c>
      <c r="AH1025" s="179">
        <v>0.0</v>
      </c>
      <c r="AI1025" s="179">
        <v>0.0</v>
      </c>
      <c r="AJ1025" s="179">
        <v>0.0</v>
      </c>
    </row>
    <row r="1026" ht="15.75" customHeight="1">
      <c r="A1026" s="65">
        <v>45689.0</v>
      </c>
      <c r="B1026" s="179" t="s">
        <v>779</v>
      </c>
      <c r="C1026" s="179" t="s">
        <v>1031</v>
      </c>
      <c r="D1026" s="179" t="s">
        <v>781</v>
      </c>
      <c r="E1026" s="179" t="s">
        <v>459</v>
      </c>
      <c r="F1026" s="179" t="s">
        <v>774</v>
      </c>
      <c r="G1026" s="179" t="s">
        <v>775</v>
      </c>
      <c r="H1026" s="179" t="s">
        <v>1106</v>
      </c>
      <c r="I1026" s="179"/>
      <c r="J1026" s="179" t="s">
        <v>134</v>
      </c>
      <c r="K1026" s="179">
        <v>800.0</v>
      </c>
      <c r="L1026" s="179" t="s">
        <v>776</v>
      </c>
      <c r="M1026" s="179" t="s">
        <v>8</v>
      </c>
      <c r="N1026" s="179">
        <v>6543.0</v>
      </c>
      <c r="O1026" s="179">
        <v>12.0</v>
      </c>
      <c r="P1026" s="179">
        <v>0.0018</v>
      </c>
      <c r="Q1026" s="179">
        <v>376.79</v>
      </c>
      <c r="R1026" s="179">
        <v>31.4</v>
      </c>
      <c r="S1026" s="179">
        <v>0.0</v>
      </c>
      <c r="T1026" s="179">
        <v>0.0</v>
      </c>
      <c r="U1026" s="179">
        <v>0.0</v>
      </c>
      <c r="V1026" s="179">
        <v>0.0</v>
      </c>
      <c r="W1026" s="179">
        <v>0.0</v>
      </c>
      <c r="X1026" s="179">
        <v>0.0</v>
      </c>
      <c r="Y1026" s="179">
        <v>0.0</v>
      </c>
      <c r="Z1026" s="179">
        <v>0.0</v>
      </c>
      <c r="AA1026" s="179">
        <v>0.0</v>
      </c>
      <c r="AB1026" s="179">
        <v>0.0</v>
      </c>
      <c r="AC1026" s="179">
        <v>0.0</v>
      </c>
      <c r="AD1026" s="179">
        <v>0.0</v>
      </c>
      <c r="AE1026" s="179">
        <v>0.0</v>
      </c>
      <c r="AF1026" s="179">
        <v>0.0</v>
      </c>
      <c r="AG1026" s="179">
        <v>0.0</v>
      </c>
      <c r="AH1026" s="179">
        <v>0.0</v>
      </c>
      <c r="AI1026" s="179">
        <v>0.0</v>
      </c>
      <c r="AJ1026" s="179">
        <v>0.0</v>
      </c>
    </row>
    <row r="1027" ht="15.75" customHeight="1">
      <c r="A1027" s="65">
        <v>45689.0</v>
      </c>
      <c r="B1027" s="179" t="s">
        <v>779</v>
      </c>
      <c r="C1027" s="179" t="s">
        <v>1002</v>
      </c>
      <c r="D1027" s="179" t="s">
        <v>781</v>
      </c>
      <c r="E1027" s="179" t="s">
        <v>459</v>
      </c>
      <c r="F1027" s="179" t="s">
        <v>774</v>
      </c>
      <c r="G1027" s="179" t="s">
        <v>775</v>
      </c>
      <c r="H1027" s="179" t="s">
        <v>1106</v>
      </c>
      <c r="I1027" s="179"/>
      <c r="J1027" s="179" t="s">
        <v>217</v>
      </c>
      <c r="K1027" s="179">
        <v>200.0</v>
      </c>
      <c r="L1027" s="195">
        <v>0.1107</v>
      </c>
      <c r="M1027" s="179" t="s">
        <v>8</v>
      </c>
      <c r="N1027" s="179">
        <v>1685.0</v>
      </c>
      <c r="O1027" s="179">
        <v>13.0</v>
      </c>
      <c r="P1027" s="179">
        <v>0.0077</v>
      </c>
      <c r="Q1027" s="179">
        <v>103.21</v>
      </c>
      <c r="R1027" s="179">
        <v>7.94</v>
      </c>
      <c r="S1027" s="179">
        <v>0.0</v>
      </c>
      <c r="T1027" s="179">
        <v>0.0</v>
      </c>
      <c r="U1027" s="179">
        <v>0.0</v>
      </c>
      <c r="V1027" s="179">
        <v>0.0</v>
      </c>
      <c r="W1027" s="179">
        <v>0.0</v>
      </c>
      <c r="X1027" s="179">
        <v>0.0</v>
      </c>
      <c r="Y1027" s="179">
        <v>0.0</v>
      </c>
      <c r="Z1027" s="179">
        <v>0.0</v>
      </c>
      <c r="AA1027" s="179">
        <v>0.0</v>
      </c>
      <c r="AB1027" s="179">
        <v>0.0</v>
      </c>
      <c r="AC1027" s="179">
        <v>0.0</v>
      </c>
      <c r="AD1027" s="179">
        <v>0.0</v>
      </c>
      <c r="AE1027" s="179">
        <v>0.0</v>
      </c>
      <c r="AF1027" s="179">
        <v>0.0</v>
      </c>
      <c r="AG1027" s="179">
        <v>0.0</v>
      </c>
      <c r="AH1027" s="179">
        <v>0.0</v>
      </c>
      <c r="AI1027" s="179">
        <v>0.0</v>
      </c>
      <c r="AJ1027" s="179">
        <v>0.0</v>
      </c>
    </row>
    <row r="1028" ht="15.75" customHeight="1">
      <c r="A1028" s="65">
        <v>45689.0</v>
      </c>
      <c r="B1028" s="179" t="s">
        <v>771</v>
      </c>
      <c r="C1028" s="179" t="s">
        <v>1141</v>
      </c>
      <c r="D1028" s="179" t="s">
        <v>773</v>
      </c>
      <c r="E1028" s="179" t="s">
        <v>459</v>
      </c>
      <c r="F1028" s="179" t="s">
        <v>774</v>
      </c>
      <c r="G1028" s="179" t="s">
        <v>775</v>
      </c>
      <c r="H1028" s="179" t="s">
        <v>1106</v>
      </c>
      <c r="I1028" s="179"/>
      <c r="J1028" s="179" t="s">
        <v>158</v>
      </c>
      <c r="K1028" s="179">
        <v>700.0</v>
      </c>
      <c r="L1028" s="195">
        <v>0.0865</v>
      </c>
      <c r="M1028" s="179" t="s">
        <v>8</v>
      </c>
      <c r="N1028" s="179">
        <v>717.0</v>
      </c>
      <c r="O1028" s="179">
        <v>4.0</v>
      </c>
      <c r="P1028" s="179">
        <v>0.0056</v>
      </c>
      <c r="Q1028" s="179">
        <v>116.49</v>
      </c>
      <c r="R1028" s="179">
        <v>29.12</v>
      </c>
      <c r="S1028" s="179">
        <v>0.0</v>
      </c>
      <c r="T1028" s="179">
        <v>0.0</v>
      </c>
      <c r="U1028" s="179">
        <v>0.0</v>
      </c>
      <c r="V1028" s="179">
        <v>0.0</v>
      </c>
      <c r="W1028" s="179">
        <v>0.0</v>
      </c>
      <c r="X1028" s="179">
        <v>0.0</v>
      </c>
      <c r="Y1028" s="179">
        <v>0.0</v>
      </c>
      <c r="Z1028" s="179">
        <v>0.0</v>
      </c>
      <c r="AA1028" s="179">
        <v>0.0</v>
      </c>
      <c r="AB1028" s="179">
        <v>0.0</v>
      </c>
      <c r="AC1028" s="179">
        <v>0.0</v>
      </c>
      <c r="AD1028" s="179">
        <v>0.0</v>
      </c>
      <c r="AE1028" s="179">
        <v>0.0</v>
      </c>
      <c r="AF1028" s="179">
        <v>0.0</v>
      </c>
      <c r="AG1028" s="179">
        <v>0.0</v>
      </c>
      <c r="AH1028" s="179">
        <v>0.0</v>
      </c>
      <c r="AI1028" s="179">
        <v>0.0</v>
      </c>
      <c r="AJ1028" s="179">
        <v>0.0</v>
      </c>
    </row>
    <row r="1029" ht="15.75" customHeight="1">
      <c r="A1029" s="65">
        <v>45689.0</v>
      </c>
      <c r="B1029" s="179" t="s">
        <v>779</v>
      </c>
      <c r="C1029" s="179" t="s">
        <v>1046</v>
      </c>
      <c r="D1029" s="179" t="s">
        <v>781</v>
      </c>
      <c r="E1029" s="179" t="s">
        <v>459</v>
      </c>
      <c r="F1029" s="179" t="s">
        <v>774</v>
      </c>
      <c r="G1029" s="179" t="s">
        <v>775</v>
      </c>
      <c r="H1029" s="179" t="s">
        <v>1106</v>
      </c>
      <c r="I1029" s="179"/>
      <c r="J1029" s="179" t="s">
        <v>217</v>
      </c>
      <c r="K1029" s="179">
        <v>150.0</v>
      </c>
      <c r="L1029" s="179" t="s">
        <v>776</v>
      </c>
      <c r="M1029" s="179" t="s">
        <v>8</v>
      </c>
      <c r="N1029" s="179">
        <v>3176.0</v>
      </c>
      <c r="O1029" s="179">
        <v>34.0</v>
      </c>
      <c r="P1029" s="179">
        <v>0.0107</v>
      </c>
      <c r="Q1029" s="179">
        <v>102.73</v>
      </c>
      <c r="R1029" s="179">
        <v>3.02</v>
      </c>
      <c r="S1029" s="179">
        <v>0.0</v>
      </c>
      <c r="T1029" s="179">
        <v>0.0</v>
      </c>
      <c r="U1029" s="179">
        <v>0.0</v>
      </c>
      <c r="V1029" s="179">
        <v>0.0</v>
      </c>
      <c r="W1029" s="179">
        <v>0.0</v>
      </c>
      <c r="X1029" s="179">
        <v>0.0</v>
      </c>
      <c r="Y1029" s="179">
        <v>0.0</v>
      </c>
      <c r="Z1029" s="179">
        <v>0.0</v>
      </c>
      <c r="AA1029" s="179">
        <v>0.0</v>
      </c>
      <c r="AB1029" s="179">
        <v>0.0</v>
      </c>
      <c r="AC1029" s="179">
        <v>0.0</v>
      </c>
      <c r="AD1029" s="179">
        <v>0.0</v>
      </c>
      <c r="AE1029" s="179">
        <v>0.0</v>
      </c>
      <c r="AF1029" s="179">
        <v>0.0</v>
      </c>
      <c r="AG1029" s="179">
        <v>0.0</v>
      </c>
      <c r="AH1029" s="179">
        <v>0.0</v>
      </c>
      <c r="AI1029" s="179">
        <v>0.0</v>
      </c>
      <c r="AJ1029" s="179">
        <v>0.0</v>
      </c>
    </row>
    <row r="1030" ht="15.75" customHeight="1">
      <c r="A1030" s="65">
        <v>45689.0</v>
      </c>
      <c r="B1030" s="179" t="s">
        <v>779</v>
      </c>
      <c r="C1030" s="179" t="s">
        <v>1040</v>
      </c>
      <c r="D1030" s="179" t="s">
        <v>781</v>
      </c>
      <c r="E1030" s="179" t="s">
        <v>459</v>
      </c>
      <c r="F1030" s="179" t="s">
        <v>774</v>
      </c>
      <c r="G1030" s="179" t="s">
        <v>775</v>
      </c>
      <c r="H1030" s="179" t="s">
        <v>1106</v>
      </c>
      <c r="I1030" s="179"/>
      <c r="J1030" s="179" t="s">
        <v>134</v>
      </c>
      <c r="K1030" s="179">
        <v>1000.0</v>
      </c>
      <c r="L1030" s="179" t="s">
        <v>776</v>
      </c>
      <c r="M1030" s="179" t="s">
        <v>8</v>
      </c>
      <c r="N1030" s="179">
        <v>1070.0</v>
      </c>
      <c r="O1030" s="179">
        <v>0.0</v>
      </c>
      <c r="P1030" s="179">
        <v>0.0</v>
      </c>
      <c r="Q1030" s="179">
        <v>0.0</v>
      </c>
      <c r="R1030" s="179">
        <v>0.0</v>
      </c>
      <c r="S1030" s="179">
        <v>0.0</v>
      </c>
      <c r="T1030" s="179">
        <v>0.0</v>
      </c>
      <c r="U1030" s="179">
        <v>0.0</v>
      </c>
      <c r="V1030" s="179">
        <v>0.0</v>
      </c>
      <c r="W1030" s="179">
        <v>0.0</v>
      </c>
      <c r="X1030" s="179">
        <v>0.0</v>
      </c>
      <c r="Y1030" s="179">
        <v>0.0</v>
      </c>
      <c r="Z1030" s="179">
        <v>0.0</v>
      </c>
      <c r="AA1030" s="179">
        <v>0.0</v>
      </c>
      <c r="AB1030" s="179">
        <v>0.0</v>
      </c>
      <c r="AC1030" s="179">
        <v>0.0</v>
      </c>
      <c r="AD1030" s="179">
        <v>0.0</v>
      </c>
      <c r="AE1030" s="179">
        <v>0.0</v>
      </c>
      <c r="AF1030" s="179">
        <v>0.0</v>
      </c>
      <c r="AG1030" s="179">
        <v>0.0</v>
      </c>
      <c r="AH1030" s="179">
        <v>0.0</v>
      </c>
      <c r="AI1030" s="179">
        <v>0.0</v>
      </c>
      <c r="AJ1030" s="179">
        <v>0.0</v>
      </c>
    </row>
    <row r="1031" ht="15.75" customHeight="1">
      <c r="A1031" s="65">
        <v>45689.0</v>
      </c>
      <c r="B1031" s="179" t="s">
        <v>771</v>
      </c>
      <c r="C1031" s="179" t="s">
        <v>1100</v>
      </c>
      <c r="D1031" s="179" t="s">
        <v>773</v>
      </c>
      <c r="E1031" s="179" t="s">
        <v>459</v>
      </c>
      <c r="F1031" s="179" t="s">
        <v>774</v>
      </c>
      <c r="G1031" s="179" t="s">
        <v>775</v>
      </c>
      <c r="H1031" s="179" t="s">
        <v>1106</v>
      </c>
      <c r="I1031" s="179"/>
      <c r="J1031" s="179" t="s">
        <v>413</v>
      </c>
      <c r="K1031" s="179">
        <v>1000.0</v>
      </c>
      <c r="L1031" s="179" t="s">
        <v>776</v>
      </c>
      <c r="M1031" s="179" t="s">
        <v>8</v>
      </c>
      <c r="N1031" s="179">
        <v>754.0</v>
      </c>
      <c r="O1031" s="179">
        <v>3.0</v>
      </c>
      <c r="P1031" s="179">
        <v>0.004</v>
      </c>
      <c r="Q1031" s="179">
        <v>21.09</v>
      </c>
      <c r="R1031" s="179">
        <v>7.03</v>
      </c>
      <c r="S1031" s="179">
        <v>0.0</v>
      </c>
      <c r="T1031" s="179">
        <v>0.0</v>
      </c>
      <c r="U1031" s="179">
        <v>0.0</v>
      </c>
      <c r="V1031" s="179">
        <v>0.0</v>
      </c>
      <c r="W1031" s="179">
        <v>0.0</v>
      </c>
      <c r="X1031" s="179">
        <v>0.0</v>
      </c>
      <c r="Y1031" s="179">
        <v>0.0</v>
      </c>
      <c r="Z1031" s="179">
        <v>0.0</v>
      </c>
      <c r="AA1031" s="179">
        <v>0.0</v>
      </c>
      <c r="AB1031" s="179">
        <v>0.0</v>
      </c>
      <c r="AC1031" s="179">
        <v>0.0</v>
      </c>
      <c r="AD1031" s="179">
        <v>0.0</v>
      </c>
      <c r="AE1031" s="179">
        <v>0.0</v>
      </c>
      <c r="AF1031" s="179">
        <v>0.0</v>
      </c>
      <c r="AG1031" s="179">
        <v>0.0</v>
      </c>
      <c r="AH1031" s="179">
        <v>0.0</v>
      </c>
      <c r="AI1031" s="179">
        <v>0.0</v>
      </c>
      <c r="AJ1031" s="179">
        <v>0.0</v>
      </c>
    </row>
    <row r="1032" ht="15.75" customHeight="1">
      <c r="A1032" s="65">
        <v>45689.0</v>
      </c>
      <c r="B1032" s="179" t="s">
        <v>779</v>
      </c>
      <c r="C1032" s="179" t="s">
        <v>1097</v>
      </c>
      <c r="D1032" s="179" t="s">
        <v>781</v>
      </c>
      <c r="E1032" s="179" t="s">
        <v>459</v>
      </c>
      <c r="F1032" s="179" t="s">
        <v>774</v>
      </c>
      <c r="G1032" s="179" t="s">
        <v>775</v>
      </c>
      <c r="H1032" s="179" t="s">
        <v>1106</v>
      </c>
      <c r="I1032" s="179"/>
      <c r="J1032" s="179" t="s">
        <v>128</v>
      </c>
      <c r="K1032" s="179">
        <v>1000.0</v>
      </c>
      <c r="L1032" s="179" t="s">
        <v>776</v>
      </c>
      <c r="M1032" s="179" t="s">
        <v>8</v>
      </c>
      <c r="N1032" s="179">
        <v>1402.0</v>
      </c>
      <c r="O1032" s="179">
        <v>7.0</v>
      </c>
      <c r="P1032" s="179">
        <v>0.005</v>
      </c>
      <c r="Q1032" s="179">
        <v>156.57</v>
      </c>
      <c r="R1032" s="179">
        <v>22.37</v>
      </c>
      <c r="S1032" s="179">
        <v>0.0</v>
      </c>
      <c r="T1032" s="179">
        <v>0.0</v>
      </c>
      <c r="U1032" s="179">
        <v>0.0</v>
      </c>
      <c r="V1032" s="179">
        <v>0.0</v>
      </c>
      <c r="W1032" s="179">
        <v>0.0</v>
      </c>
      <c r="X1032" s="179">
        <v>0.0</v>
      </c>
      <c r="Y1032" s="179">
        <v>0.0</v>
      </c>
      <c r="Z1032" s="179">
        <v>0.0</v>
      </c>
      <c r="AA1032" s="179">
        <v>0.0</v>
      </c>
      <c r="AB1032" s="179">
        <v>0.0</v>
      </c>
      <c r="AC1032" s="179">
        <v>0.0</v>
      </c>
      <c r="AD1032" s="179">
        <v>0.0</v>
      </c>
      <c r="AE1032" s="179">
        <v>0.0</v>
      </c>
      <c r="AF1032" s="179">
        <v>0.0</v>
      </c>
      <c r="AG1032" s="179">
        <v>0.0</v>
      </c>
      <c r="AH1032" s="179">
        <v>0.0</v>
      </c>
      <c r="AI1032" s="179">
        <v>0.0</v>
      </c>
      <c r="AJ1032" s="179">
        <v>0.0</v>
      </c>
    </row>
    <row r="1033" ht="15.75" customHeight="1">
      <c r="A1033" s="65">
        <v>45689.0</v>
      </c>
      <c r="B1033" s="179" t="s">
        <v>779</v>
      </c>
      <c r="C1033" s="179" t="s">
        <v>1075</v>
      </c>
      <c r="D1033" s="179" t="s">
        <v>781</v>
      </c>
      <c r="E1033" s="179" t="s">
        <v>459</v>
      </c>
      <c r="F1033" s="179" t="s">
        <v>774</v>
      </c>
      <c r="G1033" s="179" t="s">
        <v>775</v>
      </c>
      <c r="H1033" s="179" t="s">
        <v>1106</v>
      </c>
      <c r="I1033" s="179"/>
      <c r="J1033" s="179" t="s">
        <v>134</v>
      </c>
      <c r="K1033" s="179">
        <v>800.0</v>
      </c>
      <c r="L1033" s="195">
        <v>0.1604</v>
      </c>
      <c r="M1033" s="179" t="s">
        <v>8</v>
      </c>
      <c r="N1033" s="179">
        <v>5904.0</v>
      </c>
      <c r="O1033" s="179">
        <v>10.0</v>
      </c>
      <c r="P1033" s="179">
        <v>0.0017</v>
      </c>
      <c r="Q1033" s="179">
        <v>567.53</v>
      </c>
      <c r="R1033" s="179">
        <v>56.75</v>
      </c>
      <c r="S1033" s="179">
        <v>0.0</v>
      </c>
      <c r="T1033" s="179">
        <v>0.0</v>
      </c>
      <c r="U1033" s="179">
        <v>0.0</v>
      </c>
      <c r="V1033" s="179">
        <v>0.0</v>
      </c>
      <c r="W1033" s="179">
        <v>0.0</v>
      </c>
      <c r="X1033" s="179">
        <v>0.0</v>
      </c>
      <c r="Y1033" s="179">
        <v>0.0</v>
      </c>
      <c r="Z1033" s="179">
        <v>0.0</v>
      </c>
      <c r="AA1033" s="179">
        <v>0.0</v>
      </c>
      <c r="AB1033" s="179">
        <v>0.0</v>
      </c>
      <c r="AC1033" s="179">
        <v>0.0</v>
      </c>
      <c r="AD1033" s="179">
        <v>0.0</v>
      </c>
      <c r="AE1033" s="179">
        <v>0.0</v>
      </c>
      <c r="AF1033" s="179">
        <v>0.0</v>
      </c>
      <c r="AG1033" s="179">
        <v>0.0</v>
      </c>
      <c r="AH1033" s="179">
        <v>0.0</v>
      </c>
      <c r="AI1033" s="179">
        <v>0.0</v>
      </c>
      <c r="AJ1033" s="179">
        <v>0.0</v>
      </c>
    </row>
    <row r="1034" ht="15.75" customHeight="1">
      <c r="A1034" s="65">
        <v>45689.0</v>
      </c>
      <c r="B1034" s="179" t="s">
        <v>779</v>
      </c>
      <c r="C1034" s="179" t="s">
        <v>1078</v>
      </c>
      <c r="D1034" s="179" t="s">
        <v>781</v>
      </c>
      <c r="E1034" s="179" t="s">
        <v>459</v>
      </c>
      <c r="F1034" s="179" t="s">
        <v>774</v>
      </c>
      <c r="G1034" s="179" t="s">
        <v>775</v>
      </c>
      <c r="H1034" s="179" t="s">
        <v>1106</v>
      </c>
      <c r="I1034" s="179"/>
      <c r="J1034" s="179" t="s">
        <v>134</v>
      </c>
      <c r="K1034" s="179">
        <v>5000.0</v>
      </c>
      <c r="L1034" s="179" t="s">
        <v>776</v>
      </c>
      <c r="M1034" s="179" t="s">
        <v>8</v>
      </c>
      <c r="N1034" s="179">
        <v>298.0</v>
      </c>
      <c r="O1034" s="179">
        <v>1.0</v>
      </c>
      <c r="P1034" s="179">
        <v>0.0034</v>
      </c>
      <c r="Q1034" s="179">
        <v>40.61</v>
      </c>
      <c r="R1034" s="179">
        <v>40.61</v>
      </c>
      <c r="S1034" s="179">
        <v>0.0</v>
      </c>
      <c r="T1034" s="179">
        <v>0.0</v>
      </c>
      <c r="U1034" s="179">
        <v>0.0</v>
      </c>
      <c r="V1034" s="179">
        <v>0.0</v>
      </c>
      <c r="W1034" s="179">
        <v>0.0</v>
      </c>
      <c r="X1034" s="179">
        <v>0.0</v>
      </c>
      <c r="Y1034" s="179">
        <v>0.0</v>
      </c>
      <c r="Z1034" s="179">
        <v>0.0</v>
      </c>
      <c r="AA1034" s="179">
        <v>0.0</v>
      </c>
      <c r="AB1034" s="179">
        <v>0.0</v>
      </c>
      <c r="AC1034" s="179">
        <v>0.0</v>
      </c>
      <c r="AD1034" s="179">
        <v>0.0</v>
      </c>
      <c r="AE1034" s="179">
        <v>0.0</v>
      </c>
      <c r="AF1034" s="179">
        <v>0.0</v>
      </c>
      <c r="AG1034" s="179">
        <v>0.0</v>
      </c>
      <c r="AH1034" s="179">
        <v>0.0</v>
      </c>
      <c r="AI1034" s="179">
        <v>0.0</v>
      </c>
      <c r="AJ1034" s="179">
        <v>0.0</v>
      </c>
    </row>
    <row r="1035" ht="15.75" customHeight="1">
      <c r="A1035" s="65">
        <v>45689.0</v>
      </c>
      <c r="B1035" s="179" t="s">
        <v>771</v>
      </c>
      <c r="C1035" s="179" t="s">
        <v>1080</v>
      </c>
      <c r="D1035" s="179" t="s">
        <v>773</v>
      </c>
      <c r="E1035" s="179" t="s">
        <v>459</v>
      </c>
      <c r="F1035" s="179" t="s">
        <v>774</v>
      </c>
      <c r="G1035" s="179" t="s">
        <v>775</v>
      </c>
      <c r="H1035" s="179" t="s">
        <v>1106</v>
      </c>
      <c r="I1035" s="179"/>
      <c r="J1035" s="179" t="s">
        <v>140</v>
      </c>
      <c r="K1035" s="179">
        <v>3000.0</v>
      </c>
      <c r="L1035" s="195">
        <v>0.093</v>
      </c>
      <c r="M1035" s="179" t="s">
        <v>8</v>
      </c>
      <c r="N1035" s="179">
        <v>23330.0</v>
      </c>
      <c r="O1035" s="179">
        <v>64.0</v>
      </c>
      <c r="P1035" s="179">
        <v>0.0027</v>
      </c>
      <c r="Q1035" s="179">
        <v>2494.62</v>
      </c>
      <c r="R1035" s="179">
        <v>38.98</v>
      </c>
      <c r="S1035" s="179">
        <v>0.0</v>
      </c>
      <c r="T1035" s="179">
        <v>0.0</v>
      </c>
      <c r="U1035" s="179">
        <v>0.0</v>
      </c>
      <c r="V1035" s="179">
        <v>0.0</v>
      </c>
      <c r="W1035" s="179">
        <v>0.0</v>
      </c>
      <c r="X1035" s="179">
        <v>0.0</v>
      </c>
      <c r="Y1035" s="179">
        <v>0.0</v>
      </c>
      <c r="Z1035" s="179">
        <v>0.0</v>
      </c>
      <c r="AA1035" s="179">
        <v>0.0</v>
      </c>
      <c r="AB1035" s="179">
        <v>0.0</v>
      </c>
      <c r="AC1035" s="179">
        <v>0.0</v>
      </c>
      <c r="AD1035" s="179">
        <v>0.0</v>
      </c>
      <c r="AE1035" s="179">
        <v>0.0</v>
      </c>
      <c r="AF1035" s="179">
        <v>0.0</v>
      </c>
      <c r="AG1035" s="179">
        <v>0.0</v>
      </c>
      <c r="AH1035" s="179">
        <v>0.0</v>
      </c>
      <c r="AI1035" s="179">
        <v>0.0</v>
      </c>
      <c r="AJ1035" s="179">
        <v>0.0</v>
      </c>
    </row>
    <row r="1036" ht="15.75" customHeight="1">
      <c r="A1036" s="65">
        <v>45689.0</v>
      </c>
      <c r="B1036" s="179" t="s">
        <v>771</v>
      </c>
      <c r="C1036" s="179" t="s">
        <v>1134</v>
      </c>
      <c r="D1036" s="179" t="s">
        <v>773</v>
      </c>
      <c r="E1036" s="179" t="s">
        <v>459</v>
      </c>
      <c r="F1036" s="179" t="s">
        <v>774</v>
      </c>
      <c r="G1036" s="179" t="s">
        <v>775</v>
      </c>
      <c r="H1036" s="179" t="s">
        <v>1106</v>
      </c>
      <c r="I1036" s="179"/>
      <c r="J1036" s="179" t="s">
        <v>230</v>
      </c>
      <c r="K1036" s="179">
        <v>1000.0</v>
      </c>
      <c r="L1036" s="195">
        <v>0.0947</v>
      </c>
      <c r="M1036" s="179" t="s">
        <v>8</v>
      </c>
      <c r="N1036" s="179">
        <v>1063.0</v>
      </c>
      <c r="O1036" s="179">
        <v>1.0</v>
      </c>
      <c r="P1036" s="179">
        <v>9.0E-4</v>
      </c>
      <c r="Q1036" s="179">
        <v>71.76</v>
      </c>
      <c r="R1036" s="179">
        <v>71.76</v>
      </c>
      <c r="S1036" s="179">
        <v>0.0</v>
      </c>
      <c r="T1036" s="179">
        <v>0.0</v>
      </c>
      <c r="U1036" s="179">
        <v>0.0</v>
      </c>
      <c r="V1036" s="179">
        <v>0.0</v>
      </c>
      <c r="W1036" s="179">
        <v>0.0</v>
      </c>
      <c r="X1036" s="179">
        <v>0.0</v>
      </c>
      <c r="Y1036" s="179">
        <v>0.0</v>
      </c>
      <c r="Z1036" s="179">
        <v>0.0</v>
      </c>
      <c r="AA1036" s="179">
        <v>0.0</v>
      </c>
      <c r="AB1036" s="179">
        <v>0.0</v>
      </c>
      <c r="AC1036" s="179">
        <v>0.0</v>
      </c>
      <c r="AD1036" s="179">
        <v>0.0</v>
      </c>
      <c r="AE1036" s="179">
        <v>0.0</v>
      </c>
      <c r="AF1036" s="179">
        <v>0.0</v>
      </c>
      <c r="AG1036" s="179">
        <v>0.0</v>
      </c>
      <c r="AH1036" s="179">
        <v>0.0</v>
      </c>
      <c r="AI1036" s="179">
        <v>0.0</v>
      </c>
      <c r="AJ1036" s="179">
        <v>0.0</v>
      </c>
    </row>
    <row r="1037" ht="15.75" customHeight="1">
      <c r="A1037" s="65">
        <v>45689.0</v>
      </c>
      <c r="B1037" s="179" t="s">
        <v>771</v>
      </c>
      <c r="C1037" s="179" t="s">
        <v>1135</v>
      </c>
      <c r="D1037" s="179" t="s">
        <v>773</v>
      </c>
      <c r="E1037" s="179" t="s">
        <v>459</v>
      </c>
      <c r="F1037" s="179" t="s">
        <v>774</v>
      </c>
      <c r="G1037" s="179" t="s">
        <v>775</v>
      </c>
      <c r="H1037" s="179" t="s">
        <v>1106</v>
      </c>
      <c r="I1037" s="179"/>
      <c r="J1037" s="179" t="s">
        <v>230</v>
      </c>
      <c r="K1037" s="179">
        <v>1000.0</v>
      </c>
      <c r="L1037" s="195">
        <v>0.5612</v>
      </c>
      <c r="M1037" s="179" t="s">
        <v>8</v>
      </c>
      <c r="N1037" s="179">
        <v>668.0</v>
      </c>
      <c r="O1037" s="179">
        <v>9.0</v>
      </c>
      <c r="P1037" s="179">
        <v>0.0135</v>
      </c>
      <c r="Q1037" s="179">
        <v>409.17</v>
      </c>
      <c r="R1037" s="179">
        <v>45.46</v>
      </c>
      <c r="S1037" s="179">
        <v>0.0</v>
      </c>
      <c r="T1037" s="179">
        <v>0.0</v>
      </c>
      <c r="U1037" s="179">
        <v>0.0</v>
      </c>
      <c r="V1037" s="179">
        <v>0.0</v>
      </c>
      <c r="W1037" s="179">
        <v>0.0</v>
      </c>
      <c r="X1037" s="179">
        <v>0.0</v>
      </c>
      <c r="Y1037" s="179">
        <v>0.0</v>
      </c>
      <c r="Z1037" s="179">
        <v>0.0</v>
      </c>
      <c r="AA1037" s="179">
        <v>0.0</v>
      </c>
      <c r="AB1037" s="179">
        <v>0.0</v>
      </c>
      <c r="AC1037" s="179">
        <v>0.0</v>
      </c>
      <c r="AD1037" s="179">
        <v>0.0</v>
      </c>
      <c r="AE1037" s="179">
        <v>0.0</v>
      </c>
      <c r="AF1037" s="179">
        <v>0.0</v>
      </c>
      <c r="AG1037" s="179">
        <v>0.0</v>
      </c>
      <c r="AH1037" s="179">
        <v>0.0</v>
      </c>
      <c r="AI1037" s="179">
        <v>0.0</v>
      </c>
      <c r="AJ1037" s="179">
        <v>0.0</v>
      </c>
    </row>
    <row r="1038" ht="15.75" customHeight="1">
      <c r="A1038" s="65">
        <v>45689.0</v>
      </c>
      <c r="B1038" s="179" t="s">
        <v>771</v>
      </c>
      <c r="C1038" s="179" t="s">
        <v>1117</v>
      </c>
      <c r="D1038" s="179" t="s">
        <v>773</v>
      </c>
      <c r="E1038" s="179" t="s">
        <v>459</v>
      </c>
      <c r="F1038" s="179" t="s">
        <v>774</v>
      </c>
      <c r="G1038" s="179" t="s">
        <v>775</v>
      </c>
      <c r="H1038" s="179" t="s">
        <v>1106</v>
      </c>
      <c r="I1038" s="179"/>
      <c r="J1038" s="179" t="s">
        <v>230</v>
      </c>
      <c r="K1038" s="179">
        <v>1000.0</v>
      </c>
      <c r="L1038" s="179" t="s">
        <v>776</v>
      </c>
      <c r="M1038" s="179" t="s">
        <v>8</v>
      </c>
      <c r="N1038" s="179">
        <v>10691.0</v>
      </c>
      <c r="O1038" s="179">
        <v>14.0</v>
      </c>
      <c r="P1038" s="179">
        <v>0.0013</v>
      </c>
      <c r="Q1038" s="179">
        <v>675.2</v>
      </c>
      <c r="R1038" s="179">
        <v>48.23</v>
      </c>
      <c r="S1038" s="179">
        <v>0.0</v>
      </c>
      <c r="T1038" s="179">
        <v>0.0</v>
      </c>
      <c r="U1038" s="179">
        <v>0.0</v>
      </c>
      <c r="V1038" s="179">
        <v>0.0</v>
      </c>
      <c r="W1038" s="179">
        <v>0.0</v>
      </c>
      <c r="X1038" s="179">
        <v>0.0</v>
      </c>
      <c r="Y1038" s="179">
        <v>0.0</v>
      </c>
      <c r="Z1038" s="179">
        <v>0.0</v>
      </c>
      <c r="AA1038" s="179">
        <v>0.0</v>
      </c>
      <c r="AB1038" s="179">
        <v>0.0</v>
      </c>
      <c r="AC1038" s="179">
        <v>0.0</v>
      </c>
      <c r="AD1038" s="179">
        <v>0.0</v>
      </c>
      <c r="AE1038" s="179">
        <v>0.0</v>
      </c>
      <c r="AF1038" s="179">
        <v>0.0</v>
      </c>
      <c r="AG1038" s="179">
        <v>0.0</v>
      </c>
      <c r="AH1038" s="179">
        <v>0.0</v>
      </c>
      <c r="AI1038" s="179">
        <v>0.0</v>
      </c>
      <c r="AJ1038" s="179">
        <v>0.0</v>
      </c>
    </row>
    <row r="1039" ht="15.75" customHeight="1">
      <c r="A1039" s="65">
        <v>45689.0</v>
      </c>
      <c r="B1039" s="179" t="s">
        <v>771</v>
      </c>
      <c r="C1039" s="179" t="s">
        <v>1119</v>
      </c>
      <c r="D1039" s="179" t="s">
        <v>773</v>
      </c>
      <c r="E1039" s="179" t="s">
        <v>459</v>
      </c>
      <c r="F1039" s="179" t="s">
        <v>774</v>
      </c>
      <c r="G1039" s="179" t="s">
        <v>775</v>
      </c>
      <c r="H1039" s="179" t="s">
        <v>1106</v>
      </c>
      <c r="I1039" s="179"/>
      <c r="J1039" s="179" t="s">
        <v>230</v>
      </c>
      <c r="K1039" s="179">
        <v>1000.0</v>
      </c>
      <c r="L1039" s="195">
        <v>0.2226</v>
      </c>
      <c r="M1039" s="179" t="s">
        <v>8</v>
      </c>
      <c r="N1039" s="179">
        <v>4682.0</v>
      </c>
      <c r="O1039" s="179">
        <v>13.0</v>
      </c>
      <c r="P1039" s="179">
        <v>0.0028</v>
      </c>
      <c r="Q1039" s="179">
        <v>600.14</v>
      </c>
      <c r="R1039" s="179">
        <v>46.16</v>
      </c>
      <c r="S1039" s="179">
        <v>0.0</v>
      </c>
      <c r="T1039" s="179">
        <v>0.0</v>
      </c>
      <c r="U1039" s="179">
        <v>0.0</v>
      </c>
      <c r="V1039" s="179">
        <v>0.0</v>
      </c>
      <c r="W1039" s="179">
        <v>0.0</v>
      </c>
      <c r="X1039" s="179">
        <v>0.0</v>
      </c>
      <c r="Y1039" s="179">
        <v>0.0</v>
      </c>
      <c r="Z1039" s="179">
        <v>0.0</v>
      </c>
      <c r="AA1039" s="179">
        <v>0.0</v>
      </c>
      <c r="AB1039" s="179">
        <v>0.0</v>
      </c>
      <c r="AC1039" s="179">
        <v>0.0</v>
      </c>
      <c r="AD1039" s="179">
        <v>0.0</v>
      </c>
      <c r="AE1039" s="179">
        <v>0.0</v>
      </c>
      <c r="AF1039" s="179">
        <v>0.0</v>
      </c>
      <c r="AG1039" s="179">
        <v>0.0</v>
      </c>
      <c r="AH1039" s="179">
        <v>0.0</v>
      </c>
      <c r="AI1039" s="179">
        <v>0.0</v>
      </c>
      <c r="AJ1039" s="179">
        <v>0.0</v>
      </c>
    </row>
    <row r="1040" ht="15.75" customHeight="1">
      <c r="A1040" s="65">
        <v>45689.0</v>
      </c>
      <c r="B1040" s="179" t="s">
        <v>771</v>
      </c>
      <c r="C1040" s="179" t="s">
        <v>1108</v>
      </c>
      <c r="D1040" s="179" t="s">
        <v>773</v>
      </c>
      <c r="E1040" s="179" t="s">
        <v>459</v>
      </c>
      <c r="F1040" s="179" t="s">
        <v>774</v>
      </c>
      <c r="G1040" s="179" t="s">
        <v>775</v>
      </c>
      <c r="H1040" s="179" t="s">
        <v>1106</v>
      </c>
      <c r="I1040" s="179"/>
      <c r="J1040" s="179" t="s">
        <v>230</v>
      </c>
      <c r="K1040" s="179">
        <v>1000.0</v>
      </c>
      <c r="L1040" s="195">
        <v>0.0503</v>
      </c>
      <c r="M1040" s="179" t="s">
        <v>8</v>
      </c>
      <c r="N1040" s="179">
        <v>16264.0</v>
      </c>
      <c r="O1040" s="179">
        <v>70.0</v>
      </c>
      <c r="P1040" s="179">
        <v>0.0043</v>
      </c>
      <c r="Q1040" s="179">
        <v>4016.36</v>
      </c>
      <c r="R1040" s="179">
        <v>57.38</v>
      </c>
      <c r="S1040" s="179">
        <v>0.0</v>
      </c>
      <c r="T1040" s="179">
        <v>0.0</v>
      </c>
      <c r="U1040" s="179">
        <v>0.0</v>
      </c>
      <c r="V1040" s="179">
        <v>0.0</v>
      </c>
      <c r="W1040" s="179">
        <v>0.0</v>
      </c>
      <c r="X1040" s="179">
        <v>0.0</v>
      </c>
      <c r="Y1040" s="179">
        <v>0.0</v>
      </c>
      <c r="Z1040" s="179">
        <v>0.0</v>
      </c>
      <c r="AA1040" s="179">
        <v>0.0</v>
      </c>
      <c r="AB1040" s="179">
        <v>0.0</v>
      </c>
      <c r="AC1040" s="179">
        <v>0.0</v>
      </c>
      <c r="AD1040" s="179">
        <v>0.0</v>
      </c>
      <c r="AE1040" s="179">
        <v>0.0</v>
      </c>
      <c r="AF1040" s="179">
        <v>0.0</v>
      </c>
      <c r="AG1040" s="179">
        <v>0.0</v>
      </c>
      <c r="AH1040" s="179">
        <v>0.0</v>
      </c>
      <c r="AI1040" s="179">
        <v>0.0</v>
      </c>
      <c r="AJ1040" s="179">
        <v>0.0</v>
      </c>
    </row>
    <row r="1041" ht="15.75" customHeight="1">
      <c r="A1041" s="65">
        <v>45689.0</v>
      </c>
      <c r="B1041" s="179" t="s">
        <v>771</v>
      </c>
      <c r="C1041" s="179" t="s">
        <v>1112</v>
      </c>
      <c r="D1041" s="179" t="s">
        <v>773</v>
      </c>
      <c r="E1041" s="179" t="s">
        <v>459</v>
      </c>
      <c r="F1041" s="179" t="s">
        <v>774</v>
      </c>
      <c r="G1041" s="179" t="s">
        <v>775</v>
      </c>
      <c r="H1041" s="179" t="s">
        <v>1106</v>
      </c>
      <c r="I1041" s="179"/>
      <c r="J1041" s="179" t="s">
        <v>230</v>
      </c>
      <c r="K1041" s="179">
        <v>1000.0</v>
      </c>
      <c r="L1041" s="195">
        <v>0.1021</v>
      </c>
      <c r="M1041" s="179" t="s">
        <v>8</v>
      </c>
      <c r="N1041" s="179">
        <v>26950.0</v>
      </c>
      <c r="O1041" s="179">
        <v>81.0</v>
      </c>
      <c r="P1041" s="179">
        <v>0.003</v>
      </c>
      <c r="Q1041" s="179">
        <v>4341.75</v>
      </c>
      <c r="R1041" s="179">
        <v>53.6</v>
      </c>
      <c r="S1041" s="179">
        <v>0.0</v>
      </c>
      <c r="T1041" s="179">
        <v>0.0</v>
      </c>
      <c r="U1041" s="179">
        <v>0.0</v>
      </c>
      <c r="V1041" s="179">
        <v>0.0</v>
      </c>
      <c r="W1041" s="179">
        <v>0.0</v>
      </c>
      <c r="X1041" s="179">
        <v>0.0</v>
      </c>
      <c r="Y1041" s="179">
        <v>0.0</v>
      </c>
      <c r="Z1041" s="179">
        <v>0.0</v>
      </c>
      <c r="AA1041" s="179">
        <v>0.0</v>
      </c>
      <c r="AB1041" s="179">
        <v>0.0</v>
      </c>
      <c r="AC1041" s="179">
        <v>0.0</v>
      </c>
      <c r="AD1041" s="179">
        <v>0.0</v>
      </c>
      <c r="AE1041" s="179">
        <v>0.0</v>
      </c>
      <c r="AF1041" s="179">
        <v>0.0</v>
      </c>
      <c r="AG1041" s="179">
        <v>0.0</v>
      </c>
      <c r="AH1041" s="179">
        <v>0.0</v>
      </c>
      <c r="AI1041" s="179">
        <v>0.0</v>
      </c>
      <c r="AJ1041" s="179">
        <v>0.0</v>
      </c>
    </row>
    <row r="1042" ht="15.75" customHeight="1">
      <c r="A1042" s="65">
        <v>45689.0</v>
      </c>
      <c r="B1042" s="179" t="s">
        <v>779</v>
      </c>
      <c r="C1042" s="179" t="s">
        <v>1113</v>
      </c>
      <c r="D1042" s="179" t="s">
        <v>781</v>
      </c>
      <c r="E1042" s="179" t="s">
        <v>459</v>
      </c>
      <c r="F1042" s="179" t="s">
        <v>774</v>
      </c>
      <c r="G1042" s="179" t="s">
        <v>775</v>
      </c>
      <c r="H1042" s="179" t="s">
        <v>1106</v>
      </c>
      <c r="I1042" s="179"/>
      <c r="J1042" s="179" t="s">
        <v>134</v>
      </c>
      <c r="K1042" s="179">
        <v>500.0</v>
      </c>
      <c r="L1042" s="195">
        <v>0.0974</v>
      </c>
      <c r="M1042" s="179" t="s">
        <v>8</v>
      </c>
      <c r="N1042" s="179">
        <v>3399.0</v>
      </c>
      <c r="O1042" s="179">
        <v>52.0</v>
      </c>
      <c r="P1042" s="179">
        <v>0.0153</v>
      </c>
      <c r="Q1042" s="179">
        <v>3033.73</v>
      </c>
      <c r="R1042" s="179">
        <v>58.34</v>
      </c>
      <c r="S1042" s="179">
        <v>0.0</v>
      </c>
      <c r="T1042" s="179">
        <v>0.0</v>
      </c>
      <c r="U1042" s="179">
        <v>0.0</v>
      </c>
      <c r="V1042" s="179">
        <v>0.0</v>
      </c>
      <c r="W1042" s="179">
        <v>0.0</v>
      </c>
      <c r="X1042" s="179">
        <v>0.0</v>
      </c>
      <c r="Y1042" s="179">
        <v>0.0</v>
      </c>
      <c r="Z1042" s="179">
        <v>0.0</v>
      </c>
      <c r="AA1042" s="179">
        <v>0.0</v>
      </c>
      <c r="AB1042" s="179">
        <v>0.0</v>
      </c>
      <c r="AC1042" s="179">
        <v>0.0</v>
      </c>
      <c r="AD1042" s="179">
        <v>0.0</v>
      </c>
      <c r="AE1042" s="179">
        <v>0.0</v>
      </c>
      <c r="AF1042" s="179">
        <v>0.0</v>
      </c>
      <c r="AG1042" s="179">
        <v>0.0</v>
      </c>
      <c r="AH1042" s="179">
        <v>0.0</v>
      </c>
      <c r="AI1042" s="179">
        <v>0.0</v>
      </c>
      <c r="AJ1042" s="179">
        <v>0.0</v>
      </c>
    </row>
    <row r="1043" ht="15.75" customHeight="1">
      <c r="A1043" s="65">
        <v>45689.0</v>
      </c>
      <c r="B1043" s="179" t="s">
        <v>771</v>
      </c>
      <c r="C1043" s="179" t="s">
        <v>1194</v>
      </c>
      <c r="D1043" s="179" t="s">
        <v>773</v>
      </c>
      <c r="E1043" s="179" t="s">
        <v>459</v>
      </c>
      <c r="F1043" s="179" t="s">
        <v>774</v>
      </c>
      <c r="G1043" s="179" t="s">
        <v>775</v>
      </c>
      <c r="H1043" s="179" t="s">
        <v>1106</v>
      </c>
      <c r="I1043" s="179"/>
      <c r="J1043" s="179" t="s">
        <v>429</v>
      </c>
      <c r="K1043" s="179">
        <v>1000.0</v>
      </c>
      <c r="L1043" s="179" t="s">
        <v>776</v>
      </c>
      <c r="M1043" s="179" t="s">
        <v>8</v>
      </c>
      <c r="N1043" s="179">
        <v>44751.0</v>
      </c>
      <c r="O1043" s="179">
        <v>248.0</v>
      </c>
      <c r="P1043" s="179">
        <v>0.0055</v>
      </c>
      <c r="Q1043" s="179">
        <v>8657.69</v>
      </c>
      <c r="R1043" s="179">
        <v>34.91</v>
      </c>
      <c r="S1043" s="179">
        <v>0.0</v>
      </c>
      <c r="T1043" s="179">
        <v>0.0</v>
      </c>
      <c r="U1043" s="179">
        <v>0.0</v>
      </c>
      <c r="V1043" s="179">
        <v>0.0</v>
      </c>
      <c r="W1043" s="179">
        <v>0.0</v>
      </c>
      <c r="X1043" s="179">
        <v>0.0</v>
      </c>
      <c r="Y1043" s="179">
        <v>0.0</v>
      </c>
      <c r="Z1043" s="179">
        <v>0.0</v>
      </c>
      <c r="AA1043" s="179">
        <v>0.0</v>
      </c>
      <c r="AB1043" s="179">
        <v>0.0</v>
      </c>
      <c r="AC1043" s="179">
        <v>0.0</v>
      </c>
      <c r="AD1043" s="179">
        <v>0.0</v>
      </c>
      <c r="AE1043" s="179">
        <v>0.0</v>
      </c>
      <c r="AF1043" s="179">
        <v>0.0</v>
      </c>
      <c r="AG1043" s="179">
        <v>0.0</v>
      </c>
      <c r="AH1043" s="179">
        <v>0.0</v>
      </c>
      <c r="AI1043" s="179">
        <v>0.0</v>
      </c>
      <c r="AJ1043" s="179">
        <v>0.0</v>
      </c>
    </row>
    <row r="1044" ht="15.75" customHeight="1">
      <c r="A1044" s="65">
        <v>45689.0</v>
      </c>
      <c r="B1044" s="179" t="s">
        <v>779</v>
      </c>
      <c r="C1044" s="179" t="s">
        <v>1196</v>
      </c>
      <c r="D1044" s="179" t="s">
        <v>781</v>
      </c>
      <c r="E1044" s="179" t="s">
        <v>459</v>
      </c>
      <c r="F1044" s="179" t="s">
        <v>774</v>
      </c>
      <c r="G1044" s="179" t="s">
        <v>775</v>
      </c>
      <c r="H1044" s="179" t="s">
        <v>1106</v>
      </c>
      <c r="I1044" s="179"/>
      <c r="J1044" s="179" t="s">
        <v>128</v>
      </c>
      <c r="K1044" s="179">
        <v>425.0</v>
      </c>
      <c r="L1044" s="195">
        <v>0.4615</v>
      </c>
      <c r="M1044" s="179" t="s">
        <v>8</v>
      </c>
      <c r="N1044" s="179">
        <v>7.0</v>
      </c>
      <c r="O1044" s="179">
        <v>1.0</v>
      </c>
      <c r="P1044" s="179">
        <v>0.1429</v>
      </c>
      <c r="Q1044" s="179">
        <v>9.47</v>
      </c>
      <c r="R1044" s="179">
        <v>9.47</v>
      </c>
      <c r="S1044" s="179">
        <v>0.0</v>
      </c>
      <c r="T1044" s="179">
        <v>0.0</v>
      </c>
      <c r="U1044" s="179">
        <v>0.0</v>
      </c>
      <c r="V1044" s="179">
        <v>0.0</v>
      </c>
      <c r="W1044" s="179">
        <v>0.0</v>
      </c>
      <c r="X1044" s="179">
        <v>0.0</v>
      </c>
      <c r="Y1044" s="179">
        <v>0.0</v>
      </c>
      <c r="Z1044" s="179">
        <v>0.0</v>
      </c>
      <c r="AA1044" s="179">
        <v>0.0</v>
      </c>
      <c r="AB1044" s="179">
        <v>0.0</v>
      </c>
      <c r="AC1044" s="179">
        <v>0.0</v>
      </c>
      <c r="AD1044" s="179">
        <v>0.0</v>
      </c>
      <c r="AE1044" s="179">
        <v>0.0</v>
      </c>
      <c r="AF1044" s="179">
        <v>0.0</v>
      </c>
      <c r="AG1044" s="179">
        <v>0.0</v>
      </c>
      <c r="AH1044" s="179">
        <v>0.0</v>
      </c>
      <c r="AI1044" s="179">
        <v>0.0</v>
      </c>
      <c r="AJ1044" s="179">
        <v>0.0</v>
      </c>
    </row>
    <row r="1045" ht="15.75" customHeight="1">
      <c r="A1045" s="65">
        <v>45689.0</v>
      </c>
      <c r="B1045" s="179" t="s">
        <v>779</v>
      </c>
      <c r="C1045" s="179" t="s">
        <v>1137</v>
      </c>
      <c r="D1045" s="179" t="s">
        <v>781</v>
      </c>
      <c r="E1045" s="179" t="s">
        <v>460</v>
      </c>
      <c r="F1045" s="179" t="s">
        <v>778</v>
      </c>
      <c r="G1045" s="179" t="s">
        <v>775</v>
      </c>
      <c r="H1045" s="179" t="s">
        <v>1106</v>
      </c>
      <c r="I1045" s="179"/>
      <c r="J1045" s="179" t="s">
        <v>211</v>
      </c>
      <c r="K1045" s="179">
        <v>500.0</v>
      </c>
      <c r="L1045" s="179" t="s">
        <v>776</v>
      </c>
      <c r="M1045" s="179" t="s">
        <v>8</v>
      </c>
      <c r="N1045" s="179">
        <v>20334.0</v>
      </c>
      <c r="O1045" s="179">
        <v>152.0</v>
      </c>
      <c r="P1045" s="179">
        <v>0.0075</v>
      </c>
      <c r="Q1045" s="179">
        <v>429.03</v>
      </c>
      <c r="R1045" s="179">
        <v>2.82</v>
      </c>
      <c r="S1045" s="179">
        <v>0.0</v>
      </c>
      <c r="T1045" s="179">
        <v>0.0</v>
      </c>
      <c r="U1045" s="179">
        <v>0.0</v>
      </c>
      <c r="V1045" s="179">
        <v>0.0</v>
      </c>
      <c r="W1045" s="179">
        <v>0.0</v>
      </c>
      <c r="X1045" s="179">
        <v>0.0</v>
      </c>
      <c r="Y1045" s="179">
        <v>0.0</v>
      </c>
      <c r="Z1045" s="179">
        <v>0.0</v>
      </c>
      <c r="AA1045" s="179">
        <v>0.0</v>
      </c>
      <c r="AB1045" s="179">
        <v>0.0</v>
      </c>
      <c r="AC1045" s="179">
        <v>0.0</v>
      </c>
      <c r="AD1045" s="179">
        <v>0.0</v>
      </c>
      <c r="AE1045" s="179">
        <v>0.0</v>
      </c>
      <c r="AF1045" s="179">
        <v>0.0</v>
      </c>
      <c r="AG1045" s="179">
        <v>0.0</v>
      </c>
      <c r="AH1045" s="179">
        <v>0.0</v>
      </c>
      <c r="AI1045" s="179">
        <v>0.0</v>
      </c>
      <c r="AJ1045" s="179">
        <v>0.0</v>
      </c>
    </row>
    <row r="1046" ht="15.75" customHeight="1">
      <c r="A1046" s="65">
        <v>45689.0</v>
      </c>
      <c r="B1046" s="179" t="s">
        <v>779</v>
      </c>
      <c r="C1046" s="179" t="s">
        <v>1144</v>
      </c>
      <c r="D1046" s="179" t="s">
        <v>781</v>
      </c>
      <c r="E1046" s="179" t="s">
        <v>459</v>
      </c>
      <c r="F1046" s="179" t="s">
        <v>774</v>
      </c>
      <c r="G1046" s="179" t="s">
        <v>775</v>
      </c>
      <c r="H1046" s="179" t="s">
        <v>1106</v>
      </c>
      <c r="I1046" s="179"/>
      <c r="J1046" s="179" t="s">
        <v>211</v>
      </c>
      <c r="K1046" s="179">
        <v>150.0</v>
      </c>
      <c r="L1046" s="179"/>
      <c r="M1046" s="179" t="s">
        <v>8</v>
      </c>
      <c r="N1046" s="179">
        <v>6.0</v>
      </c>
      <c r="O1046" s="179">
        <v>0.0</v>
      </c>
      <c r="P1046" s="179">
        <v>0.0</v>
      </c>
      <c r="Q1046" s="179">
        <v>0.0</v>
      </c>
      <c r="R1046" s="179">
        <v>0.0</v>
      </c>
      <c r="S1046" s="179">
        <v>0.0</v>
      </c>
      <c r="T1046" s="179">
        <v>0.0</v>
      </c>
      <c r="U1046" s="179">
        <v>0.0</v>
      </c>
      <c r="V1046" s="179">
        <v>0.0</v>
      </c>
      <c r="W1046" s="179">
        <v>0.0</v>
      </c>
      <c r="X1046" s="179">
        <v>0.0</v>
      </c>
      <c r="Y1046" s="179">
        <v>0.0</v>
      </c>
      <c r="Z1046" s="179">
        <v>0.0</v>
      </c>
      <c r="AA1046" s="179">
        <v>0.0</v>
      </c>
      <c r="AB1046" s="179">
        <v>0.0</v>
      </c>
      <c r="AC1046" s="179">
        <v>0.0</v>
      </c>
      <c r="AD1046" s="179">
        <v>0.0</v>
      </c>
      <c r="AE1046" s="179">
        <v>0.0</v>
      </c>
      <c r="AF1046" s="179">
        <v>0.0</v>
      </c>
      <c r="AG1046" s="179">
        <v>0.0</v>
      </c>
      <c r="AH1046" s="179">
        <v>0.0</v>
      </c>
      <c r="AI1046" s="179">
        <v>0.0</v>
      </c>
      <c r="AJ1046" s="179">
        <v>0.0</v>
      </c>
    </row>
    <row r="1047" ht="15.75" customHeight="1">
      <c r="A1047" s="65">
        <v>45689.0</v>
      </c>
      <c r="B1047" s="179" t="s">
        <v>779</v>
      </c>
      <c r="C1047" s="179" t="s">
        <v>1142</v>
      </c>
      <c r="D1047" s="179" t="s">
        <v>781</v>
      </c>
      <c r="E1047" s="179" t="s">
        <v>459</v>
      </c>
      <c r="F1047" s="179" t="s">
        <v>774</v>
      </c>
      <c r="G1047" s="179" t="s">
        <v>775</v>
      </c>
      <c r="H1047" s="179" t="s">
        <v>1106</v>
      </c>
      <c r="I1047" s="179"/>
      <c r="J1047" s="179" t="s">
        <v>321</v>
      </c>
      <c r="K1047" s="179">
        <v>500.0</v>
      </c>
      <c r="L1047" s="195">
        <v>0.053</v>
      </c>
      <c r="M1047" s="179" t="s">
        <v>8</v>
      </c>
      <c r="N1047" s="179">
        <v>1445.0</v>
      </c>
      <c r="O1047" s="179">
        <v>12.0</v>
      </c>
      <c r="P1047" s="179">
        <v>0.0083</v>
      </c>
      <c r="Q1047" s="179">
        <v>120.92</v>
      </c>
      <c r="R1047" s="179">
        <v>10.08</v>
      </c>
      <c r="S1047" s="179">
        <v>0.0</v>
      </c>
      <c r="T1047" s="179">
        <v>0.0</v>
      </c>
      <c r="U1047" s="179">
        <v>0.0</v>
      </c>
      <c r="V1047" s="179">
        <v>0.0</v>
      </c>
      <c r="W1047" s="179">
        <v>0.0</v>
      </c>
      <c r="X1047" s="179">
        <v>0.0</v>
      </c>
      <c r="Y1047" s="179">
        <v>0.0</v>
      </c>
      <c r="Z1047" s="179">
        <v>0.0</v>
      </c>
      <c r="AA1047" s="179">
        <v>0.0</v>
      </c>
      <c r="AB1047" s="179">
        <v>0.0</v>
      </c>
      <c r="AC1047" s="179">
        <v>0.0</v>
      </c>
      <c r="AD1047" s="179">
        <v>0.0</v>
      </c>
      <c r="AE1047" s="179">
        <v>0.0</v>
      </c>
      <c r="AF1047" s="179">
        <v>0.0</v>
      </c>
      <c r="AG1047" s="179">
        <v>0.0</v>
      </c>
      <c r="AH1047" s="179">
        <v>0.0</v>
      </c>
      <c r="AI1047" s="179">
        <v>0.0</v>
      </c>
      <c r="AJ1047" s="179">
        <v>0.0</v>
      </c>
    </row>
    <row r="1048" ht="15.75" customHeight="1">
      <c r="A1048" s="65">
        <v>45689.0</v>
      </c>
      <c r="B1048" s="179" t="s">
        <v>779</v>
      </c>
      <c r="C1048" s="179" t="s">
        <v>1198</v>
      </c>
      <c r="D1048" s="179" t="s">
        <v>781</v>
      </c>
      <c r="E1048" s="179" t="s">
        <v>459</v>
      </c>
      <c r="F1048" s="179" t="s">
        <v>774</v>
      </c>
      <c r="G1048" s="179" t="s">
        <v>775</v>
      </c>
      <c r="H1048" s="179" t="s">
        <v>1106</v>
      </c>
      <c r="I1048" s="179"/>
      <c r="J1048" s="179" t="s">
        <v>90</v>
      </c>
      <c r="K1048" s="179">
        <v>1000.0</v>
      </c>
      <c r="L1048" s="195">
        <v>0.0657</v>
      </c>
      <c r="M1048" s="179" t="s">
        <v>8</v>
      </c>
      <c r="N1048" s="179">
        <v>43696.0</v>
      </c>
      <c r="O1048" s="179">
        <v>67.0</v>
      </c>
      <c r="P1048" s="179">
        <v>0.0015</v>
      </c>
      <c r="Q1048" s="179">
        <v>2930.88</v>
      </c>
      <c r="R1048" s="179">
        <v>43.74</v>
      </c>
      <c r="S1048" s="179">
        <v>0.0</v>
      </c>
      <c r="T1048" s="179">
        <v>0.0</v>
      </c>
      <c r="U1048" s="179">
        <v>0.0</v>
      </c>
      <c r="V1048" s="179">
        <v>0.0</v>
      </c>
      <c r="W1048" s="179">
        <v>0.0</v>
      </c>
      <c r="X1048" s="179">
        <v>0.0</v>
      </c>
      <c r="Y1048" s="179">
        <v>0.0</v>
      </c>
      <c r="Z1048" s="179">
        <v>0.0</v>
      </c>
      <c r="AA1048" s="179">
        <v>0.0</v>
      </c>
      <c r="AB1048" s="179">
        <v>0.0</v>
      </c>
      <c r="AC1048" s="179">
        <v>0.0</v>
      </c>
      <c r="AD1048" s="179">
        <v>0.0</v>
      </c>
      <c r="AE1048" s="179">
        <v>0.0</v>
      </c>
      <c r="AF1048" s="179">
        <v>0.0</v>
      </c>
      <c r="AG1048" s="179">
        <v>0.0</v>
      </c>
      <c r="AH1048" s="179">
        <v>0.0</v>
      </c>
      <c r="AI1048" s="179">
        <v>0.0</v>
      </c>
      <c r="AJ1048" s="179">
        <v>0.0</v>
      </c>
    </row>
    <row r="1049" ht="15.75" customHeight="1">
      <c r="A1049" s="65">
        <v>45689.0</v>
      </c>
      <c r="B1049" s="179" t="s">
        <v>771</v>
      </c>
      <c r="C1049" s="179" t="s">
        <v>1200</v>
      </c>
      <c r="D1049" s="179" t="s">
        <v>773</v>
      </c>
      <c r="E1049" s="179" t="s">
        <v>459</v>
      </c>
      <c r="F1049" s="179" t="s">
        <v>774</v>
      </c>
      <c r="G1049" s="179" t="s">
        <v>775</v>
      </c>
      <c r="H1049" s="179" t="s">
        <v>1106</v>
      </c>
      <c r="I1049" s="179"/>
      <c r="J1049" s="179" t="s">
        <v>176</v>
      </c>
      <c r="K1049" s="179">
        <v>1500.0</v>
      </c>
      <c r="L1049" s="179" t="s">
        <v>776</v>
      </c>
      <c r="M1049" s="179" t="s">
        <v>8</v>
      </c>
      <c r="N1049" s="179">
        <v>117653.0</v>
      </c>
      <c r="O1049" s="179">
        <v>189.0</v>
      </c>
      <c r="P1049" s="179">
        <v>0.0016</v>
      </c>
      <c r="Q1049" s="179">
        <v>2939.21</v>
      </c>
      <c r="R1049" s="179">
        <v>15.55</v>
      </c>
      <c r="S1049" s="179">
        <v>0.0</v>
      </c>
      <c r="T1049" s="179">
        <v>0.0</v>
      </c>
      <c r="U1049" s="179">
        <v>0.0</v>
      </c>
      <c r="V1049" s="179">
        <v>0.0</v>
      </c>
      <c r="W1049" s="179">
        <v>0.0</v>
      </c>
      <c r="X1049" s="179">
        <v>0.0</v>
      </c>
      <c r="Y1049" s="179">
        <v>0.0</v>
      </c>
      <c r="Z1049" s="179">
        <v>0.0</v>
      </c>
      <c r="AA1049" s="179">
        <v>0.0</v>
      </c>
      <c r="AB1049" s="179">
        <v>0.0</v>
      </c>
      <c r="AC1049" s="179">
        <v>0.0</v>
      </c>
      <c r="AD1049" s="179">
        <v>0.0</v>
      </c>
      <c r="AE1049" s="179">
        <v>0.0</v>
      </c>
      <c r="AF1049" s="179">
        <v>0.0</v>
      </c>
      <c r="AG1049" s="179">
        <v>0.0</v>
      </c>
      <c r="AH1049" s="179">
        <v>0.0</v>
      </c>
      <c r="AI1049" s="179">
        <v>0.0</v>
      </c>
      <c r="AJ1049" s="179">
        <v>0.0</v>
      </c>
    </row>
    <row r="1050" ht="15.75" customHeight="1">
      <c r="A1050" s="65">
        <v>45689.0</v>
      </c>
      <c r="B1050" s="179" t="s">
        <v>771</v>
      </c>
      <c r="C1050" s="179" t="s">
        <v>1201</v>
      </c>
      <c r="D1050" s="179" t="s">
        <v>773</v>
      </c>
      <c r="E1050" s="179" t="s">
        <v>459</v>
      </c>
      <c r="F1050" s="179" t="s">
        <v>774</v>
      </c>
      <c r="G1050" s="179" t="s">
        <v>775</v>
      </c>
      <c r="H1050" s="179" t="s">
        <v>1106</v>
      </c>
      <c r="I1050" s="179"/>
      <c r="J1050" s="179" t="s">
        <v>128</v>
      </c>
      <c r="K1050" s="179">
        <v>2000.0</v>
      </c>
      <c r="L1050" s="179" t="s">
        <v>776</v>
      </c>
      <c r="M1050" s="179" t="s">
        <v>8</v>
      </c>
      <c r="N1050" s="179">
        <v>3476.0</v>
      </c>
      <c r="O1050" s="179">
        <v>17.0</v>
      </c>
      <c r="P1050" s="179">
        <v>0.0049</v>
      </c>
      <c r="Q1050" s="179">
        <v>636.92</v>
      </c>
      <c r="R1050" s="179">
        <v>37.47</v>
      </c>
      <c r="S1050" s="179">
        <v>0.0</v>
      </c>
      <c r="T1050" s="179">
        <v>0.0</v>
      </c>
      <c r="U1050" s="179">
        <v>0.0</v>
      </c>
      <c r="V1050" s="179">
        <v>0.0</v>
      </c>
      <c r="W1050" s="179">
        <v>0.0</v>
      </c>
      <c r="X1050" s="179">
        <v>0.0</v>
      </c>
      <c r="Y1050" s="179">
        <v>0.0</v>
      </c>
      <c r="Z1050" s="179">
        <v>0.0</v>
      </c>
      <c r="AA1050" s="179">
        <v>0.0</v>
      </c>
      <c r="AB1050" s="179">
        <v>0.0</v>
      </c>
      <c r="AC1050" s="179">
        <v>0.0</v>
      </c>
      <c r="AD1050" s="179">
        <v>0.0</v>
      </c>
      <c r="AE1050" s="179">
        <v>0.0</v>
      </c>
      <c r="AF1050" s="179">
        <v>0.0</v>
      </c>
      <c r="AG1050" s="179">
        <v>0.0</v>
      </c>
      <c r="AH1050" s="179">
        <v>0.0</v>
      </c>
      <c r="AI1050" s="179">
        <v>0.0</v>
      </c>
      <c r="AJ1050" s="179">
        <v>0.0</v>
      </c>
    </row>
    <row r="1051" ht="15.75" customHeight="1">
      <c r="A1051" s="65">
        <v>45689.0</v>
      </c>
      <c r="B1051" s="179" t="s">
        <v>779</v>
      </c>
      <c r="C1051" s="179" t="s">
        <v>1202</v>
      </c>
      <c r="D1051" s="179" t="s">
        <v>781</v>
      </c>
      <c r="E1051" s="179" t="s">
        <v>459</v>
      </c>
      <c r="F1051" s="179" t="s">
        <v>774</v>
      </c>
      <c r="G1051" s="179" t="s">
        <v>775</v>
      </c>
      <c r="H1051" s="179" t="s">
        <v>1106</v>
      </c>
      <c r="I1051" s="179"/>
      <c r="J1051" s="179" t="s">
        <v>211</v>
      </c>
      <c r="K1051" s="179">
        <v>500.0</v>
      </c>
      <c r="L1051" s="179" t="s">
        <v>776</v>
      </c>
      <c r="M1051" s="179" t="s">
        <v>8</v>
      </c>
      <c r="N1051" s="179">
        <v>3301.0</v>
      </c>
      <c r="O1051" s="179">
        <v>5.0</v>
      </c>
      <c r="P1051" s="179">
        <v>0.0015</v>
      </c>
      <c r="Q1051" s="179">
        <v>71.22</v>
      </c>
      <c r="R1051" s="179">
        <v>14.24</v>
      </c>
      <c r="S1051" s="179">
        <v>0.0</v>
      </c>
      <c r="T1051" s="179">
        <v>0.0</v>
      </c>
      <c r="U1051" s="179">
        <v>0.0</v>
      </c>
      <c r="V1051" s="179">
        <v>0.0</v>
      </c>
      <c r="W1051" s="179">
        <v>0.0</v>
      </c>
      <c r="X1051" s="179">
        <v>0.0</v>
      </c>
      <c r="Y1051" s="179">
        <v>0.0</v>
      </c>
      <c r="Z1051" s="179">
        <v>0.0</v>
      </c>
      <c r="AA1051" s="179">
        <v>0.0</v>
      </c>
      <c r="AB1051" s="179">
        <v>0.0</v>
      </c>
      <c r="AC1051" s="179">
        <v>0.0</v>
      </c>
      <c r="AD1051" s="179">
        <v>0.0</v>
      </c>
      <c r="AE1051" s="179">
        <v>0.0</v>
      </c>
      <c r="AF1051" s="179">
        <v>0.0</v>
      </c>
      <c r="AG1051" s="179">
        <v>0.0</v>
      </c>
      <c r="AH1051" s="179">
        <v>0.0</v>
      </c>
      <c r="AI1051" s="179">
        <v>0.0</v>
      </c>
      <c r="AJ1051" s="179">
        <v>0.0</v>
      </c>
    </row>
    <row r="1052" ht="15.75" customHeight="1">
      <c r="A1052" s="65">
        <v>45689.0</v>
      </c>
      <c r="B1052" s="179" t="s">
        <v>771</v>
      </c>
      <c r="C1052" s="179" t="s">
        <v>1203</v>
      </c>
      <c r="D1052" s="179" t="s">
        <v>773</v>
      </c>
      <c r="E1052" s="179" t="s">
        <v>459</v>
      </c>
      <c r="F1052" s="179" t="s">
        <v>774</v>
      </c>
      <c r="G1052" s="179" t="s">
        <v>775</v>
      </c>
      <c r="H1052" s="179" t="s">
        <v>1106</v>
      </c>
      <c r="I1052" s="179"/>
      <c r="J1052" s="179" t="s">
        <v>230</v>
      </c>
      <c r="K1052" s="179">
        <v>500.0</v>
      </c>
      <c r="L1052" s="195">
        <v>0.0853</v>
      </c>
      <c r="M1052" s="179" t="s">
        <v>8</v>
      </c>
      <c r="N1052" s="179">
        <v>10429.0</v>
      </c>
      <c r="O1052" s="179">
        <v>19.0</v>
      </c>
      <c r="P1052" s="179">
        <v>0.0018</v>
      </c>
      <c r="Q1052" s="179">
        <v>812.27</v>
      </c>
      <c r="R1052" s="179">
        <v>42.75</v>
      </c>
      <c r="S1052" s="179">
        <v>0.0</v>
      </c>
      <c r="T1052" s="179">
        <v>0.0</v>
      </c>
      <c r="U1052" s="179">
        <v>0.0</v>
      </c>
      <c r="V1052" s="179">
        <v>0.0</v>
      </c>
      <c r="W1052" s="179">
        <v>0.0</v>
      </c>
      <c r="X1052" s="179">
        <v>0.0</v>
      </c>
      <c r="Y1052" s="179">
        <v>0.0</v>
      </c>
      <c r="Z1052" s="179">
        <v>0.0</v>
      </c>
      <c r="AA1052" s="179">
        <v>0.0</v>
      </c>
      <c r="AB1052" s="179">
        <v>0.0</v>
      </c>
      <c r="AC1052" s="179">
        <v>0.0</v>
      </c>
      <c r="AD1052" s="179">
        <v>0.0</v>
      </c>
      <c r="AE1052" s="179">
        <v>0.0</v>
      </c>
      <c r="AF1052" s="179">
        <v>0.0</v>
      </c>
      <c r="AG1052" s="179">
        <v>0.0</v>
      </c>
      <c r="AH1052" s="179">
        <v>0.0</v>
      </c>
      <c r="AI1052" s="179">
        <v>0.0</v>
      </c>
      <c r="AJ1052" s="179">
        <v>0.0</v>
      </c>
    </row>
    <row r="1053" ht="15.75" customHeight="1">
      <c r="A1053" s="65">
        <v>45689.0</v>
      </c>
      <c r="B1053" s="179" t="s">
        <v>771</v>
      </c>
      <c r="C1053" s="179" t="s">
        <v>1204</v>
      </c>
      <c r="D1053" s="179" t="s">
        <v>773</v>
      </c>
      <c r="E1053" s="179" t="s">
        <v>459</v>
      </c>
      <c r="F1053" s="179" t="s">
        <v>774</v>
      </c>
      <c r="G1053" s="179" t="s">
        <v>775</v>
      </c>
      <c r="H1053" s="179" t="s">
        <v>1106</v>
      </c>
      <c r="I1053" s="179"/>
      <c r="J1053" s="179" t="s">
        <v>429</v>
      </c>
      <c r="K1053" s="179">
        <v>500.0</v>
      </c>
      <c r="L1053" s="179" t="s">
        <v>776</v>
      </c>
      <c r="M1053" s="179" t="s">
        <v>8</v>
      </c>
      <c r="N1053" s="179">
        <v>81274.0</v>
      </c>
      <c r="O1053" s="179">
        <v>221.0</v>
      </c>
      <c r="P1053" s="179">
        <v>0.0027</v>
      </c>
      <c r="Q1053" s="179">
        <v>7900.3</v>
      </c>
      <c r="R1053" s="179">
        <v>35.75</v>
      </c>
      <c r="S1053" s="179">
        <v>0.0</v>
      </c>
      <c r="T1053" s="179">
        <v>0.0</v>
      </c>
      <c r="U1053" s="179">
        <v>0.0</v>
      </c>
      <c r="V1053" s="179">
        <v>0.0</v>
      </c>
      <c r="W1053" s="179">
        <v>0.0</v>
      </c>
      <c r="X1053" s="179">
        <v>0.0</v>
      </c>
      <c r="Y1053" s="179">
        <v>0.0</v>
      </c>
      <c r="Z1053" s="179">
        <v>0.0</v>
      </c>
      <c r="AA1053" s="179">
        <v>0.0</v>
      </c>
      <c r="AB1053" s="179">
        <v>0.0</v>
      </c>
      <c r="AC1053" s="179">
        <v>0.0</v>
      </c>
      <c r="AD1053" s="179">
        <v>0.0</v>
      </c>
      <c r="AE1053" s="179">
        <v>0.0</v>
      </c>
      <c r="AF1053" s="179">
        <v>0.0</v>
      </c>
      <c r="AG1053" s="179">
        <v>0.0</v>
      </c>
      <c r="AH1053" s="179">
        <v>0.0</v>
      </c>
      <c r="AI1053" s="179">
        <v>0.0</v>
      </c>
      <c r="AJ1053" s="179">
        <v>0.0</v>
      </c>
    </row>
    <row r="1054" ht="15.75" customHeight="1">
      <c r="A1054" s="65">
        <v>45689.0</v>
      </c>
      <c r="B1054" s="179" t="s">
        <v>771</v>
      </c>
      <c r="C1054" s="179" t="s">
        <v>1205</v>
      </c>
      <c r="D1054" s="179" t="s">
        <v>773</v>
      </c>
      <c r="E1054" s="179" t="s">
        <v>459</v>
      </c>
      <c r="F1054" s="179" t="s">
        <v>774</v>
      </c>
      <c r="G1054" s="179" t="s">
        <v>775</v>
      </c>
      <c r="H1054" s="179" t="s">
        <v>1106</v>
      </c>
      <c r="I1054" s="179"/>
      <c r="J1054" s="179" t="s">
        <v>134</v>
      </c>
      <c r="K1054" s="179">
        <v>500.0</v>
      </c>
      <c r="L1054" s="179" t="s">
        <v>776</v>
      </c>
      <c r="M1054" s="179" t="s">
        <v>8</v>
      </c>
      <c r="N1054" s="179">
        <v>1808.0</v>
      </c>
      <c r="O1054" s="179">
        <v>3.0</v>
      </c>
      <c r="P1054" s="179">
        <v>0.0017</v>
      </c>
      <c r="Q1054" s="179">
        <v>29.0</v>
      </c>
      <c r="R1054" s="179">
        <v>9.67</v>
      </c>
      <c r="S1054" s="179">
        <v>0.0</v>
      </c>
      <c r="T1054" s="179">
        <v>0.0</v>
      </c>
      <c r="U1054" s="179">
        <v>0.0</v>
      </c>
      <c r="V1054" s="179">
        <v>0.0</v>
      </c>
      <c r="W1054" s="179">
        <v>0.0</v>
      </c>
      <c r="X1054" s="179">
        <v>0.0</v>
      </c>
      <c r="Y1054" s="179">
        <v>0.0</v>
      </c>
      <c r="Z1054" s="179">
        <v>0.0</v>
      </c>
      <c r="AA1054" s="179">
        <v>0.0</v>
      </c>
      <c r="AB1054" s="179">
        <v>0.0</v>
      </c>
      <c r="AC1054" s="179">
        <v>0.0</v>
      </c>
      <c r="AD1054" s="179">
        <v>0.0</v>
      </c>
      <c r="AE1054" s="179">
        <v>0.0</v>
      </c>
      <c r="AF1054" s="179">
        <v>0.0</v>
      </c>
      <c r="AG1054" s="179">
        <v>0.0</v>
      </c>
      <c r="AH1054" s="179">
        <v>0.0</v>
      </c>
      <c r="AI1054" s="179">
        <v>0.0</v>
      </c>
      <c r="AJ1054" s="179">
        <v>0.0</v>
      </c>
    </row>
    <row r="1055" ht="15.75" customHeight="1">
      <c r="A1055" s="65">
        <v>45689.0</v>
      </c>
      <c r="B1055" s="179" t="s">
        <v>771</v>
      </c>
      <c r="C1055" s="179" t="s">
        <v>1207</v>
      </c>
      <c r="D1055" s="179" t="s">
        <v>773</v>
      </c>
      <c r="E1055" s="179" t="s">
        <v>459</v>
      </c>
      <c r="F1055" s="179" t="s">
        <v>774</v>
      </c>
      <c r="G1055" s="179" t="s">
        <v>775</v>
      </c>
      <c r="H1055" s="179" t="s">
        <v>1106</v>
      </c>
      <c r="I1055" s="179"/>
      <c r="J1055" s="179" t="s">
        <v>134</v>
      </c>
      <c r="K1055" s="179">
        <v>1000.0</v>
      </c>
      <c r="L1055" s="179" t="s">
        <v>776</v>
      </c>
      <c r="M1055" s="179" t="s">
        <v>8</v>
      </c>
      <c r="N1055" s="179">
        <v>118223.0</v>
      </c>
      <c r="O1055" s="179">
        <v>153.0</v>
      </c>
      <c r="P1055" s="179">
        <v>0.0013</v>
      </c>
      <c r="Q1055" s="179">
        <v>6088.95</v>
      </c>
      <c r="R1055" s="179">
        <v>39.8</v>
      </c>
      <c r="S1055" s="179">
        <v>0.0</v>
      </c>
      <c r="T1055" s="179">
        <v>0.0</v>
      </c>
      <c r="U1055" s="179">
        <v>0.0</v>
      </c>
      <c r="V1055" s="179">
        <v>0.0</v>
      </c>
      <c r="W1055" s="179">
        <v>0.0</v>
      </c>
      <c r="X1055" s="179">
        <v>0.0</v>
      </c>
      <c r="Y1055" s="179">
        <v>0.0</v>
      </c>
      <c r="Z1055" s="179">
        <v>0.0</v>
      </c>
      <c r="AA1055" s="179">
        <v>0.0</v>
      </c>
      <c r="AB1055" s="179">
        <v>0.0</v>
      </c>
      <c r="AC1055" s="179">
        <v>0.0</v>
      </c>
      <c r="AD1055" s="179">
        <v>0.0</v>
      </c>
      <c r="AE1055" s="179">
        <v>0.0</v>
      </c>
      <c r="AF1055" s="179">
        <v>0.0</v>
      </c>
      <c r="AG1055" s="179">
        <v>0.0</v>
      </c>
      <c r="AH1055" s="179">
        <v>0.0</v>
      </c>
      <c r="AI1055" s="179">
        <v>0.0</v>
      </c>
      <c r="AJ1055" s="179">
        <v>0.0</v>
      </c>
    </row>
    <row r="1056" ht="15.75" customHeight="1">
      <c r="A1056" s="65">
        <v>45689.0</v>
      </c>
      <c r="B1056" s="179" t="s">
        <v>771</v>
      </c>
      <c r="C1056" s="179" t="s">
        <v>1208</v>
      </c>
      <c r="D1056" s="179" t="s">
        <v>773</v>
      </c>
      <c r="E1056" s="179" t="s">
        <v>459</v>
      </c>
      <c r="F1056" s="179" t="s">
        <v>774</v>
      </c>
      <c r="G1056" s="179" t="s">
        <v>775</v>
      </c>
      <c r="H1056" s="179" t="s">
        <v>1106</v>
      </c>
      <c r="I1056" s="179"/>
      <c r="J1056" s="179" t="s">
        <v>134</v>
      </c>
      <c r="K1056" s="179">
        <v>1000.0</v>
      </c>
      <c r="L1056" s="179" t="s">
        <v>776</v>
      </c>
      <c r="M1056" s="179" t="s">
        <v>8</v>
      </c>
      <c r="N1056" s="179">
        <v>1555.0</v>
      </c>
      <c r="O1056" s="179">
        <v>2.0</v>
      </c>
      <c r="P1056" s="179">
        <v>0.0013</v>
      </c>
      <c r="Q1056" s="179">
        <v>19.49</v>
      </c>
      <c r="R1056" s="179">
        <v>9.75</v>
      </c>
      <c r="S1056" s="179">
        <v>0.0</v>
      </c>
      <c r="T1056" s="179">
        <v>0.0</v>
      </c>
      <c r="U1056" s="179">
        <v>0.0</v>
      </c>
      <c r="V1056" s="179">
        <v>0.0</v>
      </c>
      <c r="W1056" s="179">
        <v>0.0</v>
      </c>
      <c r="X1056" s="179">
        <v>0.0</v>
      </c>
      <c r="Y1056" s="179">
        <v>0.0</v>
      </c>
      <c r="Z1056" s="179">
        <v>0.0</v>
      </c>
      <c r="AA1056" s="179">
        <v>0.0</v>
      </c>
      <c r="AB1056" s="179">
        <v>0.0</v>
      </c>
      <c r="AC1056" s="179">
        <v>0.0</v>
      </c>
      <c r="AD1056" s="179">
        <v>0.0</v>
      </c>
      <c r="AE1056" s="179">
        <v>0.0</v>
      </c>
      <c r="AF1056" s="179">
        <v>0.0</v>
      </c>
      <c r="AG1056" s="179">
        <v>0.0</v>
      </c>
      <c r="AH1056" s="179">
        <v>0.0</v>
      </c>
      <c r="AI1056" s="179">
        <v>0.0</v>
      </c>
      <c r="AJ1056" s="179">
        <v>0.0</v>
      </c>
    </row>
    <row r="1057" ht="15.75" customHeight="1">
      <c r="A1057" s="65">
        <v>45689.0</v>
      </c>
      <c r="B1057" s="179" t="s">
        <v>771</v>
      </c>
      <c r="C1057" s="179" t="s">
        <v>1210</v>
      </c>
      <c r="D1057" s="179" t="s">
        <v>773</v>
      </c>
      <c r="E1057" s="179" t="s">
        <v>459</v>
      </c>
      <c r="F1057" s="179" t="s">
        <v>774</v>
      </c>
      <c r="G1057" s="179" t="s">
        <v>775</v>
      </c>
      <c r="H1057" s="179" t="s">
        <v>1106</v>
      </c>
      <c r="I1057" s="179"/>
      <c r="J1057" s="179" t="s">
        <v>134</v>
      </c>
      <c r="K1057" s="179">
        <v>500.0</v>
      </c>
      <c r="L1057" s="179" t="s">
        <v>776</v>
      </c>
      <c r="M1057" s="179" t="s">
        <v>8</v>
      </c>
      <c r="N1057" s="179">
        <v>7906.0</v>
      </c>
      <c r="O1057" s="179">
        <v>25.0</v>
      </c>
      <c r="P1057" s="179">
        <v>0.0032</v>
      </c>
      <c r="Q1057" s="179">
        <v>513.35</v>
      </c>
      <c r="R1057" s="179">
        <v>20.53</v>
      </c>
      <c r="S1057" s="179">
        <v>0.0</v>
      </c>
      <c r="T1057" s="179">
        <v>0.0</v>
      </c>
      <c r="U1057" s="179">
        <v>0.0</v>
      </c>
      <c r="V1057" s="179">
        <v>0.0</v>
      </c>
      <c r="W1057" s="179">
        <v>0.0</v>
      </c>
      <c r="X1057" s="179">
        <v>0.0</v>
      </c>
      <c r="Y1057" s="179">
        <v>0.0</v>
      </c>
      <c r="Z1057" s="179">
        <v>0.0</v>
      </c>
      <c r="AA1057" s="179">
        <v>0.0</v>
      </c>
      <c r="AB1057" s="179">
        <v>0.0</v>
      </c>
      <c r="AC1057" s="179">
        <v>0.0</v>
      </c>
      <c r="AD1057" s="179">
        <v>0.0</v>
      </c>
      <c r="AE1057" s="179">
        <v>0.0</v>
      </c>
      <c r="AF1057" s="179">
        <v>0.0</v>
      </c>
      <c r="AG1057" s="179">
        <v>0.0</v>
      </c>
      <c r="AH1057" s="179">
        <v>0.0</v>
      </c>
      <c r="AI1057" s="179">
        <v>0.0</v>
      </c>
      <c r="AJ1057" s="179">
        <v>0.0</v>
      </c>
    </row>
    <row r="1058" ht="15.75" customHeight="1">
      <c r="A1058" s="65">
        <v>45689.0</v>
      </c>
      <c r="B1058" s="179" t="s">
        <v>771</v>
      </c>
      <c r="C1058" s="179" t="s">
        <v>1212</v>
      </c>
      <c r="D1058" s="179" t="s">
        <v>773</v>
      </c>
      <c r="E1058" s="179" t="s">
        <v>459</v>
      </c>
      <c r="F1058" s="179" t="s">
        <v>774</v>
      </c>
      <c r="G1058" s="179" t="s">
        <v>775</v>
      </c>
      <c r="H1058" s="179" t="s">
        <v>1106</v>
      </c>
      <c r="I1058" s="179"/>
      <c r="J1058" s="179" t="s">
        <v>134</v>
      </c>
      <c r="K1058" s="179">
        <v>1000.0</v>
      </c>
      <c r="L1058" s="179" t="s">
        <v>776</v>
      </c>
      <c r="M1058" s="179" t="s">
        <v>8</v>
      </c>
      <c r="N1058" s="179">
        <v>2048.0</v>
      </c>
      <c r="O1058" s="179">
        <v>5.0</v>
      </c>
      <c r="P1058" s="179">
        <v>0.0024</v>
      </c>
      <c r="Q1058" s="179">
        <v>135.67</v>
      </c>
      <c r="R1058" s="179">
        <v>27.13</v>
      </c>
      <c r="S1058" s="179">
        <v>0.0</v>
      </c>
      <c r="T1058" s="179">
        <v>0.0</v>
      </c>
      <c r="U1058" s="179">
        <v>0.0</v>
      </c>
      <c r="V1058" s="179">
        <v>0.0</v>
      </c>
      <c r="W1058" s="179">
        <v>0.0</v>
      </c>
      <c r="X1058" s="179">
        <v>0.0</v>
      </c>
      <c r="Y1058" s="179">
        <v>0.0</v>
      </c>
      <c r="Z1058" s="179">
        <v>0.0</v>
      </c>
      <c r="AA1058" s="179">
        <v>0.0</v>
      </c>
      <c r="AB1058" s="179">
        <v>0.0</v>
      </c>
      <c r="AC1058" s="179">
        <v>0.0</v>
      </c>
      <c r="AD1058" s="179">
        <v>0.0</v>
      </c>
      <c r="AE1058" s="179">
        <v>0.0</v>
      </c>
      <c r="AF1058" s="179">
        <v>0.0</v>
      </c>
      <c r="AG1058" s="179">
        <v>0.0</v>
      </c>
      <c r="AH1058" s="179">
        <v>0.0</v>
      </c>
      <c r="AI1058" s="179">
        <v>0.0</v>
      </c>
      <c r="AJ1058" s="179">
        <v>0.0</v>
      </c>
    </row>
    <row r="1059" ht="15.75" customHeight="1">
      <c r="A1059" s="65">
        <v>45689.0</v>
      </c>
      <c r="B1059" s="179" t="s">
        <v>771</v>
      </c>
      <c r="C1059" s="179" t="s">
        <v>1214</v>
      </c>
      <c r="D1059" s="179" t="s">
        <v>773</v>
      </c>
      <c r="E1059" s="179" t="s">
        <v>459</v>
      </c>
      <c r="F1059" s="179" t="s">
        <v>774</v>
      </c>
      <c r="G1059" s="179" t="s">
        <v>775</v>
      </c>
      <c r="H1059" s="179" t="s">
        <v>1106</v>
      </c>
      <c r="I1059" s="179"/>
      <c r="J1059" s="179" t="s">
        <v>134</v>
      </c>
      <c r="K1059" s="179">
        <v>1000.0</v>
      </c>
      <c r="L1059" s="179" t="s">
        <v>776</v>
      </c>
      <c r="M1059" s="179" t="s">
        <v>8</v>
      </c>
      <c r="N1059" s="179">
        <v>4131.0</v>
      </c>
      <c r="O1059" s="179">
        <v>11.0</v>
      </c>
      <c r="P1059" s="179">
        <v>0.0027</v>
      </c>
      <c r="Q1059" s="179">
        <v>181.45</v>
      </c>
      <c r="R1059" s="179">
        <v>16.5</v>
      </c>
      <c r="S1059" s="179">
        <v>0.0</v>
      </c>
      <c r="T1059" s="179">
        <v>0.0</v>
      </c>
      <c r="U1059" s="179">
        <v>0.0</v>
      </c>
      <c r="V1059" s="179">
        <v>0.0</v>
      </c>
      <c r="W1059" s="179">
        <v>0.0</v>
      </c>
      <c r="X1059" s="179">
        <v>0.0</v>
      </c>
      <c r="Y1059" s="179">
        <v>0.0</v>
      </c>
      <c r="Z1059" s="179">
        <v>0.0</v>
      </c>
      <c r="AA1059" s="179">
        <v>0.0</v>
      </c>
      <c r="AB1059" s="179">
        <v>0.0</v>
      </c>
      <c r="AC1059" s="179">
        <v>0.0</v>
      </c>
      <c r="AD1059" s="179">
        <v>0.0</v>
      </c>
      <c r="AE1059" s="179">
        <v>0.0</v>
      </c>
      <c r="AF1059" s="179">
        <v>0.0</v>
      </c>
      <c r="AG1059" s="179">
        <v>0.0</v>
      </c>
      <c r="AH1059" s="179">
        <v>0.0</v>
      </c>
      <c r="AI1059" s="179">
        <v>0.0</v>
      </c>
      <c r="AJ1059" s="179">
        <v>0.0</v>
      </c>
    </row>
    <row r="1060" ht="15.75" customHeight="1">
      <c r="A1060" s="65">
        <v>45689.0</v>
      </c>
      <c r="B1060" s="179" t="s">
        <v>771</v>
      </c>
      <c r="C1060" s="179" t="s">
        <v>1216</v>
      </c>
      <c r="D1060" s="179" t="s">
        <v>773</v>
      </c>
      <c r="E1060" s="179" t="s">
        <v>460</v>
      </c>
      <c r="F1060" s="179" t="s">
        <v>778</v>
      </c>
      <c r="G1060" s="179" t="s">
        <v>775</v>
      </c>
      <c r="H1060" s="179" t="s">
        <v>1106</v>
      </c>
      <c r="I1060" s="179"/>
      <c r="J1060" s="179" t="s">
        <v>134</v>
      </c>
      <c r="K1060" s="179">
        <v>200.0</v>
      </c>
      <c r="L1060" s="179" t="s">
        <v>776</v>
      </c>
      <c r="M1060" s="179" t="s">
        <v>8</v>
      </c>
      <c r="N1060" s="179">
        <v>32823.0</v>
      </c>
      <c r="O1060" s="179">
        <v>38.0</v>
      </c>
      <c r="P1060" s="179">
        <v>0.0012</v>
      </c>
      <c r="Q1060" s="179">
        <v>209.37</v>
      </c>
      <c r="R1060" s="179">
        <v>5.51</v>
      </c>
      <c r="S1060" s="179">
        <v>0.0</v>
      </c>
      <c r="T1060" s="179">
        <v>0.0</v>
      </c>
      <c r="U1060" s="179">
        <v>0.0</v>
      </c>
      <c r="V1060" s="179">
        <v>0.0</v>
      </c>
      <c r="W1060" s="179">
        <v>0.0</v>
      </c>
      <c r="X1060" s="179">
        <v>0.0</v>
      </c>
      <c r="Y1060" s="179">
        <v>0.0</v>
      </c>
      <c r="Z1060" s="179">
        <v>0.0</v>
      </c>
      <c r="AA1060" s="179">
        <v>0.0</v>
      </c>
      <c r="AB1060" s="179">
        <v>0.0</v>
      </c>
      <c r="AC1060" s="179">
        <v>0.0</v>
      </c>
      <c r="AD1060" s="179">
        <v>0.0</v>
      </c>
      <c r="AE1060" s="179">
        <v>0.0</v>
      </c>
      <c r="AF1060" s="179">
        <v>0.0</v>
      </c>
      <c r="AG1060" s="179">
        <v>0.0</v>
      </c>
      <c r="AH1060" s="179">
        <v>0.0</v>
      </c>
      <c r="AI1060" s="179">
        <v>0.0</v>
      </c>
      <c r="AJ1060" s="179">
        <v>0.0</v>
      </c>
    </row>
    <row r="1061" ht="15.75" customHeight="1">
      <c r="A1061" s="65">
        <v>45689.0</v>
      </c>
      <c r="B1061" s="179" t="s">
        <v>771</v>
      </c>
      <c r="C1061" s="179" t="s">
        <v>1217</v>
      </c>
      <c r="D1061" s="179" t="s">
        <v>773</v>
      </c>
      <c r="E1061" s="179" t="s">
        <v>460</v>
      </c>
      <c r="F1061" s="179" t="s">
        <v>778</v>
      </c>
      <c r="G1061" s="179" t="s">
        <v>775</v>
      </c>
      <c r="H1061" s="179" t="s">
        <v>1106</v>
      </c>
      <c r="I1061" s="179"/>
      <c r="J1061" s="179" t="s">
        <v>134</v>
      </c>
      <c r="K1061" s="179">
        <v>200.0</v>
      </c>
      <c r="L1061" s="179" t="s">
        <v>776</v>
      </c>
      <c r="M1061" s="179" t="s">
        <v>8</v>
      </c>
      <c r="N1061" s="179">
        <v>1271.0</v>
      </c>
      <c r="O1061" s="179">
        <v>2.0</v>
      </c>
      <c r="P1061" s="179">
        <v>0.0016</v>
      </c>
      <c r="Q1061" s="179">
        <v>9.55</v>
      </c>
      <c r="R1061" s="179">
        <v>4.78</v>
      </c>
      <c r="S1061" s="179">
        <v>0.0</v>
      </c>
      <c r="T1061" s="179">
        <v>0.0</v>
      </c>
      <c r="U1061" s="179">
        <v>0.0</v>
      </c>
      <c r="V1061" s="179">
        <v>0.0</v>
      </c>
      <c r="W1061" s="179">
        <v>0.0</v>
      </c>
      <c r="X1061" s="179">
        <v>0.0</v>
      </c>
      <c r="Y1061" s="179">
        <v>0.0</v>
      </c>
      <c r="Z1061" s="179">
        <v>0.0</v>
      </c>
      <c r="AA1061" s="179">
        <v>0.0</v>
      </c>
      <c r="AB1061" s="179">
        <v>0.0</v>
      </c>
      <c r="AC1061" s="179">
        <v>0.0</v>
      </c>
      <c r="AD1061" s="179">
        <v>0.0</v>
      </c>
      <c r="AE1061" s="179">
        <v>0.0</v>
      </c>
      <c r="AF1061" s="179">
        <v>0.0</v>
      </c>
      <c r="AG1061" s="179">
        <v>0.0</v>
      </c>
      <c r="AH1061" s="179">
        <v>0.0</v>
      </c>
      <c r="AI1061" s="179">
        <v>0.0</v>
      </c>
      <c r="AJ1061" s="179">
        <v>0.0</v>
      </c>
    </row>
    <row r="1062" ht="15.75" customHeight="1">
      <c r="A1062" s="65">
        <v>45689.0</v>
      </c>
      <c r="B1062" s="179" t="s">
        <v>771</v>
      </c>
      <c r="C1062" s="179" t="s">
        <v>1219</v>
      </c>
      <c r="D1062" s="179" t="s">
        <v>773</v>
      </c>
      <c r="E1062" s="179" t="s">
        <v>459</v>
      </c>
      <c r="F1062" s="179" t="s">
        <v>774</v>
      </c>
      <c r="G1062" s="179" t="s">
        <v>775</v>
      </c>
      <c r="H1062" s="179" t="s">
        <v>1106</v>
      </c>
      <c r="I1062" s="179"/>
      <c r="J1062" s="179" t="s">
        <v>134</v>
      </c>
      <c r="K1062" s="179">
        <v>1000.0</v>
      </c>
      <c r="L1062" s="179" t="s">
        <v>776</v>
      </c>
      <c r="M1062" s="179" t="s">
        <v>8</v>
      </c>
      <c r="N1062" s="179">
        <v>17363.0</v>
      </c>
      <c r="O1062" s="179">
        <v>35.0</v>
      </c>
      <c r="P1062" s="179">
        <v>0.002</v>
      </c>
      <c r="Q1062" s="179">
        <v>1346.33</v>
      </c>
      <c r="R1062" s="179">
        <v>38.47</v>
      </c>
      <c r="S1062" s="179">
        <v>0.0</v>
      </c>
      <c r="T1062" s="179">
        <v>0.0</v>
      </c>
      <c r="U1062" s="179">
        <v>0.0</v>
      </c>
      <c r="V1062" s="179">
        <v>0.0</v>
      </c>
      <c r="W1062" s="179">
        <v>0.0</v>
      </c>
      <c r="X1062" s="179">
        <v>0.0</v>
      </c>
      <c r="Y1062" s="179">
        <v>0.0</v>
      </c>
      <c r="Z1062" s="179">
        <v>0.0</v>
      </c>
      <c r="AA1062" s="179">
        <v>0.0</v>
      </c>
      <c r="AB1062" s="179">
        <v>0.0</v>
      </c>
      <c r="AC1062" s="179">
        <v>0.0</v>
      </c>
      <c r="AD1062" s="179">
        <v>0.0</v>
      </c>
      <c r="AE1062" s="179">
        <v>0.0</v>
      </c>
      <c r="AF1062" s="179">
        <v>0.0</v>
      </c>
      <c r="AG1062" s="179">
        <v>0.0</v>
      </c>
      <c r="AH1062" s="179">
        <v>0.0</v>
      </c>
      <c r="AI1062" s="179">
        <v>0.0</v>
      </c>
      <c r="AJ1062" s="179">
        <v>0.0</v>
      </c>
    </row>
    <row r="1063" ht="15.75" customHeight="1">
      <c r="A1063" s="65">
        <v>45689.0</v>
      </c>
      <c r="B1063" s="179" t="s">
        <v>771</v>
      </c>
      <c r="C1063" s="179" t="s">
        <v>1222</v>
      </c>
      <c r="D1063" s="179" t="s">
        <v>773</v>
      </c>
      <c r="E1063" s="179" t="s">
        <v>459</v>
      </c>
      <c r="F1063" s="179" t="s">
        <v>774</v>
      </c>
      <c r="G1063" s="179" t="s">
        <v>775</v>
      </c>
      <c r="H1063" s="179" t="s">
        <v>1106</v>
      </c>
      <c r="I1063" s="179"/>
      <c r="J1063" s="179" t="s">
        <v>134</v>
      </c>
      <c r="K1063" s="179">
        <v>1000.0</v>
      </c>
      <c r="L1063" s="179" t="s">
        <v>776</v>
      </c>
      <c r="M1063" s="179" t="s">
        <v>8</v>
      </c>
      <c r="N1063" s="179">
        <v>1988.0</v>
      </c>
      <c r="O1063" s="179">
        <v>36.0</v>
      </c>
      <c r="P1063" s="179">
        <v>0.0181</v>
      </c>
      <c r="Q1063" s="179">
        <v>2222.79</v>
      </c>
      <c r="R1063" s="179">
        <v>61.74</v>
      </c>
      <c r="S1063" s="179">
        <v>0.0</v>
      </c>
      <c r="T1063" s="179">
        <v>0.0</v>
      </c>
      <c r="U1063" s="179">
        <v>0.0</v>
      </c>
      <c r="V1063" s="179">
        <v>0.0</v>
      </c>
      <c r="W1063" s="179">
        <v>0.0</v>
      </c>
      <c r="X1063" s="179">
        <v>0.0</v>
      </c>
      <c r="Y1063" s="179">
        <v>0.0</v>
      </c>
      <c r="Z1063" s="179">
        <v>0.0</v>
      </c>
      <c r="AA1063" s="179">
        <v>0.0</v>
      </c>
      <c r="AB1063" s="179">
        <v>0.0</v>
      </c>
      <c r="AC1063" s="179">
        <v>0.0</v>
      </c>
      <c r="AD1063" s="179">
        <v>0.0</v>
      </c>
      <c r="AE1063" s="179">
        <v>0.0</v>
      </c>
      <c r="AF1063" s="179">
        <v>0.0</v>
      </c>
      <c r="AG1063" s="179">
        <v>0.0</v>
      </c>
      <c r="AH1063" s="179">
        <v>0.0</v>
      </c>
      <c r="AI1063" s="179">
        <v>0.0</v>
      </c>
      <c r="AJ1063" s="179">
        <v>0.0</v>
      </c>
    </row>
    <row r="1064" ht="15.75" customHeight="1">
      <c r="A1064" s="65">
        <v>45689.0</v>
      </c>
      <c r="B1064" s="179" t="s">
        <v>771</v>
      </c>
      <c r="C1064" s="179" t="s">
        <v>1223</v>
      </c>
      <c r="D1064" s="179" t="s">
        <v>773</v>
      </c>
      <c r="E1064" s="179" t="s">
        <v>459</v>
      </c>
      <c r="F1064" s="179" t="s">
        <v>774</v>
      </c>
      <c r="G1064" s="179" t="s">
        <v>775</v>
      </c>
      <c r="H1064" s="179" t="s">
        <v>1106</v>
      </c>
      <c r="I1064" s="179"/>
      <c r="J1064" s="179" t="s">
        <v>134</v>
      </c>
      <c r="K1064" s="179">
        <v>1000.0</v>
      </c>
      <c r="L1064" s="179" t="s">
        <v>776</v>
      </c>
      <c r="M1064" s="179" t="s">
        <v>8</v>
      </c>
      <c r="N1064" s="179">
        <v>20628.0</v>
      </c>
      <c r="O1064" s="179">
        <v>51.0</v>
      </c>
      <c r="P1064" s="179">
        <v>0.0025</v>
      </c>
      <c r="Q1064" s="179">
        <v>2481.12</v>
      </c>
      <c r="R1064" s="179">
        <v>48.65</v>
      </c>
      <c r="S1064" s="179">
        <v>0.0</v>
      </c>
      <c r="T1064" s="179">
        <v>0.0</v>
      </c>
      <c r="U1064" s="179">
        <v>0.0</v>
      </c>
      <c r="V1064" s="179">
        <v>0.0</v>
      </c>
      <c r="W1064" s="179">
        <v>0.0</v>
      </c>
      <c r="X1064" s="179">
        <v>0.0</v>
      </c>
      <c r="Y1064" s="179">
        <v>0.0</v>
      </c>
      <c r="Z1064" s="179">
        <v>0.0</v>
      </c>
      <c r="AA1064" s="179">
        <v>0.0</v>
      </c>
      <c r="AB1064" s="179">
        <v>0.0</v>
      </c>
      <c r="AC1064" s="179">
        <v>0.0</v>
      </c>
      <c r="AD1064" s="179">
        <v>0.0</v>
      </c>
      <c r="AE1064" s="179">
        <v>0.0</v>
      </c>
      <c r="AF1064" s="179">
        <v>0.0</v>
      </c>
      <c r="AG1064" s="179">
        <v>0.0</v>
      </c>
      <c r="AH1064" s="179">
        <v>0.0</v>
      </c>
      <c r="AI1064" s="179">
        <v>0.0</v>
      </c>
      <c r="AJ1064" s="179">
        <v>0.0</v>
      </c>
    </row>
    <row r="1065" ht="15.75" customHeight="1">
      <c r="A1065" s="65">
        <v>45689.0</v>
      </c>
      <c r="B1065" s="179" t="s">
        <v>771</v>
      </c>
      <c r="C1065" s="179" t="s">
        <v>1224</v>
      </c>
      <c r="D1065" s="179" t="s">
        <v>773</v>
      </c>
      <c r="E1065" s="179" t="s">
        <v>459</v>
      </c>
      <c r="F1065" s="179" t="s">
        <v>774</v>
      </c>
      <c r="G1065" s="179" t="s">
        <v>775</v>
      </c>
      <c r="H1065" s="179" t="s">
        <v>1106</v>
      </c>
      <c r="I1065" s="179"/>
      <c r="J1065" s="179" t="s">
        <v>134</v>
      </c>
      <c r="K1065" s="179">
        <v>1000.0</v>
      </c>
      <c r="L1065" s="179" t="s">
        <v>776</v>
      </c>
      <c r="M1065" s="179" t="s">
        <v>8</v>
      </c>
      <c r="N1065" s="179">
        <v>711.0</v>
      </c>
      <c r="O1065" s="179">
        <v>1.0</v>
      </c>
      <c r="P1065" s="179">
        <v>0.0014</v>
      </c>
      <c r="Q1065" s="179">
        <v>37.12</v>
      </c>
      <c r="R1065" s="179">
        <v>37.12</v>
      </c>
      <c r="S1065" s="179">
        <v>0.0</v>
      </c>
      <c r="T1065" s="179">
        <v>0.0</v>
      </c>
      <c r="U1065" s="179">
        <v>0.0</v>
      </c>
      <c r="V1065" s="179">
        <v>0.0</v>
      </c>
      <c r="W1065" s="179">
        <v>0.0</v>
      </c>
      <c r="X1065" s="179">
        <v>0.0</v>
      </c>
      <c r="Y1065" s="179">
        <v>0.0</v>
      </c>
      <c r="Z1065" s="179">
        <v>0.0</v>
      </c>
      <c r="AA1065" s="179">
        <v>0.0</v>
      </c>
      <c r="AB1065" s="179">
        <v>0.0</v>
      </c>
      <c r="AC1065" s="179">
        <v>0.0</v>
      </c>
      <c r="AD1065" s="179">
        <v>0.0</v>
      </c>
      <c r="AE1065" s="179">
        <v>0.0</v>
      </c>
      <c r="AF1065" s="179">
        <v>0.0</v>
      </c>
      <c r="AG1065" s="179">
        <v>0.0</v>
      </c>
      <c r="AH1065" s="179">
        <v>0.0</v>
      </c>
      <c r="AI1065" s="179">
        <v>0.0</v>
      </c>
      <c r="AJ1065" s="179">
        <v>0.0</v>
      </c>
    </row>
    <row r="1066" ht="15.75" customHeight="1">
      <c r="A1066" s="65">
        <v>45689.0</v>
      </c>
      <c r="B1066" s="179" t="s">
        <v>771</v>
      </c>
      <c r="C1066" s="179" t="s">
        <v>1225</v>
      </c>
      <c r="D1066" s="179" t="s">
        <v>773</v>
      </c>
      <c r="E1066" s="179" t="s">
        <v>459</v>
      </c>
      <c r="F1066" s="179" t="s">
        <v>774</v>
      </c>
      <c r="G1066" s="179" t="s">
        <v>775</v>
      </c>
      <c r="H1066" s="179" t="s">
        <v>1106</v>
      </c>
      <c r="I1066" s="179"/>
      <c r="J1066" s="179" t="s">
        <v>134</v>
      </c>
      <c r="K1066" s="179">
        <v>500.0</v>
      </c>
      <c r="L1066" s="179" t="s">
        <v>776</v>
      </c>
      <c r="M1066" s="179" t="s">
        <v>8</v>
      </c>
      <c r="N1066" s="179">
        <v>209.0</v>
      </c>
      <c r="O1066" s="179">
        <v>0.0</v>
      </c>
      <c r="P1066" s="179">
        <v>0.0</v>
      </c>
      <c r="Q1066" s="179">
        <v>0.0</v>
      </c>
      <c r="R1066" s="179">
        <v>0.0</v>
      </c>
      <c r="S1066" s="179">
        <v>0.0</v>
      </c>
      <c r="T1066" s="179">
        <v>0.0</v>
      </c>
      <c r="U1066" s="179">
        <v>0.0</v>
      </c>
      <c r="V1066" s="179">
        <v>0.0</v>
      </c>
      <c r="W1066" s="179">
        <v>0.0</v>
      </c>
      <c r="X1066" s="179">
        <v>0.0</v>
      </c>
      <c r="Y1066" s="179">
        <v>0.0</v>
      </c>
      <c r="Z1066" s="179">
        <v>0.0</v>
      </c>
      <c r="AA1066" s="179">
        <v>0.0</v>
      </c>
      <c r="AB1066" s="179">
        <v>0.0</v>
      </c>
      <c r="AC1066" s="179">
        <v>0.0</v>
      </c>
      <c r="AD1066" s="179">
        <v>0.0</v>
      </c>
      <c r="AE1066" s="179">
        <v>0.0</v>
      </c>
      <c r="AF1066" s="179">
        <v>0.0</v>
      </c>
      <c r="AG1066" s="179">
        <v>0.0</v>
      </c>
      <c r="AH1066" s="179">
        <v>0.0</v>
      </c>
      <c r="AI1066" s="179">
        <v>0.0</v>
      </c>
      <c r="AJ1066" s="179">
        <v>0.0</v>
      </c>
    </row>
    <row r="1067" ht="15.75" customHeight="1">
      <c r="A1067" s="65">
        <v>45689.0</v>
      </c>
      <c r="B1067" s="179" t="s">
        <v>771</v>
      </c>
      <c r="C1067" s="179" t="s">
        <v>1226</v>
      </c>
      <c r="D1067" s="179" t="s">
        <v>773</v>
      </c>
      <c r="E1067" s="179" t="s">
        <v>459</v>
      </c>
      <c r="F1067" s="179" t="s">
        <v>774</v>
      </c>
      <c r="G1067" s="179" t="s">
        <v>775</v>
      </c>
      <c r="H1067" s="179" t="s">
        <v>1106</v>
      </c>
      <c r="I1067" s="179"/>
      <c r="J1067" s="179" t="s">
        <v>182</v>
      </c>
      <c r="K1067" s="179">
        <v>100.0</v>
      </c>
      <c r="L1067" s="179" t="s">
        <v>776</v>
      </c>
      <c r="M1067" s="179" t="s">
        <v>8</v>
      </c>
      <c r="N1067" s="179">
        <v>2547.0</v>
      </c>
      <c r="O1067" s="179">
        <v>8.0</v>
      </c>
      <c r="P1067" s="179">
        <v>0.0031</v>
      </c>
      <c r="Q1067" s="179">
        <v>339.62</v>
      </c>
      <c r="R1067" s="179">
        <v>42.45</v>
      </c>
      <c r="S1067" s="179">
        <v>0.0</v>
      </c>
      <c r="T1067" s="179">
        <v>0.0</v>
      </c>
      <c r="U1067" s="179">
        <v>0.0</v>
      </c>
      <c r="V1067" s="179">
        <v>0.0</v>
      </c>
      <c r="W1067" s="179">
        <v>0.0</v>
      </c>
      <c r="X1067" s="179">
        <v>0.0</v>
      </c>
      <c r="Y1067" s="179">
        <v>0.0</v>
      </c>
      <c r="Z1067" s="179">
        <v>0.0</v>
      </c>
      <c r="AA1067" s="179">
        <v>0.0</v>
      </c>
      <c r="AB1067" s="179">
        <v>0.0</v>
      </c>
      <c r="AC1067" s="179">
        <v>0.0</v>
      </c>
      <c r="AD1067" s="179">
        <v>0.0</v>
      </c>
      <c r="AE1067" s="179">
        <v>0.0</v>
      </c>
      <c r="AF1067" s="179">
        <v>0.0</v>
      </c>
      <c r="AG1067" s="179">
        <v>0.0</v>
      </c>
      <c r="AH1067" s="179">
        <v>0.0</v>
      </c>
      <c r="AI1067" s="179">
        <v>0.0</v>
      </c>
      <c r="AJ1067" s="179">
        <v>0.0</v>
      </c>
    </row>
    <row r="1068" ht="15.75" customHeight="1">
      <c r="A1068" s="65">
        <v>45689.0</v>
      </c>
      <c r="B1068" s="179" t="s">
        <v>771</v>
      </c>
      <c r="C1068" s="179" t="s">
        <v>1227</v>
      </c>
      <c r="D1068" s="179" t="s">
        <v>931</v>
      </c>
      <c r="E1068" s="179" t="s">
        <v>459</v>
      </c>
      <c r="F1068" s="179" t="s">
        <v>774</v>
      </c>
      <c r="G1068" s="179" t="s">
        <v>775</v>
      </c>
      <c r="H1068" s="179" t="s">
        <v>1106</v>
      </c>
      <c r="I1068" s="179"/>
      <c r="J1068" s="179" t="s">
        <v>429</v>
      </c>
      <c r="K1068" s="179">
        <v>1000.0</v>
      </c>
      <c r="L1068" s="179" t="s">
        <v>776</v>
      </c>
      <c r="M1068" s="179" t="s">
        <v>8</v>
      </c>
      <c r="N1068" s="179">
        <v>94330.0</v>
      </c>
      <c r="O1068" s="179">
        <v>181.0</v>
      </c>
      <c r="P1068" s="179">
        <v>0.0019</v>
      </c>
      <c r="Q1068" s="179">
        <v>10087.84</v>
      </c>
      <c r="R1068" s="179">
        <v>55.73</v>
      </c>
      <c r="S1068" s="179">
        <v>0.0</v>
      </c>
      <c r="T1068" s="179">
        <v>0.0</v>
      </c>
      <c r="U1068" s="179">
        <v>0.0</v>
      </c>
      <c r="V1068" s="179">
        <v>0.0</v>
      </c>
      <c r="W1068" s="179">
        <v>0.0</v>
      </c>
      <c r="X1068" s="179">
        <v>0.0</v>
      </c>
      <c r="Y1068" s="179">
        <v>0.0</v>
      </c>
      <c r="Z1068" s="179">
        <v>0.0</v>
      </c>
      <c r="AA1068" s="179">
        <v>0.0</v>
      </c>
      <c r="AB1068" s="179">
        <v>0.0</v>
      </c>
      <c r="AC1068" s="179">
        <v>0.0</v>
      </c>
      <c r="AD1068" s="179">
        <v>0.0</v>
      </c>
      <c r="AE1068" s="179">
        <v>0.0</v>
      </c>
      <c r="AF1068" s="179">
        <v>0.0</v>
      </c>
      <c r="AG1068" s="179">
        <v>0.0</v>
      </c>
      <c r="AH1068" s="179">
        <v>0.0</v>
      </c>
      <c r="AI1068" s="179">
        <v>0.0</v>
      </c>
      <c r="AJ1068" s="179">
        <v>0.0</v>
      </c>
    </row>
    <row r="1069" ht="15.75" customHeight="1">
      <c r="A1069" s="65">
        <v>45689.0</v>
      </c>
      <c r="B1069" s="179" t="s">
        <v>771</v>
      </c>
      <c r="C1069" s="179" t="s">
        <v>1229</v>
      </c>
      <c r="D1069" s="179" t="s">
        <v>773</v>
      </c>
      <c r="E1069" s="179" t="s">
        <v>459</v>
      </c>
      <c r="F1069" s="179" t="s">
        <v>774</v>
      </c>
      <c r="G1069" s="179" t="s">
        <v>775</v>
      </c>
      <c r="H1069" s="179" t="s">
        <v>1106</v>
      </c>
      <c r="I1069" s="179"/>
      <c r="J1069" s="179" t="s">
        <v>182</v>
      </c>
      <c r="K1069" s="179">
        <v>1000.0</v>
      </c>
      <c r="L1069" s="179" t="s">
        <v>776</v>
      </c>
      <c r="M1069" s="179" t="s">
        <v>8</v>
      </c>
      <c r="N1069" s="179">
        <v>8934.0</v>
      </c>
      <c r="O1069" s="179">
        <v>28.0</v>
      </c>
      <c r="P1069" s="179">
        <v>0.0031</v>
      </c>
      <c r="Q1069" s="179">
        <v>1718.08</v>
      </c>
      <c r="R1069" s="179">
        <v>61.36</v>
      </c>
      <c r="S1069" s="179">
        <v>0.0</v>
      </c>
      <c r="T1069" s="179">
        <v>0.0</v>
      </c>
      <c r="U1069" s="179">
        <v>0.0</v>
      </c>
      <c r="V1069" s="179">
        <v>0.0</v>
      </c>
      <c r="W1069" s="179">
        <v>0.0</v>
      </c>
      <c r="X1069" s="179">
        <v>0.0</v>
      </c>
      <c r="Y1069" s="179">
        <v>0.0</v>
      </c>
      <c r="Z1069" s="179">
        <v>0.0</v>
      </c>
      <c r="AA1069" s="179">
        <v>0.0</v>
      </c>
      <c r="AB1069" s="179">
        <v>0.0</v>
      </c>
      <c r="AC1069" s="179">
        <v>0.0</v>
      </c>
      <c r="AD1069" s="179">
        <v>0.0</v>
      </c>
      <c r="AE1069" s="179">
        <v>0.0</v>
      </c>
      <c r="AF1069" s="179">
        <v>0.0</v>
      </c>
      <c r="AG1069" s="179">
        <v>0.0</v>
      </c>
      <c r="AH1069" s="179">
        <v>0.0</v>
      </c>
      <c r="AI1069" s="179">
        <v>0.0</v>
      </c>
      <c r="AJ1069" s="179">
        <v>0.0</v>
      </c>
    </row>
    <row r="1070" ht="15.75" customHeight="1">
      <c r="A1070" s="65">
        <v>45689.0</v>
      </c>
      <c r="B1070" s="179" t="s">
        <v>771</v>
      </c>
      <c r="C1070" s="179" t="s">
        <v>1230</v>
      </c>
      <c r="D1070" s="179" t="s">
        <v>773</v>
      </c>
      <c r="E1070" s="179" t="s">
        <v>459</v>
      </c>
      <c r="F1070" s="179" t="s">
        <v>774</v>
      </c>
      <c r="G1070" s="179" t="s">
        <v>775</v>
      </c>
      <c r="H1070" s="179" t="s">
        <v>1106</v>
      </c>
      <c r="I1070" s="179"/>
      <c r="J1070" s="179" t="s">
        <v>429</v>
      </c>
      <c r="K1070" s="179">
        <v>1000.0</v>
      </c>
      <c r="L1070" s="195">
        <v>0.1161</v>
      </c>
      <c r="M1070" s="179" t="s">
        <v>8</v>
      </c>
      <c r="N1070" s="179">
        <v>4153.0</v>
      </c>
      <c r="O1070" s="179">
        <v>87.0</v>
      </c>
      <c r="P1070" s="179">
        <v>0.0209</v>
      </c>
      <c r="Q1070" s="179">
        <v>4811.78</v>
      </c>
      <c r="R1070" s="179">
        <v>55.31</v>
      </c>
      <c r="S1070" s="179">
        <v>0.0</v>
      </c>
      <c r="T1070" s="179">
        <v>0.0</v>
      </c>
      <c r="U1070" s="179">
        <v>0.0</v>
      </c>
      <c r="V1070" s="179">
        <v>0.0</v>
      </c>
      <c r="W1070" s="179">
        <v>0.0</v>
      </c>
      <c r="X1070" s="179">
        <v>0.0</v>
      </c>
      <c r="Y1070" s="179">
        <v>0.0</v>
      </c>
      <c r="Z1070" s="179">
        <v>0.0</v>
      </c>
      <c r="AA1070" s="179">
        <v>0.0</v>
      </c>
      <c r="AB1070" s="179">
        <v>0.0</v>
      </c>
      <c r="AC1070" s="179">
        <v>0.0</v>
      </c>
      <c r="AD1070" s="179">
        <v>0.0</v>
      </c>
      <c r="AE1070" s="179">
        <v>0.0</v>
      </c>
      <c r="AF1070" s="179">
        <v>0.0</v>
      </c>
      <c r="AG1070" s="179">
        <v>0.0</v>
      </c>
      <c r="AH1070" s="179">
        <v>0.0</v>
      </c>
      <c r="AI1070" s="179">
        <v>0.0</v>
      </c>
      <c r="AJ1070" s="179">
        <v>0.0</v>
      </c>
    </row>
    <row r="1071" ht="15.75" customHeight="1">
      <c r="A1071" s="65">
        <v>45689.0</v>
      </c>
      <c r="B1071" s="179" t="s">
        <v>771</v>
      </c>
      <c r="C1071" s="179" t="s">
        <v>1231</v>
      </c>
      <c r="D1071" s="179" t="s">
        <v>773</v>
      </c>
      <c r="E1071" s="179" t="s">
        <v>459</v>
      </c>
      <c r="F1071" s="179" t="s">
        <v>774</v>
      </c>
      <c r="G1071" s="179" t="s">
        <v>775</v>
      </c>
      <c r="H1071" s="179" t="s">
        <v>1106</v>
      </c>
      <c r="I1071" s="179"/>
      <c r="J1071" s="179" t="s">
        <v>182</v>
      </c>
      <c r="K1071" s="179">
        <v>1500.0</v>
      </c>
      <c r="L1071" s="195">
        <v>0.0833</v>
      </c>
      <c r="M1071" s="179" t="s">
        <v>8</v>
      </c>
      <c r="N1071" s="179">
        <v>6.0</v>
      </c>
      <c r="O1071" s="179">
        <v>0.0</v>
      </c>
      <c r="P1071" s="179">
        <v>0.0</v>
      </c>
      <c r="Q1071" s="179">
        <v>0.0</v>
      </c>
      <c r="R1071" s="179">
        <v>0.0</v>
      </c>
      <c r="S1071" s="179">
        <v>0.0</v>
      </c>
      <c r="T1071" s="179">
        <v>0.0</v>
      </c>
      <c r="U1071" s="179">
        <v>0.0</v>
      </c>
      <c r="V1071" s="179">
        <v>0.0</v>
      </c>
      <c r="W1071" s="179">
        <v>0.0</v>
      </c>
      <c r="X1071" s="179">
        <v>0.0</v>
      </c>
      <c r="Y1071" s="179">
        <v>0.0</v>
      </c>
      <c r="Z1071" s="179">
        <v>0.0</v>
      </c>
      <c r="AA1071" s="179">
        <v>0.0</v>
      </c>
      <c r="AB1071" s="179">
        <v>0.0</v>
      </c>
      <c r="AC1071" s="179">
        <v>0.0</v>
      </c>
      <c r="AD1071" s="179">
        <v>0.0</v>
      </c>
      <c r="AE1071" s="179">
        <v>0.0</v>
      </c>
      <c r="AF1071" s="179">
        <v>0.0</v>
      </c>
      <c r="AG1071" s="179">
        <v>0.0</v>
      </c>
      <c r="AH1071" s="179">
        <v>0.0</v>
      </c>
      <c r="AI1071" s="179">
        <v>0.0</v>
      </c>
      <c r="AJ1071" s="179">
        <v>0.0</v>
      </c>
    </row>
    <row r="1072" ht="15.75" customHeight="1">
      <c r="A1072" s="65">
        <v>45689.0</v>
      </c>
      <c r="B1072" s="179" t="s">
        <v>771</v>
      </c>
      <c r="C1072" s="179" t="s">
        <v>1232</v>
      </c>
      <c r="D1072" s="179" t="s">
        <v>773</v>
      </c>
      <c r="E1072" s="179" t="s">
        <v>459</v>
      </c>
      <c r="F1072" s="179" t="s">
        <v>774</v>
      </c>
      <c r="G1072" s="179" t="s">
        <v>775</v>
      </c>
      <c r="H1072" s="179" t="s">
        <v>1106</v>
      </c>
      <c r="I1072" s="179"/>
      <c r="J1072" s="179" t="s">
        <v>429</v>
      </c>
      <c r="K1072" s="179">
        <v>1000.0</v>
      </c>
      <c r="L1072" s="195">
        <v>0.1038</v>
      </c>
      <c r="M1072" s="179" t="s">
        <v>8</v>
      </c>
      <c r="N1072" s="179">
        <v>10566.0</v>
      </c>
      <c r="O1072" s="179">
        <v>149.0</v>
      </c>
      <c r="P1072" s="179">
        <v>0.0141</v>
      </c>
      <c r="Q1072" s="179">
        <v>10543.0</v>
      </c>
      <c r="R1072" s="179">
        <v>70.76</v>
      </c>
      <c r="S1072" s="179">
        <v>0.0</v>
      </c>
      <c r="T1072" s="179">
        <v>0.0</v>
      </c>
      <c r="U1072" s="179">
        <v>0.0</v>
      </c>
      <c r="V1072" s="179">
        <v>0.0</v>
      </c>
      <c r="W1072" s="179">
        <v>0.0</v>
      </c>
      <c r="X1072" s="179">
        <v>0.0</v>
      </c>
      <c r="Y1072" s="179">
        <v>0.0</v>
      </c>
      <c r="Z1072" s="179">
        <v>0.0</v>
      </c>
      <c r="AA1072" s="179">
        <v>0.0</v>
      </c>
      <c r="AB1072" s="179">
        <v>0.0</v>
      </c>
      <c r="AC1072" s="179">
        <v>0.0</v>
      </c>
      <c r="AD1072" s="179">
        <v>0.0</v>
      </c>
      <c r="AE1072" s="179">
        <v>0.0</v>
      </c>
      <c r="AF1072" s="179">
        <v>0.0</v>
      </c>
      <c r="AG1072" s="179">
        <v>0.0</v>
      </c>
      <c r="AH1072" s="179">
        <v>0.0</v>
      </c>
      <c r="AI1072" s="179">
        <v>0.0</v>
      </c>
      <c r="AJ1072" s="179">
        <v>0.0</v>
      </c>
    </row>
    <row r="1073" ht="15.75" customHeight="1">
      <c r="A1073" s="65">
        <v>45689.0</v>
      </c>
      <c r="B1073" s="179" t="s">
        <v>771</v>
      </c>
      <c r="C1073" s="179" t="s">
        <v>1233</v>
      </c>
      <c r="D1073" s="179" t="s">
        <v>773</v>
      </c>
      <c r="E1073" s="179" t="s">
        <v>459</v>
      </c>
      <c r="F1073" s="179" t="s">
        <v>774</v>
      </c>
      <c r="G1073" s="179" t="s">
        <v>775</v>
      </c>
      <c r="H1073" s="179" t="s">
        <v>1106</v>
      </c>
      <c r="I1073" s="179"/>
      <c r="J1073" s="179" t="s">
        <v>182</v>
      </c>
      <c r="K1073" s="179">
        <v>1000.0</v>
      </c>
      <c r="L1073" s="195">
        <v>0.1262</v>
      </c>
      <c r="M1073" s="179" t="s">
        <v>8</v>
      </c>
      <c r="N1073" s="179">
        <v>9107.0</v>
      </c>
      <c r="O1073" s="179">
        <v>77.0</v>
      </c>
      <c r="P1073" s="179">
        <v>0.0085</v>
      </c>
      <c r="Q1073" s="179">
        <v>8085.01</v>
      </c>
      <c r="R1073" s="179">
        <v>105.0</v>
      </c>
      <c r="S1073" s="179">
        <v>0.0</v>
      </c>
      <c r="T1073" s="179">
        <v>0.0</v>
      </c>
      <c r="U1073" s="179">
        <v>0.0</v>
      </c>
      <c r="V1073" s="179">
        <v>0.0</v>
      </c>
      <c r="W1073" s="179">
        <v>0.0</v>
      </c>
      <c r="X1073" s="179">
        <v>0.0</v>
      </c>
      <c r="Y1073" s="179">
        <v>0.0</v>
      </c>
      <c r="Z1073" s="179">
        <v>0.0</v>
      </c>
      <c r="AA1073" s="179">
        <v>0.0</v>
      </c>
      <c r="AB1073" s="179">
        <v>0.0</v>
      </c>
      <c r="AC1073" s="179">
        <v>0.0</v>
      </c>
      <c r="AD1073" s="179">
        <v>0.0</v>
      </c>
      <c r="AE1073" s="179">
        <v>0.0</v>
      </c>
      <c r="AF1073" s="179">
        <v>0.0</v>
      </c>
      <c r="AG1073" s="179">
        <v>0.0</v>
      </c>
      <c r="AH1073" s="179">
        <v>0.0</v>
      </c>
      <c r="AI1073" s="179">
        <v>0.0</v>
      </c>
      <c r="AJ1073" s="179">
        <v>0.0</v>
      </c>
    </row>
    <row r="1074" ht="15.75" customHeight="1">
      <c r="A1074" s="65">
        <v>45689.0</v>
      </c>
      <c r="B1074" s="179" t="s">
        <v>779</v>
      </c>
      <c r="C1074" s="179" t="s">
        <v>889</v>
      </c>
      <c r="D1074" s="179" t="s">
        <v>781</v>
      </c>
      <c r="E1074" s="179" t="s">
        <v>463</v>
      </c>
      <c r="F1074" s="179" t="s">
        <v>774</v>
      </c>
      <c r="G1074" s="179"/>
      <c r="H1074" s="179" t="s">
        <v>1106</v>
      </c>
      <c r="I1074" s="179"/>
      <c r="J1074" s="179" t="s">
        <v>134</v>
      </c>
      <c r="K1074" s="179">
        <v>800.0</v>
      </c>
      <c r="L1074" s="179"/>
      <c r="M1074" s="179" t="s">
        <v>8</v>
      </c>
      <c r="N1074" s="179">
        <v>19768.0</v>
      </c>
      <c r="O1074" s="179">
        <v>25.0</v>
      </c>
      <c r="P1074" s="179">
        <v>0.0013</v>
      </c>
      <c r="Q1074" s="179">
        <v>830.2</v>
      </c>
      <c r="R1074" s="179">
        <v>33.21</v>
      </c>
      <c r="S1074" s="179">
        <v>79.0</v>
      </c>
      <c r="T1074" s="179">
        <v>0.0</v>
      </c>
      <c r="U1074" s="179">
        <v>0.0</v>
      </c>
      <c r="V1074" s="179">
        <v>0.0</v>
      </c>
      <c r="W1074" s="179">
        <v>0.0</v>
      </c>
      <c r="X1074" s="179">
        <v>0.0</v>
      </c>
      <c r="Y1074" s="179">
        <v>0.0</v>
      </c>
      <c r="Z1074" s="179">
        <v>0.0</v>
      </c>
      <c r="AA1074" s="179">
        <v>0.0</v>
      </c>
      <c r="AB1074" s="179">
        <v>0.0</v>
      </c>
      <c r="AC1074" s="179">
        <v>0.0</v>
      </c>
      <c r="AD1074" s="179">
        <v>0.0</v>
      </c>
      <c r="AE1074" s="179">
        <v>0.0</v>
      </c>
      <c r="AF1074" s="179">
        <v>0.0</v>
      </c>
      <c r="AG1074" s="179">
        <v>0.0</v>
      </c>
      <c r="AH1074" s="179">
        <v>0.0</v>
      </c>
      <c r="AI1074" s="179">
        <v>0.0</v>
      </c>
      <c r="AJ1074" s="179">
        <v>0.0</v>
      </c>
    </row>
    <row r="1075" ht="15.75" customHeight="1">
      <c r="A1075" s="65">
        <v>45689.0</v>
      </c>
      <c r="B1075" s="179" t="s">
        <v>779</v>
      </c>
      <c r="C1075" s="179" t="s">
        <v>962</v>
      </c>
      <c r="D1075" s="179" t="s">
        <v>781</v>
      </c>
      <c r="E1075" s="179" t="s">
        <v>463</v>
      </c>
      <c r="F1075" s="179" t="s">
        <v>774</v>
      </c>
      <c r="G1075" s="179"/>
      <c r="H1075" s="179" t="s">
        <v>1106</v>
      </c>
      <c r="I1075" s="179"/>
      <c r="J1075" s="179" t="s">
        <v>90</v>
      </c>
      <c r="K1075" s="179">
        <v>2325.0</v>
      </c>
      <c r="L1075" s="179"/>
      <c r="M1075" s="179" t="s">
        <v>8</v>
      </c>
      <c r="N1075" s="179">
        <v>32477.0</v>
      </c>
      <c r="O1075" s="179">
        <v>55.0</v>
      </c>
      <c r="P1075" s="179">
        <v>0.0017</v>
      </c>
      <c r="Q1075" s="179">
        <v>1342.7</v>
      </c>
      <c r="R1075" s="179">
        <v>24.41</v>
      </c>
      <c r="S1075" s="179">
        <v>121.0</v>
      </c>
      <c r="T1075" s="179">
        <v>0.0</v>
      </c>
      <c r="U1075" s="179">
        <v>0.0</v>
      </c>
      <c r="V1075" s="179">
        <v>0.0</v>
      </c>
      <c r="W1075" s="179">
        <v>0.0</v>
      </c>
      <c r="X1075" s="179">
        <v>0.0</v>
      </c>
      <c r="Y1075" s="179">
        <v>0.0</v>
      </c>
      <c r="Z1075" s="179">
        <v>0.0</v>
      </c>
      <c r="AA1075" s="179">
        <v>0.0</v>
      </c>
      <c r="AB1075" s="179">
        <v>0.0</v>
      </c>
      <c r="AC1075" s="179">
        <v>0.0</v>
      </c>
      <c r="AD1075" s="179">
        <v>0.0</v>
      </c>
      <c r="AE1075" s="179">
        <v>0.0</v>
      </c>
      <c r="AF1075" s="179">
        <v>0.0</v>
      </c>
      <c r="AG1075" s="179">
        <v>0.0</v>
      </c>
      <c r="AH1075" s="179">
        <v>0.0</v>
      </c>
      <c r="AI1075" s="179">
        <v>0.0</v>
      </c>
      <c r="AJ1075" s="179">
        <v>0.0</v>
      </c>
    </row>
    <row r="1076" ht="15.75" customHeight="1">
      <c r="A1076" s="65">
        <v>45689.0</v>
      </c>
      <c r="B1076" s="179" t="s">
        <v>779</v>
      </c>
      <c r="C1076" s="179" t="s">
        <v>995</v>
      </c>
      <c r="D1076" s="179" t="s">
        <v>781</v>
      </c>
      <c r="E1076" s="179" t="s">
        <v>463</v>
      </c>
      <c r="F1076" s="179" t="s">
        <v>774</v>
      </c>
      <c r="G1076" s="179"/>
      <c r="H1076" s="179" t="s">
        <v>1106</v>
      </c>
      <c r="I1076" s="179"/>
      <c r="J1076" s="179" t="s">
        <v>134</v>
      </c>
      <c r="K1076" s="179">
        <v>500.0</v>
      </c>
      <c r="L1076" s="179"/>
      <c r="M1076" s="179" t="s">
        <v>8</v>
      </c>
      <c r="N1076" s="179">
        <v>2048.0</v>
      </c>
      <c r="O1076" s="179">
        <v>43.0</v>
      </c>
      <c r="P1076" s="179">
        <v>0.021</v>
      </c>
      <c r="Q1076" s="179">
        <v>825.27</v>
      </c>
      <c r="R1076" s="179">
        <v>19.19</v>
      </c>
      <c r="S1076" s="179">
        <v>61.0</v>
      </c>
      <c r="T1076" s="179">
        <v>0.0</v>
      </c>
      <c r="U1076" s="179">
        <v>0.0</v>
      </c>
      <c r="V1076" s="179">
        <v>0.0</v>
      </c>
      <c r="W1076" s="179">
        <v>0.0</v>
      </c>
      <c r="X1076" s="179">
        <v>0.0</v>
      </c>
      <c r="Y1076" s="179">
        <v>0.0</v>
      </c>
      <c r="Z1076" s="179">
        <v>0.0</v>
      </c>
      <c r="AA1076" s="179">
        <v>0.0</v>
      </c>
      <c r="AB1076" s="179">
        <v>0.0</v>
      </c>
      <c r="AC1076" s="179">
        <v>0.0</v>
      </c>
      <c r="AD1076" s="179">
        <v>0.0</v>
      </c>
      <c r="AE1076" s="179">
        <v>0.0</v>
      </c>
      <c r="AF1076" s="179">
        <v>0.0</v>
      </c>
      <c r="AG1076" s="179">
        <v>0.0</v>
      </c>
      <c r="AH1076" s="179">
        <v>0.0</v>
      </c>
      <c r="AI1076" s="179">
        <v>0.0</v>
      </c>
      <c r="AJ1076" s="179">
        <v>0.0</v>
      </c>
    </row>
    <row r="1077" ht="15.75" customHeight="1">
      <c r="A1077" s="65">
        <v>45689.0</v>
      </c>
      <c r="B1077" s="179" t="s">
        <v>779</v>
      </c>
      <c r="C1077" s="179" t="s">
        <v>1104</v>
      </c>
      <c r="D1077" s="179" t="s">
        <v>781</v>
      </c>
      <c r="E1077" s="179" t="s">
        <v>463</v>
      </c>
      <c r="F1077" s="179" t="s">
        <v>774</v>
      </c>
      <c r="G1077" s="179"/>
      <c r="H1077" s="179" t="s">
        <v>1106</v>
      </c>
      <c r="I1077" s="179"/>
      <c r="J1077" s="179" t="s">
        <v>413</v>
      </c>
      <c r="K1077" s="179">
        <v>1000.0</v>
      </c>
      <c r="L1077" s="179"/>
      <c r="M1077" s="179" t="s">
        <v>8</v>
      </c>
      <c r="N1077" s="179">
        <v>1312.0</v>
      </c>
      <c r="O1077" s="179">
        <v>3.0</v>
      </c>
      <c r="P1077" s="179">
        <v>0.0023</v>
      </c>
      <c r="Q1077" s="179">
        <v>18.55</v>
      </c>
      <c r="R1077" s="179">
        <v>6.18</v>
      </c>
      <c r="S1077" s="179">
        <v>4.0</v>
      </c>
      <c r="T1077" s="179">
        <v>0.0</v>
      </c>
      <c r="U1077" s="179">
        <v>0.0</v>
      </c>
      <c r="V1077" s="179">
        <v>0.0</v>
      </c>
      <c r="W1077" s="179">
        <v>0.0</v>
      </c>
      <c r="X1077" s="179">
        <v>0.0</v>
      </c>
      <c r="Y1077" s="179">
        <v>0.0</v>
      </c>
      <c r="Z1077" s="179">
        <v>0.0</v>
      </c>
      <c r="AA1077" s="179">
        <v>0.0</v>
      </c>
      <c r="AB1077" s="179">
        <v>0.0</v>
      </c>
      <c r="AC1077" s="179">
        <v>0.0</v>
      </c>
      <c r="AD1077" s="179">
        <v>0.0</v>
      </c>
      <c r="AE1077" s="179">
        <v>0.0</v>
      </c>
      <c r="AF1077" s="179">
        <v>0.0</v>
      </c>
      <c r="AG1077" s="179">
        <v>0.0</v>
      </c>
      <c r="AH1077" s="179">
        <v>0.0</v>
      </c>
      <c r="AI1077" s="179">
        <v>0.0</v>
      </c>
      <c r="AJ1077" s="179">
        <v>0.0</v>
      </c>
    </row>
    <row r="1078" ht="15.75" customHeight="1">
      <c r="A1078" s="65">
        <v>45689.0</v>
      </c>
      <c r="B1078" s="179" t="s">
        <v>771</v>
      </c>
      <c r="C1078" s="179" t="s">
        <v>1103</v>
      </c>
      <c r="D1078" s="179" t="s">
        <v>773</v>
      </c>
      <c r="E1078" s="179" t="s">
        <v>463</v>
      </c>
      <c r="F1078" s="179" t="s">
        <v>774</v>
      </c>
      <c r="G1078" s="179"/>
      <c r="H1078" s="179" t="s">
        <v>1106</v>
      </c>
      <c r="I1078" s="179"/>
      <c r="J1078" s="179" t="s">
        <v>140</v>
      </c>
      <c r="K1078" s="179">
        <v>1000.0</v>
      </c>
      <c r="L1078" s="179"/>
      <c r="M1078" s="179" t="s">
        <v>8</v>
      </c>
      <c r="N1078" s="179">
        <v>52244.0</v>
      </c>
      <c r="O1078" s="179">
        <v>81.0</v>
      </c>
      <c r="P1078" s="179">
        <v>0.0016</v>
      </c>
      <c r="Q1078" s="179">
        <v>2468.41</v>
      </c>
      <c r="R1078" s="179">
        <v>30.47</v>
      </c>
      <c r="S1078" s="179">
        <v>198.0</v>
      </c>
      <c r="T1078" s="179">
        <v>0.0</v>
      </c>
      <c r="U1078" s="179">
        <v>0.0</v>
      </c>
      <c r="V1078" s="179">
        <v>0.0</v>
      </c>
      <c r="W1078" s="179">
        <v>0.0</v>
      </c>
      <c r="X1078" s="179">
        <v>0.0</v>
      </c>
      <c r="Y1078" s="179">
        <v>0.0</v>
      </c>
      <c r="Z1078" s="179">
        <v>0.0</v>
      </c>
      <c r="AA1078" s="179">
        <v>0.0</v>
      </c>
      <c r="AB1078" s="179">
        <v>0.0</v>
      </c>
      <c r="AC1078" s="179">
        <v>0.0</v>
      </c>
      <c r="AD1078" s="179">
        <v>0.0</v>
      </c>
      <c r="AE1078" s="179">
        <v>0.0</v>
      </c>
      <c r="AF1078" s="179">
        <v>0.0</v>
      </c>
      <c r="AG1078" s="179">
        <v>0.0</v>
      </c>
      <c r="AH1078" s="179">
        <v>0.0</v>
      </c>
      <c r="AI1078" s="179">
        <v>0.0</v>
      </c>
      <c r="AJ1078" s="179">
        <v>0.0</v>
      </c>
    </row>
    <row r="1079" ht="15.75" customHeight="1">
      <c r="A1079" s="65">
        <v>45689.0</v>
      </c>
      <c r="B1079" s="179" t="s">
        <v>779</v>
      </c>
      <c r="C1079" s="179" t="s">
        <v>1145</v>
      </c>
      <c r="D1079" s="179" t="s">
        <v>781</v>
      </c>
      <c r="E1079" s="179" t="s">
        <v>463</v>
      </c>
      <c r="F1079" s="179" t="s">
        <v>774</v>
      </c>
      <c r="G1079" s="179"/>
      <c r="H1079" s="179" t="s">
        <v>1106</v>
      </c>
      <c r="I1079" s="179"/>
      <c r="J1079" s="179" t="s">
        <v>211</v>
      </c>
      <c r="K1079" s="179">
        <v>200.0</v>
      </c>
      <c r="L1079" s="179"/>
      <c r="M1079" s="179" t="s">
        <v>8</v>
      </c>
      <c r="N1079" s="179">
        <v>4191.0</v>
      </c>
      <c r="O1079" s="179">
        <v>30.0</v>
      </c>
      <c r="P1079" s="179">
        <v>0.0072</v>
      </c>
      <c r="Q1079" s="179">
        <v>617.57</v>
      </c>
      <c r="R1079" s="179">
        <v>20.59</v>
      </c>
      <c r="S1079" s="179">
        <v>85.0</v>
      </c>
      <c r="T1079" s="179">
        <v>0.0</v>
      </c>
      <c r="U1079" s="179">
        <v>0.0</v>
      </c>
      <c r="V1079" s="179">
        <v>0.0</v>
      </c>
      <c r="W1079" s="179">
        <v>0.0</v>
      </c>
      <c r="X1079" s="179">
        <v>0.0</v>
      </c>
      <c r="Y1079" s="179">
        <v>0.0</v>
      </c>
      <c r="Z1079" s="179">
        <v>0.0</v>
      </c>
      <c r="AA1079" s="179">
        <v>0.0</v>
      </c>
      <c r="AB1079" s="179">
        <v>0.0</v>
      </c>
      <c r="AC1079" s="179">
        <v>0.0</v>
      </c>
      <c r="AD1079" s="179">
        <v>0.0</v>
      </c>
      <c r="AE1079" s="179">
        <v>0.0</v>
      </c>
      <c r="AF1079" s="179">
        <v>0.0</v>
      </c>
      <c r="AG1079" s="179">
        <v>0.0</v>
      </c>
      <c r="AH1079" s="179">
        <v>0.0</v>
      </c>
      <c r="AI1079" s="179">
        <v>0.0</v>
      </c>
      <c r="AJ1079" s="179">
        <v>0.0</v>
      </c>
    </row>
    <row r="1080" ht="15.75" customHeight="1">
      <c r="A1080" s="65">
        <v>45689.0</v>
      </c>
      <c r="B1080" s="179" t="s">
        <v>779</v>
      </c>
      <c r="C1080" s="179" t="s">
        <v>1146</v>
      </c>
      <c r="D1080" s="179" t="s">
        <v>781</v>
      </c>
      <c r="E1080" s="179" t="s">
        <v>463</v>
      </c>
      <c r="F1080" s="179" t="s">
        <v>774</v>
      </c>
      <c r="G1080" s="179"/>
      <c r="H1080" s="179" t="s">
        <v>1106</v>
      </c>
      <c r="I1080" s="179"/>
      <c r="J1080" s="179" t="s">
        <v>128</v>
      </c>
      <c r="K1080" s="179">
        <v>1000.0</v>
      </c>
      <c r="L1080" s="179"/>
      <c r="M1080" s="179" t="s">
        <v>8</v>
      </c>
      <c r="N1080" s="179">
        <v>834.0</v>
      </c>
      <c r="O1080" s="179">
        <v>0.0</v>
      </c>
      <c r="P1080" s="179">
        <v>0.0</v>
      </c>
      <c r="Q1080" s="179">
        <v>0.0</v>
      </c>
      <c r="R1080" s="179">
        <v>0.0</v>
      </c>
      <c r="S1080" s="179">
        <v>0.0</v>
      </c>
      <c r="T1080" s="179">
        <v>0.0</v>
      </c>
      <c r="U1080" s="179">
        <v>0.0</v>
      </c>
      <c r="V1080" s="179">
        <v>0.0</v>
      </c>
      <c r="W1080" s="179">
        <v>0.0</v>
      </c>
      <c r="X1080" s="179">
        <v>0.0</v>
      </c>
      <c r="Y1080" s="179">
        <v>0.0</v>
      </c>
      <c r="Z1080" s="179">
        <v>0.0</v>
      </c>
      <c r="AA1080" s="179">
        <v>0.0</v>
      </c>
      <c r="AB1080" s="179">
        <v>0.0</v>
      </c>
      <c r="AC1080" s="179">
        <v>0.0</v>
      </c>
      <c r="AD1080" s="179">
        <v>0.0</v>
      </c>
      <c r="AE1080" s="179">
        <v>0.0</v>
      </c>
      <c r="AF1080" s="179">
        <v>0.0</v>
      </c>
      <c r="AG1080" s="179">
        <v>0.0</v>
      </c>
      <c r="AH1080" s="179">
        <v>0.0</v>
      </c>
      <c r="AI1080" s="179">
        <v>0.0</v>
      </c>
      <c r="AJ1080" s="179">
        <v>0.0</v>
      </c>
    </row>
    <row r="1081" ht="15.75" customHeight="1">
      <c r="A1081" s="65">
        <v>45689.0</v>
      </c>
      <c r="B1081" s="179" t="s">
        <v>771</v>
      </c>
      <c r="C1081" s="179" t="s">
        <v>1236</v>
      </c>
      <c r="D1081" s="179" t="s">
        <v>773</v>
      </c>
      <c r="E1081" s="179" t="s">
        <v>463</v>
      </c>
      <c r="F1081" s="179" t="s">
        <v>774</v>
      </c>
      <c r="G1081" s="179"/>
      <c r="H1081" s="179" t="s">
        <v>1106</v>
      </c>
      <c r="I1081" s="179"/>
      <c r="J1081" s="179" t="s">
        <v>230</v>
      </c>
      <c r="K1081" s="179">
        <v>1000.0</v>
      </c>
      <c r="L1081" s="179"/>
      <c r="M1081" s="179" t="s">
        <v>8</v>
      </c>
      <c r="N1081" s="179">
        <v>2888.0</v>
      </c>
      <c r="O1081" s="179">
        <v>23.0</v>
      </c>
      <c r="P1081" s="179">
        <v>0.008</v>
      </c>
      <c r="Q1081" s="179">
        <v>178.04</v>
      </c>
      <c r="R1081" s="179">
        <v>7.74</v>
      </c>
      <c r="S1081" s="179">
        <v>58.0</v>
      </c>
      <c r="T1081" s="179">
        <v>0.0</v>
      </c>
      <c r="U1081" s="179">
        <v>0.0</v>
      </c>
      <c r="V1081" s="179">
        <v>0.0</v>
      </c>
      <c r="W1081" s="179">
        <v>0.0</v>
      </c>
      <c r="X1081" s="179">
        <v>0.0</v>
      </c>
      <c r="Y1081" s="179">
        <v>0.0</v>
      </c>
      <c r="Z1081" s="179">
        <v>0.0</v>
      </c>
      <c r="AA1081" s="179">
        <v>0.0</v>
      </c>
      <c r="AB1081" s="179">
        <v>0.0</v>
      </c>
      <c r="AC1081" s="179">
        <v>0.0</v>
      </c>
      <c r="AD1081" s="179">
        <v>0.0</v>
      </c>
      <c r="AE1081" s="179">
        <v>0.0</v>
      </c>
      <c r="AF1081" s="179">
        <v>0.0</v>
      </c>
      <c r="AG1081" s="179">
        <v>0.0</v>
      </c>
      <c r="AH1081" s="179">
        <v>0.0</v>
      </c>
      <c r="AI1081" s="179">
        <v>0.0</v>
      </c>
      <c r="AJ1081" s="179">
        <v>0.0</v>
      </c>
    </row>
    <row r="1082" ht="15.75" customHeight="1">
      <c r="A1082" s="65">
        <v>45689.0</v>
      </c>
      <c r="B1082" s="179" t="s">
        <v>779</v>
      </c>
      <c r="C1082" s="179" t="s">
        <v>1238</v>
      </c>
      <c r="D1082" s="179" t="s">
        <v>781</v>
      </c>
      <c r="E1082" s="179" t="s">
        <v>463</v>
      </c>
      <c r="F1082" s="179" t="s">
        <v>774</v>
      </c>
      <c r="G1082" s="179"/>
      <c r="H1082" s="179" t="s">
        <v>1106</v>
      </c>
      <c r="I1082" s="179"/>
      <c r="J1082" s="179" t="s">
        <v>90</v>
      </c>
      <c r="K1082" s="179">
        <v>1000.0</v>
      </c>
      <c r="L1082" s="179"/>
      <c r="M1082" s="179" t="s">
        <v>8</v>
      </c>
      <c r="N1082" s="179">
        <v>2809.0</v>
      </c>
      <c r="O1082" s="179">
        <v>5.0</v>
      </c>
      <c r="P1082" s="179">
        <v>0.0018</v>
      </c>
      <c r="Q1082" s="179">
        <v>30.82</v>
      </c>
      <c r="R1082" s="179">
        <v>6.16</v>
      </c>
      <c r="S1082" s="179">
        <v>12.0</v>
      </c>
      <c r="T1082" s="179">
        <v>0.0</v>
      </c>
      <c r="U1082" s="179">
        <v>0.0</v>
      </c>
      <c r="V1082" s="179">
        <v>0.0</v>
      </c>
      <c r="W1082" s="179">
        <v>0.0</v>
      </c>
      <c r="X1082" s="179">
        <v>0.0</v>
      </c>
      <c r="Y1082" s="179">
        <v>0.0</v>
      </c>
      <c r="Z1082" s="179">
        <v>0.0</v>
      </c>
      <c r="AA1082" s="179">
        <v>0.0</v>
      </c>
      <c r="AB1082" s="179">
        <v>0.0</v>
      </c>
      <c r="AC1082" s="179">
        <v>0.0</v>
      </c>
      <c r="AD1082" s="179">
        <v>0.0</v>
      </c>
      <c r="AE1082" s="179">
        <v>0.0</v>
      </c>
      <c r="AF1082" s="179">
        <v>0.0</v>
      </c>
      <c r="AG1082" s="179">
        <v>0.0</v>
      </c>
      <c r="AH1082" s="179">
        <v>0.0</v>
      </c>
      <c r="AI1082" s="179">
        <v>0.0</v>
      </c>
      <c r="AJ1082" s="179">
        <v>0.0</v>
      </c>
    </row>
    <row r="1083" ht="15.75" customHeight="1">
      <c r="A1083" s="65">
        <v>45689.0</v>
      </c>
      <c r="B1083" s="179" t="s">
        <v>771</v>
      </c>
      <c r="C1083" s="179" t="s">
        <v>1240</v>
      </c>
      <c r="D1083" s="179" t="s">
        <v>773</v>
      </c>
      <c r="E1083" s="179" t="s">
        <v>463</v>
      </c>
      <c r="F1083" s="179" t="s">
        <v>774</v>
      </c>
      <c r="G1083" s="179"/>
      <c r="H1083" s="179" t="s">
        <v>1106</v>
      </c>
      <c r="I1083" s="179"/>
      <c r="J1083" s="179" t="s">
        <v>134</v>
      </c>
      <c r="K1083" s="179">
        <v>200.0</v>
      </c>
      <c r="L1083" s="179"/>
      <c r="M1083" s="179" t="s">
        <v>8</v>
      </c>
      <c r="N1083" s="179">
        <v>21.0</v>
      </c>
      <c r="O1083" s="179">
        <v>1.0</v>
      </c>
      <c r="P1083" s="179">
        <v>0.0476</v>
      </c>
      <c r="Q1083" s="179">
        <v>1.46</v>
      </c>
      <c r="R1083" s="179">
        <v>1.46</v>
      </c>
      <c r="S1083" s="179">
        <v>1.0</v>
      </c>
      <c r="T1083" s="179">
        <v>0.0</v>
      </c>
      <c r="U1083" s="179">
        <v>0.0</v>
      </c>
      <c r="V1083" s="179">
        <v>0.0</v>
      </c>
      <c r="W1083" s="179">
        <v>0.0</v>
      </c>
      <c r="X1083" s="179">
        <v>0.0</v>
      </c>
      <c r="Y1083" s="179">
        <v>0.0</v>
      </c>
      <c r="Z1083" s="179">
        <v>0.0</v>
      </c>
      <c r="AA1083" s="179">
        <v>0.0</v>
      </c>
      <c r="AB1083" s="179">
        <v>3.0</v>
      </c>
      <c r="AC1083" s="179">
        <v>486.67</v>
      </c>
      <c r="AD1083" s="179">
        <v>2.0</v>
      </c>
      <c r="AE1083" s="179">
        <v>2.0</v>
      </c>
      <c r="AF1083" s="179">
        <v>2.0</v>
      </c>
      <c r="AG1083" s="179">
        <v>2.0</v>
      </c>
      <c r="AH1083" s="179">
        <v>0.0</v>
      </c>
      <c r="AI1083" s="179">
        <v>0.1429</v>
      </c>
      <c r="AJ1083" s="179">
        <v>0.3333</v>
      </c>
    </row>
    <row r="1084" ht="15.75" customHeight="1">
      <c r="A1084" s="65">
        <v>45689.0</v>
      </c>
      <c r="B1084" s="179" t="s">
        <v>779</v>
      </c>
      <c r="C1084" s="179" t="s">
        <v>984</v>
      </c>
      <c r="D1084" s="179" t="s">
        <v>781</v>
      </c>
      <c r="E1084" s="179" t="s">
        <v>462</v>
      </c>
      <c r="F1084" s="179" t="s">
        <v>774</v>
      </c>
      <c r="G1084" s="179"/>
      <c r="H1084" s="179" t="s">
        <v>1106</v>
      </c>
      <c r="I1084" s="179"/>
      <c r="J1084" s="179" t="s">
        <v>140</v>
      </c>
      <c r="K1084" s="179">
        <v>555.0</v>
      </c>
      <c r="L1084" s="195">
        <v>0.5625</v>
      </c>
      <c r="M1084" s="179" t="s">
        <v>8</v>
      </c>
      <c r="N1084" s="179">
        <v>150.0</v>
      </c>
      <c r="O1084" s="179">
        <v>5.0</v>
      </c>
      <c r="P1084" s="179">
        <v>0.0333</v>
      </c>
      <c r="Q1084" s="179">
        <v>210.39</v>
      </c>
      <c r="R1084" s="179">
        <v>42.08</v>
      </c>
      <c r="S1084" s="179">
        <v>6.0</v>
      </c>
      <c r="T1084" s="179">
        <v>0.0</v>
      </c>
      <c r="U1084" s="179">
        <v>0.0</v>
      </c>
      <c r="V1084" s="179">
        <v>0.0</v>
      </c>
      <c r="W1084" s="179">
        <v>0.0</v>
      </c>
      <c r="X1084" s="179">
        <v>0.0</v>
      </c>
      <c r="Y1084" s="179">
        <v>0.0</v>
      </c>
      <c r="Z1084" s="179">
        <v>0.0</v>
      </c>
      <c r="AA1084" s="179">
        <v>0.0</v>
      </c>
      <c r="AB1084" s="179">
        <v>28.0</v>
      </c>
      <c r="AC1084" s="179">
        <v>7513.93</v>
      </c>
      <c r="AD1084" s="179">
        <v>0.0</v>
      </c>
      <c r="AE1084" s="179">
        <v>0.0</v>
      </c>
      <c r="AF1084" s="179">
        <v>0.0</v>
      </c>
      <c r="AG1084" s="179">
        <v>0.0</v>
      </c>
      <c r="AH1084" s="179">
        <v>0.0</v>
      </c>
      <c r="AI1084" s="179">
        <v>0.0</v>
      </c>
      <c r="AJ1084" s="179">
        <v>0.0</v>
      </c>
    </row>
    <row r="1085" ht="15.75" customHeight="1">
      <c r="A1085" s="65">
        <v>45689.0</v>
      </c>
      <c r="B1085" s="179" t="s">
        <v>779</v>
      </c>
      <c r="C1085" s="179" t="s">
        <v>1111</v>
      </c>
      <c r="D1085" s="179" t="s">
        <v>781</v>
      </c>
      <c r="E1085" s="179" t="s">
        <v>462</v>
      </c>
      <c r="F1085" s="179" t="s">
        <v>774</v>
      </c>
      <c r="G1085" s="179"/>
      <c r="H1085" s="179" t="s">
        <v>1106</v>
      </c>
      <c r="I1085" s="179"/>
      <c r="J1085" s="179" t="s">
        <v>134</v>
      </c>
      <c r="K1085" s="179">
        <v>2000.0</v>
      </c>
      <c r="L1085" s="195">
        <v>0.1121</v>
      </c>
      <c r="M1085" s="179" t="s">
        <v>8</v>
      </c>
      <c r="N1085" s="179">
        <v>13435.0</v>
      </c>
      <c r="O1085" s="179">
        <v>104.0</v>
      </c>
      <c r="P1085" s="179">
        <v>0.0077</v>
      </c>
      <c r="Q1085" s="179">
        <v>2252.9</v>
      </c>
      <c r="R1085" s="179">
        <v>21.66</v>
      </c>
      <c r="S1085" s="179">
        <v>219.0</v>
      </c>
      <c r="T1085" s="179">
        <v>0.0</v>
      </c>
      <c r="U1085" s="179">
        <v>0.0</v>
      </c>
      <c r="V1085" s="179">
        <v>0.0</v>
      </c>
      <c r="W1085" s="179">
        <v>0.0</v>
      </c>
      <c r="X1085" s="179">
        <v>0.0</v>
      </c>
      <c r="Y1085" s="179">
        <v>0.0</v>
      </c>
      <c r="Z1085" s="179">
        <v>0.0</v>
      </c>
      <c r="AA1085" s="179">
        <v>0.0</v>
      </c>
      <c r="AB1085" s="179">
        <v>1726.0</v>
      </c>
      <c r="AC1085" s="179">
        <v>1305.27</v>
      </c>
      <c r="AD1085" s="179">
        <v>0.0</v>
      </c>
      <c r="AE1085" s="179">
        <v>0.0</v>
      </c>
      <c r="AF1085" s="179">
        <v>0.0</v>
      </c>
      <c r="AG1085" s="179">
        <v>0.0</v>
      </c>
      <c r="AH1085" s="179">
        <v>0.0</v>
      </c>
      <c r="AI1085" s="179">
        <v>0.0</v>
      </c>
      <c r="AJ1085" s="179">
        <v>0.0</v>
      </c>
    </row>
    <row r="1086" ht="15.75" customHeight="1">
      <c r="A1086" s="65">
        <v>45689.0</v>
      </c>
      <c r="B1086" s="179" t="s">
        <v>771</v>
      </c>
      <c r="C1086" s="179" t="s">
        <v>1243</v>
      </c>
      <c r="D1086" s="179" t="s">
        <v>773</v>
      </c>
      <c r="E1086" s="179" t="s">
        <v>461</v>
      </c>
      <c r="F1086" s="179" t="s">
        <v>774</v>
      </c>
      <c r="G1086" s="179"/>
      <c r="H1086" s="179" t="s">
        <v>1106</v>
      </c>
      <c r="I1086" s="179"/>
      <c r="J1086" s="179" t="s">
        <v>134</v>
      </c>
      <c r="K1086" s="179">
        <v>1000.0</v>
      </c>
      <c r="L1086" s="179" t="s">
        <v>776</v>
      </c>
      <c r="M1086" s="179" t="s">
        <v>8</v>
      </c>
      <c r="N1086" s="179">
        <v>83046.0</v>
      </c>
      <c r="O1086" s="179">
        <v>244.0</v>
      </c>
      <c r="P1086" s="179">
        <v>0.0029</v>
      </c>
      <c r="Q1086" s="179">
        <v>1091.9</v>
      </c>
      <c r="R1086" s="179">
        <v>4.48</v>
      </c>
      <c r="S1086" s="179">
        <v>219.0</v>
      </c>
      <c r="T1086" s="179">
        <v>0.0</v>
      </c>
      <c r="U1086" s="179">
        <v>0.0</v>
      </c>
      <c r="V1086" s="179">
        <v>0.0</v>
      </c>
      <c r="W1086" s="179">
        <v>0.0</v>
      </c>
      <c r="X1086" s="179">
        <v>0.0</v>
      </c>
      <c r="Y1086" s="179">
        <v>0.0</v>
      </c>
      <c r="Z1086" s="179">
        <v>0.0</v>
      </c>
      <c r="AA1086" s="179">
        <v>0.0</v>
      </c>
      <c r="AB1086" s="179">
        <v>16221.0</v>
      </c>
      <c r="AC1086" s="179">
        <v>67.31</v>
      </c>
      <c r="AD1086" s="179">
        <v>0.0</v>
      </c>
      <c r="AE1086" s="179">
        <v>0.0</v>
      </c>
      <c r="AF1086" s="179">
        <v>0.0</v>
      </c>
      <c r="AG1086" s="179">
        <v>0.0</v>
      </c>
      <c r="AH1086" s="179">
        <v>0.0</v>
      </c>
      <c r="AI1086" s="179">
        <v>0.0</v>
      </c>
      <c r="AJ1086" s="179">
        <v>0.0</v>
      </c>
    </row>
    <row r="1087" ht="15.75" customHeight="1">
      <c r="A1087" s="65">
        <v>45689.0</v>
      </c>
      <c r="B1087" s="179" t="s">
        <v>771</v>
      </c>
      <c r="C1087" s="179" t="s">
        <v>1245</v>
      </c>
      <c r="D1087" s="179" t="s">
        <v>773</v>
      </c>
      <c r="E1087" s="179" t="s">
        <v>462</v>
      </c>
      <c r="F1087" s="179" t="s">
        <v>774</v>
      </c>
      <c r="G1087" s="179"/>
      <c r="H1087" s="179" t="s">
        <v>1106</v>
      </c>
      <c r="I1087" s="179"/>
      <c r="J1087" s="179" t="s">
        <v>182</v>
      </c>
      <c r="K1087" s="179">
        <v>1500.0</v>
      </c>
      <c r="L1087" s="195">
        <v>0.0852</v>
      </c>
      <c r="M1087" s="179" t="s">
        <v>8</v>
      </c>
      <c r="N1087" s="179">
        <v>16695.0</v>
      </c>
      <c r="O1087" s="179">
        <v>362.0</v>
      </c>
      <c r="P1087" s="179">
        <v>0.0217</v>
      </c>
      <c r="Q1087" s="179">
        <v>3184.51</v>
      </c>
      <c r="R1087" s="179">
        <v>8.8</v>
      </c>
      <c r="S1087" s="179">
        <v>599.0</v>
      </c>
      <c r="T1087" s="179">
        <v>0.0</v>
      </c>
      <c r="U1087" s="179">
        <v>0.0</v>
      </c>
      <c r="V1087" s="179">
        <v>0.0</v>
      </c>
      <c r="W1087" s="179">
        <v>0.0</v>
      </c>
      <c r="X1087" s="179">
        <v>0.0</v>
      </c>
      <c r="Y1087" s="179">
        <v>0.0</v>
      </c>
      <c r="Z1087" s="179">
        <v>0.0</v>
      </c>
      <c r="AA1087" s="179">
        <v>0.0</v>
      </c>
      <c r="AB1087" s="179">
        <v>3618.0</v>
      </c>
      <c r="AC1087" s="179">
        <v>880.19</v>
      </c>
      <c r="AD1087" s="179">
        <v>0.0</v>
      </c>
      <c r="AE1087" s="179">
        <v>0.0</v>
      </c>
      <c r="AF1087" s="179">
        <v>0.0</v>
      </c>
      <c r="AG1087" s="179">
        <v>0.0</v>
      </c>
      <c r="AH1087" s="179">
        <v>0.0</v>
      </c>
      <c r="AI1087" s="179">
        <v>0.0</v>
      </c>
      <c r="AJ1087" s="179">
        <v>0.0</v>
      </c>
    </row>
    <row r="1088" ht="15.75" customHeight="1">
      <c r="A1088" s="65">
        <v>45717.0</v>
      </c>
      <c r="B1088" s="179" t="s">
        <v>771</v>
      </c>
      <c r="C1088" s="179" t="s">
        <v>912</v>
      </c>
      <c r="D1088" s="179" t="s">
        <v>773</v>
      </c>
      <c r="E1088" s="179" t="s">
        <v>459</v>
      </c>
      <c r="F1088" s="179" t="s">
        <v>774</v>
      </c>
      <c r="G1088" s="179" t="s">
        <v>775</v>
      </c>
      <c r="H1088" s="179" t="s">
        <v>1106</v>
      </c>
      <c r="I1088" s="179"/>
      <c r="J1088" s="179" t="s">
        <v>140</v>
      </c>
      <c r="K1088" s="179">
        <v>100.0</v>
      </c>
      <c r="L1088" s="179" t="s">
        <v>776</v>
      </c>
      <c r="M1088" s="179" t="s">
        <v>8</v>
      </c>
      <c r="N1088" s="179">
        <v>62656.0</v>
      </c>
      <c r="O1088" s="179">
        <v>48.0</v>
      </c>
      <c r="P1088" s="179">
        <v>8.0E-4</v>
      </c>
      <c r="Q1088" s="179">
        <v>1690.95</v>
      </c>
      <c r="R1088" s="179">
        <v>35.23</v>
      </c>
      <c r="S1088" s="179">
        <v>0.0</v>
      </c>
      <c r="T1088" s="179">
        <v>0.0</v>
      </c>
      <c r="U1088" s="179">
        <v>0.0</v>
      </c>
      <c r="V1088" s="179">
        <v>0.0</v>
      </c>
      <c r="W1088" s="179">
        <v>0.0</v>
      </c>
      <c r="X1088" s="179">
        <v>0.0</v>
      </c>
      <c r="Y1088" s="179">
        <v>0.0</v>
      </c>
      <c r="Z1088" s="179">
        <v>0.0</v>
      </c>
      <c r="AA1088" s="179">
        <v>0.0</v>
      </c>
      <c r="AB1088" s="179">
        <v>0.0</v>
      </c>
      <c r="AC1088" s="179">
        <v>0.0</v>
      </c>
      <c r="AD1088" s="179">
        <v>0.0</v>
      </c>
      <c r="AE1088" s="179">
        <v>0.0</v>
      </c>
      <c r="AF1088" s="179">
        <v>0.0</v>
      </c>
      <c r="AG1088" s="179">
        <v>0.0</v>
      </c>
      <c r="AH1088" s="179">
        <v>0.0</v>
      </c>
      <c r="AI1088" s="179">
        <v>0.0</v>
      </c>
      <c r="AJ1088" s="179">
        <v>0.0</v>
      </c>
    </row>
    <row r="1089" ht="15.75" customHeight="1">
      <c r="A1089" s="65">
        <v>45717.0</v>
      </c>
      <c r="B1089" s="179" t="s">
        <v>779</v>
      </c>
      <c r="C1089" s="179" t="s">
        <v>1226</v>
      </c>
      <c r="D1089" s="179" t="s">
        <v>781</v>
      </c>
      <c r="E1089" s="179" t="s">
        <v>459</v>
      </c>
      <c r="F1089" s="179" t="s">
        <v>774</v>
      </c>
      <c r="G1089" s="179" t="s">
        <v>775</v>
      </c>
      <c r="H1089" s="179" t="s">
        <v>1106</v>
      </c>
      <c r="I1089" s="179"/>
      <c r="J1089" s="179" t="s">
        <v>182</v>
      </c>
      <c r="K1089" s="179">
        <v>100.0</v>
      </c>
      <c r="L1089" s="179" t="s">
        <v>776</v>
      </c>
      <c r="M1089" s="179" t="s">
        <v>8</v>
      </c>
      <c r="N1089" s="179">
        <v>10178.0</v>
      </c>
      <c r="O1089" s="179">
        <v>19.0</v>
      </c>
      <c r="P1089" s="179">
        <v>0.0019</v>
      </c>
      <c r="Q1089" s="179">
        <v>686.68</v>
      </c>
      <c r="R1089" s="179">
        <v>36.14</v>
      </c>
      <c r="S1089" s="179">
        <v>0.0</v>
      </c>
      <c r="T1089" s="179">
        <v>0.0</v>
      </c>
      <c r="U1089" s="179">
        <v>0.0</v>
      </c>
      <c r="V1089" s="179">
        <v>0.0</v>
      </c>
      <c r="W1089" s="179">
        <v>0.0</v>
      </c>
      <c r="X1089" s="179">
        <v>0.0</v>
      </c>
      <c r="Y1089" s="179">
        <v>0.0</v>
      </c>
      <c r="Z1089" s="179">
        <v>0.0</v>
      </c>
      <c r="AA1089" s="179">
        <v>0.0</v>
      </c>
      <c r="AB1089" s="179">
        <v>0.0</v>
      </c>
      <c r="AC1089" s="179">
        <v>0.0</v>
      </c>
      <c r="AD1089" s="179">
        <v>0.0</v>
      </c>
      <c r="AE1089" s="179">
        <v>0.0</v>
      </c>
      <c r="AF1089" s="179">
        <v>0.0</v>
      </c>
      <c r="AG1089" s="179">
        <v>0.0</v>
      </c>
      <c r="AH1089" s="179">
        <v>0.0</v>
      </c>
      <c r="AI1089" s="179">
        <v>0.0</v>
      </c>
      <c r="AJ1089" s="179">
        <v>0.0</v>
      </c>
    </row>
    <row r="1090" ht="15.75" customHeight="1">
      <c r="A1090" s="65">
        <v>45717.0</v>
      </c>
      <c r="B1090" s="179" t="s">
        <v>771</v>
      </c>
      <c r="C1090" s="179" t="s">
        <v>875</v>
      </c>
      <c r="D1090" s="179" t="s">
        <v>773</v>
      </c>
      <c r="E1090" s="179" t="s">
        <v>460</v>
      </c>
      <c r="F1090" s="179" t="s">
        <v>778</v>
      </c>
      <c r="G1090" s="179" t="s">
        <v>775</v>
      </c>
      <c r="H1090" s="179" t="s">
        <v>1106</v>
      </c>
      <c r="I1090" s="179"/>
      <c r="J1090" s="179" t="s">
        <v>182</v>
      </c>
      <c r="K1090" s="179">
        <v>135.0</v>
      </c>
      <c r="L1090" s="179" t="s">
        <v>776</v>
      </c>
      <c r="M1090" s="179" t="s">
        <v>8</v>
      </c>
      <c r="N1090" s="179">
        <v>273817.0</v>
      </c>
      <c r="O1090" s="179">
        <v>250.0</v>
      </c>
      <c r="P1090" s="179">
        <v>9.0E-4</v>
      </c>
      <c r="Q1090" s="179">
        <v>4200.45</v>
      </c>
      <c r="R1090" s="179">
        <v>16.8</v>
      </c>
      <c r="S1090" s="179">
        <v>0.0</v>
      </c>
      <c r="T1090" s="179">
        <v>3.0</v>
      </c>
      <c r="U1090" s="179">
        <v>88440.67</v>
      </c>
      <c r="V1090" s="179">
        <v>0.0475</v>
      </c>
      <c r="W1090" s="179">
        <v>21.055</v>
      </c>
      <c r="X1090" s="179">
        <v>0.0</v>
      </c>
      <c r="Y1090" s="179">
        <v>0.0</v>
      </c>
      <c r="Z1090" s="179">
        <v>0.0</v>
      </c>
      <c r="AA1090" s="179">
        <v>0.0</v>
      </c>
      <c r="AB1090" s="179">
        <v>0.0</v>
      </c>
      <c r="AC1090" s="179">
        <v>0.0</v>
      </c>
      <c r="AD1090" s="179">
        <v>0.0</v>
      </c>
      <c r="AE1090" s="179">
        <v>0.0</v>
      </c>
      <c r="AF1090" s="179">
        <v>0.0</v>
      </c>
      <c r="AG1090" s="179">
        <v>0.0</v>
      </c>
      <c r="AH1090" s="179">
        <v>0.0</v>
      </c>
      <c r="AI1090" s="179">
        <v>0.0</v>
      </c>
      <c r="AJ1090" s="179">
        <v>0.0</v>
      </c>
    </row>
    <row r="1091" ht="15.75" customHeight="1">
      <c r="A1091" s="65">
        <v>45717.0</v>
      </c>
      <c r="B1091" s="179" t="s">
        <v>771</v>
      </c>
      <c r="C1091" s="179" t="s">
        <v>1117</v>
      </c>
      <c r="D1091" s="179" t="s">
        <v>773</v>
      </c>
      <c r="E1091" s="179" t="s">
        <v>459</v>
      </c>
      <c r="F1091" s="179" t="s">
        <v>774</v>
      </c>
      <c r="G1091" s="179" t="s">
        <v>775</v>
      </c>
      <c r="H1091" s="179" t="s">
        <v>1106</v>
      </c>
      <c r="I1091" s="179"/>
      <c r="J1091" s="179" t="s">
        <v>230</v>
      </c>
      <c r="K1091" s="179">
        <v>200.0</v>
      </c>
      <c r="L1091" s="195">
        <v>0.0614</v>
      </c>
      <c r="M1091" s="179" t="s">
        <v>8</v>
      </c>
      <c r="N1091" s="179">
        <v>6382.0</v>
      </c>
      <c r="O1091" s="179">
        <v>9.0</v>
      </c>
      <c r="P1091" s="179">
        <v>0.0014</v>
      </c>
      <c r="Q1091" s="179">
        <v>295.59</v>
      </c>
      <c r="R1091" s="179">
        <v>32.84</v>
      </c>
      <c r="S1091" s="179">
        <v>0.0</v>
      </c>
      <c r="T1091" s="179">
        <v>0.0</v>
      </c>
      <c r="U1091" s="179">
        <v>0.0</v>
      </c>
      <c r="V1091" s="179">
        <v>0.0</v>
      </c>
      <c r="W1091" s="179">
        <v>0.0</v>
      </c>
      <c r="X1091" s="179">
        <v>0.0</v>
      </c>
      <c r="Y1091" s="179">
        <v>0.0</v>
      </c>
      <c r="Z1091" s="179">
        <v>0.0</v>
      </c>
      <c r="AA1091" s="179">
        <v>0.0</v>
      </c>
      <c r="AB1091" s="179">
        <v>0.0</v>
      </c>
      <c r="AC1091" s="179">
        <v>0.0</v>
      </c>
      <c r="AD1091" s="179">
        <v>0.0</v>
      </c>
      <c r="AE1091" s="179">
        <v>0.0</v>
      </c>
      <c r="AF1091" s="179">
        <v>0.0</v>
      </c>
      <c r="AG1091" s="179">
        <v>0.0</v>
      </c>
      <c r="AH1091" s="179">
        <v>0.0</v>
      </c>
      <c r="AI1091" s="179">
        <v>0.0</v>
      </c>
      <c r="AJ1091" s="179">
        <v>0.0</v>
      </c>
    </row>
    <row r="1092" ht="15.75" customHeight="1">
      <c r="A1092" s="65">
        <v>45717.0</v>
      </c>
      <c r="B1092" s="179" t="s">
        <v>771</v>
      </c>
      <c r="C1092" s="179" t="s">
        <v>1136</v>
      </c>
      <c r="D1092" s="179" t="s">
        <v>773</v>
      </c>
      <c r="E1092" s="179" t="s">
        <v>460</v>
      </c>
      <c r="F1092" s="179" t="s">
        <v>778</v>
      </c>
      <c r="G1092" s="179" t="s">
        <v>775</v>
      </c>
      <c r="H1092" s="179" t="s">
        <v>1106</v>
      </c>
      <c r="I1092" s="179"/>
      <c r="J1092" s="179" t="s">
        <v>321</v>
      </c>
      <c r="K1092" s="179">
        <v>200.0</v>
      </c>
      <c r="L1092" s="179" t="s">
        <v>776</v>
      </c>
      <c r="M1092" s="179" t="s">
        <v>8</v>
      </c>
      <c r="N1092" s="179">
        <v>32803.0</v>
      </c>
      <c r="O1092" s="179">
        <v>270.0</v>
      </c>
      <c r="P1092" s="179">
        <v>0.0082</v>
      </c>
      <c r="Q1092" s="179">
        <v>1274.12</v>
      </c>
      <c r="R1092" s="179">
        <v>4.72</v>
      </c>
      <c r="S1092" s="179">
        <v>0.0</v>
      </c>
      <c r="T1092" s="179">
        <v>5.0</v>
      </c>
      <c r="U1092" s="179">
        <v>2114.4</v>
      </c>
      <c r="V1092" s="179">
        <v>0.6026</v>
      </c>
      <c r="W1092" s="179">
        <v>1.6595</v>
      </c>
      <c r="X1092" s="179">
        <v>0.0</v>
      </c>
      <c r="Y1092" s="179">
        <v>0.0</v>
      </c>
      <c r="Z1092" s="179">
        <v>0.0</v>
      </c>
      <c r="AA1092" s="179">
        <v>0.0</v>
      </c>
      <c r="AB1092" s="179">
        <v>0.0</v>
      </c>
      <c r="AC1092" s="179">
        <v>0.0</v>
      </c>
      <c r="AD1092" s="179">
        <v>0.0</v>
      </c>
      <c r="AE1092" s="179">
        <v>0.0</v>
      </c>
      <c r="AF1092" s="179">
        <v>0.0</v>
      </c>
      <c r="AG1092" s="179">
        <v>0.0</v>
      </c>
      <c r="AH1092" s="179">
        <v>0.0</v>
      </c>
      <c r="AI1092" s="179">
        <v>0.0</v>
      </c>
      <c r="AJ1092" s="179">
        <v>0.0</v>
      </c>
    </row>
    <row r="1093" ht="15.75" customHeight="1">
      <c r="A1093" s="65">
        <v>45717.0</v>
      </c>
      <c r="B1093" s="179" t="s">
        <v>771</v>
      </c>
      <c r="C1093" s="179" t="s">
        <v>1205</v>
      </c>
      <c r="D1093" s="179" t="s">
        <v>773</v>
      </c>
      <c r="E1093" s="179" t="s">
        <v>459</v>
      </c>
      <c r="F1093" s="179" t="s">
        <v>774</v>
      </c>
      <c r="G1093" s="179" t="s">
        <v>775</v>
      </c>
      <c r="H1093" s="179" t="s">
        <v>1106</v>
      </c>
      <c r="I1093" s="179"/>
      <c r="J1093" s="179" t="s">
        <v>134</v>
      </c>
      <c r="K1093" s="179">
        <v>200.0</v>
      </c>
      <c r="L1093" s="179" t="s">
        <v>776</v>
      </c>
      <c r="M1093" s="179" t="s">
        <v>8</v>
      </c>
      <c r="N1093" s="179">
        <v>39832.0</v>
      </c>
      <c r="O1093" s="179">
        <v>98.0</v>
      </c>
      <c r="P1093" s="179">
        <v>0.0025</v>
      </c>
      <c r="Q1093" s="179">
        <v>3075.32</v>
      </c>
      <c r="R1093" s="179">
        <v>31.38</v>
      </c>
      <c r="S1093" s="179">
        <v>0.0</v>
      </c>
      <c r="T1093" s="179">
        <v>1.0</v>
      </c>
      <c r="U1093" s="179">
        <v>16512.71</v>
      </c>
      <c r="V1093" s="179">
        <v>0.1862</v>
      </c>
      <c r="W1093" s="179">
        <v>5.3694</v>
      </c>
      <c r="X1093" s="179">
        <v>0.0</v>
      </c>
      <c r="Y1093" s="179">
        <v>0.0</v>
      </c>
      <c r="Z1093" s="179">
        <v>0.0</v>
      </c>
      <c r="AA1093" s="179">
        <v>0.0</v>
      </c>
      <c r="AB1093" s="179">
        <v>0.0</v>
      </c>
      <c r="AC1093" s="179">
        <v>0.0</v>
      </c>
      <c r="AD1093" s="179">
        <v>0.0</v>
      </c>
      <c r="AE1093" s="179">
        <v>0.0</v>
      </c>
      <c r="AF1093" s="179">
        <v>0.0</v>
      </c>
      <c r="AG1093" s="179">
        <v>0.0</v>
      </c>
      <c r="AH1093" s="179">
        <v>0.0</v>
      </c>
      <c r="AI1093" s="179">
        <v>0.0</v>
      </c>
      <c r="AJ1093" s="179">
        <v>0.0</v>
      </c>
    </row>
    <row r="1094" ht="15.75" customHeight="1">
      <c r="A1094" s="65">
        <v>45717.0</v>
      </c>
      <c r="B1094" s="179" t="s">
        <v>771</v>
      </c>
      <c r="C1094" s="179" t="s">
        <v>1207</v>
      </c>
      <c r="D1094" s="179" t="s">
        <v>773</v>
      </c>
      <c r="E1094" s="179" t="s">
        <v>459</v>
      </c>
      <c r="F1094" s="179" t="s">
        <v>774</v>
      </c>
      <c r="G1094" s="179" t="s">
        <v>775</v>
      </c>
      <c r="H1094" s="179" t="s">
        <v>1106</v>
      </c>
      <c r="I1094" s="179"/>
      <c r="J1094" s="179" t="s">
        <v>134</v>
      </c>
      <c r="K1094" s="179">
        <v>200.0</v>
      </c>
      <c r="L1094" s="179" t="s">
        <v>776</v>
      </c>
      <c r="M1094" s="179" t="s">
        <v>8</v>
      </c>
      <c r="N1094" s="179">
        <v>90658.0</v>
      </c>
      <c r="O1094" s="179">
        <v>112.0</v>
      </c>
      <c r="P1094" s="179">
        <v>0.0012</v>
      </c>
      <c r="Q1094" s="179">
        <v>3799.06</v>
      </c>
      <c r="R1094" s="179">
        <v>33.92</v>
      </c>
      <c r="S1094" s="179">
        <v>0.0</v>
      </c>
      <c r="T1094" s="179">
        <v>0.0</v>
      </c>
      <c r="U1094" s="179">
        <v>0.0</v>
      </c>
      <c r="V1094" s="179">
        <v>0.0</v>
      </c>
      <c r="W1094" s="179">
        <v>0.0</v>
      </c>
      <c r="X1094" s="179">
        <v>0.0</v>
      </c>
      <c r="Y1094" s="179">
        <v>0.0</v>
      </c>
      <c r="Z1094" s="179">
        <v>0.0</v>
      </c>
      <c r="AA1094" s="179">
        <v>0.0</v>
      </c>
      <c r="AB1094" s="179">
        <v>0.0</v>
      </c>
      <c r="AC1094" s="179">
        <v>0.0</v>
      </c>
      <c r="AD1094" s="179">
        <v>0.0</v>
      </c>
      <c r="AE1094" s="179">
        <v>0.0</v>
      </c>
      <c r="AF1094" s="179">
        <v>0.0</v>
      </c>
      <c r="AG1094" s="179">
        <v>0.0</v>
      </c>
      <c r="AH1094" s="179">
        <v>0.0</v>
      </c>
      <c r="AI1094" s="179">
        <v>0.0</v>
      </c>
      <c r="AJ1094" s="179">
        <v>0.0</v>
      </c>
    </row>
    <row r="1095" ht="15.75" customHeight="1">
      <c r="A1095" s="65">
        <v>45717.0</v>
      </c>
      <c r="B1095" s="179" t="s">
        <v>771</v>
      </c>
      <c r="C1095" s="179" t="s">
        <v>1214</v>
      </c>
      <c r="D1095" s="179" t="s">
        <v>773</v>
      </c>
      <c r="E1095" s="179" t="s">
        <v>459</v>
      </c>
      <c r="F1095" s="179" t="s">
        <v>774</v>
      </c>
      <c r="G1095" s="179" t="s">
        <v>775</v>
      </c>
      <c r="H1095" s="179" t="s">
        <v>1106</v>
      </c>
      <c r="I1095" s="179"/>
      <c r="J1095" s="179" t="s">
        <v>134</v>
      </c>
      <c r="K1095" s="179">
        <v>200.0</v>
      </c>
      <c r="L1095" s="179" t="s">
        <v>776</v>
      </c>
      <c r="M1095" s="179" t="s">
        <v>8</v>
      </c>
      <c r="N1095" s="179">
        <v>11863.0</v>
      </c>
      <c r="O1095" s="179">
        <v>43.0</v>
      </c>
      <c r="P1095" s="179">
        <v>0.0036</v>
      </c>
      <c r="Q1095" s="179">
        <v>826.25</v>
      </c>
      <c r="R1095" s="179">
        <v>19.22</v>
      </c>
      <c r="S1095" s="179">
        <v>0.0</v>
      </c>
      <c r="T1095" s="179">
        <v>0.0</v>
      </c>
      <c r="U1095" s="179">
        <v>0.0</v>
      </c>
      <c r="V1095" s="179">
        <v>0.0</v>
      </c>
      <c r="W1095" s="179">
        <v>0.0</v>
      </c>
      <c r="X1095" s="179">
        <v>0.0</v>
      </c>
      <c r="Y1095" s="179">
        <v>0.0</v>
      </c>
      <c r="Z1095" s="179">
        <v>0.0</v>
      </c>
      <c r="AA1095" s="179">
        <v>0.0</v>
      </c>
      <c r="AB1095" s="179">
        <v>0.0</v>
      </c>
      <c r="AC1095" s="179">
        <v>0.0</v>
      </c>
      <c r="AD1095" s="179">
        <v>0.0</v>
      </c>
      <c r="AE1095" s="179">
        <v>0.0</v>
      </c>
      <c r="AF1095" s="179">
        <v>0.0</v>
      </c>
      <c r="AG1095" s="179">
        <v>0.0</v>
      </c>
      <c r="AH1095" s="179">
        <v>0.0</v>
      </c>
      <c r="AI1095" s="179">
        <v>0.0</v>
      </c>
      <c r="AJ1095" s="179">
        <v>0.0</v>
      </c>
    </row>
    <row r="1096" ht="15.75" customHeight="1">
      <c r="A1096" s="65">
        <v>45717.0</v>
      </c>
      <c r="B1096" s="179" t="s">
        <v>771</v>
      </c>
      <c r="C1096" s="179" t="s">
        <v>1219</v>
      </c>
      <c r="D1096" s="179" t="s">
        <v>773</v>
      </c>
      <c r="E1096" s="179" t="s">
        <v>459</v>
      </c>
      <c r="F1096" s="179" t="s">
        <v>774</v>
      </c>
      <c r="G1096" s="179" t="s">
        <v>775</v>
      </c>
      <c r="H1096" s="179" t="s">
        <v>1106</v>
      </c>
      <c r="I1096" s="179"/>
      <c r="J1096" s="179" t="s">
        <v>134</v>
      </c>
      <c r="K1096" s="179">
        <v>200.0</v>
      </c>
      <c r="L1096" s="179" t="s">
        <v>776</v>
      </c>
      <c r="M1096" s="179" t="s">
        <v>8</v>
      </c>
      <c r="N1096" s="179">
        <v>30497.0</v>
      </c>
      <c r="O1096" s="179">
        <v>81.0</v>
      </c>
      <c r="P1096" s="179">
        <v>0.0027</v>
      </c>
      <c r="Q1096" s="179">
        <v>3551.7</v>
      </c>
      <c r="R1096" s="179">
        <v>43.85</v>
      </c>
      <c r="S1096" s="179">
        <v>0.0</v>
      </c>
      <c r="T1096" s="179">
        <v>0.0</v>
      </c>
      <c r="U1096" s="179">
        <v>0.0</v>
      </c>
      <c r="V1096" s="179">
        <v>0.0</v>
      </c>
      <c r="W1096" s="179">
        <v>0.0</v>
      </c>
      <c r="X1096" s="179">
        <v>0.0</v>
      </c>
      <c r="Y1096" s="179">
        <v>0.0</v>
      </c>
      <c r="Z1096" s="179">
        <v>0.0</v>
      </c>
      <c r="AA1096" s="179">
        <v>0.0</v>
      </c>
      <c r="AB1096" s="179">
        <v>0.0</v>
      </c>
      <c r="AC1096" s="179">
        <v>0.0</v>
      </c>
      <c r="AD1096" s="179">
        <v>0.0</v>
      </c>
      <c r="AE1096" s="179">
        <v>0.0</v>
      </c>
      <c r="AF1096" s="179">
        <v>0.0</v>
      </c>
      <c r="AG1096" s="179">
        <v>0.0</v>
      </c>
      <c r="AH1096" s="179">
        <v>0.0</v>
      </c>
      <c r="AI1096" s="179">
        <v>0.0</v>
      </c>
      <c r="AJ1096" s="179">
        <v>0.0</v>
      </c>
    </row>
    <row r="1097" ht="15.75" customHeight="1">
      <c r="A1097" s="65">
        <v>45717.0</v>
      </c>
      <c r="B1097" s="179" t="s">
        <v>771</v>
      </c>
      <c r="C1097" s="179" t="s">
        <v>1156</v>
      </c>
      <c r="D1097" s="179" t="s">
        <v>773</v>
      </c>
      <c r="E1097" s="179" t="s">
        <v>459</v>
      </c>
      <c r="F1097" s="179" t="s">
        <v>774</v>
      </c>
      <c r="G1097" s="179" t="s">
        <v>775</v>
      </c>
      <c r="H1097" s="179" t="s">
        <v>1106</v>
      </c>
      <c r="I1097" s="179"/>
      <c r="J1097" s="179" t="s">
        <v>134</v>
      </c>
      <c r="K1097" s="179">
        <v>200.0</v>
      </c>
      <c r="L1097" s="179" t="s">
        <v>776</v>
      </c>
      <c r="M1097" s="179" t="s">
        <v>8</v>
      </c>
      <c r="N1097" s="179">
        <v>105030.0</v>
      </c>
      <c r="O1097" s="179">
        <v>184.0</v>
      </c>
      <c r="P1097" s="179">
        <v>0.0018</v>
      </c>
      <c r="Q1097" s="179">
        <v>3536.12</v>
      </c>
      <c r="R1097" s="179">
        <v>19.22</v>
      </c>
      <c r="S1097" s="179">
        <v>0.0</v>
      </c>
      <c r="T1097" s="179">
        <v>0.0</v>
      </c>
      <c r="U1097" s="179">
        <v>0.0</v>
      </c>
      <c r="V1097" s="179">
        <v>0.0</v>
      </c>
      <c r="W1097" s="179">
        <v>0.0</v>
      </c>
      <c r="X1097" s="179">
        <v>0.0</v>
      </c>
      <c r="Y1097" s="179">
        <v>0.0</v>
      </c>
      <c r="Z1097" s="179">
        <v>0.0</v>
      </c>
      <c r="AA1097" s="179">
        <v>0.0</v>
      </c>
      <c r="AB1097" s="179">
        <v>0.0</v>
      </c>
      <c r="AC1097" s="179">
        <v>0.0</v>
      </c>
      <c r="AD1097" s="179">
        <v>0.0</v>
      </c>
      <c r="AE1097" s="179">
        <v>0.0</v>
      </c>
      <c r="AF1097" s="179">
        <v>0.0</v>
      </c>
      <c r="AG1097" s="179">
        <v>0.0</v>
      </c>
      <c r="AH1097" s="179">
        <v>0.0</v>
      </c>
      <c r="AI1097" s="179">
        <v>0.0</v>
      </c>
      <c r="AJ1097" s="179">
        <v>0.0</v>
      </c>
    </row>
    <row r="1098" ht="15.75" customHeight="1">
      <c r="A1098" s="65">
        <v>45717.0</v>
      </c>
      <c r="B1098" s="179" t="s">
        <v>779</v>
      </c>
      <c r="C1098" s="179" t="s">
        <v>1246</v>
      </c>
      <c r="D1098" s="179" t="s">
        <v>781</v>
      </c>
      <c r="E1098" s="179" t="s">
        <v>460</v>
      </c>
      <c r="F1098" s="179" t="s">
        <v>778</v>
      </c>
      <c r="G1098" s="179" t="s">
        <v>775</v>
      </c>
      <c r="H1098" s="179" t="s">
        <v>1106</v>
      </c>
      <c r="I1098" s="179"/>
      <c r="J1098" s="179" t="s">
        <v>158</v>
      </c>
      <c r="K1098" s="179">
        <v>200.0</v>
      </c>
      <c r="L1098" s="179" t="s">
        <v>776</v>
      </c>
      <c r="M1098" s="179" t="s">
        <v>8</v>
      </c>
      <c r="N1098" s="179">
        <v>19941.0</v>
      </c>
      <c r="O1098" s="179">
        <v>12.0</v>
      </c>
      <c r="P1098" s="179">
        <v>6.0E-4</v>
      </c>
      <c r="Q1098" s="179">
        <v>87.24</v>
      </c>
      <c r="R1098" s="179">
        <v>7.27</v>
      </c>
      <c r="S1098" s="179">
        <v>0.0</v>
      </c>
      <c r="T1098" s="179">
        <v>0.0</v>
      </c>
      <c r="U1098" s="179">
        <v>0.0</v>
      </c>
      <c r="V1098" s="179">
        <v>0.0</v>
      </c>
      <c r="W1098" s="179">
        <v>0.0</v>
      </c>
      <c r="X1098" s="179">
        <v>0.0</v>
      </c>
      <c r="Y1098" s="179">
        <v>0.0</v>
      </c>
      <c r="Z1098" s="179">
        <v>0.0</v>
      </c>
      <c r="AA1098" s="179">
        <v>0.0</v>
      </c>
      <c r="AB1098" s="179">
        <v>0.0</v>
      </c>
      <c r="AC1098" s="179">
        <v>0.0</v>
      </c>
      <c r="AD1098" s="179">
        <v>0.0</v>
      </c>
      <c r="AE1098" s="179">
        <v>0.0</v>
      </c>
      <c r="AF1098" s="179">
        <v>0.0</v>
      </c>
      <c r="AG1098" s="179">
        <v>0.0</v>
      </c>
      <c r="AH1098" s="179">
        <v>0.0</v>
      </c>
      <c r="AI1098" s="179">
        <v>0.0</v>
      </c>
      <c r="AJ1098" s="179">
        <v>0.0</v>
      </c>
    </row>
    <row r="1099" ht="15.75" customHeight="1">
      <c r="A1099" s="65">
        <v>45717.0</v>
      </c>
      <c r="B1099" s="179" t="s">
        <v>771</v>
      </c>
      <c r="C1099" s="179" t="s">
        <v>1050</v>
      </c>
      <c r="D1099" s="179" t="s">
        <v>773</v>
      </c>
      <c r="E1099" s="179" t="s">
        <v>460</v>
      </c>
      <c r="F1099" s="179" t="s">
        <v>778</v>
      </c>
      <c r="G1099" s="179" t="s">
        <v>775</v>
      </c>
      <c r="H1099" s="179" t="s">
        <v>1106</v>
      </c>
      <c r="I1099" s="179"/>
      <c r="J1099" s="179" t="s">
        <v>1247</v>
      </c>
      <c r="K1099" s="179">
        <v>250.0</v>
      </c>
      <c r="L1099" s="179" t="s">
        <v>776</v>
      </c>
      <c r="M1099" s="179" t="s">
        <v>8</v>
      </c>
      <c r="N1099" s="179">
        <v>100397.0</v>
      </c>
      <c r="O1099" s="179">
        <v>215.0</v>
      </c>
      <c r="P1099" s="179">
        <v>0.0021</v>
      </c>
      <c r="Q1099" s="179">
        <v>2716.07</v>
      </c>
      <c r="R1099" s="179">
        <v>12.63</v>
      </c>
      <c r="S1099" s="179">
        <v>0.0</v>
      </c>
      <c r="T1099" s="179">
        <v>0.0</v>
      </c>
      <c r="U1099" s="179">
        <v>0.0</v>
      </c>
      <c r="V1099" s="179">
        <v>0.0</v>
      </c>
      <c r="W1099" s="179">
        <v>0.0</v>
      </c>
      <c r="X1099" s="179">
        <v>0.0</v>
      </c>
      <c r="Y1099" s="179">
        <v>0.0</v>
      </c>
      <c r="Z1099" s="179">
        <v>0.0</v>
      </c>
      <c r="AA1099" s="179">
        <v>0.0</v>
      </c>
      <c r="AB1099" s="179">
        <v>0.0</v>
      </c>
      <c r="AC1099" s="179">
        <v>0.0</v>
      </c>
      <c r="AD1099" s="179">
        <v>0.0</v>
      </c>
      <c r="AE1099" s="179">
        <v>0.0</v>
      </c>
      <c r="AF1099" s="179">
        <v>0.0</v>
      </c>
      <c r="AG1099" s="179">
        <v>0.0</v>
      </c>
      <c r="AH1099" s="179">
        <v>0.0</v>
      </c>
      <c r="AI1099" s="179">
        <v>0.0</v>
      </c>
      <c r="AJ1099" s="179">
        <v>0.0</v>
      </c>
    </row>
    <row r="1100" ht="15.75" customHeight="1">
      <c r="A1100" s="65">
        <v>45717.0</v>
      </c>
      <c r="B1100" s="179" t="s">
        <v>771</v>
      </c>
      <c r="C1100" s="179" t="s">
        <v>1129</v>
      </c>
      <c r="D1100" s="179" t="s">
        <v>773</v>
      </c>
      <c r="E1100" s="179" t="s">
        <v>459</v>
      </c>
      <c r="F1100" s="179" t="s">
        <v>774</v>
      </c>
      <c r="G1100" s="179" t="s">
        <v>775</v>
      </c>
      <c r="H1100" s="179" t="s">
        <v>1106</v>
      </c>
      <c r="I1100" s="179"/>
      <c r="J1100" s="179" t="s">
        <v>211</v>
      </c>
      <c r="K1100" s="179">
        <v>250.0</v>
      </c>
      <c r="L1100" s="179" t="s">
        <v>776</v>
      </c>
      <c r="M1100" s="179" t="s">
        <v>8</v>
      </c>
      <c r="N1100" s="179">
        <v>21189.0</v>
      </c>
      <c r="O1100" s="179">
        <v>364.0</v>
      </c>
      <c r="P1100" s="179">
        <v>0.0172</v>
      </c>
      <c r="Q1100" s="179">
        <v>2529.77</v>
      </c>
      <c r="R1100" s="179">
        <v>6.95</v>
      </c>
      <c r="S1100" s="179">
        <v>0.0</v>
      </c>
      <c r="T1100" s="179">
        <v>6.0</v>
      </c>
      <c r="U1100" s="179">
        <v>25830.51</v>
      </c>
      <c r="V1100" s="179">
        <v>0.0979</v>
      </c>
      <c r="W1100" s="179">
        <v>10.2106</v>
      </c>
      <c r="X1100" s="179">
        <v>0.0</v>
      </c>
      <c r="Y1100" s="179">
        <v>0.0</v>
      </c>
      <c r="Z1100" s="179">
        <v>0.0</v>
      </c>
      <c r="AA1100" s="179">
        <v>0.0</v>
      </c>
      <c r="AB1100" s="179">
        <v>0.0</v>
      </c>
      <c r="AC1100" s="179">
        <v>0.0</v>
      </c>
      <c r="AD1100" s="179">
        <v>0.0</v>
      </c>
      <c r="AE1100" s="179">
        <v>0.0</v>
      </c>
      <c r="AF1100" s="179">
        <v>0.0</v>
      </c>
      <c r="AG1100" s="179">
        <v>0.0</v>
      </c>
      <c r="AH1100" s="179">
        <v>0.0</v>
      </c>
      <c r="AI1100" s="179">
        <v>0.0</v>
      </c>
      <c r="AJ1100" s="179">
        <v>0.0</v>
      </c>
    </row>
    <row r="1101" ht="15.75" customHeight="1">
      <c r="A1101" s="65">
        <v>45717.0</v>
      </c>
      <c r="B1101" s="179" t="s">
        <v>779</v>
      </c>
      <c r="C1101" s="179" t="s">
        <v>1249</v>
      </c>
      <c r="D1101" s="179" t="s">
        <v>781</v>
      </c>
      <c r="E1101" s="179" t="s">
        <v>459</v>
      </c>
      <c r="F1101" s="179" t="s">
        <v>774</v>
      </c>
      <c r="G1101" s="179" t="s">
        <v>775</v>
      </c>
      <c r="H1101" s="179" t="s">
        <v>1106</v>
      </c>
      <c r="I1101" s="179"/>
      <c r="J1101" s="179" t="s">
        <v>211</v>
      </c>
      <c r="K1101" s="179">
        <v>300.0</v>
      </c>
      <c r="L1101" s="179" t="s">
        <v>776</v>
      </c>
      <c r="M1101" s="179" t="s">
        <v>8</v>
      </c>
      <c r="N1101" s="179">
        <v>7552.0</v>
      </c>
      <c r="O1101" s="179">
        <v>207.0</v>
      </c>
      <c r="P1101" s="179">
        <v>0.0274</v>
      </c>
      <c r="Q1101" s="179">
        <v>1340.5</v>
      </c>
      <c r="R1101" s="179">
        <v>6.48</v>
      </c>
      <c r="S1101" s="179">
        <v>0.0</v>
      </c>
      <c r="T1101" s="179">
        <v>0.0</v>
      </c>
      <c r="U1101" s="179">
        <v>0.0</v>
      </c>
      <c r="V1101" s="179">
        <v>0.0</v>
      </c>
      <c r="W1101" s="179">
        <v>0.0</v>
      </c>
      <c r="X1101" s="179">
        <v>0.0</v>
      </c>
      <c r="Y1101" s="179">
        <v>0.0</v>
      </c>
      <c r="Z1101" s="179">
        <v>0.0</v>
      </c>
      <c r="AA1101" s="179">
        <v>0.0</v>
      </c>
      <c r="AB1101" s="179">
        <v>0.0</v>
      </c>
      <c r="AC1101" s="179">
        <v>0.0</v>
      </c>
      <c r="AD1101" s="179">
        <v>0.0</v>
      </c>
      <c r="AE1101" s="179">
        <v>0.0</v>
      </c>
      <c r="AF1101" s="179">
        <v>0.0</v>
      </c>
      <c r="AG1101" s="179">
        <v>0.0</v>
      </c>
      <c r="AH1101" s="179">
        <v>0.0</v>
      </c>
      <c r="AI1101" s="179">
        <v>0.0</v>
      </c>
      <c r="AJ1101" s="179">
        <v>0.0</v>
      </c>
    </row>
    <row r="1102" ht="15.75" customHeight="1">
      <c r="A1102" s="65">
        <v>45717.0</v>
      </c>
      <c r="B1102" s="179" t="s">
        <v>771</v>
      </c>
      <c r="C1102" s="179" t="s">
        <v>871</v>
      </c>
      <c r="D1102" s="179" t="s">
        <v>773</v>
      </c>
      <c r="E1102" s="179" t="s">
        <v>459</v>
      </c>
      <c r="F1102" s="179" t="s">
        <v>774</v>
      </c>
      <c r="G1102" s="179" t="s">
        <v>775</v>
      </c>
      <c r="H1102" s="179" t="s">
        <v>1106</v>
      </c>
      <c r="I1102" s="179"/>
      <c r="J1102" s="179" t="s">
        <v>119</v>
      </c>
      <c r="K1102" s="179">
        <v>310.0</v>
      </c>
      <c r="L1102" s="179" t="s">
        <v>776</v>
      </c>
      <c r="M1102" s="179" t="s">
        <v>8</v>
      </c>
      <c r="N1102" s="179">
        <v>37046.0</v>
      </c>
      <c r="O1102" s="179">
        <v>509.0</v>
      </c>
      <c r="P1102" s="179">
        <v>0.0137</v>
      </c>
      <c r="Q1102" s="179">
        <v>2080.86</v>
      </c>
      <c r="R1102" s="179">
        <v>4.09</v>
      </c>
      <c r="S1102" s="179">
        <v>0.0</v>
      </c>
      <c r="T1102" s="179">
        <v>4.0</v>
      </c>
      <c r="U1102" s="179">
        <v>21415.25</v>
      </c>
      <c r="V1102" s="179">
        <v>0.0972</v>
      </c>
      <c r="W1102" s="179">
        <v>10.2915</v>
      </c>
      <c r="X1102" s="179">
        <v>0.0</v>
      </c>
      <c r="Y1102" s="179">
        <v>0.0</v>
      </c>
      <c r="Z1102" s="179">
        <v>0.0</v>
      </c>
      <c r="AA1102" s="179">
        <v>0.0</v>
      </c>
      <c r="AB1102" s="179">
        <v>0.0</v>
      </c>
      <c r="AC1102" s="179">
        <v>0.0</v>
      </c>
      <c r="AD1102" s="179">
        <v>0.0</v>
      </c>
      <c r="AE1102" s="179">
        <v>0.0</v>
      </c>
      <c r="AF1102" s="179">
        <v>0.0</v>
      </c>
      <c r="AG1102" s="179">
        <v>0.0</v>
      </c>
      <c r="AH1102" s="179">
        <v>0.0</v>
      </c>
      <c r="AI1102" s="179">
        <v>0.0</v>
      </c>
      <c r="AJ1102" s="179">
        <v>0.0</v>
      </c>
    </row>
    <row r="1103" ht="15.75" customHeight="1">
      <c r="A1103" s="65">
        <v>45717.0</v>
      </c>
      <c r="B1103" s="179" t="s">
        <v>771</v>
      </c>
      <c r="C1103" s="179" t="s">
        <v>935</v>
      </c>
      <c r="D1103" s="179" t="s">
        <v>773</v>
      </c>
      <c r="E1103" s="179" t="s">
        <v>459</v>
      </c>
      <c r="F1103" s="179" t="s">
        <v>774</v>
      </c>
      <c r="G1103" s="179" t="s">
        <v>775</v>
      </c>
      <c r="H1103" s="179" t="s">
        <v>1106</v>
      </c>
      <c r="I1103" s="179"/>
      <c r="J1103" s="179" t="s">
        <v>205</v>
      </c>
      <c r="K1103" s="179">
        <v>405.0</v>
      </c>
      <c r="L1103" s="179" t="s">
        <v>776</v>
      </c>
      <c r="M1103" s="179" t="s">
        <v>8</v>
      </c>
      <c r="N1103" s="179">
        <v>45186.0</v>
      </c>
      <c r="O1103" s="179">
        <v>17.0</v>
      </c>
      <c r="P1103" s="179">
        <v>4.0E-4</v>
      </c>
      <c r="Q1103" s="179">
        <v>643.93</v>
      </c>
      <c r="R1103" s="179">
        <v>37.88</v>
      </c>
      <c r="S1103" s="179">
        <v>0.0</v>
      </c>
      <c r="T1103" s="179">
        <v>1.0</v>
      </c>
      <c r="U1103" s="179">
        <v>34279.66</v>
      </c>
      <c r="V1103" s="179">
        <v>0.0188</v>
      </c>
      <c r="W1103" s="179">
        <v>53.2351</v>
      </c>
      <c r="X1103" s="179">
        <v>0.0</v>
      </c>
      <c r="Y1103" s="179">
        <v>0.0</v>
      </c>
      <c r="Z1103" s="179">
        <v>0.0</v>
      </c>
      <c r="AA1103" s="179">
        <v>0.0</v>
      </c>
      <c r="AB1103" s="179">
        <v>0.0</v>
      </c>
      <c r="AC1103" s="179">
        <v>0.0</v>
      </c>
      <c r="AD1103" s="179">
        <v>0.0</v>
      </c>
      <c r="AE1103" s="179">
        <v>0.0</v>
      </c>
      <c r="AF1103" s="179">
        <v>0.0</v>
      </c>
      <c r="AG1103" s="179">
        <v>0.0</v>
      </c>
      <c r="AH1103" s="179">
        <v>0.0</v>
      </c>
      <c r="AI1103" s="179">
        <v>0.0</v>
      </c>
      <c r="AJ1103" s="179">
        <v>0.0</v>
      </c>
    </row>
    <row r="1104" ht="15.75" customHeight="1">
      <c r="A1104" s="65">
        <v>45717.0</v>
      </c>
      <c r="B1104" s="179" t="s">
        <v>771</v>
      </c>
      <c r="C1104" s="179" t="s">
        <v>789</v>
      </c>
      <c r="D1104" s="179" t="s">
        <v>773</v>
      </c>
      <c r="E1104" s="179" t="s">
        <v>459</v>
      </c>
      <c r="F1104" s="179" t="s">
        <v>774</v>
      </c>
      <c r="G1104" s="179" t="s">
        <v>775</v>
      </c>
      <c r="H1104" s="179" t="s">
        <v>1106</v>
      </c>
      <c r="I1104" s="179"/>
      <c r="J1104" s="179" t="s">
        <v>128</v>
      </c>
      <c r="K1104" s="179">
        <v>500.0</v>
      </c>
      <c r="L1104" s="195">
        <v>0.3668</v>
      </c>
      <c r="M1104" s="179" t="s">
        <v>8</v>
      </c>
      <c r="N1104" s="179">
        <v>31955.0</v>
      </c>
      <c r="O1104" s="179">
        <v>261.0</v>
      </c>
      <c r="P1104" s="179">
        <v>0.0082</v>
      </c>
      <c r="Q1104" s="179">
        <v>6314.68</v>
      </c>
      <c r="R1104" s="179">
        <v>24.19</v>
      </c>
      <c r="S1104" s="179">
        <v>0.0</v>
      </c>
      <c r="T1104" s="179">
        <v>13.0</v>
      </c>
      <c r="U1104" s="179">
        <v>209679.7</v>
      </c>
      <c r="V1104" s="179">
        <v>0.0301</v>
      </c>
      <c r="W1104" s="179">
        <v>33.2051</v>
      </c>
      <c r="X1104" s="179">
        <v>0.0</v>
      </c>
      <c r="Y1104" s="179">
        <v>0.0</v>
      </c>
      <c r="Z1104" s="179">
        <v>0.0</v>
      </c>
      <c r="AA1104" s="179">
        <v>0.0</v>
      </c>
      <c r="AB1104" s="179">
        <v>0.0</v>
      </c>
      <c r="AC1104" s="179">
        <v>0.0</v>
      </c>
      <c r="AD1104" s="179">
        <v>0.0</v>
      </c>
      <c r="AE1104" s="179">
        <v>0.0</v>
      </c>
      <c r="AF1104" s="179">
        <v>0.0</v>
      </c>
      <c r="AG1104" s="179">
        <v>0.0</v>
      </c>
      <c r="AH1104" s="179">
        <v>0.0</v>
      </c>
      <c r="AI1104" s="179">
        <v>0.0</v>
      </c>
      <c r="AJ1104" s="179">
        <v>0.0</v>
      </c>
    </row>
    <row r="1105" ht="15.75" customHeight="1">
      <c r="A1105" s="65">
        <v>45717.0</v>
      </c>
      <c r="B1105" s="179" t="s">
        <v>771</v>
      </c>
      <c r="C1105" s="179" t="s">
        <v>1013</v>
      </c>
      <c r="D1105" s="179" t="s">
        <v>773</v>
      </c>
      <c r="E1105" s="179" t="s">
        <v>459</v>
      </c>
      <c r="F1105" s="179" t="s">
        <v>774</v>
      </c>
      <c r="G1105" s="179" t="s">
        <v>775</v>
      </c>
      <c r="H1105" s="179" t="s">
        <v>1106</v>
      </c>
      <c r="I1105" s="179"/>
      <c r="J1105" s="179" t="s">
        <v>158</v>
      </c>
      <c r="K1105" s="179">
        <v>500.0</v>
      </c>
      <c r="L1105" s="179" t="s">
        <v>776</v>
      </c>
      <c r="M1105" s="179" t="s">
        <v>8</v>
      </c>
      <c r="N1105" s="179">
        <v>24956.0</v>
      </c>
      <c r="O1105" s="179">
        <v>193.0</v>
      </c>
      <c r="P1105" s="179">
        <v>0.0077</v>
      </c>
      <c r="Q1105" s="179">
        <v>1227.52</v>
      </c>
      <c r="R1105" s="179">
        <v>6.36</v>
      </c>
      <c r="S1105" s="179">
        <v>0.0</v>
      </c>
      <c r="T1105" s="179">
        <v>0.0</v>
      </c>
      <c r="U1105" s="179">
        <v>0.0</v>
      </c>
      <c r="V1105" s="179">
        <v>0.0</v>
      </c>
      <c r="W1105" s="179">
        <v>0.0</v>
      </c>
      <c r="X1105" s="179">
        <v>0.0</v>
      </c>
      <c r="Y1105" s="179">
        <v>0.0</v>
      </c>
      <c r="Z1105" s="179">
        <v>0.0</v>
      </c>
      <c r="AA1105" s="179">
        <v>0.0</v>
      </c>
      <c r="AB1105" s="179">
        <v>0.0</v>
      </c>
      <c r="AC1105" s="179">
        <v>0.0</v>
      </c>
      <c r="AD1105" s="179">
        <v>0.0</v>
      </c>
      <c r="AE1105" s="179">
        <v>0.0</v>
      </c>
      <c r="AF1105" s="179">
        <v>0.0</v>
      </c>
      <c r="AG1105" s="179">
        <v>0.0</v>
      </c>
      <c r="AH1105" s="179">
        <v>0.0</v>
      </c>
      <c r="AI1105" s="179">
        <v>0.0</v>
      </c>
      <c r="AJ1105" s="179">
        <v>0.0</v>
      </c>
    </row>
    <row r="1106" ht="15.75" customHeight="1">
      <c r="A1106" s="65">
        <v>45717.0</v>
      </c>
      <c r="B1106" s="179" t="s">
        <v>771</v>
      </c>
      <c r="C1106" s="179" t="s">
        <v>906</v>
      </c>
      <c r="D1106" s="179" t="s">
        <v>773</v>
      </c>
      <c r="E1106" s="179" t="s">
        <v>459</v>
      </c>
      <c r="F1106" s="179" t="s">
        <v>774</v>
      </c>
      <c r="G1106" s="179" t="s">
        <v>775</v>
      </c>
      <c r="H1106" s="179" t="s">
        <v>1106</v>
      </c>
      <c r="I1106" s="179"/>
      <c r="J1106" s="179" t="s">
        <v>152</v>
      </c>
      <c r="K1106" s="179">
        <v>500.0</v>
      </c>
      <c r="L1106" s="195">
        <v>0.125</v>
      </c>
      <c r="M1106" s="179" t="s">
        <v>8</v>
      </c>
      <c r="N1106" s="179">
        <v>3688.0</v>
      </c>
      <c r="O1106" s="179">
        <v>24.0</v>
      </c>
      <c r="P1106" s="179">
        <v>0.0065</v>
      </c>
      <c r="Q1106" s="179">
        <v>1553.26</v>
      </c>
      <c r="R1106" s="179">
        <v>64.72</v>
      </c>
      <c r="S1106" s="179">
        <v>0.0</v>
      </c>
      <c r="T1106" s="179">
        <v>0.0</v>
      </c>
      <c r="U1106" s="179">
        <v>0.0</v>
      </c>
      <c r="V1106" s="179">
        <v>0.0</v>
      </c>
      <c r="W1106" s="179">
        <v>0.0</v>
      </c>
      <c r="X1106" s="179">
        <v>0.0</v>
      </c>
      <c r="Y1106" s="179">
        <v>0.0</v>
      </c>
      <c r="Z1106" s="179">
        <v>0.0</v>
      </c>
      <c r="AA1106" s="179">
        <v>0.0</v>
      </c>
      <c r="AB1106" s="179">
        <v>0.0</v>
      </c>
      <c r="AC1106" s="179">
        <v>0.0</v>
      </c>
      <c r="AD1106" s="179">
        <v>0.0</v>
      </c>
      <c r="AE1106" s="179">
        <v>0.0</v>
      </c>
      <c r="AF1106" s="179">
        <v>0.0</v>
      </c>
      <c r="AG1106" s="179">
        <v>0.0</v>
      </c>
      <c r="AH1106" s="179">
        <v>0.0</v>
      </c>
      <c r="AI1106" s="179">
        <v>0.0</v>
      </c>
      <c r="AJ1106" s="179">
        <v>0.0</v>
      </c>
    </row>
    <row r="1107" ht="15.75" customHeight="1">
      <c r="A1107" s="65">
        <v>45717.0</v>
      </c>
      <c r="B1107" s="179" t="s">
        <v>771</v>
      </c>
      <c r="C1107" s="179" t="s">
        <v>916</v>
      </c>
      <c r="D1107" s="179" t="s">
        <v>773</v>
      </c>
      <c r="E1107" s="179" t="s">
        <v>459</v>
      </c>
      <c r="F1107" s="179" t="s">
        <v>774</v>
      </c>
      <c r="G1107" s="179" t="s">
        <v>775</v>
      </c>
      <c r="H1107" s="179" t="s">
        <v>1106</v>
      </c>
      <c r="I1107" s="179"/>
      <c r="J1107" s="179" t="s">
        <v>205</v>
      </c>
      <c r="K1107" s="179">
        <v>500.0</v>
      </c>
      <c r="L1107" s="179" t="s">
        <v>776</v>
      </c>
      <c r="M1107" s="179" t="s">
        <v>8</v>
      </c>
      <c r="N1107" s="179">
        <v>42498.0</v>
      </c>
      <c r="O1107" s="179">
        <v>82.0</v>
      </c>
      <c r="P1107" s="179">
        <v>0.0019</v>
      </c>
      <c r="Q1107" s="179">
        <v>3897.2</v>
      </c>
      <c r="R1107" s="179">
        <v>47.53</v>
      </c>
      <c r="S1107" s="179">
        <v>0.0</v>
      </c>
      <c r="T1107" s="179">
        <v>1.0</v>
      </c>
      <c r="U1107" s="179">
        <v>18927.97</v>
      </c>
      <c r="V1107" s="179">
        <v>0.2059</v>
      </c>
      <c r="W1107" s="179">
        <v>4.8568</v>
      </c>
      <c r="X1107" s="179">
        <v>0.0</v>
      </c>
      <c r="Y1107" s="179">
        <v>0.0</v>
      </c>
      <c r="Z1107" s="179">
        <v>0.0</v>
      </c>
      <c r="AA1107" s="179">
        <v>0.0</v>
      </c>
      <c r="AB1107" s="179">
        <v>0.0</v>
      </c>
      <c r="AC1107" s="179">
        <v>0.0</v>
      </c>
      <c r="AD1107" s="179">
        <v>0.0</v>
      </c>
      <c r="AE1107" s="179">
        <v>0.0</v>
      </c>
      <c r="AF1107" s="179">
        <v>0.0</v>
      </c>
      <c r="AG1107" s="179">
        <v>0.0</v>
      </c>
      <c r="AH1107" s="179">
        <v>0.0</v>
      </c>
      <c r="AI1107" s="179">
        <v>0.0</v>
      </c>
      <c r="AJ1107" s="179">
        <v>0.0</v>
      </c>
    </row>
    <row r="1108" ht="15.75" customHeight="1">
      <c r="A1108" s="65">
        <v>45717.0</v>
      </c>
      <c r="B1108" s="179" t="s">
        <v>771</v>
      </c>
      <c r="C1108" s="179" t="s">
        <v>921</v>
      </c>
      <c r="D1108" s="179" t="s">
        <v>773</v>
      </c>
      <c r="E1108" s="179" t="s">
        <v>459</v>
      </c>
      <c r="F1108" s="179" t="s">
        <v>774</v>
      </c>
      <c r="G1108" s="179" t="s">
        <v>775</v>
      </c>
      <c r="H1108" s="179" t="s">
        <v>1106</v>
      </c>
      <c r="I1108" s="179"/>
      <c r="J1108" s="179" t="s">
        <v>205</v>
      </c>
      <c r="K1108" s="179">
        <v>500.0</v>
      </c>
      <c r="L1108" s="195">
        <v>0.1069</v>
      </c>
      <c r="M1108" s="179" t="s">
        <v>8</v>
      </c>
      <c r="N1108" s="179">
        <v>4803.0</v>
      </c>
      <c r="O1108" s="179">
        <v>16.0</v>
      </c>
      <c r="P1108" s="179">
        <v>0.0033</v>
      </c>
      <c r="Q1108" s="179">
        <v>623.54</v>
      </c>
      <c r="R1108" s="179">
        <v>38.97</v>
      </c>
      <c r="S1108" s="179">
        <v>0.0</v>
      </c>
      <c r="T1108" s="179">
        <v>0.0</v>
      </c>
      <c r="U1108" s="179">
        <v>0.0</v>
      </c>
      <c r="V1108" s="179">
        <v>0.0</v>
      </c>
      <c r="W1108" s="179">
        <v>0.0</v>
      </c>
      <c r="X1108" s="179">
        <v>0.0</v>
      </c>
      <c r="Y1108" s="179">
        <v>0.0</v>
      </c>
      <c r="Z1108" s="179">
        <v>0.0</v>
      </c>
      <c r="AA1108" s="179">
        <v>0.0</v>
      </c>
      <c r="AB1108" s="179">
        <v>0.0</v>
      </c>
      <c r="AC1108" s="179">
        <v>0.0</v>
      </c>
      <c r="AD1108" s="179">
        <v>0.0</v>
      </c>
      <c r="AE1108" s="179">
        <v>0.0</v>
      </c>
      <c r="AF1108" s="179">
        <v>0.0</v>
      </c>
      <c r="AG1108" s="179">
        <v>0.0</v>
      </c>
      <c r="AH1108" s="179">
        <v>0.0</v>
      </c>
      <c r="AI1108" s="179">
        <v>0.0</v>
      </c>
      <c r="AJ1108" s="179">
        <v>0.0</v>
      </c>
    </row>
    <row r="1109" ht="15.75" customHeight="1">
      <c r="A1109" s="65">
        <v>45717.0</v>
      </c>
      <c r="B1109" s="179" t="s">
        <v>771</v>
      </c>
      <c r="C1109" s="179" t="s">
        <v>936</v>
      </c>
      <c r="D1109" s="179" t="s">
        <v>773</v>
      </c>
      <c r="E1109" s="179" t="s">
        <v>459</v>
      </c>
      <c r="F1109" s="179" t="s">
        <v>774</v>
      </c>
      <c r="G1109" s="179" t="s">
        <v>775</v>
      </c>
      <c r="H1109" s="179" t="s">
        <v>1106</v>
      </c>
      <c r="I1109" s="179"/>
      <c r="J1109" s="179" t="s">
        <v>230</v>
      </c>
      <c r="K1109" s="179">
        <v>500.0</v>
      </c>
      <c r="L1109" s="179" t="s">
        <v>776</v>
      </c>
      <c r="M1109" s="179" t="s">
        <v>8</v>
      </c>
      <c r="N1109" s="179">
        <v>5886.0</v>
      </c>
      <c r="O1109" s="179">
        <v>20.0</v>
      </c>
      <c r="P1109" s="179">
        <v>0.0034</v>
      </c>
      <c r="Q1109" s="179">
        <v>637.13</v>
      </c>
      <c r="R1109" s="179">
        <v>31.86</v>
      </c>
      <c r="S1109" s="179">
        <v>0.0</v>
      </c>
      <c r="T1109" s="179">
        <v>0.0</v>
      </c>
      <c r="U1109" s="179">
        <v>0.0</v>
      </c>
      <c r="V1109" s="179">
        <v>0.0</v>
      </c>
      <c r="W1109" s="179">
        <v>0.0</v>
      </c>
      <c r="X1109" s="179">
        <v>0.0</v>
      </c>
      <c r="Y1109" s="179">
        <v>0.0</v>
      </c>
      <c r="Z1109" s="179">
        <v>0.0</v>
      </c>
      <c r="AA1109" s="179">
        <v>0.0</v>
      </c>
      <c r="AB1109" s="179">
        <v>0.0</v>
      </c>
      <c r="AC1109" s="179">
        <v>0.0</v>
      </c>
      <c r="AD1109" s="179">
        <v>0.0</v>
      </c>
      <c r="AE1109" s="179">
        <v>0.0</v>
      </c>
      <c r="AF1109" s="179">
        <v>0.0</v>
      </c>
      <c r="AG1109" s="179">
        <v>0.0</v>
      </c>
      <c r="AH1109" s="179">
        <v>0.0</v>
      </c>
      <c r="AI1109" s="179">
        <v>0.0</v>
      </c>
      <c r="AJ1109" s="179">
        <v>0.0</v>
      </c>
    </row>
    <row r="1110" ht="15.75" customHeight="1">
      <c r="A1110" s="65">
        <v>45717.0</v>
      </c>
      <c r="B1110" s="179" t="s">
        <v>771</v>
      </c>
      <c r="C1110" s="179" t="s">
        <v>1120</v>
      </c>
      <c r="D1110" s="179" t="s">
        <v>773</v>
      </c>
      <c r="E1110" s="179" t="s">
        <v>459</v>
      </c>
      <c r="F1110" s="179" t="s">
        <v>774</v>
      </c>
      <c r="G1110" s="179" t="s">
        <v>775</v>
      </c>
      <c r="H1110" s="179" t="s">
        <v>1106</v>
      </c>
      <c r="I1110" s="179"/>
      <c r="J1110" s="179" t="s">
        <v>211</v>
      </c>
      <c r="K1110" s="179">
        <v>500.0</v>
      </c>
      <c r="L1110" s="195">
        <v>0.2239</v>
      </c>
      <c r="M1110" s="179" t="s">
        <v>8</v>
      </c>
      <c r="N1110" s="179">
        <v>117401.0</v>
      </c>
      <c r="O1110" s="179">
        <v>1378.0</v>
      </c>
      <c r="P1110" s="179">
        <v>0.0117</v>
      </c>
      <c r="Q1110" s="179">
        <v>10584.03</v>
      </c>
      <c r="R1110" s="179">
        <v>7.68</v>
      </c>
      <c r="S1110" s="179">
        <v>0.0</v>
      </c>
      <c r="T1110" s="179">
        <v>34.0</v>
      </c>
      <c r="U1110" s="179">
        <v>62534.76</v>
      </c>
      <c r="V1110" s="179">
        <v>0.1693</v>
      </c>
      <c r="W1110" s="179">
        <v>5.9084</v>
      </c>
      <c r="X1110" s="179">
        <v>0.0</v>
      </c>
      <c r="Y1110" s="179">
        <v>0.0</v>
      </c>
      <c r="Z1110" s="179">
        <v>0.0</v>
      </c>
      <c r="AA1110" s="179">
        <v>0.0</v>
      </c>
      <c r="AB1110" s="179">
        <v>0.0</v>
      </c>
      <c r="AC1110" s="179">
        <v>0.0</v>
      </c>
      <c r="AD1110" s="179">
        <v>0.0</v>
      </c>
      <c r="AE1110" s="179">
        <v>0.0</v>
      </c>
      <c r="AF1110" s="179">
        <v>0.0</v>
      </c>
      <c r="AG1110" s="179">
        <v>0.0</v>
      </c>
      <c r="AH1110" s="179">
        <v>0.0</v>
      </c>
      <c r="AI1110" s="179">
        <v>0.0</v>
      </c>
      <c r="AJ1110" s="179">
        <v>0.0</v>
      </c>
    </row>
    <row r="1111" ht="15.75" customHeight="1">
      <c r="A1111" s="65">
        <v>45717.0</v>
      </c>
      <c r="B1111" s="179" t="s">
        <v>779</v>
      </c>
      <c r="C1111" s="179" t="s">
        <v>1018</v>
      </c>
      <c r="D1111" s="179" t="s">
        <v>781</v>
      </c>
      <c r="E1111" s="179" t="s">
        <v>459</v>
      </c>
      <c r="F1111" s="179" t="s">
        <v>774</v>
      </c>
      <c r="G1111" s="179" t="s">
        <v>775</v>
      </c>
      <c r="H1111" s="179" t="s">
        <v>1106</v>
      </c>
      <c r="I1111" s="179"/>
      <c r="J1111" s="179" t="s">
        <v>182</v>
      </c>
      <c r="K1111" s="179">
        <v>500.0</v>
      </c>
      <c r="L1111" s="179" t="s">
        <v>776</v>
      </c>
      <c r="M1111" s="179" t="s">
        <v>8</v>
      </c>
      <c r="N1111" s="179">
        <v>56813.0</v>
      </c>
      <c r="O1111" s="179">
        <v>105.0</v>
      </c>
      <c r="P1111" s="179">
        <v>0.0018</v>
      </c>
      <c r="Q1111" s="179">
        <v>3727.77</v>
      </c>
      <c r="R1111" s="179">
        <v>35.5</v>
      </c>
      <c r="S1111" s="179">
        <v>0.0</v>
      </c>
      <c r="T1111" s="179">
        <v>0.0</v>
      </c>
      <c r="U1111" s="179">
        <v>0.0</v>
      </c>
      <c r="V1111" s="179">
        <v>0.0</v>
      </c>
      <c r="W1111" s="179">
        <v>0.0</v>
      </c>
      <c r="X1111" s="179">
        <v>0.0</v>
      </c>
      <c r="Y1111" s="179">
        <v>0.0</v>
      </c>
      <c r="Z1111" s="179">
        <v>0.0</v>
      </c>
      <c r="AA1111" s="179">
        <v>0.0</v>
      </c>
      <c r="AB1111" s="179">
        <v>0.0</v>
      </c>
      <c r="AC1111" s="179">
        <v>0.0</v>
      </c>
      <c r="AD1111" s="179">
        <v>0.0</v>
      </c>
      <c r="AE1111" s="179">
        <v>0.0</v>
      </c>
      <c r="AF1111" s="179">
        <v>0.0</v>
      </c>
      <c r="AG1111" s="179">
        <v>0.0</v>
      </c>
      <c r="AH1111" s="179">
        <v>0.0</v>
      </c>
      <c r="AI1111" s="179">
        <v>0.0</v>
      </c>
      <c r="AJ1111" s="179">
        <v>0.0</v>
      </c>
    </row>
    <row r="1112" ht="15.75" customHeight="1">
      <c r="A1112" s="65">
        <v>45717.0</v>
      </c>
      <c r="B1112" s="179" t="s">
        <v>771</v>
      </c>
      <c r="C1112" s="179" t="s">
        <v>1001</v>
      </c>
      <c r="D1112" s="179" t="s">
        <v>773</v>
      </c>
      <c r="E1112" s="179" t="s">
        <v>460</v>
      </c>
      <c r="F1112" s="179" t="s">
        <v>778</v>
      </c>
      <c r="G1112" s="179" t="s">
        <v>775</v>
      </c>
      <c r="H1112" s="179" t="s">
        <v>1106</v>
      </c>
      <c r="I1112" s="179"/>
      <c r="J1112" s="179" t="s">
        <v>217</v>
      </c>
      <c r="K1112" s="179">
        <v>500.0</v>
      </c>
      <c r="L1112" s="179" t="s">
        <v>776</v>
      </c>
      <c r="M1112" s="179" t="s">
        <v>8</v>
      </c>
      <c r="N1112" s="179">
        <v>160454.0</v>
      </c>
      <c r="O1112" s="179">
        <v>1096.0</v>
      </c>
      <c r="P1112" s="179">
        <v>0.0068</v>
      </c>
      <c r="Q1112" s="179">
        <v>6352.16</v>
      </c>
      <c r="R1112" s="179">
        <v>5.8</v>
      </c>
      <c r="S1112" s="179">
        <v>0.0</v>
      </c>
      <c r="T1112" s="179">
        <v>13.0</v>
      </c>
      <c r="U1112" s="179">
        <v>33930.55</v>
      </c>
      <c r="V1112" s="179">
        <v>0.1872</v>
      </c>
      <c r="W1112" s="179">
        <v>5.3416</v>
      </c>
      <c r="X1112" s="179">
        <v>0.0</v>
      </c>
      <c r="Y1112" s="179">
        <v>0.0</v>
      </c>
      <c r="Z1112" s="179">
        <v>0.0</v>
      </c>
      <c r="AA1112" s="179">
        <v>0.0</v>
      </c>
      <c r="AB1112" s="179">
        <v>0.0</v>
      </c>
      <c r="AC1112" s="179">
        <v>0.0</v>
      </c>
      <c r="AD1112" s="179">
        <v>0.0</v>
      </c>
      <c r="AE1112" s="179">
        <v>0.0</v>
      </c>
      <c r="AF1112" s="179">
        <v>0.0</v>
      </c>
      <c r="AG1112" s="179">
        <v>0.0</v>
      </c>
      <c r="AH1112" s="179">
        <v>0.0</v>
      </c>
      <c r="AI1112" s="179">
        <v>0.0</v>
      </c>
      <c r="AJ1112" s="179">
        <v>0.0</v>
      </c>
    </row>
    <row r="1113" ht="15.75" customHeight="1">
      <c r="A1113" s="65">
        <v>45717.0</v>
      </c>
      <c r="B1113" s="179" t="s">
        <v>779</v>
      </c>
      <c r="C1113" s="179" t="s">
        <v>1141</v>
      </c>
      <c r="D1113" s="179" t="s">
        <v>781</v>
      </c>
      <c r="E1113" s="179" t="s">
        <v>459</v>
      </c>
      <c r="F1113" s="179" t="s">
        <v>774</v>
      </c>
      <c r="G1113" s="179" t="s">
        <v>775</v>
      </c>
      <c r="H1113" s="179" t="s">
        <v>1106</v>
      </c>
      <c r="I1113" s="179"/>
      <c r="J1113" s="179" t="s">
        <v>158</v>
      </c>
      <c r="K1113" s="179">
        <v>500.0</v>
      </c>
      <c r="L1113" s="195">
        <v>0.2241</v>
      </c>
      <c r="M1113" s="179" t="s">
        <v>8</v>
      </c>
      <c r="N1113" s="179">
        <v>6169.0</v>
      </c>
      <c r="O1113" s="179">
        <v>41.0</v>
      </c>
      <c r="P1113" s="179">
        <v>0.0066</v>
      </c>
      <c r="Q1113" s="179">
        <v>719.21</v>
      </c>
      <c r="R1113" s="179">
        <v>17.54</v>
      </c>
      <c r="S1113" s="179">
        <v>0.0</v>
      </c>
      <c r="T1113" s="179">
        <v>3.0</v>
      </c>
      <c r="U1113" s="179">
        <v>7624.58</v>
      </c>
      <c r="V1113" s="179">
        <v>0.0943</v>
      </c>
      <c r="W1113" s="179">
        <v>10.6013</v>
      </c>
      <c r="X1113" s="179">
        <v>0.0</v>
      </c>
      <c r="Y1113" s="179">
        <v>0.0</v>
      </c>
      <c r="Z1113" s="179">
        <v>0.0</v>
      </c>
      <c r="AA1113" s="179">
        <v>0.0</v>
      </c>
      <c r="AB1113" s="179">
        <v>0.0</v>
      </c>
      <c r="AC1113" s="179">
        <v>0.0</v>
      </c>
      <c r="AD1113" s="179">
        <v>0.0</v>
      </c>
      <c r="AE1113" s="179">
        <v>0.0</v>
      </c>
      <c r="AF1113" s="179">
        <v>0.0</v>
      </c>
      <c r="AG1113" s="179">
        <v>0.0</v>
      </c>
      <c r="AH1113" s="179">
        <v>0.0</v>
      </c>
      <c r="AI1113" s="179">
        <v>0.0</v>
      </c>
      <c r="AJ1113" s="179">
        <v>0.0</v>
      </c>
    </row>
    <row r="1114" ht="15.75" customHeight="1">
      <c r="A1114" s="65">
        <v>45717.0</v>
      </c>
      <c r="B1114" s="179" t="s">
        <v>771</v>
      </c>
      <c r="C1114" s="179" t="s">
        <v>1148</v>
      </c>
      <c r="D1114" s="179" t="s">
        <v>773</v>
      </c>
      <c r="E1114" s="179" t="s">
        <v>459</v>
      </c>
      <c r="F1114" s="179" t="s">
        <v>774</v>
      </c>
      <c r="G1114" s="179" t="s">
        <v>775</v>
      </c>
      <c r="H1114" s="179" t="s">
        <v>1106</v>
      </c>
      <c r="I1114" s="179"/>
      <c r="J1114" s="179" t="s">
        <v>128</v>
      </c>
      <c r="K1114" s="179">
        <v>500.0</v>
      </c>
      <c r="L1114" s="179" t="s">
        <v>776</v>
      </c>
      <c r="M1114" s="179" t="s">
        <v>8</v>
      </c>
      <c r="N1114" s="179">
        <v>6791.0</v>
      </c>
      <c r="O1114" s="179">
        <v>171.0</v>
      </c>
      <c r="P1114" s="179">
        <v>0.0252</v>
      </c>
      <c r="Q1114" s="179">
        <v>1002.9</v>
      </c>
      <c r="R1114" s="179">
        <v>5.86</v>
      </c>
      <c r="S1114" s="179">
        <v>0.0</v>
      </c>
      <c r="T1114" s="179">
        <v>12.0</v>
      </c>
      <c r="U1114" s="179">
        <v>17991.54</v>
      </c>
      <c r="V1114" s="179">
        <v>0.0557</v>
      </c>
      <c r="W1114" s="179">
        <v>17.9395</v>
      </c>
      <c r="X1114" s="179">
        <v>0.0</v>
      </c>
      <c r="Y1114" s="179">
        <v>0.0</v>
      </c>
      <c r="Z1114" s="179">
        <v>0.0</v>
      </c>
      <c r="AA1114" s="179">
        <v>0.0</v>
      </c>
      <c r="AB1114" s="179">
        <v>0.0</v>
      </c>
      <c r="AC1114" s="179">
        <v>0.0</v>
      </c>
      <c r="AD1114" s="179">
        <v>0.0</v>
      </c>
      <c r="AE1114" s="179">
        <v>0.0</v>
      </c>
      <c r="AF1114" s="179">
        <v>0.0</v>
      </c>
      <c r="AG1114" s="179">
        <v>0.0</v>
      </c>
      <c r="AH1114" s="179">
        <v>0.0</v>
      </c>
      <c r="AI1114" s="179">
        <v>0.0</v>
      </c>
      <c r="AJ1114" s="179">
        <v>0.0</v>
      </c>
    </row>
    <row r="1115" ht="15.75" customHeight="1">
      <c r="A1115" s="65">
        <v>45717.0</v>
      </c>
      <c r="B1115" s="179" t="s">
        <v>779</v>
      </c>
      <c r="C1115" s="179" t="s">
        <v>1084</v>
      </c>
      <c r="D1115" s="179" t="s">
        <v>781</v>
      </c>
      <c r="E1115" s="179" t="s">
        <v>459</v>
      </c>
      <c r="F1115" s="179" t="s">
        <v>774</v>
      </c>
      <c r="G1115" s="179" t="s">
        <v>775</v>
      </c>
      <c r="H1115" s="179" t="s">
        <v>1106</v>
      </c>
      <c r="I1115" s="179"/>
      <c r="J1115" s="179" t="s">
        <v>211</v>
      </c>
      <c r="K1115" s="179">
        <v>500.0</v>
      </c>
      <c r="L1115" s="179" t="s">
        <v>776</v>
      </c>
      <c r="M1115" s="179" t="s">
        <v>8</v>
      </c>
      <c r="N1115" s="179">
        <v>9371.0</v>
      </c>
      <c r="O1115" s="179">
        <v>140.0</v>
      </c>
      <c r="P1115" s="179">
        <v>0.0149</v>
      </c>
      <c r="Q1115" s="179">
        <v>577.68</v>
      </c>
      <c r="R1115" s="179">
        <v>4.13</v>
      </c>
      <c r="S1115" s="179">
        <v>0.0</v>
      </c>
      <c r="T1115" s="179">
        <v>6.0</v>
      </c>
      <c r="U1115" s="179">
        <v>31365.26</v>
      </c>
      <c r="V1115" s="179">
        <v>0.0184</v>
      </c>
      <c r="W1115" s="179">
        <v>54.2952</v>
      </c>
      <c r="X1115" s="179">
        <v>0.0</v>
      </c>
      <c r="Y1115" s="179">
        <v>0.0</v>
      </c>
      <c r="Z1115" s="179">
        <v>0.0</v>
      </c>
      <c r="AA1115" s="179">
        <v>0.0</v>
      </c>
      <c r="AB1115" s="179">
        <v>0.0</v>
      </c>
      <c r="AC1115" s="179">
        <v>0.0</v>
      </c>
      <c r="AD1115" s="179">
        <v>0.0</v>
      </c>
      <c r="AE1115" s="179">
        <v>0.0</v>
      </c>
      <c r="AF1115" s="179">
        <v>0.0</v>
      </c>
      <c r="AG1115" s="179">
        <v>0.0</v>
      </c>
      <c r="AH1115" s="179">
        <v>0.0</v>
      </c>
      <c r="AI1115" s="179">
        <v>0.0</v>
      </c>
      <c r="AJ1115" s="179">
        <v>0.0</v>
      </c>
    </row>
    <row r="1116" ht="15.75" customHeight="1">
      <c r="A1116" s="65">
        <v>45717.0</v>
      </c>
      <c r="B1116" s="179" t="s">
        <v>771</v>
      </c>
      <c r="C1116" s="179" t="s">
        <v>1096</v>
      </c>
      <c r="D1116" s="179" t="s">
        <v>773</v>
      </c>
      <c r="E1116" s="179" t="s">
        <v>459</v>
      </c>
      <c r="F1116" s="179" t="s">
        <v>774</v>
      </c>
      <c r="G1116" s="179" t="s">
        <v>775</v>
      </c>
      <c r="H1116" s="179" t="s">
        <v>1106</v>
      </c>
      <c r="I1116" s="179"/>
      <c r="J1116" s="179" t="s">
        <v>140</v>
      </c>
      <c r="K1116" s="179">
        <v>500.0</v>
      </c>
      <c r="L1116" s="179" t="s">
        <v>776</v>
      </c>
      <c r="M1116" s="179" t="s">
        <v>8</v>
      </c>
      <c r="N1116" s="179">
        <v>84935.0</v>
      </c>
      <c r="O1116" s="179">
        <v>160.0</v>
      </c>
      <c r="P1116" s="179">
        <v>0.0019</v>
      </c>
      <c r="Q1116" s="179">
        <v>6034.85</v>
      </c>
      <c r="R1116" s="179">
        <v>37.72</v>
      </c>
      <c r="S1116" s="179">
        <v>0.0</v>
      </c>
      <c r="T1116" s="179">
        <v>3.0</v>
      </c>
      <c r="U1116" s="179">
        <v>80559.33</v>
      </c>
      <c r="V1116" s="179">
        <v>0.0749</v>
      </c>
      <c r="W1116" s="179">
        <v>13.349</v>
      </c>
      <c r="X1116" s="179">
        <v>0.0</v>
      </c>
      <c r="Y1116" s="179">
        <v>0.0</v>
      </c>
      <c r="Z1116" s="179">
        <v>0.0</v>
      </c>
      <c r="AA1116" s="179">
        <v>0.0</v>
      </c>
      <c r="AB1116" s="179">
        <v>0.0</v>
      </c>
      <c r="AC1116" s="179">
        <v>0.0</v>
      </c>
      <c r="AD1116" s="179">
        <v>0.0</v>
      </c>
      <c r="AE1116" s="179">
        <v>0.0</v>
      </c>
      <c r="AF1116" s="179">
        <v>0.0</v>
      </c>
      <c r="AG1116" s="179">
        <v>0.0</v>
      </c>
      <c r="AH1116" s="179">
        <v>0.0</v>
      </c>
      <c r="AI1116" s="179">
        <v>0.0</v>
      </c>
      <c r="AJ1116" s="179">
        <v>0.0</v>
      </c>
    </row>
    <row r="1117" ht="15.75" customHeight="1">
      <c r="A1117" s="65">
        <v>45717.0</v>
      </c>
      <c r="B1117" s="179" t="s">
        <v>771</v>
      </c>
      <c r="C1117" s="179" t="s">
        <v>1250</v>
      </c>
      <c r="D1117" s="179" t="s">
        <v>773</v>
      </c>
      <c r="E1117" s="179" t="s">
        <v>459</v>
      </c>
      <c r="F1117" s="179" t="s">
        <v>774</v>
      </c>
      <c r="G1117" s="179" t="s">
        <v>775</v>
      </c>
      <c r="H1117" s="179" t="s">
        <v>1106</v>
      </c>
      <c r="I1117" s="179"/>
      <c r="J1117" s="179" t="s">
        <v>140</v>
      </c>
      <c r="K1117" s="179">
        <v>500.0</v>
      </c>
      <c r="L1117" s="179" t="s">
        <v>776</v>
      </c>
      <c r="M1117" s="179" t="s">
        <v>8</v>
      </c>
      <c r="N1117" s="179">
        <v>28677.0</v>
      </c>
      <c r="O1117" s="179">
        <v>34.0</v>
      </c>
      <c r="P1117" s="179">
        <v>0.0012</v>
      </c>
      <c r="Q1117" s="179">
        <v>575.5</v>
      </c>
      <c r="R1117" s="179">
        <v>16.93</v>
      </c>
      <c r="S1117" s="179">
        <v>0.0</v>
      </c>
      <c r="T1117" s="179">
        <v>0.0</v>
      </c>
      <c r="U1117" s="179">
        <v>0.0</v>
      </c>
      <c r="V1117" s="179">
        <v>0.0</v>
      </c>
      <c r="W1117" s="179">
        <v>0.0</v>
      </c>
      <c r="X1117" s="179">
        <v>0.0</v>
      </c>
      <c r="Y1117" s="179">
        <v>0.0</v>
      </c>
      <c r="Z1117" s="179">
        <v>0.0</v>
      </c>
      <c r="AA1117" s="179">
        <v>0.0</v>
      </c>
      <c r="AB1117" s="179">
        <v>0.0</v>
      </c>
      <c r="AC1117" s="179">
        <v>0.0</v>
      </c>
      <c r="AD1117" s="179">
        <v>0.0</v>
      </c>
      <c r="AE1117" s="179">
        <v>0.0</v>
      </c>
      <c r="AF1117" s="179">
        <v>0.0</v>
      </c>
      <c r="AG1117" s="179">
        <v>0.0</v>
      </c>
      <c r="AH1117" s="179">
        <v>0.0</v>
      </c>
      <c r="AI1117" s="179">
        <v>0.0</v>
      </c>
      <c r="AJ1117" s="179">
        <v>0.0</v>
      </c>
    </row>
    <row r="1118" ht="15.75" customHeight="1">
      <c r="A1118" s="65">
        <v>45717.0</v>
      </c>
      <c r="B1118" s="179" t="s">
        <v>771</v>
      </c>
      <c r="C1118" s="179" t="s">
        <v>1134</v>
      </c>
      <c r="D1118" s="179" t="s">
        <v>773</v>
      </c>
      <c r="E1118" s="179" t="s">
        <v>459</v>
      </c>
      <c r="F1118" s="179" t="s">
        <v>774</v>
      </c>
      <c r="G1118" s="179" t="s">
        <v>775</v>
      </c>
      <c r="H1118" s="179" t="s">
        <v>1106</v>
      </c>
      <c r="I1118" s="179"/>
      <c r="J1118" s="179" t="s">
        <v>230</v>
      </c>
      <c r="K1118" s="179">
        <v>500.0</v>
      </c>
      <c r="L1118" s="179" t="s">
        <v>776</v>
      </c>
      <c r="M1118" s="179" t="s">
        <v>8</v>
      </c>
      <c r="N1118" s="179">
        <v>2437.0</v>
      </c>
      <c r="O1118" s="179">
        <v>5.0</v>
      </c>
      <c r="P1118" s="179">
        <v>0.0021</v>
      </c>
      <c r="Q1118" s="179">
        <v>466.8</v>
      </c>
      <c r="R1118" s="179">
        <v>93.36</v>
      </c>
      <c r="S1118" s="179">
        <v>0.0</v>
      </c>
      <c r="T1118" s="179">
        <v>0.0</v>
      </c>
      <c r="U1118" s="179">
        <v>0.0</v>
      </c>
      <c r="V1118" s="179">
        <v>0.0</v>
      </c>
      <c r="W1118" s="179">
        <v>0.0</v>
      </c>
      <c r="X1118" s="179">
        <v>0.0</v>
      </c>
      <c r="Y1118" s="179">
        <v>0.0</v>
      </c>
      <c r="Z1118" s="179">
        <v>0.0</v>
      </c>
      <c r="AA1118" s="179">
        <v>0.0</v>
      </c>
      <c r="AB1118" s="179">
        <v>0.0</v>
      </c>
      <c r="AC1118" s="179">
        <v>0.0</v>
      </c>
      <c r="AD1118" s="179">
        <v>0.0</v>
      </c>
      <c r="AE1118" s="179">
        <v>0.0</v>
      </c>
      <c r="AF1118" s="179">
        <v>0.0</v>
      </c>
      <c r="AG1118" s="179">
        <v>0.0</v>
      </c>
      <c r="AH1118" s="179">
        <v>0.0</v>
      </c>
      <c r="AI1118" s="179">
        <v>0.0</v>
      </c>
      <c r="AJ1118" s="179">
        <v>0.0</v>
      </c>
    </row>
    <row r="1119" ht="15.75" customHeight="1">
      <c r="A1119" s="65">
        <v>45717.0</v>
      </c>
      <c r="B1119" s="179" t="s">
        <v>771</v>
      </c>
      <c r="C1119" s="179" t="s">
        <v>1110</v>
      </c>
      <c r="D1119" s="179" t="s">
        <v>773</v>
      </c>
      <c r="E1119" s="179" t="s">
        <v>459</v>
      </c>
      <c r="F1119" s="179" t="s">
        <v>774</v>
      </c>
      <c r="G1119" s="179" t="s">
        <v>775</v>
      </c>
      <c r="H1119" s="179" t="s">
        <v>1106</v>
      </c>
      <c r="I1119" s="179"/>
      <c r="J1119" s="179" t="s">
        <v>230</v>
      </c>
      <c r="K1119" s="179">
        <v>500.0</v>
      </c>
      <c r="L1119" s="195">
        <v>0.0861</v>
      </c>
      <c r="M1119" s="179" t="s">
        <v>8</v>
      </c>
      <c r="N1119" s="179">
        <v>7454.0</v>
      </c>
      <c r="O1119" s="179">
        <v>32.0</v>
      </c>
      <c r="P1119" s="179">
        <v>0.0043</v>
      </c>
      <c r="Q1119" s="179">
        <v>1107.87</v>
      </c>
      <c r="R1119" s="179">
        <v>34.62</v>
      </c>
      <c r="S1119" s="179">
        <v>0.0</v>
      </c>
      <c r="T1119" s="179">
        <v>0.0</v>
      </c>
      <c r="U1119" s="179">
        <v>0.0</v>
      </c>
      <c r="V1119" s="179">
        <v>0.0</v>
      </c>
      <c r="W1119" s="179">
        <v>0.0</v>
      </c>
      <c r="X1119" s="179">
        <v>0.0</v>
      </c>
      <c r="Y1119" s="179">
        <v>0.0</v>
      </c>
      <c r="Z1119" s="179">
        <v>0.0</v>
      </c>
      <c r="AA1119" s="179">
        <v>0.0</v>
      </c>
      <c r="AB1119" s="179">
        <v>0.0</v>
      </c>
      <c r="AC1119" s="179">
        <v>0.0</v>
      </c>
      <c r="AD1119" s="179">
        <v>0.0</v>
      </c>
      <c r="AE1119" s="179">
        <v>0.0</v>
      </c>
      <c r="AF1119" s="179">
        <v>0.0</v>
      </c>
      <c r="AG1119" s="179">
        <v>0.0</v>
      </c>
      <c r="AH1119" s="179">
        <v>0.0</v>
      </c>
      <c r="AI1119" s="179">
        <v>0.0</v>
      </c>
      <c r="AJ1119" s="179">
        <v>0.0</v>
      </c>
    </row>
    <row r="1120" ht="15.75" customHeight="1">
      <c r="A1120" s="65">
        <v>45717.0</v>
      </c>
      <c r="B1120" s="179" t="s">
        <v>771</v>
      </c>
      <c r="C1120" s="179" t="s">
        <v>1135</v>
      </c>
      <c r="D1120" s="179" t="s">
        <v>773</v>
      </c>
      <c r="E1120" s="179" t="s">
        <v>459</v>
      </c>
      <c r="F1120" s="179" t="s">
        <v>774</v>
      </c>
      <c r="G1120" s="179" t="s">
        <v>775</v>
      </c>
      <c r="H1120" s="179" t="s">
        <v>1106</v>
      </c>
      <c r="I1120" s="179"/>
      <c r="J1120" s="179" t="s">
        <v>230</v>
      </c>
      <c r="K1120" s="179">
        <v>500.0</v>
      </c>
      <c r="L1120" s="195">
        <v>0.2667</v>
      </c>
      <c r="M1120" s="179" t="s">
        <v>8</v>
      </c>
      <c r="N1120" s="179">
        <v>224.0</v>
      </c>
      <c r="O1120" s="179">
        <v>1.0</v>
      </c>
      <c r="P1120" s="179">
        <v>0.0045</v>
      </c>
      <c r="Q1120" s="179">
        <v>102.85</v>
      </c>
      <c r="R1120" s="179">
        <v>102.85</v>
      </c>
      <c r="S1120" s="179">
        <v>0.0</v>
      </c>
      <c r="T1120" s="179">
        <v>0.0</v>
      </c>
      <c r="U1120" s="179">
        <v>0.0</v>
      </c>
      <c r="V1120" s="179">
        <v>0.0</v>
      </c>
      <c r="W1120" s="179">
        <v>0.0</v>
      </c>
      <c r="X1120" s="179">
        <v>0.0</v>
      </c>
      <c r="Y1120" s="179">
        <v>0.0</v>
      </c>
      <c r="Z1120" s="179">
        <v>0.0</v>
      </c>
      <c r="AA1120" s="179">
        <v>0.0</v>
      </c>
      <c r="AB1120" s="179">
        <v>0.0</v>
      </c>
      <c r="AC1120" s="179">
        <v>0.0</v>
      </c>
      <c r="AD1120" s="179">
        <v>0.0</v>
      </c>
      <c r="AE1120" s="179">
        <v>0.0</v>
      </c>
      <c r="AF1120" s="179">
        <v>0.0</v>
      </c>
      <c r="AG1120" s="179">
        <v>0.0</v>
      </c>
      <c r="AH1120" s="179">
        <v>0.0</v>
      </c>
      <c r="AI1120" s="179">
        <v>0.0</v>
      </c>
      <c r="AJ1120" s="179">
        <v>0.0</v>
      </c>
    </row>
    <row r="1121" ht="15.75" customHeight="1">
      <c r="A1121" s="65">
        <v>45717.0</v>
      </c>
      <c r="B1121" s="179" t="s">
        <v>771</v>
      </c>
      <c r="C1121" s="179" t="s">
        <v>1119</v>
      </c>
      <c r="D1121" s="179" t="s">
        <v>773</v>
      </c>
      <c r="E1121" s="179" t="s">
        <v>459</v>
      </c>
      <c r="F1121" s="179" t="s">
        <v>774</v>
      </c>
      <c r="G1121" s="179" t="s">
        <v>775</v>
      </c>
      <c r="H1121" s="179" t="s">
        <v>1106</v>
      </c>
      <c r="I1121" s="179"/>
      <c r="J1121" s="179" t="s">
        <v>230</v>
      </c>
      <c r="K1121" s="179">
        <v>500.0</v>
      </c>
      <c r="L1121" s="179" t="s">
        <v>776</v>
      </c>
      <c r="M1121" s="179" t="s">
        <v>8</v>
      </c>
      <c r="N1121" s="179">
        <v>4992.0</v>
      </c>
      <c r="O1121" s="179">
        <v>22.0</v>
      </c>
      <c r="P1121" s="179">
        <v>0.0044</v>
      </c>
      <c r="Q1121" s="179">
        <v>1253.49</v>
      </c>
      <c r="R1121" s="179">
        <v>56.98</v>
      </c>
      <c r="S1121" s="179">
        <v>0.0</v>
      </c>
      <c r="T1121" s="179">
        <v>0.0</v>
      </c>
      <c r="U1121" s="179">
        <v>0.0</v>
      </c>
      <c r="V1121" s="179">
        <v>0.0</v>
      </c>
      <c r="W1121" s="179">
        <v>0.0</v>
      </c>
      <c r="X1121" s="179">
        <v>0.0</v>
      </c>
      <c r="Y1121" s="179">
        <v>0.0</v>
      </c>
      <c r="Z1121" s="179">
        <v>0.0</v>
      </c>
      <c r="AA1121" s="179">
        <v>0.0</v>
      </c>
      <c r="AB1121" s="179">
        <v>0.0</v>
      </c>
      <c r="AC1121" s="179">
        <v>0.0</v>
      </c>
      <c r="AD1121" s="179">
        <v>0.0</v>
      </c>
      <c r="AE1121" s="179">
        <v>0.0</v>
      </c>
      <c r="AF1121" s="179">
        <v>0.0</v>
      </c>
      <c r="AG1121" s="179">
        <v>0.0</v>
      </c>
      <c r="AH1121" s="179">
        <v>0.0</v>
      </c>
      <c r="AI1121" s="179">
        <v>0.0</v>
      </c>
      <c r="AJ1121" s="179">
        <v>0.0</v>
      </c>
    </row>
    <row r="1122" ht="15.75" customHeight="1">
      <c r="A1122" s="65">
        <v>45717.0</v>
      </c>
      <c r="B1122" s="179" t="s">
        <v>771</v>
      </c>
      <c r="C1122" s="179" t="s">
        <v>1108</v>
      </c>
      <c r="D1122" s="179" t="s">
        <v>773</v>
      </c>
      <c r="E1122" s="179" t="s">
        <v>459</v>
      </c>
      <c r="F1122" s="179" t="s">
        <v>774</v>
      </c>
      <c r="G1122" s="179" t="s">
        <v>775</v>
      </c>
      <c r="H1122" s="179" t="s">
        <v>1106</v>
      </c>
      <c r="I1122" s="179"/>
      <c r="J1122" s="179" t="s">
        <v>230</v>
      </c>
      <c r="K1122" s="179">
        <v>500.0</v>
      </c>
      <c r="L1122" s="179" t="s">
        <v>776</v>
      </c>
      <c r="M1122" s="179" t="s">
        <v>8</v>
      </c>
      <c r="N1122" s="179">
        <v>15371.0</v>
      </c>
      <c r="O1122" s="179">
        <v>31.0</v>
      </c>
      <c r="P1122" s="179">
        <v>0.002</v>
      </c>
      <c r="Q1122" s="179">
        <v>1709.62</v>
      </c>
      <c r="R1122" s="179">
        <v>55.15</v>
      </c>
      <c r="S1122" s="179">
        <v>0.0</v>
      </c>
      <c r="T1122" s="179">
        <v>0.0</v>
      </c>
      <c r="U1122" s="179">
        <v>0.0</v>
      </c>
      <c r="V1122" s="179">
        <v>0.0</v>
      </c>
      <c r="W1122" s="179">
        <v>0.0</v>
      </c>
      <c r="X1122" s="179">
        <v>0.0</v>
      </c>
      <c r="Y1122" s="179">
        <v>0.0</v>
      </c>
      <c r="Z1122" s="179">
        <v>0.0</v>
      </c>
      <c r="AA1122" s="179">
        <v>0.0</v>
      </c>
      <c r="AB1122" s="179">
        <v>0.0</v>
      </c>
      <c r="AC1122" s="179">
        <v>0.0</v>
      </c>
      <c r="AD1122" s="179">
        <v>0.0</v>
      </c>
      <c r="AE1122" s="179">
        <v>0.0</v>
      </c>
      <c r="AF1122" s="179">
        <v>0.0</v>
      </c>
      <c r="AG1122" s="179">
        <v>0.0</v>
      </c>
      <c r="AH1122" s="179">
        <v>0.0</v>
      </c>
      <c r="AI1122" s="179">
        <v>0.0</v>
      </c>
      <c r="AJ1122" s="179">
        <v>0.0</v>
      </c>
    </row>
    <row r="1123" ht="15.75" customHeight="1">
      <c r="A1123" s="65">
        <v>45717.0</v>
      </c>
      <c r="B1123" s="179" t="s">
        <v>771</v>
      </c>
      <c r="C1123" s="179" t="s">
        <v>1112</v>
      </c>
      <c r="D1123" s="179" t="s">
        <v>773</v>
      </c>
      <c r="E1123" s="179" t="s">
        <v>459</v>
      </c>
      <c r="F1123" s="179" t="s">
        <v>774</v>
      </c>
      <c r="G1123" s="179" t="s">
        <v>775</v>
      </c>
      <c r="H1123" s="179" t="s">
        <v>1106</v>
      </c>
      <c r="I1123" s="179"/>
      <c r="J1123" s="179" t="s">
        <v>230</v>
      </c>
      <c r="K1123" s="179">
        <v>500.0</v>
      </c>
      <c r="L1123" s="195">
        <v>0.065</v>
      </c>
      <c r="M1123" s="179" t="s">
        <v>8</v>
      </c>
      <c r="N1123" s="179">
        <v>39420.0</v>
      </c>
      <c r="O1123" s="179">
        <v>68.0</v>
      </c>
      <c r="P1123" s="179">
        <v>0.0017</v>
      </c>
      <c r="Q1123" s="179">
        <v>2389.49</v>
      </c>
      <c r="R1123" s="179">
        <v>35.14</v>
      </c>
      <c r="S1123" s="179">
        <v>0.0</v>
      </c>
      <c r="T1123" s="179">
        <v>0.0</v>
      </c>
      <c r="U1123" s="179">
        <v>0.0</v>
      </c>
      <c r="V1123" s="179">
        <v>0.0</v>
      </c>
      <c r="W1123" s="179">
        <v>0.0</v>
      </c>
      <c r="X1123" s="179">
        <v>0.0</v>
      </c>
      <c r="Y1123" s="179">
        <v>0.0</v>
      </c>
      <c r="Z1123" s="179">
        <v>0.0</v>
      </c>
      <c r="AA1123" s="179">
        <v>0.0</v>
      </c>
      <c r="AB1123" s="179">
        <v>0.0</v>
      </c>
      <c r="AC1123" s="179">
        <v>0.0</v>
      </c>
      <c r="AD1123" s="179">
        <v>0.0</v>
      </c>
      <c r="AE1123" s="179">
        <v>0.0</v>
      </c>
      <c r="AF1123" s="179">
        <v>0.0</v>
      </c>
      <c r="AG1123" s="179">
        <v>0.0</v>
      </c>
      <c r="AH1123" s="179">
        <v>0.0</v>
      </c>
      <c r="AI1123" s="179">
        <v>0.0</v>
      </c>
      <c r="AJ1123" s="179">
        <v>0.0</v>
      </c>
    </row>
    <row r="1124" ht="15.75" customHeight="1">
      <c r="A1124" s="65">
        <v>45717.0</v>
      </c>
      <c r="B1124" s="179" t="s">
        <v>771</v>
      </c>
      <c r="C1124" s="179" t="s">
        <v>1131</v>
      </c>
      <c r="D1124" s="179" t="s">
        <v>773</v>
      </c>
      <c r="E1124" s="179" t="s">
        <v>459</v>
      </c>
      <c r="F1124" s="179" t="s">
        <v>774</v>
      </c>
      <c r="G1124" s="179" t="s">
        <v>775</v>
      </c>
      <c r="H1124" s="179" t="s">
        <v>1106</v>
      </c>
      <c r="I1124" s="179"/>
      <c r="J1124" s="179" t="s">
        <v>230</v>
      </c>
      <c r="K1124" s="179">
        <v>500.0</v>
      </c>
      <c r="L1124" s="195">
        <v>0.0545</v>
      </c>
      <c r="M1124" s="179" t="s">
        <v>8</v>
      </c>
      <c r="N1124" s="179">
        <v>1816.0</v>
      </c>
      <c r="O1124" s="179">
        <v>6.0</v>
      </c>
      <c r="P1124" s="179">
        <v>0.0033</v>
      </c>
      <c r="Q1124" s="179">
        <v>326.23</v>
      </c>
      <c r="R1124" s="179">
        <v>54.37</v>
      </c>
      <c r="S1124" s="179">
        <v>0.0</v>
      </c>
      <c r="T1124" s="179">
        <v>0.0</v>
      </c>
      <c r="U1124" s="179">
        <v>0.0</v>
      </c>
      <c r="V1124" s="179">
        <v>0.0</v>
      </c>
      <c r="W1124" s="179">
        <v>0.0</v>
      </c>
      <c r="X1124" s="179">
        <v>0.0</v>
      </c>
      <c r="Y1124" s="179">
        <v>0.0</v>
      </c>
      <c r="Z1124" s="179">
        <v>0.0</v>
      </c>
      <c r="AA1124" s="179">
        <v>0.0</v>
      </c>
      <c r="AB1124" s="179">
        <v>0.0</v>
      </c>
      <c r="AC1124" s="179">
        <v>0.0</v>
      </c>
      <c r="AD1124" s="179">
        <v>0.0</v>
      </c>
      <c r="AE1124" s="179">
        <v>0.0</v>
      </c>
      <c r="AF1124" s="179">
        <v>0.0</v>
      </c>
      <c r="AG1124" s="179">
        <v>0.0</v>
      </c>
      <c r="AH1124" s="179">
        <v>0.0</v>
      </c>
      <c r="AI1124" s="179">
        <v>0.0</v>
      </c>
      <c r="AJ1124" s="179">
        <v>0.0</v>
      </c>
    </row>
    <row r="1125" ht="15.75" customHeight="1">
      <c r="A1125" s="65">
        <v>45717.0</v>
      </c>
      <c r="B1125" s="179" t="s">
        <v>771</v>
      </c>
      <c r="C1125" s="179" t="s">
        <v>1116</v>
      </c>
      <c r="D1125" s="179" t="s">
        <v>773</v>
      </c>
      <c r="E1125" s="179" t="s">
        <v>459</v>
      </c>
      <c r="F1125" s="179" t="s">
        <v>774</v>
      </c>
      <c r="G1125" s="179" t="s">
        <v>775</v>
      </c>
      <c r="H1125" s="179" t="s">
        <v>1106</v>
      </c>
      <c r="I1125" s="179"/>
      <c r="J1125" s="179" t="s">
        <v>230</v>
      </c>
      <c r="K1125" s="179">
        <v>500.0</v>
      </c>
      <c r="L1125" s="179" t="s">
        <v>776</v>
      </c>
      <c r="M1125" s="179" t="s">
        <v>8</v>
      </c>
      <c r="N1125" s="179">
        <v>2467.0</v>
      </c>
      <c r="O1125" s="179">
        <v>14.0</v>
      </c>
      <c r="P1125" s="179">
        <v>0.0057</v>
      </c>
      <c r="Q1125" s="179">
        <v>317.22</v>
      </c>
      <c r="R1125" s="179">
        <v>22.66</v>
      </c>
      <c r="S1125" s="179">
        <v>0.0</v>
      </c>
      <c r="T1125" s="179">
        <v>0.0</v>
      </c>
      <c r="U1125" s="179">
        <v>0.0</v>
      </c>
      <c r="V1125" s="179">
        <v>0.0</v>
      </c>
      <c r="W1125" s="179">
        <v>0.0</v>
      </c>
      <c r="X1125" s="179">
        <v>0.0</v>
      </c>
      <c r="Y1125" s="179">
        <v>0.0</v>
      </c>
      <c r="Z1125" s="179">
        <v>0.0</v>
      </c>
      <c r="AA1125" s="179">
        <v>0.0</v>
      </c>
      <c r="AB1125" s="179">
        <v>0.0</v>
      </c>
      <c r="AC1125" s="179">
        <v>0.0</v>
      </c>
      <c r="AD1125" s="179">
        <v>0.0</v>
      </c>
      <c r="AE1125" s="179">
        <v>0.0</v>
      </c>
      <c r="AF1125" s="179">
        <v>0.0</v>
      </c>
      <c r="AG1125" s="179">
        <v>0.0</v>
      </c>
      <c r="AH1125" s="179">
        <v>0.0</v>
      </c>
      <c r="AI1125" s="179">
        <v>0.0</v>
      </c>
      <c r="AJ1125" s="179">
        <v>0.0</v>
      </c>
    </row>
    <row r="1126" ht="15.75" customHeight="1">
      <c r="A1126" s="65">
        <v>45717.0</v>
      </c>
      <c r="B1126" s="179" t="s">
        <v>771</v>
      </c>
      <c r="C1126" s="179" t="s">
        <v>1128</v>
      </c>
      <c r="D1126" s="179" t="s">
        <v>773</v>
      </c>
      <c r="E1126" s="179" t="s">
        <v>459</v>
      </c>
      <c r="F1126" s="179" t="s">
        <v>774</v>
      </c>
      <c r="G1126" s="179" t="s">
        <v>775</v>
      </c>
      <c r="H1126" s="179" t="s">
        <v>1106</v>
      </c>
      <c r="I1126" s="179"/>
      <c r="J1126" s="179" t="s">
        <v>158</v>
      </c>
      <c r="K1126" s="179">
        <v>500.0</v>
      </c>
      <c r="L1126" s="179" t="s">
        <v>776</v>
      </c>
      <c r="M1126" s="179" t="s">
        <v>8</v>
      </c>
      <c r="N1126" s="179">
        <v>54478.0</v>
      </c>
      <c r="O1126" s="179">
        <v>272.0</v>
      </c>
      <c r="P1126" s="179">
        <v>0.005</v>
      </c>
      <c r="Q1126" s="179">
        <v>3015.3</v>
      </c>
      <c r="R1126" s="179">
        <v>11.09</v>
      </c>
      <c r="S1126" s="179">
        <v>0.0</v>
      </c>
      <c r="T1126" s="179">
        <v>3.0</v>
      </c>
      <c r="U1126" s="179">
        <v>12321.2</v>
      </c>
      <c r="V1126" s="179">
        <v>0.2447</v>
      </c>
      <c r="W1126" s="179">
        <v>4.0862</v>
      </c>
      <c r="X1126" s="179">
        <v>0.0</v>
      </c>
      <c r="Y1126" s="179">
        <v>0.0</v>
      </c>
      <c r="Z1126" s="179">
        <v>0.0</v>
      </c>
      <c r="AA1126" s="179">
        <v>0.0</v>
      </c>
      <c r="AB1126" s="179">
        <v>0.0</v>
      </c>
      <c r="AC1126" s="179">
        <v>0.0</v>
      </c>
      <c r="AD1126" s="179">
        <v>0.0</v>
      </c>
      <c r="AE1126" s="179">
        <v>0.0</v>
      </c>
      <c r="AF1126" s="179">
        <v>0.0</v>
      </c>
      <c r="AG1126" s="179">
        <v>0.0</v>
      </c>
      <c r="AH1126" s="179">
        <v>0.0</v>
      </c>
      <c r="AI1126" s="179">
        <v>0.0</v>
      </c>
      <c r="AJ1126" s="179">
        <v>0.0</v>
      </c>
    </row>
    <row r="1127" ht="15.75" customHeight="1">
      <c r="A1127" s="65">
        <v>45717.0</v>
      </c>
      <c r="B1127" s="179" t="s">
        <v>771</v>
      </c>
      <c r="C1127" s="179" t="s">
        <v>1142</v>
      </c>
      <c r="D1127" s="179" t="s">
        <v>773</v>
      </c>
      <c r="E1127" s="179" t="s">
        <v>459</v>
      </c>
      <c r="F1127" s="179" t="s">
        <v>774</v>
      </c>
      <c r="G1127" s="179" t="s">
        <v>775</v>
      </c>
      <c r="H1127" s="179" t="s">
        <v>1106</v>
      </c>
      <c r="I1127" s="179"/>
      <c r="J1127" s="179" t="s">
        <v>321</v>
      </c>
      <c r="K1127" s="179">
        <v>500.0</v>
      </c>
      <c r="L1127" s="179" t="s">
        <v>776</v>
      </c>
      <c r="M1127" s="179" t="s">
        <v>8</v>
      </c>
      <c r="N1127" s="179">
        <v>6624.0</v>
      </c>
      <c r="O1127" s="179">
        <v>72.0</v>
      </c>
      <c r="P1127" s="179">
        <v>0.0109</v>
      </c>
      <c r="Q1127" s="179">
        <v>502.5</v>
      </c>
      <c r="R1127" s="179">
        <v>6.98</v>
      </c>
      <c r="S1127" s="179">
        <v>0.0</v>
      </c>
      <c r="T1127" s="179">
        <v>3.0</v>
      </c>
      <c r="U1127" s="179">
        <v>1691.52</v>
      </c>
      <c r="V1127" s="179">
        <v>0.2971</v>
      </c>
      <c r="W1127" s="179">
        <v>3.3662</v>
      </c>
      <c r="X1127" s="179">
        <v>0.0</v>
      </c>
      <c r="Y1127" s="179">
        <v>0.0</v>
      </c>
      <c r="Z1127" s="179">
        <v>0.0</v>
      </c>
      <c r="AA1127" s="179">
        <v>0.0</v>
      </c>
      <c r="AB1127" s="179">
        <v>0.0</v>
      </c>
      <c r="AC1127" s="179">
        <v>0.0</v>
      </c>
      <c r="AD1127" s="179">
        <v>0.0</v>
      </c>
      <c r="AE1127" s="179">
        <v>0.0</v>
      </c>
      <c r="AF1127" s="179">
        <v>0.0</v>
      </c>
      <c r="AG1127" s="179">
        <v>0.0</v>
      </c>
      <c r="AH1127" s="179">
        <v>0.0</v>
      </c>
      <c r="AI1127" s="179">
        <v>0.0</v>
      </c>
      <c r="AJ1127" s="179">
        <v>0.0</v>
      </c>
    </row>
    <row r="1128" ht="15.75" customHeight="1">
      <c r="A1128" s="65">
        <v>45717.0</v>
      </c>
      <c r="B1128" s="179" t="s">
        <v>771</v>
      </c>
      <c r="C1128" s="179" t="s">
        <v>1147</v>
      </c>
      <c r="D1128" s="179" t="s">
        <v>773</v>
      </c>
      <c r="E1128" s="179" t="s">
        <v>459</v>
      </c>
      <c r="F1128" s="179" t="s">
        <v>774</v>
      </c>
      <c r="G1128" s="179" t="s">
        <v>775</v>
      </c>
      <c r="H1128" s="179" t="s">
        <v>1106</v>
      </c>
      <c r="I1128" s="179"/>
      <c r="J1128" s="179" t="s">
        <v>211</v>
      </c>
      <c r="K1128" s="179">
        <v>500.0</v>
      </c>
      <c r="L1128" s="195">
        <v>0.0746</v>
      </c>
      <c r="M1128" s="179" t="s">
        <v>8</v>
      </c>
      <c r="N1128" s="179">
        <v>31801.0</v>
      </c>
      <c r="O1128" s="179">
        <v>450.0</v>
      </c>
      <c r="P1128" s="179">
        <v>0.0142</v>
      </c>
      <c r="Q1128" s="179">
        <v>3297.87</v>
      </c>
      <c r="R1128" s="179">
        <v>7.33</v>
      </c>
      <c r="S1128" s="179">
        <v>0.0</v>
      </c>
      <c r="T1128" s="179">
        <v>16.0</v>
      </c>
      <c r="U1128" s="179">
        <v>32696.62</v>
      </c>
      <c r="V1128" s="179">
        <v>0.1009</v>
      </c>
      <c r="W1128" s="179">
        <v>9.9145</v>
      </c>
      <c r="X1128" s="179">
        <v>0.0</v>
      </c>
      <c r="Y1128" s="179">
        <v>0.0</v>
      </c>
      <c r="Z1128" s="179">
        <v>0.0</v>
      </c>
      <c r="AA1128" s="179">
        <v>0.0</v>
      </c>
      <c r="AB1128" s="179">
        <v>0.0</v>
      </c>
      <c r="AC1128" s="179">
        <v>0.0</v>
      </c>
      <c r="AD1128" s="179">
        <v>0.0</v>
      </c>
      <c r="AE1128" s="179">
        <v>0.0</v>
      </c>
      <c r="AF1128" s="179">
        <v>0.0</v>
      </c>
      <c r="AG1128" s="179">
        <v>0.0</v>
      </c>
      <c r="AH1128" s="179">
        <v>0.0</v>
      </c>
      <c r="AI1128" s="179">
        <v>0.0</v>
      </c>
      <c r="AJ1128" s="179">
        <v>0.0</v>
      </c>
    </row>
    <row r="1129" ht="15.75" customHeight="1">
      <c r="A1129" s="65">
        <v>45717.0</v>
      </c>
      <c r="B1129" s="179" t="s">
        <v>771</v>
      </c>
      <c r="C1129" s="179" t="s">
        <v>1164</v>
      </c>
      <c r="D1129" s="179" t="s">
        <v>773</v>
      </c>
      <c r="E1129" s="179" t="s">
        <v>459</v>
      </c>
      <c r="F1129" s="179" t="s">
        <v>774</v>
      </c>
      <c r="G1129" s="179" t="s">
        <v>775</v>
      </c>
      <c r="H1129" s="179" t="s">
        <v>1106</v>
      </c>
      <c r="I1129" s="179"/>
      <c r="J1129" s="179" t="s">
        <v>128</v>
      </c>
      <c r="K1129" s="179">
        <v>500.0</v>
      </c>
      <c r="L1129" s="195">
        <v>0.0506</v>
      </c>
      <c r="M1129" s="179" t="s">
        <v>8</v>
      </c>
      <c r="N1129" s="179">
        <v>12253.0</v>
      </c>
      <c r="O1129" s="179">
        <v>51.0</v>
      </c>
      <c r="P1129" s="179">
        <v>0.0042</v>
      </c>
      <c r="Q1129" s="179">
        <v>1363.63</v>
      </c>
      <c r="R1129" s="179">
        <v>26.74</v>
      </c>
      <c r="S1129" s="179">
        <v>0.0</v>
      </c>
      <c r="T1129" s="179">
        <v>1.0</v>
      </c>
      <c r="U1129" s="179">
        <v>15847.46</v>
      </c>
      <c r="V1129" s="179">
        <v>0.086</v>
      </c>
      <c r="W1129" s="179">
        <v>11.6215</v>
      </c>
      <c r="X1129" s="179">
        <v>0.0</v>
      </c>
      <c r="Y1129" s="179">
        <v>0.0</v>
      </c>
      <c r="Z1129" s="179">
        <v>0.0</v>
      </c>
      <c r="AA1129" s="179">
        <v>0.0</v>
      </c>
      <c r="AB1129" s="179">
        <v>0.0</v>
      </c>
      <c r="AC1129" s="179">
        <v>0.0</v>
      </c>
      <c r="AD1129" s="179">
        <v>0.0</v>
      </c>
      <c r="AE1129" s="179">
        <v>0.0</v>
      </c>
      <c r="AF1129" s="179">
        <v>0.0</v>
      </c>
      <c r="AG1129" s="179">
        <v>0.0</v>
      </c>
      <c r="AH1129" s="179">
        <v>0.0</v>
      </c>
      <c r="AI1129" s="179">
        <v>0.0</v>
      </c>
      <c r="AJ1129" s="179">
        <v>0.0</v>
      </c>
    </row>
    <row r="1130" ht="15.75" customHeight="1">
      <c r="A1130" s="65">
        <v>45717.0</v>
      </c>
      <c r="B1130" s="179" t="s">
        <v>779</v>
      </c>
      <c r="C1130" s="179" t="s">
        <v>1203</v>
      </c>
      <c r="D1130" s="179" t="s">
        <v>781</v>
      </c>
      <c r="E1130" s="179" t="s">
        <v>459</v>
      </c>
      <c r="F1130" s="179" t="s">
        <v>774</v>
      </c>
      <c r="G1130" s="179" t="s">
        <v>775</v>
      </c>
      <c r="H1130" s="179" t="s">
        <v>1106</v>
      </c>
      <c r="I1130" s="179"/>
      <c r="J1130" s="179" t="s">
        <v>230</v>
      </c>
      <c r="K1130" s="179">
        <v>500.0</v>
      </c>
      <c r="L1130" s="195">
        <v>0.5479</v>
      </c>
      <c r="M1130" s="179" t="s">
        <v>8</v>
      </c>
      <c r="N1130" s="179">
        <v>774.0</v>
      </c>
      <c r="O1130" s="179">
        <v>3.0</v>
      </c>
      <c r="P1130" s="179">
        <v>0.0039</v>
      </c>
      <c r="Q1130" s="179">
        <v>74.65</v>
      </c>
      <c r="R1130" s="179">
        <v>24.88</v>
      </c>
      <c r="S1130" s="179">
        <v>0.0</v>
      </c>
      <c r="T1130" s="179">
        <v>0.0</v>
      </c>
      <c r="U1130" s="179">
        <v>0.0</v>
      </c>
      <c r="V1130" s="179">
        <v>0.0</v>
      </c>
      <c r="W1130" s="179">
        <v>0.0</v>
      </c>
      <c r="X1130" s="179">
        <v>0.0</v>
      </c>
      <c r="Y1130" s="179">
        <v>0.0</v>
      </c>
      <c r="Z1130" s="179">
        <v>0.0</v>
      </c>
      <c r="AA1130" s="179">
        <v>0.0</v>
      </c>
      <c r="AB1130" s="179">
        <v>0.0</v>
      </c>
      <c r="AC1130" s="179">
        <v>0.0</v>
      </c>
      <c r="AD1130" s="179">
        <v>0.0</v>
      </c>
      <c r="AE1130" s="179">
        <v>0.0</v>
      </c>
      <c r="AF1130" s="179">
        <v>0.0</v>
      </c>
      <c r="AG1130" s="179">
        <v>0.0</v>
      </c>
      <c r="AH1130" s="179">
        <v>0.0</v>
      </c>
      <c r="AI1130" s="179">
        <v>0.0</v>
      </c>
      <c r="AJ1130" s="179">
        <v>0.0</v>
      </c>
    </row>
    <row r="1131" ht="15.75" customHeight="1">
      <c r="A1131" s="65">
        <v>45717.0</v>
      </c>
      <c r="B1131" s="179" t="s">
        <v>779</v>
      </c>
      <c r="C1131" s="179" t="s">
        <v>1204</v>
      </c>
      <c r="D1131" s="179" t="s">
        <v>781</v>
      </c>
      <c r="E1131" s="179" t="s">
        <v>459</v>
      </c>
      <c r="F1131" s="179" t="s">
        <v>774</v>
      </c>
      <c r="G1131" s="179" t="s">
        <v>775</v>
      </c>
      <c r="H1131" s="179" t="s">
        <v>1106</v>
      </c>
      <c r="I1131" s="179"/>
      <c r="J1131" s="179" t="s">
        <v>429</v>
      </c>
      <c r="K1131" s="179">
        <v>500.0</v>
      </c>
      <c r="L1131" s="179" t="s">
        <v>776</v>
      </c>
      <c r="M1131" s="179" t="s">
        <v>8</v>
      </c>
      <c r="N1131" s="179">
        <v>44098.0</v>
      </c>
      <c r="O1131" s="179">
        <v>116.0</v>
      </c>
      <c r="P1131" s="179">
        <v>0.0026</v>
      </c>
      <c r="Q1131" s="179">
        <v>5528.74</v>
      </c>
      <c r="R1131" s="179">
        <v>47.66</v>
      </c>
      <c r="S1131" s="179">
        <v>0.0</v>
      </c>
      <c r="T1131" s="179">
        <v>0.0</v>
      </c>
      <c r="U1131" s="179">
        <v>0.0</v>
      </c>
      <c r="V1131" s="179">
        <v>0.0</v>
      </c>
      <c r="W1131" s="179">
        <v>0.0</v>
      </c>
      <c r="X1131" s="179">
        <v>0.0</v>
      </c>
      <c r="Y1131" s="179">
        <v>0.0</v>
      </c>
      <c r="Z1131" s="179">
        <v>0.0</v>
      </c>
      <c r="AA1131" s="179">
        <v>0.0</v>
      </c>
      <c r="AB1131" s="179">
        <v>0.0</v>
      </c>
      <c r="AC1131" s="179">
        <v>0.0</v>
      </c>
      <c r="AD1131" s="179">
        <v>0.0</v>
      </c>
      <c r="AE1131" s="179">
        <v>0.0</v>
      </c>
      <c r="AF1131" s="179">
        <v>0.0</v>
      </c>
      <c r="AG1131" s="179">
        <v>0.0</v>
      </c>
      <c r="AH1131" s="179">
        <v>0.0</v>
      </c>
      <c r="AI1131" s="179">
        <v>0.0</v>
      </c>
      <c r="AJ1131" s="179">
        <v>0.0</v>
      </c>
    </row>
    <row r="1132" ht="15.75" customHeight="1">
      <c r="A1132" s="65">
        <v>45717.0</v>
      </c>
      <c r="B1132" s="179" t="s">
        <v>771</v>
      </c>
      <c r="C1132" s="179" t="s">
        <v>1208</v>
      </c>
      <c r="D1132" s="179" t="s">
        <v>773</v>
      </c>
      <c r="E1132" s="179" t="s">
        <v>459</v>
      </c>
      <c r="F1132" s="179" t="s">
        <v>774</v>
      </c>
      <c r="G1132" s="179" t="s">
        <v>775</v>
      </c>
      <c r="H1132" s="179" t="s">
        <v>1106</v>
      </c>
      <c r="I1132" s="179"/>
      <c r="J1132" s="179" t="s">
        <v>134</v>
      </c>
      <c r="K1132" s="179">
        <v>500.0</v>
      </c>
      <c r="L1132" s="179" t="s">
        <v>776</v>
      </c>
      <c r="M1132" s="179" t="s">
        <v>8</v>
      </c>
      <c r="N1132" s="179">
        <v>7499.0</v>
      </c>
      <c r="O1132" s="179">
        <v>17.0</v>
      </c>
      <c r="P1132" s="179">
        <v>0.0023</v>
      </c>
      <c r="Q1132" s="179">
        <v>604.8</v>
      </c>
      <c r="R1132" s="179">
        <v>35.58</v>
      </c>
      <c r="S1132" s="179">
        <v>0.0</v>
      </c>
      <c r="T1132" s="179">
        <v>1.0</v>
      </c>
      <c r="U1132" s="179">
        <v>17381.36</v>
      </c>
      <c r="V1132" s="179">
        <v>0.0348</v>
      </c>
      <c r="W1132" s="179">
        <v>28.739</v>
      </c>
      <c r="X1132" s="179">
        <v>0.0</v>
      </c>
      <c r="Y1132" s="179">
        <v>0.0</v>
      </c>
      <c r="Z1132" s="179">
        <v>0.0</v>
      </c>
      <c r="AA1132" s="179">
        <v>0.0</v>
      </c>
      <c r="AB1132" s="179">
        <v>0.0</v>
      </c>
      <c r="AC1132" s="179">
        <v>0.0</v>
      </c>
      <c r="AD1132" s="179">
        <v>0.0</v>
      </c>
      <c r="AE1132" s="179">
        <v>0.0</v>
      </c>
      <c r="AF1132" s="179">
        <v>0.0</v>
      </c>
      <c r="AG1132" s="179">
        <v>0.0</v>
      </c>
      <c r="AH1132" s="179">
        <v>0.0</v>
      </c>
      <c r="AI1132" s="179">
        <v>0.0</v>
      </c>
      <c r="AJ1132" s="179">
        <v>0.0</v>
      </c>
    </row>
    <row r="1133" ht="15.75" customHeight="1">
      <c r="A1133" s="65">
        <v>45717.0</v>
      </c>
      <c r="B1133" s="179" t="s">
        <v>771</v>
      </c>
      <c r="C1133" s="179" t="s">
        <v>1210</v>
      </c>
      <c r="D1133" s="179" t="s">
        <v>773</v>
      </c>
      <c r="E1133" s="179" t="s">
        <v>459</v>
      </c>
      <c r="F1133" s="179" t="s">
        <v>774</v>
      </c>
      <c r="G1133" s="179" t="s">
        <v>775</v>
      </c>
      <c r="H1133" s="179" t="s">
        <v>1106</v>
      </c>
      <c r="I1133" s="179"/>
      <c r="J1133" s="179" t="s">
        <v>134</v>
      </c>
      <c r="K1133" s="179">
        <v>500.0</v>
      </c>
      <c r="L1133" s="179" t="s">
        <v>776</v>
      </c>
      <c r="M1133" s="179" t="s">
        <v>8</v>
      </c>
      <c r="N1133" s="179">
        <v>51795.0</v>
      </c>
      <c r="O1133" s="179">
        <v>112.0</v>
      </c>
      <c r="P1133" s="179">
        <v>0.0022</v>
      </c>
      <c r="Q1133" s="179">
        <v>2710.55</v>
      </c>
      <c r="R1133" s="179">
        <v>24.2</v>
      </c>
      <c r="S1133" s="179">
        <v>0.0</v>
      </c>
      <c r="T1133" s="179">
        <v>3.0</v>
      </c>
      <c r="U1133" s="179">
        <v>52822.04</v>
      </c>
      <c r="V1133" s="179">
        <v>0.0513</v>
      </c>
      <c r="W1133" s="179">
        <v>19.4876</v>
      </c>
      <c r="X1133" s="179">
        <v>0.0</v>
      </c>
      <c r="Y1133" s="179">
        <v>0.0</v>
      </c>
      <c r="Z1133" s="179">
        <v>0.0</v>
      </c>
      <c r="AA1133" s="179">
        <v>0.0</v>
      </c>
      <c r="AB1133" s="179">
        <v>0.0</v>
      </c>
      <c r="AC1133" s="179">
        <v>0.0</v>
      </c>
      <c r="AD1133" s="179">
        <v>0.0</v>
      </c>
      <c r="AE1133" s="179">
        <v>0.0</v>
      </c>
      <c r="AF1133" s="179">
        <v>0.0</v>
      </c>
      <c r="AG1133" s="179">
        <v>0.0</v>
      </c>
      <c r="AH1133" s="179">
        <v>0.0</v>
      </c>
      <c r="AI1133" s="179">
        <v>0.0</v>
      </c>
      <c r="AJ1133" s="179">
        <v>0.0</v>
      </c>
    </row>
    <row r="1134" ht="15.75" customHeight="1">
      <c r="A1134" s="65">
        <v>45717.0</v>
      </c>
      <c r="B1134" s="179" t="s">
        <v>771</v>
      </c>
      <c r="C1134" s="179" t="s">
        <v>1212</v>
      </c>
      <c r="D1134" s="179" t="s">
        <v>773</v>
      </c>
      <c r="E1134" s="179" t="s">
        <v>459</v>
      </c>
      <c r="F1134" s="179" t="s">
        <v>774</v>
      </c>
      <c r="G1134" s="179" t="s">
        <v>775</v>
      </c>
      <c r="H1134" s="179" t="s">
        <v>1106</v>
      </c>
      <c r="I1134" s="179"/>
      <c r="J1134" s="179" t="s">
        <v>134</v>
      </c>
      <c r="K1134" s="179">
        <v>500.0</v>
      </c>
      <c r="L1134" s="179" t="s">
        <v>776</v>
      </c>
      <c r="M1134" s="179" t="s">
        <v>8</v>
      </c>
      <c r="N1134" s="179">
        <v>4031.0</v>
      </c>
      <c r="O1134" s="179">
        <v>18.0</v>
      </c>
      <c r="P1134" s="179">
        <v>0.0045</v>
      </c>
      <c r="Q1134" s="179">
        <v>607.73</v>
      </c>
      <c r="R1134" s="179">
        <v>33.76</v>
      </c>
      <c r="S1134" s="179">
        <v>0.0</v>
      </c>
      <c r="T1134" s="179">
        <v>0.0</v>
      </c>
      <c r="U1134" s="179">
        <v>0.0</v>
      </c>
      <c r="V1134" s="179">
        <v>0.0</v>
      </c>
      <c r="W1134" s="179">
        <v>0.0</v>
      </c>
      <c r="X1134" s="179">
        <v>0.0</v>
      </c>
      <c r="Y1134" s="179">
        <v>0.0</v>
      </c>
      <c r="Z1134" s="179">
        <v>0.0</v>
      </c>
      <c r="AA1134" s="179">
        <v>0.0</v>
      </c>
      <c r="AB1134" s="179">
        <v>0.0</v>
      </c>
      <c r="AC1134" s="179">
        <v>0.0</v>
      </c>
      <c r="AD1134" s="179">
        <v>0.0</v>
      </c>
      <c r="AE1134" s="179">
        <v>0.0</v>
      </c>
      <c r="AF1134" s="179">
        <v>0.0</v>
      </c>
      <c r="AG1134" s="179">
        <v>0.0</v>
      </c>
      <c r="AH1134" s="179">
        <v>0.0</v>
      </c>
      <c r="AI1134" s="179">
        <v>0.0</v>
      </c>
      <c r="AJ1134" s="179">
        <v>0.0</v>
      </c>
    </row>
    <row r="1135" ht="15.75" customHeight="1">
      <c r="A1135" s="65">
        <v>45717.0</v>
      </c>
      <c r="B1135" s="179" t="s">
        <v>771</v>
      </c>
      <c r="C1135" s="179" t="s">
        <v>1216</v>
      </c>
      <c r="D1135" s="179" t="s">
        <v>773</v>
      </c>
      <c r="E1135" s="179" t="s">
        <v>460</v>
      </c>
      <c r="F1135" s="179" t="s">
        <v>778</v>
      </c>
      <c r="G1135" s="179" t="s">
        <v>775</v>
      </c>
      <c r="H1135" s="179" t="s">
        <v>1106</v>
      </c>
      <c r="I1135" s="179"/>
      <c r="J1135" s="179" t="s">
        <v>134</v>
      </c>
      <c r="K1135" s="179">
        <v>500.0</v>
      </c>
      <c r="L1135" s="179" t="s">
        <v>776</v>
      </c>
      <c r="M1135" s="179" t="s">
        <v>8</v>
      </c>
      <c r="N1135" s="179">
        <v>156524.0</v>
      </c>
      <c r="O1135" s="179">
        <v>174.0</v>
      </c>
      <c r="P1135" s="179">
        <v>0.0011</v>
      </c>
      <c r="Q1135" s="179">
        <v>1305.16</v>
      </c>
      <c r="R1135" s="179">
        <v>7.5</v>
      </c>
      <c r="S1135" s="179">
        <v>0.0</v>
      </c>
      <c r="T1135" s="179">
        <v>1.0</v>
      </c>
      <c r="U1135" s="179">
        <v>14405.94</v>
      </c>
      <c r="V1135" s="179">
        <v>0.0906</v>
      </c>
      <c r="W1135" s="179">
        <v>11.0377</v>
      </c>
      <c r="X1135" s="179">
        <v>0.0</v>
      </c>
      <c r="Y1135" s="179">
        <v>0.0</v>
      </c>
      <c r="Z1135" s="179">
        <v>0.0</v>
      </c>
      <c r="AA1135" s="179">
        <v>0.0</v>
      </c>
      <c r="AB1135" s="179">
        <v>0.0</v>
      </c>
      <c r="AC1135" s="179">
        <v>0.0</v>
      </c>
      <c r="AD1135" s="179">
        <v>0.0</v>
      </c>
      <c r="AE1135" s="179">
        <v>0.0</v>
      </c>
      <c r="AF1135" s="179">
        <v>0.0</v>
      </c>
      <c r="AG1135" s="179">
        <v>0.0</v>
      </c>
      <c r="AH1135" s="179">
        <v>0.0</v>
      </c>
      <c r="AI1135" s="179">
        <v>0.0</v>
      </c>
      <c r="AJ1135" s="179">
        <v>0.0</v>
      </c>
    </row>
    <row r="1136" ht="15.75" customHeight="1">
      <c r="A1136" s="65">
        <v>45717.0</v>
      </c>
      <c r="B1136" s="179" t="s">
        <v>771</v>
      </c>
      <c r="C1136" s="179" t="s">
        <v>1166</v>
      </c>
      <c r="D1136" s="179" t="s">
        <v>773</v>
      </c>
      <c r="E1136" s="179" t="s">
        <v>459</v>
      </c>
      <c r="F1136" s="179" t="s">
        <v>774</v>
      </c>
      <c r="G1136" s="179" t="s">
        <v>775</v>
      </c>
      <c r="H1136" s="179" t="s">
        <v>1106</v>
      </c>
      <c r="I1136" s="179"/>
      <c r="J1136" s="179" t="s">
        <v>134</v>
      </c>
      <c r="K1136" s="179">
        <v>500.0</v>
      </c>
      <c r="L1136" s="195">
        <v>0.0504</v>
      </c>
      <c r="M1136" s="179" t="s">
        <v>8</v>
      </c>
      <c r="N1136" s="179">
        <v>20701.0</v>
      </c>
      <c r="O1136" s="179">
        <v>171.0</v>
      </c>
      <c r="P1136" s="179">
        <v>0.0083</v>
      </c>
      <c r="Q1136" s="179">
        <v>10084.33</v>
      </c>
      <c r="R1136" s="179">
        <v>58.97</v>
      </c>
      <c r="S1136" s="179">
        <v>0.0</v>
      </c>
      <c r="T1136" s="179">
        <v>1.0</v>
      </c>
      <c r="U1136" s="179">
        <v>16512.71</v>
      </c>
      <c r="V1136" s="179">
        <v>0.6107</v>
      </c>
      <c r="W1136" s="179">
        <v>1.6375</v>
      </c>
      <c r="X1136" s="179">
        <v>0.0</v>
      </c>
      <c r="Y1136" s="179">
        <v>0.0</v>
      </c>
      <c r="Z1136" s="179">
        <v>0.0</v>
      </c>
      <c r="AA1136" s="179">
        <v>0.0</v>
      </c>
      <c r="AB1136" s="179">
        <v>0.0</v>
      </c>
      <c r="AC1136" s="179">
        <v>0.0</v>
      </c>
      <c r="AD1136" s="179">
        <v>0.0</v>
      </c>
      <c r="AE1136" s="179">
        <v>0.0</v>
      </c>
      <c r="AF1136" s="179">
        <v>0.0</v>
      </c>
      <c r="AG1136" s="179">
        <v>0.0</v>
      </c>
      <c r="AH1136" s="179">
        <v>0.0</v>
      </c>
      <c r="AI1136" s="179">
        <v>0.0</v>
      </c>
      <c r="AJ1136" s="179">
        <v>0.0</v>
      </c>
    </row>
    <row r="1137" ht="15.75" customHeight="1">
      <c r="A1137" s="65">
        <v>45717.0</v>
      </c>
      <c r="B1137" s="179" t="s">
        <v>771</v>
      </c>
      <c r="C1137" s="179" t="s">
        <v>1251</v>
      </c>
      <c r="D1137" s="179" t="s">
        <v>773</v>
      </c>
      <c r="E1137" s="179" t="s">
        <v>460</v>
      </c>
      <c r="F1137" s="179" t="s">
        <v>778</v>
      </c>
      <c r="G1137" s="179" t="s">
        <v>775</v>
      </c>
      <c r="H1137" s="179" t="s">
        <v>1106</v>
      </c>
      <c r="I1137" s="179"/>
      <c r="J1137" s="179" t="s">
        <v>134</v>
      </c>
      <c r="K1137" s="179">
        <v>500.0</v>
      </c>
      <c r="L1137" s="179" t="s">
        <v>776</v>
      </c>
      <c r="M1137" s="179" t="s">
        <v>8</v>
      </c>
      <c r="N1137" s="179">
        <v>12895.0</v>
      </c>
      <c r="O1137" s="179">
        <v>6.0</v>
      </c>
      <c r="P1137" s="179">
        <v>5.0E-4</v>
      </c>
      <c r="Q1137" s="179">
        <v>50.44</v>
      </c>
      <c r="R1137" s="179">
        <v>8.41</v>
      </c>
      <c r="S1137" s="179">
        <v>0.0</v>
      </c>
      <c r="T1137" s="179">
        <v>0.0</v>
      </c>
      <c r="U1137" s="179">
        <v>0.0</v>
      </c>
      <c r="V1137" s="179">
        <v>0.0</v>
      </c>
      <c r="W1137" s="179">
        <v>0.0</v>
      </c>
      <c r="X1137" s="179">
        <v>0.0</v>
      </c>
      <c r="Y1137" s="179">
        <v>0.0</v>
      </c>
      <c r="Z1137" s="179">
        <v>0.0</v>
      </c>
      <c r="AA1137" s="179">
        <v>0.0</v>
      </c>
      <c r="AB1137" s="179">
        <v>0.0</v>
      </c>
      <c r="AC1137" s="179">
        <v>0.0</v>
      </c>
      <c r="AD1137" s="179">
        <v>0.0</v>
      </c>
      <c r="AE1137" s="179">
        <v>0.0</v>
      </c>
      <c r="AF1137" s="179">
        <v>0.0</v>
      </c>
      <c r="AG1137" s="179">
        <v>0.0</v>
      </c>
      <c r="AH1137" s="179">
        <v>0.0</v>
      </c>
      <c r="AI1137" s="179">
        <v>0.0</v>
      </c>
      <c r="AJ1137" s="179">
        <v>0.0</v>
      </c>
    </row>
    <row r="1138" ht="15.75" customHeight="1">
      <c r="A1138" s="65">
        <v>45717.0</v>
      </c>
      <c r="B1138" s="179" t="s">
        <v>771</v>
      </c>
      <c r="C1138" s="179" t="s">
        <v>1222</v>
      </c>
      <c r="D1138" s="179" t="s">
        <v>931</v>
      </c>
      <c r="E1138" s="179" t="s">
        <v>459</v>
      </c>
      <c r="F1138" s="179" t="s">
        <v>774</v>
      </c>
      <c r="G1138" s="179" t="s">
        <v>775</v>
      </c>
      <c r="H1138" s="179" t="s">
        <v>1106</v>
      </c>
      <c r="I1138" s="179"/>
      <c r="J1138" s="179" t="s">
        <v>134</v>
      </c>
      <c r="K1138" s="179">
        <v>500.0</v>
      </c>
      <c r="L1138" s="179" t="s">
        <v>776</v>
      </c>
      <c r="M1138" s="179" t="s">
        <v>8</v>
      </c>
      <c r="N1138" s="179">
        <v>9913.0</v>
      </c>
      <c r="O1138" s="179">
        <v>173.0</v>
      </c>
      <c r="P1138" s="179">
        <v>0.0175</v>
      </c>
      <c r="Q1138" s="179">
        <v>9081.15</v>
      </c>
      <c r="R1138" s="179">
        <v>52.49</v>
      </c>
      <c r="S1138" s="179">
        <v>0.0</v>
      </c>
      <c r="T1138" s="179">
        <v>4.0</v>
      </c>
      <c r="U1138" s="179">
        <v>83605.93</v>
      </c>
      <c r="V1138" s="179">
        <v>0.1086</v>
      </c>
      <c r="W1138" s="179">
        <v>9.2065</v>
      </c>
      <c r="X1138" s="179">
        <v>0.0</v>
      </c>
      <c r="Y1138" s="179">
        <v>0.0</v>
      </c>
      <c r="Z1138" s="179">
        <v>0.0</v>
      </c>
      <c r="AA1138" s="179">
        <v>0.0</v>
      </c>
      <c r="AB1138" s="179">
        <v>0.0</v>
      </c>
      <c r="AC1138" s="179">
        <v>0.0</v>
      </c>
      <c r="AD1138" s="179">
        <v>0.0</v>
      </c>
      <c r="AE1138" s="179">
        <v>0.0</v>
      </c>
      <c r="AF1138" s="179">
        <v>0.0</v>
      </c>
      <c r="AG1138" s="179">
        <v>0.0</v>
      </c>
      <c r="AH1138" s="179">
        <v>0.0</v>
      </c>
      <c r="AI1138" s="179">
        <v>0.0</v>
      </c>
      <c r="AJ1138" s="179">
        <v>0.0</v>
      </c>
    </row>
    <row r="1139" ht="15.75" customHeight="1">
      <c r="A1139" s="65">
        <v>45717.0</v>
      </c>
      <c r="B1139" s="179" t="s">
        <v>771</v>
      </c>
      <c r="C1139" s="179" t="s">
        <v>1223</v>
      </c>
      <c r="D1139" s="179" t="s">
        <v>773</v>
      </c>
      <c r="E1139" s="179" t="s">
        <v>459</v>
      </c>
      <c r="F1139" s="179" t="s">
        <v>774</v>
      </c>
      <c r="G1139" s="179" t="s">
        <v>775</v>
      </c>
      <c r="H1139" s="179" t="s">
        <v>1106</v>
      </c>
      <c r="I1139" s="179"/>
      <c r="J1139" s="179" t="s">
        <v>134</v>
      </c>
      <c r="K1139" s="179">
        <v>500.0</v>
      </c>
      <c r="L1139" s="179" t="s">
        <v>776</v>
      </c>
      <c r="M1139" s="179" t="s">
        <v>8</v>
      </c>
      <c r="N1139" s="179">
        <v>60721.0</v>
      </c>
      <c r="O1139" s="179">
        <v>114.0</v>
      </c>
      <c r="P1139" s="179">
        <v>0.0019</v>
      </c>
      <c r="Q1139" s="179">
        <v>4157.82</v>
      </c>
      <c r="R1139" s="179">
        <v>36.47</v>
      </c>
      <c r="S1139" s="179">
        <v>0.0</v>
      </c>
      <c r="T1139" s="179">
        <v>1.0</v>
      </c>
      <c r="U1139" s="179">
        <v>28915.26</v>
      </c>
      <c r="V1139" s="179">
        <v>0.1438</v>
      </c>
      <c r="W1139" s="179">
        <v>6.9544</v>
      </c>
      <c r="X1139" s="179">
        <v>0.0</v>
      </c>
      <c r="Y1139" s="179">
        <v>0.0</v>
      </c>
      <c r="Z1139" s="179">
        <v>0.0</v>
      </c>
      <c r="AA1139" s="179">
        <v>0.0</v>
      </c>
      <c r="AB1139" s="179">
        <v>0.0</v>
      </c>
      <c r="AC1139" s="179">
        <v>0.0</v>
      </c>
      <c r="AD1139" s="179">
        <v>0.0</v>
      </c>
      <c r="AE1139" s="179">
        <v>0.0</v>
      </c>
      <c r="AF1139" s="179">
        <v>0.0</v>
      </c>
      <c r="AG1139" s="179">
        <v>0.0</v>
      </c>
      <c r="AH1139" s="179">
        <v>0.0</v>
      </c>
      <c r="AI1139" s="179">
        <v>0.0</v>
      </c>
      <c r="AJ1139" s="179">
        <v>0.0</v>
      </c>
    </row>
    <row r="1140" ht="15.75" customHeight="1">
      <c r="A1140" s="65">
        <v>45717.0</v>
      </c>
      <c r="B1140" s="179" t="s">
        <v>771</v>
      </c>
      <c r="C1140" s="179" t="s">
        <v>1224</v>
      </c>
      <c r="D1140" s="179" t="s">
        <v>773</v>
      </c>
      <c r="E1140" s="179" t="s">
        <v>459</v>
      </c>
      <c r="F1140" s="179" t="s">
        <v>774</v>
      </c>
      <c r="G1140" s="179" t="s">
        <v>775</v>
      </c>
      <c r="H1140" s="179" t="s">
        <v>1106</v>
      </c>
      <c r="I1140" s="179"/>
      <c r="J1140" s="179" t="s">
        <v>134</v>
      </c>
      <c r="K1140" s="179">
        <v>500.0</v>
      </c>
      <c r="L1140" s="179" t="s">
        <v>776</v>
      </c>
      <c r="M1140" s="179" t="s">
        <v>8</v>
      </c>
      <c r="N1140" s="179">
        <v>1582.0</v>
      </c>
      <c r="O1140" s="179">
        <v>5.0</v>
      </c>
      <c r="P1140" s="179">
        <v>0.0032</v>
      </c>
      <c r="Q1140" s="179">
        <v>225.51</v>
      </c>
      <c r="R1140" s="179">
        <v>45.1</v>
      </c>
      <c r="S1140" s="179">
        <v>0.0</v>
      </c>
      <c r="T1140" s="179">
        <v>0.0</v>
      </c>
      <c r="U1140" s="179">
        <v>0.0</v>
      </c>
      <c r="V1140" s="179">
        <v>0.0</v>
      </c>
      <c r="W1140" s="179">
        <v>0.0</v>
      </c>
      <c r="X1140" s="179">
        <v>0.0</v>
      </c>
      <c r="Y1140" s="179">
        <v>0.0</v>
      </c>
      <c r="Z1140" s="179">
        <v>0.0</v>
      </c>
      <c r="AA1140" s="179">
        <v>0.0</v>
      </c>
      <c r="AB1140" s="179">
        <v>0.0</v>
      </c>
      <c r="AC1140" s="179">
        <v>0.0</v>
      </c>
      <c r="AD1140" s="179">
        <v>0.0</v>
      </c>
      <c r="AE1140" s="179">
        <v>0.0</v>
      </c>
      <c r="AF1140" s="179">
        <v>0.0</v>
      </c>
      <c r="AG1140" s="179">
        <v>0.0</v>
      </c>
      <c r="AH1140" s="179">
        <v>0.0</v>
      </c>
      <c r="AI1140" s="179">
        <v>0.0</v>
      </c>
      <c r="AJ1140" s="179">
        <v>0.0</v>
      </c>
    </row>
    <row r="1141" ht="15.75" customHeight="1">
      <c r="A1141" s="65">
        <v>45717.0</v>
      </c>
      <c r="B1141" s="179" t="s">
        <v>771</v>
      </c>
      <c r="C1141" s="179" t="s">
        <v>1225</v>
      </c>
      <c r="D1141" s="179" t="s">
        <v>773</v>
      </c>
      <c r="E1141" s="179" t="s">
        <v>459</v>
      </c>
      <c r="F1141" s="179" t="s">
        <v>774</v>
      </c>
      <c r="G1141" s="179" t="s">
        <v>775</v>
      </c>
      <c r="H1141" s="179" t="s">
        <v>1106</v>
      </c>
      <c r="I1141" s="179"/>
      <c r="J1141" s="179" t="s">
        <v>134</v>
      </c>
      <c r="K1141" s="179">
        <v>500.0</v>
      </c>
      <c r="L1141" s="179" t="s">
        <v>776</v>
      </c>
      <c r="M1141" s="179" t="s">
        <v>8</v>
      </c>
      <c r="N1141" s="179">
        <v>620.0</v>
      </c>
      <c r="O1141" s="179">
        <v>5.0</v>
      </c>
      <c r="P1141" s="179">
        <v>0.0081</v>
      </c>
      <c r="Q1141" s="179">
        <v>137.52</v>
      </c>
      <c r="R1141" s="179">
        <v>27.5</v>
      </c>
      <c r="S1141" s="179">
        <v>0.0</v>
      </c>
      <c r="T1141" s="179">
        <v>1.0</v>
      </c>
      <c r="U1141" s="179">
        <v>19923.72</v>
      </c>
      <c r="V1141" s="179">
        <v>0.0069</v>
      </c>
      <c r="W1141" s="179">
        <v>144.8787</v>
      </c>
      <c r="X1141" s="179">
        <v>0.0</v>
      </c>
      <c r="Y1141" s="179">
        <v>0.0</v>
      </c>
      <c r="Z1141" s="179">
        <v>0.0</v>
      </c>
      <c r="AA1141" s="179">
        <v>0.0</v>
      </c>
      <c r="AB1141" s="179">
        <v>0.0</v>
      </c>
      <c r="AC1141" s="179">
        <v>0.0</v>
      </c>
      <c r="AD1141" s="179">
        <v>0.0</v>
      </c>
      <c r="AE1141" s="179">
        <v>0.0</v>
      </c>
      <c r="AF1141" s="179">
        <v>0.0</v>
      </c>
      <c r="AG1141" s="179">
        <v>0.0</v>
      </c>
      <c r="AH1141" s="179">
        <v>0.0</v>
      </c>
      <c r="AI1141" s="179">
        <v>0.0</v>
      </c>
      <c r="AJ1141" s="179">
        <v>0.0</v>
      </c>
    </row>
    <row r="1142" ht="15.75" customHeight="1">
      <c r="A1142" s="65">
        <v>45717.0</v>
      </c>
      <c r="B1142" s="179" t="s">
        <v>771</v>
      </c>
      <c r="C1142" s="179" t="s">
        <v>1253</v>
      </c>
      <c r="D1142" s="179" t="s">
        <v>773</v>
      </c>
      <c r="E1142" s="179" t="s">
        <v>459</v>
      </c>
      <c r="F1142" s="179" t="s">
        <v>774</v>
      </c>
      <c r="G1142" s="179" t="s">
        <v>775</v>
      </c>
      <c r="H1142" s="179" t="s">
        <v>1106</v>
      </c>
      <c r="I1142" s="179"/>
      <c r="J1142" s="179" t="s">
        <v>158</v>
      </c>
      <c r="K1142" s="179">
        <v>500.0</v>
      </c>
      <c r="L1142" s="179" t="s">
        <v>776</v>
      </c>
      <c r="M1142" s="179" t="s">
        <v>8</v>
      </c>
      <c r="N1142" s="179">
        <v>56331.0</v>
      </c>
      <c r="O1142" s="179">
        <v>330.0</v>
      </c>
      <c r="P1142" s="179">
        <v>0.0059</v>
      </c>
      <c r="Q1142" s="179">
        <v>5735.27</v>
      </c>
      <c r="R1142" s="179">
        <v>17.38</v>
      </c>
      <c r="S1142" s="179">
        <v>0.0</v>
      </c>
      <c r="T1142" s="179">
        <v>7.0</v>
      </c>
      <c r="U1142" s="179">
        <v>16863.56</v>
      </c>
      <c r="V1142" s="179">
        <v>0.3401</v>
      </c>
      <c r="W1142" s="179">
        <v>2.9403</v>
      </c>
      <c r="X1142" s="179">
        <v>0.0</v>
      </c>
      <c r="Y1142" s="179">
        <v>0.0</v>
      </c>
      <c r="Z1142" s="179">
        <v>0.0</v>
      </c>
      <c r="AA1142" s="179">
        <v>0.0</v>
      </c>
      <c r="AB1142" s="179">
        <v>0.0</v>
      </c>
      <c r="AC1142" s="179">
        <v>0.0</v>
      </c>
      <c r="AD1142" s="179">
        <v>0.0</v>
      </c>
      <c r="AE1142" s="179">
        <v>0.0</v>
      </c>
      <c r="AF1142" s="179">
        <v>0.0</v>
      </c>
      <c r="AG1142" s="179">
        <v>0.0</v>
      </c>
      <c r="AH1142" s="179">
        <v>0.0</v>
      </c>
      <c r="AI1142" s="179">
        <v>0.0</v>
      </c>
      <c r="AJ1142" s="179">
        <v>0.0</v>
      </c>
    </row>
    <row r="1143" ht="15.75" customHeight="1">
      <c r="A1143" s="65">
        <v>45717.0</v>
      </c>
      <c r="B1143" s="179" t="s">
        <v>771</v>
      </c>
      <c r="C1143" s="179" t="s">
        <v>1254</v>
      </c>
      <c r="D1143" s="179" t="s">
        <v>773</v>
      </c>
      <c r="E1143" s="179" t="s">
        <v>459</v>
      </c>
      <c r="F1143" s="179" t="s">
        <v>774</v>
      </c>
      <c r="G1143" s="179" t="s">
        <v>775</v>
      </c>
      <c r="H1143" s="179" t="s">
        <v>1106</v>
      </c>
      <c r="I1143" s="179"/>
      <c r="J1143" s="179" t="s">
        <v>128</v>
      </c>
      <c r="K1143" s="179">
        <v>500.0</v>
      </c>
      <c r="L1143" s="195">
        <v>0.1466</v>
      </c>
      <c r="M1143" s="179" t="s">
        <v>8</v>
      </c>
      <c r="N1143" s="179">
        <v>439.0</v>
      </c>
      <c r="O1143" s="179">
        <v>4.0</v>
      </c>
      <c r="P1143" s="179">
        <v>0.0091</v>
      </c>
      <c r="Q1143" s="179">
        <v>34.14</v>
      </c>
      <c r="R1143" s="179">
        <v>8.54</v>
      </c>
      <c r="S1143" s="179">
        <v>0.0</v>
      </c>
      <c r="T1143" s="179">
        <v>0.0</v>
      </c>
      <c r="U1143" s="179">
        <v>0.0</v>
      </c>
      <c r="V1143" s="179">
        <v>0.0</v>
      </c>
      <c r="W1143" s="179">
        <v>0.0</v>
      </c>
      <c r="X1143" s="179">
        <v>0.0</v>
      </c>
      <c r="Y1143" s="179">
        <v>0.0</v>
      </c>
      <c r="Z1143" s="179">
        <v>0.0</v>
      </c>
      <c r="AA1143" s="179">
        <v>0.0</v>
      </c>
      <c r="AB1143" s="179">
        <v>0.0</v>
      </c>
      <c r="AC1143" s="179">
        <v>0.0</v>
      </c>
      <c r="AD1143" s="179">
        <v>0.0</v>
      </c>
      <c r="AE1143" s="179">
        <v>0.0</v>
      </c>
      <c r="AF1143" s="179">
        <v>0.0</v>
      </c>
      <c r="AG1143" s="179">
        <v>0.0</v>
      </c>
      <c r="AH1143" s="179">
        <v>0.0</v>
      </c>
      <c r="AI1143" s="179">
        <v>0.0</v>
      </c>
      <c r="AJ1143" s="179">
        <v>0.0</v>
      </c>
    </row>
    <row r="1144" ht="15.75" customHeight="1">
      <c r="A1144" s="65">
        <v>45717.0</v>
      </c>
      <c r="B1144" s="179" t="s">
        <v>771</v>
      </c>
      <c r="C1144" s="179" t="s">
        <v>1255</v>
      </c>
      <c r="D1144" s="179" t="s">
        <v>773</v>
      </c>
      <c r="E1144" s="179" t="s">
        <v>459</v>
      </c>
      <c r="F1144" s="179" t="s">
        <v>774</v>
      </c>
      <c r="G1144" s="179" t="s">
        <v>775</v>
      </c>
      <c r="H1144" s="179" t="s">
        <v>1106</v>
      </c>
      <c r="I1144" s="179"/>
      <c r="J1144" s="179" t="s">
        <v>152</v>
      </c>
      <c r="K1144" s="179">
        <v>500.0</v>
      </c>
      <c r="L1144" s="179" t="s">
        <v>776</v>
      </c>
      <c r="M1144" s="179" t="s">
        <v>8</v>
      </c>
      <c r="N1144" s="179">
        <v>26594.0</v>
      </c>
      <c r="O1144" s="179">
        <v>207.0</v>
      </c>
      <c r="P1144" s="179">
        <v>0.0078</v>
      </c>
      <c r="Q1144" s="179">
        <v>6916.63</v>
      </c>
      <c r="R1144" s="179">
        <v>33.41</v>
      </c>
      <c r="S1144" s="179">
        <v>0.0</v>
      </c>
      <c r="T1144" s="179">
        <v>1.0</v>
      </c>
      <c r="U1144" s="179">
        <v>14405.93</v>
      </c>
      <c r="V1144" s="179">
        <v>0.4801</v>
      </c>
      <c r="W1144" s="179">
        <v>2.0828</v>
      </c>
      <c r="X1144" s="179">
        <v>0.0</v>
      </c>
      <c r="Y1144" s="179">
        <v>0.0</v>
      </c>
      <c r="Z1144" s="179">
        <v>0.0</v>
      </c>
      <c r="AA1144" s="179">
        <v>0.0</v>
      </c>
      <c r="AB1144" s="179">
        <v>0.0</v>
      </c>
      <c r="AC1144" s="179">
        <v>0.0</v>
      </c>
      <c r="AD1144" s="179">
        <v>0.0</v>
      </c>
      <c r="AE1144" s="179">
        <v>0.0</v>
      </c>
      <c r="AF1144" s="179">
        <v>0.0</v>
      </c>
      <c r="AG1144" s="179">
        <v>0.0</v>
      </c>
      <c r="AH1144" s="179">
        <v>0.0</v>
      </c>
      <c r="AI1144" s="179">
        <v>0.0</v>
      </c>
      <c r="AJ1144" s="179">
        <v>0.0</v>
      </c>
    </row>
    <row r="1145" ht="15.75" customHeight="1">
      <c r="A1145" s="65">
        <v>45717.0</v>
      </c>
      <c r="B1145" s="179" t="s">
        <v>771</v>
      </c>
      <c r="C1145" s="179" t="s">
        <v>1256</v>
      </c>
      <c r="D1145" s="179" t="s">
        <v>773</v>
      </c>
      <c r="E1145" s="179" t="s">
        <v>459</v>
      </c>
      <c r="F1145" s="179" t="s">
        <v>774</v>
      </c>
      <c r="G1145" s="179" t="s">
        <v>775</v>
      </c>
      <c r="H1145" s="179" t="s">
        <v>1106</v>
      </c>
      <c r="I1145" s="179"/>
      <c r="J1145" s="179" t="s">
        <v>152</v>
      </c>
      <c r="K1145" s="179">
        <v>500.0</v>
      </c>
      <c r="L1145" s="179" t="s">
        <v>776</v>
      </c>
      <c r="M1145" s="179" t="s">
        <v>8</v>
      </c>
      <c r="N1145" s="179">
        <v>80994.0</v>
      </c>
      <c r="O1145" s="179">
        <v>176.0</v>
      </c>
      <c r="P1145" s="179">
        <v>0.0022</v>
      </c>
      <c r="Q1145" s="179">
        <v>7073.92</v>
      </c>
      <c r="R1145" s="179">
        <v>40.19</v>
      </c>
      <c r="S1145" s="179">
        <v>0.0</v>
      </c>
      <c r="T1145" s="179">
        <v>0.0</v>
      </c>
      <c r="U1145" s="179">
        <v>0.0</v>
      </c>
      <c r="V1145" s="179">
        <v>0.0</v>
      </c>
      <c r="W1145" s="179">
        <v>0.0</v>
      </c>
      <c r="X1145" s="179">
        <v>0.0</v>
      </c>
      <c r="Y1145" s="179">
        <v>0.0</v>
      </c>
      <c r="Z1145" s="179">
        <v>0.0</v>
      </c>
      <c r="AA1145" s="179">
        <v>0.0</v>
      </c>
      <c r="AB1145" s="179">
        <v>0.0</v>
      </c>
      <c r="AC1145" s="179">
        <v>0.0</v>
      </c>
      <c r="AD1145" s="179">
        <v>0.0</v>
      </c>
      <c r="AE1145" s="179">
        <v>0.0</v>
      </c>
      <c r="AF1145" s="179">
        <v>0.0</v>
      </c>
      <c r="AG1145" s="179">
        <v>0.0</v>
      </c>
      <c r="AH1145" s="179">
        <v>0.0</v>
      </c>
      <c r="AI1145" s="179">
        <v>0.0</v>
      </c>
      <c r="AJ1145" s="179">
        <v>0.0</v>
      </c>
    </row>
    <row r="1146" ht="15.75" customHeight="1">
      <c r="A1146" s="65">
        <v>45717.0</v>
      </c>
      <c r="B1146" s="179" t="s">
        <v>771</v>
      </c>
      <c r="C1146" s="179" t="s">
        <v>1257</v>
      </c>
      <c r="D1146" s="179" t="s">
        <v>773</v>
      </c>
      <c r="E1146" s="179" t="s">
        <v>459</v>
      </c>
      <c r="F1146" s="179" t="s">
        <v>774</v>
      </c>
      <c r="G1146" s="179" t="s">
        <v>783</v>
      </c>
      <c r="H1146" s="179" t="s">
        <v>1106</v>
      </c>
      <c r="I1146" s="179"/>
      <c r="J1146" s="179" t="s">
        <v>90</v>
      </c>
      <c r="K1146" s="179">
        <v>500.0</v>
      </c>
      <c r="L1146" s="179" t="s">
        <v>776</v>
      </c>
      <c r="M1146" s="179" t="s">
        <v>8</v>
      </c>
      <c r="N1146" s="179">
        <v>111.0</v>
      </c>
      <c r="O1146" s="179">
        <v>0.0</v>
      </c>
      <c r="P1146" s="179">
        <v>0.0</v>
      </c>
      <c r="Q1146" s="179">
        <v>0.0</v>
      </c>
      <c r="R1146" s="179">
        <v>0.0</v>
      </c>
      <c r="S1146" s="179">
        <v>0.0</v>
      </c>
      <c r="T1146" s="179">
        <v>0.0</v>
      </c>
      <c r="U1146" s="179">
        <v>0.0</v>
      </c>
      <c r="V1146" s="179">
        <v>0.0</v>
      </c>
      <c r="W1146" s="179">
        <v>0.0</v>
      </c>
      <c r="X1146" s="179">
        <v>0.0</v>
      </c>
      <c r="Y1146" s="179">
        <v>0.0</v>
      </c>
      <c r="Z1146" s="179">
        <v>0.0</v>
      </c>
      <c r="AA1146" s="179">
        <v>0.0</v>
      </c>
      <c r="AB1146" s="179">
        <v>0.0</v>
      </c>
      <c r="AC1146" s="179">
        <v>0.0</v>
      </c>
      <c r="AD1146" s="179">
        <v>0.0</v>
      </c>
      <c r="AE1146" s="179">
        <v>0.0</v>
      </c>
      <c r="AF1146" s="179">
        <v>0.0</v>
      </c>
      <c r="AG1146" s="179">
        <v>0.0</v>
      </c>
      <c r="AH1146" s="179">
        <v>0.0</v>
      </c>
      <c r="AI1146" s="179">
        <v>0.0</v>
      </c>
      <c r="AJ1146" s="179">
        <v>0.0</v>
      </c>
    </row>
    <row r="1147" ht="15.75" customHeight="1">
      <c r="A1147" s="65">
        <v>45717.0</v>
      </c>
      <c r="B1147" s="179" t="s">
        <v>771</v>
      </c>
      <c r="C1147" s="179" t="s">
        <v>1258</v>
      </c>
      <c r="D1147" s="179" t="s">
        <v>773</v>
      </c>
      <c r="E1147" s="179" t="s">
        <v>459</v>
      </c>
      <c r="F1147" s="179" t="s">
        <v>774</v>
      </c>
      <c r="G1147" s="179" t="s">
        <v>775</v>
      </c>
      <c r="H1147" s="179" t="s">
        <v>1106</v>
      </c>
      <c r="I1147" s="179"/>
      <c r="J1147" s="179" t="s">
        <v>90</v>
      </c>
      <c r="K1147" s="179">
        <v>500.0</v>
      </c>
      <c r="L1147" s="179" t="s">
        <v>776</v>
      </c>
      <c r="M1147" s="179" t="s">
        <v>8</v>
      </c>
      <c r="N1147" s="179">
        <v>65.0</v>
      </c>
      <c r="O1147" s="179">
        <v>0.0</v>
      </c>
      <c r="P1147" s="179">
        <v>0.0</v>
      </c>
      <c r="Q1147" s="179">
        <v>0.0</v>
      </c>
      <c r="R1147" s="179">
        <v>0.0</v>
      </c>
      <c r="S1147" s="179">
        <v>0.0</v>
      </c>
      <c r="T1147" s="179">
        <v>0.0</v>
      </c>
      <c r="U1147" s="179">
        <v>0.0</v>
      </c>
      <c r="V1147" s="179">
        <v>0.0</v>
      </c>
      <c r="W1147" s="179">
        <v>0.0</v>
      </c>
      <c r="X1147" s="179">
        <v>0.0</v>
      </c>
      <c r="Y1147" s="179">
        <v>0.0</v>
      </c>
      <c r="Z1147" s="179">
        <v>0.0</v>
      </c>
      <c r="AA1147" s="179">
        <v>0.0</v>
      </c>
      <c r="AB1147" s="179">
        <v>0.0</v>
      </c>
      <c r="AC1147" s="179">
        <v>0.0</v>
      </c>
      <c r="AD1147" s="179">
        <v>0.0</v>
      </c>
      <c r="AE1147" s="179">
        <v>0.0</v>
      </c>
      <c r="AF1147" s="179">
        <v>0.0</v>
      </c>
      <c r="AG1147" s="179">
        <v>0.0</v>
      </c>
      <c r="AH1147" s="179">
        <v>0.0</v>
      </c>
      <c r="AI1147" s="179">
        <v>0.0</v>
      </c>
      <c r="AJ1147" s="179">
        <v>0.0</v>
      </c>
    </row>
    <row r="1148" ht="15.75" customHeight="1">
      <c r="A1148" s="65">
        <v>45717.0</v>
      </c>
      <c r="B1148" s="179" t="s">
        <v>771</v>
      </c>
      <c r="C1148" s="179" t="s">
        <v>1259</v>
      </c>
      <c r="D1148" s="179" t="s">
        <v>773</v>
      </c>
      <c r="E1148" s="179" t="s">
        <v>459</v>
      </c>
      <c r="F1148" s="179" t="s">
        <v>774</v>
      </c>
      <c r="G1148" s="179" t="s">
        <v>775</v>
      </c>
      <c r="H1148" s="179" t="s">
        <v>1106</v>
      </c>
      <c r="I1148" s="179"/>
      <c r="J1148" s="179" t="s">
        <v>90</v>
      </c>
      <c r="K1148" s="179">
        <v>500.0</v>
      </c>
      <c r="L1148" s="195">
        <v>0.1875</v>
      </c>
      <c r="M1148" s="179" t="s">
        <v>8</v>
      </c>
      <c r="N1148" s="179">
        <v>32.0</v>
      </c>
      <c r="O1148" s="179">
        <v>0.0</v>
      </c>
      <c r="P1148" s="179">
        <v>0.0</v>
      </c>
      <c r="Q1148" s="179">
        <v>0.0</v>
      </c>
      <c r="R1148" s="179">
        <v>0.0</v>
      </c>
      <c r="S1148" s="179">
        <v>0.0</v>
      </c>
      <c r="T1148" s="179">
        <v>0.0</v>
      </c>
      <c r="U1148" s="179">
        <v>0.0</v>
      </c>
      <c r="V1148" s="179">
        <v>0.0</v>
      </c>
      <c r="W1148" s="179">
        <v>0.0</v>
      </c>
      <c r="X1148" s="179">
        <v>0.0</v>
      </c>
      <c r="Y1148" s="179">
        <v>0.0</v>
      </c>
      <c r="Z1148" s="179">
        <v>0.0</v>
      </c>
      <c r="AA1148" s="179">
        <v>0.0</v>
      </c>
      <c r="AB1148" s="179">
        <v>0.0</v>
      </c>
      <c r="AC1148" s="179">
        <v>0.0</v>
      </c>
      <c r="AD1148" s="179">
        <v>0.0</v>
      </c>
      <c r="AE1148" s="179">
        <v>0.0</v>
      </c>
      <c r="AF1148" s="179">
        <v>0.0</v>
      </c>
      <c r="AG1148" s="179">
        <v>0.0</v>
      </c>
      <c r="AH1148" s="179">
        <v>0.0</v>
      </c>
      <c r="AI1148" s="179">
        <v>0.0</v>
      </c>
      <c r="AJ1148" s="179">
        <v>0.0</v>
      </c>
    </row>
    <row r="1149" ht="15.75" customHeight="1">
      <c r="A1149" s="65">
        <v>45717.0</v>
      </c>
      <c r="B1149" s="179" t="s">
        <v>771</v>
      </c>
      <c r="C1149" s="179" t="s">
        <v>1260</v>
      </c>
      <c r="D1149" s="179" t="s">
        <v>773</v>
      </c>
      <c r="E1149" s="179" t="s">
        <v>459</v>
      </c>
      <c r="F1149" s="179" t="s">
        <v>774</v>
      </c>
      <c r="G1149" s="179" t="s">
        <v>775</v>
      </c>
      <c r="H1149" s="179" t="s">
        <v>1106</v>
      </c>
      <c r="I1149" s="179"/>
      <c r="J1149" s="179" t="s">
        <v>90</v>
      </c>
      <c r="K1149" s="179">
        <v>500.0</v>
      </c>
      <c r="L1149" s="179" t="s">
        <v>776</v>
      </c>
      <c r="M1149" s="179" t="s">
        <v>8</v>
      </c>
      <c r="N1149" s="179">
        <v>708.0</v>
      </c>
      <c r="O1149" s="179">
        <v>4.0</v>
      </c>
      <c r="P1149" s="179">
        <v>0.0056</v>
      </c>
      <c r="Q1149" s="179">
        <v>31.42</v>
      </c>
      <c r="R1149" s="179">
        <v>7.86</v>
      </c>
      <c r="S1149" s="179">
        <v>0.0</v>
      </c>
      <c r="T1149" s="179">
        <v>0.0</v>
      </c>
      <c r="U1149" s="179">
        <v>0.0</v>
      </c>
      <c r="V1149" s="179">
        <v>0.0</v>
      </c>
      <c r="W1149" s="179">
        <v>0.0</v>
      </c>
      <c r="X1149" s="179">
        <v>0.0</v>
      </c>
      <c r="Y1149" s="179">
        <v>0.0</v>
      </c>
      <c r="Z1149" s="179">
        <v>0.0</v>
      </c>
      <c r="AA1149" s="179">
        <v>0.0</v>
      </c>
      <c r="AB1149" s="179">
        <v>0.0</v>
      </c>
      <c r="AC1149" s="179">
        <v>0.0</v>
      </c>
      <c r="AD1149" s="179">
        <v>0.0</v>
      </c>
      <c r="AE1149" s="179">
        <v>0.0</v>
      </c>
      <c r="AF1149" s="179">
        <v>0.0</v>
      </c>
      <c r="AG1149" s="179">
        <v>0.0</v>
      </c>
      <c r="AH1149" s="179">
        <v>0.0</v>
      </c>
      <c r="AI1149" s="179">
        <v>0.0</v>
      </c>
      <c r="AJ1149" s="179">
        <v>0.0</v>
      </c>
    </row>
    <row r="1150" ht="15.75" customHeight="1">
      <c r="A1150" s="65">
        <v>45717.0</v>
      </c>
      <c r="B1150" s="179" t="s">
        <v>771</v>
      </c>
      <c r="C1150" s="179" t="s">
        <v>862</v>
      </c>
      <c r="D1150" s="179" t="s">
        <v>773</v>
      </c>
      <c r="E1150" s="179" t="s">
        <v>463</v>
      </c>
      <c r="F1150" s="179" t="s">
        <v>774</v>
      </c>
      <c r="G1150" s="179"/>
      <c r="H1150" s="179" t="s">
        <v>1106</v>
      </c>
      <c r="I1150" s="179"/>
      <c r="J1150" s="179" t="s">
        <v>128</v>
      </c>
      <c r="K1150" s="179">
        <v>500.0</v>
      </c>
      <c r="L1150" s="179"/>
      <c r="M1150" s="179" t="s">
        <v>8</v>
      </c>
      <c r="N1150" s="179">
        <v>78097.0</v>
      </c>
      <c r="O1150" s="179">
        <v>214.0</v>
      </c>
      <c r="P1150" s="179">
        <v>0.0027</v>
      </c>
      <c r="Q1150" s="179">
        <v>9093.71</v>
      </c>
      <c r="R1150" s="179">
        <v>42.49</v>
      </c>
      <c r="S1150" s="179">
        <v>1331.0</v>
      </c>
      <c r="T1150" s="179">
        <v>6.0</v>
      </c>
      <c r="U1150" s="179">
        <v>133711.9</v>
      </c>
      <c r="V1150" s="179">
        <v>0.068</v>
      </c>
      <c r="W1150" s="179">
        <v>14.7038</v>
      </c>
      <c r="X1150" s="179">
        <v>5.0</v>
      </c>
      <c r="Y1150" s="179">
        <v>0.8333</v>
      </c>
      <c r="Z1150" s="179">
        <v>110398.3</v>
      </c>
      <c r="AA1150" s="179">
        <v>0.8256</v>
      </c>
      <c r="AB1150" s="179">
        <v>0.0</v>
      </c>
      <c r="AC1150" s="179">
        <v>0.0</v>
      </c>
      <c r="AD1150" s="179">
        <v>0.0</v>
      </c>
      <c r="AE1150" s="179">
        <v>0.0</v>
      </c>
      <c r="AF1150" s="179">
        <v>0.0</v>
      </c>
      <c r="AG1150" s="179">
        <v>0.0</v>
      </c>
      <c r="AH1150" s="179">
        <v>0.0</v>
      </c>
      <c r="AI1150" s="179">
        <v>0.0</v>
      </c>
      <c r="AJ1150" s="179">
        <v>0.0</v>
      </c>
    </row>
    <row r="1151" ht="15.75" customHeight="1">
      <c r="A1151" s="65">
        <v>45717.0</v>
      </c>
      <c r="B1151" s="179" t="s">
        <v>779</v>
      </c>
      <c r="C1151" s="179" t="s">
        <v>1261</v>
      </c>
      <c r="D1151" s="179" t="s">
        <v>781</v>
      </c>
      <c r="E1151" s="179" t="s">
        <v>463</v>
      </c>
      <c r="F1151" s="179" t="s">
        <v>774</v>
      </c>
      <c r="G1151" s="179"/>
      <c r="H1151" s="179" t="s">
        <v>1106</v>
      </c>
      <c r="I1151" s="179"/>
      <c r="J1151" s="179" t="s">
        <v>205</v>
      </c>
      <c r="K1151" s="179">
        <v>500.0</v>
      </c>
      <c r="L1151" s="179"/>
      <c r="M1151" s="179" t="s">
        <v>8</v>
      </c>
      <c r="N1151" s="179">
        <v>1862480.0</v>
      </c>
      <c r="O1151" s="179">
        <v>8896.0</v>
      </c>
      <c r="P1151" s="179">
        <v>0.0048</v>
      </c>
      <c r="Q1151" s="179">
        <v>32376.71</v>
      </c>
      <c r="R1151" s="179">
        <v>3.64</v>
      </c>
      <c r="S1151" s="179">
        <v>9259.0</v>
      </c>
      <c r="T1151" s="179">
        <v>0.0</v>
      </c>
      <c r="U1151" s="179">
        <v>0.0</v>
      </c>
      <c r="V1151" s="179">
        <v>0.0</v>
      </c>
      <c r="W1151" s="179">
        <v>0.0</v>
      </c>
      <c r="X1151" s="179">
        <v>0.0</v>
      </c>
      <c r="Y1151" s="179">
        <v>0.0</v>
      </c>
      <c r="Z1151" s="179">
        <v>0.0</v>
      </c>
      <c r="AA1151" s="179">
        <v>0.0</v>
      </c>
      <c r="AB1151" s="179">
        <v>0.0</v>
      </c>
      <c r="AC1151" s="179">
        <v>0.0</v>
      </c>
      <c r="AD1151" s="179">
        <v>0.0</v>
      </c>
      <c r="AE1151" s="179">
        <v>0.0</v>
      </c>
      <c r="AF1151" s="179">
        <v>0.0</v>
      </c>
      <c r="AG1151" s="179">
        <v>0.0</v>
      </c>
      <c r="AH1151" s="179">
        <v>0.0</v>
      </c>
      <c r="AI1151" s="179">
        <v>0.0</v>
      </c>
      <c r="AJ1151" s="179">
        <v>0.0</v>
      </c>
    </row>
    <row r="1152" ht="15.75" customHeight="1">
      <c r="A1152" s="65">
        <v>45717.0</v>
      </c>
      <c r="B1152" s="179" t="s">
        <v>779</v>
      </c>
      <c r="C1152" s="179" t="s">
        <v>941</v>
      </c>
      <c r="D1152" s="179" t="s">
        <v>781</v>
      </c>
      <c r="E1152" s="179" t="s">
        <v>463</v>
      </c>
      <c r="F1152" s="179" t="s">
        <v>774</v>
      </c>
      <c r="G1152" s="179"/>
      <c r="H1152" s="179" t="s">
        <v>1106</v>
      </c>
      <c r="I1152" s="179"/>
      <c r="J1152" s="179" t="s">
        <v>230</v>
      </c>
      <c r="K1152" s="179">
        <v>500.0</v>
      </c>
      <c r="L1152" s="179"/>
      <c r="M1152" s="179" t="s">
        <v>8</v>
      </c>
      <c r="N1152" s="179">
        <v>74117.0</v>
      </c>
      <c r="O1152" s="179">
        <v>97.0</v>
      </c>
      <c r="P1152" s="179">
        <v>0.0013</v>
      </c>
      <c r="Q1152" s="179">
        <v>691.57</v>
      </c>
      <c r="R1152" s="179">
        <v>7.13</v>
      </c>
      <c r="S1152" s="179">
        <v>139.0</v>
      </c>
      <c r="T1152" s="179">
        <v>0.0</v>
      </c>
      <c r="U1152" s="179">
        <v>0.0</v>
      </c>
      <c r="V1152" s="179">
        <v>0.0</v>
      </c>
      <c r="W1152" s="179">
        <v>0.0</v>
      </c>
      <c r="X1152" s="179">
        <v>0.0</v>
      </c>
      <c r="Y1152" s="179">
        <v>0.0</v>
      </c>
      <c r="Z1152" s="179">
        <v>0.0</v>
      </c>
      <c r="AA1152" s="179">
        <v>0.0</v>
      </c>
      <c r="AB1152" s="179">
        <v>0.0</v>
      </c>
      <c r="AC1152" s="179">
        <v>0.0</v>
      </c>
      <c r="AD1152" s="179">
        <v>0.0</v>
      </c>
      <c r="AE1152" s="179">
        <v>0.0</v>
      </c>
      <c r="AF1152" s="179">
        <v>0.0</v>
      </c>
      <c r="AG1152" s="179">
        <v>0.0</v>
      </c>
      <c r="AH1152" s="179">
        <v>0.0</v>
      </c>
      <c r="AI1152" s="179">
        <v>0.0</v>
      </c>
      <c r="AJ1152" s="179">
        <v>0.0</v>
      </c>
    </row>
    <row r="1153" ht="15.75" customHeight="1">
      <c r="A1153" s="65">
        <v>45717.0</v>
      </c>
      <c r="B1153" s="179" t="s">
        <v>779</v>
      </c>
      <c r="C1153" s="179" t="s">
        <v>1090</v>
      </c>
      <c r="D1153" s="179" t="s">
        <v>781</v>
      </c>
      <c r="E1153" s="179" t="s">
        <v>463</v>
      </c>
      <c r="F1153" s="179" t="s">
        <v>774</v>
      </c>
      <c r="G1153" s="179"/>
      <c r="H1153" s="179" t="s">
        <v>1106</v>
      </c>
      <c r="I1153" s="179"/>
      <c r="J1153" s="179" t="s">
        <v>211</v>
      </c>
      <c r="K1153" s="179">
        <v>500.0</v>
      </c>
      <c r="L1153" s="179"/>
      <c r="M1153" s="179" t="s">
        <v>8</v>
      </c>
      <c r="N1153" s="179">
        <v>161786.0</v>
      </c>
      <c r="O1153" s="179">
        <v>936.0</v>
      </c>
      <c r="P1153" s="179">
        <v>0.0058</v>
      </c>
      <c r="Q1153" s="179">
        <v>3877.46</v>
      </c>
      <c r="R1153" s="179">
        <v>4.14</v>
      </c>
      <c r="S1153" s="179">
        <v>1361.0</v>
      </c>
      <c r="T1153" s="179">
        <v>1.0</v>
      </c>
      <c r="U1153" s="179">
        <v>1863.56</v>
      </c>
      <c r="V1153" s="179">
        <v>2.0807</v>
      </c>
      <c r="W1153" s="179">
        <v>0.4806</v>
      </c>
      <c r="X1153" s="179">
        <v>1.0</v>
      </c>
      <c r="Y1153" s="179">
        <v>1.0</v>
      </c>
      <c r="Z1153" s="179">
        <v>1863.56</v>
      </c>
      <c r="AA1153" s="179">
        <v>1.0</v>
      </c>
      <c r="AB1153" s="179">
        <v>0.0</v>
      </c>
      <c r="AC1153" s="179">
        <v>0.0</v>
      </c>
      <c r="AD1153" s="179">
        <v>0.0</v>
      </c>
      <c r="AE1153" s="179">
        <v>0.0</v>
      </c>
      <c r="AF1153" s="179">
        <v>0.0</v>
      </c>
      <c r="AG1153" s="179">
        <v>0.0</v>
      </c>
      <c r="AH1153" s="179">
        <v>0.0</v>
      </c>
      <c r="AI1153" s="179">
        <v>0.0</v>
      </c>
      <c r="AJ1153" s="179">
        <v>0.0</v>
      </c>
    </row>
    <row r="1154" ht="15.75" customHeight="1">
      <c r="A1154" s="65">
        <v>45717.0</v>
      </c>
      <c r="B1154" s="179" t="s">
        <v>771</v>
      </c>
      <c r="C1154" s="179" t="s">
        <v>1240</v>
      </c>
      <c r="D1154" s="179" t="s">
        <v>773</v>
      </c>
      <c r="E1154" s="179" t="s">
        <v>463</v>
      </c>
      <c r="F1154" s="179" t="s">
        <v>774</v>
      </c>
      <c r="G1154" s="179"/>
      <c r="H1154" s="179" t="s">
        <v>1106</v>
      </c>
      <c r="I1154" s="179"/>
      <c r="J1154" s="179" t="s">
        <v>134</v>
      </c>
      <c r="K1154" s="179">
        <v>500.0</v>
      </c>
      <c r="L1154" s="179"/>
      <c r="M1154" s="179" t="s">
        <v>8</v>
      </c>
      <c r="N1154" s="179">
        <v>50.0</v>
      </c>
      <c r="O1154" s="179">
        <v>1.0</v>
      </c>
      <c r="P1154" s="179">
        <v>0.02</v>
      </c>
      <c r="Q1154" s="179">
        <v>2.98</v>
      </c>
      <c r="R1154" s="179">
        <v>2.98</v>
      </c>
      <c r="S1154" s="179">
        <v>1.0</v>
      </c>
      <c r="T1154" s="179">
        <v>0.0</v>
      </c>
      <c r="U1154" s="179">
        <v>0.0</v>
      </c>
      <c r="V1154" s="179">
        <v>0.0</v>
      </c>
      <c r="W1154" s="179">
        <v>0.0</v>
      </c>
      <c r="X1154" s="179">
        <v>0.0</v>
      </c>
      <c r="Y1154" s="179">
        <v>0.0</v>
      </c>
      <c r="Z1154" s="179">
        <v>0.0</v>
      </c>
      <c r="AA1154" s="179">
        <v>0.0</v>
      </c>
      <c r="AB1154" s="179">
        <v>11.0</v>
      </c>
      <c r="AC1154" s="179">
        <v>270.91</v>
      </c>
      <c r="AD1154" s="179">
        <v>4.0</v>
      </c>
      <c r="AE1154" s="179">
        <v>3.0</v>
      </c>
      <c r="AF1154" s="179">
        <v>1.0</v>
      </c>
      <c r="AG1154" s="179">
        <v>1.0</v>
      </c>
      <c r="AH1154" s="179">
        <v>0.0</v>
      </c>
      <c r="AI1154" s="179">
        <v>0.22</v>
      </c>
      <c r="AJ1154" s="179">
        <v>0.0909</v>
      </c>
    </row>
    <row r="1155" ht="15.75" customHeight="1">
      <c r="A1155" s="65">
        <v>45717.0</v>
      </c>
      <c r="B1155" s="179" t="s">
        <v>779</v>
      </c>
      <c r="C1155" s="179" t="s">
        <v>1243</v>
      </c>
      <c r="D1155" s="179" t="s">
        <v>781</v>
      </c>
      <c r="E1155" s="179" t="s">
        <v>461</v>
      </c>
      <c r="F1155" s="179" t="s">
        <v>774</v>
      </c>
      <c r="G1155" s="179"/>
      <c r="H1155" s="179" t="s">
        <v>1106</v>
      </c>
      <c r="I1155" s="179"/>
      <c r="J1155" s="179" t="s">
        <v>134</v>
      </c>
      <c r="K1155" s="179">
        <v>500.0</v>
      </c>
      <c r="L1155" s="179" t="s">
        <v>776</v>
      </c>
      <c r="M1155" s="179" t="s">
        <v>8</v>
      </c>
      <c r="N1155" s="179">
        <v>146867.0</v>
      </c>
      <c r="O1155" s="179">
        <v>451.0</v>
      </c>
      <c r="P1155" s="179">
        <v>0.0031</v>
      </c>
      <c r="Q1155" s="179">
        <v>2222.19</v>
      </c>
      <c r="R1155" s="179">
        <v>4.93</v>
      </c>
      <c r="S1155" s="179">
        <v>449.0</v>
      </c>
      <c r="T1155" s="179">
        <v>0.0</v>
      </c>
      <c r="U1155" s="179">
        <v>0.0</v>
      </c>
      <c r="V1155" s="179">
        <v>0.0</v>
      </c>
      <c r="W1155" s="179">
        <v>0.0</v>
      </c>
      <c r="X1155" s="179">
        <v>0.0</v>
      </c>
      <c r="Y1155" s="179">
        <v>0.0</v>
      </c>
      <c r="Z1155" s="179">
        <v>0.0</v>
      </c>
      <c r="AA1155" s="179">
        <v>0.0</v>
      </c>
      <c r="AB1155" s="179">
        <v>28542.0</v>
      </c>
      <c r="AC1155" s="179">
        <v>77.86</v>
      </c>
      <c r="AD1155" s="179">
        <v>0.0</v>
      </c>
      <c r="AE1155" s="179">
        <v>0.0</v>
      </c>
      <c r="AF1155" s="179">
        <v>0.0</v>
      </c>
      <c r="AG1155" s="179">
        <v>0.0</v>
      </c>
      <c r="AH1155" s="179">
        <v>0.0</v>
      </c>
      <c r="AI1155" s="179">
        <v>0.0</v>
      </c>
      <c r="AJ1155" s="179">
        <v>0.0</v>
      </c>
    </row>
    <row r="1156" ht="15.75" customHeight="1">
      <c r="A1156" s="65">
        <v>45717.0</v>
      </c>
      <c r="B1156" s="179" t="s">
        <v>771</v>
      </c>
      <c r="C1156" s="179" t="s">
        <v>1262</v>
      </c>
      <c r="D1156" s="179" t="s">
        <v>773</v>
      </c>
      <c r="E1156" s="179" t="s">
        <v>461</v>
      </c>
      <c r="F1156" s="179" t="s">
        <v>774</v>
      </c>
      <c r="G1156" s="179"/>
      <c r="H1156" s="179" t="s">
        <v>1106</v>
      </c>
      <c r="I1156" s="179"/>
      <c r="J1156" s="179" t="s">
        <v>196</v>
      </c>
      <c r="K1156" s="179">
        <v>500.0</v>
      </c>
      <c r="L1156" s="179" t="s">
        <v>776</v>
      </c>
      <c r="M1156" s="179" t="s">
        <v>8</v>
      </c>
      <c r="N1156" s="179">
        <v>92930.0</v>
      </c>
      <c r="O1156" s="179">
        <v>228.0</v>
      </c>
      <c r="P1156" s="179">
        <v>0.0025</v>
      </c>
      <c r="Q1156" s="179">
        <v>6067.73</v>
      </c>
      <c r="R1156" s="179">
        <v>26.61</v>
      </c>
      <c r="S1156" s="179">
        <v>199.0</v>
      </c>
      <c r="T1156" s="179">
        <v>0.0</v>
      </c>
      <c r="U1156" s="179">
        <v>0.0</v>
      </c>
      <c r="V1156" s="179">
        <v>0.0</v>
      </c>
      <c r="W1156" s="179">
        <v>0.0</v>
      </c>
      <c r="X1156" s="179">
        <v>0.0</v>
      </c>
      <c r="Y1156" s="179">
        <v>0.0</v>
      </c>
      <c r="Z1156" s="179">
        <v>0.0</v>
      </c>
      <c r="AA1156" s="179">
        <v>0.0</v>
      </c>
      <c r="AB1156" s="179">
        <v>18953.0</v>
      </c>
      <c r="AC1156" s="179">
        <v>320.15</v>
      </c>
      <c r="AD1156" s="179">
        <v>0.0</v>
      </c>
      <c r="AE1156" s="179">
        <v>0.0</v>
      </c>
      <c r="AF1156" s="179">
        <v>0.0</v>
      </c>
      <c r="AG1156" s="179">
        <v>0.0</v>
      </c>
      <c r="AH1156" s="179">
        <v>0.0</v>
      </c>
      <c r="AI1156" s="179">
        <v>0.0</v>
      </c>
      <c r="AJ1156" s="179">
        <v>0.0</v>
      </c>
    </row>
    <row r="1157" ht="15.75" customHeight="1">
      <c r="A1157" s="65">
        <v>45717.0</v>
      </c>
      <c r="B1157" s="179" t="s">
        <v>771</v>
      </c>
      <c r="C1157" s="179" t="s">
        <v>1263</v>
      </c>
      <c r="D1157" s="179" t="s">
        <v>773</v>
      </c>
      <c r="E1157" s="179" t="s">
        <v>461</v>
      </c>
      <c r="F1157" s="179" t="s">
        <v>774</v>
      </c>
      <c r="G1157" s="179"/>
      <c r="H1157" s="179" t="s">
        <v>1106</v>
      </c>
      <c r="I1157" s="179"/>
      <c r="J1157" s="179" t="s">
        <v>196</v>
      </c>
      <c r="K1157" s="179">
        <v>500.0</v>
      </c>
      <c r="L1157" s="195">
        <v>0.066</v>
      </c>
      <c r="M1157" s="179" t="s">
        <v>8</v>
      </c>
      <c r="N1157" s="179">
        <v>115889.0</v>
      </c>
      <c r="O1157" s="179">
        <v>490.0</v>
      </c>
      <c r="P1157" s="179">
        <v>0.0042</v>
      </c>
      <c r="Q1157" s="179">
        <v>9023.95</v>
      </c>
      <c r="R1157" s="179">
        <v>18.42</v>
      </c>
      <c r="S1157" s="179">
        <v>582.0</v>
      </c>
      <c r="T1157" s="179">
        <v>0.0</v>
      </c>
      <c r="U1157" s="179">
        <v>0.0</v>
      </c>
      <c r="V1157" s="179">
        <v>0.0</v>
      </c>
      <c r="W1157" s="179">
        <v>0.0</v>
      </c>
      <c r="X1157" s="179">
        <v>0.0</v>
      </c>
      <c r="Y1157" s="179">
        <v>0.0</v>
      </c>
      <c r="Z1157" s="179">
        <v>0.0</v>
      </c>
      <c r="AA1157" s="179">
        <v>0.0</v>
      </c>
      <c r="AB1157" s="179">
        <v>35567.0</v>
      </c>
      <c r="AC1157" s="179">
        <v>253.72</v>
      </c>
      <c r="AD1157" s="179">
        <v>0.0</v>
      </c>
      <c r="AE1157" s="179">
        <v>0.0</v>
      </c>
      <c r="AF1157" s="179">
        <v>0.0</v>
      </c>
      <c r="AG1157" s="179">
        <v>0.0</v>
      </c>
      <c r="AH1157" s="179">
        <v>0.0</v>
      </c>
      <c r="AI1157" s="179">
        <v>0.0</v>
      </c>
      <c r="AJ1157" s="179">
        <v>0.0</v>
      </c>
    </row>
    <row r="1158" ht="15.75" customHeight="1">
      <c r="A1158" s="65">
        <v>45717.0</v>
      </c>
      <c r="B1158" s="179" t="s">
        <v>771</v>
      </c>
      <c r="C1158" s="179" t="s">
        <v>1091</v>
      </c>
      <c r="D1158" s="179" t="s">
        <v>773</v>
      </c>
      <c r="E1158" s="179" t="s">
        <v>459</v>
      </c>
      <c r="F1158" s="179" t="s">
        <v>774</v>
      </c>
      <c r="G1158" s="179" t="s">
        <v>775</v>
      </c>
      <c r="H1158" s="179" t="s">
        <v>1106</v>
      </c>
      <c r="I1158" s="179"/>
      <c r="J1158" s="179" t="s">
        <v>413</v>
      </c>
      <c r="K1158" s="179">
        <v>590.0</v>
      </c>
      <c r="L1158" s="179" t="s">
        <v>776</v>
      </c>
      <c r="M1158" s="179" t="s">
        <v>8</v>
      </c>
      <c r="N1158" s="179">
        <v>73098.0</v>
      </c>
      <c r="O1158" s="179">
        <v>174.0</v>
      </c>
      <c r="P1158" s="179">
        <v>0.0024</v>
      </c>
      <c r="Q1158" s="179">
        <v>7895.7</v>
      </c>
      <c r="R1158" s="179">
        <v>45.38</v>
      </c>
      <c r="S1158" s="179">
        <v>0.0</v>
      </c>
      <c r="T1158" s="179">
        <v>0.0</v>
      </c>
      <c r="U1158" s="179">
        <v>0.0</v>
      </c>
      <c r="V1158" s="179">
        <v>0.0</v>
      </c>
      <c r="W1158" s="179">
        <v>0.0</v>
      </c>
      <c r="X1158" s="179">
        <v>0.0</v>
      </c>
      <c r="Y1158" s="179">
        <v>0.0</v>
      </c>
      <c r="Z1158" s="179">
        <v>0.0</v>
      </c>
      <c r="AA1158" s="179">
        <v>0.0</v>
      </c>
      <c r="AB1158" s="179">
        <v>0.0</v>
      </c>
      <c r="AC1158" s="179">
        <v>0.0</v>
      </c>
      <c r="AD1158" s="179">
        <v>0.0</v>
      </c>
      <c r="AE1158" s="179">
        <v>0.0</v>
      </c>
      <c r="AF1158" s="179">
        <v>0.0</v>
      </c>
      <c r="AG1158" s="179">
        <v>0.0</v>
      </c>
      <c r="AH1158" s="179">
        <v>0.0</v>
      </c>
      <c r="AI1158" s="179">
        <v>0.0</v>
      </c>
      <c r="AJ1158" s="179">
        <v>0.0</v>
      </c>
    </row>
    <row r="1159" ht="15.75" customHeight="1">
      <c r="A1159" s="65">
        <v>45717.0</v>
      </c>
      <c r="B1159" s="179" t="s">
        <v>771</v>
      </c>
      <c r="C1159" s="179" t="s">
        <v>1264</v>
      </c>
      <c r="D1159" s="179" t="s">
        <v>773</v>
      </c>
      <c r="E1159" s="179" t="s">
        <v>461</v>
      </c>
      <c r="F1159" s="179" t="s">
        <v>774</v>
      </c>
      <c r="G1159" s="179"/>
      <c r="H1159" s="179" t="s">
        <v>1106</v>
      </c>
      <c r="I1159" s="179"/>
      <c r="J1159" s="179" t="s">
        <v>134</v>
      </c>
      <c r="K1159" s="179">
        <v>600.0</v>
      </c>
      <c r="L1159" s="179" t="s">
        <v>776</v>
      </c>
      <c r="M1159" s="179" t="s">
        <v>8</v>
      </c>
      <c r="N1159" s="179">
        <v>974421.0</v>
      </c>
      <c r="O1159" s="179">
        <v>1889.0</v>
      </c>
      <c r="P1159" s="179">
        <v>0.0019</v>
      </c>
      <c r="Q1159" s="179">
        <v>10157.68</v>
      </c>
      <c r="R1159" s="179">
        <v>5.38</v>
      </c>
      <c r="S1159" s="179">
        <v>1579.0</v>
      </c>
      <c r="T1159" s="179">
        <v>5.0</v>
      </c>
      <c r="U1159" s="179">
        <v>79896.62</v>
      </c>
      <c r="V1159" s="179">
        <v>0.1271</v>
      </c>
      <c r="W1159" s="179">
        <v>7.8656</v>
      </c>
      <c r="X1159" s="179">
        <v>4.0</v>
      </c>
      <c r="Y1159" s="179">
        <v>0.8</v>
      </c>
      <c r="Z1159" s="179">
        <v>62515.26</v>
      </c>
      <c r="AA1159" s="179">
        <v>0.7825</v>
      </c>
      <c r="AB1159" s="179">
        <v>216917.0</v>
      </c>
      <c r="AC1159" s="179">
        <v>46.83</v>
      </c>
      <c r="AD1159" s="179">
        <v>0.0</v>
      </c>
      <c r="AE1159" s="179">
        <v>0.0</v>
      </c>
      <c r="AF1159" s="179">
        <v>0.0</v>
      </c>
      <c r="AG1159" s="179">
        <v>0.0</v>
      </c>
      <c r="AH1159" s="179">
        <v>0.0</v>
      </c>
      <c r="AI1159" s="179">
        <v>0.0</v>
      </c>
      <c r="AJ1159" s="179">
        <v>0.0</v>
      </c>
    </row>
    <row r="1160" ht="15.75" customHeight="1">
      <c r="A1160" s="65">
        <v>45717.0</v>
      </c>
      <c r="B1160" s="179" t="s">
        <v>771</v>
      </c>
      <c r="C1160" s="179" t="s">
        <v>1042</v>
      </c>
      <c r="D1160" s="179" t="s">
        <v>773</v>
      </c>
      <c r="E1160" s="179" t="s">
        <v>459</v>
      </c>
      <c r="F1160" s="179" t="s">
        <v>774</v>
      </c>
      <c r="G1160" s="179" t="s">
        <v>775</v>
      </c>
      <c r="H1160" s="179" t="s">
        <v>1106</v>
      </c>
      <c r="I1160" s="179"/>
      <c r="J1160" s="179" t="s">
        <v>241</v>
      </c>
      <c r="K1160" s="179">
        <v>790.5</v>
      </c>
      <c r="L1160" s="179" t="s">
        <v>776</v>
      </c>
      <c r="M1160" s="179" t="s">
        <v>8</v>
      </c>
      <c r="N1160" s="179">
        <v>54277.0</v>
      </c>
      <c r="O1160" s="179">
        <v>131.0</v>
      </c>
      <c r="P1160" s="179">
        <v>0.0024</v>
      </c>
      <c r="Q1160" s="179">
        <v>2880.45</v>
      </c>
      <c r="R1160" s="179">
        <v>21.99</v>
      </c>
      <c r="S1160" s="179">
        <v>0.0</v>
      </c>
      <c r="T1160" s="179">
        <v>4.0</v>
      </c>
      <c r="U1160" s="179">
        <v>7454.24</v>
      </c>
      <c r="V1160" s="179">
        <v>0.3864</v>
      </c>
      <c r="W1160" s="179">
        <v>2.5879</v>
      </c>
      <c r="X1160" s="179">
        <v>0.0</v>
      </c>
      <c r="Y1160" s="179">
        <v>0.0</v>
      </c>
      <c r="Z1160" s="179">
        <v>0.0</v>
      </c>
      <c r="AA1160" s="179">
        <v>0.0</v>
      </c>
      <c r="AB1160" s="179">
        <v>0.0</v>
      </c>
      <c r="AC1160" s="179">
        <v>0.0</v>
      </c>
      <c r="AD1160" s="179">
        <v>0.0</v>
      </c>
      <c r="AE1160" s="179">
        <v>0.0</v>
      </c>
      <c r="AF1160" s="179">
        <v>0.0</v>
      </c>
      <c r="AG1160" s="179">
        <v>0.0</v>
      </c>
      <c r="AH1160" s="179">
        <v>0.0</v>
      </c>
      <c r="AI1160" s="179">
        <v>0.0</v>
      </c>
      <c r="AJ1160" s="179">
        <v>0.0</v>
      </c>
    </row>
    <row r="1161" ht="15.75" customHeight="1">
      <c r="A1161" s="65">
        <v>45717.0</v>
      </c>
      <c r="B1161" s="179" t="s">
        <v>771</v>
      </c>
      <c r="C1161" s="179" t="s">
        <v>1122</v>
      </c>
      <c r="D1161" s="179" t="s">
        <v>773</v>
      </c>
      <c r="E1161" s="179" t="s">
        <v>459</v>
      </c>
      <c r="F1161" s="179" t="s">
        <v>774</v>
      </c>
      <c r="G1161" s="179" t="s">
        <v>775</v>
      </c>
      <c r="H1161" s="179" t="s">
        <v>1106</v>
      </c>
      <c r="I1161" s="179"/>
      <c r="J1161" s="179" t="s">
        <v>211</v>
      </c>
      <c r="K1161" s="179">
        <v>800.0</v>
      </c>
      <c r="L1161" s="195">
        <v>0.0942</v>
      </c>
      <c r="M1161" s="179" t="s">
        <v>8</v>
      </c>
      <c r="N1161" s="179">
        <v>91916.0</v>
      </c>
      <c r="O1161" s="179">
        <v>1208.0</v>
      </c>
      <c r="P1161" s="179">
        <v>0.0131</v>
      </c>
      <c r="Q1161" s="179">
        <v>6321.87</v>
      </c>
      <c r="R1161" s="179">
        <v>5.23</v>
      </c>
      <c r="S1161" s="179">
        <v>0.0</v>
      </c>
      <c r="T1161" s="179">
        <v>23.0</v>
      </c>
      <c r="U1161" s="179">
        <v>63455.11</v>
      </c>
      <c r="V1161" s="179">
        <v>0.0996</v>
      </c>
      <c r="W1161" s="179">
        <v>10.0374</v>
      </c>
      <c r="X1161" s="179">
        <v>0.0</v>
      </c>
      <c r="Y1161" s="179">
        <v>0.0</v>
      </c>
      <c r="Z1161" s="179">
        <v>0.0</v>
      </c>
      <c r="AA1161" s="179">
        <v>0.0</v>
      </c>
      <c r="AB1161" s="179">
        <v>0.0</v>
      </c>
      <c r="AC1161" s="179">
        <v>0.0</v>
      </c>
      <c r="AD1161" s="179">
        <v>0.0</v>
      </c>
      <c r="AE1161" s="179">
        <v>0.0</v>
      </c>
      <c r="AF1161" s="179">
        <v>0.0</v>
      </c>
      <c r="AG1161" s="179">
        <v>0.0</v>
      </c>
      <c r="AH1161" s="179">
        <v>0.0</v>
      </c>
      <c r="AI1161" s="179">
        <v>0.0</v>
      </c>
      <c r="AJ1161" s="179">
        <v>0.0</v>
      </c>
    </row>
    <row r="1162" ht="15.75" customHeight="1">
      <c r="A1162" s="65">
        <v>45717.0</v>
      </c>
      <c r="B1162" s="179" t="s">
        <v>779</v>
      </c>
      <c r="C1162" s="179" t="s">
        <v>1151</v>
      </c>
      <c r="D1162" s="179" t="s">
        <v>781</v>
      </c>
      <c r="E1162" s="179" t="s">
        <v>459</v>
      </c>
      <c r="F1162" s="179" t="s">
        <v>774</v>
      </c>
      <c r="G1162" s="179" t="s">
        <v>775</v>
      </c>
      <c r="H1162" s="179" t="s">
        <v>1106</v>
      </c>
      <c r="I1162" s="179"/>
      <c r="J1162" s="179" t="s">
        <v>158</v>
      </c>
      <c r="K1162" s="179">
        <v>800.0</v>
      </c>
      <c r="L1162" s="179" t="s">
        <v>776</v>
      </c>
      <c r="M1162" s="179" t="s">
        <v>8</v>
      </c>
      <c r="N1162" s="179">
        <v>109293.0</v>
      </c>
      <c r="O1162" s="179">
        <v>508.0</v>
      </c>
      <c r="P1162" s="179">
        <v>0.0046</v>
      </c>
      <c r="Q1162" s="179">
        <v>5768.37</v>
      </c>
      <c r="R1162" s="179">
        <v>11.36</v>
      </c>
      <c r="S1162" s="179">
        <v>0.0</v>
      </c>
      <c r="T1162" s="179">
        <v>3.0</v>
      </c>
      <c r="U1162" s="179">
        <v>37667.81</v>
      </c>
      <c r="V1162" s="179">
        <v>0.1531</v>
      </c>
      <c r="W1162" s="179">
        <v>6.5301</v>
      </c>
      <c r="X1162" s="179">
        <v>0.0</v>
      </c>
      <c r="Y1162" s="179">
        <v>0.0</v>
      </c>
      <c r="Z1162" s="179">
        <v>0.0</v>
      </c>
      <c r="AA1162" s="179">
        <v>0.0</v>
      </c>
      <c r="AB1162" s="179">
        <v>0.0</v>
      </c>
      <c r="AC1162" s="179">
        <v>0.0</v>
      </c>
      <c r="AD1162" s="179">
        <v>0.0</v>
      </c>
      <c r="AE1162" s="179">
        <v>0.0</v>
      </c>
      <c r="AF1162" s="179">
        <v>0.0</v>
      </c>
      <c r="AG1162" s="179">
        <v>0.0</v>
      </c>
      <c r="AH1162" s="179">
        <v>0.0</v>
      </c>
      <c r="AI1162" s="179">
        <v>0.0</v>
      </c>
      <c r="AJ1162" s="179">
        <v>0.0</v>
      </c>
    </row>
    <row r="1163" ht="15.75" customHeight="1">
      <c r="A1163" s="65">
        <v>45717.0</v>
      </c>
      <c r="B1163" s="179" t="s">
        <v>779</v>
      </c>
      <c r="C1163" s="179" t="s">
        <v>1038</v>
      </c>
      <c r="D1163" s="179" t="s">
        <v>781</v>
      </c>
      <c r="E1163" s="179" t="s">
        <v>459</v>
      </c>
      <c r="F1163" s="179" t="s">
        <v>774</v>
      </c>
      <c r="G1163" s="179" t="s">
        <v>775</v>
      </c>
      <c r="H1163" s="179" t="s">
        <v>1106</v>
      </c>
      <c r="I1163" s="179"/>
      <c r="J1163" s="179" t="s">
        <v>158</v>
      </c>
      <c r="K1163" s="179">
        <v>912.88</v>
      </c>
      <c r="L1163" s="195">
        <v>0.308</v>
      </c>
      <c r="M1163" s="179" t="s">
        <v>8</v>
      </c>
      <c r="N1163" s="179">
        <v>67948.0</v>
      </c>
      <c r="O1163" s="179">
        <v>568.0</v>
      </c>
      <c r="P1163" s="179">
        <v>0.0084</v>
      </c>
      <c r="Q1163" s="179">
        <v>9901.59</v>
      </c>
      <c r="R1163" s="179">
        <v>17.43</v>
      </c>
      <c r="S1163" s="179">
        <v>0.0</v>
      </c>
      <c r="T1163" s="179">
        <v>8.0</v>
      </c>
      <c r="U1163" s="179">
        <v>20630.53</v>
      </c>
      <c r="V1163" s="179">
        <v>0.4799</v>
      </c>
      <c r="W1163" s="179">
        <v>2.0836</v>
      </c>
      <c r="X1163" s="179">
        <v>0.0</v>
      </c>
      <c r="Y1163" s="179">
        <v>0.0</v>
      </c>
      <c r="Z1163" s="179">
        <v>0.0</v>
      </c>
      <c r="AA1163" s="179">
        <v>0.0</v>
      </c>
      <c r="AB1163" s="179">
        <v>0.0</v>
      </c>
      <c r="AC1163" s="179">
        <v>0.0</v>
      </c>
      <c r="AD1163" s="179">
        <v>0.0</v>
      </c>
      <c r="AE1163" s="179">
        <v>0.0</v>
      </c>
      <c r="AF1163" s="179">
        <v>0.0</v>
      </c>
      <c r="AG1163" s="179">
        <v>0.0</v>
      </c>
      <c r="AH1163" s="179">
        <v>0.0</v>
      </c>
      <c r="AI1163" s="179">
        <v>0.0</v>
      </c>
      <c r="AJ1163" s="179">
        <v>0.0</v>
      </c>
    </row>
    <row r="1164" ht="15.75" customHeight="1">
      <c r="A1164" s="65">
        <v>45717.0</v>
      </c>
      <c r="B1164" s="179" t="s">
        <v>771</v>
      </c>
      <c r="C1164" s="179" t="s">
        <v>898</v>
      </c>
      <c r="D1164" s="179" t="s">
        <v>773</v>
      </c>
      <c r="E1164" s="179" t="s">
        <v>459</v>
      </c>
      <c r="F1164" s="179" t="s">
        <v>774</v>
      </c>
      <c r="G1164" s="179" t="s">
        <v>775</v>
      </c>
      <c r="H1164" s="179" t="s">
        <v>1106</v>
      </c>
      <c r="I1164" s="179"/>
      <c r="J1164" s="179" t="s">
        <v>140</v>
      </c>
      <c r="K1164" s="179">
        <v>1000.0</v>
      </c>
      <c r="L1164" s="195">
        <v>0.0582</v>
      </c>
      <c r="M1164" s="179" t="s">
        <v>8</v>
      </c>
      <c r="N1164" s="179">
        <v>30637.0</v>
      </c>
      <c r="O1164" s="179">
        <v>240.0</v>
      </c>
      <c r="P1164" s="179">
        <v>0.0078</v>
      </c>
      <c r="Q1164" s="179">
        <v>19122.81</v>
      </c>
      <c r="R1164" s="179">
        <v>79.68</v>
      </c>
      <c r="S1164" s="179">
        <v>0.0</v>
      </c>
      <c r="T1164" s="179">
        <v>2.0</v>
      </c>
      <c r="U1164" s="179">
        <v>47000.0</v>
      </c>
      <c r="V1164" s="179">
        <v>0.4069</v>
      </c>
      <c r="W1164" s="179">
        <v>2.4578</v>
      </c>
      <c r="X1164" s="179">
        <v>0.0</v>
      </c>
      <c r="Y1164" s="179">
        <v>0.0</v>
      </c>
      <c r="Z1164" s="179">
        <v>0.0</v>
      </c>
      <c r="AA1164" s="179">
        <v>0.0</v>
      </c>
      <c r="AB1164" s="179">
        <v>0.0</v>
      </c>
      <c r="AC1164" s="179">
        <v>0.0</v>
      </c>
      <c r="AD1164" s="179">
        <v>0.0</v>
      </c>
      <c r="AE1164" s="179">
        <v>0.0</v>
      </c>
      <c r="AF1164" s="179">
        <v>0.0</v>
      </c>
      <c r="AG1164" s="179">
        <v>0.0</v>
      </c>
      <c r="AH1164" s="179">
        <v>0.0</v>
      </c>
      <c r="AI1164" s="179">
        <v>0.0</v>
      </c>
      <c r="AJ1164" s="179">
        <v>0.0</v>
      </c>
    </row>
    <row r="1165" ht="15.75" customHeight="1">
      <c r="A1165" s="65">
        <v>45717.0</v>
      </c>
      <c r="B1165" s="179" t="s">
        <v>779</v>
      </c>
      <c r="C1165" s="179" t="s">
        <v>908</v>
      </c>
      <c r="D1165" s="179" t="s">
        <v>781</v>
      </c>
      <c r="E1165" s="179" t="s">
        <v>459</v>
      </c>
      <c r="F1165" s="179" t="s">
        <v>774</v>
      </c>
      <c r="G1165" s="179" t="s">
        <v>783</v>
      </c>
      <c r="H1165" s="179" t="s">
        <v>1106</v>
      </c>
      <c r="I1165" s="179"/>
      <c r="J1165" s="179" t="s">
        <v>152</v>
      </c>
      <c r="K1165" s="179">
        <v>1000.0</v>
      </c>
      <c r="L1165" s="179" t="s">
        <v>776</v>
      </c>
      <c r="M1165" s="179" t="s">
        <v>8</v>
      </c>
      <c r="N1165" s="179">
        <v>152.0</v>
      </c>
      <c r="O1165" s="179">
        <v>0.0</v>
      </c>
      <c r="P1165" s="179">
        <v>0.0</v>
      </c>
      <c r="Q1165" s="179">
        <v>0.0</v>
      </c>
      <c r="R1165" s="179">
        <v>0.0</v>
      </c>
      <c r="S1165" s="179">
        <v>0.0</v>
      </c>
      <c r="T1165" s="179">
        <v>0.0</v>
      </c>
      <c r="U1165" s="179">
        <v>0.0</v>
      </c>
      <c r="V1165" s="179">
        <v>0.0</v>
      </c>
      <c r="W1165" s="179">
        <v>0.0</v>
      </c>
      <c r="X1165" s="179">
        <v>0.0</v>
      </c>
      <c r="Y1165" s="179">
        <v>0.0</v>
      </c>
      <c r="Z1165" s="179">
        <v>0.0</v>
      </c>
      <c r="AA1165" s="179">
        <v>0.0</v>
      </c>
      <c r="AB1165" s="179">
        <v>0.0</v>
      </c>
      <c r="AC1165" s="179">
        <v>0.0</v>
      </c>
      <c r="AD1165" s="179">
        <v>0.0</v>
      </c>
      <c r="AE1165" s="179">
        <v>0.0</v>
      </c>
      <c r="AF1165" s="179">
        <v>0.0</v>
      </c>
      <c r="AG1165" s="179">
        <v>0.0</v>
      </c>
      <c r="AH1165" s="179">
        <v>0.0</v>
      </c>
      <c r="AI1165" s="179">
        <v>0.0</v>
      </c>
      <c r="AJ1165" s="179">
        <v>0.0</v>
      </c>
    </row>
    <row r="1166" ht="15.75" customHeight="1">
      <c r="A1166" s="65">
        <v>45717.0</v>
      </c>
      <c r="B1166" s="179" t="s">
        <v>771</v>
      </c>
      <c r="C1166" s="179" t="s">
        <v>867</v>
      </c>
      <c r="D1166" s="179" t="s">
        <v>773</v>
      </c>
      <c r="E1166" s="179" t="s">
        <v>459</v>
      </c>
      <c r="F1166" s="179" t="s">
        <v>774</v>
      </c>
      <c r="G1166" s="179" t="s">
        <v>775</v>
      </c>
      <c r="H1166" s="179" t="s">
        <v>1106</v>
      </c>
      <c r="I1166" s="179"/>
      <c r="J1166" s="179" t="s">
        <v>176</v>
      </c>
      <c r="K1166" s="179">
        <v>1000.0</v>
      </c>
      <c r="L1166" s="195">
        <v>0.4586</v>
      </c>
      <c r="M1166" s="179" t="s">
        <v>8</v>
      </c>
      <c r="N1166" s="179">
        <v>30821.0</v>
      </c>
      <c r="O1166" s="179">
        <v>229.0</v>
      </c>
      <c r="P1166" s="179">
        <v>0.0074</v>
      </c>
      <c r="Q1166" s="179">
        <v>7004.63</v>
      </c>
      <c r="R1166" s="179">
        <v>30.59</v>
      </c>
      <c r="S1166" s="179">
        <v>0.0</v>
      </c>
      <c r="T1166" s="179">
        <v>4.0</v>
      </c>
      <c r="U1166" s="179">
        <v>67868.65</v>
      </c>
      <c r="V1166" s="179">
        <v>0.1032</v>
      </c>
      <c r="W1166" s="179">
        <v>9.6891</v>
      </c>
      <c r="X1166" s="179">
        <v>0.0</v>
      </c>
      <c r="Y1166" s="179">
        <v>0.0</v>
      </c>
      <c r="Z1166" s="179">
        <v>0.0</v>
      </c>
      <c r="AA1166" s="179">
        <v>0.0</v>
      </c>
      <c r="AB1166" s="179">
        <v>0.0</v>
      </c>
      <c r="AC1166" s="179">
        <v>0.0</v>
      </c>
      <c r="AD1166" s="179">
        <v>0.0</v>
      </c>
      <c r="AE1166" s="179">
        <v>0.0</v>
      </c>
      <c r="AF1166" s="179">
        <v>0.0</v>
      </c>
      <c r="AG1166" s="179">
        <v>0.0</v>
      </c>
      <c r="AH1166" s="179">
        <v>0.0</v>
      </c>
      <c r="AI1166" s="179">
        <v>0.0</v>
      </c>
      <c r="AJ1166" s="179">
        <v>0.0</v>
      </c>
    </row>
    <row r="1167" ht="15.75" customHeight="1">
      <c r="A1167" s="65">
        <v>45717.0</v>
      </c>
      <c r="B1167" s="179" t="s">
        <v>771</v>
      </c>
      <c r="C1167" s="179" t="s">
        <v>959</v>
      </c>
      <c r="D1167" s="179" t="s">
        <v>773</v>
      </c>
      <c r="E1167" s="179" t="s">
        <v>459</v>
      </c>
      <c r="F1167" s="179" t="s">
        <v>774</v>
      </c>
      <c r="G1167" s="179" t="s">
        <v>775</v>
      </c>
      <c r="H1167" s="179" t="s">
        <v>1106</v>
      </c>
      <c r="I1167" s="179"/>
      <c r="J1167" s="179" t="s">
        <v>140</v>
      </c>
      <c r="K1167" s="179">
        <v>1000.0</v>
      </c>
      <c r="L1167" s="195">
        <v>0.2266</v>
      </c>
      <c r="M1167" s="179" t="s">
        <v>8</v>
      </c>
      <c r="N1167" s="179">
        <v>3341.0</v>
      </c>
      <c r="O1167" s="179">
        <v>21.0</v>
      </c>
      <c r="P1167" s="179">
        <v>0.0063</v>
      </c>
      <c r="Q1167" s="179">
        <v>1126.6</v>
      </c>
      <c r="R1167" s="179">
        <v>53.65</v>
      </c>
      <c r="S1167" s="179">
        <v>0.0</v>
      </c>
      <c r="T1167" s="179">
        <v>0.0</v>
      </c>
      <c r="U1167" s="179">
        <v>0.0</v>
      </c>
      <c r="V1167" s="179">
        <v>0.0</v>
      </c>
      <c r="W1167" s="179">
        <v>0.0</v>
      </c>
      <c r="X1167" s="179">
        <v>0.0</v>
      </c>
      <c r="Y1167" s="179">
        <v>0.0</v>
      </c>
      <c r="Z1167" s="179">
        <v>0.0</v>
      </c>
      <c r="AA1167" s="179">
        <v>0.0</v>
      </c>
      <c r="AB1167" s="179">
        <v>0.0</v>
      </c>
      <c r="AC1167" s="179">
        <v>0.0</v>
      </c>
      <c r="AD1167" s="179">
        <v>0.0</v>
      </c>
      <c r="AE1167" s="179">
        <v>0.0</v>
      </c>
      <c r="AF1167" s="179">
        <v>0.0</v>
      </c>
      <c r="AG1167" s="179">
        <v>0.0</v>
      </c>
      <c r="AH1167" s="179">
        <v>0.0</v>
      </c>
      <c r="AI1167" s="179">
        <v>0.0</v>
      </c>
      <c r="AJ1167" s="179">
        <v>0.0</v>
      </c>
    </row>
    <row r="1168" ht="15.75" customHeight="1">
      <c r="A1168" s="65">
        <v>45717.0</v>
      </c>
      <c r="B1168" s="179" t="s">
        <v>771</v>
      </c>
      <c r="C1168" s="179" t="s">
        <v>960</v>
      </c>
      <c r="D1168" s="179" t="s">
        <v>773</v>
      </c>
      <c r="E1168" s="179" t="s">
        <v>459</v>
      </c>
      <c r="F1168" s="179" t="s">
        <v>774</v>
      </c>
      <c r="G1168" s="179" t="s">
        <v>775</v>
      </c>
      <c r="H1168" s="179" t="s">
        <v>1106</v>
      </c>
      <c r="I1168" s="179"/>
      <c r="J1168" s="179" t="s">
        <v>140</v>
      </c>
      <c r="K1168" s="179">
        <v>1000.0</v>
      </c>
      <c r="L1168" s="195">
        <v>0.087</v>
      </c>
      <c r="M1168" s="179" t="s">
        <v>8</v>
      </c>
      <c r="N1168" s="179">
        <v>63039.0</v>
      </c>
      <c r="O1168" s="179">
        <v>233.0</v>
      </c>
      <c r="P1168" s="179">
        <v>0.0037</v>
      </c>
      <c r="Q1168" s="179">
        <v>6325.4</v>
      </c>
      <c r="R1168" s="179">
        <v>27.15</v>
      </c>
      <c r="S1168" s="179">
        <v>0.0</v>
      </c>
      <c r="T1168" s="179">
        <v>2.0</v>
      </c>
      <c r="U1168" s="179">
        <v>32033.06</v>
      </c>
      <c r="V1168" s="179">
        <v>0.1975</v>
      </c>
      <c r="W1168" s="179">
        <v>5.0642</v>
      </c>
      <c r="X1168" s="179">
        <v>0.0</v>
      </c>
      <c r="Y1168" s="179">
        <v>0.0</v>
      </c>
      <c r="Z1168" s="179">
        <v>0.0</v>
      </c>
      <c r="AA1168" s="179">
        <v>0.0</v>
      </c>
      <c r="AB1168" s="179">
        <v>0.0</v>
      </c>
      <c r="AC1168" s="179">
        <v>0.0</v>
      </c>
      <c r="AD1168" s="179">
        <v>0.0</v>
      </c>
      <c r="AE1168" s="179">
        <v>0.0</v>
      </c>
      <c r="AF1168" s="179">
        <v>0.0</v>
      </c>
      <c r="AG1168" s="179">
        <v>0.0</v>
      </c>
      <c r="AH1168" s="179">
        <v>0.0</v>
      </c>
      <c r="AI1168" s="179">
        <v>0.0</v>
      </c>
      <c r="AJ1168" s="179">
        <v>0.0</v>
      </c>
    </row>
    <row r="1169" ht="15.75" customHeight="1">
      <c r="A1169" s="65">
        <v>45717.0</v>
      </c>
      <c r="B1169" s="179" t="s">
        <v>771</v>
      </c>
      <c r="C1169" s="179" t="s">
        <v>915</v>
      </c>
      <c r="D1169" s="179" t="s">
        <v>773</v>
      </c>
      <c r="E1169" s="179" t="s">
        <v>459</v>
      </c>
      <c r="F1169" s="179" t="s">
        <v>774</v>
      </c>
      <c r="G1169" s="179" t="s">
        <v>775</v>
      </c>
      <c r="H1169" s="179" t="s">
        <v>1106</v>
      </c>
      <c r="I1169" s="179"/>
      <c r="J1169" s="179" t="s">
        <v>205</v>
      </c>
      <c r="K1169" s="179">
        <v>1000.0</v>
      </c>
      <c r="L1169" s="179" t="s">
        <v>776</v>
      </c>
      <c r="M1169" s="179" t="s">
        <v>8</v>
      </c>
      <c r="N1169" s="179">
        <v>88192.0</v>
      </c>
      <c r="O1169" s="179">
        <v>150.0</v>
      </c>
      <c r="P1169" s="179">
        <v>0.0017</v>
      </c>
      <c r="Q1169" s="179">
        <v>9441.74</v>
      </c>
      <c r="R1169" s="179">
        <v>62.94</v>
      </c>
      <c r="S1169" s="179">
        <v>0.0</v>
      </c>
      <c r="T1169" s="179">
        <v>1.0</v>
      </c>
      <c r="U1169" s="179">
        <v>27076.28</v>
      </c>
      <c r="V1169" s="179">
        <v>0.3487</v>
      </c>
      <c r="W1169" s="179">
        <v>2.8677</v>
      </c>
      <c r="X1169" s="179">
        <v>0.0</v>
      </c>
      <c r="Y1169" s="179">
        <v>0.0</v>
      </c>
      <c r="Z1169" s="179">
        <v>0.0</v>
      </c>
      <c r="AA1169" s="179">
        <v>0.0</v>
      </c>
      <c r="AB1169" s="179">
        <v>0.0</v>
      </c>
      <c r="AC1169" s="179">
        <v>0.0</v>
      </c>
      <c r="AD1169" s="179">
        <v>0.0</v>
      </c>
      <c r="AE1169" s="179">
        <v>0.0</v>
      </c>
      <c r="AF1169" s="179">
        <v>0.0</v>
      </c>
      <c r="AG1169" s="179">
        <v>0.0</v>
      </c>
      <c r="AH1169" s="179">
        <v>0.0</v>
      </c>
      <c r="AI1169" s="179">
        <v>0.0</v>
      </c>
      <c r="AJ1169" s="179">
        <v>0.0</v>
      </c>
    </row>
    <row r="1170" ht="15.75" customHeight="1">
      <c r="A1170" s="65">
        <v>45717.0</v>
      </c>
      <c r="B1170" s="179" t="s">
        <v>771</v>
      </c>
      <c r="C1170" s="179" t="s">
        <v>920</v>
      </c>
      <c r="D1170" s="179" t="s">
        <v>773</v>
      </c>
      <c r="E1170" s="179" t="s">
        <v>459</v>
      </c>
      <c r="F1170" s="179" t="s">
        <v>774</v>
      </c>
      <c r="G1170" s="179" t="s">
        <v>775</v>
      </c>
      <c r="H1170" s="179" t="s">
        <v>1106</v>
      </c>
      <c r="I1170" s="179"/>
      <c r="J1170" s="179" t="s">
        <v>205</v>
      </c>
      <c r="K1170" s="179">
        <v>1000.0</v>
      </c>
      <c r="L1170" s="195">
        <v>0.11</v>
      </c>
      <c r="M1170" s="179" t="s">
        <v>8</v>
      </c>
      <c r="N1170" s="179">
        <v>10000.0</v>
      </c>
      <c r="O1170" s="179">
        <v>91.0</v>
      </c>
      <c r="P1170" s="179">
        <v>0.0091</v>
      </c>
      <c r="Q1170" s="179">
        <v>3451.04</v>
      </c>
      <c r="R1170" s="179">
        <v>37.92</v>
      </c>
      <c r="S1170" s="179">
        <v>0.0</v>
      </c>
      <c r="T1170" s="179">
        <v>0.0</v>
      </c>
      <c r="U1170" s="179">
        <v>0.0</v>
      </c>
      <c r="V1170" s="179">
        <v>0.0</v>
      </c>
      <c r="W1170" s="179">
        <v>0.0</v>
      </c>
      <c r="X1170" s="179">
        <v>0.0</v>
      </c>
      <c r="Y1170" s="179">
        <v>0.0</v>
      </c>
      <c r="Z1170" s="179">
        <v>0.0</v>
      </c>
      <c r="AA1170" s="179">
        <v>0.0</v>
      </c>
      <c r="AB1170" s="179">
        <v>0.0</v>
      </c>
      <c r="AC1170" s="179">
        <v>0.0</v>
      </c>
      <c r="AD1170" s="179">
        <v>0.0</v>
      </c>
      <c r="AE1170" s="179">
        <v>0.0</v>
      </c>
      <c r="AF1170" s="179">
        <v>0.0</v>
      </c>
      <c r="AG1170" s="179">
        <v>0.0</v>
      </c>
      <c r="AH1170" s="179">
        <v>0.0</v>
      </c>
      <c r="AI1170" s="179">
        <v>0.0</v>
      </c>
      <c r="AJ1170" s="179">
        <v>0.0</v>
      </c>
    </row>
    <row r="1171" ht="15.75" customHeight="1">
      <c r="A1171" s="65">
        <v>45717.0</v>
      </c>
      <c r="B1171" s="179" t="s">
        <v>771</v>
      </c>
      <c r="C1171" s="179" t="s">
        <v>934</v>
      </c>
      <c r="D1171" s="179" t="s">
        <v>773</v>
      </c>
      <c r="E1171" s="179" t="s">
        <v>459</v>
      </c>
      <c r="F1171" s="179" t="s">
        <v>774</v>
      </c>
      <c r="G1171" s="179" t="s">
        <v>775</v>
      </c>
      <c r="H1171" s="179" t="s">
        <v>1106</v>
      </c>
      <c r="I1171" s="179"/>
      <c r="J1171" s="179" t="s">
        <v>230</v>
      </c>
      <c r="K1171" s="179">
        <v>1000.0</v>
      </c>
      <c r="L1171" s="179" t="s">
        <v>776</v>
      </c>
      <c r="M1171" s="179" t="s">
        <v>8</v>
      </c>
      <c r="N1171" s="179">
        <v>391708.0</v>
      </c>
      <c r="O1171" s="179">
        <v>710.0</v>
      </c>
      <c r="P1171" s="179">
        <v>0.0018</v>
      </c>
      <c r="Q1171" s="179">
        <v>28367.44</v>
      </c>
      <c r="R1171" s="179">
        <v>39.95</v>
      </c>
      <c r="S1171" s="179">
        <v>0.0</v>
      </c>
      <c r="T1171" s="179">
        <v>5.0</v>
      </c>
      <c r="U1171" s="179">
        <v>103199.1</v>
      </c>
      <c r="V1171" s="179">
        <v>0.2749</v>
      </c>
      <c r="W1171" s="179">
        <v>3.6379</v>
      </c>
      <c r="X1171" s="179">
        <v>0.0</v>
      </c>
      <c r="Y1171" s="179">
        <v>0.0</v>
      </c>
      <c r="Z1171" s="179">
        <v>0.0</v>
      </c>
      <c r="AA1171" s="179">
        <v>0.0</v>
      </c>
      <c r="AB1171" s="179">
        <v>0.0</v>
      </c>
      <c r="AC1171" s="179">
        <v>0.0</v>
      </c>
      <c r="AD1171" s="179">
        <v>0.0</v>
      </c>
      <c r="AE1171" s="179">
        <v>0.0</v>
      </c>
      <c r="AF1171" s="179">
        <v>0.0</v>
      </c>
      <c r="AG1171" s="179">
        <v>0.0</v>
      </c>
      <c r="AH1171" s="179">
        <v>0.0</v>
      </c>
      <c r="AI1171" s="179">
        <v>0.0</v>
      </c>
      <c r="AJ1171" s="179">
        <v>0.0</v>
      </c>
    </row>
    <row r="1172" ht="15.75" customHeight="1">
      <c r="A1172" s="65">
        <v>45717.0</v>
      </c>
      <c r="B1172" s="179" t="s">
        <v>771</v>
      </c>
      <c r="C1172" s="179" t="s">
        <v>937</v>
      </c>
      <c r="D1172" s="179" t="s">
        <v>773</v>
      </c>
      <c r="E1172" s="179" t="s">
        <v>459</v>
      </c>
      <c r="F1172" s="179" t="s">
        <v>774</v>
      </c>
      <c r="G1172" s="179" t="s">
        <v>775</v>
      </c>
      <c r="H1172" s="179" t="s">
        <v>1106</v>
      </c>
      <c r="I1172" s="179"/>
      <c r="J1172" s="179" t="s">
        <v>128</v>
      </c>
      <c r="K1172" s="179">
        <v>1000.0</v>
      </c>
      <c r="L1172" s="179" t="s">
        <v>776</v>
      </c>
      <c r="M1172" s="179" t="s">
        <v>8</v>
      </c>
      <c r="N1172" s="179">
        <v>20528.0</v>
      </c>
      <c r="O1172" s="179">
        <v>253.0</v>
      </c>
      <c r="P1172" s="179">
        <v>0.0123</v>
      </c>
      <c r="Q1172" s="179">
        <v>9001.79</v>
      </c>
      <c r="R1172" s="179">
        <v>35.58</v>
      </c>
      <c r="S1172" s="179">
        <v>0.0</v>
      </c>
      <c r="T1172" s="179">
        <v>7.0</v>
      </c>
      <c r="U1172" s="179">
        <v>127457.6</v>
      </c>
      <c r="V1172" s="179">
        <v>0.0706</v>
      </c>
      <c r="W1172" s="179">
        <v>14.1591</v>
      </c>
      <c r="X1172" s="179">
        <v>0.0</v>
      </c>
      <c r="Y1172" s="179">
        <v>0.0</v>
      </c>
      <c r="Z1172" s="179">
        <v>0.0</v>
      </c>
      <c r="AA1172" s="179">
        <v>0.0</v>
      </c>
      <c r="AB1172" s="179">
        <v>0.0</v>
      </c>
      <c r="AC1172" s="179">
        <v>0.0</v>
      </c>
      <c r="AD1172" s="179">
        <v>0.0</v>
      </c>
      <c r="AE1172" s="179">
        <v>0.0</v>
      </c>
      <c r="AF1172" s="179">
        <v>0.0</v>
      </c>
      <c r="AG1172" s="179">
        <v>0.0</v>
      </c>
      <c r="AH1172" s="179">
        <v>0.0</v>
      </c>
      <c r="AI1172" s="179">
        <v>0.0</v>
      </c>
      <c r="AJ1172" s="179">
        <v>0.0</v>
      </c>
    </row>
    <row r="1173" ht="15.75" customHeight="1">
      <c r="A1173" s="65">
        <v>45717.0</v>
      </c>
      <c r="B1173" s="179" t="s">
        <v>771</v>
      </c>
      <c r="C1173" s="179" t="s">
        <v>932</v>
      </c>
      <c r="D1173" s="179" t="s">
        <v>773</v>
      </c>
      <c r="E1173" s="179" t="s">
        <v>459</v>
      </c>
      <c r="F1173" s="179" t="s">
        <v>774</v>
      </c>
      <c r="G1173" s="179" t="s">
        <v>775</v>
      </c>
      <c r="H1173" s="179" t="s">
        <v>1106</v>
      </c>
      <c r="I1173" s="179"/>
      <c r="J1173" s="179" t="s">
        <v>128</v>
      </c>
      <c r="K1173" s="179">
        <v>1000.0</v>
      </c>
      <c r="L1173" s="179" t="s">
        <v>776</v>
      </c>
      <c r="M1173" s="179" t="s">
        <v>8</v>
      </c>
      <c r="N1173" s="179">
        <v>11194.0</v>
      </c>
      <c r="O1173" s="179">
        <v>76.0</v>
      </c>
      <c r="P1173" s="179">
        <v>0.0068</v>
      </c>
      <c r="Q1173" s="179">
        <v>2160.09</v>
      </c>
      <c r="R1173" s="179">
        <v>28.42</v>
      </c>
      <c r="S1173" s="179">
        <v>0.0</v>
      </c>
      <c r="T1173" s="179">
        <v>6.0</v>
      </c>
      <c r="U1173" s="179">
        <v>168279.7</v>
      </c>
      <c r="V1173" s="179">
        <v>0.0128</v>
      </c>
      <c r="W1173" s="179">
        <v>77.904</v>
      </c>
      <c r="X1173" s="179">
        <v>0.0</v>
      </c>
      <c r="Y1173" s="179">
        <v>0.0</v>
      </c>
      <c r="Z1173" s="179">
        <v>0.0</v>
      </c>
      <c r="AA1173" s="179">
        <v>0.0</v>
      </c>
      <c r="AB1173" s="179">
        <v>0.0</v>
      </c>
      <c r="AC1173" s="179">
        <v>0.0</v>
      </c>
      <c r="AD1173" s="179">
        <v>0.0</v>
      </c>
      <c r="AE1173" s="179">
        <v>0.0</v>
      </c>
      <c r="AF1173" s="179">
        <v>0.0</v>
      </c>
      <c r="AG1173" s="179">
        <v>0.0</v>
      </c>
      <c r="AH1173" s="179">
        <v>0.0</v>
      </c>
      <c r="AI1173" s="179">
        <v>0.0</v>
      </c>
      <c r="AJ1173" s="179">
        <v>0.0</v>
      </c>
    </row>
    <row r="1174" ht="15.75" customHeight="1">
      <c r="A1174" s="65">
        <v>45717.0</v>
      </c>
      <c r="B1174" s="179" t="s">
        <v>771</v>
      </c>
      <c r="C1174" s="179" t="s">
        <v>938</v>
      </c>
      <c r="D1174" s="179" t="s">
        <v>773</v>
      </c>
      <c r="E1174" s="179" t="s">
        <v>459</v>
      </c>
      <c r="F1174" s="179" t="s">
        <v>774</v>
      </c>
      <c r="G1174" s="179" t="s">
        <v>775</v>
      </c>
      <c r="H1174" s="179" t="s">
        <v>1106</v>
      </c>
      <c r="I1174" s="179"/>
      <c r="J1174" s="179" t="s">
        <v>128</v>
      </c>
      <c r="K1174" s="179">
        <v>1000.0</v>
      </c>
      <c r="L1174" s="179" t="s">
        <v>776</v>
      </c>
      <c r="M1174" s="179" t="s">
        <v>8</v>
      </c>
      <c r="N1174" s="179">
        <v>5158.0</v>
      </c>
      <c r="O1174" s="179">
        <v>76.0</v>
      </c>
      <c r="P1174" s="179">
        <v>0.0147</v>
      </c>
      <c r="Q1174" s="179">
        <v>2437.8</v>
      </c>
      <c r="R1174" s="179">
        <v>32.08</v>
      </c>
      <c r="S1174" s="179">
        <v>0.0</v>
      </c>
      <c r="T1174" s="179">
        <v>3.0</v>
      </c>
      <c r="U1174" s="179">
        <v>59079.68</v>
      </c>
      <c r="V1174" s="179">
        <v>0.0413</v>
      </c>
      <c r="W1174" s="179">
        <v>24.2348</v>
      </c>
      <c r="X1174" s="179">
        <v>0.0</v>
      </c>
      <c r="Y1174" s="179">
        <v>0.0</v>
      </c>
      <c r="Z1174" s="179">
        <v>0.0</v>
      </c>
      <c r="AA1174" s="179">
        <v>0.0</v>
      </c>
      <c r="AB1174" s="179">
        <v>0.0</v>
      </c>
      <c r="AC1174" s="179">
        <v>0.0</v>
      </c>
      <c r="AD1174" s="179">
        <v>0.0</v>
      </c>
      <c r="AE1174" s="179">
        <v>0.0</v>
      </c>
      <c r="AF1174" s="179">
        <v>0.0</v>
      </c>
      <c r="AG1174" s="179">
        <v>0.0</v>
      </c>
      <c r="AH1174" s="179">
        <v>0.0</v>
      </c>
      <c r="AI1174" s="179">
        <v>0.0</v>
      </c>
      <c r="AJ1174" s="179">
        <v>0.0</v>
      </c>
    </row>
    <row r="1175" ht="15.75" customHeight="1">
      <c r="A1175" s="65">
        <v>45717.0</v>
      </c>
      <c r="B1175" s="179" t="s">
        <v>771</v>
      </c>
      <c r="C1175" s="179" t="s">
        <v>1044</v>
      </c>
      <c r="D1175" s="179" t="s">
        <v>773</v>
      </c>
      <c r="E1175" s="179" t="s">
        <v>460</v>
      </c>
      <c r="F1175" s="179" t="s">
        <v>778</v>
      </c>
      <c r="G1175" s="179" t="s">
        <v>775</v>
      </c>
      <c r="H1175" s="179" t="s">
        <v>1106</v>
      </c>
      <c r="I1175" s="179"/>
      <c r="J1175" s="179" t="s">
        <v>241</v>
      </c>
      <c r="K1175" s="179">
        <v>1000.0</v>
      </c>
      <c r="L1175" s="179" t="s">
        <v>776</v>
      </c>
      <c r="M1175" s="179" t="s">
        <v>8</v>
      </c>
      <c r="N1175" s="179">
        <v>89365.0</v>
      </c>
      <c r="O1175" s="179">
        <v>197.0</v>
      </c>
      <c r="P1175" s="179">
        <v>0.0022</v>
      </c>
      <c r="Q1175" s="179">
        <v>2311.54</v>
      </c>
      <c r="R1175" s="179">
        <v>11.73</v>
      </c>
      <c r="S1175" s="179">
        <v>0.0</v>
      </c>
      <c r="T1175" s="179">
        <v>3.0</v>
      </c>
      <c r="U1175" s="179">
        <v>5590.68</v>
      </c>
      <c r="V1175" s="179">
        <v>0.4135</v>
      </c>
      <c r="W1175" s="179">
        <v>2.4186</v>
      </c>
      <c r="X1175" s="179">
        <v>0.0</v>
      </c>
      <c r="Y1175" s="179">
        <v>0.0</v>
      </c>
      <c r="Z1175" s="179">
        <v>0.0</v>
      </c>
      <c r="AA1175" s="179">
        <v>0.0</v>
      </c>
      <c r="AB1175" s="179">
        <v>0.0</v>
      </c>
      <c r="AC1175" s="179">
        <v>0.0</v>
      </c>
      <c r="AD1175" s="179">
        <v>0.0</v>
      </c>
      <c r="AE1175" s="179">
        <v>0.0</v>
      </c>
      <c r="AF1175" s="179">
        <v>0.0</v>
      </c>
      <c r="AG1175" s="179">
        <v>0.0</v>
      </c>
      <c r="AH1175" s="179">
        <v>0.0</v>
      </c>
      <c r="AI1175" s="179">
        <v>0.0</v>
      </c>
      <c r="AJ1175" s="179">
        <v>0.0</v>
      </c>
    </row>
    <row r="1176" ht="15.75" customHeight="1">
      <c r="A1176" s="65">
        <v>45717.0</v>
      </c>
      <c r="B1176" s="179" t="s">
        <v>779</v>
      </c>
      <c r="C1176" s="179" t="s">
        <v>1265</v>
      </c>
      <c r="D1176" s="179" t="s">
        <v>781</v>
      </c>
      <c r="E1176" s="179" t="s">
        <v>460</v>
      </c>
      <c r="F1176" s="179" t="s">
        <v>778</v>
      </c>
      <c r="G1176" s="179" t="s">
        <v>775</v>
      </c>
      <c r="H1176" s="179" t="s">
        <v>1106</v>
      </c>
      <c r="I1176" s="179"/>
      <c r="J1176" s="179" t="s">
        <v>158</v>
      </c>
      <c r="K1176" s="179">
        <v>1000.0</v>
      </c>
      <c r="L1176" s="179" t="s">
        <v>776</v>
      </c>
      <c r="M1176" s="179" t="s">
        <v>8</v>
      </c>
      <c r="N1176" s="179">
        <v>300296.0</v>
      </c>
      <c r="O1176" s="179">
        <v>1366.0</v>
      </c>
      <c r="P1176" s="179">
        <v>0.0045</v>
      </c>
      <c r="Q1176" s="179">
        <v>13447.15</v>
      </c>
      <c r="R1176" s="179">
        <v>9.84</v>
      </c>
      <c r="S1176" s="179">
        <v>0.0</v>
      </c>
      <c r="T1176" s="179">
        <v>23.0</v>
      </c>
      <c r="U1176" s="179">
        <v>60575.45</v>
      </c>
      <c r="V1176" s="179">
        <v>0.222</v>
      </c>
      <c r="W1176" s="179">
        <v>4.5047</v>
      </c>
      <c r="X1176" s="179">
        <v>0.0</v>
      </c>
      <c r="Y1176" s="179">
        <v>0.0</v>
      </c>
      <c r="Z1176" s="179">
        <v>0.0</v>
      </c>
      <c r="AA1176" s="179">
        <v>0.0</v>
      </c>
      <c r="AB1176" s="179">
        <v>0.0</v>
      </c>
      <c r="AC1176" s="179">
        <v>0.0</v>
      </c>
      <c r="AD1176" s="179">
        <v>0.0</v>
      </c>
      <c r="AE1176" s="179">
        <v>0.0</v>
      </c>
      <c r="AF1176" s="179">
        <v>0.0</v>
      </c>
      <c r="AG1176" s="179">
        <v>0.0</v>
      </c>
      <c r="AH1176" s="179">
        <v>0.0</v>
      </c>
      <c r="AI1176" s="179">
        <v>0.0</v>
      </c>
      <c r="AJ1176" s="179">
        <v>0.0</v>
      </c>
    </row>
    <row r="1177" ht="15.75" customHeight="1">
      <c r="A1177" s="65">
        <v>45717.0</v>
      </c>
      <c r="B1177" s="179" t="s">
        <v>771</v>
      </c>
      <c r="C1177" s="179" t="s">
        <v>1027</v>
      </c>
      <c r="D1177" s="179" t="s">
        <v>773</v>
      </c>
      <c r="E1177" s="179" t="s">
        <v>459</v>
      </c>
      <c r="F1177" s="179" t="s">
        <v>774</v>
      </c>
      <c r="G1177" s="179" t="s">
        <v>775</v>
      </c>
      <c r="H1177" s="179" t="s">
        <v>1106</v>
      </c>
      <c r="I1177" s="179"/>
      <c r="J1177" s="179" t="s">
        <v>176</v>
      </c>
      <c r="K1177" s="179">
        <v>1000.0</v>
      </c>
      <c r="L1177" s="195">
        <v>0.2781</v>
      </c>
      <c r="M1177" s="179" t="s">
        <v>8</v>
      </c>
      <c r="N1177" s="179">
        <v>54490.0</v>
      </c>
      <c r="O1177" s="179">
        <v>267.0</v>
      </c>
      <c r="P1177" s="179">
        <v>0.0049</v>
      </c>
      <c r="Q1177" s="179">
        <v>8488.09</v>
      </c>
      <c r="R1177" s="179">
        <v>31.79</v>
      </c>
      <c r="S1177" s="179">
        <v>0.0</v>
      </c>
      <c r="T1177" s="179">
        <v>4.0</v>
      </c>
      <c r="U1177" s="179">
        <v>67521.18</v>
      </c>
      <c r="V1177" s="179">
        <v>0.1257</v>
      </c>
      <c r="W1177" s="179">
        <v>7.9548</v>
      </c>
      <c r="X1177" s="179">
        <v>0.0</v>
      </c>
      <c r="Y1177" s="179">
        <v>0.0</v>
      </c>
      <c r="Z1177" s="179">
        <v>0.0</v>
      </c>
      <c r="AA1177" s="179">
        <v>0.0</v>
      </c>
      <c r="AB1177" s="179">
        <v>0.0</v>
      </c>
      <c r="AC1177" s="179">
        <v>0.0</v>
      </c>
      <c r="AD1177" s="179">
        <v>0.0</v>
      </c>
      <c r="AE1177" s="179">
        <v>0.0</v>
      </c>
      <c r="AF1177" s="179">
        <v>0.0</v>
      </c>
      <c r="AG1177" s="179">
        <v>0.0</v>
      </c>
      <c r="AH1177" s="179">
        <v>0.0</v>
      </c>
      <c r="AI1177" s="179">
        <v>0.0</v>
      </c>
      <c r="AJ1177" s="179">
        <v>0.0</v>
      </c>
    </row>
    <row r="1178" ht="15.75" customHeight="1">
      <c r="A1178" s="65">
        <v>45717.0</v>
      </c>
      <c r="B1178" s="179" t="s">
        <v>779</v>
      </c>
      <c r="C1178" s="179" t="s">
        <v>1100</v>
      </c>
      <c r="D1178" s="179" t="s">
        <v>781</v>
      </c>
      <c r="E1178" s="179" t="s">
        <v>459</v>
      </c>
      <c r="F1178" s="179" t="s">
        <v>774</v>
      </c>
      <c r="G1178" s="179" t="s">
        <v>775</v>
      </c>
      <c r="H1178" s="179" t="s">
        <v>1106</v>
      </c>
      <c r="I1178" s="179"/>
      <c r="J1178" s="179" t="s">
        <v>413</v>
      </c>
      <c r="K1178" s="179">
        <v>1000.0</v>
      </c>
      <c r="L1178" s="179" t="s">
        <v>776</v>
      </c>
      <c r="M1178" s="179" t="s">
        <v>8</v>
      </c>
      <c r="N1178" s="179">
        <v>13652.0</v>
      </c>
      <c r="O1178" s="179">
        <v>17.0</v>
      </c>
      <c r="P1178" s="179">
        <v>0.0012</v>
      </c>
      <c r="Q1178" s="179">
        <v>230.24</v>
      </c>
      <c r="R1178" s="179">
        <v>13.54</v>
      </c>
      <c r="S1178" s="179">
        <v>0.0</v>
      </c>
      <c r="T1178" s="179">
        <v>0.0</v>
      </c>
      <c r="U1178" s="179">
        <v>0.0</v>
      </c>
      <c r="V1178" s="179">
        <v>0.0</v>
      </c>
      <c r="W1178" s="179">
        <v>0.0</v>
      </c>
      <c r="X1178" s="179">
        <v>0.0</v>
      </c>
      <c r="Y1178" s="179">
        <v>0.0</v>
      </c>
      <c r="Z1178" s="179">
        <v>0.0</v>
      </c>
      <c r="AA1178" s="179">
        <v>0.0</v>
      </c>
      <c r="AB1178" s="179">
        <v>0.0</v>
      </c>
      <c r="AC1178" s="179">
        <v>0.0</v>
      </c>
      <c r="AD1178" s="179">
        <v>0.0</v>
      </c>
      <c r="AE1178" s="179">
        <v>0.0</v>
      </c>
      <c r="AF1178" s="179">
        <v>0.0</v>
      </c>
      <c r="AG1178" s="179">
        <v>0.0</v>
      </c>
      <c r="AH1178" s="179">
        <v>0.0</v>
      </c>
      <c r="AI1178" s="179">
        <v>0.0</v>
      </c>
      <c r="AJ1178" s="179">
        <v>0.0</v>
      </c>
    </row>
    <row r="1179" ht="15.75" customHeight="1">
      <c r="A1179" s="65">
        <v>45717.0</v>
      </c>
      <c r="B1179" s="179" t="s">
        <v>771</v>
      </c>
      <c r="C1179" s="179" t="s">
        <v>1087</v>
      </c>
      <c r="D1179" s="179" t="s">
        <v>773</v>
      </c>
      <c r="E1179" s="179" t="s">
        <v>459</v>
      </c>
      <c r="F1179" s="179" t="s">
        <v>774</v>
      </c>
      <c r="G1179" s="179" t="s">
        <v>775</v>
      </c>
      <c r="H1179" s="179" t="s">
        <v>1106</v>
      </c>
      <c r="I1179" s="179"/>
      <c r="J1179" s="179" t="s">
        <v>128</v>
      </c>
      <c r="K1179" s="179">
        <v>1000.0</v>
      </c>
      <c r="L1179" s="179" t="s">
        <v>776</v>
      </c>
      <c r="M1179" s="179" t="s">
        <v>8</v>
      </c>
      <c r="N1179" s="179">
        <v>36056.0</v>
      </c>
      <c r="O1179" s="179">
        <v>73.0</v>
      </c>
      <c r="P1179" s="179">
        <v>0.002</v>
      </c>
      <c r="Q1179" s="179">
        <v>1786.23</v>
      </c>
      <c r="R1179" s="179">
        <v>24.47</v>
      </c>
      <c r="S1179" s="179">
        <v>0.0</v>
      </c>
      <c r="T1179" s="179">
        <v>0.0</v>
      </c>
      <c r="U1179" s="179">
        <v>0.0</v>
      </c>
      <c r="V1179" s="179">
        <v>0.0</v>
      </c>
      <c r="W1179" s="179">
        <v>0.0</v>
      </c>
      <c r="X1179" s="179">
        <v>0.0</v>
      </c>
      <c r="Y1179" s="179">
        <v>0.0</v>
      </c>
      <c r="Z1179" s="179">
        <v>0.0</v>
      </c>
      <c r="AA1179" s="179">
        <v>0.0</v>
      </c>
      <c r="AB1179" s="179">
        <v>0.0</v>
      </c>
      <c r="AC1179" s="179">
        <v>0.0</v>
      </c>
      <c r="AD1179" s="179">
        <v>0.0</v>
      </c>
      <c r="AE1179" s="179">
        <v>0.0</v>
      </c>
      <c r="AF1179" s="179">
        <v>0.0</v>
      </c>
      <c r="AG1179" s="179">
        <v>0.0</v>
      </c>
      <c r="AH1179" s="179">
        <v>0.0</v>
      </c>
      <c r="AI1179" s="179">
        <v>0.0</v>
      </c>
      <c r="AJ1179" s="179">
        <v>0.0</v>
      </c>
    </row>
    <row r="1180" ht="15.75" customHeight="1">
      <c r="A1180" s="65">
        <v>45717.0</v>
      </c>
      <c r="B1180" s="179" t="s">
        <v>779</v>
      </c>
      <c r="C1180" s="179" t="s">
        <v>1079</v>
      </c>
      <c r="D1180" s="179" t="s">
        <v>781</v>
      </c>
      <c r="E1180" s="179" t="s">
        <v>459</v>
      </c>
      <c r="F1180" s="179" t="s">
        <v>774</v>
      </c>
      <c r="G1180" s="179" t="s">
        <v>775</v>
      </c>
      <c r="H1180" s="179" t="s">
        <v>1106</v>
      </c>
      <c r="I1180" s="179"/>
      <c r="J1180" s="179" t="s">
        <v>429</v>
      </c>
      <c r="K1180" s="179">
        <v>1000.0</v>
      </c>
      <c r="L1180" s="179" t="s">
        <v>776</v>
      </c>
      <c r="M1180" s="179" t="s">
        <v>8</v>
      </c>
      <c r="N1180" s="179">
        <v>3679.0</v>
      </c>
      <c r="O1180" s="179">
        <v>38.0</v>
      </c>
      <c r="P1180" s="179">
        <v>0.0103</v>
      </c>
      <c r="Q1180" s="179">
        <v>1450.82</v>
      </c>
      <c r="R1180" s="179">
        <v>38.18</v>
      </c>
      <c r="S1180" s="179">
        <v>0.0</v>
      </c>
      <c r="T1180" s="179">
        <v>0.0</v>
      </c>
      <c r="U1180" s="179">
        <v>0.0</v>
      </c>
      <c r="V1180" s="179">
        <v>0.0</v>
      </c>
      <c r="W1180" s="179">
        <v>0.0</v>
      </c>
      <c r="X1180" s="179">
        <v>0.0</v>
      </c>
      <c r="Y1180" s="179">
        <v>0.0</v>
      </c>
      <c r="Z1180" s="179">
        <v>0.0</v>
      </c>
      <c r="AA1180" s="179">
        <v>0.0</v>
      </c>
      <c r="AB1180" s="179">
        <v>0.0</v>
      </c>
      <c r="AC1180" s="179">
        <v>0.0</v>
      </c>
      <c r="AD1180" s="179">
        <v>0.0</v>
      </c>
      <c r="AE1180" s="179">
        <v>0.0</v>
      </c>
      <c r="AF1180" s="179">
        <v>0.0</v>
      </c>
      <c r="AG1180" s="179">
        <v>0.0</v>
      </c>
      <c r="AH1180" s="179">
        <v>0.0</v>
      </c>
      <c r="AI1180" s="179">
        <v>0.0</v>
      </c>
      <c r="AJ1180" s="179">
        <v>0.0</v>
      </c>
    </row>
    <row r="1181" ht="15.75" customHeight="1">
      <c r="A1181" s="65">
        <v>45717.0</v>
      </c>
      <c r="B1181" s="179" t="s">
        <v>771</v>
      </c>
      <c r="C1181" s="179" t="s">
        <v>1114</v>
      </c>
      <c r="D1181" s="179" t="s">
        <v>773</v>
      </c>
      <c r="E1181" s="179" t="s">
        <v>459</v>
      </c>
      <c r="F1181" s="179" t="s">
        <v>774</v>
      </c>
      <c r="G1181" s="179" t="s">
        <v>775</v>
      </c>
      <c r="H1181" s="179" t="s">
        <v>1106</v>
      </c>
      <c r="I1181" s="179"/>
      <c r="J1181" s="179" t="s">
        <v>429</v>
      </c>
      <c r="K1181" s="179">
        <v>1000.0</v>
      </c>
      <c r="L1181" s="195">
        <v>0.0566</v>
      </c>
      <c r="M1181" s="179" t="s">
        <v>8</v>
      </c>
      <c r="N1181" s="179">
        <v>30530.0</v>
      </c>
      <c r="O1181" s="179">
        <v>238.0</v>
      </c>
      <c r="P1181" s="179">
        <v>0.0078</v>
      </c>
      <c r="Q1181" s="179">
        <v>10039.53</v>
      </c>
      <c r="R1181" s="179">
        <v>42.18</v>
      </c>
      <c r="S1181" s="179">
        <v>0.0</v>
      </c>
      <c r="T1181" s="179">
        <v>4.0</v>
      </c>
      <c r="U1181" s="179">
        <v>56788.14</v>
      </c>
      <c r="V1181" s="179">
        <v>0.1768</v>
      </c>
      <c r="W1181" s="179">
        <v>5.6565</v>
      </c>
      <c r="X1181" s="179">
        <v>0.0</v>
      </c>
      <c r="Y1181" s="179">
        <v>0.0</v>
      </c>
      <c r="Z1181" s="179">
        <v>0.0</v>
      </c>
      <c r="AA1181" s="179">
        <v>0.0</v>
      </c>
      <c r="AB1181" s="179">
        <v>0.0</v>
      </c>
      <c r="AC1181" s="179">
        <v>0.0</v>
      </c>
      <c r="AD1181" s="179">
        <v>0.0</v>
      </c>
      <c r="AE1181" s="179">
        <v>0.0</v>
      </c>
      <c r="AF1181" s="179">
        <v>0.0</v>
      </c>
      <c r="AG1181" s="179">
        <v>0.0</v>
      </c>
      <c r="AH1181" s="179">
        <v>0.0</v>
      </c>
      <c r="AI1181" s="179">
        <v>0.0</v>
      </c>
      <c r="AJ1181" s="179">
        <v>0.0</v>
      </c>
    </row>
    <row r="1182" ht="15.75" customHeight="1">
      <c r="A1182" s="65">
        <v>45717.0</v>
      </c>
      <c r="B1182" s="179" t="s">
        <v>779</v>
      </c>
      <c r="C1182" s="179" t="s">
        <v>1194</v>
      </c>
      <c r="D1182" s="179" t="s">
        <v>781</v>
      </c>
      <c r="E1182" s="179" t="s">
        <v>459</v>
      </c>
      <c r="F1182" s="179" t="s">
        <v>774</v>
      </c>
      <c r="G1182" s="179" t="s">
        <v>775</v>
      </c>
      <c r="H1182" s="179" t="s">
        <v>1106</v>
      </c>
      <c r="I1182" s="179"/>
      <c r="J1182" s="179" t="s">
        <v>429</v>
      </c>
      <c r="K1182" s="179">
        <v>1000.0</v>
      </c>
      <c r="L1182" s="179" t="s">
        <v>776</v>
      </c>
      <c r="M1182" s="179" t="s">
        <v>8</v>
      </c>
      <c r="N1182" s="179">
        <v>43468.0</v>
      </c>
      <c r="O1182" s="179">
        <v>200.0</v>
      </c>
      <c r="P1182" s="179">
        <v>0.0046</v>
      </c>
      <c r="Q1182" s="179">
        <v>7097.08</v>
      </c>
      <c r="R1182" s="179">
        <v>35.49</v>
      </c>
      <c r="S1182" s="179">
        <v>0.0</v>
      </c>
      <c r="T1182" s="179">
        <v>0.0</v>
      </c>
      <c r="U1182" s="179">
        <v>0.0</v>
      </c>
      <c r="V1182" s="179">
        <v>0.0</v>
      </c>
      <c r="W1182" s="179">
        <v>0.0</v>
      </c>
      <c r="X1182" s="179">
        <v>0.0</v>
      </c>
      <c r="Y1182" s="179">
        <v>0.0</v>
      </c>
      <c r="Z1182" s="179">
        <v>0.0</v>
      </c>
      <c r="AA1182" s="179">
        <v>0.0</v>
      </c>
      <c r="AB1182" s="179">
        <v>0.0</v>
      </c>
      <c r="AC1182" s="179">
        <v>0.0</v>
      </c>
      <c r="AD1182" s="179">
        <v>0.0</v>
      </c>
      <c r="AE1182" s="179">
        <v>0.0</v>
      </c>
      <c r="AF1182" s="179">
        <v>0.0</v>
      </c>
      <c r="AG1182" s="179">
        <v>0.0</v>
      </c>
      <c r="AH1182" s="179">
        <v>0.0</v>
      </c>
      <c r="AI1182" s="179">
        <v>0.0</v>
      </c>
      <c r="AJ1182" s="179">
        <v>0.0</v>
      </c>
    </row>
    <row r="1183" ht="15.75" customHeight="1">
      <c r="A1183" s="65">
        <v>45717.0</v>
      </c>
      <c r="B1183" s="179" t="s">
        <v>771</v>
      </c>
      <c r="C1183" s="179" t="s">
        <v>1201</v>
      </c>
      <c r="D1183" s="179" t="s">
        <v>773</v>
      </c>
      <c r="E1183" s="179" t="s">
        <v>459</v>
      </c>
      <c r="F1183" s="179" t="s">
        <v>774</v>
      </c>
      <c r="G1183" s="179" t="s">
        <v>775</v>
      </c>
      <c r="H1183" s="179" t="s">
        <v>1106</v>
      </c>
      <c r="I1183" s="179"/>
      <c r="J1183" s="179" t="s">
        <v>128</v>
      </c>
      <c r="K1183" s="179">
        <v>1000.0</v>
      </c>
      <c r="L1183" s="179" t="s">
        <v>776</v>
      </c>
      <c r="M1183" s="179" t="s">
        <v>8</v>
      </c>
      <c r="N1183" s="179">
        <v>3674.0</v>
      </c>
      <c r="O1183" s="179">
        <v>10.0</v>
      </c>
      <c r="P1183" s="179">
        <v>0.0027</v>
      </c>
      <c r="Q1183" s="179">
        <v>340.21</v>
      </c>
      <c r="R1183" s="179">
        <v>34.02</v>
      </c>
      <c r="S1183" s="179">
        <v>0.0</v>
      </c>
      <c r="T1183" s="179">
        <v>0.0</v>
      </c>
      <c r="U1183" s="179">
        <v>0.0</v>
      </c>
      <c r="V1183" s="179">
        <v>0.0</v>
      </c>
      <c r="W1183" s="179">
        <v>0.0</v>
      </c>
      <c r="X1183" s="179">
        <v>0.0</v>
      </c>
      <c r="Y1183" s="179">
        <v>0.0</v>
      </c>
      <c r="Z1183" s="179">
        <v>0.0</v>
      </c>
      <c r="AA1183" s="179">
        <v>0.0</v>
      </c>
      <c r="AB1183" s="179">
        <v>0.0</v>
      </c>
      <c r="AC1183" s="179">
        <v>0.0</v>
      </c>
      <c r="AD1183" s="179">
        <v>0.0</v>
      </c>
      <c r="AE1183" s="179">
        <v>0.0</v>
      </c>
      <c r="AF1183" s="179">
        <v>0.0</v>
      </c>
      <c r="AG1183" s="179">
        <v>0.0</v>
      </c>
      <c r="AH1183" s="179">
        <v>0.0</v>
      </c>
      <c r="AI1183" s="179">
        <v>0.0</v>
      </c>
      <c r="AJ1183" s="179">
        <v>0.0</v>
      </c>
    </row>
    <row r="1184" ht="15.75" customHeight="1">
      <c r="A1184" s="65">
        <v>45717.0</v>
      </c>
      <c r="B1184" s="179" t="s">
        <v>771</v>
      </c>
      <c r="C1184" s="179" t="s">
        <v>1155</v>
      </c>
      <c r="D1184" s="179" t="s">
        <v>773</v>
      </c>
      <c r="E1184" s="179" t="s">
        <v>459</v>
      </c>
      <c r="F1184" s="179" t="s">
        <v>774</v>
      </c>
      <c r="G1184" s="179" t="s">
        <v>775</v>
      </c>
      <c r="H1184" s="179" t="s">
        <v>1106</v>
      </c>
      <c r="I1184" s="179"/>
      <c r="J1184" s="179" t="s">
        <v>128</v>
      </c>
      <c r="K1184" s="179">
        <v>1000.0</v>
      </c>
      <c r="L1184" s="179" t="s">
        <v>776</v>
      </c>
      <c r="M1184" s="179" t="s">
        <v>8</v>
      </c>
      <c r="N1184" s="179">
        <v>9673.0</v>
      </c>
      <c r="O1184" s="179">
        <v>82.0</v>
      </c>
      <c r="P1184" s="179">
        <v>0.0085</v>
      </c>
      <c r="Q1184" s="179">
        <v>2431.27</v>
      </c>
      <c r="R1184" s="179">
        <v>29.65</v>
      </c>
      <c r="S1184" s="179">
        <v>0.0</v>
      </c>
      <c r="T1184" s="179">
        <v>3.0</v>
      </c>
      <c r="U1184" s="179">
        <v>50715.27</v>
      </c>
      <c r="V1184" s="179">
        <v>0.0479</v>
      </c>
      <c r="W1184" s="179">
        <v>20.8596</v>
      </c>
      <c r="X1184" s="179">
        <v>0.0</v>
      </c>
      <c r="Y1184" s="179">
        <v>0.0</v>
      </c>
      <c r="Z1184" s="179">
        <v>0.0</v>
      </c>
      <c r="AA1184" s="179">
        <v>0.0</v>
      </c>
      <c r="AB1184" s="179">
        <v>0.0</v>
      </c>
      <c r="AC1184" s="179">
        <v>0.0</v>
      </c>
      <c r="AD1184" s="179">
        <v>0.0</v>
      </c>
      <c r="AE1184" s="179">
        <v>0.0</v>
      </c>
      <c r="AF1184" s="179">
        <v>0.0</v>
      </c>
      <c r="AG1184" s="179">
        <v>0.0</v>
      </c>
      <c r="AH1184" s="179">
        <v>0.0</v>
      </c>
      <c r="AI1184" s="179">
        <v>0.0</v>
      </c>
      <c r="AJ1184" s="179">
        <v>0.0</v>
      </c>
    </row>
    <row r="1185" ht="15.75" customHeight="1">
      <c r="A1185" s="65">
        <v>45717.0</v>
      </c>
      <c r="B1185" s="179" t="s">
        <v>771</v>
      </c>
      <c r="C1185" s="179" t="s">
        <v>1167</v>
      </c>
      <c r="D1185" s="179" t="s">
        <v>773</v>
      </c>
      <c r="E1185" s="179" t="s">
        <v>459</v>
      </c>
      <c r="F1185" s="179" t="s">
        <v>774</v>
      </c>
      <c r="G1185" s="179" t="s">
        <v>775</v>
      </c>
      <c r="H1185" s="179" t="s">
        <v>1106</v>
      </c>
      <c r="I1185" s="179"/>
      <c r="J1185" s="179" t="s">
        <v>182</v>
      </c>
      <c r="K1185" s="179">
        <v>1000.0</v>
      </c>
      <c r="L1185" s="195">
        <v>0.0693</v>
      </c>
      <c r="M1185" s="179" t="s">
        <v>8</v>
      </c>
      <c r="N1185" s="179">
        <v>11886.0</v>
      </c>
      <c r="O1185" s="179">
        <v>103.0</v>
      </c>
      <c r="P1185" s="179">
        <v>0.0087</v>
      </c>
      <c r="Q1185" s="179">
        <v>10330.93</v>
      </c>
      <c r="R1185" s="179">
        <v>100.3</v>
      </c>
      <c r="S1185" s="179">
        <v>0.0</v>
      </c>
      <c r="T1185" s="179">
        <v>0.0</v>
      </c>
      <c r="U1185" s="179">
        <v>0.0</v>
      </c>
      <c r="V1185" s="179">
        <v>0.0</v>
      </c>
      <c r="W1185" s="179">
        <v>0.0</v>
      </c>
      <c r="X1185" s="179">
        <v>0.0</v>
      </c>
      <c r="Y1185" s="179">
        <v>0.0</v>
      </c>
      <c r="Z1185" s="179">
        <v>0.0</v>
      </c>
      <c r="AA1185" s="179">
        <v>0.0</v>
      </c>
      <c r="AB1185" s="179">
        <v>0.0</v>
      </c>
      <c r="AC1185" s="179">
        <v>0.0</v>
      </c>
      <c r="AD1185" s="179">
        <v>0.0</v>
      </c>
      <c r="AE1185" s="179">
        <v>0.0</v>
      </c>
      <c r="AF1185" s="179">
        <v>0.0</v>
      </c>
      <c r="AG1185" s="179">
        <v>0.0</v>
      </c>
      <c r="AH1185" s="179">
        <v>0.0</v>
      </c>
      <c r="AI1185" s="179">
        <v>0.0</v>
      </c>
      <c r="AJ1185" s="179">
        <v>0.0</v>
      </c>
    </row>
    <row r="1186" ht="15.75" customHeight="1">
      <c r="A1186" s="65">
        <v>45717.0</v>
      </c>
      <c r="B1186" s="179" t="s">
        <v>771</v>
      </c>
      <c r="C1186" s="179" t="s">
        <v>1227</v>
      </c>
      <c r="D1186" s="179" t="s">
        <v>773</v>
      </c>
      <c r="E1186" s="179" t="s">
        <v>459</v>
      </c>
      <c r="F1186" s="179" t="s">
        <v>774</v>
      </c>
      <c r="G1186" s="179" t="s">
        <v>775</v>
      </c>
      <c r="H1186" s="179" t="s">
        <v>1106</v>
      </c>
      <c r="I1186" s="179"/>
      <c r="J1186" s="179" t="s">
        <v>429</v>
      </c>
      <c r="K1186" s="179">
        <v>1000.0</v>
      </c>
      <c r="L1186" s="179" t="s">
        <v>776</v>
      </c>
      <c r="M1186" s="179" t="s">
        <v>8</v>
      </c>
      <c r="N1186" s="179">
        <v>111580.0</v>
      </c>
      <c r="O1186" s="179">
        <v>229.0</v>
      </c>
      <c r="P1186" s="179">
        <v>0.0021</v>
      </c>
      <c r="Q1186" s="179">
        <v>12730.27</v>
      </c>
      <c r="R1186" s="179">
        <v>55.59</v>
      </c>
      <c r="S1186" s="179">
        <v>0.0</v>
      </c>
      <c r="T1186" s="179">
        <v>1.0</v>
      </c>
      <c r="U1186" s="179">
        <v>13110.17</v>
      </c>
      <c r="V1186" s="179">
        <v>0.971</v>
      </c>
      <c r="W1186" s="179">
        <v>1.0298</v>
      </c>
      <c r="X1186" s="179">
        <v>0.0</v>
      </c>
      <c r="Y1186" s="179">
        <v>0.0</v>
      </c>
      <c r="Z1186" s="179">
        <v>0.0</v>
      </c>
      <c r="AA1186" s="179">
        <v>0.0</v>
      </c>
      <c r="AB1186" s="179">
        <v>0.0</v>
      </c>
      <c r="AC1186" s="179">
        <v>0.0</v>
      </c>
      <c r="AD1186" s="179">
        <v>0.0</v>
      </c>
      <c r="AE1186" s="179">
        <v>0.0</v>
      </c>
      <c r="AF1186" s="179">
        <v>0.0</v>
      </c>
      <c r="AG1186" s="179">
        <v>0.0</v>
      </c>
      <c r="AH1186" s="179">
        <v>0.0</v>
      </c>
      <c r="AI1186" s="179">
        <v>0.0</v>
      </c>
      <c r="AJ1186" s="179">
        <v>0.0</v>
      </c>
    </row>
    <row r="1187" ht="15.75" customHeight="1">
      <c r="A1187" s="65">
        <v>45717.0</v>
      </c>
      <c r="B1187" s="179" t="s">
        <v>779</v>
      </c>
      <c r="C1187" s="179" t="s">
        <v>1229</v>
      </c>
      <c r="D1187" s="179" t="s">
        <v>781</v>
      </c>
      <c r="E1187" s="179" t="s">
        <v>459</v>
      </c>
      <c r="F1187" s="179" t="s">
        <v>774</v>
      </c>
      <c r="G1187" s="179" t="s">
        <v>775</v>
      </c>
      <c r="H1187" s="179" t="s">
        <v>1106</v>
      </c>
      <c r="I1187" s="179"/>
      <c r="J1187" s="179" t="s">
        <v>182</v>
      </c>
      <c r="K1187" s="179">
        <v>1000.0</v>
      </c>
      <c r="L1187" s="179" t="s">
        <v>776</v>
      </c>
      <c r="M1187" s="179" t="s">
        <v>8</v>
      </c>
      <c r="N1187" s="179">
        <v>20992.0</v>
      </c>
      <c r="O1187" s="179">
        <v>65.0</v>
      </c>
      <c r="P1187" s="179">
        <v>0.0031</v>
      </c>
      <c r="Q1187" s="179">
        <v>5081.51</v>
      </c>
      <c r="R1187" s="179">
        <v>78.18</v>
      </c>
      <c r="S1187" s="179">
        <v>0.0</v>
      </c>
      <c r="T1187" s="179">
        <v>0.0</v>
      </c>
      <c r="U1187" s="179">
        <v>0.0</v>
      </c>
      <c r="V1187" s="179">
        <v>0.0</v>
      </c>
      <c r="W1187" s="179">
        <v>0.0</v>
      </c>
      <c r="X1187" s="179">
        <v>0.0</v>
      </c>
      <c r="Y1187" s="179">
        <v>0.0</v>
      </c>
      <c r="Z1187" s="179">
        <v>0.0</v>
      </c>
      <c r="AA1187" s="179">
        <v>0.0</v>
      </c>
      <c r="AB1187" s="179">
        <v>0.0</v>
      </c>
      <c r="AC1187" s="179">
        <v>0.0</v>
      </c>
      <c r="AD1187" s="179">
        <v>0.0</v>
      </c>
      <c r="AE1187" s="179">
        <v>0.0</v>
      </c>
      <c r="AF1187" s="179">
        <v>0.0</v>
      </c>
      <c r="AG1187" s="179">
        <v>0.0</v>
      </c>
      <c r="AH1187" s="179">
        <v>0.0</v>
      </c>
      <c r="AI1187" s="179">
        <v>0.0</v>
      </c>
      <c r="AJ1187" s="179">
        <v>0.0</v>
      </c>
    </row>
    <row r="1188" ht="15.75" customHeight="1">
      <c r="A1188" s="65">
        <v>45717.0</v>
      </c>
      <c r="B1188" s="179" t="s">
        <v>771</v>
      </c>
      <c r="C1188" s="179" t="s">
        <v>1230</v>
      </c>
      <c r="D1188" s="179" t="s">
        <v>773</v>
      </c>
      <c r="E1188" s="179" t="s">
        <v>459</v>
      </c>
      <c r="F1188" s="179" t="s">
        <v>774</v>
      </c>
      <c r="G1188" s="179" t="s">
        <v>775</v>
      </c>
      <c r="H1188" s="179" t="s">
        <v>1106</v>
      </c>
      <c r="I1188" s="179"/>
      <c r="J1188" s="179" t="s">
        <v>429</v>
      </c>
      <c r="K1188" s="179">
        <v>1000.0</v>
      </c>
      <c r="L1188" s="195">
        <v>0.0861</v>
      </c>
      <c r="M1188" s="179" t="s">
        <v>8</v>
      </c>
      <c r="N1188" s="179">
        <v>10625.0</v>
      </c>
      <c r="O1188" s="179">
        <v>219.0</v>
      </c>
      <c r="P1188" s="179">
        <v>0.0206</v>
      </c>
      <c r="Q1188" s="179">
        <v>12989.91</v>
      </c>
      <c r="R1188" s="179">
        <v>59.31</v>
      </c>
      <c r="S1188" s="179">
        <v>0.0</v>
      </c>
      <c r="T1188" s="179">
        <v>2.0</v>
      </c>
      <c r="U1188" s="179">
        <v>36423.72</v>
      </c>
      <c r="V1188" s="179">
        <v>0.3566</v>
      </c>
      <c r="W1188" s="179">
        <v>2.804</v>
      </c>
      <c r="X1188" s="179">
        <v>0.0</v>
      </c>
      <c r="Y1188" s="179">
        <v>0.0</v>
      </c>
      <c r="Z1188" s="179">
        <v>0.0</v>
      </c>
      <c r="AA1188" s="179">
        <v>0.0</v>
      </c>
      <c r="AB1188" s="179">
        <v>0.0</v>
      </c>
      <c r="AC1188" s="179">
        <v>0.0</v>
      </c>
      <c r="AD1188" s="179">
        <v>0.0</v>
      </c>
      <c r="AE1188" s="179">
        <v>0.0</v>
      </c>
      <c r="AF1188" s="179">
        <v>0.0</v>
      </c>
      <c r="AG1188" s="179">
        <v>0.0</v>
      </c>
      <c r="AH1188" s="179">
        <v>0.0</v>
      </c>
      <c r="AI1188" s="179">
        <v>0.0</v>
      </c>
      <c r="AJ1188" s="179">
        <v>0.0</v>
      </c>
    </row>
    <row r="1189" ht="15.75" customHeight="1">
      <c r="A1189" s="65">
        <v>45717.0</v>
      </c>
      <c r="B1189" s="179" t="s">
        <v>779</v>
      </c>
      <c r="C1189" s="179" t="s">
        <v>1232</v>
      </c>
      <c r="D1189" s="179" t="s">
        <v>781</v>
      </c>
      <c r="E1189" s="179" t="s">
        <v>459</v>
      </c>
      <c r="F1189" s="179" t="s">
        <v>774</v>
      </c>
      <c r="G1189" s="179" t="s">
        <v>775</v>
      </c>
      <c r="H1189" s="179" t="s">
        <v>1106</v>
      </c>
      <c r="I1189" s="179"/>
      <c r="J1189" s="179" t="s">
        <v>429</v>
      </c>
      <c r="K1189" s="179">
        <v>1000.0</v>
      </c>
      <c r="L1189" s="195">
        <v>0.1001</v>
      </c>
      <c r="M1189" s="179" t="s">
        <v>8</v>
      </c>
      <c r="N1189" s="179">
        <v>9218.0</v>
      </c>
      <c r="O1189" s="179">
        <v>131.0</v>
      </c>
      <c r="P1189" s="179">
        <v>0.0142</v>
      </c>
      <c r="Q1189" s="179">
        <v>10445.34</v>
      </c>
      <c r="R1189" s="179">
        <v>79.74</v>
      </c>
      <c r="S1189" s="179">
        <v>0.0</v>
      </c>
      <c r="T1189" s="179">
        <v>0.0</v>
      </c>
      <c r="U1189" s="179">
        <v>0.0</v>
      </c>
      <c r="V1189" s="179">
        <v>0.0</v>
      </c>
      <c r="W1189" s="179">
        <v>0.0</v>
      </c>
      <c r="X1189" s="179">
        <v>0.0</v>
      </c>
      <c r="Y1189" s="179">
        <v>0.0</v>
      </c>
      <c r="Z1189" s="179">
        <v>0.0</v>
      </c>
      <c r="AA1189" s="179">
        <v>0.0</v>
      </c>
      <c r="AB1189" s="179">
        <v>0.0</v>
      </c>
      <c r="AC1189" s="179">
        <v>0.0</v>
      </c>
      <c r="AD1189" s="179">
        <v>0.0</v>
      </c>
      <c r="AE1189" s="179">
        <v>0.0</v>
      </c>
      <c r="AF1189" s="179">
        <v>0.0</v>
      </c>
      <c r="AG1189" s="179">
        <v>0.0</v>
      </c>
      <c r="AH1189" s="179">
        <v>0.0</v>
      </c>
      <c r="AI1189" s="179">
        <v>0.0</v>
      </c>
      <c r="AJ1189" s="179">
        <v>0.0</v>
      </c>
    </row>
    <row r="1190" ht="15.75" customHeight="1">
      <c r="A1190" s="65">
        <v>45717.0</v>
      </c>
      <c r="B1190" s="179" t="s">
        <v>779</v>
      </c>
      <c r="C1190" s="179" t="s">
        <v>1233</v>
      </c>
      <c r="D1190" s="179" t="s">
        <v>781</v>
      </c>
      <c r="E1190" s="179" t="s">
        <v>459</v>
      </c>
      <c r="F1190" s="179" t="s">
        <v>774</v>
      </c>
      <c r="G1190" s="179" t="s">
        <v>775</v>
      </c>
      <c r="H1190" s="179" t="s">
        <v>1106</v>
      </c>
      <c r="I1190" s="179"/>
      <c r="J1190" s="179" t="s">
        <v>182</v>
      </c>
      <c r="K1190" s="179">
        <v>1000.0</v>
      </c>
      <c r="L1190" s="195">
        <v>0.0774</v>
      </c>
      <c r="M1190" s="179" t="s">
        <v>8</v>
      </c>
      <c r="N1190" s="179">
        <v>7574.0</v>
      </c>
      <c r="O1190" s="179">
        <v>65.0</v>
      </c>
      <c r="P1190" s="179">
        <v>0.0086</v>
      </c>
      <c r="Q1190" s="179">
        <v>6074.56</v>
      </c>
      <c r="R1190" s="179">
        <v>93.45</v>
      </c>
      <c r="S1190" s="179">
        <v>0.0</v>
      </c>
      <c r="T1190" s="179">
        <v>0.0</v>
      </c>
      <c r="U1190" s="179">
        <v>0.0</v>
      </c>
      <c r="V1190" s="179">
        <v>0.0</v>
      </c>
      <c r="W1190" s="179">
        <v>0.0</v>
      </c>
      <c r="X1190" s="179">
        <v>0.0</v>
      </c>
      <c r="Y1190" s="179">
        <v>0.0</v>
      </c>
      <c r="Z1190" s="179">
        <v>0.0</v>
      </c>
      <c r="AA1190" s="179">
        <v>0.0</v>
      </c>
      <c r="AB1190" s="179">
        <v>0.0</v>
      </c>
      <c r="AC1190" s="179">
        <v>0.0</v>
      </c>
      <c r="AD1190" s="179">
        <v>0.0</v>
      </c>
      <c r="AE1190" s="179">
        <v>0.0</v>
      </c>
      <c r="AF1190" s="179">
        <v>0.0</v>
      </c>
      <c r="AG1190" s="179">
        <v>0.0</v>
      </c>
      <c r="AH1190" s="179">
        <v>0.0</v>
      </c>
      <c r="AI1190" s="179">
        <v>0.0</v>
      </c>
      <c r="AJ1190" s="179">
        <v>0.0</v>
      </c>
    </row>
    <row r="1191" ht="15.75" customHeight="1">
      <c r="A1191" s="65">
        <v>45717.0</v>
      </c>
      <c r="B1191" s="179" t="s">
        <v>771</v>
      </c>
      <c r="C1191" s="179" t="s">
        <v>1169</v>
      </c>
      <c r="D1191" s="179" t="s">
        <v>773</v>
      </c>
      <c r="E1191" s="179" t="s">
        <v>459</v>
      </c>
      <c r="F1191" s="179" t="s">
        <v>774</v>
      </c>
      <c r="G1191" s="179" t="s">
        <v>775</v>
      </c>
      <c r="H1191" s="179" t="s">
        <v>1106</v>
      </c>
      <c r="I1191" s="179"/>
      <c r="J1191" s="179" t="s">
        <v>429</v>
      </c>
      <c r="K1191" s="179">
        <v>1000.0</v>
      </c>
      <c r="L1191" s="179" t="s">
        <v>776</v>
      </c>
      <c r="M1191" s="179" t="s">
        <v>8</v>
      </c>
      <c r="N1191" s="179">
        <v>44851.0</v>
      </c>
      <c r="O1191" s="179">
        <v>145.0</v>
      </c>
      <c r="P1191" s="179">
        <v>0.0032</v>
      </c>
      <c r="Q1191" s="179">
        <v>4756.9</v>
      </c>
      <c r="R1191" s="179">
        <v>32.81</v>
      </c>
      <c r="S1191" s="179">
        <v>0.0</v>
      </c>
      <c r="T1191" s="179">
        <v>1.0</v>
      </c>
      <c r="U1191" s="179">
        <v>13262.72</v>
      </c>
      <c r="V1191" s="179">
        <v>0.3587</v>
      </c>
      <c r="W1191" s="179">
        <v>2.7881</v>
      </c>
      <c r="X1191" s="179">
        <v>0.0</v>
      </c>
      <c r="Y1191" s="179">
        <v>0.0</v>
      </c>
      <c r="Z1191" s="179">
        <v>0.0</v>
      </c>
      <c r="AA1191" s="179">
        <v>0.0</v>
      </c>
      <c r="AB1191" s="179">
        <v>0.0</v>
      </c>
      <c r="AC1191" s="179">
        <v>0.0</v>
      </c>
      <c r="AD1191" s="179">
        <v>0.0</v>
      </c>
      <c r="AE1191" s="179">
        <v>0.0</v>
      </c>
      <c r="AF1191" s="179">
        <v>0.0</v>
      </c>
      <c r="AG1191" s="179">
        <v>0.0</v>
      </c>
      <c r="AH1191" s="179">
        <v>0.0</v>
      </c>
      <c r="AI1191" s="179">
        <v>0.0</v>
      </c>
      <c r="AJ1191" s="179">
        <v>0.0</v>
      </c>
    </row>
    <row r="1192" ht="15.75" customHeight="1">
      <c r="A1192" s="65">
        <v>45717.0</v>
      </c>
      <c r="B1192" s="179" t="s">
        <v>771</v>
      </c>
      <c r="C1192" s="179" t="s">
        <v>1171</v>
      </c>
      <c r="D1192" s="179" t="s">
        <v>773</v>
      </c>
      <c r="E1192" s="179" t="s">
        <v>459</v>
      </c>
      <c r="F1192" s="179" t="s">
        <v>774</v>
      </c>
      <c r="G1192" s="179" t="s">
        <v>775</v>
      </c>
      <c r="H1192" s="179" t="s">
        <v>1106</v>
      </c>
      <c r="I1192" s="179"/>
      <c r="J1192" s="179" t="s">
        <v>429</v>
      </c>
      <c r="K1192" s="179">
        <v>1000.0</v>
      </c>
      <c r="L1192" s="179" t="s">
        <v>776</v>
      </c>
      <c r="M1192" s="179" t="s">
        <v>8</v>
      </c>
      <c r="N1192" s="179">
        <v>9179.0</v>
      </c>
      <c r="O1192" s="179">
        <v>68.0</v>
      </c>
      <c r="P1192" s="179">
        <v>0.0074</v>
      </c>
      <c r="Q1192" s="179">
        <v>2603.1</v>
      </c>
      <c r="R1192" s="179">
        <v>38.28</v>
      </c>
      <c r="S1192" s="179">
        <v>0.0</v>
      </c>
      <c r="T1192" s="179">
        <v>0.0</v>
      </c>
      <c r="U1192" s="179">
        <v>0.0</v>
      </c>
      <c r="V1192" s="179">
        <v>0.0</v>
      </c>
      <c r="W1192" s="179">
        <v>0.0</v>
      </c>
      <c r="X1192" s="179">
        <v>0.0</v>
      </c>
      <c r="Y1192" s="179">
        <v>0.0</v>
      </c>
      <c r="Z1192" s="179">
        <v>0.0</v>
      </c>
      <c r="AA1192" s="179">
        <v>0.0</v>
      </c>
      <c r="AB1192" s="179">
        <v>0.0</v>
      </c>
      <c r="AC1192" s="179">
        <v>0.0</v>
      </c>
      <c r="AD1192" s="179">
        <v>0.0</v>
      </c>
      <c r="AE1192" s="179">
        <v>0.0</v>
      </c>
      <c r="AF1192" s="179">
        <v>0.0</v>
      </c>
      <c r="AG1192" s="179">
        <v>0.0</v>
      </c>
      <c r="AH1192" s="179">
        <v>0.0</v>
      </c>
      <c r="AI1192" s="179">
        <v>0.0</v>
      </c>
      <c r="AJ1192" s="179">
        <v>0.0</v>
      </c>
    </row>
    <row r="1193" ht="15.75" customHeight="1">
      <c r="A1193" s="65">
        <v>45717.0</v>
      </c>
      <c r="B1193" s="179" t="s">
        <v>771</v>
      </c>
      <c r="C1193" s="179" t="s">
        <v>1267</v>
      </c>
      <c r="D1193" s="179" t="s">
        <v>773</v>
      </c>
      <c r="E1193" s="179" t="s">
        <v>459</v>
      </c>
      <c r="F1193" s="179" t="s">
        <v>774</v>
      </c>
      <c r="G1193" s="179" t="s">
        <v>775</v>
      </c>
      <c r="H1193" s="179" t="s">
        <v>1106</v>
      </c>
      <c r="I1193" s="179"/>
      <c r="J1193" s="179" t="s">
        <v>176</v>
      </c>
      <c r="K1193" s="179">
        <v>1000.0</v>
      </c>
      <c r="L1193" s="179" t="s">
        <v>776</v>
      </c>
      <c r="M1193" s="179" t="s">
        <v>8</v>
      </c>
      <c r="N1193" s="179">
        <v>49419.0</v>
      </c>
      <c r="O1193" s="179">
        <v>155.0</v>
      </c>
      <c r="P1193" s="179">
        <v>0.0031</v>
      </c>
      <c r="Q1193" s="179">
        <v>1568.43</v>
      </c>
      <c r="R1193" s="179">
        <v>10.12</v>
      </c>
      <c r="S1193" s="179">
        <v>0.0</v>
      </c>
      <c r="T1193" s="179">
        <v>0.0</v>
      </c>
      <c r="U1193" s="179">
        <v>0.0</v>
      </c>
      <c r="V1193" s="179">
        <v>0.0</v>
      </c>
      <c r="W1193" s="179">
        <v>0.0</v>
      </c>
      <c r="X1193" s="179">
        <v>0.0</v>
      </c>
      <c r="Y1193" s="179">
        <v>0.0</v>
      </c>
      <c r="Z1193" s="179">
        <v>0.0</v>
      </c>
      <c r="AA1193" s="179">
        <v>0.0</v>
      </c>
      <c r="AB1193" s="179">
        <v>0.0</v>
      </c>
      <c r="AC1193" s="179">
        <v>0.0</v>
      </c>
      <c r="AD1193" s="179">
        <v>0.0</v>
      </c>
      <c r="AE1193" s="179">
        <v>0.0</v>
      </c>
      <c r="AF1193" s="179">
        <v>0.0</v>
      </c>
      <c r="AG1193" s="179">
        <v>0.0</v>
      </c>
      <c r="AH1193" s="179">
        <v>0.0</v>
      </c>
      <c r="AI1193" s="179">
        <v>0.0</v>
      </c>
      <c r="AJ1193" s="179">
        <v>0.0</v>
      </c>
    </row>
    <row r="1194" ht="15.75" customHeight="1">
      <c r="A1194" s="65">
        <v>45717.0</v>
      </c>
      <c r="B1194" s="179" t="s">
        <v>779</v>
      </c>
      <c r="C1194" s="179" t="s">
        <v>1268</v>
      </c>
      <c r="D1194" s="179" t="s">
        <v>781</v>
      </c>
      <c r="E1194" s="179" t="s">
        <v>459</v>
      </c>
      <c r="F1194" s="179" t="s">
        <v>774</v>
      </c>
      <c r="G1194" s="179" t="s">
        <v>775</v>
      </c>
      <c r="H1194" s="179" t="s">
        <v>1106</v>
      </c>
      <c r="I1194" s="179"/>
      <c r="J1194" s="179" t="s">
        <v>158</v>
      </c>
      <c r="K1194" s="179">
        <v>1000.0</v>
      </c>
      <c r="L1194" s="195">
        <v>0.1374</v>
      </c>
      <c r="M1194" s="179" t="s">
        <v>8</v>
      </c>
      <c r="N1194" s="179">
        <v>12810.0</v>
      </c>
      <c r="O1194" s="179">
        <v>428.0</v>
      </c>
      <c r="P1194" s="179">
        <v>0.0334</v>
      </c>
      <c r="Q1194" s="179">
        <v>8445.58</v>
      </c>
      <c r="R1194" s="179">
        <v>19.73</v>
      </c>
      <c r="S1194" s="179">
        <v>0.0</v>
      </c>
      <c r="T1194" s="179">
        <v>9.0</v>
      </c>
      <c r="U1194" s="179">
        <v>23256.79</v>
      </c>
      <c r="V1194" s="179">
        <v>0.3631</v>
      </c>
      <c r="W1194" s="179">
        <v>2.7537</v>
      </c>
      <c r="X1194" s="179">
        <v>0.0</v>
      </c>
      <c r="Y1194" s="179">
        <v>0.0</v>
      </c>
      <c r="Z1194" s="179">
        <v>0.0</v>
      </c>
      <c r="AA1194" s="179">
        <v>0.0</v>
      </c>
      <c r="AB1194" s="179">
        <v>0.0</v>
      </c>
      <c r="AC1194" s="179">
        <v>0.0</v>
      </c>
      <c r="AD1194" s="179">
        <v>0.0</v>
      </c>
      <c r="AE1194" s="179">
        <v>0.0</v>
      </c>
      <c r="AF1194" s="179">
        <v>0.0</v>
      </c>
      <c r="AG1194" s="179">
        <v>0.0</v>
      </c>
      <c r="AH1194" s="179">
        <v>0.0</v>
      </c>
      <c r="AI1194" s="179">
        <v>0.0</v>
      </c>
      <c r="AJ1194" s="179">
        <v>0.0</v>
      </c>
    </row>
    <row r="1195" ht="15.75" customHeight="1">
      <c r="A1195" s="65">
        <v>45717.0</v>
      </c>
      <c r="B1195" s="179" t="s">
        <v>771</v>
      </c>
      <c r="C1195" s="179" t="s">
        <v>1104</v>
      </c>
      <c r="D1195" s="179" t="s">
        <v>773</v>
      </c>
      <c r="E1195" s="179" t="s">
        <v>463</v>
      </c>
      <c r="F1195" s="179" t="s">
        <v>774</v>
      </c>
      <c r="G1195" s="179"/>
      <c r="H1195" s="179" t="s">
        <v>1106</v>
      </c>
      <c r="I1195" s="179"/>
      <c r="J1195" s="179" t="s">
        <v>413</v>
      </c>
      <c r="K1195" s="179">
        <v>1000.0</v>
      </c>
      <c r="L1195" s="179"/>
      <c r="M1195" s="179" t="s">
        <v>8</v>
      </c>
      <c r="N1195" s="179">
        <v>118663.0</v>
      </c>
      <c r="O1195" s="179">
        <v>207.0</v>
      </c>
      <c r="P1195" s="179">
        <v>0.0017</v>
      </c>
      <c r="Q1195" s="179">
        <v>1320.79</v>
      </c>
      <c r="R1195" s="179">
        <v>6.38</v>
      </c>
      <c r="S1195" s="179">
        <v>345.0</v>
      </c>
      <c r="T1195" s="179">
        <v>0.0</v>
      </c>
      <c r="U1195" s="179">
        <v>0.0</v>
      </c>
      <c r="V1195" s="179">
        <v>0.0</v>
      </c>
      <c r="W1195" s="179">
        <v>0.0</v>
      </c>
      <c r="X1195" s="179">
        <v>0.0</v>
      </c>
      <c r="Y1195" s="179">
        <v>0.0</v>
      </c>
      <c r="Z1195" s="179">
        <v>0.0</v>
      </c>
      <c r="AA1195" s="179">
        <v>0.0</v>
      </c>
      <c r="AB1195" s="179">
        <v>0.0</v>
      </c>
      <c r="AC1195" s="179">
        <v>0.0</v>
      </c>
      <c r="AD1195" s="179">
        <v>0.0</v>
      </c>
      <c r="AE1195" s="179">
        <v>0.0</v>
      </c>
      <c r="AF1195" s="179">
        <v>0.0</v>
      </c>
      <c r="AG1195" s="179">
        <v>0.0</v>
      </c>
      <c r="AH1195" s="179">
        <v>0.0</v>
      </c>
      <c r="AI1195" s="179">
        <v>0.0</v>
      </c>
      <c r="AJ1195" s="179">
        <v>0.0</v>
      </c>
    </row>
    <row r="1196" ht="15.75" customHeight="1">
      <c r="A1196" s="65">
        <v>45717.0</v>
      </c>
      <c r="B1196" s="179" t="s">
        <v>779</v>
      </c>
      <c r="C1196" s="179" t="s">
        <v>1103</v>
      </c>
      <c r="D1196" s="179" t="s">
        <v>781</v>
      </c>
      <c r="E1196" s="179" t="s">
        <v>463</v>
      </c>
      <c r="F1196" s="179" t="s">
        <v>774</v>
      </c>
      <c r="G1196" s="179"/>
      <c r="H1196" s="179" t="s">
        <v>1106</v>
      </c>
      <c r="I1196" s="179"/>
      <c r="J1196" s="179" t="s">
        <v>140</v>
      </c>
      <c r="K1196" s="179">
        <v>1000.0</v>
      </c>
      <c r="L1196" s="179"/>
      <c r="M1196" s="179" t="s">
        <v>8</v>
      </c>
      <c r="N1196" s="179">
        <v>39005.0</v>
      </c>
      <c r="O1196" s="179">
        <v>46.0</v>
      </c>
      <c r="P1196" s="179">
        <v>0.0012</v>
      </c>
      <c r="Q1196" s="179">
        <v>1138.93</v>
      </c>
      <c r="R1196" s="179">
        <v>24.76</v>
      </c>
      <c r="S1196" s="179">
        <v>122.0</v>
      </c>
      <c r="T1196" s="179">
        <v>0.0</v>
      </c>
      <c r="U1196" s="179">
        <v>0.0</v>
      </c>
      <c r="V1196" s="179">
        <v>0.0</v>
      </c>
      <c r="W1196" s="179">
        <v>0.0</v>
      </c>
      <c r="X1196" s="179">
        <v>0.0</v>
      </c>
      <c r="Y1196" s="179">
        <v>0.0</v>
      </c>
      <c r="Z1196" s="179">
        <v>0.0</v>
      </c>
      <c r="AA1196" s="179">
        <v>0.0</v>
      </c>
      <c r="AB1196" s="179">
        <v>0.0</v>
      </c>
      <c r="AC1196" s="179">
        <v>0.0</v>
      </c>
      <c r="AD1196" s="179">
        <v>0.0</v>
      </c>
      <c r="AE1196" s="179">
        <v>0.0</v>
      </c>
      <c r="AF1196" s="179">
        <v>0.0</v>
      </c>
      <c r="AG1196" s="179">
        <v>0.0</v>
      </c>
      <c r="AH1196" s="179">
        <v>0.0</v>
      </c>
      <c r="AI1196" s="179">
        <v>0.0</v>
      </c>
      <c r="AJ1196" s="179">
        <v>0.0</v>
      </c>
    </row>
    <row r="1197" ht="15.75" customHeight="1">
      <c r="A1197" s="65">
        <v>45717.0</v>
      </c>
      <c r="B1197" s="179" t="s">
        <v>779</v>
      </c>
      <c r="C1197" s="179" t="s">
        <v>1236</v>
      </c>
      <c r="D1197" s="179" t="s">
        <v>781</v>
      </c>
      <c r="E1197" s="179" t="s">
        <v>463</v>
      </c>
      <c r="F1197" s="179" t="s">
        <v>774</v>
      </c>
      <c r="G1197" s="179"/>
      <c r="H1197" s="179" t="s">
        <v>1106</v>
      </c>
      <c r="I1197" s="179"/>
      <c r="J1197" s="179" t="s">
        <v>230</v>
      </c>
      <c r="K1197" s="179">
        <v>1000.0</v>
      </c>
      <c r="L1197" s="179"/>
      <c r="M1197" s="179" t="s">
        <v>8</v>
      </c>
      <c r="N1197" s="179">
        <v>458.0</v>
      </c>
      <c r="O1197" s="179">
        <v>1.0</v>
      </c>
      <c r="P1197" s="179">
        <v>0.0022</v>
      </c>
      <c r="Q1197" s="179">
        <v>8.65</v>
      </c>
      <c r="R1197" s="179">
        <v>8.65</v>
      </c>
      <c r="S1197" s="179">
        <v>1.0</v>
      </c>
      <c r="T1197" s="179">
        <v>0.0</v>
      </c>
      <c r="U1197" s="179">
        <v>0.0</v>
      </c>
      <c r="V1197" s="179">
        <v>0.0</v>
      </c>
      <c r="W1197" s="179">
        <v>0.0</v>
      </c>
      <c r="X1197" s="179">
        <v>0.0</v>
      </c>
      <c r="Y1197" s="179">
        <v>0.0</v>
      </c>
      <c r="Z1197" s="179">
        <v>0.0</v>
      </c>
      <c r="AA1197" s="179">
        <v>0.0</v>
      </c>
      <c r="AB1197" s="179">
        <v>0.0</v>
      </c>
      <c r="AC1197" s="179">
        <v>0.0</v>
      </c>
      <c r="AD1197" s="179">
        <v>0.0</v>
      </c>
      <c r="AE1197" s="179">
        <v>0.0</v>
      </c>
      <c r="AF1197" s="179">
        <v>0.0</v>
      </c>
      <c r="AG1197" s="179">
        <v>0.0</v>
      </c>
      <c r="AH1197" s="179">
        <v>0.0</v>
      </c>
      <c r="AI1197" s="179">
        <v>0.0</v>
      </c>
      <c r="AJ1197" s="179">
        <v>0.0</v>
      </c>
    </row>
    <row r="1198" ht="15.75" customHeight="1">
      <c r="A1198" s="65">
        <v>45717.0</v>
      </c>
      <c r="B1198" s="179" t="s">
        <v>771</v>
      </c>
      <c r="C1198" s="179" t="s">
        <v>1109</v>
      </c>
      <c r="D1198" s="179" t="s">
        <v>773</v>
      </c>
      <c r="E1198" s="179" t="s">
        <v>461</v>
      </c>
      <c r="F1198" s="179" t="s">
        <v>774</v>
      </c>
      <c r="G1198" s="179"/>
      <c r="H1198" s="179" t="s">
        <v>1106</v>
      </c>
      <c r="I1198" s="179"/>
      <c r="J1198" s="179" t="s">
        <v>211</v>
      </c>
      <c r="K1198" s="179">
        <v>1000.0</v>
      </c>
      <c r="L1198" s="179" t="s">
        <v>776</v>
      </c>
      <c r="M1198" s="179" t="s">
        <v>8</v>
      </c>
      <c r="N1198" s="179">
        <v>293831.0</v>
      </c>
      <c r="O1198" s="179">
        <v>2484.0</v>
      </c>
      <c r="P1198" s="179">
        <v>0.0085</v>
      </c>
      <c r="Q1198" s="179">
        <v>19332.25</v>
      </c>
      <c r="R1198" s="179">
        <v>7.78</v>
      </c>
      <c r="S1198" s="179">
        <v>4353.0</v>
      </c>
      <c r="T1198" s="179">
        <v>42.0</v>
      </c>
      <c r="U1198" s="179">
        <v>74926.31</v>
      </c>
      <c r="V1198" s="179">
        <v>0.258</v>
      </c>
      <c r="W1198" s="179">
        <v>3.8757</v>
      </c>
      <c r="X1198" s="179">
        <v>36.0</v>
      </c>
      <c r="Y1198" s="179">
        <v>0.8571</v>
      </c>
      <c r="Z1198" s="179">
        <v>64592.41</v>
      </c>
      <c r="AA1198" s="179">
        <v>0.8621</v>
      </c>
      <c r="AB1198" s="179">
        <v>87730.0</v>
      </c>
      <c r="AC1198" s="179">
        <v>220.36</v>
      </c>
      <c r="AD1198" s="179">
        <v>0.0</v>
      </c>
      <c r="AE1198" s="179">
        <v>0.0</v>
      </c>
      <c r="AF1198" s="179">
        <v>0.0</v>
      </c>
      <c r="AG1198" s="179">
        <v>0.0</v>
      </c>
      <c r="AH1198" s="179">
        <v>0.0</v>
      </c>
      <c r="AI1198" s="179">
        <v>0.0</v>
      </c>
      <c r="AJ1198" s="179">
        <v>0.0</v>
      </c>
    </row>
    <row r="1199" ht="15.75" customHeight="1">
      <c r="A1199" s="65">
        <v>45717.0</v>
      </c>
      <c r="B1199" s="179" t="s">
        <v>779</v>
      </c>
      <c r="C1199" s="179" t="s">
        <v>1138</v>
      </c>
      <c r="D1199" s="179" t="s">
        <v>781</v>
      </c>
      <c r="E1199" s="179" t="s">
        <v>461</v>
      </c>
      <c r="F1199" s="179" t="s">
        <v>774</v>
      </c>
      <c r="G1199" s="179"/>
      <c r="H1199" s="179" t="s">
        <v>1106</v>
      </c>
      <c r="I1199" s="179"/>
      <c r="J1199" s="179" t="s">
        <v>158</v>
      </c>
      <c r="K1199" s="179">
        <v>1000.0</v>
      </c>
      <c r="L1199" s="179" t="s">
        <v>776</v>
      </c>
      <c r="M1199" s="179" t="s">
        <v>8</v>
      </c>
      <c r="N1199" s="179">
        <v>180284.0</v>
      </c>
      <c r="O1199" s="179">
        <v>1319.0</v>
      </c>
      <c r="P1199" s="179">
        <v>0.0073</v>
      </c>
      <c r="Q1199" s="179">
        <v>11106.36</v>
      </c>
      <c r="R1199" s="179">
        <v>8.42</v>
      </c>
      <c r="S1199" s="179">
        <v>2117.0</v>
      </c>
      <c r="T1199" s="179">
        <v>11.0</v>
      </c>
      <c r="U1199" s="179">
        <v>30873.76</v>
      </c>
      <c r="V1199" s="179">
        <v>0.3597</v>
      </c>
      <c r="W1199" s="179">
        <v>2.7798</v>
      </c>
      <c r="X1199" s="179">
        <v>9.0</v>
      </c>
      <c r="Y1199" s="179">
        <v>0.8182</v>
      </c>
      <c r="Z1199" s="179">
        <v>25790.7</v>
      </c>
      <c r="AA1199" s="179">
        <v>0.8354</v>
      </c>
      <c r="AB1199" s="179">
        <v>42229.0</v>
      </c>
      <c r="AC1199" s="179">
        <v>263.0</v>
      </c>
      <c r="AD1199" s="179">
        <v>0.0</v>
      </c>
      <c r="AE1199" s="179">
        <v>0.0</v>
      </c>
      <c r="AF1199" s="179">
        <v>0.0</v>
      </c>
      <c r="AG1199" s="179">
        <v>0.0</v>
      </c>
      <c r="AH1199" s="179">
        <v>0.0</v>
      </c>
      <c r="AI1199" s="179">
        <v>0.0</v>
      </c>
      <c r="AJ1199" s="179">
        <v>0.0</v>
      </c>
    </row>
    <row r="1200" ht="15.75" customHeight="1">
      <c r="A1200" s="65">
        <v>45717.0</v>
      </c>
      <c r="B1200" s="179" t="s">
        <v>771</v>
      </c>
      <c r="C1200" s="179" t="s">
        <v>1101</v>
      </c>
      <c r="D1200" s="179" t="s">
        <v>773</v>
      </c>
      <c r="E1200" s="179" t="s">
        <v>459</v>
      </c>
      <c r="F1200" s="179" t="s">
        <v>774</v>
      </c>
      <c r="G1200" s="179" t="s">
        <v>775</v>
      </c>
      <c r="H1200" s="179" t="s">
        <v>1106</v>
      </c>
      <c r="I1200" s="179"/>
      <c r="J1200" s="179" t="s">
        <v>128</v>
      </c>
      <c r="K1200" s="179">
        <v>1050.0</v>
      </c>
      <c r="L1200" s="179" t="s">
        <v>776</v>
      </c>
      <c r="M1200" s="179" t="s">
        <v>8</v>
      </c>
      <c r="N1200" s="179">
        <v>132308.0</v>
      </c>
      <c r="O1200" s="179">
        <v>286.0</v>
      </c>
      <c r="P1200" s="179">
        <v>0.0022</v>
      </c>
      <c r="Q1200" s="179">
        <v>7922.92</v>
      </c>
      <c r="R1200" s="179">
        <v>27.7</v>
      </c>
      <c r="S1200" s="179">
        <v>0.0</v>
      </c>
      <c r="T1200" s="179">
        <v>8.0</v>
      </c>
      <c r="U1200" s="179">
        <v>148223.7</v>
      </c>
      <c r="V1200" s="179">
        <v>0.0535</v>
      </c>
      <c r="W1200" s="179">
        <v>18.7082</v>
      </c>
      <c r="X1200" s="179">
        <v>0.0</v>
      </c>
      <c r="Y1200" s="179">
        <v>0.0</v>
      </c>
      <c r="Z1200" s="179">
        <v>0.0</v>
      </c>
      <c r="AA1200" s="179">
        <v>0.0</v>
      </c>
      <c r="AB1200" s="179">
        <v>0.0</v>
      </c>
      <c r="AC1200" s="179">
        <v>0.0</v>
      </c>
      <c r="AD1200" s="179">
        <v>0.0</v>
      </c>
      <c r="AE1200" s="179">
        <v>0.0</v>
      </c>
      <c r="AF1200" s="179">
        <v>0.0</v>
      </c>
      <c r="AG1200" s="179">
        <v>0.0</v>
      </c>
      <c r="AH1200" s="179">
        <v>0.0</v>
      </c>
      <c r="AI1200" s="179">
        <v>0.0</v>
      </c>
      <c r="AJ1200" s="179">
        <v>0.0</v>
      </c>
    </row>
    <row r="1201" ht="15.75" customHeight="1">
      <c r="A1201" s="65">
        <v>45717.0</v>
      </c>
      <c r="B1201" s="179" t="s">
        <v>771</v>
      </c>
      <c r="C1201" s="179" t="s">
        <v>925</v>
      </c>
      <c r="D1201" s="179" t="s">
        <v>773</v>
      </c>
      <c r="E1201" s="179" t="s">
        <v>459</v>
      </c>
      <c r="F1201" s="179" t="s">
        <v>774</v>
      </c>
      <c r="G1201" s="179" t="s">
        <v>775</v>
      </c>
      <c r="H1201" s="179" t="s">
        <v>1106</v>
      </c>
      <c r="I1201" s="179"/>
      <c r="J1201" s="179" t="s">
        <v>182</v>
      </c>
      <c r="K1201" s="179">
        <v>1500.0</v>
      </c>
      <c r="L1201" s="195">
        <v>0.223</v>
      </c>
      <c r="M1201" s="179" t="s">
        <v>8</v>
      </c>
      <c r="N1201" s="179">
        <v>6239.0</v>
      </c>
      <c r="O1201" s="179">
        <v>41.0</v>
      </c>
      <c r="P1201" s="179">
        <v>0.0066</v>
      </c>
      <c r="Q1201" s="179">
        <v>2024.08</v>
      </c>
      <c r="R1201" s="179">
        <v>49.37</v>
      </c>
      <c r="S1201" s="179">
        <v>0.0</v>
      </c>
      <c r="T1201" s="179">
        <v>0.0</v>
      </c>
      <c r="U1201" s="179">
        <v>0.0</v>
      </c>
      <c r="V1201" s="179">
        <v>0.0</v>
      </c>
      <c r="W1201" s="179">
        <v>0.0</v>
      </c>
      <c r="X1201" s="179">
        <v>0.0</v>
      </c>
      <c r="Y1201" s="179">
        <v>0.0</v>
      </c>
      <c r="Z1201" s="179">
        <v>0.0</v>
      </c>
      <c r="AA1201" s="179">
        <v>0.0</v>
      </c>
      <c r="AB1201" s="179">
        <v>0.0</v>
      </c>
      <c r="AC1201" s="179">
        <v>0.0</v>
      </c>
      <c r="AD1201" s="179">
        <v>0.0</v>
      </c>
      <c r="AE1201" s="179">
        <v>0.0</v>
      </c>
      <c r="AF1201" s="179">
        <v>0.0</v>
      </c>
      <c r="AG1201" s="179">
        <v>0.0</v>
      </c>
      <c r="AH1201" s="179">
        <v>0.0</v>
      </c>
      <c r="AI1201" s="179">
        <v>0.0</v>
      </c>
      <c r="AJ1201" s="179">
        <v>0.0</v>
      </c>
    </row>
    <row r="1202" ht="15.75" customHeight="1">
      <c r="A1202" s="65">
        <v>45717.0</v>
      </c>
      <c r="B1202" s="179" t="s">
        <v>771</v>
      </c>
      <c r="C1202" s="179" t="s">
        <v>963</v>
      </c>
      <c r="D1202" s="179" t="s">
        <v>773</v>
      </c>
      <c r="E1202" s="179" t="s">
        <v>459</v>
      </c>
      <c r="F1202" s="179" t="s">
        <v>774</v>
      </c>
      <c r="G1202" s="179" t="s">
        <v>775</v>
      </c>
      <c r="H1202" s="179" t="s">
        <v>1106</v>
      </c>
      <c r="I1202" s="179"/>
      <c r="J1202" s="179" t="s">
        <v>140</v>
      </c>
      <c r="K1202" s="179">
        <v>1500.0</v>
      </c>
      <c r="L1202" s="195">
        <v>0.0792</v>
      </c>
      <c r="M1202" s="179" t="s">
        <v>8</v>
      </c>
      <c r="N1202" s="179">
        <v>21455.0</v>
      </c>
      <c r="O1202" s="179">
        <v>143.0</v>
      </c>
      <c r="P1202" s="179">
        <v>0.0067</v>
      </c>
      <c r="Q1202" s="179">
        <v>9128.57</v>
      </c>
      <c r="R1202" s="179">
        <v>63.84</v>
      </c>
      <c r="S1202" s="179">
        <v>0.0</v>
      </c>
      <c r="T1202" s="179">
        <v>2.0</v>
      </c>
      <c r="U1202" s="179">
        <v>54059.32</v>
      </c>
      <c r="V1202" s="179">
        <v>0.1689</v>
      </c>
      <c r="W1202" s="179">
        <v>5.922</v>
      </c>
      <c r="X1202" s="179">
        <v>0.0</v>
      </c>
      <c r="Y1202" s="179">
        <v>0.0</v>
      </c>
      <c r="Z1202" s="179">
        <v>0.0</v>
      </c>
      <c r="AA1202" s="179">
        <v>0.0</v>
      </c>
      <c r="AB1202" s="179">
        <v>0.0</v>
      </c>
      <c r="AC1202" s="179">
        <v>0.0</v>
      </c>
      <c r="AD1202" s="179">
        <v>0.0</v>
      </c>
      <c r="AE1202" s="179">
        <v>0.0</v>
      </c>
      <c r="AF1202" s="179">
        <v>0.0</v>
      </c>
      <c r="AG1202" s="179">
        <v>0.0</v>
      </c>
      <c r="AH1202" s="179">
        <v>0.0</v>
      </c>
      <c r="AI1202" s="179">
        <v>0.0</v>
      </c>
      <c r="AJ1202" s="179">
        <v>0.0</v>
      </c>
    </row>
    <row r="1203" ht="15.75" customHeight="1">
      <c r="A1203" s="65">
        <v>45717.0</v>
      </c>
      <c r="B1203" s="179" t="s">
        <v>771</v>
      </c>
      <c r="C1203" s="179" t="s">
        <v>1123</v>
      </c>
      <c r="D1203" s="179" t="s">
        <v>773</v>
      </c>
      <c r="E1203" s="179" t="s">
        <v>460</v>
      </c>
      <c r="F1203" s="179" t="s">
        <v>778</v>
      </c>
      <c r="G1203" s="179" t="s">
        <v>775</v>
      </c>
      <c r="H1203" s="179" t="s">
        <v>1106</v>
      </c>
      <c r="I1203" s="179"/>
      <c r="J1203" s="179" t="s">
        <v>211</v>
      </c>
      <c r="K1203" s="179">
        <v>1500.0</v>
      </c>
      <c r="L1203" s="179" t="s">
        <v>776</v>
      </c>
      <c r="M1203" s="179" t="s">
        <v>8</v>
      </c>
      <c r="N1203" s="179">
        <v>657490.0</v>
      </c>
      <c r="O1203" s="179">
        <v>3446.0</v>
      </c>
      <c r="P1203" s="179">
        <v>0.0052</v>
      </c>
      <c r="Q1203" s="179">
        <v>20370.8</v>
      </c>
      <c r="R1203" s="179">
        <v>5.91</v>
      </c>
      <c r="S1203" s="179">
        <v>0.0</v>
      </c>
      <c r="T1203" s="179">
        <v>23.0</v>
      </c>
      <c r="U1203" s="179">
        <v>111738.2</v>
      </c>
      <c r="V1203" s="179">
        <v>0.1823</v>
      </c>
      <c r="W1203" s="179">
        <v>5.4852</v>
      </c>
      <c r="X1203" s="179">
        <v>0.0</v>
      </c>
      <c r="Y1203" s="179">
        <v>0.0</v>
      </c>
      <c r="Z1203" s="179">
        <v>0.0</v>
      </c>
      <c r="AA1203" s="179">
        <v>0.0</v>
      </c>
      <c r="AB1203" s="179">
        <v>0.0</v>
      </c>
      <c r="AC1203" s="179">
        <v>0.0</v>
      </c>
      <c r="AD1203" s="179">
        <v>0.0</v>
      </c>
      <c r="AE1203" s="179">
        <v>0.0</v>
      </c>
      <c r="AF1203" s="179">
        <v>0.0</v>
      </c>
      <c r="AG1203" s="179">
        <v>0.0</v>
      </c>
      <c r="AH1203" s="179">
        <v>0.0</v>
      </c>
      <c r="AI1203" s="179">
        <v>0.0</v>
      </c>
      <c r="AJ1203" s="179">
        <v>0.0</v>
      </c>
    </row>
    <row r="1204" ht="15.75" customHeight="1">
      <c r="A1204" s="65">
        <v>45717.0</v>
      </c>
      <c r="B1204" s="179" t="s">
        <v>771</v>
      </c>
      <c r="C1204" s="179" t="s">
        <v>1118</v>
      </c>
      <c r="D1204" s="179" t="s">
        <v>773</v>
      </c>
      <c r="E1204" s="179" t="s">
        <v>459</v>
      </c>
      <c r="F1204" s="179" t="s">
        <v>774</v>
      </c>
      <c r="G1204" s="179" t="s">
        <v>775</v>
      </c>
      <c r="H1204" s="179" t="s">
        <v>1106</v>
      </c>
      <c r="I1204" s="179"/>
      <c r="J1204" s="179" t="s">
        <v>211</v>
      </c>
      <c r="K1204" s="179">
        <v>1500.0</v>
      </c>
      <c r="L1204" s="195">
        <v>0.3094</v>
      </c>
      <c r="M1204" s="179" t="s">
        <v>8</v>
      </c>
      <c r="N1204" s="179">
        <v>34503.0</v>
      </c>
      <c r="O1204" s="179">
        <v>1021.0</v>
      </c>
      <c r="P1204" s="179">
        <v>0.0296</v>
      </c>
      <c r="Q1204" s="179">
        <v>5557.74</v>
      </c>
      <c r="R1204" s="179">
        <v>5.44</v>
      </c>
      <c r="S1204" s="179">
        <v>0.0</v>
      </c>
      <c r="T1204" s="179">
        <v>22.0</v>
      </c>
      <c r="U1204" s="179">
        <v>40993.27</v>
      </c>
      <c r="V1204" s="179">
        <v>0.1356</v>
      </c>
      <c r="W1204" s="179">
        <v>7.3759</v>
      </c>
      <c r="X1204" s="179">
        <v>0.0</v>
      </c>
      <c r="Y1204" s="179">
        <v>0.0</v>
      </c>
      <c r="Z1204" s="179">
        <v>0.0</v>
      </c>
      <c r="AA1204" s="179">
        <v>0.0</v>
      </c>
      <c r="AB1204" s="179">
        <v>0.0</v>
      </c>
      <c r="AC1204" s="179">
        <v>0.0</v>
      </c>
      <c r="AD1204" s="179">
        <v>0.0</v>
      </c>
      <c r="AE1204" s="179">
        <v>0.0</v>
      </c>
      <c r="AF1204" s="179">
        <v>0.0</v>
      </c>
      <c r="AG1204" s="179">
        <v>0.0</v>
      </c>
      <c r="AH1204" s="179">
        <v>0.0</v>
      </c>
      <c r="AI1204" s="179">
        <v>0.0</v>
      </c>
      <c r="AJ1204" s="179">
        <v>0.0</v>
      </c>
    </row>
    <row r="1205" ht="15.75" customHeight="1">
      <c r="A1205" s="65">
        <v>45717.0</v>
      </c>
      <c r="B1205" s="179" t="s">
        <v>771</v>
      </c>
      <c r="C1205" s="179" t="s">
        <v>1064</v>
      </c>
      <c r="D1205" s="179" t="s">
        <v>773</v>
      </c>
      <c r="E1205" s="179" t="s">
        <v>459</v>
      </c>
      <c r="F1205" s="179" t="s">
        <v>774</v>
      </c>
      <c r="G1205" s="179" t="s">
        <v>775</v>
      </c>
      <c r="H1205" s="179" t="s">
        <v>1106</v>
      </c>
      <c r="I1205" s="179"/>
      <c r="J1205" s="179" t="s">
        <v>413</v>
      </c>
      <c r="K1205" s="179">
        <v>1500.0</v>
      </c>
      <c r="L1205" s="195">
        <v>0.1412</v>
      </c>
      <c r="M1205" s="179" t="s">
        <v>8</v>
      </c>
      <c r="N1205" s="179">
        <v>12151.0</v>
      </c>
      <c r="O1205" s="179">
        <v>395.0</v>
      </c>
      <c r="P1205" s="179">
        <v>0.0325</v>
      </c>
      <c r="Q1205" s="179">
        <v>19812.47</v>
      </c>
      <c r="R1205" s="179">
        <v>50.16</v>
      </c>
      <c r="S1205" s="179">
        <v>0.0</v>
      </c>
      <c r="T1205" s="179">
        <v>2.0</v>
      </c>
      <c r="U1205" s="179">
        <v>31787.29</v>
      </c>
      <c r="V1205" s="179">
        <v>0.6233</v>
      </c>
      <c r="W1205" s="179">
        <v>1.6044</v>
      </c>
      <c r="X1205" s="179">
        <v>0.0</v>
      </c>
      <c r="Y1205" s="179">
        <v>0.0</v>
      </c>
      <c r="Z1205" s="179">
        <v>0.0</v>
      </c>
      <c r="AA1205" s="179">
        <v>0.0</v>
      </c>
      <c r="AB1205" s="179">
        <v>0.0</v>
      </c>
      <c r="AC1205" s="179">
        <v>0.0</v>
      </c>
      <c r="AD1205" s="179">
        <v>0.0</v>
      </c>
      <c r="AE1205" s="179">
        <v>0.0</v>
      </c>
      <c r="AF1205" s="179">
        <v>0.0</v>
      </c>
      <c r="AG1205" s="179">
        <v>0.0</v>
      </c>
      <c r="AH1205" s="179">
        <v>0.0</v>
      </c>
      <c r="AI1205" s="179">
        <v>0.0</v>
      </c>
      <c r="AJ1205" s="179">
        <v>0.0</v>
      </c>
    </row>
    <row r="1206" ht="15.75" customHeight="1">
      <c r="A1206" s="65">
        <v>45717.0</v>
      </c>
      <c r="B1206" s="179" t="s">
        <v>771</v>
      </c>
      <c r="C1206" s="179" t="s">
        <v>1200</v>
      </c>
      <c r="D1206" s="179" t="s">
        <v>773</v>
      </c>
      <c r="E1206" s="179" t="s">
        <v>459</v>
      </c>
      <c r="F1206" s="179" t="s">
        <v>774</v>
      </c>
      <c r="G1206" s="179" t="s">
        <v>775</v>
      </c>
      <c r="H1206" s="179" t="s">
        <v>1106</v>
      </c>
      <c r="I1206" s="179"/>
      <c r="J1206" s="179" t="s">
        <v>176</v>
      </c>
      <c r="K1206" s="179">
        <v>1500.0</v>
      </c>
      <c r="L1206" s="179" t="s">
        <v>776</v>
      </c>
      <c r="M1206" s="179" t="s">
        <v>8</v>
      </c>
      <c r="N1206" s="179">
        <v>201222.0</v>
      </c>
      <c r="O1206" s="179">
        <v>347.0</v>
      </c>
      <c r="P1206" s="179">
        <v>0.0017</v>
      </c>
      <c r="Q1206" s="179">
        <v>4899.98</v>
      </c>
      <c r="R1206" s="179">
        <v>14.12</v>
      </c>
      <c r="S1206" s="179">
        <v>0.0</v>
      </c>
      <c r="T1206" s="179">
        <v>1.0</v>
      </c>
      <c r="U1206" s="179">
        <v>13262.71</v>
      </c>
      <c r="V1206" s="179">
        <v>0.3695</v>
      </c>
      <c r="W1206" s="179">
        <v>2.7067</v>
      </c>
      <c r="X1206" s="179">
        <v>0.0</v>
      </c>
      <c r="Y1206" s="179">
        <v>0.0</v>
      </c>
      <c r="Z1206" s="179">
        <v>0.0</v>
      </c>
      <c r="AA1206" s="179">
        <v>0.0</v>
      </c>
      <c r="AB1206" s="179">
        <v>0.0</v>
      </c>
      <c r="AC1206" s="179">
        <v>0.0</v>
      </c>
      <c r="AD1206" s="179">
        <v>0.0</v>
      </c>
      <c r="AE1206" s="179">
        <v>0.0</v>
      </c>
      <c r="AF1206" s="179">
        <v>0.0</v>
      </c>
      <c r="AG1206" s="179">
        <v>0.0</v>
      </c>
      <c r="AH1206" s="179">
        <v>0.0</v>
      </c>
      <c r="AI1206" s="179">
        <v>0.0</v>
      </c>
      <c r="AJ1206" s="179">
        <v>0.0</v>
      </c>
    </row>
    <row r="1207" ht="15.75" customHeight="1">
      <c r="A1207" s="65">
        <v>45717.0</v>
      </c>
      <c r="B1207" s="179" t="s">
        <v>779</v>
      </c>
      <c r="C1207" s="179" t="s">
        <v>1231</v>
      </c>
      <c r="D1207" s="179" t="s">
        <v>781</v>
      </c>
      <c r="E1207" s="179" t="s">
        <v>459</v>
      </c>
      <c r="F1207" s="179" t="s">
        <v>774</v>
      </c>
      <c r="G1207" s="179" t="s">
        <v>775</v>
      </c>
      <c r="H1207" s="179" t="s">
        <v>1106</v>
      </c>
      <c r="I1207" s="179"/>
      <c r="J1207" s="179" t="s">
        <v>182</v>
      </c>
      <c r="K1207" s="179">
        <v>1500.0</v>
      </c>
      <c r="L1207" s="179" t="s">
        <v>776</v>
      </c>
      <c r="M1207" s="179" t="s">
        <v>8</v>
      </c>
      <c r="N1207" s="179">
        <v>2642.0</v>
      </c>
      <c r="O1207" s="179">
        <v>3.0</v>
      </c>
      <c r="P1207" s="179">
        <v>0.0011</v>
      </c>
      <c r="Q1207" s="179">
        <v>226.5</v>
      </c>
      <c r="R1207" s="179">
        <v>75.5</v>
      </c>
      <c r="S1207" s="179">
        <v>0.0</v>
      </c>
      <c r="T1207" s="179">
        <v>0.0</v>
      </c>
      <c r="U1207" s="179">
        <v>0.0</v>
      </c>
      <c r="V1207" s="179">
        <v>0.0</v>
      </c>
      <c r="W1207" s="179">
        <v>0.0</v>
      </c>
      <c r="X1207" s="179">
        <v>0.0</v>
      </c>
      <c r="Y1207" s="179">
        <v>0.0</v>
      </c>
      <c r="Z1207" s="179">
        <v>0.0</v>
      </c>
      <c r="AA1207" s="179">
        <v>0.0</v>
      </c>
      <c r="AB1207" s="179">
        <v>0.0</v>
      </c>
      <c r="AC1207" s="179">
        <v>0.0</v>
      </c>
      <c r="AD1207" s="179">
        <v>0.0</v>
      </c>
      <c r="AE1207" s="179">
        <v>0.0</v>
      </c>
      <c r="AF1207" s="179">
        <v>0.0</v>
      </c>
      <c r="AG1207" s="179">
        <v>0.0</v>
      </c>
      <c r="AH1207" s="179">
        <v>0.0</v>
      </c>
      <c r="AI1207" s="179">
        <v>0.0</v>
      </c>
      <c r="AJ1207" s="179">
        <v>0.0</v>
      </c>
    </row>
    <row r="1208" ht="15.75" customHeight="1">
      <c r="A1208" s="65">
        <v>45717.0</v>
      </c>
      <c r="B1208" s="179" t="s">
        <v>779</v>
      </c>
      <c r="C1208" s="179" t="s">
        <v>1126</v>
      </c>
      <c r="D1208" s="179" t="s">
        <v>781</v>
      </c>
      <c r="E1208" s="179" t="s">
        <v>462</v>
      </c>
      <c r="F1208" s="179" t="s">
        <v>774</v>
      </c>
      <c r="G1208" s="179"/>
      <c r="H1208" s="179" t="s">
        <v>1106</v>
      </c>
      <c r="I1208" s="179"/>
      <c r="J1208" s="179" t="s">
        <v>158</v>
      </c>
      <c r="K1208" s="179">
        <v>1500.0</v>
      </c>
      <c r="L1208" s="195">
        <v>0.2628</v>
      </c>
      <c r="M1208" s="179" t="s">
        <v>8</v>
      </c>
      <c r="N1208" s="179">
        <v>167977.0</v>
      </c>
      <c r="O1208" s="179">
        <v>1531.0</v>
      </c>
      <c r="P1208" s="179">
        <v>0.0091</v>
      </c>
      <c r="Q1208" s="179">
        <v>13270.16</v>
      </c>
      <c r="R1208" s="179">
        <v>8.67</v>
      </c>
      <c r="S1208" s="179">
        <v>3509.0</v>
      </c>
      <c r="T1208" s="179">
        <v>30.0</v>
      </c>
      <c r="U1208" s="179">
        <v>86325.48</v>
      </c>
      <c r="V1208" s="179">
        <v>0.1537</v>
      </c>
      <c r="W1208" s="179">
        <v>6.5052</v>
      </c>
      <c r="X1208" s="179">
        <v>28.0</v>
      </c>
      <c r="Y1208" s="179">
        <v>0.9333</v>
      </c>
      <c r="Z1208" s="179">
        <v>83783.96</v>
      </c>
      <c r="AA1208" s="179">
        <v>0.9706</v>
      </c>
      <c r="AB1208" s="179">
        <v>20123.0</v>
      </c>
      <c r="AC1208" s="179">
        <v>659.45</v>
      </c>
      <c r="AD1208" s="179">
        <v>0.0</v>
      </c>
      <c r="AE1208" s="179">
        <v>0.0</v>
      </c>
      <c r="AF1208" s="179">
        <v>0.0</v>
      </c>
      <c r="AG1208" s="179">
        <v>0.0</v>
      </c>
      <c r="AH1208" s="179">
        <v>0.0</v>
      </c>
      <c r="AI1208" s="179">
        <v>0.0</v>
      </c>
      <c r="AJ1208" s="179">
        <v>0.0</v>
      </c>
    </row>
    <row r="1209" ht="15.75" customHeight="1">
      <c r="A1209" s="65">
        <v>45717.0</v>
      </c>
      <c r="B1209" s="179" t="s">
        <v>771</v>
      </c>
      <c r="C1209" s="179" t="s">
        <v>1068</v>
      </c>
      <c r="D1209" s="179" t="s">
        <v>773</v>
      </c>
      <c r="E1209" s="179" t="s">
        <v>462</v>
      </c>
      <c r="F1209" s="179" t="s">
        <v>774</v>
      </c>
      <c r="G1209" s="179"/>
      <c r="H1209" s="179" t="s">
        <v>1106</v>
      </c>
      <c r="I1209" s="179"/>
      <c r="J1209" s="179" t="s">
        <v>413</v>
      </c>
      <c r="K1209" s="179">
        <v>1500.0</v>
      </c>
      <c r="L1209" s="179" t="s">
        <v>776</v>
      </c>
      <c r="M1209" s="179" t="s">
        <v>8</v>
      </c>
      <c r="N1209" s="179">
        <v>67096.0</v>
      </c>
      <c r="O1209" s="179">
        <v>686.0</v>
      </c>
      <c r="P1209" s="179">
        <v>0.0102</v>
      </c>
      <c r="Q1209" s="179">
        <v>13530.9</v>
      </c>
      <c r="R1209" s="179">
        <v>19.72</v>
      </c>
      <c r="S1209" s="179">
        <v>1350.0</v>
      </c>
      <c r="T1209" s="179">
        <v>0.0</v>
      </c>
      <c r="U1209" s="179">
        <v>0.0</v>
      </c>
      <c r="V1209" s="179">
        <v>0.0</v>
      </c>
      <c r="W1209" s="179">
        <v>0.0</v>
      </c>
      <c r="X1209" s="179">
        <v>0.0</v>
      </c>
      <c r="Y1209" s="179">
        <v>0.0</v>
      </c>
      <c r="Z1209" s="179">
        <v>0.0</v>
      </c>
      <c r="AA1209" s="179">
        <v>0.0</v>
      </c>
      <c r="AB1209" s="179">
        <v>7566.0</v>
      </c>
      <c r="AC1209" s="179">
        <v>1788.38</v>
      </c>
      <c r="AD1209" s="179">
        <v>0.0</v>
      </c>
      <c r="AE1209" s="179">
        <v>0.0</v>
      </c>
      <c r="AF1209" s="179">
        <v>0.0</v>
      </c>
      <c r="AG1209" s="179">
        <v>0.0</v>
      </c>
      <c r="AH1209" s="179">
        <v>0.0</v>
      </c>
      <c r="AI1209" s="179">
        <v>0.0</v>
      </c>
      <c r="AJ1209" s="179">
        <v>0.0</v>
      </c>
    </row>
    <row r="1210" ht="15.75" customHeight="1">
      <c r="A1210" s="65">
        <v>45717.0</v>
      </c>
      <c r="B1210" s="179" t="s">
        <v>779</v>
      </c>
      <c r="C1210" s="179" t="s">
        <v>1245</v>
      </c>
      <c r="D1210" s="179" t="s">
        <v>781</v>
      </c>
      <c r="E1210" s="179" t="s">
        <v>462</v>
      </c>
      <c r="F1210" s="179" t="s">
        <v>774</v>
      </c>
      <c r="G1210" s="179"/>
      <c r="H1210" s="179" t="s">
        <v>1106</v>
      </c>
      <c r="I1210" s="179"/>
      <c r="J1210" s="179" t="s">
        <v>182</v>
      </c>
      <c r="K1210" s="179">
        <v>1500.0</v>
      </c>
      <c r="L1210" s="179" t="s">
        <v>776</v>
      </c>
      <c r="M1210" s="179" t="s">
        <v>8</v>
      </c>
      <c r="N1210" s="179">
        <v>50143.0</v>
      </c>
      <c r="O1210" s="179">
        <v>1044.0</v>
      </c>
      <c r="P1210" s="179">
        <v>0.0208</v>
      </c>
      <c r="Q1210" s="179">
        <v>8488.04</v>
      </c>
      <c r="R1210" s="179">
        <v>8.13</v>
      </c>
      <c r="S1210" s="179">
        <v>1906.0</v>
      </c>
      <c r="T1210" s="179">
        <v>0.0</v>
      </c>
      <c r="U1210" s="179">
        <v>0.0</v>
      </c>
      <c r="V1210" s="179">
        <v>0.0</v>
      </c>
      <c r="W1210" s="179">
        <v>0.0</v>
      </c>
      <c r="X1210" s="179">
        <v>0.0</v>
      </c>
      <c r="Y1210" s="179">
        <v>0.0</v>
      </c>
      <c r="Z1210" s="179">
        <v>0.0</v>
      </c>
      <c r="AA1210" s="179">
        <v>0.0</v>
      </c>
      <c r="AB1210" s="179">
        <v>9487.0</v>
      </c>
      <c r="AC1210" s="179">
        <v>894.7</v>
      </c>
      <c r="AD1210" s="179">
        <v>0.0</v>
      </c>
      <c r="AE1210" s="179">
        <v>0.0</v>
      </c>
      <c r="AF1210" s="179">
        <v>0.0</v>
      </c>
      <c r="AG1210" s="179">
        <v>0.0</v>
      </c>
      <c r="AH1210" s="179">
        <v>0.0</v>
      </c>
      <c r="AI1210" s="179">
        <v>0.0</v>
      </c>
      <c r="AJ1210" s="179">
        <v>0.0</v>
      </c>
    </row>
    <row r="1211" ht="15.75" customHeight="1">
      <c r="A1211" s="65">
        <v>45717.0</v>
      </c>
      <c r="B1211" s="179" t="s">
        <v>771</v>
      </c>
      <c r="C1211" s="179" t="s">
        <v>1074</v>
      </c>
      <c r="D1211" s="179" t="s">
        <v>773</v>
      </c>
      <c r="E1211" s="179" t="s">
        <v>459</v>
      </c>
      <c r="F1211" s="179" t="s">
        <v>774</v>
      </c>
      <c r="G1211" s="179" t="s">
        <v>775</v>
      </c>
      <c r="H1211" s="179" t="s">
        <v>1106</v>
      </c>
      <c r="I1211" s="179"/>
      <c r="J1211" s="179" t="s">
        <v>128</v>
      </c>
      <c r="K1211" s="179">
        <v>1550.0</v>
      </c>
      <c r="L1211" s="195">
        <v>0.0668</v>
      </c>
      <c r="M1211" s="179" t="s">
        <v>8</v>
      </c>
      <c r="N1211" s="179">
        <v>2912.0</v>
      </c>
      <c r="O1211" s="179">
        <v>21.0</v>
      </c>
      <c r="P1211" s="179">
        <v>0.0072</v>
      </c>
      <c r="Q1211" s="179">
        <v>98.62</v>
      </c>
      <c r="R1211" s="179">
        <v>4.7</v>
      </c>
      <c r="S1211" s="179">
        <v>0.0</v>
      </c>
      <c r="T1211" s="179">
        <v>4.0</v>
      </c>
      <c r="U1211" s="179">
        <v>14229.66</v>
      </c>
      <c r="V1211" s="179">
        <v>0.0069</v>
      </c>
      <c r="W1211" s="179">
        <v>144.2878</v>
      </c>
      <c r="X1211" s="179">
        <v>0.0</v>
      </c>
      <c r="Y1211" s="179">
        <v>0.0</v>
      </c>
      <c r="Z1211" s="179">
        <v>0.0</v>
      </c>
      <c r="AA1211" s="179">
        <v>0.0</v>
      </c>
      <c r="AB1211" s="179">
        <v>0.0</v>
      </c>
      <c r="AC1211" s="179">
        <v>0.0</v>
      </c>
      <c r="AD1211" s="179">
        <v>0.0</v>
      </c>
      <c r="AE1211" s="179">
        <v>0.0</v>
      </c>
      <c r="AF1211" s="179">
        <v>0.0</v>
      </c>
      <c r="AG1211" s="179">
        <v>0.0</v>
      </c>
      <c r="AH1211" s="179">
        <v>0.0</v>
      </c>
      <c r="AI1211" s="179">
        <v>0.0</v>
      </c>
      <c r="AJ1211" s="179">
        <v>0.0</v>
      </c>
    </row>
    <row r="1212" ht="15.75" customHeight="1">
      <c r="A1212" s="65">
        <v>45717.0</v>
      </c>
      <c r="B1212" s="179" t="s">
        <v>771</v>
      </c>
      <c r="C1212" s="179" t="s">
        <v>1023</v>
      </c>
      <c r="D1212" s="179" t="s">
        <v>773</v>
      </c>
      <c r="E1212" s="179" t="s">
        <v>459</v>
      </c>
      <c r="F1212" s="179" t="s">
        <v>774</v>
      </c>
      <c r="G1212" s="179" t="s">
        <v>775</v>
      </c>
      <c r="H1212" s="179" t="s">
        <v>1106</v>
      </c>
      <c r="I1212" s="179"/>
      <c r="J1212" s="179" t="s">
        <v>230</v>
      </c>
      <c r="K1212" s="179">
        <v>2000.0</v>
      </c>
      <c r="L1212" s="195">
        <v>0.091</v>
      </c>
      <c r="M1212" s="179" t="s">
        <v>8</v>
      </c>
      <c r="N1212" s="179">
        <v>8889.0</v>
      </c>
      <c r="O1212" s="179">
        <v>267.0</v>
      </c>
      <c r="P1212" s="179">
        <v>0.03</v>
      </c>
      <c r="Q1212" s="179">
        <v>20786.3</v>
      </c>
      <c r="R1212" s="179">
        <v>77.85</v>
      </c>
      <c r="S1212" s="179">
        <v>0.0</v>
      </c>
      <c r="T1212" s="179">
        <v>0.0</v>
      </c>
      <c r="U1212" s="179">
        <v>0.0</v>
      </c>
      <c r="V1212" s="179">
        <v>0.0</v>
      </c>
      <c r="W1212" s="179">
        <v>0.0</v>
      </c>
      <c r="X1212" s="179">
        <v>0.0</v>
      </c>
      <c r="Y1212" s="179">
        <v>0.0</v>
      </c>
      <c r="Z1212" s="179">
        <v>0.0</v>
      </c>
      <c r="AA1212" s="179">
        <v>0.0</v>
      </c>
      <c r="AB1212" s="179">
        <v>0.0</v>
      </c>
      <c r="AC1212" s="179">
        <v>0.0</v>
      </c>
      <c r="AD1212" s="179">
        <v>0.0</v>
      </c>
      <c r="AE1212" s="179">
        <v>0.0</v>
      </c>
      <c r="AF1212" s="179">
        <v>0.0</v>
      </c>
      <c r="AG1212" s="179">
        <v>0.0</v>
      </c>
      <c r="AH1212" s="179">
        <v>0.0</v>
      </c>
      <c r="AI1212" s="179">
        <v>0.0</v>
      </c>
      <c r="AJ1212" s="179">
        <v>0.0</v>
      </c>
    </row>
    <row r="1213" ht="15.75" customHeight="1">
      <c r="A1213" s="65">
        <v>45717.0</v>
      </c>
      <c r="B1213" s="179" t="s">
        <v>771</v>
      </c>
      <c r="C1213" s="179" t="s">
        <v>1271</v>
      </c>
      <c r="D1213" s="179" t="s">
        <v>773</v>
      </c>
      <c r="E1213" s="179" t="s">
        <v>459</v>
      </c>
      <c r="F1213" s="179" t="s">
        <v>774</v>
      </c>
      <c r="G1213" s="179" t="s">
        <v>775</v>
      </c>
      <c r="H1213" s="179" t="s">
        <v>1106</v>
      </c>
      <c r="I1213" s="179"/>
      <c r="J1213" s="179" t="s">
        <v>413</v>
      </c>
      <c r="K1213" s="179">
        <v>2000.0</v>
      </c>
      <c r="L1213" s="195">
        <v>0.0643</v>
      </c>
      <c r="M1213" s="179" t="s">
        <v>8</v>
      </c>
      <c r="N1213" s="179">
        <v>54865.0</v>
      </c>
      <c r="O1213" s="179">
        <v>272.0</v>
      </c>
      <c r="P1213" s="179">
        <v>0.005</v>
      </c>
      <c r="Q1213" s="179">
        <v>15229.25</v>
      </c>
      <c r="R1213" s="179">
        <v>55.99</v>
      </c>
      <c r="S1213" s="179">
        <v>0.0</v>
      </c>
      <c r="T1213" s="179">
        <v>2.0</v>
      </c>
      <c r="U1213" s="179">
        <v>16947.46</v>
      </c>
      <c r="V1213" s="179">
        <v>0.8986</v>
      </c>
      <c r="W1213" s="179">
        <v>1.1128</v>
      </c>
      <c r="X1213" s="179">
        <v>0.0</v>
      </c>
      <c r="Y1213" s="179">
        <v>0.0</v>
      </c>
      <c r="Z1213" s="179">
        <v>0.0</v>
      </c>
      <c r="AA1213" s="179">
        <v>0.0</v>
      </c>
      <c r="AB1213" s="179">
        <v>0.0</v>
      </c>
      <c r="AC1213" s="179">
        <v>0.0</v>
      </c>
      <c r="AD1213" s="179">
        <v>0.0</v>
      </c>
      <c r="AE1213" s="179">
        <v>0.0</v>
      </c>
      <c r="AF1213" s="179">
        <v>0.0</v>
      </c>
      <c r="AG1213" s="179">
        <v>0.0</v>
      </c>
      <c r="AH1213" s="179">
        <v>0.0</v>
      </c>
      <c r="AI1213" s="179">
        <v>0.0</v>
      </c>
      <c r="AJ1213" s="179">
        <v>0.0</v>
      </c>
    </row>
    <row r="1214" ht="15.75" customHeight="1">
      <c r="A1214" s="65">
        <v>45717.0</v>
      </c>
      <c r="B1214" s="179" t="s">
        <v>771</v>
      </c>
      <c r="C1214" s="179" t="s">
        <v>1272</v>
      </c>
      <c r="D1214" s="179" t="s">
        <v>773</v>
      </c>
      <c r="E1214" s="179" t="s">
        <v>459</v>
      </c>
      <c r="F1214" s="179" t="s">
        <v>774</v>
      </c>
      <c r="G1214" s="179" t="s">
        <v>775</v>
      </c>
      <c r="H1214" s="179" t="s">
        <v>1106</v>
      </c>
      <c r="I1214" s="179"/>
      <c r="J1214" s="179" t="s">
        <v>413</v>
      </c>
      <c r="K1214" s="179">
        <v>2000.0</v>
      </c>
      <c r="L1214" s="195">
        <v>0.0548</v>
      </c>
      <c r="M1214" s="179" t="s">
        <v>8</v>
      </c>
      <c r="N1214" s="179">
        <v>120818.0</v>
      </c>
      <c r="O1214" s="179">
        <v>559.0</v>
      </c>
      <c r="P1214" s="179">
        <v>0.0046</v>
      </c>
      <c r="Q1214" s="179">
        <v>18841.65</v>
      </c>
      <c r="R1214" s="179">
        <v>33.71</v>
      </c>
      <c r="S1214" s="179">
        <v>0.0</v>
      </c>
      <c r="T1214" s="179">
        <v>2.0</v>
      </c>
      <c r="U1214" s="179">
        <v>27669.49</v>
      </c>
      <c r="V1214" s="179">
        <v>0.681</v>
      </c>
      <c r="W1214" s="179">
        <v>1.4685</v>
      </c>
      <c r="X1214" s="179">
        <v>0.0</v>
      </c>
      <c r="Y1214" s="179">
        <v>0.0</v>
      </c>
      <c r="Z1214" s="179">
        <v>0.0</v>
      </c>
      <c r="AA1214" s="179">
        <v>0.0</v>
      </c>
      <c r="AB1214" s="179">
        <v>0.0</v>
      </c>
      <c r="AC1214" s="179">
        <v>0.0</v>
      </c>
      <c r="AD1214" s="179">
        <v>0.0</v>
      </c>
      <c r="AE1214" s="179">
        <v>0.0</v>
      </c>
      <c r="AF1214" s="179">
        <v>0.0</v>
      </c>
      <c r="AG1214" s="179">
        <v>0.0</v>
      </c>
      <c r="AH1214" s="179">
        <v>0.0</v>
      </c>
      <c r="AI1214" s="179">
        <v>0.0</v>
      </c>
      <c r="AJ1214" s="179">
        <v>0.0</v>
      </c>
    </row>
    <row r="1215" ht="15.75" customHeight="1">
      <c r="A1215" s="65">
        <v>45717.0</v>
      </c>
      <c r="B1215" s="179" t="s">
        <v>771</v>
      </c>
      <c r="C1215" s="179" t="s">
        <v>1274</v>
      </c>
      <c r="D1215" s="179" t="s">
        <v>773</v>
      </c>
      <c r="E1215" s="179" t="s">
        <v>459</v>
      </c>
      <c r="F1215" s="179" t="s">
        <v>774</v>
      </c>
      <c r="G1215" s="179" t="s">
        <v>775</v>
      </c>
      <c r="H1215" s="179" t="s">
        <v>1106</v>
      </c>
      <c r="I1215" s="179"/>
      <c r="J1215" s="179" t="s">
        <v>413</v>
      </c>
      <c r="K1215" s="179">
        <v>2000.0</v>
      </c>
      <c r="L1215" s="179" t="s">
        <v>776</v>
      </c>
      <c r="M1215" s="179" t="s">
        <v>8</v>
      </c>
      <c r="N1215" s="179">
        <v>73405.0</v>
      </c>
      <c r="O1215" s="179">
        <v>203.0</v>
      </c>
      <c r="P1215" s="179">
        <v>0.0028</v>
      </c>
      <c r="Q1215" s="179">
        <v>8902.49</v>
      </c>
      <c r="R1215" s="179">
        <v>43.85</v>
      </c>
      <c r="S1215" s="179">
        <v>0.0</v>
      </c>
      <c r="T1215" s="179">
        <v>3.0</v>
      </c>
      <c r="U1215" s="179">
        <v>45324.57</v>
      </c>
      <c r="V1215" s="179">
        <v>0.1964</v>
      </c>
      <c r="W1215" s="179">
        <v>5.0912</v>
      </c>
      <c r="X1215" s="179">
        <v>0.0</v>
      </c>
      <c r="Y1215" s="179">
        <v>0.0</v>
      </c>
      <c r="Z1215" s="179">
        <v>0.0</v>
      </c>
      <c r="AA1215" s="179">
        <v>0.0</v>
      </c>
      <c r="AB1215" s="179">
        <v>0.0</v>
      </c>
      <c r="AC1215" s="179">
        <v>0.0</v>
      </c>
      <c r="AD1215" s="179">
        <v>0.0</v>
      </c>
      <c r="AE1215" s="179">
        <v>0.0</v>
      </c>
      <c r="AF1215" s="179">
        <v>0.0</v>
      </c>
      <c r="AG1215" s="179">
        <v>0.0</v>
      </c>
      <c r="AH1215" s="179">
        <v>0.0</v>
      </c>
      <c r="AI1215" s="179">
        <v>0.0</v>
      </c>
      <c r="AJ1215" s="179">
        <v>0.0</v>
      </c>
    </row>
    <row r="1216" ht="15.75" customHeight="1">
      <c r="A1216" s="65">
        <v>45717.0</v>
      </c>
      <c r="B1216" s="179" t="s">
        <v>771</v>
      </c>
      <c r="C1216" s="179" t="s">
        <v>1275</v>
      </c>
      <c r="D1216" s="179" t="s">
        <v>773</v>
      </c>
      <c r="E1216" s="179" t="s">
        <v>459</v>
      </c>
      <c r="F1216" s="179" t="s">
        <v>774</v>
      </c>
      <c r="G1216" s="179" t="s">
        <v>775</v>
      </c>
      <c r="H1216" s="179" t="s">
        <v>1106</v>
      </c>
      <c r="I1216" s="179"/>
      <c r="J1216" s="179" t="s">
        <v>413</v>
      </c>
      <c r="K1216" s="179">
        <v>2125.0</v>
      </c>
      <c r="L1216" s="179" t="s">
        <v>776</v>
      </c>
      <c r="M1216" s="179" t="s">
        <v>8</v>
      </c>
      <c r="N1216" s="179">
        <v>205315.0</v>
      </c>
      <c r="O1216" s="179">
        <v>487.0</v>
      </c>
      <c r="P1216" s="179">
        <v>0.0024</v>
      </c>
      <c r="Q1216" s="179">
        <v>23324.35</v>
      </c>
      <c r="R1216" s="179">
        <v>47.89</v>
      </c>
      <c r="S1216" s="179">
        <v>0.0</v>
      </c>
      <c r="T1216" s="179">
        <v>5.0</v>
      </c>
      <c r="U1216" s="179">
        <v>70887.29</v>
      </c>
      <c r="V1216" s="179">
        <v>0.329</v>
      </c>
      <c r="W1216" s="179">
        <v>3.0392</v>
      </c>
      <c r="X1216" s="179">
        <v>0.0</v>
      </c>
      <c r="Y1216" s="179">
        <v>0.0</v>
      </c>
      <c r="Z1216" s="179">
        <v>0.0</v>
      </c>
      <c r="AA1216" s="179">
        <v>0.0</v>
      </c>
      <c r="AB1216" s="179">
        <v>0.0</v>
      </c>
      <c r="AC1216" s="179">
        <v>0.0</v>
      </c>
      <c r="AD1216" s="179">
        <v>0.0</v>
      </c>
      <c r="AE1216" s="179">
        <v>0.0</v>
      </c>
      <c r="AF1216" s="179">
        <v>0.0</v>
      </c>
      <c r="AG1216" s="179">
        <v>0.0</v>
      </c>
      <c r="AH1216" s="179">
        <v>0.0</v>
      </c>
      <c r="AI1216" s="179">
        <v>0.0</v>
      </c>
      <c r="AJ1216" s="179">
        <v>0.0</v>
      </c>
    </row>
    <row r="1217" ht="15.75" customHeight="1">
      <c r="A1217" s="65">
        <v>45717.0</v>
      </c>
      <c r="B1217" s="179" t="s">
        <v>771</v>
      </c>
      <c r="C1217" s="179" t="s">
        <v>822</v>
      </c>
      <c r="D1217" s="179" t="s">
        <v>773</v>
      </c>
      <c r="E1217" s="179" t="s">
        <v>462</v>
      </c>
      <c r="F1217" s="179" t="s">
        <v>774</v>
      </c>
      <c r="G1217" s="179"/>
      <c r="H1217" s="179" t="s">
        <v>1106</v>
      </c>
      <c r="I1217" s="179"/>
      <c r="J1217" s="179" t="s">
        <v>128</v>
      </c>
      <c r="K1217" s="179">
        <v>2500.0</v>
      </c>
      <c r="L1217" s="179" t="s">
        <v>776</v>
      </c>
      <c r="M1217" s="179" t="s">
        <v>8</v>
      </c>
      <c r="N1217" s="179">
        <v>370503.0</v>
      </c>
      <c r="O1217" s="179">
        <v>1721.0</v>
      </c>
      <c r="P1217" s="179">
        <v>0.0046</v>
      </c>
      <c r="Q1217" s="179">
        <v>43993.33</v>
      </c>
      <c r="R1217" s="179">
        <v>25.56</v>
      </c>
      <c r="S1217" s="179">
        <v>3408.0</v>
      </c>
      <c r="T1217" s="179">
        <v>3.0</v>
      </c>
      <c r="U1217" s="179">
        <v>52558.49</v>
      </c>
      <c r="V1217" s="179">
        <v>0.837</v>
      </c>
      <c r="W1217" s="179">
        <v>1.1947</v>
      </c>
      <c r="X1217" s="179">
        <v>2.0</v>
      </c>
      <c r="Y1217" s="179">
        <v>0.6667</v>
      </c>
      <c r="Z1217" s="179">
        <v>38152.55</v>
      </c>
      <c r="AA1217" s="179">
        <v>0.7259</v>
      </c>
      <c r="AB1217" s="179">
        <v>24670.0</v>
      </c>
      <c r="AC1217" s="179">
        <v>1783.27</v>
      </c>
      <c r="AD1217" s="179">
        <v>0.0</v>
      </c>
      <c r="AE1217" s="179">
        <v>0.0</v>
      </c>
      <c r="AF1217" s="179">
        <v>0.0</v>
      </c>
      <c r="AG1217" s="179">
        <v>0.0</v>
      </c>
      <c r="AH1217" s="179">
        <v>0.0</v>
      </c>
      <c r="AI1217" s="179">
        <v>0.0</v>
      </c>
      <c r="AJ1217" s="179">
        <v>0.0</v>
      </c>
    </row>
    <row r="1218" ht="15.75" customHeight="1">
      <c r="A1218" s="65">
        <v>45717.0</v>
      </c>
      <c r="B1218" s="179" t="s">
        <v>771</v>
      </c>
      <c r="C1218" s="179" t="s">
        <v>877</v>
      </c>
      <c r="D1218" s="179" t="s">
        <v>773</v>
      </c>
      <c r="E1218" s="179" t="s">
        <v>461</v>
      </c>
      <c r="F1218" s="179" t="s">
        <v>774</v>
      </c>
      <c r="G1218" s="179"/>
      <c r="H1218" s="179" t="s">
        <v>1106</v>
      </c>
      <c r="I1218" s="179"/>
      <c r="J1218" s="179" t="s">
        <v>196</v>
      </c>
      <c r="K1218" s="179">
        <v>3000.0</v>
      </c>
      <c r="L1218" s="179" t="s">
        <v>776</v>
      </c>
      <c r="M1218" s="179" t="s">
        <v>8</v>
      </c>
      <c r="N1218" s="179">
        <v>410033.0</v>
      </c>
      <c r="O1218" s="179">
        <v>2054.0</v>
      </c>
      <c r="P1218" s="179">
        <v>0.005</v>
      </c>
      <c r="Q1218" s="179">
        <v>50448.06</v>
      </c>
      <c r="R1218" s="179">
        <v>24.56</v>
      </c>
      <c r="S1218" s="179">
        <v>3613.0</v>
      </c>
      <c r="T1218" s="179">
        <v>11.0</v>
      </c>
      <c r="U1218" s="179">
        <v>200642.4</v>
      </c>
      <c r="V1218" s="179">
        <v>0.2514</v>
      </c>
      <c r="W1218" s="179">
        <v>3.9772</v>
      </c>
      <c r="X1218" s="179">
        <v>10.0</v>
      </c>
      <c r="Y1218" s="179">
        <v>0.9091</v>
      </c>
      <c r="Z1218" s="179">
        <v>172888.1</v>
      </c>
      <c r="AA1218" s="179">
        <v>0.8617</v>
      </c>
      <c r="AB1218" s="179">
        <v>112800.0</v>
      </c>
      <c r="AC1218" s="179">
        <v>447.23</v>
      </c>
      <c r="AD1218" s="179">
        <v>0.0</v>
      </c>
      <c r="AE1218" s="179">
        <v>0.0</v>
      </c>
      <c r="AF1218" s="179">
        <v>0.0</v>
      </c>
      <c r="AG1218" s="179">
        <v>0.0</v>
      </c>
      <c r="AH1218" s="179">
        <v>0.0</v>
      </c>
      <c r="AI1218" s="179">
        <v>0.0</v>
      </c>
      <c r="AJ1218" s="179">
        <v>0.0</v>
      </c>
    </row>
    <row r="1219" ht="15.75" customHeight="1">
      <c r="A1219" s="65">
        <v>45717.0</v>
      </c>
      <c r="B1219" s="179" t="s">
        <v>771</v>
      </c>
      <c r="C1219" s="179" t="s">
        <v>798</v>
      </c>
      <c r="D1219" s="179" t="s">
        <v>773</v>
      </c>
      <c r="E1219" s="179" t="s">
        <v>461</v>
      </c>
      <c r="F1219" s="179" t="s">
        <v>774</v>
      </c>
      <c r="G1219" s="179"/>
      <c r="H1219" s="179" t="s">
        <v>1106</v>
      </c>
      <c r="I1219" s="179"/>
      <c r="J1219" s="179" t="s">
        <v>128</v>
      </c>
      <c r="K1219" s="179">
        <v>5000.0</v>
      </c>
      <c r="L1219" s="179" t="s">
        <v>776</v>
      </c>
      <c r="M1219" s="179" t="s">
        <v>8</v>
      </c>
      <c r="N1219" s="179">
        <v>785528.0</v>
      </c>
      <c r="O1219" s="179">
        <v>1922.0</v>
      </c>
      <c r="P1219" s="179">
        <v>0.0024</v>
      </c>
      <c r="Q1219" s="179">
        <v>62005.83</v>
      </c>
      <c r="R1219" s="179">
        <v>32.26</v>
      </c>
      <c r="S1219" s="179">
        <v>2194.0</v>
      </c>
      <c r="T1219" s="179">
        <v>9.0</v>
      </c>
      <c r="U1219" s="179">
        <v>192470.3</v>
      </c>
      <c r="V1219" s="179">
        <v>0.3222</v>
      </c>
      <c r="W1219" s="179">
        <v>3.1041</v>
      </c>
      <c r="X1219" s="179">
        <v>7.0</v>
      </c>
      <c r="Y1219" s="179">
        <v>0.7778</v>
      </c>
      <c r="Z1219" s="179">
        <v>190607.6</v>
      </c>
      <c r="AA1219" s="179">
        <v>0.9903</v>
      </c>
      <c r="AB1219" s="179">
        <v>149958.0</v>
      </c>
      <c r="AC1219" s="179">
        <v>413.49</v>
      </c>
      <c r="AD1219" s="179">
        <v>0.0</v>
      </c>
      <c r="AE1219" s="179">
        <v>0.0</v>
      </c>
      <c r="AF1219" s="179">
        <v>0.0</v>
      </c>
      <c r="AG1219" s="179">
        <v>0.0</v>
      </c>
      <c r="AH1219" s="179">
        <v>0.0</v>
      </c>
      <c r="AI1219" s="179">
        <v>0.0</v>
      </c>
      <c r="AJ1219" s="179">
        <v>0.0</v>
      </c>
    </row>
    <row r="1220" ht="15.75" customHeight="1">
      <c r="A1220" s="188"/>
      <c r="B1220" s="179"/>
      <c r="C1220" s="179"/>
      <c r="D1220" s="179"/>
      <c r="E1220" s="179"/>
      <c r="F1220" s="179"/>
      <c r="G1220" s="179"/>
      <c r="H1220" s="179"/>
      <c r="I1220" s="179"/>
      <c r="J1220" s="179"/>
      <c r="K1220" s="179"/>
      <c r="L1220" s="179"/>
      <c r="M1220" s="179"/>
      <c r="N1220" s="179"/>
      <c r="O1220" s="179"/>
      <c r="P1220" s="179"/>
      <c r="Q1220" s="179"/>
      <c r="R1220" s="179"/>
      <c r="S1220" s="179"/>
      <c r="T1220" s="179"/>
      <c r="U1220" s="179"/>
      <c r="V1220" s="179"/>
      <c r="W1220" s="179"/>
      <c r="X1220" s="179"/>
      <c r="Y1220" s="179"/>
      <c r="Z1220" s="179"/>
      <c r="AA1220" s="179"/>
      <c r="AB1220" s="179"/>
      <c r="AC1220" s="179"/>
      <c r="AD1220" s="179"/>
      <c r="AE1220" s="179"/>
      <c r="AF1220" s="179"/>
      <c r="AG1220" s="179"/>
      <c r="AH1220" s="179"/>
      <c r="AI1220" s="179"/>
      <c r="AJ1220" s="179"/>
    </row>
    <row r="1221" ht="15.75" customHeight="1">
      <c r="A1221" s="188"/>
      <c r="B1221" s="179"/>
      <c r="C1221" s="179"/>
      <c r="D1221" s="179"/>
      <c r="E1221" s="179"/>
      <c r="F1221" s="179"/>
      <c r="G1221" s="179"/>
      <c r="H1221" s="179"/>
      <c r="I1221" s="179"/>
      <c r="J1221" s="179"/>
      <c r="K1221" s="179"/>
      <c r="L1221" s="179"/>
      <c r="M1221" s="179"/>
      <c r="N1221" s="179"/>
      <c r="O1221" s="179"/>
      <c r="P1221" s="179"/>
      <c r="Q1221" s="179"/>
      <c r="R1221" s="179"/>
      <c r="S1221" s="179"/>
      <c r="T1221" s="179"/>
      <c r="U1221" s="179"/>
      <c r="V1221" s="179"/>
      <c r="W1221" s="179"/>
      <c r="X1221" s="179"/>
      <c r="Y1221" s="179"/>
      <c r="Z1221" s="179"/>
      <c r="AA1221" s="179"/>
      <c r="AB1221" s="179"/>
      <c r="AC1221" s="179"/>
      <c r="AD1221" s="179"/>
      <c r="AE1221" s="179"/>
      <c r="AF1221" s="179"/>
      <c r="AG1221" s="179"/>
      <c r="AH1221" s="179"/>
      <c r="AI1221" s="179"/>
      <c r="AJ1221" s="179"/>
    </row>
    <row r="1222" ht="15.75" customHeight="1">
      <c r="A1222" s="200">
        <v>45772.0</v>
      </c>
      <c r="B1222" s="179" t="s">
        <v>771</v>
      </c>
      <c r="C1222" s="179" t="s">
        <v>877</v>
      </c>
      <c r="D1222" s="179" t="s">
        <v>773</v>
      </c>
      <c r="E1222" s="179" t="s">
        <v>461</v>
      </c>
      <c r="F1222" s="179" t="s">
        <v>774</v>
      </c>
      <c r="G1222" s="179"/>
      <c r="H1222" s="179" t="s">
        <v>1106</v>
      </c>
      <c r="I1222" s="179"/>
      <c r="J1222" s="179" t="s">
        <v>196</v>
      </c>
      <c r="K1222" s="179">
        <v>2500.0</v>
      </c>
      <c r="L1222" s="195">
        <v>0.1938</v>
      </c>
      <c r="M1222" s="179" t="s">
        <v>8</v>
      </c>
      <c r="N1222" s="179">
        <v>568333.0</v>
      </c>
      <c r="O1222" s="179">
        <v>2586.0</v>
      </c>
      <c r="P1222" s="179">
        <v>0.0046</v>
      </c>
      <c r="Q1222" s="179">
        <v>74861.57</v>
      </c>
      <c r="R1222" s="179">
        <v>28.95</v>
      </c>
      <c r="S1222" s="179">
        <v>5108.0</v>
      </c>
      <c r="T1222" s="179">
        <v>16.0</v>
      </c>
      <c r="U1222" s="179">
        <v>249940.7</v>
      </c>
      <c r="V1222" s="179">
        <v>0.2995</v>
      </c>
      <c r="W1222" s="179">
        <v>3.3387</v>
      </c>
      <c r="X1222" s="179">
        <v>16.0</v>
      </c>
      <c r="Y1222" s="179">
        <v>1.0</v>
      </c>
      <c r="Z1222" s="179">
        <v>249940.7</v>
      </c>
      <c r="AA1222" s="179">
        <v>1.0</v>
      </c>
      <c r="AB1222" s="179">
        <v>143519.0</v>
      </c>
      <c r="AC1222" s="179">
        <v>521.61</v>
      </c>
      <c r="AD1222" s="179">
        <v>0.0</v>
      </c>
      <c r="AE1222" s="179">
        <v>0.0</v>
      </c>
      <c r="AF1222" s="179">
        <v>0.0</v>
      </c>
      <c r="AG1222" s="179">
        <v>0.0</v>
      </c>
      <c r="AH1222" s="179">
        <v>0.0</v>
      </c>
      <c r="AI1222" s="179">
        <v>0.0</v>
      </c>
      <c r="AJ1222" s="179">
        <v>0.0</v>
      </c>
    </row>
    <row r="1223" ht="15.75" customHeight="1">
      <c r="A1223" s="200">
        <v>45772.0</v>
      </c>
      <c r="B1223" s="179" t="s">
        <v>771</v>
      </c>
      <c r="C1223" s="179" t="s">
        <v>798</v>
      </c>
      <c r="D1223" s="179" t="s">
        <v>773</v>
      </c>
      <c r="E1223" s="179" t="s">
        <v>461</v>
      </c>
      <c r="F1223" s="179" t="s">
        <v>774</v>
      </c>
      <c r="G1223" s="179"/>
      <c r="H1223" s="179" t="s">
        <v>1106</v>
      </c>
      <c r="I1223" s="179"/>
      <c r="J1223" s="179" t="s">
        <v>128</v>
      </c>
      <c r="K1223" s="179">
        <v>3500.0</v>
      </c>
      <c r="L1223" s="179" t="s">
        <v>776</v>
      </c>
      <c r="M1223" s="179" t="s">
        <v>8</v>
      </c>
      <c r="N1223" s="179">
        <v>689397.0</v>
      </c>
      <c r="O1223" s="179">
        <v>1645.0</v>
      </c>
      <c r="P1223" s="179">
        <v>0.0024</v>
      </c>
      <c r="Q1223" s="179">
        <v>53917.45</v>
      </c>
      <c r="R1223" s="179">
        <v>32.78</v>
      </c>
      <c r="S1223" s="179">
        <v>2477.0</v>
      </c>
      <c r="T1223" s="179">
        <v>9.0</v>
      </c>
      <c r="U1223" s="179">
        <v>91655.93</v>
      </c>
      <c r="V1223" s="179">
        <v>0.5883</v>
      </c>
      <c r="W1223" s="179">
        <v>1.6999</v>
      </c>
      <c r="X1223" s="179">
        <v>8.0</v>
      </c>
      <c r="Y1223" s="179">
        <v>0.8889</v>
      </c>
      <c r="Z1223" s="179">
        <v>91233.05</v>
      </c>
      <c r="AA1223" s="179">
        <v>0.9954</v>
      </c>
      <c r="AB1223" s="179">
        <v>224311.0</v>
      </c>
      <c r="AC1223" s="179">
        <v>240.37</v>
      </c>
      <c r="AD1223" s="179">
        <v>0.0</v>
      </c>
      <c r="AE1223" s="179">
        <v>0.0</v>
      </c>
      <c r="AF1223" s="179">
        <v>0.0</v>
      </c>
      <c r="AG1223" s="179">
        <v>0.0</v>
      </c>
      <c r="AH1223" s="179">
        <v>0.0</v>
      </c>
      <c r="AI1223" s="179">
        <v>0.0</v>
      </c>
      <c r="AJ1223" s="179">
        <v>0.0</v>
      </c>
    </row>
    <row r="1224" ht="15.75" customHeight="1">
      <c r="A1224" s="200">
        <v>45772.0</v>
      </c>
      <c r="B1224" s="179" t="s">
        <v>771</v>
      </c>
      <c r="C1224" s="179" t="s">
        <v>1068</v>
      </c>
      <c r="D1224" s="179" t="s">
        <v>773</v>
      </c>
      <c r="E1224" s="179" t="s">
        <v>462</v>
      </c>
      <c r="F1224" s="179" t="s">
        <v>774</v>
      </c>
      <c r="G1224" s="179"/>
      <c r="H1224" s="179" t="s">
        <v>1106</v>
      </c>
      <c r="I1224" s="179"/>
      <c r="J1224" s="179" t="s">
        <v>413</v>
      </c>
      <c r="K1224" s="179">
        <v>1500.0</v>
      </c>
      <c r="L1224" s="195">
        <v>0.139</v>
      </c>
      <c r="M1224" s="179" t="s">
        <v>8</v>
      </c>
      <c r="N1224" s="179">
        <v>163087.0</v>
      </c>
      <c r="O1224" s="179">
        <v>1818.0</v>
      </c>
      <c r="P1224" s="179">
        <v>0.0111</v>
      </c>
      <c r="Q1224" s="179">
        <v>42699.86</v>
      </c>
      <c r="R1224" s="179">
        <v>23.49</v>
      </c>
      <c r="S1224" s="179">
        <v>3540.0</v>
      </c>
      <c r="T1224" s="179">
        <v>8.0</v>
      </c>
      <c r="U1224" s="179">
        <v>117927.1</v>
      </c>
      <c r="V1224" s="179">
        <v>0.3621</v>
      </c>
      <c r="W1224" s="179">
        <v>2.7618</v>
      </c>
      <c r="X1224" s="179">
        <v>8.0</v>
      </c>
      <c r="Y1224" s="179">
        <v>1.0</v>
      </c>
      <c r="Z1224" s="179">
        <v>117927.1</v>
      </c>
      <c r="AA1224" s="179">
        <v>1.0</v>
      </c>
      <c r="AB1224" s="179">
        <v>21733.0</v>
      </c>
      <c r="AC1224" s="179">
        <v>1964.75</v>
      </c>
      <c r="AD1224" s="179">
        <v>0.0</v>
      </c>
      <c r="AE1224" s="179">
        <v>0.0</v>
      </c>
      <c r="AF1224" s="179">
        <v>0.0</v>
      </c>
      <c r="AG1224" s="179">
        <v>0.0</v>
      </c>
      <c r="AH1224" s="179">
        <v>0.0</v>
      </c>
      <c r="AI1224" s="179">
        <v>0.0</v>
      </c>
      <c r="AJ1224" s="179">
        <v>0.0</v>
      </c>
    </row>
    <row r="1225" ht="15.75" customHeight="1">
      <c r="A1225" s="200">
        <v>45772.0</v>
      </c>
      <c r="B1225" s="179" t="s">
        <v>771</v>
      </c>
      <c r="C1225" s="179" t="s">
        <v>1064</v>
      </c>
      <c r="D1225" s="179" t="s">
        <v>773</v>
      </c>
      <c r="E1225" s="179" t="s">
        <v>459</v>
      </c>
      <c r="F1225" s="179" t="s">
        <v>774</v>
      </c>
      <c r="G1225" s="179" t="s">
        <v>775</v>
      </c>
      <c r="H1225" s="179" t="s">
        <v>1106</v>
      </c>
      <c r="I1225" s="179"/>
      <c r="J1225" s="179" t="s">
        <v>413</v>
      </c>
      <c r="K1225" s="179">
        <v>450.0</v>
      </c>
      <c r="L1225" s="195">
        <v>0.1122</v>
      </c>
      <c r="M1225" s="179" t="s">
        <v>8</v>
      </c>
      <c r="N1225" s="179">
        <v>32235.0</v>
      </c>
      <c r="O1225" s="179">
        <v>780.0</v>
      </c>
      <c r="P1225" s="179">
        <v>0.0242</v>
      </c>
      <c r="Q1225" s="179">
        <v>37172.8</v>
      </c>
      <c r="R1225" s="179">
        <v>47.66</v>
      </c>
      <c r="S1225" s="179">
        <v>0.0</v>
      </c>
      <c r="T1225" s="179">
        <v>4.0</v>
      </c>
      <c r="U1225" s="179">
        <v>71566.11</v>
      </c>
      <c r="V1225" s="179">
        <v>0.5194</v>
      </c>
      <c r="W1225" s="179">
        <v>1.9252</v>
      </c>
      <c r="X1225" s="179">
        <v>0.0</v>
      </c>
      <c r="Y1225" s="179">
        <v>0.0</v>
      </c>
      <c r="Z1225" s="179">
        <v>0.0</v>
      </c>
      <c r="AA1225" s="179">
        <v>0.0</v>
      </c>
      <c r="AB1225" s="179">
        <v>0.0</v>
      </c>
      <c r="AC1225" s="179">
        <v>0.0</v>
      </c>
      <c r="AD1225" s="179">
        <v>0.0</v>
      </c>
      <c r="AE1225" s="179">
        <v>0.0</v>
      </c>
      <c r="AF1225" s="179">
        <v>0.0</v>
      </c>
      <c r="AG1225" s="179">
        <v>0.0</v>
      </c>
      <c r="AH1225" s="179">
        <v>0.0</v>
      </c>
      <c r="AI1225" s="179">
        <v>0.0</v>
      </c>
      <c r="AJ1225" s="179">
        <v>0.0</v>
      </c>
    </row>
    <row r="1226" ht="15.75" customHeight="1">
      <c r="A1226" s="200">
        <v>45772.0</v>
      </c>
      <c r="B1226" s="179" t="s">
        <v>771</v>
      </c>
      <c r="C1226" s="179" t="s">
        <v>1271</v>
      </c>
      <c r="D1226" s="179" t="s">
        <v>931</v>
      </c>
      <c r="E1226" s="179" t="s">
        <v>459</v>
      </c>
      <c r="F1226" s="179" t="s">
        <v>774</v>
      </c>
      <c r="G1226" s="179" t="s">
        <v>775</v>
      </c>
      <c r="H1226" s="179" t="s">
        <v>1106</v>
      </c>
      <c r="I1226" s="179"/>
      <c r="J1226" s="179" t="s">
        <v>413</v>
      </c>
      <c r="K1226" s="179">
        <v>800.0</v>
      </c>
      <c r="L1226" s="195">
        <v>0.0651</v>
      </c>
      <c r="M1226" s="179" t="s">
        <v>8</v>
      </c>
      <c r="N1226" s="179">
        <v>31887.0</v>
      </c>
      <c r="O1226" s="179">
        <v>571.0</v>
      </c>
      <c r="P1226" s="179">
        <v>0.0179</v>
      </c>
      <c r="Q1226" s="179">
        <v>30747.88</v>
      </c>
      <c r="R1226" s="179">
        <v>53.85</v>
      </c>
      <c r="S1226" s="179">
        <v>0.0</v>
      </c>
      <c r="T1226" s="179">
        <v>3.0</v>
      </c>
      <c r="U1226" s="179">
        <v>46193.23</v>
      </c>
      <c r="V1226" s="179">
        <v>0.6656</v>
      </c>
      <c r="W1226" s="179">
        <v>1.5023</v>
      </c>
      <c r="X1226" s="179">
        <v>0.0</v>
      </c>
      <c r="Y1226" s="179">
        <v>0.0</v>
      </c>
      <c r="Z1226" s="179">
        <v>0.0</v>
      </c>
      <c r="AA1226" s="179">
        <v>0.0</v>
      </c>
      <c r="AB1226" s="179">
        <v>0.0</v>
      </c>
      <c r="AC1226" s="179">
        <v>0.0</v>
      </c>
      <c r="AD1226" s="179">
        <v>0.0</v>
      </c>
      <c r="AE1226" s="179">
        <v>0.0</v>
      </c>
      <c r="AF1226" s="179">
        <v>0.0</v>
      </c>
      <c r="AG1226" s="179">
        <v>0.0</v>
      </c>
      <c r="AH1226" s="179">
        <v>0.0</v>
      </c>
      <c r="AI1226" s="179">
        <v>0.0</v>
      </c>
      <c r="AJ1226" s="179">
        <v>0.0</v>
      </c>
    </row>
    <row r="1227" ht="15.75" customHeight="1">
      <c r="A1227" s="200">
        <v>45772.0</v>
      </c>
      <c r="B1227" s="179" t="s">
        <v>771</v>
      </c>
      <c r="C1227" s="179" t="s">
        <v>1097</v>
      </c>
      <c r="D1227" s="179" t="s">
        <v>773</v>
      </c>
      <c r="E1227" s="179" t="s">
        <v>459</v>
      </c>
      <c r="F1227" s="179" t="s">
        <v>774</v>
      </c>
      <c r="G1227" s="179" t="s">
        <v>775</v>
      </c>
      <c r="H1227" s="179" t="s">
        <v>1106</v>
      </c>
      <c r="I1227" s="179"/>
      <c r="J1227" s="179" t="s">
        <v>128</v>
      </c>
      <c r="K1227" s="179">
        <v>3000.0</v>
      </c>
      <c r="L1227" s="195">
        <v>0.0671</v>
      </c>
      <c r="M1227" s="179" t="s">
        <v>8</v>
      </c>
      <c r="N1227" s="179">
        <v>65618.0</v>
      </c>
      <c r="O1227" s="179">
        <v>486.0</v>
      </c>
      <c r="P1227" s="179">
        <v>0.0074</v>
      </c>
      <c r="Q1227" s="179">
        <v>19842.82</v>
      </c>
      <c r="R1227" s="179">
        <v>40.83</v>
      </c>
      <c r="S1227" s="179">
        <v>0.0</v>
      </c>
      <c r="T1227" s="179">
        <v>7.0</v>
      </c>
      <c r="U1227" s="179">
        <v>141257.6</v>
      </c>
      <c r="V1227" s="179">
        <v>0.1405</v>
      </c>
      <c r="W1227" s="179">
        <v>7.1188</v>
      </c>
      <c r="X1227" s="179">
        <v>0.0</v>
      </c>
      <c r="Y1227" s="179">
        <v>0.0</v>
      </c>
      <c r="Z1227" s="179">
        <v>0.0</v>
      </c>
      <c r="AA1227" s="179">
        <v>0.0</v>
      </c>
      <c r="AB1227" s="179">
        <v>0.0</v>
      </c>
      <c r="AC1227" s="179">
        <v>0.0</v>
      </c>
      <c r="AD1227" s="179">
        <v>0.0</v>
      </c>
      <c r="AE1227" s="179">
        <v>0.0</v>
      </c>
      <c r="AF1227" s="179">
        <v>0.0</v>
      </c>
      <c r="AG1227" s="179">
        <v>0.0</v>
      </c>
      <c r="AH1227" s="179">
        <v>0.0</v>
      </c>
      <c r="AI1227" s="179">
        <v>0.0</v>
      </c>
      <c r="AJ1227" s="179">
        <v>0.0</v>
      </c>
    </row>
    <row r="1228" ht="15.75" customHeight="1">
      <c r="A1228" s="200">
        <v>45772.0</v>
      </c>
      <c r="B1228" s="179" t="s">
        <v>771</v>
      </c>
      <c r="C1228" s="179" t="s">
        <v>934</v>
      </c>
      <c r="D1228" s="179" t="s">
        <v>773</v>
      </c>
      <c r="E1228" s="179" t="s">
        <v>459</v>
      </c>
      <c r="F1228" s="179" t="s">
        <v>774</v>
      </c>
      <c r="G1228" s="179" t="s">
        <v>775</v>
      </c>
      <c r="H1228" s="179" t="s">
        <v>1106</v>
      </c>
      <c r="I1228" s="179"/>
      <c r="J1228" s="179" t="s">
        <v>230</v>
      </c>
      <c r="K1228" s="179">
        <v>800.0</v>
      </c>
      <c r="L1228" s="179" t="s">
        <v>776</v>
      </c>
      <c r="M1228" s="179" t="s">
        <v>8</v>
      </c>
      <c r="N1228" s="179">
        <v>239250.0</v>
      </c>
      <c r="O1228" s="179">
        <v>494.0</v>
      </c>
      <c r="P1228" s="179">
        <v>0.0021</v>
      </c>
      <c r="Q1228" s="179">
        <v>19203.08</v>
      </c>
      <c r="R1228" s="179">
        <v>38.87</v>
      </c>
      <c r="S1228" s="179">
        <v>0.0</v>
      </c>
      <c r="T1228" s="179">
        <v>3.0</v>
      </c>
      <c r="U1228" s="179">
        <v>66881.36</v>
      </c>
      <c r="V1228" s="179">
        <v>0.2871</v>
      </c>
      <c r="W1228" s="179">
        <v>3.4828</v>
      </c>
      <c r="X1228" s="179">
        <v>0.0</v>
      </c>
      <c r="Y1228" s="179">
        <v>0.0</v>
      </c>
      <c r="Z1228" s="179">
        <v>0.0</v>
      </c>
      <c r="AA1228" s="179">
        <v>0.0</v>
      </c>
      <c r="AB1228" s="179">
        <v>0.0</v>
      </c>
      <c r="AC1228" s="179">
        <v>0.0</v>
      </c>
      <c r="AD1228" s="179">
        <v>0.0</v>
      </c>
      <c r="AE1228" s="179">
        <v>0.0</v>
      </c>
      <c r="AF1228" s="179">
        <v>0.0</v>
      </c>
      <c r="AG1228" s="179">
        <v>0.0</v>
      </c>
      <c r="AH1228" s="179">
        <v>0.0</v>
      </c>
      <c r="AI1228" s="179">
        <v>0.0</v>
      </c>
      <c r="AJ1228" s="179">
        <v>0.0</v>
      </c>
    </row>
    <row r="1229" ht="15.75" customHeight="1">
      <c r="A1229" s="200">
        <v>45772.0</v>
      </c>
      <c r="B1229" s="179" t="s">
        <v>771</v>
      </c>
      <c r="C1229" s="179" t="s">
        <v>1091</v>
      </c>
      <c r="D1229" s="179" t="s">
        <v>931</v>
      </c>
      <c r="E1229" s="179" t="s">
        <v>459</v>
      </c>
      <c r="F1229" s="179" t="s">
        <v>774</v>
      </c>
      <c r="G1229" s="179" t="s">
        <v>775</v>
      </c>
      <c r="H1229" s="179" t="s">
        <v>1106</v>
      </c>
      <c r="I1229" s="179"/>
      <c r="J1229" s="179" t="s">
        <v>413</v>
      </c>
      <c r="K1229" s="179">
        <v>240.0</v>
      </c>
      <c r="L1229" s="179" t="s">
        <v>776</v>
      </c>
      <c r="M1229" s="179" t="s">
        <v>8</v>
      </c>
      <c r="N1229" s="179">
        <v>97541.0</v>
      </c>
      <c r="O1229" s="179">
        <v>470.0</v>
      </c>
      <c r="P1229" s="179">
        <v>0.0048</v>
      </c>
      <c r="Q1229" s="179">
        <v>18504.83</v>
      </c>
      <c r="R1229" s="179">
        <v>39.37</v>
      </c>
      <c r="S1229" s="179">
        <v>0.0</v>
      </c>
      <c r="T1229" s="179">
        <v>3.0</v>
      </c>
      <c r="U1229" s="179">
        <v>41947.45</v>
      </c>
      <c r="V1229" s="179">
        <v>0.4411</v>
      </c>
      <c r="W1229" s="179">
        <v>2.2668</v>
      </c>
      <c r="X1229" s="179">
        <v>0.0</v>
      </c>
      <c r="Y1229" s="179">
        <v>0.0</v>
      </c>
      <c r="Z1229" s="179">
        <v>0.0</v>
      </c>
      <c r="AA1229" s="179">
        <v>0.0</v>
      </c>
      <c r="AB1229" s="179">
        <v>0.0</v>
      </c>
      <c r="AC1229" s="179">
        <v>0.0</v>
      </c>
      <c r="AD1229" s="179">
        <v>0.0</v>
      </c>
      <c r="AE1229" s="179">
        <v>0.0</v>
      </c>
      <c r="AF1229" s="179">
        <v>0.0</v>
      </c>
      <c r="AG1229" s="179">
        <v>0.0</v>
      </c>
      <c r="AH1229" s="179">
        <v>0.0</v>
      </c>
      <c r="AI1229" s="179">
        <v>0.0</v>
      </c>
      <c r="AJ1229" s="179">
        <v>0.0</v>
      </c>
    </row>
    <row r="1230" ht="15.75" customHeight="1">
      <c r="A1230" s="200">
        <v>45772.0</v>
      </c>
      <c r="B1230" s="179" t="s">
        <v>771</v>
      </c>
      <c r="C1230" s="179" t="s">
        <v>1264</v>
      </c>
      <c r="D1230" s="179" t="s">
        <v>931</v>
      </c>
      <c r="E1230" s="179" t="s">
        <v>461</v>
      </c>
      <c r="F1230" s="179" t="s">
        <v>774</v>
      </c>
      <c r="G1230" s="179"/>
      <c r="H1230" s="179" t="s">
        <v>1106</v>
      </c>
      <c r="I1230" s="179"/>
      <c r="J1230" s="179" t="s">
        <v>134</v>
      </c>
      <c r="K1230" s="179">
        <v>150.0</v>
      </c>
      <c r="L1230" s="179" t="s">
        <v>776</v>
      </c>
      <c r="M1230" s="179" t="s">
        <v>8</v>
      </c>
      <c r="N1230" s="179">
        <v>1301015.0</v>
      </c>
      <c r="O1230" s="179">
        <v>3352.0</v>
      </c>
      <c r="P1230" s="179">
        <v>0.0026</v>
      </c>
      <c r="Q1230" s="179">
        <v>18164.5</v>
      </c>
      <c r="R1230" s="179">
        <v>5.42</v>
      </c>
      <c r="S1230" s="179">
        <v>2291.0</v>
      </c>
      <c r="T1230" s="179">
        <v>2.0</v>
      </c>
      <c r="U1230" s="179">
        <v>36227.96</v>
      </c>
      <c r="V1230" s="179">
        <v>0.5014</v>
      </c>
      <c r="W1230" s="179">
        <v>1.9944</v>
      </c>
      <c r="X1230" s="179">
        <v>2.0</v>
      </c>
      <c r="Y1230" s="179">
        <v>1.0</v>
      </c>
      <c r="Z1230" s="179">
        <v>36227.96</v>
      </c>
      <c r="AA1230" s="179">
        <v>1.0</v>
      </c>
      <c r="AB1230" s="179">
        <v>296692.0</v>
      </c>
      <c r="AC1230" s="179">
        <v>61.22</v>
      </c>
      <c r="AD1230" s="179">
        <v>0.0</v>
      </c>
      <c r="AE1230" s="179">
        <v>0.0</v>
      </c>
      <c r="AF1230" s="179">
        <v>0.0</v>
      </c>
      <c r="AG1230" s="179">
        <v>0.0</v>
      </c>
      <c r="AH1230" s="179">
        <v>0.0</v>
      </c>
      <c r="AI1230" s="179">
        <v>0.0</v>
      </c>
      <c r="AJ1230" s="179">
        <v>0.0</v>
      </c>
    </row>
    <row r="1231" ht="15.75" customHeight="1">
      <c r="A1231" s="200">
        <v>45772.0</v>
      </c>
      <c r="B1231" s="179" t="s">
        <v>771</v>
      </c>
      <c r="C1231" s="179" t="s">
        <v>1263</v>
      </c>
      <c r="D1231" s="179" t="s">
        <v>931</v>
      </c>
      <c r="E1231" s="179" t="s">
        <v>461</v>
      </c>
      <c r="F1231" s="179" t="s">
        <v>774</v>
      </c>
      <c r="G1231" s="179"/>
      <c r="H1231" s="179" t="s">
        <v>1106</v>
      </c>
      <c r="I1231" s="179"/>
      <c r="J1231" s="179" t="s">
        <v>196</v>
      </c>
      <c r="K1231" s="179">
        <v>120.0</v>
      </c>
      <c r="L1231" s="195">
        <v>0.0615</v>
      </c>
      <c r="M1231" s="179" t="s">
        <v>8</v>
      </c>
      <c r="N1231" s="179">
        <v>313221.0</v>
      </c>
      <c r="O1231" s="179">
        <v>1287.0</v>
      </c>
      <c r="P1231" s="179">
        <v>0.0041</v>
      </c>
      <c r="Q1231" s="179">
        <v>18044.59</v>
      </c>
      <c r="R1231" s="179">
        <v>14.02</v>
      </c>
      <c r="S1231" s="179">
        <v>1127.0</v>
      </c>
      <c r="T1231" s="179">
        <v>1.0</v>
      </c>
      <c r="U1231" s="179">
        <v>28728.81</v>
      </c>
      <c r="V1231" s="179">
        <v>0.6281</v>
      </c>
      <c r="W1231" s="179">
        <v>1.5921</v>
      </c>
      <c r="X1231" s="179">
        <v>1.0</v>
      </c>
      <c r="Y1231" s="179">
        <v>1.0</v>
      </c>
      <c r="Z1231" s="179">
        <v>28728.81</v>
      </c>
      <c r="AA1231" s="179">
        <v>1.0</v>
      </c>
      <c r="AB1231" s="179">
        <v>64149.0</v>
      </c>
      <c r="AC1231" s="179">
        <v>281.29</v>
      </c>
      <c r="AD1231" s="179">
        <v>0.0</v>
      </c>
      <c r="AE1231" s="179">
        <v>0.0</v>
      </c>
      <c r="AF1231" s="179">
        <v>0.0</v>
      </c>
      <c r="AG1231" s="179">
        <v>0.0</v>
      </c>
      <c r="AH1231" s="179">
        <v>0.0</v>
      </c>
      <c r="AI1231" s="179">
        <v>0.0</v>
      </c>
      <c r="AJ1231" s="179">
        <v>0.0</v>
      </c>
    </row>
    <row r="1232" ht="15.75" customHeight="1">
      <c r="A1232" s="200">
        <v>45772.0</v>
      </c>
      <c r="B1232" s="179" t="s">
        <v>771</v>
      </c>
      <c r="C1232" s="179" t="s">
        <v>1109</v>
      </c>
      <c r="D1232" s="179" t="s">
        <v>931</v>
      </c>
      <c r="E1232" s="179" t="s">
        <v>461</v>
      </c>
      <c r="F1232" s="179" t="s">
        <v>774</v>
      </c>
      <c r="G1232" s="179"/>
      <c r="H1232" s="179" t="s">
        <v>1106</v>
      </c>
      <c r="I1232" s="179"/>
      <c r="J1232" s="179" t="s">
        <v>211</v>
      </c>
      <c r="K1232" s="179">
        <v>300.0</v>
      </c>
      <c r="L1232" s="195">
        <v>0.2567</v>
      </c>
      <c r="M1232" s="179" t="s">
        <v>8</v>
      </c>
      <c r="N1232" s="179">
        <v>408294.0</v>
      </c>
      <c r="O1232" s="179">
        <v>1898.0</v>
      </c>
      <c r="P1232" s="179">
        <v>0.0046</v>
      </c>
      <c r="Q1232" s="179">
        <v>16414.79</v>
      </c>
      <c r="R1232" s="179">
        <v>8.65</v>
      </c>
      <c r="S1232" s="179">
        <v>2864.0</v>
      </c>
      <c r="T1232" s="179">
        <v>27.0</v>
      </c>
      <c r="U1232" s="179">
        <v>52462.73</v>
      </c>
      <c r="V1232" s="179">
        <v>0.3129</v>
      </c>
      <c r="W1232" s="179">
        <v>3.1961</v>
      </c>
      <c r="X1232" s="179">
        <v>21.0</v>
      </c>
      <c r="Y1232" s="179">
        <v>0.7778</v>
      </c>
      <c r="Z1232" s="179">
        <v>46449.17</v>
      </c>
      <c r="AA1232" s="179">
        <v>0.8854</v>
      </c>
      <c r="AB1232" s="179">
        <v>120701.0</v>
      </c>
      <c r="AC1232" s="179">
        <v>136.0</v>
      </c>
      <c r="AD1232" s="179">
        <v>0.0</v>
      </c>
      <c r="AE1232" s="179">
        <v>0.0</v>
      </c>
      <c r="AF1232" s="179">
        <v>0.0</v>
      </c>
      <c r="AG1232" s="179">
        <v>0.0</v>
      </c>
      <c r="AH1232" s="179">
        <v>0.0</v>
      </c>
      <c r="AI1232" s="179">
        <v>0.0</v>
      </c>
      <c r="AJ1232" s="179">
        <v>0.0</v>
      </c>
    </row>
    <row r="1233" ht="15.75" customHeight="1">
      <c r="A1233" s="200">
        <v>45772.0</v>
      </c>
      <c r="B1233" s="179" t="s">
        <v>771</v>
      </c>
      <c r="C1233" s="179" t="s">
        <v>1222</v>
      </c>
      <c r="D1233" s="179" t="s">
        <v>931</v>
      </c>
      <c r="E1233" s="179" t="s">
        <v>459</v>
      </c>
      <c r="F1233" s="179" t="s">
        <v>774</v>
      </c>
      <c r="G1233" s="179" t="s">
        <v>775</v>
      </c>
      <c r="H1233" s="179" t="s">
        <v>1106</v>
      </c>
      <c r="I1233" s="179"/>
      <c r="J1233" s="179" t="s">
        <v>134</v>
      </c>
      <c r="K1233" s="179">
        <v>300.0</v>
      </c>
      <c r="L1233" s="195">
        <v>0.1134</v>
      </c>
      <c r="M1233" s="179" t="s">
        <v>8</v>
      </c>
      <c r="N1233" s="179">
        <v>8467.0</v>
      </c>
      <c r="O1233" s="179">
        <v>269.0</v>
      </c>
      <c r="P1233" s="179">
        <v>0.0318</v>
      </c>
      <c r="Q1233" s="179">
        <v>16060.08</v>
      </c>
      <c r="R1233" s="179">
        <v>59.7</v>
      </c>
      <c r="S1233" s="179">
        <v>0.0</v>
      </c>
      <c r="T1233" s="179">
        <v>2.0</v>
      </c>
      <c r="U1233" s="179">
        <v>38152.55</v>
      </c>
      <c r="V1233" s="179">
        <v>0.4209</v>
      </c>
      <c r="W1233" s="179">
        <v>2.3756</v>
      </c>
      <c r="X1233" s="179">
        <v>0.0</v>
      </c>
      <c r="Y1233" s="179">
        <v>0.0</v>
      </c>
      <c r="Z1233" s="179">
        <v>0.0</v>
      </c>
      <c r="AA1233" s="179">
        <v>0.0</v>
      </c>
      <c r="AB1233" s="179">
        <v>0.0</v>
      </c>
      <c r="AC1233" s="179">
        <v>0.0</v>
      </c>
      <c r="AD1233" s="179">
        <v>0.0</v>
      </c>
      <c r="AE1233" s="179">
        <v>0.0</v>
      </c>
      <c r="AF1233" s="179">
        <v>0.0</v>
      </c>
      <c r="AG1233" s="179">
        <v>0.0</v>
      </c>
      <c r="AH1233" s="179">
        <v>0.0</v>
      </c>
      <c r="AI1233" s="179">
        <v>0.0</v>
      </c>
      <c r="AJ1233" s="179">
        <v>0.0</v>
      </c>
    </row>
    <row r="1234" ht="15.75" customHeight="1">
      <c r="A1234" s="200">
        <v>45772.0</v>
      </c>
      <c r="B1234" s="179" t="s">
        <v>771</v>
      </c>
      <c r="C1234" s="179" t="s">
        <v>898</v>
      </c>
      <c r="D1234" s="179" t="s">
        <v>773</v>
      </c>
      <c r="E1234" s="179" t="s">
        <v>459</v>
      </c>
      <c r="F1234" s="179" t="s">
        <v>774</v>
      </c>
      <c r="G1234" s="179" t="s">
        <v>775</v>
      </c>
      <c r="H1234" s="179" t="s">
        <v>1106</v>
      </c>
      <c r="I1234" s="179"/>
      <c r="J1234" s="179" t="s">
        <v>140</v>
      </c>
      <c r="K1234" s="179">
        <v>1000.0</v>
      </c>
      <c r="L1234" s="195">
        <v>0.0521</v>
      </c>
      <c r="M1234" s="179" t="s">
        <v>8</v>
      </c>
      <c r="N1234" s="179">
        <v>31155.0</v>
      </c>
      <c r="O1234" s="179">
        <v>207.0</v>
      </c>
      <c r="P1234" s="179">
        <v>0.0066</v>
      </c>
      <c r="Q1234" s="179">
        <v>15615.37</v>
      </c>
      <c r="R1234" s="179">
        <v>75.44</v>
      </c>
      <c r="S1234" s="179">
        <v>0.0</v>
      </c>
      <c r="T1234" s="179">
        <v>1.0</v>
      </c>
      <c r="U1234" s="179">
        <v>29491.53</v>
      </c>
      <c r="V1234" s="179">
        <v>0.5295</v>
      </c>
      <c r="W1234" s="179">
        <v>1.8886</v>
      </c>
      <c r="X1234" s="179">
        <v>0.0</v>
      </c>
      <c r="Y1234" s="179">
        <v>0.0</v>
      </c>
      <c r="Z1234" s="179">
        <v>0.0</v>
      </c>
      <c r="AA1234" s="179">
        <v>0.0</v>
      </c>
      <c r="AB1234" s="179">
        <v>0.0</v>
      </c>
      <c r="AC1234" s="179">
        <v>0.0</v>
      </c>
      <c r="AD1234" s="179">
        <v>0.0</v>
      </c>
      <c r="AE1234" s="179">
        <v>0.0</v>
      </c>
      <c r="AF1234" s="179">
        <v>0.0</v>
      </c>
      <c r="AG1234" s="179">
        <v>0.0</v>
      </c>
      <c r="AH1234" s="179">
        <v>0.0</v>
      </c>
      <c r="AI1234" s="179">
        <v>0.0</v>
      </c>
      <c r="AJ1234" s="179">
        <v>0.0</v>
      </c>
    </row>
    <row r="1235" ht="15.75" customHeight="1">
      <c r="A1235" s="200">
        <v>45772.0</v>
      </c>
      <c r="B1235" s="179" t="s">
        <v>771</v>
      </c>
      <c r="C1235" s="179" t="s">
        <v>862</v>
      </c>
      <c r="D1235" s="179" t="s">
        <v>773</v>
      </c>
      <c r="E1235" s="179" t="s">
        <v>463</v>
      </c>
      <c r="F1235" s="179" t="s">
        <v>774</v>
      </c>
      <c r="G1235" s="179"/>
      <c r="H1235" s="179" t="s">
        <v>1106</v>
      </c>
      <c r="I1235" s="179"/>
      <c r="J1235" s="179" t="s">
        <v>128</v>
      </c>
      <c r="K1235" s="179">
        <v>600.0</v>
      </c>
      <c r="L1235" s="179"/>
      <c r="M1235" s="179" t="s">
        <v>8</v>
      </c>
      <c r="N1235" s="179">
        <v>76286.0</v>
      </c>
      <c r="O1235" s="179">
        <v>182.0</v>
      </c>
      <c r="P1235" s="179">
        <v>0.0024</v>
      </c>
      <c r="Q1235" s="179">
        <v>13395.96</v>
      </c>
      <c r="R1235" s="179">
        <v>73.6</v>
      </c>
      <c r="S1235" s="179">
        <v>754.0</v>
      </c>
      <c r="T1235" s="179">
        <v>9.0</v>
      </c>
      <c r="U1235" s="179">
        <v>203361.9</v>
      </c>
      <c r="V1235" s="179">
        <v>0.0659</v>
      </c>
      <c r="W1235" s="179">
        <v>15.1808</v>
      </c>
      <c r="X1235" s="179">
        <v>8.0</v>
      </c>
      <c r="Y1235" s="179">
        <v>0.8889</v>
      </c>
      <c r="Z1235" s="179">
        <v>188955.9</v>
      </c>
      <c r="AA1235" s="179">
        <v>0.9292</v>
      </c>
      <c r="AB1235" s="179">
        <v>0.0</v>
      </c>
      <c r="AC1235" s="179">
        <v>0.0</v>
      </c>
      <c r="AD1235" s="179">
        <v>0.0</v>
      </c>
      <c r="AE1235" s="179">
        <v>0.0</v>
      </c>
      <c r="AF1235" s="179">
        <v>0.0</v>
      </c>
      <c r="AG1235" s="179">
        <v>0.0</v>
      </c>
      <c r="AH1235" s="179">
        <v>0.0</v>
      </c>
      <c r="AI1235" s="179">
        <v>0.0</v>
      </c>
      <c r="AJ1235" s="179">
        <v>0.0</v>
      </c>
    </row>
    <row r="1236" ht="15.75" customHeight="1">
      <c r="A1236" s="200">
        <v>45772.0</v>
      </c>
      <c r="B1236" s="179" t="s">
        <v>771</v>
      </c>
      <c r="C1236" s="179" t="s">
        <v>1087</v>
      </c>
      <c r="D1236" s="179" t="s">
        <v>773</v>
      </c>
      <c r="E1236" s="179" t="s">
        <v>459</v>
      </c>
      <c r="F1236" s="179" t="s">
        <v>774</v>
      </c>
      <c r="G1236" s="179" t="s">
        <v>775</v>
      </c>
      <c r="H1236" s="179" t="s">
        <v>1106</v>
      </c>
      <c r="I1236" s="179"/>
      <c r="J1236" s="179" t="s">
        <v>128</v>
      </c>
      <c r="K1236" s="179">
        <v>1000.0</v>
      </c>
      <c r="L1236" s="195">
        <v>0.109</v>
      </c>
      <c r="M1236" s="179" t="s">
        <v>8</v>
      </c>
      <c r="N1236" s="179">
        <v>142316.0</v>
      </c>
      <c r="O1236" s="179">
        <v>372.0</v>
      </c>
      <c r="P1236" s="179">
        <v>0.0026</v>
      </c>
      <c r="Q1236" s="179">
        <v>11982.69</v>
      </c>
      <c r="R1236" s="179">
        <v>32.21</v>
      </c>
      <c r="S1236" s="179">
        <v>0.0</v>
      </c>
      <c r="T1236" s="179">
        <v>3.0</v>
      </c>
      <c r="U1236" s="179">
        <v>73949.16</v>
      </c>
      <c r="V1236" s="179">
        <v>0.162</v>
      </c>
      <c r="W1236" s="179">
        <v>6.1713</v>
      </c>
      <c r="X1236" s="179">
        <v>0.0</v>
      </c>
      <c r="Y1236" s="179">
        <v>0.0</v>
      </c>
      <c r="Z1236" s="179">
        <v>0.0</v>
      </c>
      <c r="AA1236" s="179">
        <v>0.0</v>
      </c>
      <c r="AB1236" s="179">
        <v>0.0</v>
      </c>
      <c r="AC1236" s="179">
        <v>0.0</v>
      </c>
      <c r="AD1236" s="179">
        <v>0.0</v>
      </c>
      <c r="AE1236" s="179">
        <v>0.0</v>
      </c>
      <c r="AF1236" s="179">
        <v>0.0</v>
      </c>
      <c r="AG1236" s="179">
        <v>0.0</v>
      </c>
      <c r="AH1236" s="179">
        <v>0.0</v>
      </c>
      <c r="AI1236" s="179">
        <v>0.0</v>
      </c>
      <c r="AJ1236" s="179">
        <v>0.0</v>
      </c>
    </row>
    <row r="1237" ht="15.75" customHeight="1">
      <c r="A1237" s="200">
        <v>45772.0</v>
      </c>
      <c r="B1237" s="179" t="s">
        <v>771</v>
      </c>
      <c r="C1237" s="179" t="s">
        <v>1200</v>
      </c>
      <c r="D1237" s="179" t="s">
        <v>931</v>
      </c>
      <c r="E1237" s="179" t="s">
        <v>459</v>
      </c>
      <c r="F1237" s="179" t="s">
        <v>774</v>
      </c>
      <c r="G1237" s="179" t="s">
        <v>775</v>
      </c>
      <c r="H1237" s="179" t="s">
        <v>1106</v>
      </c>
      <c r="I1237" s="179"/>
      <c r="J1237" s="179" t="s">
        <v>176</v>
      </c>
      <c r="K1237" s="179">
        <v>450.0</v>
      </c>
      <c r="L1237" s="179" t="s">
        <v>776</v>
      </c>
      <c r="M1237" s="179" t="s">
        <v>8</v>
      </c>
      <c r="N1237" s="179">
        <v>273116.0</v>
      </c>
      <c r="O1237" s="179">
        <v>521.0</v>
      </c>
      <c r="P1237" s="179">
        <v>0.0019</v>
      </c>
      <c r="Q1237" s="179">
        <v>11424.0</v>
      </c>
      <c r="R1237" s="179">
        <v>21.93</v>
      </c>
      <c r="S1237" s="179">
        <v>0.0</v>
      </c>
      <c r="T1237" s="179">
        <v>2.0</v>
      </c>
      <c r="U1237" s="179">
        <v>55050.85</v>
      </c>
      <c r="V1237" s="179">
        <v>0.2075</v>
      </c>
      <c r="W1237" s="179">
        <v>4.8189</v>
      </c>
      <c r="X1237" s="179">
        <v>0.0</v>
      </c>
      <c r="Y1237" s="179">
        <v>0.0</v>
      </c>
      <c r="Z1237" s="179">
        <v>0.0</v>
      </c>
      <c r="AA1237" s="179">
        <v>0.0</v>
      </c>
      <c r="AB1237" s="179">
        <v>0.0</v>
      </c>
      <c r="AC1237" s="179">
        <v>0.0</v>
      </c>
      <c r="AD1237" s="179">
        <v>0.0</v>
      </c>
      <c r="AE1237" s="179">
        <v>0.0</v>
      </c>
      <c r="AF1237" s="179">
        <v>0.0</v>
      </c>
      <c r="AG1237" s="179">
        <v>0.0</v>
      </c>
      <c r="AH1237" s="179">
        <v>0.0</v>
      </c>
      <c r="AI1237" s="179">
        <v>0.0</v>
      </c>
      <c r="AJ1237" s="179">
        <v>0.0</v>
      </c>
    </row>
    <row r="1238" ht="15.75" customHeight="1">
      <c r="A1238" s="200">
        <v>45772.0</v>
      </c>
      <c r="B1238" s="179" t="s">
        <v>779</v>
      </c>
      <c r="C1238" s="179" t="s">
        <v>1275</v>
      </c>
      <c r="D1238" s="179" t="s">
        <v>781</v>
      </c>
      <c r="E1238" s="179" t="s">
        <v>459</v>
      </c>
      <c r="F1238" s="179" t="s">
        <v>774</v>
      </c>
      <c r="G1238" s="179" t="s">
        <v>775</v>
      </c>
      <c r="H1238" s="179" t="s">
        <v>1106</v>
      </c>
      <c r="I1238" s="179"/>
      <c r="J1238" s="179" t="s">
        <v>413</v>
      </c>
      <c r="K1238" s="179">
        <v>2125.0</v>
      </c>
      <c r="L1238" s="179" t="s">
        <v>776</v>
      </c>
      <c r="M1238" s="179" t="s">
        <v>8</v>
      </c>
      <c r="N1238" s="179">
        <v>82739.0</v>
      </c>
      <c r="O1238" s="179">
        <v>219.0</v>
      </c>
      <c r="P1238" s="179">
        <v>0.0026</v>
      </c>
      <c r="Q1238" s="179">
        <v>10726.41</v>
      </c>
      <c r="R1238" s="179">
        <v>48.98</v>
      </c>
      <c r="S1238" s="179">
        <v>0.0</v>
      </c>
      <c r="T1238" s="179">
        <v>1.0</v>
      </c>
      <c r="U1238" s="179">
        <v>14405.93</v>
      </c>
      <c r="V1238" s="179">
        <v>0.7446</v>
      </c>
      <c r="W1238" s="179">
        <v>1.343</v>
      </c>
      <c r="X1238" s="179">
        <v>0.0</v>
      </c>
      <c r="Y1238" s="179">
        <v>0.0</v>
      </c>
      <c r="Z1238" s="179">
        <v>0.0</v>
      </c>
      <c r="AA1238" s="179">
        <v>0.0</v>
      </c>
      <c r="AB1238" s="179">
        <v>0.0</v>
      </c>
      <c r="AC1238" s="179">
        <v>0.0</v>
      </c>
      <c r="AD1238" s="179">
        <v>0.0</v>
      </c>
      <c r="AE1238" s="179">
        <v>0.0</v>
      </c>
      <c r="AF1238" s="179">
        <v>0.0</v>
      </c>
      <c r="AG1238" s="179">
        <v>0.0</v>
      </c>
      <c r="AH1238" s="179">
        <v>0.0</v>
      </c>
      <c r="AI1238" s="179">
        <v>0.0</v>
      </c>
      <c r="AJ1238" s="179">
        <v>0.0</v>
      </c>
    </row>
    <row r="1239" ht="15.75" customHeight="1">
      <c r="A1239" s="200">
        <v>45772.0</v>
      </c>
      <c r="B1239" s="179" t="s">
        <v>771</v>
      </c>
      <c r="C1239" s="179" t="s">
        <v>1272</v>
      </c>
      <c r="D1239" s="179" t="s">
        <v>931</v>
      </c>
      <c r="E1239" s="179" t="s">
        <v>459</v>
      </c>
      <c r="F1239" s="179" t="s">
        <v>774</v>
      </c>
      <c r="G1239" s="179" t="s">
        <v>775</v>
      </c>
      <c r="H1239" s="179" t="s">
        <v>1106</v>
      </c>
      <c r="I1239" s="179"/>
      <c r="J1239" s="179" t="s">
        <v>413</v>
      </c>
      <c r="K1239" s="179">
        <v>600.0</v>
      </c>
      <c r="L1239" s="179" t="s">
        <v>776</v>
      </c>
      <c r="M1239" s="179" t="s">
        <v>8</v>
      </c>
      <c r="N1239" s="179">
        <v>42048.0</v>
      </c>
      <c r="O1239" s="179">
        <v>431.0</v>
      </c>
      <c r="P1239" s="179">
        <v>0.0103</v>
      </c>
      <c r="Q1239" s="179">
        <v>9969.35</v>
      </c>
      <c r="R1239" s="179">
        <v>23.13</v>
      </c>
      <c r="S1239" s="179">
        <v>0.0</v>
      </c>
      <c r="T1239" s="179">
        <v>5.0</v>
      </c>
      <c r="U1239" s="179">
        <v>59063.56</v>
      </c>
      <c r="V1239" s="179">
        <v>0.1688</v>
      </c>
      <c r="W1239" s="179">
        <v>5.9245</v>
      </c>
      <c r="X1239" s="179">
        <v>0.0</v>
      </c>
      <c r="Y1239" s="179">
        <v>0.0</v>
      </c>
      <c r="Z1239" s="179">
        <v>0.0</v>
      </c>
      <c r="AA1239" s="179">
        <v>0.0</v>
      </c>
      <c r="AB1239" s="179">
        <v>0.0</v>
      </c>
      <c r="AC1239" s="179">
        <v>0.0</v>
      </c>
      <c r="AD1239" s="179">
        <v>0.0</v>
      </c>
      <c r="AE1239" s="179">
        <v>0.0</v>
      </c>
      <c r="AF1239" s="179">
        <v>0.0</v>
      </c>
      <c r="AG1239" s="179">
        <v>0.0</v>
      </c>
      <c r="AH1239" s="179">
        <v>0.0</v>
      </c>
      <c r="AI1239" s="179">
        <v>0.0</v>
      </c>
      <c r="AJ1239" s="179">
        <v>0.0</v>
      </c>
    </row>
    <row r="1240" ht="15.75" customHeight="1">
      <c r="A1240" s="200">
        <v>45772.0</v>
      </c>
      <c r="B1240" s="179" t="s">
        <v>771</v>
      </c>
      <c r="C1240" s="179" t="s">
        <v>1166</v>
      </c>
      <c r="D1240" s="179" t="s">
        <v>773</v>
      </c>
      <c r="E1240" s="179" t="s">
        <v>459</v>
      </c>
      <c r="F1240" s="179" t="s">
        <v>774</v>
      </c>
      <c r="G1240" s="179" t="s">
        <v>775</v>
      </c>
      <c r="H1240" s="179" t="s">
        <v>1106</v>
      </c>
      <c r="I1240" s="179"/>
      <c r="J1240" s="179" t="s">
        <v>134</v>
      </c>
      <c r="K1240" s="179">
        <v>500.0</v>
      </c>
      <c r="L1240" s="195">
        <v>0.0667</v>
      </c>
      <c r="M1240" s="179" t="s">
        <v>8</v>
      </c>
      <c r="N1240" s="179">
        <v>7706.0</v>
      </c>
      <c r="O1240" s="179">
        <v>152.0</v>
      </c>
      <c r="P1240" s="179">
        <v>0.0197</v>
      </c>
      <c r="Q1240" s="179">
        <v>9669.17</v>
      </c>
      <c r="R1240" s="179">
        <v>63.61</v>
      </c>
      <c r="S1240" s="179">
        <v>0.0</v>
      </c>
      <c r="T1240" s="179">
        <v>1.0</v>
      </c>
      <c r="U1240" s="179">
        <v>17381.36</v>
      </c>
      <c r="V1240" s="179">
        <v>0.5563</v>
      </c>
      <c r="W1240" s="179">
        <v>1.7976</v>
      </c>
      <c r="X1240" s="179">
        <v>0.0</v>
      </c>
      <c r="Y1240" s="179">
        <v>0.0</v>
      </c>
      <c r="Z1240" s="179">
        <v>0.0</v>
      </c>
      <c r="AA1240" s="179">
        <v>0.0</v>
      </c>
      <c r="AB1240" s="179">
        <v>0.0</v>
      </c>
      <c r="AC1240" s="179">
        <v>0.0</v>
      </c>
      <c r="AD1240" s="179">
        <v>0.0</v>
      </c>
      <c r="AE1240" s="179">
        <v>0.0</v>
      </c>
      <c r="AF1240" s="179">
        <v>0.0</v>
      </c>
      <c r="AG1240" s="179">
        <v>0.0</v>
      </c>
      <c r="AH1240" s="179">
        <v>0.0</v>
      </c>
      <c r="AI1240" s="179">
        <v>0.0</v>
      </c>
      <c r="AJ1240" s="179">
        <v>0.0</v>
      </c>
    </row>
    <row r="1241" ht="15.75" customHeight="1">
      <c r="A1241" s="200">
        <v>45772.0</v>
      </c>
      <c r="B1241" s="179" t="s">
        <v>771</v>
      </c>
      <c r="C1241" s="179" t="s">
        <v>1255</v>
      </c>
      <c r="D1241" s="179" t="s">
        <v>931</v>
      </c>
      <c r="E1241" s="179" t="s">
        <v>459</v>
      </c>
      <c r="F1241" s="179" t="s">
        <v>774</v>
      </c>
      <c r="G1241" s="179" t="s">
        <v>775</v>
      </c>
      <c r="H1241" s="179" t="s">
        <v>1106</v>
      </c>
      <c r="I1241" s="179"/>
      <c r="J1241" s="179" t="s">
        <v>152</v>
      </c>
      <c r="K1241" s="179">
        <v>150.0</v>
      </c>
      <c r="L1241" s="179" t="s">
        <v>776</v>
      </c>
      <c r="M1241" s="179" t="s">
        <v>8</v>
      </c>
      <c r="N1241" s="179">
        <v>54326.0</v>
      </c>
      <c r="O1241" s="179">
        <v>336.0</v>
      </c>
      <c r="P1241" s="179">
        <v>0.0062</v>
      </c>
      <c r="Q1241" s="179">
        <v>9581.7</v>
      </c>
      <c r="R1241" s="179">
        <v>28.52</v>
      </c>
      <c r="S1241" s="179">
        <v>0.0</v>
      </c>
      <c r="T1241" s="179">
        <v>2.0</v>
      </c>
      <c r="U1241" s="179">
        <v>33186.44</v>
      </c>
      <c r="V1241" s="179">
        <v>0.2887</v>
      </c>
      <c r="W1241" s="179">
        <v>3.4635</v>
      </c>
      <c r="X1241" s="179">
        <v>0.0</v>
      </c>
      <c r="Y1241" s="179">
        <v>0.0</v>
      </c>
      <c r="Z1241" s="179">
        <v>0.0</v>
      </c>
      <c r="AA1241" s="179">
        <v>0.0</v>
      </c>
      <c r="AB1241" s="179">
        <v>0.0</v>
      </c>
      <c r="AC1241" s="179">
        <v>0.0</v>
      </c>
      <c r="AD1241" s="179">
        <v>0.0</v>
      </c>
      <c r="AE1241" s="179">
        <v>0.0</v>
      </c>
      <c r="AF1241" s="179">
        <v>0.0</v>
      </c>
      <c r="AG1241" s="179">
        <v>0.0</v>
      </c>
      <c r="AH1241" s="179">
        <v>0.0</v>
      </c>
      <c r="AI1241" s="179">
        <v>0.0</v>
      </c>
      <c r="AJ1241" s="179">
        <v>0.0</v>
      </c>
    </row>
    <row r="1242" ht="15.75" customHeight="1">
      <c r="A1242" s="200">
        <v>45772.0</v>
      </c>
      <c r="B1242" s="179" t="s">
        <v>771</v>
      </c>
      <c r="C1242" s="179" t="s">
        <v>1001</v>
      </c>
      <c r="D1242" s="179" t="s">
        <v>773</v>
      </c>
      <c r="E1242" s="179" t="s">
        <v>460</v>
      </c>
      <c r="F1242" s="179" t="s">
        <v>778</v>
      </c>
      <c r="G1242" s="179" t="s">
        <v>775</v>
      </c>
      <c r="H1242" s="179" t="s">
        <v>1106</v>
      </c>
      <c r="I1242" s="179"/>
      <c r="J1242" s="179" t="s">
        <v>217</v>
      </c>
      <c r="K1242" s="179">
        <v>500.0</v>
      </c>
      <c r="L1242" s="179" t="s">
        <v>776</v>
      </c>
      <c r="M1242" s="179" t="s">
        <v>8</v>
      </c>
      <c r="N1242" s="179">
        <v>274080.0</v>
      </c>
      <c r="O1242" s="179">
        <v>1688.0</v>
      </c>
      <c r="P1242" s="179">
        <v>0.0062</v>
      </c>
      <c r="Q1242" s="179">
        <v>9177.46</v>
      </c>
      <c r="R1242" s="179">
        <v>5.44</v>
      </c>
      <c r="S1242" s="179">
        <v>0.0</v>
      </c>
      <c r="T1242" s="179">
        <v>19.0</v>
      </c>
      <c r="U1242" s="179">
        <v>53258.5</v>
      </c>
      <c r="V1242" s="179">
        <v>0.1723</v>
      </c>
      <c r="W1242" s="179">
        <v>5.8032</v>
      </c>
      <c r="X1242" s="179">
        <v>0.0</v>
      </c>
      <c r="Y1242" s="179">
        <v>0.0</v>
      </c>
      <c r="Z1242" s="179">
        <v>0.0</v>
      </c>
      <c r="AA1242" s="179">
        <v>0.0</v>
      </c>
      <c r="AB1242" s="179">
        <v>0.0</v>
      </c>
      <c r="AC1242" s="179">
        <v>0.0</v>
      </c>
      <c r="AD1242" s="179">
        <v>0.0</v>
      </c>
      <c r="AE1242" s="179">
        <v>0.0</v>
      </c>
      <c r="AF1242" s="179">
        <v>0.0</v>
      </c>
      <c r="AG1242" s="179">
        <v>0.0</v>
      </c>
      <c r="AH1242" s="179">
        <v>0.0</v>
      </c>
      <c r="AI1242" s="179">
        <v>0.0</v>
      </c>
      <c r="AJ1242" s="179">
        <v>0.0</v>
      </c>
    </row>
    <row r="1243" ht="15.75" customHeight="1">
      <c r="A1243" s="200">
        <v>45772.0</v>
      </c>
      <c r="B1243" s="179" t="s">
        <v>771</v>
      </c>
      <c r="C1243" s="179" t="s">
        <v>960</v>
      </c>
      <c r="D1243" s="179" t="s">
        <v>773</v>
      </c>
      <c r="E1243" s="179" t="s">
        <v>459</v>
      </c>
      <c r="F1243" s="179" t="s">
        <v>774</v>
      </c>
      <c r="G1243" s="179" t="s">
        <v>775</v>
      </c>
      <c r="H1243" s="179" t="s">
        <v>1106</v>
      </c>
      <c r="I1243" s="179"/>
      <c r="J1243" s="179" t="s">
        <v>140</v>
      </c>
      <c r="K1243" s="179">
        <v>1000.0</v>
      </c>
      <c r="L1243" s="195">
        <v>0.1745</v>
      </c>
      <c r="M1243" s="179" t="s">
        <v>8</v>
      </c>
      <c r="N1243" s="179">
        <v>27556.0</v>
      </c>
      <c r="O1243" s="179">
        <v>155.0</v>
      </c>
      <c r="P1243" s="179">
        <v>0.0056</v>
      </c>
      <c r="Q1243" s="179">
        <v>8838.75</v>
      </c>
      <c r="R1243" s="179">
        <v>57.02</v>
      </c>
      <c r="S1243" s="179">
        <v>0.0</v>
      </c>
      <c r="T1243" s="179">
        <v>0.0</v>
      </c>
      <c r="U1243" s="179">
        <v>0.0</v>
      </c>
      <c r="V1243" s="179">
        <v>0.0</v>
      </c>
      <c r="W1243" s="179">
        <v>0.0</v>
      </c>
      <c r="X1243" s="179">
        <v>0.0</v>
      </c>
      <c r="Y1243" s="179">
        <v>0.0</v>
      </c>
      <c r="Z1243" s="179">
        <v>0.0</v>
      </c>
      <c r="AA1243" s="179">
        <v>0.0</v>
      </c>
      <c r="AB1243" s="179">
        <v>0.0</v>
      </c>
      <c r="AC1243" s="179">
        <v>0.0</v>
      </c>
      <c r="AD1243" s="179">
        <v>0.0</v>
      </c>
      <c r="AE1243" s="179">
        <v>0.0</v>
      </c>
      <c r="AF1243" s="179">
        <v>0.0</v>
      </c>
      <c r="AG1243" s="179">
        <v>0.0</v>
      </c>
      <c r="AH1243" s="179">
        <v>0.0</v>
      </c>
      <c r="AI1243" s="179">
        <v>0.0</v>
      </c>
      <c r="AJ1243" s="179">
        <v>0.0</v>
      </c>
    </row>
    <row r="1244" ht="15.75" customHeight="1">
      <c r="A1244" s="200">
        <v>45772.0</v>
      </c>
      <c r="B1244" s="179" t="s">
        <v>771</v>
      </c>
      <c r="C1244" s="179" t="s">
        <v>1230</v>
      </c>
      <c r="D1244" s="179" t="s">
        <v>931</v>
      </c>
      <c r="E1244" s="179" t="s">
        <v>459</v>
      </c>
      <c r="F1244" s="179" t="s">
        <v>774</v>
      </c>
      <c r="G1244" s="179" t="s">
        <v>775</v>
      </c>
      <c r="H1244" s="179" t="s">
        <v>1106</v>
      </c>
      <c r="I1244" s="179"/>
      <c r="J1244" s="179" t="s">
        <v>429</v>
      </c>
      <c r="K1244" s="179">
        <v>300.0</v>
      </c>
      <c r="L1244" s="195">
        <v>0.081</v>
      </c>
      <c r="M1244" s="179" t="s">
        <v>8</v>
      </c>
      <c r="N1244" s="179">
        <v>7708.0</v>
      </c>
      <c r="O1244" s="179">
        <v>138.0</v>
      </c>
      <c r="P1244" s="179">
        <v>0.0179</v>
      </c>
      <c r="Q1244" s="179">
        <v>8275.49</v>
      </c>
      <c r="R1244" s="179">
        <v>59.97</v>
      </c>
      <c r="S1244" s="179">
        <v>0.0</v>
      </c>
      <c r="T1244" s="179">
        <v>0.0</v>
      </c>
      <c r="U1244" s="179">
        <v>0.0</v>
      </c>
      <c r="V1244" s="179">
        <v>0.0</v>
      </c>
      <c r="W1244" s="179">
        <v>0.0</v>
      </c>
      <c r="X1244" s="179">
        <v>0.0</v>
      </c>
      <c r="Y1244" s="179">
        <v>0.0</v>
      </c>
      <c r="Z1244" s="179">
        <v>0.0</v>
      </c>
      <c r="AA1244" s="179">
        <v>0.0</v>
      </c>
      <c r="AB1244" s="179">
        <v>0.0</v>
      </c>
      <c r="AC1244" s="179">
        <v>0.0</v>
      </c>
      <c r="AD1244" s="179">
        <v>0.0</v>
      </c>
      <c r="AE1244" s="179">
        <v>0.0</v>
      </c>
      <c r="AF1244" s="179">
        <v>0.0</v>
      </c>
      <c r="AG1244" s="179">
        <v>0.0</v>
      </c>
      <c r="AH1244" s="179">
        <v>0.0</v>
      </c>
      <c r="AI1244" s="179">
        <v>0.0</v>
      </c>
      <c r="AJ1244" s="179">
        <v>0.0</v>
      </c>
    </row>
    <row r="1245" ht="15.75" customHeight="1">
      <c r="A1245" s="200">
        <v>45772.0</v>
      </c>
      <c r="B1245" s="179" t="s">
        <v>771</v>
      </c>
      <c r="C1245" s="179" t="s">
        <v>1027</v>
      </c>
      <c r="D1245" s="179" t="s">
        <v>773</v>
      </c>
      <c r="E1245" s="179" t="s">
        <v>459</v>
      </c>
      <c r="F1245" s="179" t="s">
        <v>774</v>
      </c>
      <c r="G1245" s="179" t="s">
        <v>775</v>
      </c>
      <c r="H1245" s="179" t="s">
        <v>1106</v>
      </c>
      <c r="I1245" s="179"/>
      <c r="J1245" s="179" t="s">
        <v>176</v>
      </c>
      <c r="K1245" s="179">
        <v>300.0</v>
      </c>
      <c r="L1245" s="195">
        <v>0.281</v>
      </c>
      <c r="M1245" s="179" t="s">
        <v>8</v>
      </c>
      <c r="N1245" s="179">
        <v>64705.0</v>
      </c>
      <c r="O1245" s="179">
        <v>230.0</v>
      </c>
      <c r="P1245" s="179">
        <v>0.0036</v>
      </c>
      <c r="Q1245" s="179">
        <v>7648.65</v>
      </c>
      <c r="R1245" s="179">
        <v>33.25</v>
      </c>
      <c r="S1245" s="179">
        <v>0.0</v>
      </c>
      <c r="T1245" s="179">
        <v>1.0</v>
      </c>
      <c r="U1245" s="179">
        <v>20347.46</v>
      </c>
      <c r="V1245" s="179">
        <v>0.3759</v>
      </c>
      <c r="W1245" s="179">
        <v>2.6603</v>
      </c>
      <c r="X1245" s="179">
        <v>0.0</v>
      </c>
      <c r="Y1245" s="179">
        <v>0.0</v>
      </c>
      <c r="Z1245" s="179">
        <v>0.0</v>
      </c>
      <c r="AA1245" s="179">
        <v>0.0</v>
      </c>
      <c r="AB1245" s="179">
        <v>0.0</v>
      </c>
      <c r="AC1245" s="179">
        <v>0.0</v>
      </c>
      <c r="AD1245" s="179">
        <v>0.0</v>
      </c>
      <c r="AE1245" s="179">
        <v>0.0</v>
      </c>
      <c r="AF1245" s="179">
        <v>0.0</v>
      </c>
      <c r="AG1245" s="179">
        <v>0.0</v>
      </c>
      <c r="AH1245" s="179">
        <v>0.0</v>
      </c>
      <c r="AI1245" s="179">
        <v>0.0</v>
      </c>
      <c r="AJ1245" s="179">
        <v>0.0</v>
      </c>
    </row>
    <row r="1246" ht="15.75" customHeight="1">
      <c r="A1246" s="200">
        <v>45772.0</v>
      </c>
      <c r="B1246" s="179" t="s">
        <v>771</v>
      </c>
      <c r="C1246" s="179" t="s">
        <v>915</v>
      </c>
      <c r="D1246" s="179" t="s">
        <v>773</v>
      </c>
      <c r="E1246" s="179" t="s">
        <v>459</v>
      </c>
      <c r="F1246" s="179" t="s">
        <v>774</v>
      </c>
      <c r="G1246" s="179" t="s">
        <v>775</v>
      </c>
      <c r="H1246" s="179" t="s">
        <v>1106</v>
      </c>
      <c r="I1246" s="179"/>
      <c r="J1246" s="179" t="s">
        <v>205</v>
      </c>
      <c r="K1246" s="179">
        <v>500.0</v>
      </c>
      <c r="L1246" s="179" t="s">
        <v>776</v>
      </c>
      <c r="M1246" s="179" t="s">
        <v>8</v>
      </c>
      <c r="N1246" s="179">
        <v>75188.0</v>
      </c>
      <c r="O1246" s="179">
        <v>107.0</v>
      </c>
      <c r="P1246" s="179">
        <v>0.0014</v>
      </c>
      <c r="Q1246" s="179">
        <v>7558.63</v>
      </c>
      <c r="R1246" s="179">
        <v>70.64</v>
      </c>
      <c r="S1246" s="179">
        <v>0.0</v>
      </c>
      <c r="T1246" s="179">
        <v>0.0</v>
      </c>
      <c r="U1246" s="179">
        <v>0.0</v>
      </c>
      <c r="V1246" s="179">
        <v>0.0</v>
      </c>
      <c r="W1246" s="179">
        <v>0.0</v>
      </c>
      <c r="X1246" s="179">
        <v>0.0</v>
      </c>
      <c r="Y1246" s="179">
        <v>0.0</v>
      </c>
      <c r="Z1246" s="179">
        <v>0.0</v>
      </c>
      <c r="AA1246" s="179">
        <v>0.0</v>
      </c>
      <c r="AB1246" s="179">
        <v>0.0</v>
      </c>
      <c r="AC1246" s="179">
        <v>0.0</v>
      </c>
      <c r="AD1246" s="179">
        <v>0.0</v>
      </c>
      <c r="AE1246" s="179">
        <v>0.0</v>
      </c>
      <c r="AF1246" s="179">
        <v>0.0</v>
      </c>
      <c r="AG1246" s="179">
        <v>0.0</v>
      </c>
      <c r="AH1246" s="179">
        <v>0.0</v>
      </c>
      <c r="AI1246" s="179">
        <v>0.0</v>
      </c>
      <c r="AJ1246" s="179">
        <v>0.0</v>
      </c>
    </row>
    <row r="1247" ht="15.75" customHeight="1">
      <c r="A1247" s="200">
        <v>45772.0</v>
      </c>
      <c r="B1247" s="179" t="s">
        <v>771</v>
      </c>
      <c r="C1247" s="179" t="s">
        <v>1223</v>
      </c>
      <c r="D1247" s="179" t="s">
        <v>773</v>
      </c>
      <c r="E1247" s="179" t="s">
        <v>459</v>
      </c>
      <c r="F1247" s="179" t="s">
        <v>774</v>
      </c>
      <c r="G1247" s="179" t="s">
        <v>775</v>
      </c>
      <c r="H1247" s="179" t="s">
        <v>1106</v>
      </c>
      <c r="I1247" s="179"/>
      <c r="J1247" s="179" t="s">
        <v>134</v>
      </c>
      <c r="K1247" s="179">
        <v>500.0</v>
      </c>
      <c r="L1247" s="179" t="s">
        <v>776</v>
      </c>
      <c r="M1247" s="179" t="s">
        <v>8</v>
      </c>
      <c r="N1247" s="179">
        <v>82114.0</v>
      </c>
      <c r="O1247" s="179">
        <v>150.0</v>
      </c>
      <c r="P1247" s="179">
        <v>0.0018</v>
      </c>
      <c r="Q1247" s="179">
        <v>7225.57</v>
      </c>
      <c r="R1247" s="179">
        <v>48.17</v>
      </c>
      <c r="S1247" s="179">
        <v>0.0</v>
      </c>
      <c r="T1247" s="179">
        <v>0.0</v>
      </c>
      <c r="U1247" s="179">
        <v>0.0</v>
      </c>
      <c r="V1247" s="179">
        <v>0.0</v>
      </c>
      <c r="W1247" s="179">
        <v>0.0</v>
      </c>
      <c r="X1247" s="179">
        <v>0.0</v>
      </c>
      <c r="Y1247" s="179">
        <v>0.0</v>
      </c>
      <c r="Z1247" s="179">
        <v>0.0</v>
      </c>
      <c r="AA1247" s="179">
        <v>0.0</v>
      </c>
      <c r="AB1247" s="179">
        <v>0.0</v>
      </c>
      <c r="AC1247" s="179">
        <v>0.0</v>
      </c>
      <c r="AD1247" s="179">
        <v>0.0</v>
      </c>
      <c r="AE1247" s="179">
        <v>0.0</v>
      </c>
      <c r="AF1247" s="179">
        <v>0.0</v>
      </c>
      <c r="AG1247" s="179">
        <v>0.0</v>
      </c>
      <c r="AH1247" s="179">
        <v>0.0</v>
      </c>
      <c r="AI1247" s="179">
        <v>0.0</v>
      </c>
      <c r="AJ1247" s="179">
        <v>0.0</v>
      </c>
    </row>
    <row r="1248" ht="15.75" customHeight="1">
      <c r="A1248" s="200">
        <v>45772.0</v>
      </c>
      <c r="B1248" s="179" t="s">
        <v>771</v>
      </c>
      <c r="C1248" s="179" t="s">
        <v>867</v>
      </c>
      <c r="D1248" s="179" t="s">
        <v>773</v>
      </c>
      <c r="E1248" s="179" t="s">
        <v>459</v>
      </c>
      <c r="F1248" s="179" t="s">
        <v>774</v>
      </c>
      <c r="G1248" s="179" t="s">
        <v>775</v>
      </c>
      <c r="H1248" s="179" t="s">
        <v>1106</v>
      </c>
      <c r="I1248" s="179"/>
      <c r="J1248" s="179" t="s">
        <v>176</v>
      </c>
      <c r="K1248" s="179">
        <v>300.0</v>
      </c>
      <c r="L1248" s="195">
        <v>0.3784</v>
      </c>
      <c r="M1248" s="179" t="s">
        <v>8</v>
      </c>
      <c r="N1248" s="179">
        <v>71001.0</v>
      </c>
      <c r="O1248" s="179">
        <v>252.0</v>
      </c>
      <c r="P1248" s="179">
        <v>0.0035</v>
      </c>
      <c r="Q1248" s="179">
        <v>7172.49</v>
      </c>
      <c r="R1248" s="179">
        <v>28.46</v>
      </c>
      <c r="S1248" s="179">
        <v>0.0</v>
      </c>
      <c r="T1248" s="179">
        <v>7.0</v>
      </c>
      <c r="U1248" s="179">
        <v>105356.0</v>
      </c>
      <c r="V1248" s="179">
        <v>0.0681</v>
      </c>
      <c r="W1248" s="179">
        <v>14.6889</v>
      </c>
      <c r="X1248" s="179">
        <v>0.0</v>
      </c>
      <c r="Y1248" s="179">
        <v>0.0</v>
      </c>
      <c r="Z1248" s="179">
        <v>0.0</v>
      </c>
      <c r="AA1248" s="179">
        <v>0.0</v>
      </c>
      <c r="AB1248" s="179">
        <v>0.0</v>
      </c>
      <c r="AC1248" s="179">
        <v>0.0</v>
      </c>
      <c r="AD1248" s="179">
        <v>0.0</v>
      </c>
      <c r="AE1248" s="179">
        <v>0.0</v>
      </c>
      <c r="AF1248" s="179">
        <v>0.0</v>
      </c>
      <c r="AG1248" s="179">
        <v>0.0</v>
      </c>
      <c r="AH1248" s="179">
        <v>0.0</v>
      </c>
      <c r="AI1248" s="179">
        <v>0.0</v>
      </c>
      <c r="AJ1248" s="179">
        <v>0.0</v>
      </c>
    </row>
    <row r="1249" ht="15.75" customHeight="1">
      <c r="A1249" s="200">
        <v>45772.0</v>
      </c>
      <c r="B1249" s="179" t="s">
        <v>771</v>
      </c>
      <c r="C1249" s="179" t="s">
        <v>1112</v>
      </c>
      <c r="D1249" s="179" t="s">
        <v>773</v>
      </c>
      <c r="E1249" s="179" t="s">
        <v>459</v>
      </c>
      <c r="F1249" s="179" t="s">
        <v>774</v>
      </c>
      <c r="G1249" s="179" t="s">
        <v>775</v>
      </c>
      <c r="H1249" s="179" t="s">
        <v>1106</v>
      </c>
      <c r="I1249" s="179"/>
      <c r="J1249" s="179" t="s">
        <v>230</v>
      </c>
      <c r="K1249" s="179">
        <v>500.0</v>
      </c>
      <c r="L1249" s="179" t="s">
        <v>776</v>
      </c>
      <c r="M1249" s="179" t="s">
        <v>8</v>
      </c>
      <c r="N1249" s="179">
        <v>63123.0</v>
      </c>
      <c r="O1249" s="179">
        <v>106.0</v>
      </c>
      <c r="P1249" s="179">
        <v>0.0017</v>
      </c>
      <c r="Q1249" s="179">
        <v>6568.18</v>
      </c>
      <c r="R1249" s="179">
        <v>61.96</v>
      </c>
      <c r="S1249" s="179">
        <v>0.0</v>
      </c>
      <c r="T1249" s="179">
        <v>0.0</v>
      </c>
      <c r="U1249" s="179">
        <v>0.0</v>
      </c>
      <c r="V1249" s="179">
        <v>0.0</v>
      </c>
      <c r="W1249" s="179">
        <v>0.0</v>
      </c>
      <c r="X1249" s="179">
        <v>0.0</v>
      </c>
      <c r="Y1249" s="179">
        <v>0.0</v>
      </c>
      <c r="Z1249" s="179">
        <v>0.0</v>
      </c>
      <c r="AA1249" s="179">
        <v>0.0</v>
      </c>
      <c r="AB1249" s="179">
        <v>0.0</v>
      </c>
      <c r="AC1249" s="179">
        <v>0.0</v>
      </c>
      <c r="AD1249" s="179">
        <v>0.0</v>
      </c>
      <c r="AE1249" s="179">
        <v>0.0</v>
      </c>
      <c r="AF1249" s="179">
        <v>0.0</v>
      </c>
      <c r="AG1249" s="179">
        <v>0.0</v>
      </c>
      <c r="AH1249" s="179">
        <v>0.0</v>
      </c>
      <c r="AI1249" s="179">
        <v>0.0</v>
      </c>
      <c r="AJ1249" s="179">
        <v>0.0</v>
      </c>
    </row>
    <row r="1250" ht="15.75" customHeight="1">
      <c r="A1250" s="200">
        <v>45772.0</v>
      </c>
      <c r="B1250" s="179" t="s">
        <v>771</v>
      </c>
      <c r="C1250" s="179" t="s">
        <v>1120</v>
      </c>
      <c r="D1250" s="179" t="s">
        <v>931</v>
      </c>
      <c r="E1250" s="179" t="s">
        <v>459</v>
      </c>
      <c r="F1250" s="179" t="s">
        <v>774</v>
      </c>
      <c r="G1250" s="179" t="s">
        <v>775</v>
      </c>
      <c r="H1250" s="179" t="s">
        <v>1106</v>
      </c>
      <c r="I1250" s="179"/>
      <c r="J1250" s="179" t="s">
        <v>211</v>
      </c>
      <c r="K1250" s="179">
        <v>150.0</v>
      </c>
      <c r="L1250" s="195">
        <v>0.2307</v>
      </c>
      <c r="M1250" s="179" t="s">
        <v>8</v>
      </c>
      <c r="N1250" s="179">
        <v>67542.0</v>
      </c>
      <c r="O1250" s="179">
        <v>750.0</v>
      </c>
      <c r="P1250" s="179">
        <v>0.0111</v>
      </c>
      <c r="Q1250" s="179">
        <v>6264.42</v>
      </c>
      <c r="R1250" s="179">
        <v>8.35</v>
      </c>
      <c r="S1250" s="179">
        <v>0.0</v>
      </c>
      <c r="T1250" s="179">
        <v>11.0</v>
      </c>
      <c r="U1250" s="179">
        <v>23719.49</v>
      </c>
      <c r="V1250" s="179">
        <v>0.2641</v>
      </c>
      <c r="W1250" s="179">
        <v>3.7864</v>
      </c>
      <c r="X1250" s="179">
        <v>0.0</v>
      </c>
      <c r="Y1250" s="179">
        <v>0.0</v>
      </c>
      <c r="Z1250" s="179">
        <v>0.0</v>
      </c>
      <c r="AA1250" s="179">
        <v>0.0</v>
      </c>
      <c r="AB1250" s="179">
        <v>0.0</v>
      </c>
      <c r="AC1250" s="179">
        <v>0.0</v>
      </c>
      <c r="AD1250" s="179">
        <v>0.0</v>
      </c>
      <c r="AE1250" s="179">
        <v>0.0</v>
      </c>
      <c r="AF1250" s="179">
        <v>0.0</v>
      </c>
      <c r="AG1250" s="179">
        <v>0.0</v>
      </c>
      <c r="AH1250" s="179">
        <v>0.0</v>
      </c>
      <c r="AI1250" s="179">
        <v>0.0</v>
      </c>
      <c r="AJ1250" s="179">
        <v>0.0</v>
      </c>
    </row>
    <row r="1251" ht="15.75" customHeight="1">
      <c r="A1251" s="200">
        <v>45772.0</v>
      </c>
      <c r="B1251" s="179" t="s">
        <v>779</v>
      </c>
      <c r="C1251" s="179" t="s">
        <v>1274</v>
      </c>
      <c r="D1251" s="179" t="s">
        <v>781</v>
      </c>
      <c r="E1251" s="179" t="s">
        <v>459</v>
      </c>
      <c r="F1251" s="179" t="s">
        <v>774</v>
      </c>
      <c r="G1251" s="179" t="s">
        <v>775</v>
      </c>
      <c r="H1251" s="179" t="s">
        <v>1106</v>
      </c>
      <c r="I1251" s="179"/>
      <c r="J1251" s="179" t="s">
        <v>413</v>
      </c>
      <c r="K1251" s="179">
        <v>2000.0</v>
      </c>
      <c r="L1251" s="179" t="s">
        <v>776</v>
      </c>
      <c r="M1251" s="179" t="s">
        <v>8</v>
      </c>
      <c r="N1251" s="179">
        <v>63171.0</v>
      </c>
      <c r="O1251" s="179">
        <v>187.0</v>
      </c>
      <c r="P1251" s="179">
        <v>0.003</v>
      </c>
      <c r="Q1251" s="179">
        <v>6242.41</v>
      </c>
      <c r="R1251" s="179">
        <v>33.38</v>
      </c>
      <c r="S1251" s="179">
        <v>0.0</v>
      </c>
      <c r="T1251" s="179">
        <v>1.0</v>
      </c>
      <c r="U1251" s="179">
        <v>14405.93</v>
      </c>
      <c r="V1251" s="179">
        <v>0.4333</v>
      </c>
      <c r="W1251" s="179">
        <v>2.3078</v>
      </c>
      <c r="X1251" s="179">
        <v>0.0</v>
      </c>
      <c r="Y1251" s="179">
        <v>0.0</v>
      </c>
      <c r="Z1251" s="179">
        <v>0.0</v>
      </c>
      <c r="AA1251" s="179">
        <v>0.0</v>
      </c>
      <c r="AB1251" s="179">
        <v>0.0</v>
      </c>
      <c r="AC1251" s="179">
        <v>0.0</v>
      </c>
      <c r="AD1251" s="179">
        <v>0.0</v>
      </c>
      <c r="AE1251" s="179">
        <v>0.0</v>
      </c>
      <c r="AF1251" s="179">
        <v>0.0</v>
      </c>
      <c r="AG1251" s="179">
        <v>0.0</v>
      </c>
      <c r="AH1251" s="179">
        <v>0.0</v>
      </c>
      <c r="AI1251" s="179">
        <v>0.0</v>
      </c>
      <c r="AJ1251" s="179">
        <v>0.0</v>
      </c>
    </row>
    <row r="1252" ht="15.75" customHeight="1">
      <c r="A1252" s="200">
        <v>45772.0</v>
      </c>
      <c r="B1252" s="179" t="s">
        <v>771</v>
      </c>
      <c r="C1252" s="179" t="s">
        <v>822</v>
      </c>
      <c r="D1252" s="179" t="s">
        <v>773</v>
      </c>
      <c r="E1252" s="179" t="s">
        <v>462</v>
      </c>
      <c r="F1252" s="179" t="s">
        <v>774</v>
      </c>
      <c r="G1252" s="179"/>
      <c r="H1252" s="179" t="s">
        <v>1106</v>
      </c>
      <c r="I1252" s="179"/>
      <c r="J1252" s="179" t="s">
        <v>128</v>
      </c>
      <c r="K1252" s="179">
        <v>750.0</v>
      </c>
      <c r="L1252" s="179" t="s">
        <v>776</v>
      </c>
      <c r="M1252" s="179" t="s">
        <v>8</v>
      </c>
      <c r="N1252" s="179">
        <v>61359.0</v>
      </c>
      <c r="O1252" s="179">
        <v>276.0</v>
      </c>
      <c r="P1252" s="179">
        <v>0.0045</v>
      </c>
      <c r="Q1252" s="179">
        <v>5872.04</v>
      </c>
      <c r="R1252" s="179">
        <v>21.28</v>
      </c>
      <c r="S1252" s="179">
        <v>919.0</v>
      </c>
      <c r="T1252" s="179">
        <v>1.0</v>
      </c>
      <c r="U1252" s="179">
        <v>17381.36</v>
      </c>
      <c r="V1252" s="179">
        <v>0.3378</v>
      </c>
      <c r="W1252" s="179">
        <v>2.96</v>
      </c>
      <c r="X1252" s="179">
        <v>1.0</v>
      </c>
      <c r="Y1252" s="179">
        <v>1.0</v>
      </c>
      <c r="Z1252" s="179">
        <v>17381.36</v>
      </c>
      <c r="AA1252" s="179">
        <v>1.0</v>
      </c>
      <c r="AB1252" s="179">
        <v>5041.0</v>
      </c>
      <c r="AC1252" s="179">
        <v>1164.86</v>
      </c>
      <c r="AD1252" s="179">
        <v>0.0</v>
      </c>
      <c r="AE1252" s="179">
        <v>0.0</v>
      </c>
      <c r="AF1252" s="179">
        <v>0.0</v>
      </c>
      <c r="AG1252" s="179">
        <v>0.0</v>
      </c>
      <c r="AH1252" s="179">
        <v>0.0</v>
      </c>
      <c r="AI1252" s="179">
        <v>0.0</v>
      </c>
      <c r="AJ1252" s="179">
        <v>0.0</v>
      </c>
    </row>
    <row r="1253" ht="15.75" customHeight="1">
      <c r="A1253" s="200">
        <v>45772.0</v>
      </c>
      <c r="B1253" s="179" t="s">
        <v>771</v>
      </c>
      <c r="C1253" s="179" t="s">
        <v>1253</v>
      </c>
      <c r="D1253" s="179" t="s">
        <v>773</v>
      </c>
      <c r="E1253" s="179" t="s">
        <v>459</v>
      </c>
      <c r="F1253" s="179" t="s">
        <v>774</v>
      </c>
      <c r="G1253" s="179" t="s">
        <v>775</v>
      </c>
      <c r="H1253" s="179" t="s">
        <v>1106</v>
      </c>
      <c r="I1253" s="179"/>
      <c r="J1253" s="179" t="s">
        <v>158</v>
      </c>
      <c r="K1253" s="179">
        <v>500.0</v>
      </c>
      <c r="L1253" s="179" t="s">
        <v>776</v>
      </c>
      <c r="M1253" s="179" t="s">
        <v>8</v>
      </c>
      <c r="N1253" s="179">
        <v>84371.0</v>
      </c>
      <c r="O1253" s="179">
        <v>385.0</v>
      </c>
      <c r="P1253" s="179">
        <v>0.0046</v>
      </c>
      <c r="Q1253" s="179">
        <v>5846.81</v>
      </c>
      <c r="R1253" s="179">
        <v>15.19</v>
      </c>
      <c r="S1253" s="179">
        <v>0.0</v>
      </c>
      <c r="T1253" s="179">
        <v>7.0</v>
      </c>
      <c r="U1253" s="179">
        <v>17666.12</v>
      </c>
      <c r="V1253" s="179">
        <v>0.331</v>
      </c>
      <c r="W1253" s="179">
        <v>3.0215</v>
      </c>
      <c r="X1253" s="179">
        <v>0.0</v>
      </c>
      <c r="Y1253" s="179">
        <v>0.0</v>
      </c>
      <c r="Z1253" s="179">
        <v>0.0</v>
      </c>
      <c r="AA1253" s="179">
        <v>0.0</v>
      </c>
      <c r="AB1253" s="179">
        <v>0.0</v>
      </c>
      <c r="AC1253" s="179">
        <v>0.0</v>
      </c>
      <c r="AD1253" s="179">
        <v>0.0</v>
      </c>
      <c r="AE1253" s="179">
        <v>0.0</v>
      </c>
      <c r="AF1253" s="179">
        <v>0.0</v>
      </c>
      <c r="AG1253" s="179">
        <v>0.0</v>
      </c>
      <c r="AH1253" s="179">
        <v>0.0</v>
      </c>
      <c r="AI1253" s="179">
        <v>0.0</v>
      </c>
      <c r="AJ1253" s="179">
        <v>0.0</v>
      </c>
    </row>
    <row r="1254" ht="15.75" customHeight="1">
      <c r="A1254" s="200">
        <v>45772.0</v>
      </c>
      <c r="B1254" s="179" t="s">
        <v>771</v>
      </c>
      <c r="C1254" s="179" t="s">
        <v>1096</v>
      </c>
      <c r="D1254" s="179" t="s">
        <v>773</v>
      </c>
      <c r="E1254" s="179" t="s">
        <v>459</v>
      </c>
      <c r="F1254" s="179" t="s">
        <v>774</v>
      </c>
      <c r="G1254" s="179" t="s">
        <v>775</v>
      </c>
      <c r="H1254" s="179" t="s">
        <v>1106</v>
      </c>
      <c r="I1254" s="179"/>
      <c r="J1254" s="179" t="s">
        <v>140</v>
      </c>
      <c r="K1254" s="179">
        <v>150.0</v>
      </c>
      <c r="L1254" s="179" t="s">
        <v>776</v>
      </c>
      <c r="M1254" s="179" t="s">
        <v>8</v>
      </c>
      <c r="N1254" s="179">
        <v>68285.0</v>
      </c>
      <c r="O1254" s="179">
        <v>124.0</v>
      </c>
      <c r="P1254" s="179">
        <v>0.0018</v>
      </c>
      <c r="Q1254" s="179">
        <v>5822.97</v>
      </c>
      <c r="R1254" s="179">
        <v>46.96</v>
      </c>
      <c r="S1254" s="179">
        <v>0.0</v>
      </c>
      <c r="T1254" s="179">
        <v>0.0</v>
      </c>
      <c r="U1254" s="179">
        <v>0.0</v>
      </c>
      <c r="V1254" s="179">
        <v>0.0</v>
      </c>
      <c r="W1254" s="179">
        <v>0.0</v>
      </c>
      <c r="X1254" s="179">
        <v>0.0</v>
      </c>
      <c r="Y1254" s="179">
        <v>0.0</v>
      </c>
      <c r="Z1254" s="179">
        <v>0.0</v>
      </c>
      <c r="AA1254" s="179">
        <v>0.0</v>
      </c>
      <c r="AB1254" s="179">
        <v>0.0</v>
      </c>
      <c r="AC1254" s="179">
        <v>0.0</v>
      </c>
      <c r="AD1254" s="179">
        <v>0.0</v>
      </c>
      <c r="AE1254" s="179">
        <v>0.0</v>
      </c>
      <c r="AF1254" s="179">
        <v>0.0</v>
      </c>
      <c r="AG1254" s="179">
        <v>0.0</v>
      </c>
      <c r="AH1254" s="179">
        <v>0.0</v>
      </c>
      <c r="AI1254" s="179">
        <v>0.0</v>
      </c>
      <c r="AJ1254" s="179">
        <v>0.0</v>
      </c>
    </row>
    <row r="1255" ht="15.75" customHeight="1">
      <c r="A1255" s="200">
        <v>45772.0</v>
      </c>
      <c r="B1255" s="179" t="s">
        <v>771</v>
      </c>
      <c r="C1255" s="179" t="s">
        <v>1114</v>
      </c>
      <c r="D1255" s="179" t="s">
        <v>773</v>
      </c>
      <c r="E1255" s="179" t="s">
        <v>459</v>
      </c>
      <c r="F1255" s="179" t="s">
        <v>774</v>
      </c>
      <c r="G1255" s="179" t="s">
        <v>775</v>
      </c>
      <c r="H1255" s="179" t="s">
        <v>1106</v>
      </c>
      <c r="I1255" s="179"/>
      <c r="J1255" s="179" t="s">
        <v>429</v>
      </c>
      <c r="K1255" s="179">
        <v>300.0</v>
      </c>
      <c r="L1255" s="179" t="s">
        <v>776</v>
      </c>
      <c r="M1255" s="179" t="s">
        <v>8</v>
      </c>
      <c r="N1255" s="179">
        <v>19597.0</v>
      </c>
      <c r="O1255" s="179">
        <v>167.0</v>
      </c>
      <c r="P1255" s="179">
        <v>0.0085</v>
      </c>
      <c r="Q1255" s="179">
        <v>5797.62</v>
      </c>
      <c r="R1255" s="179">
        <v>34.72</v>
      </c>
      <c r="S1255" s="179">
        <v>0.0</v>
      </c>
      <c r="T1255" s="179">
        <v>3.0</v>
      </c>
      <c r="U1255" s="179">
        <v>40931.36</v>
      </c>
      <c r="V1255" s="179">
        <v>0.1416</v>
      </c>
      <c r="W1255" s="179">
        <v>7.06</v>
      </c>
      <c r="X1255" s="179">
        <v>0.0</v>
      </c>
      <c r="Y1255" s="179">
        <v>0.0</v>
      </c>
      <c r="Z1255" s="179">
        <v>0.0</v>
      </c>
      <c r="AA1255" s="179">
        <v>0.0</v>
      </c>
      <c r="AB1255" s="179">
        <v>0.0</v>
      </c>
      <c r="AC1255" s="179">
        <v>0.0</v>
      </c>
      <c r="AD1255" s="179">
        <v>0.0</v>
      </c>
      <c r="AE1255" s="179">
        <v>0.0</v>
      </c>
      <c r="AF1255" s="179">
        <v>0.0</v>
      </c>
      <c r="AG1255" s="179">
        <v>0.0</v>
      </c>
      <c r="AH1255" s="179">
        <v>0.0</v>
      </c>
      <c r="AI1255" s="179">
        <v>0.0</v>
      </c>
      <c r="AJ1255" s="179">
        <v>0.0</v>
      </c>
    </row>
    <row r="1256" ht="15.75" customHeight="1">
      <c r="A1256" s="200">
        <v>45772.0</v>
      </c>
      <c r="B1256" s="179" t="s">
        <v>771</v>
      </c>
      <c r="C1256" s="179" t="s">
        <v>1284</v>
      </c>
      <c r="D1256" s="179" t="s">
        <v>773</v>
      </c>
      <c r="E1256" s="179" t="s">
        <v>459</v>
      </c>
      <c r="F1256" s="179" t="s">
        <v>774</v>
      </c>
      <c r="G1256" s="179" t="s">
        <v>783</v>
      </c>
      <c r="H1256" s="179" t="s">
        <v>1106</v>
      </c>
      <c r="I1256" s="179"/>
      <c r="J1256" s="179" t="s">
        <v>90</v>
      </c>
      <c r="K1256" s="179">
        <v>500.0</v>
      </c>
      <c r="L1256" s="179" t="s">
        <v>776</v>
      </c>
      <c r="M1256" s="179" t="s">
        <v>8</v>
      </c>
      <c r="N1256" s="179">
        <v>58407.0</v>
      </c>
      <c r="O1256" s="179">
        <v>202.0</v>
      </c>
      <c r="P1256" s="179">
        <v>0.0035</v>
      </c>
      <c r="Q1256" s="179">
        <v>5609.34</v>
      </c>
      <c r="R1256" s="179">
        <v>27.77</v>
      </c>
      <c r="S1256" s="179">
        <v>0.0</v>
      </c>
      <c r="T1256" s="179">
        <v>5.0</v>
      </c>
      <c r="U1256" s="179">
        <v>73175.42</v>
      </c>
      <c r="V1256" s="179">
        <v>0.0767</v>
      </c>
      <c r="W1256" s="179">
        <v>13.0453</v>
      </c>
      <c r="X1256" s="179">
        <v>0.0</v>
      </c>
      <c r="Y1256" s="179">
        <v>0.0</v>
      </c>
      <c r="Z1256" s="179">
        <v>0.0</v>
      </c>
      <c r="AA1256" s="179">
        <v>0.0</v>
      </c>
      <c r="AB1256" s="179">
        <v>0.0</v>
      </c>
      <c r="AC1256" s="179">
        <v>0.0</v>
      </c>
      <c r="AD1256" s="179">
        <v>0.0</v>
      </c>
      <c r="AE1256" s="179">
        <v>0.0</v>
      </c>
      <c r="AF1256" s="179">
        <v>0.0</v>
      </c>
      <c r="AG1256" s="179">
        <v>0.0</v>
      </c>
      <c r="AH1256" s="179">
        <v>0.0</v>
      </c>
      <c r="AI1256" s="179">
        <v>0.0</v>
      </c>
      <c r="AJ1256" s="179">
        <v>0.0</v>
      </c>
    </row>
    <row r="1257" ht="15.75" customHeight="1">
      <c r="A1257" s="200">
        <v>45772.0</v>
      </c>
      <c r="B1257" s="179" t="s">
        <v>771</v>
      </c>
      <c r="C1257" s="179" t="s">
        <v>1262</v>
      </c>
      <c r="D1257" s="179" t="s">
        <v>931</v>
      </c>
      <c r="E1257" s="179" t="s">
        <v>461</v>
      </c>
      <c r="F1257" s="179" t="s">
        <v>774</v>
      </c>
      <c r="G1257" s="179"/>
      <c r="H1257" s="179" t="s">
        <v>1106</v>
      </c>
      <c r="I1257" s="179"/>
      <c r="J1257" s="179" t="s">
        <v>196</v>
      </c>
      <c r="K1257" s="179">
        <v>75.0</v>
      </c>
      <c r="L1257" s="179" t="s">
        <v>776</v>
      </c>
      <c r="M1257" s="179" t="s">
        <v>8</v>
      </c>
      <c r="N1257" s="179">
        <v>185570.0</v>
      </c>
      <c r="O1257" s="179">
        <v>349.0</v>
      </c>
      <c r="P1257" s="179">
        <v>0.0019</v>
      </c>
      <c r="Q1257" s="179">
        <v>5163.7</v>
      </c>
      <c r="R1257" s="179">
        <v>14.8</v>
      </c>
      <c r="S1257" s="179">
        <v>424.0</v>
      </c>
      <c r="T1257" s="179">
        <v>0.0</v>
      </c>
      <c r="U1257" s="179">
        <v>0.0</v>
      </c>
      <c r="V1257" s="179">
        <v>0.0</v>
      </c>
      <c r="W1257" s="179">
        <v>0.0</v>
      </c>
      <c r="X1257" s="179">
        <v>0.0</v>
      </c>
      <c r="Y1257" s="179">
        <v>0.0</v>
      </c>
      <c r="Z1257" s="179">
        <v>0.0</v>
      </c>
      <c r="AA1257" s="179">
        <v>0.0</v>
      </c>
      <c r="AB1257" s="179">
        <v>26588.0</v>
      </c>
      <c r="AC1257" s="179">
        <v>194.21</v>
      </c>
      <c r="AD1257" s="179">
        <v>0.0</v>
      </c>
      <c r="AE1257" s="179">
        <v>0.0</v>
      </c>
      <c r="AF1257" s="179">
        <v>0.0</v>
      </c>
      <c r="AG1257" s="179">
        <v>0.0</v>
      </c>
      <c r="AH1257" s="179">
        <v>0.0</v>
      </c>
      <c r="AI1257" s="179">
        <v>0.0</v>
      </c>
      <c r="AJ1257" s="179">
        <v>0.0</v>
      </c>
    </row>
    <row r="1258" ht="15.75" customHeight="1">
      <c r="A1258" s="200">
        <v>45772.0</v>
      </c>
      <c r="B1258" s="179" t="s">
        <v>771</v>
      </c>
      <c r="C1258" s="179" t="s">
        <v>1256</v>
      </c>
      <c r="D1258" s="179" t="s">
        <v>773</v>
      </c>
      <c r="E1258" s="179" t="s">
        <v>459</v>
      </c>
      <c r="F1258" s="179" t="s">
        <v>774</v>
      </c>
      <c r="G1258" s="179" t="s">
        <v>775</v>
      </c>
      <c r="H1258" s="179" t="s">
        <v>1106</v>
      </c>
      <c r="I1258" s="179"/>
      <c r="J1258" s="179" t="s">
        <v>152</v>
      </c>
      <c r="K1258" s="179">
        <v>150.0</v>
      </c>
      <c r="L1258" s="179" t="s">
        <v>776</v>
      </c>
      <c r="M1258" s="179" t="s">
        <v>8</v>
      </c>
      <c r="N1258" s="179">
        <v>70371.0</v>
      </c>
      <c r="O1258" s="179">
        <v>235.0</v>
      </c>
      <c r="P1258" s="179">
        <v>0.0033</v>
      </c>
      <c r="Q1258" s="179">
        <v>4934.35</v>
      </c>
      <c r="R1258" s="179">
        <v>21.0</v>
      </c>
      <c r="S1258" s="179">
        <v>0.0</v>
      </c>
      <c r="T1258" s="179">
        <v>1.0</v>
      </c>
      <c r="U1258" s="179">
        <v>12847.46</v>
      </c>
      <c r="V1258" s="179">
        <v>0.3841</v>
      </c>
      <c r="W1258" s="179">
        <v>2.6037</v>
      </c>
      <c r="X1258" s="179">
        <v>0.0</v>
      </c>
      <c r="Y1258" s="179">
        <v>0.0</v>
      </c>
      <c r="Z1258" s="179">
        <v>0.0</v>
      </c>
      <c r="AA1258" s="179">
        <v>0.0</v>
      </c>
      <c r="AB1258" s="179">
        <v>0.0</v>
      </c>
      <c r="AC1258" s="179">
        <v>0.0</v>
      </c>
      <c r="AD1258" s="179">
        <v>0.0</v>
      </c>
      <c r="AE1258" s="179">
        <v>0.0</v>
      </c>
      <c r="AF1258" s="179">
        <v>0.0</v>
      </c>
      <c r="AG1258" s="179">
        <v>0.0</v>
      </c>
      <c r="AH1258" s="179">
        <v>0.0</v>
      </c>
      <c r="AI1258" s="179">
        <v>0.0</v>
      </c>
      <c r="AJ1258" s="179">
        <v>0.0</v>
      </c>
    </row>
    <row r="1259" ht="15.75" customHeight="1">
      <c r="A1259" s="200">
        <v>45772.0</v>
      </c>
      <c r="B1259" s="179" t="s">
        <v>771</v>
      </c>
      <c r="C1259" s="179" t="s">
        <v>1286</v>
      </c>
      <c r="D1259" s="179" t="s">
        <v>931</v>
      </c>
      <c r="E1259" s="179" t="s">
        <v>459</v>
      </c>
      <c r="F1259" s="179" t="s">
        <v>774</v>
      </c>
      <c r="G1259" s="179" t="s">
        <v>775</v>
      </c>
      <c r="H1259" s="179" t="s">
        <v>1106</v>
      </c>
      <c r="I1259" s="179"/>
      <c r="J1259" s="179" t="s">
        <v>413</v>
      </c>
      <c r="K1259" s="179">
        <v>150.0</v>
      </c>
      <c r="L1259" s="179" t="s">
        <v>776</v>
      </c>
      <c r="M1259" s="179" t="s">
        <v>8</v>
      </c>
      <c r="N1259" s="179">
        <v>106602.0</v>
      </c>
      <c r="O1259" s="179">
        <v>356.0</v>
      </c>
      <c r="P1259" s="179">
        <v>0.0033</v>
      </c>
      <c r="Q1259" s="179">
        <v>4811.66</v>
      </c>
      <c r="R1259" s="179">
        <v>13.52</v>
      </c>
      <c r="S1259" s="179">
        <v>0.0</v>
      </c>
      <c r="T1259" s="179">
        <v>0.0</v>
      </c>
      <c r="U1259" s="179">
        <v>0.0</v>
      </c>
      <c r="V1259" s="179">
        <v>0.0</v>
      </c>
      <c r="W1259" s="179">
        <v>0.0</v>
      </c>
      <c r="X1259" s="179">
        <v>0.0</v>
      </c>
      <c r="Y1259" s="179">
        <v>0.0</v>
      </c>
      <c r="Z1259" s="179">
        <v>0.0</v>
      </c>
      <c r="AA1259" s="179">
        <v>0.0</v>
      </c>
      <c r="AB1259" s="179">
        <v>0.0</v>
      </c>
      <c r="AC1259" s="179">
        <v>0.0</v>
      </c>
      <c r="AD1259" s="179">
        <v>0.0</v>
      </c>
      <c r="AE1259" s="179">
        <v>0.0</v>
      </c>
      <c r="AF1259" s="179">
        <v>0.0</v>
      </c>
      <c r="AG1259" s="179">
        <v>0.0</v>
      </c>
      <c r="AH1259" s="179">
        <v>0.0</v>
      </c>
      <c r="AI1259" s="179">
        <v>0.0</v>
      </c>
      <c r="AJ1259" s="179">
        <v>0.0</v>
      </c>
    </row>
    <row r="1260" ht="15.75" customHeight="1">
      <c r="A1260" s="200">
        <v>45772.0</v>
      </c>
      <c r="B1260" s="179" t="s">
        <v>779</v>
      </c>
      <c r="C1260" s="179" t="s">
        <v>1126</v>
      </c>
      <c r="D1260" s="179" t="s">
        <v>781</v>
      </c>
      <c r="E1260" s="179" t="s">
        <v>462</v>
      </c>
      <c r="F1260" s="179" t="s">
        <v>774</v>
      </c>
      <c r="G1260" s="179"/>
      <c r="H1260" s="179" t="s">
        <v>1106</v>
      </c>
      <c r="I1260" s="179"/>
      <c r="J1260" s="179" t="s">
        <v>158</v>
      </c>
      <c r="K1260" s="179">
        <v>1500.0</v>
      </c>
      <c r="L1260" s="195">
        <v>0.2451</v>
      </c>
      <c r="M1260" s="179" t="s">
        <v>8</v>
      </c>
      <c r="N1260" s="179">
        <v>79093.0</v>
      </c>
      <c r="O1260" s="179">
        <v>502.0</v>
      </c>
      <c r="P1260" s="179">
        <v>0.0063</v>
      </c>
      <c r="Q1260" s="179">
        <v>4586.28</v>
      </c>
      <c r="R1260" s="179">
        <v>9.14</v>
      </c>
      <c r="S1260" s="179">
        <v>1044.0</v>
      </c>
      <c r="T1260" s="179">
        <v>4.0</v>
      </c>
      <c r="U1260" s="179">
        <v>7583.06</v>
      </c>
      <c r="V1260" s="179">
        <v>0.6048</v>
      </c>
      <c r="W1260" s="179">
        <v>1.6534</v>
      </c>
      <c r="X1260" s="179">
        <v>2.0</v>
      </c>
      <c r="Y1260" s="179">
        <v>0.5</v>
      </c>
      <c r="Z1260" s="179">
        <v>5041.53</v>
      </c>
      <c r="AA1260" s="179">
        <v>0.6648</v>
      </c>
      <c r="AB1260" s="179">
        <v>7492.0</v>
      </c>
      <c r="AC1260" s="179">
        <v>612.16</v>
      </c>
      <c r="AD1260" s="179">
        <v>0.0</v>
      </c>
      <c r="AE1260" s="179">
        <v>0.0</v>
      </c>
      <c r="AF1260" s="179">
        <v>0.0</v>
      </c>
      <c r="AG1260" s="179">
        <v>0.0</v>
      </c>
      <c r="AH1260" s="179">
        <v>0.0</v>
      </c>
      <c r="AI1260" s="179">
        <v>0.0</v>
      </c>
      <c r="AJ1260" s="179">
        <v>0.0</v>
      </c>
    </row>
    <row r="1261" ht="15.75" customHeight="1">
      <c r="A1261" s="200">
        <v>45772.0</v>
      </c>
      <c r="B1261" s="179" t="s">
        <v>771</v>
      </c>
      <c r="C1261" s="179" t="s">
        <v>1208</v>
      </c>
      <c r="D1261" s="179" t="s">
        <v>773</v>
      </c>
      <c r="E1261" s="179" t="s">
        <v>459</v>
      </c>
      <c r="F1261" s="179" t="s">
        <v>774</v>
      </c>
      <c r="G1261" s="179" t="s">
        <v>775</v>
      </c>
      <c r="H1261" s="179" t="s">
        <v>1106</v>
      </c>
      <c r="I1261" s="179"/>
      <c r="J1261" s="179" t="s">
        <v>134</v>
      </c>
      <c r="K1261" s="179">
        <v>500.0</v>
      </c>
      <c r="L1261" s="179" t="s">
        <v>776</v>
      </c>
      <c r="M1261" s="179" t="s">
        <v>8</v>
      </c>
      <c r="N1261" s="179">
        <v>22652.0</v>
      </c>
      <c r="O1261" s="179">
        <v>74.0</v>
      </c>
      <c r="P1261" s="179">
        <v>0.0033</v>
      </c>
      <c r="Q1261" s="179">
        <v>4574.48</v>
      </c>
      <c r="R1261" s="179">
        <v>61.82</v>
      </c>
      <c r="S1261" s="179">
        <v>0.0</v>
      </c>
      <c r="T1261" s="179">
        <v>0.0</v>
      </c>
      <c r="U1261" s="179">
        <v>0.0</v>
      </c>
      <c r="V1261" s="179">
        <v>0.0</v>
      </c>
      <c r="W1261" s="179">
        <v>0.0</v>
      </c>
      <c r="X1261" s="179">
        <v>0.0</v>
      </c>
      <c r="Y1261" s="179">
        <v>0.0</v>
      </c>
      <c r="Z1261" s="179">
        <v>0.0</v>
      </c>
      <c r="AA1261" s="179">
        <v>0.0</v>
      </c>
      <c r="AB1261" s="179">
        <v>0.0</v>
      </c>
      <c r="AC1261" s="179">
        <v>0.0</v>
      </c>
      <c r="AD1261" s="179">
        <v>0.0</v>
      </c>
      <c r="AE1261" s="179">
        <v>0.0</v>
      </c>
      <c r="AF1261" s="179">
        <v>0.0</v>
      </c>
      <c r="AG1261" s="179">
        <v>0.0</v>
      </c>
      <c r="AH1261" s="179">
        <v>0.0</v>
      </c>
      <c r="AI1261" s="179">
        <v>0.0</v>
      </c>
      <c r="AJ1261" s="179">
        <v>0.0</v>
      </c>
    </row>
    <row r="1262" ht="15.75" customHeight="1">
      <c r="A1262" s="200">
        <v>45772.0</v>
      </c>
      <c r="B1262" s="179" t="s">
        <v>771</v>
      </c>
      <c r="C1262" s="179" t="s">
        <v>937</v>
      </c>
      <c r="D1262" s="179" t="s">
        <v>773</v>
      </c>
      <c r="E1262" s="179" t="s">
        <v>459</v>
      </c>
      <c r="F1262" s="179" t="s">
        <v>774</v>
      </c>
      <c r="G1262" s="179" t="s">
        <v>775</v>
      </c>
      <c r="H1262" s="179" t="s">
        <v>1106</v>
      </c>
      <c r="I1262" s="179"/>
      <c r="J1262" s="179" t="s">
        <v>128</v>
      </c>
      <c r="K1262" s="179">
        <v>1000.0</v>
      </c>
      <c r="L1262" s="195">
        <v>0.0719</v>
      </c>
      <c r="M1262" s="179" t="s">
        <v>8</v>
      </c>
      <c r="N1262" s="179">
        <v>13026.0</v>
      </c>
      <c r="O1262" s="179">
        <v>107.0</v>
      </c>
      <c r="P1262" s="179">
        <v>0.0082</v>
      </c>
      <c r="Q1262" s="179">
        <v>4200.45</v>
      </c>
      <c r="R1262" s="179">
        <v>39.26</v>
      </c>
      <c r="S1262" s="179">
        <v>0.0</v>
      </c>
      <c r="T1262" s="179">
        <v>3.0</v>
      </c>
      <c r="U1262" s="179">
        <v>66796.61</v>
      </c>
      <c r="V1262" s="179">
        <v>0.0629</v>
      </c>
      <c r="W1262" s="179">
        <v>15.9023</v>
      </c>
      <c r="X1262" s="179">
        <v>0.0</v>
      </c>
      <c r="Y1262" s="179">
        <v>0.0</v>
      </c>
      <c r="Z1262" s="179">
        <v>0.0</v>
      </c>
      <c r="AA1262" s="179">
        <v>0.0</v>
      </c>
      <c r="AB1262" s="179">
        <v>0.0</v>
      </c>
      <c r="AC1262" s="179">
        <v>0.0</v>
      </c>
      <c r="AD1262" s="179">
        <v>0.0</v>
      </c>
      <c r="AE1262" s="179">
        <v>0.0</v>
      </c>
      <c r="AF1262" s="179">
        <v>0.0</v>
      </c>
      <c r="AG1262" s="179">
        <v>0.0</v>
      </c>
      <c r="AH1262" s="179">
        <v>0.0</v>
      </c>
      <c r="AI1262" s="179">
        <v>0.0</v>
      </c>
      <c r="AJ1262" s="179">
        <v>0.0</v>
      </c>
    </row>
    <row r="1263" ht="15.75" customHeight="1">
      <c r="A1263" s="200">
        <v>45772.0</v>
      </c>
      <c r="B1263" s="179" t="s">
        <v>771</v>
      </c>
      <c r="C1263" s="179" t="s">
        <v>875</v>
      </c>
      <c r="D1263" s="179" t="s">
        <v>931</v>
      </c>
      <c r="E1263" s="179" t="s">
        <v>460</v>
      </c>
      <c r="F1263" s="179" t="s">
        <v>778</v>
      </c>
      <c r="G1263" s="179" t="s">
        <v>775</v>
      </c>
      <c r="H1263" s="179" t="s">
        <v>1106</v>
      </c>
      <c r="I1263" s="179"/>
      <c r="J1263" s="179" t="s">
        <v>182</v>
      </c>
      <c r="K1263" s="179">
        <v>120.0</v>
      </c>
      <c r="L1263" s="179" t="s">
        <v>776</v>
      </c>
      <c r="M1263" s="179" t="s">
        <v>8</v>
      </c>
      <c r="N1263" s="179">
        <v>175406.0</v>
      </c>
      <c r="O1263" s="179">
        <v>216.0</v>
      </c>
      <c r="P1263" s="179">
        <v>0.0012</v>
      </c>
      <c r="Q1263" s="179">
        <v>4169.09</v>
      </c>
      <c r="R1263" s="179">
        <v>19.3</v>
      </c>
      <c r="S1263" s="179">
        <v>0.0</v>
      </c>
      <c r="T1263" s="179">
        <v>1.0</v>
      </c>
      <c r="U1263" s="179">
        <v>29618.64</v>
      </c>
      <c r="V1263" s="179">
        <v>0.1408</v>
      </c>
      <c r="W1263" s="179">
        <v>7.1043</v>
      </c>
      <c r="X1263" s="179">
        <v>0.0</v>
      </c>
      <c r="Y1263" s="179">
        <v>0.0</v>
      </c>
      <c r="Z1263" s="179">
        <v>0.0</v>
      </c>
      <c r="AA1263" s="179">
        <v>0.0</v>
      </c>
      <c r="AB1263" s="179">
        <v>0.0</v>
      </c>
      <c r="AC1263" s="179">
        <v>0.0</v>
      </c>
      <c r="AD1263" s="179">
        <v>0.0</v>
      </c>
      <c r="AE1263" s="179">
        <v>0.0</v>
      </c>
      <c r="AF1263" s="179">
        <v>0.0</v>
      </c>
      <c r="AG1263" s="179">
        <v>0.0</v>
      </c>
      <c r="AH1263" s="179">
        <v>0.0</v>
      </c>
      <c r="AI1263" s="179">
        <v>0.0</v>
      </c>
      <c r="AJ1263" s="179">
        <v>0.0</v>
      </c>
    </row>
    <row r="1264" ht="15.75" customHeight="1">
      <c r="A1264" s="200">
        <v>45772.0</v>
      </c>
      <c r="B1264" s="179" t="s">
        <v>771</v>
      </c>
      <c r="C1264" s="179" t="s">
        <v>1224</v>
      </c>
      <c r="D1264" s="179" t="s">
        <v>773</v>
      </c>
      <c r="E1264" s="179" t="s">
        <v>459</v>
      </c>
      <c r="F1264" s="179" t="s">
        <v>774</v>
      </c>
      <c r="G1264" s="179" t="s">
        <v>775</v>
      </c>
      <c r="H1264" s="179" t="s">
        <v>1106</v>
      </c>
      <c r="I1264" s="179"/>
      <c r="J1264" s="179" t="s">
        <v>134</v>
      </c>
      <c r="K1264" s="179">
        <v>500.0</v>
      </c>
      <c r="L1264" s="179" t="s">
        <v>776</v>
      </c>
      <c r="M1264" s="179" t="s">
        <v>8</v>
      </c>
      <c r="N1264" s="179">
        <v>8679.0</v>
      </c>
      <c r="O1264" s="179">
        <v>72.0</v>
      </c>
      <c r="P1264" s="179">
        <v>0.0083</v>
      </c>
      <c r="Q1264" s="179">
        <v>4047.09</v>
      </c>
      <c r="R1264" s="179">
        <v>56.21</v>
      </c>
      <c r="S1264" s="179">
        <v>0.0</v>
      </c>
      <c r="T1264" s="179">
        <v>1.0</v>
      </c>
      <c r="U1264" s="179">
        <v>14457.63</v>
      </c>
      <c r="V1264" s="179">
        <v>0.2799</v>
      </c>
      <c r="W1264" s="179">
        <v>3.5724</v>
      </c>
      <c r="X1264" s="179">
        <v>0.0</v>
      </c>
      <c r="Y1264" s="179">
        <v>0.0</v>
      </c>
      <c r="Z1264" s="179">
        <v>0.0</v>
      </c>
      <c r="AA1264" s="179">
        <v>0.0</v>
      </c>
      <c r="AB1264" s="179">
        <v>0.0</v>
      </c>
      <c r="AC1264" s="179">
        <v>0.0</v>
      </c>
      <c r="AD1264" s="179">
        <v>0.0</v>
      </c>
      <c r="AE1264" s="179">
        <v>0.0</v>
      </c>
      <c r="AF1264" s="179">
        <v>0.0</v>
      </c>
      <c r="AG1264" s="179">
        <v>0.0</v>
      </c>
      <c r="AH1264" s="179">
        <v>0.0</v>
      </c>
      <c r="AI1264" s="179">
        <v>0.0</v>
      </c>
      <c r="AJ1264" s="179">
        <v>0.0</v>
      </c>
    </row>
    <row r="1265" ht="15.75" customHeight="1">
      <c r="A1265" s="200">
        <v>45772.0</v>
      </c>
      <c r="B1265" s="179" t="s">
        <v>779</v>
      </c>
      <c r="C1265" s="179" t="s">
        <v>1288</v>
      </c>
      <c r="D1265" s="179" t="s">
        <v>781</v>
      </c>
      <c r="E1265" s="179" t="s">
        <v>463</v>
      </c>
      <c r="F1265" s="179" t="s">
        <v>774</v>
      </c>
      <c r="G1265" s="179"/>
      <c r="H1265" s="179" t="s">
        <v>1106</v>
      </c>
      <c r="I1265" s="179"/>
      <c r="J1265" s="179" t="s">
        <v>413</v>
      </c>
      <c r="K1265" s="179">
        <v>800.0</v>
      </c>
      <c r="L1265" s="179"/>
      <c r="M1265" s="179" t="s">
        <v>8</v>
      </c>
      <c r="N1265" s="179">
        <v>163528.0</v>
      </c>
      <c r="O1265" s="179">
        <v>1157.0</v>
      </c>
      <c r="P1265" s="179">
        <v>0.0071</v>
      </c>
      <c r="Q1265" s="179">
        <v>4038.81</v>
      </c>
      <c r="R1265" s="179">
        <v>3.49</v>
      </c>
      <c r="S1265" s="179">
        <v>1355.0</v>
      </c>
      <c r="T1265" s="179">
        <v>0.0</v>
      </c>
      <c r="U1265" s="179">
        <v>0.0</v>
      </c>
      <c r="V1265" s="179">
        <v>0.0</v>
      </c>
      <c r="W1265" s="179">
        <v>0.0</v>
      </c>
      <c r="X1265" s="179">
        <v>0.0</v>
      </c>
      <c r="Y1265" s="179">
        <v>0.0</v>
      </c>
      <c r="Z1265" s="179">
        <v>0.0</v>
      </c>
      <c r="AA1265" s="179">
        <v>0.0</v>
      </c>
      <c r="AB1265" s="179">
        <v>0.0</v>
      </c>
      <c r="AC1265" s="179">
        <v>0.0</v>
      </c>
      <c r="AD1265" s="179">
        <v>0.0</v>
      </c>
      <c r="AE1265" s="179">
        <v>0.0</v>
      </c>
      <c r="AF1265" s="179">
        <v>0.0</v>
      </c>
      <c r="AG1265" s="179">
        <v>0.0</v>
      </c>
      <c r="AH1265" s="179">
        <v>0.0</v>
      </c>
      <c r="AI1265" s="179">
        <v>0.0</v>
      </c>
      <c r="AJ1265" s="179">
        <v>0.0</v>
      </c>
    </row>
    <row r="1266" ht="15.75" customHeight="1">
      <c r="A1266" s="200">
        <v>45772.0</v>
      </c>
      <c r="B1266" s="179" t="s">
        <v>771</v>
      </c>
      <c r="C1266" s="179" t="s">
        <v>1044</v>
      </c>
      <c r="D1266" s="179" t="s">
        <v>773</v>
      </c>
      <c r="E1266" s="179" t="s">
        <v>460</v>
      </c>
      <c r="F1266" s="179" t="s">
        <v>778</v>
      </c>
      <c r="G1266" s="179" t="s">
        <v>775</v>
      </c>
      <c r="H1266" s="179" t="s">
        <v>1106</v>
      </c>
      <c r="I1266" s="179"/>
      <c r="J1266" s="179" t="s">
        <v>241</v>
      </c>
      <c r="K1266" s="179">
        <v>300.0</v>
      </c>
      <c r="L1266" s="179" t="s">
        <v>776</v>
      </c>
      <c r="M1266" s="179" t="s">
        <v>8</v>
      </c>
      <c r="N1266" s="179">
        <v>92501.0</v>
      </c>
      <c r="O1266" s="179">
        <v>310.0</v>
      </c>
      <c r="P1266" s="179">
        <v>0.0034</v>
      </c>
      <c r="Q1266" s="179">
        <v>3917.31</v>
      </c>
      <c r="R1266" s="179">
        <v>12.64</v>
      </c>
      <c r="S1266" s="179">
        <v>0.0</v>
      </c>
      <c r="T1266" s="179">
        <v>5.0</v>
      </c>
      <c r="U1266" s="179">
        <v>21487.28</v>
      </c>
      <c r="V1266" s="179">
        <v>0.1823</v>
      </c>
      <c r="W1266" s="179">
        <v>5.4852</v>
      </c>
      <c r="X1266" s="179">
        <v>0.0</v>
      </c>
      <c r="Y1266" s="179">
        <v>0.0</v>
      </c>
      <c r="Z1266" s="179">
        <v>0.0</v>
      </c>
      <c r="AA1266" s="179">
        <v>0.0</v>
      </c>
      <c r="AB1266" s="179">
        <v>0.0</v>
      </c>
      <c r="AC1266" s="179">
        <v>0.0</v>
      </c>
      <c r="AD1266" s="179">
        <v>0.0</v>
      </c>
      <c r="AE1266" s="179">
        <v>0.0</v>
      </c>
      <c r="AF1266" s="179">
        <v>0.0</v>
      </c>
      <c r="AG1266" s="179">
        <v>0.0</v>
      </c>
      <c r="AH1266" s="179">
        <v>0.0</v>
      </c>
      <c r="AI1266" s="179">
        <v>0.0</v>
      </c>
      <c r="AJ1266" s="179">
        <v>0.0</v>
      </c>
    </row>
    <row r="1267" ht="15.75" customHeight="1">
      <c r="A1267" s="200">
        <v>45772.0</v>
      </c>
      <c r="B1267" s="179" t="s">
        <v>771</v>
      </c>
      <c r="C1267" s="179" t="s">
        <v>1156</v>
      </c>
      <c r="D1267" s="179" t="s">
        <v>773</v>
      </c>
      <c r="E1267" s="179" t="s">
        <v>459</v>
      </c>
      <c r="F1267" s="179" t="s">
        <v>774</v>
      </c>
      <c r="G1267" s="179" t="s">
        <v>775</v>
      </c>
      <c r="H1267" s="179" t="s">
        <v>1106</v>
      </c>
      <c r="I1267" s="179"/>
      <c r="J1267" s="179" t="s">
        <v>134</v>
      </c>
      <c r="K1267" s="179">
        <v>200.0</v>
      </c>
      <c r="L1267" s="179" t="s">
        <v>776</v>
      </c>
      <c r="M1267" s="179" t="s">
        <v>8</v>
      </c>
      <c r="N1267" s="179">
        <v>62407.0</v>
      </c>
      <c r="O1267" s="179">
        <v>162.0</v>
      </c>
      <c r="P1267" s="179">
        <v>0.0026</v>
      </c>
      <c r="Q1267" s="179">
        <v>3860.13</v>
      </c>
      <c r="R1267" s="179">
        <v>23.83</v>
      </c>
      <c r="S1267" s="179">
        <v>0.0</v>
      </c>
      <c r="T1267" s="179">
        <v>2.0</v>
      </c>
      <c r="U1267" s="179">
        <v>45135.6</v>
      </c>
      <c r="V1267" s="179">
        <v>0.0855</v>
      </c>
      <c r="W1267" s="179">
        <v>11.6928</v>
      </c>
      <c r="X1267" s="179">
        <v>0.0</v>
      </c>
      <c r="Y1267" s="179">
        <v>0.0</v>
      </c>
      <c r="Z1267" s="179">
        <v>0.0</v>
      </c>
      <c r="AA1267" s="179">
        <v>0.0</v>
      </c>
      <c r="AB1267" s="179">
        <v>0.0</v>
      </c>
      <c r="AC1267" s="179">
        <v>0.0</v>
      </c>
      <c r="AD1267" s="179">
        <v>0.0</v>
      </c>
      <c r="AE1267" s="179">
        <v>0.0</v>
      </c>
      <c r="AF1267" s="179">
        <v>0.0</v>
      </c>
      <c r="AG1267" s="179">
        <v>0.0</v>
      </c>
      <c r="AH1267" s="179">
        <v>0.0</v>
      </c>
      <c r="AI1267" s="179">
        <v>0.0</v>
      </c>
      <c r="AJ1267" s="179">
        <v>0.0</v>
      </c>
    </row>
    <row r="1268" ht="15.75" customHeight="1">
      <c r="A1268" s="200">
        <v>45772.0</v>
      </c>
      <c r="B1268" s="179" t="s">
        <v>771</v>
      </c>
      <c r="C1268" s="179" t="s">
        <v>935</v>
      </c>
      <c r="D1268" s="179" t="s">
        <v>931</v>
      </c>
      <c r="E1268" s="179" t="s">
        <v>459</v>
      </c>
      <c r="F1268" s="179" t="s">
        <v>774</v>
      </c>
      <c r="G1268" s="179" t="s">
        <v>775</v>
      </c>
      <c r="H1268" s="179" t="s">
        <v>1106</v>
      </c>
      <c r="I1268" s="179"/>
      <c r="J1268" s="179" t="s">
        <v>205</v>
      </c>
      <c r="K1268" s="179">
        <v>121.5</v>
      </c>
      <c r="L1268" s="179" t="s">
        <v>776</v>
      </c>
      <c r="M1268" s="179" t="s">
        <v>8</v>
      </c>
      <c r="N1268" s="179">
        <v>100575.0</v>
      </c>
      <c r="O1268" s="179">
        <v>79.0</v>
      </c>
      <c r="P1268" s="179">
        <v>8.0E-4</v>
      </c>
      <c r="Q1268" s="179">
        <v>3851.35</v>
      </c>
      <c r="R1268" s="179">
        <v>48.75</v>
      </c>
      <c r="S1268" s="179">
        <v>0.0</v>
      </c>
      <c r="T1268" s="179">
        <v>0.0</v>
      </c>
      <c r="U1268" s="179">
        <v>0.0</v>
      </c>
      <c r="V1268" s="179">
        <v>0.0</v>
      </c>
      <c r="W1268" s="179">
        <v>0.0</v>
      </c>
      <c r="X1268" s="179">
        <v>0.0</v>
      </c>
      <c r="Y1268" s="179">
        <v>0.0</v>
      </c>
      <c r="Z1268" s="179">
        <v>0.0</v>
      </c>
      <c r="AA1268" s="179">
        <v>0.0</v>
      </c>
      <c r="AB1268" s="179">
        <v>0.0</v>
      </c>
      <c r="AC1268" s="179">
        <v>0.0</v>
      </c>
      <c r="AD1268" s="179">
        <v>0.0</v>
      </c>
      <c r="AE1268" s="179">
        <v>0.0</v>
      </c>
      <c r="AF1268" s="179">
        <v>0.0</v>
      </c>
      <c r="AG1268" s="179">
        <v>0.0</v>
      </c>
      <c r="AH1268" s="179">
        <v>0.0</v>
      </c>
      <c r="AI1268" s="179">
        <v>0.0</v>
      </c>
      <c r="AJ1268" s="179">
        <v>0.0</v>
      </c>
    </row>
    <row r="1269" ht="15.75" customHeight="1">
      <c r="A1269" s="200">
        <v>45772.0</v>
      </c>
      <c r="B1269" s="179" t="s">
        <v>771</v>
      </c>
      <c r="C1269" s="179" t="s">
        <v>1205</v>
      </c>
      <c r="D1269" s="179" t="s">
        <v>773</v>
      </c>
      <c r="E1269" s="179" t="s">
        <v>459</v>
      </c>
      <c r="F1269" s="179" t="s">
        <v>774</v>
      </c>
      <c r="G1269" s="179" t="s">
        <v>775</v>
      </c>
      <c r="H1269" s="179" t="s">
        <v>1106</v>
      </c>
      <c r="I1269" s="179"/>
      <c r="J1269" s="179" t="s">
        <v>134</v>
      </c>
      <c r="K1269" s="179">
        <v>60.0</v>
      </c>
      <c r="L1269" s="195">
        <v>0.0507</v>
      </c>
      <c r="M1269" s="179" t="s">
        <v>8</v>
      </c>
      <c r="N1269" s="179">
        <v>39731.0</v>
      </c>
      <c r="O1269" s="179">
        <v>131.0</v>
      </c>
      <c r="P1269" s="179">
        <v>0.0033</v>
      </c>
      <c r="Q1269" s="179">
        <v>3766.13</v>
      </c>
      <c r="R1269" s="179">
        <v>28.75</v>
      </c>
      <c r="S1269" s="179">
        <v>0.0</v>
      </c>
      <c r="T1269" s="179">
        <v>1.0</v>
      </c>
      <c r="U1269" s="179">
        <v>14405.94</v>
      </c>
      <c r="V1269" s="179">
        <v>0.2614</v>
      </c>
      <c r="W1269" s="179">
        <v>3.8251</v>
      </c>
      <c r="X1269" s="179">
        <v>0.0</v>
      </c>
      <c r="Y1269" s="179">
        <v>0.0</v>
      </c>
      <c r="Z1269" s="179">
        <v>0.0</v>
      </c>
      <c r="AA1269" s="179">
        <v>0.0</v>
      </c>
      <c r="AB1269" s="179">
        <v>0.0</v>
      </c>
      <c r="AC1269" s="179">
        <v>0.0</v>
      </c>
      <c r="AD1269" s="179">
        <v>0.0</v>
      </c>
      <c r="AE1269" s="179">
        <v>0.0</v>
      </c>
      <c r="AF1269" s="179">
        <v>0.0</v>
      </c>
      <c r="AG1269" s="179">
        <v>0.0</v>
      </c>
      <c r="AH1269" s="179">
        <v>0.0</v>
      </c>
      <c r="AI1269" s="179">
        <v>0.0</v>
      </c>
      <c r="AJ1269" s="179">
        <v>0.0</v>
      </c>
    </row>
    <row r="1270" ht="15.75" customHeight="1">
      <c r="A1270" s="200">
        <v>45772.0</v>
      </c>
      <c r="B1270" s="179" t="s">
        <v>771</v>
      </c>
      <c r="C1270" s="179" t="s">
        <v>1290</v>
      </c>
      <c r="D1270" s="179" t="s">
        <v>931</v>
      </c>
      <c r="E1270" s="179" t="s">
        <v>460</v>
      </c>
      <c r="F1270" s="179" t="s">
        <v>778</v>
      </c>
      <c r="G1270" s="179" t="s">
        <v>775</v>
      </c>
      <c r="H1270" s="179" t="s">
        <v>1106</v>
      </c>
      <c r="I1270" s="179"/>
      <c r="J1270" s="179" t="s">
        <v>158</v>
      </c>
      <c r="K1270" s="179">
        <v>150.0</v>
      </c>
      <c r="L1270" s="179" t="s">
        <v>776</v>
      </c>
      <c r="M1270" s="179" t="s">
        <v>8</v>
      </c>
      <c r="N1270" s="179">
        <v>247327.0</v>
      </c>
      <c r="O1270" s="179">
        <v>526.0</v>
      </c>
      <c r="P1270" s="179">
        <v>0.0021</v>
      </c>
      <c r="Q1270" s="179">
        <v>3620.33</v>
      </c>
      <c r="R1270" s="179">
        <v>6.88</v>
      </c>
      <c r="S1270" s="179">
        <v>0.0</v>
      </c>
      <c r="T1270" s="179">
        <v>11.0</v>
      </c>
      <c r="U1270" s="179">
        <v>39870.35</v>
      </c>
      <c r="V1270" s="179">
        <v>0.0908</v>
      </c>
      <c r="W1270" s="179">
        <v>11.0129</v>
      </c>
      <c r="X1270" s="179">
        <v>0.0</v>
      </c>
      <c r="Y1270" s="179">
        <v>0.0</v>
      </c>
      <c r="Z1270" s="179">
        <v>0.0</v>
      </c>
      <c r="AA1270" s="179">
        <v>0.0</v>
      </c>
      <c r="AB1270" s="179">
        <v>0.0</v>
      </c>
      <c r="AC1270" s="179">
        <v>0.0</v>
      </c>
      <c r="AD1270" s="179">
        <v>0.0</v>
      </c>
      <c r="AE1270" s="179">
        <v>0.0</v>
      </c>
      <c r="AF1270" s="179">
        <v>0.0</v>
      </c>
      <c r="AG1270" s="179">
        <v>0.0</v>
      </c>
      <c r="AH1270" s="179">
        <v>0.0</v>
      </c>
      <c r="AI1270" s="179">
        <v>0.0</v>
      </c>
      <c r="AJ1270" s="179">
        <v>0.0</v>
      </c>
    </row>
    <row r="1271" ht="15.75" customHeight="1">
      <c r="A1271" s="200">
        <v>45772.0</v>
      </c>
      <c r="B1271" s="179" t="s">
        <v>771</v>
      </c>
      <c r="C1271" s="179" t="s">
        <v>1210</v>
      </c>
      <c r="D1271" s="179" t="s">
        <v>773</v>
      </c>
      <c r="E1271" s="179" t="s">
        <v>459</v>
      </c>
      <c r="F1271" s="179" t="s">
        <v>774</v>
      </c>
      <c r="G1271" s="179" t="s">
        <v>775</v>
      </c>
      <c r="H1271" s="179" t="s">
        <v>1106</v>
      </c>
      <c r="I1271" s="179"/>
      <c r="J1271" s="179" t="s">
        <v>134</v>
      </c>
      <c r="K1271" s="179">
        <v>150.0</v>
      </c>
      <c r="L1271" s="195">
        <v>0.0585</v>
      </c>
      <c r="M1271" s="179" t="s">
        <v>8</v>
      </c>
      <c r="N1271" s="179">
        <v>45231.0</v>
      </c>
      <c r="O1271" s="179">
        <v>124.0</v>
      </c>
      <c r="P1271" s="179">
        <v>0.0027</v>
      </c>
      <c r="Q1271" s="179">
        <v>3406.58</v>
      </c>
      <c r="R1271" s="179">
        <v>27.47</v>
      </c>
      <c r="S1271" s="179">
        <v>0.0</v>
      </c>
      <c r="T1271" s="179">
        <v>0.0</v>
      </c>
      <c r="U1271" s="179">
        <v>0.0</v>
      </c>
      <c r="V1271" s="179">
        <v>0.0</v>
      </c>
      <c r="W1271" s="179">
        <v>0.0</v>
      </c>
      <c r="X1271" s="179">
        <v>0.0</v>
      </c>
      <c r="Y1271" s="179">
        <v>0.0</v>
      </c>
      <c r="Z1271" s="179">
        <v>0.0</v>
      </c>
      <c r="AA1271" s="179">
        <v>0.0</v>
      </c>
      <c r="AB1271" s="179">
        <v>0.0</v>
      </c>
      <c r="AC1271" s="179">
        <v>0.0</v>
      </c>
      <c r="AD1271" s="179">
        <v>0.0</v>
      </c>
      <c r="AE1271" s="179">
        <v>0.0</v>
      </c>
      <c r="AF1271" s="179">
        <v>0.0</v>
      </c>
      <c r="AG1271" s="179">
        <v>0.0</v>
      </c>
      <c r="AH1271" s="179">
        <v>0.0</v>
      </c>
      <c r="AI1271" s="179">
        <v>0.0</v>
      </c>
      <c r="AJ1271" s="179">
        <v>0.0</v>
      </c>
    </row>
    <row r="1272" ht="15.75" customHeight="1">
      <c r="A1272" s="200">
        <v>45772.0</v>
      </c>
      <c r="B1272" s="179" t="s">
        <v>771</v>
      </c>
      <c r="C1272" s="179" t="s">
        <v>789</v>
      </c>
      <c r="D1272" s="179" t="s">
        <v>773</v>
      </c>
      <c r="E1272" s="179" t="s">
        <v>459</v>
      </c>
      <c r="F1272" s="179" t="s">
        <v>774</v>
      </c>
      <c r="G1272" s="179" t="s">
        <v>775</v>
      </c>
      <c r="H1272" s="179" t="s">
        <v>1106</v>
      </c>
      <c r="I1272" s="179"/>
      <c r="J1272" s="179" t="s">
        <v>128</v>
      </c>
      <c r="K1272" s="179">
        <v>1500.0</v>
      </c>
      <c r="L1272" s="195">
        <v>0.3833</v>
      </c>
      <c r="M1272" s="179" t="s">
        <v>8</v>
      </c>
      <c r="N1272" s="179">
        <v>16375.0</v>
      </c>
      <c r="O1272" s="179">
        <v>167.0</v>
      </c>
      <c r="P1272" s="179">
        <v>0.0102</v>
      </c>
      <c r="Q1272" s="179">
        <v>3363.0</v>
      </c>
      <c r="R1272" s="179">
        <v>20.14</v>
      </c>
      <c r="S1272" s="179">
        <v>0.0</v>
      </c>
      <c r="T1272" s="179">
        <v>6.0</v>
      </c>
      <c r="U1272" s="179">
        <v>86049.16</v>
      </c>
      <c r="V1272" s="179">
        <v>0.0391</v>
      </c>
      <c r="W1272" s="179">
        <v>25.587</v>
      </c>
      <c r="X1272" s="179">
        <v>0.0</v>
      </c>
      <c r="Y1272" s="179">
        <v>0.0</v>
      </c>
      <c r="Z1272" s="179">
        <v>0.0</v>
      </c>
      <c r="AA1272" s="179">
        <v>0.0</v>
      </c>
      <c r="AB1272" s="179">
        <v>0.0</v>
      </c>
      <c r="AC1272" s="179">
        <v>0.0</v>
      </c>
      <c r="AD1272" s="179">
        <v>0.0</v>
      </c>
      <c r="AE1272" s="179">
        <v>0.0</v>
      </c>
      <c r="AF1272" s="179">
        <v>0.0</v>
      </c>
      <c r="AG1272" s="179">
        <v>0.0</v>
      </c>
      <c r="AH1272" s="179">
        <v>0.0</v>
      </c>
      <c r="AI1272" s="179">
        <v>0.0</v>
      </c>
      <c r="AJ1272" s="179">
        <v>0.0</v>
      </c>
    </row>
    <row r="1273" ht="15.75" customHeight="1">
      <c r="A1273" s="200">
        <v>45772.0</v>
      </c>
      <c r="B1273" s="179" t="s">
        <v>771</v>
      </c>
      <c r="C1273" s="179" t="s">
        <v>938</v>
      </c>
      <c r="D1273" s="179" t="s">
        <v>773</v>
      </c>
      <c r="E1273" s="179" t="s">
        <v>459</v>
      </c>
      <c r="F1273" s="179" t="s">
        <v>774</v>
      </c>
      <c r="G1273" s="179" t="s">
        <v>775</v>
      </c>
      <c r="H1273" s="179" t="s">
        <v>1106</v>
      </c>
      <c r="I1273" s="179"/>
      <c r="J1273" s="179" t="s">
        <v>128</v>
      </c>
      <c r="K1273" s="179">
        <v>1000.0</v>
      </c>
      <c r="L1273" s="195">
        <v>0.0609</v>
      </c>
      <c r="M1273" s="179" t="s">
        <v>8</v>
      </c>
      <c r="N1273" s="179">
        <v>8054.0</v>
      </c>
      <c r="O1273" s="179">
        <v>94.0</v>
      </c>
      <c r="P1273" s="179">
        <v>0.0117</v>
      </c>
      <c r="Q1273" s="179">
        <v>3350.96</v>
      </c>
      <c r="R1273" s="179">
        <v>35.65</v>
      </c>
      <c r="S1273" s="179">
        <v>0.0</v>
      </c>
      <c r="T1273" s="179">
        <v>2.0</v>
      </c>
      <c r="U1273" s="179">
        <v>31838.99</v>
      </c>
      <c r="V1273" s="179">
        <v>0.1052</v>
      </c>
      <c r="W1273" s="179">
        <v>9.5015</v>
      </c>
      <c r="X1273" s="179">
        <v>0.0</v>
      </c>
      <c r="Y1273" s="179">
        <v>0.0</v>
      </c>
      <c r="Z1273" s="179">
        <v>0.0</v>
      </c>
      <c r="AA1273" s="179">
        <v>0.0</v>
      </c>
      <c r="AB1273" s="179">
        <v>0.0</v>
      </c>
      <c r="AC1273" s="179">
        <v>0.0</v>
      </c>
      <c r="AD1273" s="179">
        <v>0.0</v>
      </c>
      <c r="AE1273" s="179">
        <v>0.0</v>
      </c>
      <c r="AF1273" s="179">
        <v>0.0</v>
      </c>
      <c r="AG1273" s="179">
        <v>0.0</v>
      </c>
      <c r="AH1273" s="179">
        <v>0.0</v>
      </c>
      <c r="AI1273" s="179">
        <v>0.0</v>
      </c>
      <c r="AJ1273" s="179">
        <v>0.0</v>
      </c>
    </row>
    <row r="1274" ht="15.75" customHeight="1">
      <c r="A1274" s="200">
        <v>45772.0</v>
      </c>
      <c r="B1274" s="179" t="s">
        <v>771</v>
      </c>
      <c r="C1274" s="179" t="s">
        <v>1123</v>
      </c>
      <c r="D1274" s="179" t="s">
        <v>931</v>
      </c>
      <c r="E1274" s="179" t="s">
        <v>460</v>
      </c>
      <c r="F1274" s="179" t="s">
        <v>778</v>
      </c>
      <c r="G1274" s="179" t="s">
        <v>775</v>
      </c>
      <c r="H1274" s="179" t="s">
        <v>1106</v>
      </c>
      <c r="I1274" s="179"/>
      <c r="J1274" s="179" t="s">
        <v>211</v>
      </c>
      <c r="K1274" s="179">
        <v>450.0</v>
      </c>
      <c r="L1274" s="179" t="s">
        <v>776</v>
      </c>
      <c r="M1274" s="179" t="s">
        <v>8</v>
      </c>
      <c r="N1274" s="179">
        <v>112977.0</v>
      </c>
      <c r="O1274" s="179">
        <v>600.0</v>
      </c>
      <c r="P1274" s="179">
        <v>0.0053</v>
      </c>
      <c r="Q1274" s="179">
        <v>3321.65</v>
      </c>
      <c r="R1274" s="179">
        <v>5.54</v>
      </c>
      <c r="S1274" s="179">
        <v>0.0</v>
      </c>
      <c r="T1274" s="179">
        <v>6.0</v>
      </c>
      <c r="U1274" s="179">
        <v>11691.52</v>
      </c>
      <c r="V1274" s="179">
        <v>0.2841</v>
      </c>
      <c r="W1274" s="179">
        <v>3.5198</v>
      </c>
      <c r="X1274" s="179">
        <v>0.0</v>
      </c>
      <c r="Y1274" s="179">
        <v>0.0</v>
      </c>
      <c r="Z1274" s="179">
        <v>0.0</v>
      </c>
      <c r="AA1274" s="179">
        <v>0.0</v>
      </c>
      <c r="AB1274" s="179">
        <v>0.0</v>
      </c>
      <c r="AC1274" s="179">
        <v>0.0</v>
      </c>
      <c r="AD1274" s="179">
        <v>0.0</v>
      </c>
      <c r="AE1274" s="179">
        <v>0.0</v>
      </c>
      <c r="AF1274" s="179">
        <v>0.0</v>
      </c>
      <c r="AG1274" s="179">
        <v>0.0</v>
      </c>
      <c r="AH1274" s="179">
        <v>0.0</v>
      </c>
      <c r="AI1274" s="179">
        <v>0.0</v>
      </c>
      <c r="AJ1274" s="179">
        <v>0.0</v>
      </c>
    </row>
    <row r="1275" ht="15.75" customHeight="1">
      <c r="A1275" s="200">
        <v>45772.0</v>
      </c>
      <c r="B1275" s="179" t="s">
        <v>771</v>
      </c>
      <c r="C1275" s="179" t="s">
        <v>932</v>
      </c>
      <c r="D1275" s="179" t="s">
        <v>773</v>
      </c>
      <c r="E1275" s="179" t="s">
        <v>459</v>
      </c>
      <c r="F1275" s="179" t="s">
        <v>774</v>
      </c>
      <c r="G1275" s="179" t="s">
        <v>775</v>
      </c>
      <c r="H1275" s="179" t="s">
        <v>1106</v>
      </c>
      <c r="I1275" s="179"/>
      <c r="J1275" s="179" t="s">
        <v>128</v>
      </c>
      <c r="K1275" s="179">
        <v>1000.0</v>
      </c>
      <c r="L1275" s="179" t="s">
        <v>776</v>
      </c>
      <c r="M1275" s="179" t="s">
        <v>8</v>
      </c>
      <c r="N1275" s="179">
        <v>16350.0</v>
      </c>
      <c r="O1275" s="179">
        <v>101.0</v>
      </c>
      <c r="P1275" s="179">
        <v>0.0062</v>
      </c>
      <c r="Q1275" s="179">
        <v>3197.55</v>
      </c>
      <c r="R1275" s="179">
        <v>31.66</v>
      </c>
      <c r="S1275" s="179">
        <v>0.0</v>
      </c>
      <c r="T1275" s="179">
        <v>3.0</v>
      </c>
      <c r="U1275" s="179">
        <v>96483.05</v>
      </c>
      <c r="V1275" s="179">
        <v>0.0331</v>
      </c>
      <c r="W1275" s="179">
        <v>30.1741</v>
      </c>
      <c r="X1275" s="179">
        <v>0.0</v>
      </c>
      <c r="Y1275" s="179">
        <v>0.0</v>
      </c>
      <c r="Z1275" s="179">
        <v>0.0</v>
      </c>
      <c r="AA1275" s="179">
        <v>0.0</v>
      </c>
      <c r="AB1275" s="179">
        <v>0.0</v>
      </c>
      <c r="AC1275" s="179">
        <v>0.0</v>
      </c>
      <c r="AD1275" s="179">
        <v>0.0</v>
      </c>
      <c r="AE1275" s="179">
        <v>0.0</v>
      </c>
      <c r="AF1275" s="179">
        <v>0.0</v>
      </c>
      <c r="AG1275" s="179">
        <v>0.0</v>
      </c>
      <c r="AH1275" s="179">
        <v>0.0</v>
      </c>
      <c r="AI1275" s="179">
        <v>0.0</v>
      </c>
      <c r="AJ1275" s="179">
        <v>0.0</v>
      </c>
    </row>
    <row r="1276" ht="15.75" customHeight="1">
      <c r="A1276" s="200">
        <v>45772.0</v>
      </c>
      <c r="B1276" s="179" t="s">
        <v>771</v>
      </c>
      <c r="C1276" s="179" t="s">
        <v>1101</v>
      </c>
      <c r="D1276" s="179" t="s">
        <v>773</v>
      </c>
      <c r="E1276" s="179" t="s">
        <v>459</v>
      </c>
      <c r="F1276" s="179" t="s">
        <v>774</v>
      </c>
      <c r="G1276" s="179" t="s">
        <v>775</v>
      </c>
      <c r="H1276" s="179" t="s">
        <v>1106</v>
      </c>
      <c r="I1276" s="179"/>
      <c r="J1276" s="179" t="s">
        <v>128</v>
      </c>
      <c r="K1276" s="179">
        <v>1050.0</v>
      </c>
      <c r="L1276" s="179" t="s">
        <v>776</v>
      </c>
      <c r="M1276" s="179" t="s">
        <v>8</v>
      </c>
      <c r="N1276" s="179">
        <v>47259.0</v>
      </c>
      <c r="O1276" s="179">
        <v>127.0</v>
      </c>
      <c r="P1276" s="179">
        <v>0.0027</v>
      </c>
      <c r="Q1276" s="179">
        <v>3058.44</v>
      </c>
      <c r="R1276" s="179">
        <v>24.08</v>
      </c>
      <c r="S1276" s="179">
        <v>0.0</v>
      </c>
      <c r="T1276" s="179">
        <v>2.0</v>
      </c>
      <c r="U1276" s="179">
        <v>54161.02</v>
      </c>
      <c r="V1276" s="179">
        <v>0.0565</v>
      </c>
      <c r="W1276" s="179">
        <v>17.7087</v>
      </c>
      <c r="X1276" s="179">
        <v>0.0</v>
      </c>
      <c r="Y1276" s="179">
        <v>0.0</v>
      </c>
      <c r="Z1276" s="179">
        <v>0.0</v>
      </c>
      <c r="AA1276" s="179">
        <v>0.0</v>
      </c>
      <c r="AB1276" s="179">
        <v>0.0</v>
      </c>
      <c r="AC1276" s="179">
        <v>0.0</v>
      </c>
      <c r="AD1276" s="179">
        <v>0.0</v>
      </c>
      <c r="AE1276" s="179">
        <v>0.0</v>
      </c>
      <c r="AF1276" s="179">
        <v>0.0</v>
      </c>
      <c r="AG1276" s="179">
        <v>0.0</v>
      </c>
      <c r="AH1276" s="179">
        <v>0.0</v>
      </c>
      <c r="AI1276" s="179">
        <v>0.0</v>
      </c>
      <c r="AJ1276" s="179">
        <v>0.0</v>
      </c>
    </row>
    <row r="1277" ht="15.75" customHeight="1">
      <c r="A1277" s="200">
        <v>45772.0</v>
      </c>
      <c r="B1277" s="179" t="s">
        <v>771</v>
      </c>
      <c r="C1277" s="179" t="s">
        <v>1118</v>
      </c>
      <c r="D1277" s="179" t="s">
        <v>773</v>
      </c>
      <c r="E1277" s="179" t="s">
        <v>459</v>
      </c>
      <c r="F1277" s="179" t="s">
        <v>774</v>
      </c>
      <c r="G1277" s="179" t="s">
        <v>775</v>
      </c>
      <c r="H1277" s="179" t="s">
        <v>1106</v>
      </c>
      <c r="I1277" s="179"/>
      <c r="J1277" s="179" t="s">
        <v>211</v>
      </c>
      <c r="K1277" s="179">
        <v>1500.0</v>
      </c>
      <c r="L1277" s="195">
        <v>0.2384</v>
      </c>
      <c r="M1277" s="179" t="s">
        <v>8</v>
      </c>
      <c r="N1277" s="179">
        <v>21728.0</v>
      </c>
      <c r="O1277" s="179">
        <v>494.0</v>
      </c>
      <c r="P1277" s="179">
        <v>0.0227</v>
      </c>
      <c r="Q1277" s="179">
        <v>2857.37</v>
      </c>
      <c r="R1277" s="179">
        <v>5.78</v>
      </c>
      <c r="S1277" s="179">
        <v>0.0</v>
      </c>
      <c r="T1277" s="179">
        <v>9.0</v>
      </c>
      <c r="U1277" s="179">
        <v>42534.75</v>
      </c>
      <c r="V1277" s="179">
        <v>0.0672</v>
      </c>
      <c r="W1277" s="179">
        <v>14.886</v>
      </c>
      <c r="X1277" s="179">
        <v>0.0</v>
      </c>
      <c r="Y1277" s="179">
        <v>0.0</v>
      </c>
      <c r="Z1277" s="179">
        <v>0.0</v>
      </c>
      <c r="AA1277" s="179">
        <v>0.0</v>
      </c>
      <c r="AB1277" s="179">
        <v>0.0</v>
      </c>
      <c r="AC1277" s="179">
        <v>0.0</v>
      </c>
      <c r="AD1277" s="179">
        <v>0.0</v>
      </c>
      <c r="AE1277" s="179">
        <v>0.0</v>
      </c>
      <c r="AF1277" s="179">
        <v>0.0</v>
      </c>
      <c r="AG1277" s="179">
        <v>0.0</v>
      </c>
      <c r="AH1277" s="179">
        <v>0.0</v>
      </c>
      <c r="AI1277" s="179">
        <v>0.0</v>
      </c>
      <c r="AJ1277" s="179">
        <v>0.0</v>
      </c>
    </row>
    <row r="1278" ht="15.75" customHeight="1">
      <c r="A1278" s="200">
        <v>45772.0</v>
      </c>
      <c r="B1278" s="179" t="s">
        <v>771</v>
      </c>
      <c r="C1278" s="179" t="s">
        <v>1267</v>
      </c>
      <c r="D1278" s="179" t="s">
        <v>773</v>
      </c>
      <c r="E1278" s="179" t="s">
        <v>459</v>
      </c>
      <c r="F1278" s="179" t="s">
        <v>774</v>
      </c>
      <c r="G1278" s="179" t="s">
        <v>775</v>
      </c>
      <c r="H1278" s="179" t="s">
        <v>1106</v>
      </c>
      <c r="I1278" s="179"/>
      <c r="J1278" s="179" t="s">
        <v>176</v>
      </c>
      <c r="K1278" s="179">
        <v>300.0</v>
      </c>
      <c r="L1278" s="179" t="s">
        <v>776</v>
      </c>
      <c r="M1278" s="179" t="s">
        <v>8</v>
      </c>
      <c r="N1278" s="179">
        <v>81050.0</v>
      </c>
      <c r="O1278" s="179">
        <v>235.0</v>
      </c>
      <c r="P1278" s="179">
        <v>0.0029</v>
      </c>
      <c r="Q1278" s="179">
        <v>2850.92</v>
      </c>
      <c r="R1278" s="179">
        <v>12.13</v>
      </c>
      <c r="S1278" s="179">
        <v>0.0</v>
      </c>
      <c r="T1278" s="179">
        <v>2.0</v>
      </c>
      <c r="U1278" s="179">
        <v>34753.4</v>
      </c>
      <c r="V1278" s="179">
        <v>0.082</v>
      </c>
      <c r="W1278" s="179">
        <v>12.1902</v>
      </c>
      <c r="X1278" s="179">
        <v>0.0</v>
      </c>
      <c r="Y1278" s="179">
        <v>0.0</v>
      </c>
      <c r="Z1278" s="179">
        <v>0.0</v>
      </c>
      <c r="AA1278" s="179">
        <v>0.0</v>
      </c>
      <c r="AB1278" s="179">
        <v>0.0</v>
      </c>
      <c r="AC1278" s="179">
        <v>0.0</v>
      </c>
      <c r="AD1278" s="179">
        <v>0.0</v>
      </c>
      <c r="AE1278" s="179">
        <v>0.0</v>
      </c>
      <c r="AF1278" s="179">
        <v>0.0</v>
      </c>
      <c r="AG1278" s="179">
        <v>0.0</v>
      </c>
      <c r="AH1278" s="179">
        <v>0.0</v>
      </c>
      <c r="AI1278" s="179">
        <v>0.0</v>
      </c>
      <c r="AJ1278" s="179">
        <v>0.0</v>
      </c>
    </row>
    <row r="1279" ht="15.75" customHeight="1">
      <c r="A1279" s="200">
        <v>45772.0</v>
      </c>
      <c r="B1279" s="179" t="s">
        <v>771</v>
      </c>
      <c r="C1279" s="179" t="s">
        <v>1122</v>
      </c>
      <c r="D1279" s="179" t="s">
        <v>773</v>
      </c>
      <c r="E1279" s="179" t="s">
        <v>459</v>
      </c>
      <c r="F1279" s="179" t="s">
        <v>774</v>
      </c>
      <c r="G1279" s="179" t="s">
        <v>775</v>
      </c>
      <c r="H1279" s="179" t="s">
        <v>1106</v>
      </c>
      <c r="I1279" s="179"/>
      <c r="J1279" s="179" t="s">
        <v>211</v>
      </c>
      <c r="K1279" s="179">
        <v>240.0</v>
      </c>
      <c r="L1279" s="195">
        <v>0.0567</v>
      </c>
      <c r="M1279" s="179" t="s">
        <v>8</v>
      </c>
      <c r="N1279" s="179">
        <v>37241.0</v>
      </c>
      <c r="O1279" s="179">
        <v>551.0</v>
      </c>
      <c r="P1279" s="179">
        <v>0.0148</v>
      </c>
      <c r="Q1279" s="179">
        <v>2841.53</v>
      </c>
      <c r="R1279" s="179">
        <v>5.16</v>
      </c>
      <c r="S1279" s="179">
        <v>0.0</v>
      </c>
      <c r="T1279" s="179">
        <v>11.0</v>
      </c>
      <c r="U1279" s="179">
        <v>50374.57</v>
      </c>
      <c r="V1279" s="179">
        <v>0.0564</v>
      </c>
      <c r="W1279" s="179">
        <v>17.728</v>
      </c>
      <c r="X1279" s="179">
        <v>0.0</v>
      </c>
      <c r="Y1279" s="179">
        <v>0.0</v>
      </c>
      <c r="Z1279" s="179">
        <v>0.0</v>
      </c>
      <c r="AA1279" s="179">
        <v>0.0</v>
      </c>
      <c r="AB1279" s="179">
        <v>0.0</v>
      </c>
      <c r="AC1279" s="179">
        <v>0.0</v>
      </c>
      <c r="AD1279" s="179">
        <v>0.0</v>
      </c>
      <c r="AE1279" s="179">
        <v>0.0</v>
      </c>
      <c r="AF1279" s="179">
        <v>0.0</v>
      </c>
      <c r="AG1279" s="179">
        <v>0.0</v>
      </c>
      <c r="AH1279" s="179">
        <v>0.0</v>
      </c>
      <c r="AI1279" s="179">
        <v>0.0</v>
      </c>
      <c r="AJ1279" s="179">
        <v>0.0</v>
      </c>
    </row>
    <row r="1280" ht="15.75" customHeight="1">
      <c r="A1280" s="200">
        <v>45772.0</v>
      </c>
      <c r="B1280" s="179" t="s">
        <v>771</v>
      </c>
      <c r="C1280" s="179" t="s">
        <v>1216</v>
      </c>
      <c r="D1280" s="179" t="s">
        <v>773</v>
      </c>
      <c r="E1280" s="179" t="s">
        <v>460</v>
      </c>
      <c r="F1280" s="179" t="s">
        <v>778</v>
      </c>
      <c r="G1280" s="179" t="s">
        <v>775</v>
      </c>
      <c r="H1280" s="179" t="s">
        <v>1106</v>
      </c>
      <c r="I1280" s="179"/>
      <c r="J1280" s="179" t="s">
        <v>134</v>
      </c>
      <c r="K1280" s="179">
        <v>500.0</v>
      </c>
      <c r="L1280" s="179" t="s">
        <v>776</v>
      </c>
      <c r="M1280" s="179" t="s">
        <v>8</v>
      </c>
      <c r="N1280" s="179">
        <v>274824.0</v>
      </c>
      <c r="O1280" s="179">
        <v>263.0</v>
      </c>
      <c r="P1280" s="179">
        <v>0.001</v>
      </c>
      <c r="Q1280" s="179">
        <v>2758.23</v>
      </c>
      <c r="R1280" s="179">
        <v>10.49</v>
      </c>
      <c r="S1280" s="179">
        <v>0.0</v>
      </c>
      <c r="T1280" s="179">
        <v>1.0</v>
      </c>
      <c r="U1280" s="179">
        <v>14405.94</v>
      </c>
      <c r="V1280" s="179">
        <v>0.1915</v>
      </c>
      <c r="W1280" s="179">
        <v>5.2229</v>
      </c>
      <c r="X1280" s="179">
        <v>0.0</v>
      </c>
      <c r="Y1280" s="179">
        <v>0.0</v>
      </c>
      <c r="Z1280" s="179">
        <v>0.0</v>
      </c>
      <c r="AA1280" s="179">
        <v>0.0</v>
      </c>
      <c r="AB1280" s="179">
        <v>0.0</v>
      </c>
      <c r="AC1280" s="179">
        <v>0.0</v>
      </c>
      <c r="AD1280" s="179">
        <v>0.0</v>
      </c>
      <c r="AE1280" s="179">
        <v>0.0</v>
      </c>
      <c r="AF1280" s="179">
        <v>0.0</v>
      </c>
      <c r="AG1280" s="179">
        <v>0.0</v>
      </c>
      <c r="AH1280" s="179">
        <v>0.0</v>
      </c>
      <c r="AI1280" s="179">
        <v>0.0</v>
      </c>
      <c r="AJ1280" s="179">
        <v>0.0</v>
      </c>
    </row>
    <row r="1281" ht="15.75" customHeight="1">
      <c r="A1281" s="200">
        <v>45772.0</v>
      </c>
      <c r="B1281" s="179" t="s">
        <v>771</v>
      </c>
      <c r="C1281" s="179" t="s">
        <v>1042</v>
      </c>
      <c r="D1281" s="179" t="s">
        <v>773</v>
      </c>
      <c r="E1281" s="179" t="s">
        <v>459</v>
      </c>
      <c r="F1281" s="179" t="s">
        <v>774</v>
      </c>
      <c r="G1281" s="179" t="s">
        <v>775</v>
      </c>
      <c r="H1281" s="179" t="s">
        <v>1106</v>
      </c>
      <c r="I1281" s="179"/>
      <c r="J1281" s="179" t="s">
        <v>241</v>
      </c>
      <c r="K1281" s="179">
        <v>790.5</v>
      </c>
      <c r="L1281" s="179" t="s">
        <v>776</v>
      </c>
      <c r="M1281" s="179" t="s">
        <v>8</v>
      </c>
      <c r="N1281" s="179">
        <v>62005.0</v>
      </c>
      <c r="O1281" s="179">
        <v>132.0</v>
      </c>
      <c r="P1281" s="179">
        <v>0.0021</v>
      </c>
      <c r="Q1281" s="179">
        <v>2741.3</v>
      </c>
      <c r="R1281" s="179">
        <v>20.77</v>
      </c>
      <c r="S1281" s="179">
        <v>0.0</v>
      </c>
      <c r="T1281" s="179">
        <v>1.0</v>
      </c>
      <c r="U1281" s="179">
        <v>1863.56</v>
      </c>
      <c r="V1281" s="179">
        <v>1.471</v>
      </c>
      <c r="W1281" s="179">
        <v>0.6798</v>
      </c>
      <c r="X1281" s="179">
        <v>0.0</v>
      </c>
      <c r="Y1281" s="179">
        <v>0.0</v>
      </c>
      <c r="Z1281" s="179">
        <v>0.0</v>
      </c>
      <c r="AA1281" s="179">
        <v>0.0</v>
      </c>
      <c r="AB1281" s="179">
        <v>0.0</v>
      </c>
      <c r="AC1281" s="179">
        <v>0.0</v>
      </c>
      <c r="AD1281" s="179">
        <v>0.0</v>
      </c>
      <c r="AE1281" s="179">
        <v>0.0</v>
      </c>
      <c r="AF1281" s="179">
        <v>0.0</v>
      </c>
      <c r="AG1281" s="179">
        <v>0.0</v>
      </c>
      <c r="AH1281" s="179">
        <v>0.0</v>
      </c>
      <c r="AI1281" s="179">
        <v>0.0</v>
      </c>
      <c r="AJ1281" s="179">
        <v>0.0</v>
      </c>
    </row>
    <row r="1282" ht="15.75" customHeight="1">
      <c r="A1282" s="200">
        <v>45772.0</v>
      </c>
      <c r="B1282" s="179" t="s">
        <v>771</v>
      </c>
      <c r="C1282" s="179" t="s">
        <v>1128</v>
      </c>
      <c r="D1282" s="179" t="s">
        <v>773</v>
      </c>
      <c r="E1282" s="179" t="s">
        <v>459</v>
      </c>
      <c r="F1282" s="179" t="s">
        <v>774</v>
      </c>
      <c r="G1282" s="179" t="s">
        <v>775</v>
      </c>
      <c r="H1282" s="179" t="s">
        <v>1106</v>
      </c>
      <c r="I1282" s="179"/>
      <c r="J1282" s="179" t="s">
        <v>158</v>
      </c>
      <c r="K1282" s="179">
        <v>150.0</v>
      </c>
      <c r="L1282" s="179" t="s">
        <v>776</v>
      </c>
      <c r="M1282" s="179" t="s">
        <v>8</v>
      </c>
      <c r="N1282" s="179">
        <v>31559.0</v>
      </c>
      <c r="O1282" s="179">
        <v>197.0</v>
      </c>
      <c r="P1282" s="179">
        <v>0.0062</v>
      </c>
      <c r="Q1282" s="179">
        <v>2687.37</v>
      </c>
      <c r="R1282" s="179">
        <v>13.64</v>
      </c>
      <c r="S1282" s="179">
        <v>0.0</v>
      </c>
      <c r="T1282" s="179">
        <v>1.0</v>
      </c>
      <c r="U1282" s="179">
        <v>2500.0</v>
      </c>
      <c r="V1282" s="179">
        <v>1.0749</v>
      </c>
      <c r="W1282" s="179">
        <v>0.9303</v>
      </c>
      <c r="X1282" s="179">
        <v>0.0</v>
      </c>
      <c r="Y1282" s="179">
        <v>0.0</v>
      </c>
      <c r="Z1282" s="179">
        <v>0.0</v>
      </c>
      <c r="AA1282" s="179">
        <v>0.0</v>
      </c>
      <c r="AB1282" s="179">
        <v>0.0</v>
      </c>
      <c r="AC1282" s="179">
        <v>0.0</v>
      </c>
      <c r="AD1282" s="179">
        <v>0.0</v>
      </c>
      <c r="AE1282" s="179">
        <v>0.0</v>
      </c>
      <c r="AF1282" s="179">
        <v>0.0</v>
      </c>
      <c r="AG1282" s="179">
        <v>0.0</v>
      </c>
      <c r="AH1282" s="179">
        <v>0.0</v>
      </c>
      <c r="AI1282" s="179">
        <v>0.0</v>
      </c>
      <c r="AJ1282" s="179">
        <v>0.0</v>
      </c>
    </row>
    <row r="1283" ht="15.75" customHeight="1">
      <c r="A1283" s="200">
        <v>45772.0</v>
      </c>
      <c r="B1283" s="179" t="s">
        <v>771</v>
      </c>
      <c r="C1283" s="179" t="s">
        <v>1294</v>
      </c>
      <c r="D1283" s="179" t="s">
        <v>931</v>
      </c>
      <c r="E1283" s="179" t="s">
        <v>459</v>
      </c>
      <c r="F1283" s="179" t="s">
        <v>774</v>
      </c>
      <c r="G1283" s="179" t="s">
        <v>783</v>
      </c>
      <c r="H1283" s="179" t="s">
        <v>1106</v>
      </c>
      <c r="I1283" s="179"/>
      <c r="J1283" s="179" t="s">
        <v>90</v>
      </c>
      <c r="K1283" s="179">
        <v>150.0</v>
      </c>
      <c r="L1283" s="179" t="s">
        <v>776</v>
      </c>
      <c r="M1283" s="179" t="s">
        <v>8</v>
      </c>
      <c r="N1283" s="179">
        <v>21923.0</v>
      </c>
      <c r="O1283" s="179">
        <v>79.0</v>
      </c>
      <c r="P1283" s="179">
        <v>0.0036</v>
      </c>
      <c r="Q1283" s="179">
        <v>2586.87</v>
      </c>
      <c r="R1283" s="179">
        <v>32.75</v>
      </c>
      <c r="S1283" s="179">
        <v>0.0</v>
      </c>
      <c r="T1283" s="179">
        <v>0.0</v>
      </c>
      <c r="U1283" s="179">
        <v>0.0</v>
      </c>
      <c r="V1283" s="179">
        <v>0.0</v>
      </c>
      <c r="W1283" s="179">
        <v>0.0</v>
      </c>
      <c r="X1283" s="179">
        <v>0.0</v>
      </c>
      <c r="Y1283" s="179">
        <v>0.0</v>
      </c>
      <c r="Z1283" s="179">
        <v>0.0</v>
      </c>
      <c r="AA1283" s="179">
        <v>0.0</v>
      </c>
      <c r="AB1283" s="179">
        <v>0.0</v>
      </c>
      <c r="AC1283" s="179">
        <v>0.0</v>
      </c>
      <c r="AD1283" s="179">
        <v>0.0</v>
      </c>
      <c r="AE1283" s="179">
        <v>0.0</v>
      </c>
      <c r="AF1283" s="179">
        <v>0.0</v>
      </c>
      <c r="AG1283" s="179">
        <v>0.0</v>
      </c>
      <c r="AH1283" s="179">
        <v>0.0</v>
      </c>
      <c r="AI1283" s="179">
        <v>0.0</v>
      </c>
      <c r="AJ1283" s="179">
        <v>0.0</v>
      </c>
    </row>
    <row r="1284" ht="15.75" customHeight="1">
      <c r="A1284" s="200">
        <v>45772.0</v>
      </c>
      <c r="B1284" s="179" t="s">
        <v>771</v>
      </c>
      <c r="C1284" s="179" t="s">
        <v>1219</v>
      </c>
      <c r="D1284" s="179" t="s">
        <v>931</v>
      </c>
      <c r="E1284" s="179" t="s">
        <v>459</v>
      </c>
      <c r="F1284" s="179" t="s">
        <v>774</v>
      </c>
      <c r="G1284" s="179" t="s">
        <v>775</v>
      </c>
      <c r="H1284" s="179" t="s">
        <v>1106</v>
      </c>
      <c r="I1284" s="179"/>
      <c r="J1284" s="179" t="s">
        <v>134</v>
      </c>
      <c r="K1284" s="179">
        <v>60.0</v>
      </c>
      <c r="L1284" s="179" t="s">
        <v>776</v>
      </c>
      <c r="M1284" s="179" t="s">
        <v>8</v>
      </c>
      <c r="N1284" s="179">
        <v>26585.0</v>
      </c>
      <c r="O1284" s="179">
        <v>57.0</v>
      </c>
      <c r="P1284" s="179">
        <v>0.0021</v>
      </c>
      <c r="Q1284" s="179">
        <v>2533.97</v>
      </c>
      <c r="R1284" s="179">
        <v>44.46</v>
      </c>
      <c r="S1284" s="179">
        <v>0.0</v>
      </c>
      <c r="T1284" s="179">
        <v>0.0</v>
      </c>
      <c r="U1284" s="179">
        <v>0.0</v>
      </c>
      <c r="V1284" s="179">
        <v>0.0</v>
      </c>
      <c r="W1284" s="179">
        <v>0.0</v>
      </c>
      <c r="X1284" s="179">
        <v>0.0</v>
      </c>
      <c r="Y1284" s="179">
        <v>0.0</v>
      </c>
      <c r="Z1284" s="179">
        <v>0.0</v>
      </c>
      <c r="AA1284" s="179">
        <v>0.0</v>
      </c>
      <c r="AB1284" s="179">
        <v>0.0</v>
      </c>
      <c r="AC1284" s="179">
        <v>0.0</v>
      </c>
      <c r="AD1284" s="179">
        <v>0.0</v>
      </c>
      <c r="AE1284" s="179">
        <v>0.0</v>
      </c>
      <c r="AF1284" s="179">
        <v>0.0</v>
      </c>
      <c r="AG1284" s="179">
        <v>0.0</v>
      </c>
      <c r="AH1284" s="179">
        <v>0.0</v>
      </c>
      <c r="AI1284" s="179">
        <v>0.0</v>
      </c>
      <c r="AJ1284" s="179">
        <v>0.0</v>
      </c>
    </row>
    <row r="1285" ht="15.75" customHeight="1">
      <c r="A1285" s="200">
        <v>45772.0</v>
      </c>
      <c r="B1285" s="179" t="s">
        <v>771</v>
      </c>
      <c r="C1285" s="179" t="s">
        <v>925</v>
      </c>
      <c r="D1285" s="179" t="s">
        <v>773</v>
      </c>
      <c r="E1285" s="179" t="s">
        <v>459</v>
      </c>
      <c r="F1285" s="179" t="s">
        <v>774</v>
      </c>
      <c r="G1285" s="179" t="s">
        <v>775</v>
      </c>
      <c r="H1285" s="179" t="s">
        <v>1106</v>
      </c>
      <c r="I1285" s="179"/>
      <c r="J1285" s="179" t="s">
        <v>182</v>
      </c>
      <c r="K1285" s="179">
        <v>1500.0</v>
      </c>
      <c r="L1285" s="195">
        <v>0.0601</v>
      </c>
      <c r="M1285" s="179" t="s">
        <v>8</v>
      </c>
      <c r="N1285" s="179">
        <v>6644.0</v>
      </c>
      <c r="O1285" s="179">
        <v>49.0</v>
      </c>
      <c r="P1285" s="179">
        <v>0.0074</v>
      </c>
      <c r="Q1285" s="179">
        <v>2528.77</v>
      </c>
      <c r="R1285" s="179">
        <v>51.61</v>
      </c>
      <c r="S1285" s="179">
        <v>0.0</v>
      </c>
      <c r="T1285" s="179">
        <v>2.0</v>
      </c>
      <c r="U1285" s="179">
        <v>57593.22</v>
      </c>
      <c r="V1285" s="179">
        <v>0.0439</v>
      </c>
      <c r="W1285" s="179">
        <v>22.7752</v>
      </c>
      <c r="X1285" s="179">
        <v>0.0</v>
      </c>
      <c r="Y1285" s="179">
        <v>0.0</v>
      </c>
      <c r="Z1285" s="179">
        <v>0.0</v>
      </c>
      <c r="AA1285" s="179">
        <v>0.0</v>
      </c>
      <c r="AB1285" s="179">
        <v>0.0</v>
      </c>
      <c r="AC1285" s="179">
        <v>0.0</v>
      </c>
      <c r="AD1285" s="179">
        <v>0.0</v>
      </c>
      <c r="AE1285" s="179">
        <v>0.0</v>
      </c>
      <c r="AF1285" s="179">
        <v>0.0</v>
      </c>
      <c r="AG1285" s="179">
        <v>0.0</v>
      </c>
      <c r="AH1285" s="179">
        <v>0.0</v>
      </c>
      <c r="AI1285" s="179">
        <v>0.0</v>
      </c>
      <c r="AJ1285" s="179">
        <v>0.0</v>
      </c>
    </row>
    <row r="1286" ht="15.75" customHeight="1">
      <c r="A1286" s="200">
        <v>45772.0</v>
      </c>
      <c r="B1286" s="179" t="s">
        <v>771</v>
      </c>
      <c r="C1286" s="179" t="s">
        <v>1295</v>
      </c>
      <c r="D1286" s="179" t="s">
        <v>773</v>
      </c>
      <c r="E1286" s="179" t="s">
        <v>463</v>
      </c>
      <c r="F1286" s="179" t="s">
        <v>774</v>
      </c>
      <c r="G1286" s="179"/>
      <c r="H1286" s="179" t="s">
        <v>1106</v>
      </c>
      <c r="I1286" s="179"/>
      <c r="J1286" s="179" t="s">
        <v>413</v>
      </c>
      <c r="K1286" s="179">
        <v>200.0</v>
      </c>
      <c r="L1286" s="179"/>
      <c r="M1286" s="179" t="s">
        <v>8</v>
      </c>
      <c r="N1286" s="179">
        <v>158915.0</v>
      </c>
      <c r="O1286" s="179">
        <v>1742.0</v>
      </c>
      <c r="P1286" s="179">
        <v>0.011</v>
      </c>
      <c r="Q1286" s="179">
        <v>2528.38</v>
      </c>
      <c r="R1286" s="179">
        <v>1.45</v>
      </c>
      <c r="S1286" s="179">
        <v>1886.0</v>
      </c>
      <c r="T1286" s="179">
        <v>0.0</v>
      </c>
      <c r="U1286" s="179">
        <v>0.0</v>
      </c>
      <c r="V1286" s="179">
        <v>0.0</v>
      </c>
      <c r="W1286" s="179">
        <v>0.0</v>
      </c>
      <c r="X1286" s="179">
        <v>0.0</v>
      </c>
      <c r="Y1286" s="179">
        <v>0.0</v>
      </c>
      <c r="Z1286" s="179">
        <v>0.0</v>
      </c>
      <c r="AA1286" s="179">
        <v>0.0</v>
      </c>
      <c r="AB1286" s="179">
        <v>118368.0</v>
      </c>
      <c r="AC1286" s="179">
        <v>21.36</v>
      </c>
      <c r="AD1286" s="179">
        <v>101501.0</v>
      </c>
      <c r="AE1286" s="179">
        <v>76465.0</v>
      </c>
      <c r="AF1286" s="179">
        <v>48318.0</v>
      </c>
      <c r="AG1286" s="179">
        <v>16474.0</v>
      </c>
      <c r="AH1286" s="179">
        <v>476.0</v>
      </c>
      <c r="AI1286" s="179">
        <v>0.7449</v>
      </c>
      <c r="AJ1286" s="179">
        <v>0.0147</v>
      </c>
    </row>
    <row r="1287" ht="15.75" customHeight="1">
      <c r="A1287" s="200">
        <v>45772.0</v>
      </c>
      <c r="B1287" s="179" t="s">
        <v>771</v>
      </c>
      <c r="C1287" s="179" t="s">
        <v>1296</v>
      </c>
      <c r="D1287" s="179" t="s">
        <v>773</v>
      </c>
      <c r="E1287" s="179" t="s">
        <v>463</v>
      </c>
      <c r="F1287" s="179" t="s">
        <v>774</v>
      </c>
      <c r="G1287" s="179"/>
      <c r="H1287" s="179" t="s">
        <v>1106</v>
      </c>
      <c r="I1287" s="179"/>
      <c r="J1287" s="179"/>
      <c r="K1287" s="179">
        <v>555.0</v>
      </c>
      <c r="L1287" s="179"/>
      <c r="M1287" s="179" t="s">
        <v>8</v>
      </c>
      <c r="N1287" s="179">
        <v>18287.0</v>
      </c>
      <c r="O1287" s="179">
        <v>1377.0</v>
      </c>
      <c r="P1287" s="179">
        <v>0.0753</v>
      </c>
      <c r="Q1287" s="179">
        <v>2525.02</v>
      </c>
      <c r="R1287" s="179">
        <v>1.83</v>
      </c>
      <c r="S1287" s="179">
        <v>1764.0</v>
      </c>
      <c r="T1287" s="179">
        <v>0.0</v>
      </c>
      <c r="U1287" s="179">
        <v>0.0</v>
      </c>
      <c r="V1287" s="179">
        <v>0.0</v>
      </c>
      <c r="W1287" s="179">
        <v>0.0</v>
      </c>
      <c r="X1287" s="179">
        <v>0.0</v>
      </c>
      <c r="Y1287" s="179">
        <v>0.0</v>
      </c>
      <c r="Z1287" s="179">
        <v>0.0</v>
      </c>
      <c r="AA1287" s="179">
        <v>0.0</v>
      </c>
      <c r="AB1287" s="179">
        <v>16631.0</v>
      </c>
      <c r="AC1287" s="179">
        <v>151.83</v>
      </c>
      <c r="AD1287" s="179">
        <v>15181.0</v>
      </c>
      <c r="AE1287" s="179">
        <v>14219.0</v>
      </c>
      <c r="AF1287" s="179">
        <v>13463.0</v>
      </c>
      <c r="AG1287" s="179">
        <v>12074.0</v>
      </c>
      <c r="AH1287" s="179">
        <v>104.0</v>
      </c>
      <c r="AI1287" s="179">
        <v>0.9094</v>
      </c>
      <c r="AJ1287" s="179">
        <v>0.0828</v>
      </c>
    </row>
    <row r="1288" ht="15.75" customHeight="1">
      <c r="A1288" s="200">
        <v>45772.0</v>
      </c>
      <c r="B1288" s="179" t="s">
        <v>771</v>
      </c>
      <c r="C1288" s="179" t="s">
        <v>1297</v>
      </c>
      <c r="D1288" s="179" t="s">
        <v>773</v>
      </c>
      <c r="E1288" s="179" t="s">
        <v>462</v>
      </c>
      <c r="F1288" s="179" t="s">
        <v>774</v>
      </c>
      <c r="G1288" s="179"/>
      <c r="H1288" s="179" t="s">
        <v>1106</v>
      </c>
      <c r="I1288" s="179"/>
      <c r="J1288" s="179" t="s">
        <v>413</v>
      </c>
      <c r="K1288" s="179">
        <v>500.0</v>
      </c>
      <c r="L1288" s="179" t="s">
        <v>776</v>
      </c>
      <c r="M1288" s="179" t="s">
        <v>8</v>
      </c>
      <c r="N1288" s="179">
        <v>82625.0</v>
      </c>
      <c r="O1288" s="179">
        <v>621.0</v>
      </c>
      <c r="P1288" s="179">
        <v>0.0075</v>
      </c>
      <c r="Q1288" s="179">
        <v>2438.68</v>
      </c>
      <c r="R1288" s="179">
        <v>3.93</v>
      </c>
      <c r="S1288" s="179">
        <v>837.0</v>
      </c>
      <c r="T1288" s="179">
        <v>0.0</v>
      </c>
      <c r="U1288" s="179">
        <v>0.0</v>
      </c>
      <c r="V1288" s="179">
        <v>0.0</v>
      </c>
      <c r="W1288" s="179">
        <v>0.0</v>
      </c>
      <c r="X1288" s="179">
        <v>0.0</v>
      </c>
      <c r="Y1288" s="179">
        <v>0.0</v>
      </c>
      <c r="Z1288" s="179">
        <v>0.0</v>
      </c>
      <c r="AA1288" s="179">
        <v>0.0</v>
      </c>
      <c r="AB1288" s="179">
        <v>10736.0</v>
      </c>
      <c r="AC1288" s="179">
        <v>227.15</v>
      </c>
      <c r="AD1288" s="179">
        <v>0.0</v>
      </c>
      <c r="AE1288" s="179">
        <v>0.0</v>
      </c>
      <c r="AF1288" s="179">
        <v>0.0</v>
      </c>
      <c r="AG1288" s="179">
        <v>0.0</v>
      </c>
      <c r="AH1288" s="179">
        <v>0.0</v>
      </c>
      <c r="AI1288" s="179">
        <v>0.0</v>
      </c>
      <c r="AJ1288" s="179">
        <v>0.0</v>
      </c>
    </row>
    <row r="1289" ht="15.75" customHeight="1">
      <c r="A1289" s="200">
        <v>45772.0</v>
      </c>
      <c r="B1289" s="179" t="s">
        <v>771</v>
      </c>
      <c r="C1289" s="179" t="s">
        <v>963</v>
      </c>
      <c r="D1289" s="179" t="s">
        <v>773</v>
      </c>
      <c r="E1289" s="179" t="s">
        <v>459</v>
      </c>
      <c r="F1289" s="179" t="s">
        <v>774</v>
      </c>
      <c r="G1289" s="179" t="s">
        <v>775</v>
      </c>
      <c r="H1289" s="179" t="s">
        <v>1106</v>
      </c>
      <c r="I1289" s="179"/>
      <c r="J1289" s="179" t="s">
        <v>140</v>
      </c>
      <c r="K1289" s="179">
        <v>1500.0</v>
      </c>
      <c r="L1289" s="195">
        <v>0.0786</v>
      </c>
      <c r="M1289" s="179" t="s">
        <v>8</v>
      </c>
      <c r="N1289" s="179">
        <v>1777.0</v>
      </c>
      <c r="O1289" s="179">
        <v>31.0</v>
      </c>
      <c r="P1289" s="179">
        <v>0.0174</v>
      </c>
      <c r="Q1289" s="179">
        <v>2364.08</v>
      </c>
      <c r="R1289" s="179">
        <v>76.26</v>
      </c>
      <c r="S1289" s="179">
        <v>0.0</v>
      </c>
      <c r="T1289" s="179">
        <v>0.0</v>
      </c>
      <c r="U1289" s="179">
        <v>0.0</v>
      </c>
      <c r="V1289" s="179">
        <v>0.0</v>
      </c>
      <c r="W1289" s="179">
        <v>0.0</v>
      </c>
      <c r="X1289" s="179">
        <v>0.0</v>
      </c>
      <c r="Y1289" s="179">
        <v>0.0</v>
      </c>
      <c r="Z1289" s="179">
        <v>0.0</v>
      </c>
      <c r="AA1289" s="179">
        <v>0.0</v>
      </c>
      <c r="AB1289" s="179">
        <v>0.0</v>
      </c>
      <c r="AC1289" s="179">
        <v>0.0</v>
      </c>
      <c r="AD1289" s="179">
        <v>0.0</v>
      </c>
      <c r="AE1289" s="179">
        <v>0.0</v>
      </c>
      <c r="AF1289" s="179">
        <v>0.0</v>
      </c>
      <c r="AG1289" s="179">
        <v>0.0</v>
      </c>
      <c r="AH1289" s="179">
        <v>0.0</v>
      </c>
      <c r="AI1289" s="179">
        <v>0.0</v>
      </c>
      <c r="AJ1289" s="179">
        <v>0.0</v>
      </c>
    </row>
    <row r="1290" ht="15.75" customHeight="1">
      <c r="A1290" s="200">
        <v>45772.0</v>
      </c>
      <c r="B1290" s="179" t="s">
        <v>771</v>
      </c>
      <c r="C1290" s="179" t="s">
        <v>1201</v>
      </c>
      <c r="D1290" s="179" t="s">
        <v>773</v>
      </c>
      <c r="E1290" s="179" t="s">
        <v>459</v>
      </c>
      <c r="F1290" s="179" t="s">
        <v>774</v>
      </c>
      <c r="G1290" s="179" t="s">
        <v>775</v>
      </c>
      <c r="H1290" s="179" t="s">
        <v>1106</v>
      </c>
      <c r="I1290" s="179"/>
      <c r="J1290" s="179" t="s">
        <v>128</v>
      </c>
      <c r="K1290" s="179">
        <v>1000.0</v>
      </c>
      <c r="L1290" s="195">
        <v>0.0929</v>
      </c>
      <c r="M1290" s="179" t="s">
        <v>8</v>
      </c>
      <c r="N1290" s="179">
        <v>7062.0</v>
      </c>
      <c r="O1290" s="179">
        <v>66.0</v>
      </c>
      <c r="P1290" s="179">
        <v>0.0093</v>
      </c>
      <c r="Q1290" s="179">
        <v>2341.8</v>
      </c>
      <c r="R1290" s="179">
        <v>35.48</v>
      </c>
      <c r="S1290" s="179">
        <v>0.0</v>
      </c>
      <c r="T1290" s="179">
        <v>1.0</v>
      </c>
      <c r="U1290" s="179">
        <v>17381.36</v>
      </c>
      <c r="V1290" s="179">
        <v>0.1347</v>
      </c>
      <c r="W1290" s="179">
        <v>7.4222</v>
      </c>
      <c r="X1290" s="179">
        <v>0.0</v>
      </c>
      <c r="Y1290" s="179">
        <v>0.0</v>
      </c>
      <c r="Z1290" s="179">
        <v>0.0</v>
      </c>
      <c r="AA1290" s="179">
        <v>0.0</v>
      </c>
      <c r="AB1290" s="179">
        <v>0.0</v>
      </c>
      <c r="AC1290" s="179">
        <v>0.0</v>
      </c>
      <c r="AD1290" s="179">
        <v>0.0</v>
      </c>
      <c r="AE1290" s="179">
        <v>0.0</v>
      </c>
      <c r="AF1290" s="179">
        <v>0.0</v>
      </c>
      <c r="AG1290" s="179">
        <v>0.0</v>
      </c>
      <c r="AH1290" s="179">
        <v>0.0</v>
      </c>
      <c r="AI1290" s="179">
        <v>0.0</v>
      </c>
      <c r="AJ1290" s="179">
        <v>0.0</v>
      </c>
    </row>
    <row r="1291" ht="15.75" customHeight="1">
      <c r="A1291" s="200">
        <v>45772.0</v>
      </c>
      <c r="B1291" s="179" t="s">
        <v>771</v>
      </c>
      <c r="C1291" s="179" t="s">
        <v>912</v>
      </c>
      <c r="D1291" s="179" t="s">
        <v>931</v>
      </c>
      <c r="E1291" s="179" t="s">
        <v>459</v>
      </c>
      <c r="F1291" s="179" t="s">
        <v>774</v>
      </c>
      <c r="G1291" s="179" t="s">
        <v>775</v>
      </c>
      <c r="H1291" s="179" t="s">
        <v>1106</v>
      </c>
      <c r="I1291" s="179"/>
      <c r="J1291" s="179" t="s">
        <v>140</v>
      </c>
      <c r="K1291" s="179">
        <v>60.0</v>
      </c>
      <c r="L1291" s="179" t="s">
        <v>776</v>
      </c>
      <c r="M1291" s="179" t="s">
        <v>8</v>
      </c>
      <c r="N1291" s="179">
        <v>59960.0</v>
      </c>
      <c r="O1291" s="179">
        <v>72.0</v>
      </c>
      <c r="P1291" s="179">
        <v>0.0012</v>
      </c>
      <c r="Q1291" s="179">
        <v>2225.93</v>
      </c>
      <c r="R1291" s="179">
        <v>30.92</v>
      </c>
      <c r="S1291" s="179">
        <v>0.0</v>
      </c>
      <c r="T1291" s="179">
        <v>1.0</v>
      </c>
      <c r="U1291" s="179">
        <v>5000.0</v>
      </c>
      <c r="V1291" s="179">
        <v>0.4452</v>
      </c>
      <c r="W1291" s="179">
        <v>2.2463</v>
      </c>
      <c r="X1291" s="179">
        <v>0.0</v>
      </c>
      <c r="Y1291" s="179">
        <v>0.0</v>
      </c>
      <c r="Z1291" s="179">
        <v>0.0</v>
      </c>
      <c r="AA1291" s="179">
        <v>0.0</v>
      </c>
      <c r="AB1291" s="179">
        <v>0.0</v>
      </c>
      <c r="AC1291" s="179">
        <v>0.0</v>
      </c>
      <c r="AD1291" s="179">
        <v>0.0</v>
      </c>
      <c r="AE1291" s="179">
        <v>0.0</v>
      </c>
      <c r="AF1291" s="179">
        <v>0.0</v>
      </c>
      <c r="AG1291" s="179">
        <v>0.0</v>
      </c>
      <c r="AH1291" s="179">
        <v>0.0</v>
      </c>
      <c r="AI1291" s="179">
        <v>0.0</v>
      </c>
      <c r="AJ1291" s="179">
        <v>0.0</v>
      </c>
    </row>
    <row r="1292" ht="15.75" customHeight="1">
      <c r="A1292" s="200">
        <v>45772.0</v>
      </c>
      <c r="B1292" s="179" t="s">
        <v>771</v>
      </c>
      <c r="C1292" s="179" t="s">
        <v>1299</v>
      </c>
      <c r="D1292" s="179" t="s">
        <v>773</v>
      </c>
      <c r="E1292" s="179" t="s">
        <v>462</v>
      </c>
      <c r="F1292" s="179" t="s">
        <v>774</v>
      </c>
      <c r="G1292" s="179"/>
      <c r="H1292" s="179" t="s">
        <v>1106</v>
      </c>
      <c r="I1292" s="179"/>
      <c r="J1292" s="179" t="s">
        <v>413</v>
      </c>
      <c r="K1292" s="179">
        <v>200.0</v>
      </c>
      <c r="L1292" s="179" t="s">
        <v>776</v>
      </c>
      <c r="M1292" s="179" t="s">
        <v>8</v>
      </c>
      <c r="N1292" s="179">
        <v>57396.0</v>
      </c>
      <c r="O1292" s="179">
        <v>526.0</v>
      </c>
      <c r="P1292" s="179">
        <v>0.0092</v>
      </c>
      <c r="Q1292" s="179">
        <v>2140.31</v>
      </c>
      <c r="R1292" s="179">
        <v>4.07</v>
      </c>
      <c r="S1292" s="179">
        <v>757.0</v>
      </c>
      <c r="T1292" s="179">
        <v>0.0</v>
      </c>
      <c r="U1292" s="179">
        <v>0.0</v>
      </c>
      <c r="V1292" s="179">
        <v>0.0</v>
      </c>
      <c r="W1292" s="179">
        <v>0.0</v>
      </c>
      <c r="X1292" s="179">
        <v>0.0</v>
      </c>
      <c r="Y1292" s="179">
        <v>0.0</v>
      </c>
      <c r="Z1292" s="179">
        <v>0.0</v>
      </c>
      <c r="AA1292" s="179">
        <v>0.0</v>
      </c>
      <c r="AB1292" s="179">
        <v>7768.0</v>
      </c>
      <c r="AC1292" s="179">
        <v>275.53</v>
      </c>
      <c r="AD1292" s="179">
        <v>0.0</v>
      </c>
      <c r="AE1292" s="179">
        <v>0.0</v>
      </c>
      <c r="AF1292" s="179">
        <v>0.0</v>
      </c>
      <c r="AG1292" s="179">
        <v>0.0</v>
      </c>
      <c r="AH1292" s="179">
        <v>0.0</v>
      </c>
      <c r="AI1292" s="179">
        <v>0.0</v>
      </c>
      <c r="AJ1292" s="179">
        <v>0.0</v>
      </c>
    </row>
    <row r="1293" ht="15.75" customHeight="1">
      <c r="A1293" s="200">
        <v>45772.0</v>
      </c>
      <c r="B1293" s="179" t="s">
        <v>771</v>
      </c>
      <c r="C1293" s="179" t="s">
        <v>871</v>
      </c>
      <c r="D1293" s="179" t="s">
        <v>773</v>
      </c>
      <c r="E1293" s="179" t="s">
        <v>459</v>
      </c>
      <c r="F1293" s="179" t="s">
        <v>774</v>
      </c>
      <c r="G1293" s="179" t="s">
        <v>775</v>
      </c>
      <c r="H1293" s="179" t="s">
        <v>1106</v>
      </c>
      <c r="I1293" s="179"/>
      <c r="J1293" s="179" t="s">
        <v>119</v>
      </c>
      <c r="K1293" s="179">
        <v>93.0</v>
      </c>
      <c r="L1293" s="179" t="s">
        <v>776</v>
      </c>
      <c r="M1293" s="179" t="s">
        <v>8</v>
      </c>
      <c r="N1293" s="179">
        <v>36674.0</v>
      </c>
      <c r="O1293" s="179">
        <v>493.0</v>
      </c>
      <c r="P1293" s="179">
        <v>0.0134</v>
      </c>
      <c r="Q1293" s="179">
        <v>2057.6</v>
      </c>
      <c r="R1293" s="179">
        <v>4.17</v>
      </c>
      <c r="S1293" s="179">
        <v>0.0</v>
      </c>
      <c r="T1293" s="179">
        <v>3.0</v>
      </c>
      <c r="U1293" s="179">
        <v>46194.91</v>
      </c>
      <c r="V1293" s="179">
        <v>0.0445</v>
      </c>
      <c r="W1293" s="179">
        <v>22.4509</v>
      </c>
      <c r="X1293" s="179">
        <v>0.0</v>
      </c>
      <c r="Y1293" s="179">
        <v>0.0</v>
      </c>
      <c r="Z1293" s="179">
        <v>0.0</v>
      </c>
      <c r="AA1293" s="179">
        <v>0.0</v>
      </c>
      <c r="AB1293" s="179">
        <v>0.0</v>
      </c>
      <c r="AC1293" s="179">
        <v>0.0</v>
      </c>
      <c r="AD1293" s="179">
        <v>0.0</v>
      </c>
      <c r="AE1293" s="179">
        <v>0.0</v>
      </c>
      <c r="AF1293" s="179">
        <v>0.0</v>
      </c>
      <c r="AG1293" s="179">
        <v>0.0</v>
      </c>
      <c r="AH1293" s="179">
        <v>0.0</v>
      </c>
      <c r="AI1293" s="179">
        <v>0.0</v>
      </c>
      <c r="AJ1293" s="179">
        <v>0.0</v>
      </c>
    </row>
    <row r="1294" ht="15.75" customHeight="1">
      <c r="A1294" s="200">
        <v>45772.0</v>
      </c>
      <c r="B1294" s="179" t="s">
        <v>771</v>
      </c>
      <c r="C1294" s="179" t="s">
        <v>1301</v>
      </c>
      <c r="D1294" s="179" t="s">
        <v>773</v>
      </c>
      <c r="E1294" s="179" t="s">
        <v>460</v>
      </c>
      <c r="F1294" s="179" t="s">
        <v>778</v>
      </c>
      <c r="G1294" s="179" t="s">
        <v>775</v>
      </c>
      <c r="H1294" s="179" t="s">
        <v>1106</v>
      </c>
      <c r="I1294" s="179"/>
      <c r="J1294" s="179" t="s">
        <v>134</v>
      </c>
      <c r="K1294" s="179">
        <v>150.0</v>
      </c>
      <c r="L1294" s="179" t="s">
        <v>776</v>
      </c>
      <c r="M1294" s="179" t="s">
        <v>8</v>
      </c>
      <c r="N1294" s="179">
        <v>142010.0</v>
      </c>
      <c r="O1294" s="179">
        <v>95.0</v>
      </c>
      <c r="P1294" s="179">
        <v>7.0E-4</v>
      </c>
      <c r="Q1294" s="179">
        <v>2018.61</v>
      </c>
      <c r="R1294" s="179">
        <v>21.25</v>
      </c>
      <c r="S1294" s="179">
        <v>0.0</v>
      </c>
      <c r="T1294" s="179">
        <v>1.0</v>
      </c>
      <c r="U1294" s="179">
        <v>14457.62</v>
      </c>
      <c r="V1294" s="179">
        <v>0.1396</v>
      </c>
      <c r="W1294" s="179">
        <v>7.1622</v>
      </c>
      <c r="X1294" s="179">
        <v>0.0</v>
      </c>
      <c r="Y1294" s="179">
        <v>0.0</v>
      </c>
      <c r="Z1294" s="179">
        <v>0.0</v>
      </c>
      <c r="AA1294" s="179">
        <v>0.0</v>
      </c>
      <c r="AB1294" s="179">
        <v>0.0</v>
      </c>
      <c r="AC1294" s="179">
        <v>0.0</v>
      </c>
      <c r="AD1294" s="179">
        <v>0.0</v>
      </c>
      <c r="AE1294" s="179">
        <v>0.0</v>
      </c>
      <c r="AF1294" s="179">
        <v>0.0</v>
      </c>
      <c r="AG1294" s="179">
        <v>0.0</v>
      </c>
      <c r="AH1294" s="179">
        <v>0.0</v>
      </c>
      <c r="AI1294" s="179">
        <v>0.0</v>
      </c>
      <c r="AJ1294" s="179">
        <v>0.0</v>
      </c>
    </row>
    <row r="1295" ht="15.75" customHeight="1">
      <c r="A1295" s="200">
        <v>45772.0</v>
      </c>
      <c r="B1295" s="179" t="s">
        <v>771</v>
      </c>
      <c r="C1295" s="179" t="s">
        <v>936</v>
      </c>
      <c r="D1295" s="179" t="s">
        <v>773</v>
      </c>
      <c r="E1295" s="179" t="s">
        <v>459</v>
      </c>
      <c r="F1295" s="179" t="s">
        <v>774</v>
      </c>
      <c r="G1295" s="179" t="s">
        <v>775</v>
      </c>
      <c r="H1295" s="179" t="s">
        <v>1106</v>
      </c>
      <c r="I1295" s="179"/>
      <c r="J1295" s="179" t="s">
        <v>230</v>
      </c>
      <c r="K1295" s="179">
        <v>150.0</v>
      </c>
      <c r="L1295" s="179" t="s">
        <v>776</v>
      </c>
      <c r="M1295" s="179" t="s">
        <v>8</v>
      </c>
      <c r="N1295" s="179">
        <v>30634.0</v>
      </c>
      <c r="O1295" s="179">
        <v>56.0</v>
      </c>
      <c r="P1295" s="179">
        <v>0.0018</v>
      </c>
      <c r="Q1295" s="179">
        <v>1995.05</v>
      </c>
      <c r="R1295" s="179">
        <v>35.63</v>
      </c>
      <c r="S1295" s="179">
        <v>0.0</v>
      </c>
      <c r="T1295" s="179">
        <v>0.0</v>
      </c>
      <c r="U1295" s="179">
        <v>0.0</v>
      </c>
      <c r="V1295" s="179">
        <v>0.0</v>
      </c>
      <c r="W1295" s="179">
        <v>0.0</v>
      </c>
      <c r="X1295" s="179">
        <v>0.0</v>
      </c>
      <c r="Y1295" s="179">
        <v>0.0</v>
      </c>
      <c r="Z1295" s="179">
        <v>0.0</v>
      </c>
      <c r="AA1295" s="179">
        <v>0.0</v>
      </c>
      <c r="AB1295" s="179">
        <v>0.0</v>
      </c>
      <c r="AC1295" s="179">
        <v>0.0</v>
      </c>
      <c r="AD1295" s="179">
        <v>0.0</v>
      </c>
      <c r="AE1295" s="179">
        <v>0.0</v>
      </c>
      <c r="AF1295" s="179">
        <v>0.0</v>
      </c>
      <c r="AG1295" s="179">
        <v>0.0</v>
      </c>
      <c r="AH1295" s="179">
        <v>0.0</v>
      </c>
      <c r="AI1295" s="179">
        <v>0.0</v>
      </c>
      <c r="AJ1295" s="179">
        <v>0.0</v>
      </c>
    </row>
    <row r="1296" ht="15.75" customHeight="1">
      <c r="A1296" s="200">
        <v>45772.0</v>
      </c>
      <c r="B1296" s="179" t="s">
        <v>771</v>
      </c>
      <c r="C1296" s="179" t="s">
        <v>1164</v>
      </c>
      <c r="D1296" s="179" t="s">
        <v>773</v>
      </c>
      <c r="E1296" s="179" t="s">
        <v>459</v>
      </c>
      <c r="F1296" s="179" t="s">
        <v>774</v>
      </c>
      <c r="G1296" s="179" t="s">
        <v>775</v>
      </c>
      <c r="H1296" s="179" t="s">
        <v>1106</v>
      </c>
      <c r="I1296" s="179"/>
      <c r="J1296" s="179" t="s">
        <v>128</v>
      </c>
      <c r="K1296" s="179">
        <v>500.0</v>
      </c>
      <c r="L1296" s="179" t="s">
        <v>776</v>
      </c>
      <c r="M1296" s="179" t="s">
        <v>8</v>
      </c>
      <c r="N1296" s="179">
        <v>11974.0</v>
      </c>
      <c r="O1296" s="179">
        <v>67.0</v>
      </c>
      <c r="P1296" s="179">
        <v>0.0056</v>
      </c>
      <c r="Q1296" s="179">
        <v>1911.96</v>
      </c>
      <c r="R1296" s="179">
        <v>28.54</v>
      </c>
      <c r="S1296" s="179">
        <v>0.0</v>
      </c>
      <c r="T1296" s="179">
        <v>0.0</v>
      </c>
      <c r="U1296" s="179">
        <v>0.0</v>
      </c>
      <c r="V1296" s="179">
        <v>0.0</v>
      </c>
      <c r="W1296" s="179">
        <v>0.0</v>
      </c>
      <c r="X1296" s="179">
        <v>0.0</v>
      </c>
      <c r="Y1296" s="179">
        <v>0.0</v>
      </c>
      <c r="Z1296" s="179">
        <v>0.0</v>
      </c>
      <c r="AA1296" s="179">
        <v>0.0</v>
      </c>
      <c r="AB1296" s="179">
        <v>0.0</v>
      </c>
      <c r="AC1296" s="179">
        <v>0.0</v>
      </c>
      <c r="AD1296" s="179">
        <v>0.0</v>
      </c>
      <c r="AE1296" s="179">
        <v>0.0</v>
      </c>
      <c r="AF1296" s="179">
        <v>0.0</v>
      </c>
      <c r="AG1296" s="179">
        <v>0.0</v>
      </c>
      <c r="AH1296" s="179">
        <v>0.0</v>
      </c>
      <c r="AI1296" s="179">
        <v>0.0</v>
      </c>
      <c r="AJ1296" s="179">
        <v>0.0</v>
      </c>
    </row>
    <row r="1297" ht="15.75" customHeight="1">
      <c r="A1297" s="200">
        <v>45772.0</v>
      </c>
      <c r="B1297" s="179" t="s">
        <v>771</v>
      </c>
      <c r="C1297" s="179" t="s">
        <v>1155</v>
      </c>
      <c r="D1297" s="179" t="s">
        <v>773</v>
      </c>
      <c r="E1297" s="179" t="s">
        <v>459</v>
      </c>
      <c r="F1297" s="179" t="s">
        <v>774</v>
      </c>
      <c r="G1297" s="179" t="s">
        <v>775</v>
      </c>
      <c r="H1297" s="179" t="s">
        <v>1106</v>
      </c>
      <c r="I1297" s="179"/>
      <c r="J1297" s="179" t="s">
        <v>128</v>
      </c>
      <c r="K1297" s="179">
        <v>1000.0</v>
      </c>
      <c r="L1297" s="179" t="s">
        <v>776</v>
      </c>
      <c r="M1297" s="179" t="s">
        <v>8</v>
      </c>
      <c r="N1297" s="179">
        <v>10571.0</v>
      </c>
      <c r="O1297" s="179">
        <v>66.0</v>
      </c>
      <c r="P1297" s="179">
        <v>0.0062</v>
      </c>
      <c r="Q1297" s="179">
        <v>1894.08</v>
      </c>
      <c r="R1297" s="179">
        <v>28.7</v>
      </c>
      <c r="S1297" s="179">
        <v>0.0</v>
      </c>
      <c r="T1297" s="179">
        <v>2.0</v>
      </c>
      <c r="U1297" s="179">
        <v>44661.03</v>
      </c>
      <c r="V1297" s="179">
        <v>0.0424</v>
      </c>
      <c r="W1297" s="179">
        <v>23.5793</v>
      </c>
      <c r="X1297" s="179">
        <v>0.0</v>
      </c>
      <c r="Y1297" s="179">
        <v>0.0</v>
      </c>
      <c r="Z1297" s="179">
        <v>0.0</v>
      </c>
      <c r="AA1297" s="179">
        <v>0.0</v>
      </c>
      <c r="AB1297" s="179">
        <v>0.0</v>
      </c>
      <c r="AC1297" s="179">
        <v>0.0</v>
      </c>
      <c r="AD1297" s="179">
        <v>0.0</v>
      </c>
      <c r="AE1297" s="179">
        <v>0.0</v>
      </c>
      <c r="AF1297" s="179">
        <v>0.0</v>
      </c>
      <c r="AG1297" s="179">
        <v>0.0</v>
      </c>
      <c r="AH1297" s="179">
        <v>0.0</v>
      </c>
      <c r="AI1297" s="179">
        <v>0.0</v>
      </c>
      <c r="AJ1297" s="179">
        <v>0.0</v>
      </c>
    </row>
    <row r="1298" ht="15.75" customHeight="1">
      <c r="A1298" s="200">
        <v>45772.0</v>
      </c>
      <c r="B1298" s="179" t="s">
        <v>771</v>
      </c>
      <c r="C1298" s="179" t="s">
        <v>1265</v>
      </c>
      <c r="D1298" s="179" t="s">
        <v>773</v>
      </c>
      <c r="E1298" s="179" t="s">
        <v>460</v>
      </c>
      <c r="F1298" s="179" t="s">
        <v>778</v>
      </c>
      <c r="G1298" s="179" t="s">
        <v>775</v>
      </c>
      <c r="H1298" s="179" t="s">
        <v>1106</v>
      </c>
      <c r="I1298" s="179"/>
      <c r="J1298" s="179" t="s">
        <v>158</v>
      </c>
      <c r="K1298" s="179">
        <v>1000.0</v>
      </c>
      <c r="L1298" s="179" t="s">
        <v>776</v>
      </c>
      <c r="M1298" s="179" t="s">
        <v>8</v>
      </c>
      <c r="N1298" s="179">
        <v>56728.0</v>
      </c>
      <c r="O1298" s="179">
        <v>182.0</v>
      </c>
      <c r="P1298" s="179">
        <v>0.0032</v>
      </c>
      <c r="Q1298" s="179">
        <v>1872.26</v>
      </c>
      <c r="R1298" s="179">
        <v>10.29</v>
      </c>
      <c r="S1298" s="179">
        <v>0.0</v>
      </c>
      <c r="T1298" s="179">
        <v>5.0</v>
      </c>
      <c r="U1298" s="179">
        <v>13049.16</v>
      </c>
      <c r="V1298" s="179">
        <v>0.1435</v>
      </c>
      <c r="W1298" s="179">
        <v>6.9697</v>
      </c>
      <c r="X1298" s="179">
        <v>0.0</v>
      </c>
      <c r="Y1298" s="179">
        <v>0.0</v>
      </c>
      <c r="Z1298" s="179">
        <v>0.0</v>
      </c>
      <c r="AA1298" s="179">
        <v>0.0</v>
      </c>
      <c r="AB1298" s="179">
        <v>0.0</v>
      </c>
      <c r="AC1298" s="179">
        <v>0.0</v>
      </c>
      <c r="AD1298" s="179">
        <v>0.0</v>
      </c>
      <c r="AE1298" s="179">
        <v>0.0</v>
      </c>
      <c r="AF1298" s="179">
        <v>0.0</v>
      </c>
      <c r="AG1298" s="179">
        <v>0.0</v>
      </c>
      <c r="AH1298" s="179">
        <v>0.0</v>
      </c>
      <c r="AI1298" s="179">
        <v>0.0</v>
      </c>
      <c r="AJ1298" s="179">
        <v>0.0</v>
      </c>
    </row>
    <row r="1299" ht="15.75" customHeight="1">
      <c r="A1299" s="200">
        <v>45772.0</v>
      </c>
      <c r="B1299" s="179" t="s">
        <v>771</v>
      </c>
      <c r="C1299" s="179" t="s">
        <v>1147</v>
      </c>
      <c r="D1299" s="179" t="s">
        <v>773</v>
      </c>
      <c r="E1299" s="179" t="s">
        <v>459</v>
      </c>
      <c r="F1299" s="179" t="s">
        <v>774</v>
      </c>
      <c r="G1299" s="179" t="s">
        <v>775</v>
      </c>
      <c r="H1299" s="179" t="s">
        <v>1106</v>
      </c>
      <c r="I1299" s="179"/>
      <c r="J1299" s="179" t="s">
        <v>211</v>
      </c>
      <c r="K1299" s="179">
        <v>150.0</v>
      </c>
      <c r="L1299" s="179" t="s">
        <v>776</v>
      </c>
      <c r="M1299" s="179" t="s">
        <v>8</v>
      </c>
      <c r="N1299" s="179">
        <v>24075.0</v>
      </c>
      <c r="O1299" s="179">
        <v>270.0</v>
      </c>
      <c r="P1299" s="179">
        <v>0.0112</v>
      </c>
      <c r="Q1299" s="179">
        <v>1848.93</v>
      </c>
      <c r="R1299" s="179">
        <v>6.85</v>
      </c>
      <c r="S1299" s="179">
        <v>0.0</v>
      </c>
      <c r="T1299" s="179">
        <v>9.0</v>
      </c>
      <c r="U1299" s="179">
        <v>16265.25</v>
      </c>
      <c r="V1299" s="179">
        <v>0.1137</v>
      </c>
      <c r="W1299" s="179">
        <v>8.7971</v>
      </c>
      <c r="X1299" s="179">
        <v>0.0</v>
      </c>
      <c r="Y1299" s="179">
        <v>0.0</v>
      </c>
      <c r="Z1299" s="179">
        <v>0.0</v>
      </c>
      <c r="AA1299" s="179">
        <v>0.0</v>
      </c>
      <c r="AB1299" s="179">
        <v>0.0</v>
      </c>
      <c r="AC1299" s="179">
        <v>0.0</v>
      </c>
      <c r="AD1299" s="179">
        <v>0.0</v>
      </c>
      <c r="AE1299" s="179">
        <v>0.0</v>
      </c>
      <c r="AF1299" s="179">
        <v>0.0</v>
      </c>
      <c r="AG1299" s="179">
        <v>0.0</v>
      </c>
      <c r="AH1299" s="179">
        <v>0.0</v>
      </c>
      <c r="AI1299" s="179">
        <v>0.0</v>
      </c>
      <c r="AJ1299" s="179">
        <v>0.0</v>
      </c>
    </row>
    <row r="1300" ht="15.75" customHeight="1">
      <c r="A1300" s="200">
        <v>45772.0</v>
      </c>
      <c r="B1300" s="179" t="s">
        <v>771</v>
      </c>
      <c r="C1300" s="179" t="s">
        <v>1169</v>
      </c>
      <c r="D1300" s="179" t="s">
        <v>773</v>
      </c>
      <c r="E1300" s="179" t="s">
        <v>459</v>
      </c>
      <c r="F1300" s="179" t="s">
        <v>774</v>
      </c>
      <c r="G1300" s="179" t="s">
        <v>775</v>
      </c>
      <c r="H1300" s="179" t="s">
        <v>1106</v>
      </c>
      <c r="I1300" s="179"/>
      <c r="J1300" s="179" t="s">
        <v>429</v>
      </c>
      <c r="K1300" s="179">
        <v>300.0</v>
      </c>
      <c r="L1300" s="179" t="s">
        <v>776</v>
      </c>
      <c r="M1300" s="179" t="s">
        <v>8</v>
      </c>
      <c r="N1300" s="179">
        <v>20204.0</v>
      </c>
      <c r="O1300" s="179">
        <v>109.0</v>
      </c>
      <c r="P1300" s="179">
        <v>0.0054</v>
      </c>
      <c r="Q1300" s="179">
        <v>1805.89</v>
      </c>
      <c r="R1300" s="179">
        <v>16.57</v>
      </c>
      <c r="S1300" s="179">
        <v>0.0</v>
      </c>
      <c r="T1300" s="179">
        <v>0.0</v>
      </c>
      <c r="U1300" s="179">
        <v>0.0</v>
      </c>
      <c r="V1300" s="179">
        <v>0.0</v>
      </c>
      <c r="W1300" s="179">
        <v>0.0</v>
      </c>
      <c r="X1300" s="179">
        <v>0.0</v>
      </c>
      <c r="Y1300" s="179">
        <v>0.0</v>
      </c>
      <c r="Z1300" s="179">
        <v>0.0</v>
      </c>
      <c r="AA1300" s="179">
        <v>0.0</v>
      </c>
      <c r="AB1300" s="179">
        <v>0.0</v>
      </c>
      <c r="AC1300" s="179">
        <v>0.0</v>
      </c>
      <c r="AD1300" s="179">
        <v>0.0</v>
      </c>
      <c r="AE1300" s="179">
        <v>0.0</v>
      </c>
      <c r="AF1300" s="179">
        <v>0.0</v>
      </c>
      <c r="AG1300" s="179">
        <v>0.0</v>
      </c>
      <c r="AH1300" s="179">
        <v>0.0</v>
      </c>
      <c r="AI1300" s="179">
        <v>0.0</v>
      </c>
      <c r="AJ1300" s="179">
        <v>0.0</v>
      </c>
    </row>
    <row r="1301" ht="15.75" customHeight="1">
      <c r="A1301" s="200">
        <v>45772.0</v>
      </c>
      <c r="B1301" s="179" t="s">
        <v>771</v>
      </c>
      <c r="C1301" s="179" t="s">
        <v>916</v>
      </c>
      <c r="D1301" s="179" t="s">
        <v>773</v>
      </c>
      <c r="E1301" s="179" t="s">
        <v>459</v>
      </c>
      <c r="F1301" s="179" t="s">
        <v>774</v>
      </c>
      <c r="G1301" s="179" t="s">
        <v>775</v>
      </c>
      <c r="H1301" s="179" t="s">
        <v>1106</v>
      </c>
      <c r="I1301" s="179"/>
      <c r="J1301" s="179" t="s">
        <v>205</v>
      </c>
      <c r="K1301" s="179">
        <v>500.0</v>
      </c>
      <c r="L1301" s="179" t="s">
        <v>776</v>
      </c>
      <c r="M1301" s="179" t="s">
        <v>8</v>
      </c>
      <c r="N1301" s="179">
        <v>32450.0</v>
      </c>
      <c r="O1301" s="179">
        <v>39.0</v>
      </c>
      <c r="P1301" s="179">
        <v>0.0012</v>
      </c>
      <c r="Q1301" s="179">
        <v>1757.93</v>
      </c>
      <c r="R1301" s="179">
        <v>45.08</v>
      </c>
      <c r="S1301" s="179">
        <v>0.0</v>
      </c>
      <c r="T1301" s="179">
        <v>0.0</v>
      </c>
      <c r="U1301" s="179">
        <v>0.0</v>
      </c>
      <c r="V1301" s="179">
        <v>0.0</v>
      </c>
      <c r="W1301" s="179">
        <v>0.0</v>
      </c>
      <c r="X1301" s="179">
        <v>0.0</v>
      </c>
      <c r="Y1301" s="179">
        <v>0.0</v>
      </c>
      <c r="Z1301" s="179">
        <v>0.0</v>
      </c>
      <c r="AA1301" s="179">
        <v>0.0</v>
      </c>
      <c r="AB1301" s="179">
        <v>0.0</v>
      </c>
      <c r="AC1301" s="179">
        <v>0.0</v>
      </c>
      <c r="AD1301" s="179">
        <v>0.0</v>
      </c>
      <c r="AE1301" s="179">
        <v>0.0</v>
      </c>
      <c r="AF1301" s="179">
        <v>0.0</v>
      </c>
      <c r="AG1301" s="179">
        <v>0.0</v>
      </c>
      <c r="AH1301" s="179">
        <v>0.0</v>
      </c>
      <c r="AI1301" s="179">
        <v>0.0</v>
      </c>
      <c r="AJ1301" s="179">
        <v>0.0</v>
      </c>
    </row>
    <row r="1302" ht="15.75" customHeight="1">
      <c r="A1302" s="200">
        <v>45772.0</v>
      </c>
      <c r="B1302" s="179" t="s">
        <v>771</v>
      </c>
      <c r="C1302" s="179" t="s">
        <v>1214</v>
      </c>
      <c r="D1302" s="179" t="s">
        <v>773</v>
      </c>
      <c r="E1302" s="179" t="s">
        <v>459</v>
      </c>
      <c r="F1302" s="179" t="s">
        <v>774</v>
      </c>
      <c r="G1302" s="179" t="s">
        <v>775</v>
      </c>
      <c r="H1302" s="179" t="s">
        <v>1106</v>
      </c>
      <c r="I1302" s="179"/>
      <c r="J1302" s="179" t="s">
        <v>134</v>
      </c>
      <c r="K1302" s="179">
        <v>200.0</v>
      </c>
      <c r="L1302" s="179" t="s">
        <v>776</v>
      </c>
      <c r="M1302" s="179" t="s">
        <v>8</v>
      </c>
      <c r="N1302" s="179">
        <v>30777.0</v>
      </c>
      <c r="O1302" s="179">
        <v>54.0</v>
      </c>
      <c r="P1302" s="179">
        <v>0.0018</v>
      </c>
      <c r="Q1302" s="179">
        <v>1716.8</v>
      </c>
      <c r="R1302" s="179">
        <v>31.79</v>
      </c>
      <c r="S1302" s="179">
        <v>0.0</v>
      </c>
      <c r="T1302" s="179">
        <v>1.0</v>
      </c>
      <c r="U1302" s="179">
        <v>17381.36</v>
      </c>
      <c r="V1302" s="179">
        <v>0.0988</v>
      </c>
      <c r="W1302" s="179">
        <v>10.1243</v>
      </c>
      <c r="X1302" s="179">
        <v>0.0</v>
      </c>
      <c r="Y1302" s="179">
        <v>0.0</v>
      </c>
      <c r="Z1302" s="179">
        <v>0.0</v>
      </c>
      <c r="AA1302" s="179">
        <v>0.0</v>
      </c>
      <c r="AB1302" s="179">
        <v>0.0</v>
      </c>
      <c r="AC1302" s="179">
        <v>0.0</v>
      </c>
      <c r="AD1302" s="179">
        <v>0.0</v>
      </c>
      <c r="AE1302" s="179">
        <v>0.0</v>
      </c>
      <c r="AF1302" s="179">
        <v>0.0</v>
      </c>
      <c r="AG1302" s="179">
        <v>0.0</v>
      </c>
      <c r="AH1302" s="179">
        <v>0.0</v>
      </c>
      <c r="AI1302" s="179">
        <v>0.0</v>
      </c>
      <c r="AJ1302" s="179">
        <v>0.0</v>
      </c>
    </row>
    <row r="1303" ht="15.75" customHeight="1">
      <c r="A1303" s="200">
        <v>45772.0</v>
      </c>
      <c r="B1303" s="179" t="s">
        <v>771</v>
      </c>
      <c r="C1303" s="179" t="s">
        <v>1117</v>
      </c>
      <c r="D1303" s="179" t="s">
        <v>773</v>
      </c>
      <c r="E1303" s="179" t="s">
        <v>459</v>
      </c>
      <c r="F1303" s="179" t="s">
        <v>774</v>
      </c>
      <c r="G1303" s="179" t="s">
        <v>775</v>
      </c>
      <c r="H1303" s="179" t="s">
        <v>1106</v>
      </c>
      <c r="I1303" s="179"/>
      <c r="J1303" s="179" t="s">
        <v>230</v>
      </c>
      <c r="K1303" s="179">
        <v>200.0</v>
      </c>
      <c r="L1303" s="195">
        <v>0.0901</v>
      </c>
      <c r="M1303" s="179" t="s">
        <v>8</v>
      </c>
      <c r="N1303" s="179">
        <v>12348.0</v>
      </c>
      <c r="O1303" s="179">
        <v>28.0</v>
      </c>
      <c r="P1303" s="179">
        <v>0.0023</v>
      </c>
      <c r="Q1303" s="179">
        <v>1652.44</v>
      </c>
      <c r="R1303" s="179">
        <v>59.02</v>
      </c>
      <c r="S1303" s="179">
        <v>0.0</v>
      </c>
      <c r="T1303" s="179">
        <v>0.0</v>
      </c>
      <c r="U1303" s="179">
        <v>0.0</v>
      </c>
      <c r="V1303" s="179">
        <v>0.0</v>
      </c>
      <c r="W1303" s="179">
        <v>0.0</v>
      </c>
      <c r="X1303" s="179">
        <v>0.0</v>
      </c>
      <c r="Y1303" s="179">
        <v>0.0</v>
      </c>
      <c r="Z1303" s="179">
        <v>0.0</v>
      </c>
      <c r="AA1303" s="179">
        <v>0.0</v>
      </c>
      <c r="AB1303" s="179">
        <v>0.0</v>
      </c>
      <c r="AC1303" s="179">
        <v>0.0</v>
      </c>
      <c r="AD1303" s="179">
        <v>0.0</v>
      </c>
      <c r="AE1303" s="179">
        <v>0.0</v>
      </c>
      <c r="AF1303" s="179">
        <v>0.0</v>
      </c>
      <c r="AG1303" s="179">
        <v>0.0</v>
      </c>
      <c r="AH1303" s="179">
        <v>0.0</v>
      </c>
      <c r="AI1303" s="179">
        <v>0.0</v>
      </c>
      <c r="AJ1303" s="179">
        <v>0.0</v>
      </c>
    </row>
    <row r="1304" ht="15.75" customHeight="1">
      <c r="A1304" s="200">
        <v>45772.0</v>
      </c>
      <c r="B1304" s="179" t="s">
        <v>771</v>
      </c>
      <c r="C1304" s="179" t="s">
        <v>1171</v>
      </c>
      <c r="D1304" s="179" t="s">
        <v>773</v>
      </c>
      <c r="E1304" s="179" t="s">
        <v>459</v>
      </c>
      <c r="F1304" s="179" t="s">
        <v>774</v>
      </c>
      <c r="G1304" s="179" t="s">
        <v>775</v>
      </c>
      <c r="H1304" s="179" t="s">
        <v>1106</v>
      </c>
      <c r="I1304" s="179"/>
      <c r="J1304" s="179" t="s">
        <v>429</v>
      </c>
      <c r="K1304" s="179">
        <v>300.0</v>
      </c>
      <c r="L1304" s="179" t="s">
        <v>776</v>
      </c>
      <c r="M1304" s="179" t="s">
        <v>8</v>
      </c>
      <c r="N1304" s="179">
        <v>5931.0</v>
      </c>
      <c r="O1304" s="179">
        <v>43.0</v>
      </c>
      <c r="P1304" s="179">
        <v>0.0073</v>
      </c>
      <c r="Q1304" s="179">
        <v>1617.67</v>
      </c>
      <c r="R1304" s="179">
        <v>37.62</v>
      </c>
      <c r="S1304" s="179">
        <v>0.0</v>
      </c>
      <c r="T1304" s="179">
        <v>0.0</v>
      </c>
      <c r="U1304" s="179">
        <v>0.0</v>
      </c>
      <c r="V1304" s="179">
        <v>0.0</v>
      </c>
      <c r="W1304" s="179">
        <v>0.0</v>
      </c>
      <c r="X1304" s="179">
        <v>0.0</v>
      </c>
      <c r="Y1304" s="179">
        <v>0.0</v>
      </c>
      <c r="Z1304" s="179">
        <v>0.0</v>
      </c>
      <c r="AA1304" s="179">
        <v>0.0</v>
      </c>
      <c r="AB1304" s="179">
        <v>0.0</v>
      </c>
      <c r="AC1304" s="179">
        <v>0.0</v>
      </c>
      <c r="AD1304" s="179">
        <v>0.0</v>
      </c>
      <c r="AE1304" s="179">
        <v>0.0</v>
      </c>
      <c r="AF1304" s="179">
        <v>0.0</v>
      </c>
      <c r="AG1304" s="179">
        <v>0.0</v>
      </c>
      <c r="AH1304" s="179">
        <v>0.0</v>
      </c>
      <c r="AI1304" s="179">
        <v>0.0</v>
      </c>
      <c r="AJ1304" s="179">
        <v>0.0</v>
      </c>
    </row>
    <row r="1305" ht="15.75" customHeight="1">
      <c r="A1305" s="200">
        <v>45772.0</v>
      </c>
      <c r="B1305" s="179" t="s">
        <v>771</v>
      </c>
      <c r="C1305" s="179" t="s">
        <v>1207</v>
      </c>
      <c r="D1305" s="179" t="s">
        <v>773</v>
      </c>
      <c r="E1305" s="179" t="s">
        <v>459</v>
      </c>
      <c r="F1305" s="179" t="s">
        <v>774</v>
      </c>
      <c r="G1305" s="179" t="s">
        <v>775</v>
      </c>
      <c r="H1305" s="179" t="s">
        <v>1106</v>
      </c>
      <c r="I1305" s="179"/>
      <c r="J1305" s="179" t="s">
        <v>134</v>
      </c>
      <c r="K1305" s="179">
        <v>200.0</v>
      </c>
      <c r="L1305" s="179" t="s">
        <v>776</v>
      </c>
      <c r="M1305" s="179" t="s">
        <v>8</v>
      </c>
      <c r="N1305" s="179">
        <v>30628.0</v>
      </c>
      <c r="O1305" s="179">
        <v>44.0</v>
      </c>
      <c r="P1305" s="179">
        <v>0.0014</v>
      </c>
      <c r="Q1305" s="179">
        <v>1616.8</v>
      </c>
      <c r="R1305" s="179">
        <v>36.75</v>
      </c>
      <c r="S1305" s="179">
        <v>0.0</v>
      </c>
      <c r="T1305" s="179">
        <v>0.0</v>
      </c>
      <c r="U1305" s="179">
        <v>0.0</v>
      </c>
      <c r="V1305" s="179">
        <v>0.0</v>
      </c>
      <c r="W1305" s="179">
        <v>0.0</v>
      </c>
      <c r="X1305" s="179">
        <v>0.0</v>
      </c>
      <c r="Y1305" s="179">
        <v>0.0</v>
      </c>
      <c r="Z1305" s="179">
        <v>0.0</v>
      </c>
      <c r="AA1305" s="179">
        <v>0.0</v>
      </c>
      <c r="AB1305" s="179">
        <v>0.0</v>
      </c>
      <c r="AC1305" s="179">
        <v>0.0</v>
      </c>
      <c r="AD1305" s="179">
        <v>0.0</v>
      </c>
      <c r="AE1305" s="179">
        <v>0.0</v>
      </c>
      <c r="AF1305" s="179">
        <v>0.0</v>
      </c>
      <c r="AG1305" s="179">
        <v>0.0</v>
      </c>
      <c r="AH1305" s="179">
        <v>0.0</v>
      </c>
      <c r="AI1305" s="179">
        <v>0.0</v>
      </c>
      <c r="AJ1305" s="179">
        <v>0.0</v>
      </c>
    </row>
    <row r="1306" ht="15.75" customHeight="1">
      <c r="A1306" s="200">
        <v>45772.0</v>
      </c>
      <c r="B1306" s="179" t="s">
        <v>771</v>
      </c>
      <c r="C1306" s="179" t="s">
        <v>1308</v>
      </c>
      <c r="D1306" s="179" t="s">
        <v>773</v>
      </c>
      <c r="E1306" s="179" t="s">
        <v>459</v>
      </c>
      <c r="F1306" s="179" t="s">
        <v>774</v>
      </c>
      <c r="G1306" s="179" t="s">
        <v>783</v>
      </c>
      <c r="H1306" s="179" t="s">
        <v>1106</v>
      </c>
      <c r="I1306" s="179"/>
      <c r="J1306" s="179" t="s">
        <v>90</v>
      </c>
      <c r="K1306" s="179">
        <v>500.0</v>
      </c>
      <c r="L1306" s="195">
        <v>0.1265</v>
      </c>
      <c r="M1306" s="179" t="s">
        <v>8</v>
      </c>
      <c r="N1306" s="179">
        <v>48554.0</v>
      </c>
      <c r="O1306" s="179">
        <v>75.0</v>
      </c>
      <c r="P1306" s="179">
        <v>0.0015</v>
      </c>
      <c r="Q1306" s="179">
        <v>1546.98</v>
      </c>
      <c r="R1306" s="179">
        <v>20.63</v>
      </c>
      <c r="S1306" s="179">
        <v>0.0</v>
      </c>
      <c r="T1306" s="179">
        <v>0.0</v>
      </c>
      <c r="U1306" s="179">
        <v>0.0</v>
      </c>
      <c r="V1306" s="179">
        <v>0.0</v>
      </c>
      <c r="W1306" s="179">
        <v>0.0</v>
      </c>
      <c r="X1306" s="179">
        <v>0.0</v>
      </c>
      <c r="Y1306" s="179">
        <v>0.0</v>
      </c>
      <c r="Z1306" s="179">
        <v>0.0</v>
      </c>
      <c r="AA1306" s="179">
        <v>0.0</v>
      </c>
      <c r="AB1306" s="179">
        <v>0.0</v>
      </c>
      <c r="AC1306" s="179">
        <v>0.0</v>
      </c>
      <c r="AD1306" s="179">
        <v>0.0</v>
      </c>
      <c r="AE1306" s="179">
        <v>0.0</v>
      </c>
      <c r="AF1306" s="179">
        <v>0.0</v>
      </c>
      <c r="AG1306" s="179">
        <v>0.0</v>
      </c>
      <c r="AH1306" s="179">
        <v>0.0</v>
      </c>
      <c r="AI1306" s="179">
        <v>0.0</v>
      </c>
      <c r="AJ1306" s="179">
        <v>0.0</v>
      </c>
    </row>
    <row r="1307" ht="15.75" customHeight="1">
      <c r="A1307" s="200">
        <v>45772.0</v>
      </c>
      <c r="B1307" s="179" t="s">
        <v>771</v>
      </c>
      <c r="C1307" s="179" t="s">
        <v>1309</v>
      </c>
      <c r="D1307" s="179" t="s">
        <v>773</v>
      </c>
      <c r="E1307" s="179" t="s">
        <v>463</v>
      </c>
      <c r="F1307" s="179" t="s">
        <v>774</v>
      </c>
      <c r="G1307" s="179"/>
      <c r="H1307" s="179" t="s">
        <v>1106</v>
      </c>
      <c r="I1307" s="179"/>
      <c r="J1307" s="179" t="s">
        <v>413</v>
      </c>
      <c r="K1307" s="179">
        <v>200.0</v>
      </c>
      <c r="L1307" s="179"/>
      <c r="M1307" s="179" t="s">
        <v>8</v>
      </c>
      <c r="N1307" s="179">
        <v>62255.0</v>
      </c>
      <c r="O1307" s="179">
        <v>997.0</v>
      </c>
      <c r="P1307" s="179">
        <v>0.016</v>
      </c>
      <c r="Q1307" s="179">
        <v>1475.15</v>
      </c>
      <c r="R1307" s="179">
        <v>1.48</v>
      </c>
      <c r="S1307" s="179">
        <v>1176.0</v>
      </c>
      <c r="T1307" s="179">
        <v>0.0</v>
      </c>
      <c r="U1307" s="179">
        <v>0.0</v>
      </c>
      <c r="V1307" s="179">
        <v>0.0</v>
      </c>
      <c r="W1307" s="179">
        <v>0.0</v>
      </c>
      <c r="X1307" s="179">
        <v>0.0</v>
      </c>
      <c r="Y1307" s="179">
        <v>0.0</v>
      </c>
      <c r="Z1307" s="179">
        <v>0.0</v>
      </c>
      <c r="AA1307" s="179">
        <v>0.0</v>
      </c>
      <c r="AB1307" s="179">
        <v>45750.0</v>
      </c>
      <c r="AC1307" s="179">
        <v>32.24</v>
      </c>
      <c r="AD1307" s="179">
        <v>39148.0</v>
      </c>
      <c r="AE1307" s="179">
        <v>29829.0</v>
      </c>
      <c r="AF1307" s="179">
        <v>20156.0</v>
      </c>
      <c r="AG1307" s="179">
        <v>8717.0</v>
      </c>
      <c r="AH1307" s="179">
        <v>238.0</v>
      </c>
      <c r="AI1307" s="179">
        <v>0.7349</v>
      </c>
      <c r="AJ1307" s="179">
        <v>0.0218</v>
      </c>
    </row>
    <row r="1308" ht="15.75" customHeight="1">
      <c r="A1308" s="200">
        <v>45772.0</v>
      </c>
      <c r="B1308" s="179" t="s">
        <v>771</v>
      </c>
      <c r="C1308" s="179" t="s">
        <v>1013</v>
      </c>
      <c r="D1308" s="179" t="s">
        <v>773</v>
      </c>
      <c r="E1308" s="179" t="s">
        <v>459</v>
      </c>
      <c r="F1308" s="179" t="s">
        <v>774</v>
      </c>
      <c r="G1308" s="179" t="s">
        <v>775</v>
      </c>
      <c r="H1308" s="179" t="s">
        <v>1106</v>
      </c>
      <c r="I1308" s="179"/>
      <c r="J1308" s="179" t="s">
        <v>158</v>
      </c>
      <c r="K1308" s="179">
        <v>500.0</v>
      </c>
      <c r="L1308" s="179" t="s">
        <v>776</v>
      </c>
      <c r="M1308" s="179" t="s">
        <v>8</v>
      </c>
      <c r="N1308" s="179">
        <v>26190.0</v>
      </c>
      <c r="O1308" s="179">
        <v>222.0</v>
      </c>
      <c r="P1308" s="179">
        <v>0.0085</v>
      </c>
      <c r="Q1308" s="179">
        <v>1266.19</v>
      </c>
      <c r="R1308" s="179">
        <v>5.7</v>
      </c>
      <c r="S1308" s="179">
        <v>0.0</v>
      </c>
      <c r="T1308" s="179">
        <v>2.0</v>
      </c>
      <c r="U1308" s="179">
        <v>11169.49</v>
      </c>
      <c r="V1308" s="179">
        <v>0.1134</v>
      </c>
      <c r="W1308" s="179">
        <v>8.8213</v>
      </c>
      <c r="X1308" s="179">
        <v>0.0</v>
      </c>
      <c r="Y1308" s="179">
        <v>0.0</v>
      </c>
      <c r="Z1308" s="179">
        <v>0.0</v>
      </c>
      <c r="AA1308" s="179">
        <v>0.0</v>
      </c>
      <c r="AB1308" s="179">
        <v>0.0</v>
      </c>
      <c r="AC1308" s="179">
        <v>0.0</v>
      </c>
      <c r="AD1308" s="179">
        <v>0.0</v>
      </c>
      <c r="AE1308" s="179">
        <v>0.0</v>
      </c>
      <c r="AF1308" s="179">
        <v>0.0</v>
      </c>
      <c r="AG1308" s="179">
        <v>0.0</v>
      </c>
      <c r="AH1308" s="179">
        <v>0.0</v>
      </c>
      <c r="AI1308" s="179">
        <v>0.0</v>
      </c>
      <c r="AJ1308" s="179">
        <v>0.0</v>
      </c>
    </row>
    <row r="1309" ht="15.75" customHeight="1">
      <c r="A1309" s="200">
        <v>45772.0</v>
      </c>
      <c r="B1309" s="179" t="s">
        <v>771</v>
      </c>
      <c r="C1309" s="179" t="s">
        <v>906</v>
      </c>
      <c r="D1309" s="179" t="s">
        <v>773</v>
      </c>
      <c r="E1309" s="179" t="s">
        <v>459</v>
      </c>
      <c r="F1309" s="179" t="s">
        <v>774</v>
      </c>
      <c r="G1309" s="179" t="s">
        <v>775</v>
      </c>
      <c r="H1309" s="179" t="s">
        <v>1106</v>
      </c>
      <c r="I1309" s="179"/>
      <c r="J1309" s="179" t="s">
        <v>152</v>
      </c>
      <c r="K1309" s="179">
        <v>500.0</v>
      </c>
      <c r="L1309" s="179" t="s">
        <v>776</v>
      </c>
      <c r="M1309" s="179" t="s">
        <v>8</v>
      </c>
      <c r="N1309" s="179">
        <v>7139.0</v>
      </c>
      <c r="O1309" s="179">
        <v>35.0</v>
      </c>
      <c r="P1309" s="179">
        <v>0.0049</v>
      </c>
      <c r="Q1309" s="179">
        <v>1247.33</v>
      </c>
      <c r="R1309" s="179">
        <v>35.64</v>
      </c>
      <c r="S1309" s="179">
        <v>0.0</v>
      </c>
      <c r="T1309" s="179">
        <v>0.0</v>
      </c>
      <c r="U1309" s="179">
        <v>0.0</v>
      </c>
      <c r="V1309" s="179">
        <v>0.0</v>
      </c>
      <c r="W1309" s="179">
        <v>0.0</v>
      </c>
      <c r="X1309" s="179">
        <v>0.0</v>
      </c>
      <c r="Y1309" s="179">
        <v>0.0</v>
      </c>
      <c r="Z1309" s="179">
        <v>0.0</v>
      </c>
      <c r="AA1309" s="179">
        <v>0.0</v>
      </c>
      <c r="AB1309" s="179">
        <v>0.0</v>
      </c>
      <c r="AC1309" s="179">
        <v>0.0</v>
      </c>
      <c r="AD1309" s="179">
        <v>0.0</v>
      </c>
      <c r="AE1309" s="179">
        <v>0.0</v>
      </c>
      <c r="AF1309" s="179">
        <v>0.0</v>
      </c>
      <c r="AG1309" s="179">
        <v>0.0</v>
      </c>
      <c r="AH1309" s="179">
        <v>0.0</v>
      </c>
      <c r="AI1309" s="179">
        <v>0.0</v>
      </c>
      <c r="AJ1309" s="179">
        <v>0.0</v>
      </c>
    </row>
    <row r="1310" ht="15.75" customHeight="1">
      <c r="A1310" s="200">
        <v>45772.0</v>
      </c>
      <c r="B1310" s="179" t="s">
        <v>771</v>
      </c>
      <c r="C1310" s="179" t="s">
        <v>1311</v>
      </c>
      <c r="D1310" s="179" t="s">
        <v>773</v>
      </c>
      <c r="E1310" s="179" t="s">
        <v>463</v>
      </c>
      <c r="F1310" s="179" t="s">
        <v>774</v>
      </c>
      <c r="G1310" s="179"/>
      <c r="H1310" s="179" t="s">
        <v>1106</v>
      </c>
      <c r="I1310" s="179"/>
      <c r="J1310" s="179" t="s">
        <v>413</v>
      </c>
      <c r="K1310" s="179">
        <v>190.0</v>
      </c>
      <c r="L1310" s="179"/>
      <c r="M1310" s="179" t="s">
        <v>8</v>
      </c>
      <c r="N1310" s="179">
        <v>32521.0</v>
      </c>
      <c r="O1310" s="179">
        <v>362.0</v>
      </c>
      <c r="P1310" s="179">
        <v>0.0111</v>
      </c>
      <c r="Q1310" s="179">
        <v>1241.09</v>
      </c>
      <c r="R1310" s="179">
        <v>3.43</v>
      </c>
      <c r="S1310" s="179">
        <v>400.0</v>
      </c>
      <c r="T1310" s="179">
        <v>0.0</v>
      </c>
      <c r="U1310" s="179">
        <v>0.0</v>
      </c>
      <c r="V1310" s="179">
        <v>0.0</v>
      </c>
      <c r="W1310" s="179">
        <v>0.0</v>
      </c>
      <c r="X1310" s="179">
        <v>0.0</v>
      </c>
      <c r="Y1310" s="179">
        <v>0.0</v>
      </c>
      <c r="Z1310" s="179">
        <v>0.0</v>
      </c>
      <c r="AA1310" s="179">
        <v>0.0</v>
      </c>
      <c r="AB1310" s="179">
        <v>22760.0</v>
      </c>
      <c r="AC1310" s="179">
        <v>54.53</v>
      </c>
      <c r="AD1310" s="179">
        <v>19387.0</v>
      </c>
      <c r="AE1310" s="179">
        <v>14518.0</v>
      </c>
      <c r="AF1310" s="179">
        <v>9093.0</v>
      </c>
      <c r="AG1310" s="179">
        <v>5014.0</v>
      </c>
      <c r="AH1310" s="179">
        <v>102.0</v>
      </c>
      <c r="AI1310" s="179">
        <v>0.6999</v>
      </c>
      <c r="AJ1310" s="179">
        <v>0.0159</v>
      </c>
    </row>
    <row r="1311" ht="15.75" customHeight="1">
      <c r="A1311" s="200">
        <v>45772.0</v>
      </c>
      <c r="B1311" s="179" t="s">
        <v>771</v>
      </c>
      <c r="C1311" s="179" t="s">
        <v>959</v>
      </c>
      <c r="D1311" s="179" t="s">
        <v>773</v>
      </c>
      <c r="E1311" s="179" t="s">
        <v>459</v>
      </c>
      <c r="F1311" s="179" t="s">
        <v>774</v>
      </c>
      <c r="G1311" s="179" t="s">
        <v>775</v>
      </c>
      <c r="H1311" s="179" t="s">
        <v>1106</v>
      </c>
      <c r="I1311" s="179"/>
      <c r="J1311" s="179" t="s">
        <v>140</v>
      </c>
      <c r="K1311" s="179">
        <v>1000.0</v>
      </c>
      <c r="L1311" s="195">
        <v>0.2715</v>
      </c>
      <c r="M1311" s="179" t="s">
        <v>8</v>
      </c>
      <c r="N1311" s="179">
        <v>1422.0</v>
      </c>
      <c r="O1311" s="179">
        <v>15.0</v>
      </c>
      <c r="P1311" s="179">
        <v>0.0105</v>
      </c>
      <c r="Q1311" s="179">
        <v>1224.39</v>
      </c>
      <c r="R1311" s="179">
        <v>81.63</v>
      </c>
      <c r="S1311" s="179">
        <v>0.0</v>
      </c>
      <c r="T1311" s="179">
        <v>0.0</v>
      </c>
      <c r="U1311" s="179">
        <v>0.0</v>
      </c>
      <c r="V1311" s="179">
        <v>0.0</v>
      </c>
      <c r="W1311" s="179">
        <v>0.0</v>
      </c>
      <c r="X1311" s="179">
        <v>0.0</v>
      </c>
      <c r="Y1311" s="179">
        <v>0.0</v>
      </c>
      <c r="Z1311" s="179">
        <v>0.0</v>
      </c>
      <c r="AA1311" s="179">
        <v>0.0</v>
      </c>
      <c r="AB1311" s="179">
        <v>0.0</v>
      </c>
      <c r="AC1311" s="179">
        <v>0.0</v>
      </c>
      <c r="AD1311" s="179">
        <v>0.0</v>
      </c>
      <c r="AE1311" s="179">
        <v>0.0</v>
      </c>
      <c r="AF1311" s="179">
        <v>0.0</v>
      </c>
      <c r="AG1311" s="179">
        <v>0.0</v>
      </c>
      <c r="AH1311" s="179">
        <v>0.0</v>
      </c>
      <c r="AI1311" s="179">
        <v>0.0</v>
      </c>
      <c r="AJ1311" s="179">
        <v>0.0</v>
      </c>
    </row>
    <row r="1312" ht="15.75" customHeight="1">
      <c r="A1312" s="200">
        <v>45772.0</v>
      </c>
      <c r="B1312" s="179" t="s">
        <v>771</v>
      </c>
      <c r="C1312" s="179" t="s">
        <v>1312</v>
      </c>
      <c r="D1312" s="179" t="s">
        <v>773</v>
      </c>
      <c r="E1312" s="179" t="s">
        <v>463</v>
      </c>
      <c r="F1312" s="179" t="s">
        <v>774</v>
      </c>
      <c r="G1312" s="179"/>
      <c r="H1312" s="179" t="s">
        <v>1106</v>
      </c>
      <c r="I1312" s="179"/>
      <c r="J1312" s="179" t="s">
        <v>413</v>
      </c>
      <c r="K1312" s="179">
        <v>190.0</v>
      </c>
      <c r="L1312" s="179"/>
      <c r="M1312" s="179" t="s">
        <v>8</v>
      </c>
      <c r="N1312" s="179">
        <v>36609.0</v>
      </c>
      <c r="O1312" s="179">
        <v>401.0</v>
      </c>
      <c r="P1312" s="179">
        <v>0.011</v>
      </c>
      <c r="Q1312" s="179">
        <v>1201.45</v>
      </c>
      <c r="R1312" s="179">
        <v>3.0</v>
      </c>
      <c r="S1312" s="179">
        <v>455.0</v>
      </c>
      <c r="T1312" s="179">
        <v>0.0</v>
      </c>
      <c r="U1312" s="179">
        <v>0.0</v>
      </c>
      <c r="V1312" s="179">
        <v>0.0</v>
      </c>
      <c r="W1312" s="179">
        <v>0.0</v>
      </c>
      <c r="X1312" s="179">
        <v>0.0</v>
      </c>
      <c r="Y1312" s="179">
        <v>0.0</v>
      </c>
      <c r="Z1312" s="179">
        <v>0.0</v>
      </c>
      <c r="AA1312" s="179">
        <v>0.0</v>
      </c>
      <c r="AB1312" s="179">
        <v>25692.0</v>
      </c>
      <c r="AC1312" s="179">
        <v>46.76</v>
      </c>
      <c r="AD1312" s="179">
        <v>21320.0</v>
      </c>
      <c r="AE1312" s="179">
        <v>15471.0</v>
      </c>
      <c r="AF1312" s="179">
        <v>9847.0</v>
      </c>
      <c r="AG1312" s="179">
        <v>4707.0</v>
      </c>
      <c r="AH1312" s="179">
        <v>115.0</v>
      </c>
      <c r="AI1312" s="179">
        <v>0.7018</v>
      </c>
      <c r="AJ1312" s="179">
        <v>0.0156</v>
      </c>
    </row>
    <row r="1313" ht="15.75" customHeight="1">
      <c r="A1313" s="200">
        <v>45772.0</v>
      </c>
      <c r="B1313" s="179" t="s">
        <v>771</v>
      </c>
      <c r="C1313" s="179" t="s">
        <v>921</v>
      </c>
      <c r="D1313" s="179" t="s">
        <v>773</v>
      </c>
      <c r="E1313" s="179" t="s">
        <v>459</v>
      </c>
      <c r="F1313" s="179" t="s">
        <v>774</v>
      </c>
      <c r="G1313" s="179" t="s">
        <v>775</v>
      </c>
      <c r="H1313" s="179" t="s">
        <v>1106</v>
      </c>
      <c r="I1313" s="179"/>
      <c r="J1313" s="179" t="s">
        <v>205</v>
      </c>
      <c r="K1313" s="179">
        <v>500.0</v>
      </c>
      <c r="L1313" s="195">
        <v>0.125</v>
      </c>
      <c r="M1313" s="179" t="s">
        <v>8</v>
      </c>
      <c r="N1313" s="179">
        <v>12158.0</v>
      </c>
      <c r="O1313" s="179">
        <v>26.0</v>
      </c>
      <c r="P1313" s="179">
        <v>0.0021</v>
      </c>
      <c r="Q1313" s="179">
        <v>1170.9</v>
      </c>
      <c r="R1313" s="179">
        <v>45.03</v>
      </c>
      <c r="S1313" s="179">
        <v>0.0</v>
      </c>
      <c r="T1313" s="179">
        <v>0.0</v>
      </c>
      <c r="U1313" s="179">
        <v>0.0</v>
      </c>
      <c r="V1313" s="179">
        <v>0.0</v>
      </c>
      <c r="W1313" s="179">
        <v>0.0</v>
      </c>
      <c r="X1313" s="179">
        <v>0.0</v>
      </c>
      <c r="Y1313" s="179">
        <v>0.0</v>
      </c>
      <c r="Z1313" s="179">
        <v>0.0</v>
      </c>
      <c r="AA1313" s="179">
        <v>0.0</v>
      </c>
      <c r="AB1313" s="179">
        <v>0.0</v>
      </c>
      <c r="AC1313" s="179">
        <v>0.0</v>
      </c>
      <c r="AD1313" s="179">
        <v>0.0</v>
      </c>
      <c r="AE1313" s="179">
        <v>0.0</v>
      </c>
      <c r="AF1313" s="179">
        <v>0.0</v>
      </c>
      <c r="AG1313" s="179">
        <v>0.0</v>
      </c>
      <c r="AH1313" s="179">
        <v>0.0</v>
      </c>
      <c r="AI1313" s="179">
        <v>0.0</v>
      </c>
      <c r="AJ1313" s="179">
        <v>0.0</v>
      </c>
    </row>
    <row r="1314" ht="15.75" customHeight="1">
      <c r="A1314" s="200">
        <v>45772.0</v>
      </c>
      <c r="B1314" s="179" t="s">
        <v>771</v>
      </c>
      <c r="C1314" s="179" t="s">
        <v>1167</v>
      </c>
      <c r="D1314" s="179" t="s">
        <v>773</v>
      </c>
      <c r="E1314" s="179" t="s">
        <v>459</v>
      </c>
      <c r="F1314" s="179" t="s">
        <v>774</v>
      </c>
      <c r="G1314" s="179" t="s">
        <v>775</v>
      </c>
      <c r="H1314" s="179" t="s">
        <v>1106</v>
      </c>
      <c r="I1314" s="179"/>
      <c r="J1314" s="179" t="s">
        <v>182</v>
      </c>
      <c r="K1314" s="179">
        <v>1000.0</v>
      </c>
      <c r="L1314" s="179" t="s">
        <v>776</v>
      </c>
      <c r="M1314" s="179" t="s">
        <v>8</v>
      </c>
      <c r="N1314" s="179">
        <v>30504.0</v>
      </c>
      <c r="O1314" s="179">
        <v>30.0</v>
      </c>
      <c r="P1314" s="179">
        <v>0.001</v>
      </c>
      <c r="Q1314" s="179">
        <v>1152.98</v>
      </c>
      <c r="R1314" s="179">
        <v>38.43</v>
      </c>
      <c r="S1314" s="179">
        <v>0.0</v>
      </c>
      <c r="T1314" s="179">
        <v>0.0</v>
      </c>
      <c r="U1314" s="179">
        <v>0.0</v>
      </c>
      <c r="V1314" s="179">
        <v>0.0</v>
      </c>
      <c r="W1314" s="179">
        <v>0.0</v>
      </c>
      <c r="X1314" s="179">
        <v>0.0</v>
      </c>
      <c r="Y1314" s="179">
        <v>0.0</v>
      </c>
      <c r="Z1314" s="179">
        <v>0.0</v>
      </c>
      <c r="AA1314" s="179">
        <v>0.0</v>
      </c>
      <c r="AB1314" s="179">
        <v>0.0</v>
      </c>
      <c r="AC1314" s="179">
        <v>0.0</v>
      </c>
      <c r="AD1314" s="179">
        <v>0.0</v>
      </c>
      <c r="AE1314" s="179">
        <v>0.0</v>
      </c>
      <c r="AF1314" s="179">
        <v>0.0</v>
      </c>
      <c r="AG1314" s="179">
        <v>0.0</v>
      </c>
      <c r="AH1314" s="179">
        <v>0.0</v>
      </c>
      <c r="AI1314" s="179">
        <v>0.0</v>
      </c>
      <c r="AJ1314" s="179">
        <v>0.0</v>
      </c>
    </row>
    <row r="1315" ht="15.75" customHeight="1">
      <c r="A1315" s="200">
        <v>45772.0</v>
      </c>
      <c r="B1315" s="179" t="s">
        <v>771</v>
      </c>
      <c r="C1315" s="179" t="s">
        <v>1314</v>
      </c>
      <c r="D1315" s="179" t="s">
        <v>773</v>
      </c>
      <c r="E1315" s="179" t="s">
        <v>463</v>
      </c>
      <c r="F1315" s="179" t="s">
        <v>774</v>
      </c>
      <c r="G1315" s="179"/>
      <c r="H1315" s="179" t="s">
        <v>1106</v>
      </c>
      <c r="I1315" s="179"/>
      <c r="J1315" s="179" t="s">
        <v>413</v>
      </c>
      <c r="K1315" s="179">
        <v>190.0</v>
      </c>
      <c r="L1315" s="179"/>
      <c r="M1315" s="179" t="s">
        <v>8</v>
      </c>
      <c r="N1315" s="179">
        <v>41581.0</v>
      </c>
      <c r="O1315" s="179">
        <v>692.0</v>
      </c>
      <c r="P1315" s="179">
        <v>0.0166</v>
      </c>
      <c r="Q1315" s="179">
        <v>1117.02</v>
      </c>
      <c r="R1315" s="179">
        <v>1.61</v>
      </c>
      <c r="S1315" s="179">
        <v>800.0</v>
      </c>
      <c r="T1315" s="179">
        <v>0.0</v>
      </c>
      <c r="U1315" s="179">
        <v>0.0</v>
      </c>
      <c r="V1315" s="179">
        <v>0.0</v>
      </c>
      <c r="W1315" s="179">
        <v>0.0</v>
      </c>
      <c r="X1315" s="179">
        <v>0.0</v>
      </c>
      <c r="Y1315" s="179">
        <v>0.0</v>
      </c>
      <c r="Z1315" s="179">
        <v>0.0</v>
      </c>
      <c r="AA1315" s="179">
        <v>0.0</v>
      </c>
      <c r="AB1315" s="179">
        <v>30845.0</v>
      </c>
      <c r="AC1315" s="179">
        <v>36.21</v>
      </c>
      <c r="AD1315" s="179">
        <v>27625.0</v>
      </c>
      <c r="AE1315" s="179">
        <v>21465.0</v>
      </c>
      <c r="AF1315" s="179">
        <v>13722.0</v>
      </c>
      <c r="AG1315" s="179">
        <v>7493.0</v>
      </c>
      <c r="AH1315" s="179">
        <v>139.0</v>
      </c>
      <c r="AI1315" s="179">
        <v>0.7418</v>
      </c>
      <c r="AJ1315" s="179">
        <v>0.0224</v>
      </c>
    </row>
    <row r="1316" ht="15.75" customHeight="1">
      <c r="A1316" s="200">
        <v>45772.0</v>
      </c>
      <c r="B1316" s="179" t="s">
        <v>771</v>
      </c>
      <c r="C1316" s="179" t="s">
        <v>1250</v>
      </c>
      <c r="D1316" s="179" t="s">
        <v>931</v>
      </c>
      <c r="E1316" s="179" t="s">
        <v>459</v>
      </c>
      <c r="F1316" s="179" t="s">
        <v>774</v>
      </c>
      <c r="G1316" s="179" t="s">
        <v>775</v>
      </c>
      <c r="H1316" s="179" t="s">
        <v>1106</v>
      </c>
      <c r="I1316" s="179"/>
      <c r="J1316" s="179" t="s">
        <v>140</v>
      </c>
      <c r="K1316" s="179">
        <v>150.0</v>
      </c>
      <c r="L1316" s="179" t="s">
        <v>776</v>
      </c>
      <c r="M1316" s="179" t="s">
        <v>8</v>
      </c>
      <c r="N1316" s="179">
        <v>33097.0</v>
      </c>
      <c r="O1316" s="179">
        <v>38.0</v>
      </c>
      <c r="P1316" s="179">
        <v>0.0011</v>
      </c>
      <c r="Q1316" s="179">
        <v>1111.87</v>
      </c>
      <c r="R1316" s="179">
        <v>29.26</v>
      </c>
      <c r="S1316" s="179">
        <v>0.0</v>
      </c>
      <c r="T1316" s="179">
        <v>1.0</v>
      </c>
      <c r="U1316" s="179">
        <v>14405.93</v>
      </c>
      <c r="V1316" s="179">
        <v>0.0772</v>
      </c>
      <c r="W1316" s="179">
        <v>12.9565</v>
      </c>
      <c r="X1316" s="179">
        <v>0.0</v>
      </c>
      <c r="Y1316" s="179">
        <v>0.0</v>
      </c>
      <c r="Z1316" s="179">
        <v>0.0</v>
      </c>
      <c r="AA1316" s="179">
        <v>0.0</v>
      </c>
      <c r="AB1316" s="179">
        <v>0.0</v>
      </c>
      <c r="AC1316" s="179">
        <v>0.0</v>
      </c>
      <c r="AD1316" s="179">
        <v>0.0</v>
      </c>
      <c r="AE1316" s="179">
        <v>0.0</v>
      </c>
      <c r="AF1316" s="179">
        <v>0.0</v>
      </c>
      <c r="AG1316" s="179">
        <v>0.0</v>
      </c>
      <c r="AH1316" s="179">
        <v>0.0</v>
      </c>
      <c r="AI1316" s="179">
        <v>0.0</v>
      </c>
      <c r="AJ1316" s="179">
        <v>0.0</v>
      </c>
    </row>
    <row r="1317" ht="15.75" customHeight="1">
      <c r="A1317" s="200">
        <v>45772.0</v>
      </c>
      <c r="B1317" s="179" t="s">
        <v>771</v>
      </c>
      <c r="C1317" s="179" t="s">
        <v>1315</v>
      </c>
      <c r="D1317" s="179" t="s">
        <v>931</v>
      </c>
      <c r="E1317" s="179" t="s">
        <v>462</v>
      </c>
      <c r="F1317" s="179" t="s">
        <v>774</v>
      </c>
      <c r="G1317" s="179"/>
      <c r="H1317" s="179" t="s">
        <v>1106</v>
      </c>
      <c r="I1317" s="179"/>
      <c r="J1317" s="179" t="s">
        <v>413</v>
      </c>
      <c r="K1317" s="179">
        <v>60.0</v>
      </c>
      <c r="L1317" s="179" t="s">
        <v>776</v>
      </c>
      <c r="M1317" s="179" t="s">
        <v>8</v>
      </c>
      <c r="N1317" s="179">
        <v>32850.0</v>
      </c>
      <c r="O1317" s="179">
        <v>251.0</v>
      </c>
      <c r="P1317" s="179">
        <v>0.0076</v>
      </c>
      <c r="Q1317" s="179">
        <v>911.96</v>
      </c>
      <c r="R1317" s="179">
        <v>3.63</v>
      </c>
      <c r="S1317" s="179">
        <v>360.0</v>
      </c>
      <c r="T1317" s="179">
        <v>0.0</v>
      </c>
      <c r="U1317" s="179">
        <v>0.0</v>
      </c>
      <c r="V1317" s="179">
        <v>0.0</v>
      </c>
      <c r="W1317" s="179">
        <v>0.0</v>
      </c>
      <c r="X1317" s="179">
        <v>0.0</v>
      </c>
      <c r="Y1317" s="179">
        <v>0.0</v>
      </c>
      <c r="Z1317" s="179">
        <v>0.0</v>
      </c>
      <c r="AA1317" s="179">
        <v>0.0</v>
      </c>
      <c r="AB1317" s="179">
        <v>4239.0</v>
      </c>
      <c r="AC1317" s="179">
        <v>215.14</v>
      </c>
      <c r="AD1317" s="179">
        <v>0.0</v>
      </c>
      <c r="AE1317" s="179">
        <v>0.0</v>
      </c>
      <c r="AF1317" s="179">
        <v>0.0</v>
      </c>
      <c r="AG1317" s="179">
        <v>0.0</v>
      </c>
      <c r="AH1317" s="179">
        <v>0.0</v>
      </c>
      <c r="AI1317" s="179">
        <v>0.0</v>
      </c>
      <c r="AJ1317" s="179">
        <v>0.0</v>
      </c>
    </row>
    <row r="1318" ht="15.75" customHeight="1">
      <c r="A1318" s="200">
        <v>45772.0</v>
      </c>
      <c r="B1318" s="179" t="s">
        <v>771</v>
      </c>
      <c r="C1318" s="179" t="s">
        <v>1316</v>
      </c>
      <c r="D1318" s="179" t="s">
        <v>773</v>
      </c>
      <c r="E1318" s="179" t="s">
        <v>462</v>
      </c>
      <c r="F1318" s="179" t="s">
        <v>774</v>
      </c>
      <c r="G1318" s="179"/>
      <c r="H1318" s="179" t="s">
        <v>1106</v>
      </c>
      <c r="I1318" s="179"/>
      <c r="J1318" s="179" t="s">
        <v>413</v>
      </c>
      <c r="K1318" s="179">
        <v>200.0</v>
      </c>
      <c r="L1318" s="179" t="s">
        <v>776</v>
      </c>
      <c r="M1318" s="179" t="s">
        <v>8</v>
      </c>
      <c r="N1318" s="179">
        <v>131286.0</v>
      </c>
      <c r="O1318" s="179">
        <v>322.0</v>
      </c>
      <c r="P1318" s="179">
        <v>0.0025</v>
      </c>
      <c r="Q1318" s="179">
        <v>901.79</v>
      </c>
      <c r="R1318" s="179">
        <v>2.8</v>
      </c>
      <c r="S1318" s="179">
        <v>437.0</v>
      </c>
      <c r="T1318" s="179">
        <v>0.0</v>
      </c>
      <c r="U1318" s="179">
        <v>0.0</v>
      </c>
      <c r="V1318" s="179">
        <v>0.0</v>
      </c>
      <c r="W1318" s="179">
        <v>0.0</v>
      </c>
      <c r="X1318" s="179">
        <v>0.0</v>
      </c>
      <c r="Y1318" s="179">
        <v>0.0</v>
      </c>
      <c r="Z1318" s="179">
        <v>0.0</v>
      </c>
      <c r="AA1318" s="179">
        <v>0.0</v>
      </c>
      <c r="AB1318" s="179">
        <v>9666.0</v>
      </c>
      <c r="AC1318" s="179">
        <v>93.3</v>
      </c>
      <c r="AD1318" s="179">
        <v>0.0</v>
      </c>
      <c r="AE1318" s="179">
        <v>0.0</v>
      </c>
      <c r="AF1318" s="179">
        <v>0.0</v>
      </c>
      <c r="AG1318" s="179">
        <v>0.0</v>
      </c>
      <c r="AH1318" s="179">
        <v>0.0</v>
      </c>
      <c r="AI1318" s="179">
        <v>0.0</v>
      </c>
      <c r="AJ1318" s="179">
        <v>0.0</v>
      </c>
    </row>
    <row r="1319" ht="15.75" customHeight="1">
      <c r="A1319" s="200">
        <v>45772.0</v>
      </c>
      <c r="B1319" s="179" t="s">
        <v>771</v>
      </c>
      <c r="C1319" s="179" t="s">
        <v>1240</v>
      </c>
      <c r="D1319" s="179" t="s">
        <v>773</v>
      </c>
      <c r="E1319" s="179" t="s">
        <v>463</v>
      </c>
      <c r="F1319" s="179" t="s">
        <v>774</v>
      </c>
      <c r="G1319" s="179"/>
      <c r="H1319" s="179" t="s">
        <v>1106</v>
      </c>
      <c r="I1319" s="179"/>
      <c r="J1319" s="179" t="s">
        <v>134</v>
      </c>
      <c r="K1319" s="179">
        <v>500.0</v>
      </c>
      <c r="L1319" s="179"/>
      <c r="M1319" s="179" t="s">
        <v>8</v>
      </c>
      <c r="N1319" s="179">
        <v>2140.0</v>
      </c>
      <c r="O1319" s="179">
        <v>20.0</v>
      </c>
      <c r="P1319" s="179">
        <v>0.0093</v>
      </c>
      <c r="Q1319" s="179">
        <v>874.95</v>
      </c>
      <c r="R1319" s="179">
        <v>43.75</v>
      </c>
      <c r="S1319" s="179">
        <v>35.0</v>
      </c>
      <c r="T1319" s="179">
        <v>0.0</v>
      </c>
      <c r="U1319" s="179">
        <v>0.0</v>
      </c>
      <c r="V1319" s="179">
        <v>0.0</v>
      </c>
      <c r="W1319" s="179">
        <v>0.0</v>
      </c>
      <c r="X1319" s="179">
        <v>0.0</v>
      </c>
      <c r="Y1319" s="179">
        <v>0.0</v>
      </c>
      <c r="Z1319" s="179">
        <v>0.0</v>
      </c>
      <c r="AA1319" s="179">
        <v>0.0</v>
      </c>
      <c r="AB1319" s="179">
        <v>297.0</v>
      </c>
      <c r="AC1319" s="179">
        <v>2945.96</v>
      </c>
      <c r="AD1319" s="179">
        <v>143.0</v>
      </c>
      <c r="AE1319" s="179">
        <v>79.0</v>
      </c>
      <c r="AF1319" s="179">
        <v>46.0</v>
      </c>
      <c r="AG1319" s="179">
        <v>33.0</v>
      </c>
      <c r="AH1319" s="179">
        <v>3.0</v>
      </c>
      <c r="AI1319" s="179">
        <v>0.1388</v>
      </c>
      <c r="AJ1319" s="179">
        <v>0.0673</v>
      </c>
    </row>
    <row r="1320" ht="15.75" customHeight="1">
      <c r="A1320" s="200">
        <v>45772.0</v>
      </c>
      <c r="B1320" s="179" t="s">
        <v>771</v>
      </c>
      <c r="C1320" s="179" t="s">
        <v>1104</v>
      </c>
      <c r="D1320" s="179" t="s">
        <v>773</v>
      </c>
      <c r="E1320" s="179" t="s">
        <v>463</v>
      </c>
      <c r="F1320" s="179" t="s">
        <v>774</v>
      </c>
      <c r="G1320" s="179"/>
      <c r="H1320" s="179" t="s">
        <v>1106</v>
      </c>
      <c r="I1320" s="179"/>
      <c r="J1320" s="179" t="s">
        <v>413</v>
      </c>
      <c r="K1320" s="179">
        <v>1000.0</v>
      </c>
      <c r="L1320" s="179"/>
      <c r="M1320" s="179" t="s">
        <v>8</v>
      </c>
      <c r="N1320" s="179">
        <v>113549.0</v>
      </c>
      <c r="O1320" s="179">
        <v>106.0</v>
      </c>
      <c r="P1320" s="179">
        <v>9.0E-4</v>
      </c>
      <c r="Q1320" s="179">
        <v>844.49</v>
      </c>
      <c r="R1320" s="179">
        <v>7.97</v>
      </c>
      <c r="S1320" s="179">
        <v>179.0</v>
      </c>
      <c r="T1320" s="179">
        <v>0.0</v>
      </c>
      <c r="U1320" s="179">
        <v>0.0</v>
      </c>
      <c r="V1320" s="179">
        <v>0.0</v>
      </c>
      <c r="W1320" s="179">
        <v>0.0</v>
      </c>
      <c r="X1320" s="179">
        <v>0.0</v>
      </c>
      <c r="Y1320" s="179">
        <v>0.0</v>
      </c>
      <c r="Z1320" s="179">
        <v>0.0</v>
      </c>
      <c r="AA1320" s="179">
        <v>0.0</v>
      </c>
      <c r="AB1320" s="179">
        <v>0.0</v>
      </c>
      <c r="AC1320" s="179">
        <v>0.0</v>
      </c>
      <c r="AD1320" s="179">
        <v>0.0</v>
      </c>
      <c r="AE1320" s="179">
        <v>0.0</v>
      </c>
      <c r="AF1320" s="179">
        <v>0.0</v>
      </c>
      <c r="AG1320" s="179">
        <v>0.0</v>
      </c>
      <c r="AH1320" s="179">
        <v>0.0</v>
      </c>
      <c r="AI1320" s="179">
        <v>0.0</v>
      </c>
      <c r="AJ1320" s="179">
        <v>0.0</v>
      </c>
    </row>
    <row r="1321" ht="15.75" customHeight="1">
      <c r="A1321" s="200">
        <v>45772.0</v>
      </c>
      <c r="B1321" s="179" t="s">
        <v>771</v>
      </c>
      <c r="C1321" s="179" t="s">
        <v>1318</v>
      </c>
      <c r="D1321" s="179" t="s">
        <v>773</v>
      </c>
      <c r="E1321" s="179" t="s">
        <v>460</v>
      </c>
      <c r="F1321" s="179" t="s">
        <v>778</v>
      </c>
      <c r="G1321" s="179" t="s">
        <v>783</v>
      </c>
      <c r="H1321" s="179" t="s">
        <v>1106</v>
      </c>
      <c r="I1321" s="179"/>
      <c r="J1321" s="179" t="s">
        <v>217</v>
      </c>
      <c r="K1321" s="179">
        <v>290.0</v>
      </c>
      <c r="L1321" s="179" t="s">
        <v>776</v>
      </c>
      <c r="M1321" s="179" t="s">
        <v>8</v>
      </c>
      <c r="N1321" s="179">
        <v>22587.0</v>
      </c>
      <c r="O1321" s="179">
        <v>91.0</v>
      </c>
      <c r="P1321" s="179">
        <v>0.004</v>
      </c>
      <c r="Q1321" s="179">
        <v>811.66</v>
      </c>
      <c r="R1321" s="179">
        <v>8.92</v>
      </c>
      <c r="S1321" s="179">
        <v>0.0</v>
      </c>
      <c r="T1321" s="179">
        <v>1.0</v>
      </c>
      <c r="U1321" s="179">
        <v>1148.31</v>
      </c>
      <c r="V1321" s="179">
        <v>0.7068</v>
      </c>
      <c r="W1321" s="179">
        <v>1.4148</v>
      </c>
      <c r="X1321" s="179">
        <v>0.0</v>
      </c>
      <c r="Y1321" s="179">
        <v>0.0</v>
      </c>
      <c r="Z1321" s="179">
        <v>0.0</v>
      </c>
      <c r="AA1321" s="179">
        <v>0.0</v>
      </c>
      <c r="AB1321" s="179">
        <v>0.0</v>
      </c>
      <c r="AC1321" s="179">
        <v>0.0</v>
      </c>
      <c r="AD1321" s="179">
        <v>0.0</v>
      </c>
      <c r="AE1321" s="179">
        <v>0.0</v>
      </c>
      <c r="AF1321" s="179">
        <v>0.0</v>
      </c>
      <c r="AG1321" s="179">
        <v>0.0</v>
      </c>
      <c r="AH1321" s="179">
        <v>0.0</v>
      </c>
      <c r="AI1321" s="179">
        <v>0.0</v>
      </c>
      <c r="AJ1321" s="179">
        <v>0.0</v>
      </c>
    </row>
    <row r="1322" ht="15.75" customHeight="1">
      <c r="A1322" s="200">
        <v>45772.0</v>
      </c>
      <c r="B1322" s="179" t="s">
        <v>771</v>
      </c>
      <c r="C1322" s="179" t="s">
        <v>1319</v>
      </c>
      <c r="D1322" s="179" t="s">
        <v>773</v>
      </c>
      <c r="E1322" s="179" t="s">
        <v>462</v>
      </c>
      <c r="F1322" s="179" t="s">
        <v>774</v>
      </c>
      <c r="G1322" s="179"/>
      <c r="H1322" s="179" t="s">
        <v>1106</v>
      </c>
      <c r="I1322" s="179"/>
      <c r="J1322" s="179" t="s">
        <v>413</v>
      </c>
      <c r="K1322" s="179">
        <v>200.0</v>
      </c>
      <c r="L1322" s="179" t="s">
        <v>776</v>
      </c>
      <c r="M1322" s="179" t="s">
        <v>8</v>
      </c>
      <c r="N1322" s="179">
        <v>29924.0</v>
      </c>
      <c r="O1322" s="179">
        <v>185.0</v>
      </c>
      <c r="P1322" s="179">
        <v>0.0062</v>
      </c>
      <c r="Q1322" s="179">
        <v>776.86</v>
      </c>
      <c r="R1322" s="179">
        <v>4.2</v>
      </c>
      <c r="S1322" s="179">
        <v>289.0</v>
      </c>
      <c r="T1322" s="179">
        <v>0.0</v>
      </c>
      <c r="U1322" s="179">
        <v>0.0</v>
      </c>
      <c r="V1322" s="179">
        <v>0.0</v>
      </c>
      <c r="W1322" s="179">
        <v>0.0</v>
      </c>
      <c r="X1322" s="179">
        <v>0.0</v>
      </c>
      <c r="Y1322" s="179">
        <v>0.0</v>
      </c>
      <c r="Z1322" s="179">
        <v>0.0</v>
      </c>
      <c r="AA1322" s="179">
        <v>0.0</v>
      </c>
      <c r="AB1322" s="179">
        <v>3344.0</v>
      </c>
      <c r="AC1322" s="179">
        <v>232.31</v>
      </c>
      <c r="AD1322" s="179">
        <v>0.0</v>
      </c>
      <c r="AE1322" s="179">
        <v>0.0</v>
      </c>
      <c r="AF1322" s="179">
        <v>0.0</v>
      </c>
      <c r="AG1322" s="179">
        <v>0.0</v>
      </c>
      <c r="AH1322" s="179">
        <v>0.0</v>
      </c>
      <c r="AI1322" s="179">
        <v>0.0</v>
      </c>
      <c r="AJ1322" s="179">
        <v>0.0</v>
      </c>
    </row>
    <row r="1323" ht="15.75" customHeight="1">
      <c r="A1323" s="200">
        <v>45772.0</v>
      </c>
      <c r="B1323" s="179" t="s">
        <v>771</v>
      </c>
      <c r="C1323" s="179" t="s">
        <v>1129</v>
      </c>
      <c r="D1323" s="179" t="s">
        <v>773</v>
      </c>
      <c r="E1323" s="179" t="s">
        <v>459</v>
      </c>
      <c r="F1323" s="179" t="s">
        <v>774</v>
      </c>
      <c r="G1323" s="179" t="s">
        <v>775</v>
      </c>
      <c r="H1323" s="179" t="s">
        <v>1106</v>
      </c>
      <c r="I1323" s="179"/>
      <c r="J1323" s="179" t="s">
        <v>211</v>
      </c>
      <c r="K1323" s="179">
        <v>75.0</v>
      </c>
      <c r="L1323" s="179" t="s">
        <v>776</v>
      </c>
      <c r="M1323" s="179" t="s">
        <v>8</v>
      </c>
      <c r="N1323" s="179">
        <v>6705.0</v>
      </c>
      <c r="O1323" s="179">
        <v>113.0</v>
      </c>
      <c r="P1323" s="179">
        <v>0.0169</v>
      </c>
      <c r="Q1323" s="179">
        <v>758.63</v>
      </c>
      <c r="R1323" s="179">
        <v>6.71</v>
      </c>
      <c r="S1323" s="179">
        <v>0.0</v>
      </c>
      <c r="T1323" s="179">
        <v>2.0</v>
      </c>
      <c r="U1323" s="179">
        <v>3727.12</v>
      </c>
      <c r="V1323" s="179">
        <v>0.2035</v>
      </c>
      <c r="W1323" s="179">
        <v>4.913</v>
      </c>
      <c r="X1323" s="179">
        <v>0.0</v>
      </c>
      <c r="Y1323" s="179">
        <v>0.0</v>
      </c>
      <c r="Z1323" s="179">
        <v>0.0</v>
      </c>
      <c r="AA1323" s="179">
        <v>0.0</v>
      </c>
      <c r="AB1323" s="179">
        <v>0.0</v>
      </c>
      <c r="AC1323" s="179">
        <v>0.0</v>
      </c>
      <c r="AD1323" s="179">
        <v>0.0</v>
      </c>
      <c r="AE1323" s="179">
        <v>0.0</v>
      </c>
      <c r="AF1323" s="179">
        <v>0.0</v>
      </c>
      <c r="AG1323" s="179">
        <v>0.0</v>
      </c>
      <c r="AH1323" s="179">
        <v>0.0</v>
      </c>
      <c r="AI1323" s="179">
        <v>0.0</v>
      </c>
      <c r="AJ1323" s="179">
        <v>0.0</v>
      </c>
    </row>
    <row r="1324" ht="15.75" customHeight="1">
      <c r="A1324" s="200">
        <v>45772.0</v>
      </c>
      <c r="B1324" s="179" t="s">
        <v>771</v>
      </c>
      <c r="C1324" s="179" t="s">
        <v>1320</v>
      </c>
      <c r="D1324" s="179" t="s">
        <v>773</v>
      </c>
      <c r="E1324" s="179" t="s">
        <v>463</v>
      </c>
      <c r="F1324" s="179" t="s">
        <v>774</v>
      </c>
      <c r="G1324" s="179"/>
      <c r="H1324" s="179" t="s">
        <v>1106</v>
      </c>
      <c r="I1324" s="179"/>
      <c r="J1324" s="179" t="s">
        <v>413</v>
      </c>
      <c r="K1324" s="179">
        <v>190.0</v>
      </c>
      <c r="L1324" s="179"/>
      <c r="M1324" s="179" t="s">
        <v>8</v>
      </c>
      <c r="N1324" s="179">
        <v>25139.0</v>
      </c>
      <c r="O1324" s="179">
        <v>386.0</v>
      </c>
      <c r="P1324" s="179">
        <v>0.0154</v>
      </c>
      <c r="Q1324" s="179">
        <v>712.45</v>
      </c>
      <c r="R1324" s="179">
        <v>1.85</v>
      </c>
      <c r="S1324" s="179">
        <v>453.0</v>
      </c>
      <c r="T1324" s="179">
        <v>0.0</v>
      </c>
      <c r="U1324" s="179">
        <v>0.0</v>
      </c>
      <c r="V1324" s="179">
        <v>0.0</v>
      </c>
      <c r="W1324" s="179">
        <v>0.0</v>
      </c>
      <c r="X1324" s="179">
        <v>0.0</v>
      </c>
      <c r="Y1324" s="179">
        <v>0.0</v>
      </c>
      <c r="Z1324" s="179">
        <v>0.0</v>
      </c>
      <c r="AA1324" s="179">
        <v>0.0</v>
      </c>
      <c r="AB1324" s="179">
        <v>18755.0</v>
      </c>
      <c r="AC1324" s="179">
        <v>37.99</v>
      </c>
      <c r="AD1324" s="179">
        <v>15939.0</v>
      </c>
      <c r="AE1324" s="179">
        <v>12163.0</v>
      </c>
      <c r="AF1324" s="179">
        <v>7979.0</v>
      </c>
      <c r="AG1324" s="179">
        <v>4113.0</v>
      </c>
      <c r="AH1324" s="179">
        <v>59.0</v>
      </c>
      <c r="AI1324" s="179">
        <v>0.7461</v>
      </c>
      <c r="AJ1324" s="179">
        <v>0.0206</v>
      </c>
    </row>
    <row r="1325" ht="15.75" customHeight="1">
      <c r="A1325" s="200">
        <v>45772.0</v>
      </c>
      <c r="B1325" s="179" t="s">
        <v>771</v>
      </c>
      <c r="C1325" s="179" t="s">
        <v>1227</v>
      </c>
      <c r="D1325" s="179" t="s">
        <v>773</v>
      </c>
      <c r="E1325" s="179" t="s">
        <v>459</v>
      </c>
      <c r="F1325" s="179" t="s">
        <v>774</v>
      </c>
      <c r="G1325" s="179" t="s">
        <v>775</v>
      </c>
      <c r="H1325" s="179" t="s">
        <v>1106</v>
      </c>
      <c r="I1325" s="179"/>
      <c r="J1325" s="179" t="s">
        <v>429</v>
      </c>
      <c r="K1325" s="179">
        <v>1000.0</v>
      </c>
      <c r="L1325" s="179" t="s">
        <v>776</v>
      </c>
      <c r="M1325" s="179" t="s">
        <v>8</v>
      </c>
      <c r="N1325" s="179">
        <v>12487.0</v>
      </c>
      <c r="O1325" s="179">
        <v>25.0</v>
      </c>
      <c r="P1325" s="179">
        <v>0.002</v>
      </c>
      <c r="Q1325" s="179">
        <v>673.45</v>
      </c>
      <c r="R1325" s="179">
        <v>26.94</v>
      </c>
      <c r="S1325" s="179">
        <v>0.0</v>
      </c>
      <c r="T1325" s="179">
        <v>0.0</v>
      </c>
      <c r="U1325" s="179">
        <v>0.0</v>
      </c>
      <c r="V1325" s="179">
        <v>0.0</v>
      </c>
      <c r="W1325" s="179">
        <v>0.0</v>
      </c>
      <c r="X1325" s="179">
        <v>0.0</v>
      </c>
      <c r="Y1325" s="179">
        <v>0.0</v>
      </c>
      <c r="Z1325" s="179">
        <v>0.0</v>
      </c>
      <c r="AA1325" s="179">
        <v>0.0</v>
      </c>
      <c r="AB1325" s="179">
        <v>0.0</v>
      </c>
      <c r="AC1325" s="179">
        <v>0.0</v>
      </c>
      <c r="AD1325" s="179">
        <v>0.0</v>
      </c>
      <c r="AE1325" s="179">
        <v>0.0</v>
      </c>
      <c r="AF1325" s="179">
        <v>0.0</v>
      </c>
      <c r="AG1325" s="179">
        <v>0.0</v>
      </c>
      <c r="AH1325" s="179">
        <v>0.0</v>
      </c>
      <c r="AI1325" s="179">
        <v>0.0</v>
      </c>
      <c r="AJ1325" s="179">
        <v>0.0</v>
      </c>
    </row>
    <row r="1326" ht="15.75" customHeight="1">
      <c r="A1326" s="200">
        <v>45772.0</v>
      </c>
      <c r="B1326" s="179" t="s">
        <v>771</v>
      </c>
      <c r="C1326" s="179" t="s">
        <v>1142</v>
      </c>
      <c r="D1326" s="179" t="s">
        <v>773</v>
      </c>
      <c r="E1326" s="179" t="s">
        <v>459</v>
      </c>
      <c r="F1326" s="179" t="s">
        <v>774</v>
      </c>
      <c r="G1326" s="179" t="s">
        <v>775</v>
      </c>
      <c r="H1326" s="179" t="s">
        <v>1106</v>
      </c>
      <c r="I1326" s="179"/>
      <c r="J1326" s="179" t="s">
        <v>321</v>
      </c>
      <c r="K1326" s="179">
        <v>500.0</v>
      </c>
      <c r="L1326" s="179" t="s">
        <v>776</v>
      </c>
      <c r="M1326" s="179" t="s">
        <v>8</v>
      </c>
      <c r="N1326" s="179">
        <v>7384.0</v>
      </c>
      <c r="O1326" s="179">
        <v>99.0</v>
      </c>
      <c r="P1326" s="179">
        <v>0.0134</v>
      </c>
      <c r="Q1326" s="179">
        <v>672.36</v>
      </c>
      <c r="R1326" s="179">
        <v>6.79</v>
      </c>
      <c r="S1326" s="179">
        <v>0.0</v>
      </c>
      <c r="T1326" s="179">
        <v>0.0</v>
      </c>
      <c r="U1326" s="179">
        <v>0.0</v>
      </c>
      <c r="V1326" s="179">
        <v>0.0</v>
      </c>
      <c r="W1326" s="179">
        <v>0.0</v>
      </c>
      <c r="X1326" s="179">
        <v>0.0</v>
      </c>
      <c r="Y1326" s="179">
        <v>0.0</v>
      </c>
      <c r="Z1326" s="179">
        <v>0.0</v>
      </c>
      <c r="AA1326" s="179">
        <v>0.0</v>
      </c>
      <c r="AB1326" s="179">
        <v>0.0</v>
      </c>
      <c r="AC1326" s="179">
        <v>0.0</v>
      </c>
      <c r="AD1326" s="179">
        <v>0.0</v>
      </c>
      <c r="AE1326" s="179">
        <v>0.0</v>
      </c>
      <c r="AF1326" s="179">
        <v>0.0</v>
      </c>
      <c r="AG1326" s="179">
        <v>0.0</v>
      </c>
      <c r="AH1326" s="179">
        <v>0.0</v>
      </c>
      <c r="AI1326" s="179">
        <v>0.0</v>
      </c>
      <c r="AJ1326" s="179">
        <v>0.0</v>
      </c>
    </row>
    <row r="1327" ht="15.75" customHeight="1">
      <c r="A1327" s="200">
        <v>45772.0</v>
      </c>
      <c r="B1327" s="179" t="s">
        <v>771</v>
      </c>
      <c r="C1327" s="179" t="s">
        <v>1259</v>
      </c>
      <c r="D1327" s="179" t="s">
        <v>773</v>
      </c>
      <c r="E1327" s="179" t="s">
        <v>459</v>
      </c>
      <c r="F1327" s="179" t="s">
        <v>774</v>
      </c>
      <c r="G1327" s="179" t="s">
        <v>783</v>
      </c>
      <c r="H1327" s="179" t="s">
        <v>1106</v>
      </c>
      <c r="I1327" s="179"/>
      <c r="J1327" s="179" t="s">
        <v>90</v>
      </c>
      <c r="K1327" s="179">
        <v>500.0</v>
      </c>
      <c r="L1327" s="195">
        <v>0.1026</v>
      </c>
      <c r="M1327" s="179" t="s">
        <v>8</v>
      </c>
      <c r="N1327" s="179">
        <v>4930.0</v>
      </c>
      <c r="O1327" s="179">
        <v>20.0</v>
      </c>
      <c r="P1327" s="179">
        <v>0.0041</v>
      </c>
      <c r="Q1327" s="179">
        <v>633.19</v>
      </c>
      <c r="R1327" s="179">
        <v>31.66</v>
      </c>
      <c r="S1327" s="179">
        <v>0.0</v>
      </c>
      <c r="T1327" s="179">
        <v>0.0</v>
      </c>
      <c r="U1327" s="179">
        <v>0.0</v>
      </c>
      <c r="V1327" s="179">
        <v>0.0</v>
      </c>
      <c r="W1327" s="179">
        <v>0.0</v>
      </c>
      <c r="X1327" s="179">
        <v>0.0</v>
      </c>
      <c r="Y1327" s="179">
        <v>0.0</v>
      </c>
      <c r="Z1327" s="179">
        <v>0.0</v>
      </c>
      <c r="AA1327" s="179">
        <v>0.0</v>
      </c>
      <c r="AB1327" s="179">
        <v>0.0</v>
      </c>
      <c r="AC1327" s="179">
        <v>0.0</v>
      </c>
      <c r="AD1327" s="179">
        <v>0.0</v>
      </c>
      <c r="AE1327" s="179">
        <v>0.0</v>
      </c>
      <c r="AF1327" s="179">
        <v>0.0</v>
      </c>
      <c r="AG1327" s="179">
        <v>0.0</v>
      </c>
      <c r="AH1327" s="179">
        <v>0.0</v>
      </c>
      <c r="AI1327" s="179">
        <v>0.0</v>
      </c>
      <c r="AJ1327" s="179">
        <v>0.0</v>
      </c>
    </row>
    <row r="1328" ht="15.75" customHeight="1">
      <c r="A1328" s="200">
        <v>45772.0</v>
      </c>
      <c r="B1328" s="179" t="s">
        <v>771</v>
      </c>
      <c r="C1328" s="179" t="s">
        <v>1136</v>
      </c>
      <c r="D1328" s="179" t="s">
        <v>773</v>
      </c>
      <c r="E1328" s="179" t="s">
        <v>460</v>
      </c>
      <c r="F1328" s="179" t="s">
        <v>778</v>
      </c>
      <c r="G1328" s="179" t="s">
        <v>775</v>
      </c>
      <c r="H1328" s="179" t="s">
        <v>1106</v>
      </c>
      <c r="I1328" s="179"/>
      <c r="J1328" s="179" t="s">
        <v>321</v>
      </c>
      <c r="K1328" s="179">
        <v>200.0</v>
      </c>
      <c r="L1328" s="179" t="s">
        <v>776</v>
      </c>
      <c r="M1328" s="179" t="s">
        <v>8</v>
      </c>
      <c r="N1328" s="179">
        <v>25505.0</v>
      </c>
      <c r="O1328" s="179">
        <v>137.0</v>
      </c>
      <c r="P1328" s="179">
        <v>0.0054</v>
      </c>
      <c r="Q1328" s="179">
        <v>593.72</v>
      </c>
      <c r="R1328" s="179">
        <v>4.33</v>
      </c>
      <c r="S1328" s="179">
        <v>0.0</v>
      </c>
      <c r="T1328" s="179">
        <v>4.0</v>
      </c>
      <c r="U1328" s="179">
        <v>3810.17</v>
      </c>
      <c r="V1328" s="179">
        <v>0.1558</v>
      </c>
      <c r="W1328" s="179">
        <v>6.4175</v>
      </c>
      <c r="X1328" s="179">
        <v>0.0</v>
      </c>
      <c r="Y1328" s="179">
        <v>0.0</v>
      </c>
      <c r="Z1328" s="179">
        <v>0.0</v>
      </c>
      <c r="AA1328" s="179">
        <v>0.0</v>
      </c>
      <c r="AB1328" s="179">
        <v>0.0</v>
      </c>
      <c r="AC1328" s="179">
        <v>0.0</v>
      </c>
      <c r="AD1328" s="179">
        <v>0.0</v>
      </c>
      <c r="AE1328" s="179">
        <v>0.0</v>
      </c>
      <c r="AF1328" s="179">
        <v>0.0</v>
      </c>
      <c r="AG1328" s="179">
        <v>0.0</v>
      </c>
      <c r="AH1328" s="179">
        <v>0.0</v>
      </c>
      <c r="AI1328" s="179">
        <v>0.0</v>
      </c>
      <c r="AJ1328" s="179">
        <v>0.0</v>
      </c>
    </row>
    <row r="1329" ht="15.75" customHeight="1">
      <c r="A1329" s="200">
        <v>45772.0</v>
      </c>
      <c r="B1329" s="179" t="s">
        <v>771</v>
      </c>
      <c r="C1329" s="179" t="s">
        <v>1110</v>
      </c>
      <c r="D1329" s="179" t="s">
        <v>773</v>
      </c>
      <c r="E1329" s="179" t="s">
        <v>459</v>
      </c>
      <c r="F1329" s="179" t="s">
        <v>774</v>
      </c>
      <c r="G1329" s="179" t="s">
        <v>775</v>
      </c>
      <c r="H1329" s="179" t="s">
        <v>1106</v>
      </c>
      <c r="I1329" s="179"/>
      <c r="J1329" s="179" t="s">
        <v>230</v>
      </c>
      <c r="K1329" s="179">
        <v>500.0</v>
      </c>
      <c r="L1329" s="179" t="s">
        <v>776</v>
      </c>
      <c r="M1329" s="179" t="s">
        <v>8</v>
      </c>
      <c r="N1329" s="179">
        <v>3721.0</v>
      </c>
      <c r="O1329" s="179">
        <v>19.0</v>
      </c>
      <c r="P1329" s="179">
        <v>0.0051</v>
      </c>
      <c r="Q1329" s="179">
        <v>584.0</v>
      </c>
      <c r="R1329" s="179">
        <v>30.74</v>
      </c>
      <c r="S1329" s="179">
        <v>0.0</v>
      </c>
      <c r="T1329" s="179">
        <v>1.0</v>
      </c>
      <c r="U1329" s="179">
        <v>20771.19</v>
      </c>
      <c r="V1329" s="179">
        <v>0.0281</v>
      </c>
      <c r="W1329" s="179">
        <v>35.5671</v>
      </c>
      <c r="X1329" s="179">
        <v>0.0</v>
      </c>
      <c r="Y1329" s="179">
        <v>0.0</v>
      </c>
      <c r="Z1329" s="179">
        <v>0.0</v>
      </c>
      <c r="AA1329" s="179">
        <v>0.0</v>
      </c>
      <c r="AB1329" s="179">
        <v>0.0</v>
      </c>
      <c r="AC1329" s="179">
        <v>0.0</v>
      </c>
      <c r="AD1329" s="179">
        <v>0.0</v>
      </c>
      <c r="AE1329" s="179">
        <v>0.0</v>
      </c>
      <c r="AF1329" s="179">
        <v>0.0</v>
      </c>
      <c r="AG1329" s="179">
        <v>0.0</v>
      </c>
      <c r="AH1329" s="179">
        <v>0.0</v>
      </c>
      <c r="AI1329" s="179">
        <v>0.0</v>
      </c>
      <c r="AJ1329" s="179">
        <v>0.0</v>
      </c>
    </row>
    <row r="1330" ht="15.75" customHeight="1">
      <c r="A1330" s="200">
        <v>45772.0</v>
      </c>
      <c r="B1330" s="179" t="s">
        <v>779</v>
      </c>
      <c r="C1330" s="179" t="s">
        <v>920</v>
      </c>
      <c r="D1330" s="179" t="s">
        <v>781</v>
      </c>
      <c r="E1330" s="179" t="s">
        <v>459</v>
      </c>
      <c r="F1330" s="179" t="s">
        <v>774</v>
      </c>
      <c r="G1330" s="179" t="s">
        <v>775</v>
      </c>
      <c r="H1330" s="179" t="s">
        <v>1106</v>
      </c>
      <c r="I1330" s="179"/>
      <c r="J1330" s="179" t="s">
        <v>205</v>
      </c>
      <c r="K1330" s="179">
        <v>1000.0</v>
      </c>
      <c r="L1330" s="195">
        <v>0.0647</v>
      </c>
      <c r="M1330" s="179" t="s">
        <v>8</v>
      </c>
      <c r="N1330" s="179">
        <v>3898.0</v>
      </c>
      <c r="O1330" s="179">
        <v>14.0</v>
      </c>
      <c r="P1330" s="179">
        <v>0.0036</v>
      </c>
      <c r="Q1330" s="179">
        <v>562.39</v>
      </c>
      <c r="R1330" s="179">
        <v>40.17</v>
      </c>
      <c r="S1330" s="179">
        <v>0.0</v>
      </c>
      <c r="T1330" s="179">
        <v>0.0</v>
      </c>
      <c r="U1330" s="179">
        <v>0.0</v>
      </c>
      <c r="V1330" s="179">
        <v>0.0</v>
      </c>
      <c r="W1330" s="179">
        <v>0.0</v>
      </c>
      <c r="X1330" s="179">
        <v>0.0</v>
      </c>
      <c r="Y1330" s="179">
        <v>0.0</v>
      </c>
      <c r="Z1330" s="179">
        <v>0.0</v>
      </c>
      <c r="AA1330" s="179">
        <v>0.0</v>
      </c>
      <c r="AB1330" s="179">
        <v>0.0</v>
      </c>
      <c r="AC1330" s="179">
        <v>0.0</v>
      </c>
      <c r="AD1330" s="179">
        <v>0.0</v>
      </c>
      <c r="AE1330" s="179">
        <v>0.0</v>
      </c>
      <c r="AF1330" s="179">
        <v>0.0</v>
      </c>
      <c r="AG1330" s="179">
        <v>0.0</v>
      </c>
      <c r="AH1330" s="179">
        <v>0.0</v>
      </c>
      <c r="AI1330" s="179">
        <v>0.0</v>
      </c>
      <c r="AJ1330" s="179">
        <v>0.0</v>
      </c>
    </row>
    <row r="1331" ht="15.75" customHeight="1">
      <c r="A1331" s="200">
        <v>45772.0</v>
      </c>
      <c r="B1331" s="179" t="s">
        <v>771</v>
      </c>
      <c r="C1331" s="179" t="s">
        <v>1212</v>
      </c>
      <c r="D1331" s="179" t="s">
        <v>773</v>
      </c>
      <c r="E1331" s="179" t="s">
        <v>459</v>
      </c>
      <c r="F1331" s="179" t="s">
        <v>774</v>
      </c>
      <c r="G1331" s="179" t="s">
        <v>775</v>
      </c>
      <c r="H1331" s="179" t="s">
        <v>1106</v>
      </c>
      <c r="I1331" s="179"/>
      <c r="J1331" s="179" t="s">
        <v>134</v>
      </c>
      <c r="K1331" s="179">
        <v>500.0</v>
      </c>
      <c r="L1331" s="179" t="s">
        <v>776</v>
      </c>
      <c r="M1331" s="179" t="s">
        <v>8</v>
      </c>
      <c r="N1331" s="179">
        <v>3282.0</v>
      </c>
      <c r="O1331" s="179">
        <v>11.0</v>
      </c>
      <c r="P1331" s="179">
        <v>0.0034</v>
      </c>
      <c r="Q1331" s="179">
        <v>477.94</v>
      </c>
      <c r="R1331" s="179">
        <v>43.45</v>
      </c>
      <c r="S1331" s="179">
        <v>0.0</v>
      </c>
      <c r="T1331" s="179">
        <v>0.0</v>
      </c>
      <c r="U1331" s="179">
        <v>0.0</v>
      </c>
      <c r="V1331" s="179">
        <v>0.0</v>
      </c>
      <c r="W1331" s="179">
        <v>0.0</v>
      </c>
      <c r="X1331" s="179">
        <v>0.0</v>
      </c>
      <c r="Y1331" s="179">
        <v>0.0</v>
      </c>
      <c r="Z1331" s="179">
        <v>0.0</v>
      </c>
      <c r="AA1331" s="179">
        <v>0.0</v>
      </c>
      <c r="AB1331" s="179">
        <v>0.0</v>
      </c>
      <c r="AC1331" s="179">
        <v>0.0</v>
      </c>
      <c r="AD1331" s="179">
        <v>0.0</v>
      </c>
      <c r="AE1331" s="179">
        <v>0.0</v>
      </c>
      <c r="AF1331" s="179">
        <v>0.0</v>
      </c>
      <c r="AG1331" s="179">
        <v>0.0</v>
      </c>
      <c r="AH1331" s="179">
        <v>0.0</v>
      </c>
      <c r="AI1331" s="179">
        <v>0.0</v>
      </c>
      <c r="AJ1331" s="179">
        <v>0.0</v>
      </c>
    </row>
    <row r="1332" ht="15.75" customHeight="1">
      <c r="A1332" s="200">
        <v>45772.0</v>
      </c>
      <c r="B1332" s="179" t="s">
        <v>771</v>
      </c>
      <c r="C1332" s="179" t="s">
        <v>1050</v>
      </c>
      <c r="D1332" s="179" t="s">
        <v>773</v>
      </c>
      <c r="E1332" s="179" t="s">
        <v>460</v>
      </c>
      <c r="F1332" s="179" t="s">
        <v>778</v>
      </c>
      <c r="G1332" s="179" t="s">
        <v>775</v>
      </c>
      <c r="H1332" s="179" t="s">
        <v>1106</v>
      </c>
      <c r="I1332" s="179"/>
      <c r="J1332" s="179" t="s">
        <v>1247</v>
      </c>
      <c r="K1332" s="179">
        <v>250.0</v>
      </c>
      <c r="L1332" s="179" t="s">
        <v>776</v>
      </c>
      <c r="M1332" s="179" t="s">
        <v>8</v>
      </c>
      <c r="N1332" s="179">
        <v>44649.0</v>
      </c>
      <c r="O1332" s="179">
        <v>69.0</v>
      </c>
      <c r="P1332" s="179">
        <v>0.0015</v>
      </c>
      <c r="Q1332" s="179">
        <v>460.22</v>
      </c>
      <c r="R1332" s="179">
        <v>6.67</v>
      </c>
      <c r="S1332" s="179">
        <v>0.0</v>
      </c>
      <c r="T1332" s="179">
        <v>1.0</v>
      </c>
      <c r="U1332" s="179">
        <v>2118.64</v>
      </c>
      <c r="V1332" s="179">
        <v>0.2172</v>
      </c>
      <c r="W1332" s="179">
        <v>4.6035</v>
      </c>
      <c r="X1332" s="179">
        <v>0.0</v>
      </c>
      <c r="Y1332" s="179">
        <v>0.0</v>
      </c>
      <c r="Z1332" s="179">
        <v>0.0</v>
      </c>
      <c r="AA1332" s="179">
        <v>0.0</v>
      </c>
      <c r="AB1332" s="179">
        <v>0.0</v>
      </c>
      <c r="AC1332" s="179">
        <v>0.0</v>
      </c>
      <c r="AD1332" s="179">
        <v>0.0</v>
      </c>
      <c r="AE1332" s="179">
        <v>0.0</v>
      </c>
      <c r="AF1332" s="179">
        <v>0.0</v>
      </c>
      <c r="AG1332" s="179">
        <v>0.0</v>
      </c>
      <c r="AH1332" s="179">
        <v>0.0</v>
      </c>
      <c r="AI1332" s="179">
        <v>0.0</v>
      </c>
      <c r="AJ1332" s="179">
        <v>0.0</v>
      </c>
    </row>
    <row r="1333" ht="15.75" customHeight="1">
      <c r="A1333" s="200">
        <v>45772.0</v>
      </c>
      <c r="B1333" s="179" t="s">
        <v>771</v>
      </c>
      <c r="C1333" s="179" t="s">
        <v>1116</v>
      </c>
      <c r="D1333" s="179" t="s">
        <v>773</v>
      </c>
      <c r="E1333" s="179" t="s">
        <v>459</v>
      </c>
      <c r="F1333" s="179" t="s">
        <v>774</v>
      </c>
      <c r="G1333" s="179" t="s">
        <v>775</v>
      </c>
      <c r="H1333" s="179" t="s">
        <v>1106</v>
      </c>
      <c r="I1333" s="179"/>
      <c r="J1333" s="179" t="s">
        <v>230</v>
      </c>
      <c r="K1333" s="179">
        <v>500.0</v>
      </c>
      <c r="L1333" s="179" t="s">
        <v>776</v>
      </c>
      <c r="M1333" s="179" t="s">
        <v>8</v>
      </c>
      <c r="N1333" s="179">
        <v>1902.0</v>
      </c>
      <c r="O1333" s="179">
        <v>14.0</v>
      </c>
      <c r="P1333" s="179">
        <v>0.0074</v>
      </c>
      <c r="Q1333" s="179">
        <v>454.02</v>
      </c>
      <c r="R1333" s="179">
        <v>32.43</v>
      </c>
      <c r="S1333" s="179">
        <v>0.0</v>
      </c>
      <c r="T1333" s="179">
        <v>0.0</v>
      </c>
      <c r="U1333" s="179">
        <v>0.0</v>
      </c>
      <c r="V1333" s="179">
        <v>0.0</v>
      </c>
      <c r="W1333" s="179">
        <v>0.0</v>
      </c>
      <c r="X1333" s="179">
        <v>0.0</v>
      </c>
      <c r="Y1333" s="179">
        <v>0.0</v>
      </c>
      <c r="Z1333" s="179">
        <v>0.0</v>
      </c>
      <c r="AA1333" s="179">
        <v>0.0</v>
      </c>
      <c r="AB1333" s="179">
        <v>0.0</v>
      </c>
      <c r="AC1333" s="179">
        <v>0.0</v>
      </c>
      <c r="AD1333" s="179">
        <v>0.0</v>
      </c>
      <c r="AE1333" s="179">
        <v>0.0</v>
      </c>
      <c r="AF1333" s="179">
        <v>0.0</v>
      </c>
      <c r="AG1333" s="179">
        <v>0.0</v>
      </c>
      <c r="AH1333" s="179">
        <v>0.0</v>
      </c>
      <c r="AI1333" s="179">
        <v>0.0</v>
      </c>
      <c r="AJ1333" s="179">
        <v>0.0</v>
      </c>
    </row>
    <row r="1334" ht="15.75" customHeight="1">
      <c r="A1334" s="200">
        <v>45772.0</v>
      </c>
      <c r="B1334" s="179" t="s">
        <v>771</v>
      </c>
      <c r="C1334" s="179" t="s">
        <v>1323</v>
      </c>
      <c r="D1334" s="179" t="s">
        <v>773</v>
      </c>
      <c r="E1334" s="179" t="s">
        <v>463</v>
      </c>
      <c r="F1334" s="179" t="s">
        <v>774</v>
      </c>
      <c r="G1334" s="179"/>
      <c r="H1334" s="179" t="s">
        <v>1106</v>
      </c>
      <c r="I1334" s="179"/>
      <c r="J1334" s="179" t="s">
        <v>413</v>
      </c>
      <c r="K1334" s="179">
        <v>190.0</v>
      </c>
      <c r="L1334" s="179"/>
      <c r="M1334" s="179" t="s">
        <v>8</v>
      </c>
      <c r="N1334" s="179">
        <v>7272.0</v>
      </c>
      <c r="O1334" s="179">
        <v>118.0</v>
      </c>
      <c r="P1334" s="179">
        <v>0.0162</v>
      </c>
      <c r="Q1334" s="179">
        <v>423.28</v>
      </c>
      <c r="R1334" s="179">
        <v>3.59</v>
      </c>
      <c r="S1334" s="179">
        <v>132.0</v>
      </c>
      <c r="T1334" s="179">
        <v>0.0</v>
      </c>
      <c r="U1334" s="179">
        <v>0.0</v>
      </c>
      <c r="V1334" s="179">
        <v>0.0</v>
      </c>
      <c r="W1334" s="179">
        <v>0.0</v>
      </c>
      <c r="X1334" s="179">
        <v>0.0</v>
      </c>
      <c r="Y1334" s="179">
        <v>0.0</v>
      </c>
      <c r="Z1334" s="179">
        <v>0.0</v>
      </c>
      <c r="AA1334" s="179">
        <v>0.0</v>
      </c>
      <c r="AB1334" s="179">
        <v>5295.0</v>
      </c>
      <c r="AC1334" s="179">
        <v>79.94</v>
      </c>
      <c r="AD1334" s="179">
        <v>4587.0</v>
      </c>
      <c r="AE1334" s="179">
        <v>3499.0</v>
      </c>
      <c r="AF1334" s="179">
        <v>2427.0</v>
      </c>
      <c r="AG1334" s="179">
        <v>1544.0</v>
      </c>
      <c r="AH1334" s="179">
        <v>30.0</v>
      </c>
      <c r="AI1334" s="179">
        <v>0.7281</v>
      </c>
      <c r="AJ1334" s="179">
        <v>0.0223</v>
      </c>
    </row>
    <row r="1335" ht="15.75" customHeight="1">
      <c r="A1335" s="200">
        <v>45772.0</v>
      </c>
      <c r="B1335" s="179" t="s">
        <v>771</v>
      </c>
      <c r="C1335" s="179" t="s">
        <v>1254</v>
      </c>
      <c r="D1335" s="179" t="s">
        <v>773</v>
      </c>
      <c r="E1335" s="179" t="s">
        <v>459</v>
      </c>
      <c r="F1335" s="179" t="s">
        <v>774</v>
      </c>
      <c r="G1335" s="179" t="s">
        <v>775</v>
      </c>
      <c r="H1335" s="179" t="s">
        <v>1106</v>
      </c>
      <c r="I1335" s="179"/>
      <c r="J1335" s="179" t="s">
        <v>128</v>
      </c>
      <c r="K1335" s="179">
        <v>500.0</v>
      </c>
      <c r="L1335" s="195">
        <v>0.1779</v>
      </c>
      <c r="M1335" s="179" t="s">
        <v>8</v>
      </c>
      <c r="N1335" s="179">
        <v>2388.0</v>
      </c>
      <c r="O1335" s="179">
        <v>34.0</v>
      </c>
      <c r="P1335" s="179">
        <v>0.0142</v>
      </c>
      <c r="Q1335" s="179">
        <v>418.95</v>
      </c>
      <c r="R1335" s="179">
        <v>12.32</v>
      </c>
      <c r="S1335" s="179">
        <v>0.0</v>
      </c>
      <c r="T1335" s="179">
        <v>0.0</v>
      </c>
      <c r="U1335" s="179">
        <v>0.0</v>
      </c>
      <c r="V1335" s="179">
        <v>0.0</v>
      </c>
      <c r="W1335" s="179">
        <v>0.0</v>
      </c>
      <c r="X1335" s="179">
        <v>0.0</v>
      </c>
      <c r="Y1335" s="179">
        <v>0.0</v>
      </c>
      <c r="Z1335" s="179">
        <v>0.0</v>
      </c>
      <c r="AA1335" s="179">
        <v>0.0</v>
      </c>
      <c r="AB1335" s="179">
        <v>0.0</v>
      </c>
      <c r="AC1335" s="179">
        <v>0.0</v>
      </c>
      <c r="AD1335" s="179">
        <v>0.0</v>
      </c>
      <c r="AE1335" s="179">
        <v>0.0</v>
      </c>
      <c r="AF1335" s="179">
        <v>0.0</v>
      </c>
      <c r="AG1335" s="179">
        <v>0.0</v>
      </c>
      <c r="AH1335" s="179">
        <v>0.0</v>
      </c>
      <c r="AI1335" s="179">
        <v>0.0</v>
      </c>
      <c r="AJ1335" s="179">
        <v>0.0</v>
      </c>
    </row>
    <row r="1336" ht="15.75" customHeight="1">
      <c r="A1336" s="200">
        <v>45772.0</v>
      </c>
      <c r="B1336" s="179" t="s">
        <v>771</v>
      </c>
      <c r="C1336" s="179" t="s">
        <v>1102</v>
      </c>
      <c r="D1336" s="179" t="s">
        <v>773</v>
      </c>
      <c r="E1336" s="179" t="s">
        <v>460</v>
      </c>
      <c r="F1336" s="179" t="s">
        <v>778</v>
      </c>
      <c r="G1336" s="179" t="s">
        <v>775</v>
      </c>
      <c r="H1336" s="179" t="s">
        <v>1106</v>
      </c>
      <c r="I1336" s="179"/>
      <c r="J1336" s="179" t="s">
        <v>211</v>
      </c>
      <c r="K1336" s="179">
        <v>1000.0</v>
      </c>
      <c r="L1336" s="179" t="s">
        <v>776</v>
      </c>
      <c r="M1336" s="179" t="s">
        <v>8</v>
      </c>
      <c r="N1336" s="179">
        <v>7470.0</v>
      </c>
      <c r="O1336" s="179">
        <v>134.0</v>
      </c>
      <c r="P1336" s="179">
        <v>0.0179</v>
      </c>
      <c r="Q1336" s="179">
        <v>320.92</v>
      </c>
      <c r="R1336" s="179">
        <v>2.39</v>
      </c>
      <c r="S1336" s="179">
        <v>0.0</v>
      </c>
      <c r="T1336" s="179">
        <v>11.0</v>
      </c>
      <c r="U1336" s="179">
        <v>17881.37</v>
      </c>
      <c r="V1336" s="179">
        <v>0.0179</v>
      </c>
      <c r="W1336" s="179">
        <v>55.7191</v>
      </c>
      <c r="X1336" s="179">
        <v>0.0</v>
      </c>
      <c r="Y1336" s="179">
        <v>0.0</v>
      </c>
      <c r="Z1336" s="179">
        <v>0.0</v>
      </c>
      <c r="AA1336" s="179">
        <v>0.0</v>
      </c>
      <c r="AB1336" s="179">
        <v>0.0</v>
      </c>
      <c r="AC1336" s="179">
        <v>0.0</v>
      </c>
      <c r="AD1336" s="179">
        <v>0.0</v>
      </c>
      <c r="AE1336" s="179">
        <v>0.0</v>
      </c>
      <c r="AF1336" s="179">
        <v>0.0</v>
      </c>
      <c r="AG1336" s="179">
        <v>0.0</v>
      </c>
      <c r="AH1336" s="179">
        <v>0.0</v>
      </c>
      <c r="AI1336" s="179">
        <v>0.0</v>
      </c>
      <c r="AJ1336" s="179">
        <v>0.0</v>
      </c>
    </row>
    <row r="1337" ht="15.75" customHeight="1">
      <c r="A1337" s="200">
        <v>45772.0</v>
      </c>
      <c r="B1337" s="179" t="s">
        <v>771</v>
      </c>
      <c r="C1337" s="179" t="s">
        <v>1134</v>
      </c>
      <c r="D1337" s="179" t="s">
        <v>773</v>
      </c>
      <c r="E1337" s="179" t="s">
        <v>459</v>
      </c>
      <c r="F1337" s="179" t="s">
        <v>774</v>
      </c>
      <c r="G1337" s="179" t="s">
        <v>775</v>
      </c>
      <c r="H1337" s="179" t="s">
        <v>1106</v>
      </c>
      <c r="I1337" s="179"/>
      <c r="J1337" s="179" t="s">
        <v>230</v>
      </c>
      <c r="K1337" s="179">
        <v>500.0</v>
      </c>
      <c r="L1337" s="195">
        <v>0.0676</v>
      </c>
      <c r="M1337" s="179" t="s">
        <v>8</v>
      </c>
      <c r="N1337" s="179">
        <v>249.0</v>
      </c>
      <c r="O1337" s="179">
        <v>3.0</v>
      </c>
      <c r="P1337" s="179">
        <v>0.012</v>
      </c>
      <c r="Q1337" s="179">
        <v>257.96</v>
      </c>
      <c r="R1337" s="179">
        <v>85.99</v>
      </c>
      <c r="S1337" s="179">
        <v>0.0</v>
      </c>
      <c r="T1337" s="179">
        <v>0.0</v>
      </c>
      <c r="U1337" s="179">
        <v>0.0</v>
      </c>
      <c r="V1337" s="179">
        <v>0.0</v>
      </c>
      <c r="W1337" s="179">
        <v>0.0</v>
      </c>
      <c r="X1337" s="179">
        <v>0.0</v>
      </c>
      <c r="Y1337" s="179">
        <v>0.0</v>
      </c>
      <c r="Z1337" s="179">
        <v>0.0</v>
      </c>
      <c r="AA1337" s="179">
        <v>0.0</v>
      </c>
      <c r="AB1337" s="179">
        <v>0.0</v>
      </c>
      <c r="AC1337" s="179">
        <v>0.0</v>
      </c>
      <c r="AD1337" s="179">
        <v>0.0</v>
      </c>
      <c r="AE1337" s="179">
        <v>0.0</v>
      </c>
      <c r="AF1337" s="179">
        <v>0.0</v>
      </c>
      <c r="AG1337" s="179">
        <v>0.0</v>
      </c>
      <c r="AH1337" s="179">
        <v>0.0</v>
      </c>
      <c r="AI1337" s="179">
        <v>0.0</v>
      </c>
      <c r="AJ1337" s="179">
        <v>0.0</v>
      </c>
    </row>
    <row r="1338" ht="15.75" customHeight="1">
      <c r="A1338" s="200">
        <v>45772.0</v>
      </c>
      <c r="B1338" s="179" t="s">
        <v>771</v>
      </c>
      <c r="C1338" s="179" t="s">
        <v>1108</v>
      </c>
      <c r="D1338" s="179" t="s">
        <v>773</v>
      </c>
      <c r="E1338" s="179" t="s">
        <v>459</v>
      </c>
      <c r="F1338" s="179" t="s">
        <v>774</v>
      </c>
      <c r="G1338" s="179" t="s">
        <v>775</v>
      </c>
      <c r="H1338" s="179" t="s">
        <v>1106</v>
      </c>
      <c r="I1338" s="179"/>
      <c r="J1338" s="179" t="s">
        <v>230</v>
      </c>
      <c r="K1338" s="179">
        <v>500.0</v>
      </c>
      <c r="L1338" s="179" t="s">
        <v>776</v>
      </c>
      <c r="M1338" s="179" t="s">
        <v>8</v>
      </c>
      <c r="N1338" s="179">
        <v>1248.0</v>
      </c>
      <c r="O1338" s="179">
        <v>3.0</v>
      </c>
      <c r="P1338" s="179">
        <v>0.0024</v>
      </c>
      <c r="Q1338" s="179">
        <v>198.45</v>
      </c>
      <c r="R1338" s="179">
        <v>66.15</v>
      </c>
      <c r="S1338" s="179">
        <v>0.0</v>
      </c>
      <c r="T1338" s="179">
        <v>0.0</v>
      </c>
      <c r="U1338" s="179">
        <v>0.0</v>
      </c>
      <c r="V1338" s="179">
        <v>0.0</v>
      </c>
      <c r="W1338" s="179">
        <v>0.0</v>
      </c>
      <c r="X1338" s="179">
        <v>0.0</v>
      </c>
      <c r="Y1338" s="179">
        <v>0.0</v>
      </c>
      <c r="Z1338" s="179">
        <v>0.0</v>
      </c>
      <c r="AA1338" s="179">
        <v>0.0</v>
      </c>
      <c r="AB1338" s="179">
        <v>0.0</v>
      </c>
      <c r="AC1338" s="179">
        <v>0.0</v>
      </c>
      <c r="AD1338" s="179">
        <v>0.0</v>
      </c>
      <c r="AE1338" s="179">
        <v>0.0</v>
      </c>
      <c r="AF1338" s="179">
        <v>0.0</v>
      </c>
      <c r="AG1338" s="179">
        <v>0.0</v>
      </c>
      <c r="AH1338" s="179">
        <v>0.0</v>
      </c>
      <c r="AI1338" s="179">
        <v>0.0</v>
      </c>
      <c r="AJ1338" s="179">
        <v>0.0</v>
      </c>
    </row>
    <row r="1339" ht="15.75" customHeight="1">
      <c r="A1339" s="200">
        <v>45772.0</v>
      </c>
      <c r="B1339" s="179" t="s">
        <v>771</v>
      </c>
      <c r="C1339" s="179" t="s">
        <v>1225</v>
      </c>
      <c r="D1339" s="179" t="s">
        <v>773</v>
      </c>
      <c r="E1339" s="179" t="s">
        <v>459</v>
      </c>
      <c r="F1339" s="179" t="s">
        <v>774</v>
      </c>
      <c r="G1339" s="179" t="s">
        <v>775</v>
      </c>
      <c r="H1339" s="179" t="s">
        <v>1106</v>
      </c>
      <c r="I1339" s="179"/>
      <c r="J1339" s="179" t="s">
        <v>134</v>
      </c>
      <c r="K1339" s="179">
        <v>500.0</v>
      </c>
      <c r="L1339" s="179" t="s">
        <v>776</v>
      </c>
      <c r="M1339" s="179" t="s">
        <v>8</v>
      </c>
      <c r="N1339" s="179">
        <v>1262.0</v>
      </c>
      <c r="O1339" s="179">
        <v>6.0</v>
      </c>
      <c r="P1339" s="179">
        <v>0.0048</v>
      </c>
      <c r="Q1339" s="179">
        <v>194.74</v>
      </c>
      <c r="R1339" s="179">
        <v>32.46</v>
      </c>
      <c r="S1339" s="179">
        <v>0.0</v>
      </c>
      <c r="T1339" s="179">
        <v>0.0</v>
      </c>
      <c r="U1339" s="179">
        <v>0.0</v>
      </c>
      <c r="V1339" s="179">
        <v>0.0</v>
      </c>
      <c r="W1339" s="179">
        <v>0.0</v>
      </c>
      <c r="X1339" s="179">
        <v>0.0</v>
      </c>
      <c r="Y1339" s="179">
        <v>0.0</v>
      </c>
      <c r="Z1339" s="179">
        <v>0.0</v>
      </c>
      <c r="AA1339" s="179">
        <v>0.0</v>
      </c>
      <c r="AB1339" s="179">
        <v>0.0</v>
      </c>
      <c r="AC1339" s="179">
        <v>0.0</v>
      </c>
      <c r="AD1339" s="179">
        <v>0.0</v>
      </c>
      <c r="AE1339" s="179">
        <v>0.0</v>
      </c>
      <c r="AF1339" s="179">
        <v>0.0</v>
      </c>
      <c r="AG1339" s="179">
        <v>0.0</v>
      </c>
      <c r="AH1339" s="179">
        <v>0.0</v>
      </c>
      <c r="AI1339" s="179">
        <v>0.0</v>
      </c>
      <c r="AJ1339" s="179">
        <v>0.0</v>
      </c>
    </row>
    <row r="1340" ht="15.75" customHeight="1">
      <c r="A1340" s="200">
        <v>45772.0</v>
      </c>
      <c r="B1340" s="179" t="s">
        <v>771</v>
      </c>
      <c r="C1340" s="179" t="s">
        <v>1131</v>
      </c>
      <c r="D1340" s="179" t="s">
        <v>773</v>
      </c>
      <c r="E1340" s="179" t="s">
        <v>459</v>
      </c>
      <c r="F1340" s="179" t="s">
        <v>774</v>
      </c>
      <c r="G1340" s="179" t="s">
        <v>775</v>
      </c>
      <c r="H1340" s="179" t="s">
        <v>1106</v>
      </c>
      <c r="I1340" s="179"/>
      <c r="J1340" s="179" t="s">
        <v>230</v>
      </c>
      <c r="K1340" s="179">
        <v>500.0</v>
      </c>
      <c r="L1340" s="179" t="s">
        <v>776</v>
      </c>
      <c r="M1340" s="179" t="s">
        <v>8</v>
      </c>
      <c r="N1340" s="179">
        <v>828.0</v>
      </c>
      <c r="O1340" s="179">
        <v>3.0</v>
      </c>
      <c r="P1340" s="179">
        <v>0.0036</v>
      </c>
      <c r="Q1340" s="179">
        <v>105.36</v>
      </c>
      <c r="R1340" s="179">
        <v>35.12</v>
      </c>
      <c r="S1340" s="179">
        <v>0.0</v>
      </c>
      <c r="T1340" s="179">
        <v>0.0</v>
      </c>
      <c r="U1340" s="179">
        <v>0.0</v>
      </c>
      <c r="V1340" s="179">
        <v>0.0</v>
      </c>
      <c r="W1340" s="179">
        <v>0.0</v>
      </c>
      <c r="X1340" s="179">
        <v>0.0</v>
      </c>
      <c r="Y1340" s="179">
        <v>0.0</v>
      </c>
      <c r="Z1340" s="179">
        <v>0.0</v>
      </c>
      <c r="AA1340" s="179">
        <v>0.0</v>
      </c>
      <c r="AB1340" s="179">
        <v>0.0</v>
      </c>
      <c r="AC1340" s="179">
        <v>0.0</v>
      </c>
      <c r="AD1340" s="179">
        <v>0.0</v>
      </c>
      <c r="AE1340" s="179">
        <v>0.0</v>
      </c>
      <c r="AF1340" s="179">
        <v>0.0</v>
      </c>
      <c r="AG1340" s="179">
        <v>0.0</v>
      </c>
      <c r="AH1340" s="179">
        <v>0.0</v>
      </c>
      <c r="AI1340" s="179">
        <v>0.0</v>
      </c>
      <c r="AJ1340" s="179">
        <v>0.0</v>
      </c>
    </row>
    <row r="1341" ht="15.75" customHeight="1">
      <c r="A1341" s="200">
        <v>45772.0</v>
      </c>
      <c r="B1341" s="179" t="s">
        <v>771</v>
      </c>
      <c r="C1341" s="179" t="s">
        <v>1326</v>
      </c>
      <c r="D1341" s="179" t="s">
        <v>773</v>
      </c>
      <c r="E1341" s="179" t="s">
        <v>459</v>
      </c>
      <c r="F1341" s="179" t="s">
        <v>774</v>
      </c>
      <c r="G1341" s="179" t="s">
        <v>783</v>
      </c>
      <c r="H1341" s="179" t="s">
        <v>1106</v>
      </c>
      <c r="I1341" s="179"/>
      <c r="J1341" s="179" t="s">
        <v>90</v>
      </c>
      <c r="K1341" s="179">
        <v>500.0</v>
      </c>
      <c r="L1341" s="179" t="s">
        <v>776</v>
      </c>
      <c r="M1341" s="179" t="s">
        <v>8</v>
      </c>
      <c r="N1341" s="179">
        <v>2619.0</v>
      </c>
      <c r="O1341" s="179">
        <v>9.0</v>
      </c>
      <c r="P1341" s="179">
        <v>0.0034</v>
      </c>
      <c r="Q1341" s="179">
        <v>89.61</v>
      </c>
      <c r="R1341" s="179">
        <v>9.96</v>
      </c>
      <c r="S1341" s="179">
        <v>0.0</v>
      </c>
      <c r="T1341" s="179">
        <v>0.0</v>
      </c>
      <c r="U1341" s="179">
        <v>0.0</v>
      </c>
      <c r="V1341" s="179">
        <v>0.0</v>
      </c>
      <c r="W1341" s="179">
        <v>0.0</v>
      </c>
      <c r="X1341" s="179">
        <v>0.0</v>
      </c>
      <c r="Y1341" s="179">
        <v>0.0</v>
      </c>
      <c r="Z1341" s="179">
        <v>0.0</v>
      </c>
      <c r="AA1341" s="179">
        <v>0.0</v>
      </c>
      <c r="AB1341" s="179">
        <v>0.0</v>
      </c>
      <c r="AC1341" s="179">
        <v>0.0</v>
      </c>
      <c r="AD1341" s="179">
        <v>0.0</v>
      </c>
      <c r="AE1341" s="179">
        <v>0.0</v>
      </c>
      <c r="AF1341" s="179">
        <v>0.0</v>
      </c>
      <c r="AG1341" s="179">
        <v>0.0</v>
      </c>
      <c r="AH1341" s="179">
        <v>0.0</v>
      </c>
      <c r="AI1341" s="179">
        <v>0.0</v>
      </c>
      <c r="AJ1341" s="179">
        <v>0.0</v>
      </c>
    </row>
    <row r="1342" ht="15.75" customHeight="1">
      <c r="A1342" s="200">
        <v>45772.0</v>
      </c>
      <c r="B1342" s="179" t="s">
        <v>771</v>
      </c>
      <c r="C1342" s="179" t="s">
        <v>1327</v>
      </c>
      <c r="D1342" s="179" t="s">
        <v>773</v>
      </c>
      <c r="E1342" s="179" t="s">
        <v>459</v>
      </c>
      <c r="F1342" s="179" t="s">
        <v>774</v>
      </c>
      <c r="G1342" s="179" t="s">
        <v>775</v>
      </c>
      <c r="H1342" s="179" t="s">
        <v>1106</v>
      </c>
      <c r="I1342" s="179"/>
      <c r="J1342" s="179" t="s">
        <v>158</v>
      </c>
      <c r="K1342" s="179">
        <v>800.0</v>
      </c>
      <c r="L1342" s="179" t="s">
        <v>776</v>
      </c>
      <c r="M1342" s="179" t="s">
        <v>8</v>
      </c>
      <c r="N1342" s="179">
        <v>405.0</v>
      </c>
      <c r="O1342" s="179">
        <v>4.0</v>
      </c>
      <c r="P1342" s="179">
        <v>0.0099</v>
      </c>
      <c r="Q1342" s="179">
        <v>78.32</v>
      </c>
      <c r="R1342" s="179">
        <v>19.58</v>
      </c>
      <c r="S1342" s="179">
        <v>0.0</v>
      </c>
      <c r="T1342" s="179">
        <v>0.0</v>
      </c>
      <c r="U1342" s="179">
        <v>0.0</v>
      </c>
      <c r="V1342" s="179">
        <v>0.0</v>
      </c>
      <c r="W1342" s="179">
        <v>0.0</v>
      </c>
      <c r="X1342" s="179">
        <v>0.0</v>
      </c>
      <c r="Y1342" s="179">
        <v>0.0</v>
      </c>
      <c r="Z1342" s="179">
        <v>0.0</v>
      </c>
      <c r="AA1342" s="179">
        <v>0.0</v>
      </c>
      <c r="AB1342" s="179">
        <v>0.0</v>
      </c>
      <c r="AC1342" s="179">
        <v>0.0</v>
      </c>
      <c r="AD1342" s="179">
        <v>0.0</v>
      </c>
      <c r="AE1342" s="179">
        <v>0.0</v>
      </c>
      <c r="AF1342" s="179">
        <v>0.0</v>
      </c>
      <c r="AG1342" s="179">
        <v>0.0</v>
      </c>
      <c r="AH1342" s="179">
        <v>0.0</v>
      </c>
      <c r="AI1342" s="179">
        <v>0.0</v>
      </c>
      <c r="AJ1342" s="179">
        <v>0.0</v>
      </c>
    </row>
    <row r="1343" ht="15.75" customHeight="1">
      <c r="A1343" s="200">
        <v>45772.0</v>
      </c>
      <c r="B1343" s="179" t="s">
        <v>771</v>
      </c>
      <c r="C1343" s="179" t="s">
        <v>1328</v>
      </c>
      <c r="D1343" s="179" t="s">
        <v>773</v>
      </c>
      <c r="E1343" s="179" t="s">
        <v>459</v>
      </c>
      <c r="F1343" s="179" t="s">
        <v>774</v>
      </c>
      <c r="G1343" s="179" t="s">
        <v>783</v>
      </c>
      <c r="H1343" s="179" t="s">
        <v>1106</v>
      </c>
      <c r="I1343" s="179"/>
      <c r="J1343" s="179" t="s">
        <v>217</v>
      </c>
      <c r="K1343" s="179">
        <v>290.0</v>
      </c>
      <c r="L1343" s="179" t="s">
        <v>776</v>
      </c>
      <c r="M1343" s="179" t="s">
        <v>8</v>
      </c>
      <c r="N1343" s="179">
        <v>229.0</v>
      </c>
      <c r="O1343" s="179">
        <v>9.0</v>
      </c>
      <c r="P1343" s="179">
        <v>0.0393</v>
      </c>
      <c r="Q1343" s="179">
        <v>30.97</v>
      </c>
      <c r="R1343" s="179">
        <v>3.44</v>
      </c>
      <c r="S1343" s="179">
        <v>0.0</v>
      </c>
      <c r="T1343" s="179">
        <v>0.0</v>
      </c>
      <c r="U1343" s="179">
        <v>0.0</v>
      </c>
      <c r="V1343" s="179">
        <v>0.0</v>
      </c>
      <c r="W1343" s="179">
        <v>0.0</v>
      </c>
      <c r="X1343" s="179">
        <v>0.0</v>
      </c>
      <c r="Y1343" s="179">
        <v>0.0</v>
      </c>
      <c r="Z1343" s="179">
        <v>0.0</v>
      </c>
      <c r="AA1343" s="179">
        <v>0.0</v>
      </c>
      <c r="AB1343" s="179">
        <v>0.0</v>
      </c>
      <c r="AC1343" s="179">
        <v>0.0</v>
      </c>
      <c r="AD1343" s="179">
        <v>0.0</v>
      </c>
      <c r="AE1343" s="179">
        <v>0.0</v>
      </c>
      <c r="AF1343" s="179">
        <v>0.0</v>
      </c>
      <c r="AG1343" s="179">
        <v>0.0</v>
      </c>
      <c r="AH1343" s="179">
        <v>0.0</v>
      </c>
      <c r="AI1343" s="179">
        <v>0.0</v>
      </c>
      <c r="AJ1343" s="179">
        <v>0.0</v>
      </c>
    </row>
    <row r="1344" ht="15.75" customHeight="1">
      <c r="A1344" s="200">
        <v>45772.0</v>
      </c>
      <c r="B1344" s="179" t="s">
        <v>771</v>
      </c>
      <c r="C1344" s="179" t="s">
        <v>1002</v>
      </c>
      <c r="D1344" s="179" t="s">
        <v>773</v>
      </c>
      <c r="E1344" s="179" t="s">
        <v>459</v>
      </c>
      <c r="F1344" s="179" t="s">
        <v>774</v>
      </c>
      <c r="G1344" s="179" t="s">
        <v>775</v>
      </c>
      <c r="H1344" s="179" t="s">
        <v>1106</v>
      </c>
      <c r="I1344" s="179"/>
      <c r="J1344" s="179" t="s">
        <v>217</v>
      </c>
      <c r="K1344" s="179">
        <v>200.0</v>
      </c>
      <c r="L1344" s="179" t="s">
        <v>776</v>
      </c>
      <c r="M1344" s="179" t="s">
        <v>8</v>
      </c>
      <c r="N1344" s="179">
        <v>386.0</v>
      </c>
      <c r="O1344" s="179">
        <v>1.0</v>
      </c>
      <c r="P1344" s="179">
        <v>0.0026</v>
      </c>
      <c r="Q1344" s="179">
        <v>6.08</v>
      </c>
      <c r="R1344" s="179">
        <v>6.08</v>
      </c>
      <c r="S1344" s="179">
        <v>0.0</v>
      </c>
      <c r="T1344" s="179">
        <v>0.0</v>
      </c>
      <c r="U1344" s="179">
        <v>0.0</v>
      </c>
      <c r="V1344" s="179">
        <v>0.0</v>
      </c>
      <c r="W1344" s="179">
        <v>0.0</v>
      </c>
      <c r="X1344" s="179">
        <v>0.0</v>
      </c>
      <c r="Y1344" s="179">
        <v>0.0</v>
      </c>
      <c r="Z1344" s="179">
        <v>0.0</v>
      </c>
      <c r="AA1344" s="179">
        <v>0.0</v>
      </c>
      <c r="AB1344" s="179">
        <v>0.0</v>
      </c>
      <c r="AC1344" s="179">
        <v>0.0</v>
      </c>
      <c r="AD1344" s="179">
        <v>0.0</v>
      </c>
      <c r="AE1344" s="179">
        <v>0.0</v>
      </c>
      <c r="AF1344" s="179">
        <v>0.0</v>
      </c>
      <c r="AG1344" s="179">
        <v>0.0</v>
      </c>
      <c r="AH1344" s="179">
        <v>0.0</v>
      </c>
      <c r="AI1344" s="179">
        <v>0.0</v>
      </c>
      <c r="AJ1344" s="179">
        <v>0.0</v>
      </c>
    </row>
    <row r="1345" ht="15.75" customHeight="1">
      <c r="A1345" s="200">
        <v>45772.0</v>
      </c>
      <c r="B1345" s="179" t="s">
        <v>779</v>
      </c>
      <c r="C1345" s="179" t="s">
        <v>1023</v>
      </c>
      <c r="D1345" s="179" t="s">
        <v>781</v>
      </c>
      <c r="E1345" s="179" t="s">
        <v>459</v>
      </c>
      <c r="F1345" s="179" t="s">
        <v>774</v>
      </c>
      <c r="G1345" s="179" t="s">
        <v>775</v>
      </c>
      <c r="H1345" s="179" t="s">
        <v>1106</v>
      </c>
      <c r="I1345" s="179"/>
      <c r="J1345" s="179" t="s">
        <v>230</v>
      </c>
      <c r="K1345" s="179">
        <v>2000.0</v>
      </c>
      <c r="L1345" s="179" t="s">
        <v>776</v>
      </c>
      <c r="M1345" s="179" t="s">
        <v>8</v>
      </c>
      <c r="N1345" s="179">
        <v>323.0</v>
      </c>
      <c r="O1345" s="179">
        <v>0.0</v>
      </c>
      <c r="P1345" s="179">
        <v>0.0</v>
      </c>
      <c r="Q1345" s="179">
        <v>0.0</v>
      </c>
      <c r="R1345" s="179">
        <v>0.0</v>
      </c>
      <c r="S1345" s="179">
        <v>0.0</v>
      </c>
      <c r="T1345" s="179">
        <v>0.0</v>
      </c>
      <c r="U1345" s="179">
        <v>0.0</v>
      </c>
      <c r="V1345" s="179">
        <v>0.0</v>
      </c>
      <c r="W1345" s="179">
        <v>0.0</v>
      </c>
      <c r="X1345" s="179">
        <v>0.0</v>
      </c>
      <c r="Y1345" s="179">
        <v>0.0</v>
      </c>
      <c r="Z1345" s="179">
        <v>0.0</v>
      </c>
      <c r="AA1345" s="179">
        <v>0.0</v>
      </c>
      <c r="AB1345" s="179">
        <v>0.0</v>
      </c>
      <c r="AC1345" s="179">
        <v>0.0</v>
      </c>
      <c r="AD1345" s="179">
        <v>0.0</v>
      </c>
      <c r="AE1345" s="179">
        <v>0.0</v>
      </c>
      <c r="AF1345" s="179">
        <v>0.0</v>
      </c>
      <c r="AG1345" s="179">
        <v>0.0</v>
      </c>
      <c r="AH1345" s="179">
        <v>0.0</v>
      </c>
      <c r="AI1345" s="179">
        <v>0.0</v>
      </c>
      <c r="AJ1345" s="179">
        <v>0.0</v>
      </c>
    </row>
    <row r="1346" ht="15.75" customHeight="1">
      <c r="A1346" s="200">
        <v>45772.0</v>
      </c>
      <c r="B1346" s="179" t="s">
        <v>771</v>
      </c>
      <c r="C1346" s="179" t="s">
        <v>1135</v>
      </c>
      <c r="D1346" s="179" t="s">
        <v>773</v>
      </c>
      <c r="E1346" s="179" t="s">
        <v>459</v>
      </c>
      <c r="F1346" s="179" t="s">
        <v>774</v>
      </c>
      <c r="G1346" s="179" t="s">
        <v>775</v>
      </c>
      <c r="H1346" s="179" t="s">
        <v>1106</v>
      </c>
      <c r="I1346" s="179"/>
      <c r="J1346" s="179" t="s">
        <v>230</v>
      </c>
      <c r="K1346" s="179">
        <v>500.0</v>
      </c>
      <c r="L1346" s="195">
        <v>0.0526</v>
      </c>
      <c r="M1346" s="179" t="s">
        <v>8</v>
      </c>
      <c r="N1346" s="179">
        <v>209.0</v>
      </c>
      <c r="O1346" s="179">
        <v>0.0</v>
      </c>
      <c r="P1346" s="179">
        <v>0.0</v>
      </c>
      <c r="Q1346" s="179">
        <v>0.0</v>
      </c>
      <c r="R1346" s="179">
        <v>0.0</v>
      </c>
      <c r="S1346" s="179">
        <v>0.0</v>
      </c>
      <c r="T1346" s="179">
        <v>0.0</v>
      </c>
      <c r="U1346" s="179">
        <v>0.0</v>
      </c>
      <c r="V1346" s="179">
        <v>0.0</v>
      </c>
      <c r="W1346" s="179">
        <v>0.0</v>
      </c>
      <c r="X1346" s="179">
        <v>0.0</v>
      </c>
      <c r="Y1346" s="179">
        <v>0.0</v>
      </c>
      <c r="Z1346" s="179">
        <v>0.0</v>
      </c>
      <c r="AA1346" s="179">
        <v>0.0</v>
      </c>
      <c r="AB1346" s="179">
        <v>0.0</v>
      </c>
      <c r="AC1346" s="179">
        <v>0.0</v>
      </c>
      <c r="AD1346" s="179">
        <v>0.0</v>
      </c>
      <c r="AE1346" s="179">
        <v>0.0</v>
      </c>
      <c r="AF1346" s="179">
        <v>0.0</v>
      </c>
      <c r="AG1346" s="179">
        <v>0.0</v>
      </c>
      <c r="AH1346" s="179">
        <v>0.0</v>
      </c>
      <c r="AI1346" s="179">
        <v>0.0</v>
      </c>
      <c r="AJ1346" s="179">
        <v>0.0</v>
      </c>
    </row>
    <row r="1347" ht="15.75" customHeight="1">
      <c r="A1347" s="200">
        <v>45772.0</v>
      </c>
      <c r="B1347" s="179" t="s">
        <v>771</v>
      </c>
      <c r="C1347" s="179" t="s">
        <v>1119</v>
      </c>
      <c r="D1347" s="179" t="s">
        <v>773</v>
      </c>
      <c r="E1347" s="179" t="s">
        <v>459</v>
      </c>
      <c r="F1347" s="179" t="s">
        <v>774</v>
      </c>
      <c r="G1347" s="179" t="s">
        <v>775</v>
      </c>
      <c r="H1347" s="179" t="s">
        <v>1106</v>
      </c>
      <c r="I1347" s="179"/>
      <c r="J1347" s="179" t="s">
        <v>230</v>
      </c>
      <c r="K1347" s="179">
        <v>500.0</v>
      </c>
      <c r="L1347" s="179" t="s">
        <v>776</v>
      </c>
      <c r="M1347" s="179" t="s">
        <v>8</v>
      </c>
      <c r="N1347" s="179">
        <v>182.0</v>
      </c>
      <c r="O1347" s="179">
        <v>0.0</v>
      </c>
      <c r="P1347" s="179">
        <v>0.0</v>
      </c>
      <c r="Q1347" s="179">
        <v>0.0</v>
      </c>
      <c r="R1347" s="179">
        <v>0.0</v>
      </c>
      <c r="S1347" s="179">
        <v>0.0</v>
      </c>
      <c r="T1347" s="179">
        <v>0.0</v>
      </c>
      <c r="U1347" s="179">
        <v>0.0</v>
      </c>
      <c r="V1347" s="179">
        <v>0.0</v>
      </c>
      <c r="W1347" s="179">
        <v>0.0</v>
      </c>
      <c r="X1347" s="179">
        <v>0.0</v>
      </c>
      <c r="Y1347" s="179">
        <v>0.0</v>
      </c>
      <c r="Z1347" s="179">
        <v>0.0</v>
      </c>
      <c r="AA1347" s="179">
        <v>0.0</v>
      </c>
      <c r="AB1347" s="179">
        <v>0.0</v>
      </c>
      <c r="AC1347" s="179">
        <v>0.0</v>
      </c>
      <c r="AD1347" s="179">
        <v>0.0</v>
      </c>
      <c r="AE1347" s="179">
        <v>0.0</v>
      </c>
      <c r="AF1347" s="179">
        <v>0.0</v>
      </c>
      <c r="AG1347" s="179">
        <v>0.0</v>
      </c>
      <c r="AH1347" s="179">
        <v>0.0</v>
      </c>
      <c r="AI1347" s="179">
        <v>0.0</v>
      </c>
      <c r="AJ1347" s="179">
        <v>0.0</v>
      </c>
    </row>
    <row r="1348" ht="15.75" customHeight="1">
      <c r="A1348" s="200">
        <v>45772.0</v>
      </c>
      <c r="B1348" s="179" t="s">
        <v>771</v>
      </c>
      <c r="C1348" s="179" t="s">
        <v>1330</v>
      </c>
      <c r="D1348" s="179" t="s">
        <v>773</v>
      </c>
      <c r="E1348" s="179" t="s">
        <v>460</v>
      </c>
      <c r="F1348" s="179" t="s">
        <v>778</v>
      </c>
      <c r="G1348" s="179" t="s">
        <v>775</v>
      </c>
      <c r="H1348" s="179" t="s">
        <v>1106</v>
      </c>
      <c r="I1348" s="179"/>
      <c r="J1348" s="179"/>
      <c r="K1348" s="179">
        <v>500.0</v>
      </c>
      <c r="L1348" s="179"/>
      <c r="M1348" s="179" t="s">
        <v>8</v>
      </c>
      <c r="N1348" s="179">
        <v>9.0</v>
      </c>
      <c r="O1348" s="179">
        <v>0.0</v>
      </c>
      <c r="P1348" s="179">
        <v>0.0</v>
      </c>
      <c r="Q1348" s="179">
        <v>0.0</v>
      </c>
      <c r="R1348" s="179">
        <v>0.0</v>
      </c>
      <c r="S1348" s="179">
        <v>0.0</v>
      </c>
      <c r="T1348" s="179">
        <v>0.0</v>
      </c>
      <c r="U1348" s="179">
        <v>0.0</v>
      </c>
      <c r="V1348" s="179">
        <v>0.0</v>
      </c>
      <c r="W1348" s="179">
        <v>0.0</v>
      </c>
      <c r="X1348" s="179">
        <v>0.0</v>
      </c>
      <c r="Y1348" s="179">
        <v>0.0</v>
      </c>
      <c r="Z1348" s="179">
        <v>0.0</v>
      </c>
      <c r="AA1348" s="179">
        <v>0.0</v>
      </c>
      <c r="AB1348" s="179">
        <v>0.0</v>
      </c>
      <c r="AC1348" s="179">
        <v>0.0</v>
      </c>
      <c r="AD1348" s="179">
        <v>0.0</v>
      </c>
      <c r="AE1348" s="179">
        <v>0.0</v>
      </c>
      <c r="AF1348" s="179">
        <v>0.0</v>
      </c>
      <c r="AG1348" s="179">
        <v>0.0</v>
      </c>
      <c r="AH1348" s="179">
        <v>0.0</v>
      </c>
      <c r="AI1348" s="179">
        <v>0.0</v>
      </c>
      <c r="AJ1348" s="179">
        <v>0.0</v>
      </c>
    </row>
    <row r="1349" ht="15.75" customHeight="1">
      <c r="A1349" s="200">
        <v>45772.0</v>
      </c>
      <c r="B1349" s="179" t="s">
        <v>771</v>
      </c>
      <c r="C1349" s="179" t="s">
        <v>1331</v>
      </c>
      <c r="D1349" s="179" t="s">
        <v>773</v>
      </c>
      <c r="E1349" s="179" t="s">
        <v>460</v>
      </c>
      <c r="F1349" s="179" t="s">
        <v>778</v>
      </c>
      <c r="G1349" s="179" t="s">
        <v>775</v>
      </c>
      <c r="H1349" s="179" t="s">
        <v>1106</v>
      </c>
      <c r="I1349" s="179"/>
      <c r="J1349" s="179"/>
      <c r="K1349" s="179">
        <v>800.0</v>
      </c>
      <c r="L1349" s="179"/>
      <c r="M1349" s="179" t="s">
        <v>8</v>
      </c>
      <c r="N1349" s="179">
        <v>61.0</v>
      </c>
      <c r="O1349" s="179">
        <v>0.0</v>
      </c>
      <c r="P1349" s="179">
        <v>0.0</v>
      </c>
      <c r="Q1349" s="179">
        <v>0.0</v>
      </c>
      <c r="R1349" s="179">
        <v>0.0</v>
      </c>
      <c r="S1349" s="179">
        <v>0.0</v>
      </c>
      <c r="T1349" s="179">
        <v>0.0</v>
      </c>
      <c r="U1349" s="179">
        <v>0.0</v>
      </c>
      <c r="V1349" s="179">
        <v>0.0</v>
      </c>
      <c r="W1349" s="179">
        <v>0.0</v>
      </c>
      <c r="X1349" s="179">
        <v>0.0</v>
      </c>
      <c r="Y1349" s="179">
        <v>0.0</v>
      </c>
      <c r="Z1349" s="179">
        <v>0.0</v>
      </c>
      <c r="AA1349" s="179">
        <v>0.0</v>
      </c>
      <c r="AB1349" s="179">
        <v>0.0</v>
      </c>
      <c r="AC1349" s="179">
        <v>0.0</v>
      </c>
      <c r="AD1349" s="179">
        <v>0.0</v>
      </c>
      <c r="AE1349" s="179">
        <v>0.0</v>
      </c>
      <c r="AF1349" s="179">
        <v>0.0</v>
      </c>
      <c r="AG1349" s="179">
        <v>0.0</v>
      </c>
      <c r="AH1349" s="179">
        <v>0.0</v>
      </c>
      <c r="AI1349" s="179">
        <v>0.0</v>
      </c>
      <c r="AJ1349" s="179">
        <v>0.0</v>
      </c>
    </row>
  </sheetData>
  <autoFilter ref="$A$1:$AJ$1219"/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22.57"/>
    <col customWidth="1" min="3" max="3" width="24.43"/>
    <col customWidth="1" min="4" max="4" width="19.57"/>
    <col customWidth="1" min="5" max="5" width="63.0"/>
    <col customWidth="1" min="6" max="6" width="12.29"/>
    <col customWidth="1" min="7" max="20" width="8.71"/>
    <col customWidth="1" min="21" max="21" width="19.86"/>
    <col customWidth="1" min="22" max="24" width="8.71"/>
  </cols>
  <sheetData>
    <row r="1">
      <c r="A1" s="189" t="s">
        <v>318</v>
      </c>
      <c r="B1" s="189" t="s">
        <v>255</v>
      </c>
      <c r="C1" s="189" t="s">
        <v>839</v>
      </c>
      <c r="D1" s="189" t="s">
        <v>320</v>
      </c>
      <c r="E1" s="189" t="s">
        <v>840</v>
      </c>
      <c r="F1" s="189" t="s">
        <v>481</v>
      </c>
      <c r="G1" s="189" t="s">
        <v>842</v>
      </c>
      <c r="H1" s="189" t="s">
        <v>843</v>
      </c>
      <c r="I1" s="189" t="s">
        <v>844</v>
      </c>
      <c r="J1" s="189" t="s">
        <v>845</v>
      </c>
      <c r="K1" s="189" t="s">
        <v>846</v>
      </c>
      <c r="L1" s="189" t="s">
        <v>848</v>
      </c>
      <c r="M1" s="189" t="s">
        <v>849</v>
      </c>
      <c r="N1" s="189" t="s">
        <v>850</v>
      </c>
      <c r="O1" s="189" t="s">
        <v>851</v>
      </c>
      <c r="P1" s="189" t="s">
        <v>852</v>
      </c>
      <c r="Q1" s="189" t="s">
        <v>853</v>
      </c>
      <c r="R1" s="189" t="s">
        <v>854</v>
      </c>
      <c r="S1" s="189" t="s">
        <v>855</v>
      </c>
      <c r="T1" s="189" t="s">
        <v>856</v>
      </c>
      <c r="U1" s="190" t="s">
        <v>858</v>
      </c>
      <c r="V1" s="189" t="s">
        <v>859</v>
      </c>
      <c r="W1" s="189" t="s">
        <v>860</v>
      </c>
      <c r="X1" s="189" t="s">
        <v>861</v>
      </c>
    </row>
    <row r="2">
      <c r="A2" s="100" t="s">
        <v>36</v>
      </c>
      <c r="B2" s="10" t="str">
        <f t="array" ref="B2">_xlfn.XLOOKUP(D2,'Referanc '!$A:$A,'Referanc '!$B:$B)</f>
        <v>Standing Table  - M8</v>
      </c>
      <c r="C2" s="10" t="s">
        <v>289</v>
      </c>
      <c r="D2" s="10" t="s">
        <v>289</v>
      </c>
      <c r="E2" s="10" t="s">
        <v>508</v>
      </c>
      <c r="F2" s="10" t="str">
        <f t="array" ref="F2">_xlfn.XLOOKUP(D2,'Referanc '!$A:$A,'Referanc '!$E:$E)</f>
        <v>M8</v>
      </c>
      <c r="G2" s="191">
        <v>2947.0</v>
      </c>
      <c r="H2" s="10">
        <v>132.0</v>
      </c>
      <c r="I2" s="48">
        <v>0.1213</v>
      </c>
      <c r="J2" s="48">
        <v>0.1215</v>
      </c>
      <c r="K2" s="191">
        <v>3903.0</v>
      </c>
      <c r="L2" s="10">
        <v>186.0</v>
      </c>
      <c r="M2" s="48">
        <v>0.1215</v>
      </c>
      <c r="N2" s="48">
        <v>0.1272</v>
      </c>
      <c r="O2" s="48">
        <v>0.7945</v>
      </c>
      <c r="P2" s="48">
        <v>0.8315</v>
      </c>
      <c r="Q2" s="10">
        <v>10.0</v>
      </c>
      <c r="R2" s="10">
        <v>2.0</v>
      </c>
      <c r="S2" s="48">
        <v>0.0034</v>
      </c>
      <c r="T2" s="48">
        <v>0.0152</v>
      </c>
      <c r="U2" s="192">
        <v>158990.0</v>
      </c>
      <c r="V2" s="192">
        <v>31798.0</v>
      </c>
      <c r="W2" s="10">
        <v>10.0</v>
      </c>
      <c r="X2" s="10">
        <v>2.0</v>
      </c>
    </row>
    <row r="3">
      <c r="A3" s="100" t="s">
        <v>36</v>
      </c>
      <c r="B3" s="10" t="str">
        <f t="array" ref="B3">_xlfn.XLOOKUP(D3,'Referanc '!$A:$A,'Referanc '!$B:$B)</f>
        <v>Standing Table  - SM3</v>
      </c>
      <c r="C3" s="10" t="s">
        <v>291</v>
      </c>
      <c r="D3" s="10" t="s">
        <v>291</v>
      </c>
      <c r="E3" s="10" t="s">
        <v>492</v>
      </c>
      <c r="F3" s="10" t="str">
        <f t="array" ref="F3">_xlfn.XLOOKUP(D3,'Referanc '!$A:$A,'Referanc '!$E:$E)</f>
        <v>SM3</v>
      </c>
      <c r="G3" s="191">
        <v>2377.0</v>
      </c>
      <c r="H3" s="10">
        <v>133.0</v>
      </c>
      <c r="I3" s="48">
        <v>0.0978</v>
      </c>
      <c r="J3" s="48">
        <v>0.1225</v>
      </c>
      <c r="K3" s="191">
        <v>3305.0</v>
      </c>
      <c r="L3" s="10">
        <v>176.0</v>
      </c>
      <c r="M3" s="48">
        <v>0.1029</v>
      </c>
      <c r="N3" s="48">
        <v>0.1204</v>
      </c>
      <c r="O3" s="48">
        <v>0.9056</v>
      </c>
      <c r="P3" s="48">
        <v>0.7949</v>
      </c>
      <c r="Q3" s="10">
        <v>10.0</v>
      </c>
      <c r="R3" s="10">
        <v>0.0</v>
      </c>
      <c r="S3" s="48">
        <v>0.0042</v>
      </c>
      <c r="T3" s="48">
        <v>0.0</v>
      </c>
      <c r="U3" s="192">
        <v>209000.0</v>
      </c>
      <c r="V3" s="10">
        <v>0.0</v>
      </c>
      <c r="W3" s="10">
        <v>10.0</v>
      </c>
      <c r="X3" s="10">
        <v>0.0</v>
      </c>
    </row>
    <row r="4">
      <c r="A4" s="100" t="s">
        <v>36</v>
      </c>
      <c r="B4" s="10" t="str">
        <f t="array" ref="B4">_xlfn.XLOOKUP(D4,'Referanc '!$A:$A,'Referanc '!$B:$B)</f>
        <v>Standing Table  - E2</v>
      </c>
      <c r="C4" s="10" t="s">
        <v>293</v>
      </c>
      <c r="D4" s="10" t="s">
        <v>293</v>
      </c>
      <c r="E4" s="10" t="s">
        <v>514</v>
      </c>
      <c r="F4" s="10" t="str">
        <f t="array" ref="F4">_xlfn.XLOOKUP(D4,'Referanc '!$A:$A,'Referanc '!$E:$E)</f>
        <v>E2</v>
      </c>
      <c r="G4" s="191">
        <v>2422.0</v>
      </c>
      <c r="H4" s="10">
        <v>120.0</v>
      </c>
      <c r="I4" s="48">
        <v>0.0997</v>
      </c>
      <c r="J4" s="48">
        <v>0.1105</v>
      </c>
      <c r="K4" s="191">
        <v>3227.0</v>
      </c>
      <c r="L4" s="10">
        <v>168.0</v>
      </c>
      <c r="M4" s="48">
        <v>0.1004</v>
      </c>
      <c r="N4" s="48">
        <v>0.1149</v>
      </c>
      <c r="O4" s="48">
        <v>0.8318</v>
      </c>
      <c r="P4" s="48">
        <v>0.8151</v>
      </c>
      <c r="Q4" s="10">
        <v>10.0</v>
      </c>
      <c r="R4" s="10">
        <v>2.0</v>
      </c>
      <c r="S4" s="48">
        <v>0.0041</v>
      </c>
      <c r="T4" s="48">
        <v>0.0167</v>
      </c>
      <c r="U4" s="192">
        <v>299000.0</v>
      </c>
      <c r="V4" s="192">
        <v>59800.0</v>
      </c>
      <c r="W4" s="10">
        <v>10.0</v>
      </c>
      <c r="X4" s="10">
        <v>2.0</v>
      </c>
    </row>
    <row r="5">
      <c r="A5" s="100" t="s">
        <v>36</v>
      </c>
      <c r="B5" s="10" t="str">
        <f t="array" ref="B5">_xlfn.XLOOKUP(D5,'Referanc '!$A:$A,'Referanc '!$B:$B)</f>
        <v>Standing Table  - SM3</v>
      </c>
      <c r="C5" s="10" t="s">
        <v>296</v>
      </c>
      <c r="D5" s="10" t="s">
        <v>296</v>
      </c>
      <c r="E5" s="10" t="s">
        <v>498</v>
      </c>
      <c r="F5" s="10" t="str">
        <f t="array" ref="F5">_xlfn.XLOOKUP(D5,'Referanc '!$A:$A,'Referanc '!$E:$E)</f>
        <v>SM3</v>
      </c>
      <c r="G5" s="191">
        <v>1444.0</v>
      </c>
      <c r="H5" s="10">
        <v>75.0</v>
      </c>
      <c r="I5" s="48">
        <v>0.0594</v>
      </c>
      <c r="J5" s="48">
        <v>0.0691</v>
      </c>
      <c r="K5" s="191">
        <v>1968.0</v>
      </c>
      <c r="L5" s="10">
        <v>96.0</v>
      </c>
      <c r="M5" s="48">
        <v>0.0613</v>
      </c>
      <c r="N5" s="48">
        <v>0.0657</v>
      </c>
      <c r="O5" s="48">
        <v>0.9439</v>
      </c>
      <c r="P5" s="48">
        <v>0.764</v>
      </c>
      <c r="Q5" s="10">
        <v>9.0</v>
      </c>
      <c r="R5" s="10">
        <v>1.0</v>
      </c>
      <c r="S5" s="48">
        <v>0.0062</v>
      </c>
      <c r="T5" s="48">
        <v>0.0133</v>
      </c>
      <c r="U5" s="192">
        <v>220500.0</v>
      </c>
      <c r="V5" s="192">
        <v>24500.0</v>
      </c>
      <c r="W5" s="10">
        <v>9.0</v>
      </c>
      <c r="X5" s="10">
        <v>1.0</v>
      </c>
    </row>
    <row r="6">
      <c r="A6" s="100" t="s">
        <v>36</v>
      </c>
      <c r="B6" s="10" t="str">
        <f t="array" ref="B6">_xlfn.XLOOKUP(D6,'Referanc '!$A:$A,'Referanc '!$B:$B)</f>
        <v>Standing Table - All Frames</v>
      </c>
      <c r="C6" s="10" t="s">
        <v>298</v>
      </c>
      <c r="D6" s="10" t="s">
        <v>298</v>
      </c>
      <c r="E6" s="10" t="s">
        <v>489</v>
      </c>
      <c r="F6" s="10" t="str">
        <f t="array" ref="F6">_xlfn.XLOOKUP(D6,'Referanc '!$A:$A,'Referanc '!$E:$E)</f>
        <v>SM3</v>
      </c>
      <c r="G6" s="191">
        <v>1784.0</v>
      </c>
      <c r="H6" s="10">
        <v>89.0</v>
      </c>
      <c r="I6" s="48">
        <v>0.0734</v>
      </c>
      <c r="J6" s="48">
        <v>0.082</v>
      </c>
      <c r="K6" s="191">
        <v>2415.0</v>
      </c>
      <c r="L6" s="10">
        <v>118.0</v>
      </c>
      <c r="M6" s="48">
        <v>0.0752</v>
      </c>
      <c r="N6" s="48">
        <v>0.0807</v>
      </c>
      <c r="O6" s="48">
        <v>0.9401</v>
      </c>
      <c r="P6" s="48">
        <v>0.8224</v>
      </c>
      <c r="Q6" s="10">
        <v>8.0</v>
      </c>
      <c r="R6" s="10">
        <v>0.0</v>
      </c>
      <c r="S6" s="48">
        <v>0.0045</v>
      </c>
      <c r="T6" s="48">
        <v>0.0</v>
      </c>
      <c r="U6" s="192">
        <v>143200.0</v>
      </c>
      <c r="V6" s="10">
        <v>0.0</v>
      </c>
      <c r="W6" s="10">
        <v>8.0</v>
      </c>
      <c r="X6" s="10">
        <v>0.0</v>
      </c>
    </row>
    <row r="7">
      <c r="A7" s="100" t="s">
        <v>36</v>
      </c>
      <c r="B7" s="10" t="str">
        <f t="array" ref="B7">_xlfn.XLOOKUP(D7,'Referanc '!$A:$A,'Referanc '!$B:$B)</f>
        <v>Standing Table  - SM3</v>
      </c>
      <c r="C7" s="10" t="s">
        <v>301</v>
      </c>
      <c r="D7" s="10" t="s">
        <v>301</v>
      </c>
      <c r="E7" s="10" t="s">
        <v>496</v>
      </c>
      <c r="F7" s="10" t="str">
        <f t="array" ref="F7">_xlfn.XLOOKUP(D7,'Referanc '!$A:$A,'Referanc '!$E:$E)</f>
        <v>SM3</v>
      </c>
      <c r="G7" s="191">
        <v>2433.0</v>
      </c>
      <c r="H7" s="10">
        <v>127.0</v>
      </c>
      <c r="I7" s="48">
        <v>0.1001</v>
      </c>
      <c r="J7" s="48">
        <v>0.1169</v>
      </c>
      <c r="K7" s="191">
        <v>3343.0</v>
      </c>
      <c r="L7" s="10">
        <v>179.0</v>
      </c>
      <c r="M7" s="48">
        <v>0.1041</v>
      </c>
      <c r="N7" s="48">
        <v>0.1224</v>
      </c>
      <c r="O7" s="48">
        <v>0.9358</v>
      </c>
      <c r="P7" s="48">
        <v>0.7006</v>
      </c>
      <c r="Q7" s="10">
        <v>8.0</v>
      </c>
      <c r="R7" s="10">
        <v>1.0</v>
      </c>
      <c r="S7" s="48">
        <v>0.0033</v>
      </c>
      <c r="T7" s="48">
        <v>0.0079</v>
      </c>
      <c r="U7" s="192">
        <v>196000.0</v>
      </c>
      <c r="V7" s="192">
        <v>24500.0</v>
      </c>
      <c r="W7" s="10">
        <v>8.0</v>
      </c>
      <c r="X7" s="10">
        <v>1.0</v>
      </c>
    </row>
    <row r="8">
      <c r="A8" s="100" t="s">
        <v>36</v>
      </c>
      <c r="B8" s="10" t="str">
        <f t="array" ref="B8">_xlfn.XLOOKUP(D8,'Referanc '!$A:$A,'Referanc '!$B:$B)</f>
        <v>Standing Table  - M8</v>
      </c>
      <c r="C8" s="10" t="s">
        <v>302</v>
      </c>
      <c r="D8" s="10" t="s">
        <v>302</v>
      </c>
      <c r="E8" s="10" t="s">
        <v>504</v>
      </c>
      <c r="F8" s="10" t="str">
        <f t="array" ref="F8">_xlfn.XLOOKUP(D8,'Referanc '!$A:$A,'Referanc '!$E:$E)</f>
        <v>M8</v>
      </c>
      <c r="G8" s="10">
        <v>423.0</v>
      </c>
      <c r="H8" s="10">
        <v>22.0</v>
      </c>
      <c r="I8" s="48">
        <v>0.0174</v>
      </c>
      <c r="J8" s="48">
        <v>0.0203</v>
      </c>
      <c r="K8" s="10">
        <v>552.0</v>
      </c>
      <c r="L8" s="10">
        <v>36.0</v>
      </c>
      <c r="M8" s="48">
        <v>0.0172</v>
      </c>
      <c r="N8" s="48">
        <v>0.0246</v>
      </c>
      <c r="O8" s="48">
        <v>0.8569</v>
      </c>
      <c r="P8" s="48">
        <v>0.8125</v>
      </c>
      <c r="Q8" s="10">
        <v>7.0</v>
      </c>
      <c r="R8" s="10">
        <v>0.0</v>
      </c>
      <c r="S8" s="48">
        <v>0.0165</v>
      </c>
      <c r="T8" s="48">
        <v>0.0</v>
      </c>
      <c r="U8" s="192">
        <v>132293.0</v>
      </c>
      <c r="V8" s="10">
        <v>0.0</v>
      </c>
      <c r="W8" s="10">
        <v>7.0</v>
      </c>
      <c r="X8" s="10">
        <v>0.0</v>
      </c>
    </row>
    <row r="9">
      <c r="A9" s="100" t="s">
        <v>36</v>
      </c>
      <c r="B9" s="10" t="str">
        <f t="array" ref="B9">_xlfn.XLOOKUP(D9,'Referanc '!$A:$A,'Referanc '!$B:$B)</f>
        <v>Standing Table  - SM3</v>
      </c>
      <c r="C9" s="10" t="s">
        <v>304</v>
      </c>
      <c r="D9" s="10" t="s">
        <v>304</v>
      </c>
      <c r="E9" s="10" t="s">
        <v>494</v>
      </c>
      <c r="F9" s="10" t="str">
        <f t="array" ref="F9">_xlfn.XLOOKUP(D9,'Referanc '!$A:$A,'Referanc '!$E:$E)</f>
        <v>SM3</v>
      </c>
      <c r="G9" s="191">
        <v>1372.0</v>
      </c>
      <c r="H9" s="10">
        <v>64.0</v>
      </c>
      <c r="I9" s="48">
        <v>0.0565</v>
      </c>
      <c r="J9" s="48">
        <v>0.0589</v>
      </c>
      <c r="K9" s="191">
        <v>1813.0</v>
      </c>
      <c r="L9" s="10">
        <v>76.0</v>
      </c>
      <c r="M9" s="48">
        <v>0.0564</v>
      </c>
      <c r="N9" s="48">
        <v>0.052</v>
      </c>
      <c r="O9" s="48">
        <v>0.9158</v>
      </c>
      <c r="P9" s="48">
        <v>0.75</v>
      </c>
      <c r="Q9" s="10">
        <v>7.0</v>
      </c>
      <c r="R9" s="10">
        <v>0.0</v>
      </c>
      <c r="S9" s="48">
        <v>0.0051</v>
      </c>
      <c r="T9" s="48">
        <v>0.0</v>
      </c>
      <c r="U9" s="192">
        <v>146300.0</v>
      </c>
      <c r="V9" s="10">
        <v>0.0</v>
      </c>
      <c r="W9" s="10">
        <v>7.0</v>
      </c>
      <c r="X9" s="10">
        <v>0.0</v>
      </c>
    </row>
    <row r="10">
      <c r="A10" s="100" t="s">
        <v>36</v>
      </c>
      <c r="B10" s="10" t="str">
        <f t="array" ref="B10">_xlfn.XLOOKUP(D10,'Referanc '!$A:$A,'Referanc '!$B:$B)</f>
        <v>Standing Table - All Frames</v>
      </c>
      <c r="C10" s="10" t="s">
        <v>306</v>
      </c>
      <c r="D10" s="10" t="s">
        <v>306</v>
      </c>
      <c r="E10" s="10" t="s">
        <v>512</v>
      </c>
      <c r="F10" s="10" t="str">
        <f t="array" ref="F10">_xlfn.XLOOKUP(D10,'Referanc '!$A:$A,'Referanc '!$E:$E)</f>
        <v>E2</v>
      </c>
      <c r="G10" s="191">
        <v>1743.0</v>
      </c>
      <c r="H10" s="10">
        <v>62.0</v>
      </c>
      <c r="I10" s="48">
        <v>0.0717</v>
      </c>
      <c r="J10" s="48">
        <v>0.0571</v>
      </c>
      <c r="K10" s="191">
        <v>2288.0</v>
      </c>
      <c r="L10" s="10">
        <v>100.0</v>
      </c>
      <c r="M10" s="48">
        <v>0.0712</v>
      </c>
      <c r="N10" s="48">
        <v>0.0684</v>
      </c>
      <c r="O10" s="48">
        <v>0.835</v>
      </c>
      <c r="P10" s="48">
        <v>0.7097</v>
      </c>
      <c r="Q10" s="10">
        <v>7.0</v>
      </c>
      <c r="R10" s="10">
        <v>2.0</v>
      </c>
      <c r="S10" s="48">
        <v>0.004</v>
      </c>
      <c r="T10" s="48">
        <v>0.0323</v>
      </c>
      <c r="U10" s="192">
        <v>187500.0</v>
      </c>
      <c r="V10" s="192">
        <v>55000.0</v>
      </c>
      <c r="W10" s="10">
        <v>7.0</v>
      </c>
      <c r="X10" s="10">
        <v>2.0</v>
      </c>
    </row>
    <row r="11">
      <c r="A11" s="100" t="s">
        <v>36</v>
      </c>
      <c r="B11" s="10" t="str">
        <f t="array" ref="B11">_xlfn.XLOOKUP(D11,'Referanc '!$A:$A,'Referanc '!$B:$B)</f>
        <v>Extension &amp; Holder</v>
      </c>
      <c r="C11" s="10" t="s">
        <v>307</v>
      </c>
      <c r="D11" s="10" t="s">
        <v>307</v>
      </c>
      <c r="E11" s="10" t="s">
        <v>482</v>
      </c>
      <c r="F11" s="10" t="str">
        <f t="array" ref="F11">_xlfn.XLOOKUP(D11,'Referanc '!$A:$A,'Referanc '!$E:$E)</f>
        <v>Extension Board Holder</v>
      </c>
      <c r="G11" s="10">
        <v>146.0</v>
      </c>
      <c r="H11" s="10">
        <v>13.0</v>
      </c>
      <c r="I11" s="48">
        <v>0.006</v>
      </c>
      <c r="J11" s="48">
        <v>0.012</v>
      </c>
      <c r="K11" s="10">
        <v>199.0</v>
      </c>
      <c r="L11" s="10">
        <v>15.0</v>
      </c>
      <c r="M11" s="48">
        <v>0.0062</v>
      </c>
      <c r="N11" s="48">
        <v>0.0103</v>
      </c>
      <c r="O11" s="48">
        <v>0.858</v>
      </c>
      <c r="P11" s="48">
        <v>0.75</v>
      </c>
      <c r="Q11" s="10">
        <v>5.0</v>
      </c>
      <c r="R11" s="10">
        <v>0.0</v>
      </c>
      <c r="S11" s="48">
        <v>0.0342</v>
      </c>
      <c r="T11" s="48">
        <v>0.0</v>
      </c>
      <c r="U11" s="192">
        <v>3950.0</v>
      </c>
      <c r="V11" s="10">
        <v>0.0</v>
      </c>
      <c r="W11" s="10">
        <v>4.0</v>
      </c>
      <c r="X11" s="10">
        <v>0.0</v>
      </c>
    </row>
    <row r="12">
      <c r="A12" s="100" t="s">
        <v>36</v>
      </c>
      <c r="B12" s="10" t="str">
        <f t="array" ref="B12">_xlfn.XLOOKUP(D12,'Referanc '!$A:$A,'Referanc '!$B:$B)</f>
        <v>Extension &amp; Holder</v>
      </c>
      <c r="C12" s="10" t="s">
        <v>308</v>
      </c>
      <c r="D12" s="10" t="s">
        <v>308</v>
      </c>
      <c r="E12" s="10" t="s">
        <v>484</v>
      </c>
      <c r="F12" s="10" t="str">
        <f t="array" ref="F12">_xlfn.XLOOKUP(D12,'Referanc '!$A:$A,'Referanc '!$E:$E)</f>
        <v>Extension Board Holder</v>
      </c>
      <c r="G12" s="10">
        <v>156.0</v>
      </c>
      <c r="H12" s="10">
        <v>15.0</v>
      </c>
      <c r="I12" s="48">
        <v>0.0064</v>
      </c>
      <c r="J12" s="48">
        <v>0.0138</v>
      </c>
      <c r="K12" s="10">
        <v>224.0</v>
      </c>
      <c r="L12" s="10">
        <v>20.0</v>
      </c>
      <c r="M12" s="48">
        <v>0.007</v>
      </c>
      <c r="N12" s="48">
        <v>0.0137</v>
      </c>
      <c r="O12" s="48">
        <v>0.9052</v>
      </c>
      <c r="P12" s="48">
        <v>0.8421</v>
      </c>
      <c r="Q12" s="10">
        <v>4.0</v>
      </c>
      <c r="R12" s="10">
        <v>0.0</v>
      </c>
      <c r="S12" s="48">
        <v>0.0256</v>
      </c>
      <c r="T12" s="48">
        <v>0.0</v>
      </c>
      <c r="U12" s="192">
        <v>5400.0</v>
      </c>
      <c r="V12" s="10">
        <v>0.0</v>
      </c>
      <c r="W12" s="10">
        <v>4.0</v>
      </c>
      <c r="X12" s="10">
        <v>0.0</v>
      </c>
    </row>
    <row r="13">
      <c r="A13" s="100" t="s">
        <v>36</v>
      </c>
      <c r="B13" s="10" t="str">
        <f t="array" ref="B13">_xlfn.XLOOKUP(D13,'Referanc '!$A:$A,'Referanc '!$B:$B)</f>
        <v>Standing Table  - E2</v>
      </c>
      <c r="C13" s="10" t="s">
        <v>309</v>
      </c>
      <c r="D13" s="10" t="s">
        <v>309</v>
      </c>
      <c r="E13" s="10" t="s">
        <v>518</v>
      </c>
      <c r="F13" s="10" t="str">
        <f t="array" ref="F13">_xlfn.XLOOKUP(D13,'Referanc '!$A:$A,'Referanc '!$E:$E)</f>
        <v>E2</v>
      </c>
      <c r="G13" s="10">
        <v>503.0</v>
      </c>
      <c r="H13" s="10">
        <v>17.0</v>
      </c>
      <c r="I13" s="48">
        <v>0.0207</v>
      </c>
      <c r="J13" s="48">
        <v>0.0157</v>
      </c>
      <c r="K13" s="10">
        <v>675.0</v>
      </c>
      <c r="L13" s="10">
        <v>18.0</v>
      </c>
      <c r="M13" s="48">
        <v>0.021</v>
      </c>
      <c r="N13" s="48">
        <v>0.0123</v>
      </c>
      <c r="O13" s="48">
        <v>0.9004</v>
      </c>
      <c r="P13" s="48">
        <v>0.8</v>
      </c>
      <c r="Q13" s="10">
        <v>4.0</v>
      </c>
      <c r="R13" s="10">
        <v>0.0</v>
      </c>
      <c r="S13" s="48">
        <v>0.008</v>
      </c>
      <c r="T13" s="48">
        <v>0.0</v>
      </c>
      <c r="U13" s="192">
        <v>139960.0</v>
      </c>
      <c r="V13" s="10">
        <v>0.0</v>
      </c>
      <c r="W13" s="10">
        <v>4.0</v>
      </c>
      <c r="X13" s="10">
        <v>0.0</v>
      </c>
    </row>
    <row r="14">
      <c r="A14" s="100" t="s">
        <v>36</v>
      </c>
      <c r="B14" s="10" t="str">
        <f t="array" ref="B14">_xlfn.XLOOKUP(D14,'Referanc '!$A:$A,'Referanc '!$B:$B)</f>
        <v>Standing Table  - E2</v>
      </c>
      <c r="C14" s="10" t="s">
        <v>311</v>
      </c>
      <c r="D14" s="10" t="s">
        <v>311</v>
      </c>
      <c r="E14" s="10" t="s">
        <v>520</v>
      </c>
      <c r="F14" s="10" t="str">
        <f t="array" ref="F14">_xlfn.XLOOKUP(D14,'Referanc '!$A:$A,'Referanc '!$E:$E)</f>
        <v>E2</v>
      </c>
      <c r="G14" s="10">
        <v>610.0</v>
      </c>
      <c r="H14" s="10">
        <v>14.0</v>
      </c>
      <c r="I14" s="48">
        <v>0.0251</v>
      </c>
      <c r="J14" s="48">
        <v>0.0129</v>
      </c>
      <c r="K14" s="10">
        <v>800.0</v>
      </c>
      <c r="L14" s="10">
        <v>17.0</v>
      </c>
      <c r="M14" s="48">
        <v>0.0249</v>
      </c>
      <c r="N14" s="48">
        <v>0.0116</v>
      </c>
      <c r="O14" s="48">
        <v>0.8691</v>
      </c>
      <c r="P14" s="48">
        <v>0.7273</v>
      </c>
      <c r="Q14" s="10">
        <v>3.0</v>
      </c>
      <c r="R14" s="10">
        <v>0.0</v>
      </c>
      <c r="S14" s="48">
        <v>0.0049</v>
      </c>
      <c r="T14" s="48">
        <v>0.0</v>
      </c>
      <c r="U14" s="192">
        <v>101700.0</v>
      </c>
      <c r="V14" s="10">
        <v>0.0</v>
      </c>
      <c r="W14" s="10">
        <v>3.0</v>
      </c>
      <c r="X14" s="10">
        <v>0.0</v>
      </c>
    </row>
    <row r="15">
      <c r="A15" s="100" t="s">
        <v>36</v>
      </c>
      <c r="B15" s="10" t="str">
        <f t="array" ref="B15">_xlfn.XLOOKUP(D15,'Referanc '!$A:$A,'Referanc '!$B:$B)</f>
        <v>Standing Table  - E2</v>
      </c>
      <c r="C15" s="10" t="s">
        <v>313</v>
      </c>
      <c r="D15" s="10" t="s">
        <v>313</v>
      </c>
      <c r="E15" s="10" t="s">
        <v>516</v>
      </c>
      <c r="F15" s="10" t="str">
        <f t="array" ref="F15">_xlfn.XLOOKUP(D15,'Referanc '!$A:$A,'Referanc '!$E:$E)</f>
        <v>E2</v>
      </c>
      <c r="G15" s="10">
        <v>352.0</v>
      </c>
      <c r="H15" s="10">
        <v>16.0</v>
      </c>
      <c r="I15" s="48">
        <v>0.0145</v>
      </c>
      <c r="J15" s="48">
        <v>0.0147</v>
      </c>
      <c r="K15" s="10">
        <v>471.0</v>
      </c>
      <c r="L15" s="10">
        <v>17.0</v>
      </c>
      <c r="M15" s="48">
        <v>0.0147</v>
      </c>
      <c r="N15" s="48">
        <v>0.0116</v>
      </c>
      <c r="O15" s="48">
        <v>0.7321</v>
      </c>
      <c r="P15" s="48">
        <v>0.8</v>
      </c>
      <c r="Q15" s="10">
        <v>3.0</v>
      </c>
      <c r="R15" s="10">
        <v>0.0</v>
      </c>
      <c r="S15" s="48">
        <v>0.0085</v>
      </c>
      <c r="T15" s="48">
        <v>0.0</v>
      </c>
      <c r="U15" s="192">
        <v>92700.0</v>
      </c>
      <c r="V15" s="10">
        <v>0.0</v>
      </c>
      <c r="W15" s="10">
        <v>3.0</v>
      </c>
      <c r="X15" s="10">
        <v>0.0</v>
      </c>
    </row>
    <row r="16">
      <c r="A16" s="100" t="s">
        <v>36</v>
      </c>
      <c r="B16" s="10" t="s">
        <v>211</v>
      </c>
      <c r="C16" s="10" t="s">
        <v>314</v>
      </c>
      <c r="D16" s="10" t="s">
        <v>314</v>
      </c>
      <c r="E16" s="10" t="s">
        <v>487</v>
      </c>
      <c r="F16" s="10" t="str">
        <f t="array" ref="F16">_xlfn.XLOOKUP(D16,'Referanc '!$A:$A,'Referanc '!$E:$E)</f>
        <v>Desk Cable Tray</v>
      </c>
      <c r="G16" s="10">
        <v>133.0</v>
      </c>
      <c r="H16" s="10">
        <v>6.0</v>
      </c>
      <c r="I16" s="48">
        <v>0.0055</v>
      </c>
      <c r="J16" s="48">
        <v>0.0055</v>
      </c>
      <c r="K16" s="10">
        <v>196.0</v>
      </c>
      <c r="L16" s="10">
        <v>7.0</v>
      </c>
      <c r="M16" s="48">
        <v>0.0061</v>
      </c>
      <c r="N16" s="48">
        <v>0.0048</v>
      </c>
      <c r="O16" s="48">
        <v>0.9</v>
      </c>
      <c r="P16" s="48">
        <v>0.8571</v>
      </c>
      <c r="Q16" s="10">
        <v>4.0</v>
      </c>
      <c r="R16" s="10">
        <v>0.0</v>
      </c>
      <c r="S16" s="48">
        <v>0.0301</v>
      </c>
      <c r="T16" s="48">
        <v>0.0</v>
      </c>
      <c r="U16" s="192">
        <v>4880.0</v>
      </c>
      <c r="V16" s="10">
        <v>0.0</v>
      </c>
      <c r="W16" s="10">
        <v>3.0</v>
      </c>
      <c r="X16" s="10">
        <v>0.0</v>
      </c>
    </row>
    <row r="17">
      <c r="A17" s="100" t="s">
        <v>36</v>
      </c>
      <c r="B17" s="10" t="str">
        <f t="array" ref="B17">_xlfn.XLOOKUP(D17,'Referanc '!$A:$A,'Referanc '!$B:$B)</f>
        <v>Standing Table  - M8</v>
      </c>
      <c r="C17" s="10" t="s">
        <v>315</v>
      </c>
      <c r="D17" s="10" t="s">
        <v>315</v>
      </c>
      <c r="E17" s="10" t="s">
        <v>506</v>
      </c>
      <c r="F17" s="10" t="str">
        <f t="array" ref="F17">_xlfn.XLOOKUP(D17,'Referanc '!$A:$A,'Referanc '!$E:$E)</f>
        <v>M8</v>
      </c>
      <c r="G17" s="10">
        <v>720.0</v>
      </c>
      <c r="H17" s="10">
        <v>30.0</v>
      </c>
      <c r="I17" s="48">
        <v>0.0296</v>
      </c>
      <c r="J17" s="48">
        <v>0.0276</v>
      </c>
      <c r="K17" s="10">
        <v>874.0</v>
      </c>
      <c r="L17" s="10">
        <v>40.0</v>
      </c>
      <c r="M17" s="48">
        <v>0.0272</v>
      </c>
      <c r="N17" s="48">
        <v>0.0274</v>
      </c>
      <c r="O17" s="48">
        <v>0.8398</v>
      </c>
      <c r="P17" s="48">
        <v>0.7059</v>
      </c>
      <c r="Q17" s="10">
        <v>2.0</v>
      </c>
      <c r="R17" s="10">
        <v>0.0</v>
      </c>
      <c r="S17" s="48">
        <v>0.0028</v>
      </c>
      <c r="T17" s="48">
        <v>0.0</v>
      </c>
      <c r="U17" s="192">
        <v>46600.0</v>
      </c>
      <c r="V17" s="10">
        <v>0.0</v>
      </c>
      <c r="W17" s="10">
        <v>2.0</v>
      </c>
      <c r="X17" s="10">
        <v>0.0</v>
      </c>
    </row>
    <row r="18">
      <c r="A18" s="100" t="s">
        <v>36</v>
      </c>
      <c r="B18" s="10" t="str">
        <f t="array" ref="B18">_xlfn.XLOOKUP(D18,'Referanc '!$A:$A,'Referanc '!$B:$B)</f>
        <v>Monitor Stand </v>
      </c>
      <c r="C18" s="10" t="s">
        <v>316</v>
      </c>
      <c r="D18" s="10" t="s">
        <v>316</v>
      </c>
      <c r="E18" s="10" t="s">
        <v>539</v>
      </c>
      <c r="F18" s="10" t="str">
        <f t="array" ref="F18">_xlfn.XLOOKUP(D18,'Referanc '!$A:$A,'Referanc '!$E:$E)</f>
        <v> Monitor Stand</v>
      </c>
      <c r="G18" s="191">
        <v>1280.0</v>
      </c>
      <c r="H18" s="10">
        <v>43.0</v>
      </c>
      <c r="I18" s="48">
        <v>0.0527</v>
      </c>
      <c r="J18" s="48">
        <v>0.0396</v>
      </c>
      <c r="K18" s="191">
        <v>1534.0</v>
      </c>
      <c r="L18" s="10">
        <v>52.0</v>
      </c>
      <c r="M18" s="48">
        <v>0.0477</v>
      </c>
      <c r="N18" s="48">
        <v>0.0356</v>
      </c>
      <c r="O18" s="48">
        <v>0.6375</v>
      </c>
      <c r="P18" s="48">
        <v>0.7451</v>
      </c>
      <c r="Q18" s="10">
        <v>2.0</v>
      </c>
      <c r="R18" s="10">
        <v>0.0</v>
      </c>
      <c r="S18" s="48">
        <v>0.0016</v>
      </c>
      <c r="T18" s="48">
        <v>0.0</v>
      </c>
      <c r="U18" s="192">
        <v>6600.0</v>
      </c>
      <c r="V18" s="10">
        <v>0.0</v>
      </c>
      <c r="W18" s="10">
        <v>2.0</v>
      </c>
      <c r="X18" s="10">
        <v>0.0</v>
      </c>
    </row>
    <row r="19">
      <c r="A19" s="100" t="s">
        <v>36</v>
      </c>
      <c r="B19" s="10" t="str">
        <f t="array" ref="B19">_xlfn.XLOOKUP(D19,'Referanc '!$A:$A,'Referanc '!$B:$B)</f>
        <v>Standing Table  - M8</v>
      </c>
      <c r="C19" s="10" t="s">
        <v>317</v>
      </c>
      <c r="D19" s="10" t="s">
        <v>317</v>
      </c>
      <c r="E19" s="10" t="s">
        <v>500</v>
      </c>
      <c r="F19" s="10" t="str">
        <f t="array" ref="F19">_xlfn.XLOOKUP(D19,'Referanc '!$A:$A,'Referanc '!$E:$E)</f>
        <v>M8</v>
      </c>
      <c r="G19" s="10">
        <v>680.0</v>
      </c>
      <c r="H19" s="10">
        <v>26.0</v>
      </c>
      <c r="I19" s="48">
        <v>0.028</v>
      </c>
      <c r="J19" s="48">
        <v>0.0239</v>
      </c>
      <c r="K19" s="10">
        <v>867.0</v>
      </c>
      <c r="L19" s="10">
        <v>38.0</v>
      </c>
      <c r="M19" s="48">
        <v>0.027</v>
      </c>
      <c r="N19" s="48">
        <v>0.026</v>
      </c>
      <c r="O19" s="48">
        <v>0.8489</v>
      </c>
      <c r="P19" s="48">
        <v>0.7059</v>
      </c>
      <c r="Q19" s="10">
        <v>1.0</v>
      </c>
      <c r="R19" s="10">
        <v>0.0</v>
      </c>
      <c r="S19" s="48">
        <v>0.0015</v>
      </c>
      <c r="T19" s="48">
        <v>0.0</v>
      </c>
      <c r="U19" s="192">
        <v>18899.0</v>
      </c>
      <c r="V19" s="10">
        <v>0.0</v>
      </c>
      <c r="W19" s="10">
        <v>1.0</v>
      </c>
      <c r="X19" s="10">
        <v>0.0</v>
      </c>
    </row>
    <row r="20">
      <c r="A20" s="100" t="s">
        <v>36</v>
      </c>
      <c r="B20" s="10" t="str">
        <f t="array" ref="B20">_xlfn.XLOOKUP(D20,'Referanc '!$A:$A,'Referanc '!$B:$B)</f>
        <v>Standing Table  - M8</v>
      </c>
      <c r="C20" s="10" t="s">
        <v>319</v>
      </c>
      <c r="D20" s="10" t="s">
        <v>319</v>
      </c>
      <c r="E20" s="10" t="s">
        <v>502</v>
      </c>
      <c r="F20" s="10" t="str">
        <f t="array" ref="F20">_xlfn.XLOOKUP(D20,'Referanc '!$A:$A,'Referanc '!$E:$E)</f>
        <v>M8</v>
      </c>
      <c r="G20" s="191">
        <v>1006.0</v>
      </c>
      <c r="H20" s="10">
        <v>34.0</v>
      </c>
      <c r="I20" s="48">
        <v>0.0414</v>
      </c>
      <c r="J20" s="48">
        <v>0.0313</v>
      </c>
      <c r="K20" s="191">
        <v>1248.0</v>
      </c>
      <c r="L20" s="10">
        <v>46.0</v>
      </c>
      <c r="M20" s="48">
        <v>0.0388</v>
      </c>
      <c r="N20" s="48">
        <v>0.0315</v>
      </c>
      <c r="O20" s="48">
        <v>0.853</v>
      </c>
      <c r="P20" s="48">
        <v>0.575</v>
      </c>
      <c r="Q20" s="10">
        <v>1.0</v>
      </c>
      <c r="R20" s="10">
        <v>0.0</v>
      </c>
      <c r="S20" s="48">
        <v>0.001</v>
      </c>
      <c r="T20" s="48">
        <v>0.0</v>
      </c>
      <c r="U20" s="192">
        <v>23300.0</v>
      </c>
      <c r="V20" s="10">
        <v>0.0</v>
      </c>
      <c r="W20" s="10">
        <v>1.0</v>
      </c>
      <c r="X20" s="10">
        <v>0.0</v>
      </c>
    </row>
    <row r="21" ht="15.75" customHeight="1">
      <c r="A21" s="100" t="s">
        <v>36</v>
      </c>
      <c r="B21" s="10" t="str">
        <f t="array" ref="B21">_xlfn.XLOOKUP(D21,'Referanc '!$A:$A,'Referanc '!$B:$B)</f>
        <v>TABLE TOP</v>
      </c>
      <c r="C21" s="10" t="s">
        <v>323</v>
      </c>
      <c r="D21" s="10" t="s">
        <v>323</v>
      </c>
      <c r="E21" s="10" t="s">
        <v>537</v>
      </c>
      <c r="F21" s="10" t="str">
        <f t="array" ref="F21">_xlfn.XLOOKUP(D21,'Referanc '!$A:$A,'Referanc '!$E:$E)</f>
        <v>TABLE TOP</v>
      </c>
      <c r="G21" s="191">
        <v>1229.0</v>
      </c>
      <c r="H21" s="10">
        <v>26.0</v>
      </c>
      <c r="I21" s="48">
        <v>0.0506</v>
      </c>
      <c r="J21" s="48">
        <v>0.0239</v>
      </c>
      <c r="K21" s="191">
        <v>1487.0</v>
      </c>
      <c r="L21" s="10">
        <v>33.0</v>
      </c>
      <c r="M21" s="48">
        <v>0.0463</v>
      </c>
      <c r="N21" s="48">
        <v>0.0226</v>
      </c>
      <c r="O21" s="48">
        <v>0.6749</v>
      </c>
      <c r="P21" s="48">
        <v>0.75</v>
      </c>
      <c r="Q21" s="10">
        <v>1.0</v>
      </c>
      <c r="R21" s="10">
        <v>0.0</v>
      </c>
      <c r="S21" s="48">
        <v>8.0E-4</v>
      </c>
      <c r="T21" s="48">
        <v>0.0</v>
      </c>
      <c r="U21" s="192">
        <v>7350.0</v>
      </c>
      <c r="V21" s="10">
        <v>0.0</v>
      </c>
      <c r="W21" s="10">
        <v>1.0</v>
      </c>
      <c r="X21" s="10">
        <v>0.0</v>
      </c>
    </row>
    <row r="22" ht="15.75" customHeight="1">
      <c r="A22" s="100" t="s">
        <v>36</v>
      </c>
      <c r="B22" s="10" t="str">
        <f t="array" ref="B22">_xlfn.XLOOKUP(D22,'Referanc '!$A:$A,'Referanc '!$B:$B)</f>
        <v>TABLE TOP</v>
      </c>
      <c r="C22" s="10" t="s">
        <v>324</v>
      </c>
      <c r="D22" s="10" t="s">
        <v>324</v>
      </c>
      <c r="E22" s="10" t="s">
        <v>533</v>
      </c>
      <c r="F22" s="10" t="str">
        <f t="array" ref="F22">_xlfn.XLOOKUP(D22,'Referanc '!$A:$A,'Referanc '!$E:$E)</f>
        <v>TABLE TOP</v>
      </c>
      <c r="G22" s="10">
        <v>408.0</v>
      </c>
      <c r="H22" s="10">
        <v>12.0</v>
      </c>
      <c r="I22" s="48">
        <v>0.0168</v>
      </c>
      <c r="J22" s="48">
        <v>0.011</v>
      </c>
      <c r="K22" s="10">
        <v>537.0</v>
      </c>
      <c r="L22" s="10">
        <v>13.0</v>
      </c>
      <c r="M22" s="48">
        <v>0.0167</v>
      </c>
      <c r="N22" s="48">
        <v>0.0089</v>
      </c>
      <c r="O22" s="48">
        <v>0.7569</v>
      </c>
      <c r="P22" s="48">
        <v>0.7273</v>
      </c>
      <c r="Q22" s="10">
        <v>1.0</v>
      </c>
      <c r="R22" s="10">
        <v>0.0</v>
      </c>
      <c r="S22" s="48">
        <v>0.0025</v>
      </c>
      <c r="T22" s="48">
        <v>0.0</v>
      </c>
      <c r="U22" s="192">
        <v>4450.0</v>
      </c>
      <c r="V22" s="10">
        <v>0.0</v>
      </c>
      <c r="W22" s="10">
        <v>1.0</v>
      </c>
      <c r="X22" s="10">
        <v>0.0</v>
      </c>
    </row>
    <row r="23" ht="15.75" customHeight="1">
      <c r="A23" s="100" t="s">
        <v>36</v>
      </c>
      <c r="B23" s="10" t="str">
        <f t="array" ref="B23">_xlfn.XLOOKUP(D23,'Referanc '!$A:$A,'Referanc '!$B:$B)</f>
        <v>Standing Desk Converter</v>
      </c>
      <c r="C23" s="10" t="s">
        <v>326</v>
      </c>
      <c r="D23" s="10" t="s">
        <v>326</v>
      </c>
      <c r="E23" s="10" t="s">
        <v>529</v>
      </c>
      <c r="F23" s="10" t="str">
        <f t="array" ref="F23">_xlfn.XLOOKUP(D23,'Referanc '!$A:$A,'Referanc '!$E:$E)</f>
        <v>Standing Desk Converter</v>
      </c>
      <c r="G23" s="10">
        <v>92.0</v>
      </c>
      <c r="H23" s="10">
        <v>5.0</v>
      </c>
      <c r="I23" s="48">
        <v>0.0038</v>
      </c>
      <c r="J23" s="48">
        <v>0.0046</v>
      </c>
      <c r="K23" s="10">
        <v>136.0</v>
      </c>
      <c r="L23" s="10">
        <v>6.0</v>
      </c>
      <c r="M23" s="48">
        <v>0.0042</v>
      </c>
      <c r="N23" s="48">
        <v>0.0041</v>
      </c>
      <c r="O23" s="48">
        <v>0.771</v>
      </c>
      <c r="P23" s="48">
        <v>0.8333</v>
      </c>
      <c r="Q23" s="10">
        <v>1.0</v>
      </c>
      <c r="R23" s="10">
        <v>0.0</v>
      </c>
      <c r="S23" s="48">
        <v>0.0109</v>
      </c>
      <c r="T23" s="48">
        <v>0.0</v>
      </c>
      <c r="U23" s="192">
        <v>6500.0</v>
      </c>
      <c r="V23" s="10">
        <v>0.0</v>
      </c>
      <c r="W23" s="10">
        <v>1.0</v>
      </c>
      <c r="X23" s="10">
        <v>0.0</v>
      </c>
    </row>
    <row r="24" ht="15.75" customHeight="1">
      <c r="A24" s="100" t="s">
        <v>36</v>
      </c>
      <c r="B24" s="10" t="str">
        <f t="array" ref="B24">_xlfn.XLOOKUP(D24,'Referanc '!$A:$A,'Referanc '!$B:$B)</f>
        <v>Laptop Table</v>
      </c>
      <c r="C24" s="10" t="s">
        <v>328</v>
      </c>
      <c r="D24" s="10" t="s">
        <v>328</v>
      </c>
      <c r="E24" s="10" t="s">
        <v>510</v>
      </c>
      <c r="F24" s="10" t="str">
        <f t="array" ref="F24">_xlfn.XLOOKUP(D24,'Referanc '!$A:$A,'Referanc '!$E:$E)</f>
        <v>Laptop Table</v>
      </c>
      <c r="G24" s="10">
        <v>41.0</v>
      </c>
      <c r="H24" s="10">
        <v>5.0</v>
      </c>
      <c r="I24" s="48">
        <v>0.0017</v>
      </c>
      <c r="J24" s="48">
        <v>0.0046</v>
      </c>
      <c r="K24" s="10">
        <v>66.0</v>
      </c>
      <c r="L24" s="10">
        <v>5.0</v>
      </c>
      <c r="M24" s="48">
        <v>0.0021</v>
      </c>
      <c r="N24" s="48">
        <v>0.0034</v>
      </c>
      <c r="O24" s="48">
        <v>0.7692</v>
      </c>
      <c r="P24" s="48">
        <v>0.6</v>
      </c>
      <c r="Q24" s="10">
        <v>1.0</v>
      </c>
      <c r="R24" s="10">
        <v>0.0</v>
      </c>
      <c r="S24" s="48">
        <v>0.0244</v>
      </c>
      <c r="T24" s="48">
        <v>0.0</v>
      </c>
      <c r="U24" s="192">
        <v>14900.0</v>
      </c>
      <c r="V24" s="10">
        <v>0.0</v>
      </c>
      <c r="W24" s="10">
        <v>1.0</v>
      </c>
      <c r="X24" s="10">
        <v>0.0</v>
      </c>
    </row>
    <row r="25" ht="15.75" customHeight="1">
      <c r="A25" s="51" t="s">
        <v>45</v>
      </c>
      <c r="B25" s="10" t="str">
        <f t="array" ref="B25">_xlfn.XLOOKUP(D25,'Referanc '!$A:$A,'Referanc '!$B:$B)</f>
        <v>Standing Table  - SM3</v>
      </c>
      <c r="C25" s="10" t="s">
        <v>291</v>
      </c>
      <c r="D25" s="10" t="s">
        <v>291</v>
      </c>
      <c r="E25" s="10" t="s">
        <v>492</v>
      </c>
      <c r="F25" s="10" t="str">
        <f t="array" ref="F25">_xlfn.XLOOKUP(D25,'Referanc '!$A:$A,'Referanc '!$E:$E)</f>
        <v>SM3</v>
      </c>
      <c r="G25" s="191">
        <v>3578.0</v>
      </c>
      <c r="H25" s="10">
        <v>142.0</v>
      </c>
      <c r="I25" s="48">
        <v>0.1135</v>
      </c>
      <c r="J25" s="48">
        <v>0.0931</v>
      </c>
      <c r="K25" s="191">
        <v>5325.0</v>
      </c>
      <c r="L25" s="10">
        <v>220.0</v>
      </c>
      <c r="M25" s="48">
        <v>0.1146</v>
      </c>
      <c r="N25" s="48">
        <v>0.0939</v>
      </c>
      <c r="O25" s="48">
        <v>0.9208</v>
      </c>
      <c r="P25" s="48">
        <v>0.807</v>
      </c>
      <c r="Q25" s="10">
        <v>22.0</v>
      </c>
      <c r="R25" s="10">
        <v>0.0</v>
      </c>
      <c r="S25" s="48">
        <v>0.0061</v>
      </c>
      <c r="T25" s="48">
        <v>0.0</v>
      </c>
      <c r="U25" s="192">
        <v>459800.0</v>
      </c>
      <c r="V25" s="10">
        <v>0.0</v>
      </c>
      <c r="W25" s="10">
        <v>22.0</v>
      </c>
      <c r="X25" s="10">
        <v>0.0</v>
      </c>
    </row>
    <row r="26" ht="15.75" customHeight="1">
      <c r="A26" s="51" t="s">
        <v>45</v>
      </c>
      <c r="B26" s="10" t="str">
        <f t="array" ref="B26">_xlfn.XLOOKUP(D26,'Referanc '!$A:$A,'Referanc '!$B:$B)</f>
        <v>Standing Table  - SM3</v>
      </c>
      <c r="C26" s="10" t="s">
        <v>296</v>
      </c>
      <c r="D26" s="10" t="s">
        <v>296</v>
      </c>
      <c r="E26" s="10" t="s">
        <v>498</v>
      </c>
      <c r="F26" s="10" t="str">
        <f t="array" ref="F26">_xlfn.XLOOKUP(D26,'Referanc '!$A:$A,'Referanc '!$E:$E)</f>
        <v>SM3</v>
      </c>
      <c r="G26" s="191">
        <v>2194.0</v>
      </c>
      <c r="H26" s="10">
        <v>110.0</v>
      </c>
      <c r="I26" s="48">
        <v>0.0696</v>
      </c>
      <c r="J26" s="48">
        <v>0.0721</v>
      </c>
      <c r="K26" s="191">
        <v>3238.0</v>
      </c>
      <c r="L26" s="10">
        <v>154.0</v>
      </c>
      <c r="M26" s="48">
        <v>0.0697</v>
      </c>
      <c r="N26" s="48">
        <v>0.0657</v>
      </c>
      <c r="O26" s="48">
        <v>0.9331</v>
      </c>
      <c r="P26" s="48">
        <v>0.8</v>
      </c>
      <c r="Q26" s="10">
        <v>17.0</v>
      </c>
      <c r="R26" s="10">
        <v>2.0</v>
      </c>
      <c r="S26" s="48">
        <v>0.0077</v>
      </c>
      <c r="T26" s="48">
        <v>0.0182</v>
      </c>
      <c r="U26" s="192">
        <v>416500.0</v>
      </c>
      <c r="V26" s="192">
        <v>49000.0</v>
      </c>
      <c r="W26" s="10">
        <v>17.0</v>
      </c>
      <c r="X26" s="10">
        <v>2.0</v>
      </c>
    </row>
    <row r="27" ht="15.75" customHeight="1">
      <c r="A27" s="51" t="s">
        <v>45</v>
      </c>
      <c r="B27" s="10" t="str">
        <f t="array" ref="B27">_xlfn.XLOOKUP(D27,'Referanc '!$A:$A,'Referanc '!$B:$B)</f>
        <v>Standing Table  - SM3</v>
      </c>
      <c r="C27" s="10" t="s">
        <v>301</v>
      </c>
      <c r="D27" s="10" t="s">
        <v>301</v>
      </c>
      <c r="E27" s="10" t="s">
        <v>496</v>
      </c>
      <c r="F27" s="10" t="str">
        <f t="array" ref="F27">_xlfn.XLOOKUP(D27,'Referanc '!$A:$A,'Referanc '!$E:$E)</f>
        <v>SM3</v>
      </c>
      <c r="G27" s="191">
        <v>3004.0</v>
      </c>
      <c r="H27" s="10">
        <v>155.0</v>
      </c>
      <c r="I27" s="48">
        <v>0.0953</v>
      </c>
      <c r="J27" s="48">
        <v>0.1016</v>
      </c>
      <c r="K27" s="191">
        <v>4410.0</v>
      </c>
      <c r="L27" s="10">
        <v>217.0</v>
      </c>
      <c r="M27" s="48">
        <v>0.0949</v>
      </c>
      <c r="N27" s="48">
        <v>0.0926</v>
      </c>
      <c r="O27" s="48">
        <v>0.9369</v>
      </c>
      <c r="P27" s="48">
        <v>0.8138</v>
      </c>
      <c r="Q27" s="10">
        <v>16.0</v>
      </c>
      <c r="R27" s="10">
        <v>3.0</v>
      </c>
      <c r="S27" s="48">
        <v>0.0053</v>
      </c>
      <c r="T27" s="48">
        <v>0.0194</v>
      </c>
      <c r="U27" s="192">
        <v>392000.0</v>
      </c>
      <c r="V27" s="192">
        <v>73500.0</v>
      </c>
      <c r="W27" s="10">
        <v>16.0</v>
      </c>
      <c r="X27" s="10">
        <v>3.0</v>
      </c>
    </row>
    <row r="28" ht="15.75" customHeight="1">
      <c r="A28" s="51" t="s">
        <v>45</v>
      </c>
      <c r="B28" s="10" t="str">
        <f t="array" ref="B28">_xlfn.XLOOKUP(D28,'Referanc '!$A:$A,'Referanc '!$B:$B)</f>
        <v>Standing Table - All Frames</v>
      </c>
      <c r="C28" s="10" t="s">
        <v>298</v>
      </c>
      <c r="D28" s="10" t="s">
        <v>298</v>
      </c>
      <c r="E28" s="10" t="s">
        <v>489</v>
      </c>
      <c r="F28" s="10" t="str">
        <f t="array" ref="F28">_xlfn.XLOOKUP(D28,'Referanc '!$A:$A,'Referanc '!$E:$E)</f>
        <v>SM3</v>
      </c>
      <c r="G28" s="191">
        <v>2254.0</v>
      </c>
      <c r="H28" s="10">
        <v>146.0</v>
      </c>
      <c r="I28" s="48">
        <v>0.0715</v>
      </c>
      <c r="J28" s="48">
        <v>0.0957</v>
      </c>
      <c r="K28" s="191">
        <v>3459.0</v>
      </c>
      <c r="L28" s="10">
        <v>277.0</v>
      </c>
      <c r="M28" s="48">
        <v>0.0744</v>
      </c>
      <c r="N28" s="48">
        <v>0.1182</v>
      </c>
      <c r="O28" s="48">
        <v>0.8834</v>
      </c>
      <c r="P28" s="48">
        <v>0.8396</v>
      </c>
      <c r="Q28" s="10">
        <v>14.0</v>
      </c>
      <c r="R28" s="10">
        <v>3.0</v>
      </c>
      <c r="S28" s="48">
        <v>0.0062</v>
      </c>
      <c r="T28" s="48">
        <v>0.0205</v>
      </c>
      <c r="U28" s="192">
        <v>250600.0</v>
      </c>
      <c r="V28" s="192">
        <v>53700.0</v>
      </c>
      <c r="W28" s="10">
        <v>14.0</v>
      </c>
      <c r="X28" s="10">
        <v>3.0</v>
      </c>
    </row>
    <row r="29" ht="15.75" customHeight="1">
      <c r="A29" s="51" t="s">
        <v>45</v>
      </c>
      <c r="B29" s="10" t="str">
        <f t="array" ref="B29">_xlfn.XLOOKUP(D29,'Referanc '!$A:$A,'Referanc '!$B:$B)</f>
        <v>Standing Table  - SM3</v>
      </c>
      <c r="C29" s="10" t="s">
        <v>304</v>
      </c>
      <c r="D29" s="10" t="s">
        <v>304</v>
      </c>
      <c r="E29" s="10" t="s">
        <v>494</v>
      </c>
      <c r="F29" s="10" t="str">
        <f t="array" ref="F29">_xlfn.XLOOKUP(D29,'Referanc '!$A:$A,'Referanc '!$E:$E)</f>
        <v>SM3</v>
      </c>
      <c r="G29" s="191">
        <v>1644.0</v>
      </c>
      <c r="H29" s="10">
        <v>70.0</v>
      </c>
      <c r="I29" s="48">
        <v>0.0521</v>
      </c>
      <c r="J29" s="48">
        <v>0.0459</v>
      </c>
      <c r="K29" s="191">
        <v>2327.0</v>
      </c>
      <c r="L29" s="10">
        <v>97.0</v>
      </c>
      <c r="M29" s="48">
        <v>0.0501</v>
      </c>
      <c r="N29" s="48">
        <v>0.0414</v>
      </c>
      <c r="O29" s="48">
        <v>0.9291</v>
      </c>
      <c r="P29" s="48">
        <v>0.7273</v>
      </c>
      <c r="Q29" s="10">
        <v>13.0</v>
      </c>
      <c r="R29" s="10">
        <v>2.0</v>
      </c>
      <c r="S29" s="48">
        <v>0.0079</v>
      </c>
      <c r="T29" s="48">
        <v>0.0286</v>
      </c>
      <c r="U29" s="192">
        <v>271700.0</v>
      </c>
      <c r="V29" s="192">
        <v>41800.0</v>
      </c>
      <c r="W29" s="10">
        <v>13.0</v>
      </c>
      <c r="X29" s="10">
        <v>2.0</v>
      </c>
    </row>
    <row r="30" ht="15.75" customHeight="1">
      <c r="A30" s="51" t="s">
        <v>45</v>
      </c>
      <c r="B30" s="10" t="str">
        <f t="array" ref="B30">_xlfn.XLOOKUP(D30,'Referanc '!$A:$A,'Referanc '!$B:$B)</f>
        <v>Standing Table  - E2</v>
      </c>
      <c r="C30" s="10" t="s">
        <v>293</v>
      </c>
      <c r="D30" s="10" t="s">
        <v>293</v>
      </c>
      <c r="E30" s="10" t="s">
        <v>514</v>
      </c>
      <c r="F30" s="10" t="str">
        <f t="array" ref="F30">_xlfn.XLOOKUP(D30,'Referanc '!$A:$A,'Referanc '!$E:$E)</f>
        <v>E2</v>
      </c>
      <c r="G30" s="191">
        <v>2026.0</v>
      </c>
      <c r="H30" s="10">
        <v>103.0</v>
      </c>
      <c r="I30" s="48">
        <v>0.0643</v>
      </c>
      <c r="J30" s="48">
        <v>0.0675</v>
      </c>
      <c r="K30" s="191">
        <v>2907.0</v>
      </c>
      <c r="L30" s="10">
        <v>139.0</v>
      </c>
      <c r="M30" s="48">
        <v>0.0626</v>
      </c>
      <c r="N30" s="48">
        <v>0.0593</v>
      </c>
      <c r="O30" s="48">
        <v>0.8706</v>
      </c>
      <c r="P30" s="48">
        <v>0.7611</v>
      </c>
      <c r="Q30" s="10">
        <v>14.0</v>
      </c>
      <c r="R30" s="10">
        <v>2.0</v>
      </c>
      <c r="S30" s="48">
        <v>0.0069</v>
      </c>
      <c r="T30" s="48">
        <v>0.0194</v>
      </c>
      <c r="U30" s="192">
        <v>418600.0</v>
      </c>
      <c r="V30" s="192">
        <v>59800.0</v>
      </c>
      <c r="W30" s="10">
        <v>13.0</v>
      </c>
      <c r="X30" s="10">
        <v>1.0</v>
      </c>
    </row>
    <row r="31" ht="15.75" customHeight="1">
      <c r="A31" s="51" t="s">
        <v>45</v>
      </c>
      <c r="B31" s="10" t="str">
        <f t="array" ref="B31">_xlfn.XLOOKUP(D31,'Referanc '!$A:$A,'Referanc '!$B:$B)</f>
        <v>Standing Table  - M8</v>
      </c>
      <c r="C31" s="10" t="s">
        <v>317</v>
      </c>
      <c r="D31" s="10" t="s">
        <v>317</v>
      </c>
      <c r="E31" s="10" t="s">
        <v>500</v>
      </c>
      <c r="F31" s="10" t="str">
        <f t="array" ref="F31">_xlfn.XLOOKUP(D31,'Referanc '!$A:$A,'Referanc '!$E:$E)</f>
        <v>M8</v>
      </c>
      <c r="G31" s="191">
        <v>1136.0</v>
      </c>
      <c r="H31" s="10">
        <v>51.0</v>
      </c>
      <c r="I31" s="48">
        <v>0.036</v>
      </c>
      <c r="J31" s="48">
        <v>0.0334</v>
      </c>
      <c r="K31" s="191">
        <v>1830.0</v>
      </c>
      <c r="L31" s="10">
        <v>78.0</v>
      </c>
      <c r="M31" s="48">
        <v>0.0394</v>
      </c>
      <c r="N31" s="48">
        <v>0.0333</v>
      </c>
      <c r="O31" s="48">
        <v>0.9247</v>
      </c>
      <c r="P31" s="48">
        <v>0.7813</v>
      </c>
      <c r="Q31" s="10">
        <v>11.0</v>
      </c>
      <c r="R31" s="10">
        <v>0.0</v>
      </c>
      <c r="S31" s="48">
        <v>0.0097</v>
      </c>
      <c r="T31" s="48">
        <v>0.0</v>
      </c>
      <c r="U31" s="192">
        <v>175989.0</v>
      </c>
      <c r="V31" s="10">
        <v>0.0</v>
      </c>
      <c r="W31" s="10">
        <v>11.0</v>
      </c>
      <c r="X31" s="10">
        <v>0.0</v>
      </c>
    </row>
    <row r="32" ht="15.75" customHeight="1">
      <c r="A32" s="51" t="s">
        <v>45</v>
      </c>
      <c r="B32" s="10" t="str">
        <f t="array" ref="B32">_xlfn.XLOOKUP(D32,'Referanc '!$A:$A,'Referanc '!$B:$B)</f>
        <v>Standing Table  - M8</v>
      </c>
      <c r="C32" s="10" t="s">
        <v>315</v>
      </c>
      <c r="D32" s="10" t="s">
        <v>315</v>
      </c>
      <c r="E32" s="10" t="s">
        <v>506</v>
      </c>
      <c r="F32" s="10" t="str">
        <f t="array" ref="F32">_xlfn.XLOOKUP(D32,'Referanc '!$A:$A,'Referanc '!$E:$E)</f>
        <v>M8</v>
      </c>
      <c r="G32" s="191">
        <v>1213.0</v>
      </c>
      <c r="H32" s="10">
        <v>68.0</v>
      </c>
      <c r="I32" s="48">
        <v>0.0385</v>
      </c>
      <c r="J32" s="48">
        <v>0.0446</v>
      </c>
      <c r="K32" s="191">
        <v>1863.0</v>
      </c>
      <c r="L32" s="10">
        <v>102.0</v>
      </c>
      <c r="M32" s="48">
        <v>0.0401</v>
      </c>
      <c r="N32" s="48">
        <v>0.0435</v>
      </c>
      <c r="O32" s="48">
        <v>0.8829</v>
      </c>
      <c r="P32" s="48">
        <v>0.7436</v>
      </c>
      <c r="Q32" s="10">
        <v>11.0</v>
      </c>
      <c r="R32" s="10">
        <v>1.0</v>
      </c>
      <c r="S32" s="48">
        <v>0.0091</v>
      </c>
      <c r="T32" s="48">
        <v>0.0147</v>
      </c>
      <c r="U32" s="192">
        <v>208989.0</v>
      </c>
      <c r="V32" s="192">
        <v>18999.0</v>
      </c>
      <c r="W32" s="10">
        <v>11.0</v>
      </c>
      <c r="X32" s="10">
        <v>1.0</v>
      </c>
    </row>
    <row r="33" ht="15.75" customHeight="1">
      <c r="A33" s="51" t="s">
        <v>45</v>
      </c>
      <c r="B33" s="10" t="str">
        <f t="array" ref="B33">_xlfn.XLOOKUP(D33,'Referanc '!$A:$A,'Referanc '!$B:$B)</f>
        <v>Standing Table  - E2</v>
      </c>
      <c r="C33" s="10" t="s">
        <v>311</v>
      </c>
      <c r="D33" s="10" t="s">
        <v>311</v>
      </c>
      <c r="E33" s="10" t="s">
        <v>520</v>
      </c>
      <c r="F33" s="10" t="str">
        <f t="array" ref="F33">_xlfn.XLOOKUP(D33,'Referanc '!$A:$A,'Referanc '!$E:$E)</f>
        <v>E2</v>
      </c>
      <c r="G33" s="191">
        <v>1447.0</v>
      </c>
      <c r="H33" s="10">
        <v>64.0</v>
      </c>
      <c r="I33" s="48">
        <v>0.0459</v>
      </c>
      <c r="J33" s="48">
        <v>0.042</v>
      </c>
      <c r="K33" s="191">
        <v>2135.0</v>
      </c>
      <c r="L33" s="10">
        <v>91.0</v>
      </c>
      <c r="M33" s="48">
        <v>0.0459</v>
      </c>
      <c r="N33" s="48">
        <v>0.0388</v>
      </c>
      <c r="O33" s="48">
        <v>0.9065</v>
      </c>
      <c r="P33" s="48">
        <v>0.7792</v>
      </c>
      <c r="Q33" s="10">
        <v>11.0</v>
      </c>
      <c r="R33" s="10">
        <v>0.0</v>
      </c>
      <c r="S33" s="48">
        <v>0.0076</v>
      </c>
      <c r="T33" s="48">
        <v>0.0</v>
      </c>
      <c r="U33" s="192">
        <v>372900.0</v>
      </c>
      <c r="V33" s="10">
        <v>0.0</v>
      </c>
      <c r="W33" s="10">
        <v>11.0</v>
      </c>
      <c r="X33" s="10">
        <v>0.0</v>
      </c>
    </row>
    <row r="34" ht="15.75" customHeight="1">
      <c r="A34" s="51" t="s">
        <v>45</v>
      </c>
      <c r="B34" s="10" t="str">
        <f t="array" ref="B34">_xlfn.XLOOKUP(D34,'Referanc '!$A:$A,'Referanc '!$B:$B)</f>
        <v>Standing Table  - M8</v>
      </c>
      <c r="C34" s="10" t="s">
        <v>289</v>
      </c>
      <c r="D34" s="10" t="s">
        <v>289</v>
      </c>
      <c r="E34" s="10" t="s">
        <v>508</v>
      </c>
      <c r="F34" s="10" t="str">
        <f t="array" ref="F34">_xlfn.XLOOKUP(D34,'Referanc '!$A:$A,'Referanc '!$E:$E)</f>
        <v>M8</v>
      </c>
      <c r="G34" s="191">
        <v>2372.0</v>
      </c>
      <c r="H34" s="10">
        <v>125.0</v>
      </c>
      <c r="I34" s="48">
        <v>0.0752</v>
      </c>
      <c r="J34" s="48">
        <v>0.082</v>
      </c>
      <c r="K34" s="191">
        <v>3588.0</v>
      </c>
      <c r="L34" s="10">
        <v>200.0</v>
      </c>
      <c r="M34" s="48">
        <v>0.0772</v>
      </c>
      <c r="N34" s="48">
        <v>0.0854</v>
      </c>
      <c r="O34" s="48">
        <v>0.8256</v>
      </c>
      <c r="P34" s="48">
        <v>0.8361</v>
      </c>
      <c r="Q34" s="10">
        <v>10.0</v>
      </c>
      <c r="R34" s="10">
        <v>1.0</v>
      </c>
      <c r="S34" s="48">
        <v>0.0042</v>
      </c>
      <c r="T34" s="48">
        <v>0.008</v>
      </c>
      <c r="U34" s="192">
        <v>155000.0</v>
      </c>
      <c r="V34" s="192">
        <v>15500.0</v>
      </c>
      <c r="W34" s="10">
        <v>10.0</v>
      </c>
      <c r="X34" s="10">
        <v>1.0</v>
      </c>
    </row>
    <row r="35" ht="15.75" customHeight="1">
      <c r="A35" s="51" t="s">
        <v>45</v>
      </c>
      <c r="B35" s="10" t="str">
        <f t="array" ref="B35">_xlfn.XLOOKUP(D35,'Referanc '!$A:$A,'Referanc '!$B:$B)</f>
        <v>Standing Table  - M8</v>
      </c>
      <c r="C35" s="10" t="s">
        <v>319</v>
      </c>
      <c r="D35" s="10" t="s">
        <v>319</v>
      </c>
      <c r="E35" s="10" t="s">
        <v>502</v>
      </c>
      <c r="F35" s="10" t="str">
        <f t="array" ref="F35">_xlfn.XLOOKUP(D35,'Referanc '!$A:$A,'Referanc '!$E:$E)</f>
        <v>M8</v>
      </c>
      <c r="G35" s="191">
        <v>1329.0</v>
      </c>
      <c r="H35" s="10">
        <v>61.0</v>
      </c>
      <c r="I35" s="48">
        <v>0.0422</v>
      </c>
      <c r="J35" s="48">
        <v>0.04</v>
      </c>
      <c r="K35" s="191">
        <v>1999.0</v>
      </c>
      <c r="L35" s="10">
        <v>97.0</v>
      </c>
      <c r="M35" s="48">
        <v>0.043</v>
      </c>
      <c r="N35" s="48">
        <v>0.0414</v>
      </c>
      <c r="O35" s="48">
        <v>0.8989</v>
      </c>
      <c r="P35" s="48">
        <v>0.7</v>
      </c>
      <c r="Q35" s="10">
        <v>10.0</v>
      </c>
      <c r="R35" s="10">
        <v>0.0</v>
      </c>
      <c r="S35" s="48">
        <v>0.0075</v>
      </c>
      <c r="T35" s="48">
        <v>0.0</v>
      </c>
      <c r="U35" s="192">
        <v>189990.0</v>
      </c>
      <c r="V35" s="10">
        <v>0.0</v>
      </c>
      <c r="W35" s="10">
        <v>10.0</v>
      </c>
      <c r="X35" s="10">
        <v>0.0</v>
      </c>
    </row>
    <row r="36" ht="15.75" customHeight="1">
      <c r="A36" s="51" t="s">
        <v>45</v>
      </c>
      <c r="B36" s="10" t="str">
        <f t="array" ref="B36">_xlfn.XLOOKUP(D36,'Referanc '!$A:$A,'Referanc '!$B:$B)</f>
        <v>Standing Table  - M8</v>
      </c>
      <c r="C36" s="10" t="s">
        <v>302</v>
      </c>
      <c r="D36" s="10" t="s">
        <v>302</v>
      </c>
      <c r="E36" s="10" t="s">
        <v>504</v>
      </c>
      <c r="F36" s="10" t="str">
        <f t="array" ref="F36">_xlfn.XLOOKUP(D36,'Referanc '!$A:$A,'Referanc '!$E:$E)</f>
        <v>M8</v>
      </c>
      <c r="G36" s="191">
        <v>1632.0</v>
      </c>
      <c r="H36" s="10">
        <v>51.0</v>
      </c>
      <c r="I36" s="48">
        <v>0.0518</v>
      </c>
      <c r="J36" s="48">
        <v>0.0334</v>
      </c>
      <c r="K36" s="191">
        <v>2460.0</v>
      </c>
      <c r="L36" s="10">
        <v>88.0</v>
      </c>
      <c r="M36" s="48">
        <v>0.0529</v>
      </c>
      <c r="N36" s="48">
        <v>0.0376</v>
      </c>
      <c r="O36" s="48">
        <v>0.8698</v>
      </c>
      <c r="P36" s="48">
        <v>0.8169</v>
      </c>
      <c r="Q36" s="10">
        <v>10.0</v>
      </c>
      <c r="R36" s="10">
        <v>1.0</v>
      </c>
      <c r="S36" s="48">
        <v>0.0061</v>
      </c>
      <c r="T36" s="48">
        <v>0.0196</v>
      </c>
      <c r="U36" s="192">
        <v>159990.0</v>
      </c>
      <c r="V36" s="192">
        <v>15999.0</v>
      </c>
      <c r="W36" s="10">
        <v>10.0</v>
      </c>
      <c r="X36" s="10">
        <v>1.0</v>
      </c>
    </row>
    <row r="37" ht="15.75" customHeight="1">
      <c r="A37" s="51" t="s">
        <v>45</v>
      </c>
      <c r="B37" s="10" t="s">
        <v>211</v>
      </c>
      <c r="C37" s="10" t="s">
        <v>314</v>
      </c>
      <c r="D37" s="10" t="s">
        <v>314</v>
      </c>
      <c r="E37" s="10" t="s">
        <v>487</v>
      </c>
      <c r="F37" s="10" t="str">
        <f t="array" ref="F37">_xlfn.XLOOKUP(D37,'Referanc '!$A:$A,'Referanc '!$E:$E)</f>
        <v>Desk Cable Tray</v>
      </c>
      <c r="G37" s="10">
        <v>166.0</v>
      </c>
      <c r="H37" s="10">
        <v>5.0</v>
      </c>
      <c r="I37" s="48">
        <v>0.0053</v>
      </c>
      <c r="J37" s="48">
        <v>0.0033</v>
      </c>
      <c r="K37" s="10">
        <v>244.0</v>
      </c>
      <c r="L37" s="10">
        <v>5.0</v>
      </c>
      <c r="M37" s="48">
        <v>0.0053</v>
      </c>
      <c r="N37" s="48">
        <v>0.0021</v>
      </c>
      <c r="O37" s="48">
        <v>0.9185</v>
      </c>
      <c r="P37" s="48">
        <v>0.8</v>
      </c>
      <c r="Q37" s="10">
        <v>9.0</v>
      </c>
      <c r="R37" s="10">
        <v>0.0</v>
      </c>
      <c r="S37" s="48">
        <v>0.0542</v>
      </c>
      <c r="T37" s="48">
        <v>0.0</v>
      </c>
      <c r="U37" s="192">
        <v>10980.0</v>
      </c>
      <c r="V37" s="10">
        <v>0.0</v>
      </c>
      <c r="W37" s="10">
        <v>9.0</v>
      </c>
      <c r="X37" s="10">
        <v>0.0</v>
      </c>
    </row>
    <row r="38" ht="15.75" customHeight="1">
      <c r="A38" s="51" t="s">
        <v>45</v>
      </c>
      <c r="B38" s="10" t="str">
        <f t="array" ref="B38">_xlfn.XLOOKUP(D38,'Referanc '!$A:$A,'Referanc '!$B:$B)</f>
        <v>Standing Table  - M3</v>
      </c>
      <c r="C38" s="10" t="s">
        <v>330</v>
      </c>
      <c r="D38" s="10" t="s">
        <v>330</v>
      </c>
      <c r="E38" s="10" t="s">
        <v>541</v>
      </c>
      <c r="F38" s="10" t="str">
        <f t="array" ref="F38">_xlfn.XLOOKUP(D38,'Referanc '!$A:$A,'Referanc '!$E:$E)</f>
        <v>M3</v>
      </c>
      <c r="G38" s="10">
        <v>906.0</v>
      </c>
      <c r="H38" s="10">
        <v>43.0</v>
      </c>
      <c r="I38" s="48">
        <v>0.0287</v>
      </c>
      <c r="J38" s="48">
        <v>0.0282</v>
      </c>
      <c r="K38" s="191">
        <v>1365.0</v>
      </c>
      <c r="L38" s="10">
        <v>91.0</v>
      </c>
      <c r="M38" s="48">
        <v>0.0294</v>
      </c>
      <c r="N38" s="48">
        <v>0.0388</v>
      </c>
      <c r="O38" s="48">
        <v>0.889</v>
      </c>
      <c r="P38" s="48">
        <v>0.9167</v>
      </c>
      <c r="Q38" s="10">
        <v>9.0</v>
      </c>
      <c r="R38" s="10">
        <v>1.0</v>
      </c>
      <c r="S38" s="48">
        <v>0.0099</v>
      </c>
      <c r="T38" s="48">
        <v>0.0233</v>
      </c>
      <c r="U38" s="192">
        <v>137700.0</v>
      </c>
      <c r="V38" s="192">
        <v>15300.0</v>
      </c>
      <c r="W38" s="10">
        <v>9.0</v>
      </c>
      <c r="X38" s="10">
        <v>1.0</v>
      </c>
    </row>
    <row r="39" ht="15.75" customHeight="1">
      <c r="A39" s="51" t="s">
        <v>45</v>
      </c>
      <c r="B39" s="10" t="str">
        <f t="array" ref="B39">_xlfn.XLOOKUP(D39,'Referanc '!$A:$A,'Referanc '!$B:$B)</f>
        <v>Standing Table - All Frames</v>
      </c>
      <c r="C39" s="10" t="s">
        <v>306</v>
      </c>
      <c r="D39" s="10" t="s">
        <v>306</v>
      </c>
      <c r="E39" s="10" t="s">
        <v>512</v>
      </c>
      <c r="F39" s="10" t="str">
        <f t="array" ref="F39">_xlfn.XLOOKUP(D39,'Referanc '!$A:$A,'Referanc '!$E:$E)</f>
        <v>E2</v>
      </c>
      <c r="G39" s="191">
        <v>1809.0</v>
      </c>
      <c r="H39" s="10">
        <v>90.0</v>
      </c>
      <c r="I39" s="48">
        <v>0.0574</v>
      </c>
      <c r="J39" s="48">
        <v>0.059</v>
      </c>
      <c r="K39" s="191">
        <v>2528.0</v>
      </c>
      <c r="L39" s="10">
        <v>149.0</v>
      </c>
      <c r="M39" s="48">
        <v>0.0544</v>
      </c>
      <c r="N39" s="48">
        <v>0.0636</v>
      </c>
      <c r="O39" s="48">
        <v>0.8282</v>
      </c>
      <c r="P39" s="48">
        <v>0.811</v>
      </c>
      <c r="Q39" s="10">
        <v>7.0</v>
      </c>
      <c r="R39" s="10">
        <v>2.0</v>
      </c>
      <c r="S39" s="48">
        <v>0.0039</v>
      </c>
      <c r="T39" s="48">
        <v>0.0222</v>
      </c>
      <c r="U39" s="192">
        <v>185500.0</v>
      </c>
      <c r="V39" s="192">
        <v>53000.0</v>
      </c>
      <c r="W39" s="10">
        <v>7.0</v>
      </c>
      <c r="X39" s="10">
        <v>2.0</v>
      </c>
    </row>
    <row r="40" ht="15.75" customHeight="1">
      <c r="A40" s="51" t="s">
        <v>45</v>
      </c>
      <c r="B40" s="10" t="str">
        <f t="array" ref="B40">_xlfn.XLOOKUP(D40,'Referanc '!$A:$A,'Referanc '!$B:$B)</f>
        <v>Standing Table  - E2</v>
      </c>
      <c r="C40" s="10" t="s">
        <v>309</v>
      </c>
      <c r="D40" s="10" t="s">
        <v>309</v>
      </c>
      <c r="E40" s="10" t="s">
        <v>518</v>
      </c>
      <c r="F40" s="10" t="str">
        <f t="array" ref="F40">_xlfn.XLOOKUP(D40,'Referanc '!$A:$A,'Referanc '!$E:$E)</f>
        <v>E2</v>
      </c>
      <c r="G40" s="191">
        <v>1446.0</v>
      </c>
      <c r="H40" s="10">
        <v>71.0</v>
      </c>
      <c r="I40" s="48">
        <v>0.0459</v>
      </c>
      <c r="J40" s="48">
        <v>0.0466</v>
      </c>
      <c r="K40" s="191">
        <v>2012.0</v>
      </c>
      <c r="L40" s="10">
        <v>103.0</v>
      </c>
      <c r="M40" s="48">
        <v>0.0433</v>
      </c>
      <c r="N40" s="48">
        <v>0.044</v>
      </c>
      <c r="O40" s="48">
        <v>0.8553</v>
      </c>
      <c r="P40" s="48">
        <v>0.6744</v>
      </c>
      <c r="Q40" s="10">
        <v>4.0</v>
      </c>
      <c r="R40" s="10">
        <v>0.0</v>
      </c>
      <c r="S40" s="48">
        <v>0.0028</v>
      </c>
      <c r="T40" s="48">
        <v>0.0</v>
      </c>
      <c r="U40" s="192">
        <v>135600.0</v>
      </c>
      <c r="V40" s="10">
        <v>0.0</v>
      </c>
      <c r="W40" s="10">
        <v>4.0</v>
      </c>
      <c r="X40" s="10">
        <v>0.0</v>
      </c>
    </row>
    <row r="41" ht="15.75" customHeight="1">
      <c r="A41" s="51" t="s">
        <v>45</v>
      </c>
      <c r="B41" s="10" t="str">
        <f t="array" ref="B41">_xlfn.XLOOKUP(D41,'Referanc '!$A:$A,'Referanc '!$B:$B)</f>
        <v>Extension &amp; Holder</v>
      </c>
      <c r="C41" s="10" t="s">
        <v>307</v>
      </c>
      <c r="D41" s="10" t="s">
        <v>307</v>
      </c>
      <c r="E41" s="10" t="s">
        <v>482</v>
      </c>
      <c r="F41" s="10" t="str">
        <f t="array" ref="F41">_xlfn.XLOOKUP(D41,'Referanc '!$A:$A,'Referanc '!$E:$E)</f>
        <v>Extension Board Holder</v>
      </c>
      <c r="G41" s="10">
        <v>173.0</v>
      </c>
      <c r="H41" s="10">
        <v>8.0</v>
      </c>
      <c r="I41" s="48">
        <v>0.0055</v>
      </c>
      <c r="J41" s="48">
        <v>0.0052</v>
      </c>
      <c r="K41" s="10">
        <v>244.0</v>
      </c>
      <c r="L41" s="10">
        <v>9.0</v>
      </c>
      <c r="M41" s="48">
        <v>0.0053</v>
      </c>
      <c r="N41" s="48">
        <v>0.0038</v>
      </c>
      <c r="O41" s="48">
        <v>0.8733</v>
      </c>
      <c r="P41" s="48">
        <v>0.625</v>
      </c>
      <c r="Q41" s="10">
        <v>5.0</v>
      </c>
      <c r="R41" s="10">
        <v>0.0</v>
      </c>
      <c r="S41" s="48">
        <v>0.0289</v>
      </c>
      <c r="T41" s="48">
        <v>0.0</v>
      </c>
      <c r="U41" s="192">
        <v>3950.0</v>
      </c>
      <c r="V41" s="10">
        <v>0.0</v>
      </c>
      <c r="W41" s="10">
        <v>3.0</v>
      </c>
      <c r="X41" s="10">
        <v>0.0</v>
      </c>
    </row>
    <row r="42" ht="15.75" customHeight="1">
      <c r="A42" s="51" t="s">
        <v>45</v>
      </c>
      <c r="B42" s="10" t="str">
        <f t="array" ref="B42">_xlfn.XLOOKUP(D42,'Referanc '!$A:$A,'Referanc '!$B:$B)</f>
        <v>Standing Desk Converter</v>
      </c>
      <c r="C42" s="10" t="s">
        <v>326</v>
      </c>
      <c r="D42" s="10" t="s">
        <v>326</v>
      </c>
      <c r="E42" s="10" t="s">
        <v>529</v>
      </c>
      <c r="F42" s="10" t="str">
        <f t="array" ref="F42">_xlfn.XLOOKUP(D42,'Referanc '!$A:$A,'Referanc '!$E:$E)</f>
        <v>Standing Desk Converter</v>
      </c>
      <c r="G42" s="10">
        <v>150.0</v>
      </c>
      <c r="H42" s="10">
        <v>12.0</v>
      </c>
      <c r="I42" s="48">
        <v>0.0048</v>
      </c>
      <c r="J42" s="48">
        <v>0.0079</v>
      </c>
      <c r="K42" s="10">
        <v>216.0</v>
      </c>
      <c r="L42" s="10">
        <v>15.0</v>
      </c>
      <c r="M42" s="48">
        <v>0.0046</v>
      </c>
      <c r="N42" s="48">
        <v>0.0064</v>
      </c>
      <c r="O42" s="48">
        <v>0.9026</v>
      </c>
      <c r="P42" s="48">
        <v>0.8571</v>
      </c>
      <c r="Q42" s="10">
        <v>3.0</v>
      </c>
      <c r="R42" s="10">
        <v>0.0</v>
      </c>
      <c r="S42" s="48">
        <v>0.02</v>
      </c>
      <c r="T42" s="48">
        <v>0.0</v>
      </c>
      <c r="U42" s="192">
        <v>19500.0</v>
      </c>
      <c r="V42" s="10">
        <v>0.0</v>
      </c>
      <c r="W42" s="10">
        <v>3.0</v>
      </c>
      <c r="X42" s="10">
        <v>0.0</v>
      </c>
    </row>
    <row r="43" ht="15.75" customHeight="1">
      <c r="A43" s="51" t="s">
        <v>45</v>
      </c>
      <c r="B43" s="10" t="str">
        <f t="array" ref="B43">_xlfn.XLOOKUP(D43,'Referanc '!$A:$A,'Referanc '!$B:$B)</f>
        <v>TABLE TOP</v>
      </c>
      <c r="C43" s="10" t="s">
        <v>323</v>
      </c>
      <c r="D43" s="10" t="s">
        <v>323</v>
      </c>
      <c r="E43" s="10" t="s">
        <v>537</v>
      </c>
      <c r="F43" s="10" t="str">
        <f t="array" ref="F43">_xlfn.XLOOKUP(D43,'Referanc '!$A:$A,'Referanc '!$E:$E)</f>
        <v>TABLE TOP</v>
      </c>
      <c r="G43" s="10">
        <v>402.0</v>
      </c>
      <c r="H43" s="10">
        <v>14.0</v>
      </c>
      <c r="I43" s="48">
        <v>0.0128</v>
      </c>
      <c r="J43" s="48">
        <v>0.0092</v>
      </c>
      <c r="K43" s="10">
        <v>583.0</v>
      </c>
      <c r="L43" s="10">
        <v>19.0</v>
      </c>
      <c r="M43" s="48">
        <v>0.0125</v>
      </c>
      <c r="N43" s="48">
        <v>0.0081</v>
      </c>
      <c r="O43" s="48">
        <v>0.8157</v>
      </c>
      <c r="P43" s="48">
        <v>0.6154</v>
      </c>
      <c r="Q43" s="10">
        <v>2.0</v>
      </c>
      <c r="R43" s="10">
        <v>0.0</v>
      </c>
      <c r="S43" s="48">
        <v>0.005</v>
      </c>
      <c r="T43" s="48">
        <v>0.0</v>
      </c>
      <c r="U43" s="192">
        <v>14700.0</v>
      </c>
      <c r="V43" s="10">
        <v>0.0</v>
      </c>
      <c r="W43" s="10">
        <v>2.0</v>
      </c>
      <c r="X43" s="10">
        <v>0.0</v>
      </c>
    </row>
    <row r="44" ht="15.75" customHeight="1">
      <c r="A44" s="51" t="s">
        <v>45</v>
      </c>
      <c r="B44" s="10" t="str">
        <f t="array" ref="B44">_xlfn.XLOOKUP(D44,'Referanc '!$A:$A,'Referanc '!$B:$B)</f>
        <v>Single Leg Gas</v>
      </c>
      <c r="C44" s="10" t="s">
        <v>332</v>
      </c>
      <c r="D44" s="10" t="s">
        <v>332</v>
      </c>
      <c r="E44" s="10" t="s">
        <v>526</v>
      </c>
      <c r="F44" s="10" t="str">
        <f t="array" ref="F44">_xlfn.XLOOKUP(D44,'Referanc '!$A:$A,'Referanc '!$E:$E)</f>
        <v>Single Leg Gas</v>
      </c>
      <c r="G44" s="10">
        <v>154.0</v>
      </c>
      <c r="H44" s="10">
        <v>9.0</v>
      </c>
      <c r="I44" s="48">
        <v>0.0049</v>
      </c>
      <c r="J44" s="48">
        <v>0.0059</v>
      </c>
      <c r="K44" s="10">
        <v>236.0</v>
      </c>
      <c r="L44" s="10">
        <v>12.0</v>
      </c>
      <c r="M44" s="48">
        <v>0.0051</v>
      </c>
      <c r="N44" s="48">
        <v>0.0051</v>
      </c>
      <c r="O44" s="48">
        <v>0.9206</v>
      </c>
      <c r="P44" s="48">
        <v>0.8333</v>
      </c>
      <c r="Q44" s="10">
        <v>2.0</v>
      </c>
      <c r="R44" s="10">
        <v>0.0</v>
      </c>
      <c r="S44" s="48">
        <v>0.013</v>
      </c>
      <c r="T44" s="48">
        <v>0.0</v>
      </c>
      <c r="U44" s="192">
        <v>21800.0</v>
      </c>
      <c r="V44" s="10">
        <v>0.0</v>
      </c>
      <c r="W44" s="10">
        <v>2.0</v>
      </c>
      <c r="X44" s="10">
        <v>0.0</v>
      </c>
    </row>
    <row r="45" ht="15.75" customHeight="1">
      <c r="A45" s="51" t="s">
        <v>45</v>
      </c>
      <c r="B45" s="10" t="str">
        <f t="array" ref="B45">_xlfn.XLOOKUP(D45,'Referanc '!$A:$A,'Referanc '!$B:$B)</f>
        <v>Single Leg Gas</v>
      </c>
      <c r="C45" s="10" t="s">
        <v>334</v>
      </c>
      <c r="D45" s="10" t="s">
        <v>334</v>
      </c>
      <c r="E45" s="10" t="s">
        <v>543</v>
      </c>
      <c r="F45" s="10" t="str">
        <f t="array" ref="F45">_xlfn.XLOOKUP(D45,'Referanc '!$A:$A,'Referanc '!$E:$E)</f>
        <v>Single Leg Gas</v>
      </c>
      <c r="G45" s="10">
        <v>79.0</v>
      </c>
      <c r="H45" s="10">
        <v>5.0</v>
      </c>
      <c r="I45" s="48">
        <v>0.0025</v>
      </c>
      <c r="J45" s="48">
        <v>0.0033</v>
      </c>
      <c r="K45" s="10">
        <v>118.0</v>
      </c>
      <c r="L45" s="10">
        <v>11.0</v>
      </c>
      <c r="M45" s="48">
        <v>0.0025</v>
      </c>
      <c r="N45" s="48">
        <v>0.0047</v>
      </c>
      <c r="O45" s="48">
        <v>0.8807</v>
      </c>
      <c r="P45" s="48">
        <v>1.0</v>
      </c>
      <c r="Q45" s="10">
        <v>2.0</v>
      </c>
      <c r="R45" s="10">
        <v>0.0</v>
      </c>
      <c r="S45" s="48">
        <v>0.0253</v>
      </c>
      <c r="T45" s="48">
        <v>0.0</v>
      </c>
      <c r="U45" s="192">
        <v>26800.0</v>
      </c>
      <c r="V45" s="10">
        <v>0.0</v>
      </c>
      <c r="W45" s="10">
        <v>2.0</v>
      </c>
      <c r="X45" s="10">
        <v>0.0</v>
      </c>
    </row>
    <row r="46" ht="15.75" customHeight="1">
      <c r="A46" s="51" t="s">
        <v>45</v>
      </c>
      <c r="B46" s="10" t="str">
        <f t="array" ref="B46">_xlfn.XLOOKUP(D46,'Referanc '!$A:$A,'Referanc '!$B:$B)</f>
        <v>Single Leg Gas</v>
      </c>
      <c r="C46" s="10" t="s">
        <v>335</v>
      </c>
      <c r="D46" s="10" t="s">
        <v>335</v>
      </c>
      <c r="E46" s="10" t="s">
        <v>526</v>
      </c>
      <c r="F46" s="10" t="str">
        <f t="array" ref="F46">_xlfn.XLOOKUP(D46,'Referanc '!$A:$A,'Referanc '!$E:$E)</f>
        <v>Single Leg Gas</v>
      </c>
      <c r="G46" s="10">
        <v>138.0</v>
      </c>
      <c r="H46" s="10">
        <v>6.0</v>
      </c>
      <c r="I46" s="48">
        <v>0.0044</v>
      </c>
      <c r="J46" s="48">
        <v>0.0039</v>
      </c>
      <c r="K46" s="10">
        <v>188.0</v>
      </c>
      <c r="L46" s="10">
        <v>8.0</v>
      </c>
      <c r="M46" s="48">
        <v>0.004</v>
      </c>
      <c r="N46" s="48">
        <v>0.0034</v>
      </c>
      <c r="O46" s="48">
        <v>0.8049</v>
      </c>
      <c r="P46" s="48">
        <v>1.0</v>
      </c>
      <c r="Q46" s="10">
        <v>2.0</v>
      </c>
      <c r="R46" s="10">
        <v>0.0</v>
      </c>
      <c r="S46" s="48">
        <v>0.0145</v>
      </c>
      <c r="T46" s="48">
        <v>0.0</v>
      </c>
      <c r="U46" s="192">
        <v>21800.0</v>
      </c>
      <c r="V46" s="10">
        <v>0.0</v>
      </c>
      <c r="W46" s="10">
        <v>2.0</v>
      </c>
      <c r="X46" s="10">
        <v>0.0</v>
      </c>
    </row>
    <row r="47" ht="15.75" customHeight="1">
      <c r="A47" s="51" t="s">
        <v>45</v>
      </c>
      <c r="B47" s="10" t="str">
        <f t="array" ref="B47">_xlfn.XLOOKUP(D47,'Referanc '!$A:$A,'Referanc '!$B:$B)</f>
        <v>Laptop Table</v>
      </c>
      <c r="C47" s="10" t="s">
        <v>328</v>
      </c>
      <c r="D47" s="10" t="s">
        <v>328</v>
      </c>
      <c r="E47" s="10" t="s">
        <v>510</v>
      </c>
      <c r="F47" s="10" t="str">
        <f t="array" ref="F47">_xlfn.XLOOKUP(D47,'Referanc '!$A:$A,'Referanc '!$E:$E)</f>
        <v>Laptop Table</v>
      </c>
      <c r="G47" s="10">
        <v>79.0</v>
      </c>
      <c r="H47" s="10">
        <v>4.0</v>
      </c>
      <c r="I47" s="48">
        <v>0.0025</v>
      </c>
      <c r="J47" s="48">
        <v>0.0026</v>
      </c>
      <c r="K47" s="10">
        <v>118.0</v>
      </c>
      <c r="L47" s="10">
        <v>8.0</v>
      </c>
      <c r="M47" s="48">
        <v>0.0025</v>
      </c>
      <c r="N47" s="48">
        <v>0.0034</v>
      </c>
      <c r="O47" s="48">
        <v>0.9174</v>
      </c>
      <c r="P47" s="48">
        <v>0.75</v>
      </c>
      <c r="Q47" s="10">
        <v>2.0</v>
      </c>
      <c r="R47" s="10">
        <v>0.0</v>
      </c>
      <c r="S47" s="48">
        <v>0.0253</v>
      </c>
      <c r="T47" s="48">
        <v>0.0</v>
      </c>
      <c r="U47" s="192">
        <v>29800.0</v>
      </c>
      <c r="V47" s="10">
        <v>0.0</v>
      </c>
      <c r="W47" s="10">
        <v>2.0</v>
      </c>
      <c r="X47" s="10">
        <v>0.0</v>
      </c>
    </row>
    <row r="48" ht="15.75" customHeight="1">
      <c r="A48" s="51" t="s">
        <v>45</v>
      </c>
      <c r="B48" s="10" t="str">
        <f t="array" ref="B48">_xlfn.XLOOKUP(D48,'Referanc '!$A:$A,'Referanc '!$B:$B)</f>
        <v>Standing Table  - E2</v>
      </c>
      <c r="C48" s="10" t="s">
        <v>313</v>
      </c>
      <c r="D48" s="10" t="s">
        <v>313</v>
      </c>
      <c r="E48" s="10" t="s">
        <v>516</v>
      </c>
      <c r="F48" s="10" t="str">
        <f t="array" ref="F48">_xlfn.XLOOKUP(D48,'Referanc '!$A:$A,'Referanc '!$E:$E)</f>
        <v>E2</v>
      </c>
      <c r="G48" s="10">
        <v>666.0</v>
      </c>
      <c r="H48" s="10">
        <v>32.0</v>
      </c>
      <c r="I48" s="48">
        <v>0.0211</v>
      </c>
      <c r="J48" s="48">
        <v>0.021</v>
      </c>
      <c r="K48" s="10">
        <v>876.0</v>
      </c>
      <c r="L48" s="10">
        <v>39.0</v>
      </c>
      <c r="M48" s="48">
        <v>0.0189</v>
      </c>
      <c r="N48" s="48">
        <v>0.0166</v>
      </c>
      <c r="O48" s="48">
        <v>0.8311</v>
      </c>
      <c r="P48" s="48">
        <v>0.5769</v>
      </c>
      <c r="Q48" s="10">
        <v>2.0</v>
      </c>
      <c r="R48" s="10">
        <v>0.0</v>
      </c>
      <c r="S48" s="48">
        <v>0.003</v>
      </c>
      <c r="T48" s="48">
        <v>0.0</v>
      </c>
      <c r="U48" s="192">
        <v>59800.0</v>
      </c>
      <c r="V48" s="10">
        <v>0.0</v>
      </c>
      <c r="W48" s="10">
        <v>2.0</v>
      </c>
      <c r="X48" s="10">
        <v>0.0</v>
      </c>
    </row>
    <row r="49" ht="15.75" customHeight="1">
      <c r="A49" s="51" t="s">
        <v>45</v>
      </c>
      <c r="B49" s="10" t="s">
        <v>241</v>
      </c>
      <c r="C49" s="10" t="s">
        <v>337</v>
      </c>
      <c r="D49" s="10" t="s">
        <v>337</v>
      </c>
      <c r="E49" s="10" t="s">
        <v>545</v>
      </c>
      <c r="F49" s="10" t="str">
        <f t="array" ref="F49">_xlfn.XLOOKUP(D49,'Referanc '!$A:$A,'Referanc '!$E:$E)</f>
        <v>Footrest</v>
      </c>
      <c r="G49" s="10">
        <v>26.0</v>
      </c>
      <c r="H49" s="10">
        <v>2.0</v>
      </c>
      <c r="I49" s="48">
        <v>8.0E-4</v>
      </c>
      <c r="J49" s="48">
        <v>0.0013</v>
      </c>
      <c r="K49" s="10">
        <v>43.0</v>
      </c>
      <c r="L49" s="10">
        <v>2.0</v>
      </c>
      <c r="M49" s="48">
        <v>9.0E-4</v>
      </c>
      <c r="N49" s="48">
        <v>9.0E-4</v>
      </c>
      <c r="O49" s="48">
        <v>0.75</v>
      </c>
      <c r="P49" s="48">
        <v>0.5</v>
      </c>
      <c r="Q49" s="10">
        <v>2.0</v>
      </c>
      <c r="R49" s="10">
        <v>0.0</v>
      </c>
      <c r="S49" s="48">
        <v>0.0769</v>
      </c>
      <c r="T49" s="48">
        <v>0.0</v>
      </c>
      <c r="U49" s="192">
        <v>3980.0</v>
      </c>
      <c r="V49" s="10">
        <v>0.0</v>
      </c>
      <c r="W49" s="10">
        <v>2.0</v>
      </c>
      <c r="X49" s="10">
        <v>0.0</v>
      </c>
    </row>
    <row r="50" ht="15.75" customHeight="1">
      <c r="A50" s="51" t="s">
        <v>45</v>
      </c>
      <c r="B50" s="10" t="str">
        <f t="array" ref="B50">_xlfn.XLOOKUP(D50,'Referanc '!$A:$A,'Referanc '!$B:$B)</f>
        <v>TABLE TOP</v>
      </c>
      <c r="C50" s="10" t="s">
        <v>324</v>
      </c>
      <c r="D50" s="10" t="s">
        <v>324</v>
      </c>
      <c r="E50" s="10" t="s">
        <v>533</v>
      </c>
      <c r="F50" s="10" t="str">
        <f t="array" ref="F50">_xlfn.XLOOKUP(D50,'Referanc '!$A:$A,'Referanc '!$E:$E)</f>
        <v>TABLE TOP</v>
      </c>
      <c r="G50" s="10">
        <v>509.0</v>
      </c>
      <c r="H50" s="10">
        <v>23.0</v>
      </c>
      <c r="I50" s="48">
        <v>0.0161</v>
      </c>
      <c r="J50" s="48">
        <v>0.0151</v>
      </c>
      <c r="K50" s="10">
        <v>748.0</v>
      </c>
      <c r="L50" s="10">
        <v>34.0</v>
      </c>
      <c r="M50" s="48">
        <v>0.0161</v>
      </c>
      <c r="N50" s="48">
        <v>0.0145</v>
      </c>
      <c r="O50" s="48">
        <v>0.7723</v>
      </c>
      <c r="P50" s="48">
        <v>0.75</v>
      </c>
      <c r="Q50" s="10">
        <v>1.0</v>
      </c>
      <c r="R50" s="10">
        <v>0.0</v>
      </c>
      <c r="S50" s="48">
        <v>0.002</v>
      </c>
      <c r="T50" s="48">
        <v>0.0</v>
      </c>
      <c r="U50" s="192">
        <v>4450.0</v>
      </c>
      <c r="V50" s="10">
        <v>0.0</v>
      </c>
      <c r="W50" s="10">
        <v>1.0</v>
      </c>
      <c r="X50" s="10">
        <v>0.0</v>
      </c>
    </row>
    <row r="51" ht="15.75" customHeight="1">
      <c r="A51" s="51" t="s">
        <v>45</v>
      </c>
      <c r="B51" s="10" t="s">
        <v>241</v>
      </c>
      <c r="C51" s="10" t="s">
        <v>339</v>
      </c>
      <c r="D51" s="10" t="s">
        <v>339</v>
      </c>
      <c r="E51" s="10" t="s">
        <v>547</v>
      </c>
      <c r="F51" s="10" t="str">
        <f t="array" ref="F51">_xlfn.XLOOKUP(D51,'Referanc '!$A:$A,'Referanc '!$E:$E)</f>
        <v>Anti Fatigue Mat</v>
      </c>
      <c r="G51" s="10">
        <v>44.0</v>
      </c>
      <c r="H51" s="10">
        <v>5.0</v>
      </c>
      <c r="I51" s="48">
        <v>0.0014</v>
      </c>
      <c r="J51" s="48">
        <v>0.0033</v>
      </c>
      <c r="K51" s="10">
        <v>62.0</v>
      </c>
      <c r="L51" s="10">
        <v>7.0</v>
      </c>
      <c r="M51" s="48">
        <v>0.0013</v>
      </c>
      <c r="N51" s="48">
        <v>0.003</v>
      </c>
      <c r="O51" s="48">
        <v>0.931</v>
      </c>
      <c r="P51" s="48">
        <v>0.8571</v>
      </c>
      <c r="Q51" s="10">
        <v>1.0</v>
      </c>
      <c r="R51" s="10">
        <v>0.0</v>
      </c>
      <c r="S51" s="48">
        <v>0.0227</v>
      </c>
      <c r="T51" s="48">
        <v>0.0</v>
      </c>
      <c r="U51" s="192">
        <v>2900.0</v>
      </c>
      <c r="V51" s="10">
        <v>0.0</v>
      </c>
      <c r="W51" s="10">
        <v>1.0</v>
      </c>
      <c r="X51" s="10">
        <v>0.0</v>
      </c>
    </row>
    <row r="52" ht="15.75" customHeight="1">
      <c r="A52" s="51" t="s">
        <v>45</v>
      </c>
      <c r="B52" s="10" t="str">
        <f t="array" ref="B52">_xlfn.XLOOKUP(D52,'Referanc '!$A:$A,'Referanc '!$B:$B)</f>
        <v>Extension &amp; Holder</v>
      </c>
      <c r="C52" s="10" t="s">
        <v>308</v>
      </c>
      <c r="D52" s="10" t="s">
        <v>308</v>
      </c>
      <c r="E52" s="10" t="s">
        <v>484</v>
      </c>
      <c r="F52" s="10" t="str">
        <f t="array" ref="F52">_xlfn.XLOOKUP(D52,'Referanc '!$A:$A,'Referanc '!$E:$E)</f>
        <v>Extension Board Holder</v>
      </c>
      <c r="G52" s="10">
        <v>168.0</v>
      </c>
      <c r="H52" s="10">
        <v>9.0</v>
      </c>
      <c r="I52" s="48">
        <v>0.0053</v>
      </c>
      <c r="J52" s="48">
        <v>0.0059</v>
      </c>
      <c r="K52" s="10">
        <v>236.0</v>
      </c>
      <c r="L52" s="10">
        <v>10.0</v>
      </c>
      <c r="M52" s="48">
        <v>0.0051</v>
      </c>
      <c r="N52" s="48">
        <v>0.0043</v>
      </c>
      <c r="O52" s="48">
        <v>0.8785</v>
      </c>
      <c r="P52" s="48">
        <v>0.6</v>
      </c>
      <c r="Q52" s="10">
        <v>1.0</v>
      </c>
      <c r="R52" s="10">
        <v>0.0</v>
      </c>
      <c r="S52" s="48">
        <v>0.006</v>
      </c>
      <c r="T52" s="48">
        <v>0.0</v>
      </c>
      <c r="U52" s="192">
        <v>1350.0</v>
      </c>
      <c r="V52" s="10">
        <v>0.0</v>
      </c>
      <c r="W52" s="10">
        <v>1.0</v>
      </c>
      <c r="X52" s="10">
        <v>0.0</v>
      </c>
    </row>
    <row r="53" ht="15.75" customHeight="1">
      <c r="A53" s="51" t="s">
        <v>45</v>
      </c>
      <c r="B53" s="10" t="str">
        <f t="array" ref="B53">_xlfn.XLOOKUP(D53,'Referanc '!$A:$A,'Referanc '!$B:$B)</f>
        <v>Monitor Arm Stand</v>
      </c>
      <c r="C53" s="10" t="s">
        <v>342</v>
      </c>
      <c r="D53" s="10" t="s">
        <v>342</v>
      </c>
      <c r="E53" s="10" t="s">
        <v>522</v>
      </c>
      <c r="F53" s="10" t="str">
        <f t="array" ref="F53">_xlfn.XLOOKUP(D53,'Referanc '!$A:$A,'Referanc '!$E:$E)</f>
        <v>Monitor Arm Stand</v>
      </c>
      <c r="G53" s="10">
        <v>112.0</v>
      </c>
      <c r="H53" s="10">
        <v>8.0</v>
      </c>
      <c r="I53" s="48">
        <v>0.0036</v>
      </c>
      <c r="J53" s="48">
        <v>0.0052</v>
      </c>
      <c r="K53" s="10">
        <v>160.0</v>
      </c>
      <c r="L53" s="10">
        <v>11.0</v>
      </c>
      <c r="M53" s="48">
        <v>0.0034</v>
      </c>
      <c r="N53" s="48">
        <v>0.0047</v>
      </c>
      <c r="O53" s="48">
        <v>0.8593</v>
      </c>
      <c r="P53" s="48">
        <v>0.8889</v>
      </c>
      <c r="Q53" s="10">
        <v>1.0</v>
      </c>
      <c r="R53" s="10">
        <v>0.0</v>
      </c>
      <c r="S53" s="48">
        <v>0.0089</v>
      </c>
      <c r="T53" s="48">
        <v>0.0</v>
      </c>
      <c r="U53" s="192">
        <v>12950.0</v>
      </c>
      <c r="V53" s="10">
        <v>0.0</v>
      </c>
      <c r="W53" s="10">
        <v>1.0</v>
      </c>
      <c r="X53" s="10">
        <v>0.0</v>
      </c>
    </row>
    <row r="54" ht="15.75" customHeight="1">
      <c r="A54" s="51" t="s">
        <v>45</v>
      </c>
      <c r="B54" s="10" t="str">
        <f t="array" ref="B54">_xlfn.XLOOKUP(D54,'Referanc '!$A:$A,'Referanc '!$B:$B)</f>
        <v>Standing Table - All Frames</v>
      </c>
      <c r="C54" s="10" t="s">
        <v>343</v>
      </c>
      <c r="D54" s="10" t="s">
        <v>343</v>
      </c>
      <c r="E54" s="10" t="s">
        <v>549</v>
      </c>
      <c r="F54" s="10" t="str">
        <f t="array" ref="F54">_xlfn.XLOOKUP(D54,'Referanc '!$A:$A,'Referanc '!$E:$E)</f>
        <v>E3</v>
      </c>
      <c r="G54" s="10">
        <v>515.0</v>
      </c>
      <c r="H54" s="10">
        <v>29.0</v>
      </c>
      <c r="I54" s="48">
        <v>0.0163</v>
      </c>
      <c r="J54" s="48">
        <v>0.019</v>
      </c>
      <c r="K54" s="10">
        <v>739.0</v>
      </c>
      <c r="L54" s="10">
        <v>45.0</v>
      </c>
      <c r="M54" s="48">
        <v>0.0159</v>
      </c>
      <c r="N54" s="48">
        <v>0.0192</v>
      </c>
      <c r="O54" s="48">
        <v>0.8417</v>
      </c>
      <c r="P54" s="48">
        <v>0.8095</v>
      </c>
      <c r="Q54" s="10">
        <v>1.0</v>
      </c>
      <c r="R54" s="10">
        <v>0.0</v>
      </c>
      <c r="S54" s="48">
        <v>0.0019</v>
      </c>
      <c r="T54" s="48">
        <v>0.0</v>
      </c>
      <c r="U54" s="192">
        <v>43300.0</v>
      </c>
      <c r="V54" s="10">
        <v>0.0</v>
      </c>
      <c r="W54" s="10">
        <v>1.0</v>
      </c>
      <c r="X54" s="10">
        <v>0.0</v>
      </c>
    </row>
    <row r="55" ht="15.75" customHeight="1">
      <c r="A55" s="51" t="s">
        <v>45</v>
      </c>
      <c r="B55" s="10" t="str">
        <f t="array" ref="B55">_xlfn.XLOOKUP(D55,'Referanc '!$A:$A,'Referanc '!$B:$B)</f>
        <v>Standing Table  - E3</v>
      </c>
      <c r="C55" s="10" t="s">
        <v>344</v>
      </c>
      <c r="D55" s="10" t="s">
        <v>344</v>
      </c>
      <c r="E55" s="10" t="s">
        <v>551</v>
      </c>
      <c r="F55" s="10" t="str">
        <f t="array" ref="F55">_xlfn.XLOOKUP(D55,'Referanc '!$A:$A,'Referanc '!$E:$E)</f>
        <v>E3</v>
      </c>
      <c r="G55" s="10">
        <v>129.0</v>
      </c>
      <c r="H55" s="10">
        <v>4.0</v>
      </c>
      <c r="I55" s="48">
        <v>0.0041</v>
      </c>
      <c r="J55" s="48">
        <v>0.0026</v>
      </c>
      <c r="K55" s="10">
        <v>183.0</v>
      </c>
      <c r="L55" s="10">
        <v>5.0</v>
      </c>
      <c r="M55" s="48">
        <v>0.0039</v>
      </c>
      <c r="N55" s="48">
        <v>0.0021</v>
      </c>
      <c r="O55" s="48">
        <v>0.8607</v>
      </c>
      <c r="P55" s="48">
        <v>1.0</v>
      </c>
      <c r="Q55" s="10">
        <v>1.0</v>
      </c>
      <c r="R55" s="10">
        <v>0.0</v>
      </c>
      <c r="S55" s="48">
        <v>0.0078</v>
      </c>
      <c r="T55" s="48">
        <v>0.0</v>
      </c>
      <c r="U55" s="192">
        <v>47990.0</v>
      </c>
      <c r="V55" s="10">
        <v>0.0</v>
      </c>
      <c r="W55" s="10">
        <v>1.0</v>
      </c>
      <c r="X55" s="10">
        <v>0.0</v>
      </c>
    </row>
    <row r="56" ht="15.75" customHeight="1">
      <c r="A56" s="51" t="s">
        <v>45</v>
      </c>
      <c r="B56" s="10" t="s">
        <v>241</v>
      </c>
      <c r="C56" s="10" t="s">
        <v>345</v>
      </c>
      <c r="D56" s="10" t="s">
        <v>345</v>
      </c>
      <c r="E56" s="10" t="s">
        <v>553</v>
      </c>
      <c r="F56" s="10" t="str">
        <f t="array" ref="F56">_xlfn.XLOOKUP(D56,'Referanc '!$A:$A,'Referanc '!$E:$E)</f>
        <v>Footrest</v>
      </c>
      <c r="G56" s="10">
        <v>25.0</v>
      </c>
      <c r="H56" s="10">
        <v>0.0</v>
      </c>
      <c r="I56" s="48">
        <v>8.0E-4</v>
      </c>
      <c r="J56" s="48">
        <v>0.0</v>
      </c>
      <c r="K56" s="10">
        <v>30.0</v>
      </c>
      <c r="L56" s="10">
        <v>0.0</v>
      </c>
      <c r="M56" s="48">
        <v>6.0E-4</v>
      </c>
      <c r="N56" s="48">
        <v>0.0</v>
      </c>
      <c r="O56" s="48">
        <v>0.8077</v>
      </c>
      <c r="P56" s="48">
        <v>0.0</v>
      </c>
      <c r="Q56" s="10">
        <v>1.0</v>
      </c>
      <c r="R56" s="10">
        <v>0.0</v>
      </c>
      <c r="S56" s="48">
        <v>0.04</v>
      </c>
      <c r="T56" s="48">
        <v>0.0</v>
      </c>
      <c r="U56" s="192">
        <v>3100.0</v>
      </c>
      <c r="V56" s="10">
        <v>0.0</v>
      </c>
      <c r="W56" s="10">
        <v>1.0</v>
      </c>
      <c r="X56" s="10">
        <v>0.0</v>
      </c>
    </row>
    <row r="57" ht="15.75" customHeight="1">
      <c r="A57" s="51" t="s">
        <v>46</v>
      </c>
      <c r="B57" s="10" t="str">
        <f t="array" ref="B57">_xlfn.XLOOKUP(D57,'Referanc '!$A:$A,'Referanc '!$B:$B)</f>
        <v>Standing Table  - SM3</v>
      </c>
      <c r="C57" s="10" t="s">
        <v>291</v>
      </c>
      <c r="D57" s="10" t="s">
        <v>291</v>
      </c>
      <c r="E57" s="10" t="s">
        <v>492</v>
      </c>
      <c r="F57" s="10" t="str">
        <f t="array" ref="F57">_xlfn.XLOOKUP(D57,'Referanc '!$A:$A,'Referanc '!$E:$E)</f>
        <v>SM3</v>
      </c>
      <c r="G57" s="191">
        <v>4310.0</v>
      </c>
      <c r="H57" s="10">
        <v>201.0</v>
      </c>
      <c r="I57" s="48">
        <v>0.162</v>
      </c>
      <c r="J57" s="48">
        <v>0.1563</v>
      </c>
      <c r="K57" s="191">
        <v>6096.0</v>
      </c>
      <c r="L57" s="10">
        <v>313.0</v>
      </c>
      <c r="M57" s="48">
        <v>0.1648</v>
      </c>
      <c r="N57" s="48">
        <v>0.1686</v>
      </c>
      <c r="O57" s="48">
        <v>0.88</v>
      </c>
      <c r="P57" s="48">
        <v>0.8304</v>
      </c>
      <c r="Q57" s="10">
        <v>18.0</v>
      </c>
      <c r="R57" s="10">
        <v>2.0</v>
      </c>
      <c r="S57" s="48">
        <v>0.0042</v>
      </c>
      <c r="T57" s="48">
        <v>0.01</v>
      </c>
      <c r="U57" s="193">
        <v>387750.0</v>
      </c>
      <c r="V57" s="193">
        <v>41800.0</v>
      </c>
      <c r="W57" s="10">
        <v>18.0</v>
      </c>
      <c r="X57" s="10">
        <v>2.0</v>
      </c>
    </row>
    <row r="58" ht="15.75" customHeight="1">
      <c r="A58" s="51" t="s">
        <v>46</v>
      </c>
      <c r="B58" s="10" t="str">
        <f t="array" ref="B58">_xlfn.XLOOKUP(D58,'Referanc '!$A:$A,'Referanc '!$B:$B)</f>
        <v>Standing Table  - SM3</v>
      </c>
      <c r="C58" s="10" t="s">
        <v>304</v>
      </c>
      <c r="D58" s="10" t="s">
        <v>304</v>
      </c>
      <c r="E58" s="10" t="s">
        <v>494</v>
      </c>
      <c r="F58" s="10" t="str">
        <f t="array" ref="F58">_xlfn.XLOOKUP(D58,'Referanc '!$A:$A,'Referanc '!$E:$E)</f>
        <v>SM3</v>
      </c>
      <c r="G58" s="191">
        <v>1401.0</v>
      </c>
      <c r="H58" s="10">
        <v>71.0</v>
      </c>
      <c r="I58" s="48">
        <v>0.0526</v>
      </c>
      <c r="J58" s="48">
        <v>0.0552</v>
      </c>
      <c r="K58" s="191">
        <v>1969.0</v>
      </c>
      <c r="L58" s="10">
        <v>92.0</v>
      </c>
      <c r="M58" s="48">
        <v>0.0532</v>
      </c>
      <c r="N58" s="48">
        <v>0.0496</v>
      </c>
      <c r="O58" s="48">
        <v>0.8581</v>
      </c>
      <c r="P58" s="48">
        <v>0.7089</v>
      </c>
      <c r="Q58" s="10">
        <v>17.0</v>
      </c>
      <c r="R58" s="10">
        <v>0.0</v>
      </c>
      <c r="S58" s="48">
        <v>0.0121</v>
      </c>
      <c r="T58" s="48">
        <v>0.0</v>
      </c>
      <c r="U58" s="193">
        <v>355300.0</v>
      </c>
      <c r="V58" s="193">
        <v>0.0</v>
      </c>
      <c r="W58" s="10">
        <v>17.0</v>
      </c>
      <c r="X58" s="10">
        <v>0.0</v>
      </c>
    </row>
    <row r="59" ht="15.75" customHeight="1">
      <c r="A59" s="51" t="s">
        <v>46</v>
      </c>
      <c r="B59" s="10" t="s">
        <v>211</v>
      </c>
      <c r="C59" s="10" t="s">
        <v>314</v>
      </c>
      <c r="D59" s="10" t="s">
        <v>314</v>
      </c>
      <c r="E59" s="10" t="s">
        <v>487</v>
      </c>
      <c r="F59" s="10" t="str">
        <f t="array" ref="F59">_xlfn.XLOOKUP(D59,'Referanc '!$A:$A,'Referanc '!$E:$E)</f>
        <v>Desk Cable Tray</v>
      </c>
      <c r="G59" s="10">
        <v>299.0</v>
      </c>
      <c r="H59" s="10">
        <v>11.0</v>
      </c>
      <c r="I59" s="48">
        <v>0.0112</v>
      </c>
      <c r="J59" s="48">
        <v>0.0086</v>
      </c>
      <c r="K59" s="10">
        <v>468.0</v>
      </c>
      <c r="L59" s="10">
        <v>23.0</v>
      </c>
      <c r="M59" s="48">
        <v>0.0126</v>
      </c>
      <c r="N59" s="48">
        <v>0.0124</v>
      </c>
      <c r="O59" s="48">
        <v>0.9068</v>
      </c>
      <c r="P59" s="48">
        <v>0.8889</v>
      </c>
      <c r="Q59" s="10">
        <v>22.0</v>
      </c>
      <c r="R59" s="10">
        <v>3.0</v>
      </c>
      <c r="S59" s="48">
        <v>0.0736</v>
      </c>
      <c r="T59" s="48">
        <v>0.2727</v>
      </c>
      <c r="U59" s="193">
        <v>26418.3</v>
      </c>
      <c r="V59" s="193">
        <v>3596.4</v>
      </c>
      <c r="W59" s="10">
        <v>17.0</v>
      </c>
      <c r="X59" s="10">
        <v>1.0</v>
      </c>
    </row>
    <row r="60" ht="15.75" customHeight="1">
      <c r="A60" s="51" t="s">
        <v>46</v>
      </c>
      <c r="B60" s="10" t="str">
        <f t="array" ref="B60">_xlfn.XLOOKUP(D60,'Referanc '!$A:$A,'Referanc '!$B:$B)</f>
        <v>Standing Table - All Frames</v>
      </c>
      <c r="C60" s="10" t="s">
        <v>298</v>
      </c>
      <c r="D60" s="10" t="s">
        <v>298</v>
      </c>
      <c r="E60" s="10" t="s">
        <v>489</v>
      </c>
      <c r="F60" s="10" t="str">
        <f t="array" ref="F60">_xlfn.XLOOKUP(D60,'Referanc '!$A:$A,'Referanc '!$E:$E)</f>
        <v>SM3</v>
      </c>
      <c r="G60" s="191">
        <v>1802.0</v>
      </c>
      <c r="H60" s="10">
        <v>96.0</v>
      </c>
      <c r="I60" s="48">
        <v>0.0677</v>
      </c>
      <c r="J60" s="48">
        <v>0.0747</v>
      </c>
      <c r="K60" s="191">
        <v>2415.0</v>
      </c>
      <c r="L60" s="10">
        <v>145.0</v>
      </c>
      <c r="M60" s="48">
        <v>0.0653</v>
      </c>
      <c r="N60" s="48">
        <v>0.0781</v>
      </c>
      <c r="O60" s="48">
        <v>0.8844</v>
      </c>
      <c r="P60" s="48">
        <v>0.8372</v>
      </c>
      <c r="Q60" s="10">
        <v>15.0</v>
      </c>
      <c r="R60" s="10">
        <v>4.0</v>
      </c>
      <c r="S60" s="48">
        <v>0.0083</v>
      </c>
      <c r="T60" s="48">
        <v>0.0417</v>
      </c>
      <c r="U60" s="193">
        <v>268500.0</v>
      </c>
      <c r="V60" s="193">
        <v>71600.0</v>
      </c>
      <c r="W60" s="10">
        <v>13.0</v>
      </c>
      <c r="X60" s="10">
        <v>2.0</v>
      </c>
    </row>
    <row r="61" ht="15.75" customHeight="1">
      <c r="A61" s="51" t="s">
        <v>46</v>
      </c>
      <c r="B61" s="10" t="str">
        <f t="array" ref="B61">_xlfn.XLOOKUP(D61,'Referanc '!$A:$A,'Referanc '!$B:$B)</f>
        <v>Standing Table  - M3</v>
      </c>
      <c r="C61" s="10" t="s">
        <v>330</v>
      </c>
      <c r="D61" s="10" t="s">
        <v>330</v>
      </c>
      <c r="E61" s="10" t="s">
        <v>541</v>
      </c>
      <c r="F61" s="10" t="str">
        <f t="array" ref="F61">_xlfn.XLOOKUP(D61,'Referanc '!$A:$A,'Referanc '!$E:$E)</f>
        <v>M3</v>
      </c>
      <c r="G61" s="191">
        <v>2685.0</v>
      </c>
      <c r="H61" s="10">
        <v>98.0</v>
      </c>
      <c r="I61" s="48">
        <v>0.1009</v>
      </c>
      <c r="J61" s="48">
        <v>0.0762</v>
      </c>
      <c r="K61" s="191">
        <v>3966.0</v>
      </c>
      <c r="L61" s="10">
        <v>149.0</v>
      </c>
      <c r="M61" s="48">
        <v>0.1072</v>
      </c>
      <c r="N61" s="48">
        <v>0.0803</v>
      </c>
      <c r="O61" s="48">
        <v>0.9168</v>
      </c>
      <c r="P61" s="48">
        <v>0.8248</v>
      </c>
      <c r="Q61" s="10">
        <v>13.0</v>
      </c>
      <c r="R61" s="10">
        <v>0.0</v>
      </c>
      <c r="S61" s="48">
        <v>0.0048</v>
      </c>
      <c r="T61" s="48">
        <v>0.0</v>
      </c>
      <c r="U61" s="193">
        <v>197160.0</v>
      </c>
      <c r="V61" s="193">
        <v>0.0</v>
      </c>
      <c r="W61" s="10">
        <v>13.0</v>
      </c>
      <c r="X61" s="10">
        <v>0.0</v>
      </c>
    </row>
    <row r="62" ht="15.75" customHeight="1">
      <c r="A62" s="51" t="s">
        <v>46</v>
      </c>
      <c r="B62" s="10" t="str">
        <f t="array" ref="B62">_xlfn.XLOOKUP(D62,'Referanc '!$A:$A,'Referanc '!$B:$B)</f>
        <v>Standing Table  - SM3</v>
      </c>
      <c r="C62" s="10" t="s">
        <v>301</v>
      </c>
      <c r="D62" s="10" t="s">
        <v>301</v>
      </c>
      <c r="E62" s="10" t="s">
        <v>496</v>
      </c>
      <c r="F62" s="10" t="str">
        <f t="array" ref="F62">_xlfn.XLOOKUP(D62,'Referanc '!$A:$A,'Referanc '!$E:$E)</f>
        <v>SM3</v>
      </c>
      <c r="G62" s="191">
        <v>1882.0</v>
      </c>
      <c r="H62" s="10">
        <v>93.0</v>
      </c>
      <c r="I62" s="48">
        <v>0.0707</v>
      </c>
      <c r="J62" s="48">
        <v>0.0723</v>
      </c>
      <c r="K62" s="191">
        <v>2609.0</v>
      </c>
      <c r="L62" s="10">
        <v>121.0</v>
      </c>
      <c r="M62" s="48">
        <v>0.0705</v>
      </c>
      <c r="N62" s="48">
        <v>0.0652</v>
      </c>
      <c r="O62" s="48">
        <v>0.8966</v>
      </c>
      <c r="P62" s="48">
        <v>0.8641</v>
      </c>
      <c r="Q62" s="10">
        <v>12.0</v>
      </c>
      <c r="R62" s="10">
        <v>1.0</v>
      </c>
      <c r="S62" s="48">
        <v>0.0064</v>
      </c>
      <c r="T62" s="48">
        <v>0.0108</v>
      </c>
      <c r="U62" s="193">
        <v>294000.0</v>
      </c>
      <c r="V62" s="193">
        <v>24500.0</v>
      </c>
      <c r="W62" s="10">
        <v>12.0</v>
      </c>
      <c r="X62" s="10">
        <v>1.0</v>
      </c>
    </row>
    <row r="63" ht="15.75" customHeight="1">
      <c r="A63" s="51" t="s">
        <v>46</v>
      </c>
      <c r="B63" s="10" t="str">
        <f t="array" ref="B63">_xlfn.XLOOKUP(D63,'Referanc '!$A:$A,'Referanc '!$B:$B)</f>
        <v>Standing Table  - SM3</v>
      </c>
      <c r="C63" s="10" t="s">
        <v>296</v>
      </c>
      <c r="D63" s="10" t="s">
        <v>296</v>
      </c>
      <c r="E63" s="10" t="s">
        <v>498</v>
      </c>
      <c r="F63" s="10" t="str">
        <f t="array" ref="F63">_xlfn.XLOOKUP(D63,'Referanc '!$A:$A,'Referanc '!$E:$E)</f>
        <v>SM3</v>
      </c>
      <c r="G63" s="191">
        <v>2621.0</v>
      </c>
      <c r="H63" s="10">
        <v>135.0</v>
      </c>
      <c r="I63" s="48">
        <v>0.0985</v>
      </c>
      <c r="J63" s="48">
        <v>0.105</v>
      </c>
      <c r="K63" s="191">
        <v>3687.0</v>
      </c>
      <c r="L63" s="10">
        <v>202.0</v>
      </c>
      <c r="M63" s="48">
        <v>0.0997</v>
      </c>
      <c r="N63" s="48">
        <v>0.1088</v>
      </c>
      <c r="O63" s="48">
        <v>0.9193</v>
      </c>
      <c r="P63" s="48">
        <v>0.8757</v>
      </c>
      <c r="Q63" s="10">
        <v>10.0</v>
      </c>
      <c r="R63" s="10">
        <v>0.0</v>
      </c>
      <c r="S63" s="48">
        <v>0.0038</v>
      </c>
      <c r="T63" s="48">
        <v>0.0</v>
      </c>
      <c r="U63" s="193">
        <v>245000.0</v>
      </c>
      <c r="V63" s="193">
        <v>0.0</v>
      </c>
      <c r="W63" s="10">
        <v>10.0</v>
      </c>
      <c r="X63" s="10">
        <v>0.0</v>
      </c>
    </row>
    <row r="64" ht="15.75" customHeight="1">
      <c r="A64" s="51" t="s">
        <v>46</v>
      </c>
      <c r="B64" s="10" t="str">
        <f t="array" ref="B64">_xlfn.XLOOKUP(D64,'Referanc '!$A:$A,'Referanc '!$B:$B)</f>
        <v>Standing Table - All Frames</v>
      </c>
      <c r="C64" s="10" t="s">
        <v>306</v>
      </c>
      <c r="D64" s="10" t="s">
        <v>306</v>
      </c>
      <c r="E64" s="10" t="s">
        <v>512</v>
      </c>
      <c r="F64" s="10" t="str">
        <f t="array" ref="F64">_xlfn.XLOOKUP(D64,'Referanc '!$A:$A,'Referanc '!$E:$E)</f>
        <v>E2</v>
      </c>
      <c r="G64" s="191">
        <v>1983.0</v>
      </c>
      <c r="H64" s="10">
        <v>81.0</v>
      </c>
      <c r="I64" s="48">
        <v>0.0745</v>
      </c>
      <c r="J64" s="48">
        <v>0.063</v>
      </c>
      <c r="K64" s="191">
        <v>2643.0</v>
      </c>
      <c r="L64" s="10">
        <v>130.0</v>
      </c>
      <c r="M64" s="48">
        <v>0.0714</v>
      </c>
      <c r="N64" s="48">
        <v>0.07</v>
      </c>
      <c r="O64" s="48">
        <v>0.8496</v>
      </c>
      <c r="P64" s="48">
        <v>0.8926</v>
      </c>
      <c r="Q64" s="10">
        <v>8.0</v>
      </c>
      <c r="R64" s="10">
        <v>2.0</v>
      </c>
      <c r="S64" s="48">
        <v>0.004</v>
      </c>
      <c r="T64" s="48">
        <v>0.0247</v>
      </c>
      <c r="U64" s="193">
        <v>206088.0</v>
      </c>
      <c r="V64" s="193">
        <v>53000.0</v>
      </c>
      <c r="W64" s="10">
        <v>8.0</v>
      </c>
      <c r="X64" s="10">
        <v>2.0</v>
      </c>
    </row>
    <row r="65" ht="15.75" customHeight="1">
      <c r="A65" s="51" t="s">
        <v>46</v>
      </c>
      <c r="B65" s="10" t="str">
        <f t="array" ref="B65">_xlfn.XLOOKUP(D65,'Referanc '!$A:$A,'Referanc '!$B:$B)</f>
        <v>Standing Table  - E2</v>
      </c>
      <c r="C65" s="10" t="s">
        <v>309</v>
      </c>
      <c r="D65" s="10" t="s">
        <v>309</v>
      </c>
      <c r="E65" s="10" t="s">
        <v>518</v>
      </c>
      <c r="F65" s="10" t="str">
        <f t="array" ref="F65">_xlfn.XLOOKUP(D65,'Referanc '!$A:$A,'Referanc '!$E:$E)</f>
        <v>E2</v>
      </c>
      <c r="G65" s="10">
        <v>835.0</v>
      </c>
      <c r="H65" s="10">
        <v>43.0</v>
      </c>
      <c r="I65" s="48">
        <v>0.0314</v>
      </c>
      <c r="J65" s="48">
        <v>0.0334</v>
      </c>
      <c r="K65" s="191">
        <v>1200.0</v>
      </c>
      <c r="L65" s="10">
        <v>67.0</v>
      </c>
      <c r="M65" s="48">
        <v>0.0324</v>
      </c>
      <c r="N65" s="48">
        <v>0.0361</v>
      </c>
      <c r="O65" s="48">
        <v>0.9299</v>
      </c>
      <c r="P65" s="48">
        <v>0.7759</v>
      </c>
      <c r="Q65" s="10">
        <v>7.0</v>
      </c>
      <c r="R65" s="10">
        <v>0.0</v>
      </c>
      <c r="S65" s="48">
        <v>0.0084</v>
      </c>
      <c r="T65" s="48">
        <v>0.0</v>
      </c>
      <c r="U65" s="193">
        <v>234000.0</v>
      </c>
      <c r="V65" s="193">
        <v>0.0</v>
      </c>
      <c r="W65" s="10">
        <v>7.0</v>
      </c>
      <c r="X65" s="10">
        <v>0.0</v>
      </c>
    </row>
    <row r="66" ht="15.75" customHeight="1">
      <c r="A66" s="51" t="s">
        <v>46</v>
      </c>
      <c r="B66" s="10" t="str">
        <f t="array" ref="B66">_xlfn.XLOOKUP(D66,'Referanc '!$A:$A,'Referanc '!$B:$B)</f>
        <v>Standing Table  - E2</v>
      </c>
      <c r="C66" s="10" t="s">
        <v>293</v>
      </c>
      <c r="D66" s="10" t="s">
        <v>293</v>
      </c>
      <c r="E66" s="10" t="s">
        <v>514</v>
      </c>
      <c r="F66" s="10" t="str">
        <f t="array" ref="F66">_xlfn.XLOOKUP(D66,'Referanc '!$A:$A,'Referanc '!$E:$E)</f>
        <v>E2</v>
      </c>
      <c r="G66" s="191">
        <v>1620.0</v>
      </c>
      <c r="H66" s="10">
        <v>72.0</v>
      </c>
      <c r="I66" s="48">
        <v>0.0609</v>
      </c>
      <c r="J66" s="48">
        <v>0.056</v>
      </c>
      <c r="K66" s="191">
        <v>2148.0</v>
      </c>
      <c r="L66" s="10">
        <v>86.0</v>
      </c>
      <c r="M66" s="48">
        <v>0.0581</v>
      </c>
      <c r="N66" s="48">
        <v>0.0463</v>
      </c>
      <c r="O66" s="48">
        <v>0.9034</v>
      </c>
      <c r="P66" s="48">
        <v>0.8514</v>
      </c>
      <c r="Q66" s="10">
        <v>6.0</v>
      </c>
      <c r="R66" s="10">
        <v>0.0</v>
      </c>
      <c r="S66" s="48">
        <v>0.0037</v>
      </c>
      <c r="T66" s="48">
        <v>0.0</v>
      </c>
      <c r="U66" s="193">
        <v>172012.0</v>
      </c>
      <c r="V66" s="193">
        <v>0.0</v>
      </c>
      <c r="W66" s="10">
        <v>6.0</v>
      </c>
      <c r="X66" s="10">
        <v>0.0</v>
      </c>
    </row>
    <row r="67" ht="15.75" customHeight="1">
      <c r="A67" s="51" t="s">
        <v>46</v>
      </c>
      <c r="B67" s="10" t="str">
        <f t="array" ref="B67">_xlfn.XLOOKUP(D67,'Referanc '!$A:$A,'Referanc '!$B:$B)</f>
        <v>Standing Table  - E2</v>
      </c>
      <c r="C67" s="10" t="s">
        <v>311</v>
      </c>
      <c r="D67" s="10" t="s">
        <v>311</v>
      </c>
      <c r="E67" s="10" t="s">
        <v>520</v>
      </c>
      <c r="F67" s="10" t="str">
        <f t="array" ref="F67">_xlfn.XLOOKUP(D67,'Referanc '!$A:$A,'Referanc '!$E:$E)</f>
        <v>E2</v>
      </c>
      <c r="G67" s="10">
        <v>791.0</v>
      </c>
      <c r="H67" s="10">
        <v>47.0</v>
      </c>
      <c r="I67" s="48">
        <v>0.0297</v>
      </c>
      <c r="J67" s="48">
        <v>0.0365</v>
      </c>
      <c r="K67" s="191">
        <v>1181.0</v>
      </c>
      <c r="L67" s="10">
        <v>69.0</v>
      </c>
      <c r="M67" s="48">
        <v>0.0319</v>
      </c>
      <c r="N67" s="48">
        <v>0.0372</v>
      </c>
      <c r="O67" s="48">
        <v>0.9113</v>
      </c>
      <c r="P67" s="48">
        <v>0.7593</v>
      </c>
      <c r="Q67" s="10">
        <v>5.0</v>
      </c>
      <c r="R67" s="10">
        <v>0.0</v>
      </c>
      <c r="S67" s="48">
        <v>0.0063</v>
      </c>
      <c r="T67" s="48">
        <v>0.0</v>
      </c>
      <c r="U67" s="193">
        <v>167513.0</v>
      </c>
      <c r="V67" s="193">
        <v>0.0</v>
      </c>
      <c r="W67" s="10">
        <v>5.0</v>
      </c>
      <c r="X67" s="10">
        <v>0.0</v>
      </c>
    </row>
    <row r="68" ht="15.75" customHeight="1">
      <c r="A68" s="51" t="s">
        <v>46</v>
      </c>
      <c r="B68" s="10" t="str">
        <f t="array" ref="B68">_xlfn.XLOOKUP(D68,'Referanc '!$A:$A,'Referanc '!$B:$B)</f>
        <v>Standing Table  - M8</v>
      </c>
      <c r="C68" s="10" t="s">
        <v>319</v>
      </c>
      <c r="D68" s="10" t="s">
        <v>319</v>
      </c>
      <c r="E68" s="10" t="s">
        <v>502</v>
      </c>
      <c r="F68" s="10" t="str">
        <f t="array" ref="F68">_xlfn.XLOOKUP(D68,'Referanc '!$A:$A,'Referanc '!$E:$E)</f>
        <v>M8</v>
      </c>
      <c r="G68" s="10">
        <v>569.0</v>
      </c>
      <c r="H68" s="10">
        <v>17.0</v>
      </c>
      <c r="I68" s="48">
        <v>0.0214</v>
      </c>
      <c r="J68" s="48">
        <v>0.0132</v>
      </c>
      <c r="K68" s="10">
        <v>805.0</v>
      </c>
      <c r="L68" s="10">
        <v>20.0</v>
      </c>
      <c r="M68" s="48">
        <v>0.0218</v>
      </c>
      <c r="N68" s="48">
        <v>0.0108</v>
      </c>
      <c r="O68" s="48">
        <v>0.9597</v>
      </c>
      <c r="P68" s="48">
        <v>0.8235</v>
      </c>
      <c r="Q68" s="10">
        <v>4.0</v>
      </c>
      <c r="R68" s="10">
        <v>0.0</v>
      </c>
      <c r="S68" s="48">
        <v>0.007</v>
      </c>
      <c r="T68" s="48">
        <v>0.0</v>
      </c>
      <c r="U68" s="193">
        <v>80996.0</v>
      </c>
      <c r="V68" s="193">
        <v>0.0</v>
      </c>
      <c r="W68" s="10">
        <v>4.0</v>
      </c>
      <c r="X68" s="10">
        <v>0.0</v>
      </c>
    </row>
    <row r="69" ht="15.75" customHeight="1">
      <c r="A69" s="51" t="s">
        <v>46</v>
      </c>
      <c r="B69" s="10" t="str">
        <f t="array" ref="B69">_xlfn.XLOOKUP(D69,'Referanc '!$A:$A,'Referanc '!$B:$B)</f>
        <v>Standing Table  - M8</v>
      </c>
      <c r="C69" s="10" t="s">
        <v>317</v>
      </c>
      <c r="D69" s="10" t="s">
        <v>317</v>
      </c>
      <c r="E69" s="10" t="s">
        <v>500</v>
      </c>
      <c r="F69" s="10" t="str">
        <f t="array" ref="F69">_xlfn.XLOOKUP(D69,'Referanc '!$A:$A,'Referanc '!$E:$E)</f>
        <v>M8</v>
      </c>
      <c r="G69" s="10">
        <v>434.0</v>
      </c>
      <c r="H69" s="10">
        <v>12.0</v>
      </c>
      <c r="I69" s="48">
        <v>0.0163</v>
      </c>
      <c r="J69" s="48">
        <v>0.0093</v>
      </c>
      <c r="K69" s="10">
        <v>597.0</v>
      </c>
      <c r="L69" s="10">
        <v>12.0</v>
      </c>
      <c r="M69" s="48">
        <v>0.0161</v>
      </c>
      <c r="N69" s="48">
        <v>0.0065</v>
      </c>
      <c r="O69" s="48">
        <v>0.9379</v>
      </c>
      <c r="P69" s="48">
        <v>0.8333</v>
      </c>
      <c r="Q69" s="10">
        <v>3.0</v>
      </c>
      <c r="R69" s="10">
        <v>0.0</v>
      </c>
      <c r="S69" s="48">
        <v>0.0069</v>
      </c>
      <c r="T69" s="48">
        <v>0.0</v>
      </c>
      <c r="U69" s="193">
        <v>52997.0</v>
      </c>
      <c r="V69" s="193">
        <v>0.0</v>
      </c>
      <c r="W69" s="10">
        <v>3.0</v>
      </c>
      <c r="X69" s="10">
        <v>0.0</v>
      </c>
    </row>
    <row r="70" ht="15.75" customHeight="1">
      <c r="A70" s="51" t="s">
        <v>46</v>
      </c>
      <c r="B70" s="10" t="str">
        <f t="array" ref="B70">_xlfn.XLOOKUP(D70,'Referanc '!$A:$A,'Referanc '!$B:$B)</f>
        <v>Extension &amp; Holder</v>
      </c>
      <c r="C70" s="10" t="s">
        <v>308</v>
      </c>
      <c r="D70" s="10" t="s">
        <v>308</v>
      </c>
      <c r="E70" s="10" t="s">
        <v>484</v>
      </c>
      <c r="F70" s="10" t="str">
        <f t="array" ref="F70">_xlfn.XLOOKUP(D70,'Referanc '!$A:$A,'Referanc '!$E:$E)</f>
        <v>Extension Board Holder</v>
      </c>
      <c r="G70" s="10">
        <v>199.0</v>
      </c>
      <c r="H70" s="10">
        <v>11.0</v>
      </c>
      <c r="I70" s="48">
        <v>0.0075</v>
      </c>
      <c r="J70" s="48">
        <v>0.0086</v>
      </c>
      <c r="K70" s="10">
        <v>261.0</v>
      </c>
      <c r="L70" s="10">
        <v>11.0</v>
      </c>
      <c r="M70" s="48">
        <v>0.0071</v>
      </c>
      <c r="N70" s="48">
        <v>0.0059</v>
      </c>
      <c r="O70" s="48">
        <v>0.8661</v>
      </c>
      <c r="P70" s="48">
        <v>0.8</v>
      </c>
      <c r="Q70" s="10">
        <v>4.0</v>
      </c>
      <c r="R70" s="10">
        <v>0.0</v>
      </c>
      <c r="S70" s="48">
        <v>0.0201</v>
      </c>
      <c r="T70" s="48">
        <v>0.0</v>
      </c>
      <c r="U70" s="193">
        <v>5400.0</v>
      </c>
      <c r="V70" s="193">
        <v>0.0</v>
      </c>
      <c r="W70" s="10">
        <v>3.0</v>
      </c>
      <c r="X70" s="10">
        <v>0.0</v>
      </c>
    </row>
    <row r="71" ht="15.75" customHeight="1">
      <c r="A71" s="51" t="s">
        <v>46</v>
      </c>
      <c r="B71" s="10" t="str">
        <f t="array" ref="B71">_xlfn.XLOOKUP(D71,'Referanc '!$A:$A,'Referanc '!$B:$B)</f>
        <v>Standing Table  - M8</v>
      </c>
      <c r="C71" s="10" t="s">
        <v>289</v>
      </c>
      <c r="D71" s="10" t="s">
        <v>289</v>
      </c>
      <c r="E71" s="10" t="s">
        <v>508</v>
      </c>
      <c r="F71" s="10" t="str">
        <f t="array" ref="F71">_xlfn.XLOOKUP(D71,'Referanc '!$A:$A,'Referanc '!$E:$E)</f>
        <v>M8</v>
      </c>
      <c r="G71" s="10">
        <v>705.0</v>
      </c>
      <c r="H71" s="10">
        <v>39.0</v>
      </c>
      <c r="I71" s="48">
        <v>0.0265</v>
      </c>
      <c r="J71" s="48">
        <v>0.0303</v>
      </c>
      <c r="K71" s="10">
        <v>934.0</v>
      </c>
      <c r="L71" s="10">
        <v>53.0</v>
      </c>
      <c r="M71" s="48">
        <v>0.0252</v>
      </c>
      <c r="N71" s="48">
        <v>0.0286</v>
      </c>
      <c r="O71" s="48">
        <v>0.836</v>
      </c>
      <c r="P71" s="48">
        <v>0.8235</v>
      </c>
      <c r="Q71" s="10">
        <v>2.0</v>
      </c>
      <c r="R71" s="10">
        <v>1.0</v>
      </c>
      <c r="S71" s="48">
        <v>0.0028</v>
      </c>
      <c r="T71" s="48">
        <v>0.0256</v>
      </c>
      <c r="U71" s="193">
        <v>31000.0</v>
      </c>
      <c r="V71" s="193">
        <v>15500.0</v>
      </c>
      <c r="W71" s="10">
        <v>2.0</v>
      </c>
      <c r="X71" s="10">
        <v>1.0</v>
      </c>
    </row>
    <row r="72" ht="15.75" customHeight="1">
      <c r="A72" s="51" t="s">
        <v>46</v>
      </c>
      <c r="B72" s="10" t="str">
        <f t="array" ref="B72">_xlfn.XLOOKUP(D72,'Referanc '!$A:$A,'Referanc '!$B:$B)</f>
        <v>Standing Table  - M8</v>
      </c>
      <c r="C72" s="10" t="s">
        <v>315</v>
      </c>
      <c r="D72" s="10" t="s">
        <v>315</v>
      </c>
      <c r="E72" s="10" t="s">
        <v>506</v>
      </c>
      <c r="F72" s="10" t="str">
        <f t="array" ref="F72">_xlfn.XLOOKUP(D72,'Referanc '!$A:$A,'Referanc '!$E:$E)</f>
        <v>M8</v>
      </c>
      <c r="G72" s="10">
        <v>312.0</v>
      </c>
      <c r="H72" s="10">
        <v>19.0</v>
      </c>
      <c r="I72" s="48">
        <v>0.0117</v>
      </c>
      <c r="J72" s="48">
        <v>0.0148</v>
      </c>
      <c r="K72" s="10">
        <v>426.0</v>
      </c>
      <c r="L72" s="10">
        <v>23.0</v>
      </c>
      <c r="M72" s="48">
        <v>0.0115</v>
      </c>
      <c r="N72" s="48">
        <v>0.0124</v>
      </c>
      <c r="O72" s="48">
        <v>0.8822</v>
      </c>
      <c r="P72" s="48">
        <v>0.7647</v>
      </c>
      <c r="Q72" s="10">
        <v>2.0</v>
      </c>
      <c r="R72" s="10">
        <v>0.0</v>
      </c>
      <c r="S72" s="48">
        <v>0.0064</v>
      </c>
      <c r="T72" s="48">
        <v>0.0</v>
      </c>
      <c r="U72" s="193">
        <v>37998.0</v>
      </c>
      <c r="V72" s="193">
        <v>0.0</v>
      </c>
      <c r="W72" s="10">
        <v>2.0</v>
      </c>
      <c r="X72" s="10">
        <v>0.0</v>
      </c>
    </row>
    <row r="73" ht="15.75" customHeight="1">
      <c r="A73" s="51" t="s">
        <v>46</v>
      </c>
      <c r="B73" s="10" t="str">
        <f t="array" ref="B73">_xlfn.XLOOKUP(D73,'Referanc '!$A:$A,'Referanc '!$B:$B)</f>
        <v>Standing Table  - M8</v>
      </c>
      <c r="C73" s="10" t="s">
        <v>302</v>
      </c>
      <c r="D73" s="10" t="s">
        <v>302</v>
      </c>
      <c r="E73" s="10" t="s">
        <v>504</v>
      </c>
      <c r="F73" s="10" t="str">
        <f t="array" ref="F73">_xlfn.XLOOKUP(D73,'Referanc '!$A:$A,'Referanc '!$E:$E)</f>
        <v>M8</v>
      </c>
      <c r="G73" s="10">
        <v>348.0</v>
      </c>
      <c r="H73" s="10">
        <v>11.0</v>
      </c>
      <c r="I73" s="48">
        <v>0.0131</v>
      </c>
      <c r="J73" s="48">
        <v>0.0086</v>
      </c>
      <c r="K73" s="10">
        <v>483.0</v>
      </c>
      <c r="L73" s="10">
        <v>13.0</v>
      </c>
      <c r="M73" s="48">
        <v>0.0131</v>
      </c>
      <c r="N73" s="48">
        <v>0.007</v>
      </c>
      <c r="O73" s="48">
        <v>0.8761</v>
      </c>
      <c r="P73" s="48">
        <v>0.6154</v>
      </c>
      <c r="Q73" s="10">
        <v>2.0</v>
      </c>
      <c r="R73" s="10">
        <v>1.0</v>
      </c>
      <c r="S73" s="48">
        <v>0.0057</v>
      </c>
      <c r="T73" s="48">
        <v>0.0909</v>
      </c>
      <c r="U73" s="193">
        <v>31998.0</v>
      </c>
      <c r="V73" s="193">
        <v>15999.0</v>
      </c>
      <c r="W73" s="10">
        <v>2.0</v>
      </c>
      <c r="X73" s="10">
        <v>1.0</v>
      </c>
    </row>
    <row r="74" ht="15.75" customHeight="1">
      <c r="A74" s="51" t="s">
        <v>46</v>
      </c>
      <c r="B74" s="10" t="str">
        <f t="array" ref="B74">_xlfn.XLOOKUP(D74,'Referanc '!$A:$A,'Referanc '!$B:$B)</f>
        <v>Standing Table  - M4</v>
      </c>
      <c r="C74" s="10" t="s">
        <v>348</v>
      </c>
      <c r="D74" s="10" t="s">
        <v>348</v>
      </c>
      <c r="E74" s="10" t="s">
        <v>524</v>
      </c>
      <c r="F74" s="10" t="str">
        <f t="array" ref="F74">_xlfn.XLOOKUP(D74,'Referanc '!$A:$A,'Referanc '!$E:$E)</f>
        <v>M4</v>
      </c>
      <c r="G74" s="191">
        <v>1038.0</v>
      </c>
      <c r="H74" s="10">
        <v>50.0</v>
      </c>
      <c r="I74" s="48">
        <v>0.039</v>
      </c>
      <c r="J74" s="48">
        <v>0.0389</v>
      </c>
      <c r="K74" s="191">
        <v>1463.0</v>
      </c>
      <c r="L74" s="10">
        <v>69.0</v>
      </c>
      <c r="M74" s="48">
        <v>0.0395</v>
      </c>
      <c r="N74" s="48">
        <v>0.0372</v>
      </c>
      <c r="O74" s="48">
        <v>0.8841</v>
      </c>
      <c r="P74" s="48">
        <v>0.8462</v>
      </c>
      <c r="Q74" s="10">
        <v>2.0</v>
      </c>
      <c r="R74" s="10">
        <v>0.0</v>
      </c>
      <c r="S74" s="48">
        <v>0.0019</v>
      </c>
      <c r="T74" s="48">
        <v>0.0</v>
      </c>
      <c r="U74" s="193">
        <v>33000.0</v>
      </c>
      <c r="V74" s="193">
        <v>0.0</v>
      </c>
      <c r="W74" s="10">
        <v>2.0</v>
      </c>
      <c r="X74" s="10">
        <v>0.0</v>
      </c>
    </row>
    <row r="75" ht="15.75" customHeight="1">
      <c r="A75" s="51" t="s">
        <v>46</v>
      </c>
      <c r="B75" s="10" t="str">
        <f t="array" ref="B75">_xlfn.XLOOKUP(D75,'Referanc '!$A:$A,'Referanc '!$B:$B)</f>
        <v>Single Leg Gas</v>
      </c>
      <c r="C75" s="10" t="s">
        <v>332</v>
      </c>
      <c r="D75" s="10" t="s">
        <v>332</v>
      </c>
      <c r="E75" s="10" t="s">
        <v>526</v>
      </c>
      <c r="F75" s="10" t="str">
        <f t="array" ref="F75">_xlfn.XLOOKUP(D75,'Referanc '!$A:$A,'Referanc '!$E:$E)</f>
        <v>Single Leg Gas</v>
      </c>
      <c r="G75" s="10">
        <v>200.0</v>
      </c>
      <c r="H75" s="10">
        <v>26.0</v>
      </c>
      <c r="I75" s="48">
        <v>0.0075</v>
      </c>
      <c r="J75" s="48">
        <v>0.0202</v>
      </c>
      <c r="K75" s="10">
        <v>291.0</v>
      </c>
      <c r="L75" s="10">
        <v>46.0</v>
      </c>
      <c r="M75" s="48">
        <v>0.0079</v>
      </c>
      <c r="N75" s="48">
        <v>0.0248</v>
      </c>
      <c r="O75" s="48">
        <v>0.8686</v>
      </c>
      <c r="P75" s="48">
        <v>0.907</v>
      </c>
      <c r="Q75" s="10">
        <v>2.0</v>
      </c>
      <c r="R75" s="10">
        <v>1.0</v>
      </c>
      <c r="S75" s="48">
        <v>0.01</v>
      </c>
      <c r="T75" s="48">
        <v>0.0385</v>
      </c>
      <c r="U75" s="193">
        <v>21800.0</v>
      </c>
      <c r="V75" s="193">
        <v>10900.0</v>
      </c>
      <c r="W75" s="10">
        <v>2.0</v>
      </c>
      <c r="X75" s="10">
        <v>1.0</v>
      </c>
    </row>
    <row r="76" ht="15.75" customHeight="1">
      <c r="A76" s="51" t="s">
        <v>46</v>
      </c>
      <c r="B76" s="10" t="str">
        <f t="array" ref="B76">_xlfn.XLOOKUP(D76,'Referanc '!$A:$A,'Referanc '!$B:$B)</f>
        <v>Extension &amp; Holder</v>
      </c>
      <c r="C76" s="10" t="s">
        <v>307</v>
      </c>
      <c r="D76" s="10" t="s">
        <v>307</v>
      </c>
      <c r="E76" s="10" t="s">
        <v>482</v>
      </c>
      <c r="F76" s="10" t="str">
        <f t="array" ref="F76">_xlfn.XLOOKUP(D76,'Referanc '!$A:$A,'Referanc '!$E:$E)</f>
        <v>Extension Board Holder</v>
      </c>
      <c r="G76" s="10">
        <v>206.0</v>
      </c>
      <c r="H76" s="10">
        <v>12.0</v>
      </c>
      <c r="I76" s="48">
        <v>0.0077</v>
      </c>
      <c r="J76" s="48">
        <v>0.0093</v>
      </c>
      <c r="K76" s="10">
        <v>283.0</v>
      </c>
      <c r="L76" s="10">
        <v>14.0</v>
      </c>
      <c r="M76" s="48">
        <v>0.0076</v>
      </c>
      <c r="N76" s="48">
        <v>0.0075</v>
      </c>
      <c r="O76" s="48">
        <v>0.8498</v>
      </c>
      <c r="P76" s="48">
        <v>0.7273</v>
      </c>
      <c r="Q76" s="10">
        <v>2.0</v>
      </c>
      <c r="R76" s="10">
        <v>0.0</v>
      </c>
      <c r="S76" s="48">
        <v>0.0097</v>
      </c>
      <c r="T76" s="48">
        <v>0.0</v>
      </c>
      <c r="U76" s="193">
        <v>1580.0</v>
      </c>
      <c r="V76" s="193">
        <v>0.0</v>
      </c>
      <c r="W76" s="10">
        <v>2.0</v>
      </c>
      <c r="X76" s="10">
        <v>0.0</v>
      </c>
    </row>
    <row r="77" ht="15.75" customHeight="1">
      <c r="A77" s="51" t="s">
        <v>46</v>
      </c>
      <c r="B77" s="10" t="str">
        <f t="array" ref="B77">_xlfn.XLOOKUP(D77,'Referanc '!$A:$A,'Referanc '!$B:$B)</f>
        <v>Extension &amp; Holder</v>
      </c>
      <c r="C77" s="10" t="s">
        <v>331</v>
      </c>
      <c r="D77" s="10" t="s">
        <v>331</v>
      </c>
      <c r="E77" s="10" t="s">
        <v>555</v>
      </c>
      <c r="F77" s="10" t="str">
        <f t="array" ref="F77">_xlfn.XLOOKUP(D77,'Referanc '!$A:$A,'Referanc '!$E:$E)</f>
        <v>Extension Board</v>
      </c>
      <c r="G77" s="10">
        <v>177.0</v>
      </c>
      <c r="H77" s="10">
        <v>9.0</v>
      </c>
      <c r="I77" s="48">
        <v>0.0067</v>
      </c>
      <c r="J77" s="48">
        <v>0.007</v>
      </c>
      <c r="K77" s="10">
        <v>249.0</v>
      </c>
      <c r="L77" s="10">
        <v>11.0</v>
      </c>
      <c r="M77" s="48">
        <v>0.0067</v>
      </c>
      <c r="N77" s="48">
        <v>0.0059</v>
      </c>
      <c r="O77" s="48">
        <v>0.9132</v>
      </c>
      <c r="P77" s="48">
        <v>0.9</v>
      </c>
      <c r="Q77" s="10">
        <v>1.0</v>
      </c>
      <c r="R77" s="10">
        <v>0.0</v>
      </c>
      <c r="S77" s="48">
        <v>0.0056</v>
      </c>
      <c r="T77" s="48">
        <v>0.0</v>
      </c>
      <c r="U77" s="193">
        <v>4306.0</v>
      </c>
      <c r="V77" s="193">
        <v>0.0</v>
      </c>
      <c r="W77" s="10">
        <v>1.0</v>
      </c>
      <c r="X77" s="10">
        <v>0.0</v>
      </c>
    </row>
    <row r="78" ht="15.75" customHeight="1">
      <c r="A78" s="51" t="s">
        <v>46</v>
      </c>
      <c r="B78" s="10" t="str">
        <f t="array" ref="B78">_xlfn.XLOOKUP(D78,'Referanc '!$A:$A,'Referanc '!$B:$B)</f>
        <v>Extension &amp; Holder</v>
      </c>
      <c r="C78" s="10" t="s">
        <v>333</v>
      </c>
      <c r="D78" s="10" t="s">
        <v>333</v>
      </c>
      <c r="E78" s="10" t="s">
        <v>557</v>
      </c>
      <c r="F78" s="10" t="str">
        <f t="array" ref="F78">_xlfn.XLOOKUP(D78,'Referanc '!$A:$A,'Referanc '!$E:$E)</f>
        <v>Extension Board</v>
      </c>
      <c r="G78" s="10">
        <v>55.0</v>
      </c>
      <c r="H78" s="10">
        <v>3.0</v>
      </c>
      <c r="I78" s="48">
        <v>0.0021</v>
      </c>
      <c r="J78" s="48">
        <v>0.0023</v>
      </c>
      <c r="K78" s="10">
        <v>72.0</v>
      </c>
      <c r="L78" s="10">
        <v>4.0</v>
      </c>
      <c r="M78" s="48">
        <v>0.0019</v>
      </c>
      <c r="N78" s="48">
        <v>0.0022</v>
      </c>
      <c r="O78" s="48">
        <v>0.8906</v>
      </c>
      <c r="P78" s="48">
        <v>1.0</v>
      </c>
      <c r="Q78" s="10">
        <v>1.0</v>
      </c>
      <c r="R78" s="10">
        <v>0.0</v>
      </c>
      <c r="S78" s="48">
        <v>0.0182</v>
      </c>
      <c r="T78" s="48">
        <v>0.0</v>
      </c>
      <c r="U78" s="193">
        <v>3627.0</v>
      </c>
      <c r="V78" s="193">
        <v>0.0</v>
      </c>
      <c r="W78" s="10">
        <v>1.0</v>
      </c>
      <c r="X78" s="10">
        <v>0.0</v>
      </c>
    </row>
    <row r="79" ht="15.75" customHeight="1">
      <c r="A79" s="51" t="s">
        <v>46</v>
      </c>
      <c r="B79" s="10" t="str">
        <f t="array" ref="B79">_xlfn.XLOOKUP(D79,'Referanc '!$A:$A,'Referanc '!$B:$B)</f>
        <v>TABLE TOP</v>
      </c>
      <c r="C79" s="10" t="s">
        <v>323</v>
      </c>
      <c r="D79" s="10" t="s">
        <v>323</v>
      </c>
      <c r="E79" s="10" t="s">
        <v>537</v>
      </c>
      <c r="F79" s="10" t="str">
        <f t="array" ref="F79">_xlfn.XLOOKUP(D79,'Referanc '!$A:$A,'Referanc '!$E:$E)</f>
        <v>TABLE TOP</v>
      </c>
      <c r="G79" s="10">
        <v>603.0</v>
      </c>
      <c r="H79" s="10">
        <v>33.0</v>
      </c>
      <c r="I79" s="48">
        <v>0.0227</v>
      </c>
      <c r="J79" s="48">
        <v>0.0257</v>
      </c>
      <c r="K79" s="10">
        <v>787.0</v>
      </c>
      <c r="L79" s="10">
        <v>50.0</v>
      </c>
      <c r="M79" s="48">
        <v>0.0213</v>
      </c>
      <c r="N79" s="48">
        <v>0.0269</v>
      </c>
      <c r="O79" s="48">
        <v>0.8476</v>
      </c>
      <c r="P79" s="48">
        <v>0.8222</v>
      </c>
      <c r="Q79" s="10">
        <v>1.0</v>
      </c>
      <c r="R79" s="10">
        <v>0.0</v>
      </c>
      <c r="S79" s="48">
        <v>0.0017</v>
      </c>
      <c r="T79" s="48">
        <v>0.0</v>
      </c>
      <c r="U79" s="193">
        <v>7350.0</v>
      </c>
      <c r="V79" s="193">
        <v>0.0</v>
      </c>
      <c r="W79" s="10">
        <v>1.0</v>
      </c>
      <c r="X79" s="10">
        <v>0.0</v>
      </c>
    </row>
    <row r="80" ht="15.75" customHeight="1">
      <c r="A80" s="51" t="s">
        <v>46</v>
      </c>
      <c r="B80" s="10" t="str">
        <f t="array" ref="B80">_xlfn.XLOOKUP(D80,'Referanc '!$A:$A,'Referanc '!$B:$B)</f>
        <v>TABLE TOP</v>
      </c>
      <c r="C80" s="10" t="s">
        <v>350</v>
      </c>
      <c r="D80" s="10" t="s">
        <v>350</v>
      </c>
      <c r="E80" s="10" t="s">
        <v>531</v>
      </c>
      <c r="F80" s="10" t="str">
        <f t="array" ref="F80">_xlfn.XLOOKUP(D80,'Referanc '!$A:$A,'Referanc '!$E:$E)</f>
        <v>TABLE TOP</v>
      </c>
      <c r="G80" s="10">
        <v>456.0</v>
      </c>
      <c r="H80" s="10">
        <v>23.0</v>
      </c>
      <c r="I80" s="48">
        <v>0.0171</v>
      </c>
      <c r="J80" s="48">
        <v>0.0179</v>
      </c>
      <c r="K80" s="10">
        <v>589.0</v>
      </c>
      <c r="L80" s="10">
        <v>30.0</v>
      </c>
      <c r="M80" s="48">
        <v>0.0159</v>
      </c>
      <c r="N80" s="48">
        <v>0.0162</v>
      </c>
      <c r="O80" s="48">
        <v>0.8401</v>
      </c>
      <c r="P80" s="48">
        <v>0.96</v>
      </c>
      <c r="Q80" s="10">
        <v>1.0</v>
      </c>
      <c r="R80" s="10">
        <v>0.0</v>
      </c>
      <c r="S80" s="48">
        <v>0.0022</v>
      </c>
      <c r="T80" s="48">
        <v>0.0</v>
      </c>
      <c r="U80" s="193">
        <v>4450.0</v>
      </c>
      <c r="V80" s="193">
        <v>0.0</v>
      </c>
      <c r="W80" s="10">
        <v>1.0</v>
      </c>
      <c r="X80" s="10">
        <v>0.0</v>
      </c>
    </row>
    <row r="81" ht="15.75" customHeight="1">
      <c r="A81" s="51" t="s">
        <v>46</v>
      </c>
      <c r="B81" s="10" t="str">
        <f t="array" ref="B81">_xlfn.XLOOKUP(D81,'Referanc '!$A:$A,'Referanc '!$B:$B)</f>
        <v>Single Leg Gas</v>
      </c>
      <c r="C81" s="10" t="s">
        <v>335</v>
      </c>
      <c r="D81" s="10" t="s">
        <v>335</v>
      </c>
      <c r="E81" s="10" t="s">
        <v>526</v>
      </c>
      <c r="F81" s="10" t="str">
        <f t="array" ref="F81">_xlfn.XLOOKUP(D81,'Referanc '!$A:$A,'Referanc '!$E:$E)</f>
        <v>Single Leg Gas</v>
      </c>
      <c r="G81" s="10">
        <v>155.0</v>
      </c>
      <c r="H81" s="10">
        <v>5.0</v>
      </c>
      <c r="I81" s="48">
        <v>0.0058</v>
      </c>
      <c r="J81" s="48">
        <v>0.0039</v>
      </c>
      <c r="K81" s="10">
        <v>199.0</v>
      </c>
      <c r="L81" s="10">
        <v>6.0</v>
      </c>
      <c r="M81" s="48">
        <v>0.0054</v>
      </c>
      <c r="N81" s="48">
        <v>0.0032</v>
      </c>
      <c r="O81" s="48">
        <v>0.8156</v>
      </c>
      <c r="P81" s="48">
        <v>1.0</v>
      </c>
      <c r="Q81" s="10">
        <v>1.0</v>
      </c>
      <c r="R81" s="10">
        <v>0.0</v>
      </c>
      <c r="S81" s="48">
        <v>0.0065</v>
      </c>
      <c r="T81" s="48">
        <v>0.0</v>
      </c>
      <c r="U81" s="193">
        <v>10900.0</v>
      </c>
      <c r="V81" s="193">
        <v>0.0</v>
      </c>
      <c r="W81" s="10">
        <v>1.0</v>
      </c>
      <c r="X81" s="10">
        <v>0.0</v>
      </c>
    </row>
    <row r="82" ht="15.75" customHeight="1">
      <c r="A82" s="51" t="s">
        <v>46</v>
      </c>
      <c r="B82" s="10" t="str">
        <f t="array" ref="B82">_xlfn.XLOOKUP(D82,'Referanc '!$A:$A,'Referanc '!$B:$B)</f>
        <v>Monitor Arm Stand</v>
      </c>
      <c r="C82" s="10" t="s">
        <v>342</v>
      </c>
      <c r="D82" s="10" t="s">
        <v>342</v>
      </c>
      <c r="E82" s="10" t="s">
        <v>522</v>
      </c>
      <c r="F82" s="10" t="str">
        <f t="array" ref="F82">_xlfn.XLOOKUP(D82,'Referanc '!$A:$A,'Referanc '!$E:$E)</f>
        <v>Monitor Arm Stand</v>
      </c>
      <c r="G82" s="10">
        <v>673.0</v>
      </c>
      <c r="H82" s="10">
        <v>49.0</v>
      </c>
      <c r="I82" s="48">
        <v>0.0253</v>
      </c>
      <c r="J82" s="48">
        <v>0.0381</v>
      </c>
      <c r="K82" s="10">
        <v>853.0</v>
      </c>
      <c r="L82" s="10">
        <v>71.0</v>
      </c>
      <c r="M82" s="48">
        <v>0.0231</v>
      </c>
      <c r="N82" s="48">
        <v>0.0383</v>
      </c>
      <c r="O82" s="48">
        <v>0.8025</v>
      </c>
      <c r="P82" s="48">
        <v>0.8358</v>
      </c>
      <c r="Q82" s="10">
        <v>1.0</v>
      </c>
      <c r="R82" s="10">
        <v>0.0</v>
      </c>
      <c r="S82" s="48">
        <v>0.0015</v>
      </c>
      <c r="T82" s="48">
        <v>0.0</v>
      </c>
      <c r="U82" s="193">
        <v>10900.0</v>
      </c>
      <c r="V82" s="193">
        <v>0.0</v>
      </c>
      <c r="W82" s="10">
        <v>1.0</v>
      </c>
      <c r="X82" s="10">
        <v>0.0</v>
      </c>
    </row>
    <row r="83" ht="15.75" customHeight="1">
      <c r="A83" s="51" t="s">
        <v>46</v>
      </c>
      <c r="B83" s="10" t="str">
        <f t="array" ref="B83">_xlfn.XLOOKUP(D83,'Referanc '!$A:$A,'Referanc '!$B:$B)</f>
        <v>Monitor Stand </v>
      </c>
      <c r="C83" s="10" t="s">
        <v>352</v>
      </c>
      <c r="D83" s="10" t="s">
        <v>352</v>
      </c>
      <c r="E83" s="10" t="s">
        <v>559</v>
      </c>
      <c r="F83" s="10" t="str">
        <f t="array" ref="F83">_xlfn.XLOOKUP(D83,'Referanc '!$A:$A,'Referanc '!$E:$E)</f>
        <v>Monitor Arm Stand</v>
      </c>
      <c r="G83" s="10">
        <v>196.0</v>
      </c>
      <c r="H83" s="10">
        <v>15.0</v>
      </c>
      <c r="I83" s="48">
        <v>0.0074</v>
      </c>
      <c r="J83" s="48">
        <v>0.0117</v>
      </c>
      <c r="K83" s="10">
        <v>246.0</v>
      </c>
      <c r="L83" s="10">
        <v>18.0</v>
      </c>
      <c r="M83" s="48">
        <v>0.0066</v>
      </c>
      <c r="N83" s="48">
        <v>0.0097</v>
      </c>
      <c r="O83" s="48">
        <v>0.877</v>
      </c>
      <c r="P83" s="48">
        <v>0.8889</v>
      </c>
      <c r="Q83" s="10">
        <v>1.0</v>
      </c>
      <c r="R83" s="10">
        <v>0.0</v>
      </c>
      <c r="S83" s="48">
        <v>0.0051</v>
      </c>
      <c r="T83" s="48">
        <v>0.0</v>
      </c>
      <c r="U83" s="193">
        <v>25200.0</v>
      </c>
      <c r="V83" s="193">
        <v>0.0</v>
      </c>
      <c r="W83" s="10">
        <v>1.0</v>
      </c>
      <c r="X83" s="10">
        <v>0.0</v>
      </c>
    </row>
    <row r="84" ht="15.75" customHeight="1">
      <c r="A84" s="51" t="s">
        <v>46</v>
      </c>
      <c r="B84" s="10" t="str">
        <f t="array" ref="B84">_xlfn.XLOOKUP(D84,'Referanc '!$A:$A,'Referanc '!$B:$B)</f>
        <v>Standing Table  - E1A</v>
      </c>
      <c r="C84" s="10" t="s">
        <v>354</v>
      </c>
      <c r="D84" s="10" t="s">
        <v>354</v>
      </c>
      <c r="E84" s="10" t="s">
        <v>561</v>
      </c>
      <c r="F84" s="10" t="str">
        <f t="array" ref="F84">_xlfn.XLOOKUP(D84,'Referanc '!$A:$A,'Referanc '!$E:$E)</f>
        <v>E1A</v>
      </c>
      <c r="G84" s="10">
        <v>57.0</v>
      </c>
      <c r="H84" s="10">
        <v>4.0</v>
      </c>
      <c r="I84" s="48">
        <v>0.0021</v>
      </c>
      <c r="J84" s="48">
        <v>0.0031</v>
      </c>
      <c r="K84" s="10">
        <v>79.0</v>
      </c>
      <c r="L84" s="10">
        <v>8.0</v>
      </c>
      <c r="M84" s="48">
        <v>0.0021</v>
      </c>
      <c r="N84" s="48">
        <v>0.0043</v>
      </c>
      <c r="O84" s="48">
        <v>0.8871</v>
      </c>
      <c r="P84" s="48">
        <v>0.8333</v>
      </c>
      <c r="Q84" s="10">
        <v>1.0</v>
      </c>
      <c r="R84" s="10">
        <v>1.0</v>
      </c>
      <c r="S84" s="48">
        <v>0.0175</v>
      </c>
      <c r="T84" s="48">
        <v>0.25</v>
      </c>
      <c r="U84" s="193">
        <v>28999.0</v>
      </c>
      <c r="V84" s="193">
        <v>28999.0</v>
      </c>
      <c r="W84" s="10">
        <v>1.0</v>
      </c>
      <c r="X84" s="10">
        <v>1.0</v>
      </c>
    </row>
    <row r="85" ht="15.75" customHeight="1">
      <c r="A85" s="19" t="s">
        <v>47</v>
      </c>
      <c r="B85" s="10" t="str">
        <f t="array" ref="B85">_xlfn.XLOOKUP(D85,'Referanc '!$A:$A,'Referanc '!$B:$B)</f>
        <v>Standing Table  - SM3</v>
      </c>
      <c r="C85" s="10" t="s">
        <v>291</v>
      </c>
      <c r="D85" s="10" t="s">
        <v>291</v>
      </c>
      <c r="E85" s="10" t="s">
        <v>633</v>
      </c>
      <c r="F85" s="10" t="str">
        <f t="array" ref="F85">_xlfn.XLOOKUP(D85,'Referanc '!$A:$A,'Referanc '!$E:$E)</f>
        <v>SM3</v>
      </c>
      <c r="G85" s="191">
        <v>5128.0</v>
      </c>
      <c r="H85" s="10">
        <v>197.0</v>
      </c>
      <c r="I85" s="48">
        <v>0.1617</v>
      </c>
      <c r="J85" s="48">
        <v>0.1335</v>
      </c>
      <c r="K85" s="191">
        <v>7060.0</v>
      </c>
      <c r="L85" s="10">
        <v>268.0</v>
      </c>
      <c r="M85" s="48">
        <v>0.1608</v>
      </c>
      <c r="N85" s="48">
        <v>0.1282</v>
      </c>
      <c r="O85" s="48">
        <v>0.8141</v>
      </c>
      <c r="P85" s="48">
        <v>0.772</v>
      </c>
      <c r="Q85" s="10">
        <v>28.0</v>
      </c>
      <c r="R85" s="10">
        <v>2.0</v>
      </c>
      <c r="S85" s="48">
        <v>0.0055</v>
      </c>
      <c r="T85" s="48">
        <v>0.0102</v>
      </c>
      <c r="U85" s="193">
        <v>585200.0</v>
      </c>
      <c r="V85" s="193">
        <v>41800.0</v>
      </c>
      <c r="W85" s="10">
        <v>27.0</v>
      </c>
      <c r="X85" s="10">
        <v>2.0</v>
      </c>
    </row>
    <row r="86" ht="15.75" customHeight="1">
      <c r="A86" s="19" t="s">
        <v>47</v>
      </c>
      <c r="B86" s="10" t="str">
        <f t="array" ref="B86">_xlfn.XLOOKUP(D86,'Referanc '!$A:$A,'Referanc '!$B:$B)</f>
        <v>Standing Table  - M3</v>
      </c>
      <c r="C86" s="10" t="s">
        <v>330</v>
      </c>
      <c r="D86" s="10" t="s">
        <v>330</v>
      </c>
      <c r="E86" s="10" t="s">
        <v>985</v>
      </c>
      <c r="F86" s="10" t="str">
        <f t="array" ref="F86">_xlfn.XLOOKUP(D86,'Referanc '!$A:$A,'Referanc '!$E:$E)</f>
        <v>M3</v>
      </c>
      <c r="G86" s="191">
        <v>2816.0</v>
      </c>
      <c r="H86" s="10">
        <v>93.0</v>
      </c>
      <c r="I86" s="48">
        <v>0.0888</v>
      </c>
      <c r="J86" s="48">
        <v>0.063</v>
      </c>
      <c r="K86" s="191">
        <v>4291.0</v>
      </c>
      <c r="L86" s="10">
        <v>144.0</v>
      </c>
      <c r="M86" s="48">
        <v>0.0977</v>
      </c>
      <c r="N86" s="48">
        <v>0.0689</v>
      </c>
      <c r="O86" s="48">
        <v>0.9013</v>
      </c>
      <c r="P86" s="48">
        <v>0.8239</v>
      </c>
      <c r="Q86" s="10">
        <v>27.0</v>
      </c>
      <c r="R86" s="10">
        <v>1.0</v>
      </c>
      <c r="S86" s="48">
        <v>0.0096</v>
      </c>
      <c r="T86" s="48">
        <v>0.0108</v>
      </c>
      <c r="U86" s="193">
        <v>406953.86</v>
      </c>
      <c r="V86" s="193">
        <v>14968.49</v>
      </c>
      <c r="W86" s="10">
        <v>27.0</v>
      </c>
      <c r="X86" s="10">
        <v>1.0</v>
      </c>
    </row>
    <row r="87" ht="15.75" customHeight="1">
      <c r="A87" s="19" t="s">
        <v>47</v>
      </c>
      <c r="B87" s="10" t="s">
        <v>211</v>
      </c>
      <c r="C87" s="10" t="s">
        <v>314</v>
      </c>
      <c r="D87" s="10" t="s">
        <v>314</v>
      </c>
      <c r="E87" s="10" t="s">
        <v>487</v>
      </c>
      <c r="F87" s="10" t="str">
        <f t="array" ref="F87">_xlfn.XLOOKUP(D87,'Referanc '!$A:$A,'Referanc '!$E:$E)</f>
        <v>Desk Cable Tray</v>
      </c>
      <c r="G87" s="10">
        <v>477.0</v>
      </c>
      <c r="H87" s="10">
        <v>26.0</v>
      </c>
      <c r="I87" s="48">
        <v>0.015</v>
      </c>
      <c r="J87" s="48">
        <v>0.0176</v>
      </c>
      <c r="K87" s="10">
        <v>706.0</v>
      </c>
      <c r="L87" s="10">
        <v>35.0</v>
      </c>
      <c r="M87" s="48">
        <v>0.0161</v>
      </c>
      <c r="N87" s="48">
        <v>0.0167</v>
      </c>
      <c r="O87" s="48">
        <v>0.9175</v>
      </c>
      <c r="P87" s="48">
        <v>0.6857</v>
      </c>
      <c r="Q87" s="10">
        <v>25.0</v>
      </c>
      <c r="R87" s="10">
        <v>1.0</v>
      </c>
      <c r="S87" s="48">
        <v>0.0524</v>
      </c>
      <c r="T87" s="48">
        <v>0.0385</v>
      </c>
      <c r="U87" s="193">
        <v>25574.4</v>
      </c>
      <c r="V87" s="193">
        <v>1198.8</v>
      </c>
      <c r="W87" s="10">
        <v>21.0</v>
      </c>
      <c r="X87" s="10">
        <v>1.0</v>
      </c>
    </row>
    <row r="88" ht="15.75" customHeight="1">
      <c r="A88" s="19" t="s">
        <v>47</v>
      </c>
      <c r="B88" s="10" t="str">
        <f t="array" ref="B88">_xlfn.XLOOKUP(D88,'Referanc '!$A:$A,'Referanc '!$B:$B)</f>
        <v>Standing Table  - SM3</v>
      </c>
      <c r="C88" s="10" t="s">
        <v>304</v>
      </c>
      <c r="D88" s="10" t="s">
        <v>304</v>
      </c>
      <c r="E88" s="10" t="s">
        <v>580</v>
      </c>
      <c r="F88" s="10" t="str">
        <f t="array" ref="F88">_xlfn.XLOOKUP(D88,'Referanc '!$A:$A,'Referanc '!$E:$E)</f>
        <v>SM3</v>
      </c>
      <c r="G88" s="191">
        <v>2879.0</v>
      </c>
      <c r="H88" s="10">
        <v>130.0</v>
      </c>
      <c r="I88" s="48">
        <v>0.0908</v>
      </c>
      <c r="J88" s="48">
        <v>0.0881</v>
      </c>
      <c r="K88" s="191">
        <v>3986.0</v>
      </c>
      <c r="L88" s="10">
        <v>173.0</v>
      </c>
      <c r="M88" s="48">
        <v>0.0908</v>
      </c>
      <c r="N88" s="48">
        <v>0.0827</v>
      </c>
      <c r="O88" s="48">
        <v>0.8144</v>
      </c>
      <c r="P88" s="48">
        <v>0.8662</v>
      </c>
      <c r="Q88" s="10">
        <v>18.0</v>
      </c>
      <c r="R88" s="10">
        <v>3.0</v>
      </c>
      <c r="S88" s="48">
        <v>0.0063</v>
      </c>
      <c r="T88" s="48">
        <v>0.0231</v>
      </c>
      <c r="U88" s="193">
        <v>376200.0</v>
      </c>
      <c r="V88" s="193">
        <v>62700.0</v>
      </c>
      <c r="W88" s="10">
        <v>18.0</v>
      </c>
      <c r="X88" s="10">
        <v>3.0</v>
      </c>
    </row>
    <row r="89" ht="15.75" customHeight="1">
      <c r="A89" s="19" t="s">
        <v>47</v>
      </c>
      <c r="B89" s="10" t="str">
        <f t="array" ref="B89">_xlfn.XLOOKUP(D89,'Referanc '!$A:$A,'Referanc '!$B:$B)</f>
        <v>Standing Table  - SM3</v>
      </c>
      <c r="C89" s="10" t="s">
        <v>301</v>
      </c>
      <c r="D89" s="10" t="s">
        <v>301</v>
      </c>
      <c r="E89" s="10" t="s">
        <v>598</v>
      </c>
      <c r="F89" s="10" t="str">
        <f t="array" ref="F89">_xlfn.XLOOKUP(D89,'Referanc '!$A:$A,'Referanc '!$E:$E)</f>
        <v>SM3</v>
      </c>
      <c r="G89" s="191">
        <v>2494.0</v>
      </c>
      <c r="H89" s="10">
        <v>123.0</v>
      </c>
      <c r="I89" s="48">
        <v>0.0786</v>
      </c>
      <c r="J89" s="48">
        <v>0.0833</v>
      </c>
      <c r="K89" s="191">
        <v>3537.0</v>
      </c>
      <c r="L89" s="10">
        <v>172.0</v>
      </c>
      <c r="M89" s="48">
        <v>0.0806</v>
      </c>
      <c r="N89" s="48">
        <v>0.0823</v>
      </c>
      <c r="O89" s="48">
        <v>0.9103</v>
      </c>
      <c r="P89" s="48">
        <v>0.8322</v>
      </c>
      <c r="Q89" s="10">
        <v>16.0</v>
      </c>
      <c r="R89" s="10">
        <v>2.0</v>
      </c>
      <c r="S89" s="48">
        <v>0.0064</v>
      </c>
      <c r="T89" s="48">
        <v>0.0163</v>
      </c>
      <c r="U89" s="193">
        <v>392000.0</v>
      </c>
      <c r="V89" s="193">
        <v>49000.0</v>
      </c>
      <c r="W89" s="10">
        <v>16.0</v>
      </c>
      <c r="X89" s="10">
        <v>2.0</v>
      </c>
    </row>
    <row r="90" ht="15.75" customHeight="1">
      <c r="A90" s="19" t="s">
        <v>47</v>
      </c>
      <c r="B90" s="10" t="str">
        <f t="array" ref="B90">_xlfn.XLOOKUP(D90,'Referanc '!$A:$A,'Referanc '!$B:$B)</f>
        <v>Standing Table  - E2</v>
      </c>
      <c r="C90" s="10" t="s">
        <v>309</v>
      </c>
      <c r="D90" s="10" t="s">
        <v>309</v>
      </c>
      <c r="E90" s="10" t="s">
        <v>991</v>
      </c>
      <c r="F90" s="10" t="str">
        <f t="array" ref="F90">_xlfn.XLOOKUP(D90,'Referanc '!$A:$A,'Referanc '!$E:$E)</f>
        <v>E2</v>
      </c>
      <c r="G90" s="10">
        <v>753.0</v>
      </c>
      <c r="H90" s="10">
        <v>49.0</v>
      </c>
      <c r="I90" s="48">
        <v>0.0237</v>
      </c>
      <c r="J90" s="48">
        <v>0.0332</v>
      </c>
      <c r="K90" s="191">
        <v>1084.0</v>
      </c>
      <c r="L90" s="10">
        <v>83.0</v>
      </c>
      <c r="M90" s="48">
        <v>0.0247</v>
      </c>
      <c r="N90" s="48">
        <v>0.0397</v>
      </c>
      <c r="O90" s="48">
        <v>0.9327</v>
      </c>
      <c r="P90" s="48">
        <v>0.7231</v>
      </c>
      <c r="Q90" s="10">
        <v>16.0</v>
      </c>
      <c r="R90" s="10">
        <v>3.0</v>
      </c>
      <c r="S90" s="48">
        <v>0.0212</v>
      </c>
      <c r="T90" s="48">
        <v>0.0612</v>
      </c>
      <c r="U90" s="193">
        <v>528400.0</v>
      </c>
      <c r="V90" s="193">
        <v>98700.0</v>
      </c>
      <c r="W90" s="10">
        <v>16.0</v>
      </c>
      <c r="X90" s="10">
        <v>3.0</v>
      </c>
    </row>
    <row r="91" ht="15.75" customHeight="1">
      <c r="A91" s="19" t="s">
        <v>47</v>
      </c>
      <c r="B91" s="10" t="str">
        <f t="array" ref="B91">_xlfn.XLOOKUP(D91,'Referanc '!$A:$A,'Referanc '!$B:$B)</f>
        <v>Standing Table  - SM3</v>
      </c>
      <c r="C91" s="10" t="s">
        <v>296</v>
      </c>
      <c r="D91" s="10" t="s">
        <v>296</v>
      </c>
      <c r="E91" s="10" t="s">
        <v>563</v>
      </c>
      <c r="F91" s="10" t="str">
        <f t="array" ref="F91">_xlfn.XLOOKUP(D91,'Referanc '!$A:$A,'Referanc '!$E:$E)</f>
        <v>SM3</v>
      </c>
      <c r="G91" s="191">
        <v>2940.0</v>
      </c>
      <c r="H91" s="10">
        <v>117.0</v>
      </c>
      <c r="I91" s="48">
        <v>0.0927</v>
      </c>
      <c r="J91" s="48">
        <v>0.0793</v>
      </c>
      <c r="K91" s="191">
        <v>4026.0</v>
      </c>
      <c r="L91" s="10">
        <v>170.0</v>
      </c>
      <c r="M91" s="48">
        <v>0.0917</v>
      </c>
      <c r="N91" s="48">
        <v>0.0813</v>
      </c>
      <c r="O91" s="48">
        <v>0.8456</v>
      </c>
      <c r="P91" s="48">
        <v>0.7532</v>
      </c>
      <c r="Q91" s="10">
        <v>14.0</v>
      </c>
      <c r="R91" s="10">
        <v>0.0</v>
      </c>
      <c r="S91" s="48">
        <v>0.0048</v>
      </c>
      <c r="T91" s="48">
        <v>0.0</v>
      </c>
      <c r="U91" s="193">
        <v>343000.0</v>
      </c>
      <c r="V91" s="193">
        <v>0.0</v>
      </c>
      <c r="W91" s="10">
        <v>14.0</v>
      </c>
      <c r="X91" s="10">
        <v>0.0</v>
      </c>
    </row>
    <row r="92" ht="15.75" customHeight="1">
      <c r="A92" s="19" t="s">
        <v>47</v>
      </c>
      <c r="B92" s="10" t="str">
        <f t="array" ref="B92">_xlfn.XLOOKUP(D92,'Referanc '!$A:$A,'Referanc '!$B:$B)</f>
        <v>Extension &amp; Holder</v>
      </c>
      <c r="C92" s="10" t="s">
        <v>307</v>
      </c>
      <c r="D92" s="10" t="s">
        <v>307</v>
      </c>
      <c r="E92" s="10" t="s">
        <v>482</v>
      </c>
      <c r="F92" s="10" t="str">
        <f t="array" ref="F92">_xlfn.XLOOKUP(D92,'Referanc '!$A:$A,'Referanc '!$E:$E)</f>
        <v>Extension Board Holder</v>
      </c>
      <c r="G92" s="10">
        <v>275.0</v>
      </c>
      <c r="H92" s="10">
        <v>20.0</v>
      </c>
      <c r="I92" s="48">
        <v>0.0087</v>
      </c>
      <c r="J92" s="48">
        <v>0.0136</v>
      </c>
      <c r="K92" s="10">
        <v>424.0</v>
      </c>
      <c r="L92" s="10">
        <v>46.0</v>
      </c>
      <c r="M92" s="48">
        <v>0.0097</v>
      </c>
      <c r="N92" s="48">
        <v>0.022</v>
      </c>
      <c r="O92" s="48">
        <v>0.8911</v>
      </c>
      <c r="P92" s="48">
        <v>0.8571</v>
      </c>
      <c r="Q92" s="10">
        <v>11.0</v>
      </c>
      <c r="R92" s="10">
        <v>0.0</v>
      </c>
      <c r="S92" s="48">
        <v>0.04</v>
      </c>
      <c r="T92" s="48">
        <v>0.0</v>
      </c>
      <c r="U92" s="193">
        <v>8690.0</v>
      </c>
      <c r="V92" s="193">
        <v>0.0</v>
      </c>
      <c r="W92" s="10">
        <v>11.0</v>
      </c>
      <c r="X92" s="10">
        <v>0.0</v>
      </c>
    </row>
    <row r="93" ht="15.75" customHeight="1">
      <c r="A93" s="19" t="s">
        <v>47</v>
      </c>
      <c r="B93" s="10" t="str">
        <f t="array" ref="B93">_xlfn.XLOOKUP(D93,'Referanc '!$A:$A,'Referanc '!$B:$B)</f>
        <v>Extension &amp; Holder</v>
      </c>
      <c r="C93" s="10" t="s">
        <v>308</v>
      </c>
      <c r="D93" s="10" t="s">
        <v>308</v>
      </c>
      <c r="E93" s="10" t="s">
        <v>484</v>
      </c>
      <c r="F93" s="10" t="str">
        <f t="array" ref="F93">_xlfn.XLOOKUP(D93,'Referanc '!$A:$A,'Referanc '!$E:$E)</f>
        <v>Extension Board Holder</v>
      </c>
      <c r="G93" s="10">
        <v>242.0</v>
      </c>
      <c r="H93" s="10">
        <v>20.0</v>
      </c>
      <c r="I93" s="48">
        <v>0.0076</v>
      </c>
      <c r="J93" s="48">
        <v>0.0136</v>
      </c>
      <c r="K93" s="10">
        <v>333.0</v>
      </c>
      <c r="L93" s="10">
        <v>36.0</v>
      </c>
      <c r="M93" s="48">
        <v>0.0076</v>
      </c>
      <c r="N93" s="48">
        <v>0.0172</v>
      </c>
      <c r="O93" s="48">
        <v>0.8896</v>
      </c>
      <c r="P93" s="48">
        <v>0.8387</v>
      </c>
      <c r="Q93" s="10">
        <v>10.0</v>
      </c>
      <c r="R93" s="10">
        <v>0.0</v>
      </c>
      <c r="S93" s="48">
        <v>0.0413</v>
      </c>
      <c r="T93" s="48">
        <v>0.0</v>
      </c>
      <c r="U93" s="193">
        <v>13500.0</v>
      </c>
      <c r="V93" s="193">
        <v>0.0</v>
      </c>
      <c r="W93" s="10">
        <v>10.0</v>
      </c>
      <c r="X93" s="10">
        <v>0.0</v>
      </c>
    </row>
    <row r="94" ht="15.75" customHeight="1">
      <c r="A94" s="19" t="s">
        <v>47</v>
      </c>
      <c r="B94" s="10" t="str">
        <f t="array" ref="B94">_xlfn.XLOOKUP(D94,'Referanc '!$A:$A,'Referanc '!$B:$B)</f>
        <v>Standing Table - All Frames</v>
      </c>
      <c r="C94" s="10" t="s">
        <v>298</v>
      </c>
      <c r="D94" s="10" t="s">
        <v>298</v>
      </c>
      <c r="E94" s="10" t="s">
        <v>1000</v>
      </c>
      <c r="F94" s="10" t="str">
        <f t="array" ref="F94">_xlfn.XLOOKUP(D94,'Referanc '!$A:$A,'Referanc '!$E:$E)</f>
        <v>SM3</v>
      </c>
      <c r="G94" s="191">
        <v>1885.0</v>
      </c>
      <c r="H94" s="10">
        <v>110.0</v>
      </c>
      <c r="I94" s="48">
        <v>0.0594</v>
      </c>
      <c r="J94" s="48">
        <v>0.0745</v>
      </c>
      <c r="K94" s="191">
        <v>2498.0</v>
      </c>
      <c r="L94" s="10">
        <v>160.0</v>
      </c>
      <c r="M94" s="48">
        <v>0.0569</v>
      </c>
      <c r="N94" s="48">
        <v>0.0765</v>
      </c>
      <c r="O94" s="48">
        <v>0.8507</v>
      </c>
      <c r="P94" s="48">
        <v>0.741</v>
      </c>
      <c r="Q94" s="10">
        <v>10.0</v>
      </c>
      <c r="R94" s="10">
        <v>1.0</v>
      </c>
      <c r="S94" s="48">
        <v>0.0053</v>
      </c>
      <c r="T94" s="48">
        <v>0.0091</v>
      </c>
      <c r="U94" s="193">
        <v>179000.0</v>
      </c>
      <c r="V94" s="193">
        <v>17900.0</v>
      </c>
      <c r="W94" s="10">
        <v>9.0</v>
      </c>
      <c r="X94" s="10">
        <v>1.0</v>
      </c>
    </row>
    <row r="95" ht="15.75" customHeight="1">
      <c r="A95" s="19" t="s">
        <v>47</v>
      </c>
      <c r="B95" s="10" t="str">
        <f t="array" ref="B95">_xlfn.XLOOKUP(D95,'Referanc '!$A:$A,'Referanc '!$B:$B)</f>
        <v>Standing Table - All Frames</v>
      </c>
      <c r="C95" s="10" t="s">
        <v>306</v>
      </c>
      <c r="D95" s="10" t="s">
        <v>306</v>
      </c>
      <c r="E95" s="10" t="s">
        <v>1003</v>
      </c>
      <c r="F95" s="10" t="str">
        <f t="array" ref="F95">_xlfn.XLOOKUP(D95,'Referanc '!$A:$A,'Referanc '!$E:$E)</f>
        <v>E2</v>
      </c>
      <c r="G95" s="191">
        <v>1947.0</v>
      </c>
      <c r="H95" s="10">
        <v>79.0</v>
      </c>
      <c r="I95" s="48">
        <v>0.0614</v>
      </c>
      <c r="J95" s="48">
        <v>0.0535</v>
      </c>
      <c r="K95" s="191">
        <v>2696.0</v>
      </c>
      <c r="L95" s="10">
        <v>129.0</v>
      </c>
      <c r="M95" s="48">
        <v>0.0614</v>
      </c>
      <c r="N95" s="48">
        <v>0.0617</v>
      </c>
      <c r="O95" s="48">
        <v>0.8784</v>
      </c>
      <c r="P95" s="48">
        <v>0.8448</v>
      </c>
      <c r="Q95" s="10">
        <v>7.0</v>
      </c>
      <c r="R95" s="10">
        <v>0.0</v>
      </c>
      <c r="S95" s="48">
        <v>0.0036</v>
      </c>
      <c r="T95" s="48">
        <v>0.0</v>
      </c>
      <c r="U95" s="193">
        <v>185500.0</v>
      </c>
      <c r="V95" s="193">
        <v>0.0</v>
      </c>
      <c r="W95" s="10">
        <v>7.0</v>
      </c>
      <c r="X95" s="10">
        <v>0.0</v>
      </c>
    </row>
    <row r="96" ht="15.75" customHeight="1">
      <c r="A96" s="19" t="s">
        <v>47</v>
      </c>
      <c r="B96" s="10" t="str">
        <f t="array" ref="B96">_xlfn.XLOOKUP(D96,'Referanc '!$A:$A,'Referanc '!$B:$B)</f>
        <v>Standing Table  - E2</v>
      </c>
      <c r="C96" s="10" t="s">
        <v>311</v>
      </c>
      <c r="D96" s="10" t="s">
        <v>311</v>
      </c>
      <c r="E96" s="10" t="s">
        <v>1005</v>
      </c>
      <c r="F96" s="10" t="str">
        <f t="array" ref="F96">_xlfn.XLOOKUP(D96,'Referanc '!$A:$A,'Referanc '!$E:$E)</f>
        <v>E2</v>
      </c>
      <c r="G96" s="191">
        <v>1138.0</v>
      </c>
      <c r="H96" s="10">
        <v>68.0</v>
      </c>
      <c r="I96" s="48">
        <v>0.0359</v>
      </c>
      <c r="J96" s="48">
        <v>0.0461</v>
      </c>
      <c r="K96" s="191">
        <v>1621.0</v>
      </c>
      <c r="L96" s="10">
        <v>93.0</v>
      </c>
      <c r="M96" s="48">
        <v>0.0369</v>
      </c>
      <c r="N96" s="48">
        <v>0.0445</v>
      </c>
      <c r="O96" s="48">
        <v>0.9475</v>
      </c>
      <c r="P96" s="48">
        <v>0.7821</v>
      </c>
      <c r="Q96" s="10">
        <v>6.0</v>
      </c>
      <c r="R96" s="10">
        <v>0.0</v>
      </c>
      <c r="S96" s="48">
        <v>0.0053</v>
      </c>
      <c r="T96" s="48">
        <v>0.0</v>
      </c>
      <c r="U96" s="193">
        <v>200400.0</v>
      </c>
      <c r="V96" s="193">
        <v>0.0</v>
      </c>
      <c r="W96" s="10">
        <v>6.0</v>
      </c>
      <c r="X96" s="10">
        <v>0.0</v>
      </c>
    </row>
    <row r="97" ht="15.75" customHeight="1">
      <c r="A97" s="19" t="s">
        <v>47</v>
      </c>
      <c r="B97" s="10" t="str">
        <f t="array" ref="B97">_xlfn.XLOOKUP(D97,'Referanc '!$A:$A,'Referanc '!$B:$B)</f>
        <v>Standing Desk Converter</v>
      </c>
      <c r="C97" s="10" t="s">
        <v>326</v>
      </c>
      <c r="D97" s="10" t="s">
        <v>326</v>
      </c>
      <c r="E97" s="10" t="s">
        <v>529</v>
      </c>
      <c r="F97" s="10" t="str">
        <f t="array" ref="F97">_xlfn.XLOOKUP(D97,'Referanc '!$A:$A,'Referanc '!$E:$E)</f>
        <v>Standing Desk Converter</v>
      </c>
      <c r="G97" s="10">
        <v>525.0</v>
      </c>
      <c r="H97" s="10">
        <v>27.0</v>
      </c>
      <c r="I97" s="48">
        <v>0.0166</v>
      </c>
      <c r="J97" s="48">
        <v>0.0183</v>
      </c>
      <c r="K97" s="10">
        <v>735.0</v>
      </c>
      <c r="L97" s="10">
        <v>33.0</v>
      </c>
      <c r="M97" s="48">
        <v>0.0167</v>
      </c>
      <c r="N97" s="48">
        <v>0.0158</v>
      </c>
      <c r="O97" s="48">
        <v>0.964</v>
      </c>
      <c r="P97" s="48">
        <v>0.8387</v>
      </c>
      <c r="Q97" s="10">
        <v>5.0</v>
      </c>
      <c r="R97" s="10">
        <v>0.0</v>
      </c>
      <c r="S97" s="48">
        <v>0.0095</v>
      </c>
      <c r="T97" s="48">
        <v>0.0</v>
      </c>
      <c r="U97" s="193">
        <v>32500.0</v>
      </c>
      <c r="V97" s="193">
        <v>0.0</v>
      </c>
      <c r="W97" s="10">
        <v>5.0</v>
      </c>
      <c r="X97" s="10">
        <v>0.0</v>
      </c>
    </row>
    <row r="98" ht="15.75" customHeight="1">
      <c r="A98" s="19" t="s">
        <v>47</v>
      </c>
      <c r="B98" s="10" t="str">
        <f t="array" ref="B98">_xlfn.XLOOKUP(D98,'Referanc '!$A:$A,'Referanc '!$B:$B)</f>
        <v>Standing Table  - M4</v>
      </c>
      <c r="C98" s="10" t="s">
        <v>348</v>
      </c>
      <c r="D98" s="10" t="s">
        <v>348</v>
      </c>
      <c r="E98" s="10" t="s">
        <v>524</v>
      </c>
      <c r="F98" s="10" t="str">
        <f t="array" ref="F98">_xlfn.XLOOKUP(D98,'Referanc '!$A:$A,'Referanc '!$E:$E)</f>
        <v>M4</v>
      </c>
      <c r="G98" s="191">
        <v>1588.0</v>
      </c>
      <c r="H98" s="10">
        <v>72.0</v>
      </c>
      <c r="I98" s="48">
        <v>0.0501</v>
      </c>
      <c r="J98" s="48">
        <v>0.0488</v>
      </c>
      <c r="K98" s="191">
        <v>2291.0</v>
      </c>
      <c r="L98" s="10">
        <v>105.0</v>
      </c>
      <c r="M98" s="48">
        <v>0.0522</v>
      </c>
      <c r="N98" s="48">
        <v>0.0502</v>
      </c>
      <c r="O98" s="48">
        <v>0.9095</v>
      </c>
      <c r="P98" s="48">
        <v>0.7128</v>
      </c>
      <c r="Q98" s="10">
        <v>4.0</v>
      </c>
      <c r="R98" s="10">
        <v>0.0</v>
      </c>
      <c r="S98" s="48">
        <v>0.0025</v>
      </c>
      <c r="T98" s="48">
        <v>0.0</v>
      </c>
      <c r="U98" s="193">
        <v>66000.0</v>
      </c>
      <c r="V98" s="193">
        <v>0.0</v>
      </c>
      <c r="W98" s="10">
        <v>4.0</v>
      </c>
      <c r="X98" s="10">
        <v>0.0</v>
      </c>
    </row>
    <row r="99" ht="15.75" customHeight="1">
      <c r="A99" s="19" t="s">
        <v>47</v>
      </c>
      <c r="B99" s="10" t="str">
        <f t="array" ref="B99">_xlfn.XLOOKUP(D99,'Referanc '!$A:$A,'Referanc '!$B:$B)</f>
        <v>TABLE TOP</v>
      </c>
      <c r="C99" s="10" t="s">
        <v>357</v>
      </c>
      <c r="D99" s="10" t="s">
        <v>357</v>
      </c>
      <c r="E99" s="10" t="s">
        <v>535</v>
      </c>
      <c r="F99" s="10" t="str">
        <f t="array" ref="F99">_xlfn.XLOOKUP(D99,'Referanc '!$A:$A,'Referanc '!$E:$E)</f>
        <v>TABLE TOP</v>
      </c>
      <c r="G99" s="10">
        <v>261.0</v>
      </c>
      <c r="H99" s="10">
        <v>13.0</v>
      </c>
      <c r="I99" s="48">
        <v>0.0082</v>
      </c>
      <c r="J99" s="48">
        <v>0.0088</v>
      </c>
      <c r="K99" s="10">
        <v>325.0</v>
      </c>
      <c r="L99" s="10">
        <v>15.0</v>
      </c>
      <c r="M99" s="48">
        <v>0.0074</v>
      </c>
      <c r="N99" s="48">
        <v>0.0072</v>
      </c>
      <c r="O99" s="48">
        <v>0.814</v>
      </c>
      <c r="P99" s="48">
        <v>0.7143</v>
      </c>
      <c r="Q99" s="10">
        <v>3.0</v>
      </c>
      <c r="R99" s="10">
        <v>0.0</v>
      </c>
      <c r="S99" s="48">
        <v>0.0115</v>
      </c>
      <c r="T99" s="48">
        <v>0.0</v>
      </c>
      <c r="U99" s="193">
        <v>22050.0</v>
      </c>
      <c r="V99" s="193">
        <v>0.0</v>
      </c>
      <c r="W99" s="10">
        <v>3.0</v>
      </c>
      <c r="X99" s="10">
        <v>0.0</v>
      </c>
    </row>
    <row r="100" ht="15.75" customHeight="1">
      <c r="A100" s="19" t="s">
        <v>47</v>
      </c>
      <c r="B100" s="10" t="str">
        <f t="array" ref="B100">_xlfn.XLOOKUP(D100,'Referanc '!$A:$A,'Referanc '!$B:$B)</f>
        <v>Single Leg Gas</v>
      </c>
      <c r="C100" s="10" t="s">
        <v>332</v>
      </c>
      <c r="D100" s="10" t="s">
        <v>332</v>
      </c>
      <c r="E100" s="10" t="s">
        <v>1015</v>
      </c>
      <c r="F100" s="10" t="str">
        <f t="array" ref="F100">_xlfn.XLOOKUP(D100,'Referanc '!$A:$A,'Referanc '!$E:$E)</f>
        <v>Single Leg Gas</v>
      </c>
      <c r="G100" s="10">
        <v>174.0</v>
      </c>
      <c r="H100" s="10">
        <v>10.0</v>
      </c>
      <c r="I100" s="48">
        <v>0.0055</v>
      </c>
      <c r="J100" s="48">
        <v>0.0068</v>
      </c>
      <c r="K100" s="10">
        <v>230.0</v>
      </c>
      <c r="L100" s="10">
        <v>13.0</v>
      </c>
      <c r="M100" s="48">
        <v>0.0052</v>
      </c>
      <c r="N100" s="48">
        <v>0.0062</v>
      </c>
      <c r="O100" s="48">
        <v>0.892</v>
      </c>
      <c r="P100" s="48">
        <v>1.0</v>
      </c>
      <c r="Q100" s="10">
        <v>3.0</v>
      </c>
      <c r="R100" s="10">
        <v>0.0</v>
      </c>
      <c r="S100" s="48">
        <v>0.0172</v>
      </c>
      <c r="T100" s="48">
        <v>0.0</v>
      </c>
      <c r="U100" s="193">
        <v>32700.0</v>
      </c>
      <c r="V100" s="193">
        <v>0.0</v>
      </c>
      <c r="W100" s="10">
        <v>3.0</v>
      </c>
      <c r="X100" s="10">
        <v>0.0</v>
      </c>
    </row>
    <row r="101" ht="15.75" customHeight="1">
      <c r="A101" s="19" t="s">
        <v>47</v>
      </c>
      <c r="B101" s="10" t="str">
        <f t="array" ref="B101">_xlfn.XLOOKUP(D101,'Referanc '!$A:$A,'Referanc '!$B:$B)</f>
        <v>Standing Table  - E2</v>
      </c>
      <c r="C101" s="10" t="s">
        <v>313</v>
      </c>
      <c r="D101" s="10" t="s">
        <v>313</v>
      </c>
      <c r="E101" s="10" t="s">
        <v>1016</v>
      </c>
      <c r="F101" s="10" t="str">
        <f t="array" ref="F101">_xlfn.XLOOKUP(D101,'Referanc '!$A:$A,'Referanc '!$E:$E)</f>
        <v>E2</v>
      </c>
      <c r="G101" s="10">
        <v>506.0</v>
      </c>
      <c r="H101" s="10">
        <v>25.0</v>
      </c>
      <c r="I101" s="48">
        <v>0.016</v>
      </c>
      <c r="J101" s="48">
        <v>0.0169</v>
      </c>
      <c r="K101" s="10">
        <v>622.0</v>
      </c>
      <c r="L101" s="10">
        <v>26.0</v>
      </c>
      <c r="M101" s="48">
        <v>0.0142</v>
      </c>
      <c r="N101" s="48">
        <v>0.0124</v>
      </c>
      <c r="O101" s="48">
        <v>0.7036</v>
      </c>
      <c r="P101" s="48">
        <v>0.3158</v>
      </c>
      <c r="Q101" s="10">
        <v>3.0</v>
      </c>
      <c r="R101" s="10">
        <v>0.0</v>
      </c>
      <c r="S101" s="48">
        <v>0.0059</v>
      </c>
      <c r="T101" s="48">
        <v>0.0</v>
      </c>
      <c r="U101" s="193">
        <v>89700.0</v>
      </c>
      <c r="V101" s="193">
        <v>0.0</v>
      </c>
      <c r="W101" s="10">
        <v>3.0</v>
      </c>
      <c r="X101" s="10">
        <v>0.0</v>
      </c>
    </row>
    <row r="102" ht="15.75" customHeight="1">
      <c r="A102" s="19" t="s">
        <v>47</v>
      </c>
      <c r="B102" s="10" t="str">
        <f t="array" ref="B102">_xlfn.XLOOKUP(D102,'Referanc '!$A:$A,'Referanc '!$B:$B)</f>
        <v>Standing Table  - E2</v>
      </c>
      <c r="C102" s="10" t="s">
        <v>293</v>
      </c>
      <c r="D102" s="10" t="s">
        <v>293</v>
      </c>
      <c r="E102" s="10" t="s">
        <v>1017</v>
      </c>
      <c r="F102" s="10" t="str">
        <f t="array" ref="F102">_xlfn.XLOOKUP(D102,'Referanc '!$A:$A,'Referanc '!$E:$E)</f>
        <v>E2</v>
      </c>
      <c r="G102" s="191">
        <v>1305.0</v>
      </c>
      <c r="H102" s="10">
        <v>56.0</v>
      </c>
      <c r="I102" s="48">
        <v>0.0411</v>
      </c>
      <c r="J102" s="48">
        <v>0.0379</v>
      </c>
      <c r="K102" s="191">
        <v>1646.0</v>
      </c>
      <c r="L102" s="10">
        <v>64.0</v>
      </c>
      <c r="M102" s="48">
        <v>0.0375</v>
      </c>
      <c r="N102" s="48">
        <v>0.0306</v>
      </c>
      <c r="O102" s="48">
        <v>0.8906</v>
      </c>
      <c r="P102" s="48">
        <v>0.72</v>
      </c>
      <c r="Q102" s="10">
        <v>3.0</v>
      </c>
      <c r="R102" s="10">
        <v>0.0</v>
      </c>
      <c r="S102" s="48">
        <v>0.0023</v>
      </c>
      <c r="T102" s="48">
        <v>0.0</v>
      </c>
      <c r="U102" s="193">
        <v>89700.0</v>
      </c>
      <c r="V102" s="193">
        <v>0.0</v>
      </c>
      <c r="W102" s="10">
        <v>3.0</v>
      </c>
      <c r="X102" s="10">
        <v>0.0</v>
      </c>
    </row>
    <row r="103" ht="15.75" customHeight="1">
      <c r="A103" s="19" t="s">
        <v>47</v>
      </c>
      <c r="B103" s="10" t="str">
        <f t="array" ref="B103">_xlfn.XLOOKUP(D103,'Referanc '!$A:$A,'Referanc '!$B:$B)</f>
        <v>TABLE TOP</v>
      </c>
      <c r="C103" s="10" t="s">
        <v>350</v>
      </c>
      <c r="D103" s="10" t="s">
        <v>350</v>
      </c>
      <c r="E103" s="10" t="s">
        <v>531</v>
      </c>
      <c r="F103" s="10" t="str">
        <f t="array" ref="F103">_xlfn.XLOOKUP(D103,'Referanc '!$A:$A,'Referanc '!$E:$E)</f>
        <v>TABLE TOP</v>
      </c>
      <c r="G103" s="10">
        <v>463.0</v>
      </c>
      <c r="H103" s="10">
        <v>20.0</v>
      </c>
      <c r="I103" s="48">
        <v>0.0146</v>
      </c>
      <c r="J103" s="48">
        <v>0.0136</v>
      </c>
      <c r="K103" s="10">
        <v>615.0</v>
      </c>
      <c r="L103" s="10">
        <v>24.0</v>
      </c>
      <c r="M103" s="48">
        <v>0.014</v>
      </c>
      <c r="N103" s="48">
        <v>0.0115</v>
      </c>
      <c r="O103" s="48">
        <v>0.7759</v>
      </c>
      <c r="P103" s="48">
        <v>0.6818</v>
      </c>
      <c r="Q103" s="10">
        <v>2.0</v>
      </c>
      <c r="R103" s="10">
        <v>0.0</v>
      </c>
      <c r="S103" s="48">
        <v>0.0043</v>
      </c>
      <c r="T103" s="48">
        <v>0.0</v>
      </c>
      <c r="U103" s="193">
        <v>8900.0</v>
      </c>
      <c r="V103" s="193">
        <v>0.0</v>
      </c>
      <c r="W103" s="10">
        <v>2.0</v>
      </c>
      <c r="X103" s="10">
        <v>0.0</v>
      </c>
    </row>
    <row r="104" ht="15.75" customHeight="1">
      <c r="A104" s="19" t="s">
        <v>47</v>
      </c>
      <c r="B104" s="10" t="str">
        <f t="array" ref="B104">_xlfn.XLOOKUP(D104,'Referanc '!$A:$A,'Referanc '!$B:$B)</f>
        <v>Monitor Arm Stand</v>
      </c>
      <c r="C104" s="10" t="s">
        <v>342</v>
      </c>
      <c r="D104" s="10" t="s">
        <v>342</v>
      </c>
      <c r="E104" s="10" t="s">
        <v>522</v>
      </c>
      <c r="F104" s="10" t="str">
        <f t="array" ref="F104">_xlfn.XLOOKUP(D104,'Referanc '!$A:$A,'Referanc '!$E:$E)</f>
        <v>Monitor Arm Stand</v>
      </c>
      <c r="G104" s="191">
        <v>1015.0</v>
      </c>
      <c r="H104" s="10">
        <v>61.0</v>
      </c>
      <c r="I104" s="48">
        <v>0.032</v>
      </c>
      <c r="J104" s="48">
        <v>0.0413</v>
      </c>
      <c r="K104" s="191">
        <v>1330.0</v>
      </c>
      <c r="L104" s="10">
        <v>71.0</v>
      </c>
      <c r="M104" s="48">
        <v>0.0303</v>
      </c>
      <c r="N104" s="48">
        <v>0.034</v>
      </c>
      <c r="O104" s="48">
        <v>0.8934</v>
      </c>
      <c r="P104" s="48">
        <v>0.831</v>
      </c>
      <c r="Q104" s="10">
        <v>2.0</v>
      </c>
      <c r="R104" s="10">
        <v>0.0</v>
      </c>
      <c r="S104" s="48">
        <v>0.002</v>
      </c>
      <c r="T104" s="48">
        <v>0.0</v>
      </c>
      <c r="U104" s="193">
        <v>19647.46</v>
      </c>
      <c r="V104" s="193">
        <v>0.0</v>
      </c>
      <c r="W104" s="10">
        <v>2.0</v>
      </c>
      <c r="X104" s="10">
        <v>0.0</v>
      </c>
    </row>
    <row r="105" ht="15.75" customHeight="1">
      <c r="A105" s="19" t="s">
        <v>47</v>
      </c>
      <c r="B105" s="10" t="str">
        <f t="array" ref="B105">_xlfn.XLOOKUP(D105,'Referanc '!$A:$A,'Referanc '!$B:$B)</f>
        <v>Standing Table  - SM3</v>
      </c>
      <c r="C105" s="10" t="s">
        <v>358</v>
      </c>
      <c r="D105" s="10" t="s">
        <v>358</v>
      </c>
      <c r="E105" s="10" t="s">
        <v>563</v>
      </c>
      <c r="F105" s="10" t="str">
        <f t="array" ref="F105">_xlfn.XLOOKUP(D105,'Referanc '!$A:$A,'Referanc '!$E:$E)</f>
        <v>SM3</v>
      </c>
      <c r="G105" s="10">
        <v>235.0</v>
      </c>
      <c r="H105" s="10">
        <v>24.0</v>
      </c>
      <c r="I105" s="48">
        <v>0.0074</v>
      </c>
      <c r="J105" s="48">
        <v>0.0163</v>
      </c>
      <c r="K105" s="10">
        <v>300.0</v>
      </c>
      <c r="L105" s="10">
        <v>36.0</v>
      </c>
      <c r="M105" s="48">
        <v>0.0068</v>
      </c>
      <c r="N105" s="48">
        <v>0.0172</v>
      </c>
      <c r="O105" s="48">
        <v>0.9363</v>
      </c>
      <c r="P105" s="48">
        <v>0.8824</v>
      </c>
      <c r="Q105" s="10">
        <v>2.0</v>
      </c>
      <c r="R105" s="10">
        <v>0.0</v>
      </c>
      <c r="S105" s="48">
        <v>0.0085</v>
      </c>
      <c r="T105" s="48">
        <v>0.0</v>
      </c>
      <c r="U105" s="193">
        <v>49000.0</v>
      </c>
      <c r="V105" s="193">
        <v>0.0</v>
      </c>
      <c r="W105" s="10">
        <v>2.0</v>
      </c>
      <c r="X105" s="10">
        <v>0.0</v>
      </c>
    </row>
    <row r="106" ht="15.75" customHeight="1">
      <c r="A106" s="19" t="s">
        <v>47</v>
      </c>
      <c r="B106" s="10" t="str">
        <f t="array" ref="B106">_xlfn.XLOOKUP(D106,'Referanc '!$A:$A,'Referanc '!$B:$B)</f>
        <v>Standing Table  - E1A</v>
      </c>
      <c r="C106" s="10" t="s">
        <v>359</v>
      </c>
      <c r="D106" s="10" t="s">
        <v>359</v>
      </c>
      <c r="E106" s="10" t="s">
        <v>565</v>
      </c>
      <c r="F106" s="10" t="str">
        <f t="array" ref="F106">_xlfn.XLOOKUP(D106,'Referanc '!$A:$A,'Referanc '!$E:$E)</f>
        <v>E1A</v>
      </c>
      <c r="G106" s="10">
        <v>433.0</v>
      </c>
      <c r="H106" s="10">
        <v>16.0</v>
      </c>
      <c r="I106" s="48">
        <v>0.0137</v>
      </c>
      <c r="J106" s="48">
        <v>0.0108</v>
      </c>
      <c r="K106" s="10">
        <v>564.0</v>
      </c>
      <c r="L106" s="10">
        <v>17.0</v>
      </c>
      <c r="M106" s="48">
        <v>0.0128</v>
      </c>
      <c r="N106" s="48">
        <v>0.0081</v>
      </c>
      <c r="O106" s="48">
        <v>0.8211</v>
      </c>
      <c r="P106" s="48">
        <v>0.8824</v>
      </c>
      <c r="Q106" s="10">
        <v>2.0</v>
      </c>
      <c r="R106" s="10">
        <v>0.0</v>
      </c>
      <c r="S106" s="48">
        <v>0.0046</v>
      </c>
      <c r="T106" s="48">
        <v>0.0</v>
      </c>
      <c r="U106" s="193">
        <v>65800.0</v>
      </c>
      <c r="V106" s="193">
        <v>0.0</v>
      </c>
      <c r="W106" s="10">
        <v>2.0</v>
      </c>
      <c r="X106" s="10">
        <v>0.0</v>
      </c>
    </row>
    <row r="107" ht="15.75" customHeight="1">
      <c r="A107" s="19" t="s">
        <v>47</v>
      </c>
      <c r="B107" s="10" t="str">
        <f t="array" ref="B107">_xlfn.XLOOKUP(D107,'Referanc '!$A:$A,'Referanc '!$B:$B)</f>
        <v>Standing Table  - E1A</v>
      </c>
      <c r="C107" s="10" t="s">
        <v>360</v>
      </c>
      <c r="D107" s="10" t="s">
        <v>360</v>
      </c>
      <c r="E107" s="10" t="s">
        <v>567</v>
      </c>
      <c r="F107" s="10" t="str">
        <f t="array" ref="F107">_xlfn.XLOOKUP(D107,'Referanc '!$A:$A,'Referanc '!$E:$E)</f>
        <v>E1A</v>
      </c>
      <c r="G107" s="10">
        <v>120.0</v>
      </c>
      <c r="H107" s="10">
        <v>6.0</v>
      </c>
      <c r="I107" s="48">
        <v>0.0038</v>
      </c>
      <c r="J107" s="48">
        <v>0.0041</v>
      </c>
      <c r="K107" s="10">
        <v>147.0</v>
      </c>
      <c r="L107" s="10">
        <v>6.0</v>
      </c>
      <c r="M107" s="48">
        <v>0.0033</v>
      </c>
      <c r="N107" s="48">
        <v>0.0029</v>
      </c>
      <c r="O107" s="48">
        <v>0.9618</v>
      </c>
      <c r="P107" s="48">
        <v>1.0</v>
      </c>
      <c r="Q107" s="10">
        <v>2.0</v>
      </c>
      <c r="R107" s="10">
        <v>0.0</v>
      </c>
      <c r="S107" s="48">
        <v>0.0167</v>
      </c>
      <c r="T107" s="48">
        <v>0.0</v>
      </c>
      <c r="U107" s="193">
        <v>59800.0</v>
      </c>
      <c r="V107" s="193">
        <v>0.0</v>
      </c>
      <c r="W107" s="10">
        <v>2.0</v>
      </c>
      <c r="X107" s="10">
        <v>0.0</v>
      </c>
    </row>
    <row r="108" ht="15.75" customHeight="1">
      <c r="A108" s="19" t="s">
        <v>47</v>
      </c>
      <c r="B108" s="10" t="str">
        <f t="array" ref="B108">_xlfn.XLOOKUP(D108,'Referanc '!$A:$A,'Referanc '!$B:$B)</f>
        <v>Standing Table  - E1A</v>
      </c>
      <c r="C108" s="10" t="s">
        <v>361</v>
      </c>
      <c r="D108" s="10" t="s">
        <v>361</v>
      </c>
      <c r="E108" s="10" t="s">
        <v>569</v>
      </c>
      <c r="F108" s="10" t="str">
        <f t="array" ref="F108">_xlfn.XLOOKUP(D108,'Referanc '!$A:$A,'Referanc '!$E:$E)</f>
        <v>E1A</v>
      </c>
      <c r="G108" s="10">
        <v>191.0</v>
      </c>
      <c r="H108" s="10">
        <v>8.0</v>
      </c>
      <c r="I108" s="48">
        <v>0.006</v>
      </c>
      <c r="J108" s="48">
        <v>0.0054</v>
      </c>
      <c r="K108" s="10">
        <v>266.0</v>
      </c>
      <c r="L108" s="10">
        <v>20.0</v>
      </c>
      <c r="M108" s="48">
        <v>0.0061</v>
      </c>
      <c r="N108" s="48">
        <v>0.0096</v>
      </c>
      <c r="O108" s="48">
        <v>0.9556</v>
      </c>
      <c r="P108" s="48">
        <v>0.95</v>
      </c>
      <c r="Q108" s="10">
        <v>2.0</v>
      </c>
      <c r="R108" s="10">
        <v>1.0</v>
      </c>
      <c r="S108" s="48">
        <v>0.0105</v>
      </c>
      <c r="T108" s="48">
        <v>0.125</v>
      </c>
      <c r="U108" s="193">
        <v>53000.0</v>
      </c>
      <c r="V108" s="193">
        <v>26500.0</v>
      </c>
      <c r="W108" s="10">
        <v>2.0</v>
      </c>
      <c r="X108" s="10">
        <v>1.0</v>
      </c>
    </row>
    <row r="109" ht="15.75" customHeight="1">
      <c r="A109" s="19" t="s">
        <v>47</v>
      </c>
      <c r="B109" s="10" t="str">
        <f t="array" ref="B109">_xlfn.XLOOKUP(D109,'Referanc '!$A:$A,'Referanc '!$B:$B)</f>
        <v>Extension &amp; Holder</v>
      </c>
      <c r="C109" s="10" t="s">
        <v>331</v>
      </c>
      <c r="D109" s="10" t="s">
        <v>331</v>
      </c>
      <c r="E109" s="10" t="s">
        <v>555</v>
      </c>
      <c r="F109" s="10" t="str">
        <f t="array" ref="F109">_xlfn.XLOOKUP(D109,'Referanc '!$A:$A,'Referanc '!$E:$E)</f>
        <v>Extension Board</v>
      </c>
      <c r="G109" s="10">
        <v>207.0</v>
      </c>
      <c r="H109" s="10">
        <v>16.0</v>
      </c>
      <c r="I109" s="48">
        <v>0.0065</v>
      </c>
      <c r="J109" s="48">
        <v>0.0108</v>
      </c>
      <c r="K109" s="10">
        <v>287.0</v>
      </c>
      <c r="L109" s="10">
        <v>27.0</v>
      </c>
      <c r="M109" s="48">
        <v>0.0065</v>
      </c>
      <c r="N109" s="48">
        <v>0.0129</v>
      </c>
      <c r="O109" s="48">
        <v>0.8346</v>
      </c>
      <c r="P109" s="48">
        <v>0.7692</v>
      </c>
      <c r="Q109" s="10">
        <v>1.0</v>
      </c>
      <c r="R109" s="10">
        <v>1.0</v>
      </c>
      <c r="S109" s="48">
        <v>0.0048</v>
      </c>
      <c r="T109" s="48">
        <v>0.0625</v>
      </c>
      <c r="U109" s="193">
        <v>4306.0</v>
      </c>
      <c r="V109" s="193">
        <v>4306.0</v>
      </c>
      <c r="W109" s="10">
        <v>1.0</v>
      </c>
      <c r="X109" s="10">
        <v>1.0</v>
      </c>
    </row>
    <row r="110" ht="15.75" customHeight="1">
      <c r="A110" s="19" t="s">
        <v>47</v>
      </c>
      <c r="B110" s="10" t="str">
        <f t="array" ref="B110">_xlfn.XLOOKUP(D110,'Referanc '!$A:$A,'Referanc '!$B:$B)</f>
        <v>Single Leg Gas</v>
      </c>
      <c r="C110" s="10" t="s">
        <v>334</v>
      </c>
      <c r="D110" s="10" t="s">
        <v>334</v>
      </c>
      <c r="E110" s="10" t="s">
        <v>543</v>
      </c>
      <c r="F110" s="10" t="str">
        <f t="array" ref="F110">_xlfn.XLOOKUP(D110,'Referanc '!$A:$A,'Referanc '!$E:$E)</f>
        <v>Single Leg Gas</v>
      </c>
      <c r="G110" s="10">
        <v>65.0</v>
      </c>
      <c r="H110" s="10">
        <v>3.0</v>
      </c>
      <c r="I110" s="48">
        <v>0.002</v>
      </c>
      <c r="J110" s="48">
        <v>0.002</v>
      </c>
      <c r="K110" s="10">
        <v>87.0</v>
      </c>
      <c r="L110" s="10">
        <v>3.0</v>
      </c>
      <c r="M110" s="48">
        <v>0.002</v>
      </c>
      <c r="N110" s="48">
        <v>0.0014</v>
      </c>
      <c r="O110" s="48">
        <v>0.9487</v>
      </c>
      <c r="P110" s="48">
        <v>1.0</v>
      </c>
      <c r="Q110" s="10">
        <v>1.0</v>
      </c>
      <c r="R110" s="10">
        <v>0.0</v>
      </c>
      <c r="S110" s="48">
        <v>0.0154</v>
      </c>
      <c r="T110" s="48">
        <v>0.0</v>
      </c>
      <c r="U110" s="193">
        <v>13400.0</v>
      </c>
      <c r="V110" s="193">
        <v>0.0</v>
      </c>
      <c r="W110" s="10">
        <v>1.0</v>
      </c>
      <c r="X110" s="10">
        <v>0.0</v>
      </c>
    </row>
    <row r="111" ht="15.75" customHeight="1">
      <c r="A111" s="19" t="s">
        <v>47</v>
      </c>
      <c r="B111" s="10" t="str">
        <f t="array" ref="B111">_xlfn.XLOOKUP(D111,'Referanc '!$A:$A,'Referanc '!$B:$B)</f>
        <v>Standing Desk Converter</v>
      </c>
      <c r="C111" s="10" t="s">
        <v>363</v>
      </c>
      <c r="D111" s="10" t="s">
        <v>363</v>
      </c>
      <c r="E111" s="10" t="s">
        <v>571</v>
      </c>
      <c r="F111" s="10" t="str">
        <f t="array" ref="F111">_xlfn.XLOOKUP(D111,'Referanc '!$A:$A,'Referanc '!$E:$E)</f>
        <v>Standing Desk Converter</v>
      </c>
      <c r="G111" s="10">
        <v>67.0</v>
      </c>
      <c r="H111" s="10">
        <v>8.0</v>
      </c>
      <c r="I111" s="48">
        <v>0.0021</v>
      </c>
      <c r="J111" s="48">
        <v>0.0054</v>
      </c>
      <c r="K111" s="10">
        <v>87.0</v>
      </c>
      <c r="L111" s="10">
        <v>11.0</v>
      </c>
      <c r="M111" s="48">
        <v>0.002</v>
      </c>
      <c r="N111" s="48">
        <v>0.0053</v>
      </c>
      <c r="O111" s="48">
        <v>0.9268</v>
      </c>
      <c r="P111" s="48">
        <v>0.9091</v>
      </c>
      <c r="Q111" s="10">
        <v>1.0</v>
      </c>
      <c r="R111" s="10">
        <v>1.0</v>
      </c>
      <c r="S111" s="48">
        <v>0.0149</v>
      </c>
      <c r="T111" s="48">
        <v>0.125</v>
      </c>
      <c r="U111" s="193">
        <v>11900.0</v>
      </c>
      <c r="V111" s="193">
        <v>11900.0</v>
      </c>
      <c r="W111" s="10">
        <v>1.0</v>
      </c>
      <c r="X111" s="10">
        <v>1.0</v>
      </c>
    </row>
    <row r="112" ht="15.75" customHeight="1">
      <c r="A112" s="19" t="s">
        <v>47</v>
      </c>
      <c r="B112" s="10" t="str">
        <f t="array" ref="B112">_xlfn.XLOOKUP(D112,'Referanc '!$A:$A,'Referanc '!$B:$B)</f>
        <v>Standing Table  - E3</v>
      </c>
      <c r="C112" s="10" t="s">
        <v>364</v>
      </c>
      <c r="D112" s="10" t="s">
        <v>364</v>
      </c>
      <c r="E112" s="10" t="s">
        <v>573</v>
      </c>
      <c r="F112" s="10" t="str">
        <f t="array" ref="F112">_xlfn.XLOOKUP(D112,'Referanc '!$A:$A,'Referanc '!$E:$E)</f>
        <v>E3</v>
      </c>
      <c r="G112" s="10">
        <v>153.0</v>
      </c>
      <c r="H112" s="10">
        <v>5.0</v>
      </c>
      <c r="I112" s="48">
        <v>0.0048</v>
      </c>
      <c r="J112" s="48">
        <v>0.0034</v>
      </c>
      <c r="K112" s="10">
        <v>214.0</v>
      </c>
      <c r="L112" s="10">
        <v>6.0</v>
      </c>
      <c r="M112" s="48">
        <v>0.0049</v>
      </c>
      <c r="N112" s="48">
        <v>0.0029</v>
      </c>
      <c r="O112" s="48">
        <v>0.8432</v>
      </c>
      <c r="P112" s="48">
        <v>0.6</v>
      </c>
      <c r="Q112" s="10">
        <v>1.0</v>
      </c>
      <c r="R112" s="10">
        <v>0.0</v>
      </c>
      <c r="S112" s="48">
        <v>0.0065</v>
      </c>
      <c r="T112" s="48">
        <v>0.0</v>
      </c>
      <c r="U112" s="193">
        <v>40500.0</v>
      </c>
      <c r="V112" s="193">
        <v>0.0</v>
      </c>
      <c r="W112" s="10">
        <v>1.0</v>
      </c>
      <c r="X112" s="10">
        <v>0.0</v>
      </c>
    </row>
    <row r="113" ht="15.75" customHeight="1">
      <c r="A113" s="19" t="s">
        <v>47</v>
      </c>
      <c r="B113" s="10" t="str">
        <f t="array" ref="B113">_xlfn.XLOOKUP(D113,'Referanc '!$A:$A,'Referanc '!$B:$B)</f>
        <v>Standing Table  - E3</v>
      </c>
      <c r="C113" s="10" t="s">
        <v>365</v>
      </c>
      <c r="D113" s="10" t="s">
        <v>365</v>
      </c>
      <c r="E113" s="10" t="s">
        <v>575</v>
      </c>
      <c r="F113" s="10" t="str">
        <f t="array" ref="F113">_xlfn.XLOOKUP(D113,'Referanc '!$A:$A,'Referanc '!$E:$E)</f>
        <v>E3</v>
      </c>
      <c r="G113" s="10">
        <v>166.0</v>
      </c>
      <c r="H113" s="10">
        <v>10.0</v>
      </c>
      <c r="I113" s="48">
        <v>0.0052</v>
      </c>
      <c r="J113" s="48">
        <v>0.0068</v>
      </c>
      <c r="K113" s="10">
        <v>225.0</v>
      </c>
      <c r="L113" s="10">
        <v>15.0</v>
      </c>
      <c r="M113" s="48">
        <v>0.0051</v>
      </c>
      <c r="N113" s="48">
        <v>0.0072</v>
      </c>
      <c r="O113" s="48">
        <v>0.8364</v>
      </c>
      <c r="P113" s="48">
        <v>1.0</v>
      </c>
      <c r="Q113" s="10">
        <v>1.0</v>
      </c>
      <c r="R113" s="10">
        <v>1.0</v>
      </c>
      <c r="S113" s="48">
        <v>0.006</v>
      </c>
      <c r="T113" s="48">
        <v>0.1</v>
      </c>
      <c r="U113" s="193">
        <v>40500.0</v>
      </c>
      <c r="V113" s="193">
        <v>40500.0</v>
      </c>
      <c r="W113" s="10">
        <v>1.0</v>
      </c>
      <c r="X113" s="10">
        <v>1.0</v>
      </c>
    </row>
    <row r="114" ht="15.75" customHeight="1">
      <c r="A114" s="19" t="s">
        <v>47</v>
      </c>
      <c r="B114" s="10" t="str">
        <f t="array" ref="B114">_xlfn.XLOOKUP(D114,'Referanc '!$A:$A,'Referanc '!$B:$B)</f>
        <v>Standing Table - All Frames</v>
      </c>
      <c r="C114" s="10" t="s">
        <v>343</v>
      </c>
      <c r="D114" s="10" t="s">
        <v>343</v>
      </c>
      <c r="E114" s="10" t="s">
        <v>1022</v>
      </c>
      <c r="F114" s="10" t="str">
        <f t="array" ref="F114">_xlfn.XLOOKUP(D114,'Referanc '!$A:$A,'Referanc '!$E:$E)</f>
        <v>E3</v>
      </c>
      <c r="G114" s="10">
        <v>371.0</v>
      </c>
      <c r="H114" s="10">
        <v>17.0</v>
      </c>
      <c r="I114" s="48">
        <v>0.0117</v>
      </c>
      <c r="J114" s="48">
        <v>0.0115</v>
      </c>
      <c r="K114" s="10">
        <v>530.0</v>
      </c>
      <c r="L114" s="10">
        <v>27.0</v>
      </c>
      <c r="M114" s="48">
        <v>0.0121</v>
      </c>
      <c r="N114" s="48">
        <v>0.0129</v>
      </c>
      <c r="O114" s="48">
        <v>0.8439</v>
      </c>
      <c r="P114" s="48">
        <v>0.76</v>
      </c>
      <c r="Q114" s="10">
        <v>1.0</v>
      </c>
      <c r="R114" s="10">
        <v>0.0</v>
      </c>
      <c r="S114" s="48">
        <v>0.0027</v>
      </c>
      <c r="T114" s="48">
        <v>0.0</v>
      </c>
      <c r="U114" s="193">
        <v>34500.0</v>
      </c>
      <c r="V114" s="193">
        <v>0.0</v>
      </c>
      <c r="W114" s="10">
        <v>1.0</v>
      </c>
      <c r="X114" s="10">
        <v>0.0</v>
      </c>
    </row>
    <row r="115" ht="15.75" customHeight="1">
      <c r="A115" s="19" t="s">
        <v>47</v>
      </c>
      <c r="B115" s="10" t="s">
        <v>241</v>
      </c>
      <c r="C115" s="10" t="s">
        <v>345</v>
      </c>
      <c r="D115" s="10" t="s">
        <v>345</v>
      </c>
      <c r="E115" s="10" t="s">
        <v>553</v>
      </c>
      <c r="F115" s="10" t="str">
        <f t="array" ref="F115">_xlfn.XLOOKUP(D115,'Referanc '!$A:$A,'Referanc '!$E:$E)</f>
        <v>Footrest</v>
      </c>
      <c r="G115" s="10">
        <v>71.0</v>
      </c>
      <c r="H115" s="10">
        <v>3.0</v>
      </c>
      <c r="I115" s="48">
        <v>0.0022</v>
      </c>
      <c r="J115" s="48">
        <v>0.002</v>
      </c>
      <c r="K115" s="10">
        <v>84.0</v>
      </c>
      <c r="L115" s="10">
        <v>3.0</v>
      </c>
      <c r="M115" s="48">
        <v>0.0019</v>
      </c>
      <c r="N115" s="48">
        <v>0.0014</v>
      </c>
      <c r="O115" s="48">
        <v>0.878</v>
      </c>
      <c r="P115" s="48">
        <v>0.5</v>
      </c>
      <c r="Q115" s="10">
        <v>1.0</v>
      </c>
      <c r="R115" s="10">
        <v>0.0</v>
      </c>
      <c r="S115" s="48">
        <v>0.0141</v>
      </c>
      <c r="T115" s="48">
        <v>0.0</v>
      </c>
      <c r="U115" s="193">
        <v>2800.0</v>
      </c>
      <c r="V115" s="193">
        <v>0.0</v>
      </c>
      <c r="W115" s="10">
        <v>1.0</v>
      </c>
      <c r="X115" s="10">
        <v>0.0</v>
      </c>
    </row>
    <row r="116" ht="15.75" customHeight="1">
      <c r="A116" s="19" t="s">
        <v>47</v>
      </c>
      <c r="B116" s="10" t="str">
        <f t="array" ref="B116">_xlfn.XLOOKUP(D116,'Referanc '!$A:$A,'Referanc '!$B:$B)</f>
        <v>Standing Table  - E3</v>
      </c>
      <c r="C116" s="10" t="s">
        <v>366</v>
      </c>
      <c r="D116" s="10" t="s">
        <v>366</v>
      </c>
      <c r="E116" s="10" t="s">
        <v>575</v>
      </c>
      <c r="F116" s="10" t="str">
        <f t="array" ref="F116">_xlfn.XLOOKUP(D116,'Referanc '!$A:$A,'Referanc '!$E:$E)</f>
        <v>E3</v>
      </c>
      <c r="G116" s="10">
        <v>93.0</v>
      </c>
      <c r="H116" s="10">
        <v>3.0</v>
      </c>
      <c r="I116" s="48">
        <v>0.0029</v>
      </c>
      <c r="J116" s="48">
        <v>0.002</v>
      </c>
      <c r="K116" s="10">
        <v>128.0</v>
      </c>
      <c r="L116" s="10">
        <v>5.0</v>
      </c>
      <c r="M116" s="48">
        <v>0.0029</v>
      </c>
      <c r="N116" s="48">
        <v>0.0024</v>
      </c>
      <c r="O116" s="48">
        <v>0.9474</v>
      </c>
      <c r="P116" s="48">
        <v>0.75</v>
      </c>
      <c r="Q116" s="10">
        <v>1.0</v>
      </c>
      <c r="R116" s="10">
        <v>0.0</v>
      </c>
      <c r="S116" s="48">
        <v>0.0108</v>
      </c>
      <c r="T116" s="48">
        <v>0.0</v>
      </c>
      <c r="U116" s="193">
        <v>40500.0</v>
      </c>
      <c r="V116" s="193">
        <v>0.0</v>
      </c>
      <c r="W116" s="10">
        <v>1.0</v>
      </c>
      <c r="X116" s="10">
        <v>0.0</v>
      </c>
    </row>
    <row r="117" ht="15.75" customHeight="1">
      <c r="A117" s="19" t="s">
        <v>47</v>
      </c>
      <c r="B117" s="10" t="str">
        <f t="array" ref="B117">_xlfn.XLOOKUP(D117,'Referanc '!$A:$A,'Referanc '!$B:$B)</f>
        <v>Standing Table - All Frames</v>
      </c>
      <c r="C117" s="10" t="s">
        <v>368</v>
      </c>
      <c r="D117" s="10" t="s">
        <v>368</v>
      </c>
      <c r="E117" s="10" t="s">
        <v>578</v>
      </c>
      <c r="F117" s="10" t="str">
        <f t="array" ref="F117">_xlfn.XLOOKUP(D117,'Referanc '!$A:$A,'Referanc '!$E:$E)</f>
        <v>SM3</v>
      </c>
      <c r="G117" s="10">
        <v>119.0</v>
      </c>
      <c r="H117" s="10">
        <v>6.0</v>
      </c>
      <c r="I117" s="48">
        <v>0.0038</v>
      </c>
      <c r="J117" s="48">
        <v>0.0041</v>
      </c>
      <c r="K117" s="10">
        <v>154.0</v>
      </c>
      <c r="L117" s="10">
        <v>12.0</v>
      </c>
      <c r="M117" s="48">
        <v>0.0035</v>
      </c>
      <c r="N117" s="48">
        <v>0.0057</v>
      </c>
      <c r="O117" s="48">
        <v>0.8873</v>
      </c>
      <c r="P117" s="48">
        <v>1.0</v>
      </c>
      <c r="Q117" s="10">
        <v>1.0</v>
      </c>
      <c r="R117" s="10">
        <v>0.0</v>
      </c>
      <c r="S117" s="48">
        <v>0.0084</v>
      </c>
      <c r="T117" s="48">
        <v>0.0</v>
      </c>
      <c r="U117" s="193">
        <v>17900.0</v>
      </c>
      <c r="V117" s="193">
        <v>0.0</v>
      </c>
      <c r="W117" s="10">
        <v>1.0</v>
      </c>
      <c r="X117" s="10">
        <v>0.0</v>
      </c>
    </row>
    <row r="118" ht="15.75" customHeight="1">
      <c r="A118" s="19" t="s">
        <v>47</v>
      </c>
      <c r="B118" s="10" t="str">
        <f t="array" ref="B118">_xlfn.XLOOKUP(D118,'Referanc '!$A:$A,'Referanc '!$B:$B)</f>
        <v>Standing Table  - SM3</v>
      </c>
      <c r="C118" s="10" t="s">
        <v>370</v>
      </c>
      <c r="D118" s="10" t="s">
        <v>370</v>
      </c>
      <c r="E118" s="10" t="s">
        <v>580</v>
      </c>
      <c r="F118" s="10" t="str">
        <f t="array" ref="F118">_xlfn.XLOOKUP(D118,'Referanc '!$A:$A,'Referanc '!$E:$E)</f>
        <v>SM3</v>
      </c>
      <c r="G118" s="10">
        <v>307.0</v>
      </c>
      <c r="H118" s="10">
        <v>20.0</v>
      </c>
      <c r="I118" s="48">
        <v>0.0097</v>
      </c>
      <c r="J118" s="48">
        <v>0.0136</v>
      </c>
      <c r="K118" s="10">
        <v>385.0</v>
      </c>
      <c r="L118" s="10">
        <v>26.0</v>
      </c>
      <c r="M118" s="48">
        <v>0.0088</v>
      </c>
      <c r="N118" s="48">
        <v>0.0124</v>
      </c>
      <c r="O118" s="48">
        <v>0.9783</v>
      </c>
      <c r="P118" s="48">
        <v>0.8462</v>
      </c>
      <c r="Q118" s="10">
        <v>1.0</v>
      </c>
      <c r="R118" s="10">
        <v>0.0</v>
      </c>
      <c r="S118" s="48">
        <v>0.0033</v>
      </c>
      <c r="T118" s="48">
        <v>0.0</v>
      </c>
      <c r="U118" s="193">
        <v>20900.0</v>
      </c>
      <c r="V118" s="193">
        <v>0.0</v>
      </c>
      <c r="W118" s="10">
        <v>1.0</v>
      </c>
      <c r="X118" s="10">
        <v>0.0</v>
      </c>
    </row>
    <row r="119" ht="15.75" customHeight="1">
      <c r="A119" s="19" t="s">
        <v>47</v>
      </c>
      <c r="B119" s="10" t="str">
        <f t="array" ref="B119">_xlfn.XLOOKUP(D119,'Referanc '!$A:$A,'Referanc '!$B:$B)</f>
        <v>Standing Table  - E1A</v>
      </c>
      <c r="C119" s="10" t="s">
        <v>354</v>
      </c>
      <c r="D119" s="10" t="s">
        <v>354</v>
      </c>
      <c r="E119" s="10" t="s">
        <v>561</v>
      </c>
      <c r="F119" s="10" t="str">
        <f t="array" ref="F119">_xlfn.XLOOKUP(D119,'Referanc '!$A:$A,'Referanc '!$E:$E)</f>
        <v>E1A</v>
      </c>
      <c r="G119" s="10">
        <v>104.0</v>
      </c>
      <c r="H119" s="10">
        <v>5.0</v>
      </c>
      <c r="I119" s="48">
        <v>0.0033</v>
      </c>
      <c r="J119" s="48">
        <v>0.0034</v>
      </c>
      <c r="K119" s="10">
        <v>144.0</v>
      </c>
      <c r="L119" s="10">
        <v>5.0</v>
      </c>
      <c r="M119" s="48">
        <v>0.0033</v>
      </c>
      <c r="N119" s="48">
        <v>0.0024</v>
      </c>
      <c r="O119" s="48">
        <v>0.8926</v>
      </c>
      <c r="P119" s="48">
        <v>0.6</v>
      </c>
      <c r="Q119" s="10">
        <v>1.0</v>
      </c>
      <c r="R119" s="10">
        <v>0.0</v>
      </c>
      <c r="S119" s="48">
        <v>0.0096</v>
      </c>
      <c r="T119" s="48">
        <v>0.0</v>
      </c>
      <c r="U119" s="193">
        <v>29900.0</v>
      </c>
      <c r="V119" s="193">
        <v>0.0</v>
      </c>
      <c r="W119" s="10">
        <v>1.0</v>
      </c>
      <c r="X119" s="10">
        <v>0.0</v>
      </c>
    </row>
    <row r="120" ht="15.75" customHeight="1">
      <c r="A120" s="19" t="s">
        <v>47</v>
      </c>
      <c r="B120" s="10" t="str">
        <f t="array" ref="B120">_xlfn.XLOOKUP(D120,'Referanc '!$A:$A,'Referanc '!$B:$B)</f>
        <v>Standing Table  - E1A</v>
      </c>
      <c r="C120" s="10" t="s">
        <v>369</v>
      </c>
      <c r="D120" s="10" t="s">
        <v>369</v>
      </c>
      <c r="E120" s="10" t="s">
        <v>582</v>
      </c>
      <c r="F120" s="10" t="str">
        <f t="array" ref="F120">_xlfn.XLOOKUP(D120,'Referanc '!$A:$A,'Referanc '!$E:$E)</f>
        <v>E1A</v>
      </c>
      <c r="G120" s="10">
        <v>133.0</v>
      </c>
      <c r="H120" s="10">
        <v>7.0</v>
      </c>
      <c r="I120" s="48">
        <v>0.0042</v>
      </c>
      <c r="J120" s="48">
        <v>0.0047</v>
      </c>
      <c r="K120" s="10">
        <v>164.0</v>
      </c>
      <c r="L120" s="10">
        <v>9.0</v>
      </c>
      <c r="M120" s="48">
        <v>0.0037</v>
      </c>
      <c r="N120" s="48">
        <v>0.0043</v>
      </c>
      <c r="O120" s="48">
        <v>0.9078</v>
      </c>
      <c r="P120" s="48">
        <v>1.0</v>
      </c>
      <c r="Q120" s="10">
        <v>1.0</v>
      </c>
      <c r="R120" s="10">
        <v>0.0</v>
      </c>
      <c r="S120" s="48">
        <v>0.0075</v>
      </c>
      <c r="T120" s="48">
        <v>0.0</v>
      </c>
      <c r="U120" s="193">
        <v>40000.0</v>
      </c>
      <c r="V120" s="193">
        <v>0.0</v>
      </c>
      <c r="W120" s="10">
        <v>1.0</v>
      </c>
      <c r="X120" s="10">
        <v>0.0</v>
      </c>
    </row>
    <row r="121" ht="15.75" customHeight="1">
      <c r="A121" s="19" t="s">
        <v>47</v>
      </c>
      <c r="B121" s="10" t="str">
        <f t="array" ref="B121">_xlfn.XLOOKUP(D121,'Referanc '!$A:$A,'Referanc '!$B:$B)</f>
        <v>Standing Table  - E1A</v>
      </c>
      <c r="C121" s="10" t="s">
        <v>372</v>
      </c>
      <c r="D121" s="10" t="s">
        <v>372</v>
      </c>
      <c r="E121" s="10" t="s">
        <v>584</v>
      </c>
      <c r="F121" s="10" t="str">
        <f t="array" ref="F121">_xlfn.XLOOKUP(D121,'Referanc '!$A:$A,'Referanc '!$E:$E)</f>
        <v>E1A</v>
      </c>
      <c r="G121" s="10">
        <v>73.0</v>
      </c>
      <c r="H121" s="10">
        <v>3.0</v>
      </c>
      <c r="I121" s="48">
        <v>0.0023</v>
      </c>
      <c r="J121" s="48">
        <v>0.002</v>
      </c>
      <c r="K121" s="10">
        <v>86.0</v>
      </c>
      <c r="L121" s="10">
        <v>3.0</v>
      </c>
      <c r="M121" s="48">
        <v>0.002</v>
      </c>
      <c r="N121" s="48">
        <v>0.0014</v>
      </c>
      <c r="O121" s="48">
        <v>0.8052</v>
      </c>
      <c r="P121" s="48">
        <v>0.5</v>
      </c>
      <c r="Q121" s="10">
        <v>1.0</v>
      </c>
      <c r="R121" s="10">
        <v>0.0</v>
      </c>
      <c r="S121" s="48">
        <v>0.0137</v>
      </c>
      <c r="T121" s="48">
        <v>0.0</v>
      </c>
      <c r="U121" s="193">
        <v>29900.0</v>
      </c>
      <c r="V121" s="193">
        <v>0.0</v>
      </c>
      <c r="W121" s="10">
        <v>1.0</v>
      </c>
      <c r="X121" s="10">
        <v>0.0</v>
      </c>
    </row>
    <row r="122" ht="15.75" customHeight="1">
      <c r="A122" s="10" t="s">
        <v>48</v>
      </c>
      <c r="B122" s="10" t="s">
        <v>211</v>
      </c>
      <c r="C122" s="10" t="s">
        <v>314</v>
      </c>
      <c r="D122" s="10" t="s">
        <v>314</v>
      </c>
      <c r="E122" s="10" t="s">
        <v>487</v>
      </c>
      <c r="F122" s="10" t="str">
        <f t="array" ref="F122">_xlfn.XLOOKUP(D122,'Referanc '!$A:$A,'Referanc '!$E:$E)</f>
        <v>Desk Cable Tray</v>
      </c>
      <c r="G122" s="191">
        <v>1234.0</v>
      </c>
      <c r="H122" s="10">
        <v>73.0</v>
      </c>
      <c r="I122" s="48">
        <v>0.0278</v>
      </c>
      <c r="J122" s="48">
        <v>0.0373</v>
      </c>
      <c r="K122" s="191">
        <v>1768.0</v>
      </c>
      <c r="L122" s="10">
        <v>115.0</v>
      </c>
      <c r="M122" s="48">
        <v>0.0289</v>
      </c>
      <c r="N122" s="48">
        <v>0.0415</v>
      </c>
      <c r="O122" s="48">
        <v>0.9836</v>
      </c>
      <c r="P122" s="48">
        <v>1.0</v>
      </c>
      <c r="Q122" s="10">
        <v>48.0</v>
      </c>
      <c r="R122" s="10">
        <v>5.0</v>
      </c>
      <c r="S122" s="48">
        <v>0.0389</v>
      </c>
      <c r="T122" s="48">
        <v>0.0685</v>
      </c>
      <c r="U122" s="193">
        <v>57421.44</v>
      </c>
      <c r="V122" s="193">
        <v>5864.44</v>
      </c>
      <c r="W122" s="10">
        <v>42.0</v>
      </c>
      <c r="X122" s="10">
        <v>2.0</v>
      </c>
    </row>
    <row r="123" ht="15.75" customHeight="1">
      <c r="A123" s="10" t="s">
        <v>48</v>
      </c>
      <c r="B123" s="10" t="str">
        <f t="array" ref="B123">_xlfn.XLOOKUP(D123,'Referanc '!$A:$A,'Referanc '!$B:$B)</f>
        <v>Standing Table  - SM3</v>
      </c>
      <c r="C123" s="10" t="s">
        <v>291</v>
      </c>
      <c r="D123" s="10" t="s">
        <v>291</v>
      </c>
      <c r="E123" s="10" t="s">
        <v>1026</v>
      </c>
      <c r="F123" s="10" t="str">
        <f t="array" ref="F123">_xlfn.XLOOKUP(D123,'Referanc '!$A:$A,'Referanc '!$E:$E)</f>
        <v>SM3</v>
      </c>
      <c r="G123" s="191">
        <v>6170.0</v>
      </c>
      <c r="H123" s="10">
        <v>217.0</v>
      </c>
      <c r="I123" s="48">
        <v>0.139</v>
      </c>
      <c r="J123" s="48">
        <v>0.1108</v>
      </c>
      <c r="K123" s="191">
        <v>8235.0</v>
      </c>
      <c r="L123" s="10">
        <v>288.0</v>
      </c>
      <c r="M123" s="48">
        <v>0.1346</v>
      </c>
      <c r="N123" s="48">
        <v>0.1039</v>
      </c>
      <c r="O123" s="48">
        <v>0.8025</v>
      </c>
      <c r="P123" s="48">
        <v>0.8114</v>
      </c>
      <c r="Q123" s="10">
        <v>33.0</v>
      </c>
      <c r="R123" s="10">
        <v>10.0</v>
      </c>
      <c r="S123" s="48">
        <v>0.0053</v>
      </c>
      <c r="T123" s="48">
        <v>0.0461</v>
      </c>
      <c r="U123" s="193">
        <v>698379.68</v>
      </c>
      <c r="V123" s="193">
        <v>212000.0</v>
      </c>
      <c r="W123" s="10">
        <v>26.0</v>
      </c>
      <c r="X123" s="10">
        <v>3.0</v>
      </c>
    </row>
    <row r="124" ht="15.75" customHeight="1">
      <c r="A124" s="10" t="s">
        <v>48</v>
      </c>
      <c r="B124" s="10" t="str">
        <f t="array" ref="B124">_xlfn.XLOOKUP(D124,'Referanc '!$A:$A,'Referanc '!$B:$B)</f>
        <v>Standing Table  - SM3</v>
      </c>
      <c r="C124" s="10" t="s">
        <v>301</v>
      </c>
      <c r="D124" s="10" t="s">
        <v>301</v>
      </c>
      <c r="E124" s="10" t="s">
        <v>1028</v>
      </c>
      <c r="F124" s="10" t="str">
        <f t="array" ref="F124">_xlfn.XLOOKUP(D124,'Referanc '!$A:$A,'Referanc '!$E:$E)</f>
        <v>SM3</v>
      </c>
      <c r="G124" s="191">
        <v>3743.0</v>
      </c>
      <c r="H124" s="10">
        <v>174.0</v>
      </c>
      <c r="I124" s="48">
        <v>0.0843</v>
      </c>
      <c r="J124" s="48">
        <v>0.0888</v>
      </c>
      <c r="K124" s="191">
        <v>5169.0</v>
      </c>
      <c r="L124" s="10">
        <v>252.0</v>
      </c>
      <c r="M124" s="48">
        <v>0.0845</v>
      </c>
      <c r="N124" s="48">
        <v>0.0909</v>
      </c>
      <c r="O124" s="48">
        <v>0.9062</v>
      </c>
      <c r="P124" s="48">
        <v>0.8466</v>
      </c>
      <c r="Q124" s="10">
        <v>25.0</v>
      </c>
      <c r="R124" s="10">
        <v>0.0</v>
      </c>
      <c r="S124" s="48">
        <v>0.0067</v>
      </c>
      <c r="T124" s="48">
        <v>0.0</v>
      </c>
      <c r="U124" s="193">
        <v>618825.44</v>
      </c>
      <c r="V124" s="193">
        <v>0.0</v>
      </c>
      <c r="W124" s="10">
        <v>25.0</v>
      </c>
      <c r="X124" s="10">
        <v>0.0</v>
      </c>
    </row>
    <row r="125" ht="15.75" customHeight="1">
      <c r="A125" s="10" t="s">
        <v>48</v>
      </c>
      <c r="B125" s="10" t="str">
        <f t="array" ref="B125">_xlfn.XLOOKUP(D125,'Referanc '!$A:$A,'Referanc '!$B:$B)</f>
        <v>Standing Table  - SM3</v>
      </c>
      <c r="C125" s="10" t="s">
        <v>304</v>
      </c>
      <c r="D125" s="10" t="s">
        <v>304</v>
      </c>
      <c r="E125" s="10" t="s">
        <v>580</v>
      </c>
      <c r="F125" s="10" t="str">
        <f t="array" ref="F125">_xlfn.XLOOKUP(D125,'Referanc '!$A:$A,'Referanc '!$E:$E)</f>
        <v>SM3</v>
      </c>
      <c r="G125" s="191">
        <v>5836.0</v>
      </c>
      <c r="H125" s="10">
        <v>221.0</v>
      </c>
      <c r="I125" s="48">
        <v>0.1315</v>
      </c>
      <c r="J125" s="48">
        <v>0.1128</v>
      </c>
      <c r="K125" s="191">
        <v>8097.0</v>
      </c>
      <c r="L125" s="10">
        <v>303.0</v>
      </c>
      <c r="M125" s="48">
        <v>0.1324</v>
      </c>
      <c r="N125" s="48">
        <v>0.1093</v>
      </c>
      <c r="O125" s="48">
        <v>0.7684</v>
      </c>
      <c r="P125" s="48">
        <v>0.8228</v>
      </c>
      <c r="Q125" s="10">
        <v>23.0</v>
      </c>
      <c r="R125" s="10">
        <v>1.0</v>
      </c>
      <c r="S125" s="48">
        <v>0.0039</v>
      </c>
      <c r="T125" s="48">
        <v>0.0045</v>
      </c>
      <c r="U125" s="193">
        <v>486379.68</v>
      </c>
      <c r="V125" s="193">
        <v>20854.24</v>
      </c>
      <c r="W125" s="10">
        <v>23.0</v>
      </c>
      <c r="X125" s="10">
        <v>1.0</v>
      </c>
    </row>
    <row r="126" ht="15.75" customHeight="1">
      <c r="A126" s="10" t="s">
        <v>48</v>
      </c>
      <c r="B126" s="10" t="str">
        <f t="array" ref="B126">_xlfn.XLOOKUP(D126,'Referanc '!$A:$A,'Referanc '!$B:$B)</f>
        <v>Standing Table  - M3</v>
      </c>
      <c r="C126" s="10" t="s">
        <v>330</v>
      </c>
      <c r="D126" s="10" t="s">
        <v>330</v>
      </c>
      <c r="E126" s="10" t="s">
        <v>1029</v>
      </c>
      <c r="F126" s="10" t="str">
        <f t="array" ref="F126">_xlfn.XLOOKUP(D126,'Referanc '!$A:$A,'Referanc '!$E:$E)</f>
        <v>M3</v>
      </c>
      <c r="G126" s="191">
        <v>4086.0</v>
      </c>
      <c r="H126" s="10">
        <v>147.0</v>
      </c>
      <c r="I126" s="48">
        <v>0.0921</v>
      </c>
      <c r="J126" s="48">
        <v>0.075</v>
      </c>
      <c r="K126" s="191">
        <v>6419.0</v>
      </c>
      <c r="L126" s="10">
        <v>278.0</v>
      </c>
      <c r="M126" s="48">
        <v>0.1049</v>
      </c>
      <c r="N126" s="48">
        <v>0.1003</v>
      </c>
      <c r="O126" s="48">
        <v>0.9002</v>
      </c>
      <c r="P126" s="48">
        <v>0.845</v>
      </c>
      <c r="Q126" s="10">
        <v>22.0</v>
      </c>
      <c r="R126" s="10">
        <v>1.0</v>
      </c>
      <c r="S126" s="48">
        <v>0.0054</v>
      </c>
      <c r="T126" s="48">
        <v>0.0068</v>
      </c>
      <c r="U126" s="193">
        <v>325978.0</v>
      </c>
      <c r="V126" s="193">
        <v>14799.0</v>
      </c>
      <c r="W126" s="10">
        <v>22.0</v>
      </c>
      <c r="X126" s="10">
        <v>1.0</v>
      </c>
    </row>
    <row r="127" ht="15.75" customHeight="1">
      <c r="A127" s="10" t="s">
        <v>48</v>
      </c>
      <c r="B127" s="10" t="str">
        <f t="array" ref="B127">_xlfn.XLOOKUP(D127,'Referanc '!$A:$A,'Referanc '!$B:$B)</f>
        <v>Standing Table  - SM3</v>
      </c>
      <c r="C127" s="10" t="s">
        <v>296</v>
      </c>
      <c r="D127" s="10" t="s">
        <v>296</v>
      </c>
      <c r="E127" s="10" t="s">
        <v>563</v>
      </c>
      <c r="F127" s="10" t="str">
        <f t="array" ref="F127">_xlfn.XLOOKUP(D127,'Referanc '!$A:$A,'Referanc '!$E:$E)</f>
        <v>SM3</v>
      </c>
      <c r="G127" s="191">
        <v>2682.0</v>
      </c>
      <c r="H127" s="10">
        <v>103.0</v>
      </c>
      <c r="I127" s="48">
        <v>0.0604</v>
      </c>
      <c r="J127" s="48">
        <v>0.0526</v>
      </c>
      <c r="K127" s="191">
        <v>3539.0</v>
      </c>
      <c r="L127" s="10">
        <v>146.0</v>
      </c>
      <c r="M127" s="48">
        <v>0.0579</v>
      </c>
      <c r="N127" s="48">
        <v>0.0527</v>
      </c>
      <c r="O127" s="48">
        <v>0.8431</v>
      </c>
      <c r="P127" s="48">
        <v>0.8065</v>
      </c>
      <c r="Q127" s="10">
        <v>18.0</v>
      </c>
      <c r="R127" s="10">
        <v>1.0</v>
      </c>
      <c r="S127" s="48">
        <v>0.0067</v>
      </c>
      <c r="T127" s="48">
        <v>0.0097</v>
      </c>
      <c r="U127" s="193">
        <v>446008.48</v>
      </c>
      <c r="V127" s="193">
        <v>24800.0</v>
      </c>
      <c r="W127" s="10">
        <v>18.0</v>
      </c>
      <c r="X127" s="10">
        <v>1.0</v>
      </c>
    </row>
    <row r="128" ht="15.75" customHeight="1">
      <c r="A128" s="10" t="s">
        <v>48</v>
      </c>
      <c r="B128" s="10" t="str">
        <f t="array" ref="B128">_xlfn.XLOOKUP(D128,'Referanc '!$A:$A,'Referanc '!$B:$B)</f>
        <v>Standing Table - All Frames</v>
      </c>
      <c r="C128" s="10" t="s">
        <v>298</v>
      </c>
      <c r="D128" s="10" t="s">
        <v>298</v>
      </c>
      <c r="E128" s="10" t="s">
        <v>1000</v>
      </c>
      <c r="F128" s="10" t="str">
        <f t="array" ref="F128">_xlfn.XLOOKUP(D128,'Referanc '!$A:$A,'Referanc '!$E:$E)</f>
        <v>SM3</v>
      </c>
      <c r="G128" s="191">
        <v>2032.0</v>
      </c>
      <c r="H128" s="10">
        <v>101.0</v>
      </c>
      <c r="I128" s="48">
        <v>0.0458</v>
      </c>
      <c r="J128" s="48">
        <v>0.0516</v>
      </c>
      <c r="K128" s="191">
        <v>2634.0</v>
      </c>
      <c r="L128" s="10">
        <v>134.0</v>
      </c>
      <c r="M128" s="48">
        <v>0.0431</v>
      </c>
      <c r="N128" s="48">
        <v>0.0484</v>
      </c>
      <c r="O128" s="48">
        <v>0.8297</v>
      </c>
      <c r="P128" s="48">
        <v>0.8261</v>
      </c>
      <c r="Q128" s="10">
        <v>13.0</v>
      </c>
      <c r="R128" s="10">
        <v>3.0</v>
      </c>
      <c r="S128" s="48">
        <v>0.0064</v>
      </c>
      <c r="T128" s="48">
        <v>0.0297</v>
      </c>
      <c r="U128" s="193">
        <v>236371.2</v>
      </c>
      <c r="V128" s="193">
        <v>54508.48</v>
      </c>
      <c r="W128" s="10">
        <v>13.0</v>
      </c>
      <c r="X128" s="10">
        <v>3.0</v>
      </c>
    </row>
    <row r="129" ht="15.75" customHeight="1">
      <c r="A129" s="10" t="s">
        <v>48</v>
      </c>
      <c r="B129" s="10" t="str">
        <f t="array" ref="B129">_xlfn.XLOOKUP(D129,'Referanc '!$A:$A,'Referanc '!$B:$B)</f>
        <v>Extension &amp; Holder</v>
      </c>
      <c r="C129" s="10" t="s">
        <v>338</v>
      </c>
      <c r="D129" s="10" t="s">
        <v>338</v>
      </c>
      <c r="E129" s="10" t="s">
        <v>586</v>
      </c>
      <c r="F129" s="10" t="str">
        <f t="array" ref="F129">_xlfn.XLOOKUP(D129,'Referanc '!$A:$A,'Referanc '!$E:$E)</f>
        <v>Extension Board Holder</v>
      </c>
      <c r="G129" s="10">
        <v>142.0</v>
      </c>
      <c r="H129" s="10">
        <v>4.0</v>
      </c>
      <c r="I129" s="48">
        <v>0.0032</v>
      </c>
      <c r="J129" s="48">
        <v>0.002</v>
      </c>
      <c r="K129" s="10">
        <v>212.0</v>
      </c>
      <c r="L129" s="10">
        <v>5.0</v>
      </c>
      <c r="M129" s="48">
        <v>0.0035</v>
      </c>
      <c r="N129" s="48">
        <v>0.0018</v>
      </c>
      <c r="O129" s="48">
        <v>1.0</v>
      </c>
      <c r="P129" s="48">
        <v>1.0</v>
      </c>
      <c r="Q129" s="10">
        <v>16.0</v>
      </c>
      <c r="R129" s="10">
        <v>3.0</v>
      </c>
      <c r="S129" s="48">
        <v>0.1127</v>
      </c>
      <c r="T129" s="48">
        <v>0.75</v>
      </c>
      <c r="U129" s="193">
        <v>15064.77</v>
      </c>
      <c r="V129" s="193">
        <v>2740.77</v>
      </c>
      <c r="W129" s="10">
        <v>11.0</v>
      </c>
      <c r="X129" s="10">
        <v>1.0</v>
      </c>
    </row>
    <row r="130" ht="15.75" customHeight="1">
      <c r="A130" s="10" t="s">
        <v>48</v>
      </c>
      <c r="B130" s="10" t="str">
        <f t="array" ref="B130">_xlfn.XLOOKUP(D130,'Referanc '!$A:$A,'Referanc '!$B:$B)</f>
        <v>Standing Table  - E2</v>
      </c>
      <c r="C130" s="10" t="s">
        <v>309</v>
      </c>
      <c r="D130" s="10" t="s">
        <v>309</v>
      </c>
      <c r="E130" s="10" t="s">
        <v>1032</v>
      </c>
      <c r="F130" s="10" t="str">
        <f t="array" ref="F130">_xlfn.XLOOKUP(D130,'Referanc '!$A:$A,'Referanc '!$E:$E)</f>
        <v>E2</v>
      </c>
      <c r="G130" s="10">
        <v>774.0</v>
      </c>
      <c r="H130" s="10">
        <v>19.0</v>
      </c>
      <c r="I130" s="48">
        <v>0.0174</v>
      </c>
      <c r="J130" s="48">
        <v>0.0097</v>
      </c>
      <c r="K130" s="191">
        <v>1028.0</v>
      </c>
      <c r="L130" s="10">
        <v>25.0</v>
      </c>
      <c r="M130" s="48">
        <v>0.0168</v>
      </c>
      <c r="N130" s="48">
        <v>0.009</v>
      </c>
      <c r="O130" s="48">
        <v>0.8933</v>
      </c>
      <c r="P130" s="48">
        <v>0.9091</v>
      </c>
      <c r="Q130" s="10">
        <v>9.0</v>
      </c>
      <c r="R130" s="10">
        <v>0.0</v>
      </c>
      <c r="S130" s="48">
        <v>0.0116</v>
      </c>
      <c r="T130" s="48">
        <v>0.0</v>
      </c>
      <c r="U130" s="193">
        <v>302100.0</v>
      </c>
      <c r="V130" s="193">
        <v>0.0</v>
      </c>
      <c r="W130" s="10">
        <v>9.0</v>
      </c>
      <c r="X130" s="10">
        <v>0.0</v>
      </c>
    </row>
    <row r="131" ht="15.75" customHeight="1">
      <c r="A131" s="10" t="s">
        <v>48</v>
      </c>
      <c r="B131" s="10" t="str">
        <f t="array" ref="B131">_xlfn.XLOOKUP(D131,'Referanc '!$A:$A,'Referanc '!$B:$B)</f>
        <v>Standing Desk Converter</v>
      </c>
      <c r="C131" s="10" t="s">
        <v>326</v>
      </c>
      <c r="D131" s="10" t="s">
        <v>326</v>
      </c>
      <c r="E131" s="10" t="s">
        <v>529</v>
      </c>
      <c r="F131" s="10" t="str">
        <f t="array" ref="F131">_xlfn.XLOOKUP(D131,'Referanc '!$A:$A,'Referanc '!$E:$E)</f>
        <v>Standing Desk Converter</v>
      </c>
      <c r="G131" s="10">
        <v>979.0</v>
      </c>
      <c r="H131" s="10">
        <v>37.0</v>
      </c>
      <c r="I131" s="48">
        <v>0.0221</v>
      </c>
      <c r="J131" s="48">
        <v>0.0189</v>
      </c>
      <c r="K131" s="191">
        <v>1301.0</v>
      </c>
      <c r="L131" s="10">
        <v>50.0</v>
      </c>
      <c r="M131" s="48">
        <v>0.0213</v>
      </c>
      <c r="N131" s="48">
        <v>0.018</v>
      </c>
      <c r="O131" s="48">
        <v>0.9477</v>
      </c>
      <c r="P131" s="48">
        <v>1.0</v>
      </c>
      <c r="Q131" s="10">
        <v>7.0</v>
      </c>
      <c r="R131" s="10">
        <v>2.0</v>
      </c>
      <c r="S131" s="48">
        <v>0.0072</v>
      </c>
      <c r="T131" s="48">
        <v>0.0541</v>
      </c>
      <c r="U131" s="193">
        <v>41300.0</v>
      </c>
      <c r="V131" s="193">
        <v>11800.0</v>
      </c>
      <c r="W131" s="10">
        <v>7.0</v>
      </c>
      <c r="X131" s="10">
        <v>2.0</v>
      </c>
    </row>
    <row r="132" ht="15.75" customHeight="1">
      <c r="A132" s="10" t="s">
        <v>48</v>
      </c>
      <c r="B132" s="10" t="str">
        <f t="array" ref="B132">_xlfn.XLOOKUP(D132,'Referanc '!$A:$A,'Referanc '!$B:$B)</f>
        <v>Standing Table  - E2</v>
      </c>
      <c r="C132" s="10" t="s">
        <v>311</v>
      </c>
      <c r="D132" s="10" t="s">
        <v>311</v>
      </c>
      <c r="E132" s="10" t="s">
        <v>1033</v>
      </c>
      <c r="F132" s="10" t="str">
        <f t="array" ref="F132">_xlfn.XLOOKUP(D132,'Referanc '!$A:$A,'Referanc '!$E:$E)</f>
        <v>E2</v>
      </c>
      <c r="G132" s="191">
        <v>1161.0</v>
      </c>
      <c r="H132" s="10">
        <v>43.0</v>
      </c>
      <c r="I132" s="48">
        <v>0.0262</v>
      </c>
      <c r="J132" s="48">
        <v>0.0219</v>
      </c>
      <c r="K132" s="191">
        <v>1647.0</v>
      </c>
      <c r="L132" s="10">
        <v>55.0</v>
      </c>
      <c r="M132" s="48">
        <v>0.0269</v>
      </c>
      <c r="N132" s="48">
        <v>0.0198</v>
      </c>
      <c r="O132" s="48">
        <v>0.9244</v>
      </c>
      <c r="P132" s="48">
        <v>0.7813</v>
      </c>
      <c r="Q132" s="10">
        <v>7.0</v>
      </c>
      <c r="R132" s="10">
        <v>2.0</v>
      </c>
      <c r="S132" s="48">
        <v>0.006</v>
      </c>
      <c r="T132" s="48">
        <v>0.0465</v>
      </c>
      <c r="U132" s="193">
        <v>237300.0</v>
      </c>
      <c r="V132" s="193">
        <v>67800.0</v>
      </c>
      <c r="W132" s="10">
        <v>7.0</v>
      </c>
      <c r="X132" s="10">
        <v>2.0</v>
      </c>
    </row>
    <row r="133" ht="15.75" customHeight="1">
      <c r="A133" s="10" t="s">
        <v>48</v>
      </c>
      <c r="B133" s="10" t="str">
        <f t="array" ref="B133">_xlfn.XLOOKUP(D133,'Referanc '!$A:$A,'Referanc '!$B:$B)</f>
        <v>Standing Table  - E2</v>
      </c>
      <c r="C133" s="10" t="s">
        <v>313</v>
      </c>
      <c r="D133" s="10" t="s">
        <v>313</v>
      </c>
      <c r="E133" s="10" t="s">
        <v>1034</v>
      </c>
      <c r="F133" s="10" t="str">
        <f t="array" ref="F133">_xlfn.XLOOKUP(D133,'Referanc '!$A:$A,'Referanc '!$E:$E)</f>
        <v>E2</v>
      </c>
      <c r="G133" s="10">
        <v>523.0</v>
      </c>
      <c r="H133" s="10">
        <v>22.0</v>
      </c>
      <c r="I133" s="48">
        <v>0.0118</v>
      </c>
      <c r="J133" s="48">
        <v>0.0112</v>
      </c>
      <c r="K133" s="10">
        <v>699.0</v>
      </c>
      <c r="L133" s="10">
        <v>23.0</v>
      </c>
      <c r="M133" s="48">
        <v>0.0114</v>
      </c>
      <c r="N133" s="48">
        <v>0.0083</v>
      </c>
      <c r="O133" s="48">
        <v>0.8262</v>
      </c>
      <c r="P133" s="48">
        <v>0.7273</v>
      </c>
      <c r="Q133" s="10">
        <v>7.0</v>
      </c>
      <c r="R133" s="10">
        <v>0.0</v>
      </c>
      <c r="S133" s="48">
        <v>0.0134</v>
      </c>
      <c r="T133" s="48">
        <v>0.0</v>
      </c>
      <c r="U133" s="193">
        <v>214300.0</v>
      </c>
      <c r="V133" s="193">
        <v>0.0</v>
      </c>
      <c r="W133" s="10">
        <v>7.0</v>
      </c>
      <c r="X133" s="10">
        <v>0.0</v>
      </c>
    </row>
    <row r="134" ht="15.75" customHeight="1">
      <c r="A134" s="10" t="s">
        <v>48</v>
      </c>
      <c r="B134" s="10" t="str">
        <f t="array" ref="B134">_xlfn.XLOOKUP(D134,'Referanc '!$A:$A,'Referanc '!$B:$B)</f>
        <v>Standing Table - All Frames</v>
      </c>
      <c r="C134" s="10" t="s">
        <v>306</v>
      </c>
      <c r="D134" s="10" t="s">
        <v>306</v>
      </c>
      <c r="E134" s="10" t="s">
        <v>1035</v>
      </c>
      <c r="F134" s="10" t="str">
        <f t="array" ref="F134">_xlfn.XLOOKUP(D134,'Referanc '!$A:$A,'Referanc '!$E:$E)</f>
        <v>E2</v>
      </c>
      <c r="G134" s="191">
        <v>1627.0</v>
      </c>
      <c r="H134" s="10">
        <v>71.0</v>
      </c>
      <c r="I134" s="48">
        <v>0.0367</v>
      </c>
      <c r="J134" s="48">
        <v>0.0362</v>
      </c>
      <c r="K134" s="191">
        <v>2254.0</v>
      </c>
      <c r="L134" s="10">
        <v>112.0</v>
      </c>
      <c r="M134" s="48">
        <v>0.0368</v>
      </c>
      <c r="N134" s="48">
        <v>0.0404</v>
      </c>
      <c r="O134" s="48">
        <v>0.8794</v>
      </c>
      <c r="P134" s="48">
        <v>0.9367</v>
      </c>
      <c r="Q134" s="10">
        <v>6.0</v>
      </c>
      <c r="R134" s="10">
        <v>1.0</v>
      </c>
      <c r="S134" s="48">
        <v>0.0037</v>
      </c>
      <c r="T134" s="48">
        <v>0.0141</v>
      </c>
      <c r="U134" s="193">
        <v>163000.0</v>
      </c>
      <c r="V134" s="193">
        <v>27500.0</v>
      </c>
      <c r="W134" s="10">
        <v>6.0</v>
      </c>
      <c r="X134" s="10">
        <v>1.0</v>
      </c>
    </row>
    <row r="135" ht="15.75" customHeight="1">
      <c r="A135" s="10" t="s">
        <v>48</v>
      </c>
      <c r="B135" s="10" t="str">
        <f t="array" ref="B135">_xlfn.XLOOKUP(D135,'Referanc '!$A:$A,'Referanc '!$B:$B)</f>
        <v>Standing Table  - SM3</v>
      </c>
      <c r="C135" s="10" t="s">
        <v>370</v>
      </c>
      <c r="D135" s="10" t="s">
        <v>370</v>
      </c>
      <c r="E135" s="10" t="s">
        <v>580</v>
      </c>
      <c r="F135" s="10" t="str">
        <f t="array" ref="F135">_xlfn.XLOOKUP(D135,'Referanc '!$A:$A,'Referanc '!$E:$E)</f>
        <v>SM3</v>
      </c>
      <c r="G135" s="10">
        <v>847.0</v>
      </c>
      <c r="H135" s="10">
        <v>35.0</v>
      </c>
      <c r="I135" s="48">
        <v>0.0191</v>
      </c>
      <c r="J135" s="48">
        <v>0.0179</v>
      </c>
      <c r="K135" s="191">
        <v>1161.0</v>
      </c>
      <c r="L135" s="10">
        <v>43.0</v>
      </c>
      <c r="M135" s="48">
        <v>0.019</v>
      </c>
      <c r="N135" s="48">
        <v>0.0155</v>
      </c>
      <c r="O135" s="48">
        <v>0.9109</v>
      </c>
      <c r="P135" s="48">
        <v>0.8919</v>
      </c>
      <c r="Q135" s="10">
        <v>6.0</v>
      </c>
      <c r="R135" s="10">
        <v>0.0</v>
      </c>
      <c r="S135" s="48">
        <v>0.0071</v>
      </c>
      <c r="T135" s="48">
        <v>0.0</v>
      </c>
      <c r="U135" s="193">
        <v>126716.96</v>
      </c>
      <c r="V135" s="193">
        <v>0.0</v>
      </c>
      <c r="W135" s="10">
        <v>6.0</v>
      </c>
      <c r="X135" s="10">
        <v>0.0</v>
      </c>
    </row>
    <row r="136" ht="15.75" customHeight="1">
      <c r="A136" s="10" t="s">
        <v>48</v>
      </c>
      <c r="B136" s="10" t="str">
        <f t="array" ref="B136">_xlfn.XLOOKUP(D136,'Referanc '!$A:$A,'Referanc '!$B:$B)</f>
        <v>Standing Table  - E3</v>
      </c>
      <c r="C136" s="10" t="s">
        <v>365</v>
      </c>
      <c r="D136" s="10" t="s">
        <v>365</v>
      </c>
      <c r="E136" s="10" t="s">
        <v>1037</v>
      </c>
      <c r="F136" s="10" t="str">
        <f t="array" ref="F136">_xlfn.XLOOKUP(D136,'Referanc '!$A:$A,'Referanc '!$E:$E)</f>
        <v>E3</v>
      </c>
      <c r="G136" s="10">
        <v>484.0</v>
      </c>
      <c r="H136" s="10">
        <v>20.0</v>
      </c>
      <c r="I136" s="48">
        <v>0.0109</v>
      </c>
      <c r="J136" s="48">
        <v>0.0102</v>
      </c>
      <c r="K136" s="10">
        <v>693.0</v>
      </c>
      <c r="L136" s="10">
        <v>32.0</v>
      </c>
      <c r="M136" s="48">
        <v>0.0113</v>
      </c>
      <c r="N136" s="48">
        <v>0.0115</v>
      </c>
      <c r="O136" s="48">
        <v>0.8844</v>
      </c>
      <c r="P136" s="48">
        <v>0.6667</v>
      </c>
      <c r="Q136" s="10">
        <v>5.0</v>
      </c>
      <c r="R136" s="10">
        <v>2.0</v>
      </c>
      <c r="S136" s="48">
        <v>0.0103</v>
      </c>
      <c r="T136" s="48">
        <v>0.1</v>
      </c>
      <c r="U136" s="193">
        <v>204847.46</v>
      </c>
      <c r="V136" s="193">
        <v>82000.0</v>
      </c>
      <c r="W136" s="10">
        <v>5.0</v>
      </c>
      <c r="X136" s="10">
        <v>2.0</v>
      </c>
    </row>
    <row r="137" ht="15.75" customHeight="1">
      <c r="A137" s="10" t="s">
        <v>48</v>
      </c>
      <c r="B137" s="10" t="str">
        <f t="array" ref="B137">_xlfn.XLOOKUP(D137,'Referanc '!$A:$A,'Referanc '!$B:$B)</f>
        <v>Standing Table  - E4</v>
      </c>
      <c r="C137" s="10" t="s">
        <v>375</v>
      </c>
      <c r="D137" s="10" t="s">
        <v>375</v>
      </c>
      <c r="E137" s="10" t="s">
        <v>588</v>
      </c>
      <c r="F137" s="10" t="str">
        <f t="array" ref="F137">_xlfn.XLOOKUP(D137,'Referanc '!$A:$A,'Referanc '!$E:$E)</f>
        <v>E4</v>
      </c>
      <c r="G137" s="10">
        <v>226.0</v>
      </c>
      <c r="H137" s="10">
        <v>12.0</v>
      </c>
      <c r="I137" s="48">
        <v>0.0051</v>
      </c>
      <c r="J137" s="48">
        <v>0.0061</v>
      </c>
      <c r="K137" s="10">
        <v>328.0</v>
      </c>
      <c r="L137" s="10">
        <v>15.0</v>
      </c>
      <c r="M137" s="48">
        <v>0.0054</v>
      </c>
      <c r="N137" s="48">
        <v>0.0054</v>
      </c>
      <c r="O137" s="48">
        <v>0.9426</v>
      </c>
      <c r="P137" s="48">
        <v>1.0</v>
      </c>
      <c r="Q137" s="10">
        <v>5.0</v>
      </c>
      <c r="R137" s="10">
        <v>0.0</v>
      </c>
      <c r="S137" s="48">
        <v>0.0221</v>
      </c>
      <c r="T137" s="48">
        <v>0.0</v>
      </c>
      <c r="U137" s="193">
        <v>125000.0</v>
      </c>
      <c r="V137" s="193">
        <v>0.0</v>
      </c>
      <c r="W137" s="10">
        <v>5.0</v>
      </c>
      <c r="X137" s="10">
        <v>0.0</v>
      </c>
    </row>
    <row r="138" ht="15.75" customHeight="1">
      <c r="A138" s="10" t="s">
        <v>48</v>
      </c>
      <c r="B138" s="10" t="str">
        <f t="array" ref="B138">_xlfn.XLOOKUP(D138,'Referanc '!$A:$A,'Referanc '!$B:$B)</f>
        <v>Standing Table  - E2</v>
      </c>
      <c r="C138" s="10" t="s">
        <v>293</v>
      </c>
      <c r="D138" s="10" t="s">
        <v>293</v>
      </c>
      <c r="E138" s="10" t="s">
        <v>1039</v>
      </c>
      <c r="F138" s="10" t="str">
        <f t="array" ref="F138">_xlfn.XLOOKUP(D138,'Referanc '!$A:$A,'Referanc '!$E:$E)</f>
        <v>E2</v>
      </c>
      <c r="G138" s="191">
        <v>1137.0</v>
      </c>
      <c r="H138" s="10">
        <v>36.0</v>
      </c>
      <c r="I138" s="48">
        <v>0.0256</v>
      </c>
      <c r="J138" s="48">
        <v>0.0184</v>
      </c>
      <c r="K138" s="191">
        <v>1551.0</v>
      </c>
      <c r="L138" s="10">
        <v>50.0</v>
      </c>
      <c r="M138" s="48">
        <v>0.0254</v>
      </c>
      <c r="N138" s="48">
        <v>0.018</v>
      </c>
      <c r="O138" s="48">
        <v>0.8969</v>
      </c>
      <c r="P138" s="48">
        <v>0.9459</v>
      </c>
      <c r="Q138" s="10">
        <v>4.0</v>
      </c>
      <c r="R138" s="10">
        <v>0.0</v>
      </c>
      <c r="S138" s="48">
        <v>0.0035</v>
      </c>
      <c r="T138" s="48">
        <v>0.0</v>
      </c>
      <c r="U138" s="193">
        <v>123600.0</v>
      </c>
      <c r="V138" s="193">
        <v>0.0</v>
      </c>
      <c r="W138" s="10">
        <v>4.0</v>
      </c>
      <c r="X138" s="10">
        <v>0.0</v>
      </c>
    </row>
    <row r="139" ht="15.75" customHeight="1">
      <c r="A139" s="10" t="s">
        <v>48</v>
      </c>
      <c r="B139" s="10" t="str">
        <f t="array" ref="B139">_xlfn.XLOOKUP(D139,'Referanc '!$A:$A,'Referanc '!$B:$B)</f>
        <v>Extension &amp; Holder</v>
      </c>
      <c r="C139" s="10" t="s">
        <v>333</v>
      </c>
      <c r="D139" s="10" t="s">
        <v>333</v>
      </c>
      <c r="E139" s="10" t="s">
        <v>557</v>
      </c>
      <c r="F139" s="10" t="str">
        <f t="array" ref="F139">_xlfn.XLOOKUP(D139,'Referanc '!$A:$A,'Referanc '!$E:$E)</f>
        <v>Extension Board</v>
      </c>
      <c r="G139" s="10">
        <v>157.0</v>
      </c>
      <c r="H139" s="10">
        <v>10.0</v>
      </c>
      <c r="I139" s="48">
        <v>0.0035</v>
      </c>
      <c r="J139" s="48">
        <v>0.0051</v>
      </c>
      <c r="K139" s="10">
        <v>217.0</v>
      </c>
      <c r="L139" s="10">
        <v>11.0</v>
      </c>
      <c r="M139" s="48">
        <v>0.0035</v>
      </c>
      <c r="N139" s="48">
        <v>0.004</v>
      </c>
      <c r="O139" s="48">
        <v>0.8098</v>
      </c>
      <c r="P139" s="48">
        <v>0.8</v>
      </c>
      <c r="Q139" s="10">
        <v>3.0</v>
      </c>
      <c r="R139" s="10">
        <v>0.0</v>
      </c>
      <c r="S139" s="48">
        <v>0.0191</v>
      </c>
      <c r="T139" s="48">
        <v>0.0</v>
      </c>
      <c r="U139" s="193">
        <v>10881.0</v>
      </c>
      <c r="V139" s="193">
        <v>0.0</v>
      </c>
      <c r="W139" s="10">
        <v>3.0</v>
      </c>
      <c r="X139" s="10">
        <v>0.0</v>
      </c>
    </row>
    <row r="140" ht="15.75" customHeight="1">
      <c r="A140" s="10" t="s">
        <v>48</v>
      </c>
      <c r="B140" s="10" t="str">
        <f t="array" ref="B140">_xlfn.XLOOKUP(D140,'Referanc '!$A:$A,'Referanc '!$B:$B)</f>
        <v>Standing Table  - M4</v>
      </c>
      <c r="C140" s="10" t="s">
        <v>348</v>
      </c>
      <c r="D140" s="10" t="s">
        <v>348</v>
      </c>
      <c r="E140" s="10" t="s">
        <v>524</v>
      </c>
      <c r="F140" s="10" t="str">
        <f t="array" ref="F140">_xlfn.XLOOKUP(D140,'Referanc '!$A:$A,'Referanc '!$E:$E)</f>
        <v>M4</v>
      </c>
      <c r="G140" s="10">
        <v>863.0</v>
      </c>
      <c r="H140" s="10">
        <v>28.0</v>
      </c>
      <c r="I140" s="48">
        <v>0.0194</v>
      </c>
      <c r="J140" s="48">
        <v>0.0143</v>
      </c>
      <c r="K140" s="191">
        <v>1194.0</v>
      </c>
      <c r="L140" s="10">
        <v>51.0</v>
      </c>
      <c r="M140" s="48">
        <v>0.0195</v>
      </c>
      <c r="N140" s="48">
        <v>0.0184</v>
      </c>
      <c r="O140" s="48">
        <v>0.8776</v>
      </c>
      <c r="P140" s="48">
        <v>0.913</v>
      </c>
      <c r="Q140" s="10">
        <v>4.0</v>
      </c>
      <c r="R140" s="10">
        <v>2.0</v>
      </c>
      <c r="S140" s="48">
        <v>0.0046</v>
      </c>
      <c r="T140" s="48">
        <v>0.0714</v>
      </c>
      <c r="U140" s="193">
        <v>65010.0</v>
      </c>
      <c r="V140" s="193">
        <v>32010.0</v>
      </c>
      <c r="W140" s="10">
        <v>3.0</v>
      </c>
      <c r="X140" s="10">
        <v>1.0</v>
      </c>
    </row>
    <row r="141" ht="15.75" customHeight="1">
      <c r="A141" s="10" t="s">
        <v>48</v>
      </c>
      <c r="B141" s="10" t="str">
        <f t="array" ref="B141">_xlfn.XLOOKUP(D141,'Referanc '!$A:$A,'Referanc '!$B:$B)</f>
        <v>Standing Table  - E3</v>
      </c>
      <c r="C141" s="10" t="s">
        <v>376</v>
      </c>
      <c r="D141" s="10" t="s">
        <v>376</v>
      </c>
      <c r="E141" s="10" t="s">
        <v>590</v>
      </c>
      <c r="F141" s="10" t="str">
        <f t="array" ref="F141">_xlfn.XLOOKUP(D141,'Referanc '!$A:$A,'Referanc '!$E:$E)</f>
        <v>E3</v>
      </c>
      <c r="G141" s="10">
        <v>114.0</v>
      </c>
      <c r="H141" s="10">
        <v>12.0</v>
      </c>
      <c r="I141" s="48">
        <v>0.0026</v>
      </c>
      <c r="J141" s="48">
        <v>0.0061</v>
      </c>
      <c r="K141" s="10">
        <v>144.0</v>
      </c>
      <c r="L141" s="10">
        <v>16.0</v>
      </c>
      <c r="M141" s="48">
        <v>0.0024</v>
      </c>
      <c r="N141" s="48">
        <v>0.0058</v>
      </c>
      <c r="O141" s="48">
        <v>0.9328</v>
      </c>
      <c r="P141" s="48">
        <v>1.0</v>
      </c>
      <c r="Q141" s="10">
        <v>4.0</v>
      </c>
      <c r="R141" s="10">
        <v>2.0</v>
      </c>
      <c r="S141" s="48">
        <v>0.0351</v>
      </c>
      <c r="T141" s="48">
        <v>0.1667</v>
      </c>
      <c r="U141" s="193">
        <v>140000.0</v>
      </c>
      <c r="V141" s="193">
        <v>70000.0</v>
      </c>
      <c r="W141" s="10">
        <v>3.0</v>
      </c>
      <c r="X141" s="10">
        <v>1.0</v>
      </c>
    </row>
    <row r="142" ht="15.75" customHeight="1">
      <c r="A142" s="10" t="s">
        <v>48</v>
      </c>
      <c r="B142" s="10" t="str">
        <f t="array" ref="B142">_xlfn.XLOOKUP(D142,'Referanc '!$A:$A,'Referanc '!$B:$B)</f>
        <v>Standing Table  - E3</v>
      </c>
      <c r="C142" s="10" t="s">
        <v>377</v>
      </c>
      <c r="D142" s="10" t="s">
        <v>377</v>
      </c>
      <c r="E142" s="10" t="s">
        <v>592</v>
      </c>
      <c r="F142" s="10" t="str">
        <f t="array" ref="F142">_xlfn.XLOOKUP(D142,'Referanc '!$A:$A,'Referanc '!$E:$E)</f>
        <v>E3</v>
      </c>
      <c r="G142" s="10">
        <v>368.0</v>
      </c>
      <c r="H142" s="10">
        <v>16.0</v>
      </c>
      <c r="I142" s="48">
        <v>0.0083</v>
      </c>
      <c r="J142" s="48">
        <v>0.0082</v>
      </c>
      <c r="K142" s="10">
        <v>481.0</v>
      </c>
      <c r="L142" s="10">
        <v>16.0</v>
      </c>
      <c r="M142" s="48">
        <v>0.0079</v>
      </c>
      <c r="N142" s="48">
        <v>0.0058</v>
      </c>
      <c r="O142" s="48">
        <v>0.9864</v>
      </c>
      <c r="P142" s="48">
        <v>0.8125</v>
      </c>
      <c r="Q142" s="10">
        <v>3.0</v>
      </c>
      <c r="R142" s="10">
        <v>0.0</v>
      </c>
      <c r="S142" s="48">
        <v>0.0082</v>
      </c>
      <c r="T142" s="48">
        <v>0.0</v>
      </c>
      <c r="U142" s="193">
        <v>116923.73</v>
      </c>
      <c r="V142" s="193">
        <v>0.0</v>
      </c>
      <c r="W142" s="10">
        <v>3.0</v>
      </c>
      <c r="X142" s="10">
        <v>0.0</v>
      </c>
    </row>
    <row r="143" ht="15.75" customHeight="1">
      <c r="A143" s="10" t="s">
        <v>48</v>
      </c>
      <c r="B143" s="10" t="str">
        <f t="array" ref="B143">_xlfn.XLOOKUP(D143,'Referanc '!$A:$A,'Referanc '!$B:$B)</f>
        <v>Standing Table - All Frames</v>
      </c>
      <c r="C143" s="10" t="s">
        <v>368</v>
      </c>
      <c r="D143" s="10" t="s">
        <v>368</v>
      </c>
      <c r="E143" s="10" t="s">
        <v>578</v>
      </c>
      <c r="F143" s="10" t="str">
        <f t="array" ref="F143">_xlfn.XLOOKUP(D143,'Referanc '!$A:$A,'Referanc '!$E:$E)</f>
        <v>SM3</v>
      </c>
      <c r="G143" s="10">
        <v>249.0</v>
      </c>
      <c r="H143" s="10">
        <v>25.0</v>
      </c>
      <c r="I143" s="48">
        <v>0.0056</v>
      </c>
      <c r="J143" s="48">
        <v>0.0128</v>
      </c>
      <c r="K143" s="10">
        <v>352.0</v>
      </c>
      <c r="L143" s="10">
        <v>29.0</v>
      </c>
      <c r="M143" s="48">
        <v>0.0058</v>
      </c>
      <c r="N143" s="48">
        <v>0.0105</v>
      </c>
      <c r="O143" s="48">
        <v>0.8711</v>
      </c>
      <c r="P143" s="48">
        <v>0.9048</v>
      </c>
      <c r="Q143" s="10">
        <v>3.0</v>
      </c>
      <c r="R143" s="10">
        <v>0.0</v>
      </c>
      <c r="S143" s="48">
        <v>0.012</v>
      </c>
      <c r="T143" s="48">
        <v>0.0</v>
      </c>
      <c r="U143" s="193">
        <v>54254.24</v>
      </c>
      <c r="V143" s="193">
        <v>0.0</v>
      </c>
      <c r="W143" s="10">
        <v>3.0</v>
      </c>
      <c r="X143" s="10">
        <v>0.0</v>
      </c>
    </row>
    <row r="144" ht="15.75" customHeight="1">
      <c r="A144" s="10" t="s">
        <v>48</v>
      </c>
      <c r="B144" s="10" t="str">
        <f t="array" ref="B144">_xlfn.XLOOKUP(D144,'Referanc '!$A:$A,'Referanc '!$B:$B)</f>
        <v>Standing Table  - SM3</v>
      </c>
      <c r="C144" s="10" t="s">
        <v>358</v>
      </c>
      <c r="D144" s="10" t="s">
        <v>358</v>
      </c>
      <c r="E144" s="10" t="s">
        <v>563</v>
      </c>
      <c r="F144" s="10" t="str">
        <f t="array" ref="F144">_xlfn.XLOOKUP(D144,'Referanc '!$A:$A,'Referanc '!$E:$E)</f>
        <v>SM3</v>
      </c>
      <c r="G144" s="10">
        <v>530.0</v>
      </c>
      <c r="H144" s="10">
        <v>29.0</v>
      </c>
      <c r="I144" s="48">
        <v>0.0119</v>
      </c>
      <c r="J144" s="48">
        <v>0.0148</v>
      </c>
      <c r="K144" s="10">
        <v>764.0</v>
      </c>
      <c r="L144" s="10">
        <v>35.0</v>
      </c>
      <c r="M144" s="48">
        <v>0.0125</v>
      </c>
      <c r="N144" s="48">
        <v>0.0126</v>
      </c>
      <c r="O144" s="48">
        <v>0.9139</v>
      </c>
      <c r="P144" s="48">
        <v>0.8621</v>
      </c>
      <c r="Q144" s="10">
        <v>3.0</v>
      </c>
      <c r="R144" s="10">
        <v>0.0</v>
      </c>
      <c r="S144" s="48">
        <v>0.0057</v>
      </c>
      <c r="T144" s="48">
        <v>0.0</v>
      </c>
      <c r="U144" s="193">
        <v>74308.48</v>
      </c>
      <c r="V144" s="193">
        <v>0.0</v>
      </c>
      <c r="W144" s="10">
        <v>3.0</v>
      </c>
      <c r="X144" s="10">
        <v>0.0</v>
      </c>
    </row>
    <row r="145" ht="15.75" customHeight="1">
      <c r="A145" s="10" t="s">
        <v>48</v>
      </c>
      <c r="B145" s="10" t="str">
        <f t="array" ref="B145">_xlfn.XLOOKUP(D145,'Referanc '!$A:$A,'Referanc '!$B:$B)</f>
        <v>Standing Table  - SM3</v>
      </c>
      <c r="C145" s="10" t="s">
        <v>379</v>
      </c>
      <c r="D145" s="10" t="s">
        <v>379</v>
      </c>
      <c r="E145" s="10" t="s">
        <v>594</v>
      </c>
      <c r="F145" s="10" t="str">
        <f t="array" ref="F145">_xlfn.XLOOKUP(D145,'Referanc '!$A:$A,'Referanc '!$E:$E)</f>
        <v>SM3</v>
      </c>
      <c r="G145" s="10">
        <v>210.0</v>
      </c>
      <c r="H145" s="10">
        <v>18.0</v>
      </c>
      <c r="I145" s="48">
        <v>0.0047</v>
      </c>
      <c r="J145" s="48">
        <v>0.0092</v>
      </c>
      <c r="K145" s="10">
        <v>271.0</v>
      </c>
      <c r="L145" s="10">
        <v>38.0</v>
      </c>
      <c r="M145" s="48">
        <v>0.0044</v>
      </c>
      <c r="N145" s="48">
        <v>0.0137</v>
      </c>
      <c r="O145" s="48">
        <v>0.9151</v>
      </c>
      <c r="P145" s="48">
        <v>1.0</v>
      </c>
      <c r="Q145" s="10">
        <v>3.0</v>
      </c>
      <c r="R145" s="10">
        <v>1.0</v>
      </c>
      <c r="S145" s="48">
        <v>0.0143</v>
      </c>
      <c r="T145" s="48">
        <v>0.0556</v>
      </c>
      <c r="U145" s="193">
        <v>65854.24</v>
      </c>
      <c r="V145" s="193">
        <v>21500.0</v>
      </c>
      <c r="W145" s="10">
        <v>3.0</v>
      </c>
      <c r="X145" s="10">
        <v>1.0</v>
      </c>
    </row>
    <row r="146" ht="15.75" customHeight="1">
      <c r="A146" s="10" t="s">
        <v>48</v>
      </c>
      <c r="B146" s="10" t="str">
        <f t="array" ref="B146">_xlfn.XLOOKUP(D146,'Referanc '!$A:$A,'Referanc '!$B:$B)</f>
        <v>Extension &amp; Holder</v>
      </c>
      <c r="C146" s="10" t="s">
        <v>331</v>
      </c>
      <c r="D146" s="10" t="s">
        <v>331</v>
      </c>
      <c r="E146" s="10" t="s">
        <v>555</v>
      </c>
      <c r="F146" s="10" t="str">
        <f t="array" ref="F146">_xlfn.XLOOKUP(D146,'Referanc '!$A:$A,'Referanc '!$E:$E)</f>
        <v>Extension Board</v>
      </c>
      <c r="G146" s="10">
        <v>182.0</v>
      </c>
      <c r="H146" s="10">
        <v>16.0</v>
      </c>
      <c r="I146" s="48">
        <v>0.0041</v>
      </c>
      <c r="J146" s="48">
        <v>0.0082</v>
      </c>
      <c r="K146" s="10">
        <v>249.0</v>
      </c>
      <c r="L146" s="10">
        <v>22.0</v>
      </c>
      <c r="M146" s="48">
        <v>0.0041</v>
      </c>
      <c r="N146" s="48">
        <v>0.0079</v>
      </c>
      <c r="O146" s="48">
        <v>0.8099</v>
      </c>
      <c r="P146" s="48">
        <v>0.9091</v>
      </c>
      <c r="Q146" s="10">
        <v>5.0</v>
      </c>
      <c r="R146" s="10">
        <v>5.0</v>
      </c>
      <c r="S146" s="48">
        <v>0.0275</v>
      </c>
      <c r="T146" s="48">
        <v>0.3125</v>
      </c>
      <c r="U146" s="193">
        <v>20904.8</v>
      </c>
      <c r="V146" s="193">
        <v>20904.8</v>
      </c>
      <c r="W146" s="10">
        <v>2.0</v>
      </c>
      <c r="X146" s="10">
        <v>2.0</v>
      </c>
    </row>
    <row r="147" ht="15.75" customHeight="1">
      <c r="A147" s="10" t="s">
        <v>48</v>
      </c>
      <c r="B147" s="10" t="str">
        <f t="array" ref="B147">_xlfn.XLOOKUP(D147,'Referanc '!$A:$A,'Referanc '!$B:$B)</f>
        <v>TABLE TOP</v>
      </c>
      <c r="C147" s="10" t="s">
        <v>323</v>
      </c>
      <c r="D147" s="10" t="s">
        <v>323</v>
      </c>
      <c r="E147" s="10" t="s">
        <v>537</v>
      </c>
      <c r="F147" s="10" t="str">
        <f t="array" ref="F147">_xlfn.XLOOKUP(D147,'Referanc '!$A:$A,'Referanc '!$E:$E)</f>
        <v>TABLE TOP</v>
      </c>
      <c r="G147" s="10">
        <v>335.0</v>
      </c>
      <c r="H147" s="10">
        <v>11.0</v>
      </c>
      <c r="I147" s="48">
        <v>0.0075</v>
      </c>
      <c r="J147" s="48">
        <v>0.0056</v>
      </c>
      <c r="K147" s="10">
        <v>462.0</v>
      </c>
      <c r="L147" s="10">
        <v>17.0</v>
      </c>
      <c r="M147" s="48">
        <v>0.0076</v>
      </c>
      <c r="N147" s="48">
        <v>0.0061</v>
      </c>
      <c r="O147" s="48">
        <v>0.7841</v>
      </c>
      <c r="P147" s="48">
        <v>0.6667</v>
      </c>
      <c r="Q147" s="10">
        <v>2.0</v>
      </c>
      <c r="R147" s="10">
        <v>0.0</v>
      </c>
      <c r="S147" s="48">
        <v>0.006</v>
      </c>
      <c r="T147" s="48">
        <v>0.0</v>
      </c>
      <c r="U147" s="193">
        <v>14700.0</v>
      </c>
      <c r="V147" s="193">
        <v>0.0</v>
      </c>
      <c r="W147" s="10">
        <v>2.0</v>
      </c>
      <c r="X147" s="10">
        <v>0.0</v>
      </c>
    </row>
    <row r="148" ht="15.75" customHeight="1">
      <c r="A148" s="10" t="s">
        <v>48</v>
      </c>
      <c r="B148" s="10" t="str">
        <f t="array" ref="B148">_xlfn.XLOOKUP(D148,'Referanc '!$A:$A,'Referanc '!$B:$B)</f>
        <v>Single Leg Gas</v>
      </c>
      <c r="C148" s="10" t="s">
        <v>332</v>
      </c>
      <c r="D148" s="10" t="s">
        <v>332</v>
      </c>
      <c r="E148" s="10" t="s">
        <v>1015</v>
      </c>
      <c r="F148" s="10" t="str">
        <f t="array" ref="F148">_xlfn.XLOOKUP(D148,'Referanc '!$A:$A,'Referanc '!$E:$E)</f>
        <v>Single Leg Gas</v>
      </c>
      <c r="G148" s="10">
        <v>203.0</v>
      </c>
      <c r="H148" s="10">
        <v>13.0</v>
      </c>
      <c r="I148" s="48">
        <v>0.0046</v>
      </c>
      <c r="J148" s="48">
        <v>0.0066</v>
      </c>
      <c r="K148" s="10">
        <v>285.0</v>
      </c>
      <c r="L148" s="10">
        <v>16.0</v>
      </c>
      <c r="M148" s="48">
        <v>0.0047</v>
      </c>
      <c r="N148" s="48">
        <v>0.0058</v>
      </c>
      <c r="O148" s="48">
        <v>0.9019</v>
      </c>
      <c r="P148" s="48">
        <v>0.9286</v>
      </c>
      <c r="Q148" s="10">
        <v>2.0</v>
      </c>
      <c r="R148" s="10">
        <v>0.0</v>
      </c>
      <c r="S148" s="48">
        <v>0.0099</v>
      </c>
      <c r="T148" s="48">
        <v>0.0</v>
      </c>
      <c r="U148" s="193">
        <v>21800.0</v>
      </c>
      <c r="V148" s="193">
        <v>0.0</v>
      </c>
      <c r="W148" s="10">
        <v>2.0</v>
      </c>
      <c r="X148" s="10">
        <v>0.0</v>
      </c>
    </row>
    <row r="149" ht="15.75" customHeight="1">
      <c r="A149" s="10" t="s">
        <v>48</v>
      </c>
      <c r="B149" s="10" t="str">
        <f t="array" ref="B149">_xlfn.XLOOKUP(D149,'Referanc '!$A:$A,'Referanc '!$B:$B)</f>
        <v>Extension &amp; Holder</v>
      </c>
      <c r="C149" s="10" t="s">
        <v>308</v>
      </c>
      <c r="D149" s="10" t="s">
        <v>308</v>
      </c>
      <c r="E149" s="10" t="s">
        <v>484</v>
      </c>
      <c r="F149" s="10" t="str">
        <f t="array" ref="F149">_xlfn.XLOOKUP(D149,'Referanc '!$A:$A,'Referanc '!$E:$E)</f>
        <v>Extension Board Holder</v>
      </c>
      <c r="G149" s="10">
        <v>177.0</v>
      </c>
      <c r="H149" s="10">
        <v>8.0</v>
      </c>
      <c r="I149" s="48">
        <v>0.004</v>
      </c>
      <c r="J149" s="48">
        <v>0.0041</v>
      </c>
      <c r="K149" s="10">
        <v>234.0</v>
      </c>
      <c r="L149" s="10">
        <v>11.0</v>
      </c>
      <c r="M149" s="48">
        <v>0.0038</v>
      </c>
      <c r="N149" s="48">
        <v>0.004</v>
      </c>
      <c r="O149" s="48">
        <v>0.8894</v>
      </c>
      <c r="P149" s="48">
        <v>0.75</v>
      </c>
      <c r="Q149" s="10">
        <v>5.0</v>
      </c>
      <c r="R149" s="10">
        <v>0.0</v>
      </c>
      <c r="S149" s="48">
        <v>0.0282</v>
      </c>
      <c r="T149" s="48">
        <v>0.0</v>
      </c>
      <c r="U149" s="193">
        <v>6750.0</v>
      </c>
      <c r="V149" s="193">
        <v>0.0</v>
      </c>
      <c r="W149" s="10">
        <v>2.0</v>
      </c>
      <c r="X149" s="10">
        <v>0.0</v>
      </c>
    </row>
    <row r="150" ht="15.75" customHeight="1">
      <c r="A150" s="10" t="s">
        <v>48</v>
      </c>
      <c r="B150" s="10" t="str">
        <f t="array" ref="B150">_xlfn.XLOOKUP(D150,'Referanc '!$A:$A,'Referanc '!$B:$B)</f>
        <v>Monitor Arm Stand</v>
      </c>
      <c r="C150" s="10" t="s">
        <v>342</v>
      </c>
      <c r="D150" s="10" t="s">
        <v>342</v>
      </c>
      <c r="E150" s="10" t="s">
        <v>522</v>
      </c>
      <c r="F150" s="10" t="str">
        <f t="array" ref="F150">_xlfn.XLOOKUP(D150,'Referanc '!$A:$A,'Referanc '!$E:$E)</f>
        <v>Monitor Arm Stand</v>
      </c>
      <c r="G150" s="191">
        <v>1029.0</v>
      </c>
      <c r="H150" s="10">
        <v>56.0</v>
      </c>
      <c r="I150" s="48">
        <v>0.0232</v>
      </c>
      <c r="J150" s="48">
        <v>0.0286</v>
      </c>
      <c r="K150" s="191">
        <v>1294.0</v>
      </c>
      <c r="L150" s="10">
        <v>71.0</v>
      </c>
      <c r="M150" s="48">
        <v>0.0212</v>
      </c>
      <c r="N150" s="48">
        <v>0.0256</v>
      </c>
      <c r="O150" s="48">
        <v>0.9472</v>
      </c>
      <c r="P150" s="48">
        <v>0.75</v>
      </c>
      <c r="Q150" s="10">
        <v>2.0</v>
      </c>
      <c r="R150" s="10">
        <v>0.0</v>
      </c>
      <c r="S150" s="48">
        <v>0.0019</v>
      </c>
      <c r="T150" s="48">
        <v>0.0</v>
      </c>
      <c r="U150" s="193">
        <v>17800.0</v>
      </c>
      <c r="V150" s="193">
        <v>0.0</v>
      </c>
      <c r="W150" s="10">
        <v>2.0</v>
      </c>
      <c r="X150" s="10">
        <v>0.0</v>
      </c>
    </row>
    <row r="151" ht="15.75" customHeight="1">
      <c r="A151" s="10" t="s">
        <v>48</v>
      </c>
      <c r="B151" s="10" t="str">
        <f t="array" ref="B151">_xlfn.XLOOKUP(D151,'Referanc '!$A:$A,'Referanc '!$B:$B)</f>
        <v>Standing Table  - E3</v>
      </c>
      <c r="C151" s="10" t="s">
        <v>381</v>
      </c>
      <c r="D151" s="10" t="s">
        <v>381</v>
      </c>
      <c r="E151" s="10" t="s">
        <v>596</v>
      </c>
      <c r="F151" s="10" t="str">
        <f t="array" ref="F151">_xlfn.XLOOKUP(D151,'Referanc '!$A:$A,'Referanc '!$E:$E)</f>
        <v>E3</v>
      </c>
      <c r="G151" s="10">
        <v>135.0</v>
      </c>
      <c r="H151" s="10">
        <v>3.0</v>
      </c>
      <c r="I151" s="48">
        <v>0.003</v>
      </c>
      <c r="J151" s="48">
        <v>0.0015</v>
      </c>
      <c r="K151" s="10">
        <v>181.0</v>
      </c>
      <c r="L151" s="10">
        <v>3.0</v>
      </c>
      <c r="M151" s="48">
        <v>0.003</v>
      </c>
      <c r="N151" s="48">
        <v>0.0011</v>
      </c>
      <c r="O151" s="48">
        <v>0.8571</v>
      </c>
      <c r="P151" s="48">
        <v>1.0</v>
      </c>
      <c r="Q151" s="10">
        <v>2.0</v>
      </c>
      <c r="R151" s="10">
        <v>0.0</v>
      </c>
      <c r="S151" s="48">
        <v>0.0148</v>
      </c>
      <c r="T151" s="48">
        <v>0.0</v>
      </c>
      <c r="U151" s="193">
        <v>78000.0</v>
      </c>
      <c r="V151" s="193">
        <v>0.0</v>
      </c>
      <c r="W151" s="10">
        <v>2.0</v>
      </c>
      <c r="X151" s="10">
        <v>0.0</v>
      </c>
    </row>
    <row r="152" ht="15.75" customHeight="1">
      <c r="A152" s="10" t="s">
        <v>48</v>
      </c>
      <c r="B152" s="10" t="str">
        <f t="array" ref="B152">_xlfn.XLOOKUP(D152,'Referanc '!$A:$A,'Referanc '!$B:$B)</f>
        <v>Standing Table - All Frames</v>
      </c>
      <c r="C152" s="10" t="s">
        <v>343</v>
      </c>
      <c r="D152" s="10" t="s">
        <v>343</v>
      </c>
      <c r="E152" s="10" t="s">
        <v>1056</v>
      </c>
      <c r="F152" s="10" t="str">
        <f t="array" ref="F152">_xlfn.XLOOKUP(D152,'Referanc '!$A:$A,'Referanc '!$E:$E)</f>
        <v>E3</v>
      </c>
      <c r="G152" s="10">
        <v>381.0</v>
      </c>
      <c r="H152" s="10">
        <v>36.0</v>
      </c>
      <c r="I152" s="48">
        <v>0.0086</v>
      </c>
      <c r="J152" s="48">
        <v>0.0184</v>
      </c>
      <c r="K152" s="10">
        <v>532.0</v>
      </c>
      <c r="L152" s="10">
        <v>43.0</v>
      </c>
      <c r="M152" s="48">
        <v>0.0087</v>
      </c>
      <c r="N152" s="48">
        <v>0.0155</v>
      </c>
      <c r="O152" s="48">
        <v>0.8939</v>
      </c>
      <c r="P152" s="48">
        <v>0.8929</v>
      </c>
      <c r="Q152" s="10">
        <v>2.0</v>
      </c>
      <c r="R152" s="10">
        <v>1.0</v>
      </c>
      <c r="S152" s="48">
        <v>0.0052</v>
      </c>
      <c r="T152" s="48">
        <v>0.0278</v>
      </c>
      <c r="U152" s="193">
        <v>71000.0</v>
      </c>
      <c r="V152" s="193">
        <v>35500.0</v>
      </c>
      <c r="W152" s="10">
        <v>2.0</v>
      </c>
      <c r="X152" s="10">
        <v>1.0</v>
      </c>
    </row>
    <row r="153" ht="15.75" customHeight="1">
      <c r="A153" s="10" t="s">
        <v>48</v>
      </c>
      <c r="B153" s="10" t="s">
        <v>211</v>
      </c>
      <c r="C153" s="10" t="s">
        <v>314</v>
      </c>
      <c r="D153" s="10" t="s">
        <v>314</v>
      </c>
      <c r="E153" s="10" t="s">
        <v>487</v>
      </c>
      <c r="F153" s="10" t="str">
        <f t="array" ref="F153">_xlfn.XLOOKUP(D153,'Referanc '!$A:$A,'Referanc '!$E:$E)</f>
        <v>Desk Cable Tray</v>
      </c>
      <c r="G153" s="191">
        <v>1234.0</v>
      </c>
      <c r="H153" s="10">
        <v>73.0</v>
      </c>
      <c r="I153" s="48">
        <v>0.0278</v>
      </c>
      <c r="J153" s="48">
        <v>0.0373</v>
      </c>
      <c r="K153" s="191">
        <v>1768.0</v>
      </c>
      <c r="L153" s="10">
        <v>115.0</v>
      </c>
      <c r="M153" s="48">
        <v>0.0289</v>
      </c>
      <c r="N153" s="48">
        <v>0.0415</v>
      </c>
      <c r="O153" s="48">
        <v>0.9836</v>
      </c>
      <c r="P153" s="48">
        <v>1.0</v>
      </c>
      <c r="Q153" s="10">
        <v>2.0</v>
      </c>
      <c r="R153" s="10">
        <v>0.0</v>
      </c>
      <c r="S153" s="48">
        <v>0.0016</v>
      </c>
      <c r="T153" s="48">
        <v>0.0</v>
      </c>
      <c r="U153" s="193">
        <v>1998.0</v>
      </c>
      <c r="V153" s="193">
        <v>0.0</v>
      </c>
      <c r="W153" s="10">
        <v>2.0</v>
      </c>
      <c r="X153" s="10">
        <v>0.0</v>
      </c>
    </row>
    <row r="154" ht="15.75" customHeight="1">
      <c r="A154" s="10" t="s">
        <v>48</v>
      </c>
      <c r="B154" s="10" t="s">
        <v>241</v>
      </c>
      <c r="C154" s="10" t="s">
        <v>345</v>
      </c>
      <c r="D154" s="10" t="s">
        <v>345</v>
      </c>
      <c r="E154" s="10" t="s">
        <v>553</v>
      </c>
      <c r="F154" s="10" t="str">
        <f t="array" ref="F154">_xlfn.XLOOKUP(D154,'Referanc '!$A:$A,'Referanc '!$E:$E)</f>
        <v>Footrest</v>
      </c>
      <c r="G154" s="10">
        <v>110.0</v>
      </c>
      <c r="H154" s="10">
        <v>7.0</v>
      </c>
      <c r="I154" s="48">
        <v>0.0025</v>
      </c>
      <c r="J154" s="48">
        <v>0.0036</v>
      </c>
      <c r="K154" s="10">
        <v>139.0</v>
      </c>
      <c r="L154" s="10">
        <v>11.0</v>
      </c>
      <c r="M154" s="48">
        <v>0.0023</v>
      </c>
      <c r="N154" s="48">
        <v>0.004</v>
      </c>
      <c r="O154" s="48">
        <v>0.8955</v>
      </c>
      <c r="P154" s="48">
        <v>0.9</v>
      </c>
      <c r="Q154" s="10">
        <v>2.0</v>
      </c>
      <c r="R154" s="10">
        <v>0.0</v>
      </c>
      <c r="S154" s="48">
        <v>0.0182</v>
      </c>
      <c r="T154" s="48">
        <v>0.0</v>
      </c>
      <c r="U154" s="193">
        <v>5554.24</v>
      </c>
      <c r="V154" s="193">
        <v>0.0</v>
      </c>
      <c r="W154" s="10">
        <v>2.0</v>
      </c>
      <c r="X154" s="10">
        <v>0.0</v>
      </c>
    </row>
    <row r="155" ht="15.75" customHeight="1">
      <c r="A155" s="10" t="s">
        <v>48</v>
      </c>
      <c r="B155" s="10" t="str">
        <f t="array" ref="B155">_xlfn.XLOOKUP(D155,'Referanc '!$A:$A,'Referanc '!$B:$B)</f>
        <v>Standing Table  - E3</v>
      </c>
      <c r="C155" s="10" t="s">
        <v>366</v>
      </c>
      <c r="D155" s="10" t="s">
        <v>366</v>
      </c>
      <c r="E155" s="10" t="s">
        <v>575</v>
      </c>
      <c r="F155" s="10" t="str">
        <f t="array" ref="F155">_xlfn.XLOOKUP(D155,'Referanc '!$A:$A,'Referanc '!$E:$E)</f>
        <v>E3</v>
      </c>
      <c r="G155" s="10">
        <v>370.0</v>
      </c>
      <c r="H155" s="10">
        <v>23.0</v>
      </c>
      <c r="I155" s="48">
        <v>0.0083</v>
      </c>
      <c r="J155" s="48">
        <v>0.0117</v>
      </c>
      <c r="K155" s="10">
        <v>499.0</v>
      </c>
      <c r="L155" s="10">
        <v>29.0</v>
      </c>
      <c r="M155" s="48">
        <v>0.0082</v>
      </c>
      <c r="N155" s="48">
        <v>0.0105</v>
      </c>
      <c r="O155" s="48">
        <v>0.9775</v>
      </c>
      <c r="P155" s="48">
        <v>0.9259</v>
      </c>
      <c r="Q155" s="10">
        <v>2.0</v>
      </c>
      <c r="R155" s="10">
        <v>0.0</v>
      </c>
      <c r="S155" s="48">
        <v>0.0054</v>
      </c>
      <c r="T155" s="48">
        <v>0.0</v>
      </c>
      <c r="U155" s="193">
        <v>82000.0</v>
      </c>
      <c r="V155" s="193">
        <v>0.0</v>
      </c>
      <c r="W155" s="10">
        <v>2.0</v>
      </c>
      <c r="X155" s="10">
        <v>0.0</v>
      </c>
    </row>
    <row r="156" ht="15.75" customHeight="1">
      <c r="A156" s="10" t="s">
        <v>48</v>
      </c>
      <c r="B156" s="10" t="str">
        <f t="array" ref="B156">_xlfn.XLOOKUP(D156,'Referanc '!$A:$A,'Referanc '!$B:$B)</f>
        <v>Standing Table  - SM3</v>
      </c>
      <c r="C156" s="10" t="s">
        <v>383</v>
      </c>
      <c r="D156" s="10" t="s">
        <v>383</v>
      </c>
      <c r="E156" s="10" t="s">
        <v>598</v>
      </c>
      <c r="F156" s="10" t="str">
        <f t="array" ref="F156">_xlfn.XLOOKUP(D156,'Referanc '!$A:$A,'Referanc '!$E:$E)</f>
        <v>SM3</v>
      </c>
      <c r="G156" s="10">
        <v>211.0</v>
      </c>
      <c r="H156" s="10">
        <v>7.0</v>
      </c>
      <c r="I156" s="48">
        <v>0.0048</v>
      </c>
      <c r="J156" s="48">
        <v>0.0036</v>
      </c>
      <c r="K156" s="10">
        <v>274.0</v>
      </c>
      <c r="L156" s="10">
        <v>7.0</v>
      </c>
      <c r="M156" s="48">
        <v>0.0045</v>
      </c>
      <c r="N156" s="48">
        <v>0.0025</v>
      </c>
      <c r="O156" s="48">
        <v>0.9302</v>
      </c>
      <c r="P156" s="48">
        <v>0.75</v>
      </c>
      <c r="Q156" s="10">
        <v>2.0</v>
      </c>
      <c r="R156" s="10">
        <v>0.0</v>
      </c>
      <c r="S156" s="48">
        <v>0.0095</v>
      </c>
      <c r="T156" s="48">
        <v>0.0</v>
      </c>
      <c r="U156" s="193">
        <v>49600.0</v>
      </c>
      <c r="V156" s="193">
        <v>0.0</v>
      </c>
      <c r="W156" s="10">
        <v>2.0</v>
      </c>
      <c r="X156" s="10">
        <v>0.0</v>
      </c>
    </row>
    <row r="157" ht="15.75" customHeight="1">
      <c r="A157" s="10" t="s">
        <v>48</v>
      </c>
      <c r="B157" s="10" t="str">
        <f t="array" ref="B157">_xlfn.XLOOKUP(D157,'Referanc '!$A:$A,'Referanc '!$B:$B)</f>
        <v>Standing Table  - SM3</v>
      </c>
      <c r="C157" s="10" t="s">
        <v>386</v>
      </c>
      <c r="D157" s="10" t="s">
        <v>386</v>
      </c>
      <c r="E157" s="10" t="s">
        <v>600</v>
      </c>
      <c r="F157" s="10" t="str">
        <f t="array" ref="F157">_xlfn.XLOOKUP(D157,'Referanc '!$A:$A,'Referanc '!$E:$E)</f>
        <v>SM3</v>
      </c>
      <c r="G157" s="10">
        <v>220.0</v>
      </c>
      <c r="H157" s="10">
        <v>18.0</v>
      </c>
      <c r="I157" s="48">
        <v>0.005</v>
      </c>
      <c r="J157" s="48">
        <v>0.0092</v>
      </c>
      <c r="K157" s="10">
        <v>261.0</v>
      </c>
      <c r="L157" s="10">
        <v>25.0</v>
      </c>
      <c r="M157" s="48">
        <v>0.0043</v>
      </c>
      <c r="N157" s="48">
        <v>0.009</v>
      </c>
      <c r="O157" s="48">
        <v>0.932</v>
      </c>
      <c r="P157" s="48">
        <v>1.0</v>
      </c>
      <c r="Q157" s="10">
        <v>2.0</v>
      </c>
      <c r="R157" s="10">
        <v>0.0</v>
      </c>
      <c r="S157" s="48">
        <v>0.0091</v>
      </c>
      <c r="T157" s="48">
        <v>0.0</v>
      </c>
      <c r="U157" s="193">
        <v>51000.0</v>
      </c>
      <c r="V157" s="193">
        <v>0.0</v>
      </c>
      <c r="W157" s="10">
        <v>2.0</v>
      </c>
      <c r="X157" s="10">
        <v>0.0</v>
      </c>
    </row>
    <row r="158" ht="15.75" customHeight="1">
      <c r="A158" s="10" t="s">
        <v>48</v>
      </c>
      <c r="B158" s="10" t="str">
        <f t="array" ref="B158">_xlfn.XLOOKUP(D158,'Referanc '!$A:$A,'Referanc '!$B:$B)</f>
        <v>Standing Table - All Frames</v>
      </c>
      <c r="C158" s="10" t="s">
        <v>387</v>
      </c>
      <c r="D158" s="10" t="s">
        <v>387</v>
      </c>
      <c r="E158" s="10" t="s">
        <v>602</v>
      </c>
      <c r="F158" s="10" t="str">
        <f t="array" ref="F158">_xlfn.XLOOKUP(D158,'Referanc '!$A:$A,'Referanc '!$E:$E)</f>
        <v>E1A</v>
      </c>
      <c r="G158" s="10">
        <v>261.0</v>
      </c>
      <c r="H158" s="10">
        <v>31.0</v>
      </c>
      <c r="I158" s="48">
        <v>0.0059</v>
      </c>
      <c r="J158" s="48">
        <v>0.0158</v>
      </c>
      <c r="K158" s="10">
        <v>371.0</v>
      </c>
      <c r="L158" s="10">
        <v>41.0</v>
      </c>
      <c r="M158" s="48">
        <v>0.0061</v>
      </c>
      <c r="N158" s="48">
        <v>0.0148</v>
      </c>
      <c r="O158" s="48">
        <v>0.9585</v>
      </c>
      <c r="P158" s="48">
        <v>0.8889</v>
      </c>
      <c r="Q158" s="10">
        <v>2.0</v>
      </c>
      <c r="R158" s="10">
        <v>1.0</v>
      </c>
      <c r="S158" s="48">
        <v>0.0077</v>
      </c>
      <c r="T158" s="48">
        <v>0.0323</v>
      </c>
      <c r="U158" s="193">
        <v>53738.98</v>
      </c>
      <c r="V158" s="193">
        <v>26900.0</v>
      </c>
      <c r="W158" s="10">
        <v>2.0</v>
      </c>
      <c r="X158" s="10">
        <v>1.0</v>
      </c>
    </row>
    <row r="159" ht="15.75" customHeight="1">
      <c r="A159" s="10" t="s">
        <v>48</v>
      </c>
      <c r="B159" s="10" t="str">
        <f t="array" ref="B159">_xlfn.XLOOKUP(D159,'Referanc '!$A:$A,'Referanc '!$B:$B)</f>
        <v>Standing Table  - E1A</v>
      </c>
      <c r="C159" s="10" t="s">
        <v>374</v>
      </c>
      <c r="D159" s="10" t="s">
        <v>374</v>
      </c>
      <c r="E159" s="10" t="s">
        <v>604</v>
      </c>
      <c r="F159" s="10" t="str">
        <f t="array" ref="F159">_xlfn.XLOOKUP(D159,'Referanc '!$A:$A,'Referanc '!$E:$E)</f>
        <v>E1A</v>
      </c>
      <c r="G159" s="10">
        <v>143.0</v>
      </c>
      <c r="H159" s="10">
        <v>4.0</v>
      </c>
      <c r="I159" s="48">
        <v>0.0032</v>
      </c>
      <c r="J159" s="48">
        <v>0.002</v>
      </c>
      <c r="K159" s="10">
        <v>181.0</v>
      </c>
      <c r="L159" s="10">
        <v>4.0</v>
      </c>
      <c r="M159" s="48">
        <v>0.003</v>
      </c>
      <c r="N159" s="48">
        <v>0.0014</v>
      </c>
      <c r="O159" s="48">
        <v>0.8013</v>
      </c>
      <c r="P159" s="48">
        <v>0.75</v>
      </c>
      <c r="Q159" s="10">
        <v>2.0</v>
      </c>
      <c r="R159" s="10">
        <v>0.0</v>
      </c>
      <c r="S159" s="48">
        <v>0.014</v>
      </c>
      <c r="T159" s="48">
        <v>0.0</v>
      </c>
      <c r="U159" s="193">
        <v>66138.98</v>
      </c>
      <c r="V159" s="193">
        <v>0.0</v>
      </c>
      <c r="W159" s="10">
        <v>2.0</v>
      </c>
      <c r="X159" s="10">
        <v>0.0</v>
      </c>
    </row>
    <row r="160" ht="15.75" customHeight="1">
      <c r="A160" s="10" t="s">
        <v>48</v>
      </c>
      <c r="B160" s="10" t="str">
        <f t="array" ref="B160">_xlfn.XLOOKUP(D160,'Referanc '!$A:$A,'Referanc '!$B:$B)</f>
        <v>Standing Table  - E4</v>
      </c>
      <c r="C160" s="10" t="s">
        <v>388</v>
      </c>
      <c r="D160" s="10" t="s">
        <v>388</v>
      </c>
      <c r="E160" s="10" t="s">
        <v>606</v>
      </c>
      <c r="F160" s="10" t="str">
        <f t="array" ref="F160">_xlfn.XLOOKUP(D160,'Referanc '!$A:$A,'Referanc '!$E:$E)</f>
        <v>E4</v>
      </c>
      <c r="G160" s="10">
        <v>156.0</v>
      </c>
      <c r="H160" s="10">
        <v>8.0</v>
      </c>
      <c r="I160" s="48">
        <v>0.0035</v>
      </c>
      <c r="J160" s="48">
        <v>0.0041</v>
      </c>
      <c r="K160" s="10">
        <v>192.0</v>
      </c>
      <c r="L160" s="10">
        <v>9.0</v>
      </c>
      <c r="M160" s="48">
        <v>0.0031</v>
      </c>
      <c r="N160" s="48">
        <v>0.0032</v>
      </c>
      <c r="O160" s="48">
        <v>0.9638</v>
      </c>
      <c r="P160" s="48">
        <v>1.0</v>
      </c>
      <c r="Q160" s="10">
        <v>2.0</v>
      </c>
      <c r="R160" s="10">
        <v>0.0</v>
      </c>
      <c r="S160" s="48">
        <v>0.0128</v>
      </c>
      <c r="T160" s="48">
        <v>0.0</v>
      </c>
      <c r="U160" s="193">
        <v>50000.0</v>
      </c>
      <c r="V160" s="193">
        <v>0.0</v>
      </c>
      <c r="W160" s="10">
        <v>2.0</v>
      </c>
      <c r="X160" s="10">
        <v>0.0</v>
      </c>
    </row>
    <row r="161" ht="15.75" customHeight="1">
      <c r="A161" s="10" t="s">
        <v>48</v>
      </c>
      <c r="B161" s="10" t="str">
        <f t="array" ref="B161">_xlfn.XLOOKUP(D161,'Referanc '!$A:$A,'Referanc '!$B:$B)</f>
        <v>TABLE TOP</v>
      </c>
      <c r="C161" s="10" t="s">
        <v>357</v>
      </c>
      <c r="D161" s="10" t="s">
        <v>357</v>
      </c>
      <c r="E161" s="10" t="s">
        <v>535</v>
      </c>
      <c r="F161" s="10" t="str">
        <f t="array" ref="F161">_xlfn.XLOOKUP(D161,'Referanc '!$A:$A,'Referanc '!$E:$E)</f>
        <v>TABLE TOP</v>
      </c>
      <c r="G161" s="10">
        <v>250.0</v>
      </c>
      <c r="H161" s="10">
        <v>13.0</v>
      </c>
      <c r="I161" s="48">
        <v>0.0056</v>
      </c>
      <c r="J161" s="48">
        <v>0.0066</v>
      </c>
      <c r="K161" s="10">
        <v>292.0</v>
      </c>
      <c r="L161" s="10">
        <v>18.0</v>
      </c>
      <c r="M161" s="48">
        <v>0.0048</v>
      </c>
      <c r="N161" s="48">
        <v>0.0065</v>
      </c>
      <c r="O161" s="48">
        <v>0.7713</v>
      </c>
      <c r="P161" s="48">
        <v>0.5714</v>
      </c>
      <c r="Q161" s="10">
        <v>1.0</v>
      </c>
      <c r="R161" s="10">
        <v>0.0</v>
      </c>
      <c r="S161" s="48">
        <v>0.004</v>
      </c>
      <c r="T161" s="48">
        <v>0.0</v>
      </c>
      <c r="U161" s="193">
        <v>7350.0</v>
      </c>
      <c r="V161" s="193">
        <v>0.0</v>
      </c>
      <c r="W161" s="10">
        <v>1.0</v>
      </c>
      <c r="X161" s="10">
        <v>0.0</v>
      </c>
    </row>
    <row r="162" ht="15.75" customHeight="1">
      <c r="A162" s="10" t="s">
        <v>48</v>
      </c>
      <c r="B162" s="10" t="str">
        <f t="array" ref="B162">_xlfn.XLOOKUP(D162,'Referanc '!$A:$A,'Referanc '!$B:$B)</f>
        <v>Standing Table - All Frames</v>
      </c>
      <c r="C162" s="10" t="s">
        <v>389</v>
      </c>
      <c r="D162" s="10" t="s">
        <v>389</v>
      </c>
      <c r="E162" s="10" t="s">
        <v>608</v>
      </c>
      <c r="F162" s="10" t="str">
        <f t="array" ref="F162">_xlfn.XLOOKUP(D162,'Referanc '!$A:$A,'Referanc '!$E:$E)</f>
        <v>M8</v>
      </c>
      <c r="G162" s="10">
        <v>103.0</v>
      </c>
      <c r="H162" s="10">
        <v>5.0</v>
      </c>
      <c r="I162" s="48">
        <v>0.0023</v>
      </c>
      <c r="J162" s="48">
        <v>0.0026</v>
      </c>
      <c r="K162" s="10">
        <v>112.0</v>
      </c>
      <c r="L162" s="10">
        <v>6.0</v>
      </c>
      <c r="M162" s="48">
        <v>0.0018</v>
      </c>
      <c r="N162" s="48">
        <v>0.0022</v>
      </c>
      <c r="O162" s="48">
        <v>0.8989</v>
      </c>
      <c r="P162" s="48">
        <v>1.0</v>
      </c>
      <c r="Q162" s="10">
        <v>1.0</v>
      </c>
      <c r="R162" s="10">
        <v>1.0</v>
      </c>
      <c r="S162" s="48">
        <v>0.0097</v>
      </c>
      <c r="T162" s="48">
        <v>0.2</v>
      </c>
      <c r="U162" s="193">
        <v>18899.0</v>
      </c>
      <c r="V162" s="193">
        <v>18899.0</v>
      </c>
      <c r="W162" s="10">
        <v>1.0</v>
      </c>
      <c r="X162" s="10">
        <v>1.0</v>
      </c>
    </row>
    <row r="163" ht="15.75" customHeight="1">
      <c r="A163" s="10" t="s">
        <v>48</v>
      </c>
      <c r="B163" s="10" t="s">
        <v>241</v>
      </c>
      <c r="C163" s="10" t="s">
        <v>339</v>
      </c>
      <c r="D163" s="10" t="s">
        <v>339</v>
      </c>
      <c r="E163" s="10" t="s">
        <v>547</v>
      </c>
      <c r="F163" s="10" t="str">
        <f t="array" ref="F163">_xlfn.XLOOKUP(D163,'Referanc '!$A:$A,'Referanc '!$E:$E)</f>
        <v>Anti Fatigue Mat</v>
      </c>
      <c r="G163" s="10">
        <v>77.0</v>
      </c>
      <c r="H163" s="10">
        <v>2.0</v>
      </c>
      <c r="I163" s="48">
        <v>0.0017</v>
      </c>
      <c r="J163" s="48">
        <v>0.001</v>
      </c>
      <c r="K163" s="10">
        <v>90.0</v>
      </c>
      <c r="L163" s="10">
        <v>2.0</v>
      </c>
      <c r="M163" s="48">
        <v>0.0015</v>
      </c>
      <c r="N163" s="48">
        <v>7.0E-4</v>
      </c>
      <c r="O163" s="48">
        <v>0.8837</v>
      </c>
      <c r="P163" s="48">
        <v>1.0</v>
      </c>
      <c r="Q163" s="10">
        <v>1.0</v>
      </c>
      <c r="R163" s="10">
        <v>0.0</v>
      </c>
      <c r="S163" s="48">
        <v>0.013</v>
      </c>
      <c r="T163" s="48">
        <v>0.0</v>
      </c>
      <c r="U163" s="193">
        <v>2900.0</v>
      </c>
      <c r="V163" s="193">
        <v>0.0</v>
      </c>
      <c r="W163" s="10">
        <v>1.0</v>
      </c>
      <c r="X163" s="10">
        <v>0.0</v>
      </c>
    </row>
    <row r="164" ht="15.75" customHeight="1">
      <c r="A164" s="10" t="s">
        <v>48</v>
      </c>
      <c r="B164" s="10" t="str">
        <f t="array" ref="B164">_xlfn.XLOOKUP(D164,'Referanc '!$A:$A,'Referanc '!$B:$B)</f>
        <v>Single Leg Gas</v>
      </c>
      <c r="C164" s="10" t="s">
        <v>334</v>
      </c>
      <c r="D164" s="10" t="s">
        <v>334</v>
      </c>
      <c r="E164" s="10" t="s">
        <v>543</v>
      </c>
      <c r="F164" s="10" t="str">
        <f t="array" ref="F164">_xlfn.XLOOKUP(D164,'Referanc '!$A:$A,'Referanc '!$E:$E)</f>
        <v>Single Leg Gas</v>
      </c>
      <c r="G164" s="10">
        <v>76.0</v>
      </c>
      <c r="H164" s="10">
        <v>5.0</v>
      </c>
      <c r="I164" s="48">
        <v>0.0017</v>
      </c>
      <c r="J164" s="48">
        <v>0.0026</v>
      </c>
      <c r="K164" s="10">
        <v>109.0</v>
      </c>
      <c r="L164" s="10">
        <v>10.0</v>
      </c>
      <c r="M164" s="48">
        <v>0.0018</v>
      </c>
      <c r="N164" s="48">
        <v>0.0036</v>
      </c>
      <c r="O164" s="48">
        <v>0.8681</v>
      </c>
      <c r="P164" s="48">
        <v>0.8</v>
      </c>
      <c r="Q164" s="10">
        <v>1.0</v>
      </c>
      <c r="R164" s="10">
        <v>0.0</v>
      </c>
      <c r="S164" s="48">
        <v>0.0132</v>
      </c>
      <c r="T164" s="48">
        <v>0.0</v>
      </c>
      <c r="U164" s="193">
        <v>13400.0</v>
      </c>
      <c r="V164" s="193">
        <v>0.0</v>
      </c>
      <c r="W164" s="10">
        <v>1.0</v>
      </c>
      <c r="X164" s="10">
        <v>0.0</v>
      </c>
    </row>
    <row r="165" ht="15.75" customHeight="1">
      <c r="A165" s="10" t="s">
        <v>48</v>
      </c>
      <c r="B165" s="10" t="str">
        <f t="array" ref="B165">_xlfn.XLOOKUP(D165,'Referanc '!$A:$A,'Referanc '!$B:$B)</f>
        <v>Single Leg Gas</v>
      </c>
      <c r="C165" s="10" t="s">
        <v>362</v>
      </c>
      <c r="D165" s="10" t="s">
        <v>362</v>
      </c>
      <c r="E165" s="10" t="s">
        <v>610</v>
      </c>
      <c r="F165" s="10" t="str">
        <f t="array" ref="F165">_xlfn.XLOOKUP(D165,'Referanc '!$A:$A,'Referanc '!$E:$E)</f>
        <v>Single Leg Gas</v>
      </c>
      <c r="G165" s="10">
        <v>75.0</v>
      </c>
      <c r="H165" s="10">
        <v>6.0</v>
      </c>
      <c r="I165" s="48">
        <v>0.0017</v>
      </c>
      <c r="J165" s="48">
        <v>0.0031</v>
      </c>
      <c r="K165" s="10">
        <v>93.0</v>
      </c>
      <c r="L165" s="10">
        <v>6.0</v>
      </c>
      <c r="M165" s="48">
        <v>0.0015</v>
      </c>
      <c r="N165" s="48">
        <v>0.0022</v>
      </c>
      <c r="O165" s="48">
        <v>0.8875</v>
      </c>
      <c r="P165" s="48">
        <v>0.5</v>
      </c>
      <c r="Q165" s="10">
        <v>1.0</v>
      </c>
      <c r="R165" s="10">
        <v>0.0</v>
      </c>
      <c r="S165" s="48">
        <v>0.0133</v>
      </c>
      <c r="T165" s="48">
        <v>0.0</v>
      </c>
      <c r="U165" s="193">
        <v>13400.0</v>
      </c>
      <c r="V165" s="193">
        <v>0.0</v>
      </c>
      <c r="W165" s="10">
        <v>1.0</v>
      </c>
      <c r="X165" s="10">
        <v>0.0</v>
      </c>
    </row>
    <row r="166" ht="15.75" customHeight="1">
      <c r="A166" s="10" t="s">
        <v>48</v>
      </c>
      <c r="B166" s="10" t="str">
        <f t="array" ref="B166">_xlfn.XLOOKUP(D166,'Referanc '!$A:$A,'Referanc '!$B:$B)</f>
        <v>Extension &amp; Holder</v>
      </c>
      <c r="C166" s="10" t="s">
        <v>307</v>
      </c>
      <c r="D166" s="10" t="s">
        <v>307</v>
      </c>
      <c r="E166" s="10" t="s">
        <v>482</v>
      </c>
      <c r="F166" s="10" t="str">
        <f t="array" ref="F166">_xlfn.XLOOKUP(D166,'Referanc '!$A:$A,'Referanc '!$E:$E)</f>
        <v>Extension Board Holder</v>
      </c>
      <c r="G166" s="10">
        <v>48.0</v>
      </c>
      <c r="H166" s="10">
        <v>2.0</v>
      </c>
      <c r="I166" s="48">
        <v>0.0011</v>
      </c>
      <c r="J166" s="48">
        <v>0.001</v>
      </c>
      <c r="K166" s="10">
        <v>53.0</v>
      </c>
      <c r="L166" s="10">
        <v>2.0</v>
      </c>
      <c r="M166" s="48">
        <v>9.0E-4</v>
      </c>
      <c r="N166" s="48">
        <v>7.0E-4</v>
      </c>
      <c r="O166" s="48">
        <v>0.86</v>
      </c>
      <c r="P166" s="48">
        <v>0.5</v>
      </c>
      <c r="Q166" s="10">
        <v>1.0</v>
      </c>
      <c r="R166" s="10">
        <v>0.0</v>
      </c>
      <c r="S166" s="48">
        <v>0.0208</v>
      </c>
      <c r="T166" s="48">
        <v>0.0</v>
      </c>
      <c r="U166" s="193">
        <v>790.0</v>
      </c>
      <c r="V166" s="193">
        <v>0.0</v>
      </c>
      <c r="W166" s="10">
        <v>1.0</v>
      </c>
      <c r="X166" s="10">
        <v>0.0</v>
      </c>
    </row>
    <row r="167" ht="15.75" customHeight="1">
      <c r="A167" s="10" t="s">
        <v>48</v>
      </c>
      <c r="B167" s="10" t="str">
        <f t="array" ref="B167">_xlfn.XLOOKUP(D167,'Referanc '!$A:$A,'Referanc '!$B:$B)</f>
        <v>Standing Table  - E1A</v>
      </c>
      <c r="C167" s="10" t="s">
        <v>354</v>
      </c>
      <c r="D167" s="10" t="s">
        <v>354</v>
      </c>
      <c r="E167" s="10" t="s">
        <v>561</v>
      </c>
      <c r="F167" s="10" t="str">
        <f t="array" ref="F167">_xlfn.XLOOKUP(D167,'Referanc '!$A:$A,'Referanc '!$E:$E)</f>
        <v>E1A</v>
      </c>
      <c r="G167" s="10">
        <v>132.0</v>
      </c>
      <c r="H167" s="10">
        <v>8.0</v>
      </c>
      <c r="I167" s="48">
        <v>0.003</v>
      </c>
      <c r="J167" s="48">
        <v>0.0041</v>
      </c>
      <c r="K167" s="10">
        <v>190.0</v>
      </c>
      <c r="L167" s="10">
        <v>9.0</v>
      </c>
      <c r="M167" s="48">
        <v>0.0031</v>
      </c>
      <c r="N167" s="48">
        <v>0.0032</v>
      </c>
      <c r="O167" s="48">
        <v>0.9732</v>
      </c>
      <c r="P167" s="48">
        <v>1.0</v>
      </c>
      <c r="Q167" s="10">
        <v>1.0</v>
      </c>
      <c r="R167" s="10">
        <v>0.0</v>
      </c>
      <c r="S167" s="48">
        <v>0.0076</v>
      </c>
      <c r="T167" s="48">
        <v>0.0</v>
      </c>
      <c r="U167" s="193">
        <v>30300.0</v>
      </c>
      <c r="V167" s="193">
        <v>0.0</v>
      </c>
      <c r="W167" s="10">
        <v>1.0</v>
      </c>
      <c r="X167" s="10">
        <v>0.0</v>
      </c>
    </row>
    <row r="168" ht="15.75" customHeight="1">
      <c r="A168" s="10" t="s">
        <v>48</v>
      </c>
      <c r="B168" s="10" t="str">
        <f t="array" ref="B168">_xlfn.XLOOKUP(D168,'Referanc '!$A:$A,'Referanc '!$B:$B)</f>
        <v>Standing Table  - E1A</v>
      </c>
      <c r="C168" s="10" t="s">
        <v>367</v>
      </c>
      <c r="D168" s="10" t="s">
        <v>367</v>
      </c>
      <c r="E168" s="10" t="s">
        <v>612</v>
      </c>
      <c r="F168" s="10" t="str">
        <f t="array" ref="F168">_xlfn.XLOOKUP(D168,'Referanc '!$A:$A,'Referanc '!$E:$E)</f>
        <v>E1A</v>
      </c>
      <c r="G168" s="10">
        <v>121.0</v>
      </c>
      <c r="H168" s="10">
        <v>6.0</v>
      </c>
      <c r="I168" s="48">
        <v>0.0027</v>
      </c>
      <c r="J168" s="48">
        <v>0.0031</v>
      </c>
      <c r="K168" s="10">
        <v>167.0</v>
      </c>
      <c r="L168" s="10">
        <v>6.0</v>
      </c>
      <c r="M168" s="48">
        <v>0.0027</v>
      </c>
      <c r="N168" s="48">
        <v>0.0022</v>
      </c>
      <c r="O168" s="48">
        <v>0.9764</v>
      </c>
      <c r="P168" s="48">
        <v>1.0</v>
      </c>
      <c r="Q168" s="10">
        <v>1.0</v>
      </c>
      <c r="R168" s="10">
        <v>0.0</v>
      </c>
      <c r="S168" s="48">
        <v>0.0083</v>
      </c>
      <c r="T168" s="48">
        <v>0.0</v>
      </c>
      <c r="U168" s="193">
        <v>33238.98</v>
      </c>
      <c r="V168" s="193">
        <v>0.0</v>
      </c>
      <c r="W168" s="10">
        <v>1.0</v>
      </c>
      <c r="X168" s="10">
        <v>0.0</v>
      </c>
    </row>
    <row r="169" ht="15.75" customHeight="1">
      <c r="A169" s="10" t="s">
        <v>48</v>
      </c>
      <c r="B169" s="10" t="str">
        <f t="array" ref="B169">_xlfn.XLOOKUP(D169,'Referanc '!$A:$A,'Referanc '!$B:$B)</f>
        <v>Standing Table  - E1A</v>
      </c>
      <c r="C169" s="10" t="s">
        <v>369</v>
      </c>
      <c r="D169" s="10" t="s">
        <v>369</v>
      </c>
      <c r="E169" s="10" t="s">
        <v>582</v>
      </c>
      <c r="F169" s="10" t="str">
        <f t="array" ref="F169">_xlfn.XLOOKUP(D169,'Referanc '!$A:$A,'Referanc '!$E:$E)</f>
        <v>E1A</v>
      </c>
      <c r="G169" s="10">
        <v>147.0</v>
      </c>
      <c r="H169" s="10">
        <v>7.0</v>
      </c>
      <c r="I169" s="48">
        <v>0.0033</v>
      </c>
      <c r="J169" s="48">
        <v>0.0036</v>
      </c>
      <c r="K169" s="10">
        <v>189.0</v>
      </c>
      <c r="L169" s="10">
        <v>7.0</v>
      </c>
      <c r="M169" s="48">
        <v>0.0031</v>
      </c>
      <c r="N169" s="48">
        <v>0.0025</v>
      </c>
      <c r="O169" s="48">
        <v>0.9177</v>
      </c>
      <c r="P169" s="48">
        <v>1.0</v>
      </c>
      <c r="Q169" s="10">
        <v>1.0</v>
      </c>
      <c r="R169" s="10">
        <v>0.0</v>
      </c>
      <c r="S169" s="48">
        <v>0.0068</v>
      </c>
      <c r="T169" s="48">
        <v>0.0</v>
      </c>
      <c r="U169" s="193">
        <v>40000.0</v>
      </c>
      <c r="V169" s="193">
        <v>0.0</v>
      </c>
      <c r="W169" s="10">
        <v>1.0</v>
      </c>
      <c r="X169" s="10">
        <v>0.0</v>
      </c>
    </row>
    <row r="170" ht="15.75" customHeight="1">
      <c r="A170" s="10" t="s">
        <v>48</v>
      </c>
      <c r="B170" s="10" t="str">
        <f t="array" ref="B170">_xlfn.XLOOKUP(D170,'Referanc '!$A:$A,'Referanc '!$B:$B)</f>
        <v>Standing Table  - E1A</v>
      </c>
      <c r="C170" s="10" t="s">
        <v>359</v>
      </c>
      <c r="D170" s="10" t="s">
        <v>359</v>
      </c>
      <c r="E170" s="10" t="s">
        <v>565</v>
      </c>
      <c r="F170" s="10" t="str">
        <f t="array" ref="F170">_xlfn.XLOOKUP(D170,'Referanc '!$A:$A,'Referanc '!$E:$E)</f>
        <v>E1A</v>
      </c>
      <c r="G170" s="10">
        <v>256.0</v>
      </c>
      <c r="H170" s="10">
        <v>19.0</v>
      </c>
      <c r="I170" s="48">
        <v>0.0058</v>
      </c>
      <c r="J170" s="48">
        <v>0.0097</v>
      </c>
      <c r="K170" s="10">
        <v>389.0</v>
      </c>
      <c r="L170" s="10">
        <v>22.0</v>
      </c>
      <c r="M170" s="48">
        <v>0.0064</v>
      </c>
      <c r="N170" s="48">
        <v>0.0079</v>
      </c>
      <c r="O170" s="48">
        <v>0.9</v>
      </c>
      <c r="P170" s="48">
        <v>0.9444</v>
      </c>
      <c r="Q170" s="10">
        <v>1.0</v>
      </c>
      <c r="R170" s="10">
        <v>0.0</v>
      </c>
      <c r="S170" s="48">
        <v>0.0039</v>
      </c>
      <c r="T170" s="48">
        <v>0.0</v>
      </c>
      <c r="U170" s="193">
        <v>33238.98</v>
      </c>
      <c r="V170" s="193">
        <v>0.0</v>
      </c>
      <c r="W170" s="10">
        <v>1.0</v>
      </c>
      <c r="X170" s="10">
        <v>0.0</v>
      </c>
    </row>
    <row r="171" ht="15.75" customHeight="1">
      <c r="A171" s="10" t="s">
        <v>48</v>
      </c>
      <c r="B171" s="10" t="str">
        <f t="array" ref="B171">_xlfn.XLOOKUP(D171,'Referanc '!$A:$A,'Referanc '!$B:$B)</f>
        <v>Standing Table  - E1A</v>
      </c>
      <c r="C171" s="10" t="s">
        <v>373</v>
      </c>
      <c r="D171" s="10" t="s">
        <v>373</v>
      </c>
      <c r="E171" s="10" t="s">
        <v>614</v>
      </c>
      <c r="F171" s="10" t="str">
        <f t="array" ref="F171">_xlfn.XLOOKUP(D171,'Referanc '!$A:$A,'Referanc '!$E:$E)</f>
        <v>E1A</v>
      </c>
      <c r="G171" s="10">
        <v>151.0</v>
      </c>
      <c r="H171" s="10">
        <v>3.0</v>
      </c>
      <c r="I171" s="48">
        <v>0.0034</v>
      </c>
      <c r="J171" s="48">
        <v>0.0015</v>
      </c>
      <c r="K171" s="10">
        <v>174.0</v>
      </c>
      <c r="L171" s="10">
        <v>5.0</v>
      </c>
      <c r="M171" s="48">
        <v>0.0028</v>
      </c>
      <c r="N171" s="48">
        <v>0.0018</v>
      </c>
      <c r="O171" s="48">
        <v>0.6933</v>
      </c>
      <c r="P171" s="48">
        <v>0.5</v>
      </c>
      <c r="Q171" s="10">
        <v>1.0</v>
      </c>
      <c r="R171" s="10">
        <v>0.0</v>
      </c>
      <c r="S171" s="48">
        <v>0.0066</v>
      </c>
      <c r="T171" s="48">
        <v>0.0</v>
      </c>
      <c r="U171" s="193">
        <v>33238.98</v>
      </c>
      <c r="V171" s="193">
        <v>0.0</v>
      </c>
      <c r="W171" s="10">
        <v>1.0</v>
      </c>
      <c r="X171" s="10">
        <v>0.0</v>
      </c>
    </row>
    <row r="172" ht="15.75" customHeight="1">
      <c r="A172" s="10" t="s">
        <v>48</v>
      </c>
      <c r="B172" s="10" t="str">
        <f t="array" ref="B172">_xlfn.XLOOKUP(D172,'Referanc '!$A:$A,'Referanc '!$B:$B)</f>
        <v>Standing Table  - E1A</v>
      </c>
      <c r="C172" s="10" t="s">
        <v>360</v>
      </c>
      <c r="D172" s="10" t="s">
        <v>360</v>
      </c>
      <c r="E172" s="10" t="s">
        <v>567</v>
      </c>
      <c r="F172" s="10" t="str">
        <f t="array" ref="F172">_xlfn.XLOOKUP(D172,'Referanc '!$A:$A,'Referanc '!$E:$E)</f>
        <v>E1A</v>
      </c>
      <c r="G172" s="10">
        <v>194.0</v>
      </c>
      <c r="H172" s="10">
        <v>4.0</v>
      </c>
      <c r="I172" s="48">
        <v>0.0044</v>
      </c>
      <c r="J172" s="48">
        <v>0.002</v>
      </c>
      <c r="K172" s="10">
        <v>238.0</v>
      </c>
      <c r="L172" s="10">
        <v>4.0</v>
      </c>
      <c r="M172" s="48">
        <v>0.0039</v>
      </c>
      <c r="N172" s="48">
        <v>0.0014</v>
      </c>
      <c r="O172" s="48">
        <v>0.787</v>
      </c>
      <c r="P172" s="48">
        <v>1.0</v>
      </c>
      <c r="Q172" s="10">
        <v>1.0</v>
      </c>
      <c r="R172" s="10">
        <v>0.0</v>
      </c>
      <c r="S172" s="48">
        <v>0.0052</v>
      </c>
      <c r="T172" s="48">
        <v>0.0</v>
      </c>
      <c r="U172" s="193">
        <v>30300.0</v>
      </c>
      <c r="V172" s="193">
        <v>0.0</v>
      </c>
      <c r="W172" s="10">
        <v>1.0</v>
      </c>
      <c r="X172" s="10">
        <v>0.0</v>
      </c>
    </row>
    <row r="173" ht="15.75" customHeight="1">
      <c r="A173" s="10" t="s">
        <v>48</v>
      </c>
      <c r="B173" s="10" t="str">
        <f t="array" ref="B173">_xlfn.XLOOKUP(D173,'Referanc '!$A:$A,'Referanc '!$B:$B)</f>
        <v>Standing Table  - E1A</v>
      </c>
      <c r="C173" s="10" t="s">
        <v>361</v>
      </c>
      <c r="D173" s="10" t="s">
        <v>361</v>
      </c>
      <c r="E173" s="10" t="s">
        <v>569</v>
      </c>
      <c r="F173" s="10" t="str">
        <f t="array" ref="F173">_xlfn.XLOOKUP(D173,'Referanc '!$A:$A,'Referanc '!$E:$E)</f>
        <v>E1A</v>
      </c>
      <c r="G173" s="10">
        <v>136.0</v>
      </c>
      <c r="H173" s="10">
        <v>8.0</v>
      </c>
      <c r="I173" s="48">
        <v>0.0031</v>
      </c>
      <c r="J173" s="48">
        <v>0.0041</v>
      </c>
      <c r="K173" s="10">
        <v>187.0</v>
      </c>
      <c r="L173" s="10">
        <v>12.0</v>
      </c>
      <c r="M173" s="48">
        <v>0.0031</v>
      </c>
      <c r="N173" s="48">
        <v>0.0043</v>
      </c>
      <c r="O173" s="48">
        <v>0.9133</v>
      </c>
      <c r="P173" s="48">
        <v>0.9091</v>
      </c>
      <c r="Q173" s="10">
        <v>1.0</v>
      </c>
      <c r="R173" s="10">
        <v>0.0</v>
      </c>
      <c r="S173" s="48">
        <v>0.0074</v>
      </c>
      <c r="T173" s="48">
        <v>0.0</v>
      </c>
      <c r="U173" s="193">
        <v>26838.98</v>
      </c>
      <c r="V173" s="193">
        <v>0.0</v>
      </c>
      <c r="W173" s="10">
        <v>1.0</v>
      </c>
      <c r="X173" s="10">
        <v>0.0</v>
      </c>
    </row>
    <row r="174" ht="15.75" customHeight="1">
      <c r="A174" s="10" t="s">
        <v>48</v>
      </c>
      <c r="B174" s="10" t="str">
        <f t="array" ref="B174">_xlfn.XLOOKUP(D174,'Referanc '!$A:$A,'Referanc '!$B:$B)</f>
        <v>Standing Table  - E1A</v>
      </c>
      <c r="C174" s="10" t="s">
        <v>382</v>
      </c>
      <c r="D174" s="10" t="s">
        <v>382</v>
      </c>
      <c r="E174" s="10" t="s">
        <v>616</v>
      </c>
      <c r="F174" s="10" t="str">
        <f t="array" ref="F174">_xlfn.XLOOKUP(D174,'Referanc '!$A:$A,'Referanc '!$E:$E)</f>
        <v>E1A</v>
      </c>
      <c r="G174" s="10">
        <v>101.0</v>
      </c>
      <c r="H174" s="10">
        <v>4.0</v>
      </c>
      <c r="I174" s="48">
        <v>0.0023</v>
      </c>
      <c r="J174" s="48">
        <v>0.002</v>
      </c>
      <c r="K174" s="10">
        <v>144.0</v>
      </c>
      <c r="L174" s="10">
        <v>5.0</v>
      </c>
      <c r="M174" s="48">
        <v>0.0024</v>
      </c>
      <c r="N174" s="48">
        <v>0.0018</v>
      </c>
      <c r="O174" s="48">
        <v>0.9263</v>
      </c>
      <c r="P174" s="48">
        <v>1.0</v>
      </c>
      <c r="Q174" s="10">
        <v>1.0</v>
      </c>
      <c r="R174" s="10">
        <v>0.0</v>
      </c>
      <c r="S174" s="48">
        <v>0.0099</v>
      </c>
      <c r="T174" s="48">
        <v>0.0</v>
      </c>
      <c r="U174" s="193">
        <v>29900.0</v>
      </c>
      <c r="V174" s="193">
        <v>0.0</v>
      </c>
      <c r="W174" s="10">
        <v>1.0</v>
      </c>
      <c r="X174" s="10">
        <v>0.0</v>
      </c>
    </row>
    <row r="175" ht="15.75" customHeight="1">
      <c r="A175" s="10" t="s">
        <v>48</v>
      </c>
      <c r="B175" s="10" t="str">
        <f t="array" ref="B175">_xlfn.XLOOKUP(D175,'Referanc '!$A:$A,'Referanc '!$B:$B)</f>
        <v>Standing Table  - E4</v>
      </c>
      <c r="C175" s="10" t="s">
        <v>396</v>
      </c>
      <c r="D175" s="10" t="s">
        <v>396</v>
      </c>
      <c r="E175" s="10" t="s">
        <v>618</v>
      </c>
      <c r="F175" s="10" t="str">
        <f t="array" ref="F175">_xlfn.XLOOKUP(D175,'Referanc '!$A:$A,'Referanc '!$E:$E)</f>
        <v>E4</v>
      </c>
      <c r="G175" s="10">
        <v>208.0</v>
      </c>
      <c r="H175" s="10">
        <v>10.0</v>
      </c>
      <c r="I175" s="48">
        <v>0.0047</v>
      </c>
      <c r="J175" s="48">
        <v>0.0051</v>
      </c>
      <c r="K175" s="10">
        <v>273.0</v>
      </c>
      <c r="L175" s="10">
        <v>16.0</v>
      </c>
      <c r="M175" s="48">
        <v>0.0045</v>
      </c>
      <c r="N175" s="48">
        <v>0.0058</v>
      </c>
      <c r="O175" s="48">
        <v>0.9355</v>
      </c>
      <c r="P175" s="48">
        <v>1.0</v>
      </c>
      <c r="Q175" s="10">
        <v>1.0</v>
      </c>
      <c r="R175" s="10">
        <v>0.0</v>
      </c>
      <c r="S175" s="48">
        <v>0.0048</v>
      </c>
      <c r="T175" s="48">
        <v>0.0</v>
      </c>
      <c r="U175" s="193">
        <v>27500.0</v>
      </c>
      <c r="V175" s="193">
        <v>0.0</v>
      </c>
      <c r="W175" s="10">
        <v>1.0</v>
      </c>
      <c r="X175" s="10">
        <v>0.0</v>
      </c>
    </row>
    <row r="176" ht="15.75" customHeight="1">
      <c r="A176" s="10" t="s">
        <v>48</v>
      </c>
      <c r="B176" s="10" t="str">
        <f t="array" ref="B176">_xlfn.XLOOKUP(D176,'Referanc '!$A:$A,'Referanc '!$B:$B)</f>
        <v>Standing Table  - E1A</v>
      </c>
      <c r="C176" s="10" t="s">
        <v>384</v>
      </c>
      <c r="D176" s="10" t="s">
        <v>384</v>
      </c>
      <c r="E176" s="10" t="s">
        <v>620</v>
      </c>
      <c r="F176" s="10" t="str">
        <f t="array" ref="F176">_xlfn.XLOOKUP(D176,'Referanc '!$A:$A,'Referanc '!$E:$E)</f>
        <v>E1A</v>
      </c>
      <c r="G176" s="10">
        <v>116.0</v>
      </c>
      <c r="H176" s="10">
        <v>4.0</v>
      </c>
      <c r="I176" s="48">
        <v>0.0026</v>
      </c>
      <c r="J176" s="48">
        <v>0.002</v>
      </c>
      <c r="K176" s="10">
        <v>168.0</v>
      </c>
      <c r="L176" s="10">
        <v>4.0</v>
      </c>
      <c r="M176" s="48">
        <v>0.0027</v>
      </c>
      <c r="N176" s="48">
        <v>0.0014</v>
      </c>
      <c r="O176" s="48">
        <v>0.9444</v>
      </c>
      <c r="P176" s="48">
        <v>0.25</v>
      </c>
      <c r="Q176" s="10">
        <v>1.0</v>
      </c>
      <c r="R176" s="10">
        <v>0.0</v>
      </c>
      <c r="S176" s="48">
        <v>0.0086</v>
      </c>
      <c r="T176" s="48">
        <v>0.0</v>
      </c>
      <c r="U176" s="193">
        <v>29900.0</v>
      </c>
      <c r="V176" s="193">
        <v>0.0</v>
      </c>
      <c r="W176" s="10">
        <v>1.0</v>
      </c>
      <c r="X176" s="10">
        <v>0.0</v>
      </c>
    </row>
    <row r="177" ht="15.75" customHeight="1">
      <c r="A177" s="10" t="s">
        <v>48</v>
      </c>
      <c r="B177" s="10" t="str">
        <f t="array" ref="B177">_xlfn.XLOOKUP(D177,'Referanc '!$A:$A,'Referanc '!$B:$B)</f>
        <v>Standing Table  - E4</v>
      </c>
      <c r="C177" s="10" t="s">
        <v>398</v>
      </c>
      <c r="D177" s="10" t="s">
        <v>398</v>
      </c>
      <c r="E177" s="10" t="s">
        <v>622</v>
      </c>
      <c r="F177" s="10" t="str">
        <f t="array" ref="F177">_xlfn.XLOOKUP(D177,'Referanc '!$A:$A,'Referanc '!$E:$E)</f>
        <v>E4</v>
      </c>
      <c r="G177" s="10">
        <v>199.0</v>
      </c>
      <c r="H177" s="10">
        <v>13.0</v>
      </c>
      <c r="I177" s="48">
        <v>0.0045</v>
      </c>
      <c r="J177" s="48">
        <v>0.0066</v>
      </c>
      <c r="K177" s="10">
        <v>263.0</v>
      </c>
      <c r="L177" s="10">
        <v>18.0</v>
      </c>
      <c r="M177" s="48">
        <v>0.0043</v>
      </c>
      <c r="N177" s="48">
        <v>0.0065</v>
      </c>
      <c r="O177" s="48">
        <v>0.9586</v>
      </c>
      <c r="P177" s="48">
        <v>1.0</v>
      </c>
      <c r="Q177" s="10">
        <v>1.0</v>
      </c>
      <c r="R177" s="10">
        <v>0.0</v>
      </c>
      <c r="S177" s="48">
        <v>0.005</v>
      </c>
      <c r="T177" s="48">
        <v>0.0</v>
      </c>
      <c r="U177" s="193">
        <v>27500.0</v>
      </c>
      <c r="V177" s="193">
        <v>0.0</v>
      </c>
      <c r="W177" s="10">
        <v>1.0</v>
      </c>
      <c r="X177" s="10">
        <v>0.0</v>
      </c>
    </row>
    <row r="178" ht="15.75" customHeight="1">
      <c r="A178" s="10" t="s">
        <v>48</v>
      </c>
      <c r="B178" s="10" t="str">
        <f t="array" ref="B178">_xlfn.XLOOKUP(D178,'Referanc '!$A:$A,'Referanc '!$B:$B)</f>
        <v>Standing Table - All Frames</v>
      </c>
      <c r="C178" s="10" t="s">
        <v>399</v>
      </c>
      <c r="D178" s="10" t="s">
        <v>399</v>
      </c>
      <c r="E178" s="10" t="s">
        <v>624</v>
      </c>
      <c r="F178" s="10" t="str">
        <f t="array" ref="F178">_xlfn.XLOOKUP(D178,'Referanc '!$A:$A,'Referanc '!$E:$E)</f>
        <v>E1A</v>
      </c>
      <c r="G178" s="10">
        <v>352.0</v>
      </c>
      <c r="H178" s="10">
        <v>38.0</v>
      </c>
      <c r="I178" s="48">
        <v>0.0079</v>
      </c>
      <c r="J178" s="48">
        <v>0.0194</v>
      </c>
      <c r="K178" s="10">
        <v>510.0</v>
      </c>
      <c r="L178" s="10">
        <v>51.0</v>
      </c>
      <c r="M178" s="48">
        <v>0.0083</v>
      </c>
      <c r="N178" s="48">
        <v>0.0184</v>
      </c>
      <c r="O178" s="48">
        <v>0.9067</v>
      </c>
      <c r="P178" s="48">
        <v>0.878</v>
      </c>
      <c r="Q178" s="10">
        <v>1.0</v>
      </c>
      <c r="R178" s="10">
        <v>0.0</v>
      </c>
      <c r="S178" s="48">
        <v>0.0028</v>
      </c>
      <c r="T178" s="48">
        <v>0.0</v>
      </c>
      <c r="U178" s="193">
        <v>26500.0</v>
      </c>
      <c r="V178" s="193">
        <v>0.0</v>
      </c>
      <c r="W178" s="10">
        <v>1.0</v>
      </c>
      <c r="X178" s="10">
        <v>0.0</v>
      </c>
    </row>
    <row r="179" ht="15.75" customHeight="1">
      <c r="A179" s="10" t="s">
        <v>48</v>
      </c>
      <c r="B179" s="10" t="str">
        <f t="array" ref="B179">_xlfn.XLOOKUP(D179,'Referanc '!$A:$A,'Referanc '!$B:$B)</f>
        <v>Standing Table  - E1A</v>
      </c>
      <c r="C179" s="10" t="s">
        <v>385</v>
      </c>
      <c r="D179" s="10" t="s">
        <v>385</v>
      </c>
      <c r="E179" s="10" t="s">
        <v>626</v>
      </c>
      <c r="F179" s="10" t="str">
        <f t="array" ref="F179">_xlfn.XLOOKUP(D179,'Referanc '!$A:$A,'Referanc '!$E:$E)</f>
        <v>E1A</v>
      </c>
      <c r="G179" s="10">
        <v>96.0</v>
      </c>
      <c r="H179" s="10">
        <v>3.0</v>
      </c>
      <c r="I179" s="48">
        <v>0.0022</v>
      </c>
      <c r="J179" s="48">
        <v>0.0015</v>
      </c>
      <c r="K179" s="10">
        <v>125.0</v>
      </c>
      <c r="L179" s="10">
        <v>7.0</v>
      </c>
      <c r="M179" s="48">
        <v>0.002</v>
      </c>
      <c r="N179" s="48">
        <v>0.0025</v>
      </c>
      <c r="O179" s="48">
        <v>0.8434</v>
      </c>
      <c r="P179" s="48">
        <v>0.5</v>
      </c>
      <c r="Q179" s="10">
        <v>1.0</v>
      </c>
      <c r="R179" s="10">
        <v>0.0</v>
      </c>
      <c r="S179" s="48">
        <v>0.0104</v>
      </c>
      <c r="T179" s="48">
        <v>0.0</v>
      </c>
      <c r="U179" s="193">
        <v>32900.0</v>
      </c>
      <c r="V179" s="193">
        <v>0.0</v>
      </c>
      <c r="W179" s="10">
        <v>1.0</v>
      </c>
      <c r="X179" s="10">
        <v>0.0</v>
      </c>
    </row>
    <row r="180" ht="15.75" customHeight="1">
      <c r="A180" s="10" t="s">
        <v>48</v>
      </c>
      <c r="B180" s="10" t="str">
        <f t="array" ref="B180">_xlfn.XLOOKUP(D180,'Referanc '!$A:$A,'Referanc '!$B:$B)</f>
        <v>Standing Table  - E4</v>
      </c>
      <c r="C180" s="10" t="s">
        <v>375</v>
      </c>
      <c r="D180" s="10" t="s">
        <v>375</v>
      </c>
      <c r="E180" s="10" t="s">
        <v>588</v>
      </c>
      <c r="F180" s="10" t="str">
        <f t="array" ref="F180">_xlfn.XLOOKUP(D180,'Referanc '!$A:$A,'Referanc '!$E:$E)</f>
        <v>E4</v>
      </c>
      <c r="G180" s="10">
        <v>226.0</v>
      </c>
      <c r="H180" s="10">
        <v>12.0</v>
      </c>
      <c r="I180" s="48">
        <v>0.0051</v>
      </c>
      <c r="J180" s="48">
        <v>0.0061</v>
      </c>
      <c r="K180" s="10">
        <v>328.0</v>
      </c>
      <c r="L180" s="10">
        <v>15.0</v>
      </c>
      <c r="M180" s="48">
        <v>0.0054</v>
      </c>
      <c r="N180" s="48">
        <v>0.0054</v>
      </c>
      <c r="O180" s="48">
        <v>0.9426</v>
      </c>
      <c r="P180" s="48">
        <v>1.0</v>
      </c>
      <c r="Q180" s="10">
        <v>1.0</v>
      </c>
      <c r="R180" s="10">
        <v>0.0</v>
      </c>
      <c r="S180" s="48">
        <v>0.0044</v>
      </c>
      <c r="T180" s="48">
        <v>0.0</v>
      </c>
      <c r="U180" s="193">
        <v>25000.0</v>
      </c>
      <c r="V180" s="193">
        <v>0.0</v>
      </c>
      <c r="W180" s="10">
        <v>1.0</v>
      </c>
      <c r="X180" s="10">
        <v>0.0</v>
      </c>
    </row>
    <row r="181" ht="15.75" customHeight="1">
      <c r="A181" s="10" t="s">
        <v>50</v>
      </c>
      <c r="B181" s="10" t="s">
        <v>211</v>
      </c>
      <c r="C181" s="10" t="s">
        <v>314</v>
      </c>
      <c r="D181" s="10" t="s">
        <v>314</v>
      </c>
      <c r="E181" s="10" t="s">
        <v>487</v>
      </c>
      <c r="F181" s="10" t="str">
        <f t="array" ref="F181">_xlfn.XLOOKUP(D181,'Referanc '!$A:$A,'Referanc '!$E:$E)</f>
        <v>Desk Cable Tray</v>
      </c>
      <c r="G181" s="191">
        <v>1328.0</v>
      </c>
      <c r="H181" s="10">
        <v>73.0</v>
      </c>
      <c r="I181" s="48">
        <v>0.0283</v>
      </c>
      <c r="J181" s="48">
        <v>0.0374</v>
      </c>
      <c r="K181" s="191">
        <v>1949.0</v>
      </c>
      <c r="L181" s="10">
        <v>110.0</v>
      </c>
      <c r="M181" s="48">
        <v>0.0295</v>
      </c>
      <c r="N181" s="48">
        <v>0.0391</v>
      </c>
      <c r="O181" s="48">
        <v>0.9678</v>
      </c>
      <c r="P181" s="48">
        <v>0.9863</v>
      </c>
      <c r="Q181" s="10">
        <v>43.0</v>
      </c>
      <c r="R181" s="10">
        <v>5.0</v>
      </c>
      <c r="S181" s="48">
        <v>0.0324</v>
      </c>
      <c r="T181" s="48">
        <v>0.0685</v>
      </c>
      <c r="U181" s="194">
        <v>47829.44</v>
      </c>
      <c r="V181" s="194">
        <v>5864.44</v>
      </c>
      <c r="W181" s="10">
        <v>39.0</v>
      </c>
      <c r="X181" s="10">
        <v>3.0</v>
      </c>
    </row>
    <row r="182" ht="15.75" customHeight="1">
      <c r="A182" s="10" t="s">
        <v>50</v>
      </c>
      <c r="B182" s="10" t="str">
        <f t="array" ref="B182">_xlfn.XLOOKUP(D182,'Referanc '!$A:$A,'Referanc '!$B:$B)</f>
        <v>Standing Table  - M3</v>
      </c>
      <c r="C182" s="10" t="s">
        <v>330</v>
      </c>
      <c r="D182" s="10" t="s">
        <v>330</v>
      </c>
      <c r="E182" s="10" t="s">
        <v>1029</v>
      </c>
      <c r="F182" s="10" t="str">
        <f t="array" ref="F182">_xlfn.XLOOKUP(D182,'Referanc '!$A:$A,'Referanc '!$E:$E)</f>
        <v>M3</v>
      </c>
      <c r="G182" s="191">
        <v>4627.0</v>
      </c>
      <c r="H182" s="10">
        <v>173.0</v>
      </c>
      <c r="I182" s="48">
        <v>0.0985</v>
      </c>
      <c r="J182" s="48">
        <v>0.0887</v>
      </c>
      <c r="K182" s="191">
        <v>7111.0</v>
      </c>
      <c r="L182" s="10">
        <v>250.0</v>
      </c>
      <c r="M182" s="48">
        <v>0.1076</v>
      </c>
      <c r="N182" s="48">
        <v>0.089</v>
      </c>
      <c r="O182" s="48">
        <v>0.8929</v>
      </c>
      <c r="P182" s="48">
        <v>0.8728</v>
      </c>
      <c r="Q182" s="10">
        <v>28.0</v>
      </c>
      <c r="R182" s="10">
        <v>1.0</v>
      </c>
      <c r="S182" s="48">
        <v>0.0061</v>
      </c>
      <c r="T182" s="48">
        <v>0.0058</v>
      </c>
      <c r="U182" s="194">
        <v>414372.0</v>
      </c>
      <c r="V182" s="194">
        <v>14799.0</v>
      </c>
      <c r="W182" s="10">
        <v>28.0</v>
      </c>
      <c r="X182" s="10">
        <v>1.0</v>
      </c>
    </row>
    <row r="183" ht="15.75" customHeight="1">
      <c r="A183" s="10" t="s">
        <v>50</v>
      </c>
      <c r="B183" s="10" t="str">
        <f t="array" ref="B183">_xlfn.XLOOKUP(D183,'Referanc '!$A:$A,'Referanc '!$B:$B)</f>
        <v>Standing Table  - SM3</v>
      </c>
      <c r="C183" s="10" t="s">
        <v>304</v>
      </c>
      <c r="D183" s="10" t="s">
        <v>304</v>
      </c>
      <c r="E183" s="10" t="s">
        <v>580</v>
      </c>
      <c r="F183" s="10" t="str">
        <f t="array" ref="F183">_xlfn.XLOOKUP(D183,'Referanc '!$A:$A,'Referanc '!$E:$E)</f>
        <v>SM3</v>
      </c>
      <c r="G183" s="191">
        <v>6934.0</v>
      </c>
      <c r="H183" s="10">
        <v>244.0</v>
      </c>
      <c r="I183" s="48">
        <v>0.1476</v>
      </c>
      <c r="J183" s="48">
        <v>0.1251</v>
      </c>
      <c r="K183" s="191">
        <v>10125.0</v>
      </c>
      <c r="L183" s="10">
        <v>373.0</v>
      </c>
      <c r="M183" s="48">
        <v>0.1531</v>
      </c>
      <c r="N183" s="48">
        <v>0.1327</v>
      </c>
      <c r="O183" s="48">
        <v>0.7964</v>
      </c>
      <c r="P183" s="48">
        <v>0.869</v>
      </c>
      <c r="Q183" s="10">
        <v>21.0</v>
      </c>
      <c r="R183" s="10">
        <v>0.0</v>
      </c>
      <c r="S183" s="48">
        <v>0.003</v>
      </c>
      <c r="T183" s="48">
        <v>0.0</v>
      </c>
      <c r="U183" s="194">
        <v>445016.96</v>
      </c>
      <c r="V183" s="194">
        <v>0.0</v>
      </c>
      <c r="W183" s="10">
        <v>21.0</v>
      </c>
      <c r="X183" s="10">
        <v>0.0</v>
      </c>
    </row>
    <row r="184" ht="15.75" customHeight="1">
      <c r="A184" s="10" t="s">
        <v>50</v>
      </c>
      <c r="B184" s="10" t="str">
        <f t="array" ref="B184">_xlfn.XLOOKUP(D184,'Referanc '!$A:$A,'Referanc '!$B:$B)</f>
        <v>Standing Table  - SM3</v>
      </c>
      <c r="C184" s="10" t="s">
        <v>291</v>
      </c>
      <c r="D184" s="10" t="s">
        <v>291</v>
      </c>
      <c r="E184" s="10" t="s">
        <v>1026</v>
      </c>
      <c r="F184" s="10" t="str">
        <f t="array" ref="F184">_xlfn.XLOOKUP(D184,'Referanc '!$A:$A,'Referanc '!$E:$E)</f>
        <v>SM3</v>
      </c>
      <c r="G184" s="191">
        <v>5894.0</v>
      </c>
      <c r="H184" s="10">
        <v>189.0</v>
      </c>
      <c r="I184" s="48">
        <v>0.1254</v>
      </c>
      <c r="J184" s="48">
        <v>0.0969</v>
      </c>
      <c r="K184" s="191">
        <v>8237.0</v>
      </c>
      <c r="L184" s="10">
        <v>263.0</v>
      </c>
      <c r="M184" s="48">
        <v>0.1246</v>
      </c>
      <c r="N184" s="48">
        <v>0.0936</v>
      </c>
      <c r="O184" s="48">
        <v>0.7681</v>
      </c>
      <c r="P184" s="48">
        <v>0.7976</v>
      </c>
      <c r="Q184" s="10">
        <v>20.0</v>
      </c>
      <c r="R184" s="10">
        <v>1.0</v>
      </c>
      <c r="S184" s="48">
        <v>0.0034</v>
      </c>
      <c r="T184" s="48">
        <v>0.0053</v>
      </c>
      <c r="U184" s="194">
        <v>423954.24</v>
      </c>
      <c r="V184" s="194">
        <v>21200.0</v>
      </c>
      <c r="W184" s="10">
        <v>20.0</v>
      </c>
      <c r="X184" s="10">
        <v>1.0</v>
      </c>
    </row>
    <row r="185" ht="15.75" customHeight="1">
      <c r="A185" s="10" t="s">
        <v>50</v>
      </c>
      <c r="B185" s="10" t="str">
        <f t="array" ref="B185">_xlfn.XLOOKUP(D185,'Referanc '!$A:$A,'Referanc '!$B:$B)</f>
        <v>Standing Table  - SM3</v>
      </c>
      <c r="C185" s="10" t="s">
        <v>296</v>
      </c>
      <c r="D185" s="10" t="s">
        <v>296</v>
      </c>
      <c r="E185" s="10" t="s">
        <v>563</v>
      </c>
      <c r="F185" s="10" t="str">
        <f t="array" ref="F185">_xlfn.XLOOKUP(D185,'Referanc '!$A:$A,'Referanc '!$E:$E)</f>
        <v>SM3</v>
      </c>
      <c r="G185" s="191">
        <v>2545.0</v>
      </c>
      <c r="H185" s="10">
        <v>94.0</v>
      </c>
      <c r="I185" s="48">
        <v>0.0542</v>
      </c>
      <c r="J185" s="48">
        <v>0.0482</v>
      </c>
      <c r="K185" s="191">
        <v>3567.0</v>
      </c>
      <c r="L185" s="10">
        <v>133.0</v>
      </c>
      <c r="M185" s="48">
        <v>0.0539</v>
      </c>
      <c r="N185" s="48">
        <v>0.0473</v>
      </c>
      <c r="O185" s="48">
        <v>0.8776</v>
      </c>
      <c r="P185" s="48">
        <v>0.8696</v>
      </c>
      <c r="Q185" s="10">
        <v>20.0</v>
      </c>
      <c r="R185" s="10">
        <v>1.0</v>
      </c>
      <c r="S185" s="48">
        <v>0.0079</v>
      </c>
      <c r="T185" s="48">
        <v>0.0106</v>
      </c>
      <c r="U185" s="194">
        <v>495954.24</v>
      </c>
      <c r="V185" s="194">
        <v>24800.0</v>
      </c>
      <c r="W185" s="10">
        <v>20.0</v>
      </c>
      <c r="X185" s="10">
        <v>1.0</v>
      </c>
    </row>
    <row r="186" ht="15.75" customHeight="1">
      <c r="A186" s="10" t="s">
        <v>50</v>
      </c>
      <c r="B186" s="10" t="str">
        <f t="array" ref="B186">_xlfn.XLOOKUP(D186,'Referanc '!$A:$A,'Referanc '!$B:$B)</f>
        <v>Standing Desk Converter</v>
      </c>
      <c r="C186" s="10" t="s">
        <v>326</v>
      </c>
      <c r="D186" s="10" t="s">
        <v>326</v>
      </c>
      <c r="E186" s="10" t="s">
        <v>529</v>
      </c>
      <c r="F186" s="10" t="str">
        <f t="array" ref="F186">_xlfn.XLOOKUP(D186,'Referanc '!$A:$A,'Referanc '!$E:$E)</f>
        <v>Standing Desk Converter</v>
      </c>
      <c r="G186" s="191">
        <v>1064.0</v>
      </c>
      <c r="H186" s="10">
        <v>55.0</v>
      </c>
      <c r="I186" s="48">
        <v>0.0226</v>
      </c>
      <c r="J186" s="48">
        <v>0.0282</v>
      </c>
      <c r="K186" s="191">
        <v>1413.0</v>
      </c>
      <c r="L186" s="10">
        <v>79.0</v>
      </c>
      <c r="M186" s="48">
        <v>0.0214</v>
      </c>
      <c r="N186" s="48">
        <v>0.0281</v>
      </c>
      <c r="O186" s="48">
        <v>0.8819</v>
      </c>
      <c r="P186" s="48">
        <v>0.8431</v>
      </c>
      <c r="Q186" s="10">
        <v>15.0</v>
      </c>
      <c r="R186" s="10">
        <v>2.0</v>
      </c>
      <c r="S186" s="48">
        <v>0.0141</v>
      </c>
      <c r="T186" s="48">
        <v>0.0364</v>
      </c>
      <c r="U186" s="194">
        <v>88500.0</v>
      </c>
      <c r="V186" s="194">
        <v>11800.0</v>
      </c>
      <c r="W186" s="10">
        <v>15.0</v>
      </c>
      <c r="X186" s="10">
        <v>2.0</v>
      </c>
    </row>
    <row r="187" ht="15.75" customHeight="1">
      <c r="A187" s="10" t="s">
        <v>50</v>
      </c>
      <c r="B187" s="10" t="str">
        <f t="array" ref="B187">_xlfn.XLOOKUP(D187,'Referanc '!$A:$A,'Referanc '!$B:$B)</f>
        <v>Standing Table  - SM3</v>
      </c>
      <c r="C187" s="10" t="s">
        <v>301</v>
      </c>
      <c r="D187" s="10" t="s">
        <v>301</v>
      </c>
      <c r="E187" s="10" t="s">
        <v>1028</v>
      </c>
      <c r="F187" s="10" t="str">
        <f t="array" ref="F187">_xlfn.XLOOKUP(D187,'Referanc '!$A:$A,'Referanc '!$E:$E)</f>
        <v>SM3</v>
      </c>
      <c r="G187" s="191">
        <v>2517.0</v>
      </c>
      <c r="H187" s="10">
        <v>100.0</v>
      </c>
      <c r="I187" s="48">
        <v>0.0536</v>
      </c>
      <c r="J187" s="48">
        <v>0.0513</v>
      </c>
      <c r="K187" s="191">
        <v>3388.0</v>
      </c>
      <c r="L187" s="10">
        <v>179.0</v>
      </c>
      <c r="M187" s="48">
        <v>0.0512</v>
      </c>
      <c r="N187" s="48">
        <v>0.0637</v>
      </c>
      <c r="O187" s="48">
        <v>0.8378</v>
      </c>
      <c r="P187" s="48">
        <v>0.8878</v>
      </c>
      <c r="Q187" s="10">
        <v>25.0</v>
      </c>
      <c r="R187" s="10">
        <v>15.0</v>
      </c>
      <c r="S187" s="48">
        <v>0.0099</v>
      </c>
      <c r="T187" s="48">
        <v>0.15</v>
      </c>
      <c r="U187" s="194">
        <v>619954.24</v>
      </c>
      <c r="V187" s="194">
        <v>372000.0</v>
      </c>
      <c r="W187" s="10">
        <v>12.0</v>
      </c>
      <c r="X187" s="10">
        <v>2.0</v>
      </c>
    </row>
    <row r="188" ht="15.75" customHeight="1">
      <c r="A188" s="10" t="s">
        <v>50</v>
      </c>
      <c r="B188" s="10" t="str">
        <f t="array" ref="B188">_xlfn.XLOOKUP(D188,'Referanc '!$A:$A,'Referanc '!$B:$B)</f>
        <v>Standing Table  - E4</v>
      </c>
      <c r="C188" s="10" t="s">
        <v>388</v>
      </c>
      <c r="D188" s="10" t="s">
        <v>388</v>
      </c>
      <c r="E188" s="10" t="s">
        <v>606</v>
      </c>
      <c r="F188" s="10" t="str">
        <f t="array" ref="F188">_xlfn.XLOOKUP(D188,'Referanc '!$A:$A,'Referanc '!$E:$E)</f>
        <v>E4</v>
      </c>
      <c r="G188" s="10">
        <v>939.0</v>
      </c>
      <c r="H188" s="10">
        <v>31.0</v>
      </c>
      <c r="I188" s="48">
        <v>0.02</v>
      </c>
      <c r="J188" s="48">
        <v>0.0159</v>
      </c>
      <c r="K188" s="191">
        <v>1369.0</v>
      </c>
      <c r="L188" s="10">
        <v>59.0</v>
      </c>
      <c r="M188" s="48">
        <v>0.0207</v>
      </c>
      <c r="N188" s="48">
        <v>0.021</v>
      </c>
      <c r="O188" s="48">
        <v>0.8008</v>
      </c>
      <c r="P188" s="48">
        <v>0.8889</v>
      </c>
      <c r="Q188" s="10">
        <v>10.0</v>
      </c>
      <c r="R188" s="10">
        <v>1.0</v>
      </c>
      <c r="S188" s="48">
        <v>0.0106</v>
      </c>
      <c r="T188" s="48">
        <v>0.0323</v>
      </c>
      <c r="U188" s="194">
        <v>249816.96</v>
      </c>
      <c r="V188" s="194">
        <v>25000.0</v>
      </c>
      <c r="W188" s="10">
        <v>10.0</v>
      </c>
      <c r="X188" s="10">
        <v>1.0</v>
      </c>
    </row>
    <row r="189" ht="15.75" customHeight="1">
      <c r="A189" s="10" t="s">
        <v>50</v>
      </c>
      <c r="B189" s="10" t="str">
        <f t="array" ref="B189">_xlfn.XLOOKUP(D189,'Referanc '!$A:$A,'Referanc '!$B:$B)</f>
        <v>Standing Table  - E2</v>
      </c>
      <c r="C189" s="10" t="s">
        <v>311</v>
      </c>
      <c r="D189" s="10" t="s">
        <v>311</v>
      </c>
      <c r="E189" s="10" t="s">
        <v>1033</v>
      </c>
      <c r="F189" s="10" t="str">
        <f t="array" ref="F189">_xlfn.XLOOKUP(D189,'Referanc '!$A:$A,'Referanc '!$E:$E)</f>
        <v>E2</v>
      </c>
      <c r="G189" s="191">
        <v>2097.0</v>
      </c>
      <c r="H189" s="10">
        <v>121.0</v>
      </c>
      <c r="I189" s="48">
        <v>0.0446</v>
      </c>
      <c r="J189" s="48">
        <v>0.0621</v>
      </c>
      <c r="K189" s="191">
        <v>3132.0</v>
      </c>
      <c r="L189" s="10">
        <v>189.0</v>
      </c>
      <c r="M189" s="48">
        <v>0.0474</v>
      </c>
      <c r="N189" s="48">
        <v>0.0673</v>
      </c>
      <c r="O189" s="48">
        <v>0.9323</v>
      </c>
      <c r="P189" s="48">
        <v>0.8448</v>
      </c>
      <c r="Q189" s="10">
        <v>8.0</v>
      </c>
      <c r="R189" s="10">
        <v>1.0</v>
      </c>
      <c r="S189" s="48">
        <v>0.0038</v>
      </c>
      <c r="T189" s="48">
        <v>0.0083</v>
      </c>
      <c r="U189" s="194">
        <v>271200.0</v>
      </c>
      <c r="V189" s="194">
        <v>33900.0</v>
      </c>
      <c r="W189" s="10">
        <v>8.0</v>
      </c>
      <c r="X189" s="10">
        <v>1.0</v>
      </c>
    </row>
    <row r="190" ht="15.75" customHeight="1">
      <c r="A190" s="10" t="s">
        <v>50</v>
      </c>
      <c r="B190" s="10" t="str">
        <f t="array" ref="B190">_xlfn.XLOOKUP(D190,'Referanc '!$A:$A,'Referanc '!$B:$B)</f>
        <v>Standing Table - All Frames</v>
      </c>
      <c r="C190" s="10" t="s">
        <v>298</v>
      </c>
      <c r="D190" s="10" t="s">
        <v>298</v>
      </c>
      <c r="E190" s="10" t="s">
        <v>1000</v>
      </c>
      <c r="F190" s="10" t="str">
        <f t="array" ref="F190">_xlfn.XLOOKUP(D190,'Referanc '!$A:$A,'Referanc '!$E:$E)</f>
        <v>SM3</v>
      </c>
      <c r="G190" s="191">
        <v>1805.0</v>
      </c>
      <c r="H190" s="10">
        <v>69.0</v>
      </c>
      <c r="I190" s="48">
        <v>0.0384</v>
      </c>
      <c r="J190" s="48">
        <v>0.0354</v>
      </c>
      <c r="K190" s="191">
        <v>2303.0</v>
      </c>
      <c r="L190" s="10">
        <v>98.0</v>
      </c>
      <c r="M190" s="48">
        <v>0.0348</v>
      </c>
      <c r="N190" s="48">
        <v>0.0349</v>
      </c>
      <c r="O190" s="48">
        <v>0.8015</v>
      </c>
      <c r="P190" s="48">
        <v>0.8846</v>
      </c>
      <c r="Q190" s="10">
        <v>7.0</v>
      </c>
      <c r="R190" s="10">
        <v>1.0</v>
      </c>
      <c r="S190" s="48">
        <v>0.0039</v>
      </c>
      <c r="T190" s="48">
        <v>0.0145</v>
      </c>
      <c r="U190" s="194">
        <v>127308.48</v>
      </c>
      <c r="V190" s="194">
        <v>18154.24</v>
      </c>
      <c r="W190" s="10">
        <v>7.0</v>
      </c>
      <c r="X190" s="10">
        <v>1.0</v>
      </c>
    </row>
    <row r="191" ht="15.75" customHeight="1">
      <c r="A191" s="10" t="s">
        <v>50</v>
      </c>
      <c r="B191" s="10" t="str">
        <f t="array" ref="B191">_xlfn.XLOOKUP(D191,'Referanc '!$A:$A,'Referanc '!$B:$B)</f>
        <v>Extension &amp; Holder</v>
      </c>
      <c r="C191" s="10" t="s">
        <v>308</v>
      </c>
      <c r="D191" s="10" t="s">
        <v>308</v>
      </c>
      <c r="E191" s="10" t="s">
        <v>484</v>
      </c>
      <c r="F191" s="10" t="str">
        <f t="array" ref="F191">_xlfn.XLOOKUP(D191,'Referanc '!$A:$A,'Referanc '!$E:$E)</f>
        <v>Extension Board Holder</v>
      </c>
      <c r="G191" s="10">
        <v>112.0</v>
      </c>
      <c r="H191" s="10">
        <v>6.0</v>
      </c>
      <c r="I191" s="48">
        <v>0.0024</v>
      </c>
      <c r="J191" s="48">
        <v>0.0031</v>
      </c>
      <c r="K191" s="10">
        <v>153.0</v>
      </c>
      <c r="L191" s="10">
        <v>6.0</v>
      </c>
      <c r="M191" s="48">
        <v>0.0023</v>
      </c>
      <c r="N191" s="48">
        <v>0.0021</v>
      </c>
      <c r="O191" s="48">
        <v>0.9191</v>
      </c>
      <c r="P191" s="48">
        <v>0.8</v>
      </c>
      <c r="Q191" s="10">
        <v>6.0</v>
      </c>
      <c r="R191" s="10">
        <v>0.0</v>
      </c>
      <c r="S191" s="48">
        <v>0.0536</v>
      </c>
      <c r="T191" s="48">
        <v>0.0</v>
      </c>
      <c r="U191" s="194">
        <v>8100.0</v>
      </c>
      <c r="V191" s="194">
        <v>0.0</v>
      </c>
      <c r="W191" s="10">
        <v>6.0</v>
      </c>
      <c r="X191" s="10">
        <v>0.0</v>
      </c>
    </row>
    <row r="192" ht="15.75" customHeight="1">
      <c r="A192" s="10" t="s">
        <v>50</v>
      </c>
      <c r="B192" s="10" t="str">
        <f t="array" ref="B192">_xlfn.XLOOKUP(D192,'Referanc '!$A:$A,'Referanc '!$B:$B)</f>
        <v>Extension &amp; Holder</v>
      </c>
      <c r="C192" s="10" t="s">
        <v>338</v>
      </c>
      <c r="D192" s="10" t="s">
        <v>338</v>
      </c>
      <c r="E192" s="10" t="s">
        <v>586</v>
      </c>
      <c r="F192" s="10" t="str">
        <f t="array" ref="F192">_xlfn.XLOOKUP(D192,'Referanc '!$A:$A,'Referanc '!$E:$E)</f>
        <v>Extension Board Holder</v>
      </c>
      <c r="G192" s="10">
        <v>552.0</v>
      </c>
      <c r="H192" s="10">
        <v>33.0</v>
      </c>
      <c r="I192" s="48">
        <v>0.0117</v>
      </c>
      <c r="J192" s="48">
        <v>0.0169</v>
      </c>
      <c r="K192" s="10">
        <v>690.0</v>
      </c>
      <c r="L192" s="10">
        <v>35.0</v>
      </c>
      <c r="M192" s="48">
        <v>0.0104</v>
      </c>
      <c r="N192" s="48">
        <v>0.0125</v>
      </c>
      <c r="O192" s="48">
        <v>0.9721</v>
      </c>
      <c r="P192" s="48">
        <v>0.95</v>
      </c>
      <c r="Q192" s="10">
        <v>6.0</v>
      </c>
      <c r="R192" s="10">
        <v>0.0</v>
      </c>
      <c r="S192" s="48">
        <v>0.0109</v>
      </c>
      <c r="T192" s="48">
        <v>0.0</v>
      </c>
      <c r="U192" s="194">
        <v>5739.0</v>
      </c>
      <c r="V192" s="194">
        <v>0.0</v>
      </c>
      <c r="W192" s="10">
        <v>6.0</v>
      </c>
      <c r="X192" s="10">
        <v>0.0</v>
      </c>
    </row>
    <row r="193" ht="15.75" customHeight="1">
      <c r="A193" s="10" t="s">
        <v>50</v>
      </c>
      <c r="B193" s="10" t="str">
        <f t="array" ref="B193">_xlfn.XLOOKUP(D193,'Referanc '!$A:$A,'Referanc '!$B:$B)</f>
        <v>Standing Table  - E4</v>
      </c>
      <c r="C193" s="10" t="s">
        <v>375</v>
      </c>
      <c r="D193" s="10" t="s">
        <v>375</v>
      </c>
      <c r="E193" s="10" t="s">
        <v>588</v>
      </c>
      <c r="F193" s="10" t="str">
        <f t="array" ref="F193">_xlfn.XLOOKUP(D193,'Referanc '!$A:$A,'Referanc '!$E:$E)</f>
        <v>E4</v>
      </c>
      <c r="G193" s="10">
        <v>458.0</v>
      </c>
      <c r="H193" s="10">
        <v>16.0</v>
      </c>
      <c r="I193" s="48">
        <v>0.0097</v>
      </c>
      <c r="J193" s="48">
        <v>0.0082</v>
      </c>
      <c r="K193" s="10">
        <v>601.0</v>
      </c>
      <c r="L193" s="10">
        <v>22.0</v>
      </c>
      <c r="M193" s="48">
        <v>0.0091</v>
      </c>
      <c r="N193" s="48">
        <v>0.0078</v>
      </c>
      <c r="O193" s="48">
        <v>0.8032</v>
      </c>
      <c r="P193" s="48">
        <v>0.9286</v>
      </c>
      <c r="Q193" s="10">
        <v>6.0</v>
      </c>
      <c r="R193" s="10">
        <v>1.0</v>
      </c>
      <c r="S193" s="48">
        <v>0.0131</v>
      </c>
      <c r="T193" s="48">
        <v>0.0625</v>
      </c>
      <c r="U193" s="194">
        <v>149908.48</v>
      </c>
      <c r="V193" s="194">
        <v>25000.0</v>
      </c>
      <c r="W193" s="10">
        <v>6.0</v>
      </c>
      <c r="X193" s="10">
        <v>1.0</v>
      </c>
    </row>
    <row r="194" ht="15.75" customHeight="1">
      <c r="A194" s="10" t="s">
        <v>50</v>
      </c>
      <c r="B194" s="10" t="str">
        <f t="array" ref="B194">_xlfn.XLOOKUP(D194,'Referanc '!$A:$A,'Referanc '!$B:$B)</f>
        <v>Standing Table - All Frames</v>
      </c>
      <c r="C194" s="10" t="s">
        <v>306</v>
      </c>
      <c r="D194" s="10" t="s">
        <v>306</v>
      </c>
      <c r="E194" s="10" t="s">
        <v>1035</v>
      </c>
      <c r="F194" s="10" t="str">
        <f t="array" ref="F194">_xlfn.XLOOKUP(D194,'Referanc '!$A:$A,'Referanc '!$E:$E)</f>
        <v>E2</v>
      </c>
      <c r="G194" s="191">
        <v>1747.0</v>
      </c>
      <c r="H194" s="10">
        <v>69.0</v>
      </c>
      <c r="I194" s="48">
        <v>0.0372</v>
      </c>
      <c r="J194" s="48">
        <v>0.0354</v>
      </c>
      <c r="K194" s="191">
        <v>2398.0</v>
      </c>
      <c r="L194" s="10">
        <v>96.0</v>
      </c>
      <c r="M194" s="48">
        <v>0.0363</v>
      </c>
      <c r="N194" s="48">
        <v>0.0342</v>
      </c>
      <c r="O194" s="48">
        <v>0.8559</v>
      </c>
      <c r="P194" s="48">
        <v>0.7627</v>
      </c>
      <c r="Q194" s="10">
        <v>5.0</v>
      </c>
      <c r="R194" s="10">
        <v>1.0</v>
      </c>
      <c r="S194" s="48">
        <v>0.0029</v>
      </c>
      <c r="T194" s="48">
        <v>0.0145</v>
      </c>
      <c r="U194" s="194">
        <v>137500.0</v>
      </c>
      <c r="V194" s="194">
        <v>27500.0</v>
      </c>
      <c r="W194" s="10">
        <v>5.0</v>
      </c>
      <c r="X194" s="10">
        <v>1.0</v>
      </c>
    </row>
    <row r="195" ht="15.75" customHeight="1">
      <c r="A195" s="10" t="s">
        <v>50</v>
      </c>
      <c r="B195" s="10" t="str">
        <f t="array" ref="B195">_xlfn.XLOOKUP(D195,'Referanc '!$A:$A,'Referanc '!$B:$B)</f>
        <v>Standing Table  - E2</v>
      </c>
      <c r="C195" s="10" t="s">
        <v>293</v>
      </c>
      <c r="D195" s="10" t="s">
        <v>293</v>
      </c>
      <c r="E195" s="10" t="s">
        <v>1039</v>
      </c>
      <c r="F195" s="10" t="str">
        <f t="array" ref="F195">_xlfn.XLOOKUP(D195,'Referanc '!$A:$A,'Referanc '!$E:$E)</f>
        <v>E2</v>
      </c>
      <c r="G195" s="191">
        <v>1270.0</v>
      </c>
      <c r="H195" s="10">
        <v>47.0</v>
      </c>
      <c r="I195" s="48">
        <v>0.027</v>
      </c>
      <c r="J195" s="48">
        <v>0.0241</v>
      </c>
      <c r="K195" s="191">
        <v>1691.0</v>
      </c>
      <c r="L195" s="10">
        <v>55.0</v>
      </c>
      <c r="M195" s="48">
        <v>0.0256</v>
      </c>
      <c r="N195" s="48">
        <v>0.0196</v>
      </c>
      <c r="O195" s="48">
        <v>0.8466</v>
      </c>
      <c r="P195" s="48">
        <v>0.75</v>
      </c>
      <c r="Q195" s="10">
        <v>5.0</v>
      </c>
      <c r="R195" s="10">
        <v>0.0</v>
      </c>
      <c r="S195" s="48">
        <v>0.0039</v>
      </c>
      <c r="T195" s="48">
        <v>0.0</v>
      </c>
      <c r="U195" s="194">
        <v>154500.0</v>
      </c>
      <c r="V195" s="194">
        <v>0.0</v>
      </c>
      <c r="W195" s="10">
        <v>5.0</v>
      </c>
      <c r="X195" s="10">
        <v>0.0</v>
      </c>
    </row>
    <row r="196" ht="15.75" customHeight="1">
      <c r="A196" s="10" t="s">
        <v>50</v>
      </c>
      <c r="B196" s="10" t="str">
        <f t="array" ref="B196">_xlfn.XLOOKUP(D196,'Referanc '!$A:$A,'Referanc '!$B:$B)</f>
        <v>Standing Table  - E2</v>
      </c>
      <c r="C196" s="10" t="s">
        <v>309</v>
      </c>
      <c r="D196" s="10" t="s">
        <v>309</v>
      </c>
      <c r="E196" s="10" t="s">
        <v>1032</v>
      </c>
      <c r="F196" s="10" t="str">
        <f t="array" ref="F196">_xlfn.XLOOKUP(D196,'Referanc '!$A:$A,'Referanc '!$E:$E)</f>
        <v>E2</v>
      </c>
      <c r="G196" s="10">
        <v>762.0</v>
      </c>
      <c r="H196" s="10">
        <v>38.0</v>
      </c>
      <c r="I196" s="48">
        <v>0.0162</v>
      </c>
      <c r="J196" s="48">
        <v>0.0195</v>
      </c>
      <c r="K196" s="191">
        <v>1048.0</v>
      </c>
      <c r="L196" s="10">
        <v>50.0</v>
      </c>
      <c r="M196" s="48">
        <v>0.0159</v>
      </c>
      <c r="N196" s="48">
        <v>0.0178</v>
      </c>
      <c r="O196" s="48">
        <v>0.8772</v>
      </c>
      <c r="P196" s="48">
        <v>0.6765</v>
      </c>
      <c r="Q196" s="10">
        <v>4.0</v>
      </c>
      <c r="R196" s="10">
        <v>0.0</v>
      </c>
      <c r="S196" s="48">
        <v>0.0052</v>
      </c>
      <c r="T196" s="48">
        <v>0.0</v>
      </c>
      <c r="U196" s="194">
        <v>135600.0</v>
      </c>
      <c r="V196" s="194">
        <v>0.0</v>
      </c>
      <c r="W196" s="10">
        <v>4.0</v>
      </c>
      <c r="X196" s="10">
        <v>0.0</v>
      </c>
    </row>
    <row r="197" ht="15.75" customHeight="1">
      <c r="A197" s="10" t="s">
        <v>50</v>
      </c>
      <c r="B197" s="10" t="str">
        <f t="array" ref="B197">_xlfn.XLOOKUP(D197,'Referanc '!$A:$A,'Referanc '!$B:$B)</f>
        <v>Standing Table  - SM3</v>
      </c>
      <c r="C197" s="10" t="s">
        <v>370</v>
      </c>
      <c r="D197" s="10" t="s">
        <v>370</v>
      </c>
      <c r="E197" s="10" t="s">
        <v>580</v>
      </c>
      <c r="F197" s="10" t="str">
        <f t="array" ref="F197">_xlfn.XLOOKUP(D197,'Referanc '!$A:$A,'Referanc '!$E:$E)</f>
        <v>SM3</v>
      </c>
      <c r="G197" s="10">
        <v>531.0</v>
      </c>
      <c r="H197" s="10">
        <v>24.0</v>
      </c>
      <c r="I197" s="48">
        <v>0.0113</v>
      </c>
      <c r="J197" s="48">
        <v>0.0123</v>
      </c>
      <c r="K197" s="10">
        <v>762.0</v>
      </c>
      <c r="L197" s="10">
        <v>31.0</v>
      </c>
      <c r="M197" s="48">
        <v>0.0115</v>
      </c>
      <c r="N197" s="48">
        <v>0.011</v>
      </c>
      <c r="O197" s="48">
        <v>0.8964</v>
      </c>
      <c r="P197" s="48">
        <v>0.7826</v>
      </c>
      <c r="Q197" s="10">
        <v>4.0</v>
      </c>
      <c r="R197" s="10">
        <v>1.0</v>
      </c>
      <c r="S197" s="48">
        <v>0.0075</v>
      </c>
      <c r="T197" s="48">
        <v>0.0417</v>
      </c>
      <c r="U197" s="194">
        <v>84800.0</v>
      </c>
      <c r="V197" s="194">
        <v>21200.0</v>
      </c>
      <c r="W197" s="10">
        <v>4.0</v>
      </c>
      <c r="X197" s="10">
        <v>1.0</v>
      </c>
    </row>
    <row r="198" ht="15.75" customHeight="1">
      <c r="A198" s="10" t="s">
        <v>50</v>
      </c>
      <c r="B198" s="10" t="str">
        <f t="array" ref="B198">_xlfn.XLOOKUP(D198,'Referanc '!$A:$A,'Referanc '!$B:$B)</f>
        <v>Standing Table  - E4</v>
      </c>
      <c r="C198" s="10" t="s">
        <v>398</v>
      </c>
      <c r="D198" s="10" t="s">
        <v>398</v>
      </c>
      <c r="E198" s="10" t="s">
        <v>622</v>
      </c>
      <c r="F198" s="10" t="str">
        <f t="array" ref="F198">_xlfn.XLOOKUP(D198,'Referanc '!$A:$A,'Referanc '!$E:$E)</f>
        <v>E4</v>
      </c>
      <c r="G198" s="10">
        <v>803.0</v>
      </c>
      <c r="H198" s="10">
        <v>28.0</v>
      </c>
      <c r="I198" s="48">
        <v>0.0171</v>
      </c>
      <c r="J198" s="48">
        <v>0.0144</v>
      </c>
      <c r="K198" s="191">
        <v>1055.0</v>
      </c>
      <c r="L198" s="10">
        <v>32.0</v>
      </c>
      <c r="M198" s="48">
        <v>0.016</v>
      </c>
      <c r="N198" s="48">
        <v>0.0114</v>
      </c>
      <c r="O198" s="48">
        <v>0.7578</v>
      </c>
      <c r="P198" s="48">
        <v>0.8182</v>
      </c>
      <c r="Q198" s="10">
        <v>4.0</v>
      </c>
      <c r="R198" s="10">
        <v>0.0</v>
      </c>
      <c r="S198" s="48">
        <v>0.005</v>
      </c>
      <c r="T198" s="48">
        <v>0.0</v>
      </c>
      <c r="U198" s="194">
        <v>110862.72</v>
      </c>
      <c r="V198" s="194">
        <v>0.0</v>
      </c>
      <c r="W198" s="10">
        <v>4.0</v>
      </c>
      <c r="X198" s="10">
        <v>0.0</v>
      </c>
    </row>
    <row r="199" ht="15.75" customHeight="1">
      <c r="A199" s="10" t="s">
        <v>50</v>
      </c>
      <c r="B199" s="10" t="str">
        <f t="array" ref="B199">_xlfn.XLOOKUP(D199,'Referanc '!$A:$A,'Referanc '!$B:$B)</f>
        <v>Extension &amp; Holder</v>
      </c>
      <c r="C199" s="10" t="s">
        <v>307</v>
      </c>
      <c r="D199" s="10" t="s">
        <v>307</v>
      </c>
      <c r="E199" s="10" t="s">
        <v>482</v>
      </c>
      <c r="F199" s="10" t="str">
        <f t="array" ref="F199">_xlfn.XLOOKUP(D199,'Referanc '!$A:$A,'Referanc '!$E:$E)</f>
        <v>Extension Board Holder</v>
      </c>
      <c r="G199" s="10">
        <v>70.0</v>
      </c>
      <c r="H199" s="10">
        <v>6.0</v>
      </c>
      <c r="I199" s="48">
        <v>0.0015</v>
      </c>
      <c r="J199" s="48">
        <v>0.0031</v>
      </c>
      <c r="K199" s="10">
        <v>104.0</v>
      </c>
      <c r="L199" s="10">
        <v>12.0</v>
      </c>
      <c r="M199" s="48">
        <v>0.0016</v>
      </c>
      <c r="N199" s="48">
        <v>0.0043</v>
      </c>
      <c r="O199" s="48">
        <v>0.8511</v>
      </c>
      <c r="P199" s="48">
        <v>0.6</v>
      </c>
      <c r="Q199" s="10">
        <v>4.0</v>
      </c>
      <c r="R199" s="10">
        <v>0.0</v>
      </c>
      <c r="S199" s="48">
        <v>0.0571</v>
      </c>
      <c r="T199" s="48">
        <v>0.0</v>
      </c>
      <c r="U199" s="194">
        <v>3160.0</v>
      </c>
      <c r="V199" s="194">
        <v>0.0</v>
      </c>
      <c r="W199" s="10">
        <v>3.0</v>
      </c>
      <c r="X199" s="10">
        <v>0.0</v>
      </c>
    </row>
    <row r="200" ht="15.75" customHeight="1">
      <c r="A200" s="10" t="s">
        <v>50</v>
      </c>
      <c r="B200" s="10" t="str">
        <f t="array" ref="B200">_xlfn.XLOOKUP(D200,'Referanc '!$A:$A,'Referanc '!$B:$B)</f>
        <v>Monitor Arm Stand</v>
      </c>
      <c r="C200" s="10" t="s">
        <v>342</v>
      </c>
      <c r="D200" s="10" t="s">
        <v>342</v>
      </c>
      <c r="E200" s="10" t="s">
        <v>522</v>
      </c>
      <c r="F200" s="10" t="str">
        <f t="array" ref="F200">_xlfn.XLOOKUP(D200,'Referanc '!$A:$A,'Referanc '!$E:$E)</f>
        <v>Monitor Arm Stand</v>
      </c>
      <c r="G200" s="191">
        <v>1017.0</v>
      </c>
      <c r="H200" s="10">
        <v>64.0</v>
      </c>
      <c r="I200" s="48">
        <v>0.0216</v>
      </c>
      <c r="J200" s="48">
        <v>0.0328</v>
      </c>
      <c r="K200" s="191">
        <v>1373.0</v>
      </c>
      <c r="L200" s="10">
        <v>93.0</v>
      </c>
      <c r="M200" s="48">
        <v>0.0208</v>
      </c>
      <c r="N200" s="48">
        <v>0.0331</v>
      </c>
      <c r="O200" s="48">
        <v>0.9267</v>
      </c>
      <c r="P200" s="48">
        <v>0.7843</v>
      </c>
      <c r="Q200" s="10">
        <v>3.0</v>
      </c>
      <c r="R200" s="10">
        <v>1.0</v>
      </c>
      <c r="S200" s="48">
        <v>0.0029</v>
      </c>
      <c r="T200" s="48">
        <v>0.0156</v>
      </c>
      <c r="U200" s="194">
        <v>26700.0</v>
      </c>
      <c r="V200" s="194">
        <v>8900.0</v>
      </c>
      <c r="W200" s="10">
        <v>3.0</v>
      </c>
      <c r="X200" s="10">
        <v>1.0</v>
      </c>
    </row>
    <row r="201" ht="15.75" customHeight="1">
      <c r="A201" s="10" t="s">
        <v>50</v>
      </c>
      <c r="B201" s="10" t="str">
        <f t="array" ref="B201">_xlfn.XLOOKUP(D201,'Referanc '!$A:$A,'Referanc '!$B:$B)</f>
        <v>Standing Table  - E3</v>
      </c>
      <c r="C201" s="10" t="s">
        <v>364</v>
      </c>
      <c r="D201" s="10" t="s">
        <v>364</v>
      </c>
      <c r="E201" s="10" t="s">
        <v>1098</v>
      </c>
      <c r="F201" s="10" t="str">
        <f t="array" ref="F201">_xlfn.XLOOKUP(D201,'Referanc '!$A:$A,'Referanc '!$E:$E)</f>
        <v>E3</v>
      </c>
      <c r="G201" s="10">
        <v>612.0</v>
      </c>
      <c r="H201" s="10">
        <v>17.0</v>
      </c>
      <c r="I201" s="48">
        <v>0.013</v>
      </c>
      <c r="J201" s="48">
        <v>0.0087</v>
      </c>
      <c r="K201" s="10">
        <v>842.0</v>
      </c>
      <c r="L201" s="10">
        <v>24.0</v>
      </c>
      <c r="M201" s="48">
        <v>0.0127</v>
      </c>
      <c r="N201" s="48">
        <v>0.0085</v>
      </c>
      <c r="O201" s="48">
        <v>0.7841</v>
      </c>
      <c r="P201" s="48">
        <v>0.9412</v>
      </c>
      <c r="Q201" s="10">
        <v>3.0</v>
      </c>
      <c r="R201" s="10">
        <v>2.0</v>
      </c>
      <c r="S201" s="48">
        <v>0.0049</v>
      </c>
      <c r="T201" s="48">
        <v>0.1176</v>
      </c>
      <c r="U201" s="194">
        <v>123000.0</v>
      </c>
      <c r="V201" s="194">
        <v>82000.0</v>
      </c>
      <c r="W201" s="10">
        <v>3.0</v>
      </c>
      <c r="X201" s="10">
        <v>2.0</v>
      </c>
    </row>
    <row r="202" ht="15.75" customHeight="1">
      <c r="A202" s="10" t="s">
        <v>50</v>
      </c>
      <c r="B202" s="10" t="str">
        <f t="array" ref="B202">_xlfn.XLOOKUP(D202,'Referanc '!$A:$A,'Referanc '!$B:$B)</f>
        <v>Standing Table  - E2</v>
      </c>
      <c r="C202" s="10" t="s">
        <v>313</v>
      </c>
      <c r="D202" s="10" t="s">
        <v>313</v>
      </c>
      <c r="E202" s="10" t="s">
        <v>1034</v>
      </c>
      <c r="F202" s="10" t="str">
        <f t="array" ref="F202">_xlfn.XLOOKUP(D202,'Referanc '!$A:$A,'Referanc '!$E:$E)</f>
        <v>E2</v>
      </c>
      <c r="G202" s="10">
        <v>532.0</v>
      </c>
      <c r="H202" s="10">
        <v>23.0</v>
      </c>
      <c r="I202" s="48">
        <v>0.0113</v>
      </c>
      <c r="J202" s="48">
        <v>0.0118</v>
      </c>
      <c r="K202" s="10">
        <v>722.0</v>
      </c>
      <c r="L202" s="10">
        <v>27.0</v>
      </c>
      <c r="M202" s="48">
        <v>0.0109</v>
      </c>
      <c r="N202" s="48">
        <v>0.0096</v>
      </c>
      <c r="O202" s="48">
        <v>0.8234</v>
      </c>
      <c r="P202" s="48">
        <v>0.8333</v>
      </c>
      <c r="Q202" s="10">
        <v>3.0</v>
      </c>
      <c r="R202" s="10">
        <v>0.0</v>
      </c>
      <c r="S202" s="48">
        <v>0.0056</v>
      </c>
      <c r="T202" s="48">
        <v>0.0</v>
      </c>
      <c r="U202" s="194">
        <v>92700.0</v>
      </c>
      <c r="V202" s="194">
        <v>0.0</v>
      </c>
      <c r="W202" s="10">
        <v>3.0</v>
      </c>
      <c r="X202" s="10">
        <v>0.0</v>
      </c>
    </row>
    <row r="203" ht="15.75" customHeight="1">
      <c r="A203" s="10" t="s">
        <v>50</v>
      </c>
      <c r="B203" s="10" t="str">
        <f t="array" ref="B203">_xlfn.XLOOKUP(D203,'Referanc '!$A:$A,'Referanc '!$B:$B)</f>
        <v>Standing Table  - SM3</v>
      </c>
      <c r="C203" s="10" t="s">
        <v>386</v>
      </c>
      <c r="D203" s="10" t="s">
        <v>386</v>
      </c>
      <c r="E203" s="10" t="s">
        <v>600</v>
      </c>
      <c r="F203" s="10" t="str">
        <f t="array" ref="F203">_xlfn.XLOOKUP(D203,'Referanc '!$A:$A,'Referanc '!$E:$E)</f>
        <v>SM3</v>
      </c>
      <c r="G203" s="10">
        <v>143.0</v>
      </c>
      <c r="H203" s="10">
        <v>7.0</v>
      </c>
      <c r="I203" s="48">
        <v>0.003</v>
      </c>
      <c r="J203" s="48">
        <v>0.0036</v>
      </c>
      <c r="K203" s="10">
        <v>210.0</v>
      </c>
      <c r="L203" s="10">
        <v>12.0</v>
      </c>
      <c r="M203" s="48">
        <v>0.0032</v>
      </c>
      <c r="N203" s="48">
        <v>0.0043</v>
      </c>
      <c r="O203" s="48">
        <v>0.8889</v>
      </c>
      <c r="P203" s="48">
        <v>1.0</v>
      </c>
      <c r="Q203" s="10">
        <v>3.0</v>
      </c>
      <c r="R203" s="10">
        <v>1.0</v>
      </c>
      <c r="S203" s="48">
        <v>0.021</v>
      </c>
      <c r="T203" s="48">
        <v>0.1429</v>
      </c>
      <c r="U203" s="194">
        <v>76500.0</v>
      </c>
      <c r="V203" s="194">
        <v>25500.0</v>
      </c>
      <c r="W203" s="10">
        <v>3.0</v>
      </c>
      <c r="X203" s="10">
        <v>1.0</v>
      </c>
    </row>
    <row r="204" ht="15.75" customHeight="1">
      <c r="A204" s="10" t="s">
        <v>50</v>
      </c>
      <c r="B204" s="10" t="str">
        <f t="array" ref="B204">_xlfn.XLOOKUP(D204,'Referanc '!$A:$A,'Referanc '!$B:$B)</f>
        <v>Standing Table - All Frames</v>
      </c>
      <c r="C204" s="10" t="s">
        <v>387</v>
      </c>
      <c r="D204" s="10" t="s">
        <v>387</v>
      </c>
      <c r="E204" s="10" t="s">
        <v>602</v>
      </c>
      <c r="F204" s="10" t="str">
        <f t="array" ref="F204">_xlfn.XLOOKUP(D204,'Referanc '!$A:$A,'Referanc '!$E:$E)</f>
        <v>E1A</v>
      </c>
      <c r="G204" s="10">
        <v>355.0</v>
      </c>
      <c r="H204" s="10">
        <v>47.0</v>
      </c>
      <c r="I204" s="48">
        <v>0.0076</v>
      </c>
      <c r="J204" s="48">
        <v>0.0241</v>
      </c>
      <c r="K204" s="10">
        <v>555.0</v>
      </c>
      <c r="L204" s="10">
        <v>71.0</v>
      </c>
      <c r="M204" s="48">
        <v>0.0084</v>
      </c>
      <c r="N204" s="48">
        <v>0.0253</v>
      </c>
      <c r="O204" s="48">
        <v>0.893</v>
      </c>
      <c r="P204" s="48">
        <v>0.963</v>
      </c>
      <c r="Q204" s="10">
        <v>3.0</v>
      </c>
      <c r="R204" s="10">
        <v>0.0</v>
      </c>
      <c r="S204" s="48">
        <v>0.0085</v>
      </c>
      <c r="T204" s="48">
        <v>0.0</v>
      </c>
      <c r="U204" s="194">
        <v>80700.0</v>
      </c>
      <c r="V204" s="194">
        <v>0.0</v>
      </c>
      <c r="W204" s="10">
        <v>3.0</v>
      </c>
      <c r="X204" s="10">
        <v>0.0</v>
      </c>
    </row>
    <row r="205" ht="15.75" customHeight="1">
      <c r="A205" s="10" t="s">
        <v>50</v>
      </c>
      <c r="B205" s="10" t="str">
        <f t="array" ref="B205">_xlfn.XLOOKUP(D205,'Referanc '!$A:$A,'Referanc '!$B:$B)</f>
        <v>Standing Table  - E4</v>
      </c>
      <c r="C205" s="10" t="s">
        <v>396</v>
      </c>
      <c r="D205" s="10" t="s">
        <v>396</v>
      </c>
      <c r="E205" s="10" t="s">
        <v>618</v>
      </c>
      <c r="F205" s="10" t="str">
        <f t="array" ref="F205">_xlfn.XLOOKUP(D205,'Referanc '!$A:$A,'Referanc '!$E:$E)</f>
        <v>E4</v>
      </c>
      <c r="G205" s="10">
        <v>602.0</v>
      </c>
      <c r="H205" s="10">
        <v>24.0</v>
      </c>
      <c r="I205" s="48">
        <v>0.0128</v>
      </c>
      <c r="J205" s="48">
        <v>0.0123</v>
      </c>
      <c r="K205" s="10">
        <v>764.0</v>
      </c>
      <c r="L205" s="10">
        <v>28.0</v>
      </c>
      <c r="M205" s="48">
        <v>0.0116</v>
      </c>
      <c r="N205" s="48">
        <v>0.01</v>
      </c>
      <c r="O205" s="48">
        <v>0.7714</v>
      </c>
      <c r="P205" s="48">
        <v>0.9167</v>
      </c>
      <c r="Q205" s="10">
        <v>3.0</v>
      </c>
      <c r="R205" s="10">
        <v>0.0</v>
      </c>
      <c r="S205" s="48">
        <v>0.005</v>
      </c>
      <c r="T205" s="48">
        <v>0.0</v>
      </c>
      <c r="U205" s="194">
        <v>82408.48</v>
      </c>
      <c r="V205" s="194">
        <v>0.0</v>
      </c>
      <c r="W205" s="10">
        <v>3.0</v>
      </c>
      <c r="X205" s="10">
        <v>0.0</v>
      </c>
    </row>
    <row r="206" ht="15.75" customHeight="1">
      <c r="A206" s="10" t="s">
        <v>50</v>
      </c>
      <c r="B206" s="10" t="str">
        <f t="array" ref="B206">_xlfn.XLOOKUP(D206,'Referanc '!$A:$A,'Referanc '!$B:$B)</f>
        <v>Standing Table  - E1A</v>
      </c>
      <c r="C206" s="10" t="s">
        <v>384</v>
      </c>
      <c r="D206" s="10" t="s">
        <v>384</v>
      </c>
      <c r="E206" s="10" t="s">
        <v>620</v>
      </c>
      <c r="F206" s="10" t="str">
        <f t="array" ref="F206">_xlfn.XLOOKUP(D206,'Referanc '!$A:$A,'Referanc '!$E:$E)</f>
        <v>E1A</v>
      </c>
      <c r="G206" s="10">
        <v>126.0</v>
      </c>
      <c r="H206" s="10">
        <v>6.0</v>
      </c>
      <c r="I206" s="48">
        <v>0.0027</v>
      </c>
      <c r="J206" s="48">
        <v>0.0031</v>
      </c>
      <c r="K206" s="10">
        <v>181.0</v>
      </c>
      <c r="L206" s="10">
        <v>6.0</v>
      </c>
      <c r="M206" s="48">
        <v>0.0027</v>
      </c>
      <c r="N206" s="48">
        <v>0.0021</v>
      </c>
      <c r="O206" s="48">
        <v>0.8049</v>
      </c>
      <c r="P206" s="48">
        <v>1.0</v>
      </c>
      <c r="Q206" s="10">
        <v>3.0</v>
      </c>
      <c r="R206" s="10">
        <v>0.0</v>
      </c>
      <c r="S206" s="48">
        <v>0.0238</v>
      </c>
      <c r="T206" s="48">
        <v>0.0</v>
      </c>
      <c r="U206" s="194">
        <v>89800.0</v>
      </c>
      <c r="V206" s="194">
        <v>0.0</v>
      </c>
      <c r="W206" s="10">
        <v>3.0</v>
      </c>
      <c r="X206" s="10">
        <v>0.0</v>
      </c>
    </row>
    <row r="207" ht="15.75" customHeight="1">
      <c r="A207" s="10" t="s">
        <v>50</v>
      </c>
      <c r="B207" s="10" t="str">
        <f t="array" ref="B207">_xlfn.XLOOKUP(D207,'Referanc '!$A:$A,'Referanc '!$B:$B)</f>
        <v>TABLE TOP</v>
      </c>
      <c r="C207" s="10" t="s">
        <v>324</v>
      </c>
      <c r="D207" s="10" t="s">
        <v>324</v>
      </c>
      <c r="E207" s="10" t="s">
        <v>533</v>
      </c>
      <c r="F207" s="10" t="str">
        <f t="array" ref="F207">_xlfn.XLOOKUP(D207,'Referanc '!$A:$A,'Referanc '!$E:$E)</f>
        <v>TABLE TOP</v>
      </c>
      <c r="G207" s="10">
        <v>379.0</v>
      </c>
      <c r="H207" s="10">
        <v>18.0</v>
      </c>
      <c r="I207" s="48">
        <v>0.0081</v>
      </c>
      <c r="J207" s="48">
        <v>0.0092</v>
      </c>
      <c r="K207" s="10">
        <v>526.0</v>
      </c>
      <c r="L207" s="10">
        <v>24.0</v>
      </c>
      <c r="M207" s="48">
        <v>0.008</v>
      </c>
      <c r="N207" s="48">
        <v>0.0085</v>
      </c>
      <c r="O207" s="48">
        <v>0.755</v>
      </c>
      <c r="P207" s="48">
        <v>0.5714</v>
      </c>
      <c r="Q207" s="10">
        <v>2.0</v>
      </c>
      <c r="R207" s="10">
        <v>0.0</v>
      </c>
      <c r="S207" s="48">
        <v>0.0053</v>
      </c>
      <c r="T207" s="48">
        <v>0.0</v>
      </c>
      <c r="U207" s="194">
        <v>8900.0</v>
      </c>
      <c r="V207" s="194">
        <v>0.0</v>
      </c>
      <c r="W207" s="10">
        <v>2.0</v>
      </c>
      <c r="X207" s="10">
        <v>0.0</v>
      </c>
    </row>
    <row r="208" ht="15.75" customHeight="1">
      <c r="A208" s="10" t="s">
        <v>50</v>
      </c>
      <c r="B208" s="10" t="str">
        <f t="array" ref="B208">_xlfn.XLOOKUP(D208,'Referanc '!$A:$A,'Referanc '!$B:$B)</f>
        <v>Standing Desk Converter</v>
      </c>
      <c r="C208" s="10" t="s">
        <v>363</v>
      </c>
      <c r="D208" s="10" t="s">
        <v>363</v>
      </c>
      <c r="E208" s="10" t="s">
        <v>571</v>
      </c>
      <c r="F208" s="10" t="str">
        <f t="array" ref="F208">_xlfn.XLOOKUP(D208,'Referanc '!$A:$A,'Referanc '!$E:$E)</f>
        <v>Standing Desk Converter</v>
      </c>
      <c r="G208" s="10">
        <v>71.0</v>
      </c>
      <c r="H208" s="10">
        <v>7.0</v>
      </c>
      <c r="I208" s="48">
        <v>0.0015</v>
      </c>
      <c r="J208" s="48">
        <v>0.0036</v>
      </c>
      <c r="K208" s="10">
        <v>87.0</v>
      </c>
      <c r="L208" s="10">
        <v>7.0</v>
      </c>
      <c r="M208" s="48">
        <v>0.0013</v>
      </c>
      <c r="N208" s="48">
        <v>0.0025</v>
      </c>
      <c r="O208" s="48">
        <v>0.875</v>
      </c>
      <c r="P208" s="48">
        <v>1.0</v>
      </c>
      <c r="Q208" s="10">
        <v>2.0</v>
      </c>
      <c r="R208" s="10">
        <v>1.0</v>
      </c>
      <c r="S208" s="48">
        <v>0.0282</v>
      </c>
      <c r="T208" s="48">
        <v>0.1429</v>
      </c>
      <c r="U208" s="194">
        <v>23800.0</v>
      </c>
      <c r="V208" s="194">
        <v>11900.0</v>
      </c>
      <c r="W208" s="10">
        <v>2.0</v>
      </c>
      <c r="X208" s="10">
        <v>1.0</v>
      </c>
    </row>
    <row r="209" ht="15.75" customHeight="1">
      <c r="A209" s="10" t="s">
        <v>50</v>
      </c>
      <c r="B209" s="10" t="str">
        <f t="array" ref="B209">_xlfn.XLOOKUP(D209,'Referanc '!$A:$A,'Referanc '!$B:$B)</f>
        <v>Standing Table  - E3</v>
      </c>
      <c r="C209" s="10" t="s">
        <v>376</v>
      </c>
      <c r="D209" s="10" t="s">
        <v>376</v>
      </c>
      <c r="E209" s="10" t="s">
        <v>590</v>
      </c>
      <c r="F209" s="10" t="str">
        <f t="array" ref="F209">_xlfn.XLOOKUP(D209,'Referanc '!$A:$A,'Referanc '!$E:$E)</f>
        <v>E3</v>
      </c>
      <c r="G209" s="10">
        <v>232.0</v>
      </c>
      <c r="H209" s="10">
        <v>11.0</v>
      </c>
      <c r="I209" s="48">
        <v>0.0049</v>
      </c>
      <c r="J209" s="48">
        <v>0.0056</v>
      </c>
      <c r="K209" s="10">
        <v>317.0</v>
      </c>
      <c r="L209" s="10">
        <v>16.0</v>
      </c>
      <c r="M209" s="48">
        <v>0.0048</v>
      </c>
      <c r="N209" s="48">
        <v>0.0057</v>
      </c>
      <c r="O209" s="48">
        <v>0.8007</v>
      </c>
      <c r="P209" s="48">
        <v>1.0</v>
      </c>
      <c r="Q209" s="10">
        <v>2.0</v>
      </c>
      <c r="R209" s="10">
        <v>0.0</v>
      </c>
      <c r="S209" s="48">
        <v>0.0086</v>
      </c>
      <c r="T209" s="48">
        <v>0.0</v>
      </c>
      <c r="U209" s="194">
        <v>70000.0</v>
      </c>
      <c r="V209" s="194">
        <v>0.0</v>
      </c>
      <c r="W209" s="10">
        <v>2.0</v>
      </c>
      <c r="X209" s="10">
        <v>0.0</v>
      </c>
    </row>
    <row r="210" ht="15.75" customHeight="1">
      <c r="A210" s="10" t="s">
        <v>50</v>
      </c>
      <c r="B210" s="10" t="str">
        <f t="array" ref="B210">_xlfn.XLOOKUP(D210,'Referanc '!$A:$A,'Referanc '!$B:$B)</f>
        <v>Standing Table  - SM3</v>
      </c>
      <c r="C210" s="10" t="s">
        <v>401</v>
      </c>
      <c r="D210" s="10" t="s">
        <v>401</v>
      </c>
      <c r="E210" s="10" t="s">
        <v>633</v>
      </c>
      <c r="F210" s="10" t="str">
        <f t="array" ref="F210">_xlfn.XLOOKUP(D210,'Referanc '!$A:$A,'Referanc '!$E:$E)</f>
        <v>SM3</v>
      </c>
      <c r="G210" s="10">
        <v>148.0</v>
      </c>
      <c r="H210" s="10">
        <v>5.0</v>
      </c>
      <c r="I210" s="48">
        <v>0.0031</v>
      </c>
      <c r="J210" s="48">
        <v>0.0026</v>
      </c>
      <c r="K210" s="10">
        <v>209.0</v>
      </c>
      <c r="L210" s="10">
        <v>6.0</v>
      </c>
      <c r="M210" s="48">
        <v>0.0032</v>
      </c>
      <c r="N210" s="48">
        <v>0.0021</v>
      </c>
      <c r="O210" s="48">
        <v>0.8589</v>
      </c>
      <c r="P210" s="48">
        <v>1.0</v>
      </c>
      <c r="Q210" s="10">
        <v>2.0</v>
      </c>
      <c r="R210" s="10">
        <v>0.0</v>
      </c>
      <c r="S210" s="48">
        <v>0.0135</v>
      </c>
      <c r="T210" s="48">
        <v>0.0</v>
      </c>
      <c r="U210" s="194">
        <v>42400.0</v>
      </c>
      <c r="V210" s="194">
        <v>0.0</v>
      </c>
      <c r="W210" s="10">
        <v>2.0</v>
      </c>
      <c r="X210" s="10">
        <v>0.0</v>
      </c>
    </row>
    <row r="211" ht="15.75" customHeight="1">
      <c r="A211" s="10" t="s">
        <v>50</v>
      </c>
      <c r="B211" s="10" t="str">
        <f t="array" ref="B211">_xlfn.XLOOKUP(D211,'Referanc '!$A:$A,'Referanc '!$B:$B)</f>
        <v>Standing Table  - SM3</v>
      </c>
      <c r="C211" s="10" t="s">
        <v>358</v>
      </c>
      <c r="D211" s="10" t="s">
        <v>358</v>
      </c>
      <c r="E211" s="10" t="s">
        <v>563</v>
      </c>
      <c r="F211" s="10" t="str">
        <f t="array" ref="F211">_xlfn.XLOOKUP(D211,'Referanc '!$A:$A,'Referanc '!$E:$E)</f>
        <v>SM3</v>
      </c>
      <c r="G211" s="10">
        <v>507.0</v>
      </c>
      <c r="H211" s="10">
        <v>25.0</v>
      </c>
      <c r="I211" s="48">
        <v>0.0108</v>
      </c>
      <c r="J211" s="48">
        <v>0.0128</v>
      </c>
      <c r="K211" s="10">
        <v>698.0</v>
      </c>
      <c r="L211" s="10">
        <v>31.0</v>
      </c>
      <c r="M211" s="48">
        <v>0.0106</v>
      </c>
      <c r="N211" s="48">
        <v>0.011</v>
      </c>
      <c r="O211" s="48">
        <v>0.8625</v>
      </c>
      <c r="P211" s="48">
        <v>0.9444</v>
      </c>
      <c r="Q211" s="10">
        <v>2.0</v>
      </c>
      <c r="R211" s="10">
        <v>0.0</v>
      </c>
      <c r="S211" s="48">
        <v>0.0039</v>
      </c>
      <c r="T211" s="48">
        <v>0.0</v>
      </c>
      <c r="U211" s="194">
        <v>49600.0</v>
      </c>
      <c r="V211" s="194">
        <v>0.0</v>
      </c>
      <c r="W211" s="10">
        <v>2.0</v>
      </c>
      <c r="X211" s="10">
        <v>0.0</v>
      </c>
    </row>
    <row r="212" ht="15.75" customHeight="1">
      <c r="A212" s="10" t="s">
        <v>50</v>
      </c>
      <c r="B212" s="10" t="str">
        <f t="array" ref="B212">_xlfn.XLOOKUP(D212,'Referanc '!$A:$A,'Referanc '!$B:$B)</f>
        <v>Standing Table  - E1A</v>
      </c>
      <c r="C212" s="10" t="s">
        <v>367</v>
      </c>
      <c r="D212" s="10" t="s">
        <v>367</v>
      </c>
      <c r="E212" s="10" t="s">
        <v>612</v>
      </c>
      <c r="F212" s="10" t="str">
        <f t="array" ref="F212">_xlfn.XLOOKUP(D212,'Referanc '!$A:$A,'Referanc '!$E:$E)</f>
        <v>E1A</v>
      </c>
      <c r="G212" s="10">
        <v>129.0</v>
      </c>
      <c r="H212" s="10">
        <v>10.0</v>
      </c>
      <c r="I212" s="48">
        <v>0.0027</v>
      </c>
      <c r="J212" s="48">
        <v>0.0051</v>
      </c>
      <c r="K212" s="10">
        <v>177.0</v>
      </c>
      <c r="L212" s="10">
        <v>15.0</v>
      </c>
      <c r="M212" s="48">
        <v>0.0027</v>
      </c>
      <c r="N212" s="48">
        <v>0.0053</v>
      </c>
      <c r="O212" s="48">
        <v>0.9535</v>
      </c>
      <c r="P212" s="48">
        <v>1.0</v>
      </c>
      <c r="Q212" s="10">
        <v>2.0</v>
      </c>
      <c r="R212" s="10">
        <v>1.0</v>
      </c>
      <c r="S212" s="48">
        <v>0.0155</v>
      </c>
      <c r="T212" s="48">
        <v>0.1</v>
      </c>
      <c r="U212" s="194">
        <v>66600.0</v>
      </c>
      <c r="V212" s="194">
        <v>33300.0</v>
      </c>
      <c r="W212" s="10">
        <v>2.0</v>
      </c>
      <c r="X212" s="10">
        <v>1.0</v>
      </c>
    </row>
    <row r="213" ht="15.75" customHeight="1">
      <c r="A213" s="10" t="s">
        <v>50</v>
      </c>
      <c r="B213" s="10" t="str">
        <f t="array" ref="B213">_xlfn.XLOOKUP(D213,'Referanc '!$A:$A,'Referanc '!$B:$B)</f>
        <v>Standing Table - All Frames</v>
      </c>
      <c r="C213" s="10" t="s">
        <v>402</v>
      </c>
      <c r="D213" s="10" t="s">
        <v>402</v>
      </c>
      <c r="E213" s="10" t="s">
        <v>637</v>
      </c>
      <c r="F213" s="10" t="str">
        <f t="array" ref="F213">_xlfn.XLOOKUP(D213,'Referanc '!$A:$A,'Referanc '!$E:$E)</f>
        <v>E4</v>
      </c>
      <c r="G213" s="10">
        <v>403.0</v>
      </c>
      <c r="H213" s="10">
        <v>22.0</v>
      </c>
      <c r="I213" s="48">
        <v>0.0086</v>
      </c>
      <c r="J213" s="48">
        <v>0.0113</v>
      </c>
      <c r="K213" s="10">
        <v>557.0</v>
      </c>
      <c r="L213" s="10">
        <v>29.0</v>
      </c>
      <c r="M213" s="48">
        <v>0.0084</v>
      </c>
      <c r="N213" s="48">
        <v>0.0103</v>
      </c>
      <c r="O213" s="48">
        <v>0.9032</v>
      </c>
      <c r="P213" s="48">
        <v>0.7273</v>
      </c>
      <c r="Q213" s="10">
        <v>2.0</v>
      </c>
      <c r="R213" s="10">
        <v>0.0</v>
      </c>
      <c r="S213" s="48">
        <v>0.005</v>
      </c>
      <c r="T213" s="48">
        <v>0.0</v>
      </c>
      <c r="U213" s="194">
        <v>43954.24</v>
      </c>
      <c r="V213" s="194">
        <v>0.0</v>
      </c>
      <c r="W213" s="10">
        <v>2.0</v>
      </c>
      <c r="X213" s="10">
        <v>0.0</v>
      </c>
    </row>
    <row r="214" ht="15.75" customHeight="1">
      <c r="A214" s="10" t="s">
        <v>50</v>
      </c>
      <c r="B214" s="10" t="str">
        <f t="array" ref="B214">_xlfn.XLOOKUP(D214,'Referanc '!$A:$A,'Referanc '!$B:$B)</f>
        <v>Standing Table - All Frames</v>
      </c>
      <c r="C214" s="10" t="s">
        <v>399</v>
      </c>
      <c r="D214" s="10" t="s">
        <v>399</v>
      </c>
      <c r="E214" s="10" t="s">
        <v>624</v>
      </c>
      <c r="F214" s="10" t="str">
        <f t="array" ref="F214">_xlfn.XLOOKUP(D214,'Referanc '!$A:$A,'Referanc '!$E:$E)</f>
        <v>E1A</v>
      </c>
      <c r="G214" s="10">
        <v>519.0</v>
      </c>
      <c r="H214" s="10">
        <v>27.0</v>
      </c>
      <c r="I214" s="48">
        <v>0.011</v>
      </c>
      <c r="J214" s="48">
        <v>0.0138</v>
      </c>
      <c r="K214" s="10">
        <v>738.0</v>
      </c>
      <c r="L214" s="10">
        <v>38.0</v>
      </c>
      <c r="M214" s="48">
        <v>0.0112</v>
      </c>
      <c r="N214" s="48">
        <v>0.0135</v>
      </c>
      <c r="O214" s="48">
        <v>0.8324</v>
      </c>
      <c r="P214" s="48">
        <v>0.8462</v>
      </c>
      <c r="Q214" s="10">
        <v>2.0</v>
      </c>
      <c r="R214" s="10">
        <v>0.0</v>
      </c>
      <c r="S214" s="48">
        <v>0.0039</v>
      </c>
      <c r="T214" s="48">
        <v>0.0</v>
      </c>
      <c r="U214" s="194">
        <v>53200.0</v>
      </c>
      <c r="V214" s="194">
        <v>0.0</v>
      </c>
      <c r="W214" s="10">
        <v>2.0</v>
      </c>
      <c r="X214" s="10">
        <v>0.0</v>
      </c>
    </row>
    <row r="215" ht="15.75" customHeight="1">
      <c r="A215" s="10" t="s">
        <v>50</v>
      </c>
      <c r="B215" s="10" t="str">
        <f t="array" ref="B215">_xlfn.XLOOKUP(D215,'Referanc '!$A:$A,'Referanc '!$B:$B)</f>
        <v>Standing Table  - E1A</v>
      </c>
      <c r="C215" s="10" t="s">
        <v>385</v>
      </c>
      <c r="D215" s="10" t="s">
        <v>385</v>
      </c>
      <c r="E215" s="10" t="s">
        <v>626</v>
      </c>
      <c r="F215" s="10" t="str">
        <f t="array" ref="F215">_xlfn.XLOOKUP(D215,'Referanc '!$A:$A,'Referanc '!$E:$E)</f>
        <v>E1A</v>
      </c>
      <c r="G215" s="10">
        <v>131.0</v>
      </c>
      <c r="H215" s="10">
        <v>7.0</v>
      </c>
      <c r="I215" s="48">
        <v>0.0028</v>
      </c>
      <c r="J215" s="48">
        <v>0.0036</v>
      </c>
      <c r="K215" s="10">
        <v>191.0</v>
      </c>
      <c r="L215" s="10">
        <v>9.0</v>
      </c>
      <c r="M215" s="48">
        <v>0.0029</v>
      </c>
      <c r="N215" s="48">
        <v>0.0032</v>
      </c>
      <c r="O215" s="48">
        <v>0.8923</v>
      </c>
      <c r="P215" s="48">
        <v>1.0</v>
      </c>
      <c r="Q215" s="10">
        <v>2.0</v>
      </c>
      <c r="R215" s="10">
        <v>0.0</v>
      </c>
      <c r="S215" s="48">
        <v>0.0153</v>
      </c>
      <c r="T215" s="48">
        <v>0.0</v>
      </c>
      <c r="U215" s="194">
        <v>65800.0</v>
      </c>
      <c r="V215" s="194">
        <v>0.0</v>
      </c>
      <c r="W215" s="10">
        <v>2.0</v>
      </c>
      <c r="X215" s="10">
        <v>0.0</v>
      </c>
    </row>
    <row r="216" ht="15.75" customHeight="1">
      <c r="A216" s="10" t="s">
        <v>50</v>
      </c>
      <c r="B216" s="10" t="str">
        <f t="array" ref="B216">_xlfn.XLOOKUP(D216,'Referanc '!$A:$A,'Referanc '!$B:$B)</f>
        <v>Monitor Stand </v>
      </c>
      <c r="C216" s="10" t="s">
        <v>316</v>
      </c>
      <c r="D216" s="10" t="s">
        <v>316</v>
      </c>
      <c r="E216" s="10" t="s">
        <v>1107</v>
      </c>
      <c r="F216" s="10" t="str">
        <f t="array" ref="F216">_xlfn.XLOOKUP(D216,'Referanc '!$A:$A,'Referanc '!$E:$E)</f>
        <v> Monitor Stand</v>
      </c>
      <c r="G216" s="10">
        <v>96.0</v>
      </c>
      <c r="H216" s="10">
        <v>5.0</v>
      </c>
      <c r="I216" s="48">
        <v>0.002</v>
      </c>
      <c r="J216" s="48">
        <v>0.0026</v>
      </c>
      <c r="K216" s="10">
        <v>153.0</v>
      </c>
      <c r="L216" s="10">
        <v>5.0</v>
      </c>
      <c r="M216" s="48">
        <v>0.0023</v>
      </c>
      <c r="N216" s="48">
        <v>0.0018</v>
      </c>
      <c r="O216" s="48">
        <v>1.0</v>
      </c>
      <c r="P216" s="48">
        <v>1.0</v>
      </c>
      <c r="Q216" s="10">
        <v>1.0</v>
      </c>
      <c r="R216" s="10">
        <v>1.0</v>
      </c>
      <c r="S216" s="48">
        <v>0.0104</v>
      </c>
      <c r="T216" s="48">
        <v>0.2</v>
      </c>
      <c r="U216" s="194">
        <v>2600.0</v>
      </c>
      <c r="V216" s="194">
        <v>2600.0</v>
      </c>
      <c r="W216" s="10">
        <v>1.0</v>
      </c>
      <c r="X216" s="10">
        <v>1.0</v>
      </c>
    </row>
    <row r="217" ht="15.75" customHeight="1">
      <c r="A217" s="10" t="s">
        <v>50</v>
      </c>
      <c r="B217" s="10" t="str">
        <f t="array" ref="B217">_xlfn.XLOOKUP(D217,'Referanc '!$A:$A,'Referanc '!$B:$B)</f>
        <v>Standing Table  - M3</v>
      </c>
      <c r="C217" s="10" t="s">
        <v>403</v>
      </c>
      <c r="D217" s="10" t="s">
        <v>403</v>
      </c>
      <c r="E217" s="10" t="s">
        <v>628</v>
      </c>
      <c r="F217" s="10" t="str">
        <f t="array" ref="F217">_xlfn.XLOOKUP(D217,'Referanc '!$A:$A,'Referanc '!$E:$E)</f>
        <v>M3</v>
      </c>
      <c r="G217" s="10">
        <v>125.0</v>
      </c>
      <c r="H217" s="10">
        <v>8.0</v>
      </c>
      <c r="I217" s="48">
        <v>0.0027</v>
      </c>
      <c r="J217" s="48">
        <v>0.0041</v>
      </c>
      <c r="K217" s="10">
        <v>188.0</v>
      </c>
      <c r="L217" s="10">
        <v>13.0</v>
      </c>
      <c r="M217" s="48">
        <v>0.0028</v>
      </c>
      <c r="N217" s="48">
        <v>0.0046</v>
      </c>
      <c r="O217" s="48">
        <v>0.8924</v>
      </c>
      <c r="P217" s="48">
        <v>1.0</v>
      </c>
      <c r="Q217" s="10">
        <v>1.0</v>
      </c>
      <c r="R217" s="10">
        <v>0.0</v>
      </c>
      <c r="S217" s="48">
        <v>0.008</v>
      </c>
      <c r="T217" s="48">
        <v>0.0</v>
      </c>
      <c r="U217" s="194">
        <v>20499.0</v>
      </c>
      <c r="V217" s="194">
        <v>0.0</v>
      </c>
      <c r="W217" s="10">
        <v>1.0</v>
      </c>
      <c r="X217" s="10">
        <v>0.0</v>
      </c>
    </row>
    <row r="218" ht="15.75" customHeight="1">
      <c r="A218" s="10" t="s">
        <v>50</v>
      </c>
      <c r="B218" s="10" t="s">
        <v>241</v>
      </c>
      <c r="C218" s="10" t="s">
        <v>339</v>
      </c>
      <c r="D218" s="10" t="s">
        <v>339</v>
      </c>
      <c r="E218" s="10" t="s">
        <v>547</v>
      </c>
      <c r="F218" s="10" t="str">
        <f t="array" ref="F218">_xlfn.XLOOKUP(D218,'Referanc '!$A:$A,'Referanc '!$E:$E)</f>
        <v>Anti Fatigue Mat</v>
      </c>
      <c r="G218" s="10">
        <v>89.0</v>
      </c>
      <c r="H218" s="10">
        <v>2.0</v>
      </c>
      <c r="I218" s="48">
        <v>0.0019</v>
      </c>
      <c r="J218" s="48">
        <v>0.001</v>
      </c>
      <c r="K218" s="10">
        <v>117.0</v>
      </c>
      <c r="L218" s="10">
        <v>2.0</v>
      </c>
      <c r="M218" s="48">
        <v>0.0018</v>
      </c>
      <c r="N218" s="48">
        <v>7.0E-4</v>
      </c>
      <c r="O218" s="48">
        <v>0.98</v>
      </c>
      <c r="P218" s="48">
        <v>1.0</v>
      </c>
      <c r="Q218" s="10">
        <v>1.0</v>
      </c>
      <c r="R218" s="10">
        <v>0.0</v>
      </c>
      <c r="S218" s="48">
        <v>0.0112</v>
      </c>
      <c r="T218" s="48">
        <v>0.0</v>
      </c>
      <c r="U218" s="194">
        <v>2900.0</v>
      </c>
      <c r="V218" s="194">
        <v>0.0</v>
      </c>
      <c r="W218" s="10">
        <v>1.0</v>
      </c>
      <c r="X218" s="10">
        <v>0.0</v>
      </c>
    </row>
    <row r="219" ht="15.75" customHeight="1">
      <c r="A219" s="10" t="s">
        <v>50</v>
      </c>
      <c r="B219" s="10" t="str">
        <f t="array" ref="B219">_xlfn.XLOOKUP(D219,'Referanc '!$A:$A,'Referanc '!$B:$B)</f>
        <v>Single Leg Gas</v>
      </c>
      <c r="C219" s="10" t="s">
        <v>335</v>
      </c>
      <c r="D219" s="10" t="s">
        <v>335</v>
      </c>
      <c r="E219" s="10" t="s">
        <v>526</v>
      </c>
      <c r="F219" s="10" t="str">
        <f t="array" ref="F219">_xlfn.XLOOKUP(D219,'Referanc '!$A:$A,'Referanc '!$E:$E)</f>
        <v>Single Leg Gas</v>
      </c>
      <c r="G219" s="10">
        <v>126.0</v>
      </c>
      <c r="H219" s="10">
        <v>9.0</v>
      </c>
      <c r="I219" s="48">
        <v>0.0027</v>
      </c>
      <c r="J219" s="48">
        <v>0.0046</v>
      </c>
      <c r="K219" s="10">
        <v>188.0</v>
      </c>
      <c r="L219" s="10">
        <v>14.0</v>
      </c>
      <c r="M219" s="48">
        <v>0.0028</v>
      </c>
      <c r="N219" s="48">
        <v>0.005</v>
      </c>
      <c r="O219" s="48">
        <v>0.9054</v>
      </c>
      <c r="P219" s="48">
        <v>1.0</v>
      </c>
      <c r="Q219" s="10">
        <v>1.0</v>
      </c>
      <c r="R219" s="10">
        <v>0.0</v>
      </c>
      <c r="S219" s="48">
        <v>0.0079</v>
      </c>
      <c r="T219" s="48">
        <v>0.0</v>
      </c>
      <c r="U219" s="194">
        <v>10900.0</v>
      </c>
      <c r="V219" s="194">
        <v>0.0</v>
      </c>
      <c r="W219" s="10">
        <v>1.0</v>
      </c>
      <c r="X219" s="10">
        <v>0.0</v>
      </c>
    </row>
    <row r="220" ht="15.75" customHeight="1">
      <c r="A220" s="10" t="s">
        <v>50</v>
      </c>
      <c r="B220" s="10" t="str">
        <f t="array" ref="B220">_xlfn.XLOOKUP(D220,'Referanc '!$A:$A,'Referanc '!$B:$B)</f>
        <v>Standing Table  - E3</v>
      </c>
      <c r="C220" s="10" t="s">
        <v>365</v>
      </c>
      <c r="D220" s="10" t="s">
        <v>365</v>
      </c>
      <c r="E220" s="10" t="s">
        <v>1037</v>
      </c>
      <c r="F220" s="10" t="str">
        <f t="array" ref="F220">_xlfn.XLOOKUP(D220,'Referanc '!$A:$A,'Referanc '!$E:$E)</f>
        <v>E3</v>
      </c>
      <c r="G220" s="10">
        <v>665.0</v>
      </c>
      <c r="H220" s="10">
        <v>28.0</v>
      </c>
      <c r="I220" s="48">
        <v>0.0142</v>
      </c>
      <c r="J220" s="48">
        <v>0.0144</v>
      </c>
      <c r="K220" s="10">
        <v>889.0</v>
      </c>
      <c r="L220" s="10">
        <v>39.0</v>
      </c>
      <c r="M220" s="48">
        <v>0.0134</v>
      </c>
      <c r="N220" s="48">
        <v>0.0139</v>
      </c>
      <c r="O220" s="48">
        <v>0.7846</v>
      </c>
      <c r="P220" s="48">
        <v>0.9091</v>
      </c>
      <c r="Q220" s="10">
        <v>1.0</v>
      </c>
      <c r="R220" s="10">
        <v>1.0</v>
      </c>
      <c r="S220" s="48">
        <v>0.0015</v>
      </c>
      <c r="T220" s="48">
        <v>0.0357</v>
      </c>
      <c r="U220" s="194">
        <v>41000.0</v>
      </c>
      <c r="V220" s="194">
        <v>41000.0</v>
      </c>
      <c r="W220" s="10">
        <v>1.0</v>
      </c>
      <c r="X220" s="10">
        <v>1.0</v>
      </c>
    </row>
    <row r="221" ht="15.75" customHeight="1">
      <c r="A221" s="10" t="s">
        <v>50</v>
      </c>
      <c r="B221" s="10" t="str">
        <f t="array" ref="B221">_xlfn.XLOOKUP(D221,'Referanc '!$A:$A,'Referanc '!$B:$B)</f>
        <v>Standing Table  - E3</v>
      </c>
      <c r="C221" s="10" t="s">
        <v>381</v>
      </c>
      <c r="D221" s="10" t="s">
        <v>381</v>
      </c>
      <c r="E221" s="10" t="s">
        <v>596</v>
      </c>
      <c r="F221" s="10" t="str">
        <f t="array" ref="F221">_xlfn.XLOOKUP(D221,'Referanc '!$A:$A,'Referanc '!$E:$E)</f>
        <v>E3</v>
      </c>
      <c r="G221" s="10">
        <v>401.0</v>
      </c>
      <c r="H221" s="10">
        <v>5.0</v>
      </c>
      <c r="I221" s="48">
        <v>0.0085</v>
      </c>
      <c r="J221" s="48">
        <v>0.0026</v>
      </c>
      <c r="K221" s="10">
        <v>520.0</v>
      </c>
      <c r="L221" s="10">
        <v>5.0</v>
      </c>
      <c r="M221" s="48">
        <v>0.0079</v>
      </c>
      <c r="N221" s="48">
        <v>0.0018</v>
      </c>
      <c r="O221" s="48">
        <v>0.8251</v>
      </c>
      <c r="P221" s="48">
        <v>0.6667</v>
      </c>
      <c r="Q221" s="10">
        <v>1.0</v>
      </c>
      <c r="R221" s="10">
        <v>0.0</v>
      </c>
      <c r="S221" s="48">
        <v>0.0025</v>
      </c>
      <c r="T221" s="48">
        <v>0.0</v>
      </c>
      <c r="U221" s="194">
        <v>39000.0</v>
      </c>
      <c r="V221" s="194">
        <v>0.0</v>
      </c>
      <c r="W221" s="10">
        <v>1.0</v>
      </c>
      <c r="X221" s="10">
        <v>0.0</v>
      </c>
    </row>
    <row r="222" ht="15.75" customHeight="1">
      <c r="A222" s="10" t="s">
        <v>50</v>
      </c>
      <c r="B222" s="10" t="str">
        <f t="array" ref="B222">_xlfn.XLOOKUP(D222,'Referanc '!$A:$A,'Referanc '!$B:$B)</f>
        <v>Standing Table - All Frames</v>
      </c>
      <c r="C222" s="10" t="s">
        <v>343</v>
      </c>
      <c r="D222" s="10" t="s">
        <v>343</v>
      </c>
      <c r="E222" s="10" t="s">
        <v>1056</v>
      </c>
      <c r="F222" s="10" t="str">
        <f t="array" ref="F222">_xlfn.XLOOKUP(D222,'Referanc '!$A:$A,'Referanc '!$E:$E)</f>
        <v>E3</v>
      </c>
      <c r="G222" s="10">
        <v>272.0</v>
      </c>
      <c r="H222" s="10">
        <v>8.0</v>
      </c>
      <c r="I222" s="48">
        <v>0.0058</v>
      </c>
      <c r="J222" s="48">
        <v>0.0041</v>
      </c>
      <c r="K222" s="10">
        <v>372.0</v>
      </c>
      <c r="L222" s="10">
        <v>19.0</v>
      </c>
      <c r="M222" s="48">
        <v>0.0056</v>
      </c>
      <c r="N222" s="48">
        <v>0.0068</v>
      </c>
      <c r="O222" s="48">
        <v>0.87</v>
      </c>
      <c r="P222" s="48">
        <v>1.0</v>
      </c>
      <c r="Q222" s="10">
        <v>1.0</v>
      </c>
      <c r="R222" s="10">
        <v>0.0</v>
      </c>
      <c r="S222" s="48">
        <v>0.0037</v>
      </c>
      <c r="T222" s="48">
        <v>0.0</v>
      </c>
      <c r="U222" s="194">
        <v>35431.36</v>
      </c>
      <c r="V222" s="194">
        <v>0.0</v>
      </c>
      <c r="W222" s="10">
        <v>1.0</v>
      </c>
      <c r="X222" s="10">
        <v>0.0</v>
      </c>
    </row>
    <row r="223" ht="15.75" customHeight="1">
      <c r="A223" s="10" t="s">
        <v>50</v>
      </c>
      <c r="B223" s="10" t="s">
        <v>211</v>
      </c>
      <c r="C223" s="10" t="s">
        <v>314</v>
      </c>
      <c r="D223" s="10" t="s">
        <v>314</v>
      </c>
      <c r="E223" s="10" t="s">
        <v>487</v>
      </c>
      <c r="F223" s="10" t="str">
        <f t="array" ref="F223">_xlfn.XLOOKUP(D223,'Referanc '!$A:$A,'Referanc '!$E:$E)</f>
        <v>Desk Cable Tray</v>
      </c>
      <c r="G223" s="191">
        <v>1328.0</v>
      </c>
      <c r="H223" s="10">
        <v>73.0</v>
      </c>
      <c r="I223" s="48">
        <v>0.0283</v>
      </c>
      <c r="J223" s="48">
        <v>0.0374</v>
      </c>
      <c r="K223" s="191">
        <v>1949.0</v>
      </c>
      <c r="L223" s="10">
        <v>110.0</v>
      </c>
      <c r="M223" s="48">
        <v>0.0295</v>
      </c>
      <c r="N223" s="48">
        <v>0.0391</v>
      </c>
      <c r="O223" s="48">
        <v>0.9678</v>
      </c>
      <c r="P223" s="48">
        <v>0.9863</v>
      </c>
      <c r="Q223" s="10">
        <v>1.0</v>
      </c>
      <c r="R223" s="10">
        <v>0.0</v>
      </c>
      <c r="S223" s="48">
        <v>8.0E-4</v>
      </c>
      <c r="T223" s="48">
        <v>0.0</v>
      </c>
      <c r="U223" s="194">
        <v>1199.0</v>
      </c>
      <c r="V223" s="194">
        <v>0.0</v>
      </c>
      <c r="W223" s="10">
        <v>1.0</v>
      </c>
      <c r="X223" s="10">
        <v>0.0</v>
      </c>
    </row>
    <row r="224" ht="15.75" customHeight="1">
      <c r="A224" s="10" t="s">
        <v>50</v>
      </c>
      <c r="B224" s="10" t="s">
        <v>241</v>
      </c>
      <c r="C224" s="10" t="s">
        <v>337</v>
      </c>
      <c r="D224" s="10" t="s">
        <v>337</v>
      </c>
      <c r="E224" s="10" t="s">
        <v>545</v>
      </c>
      <c r="F224" s="10" t="str">
        <f t="array" ref="F224">_xlfn.XLOOKUP(D224,'Referanc '!$A:$A,'Referanc '!$E:$E)</f>
        <v>Footrest</v>
      </c>
      <c r="G224" s="10">
        <v>61.0</v>
      </c>
      <c r="H224" s="10">
        <v>2.0</v>
      </c>
      <c r="I224" s="48">
        <v>0.0013</v>
      </c>
      <c r="J224" s="48">
        <v>0.001</v>
      </c>
      <c r="K224" s="10">
        <v>76.0</v>
      </c>
      <c r="L224" s="10">
        <v>2.0</v>
      </c>
      <c r="M224" s="48">
        <v>0.0011</v>
      </c>
      <c r="N224" s="48">
        <v>7.0E-4</v>
      </c>
      <c r="O224" s="48">
        <v>0.9531</v>
      </c>
      <c r="P224" s="48">
        <v>1.0</v>
      </c>
      <c r="Q224" s="10">
        <v>1.0</v>
      </c>
      <c r="R224" s="10">
        <v>0.0</v>
      </c>
      <c r="S224" s="48">
        <v>0.0164</v>
      </c>
      <c r="T224" s="48">
        <v>0.0</v>
      </c>
      <c r="U224" s="194">
        <v>2159.0</v>
      </c>
      <c r="V224" s="194">
        <v>0.0</v>
      </c>
      <c r="W224" s="10">
        <v>1.0</v>
      </c>
      <c r="X224" s="10">
        <v>0.0</v>
      </c>
    </row>
    <row r="225" ht="15.75" customHeight="1">
      <c r="A225" s="10" t="s">
        <v>50</v>
      </c>
      <c r="B225" s="10" t="s">
        <v>241</v>
      </c>
      <c r="C225" s="10" t="s">
        <v>345</v>
      </c>
      <c r="D225" s="10" t="s">
        <v>345</v>
      </c>
      <c r="E225" s="10" t="s">
        <v>553</v>
      </c>
      <c r="F225" s="10" t="str">
        <f t="array" ref="F225">_xlfn.XLOOKUP(D225,'Referanc '!$A:$A,'Referanc '!$E:$E)</f>
        <v>Footrest</v>
      </c>
      <c r="G225" s="10">
        <v>148.0</v>
      </c>
      <c r="H225" s="10">
        <v>3.0</v>
      </c>
      <c r="I225" s="48">
        <v>0.0031</v>
      </c>
      <c r="J225" s="48">
        <v>0.0015</v>
      </c>
      <c r="K225" s="10">
        <v>169.0</v>
      </c>
      <c r="L225" s="10">
        <v>3.0</v>
      </c>
      <c r="M225" s="48">
        <v>0.0026</v>
      </c>
      <c r="N225" s="48">
        <v>0.0011</v>
      </c>
      <c r="O225" s="48">
        <v>0.9936</v>
      </c>
      <c r="P225" s="48">
        <v>1.0</v>
      </c>
      <c r="Q225" s="10">
        <v>1.0</v>
      </c>
      <c r="R225" s="10">
        <v>0.0</v>
      </c>
      <c r="S225" s="48">
        <v>0.0068</v>
      </c>
      <c r="T225" s="48">
        <v>0.0</v>
      </c>
      <c r="U225" s="194">
        <v>2800.0</v>
      </c>
      <c r="V225" s="194">
        <v>0.0</v>
      </c>
      <c r="W225" s="10">
        <v>1.0</v>
      </c>
      <c r="X225" s="10">
        <v>0.0</v>
      </c>
    </row>
    <row r="226" ht="15.75" customHeight="1">
      <c r="A226" s="10" t="s">
        <v>50</v>
      </c>
      <c r="B226" s="10" t="str">
        <f t="array" ref="B226">_xlfn.XLOOKUP(D226,'Referanc '!$A:$A,'Referanc '!$B:$B)</f>
        <v>Standing Table  - E3</v>
      </c>
      <c r="C226" s="10" t="s">
        <v>397</v>
      </c>
      <c r="D226" s="10" t="s">
        <v>397</v>
      </c>
      <c r="E226" s="10" t="s">
        <v>630</v>
      </c>
      <c r="F226" s="10" t="str">
        <f t="array" ref="F226">_xlfn.XLOOKUP(D226,'Referanc '!$A:$A,'Referanc '!$E:$E)</f>
        <v>E3</v>
      </c>
      <c r="G226" s="10">
        <v>249.0</v>
      </c>
      <c r="H226" s="10">
        <v>6.0</v>
      </c>
      <c r="I226" s="48">
        <v>0.0053</v>
      </c>
      <c r="J226" s="48">
        <v>0.0031</v>
      </c>
      <c r="K226" s="10">
        <v>286.0</v>
      </c>
      <c r="L226" s="10">
        <v>6.0</v>
      </c>
      <c r="M226" s="48">
        <v>0.0043</v>
      </c>
      <c r="N226" s="48">
        <v>0.0021</v>
      </c>
      <c r="O226" s="48">
        <v>0.808</v>
      </c>
      <c r="P226" s="48">
        <v>1.0</v>
      </c>
      <c r="Q226" s="10">
        <v>1.0</v>
      </c>
      <c r="R226" s="10">
        <v>0.0</v>
      </c>
      <c r="S226" s="48">
        <v>0.004</v>
      </c>
      <c r="T226" s="48">
        <v>0.0</v>
      </c>
      <c r="U226" s="194">
        <v>39000.0</v>
      </c>
      <c r="V226" s="194">
        <v>0.0</v>
      </c>
      <c r="W226" s="10">
        <v>1.0</v>
      </c>
      <c r="X226" s="10">
        <v>0.0</v>
      </c>
    </row>
    <row r="227" ht="15.75" customHeight="1">
      <c r="A227" s="10" t="s">
        <v>50</v>
      </c>
      <c r="B227" s="10" t="str">
        <f t="array" ref="B227">_xlfn.XLOOKUP(D227,'Referanc '!$A:$A,'Referanc '!$B:$B)</f>
        <v>Standing Table  - E3</v>
      </c>
      <c r="C227" s="10" t="s">
        <v>400</v>
      </c>
      <c r="D227" s="10" t="s">
        <v>400</v>
      </c>
      <c r="E227" s="10" t="s">
        <v>573</v>
      </c>
      <c r="F227" s="10" t="str">
        <f t="array" ref="F227">_xlfn.XLOOKUP(D227,'Referanc '!$A:$A,'Referanc '!$E:$E)</f>
        <v>E3</v>
      </c>
      <c r="G227" s="10">
        <v>442.0</v>
      </c>
      <c r="H227" s="10">
        <v>20.0</v>
      </c>
      <c r="I227" s="48">
        <v>0.0094</v>
      </c>
      <c r="J227" s="48">
        <v>0.0103</v>
      </c>
      <c r="K227" s="10">
        <v>607.0</v>
      </c>
      <c r="L227" s="10">
        <v>20.0</v>
      </c>
      <c r="M227" s="48">
        <v>0.0092</v>
      </c>
      <c r="N227" s="48">
        <v>0.0071</v>
      </c>
      <c r="O227" s="48">
        <v>0.9194</v>
      </c>
      <c r="P227" s="48">
        <v>1.0</v>
      </c>
      <c r="Q227" s="10">
        <v>1.0</v>
      </c>
      <c r="R227" s="10">
        <v>0.0</v>
      </c>
      <c r="S227" s="48">
        <v>0.0023</v>
      </c>
      <c r="T227" s="48">
        <v>0.0</v>
      </c>
      <c r="U227" s="194">
        <v>41000.0</v>
      </c>
      <c r="V227" s="194">
        <v>0.0</v>
      </c>
      <c r="W227" s="10">
        <v>1.0</v>
      </c>
      <c r="X227" s="10">
        <v>0.0</v>
      </c>
    </row>
    <row r="228" ht="15.75" customHeight="1">
      <c r="A228" s="10" t="s">
        <v>50</v>
      </c>
      <c r="B228" s="10" t="str">
        <f t="array" ref="B228">_xlfn.XLOOKUP(D228,'Referanc '!$A:$A,'Referanc '!$B:$B)</f>
        <v>Standing Table  - SM3</v>
      </c>
      <c r="C228" s="10" t="s">
        <v>383</v>
      </c>
      <c r="D228" s="10" t="s">
        <v>383</v>
      </c>
      <c r="E228" s="10" t="s">
        <v>598</v>
      </c>
      <c r="F228" s="10" t="str">
        <f t="array" ref="F228">_xlfn.XLOOKUP(D228,'Referanc '!$A:$A,'Referanc '!$E:$E)</f>
        <v>SM3</v>
      </c>
      <c r="G228" s="10">
        <v>305.0</v>
      </c>
      <c r="H228" s="10">
        <v>5.0</v>
      </c>
      <c r="I228" s="48">
        <v>0.0065</v>
      </c>
      <c r="J228" s="48">
        <v>0.0026</v>
      </c>
      <c r="K228" s="10">
        <v>423.0</v>
      </c>
      <c r="L228" s="10">
        <v>7.0</v>
      </c>
      <c r="M228" s="48">
        <v>0.0064</v>
      </c>
      <c r="N228" s="48">
        <v>0.0025</v>
      </c>
      <c r="O228" s="48">
        <v>0.9525</v>
      </c>
      <c r="P228" s="48">
        <v>1.0</v>
      </c>
      <c r="Q228" s="10">
        <v>1.0</v>
      </c>
      <c r="R228" s="10">
        <v>0.0</v>
      </c>
      <c r="S228" s="48">
        <v>0.0033</v>
      </c>
      <c r="T228" s="48">
        <v>0.0</v>
      </c>
      <c r="U228" s="194">
        <v>24800.0</v>
      </c>
      <c r="V228" s="194">
        <v>0.0</v>
      </c>
      <c r="W228" s="10">
        <v>1.0</v>
      </c>
      <c r="X228" s="10">
        <v>0.0</v>
      </c>
    </row>
    <row r="229" ht="15.75" customHeight="1">
      <c r="A229" s="10" t="s">
        <v>50</v>
      </c>
      <c r="B229" s="10" t="str">
        <f t="array" ref="B229">_xlfn.XLOOKUP(D229,'Referanc '!$A:$A,'Referanc '!$B:$B)</f>
        <v>Standing Table  - E1A</v>
      </c>
      <c r="C229" s="10" t="s">
        <v>369</v>
      </c>
      <c r="D229" s="10" t="s">
        <v>369</v>
      </c>
      <c r="E229" s="10" t="s">
        <v>582</v>
      </c>
      <c r="F229" s="10" t="str">
        <f t="array" ref="F229">_xlfn.XLOOKUP(D229,'Referanc '!$A:$A,'Referanc '!$E:$E)</f>
        <v>E1A</v>
      </c>
      <c r="G229" s="10">
        <v>100.0</v>
      </c>
      <c r="H229" s="10">
        <v>3.0</v>
      </c>
      <c r="I229" s="48">
        <v>0.0021</v>
      </c>
      <c r="J229" s="48">
        <v>0.0015</v>
      </c>
      <c r="K229" s="10">
        <v>114.0</v>
      </c>
      <c r="L229" s="10">
        <v>3.0</v>
      </c>
      <c r="M229" s="48">
        <v>0.0017</v>
      </c>
      <c r="N229" s="48">
        <v>0.0011</v>
      </c>
      <c r="O229" s="48">
        <v>0.9</v>
      </c>
      <c r="P229" s="48">
        <v>0.0</v>
      </c>
      <c r="Q229" s="10">
        <v>1.0</v>
      </c>
      <c r="R229" s="10">
        <v>0.0</v>
      </c>
      <c r="S229" s="48">
        <v>0.01</v>
      </c>
      <c r="T229" s="48">
        <v>0.0</v>
      </c>
      <c r="U229" s="194">
        <v>40000.0</v>
      </c>
      <c r="V229" s="194">
        <v>0.0</v>
      </c>
      <c r="W229" s="10">
        <v>1.0</v>
      </c>
      <c r="X229" s="10">
        <v>0.0</v>
      </c>
    </row>
    <row r="230" ht="15.75" customHeight="1">
      <c r="A230" s="10" t="s">
        <v>50</v>
      </c>
      <c r="B230" s="10" t="str">
        <f t="array" ref="B230">_xlfn.XLOOKUP(D230,'Referanc '!$A:$A,'Referanc '!$B:$B)</f>
        <v>Standing Table  - E1A</v>
      </c>
      <c r="C230" s="10" t="s">
        <v>359</v>
      </c>
      <c r="D230" s="10" t="s">
        <v>359</v>
      </c>
      <c r="E230" s="10" t="s">
        <v>565</v>
      </c>
      <c r="F230" s="10" t="str">
        <f t="array" ref="F230">_xlfn.XLOOKUP(D230,'Referanc '!$A:$A,'Referanc '!$E:$E)</f>
        <v>E1A</v>
      </c>
      <c r="G230" s="10">
        <v>249.0</v>
      </c>
      <c r="H230" s="10">
        <v>17.0</v>
      </c>
      <c r="I230" s="48">
        <v>0.0053</v>
      </c>
      <c r="J230" s="48">
        <v>0.0087</v>
      </c>
      <c r="K230" s="10">
        <v>347.0</v>
      </c>
      <c r="L230" s="10">
        <v>24.0</v>
      </c>
      <c r="M230" s="48">
        <v>0.0052</v>
      </c>
      <c r="N230" s="48">
        <v>0.0085</v>
      </c>
      <c r="O230" s="48">
        <v>0.8764</v>
      </c>
      <c r="P230" s="48">
        <v>0.9286</v>
      </c>
      <c r="Q230" s="10">
        <v>1.0</v>
      </c>
      <c r="R230" s="10">
        <v>0.0</v>
      </c>
      <c r="S230" s="48">
        <v>0.004</v>
      </c>
      <c r="T230" s="48">
        <v>0.0</v>
      </c>
      <c r="U230" s="194">
        <v>33300.0</v>
      </c>
      <c r="V230" s="194">
        <v>0.0</v>
      </c>
      <c r="W230" s="10">
        <v>1.0</v>
      </c>
      <c r="X230" s="10">
        <v>0.0</v>
      </c>
    </row>
    <row r="231" ht="15.75" customHeight="1">
      <c r="A231" s="10" t="s">
        <v>50</v>
      </c>
      <c r="B231" s="10" t="str">
        <f t="array" ref="B231">_xlfn.XLOOKUP(D231,'Referanc '!$A:$A,'Referanc '!$B:$B)</f>
        <v>Standing Table  - E1A</v>
      </c>
      <c r="C231" s="10" t="s">
        <v>371</v>
      </c>
      <c r="D231" s="10" t="s">
        <v>371</v>
      </c>
      <c r="E231" s="10" t="s">
        <v>635</v>
      </c>
      <c r="F231" s="10" t="str">
        <f t="array" ref="F231">_xlfn.XLOOKUP(D231,'Referanc '!$A:$A,'Referanc '!$E:$E)</f>
        <v>E1A</v>
      </c>
      <c r="G231" s="10">
        <v>112.0</v>
      </c>
      <c r="H231" s="10">
        <v>9.0</v>
      </c>
      <c r="I231" s="48">
        <v>0.0024</v>
      </c>
      <c r="J231" s="48">
        <v>0.0046</v>
      </c>
      <c r="K231" s="10">
        <v>145.0</v>
      </c>
      <c r="L231" s="10">
        <v>16.0</v>
      </c>
      <c r="M231" s="48">
        <v>0.0022</v>
      </c>
      <c r="N231" s="48">
        <v>0.0057</v>
      </c>
      <c r="O231" s="48">
        <v>0.9196</v>
      </c>
      <c r="P231" s="48">
        <v>0.75</v>
      </c>
      <c r="Q231" s="10">
        <v>1.0</v>
      </c>
      <c r="R231" s="10">
        <v>1.0</v>
      </c>
      <c r="S231" s="48">
        <v>0.0089</v>
      </c>
      <c r="T231" s="48">
        <v>0.1111</v>
      </c>
      <c r="U231" s="194">
        <v>32238.98</v>
      </c>
      <c r="V231" s="194">
        <v>32238.98</v>
      </c>
      <c r="W231" s="10">
        <v>1.0</v>
      </c>
      <c r="X231" s="10">
        <v>1.0</v>
      </c>
    </row>
    <row r="232" ht="15.75" customHeight="1">
      <c r="A232" s="10" t="s">
        <v>50</v>
      </c>
      <c r="B232" s="10" t="str">
        <f t="array" ref="B232">_xlfn.XLOOKUP(D232,'Referanc '!$A:$A,'Referanc '!$B:$B)</f>
        <v>Standing Table  - E1A</v>
      </c>
      <c r="C232" s="10" t="s">
        <v>372</v>
      </c>
      <c r="D232" s="10" t="s">
        <v>372</v>
      </c>
      <c r="E232" s="10" t="s">
        <v>584</v>
      </c>
      <c r="F232" s="10" t="str">
        <f t="array" ref="F232">_xlfn.XLOOKUP(D232,'Referanc '!$A:$A,'Referanc '!$E:$E)</f>
        <v>E1A</v>
      </c>
      <c r="G232" s="10">
        <v>63.0</v>
      </c>
      <c r="H232" s="10">
        <v>4.0</v>
      </c>
      <c r="I232" s="48">
        <v>0.0013</v>
      </c>
      <c r="J232" s="48">
        <v>0.0021</v>
      </c>
      <c r="K232" s="10">
        <v>89.0</v>
      </c>
      <c r="L232" s="10">
        <v>5.0</v>
      </c>
      <c r="M232" s="48">
        <v>0.0013</v>
      </c>
      <c r="N232" s="48">
        <v>0.0018</v>
      </c>
      <c r="O232" s="48">
        <v>0.9</v>
      </c>
      <c r="P232" s="48">
        <v>0.0</v>
      </c>
      <c r="Q232" s="10">
        <v>1.0</v>
      </c>
      <c r="R232" s="10">
        <v>0.0</v>
      </c>
      <c r="S232" s="48">
        <v>0.0159</v>
      </c>
      <c r="T232" s="48">
        <v>0.0</v>
      </c>
      <c r="U232" s="194">
        <v>30300.0</v>
      </c>
      <c r="V232" s="194">
        <v>0.0</v>
      </c>
      <c r="W232" s="10">
        <v>1.0</v>
      </c>
      <c r="X232" s="10">
        <v>0.0</v>
      </c>
    </row>
    <row r="233" ht="15.75" customHeight="1">
      <c r="A233" s="10" t="s">
        <v>50</v>
      </c>
      <c r="B233" s="10" t="str">
        <f t="array" ref="B233">_xlfn.XLOOKUP(D233,'Referanc '!$A:$A,'Referanc '!$B:$B)</f>
        <v>Standing Table  - E1A</v>
      </c>
      <c r="C233" s="10" t="s">
        <v>382</v>
      </c>
      <c r="D233" s="10" t="s">
        <v>382</v>
      </c>
      <c r="E233" s="10" t="s">
        <v>616</v>
      </c>
      <c r="F233" s="10" t="str">
        <f t="array" ref="F233">_xlfn.XLOOKUP(D233,'Referanc '!$A:$A,'Referanc '!$E:$E)</f>
        <v>E1A</v>
      </c>
      <c r="G233" s="10">
        <v>193.0</v>
      </c>
      <c r="H233" s="10">
        <v>7.0</v>
      </c>
      <c r="I233" s="48">
        <v>0.0041</v>
      </c>
      <c r="J233" s="48">
        <v>0.0036</v>
      </c>
      <c r="K233" s="10">
        <v>242.0</v>
      </c>
      <c r="L233" s="10">
        <v>9.0</v>
      </c>
      <c r="M233" s="48">
        <v>0.0037</v>
      </c>
      <c r="N233" s="48">
        <v>0.0032</v>
      </c>
      <c r="O233" s="48">
        <v>0.8718</v>
      </c>
      <c r="P233" s="48">
        <v>1.0</v>
      </c>
      <c r="Q233" s="10">
        <v>1.0</v>
      </c>
      <c r="R233" s="10">
        <v>0.0</v>
      </c>
      <c r="S233" s="48">
        <v>0.0052</v>
      </c>
      <c r="T233" s="48">
        <v>0.0</v>
      </c>
      <c r="U233" s="194">
        <v>30000.0</v>
      </c>
      <c r="V233" s="194">
        <v>0.0</v>
      </c>
      <c r="W233" s="10">
        <v>1.0</v>
      </c>
      <c r="X233" s="10">
        <v>0.0</v>
      </c>
    </row>
    <row r="234" ht="15.75" customHeight="1">
      <c r="A234" s="10" t="s">
        <v>54</v>
      </c>
      <c r="B234" s="10" t="str">
        <f t="array" ref="B234">_xlfn.XLOOKUP(D234,'Referanc '!$A:$A,'Referanc '!$B:$B)</f>
        <v>Standing Table  - SM3</v>
      </c>
      <c r="C234" s="68" t="s">
        <v>291</v>
      </c>
      <c r="D234" s="68" t="s">
        <v>291</v>
      </c>
      <c r="E234" s="68" t="s">
        <v>1026</v>
      </c>
      <c r="F234" s="10" t="str">
        <f t="array" ref="F234">_xlfn.XLOOKUP(D234,'Referanc '!$A:$A,'Referanc '!$E:$E)</f>
        <v>SM3</v>
      </c>
      <c r="G234" s="196">
        <v>10771.0</v>
      </c>
      <c r="H234" s="68">
        <v>339.0</v>
      </c>
      <c r="I234" s="27">
        <v>0.1525</v>
      </c>
      <c r="J234" s="27">
        <v>0.1198</v>
      </c>
      <c r="K234" s="196">
        <v>17570.0</v>
      </c>
      <c r="L234" s="68">
        <v>539.0</v>
      </c>
      <c r="M234" s="27">
        <v>0.1581</v>
      </c>
      <c r="N234" s="27">
        <v>0.1218</v>
      </c>
      <c r="O234" s="27">
        <v>0.7741</v>
      </c>
      <c r="P234" s="27">
        <v>0.7961</v>
      </c>
      <c r="Q234" s="68">
        <v>38.0</v>
      </c>
      <c r="R234" s="68">
        <v>4.0</v>
      </c>
      <c r="S234" s="27">
        <v>0.0035</v>
      </c>
      <c r="T234" s="27">
        <v>0.0118</v>
      </c>
      <c r="U234" s="197">
        <v>792684.8</v>
      </c>
      <c r="V234" s="197">
        <v>84662.72</v>
      </c>
      <c r="W234" s="68">
        <v>38.0</v>
      </c>
      <c r="X234" s="68">
        <v>4.0</v>
      </c>
    </row>
    <row r="235" ht="15.75" customHeight="1">
      <c r="A235" s="10" t="s">
        <v>54</v>
      </c>
      <c r="B235" s="10" t="s">
        <v>211</v>
      </c>
      <c r="C235" s="68" t="s">
        <v>314</v>
      </c>
      <c r="D235" s="68" t="s">
        <v>314</v>
      </c>
      <c r="E235" s="68" t="s">
        <v>487</v>
      </c>
      <c r="F235" s="10" t="str">
        <f t="array" ref="F235">_xlfn.XLOOKUP(D235,'Referanc '!$A:$A,'Referanc '!$E:$E)</f>
        <v>Desk Cable Tray</v>
      </c>
      <c r="G235" s="196">
        <v>1612.0</v>
      </c>
      <c r="H235" s="68">
        <v>97.0</v>
      </c>
      <c r="I235" s="27">
        <v>0.0228</v>
      </c>
      <c r="J235" s="27">
        <v>0.0343</v>
      </c>
      <c r="K235" s="196">
        <v>2398.0</v>
      </c>
      <c r="L235" s="68">
        <v>143.0</v>
      </c>
      <c r="M235" s="27">
        <v>0.0216</v>
      </c>
      <c r="N235" s="27">
        <v>0.0323</v>
      </c>
      <c r="O235" s="27">
        <v>0.9399</v>
      </c>
      <c r="P235" s="27">
        <v>0.8556</v>
      </c>
      <c r="Q235" s="68">
        <v>42.0</v>
      </c>
      <c r="R235" s="68">
        <v>2.0</v>
      </c>
      <c r="S235" s="27">
        <v>0.0261</v>
      </c>
      <c r="T235" s="27">
        <v>0.0206</v>
      </c>
      <c r="U235" s="197">
        <v>58536.99</v>
      </c>
      <c r="V235" s="197">
        <v>3398.0</v>
      </c>
      <c r="W235" s="68">
        <v>37.0</v>
      </c>
      <c r="X235" s="68">
        <v>2.0</v>
      </c>
    </row>
    <row r="236" ht="15.75" customHeight="1">
      <c r="A236" s="10" t="s">
        <v>54</v>
      </c>
      <c r="B236" s="10" t="str">
        <f t="array" ref="B236">_xlfn.XLOOKUP(D236,'Referanc '!$A:$A,'Referanc '!$B:$B)</f>
        <v>Standing Table  - M3</v>
      </c>
      <c r="C236" s="68" t="s">
        <v>330</v>
      </c>
      <c r="D236" s="68" t="s">
        <v>330</v>
      </c>
      <c r="E236" s="68" t="s">
        <v>1029</v>
      </c>
      <c r="F236" s="10" t="str">
        <f t="array" ref="F236">_xlfn.XLOOKUP(D236,'Referanc '!$A:$A,'Referanc '!$E:$E)</f>
        <v>M3</v>
      </c>
      <c r="G236" s="196">
        <v>4301.0</v>
      </c>
      <c r="H236" s="68">
        <v>142.0</v>
      </c>
      <c r="I236" s="27">
        <v>0.0609</v>
      </c>
      <c r="J236" s="27">
        <v>0.0502</v>
      </c>
      <c r="K236" s="196">
        <v>8060.0</v>
      </c>
      <c r="L236" s="68">
        <v>219.0</v>
      </c>
      <c r="M236" s="27">
        <v>0.0725</v>
      </c>
      <c r="N236" s="27">
        <v>0.0495</v>
      </c>
      <c r="O236" s="27">
        <v>0.9149</v>
      </c>
      <c r="P236" s="27">
        <v>0.888</v>
      </c>
      <c r="Q236" s="68">
        <v>27.0</v>
      </c>
      <c r="R236" s="68">
        <v>0.0</v>
      </c>
      <c r="S236" s="27">
        <v>0.0063</v>
      </c>
      <c r="T236" s="27">
        <v>0.0</v>
      </c>
      <c r="U236" s="197">
        <v>406287.64</v>
      </c>
      <c r="V236" s="197">
        <v>0.0</v>
      </c>
      <c r="W236" s="68">
        <v>27.0</v>
      </c>
      <c r="X236" s="68">
        <v>0.0</v>
      </c>
    </row>
    <row r="237" ht="15.75" customHeight="1">
      <c r="A237" s="10" t="s">
        <v>54</v>
      </c>
      <c r="B237" s="10" t="str">
        <f t="array" ref="B237">_xlfn.XLOOKUP(D237,'Referanc '!$A:$A,'Referanc '!$B:$B)</f>
        <v>Standing Table  - SM3</v>
      </c>
      <c r="C237" s="68" t="s">
        <v>304</v>
      </c>
      <c r="D237" s="68" t="s">
        <v>304</v>
      </c>
      <c r="E237" s="68" t="s">
        <v>580</v>
      </c>
      <c r="F237" s="10" t="str">
        <f t="array" ref="F237">_xlfn.XLOOKUP(D237,'Referanc '!$A:$A,'Referanc '!$E:$E)</f>
        <v>SM3</v>
      </c>
      <c r="G237" s="196">
        <v>10483.0</v>
      </c>
      <c r="H237" s="68">
        <v>378.0</v>
      </c>
      <c r="I237" s="27">
        <v>0.1484</v>
      </c>
      <c r="J237" s="27">
        <v>0.1336</v>
      </c>
      <c r="K237" s="196">
        <v>16296.0</v>
      </c>
      <c r="L237" s="68">
        <v>572.0</v>
      </c>
      <c r="M237" s="27">
        <v>0.1466</v>
      </c>
      <c r="N237" s="27">
        <v>0.1292</v>
      </c>
      <c r="O237" s="27">
        <v>0.7854</v>
      </c>
      <c r="P237" s="27">
        <v>0.8264</v>
      </c>
      <c r="Q237" s="68">
        <v>21.0</v>
      </c>
      <c r="R237" s="68">
        <v>1.0</v>
      </c>
      <c r="S237" s="27">
        <v>0.002</v>
      </c>
      <c r="T237" s="27">
        <v>0.0026</v>
      </c>
      <c r="U237" s="197">
        <v>439233.92</v>
      </c>
      <c r="V237" s="197">
        <v>21154.24</v>
      </c>
      <c r="W237" s="68">
        <v>21.0</v>
      </c>
      <c r="X237" s="68">
        <v>1.0</v>
      </c>
    </row>
    <row r="238" ht="15.75" customHeight="1">
      <c r="A238" s="10" t="s">
        <v>54</v>
      </c>
      <c r="B238" s="10" t="str">
        <f t="array" ref="B238">_xlfn.XLOOKUP(D238,'Referanc '!$A:$A,'Referanc '!$B:$B)</f>
        <v>Standing Table - All Frames</v>
      </c>
      <c r="C238" s="68" t="s">
        <v>298</v>
      </c>
      <c r="D238" s="68" t="s">
        <v>298</v>
      </c>
      <c r="E238" s="68" t="s">
        <v>1000</v>
      </c>
      <c r="F238" s="10" t="str">
        <f t="array" ref="F238">_xlfn.XLOOKUP(D238,'Referanc '!$A:$A,'Referanc '!$E:$E)</f>
        <v>SM3</v>
      </c>
      <c r="G238" s="196">
        <v>2824.0</v>
      </c>
      <c r="H238" s="68">
        <v>154.0</v>
      </c>
      <c r="I238" s="27">
        <v>0.04</v>
      </c>
      <c r="J238" s="27">
        <v>0.0544</v>
      </c>
      <c r="K238" s="196">
        <v>4118.0</v>
      </c>
      <c r="L238" s="68">
        <v>258.0</v>
      </c>
      <c r="M238" s="27">
        <v>0.0371</v>
      </c>
      <c r="N238" s="27">
        <v>0.0583</v>
      </c>
      <c r="O238" s="27">
        <v>0.8294</v>
      </c>
      <c r="P238" s="27">
        <v>0.9463</v>
      </c>
      <c r="Q238" s="68">
        <v>22.0</v>
      </c>
      <c r="R238" s="68">
        <v>4.0</v>
      </c>
      <c r="S238" s="27">
        <v>0.0078</v>
      </c>
      <c r="T238" s="27">
        <v>0.026</v>
      </c>
      <c r="U238" s="197">
        <v>389450.89</v>
      </c>
      <c r="V238" s="197">
        <v>69508.49</v>
      </c>
      <c r="W238" s="68">
        <v>20.0</v>
      </c>
      <c r="X238" s="68">
        <v>2.0</v>
      </c>
    </row>
    <row r="239" ht="15.75" customHeight="1">
      <c r="A239" s="10" t="s">
        <v>54</v>
      </c>
      <c r="B239" s="10" t="str">
        <f t="array" ref="B239">_xlfn.XLOOKUP(D239,'Referanc '!$A:$A,'Referanc '!$B:$B)</f>
        <v>Standing Table  - E4</v>
      </c>
      <c r="C239" s="68" t="s">
        <v>398</v>
      </c>
      <c r="D239" s="68" t="s">
        <v>398</v>
      </c>
      <c r="E239" s="68" t="s">
        <v>622</v>
      </c>
      <c r="F239" s="10" t="str">
        <f t="array" ref="F239">_xlfn.XLOOKUP(D239,'Referanc '!$A:$A,'Referanc '!$E:$E)</f>
        <v>E4</v>
      </c>
      <c r="G239" s="196">
        <v>1200.0</v>
      </c>
      <c r="H239" s="68">
        <v>44.0</v>
      </c>
      <c r="I239" s="27">
        <v>0.017</v>
      </c>
      <c r="J239" s="27">
        <v>0.0155</v>
      </c>
      <c r="K239" s="196">
        <v>2029.0</v>
      </c>
      <c r="L239" s="68">
        <v>75.0</v>
      </c>
      <c r="M239" s="27">
        <v>0.0183</v>
      </c>
      <c r="N239" s="27">
        <v>0.0169</v>
      </c>
      <c r="O239" s="27">
        <v>0.9196</v>
      </c>
      <c r="P239" s="27">
        <v>0.8214</v>
      </c>
      <c r="Q239" s="68">
        <v>20.0</v>
      </c>
      <c r="R239" s="68">
        <v>3.0</v>
      </c>
      <c r="S239" s="27">
        <v>0.0167</v>
      </c>
      <c r="T239" s="27">
        <v>0.0682</v>
      </c>
      <c r="U239" s="197">
        <v>553780.19</v>
      </c>
      <c r="V239" s="197">
        <v>83207.29</v>
      </c>
      <c r="W239" s="68">
        <v>20.0</v>
      </c>
      <c r="X239" s="68">
        <v>3.0</v>
      </c>
    </row>
    <row r="240" ht="15.75" customHeight="1">
      <c r="A240" s="10" t="s">
        <v>54</v>
      </c>
      <c r="B240" s="10" t="str">
        <f t="array" ref="B240">_xlfn.XLOOKUP(D240,'Referanc '!$A:$A,'Referanc '!$B:$B)</f>
        <v>Standing Table  - SM3</v>
      </c>
      <c r="C240" s="68" t="s">
        <v>296</v>
      </c>
      <c r="D240" s="68" t="s">
        <v>296</v>
      </c>
      <c r="E240" s="68" t="s">
        <v>563</v>
      </c>
      <c r="F240" s="10" t="str">
        <f t="array" ref="F240">_xlfn.XLOOKUP(D240,'Referanc '!$A:$A,'Referanc '!$E:$E)</f>
        <v>SM3</v>
      </c>
      <c r="G240" s="196">
        <v>3293.0</v>
      </c>
      <c r="H240" s="68">
        <v>146.0</v>
      </c>
      <c r="I240" s="27">
        <v>0.0466</v>
      </c>
      <c r="J240" s="27">
        <v>0.0516</v>
      </c>
      <c r="K240" s="196">
        <v>5043.0</v>
      </c>
      <c r="L240" s="68">
        <v>222.0</v>
      </c>
      <c r="M240" s="27">
        <v>0.0454</v>
      </c>
      <c r="N240" s="27">
        <v>0.0502</v>
      </c>
      <c r="O240" s="27">
        <v>0.8842</v>
      </c>
      <c r="P240" s="27">
        <v>0.9316</v>
      </c>
      <c r="Q240" s="68">
        <v>17.0</v>
      </c>
      <c r="R240" s="68">
        <v>1.0</v>
      </c>
      <c r="S240" s="27">
        <v>0.0052</v>
      </c>
      <c r="T240" s="27">
        <v>0.0068</v>
      </c>
      <c r="U240" s="197">
        <v>420142.4</v>
      </c>
      <c r="V240" s="197">
        <v>24000.0</v>
      </c>
      <c r="W240" s="68">
        <v>17.0</v>
      </c>
      <c r="X240" s="68">
        <v>1.0</v>
      </c>
    </row>
    <row r="241" ht="15.75" customHeight="1">
      <c r="A241" s="10" t="s">
        <v>54</v>
      </c>
      <c r="B241" s="10" t="str">
        <f t="array" ref="B241">_xlfn.XLOOKUP(D241,'Referanc '!$A:$A,'Referanc '!$B:$B)</f>
        <v>Standing Table - All Frames</v>
      </c>
      <c r="C241" s="68" t="s">
        <v>402</v>
      </c>
      <c r="D241" s="68" t="s">
        <v>402</v>
      </c>
      <c r="E241" s="68" t="s">
        <v>637</v>
      </c>
      <c r="F241" s="10" t="str">
        <f t="array" ref="F241">_xlfn.XLOOKUP(D241,'Referanc '!$A:$A,'Referanc '!$E:$E)</f>
        <v>E4</v>
      </c>
      <c r="G241" s="196">
        <v>2049.0</v>
      </c>
      <c r="H241" s="68">
        <v>79.0</v>
      </c>
      <c r="I241" s="27">
        <v>0.029</v>
      </c>
      <c r="J241" s="27">
        <v>0.0279</v>
      </c>
      <c r="K241" s="196">
        <v>3368.0</v>
      </c>
      <c r="L241" s="68">
        <v>142.0</v>
      </c>
      <c r="M241" s="27">
        <v>0.0303</v>
      </c>
      <c r="N241" s="27">
        <v>0.0321</v>
      </c>
      <c r="O241" s="27">
        <v>0.8702</v>
      </c>
      <c r="P241" s="27">
        <v>0.8519</v>
      </c>
      <c r="Q241" s="68">
        <v>16.0</v>
      </c>
      <c r="R241" s="68">
        <v>2.0</v>
      </c>
      <c r="S241" s="27">
        <v>0.0078</v>
      </c>
      <c r="T241" s="27">
        <v>0.0253</v>
      </c>
      <c r="U241" s="197">
        <v>349595.75</v>
      </c>
      <c r="V241" s="197">
        <v>44457.29</v>
      </c>
      <c r="W241" s="68">
        <v>16.0</v>
      </c>
      <c r="X241" s="68">
        <v>2.0</v>
      </c>
    </row>
    <row r="242" ht="15.75" customHeight="1">
      <c r="A242" s="10" t="s">
        <v>54</v>
      </c>
      <c r="B242" s="10" t="str">
        <f t="array" ref="B242">_xlfn.XLOOKUP(D242,'Referanc '!$A:$A,'Referanc '!$B:$B)</f>
        <v>Standing Table  - E4</v>
      </c>
      <c r="C242" s="68" t="s">
        <v>396</v>
      </c>
      <c r="D242" s="68" t="s">
        <v>396</v>
      </c>
      <c r="E242" s="68" t="s">
        <v>618</v>
      </c>
      <c r="F242" s="10" t="str">
        <f t="array" ref="F242">_xlfn.XLOOKUP(D242,'Referanc '!$A:$A,'Referanc '!$E:$E)</f>
        <v>E4</v>
      </c>
      <c r="G242" s="196">
        <v>1059.0</v>
      </c>
      <c r="H242" s="68">
        <v>38.0</v>
      </c>
      <c r="I242" s="27">
        <v>0.015</v>
      </c>
      <c r="J242" s="27">
        <v>0.0134</v>
      </c>
      <c r="K242" s="196">
        <v>1726.0</v>
      </c>
      <c r="L242" s="68">
        <v>65.0</v>
      </c>
      <c r="M242" s="27">
        <v>0.0155</v>
      </c>
      <c r="N242" s="27">
        <v>0.0147</v>
      </c>
      <c r="O242" s="27">
        <v>0.8738</v>
      </c>
      <c r="P242" s="27">
        <v>0.8846</v>
      </c>
      <c r="Q242" s="68">
        <v>15.0</v>
      </c>
      <c r="R242" s="68">
        <v>0.0</v>
      </c>
      <c r="S242" s="27">
        <v>0.0142</v>
      </c>
      <c r="T242" s="27">
        <v>0.0</v>
      </c>
      <c r="U242" s="197">
        <v>410743.74</v>
      </c>
      <c r="V242" s="197">
        <v>0.0</v>
      </c>
      <c r="W242" s="68">
        <v>15.0</v>
      </c>
      <c r="X242" s="68">
        <v>0.0</v>
      </c>
    </row>
    <row r="243" ht="15.75" customHeight="1">
      <c r="A243" s="10" t="s">
        <v>54</v>
      </c>
      <c r="B243" s="10" t="str">
        <f t="array" ref="B243">_xlfn.XLOOKUP(D243,'Referanc '!$A:$A,'Referanc '!$B:$B)</f>
        <v>Extension &amp; Holder</v>
      </c>
      <c r="C243" s="68" t="s">
        <v>338</v>
      </c>
      <c r="D243" s="68" t="s">
        <v>338</v>
      </c>
      <c r="E243" s="68" t="s">
        <v>586</v>
      </c>
      <c r="F243" s="10" t="str">
        <f t="array" ref="F243">_xlfn.XLOOKUP(D243,'Referanc '!$A:$A,'Referanc '!$E:$E)</f>
        <v>Extension Board Holder</v>
      </c>
      <c r="G243" s="68">
        <v>281.0</v>
      </c>
      <c r="H243" s="68">
        <v>18.0</v>
      </c>
      <c r="I243" s="27">
        <v>0.004</v>
      </c>
      <c r="J243" s="27">
        <v>0.0064</v>
      </c>
      <c r="K243" s="68">
        <v>369.0</v>
      </c>
      <c r="L243" s="68">
        <v>20.0</v>
      </c>
      <c r="M243" s="27">
        <v>0.0033</v>
      </c>
      <c r="N243" s="27">
        <v>0.0045</v>
      </c>
      <c r="O243" s="27">
        <v>0.9968</v>
      </c>
      <c r="P243" s="27">
        <v>0.9091</v>
      </c>
      <c r="Q243" s="68">
        <v>18.0</v>
      </c>
      <c r="R243" s="68">
        <v>3.0</v>
      </c>
      <c r="S243" s="27">
        <v>0.0641</v>
      </c>
      <c r="T243" s="27">
        <v>0.1667</v>
      </c>
      <c r="U243" s="197">
        <v>17982.0</v>
      </c>
      <c r="V243" s="197">
        <v>2997.0</v>
      </c>
      <c r="W243" s="68">
        <v>13.0</v>
      </c>
      <c r="X243" s="68">
        <v>2.0</v>
      </c>
    </row>
    <row r="244" ht="15.75" customHeight="1">
      <c r="A244" s="10" t="s">
        <v>54</v>
      </c>
      <c r="B244" s="10" t="str">
        <f t="array" ref="B244">_xlfn.XLOOKUP(D244,'Referanc '!$A:$A,'Referanc '!$B:$B)</f>
        <v>Standing Table  - SM3</v>
      </c>
      <c r="C244" s="68" t="s">
        <v>370</v>
      </c>
      <c r="D244" s="68" t="s">
        <v>370</v>
      </c>
      <c r="E244" s="68" t="s">
        <v>580</v>
      </c>
      <c r="F244" s="10" t="str">
        <f t="array" ref="F244">_xlfn.XLOOKUP(D244,'Referanc '!$A:$A,'Referanc '!$E:$E)</f>
        <v>SM3</v>
      </c>
      <c r="G244" s="68">
        <v>741.0</v>
      </c>
      <c r="H244" s="68">
        <v>34.0</v>
      </c>
      <c r="I244" s="27">
        <v>0.0105</v>
      </c>
      <c r="J244" s="27">
        <v>0.012</v>
      </c>
      <c r="K244" s="196">
        <v>1083.0</v>
      </c>
      <c r="L244" s="68">
        <v>57.0</v>
      </c>
      <c r="M244" s="27">
        <v>0.0097</v>
      </c>
      <c r="N244" s="27">
        <v>0.0129</v>
      </c>
      <c r="O244" s="27">
        <v>0.9297</v>
      </c>
      <c r="P244" s="27">
        <v>0.9429</v>
      </c>
      <c r="Q244" s="68">
        <v>11.0</v>
      </c>
      <c r="R244" s="68">
        <v>1.0</v>
      </c>
      <c r="S244" s="27">
        <v>0.0148</v>
      </c>
      <c r="T244" s="27">
        <v>0.0294</v>
      </c>
      <c r="U244" s="197">
        <v>229200.0</v>
      </c>
      <c r="V244" s="197">
        <v>20400.0</v>
      </c>
      <c r="W244" s="68">
        <v>11.0</v>
      </c>
      <c r="X244" s="68">
        <v>1.0</v>
      </c>
    </row>
    <row r="245" ht="15.75" customHeight="1">
      <c r="A245" s="10" t="s">
        <v>54</v>
      </c>
      <c r="B245" s="10" t="str">
        <f t="array" ref="B245">_xlfn.XLOOKUP(D245,'Referanc '!$A:$A,'Referanc '!$B:$B)</f>
        <v>Standing Table  - SM3</v>
      </c>
      <c r="C245" s="68" t="s">
        <v>301</v>
      </c>
      <c r="D245" s="68" t="s">
        <v>301</v>
      </c>
      <c r="E245" s="68" t="s">
        <v>1121</v>
      </c>
      <c r="F245" s="10" t="str">
        <f t="array" ref="F245">_xlfn.XLOOKUP(D245,'Referanc '!$A:$A,'Referanc '!$E:$E)</f>
        <v>SM3</v>
      </c>
      <c r="G245" s="196">
        <v>3017.0</v>
      </c>
      <c r="H245" s="68">
        <v>123.0</v>
      </c>
      <c r="I245" s="27">
        <v>0.0427</v>
      </c>
      <c r="J245" s="27">
        <v>0.0435</v>
      </c>
      <c r="K245" s="196">
        <v>4082.0</v>
      </c>
      <c r="L245" s="68">
        <v>181.0</v>
      </c>
      <c r="M245" s="27">
        <v>0.0367</v>
      </c>
      <c r="N245" s="27">
        <v>0.0409</v>
      </c>
      <c r="O245" s="27">
        <v>0.8332</v>
      </c>
      <c r="P245" s="27">
        <v>0.8796</v>
      </c>
      <c r="Q245" s="68">
        <v>10.0</v>
      </c>
      <c r="R245" s="68">
        <v>1.0</v>
      </c>
      <c r="S245" s="27">
        <v>0.0033</v>
      </c>
      <c r="T245" s="27">
        <v>0.0081</v>
      </c>
      <c r="U245" s="197">
        <v>246879.68</v>
      </c>
      <c r="V245" s="197">
        <v>23954.24</v>
      </c>
      <c r="W245" s="68">
        <v>10.0</v>
      </c>
      <c r="X245" s="68">
        <v>1.0</v>
      </c>
    </row>
    <row r="246" ht="15.75" customHeight="1">
      <c r="A246" s="10" t="s">
        <v>54</v>
      </c>
      <c r="B246" s="10" t="str">
        <f t="array" ref="B246">_xlfn.XLOOKUP(D246,'Referanc '!$A:$A,'Referanc '!$B:$B)</f>
        <v>Standing Table  - E4</v>
      </c>
      <c r="C246" s="68" t="s">
        <v>388</v>
      </c>
      <c r="D246" s="68" t="s">
        <v>388</v>
      </c>
      <c r="E246" s="68" t="s">
        <v>606</v>
      </c>
      <c r="F246" s="10" t="str">
        <f t="array" ref="F246">_xlfn.XLOOKUP(D246,'Referanc '!$A:$A,'Referanc '!$E:$E)</f>
        <v>E4</v>
      </c>
      <c r="G246" s="196">
        <v>1215.0</v>
      </c>
      <c r="H246" s="68">
        <v>49.0</v>
      </c>
      <c r="I246" s="27">
        <v>0.0172</v>
      </c>
      <c r="J246" s="27">
        <v>0.0173</v>
      </c>
      <c r="K246" s="196">
        <v>1922.0</v>
      </c>
      <c r="L246" s="68">
        <v>79.0</v>
      </c>
      <c r="M246" s="27">
        <v>0.0173</v>
      </c>
      <c r="N246" s="27">
        <v>0.0178</v>
      </c>
      <c r="O246" s="27">
        <v>0.93</v>
      </c>
      <c r="P246" s="27">
        <v>0.8571</v>
      </c>
      <c r="Q246" s="68">
        <v>10.0</v>
      </c>
      <c r="R246" s="68">
        <v>0.0</v>
      </c>
      <c r="S246" s="27">
        <v>0.0082</v>
      </c>
      <c r="T246" s="27">
        <v>0.0</v>
      </c>
      <c r="U246" s="197">
        <v>249498.31</v>
      </c>
      <c r="V246" s="197">
        <v>0.0</v>
      </c>
      <c r="W246" s="68">
        <v>10.0</v>
      </c>
      <c r="X246" s="68">
        <v>0.0</v>
      </c>
    </row>
    <row r="247" ht="15.75" customHeight="1">
      <c r="A247" s="10" t="s">
        <v>54</v>
      </c>
      <c r="B247" s="10" t="str">
        <f t="array" ref="B247">_xlfn.XLOOKUP(D247,'Referanc '!$A:$A,'Referanc '!$B:$B)</f>
        <v>Standing Table  - SM3</v>
      </c>
      <c r="C247" s="68" t="s">
        <v>358</v>
      </c>
      <c r="D247" s="68" t="s">
        <v>358</v>
      </c>
      <c r="E247" s="68" t="s">
        <v>563</v>
      </c>
      <c r="F247" s="10" t="str">
        <f t="array" ref="F247">_xlfn.XLOOKUP(D247,'Referanc '!$A:$A,'Referanc '!$E:$E)</f>
        <v>SM3</v>
      </c>
      <c r="G247" s="68">
        <v>958.0</v>
      </c>
      <c r="H247" s="68">
        <v>39.0</v>
      </c>
      <c r="I247" s="27">
        <v>0.0136</v>
      </c>
      <c r="J247" s="27">
        <v>0.0138</v>
      </c>
      <c r="K247" s="196">
        <v>1487.0</v>
      </c>
      <c r="L247" s="68">
        <v>62.0</v>
      </c>
      <c r="M247" s="27">
        <v>0.0134</v>
      </c>
      <c r="N247" s="27">
        <v>0.014</v>
      </c>
      <c r="O247" s="27">
        <v>0.9148</v>
      </c>
      <c r="P247" s="27">
        <v>0.8478</v>
      </c>
      <c r="Q247" s="68">
        <v>9.0</v>
      </c>
      <c r="R247" s="68">
        <v>2.0</v>
      </c>
      <c r="S247" s="27">
        <v>0.0094</v>
      </c>
      <c r="T247" s="27">
        <v>0.0513</v>
      </c>
      <c r="U247" s="197">
        <v>230400.0</v>
      </c>
      <c r="V247" s="197">
        <v>51600.0</v>
      </c>
      <c r="W247" s="68">
        <v>9.0</v>
      </c>
      <c r="X247" s="68">
        <v>2.0</v>
      </c>
    </row>
    <row r="248" ht="15.75" customHeight="1">
      <c r="A248" s="10" t="s">
        <v>54</v>
      </c>
      <c r="B248" s="10" t="str">
        <f t="array" ref="B248">_xlfn.XLOOKUP(D248,'Referanc '!$A:$A,'Referanc '!$B:$B)</f>
        <v>Standing Table  - E3</v>
      </c>
      <c r="C248" s="68" t="s">
        <v>365</v>
      </c>
      <c r="D248" s="68" t="s">
        <v>365</v>
      </c>
      <c r="E248" s="68" t="s">
        <v>1124</v>
      </c>
      <c r="F248" s="10" t="str">
        <f t="array" ref="F248">_xlfn.XLOOKUP(D248,'Referanc '!$A:$A,'Referanc '!$E:$E)</f>
        <v>E3</v>
      </c>
      <c r="G248" s="196">
        <v>1217.0</v>
      </c>
      <c r="H248" s="68">
        <v>72.0</v>
      </c>
      <c r="I248" s="27">
        <v>0.0172</v>
      </c>
      <c r="J248" s="27">
        <v>0.0254</v>
      </c>
      <c r="K248" s="196">
        <v>2167.0</v>
      </c>
      <c r="L248" s="68">
        <v>134.0</v>
      </c>
      <c r="M248" s="27">
        <v>0.0195</v>
      </c>
      <c r="N248" s="27">
        <v>0.0303</v>
      </c>
      <c r="O248" s="27">
        <v>0.9379</v>
      </c>
      <c r="P248" s="27">
        <v>0.7097</v>
      </c>
      <c r="Q248" s="68">
        <v>8.0</v>
      </c>
      <c r="R248" s="68">
        <v>2.0</v>
      </c>
      <c r="S248" s="27">
        <v>0.0066</v>
      </c>
      <c r="T248" s="27">
        <v>0.0278</v>
      </c>
      <c r="U248" s="197">
        <v>326994.08</v>
      </c>
      <c r="V248" s="197">
        <v>81800.0</v>
      </c>
      <c r="W248" s="68">
        <v>8.0</v>
      </c>
      <c r="X248" s="68">
        <v>2.0</v>
      </c>
    </row>
    <row r="249" ht="15.75" customHeight="1">
      <c r="A249" s="10" t="s">
        <v>54</v>
      </c>
      <c r="B249" s="10" t="str">
        <f t="array" ref="B249">_xlfn.XLOOKUP(D249,'Referanc '!$A:$A,'Referanc '!$B:$B)</f>
        <v>Standing Table  - M8</v>
      </c>
      <c r="C249" s="68" t="s">
        <v>406</v>
      </c>
      <c r="D249" s="68" t="s">
        <v>406</v>
      </c>
      <c r="E249" s="68" t="s">
        <v>639</v>
      </c>
      <c r="F249" s="10" t="str">
        <f t="array" ref="F249">_xlfn.XLOOKUP(D249,'Referanc '!$A:$A,'Referanc '!$E:$E)</f>
        <v>M8</v>
      </c>
      <c r="G249" s="68">
        <v>596.0</v>
      </c>
      <c r="H249" s="68">
        <v>20.0</v>
      </c>
      <c r="I249" s="27">
        <v>0.0084</v>
      </c>
      <c r="J249" s="27">
        <v>0.0071</v>
      </c>
      <c r="K249" s="68">
        <v>884.0</v>
      </c>
      <c r="L249" s="68">
        <v>31.0</v>
      </c>
      <c r="M249" s="27">
        <v>0.008</v>
      </c>
      <c r="N249" s="27">
        <v>0.007</v>
      </c>
      <c r="O249" s="27">
        <v>0.9082</v>
      </c>
      <c r="P249" s="27">
        <v>0.7333</v>
      </c>
      <c r="Q249" s="68">
        <v>6.0</v>
      </c>
      <c r="R249" s="68">
        <v>1.0</v>
      </c>
      <c r="S249" s="27">
        <v>0.0101</v>
      </c>
      <c r="T249" s="27">
        <v>0.05</v>
      </c>
      <c r="U249" s="197">
        <v>95994.0</v>
      </c>
      <c r="V249" s="197">
        <v>15999.0</v>
      </c>
      <c r="W249" s="68">
        <v>6.0</v>
      </c>
      <c r="X249" s="68">
        <v>1.0</v>
      </c>
    </row>
    <row r="250" ht="15.75" customHeight="1">
      <c r="A250" s="10" t="s">
        <v>54</v>
      </c>
      <c r="B250" s="10" t="str">
        <f t="array" ref="B250">_xlfn.XLOOKUP(D250,'Referanc '!$A:$A,'Referanc '!$B:$B)</f>
        <v>Standing Table  - M8</v>
      </c>
      <c r="C250" s="68" t="s">
        <v>408</v>
      </c>
      <c r="D250" s="68" t="s">
        <v>408</v>
      </c>
      <c r="E250" s="68" t="s">
        <v>641</v>
      </c>
      <c r="F250" s="10" t="str">
        <f t="array" ref="F250">_xlfn.XLOOKUP(D250,'Referanc '!$A:$A,'Referanc '!$E:$E)</f>
        <v>M8</v>
      </c>
      <c r="G250" s="68">
        <v>640.0</v>
      </c>
      <c r="H250" s="68">
        <v>27.0</v>
      </c>
      <c r="I250" s="27">
        <v>0.0091</v>
      </c>
      <c r="J250" s="27">
        <v>0.0095</v>
      </c>
      <c r="K250" s="196">
        <v>1003.0</v>
      </c>
      <c r="L250" s="68">
        <v>31.0</v>
      </c>
      <c r="M250" s="27">
        <v>0.009</v>
      </c>
      <c r="N250" s="27">
        <v>0.007</v>
      </c>
      <c r="O250" s="27">
        <v>0.8859</v>
      </c>
      <c r="P250" s="27">
        <v>0.72</v>
      </c>
      <c r="Q250" s="68">
        <v>6.0</v>
      </c>
      <c r="R250" s="68">
        <v>0.0</v>
      </c>
      <c r="S250" s="27">
        <v>0.0094</v>
      </c>
      <c r="T250" s="27">
        <v>0.0</v>
      </c>
      <c r="U250" s="197">
        <v>95994.0</v>
      </c>
      <c r="V250" s="197">
        <v>0.0</v>
      </c>
      <c r="W250" s="68">
        <v>6.0</v>
      </c>
      <c r="X250" s="68">
        <v>0.0</v>
      </c>
    </row>
    <row r="251" ht="15.75" customHeight="1">
      <c r="A251" s="10" t="s">
        <v>54</v>
      </c>
      <c r="B251" s="10" t="str">
        <f t="array" ref="B251">_xlfn.XLOOKUP(D251,'Referanc '!$A:$A,'Referanc '!$B:$B)</f>
        <v>Standing Table  - E2</v>
      </c>
      <c r="C251" s="68" t="s">
        <v>313</v>
      </c>
      <c r="D251" s="68" t="s">
        <v>313</v>
      </c>
      <c r="E251" s="68" t="s">
        <v>1125</v>
      </c>
      <c r="F251" s="10" t="str">
        <f t="array" ref="F251">_xlfn.XLOOKUP(D251,'Referanc '!$A:$A,'Referanc '!$E:$E)</f>
        <v>E2</v>
      </c>
      <c r="G251" s="68">
        <v>323.0</v>
      </c>
      <c r="H251" s="68">
        <v>24.0</v>
      </c>
      <c r="I251" s="27">
        <v>0.0046</v>
      </c>
      <c r="J251" s="27">
        <v>0.0085</v>
      </c>
      <c r="K251" s="68">
        <v>526.0</v>
      </c>
      <c r="L251" s="68">
        <v>34.0</v>
      </c>
      <c r="M251" s="27">
        <v>0.0047</v>
      </c>
      <c r="N251" s="27">
        <v>0.0077</v>
      </c>
      <c r="O251" s="27">
        <v>0.8182</v>
      </c>
      <c r="P251" s="27">
        <v>0.6875</v>
      </c>
      <c r="Q251" s="68">
        <v>6.0</v>
      </c>
      <c r="R251" s="68">
        <v>1.0</v>
      </c>
      <c r="S251" s="27">
        <v>0.0186</v>
      </c>
      <c r="T251" s="27">
        <v>0.0417</v>
      </c>
      <c r="U251" s="197">
        <v>180000.0</v>
      </c>
      <c r="V251" s="197">
        <v>30900.0</v>
      </c>
      <c r="W251" s="68">
        <v>6.0</v>
      </c>
      <c r="X251" s="68">
        <v>1.0</v>
      </c>
    </row>
    <row r="252" ht="15.75" customHeight="1">
      <c r="A252" s="10" t="s">
        <v>54</v>
      </c>
      <c r="B252" s="10" t="str">
        <f t="array" ref="B252">_xlfn.XLOOKUP(D252,'Referanc '!$A:$A,'Referanc '!$B:$B)</f>
        <v>Standing Table  - E4</v>
      </c>
      <c r="C252" s="68" t="s">
        <v>375</v>
      </c>
      <c r="D252" s="68" t="s">
        <v>375</v>
      </c>
      <c r="E252" s="68" t="s">
        <v>588</v>
      </c>
      <c r="F252" s="10" t="str">
        <f t="array" ref="F252">_xlfn.XLOOKUP(D252,'Referanc '!$A:$A,'Referanc '!$E:$E)</f>
        <v>E4</v>
      </c>
      <c r="G252" s="68">
        <v>673.0</v>
      </c>
      <c r="H252" s="68">
        <v>27.0</v>
      </c>
      <c r="I252" s="27">
        <v>0.0095</v>
      </c>
      <c r="J252" s="27">
        <v>0.0095</v>
      </c>
      <c r="K252" s="196">
        <v>1094.0</v>
      </c>
      <c r="L252" s="68">
        <v>50.0</v>
      </c>
      <c r="M252" s="27">
        <v>0.0098</v>
      </c>
      <c r="N252" s="27">
        <v>0.0113</v>
      </c>
      <c r="O252" s="27">
        <v>0.9396</v>
      </c>
      <c r="P252" s="27">
        <v>0.8929</v>
      </c>
      <c r="Q252" s="68">
        <v>6.0</v>
      </c>
      <c r="R252" s="68">
        <v>2.0</v>
      </c>
      <c r="S252" s="27">
        <v>0.0089</v>
      </c>
      <c r="T252" s="27">
        <v>0.0741</v>
      </c>
      <c r="U252" s="197">
        <v>149876.44</v>
      </c>
      <c r="V252" s="197">
        <v>49707.29</v>
      </c>
      <c r="W252" s="68">
        <v>6.0</v>
      </c>
      <c r="X252" s="68">
        <v>2.0</v>
      </c>
    </row>
    <row r="253" ht="15.75" customHeight="1">
      <c r="A253" s="10" t="s">
        <v>54</v>
      </c>
      <c r="B253" s="10" t="str">
        <f t="array" ref="B253">_xlfn.XLOOKUP(D253,'Referanc '!$A:$A,'Referanc '!$B:$B)</f>
        <v>Standing Table - All Frames</v>
      </c>
      <c r="C253" s="68" t="s">
        <v>389</v>
      </c>
      <c r="D253" s="68" t="s">
        <v>389</v>
      </c>
      <c r="E253" s="68" t="s">
        <v>608</v>
      </c>
      <c r="F253" s="10" t="str">
        <f t="array" ref="F253">_xlfn.XLOOKUP(D253,'Referanc '!$A:$A,'Referanc '!$E:$E)</f>
        <v>M8</v>
      </c>
      <c r="G253" s="68">
        <v>714.0</v>
      </c>
      <c r="H253" s="68">
        <v>16.0</v>
      </c>
      <c r="I253" s="27">
        <v>0.0101</v>
      </c>
      <c r="J253" s="27">
        <v>0.0057</v>
      </c>
      <c r="K253" s="68">
        <v>998.0</v>
      </c>
      <c r="L253" s="68">
        <v>19.0</v>
      </c>
      <c r="M253" s="27">
        <v>0.009</v>
      </c>
      <c r="N253" s="27">
        <v>0.0043</v>
      </c>
      <c r="O253" s="27">
        <v>0.8983</v>
      </c>
      <c r="P253" s="27">
        <v>0.6429</v>
      </c>
      <c r="Q253" s="68">
        <v>5.0</v>
      </c>
      <c r="R253" s="68">
        <v>0.0</v>
      </c>
      <c r="S253" s="27">
        <v>0.007</v>
      </c>
      <c r="T253" s="27">
        <v>0.0</v>
      </c>
      <c r="U253" s="197">
        <v>69950.0</v>
      </c>
      <c r="V253" s="197">
        <v>0.0</v>
      </c>
      <c r="W253" s="68">
        <v>5.0</v>
      </c>
      <c r="X253" s="68">
        <v>0.0</v>
      </c>
    </row>
    <row r="254" ht="15.75" customHeight="1">
      <c r="A254" s="10" t="s">
        <v>54</v>
      </c>
      <c r="B254" s="10" t="str">
        <f t="array" ref="B254">_xlfn.XLOOKUP(D254,'Referanc '!$A:$A,'Referanc '!$B:$B)</f>
        <v>Standing Table  - E2</v>
      </c>
      <c r="C254" s="68" t="s">
        <v>309</v>
      </c>
      <c r="D254" s="68" t="s">
        <v>309</v>
      </c>
      <c r="E254" s="68" t="s">
        <v>1127</v>
      </c>
      <c r="F254" s="10" t="str">
        <f t="array" ref="F254">_xlfn.XLOOKUP(D254,'Referanc '!$A:$A,'Referanc '!$E:$E)</f>
        <v>E2</v>
      </c>
      <c r="G254" s="68">
        <v>383.0</v>
      </c>
      <c r="H254" s="68">
        <v>22.0</v>
      </c>
      <c r="I254" s="27">
        <v>0.0054</v>
      </c>
      <c r="J254" s="27">
        <v>0.0078</v>
      </c>
      <c r="K254" s="68">
        <v>619.0</v>
      </c>
      <c r="L254" s="68">
        <v>27.0</v>
      </c>
      <c r="M254" s="27">
        <v>0.0056</v>
      </c>
      <c r="N254" s="27">
        <v>0.0061</v>
      </c>
      <c r="O254" s="27">
        <v>0.8918</v>
      </c>
      <c r="P254" s="27">
        <v>0.6667</v>
      </c>
      <c r="Q254" s="68">
        <v>5.0</v>
      </c>
      <c r="R254" s="68">
        <v>0.0</v>
      </c>
      <c r="S254" s="27">
        <v>0.0131</v>
      </c>
      <c r="T254" s="27">
        <v>0.0</v>
      </c>
      <c r="U254" s="197">
        <v>163500.0</v>
      </c>
      <c r="V254" s="197">
        <v>0.0</v>
      </c>
      <c r="W254" s="68">
        <v>5.0</v>
      </c>
      <c r="X254" s="68">
        <v>0.0</v>
      </c>
    </row>
    <row r="255" ht="15.75" customHeight="1">
      <c r="A255" s="10" t="s">
        <v>54</v>
      </c>
      <c r="B255" s="10" t="str">
        <f t="array" ref="B255">_xlfn.XLOOKUP(D255,'Referanc '!$A:$A,'Referanc '!$B:$B)</f>
        <v>Standing Table  - SM3</v>
      </c>
      <c r="C255" s="68" t="s">
        <v>383</v>
      </c>
      <c r="D255" s="68" t="s">
        <v>383</v>
      </c>
      <c r="E255" s="68" t="s">
        <v>598</v>
      </c>
      <c r="F255" s="10" t="str">
        <f t="array" ref="F255">_xlfn.XLOOKUP(D255,'Referanc '!$A:$A,'Referanc '!$E:$E)</f>
        <v>SM3</v>
      </c>
      <c r="G255" s="68">
        <v>698.0</v>
      </c>
      <c r="H255" s="68">
        <v>23.0</v>
      </c>
      <c r="I255" s="27">
        <v>0.0099</v>
      </c>
      <c r="J255" s="27">
        <v>0.0081</v>
      </c>
      <c r="K255" s="196">
        <v>1012.0</v>
      </c>
      <c r="L255" s="68">
        <v>31.0</v>
      </c>
      <c r="M255" s="27">
        <v>0.0091</v>
      </c>
      <c r="N255" s="27">
        <v>0.007</v>
      </c>
      <c r="O255" s="27">
        <v>0.9346</v>
      </c>
      <c r="P255" s="27">
        <v>0.8125</v>
      </c>
      <c r="Q255" s="68">
        <v>5.0</v>
      </c>
      <c r="R255" s="68">
        <v>0.0</v>
      </c>
      <c r="S255" s="27">
        <v>0.0072</v>
      </c>
      <c r="T255" s="27">
        <v>0.0</v>
      </c>
      <c r="U255" s="197">
        <v>123600.0</v>
      </c>
      <c r="V255" s="197">
        <v>0.0</v>
      </c>
      <c r="W255" s="68">
        <v>5.0</v>
      </c>
      <c r="X255" s="68">
        <v>0.0</v>
      </c>
    </row>
    <row r="256" ht="15.75" customHeight="1">
      <c r="A256" s="10" t="s">
        <v>54</v>
      </c>
      <c r="B256" s="10" t="str">
        <f t="array" ref="B256">_xlfn.XLOOKUP(D256,'Referanc '!$A:$A,'Referanc '!$B:$B)</f>
        <v>Standing Table  - E1A</v>
      </c>
      <c r="C256" s="68" t="s">
        <v>385</v>
      </c>
      <c r="D256" s="68" t="s">
        <v>385</v>
      </c>
      <c r="E256" s="68" t="s">
        <v>626</v>
      </c>
      <c r="F256" s="10" t="str">
        <f t="array" ref="F256">_xlfn.XLOOKUP(D256,'Referanc '!$A:$A,'Referanc '!$E:$E)</f>
        <v>E1A</v>
      </c>
      <c r="G256" s="68">
        <v>487.0</v>
      </c>
      <c r="H256" s="68">
        <v>23.0</v>
      </c>
      <c r="I256" s="27">
        <v>0.0069</v>
      </c>
      <c r="J256" s="27">
        <v>0.0081</v>
      </c>
      <c r="K256" s="68">
        <v>787.0</v>
      </c>
      <c r="L256" s="68">
        <v>29.0</v>
      </c>
      <c r="M256" s="27">
        <v>0.0071</v>
      </c>
      <c r="N256" s="27">
        <v>0.0066</v>
      </c>
      <c r="O256" s="27">
        <v>0.9006</v>
      </c>
      <c r="P256" s="27">
        <v>1.0</v>
      </c>
      <c r="Q256" s="68">
        <v>5.0</v>
      </c>
      <c r="R256" s="68">
        <v>1.0</v>
      </c>
      <c r="S256" s="27">
        <v>0.0103</v>
      </c>
      <c r="T256" s="27">
        <v>0.0435</v>
      </c>
      <c r="U256" s="197">
        <v>174544.08</v>
      </c>
      <c r="V256" s="197">
        <v>34950.0</v>
      </c>
      <c r="W256" s="68">
        <v>5.0</v>
      </c>
      <c r="X256" s="68">
        <v>1.0</v>
      </c>
    </row>
    <row r="257" ht="15.75" customHeight="1">
      <c r="A257" s="10" t="s">
        <v>54</v>
      </c>
      <c r="B257" s="10" t="str">
        <f t="array" ref="B257">_xlfn.XLOOKUP(D257,'Referanc '!$A:$A,'Referanc '!$B:$B)</f>
        <v>Standing Table  - M8</v>
      </c>
      <c r="C257" s="68" t="s">
        <v>410</v>
      </c>
      <c r="D257" s="68" t="s">
        <v>410</v>
      </c>
      <c r="E257" s="68" t="s">
        <v>645</v>
      </c>
      <c r="F257" s="10" t="str">
        <f t="array" ref="F257">_xlfn.XLOOKUP(D257,'Referanc '!$A:$A,'Referanc '!$E:$E)</f>
        <v>M8</v>
      </c>
      <c r="G257" s="68">
        <v>558.0</v>
      </c>
      <c r="H257" s="68">
        <v>34.0</v>
      </c>
      <c r="I257" s="27">
        <v>0.0079</v>
      </c>
      <c r="J257" s="27">
        <v>0.012</v>
      </c>
      <c r="K257" s="68">
        <v>733.0</v>
      </c>
      <c r="L257" s="68">
        <v>37.0</v>
      </c>
      <c r="M257" s="27">
        <v>0.0066</v>
      </c>
      <c r="N257" s="27">
        <v>0.0084</v>
      </c>
      <c r="O257" s="27">
        <v>0.9218</v>
      </c>
      <c r="P257" s="27">
        <v>0.6364</v>
      </c>
      <c r="Q257" s="68">
        <v>4.0</v>
      </c>
      <c r="R257" s="68">
        <v>0.0</v>
      </c>
      <c r="S257" s="27">
        <v>0.0072</v>
      </c>
      <c r="T257" s="27">
        <v>0.0</v>
      </c>
      <c r="U257" s="197">
        <v>79996.0</v>
      </c>
      <c r="V257" s="197">
        <v>0.0</v>
      </c>
      <c r="W257" s="68">
        <v>4.0</v>
      </c>
      <c r="X257" s="68">
        <v>0.0</v>
      </c>
    </row>
    <row r="258" ht="15.75" customHeight="1">
      <c r="A258" s="10" t="s">
        <v>54</v>
      </c>
      <c r="B258" s="10" t="str">
        <f t="array" ref="B258">_xlfn.XLOOKUP(D258,'Referanc '!$A:$A,'Referanc '!$B:$B)</f>
        <v>Extension &amp; Holder</v>
      </c>
      <c r="C258" s="68" t="s">
        <v>307</v>
      </c>
      <c r="D258" s="68" t="s">
        <v>307</v>
      </c>
      <c r="E258" s="68" t="s">
        <v>482</v>
      </c>
      <c r="F258" s="10" t="str">
        <f t="array" ref="F258">_xlfn.XLOOKUP(D258,'Referanc '!$A:$A,'Referanc '!$E:$E)</f>
        <v>Extension Board Holder</v>
      </c>
      <c r="G258" s="68">
        <v>112.0</v>
      </c>
      <c r="H258" s="68">
        <v>2.0</v>
      </c>
      <c r="I258" s="27">
        <v>0.0016</v>
      </c>
      <c r="J258" s="27">
        <v>7.0E-4</v>
      </c>
      <c r="K258" s="68">
        <v>166.0</v>
      </c>
      <c r="L258" s="68">
        <v>5.0</v>
      </c>
      <c r="M258" s="27">
        <v>0.0015</v>
      </c>
      <c r="N258" s="27">
        <v>0.0011</v>
      </c>
      <c r="O258" s="27">
        <v>0.9173</v>
      </c>
      <c r="P258" s="27">
        <v>1.0</v>
      </c>
      <c r="Q258" s="68">
        <v>5.0</v>
      </c>
      <c r="R258" s="68">
        <v>0.0</v>
      </c>
      <c r="S258" s="27">
        <v>0.0446</v>
      </c>
      <c r="T258" s="27">
        <v>0.0</v>
      </c>
      <c r="U258" s="197">
        <v>4944.0</v>
      </c>
      <c r="V258" s="197">
        <v>0.0</v>
      </c>
      <c r="W258" s="68">
        <v>4.0</v>
      </c>
      <c r="X258" s="68">
        <v>0.0</v>
      </c>
    </row>
    <row r="259" ht="15.75" customHeight="1">
      <c r="A259" s="10" t="s">
        <v>54</v>
      </c>
      <c r="B259" s="10" t="str">
        <f t="array" ref="B259">_xlfn.XLOOKUP(D259,'Referanc '!$A:$A,'Referanc '!$B:$B)</f>
        <v>Standing Table  - E3</v>
      </c>
      <c r="C259" s="68" t="s">
        <v>364</v>
      </c>
      <c r="D259" s="68" t="s">
        <v>364</v>
      </c>
      <c r="E259" s="68" t="s">
        <v>1130</v>
      </c>
      <c r="F259" s="10" t="str">
        <f t="array" ref="F259">_xlfn.XLOOKUP(D259,'Referanc '!$A:$A,'Referanc '!$E:$E)</f>
        <v>E3</v>
      </c>
      <c r="G259" s="196">
        <v>1025.0</v>
      </c>
      <c r="H259" s="68">
        <v>53.0</v>
      </c>
      <c r="I259" s="27">
        <v>0.0145</v>
      </c>
      <c r="J259" s="27">
        <v>0.0187</v>
      </c>
      <c r="K259" s="196">
        <v>1817.0</v>
      </c>
      <c r="L259" s="68">
        <v>138.0</v>
      </c>
      <c r="M259" s="27">
        <v>0.0163</v>
      </c>
      <c r="N259" s="27">
        <v>0.0312</v>
      </c>
      <c r="O259" s="27">
        <v>0.927</v>
      </c>
      <c r="P259" s="27">
        <v>0.8308</v>
      </c>
      <c r="Q259" s="68">
        <v>4.0</v>
      </c>
      <c r="R259" s="68">
        <v>1.0</v>
      </c>
      <c r="S259" s="27">
        <v>0.0039</v>
      </c>
      <c r="T259" s="27">
        <v>0.0189</v>
      </c>
      <c r="U259" s="197">
        <v>163462.72</v>
      </c>
      <c r="V259" s="197">
        <v>40831.36</v>
      </c>
      <c r="W259" s="68">
        <v>4.0</v>
      </c>
      <c r="X259" s="68">
        <v>1.0</v>
      </c>
    </row>
    <row r="260" ht="15.75" customHeight="1">
      <c r="A260" s="10" t="s">
        <v>54</v>
      </c>
      <c r="B260" s="10" t="str">
        <f t="array" ref="B260">_xlfn.XLOOKUP(D260,'Referanc '!$A:$A,'Referanc '!$B:$B)</f>
        <v>Standing Table  - E2</v>
      </c>
      <c r="C260" s="68" t="s">
        <v>311</v>
      </c>
      <c r="D260" s="68" t="s">
        <v>311</v>
      </c>
      <c r="E260" s="68" t="s">
        <v>1132</v>
      </c>
      <c r="F260" s="10" t="str">
        <f t="array" ref="F260">_xlfn.XLOOKUP(D260,'Referanc '!$A:$A,'Referanc '!$E:$E)</f>
        <v>E2</v>
      </c>
      <c r="G260" s="68">
        <v>891.0</v>
      </c>
      <c r="H260" s="68">
        <v>46.0</v>
      </c>
      <c r="I260" s="27">
        <v>0.0126</v>
      </c>
      <c r="J260" s="27">
        <v>0.0163</v>
      </c>
      <c r="K260" s="196">
        <v>1525.0</v>
      </c>
      <c r="L260" s="68">
        <v>81.0</v>
      </c>
      <c r="M260" s="27">
        <v>0.0137</v>
      </c>
      <c r="N260" s="27">
        <v>0.0183</v>
      </c>
      <c r="O260" s="27">
        <v>0.9114</v>
      </c>
      <c r="P260" s="27">
        <v>0.7333</v>
      </c>
      <c r="Q260" s="68">
        <v>4.0</v>
      </c>
      <c r="R260" s="68">
        <v>0.0</v>
      </c>
      <c r="S260" s="27">
        <v>0.0045</v>
      </c>
      <c r="T260" s="27">
        <v>0.0</v>
      </c>
      <c r="U260" s="197">
        <v>132150.0</v>
      </c>
      <c r="V260" s="197">
        <v>0.0</v>
      </c>
      <c r="W260" s="68">
        <v>4.0</v>
      </c>
      <c r="X260" s="68">
        <v>0.0</v>
      </c>
    </row>
    <row r="261" ht="15.75" customHeight="1">
      <c r="A261" s="10" t="s">
        <v>54</v>
      </c>
      <c r="B261" s="10" t="str">
        <f t="array" ref="B261">_xlfn.XLOOKUP(D261,'Referanc '!$A:$A,'Referanc '!$B:$B)</f>
        <v>Standing Table  - E2</v>
      </c>
      <c r="C261" s="68" t="s">
        <v>293</v>
      </c>
      <c r="D261" s="68" t="s">
        <v>293</v>
      </c>
      <c r="E261" s="68" t="s">
        <v>1133</v>
      </c>
      <c r="F261" s="10" t="str">
        <f t="array" ref="F261">_xlfn.XLOOKUP(D261,'Referanc '!$A:$A,'Referanc '!$E:$E)</f>
        <v>E2</v>
      </c>
      <c r="G261" s="68">
        <v>752.0</v>
      </c>
      <c r="H261" s="68">
        <v>29.0</v>
      </c>
      <c r="I261" s="27">
        <v>0.0106</v>
      </c>
      <c r="J261" s="27">
        <v>0.0102</v>
      </c>
      <c r="K261" s="196">
        <v>1240.0</v>
      </c>
      <c r="L261" s="68">
        <v>46.0</v>
      </c>
      <c r="M261" s="27">
        <v>0.0112</v>
      </c>
      <c r="N261" s="27">
        <v>0.0104</v>
      </c>
      <c r="O261" s="27">
        <v>0.8889</v>
      </c>
      <c r="P261" s="27">
        <v>0.9231</v>
      </c>
      <c r="Q261" s="68">
        <v>4.0</v>
      </c>
      <c r="R261" s="68">
        <v>0.0</v>
      </c>
      <c r="S261" s="27">
        <v>0.0053</v>
      </c>
      <c r="T261" s="27">
        <v>0.0</v>
      </c>
      <c r="U261" s="197">
        <v>118650.0</v>
      </c>
      <c r="V261" s="197">
        <v>0.0</v>
      </c>
      <c r="W261" s="68">
        <v>4.0</v>
      </c>
      <c r="X261" s="68">
        <v>0.0</v>
      </c>
    </row>
    <row r="262" ht="15.75" customHeight="1">
      <c r="A262" s="10" t="s">
        <v>54</v>
      </c>
      <c r="B262" s="10" t="str">
        <f t="array" ref="B262">_xlfn.XLOOKUP(D262,'Referanc '!$A:$A,'Referanc '!$B:$B)</f>
        <v>Standing Table  - SM3</v>
      </c>
      <c r="C262" s="68" t="s">
        <v>379</v>
      </c>
      <c r="D262" s="68" t="s">
        <v>379</v>
      </c>
      <c r="E262" s="68" t="s">
        <v>594</v>
      </c>
      <c r="F262" s="10" t="str">
        <f t="array" ref="F262">_xlfn.XLOOKUP(D262,'Referanc '!$A:$A,'Referanc '!$E:$E)</f>
        <v>SM3</v>
      </c>
      <c r="G262" s="196">
        <v>1105.0</v>
      </c>
      <c r="H262" s="68">
        <v>30.0</v>
      </c>
      <c r="I262" s="27">
        <v>0.0156</v>
      </c>
      <c r="J262" s="27">
        <v>0.0106</v>
      </c>
      <c r="K262" s="196">
        <v>1756.0</v>
      </c>
      <c r="L262" s="68">
        <v>43.0</v>
      </c>
      <c r="M262" s="27">
        <v>0.0158</v>
      </c>
      <c r="N262" s="27">
        <v>0.0097</v>
      </c>
      <c r="O262" s="27">
        <v>0.8181</v>
      </c>
      <c r="P262" s="27">
        <v>0.75</v>
      </c>
      <c r="Q262" s="68">
        <v>4.0</v>
      </c>
      <c r="R262" s="68">
        <v>0.0</v>
      </c>
      <c r="S262" s="27">
        <v>0.0036</v>
      </c>
      <c r="T262" s="27">
        <v>0.0</v>
      </c>
      <c r="U262" s="197">
        <v>72000.0</v>
      </c>
      <c r="V262" s="197">
        <v>0.0</v>
      </c>
      <c r="W262" s="68">
        <v>4.0</v>
      </c>
      <c r="X262" s="68">
        <v>0.0</v>
      </c>
    </row>
    <row r="263" ht="15.75" customHeight="1">
      <c r="A263" s="10" t="s">
        <v>54</v>
      </c>
      <c r="B263" s="10" t="str">
        <f t="array" ref="B263">_xlfn.XLOOKUP(D263,'Referanc '!$A:$A,'Referanc '!$B:$B)</f>
        <v>Standing Table  - E1A</v>
      </c>
      <c r="C263" s="68" t="s">
        <v>359</v>
      </c>
      <c r="D263" s="68" t="s">
        <v>359</v>
      </c>
      <c r="E263" s="68" t="s">
        <v>565</v>
      </c>
      <c r="F263" s="10" t="str">
        <f t="array" ref="F263">_xlfn.XLOOKUP(D263,'Referanc '!$A:$A,'Referanc '!$E:$E)</f>
        <v>E1A</v>
      </c>
      <c r="G263" s="68">
        <v>615.0</v>
      </c>
      <c r="H263" s="68">
        <v>33.0</v>
      </c>
      <c r="I263" s="27">
        <v>0.0087</v>
      </c>
      <c r="J263" s="27">
        <v>0.0117</v>
      </c>
      <c r="K263" s="68">
        <v>941.0</v>
      </c>
      <c r="L263" s="68">
        <v>43.0</v>
      </c>
      <c r="M263" s="27">
        <v>0.0085</v>
      </c>
      <c r="N263" s="27">
        <v>0.0097</v>
      </c>
      <c r="O263" s="27">
        <v>0.9086</v>
      </c>
      <c r="P263" s="27">
        <v>0.9286</v>
      </c>
      <c r="Q263" s="68">
        <v>4.0</v>
      </c>
      <c r="R263" s="68">
        <v>0.0</v>
      </c>
      <c r="S263" s="27">
        <v>0.0065</v>
      </c>
      <c r="T263" s="27">
        <v>0.0</v>
      </c>
      <c r="U263" s="197">
        <v>131875.44</v>
      </c>
      <c r="V263" s="197">
        <v>0.0</v>
      </c>
      <c r="W263" s="68">
        <v>4.0</v>
      </c>
      <c r="X263" s="68">
        <v>0.0</v>
      </c>
    </row>
    <row r="264" ht="15.75" customHeight="1">
      <c r="A264" s="10" t="s">
        <v>54</v>
      </c>
      <c r="B264" s="10" t="str">
        <f t="array" ref="B264">_xlfn.XLOOKUP(D264,'Referanc '!$A:$A,'Referanc '!$B:$B)</f>
        <v>Standing Table  - M8</v>
      </c>
      <c r="C264" s="68" t="s">
        <v>412</v>
      </c>
      <c r="D264" s="68" t="s">
        <v>412</v>
      </c>
      <c r="E264" s="68" t="s">
        <v>643</v>
      </c>
      <c r="F264" s="10" t="str">
        <f t="array" ref="F264">_xlfn.XLOOKUP(D264,'Referanc '!$A:$A,'Referanc '!$E:$E)</f>
        <v>M8</v>
      </c>
      <c r="G264" s="68">
        <v>488.0</v>
      </c>
      <c r="H264" s="68">
        <v>24.0</v>
      </c>
      <c r="I264" s="27">
        <v>0.0069</v>
      </c>
      <c r="J264" s="27">
        <v>0.0085</v>
      </c>
      <c r="K264" s="68">
        <v>654.0</v>
      </c>
      <c r="L264" s="68">
        <v>33.0</v>
      </c>
      <c r="M264" s="27">
        <v>0.0059</v>
      </c>
      <c r="N264" s="27">
        <v>0.0075</v>
      </c>
      <c r="O264" s="27">
        <v>0.8945</v>
      </c>
      <c r="P264" s="27">
        <v>0.35</v>
      </c>
      <c r="Q264" s="68">
        <v>3.0</v>
      </c>
      <c r="R264" s="68">
        <v>1.0</v>
      </c>
      <c r="S264" s="27">
        <v>0.0061</v>
      </c>
      <c r="T264" s="27">
        <v>0.0417</v>
      </c>
      <c r="U264" s="197">
        <v>59997.0</v>
      </c>
      <c r="V264" s="197">
        <v>19999.0</v>
      </c>
      <c r="W264" s="68">
        <v>3.0</v>
      </c>
      <c r="X264" s="68">
        <v>1.0</v>
      </c>
    </row>
    <row r="265" ht="15.75" customHeight="1">
      <c r="A265" s="10" t="s">
        <v>54</v>
      </c>
      <c r="B265" s="10" t="s">
        <v>241</v>
      </c>
      <c r="C265" s="68" t="s">
        <v>345</v>
      </c>
      <c r="D265" s="68" t="s">
        <v>345</v>
      </c>
      <c r="E265" s="68" t="s">
        <v>553</v>
      </c>
      <c r="F265" s="10" t="str">
        <f t="array" ref="F265">_xlfn.XLOOKUP(D265,'Referanc '!$A:$A,'Referanc '!$E:$E)</f>
        <v>Footrest</v>
      </c>
      <c r="G265" s="68">
        <v>139.0</v>
      </c>
      <c r="H265" s="68">
        <v>5.0</v>
      </c>
      <c r="I265" s="27">
        <v>0.002</v>
      </c>
      <c r="J265" s="27">
        <v>0.0018</v>
      </c>
      <c r="K265" s="68">
        <v>183.0</v>
      </c>
      <c r="L265" s="68">
        <v>8.0</v>
      </c>
      <c r="M265" s="27">
        <v>0.0016</v>
      </c>
      <c r="N265" s="27">
        <v>0.0018</v>
      </c>
      <c r="O265" s="27">
        <v>1.0</v>
      </c>
      <c r="P265" s="27">
        <v>1.0</v>
      </c>
      <c r="Q265" s="68">
        <v>3.0</v>
      </c>
      <c r="R265" s="68">
        <v>0.0</v>
      </c>
      <c r="S265" s="27">
        <v>0.0216</v>
      </c>
      <c r="T265" s="27">
        <v>0.0</v>
      </c>
      <c r="U265" s="197">
        <v>8958.0</v>
      </c>
      <c r="V265" s="197">
        <v>0.0</v>
      </c>
      <c r="W265" s="68">
        <v>3.0</v>
      </c>
      <c r="X265" s="68">
        <v>0.0</v>
      </c>
    </row>
    <row r="266" ht="15.75" customHeight="1">
      <c r="A266" s="10" t="s">
        <v>54</v>
      </c>
      <c r="B266" s="10" t="str">
        <f t="array" ref="B266">_xlfn.XLOOKUP(D266,'Referanc '!$A:$A,'Referanc '!$B:$B)</f>
        <v>Standing Table  - E1A</v>
      </c>
      <c r="C266" s="68" t="s">
        <v>354</v>
      </c>
      <c r="D266" s="68" t="s">
        <v>354</v>
      </c>
      <c r="E266" s="68" t="s">
        <v>561</v>
      </c>
      <c r="F266" s="10" t="str">
        <f t="array" ref="F266">_xlfn.XLOOKUP(D266,'Referanc '!$A:$A,'Referanc '!$E:$E)</f>
        <v>E1A</v>
      </c>
      <c r="G266" s="68">
        <v>300.0</v>
      </c>
      <c r="H266" s="68">
        <v>15.0</v>
      </c>
      <c r="I266" s="27">
        <v>0.0042</v>
      </c>
      <c r="J266" s="27">
        <v>0.0053</v>
      </c>
      <c r="K266" s="68">
        <v>475.0</v>
      </c>
      <c r="L266" s="68">
        <v>27.0</v>
      </c>
      <c r="M266" s="27">
        <v>0.0043</v>
      </c>
      <c r="N266" s="27">
        <v>0.0061</v>
      </c>
      <c r="O266" s="27">
        <v>0.9671</v>
      </c>
      <c r="P266" s="27">
        <v>1.0</v>
      </c>
      <c r="Q266" s="68">
        <v>3.0</v>
      </c>
      <c r="R266" s="68">
        <v>0.0</v>
      </c>
      <c r="S266" s="27">
        <v>0.01</v>
      </c>
      <c r="T266" s="27">
        <v>0.0</v>
      </c>
      <c r="U266" s="197">
        <v>91062.72</v>
      </c>
      <c r="V266" s="197">
        <v>0.0</v>
      </c>
      <c r="W266" s="68">
        <v>3.0</v>
      </c>
      <c r="X266" s="68">
        <v>0.0</v>
      </c>
    </row>
    <row r="267" ht="15.75" customHeight="1">
      <c r="A267" s="10" t="s">
        <v>54</v>
      </c>
      <c r="B267" s="10" t="str">
        <f t="array" ref="B267">_xlfn.XLOOKUP(D267,'Referanc '!$A:$A,'Referanc '!$B:$B)</f>
        <v>Standing Table  - E1A</v>
      </c>
      <c r="C267" s="68" t="s">
        <v>380</v>
      </c>
      <c r="D267" s="68" t="s">
        <v>380</v>
      </c>
      <c r="E267" s="68" t="s">
        <v>647</v>
      </c>
      <c r="F267" s="10" t="str">
        <f t="array" ref="F267">_xlfn.XLOOKUP(D267,'Referanc '!$A:$A,'Referanc '!$E:$E)</f>
        <v>E1A</v>
      </c>
      <c r="G267" s="68">
        <v>371.0</v>
      </c>
      <c r="H267" s="68">
        <v>20.0</v>
      </c>
      <c r="I267" s="27">
        <v>0.0053</v>
      </c>
      <c r="J267" s="27">
        <v>0.0071</v>
      </c>
      <c r="K267" s="68">
        <v>550.0</v>
      </c>
      <c r="L267" s="68">
        <v>39.0</v>
      </c>
      <c r="M267" s="27">
        <v>0.0049</v>
      </c>
      <c r="N267" s="27">
        <v>0.0088</v>
      </c>
      <c r="O267" s="27">
        <v>0.9257</v>
      </c>
      <c r="P267" s="27">
        <v>0.8235</v>
      </c>
      <c r="Q267" s="68">
        <v>3.0</v>
      </c>
      <c r="R267" s="68">
        <v>2.0</v>
      </c>
      <c r="S267" s="27">
        <v>0.0081</v>
      </c>
      <c r="T267" s="27">
        <v>0.1</v>
      </c>
      <c r="U267" s="197">
        <v>104644.08</v>
      </c>
      <c r="V267" s="197">
        <v>69762.72</v>
      </c>
      <c r="W267" s="68">
        <v>3.0</v>
      </c>
      <c r="X267" s="68">
        <v>2.0</v>
      </c>
    </row>
    <row r="268" ht="15.75" customHeight="1">
      <c r="A268" s="10" t="s">
        <v>54</v>
      </c>
      <c r="B268" s="10" t="str">
        <f t="array" ref="B268">_xlfn.XLOOKUP(D268,'Referanc '!$A:$A,'Referanc '!$B:$B)</f>
        <v>TABLE TOP</v>
      </c>
      <c r="C268" s="68" t="s">
        <v>324</v>
      </c>
      <c r="D268" s="68" t="s">
        <v>324</v>
      </c>
      <c r="E268" s="68" t="s">
        <v>533</v>
      </c>
      <c r="F268" s="10" t="str">
        <f t="array" ref="F268">_xlfn.XLOOKUP(D268,'Referanc '!$A:$A,'Referanc '!$E:$E)</f>
        <v>TABLE TOP</v>
      </c>
      <c r="G268" s="68">
        <v>532.0</v>
      </c>
      <c r="H268" s="68">
        <v>19.0</v>
      </c>
      <c r="I268" s="27">
        <v>0.0075</v>
      </c>
      <c r="J268" s="27">
        <v>0.0067</v>
      </c>
      <c r="K268" s="68">
        <v>822.0</v>
      </c>
      <c r="L268" s="68">
        <v>25.0</v>
      </c>
      <c r="M268" s="27">
        <v>0.0074</v>
      </c>
      <c r="N268" s="27">
        <v>0.0056</v>
      </c>
      <c r="O268" s="27">
        <v>0.7939</v>
      </c>
      <c r="P268" s="27">
        <v>0.8571</v>
      </c>
      <c r="Q268" s="68">
        <v>2.0</v>
      </c>
      <c r="R268" s="68">
        <v>0.0</v>
      </c>
      <c r="S268" s="27">
        <v>0.0038</v>
      </c>
      <c r="T268" s="27">
        <v>0.0</v>
      </c>
      <c r="U268" s="197">
        <v>11000.0</v>
      </c>
      <c r="V268" s="197">
        <v>0.0</v>
      </c>
      <c r="W268" s="68">
        <v>2.0</v>
      </c>
      <c r="X268" s="68">
        <v>0.0</v>
      </c>
    </row>
    <row r="269" ht="15.75" customHeight="1">
      <c r="A269" s="10" t="s">
        <v>54</v>
      </c>
      <c r="B269" s="10" t="str">
        <f t="array" ref="B269">_xlfn.XLOOKUP(D269,'Referanc '!$A:$A,'Referanc '!$B:$B)</f>
        <v>Single Leg Gas</v>
      </c>
      <c r="C269" s="68" t="s">
        <v>332</v>
      </c>
      <c r="D269" s="68" t="s">
        <v>332</v>
      </c>
      <c r="E269" s="68" t="s">
        <v>1015</v>
      </c>
      <c r="F269" s="10" t="str">
        <f t="array" ref="F269">_xlfn.XLOOKUP(D269,'Referanc '!$A:$A,'Referanc '!$E:$E)</f>
        <v>Single Leg Gas</v>
      </c>
      <c r="G269" s="68">
        <v>251.0</v>
      </c>
      <c r="H269" s="68">
        <v>8.0</v>
      </c>
      <c r="I269" s="27">
        <v>0.0036</v>
      </c>
      <c r="J269" s="27">
        <v>0.0028</v>
      </c>
      <c r="K269" s="68">
        <v>408.0</v>
      </c>
      <c r="L269" s="68">
        <v>11.0</v>
      </c>
      <c r="M269" s="27">
        <v>0.0037</v>
      </c>
      <c r="N269" s="27">
        <v>0.0025</v>
      </c>
      <c r="O269" s="27">
        <v>0.8486</v>
      </c>
      <c r="P269" s="27">
        <v>1.0</v>
      </c>
      <c r="Q269" s="68">
        <v>2.0</v>
      </c>
      <c r="R269" s="68">
        <v>0.0</v>
      </c>
      <c r="S269" s="27">
        <v>0.008</v>
      </c>
      <c r="T269" s="27">
        <v>0.0</v>
      </c>
      <c r="U269" s="197">
        <v>22169.49</v>
      </c>
      <c r="V269" s="197">
        <v>0.0</v>
      </c>
      <c r="W269" s="68">
        <v>2.0</v>
      </c>
      <c r="X269" s="68">
        <v>0.0</v>
      </c>
    </row>
    <row r="270" ht="15.75" customHeight="1">
      <c r="A270" s="10" t="s">
        <v>54</v>
      </c>
      <c r="B270" s="10" t="str">
        <f t="array" ref="B270">_xlfn.XLOOKUP(D270,'Referanc '!$A:$A,'Referanc '!$B:$B)</f>
        <v>Single Leg Gas</v>
      </c>
      <c r="C270" s="68" t="s">
        <v>335</v>
      </c>
      <c r="D270" s="68" t="s">
        <v>335</v>
      </c>
      <c r="E270" s="68" t="s">
        <v>526</v>
      </c>
      <c r="F270" s="10" t="str">
        <f t="array" ref="F270">_xlfn.XLOOKUP(D270,'Referanc '!$A:$A,'Referanc '!$E:$E)</f>
        <v>Single Leg Gas</v>
      </c>
      <c r="G270" s="68">
        <v>265.0</v>
      </c>
      <c r="H270" s="68">
        <v>20.0</v>
      </c>
      <c r="I270" s="27">
        <v>0.0038</v>
      </c>
      <c r="J270" s="27">
        <v>0.0071</v>
      </c>
      <c r="K270" s="68">
        <v>419.0</v>
      </c>
      <c r="L270" s="68">
        <v>24.0</v>
      </c>
      <c r="M270" s="27">
        <v>0.0038</v>
      </c>
      <c r="N270" s="27">
        <v>0.0054</v>
      </c>
      <c r="O270" s="27">
        <v>0.8199</v>
      </c>
      <c r="P270" s="27">
        <v>0.9286</v>
      </c>
      <c r="Q270" s="68">
        <v>2.0</v>
      </c>
      <c r="R270" s="68">
        <v>1.0</v>
      </c>
      <c r="S270" s="27">
        <v>0.0075</v>
      </c>
      <c r="T270" s="27">
        <v>0.05</v>
      </c>
      <c r="U270" s="197">
        <v>22169.49</v>
      </c>
      <c r="V270" s="197">
        <v>11100.0</v>
      </c>
      <c r="W270" s="68">
        <v>2.0</v>
      </c>
      <c r="X270" s="68">
        <v>1.0</v>
      </c>
    </row>
    <row r="271" ht="15.75" customHeight="1">
      <c r="A271" s="10" t="s">
        <v>54</v>
      </c>
      <c r="B271" s="10" t="str">
        <f t="array" ref="B271">_xlfn.XLOOKUP(D271,'Referanc '!$A:$A,'Referanc '!$B:$B)</f>
        <v>Standing Table - All Frames</v>
      </c>
      <c r="C271" s="68" t="s">
        <v>306</v>
      </c>
      <c r="D271" s="68" t="s">
        <v>306</v>
      </c>
      <c r="E271" s="68" t="s">
        <v>1140</v>
      </c>
      <c r="F271" s="10" t="str">
        <f t="array" ref="F271">_xlfn.XLOOKUP(D271,'Referanc '!$A:$A,'Referanc '!$E:$E)</f>
        <v>E2</v>
      </c>
      <c r="G271" s="196">
        <v>1025.0</v>
      </c>
      <c r="H271" s="68">
        <v>43.0</v>
      </c>
      <c r="I271" s="27">
        <v>0.0145</v>
      </c>
      <c r="J271" s="27">
        <v>0.0152</v>
      </c>
      <c r="K271" s="196">
        <v>1701.0</v>
      </c>
      <c r="L271" s="68">
        <v>84.0</v>
      </c>
      <c r="M271" s="27">
        <v>0.0153</v>
      </c>
      <c r="N271" s="27">
        <v>0.019</v>
      </c>
      <c r="O271" s="27">
        <v>0.8501</v>
      </c>
      <c r="P271" s="27">
        <v>0.85</v>
      </c>
      <c r="Q271" s="68">
        <v>2.0</v>
      </c>
      <c r="R271" s="68">
        <v>0.0</v>
      </c>
      <c r="S271" s="27">
        <v>0.002</v>
      </c>
      <c r="T271" s="27">
        <v>0.0</v>
      </c>
      <c r="U271" s="197">
        <v>52000.0</v>
      </c>
      <c r="V271" s="197">
        <v>0.0</v>
      </c>
      <c r="W271" s="68">
        <v>2.0</v>
      </c>
      <c r="X271" s="68">
        <v>0.0</v>
      </c>
    </row>
    <row r="272" ht="15.75" customHeight="1">
      <c r="A272" s="10" t="s">
        <v>54</v>
      </c>
      <c r="B272" s="10" t="str">
        <f t="array" ref="B272">_xlfn.XLOOKUP(D272,'Referanc '!$A:$A,'Referanc '!$B:$B)</f>
        <v>Standing Table  - E3</v>
      </c>
      <c r="C272" s="68" t="s">
        <v>381</v>
      </c>
      <c r="D272" s="68" t="s">
        <v>381</v>
      </c>
      <c r="E272" s="68" t="s">
        <v>1143</v>
      </c>
      <c r="F272" s="10" t="str">
        <f t="array" ref="F272">_xlfn.XLOOKUP(D272,'Referanc '!$A:$A,'Referanc '!$E:$E)</f>
        <v>E3</v>
      </c>
      <c r="G272" s="68">
        <v>282.0</v>
      </c>
      <c r="H272" s="68">
        <v>14.0</v>
      </c>
      <c r="I272" s="27">
        <v>0.004</v>
      </c>
      <c r="J272" s="27">
        <v>0.0049</v>
      </c>
      <c r="K272" s="68">
        <v>405.0</v>
      </c>
      <c r="L272" s="68">
        <v>19.0</v>
      </c>
      <c r="M272" s="27">
        <v>0.0036</v>
      </c>
      <c r="N272" s="27">
        <v>0.0043</v>
      </c>
      <c r="O272" s="27">
        <v>0.871</v>
      </c>
      <c r="P272" s="27">
        <v>0.9091</v>
      </c>
      <c r="Q272" s="68">
        <v>2.0</v>
      </c>
      <c r="R272" s="68">
        <v>1.0</v>
      </c>
      <c r="S272" s="27">
        <v>0.0071</v>
      </c>
      <c r="T272" s="27">
        <v>0.0714</v>
      </c>
      <c r="U272" s="197">
        <v>77731.36</v>
      </c>
      <c r="V272" s="197">
        <v>38831.36</v>
      </c>
      <c r="W272" s="68">
        <v>2.0</v>
      </c>
      <c r="X272" s="68">
        <v>1.0</v>
      </c>
    </row>
    <row r="273" ht="15.75" customHeight="1">
      <c r="A273" s="10" t="s">
        <v>54</v>
      </c>
      <c r="B273" s="10" t="str">
        <f t="array" ref="B273">_xlfn.XLOOKUP(D273,'Referanc '!$A:$A,'Referanc '!$B:$B)</f>
        <v>Standing Table  - E1A</v>
      </c>
      <c r="C273" s="68" t="s">
        <v>367</v>
      </c>
      <c r="D273" s="68" t="s">
        <v>367</v>
      </c>
      <c r="E273" s="68" t="s">
        <v>612</v>
      </c>
      <c r="F273" s="10" t="str">
        <f t="array" ref="F273">_xlfn.XLOOKUP(D273,'Referanc '!$A:$A,'Referanc '!$E:$E)</f>
        <v>E1A</v>
      </c>
      <c r="G273" s="68">
        <v>434.0</v>
      </c>
      <c r="H273" s="68">
        <v>28.0</v>
      </c>
      <c r="I273" s="27">
        <v>0.0061</v>
      </c>
      <c r="J273" s="27">
        <v>0.0099</v>
      </c>
      <c r="K273" s="68">
        <v>711.0</v>
      </c>
      <c r="L273" s="68">
        <v>44.0</v>
      </c>
      <c r="M273" s="27">
        <v>0.0064</v>
      </c>
      <c r="N273" s="27">
        <v>0.0099</v>
      </c>
      <c r="O273" s="27">
        <v>0.9385</v>
      </c>
      <c r="P273" s="27">
        <v>0.8846</v>
      </c>
      <c r="Q273" s="68">
        <v>2.0</v>
      </c>
      <c r="R273" s="68">
        <v>0.0</v>
      </c>
      <c r="S273" s="27">
        <v>0.0046</v>
      </c>
      <c r="T273" s="27">
        <v>0.0</v>
      </c>
      <c r="U273" s="197">
        <v>67281.36</v>
      </c>
      <c r="V273" s="197">
        <v>0.0</v>
      </c>
      <c r="W273" s="68">
        <v>2.0</v>
      </c>
      <c r="X273" s="68">
        <v>0.0</v>
      </c>
    </row>
    <row r="274" ht="15.75" customHeight="1">
      <c r="A274" s="10" t="s">
        <v>54</v>
      </c>
      <c r="B274" s="10" t="str">
        <f t="array" ref="B274">_xlfn.XLOOKUP(D274,'Referanc '!$A:$A,'Referanc '!$B:$B)</f>
        <v>Standing Table - All Frames</v>
      </c>
      <c r="C274" s="68" t="s">
        <v>387</v>
      </c>
      <c r="D274" s="68" t="s">
        <v>387</v>
      </c>
      <c r="E274" s="68" t="s">
        <v>602</v>
      </c>
      <c r="F274" s="10" t="str">
        <f t="array" ref="F274">_xlfn.XLOOKUP(D274,'Referanc '!$A:$A,'Referanc '!$E:$E)</f>
        <v>E1A</v>
      </c>
      <c r="G274" s="68">
        <v>520.0</v>
      </c>
      <c r="H274" s="68">
        <v>35.0</v>
      </c>
      <c r="I274" s="27">
        <v>0.0074</v>
      </c>
      <c r="J274" s="27">
        <v>0.0124</v>
      </c>
      <c r="K274" s="196">
        <v>1040.0</v>
      </c>
      <c r="L274" s="68">
        <v>66.0</v>
      </c>
      <c r="M274" s="27">
        <v>0.0094</v>
      </c>
      <c r="N274" s="27">
        <v>0.0149</v>
      </c>
      <c r="O274" s="27">
        <v>0.9448</v>
      </c>
      <c r="P274" s="27">
        <v>0.8974</v>
      </c>
      <c r="Q274" s="68">
        <v>2.0</v>
      </c>
      <c r="R274" s="68">
        <v>1.0</v>
      </c>
      <c r="S274" s="27">
        <v>0.0038</v>
      </c>
      <c r="T274" s="27">
        <v>0.0286</v>
      </c>
      <c r="U274" s="197">
        <v>53931.36</v>
      </c>
      <c r="V274" s="197">
        <v>28000.0</v>
      </c>
      <c r="W274" s="68">
        <v>2.0</v>
      </c>
      <c r="X274" s="68">
        <v>1.0</v>
      </c>
    </row>
    <row r="275" ht="15.75" customHeight="1">
      <c r="A275" s="10" t="s">
        <v>54</v>
      </c>
      <c r="B275" s="10" t="str">
        <f t="array" ref="B275">_xlfn.XLOOKUP(D275,'Referanc '!$A:$A,'Referanc '!$B:$B)</f>
        <v>Standing Table  - E1A</v>
      </c>
      <c r="C275" s="68" t="s">
        <v>372</v>
      </c>
      <c r="D275" s="68" t="s">
        <v>372</v>
      </c>
      <c r="E275" s="68" t="s">
        <v>584</v>
      </c>
      <c r="F275" s="10" t="str">
        <f t="array" ref="F275">_xlfn.XLOOKUP(D275,'Referanc '!$A:$A,'Referanc '!$E:$E)</f>
        <v>E1A</v>
      </c>
      <c r="G275" s="68">
        <v>259.0</v>
      </c>
      <c r="H275" s="68">
        <v>21.0</v>
      </c>
      <c r="I275" s="27">
        <v>0.0037</v>
      </c>
      <c r="J275" s="27">
        <v>0.0074</v>
      </c>
      <c r="K275" s="68">
        <v>369.0</v>
      </c>
      <c r="L275" s="68">
        <v>27.0</v>
      </c>
      <c r="M275" s="27">
        <v>0.0033</v>
      </c>
      <c r="N275" s="27">
        <v>0.0061</v>
      </c>
      <c r="O275" s="27">
        <v>0.8667</v>
      </c>
      <c r="P275" s="27">
        <v>0.875</v>
      </c>
      <c r="Q275" s="68">
        <v>2.0</v>
      </c>
      <c r="R275" s="68">
        <v>1.0</v>
      </c>
      <c r="S275" s="27">
        <v>0.0077</v>
      </c>
      <c r="T275" s="27">
        <v>0.0476</v>
      </c>
      <c r="U275" s="197">
        <v>60762.72</v>
      </c>
      <c r="V275" s="197">
        <v>30381.36</v>
      </c>
      <c r="W275" s="68">
        <v>2.0</v>
      </c>
      <c r="X275" s="68">
        <v>1.0</v>
      </c>
    </row>
    <row r="276" ht="15.75" customHeight="1">
      <c r="A276" s="10" t="s">
        <v>54</v>
      </c>
      <c r="B276" s="10" t="str">
        <f t="array" ref="B276">_xlfn.XLOOKUP(D276,'Referanc '!$A:$A,'Referanc '!$B:$B)</f>
        <v>Standing Table  - E1A</v>
      </c>
      <c r="C276" s="68" t="s">
        <v>382</v>
      </c>
      <c r="D276" s="68" t="s">
        <v>382</v>
      </c>
      <c r="E276" s="68" t="s">
        <v>616</v>
      </c>
      <c r="F276" s="10" t="str">
        <f t="array" ref="F276">_xlfn.XLOOKUP(D276,'Referanc '!$A:$A,'Referanc '!$E:$E)</f>
        <v>E1A</v>
      </c>
      <c r="G276" s="68">
        <v>736.0</v>
      </c>
      <c r="H276" s="68">
        <v>38.0</v>
      </c>
      <c r="I276" s="27">
        <v>0.0104</v>
      </c>
      <c r="J276" s="27">
        <v>0.0134</v>
      </c>
      <c r="K276" s="68">
        <v>965.0</v>
      </c>
      <c r="L276" s="68">
        <v>52.0</v>
      </c>
      <c r="M276" s="27">
        <v>0.0087</v>
      </c>
      <c r="N276" s="27">
        <v>0.0117</v>
      </c>
      <c r="O276" s="27">
        <v>0.8519</v>
      </c>
      <c r="P276" s="27">
        <v>0.6667</v>
      </c>
      <c r="Q276" s="68">
        <v>2.0</v>
      </c>
      <c r="R276" s="68">
        <v>0.0</v>
      </c>
      <c r="S276" s="27">
        <v>0.0027</v>
      </c>
      <c r="T276" s="27">
        <v>0.0</v>
      </c>
      <c r="U276" s="197">
        <v>60650.0</v>
      </c>
      <c r="V276" s="197">
        <v>0.0</v>
      </c>
      <c r="W276" s="68">
        <v>2.0</v>
      </c>
      <c r="X276" s="68">
        <v>0.0</v>
      </c>
    </row>
    <row r="277" ht="15.75" customHeight="1">
      <c r="A277" s="10" t="s">
        <v>54</v>
      </c>
      <c r="B277" s="10" t="str">
        <f t="array" ref="B277">_xlfn.XLOOKUP(D277,'Referanc '!$A:$A,'Referanc '!$B:$B)</f>
        <v>Standing Table  - M8</v>
      </c>
      <c r="C277" s="68" t="s">
        <v>414</v>
      </c>
      <c r="D277" s="68" t="s">
        <v>414</v>
      </c>
      <c r="E277" s="68" t="s">
        <v>649</v>
      </c>
      <c r="F277" s="10" t="str">
        <f t="array" ref="F277">_xlfn.XLOOKUP(D277,'Referanc '!$A:$A,'Referanc '!$E:$E)</f>
        <v>M8</v>
      </c>
      <c r="G277" s="68">
        <v>73.0</v>
      </c>
      <c r="H277" s="68">
        <v>0.0</v>
      </c>
      <c r="I277" s="27">
        <v>0.001</v>
      </c>
      <c r="J277" s="27">
        <v>0.0</v>
      </c>
      <c r="K277" s="68">
        <v>141.0</v>
      </c>
      <c r="L277" s="68">
        <v>0.0</v>
      </c>
      <c r="M277" s="27">
        <v>0.0013</v>
      </c>
      <c r="N277" s="27">
        <v>0.0</v>
      </c>
      <c r="O277" s="27">
        <v>0.9053</v>
      </c>
      <c r="P277" s="27">
        <v>0.0</v>
      </c>
      <c r="Q277" s="68">
        <v>1.0</v>
      </c>
      <c r="R277" s="68">
        <v>0.0</v>
      </c>
      <c r="S277" s="27">
        <v>0.0137</v>
      </c>
      <c r="T277" s="27">
        <v>0.0</v>
      </c>
      <c r="U277" s="197">
        <v>13990.0</v>
      </c>
      <c r="V277" s="197">
        <v>0.0</v>
      </c>
      <c r="W277" s="68">
        <v>1.0</v>
      </c>
      <c r="X277" s="68">
        <v>0.0</v>
      </c>
    </row>
    <row r="278" ht="15.75" customHeight="1">
      <c r="A278" s="10" t="s">
        <v>54</v>
      </c>
      <c r="B278" s="10" t="str">
        <f t="array" ref="B278">_xlfn.XLOOKUP(D278,'Referanc '!$A:$A,'Referanc '!$B:$B)</f>
        <v>Standing Table  - M8</v>
      </c>
      <c r="C278" s="68" t="s">
        <v>415</v>
      </c>
      <c r="D278" s="68" t="s">
        <v>415</v>
      </c>
      <c r="E278" s="68" t="s">
        <v>651</v>
      </c>
      <c r="F278" s="10" t="str">
        <f t="array" ref="F278">_xlfn.XLOOKUP(D278,'Referanc '!$A:$A,'Referanc '!$E:$E)</f>
        <v>M8</v>
      </c>
      <c r="G278" s="68">
        <v>57.0</v>
      </c>
      <c r="H278" s="68">
        <v>2.0</v>
      </c>
      <c r="I278" s="27">
        <v>8.0E-4</v>
      </c>
      <c r="J278" s="27">
        <v>7.0E-4</v>
      </c>
      <c r="K278" s="68">
        <v>80.0</v>
      </c>
      <c r="L278" s="68">
        <v>2.0</v>
      </c>
      <c r="M278" s="27">
        <v>7.0E-4</v>
      </c>
      <c r="N278" s="27">
        <v>5.0E-4</v>
      </c>
      <c r="O278" s="27">
        <v>0.9825</v>
      </c>
      <c r="P278" s="27">
        <v>1.0</v>
      </c>
      <c r="Q278" s="68">
        <v>1.0</v>
      </c>
      <c r="R278" s="68">
        <v>0.0</v>
      </c>
      <c r="S278" s="27">
        <v>0.0175</v>
      </c>
      <c r="T278" s="27">
        <v>0.0</v>
      </c>
      <c r="U278" s="197">
        <v>19999.0</v>
      </c>
      <c r="V278" s="197">
        <v>0.0</v>
      </c>
      <c r="W278" s="68">
        <v>1.0</v>
      </c>
      <c r="X278" s="68">
        <v>0.0</v>
      </c>
    </row>
    <row r="279" ht="15.75" customHeight="1">
      <c r="A279" s="10" t="s">
        <v>54</v>
      </c>
      <c r="B279" s="10" t="str">
        <f t="array" ref="B279">_xlfn.XLOOKUP(D279,'Referanc '!$A:$A,'Referanc '!$B:$B)</f>
        <v>Standing Table  - M8</v>
      </c>
      <c r="C279" s="68" t="s">
        <v>416</v>
      </c>
      <c r="D279" s="68" t="s">
        <v>416</v>
      </c>
      <c r="E279" s="68" t="s">
        <v>653</v>
      </c>
      <c r="F279" s="10" t="str">
        <f t="array" ref="F279">_xlfn.XLOOKUP(D279,'Referanc '!$A:$A,'Referanc '!$E:$E)</f>
        <v>M8</v>
      </c>
      <c r="G279" s="68">
        <v>31.0</v>
      </c>
      <c r="H279" s="68">
        <v>0.0</v>
      </c>
      <c r="I279" s="27">
        <v>4.0E-4</v>
      </c>
      <c r="J279" s="27">
        <v>0.0</v>
      </c>
      <c r="K279" s="68">
        <v>42.0</v>
      </c>
      <c r="L279" s="68">
        <v>0.0</v>
      </c>
      <c r="M279" s="27">
        <v>4.0E-4</v>
      </c>
      <c r="N279" s="27">
        <v>0.0</v>
      </c>
      <c r="O279" s="27">
        <v>0.875</v>
      </c>
      <c r="P279" s="27">
        <v>0.0</v>
      </c>
      <c r="Q279" s="68">
        <v>1.0</v>
      </c>
      <c r="R279" s="68">
        <v>0.0</v>
      </c>
      <c r="S279" s="27">
        <v>0.0323</v>
      </c>
      <c r="T279" s="27">
        <v>0.0</v>
      </c>
      <c r="U279" s="197">
        <v>19999.0</v>
      </c>
      <c r="V279" s="197">
        <v>0.0</v>
      </c>
      <c r="W279" s="68">
        <v>1.0</v>
      </c>
      <c r="X279" s="68">
        <v>0.0</v>
      </c>
    </row>
    <row r="280" ht="15.75" customHeight="1">
      <c r="A280" s="10" t="s">
        <v>54</v>
      </c>
      <c r="B280" s="10" t="s">
        <v>241</v>
      </c>
      <c r="C280" s="68" t="s">
        <v>339</v>
      </c>
      <c r="D280" s="68" t="s">
        <v>339</v>
      </c>
      <c r="E280" s="68" t="s">
        <v>547</v>
      </c>
      <c r="F280" s="10" t="str">
        <f t="array" ref="F280">_xlfn.XLOOKUP(D280,'Referanc '!$A:$A,'Referanc '!$E:$E)</f>
        <v>Anti Fatigue Mat</v>
      </c>
      <c r="G280" s="68">
        <v>77.0</v>
      </c>
      <c r="H280" s="68">
        <v>1.0</v>
      </c>
      <c r="I280" s="27">
        <v>0.0011</v>
      </c>
      <c r="J280" s="27">
        <v>4.0E-4</v>
      </c>
      <c r="K280" s="68">
        <v>93.0</v>
      </c>
      <c r="L280" s="68">
        <v>1.0</v>
      </c>
      <c r="M280" s="27">
        <v>8.0E-4</v>
      </c>
      <c r="N280" s="27">
        <v>2.0E-4</v>
      </c>
      <c r="O280" s="27">
        <v>1.0</v>
      </c>
      <c r="P280" s="27">
        <v>1.0</v>
      </c>
      <c r="Q280" s="68">
        <v>1.0</v>
      </c>
      <c r="R280" s="68">
        <v>0.0</v>
      </c>
      <c r="S280" s="27">
        <v>0.013</v>
      </c>
      <c r="T280" s="27">
        <v>0.0</v>
      </c>
      <c r="U280" s="197">
        <v>2900.0</v>
      </c>
      <c r="V280" s="197">
        <v>0.0</v>
      </c>
      <c r="W280" s="68">
        <v>1.0</v>
      </c>
      <c r="X280" s="68">
        <v>0.0</v>
      </c>
    </row>
    <row r="281" ht="15.75" customHeight="1">
      <c r="A281" s="10" t="s">
        <v>54</v>
      </c>
      <c r="B281" s="10" t="str">
        <f t="array" ref="B281">_xlfn.XLOOKUP(D281,'Referanc '!$A:$A,'Referanc '!$B:$B)</f>
        <v>Extension &amp; Holder</v>
      </c>
      <c r="C281" s="68" t="s">
        <v>308</v>
      </c>
      <c r="D281" s="68" t="s">
        <v>308</v>
      </c>
      <c r="E281" s="68" t="s">
        <v>484</v>
      </c>
      <c r="F281" s="10" t="str">
        <f t="array" ref="F281">_xlfn.XLOOKUP(D281,'Referanc '!$A:$A,'Referanc '!$E:$E)</f>
        <v>Extension Board Holder</v>
      </c>
      <c r="G281" s="68">
        <v>40.0</v>
      </c>
      <c r="H281" s="68">
        <v>2.0</v>
      </c>
      <c r="I281" s="27">
        <v>6.0E-4</v>
      </c>
      <c r="J281" s="27">
        <v>7.0E-4</v>
      </c>
      <c r="K281" s="68">
        <v>59.0</v>
      </c>
      <c r="L281" s="68">
        <v>3.0</v>
      </c>
      <c r="M281" s="27">
        <v>5.0E-4</v>
      </c>
      <c r="N281" s="27">
        <v>7.0E-4</v>
      </c>
      <c r="O281" s="27">
        <v>0.9111</v>
      </c>
      <c r="P281" s="27">
        <v>1.0</v>
      </c>
      <c r="Q281" s="68">
        <v>1.0</v>
      </c>
      <c r="R281" s="68">
        <v>0.0</v>
      </c>
      <c r="S281" s="27">
        <v>0.025</v>
      </c>
      <c r="T281" s="27">
        <v>0.0</v>
      </c>
      <c r="U281" s="197">
        <v>1499.0</v>
      </c>
      <c r="V281" s="197">
        <v>0.0</v>
      </c>
      <c r="W281" s="68">
        <v>1.0</v>
      </c>
      <c r="X281" s="68">
        <v>0.0</v>
      </c>
    </row>
    <row r="282" ht="15.75" customHeight="1">
      <c r="A282" s="10" t="s">
        <v>54</v>
      </c>
      <c r="B282" s="10" t="str">
        <f t="array" ref="B282">_xlfn.XLOOKUP(D282,'Referanc '!$A:$A,'Referanc '!$B:$B)</f>
        <v>Standing Desk Converter</v>
      </c>
      <c r="C282" s="68" t="s">
        <v>326</v>
      </c>
      <c r="D282" s="68" t="s">
        <v>326</v>
      </c>
      <c r="E282" s="68" t="s">
        <v>1149</v>
      </c>
      <c r="F282" s="10" t="str">
        <f t="array" ref="F282">_xlfn.XLOOKUP(D282,'Referanc '!$A:$A,'Referanc '!$E:$E)</f>
        <v>Standing Desk Converter</v>
      </c>
      <c r="G282" s="68">
        <v>130.0</v>
      </c>
      <c r="H282" s="68">
        <v>3.0</v>
      </c>
      <c r="I282" s="27">
        <v>0.0018</v>
      </c>
      <c r="J282" s="27">
        <v>0.0011</v>
      </c>
      <c r="K282" s="68">
        <v>162.0</v>
      </c>
      <c r="L282" s="68">
        <v>3.0</v>
      </c>
      <c r="M282" s="27">
        <v>0.0015</v>
      </c>
      <c r="N282" s="27">
        <v>7.0E-4</v>
      </c>
      <c r="O282" s="27">
        <v>0.8903</v>
      </c>
      <c r="P282" s="27">
        <v>0.5</v>
      </c>
      <c r="Q282" s="68">
        <v>1.0</v>
      </c>
      <c r="R282" s="68">
        <v>0.0</v>
      </c>
      <c r="S282" s="27">
        <v>0.0077</v>
      </c>
      <c r="T282" s="27">
        <v>0.0</v>
      </c>
      <c r="U282" s="197">
        <v>6175.0</v>
      </c>
      <c r="V282" s="197">
        <v>0.0</v>
      </c>
      <c r="W282" s="68">
        <v>1.0</v>
      </c>
      <c r="X282" s="68">
        <v>0.0</v>
      </c>
    </row>
    <row r="283" ht="15.75" customHeight="1">
      <c r="A283" s="10" t="s">
        <v>54</v>
      </c>
      <c r="B283" s="10" t="str">
        <f t="array" ref="B283">_xlfn.XLOOKUP(D283,'Referanc '!$A:$A,'Referanc '!$B:$B)</f>
        <v>Monitor Arm Stand</v>
      </c>
      <c r="C283" s="68" t="s">
        <v>342</v>
      </c>
      <c r="D283" s="68" t="s">
        <v>342</v>
      </c>
      <c r="E283" s="68" t="s">
        <v>1150</v>
      </c>
      <c r="F283" s="10" t="str">
        <f t="array" ref="F283">_xlfn.XLOOKUP(D283,'Referanc '!$A:$A,'Referanc '!$E:$E)</f>
        <v>Monitor Arm Stand</v>
      </c>
      <c r="G283" s="196">
        <v>1537.0</v>
      </c>
      <c r="H283" s="68">
        <v>32.0</v>
      </c>
      <c r="I283" s="27">
        <v>0.0218</v>
      </c>
      <c r="J283" s="27">
        <v>0.0113</v>
      </c>
      <c r="K283" s="196">
        <v>2468.0</v>
      </c>
      <c r="L283" s="68">
        <v>44.0</v>
      </c>
      <c r="M283" s="27">
        <v>0.0222</v>
      </c>
      <c r="N283" s="27">
        <v>0.0099</v>
      </c>
      <c r="O283" s="27">
        <v>0.9689</v>
      </c>
      <c r="P283" s="27">
        <v>1.0</v>
      </c>
      <c r="Q283" s="68">
        <v>1.0</v>
      </c>
      <c r="R283" s="68">
        <v>0.0</v>
      </c>
      <c r="S283" s="27">
        <v>7.0E-4</v>
      </c>
      <c r="T283" s="27">
        <v>0.0</v>
      </c>
      <c r="U283" s="197">
        <v>7900.0</v>
      </c>
      <c r="V283" s="197">
        <v>0.0</v>
      </c>
      <c r="W283" s="68">
        <v>1.0</v>
      </c>
      <c r="X283" s="68">
        <v>0.0</v>
      </c>
    </row>
    <row r="284" ht="15.75" customHeight="1">
      <c r="A284" s="10" t="s">
        <v>54</v>
      </c>
      <c r="B284" s="10" t="str">
        <f t="array" ref="B284">_xlfn.XLOOKUP(D284,'Referanc '!$A:$A,'Referanc '!$B:$B)</f>
        <v>Laptop Table</v>
      </c>
      <c r="C284" s="68" t="s">
        <v>328</v>
      </c>
      <c r="D284" s="68" t="s">
        <v>328</v>
      </c>
      <c r="E284" s="68" t="s">
        <v>1152</v>
      </c>
      <c r="F284" s="10" t="str">
        <f t="array" ref="F284">_xlfn.XLOOKUP(D284,'Referanc '!$A:$A,'Referanc '!$E:$E)</f>
        <v>Laptop Table</v>
      </c>
      <c r="G284" s="68">
        <v>92.0</v>
      </c>
      <c r="H284" s="68">
        <v>3.0</v>
      </c>
      <c r="I284" s="27">
        <v>0.0013</v>
      </c>
      <c r="J284" s="27">
        <v>0.0011</v>
      </c>
      <c r="K284" s="68">
        <v>160.0</v>
      </c>
      <c r="L284" s="68">
        <v>8.0</v>
      </c>
      <c r="M284" s="27">
        <v>0.0014</v>
      </c>
      <c r="N284" s="27">
        <v>0.0018</v>
      </c>
      <c r="O284" s="27">
        <v>0.9301</v>
      </c>
      <c r="P284" s="27">
        <v>1.0</v>
      </c>
      <c r="Q284" s="68">
        <v>1.0</v>
      </c>
      <c r="R284" s="68">
        <v>0.0</v>
      </c>
      <c r="S284" s="27">
        <v>0.0109</v>
      </c>
      <c r="T284" s="27">
        <v>0.0</v>
      </c>
      <c r="U284" s="197">
        <v>12200.0</v>
      </c>
      <c r="V284" s="197">
        <v>0.0</v>
      </c>
      <c r="W284" s="68">
        <v>1.0</v>
      </c>
      <c r="X284" s="68">
        <v>0.0</v>
      </c>
    </row>
    <row r="285" ht="15.75" customHeight="1">
      <c r="A285" s="10" t="s">
        <v>54</v>
      </c>
      <c r="B285" s="10" t="str">
        <f t="array" ref="B285">_xlfn.XLOOKUP(D285,'Referanc '!$A:$A,'Referanc '!$B:$B)</f>
        <v>Standing Table - All Frames</v>
      </c>
      <c r="C285" s="68" t="s">
        <v>343</v>
      </c>
      <c r="D285" s="68" t="s">
        <v>343</v>
      </c>
      <c r="E285" s="68" t="s">
        <v>1153</v>
      </c>
      <c r="F285" s="10" t="str">
        <f t="array" ref="F285">_xlfn.XLOOKUP(D285,'Referanc '!$A:$A,'Referanc '!$E:$E)</f>
        <v>E3</v>
      </c>
      <c r="G285" s="68">
        <v>426.0</v>
      </c>
      <c r="H285" s="68">
        <v>39.0</v>
      </c>
      <c r="I285" s="27">
        <v>0.006</v>
      </c>
      <c r="J285" s="27">
        <v>0.0138</v>
      </c>
      <c r="K285" s="68">
        <v>721.0</v>
      </c>
      <c r="L285" s="68">
        <v>67.0</v>
      </c>
      <c r="M285" s="27">
        <v>0.0065</v>
      </c>
      <c r="N285" s="27">
        <v>0.0151</v>
      </c>
      <c r="O285" s="27">
        <v>0.9046</v>
      </c>
      <c r="P285" s="27">
        <v>0.9737</v>
      </c>
      <c r="Q285" s="68">
        <v>1.0</v>
      </c>
      <c r="R285" s="68">
        <v>0.0</v>
      </c>
      <c r="S285" s="27">
        <v>0.0023</v>
      </c>
      <c r="T285" s="27">
        <v>0.0</v>
      </c>
      <c r="U285" s="197">
        <v>34000.0</v>
      </c>
      <c r="V285" s="197">
        <v>0.0</v>
      </c>
      <c r="W285" s="68">
        <v>1.0</v>
      </c>
      <c r="X285" s="68">
        <v>0.0</v>
      </c>
    </row>
    <row r="286" ht="15.75" customHeight="1">
      <c r="A286" s="10" t="s">
        <v>54</v>
      </c>
      <c r="B286" s="10" t="str">
        <f t="array" ref="B286">_xlfn.XLOOKUP(D286,'Referanc '!$A:$A,'Referanc '!$B:$B)</f>
        <v>Standing Table  - E3</v>
      </c>
      <c r="C286" s="68" t="s">
        <v>344</v>
      </c>
      <c r="D286" s="68" t="s">
        <v>344</v>
      </c>
      <c r="E286" s="68" t="s">
        <v>1154</v>
      </c>
      <c r="F286" s="10" t="str">
        <f t="array" ref="F286">_xlfn.XLOOKUP(D286,'Referanc '!$A:$A,'Referanc '!$E:$E)</f>
        <v>E3</v>
      </c>
      <c r="G286" s="68">
        <v>450.0</v>
      </c>
      <c r="H286" s="68">
        <v>10.0</v>
      </c>
      <c r="I286" s="27">
        <v>0.0064</v>
      </c>
      <c r="J286" s="27">
        <v>0.0035</v>
      </c>
      <c r="K286" s="68">
        <v>698.0</v>
      </c>
      <c r="L286" s="68">
        <v>12.0</v>
      </c>
      <c r="M286" s="27">
        <v>0.0063</v>
      </c>
      <c r="N286" s="27">
        <v>0.0027</v>
      </c>
      <c r="O286" s="27">
        <v>0.8319</v>
      </c>
      <c r="P286" s="27">
        <v>0.6</v>
      </c>
      <c r="Q286" s="68">
        <v>1.0</v>
      </c>
      <c r="R286" s="68">
        <v>0.0</v>
      </c>
      <c r="S286" s="27">
        <v>0.0022</v>
      </c>
      <c r="T286" s="27">
        <v>0.0</v>
      </c>
      <c r="U286" s="197">
        <v>38900.0</v>
      </c>
      <c r="V286" s="197">
        <v>0.0</v>
      </c>
      <c r="W286" s="68">
        <v>1.0</v>
      </c>
      <c r="X286" s="68">
        <v>0.0</v>
      </c>
    </row>
    <row r="287" ht="15.75" customHeight="1">
      <c r="A287" s="10" t="s">
        <v>54</v>
      </c>
      <c r="B287" s="10" t="s">
        <v>241</v>
      </c>
      <c r="C287" s="68" t="s">
        <v>337</v>
      </c>
      <c r="D287" s="68" t="s">
        <v>337</v>
      </c>
      <c r="E287" s="68" t="s">
        <v>545</v>
      </c>
      <c r="F287" s="10" t="str">
        <f t="array" ref="F287">_xlfn.XLOOKUP(D287,'Referanc '!$A:$A,'Referanc '!$E:$E)</f>
        <v>Footrest</v>
      </c>
      <c r="G287" s="68">
        <v>79.0</v>
      </c>
      <c r="H287" s="68">
        <v>2.0</v>
      </c>
      <c r="I287" s="27">
        <v>0.0011</v>
      </c>
      <c r="J287" s="27">
        <v>7.0E-4</v>
      </c>
      <c r="K287" s="68">
        <v>102.0</v>
      </c>
      <c r="L287" s="68">
        <v>4.0</v>
      </c>
      <c r="M287" s="27">
        <v>9.0E-4</v>
      </c>
      <c r="N287" s="27">
        <v>9.0E-4</v>
      </c>
      <c r="O287" s="27">
        <v>0.9853</v>
      </c>
      <c r="P287" s="27">
        <v>1.0</v>
      </c>
      <c r="Q287" s="68">
        <v>1.0</v>
      </c>
      <c r="R287" s="68">
        <v>0.0</v>
      </c>
      <c r="S287" s="27">
        <v>0.0127</v>
      </c>
      <c r="T287" s="27">
        <v>0.0</v>
      </c>
      <c r="U287" s="197">
        <v>2250.0</v>
      </c>
      <c r="V287" s="197">
        <v>0.0</v>
      </c>
      <c r="W287" s="68">
        <v>1.0</v>
      </c>
      <c r="X287" s="68">
        <v>0.0</v>
      </c>
    </row>
    <row r="288" ht="15.75" customHeight="1">
      <c r="A288" s="10" t="s">
        <v>54</v>
      </c>
      <c r="B288" s="10" t="str">
        <f t="array" ref="B288">_xlfn.XLOOKUP(D288,'Referanc '!$A:$A,'Referanc '!$B:$B)</f>
        <v>Standing Table  - E3</v>
      </c>
      <c r="C288" s="68" t="s">
        <v>377</v>
      </c>
      <c r="D288" s="68" t="s">
        <v>377</v>
      </c>
      <c r="E288" s="68" t="s">
        <v>1143</v>
      </c>
      <c r="F288" s="10" t="str">
        <f t="array" ref="F288">_xlfn.XLOOKUP(D288,'Referanc '!$A:$A,'Referanc '!$E:$E)</f>
        <v>E3</v>
      </c>
      <c r="G288" s="68">
        <v>427.0</v>
      </c>
      <c r="H288" s="68">
        <v>13.0</v>
      </c>
      <c r="I288" s="27">
        <v>0.006</v>
      </c>
      <c r="J288" s="27">
        <v>0.0046</v>
      </c>
      <c r="K288" s="68">
        <v>645.0</v>
      </c>
      <c r="L288" s="68">
        <v>15.0</v>
      </c>
      <c r="M288" s="27">
        <v>0.0058</v>
      </c>
      <c r="N288" s="27">
        <v>0.0034</v>
      </c>
      <c r="O288" s="27">
        <v>0.8507</v>
      </c>
      <c r="P288" s="27">
        <v>0.8333</v>
      </c>
      <c r="Q288" s="68">
        <v>1.0</v>
      </c>
      <c r="R288" s="68">
        <v>0.0</v>
      </c>
      <c r="S288" s="27">
        <v>0.0023</v>
      </c>
      <c r="T288" s="27">
        <v>0.0</v>
      </c>
      <c r="U288" s="197">
        <v>38000.0</v>
      </c>
      <c r="V288" s="197">
        <v>0.0</v>
      </c>
      <c r="W288" s="68">
        <v>1.0</v>
      </c>
      <c r="X288" s="68">
        <v>0.0</v>
      </c>
    </row>
    <row r="289" ht="15.75" customHeight="1">
      <c r="A289" s="10" t="s">
        <v>54</v>
      </c>
      <c r="B289" s="10" t="str">
        <f t="array" ref="B289">_xlfn.XLOOKUP(D289,'Referanc '!$A:$A,'Referanc '!$B:$B)</f>
        <v>Standing Table  - E3</v>
      </c>
      <c r="C289" s="68" t="s">
        <v>366</v>
      </c>
      <c r="D289" s="68" t="s">
        <v>366</v>
      </c>
      <c r="E289" s="68" t="s">
        <v>1124</v>
      </c>
      <c r="F289" s="10" t="str">
        <f t="array" ref="F289">_xlfn.XLOOKUP(D289,'Referanc '!$A:$A,'Referanc '!$E:$E)</f>
        <v>E3</v>
      </c>
      <c r="G289" s="68">
        <v>443.0</v>
      </c>
      <c r="H289" s="68">
        <v>21.0</v>
      </c>
      <c r="I289" s="27">
        <v>0.0063</v>
      </c>
      <c r="J289" s="27">
        <v>0.0074</v>
      </c>
      <c r="K289" s="68">
        <v>650.0</v>
      </c>
      <c r="L289" s="68">
        <v>26.0</v>
      </c>
      <c r="M289" s="27">
        <v>0.0058</v>
      </c>
      <c r="N289" s="27">
        <v>0.0059</v>
      </c>
      <c r="O289" s="27">
        <v>0.8851</v>
      </c>
      <c r="P289" s="27">
        <v>0.9231</v>
      </c>
      <c r="Q289" s="68">
        <v>1.0</v>
      </c>
      <c r="R289" s="68">
        <v>0.0</v>
      </c>
      <c r="S289" s="27">
        <v>0.0023</v>
      </c>
      <c r="T289" s="27">
        <v>0.0</v>
      </c>
      <c r="U289" s="197">
        <v>40000.0</v>
      </c>
      <c r="V289" s="197">
        <v>0.0</v>
      </c>
      <c r="W289" s="68">
        <v>1.0</v>
      </c>
      <c r="X289" s="68">
        <v>0.0</v>
      </c>
    </row>
    <row r="290" ht="15.75" customHeight="1">
      <c r="A290" s="10" t="s">
        <v>54</v>
      </c>
      <c r="B290" s="10" t="str">
        <f t="array" ref="B290">_xlfn.XLOOKUP(D290,'Referanc '!$A:$A,'Referanc '!$B:$B)</f>
        <v>Standing Table - All Frames</v>
      </c>
      <c r="C290" s="68" t="s">
        <v>368</v>
      </c>
      <c r="D290" s="68" t="s">
        <v>368</v>
      </c>
      <c r="E290" s="68" t="s">
        <v>578</v>
      </c>
      <c r="F290" s="10" t="str">
        <f t="array" ref="F290">_xlfn.XLOOKUP(D290,'Referanc '!$A:$A,'Referanc '!$E:$E)</f>
        <v>SM3</v>
      </c>
      <c r="G290" s="68">
        <v>615.0</v>
      </c>
      <c r="H290" s="68">
        <v>21.0</v>
      </c>
      <c r="I290" s="27">
        <v>0.0087</v>
      </c>
      <c r="J290" s="27">
        <v>0.0074</v>
      </c>
      <c r="K290" s="196">
        <v>1025.0</v>
      </c>
      <c r="L290" s="68">
        <v>51.0</v>
      </c>
      <c r="M290" s="27">
        <v>0.0092</v>
      </c>
      <c r="N290" s="27">
        <v>0.0115</v>
      </c>
      <c r="O290" s="27">
        <v>0.8376</v>
      </c>
      <c r="P290" s="27">
        <v>0.9</v>
      </c>
      <c r="Q290" s="68">
        <v>1.0</v>
      </c>
      <c r="R290" s="68">
        <v>0.0</v>
      </c>
      <c r="S290" s="27">
        <v>0.0016</v>
      </c>
      <c r="T290" s="27">
        <v>0.0</v>
      </c>
      <c r="U290" s="197">
        <v>18200.0</v>
      </c>
      <c r="V290" s="197">
        <v>0.0</v>
      </c>
      <c r="W290" s="68">
        <v>1.0</v>
      </c>
      <c r="X290" s="68">
        <v>0.0</v>
      </c>
    </row>
    <row r="291" ht="15.75" customHeight="1">
      <c r="A291" s="10" t="s">
        <v>54</v>
      </c>
      <c r="B291" s="10" t="str">
        <f t="array" ref="B291">_xlfn.XLOOKUP(D291,'Referanc '!$A:$A,'Referanc '!$B:$B)</f>
        <v>Standing Table  - E1A</v>
      </c>
      <c r="C291" s="68" t="s">
        <v>371</v>
      </c>
      <c r="D291" s="68" t="s">
        <v>371</v>
      </c>
      <c r="E291" s="68" t="s">
        <v>635</v>
      </c>
      <c r="F291" s="10" t="str">
        <f t="array" ref="F291">_xlfn.XLOOKUP(D291,'Referanc '!$A:$A,'Referanc '!$E:$E)</f>
        <v>E1A</v>
      </c>
      <c r="G291" s="68">
        <v>246.0</v>
      </c>
      <c r="H291" s="68">
        <v>13.0</v>
      </c>
      <c r="I291" s="27">
        <v>0.0035</v>
      </c>
      <c r="J291" s="27">
        <v>0.0046</v>
      </c>
      <c r="K291" s="68">
        <v>350.0</v>
      </c>
      <c r="L291" s="68">
        <v>17.0</v>
      </c>
      <c r="M291" s="27">
        <v>0.0031</v>
      </c>
      <c r="N291" s="27">
        <v>0.0038</v>
      </c>
      <c r="O291" s="27">
        <v>0.9211</v>
      </c>
      <c r="P291" s="27">
        <v>1.0</v>
      </c>
      <c r="Q291" s="68">
        <v>1.0</v>
      </c>
      <c r="R291" s="68">
        <v>0.0</v>
      </c>
      <c r="S291" s="27">
        <v>0.0041</v>
      </c>
      <c r="T291" s="27">
        <v>0.0</v>
      </c>
      <c r="U291" s="197">
        <v>31381.36</v>
      </c>
      <c r="V291" s="197">
        <v>0.0</v>
      </c>
      <c r="W291" s="68">
        <v>1.0</v>
      </c>
      <c r="X291" s="68">
        <v>0.0</v>
      </c>
    </row>
    <row r="292" ht="15.75" customHeight="1">
      <c r="A292" s="10" t="s">
        <v>54</v>
      </c>
      <c r="B292" s="10" t="str">
        <f t="array" ref="B292">_xlfn.XLOOKUP(D292,'Referanc '!$A:$A,'Referanc '!$B:$B)</f>
        <v>Standing Table - All Frames</v>
      </c>
      <c r="C292" s="68" t="s">
        <v>399</v>
      </c>
      <c r="D292" s="68" t="s">
        <v>399</v>
      </c>
      <c r="E292" s="68" t="s">
        <v>624</v>
      </c>
      <c r="F292" s="10" t="str">
        <f t="array" ref="F292">_xlfn.XLOOKUP(D292,'Referanc '!$A:$A,'Referanc '!$E:$E)</f>
        <v>E1A</v>
      </c>
      <c r="G292" s="196">
        <v>1115.0</v>
      </c>
      <c r="H292" s="68">
        <v>66.0</v>
      </c>
      <c r="I292" s="27">
        <v>0.0158</v>
      </c>
      <c r="J292" s="27">
        <v>0.0233</v>
      </c>
      <c r="K292" s="196">
        <v>1638.0</v>
      </c>
      <c r="L292" s="68">
        <v>93.0</v>
      </c>
      <c r="M292" s="27">
        <v>0.0147</v>
      </c>
      <c r="N292" s="27">
        <v>0.021</v>
      </c>
      <c r="O292" s="27">
        <v>0.8593</v>
      </c>
      <c r="P292" s="27">
        <v>0.84</v>
      </c>
      <c r="Q292" s="68">
        <v>1.0</v>
      </c>
      <c r="R292" s="68">
        <v>0.0</v>
      </c>
      <c r="S292" s="27">
        <v>9.0E-4</v>
      </c>
      <c r="T292" s="27">
        <v>0.0</v>
      </c>
      <c r="U292" s="197">
        <v>26631.36</v>
      </c>
      <c r="V292" s="197">
        <v>0.0</v>
      </c>
      <c r="W292" s="68">
        <v>1.0</v>
      </c>
      <c r="X292" s="68">
        <v>0.0</v>
      </c>
    </row>
    <row r="293" ht="15.75" customHeight="1">
      <c r="A293" s="10" t="s">
        <v>54</v>
      </c>
      <c r="B293" s="10" t="str">
        <f t="array" ref="B293">_xlfn.XLOOKUP(D293,'Referanc '!$A:$A,'Referanc '!$B:$B)</f>
        <v>TABLE TOP</v>
      </c>
      <c r="C293" s="68" t="s">
        <v>357</v>
      </c>
      <c r="D293" s="68" t="s">
        <v>357</v>
      </c>
      <c r="E293" s="68" t="s">
        <v>535</v>
      </c>
      <c r="F293" s="10" t="str">
        <f t="array" ref="F293">_xlfn.XLOOKUP(D293,'Referanc '!$A:$A,'Referanc '!$E:$E)</f>
        <v>TABLE TOP</v>
      </c>
      <c r="G293" s="68">
        <v>294.0</v>
      </c>
      <c r="H293" s="68">
        <v>10.0</v>
      </c>
      <c r="I293" s="27">
        <v>0.0042</v>
      </c>
      <c r="J293" s="27">
        <v>0.0035</v>
      </c>
      <c r="K293" s="68">
        <v>366.0</v>
      </c>
      <c r="L293" s="68">
        <v>11.0</v>
      </c>
      <c r="M293" s="27">
        <v>0.0033</v>
      </c>
      <c r="N293" s="27">
        <v>0.0025</v>
      </c>
      <c r="O293" s="27">
        <v>0.7703</v>
      </c>
      <c r="P293" s="27">
        <v>0.8571</v>
      </c>
      <c r="Q293" s="68">
        <v>0.0</v>
      </c>
      <c r="R293" s="68">
        <v>0.0</v>
      </c>
      <c r="S293" s="27">
        <v>0.0</v>
      </c>
      <c r="T293" s="27">
        <v>0.0</v>
      </c>
      <c r="U293" s="197">
        <v>0.0</v>
      </c>
      <c r="V293" s="197">
        <v>0.0</v>
      </c>
      <c r="W293" s="68">
        <v>0.0</v>
      </c>
      <c r="X293" s="68">
        <v>0.0</v>
      </c>
    </row>
    <row r="294" ht="15.75" customHeight="1">
      <c r="A294" s="10" t="s">
        <v>54</v>
      </c>
      <c r="B294" s="10" t="str">
        <f t="array" ref="B294">_xlfn.XLOOKUP(D294,'Referanc '!$A:$A,'Referanc '!$B:$B)</f>
        <v>TABLE TOP</v>
      </c>
      <c r="C294" s="68" t="s">
        <v>323</v>
      </c>
      <c r="D294" s="68" t="s">
        <v>323</v>
      </c>
      <c r="E294" s="68" t="s">
        <v>537</v>
      </c>
      <c r="F294" s="10" t="str">
        <f t="array" ref="F294">_xlfn.XLOOKUP(D294,'Referanc '!$A:$A,'Referanc '!$E:$E)</f>
        <v>TABLE TOP</v>
      </c>
      <c r="G294" s="68">
        <v>417.0</v>
      </c>
      <c r="H294" s="68">
        <v>20.0</v>
      </c>
      <c r="I294" s="27">
        <v>0.0059</v>
      </c>
      <c r="J294" s="27">
        <v>0.0071</v>
      </c>
      <c r="K294" s="68">
        <v>593.0</v>
      </c>
      <c r="L294" s="68">
        <v>22.0</v>
      </c>
      <c r="M294" s="27">
        <v>0.0053</v>
      </c>
      <c r="N294" s="27">
        <v>0.005</v>
      </c>
      <c r="O294" s="27">
        <v>0.744</v>
      </c>
      <c r="P294" s="27">
        <v>0.75</v>
      </c>
      <c r="Q294" s="68">
        <v>0.0</v>
      </c>
      <c r="R294" s="68">
        <v>0.0</v>
      </c>
      <c r="S294" s="27">
        <v>0.0</v>
      </c>
      <c r="T294" s="27">
        <v>0.0</v>
      </c>
      <c r="U294" s="197">
        <v>0.0</v>
      </c>
      <c r="V294" s="197">
        <v>0.0</v>
      </c>
      <c r="W294" s="68">
        <v>0.0</v>
      </c>
      <c r="X294" s="68">
        <v>0.0</v>
      </c>
    </row>
    <row r="295" ht="15.75" customHeight="1">
      <c r="A295" s="10" t="s">
        <v>54</v>
      </c>
      <c r="B295" s="10" t="str">
        <f t="array" ref="B295">_xlfn.XLOOKUP(D295,'Referanc '!$A:$A,'Referanc '!$B:$B)</f>
        <v>TABLE TOP</v>
      </c>
      <c r="C295" s="68" t="s">
        <v>350</v>
      </c>
      <c r="D295" s="68" t="s">
        <v>350</v>
      </c>
      <c r="E295" s="68" t="s">
        <v>531</v>
      </c>
      <c r="F295" s="10" t="str">
        <f t="array" ref="F295">_xlfn.XLOOKUP(D295,'Referanc '!$A:$A,'Referanc '!$E:$E)</f>
        <v>TABLE TOP</v>
      </c>
      <c r="G295" s="68">
        <v>367.0</v>
      </c>
      <c r="H295" s="68">
        <v>10.0</v>
      </c>
      <c r="I295" s="27">
        <v>0.0052</v>
      </c>
      <c r="J295" s="27">
        <v>0.0035</v>
      </c>
      <c r="K295" s="68">
        <v>560.0</v>
      </c>
      <c r="L295" s="68">
        <v>15.0</v>
      </c>
      <c r="M295" s="27">
        <v>0.005</v>
      </c>
      <c r="N295" s="27">
        <v>0.0034</v>
      </c>
      <c r="O295" s="27">
        <v>0.8198</v>
      </c>
      <c r="P295" s="27">
        <v>0.75</v>
      </c>
      <c r="Q295" s="68">
        <v>0.0</v>
      </c>
      <c r="R295" s="68">
        <v>0.0</v>
      </c>
      <c r="S295" s="27">
        <v>0.0</v>
      </c>
      <c r="T295" s="27">
        <v>0.0</v>
      </c>
      <c r="U295" s="197">
        <v>0.0</v>
      </c>
      <c r="V295" s="197">
        <v>0.0</v>
      </c>
      <c r="W295" s="68">
        <v>0.0</v>
      </c>
      <c r="X295" s="68">
        <v>0.0</v>
      </c>
    </row>
    <row r="296" ht="15.75" customHeight="1">
      <c r="A296" s="10" t="s">
        <v>54</v>
      </c>
      <c r="B296" s="10" t="str">
        <f t="array" ref="B296">_xlfn.XLOOKUP(D296,'Referanc '!$A:$A,'Referanc '!$B:$B)</f>
        <v>Monitor Stand </v>
      </c>
      <c r="C296" s="68" t="s">
        <v>316</v>
      </c>
      <c r="D296" s="68" t="s">
        <v>316</v>
      </c>
      <c r="E296" s="68" t="s">
        <v>1107</v>
      </c>
      <c r="F296" s="10" t="str">
        <f t="array" ref="F296">_xlfn.XLOOKUP(D296,'Referanc '!$A:$A,'Referanc '!$E:$E)</f>
        <v> Monitor Stand</v>
      </c>
      <c r="G296" s="68">
        <v>138.0</v>
      </c>
      <c r="H296" s="68">
        <v>3.0</v>
      </c>
      <c r="I296" s="27">
        <v>0.002</v>
      </c>
      <c r="J296" s="27">
        <v>0.0011</v>
      </c>
      <c r="K296" s="68">
        <v>214.0</v>
      </c>
      <c r="L296" s="68">
        <v>4.0</v>
      </c>
      <c r="M296" s="27">
        <v>0.0019</v>
      </c>
      <c r="N296" s="27">
        <v>9.0E-4</v>
      </c>
      <c r="O296" s="27">
        <v>1.0</v>
      </c>
      <c r="P296" s="27">
        <v>1.0</v>
      </c>
      <c r="Q296" s="68">
        <v>0.0</v>
      </c>
      <c r="R296" s="68">
        <v>0.0</v>
      </c>
      <c r="S296" s="27">
        <v>0.0</v>
      </c>
      <c r="T296" s="27">
        <v>0.0</v>
      </c>
      <c r="U296" s="197">
        <v>0.0</v>
      </c>
      <c r="V296" s="197">
        <v>0.0</v>
      </c>
      <c r="W296" s="68">
        <v>0.0</v>
      </c>
      <c r="X296" s="68">
        <v>0.0</v>
      </c>
    </row>
    <row r="297" ht="15.75" customHeight="1">
      <c r="A297" s="10" t="s">
        <v>54</v>
      </c>
      <c r="B297" s="10" t="str">
        <f t="array" ref="B297">_xlfn.XLOOKUP(D297,'Referanc '!$A:$A,'Referanc '!$B:$B)</f>
        <v>Standing Table  - M8</v>
      </c>
      <c r="C297" s="68" t="s">
        <v>417</v>
      </c>
      <c r="D297" s="68" t="s">
        <v>417</v>
      </c>
      <c r="E297" s="68" t="s">
        <v>655</v>
      </c>
      <c r="F297" s="10" t="str">
        <f t="array" ref="F297">_xlfn.XLOOKUP(D297,'Referanc '!$A:$A,'Referanc '!$E:$E)</f>
        <v>M8</v>
      </c>
      <c r="G297" s="68">
        <v>121.0</v>
      </c>
      <c r="H297" s="68">
        <v>2.0</v>
      </c>
      <c r="I297" s="27">
        <v>0.0017</v>
      </c>
      <c r="J297" s="27">
        <v>7.0E-4</v>
      </c>
      <c r="K297" s="68">
        <v>198.0</v>
      </c>
      <c r="L297" s="68">
        <v>2.0</v>
      </c>
      <c r="M297" s="27">
        <v>0.0018</v>
      </c>
      <c r="N297" s="27">
        <v>5.0E-4</v>
      </c>
      <c r="O297" s="27">
        <v>0.8803</v>
      </c>
      <c r="P297" s="27">
        <v>1.0</v>
      </c>
      <c r="Q297" s="68">
        <v>0.0</v>
      </c>
      <c r="R297" s="68">
        <v>0.0</v>
      </c>
      <c r="S297" s="27">
        <v>0.0</v>
      </c>
      <c r="T297" s="27">
        <v>0.0</v>
      </c>
      <c r="U297" s="197">
        <v>0.0</v>
      </c>
      <c r="V297" s="197">
        <v>0.0</v>
      </c>
      <c r="W297" s="68">
        <v>0.0</v>
      </c>
      <c r="X297" s="68">
        <v>0.0</v>
      </c>
    </row>
    <row r="298" ht="15.75" customHeight="1">
      <c r="A298" s="10" t="s">
        <v>54</v>
      </c>
      <c r="B298" s="10" t="str">
        <f t="array" ref="B298">_xlfn.XLOOKUP(D298,'Referanc '!$A:$A,'Referanc '!$B:$B)</f>
        <v>Standing Table  - M8</v>
      </c>
      <c r="C298" s="68" t="s">
        <v>418</v>
      </c>
      <c r="D298" s="68" t="s">
        <v>418</v>
      </c>
      <c r="E298" s="68" t="s">
        <v>657</v>
      </c>
      <c r="F298" s="10" t="str">
        <f t="array" ref="F298">_xlfn.XLOOKUP(D298,'Referanc '!$A:$A,'Referanc '!$E:$E)</f>
        <v>M8</v>
      </c>
      <c r="G298" s="68">
        <v>139.0</v>
      </c>
      <c r="H298" s="68">
        <v>7.0</v>
      </c>
      <c r="I298" s="27">
        <v>0.002</v>
      </c>
      <c r="J298" s="27">
        <v>0.0025</v>
      </c>
      <c r="K298" s="68">
        <v>237.0</v>
      </c>
      <c r="L298" s="68">
        <v>9.0</v>
      </c>
      <c r="M298" s="27">
        <v>0.0021</v>
      </c>
      <c r="N298" s="27">
        <v>0.002</v>
      </c>
      <c r="O298" s="27">
        <v>0.9735</v>
      </c>
      <c r="P298" s="27">
        <v>1.0</v>
      </c>
      <c r="Q298" s="68">
        <v>0.0</v>
      </c>
      <c r="R298" s="68">
        <v>0.0</v>
      </c>
      <c r="S298" s="27">
        <v>0.0</v>
      </c>
      <c r="T298" s="27">
        <v>0.0</v>
      </c>
      <c r="U298" s="197">
        <v>0.0</v>
      </c>
      <c r="V298" s="197">
        <v>0.0</v>
      </c>
      <c r="W298" s="68">
        <v>0.0</v>
      </c>
      <c r="X298" s="68">
        <v>0.0</v>
      </c>
    </row>
    <row r="299" ht="15.75" customHeight="1">
      <c r="A299" s="10" t="s">
        <v>54</v>
      </c>
      <c r="B299" s="10" t="str">
        <f t="array" ref="B299">_xlfn.XLOOKUP(D299,'Referanc '!$A:$A,'Referanc '!$B:$B)</f>
        <v>Standing Table  - M3</v>
      </c>
      <c r="C299" s="68" t="s">
        <v>403</v>
      </c>
      <c r="D299" s="68" t="s">
        <v>403</v>
      </c>
      <c r="E299" s="68" t="s">
        <v>628</v>
      </c>
      <c r="F299" s="10" t="str">
        <f t="array" ref="F299">_xlfn.XLOOKUP(D299,'Referanc '!$A:$A,'Referanc '!$E:$E)</f>
        <v>M3</v>
      </c>
      <c r="G299" s="68">
        <v>94.0</v>
      </c>
      <c r="H299" s="68">
        <v>2.0</v>
      </c>
      <c r="I299" s="27">
        <v>0.0013</v>
      </c>
      <c r="J299" s="27">
        <v>7.0E-4</v>
      </c>
      <c r="K299" s="68">
        <v>128.0</v>
      </c>
      <c r="L299" s="68">
        <v>2.0</v>
      </c>
      <c r="M299" s="27">
        <v>0.0012</v>
      </c>
      <c r="N299" s="27">
        <v>5.0E-4</v>
      </c>
      <c r="O299" s="27">
        <v>0.9492</v>
      </c>
      <c r="P299" s="27">
        <v>1.0</v>
      </c>
      <c r="Q299" s="68">
        <v>0.0</v>
      </c>
      <c r="R299" s="68">
        <v>0.0</v>
      </c>
      <c r="S299" s="27">
        <v>0.0</v>
      </c>
      <c r="T299" s="27">
        <v>0.0</v>
      </c>
      <c r="U299" s="197">
        <v>0.0</v>
      </c>
      <c r="V299" s="197">
        <v>0.0</v>
      </c>
      <c r="W299" s="68">
        <v>0.0</v>
      </c>
      <c r="X299" s="68">
        <v>0.0</v>
      </c>
    </row>
    <row r="300" ht="15.75" customHeight="1">
      <c r="A300" s="10" t="s">
        <v>54</v>
      </c>
      <c r="B300" s="10" t="str">
        <f t="array" ref="B300">_xlfn.XLOOKUP(D300,'Referanc '!$A:$A,'Referanc '!$B:$B)</f>
        <v>Single Leg Gas</v>
      </c>
      <c r="C300" s="68" t="s">
        <v>362</v>
      </c>
      <c r="D300" s="68" t="s">
        <v>362</v>
      </c>
      <c r="E300" s="68" t="s">
        <v>610</v>
      </c>
      <c r="F300" s="10" t="str">
        <f t="array" ref="F300">_xlfn.XLOOKUP(D300,'Referanc '!$A:$A,'Referanc '!$E:$E)</f>
        <v>Single Leg Gas</v>
      </c>
      <c r="G300" s="68">
        <v>149.0</v>
      </c>
      <c r="H300" s="68">
        <v>4.0</v>
      </c>
      <c r="I300" s="27">
        <v>0.0021</v>
      </c>
      <c r="J300" s="27">
        <v>0.0014</v>
      </c>
      <c r="K300" s="68">
        <v>205.0</v>
      </c>
      <c r="L300" s="68">
        <v>6.0</v>
      </c>
      <c r="M300" s="27">
        <v>0.0018</v>
      </c>
      <c r="N300" s="27">
        <v>0.0014</v>
      </c>
      <c r="O300" s="27">
        <v>0.9097</v>
      </c>
      <c r="P300" s="27">
        <v>1.0</v>
      </c>
      <c r="Q300" s="68">
        <v>0.0</v>
      </c>
      <c r="R300" s="68">
        <v>0.0</v>
      </c>
      <c r="S300" s="27">
        <v>0.0</v>
      </c>
      <c r="T300" s="27">
        <v>0.0</v>
      </c>
      <c r="U300" s="197">
        <v>0.0</v>
      </c>
      <c r="V300" s="197">
        <v>0.0</v>
      </c>
      <c r="W300" s="68">
        <v>0.0</v>
      </c>
      <c r="X300" s="68">
        <v>0.0</v>
      </c>
    </row>
    <row r="301" ht="15.75" customHeight="1">
      <c r="A301" s="10" t="s">
        <v>54</v>
      </c>
      <c r="B301" s="10" t="str">
        <f t="array" ref="B301">_xlfn.XLOOKUP(D301,'Referanc '!$A:$A,'Referanc '!$B:$B)</f>
        <v>Standing Desk Converter</v>
      </c>
      <c r="C301" s="68" t="s">
        <v>363</v>
      </c>
      <c r="D301" s="68" t="s">
        <v>363</v>
      </c>
      <c r="E301" s="68" t="s">
        <v>571</v>
      </c>
      <c r="F301" s="10" t="str">
        <f t="array" ref="F301">_xlfn.XLOOKUP(D301,'Referanc '!$A:$A,'Referanc '!$E:$E)</f>
        <v>Standing Desk Converter</v>
      </c>
      <c r="G301" s="68">
        <v>76.0</v>
      </c>
      <c r="H301" s="68">
        <v>3.0</v>
      </c>
      <c r="I301" s="27">
        <v>0.0011</v>
      </c>
      <c r="J301" s="27">
        <v>0.0011</v>
      </c>
      <c r="K301" s="68">
        <v>92.0</v>
      </c>
      <c r="L301" s="68">
        <v>5.0</v>
      </c>
      <c r="M301" s="27">
        <v>8.0E-4</v>
      </c>
      <c r="N301" s="27">
        <v>0.0011</v>
      </c>
      <c r="O301" s="27">
        <v>0.9506</v>
      </c>
      <c r="P301" s="27">
        <v>1.0</v>
      </c>
      <c r="Q301" s="68">
        <v>0.0</v>
      </c>
      <c r="R301" s="68">
        <v>0.0</v>
      </c>
      <c r="S301" s="27">
        <v>0.0</v>
      </c>
      <c r="T301" s="27">
        <v>0.0</v>
      </c>
      <c r="U301" s="197">
        <v>0.0</v>
      </c>
      <c r="V301" s="197">
        <v>0.0</v>
      </c>
      <c r="W301" s="68">
        <v>0.0</v>
      </c>
      <c r="X301" s="68">
        <v>0.0</v>
      </c>
    </row>
    <row r="302" ht="15.75" customHeight="1">
      <c r="A302" s="10" t="s">
        <v>54</v>
      </c>
      <c r="B302" s="10" t="str">
        <f t="array" ref="B302">_xlfn.XLOOKUP(D302,'Referanc '!$A:$A,'Referanc '!$B:$B)</f>
        <v>Standing Table  - E2</v>
      </c>
      <c r="C302" s="68" t="s">
        <v>390</v>
      </c>
      <c r="D302" s="68" t="s">
        <v>390</v>
      </c>
      <c r="E302" s="68" t="s">
        <v>661</v>
      </c>
      <c r="F302" s="10" t="s">
        <v>300</v>
      </c>
      <c r="G302" s="68">
        <v>1.0</v>
      </c>
      <c r="H302" s="68">
        <v>0.0</v>
      </c>
      <c r="I302" s="27">
        <v>0.0</v>
      </c>
      <c r="J302" s="27">
        <v>0.0</v>
      </c>
      <c r="K302" s="68">
        <v>1.0</v>
      </c>
      <c r="L302" s="68">
        <v>0.0</v>
      </c>
      <c r="M302" s="27">
        <v>0.0</v>
      </c>
      <c r="N302" s="27">
        <v>0.0</v>
      </c>
      <c r="O302" s="27">
        <v>0.0</v>
      </c>
      <c r="P302" s="27">
        <v>0.0</v>
      </c>
      <c r="Q302" s="68">
        <v>0.0</v>
      </c>
      <c r="R302" s="68">
        <v>0.0</v>
      </c>
      <c r="S302" s="27">
        <v>0.0</v>
      </c>
      <c r="T302" s="27">
        <v>0.0</v>
      </c>
      <c r="U302" s="197">
        <v>0.0</v>
      </c>
      <c r="V302" s="197">
        <v>0.0</v>
      </c>
      <c r="W302" s="68">
        <v>0.0</v>
      </c>
      <c r="X302" s="68">
        <v>0.0</v>
      </c>
    </row>
    <row r="303" ht="15.75" customHeight="1">
      <c r="A303" s="10" t="s">
        <v>54</v>
      </c>
      <c r="B303" s="10" t="str">
        <f t="array" ref="B303">_xlfn.XLOOKUP(D303,'Referanc '!$A:$A,'Referanc '!$B:$B)</f>
        <v>Standing Table  - E2</v>
      </c>
      <c r="C303" s="68" t="s">
        <v>393</v>
      </c>
      <c r="D303" s="68" t="s">
        <v>393</v>
      </c>
      <c r="E303" s="68" t="s">
        <v>663</v>
      </c>
      <c r="F303" s="10" t="s">
        <v>300</v>
      </c>
      <c r="G303" s="68">
        <v>1.0</v>
      </c>
      <c r="H303" s="68">
        <v>0.0</v>
      </c>
      <c r="I303" s="27">
        <v>0.0</v>
      </c>
      <c r="J303" s="27">
        <v>0.0</v>
      </c>
      <c r="K303" s="68">
        <v>1.0</v>
      </c>
      <c r="L303" s="68">
        <v>0.0</v>
      </c>
      <c r="M303" s="27">
        <v>0.0</v>
      </c>
      <c r="N303" s="27">
        <v>0.0</v>
      </c>
      <c r="O303" s="27">
        <v>1.0</v>
      </c>
      <c r="P303" s="27">
        <v>0.0</v>
      </c>
      <c r="Q303" s="68">
        <v>0.0</v>
      </c>
      <c r="R303" s="68">
        <v>0.0</v>
      </c>
      <c r="S303" s="27">
        <v>0.0</v>
      </c>
      <c r="T303" s="27">
        <v>0.0</v>
      </c>
      <c r="U303" s="197">
        <v>0.0</v>
      </c>
      <c r="V303" s="197">
        <v>0.0</v>
      </c>
      <c r="W303" s="68">
        <v>0.0</v>
      </c>
      <c r="X303" s="68">
        <v>0.0</v>
      </c>
    </row>
    <row r="304" ht="15.75" customHeight="1">
      <c r="A304" s="10" t="s">
        <v>54</v>
      </c>
      <c r="B304" s="10" t="str">
        <f t="array" ref="B304">_xlfn.XLOOKUP(D304,'Referanc '!$A:$A,'Referanc '!$B:$B)</f>
        <v>Standing Table  - E3</v>
      </c>
      <c r="C304" s="68" t="s">
        <v>397</v>
      </c>
      <c r="D304" s="68" t="s">
        <v>397</v>
      </c>
      <c r="E304" s="68" t="s">
        <v>1154</v>
      </c>
      <c r="F304" s="10" t="str">
        <f t="array" ref="F304">_xlfn.XLOOKUP(D304,'Referanc '!$A:$A,'Referanc '!$E:$E)</f>
        <v>E3</v>
      </c>
      <c r="G304" s="68">
        <v>542.0</v>
      </c>
      <c r="H304" s="68">
        <v>19.0</v>
      </c>
      <c r="I304" s="27">
        <v>0.0077</v>
      </c>
      <c r="J304" s="27">
        <v>0.0067</v>
      </c>
      <c r="K304" s="68">
        <v>888.0</v>
      </c>
      <c r="L304" s="68">
        <v>29.0</v>
      </c>
      <c r="M304" s="27">
        <v>0.008</v>
      </c>
      <c r="N304" s="27">
        <v>0.0066</v>
      </c>
      <c r="O304" s="27">
        <v>0.6423</v>
      </c>
      <c r="P304" s="27">
        <v>0.5</v>
      </c>
      <c r="Q304" s="68">
        <v>0.0</v>
      </c>
      <c r="R304" s="68">
        <v>0.0</v>
      </c>
      <c r="S304" s="27">
        <v>0.0</v>
      </c>
      <c r="T304" s="27">
        <v>0.0</v>
      </c>
      <c r="U304" s="197">
        <v>0.0</v>
      </c>
      <c r="V304" s="197">
        <v>0.0</v>
      </c>
      <c r="W304" s="68">
        <v>0.0</v>
      </c>
      <c r="X304" s="68">
        <v>0.0</v>
      </c>
    </row>
    <row r="305" ht="15.75" customHeight="1">
      <c r="A305" s="10" t="s">
        <v>54</v>
      </c>
      <c r="B305" s="10" t="str">
        <f t="array" ref="B305">_xlfn.XLOOKUP(D305,'Referanc '!$A:$A,'Referanc '!$B:$B)</f>
        <v>Standing Table  - E3</v>
      </c>
      <c r="C305" s="68" t="s">
        <v>376</v>
      </c>
      <c r="D305" s="68" t="s">
        <v>376</v>
      </c>
      <c r="E305" s="68" t="s">
        <v>1157</v>
      </c>
      <c r="F305" s="10" t="str">
        <f t="array" ref="F305">_xlfn.XLOOKUP(D305,'Referanc '!$A:$A,'Referanc '!$E:$E)</f>
        <v>E3</v>
      </c>
      <c r="G305" s="68">
        <v>243.0</v>
      </c>
      <c r="H305" s="68">
        <v>9.0</v>
      </c>
      <c r="I305" s="27">
        <v>0.0034</v>
      </c>
      <c r="J305" s="27">
        <v>0.0032</v>
      </c>
      <c r="K305" s="68">
        <v>415.0</v>
      </c>
      <c r="L305" s="68">
        <v>16.0</v>
      </c>
      <c r="M305" s="27">
        <v>0.0037</v>
      </c>
      <c r="N305" s="27">
        <v>0.0036</v>
      </c>
      <c r="O305" s="27">
        <v>0.7467</v>
      </c>
      <c r="P305" s="27">
        <v>0.875</v>
      </c>
      <c r="Q305" s="68">
        <v>0.0</v>
      </c>
      <c r="R305" s="68">
        <v>0.0</v>
      </c>
      <c r="S305" s="27">
        <v>0.0</v>
      </c>
      <c r="T305" s="27">
        <v>0.0</v>
      </c>
      <c r="U305" s="197">
        <v>0.0</v>
      </c>
      <c r="V305" s="197">
        <v>0.0</v>
      </c>
      <c r="W305" s="68">
        <v>0.0</v>
      </c>
      <c r="X305" s="68">
        <v>0.0</v>
      </c>
    </row>
    <row r="306" ht="15.75" customHeight="1">
      <c r="A306" s="10" t="s">
        <v>54</v>
      </c>
      <c r="B306" s="10" t="str">
        <f t="array" ref="B306">_xlfn.XLOOKUP(D306,'Referanc '!$A:$A,'Referanc '!$B:$B)</f>
        <v>Standing Table  - E3</v>
      </c>
      <c r="C306" s="68" t="s">
        <v>400</v>
      </c>
      <c r="D306" s="68" t="s">
        <v>400</v>
      </c>
      <c r="E306" s="68" t="s">
        <v>1130</v>
      </c>
      <c r="F306" s="10" t="str">
        <f t="array" ref="F306">_xlfn.XLOOKUP(D306,'Referanc '!$A:$A,'Referanc '!$E:$E)</f>
        <v>E3</v>
      </c>
      <c r="G306" s="68">
        <v>584.0</v>
      </c>
      <c r="H306" s="68">
        <v>19.0</v>
      </c>
      <c r="I306" s="27">
        <v>0.0083</v>
      </c>
      <c r="J306" s="27">
        <v>0.0067</v>
      </c>
      <c r="K306" s="68">
        <v>811.0</v>
      </c>
      <c r="L306" s="68">
        <v>28.0</v>
      </c>
      <c r="M306" s="27">
        <v>0.0073</v>
      </c>
      <c r="N306" s="27">
        <v>0.0063</v>
      </c>
      <c r="O306" s="27">
        <v>0.8838</v>
      </c>
      <c r="P306" s="27">
        <v>0.7647</v>
      </c>
      <c r="Q306" s="68">
        <v>0.0</v>
      </c>
      <c r="R306" s="68">
        <v>0.0</v>
      </c>
      <c r="S306" s="27">
        <v>0.0</v>
      </c>
      <c r="T306" s="27">
        <v>0.0</v>
      </c>
      <c r="U306" s="197">
        <v>0.0</v>
      </c>
      <c r="V306" s="197">
        <v>0.0</v>
      </c>
      <c r="W306" s="68">
        <v>0.0</v>
      </c>
      <c r="X306" s="68">
        <v>0.0</v>
      </c>
    </row>
    <row r="307" ht="15.75" customHeight="1">
      <c r="A307" s="10" t="s">
        <v>54</v>
      </c>
      <c r="B307" s="10" t="str">
        <f t="array" ref="B307">_xlfn.XLOOKUP(D307,'Referanc '!$A:$A,'Referanc '!$B:$B)</f>
        <v>Monitor Stand </v>
      </c>
      <c r="C307" s="68" t="s">
        <v>352</v>
      </c>
      <c r="D307" s="68" t="s">
        <v>352</v>
      </c>
      <c r="E307" s="68" t="s">
        <v>1159</v>
      </c>
      <c r="F307" s="10" t="str">
        <f t="array" ref="F307">_xlfn.XLOOKUP(D307,'Referanc '!$A:$A,'Referanc '!$E:$E)</f>
        <v>Monitor Arm Stand</v>
      </c>
      <c r="G307" s="68">
        <v>795.0</v>
      </c>
      <c r="H307" s="68">
        <v>17.0</v>
      </c>
      <c r="I307" s="27">
        <v>0.0113</v>
      </c>
      <c r="J307" s="27">
        <v>0.006</v>
      </c>
      <c r="K307" s="196">
        <v>1022.0</v>
      </c>
      <c r="L307" s="68">
        <v>21.0</v>
      </c>
      <c r="M307" s="27">
        <v>0.0092</v>
      </c>
      <c r="N307" s="27">
        <v>0.0047</v>
      </c>
      <c r="O307" s="27">
        <v>0.7439</v>
      </c>
      <c r="P307" s="27">
        <v>1.0</v>
      </c>
      <c r="Q307" s="68">
        <v>0.0</v>
      </c>
      <c r="R307" s="68">
        <v>0.0</v>
      </c>
      <c r="S307" s="27">
        <v>0.0</v>
      </c>
      <c r="T307" s="27">
        <v>0.0</v>
      </c>
      <c r="U307" s="197">
        <v>0.0</v>
      </c>
      <c r="V307" s="197">
        <v>0.0</v>
      </c>
      <c r="W307" s="68">
        <v>0.0</v>
      </c>
      <c r="X307" s="68">
        <v>0.0</v>
      </c>
    </row>
    <row r="308" ht="15.75" customHeight="1">
      <c r="A308" s="10" t="s">
        <v>54</v>
      </c>
      <c r="B308" s="10" t="str">
        <f t="array" ref="B308">_xlfn.XLOOKUP(D308,'Referanc '!$A:$A,'Referanc '!$B:$B)</f>
        <v>Standing Table  - SM3</v>
      </c>
      <c r="C308" s="68" t="s">
        <v>401</v>
      </c>
      <c r="D308" s="68" t="s">
        <v>401</v>
      </c>
      <c r="E308" s="68" t="s">
        <v>633</v>
      </c>
      <c r="F308" s="10" t="str">
        <f t="array" ref="F308">_xlfn.XLOOKUP(D308,'Referanc '!$A:$A,'Referanc '!$E:$E)</f>
        <v>SM3</v>
      </c>
      <c r="G308" s="68">
        <v>331.0</v>
      </c>
      <c r="H308" s="68">
        <v>11.0</v>
      </c>
      <c r="I308" s="27">
        <v>0.0047</v>
      </c>
      <c r="J308" s="27">
        <v>0.0039</v>
      </c>
      <c r="K308" s="68">
        <v>419.0</v>
      </c>
      <c r="L308" s="68">
        <v>12.0</v>
      </c>
      <c r="M308" s="27">
        <v>0.0038</v>
      </c>
      <c r="N308" s="27">
        <v>0.0027</v>
      </c>
      <c r="O308" s="27">
        <v>0.8433</v>
      </c>
      <c r="P308" s="27">
        <v>0.8571</v>
      </c>
      <c r="Q308" s="68">
        <v>0.0</v>
      </c>
      <c r="R308" s="68">
        <v>0.0</v>
      </c>
      <c r="S308" s="27">
        <v>0.0</v>
      </c>
      <c r="T308" s="27">
        <v>0.0</v>
      </c>
      <c r="U308" s="197">
        <v>0.0</v>
      </c>
      <c r="V308" s="197">
        <v>0.0</v>
      </c>
      <c r="W308" s="68">
        <v>0.0</v>
      </c>
      <c r="X308" s="68">
        <v>0.0</v>
      </c>
    </row>
    <row r="309" ht="15.75" customHeight="1">
      <c r="A309" s="10" t="s">
        <v>54</v>
      </c>
      <c r="B309" s="10" t="str">
        <f t="array" ref="B309">_xlfn.XLOOKUP(D309,'Referanc '!$A:$A,'Referanc '!$B:$B)</f>
        <v>Standing Table  - E1A</v>
      </c>
      <c r="C309" s="68" t="s">
        <v>378</v>
      </c>
      <c r="D309" s="68" t="s">
        <v>378</v>
      </c>
      <c r="E309" s="68" t="s">
        <v>659</v>
      </c>
      <c r="F309" s="10" t="str">
        <f t="array" ref="F309">_xlfn.XLOOKUP(D309,'Referanc '!$A:$A,'Referanc '!$E:$E)</f>
        <v>E1A</v>
      </c>
      <c r="G309" s="68">
        <v>104.0</v>
      </c>
      <c r="H309" s="68">
        <v>5.0</v>
      </c>
      <c r="I309" s="27">
        <v>0.0015</v>
      </c>
      <c r="J309" s="27">
        <v>0.0018</v>
      </c>
      <c r="K309" s="68">
        <v>146.0</v>
      </c>
      <c r="L309" s="68">
        <v>5.0</v>
      </c>
      <c r="M309" s="27">
        <v>0.0013</v>
      </c>
      <c r="N309" s="27">
        <v>0.0011</v>
      </c>
      <c r="O309" s="27">
        <v>0.8906</v>
      </c>
      <c r="P309" s="27">
        <v>0.2</v>
      </c>
      <c r="Q309" s="68">
        <v>0.0</v>
      </c>
      <c r="R309" s="68">
        <v>0.0</v>
      </c>
      <c r="S309" s="27">
        <v>0.0</v>
      </c>
      <c r="T309" s="27">
        <v>0.0</v>
      </c>
      <c r="U309" s="197">
        <v>0.0</v>
      </c>
      <c r="V309" s="197">
        <v>0.0</v>
      </c>
      <c r="W309" s="68">
        <v>0.0</v>
      </c>
      <c r="X309" s="68">
        <v>0.0</v>
      </c>
    </row>
    <row r="310" ht="15.75" customHeight="1">
      <c r="A310" s="10" t="s">
        <v>54</v>
      </c>
      <c r="B310" s="10" t="str">
        <f t="array" ref="B310">_xlfn.XLOOKUP(D310,'Referanc '!$A:$A,'Referanc '!$B:$B)</f>
        <v>Standing Table  - E1A</v>
      </c>
      <c r="C310" s="68" t="s">
        <v>384</v>
      </c>
      <c r="D310" s="68" t="s">
        <v>384</v>
      </c>
      <c r="E310" s="68" t="s">
        <v>620</v>
      </c>
      <c r="F310" s="10" t="str">
        <f t="array" ref="F310">_xlfn.XLOOKUP(D310,'Referanc '!$A:$A,'Referanc '!$E:$E)</f>
        <v>E1A</v>
      </c>
      <c r="G310" s="68">
        <v>198.0</v>
      </c>
      <c r="H310" s="68">
        <v>10.0</v>
      </c>
      <c r="I310" s="27">
        <v>0.0028</v>
      </c>
      <c r="J310" s="27">
        <v>0.0035</v>
      </c>
      <c r="K310" s="68">
        <v>282.0</v>
      </c>
      <c r="L310" s="68">
        <v>21.0</v>
      </c>
      <c r="M310" s="27">
        <v>0.0025</v>
      </c>
      <c r="N310" s="27">
        <v>0.0047</v>
      </c>
      <c r="O310" s="27">
        <v>0.8125</v>
      </c>
      <c r="P310" s="27">
        <v>1.0</v>
      </c>
      <c r="Q310" s="68">
        <v>0.0</v>
      </c>
      <c r="R310" s="68">
        <v>0.0</v>
      </c>
      <c r="S310" s="27">
        <v>0.0</v>
      </c>
      <c r="T310" s="27">
        <v>0.0</v>
      </c>
      <c r="U310" s="197">
        <v>0.0</v>
      </c>
      <c r="V310" s="197">
        <v>0.0</v>
      </c>
      <c r="W310" s="68">
        <v>0.0</v>
      </c>
      <c r="X310" s="68">
        <v>0.0</v>
      </c>
    </row>
    <row r="311" ht="15.75" customHeight="1">
      <c r="A311" s="10" t="s">
        <v>56</v>
      </c>
      <c r="B311" s="10" t="s">
        <v>211</v>
      </c>
      <c r="C311" s="68" t="s">
        <v>314</v>
      </c>
      <c r="D311" s="68" t="s">
        <v>314</v>
      </c>
      <c r="E311" s="68" t="s">
        <v>487</v>
      </c>
      <c r="F311" s="10" t="str">
        <f t="array" ref="F311">_xlfn.XLOOKUP(D311,'Referanc '!$A:$A,'Referanc '!$E:$E)</f>
        <v>Desk Cable Tray</v>
      </c>
      <c r="G311" s="196">
        <v>2202.0</v>
      </c>
      <c r="H311" s="68">
        <v>114.0</v>
      </c>
      <c r="I311" s="27">
        <v>0.0359</v>
      </c>
      <c r="J311" s="27">
        <v>0.0574</v>
      </c>
      <c r="K311" s="196">
        <v>3265.0</v>
      </c>
      <c r="L311" s="68">
        <v>169.0</v>
      </c>
      <c r="M311" s="27">
        <v>0.0407</v>
      </c>
      <c r="N311" s="27">
        <v>0.0626</v>
      </c>
      <c r="O311" s="27">
        <v>0.9941</v>
      </c>
      <c r="P311" s="27">
        <v>0.9588</v>
      </c>
      <c r="Q311" s="68">
        <v>63.0</v>
      </c>
      <c r="R311" s="68">
        <v>1.0</v>
      </c>
      <c r="S311" s="27">
        <v>0.0286</v>
      </c>
      <c r="T311" s="27">
        <v>0.0088</v>
      </c>
      <c r="U311" s="197">
        <v>81039.0</v>
      </c>
      <c r="V311" s="197">
        <v>1699.0</v>
      </c>
      <c r="W311" s="68">
        <v>60.0</v>
      </c>
      <c r="X311" s="68">
        <v>1.0</v>
      </c>
    </row>
    <row r="312" ht="15.75" customHeight="1">
      <c r="A312" s="10" t="s">
        <v>56</v>
      </c>
      <c r="B312" s="10" t="str">
        <f t="array" ref="B312">_xlfn.XLOOKUP(D312,'Referanc '!$A:$A,'Referanc '!$B:$B)</f>
        <v>Standing Table  - SM3</v>
      </c>
      <c r="C312" s="68" t="s">
        <v>291</v>
      </c>
      <c r="D312" s="68" t="s">
        <v>291</v>
      </c>
      <c r="E312" s="68" t="s">
        <v>1160</v>
      </c>
      <c r="F312" s="10" t="str">
        <f t="array" ref="F312">_xlfn.XLOOKUP(D312,'Referanc '!$A:$A,'Referanc '!$E:$E)</f>
        <v>SM3</v>
      </c>
      <c r="G312" s="196">
        <v>5865.0</v>
      </c>
      <c r="H312" s="68">
        <v>132.0</v>
      </c>
      <c r="I312" s="27">
        <v>0.0957</v>
      </c>
      <c r="J312" s="27">
        <v>0.0664</v>
      </c>
      <c r="K312" s="196">
        <v>7763.0</v>
      </c>
      <c r="L312" s="68">
        <v>185.0</v>
      </c>
      <c r="M312" s="27">
        <v>0.0967</v>
      </c>
      <c r="N312" s="27">
        <v>0.0686</v>
      </c>
      <c r="O312" s="27">
        <v>0.829</v>
      </c>
      <c r="P312" s="27">
        <v>0.9091</v>
      </c>
      <c r="Q312" s="68">
        <v>21.0</v>
      </c>
      <c r="R312" s="68">
        <v>3.0</v>
      </c>
      <c r="S312" s="27">
        <v>0.0036</v>
      </c>
      <c r="T312" s="27">
        <v>0.0227</v>
      </c>
      <c r="U312" s="197">
        <v>445200.0</v>
      </c>
      <c r="V312" s="197">
        <v>63600.0</v>
      </c>
      <c r="W312" s="68">
        <v>21.0</v>
      </c>
      <c r="X312" s="68">
        <v>3.0</v>
      </c>
    </row>
    <row r="313" ht="15.75" customHeight="1">
      <c r="A313" s="10" t="s">
        <v>56</v>
      </c>
      <c r="B313" s="10" t="str">
        <f t="array" ref="B313">_xlfn.XLOOKUP(D313,'Referanc '!$A:$A,'Referanc '!$B:$B)</f>
        <v>Standing Table  - SM3</v>
      </c>
      <c r="C313" s="68" t="s">
        <v>304</v>
      </c>
      <c r="D313" s="68" t="s">
        <v>304</v>
      </c>
      <c r="E313" s="68" t="s">
        <v>1161</v>
      </c>
      <c r="F313" s="10" t="str">
        <f t="array" ref="F313">_xlfn.XLOOKUP(D313,'Referanc '!$A:$A,'Referanc '!$E:$E)</f>
        <v>SM3</v>
      </c>
      <c r="G313" s="196">
        <v>7493.0</v>
      </c>
      <c r="H313" s="68">
        <v>227.0</v>
      </c>
      <c r="I313" s="27">
        <v>0.1223</v>
      </c>
      <c r="J313" s="27">
        <v>0.1142</v>
      </c>
      <c r="K313" s="196">
        <v>10009.0</v>
      </c>
      <c r="L313" s="68">
        <v>326.0</v>
      </c>
      <c r="M313" s="27">
        <v>0.1246</v>
      </c>
      <c r="N313" s="27">
        <v>0.1208</v>
      </c>
      <c r="O313" s="27">
        <v>0.8515</v>
      </c>
      <c r="P313" s="27">
        <v>0.8641</v>
      </c>
      <c r="Q313" s="68">
        <v>21.0</v>
      </c>
      <c r="R313" s="68">
        <v>3.0</v>
      </c>
      <c r="S313" s="27">
        <v>0.0028</v>
      </c>
      <c r="T313" s="27">
        <v>0.0132</v>
      </c>
      <c r="U313" s="197">
        <v>445200.0</v>
      </c>
      <c r="V313" s="197">
        <v>63600.0</v>
      </c>
      <c r="W313" s="68">
        <v>21.0</v>
      </c>
      <c r="X313" s="68">
        <v>3.0</v>
      </c>
    </row>
    <row r="314" ht="15.75" customHeight="1">
      <c r="A314" s="10" t="s">
        <v>56</v>
      </c>
      <c r="B314" s="10" t="str">
        <f t="array" ref="B314">_xlfn.XLOOKUP(D314,'Referanc '!$A:$A,'Referanc '!$B:$B)</f>
        <v>Standing Table  - E2</v>
      </c>
      <c r="C314" s="68" t="s">
        <v>311</v>
      </c>
      <c r="D314" s="68" t="s">
        <v>311</v>
      </c>
      <c r="E314" s="68" t="s">
        <v>670</v>
      </c>
      <c r="F314" s="10" t="str">
        <f t="array" ref="F314">_xlfn.XLOOKUP(D314,'Referanc '!$A:$A,'Referanc '!$E:$E)</f>
        <v>E2</v>
      </c>
      <c r="G314" s="196">
        <v>5404.0</v>
      </c>
      <c r="H314" s="68">
        <v>171.0</v>
      </c>
      <c r="I314" s="27">
        <v>0.0882</v>
      </c>
      <c r="J314" s="27">
        <v>0.0861</v>
      </c>
      <c r="K314" s="196">
        <v>7201.0</v>
      </c>
      <c r="L314" s="68">
        <v>230.0</v>
      </c>
      <c r="M314" s="27">
        <v>0.0897</v>
      </c>
      <c r="N314" s="27">
        <v>0.0852</v>
      </c>
      <c r="O314" s="27">
        <v>0.7218</v>
      </c>
      <c r="P314" s="27">
        <v>0.7319</v>
      </c>
      <c r="Q314" s="68">
        <v>19.0</v>
      </c>
      <c r="R314" s="68">
        <v>3.0</v>
      </c>
      <c r="S314" s="27">
        <v>0.0035</v>
      </c>
      <c r="T314" s="27">
        <v>0.0175</v>
      </c>
      <c r="U314" s="197">
        <v>664050.0</v>
      </c>
      <c r="V314" s="197">
        <v>104850.0</v>
      </c>
      <c r="W314" s="68">
        <v>19.0</v>
      </c>
      <c r="X314" s="68">
        <v>3.0</v>
      </c>
    </row>
    <row r="315" ht="15.75" customHeight="1">
      <c r="A315" s="10" t="s">
        <v>56</v>
      </c>
      <c r="B315" s="10" t="str">
        <f t="array" ref="B315">_xlfn.XLOOKUP(D315,'Referanc '!$A:$A,'Referanc '!$B:$B)</f>
        <v>Standing Table  - SM3</v>
      </c>
      <c r="C315" s="68" t="s">
        <v>301</v>
      </c>
      <c r="D315" s="68" t="s">
        <v>301</v>
      </c>
      <c r="E315" s="68" t="s">
        <v>1162</v>
      </c>
      <c r="F315" s="10" t="str">
        <f t="array" ref="F315">_xlfn.XLOOKUP(D315,'Referanc '!$A:$A,'Referanc '!$E:$E)</f>
        <v>SM3</v>
      </c>
      <c r="G315" s="196">
        <v>2335.0</v>
      </c>
      <c r="H315" s="68">
        <v>60.0</v>
      </c>
      <c r="I315" s="27">
        <v>0.0381</v>
      </c>
      <c r="J315" s="27">
        <v>0.0302</v>
      </c>
      <c r="K315" s="196">
        <v>2841.0</v>
      </c>
      <c r="L315" s="68">
        <v>75.0</v>
      </c>
      <c r="M315" s="27">
        <v>0.0354</v>
      </c>
      <c r="N315" s="27">
        <v>0.0278</v>
      </c>
      <c r="O315" s="27">
        <v>0.8117</v>
      </c>
      <c r="P315" s="27">
        <v>0.92</v>
      </c>
      <c r="Q315" s="68">
        <v>13.0</v>
      </c>
      <c r="R315" s="68">
        <v>0.0</v>
      </c>
      <c r="S315" s="27">
        <v>0.0056</v>
      </c>
      <c r="T315" s="27">
        <v>0.0</v>
      </c>
      <c r="U315" s="197">
        <v>335400.0</v>
      </c>
      <c r="V315" s="197">
        <v>0.0</v>
      </c>
      <c r="W315" s="68">
        <v>13.0</v>
      </c>
      <c r="X315" s="68">
        <v>0.0</v>
      </c>
    </row>
    <row r="316" ht="15.75" customHeight="1">
      <c r="A316" s="10" t="s">
        <v>56</v>
      </c>
      <c r="B316" s="10" t="str">
        <f t="array" ref="B316">_xlfn.XLOOKUP(D316,'Referanc '!$A:$A,'Referanc '!$B:$B)</f>
        <v>Standing Table  - E2</v>
      </c>
      <c r="C316" s="68" t="s">
        <v>293</v>
      </c>
      <c r="D316" s="68" t="s">
        <v>293</v>
      </c>
      <c r="E316" s="68" t="s">
        <v>1163</v>
      </c>
      <c r="F316" s="10" t="str">
        <f t="array" ref="F316">_xlfn.XLOOKUP(D316,'Referanc '!$A:$A,'Referanc '!$E:$E)</f>
        <v>E2</v>
      </c>
      <c r="G316" s="196">
        <v>1392.0</v>
      </c>
      <c r="H316" s="68">
        <v>41.0</v>
      </c>
      <c r="I316" s="27">
        <v>0.0227</v>
      </c>
      <c r="J316" s="27">
        <v>0.0206</v>
      </c>
      <c r="K316" s="196">
        <v>1828.0</v>
      </c>
      <c r="L316" s="68">
        <v>56.0</v>
      </c>
      <c r="M316" s="27">
        <v>0.0228</v>
      </c>
      <c r="N316" s="27">
        <v>0.0208</v>
      </c>
      <c r="O316" s="27">
        <v>0.8913</v>
      </c>
      <c r="P316" s="27">
        <v>0.7368</v>
      </c>
      <c r="Q316" s="68">
        <v>13.0</v>
      </c>
      <c r="R316" s="68">
        <v>0.0</v>
      </c>
      <c r="S316" s="27">
        <v>0.0093</v>
      </c>
      <c r="T316" s="27">
        <v>0.0</v>
      </c>
      <c r="U316" s="197">
        <v>395850.0</v>
      </c>
      <c r="V316" s="197">
        <v>0.0</v>
      </c>
      <c r="W316" s="68">
        <v>13.0</v>
      </c>
      <c r="X316" s="68">
        <v>0.0</v>
      </c>
    </row>
    <row r="317" ht="15.75" customHeight="1">
      <c r="A317" s="10" t="s">
        <v>56</v>
      </c>
      <c r="B317" s="10" t="str">
        <f t="array" ref="B317">_xlfn.XLOOKUP(D317,'Referanc '!$A:$A,'Referanc '!$B:$B)</f>
        <v>Standing Table  - SM3</v>
      </c>
      <c r="C317" s="68" t="s">
        <v>296</v>
      </c>
      <c r="D317" s="68" t="s">
        <v>296</v>
      </c>
      <c r="E317" s="68" t="s">
        <v>1165</v>
      </c>
      <c r="F317" s="10" t="str">
        <f t="array" ref="F317">_xlfn.XLOOKUP(D317,'Referanc '!$A:$A,'Referanc '!$E:$E)</f>
        <v>SM3</v>
      </c>
      <c r="G317" s="196">
        <v>3311.0</v>
      </c>
      <c r="H317" s="68">
        <v>86.0</v>
      </c>
      <c r="I317" s="27">
        <v>0.054</v>
      </c>
      <c r="J317" s="27">
        <v>0.0433</v>
      </c>
      <c r="K317" s="196">
        <v>3931.0</v>
      </c>
      <c r="L317" s="68">
        <v>109.0</v>
      </c>
      <c r="M317" s="27">
        <v>0.0489</v>
      </c>
      <c r="N317" s="27">
        <v>0.0404</v>
      </c>
      <c r="O317" s="27">
        <v>0.8909</v>
      </c>
      <c r="P317" s="27">
        <v>0.9219</v>
      </c>
      <c r="Q317" s="68">
        <v>13.0</v>
      </c>
      <c r="R317" s="68">
        <v>2.0</v>
      </c>
      <c r="S317" s="27">
        <v>0.0039</v>
      </c>
      <c r="T317" s="27">
        <v>0.0233</v>
      </c>
      <c r="U317" s="197">
        <v>335400.0</v>
      </c>
      <c r="V317" s="197">
        <v>51600.0</v>
      </c>
      <c r="W317" s="68">
        <v>12.0</v>
      </c>
      <c r="X317" s="68">
        <v>1.0</v>
      </c>
    </row>
    <row r="318" ht="15.75" customHeight="1">
      <c r="A318" s="10" t="s">
        <v>56</v>
      </c>
      <c r="B318" s="10" t="str">
        <f t="array" ref="B318">_xlfn.XLOOKUP(D318,'Referanc '!$A:$A,'Referanc '!$B:$B)</f>
        <v>Standing Table - All Frames</v>
      </c>
      <c r="C318" s="68" t="s">
        <v>298</v>
      </c>
      <c r="D318" s="68" t="s">
        <v>298</v>
      </c>
      <c r="E318" s="68" t="s">
        <v>1168</v>
      </c>
      <c r="F318" s="10" t="str">
        <f t="array" ref="F318">_xlfn.XLOOKUP(D318,'Referanc '!$A:$A,'Referanc '!$E:$E)</f>
        <v>SM3</v>
      </c>
      <c r="G318" s="196">
        <v>2150.0</v>
      </c>
      <c r="H318" s="68">
        <v>87.0</v>
      </c>
      <c r="I318" s="27">
        <v>0.0351</v>
      </c>
      <c r="J318" s="27">
        <v>0.0438</v>
      </c>
      <c r="K318" s="196">
        <v>2767.0</v>
      </c>
      <c r="L318" s="68">
        <v>107.0</v>
      </c>
      <c r="M318" s="27">
        <v>0.0345</v>
      </c>
      <c r="N318" s="27">
        <v>0.0397</v>
      </c>
      <c r="O318" s="27">
        <v>0.8543</v>
      </c>
      <c r="P318" s="27">
        <v>0.8406</v>
      </c>
      <c r="Q318" s="68">
        <v>10.0</v>
      </c>
      <c r="R318" s="68">
        <v>1.0</v>
      </c>
      <c r="S318" s="27">
        <v>0.0047</v>
      </c>
      <c r="T318" s="27">
        <v>0.0115</v>
      </c>
      <c r="U318" s="197">
        <v>182000.0</v>
      </c>
      <c r="V318" s="197">
        <v>18200.0</v>
      </c>
      <c r="W318" s="68">
        <v>10.0</v>
      </c>
      <c r="X318" s="68">
        <v>1.0</v>
      </c>
    </row>
    <row r="319" ht="15.75" customHeight="1">
      <c r="A319" s="10" t="s">
        <v>56</v>
      </c>
      <c r="B319" s="10" t="str">
        <f t="array" ref="B319">_xlfn.XLOOKUP(D319,'Referanc '!$A:$A,'Referanc '!$B:$B)</f>
        <v>Standing Table - All Frames</v>
      </c>
      <c r="C319" s="68" t="s">
        <v>306</v>
      </c>
      <c r="D319" s="68" t="s">
        <v>306</v>
      </c>
      <c r="E319" s="68" t="s">
        <v>1170</v>
      </c>
      <c r="F319" s="10" t="str">
        <f t="array" ref="F319">_xlfn.XLOOKUP(D319,'Referanc '!$A:$A,'Referanc '!$E:$E)</f>
        <v>E2</v>
      </c>
      <c r="G319" s="196">
        <v>1804.0</v>
      </c>
      <c r="H319" s="68">
        <v>68.0</v>
      </c>
      <c r="I319" s="27">
        <v>0.0294</v>
      </c>
      <c r="J319" s="27">
        <v>0.0342</v>
      </c>
      <c r="K319" s="196">
        <v>2346.0</v>
      </c>
      <c r="L319" s="68">
        <v>83.0</v>
      </c>
      <c r="M319" s="27">
        <v>0.0292</v>
      </c>
      <c r="N319" s="27">
        <v>0.0308</v>
      </c>
      <c r="O319" s="27">
        <v>0.8241</v>
      </c>
      <c r="P319" s="27">
        <v>0.7805</v>
      </c>
      <c r="Q319" s="68">
        <v>9.0</v>
      </c>
      <c r="R319" s="68">
        <v>2.0</v>
      </c>
      <c r="S319" s="27">
        <v>0.005</v>
      </c>
      <c r="T319" s="27">
        <v>0.0294</v>
      </c>
      <c r="U319" s="197">
        <v>255600.0</v>
      </c>
      <c r="V319" s="197">
        <v>56800.0</v>
      </c>
      <c r="W319" s="68">
        <v>9.0</v>
      </c>
      <c r="X319" s="68">
        <v>2.0</v>
      </c>
    </row>
    <row r="320" ht="15.75" customHeight="1">
      <c r="A320" s="10" t="s">
        <v>56</v>
      </c>
      <c r="B320" s="10" t="str">
        <f t="array" ref="B320">_xlfn.XLOOKUP(D320,'Referanc '!$A:$A,'Referanc '!$B:$B)</f>
        <v>Standing Table  - M3</v>
      </c>
      <c r="C320" s="68" t="s">
        <v>330</v>
      </c>
      <c r="D320" s="68" t="s">
        <v>330</v>
      </c>
      <c r="E320" s="68" t="s">
        <v>1029</v>
      </c>
      <c r="F320" s="10" t="str">
        <f t="array" ref="F320">_xlfn.XLOOKUP(D320,'Referanc '!$A:$A,'Referanc '!$E:$E)</f>
        <v>M3</v>
      </c>
      <c r="G320" s="196">
        <v>1727.0</v>
      </c>
      <c r="H320" s="68">
        <v>43.0</v>
      </c>
      <c r="I320" s="27">
        <v>0.0282</v>
      </c>
      <c r="J320" s="27">
        <v>0.0216</v>
      </c>
      <c r="K320" s="196">
        <v>2487.0</v>
      </c>
      <c r="L320" s="68">
        <v>62.0</v>
      </c>
      <c r="M320" s="27">
        <v>0.031</v>
      </c>
      <c r="N320" s="27">
        <v>0.023</v>
      </c>
      <c r="O320" s="27">
        <v>0.8951</v>
      </c>
      <c r="P320" s="27">
        <v>0.8235</v>
      </c>
      <c r="Q320" s="68">
        <v>9.0</v>
      </c>
      <c r="R320" s="68">
        <v>0.0</v>
      </c>
      <c r="S320" s="27">
        <v>0.0052</v>
      </c>
      <c r="T320" s="27">
        <v>0.0</v>
      </c>
      <c r="U320" s="197">
        <v>138150.0</v>
      </c>
      <c r="V320" s="197">
        <v>0.0</v>
      </c>
      <c r="W320" s="68">
        <v>9.0</v>
      </c>
      <c r="X320" s="68">
        <v>0.0</v>
      </c>
    </row>
    <row r="321" ht="15.75" customHeight="1">
      <c r="A321" s="10" t="s">
        <v>56</v>
      </c>
      <c r="B321" s="10" t="str">
        <f t="array" ref="B321">_xlfn.XLOOKUP(D321,'Referanc '!$A:$A,'Referanc '!$B:$B)</f>
        <v>Standing Table  - E2</v>
      </c>
      <c r="C321" s="68" t="s">
        <v>313</v>
      </c>
      <c r="D321" s="68" t="s">
        <v>313</v>
      </c>
      <c r="E321" s="68" t="s">
        <v>672</v>
      </c>
      <c r="F321" s="10" t="str">
        <f t="array" ref="F321">_xlfn.XLOOKUP(D321,'Referanc '!$A:$A,'Referanc '!$E:$E)</f>
        <v>E2</v>
      </c>
      <c r="G321" s="196">
        <v>1025.0</v>
      </c>
      <c r="H321" s="68">
        <v>29.0</v>
      </c>
      <c r="I321" s="27">
        <v>0.0167</v>
      </c>
      <c r="J321" s="27">
        <v>0.0146</v>
      </c>
      <c r="K321" s="196">
        <v>1346.0</v>
      </c>
      <c r="L321" s="68">
        <v>45.0</v>
      </c>
      <c r="M321" s="27">
        <v>0.0168</v>
      </c>
      <c r="N321" s="27">
        <v>0.0167</v>
      </c>
      <c r="O321" s="27">
        <v>0.8267</v>
      </c>
      <c r="P321" s="27">
        <v>0.9545</v>
      </c>
      <c r="Q321" s="68">
        <v>8.0</v>
      </c>
      <c r="R321" s="68">
        <v>0.0</v>
      </c>
      <c r="S321" s="27">
        <v>0.0078</v>
      </c>
      <c r="T321" s="27">
        <v>0.0</v>
      </c>
      <c r="U321" s="197">
        <v>243600.0</v>
      </c>
      <c r="V321" s="197">
        <v>0.0</v>
      </c>
      <c r="W321" s="68">
        <v>8.0</v>
      </c>
      <c r="X321" s="68">
        <v>0.0</v>
      </c>
    </row>
    <row r="322" ht="15.75" customHeight="1">
      <c r="A322" s="10" t="s">
        <v>56</v>
      </c>
      <c r="B322" s="10" t="str">
        <f t="array" ref="B322">_xlfn.XLOOKUP(D322,'Referanc '!$A:$A,'Referanc '!$B:$B)</f>
        <v>Standing Table  - M8</v>
      </c>
      <c r="C322" s="68" t="s">
        <v>410</v>
      </c>
      <c r="D322" s="68" t="s">
        <v>410</v>
      </c>
      <c r="E322" s="68" t="s">
        <v>1172</v>
      </c>
      <c r="F322" s="10" t="str">
        <f t="array" ref="F322">_xlfn.XLOOKUP(D322,'Referanc '!$A:$A,'Referanc '!$E:$E)</f>
        <v>M8</v>
      </c>
      <c r="G322" s="68">
        <v>932.0</v>
      </c>
      <c r="H322" s="68">
        <v>37.0</v>
      </c>
      <c r="I322" s="27">
        <v>0.0152</v>
      </c>
      <c r="J322" s="27">
        <v>0.0186</v>
      </c>
      <c r="K322" s="196">
        <v>1272.0</v>
      </c>
      <c r="L322" s="68">
        <v>47.0</v>
      </c>
      <c r="M322" s="27">
        <v>0.0158</v>
      </c>
      <c r="N322" s="27">
        <v>0.0174</v>
      </c>
      <c r="O322" s="27">
        <v>0.9293</v>
      </c>
      <c r="P322" s="27">
        <v>0.6667</v>
      </c>
      <c r="Q322" s="68">
        <v>7.0</v>
      </c>
      <c r="R322" s="68">
        <v>2.0</v>
      </c>
      <c r="S322" s="27">
        <v>0.0075</v>
      </c>
      <c r="T322" s="27">
        <v>0.0541</v>
      </c>
      <c r="U322" s="197">
        <v>142547.24</v>
      </c>
      <c r="V322" s="197">
        <v>41252.24</v>
      </c>
      <c r="W322" s="68">
        <v>7.0</v>
      </c>
      <c r="X322" s="68">
        <v>2.0</v>
      </c>
    </row>
    <row r="323" ht="15.75" customHeight="1">
      <c r="A323" s="10" t="s">
        <v>56</v>
      </c>
      <c r="B323" s="10" t="str">
        <f t="array" ref="B323">_xlfn.XLOOKUP(D323,'Referanc '!$A:$A,'Referanc '!$B:$B)</f>
        <v>Standing Table  - M8</v>
      </c>
      <c r="C323" s="68" t="s">
        <v>406</v>
      </c>
      <c r="D323" s="68" t="s">
        <v>406</v>
      </c>
      <c r="E323" s="68" t="s">
        <v>1173</v>
      </c>
      <c r="F323" s="10" t="str">
        <f t="array" ref="F323">_xlfn.XLOOKUP(D323,'Referanc '!$A:$A,'Referanc '!$E:$E)</f>
        <v>M8</v>
      </c>
      <c r="G323" s="196">
        <v>1028.0</v>
      </c>
      <c r="H323" s="68">
        <v>25.0</v>
      </c>
      <c r="I323" s="27">
        <v>0.0168</v>
      </c>
      <c r="J323" s="27">
        <v>0.0126</v>
      </c>
      <c r="K323" s="196">
        <v>1387.0</v>
      </c>
      <c r="L323" s="68">
        <v>34.0</v>
      </c>
      <c r="M323" s="27">
        <v>0.0173</v>
      </c>
      <c r="N323" s="27">
        <v>0.0126</v>
      </c>
      <c r="O323" s="27">
        <v>0.9306</v>
      </c>
      <c r="P323" s="27">
        <v>0.5</v>
      </c>
      <c r="Q323" s="68">
        <v>7.0</v>
      </c>
      <c r="R323" s="68">
        <v>0.0</v>
      </c>
      <c r="S323" s="27">
        <v>0.0068</v>
      </c>
      <c r="T323" s="27">
        <v>0.0</v>
      </c>
      <c r="U323" s="197">
        <v>120004.48</v>
      </c>
      <c r="V323" s="197">
        <v>0.0</v>
      </c>
      <c r="W323" s="68">
        <v>7.0</v>
      </c>
      <c r="X323" s="68">
        <v>0.0</v>
      </c>
    </row>
    <row r="324" ht="15.75" customHeight="1">
      <c r="A324" s="10" t="s">
        <v>56</v>
      </c>
      <c r="B324" s="10" t="str">
        <f t="array" ref="B324">_xlfn.XLOOKUP(D324,'Referanc '!$A:$A,'Referanc '!$B:$B)</f>
        <v>Standing Table  - E3</v>
      </c>
      <c r="C324" s="68" t="s">
        <v>365</v>
      </c>
      <c r="D324" s="68" t="s">
        <v>365</v>
      </c>
      <c r="E324" s="68" t="s">
        <v>1174</v>
      </c>
      <c r="F324" s="10" t="str">
        <f t="array" ref="F324">_xlfn.XLOOKUP(D324,'Referanc '!$A:$A,'Referanc '!$E:$E)</f>
        <v>E3</v>
      </c>
      <c r="G324" s="196">
        <v>1155.0</v>
      </c>
      <c r="H324" s="68">
        <v>39.0</v>
      </c>
      <c r="I324" s="27">
        <v>0.0189</v>
      </c>
      <c r="J324" s="27">
        <v>0.0196</v>
      </c>
      <c r="K324" s="196">
        <v>1546.0</v>
      </c>
      <c r="L324" s="68">
        <v>55.0</v>
      </c>
      <c r="M324" s="27">
        <v>0.0192</v>
      </c>
      <c r="N324" s="27">
        <v>0.0204</v>
      </c>
      <c r="O324" s="27">
        <v>0.9123</v>
      </c>
      <c r="P324" s="27">
        <v>0.6757</v>
      </c>
      <c r="Q324" s="68">
        <v>7.0</v>
      </c>
      <c r="R324" s="68">
        <v>0.0</v>
      </c>
      <c r="S324" s="27">
        <v>0.0061</v>
      </c>
      <c r="T324" s="27">
        <v>0.0</v>
      </c>
      <c r="U324" s="197">
        <v>286300.0</v>
      </c>
      <c r="V324" s="197">
        <v>0.0</v>
      </c>
      <c r="W324" s="68">
        <v>7.0</v>
      </c>
      <c r="X324" s="68">
        <v>0.0</v>
      </c>
    </row>
    <row r="325" ht="15.75" customHeight="1">
      <c r="A325" s="10" t="s">
        <v>56</v>
      </c>
      <c r="B325" s="10" t="str">
        <f t="array" ref="B325">_xlfn.XLOOKUP(D325,'Referanc '!$A:$A,'Referanc '!$B:$B)</f>
        <v>Standing Table  - M3</v>
      </c>
      <c r="C325" s="68" t="s">
        <v>403</v>
      </c>
      <c r="D325" s="68" t="s">
        <v>403</v>
      </c>
      <c r="E325" s="68" t="s">
        <v>1175</v>
      </c>
      <c r="F325" s="10" t="str">
        <f t="array" ref="F325">_xlfn.XLOOKUP(D325,'Referanc '!$A:$A,'Referanc '!$E:$E)</f>
        <v>M3</v>
      </c>
      <c r="G325" s="68">
        <v>856.0</v>
      </c>
      <c r="H325" s="68">
        <v>20.0</v>
      </c>
      <c r="I325" s="27">
        <v>0.014</v>
      </c>
      <c r="J325" s="27">
        <v>0.0101</v>
      </c>
      <c r="K325" s="196">
        <v>1354.0</v>
      </c>
      <c r="L325" s="68">
        <v>34.0</v>
      </c>
      <c r="M325" s="27">
        <v>0.0169</v>
      </c>
      <c r="N325" s="27">
        <v>0.0126</v>
      </c>
      <c r="O325" s="27">
        <v>0.9679</v>
      </c>
      <c r="P325" s="27">
        <v>0.8889</v>
      </c>
      <c r="Q325" s="68">
        <v>6.0</v>
      </c>
      <c r="R325" s="68">
        <v>1.0</v>
      </c>
      <c r="S325" s="27">
        <v>0.007</v>
      </c>
      <c r="T325" s="27">
        <v>0.05</v>
      </c>
      <c r="U325" s="197">
        <v>95765.19</v>
      </c>
      <c r="V325" s="197">
        <v>15922.73</v>
      </c>
      <c r="W325" s="68">
        <v>6.0</v>
      </c>
      <c r="X325" s="68">
        <v>1.0</v>
      </c>
    </row>
    <row r="326" ht="15.75" customHeight="1">
      <c r="A326" s="10" t="s">
        <v>56</v>
      </c>
      <c r="B326" s="10" t="str">
        <f t="array" ref="B326">_xlfn.XLOOKUP(D326,'Referanc '!$A:$A,'Referanc '!$B:$B)</f>
        <v>Standing Table  - E4</v>
      </c>
      <c r="C326" s="68" t="s">
        <v>398</v>
      </c>
      <c r="D326" s="68" t="s">
        <v>398</v>
      </c>
      <c r="E326" s="68" t="s">
        <v>1176</v>
      </c>
      <c r="F326" s="10" t="str">
        <f t="array" ref="F326">_xlfn.XLOOKUP(D326,'Referanc '!$A:$A,'Referanc '!$E:$E)</f>
        <v>E4</v>
      </c>
      <c r="G326" s="68">
        <v>348.0</v>
      </c>
      <c r="H326" s="68">
        <v>15.0</v>
      </c>
      <c r="I326" s="27">
        <v>0.0057</v>
      </c>
      <c r="J326" s="27">
        <v>0.0075</v>
      </c>
      <c r="K326" s="68">
        <v>486.0</v>
      </c>
      <c r="L326" s="68">
        <v>42.0</v>
      </c>
      <c r="M326" s="27">
        <v>0.0061</v>
      </c>
      <c r="N326" s="27">
        <v>0.0156</v>
      </c>
      <c r="O326" s="27">
        <v>0.8292</v>
      </c>
      <c r="P326" s="27">
        <v>0.9032</v>
      </c>
      <c r="Q326" s="68">
        <v>6.0</v>
      </c>
      <c r="R326" s="68">
        <v>1.0</v>
      </c>
      <c r="S326" s="27">
        <v>0.0172</v>
      </c>
      <c r="T326" s="27">
        <v>0.0667</v>
      </c>
      <c r="U326" s="197">
        <v>166500.0</v>
      </c>
      <c r="V326" s="197">
        <v>27750.0</v>
      </c>
      <c r="W326" s="68">
        <v>6.0</v>
      </c>
      <c r="X326" s="68">
        <v>1.0</v>
      </c>
    </row>
    <row r="327" ht="15.75" customHeight="1">
      <c r="A327" s="10" t="s">
        <v>56</v>
      </c>
      <c r="B327" s="10" t="str">
        <f t="array" ref="B327">_xlfn.XLOOKUP(D327,'Referanc '!$A:$A,'Referanc '!$B:$B)</f>
        <v>Keyboard Tray</v>
      </c>
      <c r="C327" s="68" t="s">
        <v>346</v>
      </c>
      <c r="D327" s="68" t="s">
        <v>346</v>
      </c>
      <c r="E327" s="68" t="s">
        <v>665</v>
      </c>
      <c r="F327" s="10" t="str">
        <f t="array" ref="F327">_xlfn.XLOOKUP(D327,'Referanc '!$A:$A,'Referanc '!$E:$E)</f>
        <v>Keyboard Tray</v>
      </c>
      <c r="G327" s="68">
        <v>43.0</v>
      </c>
      <c r="H327" s="68">
        <v>2.0</v>
      </c>
      <c r="I327" s="27">
        <v>7.0E-4</v>
      </c>
      <c r="J327" s="27">
        <v>0.001</v>
      </c>
      <c r="K327" s="68">
        <v>84.0</v>
      </c>
      <c r="L327" s="68">
        <v>4.0</v>
      </c>
      <c r="M327" s="27">
        <v>0.001</v>
      </c>
      <c r="N327" s="27">
        <v>0.0015</v>
      </c>
      <c r="O327" s="27">
        <v>0.9861</v>
      </c>
      <c r="P327" s="27">
        <v>1.0</v>
      </c>
      <c r="Q327" s="68">
        <v>5.0</v>
      </c>
      <c r="R327" s="68">
        <v>0.0</v>
      </c>
      <c r="S327" s="27">
        <v>0.1163</v>
      </c>
      <c r="T327" s="27">
        <v>0.0</v>
      </c>
      <c r="U327" s="197">
        <v>16450.0</v>
      </c>
      <c r="V327" s="197">
        <v>0.0</v>
      </c>
      <c r="W327" s="68">
        <v>5.0</v>
      </c>
      <c r="X327" s="68">
        <v>0.0</v>
      </c>
    </row>
    <row r="328" ht="15.75" customHeight="1">
      <c r="A328" s="10" t="s">
        <v>56</v>
      </c>
      <c r="B328" s="10" t="str">
        <f t="array" ref="B328">_xlfn.XLOOKUP(D328,'Referanc '!$A:$A,'Referanc '!$B:$B)</f>
        <v>Standing Table  - M8</v>
      </c>
      <c r="C328" s="68" t="s">
        <v>412</v>
      </c>
      <c r="D328" s="68" t="s">
        <v>412</v>
      </c>
      <c r="E328" s="68" t="s">
        <v>1177</v>
      </c>
      <c r="F328" s="10" t="str">
        <f t="array" ref="F328">_xlfn.XLOOKUP(D328,'Referanc '!$A:$A,'Referanc '!$E:$E)</f>
        <v>M8</v>
      </c>
      <c r="G328" s="68">
        <v>875.0</v>
      </c>
      <c r="H328" s="68">
        <v>16.0</v>
      </c>
      <c r="I328" s="27">
        <v>0.0143</v>
      </c>
      <c r="J328" s="27">
        <v>0.0081</v>
      </c>
      <c r="K328" s="196">
        <v>1059.0</v>
      </c>
      <c r="L328" s="68">
        <v>16.0</v>
      </c>
      <c r="M328" s="27">
        <v>0.0132</v>
      </c>
      <c r="N328" s="27">
        <v>0.0059</v>
      </c>
      <c r="O328" s="27">
        <v>0.8359</v>
      </c>
      <c r="P328" s="27">
        <v>0.5</v>
      </c>
      <c r="Q328" s="68">
        <v>4.0</v>
      </c>
      <c r="R328" s="68">
        <v>0.0</v>
      </c>
      <c r="S328" s="27">
        <v>0.0046</v>
      </c>
      <c r="T328" s="27">
        <v>0.0</v>
      </c>
      <c r="U328" s="197">
        <v>79996.0</v>
      </c>
      <c r="V328" s="197">
        <v>0.0</v>
      </c>
      <c r="W328" s="68">
        <v>4.0</v>
      </c>
      <c r="X328" s="68">
        <v>0.0</v>
      </c>
    </row>
    <row r="329" ht="15.75" customHeight="1">
      <c r="A329" s="10" t="s">
        <v>56</v>
      </c>
      <c r="B329" s="10" t="str">
        <f t="array" ref="B329">_xlfn.XLOOKUP(D329,'Referanc '!$A:$A,'Referanc '!$B:$B)</f>
        <v>Standing Table  - E4</v>
      </c>
      <c r="C329" s="68" t="s">
        <v>396</v>
      </c>
      <c r="D329" s="68" t="s">
        <v>396</v>
      </c>
      <c r="E329" s="68" t="s">
        <v>1178</v>
      </c>
      <c r="F329" s="10" t="str">
        <f t="array" ref="F329">_xlfn.XLOOKUP(D329,'Referanc '!$A:$A,'Referanc '!$E:$E)</f>
        <v>E4</v>
      </c>
      <c r="G329" s="68">
        <v>296.0</v>
      </c>
      <c r="H329" s="68">
        <v>14.0</v>
      </c>
      <c r="I329" s="27">
        <v>0.0048</v>
      </c>
      <c r="J329" s="27">
        <v>0.007</v>
      </c>
      <c r="K329" s="68">
        <v>392.0</v>
      </c>
      <c r="L329" s="68">
        <v>20.0</v>
      </c>
      <c r="M329" s="27">
        <v>0.0049</v>
      </c>
      <c r="N329" s="27">
        <v>0.0074</v>
      </c>
      <c r="O329" s="27">
        <v>0.861</v>
      </c>
      <c r="P329" s="27">
        <v>0.625</v>
      </c>
      <c r="Q329" s="68">
        <v>4.0</v>
      </c>
      <c r="R329" s="68">
        <v>0.0</v>
      </c>
      <c r="S329" s="27">
        <v>0.0135</v>
      </c>
      <c r="T329" s="27">
        <v>0.0</v>
      </c>
      <c r="U329" s="197">
        <v>111000.0</v>
      </c>
      <c r="V329" s="197">
        <v>0.0</v>
      </c>
      <c r="W329" s="68">
        <v>4.0</v>
      </c>
      <c r="X329" s="68">
        <v>0.0</v>
      </c>
    </row>
    <row r="330" ht="15.75" customHeight="1">
      <c r="A330" s="10" t="s">
        <v>56</v>
      </c>
      <c r="B330" s="10" t="str">
        <f t="array" ref="B330">_xlfn.XLOOKUP(D330,'Referanc '!$A:$A,'Referanc '!$B:$B)</f>
        <v>Standing Table - All Frames</v>
      </c>
      <c r="C330" s="68" t="s">
        <v>402</v>
      </c>
      <c r="D330" s="68" t="s">
        <v>402</v>
      </c>
      <c r="E330" s="68" t="s">
        <v>676</v>
      </c>
      <c r="F330" s="10" t="str">
        <f t="array" ref="F330">_xlfn.XLOOKUP(D330,'Referanc '!$A:$A,'Referanc '!$E:$E)</f>
        <v>E4</v>
      </c>
      <c r="G330" s="68">
        <v>296.0</v>
      </c>
      <c r="H330" s="68">
        <v>14.0</v>
      </c>
      <c r="I330" s="27">
        <v>0.0048</v>
      </c>
      <c r="J330" s="27">
        <v>0.007</v>
      </c>
      <c r="K330" s="68">
        <v>406.0</v>
      </c>
      <c r="L330" s="68">
        <v>16.0</v>
      </c>
      <c r="M330" s="27">
        <v>0.0051</v>
      </c>
      <c r="N330" s="27">
        <v>0.0059</v>
      </c>
      <c r="O330" s="27">
        <v>0.8657</v>
      </c>
      <c r="P330" s="27">
        <v>0.8182</v>
      </c>
      <c r="Q330" s="68">
        <v>4.0</v>
      </c>
      <c r="R330" s="68">
        <v>1.0</v>
      </c>
      <c r="S330" s="27">
        <v>0.0135</v>
      </c>
      <c r="T330" s="27">
        <v>0.0714</v>
      </c>
      <c r="U330" s="197">
        <v>89000.0</v>
      </c>
      <c r="V330" s="197">
        <v>22250.0</v>
      </c>
      <c r="W330" s="68">
        <v>4.0</v>
      </c>
      <c r="X330" s="68">
        <v>1.0</v>
      </c>
    </row>
    <row r="331" ht="15.75" customHeight="1">
      <c r="A331" s="10" t="s">
        <v>56</v>
      </c>
      <c r="B331" s="10" t="str">
        <f t="array" ref="B331">_xlfn.XLOOKUP(D331,'Referanc '!$A:$A,'Referanc '!$B:$B)</f>
        <v>Standing Table  - E1A</v>
      </c>
      <c r="C331" s="68" t="s">
        <v>385</v>
      </c>
      <c r="D331" s="68" t="s">
        <v>385</v>
      </c>
      <c r="E331" s="68" t="s">
        <v>1179</v>
      </c>
      <c r="F331" s="10" t="str">
        <f t="array" ref="F331">_xlfn.XLOOKUP(D331,'Referanc '!$A:$A,'Referanc '!$E:$E)</f>
        <v>E1A</v>
      </c>
      <c r="G331" s="68">
        <v>393.0</v>
      </c>
      <c r="H331" s="68">
        <v>15.0</v>
      </c>
      <c r="I331" s="27">
        <v>0.0064</v>
      </c>
      <c r="J331" s="27">
        <v>0.0075</v>
      </c>
      <c r="K331" s="68">
        <v>503.0</v>
      </c>
      <c r="L331" s="68">
        <v>17.0</v>
      </c>
      <c r="M331" s="27">
        <v>0.0063</v>
      </c>
      <c r="N331" s="27">
        <v>0.0063</v>
      </c>
      <c r="O331" s="27">
        <v>0.9076</v>
      </c>
      <c r="P331" s="27">
        <v>0.9167</v>
      </c>
      <c r="Q331" s="68">
        <v>4.0</v>
      </c>
      <c r="R331" s="68">
        <v>1.0</v>
      </c>
      <c r="S331" s="27">
        <v>0.0102</v>
      </c>
      <c r="T331" s="27">
        <v>0.0667</v>
      </c>
      <c r="U331" s="197">
        <v>139800.0</v>
      </c>
      <c r="V331" s="197">
        <v>34950.0</v>
      </c>
      <c r="W331" s="68">
        <v>4.0</v>
      </c>
      <c r="X331" s="68">
        <v>1.0</v>
      </c>
    </row>
    <row r="332" ht="15.75" customHeight="1">
      <c r="A332" s="10" t="s">
        <v>56</v>
      </c>
      <c r="B332" s="10" t="str">
        <f t="array" ref="B332">_xlfn.XLOOKUP(D332,'Referanc '!$A:$A,'Referanc '!$B:$B)</f>
        <v>Standing Table  - M8</v>
      </c>
      <c r="C332" s="68" t="s">
        <v>417</v>
      </c>
      <c r="D332" s="68" t="s">
        <v>417</v>
      </c>
      <c r="E332" s="68" t="s">
        <v>1180</v>
      </c>
      <c r="F332" s="10" t="str">
        <f t="array" ref="F332">_xlfn.XLOOKUP(D332,'Referanc '!$A:$A,'Referanc '!$E:$E)</f>
        <v>M8</v>
      </c>
      <c r="G332" s="68">
        <v>464.0</v>
      </c>
      <c r="H332" s="68">
        <v>13.0</v>
      </c>
      <c r="I332" s="27">
        <v>0.0076</v>
      </c>
      <c r="J332" s="27">
        <v>0.0065</v>
      </c>
      <c r="K332" s="68">
        <v>605.0</v>
      </c>
      <c r="L332" s="68">
        <v>16.0</v>
      </c>
      <c r="M332" s="27">
        <v>0.0075</v>
      </c>
      <c r="N332" s="27">
        <v>0.0059</v>
      </c>
      <c r="O332" s="27">
        <v>0.8901</v>
      </c>
      <c r="P332" s="27">
        <v>0.5385</v>
      </c>
      <c r="Q332" s="68">
        <v>3.0</v>
      </c>
      <c r="R332" s="68">
        <v>0.0</v>
      </c>
      <c r="S332" s="27">
        <v>0.0065</v>
      </c>
      <c r="T332" s="27">
        <v>0.0</v>
      </c>
      <c r="U332" s="197">
        <v>50698.0</v>
      </c>
      <c r="V332" s="197">
        <v>0.0</v>
      </c>
      <c r="W332" s="68">
        <v>3.0</v>
      </c>
      <c r="X332" s="68">
        <v>0.0</v>
      </c>
    </row>
    <row r="333" ht="15.75" customHeight="1">
      <c r="A333" s="10" t="s">
        <v>56</v>
      </c>
      <c r="B333" s="10" t="str">
        <f t="array" ref="B333">_xlfn.XLOOKUP(D333,'Referanc '!$A:$A,'Referanc '!$B:$B)</f>
        <v>Monitor Arm Stand</v>
      </c>
      <c r="C333" s="68" t="s">
        <v>342</v>
      </c>
      <c r="D333" s="68" t="s">
        <v>342</v>
      </c>
      <c r="E333" s="68" t="s">
        <v>1150</v>
      </c>
      <c r="F333" s="10" t="str">
        <f t="array" ref="F333">_xlfn.XLOOKUP(D333,'Referanc '!$A:$A,'Referanc '!$E:$E)</f>
        <v>Monitor Arm Stand</v>
      </c>
      <c r="G333" s="196">
        <v>3292.0</v>
      </c>
      <c r="H333" s="68">
        <v>76.0</v>
      </c>
      <c r="I333" s="27">
        <v>0.0537</v>
      </c>
      <c r="J333" s="27">
        <v>0.0382</v>
      </c>
      <c r="K333" s="196">
        <v>4085.0</v>
      </c>
      <c r="L333" s="68">
        <v>89.0</v>
      </c>
      <c r="M333" s="27">
        <v>0.0509</v>
      </c>
      <c r="N333" s="27">
        <v>0.033</v>
      </c>
      <c r="O333" s="27">
        <v>0.9984</v>
      </c>
      <c r="P333" s="27">
        <v>1.0</v>
      </c>
      <c r="Q333" s="68">
        <v>3.0</v>
      </c>
      <c r="R333" s="68">
        <v>0.0</v>
      </c>
      <c r="S333" s="27">
        <v>9.0E-4</v>
      </c>
      <c r="T333" s="27">
        <v>0.0</v>
      </c>
      <c r="U333" s="197">
        <v>23700.0</v>
      </c>
      <c r="V333" s="197">
        <v>0.0</v>
      </c>
      <c r="W333" s="68">
        <v>3.0</v>
      </c>
      <c r="X333" s="68">
        <v>0.0</v>
      </c>
    </row>
    <row r="334" ht="15.75" customHeight="1">
      <c r="A334" s="10" t="s">
        <v>56</v>
      </c>
      <c r="B334" s="10" t="str">
        <f t="array" ref="B334">_xlfn.XLOOKUP(D334,'Referanc '!$A:$A,'Referanc '!$B:$B)</f>
        <v>Standing Table  - E3</v>
      </c>
      <c r="C334" s="68" t="s">
        <v>364</v>
      </c>
      <c r="D334" s="68" t="s">
        <v>364</v>
      </c>
      <c r="E334" s="68" t="s">
        <v>1181</v>
      </c>
      <c r="F334" s="10" t="str">
        <f t="array" ref="F334">_xlfn.XLOOKUP(D334,'Referanc '!$A:$A,'Referanc '!$E:$E)</f>
        <v>E3</v>
      </c>
      <c r="G334" s="68">
        <v>633.0</v>
      </c>
      <c r="H334" s="68">
        <v>30.0</v>
      </c>
      <c r="I334" s="27">
        <v>0.0103</v>
      </c>
      <c r="J334" s="27">
        <v>0.0151</v>
      </c>
      <c r="K334" s="68">
        <v>899.0</v>
      </c>
      <c r="L334" s="68">
        <v>46.0</v>
      </c>
      <c r="M334" s="27">
        <v>0.0112</v>
      </c>
      <c r="N334" s="27">
        <v>0.017</v>
      </c>
      <c r="O334" s="27">
        <v>0.935</v>
      </c>
      <c r="P334" s="27">
        <v>0.9655</v>
      </c>
      <c r="Q334" s="68">
        <v>3.0</v>
      </c>
      <c r="R334" s="68">
        <v>0.0</v>
      </c>
      <c r="S334" s="27">
        <v>0.0047</v>
      </c>
      <c r="T334" s="27">
        <v>0.0</v>
      </c>
      <c r="U334" s="197">
        <v>122700.0</v>
      </c>
      <c r="V334" s="197">
        <v>0.0</v>
      </c>
      <c r="W334" s="68">
        <v>3.0</v>
      </c>
      <c r="X334" s="68">
        <v>0.0</v>
      </c>
    </row>
    <row r="335" ht="15.75" customHeight="1">
      <c r="A335" s="10" t="s">
        <v>56</v>
      </c>
      <c r="B335" s="10" t="str">
        <f t="array" ref="B335">_xlfn.XLOOKUP(D335,'Referanc '!$A:$A,'Referanc '!$B:$B)</f>
        <v>Standing Table  - E2</v>
      </c>
      <c r="C335" s="68" t="s">
        <v>309</v>
      </c>
      <c r="D335" s="68" t="s">
        <v>309</v>
      </c>
      <c r="E335" s="68" t="s">
        <v>1182</v>
      </c>
      <c r="F335" s="10" t="str">
        <f t="array" ref="F335">_xlfn.XLOOKUP(D335,'Referanc '!$A:$A,'Referanc '!$E:$E)</f>
        <v>E2</v>
      </c>
      <c r="G335" s="68">
        <v>942.0</v>
      </c>
      <c r="H335" s="68">
        <v>27.0</v>
      </c>
      <c r="I335" s="27">
        <v>0.0154</v>
      </c>
      <c r="J335" s="27">
        <v>0.0136</v>
      </c>
      <c r="K335" s="196">
        <v>1226.0</v>
      </c>
      <c r="L335" s="68">
        <v>36.0</v>
      </c>
      <c r="M335" s="27">
        <v>0.0153</v>
      </c>
      <c r="N335" s="27">
        <v>0.0133</v>
      </c>
      <c r="O335" s="27">
        <v>0.8205</v>
      </c>
      <c r="P335" s="27">
        <v>0.9286</v>
      </c>
      <c r="Q335" s="68">
        <v>3.0</v>
      </c>
      <c r="R335" s="68">
        <v>1.0</v>
      </c>
      <c r="S335" s="27">
        <v>0.0032</v>
      </c>
      <c r="T335" s="27">
        <v>0.037</v>
      </c>
      <c r="U335" s="197">
        <v>104850.0</v>
      </c>
      <c r="V335" s="197">
        <v>34950.0</v>
      </c>
      <c r="W335" s="68">
        <v>3.0</v>
      </c>
      <c r="X335" s="68">
        <v>1.0</v>
      </c>
    </row>
    <row r="336" ht="15.75" customHeight="1">
      <c r="A336" s="10" t="s">
        <v>56</v>
      </c>
      <c r="B336" s="10" t="str">
        <f t="array" ref="B336">_xlfn.XLOOKUP(D336,'Referanc '!$A:$A,'Referanc '!$B:$B)</f>
        <v>Standing Table  - E3</v>
      </c>
      <c r="C336" s="68" t="s">
        <v>344</v>
      </c>
      <c r="D336" s="68" t="s">
        <v>344</v>
      </c>
      <c r="E336" s="68" t="s">
        <v>1183</v>
      </c>
      <c r="F336" s="10" t="str">
        <f t="array" ref="F336">_xlfn.XLOOKUP(D336,'Referanc '!$A:$A,'Referanc '!$E:$E)</f>
        <v>E3</v>
      </c>
      <c r="G336" s="68">
        <v>231.0</v>
      </c>
      <c r="H336" s="68">
        <v>4.0</v>
      </c>
      <c r="I336" s="27">
        <v>0.0038</v>
      </c>
      <c r="J336" s="27">
        <v>0.002</v>
      </c>
      <c r="K336" s="68">
        <v>294.0</v>
      </c>
      <c r="L336" s="68">
        <v>5.0</v>
      </c>
      <c r="M336" s="27">
        <v>0.0037</v>
      </c>
      <c r="N336" s="27">
        <v>0.0019</v>
      </c>
      <c r="O336" s="27">
        <v>0.8913</v>
      </c>
      <c r="P336" s="27">
        <v>0.3333</v>
      </c>
      <c r="Q336" s="68">
        <v>3.0</v>
      </c>
      <c r="R336" s="68">
        <v>0.0</v>
      </c>
      <c r="S336" s="27">
        <v>0.013</v>
      </c>
      <c r="T336" s="27">
        <v>0.0</v>
      </c>
      <c r="U336" s="197">
        <v>116700.0</v>
      </c>
      <c r="V336" s="197">
        <v>0.0</v>
      </c>
      <c r="W336" s="68">
        <v>3.0</v>
      </c>
      <c r="X336" s="68">
        <v>0.0</v>
      </c>
    </row>
    <row r="337" ht="15.75" customHeight="1">
      <c r="A337" s="10" t="s">
        <v>56</v>
      </c>
      <c r="B337" s="10" t="s">
        <v>241</v>
      </c>
      <c r="C337" s="68" t="s">
        <v>345</v>
      </c>
      <c r="D337" s="68" t="s">
        <v>345</v>
      </c>
      <c r="E337" s="68" t="s">
        <v>553</v>
      </c>
      <c r="F337" s="10" t="str">
        <f t="array" ref="F337">_xlfn.XLOOKUP(D337,'Referanc '!$A:$A,'Referanc '!$E:$E)</f>
        <v>Footrest</v>
      </c>
      <c r="G337" s="68">
        <v>349.0</v>
      </c>
      <c r="H337" s="68">
        <v>13.0</v>
      </c>
      <c r="I337" s="27">
        <v>0.0057</v>
      </c>
      <c r="J337" s="27">
        <v>0.0065</v>
      </c>
      <c r="K337" s="68">
        <v>420.0</v>
      </c>
      <c r="L337" s="68">
        <v>15.0</v>
      </c>
      <c r="M337" s="27">
        <v>0.0052</v>
      </c>
      <c r="N337" s="27">
        <v>0.0056</v>
      </c>
      <c r="O337" s="27">
        <v>1.0</v>
      </c>
      <c r="P337" s="27">
        <v>1.0</v>
      </c>
      <c r="Q337" s="68">
        <v>3.0</v>
      </c>
      <c r="R337" s="68">
        <v>0.0</v>
      </c>
      <c r="S337" s="27">
        <v>0.0086</v>
      </c>
      <c r="T337" s="27">
        <v>0.0</v>
      </c>
      <c r="U337" s="197">
        <v>9897.0</v>
      </c>
      <c r="V337" s="197">
        <v>0.0</v>
      </c>
      <c r="W337" s="68">
        <v>3.0</v>
      </c>
      <c r="X337" s="68">
        <v>0.0</v>
      </c>
    </row>
    <row r="338" ht="15.75" customHeight="1">
      <c r="A338" s="10" t="s">
        <v>56</v>
      </c>
      <c r="B338" s="10" t="str">
        <f t="array" ref="B338">_xlfn.XLOOKUP(D338,'Referanc '!$A:$A,'Referanc '!$B:$B)</f>
        <v>Standing Table  - E3</v>
      </c>
      <c r="C338" s="68" t="s">
        <v>376</v>
      </c>
      <c r="D338" s="68" t="s">
        <v>376</v>
      </c>
      <c r="E338" s="68" t="s">
        <v>1157</v>
      </c>
      <c r="F338" s="10" t="str">
        <f t="array" ref="F338">_xlfn.XLOOKUP(D338,'Referanc '!$A:$A,'Referanc '!$E:$E)</f>
        <v>E3</v>
      </c>
      <c r="G338" s="68">
        <v>118.0</v>
      </c>
      <c r="H338" s="68">
        <v>4.0</v>
      </c>
      <c r="I338" s="27">
        <v>0.0019</v>
      </c>
      <c r="J338" s="27">
        <v>0.002</v>
      </c>
      <c r="K338" s="68">
        <v>194.0</v>
      </c>
      <c r="L338" s="68">
        <v>10.0</v>
      </c>
      <c r="M338" s="27">
        <v>0.0024</v>
      </c>
      <c r="N338" s="27">
        <v>0.0037</v>
      </c>
      <c r="O338" s="27">
        <v>0.9277</v>
      </c>
      <c r="P338" s="27">
        <v>1.0</v>
      </c>
      <c r="Q338" s="68">
        <v>3.0</v>
      </c>
      <c r="R338" s="68">
        <v>1.0</v>
      </c>
      <c r="S338" s="27">
        <v>0.0254</v>
      </c>
      <c r="T338" s="27">
        <v>0.25</v>
      </c>
      <c r="U338" s="197">
        <v>106200.0</v>
      </c>
      <c r="V338" s="197">
        <v>35400.0</v>
      </c>
      <c r="W338" s="68">
        <v>3.0</v>
      </c>
      <c r="X338" s="68">
        <v>1.0</v>
      </c>
    </row>
    <row r="339" ht="15.75" customHeight="1">
      <c r="A339" s="10" t="s">
        <v>56</v>
      </c>
      <c r="B339" s="10" t="str">
        <f t="array" ref="B339">_xlfn.XLOOKUP(D339,'Referanc '!$A:$A,'Referanc '!$B:$B)</f>
        <v>Standing Table - All Frames</v>
      </c>
      <c r="C339" s="68" t="s">
        <v>368</v>
      </c>
      <c r="D339" s="68" t="s">
        <v>368</v>
      </c>
      <c r="E339" s="68" t="s">
        <v>1184</v>
      </c>
      <c r="F339" s="10" t="str">
        <f t="array" ref="F339">_xlfn.XLOOKUP(D339,'Referanc '!$A:$A,'Referanc '!$E:$E)</f>
        <v>SM3</v>
      </c>
      <c r="G339" s="68">
        <v>611.0</v>
      </c>
      <c r="H339" s="68">
        <v>23.0</v>
      </c>
      <c r="I339" s="27">
        <v>0.01</v>
      </c>
      <c r="J339" s="27">
        <v>0.0116</v>
      </c>
      <c r="K339" s="68">
        <v>808.0</v>
      </c>
      <c r="L339" s="68">
        <v>32.0</v>
      </c>
      <c r="M339" s="27">
        <v>0.0101</v>
      </c>
      <c r="N339" s="27">
        <v>0.0119</v>
      </c>
      <c r="O339" s="27">
        <v>0.8477</v>
      </c>
      <c r="P339" s="27">
        <v>0.8947</v>
      </c>
      <c r="Q339" s="68">
        <v>3.0</v>
      </c>
      <c r="R339" s="68">
        <v>1.0</v>
      </c>
      <c r="S339" s="27">
        <v>0.0049</v>
      </c>
      <c r="T339" s="27">
        <v>0.0435</v>
      </c>
      <c r="U339" s="197">
        <v>54600.0</v>
      </c>
      <c r="V339" s="197">
        <v>18200.0</v>
      </c>
      <c r="W339" s="68">
        <v>3.0</v>
      </c>
      <c r="X339" s="68">
        <v>1.0</v>
      </c>
    </row>
    <row r="340" ht="15.75" customHeight="1">
      <c r="A340" s="10" t="s">
        <v>56</v>
      </c>
      <c r="B340" s="10" t="str">
        <f t="array" ref="B340">_xlfn.XLOOKUP(D340,'Referanc '!$A:$A,'Referanc '!$B:$B)</f>
        <v>Standing Table  - SM3</v>
      </c>
      <c r="C340" s="68" t="s">
        <v>358</v>
      </c>
      <c r="D340" s="68" t="s">
        <v>358</v>
      </c>
      <c r="E340" s="68" t="s">
        <v>1165</v>
      </c>
      <c r="F340" s="10" t="str">
        <f t="array" ref="F340">_xlfn.XLOOKUP(D340,'Referanc '!$A:$A,'Referanc '!$E:$E)</f>
        <v>SM3</v>
      </c>
      <c r="G340" s="68">
        <v>640.0</v>
      </c>
      <c r="H340" s="68">
        <v>22.0</v>
      </c>
      <c r="I340" s="27">
        <v>0.0104</v>
      </c>
      <c r="J340" s="27">
        <v>0.0111</v>
      </c>
      <c r="K340" s="68">
        <v>877.0</v>
      </c>
      <c r="L340" s="68">
        <v>28.0</v>
      </c>
      <c r="M340" s="27">
        <v>0.0109</v>
      </c>
      <c r="N340" s="27">
        <v>0.0104</v>
      </c>
      <c r="O340" s="27">
        <v>0.9256</v>
      </c>
      <c r="P340" s="27">
        <v>0.8947</v>
      </c>
      <c r="Q340" s="68">
        <v>3.0</v>
      </c>
      <c r="R340" s="68">
        <v>0.0</v>
      </c>
      <c r="S340" s="27">
        <v>0.0047</v>
      </c>
      <c r="T340" s="27">
        <v>0.0</v>
      </c>
      <c r="U340" s="197">
        <v>77400.0</v>
      </c>
      <c r="V340" s="197">
        <v>0.0</v>
      </c>
      <c r="W340" s="68">
        <v>3.0</v>
      </c>
      <c r="X340" s="68">
        <v>0.0</v>
      </c>
    </row>
    <row r="341" ht="15.75" customHeight="1">
      <c r="A341" s="10" t="s">
        <v>56</v>
      </c>
      <c r="B341" s="10" t="str">
        <f t="array" ref="B341">_xlfn.XLOOKUP(D341,'Referanc '!$A:$A,'Referanc '!$B:$B)</f>
        <v>Standing Table  - E1A</v>
      </c>
      <c r="C341" s="68" t="s">
        <v>354</v>
      </c>
      <c r="D341" s="68" t="s">
        <v>354</v>
      </c>
      <c r="E341" s="68" t="s">
        <v>1185</v>
      </c>
      <c r="F341" s="10" t="str">
        <f t="array" ref="F341">_xlfn.XLOOKUP(D341,'Referanc '!$A:$A,'Referanc '!$E:$E)</f>
        <v>E1A</v>
      </c>
      <c r="G341" s="68">
        <v>303.0</v>
      </c>
      <c r="H341" s="68">
        <v>17.0</v>
      </c>
      <c r="I341" s="27">
        <v>0.0049</v>
      </c>
      <c r="J341" s="27">
        <v>0.0086</v>
      </c>
      <c r="K341" s="68">
        <v>390.0</v>
      </c>
      <c r="L341" s="68">
        <v>28.0</v>
      </c>
      <c r="M341" s="27">
        <v>0.0049</v>
      </c>
      <c r="N341" s="27">
        <v>0.0104</v>
      </c>
      <c r="O341" s="27">
        <v>0.9415</v>
      </c>
      <c r="P341" s="27">
        <v>0.7895</v>
      </c>
      <c r="Q341" s="68">
        <v>3.0</v>
      </c>
      <c r="R341" s="68">
        <v>0.0</v>
      </c>
      <c r="S341" s="27">
        <v>0.0099</v>
      </c>
      <c r="T341" s="27">
        <v>0.0</v>
      </c>
      <c r="U341" s="197">
        <v>91350.0</v>
      </c>
      <c r="V341" s="197">
        <v>0.0</v>
      </c>
      <c r="W341" s="68">
        <v>3.0</v>
      </c>
      <c r="X341" s="68">
        <v>0.0</v>
      </c>
    </row>
    <row r="342" ht="15.75" customHeight="1">
      <c r="A342" s="10" t="s">
        <v>56</v>
      </c>
      <c r="B342" s="10" t="str">
        <f t="array" ref="B342">_xlfn.XLOOKUP(D342,'Referanc '!$A:$A,'Referanc '!$B:$B)</f>
        <v>Standing Table - All Frames</v>
      </c>
      <c r="C342" s="68" t="s">
        <v>389</v>
      </c>
      <c r="D342" s="68" t="s">
        <v>389</v>
      </c>
      <c r="E342" s="68" t="s">
        <v>1187</v>
      </c>
      <c r="F342" s="10" t="str">
        <f t="array" ref="F342">_xlfn.XLOOKUP(D342,'Referanc '!$A:$A,'Referanc '!$E:$E)</f>
        <v>M8</v>
      </c>
      <c r="G342" s="68">
        <v>868.0</v>
      </c>
      <c r="H342" s="68">
        <v>26.0</v>
      </c>
      <c r="I342" s="27">
        <v>0.0142</v>
      </c>
      <c r="J342" s="27">
        <v>0.0131</v>
      </c>
      <c r="K342" s="196">
        <v>1146.0</v>
      </c>
      <c r="L342" s="68">
        <v>32.0</v>
      </c>
      <c r="M342" s="27">
        <v>0.0143</v>
      </c>
      <c r="N342" s="27">
        <v>0.0119</v>
      </c>
      <c r="O342" s="27">
        <v>0.8934</v>
      </c>
      <c r="P342" s="27">
        <v>0.8235</v>
      </c>
      <c r="Q342" s="68">
        <v>2.0</v>
      </c>
      <c r="R342" s="68">
        <v>0.0</v>
      </c>
      <c r="S342" s="27">
        <v>0.0023</v>
      </c>
      <c r="T342" s="27">
        <v>0.0</v>
      </c>
      <c r="U342" s="197">
        <v>28488.48</v>
      </c>
      <c r="V342" s="197">
        <v>0.0</v>
      </c>
      <c r="W342" s="68">
        <v>2.0</v>
      </c>
      <c r="X342" s="68">
        <v>0.0</v>
      </c>
    </row>
    <row r="343" ht="15.75" customHeight="1">
      <c r="A343" s="10" t="s">
        <v>56</v>
      </c>
      <c r="B343" s="10" t="str">
        <f t="array" ref="B343">_xlfn.XLOOKUP(D343,'Referanc '!$A:$A,'Referanc '!$B:$B)</f>
        <v>Standing Table  - M8</v>
      </c>
      <c r="C343" s="68" t="s">
        <v>408</v>
      </c>
      <c r="D343" s="68" t="s">
        <v>408</v>
      </c>
      <c r="E343" s="68" t="s">
        <v>1188</v>
      </c>
      <c r="F343" s="10" t="str">
        <f t="array" ref="F343">_xlfn.XLOOKUP(D343,'Referanc '!$A:$A,'Referanc '!$E:$E)</f>
        <v>M8</v>
      </c>
      <c r="G343" s="196">
        <v>1348.0</v>
      </c>
      <c r="H343" s="68">
        <v>41.0</v>
      </c>
      <c r="I343" s="27">
        <v>0.022</v>
      </c>
      <c r="J343" s="27">
        <v>0.0206</v>
      </c>
      <c r="K343" s="196">
        <v>1775.0</v>
      </c>
      <c r="L343" s="68">
        <v>53.0</v>
      </c>
      <c r="M343" s="27">
        <v>0.0221</v>
      </c>
      <c r="N343" s="27">
        <v>0.0196</v>
      </c>
      <c r="O343" s="27">
        <v>0.8983</v>
      </c>
      <c r="P343" s="27">
        <v>0.76</v>
      </c>
      <c r="Q343" s="68">
        <v>2.0</v>
      </c>
      <c r="R343" s="68">
        <v>1.0</v>
      </c>
      <c r="S343" s="27">
        <v>0.0015</v>
      </c>
      <c r="T343" s="27">
        <v>0.0244</v>
      </c>
      <c r="U343" s="197">
        <v>31998.0</v>
      </c>
      <c r="V343" s="197">
        <v>15999.0</v>
      </c>
      <c r="W343" s="68">
        <v>2.0</v>
      </c>
      <c r="X343" s="68">
        <v>1.0</v>
      </c>
    </row>
    <row r="344" ht="15.75" customHeight="1">
      <c r="A344" s="10" t="s">
        <v>56</v>
      </c>
      <c r="B344" s="10" t="str">
        <f t="array" ref="B344">_xlfn.XLOOKUP(D344,'Referanc '!$A:$A,'Referanc '!$B:$B)</f>
        <v>Standing Table  - M8</v>
      </c>
      <c r="C344" s="68" t="s">
        <v>416</v>
      </c>
      <c r="D344" s="68" t="s">
        <v>416</v>
      </c>
      <c r="E344" s="68" t="s">
        <v>1189</v>
      </c>
      <c r="F344" s="10" t="str">
        <f t="array" ref="F344">_xlfn.XLOOKUP(D344,'Referanc '!$A:$A,'Referanc '!$E:$E)</f>
        <v>M8</v>
      </c>
      <c r="G344" s="68">
        <v>270.0</v>
      </c>
      <c r="H344" s="68">
        <v>12.0</v>
      </c>
      <c r="I344" s="27">
        <v>0.0044</v>
      </c>
      <c r="J344" s="27">
        <v>0.006</v>
      </c>
      <c r="K344" s="68">
        <v>337.0</v>
      </c>
      <c r="L344" s="68">
        <v>20.0</v>
      </c>
      <c r="M344" s="27">
        <v>0.0042</v>
      </c>
      <c r="N344" s="27">
        <v>0.0074</v>
      </c>
      <c r="O344" s="27">
        <v>0.921</v>
      </c>
      <c r="P344" s="27">
        <v>0.9444</v>
      </c>
      <c r="Q344" s="68">
        <v>2.0</v>
      </c>
      <c r="R344" s="68">
        <v>0.0</v>
      </c>
      <c r="S344" s="27">
        <v>0.0074</v>
      </c>
      <c r="T344" s="27">
        <v>0.0</v>
      </c>
      <c r="U344" s="197">
        <v>42707.48</v>
      </c>
      <c r="V344" s="197">
        <v>0.0</v>
      </c>
      <c r="W344" s="68">
        <v>2.0</v>
      </c>
      <c r="X344" s="68">
        <v>0.0</v>
      </c>
    </row>
    <row r="345" ht="15.75" customHeight="1">
      <c r="A345" s="10" t="s">
        <v>56</v>
      </c>
      <c r="B345" s="10" t="str">
        <f t="array" ref="B345">_xlfn.XLOOKUP(D345,'Referanc '!$A:$A,'Referanc '!$B:$B)</f>
        <v>Standing Table  - M8</v>
      </c>
      <c r="C345" s="68" t="s">
        <v>418</v>
      </c>
      <c r="D345" s="68" t="s">
        <v>418</v>
      </c>
      <c r="E345" s="68" t="s">
        <v>1190</v>
      </c>
      <c r="F345" s="10" t="str">
        <f t="array" ref="F345">_xlfn.XLOOKUP(D345,'Referanc '!$A:$A,'Referanc '!$E:$E)</f>
        <v>M8</v>
      </c>
      <c r="G345" s="68">
        <v>395.0</v>
      </c>
      <c r="H345" s="68">
        <v>15.0</v>
      </c>
      <c r="I345" s="27">
        <v>0.0064</v>
      </c>
      <c r="J345" s="27">
        <v>0.0075</v>
      </c>
      <c r="K345" s="68">
        <v>498.0</v>
      </c>
      <c r="L345" s="68">
        <v>16.0</v>
      </c>
      <c r="M345" s="27">
        <v>0.0062</v>
      </c>
      <c r="N345" s="27">
        <v>0.0059</v>
      </c>
      <c r="O345" s="27">
        <v>0.9462</v>
      </c>
      <c r="P345" s="27">
        <v>0.8889</v>
      </c>
      <c r="Q345" s="68">
        <v>2.0</v>
      </c>
      <c r="R345" s="68">
        <v>1.0</v>
      </c>
      <c r="S345" s="27">
        <v>0.0051</v>
      </c>
      <c r="T345" s="27">
        <v>0.0667</v>
      </c>
      <c r="U345" s="197">
        <v>34899.0</v>
      </c>
      <c r="V345" s="197">
        <v>15999.0</v>
      </c>
      <c r="W345" s="68">
        <v>2.0</v>
      </c>
      <c r="X345" s="68">
        <v>1.0</v>
      </c>
    </row>
    <row r="346" ht="15.75" customHeight="1">
      <c r="A346" s="10" t="s">
        <v>56</v>
      </c>
      <c r="B346" s="10" t="str">
        <f t="array" ref="B346">_xlfn.XLOOKUP(D346,'Referanc '!$A:$A,'Referanc '!$B:$B)</f>
        <v>Single Leg Gas</v>
      </c>
      <c r="C346" s="68" t="s">
        <v>335</v>
      </c>
      <c r="D346" s="68" t="s">
        <v>335</v>
      </c>
      <c r="E346" s="68" t="s">
        <v>526</v>
      </c>
      <c r="F346" s="10" t="str">
        <f t="array" ref="F346">_xlfn.XLOOKUP(D346,'Referanc '!$A:$A,'Referanc '!$E:$E)</f>
        <v>Single Leg Gas</v>
      </c>
      <c r="G346" s="68">
        <v>146.0</v>
      </c>
      <c r="H346" s="68">
        <v>8.0</v>
      </c>
      <c r="I346" s="27">
        <v>0.0024</v>
      </c>
      <c r="J346" s="27">
        <v>0.004</v>
      </c>
      <c r="K346" s="68">
        <v>209.0</v>
      </c>
      <c r="L346" s="68">
        <v>11.0</v>
      </c>
      <c r="M346" s="27">
        <v>0.0026</v>
      </c>
      <c r="N346" s="27">
        <v>0.0041</v>
      </c>
      <c r="O346" s="27">
        <v>0.9171</v>
      </c>
      <c r="P346" s="27">
        <v>1.0</v>
      </c>
      <c r="Q346" s="68">
        <v>2.0</v>
      </c>
      <c r="R346" s="68">
        <v>1.0</v>
      </c>
      <c r="S346" s="27">
        <v>0.0137</v>
      </c>
      <c r="T346" s="27">
        <v>0.125</v>
      </c>
      <c r="U346" s="197">
        <v>22200.0</v>
      </c>
      <c r="V346" s="197">
        <v>11100.0</v>
      </c>
      <c r="W346" s="68">
        <v>2.0</v>
      </c>
      <c r="X346" s="68">
        <v>1.0</v>
      </c>
    </row>
    <row r="347" ht="15.75" customHeight="1">
      <c r="A347" s="10" t="s">
        <v>56</v>
      </c>
      <c r="B347" s="10" t="str">
        <f t="array" ref="B347">_xlfn.XLOOKUP(D347,'Referanc '!$A:$A,'Referanc '!$B:$B)</f>
        <v>Standing Table  - E1A</v>
      </c>
      <c r="C347" s="68" t="s">
        <v>382</v>
      </c>
      <c r="D347" s="68" t="s">
        <v>382</v>
      </c>
      <c r="E347" s="68" t="s">
        <v>1191</v>
      </c>
      <c r="F347" s="10" t="str">
        <f t="array" ref="F347">_xlfn.XLOOKUP(D347,'Referanc '!$A:$A,'Referanc '!$E:$E)</f>
        <v>E1A</v>
      </c>
      <c r="G347" s="68">
        <v>235.0</v>
      </c>
      <c r="H347" s="68">
        <v>8.0</v>
      </c>
      <c r="I347" s="27">
        <v>0.0038</v>
      </c>
      <c r="J347" s="27">
        <v>0.004</v>
      </c>
      <c r="K347" s="68">
        <v>299.0</v>
      </c>
      <c r="L347" s="68">
        <v>9.0</v>
      </c>
      <c r="M347" s="27">
        <v>0.0037</v>
      </c>
      <c r="N347" s="27">
        <v>0.0033</v>
      </c>
      <c r="O347" s="27">
        <v>0.8257</v>
      </c>
      <c r="P347" s="27">
        <v>0.5</v>
      </c>
      <c r="Q347" s="68">
        <v>2.0</v>
      </c>
      <c r="R347" s="68">
        <v>0.0</v>
      </c>
      <c r="S347" s="27">
        <v>0.0085</v>
      </c>
      <c r="T347" s="27">
        <v>0.0</v>
      </c>
      <c r="U347" s="197">
        <v>60900.0</v>
      </c>
      <c r="V347" s="197">
        <v>0.0</v>
      </c>
      <c r="W347" s="68">
        <v>2.0</v>
      </c>
      <c r="X347" s="68">
        <v>0.0</v>
      </c>
    </row>
    <row r="348" ht="15.75" customHeight="1">
      <c r="A348" s="10" t="s">
        <v>56</v>
      </c>
      <c r="B348" s="10" t="str">
        <f t="array" ref="B348">_xlfn.XLOOKUP(D348,'Referanc '!$A:$A,'Referanc '!$B:$B)</f>
        <v>Standing Table - All Frames</v>
      </c>
      <c r="C348" s="68" t="s">
        <v>399</v>
      </c>
      <c r="D348" s="68" t="s">
        <v>399</v>
      </c>
      <c r="E348" s="68" t="s">
        <v>1192</v>
      </c>
      <c r="F348" s="10" t="str">
        <f t="array" ref="F348">_xlfn.XLOOKUP(D348,'Referanc '!$A:$A,'Referanc '!$E:$E)</f>
        <v>E1A</v>
      </c>
      <c r="G348" s="68">
        <v>357.0</v>
      </c>
      <c r="H348" s="68">
        <v>23.0</v>
      </c>
      <c r="I348" s="27">
        <v>0.0058</v>
      </c>
      <c r="J348" s="27">
        <v>0.0116</v>
      </c>
      <c r="K348" s="68">
        <v>445.0</v>
      </c>
      <c r="L348" s="68">
        <v>30.0</v>
      </c>
      <c r="M348" s="27">
        <v>0.0055</v>
      </c>
      <c r="N348" s="27">
        <v>0.0111</v>
      </c>
      <c r="O348" s="27">
        <v>0.928</v>
      </c>
      <c r="P348" s="27">
        <v>1.0</v>
      </c>
      <c r="Q348" s="68">
        <v>2.0</v>
      </c>
      <c r="R348" s="68">
        <v>0.0</v>
      </c>
      <c r="S348" s="27">
        <v>0.0056</v>
      </c>
      <c r="T348" s="27">
        <v>0.0</v>
      </c>
      <c r="U348" s="197">
        <v>61800.0</v>
      </c>
      <c r="V348" s="197">
        <v>0.0</v>
      </c>
      <c r="W348" s="68">
        <v>2.0</v>
      </c>
      <c r="X348" s="68">
        <v>0.0</v>
      </c>
    </row>
    <row r="349" ht="15.75" customHeight="1">
      <c r="A349" s="10" t="s">
        <v>56</v>
      </c>
      <c r="B349" s="10" t="str">
        <f t="array" ref="B349">_xlfn.XLOOKUP(D349,'Referanc '!$A:$A,'Referanc '!$B:$B)</f>
        <v>TABLE TOP</v>
      </c>
      <c r="C349" s="68" t="s">
        <v>357</v>
      </c>
      <c r="D349" s="68" t="s">
        <v>357</v>
      </c>
      <c r="E349" s="68" t="s">
        <v>535</v>
      </c>
      <c r="F349" s="10" t="str">
        <f t="array" ref="F349">_xlfn.XLOOKUP(D349,'Referanc '!$A:$A,'Referanc '!$E:$E)</f>
        <v>TABLE TOP</v>
      </c>
      <c r="G349" s="68">
        <v>289.0</v>
      </c>
      <c r="H349" s="68">
        <v>19.0</v>
      </c>
      <c r="I349" s="27">
        <v>0.0047</v>
      </c>
      <c r="J349" s="27">
        <v>0.0096</v>
      </c>
      <c r="K349" s="68">
        <v>364.0</v>
      </c>
      <c r="L349" s="68">
        <v>27.0</v>
      </c>
      <c r="M349" s="27">
        <v>0.0045</v>
      </c>
      <c r="N349" s="27">
        <v>0.01</v>
      </c>
      <c r="O349" s="27">
        <v>0.7875</v>
      </c>
      <c r="P349" s="27">
        <v>0.913</v>
      </c>
      <c r="Q349" s="68">
        <v>1.0</v>
      </c>
      <c r="R349" s="68">
        <v>1.0</v>
      </c>
      <c r="S349" s="27">
        <v>0.0035</v>
      </c>
      <c r="T349" s="27">
        <v>0.0526</v>
      </c>
      <c r="U349" s="197">
        <v>8400.0</v>
      </c>
      <c r="V349" s="197">
        <v>8400.0</v>
      </c>
      <c r="W349" s="68">
        <v>1.0</v>
      </c>
      <c r="X349" s="68">
        <v>1.0</v>
      </c>
    </row>
    <row r="350" ht="15.75" customHeight="1">
      <c r="A350" s="10" t="s">
        <v>56</v>
      </c>
      <c r="B350" s="10" t="str">
        <f t="array" ref="B350">_xlfn.XLOOKUP(D350,'Referanc '!$A:$A,'Referanc '!$B:$B)</f>
        <v>TABLE TOP</v>
      </c>
      <c r="C350" s="68" t="s">
        <v>324</v>
      </c>
      <c r="D350" s="68" t="s">
        <v>324</v>
      </c>
      <c r="E350" s="68" t="s">
        <v>533</v>
      </c>
      <c r="F350" s="10" t="str">
        <f t="array" ref="F350">_xlfn.XLOOKUP(D350,'Referanc '!$A:$A,'Referanc '!$E:$E)</f>
        <v>TABLE TOP</v>
      </c>
      <c r="G350" s="68">
        <v>500.0</v>
      </c>
      <c r="H350" s="68">
        <v>25.0</v>
      </c>
      <c r="I350" s="27">
        <v>0.0082</v>
      </c>
      <c r="J350" s="27">
        <v>0.0126</v>
      </c>
      <c r="K350" s="68">
        <v>641.0</v>
      </c>
      <c r="L350" s="68">
        <v>31.0</v>
      </c>
      <c r="M350" s="27">
        <v>0.008</v>
      </c>
      <c r="N350" s="27">
        <v>0.0115</v>
      </c>
      <c r="O350" s="27">
        <v>0.7178</v>
      </c>
      <c r="P350" s="27">
        <v>0.7826</v>
      </c>
      <c r="Q350" s="68">
        <v>1.0</v>
      </c>
      <c r="R350" s="68">
        <v>0.0</v>
      </c>
      <c r="S350" s="27">
        <v>0.002</v>
      </c>
      <c r="T350" s="27">
        <v>0.0</v>
      </c>
      <c r="U350" s="197">
        <v>5400.0</v>
      </c>
      <c r="V350" s="197">
        <v>0.0</v>
      </c>
      <c r="W350" s="68">
        <v>1.0</v>
      </c>
      <c r="X350" s="68">
        <v>0.0</v>
      </c>
    </row>
    <row r="351" ht="15.75" customHeight="1">
      <c r="A351" s="10" t="s">
        <v>56</v>
      </c>
      <c r="B351" s="10" t="str">
        <f t="array" ref="B351">_xlfn.XLOOKUP(D351,'Referanc '!$A:$A,'Referanc '!$B:$B)</f>
        <v>Monitor Stand </v>
      </c>
      <c r="C351" s="68" t="s">
        <v>316</v>
      </c>
      <c r="D351" s="68" t="s">
        <v>316</v>
      </c>
      <c r="E351" s="68" t="s">
        <v>1193</v>
      </c>
      <c r="F351" s="10" t="str">
        <f t="array" ref="F351">_xlfn.XLOOKUP(D351,'Referanc '!$A:$A,'Referanc '!$E:$E)</f>
        <v> Monitor Stand</v>
      </c>
      <c r="G351" s="68">
        <v>150.0</v>
      </c>
      <c r="H351" s="68">
        <v>3.0</v>
      </c>
      <c r="I351" s="27">
        <v>0.0024</v>
      </c>
      <c r="J351" s="27">
        <v>0.0015</v>
      </c>
      <c r="K351" s="68">
        <v>245.0</v>
      </c>
      <c r="L351" s="68">
        <v>6.0</v>
      </c>
      <c r="M351" s="27">
        <v>0.0031</v>
      </c>
      <c r="N351" s="27">
        <v>0.0022</v>
      </c>
      <c r="O351" s="27">
        <v>1.0</v>
      </c>
      <c r="P351" s="27">
        <v>1.0</v>
      </c>
      <c r="Q351" s="68">
        <v>1.0</v>
      </c>
      <c r="R351" s="68">
        <v>0.0</v>
      </c>
      <c r="S351" s="27">
        <v>0.0067</v>
      </c>
      <c r="T351" s="27">
        <v>0.0</v>
      </c>
      <c r="U351" s="197">
        <v>1800.0</v>
      </c>
      <c r="V351" s="197">
        <v>0.0</v>
      </c>
      <c r="W351" s="68">
        <v>1.0</v>
      </c>
      <c r="X351" s="68">
        <v>0.0</v>
      </c>
    </row>
    <row r="352" ht="15.75" customHeight="1">
      <c r="A352" s="10" t="s">
        <v>56</v>
      </c>
      <c r="B352" s="10" t="str">
        <f t="array" ref="B352">_xlfn.XLOOKUP(D352,'Referanc '!$A:$A,'Referanc '!$B:$B)</f>
        <v>Standing Table  - M8</v>
      </c>
      <c r="C352" s="68" t="s">
        <v>415</v>
      </c>
      <c r="D352" s="68" t="s">
        <v>415</v>
      </c>
      <c r="E352" s="68" t="s">
        <v>1195</v>
      </c>
      <c r="F352" s="10" t="str">
        <f t="array" ref="F352">_xlfn.XLOOKUP(D352,'Referanc '!$A:$A,'Referanc '!$E:$E)</f>
        <v>M8</v>
      </c>
      <c r="G352" s="68">
        <v>222.0</v>
      </c>
      <c r="H352" s="68">
        <v>5.0</v>
      </c>
      <c r="I352" s="27">
        <v>0.0036</v>
      </c>
      <c r="J352" s="27">
        <v>0.0025</v>
      </c>
      <c r="K352" s="68">
        <v>271.0</v>
      </c>
      <c r="L352" s="68">
        <v>9.0</v>
      </c>
      <c r="M352" s="27">
        <v>0.0034</v>
      </c>
      <c r="N352" s="27">
        <v>0.0033</v>
      </c>
      <c r="O352" s="27">
        <v>0.8578</v>
      </c>
      <c r="P352" s="27">
        <v>0.1667</v>
      </c>
      <c r="Q352" s="68">
        <v>1.0</v>
      </c>
      <c r="R352" s="68">
        <v>0.0</v>
      </c>
      <c r="S352" s="27">
        <v>0.0045</v>
      </c>
      <c r="T352" s="27">
        <v>0.0</v>
      </c>
      <c r="U352" s="197">
        <v>19999.0</v>
      </c>
      <c r="V352" s="197">
        <v>0.0</v>
      </c>
      <c r="W352" s="68">
        <v>1.0</v>
      </c>
      <c r="X352" s="68">
        <v>0.0</v>
      </c>
    </row>
    <row r="353" ht="15.75" customHeight="1">
      <c r="A353" s="10" t="s">
        <v>56</v>
      </c>
      <c r="B353" s="10" t="str">
        <f t="array" ref="B353">_xlfn.XLOOKUP(D353,'Referanc '!$A:$A,'Referanc '!$B:$B)</f>
        <v>Standing Desk Converter</v>
      </c>
      <c r="C353" s="68" t="s">
        <v>363</v>
      </c>
      <c r="D353" s="68" t="s">
        <v>363</v>
      </c>
      <c r="E353" s="68" t="s">
        <v>571</v>
      </c>
      <c r="F353" s="10" t="str">
        <f t="array" ref="F353">_xlfn.XLOOKUP(D353,'Referanc '!$A:$A,'Referanc '!$E:$E)</f>
        <v>Standing Desk Converter</v>
      </c>
      <c r="G353" s="68">
        <v>108.0</v>
      </c>
      <c r="H353" s="68">
        <v>9.0</v>
      </c>
      <c r="I353" s="27">
        <v>0.0018</v>
      </c>
      <c r="J353" s="27">
        <v>0.0045</v>
      </c>
      <c r="K353" s="68">
        <v>142.0</v>
      </c>
      <c r="L353" s="68">
        <v>22.0</v>
      </c>
      <c r="M353" s="27">
        <v>0.0018</v>
      </c>
      <c r="N353" s="27">
        <v>0.0082</v>
      </c>
      <c r="O353" s="27">
        <v>0.9549</v>
      </c>
      <c r="P353" s="27">
        <v>1.0</v>
      </c>
      <c r="Q353" s="68">
        <v>1.0</v>
      </c>
      <c r="R353" s="68">
        <v>1.0</v>
      </c>
      <c r="S353" s="27">
        <v>0.0093</v>
      </c>
      <c r="T353" s="27">
        <v>0.1111</v>
      </c>
      <c r="U353" s="197">
        <v>11900.0</v>
      </c>
      <c r="V353" s="197">
        <v>11900.0</v>
      </c>
      <c r="W353" s="68">
        <v>1.0</v>
      </c>
      <c r="X353" s="68">
        <v>1.0</v>
      </c>
    </row>
    <row r="354" ht="15.75" customHeight="1">
      <c r="A354" s="10" t="s">
        <v>56</v>
      </c>
      <c r="B354" s="10" t="str">
        <f t="array" ref="B354">_xlfn.XLOOKUP(D354,'Referanc '!$A:$A,'Referanc '!$B:$B)</f>
        <v>Standing Desk Converter</v>
      </c>
      <c r="C354" s="68" t="s">
        <v>326</v>
      </c>
      <c r="D354" s="68" t="s">
        <v>326</v>
      </c>
      <c r="E354" s="68" t="s">
        <v>1197</v>
      </c>
      <c r="F354" s="10" t="str">
        <f t="array" ref="F354">_xlfn.XLOOKUP(D354,'Referanc '!$A:$A,'Referanc '!$E:$E)</f>
        <v>Standing Desk Converter</v>
      </c>
      <c r="G354" s="68">
        <v>78.0</v>
      </c>
      <c r="H354" s="68">
        <v>4.0</v>
      </c>
      <c r="I354" s="27">
        <v>0.0013</v>
      </c>
      <c r="J354" s="27">
        <v>0.002</v>
      </c>
      <c r="K354" s="68">
        <v>101.0</v>
      </c>
      <c r="L354" s="68">
        <v>5.0</v>
      </c>
      <c r="M354" s="27">
        <v>0.0013</v>
      </c>
      <c r="N354" s="27">
        <v>0.0019</v>
      </c>
      <c r="O354" s="27">
        <v>0.8469</v>
      </c>
      <c r="P354" s="27">
        <v>1.0</v>
      </c>
      <c r="Q354" s="68">
        <v>1.0</v>
      </c>
      <c r="R354" s="68">
        <v>0.0</v>
      </c>
      <c r="S354" s="27">
        <v>0.0128</v>
      </c>
      <c r="T354" s="27">
        <v>0.0</v>
      </c>
      <c r="U354" s="197">
        <v>7000.0</v>
      </c>
      <c r="V354" s="197">
        <v>0.0</v>
      </c>
      <c r="W354" s="68">
        <v>1.0</v>
      </c>
      <c r="X354" s="68">
        <v>0.0</v>
      </c>
    </row>
    <row r="355" ht="15.75" customHeight="1">
      <c r="A355" s="10" t="s">
        <v>56</v>
      </c>
      <c r="B355" s="10" t="str">
        <f t="array" ref="B355">_xlfn.XLOOKUP(D355,'Referanc '!$A:$A,'Referanc '!$B:$B)</f>
        <v>Laptop Table</v>
      </c>
      <c r="C355" s="68" t="s">
        <v>328</v>
      </c>
      <c r="D355" s="68" t="s">
        <v>328</v>
      </c>
      <c r="E355" s="68" t="s">
        <v>1152</v>
      </c>
      <c r="F355" s="10" t="str">
        <f t="array" ref="F355">_xlfn.XLOOKUP(D355,'Referanc '!$A:$A,'Referanc '!$E:$E)</f>
        <v>Laptop Table</v>
      </c>
      <c r="G355" s="68">
        <v>122.0</v>
      </c>
      <c r="H355" s="68">
        <v>10.0</v>
      </c>
      <c r="I355" s="27">
        <v>0.002</v>
      </c>
      <c r="J355" s="27">
        <v>0.005</v>
      </c>
      <c r="K355" s="68">
        <v>228.0</v>
      </c>
      <c r="L355" s="68">
        <v>27.0</v>
      </c>
      <c r="M355" s="27">
        <v>0.0028</v>
      </c>
      <c r="N355" s="27">
        <v>0.01</v>
      </c>
      <c r="O355" s="27">
        <v>0.9596</v>
      </c>
      <c r="P355" s="27">
        <v>1.0</v>
      </c>
      <c r="Q355" s="68">
        <v>2.0</v>
      </c>
      <c r="R355" s="68">
        <v>2.0</v>
      </c>
      <c r="S355" s="27">
        <v>0.0164</v>
      </c>
      <c r="T355" s="27">
        <v>0.2</v>
      </c>
      <c r="U355" s="197">
        <v>24400.0</v>
      </c>
      <c r="V355" s="197">
        <v>24400.0</v>
      </c>
      <c r="W355" s="68">
        <v>1.0</v>
      </c>
      <c r="X355" s="68">
        <v>1.0</v>
      </c>
    </row>
    <row r="356" ht="15.75" customHeight="1">
      <c r="A356" s="10" t="s">
        <v>56</v>
      </c>
      <c r="B356" s="10" t="str">
        <f t="array" ref="B356">_xlfn.XLOOKUP(D356,'Referanc '!$A:$A,'Referanc '!$B:$B)</f>
        <v>Standing Table  - E3</v>
      </c>
      <c r="C356" s="68" t="s">
        <v>381</v>
      </c>
      <c r="D356" s="68" t="s">
        <v>381</v>
      </c>
      <c r="E356" s="68" t="s">
        <v>1199</v>
      </c>
      <c r="F356" s="10" t="str">
        <f t="array" ref="F356">_xlfn.XLOOKUP(D356,'Referanc '!$A:$A,'Referanc '!$E:$E)</f>
        <v>E3</v>
      </c>
      <c r="G356" s="68">
        <v>149.0</v>
      </c>
      <c r="H356" s="68">
        <v>2.0</v>
      </c>
      <c r="I356" s="27">
        <v>0.0024</v>
      </c>
      <c r="J356" s="27">
        <v>0.001</v>
      </c>
      <c r="K356" s="68">
        <v>193.0</v>
      </c>
      <c r="L356" s="68">
        <v>2.0</v>
      </c>
      <c r="M356" s="27">
        <v>0.0024</v>
      </c>
      <c r="N356" s="27">
        <v>7.0E-4</v>
      </c>
      <c r="O356" s="27">
        <v>0.9507</v>
      </c>
      <c r="P356" s="27">
        <v>1.0</v>
      </c>
      <c r="Q356" s="68">
        <v>1.0</v>
      </c>
      <c r="R356" s="68">
        <v>0.0</v>
      </c>
      <c r="S356" s="27">
        <v>0.0067</v>
      </c>
      <c r="T356" s="27">
        <v>0.0</v>
      </c>
      <c r="U356" s="197">
        <v>38900.0</v>
      </c>
      <c r="V356" s="197">
        <v>0.0</v>
      </c>
      <c r="W356" s="68">
        <v>1.0</v>
      </c>
      <c r="X356" s="68">
        <v>0.0</v>
      </c>
    </row>
    <row r="357" ht="15.75" customHeight="1">
      <c r="A357" s="10" t="s">
        <v>56</v>
      </c>
      <c r="B357" s="10" t="s">
        <v>241</v>
      </c>
      <c r="C357" s="68" t="s">
        <v>337</v>
      </c>
      <c r="D357" s="68" t="s">
        <v>337</v>
      </c>
      <c r="E357" s="68" t="s">
        <v>545</v>
      </c>
      <c r="F357" s="10" t="str">
        <f t="array" ref="F357">_xlfn.XLOOKUP(D357,'Referanc '!$A:$A,'Referanc '!$E:$E)</f>
        <v>Footrest</v>
      </c>
      <c r="G357" s="68">
        <v>245.0</v>
      </c>
      <c r="H357" s="68">
        <v>10.0</v>
      </c>
      <c r="I357" s="27">
        <v>0.004</v>
      </c>
      <c r="J357" s="27">
        <v>0.005</v>
      </c>
      <c r="K357" s="68">
        <v>265.0</v>
      </c>
      <c r="L357" s="68">
        <v>14.0</v>
      </c>
      <c r="M357" s="27">
        <v>0.0033</v>
      </c>
      <c r="N357" s="27">
        <v>0.0052</v>
      </c>
      <c r="O357" s="27">
        <v>1.0</v>
      </c>
      <c r="P357" s="27">
        <v>1.0</v>
      </c>
      <c r="Q357" s="68">
        <v>1.0</v>
      </c>
      <c r="R357" s="68">
        <v>0.0</v>
      </c>
      <c r="S357" s="27">
        <v>0.0041</v>
      </c>
      <c r="T357" s="27">
        <v>0.0</v>
      </c>
      <c r="U357" s="197">
        <v>2250.0</v>
      </c>
      <c r="V357" s="197">
        <v>0.0</v>
      </c>
      <c r="W357" s="68">
        <v>1.0</v>
      </c>
      <c r="X357" s="68">
        <v>0.0</v>
      </c>
    </row>
    <row r="358" ht="15.75" customHeight="1">
      <c r="A358" s="10" t="s">
        <v>56</v>
      </c>
      <c r="B358" s="10" t="str">
        <f t="array" ref="B358">_xlfn.XLOOKUP(D358,'Referanc '!$A:$A,'Referanc '!$B:$B)</f>
        <v>Standing Table - All Frames</v>
      </c>
      <c r="C358" s="68" t="s">
        <v>420</v>
      </c>
      <c r="D358" s="68" t="s">
        <v>420</v>
      </c>
      <c r="E358" s="68" t="s">
        <v>668</v>
      </c>
      <c r="F358" s="10" t="str">
        <f t="array" ref="F358">_xlfn.XLOOKUP(D358,'Referanc '!$A:$A,'Referanc '!$E:$E)</f>
        <v>E2</v>
      </c>
      <c r="G358" s="68">
        <v>14.0</v>
      </c>
      <c r="H358" s="68">
        <v>0.0</v>
      </c>
      <c r="I358" s="27">
        <v>2.0E-4</v>
      </c>
      <c r="J358" s="27">
        <v>0.0</v>
      </c>
      <c r="K358" s="68">
        <v>27.0</v>
      </c>
      <c r="L358" s="68">
        <v>0.0</v>
      </c>
      <c r="M358" s="27">
        <v>3.0E-4</v>
      </c>
      <c r="N358" s="27">
        <v>0.0</v>
      </c>
      <c r="O358" s="27">
        <v>0.9167</v>
      </c>
      <c r="P358" s="27">
        <v>0.0</v>
      </c>
      <c r="Q358" s="68">
        <v>1.0</v>
      </c>
      <c r="R358" s="68">
        <v>0.0</v>
      </c>
      <c r="S358" s="27">
        <v>0.0714</v>
      </c>
      <c r="T358" s="27">
        <v>0.0</v>
      </c>
      <c r="U358" s="197">
        <v>28400.0</v>
      </c>
      <c r="V358" s="197">
        <v>0.0</v>
      </c>
      <c r="W358" s="68">
        <v>1.0</v>
      </c>
      <c r="X358" s="68">
        <v>0.0</v>
      </c>
    </row>
    <row r="359" ht="15.75" customHeight="1">
      <c r="A359" s="10" t="s">
        <v>56</v>
      </c>
      <c r="B359" s="10" t="str">
        <f t="array" ref="B359">_xlfn.XLOOKUP(D359,'Referanc '!$A:$A,'Referanc '!$B:$B)</f>
        <v>Standing Table  - E3</v>
      </c>
      <c r="C359" s="68" t="s">
        <v>377</v>
      </c>
      <c r="D359" s="68" t="s">
        <v>377</v>
      </c>
      <c r="E359" s="68" t="s">
        <v>1143</v>
      </c>
      <c r="F359" s="10" t="str">
        <f t="array" ref="F359">_xlfn.XLOOKUP(D359,'Referanc '!$A:$A,'Referanc '!$E:$E)</f>
        <v>E3</v>
      </c>
      <c r="G359" s="68">
        <v>93.0</v>
      </c>
      <c r="H359" s="68">
        <v>6.0</v>
      </c>
      <c r="I359" s="27">
        <v>0.0015</v>
      </c>
      <c r="J359" s="27">
        <v>0.003</v>
      </c>
      <c r="K359" s="68">
        <v>113.0</v>
      </c>
      <c r="L359" s="68">
        <v>6.0</v>
      </c>
      <c r="M359" s="27">
        <v>0.0014</v>
      </c>
      <c r="N359" s="27">
        <v>0.0022</v>
      </c>
      <c r="O359" s="27">
        <v>0.93</v>
      </c>
      <c r="P359" s="27">
        <v>1.0</v>
      </c>
      <c r="Q359" s="68">
        <v>1.0</v>
      </c>
      <c r="R359" s="68">
        <v>0.0</v>
      </c>
      <c r="S359" s="27">
        <v>0.0108</v>
      </c>
      <c r="T359" s="27">
        <v>0.0</v>
      </c>
      <c r="U359" s="197">
        <v>38900.0</v>
      </c>
      <c r="V359" s="197">
        <v>0.0</v>
      </c>
      <c r="W359" s="68">
        <v>1.0</v>
      </c>
      <c r="X359" s="68">
        <v>0.0</v>
      </c>
    </row>
    <row r="360" ht="15.75" customHeight="1">
      <c r="A360" s="10" t="s">
        <v>56</v>
      </c>
      <c r="B360" s="10" t="str">
        <f t="array" ref="B360">_xlfn.XLOOKUP(D360,'Referanc '!$A:$A,'Referanc '!$B:$B)</f>
        <v>Standing Table  - SM3</v>
      </c>
      <c r="C360" s="68" t="s">
        <v>401</v>
      </c>
      <c r="D360" s="68" t="s">
        <v>401</v>
      </c>
      <c r="E360" s="68" t="s">
        <v>1160</v>
      </c>
      <c r="F360" s="10" t="str">
        <f t="array" ref="F360">_xlfn.XLOOKUP(D360,'Referanc '!$A:$A,'Referanc '!$E:$E)</f>
        <v>SM3</v>
      </c>
      <c r="G360" s="68">
        <v>367.0</v>
      </c>
      <c r="H360" s="68">
        <v>13.0</v>
      </c>
      <c r="I360" s="27">
        <v>0.006</v>
      </c>
      <c r="J360" s="27">
        <v>0.0065</v>
      </c>
      <c r="K360" s="68">
        <v>439.0</v>
      </c>
      <c r="L360" s="68">
        <v>15.0</v>
      </c>
      <c r="M360" s="27">
        <v>0.0055</v>
      </c>
      <c r="N360" s="27">
        <v>0.0056</v>
      </c>
      <c r="O360" s="27">
        <v>0.7441</v>
      </c>
      <c r="P360" s="27">
        <v>0.6364</v>
      </c>
      <c r="Q360" s="68">
        <v>1.0</v>
      </c>
      <c r="R360" s="68">
        <v>0.0</v>
      </c>
      <c r="S360" s="27">
        <v>0.0027</v>
      </c>
      <c r="T360" s="27">
        <v>0.0</v>
      </c>
      <c r="U360" s="197">
        <v>21200.0</v>
      </c>
      <c r="V360" s="197">
        <v>0.0</v>
      </c>
      <c r="W360" s="68">
        <v>1.0</v>
      </c>
      <c r="X360" s="68">
        <v>0.0</v>
      </c>
    </row>
    <row r="361" ht="15.75" customHeight="1">
      <c r="A361" s="10" t="s">
        <v>56</v>
      </c>
      <c r="B361" s="10" t="str">
        <f t="array" ref="B361">_xlfn.XLOOKUP(D361,'Referanc '!$A:$A,'Referanc '!$B:$B)</f>
        <v>Standing Table  - SM3</v>
      </c>
      <c r="C361" s="68" t="s">
        <v>370</v>
      </c>
      <c r="D361" s="68" t="s">
        <v>370</v>
      </c>
      <c r="E361" s="68" t="s">
        <v>1161</v>
      </c>
      <c r="F361" s="10" t="str">
        <f t="array" ref="F361">_xlfn.XLOOKUP(D361,'Referanc '!$A:$A,'Referanc '!$E:$E)</f>
        <v>SM3</v>
      </c>
      <c r="G361" s="68">
        <v>443.0</v>
      </c>
      <c r="H361" s="68">
        <v>13.0</v>
      </c>
      <c r="I361" s="27">
        <v>0.0072</v>
      </c>
      <c r="J361" s="27">
        <v>0.0065</v>
      </c>
      <c r="K361" s="68">
        <v>568.0</v>
      </c>
      <c r="L361" s="68">
        <v>13.0</v>
      </c>
      <c r="M361" s="27">
        <v>0.0071</v>
      </c>
      <c r="N361" s="27">
        <v>0.0048</v>
      </c>
      <c r="O361" s="27">
        <v>0.9127</v>
      </c>
      <c r="P361" s="27">
        <v>1.0</v>
      </c>
      <c r="Q361" s="68">
        <v>1.0</v>
      </c>
      <c r="R361" s="68">
        <v>0.0</v>
      </c>
      <c r="S361" s="27">
        <v>0.0023</v>
      </c>
      <c r="T361" s="27">
        <v>0.0</v>
      </c>
      <c r="U361" s="197">
        <v>21200.0</v>
      </c>
      <c r="V361" s="197">
        <v>0.0</v>
      </c>
      <c r="W361" s="68">
        <v>1.0</v>
      </c>
      <c r="X361" s="68">
        <v>0.0</v>
      </c>
    </row>
    <row r="362" ht="15.75" customHeight="1">
      <c r="A362" s="10" t="s">
        <v>56</v>
      </c>
      <c r="B362" s="10" t="str">
        <f t="array" ref="B362">_xlfn.XLOOKUP(D362,'Referanc '!$A:$A,'Referanc '!$B:$B)</f>
        <v>Standing Table  - SM3</v>
      </c>
      <c r="C362" s="68" t="s">
        <v>383</v>
      </c>
      <c r="D362" s="68" t="s">
        <v>383</v>
      </c>
      <c r="E362" s="68" t="s">
        <v>1206</v>
      </c>
      <c r="F362" s="10" t="str">
        <f t="array" ref="F362">_xlfn.XLOOKUP(D362,'Referanc '!$A:$A,'Referanc '!$E:$E)</f>
        <v>SM3</v>
      </c>
      <c r="G362" s="68">
        <v>444.0</v>
      </c>
      <c r="H362" s="68">
        <v>21.0</v>
      </c>
      <c r="I362" s="27">
        <v>0.0072</v>
      </c>
      <c r="J362" s="27">
        <v>0.0106</v>
      </c>
      <c r="K362" s="68">
        <v>563.0</v>
      </c>
      <c r="L362" s="68">
        <v>28.0</v>
      </c>
      <c r="M362" s="27">
        <v>0.007</v>
      </c>
      <c r="N362" s="27">
        <v>0.0104</v>
      </c>
      <c r="O362" s="27">
        <v>0.9278</v>
      </c>
      <c r="P362" s="27">
        <v>0.8</v>
      </c>
      <c r="Q362" s="68">
        <v>1.0</v>
      </c>
      <c r="R362" s="68">
        <v>0.0</v>
      </c>
      <c r="S362" s="27">
        <v>0.0023</v>
      </c>
      <c r="T362" s="27">
        <v>0.0</v>
      </c>
      <c r="U362" s="197">
        <v>25800.0</v>
      </c>
      <c r="V362" s="197">
        <v>0.0</v>
      </c>
      <c r="W362" s="68">
        <v>1.0</v>
      </c>
      <c r="X362" s="68">
        <v>0.0</v>
      </c>
    </row>
    <row r="363" ht="15.75" customHeight="1">
      <c r="A363" s="10" t="s">
        <v>56</v>
      </c>
      <c r="B363" s="10" t="str">
        <f t="array" ref="B363">_xlfn.XLOOKUP(D363,'Referanc '!$A:$A,'Referanc '!$B:$B)</f>
        <v>Standing Table  - SM3</v>
      </c>
      <c r="C363" s="68" t="s">
        <v>379</v>
      </c>
      <c r="D363" s="68" t="s">
        <v>379</v>
      </c>
      <c r="E363" s="68" t="s">
        <v>1209</v>
      </c>
      <c r="F363" s="10" t="str">
        <f t="array" ref="F363">_xlfn.XLOOKUP(D363,'Referanc '!$A:$A,'Referanc '!$E:$E)</f>
        <v>SM3</v>
      </c>
      <c r="G363" s="68">
        <v>760.0</v>
      </c>
      <c r="H363" s="68">
        <v>29.0</v>
      </c>
      <c r="I363" s="27">
        <v>0.0124</v>
      </c>
      <c r="J363" s="27">
        <v>0.0146</v>
      </c>
      <c r="K363" s="68">
        <v>958.0</v>
      </c>
      <c r="L363" s="68">
        <v>42.0</v>
      </c>
      <c r="M363" s="27">
        <v>0.0119</v>
      </c>
      <c r="N363" s="27">
        <v>0.0156</v>
      </c>
      <c r="O363" s="27">
        <v>0.801</v>
      </c>
      <c r="P363" s="27">
        <v>0.75</v>
      </c>
      <c r="Q363" s="68">
        <v>1.0</v>
      </c>
      <c r="R363" s="68">
        <v>0.0</v>
      </c>
      <c r="S363" s="27">
        <v>0.0013</v>
      </c>
      <c r="T363" s="27">
        <v>0.0</v>
      </c>
      <c r="U363" s="197">
        <v>22200.0</v>
      </c>
      <c r="V363" s="197">
        <v>0.0</v>
      </c>
      <c r="W363" s="68">
        <v>1.0</v>
      </c>
      <c r="X363" s="68">
        <v>0.0</v>
      </c>
    </row>
    <row r="364" ht="15.75" customHeight="1">
      <c r="A364" s="10" t="s">
        <v>56</v>
      </c>
      <c r="B364" s="10" t="str">
        <f t="array" ref="B364">_xlfn.XLOOKUP(D364,'Referanc '!$A:$A,'Referanc '!$B:$B)</f>
        <v>Standing Table  - E1A</v>
      </c>
      <c r="C364" s="68" t="s">
        <v>359</v>
      </c>
      <c r="D364" s="68" t="s">
        <v>359</v>
      </c>
      <c r="E364" s="68" t="s">
        <v>1211</v>
      </c>
      <c r="F364" s="10" t="str">
        <f t="array" ref="F364">_xlfn.XLOOKUP(D364,'Referanc '!$A:$A,'Referanc '!$E:$E)</f>
        <v>E1A</v>
      </c>
      <c r="G364" s="68">
        <v>388.0</v>
      </c>
      <c r="H364" s="68">
        <v>18.0</v>
      </c>
      <c r="I364" s="27">
        <v>0.0063</v>
      </c>
      <c r="J364" s="27">
        <v>0.0091</v>
      </c>
      <c r="K364" s="68">
        <v>494.0</v>
      </c>
      <c r="L364" s="68">
        <v>25.0</v>
      </c>
      <c r="M364" s="27">
        <v>0.0062</v>
      </c>
      <c r="N364" s="27">
        <v>0.0093</v>
      </c>
      <c r="O364" s="27">
        <v>0.8535</v>
      </c>
      <c r="P364" s="27">
        <v>0.625</v>
      </c>
      <c r="Q364" s="68">
        <v>1.0</v>
      </c>
      <c r="R364" s="68">
        <v>0.0</v>
      </c>
      <c r="S364" s="27">
        <v>0.0026</v>
      </c>
      <c r="T364" s="27">
        <v>0.0</v>
      </c>
      <c r="U364" s="197">
        <v>35450.0</v>
      </c>
      <c r="V364" s="197">
        <v>0.0</v>
      </c>
      <c r="W364" s="68">
        <v>1.0</v>
      </c>
      <c r="X364" s="68">
        <v>0.0</v>
      </c>
    </row>
    <row r="365" ht="15.75" customHeight="1">
      <c r="A365" s="10" t="s">
        <v>56</v>
      </c>
      <c r="B365" s="10" t="str">
        <f t="array" ref="B365">_xlfn.XLOOKUP(D365,'Referanc '!$A:$A,'Referanc '!$B:$B)</f>
        <v>Standing Table - All Frames</v>
      </c>
      <c r="C365" s="68" t="s">
        <v>387</v>
      </c>
      <c r="D365" s="68" t="s">
        <v>387</v>
      </c>
      <c r="E365" s="68" t="s">
        <v>1213</v>
      </c>
      <c r="F365" s="10" t="str">
        <f t="array" ref="F365">_xlfn.XLOOKUP(D365,'Referanc '!$A:$A,'Referanc '!$E:$E)</f>
        <v>E1A</v>
      </c>
      <c r="G365" s="68">
        <v>323.0</v>
      </c>
      <c r="H365" s="68">
        <v>13.0</v>
      </c>
      <c r="I365" s="27">
        <v>0.0053</v>
      </c>
      <c r="J365" s="27">
        <v>0.0065</v>
      </c>
      <c r="K365" s="68">
        <v>477.0</v>
      </c>
      <c r="L365" s="68">
        <v>15.0</v>
      </c>
      <c r="M365" s="27">
        <v>0.0059</v>
      </c>
      <c r="N365" s="27">
        <v>0.0056</v>
      </c>
      <c r="O365" s="27">
        <v>0.9069</v>
      </c>
      <c r="P365" s="27">
        <v>0.9</v>
      </c>
      <c r="Q365" s="68">
        <v>1.0</v>
      </c>
      <c r="R365" s="68">
        <v>0.0</v>
      </c>
      <c r="S365" s="27">
        <v>0.0031</v>
      </c>
      <c r="T365" s="27">
        <v>0.0</v>
      </c>
      <c r="U365" s="197">
        <v>28000.0</v>
      </c>
      <c r="V365" s="197">
        <v>0.0</v>
      </c>
      <c r="W365" s="68">
        <v>1.0</v>
      </c>
      <c r="X365" s="68">
        <v>0.0</v>
      </c>
    </row>
    <row r="366" ht="15.75" customHeight="1">
      <c r="A366" s="10" t="s">
        <v>56</v>
      </c>
      <c r="B366" s="10" t="str">
        <f t="array" ref="B366">_xlfn.XLOOKUP(D366,'Referanc '!$A:$A,'Referanc '!$B:$B)</f>
        <v>Standing Table  - E1A</v>
      </c>
      <c r="C366" s="68" t="s">
        <v>371</v>
      </c>
      <c r="D366" s="68" t="s">
        <v>371</v>
      </c>
      <c r="E366" s="68" t="s">
        <v>1215</v>
      </c>
      <c r="F366" s="10" t="str">
        <f t="array" ref="F366">_xlfn.XLOOKUP(D366,'Referanc '!$A:$A,'Referanc '!$E:$E)</f>
        <v>E1A</v>
      </c>
      <c r="G366" s="68">
        <v>195.0</v>
      </c>
      <c r="H366" s="68">
        <v>13.0</v>
      </c>
      <c r="I366" s="27">
        <v>0.0032</v>
      </c>
      <c r="J366" s="27">
        <v>0.0065</v>
      </c>
      <c r="K366" s="68">
        <v>234.0</v>
      </c>
      <c r="L366" s="68">
        <v>16.0</v>
      </c>
      <c r="M366" s="27">
        <v>0.0029</v>
      </c>
      <c r="N366" s="27">
        <v>0.0059</v>
      </c>
      <c r="O366" s="27">
        <v>0.9479</v>
      </c>
      <c r="P366" s="27">
        <v>0.8571</v>
      </c>
      <c r="Q366" s="68">
        <v>1.0</v>
      </c>
      <c r="R366" s="68">
        <v>1.0</v>
      </c>
      <c r="S366" s="27">
        <v>0.0051</v>
      </c>
      <c r="T366" s="27">
        <v>0.0769</v>
      </c>
      <c r="U366" s="197">
        <v>31450.0</v>
      </c>
      <c r="V366" s="197">
        <v>31450.0</v>
      </c>
      <c r="W366" s="68">
        <v>1.0</v>
      </c>
      <c r="X366" s="68">
        <v>1.0</v>
      </c>
    </row>
    <row r="367" ht="15.75" customHeight="1">
      <c r="A367" s="10" t="s">
        <v>56</v>
      </c>
      <c r="B367" s="10" t="str">
        <f t="array" ref="B367">_xlfn.XLOOKUP(D367,'Referanc '!$A:$A,'Referanc '!$B:$B)</f>
        <v>Standing Table  - E1A</v>
      </c>
      <c r="C367" s="68" t="s">
        <v>380</v>
      </c>
      <c r="D367" s="68" t="s">
        <v>380</v>
      </c>
      <c r="E367" s="68" t="s">
        <v>1218</v>
      </c>
      <c r="F367" s="10" t="str">
        <f t="array" ref="F367">_xlfn.XLOOKUP(D367,'Referanc '!$A:$A,'Referanc '!$E:$E)</f>
        <v>E1A</v>
      </c>
      <c r="G367" s="68">
        <v>229.0</v>
      </c>
      <c r="H367" s="68">
        <v>11.0</v>
      </c>
      <c r="I367" s="27">
        <v>0.0037</v>
      </c>
      <c r="J367" s="27">
        <v>0.0055</v>
      </c>
      <c r="K367" s="68">
        <v>287.0</v>
      </c>
      <c r="L367" s="68">
        <v>12.0</v>
      </c>
      <c r="M367" s="27">
        <v>0.0036</v>
      </c>
      <c r="N367" s="27">
        <v>0.0044</v>
      </c>
      <c r="O367" s="27">
        <v>0.9078</v>
      </c>
      <c r="P367" s="27">
        <v>0.7778</v>
      </c>
      <c r="Q367" s="68">
        <v>1.0</v>
      </c>
      <c r="R367" s="68">
        <v>1.0</v>
      </c>
      <c r="S367" s="27">
        <v>0.0044</v>
      </c>
      <c r="T367" s="27">
        <v>0.0909</v>
      </c>
      <c r="U367" s="197">
        <v>34950.0</v>
      </c>
      <c r="V367" s="197">
        <v>34950.0</v>
      </c>
      <c r="W367" s="68">
        <v>1.0</v>
      </c>
      <c r="X367" s="68">
        <v>1.0</v>
      </c>
    </row>
    <row r="368" ht="15.75" customHeight="1">
      <c r="A368" s="10" t="s">
        <v>56</v>
      </c>
      <c r="B368" s="10" t="str">
        <f t="array" ref="B368">_xlfn.XLOOKUP(D368,'Referanc '!$A:$A,'Referanc '!$B:$B)</f>
        <v>Standing Table  - E4</v>
      </c>
      <c r="C368" s="68" t="s">
        <v>388</v>
      </c>
      <c r="D368" s="68" t="s">
        <v>388</v>
      </c>
      <c r="E368" s="68" t="s">
        <v>1220</v>
      </c>
      <c r="F368" s="10" t="str">
        <f t="array" ref="F368">_xlfn.XLOOKUP(D368,'Referanc '!$A:$A,'Referanc '!$E:$E)</f>
        <v>E4</v>
      </c>
      <c r="G368" s="68">
        <v>218.0</v>
      </c>
      <c r="H368" s="68">
        <v>8.0</v>
      </c>
      <c r="I368" s="27">
        <v>0.0036</v>
      </c>
      <c r="J368" s="27">
        <v>0.004</v>
      </c>
      <c r="K368" s="68">
        <v>270.0</v>
      </c>
      <c r="L368" s="68">
        <v>10.0</v>
      </c>
      <c r="M368" s="27">
        <v>0.0034</v>
      </c>
      <c r="N368" s="27">
        <v>0.0037</v>
      </c>
      <c r="O368" s="27">
        <v>0.8537</v>
      </c>
      <c r="P368" s="27">
        <v>0.8889</v>
      </c>
      <c r="Q368" s="68">
        <v>1.0</v>
      </c>
      <c r="R368" s="68">
        <v>0.0</v>
      </c>
      <c r="S368" s="27">
        <v>0.0046</v>
      </c>
      <c r="T368" s="27">
        <v>0.0</v>
      </c>
      <c r="U368" s="197">
        <v>25250.0</v>
      </c>
      <c r="V368" s="197">
        <v>0.0</v>
      </c>
      <c r="W368" s="68">
        <v>1.0</v>
      </c>
      <c r="X368" s="68">
        <v>0.0</v>
      </c>
    </row>
    <row r="369" ht="15.75" customHeight="1">
      <c r="A369" s="10" t="s">
        <v>56</v>
      </c>
      <c r="B369" s="10" t="str">
        <f t="array" ref="B369">_xlfn.XLOOKUP(D369,'Referanc '!$A:$A,'Referanc '!$B:$B)</f>
        <v>TABLE TOP</v>
      </c>
      <c r="C369" s="68" t="s">
        <v>323</v>
      </c>
      <c r="D369" s="68" t="s">
        <v>323</v>
      </c>
      <c r="E369" s="68" t="s">
        <v>1221</v>
      </c>
      <c r="F369" s="10" t="str">
        <f t="array" ref="F369">_xlfn.XLOOKUP(D369,'Referanc '!$A:$A,'Referanc '!$E:$E)</f>
        <v>TABLE TOP</v>
      </c>
      <c r="G369" s="68">
        <v>292.0</v>
      </c>
      <c r="H369" s="68">
        <v>15.0</v>
      </c>
      <c r="I369" s="27">
        <v>0.0048</v>
      </c>
      <c r="J369" s="27">
        <v>0.0075</v>
      </c>
      <c r="K369" s="68">
        <v>357.0</v>
      </c>
      <c r="L369" s="68">
        <v>17.0</v>
      </c>
      <c r="M369" s="27">
        <v>0.0044</v>
      </c>
      <c r="N369" s="27">
        <v>0.0063</v>
      </c>
      <c r="O369" s="27">
        <v>0.7785</v>
      </c>
      <c r="P369" s="27">
        <v>0.8</v>
      </c>
      <c r="Q369" s="68">
        <v>0.0</v>
      </c>
      <c r="R369" s="68">
        <v>0.0</v>
      </c>
      <c r="S369" s="27">
        <v>0.0</v>
      </c>
      <c r="T369" s="27">
        <v>0.0</v>
      </c>
      <c r="U369" s="197">
        <v>0.0</v>
      </c>
      <c r="V369" s="197">
        <v>0.0</v>
      </c>
      <c r="W369" s="68">
        <v>0.0</v>
      </c>
      <c r="X369" s="68">
        <v>0.0</v>
      </c>
    </row>
    <row r="370" ht="15.75" customHeight="1">
      <c r="A370" s="10" t="s">
        <v>56</v>
      </c>
      <c r="B370" s="10" t="str">
        <f t="array" ref="B370">_xlfn.XLOOKUP(D370,'Referanc '!$A:$A,'Referanc '!$B:$B)</f>
        <v>TABLE TOP</v>
      </c>
      <c r="C370" s="68" t="s">
        <v>350</v>
      </c>
      <c r="D370" s="68" t="s">
        <v>350</v>
      </c>
      <c r="E370" s="68" t="s">
        <v>531</v>
      </c>
      <c r="F370" s="10" t="str">
        <f t="array" ref="F370">_xlfn.XLOOKUP(D370,'Referanc '!$A:$A,'Referanc '!$E:$E)</f>
        <v>TABLE TOP</v>
      </c>
      <c r="G370" s="68">
        <v>212.0</v>
      </c>
      <c r="H370" s="68">
        <v>11.0</v>
      </c>
      <c r="I370" s="27">
        <v>0.0035</v>
      </c>
      <c r="J370" s="27">
        <v>0.0055</v>
      </c>
      <c r="K370" s="68">
        <v>261.0</v>
      </c>
      <c r="L370" s="68">
        <v>11.0</v>
      </c>
      <c r="M370" s="27">
        <v>0.0032</v>
      </c>
      <c r="N370" s="27">
        <v>0.0041</v>
      </c>
      <c r="O370" s="27">
        <v>0.8009</v>
      </c>
      <c r="P370" s="27">
        <v>1.0</v>
      </c>
      <c r="Q370" s="68">
        <v>0.0</v>
      </c>
      <c r="R370" s="68">
        <v>0.0</v>
      </c>
      <c r="S370" s="27">
        <v>0.0</v>
      </c>
      <c r="T370" s="27">
        <v>0.0</v>
      </c>
      <c r="U370" s="197">
        <v>0.0</v>
      </c>
      <c r="V370" s="197">
        <v>0.0</v>
      </c>
      <c r="W370" s="68">
        <v>0.0</v>
      </c>
      <c r="X370" s="68">
        <v>0.0</v>
      </c>
    </row>
    <row r="371" ht="15.75" customHeight="1">
      <c r="A371" s="10" t="s">
        <v>56</v>
      </c>
      <c r="B371" s="10" t="str">
        <f t="array" ref="B371">_xlfn.XLOOKUP(D371,'Referanc '!$A:$A,'Referanc '!$B:$B)</f>
        <v>Standing Table  - M8</v>
      </c>
      <c r="C371" s="68" t="s">
        <v>414</v>
      </c>
      <c r="D371" s="68" t="s">
        <v>414</v>
      </c>
      <c r="E371" s="68" t="s">
        <v>1187</v>
      </c>
      <c r="F371" s="10" t="str">
        <f t="array" ref="F371">_xlfn.XLOOKUP(D371,'Referanc '!$A:$A,'Referanc '!$E:$E)</f>
        <v>M8</v>
      </c>
      <c r="G371" s="68">
        <v>309.0</v>
      </c>
      <c r="H371" s="68">
        <v>5.0</v>
      </c>
      <c r="I371" s="27">
        <v>0.005</v>
      </c>
      <c r="J371" s="27">
        <v>0.0025</v>
      </c>
      <c r="K371" s="68">
        <v>407.0</v>
      </c>
      <c r="L371" s="68">
        <v>6.0</v>
      </c>
      <c r="M371" s="27">
        <v>0.0051</v>
      </c>
      <c r="N371" s="27">
        <v>0.0022</v>
      </c>
      <c r="O371" s="27">
        <v>0.8441</v>
      </c>
      <c r="P371" s="27">
        <v>0.8</v>
      </c>
      <c r="Q371" s="68">
        <v>0.0</v>
      </c>
      <c r="R371" s="68">
        <v>0.0</v>
      </c>
      <c r="S371" s="27">
        <v>0.0</v>
      </c>
      <c r="T371" s="27">
        <v>0.0</v>
      </c>
      <c r="U371" s="197">
        <v>0.0</v>
      </c>
      <c r="V371" s="197">
        <v>0.0</v>
      </c>
      <c r="W371" s="68">
        <v>0.0</v>
      </c>
      <c r="X371" s="68">
        <v>0.0</v>
      </c>
    </row>
    <row r="372" ht="15.75" customHeight="1">
      <c r="A372" s="10" t="s">
        <v>56</v>
      </c>
      <c r="B372" s="10" t="s">
        <v>241</v>
      </c>
      <c r="C372" s="68" t="s">
        <v>339</v>
      </c>
      <c r="D372" s="68" t="s">
        <v>339</v>
      </c>
      <c r="E372" s="68" t="s">
        <v>547</v>
      </c>
      <c r="F372" s="10" t="str">
        <f t="array" ref="F372">_xlfn.XLOOKUP(D372,'Referanc '!$A:$A,'Referanc '!$E:$E)</f>
        <v>Anti Fatigue Mat</v>
      </c>
      <c r="G372" s="68">
        <v>96.0</v>
      </c>
      <c r="H372" s="68">
        <v>4.0</v>
      </c>
      <c r="I372" s="27">
        <v>0.0016</v>
      </c>
      <c r="J372" s="27">
        <v>0.002</v>
      </c>
      <c r="K372" s="68">
        <v>105.0</v>
      </c>
      <c r="L372" s="68">
        <v>4.0</v>
      </c>
      <c r="M372" s="27">
        <v>0.0013</v>
      </c>
      <c r="N372" s="27">
        <v>0.0015</v>
      </c>
      <c r="O372" s="27">
        <v>0.9709</v>
      </c>
      <c r="P372" s="27">
        <v>1.0</v>
      </c>
      <c r="Q372" s="68">
        <v>0.0</v>
      </c>
      <c r="R372" s="68">
        <v>0.0</v>
      </c>
      <c r="S372" s="27">
        <v>0.0</v>
      </c>
      <c r="T372" s="27">
        <v>0.0</v>
      </c>
      <c r="U372" s="197">
        <v>0.0</v>
      </c>
      <c r="V372" s="197">
        <v>0.0</v>
      </c>
      <c r="W372" s="68">
        <v>0.0</v>
      </c>
      <c r="X372" s="68">
        <v>0.0</v>
      </c>
    </row>
    <row r="373" ht="15.75" customHeight="1">
      <c r="A373" s="10" t="s">
        <v>56</v>
      </c>
      <c r="B373" s="10" t="str">
        <f t="array" ref="B373">_xlfn.XLOOKUP(D373,'Referanc '!$A:$A,'Referanc '!$B:$B)</f>
        <v>Single Leg Gas</v>
      </c>
      <c r="C373" s="68" t="s">
        <v>362</v>
      </c>
      <c r="D373" s="68" t="s">
        <v>362</v>
      </c>
      <c r="E373" s="68" t="s">
        <v>610</v>
      </c>
      <c r="F373" s="10" t="str">
        <f t="array" ref="F373">_xlfn.XLOOKUP(D373,'Referanc '!$A:$A,'Referanc '!$E:$E)</f>
        <v>Single Leg Gas</v>
      </c>
      <c r="G373" s="68">
        <v>81.0</v>
      </c>
      <c r="H373" s="68">
        <v>4.0</v>
      </c>
      <c r="I373" s="27">
        <v>0.0013</v>
      </c>
      <c r="J373" s="27">
        <v>0.002</v>
      </c>
      <c r="K373" s="68">
        <v>118.0</v>
      </c>
      <c r="L373" s="68">
        <v>4.0</v>
      </c>
      <c r="M373" s="27">
        <v>0.0015</v>
      </c>
      <c r="N373" s="27">
        <v>0.0015</v>
      </c>
      <c r="O373" s="27">
        <v>0.901</v>
      </c>
      <c r="P373" s="27">
        <v>1.0</v>
      </c>
      <c r="Q373" s="68">
        <v>0.0</v>
      </c>
      <c r="R373" s="68">
        <v>0.0</v>
      </c>
      <c r="S373" s="27">
        <v>0.0</v>
      </c>
      <c r="T373" s="27">
        <v>0.0</v>
      </c>
      <c r="U373" s="197">
        <v>0.0</v>
      </c>
      <c r="V373" s="197">
        <v>0.0</v>
      </c>
      <c r="W373" s="68">
        <v>0.0</v>
      </c>
      <c r="X373" s="68">
        <v>0.0</v>
      </c>
    </row>
    <row r="374" ht="15.75" customHeight="1">
      <c r="A374" s="10" t="s">
        <v>56</v>
      </c>
      <c r="B374" s="10" t="str">
        <f t="array" ref="B374">_xlfn.XLOOKUP(D374,'Referanc '!$A:$A,'Referanc '!$B:$B)</f>
        <v>Standing Table - All Frames</v>
      </c>
      <c r="C374" s="68" t="s">
        <v>343</v>
      </c>
      <c r="D374" s="68" t="s">
        <v>343</v>
      </c>
      <c r="E374" s="68" t="s">
        <v>1228</v>
      </c>
      <c r="F374" s="10" t="str">
        <f t="array" ref="F374">_xlfn.XLOOKUP(D374,'Referanc '!$A:$A,'Referanc '!$E:$E)</f>
        <v>E3</v>
      </c>
      <c r="G374" s="68">
        <v>337.0</v>
      </c>
      <c r="H374" s="68">
        <v>13.0</v>
      </c>
      <c r="I374" s="27">
        <v>0.0055</v>
      </c>
      <c r="J374" s="27">
        <v>0.0065</v>
      </c>
      <c r="K374" s="68">
        <v>438.0</v>
      </c>
      <c r="L374" s="68">
        <v>21.0</v>
      </c>
      <c r="M374" s="27">
        <v>0.0055</v>
      </c>
      <c r="N374" s="27">
        <v>0.0078</v>
      </c>
      <c r="O374" s="27">
        <v>0.8852</v>
      </c>
      <c r="P374" s="27">
        <v>1.0</v>
      </c>
      <c r="Q374" s="68">
        <v>0.0</v>
      </c>
      <c r="R374" s="68">
        <v>0.0</v>
      </c>
      <c r="S374" s="27">
        <v>0.0</v>
      </c>
      <c r="T374" s="27">
        <v>0.0</v>
      </c>
      <c r="U374" s="197">
        <v>0.0</v>
      </c>
      <c r="V374" s="197">
        <v>0.0</v>
      </c>
      <c r="W374" s="68">
        <v>0.0</v>
      </c>
      <c r="X374" s="68">
        <v>0.0</v>
      </c>
    </row>
    <row r="375" ht="15.75" customHeight="1">
      <c r="A375" s="10" t="s">
        <v>56</v>
      </c>
      <c r="B375" s="10" t="str">
        <f t="array" ref="B375">_xlfn.XLOOKUP(D375,'Referanc '!$A:$A,'Referanc '!$B:$B)</f>
        <v>Standing Table  - E2</v>
      </c>
      <c r="C375" s="68" t="s">
        <v>390</v>
      </c>
      <c r="D375" s="68" t="s">
        <v>390</v>
      </c>
      <c r="E375" s="68" t="s">
        <v>1182</v>
      </c>
      <c r="F375" s="10" t="str">
        <f t="array" ref="F375">_xlfn.XLOOKUP(D375,'Referanc '!$A:$A,'Referanc '!$E:$E)</f>
        <v>E2</v>
      </c>
      <c r="G375" s="68">
        <v>5.0</v>
      </c>
      <c r="H375" s="68">
        <v>0.0</v>
      </c>
      <c r="I375" s="27">
        <v>1.0E-4</v>
      </c>
      <c r="J375" s="27">
        <v>0.0</v>
      </c>
      <c r="K375" s="68">
        <v>8.0</v>
      </c>
      <c r="L375" s="68">
        <v>0.0</v>
      </c>
      <c r="M375" s="27">
        <v>1.0E-4</v>
      </c>
      <c r="N375" s="27">
        <v>0.0</v>
      </c>
      <c r="O375" s="27">
        <v>0.8571</v>
      </c>
      <c r="P375" s="27">
        <v>0.0</v>
      </c>
      <c r="Q375" s="68">
        <v>0.0</v>
      </c>
      <c r="R375" s="68">
        <v>0.0</v>
      </c>
      <c r="S375" s="27">
        <v>0.0</v>
      </c>
      <c r="T375" s="27">
        <v>0.0</v>
      </c>
      <c r="U375" s="197">
        <v>0.0</v>
      </c>
      <c r="V375" s="197">
        <v>0.0</v>
      </c>
      <c r="W375" s="68">
        <v>0.0</v>
      </c>
      <c r="X375" s="68">
        <v>0.0</v>
      </c>
    </row>
    <row r="376" ht="15.75" customHeight="1">
      <c r="A376" s="10" t="s">
        <v>56</v>
      </c>
      <c r="B376" s="10" t="str">
        <f t="array" ref="B376">_xlfn.XLOOKUP(D376,'Referanc '!$A:$A,'Referanc '!$B:$B)</f>
        <v>Standing Table  - E2</v>
      </c>
      <c r="C376" s="68" t="s">
        <v>392</v>
      </c>
      <c r="D376" s="68" t="s">
        <v>392</v>
      </c>
      <c r="E376" s="68" t="s">
        <v>670</v>
      </c>
      <c r="F376" s="10" t="str">
        <f t="array" ref="F376">_xlfn.XLOOKUP(D376,'Referanc '!$A:$A,'Referanc '!$E:$E)</f>
        <v>E2</v>
      </c>
      <c r="G376" s="68">
        <v>3.0</v>
      </c>
      <c r="H376" s="68">
        <v>0.0</v>
      </c>
      <c r="I376" s="27">
        <v>0.0</v>
      </c>
      <c r="J376" s="27">
        <v>0.0</v>
      </c>
      <c r="K376" s="68">
        <v>4.0</v>
      </c>
      <c r="L376" s="68">
        <v>0.0</v>
      </c>
      <c r="M376" s="27">
        <v>0.0</v>
      </c>
      <c r="N376" s="27">
        <v>0.0</v>
      </c>
      <c r="O376" s="27">
        <v>1.0</v>
      </c>
      <c r="P376" s="27">
        <v>0.0</v>
      </c>
      <c r="Q376" s="68">
        <v>0.0</v>
      </c>
      <c r="R376" s="68">
        <v>0.0</v>
      </c>
      <c r="S376" s="27">
        <v>0.0</v>
      </c>
      <c r="T376" s="27">
        <v>0.0</v>
      </c>
      <c r="U376" s="197">
        <v>0.0</v>
      </c>
      <c r="V376" s="197">
        <v>0.0</v>
      </c>
      <c r="W376" s="68">
        <v>0.0</v>
      </c>
      <c r="X376" s="68">
        <v>0.0</v>
      </c>
    </row>
    <row r="377" ht="15.75" customHeight="1">
      <c r="A377" s="10" t="s">
        <v>56</v>
      </c>
      <c r="B377" s="10" t="str">
        <f t="array" ref="B377">_xlfn.XLOOKUP(D377,'Referanc '!$A:$A,'Referanc '!$B:$B)</f>
        <v>Standing Table  - E2</v>
      </c>
      <c r="C377" s="68" t="s">
        <v>393</v>
      </c>
      <c r="D377" s="68" t="s">
        <v>393</v>
      </c>
      <c r="E377" s="68" t="s">
        <v>1163</v>
      </c>
      <c r="F377" s="10" t="str">
        <f t="array" ref="F377">_xlfn.XLOOKUP(D377,'Referanc '!$A:$A,'Referanc '!$E:$E)</f>
        <v>E2</v>
      </c>
      <c r="G377" s="68">
        <v>27.0</v>
      </c>
      <c r="H377" s="68">
        <v>0.0</v>
      </c>
      <c r="I377" s="27">
        <v>4.0E-4</v>
      </c>
      <c r="J377" s="27">
        <v>0.0</v>
      </c>
      <c r="K377" s="68">
        <v>41.0</v>
      </c>
      <c r="L377" s="68">
        <v>0.0</v>
      </c>
      <c r="M377" s="27">
        <v>5.0E-4</v>
      </c>
      <c r="N377" s="27">
        <v>0.0</v>
      </c>
      <c r="O377" s="27">
        <v>1.0</v>
      </c>
      <c r="P377" s="27">
        <v>0.0</v>
      </c>
      <c r="Q377" s="68">
        <v>0.0</v>
      </c>
      <c r="R377" s="68">
        <v>0.0</v>
      </c>
      <c r="S377" s="27">
        <v>0.0</v>
      </c>
      <c r="T377" s="27">
        <v>0.0</v>
      </c>
      <c r="U377" s="197">
        <v>0.0</v>
      </c>
      <c r="V377" s="197">
        <v>0.0</v>
      </c>
      <c r="W377" s="68">
        <v>0.0</v>
      </c>
      <c r="X377" s="68">
        <v>0.0</v>
      </c>
    </row>
    <row r="378" ht="15.75" customHeight="1">
      <c r="A378" s="10" t="s">
        <v>56</v>
      </c>
      <c r="B378" s="10" t="str">
        <f t="array" ref="B378">_xlfn.XLOOKUP(D378,'Referanc '!$A:$A,'Referanc '!$B:$B)</f>
        <v>Standing Table  - E2</v>
      </c>
      <c r="C378" s="68" t="s">
        <v>394</v>
      </c>
      <c r="D378" s="68" t="s">
        <v>394</v>
      </c>
      <c r="E378" s="68" t="s">
        <v>672</v>
      </c>
      <c r="F378" s="10" t="str">
        <f t="array" ref="F378">_xlfn.XLOOKUP(D378,'Referanc '!$A:$A,'Referanc '!$E:$E)</f>
        <v>E2</v>
      </c>
      <c r="G378" s="68">
        <v>6.0</v>
      </c>
      <c r="H378" s="68">
        <v>0.0</v>
      </c>
      <c r="I378" s="27">
        <v>1.0E-4</v>
      </c>
      <c r="J378" s="27">
        <v>0.0</v>
      </c>
      <c r="K378" s="68">
        <v>6.0</v>
      </c>
      <c r="L378" s="68">
        <v>0.0</v>
      </c>
      <c r="M378" s="27">
        <v>1.0E-4</v>
      </c>
      <c r="N378" s="27">
        <v>0.0</v>
      </c>
      <c r="O378" s="27">
        <v>1.0</v>
      </c>
      <c r="P378" s="27">
        <v>0.0</v>
      </c>
      <c r="Q378" s="68">
        <v>0.0</v>
      </c>
      <c r="R378" s="68">
        <v>0.0</v>
      </c>
      <c r="S378" s="27">
        <v>0.0</v>
      </c>
      <c r="T378" s="27">
        <v>0.0</v>
      </c>
      <c r="U378" s="197">
        <v>0.0</v>
      </c>
      <c r="V378" s="197">
        <v>0.0</v>
      </c>
      <c r="W378" s="68">
        <v>0.0</v>
      </c>
      <c r="X378" s="68">
        <v>0.0</v>
      </c>
    </row>
    <row r="379" ht="15.75" customHeight="1">
      <c r="A379" s="10" t="s">
        <v>56</v>
      </c>
      <c r="B379" s="10" t="str">
        <f t="array" ref="B379">_xlfn.XLOOKUP(D379,'Referanc '!$A:$A,'Referanc '!$B:$B)</f>
        <v>Standing Table  - E3</v>
      </c>
      <c r="C379" s="68" t="s">
        <v>397</v>
      </c>
      <c r="D379" s="68" t="s">
        <v>397</v>
      </c>
      <c r="E379" s="68" t="s">
        <v>1154</v>
      </c>
      <c r="F379" s="10" t="str">
        <f t="array" ref="F379">_xlfn.XLOOKUP(D379,'Referanc '!$A:$A,'Referanc '!$E:$E)</f>
        <v>E3</v>
      </c>
      <c r="G379" s="68">
        <v>89.0</v>
      </c>
      <c r="H379" s="68">
        <v>2.0</v>
      </c>
      <c r="I379" s="27">
        <v>0.0015</v>
      </c>
      <c r="J379" s="27">
        <v>0.001</v>
      </c>
      <c r="K379" s="68">
        <v>108.0</v>
      </c>
      <c r="L379" s="68">
        <v>2.0</v>
      </c>
      <c r="M379" s="27">
        <v>0.0013</v>
      </c>
      <c r="N379" s="27">
        <v>7.0E-4</v>
      </c>
      <c r="O379" s="27">
        <v>0.8901</v>
      </c>
      <c r="P379" s="27">
        <v>1.0</v>
      </c>
      <c r="Q379" s="68">
        <v>0.0</v>
      </c>
      <c r="R379" s="68">
        <v>0.0</v>
      </c>
      <c r="S379" s="27">
        <v>0.0</v>
      </c>
      <c r="T379" s="27">
        <v>0.0</v>
      </c>
      <c r="U379" s="197">
        <v>0.0</v>
      </c>
      <c r="V379" s="197">
        <v>0.0</v>
      </c>
      <c r="W379" s="68">
        <v>0.0</v>
      </c>
      <c r="X379" s="68">
        <v>0.0</v>
      </c>
    </row>
    <row r="380" ht="15.75" customHeight="1">
      <c r="A380" s="10" t="s">
        <v>56</v>
      </c>
      <c r="B380" s="10" t="str">
        <f t="array" ref="B380">_xlfn.XLOOKUP(D380,'Referanc '!$A:$A,'Referanc '!$B:$B)</f>
        <v>Standing Table  - E3</v>
      </c>
      <c r="C380" s="68" t="s">
        <v>400</v>
      </c>
      <c r="D380" s="68" t="s">
        <v>400</v>
      </c>
      <c r="E380" s="68" t="s">
        <v>1130</v>
      </c>
      <c r="F380" s="10" t="str">
        <f t="array" ref="F380">_xlfn.XLOOKUP(D380,'Referanc '!$A:$A,'Referanc '!$E:$E)</f>
        <v>E3</v>
      </c>
      <c r="G380" s="68">
        <v>139.0</v>
      </c>
      <c r="H380" s="68">
        <v>5.0</v>
      </c>
      <c r="I380" s="27">
        <v>0.0023</v>
      </c>
      <c r="J380" s="27">
        <v>0.0025</v>
      </c>
      <c r="K380" s="68">
        <v>189.0</v>
      </c>
      <c r="L380" s="68">
        <v>5.0</v>
      </c>
      <c r="M380" s="27">
        <v>0.0024</v>
      </c>
      <c r="N380" s="27">
        <v>0.0019</v>
      </c>
      <c r="O380" s="27">
        <v>0.9091</v>
      </c>
      <c r="P380" s="27">
        <v>1.0</v>
      </c>
      <c r="Q380" s="68">
        <v>0.0</v>
      </c>
      <c r="R380" s="68">
        <v>0.0</v>
      </c>
      <c r="S380" s="27">
        <v>0.0</v>
      </c>
      <c r="T380" s="27">
        <v>0.0</v>
      </c>
      <c r="U380" s="197">
        <v>0.0</v>
      </c>
      <c r="V380" s="197">
        <v>0.0</v>
      </c>
      <c r="W380" s="68">
        <v>0.0</v>
      </c>
      <c r="X380" s="68">
        <v>0.0</v>
      </c>
    </row>
    <row r="381" ht="15.75" customHeight="1">
      <c r="A381" s="10" t="s">
        <v>56</v>
      </c>
      <c r="B381" s="10" t="str">
        <f t="array" ref="B381">_xlfn.XLOOKUP(D381,'Referanc '!$A:$A,'Referanc '!$B:$B)</f>
        <v>Standing Table  - E3</v>
      </c>
      <c r="C381" s="68" t="s">
        <v>366</v>
      </c>
      <c r="D381" s="68" t="s">
        <v>366</v>
      </c>
      <c r="E381" s="68" t="s">
        <v>1124</v>
      </c>
      <c r="F381" s="10" t="str">
        <f t="array" ref="F381">_xlfn.XLOOKUP(D381,'Referanc '!$A:$A,'Referanc '!$E:$E)</f>
        <v>E3</v>
      </c>
      <c r="G381" s="68">
        <v>187.0</v>
      </c>
      <c r="H381" s="68">
        <v>4.0</v>
      </c>
      <c r="I381" s="27">
        <v>0.0031</v>
      </c>
      <c r="J381" s="27">
        <v>0.002</v>
      </c>
      <c r="K381" s="68">
        <v>247.0</v>
      </c>
      <c r="L381" s="68">
        <v>5.0</v>
      </c>
      <c r="M381" s="27">
        <v>0.0031</v>
      </c>
      <c r="N381" s="27">
        <v>0.0019</v>
      </c>
      <c r="O381" s="27">
        <v>0.8654</v>
      </c>
      <c r="P381" s="27">
        <v>0.8</v>
      </c>
      <c r="Q381" s="68">
        <v>0.0</v>
      </c>
      <c r="R381" s="68">
        <v>0.0</v>
      </c>
      <c r="S381" s="27">
        <v>0.0</v>
      </c>
      <c r="T381" s="27">
        <v>0.0</v>
      </c>
      <c r="U381" s="197">
        <v>0.0</v>
      </c>
      <c r="V381" s="197">
        <v>0.0</v>
      </c>
      <c r="W381" s="68">
        <v>0.0</v>
      </c>
      <c r="X381" s="68">
        <v>0.0</v>
      </c>
    </row>
    <row r="382" ht="15.75" customHeight="1">
      <c r="A382" s="10" t="s">
        <v>56</v>
      </c>
      <c r="B382" s="10" t="str">
        <f t="array" ref="B382">_xlfn.XLOOKUP(D382,'Referanc '!$A:$A,'Referanc '!$B:$B)</f>
        <v>Monitor Stand </v>
      </c>
      <c r="C382" s="68" t="s">
        <v>352</v>
      </c>
      <c r="D382" s="68" t="s">
        <v>352</v>
      </c>
      <c r="E382" s="68" t="s">
        <v>1234</v>
      </c>
      <c r="F382" s="10" t="str">
        <f t="array" ref="F382">_xlfn.XLOOKUP(D382,'Referanc '!$A:$A,'Referanc '!$E:$E)</f>
        <v>Monitor Arm Stand</v>
      </c>
      <c r="G382" s="68">
        <v>787.0</v>
      </c>
      <c r="H382" s="68">
        <v>16.0</v>
      </c>
      <c r="I382" s="27">
        <v>0.0128</v>
      </c>
      <c r="J382" s="27">
        <v>0.0081</v>
      </c>
      <c r="K382" s="68">
        <v>859.0</v>
      </c>
      <c r="L382" s="68">
        <v>17.0</v>
      </c>
      <c r="M382" s="27">
        <v>0.0107</v>
      </c>
      <c r="N382" s="27">
        <v>0.0063</v>
      </c>
      <c r="O382" s="27">
        <v>0.7709</v>
      </c>
      <c r="P382" s="27">
        <v>0.8333</v>
      </c>
      <c r="Q382" s="68">
        <v>0.0</v>
      </c>
      <c r="R382" s="68">
        <v>0.0</v>
      </c>
      <c r="S382" s="27">
        <v>0.0</v>
      </c>
      <c r="T382" s="27">
        <v>0.0</v>
      </c>
      <c r="U382" s="197">
        <v>0.0</v>
      </c>
      <c r="V382" s="197">
        <v>0.0</v>
      </c>
      <c r="W382" s="68">
        <v>0.0</v>
      </c>
      <c r="X382" s="68">
        <v>0.0</v>
      </c>
    </row>
    <row r="383" ht="15.75" customHeight="1">
      <c r="A383" s="10" t="s">
        <v>56</v>
      </c>
      <c r="B383" s="10" t="str">
        <f t="array" ref="B383">_xlfn.XLOOKUP(D383,'Referanc '!$A:$A,'Referanc '!$B:$B)</f>
        <v>Standing Table  - E1A</v>
      </c>
      <c r="C383" s="68" t="s">
        <v>367</v>
      </c>
      <c r="D383" s="68" t="s">
        <v>367</v>
      </c>
      <c r="E383" s="68" t="s">
        <v>1235</v>
      </c>
      <c r="F383" s="10" t="str">
        <f t="array" ref="F383">_xlfn.XLOOKUP(D383,'Referanc '!$A:$A,'Referanc '!$E:$E)</f>
        <v>E1A</v>
      </c>
      <c r="G383" s="68">
        <v>663.0</v>
      </c>
      <c r="H383" s="68">
        <v>29.0</v>
      </c>
      <c r="I383" s="27">
        <v>0.0108</v>
      </c>
      <c r="J383" s="27">
        <v>0.0146</v>
      </c>
      <c r="K383" s="68">
        <v>789.0</v>
      </c>
      <c r="L383" s="68">
        <v>39.0</v>
      </c>
      <c r="M383" s="27">
        <v>0.0098</v>
      </c>
      <c r="N383" s="27">
        <v>0.0145</v>
      </c>
      <c r="O383" s="27">
        <v>0.7658</v>
      </c>
      <c r="P383" s="27">
        <v>0.6818</v>
      </c>
      <c r="Q383" s="68">
        <v>0.0</v>
      </c>
      <c r="R383" s="68">
        <v>0.0</v>
      </c>
      <c r="S383" s="27">
        <v>0.0</v>
      </c>
      <c r="T383" s="27">
        <v>0.0</v>
      </c>
      <c r="U383" s="197">
        <v>0.0</v>
      </c>
      <c r="V383" s="197">
        <v>0.0</v>
      </c>
      <c r="W383" s="68">
        <v>0.0</v>
      </c>
      <c r="X383" s="68">
        <v>0.0</v>
      </c>
    </row>
    <row r="384" ht="15.75" customHeight="1">
      <c r="A384" s="10" t="s">
        <v>56</v>
      </c>
      <c r="B384" s="10" t="str">
        <f t="array" ref="B384">_xlfn.XLOOKUP(D384,'Referanc '!$A:$A,'Referanc '!$B:$B)</f>
        <v>Standing Table  - E1A</v>
      </c>
      <c r="C384" s="68" t="s">
        <v>372</v>
      </c>
      <c r="D384" s="68" t="s">
        <v>372</v>
      </c>
      <c r="E384" s="68" t="s">
        <v>1237</v>
      </c>
      <c r="F384" s="10" t="str">
        <f t="array" ref="F384">_xlfn.XLOOKUP(D384,'Referanc '!$A:$A,'Referanc '!$E:$E)</f>
        <v>E1A</v>
      </c>
      <c r="G384" s="68">
        <v>146.0</v>
      </c>
      <c r="H384" s="68">
        <v>9.0</v>
      </c>
      <c r="I384" s="27">
        <v>0.0024</v>
      </c>
      <c r="J384" s="27">
        <v>0.0045</v>
      </c>
      <c r="K384" s="68">
        <v>177.0</v>
      </c>
      <c r="L384" s="68">
        <v>10.0</v>
      </c>
      <c r="M384" s="27">
        <v>0.0022</v>
      </c>
      <c r="N384" s="27">
        <v>0.0037</v>
      </c>
      <c r="O384" s="27">
        <v>0.8712</v>
      </c>
      <c r="P384" s="27">
        <v>0.6</v>
      </c>
      <c r="Q384" s="68">
        <v>0.0</v>
      </c>
      <c r="R384" s="68">
        <v>0.0</v>
      </c>
      <c r="S384" s="27">
        <v>0.0</v>
      </c>
      <c r="T384" s="27">
        <v>0.0</v>
      </c>
      <c r="U384" s="197">
        <v>0.0</v>
      </c>
      <c r="V384" s="197">
        <v>0.0</v>
      </c>
      <c r="W384" s="68">
        <v>0.0</v>
      </c>
      <c r="X384" s="68">
        <v>0.0</v>
      </c>
    </row>
    <row r="385" ht="15.75" customHeight="1">
      <c r="A385" s="10" t="s">
        <v>56</v>
      </c>
      <c r="B385" s="10" t="str">
        <f t="array" ref="B385">_xlfn.XLOOKUP(D385,'Referanc '!$A:$A,'Referanc '!$B:$B)</f>
        <v>Standing Table  - E1A</v>
      </c>
      <c r="C385" s="68" t="s">
        <v>378</v>
      </c>
      <c r="D385" s="68" t="s">
        <v>378</v>
      </c>
      <c r="E385" s="68" t="s">
        <v>1239</v>
      </c>
      <c r="F385" s="10" t="str">
        <f t="array" ref="F385">_xlfn.XLOOKUP(D385,'Referanc '!$A:$A,'Referanc '!$E:$E)</f>
        <v>E1A</v>
      </c>
      <c r="G385" s="68">
        <v>96.0</v>
      </c>
      <c r="H385" s="68">
        <v>6.0</v>
      </c>
      <c r="I385" s="27">
        <v>0.0016</v>
      </c>
      <c r="J385" s="27">
        <v>0.003</v>
      </c>
      <c r="K385" s="68">
        <v>125.0</v>
      </c>
      <c r="L385" s="68">
        <v>8.0</v>
      </c>
      <c r="M385" s="27">
        <v>0.0016</v>
      </c>
      <c r="N385" s="27">
        <v>0.003</v>
      </c>
      <c r="O385" s="27">
        <v>0.9196</v>
      </c>
      <c r="P385" s="27">
        <v>1.0</v>
      </c>
      <c r="Q385" s="68">
        <v>0.0</v>
      </c>
      <c r="R385" s="68">
        <v>0.0</v>
      </c>
      <c r="S385" s="27">
        <v>0.0</v>
      </c>
      <c r="T385" s="27">
        <v>0.0</v>
      </c>
      <c r="U385" s="197">
        <v>0.0</v>
      </c>
      <c r="V385" s="197">
        <v>0.0</v>
      </c>
      <c r="W385" s="68">
        <v>0.0</v>
      </c>
      <c r="X385" s="68">
        <v>0.0</v>
      </c>
    </row>
    <row r="386" ht="15.75" customHeight="1">
      <c r="A386" s="10" t="s">
        <v>56</v>
      </c>
      <c r="B386" s="10" t="str">
        <f t="array" ref="B386">_xlfn.XLOOKUP(D386,'Referanc '!$A:$A,'Referanc '!$B:$B)</f>
        <v>Standing Table  - E1A</v>
      </c>
      <c r="C386" s="68" t="s">
        <v>384</v>
      </c>
      <c r="D386" s="68" t="s">
        <v>384</v>
      </c>
      <c r="E386" s="68" t="s">
        <v>1241</v>
      </c>
      <c r="F386" s="10" t="str">
        <f t="array" ref="F386">_xlfn.XLOOKUP(D386,'Referanc '!$A:$A,'Referanc '!$E:$E)</f>
        <v>E1A</v>
      </c>
      <c r="G386" s="68">
        <v>112.0</v>
      </c>
      <c r="H386" s="68">
        <v>5.0</v>
      </c>
      <c r="I386" s="27">
        <v>0.0018</v>
      </c>
      <c r="J386" s="27">
        <v>0.0025</v>
      </c>
      <c r="K386" s="68">
        <v>136.0</v>
      </c>
      <c r="L386" s="68">
        <v>5.0</v>
      </c>
      <c r="M386" s="27">
        <v>0.0017</v>
      </c>
      <c r="N386" s="27">
        <v>0.0019</v>
      </c>
      <c r="O386" s="27">
        <v>0.9247</v>
      </c>
      <c r="P386" s="27">
        <v>0.0</v>
      </c>
      <c r="Q386" s="68">
        <v>0.0</v>
      </c>
      <c r="R386" s="68">
        <v>0.0</v>
      </c>
      <c r="S386" s="27">
        <v>0.0</v>
      </c>
      <c r="T386" s="27">
        <v>0.0</v>
      </c>
      <c r="U386" s="197">
        <v>0.0</v>
      </c>
      <c r="V386" s="197">
        <v>0.0</v>
      </c>
      <c r="W386" s="68">
        <v>0.0</v>
      </c>
      <c r="X386" s="68">
        <v>0.0</v>
      </c>
    </row>
    <row r="387" ht="15.75" customHeight="1">
      <c r="A387" s="10" t="s">
        <v>56</v>
      </c>
      <c r="B387" s="10" t="str">
        <f t="array" ref="B387">_xlfn.XLOOKUP(D387,'Referanc '!$A:$A,'Referanc '!$B:$B)</f>
        <v>Standing Table  - E4</v>
      </c>
      <c r="C387" s="68" t="s">
        <v>375</v>
      </c>
      <c r="D387" s="68" t="s">
        <v>375</v>
      </c>
      <c r="E387" s="68" t="s">
        <v>1242</v>
      </c>
      <c r="F387" s="10" t="str">
        <f t="array" ref="F387">_xlfn.XLOOKUP(D387,'Referanc '!$A:$A,'Referanc '!$E:$E)</f>
        <v>E4</v>
      </c>
      <c r="G387" s="68">
        <v>211.0</v>
      </c>
      <c r="H387" s="68">
        <v>10.0</v>
      </c>
      <c r="I387" s="27">
        <v>0.0034</v>
      </c>
      <c r="J387" s="27">
        <v>0.005</v>
      </c>
      <c r="K387" s="68">
        <v>276.0</v>
      </c>
      <c r="L387" s="68">
        <v>11.0</v>
      </c>
      <c r="M387" s="27">
        <v>0.0034</v>
      </c>
      <c r="N387" s="27">
        <v>0.0041</v>
      </c>
      <c r="O387" s="27">
        <v>0.839</v>
      </c>
      <c r="P387" s="27">
        <v>0.6667</v>
      </c>
      <c r="Q387" s="68">
        <v>0.0</v>
      </c>
      <c r="R387" s="68">
        <v>0.0</v>
      </c>
      <c r="S387" s="27">
        <v>0.0</v>
      </c>
      <c r="T387" s="27">
        <v>0.0</v>
      </c>
      <c r="U387" s="197">
        <v>0.0</v>
      </c>
      <c r="V387" s="197">
        <v>0.0</v>
      </c>
      <c r="W387" s="68">
        <v>0.0</v>
      </c>
      <c r="X387" s="68">
        <v>0.0</v>
      </c>
    </row>
    <row r="388" ht="15.75" customHeight="1">
      <c r="A388" s="10" t="s">
        <v>56</v>
      </c>
      <c r="B388" s="10" t="str">
        <f t="array" ref="B388">_xlfn.XLOOKUP(D388,'Referanc '!$A:$A,'Referanc '!$B:$B)</f>
        <v>Standing Table  - E4</v>
      </c>
      <c r="C388" s="68" t="s">
        <v>405</v>
      </c>
      <c r="D388" s="68" t="s">
        <v>405</v>
      </c>
      <c r="E388" s="68" t="s">
        <v>674</v>
      </c>
      <c r="F388" s="10" t="str">
        <f t="array" ref="F388">_xlfn.XLOOKUP(D388,'Referanc '!$A:$A,'Referanc '!$E:$E)</f>
        <v>E4</v>
      </c>
      <c r="G388" s="68">
        <v>1.0</v>
      </c>
      <c r="H388" s="68">
        <v>0.0</v>
      </c>
      <c r="I388" s="27">
        <v>0.0</v>
      </c>
      <c r="J388" s="27">
        <v>0.0</v>
      </c>
      <c r="K388" s="68">
        <v>2.0</v>
      </c>
      <c r="L388" s="68">
        <v>0.0</v>
      </c>
      <c r="M388" s="27">
        <v>0.0</v>
      </c>
      <c r="N388" s="27">
        <v>0.0</v>
      </c>
      <c r="O388" s="27">
        <v>1.0</v>
      </c>
      <c r="P388" s="27">
        <v>0.0</v>
      </c>
      <c r="Q388" s="68">
        <v>0.0</v>
      </c>
      <c r="R388" s="68">
        <v>0.0</v>
      </c>
      <c r="S388" s="27">
        <v>0.0</v>
      </c>
      <c r="T388" s="27">
        <v>0.0</v>
      </c>
      <c r="U388" s="197">
        <v>0.0</v>
      </c>
      <c r="V388" s="197">
        <v>0.0</v>
      </c>
      <c r="W388" s="68">
        <v>0.0</v>
      </c>
      <c r="X388" s="68">
        <v>0.0</v>
      </c>
    </row>
    <row r="389" ht="15.75" customHeight="1">
      <c r="A389" s="10" t="s">
        <v>58</v>
      </c>
      <c r="B389" s="10" t="s">
        <v>211</v>
      </c>
      <c r="C389" s="68" t="s">
        <v>314</v>
      </c>
      <c r="D389" s="68" t="s">
        <v>314</v>
      </c>
      <c r="E389" s="68" t="s">
        <v>1244</v>
      </c>
      <c r="F389" s="10" t="str">
        <f t="array" ref="F389">_xlfn.XLOOKUP(D389,'Referanc '!$A:$A,'Referanc '!$E:$E)</f>
        <v>Desk Cable Tray</v>
      </c>
      <c r="G389" s="196">
        <v>2713.0</v>
      </c>
      <c r="H389" s="68">
        <v>145.0</v>
      </c>
      <c r="I389" s="27">
        <v>0.0412</v>
      </c>
      <c r="J389" s="27">
        <v>0.0654</v>
      </c>
      <c r="K389" s="196">
        <v>3978.0</v>
      </c>
      <c r="L389" s="68">
        <v>198.0</v>
      </c>
      <c r="M389" s="27">
        <v>0.0442</v>
      </c>
      <c r="N389" s="27">
        <v>0.0675</v>
      </c>
      <c r="O389" s="27">
        <v>0.9447</v>
      </c>
      <c r="P389" s="27">
        <v>0.9344</v>
      </c>
      <c r="Q389" s="68">
        <v>59.0</v>
      </c>
      <c r="R389" s="68">
        <v>4.0</v>
      </c>
      <c r="S389" s="27">
        <v>0.0217</v>
      </c>
      <c r="T389" s="27">
        <v>0.0276</v>
      </c>
      <c r="U389" s="197">
        <v>92841.0</v>
      </c>
      <c r="V389" s="197">
        <v>5896.0</v>
      </c>
      <c r="W389" s="68">
        <v>43.0</v>
      </c>
      <c r="X389" s="68">
        <v>4.0</v>
      </c>
    </row>
    <row r="390" ht="15.75" customHeight="1">
      <c r="A390" s="10" t="s">
        <v>58</v>
      </c>
      <c r="B390" s="10" t="str">
        <f t="array" ref="B390">_xlfn.XLOOKUP(D390,'Referanc '!$A:$A,'Referanc '!$B:$B)</f>
        <v>Standing Table  - SM3</v>
      </c>
      <c r="C390" s="68" t="s">
        <v>291</v>
      </c>
      <c r="D390" s="68" t="s">
        <v>291</v>
      </c>
      <c r="E390" s="68" t="s">
        <v>1160</v>
      </c>
      <c r="F390" s="10" t="str">
        <f t="array" ref="F390">_xlfn.XLOOKUP(D390,'Referanc '!$A:$A,'Referanc '!$E:$E)</f>
        <v>SM3</v>
      </c>
      <c r="G390" s="196">
        <v>5770.0</v>
      </c>
      <c r="H390" s="68">
        <v>199.0</v>
      </c>
      <c r="I390" s="27">
        <v>0.0877</v>
      </c>
      <c r="J390" s="27">
        <v>0.0897</v>
      </c>
      <c r="K390" s="196">
        <v>8065.0</v>
      </c>
      <c r="L390" s="68">
        <v>258.0</v>
      </c>
      <c r="M390" s="27">
        <v>0.0897</v>
      </c>
      <c r="N390" s="27">
        <v>0.0879</v>
      </c>
      <c r="O390" s="27">
        <v>0.8379</v>
      </c>
      <c r="P390" s="27">
        <v>0.809</v>
      </c>
      <c r="Q390" s="68">
        <v>40.0</v>
      </c>
      <c r="R390" s="68">
        <v>4.0</v>
      </c>
      <c r="S390" s="27">
        <v>0.0069</v>
      </c>
      <c r="T390" s="27">
        <v>0.0201</v>
      </c>
      <c r="U390" s="197">
        <v>823610.57</v>
      </c>
      <c r="V390" s="197">
        <v>84007.48</v>
      </c>
      <c r="W390" s="68">
        <v>40.0</v>
      </c>
      <c r="X390" s="68">
        <v>4.0</v>
      </c>
    </row>
    <row r="391" ht="15.75" customHeight="1">
      <c r="A391" s="10" t="s">
        <v>58</v>
      </c>
      <c r="B391" s="10" t="str">
        <f t="array" ref="B391">_xlfn.XLOOKUP(D391,'Referanc '!$A:$A,'Referanc '!$B:$B)</f>
        <v>Standing Table  - SM3</v>
      </c>
      <c r="C391" s="68" t="s">
        <v>304</v>
      </c>
      <c r="D391" s="68" t="s">
        <v>304</v>
      </c>
      <c r="E391" s="68" t="s">
        <v>1161</v>
      </c>
      <c r="F391" s="10" t="str">
        <f t="array" ref="F391">_xlfn.XLOOKUP(D391,'Referanc '!$A:$A,'Referanc '!$E:$E)</f>
        <v>SM3</v>
      </c>
      <c r="G391" s="196">
        <v>8643.0</v>
      </c>
      <c r="H391" s="68">
        <v>280.0</v>
      </c>
      <c r="I391" s="27">
        <v>0.1313</v>
      </c>
      <c r="J391" s="27">
        <v>0.1262</v>
      </c>
      <c r="K391" s="196">
        <v>12312.0</v>
      </c>
      <c r="L391" s="68">
        <v>366.0</v>
      </c>
      <c r="M391" s="27">
        <v>0.1369</v>
      </c>
      <c r="N391" s="27">
        <v>0.1247</v>
      </c>
      <c r="O391" s="27">
        <v>0.8032</v>
      </c>
      <c r="P391" s="27">
        <v>0.8189</v>
      </c>
      <c r="Q391" s="68">
        <v>32.0</v>
      </c>
      <c r="R391" s="68">
        <v>0.0</v>
      </c>
      <c r="S391" s="27">
        <v>0.0037</v>
      </c>
      <c r="T391" s="27">
        <v>0.0</v>
      </c>
      <c r="U391" s="197">
        <v>670100.0</v>
      </c>
      <c r="V391" s="197">
        <v>0.0</v>
      </c>
      <c r="W391" s="68">
        <v>32.0</v>
      </c>
      <c r="X391" s="68">
        <v>0.0</v>
      </c>
    </row>
    <row r="392" ht="15.75" customHeight="1">
      <c r="A392" s="10" t="s">
        <v>58</v>
      </c>
      <c r="B392" s="10" t="str">
        <f t="array" ref="B392">_xlfn.XLOOKUP(D392,'Referanc '!$A:$A,'Referanc '!$B:$B)</f>
        <v>Standing Table - All Frames</v>
      </c>
      <c r="C392" s="68" t="s">
        <v>298</v>
      </c>
      <c r="D392" s="68" t="s">
        <v>298</v>
      </c>
      <c r="E392" s="68" t="s">
        <v>1168</v>
      </c>
      <c r="F392" s="10" t="str">
        <f t="array" ref="F392">_xlfn.XLOOKUP(D392,'Referanc '!$A:$A,'Referanc '!$E:$E)</f>
        <v>SM3</v>
      </c>
      <c r="G392" s="196">
        <v>2719.0</v>
      </c>
      <c r="H392" s="68">
        <v>105.0</v>
      </c>
      <c r="I392" s="27">
        <v>0.0413</v>
      </c>
      <c r="J392" s="27">
        <v>0.0473</v>
      </c>
      <c r="K392" s="196">
        <v>3533.0</v>
      </c>
      <c r="L392" s="68">
        <v>137.0</v>
      </c>
      <c r="M392" s="27">
        <v>0.0393</v>
      </c>
      <c r="N392" s="27">
        <v>0.0467</v>
      </c>
      <c r="O392" s="27">
        <v>0.837</v>
      </c>
      <c r="P392" s="27">
        <v>0.8375</v>
      </c>
      <c r="Q392" s="68">
        <v>19.0</v>
      </c>
      <c r="R392" s="68">
        <v>3.0</v>
      </c>
      <c r="S392" s="27">
        <v>0.007</v>
      </c>
      <c r="T392" s="27">
        <v>0.0286</v>
      </c>
      <c r="U392" s="197">
        <v>340679.68</v>
      </c>
      <c r="V392" s="197">
        <v>54600.0</v>
      </c>
      <c r="W392" s="68">
        <v>19.0</v>
      </c>
      <c r="X392" s="68">
        <v>3.0</v>
      </c>
    </row>
    <row r="393" ht="15.75" customHeight="1">
      <c r="A393" s="10" t="s">
        <v>58</v>
      </c>
      <c r="B393" s="10" t="str">
        <f t="array" ref="B393">_xlfn.XLOOKUP(D393,'Referanc '!$A:$A,'Referanc '!$B:$B)</f>
        <v>Standing Table  - SM3</v>
      </c>
      <c r="C393" s="68" t="s">
        <v>301</v>
      </c>
      <c r="D393" s="68" t="s">
        <v>301</v>
      </c>
      <c r="E393" s="68" t="s">
        <v>1162</v>
      </c>
      <c r="F393" s="10" t="str">
        <f t="array" ref="F393">_xlfn.XLOOKUP(D393,'Referanc '!$A:$A,'Referanc '!$E:$E)</f>
        <v>SM3</v>
      </c>
      <c r="G393" s="196">
        <v>1946.0</v>
      </c>
      <c r="H393" s="68">
        <v>66.0</v>
      </c>
      <c r="I393" s="27">
        <v>0.0296</v>
      </c>
      <c r="J393" s="27">
        <v>0.0298</v>
      </c>
      <c r="K393" s="196">
        <v>2566.0</v>
      </c>
      <c r="L393" s="68">
        <v>83.0</v>
      </c>
      <c r="M393" s="27">
        <v>0.0285</v>
      </c>
      <c r="N393" s="27">
        <v>0.0283</v>
      </c>
      <c r="O393" s="27">
        <v>0.8687</v>
      </c>
      <c r="P393" s="27">
        <v>0.7174</v>
      </c>
      <c r="Q393" s="68">
        <v>18.0</v>
      </c>
      <c r="R393" s="68">
        <v>0.0</v>
      </c>
      <c r="S393" s="27">
        <v>0.0092</v>
      </c>
      <c r="T393" s="27">
        <v>0.0</v>
      </c>
      <c r="U393" s="197">
        <v>459507.48</v>
      </c>
      <c r="V393" s="197">
        <v>0.0</v>
      </c>
      <c r="W393" s="68">
        <v>18.0</v>
      </c>
      <c r="X393" s="68">
        <v>0.0</v>
      </c>
    </row>
    <row r="394" ht="15.75" customHeight="1">
      <c r="A394" s="10" t="s">
        <v>58</v>
      </c>
      <c r="B394" s="10" t="s">
        <v>211</v>
      </c>
      <c r="C394" s="68" t="s">
        <v>325</v>
      </c>
      <c r="D394" s="68" t="s">
        <v>325</v>
      </c>
      <c r="E394" s="68" t="s">
        <v>689</v>
      </c>
      <c r="F394" s="10" t="str">
        <f t="array" ref="F394">_xlfn.XLOOKUP(D394,'Referanc '!$A:$A,'Referanc '!$E:$E)</f>
        <v>Desk Cable Tray</v>
      </c>
      <c r="G394" s="68">
        <v>410.0</v>
      </c>
      <c r="H394" s="68">
        <v>18.0</v>
      </c>
      <c r="I394" s="27">
        <v>0.0062</v>
      </c>
      <c r="J394" s="27">
        <v>0.0081</v>
      </c>
      <c r="K394" s="68">
        <v>691.0</v>
      </c>
      <c r="L394" s="68">
        <v>28.0</v>
      </c>
      <c r="M394" s="27">
        <v>0.0077</v>
      </c>
      <c r="N394" s="27">
        <v>0.0095</v>
      </c>
      <c r="O394" s="27">
        <v>0.9037</v>
      </c>
      <c r="P394" s="27">
        <v>0.8571</v>
      </c>
      <c r="Q394" s="68">
        <v>17.0</v>
      </c>
      <c r="R394" s="68">
        <v>0.0</v>
      </c>
      <c r="S394" s="27">
        <v>0.0415</v>
      </c>
      <c r="T394" s="27">
        <v>0.0</v>
      </c>
      <c r="U394" s="197">
        <v>34451.11</v>
      </c>
      <c r="V394" s="197">
        <v>0.0</v>
      </c>
      <c r="W394" s="68">
        <v>17.0</v>
      </c>
      <c r="X394" s="68">
        <v>0.0</v>
      </c>
    </row>
    <row r="395" ht="15.75" customHeight="1">
      <c r="A395" s="10" t="s">
        <v>58</v>
      </c>
      <c r="B395" s="10" t="str">
        <f t="array" ref="B395">_xlfn.XLOOKUP(D395,'Referanc '!$A:$A,'Referanc '!$B:$B)</f>
        <v>Standing Table  - SM3</v>
      </c>
      <c r="C395" s="68" t="s">
        <v>296</v>
      </c>
      <c r="D395" s="68" t="s">
        <v>296</v>
      </c>
      <c r="E395" s="68" t="s">
        <v>1165</v>
      </c>
      <c r="F395" s="10" t="str">
        <f t="array" ref="F395">_xlfn.XLOOKUP(D395,'Referanc '!$A:$A,'Referanc '!$E:$E)</f>
        <v>SM3</v>
      </c>
      <c r="G395" s="196">
        <v>2664.0</v>
      </c>
      <c r="H395" s="68">
        <v>61.0</v>
      </c>
      <c r="I395" s="27">
        <v>0.0405</v>
      </c>
      <c r="J395" s="27">
        <v>0.0275</v>
      </c>
      <c r="K395" s="196">
        <v>3412.0</v>
      </c>
      <c r="L395" s="68">
        <v>78.0</v>
      </c>
      <c r="M395" s="27">
        <v>0.0379</v>
      </c>
      <c r="N395" s="27">
        <v>0.0266</v>
      </c>
      <c r="O395" s="27">
        <v>0.8087</v>
      </c>
      <c r="P395" s="27">
        <v>0.898</v>
      </c>
      <c r="Q395" s="68">
        <v>14.0</v>
      </c>
      <c r="R395" s="68">
        <v>1.0</v>
      </c>
      <c r="S395" s="27">
        <v>0.0053</v>
      </c>
      <c r="T395" s="27">
        <v>0.0164</v>
      </c>
      <c r="U395" s="197">
        <v>348125.44</v>
      </c>
      <c r="V395" s="197">
        <v>24754.24</v>
      </c>
      <c r="W395" s="68">
        <v>14.0</v>
      </c>
      <c r="X395" s="68">
        <v>1.0</v>
      </c>
    </row>
    <row r="396" ht="15.75" customHeight="1">
      <c r="A396" s="10" t="s">
        <v>58</v>
      </c>
      <c r="B396" s="10" t="str">
        <f t="array" ref="B396">_xlfn.XLOOKUP(D396,'Referanc '!$A:$A,'Referanc '!$B:$B)</f>
        <v>Standing Table  - E2</v>
      </c>
      <c r="C396" s="68" t="s">
        <v>313</v>
      </c>
      <c r="D396" s="68" t="s">
        <v>313</v>
      </c>
      <c r="E396" s="68" t="s">
        <v>672</v>
      </c>
      <c r="F396" s="10" t="str">
        <f t="array" ref="F396">_xlfn.XLOOKUP(D396,'Referanc '!$A:$A,'Referanc '!$E:$E)</f>
        <v>E2</v>
      </c>
      <c r="G396" s="196">
        <v>1797.0</v>
      </c>
      <c r="H396" s="68">
        <v>50.0</v>
      </c>
      <c r="I396" s="27">
        <v>0.0273</v>
      </c>
      <c r="J396" s="27">
        <v>0.0225</v>
      </c>
      <c r="K396" s="196">
        <v>2487.0</v>
      </c>
      <c r="L396" s="68">
        <v>60.0</v>
      </c>
      <c r="M396" s="27">
        <v>0.0276</v>
      </c>
      <c r="N396" s="27">
        <v>0.0204</v>
      </c>
      <c r="O396" s="27">
        <v>0.8786</v>
      </c>
      <c r="P396" s="27">
        <v>0.7333</v>
      </c>
      <c r="Q396" s="68">
        <v>14.0</v>
      </c>
      <c r="R396" s="68">
        <v>0.0</v>
      </c>
      <c r="S396" s="27">
        <v>0.0078</v>
      </c>
      <c r="T396" s="27">
        <v>0.0</v>
      </c>
      <c r="U396" s="197">
        <v>424696.61</v>
      </c>
      <c r="V396" s="197">
        <v>0.0</v>
      </c>
      <c r="W396" s="68">
        <v>14.0</v>
      </c>
      <c r="X396" s="68">
        <v>0.0</v>
      </c>
    </row>
    <row r="397" ht="15.75" customHeight="1">
      <c r="A397" s="10" t="s">
        <v>58</v>
      </c>
      <c r="B397" s="10" t="str">
        <f t="array" ref="B397">_xlfn.XLOOKUP(D397,'Referanc '!$A:$A,'Referanc '!$B:$B)</f>
        <v>Standing Table  - E2</v>
      </c>
      <c r="C397" s="68" t="s">
        <v>309</v>
      </c>
      <c r="D397" s="68" t="s">
        <v>309</v>
      </c>
      <c r="E397" s="68" t="s">
        <v>1182</v>
      </c>
      <c r="F397" s="10" t="str">
        <f t="array" ref="F397">_xlfn.XLOOKUP(D397,'Referanc '!$A:$A,'Referanc '!$E:$E)</f>
        <v>E2</v>
      </c>
      <c r="G397" s="196">
        <v>1499.0</v>
      </c>
      <c r="H397" s="68">
        <v>69.0</v>
      </c>
      <c r="I397" s="27">
        <v>0.0228</v>
      </c>
      <c r="J397" s="27">
        <v>0.0311</v>
      </c>
      <c r="K397" s="196">
        <v>2141.0</v>
      </c>
      <c r="L397" s="68">
        <v>97.0</v>
      </c>
      <c r="M397" s="27">
        <v>0.0238</v>
      </c>
      <c r="N397" s="27">
        <v>0.0331</v>
      </c>
      <c r="O397" s="27">
        <v>0.8751</v>
      </c>
      <c r="P397" s="27">
        <v>0.8113</v>
      </c>
      <c r="Q397" s="68">
        <v>14.0</v>
      </c>
      <c r="R397" s="68">
        <v>2.0</v>
      </c>
      <c r="S397" s="27">
        <v>0.0093</v>
      </c>
      <c r="T397" s="27">
        <v>0.029</v>
      </c>
      <c r="U397" s="197">
        <v>476650.0</v>
      </c>
      <c r="V397" s="197">
        <v>69000.0</v>
      </c>
      <c r="W397" s="68">
        <v>14.0</v>
      </c>
      <c r="X397" s="68">
        <v>2.0</v>
      </c>
    </row>
    <row r="398" ht="15.75" customHeight="1">
      <c r="A398" s="10" t="s">
        <v>58</v>
      </c>
      <c r="B398" s="10" t="str">
        <f t="array" ref="B398">_xlfn.XLOOKUP(D398,'Referanc '!$A:$A,'Referanc '!$B:$B)</f>
        <v>Standing Table - All Frames</v>
      </c>
      <c r="C398" s="68" t="s">
        <v>389</v>
      </c>
      <c r="D398" s="68" t="s">
        <v>389</v>
      </c>
      <c r="E398" s="68" t="s">
        <v>1187</v>
      </c>
      <c r="F398" s="10" t="str">
        <f t="array" ref="F398">_xlfn.XLOOKUP(D398,'Referanc '!$A:$A,'Referanc '!$E:$E)</f>
        <v>M8</v>
      </c>
      <c r="G398" s="196">
        <v>1586.0</v>
      </c>
      <c r="H398" s="68">
        <v>42.0</v>
      </c>
      <c r="I398" s="27">
        <v>0.0241</v>
      </c>
      <c r="J398" s="27">
        <v>0.0189</v>
      </c>
      <c r="K398" s="196">
        <v>2197.0</v>
      </c>
      <c r="L398" s="68">
        <v>61.0</v>
      </c>
      <c r="M398" s="27">
        <v>0.0244</v>
      </c>
      <c r="N398" s="27">
        <v>0.0208</v>
      </c>
      <c r="O398" s="27">
        <v>0.8399</v>
      </c>
      <c r="P398" s="27">
        <v>0.7037</v>
      </c>
      <c r="Q398" s="68">
        <v>13.0</v>
      </c>
      <c r="R398" s="68">
        <v>0.0</v>
      </c>
      <c r="S398" s="27">
        <v>0.0082</v>
      </c>
      <c r="T398" s="27">
        <v>0.0</v>
      </c>
      <c r="U398" s="197">
        <v>183956.08</v>
      </c>
      <c r="V398" s="197">
        <v>0.0</v>
      </c>
      <c r="W398" s="68">
        <v>13.0</v>
      </c>
      <c r="X398" s="68">
        <v>0.0</v>
      </c>
    </row>
    <row r="399" ht="15.75" customHeight="1">
      <c r="A399" s="10" t="s">
        <v>58</v>
      </c>
      <c r="B399" s="10" t="str">
        <f t="array" ref="B399">_xlfn.XLOOKUP(D399,'Referanc '!$A:$A,'Referanc '!$B:$B)</f>
        <v>Standing Table  - E2</v>
      </c>
      <c r="C399" s="68" t="s">
        <v>311</v>
      </c>
      <c r="D399" s="68" t="s">
        <v>311</v>
      </c>
      <c r="E399" s="68" t="s">
        <v>670</v>
      </c>
      <c r="F399" s="10" t="str">
        <f t="array" ref="F399">_xlfn.XLOOKUP(D399,'Referanc '!$A:$A,'Referanc '!$E:$E)</f>
        <v>E2</v>
      </c>
      <c r="G399" s="196">
        <v>5697.0</v>
      </c>
      <c r="H399" s="68">
        <v>189.0</v>
      </c>
      <c r="I399" s="27">
        <v>0.0866</v>
      </c>
      <c r="J399" s="27">
        <v>0.0852</v>
      </c>
      <c r="K399" s="196">
        <v>7723.0</v>
      </c>
      <c r="L399" s="68">
        <v>262.0</v>
      </c>
      <c r="M399" s="27">
        <v>0.0859</v>
      </c>
      <c r="N399" s="27">
        <v>0.0893</v>
      </c>
      <c r="O399" s="27">
        <v>0.7808</v>
      </c>
      <c r="P399" s="27">
        <v>0.8205</v>
      </c>
      <c r="Q399" s="68">
        <v>11.0</v>
      </c>
      <c r="R399" s="68">
        <v>0.0</v>
      </c>
      <c r="S399" s="27">
        <v>0.0019</v>
      </c>
      <c r="T399" s="27">
        <v>0.0</v>
      </c>
      <c r="U399" s="197">
        <v>368700.0</v>
      </c>
      <c r="V399" s="197">
        <v>0.0</v>
      </c>
      <c r="W399" s="68">
        <v>11.0</v>
      </c>
      <c r="X399" s="68">
        <v>0.0</v>
      </c>
    </row>
    <row r="400" ht="15.75" customHeight="1">
      <c r="A400" s="10" t="s">
        <v>58</v>
      </c>
      <c r="B400" s="10" t="str">
        <f t="array" ref="B400">_xlfn.XLOOKUP(D400,'Referanc '!$A:$A,'Referanc '!$B:$B)</f>
        <v>Standing Table  - E2</v>
      </c>
      <c r="C400" s="68" t="s">
        <v>293</v>
      </c>
      <c r="D400" s="68" t="s">
        <v>293</v>
      </c>
      <c r="E400" s="68" t="s">
        <v>1248</v>
      </c>
      <c r="F400" s="10" t="str">
        <f t="array" ref="F400">_xlfn.XLOOKUP(D400,'Referanc '!$A:$A,'Referanc '!$E:$E)</f>
        <v>E2</v>
      </c>
      <c r="G400" s="196">
        <v>2272.0</v>
      </c>
      <c r="H400" s="68">
        <v>79.0</v>
      </c>
      <c r="I400" s="27">
        <v>0.0345</v>
      </c>
      <c r="J400" s="27">
        <v>0.0356</v>
      </c>
      <c r="K400" s="196">
        <v>3004.0</v>
      </c>
      <c r="L400" s="68">
        <v>92.0</v>
      </c>
      <c r="M400" s="27">
        <v>0.0334</v>
      </c>
      <c r="N400" s="27">
        <v>0.0314</v>
      </c>
      <c r="O400" s="27">
        <v>0.8633</v>
      </c>
      <c r="P400" s="27">
        <v>0.8235</v>
      </c>
      <c r="Q400" s="68">
        <v>11.0</v>
      </c>
      <c r="R400" s="68">
        <v>1.0</v>
      </c>
      <c r="S400" s="27">
        <v>0.0048</v>
      </c>
      <c r="T400" s="27">
        <v>0.0127</v>
      </c>
      <c r="U400" s="197">
        <v>330200.0</v>
      </c>
      <c r="V400" s="197">
        <v>30450.0</v>
      </c>
      <c r="W400" s="68">
        <v>11.0</v>
      </c>
      <c r="X400" s="68">
        <v>1.0</v>
      </c>
    </row>
    <row r="401" ht="15.75" customHeight="1">
      <c r="A401" s="10" t="s">
        <v>58</v>
      </c>
      <c r="B401" s="10" t="str">
        <f t="array" ref="B401">_xlfn.XLOOKUP(D401,'Referanc '!$A:$A,'Referanc '!$B:$B)</f>
        <v>Standing Table  - SM3</v>
      </c>
      <c r="C401" s="68" t="s">
        <v>370</v>
      </c>
      <c r="D401" s="68" t="s">
        <v>370</v>
      </c>
      <c r="E401" s="68" t="s">
        <v>1161</v>
      </c>
      <c r="F401" s="10" t="str">
        <f t="array" ref="F401">_xlfn.XLOOKUP(D401,'Referanc '!$A:$A,'Referanc '!$E:$E)</f>
        <v>SM3</v>
      </c>
      <c r="G401" s="68">
        <v>536.0</v>
      </c>
      <c r="H401" s="68">
        <v>12.0</v>
      </c>
      <c r="I401" s="27">
        <v>0.0081</v>
      </c>
      <c r="J401" s="27">
        <v>0.0054</v>
      </c>
      <c r="K401" s="68">
        <v>747.0</v>
      </c>
      <c r="L401" s="68">
        <v>13.0</v>
      </c>
      <c r="M401" s="27">
        <v>0.0083</v>
      </c>
      <c r="N401" s="27">
        <v>0.0044</v>
      </c>
      <c r="O401" s="27">
        <v>0.8879</v>
      </c>
      <c r="P401" s="27">
        <v>0.7273</v>
      </c>
      <c r="Q401" s="68">
        <v>10.0</v>
      </c>
      <c r="R401" s="68">
        <v>0.0</v>
      </c>
      <c r="S401" s="27">
        <v>0.0187</v>
      </c>
      <c r="T401" s="27">
        <v>0.0</v>
      </c>
      <c r="U401" s="197">
        <v>210354.24</v>
      </c>
      <c r="V401" s="197">
        <v>0.0</v>
      </c>
      <c r="W401" s="68">
        <v>10.0</v>
      </c>
      <c r="X401" s="68">
        <v>0.0</v>
      </c>
    </row>
    <row r="402" ht="15.75" customHeight="1">
      <c r="A402" s="10" t="s">
        <v>58</v>
      </c>
      <c r="B402" s="10" t="str">
        <f t="array" ref="B402">_xlfn.XLOOKUP(D402,'Referanc '!$A:$A,'Referanc '!$B:$B)</f>
        <v>Standing Table - All Frames</v>
      </c>
      <c r="C402" s="68" t="s">
        <v>306</v>
      </c>
      <c r="D402" s="68" t="s">
        <v>306</v>
      </c>
      <c r="E402" s="68" t="s">
        <v>1170</v>
      </c>
      <c r="F402" s="10" t="str">
        <f t="array" ref="F402">_xlfn.XLOOKUP(D402,'Referanc '!$A:$A,'Referanc '!$E:$E)</f>
        <v>E2</v>
      </c>
      <c r="G402" s="196">
        <v>2152.0</v>
      </c>
      <c r="H402" s="68">
        <v>67.0</v>
      </c>
      <c r="I402" s="27">
        <v>0.0327</v>
      </c>
      <c r="J402" s="27">
        <v>0.0302</v>
      </c>
      <c r="K402" s="196">
        <v>2866.0</v>
      </c>
      <c r="L402" s="68">
        <v>89.0</v>
      </c>
      <c r="M402" s="27">
        <v>0.0319</v>
      </c>
      <c r="N402" s="27">
        <v>0.0303</v>
      </c>
      <c r="O402" s="27">
        <v>0.8217</v>
      </c>
      <c r="P402" s="27">
        <v>0.8125</v>
      </c>
      <c r="Q402" s="68">
        <v>9.0</v>
      </c>
      <c r="R402" s="68">
        <v>1.0</v>
      </c>
      <c r="S402" s="27">
        <v>0.0042</v>
      </c>
      <c r="T402" s="27">
        <v>0.0149</v>
      </c>
      <c r="U402" s="197">
        <v>249626.61</v>
      </c>
      <c r="V402" s="197">
        <v>29700.0</v>
      </c>
      <c r="W402" s="68">
        <v>9.0</v>
      </c>
      <c r="X402" s="68">
        <v>1.0</v>
      </c>
    </row>
    <row r="403" ht="15.75" customHeight="1">
      <c r="A403" s="10" t="s">
        <v>58</v>
      </c>
      <c r="B403" s="10" t="str">
        <f t="array" ref="B403">_xlfn.XLOOKUP(D403,'Referanc '!$A:$A,'Referanc '!$B:$B)</f>
        <v>Standing Table  - SM3</v>
      </c>
      <c r="C403" s="68" t="s">
        <v>358</v>
      </c>
      <c r="D403" s="68" t="s">
        <v>358</v>
      </c>
      <c r="E403" s="68" t="s">
        <v>1165</v>
      </c>
      <c r="F403" s="10" t="str">
        <f t="array" ref="F403">_xlfn.XLOOKUP(D403,'Referanc '!$A:$A,'Referanc '!$E:$E)</f>
        <v>SM3</v>
      </c>
      <c r="G403" s="68">
        <v>914.0</v>
      </c>
      <c r="H403" s="68">
        <v>33.0</v>
      </c>
      <c r="I403" s="27">
        <v>0.0139</v>
      </c>
      <c r="J403" s="27">
        <v>0.0149</v>
      </c>
      <c r="K403" s="196">
        <v>1239.0</v>
      </c>
      <c r="L403" s="68">
        <v>48.0</v>
      </c>
      <c r="M403" s="27">
        <v>0.0138</v>
      </c>
      <c r="N403" s="27">
        <v>0.0164</v>
      </c>
      <c r="O403" s="27">
        <v>0.9053</v>
      </c>
      <c r="P403" s="27">
        <v>0.775</v>
      </c>
      <c r="Q403" s="68">
        <v>9.0</v>
      </c>
      <c r="R403" s="68">
        <v>1.0</v>
      </c>
      <c r="S403" s="27">
        <v>0.0098</v>
      </c>
      <c r="T403" s="27">
        <v>0.0303</v>
      </c>
      <c r="U403" s="197">
        <v>222096.2</v>
      </c>
      <c r="V403" s="197">
        <v>24179.24</v>
      </c>
      <c r="W403" s="68">
        <v>9.0</v>
      </c>
      <c r="X403" s="68">
        <v>1.0</v>
      </c>
    </row>
    <row r="404" ht="15.75" customHeight="1">
      <c r="A404" s="10" t="s">
        <v>58</v>
      </c>
      <c r="B404" s="10" t="str">
        <f t="array" ref="B404">_xlfn.XLOOKUP(D404,'Referanc '!$A:$A,'Referanc '!$B:$B)</f>
        <v>Laptop Table</v>
      </c>
      <c r="C404" s="68" t="s">
        <v>328</v>
      </c>
      <c r="D404" s="68" t="s">
        <v>328</v>
      </c>
      <c r="E404" s="68" t="s">
        <v>1152</v>
      </c>
      <c r="F404" s="10" t="str">
        <f t="array" ref="F404">_xlfn.XLOOKUP(D404,'Referanc '!$A:$A,'Referanc '!$E:$E)</f>
        <v>Laptop Table</v>
      </c>
      <c r="G404" s="68">
        <v>258.0</v>
      </c>
      <c r="H404" s="68">
        <v>17.0</v>
      </c>
      <c r="I404" s="27">
        <v>0.0039</v>
      </c>
      <c r="J404" s="27">
        <v>0.0077</v>
      </c>
      <c r="K404" s="68">
        <v>450.0</v>
      </c>
      <c r="L404" s="68">
        <v>33.0</v>
      </c>
      <c r="M404" s="27">
        <v>0.005</v>
      </c>
      <c r="N404" s="27">
        <v>0.0112</v>
      </c>
      <c r="O404" s="27">
        <v>0.9426</v>
      </c>
      <c r="P404" s="27">
        <v>0.9677</v>
      </c>
      <c r="Q404" s="68">
        <v>8.0</v>
      </c>
      <c r="R404" s="68">
        <v>3.0</v>
      </c>
      <c r="S404" s="27">
        <v>0.031</v>
      </c>
      <c r="T404" s="27">
        <v>0.1765</v>
      </c>
      <c r="U404" s="197">
        <v>98880.0</v>
      </c>
      <c r="V404" s="197">
        <v>38100.0</v>
      </c>
      <c r="W404" s="68">
        <v>8.0</v>
      </c>
      <c r="X404" s="68">
        <v>3.0</v>
      </c>
    </row>
    <row r="405" ht="15.75" customHeight="1">
      <c r="A405" s="10" t="s">
        <v>58</v>
      </c>
      <c r="B405" s="10" t="str">
        <f t="array" ref="B405">_xlfn.XLOOKUP(D405,'Referanc '!$A:$A,'Referanc '!$B:$B)</f>
        <v>Standing Table  - E3</v>
      </c>
      <c r="C405" s="68" t="s">
        <v>365</v>
      </c>
      <c r="D405" s="68" t="s">
        <v>365</v>
      </c>
      <c r="E405" s="68" t="s">
        <v>1174</v>
      </c>
      <c r="F405" s="10" t="str">
        <f t="array" ref="F405">_xlfn.XLOOKUP(D405,'Referanc '!$A:$A,'Referanc '!$E:$E)</f>
        <v>E3</v>
      </c>
      <c r="G405" s="196">
        <v>1816.0</v>
      </c>
      <c r="H405" s="68">
        <v>66.0</v>
      </c>
      <c r="I405" s="27">
        <v>0.0276</v>
      </c>
      <c r="J405" s="27">
        <v>0.0298</v>
      </c>
      <c r="K405" s="196">
        <v>2481.0</v>
      </c>
      <c r="L405" s="68">
        <v>89.0</v>
      </c>
      <c r="M405" s="27">
        <v>0.0276</v>
      </c>
      <c r="N405" s="27">
        <v>0.0303</v>
      </c>
      <c r="O405" s="27">
        <v>0.817</v>
      </c>
      <c r="P405" s="27">
        <v>0.7966</v>
      </c>
      <c r="Q405" s="68">
        <v>8.0</v>
      </c>
      <c r="R405" s="68">
        <v>1.0</v>
      </c>
      <c r="S405" s="27">
        <v>0.0044</v>
      </c>
      <c r="T405" s="27">
        <v>0.0152</v>
      </c>
      <c r="U405" s="197">
        <v>325456.8</v>
      </c>
      <c r="V405" s="197">
        <v>40900.0</v>
      </c>
      <c r="W405" s="68">
        <v>8.0</v>
      </c>
      <c r="X405" s="68">
        <v>1.0</v>
      </c>
    </row>
    <row r="406" ht="15.75" customHeight="1">
      <c r="A406" s="10" t="s">
        <v>58</v>
      </c>
      <c r="B406" s="10" t="str">
        <f t="array" ref="B406">_xlfn.XLOOKUP(D406,'Referanc '!$A:$A,'Referanc '!$B:$B)</f>
        <v>Standing Table  - M8</v>
      </c>
      <c r="C406" s="68" t="s">
        <v>406</v>
      </c>
      <c r="D406" s="68" t="s">
        <v>406</v>
      </c>
      <c r="E406" s="68" t="s">
        <v>1173</v>
      </c>
      <c r="F406" s="10" t="str">
        <f t="array" ref="F406">_xlfn.XLOOKUP(D406,'Referanc '!$A:$A,'Referanc '!$E:$E)</f>
        <v>M8</v>
      </c>
      <c r="G406" s="196">
        <v>1247.0</v>
      </c>
      <c r="H406" s="68">
        <v>44.0</v>
      </c>
      <c r="I406" s="27">
        <v>0.019</v>
      </c>
      <c r="J406" s="27">
        <v>0.0198</v>
      </c>
      <c r="K406" s="196">
        <v>1710.0</v>
      </c>
      <c r="L406" s="68">
        <v>67.0</v>
      </c>
      <c r="M406" s="27">
        <v>0.019</v>
      </c>
      <c r="N406" s="27">
        <v>0.0228</v>
      </c>
      <c r="O406" s="27">
        <v>0.8908</v>
      </c>
      <c r="P406" s="27">
        <v>0.7636</v>
      </c>
      <c r="Q406" s="68">
        <v>7.0</v>
      </c>
      <c r="R406" s="68">
        <v>1.0</v>
      </c>
      <c r="S406" s="27">
        <v>0.0056</v>
      </c>
      <c r="T406" s="27">
        <v>0.0227</v>
      </c>
      <c r="U406" s="197">
        <v>126900.0</v>
      </c>
      <c r="V406" s="197">
        <v>18700.0</v>
      </c>
      <c r="W406" s="68">
        <v>7.0</v>
      </c>
      <c r="X406" s="68">
        <v>1.0</v>
      </c>
    </row>
    <row r="407" ht="15.75" customHeight="1">
      <c r="A407" s="10" t="s">
        <v>58</v>
      </c>
      <c r="B407" s="10" t="str">
        <f t="array" ref="B407">_xlfn.XLOOKUP(D407,'Referanc '!$A:$A,'Referanc '!$B:$B)</f>
        <v>Standing Table  - M8</v>
      </c>
      <c r="C407" s="68" t="s">
        <v>408</v>
      </c>
      <c r="D407" s="68" t="s">
        <v>408</v>
      </c>
      <c r="E407" s="68" t="s">
        <v>1188</v>
      </c>
      <c r="F407" s="10" t="str">
        <f t="array" ref="F407">_xlfn.XLOOKUP(D407,'Referanc '!$A:$A,'Referanc '!$E:$E)</f>
        <v>M8</v>
      </c>
      <c r="G407" s="196">
        <v>1816.0</v>
      </c>
      <c r="H407" s="68">
        <v>46.0</v>
      </c>
      <c r="I407" s="27">
        <v>0.0276</v>
      </c>
      <c r="J407" s="27">
        <v>0.0207</v>
      </c>
      <c r="K407" s="196">
        <v>2435.0</v>
      </c>
      <c r="L407" s="68">
        <v>63.0</v>
      </c>
      <c r="M407" s="27">
        <v>0.0271</v>
      </c>
      <c r="N407" s="27">
        <v>0.0215</v>
      </c>
      <c r="O407" s="27">
        <v>0.8665</v>
      </c>
      <c r="P407" s="27">
        <v>0.7692</v>
      </c>
      <c r="Q407" s="68">
        <v>7.0</v>
      </c>
      <c r="R407" s="68">
        <v>1.0</v>
      </c>
      <c r="S407" s="27">
        <v>0.0039</v>
      </c>
      <c r="T407" s="27">
        <v>0.0217</v>
      </c>
      <c r="U407" s="197">
        <v>125700.0</v>
      </c>
      <c r="V407" s="197">
        <v>17480.0</v>
      </c>
      <c r="W407" s="68">
        <v>7.0</v>
      </c>
      <c r="X407" s="68">
        <v>1.0</v>
      </c>
    </row>
    <row r="408" ht="15.75" customHeight="1">
      <c r="A408" s="10" t="s">
        <v>58</v>
      </c>
      <c r="B408" s="10" t="str">
        <f t="array" ref="B408">_xlfn.XLOOKUP(D408,'Referanc '!$A:$A,'Referanc '!$B:$B)</f>
        <v>Keyboard Tray</v>
      </c>
      <c r="C408" s="68" t="s">
        <v>346</v>
      </c>
      <c r="D408" s="68" t="s">
        <v>346</v>
      </c>
      <c r="E408" s="68" t="s">
        <v>665</v>
      </c>
      <c r="F408" s="10" t="str">
        <f t="array" ref="F408">_xlfn.XLOOKUP(D408,'Referanc '!$A:$A,'Referanc '!$E:$E)</f>
        <v>Keyboard Tray</v>
      </c>
      <c r="G408" s="68">
        <v>170.0</v>
      </c>
      <c r="H408" s="68">
        <v>8.0</v>
      </c>
      <c r="I408" s="27">
        <v>0.0026</v>
      </c>
      <c r="J408" s="27">
        <v>0.0036</v>
      </c>
      <c r="K408" s="68">
        <v>278.0</v>
      </c>
      <c r="L408" s="68">
        <v>14.0</v>
      </c>
      <c r="M408" s="27">
        <v>0.0031</v>
      </c>
      <c r="N408" s="27">
        <v>0.0048</v>
      </c>
      <c r="O408" s="27">
        <v>0.9615</v>
      </c>
      <c r="P408" s="27">
        <v>1.0</v>
      </c>
      <c r="Q408" s="68">
        <v>7.0</v>
      </c>
      <c r="R408" s="68">
        <v>0.0</v>
      </c>
      <c r="S408" s="27">
        <v>0.0412</v>
      </c>
      <c r="T408" s="27">
        <v>0.0</v>
      </c>
      <c r="U408" s="197">
        <v>23030.0</v>
      </c>
      <c r="V408" s="197">
        <v>0.0</v>
      </c>
      <c r="W408" s="68">
        <v>7.0</v>
      </c>
      <c r="X408" s="68">
        <v>0.0</v>
      </c>
    </row>
    <row r="409" ht="15.75" customHeight="1">
      <c r="A409" s="10" t="s">
        <v>58</v>
      </c>
      <c r="B409" s="10" t="str">
        <f t="array" ref="B409">_xlfn.XLOOKUP(D409,'Referanc '!$A:$A,'Referanc '!$B:$B)</f>
        <v>Standing Table  - M8</v>
      </c>
      <c r="C409" s="68" t="s">
        <v>417</v>
      </c>
      <c r="D409" s="68" t="s">
        <v>417</v>
      </c>
      <c r="E409" s="68" t="s">
        <v>1180</v>
      </c>
      <c r="F409" s="10" t="str">
        <f t="array" ref="F409">_xlfn.XLOOKUP(D409,'Referanc '!$A:$A,'Referanc '!$E:$E)</f>
        <v>M8</v>
      </c>
      <c r="G409" s="68">
        <v>787.0</v>
      </c>
      <c r="H409" s="68">
        <v>10.0</v>
      </c>
      <c r="I409" s="27">
        <v>0.012</v>
      </c>
      <c r="J409" s="27">
        <v>0.0045</v>
      </c>
      <c r="K409" s="196">
        <v>1187.0</v>
      </c>
      <c r="L409" s="68">
        <v>13.0</v>
      </c>
      <c r="M409" s="27">
        <v>0.0132</v>
      </c>
      <c r="N409" s="27">
        <v>0.0044</v>
      </c>
      <c r="O409" s="27">
        <v>0.8817</v>
      </c>
      <c r="P409" s="27">
        <v>0.3333</v>
      </c>
      <c r="Q409" s="68">
        <v>6.0</v>
      </c>
      <c r="R409" s="68">
        <v>0.0</v>
      </c>
      <c r="S409" s="27">
        <v>0.0076</v>
      </c>
      <c r="T409" s="27">
        <v>0.0</v>
      </c>
      <c r="U409" s="197">
        <v>94340.0</v>
      </c>
      <c r="V409" s="197">
        <v>0.0</v>
      </c>
      <c r="W409" s="68">
        <v>6.0</v>
      </c>
      <c r="X409" s="68">
        <v>0.0</v>
      </c>
    </row>
    <row r="410" ht="15.75" customHeight="1">
      <c r="A410" s="10" t="s">
        <v>58</v>
      </c>
      <c r="B410" s="10" t="str">
        <f t="array" ref="B410">_xlfn.XLOOKUP(D410,'Referanc '!$A:$A,'Referanc '!$B:$B)</f>
        <v>Standing Table  - E3</v>
      </c>
      <c r="C410" s="68" t="s">
        <v>364</v>
      </c>
      <c r="D410" s="68" t="s">
        <v>364</v>
      </c>
      <c r="E410" s="68" t="s">
        <v>1181</v>
      </c>
      <c r="F410" s="10" t="str">
        <f t="array" ref="F410">_xlfn.XLOOKUP(D410,'Referanc '!$A:$A,'Referanc '!$E:$E)</f>
        <v>E3</v>
      </c>
      <c r="G410" s="196">
        <v>1264.0</v>
      </c>
      <c r="H410" s="68">
        <v>50.0</v>
      </c>
      <c r="I410" s="27">
        <v>0.0192</v>
      </c>
      <c r="J410" s="27">
        <v>0.0225</v>
      </c>
      <c r="K410" s="196">
        <v>1647.0</v>
      </c>
      <c r="L410" s="68">
        <v>69.0</v>
      </c>
      <c r="M410" s="27">
        <v>0.0183</v>
      </c>
      <c r="N410" s="27">
        <v>0.0235</v>
      </c>
      <c r="O410" s="27">
        <v>0.8174</v>
      </c>
      <c r="P410" s="27">
        <v>0.8049</v>
      </c>
      <c r="Q410" s="68">
        <v>6.0</v>
      </c>
      <c r="R410" s="68">
        <v>2.0</v>
      </c>
      <c r="S410" s="27">
        <v>0.0047</v>
      </c>
      <c r="T410" s="27">
        <v>0.04</v>
      </c>
      <c r="U410" s="197">
        <v>246194.08</v>
      </c>
      <c r="V410" s="197">
        <v>81231.36</v>
      </c>
      <c r="W410" s="68">
        <v>6.0</v>
      </c>
      <c r="X410" s="68">
        <v>2.0</v>
      </c>
    </row>
    <row r="411" ht="15.75" customHeight="1">
      <c r="A411" s="10" t="s">
        <v>58</v>
      </c>
      <c r="B411" s="10" t="str">
        <f t="array" ref="B411">_xlfn.XLOOKUP(D411,'Referanc '!$A:$A,'Referanc '!$B:$B)</f>
        <v>Standing Table - All Frames</v>
      </c>
      <c r="C411" s="68" t="s">
        <v>387</v>
      </c>
      <c r="D411" s="68" t="s">
        <v>387</v>
      </c>
      <c r="E411" s="68" t="s">
        <v>1213</v>
      </c>
      <c r="F411" s="10" t="str">
        <f t="array" ref="F411">_xlfn.XLOOKUP(D411,'Referanc '!$A:$A,'Referanc '!$E:$E)</f>
        <v>E1A</v>
      </c>
      <c r="G411" s="68">
        <v>396.0</v>
      </c>
      <c r="H411" s="68">
        <v>10.0</v>
      </c>
      <c r="I411" s="27">
        <v>0.006</v>
      </c>
      <c r="J411" s="27">
        <v>0.0045</v>
      </c>
      <c r="K411" s="68">
        <v>639.0</v>
      </c>
      <c r="L411" s="68">
        <v>22.0</v>
      </c>
      <c r="M411" s="27">
        <v>0.0071</v>
      </c>
      <c r="N411" s="27">
        <v>0.0075</v>
      </c>
      <c r="O411" s="27">
        <v>0.8603</v>
      </c>
      <c r="P411" s="27">
        <v>0.75</v>
      </c>
      <c r="Q411" s="68">
        <v>5.0</v>
      </c>
      <c r="R411" s="68">
        <v>0.0</v>
      </c>
      <c r="S411" s="27">
        <v>0.0126</v>
      </c>
      <c r="T411" s="27">
        <v>0.0</v>
      </c>
      <c r="U411" s="197">
        <v>131790.08</v>
      </c>
      <c r="V411" s="197">
        <v>0.0</v>
      </c>
      <c r="W411" s="68">
        <v>5.0</v>
      </c>
      <c r="X411" s="68">
        <v>0.0</v>
      </c>
    </row>
    <row r="412" ht="15.75" customHeight="1">
      <c r="A412" s="10" t="s">
        <v>58</v>
      </c>
      <c r="B412" s="10" t="str">
        <f t="array" ref="B412">_xlfn.XLOOKUP(D412,'Referanc '!$A:$A,'Referanc '!$B:$B)</f>
        <v>Standing Table  - E4</v>
      </c>
      <c r="C412" s="68" t="s">
        <v>396</v>
      </c>
      <c r="D412" s="68" t="s">
        <v>396</v>
      </c>
      <c r="E412" s="68" t="s">
        <v>1178</v>
      </c>
      <c r="F412" s="10" t="str">
        <f t="array" ref="F412">_xlfn.XLOOKUP(D412,'Referanc '!$A:$A,'Referanc '!$E:$E)</f>
        <v>E4</v>
      </c>
      <c r="G412" s="68">
        <v>549.0</v>
      </c>
      <c r="H412" s="68">
        <v>21.0</v>
      </c>
      <c r="I412" s="27">
        <v>0.0083</v>
      </c>
      <c r="J412" s="27">
        <v>0.0095</v>
      </c>
      <c r="K412" s="68">
        <v>784.0</v>
      </c>
      <c r="L412" s="68">
        <v>24.0</v>
      </c>
      <c r="M412" s="27">
        <v>0.0087</v>
      </c>
      <c r="N412" s="27">
        <v>0.0082</v>
      </c>
      <c r="O412" s="27">
        <v>0.8774</v>
      </c>
      <c r="P412" s="27">
        <v>1.0</v>
      </c>
      <c r="Q412" s="68">
        <v>5.0</v>
      </c>
      <c r="R412" s="68">
        <v>0.0</v>
      </c>
      <c r="S412" s="27">
        <v>0.0091</v>
      </c>
      <c r="T412" s="27">
        <v>0.0</v>
      </c>
      <c r="U412" s="197">
        <v>139250.0</v>
      </c>
      <c r="V412" s="197">
        <v>0.0</v>
      </c>
      <c r="W412" s="68">
        <v>5.0</v>
      </c>
      <c r="X412" s="68">
        <v>0.0</v>
      </c>
    </row>
    <row r="413" ht="15.75" customHeight="1">
      <c r="A413" s="10" t="s">
        <v>58</v>
      </c>
      <c r="B413" s="10" t="str">
        <f t="array" ref="B413">_xlfn.XLOOKUP(D413,'Referanc '!$A:$A,'Referanc '!$B:$B)</f>
        <v>Standing Table  - E1A</v>
      </c>
      <c r="C413" s="68" t="s">
        <v>385</v>
      </c>
      <c r="D413" s="68" t="s">
        <v>385</v>
      </c>
      <c r="E413" s="68" t="s">
        <v>1179</v>
      </c>
      <c r="F413" s="10" t="str">
        <f t="array" ref="F413">_xlfn.XLOOKUP(D413,'Referanc '!$A:$A,'Referanc '!$E:$E)</f>
        <v>E1A</v>
      </c>
      <c r="G413" s="68">
        <v>709.0</v>
      </c>
      <c r="H413" s="68">
        <v>18.0</v>
      </c>
      <c r="I413" s="27">
        <v>0.0108</v>
      </c>
      <c r="J413" s="27">
        <v>0.0081</v>
      </c>
      <c r="K413" s="68">
        <v>959.0</v>
      </c>
      <c r="L413" s="68">
        <v>22.0</v>
      </c>
      <c r="M413" s="27">
        <v>0.0107</v>
      </c>
      <c r="N413" s="27">
        <v>0.0075</v>
      </c>
      <c r="O413" s="27">
        <v>0.8186</v>
      </c>
      <c r="P413" s="27">
        <v>0.8571</v>
      </c>
      <c r="Q413" s="68">
        <v>5.0</v>
      </c>
      <c r="R413" s="68">
        <v>0.0</v>
      </c>
      <c r="S413" s="27">
        <v>0.0071</v>
      </c>
      <c r="T413" s="27">
        <v>0.0</v>
      </c>
      <c r="U413" s="197">
        <v>167875.44</v>
      </c>
      <c r="V413" s="197">
        <v>0.0</v>
      </c>
      <c r="W413" s="68">
        <v>5.0</v>
      </c>
      <c r="X413" s="68">
        <v>0.0</v>
      </c>
    </row>
    <row r="414" ht="15.75" customHeight="1">
      <c r="A414" s="10" t="s">
        <v>58</v>
      </c>
      <c r="B414" s="10" t="s">
        <v>241</v>
      </c>
      <c r="C414" s="68" t="s">
        <v>345</v>
      </c>
      <c r="D414" s="68" t="s">
        <v>345</v>
      </c>
      <c r="E414" s="68" t="s">
        <v>553</v>
      </c>
      <c r="F414" s="10" t="str">
        <f t="array" ref="F414">_xlfn.XLOOKUP(D414,'Referanc '!$A:$A,'Referanc '!$E:$E)</f>
        <v>Footrest</v>
      </c>
      <c r="G414" s="68">
        <v>298.0</v>
      </c>
      <c r="H414" s="68">
        <v>7.0</v>
      </c>
      <c r="I414" s="27">
        <v>0.0045</v>
      </c>
      <c r="J414" s="27">
        <v>0.0032</v>
      </c>
      <c r="K414" s="68">
        <v>367.0</v>
      </c>
      <c r="L414" s="68">
        <v>10.0</v>
      </c>
      <c r="M414" s="27">
        <v>0.0041</v>
      </c>
      <c r="N414" s="27">
        <v>0.0034</v>
      </c>
      <c r="O414" s="27">
        <v>1.0</v>
      </c>
      <c r="P414" s="27">
        <v>1.0</v>
      </c>
      <c r="Q414" s="68">
        <v>5.0</v>
      </c>
      <c r="R414" s="68">
        <v>0.0</v>
      </c>
      <c r="S414" s="27">
        <v>0.0168</v>
      </c>
      <c r="T414" s="27">
        <v>0.0</v>
      </c>
      <c r="U414" s="197">
        <v>15697.0</v>
      </c>
      <c r="V414" s="197">
        <v>0.0</v>
      </c>
      <c r="W414" s="68">
        <v>4.0</v>
      </c>
      <c r="X414" s="68">
        <v>0.0</v>
      </c>
    </row>
    <row r="415" ht="15.75" customHeight="1">
      <c r="A415" s="10" t="s">
        <v>58</v>
      </c>
      <c r="B415" s="10" t="str">
        <f t="array" ref="B415">_xlfn.XLOOKUP(D415,'Referanc '!$A:$A,'Referanc '!$B:$B)</f>
        <v>Standing Table  - SM3</v>
      </c>
      <c r="C415" s="68" t="s">
        <v>401</v>
      </c>
      <c r="D415" s="68" t="s">
        <v>401</v>
      </c>
      <c r="E415" s="68" t="s">
        <v>1160</v>
      </c>
      <c r="F415" s="10" t="str">
        <f t="array" ref="F415">_xlfn.XLOOKUP(D415,'Referanc '!$A:$A,'Referanc '!$E:$E)</f>
        <v>SM3</v>
      </c>
      <c r="G415" s="68">
        <v>349.0</v>
      </c>
      <c r="H415" s="68">
        <v>12.0</v>
      </c>
      <c r="I415" s="27">
        <v>0.0053</v>
      </c>
      <c r="J415" s="27">
        <v>0.0054</v>
      </c>
      <c r="K415" s="68">
        <v>441.0</v>
      </c>
      <c r="L415" s="68">
        <v>13.0</v>
      </c>
      <c r="M415" s="27">
        <v>0.0049</v>
      </c>
      <c r="N415" s="27">
        <v>0.0044</v>
      </c>
      <c r="O415" s="27">
        <v>0.8295</v>
      </c>
      <c r="P415" s="27">
        <v>0.4444</v>
      </c>
      <c r="Q415" s="68">
        <v>4.0</v>
      </c>
      <c r="R415" s="68">
        <v>0.0</v>
      </c>
      <c r="S415" s="27">
        <v>0.0115</v>
      </c>
      <c r="T415" s="27">
        <v>0.0</v>
      </c>
      <c r="U415" s="197">
        <v>82306.48</v>
      </c>
      <c r="V415" s="197">
        <v>0.0</v>
      </c>
      <c r="W415" s="68">
        <v>4.0</v>
      </c>
      <c r="X415" s="68">
        <v>0.0</v>
      </c>
    </row>
    <row r="416" ht="15.75" customHeight="1">
      <c r="A416" s="10" t="s">
        <v>58</v>
      </c>
      <c r="B416" s="10" t="str">
        <f t="array" ref="B416">_xlfn.XLOOKUP(D416,'Referanc '!$A:$A,'Referanc '!$B:$B)</f>
        <v>Standing Table  - E1A</v>
      </c>
      <c r="C416" s="68" t="s">
        <v>359</v>
      </c>
      <c r="D416" s="68" t="s">
        <v>359</v>
      </c>
      <c r="E416" s="68" t="s">
        <v>1211</v>
      </c>
      <c r="F416" s="10" t="str">
        <f t="array" ref="F416">_xlfn.XLOOKUP(D416,'Referanc '!$A:$A,'Referanc '!$E:$E)</f>
        <v>E1A</v>
      </c>
      <c r="G416" s="68">
        <v>418.0</v>
      </c>
      <c r="H416" s="68">
        <v>8.0</v>
      </c>
      <c r="I416" s="27">
        <v>0.0064</v>
      </c>
      <c r="J416" s="27">
        <v>0.0036</v>
      </c>
      <c r="K416" s="68">
        <v>588.0</v>
      </c>
      <c r="L416" s="68">
        <v>9.0</v>
      </c>
      <c r="M416" s="27">
        <v>0.0065</v>
      </c>
      <c r="N416" s="27">
        <v>0.0031</v>
      </c>
      <c r="O416" s="27">
        <v>0.8509</v>
      </c>
      <c r="P416" s="27">
        <v>0.75</v>
      </c>
      <c r="Q416" s="68">
        <v>4.0</v>
      </c>
      <c r="R416" s="68">
        <v>0.0</v>
      </c>
      <c r="S416" s="27">
        <v>0.0096</v>
      </c>
      <c r="T416" s="27">
        <v>0.0</v>
      </c>
      <c r="U416" s="197">
        <v>132544.08</v>
      </c>
      <c r="V416" s="197">
        <v>0.0</v>
      </c>
      <c r="W416" s="68">
        <v>4.0</v>
      </c>
      <c r="X416" s="68">
        <v>0.0</v>
      </c>
    </row>
    <row r="417" ht="15.75" customHeight="1">
      <c r="A417" s="10" t="s">
        <v>58</v>
      </c>
      <c r="B417" s="10" t="str">
        <f t="array" ref="B417">_xlfn.XLOOKUP(D417,'Referanc '!$A:$A,'Referanc '!$B:$B)</f>
        <v>Standing Table  - E4</v>
      </c>
      <c r="C417" s="68" t="s">
        <v>375</v>
      </c>
      <c r="D417" s="68" t="s">
        <v>375</v>
      </c>
      <c r="E417" s="68" t="s">
        <v>1242</v>
      </c>
      <c r="F417" s="10" t="str">
        <f t="array" ref="F417">_xlfn.XLOOKUP(D417,'Referanc '!$A:$A,'Referanc '!$E:$E)</f>
        <v>E4</v>
      </c>
      <c r="G417" s="68">
        <v>389.0</v>
      </c>
      <c r="H417" s="68">
        <v>9.0</v>
      </c>
      <c r="I417" s="27">
        <v>0.0059</v>
      </c>
      <c r="J417" s="27">
        <v>0.0041</v>
      </c>
      <c r="K417" s="68">
        <v>555.0</v>
      </c>
      <c r="L417" s="68">
        <v>9.0</v>
      </c>
      <c r="M417" s="27">
        <v>0.0062</v>
      </c>
      <c r="N417" s="27">
        <v>0.0031</v>
      </c>
      <c r="O417" s="27">
        <v>0.8768</v>
      </c>
      <c r="P417" s="27">
        <v>1.0</v>
      </c>
      <c r="Q417" s="68">
        <v>4.0</v>
      </c>
      <c r="R417" s="68">
        <v>1.0</v>
      </c>
      <c r="S417" s="27">
        <v>0.0103</v>
      </c>
      <c r="T417" s="27">
        <v>0.1111</v>
      </c>
      <c r="U417" s="197">
        <v>102000.0</v>
      </c>
      <c r="V417" s="197">
        <v>25750.0</v>
      </c>
      <c r="W417" s="68">
        <v>4.0</v>
      </c>
      <c r="X417" s="68">
        <v>1.0</v>
      </c>
    </row>
    <row r="418" ht="15.75" customHeight="1">
      <c r="A418" s="10" t="s">
        <v>58</v>
      </c>
      <c r="B418" s="10" t="str">
        <f t="array" ref="B418">_xlfn.XLOOKUP(D418,'Referanc '!$A:$A,'Referanc '!$B:$B)</f>
        <v>Standing Table  - M8</v>
      </c>
      <c r="C418" s="68" t="s">
        <v>410</v>
      </c>
      <c r="D418" s="68" t="s">
        <v>410</v>
      </c>
      <c r="E418" s="68" t="s">
        <v>1172</v>
      </c>
      <c r="F418" s="10" t="str">
        <f t="array" ref="F418">_xlfn.XLOOKUP(D418,'Referanc '!$A:$A,'Referanc '!$E:$E)</f>
        <v>M8</v>
      </c>
      <c r="G418" s="68">
        <v>770.0</v>
      </c>
      <c r="H418" s="68">
        <v>38.0</v>
      </c>
      <c r="I418" s="27">
        <v>0.0117</v>
      </c>
      <c r="J418" s="27">
        <v>0.0171</v>
      </c>
      <c r="K418" s="196">
        <v>1037.0</v>
      </c>
      <c r="L418" s="68">
        <v>56.0</v>
      </c>
      <c r="M418" s="27">
        <v>0.0115</v>
      </c>
      <c r="N418" s="27">
        <v>0.0191</v>
      </c>
      <c r="O418" s="27">
        <v>0.9143</v>
      </c>
      <c r="P418" s="27">
        <v>0.8</v>
      </c>
      <c r="Q418" s="68">
        <v>3.0</v>
      </c>
      <c r="R418" s="68">
        <v>0.0</v>
      </c>
      <c r="S418" s="27">
        <v>0.0039</v>
      </c>
      <c r="T418" s="27">
        <v>0.0</v>
      </c>
      <c r="U418" s="197">
        <v>61955.0</v>
      </c>
      <c r="V418" s="197">
        <v>0.0</v>
      </c>
      <c r="W418" s="68">
        <v>3.0</v>
      </c>
      <c r="X418" s="68">
        <v>0.0</v>
      </c>
    </row>
    <row r="419" ht="15.75" customHeight="1">
      <c r="A419" s="10" t="s">
        <v>58</v>
      </c>
      <c r="B419" s="10" t="str">
        <f t="array" ref="B419">_xlfn.XLOOKUP(D419,'Referanc '!$A:$A,'Referanc '!$B:$B)</f>
        <v>Standing Table  - M3</v>
      </c>
      <c r="C419" s="68" t="s">
        <v>403</v>
      </c>
      <c r="D419" s="68" t="s">
        <v>403</v>
      </c>
      <c r="E419" s="68" t="s">
        <v>1175</v>
      </c>
      <c r="F419" s="10" t="str">
        <f t="array" ref="F419">_xlfn.XLOOKUP(D419,'Referanc '!$A:$A,'Referanc '!$E:$E)</f>
        <v>M3</v>
      </c>
      <c r="G419" s="68">
        <v>699.0</v>
      </c>
      <c r="H419" s="68">
        <v>15.0</v>
      </c>
      <c r="I419" s="27">
        <v>0.0106</v>
      </c>
      <c r="J419" s="27">
        <v>0.0068</v>
      </c>
      <c r="K419" s="196">
        <v>1002.0</v>
      </c>
      <c r="L419" s="68">
        <v>23.0</v>
      </c>
      <c r="M419" s="27">
        <v>0.0111</v>
      </c>
      <c r="N419" s="27">
        <v>0.0078</v>
      </c>
      <c r="O419" s="27">
        <v>0.8543</v>
      </c>
      <c r="P419" s="27">
        <v>0.8333</v>
      </c>
      <c r="Q419" s="68">
        <v>3.0</v>
      </c>
      <c r="R419" s="68">
        <v>0.0</v>
      </c>
      <c r="S419" s="27">
        <v>0.0043</v>
      </c>
      <c r="T419" s="27">
        <v>0.0</v>
      </c>
      <c r="U419" s="197">
        <v>47997.0</v>
      </c>
      <c r="V419" s="197">
        <v>0.0</v>
      </c>
      <c r="W419" s="68">
        <v>3.0</v>
      </c>
      <c r="X419" s="68">
        <v>0.0</v>
      </c>
    </row>
    <row r="420" ht="15.75" customHeight="1">
      <c r="A420" s="10" t="s">
        <v>58</v>
      </c>
      <c r="B420" s="10" t="str">
        <f t="array" ref="B420">_xlfn.XLOOKUP(D420,'Referanc '!$A:$A,'Referanc '!$B:$B)</f>
        <v>Standing Table - All Frames</v>
      </c>
      <c r="C420" s="68" t="s">
        <v>368</v>
      </c>
      <c r="D420" s="68" t="s">
        <v>368</v>
      </c>
      <c r="E420" s="68" t="s">
        <v>1184</v>
      </c>
      <c r="F420" s="10" t="str">
        <f t="array" ref="F420">_xlfn.XLOOKUP(D420,'Referanc '!$A:$A,'Referanc '!$E:$E)</f>
        <v>SM3</v>
      </c>
      <c r="G420" s="68">
        <v>596.0</v>
      </c>
      <c r="H420" s="68">
        <v>20.0</v>
      </c>
      <c r="I420" s="27">
        <v>0.0091</v>
      </c>
      <c r="J420" s="27">
        <v>0.009</v>
      </c>
      <c r="K420" s="68">
        <v>867.0</v>
      </c>
      <c r="L420" s="68">
        <v>28.0</v>
      </c>
      <c r="M420" s="27">
        <v>0.0096</v>
      </c>
      <c r="N420" s="27">
        <v>0.0095</v>
      </c>
      <c r="O420" s="27">
        <v>0.8048</v>
      </c>
      <c r="P420" s="27">
        <v>0.9167</v>
      </c>
      <c r="Q420" s="68">
        <v>3.0</v>
      </c>
      <c r="R420" s="68">
        <v>0.0</v>
      </c>
      <c r="S420" s="27">
        <v>0.005</v>
      </c>
      <c r="T420" s="27">
        <v>0.0</v>
      </c>
      <c r="U420" s="197">
        <v>55508.48</v>
      </c>
      <c r="V420" s="197">
        <v>0.0</v>
      </c>
      <c r="W420" s="68">
        <v>3.0</v>
      </c>
      <c r="X420" s="68">
        <v>0.0</v>
      </c>
    </row>
    <row r="421" ht="15.75" customHeight="1">
      <c r="A421" s="10" t="s">
        <v>58</v>
      </c>
      <c r="B421" s="10" t="str">
        <f t="array" ref="B421">_xlfn.XLOOKUP(D421,'Referanc '!$A:$A,'Referanc '!$B:$B)</f>
        <v>Standing Table  - E1A</v>
      </c>
      <c r="C421" s="68" t="s">
        <v>354</v>
      </c>
      <c r="D421" s="68" t="s">
        <v>354</v>
      </c>
      <c r="E421" s="68" t="s">
        <v>1185</v>
      </c>
      <c r="F421" s="10" t="str">
        <f t="array" ref="F421">_xlfn.XLOOKUP(D421,'Referanc '!$A:$A,'Referanc '!$E:$E)</f>
        <v>E1A</v>
      </c>
      <c r="G421" s="68">
        <v>394.0</v>
      </c>
      <c r="H421" s="68">
        <v>13.0</v>
      </c>
      <c r="I421" s="27">
        <v>0.006</v>
      </c>
      <c r="J421" s="27">
        <v>0.0059</v>
      </c>
      <c r="K421" s="68">
        <v>570.0</v>
      </c>
      <c r="L421" s="68">
        <v>19.0</v>
      </c>
      <c r="M421" s="27">
        <v>0.0063</v>
      </c>
      <c r="N421" s="27">
        <v>0.0065</v>
      </c>
      <c r="O421" s="27">
        <v>0.8992</v>
      </c>
      <c r="P421" s="27">
        <v>0.9286</v>
      </c>
      <c r="Q421" s="68">
        <v>4.0</v>
      </c>
      <c r="R421" s="68">
        <v>0.0</v>
      </c>
      <c r="S421" s="27">
        <v>0.0102</v>
      </c>
      <c r="T421" s="27">
        <v>0.0</v>
      </c>
      <c r="U421" s="197">
        <v>119731.36</v>
      </c>
      <c r="V421" s="197">
        <v>0.0</v>
      </c>
      <c r="W421" s="68">
        <v>3.0</v>
      </c>
      <c r="X421" s="68">
        <v>0.0</v>
      </c>
    </row>
    <row r="422" ht="15.75" customHeight="1">
      <c r="A422" s="10" t="s">
        <v>58</v>
      </c>
      <c r="B422" s="10" t="str">
        <f t="array" ref="B422">_xlfn.XLOOKUP(D422,'Referanc '!$A:$A,'Referanc '!$B:$B)</f>
        <v>Standing Table  - E1A</v>
      </c>
      <c r="C422" s="68" t="s">
        <v>380</v>
      </c>
      <c r="D422" s="68" t="s">
        <v>380</v>
      </c>
      <c r="E422" s="68" t="s">
        <v>1218</v>
      </c>
      <c r="F422" s="10" t="str">
        <f t="array" ref="F422">_xlfn.XLOOKUP(D422,'Referanc '!$A:$A,'Referanc '!$E:$E)</f>
        <v>E1A</v>
      </c>
      <c r="G422" s="68">
        <v>439.0</v>
      </c>
      <c r="H422" s="68">
        <v>16.0</v>
      </c>
      <c r="I422" s="27">
        <v>0.0067</v>
      </c>
      <c r="J422" s="27">
        <v>0.0072</v>
      </c>
      <c r="K422" s="68">
        <v>549.0</v>
      </c>
      <c r="L422" s="68">
        <v>20.0</v>
      </c>
      <c r="M422" s="27">
        <v>0.0061</v>
      </c>
      <c r="N422" s="27">
        <v>0.0068</v>
      </c>
      <c r="O422" s="27">
        <v>0.8107</v>
      </c>
      <c r="P422" s="27">
        <v>0.8667</v>
      </c>
      <c r="Q422" s="68">
        <v>3.0</v>
      </c>
      <c r="R422" s="68">
        <v>0.0</v>
      </c>
      <c r="S422" s="27">
        <v>0.0068</v>
      </c>
      <c r="T422" s="27">
        <v>0.0</v>
      </c>
      <c r="U422" s="197">
        <v>99612.72</v>
      </c>
      <c r="V422" s="197">
        <v>0.0</v>
      </c>
      <c r="W422" s="68">
        <v>3.0</v>
      </c>
      <c r="X422" s="68">
        <v>0.0</v>
      </c>
    </row>
    <row r="423" ht="15.75" customHeight="1">
      <c r="A423" s="10" t="s">
        <v>58</v>
      </c>
      <c r="B423" s="10" t="str">
        <f t="array" ref="B423">_xlfn.XLOOKUP(D423,'Referanc '!$A:$A,'Referanc '!$B:$B)</f>
        <v>Standing Table  - E4</v>
      </c>
      <c r="C423" s="68" t="s">
        <v>398</v>
      </c>
      <c r="D423" s="68" t="s">
        <v>398</v>
      </c>
      <c r="E423" s="68" t="s">
        <v>1176</v>
      </c>
      <c r="F423" s="10" t="str">
        <f t="array" ref="F423">_xlfn.XLOOKUP(D423,'Referanc '!$A:$A,'Referanc '!$E:$E)</f>
        <v>E4</v>
      </c>
      <c r="G423" s="68">
        <v>578.0</v>
      </c>
      <c r="H423" s="68">
        <v>16.0</v>
      </c>
      <c r="I423" s="27">
        <v>0.0088</v>
      </c>
      <c r="J423" s="27">
        <v>0.0072</v>
      </c>
      <c r="K423" s="68">
        <v>728.0</v>
      </c>
      <c r="L423" s="68">
        <v>17.0</v>
      </c>
      <c r="M423" s="27">
        <v>0.0081</v>
      </c>
      <c r="N423" s="27">
        <v>0.0058</v>
      </c>
      <c r="O423" s="27">
        <v>0.8614</v>
      </c>
      <c r="P423" s="27">
        <v>1.0</v>
      </c>
      <c r="Q423" s="68">
        <v>3.0</v>
      </c>
      <c r="R423" s="68">
        <v>0.0</v>
      </c>
      <c r="S423" s="27">
        <v>0.0052</v>
      </c>
      <c r="T423" s="27">
        <v>0.0</v>
      </c>
      <c r="U423" s="197">
        <v>83750.0</v>
      </c>
      <c r="V423" s="197">
        <v>0.0</v>
      </c>
      <c r="W423" s="68">
        <v>3.0</v>
      </c>
      <c r="X423" s="68">
        <v>0.0</v>
      </c>
    </row>
    <row r="424" ht="15.75" customHeight="1">
      <c r="A424" s="10" t="s">
        <v>58</v>
      </c>
      <c r="B424" s="10" t="str">
        <f t="array" ref="B424">_xlfn.XLOOKUP(D424,'Referanc '!$A:$A,'Referanc '!$B:$B)</f>
        <v>Standing Table - All Frames</v>
      </c>
      <c r="C424" s="68" t="s">
        <v>399</v>
      </c>
      <c r="D424" s="68" t="s">
        <v>399</v>
      </c>
      <c r="E424" s="68" t="s">
        <v>1192</v>
      </c>
      <c r="F424" s="10" t="str">
        <f t="array" ref="F424">_xlfn.XLOOKUP(D424,'Referanc '!$A:$A,'Referanc '!$E:$E)</f>
        <v>E1A</v>
      </c>
      <c r="G424" s="68">
        <v>520.0</v>
      </c>
      <c r="H424" s="68">
        <v>18.0</v>
      </c>
      <c r="I424" s="27">
        <v>0.0079</v>
      </c>
      <c r="J424" s="27">
        <v>0.0081</v>
      </c>
      <c r="K424" s="68">
        <v>661.0</v>
      </c>
      <c r="L424" s="68">
        <v>21.0</v>
      </c>
      <c r="M424" s="27">
        <v>0.0073</v>
      </c>
      <c r="N424" s="27">
        <v>0.0072</v>
      </c>
      <c r="O424" s="27">
        <v>0.8312</v>
      </c>
      <c r="P424" s="27">
        <v>0.8889</v>
      </c>
      <c r="Q424" s="68">
        <v>3.0</v>
      </c>
      <c r="R424" s="68">
        <v>0.0</v>
      </c>
      <c r="S424" s="27">
        <v>0.0058</v>
      </c>
      <c r="T424" s="27">
        <v>0.0</v>
      </c>
      <c r="U424" s="197">
        <v>77791.08</v>
      </c>
      <c r="V424" s="197">
        <v>0.0</v>
      </c>
      <c r="W424" s="68">
        <v>3.0</v>
      </c>
      <c r="X424" s="68">
        <v>0.0</v>
      </c>
    </row>
    <row r="425" ht="15.75" customHeight="1">
      <c r="A425" s="10" t="s">
        <v>58</v>
      </c>
      <c r="B425" s="10" t="str">
        <f t="array" ref="B425">_xlfn.XLOOKUP(D425,'Referanc '!$A:$A,'Referanc '!$B:$B)</f>
        <v>Standing Table  - M8</v>
      </c>
      <c r="C425" s="68" t="s">
        <v>415</v>
      </c>
      <c r="D425" s="68" t="s">
        <v>415</v>
      </c>
      <c r="E425" s="68" t="s">
        <v>1195</v>
      </c>
      <c r="F425" s="10" t="str">
        <f t="array" ref="F425">_xlfn.XLOOKUP(D425,'Referanc '!$A:$A,'Referanc '!$E:$E)</f>
        <v>M8</v>
      </c>
      <c r="G425" s="68">
        <v>177.0</v>
      </c>
      <c r="H425" s="68">
        <v>4.0</v>
      </c>
      <c r="I425" s="27">
        <v>0.0027</v>
      </c>
      <c r="J425" s="27">
        <v>0.0018</v>
      </c>
      <c r="K425" s="68">
        <v>243.0</v>
      </c>
      <c r="L425" s="68">
        <v>4.0</v>
      </c>
      <c r="M425" s="27">
        <v>0.0027</v>
      </c>
      <c r="N425" s="27">
        <v>0.0014</v>
      </c>
      <c r="O425" s="27">
        <v>0.9289</v>
      </c>
      <c r="P425" s="27">
        <v>1.0</v>
      </c>
      <c r="Q425" s="68">
        <v>2.0</v>
      </c>
      <c r="R425" s="68">
        <v>0.0</v>
      </c>
      <c r="S425" s="27">
        <v>0.0113</v>
      </c>
      <c r="T425" s="27">
        <v>0.0</v>
      </c>
      <c r="U425" s="197">
        <v>37980.0</v>
      </c>
      <c r="V425" s="197">
        <v>0.0</v>
      </c>
      <c r="W425" s="68">
        <v>2.0</v>
      </c>
      <c r="X425" s="68">
        <v>0.0</v>
      </c>
    </row>
    <row r="426" ht="15.75" customHeight="1">
      <c r="A426" s="10" t="s">
        <v>58</v>
      </c>
      <c r="B426" s="10" t="str">
        <f t="array" ref="B426">_xlfn.XLOOKUP(D426,'Referanc '!$A:$A,'Referanc '!$B:$B)</f>
        <v>Standing Table  - M8</v>
      </c>
      <c r="C426" s="68" t="s">
        <v>418</v>
      </c>
      <c r="D426" s="68" t="s">
        <v>418</v>
      </c>
      <c r="E426" s="68" t="s">
        <v>1190</v>
      </c>
      <c r="F426" s="10" t="str">
        <f t="array" ref="F426">_xlfn.XLOOKUP(D426,'Referanc '!$A:$A,'Referanc '!$E:$E)</f>
        <v>M8</v>
      </c>
      <c r="G426" s="68">
        <v>381.0</v>
      </c>
      <c r="H426" s="68">
        <v>10.0</v>
      </c>
      <c r="I426" s="27">
        <v>0.0058</v>
      </c>
      <c r="J426" s="27">
        <v>0.0045</v>
      </c>
      <c r="K426" s="68">
        <v>505.0</v>
      </c>
      <c r="L426" s="68">
        <v>12.0</v>
      </c>
      <c r="M426" s="27">
        <v>0.0056</v>
      </c>
      <c r="N426" s="27">
        <v>0.0041</v>
      </c>
      <c r="O426" s="27">
        <v>0.8095</v>
      </c>
      <c r="P426" s="27">
        <v>0.8</v>
      </c>
      <c r="Q426" s="68">
        <v>2.0</v>
      </c>
      <c r="R426" s="68">
        <v>0.0</v>
      </c>
      <c r="S426" s="27">
        <v>0.0052</v>
      </c>
      <c r="T426" s="27">
        <v>0.0</v>
      </c>
      <c r="U426" s="197">
        <v>31980.0</v>
      </c>
      <c r="V426" s="197">
        <v>0.0</v>
      </c>
      <c r="W426" s="68">
        <v>2.0</v>
      </c>
      <c r="X426" s="68">
        <v>0.0</v>
      </c>
    </row>
    <row r="427" ht="15.75" customHeight="1">
      <c r="A427" s="10" t="s">
        <v>58</v>
      </c>
      <c r="B427" s="10" t="str">
        <f t="array" ref="B427">_xlfn.XLOOKUP(D427,'Referanc '!$A:$A,'Referanc '!$B:$B)</f>
        <v>Standing Desk Converter</v>
      </c>
      <c r="C427" s="68" t="s">
        <v>363</v>
      </c>
      <c r="D427" s="68" t="s">
        <v>363</v>
      </c>
      <c r="E427" s="68" t="s">
        <v>571</v>
      </c>
      <c r="F427" s="10" t="str">
        <f t="array" ref="F427">_xlfn.XLOOKUP(D427,'Referanc '!$A:$A,'Referanc '!$E:$E)</f>
        <v>Standing Desk Converter</v>
      </c>
      <c r="G427" s="68">
        <v>121.0</v>
      </c>
      <c r="H427" s="68">
        <v>3.0</v>
      </c>
      <c r="I427" s="27">
        <v>0.0018</v>
      </c>
      <c r="J427" s="27">
        <v>0.0014</v>
      </c>
      <c r="K427" s="68">
        <v>165.0</v>
      </c>
      <c r="L427" s="68">
        <v>3.0</v>
      </c>
      <c r="M427" s="27">
        <v>0.0018</v>
      </c>
      <c r="N427" s="27">
        <v>0.001</v>
      </c>
      <c r="O427" s="27">
        <v>0.8958</v>
      </c>
      <c r="P427" s="27">
        <v>0.0</v>
      </c>
      <c r="Q427" s="68">
        <v>2.0</v>
      </c>
      <c r="R427" s="68">
        <v>0.0</v>
      </c>
      <c r="S427" s="27">
        <v>0.0165</v>
      </c>
      <c r="T427" s="27">
        <v>0.0</v>
      </c>
      <c r="U427" s="197">
        <v>16900.0</v>
      </c>
      <c r="V427" s="197">
        <v>0.0</v>
      </c>
      <c r="W427" s="68">
        <v>2.0</v>
      </c>
      <c r="X427" s="68">
        <v>0.0</v>
      </c>
    </row>
    <row r="428" ht="15.75" customHeight="1">
      <c r="A428" s="10" t="s">
        <v>58</v>
      </c>
      <c r="B428" s="10" t="str">
        <f t="array" ref="B428">_xlfn.XLOOKUP(D428,'Referanc '!$A:$A,'Referanc '!$B:$B)</f>
        <v>Standing Desk Converter</v>
      </c>
      <c r="C428" s="68" t="s">
        <v>326</v>
      </c>
      <c r="D428" s="68" t="s">
        <v>326</v>
      </c>
      <c r="E428" s="68" t="s">
        <v>1197</v>
      </c>
      <c r="F428" s="10" t="str">
        <f t="array" ref="F428">_xlfn.XLOOKUP(D428,'Referanc '!$A:$A,'Referanc '!$E:$E)</f>
        <v>Standing Desk Converter</v>
      </c>
      <c r="G428" s="68">
        <v>243.0</v>
      </c>
      <c r="H428" s="68">
        <v>10.0</v>
      </c>
      <c r="I428" s="27">
        <v>0.0037</v>
      </c>
      <c r="J428" s="27">
        <v>0.0045</v>
      </c>
      <c r="K428" s="68">
        <v>337.0</v>
      </c>
      <c r="L428" s="68">
        <v>17.0</v>
      </c>
      <c r="M428" s="27">
        <v>0.0037</v>
      </c>
      <c r="N428" s="27">
        <v>0.0058</v>
      </c>
      <c r="O428" s="27">
        <v>0.9097</v>
      </c>
      <c r="P428" s="27">
        <v>0.7778</v>
      </c>
      <c r="Q428" s="68">
        <v>2.0</v>
      </c>
      <c r="R428" s="68">
        <v>0.0</v>
      </c>
      <c r="S428" s="27">
        <v>0.0082</v>
      </c>
      <c r="T428" s="27">
        <v>0.0</v>
      </c>
      <c r="U428" s="197">
        <v>13131.0</v>
      </c>
      <c r="V428" s="197">
        <v>0.0</v>
      </c>
      <c r="W428" s="68">
        <v>2.0</v>
      </c>
      <c r="X428" s="68">
        <v>0.0</v>
      </c>
    </row>
    <row r="429" ht="15.75" customHeight="1">
      <c r="A429" s="10" t="s">
        <v>58</v>
      </c>
      <c r="B429" s="10" t="str">
        <f t="array" ref="B429">_xlfn.XLOOKUP(D429,'Referanc '!$A:$A,'Referanc '!$B:$B)</f>
        <v>Standing Table - All Frames</v>
      </c>
      <c r="C429" s="68" t="s">
        <v>343</v>
      </c>
      <c r="D429" s="68" t="s">
        <v>343</v>
      </c>
      <c r="E429" s="68" t="s">
        <v>1228</v>
      </c>
      <c r="F429" s="10" t="str">
        <f t="array" ref="F429">_xlfn.XLOOKUP(D429,'Referanc '!$A:$A,'Referanc '!$E:$E)</f>
        <v>E3</v>
      </c>
      <c r="G429" s="68">
        <v>401.0</v>
      </c>
      <c r="H429" s="68">
        <v>17.0</v>
      </c>
      <c r="I429" s="27">
        <v>0.0061</v>
      </c>
      <c r="J429" s="27">
        <v>0.0077</v>
      </c>
      <c r="K429" s="68">
        <v>564.0</v>
      </c>
      <c r="L429" s="68">
        <v>27.0</v>
      </c>
      <c r="M429" s="27">
        <v>0.0063</v>
      </c>
      <c r="N429" s="27">
        <v>0.0092</v>
      </c>
      <c r="O429" s="27">
        <v>0.8747</v>
      </c>
      <c r="P429" s="27">
        <v>1.0</v>
      </c>
      <c r="Q429" s="68">
        <v>2.0</v>
      </c>
      <c r="R429" s="68">
        <v>0.0</v>
      </c>
      <c r="S429" s="27">
        <v>0.005</v>
      </c>
      <c r="T429" s="27">
        <v>0.0</v>
      </c>
      <c r="U429" s="197">
        <v>68662.72</v>
      </c>
      <c r="V429" s="197">
        <v>0.0</v>
      </c>
      <c r="W429" s="68">
        <v>2.0</v>
      </c>
      <c r="X429" s="68">
        <v>0.0</v>
      </c>
    </row>
    <row r="430" ht="15.75" customHeight="1">
      <c r="A430" s="10" t="s">
        <v>58</v>
      </c>
      <c r="B430" s="10" t="str">
        <f t="array" ref="B430">_xlfn.XLOOKUP(D430,'Referanc '!$A:$A,'Referanc '!$B:$B)</f>
        <v>Standing Table  - E3</v>
      </c>
      <c r="C430" s="68" t="s">
        <v>344</v>
      </c>
      <c r="D430" s="68" t="s">
        <v>344</v>
      </c>
      <c r="E430" s="68" t="s">
        <v>1183</v>
      </c>
      <c r="F430" s="10" t="str">
        <f t="array" ref="F430">_xlfn.XLOOKUP(D430,'Referanc '!$A:$A,'Referanc '!$E:$E)</f>
        <v>E3</v>
      </c>
      <c r="G430" s="68">
        <v>409.0</v>
      </c>
      <c r="H430" s="68">
        <v>12.0</v>
      </c>
      <c r="I430" s="27">
        <v>0.0062</v>
      </c>
      <c r="J430" s="27">
        <v>0.0054</v>
      </c>
      <c r="K430" s="68">
        <v>517.0</v>
      </c>
      <c r="L430" s="68">
        <v>13.0</v>
      </c>
      <c r="M430" s="27">
        <v>0.0057</v>
      </c>
      <c r="N430" s="27">
        <v>0.0044</v>
      </c>
      <c r="O430" s="27">
        <v>0.8837</v>
      </c>
      <c r="P430" s="27">
        <v>1.0</v>
      </c>
      <c r="Q430" s="68">
        <v>2.0</v>
      </c>
      <c r="R430" s="68">
        <v>1.0</v>
      </c>
      <c r="S430" s="27">
        <v>0.0049</v>
      </c>
      <c r="T430" s="27">
        <v>0.0833</v>
      </c>
      <c r="U430" s="197">
        <v>77281.36</v>
      </c>
      <c r="V430" s="197">
        <v>38900.0</v>
      </c>
      <c r="W430" s="68">
        <v>2.0</v>
      </c>
      <c r="X430" s="68">
        <v>1.0</v>
      </c>
    </row>
    <row r="431" ht="15.75" customHeight="1">
      <c r="A431" s="10" t="s">
        <v>58</v>
      </c>
      <c r="B431" s="10" t="str">
        <f t="array" ref="B431">_xlfn.XLOOKUP(D431,'Referanc '!$A:$A,'Referanc '!$B:$B)</f>
        <v>Extension &amp; Holder</v>
      </c>
      <c r="C431" s="68" t="s">
        <v>338</v>
      </c>
      <c r="D431" s="68" t="s">
        <v>338</v>
      </c>
      <c r="E431" s="68" t="s">
        <v>1252</v>
      </c>
      <c r="F431" s="10" t="str">
        <f t="array" ref="F431">_xlfn.XLOOKUP(D431,'Referanc '!$A:$A,'Referanc '!$E:$E)</f>
        <v>Extension Board Holder</v>
      </c>
      <c r="G431" s="68">
        <v>66.0</v>
      </c>
      <c r="H431" s="68">
        <v>4.0</v>
      </c>
      <c r="I431" s="27">
        <v>0.001</v>
      </c>
      <c r="J431" s="27">
        <v>0.0018</v>
      </c>
      <c r="K431" s="68">
        <v>110.0</v>
      </c>
      <c r="L431" s="68">
        <v>6.0</v>
      </c>
      <c r="M431" s="27">
        <v>0.0012</v>
      </c>
      <c r="N431" s="27">
        <v>0.002</v>
      </c>
      <c r="O431" s="27">
        <v>0.9892</v>
      </c>
      <c r="P431" s="27">
        <v>1.0</v>
      </c>
      <c r="Q431" s="68">
        <v>2.0</v>
      </c>
      <c r="R431" s="68">
        <v>2.0</v>
      </c>
      <c r="S431" s="27">
        <v>0.0303</v>
      </c>
      <c r="T431" s="27">
        <v>0.5</v>
      </c>
      <c r="U431" s="197">
        <v>2998.0</v>
      </c>
      <c r="V431" s="197">
        <v>2998.0</v>
      </c>
      <c r="W431" s="68">
        <v>2.0</v>
      </c>
      <c r="X431" s="68">
        <v>2.0</v>
      </c>
    </row>
    <row r="432" ht="15.75" customHeight="1">
      <c r="A432" s="10" t="s">
        <v>58</v>
      </c>
      <c r="B432" s="10" t="str">
        <f t="array" ref="B432">_xlfn.XLOOKUP(D432,'Referanc '!$A:$A,'Referanc '!$B:$B)</f>
        <v>Standing Table  - E1A</v>
      </c>
      <c r="C432" s="68" t="s">
        <v>382</v>
      </c>
      <c r="D432" s="68" t="s">
        <v>382</v>
      </c>
      <c r="E432" s="68" t="s">
        <v>1191</v>
      </c>
      <c r="F432" s="10" t="str">
        <f t="array" ref="F432">_xlfn.XLOOKUP(D432,'Referanc '!$A:$A,'Referanc '!$E:$E)</f>
        <v>E1A</v>
      </c>
      <c r="G432" s="68">
        <v>221.0</v>
      </c>
      <c r="H432" s="68">
        <v>4.0</v>
      </c>
      <c r="I432" s="27">
        <v>0.0034</v>
      </c>
      <c r="J432" s="27">
        <v>0.0018</v>
      </c>
      <c r="K432" s="68">
        <v>275.0</v>
      </c>
      <c r="L432" s="68">
        <v>4.0</v>
      </c>
      <c r="M432" s="27">
        <v>0.0031</v>
      </c>
      <c r="N432" s="27">
        <v>0.0014</v>
      </c>
      <c r="O432" s="27">
        <v>0.872</v>
      </c>
      <c r="P432" s="27">
        <v>1.0</v>
      </c>
      <c r="Q432" s="68">
        <v>2.0</v>
      </c>
      <c r="R432" s="68">
        <v>0.0</v>
      </c>
      <c r="S432" s="27">
        <v>0.009</v>
      </c>
      <c r="T432" s="27">
        <v>0.0</v>
      </c>
      <c r="U432" s="197">
        <v>59331.36</v>
      </c>
      <c r="V432" s="197">
        <v>0.0</v>
      </c>
      <c r="W432" s="68">
        <v>2.0</v>
      </c>
      <c r="X432" s="68">
        <v>0.0</v>
      </c>
    </row>
    <row r="433" ht="15.75" customHeight="1">
      <c r="A433" s="10" t="s">
        <v>58</v>
      </c>
      <c r="B433" s="10" t="str">
        <f t="array" ref="B433">_xlfn.XLOOKUP(D433,'Referanc '!$A:$A,'Referanc '!$B:$B)</f>
        <v>Standing Table  - E4</v>
      </c>
      <c r="C433" s="68" t="s">
        <v>388</v>
      </c>
      <c r="D433" s="68" t="s">
        <v>388</v>
      </c>
      <c r="E433" s="68" t="s">
        <v>1220</v>
      </c>
      <c r="F433" s="10" t="str">
        <f t="array" ref="F433">_xlfn.XLOOKUP(D433,'Referanc '!$A:$A,'Referanc '!$E:$E)</f>
        <v>E4</v>
      </c>
      <c r="G433" s="68">
        <v>342.0</v>
      </c>
      <c r="H433" s="68">
        <v>7.0</v>
      </c>
      <c r="I433" s="27">
        <v>0.0052</v>
      </c>
      <c r="J433" s="27">
        <v>0.0032</v>
      </c>
      <c r="K433" s="68">
        <v>426.0</v>
      </c>
      <c r="L433" s="68">
        <v>7.0</v>
      </c>
      <c r="M433" s="27">
        <v>0.0047</v>
      </c>
      <c r="N433" s="27">
        <v>0.0024</v>
      </c>
      <c r="O433" s="27">
        <v>0.8497</v>
      </c>
      <c r="P433" s="27">
        <v>1.0</v>
      </c>
      <c r="Q433" s="68">
        <v>2.0</v>
      </c>
      <c r="R433" s="68">
        <v>0.0</v>
      </c>
      <c r="S433" s="27">
        <v>0.0058</v>
      </c>
      <c r="T433" s="27">
        <v>0.0</v>
      </c>
      <c r="U433" s="197">
        <v>50500.0</v>
      </c>
      <c r="V433" s="197">
        <v>0.0</v>
      </c>
      <c r="W433" s="68">
        <v>2.0</v>
      </c>
      <c r="X433" s="68">
        <v>0.0</v>
      </c>
    </row>
    <row r="434" ht="15.75" customHeight="1">
      <c r="A434" s="10" t="s">
        <v>58</v>
      </c>
      <c r="B434" s="10" t="str">
        <f t="array" ref="B434">_xlfn.XLOOKUP(D434,'Referanc '!$A:$A,'Referanc '!$B:$B)</f>
        <v>Standing Table  - E1A</v>
      </c>
      <c r="C434" s="68" t="s">
        <v>384</v>
      </c>
      <c r="D434" s="68" t="s">
        <v>384</v>
      </c>
      <c r="E434" s="68" t="s">
        <v>1241</v>
      </c>
      <c r="F434" s="10" t="str">
        <f t="array" ref="F434">_xlfn.XLOOKUP(D434,'Referanc '!$A:$A,'Referanc '!$E:$E)</f>
        <v>E1A</v>
      </c>
      <c r="G434" s="68">
        <v>194.0</v>
      </c>
      <c r="H434" s="68">
        <v>8.0</v>
      </c>
      <c r="I434" s="27">
        <v>0.0029</v>
      </c>
      <c r="J434" s="27">
        <v>0.0036</v>
      </c>
      <c r="K434" s="68">
        <v>269.0</v>
      </c>
      <c r="L434" s="68">
        <v>9.0</v>
      </c>
      <c r="M434" s="27">
        <v>0.003</v>
      </c>
      <c r="N434" s="27">
        <v>0.0031</v>
      </c>
      <c r="O434" s="27">
        <v>0.7909</v>
      </c>
      <c r="P434" s="27">
        <v>0.4615</v>
      </c>
      <c r="Q434" s="68">
        <v>2.0</v>
      </c>
      <c r="R434" s="68">
        <v>1.0</v>
      </c>
      <c r="S434" s="27">
        <v>0.0103</v>
      </c>
      <c r="T434" s="27">
        <v>0.125</v>
      </c>
      <c r="U434" s="197">
        <v>59331.36</v>
      </c>
      <c r="V434" s="197">
        <v>28881.36</v>
      </c>
      <c r="W434" s="68">
        <v>2.0</v>
      </c>
      <c r="X434" s="68">
        <v>1.0</v>
      </c>
    </row>
    <row r="435" ht="15.75" customHeight="1">
      <c r="A435" s="10" t="s">
        <v>58</v>
      </c>
      <c r="B435" s="10" t="str">
        <f t="array" ref="B435">_xlfn.XLOOKUP(D435,'Referanc '!$A:$A,'Referanc '!$B:$B)</f>
        <v>Standing Table - All Frames</v>
      </c>
      <c r="C435" s="68" t="s">
        <v>402</v>
      </c>
      <c r="D435" s="68" t="s">
        <v>402</v>
      </c>
      <c r="E435" s="68" t="s">
        <v>676</v>
      </c>
      <c r="F435" s="10" t="str">
        <f t="array" ref="F435">_xlfn.XLOOKUP(D435,'Referanc '!$A:$A,'Referanc '!$E:$E)</f>
        <v>E4</v>
      </c>
      <c r="G435" s="68">
        <v>542.0</v>
      </c>
      <c r="H435" s="68">
        <v>22.0</v>
      </c>
      <c r="I435" s="27">
        <v>0.0082</v>
      </c>
      <c r="J435" s="27">
        <v>0.0099</v>
      </c>
      <c r="K435" s="68">
        <v>762.0</v>
      </c>
      <c r="L435" s="68">
        <v>25.0</v>
      </c>
      <c r="M435" s="27">
        <v>0.0085</v>
      </c>
      <c r="N435" s="27">
        <v>0.0085</v>
      </c>
      <c r="O435" s="27">
        <v>0.8616</v>
      </c>
      <c r="P435" s="27">
        <v>0.5625</v>
      </c>
      <c r="Q435" s="68">
        <v>2.0</v>
      </c>
      <c r="R435" s="68">
        <v>0.0</v>
      </c>
      <c r="S435" s="27">
        <v>0.0037</v>
      </c>
      <c r="T435" s="27">
        <v>0.0</v>
      </c>
      <c r="U435" s="197">
        <v>45000.0</v>
      </c>
      <c r="V435" s="197">
        <v>0.0</v>
      </c>
      <c r="W435" s="68">
        <v>2.0</v>
      </c>
      <c r="X435" s="68">
        <v>0.0</v>
      </c>
    </row>
    <row r="436" ht="15.75" customHeight="1">
      <c r="A436" s="10" t="s">
        <v>58</v>
      </c>
      <c r="B436" s="10" t="str">
        <f t="array" ref="B436">_xlfn.XLOOKUP(D436,'Referanc '!$A:$A,'Referanc '!$B:$B)</f>
        <v>TABLE TOP</v>
      </c>
      <c r="C436" s="68" t="s">
        <v>323</v>
      </c>
      <c r="D436" s="68" t="s">
        <v>323</v>
      </c>
      <c r="E436" s="68" t="s">
        <v>1221</v>
      </c>
      <c r="F436" s="10" t="str">
        <f t="array" ref="F436">_xlfn.XLOOKUP(D436,'Referanc '!$A:$A,'Referanc '!$E:$E)</f>
        <v>TABLE TOP</v>
      </c>
      <c r="G436" s="68">
        <v>202.0</v>
      </c>
      <c r="H436" s="68">
        <v>4.0</v>
      </c>
      <c r="I436" s="27">
        <v>0.0031</v>
      </c>
      <c r="J436" s="27">
        <v>0.0018</v>
      </c>
      <c r="K436" s="68">
        <v>247.0</v>
      </c>
      <c r="L436" s="68">
        <v>4.0</v>
      </c>
      <c r="M436" s="27">
        <v>0.0027</v>
      </c>
      <c r="N436" s="27">
        <v>0.0014</v>
      </c>
      <c r="O436" s="27">
        <v>0.775</v>
      </c>
      <c r="P436" s="27">
        <v>0.6667</v>
      </c>
      <c r="Q436" s="68">
        <v>1.0</v>
      </c>
      <c r="R436" s="68">
        <v>0.0</v>
      </c>
      <c r="S436" s="27">
        <v>0.005</v>
      </c>
      <c r="T436" s="27">
        <v>0.0</v>
      </c>
      <c r="U436" s="197">
        <v>8900.0</v>
      </c>
      <c r="V436" s="197">
        <v>0.0</v>
      </c>
      <c r="W436" s="68">
        <v>1.0</v>
      </c>
      <c r="X436" s="68">
        <v>0.0</v>
      </c>
    </row>
    <row r="437" ht="15.75" customHeight="1">
      <c r="A437" s="10" t="s">
        <v>58</v>
      </c>
      <c r="B437" s="10" t="str">
        <f t="array" ref="B437">_xlfn.XLOOKUP(D437,'Referanc '!$A:$A,'Referanc '!$B:$B)</f>
        <v>Monitor Stand </v>
      </c>
      <c r="C437" s="68" t="s">
        <v>316</v>
      </c>
      <c r="D437" s="68" t="s">
        <v>316</v>
      </c>
      <c r="E437" s="68" t="s">
        <v>1193</v>
      </c>
      <c r="F437" s="10" t="str">
        <f t="array" ref="F437">_xlfn.XLOOKUP(D437,'Referanc '!$A:$A,'Referanc '!$E:$E)</f>
        <v> Monitor Stand</v>
      </c>
      <c r="G437" s="68">
        <v>203.0</v>
      </c>
      <c r="H437" s="68">
        <v>7.0</v>
      </c>
      <c r="I437" s="27">
        <v>0.0031</v>
      </c>
      <c r="J437" s="27">
        <v>0.0032</v>
      </c>
      <c r="K437" s="68">
        <v>315.0</v>
      </c>
      <c r="L437" s="68">
        <v>15.0</v>
      </c>
      <c r="M437" s="27">
        <v>0.0035</v>
      </c>
      <c r="N437" s="27">
        <v>0.0051</v>
      </c>
      <c r="O437" s="27">
        <v>0.9791</v>
      </c>
      <c r="P437" s="27">
        <v>1.0</v>
      </c>
      <c r="Q437" s="68">
        <v>1.0</v>
      </c>
      <c r="R437" s="68">
        <v>0.0</v>
      </c>
      <c r="S437" s="27">
        <v>0.0049</v>
      </c>
      <c r="T437" s="27">
        <v>0.0</v>
      </c>
      <c r="U437" s="197">
        <v>1800.0</v>
      </c>
      <c r="V437" s="197">
        <v>0.0</v>
      </c>
      <c r="W437" s="68">
        <v>1.0</v>
      </c>
      <c r="X437" s="68">
        <v>0.0</v>
      </c>
    </row>
    <row r="438" ht="15.75" customHeight="1">
      <c r="A438" s="10" t="s">
        <v>58</v>
      </c>
      <c r="B438" s="10" t="str">
        <f t="array" ref="B438">_xlfn.XLOOKUP(D438,'Referanc '!$A:$A,'Referanc '!$B:$B)</f>
        <v>Standing Table  - M8</v>
      </c>
      <c r="C438" s="68" t="s">
        <v>412</v>
      </c>
      <c r="D438" s="68" t="s">
        <v>412</v>
      </c>
      <c r="E438" s="68" t="s">
        <v>1177</v>
      </c>
      <c r="F438" s="10" t="str">
        <f t="array" ref="F438">_xlfn.XLOOKUP(D438,'Referanc '!$A:$A,'Referanc '!$E:$E)</f>
        <v>M8</v>
      </c>
      <c r="G438" s="68">
        <v>713.0</v>
      </c>
      <c r="H438" s="68">
        <v>26.0</v>
      </c>
      <c r="I438" s="27">
        <v>0.0108</v>
      </c>
      <c r="J438" s="27">
        <v>0.0117</v>
      </c>
      <c r="K438" s="68">
        <v>908.0</v>
      </c>
      <c r="L438" s="68">
        <v>34.0</v>
      </c>
      <c r="M438" s="27">
        <v>0.0101</v>
      </c>
      <c r="N438" s="27">
        <v>0.0116</v>
      </c>
      <c r="O438" s="27">
        <v>0.8346</v>
      </c>
      <c r="P438" s="27">
        <v>0.8333</v>
      </c>
      <c r="Q438" s="68">
        <v>1.0</v>
      </c>
      <c r="R438" s="68">
        <v>0.0</v>
      </c>
      <c r="S438" s="27">
        <v>0.0014</v>
      </c>
      <c r="T438" s="27">
        <v>0.0</v>
      </c>
      <c r="U438" s="197">
        <v>21299.0</v>
      </c>
      <c r="V438" s="197">
        <v>0.0</v>
      </c>
      <c r="W438" s="68">
        <v>1.0</v>
      </c>
      <c r="X438" s="68">
        <v>0.0</v>
      </c>
    </row>
    <row r="439" ht="15.75" customHeight="1">
      <c r="A439" s="10" t="s">
        <v>58</v>
      </c>
      <c r="B439" s="10" t="str">
        <f t="array" ref="B439">_xlfn.XLOOKUP(D439,'Referanc '!$A:$A,'Referanc '!$B:$B)</f>
        <v>Standing Table  - M4</v>
      </c>
      <c r="C439" s="68" t="s">
        <v>348</v>
      </c>
      <c r="D439" s="68" t="s">
        <v>348</v>
      </c>
      <c r="E439" s="68" t="s">
        <v>524</v>
      </c>
      <c r="F439" s="10" t="str">
        <f t="array" ref="F439">_xlfn.XLOOKUP(D439,'Referanc '!$A:$A,'Referanc '!$E:$E)</f>
        <v>M4</v>
      </c>
      <c r="G439" s="68">
        <v>416.0</v>
      </c>
      <c r="H439" s="68">
        <v>22.0</v>
      </c>
      <c r="I439" s="27">
        <v>0.0063</v>
      </c>
      <c r="J439" s="27">
        <v>0.0099</v>
      </c>
      <c r="K439" s="68">
        <v>557.0</v>
      </c>
      <c r="L439" s="68">
        <v>29.0</v>
      </c>
      <c r="M439" s="27">
        <v>0.0062</v>
      </c>
      <c r="N439" s="27">
        <v>0.0099</v>
      </c>
      <c r="O439" s="27">
        <v>0.778</v>
      </c>
      <c r="P439" s="27">
        <v>0.5714</v>
      </c>
      <c r="Q439" s="68">
        <v>1.0</v>
      </c>
      <c r="R439" s="68">
        <v>0.0</v>
      </c>
      <c r="S439" s="27">
        <v>0.0024</v>
      </c>
      <c r="T439" s="27">
        <v>0.0</v>
      </c>
      <c r="U439" s="197">
        <v>17500.0</v>
      </c>
      <c r="V439" s="197">
        <v>0.0</v>
      </c>
      <c r="W439" s="68">
        <v>1.0</v>
      </c>
      <c r="X439" s="68">
        <v>0.0</v>
      </c>
    </row>
    <row r="440" ht="15.75" customHeight="1">
      <c r="A440" s="10" t="s">
        <v>58</v>
      </c>
      <c r="B440" s="10" t="str">
        <f t="array" ref="B440">_xlfn.XLOOKUP(D440,'Referanc '!$A:$A,'Referanc '!$B:$B)</f>
        <v>Standing Table  - M8</v>
      </c>
      <c r="C440" s="68" t="s">
        <v>414</v>
      </c>
      <c r="D440" s="68" t="s">
        <v>414</v>
      </c>
      <c r="E440" s="68" t="s">
        <v>1187</v>
      </c>
      <c r="F440" s="10" t="str">
        <f t="array" ref="F440">_xlfn.XLOOKUP(D440,'Referanc '!$A:$A,'Referanc '!$E:$E)</f>
        <v>M8</v>
      </c>
      <c r="G440" s="68">
        <v>191.0</v>
      </c>
      <c r="H440" s="68">
        <v>4.0</v>
      </c>
      <c r="I440" s="27">
        <v>0.0029</v>
      </c>
      <c r="J440" s="27">
        <v>0.0018</v>
      </c>
      <c r="K440" s="68">
        <v>246.0</v>
      </c>
      <c r="L440" s="68">
        <v>4.0</v>
      </c>
      <c r="M440" s="27">
        <v>0.0027</v>
      </c>
      <c r="N440" s="27">
        <v>0.0014</v>
      </c>
      <c r="O440" s="27">
        <v>0.8848</v>
      </c>
      <c r="P440" s="27">
        <v>1.0</v>
      </c>
      <c r="Q440" s="68">
        <v>1.0</v>
      </c>
      <c r="R440" s="68">
        <v>0.0</v>
      </c>
      <c r="S440" s="27">
        <v>0.0052</v>
      </c>
      <c r="T440" s="27">
        <v>0.0</v>
      </c>
      <c r="U440" s="197">
        <v>13570.0</v>
      </c>
      <c r="V440" s="197">
        <v>0.0</v>
      </c>
      <c r="W440" s="68">
        <v>1.0</v>
      </c>
      <c r="X440" s="68">
        <v>0.0</v>
      </c>
    </row>
    <row r="441" ht="15.75" customHeight="1">
      <c r="A441" s="10" t="s">
        <v>58</v>
      </c>
      <c r="B441" s="10" t="str">
        <f t="array" ref="B441">_xlfn.XLOOKUP(D441,'Referanc '!$A:$A,'Referanc '!$B:$B)</f>
        <v>Standing Table  - M8</v>
      </c>
      <c r="C441" s="68" t="s">
        <v>416</v>
      </c>
      <c r="D441" s="68" t="s">
        <v>416</v>
      </c>
      <c r="E441" s="68" t="s">
        <v>1189</v>
      </c>
      <c r="F441" s="10" t="str">
        <f t="array" ref="F441">_xlfn.XLOOKUP(D441,'Referanc '!$A:$A,'Referanc '!$E:$E)</f>
        <v>M8</v>
      </c>
      <c r="G441" s="68">
        <v>147.0</v>
      </c>
      <c r="H441" s="68">
        <v>4.0</v>
      </c>
      <c r="I441" s="27">
        <v>0.0022</v>
      </c>
      <c r="J441" s="27">
        <v>0.0018</v>
      </c>
      <c r="K441" s="68">
        <v>181.0</v>
      </c>
      <c r="L441" s="68">
        <v>4.0</v>
      </c>
      <c r="M441" s="27">
        <v>0.002</v>
      </c>
      <c r="N441" s="27">
        <v>0.0014</v>
      </c>
      <c r="O441" s="27">
        <v>0.9085</v>
      </c>
      <c r="P441" s="27">
        <v>1.0</v>
      </c>
      <c r="Q441" s="68">
        <v>1.0</v>
      </c>
      <c r="R441" s="68">
        <v>0.0</v>
      </c>
      <c r="S441" s="27">
        <v>0.0068</v>
      </c>
      <c r="T441" s="27">
        <v>0.0</v>
      </c>
      <c r="U441" s="197">
        <v>20230.0</v>
      </c>
      <c r="V441" s="197">
        <v>0.0</v>
      </c>
      <c r="W441" s="68">
        <v>1.0</v>
      </c>
      <c r="X441" s="68">
        <v>0.0</v>
      </c>
    </row>
    <row r="442" ht="15.75" customHeight="1">
      <c r="A442" s="10" t="s">
        <v>58</v>
      </c>
      <c r="B442" s="10" t="str">
        <f t="array" ref="B442">_xlfn.XLOOKUP(D442,'Referanc '!$A:$A,'Referanc '!$B:$B)</f>
        <v>Monitor Arm Stand</v>
      </c>
      <c r="C442" s="68" t="s">
        <v>342</v>
      </c>
      <c r="D442" s="68" t="s">
        <v>342</v>
      </c>
      <c r="E442" s="68" t="s">
        <v>685</v>
      </c>
      <c r="F442" s="10" t="str">
        <f t="array" ref="F442">_xlfn.XLOOKUP(D442,'Referanc '!$A:$A,'Referanc '!$E:$E)</f>
        <v>Monitor Arm Stand</v>
      </c>
      <c r="G442" s="68">
        <v>83.0</v>
      </c>
      <c r="H442" s="68">
        <v>3.0</v>
      </c>
      <c r="I442" s="27">
        <v>0.0013</v>
      </c>
      <c r="J442" s="27">
        <v>0.0014</v>
      </c>
      <c r="K442" s="68">
        <v>103.0</v>
      </c>
      <c r="L442" s="68">
        <v>4.0</v>
      </c>
      <c r="M442" s="27">
        <v>0.0011</v>
      </c>
      <c r="N442" s="27">
        <v>0.0014</v>
      </c>
      <c r="O442" s="27">
        <v>0.7708</v>
      </c>
      <c r="P442" s="27">
        <v>1.0</v>
      </c>
      <c r="Q442" s="68">
        <v>1.0</v>
      </c>
      <c r="R442" s="68">
        <v>1.0</v>
      </c>
      <c r="S442" s="27">
        <v>0.012</v>
      </c>
      <c r="T442" s="27">
        <v>0.3333</v>
      </c>
      <c r="U442" s="197">
        <v>7900.0</v>
      </c>
      <c r="V442" s="197">
        <v>7900.0</v>
      </c>
      <c r="W442" s="68">
        <v>1.0</v>
      </c>
      <c r="X442" s="68">
        <v>1.0</v>
      </c>
    </row>
    <row r="443" ht="15.75" customHeight="1">
      <c r="A443" s="10" t="s">
        <v>58</v>
      </c>
      <c r="B443" s="10" t="str">
        <f t="array" ref="B443">_xlfn.XLOOKUP(D443,'Referanc '!$A:$A,'Referanc '!$B:$B)</f>
        <v>Standing Table  - E2</v>
      </c>
      <c r="C443" s="68" t="s">
        <v>392</v>
      </c>
      <c r="D443" s="68" t="s">
        <v>392</v>
      </c>
      <c r="E443" s="68" t="s">
        <v>670</v>
      </c>
      <c r="F443" s="10" t="str">
        <f t="array" ref="F443">_xlfn.XLOOKUP(D443,'Referanc '!$A:$A,'Referanc '!$E:$E)</f>
        <v>E2</v>
      </c>
      <c r="G443" s="68">
        <v>21.0</v>
      </c>
      <c r="H443" s="68">
        <v>0.0</v>
      </c>
      <c r="I443" s="27">
        <v>3.0E-4</v>
      </c>
      <c r="J443" s="27">
        <v>0.0</v>
      </c>
      <c r="K443" s="68">
        <v>50.0</v>
      </c>
      <c r="L443" s="68">
        <v>0.0</v>
      </c>
      <c r="M443" s="27">
        <v>6.0E-4</v>
      </c>
      <c r="N443" s="27">
        <v>0.0</v>
      </c>
      <c r="O443" s="27">
        <v>0.6744</v>
      </c>
      <c r="P443" s="27">
        <v>0.0</v>
      </c>
      <c r="Q443" s="68">
        <v>1.0</v>
      </c>
      <c r="R443" s="68">
        <v>0.0</v>
      </c>
      <c r="S443" s="27">
        <v>0.0476</v>
      </c>
      <c r="T443" s="27">
        <v>0.0</v>
      </c>
      <c r="U443" s="197">
        <v>34881.36</v>
      </c>
      <c r="V443" s="197">
        <v>0.0</v>
      </c>
      <c r="W443" s="68">
        <v>1.0</v>
      </c>
      <c r="X443" s="68">
        <v>0.0</v>
      </c>
    </row>
    <row r="444" ht="15.75" customHeight="1">
      <c r="A444" s="10" t="s">
        <v>58</v>
      </c>
      <c r="B444" s="10" t="str">
        <f t="array" ref="B444">_xlfn.XLOOKUP(D444,'Referanc '!$A:$A,'Referanc '!$B:$B)</f>
        <v>Standing Table  - E2</v>
      </c>
      <c r="C444" s="68" t="s">
        <v>394</v>
      </c>
      <c r="D444" s="68" t="s">
        <v>394</v>
      </c>
      <c r="E444" s="68" t="s">
        <v>672</v>
      </c>
      <c r="F444" s="10" t="str">
        <f t="array" ref="F444">_xlfn.XLOOKUP(D444,'Referanc '!$A:$A,'Referanc '!$E:$E)</f>
        <v>E2</v>
      </c>
      <c r="G444" s="68">
        <v>26.0</v>
      </c>
      <c r="H444" s="68">
        <v>1.0</v>
      </c>
      <c r="I444" s="27">
        <v>4.0E-4</v>
      </c>
      <c r="J444" s="27">
        <v>5.0E-4</v>
      </c>
      <c r="K444" s="68">
        <v>48.0</v>
      </c>
      <c r="L444" s="68">
        <v>1.0</v>
      </c>
      <c r="M444" s="27">
        <v>5.0E-4</v>
      </c>
      <c r="N444" s="27">
        <v>3.0E-4</v>
      </c>
      <c r="O444" s="27">
        <v>0.6136</v>
      </c>
      <c r="P444" s="27">
        <v>1.0</v>
      </c>
      <c r="Q444" s="68">
        <v>1.0</v>
      </c>
      <c r="R444" s="68">
        <v>0.0</v>
      </c>
      <c r="S444" s="27">
        <v>0.0385</v>
      </c>
      <c r="T444" s="27">
        <v>0.0</v>
      </c>
      <c r="U444" s="197">
        <v>30381.36</v>
      </c>
      <c r="V444" s="197">
        <v>0.0</v>
      </c>
      <c r="W444" s="68">
        <v>1.0</v>
      </c>
      <c r="X444" s="68">
        <v>0.0</v>
      </c>
    </row>
    <row r="445" ht="15.75" customHeight="1">
      <c r="A445" s="10" t="s">
        <v>58</v>
      </c>
      <c r="B445" s="10" t="str">
        <f t="array" ref="B445">_xlfn.XLOOKUP(D445,'Referanc '!$A:$A,'Referanc '!$B:$B)</f>
        <v>Standing Table  - E3</v>
      </c>
      <c r="C445" s="68" t="s">
        <v>376</v>
      </c>
      <c r="D445" s="68" t="s">
        <v>376</v>
      </c>
      <c r="E445" s="68" t="s">
        <v>1157</v>
      </c>
      <c r="F445" s="10" t="str">
        <f t="array" ref="F445">_xlfn.XLOOKUP(D445,'Referanc '!$A:$A,'Referanc '!$E:$E)</f>
        <v>E3</v>
      </c>
      <c r="G445" s="68">
        <v>86.0</v>
      </c>
      <c r="H445" s="68">
        <v>6.0</v>
      </c>
      <c r="I445" s="27">
        <v>0.0013</v>
      </c>
      <c r="J445" s="27">
        <v>0.0027</v>
      </c>
      <c r="K445" s="68">
        <v>105.0</v>
      </c>
      <c r="L445" s="68">
        <v>10.0</v>
      </c>
      <c r="M445" s="27">
        <v>0.0012</v>
      </c>
      <c r="N445" s="27">
        <v>0.0034</v>
      </c>
      <c r="O445" s="27">
        <v>0.8046</v>
      </c>
      <c r="P445" s="27">
        <v>1.0</v>
      </c>
      <c r="Q445" s="68">
        <v>1.0</v>
      </c>
      <c r="R445" s="68">
        <v>0.0</v>
      </c>
      <c r="S445" s="27">
        <v>0.0116</v>
      </c>
      <c r="T445" s="27">
        <v>0.0</v>
      </c>
      <c r="U445" s="197">
        <v>35400.0</v>
      </c>
      <c r="V445" s="197">
        <v>0.0</v>
      </c>
      <c r="W445" s="68">
        <v>1.0</v>
      </c>
      <c r="X445" s="68">
        <v>0.0</v>
      </c>
    </row>
    <row r="446" ht="15.75" customHeight="1">
      <c r="A446" s="10" t="s">
        <v>58</v>
      </c>
      <c r="B446" s="10" t="str">
        <f t="array" ref="B446">_xlfn.XLOOKUP(D446,'Referanc '!$A:$A,'Referanc '!$B:$B)</f>
        <v>Standing Table  - SM3</v>
      </c>
      <c r="C446" s="68" t="s">
        <v>383</v>
      </c>
      <c r="D446" s="68" t="s">
        <v>383</v>
      </c>
      <c r="E446" s="68" t="s">
        <v>1206</v>
      </c>
      <c r="F446" s="10" t="str">
        <f t="array" ref="F446">_xlfn.XLOOKUP(D446,'Referanc '!$A:$A,'Referanc '!$E:$E)</f>
        <v>SM3</v>
      </c>
      <c r="G446" s="68">
        <v>372.0</v>
      </c>
      <c r="H446" s="68">
        <v>15.0</v>
      </c>
      <c r="I446" s="27">
        <v>0.0057</v>
      </c>
      <c r="J446" s="27">
        <v>0.0068</v>
      </c>
      <c r="K446" s="68">
        <v>497.0</v>
      </c>
      <c r="L446" s="68">
        <v>16.0</v>
      </c>
      <c r="M446" s="27">
        <v>0.0055</v>
      </c>
      <c r="N446" s="27">
        <v>0.0055</v>
      </c>
      <c r="O446" s="27">
        <v>0.9206</v>
      </c>
      <c r="P446" s="27">
        <v>1.0</v>
      </c>
      <c r="Q446" s="68">
        <v>1.0</v>
      </c>
      <c r="R446" s="68">
        <v>0.0</v>
      </c>
      <c r="S446" s="27">
        <v>0.0027</v>
      </c>
      <c r="T446" s="27">
        <v>0.0</v>
      </c>
      <c r="U446" s="197">
        <v>24179.24</v>
      </c>
      <c r="V446" s="197">
        <v>0.0</v>
      </c>
      <c r="W446" s="68">
        <v>1.0</v>
      </c>
      <c r="X446" s="68">
        <v>0.0</v>
      </c>
    </row>
    <row r="447" ht="15.75" customHeight="1">
      <c r="A447" s="10" t="s">
        <v>58</v>
      </c>
      <c r="B447" s="10" t="str">
        <f t="array" ref="B447">_xlfn.XLOOKUP(D447,'Referanc '!$A:$A,'Referanc '!$B:$B)</f>
        <v>Standing Table  - E1A</v>
      </c>
      <c r="C447" s="68" t="s">
        <v>367</v>
      </c>
      <c r="D447" s="68" t="s">
        <v>367</v>
      </c>
      <c r="E447" s="68" t="s">
        <v>1235</v>
      </c>
      <c r="F447" s="10" t="str">
        <f t="array" ref="F447">_xlfn.XLOOKUP(D447,'Referanc '!$A:$A,'Referanc '!$E:$E)</f>
        <v>E1A</v>
      </c>
      <c r="G447" s="68">
        <v>764.0</v>
      </c>
      <c r="H447" s="68">
        <v>29.0</v>
      </c>
      <c r="I447" s="27">
        <v>0.0116</v>
      </c>
      <c r="J447" s="27">
        <v>0.0131</v>
      </c>
      <c r="K447" s="68">
        <v>990.0</v>
      </c>
      <c r="L447" s="68">
        <v>34.0</v>
      </c>
      <c r="M447" s="27">
        <v>0.011</v>
      </c>
      <c r="N447" s="27">
        <v>0.0116</v>
      </c>
      <c r="O447" s="27">
        <v>0.8047</v>
      </c>
      <c r="P447" s="27">
        <v>0.5</v>
      </c>
      <c r="Q447" s="68">
        <v>1.0</v>
      </c>
      <c r="R447" s="68">
        <v>0.0</v>
      </c>
      <c r="S447" s="27">
        <v>0.0013</v>
      </c>
      <c r="T447" s="27">
        <v>0.0</v>
      </c>
      <c r="U447" s="197">
        <v>32400.0</v>
      </c>
      <c r="V447" s="197">
        <v>0.0</v>
      </c>
      <c r="W447" s="68">
        <v>1.0</v>
      </c>
      <c r="X447" s="68">
        <v>0.0</v>
      </c>
    </row>
    <row r="448" ht="15.75" customHeight="1">
      <c r="A448" s="10" t="s">
        <v>58</v>
      </c>
      <c r="B448" s="10" t="str">
        <f t="array" ref="B448">_xlfn.XLOOKUP(D448,'Referanc '!$A:$A,'Referanc '!$B:$B)</f>
        <v>Standing Table - All Frames</v>
      </c>
      <c r="C448" s="68" t="s">
        <v>422</v>
      </c>
      <c r="D448" s="68" t="s">
        <v>422</v>
      </c>
      <c r="E448" s="68" t="s">
        <v>676</v>
      </c>
      <c r="F448" s="10" t="str">
        <f t="array" ref="F448">_xlfn.XLOOKUP(D448,'Referanc '!$A:$A,'Referanc '!$E:$E)</f>
        <v>E4</v>
      </c>
      <c r="G448" s="68">
        <v>59.0</v>
      </c>
      <c r="H448" s="68">
        <v>2.0</v>
      </c>
      <c r="I448" s="27">
        <v>9.0E-4</v>
      </c>
      <c r="J448" s="27">
        <v>9.0E-4</v>
      </c>
      <c r="K448" s="68">
        <v>79.0</v>
      </c>
      <c r="L448" s="68">
        <v>2.0</v>
      </c>
      <c r="M448" s="27">
        <v>9.0E-4</v>
      </c>
      <c r="N448" s="27">
        <v>7.0E-4</v>
      </c>
      <c r="O448" s="27">
        <v>0.9583</v>
      </c>
      <c r="P448" s="27">
        <v>1.0</v>
      </c>
      <c r="Q448" s="68">
        <v>1.0</v>
      </c>
      <c r="R448" s="68">
        <v>0.0</v>
      </c>
      <c r="S448" s="27">
        <v>0.0169</v>
      </c>
      <c r="T448" s="27">
        <v>0.0</v>
      </c>
      <c r="U448" s="197">
        <v>23000.0</v>
      </c>
      <c r="V448" s="197">
        <v>0.0</v>
      </c>
      <c r="W448" s="68">
        <v>1.0</v>
      </c>
      <c r="X448" s="68">
        <v>0.0</v>
      </c>
    </row>
    <row r="449" ht="15.75" customHeight="1">
      <c r="A449" s="10" t="s">
        <v>58</v>
      </c>
      <c r="B449" s="10" t="str">
        <f t="array" ref="B449">_xlfn.XLOOKUP(D449,'Referanc '!$A:$A,'Referanc '!$B:$B)</f>
        <v>Monitor Arm Stand</v>
      </c>
      <c r="C449" s="68" t="s">
        <v>353</v>
      </c>
      <c r="D449" s="68" t="s">
        <v>353</v>
      </c>
      <c r="E449" s="68" t="s">
        <v>682</v>
      </c>
      <c r="F449" s="10" t="str">
        <f t="array" ref="F449">_xlfn.XLOOKUP(D449,'Referanc '!$A:$A,'Referanc '!$E:$E)</f>
        <v>Monitor Arm Stand</v>
      </c>
      <c r="G449" s="68">
        <v>26.0</v>
      </c>
      <c r="H449" s="68">
        <v>2.0</v>
      </c>
      <c r="I449" s="27">
        <v>4.0E-4</v>
      </c>
      <c r="J449" s="27">
        <v>9.0E-4</v>
      </c>
      <c r="K449" s="68">
        <v>41.0</v>
      </c>
      <c r="L449" s="68">
        <v>2.0</v>
      </c>
      <c r="M449" s="27">
        <v>5.0E-4</v>
      </c>
      <c r="N449" s="27">
        <v>7.0E-4</v>
      </c>
      <c r="O449" s="27">
        <v>0.8824</v>
      </c>
      <c r="P449" s="27">
        <v>1.0</v>
      </c>
      <c r="Q449" s="68">
        <v>1.0</v>
      </c>
      <c r="R449" s="68">
        <v>0.0</v>
      </c>
      <c r="S449" s="27">
        <v>0.0385</v>
      </c>
      <c r="T449" s="27">
        <v>0.0</v>
      </c>
      <c r="U449" s="197">
        <v>3200.0</v>
      </c>
      <c r="V449" s="197">
        <v>0.0</v>
      </c>
      <c r="W449" s="68">
        <v>1.0</v>
      </c>
      <c r="X449" s="68">
        <v>0.0</v>
      </c>
    </row>
    <row r="450" ht="15.75" customHeight="1">
      <c r="A450" s="10" t="s">
        <v>58</v>
      </c>
      <c r="B450" s="10" t="str">
        <f t="array" ref="B450">_xlfn.XLOOKUP(D450,'Referanc '!$A:$A,'Referanc '!$B:$B)</f>
        <v>TABLE TOP</v>
      </c>
      <c r="C450" s="68" t="s">
        <v>357</v>
      </c>
      <c r="D450" s="68" t="s">
        <v>357</v>
      </c>
      <c r="E450" s="68" t="s">
        <v>535</v>
      </c>
      <c r="F450" s="10" t="str">
        <f t="array" ref="F450">_xlfn.XLOOKUP(D450,'Referanc '!$A:$A,'Referanc '!$E:$E)</f>
        <v>TABLE TOP</v>
      </c>
      <c r="G450" s="68">
        <v>193.0</v>
      </c>
      <c r="H450" s="68">
        <v>10.0</v>
      </c>
      <c r="I450" s="27">
        <v>0.0029</v>
      </c>
      <c r="J450" s="27">
        <v>0.0045</v>
      </c>
      <c r="K450" s="68">
        <v>229.0</v>
      </c>
      <c r="L450" s="68">
        <v>10.0</v>
      </c>
      <c r="M450" s="27">
        <v>0.0025</v>
      </c>
      <c r="N450" s="27">
        <v>0.0034</v>
      </c>
      <c r="O450" s="27">
        <v>0.809</v>
      </c>
      <c r="P450" s="27">
        <v>1.0</v>
      </c>
      <c r="Q450" s="68">
        <v>0.0</v>
      </c>
      <c r="R450" s="68">
        <v>0.0</v>
      </c>
      <c r="S450" s="27">
        <v>0.0</v>
      </c>
      <c r="T450" s="27">
        <v>0.0</v>
      </c>
      <c r="U450" s="197">
        <v>0.0</v>
      </c>
      <c r="V450" s="197">
        <v>0.0</v>
      </c>
      <c r="W450" s="68">
        <v>0.0</v>
      </c>
      <c r="X450" s="68">
        <v>0.0</v>
      </c>
    </row>
    <row r="451" ht="15.75" customHeight="1">
      <c r="A451" s="10" t="s">
        <v>58</v>
      </c>
      <c r="B451" s="10" t="str">
        <f t="array" ref="B451">_xlfn.XLOOKUP(D451,'Referanc '!$A:$A,'Referanc '!$B:$B)</f>
        <v>TABLE TOP</v>
      </c>
      <c r="C451" s="68" t="s">
        <v>324</v>
      </c>
      <c r="D451" s="68" t="s">
        <v>324</v>
      </c>
      <c r="E451" s="68" t="s">
        <v>533</v>
      </c>
      <c r="F451" s="10" t="str">
        <f t="array" ref="F451">_xlfn.XLOOKUP(D451,'Referanc '!$A:$A,'Referanc '!$E:$E)</f>
        <v>TABLE TOP</v>
      </c>
      <c r="G451" s="68">
        <v>312.0</v>
      </c>
      <c r="H451" s="68">
        <v>3.0</v>
      </c>
      <c r="I451" s="27">
        <v>0.0047</v>
      </c>
      <c r="J451" s="27">
        <v>0.0014</v>
      </c>
      <c r="K451" s="68">
        <v>420.0</v>
      </c>
      <c r="L451" s="68">
        <v>3.0</v>
      </c>
      <c r="M451" s="27">
        <v>0.0047</v>
      </c>
      <c r="N451" s="27">
        <v>0.001</v>
      </c>
      <c r="O451" s="27">
        <v>0.7705</v>
      </c>
      <c r="P451" s="27">
        <v>1.0</v>
      </c>
      <c r="Q451" s="68">
        <v>0.0</v>
      </c>
      <c r="R451" s="68">
        <v>0.0</v>
      </c>
      <c r="S451" s="27">
        <v>0.0</v>
      </c>
      <c r="T451" s="27">
        <v>0.0</v>
      </c>
      <c r="U451" s="197">
        <v>0.0</v>
      </c>
      <c r="V451" s="197">
        <v>0.0</v>
      </c>
      <c r="W451" s="68">
        <v>0.0</v>
      </c>
      <c r="X451" s="68">
        <v>0.0</v>
      </c>
    </row>
    <row r="452" ht="15.75" customHeight="1">
      <c r="A452" s="10" t="s">
        <v>58</v>
      </c>
      <c r="B452" s="10" t="str">
        <f t="array" ref="B452">_xlfn.XLOOKUP(D452,'Referanc '!$A:$A,'Referanc '!$B:$B)</f>
        <v>TABLE TOP</v>
      </c>
      <c r="C452" s="68" t="s">
        <v>350</v>
      </c>
      <c r="D452" s="68" t="s">
        <v>350</v>
      </c>
      <c r="E452" s="68" t="s">
        <v>531</v>
      </c>
      <c r="F452" s="10" t="str">
        <f t="array" ref="F452">_xlfn.XLOOKUP(D452,'Referanc '!$A:$A,'Referanc '!$E:$E)</f>
        <v>TABLE TOP</v>
      </c>
      <c r="G452" s="68">
        <v>193.0</v>
      </c>
      <c r="H452" s="68">
        <v>7.0</v>
      </c>
      <c r="I452" s="27">
        <v>0.0029</v>
      </c>
      <c r="J452" s="27">
        <v>0.0032</v>
      </c>
      <c r="K452" s="68">
        <v>247.0</v>
      </c>
      <c r="L452" s="68">
        <v>13.0</v>
      </c>
      <c r="M452" s="27">
        <v>0.0027</v>
      </c>
      <c r="N452" s="27">
        <v>0.0044</v>
      </c>
      <c r="O452" s="27">
        <v>0.8967</v>
      </c>
      <c r="P452" s="27">
        <v>1.0</v>
      </c>
      <c r="Q452" s="68">
        <v>0.0</v>
      </c>
      <c r="R452" s="68">
        <v>0.0</v>
      </c>
      <c r="S452" s="27">
        <v>0.0</v>
      </c>
      <c r="T452" s="27">
        <v>0.0</v>
      </c>
      <c r="U452" s="197">
        <v>0.0</v>
      </c>
      <c r="V452" s="197">
        <v>0.0</v>
      </c>
      <c r="W452" s="68">
        <v>0.0</v>
      </c>
      <c r="X452" s="68">
        <v>0.0</v>
      </c>
    </row>
    <row r="453" ht="15.75" customHeight="1">
      <c r="A453" s="10" t="s">
        <v>58</v>
      </c>
      <c r="B453" s="10" t="s">
        <v>241</v>
      </c>
      <c r="C453" s="68" t="s">
        <v>339</v>
      </c>
      <c r="D453" s="68" t="s">
        <v>339</v>
      </c>
      <c r="E453" s="68" t="s">
        <v>547</v>
      </c>
      <c r="F453" s="10" t="str">
        <f t="array" ref="F453">_xlfn.XLOOKUP(D453,'Referanc '!$A:$A,'Referanc '!$E:$E)</f>
        <v>Anti Fatigue Mat</v>
      </c>
      <c r="G453" s="68">
        <v>110.0</v>
      </c>
      <c r="H453" s="68">
        <v>7.0</v>
      </c>
      <c r="I453" s="27">
        <v>0.0017</v>
      </c>
      <c r="J453" s="27">
        <v>0.0032</v>
      </c>
      <c r="K453" s="68">
        <v>127.0</v>
      </c>
      <c r="L453" s="68">
        <v>11.0</v>
      </c>
      <c r="M453" s="27">
        <v>0.0014</v>
      </c>
      <c r="N453" s="27">
        <v>0.0037</v>
      </c>
      <c r="O453" s="27">
        <v>0.9912</v>
      </c>
      <c r="P453" s="27">
        <v>1.0</v>
      </c>
      <c r="Q453" s="68">
        <v>0.0</v>
      </c>
      <c r="R453" s="68">
        <v>0.0</v>
      </c>
      <c r="S453" s="27">
        <v>0.0</v>
      </c>
      <c r="T453" s="27">
        <v>0.0</v>
      </c>
      <c r="U453" s="197">
        <v>0.0</v>
      </c>
      <c r="V453" s="197">
        <v>0.0</v>
      </c>
      <c r="W453" s="68">
        <v>0.0</v>
      </c>
      <c r="X453" s="68">
        <v>0.0</v>
      </c>
    </row>
    <row r="454" ht="15.75" customHeight="1">
      <c r="A454" s="10" t="s">
        <v>58</v>
      </c>
      <c r="B454" s="10" t="str">
        <f t="array" ref="B454">_xlfn.XLOOKUP(D454,'Referanc '!$A:$A,'Referanc '!$B:$B)</f>
        <v>Extension &amp; Holder</v>
      </c>
      <c r="C454" s="68" t="s">
        <v>307</v>
      </c>
      <c r="D454" s="68" t="s">
        <v>307</v>
      </c>
      <c r="E454" s="68" t="s">
        <v>482</v>
      </c>
      <c r="F454" s="10" t="str">
        <f t="array" ref="F454">_xlfn.XLOOKUP(D454,'Referanc '!$A:$A,'Referanc '!$E:$E)</f>
        <v>Extension Board Holder</v>
      </c>
      <c r="G454" s="68">
        <v>15.0</v>
      </c>
      <c r="H454" s="68">
        <v>0.0</v>
      </c>
      <c r="I454" s="27">
        <v>2.0E-4</v>
      </c>
      <c r="J454" s="27">
        <v>0.0</v>
      </c>
      <c r="K454" s="68">
        <v>19.0</v>
      </c>
      <c r="L454" s="68">
        <v>0.0</v>
      </c>
      <c r="M454" s="27">
        <v>2.0E-4</v>
      </c>
      <c r="N454" s="27">
        <v>0.0</v>
      </c>
      <c r="O454" s="27">
        <v>0.0</v>
      </c>
      <c r="P454" s="27">
        <v>0.0</v>
      </c>
      <c r="Q454" s="68">
        <v>0.0</v>
      </c>
      <c r="R454" s="68">
        <v>0.0</v>
      </c>
      <c r="S454" s="27">
        <v>0.0</v>
      </c>
      <c r="T454" s="27">
        <v>0.0</v>
      </c>
      <c r="U454" s="197">
        <v>0.0</v>
      </c>
      <c r="V454" s="197">
        <v>0.0</v>
      </c>
      <c r="W454" s="68">
        <v>0.0</v>
      </c>
      <c r="X454" s="68">
        <v>0.0</v>
      </c>
    </row>
    <row r="455" ht="15.75" customHeight="1">
      <c r="A455" s="10" t="s">
        <v>58</v>
      </c>
      <c r="B455" s="10" t="str">
        <f t="array" ref="B455">_xlfn.XLOOKUP(D455,'Referanc '!$A:$A,'Referanc '!$B:$B)</f>
        <v>Standing Table  - E3</v>
      </c>
      <c r="C455" s="68" t="s">
        <v>381</v>
      </c>
      <c r="D455" s="68" t="s">
        <v>381</v>
      </c>
      <c r="E455" s="68" t="s">
        <v>1199</v>
      </c>
      <c r="F455" s="10" t="str">
        <f t="array" ref="F455">_xlfn.XLOOKUP(D455,'Referanc '!$A:$A,'Referanc '!$E:$E)</f>
        <v>E3</v>
      </c>
      <c r="G455" s="68">
        <v>373.0</v>
      </c>
      <c r="H455" s="68">
        <v>12.0</v>
      </c>
      <c r="I455" s="27">
        <v>0.0057</v>
      </c>
      <c r="J455" s="27">
        <v>0.0054</v>
      </c>
      <c r="K455" s="68">
        <v>431.0</v>
      </c>
      <c r="L455" s="68">
        <v>13.0</v>
      </c>
      <c r="M455" s="27">
        <v>0.0048</v>
      </c>
      <c r="N455" s="27">
        <v>0.0044</v>
      </c>
      <c r="O455" s="27">
        <v>0.7741</v>
      </c>
      <c r="P455" s="27">
        <v>0.8</v>
      </c>
      <c r="Q455" s="68">
        <v>0.0</v>
      </c>
      <c r="R455" s="68">
        <v>0.0</v>
      </c>
      <c r="S455" s="27">
        <v>0.0</v>
      </c>
      <c r="T455" s="27">
        <v>0.0</v>
      </c>
      <c r="U455" s="197">
        <v>0.0</v>
      </c>
      <c r="V455" s="197">
        <v>0.0</v>
      </c>
      <c r="W455" s="68">
        <v>0.0</v>
      </c>
      <c r="X455" s="68">
        <v>0.0</v>
      </c>
    </row>
    <row r="456" ht="15.75" customHeight="1">
      <c r="A456" s="10" t="s">
        <v>58</v>
      </c>
      <c r="B456" s="10" t="s">
        <v>241</v>
      </c>
      <c r="C456" s="68" t="s">
        <v>337</v>
      </c>
      <c r="D456" s="68" t="s">
        <v>337</v>
      </c>
      <c r="E456" s="68" t="s">
        <v>545</v>
      </c>
      <c r="F456" s="10" t="str">
        <f t="array" ref="F456">_xlfn.XLOOKUP(D456,'Referanc '!$A:$A,'Referanc '!$E:$E)</f>
        <v>Footrest</v>
      </c>
      <c r="G456" s="68">
        <v>316.0</v>
      </c>
      <c r="H456" s="68">
        <v>16.0</v>
      </c>
      <c r="I456" s="27">
        <v>0.0048</v>
      </c>
      <c r="J456" s="27">
        <v>0.0072</v>
      </c>
      <c r="K456" s="68">
        <v>378.0</v>
      </c>
      <c r="L456" s="68">
        <v>18.0</v>
      </c>
      <c r="M456" s="27">
        <v>0.0042</v>
      </c>
      <c r="N456" s="27">
        <v>0.0061</v>
      </c>
      <c r="O456" s="27">
        <v>0.9914</v>
      </c>
      <c r="P456" s="27">
        <v>0.9333</v>
      </c>
      <c r="Q456" s="68">
        <v>0.0</v>
      </c>
      <c r="R456" s="68">
        <v>0.0</v>
      </c>
      <c r="S456" s="27">
        <v>0.0</v>
      </c>
      <c r="T456" s="27">
        <v>0.0</v>
      </c>
      <c r="U456" s="197">
        <v>0.0</v>
      </c>
      <c r="V456" s="197">
        <v>0.0</v>
      </c>
      <c r="W456" s="68">
        <v>0.0</v>
      </c>
      <c r="X456" s="68">
        <v>0.0</v>
      </c>
    </row>
    <row r="457" ht="15.75" customHeight="1">
      <c r="A457" s="10" t="s">
        <v>58</v>
      </c>
      <c r="B457" s="10" t="str">
        <f t="array" ref="B457">_xlfn.XLOOKUP(D457,'Referanc '!$A:$A,'Referanc '!$B:$B)</f>
        <v>Standing Table  - E2</v>
      </c>
      <c r="C457" s="68" t="s">
        <v>390</v>
      </c>
      <c r="D457" s="68" t="s">
        <v>390</v>
      </c>
      <c r="E457" s="68" t="s">
        <v>1182</v>
      </c>
      <c r="F457" s="10" t="str">
        <f t="array" ref="F457">_xlfn.XLOOKUP(D457,'Referanc '!$A:$A,'Referanc '!$E:$E)</f>
        <v>E2</v>
      </c>
      <c r="G457" s="68">
        <v>11.0</v>
      </c>
      <c r="H457" s="68">
        <v>0.0</v>
      </c>
      <c r="I457" s="27">
        <v>2.0E-4</v>
      </c>
      <c r="J457" s="27">
        <v>0.0</v>
      </c>
      <c r="K457" s="68">
        <v>15.0</v>
      </c>
      <c r="L457" s="68">
        <v>0.0</v>
      </c>
      <c r="M457" s="27">
        <v>2.0E-4</v>
      </c>
      <c r="N457" s="27">
        <v>0.0</v>
      </c>
      <c r="O457" s="27">
        <v>0.6667</v>
      </c>
      <c r="P457" s="27">
        <v>0.0</v>
      </c>
      <c r="Q457" s="68">
        <v>0.0</v>
      </c>
      <c r="R457" s="68">
        <v>0.0</v>
      </c>
      <c r="S457" s="27">
        <v>0.0</v>
      </c>
      <c r="T457" s="27">
        <v>0.0</v>
      </c>
      <c r="U457" s="197">
        <v>0.0</v>
      </c>
      <c r="V457" s="197">
        <v>0.0</v>
      </c>
      <c r="W457" s="68">
        <v>0.0</v>
      </c>
      <c r="X457" s="68">
        <v>0.0</v>
      </c>
    </row>
    <row r="458" ht="15.75" customHeight="1">
      <c r="A458" s="10" t="s">
        <v>58</v>
      </c>
      <c r="B458" s="10" t="str">
        <f t="array" ref="B458">_xlfn.XLOOKUP(D458,'Referanc '!$A:$A,'Referanc '!$B:$B)</f>
        <v>Standing Table - All Frames</v>
      </c>
      <c r="C458" s="68" t="s">
        <v>420</v>
      </c>
      <c r="D458" s="68" t="s">
        <v>420</v>
      </c>
      <c r="E458" s="68" t="s">
        <v>668</v>
      </c>
      <c r="F458" s="10" t="str">
        <f t="array" ref="F458">_xlfn.XLOOKUP(D458,'Referanc '!$A:$A,'Referanc '!$E:$E)</f>
        <v>E2</v>
      </c>
      <c r="G458" s="68">
        <v>64.0</v>
      </c>
      <c r="H458" s="68">
        <v>0.0</v>
      </c>
      <c r="I458" s="27">
        <v>0.001</v>
      </c>
      <c r="J458" s="27">
        <v>0.0</v>
      </c>
      <c r="K458" s="68">
        <v>90.0</v>
      </c>
      <c r="L458" s="68">
        <v>0.0</v>
      </c>
      <c r="M458" s="27">
        <v>0.001</v>
      </c>
      <c r="N458" s="27">
        <v>0.0</v>
      </c>
      <c r="O458" s="27">
        <v>0.7407</v>
      </c>
      <c r="P458" s="27">
        <v>0.0</v>
      </c>
      <c r="Q458" s="68">
        <v>0.0</v>
      </c>
      <c r="R458" s="68">
        <v>0.0</v>
      </c>
      <c r="S458" s="27">
        <v>0.0</v>
      </c>
      <c r="T458" s="27">
        <v>0.0</v>
      </c>
      <c r="U458" s="197">
        <v>0.0</v>
      </c>
      <c r="V458" s="197">
        <v>0.0</v>
      </c>
      <c r="W458" s="68">
        <v>0.0</v>
      </c>
      <c r="X458" s="68">
        <v>0.0</v>
      </c>
    </row>
    <row r="459" ht="15.75" customHeight="1">
      <c r="A459" s="10" t="s">
        <v>58</v>
      </c>
      <c r="B459" s="10" t="str">
        <f t="array" ref="B459">_xlfn.XLOOKUP(D459,'Referanc '!$A:$A,'Referanc '!$B:$B)</f>
        <v>Standing Table  - E2</v>
      </c>
      <c r="C459" s="68" t="s">
        <v>393</v>
      </c>
      <c r="D459" s="68" t="s">
        <v>393</v>
      </c>
      <c r="E459" s="68" t="s">
        <v>1163</v>
      </c>
      <c r="F459" s="10" t="str">
        <f t="array" ref="F459">_xlfn.XLOOKUP(D459,'Referanc '!$A:$A,'Referanc '!$E:$E)</f>
        <v>E2</v>
      </c>
      <c r="G459" s="68">
        <v>16.0</v>
      </c>
      <c r="H459" s="68">
        <v>0.0</v>
      </c>
      <c r="I459" s="27">
        <v>2.0E-4</v>
      </c>
      <c r="J459" s="27">
        <v>0.0</v>
      </c>
      <c r="K459" s="68">
        <v>20.0</v>
      </c>
      <c r="L459" s="68">
        <v>0.0</v>
      </c>
      <c r="M459" s="27">
        <v>2.0E-4</v>
      </c>
      <c r="N459" s="27">
        <v>0.0</v>
      </c>
      <c r="O459" s="27">
        <v>0.4737</v>
      </c>
      <c r="P459" s="27">
        <v>0.0</v>
      </c>
      <c r="Q459" s="68">
        <v>0.0</v>
      </c>
      <c r="R459" s="68">
        <v>0.0</v>
      </c>
      <c r="S459" s="27">
        <v>0.0</v>
      </c>
      <c r="T459" s="27">
        <v>0.0</v>
      </c>
      <c r="U459" s="197">
        <v>0.0</v>
      </c>
      <c r="V459" s="197">
        <v>0.0</v>
      </c>
      <c r="W459" s="68">
        <v>0.0</v>
      </c>
      <c r="X459" s="68">
        <v>0.0</v>
      </c>
    </row>
    <row r="460" ht="15.75" customHeight="1">
      <c r="A460" s="10" t="s">
        <v>58</v>
      </c>
      <c r="B460" s="10" t="str">
        <f t="array" ref="B460">_xlfn.XLOOKUP(D460,'Referanc '!$A:$A,'Referanc '!$B:$B)</f>
        <v>Standing Table  - E3</v>
      </c>
      <c r="C460" s="68" t="s">
        <v>397</v>
      </c>
      <c r="D460" s="68" t="s">
        <v>397</v>
      </c>
      <c r="E460" s="68" t="s">
        <v>1154</v>
      </c>
      <c r="F460" s="10" t="str">
        <f t="array" ref="F460">_xlfn.XLOOKUP(D460,'Referanc '!$A:$A,'Referanc '!$E:$E)</f>
        <v>E3</v>
      </c>
      <c r="G460" s="68">
        <v>100.0</v>
      </c>
      <c r="H460" s="68">
        <v>4.0</v>
      </c>
      <c r="I460" s="27">
        <v>0.0015</v>
      </c>
      <c r="J460" s="27">
        <v>0.0018</v>
      </c>
      <c r="K460" s="68">
        <v>112.0</v>
      </c>
      <c r="L460" s="68">
        <v>4.0</v>
      </c>
      <c r="M460" s="27">
        <v>0.0012</v>
      </c>
      <c r="N460" s="27">
        <v>0.0014</v>
      </c>
      <c r="O460" s="27">
        <v>0.8257</v>
      </c>
      <c r="P460" s="27">
        <v>1.0</v>
      </c>
      <c r="Q460" s="68">
        <v>0.0</v>
      </c>
      <c r="R460" s="68">
        <v>0.0</v>
      </c>
      <c r="S460" s="27">
        <v>0.0</v>
      </c>
      <c r="T460" s="27">
        <v>0.0</v>
      </c>
      <c r="U460" s="197">
        <v>0.0</v>
      </c>
      <c r="V460" s="197">
        <v>0.0</v>
      </c>
      <c r="W460" s="68">
        <v>0.0</v>
      </c>
      <c r="X460" s="68">
        <v>0.0</v>
      </c>
    </row>
    <row r="461" ht="15.75" customHeight="1">
      <c r="A461" s="10" t="s">
        <v>58</v>
      </c>
      <c r="B461" s="10" t="str">
        <f t="array" ref="B461">_xlfn.XLOOKUP(D461,'Referanc '!$A:$A,'Referanc '!$B:$B)</f>
        <v>Standing Table  - E3</v>
      </c>
      <c r="C461" s="68" t="s">
        <v>377</v>
      </c>
      <c r="D461" s="68" t="s">
        <v>377</v>
      </c>
      <c r="E461" s="68" t="s">
        <v>1143</v>
      </c>
      <c r="F461" s="10" t="str">
        <f t="array" ref="F461">_xlfn.XLOOKUP(D461,'Referanc '!$A:$A,'Referanc '!$E:$E)</f>
        <v>E3</v>
      </c>
      <c r="G461" s="68">
        <v>104.0</v>
      </c>
      <c r="H461" s="68">
        <v>3.0</v>
      </c>
      <c r="I461" s="27">
        <v>0.0016</v>
      </c>
      <c r="J461" s="27">
        <v>0.0014</v>
      </c>
      <c r="K461" s="68">
        <v>143.0</v>
      </c>
      <c r="L461" s="68">
        <v>4.0</v>
      </c>
      <c r="M461" s="27">
        <v>0.0016</v>
      </c>
      <c r="N461" s="27">
        <v>0.0014</v>
      </c>
      <c r="O461" s="27">
        <v>0.8062</v>
      </c>
      <c r="P461" s="27">
        <v>1.0</v>
      </c>
      <c r="Q461" s="68">
        <v>0.0</v>
      </c>
      <c r="R461" s="68">
        <v>0.0</v>
      </c>
      <c r="S461" s="27">
        <v>0.0</v>
      </c>
      <c r="T461" s="27">
        <v>0.0</v>
      </c>
      <c r="U461" s="197">
        <v>0.0</v>
      </c>
      <c r="V461" s="197">
        <v>0.0</v>
      </c>
      <c r="W461" s="68">
        <v>0.0</v>
      </c>
      <c r="X461" s="68">
        <v>0.0</v>
      </c>
    </row>
    <row r="462" ht="15.75" customHeight="1">
      <c r="A462" s="10" t="s">
        <v>58</v>
      </c>
      <c r="B462" s="10" t="str">
        <f t="array" ref="B462">_xlfn.XLOOKUP(D462,'Referanc '!$A:$A,'Referanc '!$B:$B)</f>
        <v>Standing Table  - E3</v>
      </c>
      <c r="C462" s="68" t="s">
        <v>400</v>
      </c>
      <c r="D462" s="68" t="s">
        <v>400</v>
      </c>
      <c r="E462" s="68" t="s">
        <v>1130</v>
      </c>
      <c r="F462" s="10" t="str">
        <f t="array" ref="F462">_xlfn.XLOOKUP(D462,'Referanc '!$A:$A,'Referanc '!$E:$E)</f>
        <v>E3</v>
      </c>
      <c r="G462" s="68">
        <v>205.0</v>
      </c>
      <c r="H462" s="68">
        <v>8.0</v>
      </c>
      <c r="I462" s="27">
        <v>0.0031</v>
      </c>
      <c r="J462" s="27">
        <v>0.0036</v>
      </c>
      <c r="K462" s="68">
        <v>259.0</v>
      </c>
      <c r="L462" s="68">
        <v>10.0</v>
      </c>
      <c r="M462" s="27">
        <v>0.0029</v>
      </c>
      <c r="N462" s="27">
        <v>0.0034</v>
      </c>
      <c r="O462" s="27">
        <v>0.7826</v>
      </c>
      <c r="P462" s="27">
        <v>0.4</v>
      </c>
      <c r="Q462" s="68">
        <v>0.0</v>
      </c>
      <c r="R462" s="68">
        <v>0.0</v>
      </c>
      <c r="S462" s="27">
        <v>0.0</v>
      </c>
      <c r="T462" s="27">
        <v>0.0</v>
      </c>
      <c r="U462" s="197">
        <v>0.0</v>
      </c>
      <c r="V462" s="197">
        <v>0.0</v>
      </c>
      <c r="W462" s="68">
        <v>0.0</v>
      </c>
      <c r="X462" s="68">
        <v>0.0</v>
      </c>
    </row>
    <row r="463" ht="15.75" customHeight="1">
      <c r="A463" s="10" t="s">
        <v>58</v>
      </c>
      <c r="B463" s="10" t="str">
        <f t="array" ref="B463">_xlfn.XLOOKUP(D463,'Referanc '!$A:$A,'Referanc '!$B:$B)</f>
        <v>Standing Table  - E3</v>
      </c>
      <c r="C463" s="68" t="s">
        <v>366</v>
      </c>
      <c r="D463" s="68" t="s">
        <v>366</v>
      </c>
      <c r="E463" s="68" t="s">
        <v>1124</v>
      </c>
      <c r="F463" s="10" t="str">
        <f t="array" ref="F463">_xlfn.XLOOKUP(D463,'Referanc '!$A:$A,'Referanc '!$E:$E)</f>
        <v>E3</v>
      </c>
      <c r="G463" s="68">
        <v>123.0</v>
      </c>
      <c r="H463" s="68">
        <v>3.0</v>
      </c>
      <c r="I463" s="27">
        <v>0.0019</v>
      </c>
      <c r="J463" s="27">
        <v>0.0014</v>
      </c>
      <c r="K463" s="68">
        <v>147.0</v>
      </c>
      <c r="L463" s="68">
        <v>3.0</v>
      </c>
      <c r="M463" s="27">
        <v>0.0016</v>
      </c>
      <c r="N463" s="27">
        <v>0.001</v>
      </c>
      <c r="O463" s="27">
        <v>0.8712</v>
      </c>
      <c r="P463" s="27">
        <v>1.0</v>
      </c>
      <c r="Q463" s="68">
        <v>0.0</v>
      </c>
      <c r="R463" s="68">
        <v>0.0</v>
      </c>
      <c r="S463" s="27">
        <v>0.0</v>
      </c>
      <c r="T463" s="27">
        <v>0.0</v>
      </c>
      <c r="U463" s="197">
        <v>0.0</v>
      </c>
      <c r="V463" s="197">
        <v>0.0</v>
      </c>
      <c r="W463" s="68">
        <v>0.0</v>
      </c>
      <c r="X463" s="68">
        <v>0.0</v>
      </c>
    </row>
    <row r="464" ht="15.75" customHeight="1">
      <c r="A464" s="10" t="s">
        <v>58</v>
      </c>
      <c r="B464" s="10" t="str">
        <f t="array" ref="B464">_xlfn.XLOOKUP(D464,'Referanc '!$A:$A,'Referanc '!$B:$B)</f>
        <v>Monitor Stand </v>
      </c>
      <c r="C464" s="68" t="s">
        <v>352</v>
      </c>
      <c r="D464" s="68" t="s">
        <v>352</v>
      </c>
      <c r="E464" s="68" t="s">
        <v>1266</v>
      </c>
      <c r="F464" s="10" t="str">
        <f t="array" ref="F464">_xlfn.XLOOKUP(D464,'Referanc '!$A:$A,'Referanc '!$E:$E)</f>
        <v>Monitor Arm Stand</v>
      </c>
      <c r="G464" s="68">
        <v>262.0</v>
      </c>
      <c r="H464" s="68">
        <v>11.0</v>
      </c>
      <c r="I464" s="27">
        <v>0.004</v>
      </c>
      <c r="J464" s="27">
        <v>0.005</v>
      </c>
      <c r="K464" s="68">
        <v>325.0</v>
      </c>
      <c r="L464" s="68">
        <v>13.0</v>
      </c>
      <c r="M464" s="27">
        <v>0.0036</v>
      </c>
      <c r="N464" s="27">
        <v>0.0044</v>
      </c>
      <c r="O464" s="27">
        <v>0.8106</v>
      </c>
      <c r="P464" s="27">
        <v>0.8889</v>
      </c>
      <c r="Q464" s="68">
        <v>0.0</v>
      </c>
      <c r="R464" s="68">
        <v>0.0</v>
      </c>
      <c r="S464" s="27">
        <v>0.0</v>
      </c>
      <c r="T464" s="27">
        <v>0.0</v>
      </c>
      <c r="U464" s="197">
        <v>0.0</v>
      </c>
      <c r="V464" s="197">
        <v>0.0</v>
      </c>
      <c r="W464" s="68">
        <v>0.0</v>
      </c>
      <c r="X464" s="68">
        <v>0.0</v>
      </c>
    </row>
    <row r="465" ht="15.75" customHeight="1">
      <c r="A465" s="10" t="s">
        <v>58</v>
      </c>
      <c r="B465" s="10" t="str">
        <f t="array" ref="B465">_xlfn.XLOOKUP(D465,'Referanc '!$A:$A,'Referanc '!$B:$B)</f>
        <v>Standing Table  - M3</v>
      </c>
      <c r="C465" s="68" t="s">
        <v>330</v>
      </c>
      <c r="D465" s="68" t="s">
        <v>330</v>
      </c>
      <c r="E465" s="68" t="s">
        <v>1029</v>
      </c>
      <c r="F465" s="10" t="str">
        <f t="array" ref="F465">_xlfn.XLOOKUP(D465,'Referanc '!$A:$A,'Referanc '!$E:$E)</f>
        <v>M3</v>
      </c>
      <c r="G465" s="68">
        <v>168.0</v>
      </c>
      <c r="H465" s="68">
        <v>3.0</v>
      </c>
      <c r="I465" s="27">
        <v>0.0026</v>
      </c>
      <c r="J465" s="27">
        <v>0.0014</v>
      </c>
      <c r="K465" s="68">
        <v>235.0</v>
      </c>
      <c r="L465" s="68">
        <v>4.0</v>
      </c>
      <c r="M465" s="27">
        <v>0.0026</v>
      </c>
      <c r="N465" s="27">
        <v>0.0014</v>
      </c>
      <c r="O465" s="27">
        <v>0.9154</v>
      </c>
      <c r="P465" s="27">
        <v>1.0</v>
      </c>
      <c r="Q465" s="68">
        <v>0.0</v>
      </c>
      <c r="R465" s="68">
        <v>0.0</v>
      </c>
      <c r="S465" s="27">
        <v>0.0</v>
      </c>
      <c r="T465" s="27">
        <v>0.0</v>
      </c>
      <c r="U465" s="197">
        <v>0.0</v>
      </c>
      <c r="V465" s="197">
        <v>0.0</v>
      </c>
      <c r="W465" s="68">
        <v>0.0</v>
      </c>
      <c r="X465" s="68">
        <v>0.0</v>
      </c>
    </row>
    <row r="466" ht="15.75" customHeight="1">
      <c r="A466" s="10" t="s">
        <v>58</v>
      </c>
      <c r="B466" s="10" t="str">
        <f t="array" ref="B466">_xlfn.XLOOKUP(D466,'Referanc '!$A:$A,'Referanc '!$B:$B)</f>
        <v>Standing Table  - SM3</v>
      </c>
      <c r="C466" s="68" t="s">
        <v>379</v>
      </c>
      <c r="D466" s="68" t="s">
        <v>379</v>
      </c>
      <c r="E466" s="68" t="s">
        <v>1209</v>
      </c>
      <c r="F466" s="10" t="str">
        <f t="array" ref="F466">_xlfn.XLOOKUP(D466,'Referanc '!$A:$A,'Referanc '!$E:$E)</f>
        <v>SM3</v>
      </c>
      <c r="G466" s="68">
        <v>356.0</v>
      </c>
      <c r="H466" s="68">
        <v>15.0</v>
      </c>
      <c r="I466" s="27">
        <v>0.0054</v>
      </c>
      <c r="J466" s="27">
        <v>0.0068</v>
      </c>
      <c r="K466" s="68">
        <v>427.0</v>
      </c>
      <c r="L466" s="68">
        <v>17.0</v>
      </c>
      <c r="M466" s="27">
        <v>0.0047</v>
      </c>
      <c r="N466" s="27">
        <v>0.0058</v>
      </c>
      <c r="O466" s="27">
        <v>0.9003</v>
      </c>
      <c r="P466" s="27">
        <v>1.0</v>
      </c>
      <c r="Q466" s="68">
        <v>0.0</v>
      </c>
      <c r="R466" s="68">
        <v>0.0</v>
      </c>
      <c r="S466" s="27">
        <v>0.0</v>
      </c>
      <c r="T466" s="27">
        <v>0.0</v>
      </c>
      <c r="U466" s="197">
        <v>0.0</v>
      </c>
      <c r="V466" s="197">
        <v>0.0</v>
      </c>
      <c r="W466" s="68">
        <v>0.0</v>
      </c>
      <c r="X466" s="68">
        <v>0.0</v>
      </c>
    </row>
    <row r="467" ht="15.75" customHeight="1">
      <c r="A467" s="10" t="s">
        <v>58</v>
      </c>
      <c r="B467" s="10" t="str">
        <f t="array" ref="B467">_xlfn.XLOOKUP(D467,'Referanc '!$A:$A,'Referanc '!$B:$B)</f>
        <v>Standing Table  - E1A</v>
      </c>
      <c r="C467" s="68" t="s">
        <v>371</v>
      </c>
      <c r="D467" s="68" t="s">
        <v>371</v>
      </c>
      <c r="E467" s="68" t="s">
        <v>1215</v>
      </c>
      <c r="F467" s="10" t="str">
        <f t="array" ref="F467">_xlfn.XLOOKUP(D467,'Referanc '!$A:$A,'Referanc '!$E:$E)</f>
        <v>E1A</v>
      </c>
      <c r="G467" s="68">
        <v>219.0</v>
      </c>
      <c r="H467" s="68">
        <v>2.0</v>
      </c>
      <c r="I467" s="27">
        <v>0.0033</v>
      </c>
      <c r="J467" s="27">
        <v>9.0E-4</v>
      </c>
      <c r="K467" s="68">
        <v>267.0</v>
      </c>
      <c r="L467" s="68">
        <v>2.0</v>
      </c>
      <c r="M467" s="27">
        <v>0.003</v>
      </c>
      <c r="N467" s="27">
        <v>7.0E-4</v>
      </c>
      <c r="O467" s="27">
        <v>0.8884</v>
      </c>
      <c r="P467" s="27">
        <v>0.0</v>
      </c>
      <c r="Q467" s="68">
        <v>0.0</v>
      </c>
      <c r="R467" s="68">
        <v>0.0</v>
      </c>
      <c r="S467" s="27">
        <v>0.0</v>
      </c>
      <c r="T467" s="27">
        <v>0.0</v>
      </c>
      <c r="U467" s="197">
        <v>0.0</v>
      </c>
      <c r="V467" s="197">
        <v>0.0</v>
      </c>
      <c r="W467" s="68">
        <v>0.0</v>
      </c>
      <c r="X467" s="68">
        <v>0.0</v>
      </c>
    </row>
    <row r="468" ht="15.75" customHeight="1">
      <c r="A468" s="10" t="s">
        <v>58</v>
      </c>
      <c r="B468" s="10" t="str">
        <f t="array" ref="B468">_xlfn.XLOOKUP(D468,'Referanc '!$A:$A,'Referanc '!$B:$B)</f>
        <v>Standing Table  - E1A</v>
      </c>
      <c r="C468" s="68" t="s">
        <v>372</v>
      </c>
      <c r="D468" s="68" t="s">
        <v>372</v>
      </c>
      <c r="E468" s="68" t="s">
        <v>1237</v>
      </c>
      <c r="F468" s="10" t="str">
        <f t="array" ref="F468">_xlfn.XLOOKUP(D468,'Referanc '!$A:$A,'Referanc '!$E:$E)</f>
        <v>E1A</v>
      </c>
      <c r="G468" s="68">
        <v>249.0</v>
      </c>
      <c r="H468" s="68">
        <v>7.0</v>
      </c>
      <c r="I468" s="27">
        <v>0.0038</v>
      </c>
      <c r="J468" s="27">
        <v>0.0032</v>
      </c>
      <c r="K468" s="68">
        <v>318.0</v>
      </c>
      <c r="L468" s="68">
        <v>8.0</v>
      </c>
      <c r="M468" s="27">
        <v>0.0035</v>
      </c>
      <c r="N468" s="27">
        <v>0.0027</v>
      </c>
      <c r="O468" s="27">
        <v>0.7923</v>
      </c>
      <c r="P468" s="27">
        <v>1.0</v>
      </c>
      <c r="Q468" s="68">
        <v>0.0</v>
      </c>
      <c r="R468" s="68">
        <v>0.0</v>
      </c>
      <c r="S468" s="27">
        <v>0.0</v>
      </c>
      <c r="T468" s="27">
        <v>0.0</v>
      </c>
      <c r="U468" s="197">
        <v>0.0</v>
      </c>
      <c r="V468" s="197">
        <v>0.0</v>
      </c>
      <c r="W468" s="68">
        <v>0.0</v>
      </c>
      <c r="X468" s="68">
        <v>0.0</v>
      </c>
    </row>
    <row r="469" ht="15.75" customHeight="1">
      <c r="A469" s="10" t="s">
        <v>58</v>
      </c>
      <c r="B469" s="10" t="str">
        <f t="array" ref="B469">_xlfn.XLOOKUP(D469,'Referanc '!$A:$A,'Referanc '!$B:$B)</f>
        <v>Standing Table  - E1A</v>
      </c>
      <c r="C469" s="68" t="s">
        <v>378</v>
      </c>
      <c r="D469" s="68" t="s">
        <v>378</v>
      </c>
      <c r="E469" s="68" t="s">
        <v>1239</v>
      </c>
      <c r="F469" s="10" t="str">
        <f t="array" ref="F469">_xlfn.XLOOKUP(D469,'Referanc '!$A:$A,'Referanc '!$E:$E)</f>
        <v>E1A</v>
      </c>
      <c r="G469" s="68">
        <v>86.0</v>
      </c>
      <c r="H469" s="68">
        <v>0.0</v>
      </c>
      <c r="I469" s="27">
        <v>0.0013</v>
      </c>
      <c r="J469" s="27">
        <v>0.0</v>
      </c>
      <c r="K469" s="68">
        <v>111.0</v>
      </c>
      <c r="L469" s="68">
        <v>0.0</v>
      </c>
      <c r="M469" s="27">
        <v>0.0012</v>
      </c>
      <c r="N469" s="27">
        <v>0.0</v>
      </c>
      <c r="O469" s="27">
        <v>0.8824</v>
      </c>
      <c r="P469" s="27">
        <v>0.0</v>
      </c>
      <c r="Q469" s="68">
        <v>0.0</v>
      </c>
      <c r="R469" s="68">
        <v>0.0</v>
      </c>
      <c r="S469" s="27">
        <v>0.0</v>
      </c>
      <c r="T469" s="27">
        <v>0.0</v>
      </c>
      <c r="U469" s="197">
        <v>0.0</v>
      </c>
      <c r="V469" s="197">
        <v>0.0</v>
      </c>
      <c r="W469" s="68">
        <v>0.0</v>
      </c>
      <c r="X469" s="68">
        <v>0.0</v>
      </c>
    </row>
    <row r="470" ht="15.75" customHeight="1">
      <c r="A470" s="10" t="s">
        <v>58</v>
      </c>
      <c r="B470" s="10" t="str">
        <f t="array" ref="B470">_xlfn.XLOOKUP(D470,'Referanc '!$A:$A,'Referanc '!$B:$B)</f>
        <v>Standing Table  - E4</v>
      </c>
      <c r="C470" s="68" t="s">
        <v>404</v>
      </c>
      <c r="D470" s="68" t="s">
        <v>404</v>
      </c>
      <c r="E470" s="68" t="s">
        <v>687</v>
      </c>
      <c r="F470" s="10" t="str">
        <f t="array" ref="F470">_xlfn.XLOOKUP(D470,'Referanc '!$A:$A,'Referanc '!$E:$E)</f>
        <v>E4</v>
      </c>
      <c r="G470" s="68">
        <v>21.0</v>
      </c>
      <c r="H470" s="68">
        <v>0.0</v>
      </c>
      <c r="I470" s="27">
        <v>3.0E-4</v>
      </c>
      <c r="J470" s="27">
        <v>0.0</v>
      </c>
      <c r="K470" s="68">
        <v>26.0</v>
      </c>
      <c r="L470" s="68">
        <v>0.0</v>
      </c>
      <c r="M470" s="27">
        <v>3.0E-4</v>
      </c>
      <c r="N470" s="27">
        <v>0.0</v>
      </c>
      <c r="O470" s="27">
        <v>0.9412</v>
      </c>
      <c r="P470" s="27">
        <v>0.0</v>
      </c>
      <c r="Q470" s="68">
        <v>0.0</v>
      </c>
      <c r="R470" s="68">
        <v>0.0</v>
      </c>
      <c r="S470" s="27">
        <v>0.0</v>
      </c>
      <c r="T470" s="27">
        <v>0.0</v>
      </c>
      <c r="U470" s="197">
        <v>0.0</v>
      </c>
      <c r="V470" s="197">
        <v>0.0</v>
      </c>
      <c r="W470" s="68">
        <v>0.0</v>
      </c>
      <c r="X470" s="68">
        <v>0.0</v>
      </c>
    </row>
    <row r="471" ht="15.75" customHeight="1">
      <c r="A471" s="10" t="s">
        <v>58</v>
      </c>
      <c r="B471" s="10" t="str">
        <f t="array" ref="B471">_xlfn.XLOOKUP(D471,'Referanc '!$A:$A,'Referanc '!$B:$B)</f>
        <v>Standing Table  - E4</v>
      </c>
      <c r="C471" s="68" t="s">
        <v>405</v>
      </c>
      <c r="D471" s="68" t="s">
        <v>405</v>
      </c>
      <c r="E471" s="68" t="s">
        <v>674</v>
      </c>
      <c r="F471" s="10" t="str">
        <f t="array" ref="F471">_xlfn.XLOOKUP(D471,'Referanc '!$A:$A,'Referanc '!$E:$E)</f>
        <v>E4</v>
      </c>
      <c r="G471" s="68">
        <v>20.0</v>
      </c>
      <c r="H471" s="68">
        <v>1.0</v>
      </c>
      <c r="I471" s="27">
        <v>3.0E-4</v>
      </c>
      <c r="J471" s="27">
        <v>5.0E-4</v>
      </c>
      <c r="K471" s="68">
        <v>24.0</v>
      </c>
      <c r="L471" s="68">
        <v>1.0</v>
      </c>
      <c r="M471" s="27">
        <v>3.0E-4</v>
      </c>
      <c r="N471" s="27">
        <v>3.0E-4</v>
      </c>
      <c r="O471" s="27">
        <v>0.8824</v>
      </c>
      <c r="P471" s="27">
        <v>1.0</v>
      </c>
      <c r="Q471" s="68">
        <v>0.0</v>
      </c>
      <c r="R471" s="68">
        <v>0.0</v>
      </c>
      <c r="S471" s="27">
        <v>0.0</v>
      </c>
      <c r="T471" s="27">
        <v>0.0</v>
      </c>
      <c r="U471" s="197">
        <v>0.0</v>
      </c>
      <c r="V471" s="197">
        <v>0.0</v>
      </c>
      <c r="W471" s="68">
        <v>0.0</v>
      </c>
      <c r="X471" s="68">
        <v>0.0</v>
      </c>
    </row>
    <row r="472" ht="15.75" customHeight="1">
      <c r="A472" s="10" t="s">
        <v>58</v>
      </c>
      <c r="B472" s="10" t="str">
        <f t="array" ref="B472">_xlfn.XLOOKUP(D472,'Referanc '!$A:$A,'Referanc '!$B:$B)</f>
        <v>Standing Table  - E4</v>
      </c>
      <c r="C472" s="68" t="s">
        <v>407</v>
      </c>
      <c r="D472" s="68" t="s">
        <v>407</v>
      </c>
      <c r="E472" s="68" t="s">
        <v>678</v>
      </c>
      <c r="F472" s="10" t="str">
        <f t="array" ref="F472">_xlfn.XLOOKUP(D472,'Referanc '!$A:$A,'Referanc '!$E:$E)</f>
        <v>E4</v>
      </c>
      <c r="G472" s="68">
        <v>26.0</v>
      </c>
      <c r="H472" s="68">
        <v>2.0</v>
      </c>
      <c r="I472" s="27">
        <v>4.0E-4</v>
      </c>
      <c r="J472" s="27">
        <v>9.0E-4</v>
      </c>
      <c r="K472" s="68">
        <v>35.0</v>
      </c>
      <c r="L472" s="68">
        <v>2.0</v>
      </c>
      <c r="M472" s="27">
        <v>4.0E-4</v>
      </c>
      <c r="N472" s="27">
        <v>7.0E-4</v>
      </c>
      <c r="O472" s="27">
        <v>0.96</v>
      </c>
      <c r="P472" s="27">
        <v>1.0</v>
      </c>
      <c r="Q472" s="68">
        <v>0.0</v>
      </c>
      <c r="R472" s="68">
        <v>0.0</v>
      </c>
      <c r="S472" s="27">
        <v>0.0</v>
      </c>
      <c r="T472" s="27">
        <v>0.0</v>
      </c>
      <c r="U472" s="197">
        <v>0.0</v>
      </c>
      <c r="V472" s="197">
        <v>0.0</v>
      </c>
      <c r="W472" s="68">
        <v>0.0</v>
      </c>
      <c r="X472" s="68">
        <v>0.0</v>
      </c>
    </row>
    <row r="473" ht="15.75" customHeight="1">
      <c r="A473" s="10" t="s">
        <v>58</v>
      </c>
      <c r="B473" s="10" t="str">
        <f t="array" ref="B473">_xlfn.XLOOKUP(D473,'Referanc '!$A:$A,'Referanc '!$B:$B)</f>
        <v>Standing Table  - E4</v>
      </c>
      <c r="C473" s="68" t="s">
        <v>409</v>
      </c>
      <c r="D473" s="68" t="s">
        <v>409</v>
      </c>
      <c r="E473" s="68" t="s">
        <v>680</v>
      </c>
      <c r="F473" s="10" t="str">
        <f t="array" ref="F473">_xlfn.XLOOKUP(D473,'Referanc '!$A:$A,'Referanc '!$E:$E)</f>
        <v>E4</v>
      </c>
      <c r="G473" s="68">
        <v>28.0</v>
      </c>
      <c r="H473" s="68">
        <v>0.0</v>
      </c>
      <c r="I473" s="27">
        <v>4.0E-4</v>
      </c>
      <c r="J473" s="27">
        <v>0.0</v>
      </c>
      <c r="K473" s="68">
        <v>29.0</v>
      </c>
      <c r="L473" s="68">
        <v>0.0</v>
      </c>
      <c r="M473" s="27">
        <v>3.0E-4</v>
      </c>
      <c r="N473" s="27">
        <v>0.0</v>
      </c>
      <c r="O473" s="27">
        <v>0.875</v>
      </c>
      <c r="P473" s="27">
        <v>0.0</v>
      </c>
      <c r="Q473" s="68">
        <v>0.0</v>
      </c>
      <c r="R473" s="68">
        <v>0.0</v>
      </c>
      <c r="S473" s="27">
        <v>0.0</v>
      </c>
      <c r="T473" s="27">
        <v>0.0</v>
      </c>
      <c r="U473" s="197">
        <v>0.0</v>
      </c>
      <c r="V473" s="197">
        <v>0.0</v>
      </c>
      <c r="W473" s="68">
        <v>0.0</v>
      </c>
      <c r="X473" s="68">
        <v>0.0</v>
      </c>
    </row>
    <row r="474" ht="15.75" customHeight="1">
      <c r="A474" s="10" t="s">
        <v>58</v>
      </c>
      <c r="B474" s="10" t="str">
        <f t="array" ref="B474">_xlfn.XLOOKUP(D474,'Referanc '!$A:$A,'Referanc '!$B:$B)</f>
        <v>Monitor Arm Stand</v>
      </c>
      <c r="C474" s="68" t="s">
        <v>349</v>
      </c>
      <c r="D474" s="68" t="s">
        <v>349</v>
      </c>
      <c r="E474" s="68" t="s">
        <v>682</v>
      </c>
      <c r="F474" s="10" t="str">
        <f t="array" ref="F474">_xlfn.XLOOKUP(D474,'Referanc '!$A:$A,'Referanc '!$E:$E)</f>
        <v>Monitor Arm Stand</v>
      </c>
      <c r="G474" s="68">
        <v>10.0</v>
      </c>
      <c r="H474" s="68">
        <v>0.0</v>
      </c>
      <c r="I474" s="27">
        <v>2.0E-4</v>
      </c>
      <c r="J474" s="27">
        <v>0.0</v>
      </c>
      <c r="K474" s="68">
        <v>26.0</v>
      </c>
      <c r="L474" s="68">
        <v>0.0</v>
      </c>
      <c r="M474" s="27">
        <v>3.0E-4</v>
      </c>
      <c r="N474" s="27">
        <v>0.0</v>
      </c>
      <c r="O474" s="27">
        <v>0.9524</v>
      </c>
      <c r="P474" s="27">
        <v>0.0</v>
      </c>
      <c r="Q474" s="68">
        <v>0.0</v>
      </c>
      <c r="R474" s="68">
        <v>0.0</v>
      </c>
      <c r="S474" s="27">
        <v>0.0</v>
      </c>
      <c r="T474" s="27">
        <v>0.0</v>
      </c>
      <c r="U474" s="197">
        <v>0.0</v>
      </c>
      <c r="V474" s="197">
        <v>0.0</v>
      </c>
      <c r="W474" s="68">
        <v>0.0</v>
      </c>
      <c r="X474" s="68">
        <v>0.0</v>
      </c>
    </row>
    <row r="475" ht="15.75" customHeight="1">
      <c r="A475" s="10" t="s">
        <v>58</v>
      </c>
      <c r="B475" s="10" t="str">
        <f t="array" ref="B475">_xlfn.XLOOKUP(D475,'Referanc '!$A:$A,'Referanc '!$B:$B)</f>
        <v>Monitor Arm Stand</v>
      </c>
      <c r="C475" s="68" t="s">
        <v>351</v>
      </c>
      <c r="D475" s="68" t="s">
        <v>351</v>
      </c>
      <c r="E475" s="68" t="s">
        <v>683</v>
      </c>
      <c r="F475" s="10" t="str">
        <f t="array" ref="F475">_xlfn.XLOOKUP(D475,'Referanc '!$A:$A,'Referanc '!$E:$E)</f>
        <v>Monitor Arm Stand</v>
      </c>
      <c r="G475" s="68">
        <v>3.0</v>
      </c>
      <c r="H475" s="68">
        <v>0.0</v>
      </c>
      <c r="I475" s="27">
        <v>0.0</v>
      </c>
      <c r="J475" s="27">
        <v>0.0</v>
      </c>
      <c r="K475" s="68">
        <v>10.0</v>
      </c>
      <c r="L475" s="68">
        <v>0.0</v>
      </c>
      <c r="M475" s="27">
        <v>1.0E-4</v>
      </c>
      <c r="N475" s="27">
        <v>0.0</v>
      </c>
      <c r="O475" s="27">
        <v>0.5</v>
      </c>
      <c r="P475" s="27">
        <v>0.0</v>
      </c>
      <c r="Q475" s="68">
        <v>0.0</v>
      </c>
      <c r="R475" s="68">
        <v>0.0</v>
      </c>
      <c r="S475" s="27">
        <v>0.0</v>
      </c>
      <c r="T475" s="27">
        <v>0.0</v>
      </c>
      <c r="U475" s="197">
        <v>0.0</v>
      </c>
      <c r="V475" s="197">
        <v>0.0</v>
      </c>
      <c r="W475" s="68">
        <v>0.0</v>
      </c>
      <c r="X475" s="68">
        <v>0.0</v>
      </c>
    </row>
    <row r="476" ht="15.75" customHeight="1">
      <c r="A476" s="10" t="s">
        <v>58</v>
      </c>
      <c r="B476" s="10" t="str">
        <f t="array" ref="B476">_xlfn.XLOOKUP(D476,'Referanc '!$A:$A,'Referanc '!$B:$B)</f>
        <v>Monitor Arm Stand</v>
      </c>
      <c r="C476" s="68" t="s">
        <v>355</v>
      </c>
      <c r="D476" s="68" t="s">
        <v>355</v>
      </c>
      <c r="E476" s="68" t="s">
        <v>685</v>
      </c>
      <c r="F476" s="10" t="str">
        <f t="array" ref="F476">_xlfn.XLOOKUP(D476,'Referanc '!$A:$A,'Referanc '!$E:$E)</f>
        <v>Monitor Arm Stand</v>
      </c>
      <c r="G476" s="68">
        <v>33.0</v>
      </c>
      <c r="H476" s="68">
        <v>1.0</v>
      </c>
      <c r="I476" s="27">
        <v>5.0E-4</v>
      </c>
      <c r="J476" s="27">
        <v>5.0E-4</v>
      </c>
      <c r="K476" s="68">
        <v>52.0</v>
      </c>
      <c r="L476" s="68">
        <v>1.0</v>
      </c>
      <c r="M476" s="27">
        <v>6.0E-4</v>
      </c>
      <c r="N476" s="27">
        <v>3.0E-4</v>
      </c>
      <c r="O476" s="27">
        <v>0.7872</v>
      </c>
      <c r="P476" s="27">
        <v>1.0</v>
      </c>
      <c r="Q476" s="68">
        <v>0.0</v>
      </c>
      <c r="R476" s="68">
        <v>0.0</v>
      </c>
      <c r="S476" s="27">
        <v>0.0</v>
      </c>
      <c r="T476" s="27">
        <v>0.0</v>
      </c>
      <c r="U476" s="197">
        <v>0.0</v>
      </c>
      <c r="V476" s="197">
        <v>0.0</v>
      </c>
      <c r="W476" s="68">
        <v>0.0</v>
      </c>
      <c r="X476" s="68">
        <v>0.0</v>
      </c>
    </row>
    <row r="477" ht="15.75" customHeight="1">
      <c r="A477" s="3" t="s">
        <v>61</v>
      </c>
      <c r="B477" s="10" t="s">
        <v>211</v>
      </c>
      <c r="C477" s="68" t="s">
        <v>325</v>
      </c>
      <c r="D477" s="68" t="s">
        <v>325</v>
      </c>
      <c r="E477" s="68" t="s">
        <v>689</v>
      </c>
      <c r="F477" s="10" t="str">
        <f t="array" ref="F477">_xlfn.XLOOKUP(D477,'Referanc '!$A:$A,'Referanc '!$E:$E)</f>
        <v>Desk Cable Tray</v>
      </c>
      <c r="G477" s="196">
        <v>2215.0</v>
      </c>
      <c r="H477" s="68">
        <v>90.0</v>
      </c>
      <c r="I477" s="27">
        <v>0.0318</v>
      </c>
      <c r="J477" s="27">
        <v>0.0313</v>
      </c>
      <c r="K477" s="196">
        <v>3394.0</v>
      </c>
      <c r="L477" s="68">
        <v>122.0</v>
      </c>
      <c r="M477" s="27">
        <v>0.0365</v>
      </c>
      <c r="N477" s="27">
        <v>0.0313</v>
      </c>
      <c r="O477" s="27">
        <v>0.9171</v>
      </c>
      <c r="P477" s="27">
        <v>0.954</v>
      </c>
      <c r="Q477" s="68">
        <v>61.0</v>
      </c>
      <c r="R477" s="68">
        <v>2.0</v>
      </c>
      <c r="S477" s="27">
        <v>0.0275</v>
      </c>
      <c r="T477" s="27">
        <v>0.0222</v>
      </c>
      <c r="U477" s="197">
        <v>135589.0</v>
      </c>
      <c r="V477" s="197">
        <v>4199.0</v>
      </c>
      <c r="W477" s="68">
        <v>58.0</v>
      </c>
      <c r="X477" s="68">
        <v>2.0</v>
      </c>
    </row>
    <row r="478" ht="15.75" customHeight="1">
      <c r="A478" s="3" t="s">
        <v>61</v>
      </c>
      <c r="B478" s="10" t="str">
        <f t="array" ref="B478">_xlfn.XLOOKUP(D478,'Referanc '!$A:$A,'Referanc '!$B:$B)</f>
        <v>Standing Table  - SM3</v>
      </c>
      <c r="C478" s="68" t="s">
        <v>304</v>
      </c>
      <c r="D478" s="68" t="s">
        <v>304</v>
      </c>
      <c r="E478" s="68" t="s">
        <v>1161</v>
      </c>
      <c r="F478" s="10" t="str">
        <f t="array" ref="F478">_xlfn.XLOOKUP(D478,'Referanc '!$A:$A,'Referanc '!$E:$E)</f>
        <v>SM3</v>
      </c>
      <c r="G478" s="196">
        <v>7778.0</v>
      </c>
      <c r="H478" s="68">
        <v>288.0</v>
      </c>
      <c r="I478" s="27">
        <v>0.1117</v>
      </c>
      <c r="J478" s="27">
        <v>0.1003</v>
      </c>
      <c r="K478" s="196">
        <v>10395.0</v>
      </c>
      <c r="L478" s="68">
        <v>411.0</v>
      </c>
      <c r="M478" s="27">
        <v>0.1119</v>
      </c>
      <c r="N478" s="27">
        <v>0.1053</v>
      </c>
      <c r="O478" s="27">
        <v>0.8079</v>
      </c>
      <c r="P478" s="27">
        <v>0.7837</v>
      </c>
      <c r="Q478" s="68">
        <v>38.0</v>
      </c>
      <c r="R478" s="68">
        <v>1.0</v>
      </c>
      <c r="S478" s="27">
        <v>0.0049</v>
      </c>
      <c r="T478" s="27">
        <v>0.0035</v>
      </c>
      <c r="U478" s="197">
        <v>797225.44</v>
      </c>
      <c r="V478" s="197">
        <v>21200.0</v>
      </c>
      <c r="W478" s="68">
        <v>38.0</v>
      </c>
      <c r="X478" s="68">
        <v>1.0</v>
      </c>
    </row>
    <row r="479" ht="15.75" customHeight="1">
      <c r="A479" s="3" t="s">
        <v>61</v>
      </c>
      <c r="B479" s="10" t="str">
        <f t="array" ref="B479">_xlfn.XLOOKUP(D479,'Referanc '!$A:$A,'Referanc '!$B:$B)</f>
        <v>Standing Table  - SM3</v>
      </c>
      <c r="C479" s="68" t="s">
        <v>291</v>
      </c>
      <c r="D479" s="68" t="s">
        <v>291</v>
      </c>
      <c r="E479" s="68" t="s">
        <v>1269</v>
      </c>
      <c r="F479" s="10" t="str">
        <f t="array" ref="F479">_xlfn.XLOOKUP(D479,'Referanc '!$A:$A,'Referanc '!$E:$E)</f>
        <v>SM3</v>
      </c>
      <c r="G479" s="196">
        <v>10386.0</v>
      </c>
      <c r="H479" s="68">
        <v>369.0</v>
      </c>
      <c r="I479" s="27">
        <v>0.1492</v>
      </c>
      <c r="J479" s="27">
        <v>0.1285</v>
      </c>
      <c r="K479" s="196">
        <v>14306.0</v>
      </c>
      <c r="L479" s="68">
        <v>483.0</v>
      </c>
      <c r="M479" s="27">
        <v>0.1541</v>
      </c>
      <c r="N479" s="27">
        <v>0.1238</v>
      </c>
      <c r="O479" s="27">
        <v>0.77</v>
      </c>
      <c r="P479" s="27">
        <v>0.7885</v>
      </c>
      <c r="Q479" s="68">
        <v>30.0</v>
      </c>
      <c r="R479" s="68">
        <v>1.0</v>
      </c>
      <c r="S479" s="27">
        <v>0.0029</v>
      </c>
      <c r="T479" s="27">
        <v>0.0027</v>
      </c>
      <c r="U479" s="197">
        <v>618314.92</v>
      </c>
      <c r="V479" s="197">
        <v>19999.0</v>
      </c>
      <c r="W479" s="68">
        <v>30.0</v>
      </c>
      <c r="X479" s="68">
        <v>1.0</v>
      </c>
    </row>
    <row r="480" ht="15.75" customHeight="1">
      <c r="A480" s="3" t="s">
        <v>61</v>
      </c>
      <c r="B480" s="10" t="str">
        <f t="array" ref="B480">_xlfn.XLOOKUP(D480,'Referanc '!$A:$A,'Referanc '!$B:$B)</f>
        <v>Standing Table  - SM3</v>
      </c>
      <c r="C480" s="68" t="s">
        <v>296</v>
      </c>
      <c r="D480" s="68" t="s">
        <v>296</v>
      </c>
      <c r="E480" s="68" t="s">
        <v>1165</v>
      </c>
      <c r="F480" s="10" t="str">
        <f t="array" ref="F480">_xlfn.XLOOKUP(D480,'Referanc '!$A:$A,'Referanc '!$E:$E)</f>
        <v>SM3</v>
      </c>
      <c r="G480" s="196">
        <v>2508.0</v>
      </c>
      <c r="H480" s="68">
        <v>84.0</v>
      </c>
      <c r="I480" s="27">
        <v>0.036</v>
      </c>
      <c r="J480" s="27">
        <v>0.0293</v>
      </c>
      <c r="K480" s="196">
        <v>3230.0</v>
      </c>
      <c r="L480" s="68">
        <v>120.0</v>
      </c>
      <c r="M480" s="27">
        <v>0.0348</v>
      </c>
      <c r="N480" s="27">
        <v>0.0307</v>
      </c>
      <c r="O480" s="27">
        <v>0.8366</v>
      </c>
      <c r="P480" s="27">
        <v>0.7945</v>
      </c>
      <c r="Q480" s="68">
        <v>20.0</v>
      </c>
      <c r="R480" s="68">
        <v>1.0</v>
      </c>
      <c r="S480" s="27">
        <v>0.008</v>
      </c>
      <c r="T480" s="27">
        <v>0.0119</v>
      </c>
      <c r="U480" s="197">
        <v>491425.0</v>
      </c>
      <c r="V480" s="197">
        <v>24800.0</v>
      </c>
      <c r="W480" s="68">
        <v>20.0</v>
      </c>
      <c r="X480" s="68">
        <v>1.0</v>
      </c>
    </row>
    <row r="481" ht="15.75" customHeight="1">
      <c r="A481" s="3" t="s">
        <v>61</v>
      </c>
      <c r="B481" s="10" t="str">
        <f t="array" ref="B481">_xlfn.XLOOKUP(D481,'Referanc '!$A:$A,'Referanc '!$B:$B)</f>
        <v>Keyboard Tray</v>
      </c>
      <c r="C481" s="68" t="s">
        <v>346</v>
      </c>
      <c r="D481" s="68" t="s">
        <v>346</v>
      </c>
      <c r="E481" s="68" t="s">
        <v>665</v>
      </c>
      <c r="F481" s="10" t="str">
        <f t="array" ref="F481">_xlfn.XLOOKUP(D481,'Referanc '!$A:$A,'Referanc '!$E:$E)</f>
        <v>Keyboard Tray</v>
      </c>
      <c r="G481" s="68">
        <v>836.0</v>
      </c>
      <c r="H481" s="68">
        <v>43.0</v>
      </c>
      <c r="I481" s="27">
        <v>0.012</v>
      </c>
      <c r="J481" s="27">
        <v>0.015</v>
      </c>
      <c r="K481" s="196">
        <v>1179.0</v>
      </c>
      <c r="L481" s="68">
        <v>55.0</v>
      </c>
      <c r="M481" s="27">
        <v>0.0127</v>
      </c>
      <c r="N481" s="27">
        <v>0.0141</v>
      </c>
      <c r="O481" s="27">
        <v>0.9284</v>
      </c>
      <c r="P481" s="27">
        <v>0.8537</v>
      </c>
      <c r="Q481" s="68">
        <v>19.0</v>
      </c>
      <c r="R481" s="68">
        <v>0.0</v>
      </c>
      <c r="S481" s="27">
        <v>0.0227</v>
      </c>
      <c r="T481" s="27">
        <v>0.0</v>
      </c>
      <c r="U481" s="197">
        <v>68077.0</v>
      </c>
      <c r="V481" s="197">
        <v>0.0</v>
      </c>
      <c r="W481" s="68">
        <v>19.0</v>
      </c>
      <c r="X481" s="68">
        <v>0.0</v>
      </c>
    </row>
    <row r="482" ht="15.75" customHeight="1">
      <c r="A482" s="3" t="s">
        <v>61</v>
      </c>
      <c r="B482" s="10" t="str">
        <f t="array" ref="B482">_xlfn.XLOOKUP(D482,'Referanc '!$A:$A,'Referanc '!$B:$B)</f>
        <v>Standing Table - All Frames</v>
      </c>
      <c r="C482" s="68" t="s">
        <v>298</v>
      </c>
      <c r="D482" s="68" t="s">
        <v>298</v>
      </c>
      <c r="E482" s="68" t="s">
        <v>1168</v>
      </c>
      <c r="F482" s="10" t="str">
        <f t="array" ref="F482">_xlfn.XLOOKUP(D482,'Referanc '!$A:$A,'Referanc '!$E:$E)</f>
        <v>SM3</v>
      </c>
      <c r="G482" s="196">
        <v>3152.0</v>
      </c>
      <c r="H482" s="68">
        <v>132.0</v>
      </c>
      <c r="I482" s="27">
        <v>0.0453</v>
      </c>
      <c r="J482" s="27">
        <v>0.046</v>
      </c>
      <c r="K482" s="196">
        <v>4131.0</v>
      </c>
      <c r="L482" s="68">
        <v>178.0</v>
      </c>
      <c r="M482" s="27">
        <v>0.0445</v>
      </c>
      <c r="N482" s="27">
        <v>0.0456</v>
      </c>
      <c r="O482" s="27">
        <v>0.8173</v>
      </c>
      <c r="P482" s="27">
        <v>0.8476</v>
      </c>
      <c r="Q482" s="68">
        <v>13.0</v>
      </c>
      <c r="R482" s="68">
        <v>0.0</v>
      </c>
      <c r="S482" s="27">
        <v>0.0041</v>
      </c>
      <c r="T482" s="27">
        <v>0.0</v>
      </c>
      <c r="U482" s="197">
        <v>230950.0</v>
      </c>
      <c r="V482" s="197">
        <v>0.0</v>
      </c>
      <c r="W482" s="68">
        <v>13.0</v>
      </c>
      <c r="X482" s="68">
        <v>0.0</v>
      </c>
    </row>
    <row r="483" ht="15.75" customHeight="1">
      <c r="A483" s="3" t="s">
        <v>61</v>
      </c>
      <c r="B483" s="10" t="str">
        <f t="array" ref="B483">_xlfn.XLOOKUP(D483,'Referanc '!$A:$A,'Referanc '!$B:$B)</f>
        <v>Standing Table - All Frames</v>
      </c>
      <c r="C483" s="68" t="s">
        <v>389</v>
      </c>
      <c r="D483" s="68" t="s">
        <v>389</v>
      </c>
      <c r="E483" s="68" t="s">
        <v>1187</v>
      </c>
      <c r="F483" s="10" t="str">
        <f t="array" ref="F483">_xlfn.XLOOKUP(D483,'Referanc '!$A:$A,'Referanc '!$E:$E)</f>
        <v>M8</v>
      </c>
      <c r="G483" s="196">
        <v>1508.0</v>
      </c>
      <c r="H483" s="68">
        <v>51.0</v>
      </c>
      <c r="I483" s="27">
        <v>0.0217</v>
      </c>
      <c r="J483" s="27">
        <v>0.0178</v>
      </c>
      <c r="K483" s="196">
        <v>2030.0</v>
      </c>
      <c r="L483" s="68">
        <v>77.0</v>
      </c>
      <c r="M483" s="27">
        <v>0.0219</v>
      </c>
      <c r="N483" s="27">
        <v>0.0197</v>
      </c>
      <c r="O483" s="27">
        <v>0.8598</v>
      </c>
      <c r="P483" s="27">
        <v>0.8696</v>
      </c>
      <c r="Q483" s="68">
        <v>12.0</v>
      </c>
      <c r="R483" s="68">
        <v>2.0</v>
      </c>
      <c r="S483" s="27">
        <v>0.008</v>
      </c>
      <c r="T483" s="27">
        <v>0.0392</v>
      </c>
      <c r="U483" s="197">
        <v>172518.76</v>
      </c>
      <c r="V483" s="197">
        <v>28731.0</v>
      </c>
      <c r="W483" s="68">
        <v>12.0</v>
      </c>
      <c r="X483" s="68">
        <v>2.0</v>
      </c>
    </row>
    <row r="484" ht="15.75" customHeight="1">
      <c r="A484" s="3" t="s">
        <v>61</v>
      </c>
      <c r="B484" s="10" t="str">
        <f t="array" ref="B484">_xlfn.XLOOKUP(D484,'Referanc '!$A:$A,'Referanc '!$B:$B)</f>
        <v>Extension &amp; Holder</v>
      </c>
      <c r="C484" s="68" t="s">
        <v>307</v>
      </c>
      <c r="D484" s="68" t="s">
        <v>307</v>
      </c>
      <c r="E484" s="68" t="s">
        <v>1270</v>
      </c>
      <c r="F484" s="10" t="str">
        <f t="array" ref="F484">_xlfn.XLOOKUP(D484,'Referanc '!$A:$A,'Referanc '!$E:$E)</f>
        <v>Extension Board Holder</v>
      </c>
      <c r="G484" s="68">
        <v>965.0</v>
      </c>
      <c r="H484" s="68">
        <v>53.0</v>
      </c>
      <c r="I484" s="27">
        <v>0.0139</v>
      </c>
      <c r="J484" s="27">
        <v>0.0185</v>
      </c>
      <c r="K484" s="196">
        <v>1216.0</v>
      </c>
      <c r="L484" s="68">
        <v>75.0</v>
      </c>
      <c r="M484" s="27">
        <v>0.0131</v>
      </c>
      <c r="N484" s="27">
        <v>0.0192</v>
      </c>
      <c r="O484" s="27">
        <v>0.9963</v>
      </c>
      <c r="P484" s="27">
        <v>1.0</v>
      </c>
      <c r="Q484" s="68">
        <v>13.0</v>
      </c>
      <c r="R484" s="68">
        <v>1.0</v>
      </c>
      <c r="S484" s="27">
        <v>0.0135</v>
      </c>
      <c r="T484" s="27">
        <v>0.0189</v>
      </c>
      <c r="U484" s="197">
        <v>13987.0</v>
      </c>
      <c r="V484" s="197">
        <v>999.0</v>
      </c>
      <c r="W484" s="68">
        <v>12.0</v>
      </c>
      <c r="X484" s="68">
        <v>1.0</v>
      </c>
    </row>
    <row r="485" ht="15.75" customHeight="1">
      <c r="A485" s="3" t="s">
        <v>61</v>
      </c>
      <c r="B485" s="10" t="str">
        <f t="array" ref="B485">_xlfn.XLOOKUP(D485,'Referanc '!$A:$A,'Referanc '!$B:$B)</f>
        <v>Monitor Arm Stand</v>
      </c>
      <c r="C485" s="68" t="s">
        <v>353</v>
      </c>
      <c r="D485" s="68" t="s">
        <v>353</v>
      </c>
      <c r="E485" s="68" t="s">
        <v>691</v>
      </c>
      <c r="F485" s="10" t="str">
        <f t="array" ref="F485">_xlfn.XLOOKUP(D485,'Referanc '!$A:$A,'Referanc '!$E:$E)</f>
        <v>Monitor Arm Stand</v>
      </c>
      <c r="G485" s="196">
        <v>1237.0</v>
      </c>
      <c r="H485" s="68">
        <v>56.0</v>
      </c>
      <c r="I485" s="27">
        <v>0.0178</v>
      </c>
      <c r="J485" s="27">
        <v>0.0195</v>
      </c>
      <c r="K485" s="196">
        <v>1759.0</v>
      </c>
      <c r="L485" s="68">
        <v>69.0</v>
      </c>
      <c r="M485" s="27">
        <v>0.0189</v>
      </c>
      <c r="N485" s="27">
        <v>0.0177</v>
      </c>
      <c r="O485" s="27">
        <v>0.9956</v>
      </c>
      <c r="P485" s="27">
        <v>1.0</v>
      </c>
      <c r="Q485" s="68">
        <v>13.0</v>
      </c>
      <c r="R485" s="68">
        <v>1.0</v>
      </c>
      <c r="S485" s="27">
        <v>0.0105</v>
      </c>
      <c r="T485" s="27">
        <v>0.0179</v>
      </c>
      <c r="U485" s="197">
        <v>37687.0</v>
      </c>
      <c r="V485" s="197">
        <v>2899.0</v>
      </c>
      <c r="W485" s="68">
        <v>12.0</v>
      </c>
      <c r="X485" s="68">
        <v>1.0</v>
      </c>
    </row>
    <row r="486" ht="15.75" customHeight="1">
      <c r="A486" s="3" t="s">
        <v>61</v>
      </c>
      <c r="B486" s="10" t="str">
        <f t="array" ref="B486">_xlfn.XLOOKUP(D486,'Referanc '!$A:$A,'Referanc '!$B:$B)</f>
        <v>Standing Table  - SM3</v>
      </c>
      <c r="C486" s="68" t="s">
        <v>370</v>
      </c>
      <c r="D486" s="68" t="s">
        <v>370</v>
      </c>
      <c r="E486" s="68" t="s">
        <v>1161</v>
      </c>
      <c r="F486" s="10" t="str">
        <f t="array" ref="F486">_xlfn.XLOOKUP(D486,'Referanc '!$A:$A,'Referanc '!$E:$E)</f>
        <v>SM3</v>
      </c>
      <c r="G486" s="68">
        <v>839.0</v>
      </c>
      <c r="H486" s="68">
        <v>35.0</v>
      </c>
      <c r="I486" s="27">
        <v>0.0121</v>
      </c>
      <c r="J486" s="27">
        <v>0.0122</v>
      </c>
      <c r="K486" s="196">
        <v>1223.0</v>
      </c>
      <c r="L486" s="68">
        <v>52.0</v>
      </c>
      <c r="M486" s="27">
        <v>0.0132</v>
      </c>
      <c r="N486" s="27">
        <v>0.0133</v>
      </c>
      <c r="O486" s="27">
        <v>0.8938</v>
      </c>
      <c r="P486" s="27">
        <v>0.9048</v>
      </c>
      <c r="Q486" s="68">
        <v>11.0</v>
      </c>
      <c r="R486" s="68">
        <v>0.0</v>
      </c>
      <c r="S486" s="27">
        <v>0.0131</v>
      </c>
      <c r="T486" s="27">
        <v>0.0</v>
      </c>
      <c r="U486" s="197">
        <v>230400.0</v>
      </c>
      <c r="V486" s="197">
        <v>0.0</v>
      </c>
      <c r="W486" s="68">
        <v>11.0</v>
      </c>
      <c r="X486" s="68">
        <v>0.0</v>
      </c>
    </row>
    <row r="487" ht="15.75" customHeight="1">
      <c r="A487" s="3" t="s">
        <v>61</v>
      </c>
      <c r="B487" s="10" t="str">
        <f t="array" ref="B487">_xlfn.XLOOKUP(D487,'Referanc '!$A:$A,'Referanc '!$B:$B)</f>
        <v>Standing Table - All Frames</v>
      </c>
      <c r="C487" s="68" t="s">
        <v>306</v>
      </c>
      <c r="D487" s="68" t="s">
        <v>306</v>
      </c>
      <c r="E487" s="68" t="s">
        <v>1170</v>
      </c>
      <c r="F487" s="10" t="str">
        <f t="array" ref="F487">_xlfn.XLOOKUP(D487,'Referanc '!$A:$A,'Referanc '!$E:$E)</f>
        <v>E2</v>
      </c>
      <c r="G487" s="196">
        <v>2300.0</v>
      </c>
      <c r="H487" s="68">
        <v>112.0</v>
      </c>
      <c r="I487" s="27">
        <v>0.033</v>
      </c>
      <c r="J487" s="27">
        <v>0.039</v>
      </c>
      <c r="K487" s="196">
        <v>2998.0</v>
      </c>
      <c r="L487" s="68">
        <v>158.0</v>
      </c>
      <c r="M487" s="27">
        <v>0.0323</v>
      </c>
      <c r="N487" s="27">
        <v>0.0405</v>
      </c>
      <c r="O487" s="27">
        <v>0.8318</v>
      </c>
      <c r="P487" s="27">
        <v>0.835</v>
      </c>
      <c r="Q487" s="68">
        <v>10.0</v>
      </c>
      <c r="R487" s="68">
        <v>1.0</v>
      </c>
      <c r="S487" s="27">
        <v>0.0043</v>
      </c>
      <c r="T487" s="27">
        <v>0.0089</v>
      </c>
      <c r="U487" s="197">
        <v>277906.61</v>
      </c>
      <c r="V487" s="197">
        <v>26980.0</v>
      </c>
      <c r="W487" s="68">
        <v>10.0</v>
      </c>
      <c r="X487" s="68">
        <v>1.0</v>
      </c>
    </row>
    <row r="488" ht="15.75" customHeight="1">
      <c r="A488" s="3" t="s">
        <v>61</v>
      </c>
      <c r="B488" s="10" t="str">
        <f t="array" ref="B488">_xlfn.XLOOKUP(D488,'Referanc '!$A:$A,'Referanc '!$B:$B)</f>
        <v>Standing Table  - E2</v>
      </c>
      <c r="C488" s="68" t="s">
        <v>309</v>
      </c>
      <c r="D488" s="68" t="s">
        <v>309</v>
      </c>
      <c r="E488" s="68" t="s">
        <v>1127</v>
      </c>
      <c r="F488" s="10" t="str">
        <f t="array" ref="F488">_xlfn.XLOOKUP(D488,'Referanc '!$A:$A,'Referanc '!$E:$E)</f>
        <v>E2</v>
      </c>
      <c r="G488" s="196">
        <v>2159.0</v>
      </c>
      <c r="H488" s="68">
        <v>102.0</v>
      </c>
      <c r="I488" s="27">
        <v>0.031</v>
      </c>
      <c r="J488" s="27">
        <v>0.0355</v>
      </c>
      <c r="K488" s="196">
        <v>2932.0</v>
      </c>
      <c r="L488" s="68">
        <v>129.0</v>
      </c>
      <c r="M488" s="27">
        <v>0.0316</v>
      </c>
      <c r="N488" s="27">
        <v>0.0331</v>
      </c>
      <c r="O488" s="27">
        <v>0.8804</v>
      </c>
      <c r="P488" s="27">
        <v>0.7805</v>
      </c>
      <c r="Q488" s="68">
        <v>10.0</v>
      </c>
      <c r="R488" s="68">
        <v>0.0</v>
      </c>
      <c r="S488" s="27">
        <v>0.0046</v>
      </c>
      <c r="T488" s="27">
        <v>0.0</v>
      </c>
      <c r="U488" s="197">
        <v>345250.0</v>
      </c>
      <c r="V488" s="197">
        <v>0.0</v>
      </c>
      <c r="W488" s="68">
        <v>10.0</v>
      </c>
      <c r="X488" s="68">
        <v>0.0</v>
      </c>
    </row>
    <row r="489" ht="15.75" customHeight="1">
      <c r="A489" s="3" t="s">
        <v>61</v>
      </c>
      <c r="B489" s="10" t="str">
        <f t="array" ref="B489">_xlfn.XLOOKUP(D489,'Referanc '!$A:$A,'Referanc '!$B:$B)</f>
        <v>Standing Table  - SM3</v>
      </c>
      <c r="C489" s="68" t="s">
        <v>358</v>
      </c>
      <c r="D489" s="68" t="s">
        <v>358</v>
      </c>
      <c r="E489" s="68" t="s">
        <v>1165</v>
      </c>
      <c r="F489" s="10" t="str">
        <f t="array" ref="F489">_xlfn.XLOOKUP(D489,'Referanc '!$A:$A,'Referanc '!$E:$E)</f>
        <v>SM3</v>
      </c>
      <c r="G489" s="68">
        <v>923.0</v>
      </c>
      <c r="H489" s="68">
        <v>43.0</v>
      </c>
      <c r="I489" s="27">
        <v>0.0133</v>
      </c>
      <c r="J489" s="27">
        <v>0.015</v>
      </c>
      <c r="K489" s="196">
        <v>1378.0</v>
      </c>
      <c r="L489" s="68">
        <v>80.0</v>
      </c>
      <c r="M489" s="27">
        <v>0.0148</v>
      </c>
      <c r="N489" s="27">
        <v>0.0205</v>
      </c>
      <c r="O489" s="27">
        <v>0.9389</v>
      </c>
      <c r="P489" s="27">
        <v>0.875</v>
      </c>
      <c r="Q489" s="68">
        <v>10.0</v>
      </c>
      <c r="R489" s="68">
        <v>0.0</v>
      </c>
      <c r="S489" s="27">
        <v>0.0108</v>
      </c>
      <c r="T489" s="27">
        <v>0.0</v>
      </c>
      <c r="U489" s="197">
        <v>244400.0</v>
      </c>
      <c r="V489" s="197">
        <v>0.0</v>
      </c>
      <c r="W489" s="68">
        <v>10.0</v>
      </c>
      <c r="X489" s="68">
        <v>0.0</v>
      </c>
    </row>
    <row r="490" ht="15.75" customHeight="1">
      <c r="A490" s="3" t="s">
        <v>61</v>
      </c>
      <c r="B490" s="10" t="str">
        <f t="array" ref="B490">_xlfn.XLOOKUP(D490,'Referanc '!$A:$A,'Referanc '!$B:$B)</f>
        <v>Standing Table  - E2</v>
      </c>
      <c r="C490" s="68" t="s">
        <v>311</v>
      </c>
      <c r="D490" s="68" t="s">
        <v>311</v>
      </c>
      <c r="E490" s="68" t="s">
        <v>670</v>
      </c>
      <c r="F490" s="10" t="str">
        <f t="array" ref="F490">_xlfn.XLOOKUP(D490,'Referanc '!$A:$A,'Referanc '!$E:$E)</f>
        <v>E2</v>
      </c>
      <c r="G490" s="196">
        <v>3126.0</v>
      </c>
      <c r="H490" s="68">
        <v>117.0</v>
      </c>
      <c r="I490" s="27">
        <v>0.0449</v>
      </c>
      <c r="J490" s="27">
        <v>0.0408</v>
      </c>
      <c r="K490" s="196">
        <v>4247.0</v>
      </c>
      <c r="L490" s="68">
        <v>156.0</v>
      </c>
      <c r="M490" s="27">
        <v>0.0457</v>
      </c>
      <c r="N490" s="27">
        <v>0.04</v>
      </c>
      <c r="O490" s="27">
        <v>0.8088</v>
      </c>
      <c r="P490" s="27">
        <v>0.7778</v>
      </c>
      <c r="Q490" s="68">
        <v>9.0</v>
      </c>
      <c r="R490" s="68">
        <v>1.0</v>
      </c>
      <c r="S490" s="27">
        <v>0.0029</v>
      </c>
      <c r="T490" s="27">
        <v>0.0085</v>
      </c>
      <c r="U490" s="197">
        <v>311239.83</v>
      </c>
      <c r="V490" s="197">
        <v>35150.0</v>
      </c>
      <c r="W490" s="68">
        <v>9.0</v>
      </c>
      <c r="X490" s="68">
        <v>1.0</v>
      </c>
    </row>
    <row r="491" ht="15.75" customHeight="1">
      <c r="A491" s="3" t="s">
        <v>61</v>
      </c>
      <c r="B491" s="10" t="str">
        <f t="array" ref="B491">_xlfn.XLOOKUP(D491,'Referanc '!$A:$A,'Referanc '!$B:$B)</f>
        <v>Standing Table  - E3</v>
      </c>
      <c r="C491" s="68" t="s">
        <v>365</v>
      </c>
      <c r="D491" s="68" t="s">
        <v>365</v>
      </c>
      <c r="E491" s="68" t="s">
        <v>1124</v>
      </c>
      <c r="F491" s="10" t="str">
        <f t="array" ref="F491">_xlfn.XLOOKUP(D491,'Referanc '!$A:$A,'Referanc '!$E:$E)</f>
        <v>E3</v>
      </c>
      <c r="G491" s="196">
        <v>1858.0</v>
      </c>
      <c r="H491" s="68">
        <v>101.0</v>
      </c>
      <c r="I491" s="27">
        <v>0.0267</v>
      </c>
      <c r="J491" s="27">
        <v>0.0352</v>
      </c>
      <c r="K491" s="196">
        <v>2537.0</v>
      </c>
      <c r="L491" s="68">
        <v>137.0</v>
      </c>
      <c r="M491" s="27">
        <v>0.0273</v>
      </c>
      <c r="N491" s="27">
        <v>0.0351</v>
      </c>
      <c r="O491" s="27">
        <v>0.8734</v>
      </c>
      <c r="P491" s="27">
        <v>0.8387</v>
      </c>
      <c r="Q491" s="68">
        <v>9.0</v>
      </c>
      <c r="R491" s="68">
        <v>1.0</v>
      </c>
      <c r="S491" s="27">
        <v>0.0048</v>
      </c>
      <c r="T491" s="27">
        <v>0.0099</v>
      </c>
      <c r="U491" s="197">
        <v>362877.46</v>
      </c>
      <c r="V491" s="197">
        <v>40797.46</v>
      </c>
      <c r="W491" s="68">
        <v>9.0</v>
      </c>
      <c r="X491" s="68">
        <v>1.0</v>
      </c>
    </row>
    <row r="492" ht="15.75" customHeight="1">
      <c r="A492" s="3" t="s">
        <v>61</v>
      </c>
      <c r="B492" s="10" t="str">
        <f t="array" ref="B492">_xlfn.XLOOKUP(D492,'Referanc '!$A:$A,'Referanc '!$B:$B)</f>
        <v>Standing Table  - SM3</v>
      </c>
      <c r="C492" s="68" t="s">
        <v>301</v>
      </c>
      <c r="D492" s="68" t="s">
        <v>301</v>
      </c>
      <c r="E492" s="68" t="s">
        <v>1273</v>
      </c>
      <c r="F492" s="10" t="str">
        <f t="array" ref="F492">_xlfn.XLOOKUP(D492,'Referanc '!$A:$A,'Referanc '!$E:$E)</f>
        <v>SM3</v>
      </c>
      <c r="G492" s="196">
        <v>2800.0</v>
      </c>
      <c r="H492" s="68">
        <v>113.0</v>
      </c>
      <c r="I492" s="27">
        <v>0.0402</v>
      </c>
      <c r="J492" s="27">
        <v>0.0394</v>
      </c>
      <c r="K492" s="196">
        <v>3476.0</v>
      </c>
      <c r="L492" s="68">
        <v>148.0</v>
      </c>
      <c r="M492" s="27">
        <v>0.0374</v>
      </c>
      <c r="N492" s="27">
        <v>0.0379</v>
      </c>
      <c r="O492" s="27">
        <v>0.8294</v>
      </c>
      <c r="P492" s="27">
        <v>0.8652</v>
      </c>
      <c r="Q492" s="68">
        <v>8.0</v>
      </c>
      <c r="R492" s="68">
        <v>1.0</v>
      </c>
      <c r="S492" s="27">
        <v>0.0029</v>
      </c>
      <c r="T492" s="27">
        <v>0.0088</v>
      </c>
      <c r="U492" s="197">
        <v>197050.0</v>
      </c>
      <c r="V492" s="197">
        <v>24750.0</v>
      </c>
      <c r="W492" s="68">
        <v>8.0</v>
      </c>
      <c r="X492" s="68">
        <v>1.0</v>
      </c>
    </row>
    <row r="493" ht="15.75" customHeight="1">
      <c r="A493" s="3" t="s">
        <v>61</v>
      </c>
      <c r="B493" s="10" t="str">
        <f t="array" ref="B493">_xlfn.XLOOKUP(D493,'Referanc '!$A:$A,'Referanc '!$B:$B)</f>
        <v>Standing Table  - M8</v>
      </c>
      <c r="C493" s="68" t="s">
        <v>408</v>
      </c>
      <c r="D493" s="68" t="s">
        <v>408</v>
      </c>
      <c r="E493" s="68" t="s">
        <v>1188</v>
      </c>
      <c r="F493" s="10" t="str">
        <f t="array" ref="F493">_xlfn.XLOOKUP(D493,'Referanc '!$A:$A,'Referanc '!$E:$E)</f>
        <v>M8</v>
      </c>
      <c r="G493" s="196">
        <v>2002.0</v>
      </c>
      <c r="H493" s="68">
        <v>70.0</v>
      </c>
      <c r="I493" s="27">
        <v>0.0288</v>
      </c>
      <c r="J493" s="27">
        <v>0.0244</v>
      </c>
      <c r="K493" s="196">
        <v>2686.0</v>
      </c>
      <c r="L493" s="68">
        <v>95.0</v>
      </c>
      <c r="M493" s="27">
        <v>0.0289</v>
      </c>
      <c r="N493" s="27">
        <v>0.0243</v>
      </c>
      <c r="O493" s="27">
        <v>0.8971</v>
      </c>
      <c r="P493" s="27">
        <v>0.8036</v>
      </c>
      <c r="Q493" s="68">
        <v>6.0</v>
      </c>
      <c r="R493" s="68">
        <v>0.0</v>
      </c>
      <c r="S493" s="27">
        <v>0.003</v>
      </c>
      <c r="T493" s="27">
        <v>0.0</v>
      </c>
      <c r="U493" s="197">
        <v>109459.88</v>
      </c>
      <c r="V493" s="197">
        <v>0.0</v>
      </c>
      <c r="W493" s="68">
        <v>6.0</v>
      </c>
      <c r="X493" s="68">
        <v>0.0</v>
      </c>
    </row>
    <row r="494" ht="15.75" customHeight="1">
      <c r="A494" s="3" t="s">
        <v>61</v>
      </c>
      <c r="B494" s="10" t="str">
        <f t="array" ref="B494">_xlfn.XLOOKUP(D494,'Referanc '!$A:$A,'Referanc '!$B:$B)</f>
        <v>Standing Table  - E3</v>
      </c>
      <c r="C494" s="68" t="s">
        <v>364</v>
      </c>
      <c r="D494" s="68" t="s">
        <v>364</v>
      </c>
      <c r="E494" s="68" t="s">
        <v>1130</v>
      </c>
      <c r="F494" s="10" t="str">
        <f t="array" ref="F494">_xlfn.XLOOKUP(D494,'Referanc '!$A:$A,'Referanc '!$E:$E)</f>
        <v>E3</v>
      </c>
      <c r="G494" s="68">
        <v>698.0</v>
      </c>
      <c r="H494" s="68">
        <v>29.0</v>
      </c>
      <c r="I494" s="27">
        <v>0.01</v>
      </c>
      <c r="J494" s="27">
        <v>0.0101</v>
      </c>
      <c r="K494" s="68">
        <v>921.0</v>
      </c>
      <c r="L494" s="68">
        <v>40.0</v>
      </c>
      <c r="M494" s="27">
        <v>0.0099</v>
      </c>
      <c r="N494" s="27">
        <v>0.0102</v>
      </c>
      <c r="O494" s="27">
        <v>0.904</v>
      </c>
      <c r="P494" s="27">
        <v>0.8636</v>
      </c>
      <c r="Q494" s="68">
        <v>6.0</v>
      </c>
      <c r="R494" s="68">
        <v>0.0</v>
      </c>
      <c r="S494" s="27">
        <v>0.0086</v>
      </c>
      <c r="T494" s="27">
        <v>0.0</v>
      </c>
      <c r="U494" s="197">
        <v>245092.38</v>
      </c>
      <c r="V494" s="197">
        <v>0.0</v>
      </c>
      <c r="W494" s="68">
        <v>6.0</v>
      </c>
      <c r="X494" s="68">
        <v>0.0</v>
      </c>
    </row>
    <row r="495" ht="15.75" customHeight="1">
      <c r="A495" s="3" t="s">
        <v>61</v>
      </c>
      <c r="B495" s="10" t="str">
        <f t="array" ref="B495">_xlfn.XLOOKUP(D495,'Referanc '!$A:$A,'Referanc '!$B:$B)</f>
        <v>Standing Table  - E2</v>
      </c>
      <c r="C495" s="68" t="s">
        <v>293</v>
      </c>
      <c r="D495" s="68" t="s">
        <v>293</v>
      </c>
      <c r="E495" s="68" t="s">
        <v>1248</v>
      </c>
      <c r="F495" s="10" t="str">
        <f t="array" ref="F495">_xlfn.XLOOKUP(D495,'Referanc '!$A:$A,'Referanc '!$E:$E)</f>
        <v>E2</v>
      </c>
      <c r="G495" s="196">
        <v>1834.0</v>
      </c>
      <c r="H495" s="68">
        <v>67.0</v>
      </c>
      <c r="I495" s="27">
        <v>0.0263</v>
      </c>
      <c r="J495" s="27">
        <v>0.0233</v>
      </c>
      <c r="K495" s="196">
        <v>2460.0</v>
      </c>
      <c r="L495" s="68">
        <v>96.0</v>
      </c>
      <c r="M495" s="27">
        <v>0.0265</v>
      </c>
      <c r="N495" s="27">
        <v>0.0246</v>
      </c>
      <c r="O495" s="27">
        <v>0.8685</v>
      </c>
      <c r="P495" s="27">
        <v>0.875</v>
      </c>
      <c r="Q495" s="68">
        <v>5.0</v>
      </c>
      <c r="R495" s="68">
        <v>1.0</v>
      </c>
      <c r="S495" s="27">
        <v>0.0027</v>
      </c>
      <c r="T495" s="27">
        <v>0.0149</v>
      </c>
      <c r="U495" s="197">
        <v>159116.61</v>
      </c>
      <c r="V495" s="197">
        <v>30990.0</v>
      </c>
      <c r="W495" s="68">
        <v>5.0</v>
      </c>
      <c r="X495" s="68">
        <v>1.0</v>
      </c>
    </row>
    <row r="496" ht="15.75" customHeight="1">
      <c r="A496" s="3" t="s">
        <v>61</v>
      </c>
      <c r="B496" s="10" t="s">
        <v>241</v>
      </c>
      <c r="C496" s="68" t="s">
        <v>345</v>
      </c>
      <c r="D496" s="68" t="s">
        <v>345</v>
      </c>
      <c r="E496" s="68" t="s">
        <v>553</v>
      </c>
      <c r="F496" s="10" t="str">
        <f t="array" ref="F496">_xlfn.XLOOKUP(D496,'Referanc '!$A:$A,'Referanc '!$E:$E)</f>
        <v>Footrest</v>
      </c>
      <c r="G496" s="68">
        <v>325.0</v>
      </c>
      <c r="H496" s="68">
        <v>12.0</v>
      </c>
      <c r="I496" s="27">
        <v>0.0047</v>
      </c>
      <c r="J496" s="27">
        <v>0.0042</v>
      </c>
      <c r="K496" s="68">
        <v>433.0</v>
      </c>
      <c r="L496" s="68">
        <v>16.0</v>
      </c>
      <c r="M496" s="27">
        <v>0.0047</v>
      </c>
      <c r="N496" s="27">
        <v>0.0041</v>
      </c>
      <c r="O496" s="27">
        <v>0.9639</v>
      </c>
      <c r="P496" s="27">
        <v>1.0</v>
      </c>
      <c r="Q496" s="68">
        <v>5.0</v>
      </c>
      <c r="R496" s="68">
        <v>0.0</v>
      </c>
      <c r="S496" s="27">
        <v>0.0154</v>
      </c>
      <c r="T496" s="27">
        <v>0.0</v>
      </c>
      <c r="U496" s="197">
        <v>17298.0</v>
      </c>
      <c r="V496" s="197">
        <v>0.0</v>
      </c>
      <c r="W496" s="68">
        <v>5.0</v>
      </c>
      <c r="X496" s="68">
        <v>0.0</v>
      </c>
    </row>
    <row r="497" ht="15.75" customHeight="1">
      <c r="A497" s="3" t="s">
        <v>61</v>
      </c>
      <c r="B497" s="10" t="str">
        <f t="array" ref="B497">_xlfn.XLOOKUP(D497,'Referanc '!$A:$A,'Referanc '!$B:$B)</f>
        <v>Standing Table  - M8</v>
      </c>
      <c r="C497" s="68" t="s">
        <v>412</v>
      </c>
      <c r="D497" s="68" t="s">
        <v>412</v>
      </c>
      <c r="E497" s="68" t="s">
        <v>1177</v>
      </c>
      <c r="F497" s="10" t="str">
        <f t="array" ref="F497">_xlfn.XLOOKUP(D497,'Referanc '!$A:$A,'Referanc '!$E:$E)</f>
        <v>M8</v>
      </c>
      <c r="G497" s="68">
        <v>646.0</v>
      </c>
      <c r="H497" s="68">
        <v>21.0</v>
      </c>
      <c r="I497" s="27">
        <v>0.0093</v>
      </c>
      <c r="J497" s="27">
        <v>0.0073</v>
      </c>
      <c r="K497" s="68">
        <v>816.0</v>
      </c>
      <c r="L497" s="68">
        <v>34.0</v>
      </c>
      <c r="M497" s="27">
        <v>0.0088</v>
      </c>
      <c r="N497" s="27">
        <v>0.0087</v>
      </c>
      <c r="O497" s="27">
        <v>0.8864</v>
      </c>
      <c r="P497" s="27">
        <v>0.95</v>
      </c>
      <c r="Q497" s="68">
        <v>4.0</v>
      </c>
      <c r="R497" s="68">
        <v>0.0</v>
      </c>
      <c r="S497" s="27">
        <v>0.0062</v>
      </c>
      <c r="T497" s="27">
        <v>0.0</v>
      </c>
      <c r="U497" s="197">
        <v>84975.0</v>
      </c>
      <c r="V497" s="197">
        <v>0.0</v>
      </c>
      <c r="W497" s="68">
        <v>4.0</v>
      </c>
      <c r="X497" s="68">
        <v>0.0</v>
      </c>
    </row>
    <row r="498" ht="15.75" customHeight="1">
      <c r="A498" s="3" t="s">
        <v>61</v>
      </c>
      <c r="B498" s="10" t="str">
        <f t="array" ref="B498">_xlfn.XLOOKUP(D498,'Referanc '!$A:$A,'Referanc '!$B:$B)</f>
        <v>Standing Table  - M8</v>
      </c>
      <c r="C498" s="68" t="s">
        <v>406</v>
      </c>
      <c r="D498" s="68" t="s">
        <v>406</v>
      </c>
      <c r="E498" s="68" t="s">
        <v>1173</v>
      </c>
      <c r="F498" s="10" t="str">
        <f t="array" ref="F498">_xlfn.XLOOKUP(D498,'Referanc '!$A:$A,'Referanc '!$E:$E)</f>
        <v>M8</v>
      </c>
      <c r="G498" s="196">
        <v>1097.0</v>
      </c>
      <c r="H498" s="68">
        <v>38.0</v>
      </c>
      <c r="I498" s="27">
        <v>0.0158</v>
      </c>
      <c r="J498" s="27">
        <v>0.0132</v>
      </c>
      <c r="K498" s="196">
        <v>1455.0</v>
      </c>
      <c r="L498" s="68">
        <v>52.0</v>
      </c>
      <c r="M498" s="27">
        <v>0.0157</v>
      </c>
      <c r="N498" s="27">
        <v>0.0133</v>
      </c>
      <c r="O498" s="27">
        <v>0.9311</v>
      </c>
      <c r="P498" s="27">
        <v>0.8065</v>
      </c>
      <c r="Q498" s="68">
        <v>4.0</v>
      </c>
      <c r="R498" s="68">
        <v>1.0</v>
      </c>
      <c r="S498" s="27">
        <v>0.0036</v>
      </c>
      <c r="T498" s="27">
        <v>0.0263</v>
      </c>
      <c r="U498" s="197">
        <v>72808.0</v>
      </c>
      <c r="V498" s="197">
        <v>17899.0</v>
      </c>
      <c r="W498" s="68">
        <v>4.0</v>
      </c>
      <c r="X498" s="68">
        <v>1.0</v>
      </c>
    </row>
    <row r="499" ht="15.75" customHeight="1">
      <c r="A499" s="3" t="s">
        <v>61</v>
      </c>
      <c r="B499" s="10" t="str">
        <f t="array" ref="B499">_xlfn.XLOOKUP(D499,'Referanc '!$A:$A,'Referanc '!$B:$B)</f>
        <v>Standing Table  - E2</v>
      </c>
      <c r="C499" s="68" t="s">
        <v>313</v>
      </c>
      <c r="D499" s="68" t="s">
        <v>313</v>
      </c>
      <c r="E499" s="68" t="s">
        <v>672</v>
      </c>
      <c r="F499" s="10" t="str">
        <f t="array" ref="F499">_xlfn.XLOOKUP(D499,'Referanc '!$A:$A,'Referanc '!$E:$E)</f>
        <v>E2</v>
      </c>
      <c r="G499" s="196">
        <v>1398.0</v>
      </c>
      <c r="H499" s="68">
        <v>57.0</v>
      </c>
      <c r="I499" s="27">
        <v>0.0201</v>
      </c>
      <c r="J499" s="27">
        <v>0.0199</v>
      </c>
      <c r="K499" s="196">
        <v>1812.0</v>
      </c>
      <c r="L499" s="68">
        <v>72.0</v>
      </c>
      <c r="M499" s="27">
        <v>0.0195</v>
      </c>
      <c r="N499" s="27">
        <v>0.0184</v>
      </c>
      <c r="O499" s="27">
        <v>0.8459</v>
      </c>
      <c r="P499" s="27">
        <v>0.7111</v>
      </c>
      <c r="Q499" s="68">
        <v>4.0</v>
      </c>
      <c r="R499" s="68">
        <v>1.0</v>
      </c>
      <c r="S499" s="27">
        <v>0.0029</v>
      </c>
      <c r="T499" s="27">
        <v>0.0175</v>
      </c>
      <c r="U499" s="197">
        <v>126016.61</v>
      </c>
      <c r="V499" s="197">
        <v>30990.0</v>
      </c>
      <c r="W499" s="68">
        <v>4.0</v>
      </c>
      <c r="X499" s="68">
        <v>1.0</v>
      </c>
    </row>
    <row r="500" ht="15.75" customHeight="1">
      <c r="A500" s="3" t="s">
        <v>61</v>
      </c>
      <c r="B500" s="10" t="str">
        <f t="array" ref="B500">_xlfn.XLOOKUP(D500,'Referanc '!$A:$A,'Referanc '!$B:$B)</f>
        <v>Standing Table  - E3</v>
      </c>
      <c r="C500" s="68" t="s">
        <v>400</v>
      </c>
      <c r="D500" s="68" t="s">
        <v>400</v>
      </c>
      <c r="E500" s="68" t="s">
        <v>1130</v>
      </c>
      <c r="F500" s="10" t="str">
        <f t="array" ref="F500">_xlfn.XLOOKUP(D500,'Referanc '!$A:$A,'Referanc '!$E:$E)</f>
        <v>E3</v>
      </c>
      <c r="G500" s="68">
        <v>535.0</v>
      </c>
      <c r="H500" s="68">
        <v>31.0</v>
      </c>
      <c r="I500" s="27">
        <v>0.0077</v>
      </c>
      <c r="J500" s="27">
        <v>0.0108</v>
      </c>
      <c r="K500" s="68">
        <v>700.0</v>
      </c>
      <c r="L500" s="68">
        <v>38.0</v>
      </c>
      <c r="M500" s="27">
        <v>0.0075</v>
      </c>
      <c r="N500" s="27">
        <v>0.0097</v>
      </c>
      <c r="O500" s="27">
        <v>0.8663</v>
      </c>
      <c r="P500" s="27">
        <v>0.75</v>
      </c>
      <c r="Q500" s="68">
        <v>4.0</v>
      </c>
      <c r="R500" s="68">
        <v>0.0</v>
      </c>
      <c r="S500" s="27">
        <v>0.0075</v>
      </c>
      <c r="T500" s="27">
        <v>0.0</v>
      </c>
      <c r="U500" s="197">
        <v>161520.0</v>
      </c>
      <c r="V500" s="197">
        <v>0.0</v>
      </c>
      <c r="W500" s="68">
        <v>4.0</v>
      </c>
      <c r="X500" s="68">
        <v>0.0</v>
      </c>
    </row>
    <row r="501" ht="15.75" customHeight="1">
      <c r="A501" s="3" t="s">
        <v>61</v>
      </c>
      <c r="B501" s="10" t="str">
        <f t="array" ref="B501">_xlfn.XLOOKUP(D501,'Referanc '!$A:$A,'Referanc '!$B:$B)</f>
        <v>Standing Table - All Frames</v>
      </c>
      <c r="C501" s="68" t="s">
        <v>368</v>
      </c>
      <c r="D501" s="68" t="s">
        <v>368</v>
      </c>
      <c r="E501" s="68" t="s">
        <v>1184</v>
      </c>
      <c r="F501" s="10" t="str">
        <f t="array" ref="F501">_xlfn.XLOOKUP(D501,'Referanc '!$A:$A,'Referanc '!$E:$E)</f>
        <v>SM3</v>
      </c>
      <c r="G501" s="68">
        <v>375.0</v>
      </c>
      <c r="H501" s="68">
        <v>17.0</v>
      </c>
      <c r="I501" s="27">
        <v>0.0054</v>
      </c>
      <c r="J501" s="27">
        <v>0.0059</v>
      </c>
      <c r="K501" s="68">
        <v>526.0</v>
      </c>
      <c r="L501" s="68">
        <v>20.0</v>
      </c>
      <c r="M501" s="27">
        <v>0.0057</v>
      </c>
      <c r="N501" s="27">
        <v>0.0051</v>
      </c>
      <c r="O501" s="27">
        <v>0.8504</v>
      </c>
      <c r="P501" s="27">
        <v>1.0</v>
      </c>
      <c r="Q501" s="68">
        <v>4.0</v>
      </c>
      <c r="R501" s="68">
        <v>1.0</v>
      </c>
      <c r="S501" s="27">
        <v>0.0107</v>
      </c>
      <c r="T501" s="27">
        <v>0.0588</v>
      </c>
      <c r="U501" s="197">
        <v>73800.0</v>
      </c>
      <c r="V501" s="197">
        <v>18200.0</v>
      </c>
      <c r="W501" s="68">
        <v>4.0</v>
      </c>
      <c r="X501" s="68">
        <v>1.0</v>
      </c>
    </row>
    <row r="502" ht="15.75" customHeight="1">
      <c r="A502" s="3" t="s">
        <v>61</v>
      </c>
      <c r="B502" s="10" t="str">
        <f t="array" ref="B502">_xlfn.XLOOKUP(D502,'Referanc '!$A:$A,'Referanc '!$B:$B)</f>
        <v>Standing Table  - SM3</v>
      </c>
      <c r="C502" s="68" t="s">
        <v>401</v>
      </c>
      <c r="D502" s="68" t="s">
        <v>401</v>
      </c>
      <c r="E502" s="68" t="s">
        <v>1160</v>
      </c>
      <c r="F502" s="10" t="str">
        <f t="array" ref="F502">_xlfn.XLOOKUP(D502,'Referanc '!$A:$A,'Referanc '!$E:$E)</f>
        <v>SM3</v>
      </c>
      <c r="G502" s="68">
        <v>319.0</v>
      </c>
      <c r="H502" s="68">
        <v>17.0</v>
      </c>
      <c r="I502" s="27">
        <v>0.0046</v>
      </c>
      <c r="J502" s="27">
        <v>0.0059</v>
      </c>
      <c r="K502" s="68">
        <v>444.0</v>
      </c>
      <c r="L502" s="68">
        <v>26.0</v>
      </c>
      <c r="M502" s="27">
        <v>0.0048</v>
      </c>
      <c r="N502" s="27">
        <v>0.0067</v>
      </c>
      <c r="O502" s="27">
        <v>0.9344</v>
      </c>
      <c r="P502" s="27">
        <v>0.8889</v>
      </c>
      <c r="Q502" s="68">
        <v>4.0</v>
      </c>
      <c r="R502" s="68">
        <v>0.0</v>
      </c>
      <c r="S502" s="27">
        <v>0.0125</v>
      </c>
      <c r="T502" s="27">
        <v>0.0</v>
      </c>
      <c r="U502" s="197">
        <v>82398.0</v>
      </c>
      <c r="V502" s="197">
        <v>0.0</v>
      </c>
      <c r="W502" s="68">
        <v>4.0</v>
      </c>
      <c r="X502" s="68">
        <v>0.0</v>
      </c>
    </row>
    <row r="503" ht="15.75" customHeight="1">
      <c r="A503" s="3" t="s">
        <v>61</v>
      </c>
      <c r="B503" s="10" t="str">
        <f t="array" ref="B503">_xlfn.XLOOKUP(D503,'Referanc '!$A:$A,'Referanc '!$B:$B)</f>
        <v>Standing Table  - E1A</v>
      </c>
      <c r="C503" s="68" t="s">
        <v>380</v>
      </c>
      <c r="D503" s="68" t="s">
        <v>380</v>
      </c>
      <c r="E503" s="68" t="s">
        <v>1276</v>
      </c>
      <c r="F503" s="10" t="str">
        <f t="array" ref="F503">_xlfn.XLOOKUP(D503,'Referanc '!$A:$A,'Referanc '!$E:$E)</f>
        <v>E1A</v>
      </c>
      <c r="G503" s="68">
        <v>481.0</v>
      </c>
      <c r="H503" s="68">
        <v>27.0</v>
      </c>
      <c r="I503" s="27">
        <v>0.0069</v>
      </c>
      <c r="J503" s="27">
        <v>0.0094</v>
      </c>
      <c r="K503" s="68">
        <v>638.0</v>
      </c>
      <c r="L503" s="68">
        <v>32.0</v>
      </c>
      <c r="M503" s="27">
        <v>0.0069</v>
      </c>
      <c r="N503" s="27">
        <v>0.0082</v>
      </c>
      <c r="O503" s="27">
        <v>0.8829</v>
      </c>
      <c r="P503" s="27">
        <v>0.8</v>
      </c>
      <c r="Q503" s="68">
        <v>4.0</v>
      </c>
      <c r="R503" s="68">
        <v>0.0</v>
      </c>
      <c r="S503" s="27">
        <v>0.0083</v>
      </c>
      <c r="T503" s="27">
        <v>0.0</v>
      </c>
      <c r="U503" s="197">
        <v>133025.08</v>
      </c>
      <c r="V503" s="197">
        <v>0.0</v>
      </c>
      <c r="W503" s="68">
        <v>4.0</v>
      </c>
      <c r="X503" s="68">
        <v>0.0</v>
      </c>
    </row>
    <row r="504" ht="15.75" customHeight="1">
      <c r="A504" s="3" t="s">
        <v>61</v>
      </c>
      <c r="B504" s="10" t="str">
        <f t="array" ref="B504">_xlfn.XLOOKUP(D504,'Referanc '!$A:$A,'Referanc '!$B:$B)</f>
        <v>Standing Table - All Frames</v>
      </c>
      <c r="C504" s="68" t="s">
        <v>402</v>
      </c>
      <c r="D504" s="68" t="s">
        <v>402</v>
      </c>
      <c r="E504" s="68" t="s">
        <v>697</v>
      </c>
      <c r="F504" s="10" t="str">
        <f t="array" ref="F504">_xlfn.XLOOKUP(D504,'Referanc '!$A:$A,'Referanc '!$E:$E)</f>
        <v>E4</v>
      </c>
      <c r="G504" s="68">
        <v>428.0</v>
      </c>
      <c r="H504" s="68">
        <v>35.0</v>
      </c>
      <c r="I504" s="27">
        <v>0.0061</v>
      </c>
      <c r="J504" s="27">
        <v>0.0122</v>
      </c>
      <c r="K504" s="68">
        <v>557.0</v>
      </c>
      <c r="L504" s="68">
        <v>50.0</v>
      </c>
      <c r="M504" s="27">
        <v>0.006</v>
      </c>
      <c r="N504" s="27">
        <v>0.0128</v>
      </c>
      <c r="O504" s="27">
        <v>0.8857</v>
      </c>
      <c r="P504" s="27">
        <v>0.9259</v>
      </c>
      <c r="Q504" s="68">
        <v>4.0</v>
      </c>
      <c r="R504" s="68">
        <v>2.0</v>
      </c>
      <c r="S504" s="27">
        <v>0.0093</v>
      </c>
      <c r="T504" s="27">
        <v>0.0571</v>
      </c>
      <c r="U504" s="197">
        <v>97658.48</v>
      </c>
      <c r="V504" s="197">
        <v>50654.24</v>
      </c>
      <c r="W504" s="68">
        <v>4.0</v>
      </c>
      <c r="X504" s="68">
        <v>2.0</v>
      </c>
    </row>
    <row r="505" ht="15.75" customHeight="1">
      <c r="A505" s="3" t="s">
        <v>61</v>
      </c>
      <c r="B505" s="10" t="str">
        <f t="array" ref="B505">_xlfn.XLOOKUP(D505,'Referanc '!$A:$A,'Referanc '!$B:$B)</f>
        <v>Standing Table  - M8</v>
      </c>
      <c r="C505" s="68" t="s">
        <v>410</v>
      </c>
      <c r="D505" s="68" t="s">
        <v>410</v>
      </c>
      <c r="E505" s="68" t="s">
        <v>1172</v>
      </c>
      <c r="F505" s="10" t="str">
        <f t="array" ref="F505">_xlfn.XLOOKUP(D505,'Referanc '!$A:$A,'Referanc '!$E:$E)</f>
        <v>M8</v>
      </c>
      <c r="G505" s="68">
        <v>686.0</v>
      </c>
      <c r="H505" s="68">
        <v>27.0</v>
      </c>
      <c r="I505" s="27">
        <v>0.0099</v>
      </c>
      <c r="J505" s="27">
        <v>0.0094</v>
      </c>
      <c r="K505" s="68">
        <v>890.0</v>
      </c>
      <c r="L505" s="68">
        <v>38.0</v>
      </c>
      <c r="M505" s="27">
        <v>0.0096</v>
      </c>
      <c r="N505" s="27">
        <v>0.0097</v>
      </c>
      <c r="O505" s="27">
        <v>0.9369</v>
      </c>
      <c r="P505" s="27">
        <v>0.8889</v>
      </c>
      <c r="Q505" s="68">
        <v>3.0</v>
      </c>
      <c r="R505" s="68">
        <v>0.0</v>
      </c>
      <c r="S505" s="27">
        <v>0.0044</v>
      </c>
      <c r="T505" s="27">
        <v>0.0</v>
      </c>
      <c r="U505" s="197">
        <v>61856.0</v>
      </c>
      <c r="V505" s="197">
        <v>0.0</v>
      </c>
      <c r="W505" s="68">
        <v>3.0</v>
      </c>
      <c r="X505" s="68">
        <v>0.0</v>
      </c>
    </row>
    <row r="506" ht="15.75" customHeight="1">
      <c r="A506" s="3" t="s">
        <v>61</v>
      </c>
      <c r="B506" s="10" t="str">
        <f t="array" ref="B506">_xlfn.XLOOKUP(D506,'Referanc '!$A:$A,'Referanc '!$B:$B)</f>
        <v>Laptop Table</v>
      </c>
      <c r="C506" s="68" t="s">
        <v>328</v>
      </c>
      <c r="D506" s="68" t="s">
        <v>328</v>
      </c>
      <c r="E506" s="68" t="s">
        <v>1152</v>
      </c>
      <c r="F506" s="10" t="str">
        <f t="array" ref="F506">_xlfn.XLOOKUP(D506,'Referanc '!$A:$A,'Referanc '!$E:$E)</f>
        <v>Laptop Table</v>
      </c>
      <c r="G506" s="68">
        <v>304.0</v>
      </c>
      <c r="H506" s="68">
        <v>7.0</v>
      </c>
      <c r="I506" s="27">
        <v>0.0044</v>
      </c>
      <c r="J506" s="27">
        <v>0.0024</v>
      </c>
      <c r="K506" s="68">
        <v>456.0</v>
      </c>
      <c r="L506" s="68">
        <v>12.0</v>
      </c>
      <c r="M506" s="27">
        <v>0.0049</v>
      </c>
      <c r="N506" s="27">
        <v>0.0031</v>
      </c>
      <c r="O506" s="27">
        <v>0.8878</v>
      </c>
      <c r="P506" s="27">
        <v>0.9091</v>
      </c>
      <c r="Q506" s="68">
        <v>3.0</v>
      </c>
      <c r="R506" s="68">
        <v>0.0</v>
      </c>
      <c r="S506" s="27">
        <v>0.0099</v>
      </c>
      <c r="T506" s="27">
        <v>0.0</v>
      </c>
      <c r="U506" s="197">
        <v>36590.0</v>
      </c>
      <c r="V506" s="197">
        <v>0.0</v>
      </c>
      <c r="W506" s="68">
        <v>3.0</v>
      </c>
      <c r="X506" s="68">
        <v>0.0</v>
      </c>
    </row>
    <row r="507" ht="15.75" customHeight="1">
      <c r="A507" s="3" t="s">
        <v>61</v>
      </c>
      <c r="B507" s="10" t="str">
        <f t="array" ref="B507">_xlfn.XLOOKUP(D507,'Referanc '!$A:$A,'Referanc '!$B:$B)</f>
        <v>Standing Table - All Frames</v>
      </c>
      <c r="C507" s="68" t="s">
        <v>343</v>
      </c>
      <c r="D507" s="68" t="s">
        <v>343</v>
      </c>
      <c r="E507" s="68" t="s">
        <v>1153</v>
      </c>
      <c r="F507" s="10" t="str">
        <f t="array" ref="F507">_xlfn.XLOOKUP(D507,'Referanc '!$A:$A,'Referanc '!$E:$E)</f>
        <v>E3</v>
      </c>
      <c r="G507" s="68">
        <v>425.0</v>
      </c>
      <c r="H507" s="68">
        <v>25.0</v>
      </c>
      <c r="I507" s="27">
        <v>0.0061</v>
      </c>
      <c r="J507" s="27">
        <v>0.0087</v>
      </c>
      <c r="K507" s="68">
        <v>586.0</v>
      </c>
      <c r="L507" s="68">
        <v>43.0</v>
      </c>
      <c r="M507" s="27">
        <v>0.0063</v>
      </c>
      <c r="N507" s="27">
        <v>0.011</v>
      </c>
      <c r="O507" s="27">
        <v>0.8505</v>
      </c>
      <c r="P507" s="27">
        <v>0.6364</v>
      </c>
      <c r="Q507" s="68">
        <v>3.0</v>
      </c>
      <c r="R507" s="68">
        <v>1.0</v>
      </c>
      <c r="S507" s="27">
        <v>0.0071</v>
      </c>
      <c r="T507" s="27">
        <v>0.04</v>
      </c>
      <c r="U507" s="197">
        <v>103047.46</v>
      </c>
      <c r="V507" s="197">
        <v>33900.0</v>
      </c>
      <c r="W507" s="68">
        <v>3.0</v>
      </c>
      <c r="X507" s="68">
        <v>1.0</v>
      </c>
    </row>
    <row r="508" ht="15.75" customHeight="1">
      <c r="A508" s="3" t="s">
        <v>61</v>
      </c>
      <c r="B508" s="10" t="str">
        <f t="array" ref="B508">_xlfn.XLOOKUP(D508,'Referanc '!$A:$A,'Referanc '!$B:$B)</f>
        <v>Standing Table  - M3</v>
      </c>
      <c r="C508" s="68" t="s">
        <v>330</v>
      </c>
      <c r="D508" s="68" t="s">
        <v>330</v>
      </c>
      <c r="E508" s="68" t="s">
        <v>1029</v>
      </c>
      <c r="F508" s="10" t="str">
        <f t="array" ref="F508">_xlfn.XLOOKUP(D508,'Referanc '!$A:$A,'Referanc '!$E:$E)</f>
        <v>M3</v>
      </c>
      <c r="G508" s="68">
        <v>256.0</v>
      </c>
      <c r="H508" s="68">
        <v>9.0</v>
      </c>
      <c r="I508" s="27">
        <v>0.0037</v>
      </c>
      <c r="J508" s="27">
        <v>0.0031</v>
      </c>
      <c r="K508" s="68">
        <v>342.0</v>
      </c>
      <c r="L508" s="68">
        <v>15.0</v>
      </c>
      <c r="M508" s="27">
        <v>0.0037</v>
      </c>
      <c r="N508" s="27">
        <v>0.0038</v>
      </c>
      <c r="O508" s="27">
        <v>0.887</v>
      </c>
      <c r="P508" s="27">
        <v>1.0</v>
      </c>
      <c r="Q508" s="68">
        <v>3.0</v>
      </c>
      <c r="R508" s="68">
        <v>0.0</v>
      </c>
      <c r="S508" s="27">
        <v>0.0117</v>
      </c>
      <c r="T508" s="27">
        <v>0.0</v>
      </c>
      <c r="U508" s="197">
        <v>46650.0</v>
      </c>
      <c r="V508" s="197">
        <v>0.0</v>
      </c>
      <c r="W508" s="68">
        <v>3.0</v>
      </c>
      <c r="X508" s="68">
        <v>0.0</v>
      </c>
    </row>
    <row r="509" ht="15.75" customHeight="1">
      <c r="A509" s="3" t="s">
        <v>61</v>
      </c>
      <c r="B509" s="10" t="str">
        <f t="array" ref="B509">_xlfn.XLOOKUP(D509,'Referanc '!$A:$A,'Referanc '!$B:$B)</f>
        <v>Standing Table - All Frames</v>
      </c>
      <c r="C509" s="68" t="s">
        <v>387</v>
      </c>
      <c r="D509" s="68" t="s">
        <v>387</v>
      </c>
      <c r="E509" s="68" t="s">
        <v>1213</v>
      </c>
      <c r="F509" s="10" t="str">
        <f t="array" ref="F509">_xlfn.XLOOKUP(D509,'Referanc '!$A:$A,'Referanc '!$E:$E)</f>
        <v>E1A</v>
      </c>
      <c r="G509" s="68">
        <v>557.0</v>
      </c>
      <c r="H509" s="68">
        <v>34.0</v>
      </c>
      <c r="I509" s="27">
        <v>0.008</v>
      </c>
      <c r="J509" s="27">
        <v>0.0118</v>
      </c>
      <c r="K509" s="68">
        <v>820.0</v>
      </c>
      <c r="L509" s="68">
        <v>58.0</v>
      </c>
      <c r="M509" s="27">
        <v>0.0088</v>
      </c>
      <c r="N509" s="27">
        <v>0.0149</v>
      </c>
      <c r="O509" s="27">
        <v>0.9297</v>
      </c>
      <c r="P509" s="27">
        <v>0.9688</v>
      </c>
      <c r="Q509" s="68">
        <v>3.0</v>
      </c>
      <c r="R509" s="68">
        <v>0.0</v>
      </c>
      <c r="S509" s="27">
        <v>0.0054</v>
      </c>
      <c r="T509" s="27">
        <v>0.0</v>
      </c>
      <c r="U509" s="197">
        <v>77997.0</v>
      </c>
      <c r="V509" s="197">
        <v>0.0</v>
      </c>
      <c r="W509" s="68">
        <v>3.0</v>
      </c>
      <c r="X509" s="68">
        <v>0.0</v>
      </c>
    </row>
    <row r="510" ht="15.75" customHeight="1">
      <c r="A510" s="3" t="s">
        <v>61</v>
      </c>
      <c r="B510" s="10" t="str">
        <f t="array" ref="B510">_xlfn.XLOOKUP(D510,'Referanc '!$A:$A,'Referanc '!$B:$B)</f>
        <v>Standing Table  - E4</v>
      </c>
      <c r="C510" s="68" t="s">
        <v>396</v>
      </c>
      <c r="D510" s="68" t="s">
        <v>396</v>
      </c>
      <c r="E510" s="68" t="s">
        <v>1277</v>
      </c>
      <c r="F510" s="10" t="str">
        <f t="array" ref="F510">_xlfn.XLOOKUP(D510,'Referanc '!$A:$A,'Referanc '!$E:$E)</f>
        <v>E4</v>
      </c>
      <c r="G510" s="68">
        <v>471.0</v>
      </c>
      <c r="H510" s="68">
        <v>18.0</v>
      </c>
      <c r="I510" s="27">
        <v>0.0068</v>
      </c>
      <c r="J510" s="27">
        <v>0.0063</v>
      </c>
      <c r="K510" s="68">
        <v>562.0</v>
      </c>
      <c r="L510" s="68">
        <v>23.0</v>
      </c>
      <c r="M510" s="27">
        <v>0.0061</v>
      </c>
      <c r="N510" s="27">
        <v>0.0059</v>
      </c>
      <c r="O510" s="27">
        <v>0.8281</v>
      </c>
      <c r="P510" s="27">
        <v>0.8571</v>
      </c>
      <c r="Q510" s="68">
        <v>3.0</v>
      </c>
      <c r="R510" s="68">
        <v>0.0</v>
      </c>
      <c r="S510" s="27">
        <v>0.0064</v>
      </c>
      <c r="T510" s="27">
        <v>0.0</v>
      </c>
      <c r="U510" s="197">
        <v>84750.0</v>
      </c>
      <c r="V510" s="197">
        <v>0.0</v>
      </c>
      <c r="W510" s="68">
        <v>3.0</v>
      </c>
      <c r="X510" s="68">
        <v>0.0</v>
      </c>
    </row>
    <row r="511" ht="15.75" customHeight="1">
      <c r="A511" s="3" t="s">
        <v>61</v>
      </c>
      <c r="B511" s="10" t="str">
        <f t="array" ref="B511">_xlfn.XLOOKUP(D511,'Referanc '!$A:$A,'Referanc '!$B:$B)</f>
        <v>Standing Table  - E4</v>
      </c>
      <c r="C511" s="68" t="s">
        <v>388</v>
      </c>
      <c r="D511" s="68" t="s">
        <v>388</v>
      </c>
      <c r="E511" s="68" t="s">
        <v>1278</v>
      </c>
      <c r="F511" s="10" t="str">
        <f t="array" ref="F511">_xlfn.XLOOKUP(D511,'Referanc '!$A:$A,'Referanc '!$E:$E)</f>
        <v>E4</v>
      </c>
      <c r="G511" s="68">
        <v>381.0</v>
      </c>
      <c r="H511" s="68">
        <v>21.0</v>
      </c>
      <c r="I511" s="27">
        <v>0.0055</v>
      </c>
      <c r="J511" s="27">
        <v>0.0073</v>
      </c>
      <c r="K511" s="68">
        <v>492.0</v>
      </c>
      <c r="L511" s="68">
        <v>29.0</v>
      </c>
      <c r="M511" s="27">
        <v>0.0053</v>
      </c>
      <c r="N511" s="27">
        <v>0.0074</v>
      </c>
      <c r="O511" s="27">
        <v>0.8841</v>
      </c>
      <c r="P511" s="27">
        <v>0.9167</v>
      </c>
      <c r="Q511" s="68">
        <v>3.0</v>
      </c>
      <c r="R511" s="68">
        <v>1.0</v>
      </c>
      <c r="S511" s="27">
        <v>0.0079</v>
      </c>
      <c r="T511" s="27">
        <v>0.0476</v>
      </c>
      <c r="U511" s="197">
        <v>80258.48</v>
      </c>
      <c r="V511" s="197">
        <v>27254.24</v>
      </c>
      <c r="W511" s="68">
        <v>3.0</v>
      </c>
      <c r="X511" s="68">
        <v>1.0</v>
      </c>
    </row>
    <row r="512" ht="15.75" customHeight="1">
      <c r="A512" s="3" t="s">
        <v>61</v>
      </c>
      <c r="B512" s="10" t="str">
        <f t="array" ref="B512">_xlfn.XLOOKUP(D512,'Referanc '!$A:$A,'Referanc '!$B:$B)</f>
        <v>Standing Table  - E4</v>
      </c>
      <c r="C512" s="68" t="s">
        <v>398</v>
      </c>
      <c r="D512" s="68" t="s">
        <v>398</v>
      </c>
      <c r="E512" s="68" t="s">
        <v>1279</v>
      </c>
      <c r="F512" s="10" t="str">
        <f t="array" ref="F512">_xlfn.XLOOKUP(D512,'Referanc '!$A:$A,'Referanc '!$E:$E)</f>
        <v>E4</v>
      </c>
      <c r="G512" s="68">
        <v>560.0</v>
      </c>
      <c r="H512" s="68">
        <v>21.0</v>
      </c>
      <c r="I512" s="27">
        <v>0.008</v>
      </c>
      <c r="J512" s="27">
        <v>0.0073</v>
      </c>
      <c r="K512" s="68">
        <v>660.0</v>
      </c>
      <c r="L512" s="68">
        <v>29.0</v>
      </c>
      <c r="M512" s="27">
        <v>0.0071</v>
      </c>
      <c r="N512" s="27">
        <v>0.0074</v>
      </c>
      <c r="O512" s="27">
        <v>0.8591</v>
      </c>
      <c r="P512" s="27">
        <v>0.9231</v>
      </c>
      <c r="Q512" s="68">
        <v>3.0</v>
      </c>
      <c r="R512" s="68">
        <v>0.0</v>
      </c>
      <c r="S512" s="27">
        <v>0.0054</v>
      </c>
      <c r="T512" s="27">
        <v>0.0</v>
      </c>
      <c r="U512" s="197">
        <v>87004.24</v>
      </c>
      <c r="V512" s="197">
        <v>0.0</v>
      </c>
      <c r="W512" s="68">
        <v>3.0</v>
      </c>
      <c r="X512" s="68">
        <v>0.0</v>
      </c>
    </row>
    <row r="513" ht="15.75" customHeight="1">
      <c r="A513" s="3" t="s">
        <v>61</v>
      </c>
      <c r="B513" s="10" t="str">
        <f t="array" ref="B513">_xlfn.XLOOKUP(D513,'Referanc '!$A:$A,'Referanc '!$B:$B)</f>
        <v>Monitor Arm Stand</v>
      </c>
      <c r="C513" s="68" t="s">
        <v>355</v>
      </c>
      <c r="D513" s="68" t="s">
        <v>355</v>
      </c>
      <c r="E513" s="68" t="s">
        <v>1280</v>
      </c>
      <c r="F513" s="10" t="str">
        <f t="array" ref="F513">_xlfn.XLOOKUP(D513,'Referanc '!$A:$A,'Referanc '!$E:$E)</f>
        <v>Monitor Arm Stand</v>
      </c>
      <c r="G513" s="68">
        <v>627.0</v>
      </c>
      <c r="H513" s="68">
        <v>26.0</v>
      </c>
      <c r="I513" s="27">
        <v>0.009</v>
      </c>
      <c r="J513" s="27">
        <v>0.0091</v>
      </c>
      <c r="K513" s="68">
        <v>820.0</v>
      </c>
      <c r="L513" s="68">
        <v>35.0</v>
      </c>
      <c r="M513" s="27">
        <v>0.0088</v>
      </c>
      <c r="N513" s="27">
        <v>0.009</v>
      </c>
      <c r="O513" s="27">
        <v>0.8948</v>
      </c>
      <c r="P513" s="27">
        <v>0.9375</v>
      </c>
      <c r="Q513" s="68">
        <v>3.0</v>
      </c>
      <c r="R513" s="68">
        <v>0.0</v>
      </c>
      <c r="S513" s="27">
        <v>0.0048</v>
      </c>
      <c r="T513" s="27">
        <v>0.0</v>
      </c>
      <c r="U513" s="197">
        <v>24250.0</v>
      </c>
      <c r="V513" s="197">
        <v>0.0</v>
      </c>
      <c r="W513" s="68">
        <v>3.0</v>
      </c>
      <c r="X513" s="68">
        <v>0.0</v>
      </c>
    </row>
    <row r="514" ht="15.75" customHeight="1">
      <c r="A514" s="3" t="s">
        <v>61</v>
      </c>
      <c r="B514" s="10" t="str">
        <f t="array" ref="B514">_xlfn.XLOOKUP(D514,'Referanc '!$A:$A,'Referanc '!$B:$B)</f>
        <v>Monitor Stand </v>
      </c>
      <c r="C514" s="68" t="s">
        <v>316</v>
      </c>
      <c r="D514" s="68" t="s">
        <v>316</v>
      </c>
      <c r="E514" s="68" t="s">
        <v>1281</v>
      </c>
      <c r="F514" s="10" t="str">
        <f t="array" ref="F514">_xlfn.XLOOKUP(D514,'Referanc '!$A:$A,'Referanc '!$E:$E)</f>
        <v> Monitor Stand</v>
      </c>
      <c r="G514" s="68">
        <v>139.0</v>
      </c>
      <c r="H514" s="68">
        <v>3.0</v>
      </c>
      <c r="I514" s="27">
        <v>0.002</v>
      </c>
      <c r="J514" s="27">
        <v>0.001</v>
      </c>
      <c r="K514" s="68">
        <v>212.0</v>
      </c>
      <c r="L514" s="68">
        <v>8.0</v>
      </c>
      <c r="M514" s="27">
        <v>0.0023</v>
      </c>
      <c r="N514" s="27">
        <v>0.002</v>
      </c>
      <c r="O514" s="27">
        <v>1.0</v>
      </c>
      <c r="P514" s="27">
        <v>1.0</v>
      </c>
      <c r="Q514" s="68">
        <v>2.0</v>
      </c>
      <c r="R514" s="68">
        <v>0.0</v>
      </c>
      <c r="S514" s="27">
        <v>0.0144</v>
      </c>
      <c r="T514" s="27">
        <v>0.0</v>
      </c>
      <c r="U514" s="197">
        <v>3600.0</v>
      </c>
      <c r="V514" s="197">
        <v>0.0</v>
      </c>
      <c r="W514" s="68">
        <v>2.0</v>
      </c>
      <c r="X514" s="68">
        <v>0.0</v>
      </c>
    </row>
    <row r="515" ht="15.75" customHeight="1">
      <c r="A515" s="3" t="s">
        <v>61</v>
      </c>
      <c r="B515" s="10" t="s">
        <v>241</v>
      </c>
      <c r="C515" s="68" t="s">
        <v>339</v>
      </c>
      <c r="D515" s="68" t="s">
        <v>339</v>
      </c>
      <c r="E515" s="68" t="s">
        <v>547</v>
      </c>
      <c r="F515" s="10" t="str">
        <f t="array" ref="F515">_xlfn.XLOOKUP(D515,'Referanc '!$A:$A,'Referanc '!$E:$E)</f>
        <v>Anti Fatigue Mat</v>
      </c>
      <c r="G515" s="68">
        <v>125.0</v>
      </c>
      <c r="H515" s="68">
        <v>12.0</v>
      </c>
      <c r="I515" s="27">
        <v>0.0018</v>
      </c>
      <c r="J515" s="27">
        <v>0.0042</v>
      </c>
      <c r="K515" s="68">
        <v>154.0</v>
      </c>
      <c r="L515" s="68">
        <v>18.0</v>
      </c>
      <c r="M515" s="27">
        <v>0.0017</v>
      </c>
      <c r="N515" s="27">
        <v>0.0046</v>
      </c>
      <c r="O515" s="27">
        <v>1.0</v>
      </c>
      <c r="P515" s="27">
        <v>1.0</v>
      </c>
      <c r="Q515" s="68">
        <v>2.0</v>
      </c>
      <c r="R515" s="68">
        <v>0.0</v>
      </c>
      <c r="S515" s="27">
        <v>0.016</v>
      </c>
      <c r="T515" s="27">
        <v>0.0</v>
      </c>
      <c r="U515" s="197">
        <v>6800.0</v>
      </c>
      <c r="V515" s="197">
        <v>0.0</v>
      </c>
      <c r="W515" s="68">
        <v>2.0</v>
      </c>
      <c r="X515" s="68">
        <v>0.0</v>
      </c>
    </row>
    <row r="516" ht="15.75" customHeight="1">
      <c r="A516" s="3" t="s">
        <v>61</v>
      </c>
      <c r="B516" s="10" t="str">
        <f t="array" ref="B516">_xlfn.XLOOKUP(D516,'Referanc '!$A:$A,'Referanc '!$B:$B)</f>
        <v>Standing Desk Converter</v>
      </c>
      <c r="C516" s="68" t="s">
        <v>326</v>
      </c>
      <c r="D516" s="68" t="s">
        <v>326</v>
      </c>
      <c r="E516" s="68" t="s">
        <v>1149</v>
      </c>
      <c r="F516" s="10" t="str">
        <f t="array" ref="F516">_xlfn.XLOOKUP(D516,'Referanc '!$A:$A,'Referanc '!$E:$E)</f>
        <v>Standing Desk Converter</v>
      </c>
      <c r="G516" s="68">
        <v>508.0</v>
      </c>
      <c r="H516" s="68">
        <v>29.0</v>
      </c>
      <c r="I516" s="27">
        <v>0.0073</v>
      </c>
      <c r="J516" s="27">
        <v>0.0101</v>
      </c>
      <c r="K516" s="68">
        <v>730.0</v>
      </c>
      <c r="L516" s="68">
        <v>41.0</v>
      </c>
      <c r="M516" s="27">
        <v>0.0079</v>
      </c>
      <c r="N516" s="27">
        <v>0.0105</v>
      </c>
      <c r="O516" s="27">
        <v>0.8781</v>
      </c>
      <c r="P516" s="27">
        <v>1.0</v>
      </c>
      <c r="Q516" s="68">
        <v>2.0</v>
      </c>
      <c r="R516" s="68">
        <v>2.0</v>
      </c>
      <c r="S516" s="27">
        <v>0.0039</v>
      </c>
      <c r="T516" s="27">
        <v>0.069</v>
      </c>
      <c r="U516" s="197">
        <v>13990.0</v>
      </c>
      <c r="V516" s="197">
        <v>13990.0</v>
      </c>
      <c r="W516" s="68">
        <v>2.0</v>
      </c>
      <c r="X516" s="68">
        <v>2.0</v>
      </c>
    </row>
    <row r="517" ht="15.75" customHeight="1">
      <c r="A517" s="3" t="s">
        <v>61</v>
      </c>
      <c r="B517" s="10" t="str">
        <f t="array" ref="B517">_xlfn.XLOOKUP(D517,'Referanc '!$A:$A,'Referanc '!$B:$B)</f>
        <v>Standing Table  - E3</v>
      </c>
      <c r="C517" s="68" t="s">
        <v>376</v>
      </c>
      <c r="D517" s="68" t="s">
        <v>376</v>
      </c>
      <c r="E517" s="68" t="s">
        <v>1157</v>
      </c>
      <c r="F517" s="10" t="str">
        <f t="array" ref="F517">_xlfn.XLOOKUP(D517,'Referanc '!$A:$A,'Referanc '!$E:$E)</f>
        <v>E3</v>
      </c>
      <c r="G517" s="196">
        <v>1102.0</v>
      </c>
      <c r="H517" s="68">
        <v>40.0</v>
      </c>
      <c r="I517" s="27">
        <v>0.0158</v>
      </c>
      <c r="J517" s="27">
        <v>0.0139</v>
      </c>
      <c r="K517" s="196">
        <v>1347.0</v>
      </c>
      <c r="L517" s="68">
        <v>47.0</v>
      </c>
      <c r="M517" s="27">
        <v>0.0145</v>
      </c>
      <c r="N517" s="27">
        <v>0.012</v>
      </c>
      <c r="O517" s="27">
        <v>0.6833</v>
      </c>
      <c r="P517" s="27">
        <v>0.9167</v>
      </c>
      <c r="Q517" s="68">
        <v>2.0</v>
      </c>
      <c r="R517" s="68">
        <v>0.0</v>
      </c>
      <c r="S517" s="27">
        <v>0.0018</v>
      </c>
      <c r="T517" s="27">
        <v>0.0</v>
      </c>
      <c r="U517" s="197">
        <v>68800.0</v>
      </c>
      <c r="V517" s="197">
        <v>0.0</v>
      </c>
      <c r="W517" s="68">
        <v>2.0</v>
      </c>
      <c r="X517" s="68">
        <v>0.0</v>
      </c>
    </row>
    <row r="518" ht="15.75" customHeight="1">
      <c r="A518" s="3" t="s">
        <v>61</v>
      </c>
      <c r="B518" s="10" t="str">
        <f t="array" ref="B518">_xlfn.XLOOKUP(D518,'Referanc '!$A:$A,'Referanc '!$B:$B)</f>
        <v>Standing Table  - SM3</v>
      </c>
      <c r="C518" s="68" t="s">
        <v>379</v>
      </c>
      <c r="D518" s="68" t="s">
        <v>379</v>
      </c>
      <c r="E518" s="68" t="s">
        <v>1209</v>
      </c>
      <c r="F518" s="10" t="str">
        <f t="array" ref="F518">_xlfn.XLOOKUP(D518,'Referanc '!$A:$A,'Referanc '!$E:$E)</f>
        <v>SM3</v>
      </c>
      <c r="G518" s="68">
        <v>314.0</v>
      </c>
      <c r="H518" s="68">
        <v>19.0</v>
      </c>
      <c r="I518" s="27">
        <v>0.0045</v>
      </c>
      <c r="J518" s="27">
        <v>0.0066</v>
      </c>
      <c r="K518" s="68">
        <v>444.0</v>
      </c>
      <c r="L518" s="68">
        <v>42.0</v>
      </c>
      <c r="M518" s="27">
        <v>0.0048</v>
      </c>
      <c r="N518" s="27">
        <v>0.0108</v>
      </c>
      <c r="O518" s="27">
        <v>0.944</v>
      </c>
      <c r="P518" s="27">
        <v>0.8889</v>
      </c>
      <c r="Q518" s="68">
        <v>2.0</v>
      </c>
      <c r="R518" s="68">
        <v>0.0</v>
      </c>
      <c r="S518" s="27">
        <v>0.0064</v>
      </c>
      <c r="T518" s="27">
        <v>0.0</v>
      </c>
      <c r="U518" s="197">
        <v>44900.0</v>
      </c>
      <c r="V518" s="197">
        <v>0.0</v>
      </c>
      <c r="W518" s="68">
        <v>2.0</v>
      </c>
      <c r="X518" s="68">
        <v>0.0</v>
      </c>
    </row>
    <row r="519" ht="15.75" customHeight="1">
      <c r="A519" s="3" t="s">
        <v>61</v>
      </c>
      <c r="B519" s="10" t="str">
        <f t="array" ref="B519">_xlfn.XLOOKUP(D519,'Referanc '!$A:$A,'Referanc '!$B:$B)</f>
        <v>Standing Table  - E4</v>
      </c>
      <c r="C519" s="68" t="s">
        <v>375</v>
      </c>
      <c r="D519" s="68" t="s">
        <v>375</v>
      </c>
      <c r="E519" s="68" t="s">
        <v>1283</v>
      </c>
      <c r="F519" s="10" t="str">
        <f t="array" ref="F519">_xlfn.XLOOKUP(D519,'Referanc '!$A:$A,'Referanc '!$E:$E)</f>
        <v>E4</v>
      </c>
      <c r="G519" s="68">
        <v>339.0</v>
      </c>
      <c r="H519" s="68">
        <v>13.0</v>
      </c>
      <c r="I519" s="27">
        <v>0.0049</v>
      </c>
      <c r="J519" s="27">
        <v>0.0045</v>
      </c>
      <c r="K519" s="68">
        <v>435.0</v>
      </c>
      <c r="L519" s="68">
        <v>15.0</v>
      </c>
      <c r="M519" s="27">
        <v>0.0047</v>
      </c>
      <c r="N519" s="27">
        <v>0.0038</v>
      </c>
      <c r="O519" s="27">
        <v>0.8814</v>
      </c>
      <c r="P519" s="27">
        <v>1.0</v>
      </c>
      <c r="Q519" s="68">
        <v>2.0</v>
      </c>
      <c r="R519" s="68">
        <v>0.0</v>
      </c>
      <c r="S519" s="27">
        <v>0.0059</v>
      </c>
      <c r="T519" s="27">
        <v>0.0</v>
      </c>
      <c r="U519" s="197">
        <v>55450.0</v>
      </c>
      <c r="V519" s="197">
        <v>0.0</v>
      </c>
      <c r="W519" s="68">
        <v>2.0</v>
      </c>
      <c r="X519" s="68">
        <v>0.0</v>
      </c>
    </row>
    <row r="520" ht="15.75" customHeight="1">
      <c r="A520" s="3" t="s">
        <v>61</v>
      </c>
      <c r="B520" s="10" t="str">
        <f t="array" ref="B520">_xlfn.XLOOKUP(D520,'Referanc '!$A:$A,'Referanc '!$B:$B)</f>
        <v>Single Leg Gas</v>
      </c>
      <c r="C520" s="68" t="s">
        <v>332</v>
      </c>
      <c r="D520" s="68" t="s">
        <v>332</v>
      </c>
      <c r="E520" s="68" t="s">
        <v>1015</v>
      </c>
      <c r="F520" s="10" t="str">
        <f t="array" ref="F520">_xlfn.XLOOKUP(D520,'Referanc '!$A:$A,'Referanc '!$E:$E)</f>
        <v>Single Leg Gas</v>
      </c>
      <c r="G520" s="68">
        <v>38.0</v>
      </c>
      <c r="H520" s="68">
        <v>1.0</v>
      </c>
      <c r="I520" s="27">
        <v>5.0E-4</v>
      </c>
      <c r="J520" s="27">
        <v>3.0E-4</v>
      </c>
      <c r="K520" s="68">
        <v>51.0</v>
      </c>
      <c r="L520" s="68">
        <v>1.0</v>
      </c>
      <c r="M520" s="27">
        <v>5.0E-4</v>
      </c>
      <c r="N520" s="27">
        <v>3.0E-4</v>
      </c>
      <c r="O520" s="27">
        <v>0.8367</v>
      </c>
      <c r="P520" s="27">
        <v>1.0</v>
      </c>
      <c r="Q520" s="68">
        <v>1.0</v>
      </c>
      <c r="R520" s="68">
        <v>0.0</v>
      </c>
      <c r="S520" s="27">
        <v>0.0263</v>
      </c>
      <c r="T520" s="27">
        <v>0.0</v>
      </c>
      <c r="U520" s="197">
        <v>11600.0</v>
      </c>
      <c r="V520" s="197">
        <v>0.0</v>
      </c>
      <c r="W520" s="68">
        <v>1.0</v>
      </c>
      <c r="X520" s="68">
        <v>0.0</v>
      </c>
    </row>
    <row r="521" ht="15.75" customHeight="1">
      <c r="A521" s="3" t="s">
        <v>61</v>
      </c>
      <c r="B521" s="10" t="str">
        <f t="array" ref="B521">_xlfn.XLOOKUP(D521,'Referanc '!$A:$A,'Referanc '!$B:$B)</f>
        <v>Standing Desk Converter</v>
      </c>
      <c r="C521" s="68" t="s">
        <v>363</v>
      </c>
      <c r="D521" s="68" t="s">
        <v>363</v>
      </c>
      <c r="E521" s="68" t="s">
        <v>571</v>
      </c>
      <c r="F521" s="10" t="str">
        <f t="array" ref="F521">_xlfn.XLOOKUP(D521,'Referanc '!$A:$A,'Referanc '!$E:$E)</f>
        <v>Standing Desk Converter</v>
      </c>
      <c r="G521" s="68">
        <v>386.0</v>
      </c>
      <c r="H521" s="68">
        <v>10.0</v>
      </c>
      <c r="I521" s="27">
        <v>0.0055</v>
      </c>
      <c r="J521" s="27">
        <v>0.0035</v>
      </c>
      <c r="K521" s="68">
        <v>530.0</v>
      </c>
      <c r="L521" s="68">
        <v>10.0</v>
      </c>
      <c r="M521" s="27">
        <v>0.0057</v>
      </c>
      <c r="N521" s="27">
        <v>0.0026</v>
      </c>
      <c r="O521" s="27">
        <v>0.9074</v>
      </c>
      <c r="P521" s="27">
        <v>1.0</v>
      </c>
      <c r="Q521" s="68">
        <v>1.0</v>
      </c>
      <c r="R521" s="68">
        <v>0.0</v>
      </c>
      <c r="S521" s="27">
        <v>0.0026</v>
      </c>
      <c r="T521" s="27">
        <v>0.0</v>
      </c>
      <c r="U521" s="197">
        <v>8450.0</v>
      </c>
      <c r="V521" s="197">
        <v>0.0</v>
      </c>
      <c r="W521" s="68">
        <v>1.0</v>
      </c>
      <c r="X521" s="68">
        <v>0.0</v>
      </c>
    </row>
    <row r="522" ht="15.75" customHeight="1">
      <c r="A522" s="3" t="s">
        <v>61</v>
      </c>
      <c r="B522" s="10" t="str">
        <f t="array" ref="B522">_xlfn.XLOOKUP(D522,'Referanc '!$A:$A,'Referanc '!$B:$B)</f>
        <v>Standing Table  - E3</v>
      </c>
      <c r="C522" s="68" t="s">
        <v>381</v>
      </c>
      <c r="D522" s="68" t="s">
        <v>381</v>
      </c>
      <c r="E522" s="68" t="s">
        <v>1143</v>
      </c>
      <c r="F522" s="10" t="str">
        <f t="array" ref="F522">_xlfn.XLOOKUP(D522,'Referanc '!$A:$A,'Referanc '!$E:$E)</f>
        <v>E3</v>
      </c>
      <c r="G522" s="68">
        <v>180.0</v>
      </c>
      <c r="H522" s="68">
        <v>6.0</v>
      </c>
      <c r="I522" s="27">
        <v>0.0026</v>
      </c>
      <c r="J522" s="27">
        <v>0.0021</v>
      </c>
      <c r="K522" s="68">
        <v>213.0</v>
      </c>
      <c r="L522" s="68">
        <v>7.0</v>
      </c>
      <c r="M522" s="27">
        <v>0.0023</v>
      </c>
      <c r="N522" s="27">
        <v>0.0018</v>
      </c>
      <c r="O522" s="27">
        <v>0.8462</v>
      </c>
      <c r="P522" s="27">
        <v>0.4</v>
      </c>
      <c r="Q522" s="68">
        <v>1.0</v>
      </c>
      <c r="R522" s="68">
        <v>0.0</v>
      </c>
      <c r="S522" s="27">
        <v>0.0056</v>
      </c>
      <c r="T522" s="27">
        <v>0.0</v>
      </c>
      <c r="U522" s="197">
        <v>37900.0</v>
      </c>
      <c r="V522" s="197">
        <v>0.0</v>
      </c>
      <c r="W522" s="68">
        <v>1.0</v>
      </c>
      <c r="X522" s="68">
        <v>0.0</v>
      </c>
    </row>
    <row r="523" ht="15.75" customHeight="1">
      <c r="A523" s="3" t="s">
        <v>61</v>
      </c>
      <c r="B523" s="10" t="str">
        <f t="array" ref="B523">_xlfn.XLOOKUP(D523,'Referanc '!$A:$A,'Referanc '!$B:$B)</f>
        <v>Standing Table  - E3</v>
      </c>
      <c r="C523" s="68" t="s">
        <v>344</v>
      </c>
      <c r="D523" s="68" t="s">
        <v>344</v>
      </c>
      <c r="E523" s="68" t="s">
        <v>1154</v>
      </c>
      <c r="F523" s="10" t="str">
        <f t="array" ref="F523">_xlfn.XLOOKUP(D523,'Referanc '!$A:$A,'Referanc '!$E:$E)</f>
        <v>E3</v>
      </c>
      <c r="G523" s="68">
        <v>229.0</v>
      </c>
      <c r="H523" s="68">
        <v>13.0</v>
      </c>
      <c r="I523" s="27">
        <v>0.0033</v>
      </c>
      <c r="J523" s="27">
        <v>0.0045</v>
      </c>
      <c r="K523" s="68">
        <v>277.0</v>
      </c>
      <c r="L523" s="68">
        <v>15.0</v>
      </c>
      <c r="M523" s="27">
        <v>0.003</v>
      </c>
      <c r="N523" s="27">
        <v>0.0038</v>
      </c>
      <c r="O523" s="27">
        <v>0.8943</v>
      </c>
      <c r="P523" s="27">
        <v>0.9167</v>
      </c>
      <c r="Q523" s="68">
        <v>1.0</v>
      </c>
      <c r="R523" s="68">
        <v>0.0</v>
      </c>
      <c r="S523" s="27">
        <v>0.0044</v>
      </c>
      <c r="T523" s="27">
        <v>0.0</v>
      </c>
      <c r="U523" s="197">
        <v>37900.0</v>
      </c>
      <c r="V523" s="197">
        <v>0.0</v>
      </c>
      <c r="W523" s="68">
        <v>1.0</v>
      </c>
      <c r="X523" s="68">
        <v>0.0</v>
      </c>
    </row>
    <row r="524" ht="15.75" customHeight="1">
      <c r="A524" s="3" t="s">
        <v>61</v>
      </c>
      <c r="B524" s="10" t="s">
        <v>241</v>
      </c>
      <c r="C524" s="68" t="s">
        <v>337</v>
      </c>
      <c r="D524" s="68" t="s">
        <v>337</v>
      </c>
      <c r="E524" s="68" t="s">
        <v>545</v>
      </c>
      <c r="F524" s="10" t="str">
        <f t="array" ref="F524">_xlfn.XLOOKUP(D524,'Referanc '!$A:$A,'Referanc '!$E:$E)</f>
        <v>Footrest</v>
      </c>
      <c r="G524" s="68">
        <v>230.0</v>
      </c>
      <c r="H524" s="68">
        <v>4.0</v>
      </c>
      <c r="I524" s="27">
        <v>0.0033</v>
      </c>
      <c r="J524" s="27">
        <v>0.0014</v>
      </c>
      <c r="K524" s="68">
        <v>288.0</v>
      </c>
      <c r="L524" s="68">
        <v>4.0</v>
      </c>
      <c r="M524" s="27">
        <v>0.0031</v>
      </c>
      <c r="N524" s="27">
        <v>0.001</v>
      </c>
      <c r="O524" s="27">
        <v>1.0</v>
      </c>
      <c r="P524" s="27">
        <v>1.0</v>
      </c>
      <c r="Q524" s="68">
        <v>1.0</v>
      </c>
      <c r="R524" s="68">
        <v>0.0</v>
      </c>
      <c r="S524" s="27">
        <v>0.0043</v>
      </c>
      <c r="T524" s="27">
        <v>0.0</v>
      </c>
      <c r="U524" s="197">
        <v>3000.0</v>
      </c>
      <c r="V524" s="197">
        <v>0.0</v>
      </c>
      <c r="W524" s="68">
        <v>1.0</v>
      </c>
      <c r="X524" s="68">
        <v>0.0</v>
      </c>
    </row>
    <row r="525" ht="15.75" customHeight="1">
      <c r="A525" s="3" t="s">
        <v>61</v>
      </c>
      <c r="B525" s="10" t="str">
        <f t="array" ref="B525">_xlfn.XLOOKUP(D525,'Referanc '!$A:$A,'Referanc '!$B:$B)</f>
        <v>Standing Table  - E2</v>
      </c>
      <c r="C525" s="68" t="s">
        <v>392</v>
      </c>
      <c r="D525" s="68" t="s">
        <v>392</v>
      </c>
      <c r="E525" s="68" t="s">
        <v>670</v>
      </c>
      <c r="F525" s="10" t="str">
        <f t="array" ref="F525">_xlfn.XLOOKUP(D525,'Referanc '!$A:$A,'Referanc '!$E:$E)</f>
        <v>E2</v>
      </c>
      <c r="G525" s="68">
        <v>46.0</v>
      </c>
      <c r="H525" s="68">
        <v>7.0</v>
      </c>
      <c r="I525" s="27">
        <v>7.0E-4</v>
      </c>
      <c r="J525" s="27">
        <v>0.0024</v>
      </c>
      <c r="K525" s="68">
        <v>62.0</v>
      </c>
      <c r="L525" s="68">
        <v>12.0</v>
      </c>
      <c r="M525" s="27">
        <v>7.0E-4</v>
      </c>
      <c r="N525" s="27">
        <v>0.0031</v>
      </c>
      <c r="O525" s="27">
        <v>0.84</v>
      </c>
      <c r="P525" s="27">
        <v>1.0</v>
      </c>
      <c r="Q525" s="68">
        <v>1.0</v>
      </c>
      <c r="R525" s="68">
        <v>1.0</v>
      </c>
      <c r="S525" s="27">
        <v>0.0217</v>
      </c>
      <c r="T525" s="27">
        <v>0.1429</v>
      </c>
      <c r="U525" s="197">
        <v>35150.0</v>
      </c>
      <c r="V525" s="197">
        <v>35150.0</v>
      </c>
      <c r="W525" s="68">
        <v>1.0</v>
      </c>
      <c r="X525" s="68">
        <v>1.0</v>
      </c>
    </row>
    <row r="526" ht="15.75" customHeight="1">
      <c r="A526" s="3" t="s">
        <v>61</v>
      </c>
      <c r="B526" s="10" t="str">
        <f t="array" ref="B526">_xlfn.XLOOKUP(D526,'Referanc '!$A:$A,'Referanc '!$B:$B)</f>
        <v>Standing Table - All Frames</v>
      </c>
      <c r="C526" s="68" t="s">
        <v>420</v>
      </c>
      <c r="D526" s="68" t="s">
        <v>420</v>
      </c>
      <c r="E526" s="68" t="s">
        <v>668</v>
      </c>
      <c r="F526" s="10" t="str">
        <f t="array" ref="F526">_xlfn.XLOOKUP(D526,'Referanc '!$A:$A,'Referanc '!$E:$E)</f>
        <v>E2</v>
      </c>
      <c r="G526" s="68">
        <v>80.0</v>
      </c>
      <c r="H526" s="68">
        <v>3.0</v>
      </c>
      <c r="I526" s="27">
        <v>0.0011</v>
      </c>
      <c r="J526" s="27">
        <v>0.001</v>
      </c>
      <c r="K526" s="68">
        <v>105.0</v>
      </c>
      <c r="L526" s="68">
        <v>3.0</v>
      </c>
      <c r="M526" s="27">
        <v>0.0011</v>
      </c>
      <c r="N526" s="27">
        <v>8.0E-4</v>
      </c>
      <c r="O526" s="27">
        <v>0.9167</v>
      </c>
      <c r="P526" s="27">
        <v>1.0</v>
      </c>
      <c r="Q526" s="68">
        <v>1.0</v>
      </c>
      <c r="R526" s="68">
        <v>0.0</v>
      </c>
      <c r="S526" s="27">
        <v>0.0125</v>
      </c>
      <c r="T526" s="27">
        <v>0.0</v>
      </c>
      <c r="U526" s="197">
        <v>31000.0</v>
      </c>
      <c r="V526" s="197">
        <v>0.0</v>
      </c>
      <c r="W526" s="68">
        <v>1.0</v>
      </c>
      <c r="X526" s="68">
        <v>0.0</v>
      </c>
    </row>
    <row r="527" ht="15.75" customHeight="1">
      <c r="A527" s="3" t="s">
        <v>61</v>
      </c>
      <c r="B527" s="10" t="str">
        <f t="array" ref="B527">_xlfn.XLOOKUP(D527,'Referanc '!$A:$A,'Referanc '!$B:$B)</f>
        <v>Standing Table  - E1A</v>
      </c>
      <c r="C527" s="68" t="s">
        <v>354</v>
      </c>
      <c r="D527" s="68" t="s">
        <v>354</v>
      </c>
      <c r="E527" s="68" t="s">
        <v>1185</v>
      </c>
      <c r="F527" s="10" t="str">
        <f t="array" ref="F527">_xlfn.XLOOKUP(D527,'Referanc '!$A:$A,'Referanc '!$E:$E)</f>
        <v>E1A</v>
      </c>
      <c r="G527" s="68">
        <v>276.0</v>
      </c>
      <c r="H527" s="68">
        <v>16.0</v>
      </c>
      <c r="I527" s="27">
        <v>0.004</v>
      </c>
      <c r="J527" s="27">
        <v>0.0056</v>
      </c>
      <c r="K527" s="68">
        <v>394.0</v>
      </c>
      <c r="L527" s="68">
        <v>22.0</v>
      </c>
      <c r="M527" s="27">
        <v>0.0042</v>
      </c>
      <c r="N527" s="27">
        <v>0.0056</v>
      </c>
      <c r="O527" s="27">
        <v>0.907</v>
      </c>
      <c r="P527" s="27">
        <v>0.7857</v>
      </c>
      <c r="Q527" s="68">
        <v>1.0</v>
      </c>
      <c r="R527" s="68">
        <v>0.0</v>
      </c>
      <c r="S527" s="27">
        <v>0.0036</v>
      </c>
      <c r="T527" s="27">
        <v>0.0</v>
      </c>
      <c r="U527" s="197">
        <v>32320.0</v>
      </c>
      <c r="V527" s="197">
        <v>0.0</v>
      </c>
      <c r="W527" s="68">
        <v>1.0</v>
      </c>
      <c r="X527" s="68">
        <v>0.0</v>
      </c>
    </row>
    <row r="528" ht="15.75" customHeight="1">
      <c r="A528" s="3" t="s">
        <v>61</v>
      </c>
      <c r="B528" s="10" t="str">
        <f t="array" ref="B528">_xlfn.XLOOKUP(D528,'Referanc '!$A:$A,'Referanc '!$B:$B)</f>
        <v>Standing Table  - E1A</v>
      </c>
      <c r="C528" s="68" t="s">
        <v>359</v>
      </c>
      <c r="D528" s="68" t="s">
        <v>359</v>
      </c>
      <c r="E528" s="68" t="s">
        <v>1211</v>
      </c>
      <c r="F528" s="10" t="str">
        <f t="array" ref="F528">_xlfn.XLOOKUP(D528,'Referanc '!$A:$A,'Referanc '!$E:$E)</f>
        <v>E1A</v>
      </c>
      <c r="G528" s="68">
        <v>457.0</v>
      </c>
      <c r="H528" s="68">
        <v>20.0</v>
      </c>
      <c r="I528" s="27">
        <v>0.0066</v>
      </c>
      <c r="J528" s="27">
        <v>0.007</v>
      </c>
      <c r="K528" s="68">
        <v>592.0</v>
      </c>
      <c r="L528" s="68">
        <v>30.0</v>
      </c>
      <c r="M528" s="27">
        <v>0.0064</v>
      </c>
      <c r="N528" s="27">
        <v>0.0077</v>
      </c>
      <c r="O528" s="27">
        <v>0.8853</v>
      </c>
      <c r="P528" s="27">
        <v>1.0</v>
      </c>
      <c r="Q528" s="68">
        <v>1.0</v>
      </c>
      <c r="R528" s="68">
        <v>0.0</v>
      </c>
      <c r="S528" s="27">
        <v>0.0022</v>
      </c>
      <c r="T528" s="27">
        <v>0.0</v>
      </c>
      <c r="U528" s="197">
        <v>32400.0</v>
      </c>
      <c r="V528" s="197">
        <v>0.0</v>
      </c>
      <c r="W528" s="68">
        <v>1.0</v>
      </c>
      <c r="X528" s="68">
        <v>0.0</v>
      </c>
    </row>
    <row r="529" ht="15.75" customHeight="1">
      <c r="A529" s="3" t="s">
        <v>61</v>
      </c>
      <c r="B529" s="10" t="str">
        <f t="array" ref="B529">_xlfn.XLOOKUP(D529,'Referanc '!$A:$A,'Referanc '!$B:$B)</f>
        <v>Standing Table  - E1A</v>
      </c>
      <c r="C529" s="68" t="s">
        <v>371</v>
      </c>
      <c r="D529" s="68" t="s">
        <v>371</v>
      </c>
      <c r="E529" s="68" t="s">
        <v>1215</v>
      </c>
      <c r="F529" s="10" t="str">
        <f t="array" ref="F529">_xlfn.XLOOKUP(D529,'Referanc '!$A:$A,'Referanc '!$E:$E)</f>
        <v>E1A</v>
      </c>
      <c r="G529" s="68">
        <v>256.0</v>
      </c>
      <c r="H529" s="68">
        <v>12.0</v>
      </c>
      <c r="I529" s="27">
        <v>0.0037</v>
      </c>
      <c r="J529" s="27">
        <v>0.0042</v>
      </c>
      <c r="K529" s="68">
        <v>309.0</v>
      </c>
      <c r="L529" s="68">
        <v>14.0</v>
      </c>
      <c r="M529" s="27">
        <v>0.0033</v>
      </c>
      <c r="N529" s="27">
        <v>0.0036</v>
      </c>
      <c r="O529" s="27">
        <v>0.9091</v>
      </c>
      <c r="P529" s="27">
        <v>0.9</v>
      </c>
      <c r="Q529" s="68">
        <v>1.0</v>
      </c>
      <c r="R529" s="68">
        <v>1.0</v>
      </c>
      <c r="S529" s="27">
        <v>0.0039</v>
      </c>
      <c r="T529" s="27">
        <v>0.0833</v>
      </c>
      <c r="U529" s="197">
        <v>33320.0</v>
      </c>
      <c r="V529" s="197">
        <v>33320.0</v>
      </c>
      <c r="W529" s="68">
        <v>1.0</v>
      </c>
      <c r="X529" s="68">
        <v>1.0</v>
      </c>
    </row>
    <row r="530" ht="15.75" customHeight="1">
      <c r="A530" s="3" t="s">
        <v>61</v>
      </c>
      <c r="B530" s="10" t="str">
        <f t="array" ref="B530">_xlfn.XLOOKUP(D530,'Referanc '!$A:$A,'Referanc '!$B:$B)</f>
        <v>Standing Table  - E1A</v>
      </c>
      <c r="C530" s="68" t="s">
        <v>378</v>
      </c>
      <c r="D530" s="68" t="s">
        <v>378</v>
      </c>
      <c r="E530" s="68" t="s">
        <v>1239</v>
      </c>
      <c r="F530" s="10" t="str">
        <f t="array" ref="F530">_xlfn.XLOOKUP(D530,'Referanc '!$A:$A,'Referanc '!$E:$E)</f>
        <v>E1A</v>
      </c>
      <c r="G530" s="68">
        <v>468.0</v>
      </c>
      <c r="H530" s="68">
        <v>9.0</v>
      </c>
      <c r="I530" s="27">
        <v>0.0067</v>
      </c>
      <c r="J530" s="27">
        <v>0.0031</v>
      </c>
      <c r="K530" s="68">
        <v>608.0</v>
      </c>
      <c r="L530" s="68">
        <v>11.0</v>
      </c>
      <c r="M530" s="27">
        <v>0.0065</v>
      </c>
      <c r="N530" s="27">
        <v>0.0028</v>
      </c>
      <c r="O530" s="27">
        <v>0.753</v>
      </c>
      <c r="P530" s="27">
        <v>0.6667</v>
      </c>
      <c r="Q530" s="68">
        <v>1.0</v>
      </c>
      <c r="R530" s="68">
        <v>0.0</v>
      </c>
      <c r="S530" s="27">
        <v>0.0021</v>
      </c>
      <c r="T530" s="27">
        <v>0.0</v>
      </c>
      <c r="U530" s="197">
        <v>29900.0</v>
      </c>
      <c r="V530" s="197">
        <v>0.0</v>
      </c>
      <c r="W530" s="68">
        <v>1.0</v>
      </c>
      <c r="X530" s="68">
        <v>0.0</v>
      </c>
    </row>
    <row r="531" ht="15.75" customHeight="1">
      <c r="A531" s="3" t="s">
        <v>61</v>
      </c>
      <c r="B531" s="10" t="str">
        <f t="array" ref="B531">_xlfn.XLOOKUP(D531,'Referanc '!$A:$A,'Referanc '!$B:$B)</f>
        <v>Standing Table  - E1A</v>
      </c>
      <c r="C531" s="68" t="s">
        <v>385</v>
      </c>
      <c r="D531" s="68" t="s">
        <v>385</v>
      </c>
      <c r="E531" s="68" t="s">
        <v>1287</v>
      </c>
      <c r="F531" s="10" t="str">
        <f t="array" ref="F531">_xlfn.XLOOKUP(D531,'Referanc '!$A:$A,'Referanc '!$E:$E)</f>
        <v>E1A</v>
      </c>
      <c r="G531" s="68">
        <v>590.0</v>
      </c>
      <c r="H531" s="68">
        <v>34.0</v>
      </c>
      <c r="I531" s="27">
        <v>0.0085</v>
      </c>
      <c r="J531" s="27">
        <v>0.0118</v>
      </c>
      <c r="K531" s="68">
        <v>724.0</v>
      </c>
      <c r="L531" s="68">
        <v>39.0</v>
      </c>
      <c r="M531" s="27">
        <v>0.0078</v>
      </c>
      <c r="N531" s="27">
        <v>0.01</v>
      </c>
      <c r="O531" s="27">
        <v>0.8289</v>
      </c>
      <c r="P531" s="27">
        <v>0.9167</v>
      </c>
      <c r="Q531" s="68">
        <v>1.0</v>
      </c>
      <c r="R531" s="68">
        <v>0.0</v>
      </c>
      <c r="S531" s="27">
        <v>0.0017</v>
      </c>
      <c r="T531" s="27">
        <v>0.0</v>
      </c>
      <c r="U531" s="197">
        <v>32400.0</v>
      </c>
      <c r="V531" s="197">
        <v>0.0</v>
      </c>
      <c r="W531" s="68">
        <v>1.0</v>
      </c>
      <c r="X531" s="68">
        <v>0.0</v>
      </c>
    </row>
    <row r="532" ht="15.75" customHeight="1">
      <c r="A532" s="3" t="s">
        <v>61</v>
      </c>
      <c r="B532" s="10" t="str">
        <f t="array" ref="B532">_xlfn.XLOOKUP(D532,'Referanc '!$A:$A,'Referanc '!$B:$B)</f>
        <v>TABLE TOP</v>
      </c>
      <c r="C532" s="68" t="s">
        <v>357</v>
      </c>
      <c r="D532" s="68" t="s">
        <v>357</v>
      </c>
      <c r="E532" s="68" t="s">
        <v>535</v>
      </c>
      <c r="F532" s="10" t="str">
        <f t="array" ref="F532">_xlfn.XLOOKUP(D532,'Referanc '!$A:$A,'Referanc '!$E:$E)</f>
        <v>TABLE TOP</v>
      </c>
      <c r="G532" s="68">
        <v>205.0</v>
      </c>
      <c r="H532" s="68">
        <v>13.0</v>
      </c>
      <c r="I532" s="27">
        <v>0.0029</v>
      </c>
      <c r="J532" s="27">
        <v>0.0045</v>
      </c>
      <c r="K532" s="68">
        <v>246.0</v>
      </c>
      <c r="L532" s="68">
        <v>14.0</v>
      </c>
      <c r="M532" s="27">
        <v>0.0026</v>
      </c>
      <c r="N532" s="27">
        <v>0.0036</v>
      </c>
      <c r="O532" s="27">
        <v>0.726</v>
      </c>
      <c r="P532" s="27">
        <v>0.625</v>
      </c>
      <c r="Q532" s="68">
        <v>0.0</v>
      </c>
      <c r="R532" s="68">
        <v>0.0</v>
      </c>
      <c r="S532" s="27">
        <v>0.0</v>
      </c>
      <c r="T532" s="27">
        <v>0.0</v>
      </c>
      <c r="U532" s="197">
        <v>0.0</v>
      </c>
      <c r="V532" s="197">
        <v>0.0</v>
      </c>
      <c r="W532" s="68">
        <v>0.0</v>
      </c>
      <c r="X532" s="68">
        <v>0.0</v>
      </c>
    </row>
    <row r="533" ht="15.75" customHeight="1">
      <c r="A533" s="3" t="s">
        <v>61</v>
      </c>
      <c r="B533" s="10" t="str">
        <f t="array" ref="B533">_xlfn.XLOOKUP(D533,'Referanc '!$A:$A,'Referanc '!$B:$B)</f>
        <v>TABLE TOP</v>
      </c>
      <c r="C533" s="68" t="s">
        <v>323</v>
      </c>
      <c r="D533" s="68" t="s">
        <v>323</v>
      </c>
      <c r="E533" s="68" t="s">
        <v>1221</v>
      </c>
      <c r="F533" s="10" t="str">
        <f t="array" ref="F533">_xlfn.XLOOKUP(D533,'Referanc '!$A:$A,'Referanc '!$E:$E)</f>
        <v>TABLE TOP</v>
      </c>
      <c r="G533" s="196">
        <v>1065.0</v>
      </c>
      <c r="H533" s="68">
        <v>40.0</v>
      </c>
      <c r="I533" s="27">
        <v>0.0153</v>
      </c>
      <c r="J533" s="27">
        <v>0.0139</v>
      </c>
      <c r="K533" s="196">
        <v>1273.0</v>
      </c>
      <c r="L533" s="68">
        <v>49.0</v>
      </c>
      <c r="M533" s="27">
        <v>0.0137</v>
      </c>
      <c r="N533" s="27">
        <v>0.0126</v>
      </c>
      <c r="O533" s="27">
        <v>0.6992</v>
      </c>
      <c r="P533" s="27">
        <v>0.7895</v>
      </c>
      <c r="Q533" s="68">
        <v>0.0</v>
      </c>
      <c r="R533" s="68">
        <v>0.0</v>
      </c>
      <c r="S533" s="27">
        <v>0.0</v>
      </c>
      <c r="T533" s="27">
        <v>0.0</v>
      </c>
      <c r="U533" s="197">
        <v>0.0</v>
      </c>
      <c r="V533" s="197">
        <v>0.0</v>
      </c>
      <c r="W533" s="68">
        <v>0.0</v>
      </c>
      <c r="X533" s="68">
        <v>0.0</v>
      </c>
    </row>
    <row r="534" ht="15.75" customHeight="1">
      <c r="A534" s="3" t="s">
        <v>61</v>
      </c>
      <c r="B534" s="10" t="str">
        <f t="array" ref="B534">_xlfn.XLOOKUP(D534,'Referanc '!$A:$A,'Referanc '!$B:$B)</f>
        <v>TABLE TOP</v>
      </c>
      <c r="C534" s="68" t="s">
        <v>324</v>
      </c>
      <c r="D534" s="68" t="s">
        <v>324</v>
      </c>
      <c r="E534" s="68" t="s">
        <v>533</v>
      </c>
      <c r="F534" s="10" t="str">
        <f t="array" ref="F534">_xlfn.XLOOKUP(D534,'Referanc '!$A:$A,'Referanc '!$E:$E)</f>
        <v>TABLE TOP</v>
      </c>
      <c r="G534" s="68">
        <v>205.0</v>
      </c>
      <c r="H534" s="68">
        <v>12.0</v>
      </c>
      <c r="I534" s="27">
        <v>0.0029</v>
      </c>
      <c r="J534" s="27">
        <v>0.0042</v>
      </c>
      <c r="K534" s="68">
        <v>259.0</v>
      </c>
      <c r="L534" s="68">
        <v>12.0</v>
      </c>
      <c r="M534" s="27">
        <v>0.0028</v>
      </c>
      <c r="N534" s="27">
        <v>0.0031</v>
      </c>
      <c r="O534" s="27">
        <v>0.6996</v>
      </c>
      <c r="P534" s="27">
        <v>0.75</v>
      </c>
      <c r="Q534" s="68">
        <v>0.0</v>
      </c>
      <c r="R534" s="68">
        <v>0.0</v>
      </c>
      <c r="S534" s="27">
        <v>0.0</v>
      </c>
      <c r="T534" s="27">
        <v>0.0</v>
      </c>
      <c r="U534" s="197">
        <v>0.0</v>
      </c>
      <c r="V534" s="197">
        <v>0.0</v>
      </c>
      <c r="W534" s="68">
        <v>0.0</v>
      </c>
      <c r="X534" s="68">
        <v>0.0</v>
      </c>
    </row>
    <row r="535" ht="15.75" customHeight="1">
      <c r="A535" s="3" t="s">
        <v>61</v>
      </c>
      <c r="B535" s="10" t="str">
        <f t="array" ref="B535">_xlfn.XLOOKUP(D535,'Referanc '!$A:$A,'Referanc '!$B:$B)</f>
        <v>TABLE TOP</v>
      </c>
      <c r="C535" s="68" t="s">
        <v>350</v>
      </c>
      <c r="D535" s="68" t="s">
        <v>350</v>
      </c>
      <c r="E535" s="68" t="s">
        <v>531</v>
      </c>
      <c r="F535" s="10" t="str">
        <f t="array" ref="F535">_xlfn.XLOOKUP(D535,'Referanc '!$A:$A,'Referanc '!$E:$E)</f>
        <v>TABLE TOP</v>
      </c>
      <c r="G535" s="68">
        <v>213.0</v>
      </c>
      <c r="H535" s="68">
        <v>13.0</v>
      </c>
      <c r="I535" s="27">
        <v>0.0031</v>
      </c>
      <c r="J535" s="27">
        <v>0.0045</v>
      </c>
      <c r="K535" s="68">
        <v>247.0</v>
      </c>
      <c r="L535" s="68">
        <v>14.0</v>
      </c>
      <c r="M535" s="27">
        <v>0.0027</v>
      </c>
      <c r="N535" s="27">
        <v>0.0036</v>
      </c>
      <c r="O535" s="27">
        <v>0.8407</v>
      </c>
      <c r="P535" s="27">
        <v>0.5714</v>
      </c>
      <c r="Q535" s="68">
        <v>0.0</v>
      </c>
      <c r="R535" s="68">
        <v>0.0</v>
      </c>
      <c r="S535" s="27">
        <v>0.0</v>
      </c>
      <c r="T535" s="27">
        <v>0.0</v>
      </c>
      <c r="U535" s="197">
        <v>0.0</v>
      </c>
      <c r="V535" s="197">
        <v>0.0</v>
      </c>
      <c r="W535" s="68">
        <v>0.0</v>
      </c>
      <c r="X535" s="68">
        <v>0.0</v>
      </c>
    </row>
    <row r="536" ht="15.75" customHeight="1">
      <c r="A536" s="3" t="s">
        <v>61</v>
      </c>
      <c r="B536" s="10" t="str">
        <f t="array" ref="B536">_xlfn.XLOOKUP(D536,'Referanc '!$A:$A,'Referanc '!$B:$B)</f>
        <v>Standing Table  - M8</v>
      </c>
      <c r="C536" s="68" t="s">
        <v>414</v>
      </c>
      <c r="D536" s="68" t="s">
        <v>414</v>
      </c>
      <c r="E536" s="68" t="s">
        <v>1289</v>
      </c>
      <c r="F536" s="10" t="str">
        <f t="array" ref="F536">_xlfn.XLOOKUP(D536,'Referanc '!$A:$A,'Referanc '!$E:$E)</f>
        <v>M8</v>
      </c>
      <c r="G536" s="68">
        <v>3.0</v>
      </c>
      <c r="H536" s="68">
        <v>0.0</v>
      </c>
      <c r="I536" s="27">
        <v>0.0</v>
      </c>
      <c r="J536" s="27">
        <v>0.0</v>
      </c>
      <c r="K536" s="68">
        <v>3.0</v>
      </c>
      <c r="L536" s="68">
        <v>0.0</v>
      </c>
      <c r="M536" s="27">
        <v>0.0</v>
      </c>
      <c r="N536" s="27">
        <v>0.0</v>
      </c>
      <c r="O536" s="27">
        <v>1.0</v>
      </c>
      <c r="P536" s="27">
        <v>0.0</v>
      </c>
      <c r="Q536" s="68">
        <v>0.0</v>
      </c>
      <c r="R536" s="68">
        <v>0.0</v>
      </c>
      <c r="S536" s="27">
        <v>0.0</v>
      </c>
      <c r="T536" s="27">
        <v>0.0</v>
      </c>
      <c r="U536" s="197">
        <v>0.0</v>
      </c>
      <c r="V536" s="197">
        <v>0.0</v>
      </c>
      <c r="W536" s="68">
        <v>0.0</v>
      </c>
      <c r="X536" s="68">
        <v>0.0</v>
      </c>
    </row>
    <row r="537" ht="15.75" customHeight="1">
      <c r="A537" s="3" t="s">
        <v>61</v>
      </c>
      <c r="B537" s="10" t="str">
        <f t="array" ref="B537">_xlfn.XLOOKUP(D537,'Referanc '!$A:$A,'Referanc '!$B:$B)</f>
        <v>Standing Table  - M8</v>
      </c>
      <c r="C537" s="68" t="s">
        <v>415</v>
      </c>
      <c r="D537" s="68" t="s">
        <v>415</v>
      </c>
      <c r="E537" s="68" t="s">
        <v>1291</v>
      </c>
      <c r="F537" s="10" t="str">
        <f t="array" ref="F537">_xlfn.XLOOKUP(D537,'Referanc '!$A:$A,'Referanc '!$E:$E)</f>
        <v>M8</v>
      </c>
      <c r="G537" s="68">
        <v>3.0</v>
      </c>
      <c r="H537" s="68">
        <v>0.0</v>
      </c>
      <c r="I537" s="27">
        <v>0.0</v>
      </c>
      <c r="J537" s="27">
        <v>0.0</v>
      </c>
      <c r="K537" s="68">
        <v>4.0</v>
      </c>
      <c r="L537" s="68">
        <v>0.0</v>
      </c>
      <c r="M537" s="27">
        <v>0.0</v>
      </c>
      <c r="N537" s="27">
        <v>0.0</v>
      </c>
      <c r="O537" s="27">
        <v>1.0</v>
      </c>
      <c r="P537" s="27">
        <v>0.0</v>
      </c>
      <c r="Q537" s="68">
        <v>0.0</v>
      </c>
      <c r="R537" s="68">
        <v>0.0</v>
      </c>
      <c r="S537" s="27">
        <v>0.0</v>
      </c>
      <c r="T537" s="27">
        <v>0.0</v>
      </c>
      <c r="U537" s="197">
        <v>0.0</v>
      </c>
      <c r="V537" s="197">
        <v>0.0</v>
      </c>
      <c r="W537" s="68">
        <v>0.0</v>
      </c>
      <c r="X537" s="68">
        <v>0.0</v>
      </c>
    </row>
    <row r="538" ht="15.75" customHeight="1">
      <c r="A538" s="3" t="s">
        <v>61</v>
      </c>
      <c r="B538" s="10" t="str">
        <f t="array" ref="B538">_xlfn.XLOOKUP(D538,'Referanc '!$A:$A,'Referanc '!$B:$B)</f>
        <v>Standing Table  - M8</v>
      </c>
      <c r="C538" s="68" t="s">
        <v>417</v>
      </c>
      <c r="D538" s="68" t="s">
        <v>417</v>
      </c>
      <c r="E538" s="68" t="s">
        <v>1292</v>
      </c>
      <c r="F538" s="10" t="str">
        <f t="array" ref="F538">_xlfn.XLOOKUP(D538,'Referanc '!$A:$A,'Referanc '!$E:$E)</f>
        <v>M8</v>
      </c>
      <c r="G538" s="68">
        <v>14.0</v>
      </c>
      <c r="H538" s="68">
        <v>1.0</v>
      </c>
      <c r="I538" s="27">
        <v>2.0E-4</v>
      </c>
      <c r="J538" s="27">
        <v>3.0E-4</v>
      </c>
      <c r="K538" s="68">
        <v>15.0</v>
      </c>
      <c r="L538" s="68">
        <v>2.0</v>
      </c>
      <c r="M538" s="27">
        <v>2.0E-4</v>
      </c>
      <c r="N538" s="27">
        <v>5.0E-4</v>
      </c>
      <c r="O538" s="27">
        <v>0.8571</v>
      </c>
      <c r="P538" s="27">
        <v>0.0</v>
      </c>
      <c r="Q538" s="68">
        <v>0.0</v>
      </c>
      <c r="R538" s="68">
        <v>0.0</v>
      </c>
      <c r="S538" s="27">
        <v>0.0</v>
      </c>
      <c r="T538" s="27">
        <v>0.0</v>
      </c>
      <c r="U538" s="197">
        <v>0.0</v>
      </c>
      <c r="V538" s="197">
        <v>0.0</v>
      </c>
      <c r="W538" s="68">
        <v>0.0</v>
      </c>
      <c r="X538" s="68">
        <v>0.0</v>
      </c>
    </row>
    <row r="539" ht="15.75" customHeight="1">
      <c r="A539" s="3" t="s">
        <v>61</v>
      </c>
      <c r="B539" s="10" t="str">
        <f t="array" ref="B539">_xlfn.XLOOKUP(D539,'Referanc '!$A:$A,'Referanc '!$B:$B)</f>
        <v>Standing Table  - M8</v>
      </c>
      <c r="C539" s="68" t="s">
        <v>416</v>
      </c>
      <c r="D539" s="68" t="s">
        <v>416</v>
      </c>
      <c r="E539" s="68" t="s">
        <v>1189</v>
      </c>
      <c r="F539" s="10" t="str">
        <f t="array" ref="F539">_xlfn.XLOOKUP(D539,'Referanc '!$A:$A,'Referanc '!$E:$E)</f>
        <v>M8</v>
      </c>
      <c r="G539" s="68">
        <v>1.0</v>
      </c>
      <c r="H539" s="68">
        <v>0.0</v>
      </c>
      <c r="I539" s="27">
        <v>0.0</v>
      </c>
      <c r="J539" s="27">
        <v>0.0</v>
      </c>
      <c r="K539" s="68">
        <v>1.0</v>
      </c>
      <c r="L539" s="68">
        <v>0.0</v>
      </c>
      <c r="M539" s="27">
        <v>0.0</v>
      </c>
      <c r="N539" s="27">
        <v>0.0</v>
      </c>
      <c r="O539" s="27">
        <v>1.0</v>
      </c>
      <c r="P539" s="27">
        <v>0.0</v>
      </c>
      <c r="Q539" s="68">
        <v>0.0</v>
      </c>
      <c r="R539" s="68">
        <v>0.0</v>
      </c>
      <c r="S539" s="27">
        <v>0.0</v>
      </c>
      <c r="T539" s="27">
        <v>0.0</v>
      </c>
      <c r="U539" s="197">
        <v>0.0</v>
      </c>
      <c r="V539" s="197">
        <v>0.0</v>
      </c>
      <c r="W539" s="68">
        <v>0.0</v>
      </c>
      <c r="X539" s="68">
        <v>0.0</v>
      </c>
    </row>
    <row r="540" ht="15.75" customHeight="1">
      <c r="A540" s="3" t="s">
        <v>61</v>
      </c>
      <c r="B540" s="10" t="str">
        <f t="array" ref="B540">_xlfn.XLOOKUP(D540,'Referanc '!$A:$A,'Referanc '!$B:$B)</f>
        <v>Standing Table  - M8</v>
      </c>
      <c r="C540" s="68" t="s">
        <v>418</v>
      </c>
      <c r="D540" s="68" t="s">
        <v>418</v>
      </c>
      <c r="E540" s="68" t="s">
        <v>1293</v>
      </c>
      <c r="F540" s="10" t="str">
        <f t="array" ref="F540">_xlfn.XLOOKUP(D540,'Referanc '!$A:$A,'Referanc '!$E:$E)</f>
        <v>M8</v>
      </c>
      <c r="G540" s="68">
        <v>1.0</v>
      </c>
      <c r="H540" s="68">
        <v>0.0</v>
      </c>
      <c r="I540" s="27">
        <v>0.0</v>
      </c>
      <c r="J540" s="27">
        <v>0.0</v>
      </c>
      <c r="K540" s="68">
        <v>1.0</v>
      </c>
      <c r="L540" s="68">
        <v>0.0</v>
      </c>
      <c r="M540" s="27">
        <v>0.0</v>
      </c>
      <c r="N540" s="27">
        <v>0.0</v>
      </c>
      <c r="O540" s="27">
        <v>1.0</v>
      </c>
      <c r="P540" s="27">
        <v>0.0</v>
      </c>
      <c r="Q540" s="68">
        <v>0.0</v>
      </c>
      <c r="R540" s="68">
        <v>0.0</v>
      </c>
      <c r="S540" s="27">
        <v>0.0</v>
      </c>
      <c r="T540" s="27">
        <v>0.0</v>
      </c>
      <c r="U540" s="197">
        <v>0.0</v>
      </c>
      <c r="V540" s="197">
        <v>0.0</v>
      </c>
      <c r="W540" s="68">
        <v>0.0</v>
      </c>
      <c r="X540" s="68">
        <v>0.0</v>
      </c>
    </row>
    <row r="541" ht="15.75" customHeight="1">
      <c r="A541" s="3" t="s">
        <v>61</v>
      </c>
      <c r="B541" s="10" t="str">
        <f t="array" ref="B541">_xlfn.XLOOKUP(D541,'Referanc '!$A:$A,'Referanc '!$B:$B)</f>
        <v>Single Leg Gas</v>
      </c>
      <c r="C541" s="68" t="s">
        <v>335</v>
      </c>
      <c r="D541" s="68" t="s">
        <v>335</v>
      </c>
      <c r="E541" s="68" t="s">
        <v>526</v>
      </c>
      <c r="F541" s="10" t="str">
        <f t="array" ref="F541">_xlfn.XLOOKUP(D541,'Referanc '!$A:$A,'Referanc '!$E:$E)</f>
        <v>Single Leg Gas</v>
      </c>
      <c r="G541" s="68">
        <v>14.0</v>
      </c>
      <c r="H541" s="68">
        <v>1.0</v>
      </c>
      <c r="I541" s="27">
        <v>2.0E-4</v>
      </c>
      <c r="J541" s="27">
        <v>3.0E-4</v>
      </c>
      <c r="K541" s="68">
        <v>20.0</v>
      </c>
      <c r="L541" s="68">
        <v>1.0</v>
      </c>
      <c r="M541" s="27">
        <v>2.0E-4</v>
      </c>
      <c r="N541" s="27">
        <v>3.0E-4</v>
      </c>
      <c r="O541" s="27">
        <v>0.8889</v>
      </c>
      <c r="P541" s="27">
        <v>1.0</v>
      </c>
      <c r="Q541" s="68">
        <v>0.0</v>
      </c>
      <c r="R541" s="68">
        <v>0.0</v>
      </c>
      <c r="S541" s="27">
        <v>0.0</v>
      </c>
      <c r="T541" s="27">
        <v>0.0</v>
      </c>
      <c r="U541" s="197">
        <v>0.0</v>
      </c>
      <c r="V541" s="197">
        <v>0.0</v>
      </c>
      <c r="W541" s="68">
        <v>0.0</v>
      </c>
      <c r="X541" s="68">
        <v>0.0</v>
      </c>
    </row>
    <row r="542" ht="15.75" customHeight="1">
      <c r="A542" s="3" t="s">
        <v>61</v>
      </c>
      <c r="B542" s="10" t="str">
        <f t="array" ref="B542">_xlfn.XLOOKUP(D542,'Referanc '!$A:$A,'Referanc '!$B:$B)</f>
        <v>Single Leg Gas</v>
      </c>
      <c r="C542" s="68" t="s">
        <v>362</v>
      </c>
      <c r="D542" s="68" t="s">
        <v>362</v>
      </c>
      <c r="E542" s="68" t="s">
        <v>610</v>
      </c>
      <c r="F542" s="10" t="str">
        <f t="array" ref="F542">_xlfn.XLOOKUP(D542,'Referanc '!$A:$A,'Referanc '!$E:$E)</f>
        <v>Single Leg Gas</v>
      </c>
      <c r="G542" s="68">
        <v>20.0</v>
      </c>
      <c r="H542" s="68">
        <v>0.0</v>
      </c>
      <c r="I542" s="27">
        <v>3.0E-4</v>
      </c>
      <c r="J542" s="27">
        <v>0.0</v>
      </c>
      <c r="K542" s="68">
        <v>22.0</v>
      </c>
      <c r="L542" s="68">
        <v>0.0</v>
      </c>
      <c r="M542" s="27">
        <v>2.0E-4</v>
      </c>
      <c r="N542" s="27">
        <v>0.0</v>
      </c>
      <c r="O542" s="27">
        <v>0.6667</v>
      </c>
      <c r="P542" s="27">
        <v>0.0</v>
      </c>
      <c r="Q542" s="68">
        <v>0.0</v>
      </c>
      <c r="R542" s="68">
        <v>0.0</v>
      </c>
      <c r="S542" s="27">
        <v>0.0</v>
      </c>
      <c r="T542" s="27">
        <v>0.0</v>
      </c>
      <c r="U542" s="197">
        <v>0.0</v>
      </c>
      <c r="V542" s="197">
        <v>0.0</v>
      </c>
      <c r="W542" s="68">
        <v>0.0</v>
      </c>
      <c r="X542" s="68">
        <v>0.0</v>
      </c>
    </row>
    <row r="543" ht="15.75" customHeight="1">
      <c r="A543" s="3" t="s">
        <v>61</v>
      </c>
      <c r="B543" s="10" t="str">
        <f t="array" ref="B543">_xlfn.XLOOKUP(D543,'Referanc '!$A:$A,'Referanc '!$B:$B)</f>
        <v>Laptop Riser</v>
      </c>
      <c r="C543" s="68" t="s">
        <v>347</v>
      </c>
      <c r="D543" s="68" t="s">
        <v>347</v>
      </c>
      <c r="E543" s="68" t="s">
        <v>693</v>
      </c>
      <c r="F543" s="10" t="str">
        <f t="array" ref="F543">_xlfn.XLOOKUP(D543,'Referanc '!$A:$A,'Referanc '!$E:$E)</f>
        <v>Laptop Stand</v>
      </c>
      <c r="G543" s="68">
        <v>13.0</v>
      </c>
      <c r="H543" s="68">
        <v>0.0</v>
      </c>
      <c r="I543" s="27">
        <v>2.0E-4</v>
      </c>
      <c r="J543" s="27">
        <v>0.0</v>
      </c>
      <c r="K543" s="68">
        <v>15.0</v>
      </c>
      <c r="L543" s="68">
        <v>0.0</v>
      </c>
      <c r="M543" s="27">
        <v>2.0E-4</v>
      </c>
      <c r="N543" s="27">
        <v>0.0</v>
      </c>
      <c r="O543" s="27">
        <v>0.8462</v>
      </c>
      <c r="P543" s="27">
        <v>0.0</v>
      </c>
      <c r="Q543" s="68">
        <v>0.0</v>
      </c>
      <c r="R543" s="68">
        <v>0.0</v>
      </c>
      <c r="S543" s="27">
        <v>0.0</v>
      </c>
      <c r="T543" s="27">
        <v>0.0</v>
      </c>
      <c r="U543" s="197">
        <v>0.0</v>
      </c>
      <c r="V543" s="197">
        <v>0.0</v>
      </c>
      <c r="W543" s="68">
        <v>0.0</v>
      </c>
      <c r="X543" s="68">
        <v>0.0</v>
      </c>
    </row>
    <row r="544" ht="15.75" customHeight="1">
      <c r="A544" s="3" t="s">
        <v>61</v>
      </c>
      <c r="B544" s="10" t="str">
        <f t="array" ref="B544">_xlfn.XLOOKUP(D544,'Referanc '!$A:$A,'Referanc '!$B:$B)</f>
        <v>Extension &amp; Holder</v>
      </c>
      <c r="C544" s="68" t="s">
        <v>336</v>
      </c>
      <c r="D544" s="68" t="s">
        <v>336</v>
      </c>
      <c r="E544" s="68" t="s">
        <v>695</v>
      </c>
      <c r="F544" s="10" t="str">
        <f t="array" ref="F544">_xlfn.XLOOKUP(D544,'Referanc '!$A:$A,'Referanc '!$E:$E)</f>
        <v>Extension &amp; Holder</v>
      </c>
      <c r="G544" s="68">
        <v>4.0</v>
      </c>
      <c r="H544" s="68">
        <v>0.0</v>
      </c>
      <c r="I544" s="27">
        <v>1.0E-4</v>
      </c>
      <c r="J544" s="27">
        <v>0.0</v>
      </c>
      <c r="K544" s="68">
        <v>8.0</v>
      </c>
      <c r="L544" s="68">
        <v>0.0</v>
      </c>
      <c r="M544" s="27">
        <v>1.0E-4</v>
      </c>
      <c r="N544" s="27">
        <v>0.0</v>
      </c>
      <c r="O544" s="27">
        <v>0.7143</v>
      </c>
      <c r="P544" s="27">
        <v>0.0</v>
      </c>
      <c r="Q544" s="68">
        <v>0.0</v>
      </c>
      <c r="R544" s="68">
        <v>0.0</v>
      </c>
      <c r="S544" s="27">
        <v>0.0</v>
      </c>
      <c r="T544" s="27">
        <v>0.0</v>
      </c>
      <c r="U544" s="197">
        <v>0.0</v>
      </c>
      <c r="V544" s="197">
        <v>0.0</v>
      </c>
      <c r="W544" s="68">
        <v>0.0</v>
      </c>
      <c r="X544" s="68">
        <v>0.0</v>
      </c>
    </row>
    <row r="545" ht="15.75" customHeight="1">
      <c r="A545" s="3" t="s">
        <v>61</v>
      </c>
      <c r="B545" s="10" t="str">
        <f t="array" ref="B545">_xlfn.XLOOKUP(D545,'Referanc '!$A:$A,'Referanc '!$B:$B)</f>
        <v>Standing Table  - E2</v>
      </c>
      <c r="C545" s="68" t="s">
        <v>390</v>
      </c>
      <c r="D545" s="68" t="s">
        <v>390</v>
      </c>
      <c r="E545" s="68" t="s">
        <v>1182</v>
      </c>
      <c r="F545" s="10" t="str">
        <f t="array" ref="F545">_xlfn.XLOOKUP(D545,'Referanc '!$A:$A,'Referanc '!$E:$E)</f>
        <v>E2</v>
      </c>
      <c r="G545" s="68">
        <v>26.0</v>
      </c>
      <c r="H545" s="68">
        <v>3.0</v>
      </c>
      <c r="I545" s="27">
        <v>4.0E-4</v>
      </c>
      <c r="J545" s="27">
        <v>0.001</v>
      </c>
      <c r="K545" s="68">
        <v>32.0</v>
      </c>
      <c r="L545" s="68">
        <v>4.0</v>
      </c>
      <c r="M545" s="27">
        <v>3.0E-4</v>
      </c>
      <c r="N545" s="27">
        <v>0.001</v>
      </c>
      <c r="O545" s="27">
        <v>0.72</v>
      </c>
      <c r="P545" s="27">
        <v>1.0</v>
      </c>
      <c r="Q545" s="68">
        <v>0.0</v>
      </c>
      <c r="R545" s="68">
        <v>0.0</v>
      </c>
      <c r="S545" s="27">
        <v>0.0</v>
      </c>
      <c r="T545" s="27">
        <v>0.0</v>
      </c>
      <c r="U545" s="197">
        <v>0.0</v>
      </c>
      <c r="V545" s="197">
        <v>0.0</v>
      </c>
      <c r="W545" s="68">
        <v>0.0</v>
      </c>
      <c r="X545" s="68">
        <v>0.0</v>
      </c>
    </row>
    <row r="546" ht="15.75" customHeight="1">
      <c r="A546" s="3" t="s">
        <v>61</v>
      </c>
      <c r="B546" s="10" t="str">
        <f t="array" ref="B546">_xlfn.XLOOKUP(D546,'Referanc '!$A:$A,'Referanc '!$B:$B)</f>
        <v>Standing Table  - E2</v>
      </c>
      <c r="C546" s="68" t="s">
        <v>393</v>
      </c>
      <c r="D546" s="68" t="s">
        <v>393</v>
      </c>
      <c r="E546" s="68" t="s">
        <v>1163</v>
      </c>
      <c r="F546" s="10" t="str">
        <f t="array" ref="F546">_xlfn.XLOOKUP(D546,'Referanc '!$A:$A,'Referanc '!$E:$E)</f>
        <v>E2</v>
      </c>
      <c r="G546" s="68">
        <v>24.0</v>
      </c>
      <c r="H546" s="68">
        <v>2.0</v>
      </c>
      <c r="I546" s="27">
        <v>3.0E-4</v>
      </c>
      <c r="J546" s="27">
        <v>7.0E-4</v>
      </c>
      <c r="K546" s="68">
        <v>28.0</v>
      </c>
      <c r="L546" s="68">
        <v>2.0</v>
      </c>
      <c r="M546" s="27">
        <v>3.0E-4</v>
      </c>
      <c r="N546" s="27">
        <v>5.0E-4</v>
      </c>
      <c r="O546" s="27">
        <v>0.9167</v>
      </c>
      <c r="P546" s="27">
        <v>1.0</v>
      </c>
      <c r="Q546" s="68">
        <v>0.0</v>
      </c>
      <c r="R546" s="68">
        <v>0.0</v>
      </c>
      <c r="S546" s="27">
        <v>0.0</v>
      </c>
      <c r="T546" s="27">
        <v>0.0</v>
      </c>
      <c r="U546" s="197">
        <v>0.0</v>
      </c>
      <c r="V546" s="197">
        <v>0.0</v>
      </c>
      <c r="W546" s="68">
        <v>0.0</v>
      </c>
      <c r="X546" s="68">
        <v>0.0</v>
      </c>
    </row>
    <row r="547" ht="15.75" customHeight="1">
      <c r="A547" s="3" t="s">
        <v>61</v>
      </c>
      <c r="B547" s="10" t="str">
        <f t="array" ref="B547">_xlfn.XLOOKUP(D547,'Referanc '!$A:$A,'Referanc '!$B:$B)</f>
        <v>Standing Table  - E2</v>
      </c>
      <c r="C547" s="68" t="s">
        <v>394</v>
      </c>
      <c r="D547" s="68" t="s">
        <v>394</v>
      </c>
      <c r="E547" s="68" t="s">
        <v>672</v>
      </c>
      <c r="F547" s="10" t="str">
        <f t="array" ref="F547">_xlfn.XLOOKUP(D547,'Referanc '!$A:$A,'Referanc '!$E:$E)</f>
        <v>E2</v>
      </c>
      <c r="G547" s="68">
        <v>40.0</v>
      </c>
      <c r="H547" s="68">
        <v>3.0</v>
      </c>
      <c r="I547" s="27">
        <v>6.0E-4</v>
      </c>
      <c r="J547" s="27">
        <v>0.001</v>
      </c>
      <c r="K547" s="68">
        <v>54.0</v>
      </c>
      <c r="L547" s="68">
        <v>3.0</v>
      </c>
      <c r="M547" s="27">
        <v>6.0E-4</v>
      </c>
      <c r="N547" s="27">
        <v>8.0E-4</v>
      </c>
      <c r="O547" s="27">
        <v>1.0</v>
      </c>
      <c r="P547" s="27">
        <v>0.5</v>
      </c>
      <c r="Q547" s="68">
        <v>0.0</v>
      </c>
      <c r="R547" s="68">
        <v>0.0</v>
      </c>
      <c r="S547" s="27">
        <v>0.0</v>
      </c>
      <c r="T547" s="27">
        <v>0.0</v>
      </c>
      <c r="U547" s="197">
        <v>0.0</v>
      </c>
      <c r="V547" s="197">
        <v>0.0</v>
      </c>
      <c r="W547" s="68">
        <v>0.0</v>
      </c>
      <c r="X547" s="68">
        <v>0.0</v>
      </c>
    </row>
    <row r="548" ht="15.75" customHeight="1">
      <c r="A548" s="3" t="s">
        <v>61</v>
      </c>
      <c r="B548" s="10" t="str">
        <f t="array" ref="B548">_xlfn.XLOOKUP(D548,'Referanc '!$A:$A,'Referanc '!$B:$B)</f>
        <v>Standing Table  - E3</v>
      </c>
      <c r="C548" s="68" t="s">
        <v>397</v>
      </c>
      <c r="D548" s="68" t="s">
        <v>397</v>
      </c>
      <c r="E548" s="68" t="s">
        <v>1154</v>
      </c>
      <c r="F548" s="10" t="str">
        <f t="array" ref="F548">_xlfn.XLOOKUP(D548,'Referanc '!$A:$A,'Referanc '!$E:$E)</f>
        <v>E3</v>
      </c>
      <c r="G548" s="68">
        <v>106.0</v>
      </c>
      <c r="H548" s="68">
        <v>5.0</v>
      </c>
      <c r="I548" s="27">
        <v>0.0015</v>
      </c>
      <c r="J548" s="27">
        <v>0.0017</v>
      </c>
      <c r="K548" s="68">
        <v>116.0</v>
      </c>
      <c r="L548" s="68">
        <v>5.0</v>
      </c>
      <c r="M548" s="27">
        <v>0.0012</v>
      </c>
      <c r="N548" s="27">
        <v>0.0013</v>
      </c>
      <c r="O548" s="27">
        <v>0.8302</v>
      </c>
      <c r="P548" s="27">
        <v>1.0</v>
      </c>
      <c r="Q548" s="68">
        <v>0.0</v>
      </c>
      <c r="R548" s="68">
        <v>0.0</v>
      </c>
      <c r="S548" s="27">
        <v>0.0</v>
      </c>
      <c r="T548" s="27">
        <v>0.0</v>
      </c>
      <c r="U548" s="197">
        <v>0.0</v>
      </c>
      <c r="V548" s="197">
        <v>0.0</v>
      </c>
      <c r="W548" s="68">
        <v>0.0</v>
      </c>
      <c r="X548" s="68">
        <v>0.0</v>
      </c>
    </row>
    <row r="549" ht="15.75" customHeight="1">
      <c r="A549" s="3" t="s">
        <v>61</v>
      </c>
      <c r="B549" s="10" t="str">
        <f t="array" ref="B549">_xlfn.XLOOKUP(D549,'Referanc '!$A:$A,'Referanc '!$B:$B)</f>
        <v>Standing Table  - E3</v>
      </c>
      <c r="C549" s="68" t="s">
        <v>377</v>
      </c>
      <c r="D549" s="68" t="s">
        <v>377</v>
      </c>
      <c r="E549" s="68" t="s">
        <v>1143</v>
      </c>
      <c r="F549" s="10" t="str">
        <f t="array" ref="F549">_xlfn.XLOOKUP(D549,'Referanc '!$A:$A,'Referanc '!$E:$E)</f>
        <v>E3</v>
      </c>
      <c r="G549" s="68">
        <v>148.0</v>
      </c>
      <c r="H549" s="68">
        <v>5.0</v>
      </c>
      <c r="I549" s="27">
        <v>0.0021</v>
      </c>
      <c r="J549" s="27">
        <v>0.0017</v>
      </c>
      <c r="K549" s="68">
        <v>203.0</v>
      </c>
      <c r="L549" s="68">
        <v>5.0</v>
      </c>
      <c r="M549" s="27">
        <v>0.0022</v>
      </c>
      <c r="N549" s="27">
        <v>0.0013</v>
      </c>
      <c r="O549" s="27">
        <v>0.827</v>
      </c>
      <c r="P549" s="27">
        <v>1.0</v>
      </c>
      <c r="Q549" s="68">
        <v>0.0</v>
      </c>
      <c r="R549" s="68">
        <v>0.0</v>
      </c>
      <c r="S549" s="27">
        <v>0.0</v>
      </c>
      <c r="T549" s="27">
        <v>0.0</v>
      </c>
      <c r="U549" s="197">
        <v>0.0</v>
      </c>
      <c r="V549" s="197">
        <v>0.0</v>
      </c>
      <c r="W549" s="68">
        <v>0.0</v>
      </c>
      <c r="X549" s="68">
        <v>0.0</v>
      </c>
    </row>
    <row r="550" ht="15.75" customHeight="1">
      <c r="A550" s="3" t="s">
        <v>61</v>
      </c>
      <c r="B550" s="10" t="str">
        <f t="array" ref="B550">_xlfn.XLOOKUP(D550,'Referanc '!$A:$A,'Referanc '!$B:$B)</f>
        <v>Standing Table  - E3</v>
      </c>
      <c r="C550" s="68" t="s">
        <v>366</v>
      </c>
      <c r="D550" s="68" t="s">
        <v>366</v>
      </c>
      <c r="E550" s="68" t="s">
        <v>1124</v>
      </c>
      <c r="F550" s="10" t="str">
        <f t="array" ref="F550">_xlfn.XLOOKUP(D550,'Referanc '!$A:$A,'Referanc '!$E:$E)</f>
        <v>E3</v>
      </c>
      <c r="G550" s="68">
        <v>317.0</v>
      </c>
      <c r="H550" s="68">
        <v>24.0</v>
      </c>
      <c r="I550" s="27">
        <v>0.0046</v>
      </c>
      <c r="J550" s="27">
        <v>0.0084</v>
      </c>
      <c r="K550" s="68">
        <v>366.0</v>
      </c>
      <c r="L550" s="68">
        <v>34.0</v>
      </c>
      <c r="M550" s="27">
        <v>0.0039</v>
      </c>
      <c r="N550" s="27">
        <v>0.0087</v>
      </c>
      <c r="O550" s="27">
        <v>0.8283</v>
      </c>
      <c r="P550" s="27">
        <v>0.9333</v>
      </c>
      <c r="Q550" s="68">
        <v>0.0</v>
      </c>
      <c r="R550" s="68">
        <v>0.0</v>
      </c>
      <c r="S550" s="27">
        <v>0.0</v>
      </c>
      <c r="T550" s="27">
        <v>0.0</v>
      </c>
      <c r="U550" s="197">
        <v>0.0</v>
      </c>
      <c r="V550" s="197">
        <v>0.0</v>
      </c>
      <c r="W550" s="68">
        <v>0.0</v>
      </c>
      <c r="X550" s="68">
        <v>0.0</v>
      </c>
    </row>
    <row r="551" ht="15.75" customHeight="1">
      <c r="A551" s="3" t="s">
        <v>61</v>
      </c>
      <c r="B551" s="10" t="str">
        <f t="array" ref="B551">_xlfn.XLOOKUP(D551,'Referanc '!$A:$A,'Referanc '!$B:$B)</f>
        <v>Monitor Stand </v>
      </c>
      <c r="C551" s="68" t="s">
        <v>352</v>
      </c>
      <c r="D551" s="68" t="s">
        <v>352</v>
      </c>
      <c r="E551" s="68" t="s">
        <v>1298</v>
      </c>
      <c r="F551" s="10" t="str">
        <f t="array" ref="F551">_xlfn.XLOOKUP(D551,'Referanc '!$A:$A,'Referanc '!$E:$E)</f>
        <v>Monitor Arm Stand</v>
      </c>
      <c r="G551" s="68">
        <v>101.0</v>
      </c>
      <c r="H551" s="68">
        <v>2.0</v>
      </c>
      <c r="I551" s="27">
        <v>0.0015</v>
      </c>
      <c r="J551" s="27">
        <v>7.0E-4</v>
      </c>
      <c r="K551" s="68">
        <v>125.0</v>
      </c>
      <c r="L551" s="68">
        <v>2.0</v>
      </c>
      <c r="M551" s="27">
        <v>0.0013</v>
      </c>
      <c r="N551" s="27">
        <v>5.0E-4</v>
      </c>
      <c r="O551" s="27">
        <v>0.7257</v>
      </c>
      <c r="P551" s="27">
        <v>0.0</v>
      </c>
      <c r="Q551" s="68">
        <v>0.0</v>
      </c>
      <c r="R551" s="68">
        <v>0.0</v>
      </c>
      <c r="S551" s="27">
        <v>0.0</v>
      </c>
      <c r="T551" s="27">
        <v>0.0</v>
      </c>
      <c r="U551" s="197">
        <v>0.0</v>
      </c>
      <c r="V551" s="197">
        <v>0.0</v>
      </c>
      <c r="W551" s="68">
        <v>0.0</v>
      </c>
      <c r="X551" s="68">
        <v>0.0</v>
      </c>
    </row>
    <row r="552" ht="15.75" customHeight="1">
      <c r="A552" s="3" t="s">
        <v>61</v>
      </c>
      <c r="B552" s="10" t="str">
        <f t="array" ref="B552">_xlfn.XLOOKUP(D552,'Referanc '!$A:$A,'Referanc '!$B:$B)</f>
        <v>Standing Table  - SM3</v>
      </c>
      <c r="C552" s="68" t="s">
        <v>383</v>
      </c>
      <c r="D552" s="68" t="s">
        <v>383</v>
      </c>
      <c r="E552" s="68" t="s">
        <v>1206</v>
      </c>
      <c r="F552" s="10" t="str">
        <f t="array" ref="F552">_xlfn.XLOOKUP(D552,'Referanc '!$A:$A,'Referanc '!$E:$E)</f>
        <v>SM3</v>
      </c>
      <c r="G552" s="68">
        <v>304.0</v>
      </c>
      <c r="H552" s="68">
        <v>14.0</v>
      </c>
      <c r="I552" s="27">
        <v>0.0044</v>
      </c>
      <c r="J552" s="27">
        <v>0.0049</v>
      </c>
      <c r="K552" s="68">
        <v>380.0</v>
      </c>
      <c r="L552" s="68">
        <v>20.0</v>
      </c>
      <c r="M552" s="27">
        <v>0.0041</v>
      </c>
      <c r="N552" s="27">
        <v>0.0051</v>
      </c>
      <c r="O552" s="27">
        <v>0.9614</v>
      </c>
      <c r="P552" s="27">
        <v>1.0</v>
      </c>
      <c r="Q552" s="68">
        <v>0.0</v>
      </c>
      <c r="R552" s="68">
        <v>0.0</v>
      </c>
      <c r="S552" s="27">
        <v>0.0</v>
      </c>
      <c r="T552" s="27">
        <v>0.0</v>
      </c>
      <c r="U552" s="197">
        <v>0.0</v>
      </c>
      <c r="V552" s="197">
        <v>0.0</v>
      </c>
      <c r="W552" s="68">
        <v>0.0</v>
      </c>
      <c r="X552" s="68">
        <v>0.0</v>
      </c>
    </row>
    <row r="553" ht="15.75" customHeight="1">
      <c r="A553" s="3" t="s">
        <v>61</v>
      </c>
      <c r="B553" s="10" t="str">
        <f t="array" ref="B553">_xlfn.XLOOKUP(D553,'Referanc '!$A:$A,'Referanc '!$B:$B)</f>
        <v>Standing Table  - E1A</v>
      </c>
      <c r="C553" s="68" t="s">
        <v>367</v>
      </c>
      <c r="D553" s="68" t="s">
        <v>367</v>
      </c>
      <c r="E553" s="68" t="s">
        <v>1235</v>
      </c>
      <c r="F553" s="10" t="s">
        <v>297</v>
      </c>
      <c r="G553" s="68">
        <v>933.0</v>
      </c>
      <c r="H553" s="68">
        <v>28.0</v>
      </c>
      <c r="I553" s="27">
        <v>0.0134</v>
      </c>
      <c r="J553" s="27">
        <v>0.0098</v>
      </c>
      <c r="K553" s="196">
        <v>1087.0</v>
      </c>
      <c r="L553" s="68">
        <v>37.0</v>
      </c>
      <c r="M553" s="27">
        <v>0.0117</v>
      </c>
      <c r="N553" s="27">
        <v>0.0095</v>
      </c>
      <c r="O553" s="27">
        <v>0.7778</v>
      </c>
      <c r="P553" s="27">
        <v>0.8889</v>
      </c>
      <c r="Q553" s="68">
        <v>0.0</v>
      </c>
      <c r="R553" s="68">
        <v>0.0</v>
      </c>
      <c r="S553" s="27">
        <v>0.0</v>
      </c>
      <c r="T553" s="27">
        <v>0.0</v>
      </c>
      <c r="U553" s="197">
        <v>0.0</v>
      </c>
      <c r="V553" s="197">
        <v>0.0</v>
      </c>
      <c r="W553" s="68">
        <v>0.0</v>
      </c>
      <c r="X553" s="68">
        <v>0.0</v>
      </c>
    </row>
    <row r="554" ht="15.75" customHeight="1">
      <c r="A554" s="3" t="s">
        <v>61</v>
      </c>
      <c r="B554" s="10" t="str">
        <f t="array" ref="B554">_xlfn.XLOOKUP(D554,'Referanc '!$A:$A,'Referanc '!$B:$B)</f>
        <v>Standing Table  - E1A</v>
      </c>
      <c r="C554" s="68" t="s">
        <v>372</v>
      </c>
      <c r="D554" s="68" t="s">
        <v>372</v>
      </c>
      <c r="E554" s="68" t="s">
        <v>1237</v>
      </c>
      <c r="F554" s="10" t="str">
        <f t="array" ref="F554">_xlfn.XLOOKUP(D554,'Referanc '!$A:$A,'Referanc '!$E:$E)</f>
        <v>E1A</v>
      </c>
      <c r="G554" s="68">
        <v>135.0</v>
      </c>
      <c r="H554" s="68">
        <v>8.0</v>
      </c>
      <c r="I554" s="27">
        <v>0.0019</v>
      </c>
      <c r="J554" s="27">
        <v>0.0028</v>
      </c>
      <c r="K554" s="68">
        <v>156.0</v>
      </c>
      <c r="L554" s="68">
        <v>8.0</v>
      </c>
      <c r="M554" s="27">
        <v>0.0017</v>
      </c>
      <c r="N554" s="27">
        <v>0.002</v>
      </c>
      <c r="O554" s="27">
        <v>0.8489</v>
      </c>
      <c r="P554" s="27">
        <v>0.6667</v>
      </c>
      <c r="Q554" s="68">
        <v>0.0</v>
      </c>
      <c r="R554" s="68">
        <v>0.0</v>
      </c>
      <c r="S554" s="27">
        <v>0.0</v>
      </c>
      <c r="T554" s="27">
        <v>0.0</v>
      </c>
      <c r="U554" s="197">
        <v>0.0</v>
      </c>
      <c r="V554" s="197">
        <v>0.0</v>
      </c>
      <c r="W554" s="68">
        <v>0.0</v>
      </c>
      <c r="X554" s="68">
        <v>0.0</v>
      </c>
    </row>
    <row r="555" ht="15.75" customHeight="1">
      <c r="A555" s="3" t="s">
        <v>61</v>
      </c>
      <c r="B555" s="10" t="str">
        <f t="array" ref="B555">_xlfn.XLOOKUP(D555,'Referanc '!$A:$A,'Referanc '!$B:$B)</f>
        <v>Standing Table  - E1A</v>
      </c>
      <c r="C555" s="68" t="s">
        <v>382</v>
      </c>
      <c r="D555" s="68" t="s">
        <v>382</v>
      </c>
      <c r="E555" s="68" t="s">
        <v>1300</v>
      </c>
      <c r="F555" s="10" t="str">
        <f t="array" ref="F555">_xlfn.XLOOKUP(D555,'Referanc '!$A:$A,'Referanc '!$E:$E)</f>
        <v>E1A</v>
      </c>
      <c r="G555" s="68">
        <v>250.0</v>
      </c>
      <c r="H555" s="68">
        <v>13.0</v>
      </c>
      <c r="I555" s="27">
        <v>0.0036</v>
      </c>
      <c r="J555" s="27">
        <v>0.0045</v>
      </c>
      <c r="K555" s="68">
        <v>316.0</v>
      </c>
      <c r="L555" s="68">
        <v>14.0</v>
      </c>
      <c r="M555" s="27">
        <v>0.0034</v>
      </c>
      <c r="N555" s="27">
        <v>0.0036</v>
      </c>
      <c r="O555" s="27">
        <v>0.8834</v>
      </c>
      <c r="P555" s="27">
        <v>1.0</v>
      </c>
      <c r="Q555" s="68">
        <v>0.0</v>
      </c>
      <c r="R555" s="68">
        <v>0.0</v>
      </c>
      <c r="S555" s="27">
        <v>0.0</v>
      </c>
      <c r="T555" s="27">
        <v>0.0</v>
      </c>
      <c r="U555" s="197">
        <v>0.0</v>
      </c>
      <c r="V555" s="197">
        <v>0.0</v>
      </c>
      <c r="W555" s="68">
        <v>0.0</v>
      </c>
      <c r="X555" s="68">
        <v>0.0</v>
      </c>
    </row>
    <row r="556" ht="15.75" customHeight="1">
      <c r="A556" s="3" t="s">
        <v>61</v>
      </c>
      <c r="B556" s="10" t="str">
        <f t="array" ref="B556">_xlfn.XLOOKUP(D556,'Referanc '!$A:$A,'Referanc '!$B:$B)</f>
        <v>Standing Table  - E1A</v>
      </c>
      <c r="C556" s="68" t="s">
        <v>384</v>
      </c>
      <c r="D556" s="68" t="s">
        <v>384</v>
      </c>
      <c r="E556" s="68" t="s">
        <v>1302</v>
      </c>
      <c r="F556" s="10" t="str">
        <f t="array" ref="F556">_xlfn.XLOOKUP(D556,'Referanc '!$A:$A,'Referanc '!$E:$E)</f>
        <v>E1A</v>
      </c>
      <c r="G556" s="68">
        <v>155.0</v>
      </c>
      <c r="H556" s="68">
        <v>3.0</v>
      </c>
      <c r="I556" s="27">
        <v>0.0022</v>
      </c>
      <c r="J556" s="27">
        <v>0.001</v>
      </c>
      <c r="K556" s="68">
        <v>191.0</v>
      </c>
      <c r="L556" s="68">
        <v>3.0</v>
      </c>
      <c r="M556" s="27">
        <v>0.0021</v>
      </c>
      <c r="N556" s="27">
        <v>8.0E-4</v>
      </c>
      <c r="O556" s="27">
        <v>0.9091</v>
      </c>
      <c r="P556" s="27">
        <v>0.6667</v>
      </c>
      <c r="Q556" s="68">
        <v>0.0</v>
      </c>
      <c r="R556" s="68">
        <v>0.0</v>
      </c>
      <c r="S556" s="27">
        <v>0.0</v>
      </c>
      <c r="T556" s="27">
        <v>0.0</v>
      </c>
      <c r="U556" s="197">
        <v>0.0</v>
      </c>
      <c r="V556" s="197">
        <v>0.0</v>
      </c>
      <c r="W556" s="68">
        <v>0.0</v>
      </c>
      <c r="X556" s="68">
        <v>0.0</v>
      </c>
    </row>
    <row r="557" ht="15.75" customHeight="1">
      <c r="A557" s="3" t="s">
        <v>61</v>
      </c>
      <c r="B557" s="10" t="str">
        <f t="array" ref="B557">_xlfn.XLOOKUP(D557,'Referanc '!$A:$A,'Referanc '!$B:$B)</f>
        <v>Standing Table - All Frames</v>
      </c>
      <c r="C557" s="68" t="s">
        <v>399</v>
      </c>
      <c r="D557" s="68" t="s">
        <v>399</v>
      </c>
      <c r="E557" s="68" t="s">
        <v>1303</v>
      </c>
      <c r="F557" s="10" t="str">
        <f t="array" ref="F557">_xlfn.XLOOKUP(D557,'Referanc '!$A:$A,'Referanc '!$E:$E)</f>
        <v>E1A</v>
      </c>
      <c r="G557" s="68">
        <v>399.0</v>
      </c>
      <c r="H557" s="68">
        <v>21.0</v>
      </c>
      <c r="I557" s="27">
        <v>0.0057</v>
      </c>
      <c r="J557" s="27">
        <v>0.0073</v>
      </c>
      <c r="K557" s="68">
        <v>536.0</v>
      </c>
      <c r="L557" s="68">
        <v>21.0</v>
      </c>
      <c r="M557" s="27">
        <v>0.0058</v>
      </c>
      <c r="N557" s="27">
        <v>0.0054</v>
      </c>
      <c r="O557" s="27">
        <v>0.9118</v>
      </c>
      <c r="P557" s="27">
        <v>0.9333</v>
      </c>
      <c r="Q557" s="68">
        <v>0.0</v>
      </c>
      <c r="R557" s="68">
        <v>0.0</v>
      </c>
      <c r="S557" s="27">
        <v>0.0</v>
      </c>
      <c r="T557" s="27">
        <v>0.0</v>
      </c>
      <c r="U557" s="197">
        <v>0.0</v>
      </c>
      <c r="V557" s="197">
        <v>0.0</v>
      </c>
      <c r="W557" s="68">
        <v>0.0</v>
      </c>
      <c r="X557" s="68">
        <v>0.0</v>
      </c>
    </row>
    <row r="558" ht="15.75" customHeight="1">
      <c r="A558" s="3" t="s">
        <v>61</v>
      </c>
      <c r="B558" s="10" t="str">
        <f t="array" ref="B558">_xlfn.XLOOKUP(D558,'Referanc '!$A:$A,'Referanc '!$B:$B)</f>
        <v>Standing Table  - E4</v>
      </c>
      <c r="C558" s="68" t="s">
        <v>404</v>
      </c>
      <c r="D558" s="68" t="s">
        <v>404</v>
      </c>
      <c r="E558" s="68" t="s">
        <v>1304</v>
      </c>
      <c r="F558" s="10" t="str">
        <f t="array" ref="F558">_xlfn.XLOOKUP(D558,'Referanc '!$A:$A,'Referanc '!$E:$E)</f>
        <v>E4</v>
      </c>
      <c r="G558" s="68">
        <v>1.0</v>
      </c>
      <c r="H558" s="68">
        <v>0.0</v>
      </c>
      <c r="I558" s="27">
        <v>0.0</v>
      </c>
      <c r="J558" s="27">
        <v>0.0</v>
      </c>
      <c r="K558" s="68">
        <v>1.0</v>
      </c>
      <c r="L558" s="68">
        <v>0.0</v>
      </c>
      <c r="M558" s="27">
        <v>0.0</v>
      </c>
      <c r="N558" s="27">
        <v>0.0</v>
      </c>
      <c r="O558" s="27">
        <v>0.0</v>
      </c>
      <c r="P558" s="27">
        <v>0.0</v>
      </c>
      <c r="Q558" s="68">
        <v>0.0</v>
      </c>
      <c r="R558" s="68">
        <v>0.0</v>
      </c>
      <c r="S558" s="27">
        <v>0.0</v>
      </c>
      <c r="T558" s="27">
        <v>0.0</v>
      </c>
      <c r="U558" s="197">
        <v>0.0</v>
      </c>
      <c r="V558" s="197">
        <v>0.0</v>
      </c>
      <c r="W558" s="68">
        <v>0.0</v>
      </c>
      <c r="X558" s="68">
        <v>0.0</v>
      </c>
    </row>
    <row r="559" ht="15.75" customHeight="1">
      <c r="A559" s="3" t="s">
        <v>61</v>
      </c>
      <c r="B559" s="10" t="str">
        <f t="array" ref="B559">_xlfn.XLOOKUP(D559,'Referanc '!$A:$A,'Referanc '!$B:$B)</f>
        <v>Standing Table  - E4</v>
      </c>
      <c r="C559" s="68" t="s">
        <v>405</v>
      </c>
      <c r="D559" s="68" t="s">
        <v>405</v>
      </c>
      <c r="E559" s="68" t="s">
        <v>1305</v>
      </c>
      <c r="F559" s="10" t="str">
        <f t="array" ref="F559">_xlfn.XLOOKUP(D559,'Referanc '!$A:$A,'Referanc '!$E:$E)</f>
        <v>E4</v>
      </c>
      <c r="G559" s="68">
        <v>1.0</v>
      </c>
      <c r="H559" s="68">
        <v>0.0</v>
      </c>
      <c r="I559" s="27">
        <v>0.0</v>
      </c>
      <c r="J559" s="27">
        <v>0.0</v>
      </c>
      <c r="K559" s="68">
        <v>2.0</v>
      </c>
      <c r="L559" s="68">
        <v>0.0</v>
      </c>
      <c r="M559" s="27">
        <v>0.0</v>
      </c>
      <c r="N559" s="27">
        <v>0.0</v>
      </c>
      <c r="O559" s="27">
        <v>1.0</v>
      </c>
      <c r="P559" s="27">
        <v>0.0</v>
      </c>
      <c r="Q559" s="68">
        <v>0.0</v>
      </c>
      <c r="R559" s="68">
        <v>0.0</v>
      </c>
      <c r="S559" s="27">
        <v>0.0</v>
      </c>
      <c r="T559" s="27">
        <v>0.0</v>
      </c>
      <c r="U559" s="197">
        <v>0.0</v>
      </c>
      <c r="V559" s="197">
        <v>0.0</v>
      </c>
      <c r="W559" s="68">
        <v>0.0</v>
      </c>
      <c r="X559" s="68">
        <v>0.0</v>
      </c>
    </row>
    <row r="560" ht="15.75" customHeight="1">
      <c r="A560" s="3" t="s">
        <v>61</v>
      </c>
      <c r="B560" s="10" t="str">
        <f t="array" ref="B560">_xlfn.XLOOKUP(D560,'Referanc '!$A:$A,'Referanc '!$B:$B)</f>
        <v>Standing Table  - E4</v>
      </c>
      <c r="C560" s="68" t="s">
        <v>407</v>
      </c>
      <c r="D560" s="68" t="s">
        <v>407</v>
      </c>
      <c r="E560" s="68" t="s">
        <v>1306</v>
      </c>
      <c r="F560" s="10" t="str">
        <f t="array" ref="F560">_xlfn.XLOOKUP(D560,'Referanc '!$A:$A,'Referanc '!$E:$E)</f>
        <v>E4</v>
      </c>
      <c r="G560" s="68">
        <v>1.0</v>
      </c>
      <c r="H560" s="68">
        <v>0.0</v>
      </c>
      <c r="I560" s="27">
        <v>0.0</v>
      </c>
      <c r="J560" s="27">
        <v>0.0</v>
      </c>
      <c r="K560" s="68">
        <v>1.0</v>
      </c>
      <c r="L560" s="68">
        <v>0.0</v>
      </c>
      <c r="M560" s="27">
        <v>0.0</v>
      </c>
      <c r="N560" s="27">
        <v>0.0</v>
      </c>
      <c r="O560" s="27">
        <v>0.0</v>
      </c>
      <c r="P560" s="27">
        <v>0.0</v>
      </c>
      <c r="Q560" s="68">
        <v>0.0</v>
      </c>
      <c r="R560" s="68">
        <v>0.0</v>
      </c>
      <c r="S560" s="27">
        <v>0.0</v>
      </c>
      <c r="T560" s="27">
        <v>0.0</v>
      </c>
      <c r="U560" s="197">
        <v>0.0</v>
      </c>
      <c r="V560" s="197">
        <v>0.0</v>
      </c>
      <c r="W560" s="68">
        <v>0.0</v>
      </c>
      <c r="X560" s="68">
        <v>0.0</v>
      </c>
    </row>
    <row r="561" ht="15.75" customHeight="1">
      <c r="A561" s="3" t="s">
        <v>61</v>
      </c>
      <c r="B561" s="10" t="str">
        <f t="array" ref="B561">_xlfn.XLOOKUP(D561,'Referanc '!$A:$A,'Referanc '!$B:$B)</f>
        <v>Standing Table  - E4</v>
      </c>
      <c r="C561" s="68" t="s">
        <v>409</v>
      </c>
      <c r="D561" s="68" t="s">
        <v>409</v>
      </c>
      <c r="E561" s="68" t="s">
        <v>1307</v>
      </c>
      <c r="F561" s="10" t="str">
        <f t="array" ref="F561">_xlfn.XLOOKUP(D561,'Referanc '!$A:$A,'Referanc '!$E:$E)</f>
        <v>E4</v>
      </c>
      <c r="G561" s="68">
        <v>1.0</v>
      </c>
      <c r="H561" s="68">
        <v>0.0</v>
      </c>
      <c r="I561" s="27">
        <v>0.0</v>
      </c>
      <c r="J561" s="27">
        <v>0.0</v>
      </c>
      <c r="K561" s="68">
        <v>2.0</v>
      </c>
      <c r="L561" s="68">
        <v>0.0</v>
      </c>
      <c r="M561" s="27">
        <v>0.0</v>
      </c>
      <c r="N561" s="27">
        <v>0.0</v>
      </c>
      <c r="O561" s="27">
        <v>1.0</v>
      </c>
      <c r="P561" s="27">
        <v>0.0</v>
      </c>
      <c r="Q561" s="68">
        <v>0.0</v>
      </c>
      <c r="R561" s="68">
        <v>0.0</v>
      </c>
      <c r="S561" s="27">
        <v>0.0</v>
      </c>
      <c r="T561" s="27">
        <v>0.0</v>
      </c>
      <c r="U561" s="197">
        <v>0.0</v>
      </c>
      <c r="V561" s="197">
        <v>0.0</v>
      </c>
      <c r="W561" s="68">
        <v>0.0</v>
      </c>
      <c r="X561" s="68">
        <v>0.0</v>
      </c>
    </row>
    <row r="562" ht="15.75" customHeight="1">
      <c r="A562" s="3" t="s">
        <v>61</v>
      </c>
      <c r="B562" s="10" t="str">
        <f t="array" ref="B562">_xlfn.XLOOKUP(D562,'Referanc '!$A:$A,'Referanc '!$B:$B)</f>
        <v>Standing Table - All Frames</v>
      </c>
      <c r="C562" s="68" t="s">
        <v>422</v>
      </c>
      <c r="D562" s="68" t="s">
        <v>422</v>
      </c>
      <c r="E562" s="68" t="s">
        <v>697</v>
      </c>
      <c r="F562" s="10" t="str">
        <f t="array" ref="F562">_xlfn.XLOOKUP(D562,'Referanc '!$A:$A,'Referanc '!$E:$E)</f>
        <v>E4</v>
      </c>
      <c r="G562" s="68">
        <v>4.0</v>
      </c>
      <c r="H562" s="68">
        <v>1.0</v>
      </c>
      <c r="I562" s="27">
        <v>1.0E-4</v>
      </c>
      <c r="J562" s="27">
        <v>3.0E-4</v>
      </c>
      <c r="K562" s="68">
        <v>5.0</v>
      </c>
      <c r="L562" s="68">
        <v>1.0</v>
      </c>
      <c r="M562" s="27">
        <v>1.0E-4</v>
      </c>
      <c r="N562" s="27">
        <v>3.0E-4</v>
      </c>
      <c r="O562" s="27">
        <v>1.0</v>
      </c>
      <c r="P562" s="27">
        <v>1.0</v>
      </c>
      <c r="Q562" s="68">
        <v>0.0</v>
      </c>
      <c r="R562" s="68">
        <v>0.0</v>
      </c>
      <c r="S562" s="27">
        <v>0.0</v>
      </c>
      <c r="T562" s="27">
        <v>0.0</v>
      </c>
      <c r="U562" s="197">
        <v>0.0</v>
      </c>
      <c r="V562" s="197">
        <v>0.0</v>
      </c>
      <c r="W562" s="68">
        <v>0.0</v>
      </c>
      <c r="X562" s="68">
        <v>0.0</v>
      </c>
    </row>
    <row r="563" ht="15.75" customHeight="1">
      <c r="A563" s="3" t="s">
        <v>61</v>
      </c>
      <c r="B563" s="10" t="str">
        <f t="array" ref="B563">_xlfn.XLOOKUP(D563,'Referanc '!$A:$A,'Referanc '!$B:$B)</f>
        <v>Extension &amp; Holder</v>
      </c>
      <c r="C563" s="68" t="s">
        <v>340</v>
      </c>
      <c r="D563" s="68" t="s">
        <v>340</v>
      </c>
      <c r="E563" s="68" t="s">
        <v>698</v>
      </c>
      <c r="F563" s="10" t="str">
        <f t="array" ref="F563">_xlfn.XLOOKUP(D563,'Referanc '!$A:$A,'Referanc '!$E:$E)</f>
        <v>Extension Board Holder</v>
      </c>
      <c r="G563" s="68">
        <v>65.0</v>
      </c>
      <c r="H563" s="68">
        <v>6.0</v>
      </c>
      <c r="I563" s="27">
        <v>9.0E-4</v>
      </c>
      <c r="J563" s="27">
        <v>0.0021</v>
      </c>
      <c r="K563" s="68">
        <v>75.0</v>
      </c>
      <c r="L563" s="68">
        <v>6.0</v>
      </c>
      <c r="M563" s="27">
        <v>8.0E-4</v>
      </c>
      <c r="N563" s="27">
        <v>0.0015</v>
      </c>
      <c r="O563" s="27">
        <v>0.3016</v>
      </c>
      <c r="P563" s="27">
        <v>0.6</v>
      </c>
      <c r="Q563" s="68">
        <v>0.0</v>
      </c>
      <c r="R563" s="68">
        <v>0.0</v>
      </c>
      <c r="S563" s="27">
        <v>0.0</v>
      </c>
      <c r="T563" s="27">
        <v>0.0</v>
      </c>
      <c r="U563" s="197">
        <v>0.0</v>
      </c>
      <c r="V563" s="197">
        <v>0.0</v>
      </c>
      <c r="W563" s="68">
        <v>0.0</v>
      </c>
      <c r="X563" s="68">
        <v>0.0</v>
      </c>
    </row>
    <row r="564" ht="15.75" customHeight="1">
      <c r="A564" s="3" t="s">
        <v>61</v>
      </c>
      <c r="B564" s="10" t="str">
        <f t="array" ref="B564">_xlfn.XLOOKUP(D564,'Referanc '!$A:$A,'Referanc '!$B:$B)</f>
        <v>TABLE TOP</v>
      </c>
      <c r="C564" s="68" t="s">
        <v>425</v>
      </c>
      <c r="D564" s="68" t="s">
        <v>425</v>
      </c>
      <c r="E564" s="68" t="s">
        <v>700</v>
      </c>
      <c r="F564" s="10" t="str">
        <f t="array" ref="F564">_xlfn.XLOOKUP(D564,'Referanc '!$A:$A,'Referanc '!$E:$E)</f>
        <v>TABLE TOP</v>
      </c>
      <c r="G564" s="68">
        <v>77.0</v>
      </c>
      <c r="H564" s="68">
        <v>4.0</v>
      </c>
      <c r="I564" s="27">
        <v>0.0011</v>
      </c>
      <c r="J564" s="27">
        <v>0.0014</v>
      </c>
      <c r="K564" s="68">
        <v>85.0</v>
      </c>
      <c r="L564" s="68">
        <v>4.0</v>
      </c>
      <c r="M564" s="27">
        <v>9.0E-4</v>
      </c>
      <c r="N564" s="27">
        <v>0.001</v>
      </c>
      <c r="O564" s="27">
        <v>0.726</v>
      </c>
      <c r="P564" s="27">
        <v>1.0</v>
      </c>
      <c r="Q564" s="68">
        <v>0.0</v>
      </c>
      <c r="R564" s="68">
        <v>0.0</v>
      </c>
      <c r="S564" s="27">
        <v>0.0</v>
      </c>
      <c r="T564" s="27">
        <v>0.0</v>
      </c>
      <c r="U564" s="197">
        <v>0.0</v>
      </c>
      <c r="V564" s="197">
        <v>0.0</v>
      </c>
      <c r="W564" s="68">
        <v>0.0</v>
      </c>
      <c r="X564" s="68">
        <v>0.0</v>
      </c>
    </row>
    <row r="565" ht="15.75" customHeight="1">
      <c r="A565" s="3" t="s">
        <v>61</v>
      </c>
      <c r="B565" s="10" t="str">
        <f t="array" ref="B565">_xlfn.XLOOKUP(D565,'Referanc '!$A:$A,'Referanc '!$B:$B)</f>
        <v>TABLE TOP</v>
      </c>
      <c r="C565" s="68" t="s">
        <v>428</v>
      </c>
      <c r="D565" s="68" t="s">
        <v>428</v>
      </c>
      <c r="E565" s="68" t="s">
        <v>702</v>
      </c>
      <c r="F565" s="10" t="str">
        <f t="array" ref="F565">_xlfn.XLOOKUP(D565,'Referanc '!$A:$A,'Referanc '!$E:$E)</f>
        <v>TABLE TOP</v>
      </c>
      <c r="G565" s="68">
        <v>2.0</v>
      </c>
      <c r="H565" s="68">
        <v>0.0</v>
      </c>
      <c r="I565" s="27">
        <v>0.0</v>
      </c>
      <c r="J565" s="27">
        <v>0.0</v>
      </c>
      <c r="K565" s="68">
        <v>4.0</v>
      </c>
      <c r="L565" s="68">
        <v>0.0</v>
      </c>
      <c r="M565" s="27">
        <v>0.0</v>
      </c>
      <c r="N565" s="27">
        <v>0.0</v>
      </c>
      <c r="O565" s="27">
        <v>1.0</v>
      </c>
      <c r="P565" s="27">
        <v>0.0</v>
      </c>
      <c r="Q565" s="68">
        <v>0.0</v>
      </c>
      <c r="R565" s="68">
        <v>0.0</v>
      </c>
      <c r="S565" s="27">
        <v>0.0</v>
      </c>
      <c r="T565" s="27">
        <v>0.0</v>
      </c>
      <c r="U565" s="197">
        <v>0.0</v>
      </c>
      <c r="V565" s="197">
        <v>0.0</v>
      </c>
      <c r="W565" s="68">
        <v>0.0</v>
      </c>
      <c r="X565" s="68">
        <v>0.0</v>
      </c>
    </row>
    <row r="566" ht="15.75" customHeight="1">
      <c r="A566" s="3" t="s">
        <v>61</v>
      </c>
      <c r="B566" s="10" t="str">
        <f t="array" ref="B566">_xlfn.XLOOKUP(D566,'Referanc '!$A:$A,'Referanc '!$B:$B)</f>
        <v>TABLE TOP</v>
      </c>
      <c r="C566" s="68" t="s">
        <v>431</v>
      </c>
      <c r="D566" s="68" t="s">
        <v>431</v>
      </c>
      <c r="E566" s="68" t="s">
        <v>704</v>
      </c>
      <c r="F566" s="10" t="str">
        <f t="array" ref="F566">_xlfn.XLOOKUP(D566,'Referanc '!$A:$A,'Referanc '!$E:$E)</f>
        <v>TABLE TOP</v>
      </c>
      <c r="G566" s="68">
        <v>2.0</v>
      </c>
      <c r="H566" s="68">
        <v>0.0</v>
      </c>
      <c r="I566" s="27">
        <v>0.0</v>
      </c>
      <c r="J566" s="27">
        <v>0.0</v>
      </c>
      <c r="K566" s="68">
        <v>4.0</v>
      </c>
      <c r="L566" s="68">
        <v>0.0</v>
      </c>
      <c r="M566" s="27">
        <v>0.0</v>
      </c>
      <c r="N566" s="27">
        <v>0.0</v>
      </c>
      <c r="O566" s="27">
        <v>1.0</v>
      </c>
      <c r="P566" s="27">
        <v>0.0</v>
      </c>
      <c r="Q566" s="68">
        <v>0.0</v>
      </c>
      <c r="R566" s="68">
        <v>0.0</v>
      </c>
      <c r="S566" s="27">
        <v>0.0</v>
      </c>
      <c r="T566" s="27">
        <v>0.0</v>
      </c>
      <c r="U566" s="197">
        <v>0.0</v>
      </c>
      <c r="V566" s="197">
        <v>0.0</v>
      </c>
      <c r="W566" s="68">
        <v>0.0</v>
      </c>
      <c r="X566" s="68">
        <v>0.0</v>
      </c>
    </row>
    <row r="567" ht="15.75" customHeight="1">
      <c r="A567" s="3" t="s">
        <v>63</v>
      </c>
      <c r="B567" s="10" t="s">
        <v>211</v>
      </c>
      <c r="C567" s="68" t="s">
        <v>325</v>
      </c>
      <c r="D567" s="68" t="s">
        <v>325</v>
      </c>
      <c r="E567" s="68" t="s">
        <v>689</v>
      </c>
      <c r="F567" s="10" t="str">
        <f t="array" ref="F567">_xlfn.XLOOKUP(D567,'Referanc '!$A:$A,'Referanc '!$E:$E)</f>
        <v>Desk Cable Tray</v>
      </c>
      <c r="G567" s="196">
        <v>2608.0</v>
      </c>
      <c r="H567" s="68">
        <v>104.0</v>
      </c>
      <c r="I567" s="27">
        <v>0.0283</v>
      </c>
      <c r="J567" s="27">
        <v>0.0317</v>
      </c>
      <c r="K567" s="196">
        <v>3952.0</v>
      </c>
      <c r="L567" s="68">
        <v>136.0</v>
      </c>
      <c r="M567" s="27">
        <v>0.0309</v>
      </c>
      <c r="N567" s="27">
        <v>0.0293</v>
      </c>
      <c r="O567" s="27">
        <v>0.9657</v>
      </c>
      <c r="P567" s="27">
        <v>0.8721</v>
      </c>
      <c r="Q567" s="68">
        <v>74.0</v>
      </c>
      <c r="R567" s="68">
        <v>4.0</v>
      </c>
      <c r="S567" s="27">
        <v>0.0284</v>
      </c>
      <c r="T567" s="27">
        <v>0.0385</v>
      </c>
      <c r="U567" s="197">
        <v>170905.58</v>
      </c>
      <c r="V567" s="197">
        <v>9700.0</v>
      </c>
      <c r="W567" s="68">
        <v>67.0</v>
      </c>
      <c r="X567" s="68">
        <v>3.0</v>
      </c>
    </row>
    <row r="568" ht="15.75" customHeight="1">
      <c r="A568" s="3" t="s">
        <v>63</v>
      </c>
      <c r="B568" s="10" t="str">
        <f t="array" ref="B568">_xlfn.XLOOKUP(D568,'Referanc '!$A:$A,'Referanc '!$B:$B)</f>
        <v>Standing Table  - SM3</v>
      </c>
      <c r="C568" s="68" t="s">
        <v>304</v>
      </c>
      <c r="D568" s="68" t="s">
        <v>304</v>
      </c>
      <c r="E568" s="68" t="s">
        <v>1161</v>
      </c>
      <c r="F568" s="10" t="str">
        <f t="array" ref="F568">_xlfn.XLOOKUP(D568,'Referanc '!$A:$A,'Referanc '!$E:$E)</f>
        <v>SM3</v>
      </c>
      <c r="G568" s="196">
        <v>12603.0</v>
      </c>
      <c r="H568" s="68">
        <v>386.0</v>
      </c>
      <c r="I568" s="27">
        <v>0.1368</v>
      </c>
      <c r="J568" s="27">
        <v>0.1176</v>
      </c>
      <c r="K568" s="196">
        <v>17340.0</v>
      </c>
      <c r="L568" s="68">
        <v>511.0</v>
      </c>
      <c r="M568" s="27">
        <v>0.1355</v>
      </c>
      <c r="N568" s="27">
        <v>0.1101</v>
      </c>
      <c r="O568" s="27">
        <v>0.789</v>
      </c>
      <c r="P568" s="27">
        <v>0.7729</v>
      </c>
      <c r="Q568" s="68">
        <v>54.0</v>
      </c>
      <c r="R568" s="68">
        <v>2.0</v>
      </c>
      <c r="S568" s="27">
        <v>0.0043</v>
      </c>
      <c r="T568" s="27">
        <v>0.0052</v>
      </c>
      <c r="U568" s="197">
        <v>1102629.43</v>
      </c>
      <c r="V568" s="197">
        <v>40923.39</v>
      </c>
      <c r="W568" s="68">
        <v>54.0</v>
      </c>
      <c r="X568" s="68">
        <v>2.0</v>
      </c>
    </row>
    <row r="569" ht="15.75" customHeight="1">
      <c r="A569" s="3" t="s">
        <v>63</v>
      </c>
      <c r="B569" s="10" t="str">
        <f t="array" ref="B569">_xlfn.XLOOKUP(D569,'Referanc '!$A:$A,'Referanc '!$B:$B)</f>
        <v>Standing Table  - SM3</v>
      </c>
      <c r="C569" s="68" t="s">
        <v>291</v>
      </c>
      <c r="D569" s="68" t="s">
        <v>291</v>
      </c>
      <c r="E569" s="68" t="s">
        <v>1310</v>
      </c>
      <c r="F569" s="10" t="str">
        <f t="array" ref="F569">_xlfn.XLOOKUP(D569,'Referanc '!$A:$A,'Referanc '!$E:$E)</f>
        <v>SM3</v>
      </c>
      <c r="G569" s="196">
        <v>10420.0</v>
      </c>
      <c r="H569" s="68">
        <v>319.0</v>
      </c>
      <c r="I569" s="27">
        <v>0.1131</v>
      </c>
      <c r="J569" s="27">
        <v>0.0972</v>
      </c>
      <c r="K569" s="196">
        <v>14205.0</v>
      </c>
      <c r="L569" s="68">
        <v>410.0</v>
      </c>
      <c r="M569" s="27">
        <v>0.111</v>
      </c>
      <c r="N569" s="27">
        <v>0.0883</v>
      </c>
      <c r="O569" s="27">
        <v>0.7822</v>
      </c>
      <c r="P569" s="27">
        <v>0.7851</v>
      </c>
      <c r="Q569" s="68">
        <v>43.0</v>
      </c>
      <c r="R569" s="68">
        <v>5.0</v>
      </c>
      <c r="S569" s="27">
        <v>0.0041</v>
      </c>
      <c r="T569" s="27">
        <v>0.0157</v>
      </c>
      <c r="U569" s="197">
        <v>852229.29</v>
      </c>
      <c r="V569" s="197">
        <v>104965.0</v>
      </c>
      <c r="W569" s="68">
        <v>43.0</v>
      </c>
      <c r="X569" s="68">
        <v>5.0</v>
      </c>
    </row>
    <row r="570" ht="15.75" customHeight="1">
      <c r="A570" s="3" t="s">
        <v>63</v>
      </c>
      <c r="B570" s="10" t="str">
        <f t="array" ref="B570">_xlfn.XLOOKUP(D570,'Referanc '!$A:$A,'Referanc '!$B:$B)</f>
        <v>Monitor Arm Stand</v>
      </c>
      <c r="C570" s="68" t="s">
        <v>353</v>
      </c>
      <c r="D570" s="68" t="s">
        <v>353</v>
      </c>
      <c r="E570" s="68" t="s">
        <v>691</v>
      </c>
      <c r="F570" s="10" t="str">
        <f t="array" ref="F570">_xlfn.XLOOKUP(D570,'Referanc '!$A:$A,'Referanc '!$E:$E)</f>
        <v>Monitor Arm Stand</v>
      </c>
      <c r="G570" s="196">
        <v>2638.0</v>
      </c>
      <c r="H570" s="68">
        <v>145.0</v>
      </c>
      <c r="I570" s="27">
        <v>0.0286</v>
      </c>
      <c r="J570" s="27">
        <v>0.0442</v>
      </c>
      <c r="K570" s="196">
        <v>3909.0</v>
      </c>
      <c r="L570" s="68">
        <v>227.0</v>
      </c>
      <c r="M570" s="27">
        <v>0.0306</v>
      </c>
      <c r="N570" s="27">
        <v>0.0489</v>
      </c>
      <c r="O570" s="27">
        <v>0.9921</v>
      </c>
      <c r="P570" s="27">
        <v>0.9578</v>
      </c>
      <c r="Q570" s="68">
        <v>39.0</v>
      </c>
      <c r="R570" s="68">
        <v>2.0</v>
      </c>
      <c r="S570" s="27">
        <v>0.0148</v>
      </c>
      <c r="T570" s="27">
        <v>0.0138</v>
      </c>
      <c r="U570" s="197">
        <v>122479.0</v>
      </c>
      <c r="V570" s="197">
        <v>6499.0</v>
      </c>
      <c r="W570" s="68">
        <v>38.0</v>
      </c>
      <c r="X570" s="68">
        <v>2.0</v>
      </c>
    </row>
    <row r="571" ht="15.75" customHeight="1">
      <c r="A571" s="3" t="s">
        <v>63</v>
      </c>
      <c r="B571" s="10" t="s">
        <v>211</v>
      </c>
      <c r="C571" s="68" t="s">
        <v>314</v>
      </c>
      <c r="D571" s="68" t="s">
        <v>314</v>
      </c>
      <c r="E571" s="68" t="s">
        <v>1244</v>
      </c>
      <c r="F571" s="10" t="str">
        <f t="array" ref="F571">_xlfn.XLOOKUP(D571,'Referanc '!$A:$A,'Referanc '!$E:$E)</f>
        <v>Desk Cable Tray</v>
      </c>
      <c r="G571" s="196">
        <v>1474.0</v>
      </c>
      <c r="H571" s="68">
        <v>62.0</v>
      </c>
      <c r="I571" s="27">
        <v>0.016</v>
      </c>
      <c r="J571" s="27">
        <v>0.0189</v>
      </c>
      <c r="K571" s="196">
        <v>2114.0</v>
      </c>
      <c r="L571" s="68">
        <v>99.0</v>
      </c>
      <c r="M571" s="27">
        <v>0.0165</v>
      </c>
      <c r="N571" s="27">
        <v>0.0213</v>
      </c>
      <c r="O571" s="27">
        <v>0.8898</v>
      </c>
      <c r="P571" s="27">
        <v>0.84</v>
      </c>
      <c r="Q571" s="68">
        <v>36.0</v>
      </c>
      <c r="R571" s="68">
        <v>4.0</v>
      </c>
      <c r="S571" s="27">
        <v>0.0244</v>
      </c>
      <c r="T571" s="27">
        <v>0.0645</v>
      </c>
      <c r="U571" s="197">
        <v>59529.0</v>
      </c>
      <c r="V571" s="197">
        <v>7109.0</v>
      </c>
      <c r="W571" s="68">
        <v>35.0</v>
      </c>
      <c r="X571" s="68">
        <v>4.0</v>
      </c>
    </row>
    <row r="572" ht="15.75" customHeight="1">
      <c r="A572" s="3" t="s">
        <v>63</v>
      </c>
      <c r="B572" s="10" t="str">
        <f t="array" ref="B572">_xlfn.XLOOKUP(D572,'Referanc '!$A:$A,'Referanc '!$B:$B)</f>
        <v>Standing Table  - SM3</v>
      </c>
      <c r="C572" s="68" t="s">
        <v>301</v>
      </c>
      <c r="D572" s="68" t="s">
        <v>301</v>
      </c>
      <c r="E572" s="68" t="s">
        <v>1313</v>
      </c>
      <c r="F572" s="10" t="str">
        <f t="array" ref="F572">_xlfn.XLOOKUP(D572,'Referanc '!$A:$A,'Referanc '!$E:$E)</f>
        <v>SM3</v>
      </c>
      <c r="G572" s="196">
        <v>3427.0</v>
      </c>
      <c r="H572" s="68">
        <v>113.0</v>
      </c>
      <c r="I572" s="27">
        <v>0.0372</v>
      </c>
      <c r="J572" s="27">
        <v>0.0344</v>
      </c>
      <c r="K572" s="196">
        <v>4606.0</v>
      </c>
      <c r="L572" s="68">
        <v>170.0</v>
      </c>
      <c r="M572" s="27">
        <v>0.036</v>
      </c>
      <c r="N572" s="27">
        <v>0.0366</v>
      </c>
      <c r="O572" s="27">
        <v>0.8353</v>
      </c>
      <c r="P572" s="27">
        <v>0.7625</v>
      </c>
      <c r="Q572" s="68">
        <v>34.0</v>
      </c>
      <c r="R572" s="68">
        <v>0.0</v>
      </c>
      <c r="S572" s="27">
        <v>0.0099</v>
      </c>
      <c r="T572" s="27">
        <v>0.0</v>
      </c>
      <c r="U572" s="197">
        <v>769706.46</v>
      </c>
      <c r="V572" s="197">
        <v>0.0</v>
      </c>
      <c r="W572" s="68">
        <v>34.0</v>
      </c>
      <c r="X572" s="68">
        <v>0.0</v>
      </c>
    </row>
    <row r="573" ht="15.75" customHeight="1">
      <c r="A573" s="3" t="s">
        <v>63</v>
      </c>
      <c r="B573" s="10" t="str">
        <f t="array" ref="B573">_xlfn.XLOOKUP(D573,'Referanc '!$A:$A,'Referanc '!$B:$B)</f>
        <v>Standing Table - All Frames</v>
      </c>
      <c r="C573" s="68" t="s">
        <v>298</v>
      </c>
      <c r="D573" s="68" t="s">
        <v>298</v>
      </c>
      <c r="E573" s="68" t="s">
        <v>1168</v>
      </c>
      <c r="F573" s="10" t="str">
        <f t="array" ref="F573">_xlfn.XLOOKUP(D573,'Referanc '!$A:$A,'Referanc '!$E:$E)</f>
        <v>SM3</v>
      </c>
      <c r="G573" s="196">
        <v>3272.0</v>
      </c>
      <c r="H573" s="68">
        <v>147.0</v>
      </c>
      <c r="I573" s="27">
        <v>0.0355</v>
      </c>
      <c r="J573" s="27">
        <v>0.0448</v>
      </c>
      <c r="K573" s="196">
        <v>4404.0</v>
      </c>
      <c r="L573" s="68">
        <v>206.0</v>
      </c>
      <c r="M573" s="27">
        <v>0.0344</v>
      </c>
      <c r="N573" s="27">
        <v>0.0444</v>
      </c>
      <c r="O573" s="27">
        <v>0.835</v>
      </c>
      <c r="P573" s="27">
        <v>0.8148</v>
      </c>
      <c r="Q573" s="68">
        <v>30.0</v>
      </c>
      <c r="R573" s="68">
        <v>2.0</v>
      </c>
      <c r="S573" s="27">
        <v>0.0092</v>
      </c>
      <c r="T573" s="27">
        <v>0.0136</v>
      </c>
      <c r="U573" s="197">
        <v>522242.29</v>
      </c>
      <c r="V573" s="197">
        <v>34223.39</v>
      </c>
      <c r="W573" s="68">
        <v>30.0</v>
      </c>
      <c r="X573" s="68">
        <v>2.0</v>
      </c>
    </row>
    <row r="574" ht="15.75" customHeight="1">
      <c r="A574" s="3" t="s">
        <v>63</v>
      </c>
      <c r="B574" s="10" t="str">
        <f t="array" ref="B574">_xlfn.XLOOKUP(D574,'Referanc '!$A:$A,'Referanc '!$B:$B)</f>
        <v>Keyboard Tray</v>
      </c>
      <c r="C574" s="68" t="s">
        <v>346</v>
      </c>
      <c r="D574" s="68" t="s">
        <v>346</v>
      </c>
      <c r="E574" s="68" t="s">
        <v>665</v>
      </c>
      <c r="F574" s="10" t="str">
        <f t="array" ref="F574">_xlfn.XLOOKUP(D574,'Referanc '!$A:$A,'Referanc '!$E:$E)</f>
        <v>Keyboard Tray</v>
      </c>
      <c r="G574" s="68">
        <v>501.0</v>
      </c>
      <c r="H574" s="68">
        <v>22.0</v>
      </c>
      <c r="I574" s="27">
        <v>0.0054</v>
      </c>
      <c r="J574" s="27">
        <v>0.0067</v>
      </c>
      <c r="K574" s="68">
        <v>783.0</v>
      </c>
      <c r="L574" s="68">
        <v>40.0</v>
      </c>
      <c r="M574" s="27">
        <v>0.0061</v>
      </c>
      <c r="N574" s="27">
        <v>0.0086</v>
      </c>
      <c r="O574" s="27">
        <v>0.934</v>
      </c>
      <c r="P574" s="27">
        <v>1.0</v>
      </c>
      <c r="Q574" s="68">
        <v>21.0</v>
      </c>
      <c r="R574" s="68">
        <v>0.0</v>
      </c>
      <c r="S574" s="27">
        <v>0.0419</v>
      </c>
      <c r="T574" s="27">
        <v>0.0</v>
      </c>
      <c r="U574" s="197">
        <v>69090.0</v>
      </c>
      <c r="V574" s="197">
        <v>0.0</v>
      </c>
      <c r="W574" s="68">
        <v>21.0</v>
      </c>
      <c r="X574" s="68">
        <v>0.0</v>
      </c>
    </row>
    <row r="575" ht="15.75" customHeight="1">
      <c r="A575" s="3" t="s">
        <v>63</v>
      </c>
      <c r="B575" s="10" t="str">
        <f t="array" ref="B575">_xlfn.XLOOKUP(D575,'Referanc '!$A:$A,'Referanc '!$B:$B)</f>
        <v>Extension &amp; Holder</v>
      </c>
      <c r="C575" s="68" t="s">
        <v>307</v>
      </c>
      <c r="D575" s="68" t="s">
        <v>307</v>
      </c>
      <c r="E575" s="68" t="s">
        <v>1270</v>
      </c>
      <c r="F575" s="10" t="str">
        <f t="array" ref="F575">_xlfn.XLOOKUP(D575,'Referanc '!$A:$A,'Referanc '!$E:$E)</f>
        <v>Extension Board Holder</v>
      </c>
      <c r="G575" s="196">
        <v>2473.0</v>
      </c>
      <c r="H575" s="68">
        <v>152.0</v>
      </c>
      <c r="I575" s="27">
        <v>0.0268</v>
      </c>
      <c r="J575" s="27">
        <v>0.0463</v>
      </c>
      <c r="K575" s="196">
        <v>3253.0</v>
      </c>
      <c r="L575" s="68">
        <v>201.0</v>
      </c>
      <c r="M575" s="27">
        <v>0.0254</v>
      </c>
      <c r="N575" s="27">
        <v>0.0433</v>
      </c>
      <c r="O575" s="27">
        <v>0.9996</v>
      </c>
      <c r="P575" s="27">
        <v>1.0</v>
      </c>
      <c r="Q575" s="68">
        <v>22.0</v>
      </c>
      <c r="R575" s="68">
        <v>1.0</v>
      </c>
      <c r="S575" s="27">
        <v>0.0089</v>
      </c>
      <c r="T575" s="27">
        <v>0.0066</v>
      </c>
      <c r="U575" s="197">
        <v>25478.0</v>
      </c>
      <c r="V575" s="197">
        <v>1499.0</v>
      </c>
      <c r="W575" s="68">
        <v>21.0</v>
      </c>
      <c r="X575" s="68">
        <v>1.0</v>
      </c>
    </row>
    <row r="576" ht="15.75" customHeight="1">
      <c r="A576" s="3" t="s">
        <v>63</v>
      </c>
      <c r="B576" s="10" t="str">
        <f t="array" ref="B576">_xlfn.XLOOKUP(D576,'Referanc '!$A:$A,'Referanc '!$B:$B)</f>
        <v>Standing Table  - SM3</v>
      </c>
      <c r="C576" s="68" t="s">
        <v>296</v>
      </c>
      <c r="D576" s="68" t="s">
        <v>296</v>
      </c>
      <c r="E576" s="68" t="s">
        <v>1165</v>
      </c>
      <c r="F576" s="10" t="str">
        <f t="array" ref="F576">_xlfn.XLOOKUP(D576,'Referanc '!$A:$A,'Referanc '!$E:$E)</f>
        <v>SM3</v>
      </c>
      <c r="G576" s="196">
        <v>3084.0</v>
      </c>
      <c r="H576" s="68">
        <v>96.0</v>
      </c>
      <c r="I576" s="27">
        <v>0.0335</v>
      </c>
      <c r="J576" s="27">
        <v>0.0293</v>
      </c>
      <c r="K576" s="196">
        <v>4024.0</v>
      </c>
      <c r="L576" s="68">
        <v>143.0</v>
      </c>
      <c r="M576" s="27">
        <v>0.0315</v>
      </c>
      <c r="N576" s="27">
        <v>0.0308</v>
      </c>
      <c r="O576" s="27">
        <v>0.8589</v>
      </c>
      <c r="P576" s="27">
        <v>0.7222</v>
      </c>
      <c r="Q576" s="68">
        <v>21.0</v>
      </c>
      <c r="R576" s="68">
        <v>0.0</v>
      </c>
      <c r="S576" s="27">
        <v>0.0068</v>
      </c>
      <c r="T576" s="27">
        <v>0.0</v>
      </c>
      <c r="U576" s="197">
        <v>480428.5</v>
      </c>
      <c r="V576" s="197">
        <v>0.0</v>
      </c>
      <c r="W576" s="68">
        <v>21.0</v>
      </c>
      <c r="X576" s="68">
        <v>0.0</v>
      </c>
    </row>
    <row r="577" ht="15.75" customHeight="1">
      <c r="A577" s="3" t="s">
        <v>63</v>
      </c>
      <c r="B577" s="10" t="str">
        <f t="array" ref="B577">_xlfn.XLOOKUP(D577,'Referanc '!$A:$A,'Referanc '!$B:$B)</f>
        <v>Standing Table  - M8</v>
      </c>
      <c r="C577" s="68" t="s">
        <v>408</v>
      </c>
      <c r="D577" s="68" t="s">
        <v>408</v>
      </c>
      <c r="E577" s="68" t="s">
        <v>1188</v>
      </c>
      <c r="F577" s="10" t="str">
        <f t="array" ref="F577">_xlfn.XLOOKUP(D577,'Referanc '!$A:$A,'Referanc '!$E:$E)</f>
        <v>M8</v>
      </c>
      <c r="G577" s="196">
        <v>2893.0</v>
      </c>
      <c r="H577" s="68">
        <v>113.0</v>
      </c>
      <c r="I577" s="27">
        <v>0.0314</v>
      </c>
      <c r="J577" s="27">
        <v>0.0344</v>
      </c>
      <c r="K577" s="196">
        <v>4046.0</v>
      </c>
      <c r="L577" s="68">
        <v>158.0</v>
      </c>
      <c r="M577" s="27">
        <v>0.0316</v>
      </c>
      <c r="N577" s="27">
        <v>0.034</v>
      </c>
      <c r="O577" s="27">
        <v>0.9322</v>
      </c>
      <c r="P577" s="27">
        <v>0.7573</v>
      </c>
      <c r="Q577" s="68">
        <v>20.0</v>
      </c>
      <c r="R577" s="68">
        <v>3.0</v>
      </c>
      <c r="S577" s="27">
        <v>0.0069</v>
      </c>
      <c r="T577" s="27">
        <v>0.0265</v>
      </c>
      <c r="U577" s="197">
        <v>324899.16</v>
      </c>
      <c r="V577" s="197">
        <v>50515.44</v>
      </c>
      <c r="W577" s="68">
        <v>20.0</v>
      </c>
      <c r="X577" s="68">
        <v>3.0</v>
      </c>
    </row>
    <row r="578" ht="15.75" customHeight="1">
      <c r="A578" s="3" t="s">
        <v>63</v>
      </c>
      <c r="B578" s="10" t="str">
        <f t="array" ref="B578">_xlfn.XLOOKUP(D578,'Referanc '!$A:$A,'Referanc '!$B:$B)</f>
        <v>Standing Table  - E2</v>
      </c>
      <c r="C578" s="68" t="s">
        <v>309</v>
      </c>
      <c r="D578" s="68" t="s">
        <v>309</v>
      </c>
      <c r="E578" s="68" t="s">
        <v>1317</v>
      </c>
      <c r="F578" s="10" t="str">
        <f t="array" ref="F578">_xlfn.XLOOKUP(D578,'Referanc '!$A:$A,'Referanc '!$E:$E)</f>
        <v>E2</v>
      </c>
      <c r="G578" s="196">
        <v>2267.0</v>
      </c>
      <c r="H578" s="68">
        <v>116.0</v>
      </c>
      <c r="I578" s="27">
        <v>0.0246</v>
      </c>
      <c r="J578" s="27">
        <v>0.0353</v>
      </c>
      <c r="K578" s="196">
        <v>3088.0</v>
      </c>
      <c r="L578" s="68">
        <v>155.0</v>
      </c>
      <c r="M578" s="27">
        <v>0.0241</v>
      </c>
      <c r="N578" s="27">
        <v>0.0334</v>
      </c>
      <c r="O578" s="27">
        <v>0.862</v>
      </c>
      <c r="P578" s="27">
        <v>0.8205</v>
      </c>
      <c r="Q578" s="68">
        <v>21.0</v>
      </c>
      <c r="R578" s="68">
        <v>4.0</v>
      </c>
      <c r="S578" s="27">
        <v>0.0093</v>
      </c>
      <c r="T578" s="27">
        <v>0.0345</v>
      </c>
      <c r="U578" s="197">
        <v>693045.49</v>
      </c>
      <c r="V578" s="197">
        <v>134585.08</v>
      </c>
      <c r="W578" s="68">
        <v>20.0</v>
      </c>
      <c r="X578" s="68">
        <v>3.0</v>
      </c>
    </row>
    <row r="579" ht="15.75" customHeight="1">
      <c r="A579" s="3" t="s">
        <v>63</v>
      </c>
      <c r="B579" s="10" t="str">
        <f t="array" ref="B579">_xlfn.XLOOKUP(D579,'Referanc '!$A:$A,'Referanc '!$B:$B)</f>
        <v>Standing Table - All Frames</v>
      </c>
      <c r="C579" s="68" t="s">
        <v>389</v>
      </c>
      <c r="D579" s="68" t="s">
        <v>389</v>
      </c>
      <c r="E579" s="68" t="s">
        <v>1289</v>
      </c>
      <c r="F579" s="10" t="str">
        <f t="array" ref="F579">_xlfn.XLOOKUP(D579,'Referanc '!$A:$A,'Referanc '!$E:$E)</f>
        <v>M8</v>
      </c>
      <c r="G579" s="196">
        <v>1945.0</v>
      </c>
      <c r="H579" s="68">
        <v>87.0</v>
      </c>
      <c r="I579" s="27">
        <v>0.0211</v>
      </c>
      <c r="J579" s="27">
        <v>0.0265</v>
      </c>
      <c r="K579" s="196">
        <v>2796.0</v>
      </c>
      <c r="L579" s="68">
        <v>211.0</v>
      </c>
      <c r="M579" s="27">
        <v>0.0219</v>
      </c>
      <c r="N579" s="27">
        <v>0.0454</v>
      </c>
      <c r="O579" s="27">
        <v>0.848</v>
      </c>
      <c r="P579" s="27">
        <v>0.9785</v>
      </c>
      <c r="Q579" s="68">
        <v>19.0</v>
      </c>
      <c r="R579" s="68">
        <v>2.0</v>
      </c>
      <c r="S579" s="27">
        <v>0.0098</v>
      </c>
      <c r="T579" s="27">
        <v>0.023</v>
      </c>
      <c r="U579" s="197">
        <v>262599.32</v>
      </c>
      <c r="V579" s="197">
        <v>27690.0</v>
      </c>
      <c r="W579" s="68">
        <v>18.0</v>
      </c>
      <c r="X579" s="68">
        <v>2.0</v>
      </c>
    </row>
    <row r="580" ht="15.75" customHeight="1">
      <c r="A580" s="3" t="s">
        <v>63</v>
      </c>
      <c r="B580" s="10" t="str">
        <f t="array" ref="B580">_xlfn.XLOOKUP(D580,'Referanc '!$A:$A,'Referanc '!$B:$B)</f>
        <v>Standing Table - All Frames</v>
      </c>
      <c r="C580" s="68" t="s">
        <v>306</v>
      </c>
      <c r="D580" s="68" t="s">
        <v>306</v>
      </c>
      <c r="E580" s="68" t="s">
        <v>1170</v>
      </c>
      <c r="F580" s="10" t="str">
        <f t="array" ref="F580">_xlfn.XLOOKUP(D580,'Referanc '!$A:$A,'Referanc '!$E:$E)</f>
        <v>E2</v>
      </c>
      <c r="G580" s="196">
        <v>2054.0</v>
      </c>
      <c r="H580" s="68">
        <v>85.0</v>
      </c>
      <c r="I580" s="27">
        <v>0.0223</v>
      </c>
      <c r="J580" s="27">
        <v>0.0259</v>
      </c>
      <c r="K580" s="196">
        <v>2853.0</v>
      </c>
      <c r="L580" s="68">
        <v>127.0</v>
      </c>
      <c r="M580" s="27">
        <v>0.0223</v>
      </c>
      <c r="N580" s="27">
        <v>0.0274</v>
      </c>
      <c r="O580" s="27">
        <v>0.8493</v>
      </c>
      <c r="P580" s="27">
        <v>0.7579</v>
      </c>
      <c r="Q580" s="68">
        <v>17.0</v>
      </c>
      <c r="R580" s="68">
        <v>3.0</v>
      </c>
      <c r="S580" s="27">
        <v>0.0083</v>
      </c>
      <c r="T580" s="27">
        <v>0.0353</v>
      </c>
      <c r="U580" s="197">
        <v>456295.55</v>
      </c>
      <c r="V580" s="197">
        <v>79205.08</v>
      </c>
      <c r="W580" s="68">
        <v>17.0</v>
      </c>
      <c r="X580" s="68">
        <v>3.0</v>
      </c>
    </row>
    <row r="581" ht="15.75" customHeight="1">
      <c r="A581" s="3" t="s">
        <v>63</v>
      </c>
      <c r="B581" s="10" t="str">
        <f t="array" ref="B581">_xlfn.XLOOKUP(D581,'Referanc '!$A:$A,'Referanc '!$B:$B)</f>
        <v>Standing Table  - E4</v>
      </c>
      <c r="C581" s="68" t="s">
        <v>396</v>
      </c>
      <c r="D581" s="68" t="s">
        <v>396</v>
      </c>
      <c r="E581" s="68" t="s">
        <v>1321</v>
      </c>
      <c r="F581" s="10" t="str">
        <f t="array" ref="F581">_xlfn.XLOOKUP(D581,'Referanc '!$A:$A,'Referanc '!$E:$E)</f>
        <v>E4</v>
      </c>
      <c r="G581" s="196">
        <v>1488.0</v>
      </c>
      <c r="H581" s="68">
        <v>53.0</v>
      </c>
      <c r="I581" s="27">
        <v>0.0162</v>
      </c>
      <c r="J581" s="27">
        <v>0.0161</v>
      </c>
      <c r="K581" s="196">
        <v>1989.0</v>
      </c>
      <c r="L581" s="68">
        <v>71.0</v>
      </c>
      <c r="M581" s="27">
        <v>0.0155</v>
      </c>
      <c r="N581" s="27">
        <v>0.0153</v>
      </c>
      <c r="O581" s="27">
        <v>0.8631</v>
      </c>
      <c r="P581" s="27">
        <v>0.7442</v>
      </c>
      <c r="Q581" s="68">
        <v>16.0</v>
      </c>
      <c r="R581" s="68">
        <v>1.0</v>
      </c>
      <c r="S581" s="27">
        <v>0.0108</v>
      </c>
      <c r="T581" s="27">
        <v>0.0189</v>
      </c>
      <c r="U581" s="197">
        <v>446053.05</v>
      </c>
      <c r="V581" s="197">
        <v>27250.0</v>
      </c>
      <c r="W581" s="68">
        <v>16.0</v>
      </c>
      <c r="X581" s="68">
        <v>1.0</v>
      </c>
    </row>
    <row r="582" ht="15.75" customHeight="1">
      <c r="A582" s="3" t="s">
        <v>63</v>
      </c>
      <c r="B582" s="10" t="str">
        <f t="array" ref="B582">_xlfn.XLOOKUP(D582,'Referanc '!$A:$A,'Referanc '!$B:$B)</f>
        <v>Standing Table  - SM3</v>
      </c>
      <c r="C582" s="68" t="s">
        <v>358</v>
      </c>
      <c r="D582" s="68" t="s">
        <v>358</v>
      </c>
      <c r="E582" s="68" t="s">
        <v>1165</v>
      </c>
      <c r="F582" s="10" t="str">
        <f t="array" ref="F582">_xlfn.XLOOKUP(D582,'Referanc '!$A:$A,'Referanc '!$E:$E)</f>
        <v>SM3</v>
      </c>
      <c r="G582" s="196">
        <v>1344.0</v>
      </c>
      <c r="H582" s="68">
        <v>31.0</v>
      </c>
      <c r="I582" s="27">
        <v>0.0146</v>
      </c>
      <c r="J582" s="27">
        <v>0.0094</v>
      </c>
      <c r="K582" s="196">
        <v>1909.0</v>
      </c>
      <c r="L582" s="68">
        <v>52.0</v>
      </c>
      <c r="M582" s="27">
        <v>0.0149</v>
      </c>
      <c r="N582" s="27">
        <v>0.0112</v>
      </c>
      <c r="O582" s="27">
        <v>0.9351</v>
      </c>
      <c r="P582" s="27">
        <v>0.8125</v>
      </c>
      <c r="Q582" s="68">
        <v>15.0</v>
      </c>
      <c r="R582" s="68">
        <v>0.0</v>
      </c>
      <c r="S582" s="27">
        <v>0.0112</v>
      </c>
      <c r="T582" s="27">
        <v>0.0</v>
      </c>
      <c r="U582" s="197">
        <v>359745.78</v>
      </c>
      <c r="V582" s="197">
        <v>0.0</v>
      </c>
      <c r="W582" s="68">
        <v>15.0</v>
      </c>
      <c r="X582" s="68">
        <v>0.0</v>
      </c>
    </row>
    <row r="583" ht="15.75" customHeight="1">
      <c r="A583" s="3" t="s">
        <v>63</v>
      </c>
      <c r="B583" s="10" t="str">
        <f t="array" ref="B583">_xlfn.XLOOKUP(D583,'Referanc '!$A:$A,'Referanc '!$B:$B)</f>
        <v>Standing Table  - E4</v>
      </c>
      <c r="C583" s="68" t="s">
        <v>398</v>
      </c>
      <c r="D583" s="68" t="s">
        <v>398</v>
      </c>
      <c r="E583" s="68" t="s">
        <v>1279</v>
      </c>
      <c r="F583" s="10" t="str">
        <f t="array" ref="F583">_xlfn.XLOOKUP(D583,'Referanc '!$A:$A,'Referanc '!$E:$E)</f>
        <v>E4</v>
      </c>
      <c r="G583" s="196">
        <v>3364.0</v>
      </c>
      <c r="H583" s="68">
        <v>88.0</v>
      </c>
      <c r="I583" s="27">
        <v>0.0365</v>
      </c>
      <c r="J583" s="27">
        <v>0.0268</v>
      </c>
      <c r="K583" s="196">
        <v>5801.0</v>
      </c>
      <c r="L583" s="68">
        <v>123.0</v>
      </c>
      <c r="M583" s="27">
        <v>0.0453</v>
      </c>
      <c r="N583" s="27">
        <v>0.0265</v>
      </c>
      <c r="O583" s="27">
        <v>0.7777</v>
      </c>
      <c r="P583" s="27">
        <v>0.8026</v>
      </c>
      <c r="Q583" s="68">
        <v>15.0</v>
      </c>
      <c r="R583" s="68">
        <v>2.0</v>
      </c>
      <c r="S583" s="27">
        <v>0.0045</v>
      </c>
      <c r="T583" s="27">
        <v>0.0227</v>
      </c>
      <c r="U583" s="197">
        <v>414846.09</v>
      </c>
      <c r="V583" s="197">
        <v>56650.0</v>
      </c>
      <c r="W583" s="68">
        <v>15.0</v>
      </c>
      <c r="X583" s="68">
        <v>2.0</v>
      </c>
    </row>
    <row r="584" ht="15.75" customHeight="1">
      <c r="A584" s="3" t="s">
        <v>63</v>
      </c>
      <c r="B584" s="10" t="str">
        <f t="array" ref="B584">_xlfn.XLOOKUP(D584,'Referanc '!$A:$A,'Referanc '!$B:$B)</f>
        <v>Standing Table  - E3</v>
      </c>
      <c r="C584" s="68" t="s">
        <v>365</v>
      </c>
      <c r="D584" s="68" t="s">
        <v>365</v>
      </c>
      <c r="E584" s="68" t="s">
        <v>1322</v>
      </c>
      <c r="F584" s="10" t="str">
        <f t="array" ref="F584">_xlfn.XLOOKUP(D584,'Referanc '!$A:$A,'Referanc '!$E:$E)</f>
        <v>E3</v>
      </c>
      <c r="G584" s="196">
        <v>1921.0</v>
      </c>
      <c r="H584" s="68">
        <v>65.0</v>
      </c>
      <c r="I584" s="27">
        <v>0.0209</v>
      </c>
      <c r="J584" s="27">
        <v>0.0198</v>
      </c>
      <c r="K584" s="196">
        <v>2672.0</v>
      </c>
      <c r="L584" s="68">
        <v>94.0</v>
      </c>
      <c r="M584" s="27">
        <v>0.0209</v>
      </c>
      <c r="N584" s="27">
        <v>0.0202</v>
      </c>
      <c r="O584" s="27">
        <v>0.8872</v>
      </c>
      <c r="P584" s="27">
        <v>0.8049</v>
      </c>
      <c r="Q584" s="68">
        <v>14.0</v>
      </c>
      <c r="R584" s="68">
        <v>0.0</v>
      </c>
      <c r="S584" s="27">
        <v>0.0073</v>
      </c>
      <c r="T584" s="27">
        <v>0.0</v>
      </c>
      <c r="U584" s="197">
        <v>555199.68</v>
      </c>
      <c r="V584" s="197">
        <v>0.0</v>
      </c>
      <c r="W584" s="68">
        <v>14.0</v>
      </c>
      <c r="X584" s="68">
        <v>0.0</v>
      </c>
    </row>
    <row r="585" ht="15.75" customHeight="1">
      <c r="A585" s="3" t="s">
        <v>63</v>
      </c>
      <c r="B585" s="10" t="str">
        <f t="array" ref="B585">_xlfn.XLOOKUP(D585,'Referanc '!$A:$A,'Referanc '!$B:$B)</f>
        <v>Standing Table  - E2</v>
      </c>
      <c r="C585" s="68" t="s">
        <v>311</v>
      </c>
      <c r="D585" s="68" t="s">
        <v>311</v>
      </c>
      <c r="E585" s="68" t="s">
        <v>670</v>
      </c>
      <c r="F585" s="10" t="str">
        <f t="array" ref="F585">_xlfn.XLOOKUP(D585,'Referanc '!$A:$A,'Referanc '!$E:$E)</f>
        <v>E2</v>
      </c>
      <c r="G585" s="196">
        <v>2824.0</v>
      </c>
      <c r="H585" s="68">
        <v>71.0</v>
      </c>
      <c r="I585" s="27">
        <v>0.0307</v>
      </c>
      <c r="J585" s="27">
        <v>0.0216</v>
      </c>
      <c r="K585" s="196">
        <v>4034.0</v>
      </c>
      <c r="L585" s="68">
        <v>109.0</v>
      </c>
      <c r="M585" s="27">
        <v>0.0315</v>
      </c>
      <c r="N585" s="27">
        <v>0.0235</v>
      </c>
      <c r="O585" s="27">
        <v>0.8502</v>
      </c>
      <c r="P585" s="27">
        <v>0.8136</v>
      </c>
      <c r="Q585" s="68">
        <v>13.0</v>
      </c>
      <c r="R585" s="68">
        <v>0.0</v>
      </c>
      <c r="S585" s="27">
        <v>0.0046</v>
      </c>
      <c r="T585" s="27">
        <v>0.0</v>
      </c>
      <c r="U585" s="197">
        <v>428880.63</v>
      </c>
      <c r="V585" s="197">
        <v>0.0</v>
      </c>
      <c r="W585" s="68">
        <v>13.0</v>
      </c>
      <c r="X585" s="68">
        <v>0.0</v>
      </c>
    </row>
    <row r="586" ht="15.75" customHeight="1">
      <c r="A586" s="3" t="s">
        <v>63</v>
      </c>
      <c r="B586" s="10" t="str">
        <f t="array" ref="B586">_xlfn.XLOOKUP(D586,'Referanc '!$A:$A,'Referanc '!$B:$B)</f>
        <v>Standing Table  - M8</v>
      </c>
      <c r="C586" s="68" t="s">
        <v>406</v>
      </c>
      <c r="D586" s="68" t="s">
        <v>406</v>
      </c>
      <c r="E586" s="68" t="s">
        <v>1173</v>
      </c>
      <c r="F586" s="10" t="str">
        <f t="array" ref="F586">_xlfn.XLOOKUP(D586,'Referanc '!$A:$A,'Referanc '!$E:$E)</f>
        <v>M8</v>
      </c>
      <c r="G586" s="196">
        <v>1254.0</v>
      </c>
      <c r="H586" s="68">
        <v>48.0</v>
      </c>
      <c r="I586" s="27">
        <v>0.0136</v>
      </c>
      <c r="J586" s="27">
        <v>0.0146</v>
      </c>
      <c r="K586" s="196">
        <v>1870.0</v>
      </c>
      <c r="L586" s="68">
        <v>65.0</v>
      </c>
      <c r="M586" s="27">
        <v>0.0146</v>
      </c>
      <c r="N586" s="27">
        <v>0.014</v>
      </c>
      <c r="O586" s="27">
        <v>0.9454</v>
      </c>
      <c r="P586" s="27">
        <v>0.8667</v>
      </c>
      <c r="Q586" s="68">
        <v>11.0</v>
      </c>
      <c r="R586" s="68">
        <v>0.0</v>
      </c>
      <c r="S586" s="27">
        <v>0.0088</v>
      </c>
      <c r="T586" s="27">
        <v>0.0</v>
      </c>
      <c r="U586" s="197">
        <v>183016.96</v>
      </c>
      <c r="V586" s="197">
        <v>0.0</v>
      </c>
      <c r="W586" s="68">
        <v>11.0</v>
      </c>
      <c r="X586" s="68">
        <v>0.0</v>
      </c>
    </row>
    <row r="587" ht="15.75" customHeight="1">
      <c r="A587" s="3" t="s">
        <v>63</v>
      </c>
      <c r="B587" s="10" t="str">
        <f t="array" ref="B587">_xlfn.XLOOKUP(D587,'Referanc '!$A:$A,'Referanc '!$B:$B)</f>
        <v>Standing Table  - SM3</v>
      </c>
      <c r="C587" s="68" t="s">
        <v>370</v>
      </c>
      <c r="D587" s="68" t="s">
        <v>370</v>
      </c>
      <c r="E587" s="68" t="s">
        <v>1161</v>
      </c>
      <c r="F587" s="10" t="str">
        <f t="array" ref="F587">_xlfn.XLOOKUP(D587,'Referanc '!$A:$A,'Referanc '!$E:$E)</f>
        <v>SM3</v>
      </c>
      <c r="G587" s="68">
        <v>812.0</v>
      </c>
      <c r="H587" s="68">
        <v>15.0</v>
      </c>
      <c r="I587" s="27">
        <v>0.0088</v>
      </c>
      <c r="J587" s="27">
        <v>0.0046</v>
      </c>
      <c r="K587" s="196">
        <v>1118.0</v>
      </c>
      <c r="L587" s="68">
        <v>16.0</v>
      </c>
      <c r="M587" s="27">
        <v>0.0087</v>
      </c>
      <c r="N587" s="27">
        <v>0.0034</v>
      </c>
      <c r="O587" s="27">
        <v>0.9348</v>
      </c>
      <c r="P587" s="27">
        <v>1.0</v>
      </c>
      <c r="Q587" s="68">
        <v>10.0</v>
      </c>
      <c r="R587" s="68">
        <v>0.0</v>
      </c>
      <c r="S587" s="27">
        <v>0.0123</v>
      </c>
      <c r="T587" s="27">
        <v>0.0</v>
      </c>
      <c r="U587" s="197">
        <v>204626.78</v>
      </c>
      <c r="V587" s="197">
        <v>0.0</v>
      </c>
      <c r="W587" s="68">
        <v>10.0</v>
      </c>
      <c r="X587" s="68">
        <v>0.0</v>
      </c>
    </row>
    <row r="588" ht="15.75" customHeight="1">
      <c r="A588" s="3" t="s">
        <v>63</v>
      </c>
      <c r="B588" s="10" t="str">
        <f t="array" ref="B588">_xlfn.XLOOKUP(D588,'Referanc '!$A:$A,'Referanc '!$B:$B)</f>
        <v>Standing Table - All Frames</v>
      </c>
      <c r="C588" s="68" t="s">
        <v>368</v>
      </c>
      <c r="D588" s="68" t="s">
        <v>368</v>
      </c>
      <c r="E588" s="68" t="s">
        <v>1184</v>
      </c>
      <c r="F588" s="10" t="str">
        <f t="array" ref="F588">_xlfn.XLOOKUP(D588,'Referanc '!$A:$A,'Referanc '!$E:$E)</f>
        <v>SM3</v>
      </c>
      <c r="G588" s="68">
        <v>695.0</v>
      </c>
      <c r="H588" s="68">
        <v>27.0</v>
      </c>
      <c r="I588" s="27">
        <v>0.0075</v>
      </c>
      <c r="J588" s="27">
        <v>0.0082</v>
      </c>
      <c r="K588" s="196">
        <v>1022.0</v>
      </c>
      <c r="L588" s="68">
        <v>36.0</v>
      </c>
      <c r="M588" s="27">
        <v>0.008</v>
      </c>
      <c r="N588" s="27">
        <v>0.0078</v>
      </c>
      <c r="O588" s="27">
        <v>0.8757</v>
      </c>
      <c r="P588" s="27">
        <v>0.7692</v>
      </c>
      <c r="Q588" s="68">
        <v>9.0</v>
      </c>
      <c r="R588" s="68">
        <v>1.0</v>
      </c>
      <c r="S588" s="27">
        <v>0.0129</v>
      </c>
      <c r="T588" s="27">
        <v>0.037</v>
      </c>
      <c r="U588" s="197">
        <v>156690.17</v>
      </c>
      <c r="V588" s="197">
        <v>18200.0</v>
      </c>
      <c r="W588" s="68">
        <v>9.0</v>
      </c>
      <c r="X588" s="68">
        <v>1.0</v>
      </c>
    </row>
    <row r="589" ht="15.75" customHeight="1">
      <c r="A589" s="3" t="s">
        <v>63</v>
      </c>
      <c r="B589" s="10" t="str">
        <f t="array" ref="B589">_xlfn.XLOOKUP(D589,'Referanc '!$A:$A,'Referanc '!$B:$B)</f>
        <v>Standing Table - All Frames</v>
      </c>
      <c r="C589" s="68" t="s">
        <v>387</v>
      </c>
      <c r="D589" s="68" t="s">
        <v>387</v>
      </c>
      <c r="E589" s="68" t="s">
        <v>1324</v>
      </c>
      <c r="F589" s="10" t="str">
        <f t="array" ref="F589">_xlfn.XLOOKUP(D589,'Referanc '!$A:$A,'Referanc '!$E:$E)</f>
        <v>E1A</v>
      </c>
      <c r="G589" s="68">
        <v>619.0</v>
      </c>
      <c r="H589" s="68">
        <v>32.0</v>
      </c>
      <c r="I589" s="27">
        <v>0.0067</v>
      </c>
      <c r="J589" s="27">
        <v>0.0098</v>
      </c>
      <c r="K589" s="196">
        <v>1044.0</v>
      </c>
      <c r="L589" s="68">
        <v>51.0</v>
      </c>
      <c r="M589" s="27">
        <v>0.0082</v>
      </c>
      <c r="N589" s="27">
        <v>0.011</v>
      </c>
      <c r="O589" s="27">
        <v>0.937</v>
      </c>
      <c r="P589" s="27">
        <v>0.8</v>
      </c>
      <c r="Q589" s="68">
        <v>9.0</v>
      </c>
      <c r="R589" s="68">
        <v>1.0</v>
      </c>
      <c r="S589" s="27">
        <v>0.0145</v>
      </c>
      <c r="T589" s="27">
        <v>0.0313</v>
      </c>
      <c r="U589" s="197">
        <v>239119.24</v>
      </c>
      <c r="V589" s="197">
        <v>27915.0</v>
      </c>
      <c r="W589" s="68">
        <v>9.0</v>
      </c>
      <c r="X589" s="68">
        <v>1.0</v>
      </c>
    </row>
    <row r="590" ht="15.75" customHeight="1">
      <c r="A590" s="3" t="s">
        <v>63</v>
      </c>
      <c r="B590" s="10" t="str">
        <f t="array" ref="B590">_xlfn.XLOOKUP(D590,'Referanc '!$A:$A,'Referanc '!$B:$B)</f>
        <v>Standing Table  - E1A</v>
      </c>
      <c r="C590" s="68" t="s">
        <v>359</v>
      </c>
      <c r="D590" s="68" t="s">
        <v>359</v>
      </c>
      <c r="E590" s="68" t="s">
        <v>1211</v>
      </c>
      <c r="F590" s="10" t="str">
        <f t="array" ref="F590">_xlfn.XLOOKUP(D590,'Referanc '!$A:$A,'Referanc '!$E:$E)</f>
        <v>E1A</v>
      </c>
      <c r="G590" s="68">
        <v>720.0</v>
      </c>
      <c r="H590" s="68">
        <v>26.0</v>
      </c>
      <c r="I590" s="27">
        <v>0.0078</v>
      </c>
      <c r="J590" s="27">
        <v>0.0079</v>
      </c>
      <c r="K590" s="196">
        <v>1047.0</v>
      </c>
      <c r="L590" s="68">
        <v>40.0</v>
      </c>
      <c r="M590" s="27">
        <v>0.0082</v>
      </c>
      <c r="N590" s="27">
        <v>0.0086</v>
      </c>
      <c r="O590" s="27">
        <v>0.9046</v>
      </c>
      <c r="P590" s="27">
        <v>0.6667</v>
      </c>
      <c r="Q590" s="68">
        <v>8.0</v>
      </c>
      <c r="R590" s="68">
        <v>0.0</v>
      </c>
      <c r="S590" s="27">
        <v>0.0111</v>
      </c>
      <c r="T590" s="27">
        <v>0.0</v>
      </c>
      <c r="U590" s="197">
        <v>259755.4</v>
      </c>
      <c r="V590" s="197">
        <v>0.0</v>
      </c>
      <c r="W590" s="68">
        <v>8.0</v>
      </c>
      <c r="X590" s="68">
        <v>0.0</v>
      </c>
    </row>
    <row r="591" ht="15.75" customHeight="1">
      <c r="A591" s="3" t="s">
        <v>63</v>
      </c>
      <c r="B591" s="10" t="str">
        <f t="array" ref="B591">_xlfn.XLOOKUP(D591,'Referanc '!$A:$A,'Referanc '!$B:$B)</f>
        <v>Standing Table  - E1A</v>
      </c>
      <c r="C591" s="68" t="s">
        <v>354</v>
      </c>
      <c r="D591" s="68" t="s">
        <v>354</v>
      </c>
      <c r="E591" s="68" t="s">
        <v>1325</v>
      </c>
      <c r="F591" s="10" t="str">
        <f t="array" ref="F591">_xlfn.XLOOKUP(D591,'Referanc '!$A:$A,'Referanc '!$E:$E)</f>
        <v>E1A</v>
      </c>
      <c r="G591" s="68">
        <v>457.0</v>
      </c>
      <c r="H591" s="68">
        <v>19.0</v>
      </c>
      <c r="I591" s="27">
        <v>0.005</v>
      </c>
      <c r="J591" s="27">
        <v>0.0058</v>
      </c>
      <c r="K591" s="68">
        <v>718.0</v>
      </c>
      <c r="L591" s="68">
        <v>26.0</v>
      </c>
      <c r="M591" s="27">
        <v>0.0056</v>
      </c>
      <c r="N591" s="27">
        <v>0.0056</v>
      </c>
      <c r="O591" s="27">
        <v>0.9367</v>
      </c>
      <c r="P591" s="27">
        <v>1.0</v>
      </c>
      <c r="Q591" s="68">
        <v>7.0</v>
      </c>
      <c r="R591" s="68">
        <v>0.0</v>
      </c>
      <c r="S591" s="27">
        <v>0.0153</v>
      </c>
      <c r="T591" s="27">
        <v>0.0</v>
      </c>
      <c r="U591" s="197">
        <v>202075.4</v>
      </c>
      <c r="V591" s="197">
        <v>0.0</v>
      </c>
      <c r="W591" s="68">
        <v>7.0</v>
      </c>
      <c r="X591" s="68">
        <v>0.0</v>
      </c>
    </row>
    <row r="592" ht="15.75" customHeight="1">
      <c r="A592" s="3" t="s">
        <v>63</v>
      </c>
      <c r="B592" s="10" t="str">
        <f t="array" ref="B592">_xlfn.XLOOKUP(D592,'Referanc '!$A:$A,'Referanc '!$B:$B)</f>
        <v>Standing Table - All Frames</v>
      </c>
      <c r="C592" s="68" t="s">
        <v>399</v>
      </c>
      <c r="D592" s="68" t="s">
        <v>399</v>
      </c>
      <c r="E592" s="68" t="s">
        <v>1303</v>
      </c>
      <c r="F592" s="10" t="str">
        <f t="array" ref="F592">_xlfn.XLOOKUP(D592,'Referanc '!$A:$A,'Referanc '!$E:$E)</f>
        <v>E1A</v>
      </c>
      <c r="G592" s="68">
        <v>485.0</v>
      </c>
      <c r="H592" s="68">
        <v>17.0</v>
      </c>
      <c r="I592" s="27">
        <v>0.0053</v>
      </c>
      <c r="J592" s="27">
        <v>0.0052</v>
      </c>
      <c r="K592" s="68">
        <v>679.0</v>
      </c>
      <c r="L592" s="68">
        <v>26.0</v>
      </c>
      <c r="M592" s="27">
        <v>0.0053</v>
      </c>
      <c r="N592" s="27">
        <v>0.0056</v>
      </c>
      <c r="O592" s="27">
        <v>0.89</v>
      </c>
      <c r="P592" s="27">
        <v>1.0</v>
      </c>
      <c r="Q592" s="68">
        <v>7.0</v>
      </c>
      <c r="R592" s="68">
        <v>1.0</v>
      </c>
      <c r="S592" s="27">
        <v>0.0144</v>
      </c>
      <c r="T592" s="27">
        <v>0.0588</v>
      </c>
      <c r="U592" s="197">
        <v>180564.24</v>
      </c>
      <c r="V592" s="197">
        <v>25190.0</v>
      </c>
      <c r="W592" s="68">
        <v>7.0</v>
      </c>
      <c r="X592" s="68">
        <v>1.0</v>
      </c>
    </row>
    <row r="593" ht="15.75" customHeight="1">
      <c r="A593" s="3" t="s">
        <v>63</v>
      </c>
      <c r="B593" s="10" t="str">
        <f t="array" ref="B593">_xlfn.XLOOKUP(D593,'Referanc '!$A:$A,'Referanc '!$B:$B)</f>
        <v>Standing Table  - E4</v>
      </c>
      <c r="C593" s="68" t="s">
        <v>375</v>
      </c>
      <c r="D593" s="68" t="s">
        <v>375</v>
      </c>
      <c r="E593" s="68" t="s">
        <v>1329</v>
      </c>
      <c r="F593" s="10" t="str">
        <f t="array" ref="F593">_xlfn.XLOOKUP(D593,'Referanc '!$A:$A,'Referanc '!$E:$E)</f>
        <v>E4</v>
      </c>
      <c r="G593" s="196">
        <v>1281.0</v>
      </c>
      <c r="H593" s="68">
        <v>42.0</v>
      </c>
      <c r="I593" s="27">
        <v>0.0139</v>
      </c>
      <c r="J593" s="27">
        <v>0.0128</v>
      </c>
      <c r="K593" s="196">
        <v>1789.0</v>
      </c>
      <c r="L593" s="68">
        <v>54.0</v>
      </c>
      <c r="M593" s="27">
        <v>0.014</v>
      </c>
      <c r="N593" s="27">
        <v>0.0116</v>
      </c>
      <c r="O593" s="27">
        <v>0.9186</v>
      </c>
      <c r="P593" s="27">
        <v>0.7368</v>
      </c>
      <c r="Q593" s="68">
        <v>7.0</v>
      </c>
      <c r="R593" s="68">
        <v>1.0</v>
      </c>
      <c r="S593" s="27">
        <v>0.0055</v>
      </c>
      <c r="T593" s="27">
        <v>0.0238</v>
      </c>
      <c r="U593" s="197">
        <v>174847.28</v>
      </c>
      <c r="V593" s="197">
        <v>26480.0</v>
      </c>
      <c r="W593" s="68">
        <v>7.0</v>
      </c>
      <c r="X593" s="68">
        <v>1.0</v>
      </c>
    </row>
    <row r="594" ht="15.75" customHeight="1">
      <c r="A594" s="3" t="s">
        <v>63</v>
      </c>
      <c r="B594" s="10" t="str">
        <f t="array" ref="B594">_xlfn.XLOOKUP(D594,'Referanc '!$A:$A,'Referanc '!$B:$B)</f>
        <v>Standing Table  - E3</v>
      </c>
      <c r="C594" s="68" t="s">
        <v>364</v>
      </c>
      <c r="D594" s="68" t="s">
        <v>364</v>
      </c>
      <c r="E594" s="68" t="s">
        <v>1130</v>
      </c>
      <c r="F594" s="10" t="str">
        <f t="array" ref="F594">_xlfn.XLOOKUP(D594,'Referanc '!$A:$A,'Referanc '!$E:$E)</f>
        <v>E3</v>
      </c>
      <c r="G594" s="196">
        <v>1132.0</v>
      </c>
      <c r="H594" s="68">
        <v>25.0</v>
      </c>
      <c r="I594" s="27">
        <v>0.0123</v>
      </c>
      <c r="J594" s="27">
        <v>0.0076</v>
      </c>
      <c r="K594" s="196">
        <v>1528.0</v>
      </c>
      <c r="L594" s="68">
        <v>45.0</v>
      </c>
      <c r="M594" s="27">
        <v>0.0119</v>
      </c>
      <c r="N594" s="27">
        <v>0.0097</v>
      </c>
      <c r="O594" s="27">
        <v>0.9475</v>
      </c>
      <c r="P594" s="27">
        <v>0.9231</v>
      </c>
      <c r="Q594" s="68">
        <v>6.0</v>
      </c>
      <c r="R594" s="68">
        <v>1.0</v>
      </c>
      <c r="S594" s="27">
        <v>0.0053</v>
      </c>
      <c r="T594" s="27">
        <v>0.04</v>
      </c>
      <c r="U594" s="197">
        <v>237089.84</v>
      </c>
      <c r="V594" s="197">
        <v>38597.46</v>
      </c>
      <c r="W594" s="68">
        <v>6.0</v>
      </c>
      <c r="X594" s="68">
        <v>1.0</v>
      </c>
    </row>
    <row r="595" ht="15.75" customHeight="1">
      <c r="A595" s="3" t="s">
        <v>63</v>
      </c>
      <c r="B595" s="10" t="str">
        <f t="array" ref="B595">_xlfn.XLOOKUP(D595,'Referanc '!$A:$A,'Referanc '!$B:$B)</f>
        <v>Standing Table  - E2</v>
      </c>
      <c r="C595" s="68" t="s">
        <v>293</v>
      </c>
      <c r="D595" s="68" t="s">
        <v>293</v>
      </c>
      <c r="E595" s="68" t="s">
        <v>1248</v>
      </c>
      <c r="F595" s="10" t="str">
        <f t="array" ref="F595">_xlfn.XLOOKUP(D595,'Referanc '!$A:$A,'Referanc '!$E:$E)</f>
        <v>E2</v>
      </c>
      <c r="G595" s="196">
        <v>2013.0</v>
      </c>
      <c r="H595" s="68">
        <v>59.0</v>
      </c>
      <c r="I595" s="27">
        <v>0.0219</v>
      </c>
      <c r="J595" s="27">
        <v>0.018</v>
      </c>
      <c r="K595" s="196">
        <v>2476.0</v>
      </c>
      <c r="L595" s="68">
        <v>72.0</v>
      </c>
      <c r="M595" s="27">
        <v>0.0194</v>
      </c>
      <c r="N595" s="27">
        <v>0.0155</v>
      </c>
      <c r="O595" s="27">
        <v>0.8798</v>
      </c>
      <c r="P595" s="27">
        <v>0.9348</v>
      </c>
      <c r="Q595" s="68">
        <v>6.0</v>
      </c>
      <c r="R595" s="68">
        <v>0.0</v>
      </c>
      <c r="S595" s="27">
        <v>0.003</v>
      </c>
      <c r="T595" s="27">
        <v>0.0</v>
      </c>
      <c r="U595" s="197">
        <v>182635.24</v>
      </c>
      <c r="V595" s="197">
        <v>0.0</v>
      </c>
      <c r="W595" s="68">
        <v>6.0</v>
      </c>
      <c r="X595" s="68">
        <v>0.0</v>
      </c>
    </row>
    <row r="596" ht="15.75" customHeight="1">
      <c r="A596" s="3" t="s">
        <v>63</v>
      </c>
      <c r="B596" s="10" t="str">
        <f t="array" ref="B596">_xlfn.XLOOKUP(D596,'Referanc '!$A:$A,'Referanc '!$B:$B)</f>
        <v>Standing Table  - M8</v>
      </c>
      <c r="C596" s="68" t="s">
        <v>412</v>
      </c>
      <c r="D596" s="68" t="s">
        <v>412</v>
      </c>
      <c r="E596" s="68" t="s">
        <v>1177</v>
      </c>
      <c r="F596" s="10" t="str">
        <f t="array" ref="F596">_xlfn.XLOOKUP(D596,'Referanc '!$A:$A,'Referanc '!$E:$E)</f>
        <v>M8</v>
      </c>
      <c r="G596" s="68">
        <v>716.0</v>
      </c>
      <c r="H596" s="68">
        <v>18.0</v>
      </c>
      <c r="I596" s="27">
        <v>0.0078</v>
      </c>
      <c r="J596" s="27">
        <v>0.0055</v>
      </c>
      <c r="K596" s="68">
        <v>923.0</v>
      </c>
      <c r="L596" s="68">
        <v>19.0</v>
      </c>
      <c r="M596" s="27">
        <v>0.0072</v>
      </c>
      <c r="N596" s="27">
        <v>0.0041</v>
      </c>
      <c r="O596" s="27">
        <v>0.889</v>
      </c>
      <c r="P596" s="27">
        <v>0.7</v>
      </c>
      <c r="Q596" s="68">
        <v>5.0</v>
      </c>
      <c r="R596" s="68">
        <v>0.0</v>
      </c>
      <c r="S596" s="27">
        <v>0.007</v>
      </c>
      <c r="T596" s="27">
        <v>0.0</v>
      </c>
      <c r="U596" s="197">
        <v>99177.88</v>
      </c>
      <c r="V596" s="197">
        <v>0.0</v>
      </c>
      <c r="W596" s="68">
        <v>5.0</v>
      </c>
      <c r="X596" s="68">
        <v>0.0</v>
      </c>
    </row>
    <row r="597" ht="15.75" customHeight="1">
      <c r="A597" s="3" t="s">
        <v>63</v>
      </c>
      <c r="B597" s="10" t="str">
        <f t="array" ref="B597">_xlfn.XLOOKUP(D597,'Referanc '!$A:$A,'Referanc '!$B:$B)</f>
        <v>Standing Table  - M8</v>
      </c>
      <c r="C597" s="68" t="s">
        <v>410</v>
      </c>
      <c r="D597" s="68" t="s">
        <v>410</v>
      </c>
      <c r="E597" s="68" t="s">
        <v>1172</v>
      </c>
      <c r="F597" s="10" t="str">
        <f t="array" ref="F597">_xlfn.XLOOKUP(D597,'Referanc '!$A:$A,'Referanc '!$E:$E)</f>
        <v>M8</v>
      </c>
      <c r="G597" s="68">
        <v>782.0</v>
      </c>
      <c r="H597" s="68">
        <v>27.0</v>
      </c>
      <c r="I597" s="27">
        <v>0.0085</v>
      </c>
      <c r="J597" s="27">
        <v>0.0082</v>
      </c>
      <c r="K597" s="196">
        <v>1162.0</v>
      </c>
      <c r="L597" s="68">
        <v>33.0</v>
      </c>
      <c r="M597" s="27">
        <v>0.0091</v>
      </c>
      <c r="N597" s="27">
        <v>0.0071</v>
      </c>
      <c r="O597" s="27">
        <v>0.9517</v>
      </c>
      <c r="P597" s="27">
        <v>0.8947</v>
      </c>
      <c r="Q597" s="68">
        <v>5.0</v>
      </c>
      <c r="R597" s="68">
        <v>1.0</v>
      </c>
      <c r="S597" s="27">
        <v>0.0064</v>
      </c>
      <c r="T597" s="27">
        <v>0.037</v>
      </c>
      <c r="U597" s="197">
        <v>101126.88</v>
      </c>
      <c r="V597" s="197">
        <v>21200.0</v>
      </c>
      <c r="W597" s="68">
        <v>5.0</v>
      </c>
      <c r="X597" s="68">
        <v>1.0</v>
      </c>
    </row>
    <row r="598" ht="15.75" customHeight="1">
      <c r="A598" s="3" t="s">
        <v>63</v>
      </c>
      <c r="B598" s="10" t="str">
        <f t="array" ref="B598">_xlfn.XLOOKUP(D598,'Referanc '!$A:$A,'Referanc '!$B:$B)</f>
        <v>Standing Desk Converter</v>
      </c>
      <c r="C598" s="68" t="s">
        <v>363</v>
      </c>
      <c r="D598" s="68" t="s">
        <v>363</v>
      </c>
      <c r="E598" s="68" t="s">
        <v>571</v>
      </c>
      <c r="F598" s="10" t="str">
        <f t="array" ref="F598">_xlfn.XLOOKUP(D598,'Referanc '!$A:$A,'Referanc '!$E:$E)</f>
        <v>Standing Desk Converter</v>
      </c>
      <c r="G598" s="68">
        <v>432.0</v>
      </c>
      <c r="H598" s="68">
        <v>16.0</v>
      </c>
      <c r="I598" s="27">
        <v>0.0047</v>
      </c>
      <c r="J598" s="27">
        <v>0.0049</v>
      </c>
      <c r="K598" s="68">
        <v>628.0</v>
      </c>
      <c r="L598" s="68">
        <v>26.0</v>
      </c>
      <c r="M598" s="27">
        <v>0.0049</v>
      </c>
      <c r="N598" s="27">
        <v>0.0056</v>
      </c>
      <c r="O598" s="27">
        <v>0.9208</v>
      </c>
      <c r="P598" s="27">
        <v>1.0</v>
      </c>
      <c r="Q598" s="68">
        <v>5.0</v>
      </c>
      <c r="R598" s="68">
        <v>3.0</v>
      </c>
      <c r="S598" s="27">
        <v>0.0116</v>
      </c>
      <c r="T598" s="27">
        <v>0.1875</v>
      </c>
      <c r="U598" s="197">
        <v>45200.0</v>
      </c>
      <c r="V598" s="197">
        <v>28300.0</v>
      </c>
      <c r="W598" s="68">
        <v>5.0</v>
      </c>
      <c r="X598" s="68">
        <v>3.0</v>
      </c>
    </row>
    <row r="599" ht="15.75" customHeight="1">
      <c r="A599" s="3" t="s">
        <v>63</v>
      </c>
      <c r="B599" s="10" t="str">
        <f t="array" ref="B599">_xlfn.XLOOKUP(D599,'Referanc '!$A:$A,'Referanc '!$B:$B)</f>
        <v>Standing Desk Converter</v>
      </c>
      <c r="C599" s="68" t="s">
        <v>326</v>
      </c>
      <c r="D599" s="68" t="s">
        <v>326</v>
      </c>
      <c r="E599" s="68" t="s">
        <v>1149</v>
      </c>
      <c r="F599" s="10" t="str">
        <f t="array" ref="F599">_xlfn.XLOOKUP(D599,'Referanc '!$A:$A,'Referanc '!$E:$E)</f>
        <v>Standing Desk Converter</v>
      </c>
      <c r="G599" s="68">
        <v>578.0</v>
      </c>
      <c r="H599" s="68">
        <v>21.0</v>
      </c>
      <c r="I599" s="27">
        <v>0.0063</v>
      </c>
      <c r="J599" s="27">
        <v>0.0064</v>
      </c>
      <c r="K599" s="68">
        <v>795.0</v>
      </c>
      <c r="L599" s="68">
        <v>26.0</v>
      </c>
      <c r="M599" s="27">
        <v>0.0062</v>
      </c>
      <c r="N599" s="27">
        <v>0.0056</v>
      </c>
      <c r="O599" s="27">
        <v>0.8783</v>
      </c>
      <c r="P599" s="27">
        <v>0.7647</v>
      </c>
      <c r="Q599" s="68">
        <v>5.0</v>
      </c>
      <c r="R599" s="68">
        <v>2.0</v>
      </c>
      <c r="S599" s="27">
        <v>0.0087</v>
      </c>
      <c r="T599" s="27">
        <v>0.0952</v>
      </c>
      <c r="U599" s="197">
        <v>34950.0</v>
      </c>
      <c r="V599" s="197">
        <v>13980.0</v>
      </c>
      <c r="W599" s="68">
        <v>5.0</v>
      </c>
      <c r="X599" s="68">
        <v>2.0</v>
      </c>
    </row>
    <row r="600" ht="15.75" customHeight="1">
      <c r="A600" s="3" t="s">
        <v>63</v>
      </c>
      <c r="B600" s="10" t="str">
        <f t="array" ref="B600">_xlfn.XLOOKUP(D600,'Referanc '!$A:$A,'Referanc '!$B:$B)</f>
        <v>Standing Table  - E2</v>
      </c>
      <c r="C600" s="68" t="s">
        <v>313</v>
      </c>
      <c r="D600" s="68" t="s">
        <v>313</v>
      </c>
      <c r="E600" s="68" t="s">
        <v>672</v>
      </c>
      <c r="F600" s="10" t="str">
        <f t="array" ref="F600">_xlfn.XLOOKUP(D600,'Referanc '!$A:$A,'Referanc '!$E:$E)</f>
        <v>E2</v>
      </c>
      <c r="G600" s="196">
        <v>1370.0</v>
      </c>
      <c r="H600" s="68">
        <v>23.0</v>
      </c>
      <c r="I600" s="27">
        <v>0.0149</v>
      </c>
      <c r="J600" s="27">
        <v>0.007</v>
      </c>
      <c r="K600" s="196">
        <v>1805.0</v>
      </c>
      <c r="L600" s="68">
        <v>29.0</v>
      </c>
      <c r="M600" s="27">
        <v>0.0141</v>
      </c>
      <c r="N600" s="27">
        <v>0.0062</v>
      </c>
      <c r="O600" s="27">
        <v>0.8203</v>
      </c>
      <c r="P600" s="27">
        <v>0.8</v>
      </c>
      <c r="Q600" s="68">
        <v>5.0</v>
      </c>
      <c r="R600" s="68">
        <v>0.0</v>
      </c>
      <c r="S600" s="27">
        <v>0.0036</v>
      </c>
      <c r="T600" s="27">
        <v>0.0</v>
      </c>
      <c r="U600" s="197">
        <v>160145.08</v>
      </c>
      <c r="V600" s="197">
        <v>0.0</v>
      </c>
      <c r="W600" s="68">
        <v>5.0</v>
      </c>
      <c r="X600" s="68">
        <v>0.0</v>
      </c>
    </row>
    <row r="601" ht="15.75" customHeight="1">
      <c r="A601" s="3" t="s">
        <v>63</v>
      </c>
      <c r="B601" s="10" t="str">
        <f t="array" ref="B601">_xlfn.XLOOKUP(D601,'Referanc '!$A:$A,'Referanc '!$B:$B)</f>
        <v>Standing Table - All Frames</v>
      </c>
      <c r="C601" s="68" t="s">
        <v>343</v>
      </c>
      <c r="D601" s="68" t="s">
        <v>343</v>
      </c>
      <c r="E601" s="68" t="s">
        <v>1153</v>
      </c>
      <c r="F601" s="10" t="str">
        <f t="array" ref="F601">_xlfn.XLOOKUP(D601,'Referanc '!$A:$A,'Referanc '!$E:$E)</f>
        <v>E3</v>
      </c>
      <c r="G601" s="68">
        <v>570.0</v>
      </c>
      <c r="H601" s="68">
        <v>30.0</v>
      </c>
      <c r="I601" s="27">
        <v>0.0062</v>
      </c>
      <c r="J601" s="27">
        <v>0.0091</v>
      </c>
      <c r="K601" s="68">
        <v>827.0</v>
      </c>
      <c r="L601" s="68">
        <v>38.0</v>
      </c>
      <c r="M601" s="27">
        <v>0.0065</v>
      </c>
      <c r="N601" s="27">
        <v>0.0082</v>
      </c>
      <c r="O601" s="27">
        <v>0.9035</v>
      </c>
      <c r="P601" s="27">
        <v>0.7333</v>
      </c>
      <c r="Q601" s="68">
        <v>5.0</v>
      </c>
      <c r="R601" s="68">
        <v>1.0</v>
      </c>
      <c r="S601" s="27">
        <v>0.0088</v>
      </c>
      <c r="T601" s="27">
        <v>0.0333</v>
      </c>
      <c r="U601" s="197">
        <v>169887.3</v>
      </c>
      <c r="V601" s="197">
        <v>33837.46</v>
      </c>
      <c r="W601" s="68">
        <v>5.0</v>
      </c>
      <c r="X601" s="68">
        <v>1.0</v>
      </c>
    </row>
    <row r="602" ht="15.75" customHeight="1">
      <c r="A602" s="3" t="s">
        <v>63</v>
      </c>
      <c r="B602" s="10" t="str">
        <f t="array" ref="B602">_xlfn.XLOOKUP(D602,'Referanc '!$A:$A,'Referanc '!$B:$B)</f>
        <v>Standing Table  - SM3</v>
      </c>
      <c r="C602" s="68" t="s">
        <v>401</v>
      </c>
      <c r="D602" s="68" t="s">
        <v>401</v>
      </c>
      <c r="E602" s="68" t="s">
        <v>1160</v>
      </c>
      <c r="F602" s="10" t="str">
        <f t="array" ref="F602">_xlfn.XLOOKUP(D602,'Referanc '!$A:$A,'Referanc '!$E:$E)</f>
        <v>SM3</v>
      </c>
      <c r="G602" s="68">
        <v>674.0</v>
      </c>
      <c r="H602" s="68">
        <v>30.0</v>
      </c>
      <c r="I602" s="27">
        <v>0.0073</v>
      </c>
      <c r="J602" s="27">
        <v>0.0091</v>
      </c>
      <c r="K602" s="68">
        <v>880.0</v>
      </c>
      <c r="L602" s="68">
        <v>56.0</v>
      </c>
      <c r="M602" s="27">
        <v>0.0069</v>
      </c>
      <c r="N602" s="27">
        <v>0.0121</v>
      </c>
      <c r="O602" s="27">
        <v>0.9761</v>
      </c>
      <c r="P602" s="27">
        <v>1.0</v>
      </c>
      <c r="Q602" s="68">
        <v>5.0</v>
      </c>
      <c r="R602" s="68">
        <v>1.0</v>
      </c>
      <c r="S602" s="27">
        <v>0.0074</v>
      </c>
      <c r="T602" s="27">
        <v>0.0333</v>
      </c>
      <c r="U602" s="197">
        <v>100924.78</v>
      </c>
      <c r="V602" s="197">
        <v>21200.0</v>
      </c>
      <c r="W602" s="68">
        <v>5.0</v>
      </c>
      <c r="X602" s="68">
        <v>1.0</v>
      </c>
    </row>
    <row r="603" ht="15.75" customHeight="1">
      <c r="A603" s="3" t="s">
        <v>63</v>
      </c>
      <c r="B603" s="10" t="str">
        <f t="array" ref="B603">_xlfn.XLOOKUP(D603,'Referanc '!$A:$A,'Referanc '!$B:$B)</f>
        <v>Standing Table  - E3</v>
      </c>
      <c r="C603" s="68" t="s">
        <v>376</v>
      </c>
      <c r="D603" s="68" t="s">
        <v>376</v>
      </c>
      <c r="E603" s="68" t="s">
        <v>1157</v>
      </c>
      <c r="F603" s="10" t="str">
        <f t="array" ref="F603">_xlfn.XLOOKUP(D603,'Referanc '!$A:$A,'Referanc '!$E:$E)</f>
        <v>E3</v>
      </c>
      <c r="G603" s="68">
        <v>564.0</v>
      </c>
      <c r="H603" s="68">
        <v>27.0</v>
      </c>
      <c r="I603" s="27">
        <v>0.0061</v>
      </c>
      <c r="J603" s="27">
        <v>0.0082</v>
      </c>
      <c r="K603" s="68">
        <v>813.0</v>
      </c>
      <c r="L603" s="68">
        <v>34.0</v>
      </c>
      <c r="M603" s="27">
        <v>0.0064</v>
      </c>
      <c r="N603" s="27">
        <v>0.0073</v>
      </c>
      <c r="O603" s="27">
        <v>0.8376</v>
      </c>
      <c r="P603" s="27">
        <v>0.4762</v>
      </c>
      <c r="Q603" s="68">
        <v>5.0</v>
      </c>
      <c r="R603" s="68">
        <v>0.0</v>
      </c>
      <c r="S603" s="27">
        <v>0.0089</v>
      </c>
      <c r="T603" s="27">
        <v>0.0</v>
      </c>
      <c r="U603" s="197">
        <v>165422.38</v>
      </c>
      <c r="V603" s="197">
        <v>0.0</v>
      </c>
      <c r="W603" s="68">
        <v>4.0</v>
      </c>
      <c r="X603" s="68">
        <v>0.0</v>
      </c>
    </row>
    <row r="604" ht="15.75" customHeight="1">
      <c r="A604" s="3" t="s">
        <v>63</v>
      </c>
      <c r="B604" s="10" t="str">
        <f t="array" ref="B604">_xlfn.XLOOKUP(D604,'Referanc '!$A:$A,'Referanc '!$B:$B)</f>
        <v>Standing Table  - SM3</v>
      </c>
      <c r="C604" s="68" t="s">
        <v>379</v>
      </c>
      <c r="D604" s="68" t="s">
        <v>379</v>
      </c>
      <c r="E604" s="68" t="s">
        <v>1209</v>
      </c>
      <c r="F604" s="10" t="str">
        <f t="array" ref="F604">_xlfn.XLOOKUP(D604,'Referanc '!$A:$A,'Referanc '!$E:$E)</f>
        <v>SM3</v>
      </c>
      <c r="G604" s="68">
        <v>581.0</v>
      </c>
      <c r="H604" s="68">
        <v>15.0</v>
      </c>
      <c r="I604" s="27">
        <v>0.0063</v>
      </c>
      <c r="J604" s="27">
        <v>0.0046</v>
      </c>
      <c r="K604" s="68">
        <v>746.0</v>
      </c>
      <c r="L604" s="68">
        <v>19.0</v>
      </c>
      <c r="M604" s="27">
        <v>0.0058</v>
      </c>
      <c r="N604" s="27">
        <v>0.0041</v>
      </c>
      <c r="O604" s="27">
        <v>0.9326</v>
      </c>
      <c r="P604" s="27">
        <v>1.0</v>
      </c>
      <c r="Q604" s="68">
        <v>4.0</v>
      </c>
      <c r="R604" s="68">
        <v>1.0</v>
      </c>
      <c r="S604" s="27">
        <v>0.0069</v>
      </c>
      <c r="T604" s="27">
        <v>0.0667</v>
      </c>
      <c r="U604" s="197">
        <v>83675.78</v>
      </c>
      <c r="V604" s="197">
        <v>22060.0</v>
      </c>
      <c r="W604" s="68">
        <v>4.0</v>
      </c>
      <c r="X604" s="68">
        <v>1.0</v>
      </c>
    </row>
    <row r="605" ht="15.75" customHeight="1">
      <c r="A605" s="3" t="s">
        <v>63</v>
      </c>
      <c r="B605" s="10" t="str">
        <f t="array" ref="B605">_xlfn.XLOOKUP(D605,'Referanc '!$A:$A,'Referanc '!$B:$B)</f>
        <v>Standing Table  - E4</v>
      </c>
      <c r="C605" s="68" t="s">
        <v>388</v>
      </c>
      <c r="D605" s="68" t="s">
        <v>388</v>
      </c>
      <c r="E605" s="68" t="s">
        <v>1278</v>
      </c>
      <c r="F605" s="10" t="str">
        <f t="array" ref="F605">_xlfn.XLOOKUP(D605,'Referanc '!$A:$A,'Referanc '!$E:$E)</f>
        <v>E4</v>
      </c>
      <c r="G605" s="196">
        <v>1014.0</v>
      </c>
      <c r="H605" s="68">
        <v>54.0</v>
      </c>
      <c r="I605" s="27">
        <v>0.011</v>
      </c>
      <c r="J605" s="27">
        <v>0.0165</v>
      </c>
      <c r="K605" s="196">
        <v>1375.0</v>
      </c>
      <c r="L605" s="68">
        <v>90.0</v>
      </c>
      <c r="M605" s="27">
        <v>0.0107</v>
      </c>
      <c r="N605" s="27">
        <v>0.0194</v>
      </c>
      <c r="O605" s="27">
        <v>0.9116</v>
      </c>
      <c r="P605" s="27">
        <v>0.8421</v>
      </c>
      <c r="Q605" s="68">
        <v>4.0</v>
      </c>
      <c r="R605" s="68">
        <v>1.0</v>
      </c>
      <c r="S605" s="27">
        <v>0.0039</v>
      </c>
      <c r="T605" s="27">
        <v>0.0185</v>
      </c>
      <c r="U605" s="197">
        <v>104100.0</v>
      </c>
      <c r="V605" s="197">
        <v>27300.0</v>
      </c>
      <c r="W605" s="68">
        <v>4.0</v>
      </c>
      <c r="X605" s="68">
        <v>1.0</v>
      </c>
    </row>
    <row r="606" ht="15.75" customHeight="1">
      <c r="A606" s="3" t="s">
        <v>63</v>
      </c>
      <c r="B606" s="10" t="str">
        <f t="array" ref="B606">_xlfn.XLOOKUP(D606,'Referanc '!$A:$A,'Referanc '!$B:$B)</f>
        <v>Standing Table - All Frames</v>
      </c>
      <c r="C606" s="68" t="s">
        <v>402</v>
      </c>
      <c r="D606" s="68" t="s">
        <v>402</v>
      </c>
      <c r="E606" s="68" t="s">
        <v>697</v>
      </c>
      <c r="F606" s="10" t="str">
        <f t="array" ref="F606">_xlfn.XLOOKUP(D606,'Referanc '!$A:$A,'Referanc '!$E:$E)</f>
        <v>E4</v>
      </c>
      <c r="G606" s="68">
        <v>784.0</v>
      </c>
      <c r="H606" s="68">
        <v>45.0</v>
      </c>
      <c r="I606" s="27">
        <v>0.0085</v>
      </c>
      <c r="J606" s="27">
        <v>0.0137</v>
      </c>
      <c r="K606" s="68">
        <v>975.0</v>
      </c>
      <c r="L606" s="68">
        <v>54.0</v>
      </c>
      <c r="M606" s="27">
        <v>0.0076</v>
      </c>
      <c r="N606" s="27">
        <v>0.0116</v>
      </c>
      <c r="O606" s="27">
        <v>0.9007</v>
      </c>
      <c r="P606" s="27">
        <v>0.7941</v>
      </c>
      <c r="Q606" s="68">
        <v>4.0</v>
      </c>
      <c r="R606" s="68">
        <v>0.0</v>
      </c>
      <c r="S606" s="27">
        <v>0.0051</v>
      </c>
      <c r="T606" s="27">
        <v>0.0</v>
      </c>
      <c r="U606" s="197">
        <v>92986.52</v>
      </c>
      <c r="V606" s="197">
        <v>0.0</v>
      </c>
      <c r="W606" s="68">
        <v>4.0</v>
      </c>
      <c r="X606" s="68">
        <v>0.0</v>
      </c>
    </row>
    <row r="607" ht="15.75" customHeight="1">
      <c r="A607" s="3" t="s">
        <v>63</v>
      </c>
      <c r="B607" s="10" t="str">
        <f t="array" ref="B607">_xlfn.XLOOKUP(D607,'Referanc '!$A:$A,'Referanc '!$B:$B)</f>
        <v>Monitor Arm Stand</v>
      </c>
      <c r="C607" s="68" t="s">
        <v>355</v>
      </c>
      <c r="D607" s="68" t="s">
        <v>355</v>
      </c>
      <c r="E607" s="68" t="s">
        <v>1280</v>
      </c>
      <c r="F607" s="10" t="str">
        <f t="array" ref="F607">_xlfn.XLOOKUP(D607,'Referanc '!$A:$A,'Referanc '!$E:$E)</f>
        <v>Monitor Arm Stand</v>
      </c>
      <c r="G607" s="196">
        <v>1259.0</v>
      </c>
      <c r="H607" s="68">
        <v>66.0</v>
      </c>
      <c r="I607" s="27">
        <v>0.0137</v>
      </c>
      <c r="J607" s="27">
        <v>0.0201</v>
      </c>
      <c r="K607" s="196">
        <v>1596.0</v>
      </c>
      <c r="L607" s="68">
        <v>88.0</v>
      </c>
      <c r="M607" s="27">
        <v>0.0125</v>
      </c>
      <c r="N607" s="27">
        <v>0.019</v>
      </c>
      <c r="O607" s="27">
        <v>0.964</v>
      </c>
      <c r="P607" s="27">
        <v>0.9623</v>
      </c>
      <c r="Q607" s="68">
        <v>4.0</v>
      </c>
      <c r="R607" s="68">
        <v>0.0</v>
      </c>
      <c r="S607" s="27">
        <v>0.0032</v>
      </c>
      <c r="T607" s="27">
        <v>0.0</v>
      </c>
      <c r="U607" s="197">
        <v>25996.0</v>
      </c>
      <c r="V607" s="197">
        <v>0.0</v>
      </c>
      <c r="W607" s="68">
        <v>4.0</v>
      </c>
      <c r="X607" s="68">
        <v>0.0</v>
      </c>
    </row>
    <row r="608" ht="15.75" customHeight="1">
      <c r="A608" s="3" t="s">
        <v>63</v>
      </c>
      <c r="B608" s="10" t="str">
        <f t="array" ref="B608">_xlfn.XLOOKUP(D608,'Referanc '!$A:$A,'Referanc '!$B:$B)</f>
        <v>Extension &amp; Holder</v>
      </c>
      <c r="C608" s="68" t="s">
        <v>340</v>
      </c>
      <c r="D608" s="68" t="s">
        <v>340</v>
      </c>
      <c r="E608" s="68" t="s">
        <v>698</v>
      </c>
      <c r="F608" s="10" t="str">
        <f t="array" ref="F608">_xlfn.XLOOKUP(D608,'Referanc '!$A:$A,'Referanc '!$E:$E)</f>
        <v>Extension Board Holder</v>
      </c>
      <c r="G608" s="68">
        <v>128.0</v>
      </c>
      <c r="H608" s="68">
        <v>10.0</v>
      </c>
      <c r="I608" s="27">
        <v>0.0014</v>
      </c>
      <c r="J608" s="27">
        <v>0.003</v>
      </c>
      <c r="K608" s="68">
        <v>163.0</v>
      </c>
      <c r="L608" s="68">
        <v>13.0</v>
      </c>
      <c r="M608" s="27">
        <v>0.0013</v>
      </c>
      <c r="N608" s="27">
        <v>0.0028</v>
      </c>
      <c r="O608" s="27">
        <v>0.8333</v>
      </c>
      <c r="P608" s="27">
        <v>1.0</v>
      </c>
      <c r="Q608" s="68">
        <v>4.0</v>
      </c>
      <c r="R608" s="68">
        <v>1.0</v>
      </c>
      <c r="S608" s="27">
        <v>0.0313</v>
      </c>
      <c r="T608" s="27">
        <v>0.1</v>
      </c>
      <c r="U608" s="197">
        <v>3996.0</v>
      </c>
      <c r="V608" s="197">
        <v>999.0</v>
      </c>
      <c r="W608" s="68">
        <v>4.0</v>
      </c>
      <c r="X608" s="68">
        <v>1.0</v>
      </c>
    </row>
    <row r="609" ht="15.75" customHeight="1">
      <c r="A609" s="3" t="s">
        <v>63</v>
      </c>
      <c r="B609" s="10" t="str">
        <f t="array" ref="B609">_xlfn.XLOOKUP(D609,'Referanc '!$A:$A,'Referanc '!$B:$B)</f>
        <v>Single Leg Gas</v>
      </c>
      <c r="C609" s="68" t="s">
        <v>332</v>
      </c>
      <c r="D609" s="68" t="s">
        <v>332</v>
      </c>
      <c r="E609" s="68" t="s">
        <v>1015</v>
      </c>
      <c r="F609" s="10" t="str">
        <f t="array" ref="F609">_xlfn.XLOOKUP(D609,'Referanc '!$A:$A,'Referanc '!$E:$E)</f>
        <v>Single Leg Gas</v>
      </c>
      <c r="G609" s="68">
        <v>245.0</v>
      </c>
      <c r="H609" s="68">
        <v>15.0</v>
      </c>
      <c r="I609" s="27">
        <v>0.0027</v>
      </c>
      <c r="J609" s="27">
        <v>0.0046</v>
      </c>
      <c r="K609" s="68">
        <v>350.0</v>
      </c>
      <c r="L609" s="68">
        <v>24.0</v>
      </c>
      <c r="M609" s="27">
        <v>0.0027</v>
      </c>
      <c r="N609" s="27">
        <v>0.0052</v>
      </c>
      <c r="O609" s="27">
        <v>0.8762</v>
      </c>
      <c r="P609" s="27">
        <v>0.9412</v>
      </c>
      <c r="Q609" s="68">
        <v>3.0</v>
      </c>
      <c r="R609" s="68">
        <v>1.0</v>
      </c>
      <c r="S609" s="27">
        <v>0.0122</v>
      </c>
      <c r="T609" s="27">
        <v>0.0667</v>
      </c>
      <c r="U609" s="197">
        <v>35100.0</v>
      </c>
      <c r="V609" s="197">
        <v>11600.0</v>
      </c>
      <c r="W609" s="68">
        <v>3.0</v>
      </c>
      <c r="X609" s="68">
        <v>1.0</v>
      </c>
    </row>
    <row r="610" ht="15.75" customHeight="1">
      <c r="A610" s="3" t="s">
        <v>63</v>
      </c>
      <c r="B610" s="10" t="str">
        <f t="array" ref="B610">_xlfn.XLOOKUP(D610,'Referanc '!$A:$A,'Referanc '!$B:$B)</f>
        <v>Single Leg Gas</v>
      </c>
      <c r="C610" s="68" t="s">
        <v>335</v>
      </c>
      <c r="D610" s="68" t="s">
        <v>335</v>
      </c>
      <c r="E610" s="68" t="s">
        <v>526</v>
      </c>
      <c r="F610" s="10" t="str">
        <f t="array" ref="F610">_xlfn.XLOOKUP(D610,'Referanc '!$A:$A,'Referanc '!$E:$E)</f>
        <v>Single Leg Gas</v>
      </c>
      <c r="G610" s="68">
        <v>219.0</v>
      </c>
      <c r="H610" s="68">
        <v>14.0</v>
      </c>
      <c r="I610" s="27">
        <v>0.0024</v>
      </c>
      <c r="J610" s="27">
        <v>0.0043</v>
      </c>
      <c r="K610" s="68">
        <v>299.0</v>
      </c>
      <c r="L610" s="68">
        <v>18.0</v>
      </c>
      <c r="M610" s="27">
        <v>0.0023</v>
      </c>
      <c r="N610" s="27">
        <v>0.0039</v>
      </c>
      <c r="O610" s="27">
        <v>0.8722</v>
      </c>
      <c r="P610" s="27">
        <v>0.9</v>
      </c>
      <c r="Q610" s="68">
        <v>3.0</v>
      </c>
      <c r="R610" s="68">
        <v>1.0</v>
      </c>
      <c r="S610" s="27">
        <v>0.0137</v>
      </c>
      <c r="T610" s="27">
        <v>0.0714</v>
      </c>
      <c r="U610" s="197">
        <v>34800.0</v>
      </c>
      <c r="V610" s="197">
        <v>11600.0</v>
      </c>
      <c r="W610" s="68">
        <v>3.0</v>
      </c>
      <c r="X610" s="68">
        <v>1.0</v>
      </c>
    </row>
    <row r="611" ht="15.75" customHeight="1">
      <c r="A611" s="3" t="s">
        <v>63</v>
      </c>
      <c r="B611" s="10" t="str">
        <f t="array" ref="B611">_xlfn.XLOOKUP(D611,'Referanc '!$A:$A,'Referanc '!$B:$B)</f>
        <v>Standing Table  - E3</v>
      </c>
      <c r="C611" s="68" t="s">
        <v>400</v>
      </c>
      <c r="D611" s="68" t="s">
        <v>400</v>
      </c>
      <c r="E611" s="68" t="s">
        <v>1130</v>
      </c>
      <c r="F611" s="10" t="str">
        <f t="array" ref="F611">_xlfn.XLOOKUP(D611,'Referanc '!$A:$A,'Referanc '!$E:$E)</f>
        <v>E3</v>
      </c>
      <c r="G611" s="68">
        <v>404.0</v>
      </c>
      <c r="H611" s="68">
        <v>16.0</v>
      </c>
      <c r="I611" s="27">
        <v>0.0044</v>
      </c>
      <c r="J611" s="27">
        <v>0.0049</v>
      </c>
      <c r="K611" s="68">
        <v>583.0</v>
      </c>
      <c r="L611" s="68">
        <v>23.0</v>
      </c>
      <c r="M611" s="27">
        <v>0.0046</v>
      </c>
      <c r="N611" s="27">
        <v>0.005</v>
      </c>
      <c r="O611" s="27">
        <v>0.9674</v>
      </c>
      <c r="P611" s="27">
        <v>0.9167</v>
      </c>
      <c r="Q611" s="68">
        <v>3.0</v>
      </c>
      <c r="R611" s="68">
        <v>0.0</v>
      </c>
      <c r="S611" s="27">
        <v>0.0074</v>
      </c>
      <c r="T611" s="27">
        <v>0.0</v>
      </c>
      <c r="U611" s="197">
        <v>115792.38</v>
      </c>
      <c r="V611" s="197">
        <v>0.0</v>
      </c>
      <c r="W611" s="68">
        <v>3.0</v>
      </c>
      <c r="X611" s="68">
        <v>0.0</v>
      </c>
    </row>
    <row r="612" ht="15.75" customHeight="1">
      <c r="A612" s="3" t="s">
        <v>63</v>
      </c>
      <c r="B612" s="10" t="str">
        <f t="array" ref="B612">_xlfn.XLOOKUP(D612,'Referanc '!$A:$A,'Referanc '!$B:$B)</f>
        <v>Standing Table  - SM3</v>
      </c>
      <c r="C612" s="68" t="s">
        <v>383</v>
      </c>
      <c r="D612" s="68" t="s">
        <v>383</v>
      </c>
      <c r="E612" s="68" t="s">
        <v>1206</v>
      </c>
      <c r="F612" s="10" t="str">
        <f t="array" ref="F612">_xlfn.XLOOKUP(D612,'Referanc '!$A:$A,'Referanc '!$E:$E)</f>
        <v>SM3</v>
      </c>
      <c r="G612" s="68">
        <v>538.0</v>
      </c>
      <c r="H612" s="68">
        <v>18.0</v>
      </c>
      <c r="I612" s="27">
        <v>0.0058</v>
      </c>
      <c r="J612" s="27">
        <v>0.0055</v>
      </c>
      <c r="K612" s="68">
        <v>795.0</v>
      </c>
      <c r="L612" s="68">
        <v>29.0</v>
      </c>
      <c r="M612" s="27">
        <v>0.0062</v>
      </c>
      <c r="N612" s="27">
        <v>0.0062</v>
      </c>
      <c r="O612" s="27">
        <v>0.9584</v>
      </c>
      <c r="P612" s="27">
        <v>0.8462</v>
      </c>
      <c r="Q612" s="68">
        <v>3.0</v>
      </c>
      <c r="R612" s="68">
        <v>0.0</v>
      </c>
      <c r="S612" s="27">
        <v>0.0056</v>
      </c>
      <c r="T612" s="27">
        <v>0.0</v>
      </c>
      <c r="U612" s="197">
        <v>74261.39</v>
      </c>
      <c r="V612" s="197">
        <v>0.0</v>
      </c>
      <c r="W612" s="68">
        <v>3.0</v>
      </c>
      <c r="X612" s="68">
        <v>0.0</v>
      </c>
    </row>
    <row r="613" ht="15.75" customHeight="1">
      <c r="A613" s="3" t="s">
        <v>63</v>
      </c>
      <c r="B613" s="10" t="str">
        <f t="array" ref="B613">_xlfn.XLOOKUP(D613,'Referanc '!$A:$A,'Referanc '!$B:$B)</f>
        <v>Standing Table  - E1A</v>
      </c>
      <c r="C613" s="68" t="s">
        <v>380</v>
      </c>
      <c r="D613" s="68" t="s">
        <v>380</v>
      </c>
      <c r="E613" s="68" t="s">
        <v>1276</v>
      </c>
      <c r="F613" s="10" t="str">
        <f t="array" ref="F613">_xlfn.XLOOKUP(D613,'Referanc '!$A:$A,'Referanc '!$E:$E)</f>
        <v>E1A</v>
      </c>
      <c r="G613" s="68">
        <v>674.0</v>
      </c>
      <c r="H613" s="68">
        <v>15.0</v>
      </c>
      <c r="I613" s="27">
        <v>0.0073</v>
      </c>
      <c r="J613" s="27">
        <v>0.0046</v>
      </c>
      <c r="K613" s="68">
        <v>919.0</v>
      </c>
      <c r="L613" s="68">
        <v>31.0</v>
      </c>
      <c r="M613" s="27">
        <v>0.0072</v>
      </c>
      <c r="N613" s="27">
        <v>0.0067</v>
      </c>
      <c r="O613" s="27">
        <v>0.9393</v>
      </c>
      <c r="P613" s="27">
        <v>1.0</v>
      </c>
      <c r="Q613" s="68">
        <v>3.0</v>
      </c>
      <c r="R613" s="68">
        <v>0.0</v>
      </c>
      <c r="S613" s="27">
        <v>0.0045</v>
      </c>
      <c r="T613" s="27">
        <v>0.0</v>
      </c>
      <c r="U613" s="197">
        <v>98480.16</v>
      </c>
      <c r="V613" s="197">
        <v>0.0</v>
      </c>
      <c r="W613" s="68">
        <v>3.0</v>
      </c>
      <c r="X613" s="68">
        <v>0.0</v>
      </c>
    </row>
    <row r="614" ht="15.75" customHeight="1">
      <c r="A614" s="3" t="s">
        <v>63</v>
      </c>
      <c r="B614" s="10" t="str">
        <f t="array" ref="B614">_xlfn.XLOOKUP(D614,'Referanc '!$A:$A,'Referanc '!$B:$B)</f>
        <v>Standing Table  - E1A</v>
      </c>
      <c r="C614" s="68" t="s">
        <v>385</v>
      </c>
      <c r="D614" s="68" t="s">
        <v>385</v>
      </c>
      <c r="E614" s="68" t="s">
        <v>1345</v>
      </c>
      <c r="F614" s="10" t="str">
        <f t="array" ref="F614">_xlfn.XLOOKUP(D614,'Referanc '!$A:$A,'Referanc '!$E:$E)</f>
        <v>E1A</v>
      </c>
      <c r="G614" s="68">
        <v>731.0</v>
      </c>
      <c r="H614" s="68">
        <v>31.0</v>
      </c>
      <c r="I614" s="27">
        <v>0.0079</v>
      </c>
      <c r="J614" s="27">
        <v>0.0094</v>
      </c>
      <c r="K614" s="68">
        <v>979.0</v>
      </c>
      <c r="L614" s="68">
        <v>44.0</v>
      </c>
      <c r="M614" s="27">
        <v>0.0077</v>
      </c>
      <c r="N614" s="27">
        <v>0.0095</v>
      </c>
      <c r="O614" s="27">
        <v>0.9187</v>
      </c>
      <c r="P614" s="27">
        <v>0.8333</v>
      </c>
      <c r="Q614" s="68">
        <v>3.0</v>
      </c>
      <c r="R614" s="68">
        <v>1.0</v>
      </c>
      <c r="S614" s="27">
        <v>0.0041</v>
      </c>
      <c r="T614" s="27">
        <v>0.0323</v>
      </c>
      <c r="U614" s="197">
        <v>98495.24</v>
      </c>
      <c r="V614" s="197">
        <v>31335.08</v>
      </c>
      <c r="W614" s="68">
        <v>3.0</v>
      </c>
      <c r="X614" s="68">
        <v>1.0</v>
      </c>
    </row>
    <row r="615" ht="15.75" customHeight="1">
      <c r="A615" s="3" t="s">
        <v>63</v>
      </c>
      <c r="B615" s="10" t="str">
        <f t="array" ref="B615">_xlfn.XLOOKUP(D615,'Referanc '!$A:$A,'Referanc '!$B:$B)</f>
        <v>Laptop Table</v>
      </c>
      <c r="C615" s="68" t="s">
        <v>328</v>
      </c>
      <c r="D615" s="68" t="s">
        <v>328</v>
      </c>
      <c r="E615" s="68" t="s">
        <v>1349</v>
      </c>
      <c r="F615" s="10" t="str">
        <f t="array" ref="F615">_xlfn.XLOOKUP(D615,'Referanc '!$A:$A,'Referanc '!$E:$E)</f>
        <v>Laptop Table</v>
      </c>
      <c r="G615" s="68">
        <v>691.0</v>
      </c>
      <c r="H615" s="68">
        <v>16.0</v>
      </c>
      <c r="I615" s="27">
        <v>0.0075</v>
      </c>
      <c r="J615" s="27">
        <v>0.0049</v>
      </c>
      <c r="K615" s="68">
        <v>935.0</v>
      </c>
      <c r="L615" s="68">
        <v>25.0</v>
      </c>
      <c r="M615" s="27">
        <v>0.0073</v>
      </c>
      <c r="N615" s="27">
        <v>0.0054</v>
      </c>
      <c r="O615" s="27">
        <v>0.753</v>
      </c>
      <c r="P615" s="27">
        <v>1.0</v>
      </c>
      <c r="Q615" s="68">
        <v>4.0</v>
      </c>
      <c r="R615" s="68">
        <v>0.0</v>
      </c>
      <c r="S615" s="27">
        <v>0.0058</v>
      </c>
      <c r="T615" s="27">
        <v>0.0</v>
      </c>
      <c r="U615" s="197">
        <v>47600.0</v>
      </c>
      <c r="V615" s="197">
        <v>0.0</v>
      </c>
      <c r="W615" s="68">
        <v>2.0</v>
      </c>
      <c r="X615" s="68">
        <v>0.0</v>
      </c>
    </row>
    <row r="616" ht="15.75" customHeight="1">
      <c r="A616" s="3" t="s">
        <v>63</v>
      </c>
      <c r="B616" s="10" t="str">
        <f t="array" ref="B616">_xlfn.XLOOKUP(D616,'Referanc '!$A:$A,'Referanc '!$B:$B)</f>
        <v>Standing Table  - E1A</v>
      </c>
      <c r="C616" s="68" t="s">
        <v>382</v>
      </c>
      <c r="D616" s="68" t="s">
        <v>382</v>
      </c>
      <c r="E616" s="68" t="s">
        <v>1300</v>
      </c>
      <c r="F616" s="10" t="str">
        <f t="array" ref="F616">_xlfn.XLOOKUP(D616,'Referanc '!$A:$A,'Referanc '!$E:$E)</f>
        <v>E1A</v>
      </c>
      <c r="G616" s="68">
        <v>353.0</v>
      </c>
      <c r="H616" s="68">
        <v>10.0</v>
      </c>
      <c r="I616" s="27">
        <v>0.0038</v>
      </c>
      <c r="J616" s="27">
        <v>0.003</v>
      </c>
      <c r="K616" s="68">
        <v>515.0</v>
      </c>
      <c r="L616" s="68">
        <v>13.0</v>
      </c>
      <c r="M616" s="27">
        <v>0.004</v>
      </c>
      <c r="N616" s="27">
        <v>0.0028</v>
      </c>
      <c r="O616" s="27">
        <v>0.9509</v>
      </c>
      <c r="P616" s="27">
        <v>0.7</v>
      </c>
      <c r="Q616" s="68">
        <v>2.0</v>
      </c>
      <c r="R616" s="68">
        <v>0.0</v>
      </c>
      <c r="S616" s="27">
        <v>0.0057</v>
      </c>
      <c r="T616" s="27">
        <v>0.0</v>
      </c>
      <c r="U616" s="197">
        <v>56045.08</v>
      </c>
      <c r="V616" s="197">
        <v>0.0</v>
      </c>
      <c r="W616" s="68">
        <v>2.0</v>
      </c>
      <c r="X616" s="68">
        <v>0.0</v>
      </c>
    </row>
    <row r="617" ht="15.75" customHeight="1">
      <c r="A617" s="3" t="s">
        <v>63</v>
      </c>
      <c r="B617" s="10" t="str">
        <f t="array" ref="B617">_xlfn.XLOOKUP(D617,'Referanc '!$A:$A,'Referanc '!$B:$B)</f>
        <v>TABLE TOP</v>
      </c>
      <c r="C617" s="68" t="s">
        <v>357</v>
      </c>
      <c r="D617" s="68" t="s">
        <v>357</v>
      </c>
      <c r="E617" s="68" t="s">
        <v>535</v>
      </c>
      <c r="F617" s="10" t="str">
        <f t="array" ref="F617">_xlfn.XLOOKUP(D617,'Referanc '!$A:$A,'Referanc '!$E:$E)</f>
        <v>TABLE TOP</v>
      </c>
      <c r="G617" s="68">
        <v>172.0</v>
      </c>
      <c r="H617" s="68">
        <v>4.0</v>
      </c>
      <c r="I617" s="27">
        <v>0.0019</v>
      </c>
      <c r="J617" s="27">
        <v>0.0012</v>
      </c>
      <c r="K617" s="68">
        <v>214.0</v>
      </c>
      <c r="L617" s="68">
        <v>4.0</v>
      </c>
      <c r="M617" s="27">
        <v>0.0017</v>
      </c>
      <c r="N617" s="27">
        <v>9.0E-4</v>
      </c>
      <c r="O617" s="27">
        <v>0.7941</v>
      </c>
      <c r="P617" s="27">
        <v>1.0</v>
      </c>
      <c r="Q617" s="68">
        <v>1.0</v>
      </c>
      <c r="R617" s="68">
        <v>0.0</v>
      </c>
      <c r="S617" s="27">
        <v>0.0058</v>
      </c>
      <c r="T617" s="27">
        <v>0.0</v>
      </c>
      <c r="U617" s="197">
        <v>8000.0</v>
      </c>
      <c r="V617" s="197">
        <v>0.0</v>
      </c>
      <c r="W617" s="68">
        <v>1.0</v>
      </c>
      <c r="X617" s="68">
        <v>0.0</v>
      </c>
    </row>
    <row r="618" ht="15.75" customHeight="1">
      <c r="A618" s="3" t="s">
        <v>63</v>
      </c>
      <c r="B618" s="10" t="str">
        <f t="array" ref="B618">_xlfn.XLOOKUP(D618,'Referanc '!$A:$A,'Referanc '!$B:$B)</f>
        <v>TABLE TOP</v>
      </c>
      <c r="C618" s="68" t="s">
        <v>324</v>
      </c>
      <c r="D618" s="68" t="s">
        <v>324</v>
      </c>
      <c r="E618" s="68" t="s">
        <v>533</v>
      </c>
      <c r="F618" s="10" t="str">
        <f t="array" ref="F618">_xlfn.XLOOKUP(D618,'Referanc '!$A:$A,'Referanc '!$E:$E)</f>
        <v>TABLE TOP</v>
      </c>
      <c r="G618" s="68">
        <v>203.0</v>
      </c>
      <c r="H618" s="68">
        <v>10.0</v>
      </c>
      <c r="I618" s="27">
        <v>0.0022</v>
      </c>
      <c r="J618" s="27">
        <v>0.003</v>
      </c>
      <c r="K618" s="68">
        <v>245.0</v>
      </c>
      <c r="L618" s="68">
        <v>12.0</v>
      </c>
      <c r="M618" s="27">
        <v>0.0019</v>
      </c>
      <c r="N618" s="27">
        <v>0.0026</v>
      </c>
      <c r="O618" s="27">
        <v>0.8428</v>
      </c>
      <c r="P618" s="27">
        <v>1.0</v>
      </c>
      <c r="Q618" s="68">
        <v>1.0</v>
      </c>
      <c r="R618" s="68">
        <v>0.0</v>
      </c>
      <c r="S618" s="27">
        <v>0.0049</v>
      </c>
      <c r="T618" s="27">
        <v>0.0</v>
      </c>
      <c r="U618" s="197">
        <v>5900.0</v>
      </c>
      <c r="V618" s="197">
        <v>0.0</v>
      </c>
      <c r="W618" s="68">
        <v>1.0</v>
      </c>
      <c r="X618" s="68">
        <v>0.0</v>
      </c>
    </row>
    <row r="619" ht="15.75" customHeight="1">
      <c r="A619" s="3" t="s">
        <v>63</v>
      </c>
      <c r="B619" s="10" t="s">
        <v>241</v>
      </c>
      <c r="C619" s="68" t="s">
        <v>339</v>
      </c>
      <c r="D619" s="68" t="s">
        <v>339</v>
      </c>
      <c r="E619" s="68" t="s">
        <v>547</v>
      </c>
      <c r="F619" s="10" t="str">
        <f t="array" ref="F619">_xlfn.XLOOKUP(D619,'Referanc '!$A:$A,'Referanc '!$E:$E)</f>
        <v>Anti Fatigue Mat</v>
      </c>
      <c r="G619" s="68">
        <v>124.0</v>
      </c>
      <c r="H619" s="68">
        <v>5.0</v>
      </c>
      <c r="I619" s="27">
        <v>0.0013</v>
      </c>
      <c r="J619" s="27">
        <v>0.0015</v>
      </c>
      <c r="K619" s="68">
        <v>147.0</v>
      </c>
      <c r="L619" s="68">
        <v>5.0</v>
      </c>
      <c r="M619" s="27">
        <v>0.0011</v>
      </c>
      <c r="N619" s="27">
        <v>0.0011</v>
      </c>
      <c r="O619" s="27">
        <v>1.0</v>
      </c>
      <c r="P619" s="27">
        <v>1.0</v>
      </c>
      <c r="Q619" s="68">
        <v>1.0</v>
      </c>
      <c r="R619" s="68">
        <v>0.0</v>
      </c>
      <c r="S619" s="27">
        <v>0.0081</v>
      </c>
      <c r="T619" s="27">
        <v>0.0</v>
      </c>
      <c r="U619" s="197">
        <v>3400.0</v>
      </c>
      <c r="V619" s="197">
        <v>0.0</v>
      </c>
      <c r="W619" s="68">
        <v>1.0</v>
      </c>
      <c r="X619" s="68">
        <v>0.0</v>
      </c>
    </row>
    <row r="620" ht="15.75" customHeight="1">
      <c r="A620" s="3" t="s">
        <v>63</v>
      </c>
      <c r="B620" s="10" t="str">
        <f t="array" ref="B620">_xlfn.XLOOKUP(D620,'Referanc '!$A:$A,'Referanc '!$B:$B)</f>
        <v>Standing Table  - E3</v>
      </c>
      <c r="C620" s="68" t="s">
        <v>344</v>
      </c>
      <c r="D620" s="68" t="s">
        <v>344</v>
      </c>
      <c r="E620" s="68" t="s">
        <v>1351</v>
      </c>
      <c r="F620" s="10" t="str">
        <f t="array" ref="F620">_xlfn.XLOOKUP(D620,'Referanc '!$A:$A,'Referanc '!$E:$E)</f>
        <v>E3</v>
      </c>
      <c r="G620" s="68">
        <v>411.0</v>
      </c>
      <c r="H620" s="68">
        <v>11.0</v>
      </c>
      <c r="I620" s="27">
        <v>0.0045</v>
      </c>
      <c r="J620" s="27">
        <v>0.0034</v>
      </c>
      <c r="K620" s="68">
        <v>570.0</v>
      </c>
      <c r="L620" s="68">
        <v>14.0</v>
      </c>
      <c r="M620" s="27">
        <v>0.0045</v>
      </c>
      <c r="N620" s="27">
        <v>0.003</v>
      </c>
      <c r="O620" s="27">
        <v>0.9249</v>
      </c>
      <c r="P620" s="27">
        <v>0.4</v>
      </c>
      <c r="Q620" s="68">
        <v>1.0</v>
      </c>
      <c r="R620" s="68">
        <v>0.0</v>
      </c>
      <c r="S620" s="27">
        <v>0.0024</v>
      </c>
      <c r="T620" s="27">
        <v>0.0</v>
      </c>
      <c r="U620" s="197">
        <v>37837.46</v>
      </c>
      <c r="V620" s="197">
        <v>0.0</v>
      </c>
      <c r="W620" s="68">
        <v>1.0</v>
      </c>
      <c r="X620" s="68">
        <v>0.0</v>
      </c>
    </row>
    <row r="621" ht="15.75" customHeight="1">
      <c r="A621" s="3" t="s">
        <v>63</v>
      </c>
      <c r="B621" s="10" t="str">
        <f t="array" ref="B621">_xlfn.XLOOKUP(D621,'Referanc '!$A:$A,'Referanc '!$B:$B)</f>
        <v>Standing Table  - E3</v>
      </c>
      <c r="C621" s="68" t="s">
        <v>377</v>
      </c>
      <c r="D621" s="68" t="s">
        <v>377</v>
      </c>
      <c r="E621" s="68" t="s">
        <v>1143</v>
      </c>
      <c r="F621" s="10" t="str">
        <f t="array" ref="F621">_xlfn.XLOOKUP(D621,'Referanc '!$A:$A,'Referanc '!$E:$E)</f>
        <v>E3</v>
      </c>
      <c r="G621" s="68">
        <v>311.0</v>
      </c>
      <c r="H621" s="68">
        <v>16.0</v>
      </c>
      <c r="I621" s="27">
        <v>0.0034</v>
      </c>
      <c r="J621" s="27">
        <v>0.0049</v>
      </c>
      <c r="K621" s="68">
        <v>447.0</v>
      </c>
      <c r="L621" s="68">
        <v>23.0</v>
      </c>
      <c r="M621" s="27">
        <v>0.0035</v>
      </c>
      <c r="N621" s="27">
        <v>0.005</v>
      </c>
      <c r="O621" s="27">
        <v>0.9513</v>
      </c>
      <c r="P621" s="27">
        <v>0.7273</v>
      </c>
      <c r="Q621" s="68">
        <v>1.0</v>
      </c>
      <c r="R621" s="68">
        <v>0.0</v>
      </c>
      <c r="S621" s="27">
        <v>0.0032</v>
      </c>
      <c r="T621" s="27">
        <v>0.0</v>
      </c>
      <c r="U621" s="197">
        <v>39400.0</v>
      </c>
      <c r="V621" s="197">
        <v>0.0</v>
      </c>
      <c r="W621" s="68">
        <v>1.0</v>
      </c>
      <c r="X621" s="68">
        <v>0.0</v>
      </c>
    </row>
    <row r="622" ht="15.75" customHeight="1">
      <c r="A622" s="3" t="s">
        <v>63</v>
      </c>
      <c r="B622" s="10" t="str">
        <f t="array" ref="B622">_xlfn.XLOOKUP(D622,'Referanc '!$A:$A,'Referanc '!$B:$B)</f>
        <v>Standing Table  - M3</v>
      </c>
      <c r="C622" s="68" t="s">
        <v>330</v>
      </c>
      <c r="D622" s="68" t="s">
        <v>330</v>
      </c>
      <c r="E622" s="68" t="s">
        <v>1029</v>
      </c>
      <c r="F622" s="10" t="str">
        <f t="array" ref="F622">_xlfn.XLOOKUP(D622,'Referanc '!$A:$A,'Referanc '!$E:$E)</f>
        <v>M3</v>
      </c>
      <c r="G622" s="68">
        <v>278.0</v>
      </c>
      <c r="H622" s="68">
        <v>9.0</v>
      </c>
      <c r="I622" s="27">
        <v>0.003</v>
      </c>
      <c r="J622" s="27">
        <v>0.0027</v>
      </c>
      <c r="K622" s="68">
        <v>377.0</v>
      </c>
      <c r="L622" s="68">
        <v>10.0</v>
      </c>
      <c r="M622" s="27">
        <v>0.0029</v>
      </c>
      <c r="N622" s="27">
        <v>0.0022</v>
      </c>
      <c r="O622" s="27">
        <v>0.926</v>
      </c>
      <c r="P622" s="27">
        <v>0.8</v>
      </c>
      <c r="Q622" s="68">
        <v>1.0</v>
      </c>
      <c r="R622" s="68">
        <v>0.0</v>
      </c>
      <c r="S622" s="27">
        <v>0.0036</v>
      </c>
      <c r="T622" s="27">
        <v>0.0</v>
      </c>
      <c r="U622" s="197">
        <v>16500.0</v>
      </c>
      <c r="V622" s="197">
        <v>0.0</v>
      </c>
      <c r="W622" s="68">
        <v>1.0</v>
      </c>
      <c r="X622" s="68">
        <v>0.0</v>
      </c>
    </row>
    <row r="623" ht="15.75" customHeight="1">
      <c r="A623" s="3" t="s">
        <v>63</v>
      </c>
      <c r="B623" s="10" t="str">
        <f t="array" ref="B623">_xlfn.XLOOKUP(D623,'Referanc '!$A:$A,'Referanc '!$B:$B)</f>
        <v>Standing Table  - E1A</v>
      </c>
      <c r="C623" s="68" t="s">
        <v>367</v>
      </c>
      <c r="D623" s="68" t="s">
        <v>367</v>
      </c>
      <c r="E623" s="68" t="s">
        <v>1235</v>
      </c>
      <c r="F623" s="10" t="str">
        <f t="array" ref="F623">_xlfn.XLOOKUP(D623,'Referanc '!$A:$A,'Referanc '!$E:$E)</f>
        <v>E1A</v>
      </c>
      <c r="G623" s="68">
        <v>808.0</v>
      </c>
      <c r="H623" s="68">
        <v>23.0</v>
      </c>
      <c r="I623" s="27">
        <v>0.0088</v>
      </c>
      <c r="J623" s="27">
        <v>0.007</v>
      </c>
      <c r="K623" s="68">
        <v>999.0</v>
      </c>
      <c r="L623" s="68">
        <v>24.0</v>
      </c>
      <c r="M623" s="27">
        <v>0.0078</v>
      </c>
      <c r="N623" s="27">
        <v>0.0052</v>
      </c>
      <c r="O623" s="27">
        <v>0.8054</v>
      </c>
      <c r="P623" s="27">
        <v>1.0</v>
      </c>
      <c r="Q623" s="68">
        <v>1.0</v>
      </c>
      <c r="R623" s="68">
        <v>0.0</v>
      </c>
      <c r="S623" s="27">
        <v>0.0012</v>
      </c>
      <c r="T623" s="27">
        <v>0.0</v>
      </c>
      <c r="U623" s="197">
        <v>31335.08</v>
      </c>
      <c r="V623" s="197">
        <v>0.0</v>
      </c>
      <c r="W623" s="68">
        <v>1.0</v>
      </c>
      <c r="X623" s="68">
        <v>0.0</v>
      </c>
    </row>
    <row r="624" ht="15.75" customHeight="1">
      <c r="A624" s="3" t="s">
        <v>63</v>
      </c>
      <c r="B624" s="10" t="str">
        <f t="array" ref="B624">_xlfn.XLOOKUP(D624,'Referanc '!$A:$A,'Referanc '!$B:$B)</f>
        <v>Standing Table  - E1A</v>
      </c>
      <c r="C624" s="68" t="s">
        <v>371</v>
      </c>
      <c r="D624" s="68" t="s">
        <v>371</v>
      </c>
      <c r="E624" s="68" t="s">
        <v>1353</v>
      </c>
      <c r="F624" s="10" t="str">
        <f t="array" ref="F624">_xlfn.XLOOKUP(D624,'Referanc '!$A:$A,'Referanc '!$E:$E)</f>
        <v>E1A</v>
      </c>
      <c r="G624" s="68">
        <v>371.0</v>
      </c>
      <c r="H624" s="68">
        <v>11.0</v>
      </c>
      <c r="I624" s="27">
        <v>0.004</v>
      </c>
      <c r="J624" s="27">
        <v>0.0034</v>
      </c>
      <c r="K624" s="68">
        <v>426.0</v>
      </c>
      <c r="L624" s="68">
        <v>11.0</v>
      </c>
      <c r="M624" s="27">
        <v>0.0033</v>
      </c>
      <c r="N624" s="27">
        <v>0.0024</v>
      </c>
      <c r="O624" s="27">
        <v>0.9378</v>
      </c>
      <c r="P624" s="27">
        <v>1.0</v>
      </c>
      <c r="Q624" s="68">
        <v>1.0</v>
      </c>
      <c r="R624" s="68">
        <v>0.0</v>
      </c>
      <c r="S624" s="27">
        <v>0.0027</v>
      </c>
      <c r="T624" s="27">
        <v>0.0</v>
      </c>
      <c r="U624" s="197">
        <v>29245.08</v>
      </c>
      <c r="V624" s="197">
        <v>0.0</v>
      </c>
      <c r="W624" s="68">
        <v>1.0</v>
      </c>
      <c r="X624" s="68">
        <v>0.0</v>
      </c>
    </row>
    <row r="625" ht="15.75" customHeight="1">
      <c r="A625" s="3" t="s">
        <v>63</v>
      </c>
      <c r="B625" s="10" t="str">
        <f t="array" ref="B625">_xlfn.XLOOKUP(D625,'Referanc '!$A:$A,'Referanc '!$B:$B)</f>
        <v>Standing Table  - E1A</v>
      </c>
      <c r="C625" s="68" t="s">
        <v>384</v>
      </c>
      <c r="D625" s="68" t="s">
        <v>384</v>
      </c>
      <c r="E625" s="68" t="s">
        <v>1302</v>
      </c>
      <c r="F625" s="10" t="str">
        <f t="array" ref="F625">_xlfn.XLOOKUP(D625,'Referanc '!$A:$A,'Referanc '!$E:$E)</f>
        <v>E1A</v>
      </c>
      <c r="G625" s="68">
        <v>253.0</v>
      </c>
      <c r="H625" s="68">
        <v>12.0</v>
      </c>
      <c r="I625" s="27">
        <v>0.0027</v>
      </c>
      <c r="J625" s="27">
        <v>0.0037</v>
      </c>
      <c r="K625" s="68">
        <v>377.0</v>
      </c>
      <c r="L625" s="68">
        <v>12.0</v>
      </c>
      <c r="M625" s="27">
        <v>0.0029</v>
      </c>
      <c r="N625" s="27">
        <v>0.0026</v>
      </c>
      <c r="O625" s="27">
        <v>0.9315</v>
      </c>
      <c r="P625" s="27">
        <v>0.6</v>
      </c>
      <c r="Q625" s="68">
        <v>1.0</v>
      </c>
      <c r="R625" s="68">
        <v>0.0</v>
      </c>
      <c r="S625" s="27">
        <v>0.004</v>
      </c>
      <c r="T625" s="27">
        <v>0.0</v>
      </c>
      <c r="U625" s="197">
        <v>31295.08</v>
      </c>
      <c r="V625" s="197">
        <v>0.0</v>
      </c>
      <c r="W625" s="68">
        <v>1.0</v>
      </c>
      <c r="X625" s="68">
        <v>0.0</v>
      </c>
    </row>
    <row r="626" ht="15.75" customHeight="1">
      <c r="A626" s="3" t="s">
        <v>63</v>
      </c>
      <c r="B626" s="10" t="str">
        <f t="array" ref="B626">_xlfn.XLOOKUP(D626,'Referanc '!$A:$A,'Referanc '!$B:$B)</f>
        <v>Standing Table  - E4</v>
      </c>
      <c r="C626" s="68" t="s">
        <v>407</v>
      </c>
      <c r="D626" s="68" t="s">
        <v>407</v>
      </c>
      <c r="E626" s="68" t="s">
        <v>1306</v>
      </c>
      <c r="F626" s="10" t="str">
        <f t="array" ref="F626">_xlfn.XLOOKUP(D626,'Referanc '!$A:$A,'Referanc '!$E:$E)</f>
        <v>E4</v>
      </c>
      <c r="G626" s="68">
        <v>17.0</v>
      </c>
      <c r="H626" s="68">
        <v>0.0</v>
      </c>
      <c r="I626" s="27">
        <v>2.0E-4</v>
      </c>
      <c r="J626" s="27">
        <v>0.0</v>
      </c>
      <c r="K626" s="68">
        <v>21.0</v>
      </c>
      <c r="L626" s="68">
        <v>0.0</v>
      </c>
      <c r="M626" s="27">
        <v>2.0E-4</v>
      </c>
      <c r="N626" s="27">
        <v>0.0</v>
      </c>
      <c r="O626" s="27">
        <v>0.9</v>
      </c>
      <c r="P626" s="27">
        <v>0.0</v>
      </c>
      <c r="Q626" s="68">
        <v>1.0</v>
      </c>
      <c r="R626" s="68">
        <v>0.0</v>
      </c>
      <c r="S626" s="27">
        <v>0.0588</v>
      </c>
      <c r="T626" s="27">
        <v>0.0</v>
      </c>
      <c r="U626" s="197">
        <v>31900.0</v>
      </c>
      <c r="V626" s="197">
        <v>0.0</v>
      </c>
      <c r="W626" s="68">
        <v>1.0</v>
      </c>
      <c r="X626" s="68">
        <v>0.0</v>
      </c>
    </row>
    <row r="627" ht="15.75" customHeight="1">
      <c r="A627" s="3" t="s">
        <v>63</v>
      </c>
      <c r="B627" s="10" t="str">
        <f t="array" ref="B627">_xlfn.XLOOKUP(D627,'Referanc '!$A:$A,'Referanc '!$B:$B)</f>
        <v>TABLE TOP</v>
      </c>
      <c r="C627" s="68" t="s">
        <v>323</v>
      </c>
      <c r="D627" s="68" t="s">
        <v>323</v>
      </c>
      <c r="E627" s="68" t="s">
        <v>1221</v>
      </c>
      <c r="F627" s="10" t="str">
        <f t="array" ref="F627">_xlfn.XLOOKUP(D627,'Referanc '!$A:$A,'Referanc '!$E:$E)</f>
        <v>TABLE TOP</v>
      </c>
      <c r="G627" s="68">
        <v>739.0</v>
      </c>
      <c r="H627" s="68">
        <v>21.0</v>
      </c>
      <c r="I627" s="27">
        <v>0.008</v>
      </c>
      <c r="J627" s="27">
        <v>0.0064</v>
      </c>
      <c r="K627" s="68">
        <v>912.0</v>
      </c>
      <c r="L627" s="68">
        <v>24.0</v>
      </c>
      <c r="M627" s="27">
        <v>0.0071</v>
      </c>
      <c r="N627" s="27">
        <v>0.0052</v>
      </c>
      <c r="O627" s="27">
        <v>0.7224</v>
      </c>
      <c r="P627" s="27">
        <v>1.0</v>
      </c>
      <c r="Q627" s="68">
        <v>0.0</v>
      </c>
      <c r="R627" s="68">
        <v>0.0</v>
      </c>
      <c r="S627" s="27">
        <v>0.0</v>
      </c>
      <c r="T627" s="27">
        <v>0.0</v>
      </c>
      <c r="U627" s="197">
        <v>0.0</v>
      </c>
      <c r="V627" s="197">
        <v>0.0</v>
      </c>
      <c r="W627" s="68">
        <v>0.0</v>
      </c>
      <c r="X627" s="68">
        <v>0.0</v>
      </c>
    </row>
    <row r="628" ht="15.75" customHeight="1">
      <c r="A628" s="3" t="s">
        <v>63</v>
      </c>
      <c r="B628" s="10" t="str">
        <f t="array" ref="B628">_xlfn.XLOOKUP(D628,'Referanc '!$A:$A,'Referanc '!$B:$B)</f>
        <v>TABLE TOP</v>
      </c>
      <c r="C628" s="68" t="s">
        <v>350</v>
      </c>
      <c r="D628" s="68" t="s">
        <v>350</v>
      </c>
      <c r="E628" s="68" t="s">
        <v>531</v>
      </c>
      <c r="F628" s="10" t="str">
        <f t="array" ref="F628">_xlfn.XLOOKUP(D628,'Referanc '!$A:$A,'Referanc '!$E:$E)</f>
        <v>TABLE TOP</v>
      </c>
      <c r="G628" s="68">
        <v>184.0</v>
      </c>
      <c r="H628" s="68">
        <v>10.0</v>
      </c>
      <c r="I628" s="27">
        <v>0.002</v>
      </c>
      <c r="J628" s="27">
        <v>0.003</v>
      </c>
      <c r="K628" s="68">
        <v>230.0</v>
      </c>
      <c r="L628" s="68">
        <v>11.0</v>
      </c>
      <c r="M628" s="27">
        <v>0.0018</v>
      </c>
      <c r="N628" s="27">
        <v>0.0024</v>
      </c>
      <c r="O628" s="27">
        <v>0.8732</v>
      </c>
      <c r="P628" s="27">
        <v>0.8889</v>
      </c>
      <c r="Q628" s="68">
        <v>0.0</v>
      </c>
      <c r="R628" s="68">
        <v>0.0</v>
      </c>
      <c r="S628" s="27">
        <v>0.0</v>
      </c>
      <c r="T628" s="27">
        <v>0.0</v>
      </c>
      <c r="U628" s="197">
        <v>0.0</v>
      </c>
      <c r="V628" s="197">
        <v>0.0</v>
      </c>
      <c r="W628" s="68">
        <v>0.0</v>
      </c>
      <c r="X628" s="68">
        <v>0.0</v>
      </c>
    </row>
    <row r="629" ht="15.75" customHeight="1">
      <c r="A629" s="3" t="s">
        <v>63</v>
      </c>
      <c r="B629" s="10" t="str">
        <f t="array" ref="B629">_xlfn.XLOOKUP(D629,'Referanc '!$A:$A,'Referanc '!$B:$B)</f>
        <v>Standing Table  - M8</v>
      </c>
      <c r="C629" s="68" t="s">
        <v>414</v>
      </c>
      <c r="D629" s="68" t="s">
        <v>414</v>
      </c>
      <c r="E629" s="68" t="s">
        <v>1289</v>
      </c>
      <c r="F629" s="10" t="str">
        <f t="array" ref="F629">_xlfn.XLOOKUP(D629,'Referanc '!$A:$A,'Referanc '!$E:$E)</f>
        <v>M8</v>
      </c>
      <c r="G629" s="68">
        <v>14.0</v>
      </c>
      <c r="H629" s="68">
        <v>2.0</v>
      </c>
      <c r="I629" s="27">
        <v>2.0E-4</v>
      </c>
      <c r="J629" s="27">
        <v>6.0E-4</v>
      </c>
      <c r="K629" s="68">
        <v>18.0</v>
      </c>
      <c r="L629" s="68">
        <v>3.0</v>
      </c>
      <c r="M629" s="27">
        <v>1.0E-4</v>
      </c>
      <c r="N629" s="27">
        <v>6.0E-4</v>
      </c>
      <c r="O629" s="27">
        <v>0.875</v>
      </c>
      <c r="P629" s="27">
        <v>0.6667</v>
      </c>
      <c r="Q629" s="68">
        <v>0.0</v>
      </c>
      <c r="R629" s="68">
        <v>0.0</v>
      </c>
      <c r="S629" s="27">
        <v>0.0</v>
      </c>
      <c r="T629" s="27">
        <v>0.0</v>
      </c>
      <c r="U629" s="197">
        <v>0.0</v>
      </c>
      <c r="V629" s="197">
        <v>0.0</v>
      </c>
      <c r="W629" s="68">
        <v>0.0</v>
      </c>
      <c r="X629" s="68">
        <v>0.0</v>
      </c>
    </row>
    <row r="630" ht="15.75" customHeight="1">
      <c r="A630" s="3" t="s">
        <v>63</v>
      </c>
      <c r="B630" s="10" t="str">
        <f t="array" ref="B630">_xlfn.XLOOKUP(D630,'Referanc '!$A:$A,'Referanc '!$B:$B)</f>
        <v>Standing Table  - M8</v>
      </c>
      <c r="C630" s="68" t="s">
        <v>415</v>
      </c>
      <c r="D630" s="68" t="s">
        <v>415</v>
      </c>
      <c r="E630" s="68" t="s">
        <v>1291</v>
      </c>
      <c r="F630" s="10" t="str">
        <f t="array" ref="F630">_xlfn.XLOOKUP(D630,'Referanc '!$A:$A,'Referanc '!$E:$E)</f>
        <v>M8</v>
      </c>
      <c r="G630" s="68">
        <v>21.0</v>
      </c>
      <c r="H630" s="68">
        <v>2.0</v>
      </c>
      <c r="I630" s="27">
        <v>2.0E-4</v>
      </c>
      <c r="J630" s="27">
        <v>6.0E-4</v>
      </c>
      <c r="K630" s="68">
        <v>23.0</v>
      </c>
      <c r="L630" s="68">
        <v>2.0</v>
      </c>
      <c r="M630" s="27">
        <v>2.0E-4</v>
      </c>
      <c r="N630" s="27">
        <v>4.0E-4</v>
      </c>
      <c r="O630" s="27">
        <v>0.9474</v>
      </c>
      <c r="P630" s="27">
        <v>1.0</v>
      </c>
      <c r="Q630" s="68">
        <v>0.0</v>
      </c>
      <c r="R630" s="68">
        <v>0.0</v>
      </c>
      <c r="S630" s="27">
        <v>0.0</v>
      </c>
      <c r="T630" s="27">
        <v>0.0</v>
      </c>
      <c r="U630" s="197">
        <v>0.0</v>
      </c>
      <c r="V630" s="197">
        <v>0.0</v>
      </c>
      <c r="W630" s="68">
        <v>0.0</v>
      </c>
      <c r="X630" s="68">
        <v>0.0</v>
      </c>
    </row>
    <row r="631" ht="15.75" customHeight="1">
      <c r="A631" s="3" t="s">
        <v>63</v>
      </c>
      <c r="B631" s="10" t="str">
        <f t="array" ref="B631">_xlfn.XLOOKUP(D631,'Referanc '!$A:$A,'Referanc '!$B:$B)</f>
        <v>Standing Table  - M8</v>
      </c>
      <c r="C631" s="68" t="s">
        <v>417</v>
      </c>
      <c r="D631" s="68" t="s">
        <v>417</v>
      </c>
      <c r="E631" s="68" t="s">
        <v>1298</v>
      </c>
      <c r="F631" s="10" t="str">
        <f t="array" ref="F631">_xlfn.XLOOKUP(D631,'Referanc '!$A:$A,'Referanc '!$E:$E)</f>
        <v>M8</v>
      </c>
      <c r="G631" s="68">
        <v>27.0</v>
      </c>
      <c r="H631" s="68">
        <v>0.0</v>
      </c>
      <c r="I631" s="27">
        <v>3.0E-4</v>
      </c>
      <c r="J631" s="27">
        <v>0.0</v>
      </c>
      <c r="K631" s="68">
        <v>36.0</v>
      </c>
      <c r="L631" s="68">
        <v>0.0</v>
      </c>
      <c r="M631" s="27">
        <v>3.0E-4</v>
      </c>
      <c r="N631" s="27">
        <v>0.0</v>
      </c>
      <c r="O631" s="27">
        <v>0.8438</v>
      </c>
      <c r="P631" s="27">
        <v>0.0</v>
      </c>
      <c r="Q631" s="68">
        <v>0.0</v>
      </c>
      <c r="R631" s="68">
        <v>0.0</v>
      </c>
      <c r="S631" s="27">
        <v>0.0</v>
      </c>
      <c r="T631" s="27">
        <v>0.0</v>
      </c>
      <c r="U631" s="197">
        <v>0.0</v>
      </c>
      <c r="V631" s="197">
        <v>0.0</v>
      </c>
      <c r="W631" s="68">
        <v>0.0</v>
      </c>
      <c r="X631" s="68">
        <v>0.0</v>
      </c>
    </row>
    <row r="632" ht="15.75" customHeight="1">
      <c r="A632" s="3" t="s">
        <v>63</v>
      </c>
      <c r="B632" s="10" t="str">
        <f t="array" ref="B632">_xlfn.XLOOKUP(D632,'Referanc '!$A:$A,'Referanc '!$B:$B)</f>
        <v>Standing Table  - M8</v>
      </c>
      <c r="C632" s="68" t="s">
        <v>416</v>
      </c>
      <c r="D632" s="68" t="s">
        <v>416</v>
      </c>
      <c r="E632" s="68" t="s">
        <v>1189</v>
      </c>
      <c r="F632" s="10" t="str">
        <f t="array" ref="F632">_xlfn.XLOOKUP(D632,'Referanc '!$A:$A,'Referanc '!$E:$E)</f>
        <v>M8</v>
      </c>
      <c r="G632" s="68">
        <v>12.0</v>
      </c>
      <c r="H632" s="68">
        <v>2.0</v>
      </c>
      <c r="I632" s="27">
        <v>1.0E-4</v>
      </c>
      <c r="J632" s="27">
        <v>6.0E-4</v>
      </c>
      <c r="K632" s="68">
        <v>14.0</v>
      </c>
      <c r="L632" s="68">
        <v>3.0</v>
      </c>
      <c r="M632" s="27">
        <v>1.0E-4</v>
      </c>
      <c r="N632" s="27">
        <v>6.0E-4</v>
      </c>
      <c r="O632" s="27">
        <v>0.8333</v>
      </c>
      <c r="P632" s="27">
        <v>0.0</v>
      </c>
      <c r="Q632" s="68">
        <v>0.0</v>
      </c>
      <c r="R632" s="68">
        <v>0.0</v>
      </c>
      <c r="S632" s="27">
        <v>0.0</v>
      </c>
      <c r="T632" s="27">
        <v>0.0</v>
      </c>
      <c r="U632" s="197">
        <v>0.0</v>
      </c>
      <c r="V632" s="197">
        <v>0.0</v>
      </c>
      <c r="W632" s="68">
        <v>0.0</v>
      </c>
      <c r="X632" s="68">
        <v>0.0</v>
      </c>
    </row>
    <row r="633" ht="15.75" customHeight="1">
      <c r="A633" s="3" t="s">
        <v>63</v>
      </c>
      <c r="B633" s="10" t="str">
        <f t="array" ref="B633">_xlfn.XLOOKUP(D633,'Referanc '!$A:$A,'Referanc '!$B:$B)</f>
        <v>Standing Table  - M8</v>
      </c>
      <c r="C633" s="68" t="s">
        <v>418</v>
      </c>
      <c r="D633" s="68" t="s">
        <v>418</v>
      </c>
      <c r="E633" s="68" t="s">
        <v>1293</v>
      </c>
      <c r="F633" s="10" t="str">
        <f t="array" ref="F633">_xlfn.XLOOKUP(D633,'Referanc '!$A:$A,'Referanc '!$E:$E)</f>
        <v>M8</v>
      </c>
      <c r="G633" s="68">
        <v>12.0</v>
      </c>
      <c r="H633" s="68">
        <v>1.0</v>
      </c>
      <c r="I633" s="27">
        <v>1.0E-4</v>
      </c>
      <c r="J633" s="27">
        <v>3.0E-4</v>
      </c>
      <c r="K633" s="68">
        <v>16.0</v>
      </c>
      <c r="L633" s="68">
        <v>2.0</v>
      </c>
      <c r="M633" s="27">
        <v>1.0E-4</v>
      </c>
      <c r="N633" s="27">
        <v>4.0E-4</v>
      </c>
      <c r="O633" s="27">
        <v>0.7333</v>
      </c>
      <c r="P633" s="27">
        <v>0.0</v>
      </c>
      <c r="Q633" s="68">
        <v>0.0</v>
      </c>
      <c r="R633" s="68">
        <v>0.0</v>
      </c>
      <c r="S633" s="27">
        <v>0.0</v>
      </c>
      <c r="T633" s="27">
        <v>0.0</v>
      </c>
      <c r="U633" s="197">
        <v>0.0</v>
      </c>
      <c r="V633" s="197">
        <v>0.0</v>
      </c>
      <c r="W633" s="68">
        <v>0.0</v>
      </c>
      <c r="X633" s="68">
        <v>0.0</v>
      </c>
    </row>
    <row r="634" ht="15.75" customHeight="1">
      <c r="A634" s="3" t="s">
        <v>63</v>
      </c>
      <c r="B634" s="10" t="str">
        <f t="array" ref="B634">_xlfn.XLOOKUP(D634,'Referanc '!$A:$A,'Referanc '!$B:$B)</f>
        <v>Standing Table  - M3</v>
      </c>
      <c r="C634" s="68" t="s">
        <v>403</v>
      </c>
      <c r="D634" s="68" t="s">
        <v>403</v>
      </c>
      <c r="E634" s="68" t="s">
        <v>1175</v>
      </c>
      <c r="F634" s="10" t="str">
        <f t="array" ref="F634">_xlfn.XLOOKUP(D634,'Referanc '!$A:$A,'Referanc '!$E:$E)</f>
        <v>M3</v>
      </c>
      <c r="G634" s="68">
        <v>15.0</v>
      </c>
      <c r="H634" s="68">
        <v>0.0</v>
      </c>
      <c r="I634" s="27">
        <v>2.0E-4</v>
      </c>
      <c r="J634" s="27">
        <v>0.0</v>
      </c>
      <c r="K634" s="68">
        <v>21.0</v>
      </c>
      <c r="L634" s="68">
        <v>0.0</v>
      </c>
      <c r="M634" s="27">
        <v>2.0E-4</v>
      </c>
      <c r="N634" s="27">
        <v>0.0</v>
      </c>
      <c r="O634" s="27">
        <v>0.7895</v>
      </c>
      <c r="P634" s="27">
        <v>0.0</v>
      </c>
      <c r="Q634" s="68">
        <v>0.0</v>
      </c>
      <c r="R634" s="68">
        <v>0.0</v>
      </c>
      <c r="S634" s="27">
        <v>0.0</v>
      </c>
      <c r="T634" s="27">
        <v>0.0</v>
      </c>
      <c r="U634" s="197">
        <v>0.0</v>
      </c>
      <c r="V634" s="197">
        <v>0.0</v>
      </c>
      <c r="W634" s="68">
        <v>0.0</v>
      </c>
      <c r="X634" s="68">
        <v>0.0</v>
      </c>
    </row>
    <row r="635" ht="15.75" customHeight="1">
      <c r="A635" s="3" t="s">
        <v>63</v>
      </c>
      <c r="B635" s="10" t="str">
        <f t="array" ref="B635">_xlfn.XLOOKUP(D635,'Referanc '!$A:$A,'Referanc '!$B:$B)</f>
        <v>Single Leg Gas</v>
      </c>
      <c r="C635" s="68" t="s">
        <v>362</v>
      </c>
      <c r="D635" s="68" t="s">
        <v>362</v>
      </c>
      <c r="E635" s="68" t="s">
        <v>610</v>
      </c>
      <c r="F635" s="10" t="str">
        <f t="array" ref="F635">_xlfn.XLOOKUP(D635,'Referanc '!$A:$A,'Referanc '!$E:$E)</f>
        <v>Single Leg Gas</v>
      </c>
      <c r="G635" s="68">
        <v>166.0</v>
      </c>
      <c r="H635" s="68">
        <v>9.0</v>
      </c>
      <c r="I635" s="27">
        <v>0.0018</v>
      </c>
      <c r="J635" s="27">
        <v>0.0027</v>
      </c>
      <c r="K635" s="68">
        <v>239.0</v>
      </c>
      <c r="L635" s="68">
        <v>12.0</v>
      </c>
      <c r="M635" s="27">
        <v>0.0019</v>
      </c>
      <c r="N635" s="27">
        <v>0.0026</v>
      </c>
      <c r="O635" s="27">
        <v>0.9045</v>
      </c>
      <c r="P635" s="27">
        <v>0.6667</v>
      </c>
      <c r="Q635" s="68">
        <v>0.0</v>
      </c>
      <c r="R635" s="68">
        <v>0.0</v>
      </c>
      <c r="S635" s="27">
        <v>0.0</v>
      </c>
      <c r="T635" s="27">
        <v>0.0</v>
      </c>
      <c r="U635" s="197">
        <v>0.0</v>
      </c>
      <c r="V635" s="197">
        <v>0.0</v>
      </c>
      <c r="W635" s="68">
        <v>0.0</v>
      </c>
      <c r="X635" s="68">
        <v>0.0</v>
      </c>
    </row>
    <row r="636" ht="15.75" customHeight="1">
      <c r="A636" s="3" t="s">
        <v>63</v>
      </c>
      <c r="B636" s="10" t="str">
        <f t="array" ref="B636">_xlfn.XLOOKUP(D636,'Referanc '!$A:$A,'Referanc '!$B:$B)</f>
        <v>Laptop Riser</v>
      </c>
      <c r="C636" s="68" t="s">
        <v>347</v>
      </c>
      <c r="D636" s="68" t="s">
        <v>347</v>
      </c>
      <c r="E636" s="68" t="s">
        <v>693</v>
      </c>
      <c r="F636" s="10" t="str">
        <f t="array" ref="F636">_xlfn.XLOOKUP(D636,'Referanc '!$A:$A,'Referanc '!$E:$E)</f>
        <v>Laptop Stand</v>
      </c>
      <c r="G636" s="68">
        <v>22.0</v>
      </c>
      <c r="H636" s="68">
        <v>2.0</v>
      </c>
      <c r="I636" s="27">
        <v>2.0E-4</v>
      </c>
      <c r="J636" s="27">
        <v>6.0E-4</v>
      </c>
      <c r="K636" s="68">
        <v>28.0</v>
      </c>
      <c r="L636" s="68">
        <v>2.0</v>
      </c>
      <c r="M636" s="27">
        <v>2.0E-4</v>
      </c>
      <c r="N636" s="27">
        <v>4.0E-4</v>
      </c>
      <c r="O636" s="27">
        <v>0.96</v>
      </c>
      <c r="P636" s="27">
        <v>1.0</v>
      </c>
      <c r="Q636" s="68">
        <v>0.0</v>
      </c>
      <c r="R636" s="68">
        <v>0.0</v>
      </c>
      <c r="S636" s="27">
        <v>0.0</v>
      </c>
      <c r="T636" s="27">
        <v>0.0</v>
      </c>
      <c r="U636" s="197">
        <v>0.0</v>
      </c>
      <c r="V636" s="197">
        <v>0.0</v>
      </c>
      <c r="W636" s="68">
        <v>0.0</v>
      </c>
      <c r="X636" s="68">
        <v>0.0</v>
      </c>
    </row>
    <row r="637" ht="15.75" customHeight="1">
      <c r="A637" s="3" t="s">
        <v>63</v>
      </c>
      <c r="B637" s="10" t="str">
        <f t="array" ref="B637">_xlfn.XLOOKUP(D637,'Referanc '!$A:$A,'Referanc '!$B:$B)</f>
        <v>Standing Table  - E3</v>
      </c>
      <c r="C637" s="68" t="s">
        <v>381</v>
      </c>
      <c r="D637" s="68" t="s">
        <v>381</v>
      </c>
      <c r="E637" s="68" t="s">
        <v>1143</v>
      </c>
      <c r="F637" s="10" t="str">
        <f t="array" ref="F637">_xlfn.XLOOKUP(D637,'Referanc '!$A:$A,'Referanc '!$E:$E)</f>
        <v>E3</v>
      </c>
      <c r="G637" s="68">
        <v>202.0</v>
      </c>
      <c r="H637" s="68">
        <v>5.0</v>
      </c>
      <c r="I637" s="27">
        <v>0.0022</v>
      </c>
      <c r="J637" s="27">
        <v>0.0015</v>
      </c>
      <c r="K637" s="68">
        <v>254.0</v>
      </c>
      <c r="L637" s="68">
        <v>6.0</v>
      </c>
      <c r="M637" s="27">
        <v>0.002</v>
      </c>
      <c r="N637" s="27">
        <v>0.0013</v>
      </c>
      <c r="O637" s="27">
        <v>0.9198</v>
      </c>
      <c r="P637" s="27">
        <v>1.0</v>
      </c>
      <c r="Q637" s="68">
        <v>0.0</v>
      </c>
      <c r="R637" s="68">
        <v>0.0</v>
      </c>
      <c r="S637" s="27">
        <v>0.0</v>
      </c>
      <c r="T637" s="27">
        <v>0.0</v>
      </c>
      <c r="U637" s="197">
        <v>0.0</v>
      </c>
      <c r="V637" s="197">
        <v>0.0</v>
      </c>
      <c r="W637" s="68">
        <v>0.0</v>
      </c>
      <c r="X637" s="68">
        <v>0.0</v>
      </c>
    </row>
    <row r="638" ht="15.75" customHeight="1">
      <c r="A638" s="3" t="s">
        <v>63</v>
      </c>
      <c r="B638" s="10" t="s">
        <v>241</v>
      </c>
      <c r="C638" s="68" t="s">
        <v>337</v>
      </c>
      <c r="D638" s="68" t="s">
        <v>337</v>
      </c>
      <c r="E638" s="68" t="s">
        <v>545</v>
      </c>
      <c r="F638" s="10" t="str">
        <f t="array" ref="F638">_xlfn.XLOOKUP(D638,'Referanc '!$A:$A,'Referanc '!$E:$E)</f>
        <v>Footrest</v>
      </c>
      <c r="G638" s="68">
        <v>167.0</v>
      </c>
      <c r="H638" s="68">
        <v>6.0</v>
      </c>
      <c r="I638" s="27">
        <v>0.0018</v>
      </c>
      <c r="J638" s="27">
        <v>0.0018</v>
      </c>
      <c r="K638" s="68">
        <v>223.0</v>
      </c>
      <c r="L638" s="68">
        <v>7.0</v>
      </c>
      <c r="M638" s="27">
        <v>0.0017</v>
      </c>
      <c r="N638" s="27">
        <v>0.0015</v>
      </c>
      <c r="O638" s="27">
        <v>1.0</v>
      </c>
      <c r="P638" s="27">
        <v>1.0</v>
      </c>
      <c r="Q638" s="68">
        <v>0.0</v>
      </c>
      <c r="R638" s="68">
        <v>0.0</v>
      </c>
      <c r="S638" s="27">
        <v>0.0</v>
      </c>
      <c r="T638" s="27">
        <v>0.0</v>
      </c>
      <c r="U638" s="197">
        <v>0.0</v>
      </c>
      <c r="V638" s="197">
        <v>0.0</v>
      </c>
      <c r="W638" s="68">
        <v>0.0</v>
      </c>
      <c r="X638" s="68">
        <v>0.0</v>
      </c>
    </row>
    <row r="639" ht="15.75" customHeight="1">
      <c r="A639" s="3" t="s">
        <v>63</v>
      </c>
      <c r="B639" s="10" t="str">
        <f t="array" ref="B639">_xlfn.XLOOKUP(D639,'Referanc '!$A:$A,'Referanc '!$B:$B)</f>
        <v>Standing Table  - E3</v>
      </c>
      <c r="C639" s="68" t="s">
        <v>397</v>
      </c>
      <c r="D639" s="68" t="s">
        <v>397</v>
      </c>
      <c r="E639" s="68" t="s">
        <v>1154</v>
      </c>
      <c r="F639" s="10" t="str">
        <f t="array" ref="F639">_xlfn.XLOOKUP(D639,'Referanc '!$A:$A,'Referanc '!$E:$E)</f>
        <v>E3</v>
      </c>
      <c r="G639" s="68">
        <v>147.0</v>
      </c>
      <c r="H639" s="68">
        <v>6.0</v>
      </c>
      <c r="I639" s="27">
        <v>0.0016</v>
      </c>
      <c r="J639" s="27">
        <v>0.0018</v>
      </c>
      <c r="K639" s="68">
        <v>172.0</v>
      </c>
      <c r="L639" s="68">
        <v>6.0</v>
      </c>
      <c r="M639" s="27">
        <v>0.0013</v>
      </c>
      <c r="N639" s="27">
        <v>0.0013</v>
      </c>
      <c r="O639" s="27">
        <v>0.9693</v>
      </c>
      <c r="P639" s="27">
        <v>1.0</v>
      </c>
      <c r="Q639" s="68">
        <v>0.0</v>
      </c>
      <c r="R639" s="68">
        <v>0.0</v>
      </c>
      <c r="S639" s="27">
        <v>0.0</v>
      </c>
      <c r="T639" s="27">
        <v>0.0</v>
      </c>
      <c r="U639" s="197">
        <v>0.0</v>
      </c>
      <c r="V639" s="197">
        <v>0.0</v>
      </c>
      <c r="W639" s="68">
        <v>0.0</v>
      </c>
      <c r="X639" s="68">
        <v>0.0</v>
      </c>
    </row>
    <row r="640" ht="15.75" customHeight="1">
      <c r="A640" s="3" t="s">
        <v>63</v>
      </c>
      <c r="B640" s="10" t="str">
        <f t="array" ref="B640">_xlfn.XLOOKUP(D640,'Referanc '!$A:$A,'Referanc '!$B:$B)</f>
        <v>Standing Table  - E3</v>
      </c>
      <c r="C640" s="68" t="s">
        <v>366</v>
      </c>
      <c r="D640" s="68" t="s">
        <v>366</v>
      </c>
      <c r="E640" s="68" t="s">
        <v>1124</v>
      </c>
      <c r="F640" s="10" t="str">
        <f t="array" ref="F640">_xlfn.XLOOKUP(D640,'Referanc '!$A:$A,'Referanc '!$E:$E)</f>
        <v>E3</v>
      </c>
      <c r="G640" s="68">
        <v>256.0</v>
      </c>
      <c r="H640" s="68">
        <v>9.0</v>
      </c>
      <c r="I640" s="27">
        <v>0.0028</v>
      </c>
      <c r="J640" s="27">
        <v>0.0027</v>
      </c>
      <c r="K640" s="68">
        <v>318.0</v>
      </c>
      <c r="L640" s="68">
        <v>15.0</v>
      </c>
      <c r="M640" s="27">
        <v>0.0025</v>
      </c>
      <c r="N640" s="27">
        <v>0.0032</v>
      </c>
      <c r="O640" s="27">
        <v>0.8997</v>
      </c>
      <c r="P640" s="27">
        <v>0.8571</v>
      </c>
      <c r="Q640" s="68">
        <v>0.0</v>
      </c>
      <c r="R640" s="68">
        <v>0.0</v>
      </c>
      <c r="S640" s="27">
        <v>0.0</v>
      </c>
      <c r="T640" s="27">
        <v>0.0</v>
      </c>
      <c r="U640" s="197">
        <v>0.0</v>
      </c>
      <c r="V640" s="197">
        <v>0.0</v>
      </c>
      <c r="W640" s="68">
        <v>0.0</v>
      </c>
      <c r="X640" s="68">
        <v>0.0</v>
      </c>
    </row>
    <row r="641" ht="15.75" customHeight="1">
      <c r="A641" s="3" t="s">
        <v>63</v>
      </c>
      <c r="B641" s="10" t="str">
        <f t="array" ref="B641">_xlfn.XLOOKUP(D641,'Referanc '!$A:$A,'Referanc '!$B:$B)</f>
        <v>Standing Table  - E1A</v>
      </c>
      <c r="C641" s="68" t="s">
        <v>372</v>
      </c>
      <c r="D641" s="68" t="s">
        <v>372</v>
      </c>
      <c r="E641" s="68" t="s">
        <v>1354</v>
      </c>
      <c r="F641" s="10" t="str">
        <f t="array" ref="F641">_xlfn.XLOOKUP(D641,'Referanc '!$A:$A,'Referanc '!$E:$E)</f>
        <v>E1A</v>
      </c>
      <c r="G641" s="68">
        <v>230.0</v>
      </c>
      <c r="H641" s="68">
        <v>7.0</v>
      </c>
      <c r="I641" s="27">
        <v>0.0025</v>
      </c>
      <c r="J641" s="27">
        <v>0.0021</v>
      </c>
      <c r="K641" s="68">
        <v>288.0</v>
      </c>
      <c r="L641" s="68">
        <v>7.0</v>
      </c>
      <c r="M641" s="27">
        <v>0.0023</v>
      </c>
      <c r="N641" s="27">
        <v>0.0015</v>
      </c>
      <c r="O641" s="27">
        <v>0.8764</v>
      </c>
      <c r="P641" s="27">
        <v>1.0</v>
      </c>
      <c r="Q641" s="68">
        <v>0.0</v>
      </c>
      <c r="R641" s="68">
        <v>0.0</v>
      </c>
      <c r="S641" s="27">
        <v>0.0</v>
      </c>
      <c r="T641" s="27">
        <v>0.0</v>
      </c>
      <c r="U641" s="197">
        <v>0.0</v>
      </c>
      <c r="V641" s="197">
        <v>0.0</v>
      </c>
      <c r="W641" s="68">
        <v>0.0</v>
      </c>
      <c r="X641" s="68">
        <v>0.0</v>
      </c>
    </row>
    <row r="642" ht="15.75" customHeight="1">
      <c r="A642" s="3" t="s">
        <v>63</v>
      </c>
      <c r="B642" s="10" t="str">
        <f t="array" ref="B642">_xlfn.XLOOKUP(D642,'Referanc '!$A:$A,'Referanc '!$B:$B)</f>
        <v>Standing Table  - E1A</v>
      </c>
      <c r="C642" s="68" t="s">
        <v>378</v>
      </c>
      <c r="D642" s="68" t="s">
        <v>378</v>
      </c>
      <c r="E642" s="68" t="s">
        <v>1239</v>
      </c>
      <c r="F642" s="10" t="str">
        <f t="array" ref="F642">_xlfn.XLOOKUP(D642,'Referanc '!$A:$A,'Referanc '!$E:$E)</f>
        <v>E1A</v>
      </c>
      <c r="G642" s="196">
        <v>1485.0</v>
      </c>
      <c r="H642" s="68">
        <v>15.0</v>
      </c>
      <c r="I642" s="27">
        <v>0.0161</v>
      </c>
      <c r="J642" s="27">
        <v>0.0046</v>
      </c>
      <c r="K642" s="196">
        <v>2041.0</v>
      </c>
      <c r="L642" s="68">
        <v>20.0</v>
      </c>
      <c r="M642" s="27">
        <v>0.016</v>
      </c>
      <c r="N642" s="27">
        <v>0.0043</v>
      </c>
      <c r="O642" s="27">
        <v>0.6895</v>
      </c>
      <c r="P642" s="27">
        <v>0.6</v>
      </c>
      <c r="Q642" s="68">
        <v>0.0</v>
      </c>
      <c r="R642" s="68">
        <v>0.0</v>
      </c>
      <c r="S642" s="27">
        <v>0.0</v>
      </c>
      <c r="T642" s="27">
        <v>0.0</v>
      </c>
      <c r="U642" s="197">
        <v>0.0</v>
      </c>
      <c r="V642" s="197">
        <v>0.0</v>
      </c>
      <c r="W642" s="68">
        <v>0.0</v>
      </c>
      <c r="X642" s="68">
        <v>0.0</v>
      </c>
    </row>
    <row r="643" ht="15.75" customHeight="1">
      <c r="A643" s="3" t="s">
        <v>63</v>
      </c>
      <c r="B643" s="10" t="str">
        <f t="array" ref="B643">_xlfn.XLOOKUP(D643,'Referanc '!$A:$A,'Referanc '!$B:$B)</f>
        <v>Standing Table  - E4</v>
      </c>
      <c r="C643" s="68" t="s">
        <v>404</v>
      </c>
      <c r="D643" s="68" t="s">
        <v>404</v>
      </c>
      <c r="E643" s="68" t="s">
        <v>1304</v>
      </c>
      <c r="F643" s="10" t="str">
        <f t="array" ref="F643">_xlfn.XLOOKUP(D643,'Referanc '!$A:$A,'Referanc '!$E:$E)</f>
        <v>E4</v>
      </c>
      <c r="G643" s="68">
        <v>8.0</v>
      </c>
      <c r="H643" s="68">
        <v>0.0</v>
      </c>
      <c r="I643" s="27">
        <v>1.0E-4</v>
      </c>
      <c r="J643" s="27">
        <v>0.0</v>
      </c>
      <c r="K643" s="68">
        <v>12.0</v>
      </c>
      <c r="L643" s="68">
        <v>0.0</v>
      </c>
      <c r="M643" s="27">
        <v>1.0E-4</v>
      </c>
      <c r="N643" s="27">
        <v>0.0</v>
      </c>
      <c r="O643" s="27">
        <v>0.9167</v>
      </c>
      <c r="P643" s="27">
        <v>0.0</v>
      </c>
      <c r="Q643" s="68">
        <v>0.0</v>
      </c>
      <c r="R643" s="68">
        <v>0.0</v>
      </c>
      <c r="S643" s="27">
        <v>0.0</v>
      </c>
      <c r="T643" s="27">
        <v>0.0</v>
      </c>
      <c r="U643" s="197">
        <v>0.0</v>
      </c>
      <c r="V643" s="197">
        <v>0.0</v>
      </c>
      <c r="W643" s="68">
        <v>0.0</v>
      </c>
      <c r="X643" s="68">
        <v>0.0</v>
      </c>
    </row>
    <row r="644" ht="15.75" customHeight="1">
      <c r="A644" s="3" t="s">
        <v>63</v>
      </c>
      <c r="B644" s="10" t="str">
        <f t="array" ref="B644">_xlfn.XLOOKUP(D644,'Referanc '!$A:$A,'Referanc '!$B:$B)</f>
        <v>Standing Table  - E4</v>
      </c>
      <c r="C644" s="68" t="s">
        <v>405</v>
      </c>
      <c r="D644" s="68" t="s">
        <v>405</v>
      </c>
      <c r="E644" s="68" t="s">
        <v>1305</v>
      </c>
      <c r="F644" s="10" t="str">
        <f t="array" ref="F644">_xlfn.XLOOKUP(D644,'Referanc '!$A:$A,'Referanc '!$E:$E)</f>
        <v>E4</v>
      </c>
      <c r="G644" s="68">
        <v>3.0</v>
      </c>
      <c r="H644" s="68">
        <v>0.0</v>
      </c>
      <c r="I644" s="27">
        <v>0.0</v>
      </c>
      <c r="J644" s="27">
        <v>0.0</v>
      </c>
      <c r="K644" s="68">
        <v>5.0</v>
      </c>
      <c r="L644" s="68">
        <v>0.0</v>
      </c>
      <c r="M644" s="27">
        <v>0.0</v>
      </c>
      <c r="N644" s="27">
        <v>0.0</v>
      </c>
      <c r="O644" s="27">
        <v>1.0</v>
      </c>
      <c r="P644" s="27">
        <v>0.0</v>
      </c>
      <c r="Q644" s="68">
        <v>0.0</v>
      </c>
      <c r="R644" s="68">
        <v>0.0</v>
      </c>
      <c r="S644" s="27">
        <v>0.0</v>
      </c>
      <c r="T644" s="27">
        <v>0.0</v>
      </c>
      <c r="U644" s="197">
        <v>0.0</v>
      </c>
      <c r="V644" s="197">
        <v>0.0</v>
      </c>
      <c r="W644" s="68">
        <v>0.0</v>
      </c>
      <c r="X644" s="68">
        <v>0.0</v>
      </c>
    </row>
    <row r="645" ht="15.75" customHeight="1">
      <c r="A645" s="3" t="s">
        <v>63</v>
      </c>
      <c r="B645" s="10" t="str">
        <f t="array" ref="B645">_xlfn.XLOOKUP(D645,'Referanc '!$A:$A,'Referanc '!$B:$B)</f>
        <v>Standing Table  - E4</v>
      </c>
      <c r="C645" s="68" t="s">
        <v>409</v>
      </c>
      <c r="D645" s="68" t="s">
        <v>409</v>
      </c>
      <c r="E645" s="68" t="s">
        <v>1307</v>
      </c>
      <c r="F645" s="10" t="str">
        <f t="array" ref="F645">_xlfn.XLOOKUP(D645,'Referanc '!$A:$A,'Referanc '!$E:$E)</f>
        <v>E4</v>
      </c>
      <c r="G645" s="68">
        <v>7.0</v>
      </c>
      <c r="H645" s="68">
        <v>0.0</v>
      </c>
      <c r="I645" s="27">
        <v>1.0E-4</v>
      </c>
      <c r="J645" s="27">
        <v>0.0</v>
      </c>
      <c r="K645" s="68">
        <v>7.0</v>
      </c>
      <c r="L645" s="68">
        <v>0.0</v>
      </c>
      <c r="M645" s="27">
        <v>1.0E-4</v>
      </c>
      <c r="N645" s="27">
        <v>0.0</v>
      </c>
      <c r="O645" s="27">
        <v>1.0</v>
      </c>
      <c r="P645" s="27">
        <v>0.0</v>
      </c>
      <c r="Q645" s="68">
        <v>0.0</v>
      </c>
      <c r="R645" s="68">
        <v>0.0</v>
      </c>
      <c r="S645" s="27">
        <v>0.0</v>
      </c>
      <c r="T645" s="27">
        <v>0.0</v>
      </c>
      <c r="U645" s="197">
        <v>0.0</v>
      </c>
      <c r="V645" s="197">
        <v>0.0</v>
      </c>
      <c r="W645" s="68">
        <v>0.0</v>
      </c>
      <c r="X645" s="68">
        <v>0.0</v>
      </c>
    </row>
    <row r="646" ht="15.75" customHeight="1">
      <c r="A646" s="3" t="s">
        <v>63</v>
      </c>
      <c r="B646" s="10" t="str">
        <f t="array" ref="B646">_xlfn.XLOOKUP(D646,'Referanc '!$A:$A,'Referanc '!$B:$B)</f>
        <v>Standing Table - All Frames</v>
      </c>
      <c r="C646" s="68" t="s">
        <v>422</v>
      </c>
      <c r="D646" s="68" t="s">
        <v>422</v>
      </c>
      <c r="E646" s="68" t="s">
        <v>697</v>
      </c>
      <c r="F646" s="10" t="str">
        <f t="array" ref="F646">_xlfn.XLOOKUP(D646,'Referanc '!$A:$A,'Referanc '!$E:$E)</f>
        <v>E4</v>
      </c>
      <c r="G646" s="68">
        <v>17.0</v>
      </c>
      <c r="H646" s="68">
        <v>0.0</v>
      </c>
      <c r="I646" s="27">
        <v>2.0E-4</v>
      </c>
      <c r="J646" s="27">
        <v>0.0</v>
      </c>
      <c r="K646" s="68">
        <v>32.0</v>
      </c>
      <c r="L646" s="68">
        <v>0.0</v>
      </c>
      <c r="M646" s="27">
        <v>3.0E-4</v>
      </c>
      <c r="N646" s="27">
        <v>0.0</v>
      </c>
      <c r="O646" s="27">
        <v>0.9286</v>
      </c>
      <c r="P646" s="27">
        <v>0.0</v>
      </c>
      <c r="Q646" s="68">
        <v>0.0</v>
      </c>
      <c r="R646" s="68">
        <v>0.0</v>
      </c>
      <c r="S646" s="27">
        <v>0.0</v>
      </c>
      <c r="T646" s="27">
        <v>0.0</v>
      </c>
      <c r="U646" s="197">
        <v>0.0</v>
      </c>
      <c r="V646" s="197">
        <v>0.0</v>
      </c>
      <c r="W646" s="68">
        <v>0.0</v>
      </c>
      <c r="X646" s="68">
        <v>0.0</v>
      </c>
    </row>
    <row r="647" ht="15.75" customHeight="1">
      <c r="A647" s="3" t="s">
        <v>63</v>
      </c>
      <c r="B647" s="10" t="str">
        <f t="array" ref="B647">_xlfn.XLOOKUP(D647,'Referanc '!$A:$A,'Referanc '!$B:$B)</f>
        <v>TABLE TOP</v>
      </c>
      <c r="C647" s="68" t="s">
        <v>425</v>
      </c>
      <c r="D647" s="68" t="s">
        <v>425</v>
      </c>
      <c r="E647" s="68" t="s">
        <v>1355</v>
      </c>
      <c r="F647" s="10" t="str">
        <f t="array" ref="F647">_xlfn.XLOOKUP(D647,'Referanc '!$A:$A,'Referanc '!$E:$E)</f>
        <v>TABLE TOP</v>
      </c>
      <c r="G647" s="68">
        <v>67.0</v>
      </c>
      <c r="H647" s="68">
        <v>2.0</v>
      </c>
      <c r="I647" s="27">
        <v>7.0E-4</v>
      </c>
      <c r="J647" s="27">
        <v>6.0E-4</v>
      </c>
      <c r="K647" s="68">
        <v>81.0</v>
      </c>
      <c r="L647" s="68">
        <v>2.0</v>
      </c>
      <c r="M647" s="27">
        <v>6.0E-4</v>
      </c>
      <c r="N647" s="27">
        <v>4.0E-4</v>
      </c>
      <c r="O647" s="27">
        <v>0.76</v>
      </c>
      <c r="P647" s="27">
        <v>1.0</v>
      </c>
      <c r="Q647" s="68">
        <v>0.0</v>
      </c>
      <c r="R647" s="68">
        <v>0.0</v>
      </c>
      <c r="S647" s="27">
        <v>0.0</v>
      </c>
      <c r="T647" s="27">
        <v>0.0</v>
      </c>
      <c r="U647" s="197">
        <v>0.0</v>
      </c>
      <c r="V647" s="197">
        <v>0.0</v>
      </c>
      <c r="W647" s="68">
        <v>0.0</v>
      </c>
      <c r="X647" s="68">
        <v>0.0</v>
      </c>
    </row>
    <row r="648" ht="15.75" customHeight="1">
      <c r="A648" s="3" t="s">
        <v>65</v>
      </c>
      <c r="B648" s="10" t="s">
        <v>211</v>
      </c>
      <c r="C648" s="68" t="s">
        <v>314</v>
      </c>
      <c r="D648" s="68" t="s">
        <v>314</v>
      </c>
      <c r="E648" s="68" t="s">
        <v>1244</v>
      </c>
      <c r="F648" s="10" t="str">
        <f t="array" ref="F648">_xlfn.XLOOKUP(D648,'Referanc '!$A:$A,'Referanc '!$E:$E)</f>
        <v>Desk Cable Tray</v>
      </c>
      <c r="G648" s="196">
        <v>3378.0</v>
      </c>
      <c r="H648" s="68">
        <v>171.0</v>
      </c>
      <c r="I648" s="27">
        <v>0.0465</v>
      </c>
      <c r="J648" s="27">
        <v>0.0537</v>
      </c>
      <c r="K648" s="196">
        <v>5120.0</v>
      </c>
      <c r="L648" s="68">
        <v>228.0</v>
      </c>
      <c r="M648" s="27">
        <v>0.0503</v>
      </c>
      <c r="N648" s="27">
        <v>0.0504</v>
      </c>
      <c r="O648" s="27">
        <v>0.8699</v>
      </c>
      <c r="P648" s="27">
        <v>0.9104</v>
      </c>
      <c r="Q648" s="68">
        <v>110.0</v>
      </c>
      <c r="R648" s="68">
        <v>4.0</v>
      </c>
      <c r="S648" s="27">
        <v>0.0326</v>
      </c>
      <c r="T648" s="27">
        <v>0.0234</v>
      </c>
      <c r="U648" s="197">
        <v>174652.0</v>
      </c>
      <c r="V648" s="197">
        <v>6456.0</v>
      </c>
      <c r="W648" s="68">
        <v>98.0</v>
      </c>
      <c r="X648" s="68">
        <v>4.0</v>
      </c>
    </row>
    <row r="649" ht="15.75" customHeight="1">
      <c r="A649" s="3" t="s">
        <v>65</v>
      </c>
      <c r="B649" s="10" t="s">
        <v>211</v>
      </c>
      <c r="C649" s="68" t="s">
        <v>325</v>
      </c>
      <c r="D649" s="68" t="s">
        <v>325</v>
      </c>
      <c r="E649" s="68" t="s">
        <v>689</v>
      </c>
      <c r="F649" s="10" t="str">
        <f t="array" ref="F649">_xlfn.XLOOKUP(D649,'Referanc '!$A:$A,'Referanc '!$E:$E)</f>
        <v>Desk Cable Tray</v>
      </c>
      <c r="G649" s="68">
        <v>816.0</v>
      </c>
      <c r="H649" s="68">
        <v>38.0</v>
      </c>
      <c r="I649" s="27">
        <v>0.0112</v>
      </c>
      <c r="J649" s="27">
        <v>0.0119</v>
      </c>
      <c r="K649" s="196">
        <v>1270.0</v>
      </c>
      <c r="L649" s="68">
        <v>65.0</v>
      </c>
      <c r="M649" s="27">
        <v>0.0125</v>
      </c>
      <c r="N649" s="27">
        <v>0.0144</v>
      </c>
      <c r="O649" s="27">
        <v>0.8515</v>
      </c>
      <c r="P649" s="27">
        <v>0.8947</v>
      </c>
      <c r="Q649" s="68">
        <v>36.0</v>
      </c>
      <c r="R649" s="68">
        <v>3.0</v>
      </c>
      <c r="S649" s="27">
        <v>0.0441</v>
      </c>
      <c r="T649" s="27">
        <v>0.0789</v>
      </c>
      <c r="U649" s="197">
        <v>79494.0</v>
      </c>
      <c r="V649" s="197">
        <v>6599.0</v>
      </c>
      <c r="W649" s="68">
        <v>34.0</v>
      </c>
      <c r="X649" s="68">
        <v>3.0</v>
      </c>
    </row>
    <row r="650" ht="15.75" customHeight="1">
      <c r="A650" s="3" t="s">
        <v>65</v>
      </c>
      <c r="B650" s="10" t="str">
        <f t="array" ref="B650">_xlfn.XLOOKUP(D650,'Referanc '!$A:$A,'Referanc '!$B:$B)</f>
        <v>Standing Table  - SM3</v>
      </c>
      <c r="C650" s="68" t="s">
        <v>304</v>
      </c>
      <c r="D650" s="68" t="s">
        <v>304</v>
      </c>
      <c r="E650" s="68" t="s">
        <v>1161</v>
      </c>
      <c r="F650" s="10" t="str">
        <f t="array" ref="F650">_xlfn.XLOOKUP(D650,'Referanc '!$A:$A,'Referanc '!$E:$E)</f>
        <v>SM3</v>
      </c>
      <c r="G650" s="196">
        <v>9230.0</v>
      </c>
      <c r="H650" s="68">
        <v>296.0</v>
      </c>
      <c r="I650" s="27">
        <v>0.1271</v>
      </c>
      <c r="J650" s="27">
        <v>0.093</v>
      </c>
      <c r="K650" s="196">
        <v>12630.0</v>
      </c>
      <c r="L650" s="68">
        <v>391.0</v>
      </c>
      <c r="M650" s="27">
        <v>0.1241</v>
      </c>
      <c r="N650" s="27">
        <v>0.0864</v>
      </c>
      <c r="O650" s="27">
        <v>0.7857</v>
      </c>
      <c r="P650" s="27">
        <v>0.7763</v>
      </c>
      <c r="Q650" s="68">
        <v>28.0</v>
      </c>
      <c r="R650" s="68">
        <v>1.0</v>
      </c>
      <c r="S650" s="27">
        <v>0.003</v>
      </c>
      <c r="T650" s="27">
        <v>0.0034</v>
      </c>
      <c r="U650" s="197">
        <v>552950.51</v>
      </c>
      <c r="V650" s="197">
        <v>19760.0</v>
      </c>
      <c r="W650" s="68">
        <v>28.0</v>
      </c>
      <c r="X650" s="68">
        <v>1.0</v>
      </c>
    </row>
    <row r="651" ht="15.75" customHeight="1">
      <c r="A651" s="3" t="s">
        <v>65</v>
      </c>
      <c r="B651" s="10" t="str">
        <f t="array" ref="B651">_xlfn.XLOOKUP(D651,'Referanc '!$A:$A,'Referanc '!$B:$B)</f>
        <v>Standing Table  - SM3</v>
      </c>
      <c r="C651" s="68" t="s">
        <v>291</v>
      </c>
      <c r="D651" s="68" t="s">
        <v>291</v>
      </c>
      <c r="E651" s="68" t="s">
        <v>1310</v>
      </c>
      <c r="F651" s="10" t="str">
        <f t="array" ref="F651">_xlfn.XLOOKUP(D651,'Referanc '!$A:$A,'Referanc '!$E:$E)</f>
        <v>SM3</v>
      </c>
      <c r="G651" s="196">
        <v>8790.0</v>
      </c>
      <c r="H651" s="68">
        <v>239.0</v>
      </c>
      <c r="I651" s="27">
        <v>0.121</v>
      </c>
      <c r="J651" s="27">
        <v>0.0751</v>
      </c>
      <c r="K651" s="196">
        <v>12317.0</v>
      </c>
      <c r="L651" s="68">
        <v>289.0</v>
      </c>
      <c r="M651" s="27">
        <v>0.121</v>
      </c>
      <c r="N651" s="27">
        <v>0.0639</v>
      </c>
      <c r="O651" s="27">
        <v>0.7858</v>
      </c>
      <c r="P651" s="27">
        <v>0.747</v>
      </c>
      <c r="Q651" s="68">
        <v>27.0</v>
      </c>
      <c r="R651" s="68">
        <v>0.0</v>
      </c>
      <c r="S651" s="27">
        <v>0.0031</v>
      </c>
      <c r="T651" s="27">
        <v>0.0</v>
      </c>
      <c r="U651" s="197">
        <v>522612.46</v>
      </c>
      <c r="V651" s="197">
        <v>0.0</v>
      </c>
      <c r="W651" s="68">
        <v>27.0</v>
      </c>
      <c r="X651" s="68">
        <v>0.0</v>
      </c>
    </row>
    <row r="652" ht="15.75" customHeight="1">
      <c r="A652" s="3" t="s">
        <v>65</v>
      </c>
      <c r="B652" s="10" t="str">
        <f t="array" ref="B652">_xlfn.XLOOKUP(D652,'Referanc '!$A:$A,'Referanc '!$B:$B)</f>
        <v>Standing Table - All Frames</v>
      </c>
      <c r="C652" s="68" t="s">
        <v>298</v>
      </c>
      <c r="D652" s="68" t="s">
        <v>298</v>
      </c>
      <c r="E652" s="68" t="s">
        <v>1168</v>
      </c>
      <c r="F652" s="10" t="str">
        <f t="array" ref="F652">_xlfn.XLOOKUP(D652,'Referanc '!$A:$A,'Referanc '!$E:$E)</f>
        <v>SM3</v>
      </c>
      <c r="G652" s="196">
        <v>3089.0</v>
      </c>
      <c r="H652" s="68">
        <v>180.0</v>
      </c>
      <c r="I652" s="27">
        <v>0.0425</v>
      </c>
      <c r="J652" s="27">
        <v>0.0566</v>
      </c>
      <c r="K652" s="196">
        <v>4204.0</v>
      </c>
      <c r="L652" s="68">
        <v>267.0</v>
      </c>
      <c r="M652" s="27">
        <v>0.0413</v>
      </c>
      <c r="N652" s="27">
        <v>0.059</v>
      </c>
      <c r="O652" s="27">
        <v>0.8308</v>
      </c>
      <c r="P652" s="27">
        <v>0.8537</v>
      </c>
      <c r="Q652" s="68">
        <v>26.0</v>
      </c>
      <c r="R652" s="68">
        <v>3.0</v>
      </c>
      <c r="S652" s="27">
        <v>0.0084</v>
      </c>
      <c r="T652" s="27">
        <v>0.0167</v>
      </c>
      <c r="U652" s="197">
        <v>439760.68</v>
      </c>
      <c r="V652" s="197">
        <v>52383.39</v>
      </c>
      <c r="W652" s="68">
        <v>26.0</v>
      </c>
      <c r="X652" s="68">
        <v>3.0</v>
      </c>
    </row>
    <row r="653" ht="15.75" customHeight="1">
      <c r="A653" s="3" t="s">
        <v>65</v>
      </c>
      <c r="B653" s="10" t="str">
        <f t="array" ref="B653">_xlfn.XLOOKUP(D653,'Referanc '!$A:$A,'Referanc '!$B:$B)</f>
        <v>Monitor Arm Stand</v>
      </c>
      <c r="C653" s="68" t="s">
        <v>353</v>
      </c>
      <c r="D653" s="68" t="s">
        <v>353</v>
      </c>
      <c r="E653" s="68" t="s">
        <v>691</v>
      </c>
      <c r="F653" s="10" t="str">
        <f t="array" ref="F653">_xlfn.XLOOKUP(D653,'Referanc '!$A:$A,'Referanc '!$E:$E)</f>
        <v>Monitor Arm Stand</v>
      </c>
      <c r="G653" s="196">
        <v>2350.0</v>
      </c>
      <c r="H653" s="68">
        <v>145.0</v>
      </c>
      <c r="I653" s="27">
        <v>0.0324</v>
      </c>
      <c r="J653" s="27">
        <v>0.0456</v>
      </c>
      <c r="K653" s="196">
        <v>3414.0</v>
      </c>
      <c r="L653" s="68">
        <v>207.0</v>
      </c>
      <c r="M653" s="27">
        <v>0.0335</v>
      </c>
      <c r="N653" s="27">
        <v>0.0458</v>
      </c>
      <c r="O653" s="27">
        <v>0.8816</v>
      </c>
      <c r="P653" s="27">
        <v>0.9213</v>
      </c>
      <c r="Q653" s="68">
        <v>24.0</v>
      </c>
      <c r="R653" s="68">
        <v>1.0</v>
      </c>
      <c r="S653" s="27">
        <v>0.0102</v>
      </c>
      <c r="T653" s="27">
        <v>0.0069</v>
      </c>
      <c r="U653" s="197">
        <v>83499.0</v>
      </c>
      <c r="V653" s="197">
        <v>3500.0</v>
      </c>
      <c r="W653" s="68">
        <v>24.0</v>
      </c>
      <c r="X653" s="68">
        <v>1.0</v>
      </c>
    </row>
    <row r="654" ht="15.75" customHeight="1">
      <c r="A654" s="3" t="s">
        <v>65</v>
      </c>
      <c r="B654" s="10" t="str">
        <f t="array" ref="B654">_xlfn.XLOOKUP(D654,'Referanc '!$A:$A,'Referanc '!$B:$B)</f>
        <v>Extension &amp; Holder</v>
      </c>
      <c r="C654" s="68" t="s">
        <v>307</v>
      </c>
      <c r="D654" s="68" t="s">
        <v>307</v>
      </c>
      <c r="E654" s="68" t="s">
        <v>1270</v>
      </c>
      <c r="F654" s="10" t="str">
        <f t="array" ref="F654">_xlfn.XLOOKUP(D654,'Referanc '!$A:$A,'Referanc '!$E:$E)</f>
        <v>Extension Board Holder</v>
      </c>
      <c r="G654" s="196">
        <v>2516.0</v>
      </c>
      <c r="H654" s="68">
        <v>170.0</v>
      </c>
      <c r="I654" s="27">
        <v>0.0346</v>
      </c>
      <c r="J654" s="27">
        <v>0.0534</v>
      </c>
      <c r="K654" s="196">
        <v>3329.0</v>
      </c>
      <c r="L654" s="68">
        <v>232.0</v>
      </c>
      <c r="M654" s="27">
        <v>0.0327</v>
      </c>
      <c r="N654" s="27">
        <v>0.0513</v>
      </c>
      <c r="O654" s="27">
        <v>0.9993</v>
      </c>
      <c r="P654" s="27">
        <v>1.0</v>
      </c>
      <c r="Q654" s="68">
        <v>26.0</v>
      </c>
      <c r="R654" s="68">
        <v>4.0</v>
      </c>
      <c r="S654" s="27">
        <v>0.0103</v>
      </c>
      <c r="T654" s="27">
        <v>0.0235</v>
      </c>
      <c r="U654" s="197">
        <v>38474.0</v>
      </c>
      <c r="V654" s="197">
        <v>5996.0</v>
      </c>
      <c r="W654" s="68">
        <v>23.0</v>
      </c>
      <c r="X654" s="68">
        <v>2.0</v>
      </c>
    </row>
    <row r="655" ht="15.75" customHeight="1">
      <c r="A655" s="3" t="s">
        <v>65</v>
      </c>
      <c r="B655" s="10" t="str">
        <f t="array" ref="B655">_xlfn.XLOOKUP(D655,'Referanc '!$A:$A,'Referanc '!$B:$B)</f>
        <v>Standing Table  - SM3</v>
      </c>
      <c r="C655" s="68" t="s">
        <v>301</v>
      </c>
      <c r="D655" s="68" t="s">
        <v>301</v>
      </c>
      <c r="E655" s="68" t="s">
        <v>1313</v>
      </c>
      <c r="F655" s="10" t="str">
        <f t="array" ref="F655">_xlfn.XLOOKUP(D655,'Referanc '!$A:$A,'Referanc '!$E:$E)</f>
        <v>SM3</v>
      </c>
      <c r="G655" s="196">
        <v>2426.0</v>
      </c>
      <c r="H655" s="68">
        <v>110.0</v>
      </c>
      <c r="I655" s="27">
        <v>0.0334</v>
      </c>
      <c r="J655" s="27">
        <v>0.0346</v>
      </c>
      <c r="K655" s="196">
        <v>3463.0</v>
      </c>
      <c r="L655" s="68">
        <v>165.0</v>
      </c>
      <c r="M655" s="27">
        <v>0.034</v>
      </c>
      <c r="N655" s="27">
        <v>0.0365</v>
      </c>
      <c r="O655" s="27">
        <v>0.8636</v>
      </c>
      <c r="P655" s="27">
        <v>0.8933</v>
      </c>
      <c r="Q655" s="68">
        <v>20.0</v>
      </c>
      <c r="R655" s="68">
        <v>0.0</v>
      </c>
      <c r="S655" s="27">
        <v>0.0082</v>
      </c>
      <c r="T655" s="27">
        <v>0.0</v>
      </c>
      <c r="U655" s="197">
        <v>440180.34</v>
      </c>
      <c r="V655" s="197">
        <v>0.0</v>
      </c>
      <c r="W655" s="68">
        <v>20.0</v>
      </c>
      <c r="X655" s="68">
        <v>0.0</v>
      </c>
    </row>
    <row r="656" ht="15.75" customHeight="1">
      <c r="A656" s="3" t="s">
        <v>65</v>
      </c>
      <c r="B656" s="10" t="str">
        <f t="array" ref="B656">_xlfn.XLOOKUP(D656,'Referanc '!$A:$A,'Referanc '!$B:$B)</f>
        <v>Standing Table  - E2</v>
      </c>
      <c r="C656" s="68" t="s">
        <v>309</v>
      </c>
      <c r="D656" s="68" t="s">
        <v>309</v>
      </c>
      <c r="E656" s="68" t="s">
        <v>1317</v>
      </c>
      <c r="F656" s="10" t="str">
        <f t="array" ref="F656">_xlfn.XLOOKUP(D656,'Referanc '!$A:$A,'Referanc '!$E:$E)</f>
        <v>E2</v>
      </c>
      <c r="G656" s="196">
        <v>1919.0</v>
      </c>
      <c r="H656" s="68">
        <v>91.0</v>
      </c>
      <c r="I656" s="27">
        <v>0.0264</v>
      </c>
      <c r="J656" s="27">
        <v>0.0286</v>
      </c>
      <c r="K656" s="196">
        <v>2489.0</v>
      </c>
      <c r="L656" s="68">
        <v>109.0</v>
      </c>
      <c r="M656" s="27">
        <v>0.0245</v>
      </c>
      <c r="N656" s="27">
        <v>0.0241</v>
      </c>
      <c r="O656" s="27">
        <v>0.7912</v>
      </c>
      <c r="P656" s="27">
        <v>0.9231</v>
      </c>
      <c r="Q656" s="68">
        <v>20.0</v>
      </c>
      <c r="R656" s="68">
        <v>2.0</v>
      </c>
      <c r="S656" s="27">
        <v>0.0104</v>
      </c>
      <c r="T656" s="27">
        <v>0.022</v>
      </c>
      <c r="U656" s="197">
        <v>642960.64</v>
      </c>
      <c r="V656" s="197">
        <v>64230.16</v>
      </c>
      <c r="W656" s="68">
        <v>20.0</v>
      </c>
      <c r="X656" s="68">
        <v>2.0</v>
      </c>
    </row>
    <row r="657" ht="15.75" customHeight="1">
      <c r="A657" s="3" t="s">
        <v>65</v>
      </c>
      <c r="B657" s="10" t="str">
        <f t="array" ref="B657">_xlfn.XLOOKUP(D657,'Referanc '!$A:$A,'Referanc '!$B:$B)</f>
        <v>Standing Table  - SM3</v>
      </c>
      <c r="C657" s="68" t="s">
        <v>296</v>
      </c>
      <c r="D657" s="68" t="s">
        <v>296</v>
      </c>
      <c r="E657" s="68" t="s">
        <v>1165</v>
      </c>
      <c r="F657" s="10" t="str">
        <f t="array" ref="F657">_xlfn.XLOOKUP(D657,'Referanc '!$A:$A,'Referanc '!$E:$E)</f>
        <v>SM3</v>
      </c>
      <c r="G657" s="196">
        <v>1937.0</v>
      </c>
      <c r="H657" s="68">
        <v>75.0</v>
      </c>
      <c r="I657" s="27">
        <v>0.0267</v>
      </c>
      <c r="J657" s="27">
        <v>0.0236</v>
      </c>
      <c r="K657" s="196">
        <v>2706.0</v>
      </c>
      <c r="L657" s="68">
        <v>92.0</v>
      </c>
      <c r="M657" s="27">
        <v>0.0266</v>
      </c>
      <c r="N657" s="27">
        <v>0.0203</v>
      </c>
      <c r="O657" s="27">
        <v>0.861</v>
      </c>
      <c r="P657" s="27">
        <v>0.8519</v>
      </c>
      <c r="Q657" s="68">
        <v>19.0</v>
      </c>
      <c r="R657" s="68">
        <v>0.0</v>
      </c>
      <c r="S657" s="27">
        <v>0.0098</v>
      </c>
      <c r="T657" s="27">
        <v>0.0</v>
      </c>
      <c r="U657" s="197">
        <v>445673.73</v>
      </c>
      <c r="V657" s="197">
        <v>0.0</v>
      </c>
      <c r="W657" s="68">
        <v>19.0</v>
      </c>
      <c r="X657" s="68">
        <v>0.0</v>
      </c>
    </row>
    <row r="658" ht="15.75" customHeight="1">
      <c r="A658" s="3" t="s">
        <v>65</v>
      </c>
      <c r="B658" s="10" t="str">
        <f t="array" ref="B658">_xlfn.XLOOKUP(D658,'Referanc '!$A:$A,'Referanc '!$B:$B)</f>
        <v>Standing Table  - M8</v>
      </c>
      <c r="C658" s="68" t="s">
        <v>406</v>
      </c>
      <c r="D658" s="68" t="s">
        <v>406</v>
      </c>
      <c r="E658" s="68" t="s">
        <v>1356</v>
      </c>
      <c r="F658" s="10" t="str">
        <f t="array" ref="F658">_xlfn.XLOOKUP(D658,'Referanc '!$A:$A,'Referanc '!$E:$E)</f>
        <v>M8</v>
      </c>
      <c r="G658" s="68">
        <v>962.0</v>
      </c>
      <c r="H658" s="68">
        <v>30.0</v>
      </c>
      <c r="I658" s="27">
        <v>0.0132</v>
      </c>
      <c r="J658" s="27">
        <v>0.0094</v>
      </c>
      <c r="K658" s="196">
        <v>1415.0</v>
      </c>
      <c r="L658" s="68">
        <v>49.0</v>
      </c>
      <c r="M658" s="27">
        <v>0.0139</v>
      </c>
      <c r="N658" s="27">
        <v>0.0108</v>
      </c>
      <c r="O658" s="27">
        <v>0.9179</v>
      </c>
      <c r="P658" s="27">
        <v>0.7727</v>
      </c>
      <c r="Q658" s="68">
        <v>17.0</v>
      </c>
      <c r="R658" s="68">
        <v>1.0</v>
      </c>
      <c r="S658" s="27">
        <v>0.0177</v>
      </c>
      <c r="T658" s="27">
        <v>0.0333</v>
      </c>
      <c r="U658" s="197">
        <v>266300.16</v>
      </c>
      <c r="V658" s="197">
        <v>15500.0</v>
      </c>
      <c r="W658" s="68">
        <v>17.0</v>
      </c>
      <c r="X658" s="68">
        <v>1.0</v>
      </c>
    </row>
    <row r="659" ht="15.75" customHeight="1">
      <c r="A659" s="3" t="s">
        <v>65</v>
      </c>
      <c r="B659" s="10" t="str">
        <f t="array" ref="B659">_xlfn.XLOOKUP(D659,'Referanc '!$A:$A,'Referanc '!$B:$B)</f>
        <v>Standing Table  - M8</v>
      </c>
      <c r="C659" s="68" t="s">
        <v>408</v>
      </c>
      <c r="D659" s="68" t="s">
        <v>408</v>
      </c>
      <c r="E659" s="68" t="s">
        <v>1357</v>
      </c>
      <c r="F659" s="10" t="str">
        <f t="array" ref="F659">_xlfn.XLOOKUP(D659,'Referanc '!$A:$A,'Referanc '!$E:$E)</f>
        <v>M8</v>
      </c>
      <c r="G659" s="196">
        <v>3790.0</v>
      </c>
      <c r="H659" s="68">
        <v>123.0</v>
      </c>
      <c r="I659" s="27">
        <v>0.0522</v>
      </c>
      <c r="J659" s="27">
        <v>0.0387</v>
      </c>
      <c r="K659" s="196">
        <v>5194.0</v>
      </c>
      <c r="L659" s="68">
        <v>160.0</v>
      </c>
      <c r="M659" s="27">
        <v>0.051</v>
      </c>
      <c r="N659" s="27">
        <v>0.0354</v>
      </c>
      <c r="O659" s="27">
        <v>0.857</v>
      </c>
      <c r="P659" s="27">
        <v>0.7283</v>
      </c>
      <c r="Q659" s="68">
        <v>16.0</v>
      </c>
      <c r="R659" s="68">
        <v>0.0</v>
      </c>
      <c r="S659" s="27">
        <v>0.0042</v>
      </c>
      <c r="T659" s="27">
        <v>0.0</v>
      </c>
      <c r="U659" s="197">
        <v>247530.16</v>
      </c>
      <c r="V659" s="197">
        <v>0.0</v>
      </c>
      <c r="W659" s="68">
        <v>16.0</v>
      </c>
      <c r="X659" s="68">
        <v>0.0</v>
      </c>
    </row>
    <row r="660" ht="15.75" customHeight="1">
      <c r="A660" s="3" t="s">
        <v>65</v>
      </c>
      <c r="B660" s="10" t="str">
        <f t="array" ref="B660">_xlfn.XLOOKUP(D660,'Referanc '!$A:$A,'Referanc '!$B:$B)</f>
        <v>Standing Table  - E2</v>
      </c>
      <c r="C660" s="68" t="s">
        <v>293</v>
      </c>
      <c r="D660" s="68" t="s">
        <v>293</v>
      </c>
      <c r="E660" s="68" t="s">
        <v>1248</v>
      </c>
      <c r="F660" s="10" t="str">
        <f t="array" ref="F660">_xlfn.XLOOKUP(D660,'Referanc '!$A:$A,'Referanc '!$E:$E)</f>
        <v>E2</v>
      </c>
      <c r="G660" s="196">
        <v>1211.0</v>
      </c>
      <c r="H660" s="68">
        <v>44.0</v>
      </c>
      <c r="I660" s="27">
        <v>0.0167</v>
      </c>
      <c r="J660" s="27">
        <v>0.0138</v>
      </c>
      <c r="K660" s="196">
        <v>1701.0</v>
      </c>
      <c r="L660" s="68">
        <v>50.0</v>
      </c>
      <c r="M660" s="27">
        <v>0.0167</v>
      </c>
      <c r="N660" s="27">
        <v>0.0111</v>
      </c>
      <c r="O660" s="27">
        <v>0.9109</v>
      </c>
      <c r="P660" s="27">
        <v>0.8571</v>
      </c>
      <c r="Q660" s="68">
        <v>16.0</v>
      </c>
      <c r="R660" s="68">
        <v>0.0</v>
      </c>
      <c r="S660" s="27">
        <v>0.0132</v>
      </c>
      <c r="T660" s="27">
        <v>0.0</v>
      </c>
      <c r="U660" s="197">
        <v>470180.32</v>
      </c>
      <c r="V660" s="197">
        <v>0.0</v>
      </c>
      <c r="W660" s="68">
        <v>16.0</v>
      </c>
      <c r="X660" s="68">
        <v>0.0</v>
      </c>
    </row>
    <row r="661" ht="15.75" customHeight="1">
      <c r="A661" s="3" t="s">
        <v>65</v>
      </c>
      <c r="B661" s="10" t="str">
        <f t="array" ref="B661">_xlfn.XLOOKUP(D661,'Referanc '!$A:$A,'Referanc '!$B:$B)</f>
        <v>Standing Table  - E1A</v>
      </c>
      <c r="C661" s="68" t="s">
        <v>354</v>
      </c>
      <c r="D661" s="68" t="s">
        <v>354</v>
      </c>
      <c r="E661" s="68" t="s">
        <v>1325</v>
      </c>
      <c r="F661" s="10" t="str">
        <f t="array" ref="F661">_xlfn.XLOOKUP(D661,'Referanc '!$A:$A,'Referanc '!$E:$E)</f>
        <v>E1A</v>
      </c>
      <c r="G661" s="68">
        <v>574.0</v>
      </c>
      <c r="H661" s="68">
        <v>51.0</v>
      </c>
      <c r="I661" s="27">
        <v>0.0079</v>
      </c>
      <c r="J661" s="27">
        <v>0.016</v>
      </c>
      <c r="K661" s="68">
        <v>939.0</v>
      </c>
      <c r="L661" s="68">
        <v>70.0</v>
      </c>
      <c r="M661" s="27">
        <v>0.0092</v>
      </c>
      <c r="N661" s="27">
        <v>0.0155</v>
      </c>
      <c r="O661" s="27">
        <v>0.9378</v>
      </c>
      <c r="P661" s="27">
        <v>0.8636</v>
      </c>
      <c r="Q661" s="68">
        <v>15.0</v>
      </c>
      <c r="R661" s="68">
        <v>1.0</v>
      </c>
      <c r="S661" s="27">
        <v>0.0261</v>
      </c>
      <c r="T661" s="27">
        <v>0.0196</v>
      </c>
      <c r="U661" s="197">
        <v>420310.64</v>
      </c>
      <c r="V661" s="197">
        <v>27995.08</v>
      </c>
      <c r="W661" s="68">
        <v>15.0</v>
      </c>
      <c r="X661" s="68">
        <v>1.0</v>
      </c>
    </row>
    <row r="662" ht="15.75" customHeight="1">
      <c r="A662" s="3" t="s">
        <v>65</v>
      </c>
      <c r="B662" s="10" t="str">
        <f t="array" ref="B662">_xlfn.XLOOKUP(D662,'Referanc '!$A:$A,'Referanc '!$B:$B)</f>
        <v>Standing Table  - E1A</v>
      </c>
      <c r="C662" s="68" t="s">
        <v>359</v>
      </c>
      <c r="D662" s="68" t="s">
        <v>359</v>
      </c>
      <c r="E662" s="68" t="s">
        <v>1211</v>
      </c>
      <c r="F662" s="10" t="str">
        <f t="array" ref="F662">_xlfn.XLOOKUP(D662,'Referanc '!$A:$A,'Referanc '!$E:$E)</f>
        <v>E1A</v>
      </c>
      <c r="G662" s="68">
        <v>810.0</v>
      </c>
      <c r="H662" s="68">
        <v>63.0</v>
      </c>
      <c r="I662" s="27">
        <v>0.0112</v>
      </c>
      <c r="J662" s="27">
        <v>0.0198</v>
      </c>
      <c r="K662" s="196">
        <v>1362.0</v>
      </c>
      <c r="L662" s="68">
        <v>132.0</v>
      </c>
      <c r="M662" s="27">
        <v>0.0134</v>
      </c>
      <c r="N662" s="27">
        <v>0.0292</v>
      </c>
      <c r="O662" s="27">
        <v>0.9213</v>
      </c>
      <c r="P662" s="27">
        <v>0.9756</v>
      </c>
      <c r="Q662" s="68">
        <v>13.0</v>
      </c>
      <c r="R662" s="68">
        <v>2.0</v>
      </c>
      <c r="S662" s="27">
        <v>0.016</v>
      </c>
      <c r="T662" s="27">
        <v>0.0317</v>
      </c>
      <c r="U662" s="197">
        <v>407630.64</v>
      </c>
      <c r="V662" s="197">
        <v>62725.08</v>
      </c>
      <c r="W662" s="68">
        <v>13.0</v>
      </c>
      <c r="X662" s="68">
        <v>2.0</v>
      </c>
    </row>
    <row r="663" ht="15.75" customHeight="1">
      <c r="A663" s="3" t="s">
        <v>65</v>
      </c>
      <c r="B663" s="10" t="str">
        <f t="array" ref="B663">_xlfn.XLOOKUP(D663,'Referanc '!$A:$A,'Referanc '!$B:$B)</f>
        <v>Standing Table  - E3</v>
      </c>
      <c r="C663" s="68" t="s">
        <v>364</v>
      </c>
      <c r="D663" s="68" t="s">
        <v>364</v>
      </c>
      <c r="E663" s="68" t="s">
        <v>1130</v>
      </c>
      <c r="F663" s="10" t="str">
        <f t="array" ref="F663">_xlfn.XLOOKUP(D663,'Referanc '!$A:$A,'Referanc '!$E:$E)</f>
        <v>E3</v>
      </c>
      <c r="G663" s="68">
        <v>850.0</v>
      </c>
      <c r="H663" s="68">
        <v>50.0</v>
      </c>
      <c r="I663" s="27">
        <v>0.0117</v>
      </c>
      <c r="J663" s="27">
        <v>0.0157</v>
      </c>
      <c r="K663" s="196">
        <v>1165.0</v>
      </c>
      <c r="L663" s="68">
        <v>67.0</v>
      </c>
      <c r="M663" s="27">
        <v>0.0114</v>
      </c>
      <c r="N663" s="27">
        <v>0.0148</v>
      </c>
      <c r="O663" s="27">
        <v>0.9089</v>
      </c>
      <c r="P663" s="27">
        <v>0.88</v>
      </c>
      <c r="Q663" s="68">
        <v>11.0</v>
      </c>
      <c r="R663" s="68">
        <v>1.0</v>
      </c>
      <c r="S663" s="27">
        <v>0.0129</v>
      </c>
      <c r="T663" s="27">
        <v>0.02</v>
      </c>
      <c r="U663" s="197">
        <v>424884.76</v>
      </c>
      <c r="V663" s="197">
        <v>38660.0</v>
      </c>
      <c r="W663" s="68">
        <v>11.0</v>
      </c>
      <c r="X663" s="68">
        <v>1.0</v>
      </c>
    </row>
    <row r="664" ht="15.75" customHeight="1">
      <c r="A664" s="3" t="s">
        <v>65</v>
      </c>
      <c r="B664" s="10" t="str">
        <f t="array" ref="B664">_xlfn.XLOOKUP(D664,'Referanc '!$A:$A,'Referanc '!$B:$B)</f>
        <v>Standing Table  - E2</v>
      </c>
      <c r="C664" s="68" t="s">
        <v>313</v>
      </c>
      <c r="D664" s="68" t="s">
        <v>313</v>
      </c>
      <c r="E664" s="68" t="s">
        <v>1125</v>
      </c>
      <c r="F664" s="10" t="str">
        <f t="array" ref="F664">_xlfn.XLOOKUP(D664,'Referanc '!$A:$A,'Referanc '!$E:$E)</f>
        <v>E2</v>
      </c>
      <c r="G664" s="196">
        <v>1762.0</v>
      </c>
      <c r="H664" s="68">
        <v>69.0</v>
      </c>
      <c r="I664" s="27">
        <v>0.0243</v>
      </c>
      <c r="J664" s="27">
        <v>0.0217</v>
      </c>
      <c r="K664" s="196">
        <v>2175.0</v>
      </c>
      <c r="L664" s="68">
        <v>78.0</v>
      </c>
      <c r="M664" s="27">
        <v>0.0214</v>
      </c>
      <c r="N664" s="27">
        <v>0.0172</v>
      </c>
      <c r="O664" s="27">
        <v>0.8682</v>
      </c>
      <c r="P664" s="27">
        <v>0.9492</v>
      </c>
      <c r="Q664" s="68">
        <v>11.0</v>
      </c>
      <c r="R664" s="68">
        <v>0.0</v>
      </c>
      <c r="S664" s="27">
        <v>0.0062</v>
      </c>
      <c r="T664" s="27">
        <v>0.0</v>
      </c>
      <c r="U664" s="197">
        <v>324335.24</v>
      </c>
      <c r="V664" s="197">
        <v>0.0</v>
      </c>
      <c r="W664" s="68">
        <v>11.0</v>
      </c>
      <c r="X664" s="68">
        <v>0.0</v>
      </c>
    </row>
    <row r="665" ht="15.75" customHeight="1">
      <c r="A665" s="3" t="s">
        <v>65</v>
      </c>
      <c r="B665" s="10" t="str">
        <f t="array" ref="B665">_xlfn.XLOOKUP(D665,'Referanc '!$A:$A,'Referanc '!$B:$B)</f>
        <v>Standing Table  - SM3</v>
      </c>
      <c r="C665" s="68" t="s">
        <v>370</v>
      </c>
      <c r="D665" s="68" t="s">
        <v>370</v>
      </c>
      <c r="E665" s="68" t="s">
        <v>1161</v>
      </c>
      <c r="F665" s="10" t="str">
        <f t="array" ref="F665">_xlfn.XLOOKUP(D665,'Referanc '!$A:$A,'Referanc '!$E:$E)</f>
        <v>SM3</v>
      </c>
      <c r="G665" s="68">
        <v>607.0</v>
      </c>
      <c r="H665" s="68">
        <v>17.0</v>
      </c>
      <c r="I665" s="27">
        <v>0.0084</v>
      </c>
      <c r="J665" s="27">
        <v>0.0053</v>
      </c>
      <c r="K665" s="196">
        <v>1022.0</v>
      </c>
      <c r="L665" s="68">
        <v>19.0</v>
      </c>
      <c r="M665" s="27">
        <v>0.01</v>
      </c>
      <c r="N665" s="27">
        <v>0.0042</v>
      </c>
      <c r="O665" s="27">
        <v>0.9386</v>
      </c>
      <c r="P665" s="27">
        <v>0.9091</v>
      </c>
      <c r="Q665" s="68">
        <v>11.0</v>
      </c>
      <c r="R665" s="68">
        <v>1.0</v>
      </c>
      <c r="S665" s="27">
        <v>0.0181</v>
      </c>
      <c r="T665" s="27">
        <v>0.0588</v>
      </c>
      <c r="U665" s="197">
        <v>217140.34</v>
      </c>
      <c r="V665" s="197">
        <v>19760.0</v>
      </c>
      <c r="W665" s="68">
        <v>11.0</v>
      </c>
      <c r="X665" s="68">
        <v>1.0</v>
      </c>
    </row>
    <row r="666" ht="15.75" customHeight="1">
      <c r="A666" s="3" t="s">
        <v>65</v>
      </c>
      <c r="B666" s="10" t="str">
        <f t="array" ref="B666">_xlfn.XLOOKUP(D666,'Referanc '!$A:$A,'Referanc '!$B:$B)</f>
        <v>Standing Table  - E3</v>
      </c>
      <c r="C666" s="68" t="s">
        <v>365</v>
      </c>
      <c r="D666" s="68" t="s">
        <v>365</v>
      </c>
      <c r="E666" s="68" t="s">
        <v>1322</v>
      </c>
      <c r="F666" s="10" t="str">
        <f t="array" ref="F666">_xlfn.XLOOKUP(D666,'Referanc '!$A:$A,'Referanc '!$E:$E)</f>
        <v>E3</v>
      </c>
      <c r="G666" s="196">
        <v>1890.0</v>
      </c>
      <c r="H666" s="68">
        <v>70.0</v>
      </c>
      <c r="I666" s="27">
        <v>0.026</v>
      </c>
      <c r="J666" s="27">
        <v>0.022</v>
      </c>
      <c r="K666" s="196">
        <v>2631.0</v>
      </c>
      <c r="L666" s="68">
        <v>99.0</v>
      </c>
      <c r="M666" s="27">
        <v>0.0258</v>
      </c>
      <c r="N666" s="27">
        <v>0.0219</v>
      </c>
      <c r="O666" s="27">
        <v>0.9003</v>
      </c>
      <c r="P666" s="27">
        <v>0.7703</v>
      </c>
      <c r="Q666" s="68">
        <v>10.0</v>
      </c>
      <c r="R666" s="68">
        <v>0.0</v>
      </c>
      <c r="S666" s="27">
        <v>0.0053</v>
      </c>
      <c r="T666" s="27">
        <v>0.0</v>
      </c>
      <c r="U666" s="197">
        <v>386162.22</v>
      </c>
      <c r="V666" s="197">
        <v>0.0</v>
      </c>
      <c r="W666" s="68">
        <v>10.0</v>
      </c>
      <c r="X666" s="68">
        <v>0.0</v>
      </c>
    </row>
    <row r="667" ht="15.75" customHeight="1">
      <c r="A667" s="3" t="s">
        <v>65</v>
      </c>
      <c r="B667" s="10" t="str">
        <f t="array" ref="B667">_xlfn.XLOOKUP(D667,'Referanc '!$A:$A,'Referanc '!$B:$B)</f>
        <v>Standing Table - All Frames</v>
      </c>
      <c r="C667" s="68" t="s">
        <v>368</v>
      </c>
      <c r="D667" s="68" t="s">
        <v>368</v>
      </c>
      <c r="E667" s="68" t="s">
        <v>1184</v>
      </c>
      <c r="F667" s="10" t="str">
        <f t="array" ref="F667">_xlfn.XLOOKUP(D667,'Referanc '!$A:$A,'Referanc '!$E:$E)</f>
        <v>SM3</v>
      </c>
      <c r="G667" s="68">
        <v>620.0</v>
      </c>
      <c r="H667" s="68">
        <v>46.0</v>
      </c>
      <c r="I667" s="27">
        <v>0.0085</v>
      </c>
      <c r="J667" s="27">
        <v>0.0145</v>
      </c>
      <c r="K667" s="68">
        <v>953.0</v>
      </c>
      <c r="L667" s="68">
        <v>64.0</v>
      </c>
      <c r="M667" s="27">
        <v>0.0094</v>
      </c>
      <c r="N667" s="27">
        <v>0.0141</v>
      </c>
      <c r="O667" s="27">
        <v>0.8671</v>
      </c>
      <c r="P667" s="27">
        <v>0.8</v>
      </c>
      <c r="Q667" s="68">
        <v>12.0</v>
      </c>
      <c r="R667" s="68">
        <v>0.0</v>
      </c>
      <c r="S667" s="27">
        <v>0.0194</v>
      </c>
      <c r="T667" s="27">
        <v>0.0</v>
      </c>
      <c r="U667" s="197">
        <v>202100.34</v>
      </c>
      <c r="V667" s="197">
        <v>0.0</v>
      </c>
      <c r="W667" s="68">
        <v>10.0</v>
      </c>
      <c r="X667" s="68">
        <v>0.0</v>
      </c>
    </row>
    <row r="668" ht="15.75" customHeight="1">
      <c r="A668" s="3" t="s">
        <v>65</v>
      </c>
      <c r="B668" s="10" t="str">
        <f t="array" ref="B668">_xlfn.XLOOKUP(D668,'Referanc '!$A:$A,'Referanc '!$B:$B)</f>
        <v>Standing Table  - E2</v>
      </c>
      <c r="C668" s="68" t="s">
        <v>311</v>
      </c>
      <c r="D668" s="68" t="s">
        <v>311</v>
      </c>
      <c r="E668" s="68" t="s">
        <v>670</v>
      </c>
      <c r="F668" s="10" t="str">
        <f t="array" ref="F668">_xlfn.XLOOKUP(D668,'Referanc '!$A:$A,'Referanc '!$E:$E)</f>
        <v>E2</v>
      </c>
      <c r="G668" s="196">
        <v>2010.0</v>
      </c>
      <c r="H668" s="68">
        <v>76.0</v>
      </c>
      <c r="I668" s="27">
        <v>0.0277</v>
      </c>
      <c r="J668" s="27">
        <v>0.0239</v>
      </c>
      <c r="K668" s="196">
        <v>2865.0</v>
      </c>
      <c r="L668" s="68">
        <v>115.0</v>
      </c>
      <c r="M668" s="27">
        <v>0.0281</v>
      </c>
      <c r="N668" s="27">
        <v>0.0254</v>
      </c>
      <c r="O668" s="27">
        <v>0.8726</v>
      </c>
      <c r="P668" s="27">
        <v>0.918</v>
      </c>
      <c r="Q668" s="68">
        <v>9.0</v>
      </c>
      <c r="R668" s="68">
        <v>2.0</v>
      </c>
      <c r="S668" s="27">
        <v>0.0045</v>
      </c>
      <c r="T668" s="27">
        <v>0.0263</v>
      </c>
      <c r="U668" s="197">
        <v>289145.56</v>
      </c>
      <c r="V668" s="197">
        <v>64230.16</v>
      </c>
      <c r="W668" s="68">
        <v>9.0</v>
      </c>
      <c r="X668" s="68">
        <v>2.0</v>
      </c>
    </row>
    <row r="669" ht="15.75" customHeight="1">
      <c r="A669" s="3" t="s">
        <v>65</v>
      </c>
      <c r="B669" s="10" t="str">
        <f t="array" ref="B669">_xlfn.XLOOKUP(D669,'Referanc '!$A:$A,'Referanc '!$B:$B)</f>
        <v>Standing Table  - M8</v>
      </c>
      <c r="C669" s="68" t="s">
        <v>410</v>
      </c>
      <c r="D669" s="68" t="s">
        <v>410</v>
      </c>
      <c r="E669" s="68" t="s">
        <v>1358</v>
      </c>
      <c r="F669" s="10" t="str">
        <f t="array" ref="F669">_xlfn.XLOOKUP(D669,'Referanc '!$A:$A,'Referanc '!$E:$E)</f>
        <v>M8</v>
      </c>
      <c r="G669" s="68">
        <v>598.0</v>
      </c>
      <c r="H669" s="68">
        <v>25.0</v>
      </c>
      <c r="I669" s="27">
        <v>0.0082</v>
      </c>
      <c r="J669" s="27">
        <v>0.0079</v>
      </c>
      <c r="K669" s="68">
        <v>881.0</v>
      </c>
      <c r="L669" s="68">
        <v>32.0</v>
      </c>
      <c r="M669" s="27">
        <v>0.0087</v>
      </c>
      <c r="N669" s="27">
        <v>0.0071</v>
      </c>
      <c r="O669" s="27">
        <v>0.9247</v>
      </c>
      <c r="P669" s="27">
        <v>0.8947</v>
      </c>
      <c r="Q669" s="68">
        <v>7.0</v>
      </c>
      <c r="R669" s="68">
        <v>0.0</v>
      </c>
      <c r="S669" s="27">
        <v>0.0117</v>
      </c>
      <c r="T669" s="27">
        <v>0.0</v>
      </c>
      <c r="U669" s="197">
        <v>135390.08</v>
      </c>
      <c r="V669" s="197">
        <v>0.0</v>
      </c>
      <c r="W669" s="68">
        <v>7.0</v>
      </c>
      <c r="X669" s="68">
        <v>0.0</v>
      </c>
    </row>
    <row r="670" ht="15.75" customHeight="1">
      <c r="A670" s="3" t="s">
        <v>65</v>
      </c>
      <c r="B670" s="10" t="str">
        <f t="array" ref="B670">_xlfn.XLOOKUP(D670,'Referanc '!$A:$A,'Referanc '!$B:$B)</f>
        <v>Standing Table - All Frames</v>
      </c>
      <c r="C670" s="68" t="s">
        <v>399</v>
      </c>
      <c r="D670" s="68" t="s">
        <v>399</v>
      </c>
      <c r="E670" s="68" t="s">
        <v>1303</v>
      </c>
      <c r="F670" s="10" t="str">
        <f t="array" ref="F670">_xlfn.XLOOKUP(D670,'Referanc '!$A:$A,'Referanc '!$E:$E)</f>
        <v>E1A</v>
      </c>
      <c r="G670" s="68">
        <v>496.0</v>
      </c>
      <c r="H670" s="68">
        <v>23.0</v>
      </c>
      <c r="I670" s="27">
        <v>0.0068</v>
      </c>
      <c r="J670" s="27">
        <v>0.0072</v>
      </c>
      <c r="K670" s="68">
        <v>746.0</v>
      </c>
      <c r="L670" s="68">
        <v>30.0</v>
      </c>
      <c r="M670" s="27">
        <v>0.0073</v>
      </c>
      <c r="N670" s="27">
        <v>0.0066</v>
      </c>
      <c r="O670" s="27">
        <v>0.8712</v>
      </c>
      <c r="P670" s="27">
        <v>0.7895</v>
      </c>
      <c r="Q670" s="68">
        <v>7.0</v>
      </c>
      <c r="R670" s="68">
        <v>0.0</v>
      </c>
      <c r="S670" s="27">
        <v>0.0141</v>
      </c>
      <c r="T670" s="27">
        <v>0.0</v>
      </c>
      <c r="U670" s="197">
        <v>176110.32</v>
      </c>
      <c r="V670" s="197">
        <v>0.0</v>
      </c>
      <c r="W670" s="68">
        <v>7.0</v>
      </c>
      <c r="X670" s="68">
        <v>0.0</v>
      </c>
    </row>
    <row r="671" ht="15.75" customHeight="1">
      <c r="A671" s="3" t="s">
        <v>65</v>
      </c>
      <c r="B671" s="10" t="str">
        <f t="array" ref="B671">_xlfn.XLOOKUP(D671,'Referanc '!$A:$A,'Referanc '!$B:$B)</f>
        <v>Standing Table  - E4</v>
      </c>
      <c r="C671" s="68" t="s">
        <v>375</v>
      </c>
      <c r="D671" s="68" t="s">
        <v>375</v>
      </c>
      <c r="E671" s="68" t="s">
        <v>1329</v>
      </c>
      <c r="F671" s="10" t="str">
        <f t="array" ref="F671">_xlfn.XLOOKUP(D671,'Referanc '!$A:$A,'Referanc '!$E:$E)</f>
        <v>E4</v>
      </c>
      <c r="G671" s="68">
        <v>847.0</v>
      </c>
      <c r="H671" s="68">
        <v>32.0</v>
      </c>
      <c r="I671" s="27">
        <v>0.0117</v>
      </c>
      <c r="J671" s="27">
        <v>0.0101</v>
      </c>
      <c r="K671" s="196">
        <v>1211.0</v>
      </c>
      <c r="L671" s="68">
        <v>43.0</v>
      </c>
      <c r="M671" s="27">
        <v>0.0119</v>
      </c>
      <c r="N671" s="27">
        <v>0.0095</v>
      </c>
      <c r="O671" s="27">
        <v>0.9358</v>
      </c>
      <c r="P671" s="27">
        <v>0.84</v>
      </c>
      <c r="Q671" s="68">
        <v>7.0</v>
      </c>
      <c r="R671" s="68">
        <v>0.0</v>
      </c>
      <c r="S671" s="27">
        <v>0.0083</v>
      </c>
      <c r="T671" s="27">
        <v>0.0</v>
      </c>
      <c r="U671" s="197">
        <v>173161.52</v>
      </c>
      <c r="V671" s="197">
        <v>0.0</v>
      </c>
      <c r="W671" s="68">
        <v>7.0</v>
      </c>
      <c r="X671" s="68">
        <v>0.0</v>
      </c>
    </row>
    <row r="672" ht="15.75" customHeight="1">
      <c r="A672" s="3" t="s">
        <v>65</v>
      </c>
      <c r="B672" s="10" t="str">
        <f t="array" ref="B672">_xlfn.XLOOKUP(D672,'Referanc '!$A:$A,'Referanc '!$B:$B)</f>
        <v>Standing Table - All Frames</v>
      </c>
      <c r="C672" s="68" t="s">
        <v>306</v>
      </c>
      <c r="D672" s="68" t="s">
        <v>306</v>
      </c>
      <c r="E672" s="68" t="s">
        <v>1140</v>
      </c>
      <c r="F672" s="10" t="str">
        <f t="array" ref="F672">_xlfn.XLOOKUP(D672,'Referanc '!$A:$A,'Referanc '!$E:$E)</f>
        <v>E2</v>
      </c>
      <c r="G672" s="196">
        <v>1619.0</v>
      </c>
      <c r="H672" s="68">
        <v>62.0</v>
      </c>
      <c r="I672" s="27">
        <v>0.0223</v>
      </c>
      <c r="J672" s="27">
        <v>0.0195</v>
      </c>
      <c r="K672" s="196">
        <v>2272.0</v>
      </c>
      <c r="L672" s="68">
        <v>86.0</v>
      </c>
      <c r="M672" s="27">
        <v>0.0223</v>
      </c>
      <c r="N672" s="27">
        <v>0.019</v>
      </c>
      <c r="O672" s="27">
        <v>0.8392</v>
      </c>
      <c r="P672" s="27">
        <v>0.7963</v>
      </c>
      <c r="Q672" s="68">
        <v>6.0</v>
      </c>
      <c r="R672" s="68">
        <v>0.0</v>
      </c>
      <c r="S672" s="27">
        <v>0.0037</v>
      </c>
      <c r="T672" s="27">
        <v>0.0</v>
      </c>
      <c r="U672" s="197">
        <v>156785.08</v>
      </c>
      <c r="V672" s="197">
        <v>0.0</v>
      </c>
      <c r="W672" s="68">
        <v>6.0</v>
      </c>
      <c r="X672" s="68">
        <v>0.0</v>
      </c>
    </row>
    <row r="673" ht="15.75" customHeight="1">
      <c r="A673" s="3" t="s">
        <v>65</v>
      </c>
      <c r="B673" s="10" t="str">
        <f t="array" ref="B673">_xlfn.XLOOKUP(D673,'Referanc '!$A:$A,'Referanc '!$B:$B)</f>
        <v>Standing Table  - E4</v>
      </c>
      <c r="C673" s="68" t="s">
        <v>396</v>
      </c>
      <c r="D673" s="68" t="s">
        <v>396</v>
      </c>
      <c r="E673" s="68" t="s">
        <v>1321</v>
      </c>
      <c r="F673" s="10" t="str">
        <f t="array" ref="F673">_xlfn.XLOOKUP(D673,'Referanc '!$A:$A,'Referanc '!$E:$E)</f>
        <v>E4</v>
      </c>
      <c r="G673" s="196">
        <v>1265.0</v>
      </c>
      <c r="H673" s="68">
        <v>60.0</v>
      </c>
      <c r="I673" s="27">
        <v>0.0174</v>
      </c>
      <c r="J673" s="27">
        <v>0.0189</v>
      </c>
      <c r="K673" s="196">
        <v>1584.0</v>
      </c>
      <c r="L673" s="68">
        <v>105.0</v>
      </c>
      <c r="M673" s="27">
        <v>0.0156</v>
      </c>
      <c r="N673" s="27">
        <v>0.0232</v>
      </c>
      <c r="O673" s="27">
        <v>0.7979</v>
      </c>
      <c r="P673" s="27">
        <v>0.875</v>
      </c>
      <c r="Q673" s="68">
        <v>6.0</v>
      </c>
      <c r="R673" s="68">
        <v>0.0</v>
      </c>
      <c r="S673" s="27">
        <v>0.0047</v>
      </c>
      <c r="T673" s="27">
        <v>0.0</v>
      </c>
      <c r="U673" s="197">
        <v>165650.0</v>
      </c>
      <c r="V673" s="197">
        <v>0.0</v>
      </c>
      <c r="W673" s="68">
        <v>6.0</v>
      </c>
      <c r="X673" s="68">
        <v>0.0</v>
      </c>
    </row>
    <row r="674" ht="15.75" customHeight="1">
      <c r="A674" s="3" t="s">
        <v>65</v>
      </c>
      <c r="B674" s="10" t="str">
        <f t="array" ref="B674">_xlfn.XLOOKUP(D674,'Referanc '!$A:$A,'Referanc '!$B:$B)</f>
        <v>Standing Table  - E4</v>
      </c>
      <c r="C674" s="68" t="s">
        <v>388</v>
      </c>
      <c r="D674" s="68" t="s">
        <v>388</v>
      </c>
      <c r="E674" s="68" t="s">
        <v>1278</v>
      </c>
      <c r="F674" s="10" t="str">
        <f t="array" ref="F674">_xlfn.XLOOKUP(D674,'Referanc '!$A:$A,'Referanc '!$E:$E)</f>
        <v>E4</v>
      </c>
      <c r="G674" s="68">
        <v>668.0</v>
      </c>
      <c r="H674" s="68">
        <v>23.0</v>
      </c>
      <c r="I674" s="27">
        <v>0.0092</v>
      </c>
      <c r="J674" s="27">
        <v>0.0072</v>
      </c>
      <c r="K674" s="68">
        <v>946.0</v>
      </c>
      <c r="L674" s="68">
        <v>28.0</v>
      </c>
      <c r="M674" s="27">
        <v>0.0093</v>
      </c>
      <c r="N674" s="27">
        <v>0.0062</v>
      </c>
      <c r="O674" s="27">
        <v>0.943</v>
      </c>
      <c r="P674" s="27">
        <v>0.75</v>
      </c>
      <c r="Q674" s="68">
        <v>6.0</v>
      </c>
      <c r="R674" s="68">
        <v>0.0</v>
      </c>
      <c r="S674" s="27">
        <v>0.009</v>
      </c>
      <c r="T674" s="27">
        <v>0.0</v>
      </c>
      <c r="U674" s="197">
        <v>148367.28</v>
      </c>
      <c r="V674" s="197">
        <v>0.0</v>
      </c>
      <c r="W674" s="68">
        <v>6.0</v>
      </c>
      <c r="X674" s="68">
        <v>0.0</v>
      </c>
    </row>
    <row r="675" ht="15.75" customHeight="1">
      <c r="A675" s="3" t="s">
        <v>65</v>
      </c>
      <c r="B675" s="10" t="str">
        <f t="array" ref="B675">_xlfn.XLOOKUP(D675,'Referanc '!$A:$A,'Referanc '!$B:$B)</f>
        <v>Standing Table - All Frames</v>
      </c>
      <c r="C675" s="68" t="s">
        <v>402</v>
      </c>
      <c r="D675" s="68" t="s">
        <v>402</v>
      </c>
      <c r="E675" s="68" t="s">
        <v>697</v>
      </c>
      <c r="F675" s="10" t="str">
        <f t="array" ref="F675">_xlfn.XLOOKUP(D675,'Referanc '!$A:$A,'Referanc '!$E:$E)</f>
        <v>E4</v>
      </c>
      <c r="G675" s="68">
        <v>443.0</v>
      </c>
      <c r="H675" s="68">
        <v>31.0</v>
      </c>
      <c r="I675" s="27">
        <v>0.0061</v>
      </c>
      <c r="J675" s="27">
        <v>0.0097</v>
      </c>
      <c r="K675" s="68">
        <v>608.0</v>
      </c>
      <c r="L675" s="68">
        <v>61.0</v>
      </c>
      <c r="M675" s="27">
        <v>0.006</v>
      </c>
      <c r="N675" s="27">
        <v>0.0135</v>
      </c>
      <c r="O675" s="27">
        <v>0.8677</v>
      </c>
      <c r="P675" s="27">
        <v>0.8824</v>
      </c>
      <c r="Q675" s="68">
        <v>6.0</v>
      </c>
      <c r="R675" s="68">
        <v>0.0</v>
      </c>
      <c r="S675" s="27">
        <v>0.0135</v>
      </c>
      <c r="T675" s="27">
        <v>0.0</v>
      </c>
      <c r="U675" s="197">
        <v>135555.76</v>
      </c>
      <c r="V675" s="197">
        <v>0.0</v>
      </c>
      <c r="W675" s="68">
        <v>6.0</v>
      </c>
      <c r="X675" s="68">
        <v>0.0</v>
      </c>
    </row>
    <row r="676" ht="15.75" customHeight="1">
      <c r="A676" s="3" t="s">
        <v>65</v>
      </c>
      <c r="B676" s="10" t="str">
        <f t="array" ref="B676">_xlfn.XLOOKUP(D676,'Referanc '!$A:$A,'Referanc '!$B:$B)</f>
        <v>Standing Table - All Frames</v>
      </c>
      <c r="C676" s="68" t="s">
        <v>389</v>
      </c>
      <c r="D676" s="68" t="s">
        <v>389</v>
      </c>
      <c r="E676" s="68" t="s">
        <v>1359</v>
      </c>
      <c r="F676" s="10" t="str">
        <f t="array" ref="F676">_xlfn.XLOOKUP(D676,'Referanc '!$A:$A,'Referanc '!$E:$E)</f>
        <v>M8</v>
      </c>
      <c r="G676" s="196">
        <v>1188.0</v>
      </c>
      <c r="H676" s="68">
        <v>48.0</v>
      </c>
      <c r="I676" s="27">
        <v>0.0164</v>
      </c>
      <c r="J676" s="27">
        <v>0.0151</v>
      </c>
      <c r="K676" s="196">
        <v>1579.0</v>
      </c>
      <c r="L676" s="68">
        <v>71.0</v>
      </c>
      <c r="M676" s="27">
        <v>0.0155</v>
      </c>
      <c r="N676" s="27">
        <v>0.0157</v>
      </c>
      <c r="O676" s="27">
        <v>0.8328</v>
      </c>
      <c r="P676" s="27">
        <v>0.9231</v>
      </c>
      <c r="Q676" s="68">
        <v>5.0</v>
      </c>
      <c r="R676" s="68">
        <v>1.0</v>
      </c>
      <c r="S676" s="27">
        <v>0.0042</v>
      </c>
      <c r="T676" s="27">
        <v>0.0208</v>
      </c>
      <c r="U676" s="197">
        <v>67450.0</v>
      </c>
      <c r="V676" s="197">
        <v>13490.0</v>
      </c>
      <c r="W676" s="68">
        <v>5.0</v>
      </c>
      <c r="X676" s="68">
        <v>1.0</v>
      </c>
    </row>
    <row r="677" ht="15.75" customHeight="1">
      <c r="A677" s="3" t="s">
        <v>65</v>
      </c>
      <c r="B677" s="10" t="str">
        <f t="array" ref="B677">_xlfn.XLOOKUP(D677,'Referanc '!$A:$A,'Referanc '!$B:$B)</f>
        <v>Standing Table  - M8</v>
      </c>
      <c r="C677" s="68" t="s">
        <v>412</v>
      </c>
      <c r="D677" s="68" t="s">
        <v>412</v>
      </c>
      <c r="E677" s="68" t="s">
        <v>1360</v>
      </c>
      <c r="F677" s="10" t="str">
        <f t="array" ref="F677">_xlfn.XLOOKUP(D677,'Referanc '!$A:$A,'Referanc '!$E:$E)</f>
        <v>M8</v>
      </c>
      <c r="G677" s="68">
        <v>522.0</v>
      </c>
      <c r="H677" s="68">
        <v>25.0</v>
      </c>
      <c r="I677" s="27">
        <v>0.0072</v>
      </c>
      <c r="J677" s="27">
        <v>0.0079</v>
      </c>
      <c r="K677" s="68">
        <v>704.0</v>
      </c>
      <c r="L677" s="68">
        <v>60.0</v>
      </c>
      <c r="M677" s="27">
        <v>0.0069</v>
      </c>
      <c r="N677" s="27">
        <v>0.0133</v>
      </c>
      <c r="O677" s="27">
        <v>0.8681</v>
      </c>
      <c r="P677" s="27">
        <v>0.7333</v>
      </c>
      <c r="Q677" s="68">
        <v>5.0</v>
      </c>
      <c r="R677" s="68">
        <v>0.0</v>
      </c>
      <c r="S677" s="27">
        <v>0.0096</v>
      </c>
      <c r="T677" s="27">
        <v>0.0</v>
      </c>
      <c r="U677" s="197">
        <v>96740.76</v>
      </c>
      <c r="V677" s="197">
        <v>0.0</v>
      </c>
      <c r="W677" s="68">
        <v>5.0</v>
      </c>
      <c r="X677" s="68">
        <v>0.0</v>
      </c>
    </row>
    <row r="678" ht="15.75" customHeight="1">
      <c r="A678" s="3" t="s">
        <v>65</v>
      </c>
      <c r="B678" s="10" t="str">
        <f t="array" ref="B678">_xlfn.XLOOKUP(D678,'Referanc '!$A:$A,'Referanc '!$B:$B)</f>
        <v>Standing Desk Converter</v>
      </c>
      <c r="C678" s="68" t="s">
        <v>326</v>
      </c>
      <c r="D678" s="68" t="s">
        <v>326</v>
      </c>
      <c r="E678" s="68" t="s">
        <v>1149</v>
      </c>
      <c r="F678" s="10" t="str">
        <f t="array" ref="F678">_xlfn.XLOOKUP(D678,'Referanc '!$A:$A,'Referanc '!$E:$E)</f>
        <v>Standing Desk Converter</v>
      </c>
      <c r="G678" s="68">
        <v>450.0</v>
      </c>
      <c r="H678" s="68">
        <v>36.0</v>
      </c>
      <c r="I678" s="27">
        <v>0.0062</v>
      </c>
      <c r="J678" s="27">
        <v>0.0113</v>
      </c>
      <c r="K678" s="68">
        <v>644.0</v>
      </c>
      <c r="L678" s="68">
        <v>52.0</v>
      </c>
      <c r="M678" s="27">
        <v>0.0063</v>
      </c>
      <c r="N678" s="27">
        <v>0.0115</v>
      </c>
      <c r="O678" s="27">
        <v>0.913</v>
      </c>
      <c r="P678" s="27">
        <v>0.8974</v>
      </c>
      <c r="Q678" s="68">
        <v>5.0</v>
      </c>
      <c r="R678" s="68">
        <v>1.0</v>
      </c>
      <c r="S678" s="27">
        <v>0.0111</v>
      </c>
      <c r="T678" s="27">
        <v>0.0278</v>
      </c>
      <c r="U678" s="197">
        <v>34950.0</v>
      </c>
      <c r="V678" s="197">
        <v>6990.0</v>
      </c>
      <c r="W678" s="68">
        <v>5.0</v>
      </c>
      <c r="X678" s="68">
        <v>1.0</v>
      </c>
    </row>
    <row r="679" ht="15.75" customHeight="1">
      <c r="A679" s="3" t="s">
        <v>65</v>
      </c>
      <c r="B679" s="10" t="str">
        <f t="array" ref="B679">_xlfn.XLOOKUP(D679,'Referanc '!$A:$A,'Referanc '!$B:$B)</f>
        <v>Standing Table  - E3</v>
      </c>
      <c r="C679" s="68" t="s">
        <v>400</v>
      </c>
      <c r="D679" s="68" t="s">
        <v>400</v>
      </c>
      <c r="E679" s="68" t="s">
        <v>1130</v>
      </c>
      <c r="F679" s="10" t="str">
        <f t="array" ref="F679">_xlfn.XLOOKUP(D679,'Referanc '!$A:$A,'Referanc '!$E:$E)</f>
        <v>E3</v>
      </c>
      <c r="G679" s="68">
        <v>390.0</v>
      </c>
      <c r="H679" s="68">
        <v>19.0</v>
      </c>
      <c r="I679" s="27">
        <v>0.0054</v>
      </c>
      <c r="J679" s="27">
        <v>0.006</v>
      </c>
      <c r="K679" s="68">
        <v>732.0</v>
      </c>
      <c r="L679" s="68">
        <v>32.0</v>
      </c>
      <c r="M679" s="27">
        <v>0.0072</v>
      </c>
      <c r="N679" s="27">
        <v>0.0071</v>
      </c>
      <c r="O679" s="27">
        <v>0.958</v>
      </c>
      <c r="P679" s="27">
        <v>0.8667</v>
      </c>
      <c r="Q679" s="68">
        <v>5.0</v>
      </c>
      <c r="R679" s="68">
        <v>0.0</v>
      </c>
      <c r="S679" s="27">
        <v>0.0128</v>
      </c>
      <c r="T679" s="27">
        <v>0.0</v>
      </c>
      <c r="U679" s="197">
        <v>193174.92</v>
      </c>
      <c r="V679" s="197">
        <v>0.0</v>
      </c>
      <c r="W679" s="68">
        <v>5.0</v>
      </c>
      <c r="X679" s="68">
        <v>0.0</v>
      </c>
    </row>
    <row r="680" ht="15.75" customHeight="1">
      <c r="A680" s="3" t="s">
        <v>65</v>
      </c>
      <c r="B680" s="10" t="str">
        <f t="array" ref="B680">_xlfn.XLOOKUP(D680,'Referanc '!$A:$A,'Referanc '!$B:$B)</f>
        <v>Keyboard Tray</v>
      </c>
      <c r="C680" s="68" t="s">
        <v>346</v>
      </c>
      <c r="D680" s="68" t="s">
        <v>346</v>
      </c>
      <c r="E680" s="68" t="s">
        <v>665</v>
      </c>
      <c r="F680" s="10" t="str">
        <f t="array" ref="F680">_xlfn.XLOOKUP(D680,'Referanc '!$A:$A,'Referanc '!$E:$E)</f>
        <v>Keyboard Tray</v>
      </c>
      <c r="G680" s="68">
        <v>83.0</v>
      </c>
      <c r="H680" s="68">
        <v>3.0</v>
      </c>
      <c r="I680" s="27">
        <v>0.0011</v>
      </c>
      <c r="J680" s="27">
        <v>9.0E-4</v>
      </c>
      <c r="K680" s="68">
        <v>136.0</v>
      </c>
      <c r="L680" s="68">
        <v>3.0</v>
      </c>
      <c r="M680" s="27">
        <v>0.0013</v>
      </c>
      <c r="N680" s="27">
        <v>7.0E-4</v>
      </c>
      <c r="O680" s="27">
        <v>0.6814</v>
      </c>
      <c r="P680" s="27">
        <v>1.0</v>
      </c>
      <c r="Q680" s="68">
        <v>4.0</v>
      </c>
      <c r="R680" s="68">
        <v>0.0</v>
      </c>
      <c r="S680" s="27">
        <v>0.0482</v>
      </c>
      <c r="T680" s="27">
        <v>0.0</v>
      </c>
      <c r="U680" s="197">
        <v>13160.0</v>
      </c>
      <c r="V680" s="197">
        <v>0.0</v>
      </c>
      <c r="W680" s="68">
        <v>4.0</v>
      </c>
      <c r="X680" s="68">
        <v>0.0</v>
      </c>
    </row>
    <row r="681" ht="15.75" customHeight="1">
      <c r="A681" s="3" t="s">
        <v>65</v>
      </c>
      <c r="B681" s="10" t="str">
        <f t="array" ref="B681">_xlfn.XLOOKUP(D681,'Referanc '!$A:$A,'Referanc '!$B:$B)</f>
        <v>Standing Table  - E3</v>
      </c>
      <c r="C681" s="68" t="s">
        <v>381</v>
      </c>
      <c r="D681" s="68" t="s">
        <v>381</v>
      </c>
      <c r="E681" s="68" t="s">
        <v>1143</v>
      </c>
      <c r="F681" s="10" t="str">
        <f t="array" ref="F681">_xlfn.XLOOKUP(D681,'Referanc '!$A:$A,'Referanc '!$E:$E)</f>
        <v>E3</v>
      </c>
      <c r="G681" s="68">
        <v>166.0</v>
      </c>
      <c r="H681" s="68">
        <v>4.0</v>
      </c>
      <c r="I681" s="27">
        <v>0.0023</v>
      </c>
      <c r="J681" s="27">
        <v>0.0013</v>
      </c>
      <c r="K681" s="68">
        <v>258.0</v>
      </c>
      <c r="L681" s="68">
        <v>4.0</v>
      </c>
      <c r="M681" s="27">
        <v>0.0025</v>
      </c>
      <c r="N681" s="27">
        <v>9.0E-4</v>
      </c>
      <c r="O681" s="27">
        <v>0.9286</v>
      </c>
      <c r="P681" s="27">
        <v>1.0</v>
      </c>
      <c r="Q681" s="68">
        <v>4.0</v>
      </c>
      <c r="R681" s="68">
        <v>0.0</v>
      </c>
      <c r="S681" s="27">
        <v>0.0241</v>
      </c>
      <c r="T681" s="27">
        <v>0.0</v>
      </c>
      <c r="U681" s="197">
        <v>146817.46</v>
      </c>
      <c r="V681" s="197">
        <v>0.0</v>
      </c>
      <c r="W681" s="68">
        <v>4.0</v>
      </c>
      <c r="X681" s="68">
        <v>0.0</v>
      </c>
    </row>
    <row r="682" ht="15.75" customHeight="1">
      <c r="A682" s="3" t="s">
        <v>65</v>
      </c>
      <c r="B682" s="10" t="str">
        <f t="array" ref="B682">_xlfn.XLOOKUP(D682,'Referanc '!$A:$A,'Referanc '!$B:$B)</f>
        <v>Standing Table - All Frames</v>
      </c>
      <c r="C682" s="68" t="s">
        <v>343</v>
      </c>
      <c r="D682" s="68" t="s">
        <v>343</v>
      </c>
      <c r="E682" s="68" t="s">
        <v>1153</v>
      </c>
      <c r="F682" s="10" t="str">
        <f t="array" ref="F682">_xlfn.XLOOKUP(D682,'Referanc '!$A:$A,'Referanc '!$E:$E)</f>
        <v>E3</v>
      </c>
      <c r="G682" s="68">
        <v>465.0</v>
      </c>
      <c r="H682" s="68">
        <v>40.0</v>
      </c>
      <c r="I682" s="27">
        <v>0.0064</v>
      </c>
      <c r="J682" s="27">
        <v>0.0126</v>
      </c>
      <c r="K682" s="68">
        <v>660.0</v>
      </c>
      <c r="L682" s="68">
        <v>66.0</v>
      </c>
      <c r="M682" s="27">
        <v>0.0065</v>
      </c>
      <c r="N682" s="27">
        <v>0.0146</v>
      </c>
      <c r="O682" s="27">
        <v>0.8825</v>
      </c>
      <c r="P682" s="27">
        <v>1.0</v>
      </c>
      <c r="Q682" s="68">
        <v>4.0</v>
      </c>
      <c r="R682" s="68">
        <v>0.0</v>
      </c>
      <c r="S682" s="27">
        <v>0.0086</v>
      </c>
      <c r="T682" s="27">
        <v>0.0</v>
      </c>
      <c r="U682" s="197">
        <v>131234.92</v>
      </c>
      <c r="V682" s="197">
        <v>0.0</v>
      </c>
      <c r="W682" s="68">
        <v>4.0</v>
      </c>
      <c r="X682" s="68">
        <v>0.0</v>
      </c>
    </row>
    <row r="683" ht="15.75" customHeight="1">
      <c r="A683" s="3" t="s">
        <v>65</v>
      </c>
      <c r="B683" s="10" t="str">
        <f t="array" ref="B683">_xlfn.XLOOKUP(D683,'Referanc '!$A:$A,'Referanc '!$B:$B)</f>
        <v>Standing Table  - E3</v>
      </c>
      <c r="C683" s="68" t="s">
        <v>344</v>
      </c>
      <c r="D683" s="68" t="s">
        <v>344</v>
      </c>
      <c r="E683" s="68" t="s">
        <v>1351</v>
      </c>
      <c r="F683" s="10" t="str">
        <f t="array" ref="F683">_xlfn.XLOOKUP(D683,'Referanc '!$A:$A,'Referanc '!$E:$E)</f>
        <v>E3</v>
      </c>
      <c r="G683" s="68">
        <v>515.0</v>
      </c>
      <c r="H683" s="68">
        <v>15.0</v>
      </c>
      <c r="I683" s="27">
        <v>0.0071</v>
      </c>
      <c r="J683" s="27">
        <v>0.0047</v>
      </c>
      <c r="K683" s="68">
        <v>699.0</v>
      </c>
      <c r="L683" s="68">
        <v>20.0</v>
      </c>
      <c r="M683" s="27">
        <v>0.0069</v>
      </c>
      <c r="N683" s="27">
        <v>0.0044</v>
      </c>
      <c r="O683" s="27">
        <v>0.945</v>
      </c>
      <c r="P683" s="27">
        <v>0.8</v>
      </c>
      <c r="Q683" s="68">
        <v>4.0</v>
      </c>
      <c r="R683" s="68">
        <v>0.0</v>
      </c>
      <c r="S683" s="27">
        <v>0.0078</v>
      </c>
      <c r="T683" s="27">
        <v>0.0</v>
      </c>
      <c r="U683" s="197">
        <v>146754.92</v>
      </c>
      <c r="V683" s="197">
        <v>0.0</v>
      </c>
      <c r="W683" s="68">
        <v>4.0</v>
      </c>
      <c r="X683" s="68">
        <v>0.0</v>
      </c>
    </row>
    <row r="684" ht="15.75" customHeight="1">
      <c r="A684" s="3" t="s">
        <v>65</v>
      </c>
      <c r="B684" s="10" t="str">
        <f t="array" ref="B684">_xlfn.XLOOKUP(D684,'Referanc '!$A:$A,'Referanc '!$B:$B)</f>
        <v>Standing Table  - SM3</v>
      </c>
      <c r="C684" s="68" t="s">
        <v>358</v>
      </c>
      <c r="D684" s="68" t="s">
        <v>358</v>
      </c>
      <c r="E684" s="68" t="s">
        <v>1165</v>
      </c>
      <c r="F684" s="10" t="str">
        <f t="array" ref="F684">_xlfn.XLOOKUP(D684,'Referanc '!$A:$A,'Referanc '!$E:$E)</f>
        <v>SM3</v>
      </c>
      <c r="G684" s="68">
        <v>852.0</v>
      </c>
      <c r="H684" s="68">
        <v>32.0</v>
      </c>
      <c r="I684" s="27">
        <v>0.0117</v>
      </c>
      <c r="J684" s="27">
        <v>0.0101</v>
      </c>
      <c r="K684" s="196">
        <v>1251.0</v>
      </c>
      <c r="L684" s="68">
        <v>41.0</v>
      </c>
      <c r="M684" s="27">
        <v>0.0123</v>
      </c>
      <c r="N684" s="27">
        <v>0.0091</v>
      </c>
      <c r="O684" s="27">
        <v>0.9497</v>
      </c>
      <c r="P684" s="27">
        <v>0.6364</v>
      </c>
      <c r="Q684" s="68">
        <v>4.0</v>
      </c>
      <c r="R684" s="68">
        <v>0.0</v>
      </c>
      <c r="S684" s="27">
        <v>0.0047</v>
      </c>
      <c r="T684" s="27">
        <v>0.0</v>
      </c>
      <c r="U684" s="197">
        <v>93806.78</v>
      </c>
      <c r="V684" s="197">
        <v>0.0</v>
      </c>
      <c r="W684" s="68">
        <v>4.0</v>
      </c>
      <c r="X684" s="68">
        <v>0.0</v>
      </c>
    </row>
    <row r="685" ht="15.75" customHeight="1">
      <c r="A685" s="3" t="s">
        <v>65</v>
      </c>
      <c r="B685" s="10" t="str">
        <f t="array" ref="B685">_xlfn.XLOOKUP(D685,'Referanc '!$A:$A,'Referanc '!$B:$B)</f>
        <v>Standing Table  - SM3</v>
      </c>
      <c r="C685" s="68" t="s">
        <v>379</v>
      </c>
      <c r="D685" s="68" t="s">
        <v>379</v>
      </c>
      <c r="E685" s="68" t="s">
        <v>1209</v>
      </c>
      <c r="F685" s="10" t="str">
        <f t="array" ref="F685">_xlfn.XLOOKUP(D685,'Referanc '!$A:$A,'Referanc '!$E:$E)</f>
        <v>SM3</v>
      </c>
      <c r="G685" s="68">
        <v>359.0</v>
      </c>
      <c r="H685" s="68">
        <v>22.0</v>
      </c>
      <c r="I685" s="27">
        <v>0.0049</v>
      </c>
      <c r="J685" s="27">
        <v>0.0069</v>
      </c>
      <c r="K685" s="68">
        <v>535.0</v>
      </c>
      <c r="L685" s="68">
        <v>28.0</v>
      </c>
      <c r="M685" s="27">
        <v>0.0053</v>
      </c>
      <c r="N685" s="27">
        <v>0.0062</v>
      </c>
      <c r="O685" s="27">
        <v>0.93</v>
      </c>
      <c r="P685" s="27">
        <v>0.8</v>
      </c>
      <c r="Q685" s="68">
        <v>4.0</v>
      </c>
      <c r="R685" s="68">
        <v>1.0</v>
      </c>
      <c r="S685" s="27">
        <v>0.0111</v>
      </c>
      <c r="T685" s="27">
        <v>0.0455</v>
      </c>
      <c r="U685" s="197">
        <v>83625.17</v>
      </c>
      <c r="V685" s="197">
        <v>20345.0</v>
      </c>
      <c r="W685" s="68">
        <v>4.0</v>
      </c>
      <c r="X685" s="68">
        <v>1.0</v>
      </c>
    </row>
    <row r="686" ht="15.75" customHeight="1">
      <c r="A686" s="3" t="s">
        <v>65</v>
      </c>
      <c r="B686" s="10" t="str">
        <f t="array" ref="B686">_xlfn.XLOOKUP(D686,'Referanc '!$A:$A,'Referanc '!$B:$B)</f>
        <v>Standing Table  - E4</v>
      </c>
      <c r="C686" s="68" t="s">
        <v>398</v>
      </c>
      <c r="D686" s="68" t="s">
        <v>398</v>
      </c>
      <c r="E686" s="68" t="s">
        <v>1279</v>
      </c>
      <c r="F686" s="10" t="str">
        <f t="array" ref="F686">_xlfn.XLOOKUP(D686,'Referanc '!$A:$A,'Referanc '!$E:$E)</f>
        <v>E4</v>
      </c>
      <c r="G686" s="196">
        <v>1166.0</v>
      </c>
      <c r="H686" s="68">
        <v>35.0</v>
      </c>
      <c r="I686" s="27">
        <v>0.0161</v>
      </c>
      <c r="J686" s="27">
        <v>0.011</v>
      </c>
      <c r="K686" s="196">
        <v>1582.0</v>
      </c>
      <c r="L686" s="68">
        <v>60.0</v>
      </c>
      <c r="M686" s="27">
        <v>0.0155</v>
      </c>
      <c r="N686" s="27">
        <v>0.0133</v>
      </c>
      <c r="O686" s="27">
        <v>0.9012</v>
      </c>
      <c r="P686" s="27">
        <v>0.8077</v>
      </c>
      <c r="Q686" s="68">
        <v>4.0</v>
      </c>
      <c r="R686" s="68">
        <v>0.0</v>
      </c>
      <c r="S686" s="27">
        <v>0.0034</v>
      </c>
      <c r="T686" s="27">
        <v>0.0</v>
      </c>
      <c r="U686" s="197">
        <v>108955.76</v>
      </c>
      <c r="V686" s="197">
        <v>0.0</v>
      </c>
      <c r="W686" s="68">
        <v>4.0</v>
      </c>
      <c r="X686" s="68">
        <v>0.0</v>
      </c>
    </row>
    <row r="687" ht="15.75" customHeight="1">
      <c r="A687" s="3" t="s">
        <v>65</v>
      </c>
      <c r="B687" s="10" t="str">
        <f t="array" ref="B687">_xlfn.XLOOKUP(D687,'Referanc '!$A:$A,'Referanc '!$B:$B)</f>
        <v>Laptop Table</v>
      </c>
      <c r="C687" s="68" t="s">
        <v>328</v>
      </c>
      <c r="D687" s="68" t="s">
        <v>328</v>
      </c>
      <c r="E687" s="68" t="s">
        <v>1349</v>
      </c>
      <c r="F687" s="10" t="str">
        <f t="array" ref="F687">_xlfn.XLOOKUP(D687,'Referanc '!$A:$A,'Referanc '!$E:$E)</f>
        <v>Laptop Table</v>
      </c>
      <c r="G687" s="68">
        <v>221.0</v>
      </c>
      <c r="H687" s="68">
        <v>10.0</v>
      </c>
      <c r="I687" s="27">
        <v>0.003</v>
      </c>
      <c r="J687" s="27">
        <v>0.0031</v>
      </c>
      <c r="K687" s="68">
        <v>369.0</v>
      </c>
      <c r="L687" s="68">
        <v>24.0</v>
      </c>
      <c r="M687" s="27">
        <v>0.0036</v>
      </c>
      <c r="N687" s="27">
        <v>0.0053</v>
      </c>
      <c r="O687" s="27">
        <v>0.8778</v>
      </c>
      <c r="P687" s="27">
        <v>1.0</v>
      </c>
      <c r="Q687" s="68">
        <v>3.0</v>
      </c>
      <c r="R687" s="68">
        <v>0.0</v>
      </c>
      <c r="S687" s="27">
        <v>0.0136</v>
      </c>
      <c r="T687" s="27">
        <v>0.0</v>
      </c>
      <c r="U687" s="197">
        <v>35700.0</v>
      </c>
      <c r="V687" s="197">
        <v>0.0</v>
      </c>
      <c r="W687" s="68">
        <v>3.0</v>
      </c>
      <c r="X687" s="68">
        <v>0.0</v>
      </c>
    </row>
    <row r="688" ht="15.75" customHeight="1">
      <c r="A688" s="3" t="s">
        <v>65</v>
      </c>
      <c r="B688" s="10" t="str">
        <f t="array" ref="B688">_xlfn.XLOOKUP(D688,'Referanc '!$A:$A,'Referanc '!$B:$B)</f>
        <v>Standing Table - All Frames</v>
      </c>
      <c r="C688" s="68" t="s">
        <v>387</v>
      </c>
      <c r="D688" s="68" t="s">
        <v>387</v>
      </c>
      <c r="E688" s="68" t="s">
        <v>1361</v>
      </c>
      <c r="F688" s="10" t="str">
        <f t="array" ref="F688">_xlfn.XLOOKUP(D688,'Referanc '!$A:$A,'Referanc '!$E:$E)</f>
        <v>E1A</v>
      </c>
      <c r="G688" s="68">
        <v>470.0</v>
      </c>
      <c r="H688" s="68">
        <v>37.0</v>
      </c>
      <c r="I688" s="27">
        <v>0.0065</v>
      </c>
      <c r="J688" s="27">
        <v>0.0116</v>
      </c>
      <c r="K688" s="68">
        <v>889.0</v>
      </c>
      <c r="L688" s="68">
        <v>90.0</v>
      </c>
      <c r="M688" s="27">
        <v>0.0087</v>
      </c>
      <c r="N688" s="27">
        <v>0.0199</v>
      </c>
      <c r="O688" s="27">
        <v>0.9432</v>
      </c>
      <c r="P688" s="27">
        <v>0.9245</v>
      </c>
      <c r="Q688" s="68">
        <v>3.0</v>
      </c>
      <c r="R688" s="68">
        <v>0.0</v>
      </c>
      <c r="S688" s="27">
        <v>0.0064</v>
      </c>
      <c r="T688" s="27">
        <v>0.0</v>
      </c>
      <c r="U688" s="197">
        <v>75570.0</v>
      </c>
      <c r="V688" s="197">
        <v>0.0</v>
      </c>
      <c r="W688" s="68">
        <v>3.0</v>
      </c>
      <c r="X688" s="68">
        <v>0.0</v>
      </c>
    </row>
    <row r="689" ht="15.75" customHeight="1">
      <c r="A689" s="3" t="s">
        <v>65</v>
      </c>
      <c r="B689" s="10" t="str">
        <f t="array" ref="B689">_xlfn.XLOOKUP(D689,'Referanc '!$A:$A,'Referanc '!$B:$B)</f>
        <v>Single Leg Gas</v>
      </c>
      <c r="C689" s="68" t="s">
        <v>332</v>
      </c>
      <c r="D689" s="68" t="s">
        <v>332</v>
      </c>
      <c r="E689" s="68" t="s">
        <v>1015</v>
      </c>
      <c r="F689" s="10" t="str">
        <f t="array" ref="F689">_xlfn.XLOOKUP(D689,'Referanc '!$A:$A,'Referanc '!$E:$E)</f>
        <v>Single Leg Gas</v>
      </c>
      <c r="G689" s="68">
        <v>140.0</v>
      </c>
      <c r="H689" s="68">
        <v>14.0</v>
      </c>
      <c r="I689" s="27">
        <v>0.0019</v>
      </c>
      <c r="J689" s="27">
        <v>0.0044</v>
      </c>
      <c r="K689" s="68">
        <v>237.0</v>
      </c>
      <c r="L689" s="68">
        <v>22.0</v>
      </c>
      <c r="M689" s="27">
        <v>0.0023</v>
      </c>
      <c r="N689" s="27">
        <v>0.0049</v>
      </c>
      <c r="O689" s="27">
        <v>0.9356</v>
      </c>
      <c r="P689" s="27">
        <v>0.8667</v>
      </c>
      <c r="Q689" s="68">
        <v>2.0</v>
      </c>
      <c r="R689" s="68">
        <v>0.0</v>
      </c>
      <c r="S689" s="27">
        <v>0.0143</v>
      </c>
      <c r="T689" s="27">
        <v>0.0</v>
      </c>
      <c r="U689" s="197">
        <v>23800.0</v>
      </c>
      <c r="V689" s="197">
        <v>0.0</v>
      </c>
      <c r="W689" s="68">
        <v>2.0</v>
      </c>
      <c r="X689" s="68">
        <v>0.0</v>
      </c>
    </row>
    <row r="690" ht="15.75" customHeight="1">
      <c r="A690" s="3" t="s">
        <v>65</v>
      </c>
      <c r="B690" s="10" t="str">
        <f t="array" ref="B690">_xlfn.XLOOKUP(D690,'Referanc '!$A:$A,'Referanc '!$B:$B)</f>
        <v>Standing Desk Converter</v>
      </c>
      <c r="C690" s="68" t="s">
        <v>363</v>
      </c>
      <c r="D690" s="68" t="s">
        <v>363</v>
      </c>
      <c r="E690" s="68" t="s">
        <v>571</v>
      </c>
      <c r="F690" s="10" t="str">
        <f t="array" ref="F690">_xlfn.XLOOKUP(D690,'Referanc '!$A:$A,'Referanc '!$E:$E)</f>
        <v>Standing Desk Converter</v>
      </c>
      <c r="G690" s="68">
        <v>298.0</v>
      </c>
      <c r="H690" s="68">
        <v>12.0</v>
      </c>
      <c r="I690" s="27">
        <v>0.0041</v>
      </c>
      <c r="J690" s="27">
        <v>0.0038</v>
      </c>
      <c r="K690" s="68">
        <v>392.0</v>
      </c>
      <c r="L690" s="68">
        <v>13.0</v>
      </c>
      <c r="M690" s="27">
        <v>0.0039</v>
      </c>
      <c r="N690" s="27">
        <v>0.0029</v>
      </c>
      <c r="O690" s="27">
        <v>0.9308</v>
      </c>
      <c r="P690" s="27">
        <v>1.0</v>
      </c>
      <c r="Q690" s="68">
        <v>2.0</v>
      </c>
      <c r="R690" s="68">
        <v>0.0</v>
      </c>
      <c r="S690" s="27">
        <v>0.0067</v>
      </c>
      <c r="T690" s="27">
        <v>0.0</v>
      </c>
      <c r="U690" s="197">
        <v>22800.0</v>
      </c>
      <c r="V690" s="197">
        <v>0.0</v>
      </c>
      <c r="W690" s="68">
        <v>2.0</v>
      </c>
      <c r="X690" s="68">
        <v>0.0</v>
      </c>
    </row>
    <row r="691" ht="15.75" customHeight="1">
      <c r="A691" s="3" t="s">
        <v>65</v>
      </c>
      <c r="B691" s="10" t="str">
        <f t="array" ref="B691">_xlfn.XLOOKUP(D691,'Referanc '!$A:$A,'Referanc '!$B:$B)</f>
        <v>Standing Table  - E3</v>
      </c>
      <c r="C691" s="68" t="s">
        <v>376</v>
      </c>
      <c r="D691" s="68" t="s">
        <v>376</v>
      </c>
      <c r="E691" s="68" t="s">
        <v>1157</v>
      </c>
      <c r="F691" s="10" t="str">
        <f t="array" ref="F691">_xlfn.XLOOKUP(D691,'Referanc '!$A:$A,'Referanc '!$E:$E)</f>
        <v>E3</v>
      </c>
      <c r="G691" s="68">
        <v>263.0</v>
      </c>
      <c r="H691" s="68">
        <v>28.0</v>
      </c>
      <c r="I691" s="27">
        <v>0.0036</v>
      </c>
      <c r="J691" s="27">
        <v>0.0088</v>
      </c>
      <c r="K691" s="68">
        <v>446.0</v>
      </c>
      <c r="L691" s="68">
        <v>49.0</v>
      </c>
      <c r="M691" s="27">
        <v>0.0044</v>
      </c>
      <c r="N691" s="27">
        <v>0.0108</v>
      </c>
      <c r="O691" s="27">
        <v>0.9235</v>
      </c>
      <c r="P691" s="27">
        <v>0.85</v>
      </c>
      <c r="Q691" s="68">
        <v>2.0</v>
      </c>
      <c r="R691" s="68">
        <v>1.0</v>
      </c>
      <c r="S691" s="27">
        <v>0.0076</v>
      </c>
      <c r="T691" s="27">
        <v>0.0357</v>
      </c>
      <c r="U691" s="197">
        <v>65680.0</v>
      </c>
      <c r="V691" s="197">
        <v>32840.0</v>
      </c>
      <c r="W691" s="68">
        <v>2.0</v>
      </c>
      <c r="X691" s="68">
        <v>1.0</v>
      </c>
    </row>
    <row r="692" ht="15.75" customHeight="1">
      <c r="A692" s="3" t="s">
        <v>65</v>
      </c>
      <c r="B692" s="10" t="str">
        <f t="array" ref="B692">_xlfn.XLOOKUP(D692,'Referanc '!$A:$A,'Referanc '!$B:$B)</f>
        <v>Standing Table  - SM3</v>
      </c>
      <c r="C692" s="68" t="s">
        <v>401</v>
      </c>
      <c r="D692" s="68" t="s">
        <v>401</v>
      </c>
      <c r="E692" s="68" t="s">
        <v>1362</v>
      </c>
      <c r="F692" s="10" t="str">
        <f t="array" ref="F692">_xlfn.XLOOKUP(D692,'Referanc '!$A:$A,'Referanc '!$E:$E)</f>
        <v>SM3</v>
      </c>
      <c r="G692" s="68">
        <v>231.0</v>
      </c>
      <c r="H692" s="68">
        <v>9.0</v>
      </c>
      <c r="I692" s="27">
        <v>0.0032</v>
      </c>
      <c r="J692" s="27">
        <v>0.0028</v>
      </c>
      <c r="K692" s="68">
        <v>313.0</v>
      </c>
      <c r="L692" s="68">
        <v>10.0</v>
      </c>
      <c r="M692" s="27">
        <v>0.0031</v>
      </c>
      <c r="N692" s="27">
        <v>0.0022</v>
      </c>
      <c r="O692" s="27">
        <v>0.968</v>
      </c>
      <c r="P692" s="27">
        <v>1.0</v>
      </c>
      <c r="Q692" s="68">
        <v>2.0</v>
      </c>
      <c r="R692" s="68">
        <v>0.0</v>
      </c>
      <c r="S692" s="27">
        <v>0.0087</v>
      </c>
      <c r="T692" s="27">
        <v>0.0</v>
      </c>
      <c r="U692" s="197">
        <v>39763.39</v>
      </c>
      <c r="V692" s="197">
        <v>0.0</v>
      </c>
      <c r="W692" s="68">
        <v>2.0</v>
      </c>
      <c r="X692" s="68">
        <v>0.0</v>
      </c>
    </row>
    <row r="693" ht="15.75" customHeight="1">
      <c r="A693" s="3" t="s">
        <v>65</v>
      </c>
      <c r="B693" s="10" t="str">
        <f t="array" ref="B693">_xlfn.XLOOKUP(D693,'Referanc '!$A:$A,'Referanc '!$B:$B)</f>
        <v>Standing Table  - E1A</v>
      </c>
      <c r="C693" s="68" t="s">
        <v>372</v>
      </c>
      <c r="D693" s="68" t="s">
        <v>372</v>
      </c>
      <c r="E693" s="68" t="s">
        <v>1354</v>
      </c>
      <c r="F693" s="10" t="str">
        <f t="array" ref="F693">_xlfn.XLOOKUP(D693,'Referanc '!$A:$A,'Referanc '!$E:$E)</f>
        <v>E1A</v>
      </c>
      <c r="G693" s="68">
        <v>190.0</v>
      </c>
      <c r="H693" s="68">
        <v>8.0</v>
      </c>
      <c r="I693" s="27">
        <v>0.0026</v>
      </c>
      <c r="J693" s="27">
        <v>0.0025</v>
      </c>
      <c r="K693" s="68">
        <v>255.0</v>
      </c>
      <c r="L693" s="68">
        <v>8.0</v>
      </c>
      <c r="M693" s="27">
        <v>0.0025</v>
      </c>
      <c r="N693" s="27">
        <v>0.0018</v>
      </c>
      <c r="O693" s="27">
        <v>0.9039</v>
      </c>
      <c r="P693" s="27">
        <v>0.75</v>
      </c>
      <c r="Q693" s="68">
        <v>2.0</v>
      </c>
      <c r="R693" s="68">
        <v>0.0</v>
      </c>
      <c r="S693" s="27">
        <v>0.0105</v>
      </c>
      <c r="T693" s="27">
        <v>0.0</v>
      </c>
      <c r="U693" s="197">
        <v>56545.08</v>
      </c>
      <c r="V693" s="197">
        <v>0.0</v>
      </c>
      <c r="W693" s="68">
        <v>2.0</v>
      </c>
      <c r="X693" s="68">
        <v>0.0</v>
      </c>
    </row>
    <row r="694" ht="15.75" customHeight="1">
      <c r="A694" s="3" t="s">
        <v>65</v>
      </c>
      <c r="B694" s="10" t="str">
        <f t="array" ref="B694">_xlfn.XLOOKUP(D694,'Referanc '!$A:$A,'Referanc '!$B:$B)</f>
        <v>Standing Table  - E1A</v>
      </c>
      <c r="C694" s="68" t="s">
        <v>378</v>
      </c>
      <c r="D694" s="68" t="s">
        <v>378</v>
      </c>
      <c r="E694" s="68" t="s">
        <v>1239</v>
      </c>
      <c r="F694" s="10" t="str">
        <f t="array" ref="F694">_xlfn.XLOOKUP(D694,'Referanc '!$A:$A,'Referanc '!$E:$E)</f>
        <v>E1A</v>
      </c>
      <c r="G694" s="68">
        <v>342.0</v>
      </c>
      <c r="H694" s="68">
        <v>8.0</v>
      </c>
      <c r="I694" s="27">
        <v>0.0047</v>
      </c>
      <c r="J694" s="27">
        <v>0.0025</v>
      </c>
      <c r="K694" s="68">
        <v>464.0</v>
      </c>
      <c r="L694" s="68">
        <v>10.0</v>
      </c>
      <c r="M694" s="27">
        <v>0.0046</v>
      </c>
      <c r="N694" s="27">
        <v>0.0022</v>
      </c>
      <c r="O694" s="27">
        <v>0.8263</v>
      </c>
      <c r="P694" s="27">
        <v>0.8</v>
      </c>
      <c r="Q694" s="68">
        <v>2.0</v>
      </c>
      <c r="R694" s="68">
        <v>1.0</v>
      </c>
      <c r="S694" s="27">
        <v>0.0058</v>
      </c>
      <c r="T694" s="27">
        <v>0.125</v>
      </c>
      <c r="U694" s="197">
        <v>61690.16</v>
      </c>
      <c r="V694" s="197">
        <v>30845.08</v>
      </c>
      <c r="W694" s="68">
        <v>2.0</v>
      </c>
      <c r="X694" s="68">
        <v>1.0</v>
      </c>
    </row>
    <row r="695" ht="15.75" customHeight="1">
      <c r="A695" s="3" t="s">
        <v>65</v>
      </c>
      <c r="B695" s="10" t="str">
        <f t="array" ref="B695">_xlfn.XLOOKUP(D695,'Referanc '!$A:$A,'Referanc '!$B:$B)</f>
        <v>Standing Table  - E1A</v>
      </c>
      <c r="C695" s="68" t="s">
        <v>382</v>
      </c>
      <c r="D695" s="68" t="s">
        <v>382</v>
      </c>
      <c r="E695" s="68" t="s">
        <v>1300</v>
      </c>
      <c r="F695" s="10" t="str">
        <f t="array" ref="F695">_xlfn.XLOOKUP(D695,'Referanc '!$A:$A,'Referanc '!$E:$E)</f>
        <v>E1A</v>
      </c>
      <c r="G695" s="68">
        <v>254.0</v>
      </c>
      <c r="H695" s="68">
        <v>7.0</v>
      </c>
      <c r="I695" s="27">
        <v>0.0035</v>
      </c>
      <c r="J695" s="27">
        <v>0.0022</v>
      </c>
      <c r="K695" s="68">
        <v>360.0</v>
      </c>
      <c r="L695" s="68">
        <v>7.0</v>
      </c>
      <c r="M695" s="27">
        <v>0.0035</v>
      </c>
      <c r="N695" s="27">
        <v>0.0015</v>
      </c>
      <c r="O695" s="27">
        <v>0.9194</v>
      </c>
      <c r="P695" s="27">
        <v>1.0</v>
      </c>
      <c r="Q695" s="68">
        <v>2.0</v>
      </c>
      <c r="R695" s="68">
        <v>0.0</v>
      </c>
      <c r="S695" s="27">
        <v>0.0079</v>
      </c>
      <c r="T695" s="27">
        <v>0.0</v>
      </c>
      <c r="U695" s="197">
        <v>56045.08</v>
      </c>
      <c r="V695" s="197">
        <v>0.0</v>
      </c>
      <c r="W695" s="68">
        <v>2.0</v>
      </c>
      <c r="X695" s="68">
        <v>0.0</v>
      </c>
    </row>
    <row r="696" ht="15.75" customHeight="1">
      <c r="A696" s="3" t="s">
        <v>65</v>
      </c>
      <c r="B696" s="10" t="str">
        <f t="array" ref="B696">_xlfn.XLOOKUP(D696,'Referanc '!$A:$A,'Referanc '!$B:$B)</f>
        <v>Standing Table  - E1A</v>
      </c>
      <c r="C696" s="68" t="s">
        <v>385</v>
      </c>
      <c r="D696" s="68" t="s">
        <v>385</v>
      </c>
      <c r="E696" s="68" t="s">
        <v>1345</v>
      </c>
      <c r="F696" s="10" t="str">
        <f t="array" ref="F696">_xlfn.XLOOKUP(D696,'Referanc '!$A:$A,'Referanc '!$E:$E)</f>
        <v>E1A</v>
      </c>
      <c r="G696" s="68">
        <v>526.0</v>
      </c>
      <c r="H696" s="68">
        <v>24.0</v>
      </c>
      <c r="I696" s="27">
        <v>0.0072</v>
      </c>
      <c r="J696" s="27">
        <v>0.0075</v>
      </c>
      <c r="K696" s="68">
        <v>704.0</v>
      </c>
      <c r="L696" s="68">
        <v>26.0</v>
      </c>
      <c r="M696" s="27">
        <v>0.0069</v>
      </c>
      <c r="N696" s="27">
        <v>0.0057</v>
      </c>
      <c r="O696" s="27">
        <v>0.9027</v>
      </c>
      <c r="P696" s="27">
        <v>0.75</v>
      </c>
      <c r="Q696" s="68">
        <v>2.0</v>
      </c>
      <c r="R696" s="68">
        <v>0.0</v>
      </c>
      <c r="S696" s="27">
        <v>0.0038</v>
      </c>
      <c r="T696" s="27">
        <v>0.0</v>
      </c>
      <c r="U696" s="197">
        <v>62780.0</v>
      </c>
      <c r="V696" s="197">
        <v>0.0</v>
      </c>
      <c r="W696" s="68">
        <v>2.0</v>
      </c>
      <c r="X696" s="68">
        <v>0.0</v>
      </c>
    </row>
    <row r="697" ht="15.75" customHeight="1">
      <c r="A697" s="3" t="s">
        <v>65</v>
      </c>
      <c r="B697" s="10" t="str">
        <f t="array" ref="B697">_xlfn.XLOOKUP(D697,'Referanc '!$A:$A,'Referanc '!$B:$B)</f>
        <v>Standing Table  - E4</v>
      </c>
      <c r="C697" s="68" t="s">
        <v>404</v>
      </c>
      <c r="D697" s="68" t="s">
        <v>404</v>
      </c>
      <c r="E697" s="68" t="s">
        <v>1304</v>
      </c>
      <c r="F697" s="10" t="str">
        <f t="array" ref="F697">_xlfn.XLOOKUP(D697,'Referanc '!$A:$A,'Referanc '!$E:$E)</f>
        <v>E4</v>
      </c>
      <c r="G697" s="68">
        <v>65.0</v>
      </c>
      <c r="H697" s="68">
        <v>2.0</v>
      </c>
      <c r="I697" s="27">
        <v>9.0E-4</v>
      </c>
      <c r="J697" s="27">
        <v>6.0E-4</v>
      </c>
      <c r="K697" s="68">
        <v>97.0</v>
      </c>
      <c r="L697" s="68">
        <v>2.0</v>
      </c>
      <c r="M697" s="27">
        <v>0.001</v>
      </c>
      <c r="N697" s="27">
        <v>4.0E-4</v>
      </c>
      <c r="O697" s="27">
        <v>0.9639</v>
      </c>
      <c r="P697" s="27">
        <v>0.0</v>
      </c>
      <c r="Q697" s="68">
        <v>2.0</v>
      </c>
      <c r="R697" s="68">
        <v>0.0</v>
      </c>
      <c r="S697" s="27">
        <v>0.0308</v>
      </c>
      <c r="T697" s="27">
        <v>0.0</v>
      </c>
      <c r="U697" s="197">
        <v>54411.52</v>
      </c>
      <c r="V697" s="197">
        <v>0.0</v>
      </c>
      <c r="W697" s="68">
        <v>2.0</v>
      </c>
      <c r="X697" s="68">
        <v>0.0</v>
      </c>
    </row>
    <row r="698" ht="15.75" customHeight="1">
      <c r="A698" s="3" t="s">
        <v>65</v>
      </c>
      <c r="B698" s="10" t="str">
        <f t="array" ref="B698">_xlfn.XLOOKUP(D698,'Referanc '!$A:$A,'Referanc '!$B:$B)</f>
        <v>TABLE TOP</v>
      </c>
      <c r="C698" s="68" t="s">
        <v>324</v>
      </c>
      <c r="D698" s="68" t="s">
        <v>324</v>
      </c>
      <c r="E698" s="68" t="s">
        <v>533</v>
      </c>
      <c r="F698" s="10" t="str">
        <f t="array" ref="F698">_xlfn.XLOOKUP(D698,'Referanc '!$A:$A,'Referanc '!$E:$E)</f>
        <v>TABLE TOP</v>
      </c>
      <c r="G698" s="68">
        <v>207.0</v>
      </c>
      <c r="H698" s="68">
        <v>6.0</v>
      </c>
      <c r="I698" s="27">
        <v>0.0029</v>
      </c>
      <c r="J698" s="27">
        <v>0.0019</v>
      </c>
      <c r="K698" s="68">
        <v>274.0</v>
      </c>
      <c r="L698" s="68">
        <v>14.0</v>
      </c>
      <c r="M698" s="27">
        <v>0.0027</v>
      </c>
      <c r="N698" s="27">
        <v>0.0031</v>
      </c>
      <c r="O698" s="27">
        <v>0.8056</v>
      </c>
      <c r="P698" s="27">
        <v>0.9</v>
      </c>
      <c r="Q698" s="68">
        <v>1.0</v>
      </c>
      <c r="R698" s="68">
        <v>0.0</v>
      </c>
      <c r="S698" s="27">
        <v>0.0048</v>
      </c>
      <c r="T698" s="27">
        <v>0.0</v>
      </c>
      <c r="U698" s="197">
        <v>5900.0</v>
      </c>
      <c r="V698" s="197">
        <v>0.0</v>
      </c>
      <c r="W698" s="68">
        <v>1.0</v>
      </c>
      <c r="X698" s="68">
        <v>0.0</v>
      </c>
    </row>
    <row r="699" ht="15.75" customHeight="1">
      <c r="A699" s="3" t="s">
        <v>65</v>
      </c>
      <c r="B699" s="10" t="str">
        <f t="array" ref="B699">_xlfn.XLOOKUP(D699,'Referanc '!$A:$A,'Referanc '!$B:$B)</f>
        <v>Standing Table  - M8</v>
      </c>
      <c r="C699" s="68" t="s">
        <v>415</v>
      </c>
      <c r="D699" s="68" t="s">
        <v>415</v>
      </c>
      <c r="E699" s="68" t="s">
        <v>1291</v>
      </c>
      <c r="F699" s="10" t="str">
        <f t="array" ref="F699">_xlfn.XLOOKUP(D699,'Referanc '!$A:$A,'Referanc '!$E:$E)</f>
        <v>M8</v>
      </c>
      <c r="G699" s="68">
        <v>89.0</v>
      </c>
      <c r="H699" s="68">
        <v>6.0</v>
      </c>
      <c r="I699" s="27">
        <v>0.0012</v>
      </c>
      <c r="J699" s="27">
        <v>0.0019</v>
      </c>
      <c r="K699" s="68">
        <v>116.0</v>
      </c>
      <c r="L699" s="68">
        <v>6.0</v>
      </c>
      <c r="M699" s="27">
        <v>0.0011</v>
      </c>
      <c r="N699" s="27">
        <v>0.0013</v>
      </c>
      <c r="O699" s="27">
        <v>0.899</v>
      </c>
      <c r="P699" s="27">
        <v>1.0</v>
      </c>
      <c r="Q699" s="68">
        <v>1.0</v>
      </c>
      <c r="R699" s="68">
        <v>0.0</v>
      </c>
      <c r="S699" s="27">
        <v>0.0112</v>
      </c>
      <c r="T699" s="27">
        <v>0.0</v>
      </c>
      <c r="U699" s="197">
        <v>19341.44</v>
      </c>
      <c r="V699" s="197">
        <v>0.0</v>
      </c>
      <c r="W699" s="68">
        <v>1.0</v>
      </c>
      <c r="X699" s="68">
        <v>0.0</v>
      </c>
    </row>
    <row r="700" ht="15.75" customHeight="1">
      <c r="A700" s="3" t="s">
        <v>65</v>
      </c>
      <c r="B700" s="10" t="str">
        <f t="array" ref="B700">_xlfn.XLOOKUP(D700,'Referanc '!$A:$A,'Referanc '!$B:$B)</f>
        <v>Standing Table  - M8</v>
      </c>
      <c r="C700" s="68" t="s">
        <v>418</v>
      </c>
      <c r="D700" s="68" t="s">
        <v>418</v>
      </c>
      <c r="E700" s="68" t="s">
        <v>1293</v>
      </c>
      <c r="F700" s="10" t="str">
        <f t="array" ref="F700">_xlfn.XLOOKUP(D700,'Referanc '!$A:$A,'Referanc '!$E:$E)</f>
        <v>M8</v>
      </c>
      <c r="G700" s="68">
        <v>173.0</v>
      </c>
      <c r="H700" s="68">
        <v>11.0</v>
      </c>
      <c r="I700" s="27">
        <v>0.0024</v>
      </c>
      <c r="J700" s="27">
        <v>0.0035</v>
      </c>
      <c r="K700" s="68">
        <v>240.0</v>
      </c>
      <c r="L700" s="68">
        <v>17.0</v>
      </c>
      <c r="M700" s="27">
        <v>0.0024</v>
      </c>
      <c r="N700" s="27">
        <v>0.0038</v>
      </c>
      <c r="O700" s="27">
        <v>0.9318</v>
      </c>
      <c r="P700" s="27">
        <v>0.9</v>
      </c>
      <c r="Q700" s="68">
        <v>1.0</v>
      </c>
      <c r="R700" s="68">
        <v>0.0</v>
      </c>
      <c r="S700" s="27">
        <v>0.0058</v>
      </c>
      <c r="T700" s="27">
        <v>0.0</v>
      </c>
      <c r="U700" s="197">
        <v>18770.0</v>
      </c>
      <c r="V700" s="197">
        <v>0.0</v>
      </c>
      <c r="W700" s="68">
        <v>1.0</v>
      </c>
      <c r="X700" s="68">
        <v>0.0</v>
      </c>
    </row>
    <row r="701" ht="15.75" customHeight="1">
      <c r="A701" s="3" t="s">
        <v>65</v>
      </c>
      <c r="B701" s="10" t="str">
        <f t="array" ref="B701">_xlfn.XLOOKUP(D701,'Referanc '!$A:$A,'Referanc '!$B:$B)</f>
        <v>Single Leg Gas</v>
      </c>
      <c r="C701" s="68" t="s">
        <v>334</v>
      </c>
      <c r="D701" s="68" t="s">
        <v>334</v>
      </c>
      <c r="E701" s="68" t="s">
        <v>543</v>
      </c>
      <c r="F701" s="10" t="str">
        <f t="array" ref="F701">_xlfn.XLOOKUP(D701,'Referanc '!$A:$A,'Referanc '!$E:$E)</f>
        <v>Single Leg Gas</v>
      </c>
      <c r="G701" s="68">
        <v>128.0</v>
      </c>
      <c r="H701" s="68">
        <v>4.0</v>
      </c>
      <c r="I701" s="27">
        <v>0.0018</v>
      </c>
      <c r="J701" s="27">
        <v>0.0013</v>
      </c>
      <c r="K701" s="68">
        <v>199.0</v>
      </c>
      <c r="L701" s="68">
        <v>10.0</v>
      </c>
      <c r="M701" s="27">
        <v>0.002</v>
      </c>
      <c r="N701" s="27">
        <v>0.0022</v>
      </c>
      <c r="O701" s="27">
        <v>0.8811</v>
      </c>
      <c r="P701" s="27">
        <v>1.0</v>
      </c>
      <c r="Q701" s="68">
        <v>1.0</v>
      </c>
      <c r="R701" s="68">
        <v>0.0</v>
      </c>
      <c r="S701" s="27">
        <v>0.0078</v>
      </c>
      <c r="T701" s="27">
        <v>0.0</v>
      </c>
      <c r="U701" s="197">
        <v>13900.0</v>
      </c>
      <c r="V701" s="197">
        <v>0.0</v>
      </c>
      <c r="W701" s="68">
        <v>1.0</v>
      </c>
      <c r="X701" s="68">
        <v>0.0</v>
      </c>
    </row>
    <row r="702" ht="15.75" customHeight="1">
      <c r="A702" s="3" t="s">
        <v>65</v>
      </c>
      <c r="B702" s="10" t="str">
        <f t="array" ref="B702">_xlfn.XLOOKUP(D702,'Referanc '!$A:$A,'Referanc '!$B:$B)</f>
        <v>Single Leg Gas</v>
      </c>
      <c r="C702" s="68" t="s">
        <v>335</v>
      </c>
      <c r="D702" s="68" t="s">
        <v>335</v>
      </c>
      <c r="E702" s="68" t="s">
        <v>526</v>
      </c>
      <c r="F702" s="10" t="str">
        <f t="array" ref="F702">_xlfn.XLOOKUP(D702,'Referanc '!$A:$A,'Referanc '!$E:$E)</f>
        <v>Single Leg Gas</v>
      </c>
      <c r="G702" s="68">
        <v>110.0</v>
      </c>
      <c r="H702" s="68">
        <v>12.0</v>
      </c>
      <c r="I702" s="27">
        <v>0.0015</v>
      </c>
      <c r="J702" s="27">
        <v>0.0038</v>
      </c>
      <c r="K702" s="68">
        <v>168.0</v>
      </c>
      <c r="L702" s="68">
        <v>18.0</v>
      </c>
      <c r="M702" s="27">
        <v>0.0017</v>
      </c>
      <c r="N702" s="27">
        <v>0.004</v>
      </c>
      <c r="O702" s="27">
        <v>0.8609</v>
      </c>
      <c r="P702" s="27">
        <v>1.0</v>
      </c>
      <c r="Q702" s="68">
        <v>1.0</v>
      </c>
      <c r="R702" s="68">
        <v>0.0</v>
      </c>
      <c r="S702" s="27">
        <v>0.0091</v>
      </c>
      <c r="T702" s="27">
        <v>0.0</v>
      </c>
      <c r="U702" s="197">
        <v>11600.0</v>
      </c>
      <c r="V702" s="197">
        <v>0.0</v>
      </c>
      <c r="W702" s="68">
        <v>1.0</v>
      </c>
      <c r="X702" s="68">
        <v>0.0</v>
      </c>
    </row>
    <row r="703" ht="15.75" customHeight="1">
      <c r="A703" s="3" t="s">
        <v>65</v>
      </c>
      <c r="B703" s="10" t="str">
        <f t="array" ref="B703">_xlfn.XLOOKUP(D703,'Referanc '!$A:$A,'Referanc '!$B:$B)</f>
        <v>Single Leg Gas</v>
      </c>
      <c r="C703" s="68" t="s">
        <v>362</v>
      </c>
      <c r="D703" s="68" t="s">
        <v>362</v>
      </c>
      <c r="E703" s="68" t="s">
        <v>610</v>
      </c>
      <c r="F703" s="10" t="str">
        <f t="array" ref="F703">_xlfn.XLOOKUP(D703,'Referanc '!$A:$A,'Referanc '!$E:$E)</f>
        <v>Single Leg Gas</v>
      </c>
      <c r="G703" s="68">
        <v>146.0</v>
      </c>
      <c r="H703" s="68">
        <v>13.0</v>
      </c>
      <c r="I703" s="27">
        <v>0.002</v>
      </c>
      <c r="J703" s="27">
        <v>0.0041</v>
      </c>
      <c r="K703" s="68">
        <v>201.0</v>
      </c>
      <c r="L703" s="68">
        <v>27.0</v>
      </c>
      <c r="M703" s="27">
        <v>0.002</v>
      </c>
      <c r="N703" s="27">
        <v>0.006</v>
      </c>
      <c r="O703" s="27">
        <v>0.9341</v>
      </c>
      <c r="P703" s="27">
        <v>1.0</v>
      </c>
      <c r="Q703" s="68">
        <v>1.0</v>
      </c>
      <c r="R703" s="68">
        <v>1.0</v>
      </c>
      <c r="S703" s="27">
        <v>0.0068</v>
      </c>
      <c r="T703" s="27">
        <v>0.0769</v>
      </c>
      <c r="U703" s="197">
        <v>13900.0</v>
      </c>
      <c r="V703" s="197">
        <v>13900.0</v>
      </c>
      <c r="W703" s="68">
        <v>1.0</v>
      </c>
      <c r="X703" s="68">
        <v>1.0</v>
      </c>
    </row>
    <row r="704" ht="15.75" customHeight="1">
      <c r="A704" s="3" t="s">
        <v>65</v>
      </c>
      <c r="B704" s="10" t="str">
        <f t="array" ref="B704">_xlfn.XLOOKUP(D704,'Referanc '!$A:$A,'Referanc '!$B:$B)</f>
        <v>Laptop Riser</v>
      </c>
      <c r="C704" s="68" t="s">
        <v>347</v>
      </c>
      <c r="D704" s="68" t="s">
        <v>347</v>
      </c>
      <c r="E704" s="68" t="s">
        <v>693</v>
      </c>
      <c r="F704" s="10" t="str">
        <f t="array" ref="F704">_xlfn.XLOOKUP(D704,'Referanc '!$A:$A,'Referanc '!$E:$E)</f>
        <v>Laptop Stand</v>
      </c>
      <c r="G704" s="68">
        <v>22.0</v>
      </c>
      <c r="H704" s="68">
        <v>0.0</v>
      </c>
      <c r="I704" s="27">
        <v>3.0E-4</v>
      </c>
      <c r="J704" s="27">
        <v>0.0</v>
      </c>
      <c r="K704" s="68">
        <v>36.0</v>
      </c>
      <c r="L704" s="68">
        <v>0.0</v>
      </c>
      <c r="M704" s="27">
        <v>4.0E-4</v>
      </c>
      <c r="N704" s="27">
        <v>0.0</v>
      </c>
      <c r="O704" s="27">
        <v>0.9394</v>
      </c>
      <c r="P704" s="27">
        <v>0.0</v>
      </c>
      <c r="Q704" s="68">
        <v>1.0</v>
      </c>
      <c r="R704" s="68">
        <v>0.0</v>
      </c>
      <c r="S704" s="27">
        <v>0.0455</v>
      </c>
      <c r="T704" s="27">
        <v>0.0</v>
      </c>
      <c r="U704" s="197">
        <v>7500.0</v>
      </c>
      <c r="V704" s="197">
        <v>0.0</v>
      </c>
      <c r="W704" s="68">
        <v>1.0</v>
      </c>
      <c r="X704" s="68">
        <v>0.0</v>
      </c>
    </row>
    <row r="705" ht="15.75" customHeight="1">
      <c r="A705" s="3" t="s">
        <v>65</v>
      </c>
      <c r="B705" s="10" t="s">
        <v>241</v>
      </c>
      <c r="C705" s="68" t="s">
        <v>337</v>
      </c>
      <c r="D705" s="68" t="s">
        <v>337</v>
      </c>
      <c r="E705" s="68" t="s">
        <v>545</v>
      </c>
      <c r="F705" s="10" t="str">
        <f t="array" ref="F705">_xlfn.XLOOKUP(D705,'Referanc '!$A:$A,'Referanc '!$E:$E)</f>
        <v>Footrest</v>
      </c>
      <c r="G705" s="68">
        <v>341.0</v>
      </c>
      <c r="H705" s="68">
        <v>19.0</v>
      </c>
      <c r="I705" s="27">
        <v>0.0047</v>
      </c>
      <c r="J705" s="27">
        <v>0.006</v>
      </c>
      <c r="K705" s="68">
        <v>418.0</v>
      </c>
      <c r="L705" s="68">
        <v>21.0</v>
      </c>
      <c r="M705" s="27">
        <v>0.0041</v>
      </c>
      <c r="N705" s="27">
        <v>0.0046</v>
      </c>
      <c r="O705" s="27">
        <v>0.9974</v>
      </c>
      <c r="P705" s="27">
        <v>1.0</v>
      </c>
      <c r="Q705" s="68">
        <v>1.0</v>
      </c>
      <c r="R705" s="68">
        <v>0.0</v>
      </c>
      <c r="S705" s="27">
        <v>0.0029</v>
      </c>
      <c r="T705" s="27">
        <v>0.0</v>
      </c>
      <c r="U705" s="197">
        <v>2250.0</v>
      </c>
      <c r="V705" s="197">
        <v>0.0</v>
      </c>
      <c r="W705" s="68">
        <v>1.0</v>
      </c>
      <c r="X705" s="68">
        <v>0.0</v>
      </c>
    </row>
    <row r="706" ht="15.75" customHeight="1">
      <c r="A706" s="3" t="s">
        <v>65</v>
      </c>
      <c r="B706" s="10" t="str">
        <f t="array" ref="B706">_xlfn.XLOOKUP(D706,'Referanc '!$A:$A,'Referanc '!$B:$B)</f>
        <v>Standing Table  - SM3</v>
      </c>
      <c r="C706" s="68" t="s">
        <v>383</v>
      </c>
      <c r="D706" s="68" t="s">
        <v>383</v>
      </c>
      <c r="E706" s="68" t="s">
        <v>1206</v>
      </c>
      <c r="F706" s="10" t="str">
        <f t="array" ref="F706">_xlfn.XLOOKUP(D706,'Referanc '!$A:$A,'Referanc '!$E:$E)</f>
        <v>SM3</v>
      </c>
      <c r="G706" s="68">
        <v>293.0</v>
      </c>
      <c r="H706" s="68">
        <v>22.0</v>
      </c>
      <c r="I706" s="27">
        <v>0.004</v>
      </c>
      <c r="J706" s="27">
        <v>0.0069</v>
      </c>
      <c r="K706" s="68">
        <v>413.0</v>
      </c>
      <c r="L706" s="68">
        <v>34.0</v>
      </c>
      <c r="M706" s="27">
        <v>0.0041</v>
      </c>
      <c r="N706" s="27">
        <v>0.0075</v>
      </c>
      <c r="O706" s="27">
        <v>0.9459</v>
      </c>
      <c r="P706" s="27">
        <v>0.8421</v>
      </c>
      <c r="Q706" s="68">
        <v>1.0</v>
      </c>
      <c r="R706" s="68">
        <v>0.0</v>
      </c>
      <c r="S706" s="27">
        <v>0.0034</v>
      </c>
      <c r="T706" s="27">
        <v>0.0</v>
      </c>
      <c r="U706" s="197">
        <v>23533.39</v>
      </c>
      <c r="V706" s="197">
        <v>0.0</v>
      </c>
      <c r="W706" s="68">
        <v>1.0</v>
      </c>
      <c r="X706" s="68">
        <v>0.0</v>
      </c>
    </row>
    <row r="707" ht="15.75" customHeight="1">
      <c r="A707" s="3" t="s">
        <v>65</v>
      </c>
      <c r="B707" s="10" t="str">
        <f t="array" ref="B707">_xlfn.XLOOKUP(D707,'Referanc '!$A:$A,'Referanc '!$B:$B)</f>
        <v>Standing Table  - M3</v>
      </c>
      <c r="C707" s="68" t="s">
        <v>330</v>
      </c>
      <c r="D707" s="68" t="s">
        <v>330</v>
      </c>
      <c r="E707" s="68" t="s">
        <v>1363</v>
      </c>
      <c r="F707" s="10" t="str">
        <f t="array" ref="F707">_xlfn.XLOOKUP(D707,'Referanc '!$A:$A,'Referanc '!$E:$E)</f>
        <v>M3</v>
      </c>
      <c r="G707" s="68">
        <v>148.0</v>
      </c>
      <c r="H707" s="68">
        <v>7.0</v>
      </c>
      <c r="I707" s="27">
        <v>0.002</v>
      </c>
      <c r="J707" s="27">
        <v>0.0022</v>
      </c>
      <c r="K707" s="68">
        <v>203.0</v>
      </c>
      <c r="L707" s="68">
        <v>7.0</v>
      </c>
      <c r="M707" s="27">
        <v>0.002</v>
      </c>
      <c r="N707" s="27">
        <v>0.0015</v>
      </c>
      <c r="O707" s="27">
        <v>0.9305</v>
      </c>
      <c r="P707" s="27">
        <v>0.75</v>
      </c>
      <c r="Q707" s="68">
        <v>1.0</v>
      </c>
      <c r="R707" s="68">
        <v>0.0</v>
      </c>
      <c r="S707" s="27">
        <v>0.0068</v>
      </c>
      <c r="T707" s="27">
        <v>0.0</v>
      </c>
      <c r="U707" s="197">
        <v>16500.0</v>
      </c>
      <c r="V707" s="197">
        <v>0.0</v>
      </c>
      <c r="W707" s="68">
        <v>1.0</v>
      </c>
      <c r="X707" s="68">
        <v>0.0</v>
      </c>
    </row>
    <row r="708" ht="15.75" customHeight="1">
      <c r="A708" s="3" t="s">
        <v>65</v>
      </c>
      <c r="B708" s="10" t="str">
        <f t="array" ref="B708">_xlfn.XLOOKUP(D708,'Referanc '!$A:$A,'Referanc '!$B:$B)</f>
        <v>Standing Table  - E1A</v>
      </c>
      <c r="C708" s="68" t="s">
        <v>367</v>
      </c>
      <c r="D708" s="68" t="s">
        <v>367</v>
      </c>
      <c r="E708" s="68" t="s">
        <v>1235</v>
      </c>
      <c r="F708" s="10" t="str">
        <f t="array" ref="F708">_xlfn.XLOOKUP(D708,'Referanc '!$A:$A,'Referanc '!$E:$E)</f>
        <v>E1A</v>
      </c>
      <c r="G708" s="68">
        <v>465.0</v>
      </c>
      <c r="H708" s="68">
        <v>25.0</v>
      </c>
      <c r="I708" s="27">
        <v>0.0064</v>
      </c>
      <c r="J708" s="27">
        <v>0.0079</v>
      </c>
      <c r="K708" s="68">
        <v>641.0</v>
      </c>
      <c r="L708" s="68">
        <v>46.0</v>
      </c>
      <c r="M708" s="27">
        <v>0.0063</v>
      </c>
      <c r="N708" s="27">
        <v>0.0102</v>
      </c>
      <c r="O708" s="27">
        <v>0.9172</v>
      </c>
      <c r="P708" s="27">
        <v>0.8889</v>
      </c>
      <c r="Q708" s="68">
        <v>1.0</v>
      </c>
      <c r="R708" s="68">
        <v>0.0</v>
      </c>
      <c r="S708" s="27">
        <v>0.0022</v>
      </c>
      <c r="T708" s="27">
        <v>0.0</v>
      </c>
      <c r="U708" s="197">
        <v>31390.0</v>
      </c>
      <c r="V708" s="197">
        <v>0.0</v>
      </c>
      <c r="W708" s="68">
        <v>1.0</v>
      </c>
      <c r="X708" s="68">
        <v>0.0</v>
      </c>
    </row>
    <row r="709" ht="15.75" customHeight="1">
      <c r="A709" s="3" t="s">
        <v>65</v>
      </c>
      <c r="B709" s="10" t="str">
        <f t="array" ref="B709">_xlfn.XLOOKUP(D709,'Referanc '!$A:$A,'Referanc '!$B:$B)</f>
        <v>Standing Table  - E1A</v>
      </c>
      <c r="C709" s="68" t="s">
        <v>380</v>
      </c>
      <c r="D709" s="68" t="s">
        <v>380</v>
      </c>
      <c r="E709" s="68" t="s">
        <v>1276</v>
      </c>
      <c r="F709" s="10" t="str">
        <f t="array" ref="F709">_xlfn.XLOOKUP(D709,'Referanc '!$A:$A,'Referanc '!$E:$E)</f>
        <v>E1A</v>
      </c>
      <c r="G709" s="68">
        <v>417.0</v>
      </c>
      <c r="H709" s="68">
        <v>14.0</v>
      </c>
      <c r="I709" s="27">
        <v>0.0057</v>
      </c>
      <c r="J709" s="27">
        <v>0.0044</v>
      </c>
      <c r="K709" s="68">
        <v>548.0</v>
      </c>
      <c r="L709" s="68">
        <v>21.0</v>
      </c>
      <c r="M709" s="27">
        <v>0.0054</v>
      </c>
      <c r="N709" s="27">
        <v>0.0046</v>
      </c>
      <c r="O709" s="27">
        <v>0.9327</v>
      </c>
      <c r="P709" s="27">
        <v>0.7273</v>
      </c>
      <c r="Q709" s="68">
        <v>1.0</v>
      </c>
      <c r="R709" s="68">
        <v>0.0</v>
      </c>
      <c r="S709" s="27">
        <v>0.0024</v>
      </c>
      <c r="T709" s="27">
        <v>0.0</v>
      </c>
      <c r="U709" s="197">
        <v>31335.08</v>
      </c>
      <c r="V709" s="197">
        <v>0.0</v>
      </c>
      <c r="W709" s="68">
        <v>1.0</v>
      </c>
      <c r="X709" s="68">
        <v>0.0</v>
      </c>
    </row>
    <row r="710" ht="15.75" customHeight="1">
      <c r="A710" s="3" t="s">
        <v>65</v>
      </c>
      <c r="B710" s="10" t="str">
        <f t="array" ref="B710">_xlfn.XLOOKUP(D710,'Referanc '!$A:$A,'Referanc '!$B:$B)</f>
        <v>Standing Table  - E1A</v>
      </c>
      <c r="C710" s="68" t="s">
        <v>384</v>
      </c>
      <c r="D710" s="68" t="s">
        <v>384</v>
      </c>
      <c r="E710" s="68" t="s">
        <v>1302</v>
      </c>
      <c r="F710" s="10" t="str">
        <f t="array" ref="F710">_xlfn.XLOOKUP(D710,'Referanc '!$A:$A,'Referanc '!$E:$E)</f>
        <v>E1A</v>
      </c>
      <c r="G710" s="68">
        <v>157.0</v>
      </c>
      <c r="H710" s="68">
        <v>4.0</v>
      </c>
      <c r="I710" s="27">
        <v>0.0022</v>
      </c>
      <c r="J710" s="27">
        <v>0.0013</v>
      </c>
      <c r="K710" s="68">
        <v>249.0</v>
      </c>
      <c r="L710" s="68">
        <v>6.0</v>
      </c>
      <c r="M710" s="27">
        <v>0.0024</v>
      </c>
      <c r="N710" s="27">
        <v>0.0013</v>
      </c>
      <c r="O710" s="27">
        <v>0.942</v>
      </c>
      <c r="P710" s="27">
        <v>1.0</v>
      </c>
      <c r="Q710" s="68">
        <v>1.0</v>
      </c>
      <c r="R710" s="68">
        <v>0.0</v>
      </c>
      <c r="S710" s="27">
        <v>0.0064</v>
      </c>
      <c r="T710" s="27">
        <v>0.0</v>
      </c>
      <c r="U710" s="197">
        <v>28050.0</v>
      </c>
      <c r="V710" s="197">
        <v>0.0</v>
      </c>
      <c r="W710" s="68">
        <v>1.0</v>
      </c>
      <c r="X710" s="68">
        <v>0.0</v>
      </c>
    </row>
    <row r="711" ht="15.75" customHeight="1">
      <c r="A711" s="3" t="s">
        <v>65</v>
      </c>
      <c r="B711" s="10" t="str">
        <f t="array" ref="B711">_xlfn.XLOOKUP(D711,'Referanc '!$A:$A,'Referanc '!$B:$B)</f>
        <v>Standing Table  - E4</v>
      </c>
      <c r="C711" s="68" t="s">
        <v>407</v>
      </c>
      <c r="D711" s="68" t="s">
        <v>407</v>
      </c>
      <c r="E711" s="68" t="s">
        <v>1306</v>
      </c>
      <c r="F711" s="10" t="str">
        <f t="array" ref="F711">_xlfn.XLOOKUP(D711,'Referanc '!$A:$A,'Referanc '!$E:$E)</f>
        <v>E4</v>
      </c>
      <c r="G711" s="68">
        <v>241.0</v>
      </c>
      <c r="H711" s="68">
        <v>13.0</v>
      </c>
      <c r="I711" s="27">
        <v>0.0033</v>
      </c>
      <c r="J711" s="27">
        <v>0.0041</v>
      </c>
      <c r="K711" s="68">
        <v>310.0</v>
      </c>
      <c r="L711" s="68">
        <v>20.0</v>
      </c>
      <c r="M711" s="27">
        <v>0.003</v>
      </c>
      <c r="N711" s="27">
        <v>0.0044</v>
      </c>
      <c r="O711" s="27">
        <v>0.8737</v>
      </c>
      <c r="P711" s="27">
        <v>0.8889</v>
      </c>
      <c r="Q711" s="68">
        <v>1.0</v>
      </c>
      <c r="R711" s="68">
        <v>1.0</v>
      </c>
      <c r="S711" s="27">
        <v>0.0041</v>
      </c>
      <c r="T711" s="27">
        <v>0.0769</v>
      </c>
      <c r="U711" s="197">
        <v>27250.0</v>
      </c>
      <c r="V711" s="197">
        <v>27250.0</v>
      </c>
      <c r="W711" s="68">
        <v>1.0</v>
      </c>
      <c r="X711" s="68">
        <v>1.0</v>
      </c>
    </row>
    <row r="712" ht="15.75" customHeight="1">
      <c r="A712" s="3" t="s">
        <v>65</v>
      </c>
      <c r="B712" s="10" t="str">
        <f t="array" ref="B712">_xlfn.XLOOKUP(D712,'Referanc '!$A:$A,'Referanc '!$B:$B)</f>
        <v>Standing Table  - M8</v>
      </c>
      <c r="C712" s="68" t="s">
        <v>421</v>
      </c>
      <c r="D712" s="68" t="s">
        <v>421</v>
      </c>
      <c r="E712" s="68" t="s">
        <v>706</v>
      </c>
      <c r="F712" s="10" t="str">
        <f t="array" ref="F712">_xlfn.XLOOKUP(D712,'Referanc '!$A:$A,'Referanc '!$E:$E)</f>
        <v>M8</v>
      </c>
      <c r="G712" s="68">
        <v>76.0</v>
      </c>
      <c r="H712" s="68">
        <v>7.0</v>
      </c>
      <c r="I712" s="27">
        <v>0.001</v>
      </c>
      <c r="J712" s="27">
        <v>0.0022</v>
      </c>
      <c r="K712" s="68">
        <v>104.0</v>
      </c>
      <c r="L712" s="68">
        <v>13.0</v>
      </c>
      <c r="M712" s="27">
        <v>0.001</v>
      </c>
      <c r="N712" s="27">
        <v>0.0029</v>
      </c>
      <c r="O712" s="27">
        <v>0.9667</v>
      </c>
      <c r="P712" s="27">
        <v>1.0</v>
      </c>
      <c r="Q712" s="68">
        <v>1.0</v>
      </c>
      <c r="R712" s="68">
        <v>1.0</v>
      </c>
      <c r="S712" s="27">
        <v>0.0132</v>
      </c>
      <c r="T712" s="27">
        <v>0.1429</v>
      </c>
      <c r="U712" s="197">
        <v>15500.0</v>
      </c>
      <c r="V712" s="197">
        <v>15500.0</v>
      </c>
      <c r="W712" s="68">
        <v>1.0</v>
      </c>
      <c r="X712" s="68">
        <v>1.0</v>
      </c>
    </row>
    <row r="713" ht="15.75" customHeight="1">
      <c r="A713" s="3" t="s">
        <v>65</v>
      </c>
      <c r="B713" s="10" t="str">
        <f t="array" ref="B713">_xlfn.XLOOKUP(D713,'Referanc '!$A:$A,'Referanc '!$B:$B)</f>
        <v>Standing Table  - M3</v>
      </c>
      <c r="C713" s="68" t="s">
        <v>411</v>
      </c>
      <c r="D713" s="68" t="s">
        <v>411</v>
      </c>
      <c r="E713" s="68" t="s">
        <v>708</v>
      </c>
      <c r="F713" s="10" t="str">
        <f t="array" ref="F713">_xlfn.XLOOKUP(D713,'Referanc '!$A:$A,'Referanc '!$E:$E)</f>
        <v>M3</v>
      </c>
      <c r="G713" s="68">
        <v>1.0</v>
      </c>
      <c r="H713" s="68">
        <v>0.0</v>
      </c>
      <c r="I713" s="27">
        <v>0.0</v>
      </c>
      <c r="J713" s="27">
        <v>0.0</v>
      </c>
      <c r="K713" s="68">
        <v>1.0</v>
      </c>
      <c r="L713" s="68">
        <v>0.0</v>
      </c>
      <c r="M713" s="27">
        <v>0.0</v>
      </c>
      <c r="N713" s="27">
        <v>0.0</v>
      </c>
      <c r="O713" s="27">
        <v>1.0</v>
      </c>
      <c r="P713" s="27">
        <v>0.0</v>
      </c>
      <c r="Q713" s="68">
        <v>0.0</v>
      </c>
      <c r="R713" s="68">
        <v>0.0</v>
      </c>
      <c r="S713" s="27">
        <v>0.0</v>
      </c>
      <c r="T713" s="27">
        <v>0.0</v>
      </c>
      <c r="U713" s="197">
        <v>0.0</v>
      </c>
      <c r="V713" s="197">
        <v>0.0</v>
      </c>
      <c r="W713" s="68">
        <v>0.0</v>
      </c>
      <c r="X713" s="68">
        <v>0.0</v>
      </c>
    </row>
    <row r="714" ht="15.75" customHeight="1">
      <c r="A714" s="3" t="s">
        <v>65</v>
      </c>
      <c r="B714" s="10" t="str">
        <f t="array" ref="B714">_xlfn.XLOOKUP(D714,'Referanc '!$A:$A,'Referanc '!$B:$B)</f>
        <v>TABLE TOP</v>
      </c>
      <c r="C714" s="68" t="s">
        <v>357</v>
      </c>
      <c r="D714" s="68" t="s">
        <v>357</v>
      </c>
      <c r="E714" s="68" t="s">
        <v>535</v>
      </c>
      <c r="F714" s="10" t="str">
        <f t="array" ref="F714">_xlfn.XLOOKUP(D714,'Referanc '!$A:$A,'Referanc '!$E:$E)</f>
        <v>TABLE TOP</v>
      </c>
      <c r="G714" s="68">
        <v>154.0</v>
      </c>
      <c r="H714" s="68">
        <v>7.0</v>
      </c>
      <c r="I714" s="27">
        <v>0.0021</v>
      </c>
      <c r="J714" s="27">
        <v>0.0022</v>
      </c>
      <c r="K714" s="68">
        <v>179.0</v>
      </c>
      <c r="L714" s="68">
        <v>10.0</v>
      </c>
      <c r="M714" s="27">
        <v>0.0018</v>
      </c>
      <c r="N714" s="27">
        <v>0.0022</v>
      </c>
      <c r="O714" s="27">
        <v>0.8537</v>
      </c>
      <c r="P714" s="27">
        <v>0.8571</v>
      </c>
      <c r="Q714" s="68">
        <v>0.0</v>
      </c>
      <c r="R714" s="68">
        <v>0.0</v>
      </c>
      <c r="S714" s="27">
        <v>0.0</v>
      </c>
      <c r="T714" s="27">
        <v>0.0</v>
      </c>
      <c r="U714" s="197">
        <v>0.0</v>
      </c>
      <c r="V714" s="197">
        <v>0.0</v>
      </c>
      <c r="W714" s="68">
        <v>0.0</v>
      </c>
      <c r="X714" s="68">
        <v>0.0</v>
      </c>
    </row>
    <row r="715" ht="15.75" customHeight="1">
      <c r="A715" s="3" t="s">
        <v>65</v>
      </c>
      <c r="B715" s="10" t="str">
        <f t="array" ref="B715">_xlfn.XLOOKUP(D715,'Referanc '!$A:$A,'Referanc '!$B:$B)</f>
        <v>TABLE TOP</v>
      </c>
      <c r="C715" s="68" t="s">
        <v>323</v>
      </c>
      <c r="D715" s="68" t="s">
        <v>323</v>
      </c>
      <c r="E715" s="68" t="s">
        <v>1221</v>
      </c>
      <c r="F715" s="10" t="str">
        <f t="array" ref="F715">_xlfn.XLOOKUP(D715,'Referanc '!$A:$A,'Referanc '!$E:$E)</f>
        <v>TABLE TOP</v>
      </c>
      <c r="G715" s="68">
        <v>626.0</v>
      </c>
      <c r="H715" s="68">
        <v>14.0</v>
      </c>
      <c r="I715" s="27">
        <v>0.0086</v>
      </c>
      <c r="J715" s="27">
        <v>0.0044</v>
      </c>
      <c r="K715" s="68">
        <v>746.0</v>
      </c>
      <c r="L715" s="68">
        <v>14.0</v>
      </c>
      <c r="M715" s="27">
        <v>0.0073</v>
      </c>
      <c r="N715" s="27">
        <v>0.0031</v>
      </c>
      <c r="O715" s="27">
        <v>0.7241</v>
      </c>
      <c r="P715" s="27">
        <v>0.8</v>
      </c>
      <c r="Q715" s="68">
        <v>0.0</v>
      </c>
      <c r="R715" s="68">
        <v>0.0</v>
      </c>
      <c r="S715" s="27">
        <v>0.0</v>
      </c>
      <c r="T715" s="27">
        <v>0.0</v>
      </c>
      <c r="U715" s="197">
        <v>0.0</v>
      </c>
      <c r="V715" s="197">
        <v>0.0</v>
      </c>
      <c r="W715" s="68">
        <v>0.0</v>
      </c>
      <c r="X715" s="68">
        <v>0.0</v>
      </c>
    </row>
    <row r="716" ht="15.75" customHeight="1">
      <c r="A716" s="3" t="s">
        <v>65</v>
      </c>
      <c r="B716" s="10" t="str">
        <f t="array" ref="B716">_xlfn.XLOOKUP(D716,'Referanc '!$A:$A,'Referanc '!$B:$B)</f>
        <v>TABLE TOP</v>
      </c>
      <c r="C716" s="68" t="s">
        <v>350</v>
      </c>
      <c r="D716" s="68" t="s">
        <v>350</v>
      </c>
      <c r="E716" s="68" t="s">
        <v>531</v>
      </c>
      <c r="F716" s="10" t="str">
        <f t="array" ref="F716">_xlfn.XLOOKUP(D716,'Referanc '!$A:$A,'Referanc '!$E:$E)</f>
        <v>TABLE TOP</v>
      </c>
      <c r="G716" s="68">
        <v>180.0</v>
      </c>
      <c r="H716" s="68">
        <v>11.0</v>
      </c>
      <c r="I716" s="27">
        <v>0.0025</v>
      </c>
      <c r="J716" s="27">
        <v>0.0035</v>
      </c>
      <c r="K716" s="68">
        <v>213.0</v>
      </c>
      <c r="L716" s="68">
        <v>13.0</v>
      </c>
      <c r="M716" s="27">
        <v>0.0021</v>
      </c>
      <c r="N716" s="27">
        <v>0.0029</v>
      </c>
      <c r="O716" s="27">
        <v>0.8384</v>
      </c>
      <c r="P716" s="27">
        <v>0.875</v>
      </c>
      <c r="Q716" s="68">
        <v>0.0</v>
      </c>
      <c r="R716" s="68">
        <v>0.0</v>
      </c>
      <c r="S716" s="27">
        <v>0.0</v>
      </c>
      <c r="T716" s="27">
        <v>0.0</v>
      </c>
      <c r="U716" s="197">
        <v>0.0</v>
      </c>
      <c r="V716" s="197">
        <v>0.0</v>
      </c>
      <c r="W716" s="68">
        <v>0.0</v>
      </c>
      <c r="X716" s="68">
        <v>0.0</v>
      </c>
    </row>
    <row r="717" ht="15.75" customHeight="1">
      <c r="A717" s="3" t="s">
        <v>65</v>
      </c>
      <c r="B717" s="10" t="str">
        <f t="array" ref="B717">_xlfn.XLOOKUP(D717,'Referanc '!$A:$A,'Referanc '!$B:$B)</f>
        <v>Standing Table  - M8</v>
      </c>
      <c r="C717" s="68" t="s">
        <v>414</v>
      </c>
      <c r="D717" s="68" t="s">
        <v>414</v>
      </c>
      <c r="E717" s="68" t="s">
        <v>1289</v>
      </c>
      <c r="F717" s="10" t="str">
        <f t="array" ref="F717">_xlfn.XLOOKUP(D717,'Referanc '!$A:$A,'Referanc '!$E:$E)</f>
        <v>M8</v>
      </c>
      <c r="G717" s="68">
        <v>48.0</v>
      </c>
      <c r="H717" s="68">
        <v>5.0</v>
      </c>
      <c r="I717" s="27">
        <v>7.0E-4</v>
      </c>
      <c r="J717" s="27">
        <v>0.0016</v>
      </c>
      <c r="K717" s="68">
        <v>72.0</v>
      </c>
      <c r="L717" s="68">
        <v>11.0</v>
      </c>
      <c r="M717" s="27">
        <v>7.0E-4</v>
      </c>
      <c r="N717" s="27">
        <v>0.0024</v>
      </c>
      <c r="O717" s="27">
        <v>0.9841</v>
      </c>
      <c r="P717" s="27">
        <v>1.0</v>
      </c>
      <c r="Q717" s="68">
        <v>0.0</v>
      </c>
      <c r="R717" s="68">
        <v>0.0</v>
      </c>
      <c r="S717" s="27">
        <v>0.0</v>
      </c>
      <c r="T717" s="27">
        <v>0.0</v>
      </c>
      <c r="U717" s="197">
        <v>0.0</v>
      </c>
      <c r="V717" s="197">
        <v>0.0</v>
      </c>
      <c r="W717" s="68">
        <v>0.0</v>
      </c>
      <c r="X717" s="68">
        <v>0.0</v>
      </c>
    </row>
    <row r="718" ht="15.75" customHeight="1">
      <c r="A718" s="3" t="s">
        <v>65</v>
      </c>
      <c r="B718" s="10" t="str">
        <f t="array" ref="B718">_xlfn.XLOOKUP(D718,'Referanc '!$A:$A,'Referanc '!$B:$B)</f>
        <v>Standing Table  - M8</v>
      </c>
      <c r="C718" s="68" t="s">
        <v>416</v>
      </c>
      <c r="D718" s="68" t="s">
        <v>416</v>
      </c>
      <c r="E718" s="68" t="s">
        <v>1189</v>
      </c>
      <c r="F718" s="10" t="str">
        <f t="array" ref="F718">_xlfn.XLOOKUP(D718,'Referanc '!$A:$A,'Referanc '!$E:$E)</f>
        <v>M8</v>
      </c>
      <c r="G718" s="68">
        <v>55.0</v>
      </c>
      <c r="H718" s="68">
        <v>6.0</v>
      </c>
      <c r="I718" s="27">
        <v>8.0E-4</v>
      </c>
      <c r="J718" s="27">
        <v>0.0019</v>
      </c>
      <c r="K718" s="68">
        <v>75.0</v>
      </c>
      <c r="L718" s="68">
        <v>7.0</v>
      </c>
      <c r="M718" s="27">
        <v>7.0E-4</v>
      </c>
      <c r="N718" s="27">
        <v>0.0015</v>
      </c>
      <c r="O718" s="27">
        <v>0.8413</v>
      </c>
      <c r="P718" s="27">
        <v>1.0</v>
      </c>
      <c r="Q718" s="68">
        <v>0.0</v>
      </c>
      <c r="R718" s="68">
        <v>0.0</v>
      </c>
      <c r="S718" s="27">
        <v>0.0</v>
      </c>
      <c r="T718" s="27">
        <v>0.0</v>
      </c>
      <c r="U718" s="197">
        <v>0.0</v>
      </c>
      <c r="V718" s="197">
        <v>0.0</v>
      </c>
      <c r="W718" s="68">
        <v>0.0</v>
      </c>
      <c r="X718" s="68">
        <v>0.0</v>
      </c>
    </row>
    <row r="719" ht="15.75" customHeight="1">
      <c r="A719" s="3" t="s">
        <v>65</v>
      </c>
      <c r="B719" s="10" t="str">
        <f t="array" ref="B719">_xlfn.XLOOKUP(D719,'Referanc '!$A:$A,'Referanc '!$B:$B)</f>
        <v>Standing Table  - M3</v>
      </c>
      <c r="C719" s="68" t="s">
        <v>403</v>
      </c>
      <c r="D719" s="68" t="s">
        <v>403</v>
      </c>
      <c r="E719" s="68" t="s">
        <v>1175</v>
      </c>
      <c r="F719" s="10" t="str">
        <f t="array" ref="F719">_xlfn.XLOOKUP(D719,'Referanc '!$A:$A,'Referanc '!$E:$E)</f>
        <v>M3</v>
      </c>
      <c r="G719" s="68">
        <v>4.0</v>
      </c>
      <c r="H719" s="68">
        <v>0.0</v>
      </c>
      <c r="I719" s="27">
        <v>1.0E-4</v>
      </c>
      <c r="J719" s="27">
        <v>0.0</v>
      </c>
      <c r="K719" s="68">
        <v>9.0</v>
      </c>
      <c r="L719" s="68">
        <v>0.0</v>
      </c>
      <c r="M719" s="27">
        <v>1.0E-4</v>
      </c>
      <c r="N719" s="27">
        <v>0.0</v>
      </c>
      <c r="O719" s="27">
        <v>0.0</v>
      </c>
      <c r="P719" s="27">
        <v>0.0</v>
      </c>
      <c r="Q719" s="68">
        <v>0.0</v>
      </c>
      <c r="R719" s="68">
        <v>0.0</v>
      </c>
      <c r="S719" s="27">
        <v>0.0</v>
      </c>
      <c r="T719" s="27">
        <v>0.0</v>
      </c>
      <c r="U719" s="197">
        <v>0.0</v>
      </c>
      <c r="V719" s="197">
        <v>0.0</v>
      </c>
      <c r="W719" s="68">
        <v>0.0</v>
      </c>
      <c r="X719" s="68">
        <v>0.0</v>
      </c>
    </row>
    <row r="720" ht="15.75" customHeight="1">
      <c r="A720" s="3" t="s">
        <v>65</v>
      </c>
      <c r="B720" s="10" t="s">
        <v>241</v>
      </c>
      <c r="C720" s="68" t="s">
        <v>339</v>
      </c>
      <c r="D720" s="68" t="s">
        <v>339</v>
      </c>
      <c r="E720" s="68" t="s">
        <v>547</v>
      </c>
      <c r="F720" s="10" t="str">
        <f t="array" ref="F720">_xlfn.XLOOKUP(D720,'Referanc '!$A:$A,'Referanc '!$E:$E)</f>
        <v>Anti Fatigue Mat</v>
      </c>
      <c r="G720" s="68">
        <v>130.0</v>
      </c>
      <c r="H720" s="68">
        <v>7.0</v>
      </c>
      <c r="I720" s="27">
        <v>0.0018</v>
      </c>
      <c r="J720" s="27">
        <v>0.0022</v>
      </c>
      <c r="K720" s="68">
        <v>155.0</v>
      </c>
      <c r="L720" s="68">
        <v>9.0</v>
      </c>
      <c r="M720" s="27">
        <v>0.0015</v>
      </c>
      <c r="N720" s="27">
        <v>0.002</v>
      </c>
      <c r="O720" s="27">
        <v>0.9384</v>
      </c>
      <c r="P720" s="27">
        <v>1.0</v>
      </c>
      <c r="Q720" s="68">
        <v>0.0</v>
      </c>
      <c r="R720" s="68">
        <v>0.0</v>
      </c>
      <c r="S720" s="27">
        <v>0.0</v>
      </c>
      <c r="T720" s="27">
        <v>0.0</v>
      </c>
      <c r="U720" s="197">
        <v>0.0</v>
      </c>
      <c r="V720" s="197">
        <v>0.0</v>
      </c>
      <c r="W720" s="68">
        <v>0.0</v>
      </c>
      <c r="X720" s="68">
        <v>0.0</v>
      </c>
    </row>
    <row r="721" ht="15.75" customHeight="1">
      <c r="A721" s="3" t="s">
        <v>65</v>
      </c>
      <c r="B721" s="10" t="str">
        <f t="array" ref="B721">_xlfn.XLOOKUP(D721,'Referanc '!$A:$A,'Referanc '!$B:$B)</f>
        <v>Extension &amp; Holder</v>
      </c>
      <c r="C721" s="68" t="s">
        <v>336</v>
      </c>
      <c r="D721" s="68" t="s">
        <v>336</v>
      </c>
      <c r="E721" s="68" t="s">
        <v>695</v>
      </c>
      <c r="F721" s="10" t="str">
        <f t="array" ref="F721">_xlfn.XLOOKUP(D721,'Referanc '!$A:$A,'Referanc '!$E:$E)</f>
        <v>Extension &amp; Holder</v>
      </c>
      <c r="G721" s="68">
        <v>14.0</v>
      </c>
      <c r="H721" s="68">
        <v>1.0</v>
      </c>
      <c r="I721" s="27">
        <v>2.0E-4</v>
      </c>
      <c r="J721" s="27">
        <v>3.0E-4</v>
      </c>
      <c r="K721" s="68">
        <v>22.0</v>
      </c>
      <c r="L721" s="68">
        <v>2.0</v>
      </c>
      <c r="M721" s="27">
        <v>2.0E-4</v>
      </c>
      <c r="N721" s="27">
        <v>4.0E-4</v>
      </c>
      <c r="O721" s="27">
        <v>0.9</v>
      </c>
      <c r="P721" s="27">
        <v>0.0</v>
      </c>
      <c r="Q721" s="68">
        <v>0.0</v>
      </c>
      <c r="R721" s="68">
        <v>0.0</v>
      </c>
      <c r="S721" s="27">
        <v>0.0</v>
      </c>
      <c r="T721" s="27">
        <v>0.0</v>
      </c>
      <c r="U721" s="197">
        <v>0.0</v>
      </c>
      <c r="V721" s="197">
        <v>0.0</v>
      </c>
      <c r="W721" s="68">
        <v>0.0</v>
      </c>
      <c r="X721" s="68">
        <v>0.0</v>
      </c>
    </row>
    <row r="722" ht="15.75" customHeight="1">
      <c r="A722" s="3" t="s">
        <v>65</v>
      </c>
      <c r="B722" s="10" t="str">
        <f t="array" ref="B722">_xlfn.XLOOKUP(D722,'Referanc '!$A:$A,'Referanc '!$B:$B)</f>
        <v>Standing Table  - E2</v>
      </c>
      <c r="C722" s="68" t="s">
        <v>390</v>
      </c>
      <c r="D722" s="68" t="s">
        <v>390</v>
      </c>
      <c r="E722" s="68" t="s">
        <v>1182</v>
      </c>
      <c r="F722" s="10" t="str">
        <f t="array" ref="F722">_xlfn.XLOOKUP(D722,'Referanc '!$A:$A,'Referanc '!$E:$E)</f>
        <v>E2</v>
      </c>
      <c r="G722" s="68">
        <v>8.0</v>
      </c>
      <c r="H722" s="68">
        <v>0.0</v>
      </c>
      <c r="I722" s="27">
        <v>1.0E-4</v>
      </c>
      <c r="J722" s="27">
        <v>0.0</v>
      </c>
      <c r="K722" s="68">
        <v>8.0</v>
      </c>
      <c r="L722" s="68">
        <v>0.0</v>
      </c>
      <c r="M722" s="27">
        <v>1.0E-4</v>
      </c>
      <c r="N722" s="27">
        <v>0.0</v>
      </c>
      <c r="O722" s="27">
        <v>1.0</v>
      </c>
      <c r="P722" s="27">
        <v>0.0</v>
      </c>
      <c r="Q722" s="68">
        <v>0.0</v>
      </c>
      <c r="R722" s="68">
        <v>0.0</v>
      </c>
      <c r="S722" s="27">
        <v>0.0</v>
      </c>
      <c r="T722" s="27">
        <v>0.0</v>
      </c>
      <c r="U722" s="197">
        <v>0.0</v>
      </c>
      <c r="V722" s="197">
        <v>0.0</v>
      </c>
      <c r="W722" s="68">
        <v>0.0</v>
      </c>
      <c r="X722" s="68">
        <v>0.0</v>
      </c>
    </row>
    <row r="723" ht="15.75" customHeight="1">
      <c r="A723" s="3" t="s">
        <v>65</v>
      </c>
      <c r="B723" s="10" t="str">
        <f t="array" ref="B723">_xlfn.XLOOKUP(D723,'Referanc '!$A:$A,'Referanc '!$B:$B)</f>
        <v>Standing Table  - E2</v>
      </c>
      <c r="C723" s="68" t="s">
        <v>392</v>
      </c>
      <c r="D723" s="68" t="s">
        <v>392</v>
      </c>
      <c r="E723" s="68" t="s">
        <v>670</v>
      </c>
      <c r="F723" s="10" t="str">
        <f t="array" ref="F723">_xlfn.XLOOKUP(D723,'Referanc '!$A:$A,'Referanc '!$E:$E)</f>
        <v>E2</v>
      </c>
      <c r="G723" s="68">
        <v>13.0</v>
      </c>
      <c r="H723" s="68">
        <v>0.0</v>
      </c>
      <c r="I723" s="27">
        <v>2.0E-4</v>
      </c>
      <c r="J723" s="27">
        <v>0.0</v>
      </c>
      <c r="K723" s="68">
        <v>17.0</v>
      </c>
      <c r="L723" s="68">
        <v>0.0</v>
      </c>
      <c r="M723" s="27">
        <v>2.0E-4</v>
      </c>
      <c r="N723" s="27">
        <v>0.0</v>
      </c>
      <c r="O723" s="27">
        <v>0.8667</v>
      </c>
      <c r="P723" s="27">
        <v>0.0</v>
      </c>
      <c r="Q723" s="68">
        <v>0.0</v>
      </c>
      <c r="R723" s="68">
        <v>0.0</v>
      </c>
      <c r="S723" s="27">
        <v>0.0</v>
      </c>
      <c r="T723" s="27">
        <v>0.0</v>
      </c>
      <c r="U723" s="197">
        <v>0.0</v>
      </c>
      <c r="V723" s="197">
        <v>0.0</v>
      </c>
      <c r="W723" s="68">
        <v>0.0</v>
      </c>
      <c r="X723" s="68">
        <v>0.0</v>
      </c>
    </row>
    <row r="724" ht="15.75" customHeight="1">
      <c r="A724" s="3" t="s">
        <v>65</v>
      </c>
      <c r="B724" s="10" t="str">
        <f t="array" ref="B724">_xlfn.XLOOKUP(D724,'Referanc '!$A:$A,'Referanc '!$B:$B)</f>
        <v>Standing Table - All Frames</v>
      </c>
      <c r="C724" s="68" t="s">
        <v>420</v>
      </c>
      <c r="D724" s="68" t="s">
        <v>420</v>
      </c>
      <c r="E724" s="68" t="s">
        <v>1364</v>
      </c>
      <c r="F724" s="10" t="str">
        <f t="array" ref="F724">_xlfn.XLOOKUP(D724,'Referanc '!$A:$A,'Referanc '!$E:$E)</f>
        <v>E2</v>
      </c>
      <c r="G724" s="68">
        <v>10.0</v>
      </c>
      <c r="H724" s="68">
        <v>0.0</v>
      </c>
      <c r="I724" s="27">
        <v>1.0E-4</v>
      </c>
      <c r="J724" s="27">
        <v>0.0</v>
      </c>
      <c r="K724" s="68">
        <v>10.0</v>
      </c>
      <c r="L724" s="68">
        <v>0.0</v>
      </c>
      <c r="M724" s="27">
        <v>1.0E-4</v>
      </c>
      <c r="N724" s="27">
        <v>0.0</v>
      </c>
      <c r="O724" s="27">
        <v>0.9</v>
      </c>
      <c r="P724" s="27">
        <v>0.0</v>
      </c>
      <c r="Q724" s="68">
        <v>0.0</v>
      </c>
      <c r="R724" s="68">
        <v>0.0</v>
      </c>
      <c r="S724" s="27">
        <v>0.0</v>
      </c>
      <c r="T724" s="27">
        <v>0.0</v>
      </c>
      <c r="U724" s="197">
        <v>0.0</v>
      </c>
      <c r="V724" s="197">
        <v>0.0</v>
      </c>
      <c r="W724" s="68">
        <v>0.0</v>
      </c>
      <c r="X724" s="68">
        <v>0.0</v>
      </c>
    </row>
    <row r="725" ht="15.75" customHeight="1">
      <c r="A725" s="3" t="s">
        <v>65</v>
      </c>
      <c r="B725" s="10" t="str">
        <f t="array" ref="B725">_xlfn.XLOOKUP(D725,'Referanc '!$A:$A,'Referanc '!$B:$B)</f>
        <v>Standing Table  - E2</v>
      </c>
      <c r="C725" s="68" t="s">
        <v>393</v>
      </c>
      <c r="D725" s="68" t="s">
        <v>393</v>
      </c>
      <c r="E725" s="68" t="s">
        <v>1133</v>
      </c>
      <c r="F725" s="10" t="str">
        <f t="array" ref="F725">_xlfn.XLOOKUP(D725,'Referanc '!$A:$A,'Referanc '!$E:$E)</f>
        <v>E2</v>
      </c>
      <c r="G725" s="68">
        <v>9.0</v>
      </c>
      <c r="H725" s="68">
        <v>0.0</v>
      </c>
      <c r="I725" s="27">
        <v>1.0E-4</v>
      </c>
      <c r="J725" s="27">
        <v>0.0</v>
      </c>
      <c r="K725" s="68">
        <v>14.0</v>
      </c>
      <c r="L725" s="68">
        <v>0.0</v>
      </c>
      <c r="M725" s="27">
        <v>1.0E-4</v>
      </c>
      <c r="N725" s="27">
        <v>0.0</v>
      </c>
      <c r="O725" s="27">
        <v>1.0</v>
      </c>
      <c r="P725" s="27">
        <v>0.0</v>
      </c>
      <c r="Q725" s="68">
        <v>0.0</v>
      </c>
      <c r="R725" s="68">
        <v>0.0</v>
      </c>
      <c r="S725" s="27">
        <v>0.0</v>
      </c>
      <c r="T725" s="27">
        <v>0.0</v>
      </c>
      <c r="U725" s="197">
        <v>0.0</v>
      </c>
      <c r="V725" s="197">
        <v>0.0</v>
      </c>
      <c r="W725" s="68">
        <v>0.0</v>
      </c>
      <c r="X725" s="68">
        <v>0.0</v>
      </c>
    </row>
    <row r="726" ht="15.75" customHeight="1">
      <c r="A726" s="3" t="s">
        <v>65</v>
      </c>
      <c r="B726" s="10" t="str">
        <f t="array" ref="B726">_xlfn.XLOOKUP(D726,'Referanc '!$A:$A,'Referanc '!$B:$B)</f>
        <v>Standing Table  - E2</v>
      </c>
      <c r="C726" s="68" t="s">
        <v>394</v>
      </c>
      <c r="D726" s="68" t="s">
        <v>394</v>
      </c>
      <c r="E726" s="68" t="s">
        <v>672</v>
      </c>
      <c r="F726" s="10" t="str">
        <f t="array" ref="F726">_xlfn.XLOOKUP(D726,'Referanc '!$A:$A,'Referanc '!$E:$E)</f>
        <v>E2</v>
      </c>
      <c r="G726" s="68">
        <v>9.0</v>
      </c>
      <c r="H726" s="68">
        <v>0.0</v>
      </c>
      <c r="I726" s="27">
        <v>1.0E-4</v>
      </c>
      <c r="J726" s="27">
        <v>0.0</v>
      </c>
      <c r="K726" s="68">
        <v>12.0</v>
      </c>
      <c r="L726" s="68">
        <v>0.0</v>
      </c>
      <c r="M726" s="27">
        <v>1.0E-4</v>
      </c>
      <c r="N726" s="27">
        <v>0.0</v>
      </c>
      <c r="O726" s="27">
        <v>1.0</v>
      </c>
      <c r="P726" s="27">
        <v>0.0</v>
      </c>
      <c r="Q726" s="68">
        <v>0.0</v>
      </c>
      <c r="R726" s="68">
        <v>0.0</v>
      </c>
      <c r="S726" s="27">
        <v>0.0</v>
      </c>
      <c r="T726" s="27">
        <v>0.0</v>
      </c>
      <c r="U726" s="197">
        <v>0.0</v>
      </c>
      <c r="V726" s="197">
        <v>0.0</v>
      </c>
      <c r="W726" s="68">
        <v>0.0</v>
      </c>
      <c r="X726" s="68">
        <v>0.0</v>
      </c>
    </row>
    <row r="727" ht="15.75" customHeight="1">
      <c r="A727" s="3" t="s">
        <v>65</v>
      </c>
      <c r="B727" s="10" t="str">
        <f t="array" ref="B727">_xlfn.XLOOKUP(D727,'Referanc '!$A:$A,'Referanc '!$B:$B)</f>
        <v>Standing Table  - E3</v>
      </c>
      <c r="C727" s="68" t="s">
        <v>397</v>
      </c>
      <c r="D727" s="68" t="s">
        <v>397</v>
      </c>
      <c r="E727" s="68" t="s">
        <v>1154</v>
      </c>
      <c r="F727" s="10" t="str">
        <f t="array" ref="F727">_xlfn.XLOOKUP(D727,'Referanc '!$A:$A,'Referanc '!$E:$E)</f>
        <v>E3</v>
      </c>
      <c r="G727" s="68">
        <v>120.0</v>
      </c>
      <c r="H727" s="68">
        <v>15.0</v>
      </c>
      <c r="I727" s="27">
        <v>0.0017</v>
      </c>
      <c r="J727" s="27">
        <v>0.0047</v>
      </c>
      <c r="K727" s="68">
        <v>187.0</v>
      </c>
      <c r="L727" s="68">
        <v>42.0</v>
      </c>
      <c r="M727" s="27">
        <v>0.0018</v>
      </c>
      <c r="N727" s="27">
        <v>0.0093</v>
      </c>
      <c r="O727" s="27">
        <v>0.9186</v>
      </c>
      <c r="P727" s="27">
        <v>0.9412</v>
      </c>
      <c r="Q727" s="68">
        <v>0.0</v>
      </c>
      <c r="R727" s="68">
        <v>0.0</v>
      </c>
      <c r="S727" s="27">
        <v>0.0</v>
      </c>
      <c r="T727" s="27">
        <v>0.0</v>
      </c>
      <c r="U727" s="197">
        <v>0.0</v>
      </c>
      <c r="V727" s="197">
        <v>0.0</v>
      </c>
      <c r="W727" s="68">
        <v>0.0</v>
      </c>
      <c r="X727" s="68">
        <v>0.0</v>
      </c>
    </row>
    <row r="728" ht="15.75" customHeight="1">
      <c r="A728" s="3" t="s">
        <v>65</v>
      </c>
      <c r="B728" s="10" t="str">
        <f t="array" ref="B728">_xlfn.XLOOKUP(D728,'Referanc '!$A:$A,'Referanc '!$B:$B)</f>
        <v>Standing Table  - E3</v>
      </c>
      <c r="C728" s="68" t="s">
        <v>377</v>
      </c>
      <c r="D728" s="68" t="s">
        <v>377</v>
      </c>
      <c r="E728" s="68" t="s">
        <v>1143</v>
      </c>
      <c r="F728" s="10" t="str">
        <f t="array" ref="F728">_xlfn.XLOOKUP(D728,'Referanc '!$A:$A,'Referanc '!$E:$E)</f>
        <v>E3</v>
      </c>
      <c r="G728" s="68">
        <v>143.0</v>
      </c>
      <c r="H728" s="68">
        <v>10.0</v>
      </c>
      <c r="I728" s="27">
        <v>0.002</v>
      </c>
      <c r="J728" s="27">
        <v>0.0031</v>
      </c>
      <c r="K728" s="68">
        <v>178.0</v>
      </c>
      <c r="L728" s="68">
        <v>10.0</v>
      </c>
      <c r="M728" s="27">
        <v>0.0017</v>
      </c>
      <c r="N728" s="27">
        <v>0.0022</v>
      </c>
      <c r="O728" s="27">
        <v>0.9464</v>
      </c>
      <c r="P728" s="27">
        <v>0.7143</v>
      </c>
      <c r="Q728" s="68">
        <v>0.0</v>
      </c>
      <c r="R728" s="68">
        <v>0.0</v>
      </c>
      <c r="S728" s="27">
        <v>0.0</v>
      </c>
      <c r="T728" s="27">
        <v>0.0</v>
      </c>
      <c r="U728" s="197">
        <v>0.0</v>
      </c>
      <c r="V728" s="197">
        <v>0.0</v>
      </c>
      <c r="W728" s="68">
        <v>0.0</v>
      </c>
      <c r="X728" s="68">
        <v>0.0</v>
      </c>
    </row>
    <row r="729" ht="15.75" customHeight="1">
      <c r="A729" s="3" t="s">
        <v>65</v>
      </c>
      <c r="B729" s="10" t="str">
        <f t="array" ref="B729">_xlfn.XLOOKUP(D729,'Referanc '!$A:$A,'Referanc '!$B:$B)</f>
        <v>Standing Table  - E3</v>
      </c>
      <c r="C729" s="68" t="s">
        <v>366</v>
      </c>
      <c r="D729" s="68" t="s">
        <v>366</v>
      </c>
      <c r="E729" s="68" t="s">
        <v>1124</v>
      </c>
      <c r="F729" s="10" t="str">
        <f t="array" ref="F729">_xlfn.XLOOKUP(D729,'Referanc '!$A:$A,'Referanc '!$E:$E)</f>
        <v>E3</v>
      </c>
      <c r="G729" s="68">
        <v>210.0</v>
      </c>
      <c r="H729" s="68">
        <v>21.0</v>
      </c>
      <c r="I729" s="27">
        <v>0.0029</v>
      </c>
      <c r="J729" s="27">
        <v>0.0066</v>
      </c>
      <c r="K729" s="68">
        <v>245.0</v>
      </c>
      <c r="L729" s="68">
        <v>23.0</v>
      </c>
      <c r="M729" s="27">
        <v>0.0024</v>
      </c>
      <c r="N729" s="27">
        <v>0.0051</v>
      </c>
      <c r="O729" s="27">
        <v>0.9327</v>
      </c>
      <c r="P729" s="27">
        <v>0.8667</v>
      </c>
      <c r="Q729" s="68">
        <v>0.0</v>
      </c>
      <c r="R729" s="68">
        <v>0.0</v>
      </c>
      <c r="S729" s="27">
        <v>0.0</v>
      </c>
      <c r="T729" s="27">
        <v>0.0</v>
      </c>
      <c r="U729" s="197">
        <v>0.0</v>
      </c>
      <c r="V729" s="197">
        <v>0.0</v>
      </c>
      <c r="W729" s="68">
        <v>0.0</v>
      </c>
      <c r="X729" s="68">
        <v>0.0</v>
      </c>
    </row>
    <row r="730" ht="15.75" customHeight="1">
      <c r="A730" s="3" t="s">
        <v>65</v>
      </c>
      <c r="B730" s="10" t="str">
        <f t="array" ref="B730">_xlfn.XLOOKUP(D730,'Referanc '!$A:$A,'Referanc '!$B:$B)</f>
        <v>Standing Table  - E1A</v>
      </c>
      <c r="C730" s="68" t="s">
        <v>371</v>
      </c>
      <c r="D730" s="68" t="s">
        <v>371</v>
      </c>
      <c r="E730" s="68" t="s">
        <v>1353</v>
      </c>
      <c r="F730" s="10" t="str">
        <f t="array" ref="F730">_xlfn.XLOOKUP(D730,'Referanc '!$A:$A,'Referanc '!$E:$E)</f>
        <v>E1A</v>
      </c>
      <c r="G730" s="68">
        <v>302.0</v>
      </c>
      <c r="H730" s="68">
        <v>16.0</v>
      </c>
      <c r="I730" s="27">
        <v>0.0042</v>
      </c>
      <c r="J730" s="27">
        <v>0.005</v>
      </c>
      <c r="K730" s="68">
        <v>385.0</v>
      </c>
      <c r="L730" s="68">
        <v>16.0</v>
      </c>
      <c r="M730" s="27">
        <v>0.0038</v>
      </c>
      <c r="N730" s="27">
        <v>0.0035</v>
      </c>
      <c r="O730" s="27">
        <v>0.9466</v>
      </c>
      <c r="P730" s="27">
        <v>0.7273</v>
      </c>
      <c r="Q730" s="68">
        <v>0.0</v>
      </c>
      <c r="R730" s="68">
        <v>0.0</v>
      </c>
      <c r="S730" s="27">
        <v>0.0</v>
      </c>
      <c r="T730" s="27">
        <v>0.0</v>
      </c>
      <c r="U730" s="197">
        <v>0.0</v>
      </c>
      <c r="V730" s="197">
        <v>0.0</v>
      </c>
      <c r="W730" s="68">
        <v>0.0</v>
      </c>
      <c r="X730" s="68">
        <v>0.0</v>
      </c>
    </row>
    <row r="731" ht="15.75" customHeight="1">
      <c r="A731" s="3" t="s">
        <v>65</v>
      </c>
      <c r="B731" s="10" t="str">
        <f t="array" ref="B731">_xlfn.XLOOKUP(D731,'Referanc '!$A:$A,'Referanc '!$B:$B)</f>
        <v>Standing Table  - E4</v>
      </c>
      <c r="C731" s="68" t="s">
        <v>405</v>
      </c>
      <c r="D731" s="68" t="s">
        <v>405</v>
      </c>
      <c r="E731" s="68" t="s">
        <v>1305</v>
      </c>
      <c r="F731" s="10" t="str">
        <f t="array" ref="F731">_xlfn.XLOOKUP(D731,'Referanc '!$A:$A,'Referanc '!$E:$E)</f>
        <v>E4</v>
      </c>
      <c r="G731" s="68">
        <v>68.0</v>
      </c>
      <c r="H731" s="68">
        <v>15.0</v>
      </c>
      <c r="I731" s="27">
        <v>9.0E-4</v>
      </c>
      <c r="J731" s="27">
        <v>0.0047</v>
      </c>
      <c r="K731" s="68">
        <v>98.0</v>
      </c>
      <c r="L731" s="68">
        <v>22.0</v>
      </c>
      <c r="M731" s="27">
        <v>0.001</v>
      </c>
      <c r="N731" s="27">
        <v>0.0049</v>
      </c>
      <c r="O731" s="27">
        <v>1.0</v>
      </c>
      <c r="P731" s="27">
        <v>1.0</v>
      </c>
      <c r="Q731" s="68">
        <v>0.0</v>
      </c>
      <c r="R731" s="68">
        <v>0.0</v>
      </c>
      <c r="S731" s="27">
        <v>0.0</v>
      </c>
      <c r="T731" s="27">
        <v>0.0</v>
      </c>
      <c r="U731" s="197">
        <v>0.0</v>
      </c>
      <c r="V731" s="197">
        <v>0.0</v>
      </c>
      <c r="W731" s="68">
        <v>0.0</v>
      </c>
      <c r="X731" s="68">
        <v>0.0</v>
      </c>
    </row>
    <row r="732" ht="15.75" customHeight="1">
      <c r="A732" s="3" t="s">
        <v>65</v>
      </c>
      <c r="B732" s="10" t="str">
        <f t="array" ref="B732">_xlfn.XLOOKUP(D732,'Referanc '!$A:$A,'Referanc '!$B:$B)</f>
        <v>Standing Table  - E4</v>
      </c>
      <c r="C732" s="68" t="s">
        <v>409</v>
      </c>
      <c r="D732" s="68" t="s">
        <v>409</v>
      </c>
      <c r="E732" s="68" t="s">
        <v>1307</v>
      </c>
      <c r="F732" s="10" t="str">
        <f t="array" ref="F732">_xlfn.XLOOKUP(D732,'Referanc '!$A:$A,'Referanc '!$E:$E)</f>
        <v>E4</v>
      </c>
      <c r="G732" s="68">
        <v>37.0</v>
      </c>
      <c r="H732" s="68">
        <v>1.0</v>
      </c>
      <c r="I732" s="27">
        <v>5.0E-4</v>
      </c>
      <c r="J732" s="27">
        <v>3.0E-4</v>
      </c>
      <c r="K732" s="68">
        <v>47.0</v>
      </c>
      <c r="L732" s="68">
        <v>1.0</v>
      </c>
      <c r="M732" s="27">
        <v>5.0E-4</v>
      </c>
      <c r="N732" s="27">
        <v>2.0E-4</v>
      </c>
      <c r="O732" s="27">
        <v>0.975</v>
      </c>
      <c r="P732" s="27">
        <v>1.0</v>
      </c>
      <c r="Q732" s="68">
        <v>0.0</v>
      </c>
      <c r="R732" s="68">
        <v>0.0</v>
      </c>
      <c r="S732" s="27">
        <v>0.0</v>
      </c>
      <c r="T732" s="27">
        <v>0.0</v>
      </c>
      <c r="U732" s="197">
        <v>0.0</v>
      </c>
      <c r="V732" s="197">
        <v>0.0</v>
      </c>
      <c r="W732" s="68">
        <v>0.0</v>
      </c>
      <c r="X732" s="68">
        <v>0.0</v>
      </c>
    </row>
    <row r="733" ht="15.75" customHeight="1">
      <c r="A733" s="3" t="s">
        <v>65</v>
      </c>
      <c r="B733" s="10" t="str">
        <f t="array" ref="B733">_xlfn.XLOOKUP(D733,'Referanc '!$A:$A,'Referanc '!$B:$B)</f>
        <v>Standing Table - All Frames</v>
      </c>
      <c r="C733" s="68" t="s">
        <v>422</v>
      </c>
      <c r="D733" s="68" t="s">
        <v>422</v>
      </c>
      <c r="E733" s="68" t="s">
        <v>697</v>
      </c>
      <c r="F733" s="10" t="str">
        <f t="array" ref="F733">_xlfn.XLOOKUP(D733,'Referanc '!$A:$A,'Referanc '!$E:$E)</f>
        <v>E4</v>
      </c>
      <c r="G733" s="68">
        <v>91.0</v>
      </c>
      <c r="H733" s="68">
        <v>1.0</v>
      </c>
      <c r="I733" s="27">
        <v>0.0013</v>
      </c>
      <c r="J733" s="27">
        <v>3.0E-4</v>
      </c>
      <c r="K733" s="68">
        <v>143.0</v>
      </c>
      <c r="L733" s="68">
        <v>1.0</v>
      </c>
      <c r="M733" s="27">
        <v>0.0014</v>
      </c>
      <c r="N733" s="27">
        <v>2.0E-4</v>
      </c>
      <c r="O733" s="27">
        <v>0.9291</v>
      </c>
      <c r="P733" s="27">
        <v>0.0</v>
      </c>
      <c r="Q733" s="68">
        <v>0.0</v>
      </c>
      <c r="R733" s="68">
        <v>0.0</v>
      </c>
      <c r="S733" s="27">
        <v>0.0</v>
      </c>
      <c r="T733" s="27">
        <v>0.0</v>
      </c>
      <c r="U733" s="197">
        <v>0.0</v>
      </c>
      <c r="V733" s="197">
        <v>0.0</v>
      </c>
      <c r="W733" s="68">
        <v>0.0</v>
      </c>
      <c r="X733" s="68">
        <v>0.0</v>
      </c>
    </row>
    <row r="734" ht="15.75" customHeight="1">
      <c r="A734" s="3" t="s">
        <v>65</v>
      </c>
      <c r="B734" s="10" t="str">
        <f t="array" ref="B734">_xlfn.XLOOKUP(D734,'Referanc '!$A:$A,'Referanc '!$B:$B)</f>
        <v>Monitor Arm Stand</v>
      </c>
      <c r="C734" s="68" t="s">
        <v>355</v>
      </c>
      <c r="D734" s="68" t="s">
        <v>355</v>
      </c>
      <c r="E734" s="68" t="s">
        <v>1280</v>
      </c>
      <c r="F734" s="10" t="str">
        <f t="array" ref="F734">_xlfn.XLOOKUP(D734,'Referanc '!$A:$A,'Referanc '!$E:$E)</f>
        <v>Monitor Arm Stand</v>
      </c>
      <c r="G734" s="68">
        <v>723.0</v>
      </c>
      <c r="H734" s="68">
        <v>41.0</v>
      </c>
      <c r="I734" s="27">
        <v>0.01</v>
      </c>
      <c r="J734" s="27">
        <v>0.0129</v>
      </c>
      <c r="K734" s="68">
        <v>898.0</v>
      </c>
      <c r="L734" s="68">
        <v>51.0</v>
      </c>
      <c r="M734" s="27">
        <v>0.0088</v>
      </c>
      <c r="N734" s="27">
        <v>0.0113</v>
      </c>
      <c r="O734" s="27">
        <v>0.8691</v>
      </c>
      <c r="P734" s="27">
        <v>0.9118</v>
      </c>
      <c r="Q734" s="68">
        <v>0.0</v>
      </c>
      <c r="R734" s="68">
        <v>0.0</v>
      </c>
      <c r="S734" s="27">
        <v>0.0</v>
      </c>
      <c r="T734" s="27">
        <v>0.0</v>
      </c>
      <c r="U734" s="197">
        <v>0.0</v>
      </c>
      <c r="V734" s="197">
        <v>0.0</v>
      </c>
      <c r="W734" s="68">
        <v>0.0</v>
      </c>
      <c r="X734" s="68">
        <v>0.0</v>
      </c>
    </row>
    <row r="735" ht="15.75" customHeight="1">
      <c r="A735" s="3" t="s">
        <v>65</v>
      </c>
      <c r="B735" s="10" t="str">
        <f t="array" ref="B735">_xlfn.XLOOKUP(D735,'Referanc '!$A:$A,'Referanc '!$B:$B)</f>
        <v>Extension &amp; Holder</v>
      </c>
      <c r="C735" s="68" t="s">
        <v>340</v>
      </c>
      <c r="D735" s="68" t="s">
        <v>340</v>
      </c>
      <c r="E735" s="68" t="s">
        <v>698</v>
      </c>
      <c r="F735" s="10" t="str">
        <f t="array" ref="F735">_xlfn.XLOOKUP(D735,'Referanc '!$A:$A,'Referanc '!$E:$E)</f>
        <v>Extension Board Holder</v>
      </c>
      <c r="G735" s="68">
        <v>8.0</v>
      </c>
      <c r="H735" s="68">
        <v>0.0</v>
      </c>
      <c r="I735" s="27">
        <v>1.0E-4</v>
      </c>
      <c r="J735" s="27">
        <v>0.0</v>
      </c>
      <c r="K735" s="68">
        <v>12.0</v>
      </c>
      <c r="L735" s="68">
        <v>0.0</v>
      </c>
      <c r="M735" s="27">
        <v>1.0E-4</v>
      </c>
      <c r="N735" s="27">
        <v>0.0</v>
      </c>
      <c r="O735" s="27">
        <v>0.9091</v>
      </c>
      <c r="P735" s="27">
        <v>0.0</v>
      </c>
      <c r="Q735" s="68">
        <v>0.0</v>
      </c>
      <c r="R735" s="68">
        <v>0.0</v>
      </c>
      <c r="S735" s="27">
        <v>0.0</v>
      </c>
      <c r="T735" s="27">
        <v>0.0</v>
      </c>
      <c r="U735" s="197">
        <v>0.0</v>
      </c>
      <c r="V735" s="197">
        <v>0.0</v>
      </c>
      <c r="W735" s="68">
        <v>0.0</v>
      </c>
      <c r="X735" s="68">
        <v>0.0</v>
      </c>
    </row>
    <row r="736" ht="15.75" customHeight="1">
      <c r="A736" s="3" t="s">
        <v>65</v>
      </c>
      <c r="B736" s="10" t="str">
        <f t="array" ref="B736">_xlfn.XLOOKUP(D736,'Referanc '!$A:$A,'Referanc '!$B:$B)</f>
        <v>TABLE TOP</v>
      </c>
      <c r="C736" s="68" t="s">
        <v>425</v>
      </c>
      <c r="D736" s="68" t="s">
        <v>425</v>
      </c>
      <c r="E736" s="68" t="s">
        <v>1355</v>
      </c>
      <c r="F736" s="10" t="str">
        <f t="array" ref="F736">_xlfn.XLOOKUP(D736,'Referanc '!$A:$A,'Referanc '!$E:$E)</f>
        <v>TABLE TOP</v>
      </c>
      <c r="G736" s="68">
        <v>7.0</v>
      </c>
      <c r="H736" s="68">
        <v>0.0</v>
      </c>
      <c r="I736" s="27">
        <v>1.0E-4</v>
      </c>
      <c r="J736" s="27">
        <v>0.0</v>
      </c>
      <c r="K736" s="68">
        <v>10.0</v>
      </c>
      <c r="L736" s="68">
        <v>0.0</v>
      </c>
      <c r="M736" s="27">
        <v>1.0E-4</v>
      </c>
      <c r="N736" s="27">
        <v>0.0</v>
      </c>
      <c r="O736" s="27">
        <v>0.7</v>
      </c>
      <c r="P736" s="27">
        <v>0.0</v>
      </c>
      <c r="Q736" s="68">
        <v>0.0</v>
      </c>
      <c r="R736" s="68">
        <v>0.0</v>
      </c>
      <c r="S736" s="27">
        <v>0.0</v>
      </c>
      <c r="T736" s="27">
        <v>0.0</v>
      </c>
      <c r="U736" s="197">
        <v>0.0</v>
      </c>
      <c r="V736" s="197">
        <v>0.0</v>
      </c>
      <c r="W736" s="68">
        <v>0.0</v>
      </c>
      <c r="X736" s="68">
        <v>0.0</v>
      </c>
    </row>
    <row r="737" ht="15.75" customHeight="1">
      <c r="A737" s="3" t="s">
        <v>65</v>
      </c>
      <c r="B737" s="10" t="str">
        <f t="array" ref="B737">_xlfn.XLOOKUP(D737,'Referanc '!$A:$A,'Referanc '!$B:$B)</f>
        <v>Standing Table  - SM4</v>
      </c>
      <c r="C737" s="68" t="s">
        <v>423</v>
      </c>
      <c r="D737" s="68" t="s">
        <v>423</v>
      </c>
      <c r="E737" s="68" t="s">
        <v>710</v>
      </c>
      <c r="F737" s="10" t="str">
        <f t="array" ref="F737">_xlfn.XLOOKUP(D737,'Referanc '!$A:$A,'Referanc '!$E:$E)</f>
        <v>Sm4</v>
      </c>
      <c r="G737" s="68">
        <v>1.0</v>
      </c>
      <c r="H737" s="68">
        <v>0.0</v>
      </c>
      <c r="I737" s="27">
        <v>0.0</v>
      </c>
      <c r="J737" s="27">
        <v>0.0</v>
      </c>
      <c r="K737" s="68">
        <v>1.0</v>
      </c>
      <c r="L737" s="68">
        <v>0.0</v>
      </c>
      <c r="M737" s="27">
        <v>0.0</v>
      </c>
      <c r="N737" s="27">
        <v>0.0</v>
      </c>
      <c r="O737" s="27">
        <v>0.0</v>
      </c>
      <c r="P737" s="27">
        <v>0.0</v>
      </c>
      <c r="Q737" s="68">
        <v>0.0</v>
      </c>
      <c r="R737" s="68">
        <v>0.0</v>
      </c>
      <c r="S737" s="27">
        <v>0.0</v>
      </c>
      <c r="T737" s="27">
        <v>0.0</v>
      </c>
      <c r="U737" s="197">
        <v>0.0</v>
      </c>
      <c r="V737" s="197">
        <v>0.0</v>
      </c>
      <c r="W737" s="68">
        <v>0.0</v>
      </c>
      <c r="X737" s="68">
        <v>0.0</v>
      </c>
    </row>
    <row r="738" ht="15.75" customHeight="1">
      <c r="A738" s="3" t="s">
        <v>65</v>
      </c>
      <c r="B738" s="10" t="str">
        <f t="array" ref="B738">_xlfn.XLOOKUP(D738,'Referanc '!$A:$A,'Referanc '!$B:$B)</f>
        <v>Standing Table  - SM4</v>
      </c>
      <c r="C738" s="68" t="s">
        <v>424</v>
      </c>
      <c r="D738" s="68" t="s">
        <v>424</v>
      </c>
      <c r="E738" s="68" t="s">
        <v>712</v>
      </c>
      <c r="F738" s="10" t="str">
        <f t="array" ref="F738">_xlfn.XLOOKUP(D738,'Referanc '!$A:$A,'Referanc '!$E:$E)</f>
        <v>Sm4</v>
      </c>
      <c r="G738" s="68">
        <v>2.0</v>
      </c>
      <c r="H738" s="68">
        <v>0.0</v>
      </c>
      <c r="I738" s="27">
        <v>0.0</v>
      </c>
      <c r="J738" s="27">
        <v>0.0</v>
      </c>
      <c r="K738" s="68">
        <v>2.0</v>
      </c>
      <c r="L738" s="68">
        <v>0.0</v>
      </c>
      <c r="M738" s="27">
        <v>0.0</v>
      </c>
      <c r="N738" s="27">
        <v>0.0</v>
      </c>
      <c r="O738" s="27">
        <v>0.0</v>
      </c>
      <c r="P738" s="27">
        <v>0.0</v>
      </c>
      <c r="Q738" s="68">
        <v>0.0</v>
      </c>
      <c r="R738" s="68">
        <v>0.0</v>
      </c>
      <c r="S738" s="27">
        <v>0.0</v>
      </c>
      <c r="T738" s="27">
        <v>0.0</v>
      </c>
      <c r="U738" s="197">
        <v>0.0</v>
      </c>
      <c r="V738" s="197">
        <v>0.0</v>
      </c>
      <c r="W738" s="68">
        <v>0.0</v>
      </c>
      <c r="X738" s="68">
        <v>0.0</v>
      </c>
    </row>
    <row r="739" ht="15.75" customHeight="1">
      <c r="A739" s="3" t="s">
        <v>65</v>
      </c>
      <c r="B739" s="10" t="str">
        <f t="array" ref="B739">_xlfn.XLOOKUP(D739,'Referanc '!$A:$A,'Referanc '!$B:$B)</f>
        <v>Standing Table  - SM4</v>
      </c>
      <c r="C739" s="68" t="s">
        <v>426</v>
      </c>
      <c r="D739" s="68" t="s">
        <v>426</v>
      </c>
      <c r="E739" s="68" t="s">
        <v>714</v>
      </c>
      <c r="F739" s="10" t="str">
        <f t="array" ref="F739">_xlfn.XLOOKUP(D739,'Referanc '!$A:$A,'Referanc '!$E:$E)</f>
        <v>Sm4</v>
      </c>
      <c r="G739" s="68">
        <v>7.0</v>
      </c>
      <c r="H739" s="68">
        <v>0.0</v>
      </c>
      <c r="I739" s="27">
        <v>1.0E-4</v>
      </c>
      <c r="J739" s="27">
        <v>0.0</v>
      </c>
      <c r="K739" s="68">
        <v>11.0</v>
      </c>
      <c r="L739" s="68">
        <v>0.0</v>
      </c>
      <c r="M739" s="27">
        <v>1.0E-4</v>
      </c>
      <c r="N739" s="27">
        <v>0.0</v>
      </c>
      <c r="O739" s="27">
        <v>0.9</v>
      </c>
      <c r="P739" s="27">
        <v>0.0</v>
      </c>
      <c r="Q739" s="68">
        <v>0.0</v>
      </c>
      <c r="R739" s="68">
        <v>0.0</v>
      </c>
      <c r="S739" s="27">
        <v>0.0</v>
      </c>
      <c r="T739" s="27">
        <v>0.0</v>
      </c>
      <c r="U739" s="197">
        <v>0.0</v>
      </c>
      <c r="V739" s="197">
        <v>0.0</v>
      </c>
      <c r="W739" s="68">
        <v>0.0</v>
      </c>
      <c r="X739" s="68">
        <v>0.0</v>
      </c>
    </row>
    <row r="740" ht="15.75" customHeight="1">
      <c r="A740" s="3" t="s">
        <v>65</v>
      </c>
      <c r="B740" s="10" t="str">
        <f t="array" ref="B740">_xlfn.XLOOKUP(D740,'Referanc '!$A:$A,'Referanc '!$B:$B)</f>
        <v>Standing Table  - SM4</v>
      </c>
      <c r="C740" s="68" t="s">
        <v>427</v>
      </c>
      <c r="D740" s="68" t="s">
        <v>427</v>
      </c>
      <c r="E740" s="68" t="s">
        <v>716</v>
      </c>
      <c r="F740" s="10" t="str">
        <f t="array" ref="F740">_xlfn.XLOOKUP(D740,'Referanc '!$A:$A,'Referanc '!$E:$E)</f>
        <v>Sm4</v>
      </c>
      <c r="G740" s="68">
        <v>1.0</v>
      </c>
      <c r="H740" s="68">
        <v>0.0</v>
      </c>
      <c r="I740" s="27">
        <v>0.0</v>
      </c>
      <c r="J740" s="27">
        <v>0.0</v>
      </c>
      <c r="K740" s="68">
        <v>1.0</v>
      </c>
      <c r="L740" s="68">
        <v>0.0</v>
      </c>
      <c r="M740" s="27">
        <v>0.0</v>
      </c>
      <c r="N740" s="27">
        <v>0.0</v>
      </c>
      <c r="O740" s="27">
        <v>0.0</v>
      </c>
      <c r="P740" s="27">
        <v>0.0</v>
      </c>
      <c r="Q740" s="68">
        <v>0.0</v>
      </c>
      <c r="R740" s="68">
        <v>0.0</v>
      </c>
      <c r="S740" s="27">
        <v>0.0</v>
      </c>
      <c r="T740" s="27">
        <v>0.0</v>
      </c>
      <c r="U740" s="197">
        <v>0.0</v>
      </c>
      <c r="V740" s="197">
        <v>0.0</v>
      </c>
      <c r="W740" s="68">
        <v>0.0</v>
      </c>
      <c r="X740" s="68">
        <v>0.0</v>
      </c>
    </row>
    <row r="741" ht="15.75" customHeight="1">
      <c r="A741" s="3" t="s">
        <v>65</v>
      </c>
      <c r="B741" s="10" t="str">
        <f t="array" ref="B741">_xlfn.XLOOKUP(D741,'Referanc '!$A:$A,'Referanc '!$B:$B)</f>
        <v>Standing Table  - SM4</v>
      </c>
      <c r="C741" s="68" t="s">
        <v>430</v>
      </c>
      <c r="D741" s="68" t="s">
        <v>430</v>
      </c>
      <c r="E741" s="68" t="s">
        <v>718</v>
      </c>
      <c r="F741" s="10" t="str">
        <f t="array" ref="F741">_xlfn.XLOOKUP(D741,'Referanc '!$A:$A,'Referanc '!$E:$E)</f>
        <v>Sm4</v>
      </c>
      <c r="G741" s="68">
        <v>4.0</v>
      </c>
      <c r="H741" s="68">
        <v>0.0</v>
      </c>
      <c r="I741" s="27">
        <v>1.0E-4</v>
      </c>
      <c r="J741" s="27">
        <v>0.0</v>
      </c>
      <c r="K741" s="68">
        <v>5.0</v>
      </c>
      <c r="L741" s="68">
        <v>0.0</v>
      </c>
      <c r="M741" s="27">
        <v>0.0</v>
      </c>
      <c r="N741" s="27">
        <v>0.0</v>
      </c>
      <c r="O741" s="27">
        <v>0.75</v>
      </c>
      <c r="P741" s="27">
        <v>0.0</v>
      </c>
      <c r="Q741" s="68">
        <v>0.0</v>
      </c>
      <c r="R741" s="68">
        <v>0.0</v>
      </c>
      <c r="S741" s="27">
        <v>0.0</v>
      </c>
      <c r="T741" s="27">
        <v>0.0</v>
      </c>
      <c r="U741" s="197">
        <v>0.0</v>
      </c>
      <c r="V741" s="197">
        <v>0.0</v>
      </c>
      <c r="W741" s="68">
        <v>0.0</v>
      </c>
      <c r="X741" s="68">
        <v>0.0</v>
      </c>
    </row>
    <row r="742" ht="15.75" customHeight="1">
      <c r="A742" s="3" t="s">
        <v>67</v>
      </c>
      <c r="B742" s="10" t="str">
        <f t="array" ref="B742">_xlfn.XLOOKUP(D742,'Referanc '!$A:$A,'Referanc '!$B:$B)</f>
        <v>Desk Cable Tray</v>
      </c>
      <c r="C742" s="68" t="s">
        <v>325</v>
      </c>
      <c r="D742" s="68" t="s">
        <v>325</v>
      </c>
      <c r="E742" s="68" t="s">
        <v>689</v>
      </c>
      <c r="G742" s="196">
        <v>8747.0</v>
      </c>
      <c r="H742" s="68">
        <v>381.0</v>
      </c>
      <c r="I742" s="27">
        <v>0.1433</v>
      </c>
      <c r="J742" s="27">
        <v>0.1471</v>
      </c>
      <c r="K742" s="196">
        <v>12391.0</v>
      </c>
      <c r="L742" s="68">
        <v>531.0</v>
      </c>
      <c r="M742" s="27">
        <v>0.1492</v>
      </c>
      <c r="N742" s="27">
        <v>0.1523</v>
      </c>
      <c r="O742" s="27">
        <v>0.9371</v>
      </c>
      <c r="P742" s="27">
        <v>0.9249</v>
      </c>
      <c r="Q742" s="68">
        <v>107.0</v>
      </c>
      <c r="R742" s="68">
        <v>7.0</v>
      </c>
      <c r="S742" s="27">
        <v>0.0122</v>
      </c>
      <c r="T742" s="27">
        <v>0.0184</v>
      </c>
      <c r="U742" s="197">
        <v>240318.0</v>
      </c>
      <c r="V742" s="197">
        <v>15995.0</v>
      </c>
      <c r="W742" s="68">
        <v>101.0</v>
      </c>
      <c r="X742" s="68">
        <v>6.0</v>
      </c>
    </row>
    <row r="743" ht="15.75" customHeight="1">
      <c r="A743" s="3" t="s">
        <v>67</v>
      </c>
      <c r="B743" s="10" t="str">
        <f t="array" ref="B743">_xlfn.XLOOKUP(D743,'Referanc '!$A:$A,'Referanc '!$B:$B)</f>
        <v>Desk Cable Tray</v>
      </c>
      <c r="C743" s="68" t="s">
        <v>314</v>
      </c>
      <c r="D743" s="68" t="s">
        <v>314</v>
      </c>
      <c r="E743" s="68" t="s">
        <v>1244</v>
      </c>
      <c r="G743" s="196">
        <v>4674.0</v>
      </c>
      <c r="H743" s="68">
        <v>253.0</v>
      </c>
      <c r="I743" s="27">
        <v>0.0766</v>
      </c>
      <c r="J743" s="27">
        <v>0.0977</v>
      </c>
      <c r="K743" s="196">
        <v>6083.0</v>
      </c>
      <c r="L743" s="68">
        <v>308.0</v>
      </c>
      <c r="M743" s="27">
        <v>0.0733</v>
      </c>
      <c r="N743" s="27">
        <v>0.0884</v>
      </c>
      <c r="O743" s="27">
        <v>0.9748</v>
      </c>
      <c r="P743" s="27">
        <v>0.9615</v>
      </c>
      <c r="Q743" s="68">
        <v>66.0</v>
      </c>
      <c r="R743" s="68">
        <v>3.0</v>
      </c>
      <c r="S743" s="27">
        <v>0.0141</v>
      </c>
      <c r="T743" s="27">
        <v>0.0119</v>
      </c>
      <c r="U743" s="197">
        <v>108846.0</v>
      </c>
      <c r="V743" s="197">
        <v>5298.0</v>
      </c>
      <c r="W743" s="68">
        <v>60.0</v>
      </c>
      <c r="X743" s="68">
        <v>3.0</v>
      </c>
    </row>
    <row r="744" ht="15.75" customHeight="1">
      <c r="A744" s="3" t="s">
        <v>67</v>
      </c>
      <c r="B744" s="10" t="str">
        <f t="array" ref="B744">_xlfn.XLOOKUP(D744,'Referanc '!$A:$A,'Referanc '!$B:$B)</f>
        <v>Standing Table  - SM3</v>
      </c>
      <c r="C744" s="68" t="s">
        <v>304</v>
      </c>
      <c r="D744" s="68" t="s">
        <v>304</v>
      </c>
      <c r="E744" s="68" t="s">
        <v>1161</v>
      </c>
      <c r="G744" s="196">
        <v>5547.0</v>
      </c>
      <c r="H744" s="68">
        <v>166.0</v>
      </c>
      <c r="I744" s="27">
        <v>0.0909</v>
      </c>
      <c r="J744" s="27">
        <v>0.0641</v>
      </c>
      <c r="K744" s="196">
        <v>7364.0</v>
      </c>
      <c r="L744" s="68">
        <v>217.0</v>
      </c>
      <c r="M744" s="27">
        <v>0.0887</v>
      </c>
      <c r="N744" s="27">
        <v>0.0622</v>
      </c>
      <c r="O744" s="27">
        <v>0.7669</v>
      </c>
      <c r="P744" s="27">
        <v>0.8116</v>
      </c>
      <c r="Q744" s="68">
        <v>21.0</v>
      </c>
      <c r="R744" s="68">
        <v>2.0</v>
      </c>
      <c r="S744" s="27">
        <v>0.0038</v>
      </c>
      <c r="T744" s="27">
        <v>0.012</v>
      </c>
      <c r="U744" s="197">
        <v>456383.9</v>
      </c>
      <c r="V744" s="197">
        <v>43500.0</v>
      </c>
      <c r="W744" s="68">
        <v>21.0</v>
      </c>
      <c r="X744" s="68">
        <v>2.0</v>
      </c>
    </row>
    <row r="745" ht="15.75" customHeight="1">
      <c r="A745" s="3" t="s">
        <v>67</v>
      </c>
      <c r="B745" s="10" t="str">
        <f t="array" ref="B745">_xlfn.XLOOKUP(D745,'Referanc '!$A:$A,'Referanc '!$B:$B)</f>
        <v>Standing Table  - SM3</v>
      </c>
      <c r="C745" s="68" t="s">
        <v>291</v>
      </c>
      <c r="D745" s="68" t="s">
        <v>291</v>
      </c>
      <c r="E745" s="68" t="s">
        <v>1310</v>
      </c>
      <c r="G745" s="196">
        <v>6337.0</v>
      </c>
      <c r="H745" s="68">
        <v>221.0</v>
      </c>
      <c r="I745" s="27">
        <v>0.1038</v>
      </c>
      <c r="J745" s="27">
        <v>0.0853</v>
      </c>
      <c r="K745" s="196">
        <v>8405.0</v>
      </c>
      <c r="L745" s="68">
        <v>277.0</v>
      </c>
      <c r="M745" s="27">
        <v>0.1012</v>
      </c>
      <c r="N745" s="27">
        <v>0.0795</v>
      </c>
      <c r="O745" s="27">
        <v>0.7486</v>
      </c>
      <c r="P745" s="27">
        <v>0.674</v>
      </c>
      <c r="Q745" s="68">
        <v>24.0</v>
      </c>
      <c r="R745" s="68">
        <v>11.0</v>
      </c>
      <c r="S745" s="27">
        <v>0.0038</v>
      </c>
      <c r="T745" s="27">
        <v>0.0498</v>
      </c>
      <c r="U745" s="197">
        <v>499870.5</v>
      </c>
      <c r="V745" s="197">
        <v>239213.39</v>
      </c>
      <c r="W745" s="68">
        <v>19.0</v>
      </c>
      <c r="X745" s="68">
        <v>6.0</v>
      </c>
    </row>
    <row r="746" ht="15.75" customHeight="1">
      <c r="A746" s="3" t="s">
        <v>67</v>
      </c>
      <c r="B746" s="10" t="str">
        <f t="array" ref="B746">_xlfn.XLOOKUP(D746,'Referanc '!$A:$A,'Referanc '!$B:$B)</f>
        <v>Extension &amp; Holder</v>
      </c>
      <c r="C746" s="68" t="s">
        <v>307</v>
      </c>
      <c r="D746" s="68" t="s">
        <v>307</v>
      </c>
      <c r="E746" s="68" t="s">
        <v>1270</v>
      </c>
      <c r="G746" s="196">
        <v>2461.0</v>
      </c>
      <c r="H746" s="68">
        <v>152.0</v>
      </c>
      <c r="I746" s="27">
        <v>0.0403</v>
      </c>
      <c r="J746" s="27">
        <v>0.0587</v>
      </c>
      <c r="K746" s="196">
        <v>3206.0</v>
      </c>
      <c r="L746" s="68">
        <v>189.0</v>
      </c>
      <c r="M746" s="27">
        <v>0.0386</v>
      </c>
      <c r="N746" s="27">
        <v>0.0542</v>
      </c>
      <c r="O746" s="27">
        <v>1.0</v>
      </c>
      <c r="P746" s="27">
        <v>1.0</v>
      </c>
      <c r="Q746" s="68">
        <v>19.0</v>
      </c>
      <c r="R746" s="68">
        <v>3.0</v>
      </c>
      <c r="S746" s="27">
        <v>0.0077</v>
      </c>
      <c r="T746" s="27">
        <v>0.0197</v>
      </c>
      <c r="U746" s="197">
        <v>19481.0</v>
      </c>
      <c r="V746" s="197">
        <v>2997.0</v>
      </c>
      <c r="W746" s="68">
        <v>18.0</v>
      </c>
      <c r="X746" s="68">
        <v>2.0</v>
      </c>
    </row>
    <row r="747" ht="15.75" customHeight="1">
      <c r="A747" s="3" t="s">
        <v>67</v>
      </c>
      <c r="B747" s="10" t="str">
        <f t="array" ref="B747">_xlfn.XLOOKUP(D747,'Referanc '!$A:$A,'Referanc '!$B:$B)</f>
        <v>Standing Table  - SM4</v>
      </c>
      <c r="C747" s="68" t="s">
        <v>427</v>
      </c>
      <c r="D747" s="68" t="s">
        <v>427</v>
      </c>
      <c r="E747" s="68" t="s">
        <v>738</v>
      </c>
      <c r="G747" s="196">
        <v>2065.0</v>
      </c>
      <c r="H747" s="68">
        <v>76.0</v>
      </c>
      <c r="I747" s="27">
        <v>0.0338</v>
      </c>
      <c r="J747" s="27">
        <v>0.0293</v>
      </c>
      <c r="K747" s="196">
        <v>3090.0</v>
      </c>
      <c r="L747" s="68">
        <v>103.0</v>
      </c>
      <c r="M747" s="27">
        <v>0.0372</v>
      </c>
      <c r="N747" s="27">
        <v>0.0295</v>
      </c>
      <c r="O747" s="27">
        <v>0.885</v>
      </c>
      <c r="P747" s="27">
        <v>0.8594</v>
      </c>
      <c r="Q747" s="68">
        <v>16.0</v>
      </c>
      <c r="R747" s="68">
        <v>0.0</v>
      </c>
      <c r="S747" s="27">
        <v>0.0077</v>
      </c>
      <c r="T747" s="27">
        <v>0.0</v>
      </c>
      <c r="U747" s="197">
        <v>271984.0</v>
      </c>
      <c r="V747" s="197">
        <v>0.0</v>
      </c>
      <c r="W747" s="68">
        <v>16.0</v>
      </c>
      <c r="X747" s="68">
        <v>0.0</v>
      </c>
    </row>
    <row r="748" ht="15.75" customHeight="1">
      <c r="A748" s="3" t="s">
        <v>67</v>
      </c>
      <c r="B748" s="10" t="str">
        <f t="array" ref="B748">_xlfn.XLOOKUP(D748,'Referanc '!$A:$A,'Referanc '!$B:$B)</f>
        <v>Standing Table  - SM3</v>
      </c>
      <c r="C748" s="68" t="s">
        <v>296</v>
      </c>
      <c r="D748" s="68" t="s">
        <v>296</v>
      </c>
      <c r="E748" s="68" t="s">
        <v>1165</v>
      </c>
      <c r="G748" s="196">
        <v>1345.0</v>
      </c>
      <c r="H748" s="68">
        <v>39.0</v>
      </c>
      <c r="I748" s="27">
        <v>0.022</v>
      </c>
      <c r="J748" s="27">
        <v>0.0151</v>
      </c>
      <c r="K748" s="196">
        <v>1748.0</v>
      </c>
      <c r="L748" s="68">
        <v>48.0</v>
      </c>
      <c r="M748" s="27">
        <v>0.0211</v>
      </c>
      <c r="N748" s="27">
        <v>0.0138</v>
      </c>
      <c r="O748" s="27">
        <v>0.8434</v>
      </c>
      <c r="P748" s="27">
        <v>0.84</v>
      </c>
      <c r="Q748" s="68">
        <v>10.0</v>
      </c>
      <c r="R748" s="68">
        <v>0.0</v>
      </c>
      <c r="S748" s="27">
        <v>0.0074</v>
      </c>
      <c r="T748" s="27">
        <v>0.0</v>
      </c>
      <c r="U748" s="197">
        <v>247500.0</v>
      </c>
      <c r="V748" s="197">
        <v>0.0</v>
      </c>
      <c r="W748" s="68">
        <v>10.0</v>
      </c>
      <c r="X748" s="68">
        <v>0.0</v>
      </c>
    </row>
    <row r="749" ht="15.75" customHeight="1">
      <c r="A749" s="3" t="s">
        <v>67</v>
      </c>
      <c r="B749" s="10" t="str">
        <f t="array" ref="B749">_xlfn.XLOOKUP(D749,'Referanc '!$A:$A,'Referanc '!$B:$B)</f>
        <v>Standing Table  - SM3</v>
      </c>
      <c r="C749" s="68" t="s">
        <v>301</v>
      </c>
      <c r="D749" s="68" t="s">
        <v>301</v>
      </c>
      <c r="E749" s="68" t="s">
        <v>1313</v>
      </c>
      <c r="G749" s="196">
        <v>1481.0</v>
      </c>
      <c r="H749" s="68">
        <v>55.0</v>
      </c>
      <c r="I749" s="27">
        <v>0.0243</v>
      </c>
      <c r="J749" s="27">
        <v>0.0212</v>
      </c>
      <c r="K749" s="196">
        <v>2022.0</v>
      </c>
      <c r="L749" s="68">
        <v>65.0</v>
      </c>
      <c r="M749" s="27">
        <v>0.0244</v>
      </c>
      <c r="N749" s="27">
        <v>0.0186</v>
      </c>
      <c r="O749" s="27">
        <v>0.8675</v>
      </c>
      <c r="P749" s="27">
        <v>0.7442</v>
      </c>
      <c r="Q749" s="68">
        <v>8.0</v>
      </c>
      <c r="R749" s="68">
        <v>0.0</v>
      </c>
      <c r="S749" s="27">
        <v>0.0054</v>
      </c>
      <c r="T749" s="27">
        <v>0.0</v>
      </c>
      <c r="U749" s="197">
        <v>198000.0</v>
      </c>
      <c r="V749" s="197">
        <v>0.0</v>
      </c>
      <c r="W749" s="68">
        <v>8.0</v>
      </c>
      <c r="X749" s="68">
        <v>0.0</v>
      </c>
    </row>
    <row r="750" ht="15.75" customHeight="1">
      <c r="A750" s="3" t="s">
        <v>67</v>
      </c>
      <c r="B750" s="10" t="str">
        <f t="array" ref="B750">_xlfn.XLOOKUP(D750,'Referanc '!$A:$A,'Referanc '!$B:$B)</f>
        <v>Standing Table  - SM4</v>
      </c>
      <c r="C750" s="68" t="s">
        <v>430</v>
      </c>
      <c r="D750" s="68" t="s">
        <v>430</v>
      </c>
      <c r="E750" s="68" t="s">
        <v>739</v>
      </c>
      <c r="G750" s="196">
        <v>1001.0</v>
      </c>
      <c r="H750" s="68">
        <v>39.0</v>
      </c>
      <c r="I750" s="27">
        <v>0.0164</v>
      </c>
      <c r="J750" s="27">
        <v>0.0151</v>
      </c>
      <c r="K750" s="196">
        <v>1555.0</v>
      </c>
      <c r="L750" s="68">
        <v>84.0</v>
      </c>
      <c r="M750" s="27">
        <v>0.0187</v>
      </c>
      <c r="N750" s="27">
        <v>0.0241</v>
      </c>
      <c r="O750" s="27">
        <v>0.9604</v>
      </c>
      <c r="P750" s="27">
        <v>0.9403</v>
      </c>
      <c r="Q750" s="68">
        <v>8.0</v>
      </c>
      <c r="R750" s="68">
        <v>0.0</v>
      </c>
      <c r="S750" s="27">
        <v>0.008</v>
      </c>
      <c r="T750" s="27">
        <v>0.0</v>
      </c>
      <c r="U750" s="197">
        <v>135992.0</v>
      </c>
      <c r="V750" s="197">
        <v>0.0</v>
      </c>
      <c r="W750" s="68">
        <v>8.0</v>
      </c>
      <c r="X750" s="68">
        <v>0.0</v>
      </c>
    </row>
    <row r="751" ht="15.75" customHeight="1">
      <c r="A751" s="3" t="s">
        <v>67</v>
      </c>
      <c r="B751" s="10" t="str">
        <f t="array" ref="B751">_xlfn.XLOOKUP(D751,'Referanc '!$A:$A,'Referanc '!$B:$B)</f>
        <v>Standing Table  - E2</v>
      </c>
      <c r="C751" s="68" t="s">
        <v>313</v>
      </c>
      <c r="D751" s="68" t="s">
        <v>313</v>
      </c>
      <c r="E751" s="68" t="s">
        <v>1125</v>
      </c>
      <c r="G751" s="68">
        <v>697.0</v>
      </c>
      <c r="H751" s="68">
        <v>23.0</v>
      </c>
      <c r="I751" s="27">
        <v>0.0114</v>
      </c>
      <c r="J751" s="27">
        <v>0.0089</v>
      </c>
      <c r="K751" s="68">
        <v>911.0</v>
      </c>
      <c r="L751" s="68">
        <v>30.0</v>
      </c>
      <c r="M751" s="27">
        <v>0.011</v>
      </c>
      <c r="N751" s="27">
        <v>0.0086</v>
      </c>
      <c r="O751" s="27">
        <v>0.8257</v>
      </c>
      <c r="P751" s="27">
        <v>0.5625</v>
      </c>
      <c r="Q751" s="68">
        <v>6.0</v>
      </c>
      <c r="R751" s="68">
        <v>1.0</v>
      </c>
      <c r="S751" s="27">
        <v>0.0086</v>
      </c>
      <c r="T751" s="27">
        <v>0.0435</v>
      </c>
      <c r="U751" s="197">
        <v>198385.4</v>
      </c>
      <c r="V751" s="197">
        <v>33055.08</v>
      </c>
      <c r="W751" s="68">
        <v>6.0</v>
      </c>
      <c r="X751" s="68">
        <v>1.0</v>
      </c>
    </row>
    <row r="752" ht="15.75" customHeight="1">
      <c r="A752" s="3" t="s">
        <v>67</v>
      </c>
      <c r="B752" s="10" t="str">
        <f t="array" ref="B752">_xlfn.XLOOKUP(D752,'Referanc '!$A:$A,'Referanc '!$B:$B)</f>
        <v>Standing Table  - E2</v>
      </c>
      <c r="C752" s="68" t="s">
        <v>309</v>
      </c>
      <c r="D752" s="68" t="s">
        <v>309</v>
      </c>
      <c r="E752" s="68" t="s">
        <v>1317</v>
      </c>
      <c r="G752" s="196">
        <v>1587.0</v>
      </c>
      <c r="H752" s="68">
        <v>59.0</v>
      </c>
      <c r="I752" s="27">
        <v>0.026</v>
      </c>
      <c r="J752" s="27">
        <v>0.0228</v>
      </c>
      <c r="K752" s="196">
        <v>2106.0</v>
      </c>
      <c r="L752" s="68">
        <v>84.0</v>
      </c>
      <c r="M752" s="27">
        <v>0.0254</v>
      </c>
      <c r="N752" s="27">
        <v>0.0241</v>
      </c>
      <c r="O752" s="27">
        <v>0.7354</v>
      </c>
      <c r="P752" s="27">
        <v>0.7541</v>
      </c>
      <c r="Q752" s="68">
        <v>6.0</v>
      </c>
      <c r="R752" s="68">
        <v>0.0</v>
      </c>
      <c r="S752" s="27">
        <v>0.0038</v>
      </c>
      <c r="T752" s="27">
        <v>0.0</v>
      </c>
      <c r="U752" s="197">
        <v>210630.48</v>
      </c>
      <c r="V752" s="197">
        <v>0.0</v>
      </c>
      <c r="W752" s="68">
        <v>6.0</v>
      </c>
      <c r="X752" s="68">
        <v>0.0</v>
      </c>
    </row>
    <row r="753" ht="15.75" customHeight="1">
      <c r="A753" s="3" t="s">
        <v>67</v>
      </c>
      <c r="B753" s="10" t="str">
        <f t="array" ref="B753">_xlfn.XLOOKUP(D753,'Referanc '!$A:$A,'Referanc '!$B:$B)</f>
        <v>Standing Table  - SM3</v>
      </c>
      <c r="C753" s="68" t="s">
        <v>358</v>
      </c>
      <c r="D753" s="68" t="s">
        <v>358</v>
      </c>
      <c r="E753" s="68" t="s">
        <v>1165</v>
      </c>
      <c r="G753" s="68">
        <v>650.0</v>
      </c>
      <c r="H753" s="68">
        <v>23.0</v>
      </c>
      <c r="I753" s="27">
        <v>0.0106</v>
      </c>
      <c r="J753" s="27">
        <v>0.0089</v>
      </c>
      <c r="K753" s="68">
        <v>912.0</v>
      </c>
      <c r="L753" s="68">
        <v>32.0</v>
      </c>
      <c r="M753" s="27">
        <v>0.011</v>
      </c>
      <c r="N753" s="27">
        <v>0.0092</v>
      </c>
      <c r="O753" s="27">
        <v>0.8971</v>
      </c>
      <c r="P753" s="27">
        <v>0.9565</v>
      </c>
      <c r="Q753" s="68">
        <v>6.0</v>
      </c>
      <c r="R753" s="68">
        <v>0.0</v>
      </c>
      <c r="S753" s="27">
        <v>0.0092</v>
      </c>
      <c r="T753" s="27">
        <v>0.0</v>
      </c>
      <c r="U753" s="197">
        <v>148500.0</v>
      </c>
      <c r="V753" s="197">
        <v>0.0</v>
      </c>
      <c r="W753" s="68">
        <v>6.0</v>
      </c>
      <c r="X753" s="68">
        <v>0.0</v>
      </c>
    </row>
    <row r="754" ht="15.75" customHeight="1">
      <c r="A754" s="3" t="s">
        <v>67</v>
      </c>
      <c r="B754" s="10" t="str">
        <f t="array" ref="B754">_xlfn.XLOOKUP(D754,'Referanc '!$A:$A,'Referanc '!$B:$B)</f>
        <v>Standing Table  - E4</v>
      </c>
      <c r="C754" s="68" t="s">
        <v>396</v>
      </c>
      <c r="D754" s="68" t="s">
        <v>396</v>
      </c>
      <c r="E754" s="68" t="s">
        <v>1321</v>
      </c>
      <c r="G754" s="196">
        <v>1424.0</v>
      </c>
      <c r="H754" s="68">
        <v>56.0</v>
      </c>
      <c r="I754" s="27">
        <v>0.0233</v>
      </c>
      <c r="J754" s="27">
        <v>0.0216</v>
      </c>
      <c r="K754" s="196">
        <v>1971.0</v>
      </c>
      <c r="L754" s="68">
        <v>84.0</v>
      </c>
      <c r="M754" s="27">
        <v>0.0237</v>
      </c>
      <c r="N754" s="27">
        <v>0.0241</v>
      </c>
      <c r="O754" s="27">
        <v>0.7279</v>
      </c>
      <c r="P754" s="27">
        <v>0.8485</v>
      </c>
      <c r="Q754" s="68">
        <v>5.0</v>
      </c>
      <c r="R754" s="68">
        <v>0.0</v>
      </c>
      <c r="S754" s="27">
        <v>0.0035</v>
      </c>
      <c r="T754" s="27">
        <v>0.0</v>
      </c>
      <c r="U754" s="197">
        <v>141067.28</v>
      </c>
      <c r="V754" s="197">
        <v>0.0</v>
      </c>
      <c r="W754" s="68">
        <v>5.0</v>
      </c>
      <c r="X754" s="68">
        <v>0.0</v>
      </c>
    </row>
    <row r="755" ht="15.75" customHeight="1">
      <c r="A755" s="3" t="s">
        <v>67</v>
      </c>
      <c r="B755" s="10" t="str">
        <f t="array" ref="B755">_xlfn.XLOOKUP(D755,'Referanc '!$A:$A,'Referanc '!$B:$B)</f>
        <v>Monitor Arm Stand</v>
      </c>
      <c r="C755" s="68" t="s">
        <v>353</v>
      </c>
      <c r="D755" s="68" t="s">
        <v>353</v>
      </c>
      <c r="E755" s="68" t="s">
        <v>691</v>
      </c>
      <c r="G755" s="68">
        <v>143.0</v>
      </c>
      <c r="H755" s="68">
        <v>6.0</v>
      </c>
      <c r="I755" s="27">
        <v>0.0023</v>
      </c>
      <c r="J755" s="27">
        <v>0.0023</v>
      </c>
      <c r="K755" s="68">
        <v>253.0</v>
      </c>
      <c r="L755" s="68">
        <v>10.0</v>
      </c>
      <c r="M755" s="27">
        <v>0.003</v>
      </c>
      <c r="N755" s="27">
        <v>0.0029</v>
      </c>
      <c r="O755" s="27">
        <v>0.927</v>
      </c>
      <c r="P755" s="27">
        <v>1.0</v>
      </c>
      <c r="Q755" s="68">
        <v>5.0</v>
      </c>
      <c r="R755" s="68">
        <v>0.0</v>
      </c>
      <c r="S755" s="27">
        <v>0.035</v>
      </c>
      <c r="T755" s="27">
        <v>0.0</v>
      </c>
      <c r="U755" s="197">
        <v>14995.0</v>
      </c>
      <c r="V755" s="197">
        <v>0.0</v>
      </c>
      <c r="W755" s="68">
        <v>5.0</v>
      </c>
      <c r="X755" s="68">
        <v>0.0</v>
      </c>
    </row>
    <row r="756" ht="15.75" customHeight="1">
      <c r="A756" s="3" t="s">
        <v>67</v>
      </c>
      <c r="B756" s="10" t="str">
        <f t="array" ref="B756">_xlfn.XLOOKUP(D756,'Referanc '!$A:$A,'Referanc '!$B:$B)</f>
        <v>Monitor Arm Stand</v>
      </c>
      <c r="C756" s="68" t="s">
        <v>355</v>
      </c>
      <c r="D756" s="68" t="s">
        <v>355</v>
      </c>
      <c r="E756" s="68" t="s">
        <v>1280</v>
      </c>
      <c r="G756" s="68">
        <v>568.0</v>
      </c>
      <c r="H756" s="68">
        <v>25.0</v>
      </c>
      <c r="I756" s="27">
        <v>0.0093</v>
      </c>
      <c r="J756" s="27">
        <v>0.0097</v>
      </c>
      <c r="K756" s="68">
        <v>800.0</v>
      </c>
      <c r="L756" s="68">
        <v>29.0</v>
      </c>
      <c r="M756" s="27">
        <v>0.0096</v>
      </c>
      <c r="N756" s="27">
        <v>0.0083</v>
      </c>
      <c r="O756" s="27">
        <v>0.9574</v>
      </c>
      <c r="P756" s="27">
        <v>1.0</v>
      </c>
      <c r="Q756" s="68">
        <v>5.0</v>
      </c>
      <c r="R756" s="68">
        <v>0.0</v>
      </c>
      <c r="S756" s="27">
        <v>0.0088</v>
      </c>
      <c r="T756" s="27">
        <v>0.0</v>
      </c>
      <c r="U756" s="197">
        <v>23299.0</v>
      </c>
      <c r="V756" s="197">
        <v>0.0</v>
      </c>
      <c r="W756" s="68">
        <v>5.0</v>
      </c>
      <c r="X756" s="68">
        <v>0.0</v>
      </c>
    </row>
    <row r="757" ht="15.75" customHeight="1">
      <c r="A757" s="3" t="s">
        <v>67</v>
      </c>
      <c r="B757" s="10" t="str">
        <f t="array" ref="B757">_xlfn.XLOOKUP(D757,'Referanc '!$A:$A,'Referanc '!$B:$B)</f>
        <v>Standing Table  - M8</v>
      </c>
      <c r="C757" s="68" t="s">
        <v>416</v>
      </c>
      <c r="D757" s="68" t="s">
        <v>416</v>
      </c>
      <c r="E757" s="68" t="s">
        <v>1189</v>
      </c>
      <c r="G757" s="68">
        <v>150.0</v>
      </c>
      <c r="H757" s="68">
        <v>5.0</v>
      </c>
      <c r="I757" s="27">
        <v>0.0025</v>
      </c>
      <c r="J757" s="27">
        <v>0.0019</v>
      </c>
      <c r="K757" s="68">
        <v>211.0</v>
      </c>
      <c r="L757" s="68">
        <v>6.0</v>
      </c>
      <c r="M757" s="27">
        <v>0.0025</v>
      </c>
      <c r="N757" s="27">
        <v>0.0017</v>
      </c>
      <c r="O757" s="27">
        <v>0.8794</v>
      </c>
      <c r="P757" s="27">
        <v>1.0</v>
      </c>
      <c r="Q757" s="68">
        <v>4.0</v>
      </c>
      <c r="R757" s="68">
        <v>0.0</v>
      </c>
      <c r="S757" s="27">
        <v>0.0267</v>
      </c>
      <c r="T757" s="27">
        <v>0.0</v>
      </c>
      <c r="U757" s="197">
        <v>75379.32</v>
      </c>
      <c r="V757" s="197">
        <v>0.0</v>
      </c>
      <c r="W757" s="68">
        <v>4.0</v>
      </c>
      <c r="X757" s="68">
        <v>0.0</v>
      </c>
    </row>
    <row r="758" ht="15.75" customHeight="1">
      <c r="A758" s="3" t="s">
        <v>67</v>
      </c>
      <c r="B758" s="10" t="str">
        <f t="array" ref="B758">_xlfn.XLOOKUP(D758,'Referanc '!$A:$A,'Referanc '!$B:$B)</f>
        <v>Footrests</v>
      </c>
      <c r="C758" s="68" t="s">
        <v>337</v>
      </c>
      <c r="D758" s="68" t="s">
        <v>337</v>
      </c>
      <c r="E758" s="68" t="s">
        <v>545</v>
      </c>
      <c r="G758" s="68">
        <v>390.0</v>
      </c>
      <c r="H758" s="68">
        <v>32.0</v>
      </c>
      <c r="I758" s="27">
        <v>0.0064</v>
      </c>
      <c r="J758" s="27">
        <v>0.0124</v>
      </c>
      <c r="K758" s="68">
        <v>478.0</v>
      </c>
      <c r="L758" s="68">
        <v>35.0</v>
      </c>
      <c r="M758" s="27">
        <v>0.0058</v>
      </c>
      <c r="N758" s="27">
        <v>0.01</v>
      </c>
      <c r="O758" s="27">
        <v>1.0</v>
      </c>
      <c r="P758" s="27">
        <v>1.0</v>
      </c>
      <c r="Q758" s="68">
        <v>4.0</v>
      </c>
      <c r="R758" s="68">
        <v>1.0</v>
      </c>
      <c r="S758" s="27">
        <v>0.0103</v>
      </c>
      <c r="T758" s="27">
        <v>0.0313</v>
      </c>
      <c r="U758" s="197">
        <v>9000.0</v>
      </c>
      <c r="V758" s="197">
        <v>2250.0</v>
      </c>
      <c r="W758" s="68">
        <v>4.0</v>
      </c>
      <c r="X758" s="68">
        <v>1.0</v>
      </c>
    </row>
    <row r="759" ht="15.75" customHeight="1">
      <c r="A759" s="3" t="s">
        <v>67</v>
      </c>
      <c r="B759" s="10" t="str">
        <f t="array" ref="B759">_xlfn.XLOOKUP(D759,'Referanc '!$A:$A,'Referanc '!$B:$B)</f>
        <v>Standing Table  - E3</v>
      </c>
      <c r="C759" s="68" t="s">
        <v>400</v>
      </c>
      <c r="D759" s="68" t="s">
        <v>400</v>
      </c>
      <c r="E759" s="68" t="s">
        <v>1130</v>
      </c>
      <c r="G759" s="68">
        <v>291.0</v>
      </c>
      <c r="H759" s="68">
        <v>7.0</v>
      </c>
      <c r="I759" s="27">
        <v>0.0048</v>
      </c>
      <c r="J759" s="27">
        <v>0.0027</v>
      </c>
      <c r="K759" s="68">
        <v>438.0</v>
      </c>
      <c r="L759" s="68">
        <v>9.0</v>
      </c>
      <c r="M759" s="27">
        <v>0.0053</v>
      </c>
      <c r="N759" s="27">
        <v>0.0026</v>
      </c>
      <c r="O759" s="27">
        <v>0.9353</v>
      </c>
      <c r="P759" s="27">
        <v>1.0</v>
      </c>
      <c r="Q759" s="68">
        <v>4.0</v>
      </c>
      <c r="R759" s="68">
        <v>1.0</v>
      </c>
      <c r="S759" s="27">
        <v>0.0137</v>
      </c>
      <c r="T759" s="27">
        <v>0.1429</v>
      </c>
      <c r="U759" s="197">
        <v>163314.92</v>
      </c>
      <c r="V759" s="197">
        <v>40860.0</v>
      </c>
      <c r="W759" s="68">
        <v>4.0</v>
      </c>
      <c r="X759" s="68">
        <v>1.0</v>
      </c>
    </row>
    <row r="760" ht="15.75" customHeight="1">
      <c r="A760" s="3" t="s">
        <v>67</v>
      </c>
      <c r="B760" s="10" t="str">
        <f t="array" ref="B760">_xlfn.XLOOKUP(D760,'Referanc '!$A:$A,'Referanc '!$B:$B)</f>
        <v>Standing Table  - E4</v>
      </c>
      <c r="C760" s="68" t="s">
        <v>398</v>
      </c>
      <c r="D760" s="68" t="s">
        <v>398</v>
      </c>
      <c r="E760" s="68" t="s">
        <v>1279</v>
      </c>
      <c r="G760" s="68">
        <v>801.0</v>
      </c>
      <c r="H760" s="68">
        <v>34.0</v>
      </c>
      <c r="I760" s="27">
        <v>0.0131</v>
      </c>
      <c r="J760" s="27">
        <v>0.0131</v>
      </c>
      <c r="K760" s="68">
        <v>989.0</v>
      </c>
      <c r="L760" s="68">
        <v>42.0</v>
      </c>
      <c r="M760" s="27">
        <v>0.0119</v>
      </c>
      <c r="N760" s="27">
        <v>0.012</v>
      </c>
      <c r="O760" s="27">
        <v>0.8584</v>
      </c>
      <c r="P760" s="27">
        <v>0.8077</v>
      </c>
      <c r="Q760" s="68">
        <v>4.0</v>
      </c>
      <c r="R760" s="68">
        <v>0.0</v>
      </c>
      <c r="S760" s="27">
        <v>0.005</v>
      </c>
      <c r="T760" s="27">
        <v>0.0</v>
      </c>
      <c r="U760" s="197">
        <v>117600.0</v>
      </c>
      <c r="V760" s="197">
        <v>0.0</v>
      </c>
      <c r="W760" s="68">
        <v>4.0</v>
      </c>
      <c r="X760" s="68">
        <v>0.0</v>
      </c>
    </row>
    <row r="761" ht="15.75" customHeight="1">
      <c r="A761" s="3" t="s">
        <v>67</v>
      </c>
      <c r="B761" s="10" t="str">
        <f t="array" ref="B761">_xlfn.XLOOKUP(D761,'Referanc '!$A:$A,'Referanc '!$B:$B)</f>
        <v>Standing Table  - E4</v>
      </c>
      <c r="C761" s="68" t="s">
        <v>407</v>
      </c>
      <c r="D761" s="68" t="s">
        <v>407</v>
      </c>
      <c r="E761" s="68" t="s">
        <v>1306</v>
      </c>
      <c r="G761" s="68">
        <v>237.0</v>
      </c>
      <c r="H761" s="68">
        <v>9.0</v>
      </c>
      <c r="I761" s="27">
        <v>0.0039</v>
      </c>
      <c r="J761" s="27">
        <v>0.0035</v>
      </c>
      <c r="K761" s="68">
        <v>392.0</v>
      </c>
      <c r="L761" s="68">
        <v>18.0</v>
      </c>
      <c r="M761" s="27">
        <v>0.0047</v>
      </c>
      <c r="N761" s="27">
        <v>0.0052</v>
      </c>
      <c r="O761" s="27">
        <v>0.9501</v>
      </c>
      <c r="P761" s="27">
        <v>1.0</v>
      </c>
      <c r="Q761" s="68">
        <v>4.0</v>
      </c>
      <c r="R761" s="68">
        <v>1.0</v>
      </c>
      <c r="S761" s="27">
        <v>0.0169</v>
      </c>
      <c r="T761" s="27">
        <v>0.1111</v>
      </c>
      <c r="U761" s="197">
        <v>106819.04</v>
      </c>
      <c r="V761" s="197">
        <v>26704.76</v>
      </c>
      <c r="W761" s="68">
        <v>4.0</v>
      </c>
      <c r="X761" s="68">
        <v>1.0</v>
      </c>
    </row>
    <row r="762" ht="15.75" customHeight="1">
      <c r="A762" s="3" t="s">
        <v>67</v>
      </c>
      <c r="B762" s="10" t="str">
        <f t="array" ref="B762">_xlfn.XLOOKUP(D762,'Referanc '!$A:$A,'Referanc '!$B:$B)</f>
        <v>Standing Desk Converter</v>
      </c>
      <c r="C762" s="68" t="s">
        <v>363</v>
      </c>
      <c r="D762" s="68" t="s">
        <v>363</v>
      </c>
      <c r="E762" s="68" t="s">
        <v>571</v>
      </c>
      <c r="G762" s="68">
        <v>179.0</v>
      </c>
      <c r="H762" s="68">
        <v>9.0</v>
      </c>
      <c r="I762" s="27">
        <v>0.0029</v>
      </c>
      <c r="J762" s="27">
        <v>0.0035</v>
      </c>
      <c r="K762" s="68">
        <v>248.0</v>
      </c>
      <c r="L762" s="68">
        <v>10.0</v>
      </c>
      <c r="M762" s="27">
        <v>0.003</v>
      </c>
      <c r="N762" s="27">
        <v>0.0029</v>
      </c>
      <c r="O762" s="27">
        <v>0.9037</v>
      </c>
      <c r="P762" s="27">
        <v>1.0</v>
      </c>
      <c r="Q762" s="68">
        <v>3.0</v>
      </c>
      <c r="R762" s="68">
        <v>2.0</v>
      </c>
      <c r="S762" s="27">
        <v>0.0168</v>
      </c>
      <c r="T762" s="27">
        <v>0.2222</v>
      </c>
      <c r="U762" s="197">
        <v>26700.0</v>
      </c>
      <c r="V762" s="197">
        <v>17800.0</v>
      </c>
      <c r="W762" s="68">
        <v>3.0</v>
      </c>
      <c r="X762" s="68">
        <v>2.0</v>
      </c>
    </row>
    <row r="763" ht="15.75" customHeight="1">
      <c r="A763" s="3" t="s">
        <v>67</v>
      </c>
      <c r="B763" s="10" t="str">
        <f t="array" ref="B763">_xlfn.XLOOKUP(D763,'Referanc '!$A:$A,'Referanc '!$B:$B)</f>
        <v>Standing Table - All Frames</v>
      </c>
      <c r="C763" s="68" t="s">
        <v>298</v>
      </c>
      <c r="D763" s="68" t="s">
        <v>298</v>
      </c>
      <c r="E763" s="68" t="s">
        <v>1168</v>
      </c>
      <c r="G763" s="196">
        <v>1902.0</v>
      </c>
      <c r="H763" s="68">
        <v>96.0</v>
      </c>
      <c r="I763" s="27">
        <v>0.0312</v>
      </c>
      <c r="J763" s="27">
        <v>0.0371</v>
      </c>
      <c r="K763" s="196">
        <v>2418.0</v>
      </c>
      <c r="L763" s="68">
        <v>118.0</v>
      </c>
      <c r="M763" s="27">
        <v>0.0291</v>
      </c>
      <c r="N763" s="27">
        <v>0.0338</v>
      </c>
      <c r="O763" s="27">
        <v>0.8134</v>
      </c>
      <c r="P763" s="27">
        <v>0.8182</v>
      </c>
      <c r="Q763" s="68">
        <v>3.0</v>
      </c>
      <c r="R763" s="68">
        <v>0.0</v>
      </c>
      <c r="S763" s="27">
        <v>0.0016</v>
      </c>
      <c r="T763" s="27">
        <v>0.0</v>
      </c>
      <c r="U763" s="197">
        <v>54563.39</v>
      </c>
      <c r="V763" s="197">
        <v>0.0</v>
      </c>
      <c r="W763" s="68">
        <v>3.0</v>
      </c>
      <c r="X763" s="68">
        <v>0.0</v>
      </c>
    </row>
    <row r="764" ht="15.75" customHeight="1">
      <c r="A764" s="3" t="s">
        <v>67</v>
      </c>
      <c r="B764" s="10" t="str">
        <f t="array" ref="B764">_xlfn.XLOOKUP(D764,'Referanc '!$A:$A,'Referanc '!$B:$B)</f>
        <v>Standing Table  - E3</v>
      </c>
      <c r="C764" s="68" t="s">
        <v>364</v>
      </c>
      <c r="D764" s="68" t="s">
        <v>364</v>
      </c>
      <c r="E764" s="68" t="s">
        <v>1130</v>
      </c>
      <c r="G764" s="68">
        <v>448.0</v>
      </c>
      <c r="H764" s="68">
        <v>20.0</v>
      </c>
      <c r="I764" s="27">
        <v>0.0073</v>
      </c>
      <c r="J764" s="27">
        <v>0.0077</v>
      </c>
      <c r="K764" s="68">
        <v>614.0</v>
      </c>
      <c r="L764" s="68">
        <v>27.0</v>
      </c>
      <c r="M764" s="27">
        <v>0.0074</v>
      </c>
      <c r="N764" s="27">
        <v>0.0077</v>
      </c>
      <c r="O764" s="27">
        <v>0.895</v>
      </c>
      <c r="P764" s="27">
        <v>0.8333</v>
      </c>
      <c r="Q764" s="68">
        <v>3.0</v>
      </c>
      <c r="R764" s="68">
        <v>1.0</v>
      </c>
      <c r="S764" s="27">
        <v>0.0067</v>
      </c>
      <c r="T764" s="27">
        <v>0.05</v>
      </c>
      <c r="U764" s="197">
        <v>122454.92</v>
      </c>
      <c r="V764" s="197">
        <v>40860.0</v>
      </c>
      <c r="W764" s="68">
        <v>3.0</v>
      </c>
      <c r="X764" s="68">
        <v>1.0</v>
      </c>
    </row>
    <row r="765" ht="15.75" customHeight="1">
      <c r="A765" s="3" t="s">
        <v>67</v>
      </c>
      <c r="B765" s="10" t="str">
        <f t="array" ref="B765">_xlfn.XLOOKUP(D765,'Referanc '!$A:$A,'Referanc '!$B:$B)</f>
        <v>Standing Table  - E3</v>
      </c>
      <c r="C765" s="68" t="s">
        <v>365</v>
      </c>
      <c r="D765" s="68" t="s">
        <v>365</v>
      </c>
      <c r="E765" s="68" t="s">
        <v>1322</v>
      </c>
      <c r="G765" s="196">
        <v>1463.0</v>
      </c>
      <c r="H765" s="68">
        <v>78.0</v>
      </c>
      <c r="I765" s="27">
        <v>0.024</v>
      </c>
      <c r="J765" s="27">
        <v>0.0301</v>
      </c>
      <c r="K765" s="196">
        <v>2000.0</v>
      </c>
      <c r="L765" s="68">
        <v>109.0</v>
      </c>
      <c r="M765" s="27">
        <v>0.0241</v>
      </c>
      <c r="N765" s="27">
        <v>0.0313</v>
      </c>
      <c r="O765" s="27">
        <v>0.927</v>
      </c>
      <c r="P765" s="27">
        <v>0.6833</v>
      </c>
      <c r="Q765" s="68">
        <v>3.0</v>
      </c>
      <c r="R765" s="68">
        <v>0.0</v>
      </c>
      <c r="S765" s="27">
        <v>0.0021</v>
      </c>
      <c r="T765" s="27">
        <v>0.0</v>
      </c>
      <c r="U765" s="197">
        <v>122454.92</v>
      </c>
      <c r="V765" s="197">
        <v>0.0</v>
      </c>
      <c r="W765" s="68">
        <v>3.0</v>
      </c>
      <c r="X765" s="68">
        <v>0.0</v>
      </c>
    </row>
    <row r="766" ht="15.75" customHeight="1">
      <c r="A766" s="3" t="s">
        <v>67</v>
      </c>
      <c r="B766" s="10" t="str">
        <f t="array" ref="B766">_xlfn.XLOOKUP(D766,'Referanc '!$A:$A,'Referanc '!$B:$B)</f>
        <v>Standing Table - All Frames</v>
      </c>
      <c r="C766" s="68" t="s">
        <v>368</v>
      </c>
      <c r="D766" s="68" t="s">
        <v>368</v>
      </c>
      <c r="E766" s="68" t="s">
        <v>1184</v>
      </c>
      <c r="G766" s="68">
        <v>420.0</v>
      </c>
      <c r="H766" s="68">
        <v>41.0</v>
      </c>
      <c r="I766" s="27">
        <v>0.0069</v>
      </c>
      <c r="J766" s="27">
        <v>0.0158</v>
      </c>
      <c r="K766" s="68">
        <v>583.0</v>
      </c>
      <c r="L766" s="68">
        <v>60.0</v>
      </c>
      <c r="M766" s="27">
        <v>0.007</v>
      </c>
      <c r="N766" s="27">
        <v>0.0172</v>
      </c>
      <c r="O766" s="27">
        <v>0.8752</v>
      </c>
      <c r="P766" s="27">
        <v>0.7568</v>
      </c>
      <c r="Q766" s="68">
        <v>3.0</v>
      </c>
      <c r="R766" s="68">
        <v>0.0</v>
      </c>
      <c r="S766" s="27">
        <v>0.0071</v>
      </c>
      <c r="T766" s="27">
        <v>0.0</v>
      </c>
      <c r="U766" s="197">
        <v>54490.17</v>
      </c>
      <c r="V766" s="197">
        <v>0.0</v>
      </c>
      <c r="W766" s="68">
        <v>3.0</v>
      </c>
      <c r="X766" s="68">
        <v>0.0</v>
      </c>
    </row>
    <row r="767" ht="15.75" customHeight="1">
      <c r="A767" s="3" t="s">
        <v>67</v>
      </c>
      <c r="B767" s="10" t="str">
        <f t="array" ref="B767">_xlfn.XLOOKUP(D767,'Referanc '!$A:$A,'Referanc '!$B:$B)</f>
        <v>Standing Table  - SM3</v>
      </c>
      <c r="C767" s="68" t="s">
        <v>370</v>
      </c>
      <c r="D767" s="68" t="s">
        <v>370</v>
      </c>
      <c r="E767" s="68" t="s">
        <v>1161</v>
      </c>
      <c r="G767" s="68">
        <v>323.0</v>
      </c>
      <c r="H767" s="68">
        <v>7.0</v>
      </c>
      <c r="I767" s="27">
        <v>0.0053</v>
      </c>
      <c r="J767" s="27">
        <v>0.0027</v>
      </c>
      <c r="K767" s="68">
        <v>496.0</v>
      </c>
      <c r="L767" s="68">
        <v>10.0</v>
      </c>
      <c r="M767" s="27">
        <v>0.006</v>
      </c>
      <c r="N767" s="27">
        <v>0.0029</v>
      </c>
      <c r="O767" s="27">
        <v>0.9326</v>
      </c>
      <c r="P767" s="27">
        <v>0.8</v>
      </c>
      <c r="Q767" s="68">
        <v>3.0</v>
      </c>
      <c r="R767" s="68">
        <v>0.0</v>
      </c>
      <c r="S767" s="27">
        <v>0.0093</v>
      </c>
      <c r="T767" s="27">
        <v>0.0</v>
      </c>
      <c r="U767" s="197">
        <v>63523.78</v>
      </c>
      <c r="V767" s="197">
        <v>0.0</v>
      </c>
      <c r="W767" s="68">
        <v>3.0</v>
      </c>
      <c r="X767" s="68">
        <v>0.0</v>
      </c>
    </row>
    <row r="768" ht="15.75" customHeight="1">
      <c r="A768" s="3" t="s">
        <v>67</v>
      </c>
      <c r="B768" s="10" t="str">
        <f t="array" ref="B768">_xlfn.XLOOKUP(D768,'Referanc '!$A:$A,'Referanc '!$B:$B)</f>
        <v>Standing Table  - E4</v>
      </c>
      <c r="C768" s="68" t="s">
        <v>388</v>
      </c>
      <c r="D768" s="68" t="s">
        <v>388</v>
      </c>
      <c r="E768" s="68" t="s">
        <v>1278</v>
      </c>
      <c r="G768" s="68">
        <v>351.0</v>
      </c>
      <c r="H768" s="68">
        <v>23.0</v>
      </c>
      <c r="I768" s="27">
        <v>0.0057</v>
      </c>
      <c r="J768" s="27">
        <v>0.0089</v>
      </c>
      <c r="K768" s="68">
        <v>466.0</v>
      </c>
      <c r="L768" s="68">
        <v>31.0</v>
      </c>
      <c r="M768" s="27">
        <v>0.0056</v>
      </c>
      <c r="N768" s="27">
        <v>0.0089</v>
      </c>
      <c r="O768" s="27">
        <v>0.8897</v>
      </c>
      <c r="P768" s="27">
        <v>0.7917</v>
      </c>
      <c r="Q768" s="68">
        <v>3.0</v>
      </c>
      <c r="R768" s="68">
        <v>0.0</v>
      </c>
      <c r="S768" s="27">
        <v>0.0085</v>
      </c>
      <c r="T768" s="27">
        <v>0.0</v>
      </c>
      <c r="U768" s="197">
        <v>81811.52</v>
      </c>
      <c r="V768" s="197">
        <v>0.0</v>
      </c>
      <c r="W768" s="68">
        <v>3.0</v>
      </c>
      <c r="X768" s="68">
        <v>0.0</v>
      </c>
    </row>
    <row r="769" ht="15.75" customHeight="1">
      <c r="A769" s="3" t="s">
        <v>67</v>
      </c>
      <c r="B769" s="10" t="str">
        <f t="array" ref="B769">_xlfn.XLOOKUP(D769,'Referanc '!$A:$A,'Referanc '!$B:$B)</f>
        <v>Standing Table  - E4</v>
      </c>
      <c r="C769" s="68" t="s">
        <v>375</v>
      </c>
      <c r="D769" s="68" t="s">
        <v>375</v>
      </c>
      <c r="E769" s="68" t="s">
        <v>1329</v>
      </c>
      <c r="G769" s="68">
        <v>497.0</v>
      </c>
      <c r="H769" s="68">
        <v>21.0</v>
      </c>
      <c r="I769" s="27">
        <v>0.0081</v>
      </c>
      <c r="J769" s="27">
        <v>0.0081</v>
      </c>
      <c r="K769" s="68">
        <v>665.0</v>
      </c>
      <c r="L769" s="68">
        <v>25.0</v>
      </c>
      <c r="M769" s="27">
        <v>0.008</v>
      </c>
      <c r="N769" s="27">
        <v>0.0072</v>
      </c>
      <c r="O769" s="27">
        <v>0.9307</v>
      </c>
      <c r="P769" s="27">
        <v>0.6667</v>
      </c>
      <c r="Q769" s="68">
        <v>3.0</v>
      </c>
      <c r="R769" s="68">
        <v>0.0</v>
      </c>
      <c r="S769" s="27">
        <v>0.006</v>
      </c>
      <c r="T769" s="27">
        <v>0.0</v>
      </c>
      <c r="U769" s="197">
        <v>81811.52</v>
      </c>
      <c r="V769" s="197">
        <v>0.0</v>
      </c>
      <c r="W769" s="68">
        <v>3.0</v>
      </c>
      <c r="X769" s="68">
        <v>0.0</v>
      </c>
    </row>
    <row r="770" ht="15.75" customHeight="1">
      <c r="A770" s="3" t="s">
        <v>67</v>
      </c>
      <c r="B770" s="10" t="str">
        <f t="array" ref="B770">_xlfn.XLOOKUP(D770,'Referanc '!$A:$A,'Referanc '!$B:$B)</f>
        <v>Standing Table - All Frames</v>
      </c>
      <c r="C770" s="68" t="s">
        <v>422</v>
      </c>
      <c r="D770" s="68" t="s">
        <v>422</v>
      </c>
      <c r="E770" s="68" t="s">
        <v>697</v>
      </c>
      <c r="G770" s="68">
        <v>70.0</v>
      </c>
      <c r="H770" s="68">
        <v>1.0</v>
      </c>
      <c r="I770" s="27">
        <v>0.0011</v>
      </c>
      <c r="J770" s="27">
        <v>4.0E-4</v>
      </c>
      <c r="K770" s="68">
        <v>91.0</v>
      </c>
      <c r="L770" s="68">
        <v>1.0</v>
      </c>
      <c r="M770" s="27">
        <v>0.0011</v>
      </c>
      <c r="N770" s="27">
        <v>3.0E-4</v>
      </c>
      <c r="O770" s="27">
        <v>0.8452</v>
      </c>
      <c r="P770" s="27">
        <v>0.0</v>
      </c>
      <c r="Q770" s="68">
        <v>3.0</v>
      </c>
      <c r="R770" s="68">
        <v>0.0</v>
      </c>
      <c r="S770" s="27">
        <v>0.0429</v>
      </c>
      <c r="T770" s="27">
        <v>0.0</v>
      </c>
      <c r="U770" s="197">
        <v>66252.76</v>
      </c>
      <c r="V770" s="197">
        <v>0.0</v>
      </c>
      <c r="W770" s="68">
        <v>3.0</v>
      </c>
      <c r="X770" s="68">
        <v>0.0</v>
      </c>
    </row>
    <row r="771" ht="15.75" customHeight="1">
      <c r="A771" s="3" t="s">
        <v>67</v>
      </c>
      <c r="B771" s="10" t="str">
        <f t="array" ref="B771">_xlfn.XLOOKUP(D771,'Referanc '!$A:$A,'Referanc '!$B:$B)</f>
        <v>Standing Table  - SM4</v>
      </c>
      <c r="C771" s="68" t="s">
        <v>426</v>
      </c>
      <c r="D771" s="68" t="s">
        <v>426</v>
      </c>
      <c r="E771" s="68" t="s">
        <v>714</v>
      </c>
      <c r="G771" s="68">
        <v>710.0</v>
      </c>
      <c r="H771" s="68">
        <v>24.0</v>
      </c>
      <c r="I771" s="27">
        <v>0.0116</v>
      </c>
      <c r="J771" s="27">
        <v>0.0093</v>
      </c>
      <c r="K771" s="68">
        <v>926.0</v>
      </c>
      <c r="L771" s="68">
        <v>35.0</v>
      </c>
      <c r="M771" s="27">
        <v>0.0112</v>
      </c>
      <c r="N771" s="27">
        <v>0.01</v>
      </c>
      <c r="O771" s="27">
        <v>0.9207</v>
      </c>
      <c r="P771" s="27">
        <v>0.84</v>
      </c>
      <c r="Q771" s="68">
        <v>3.0</v>
      </c>
      <c r="R771" s="68">
        <v>0.0</v>
      </c>
      <c r="S771" s="27">
        <v>0.0042</v>
      </c>
      <c r="T771" s="27">
        <v>0.0</v>
      </c>
      <c r="U771" s="197">
        <v>31000.0</v>
      </c>
      <c r="V771" s="197">
        <v>0.0</v>
      </c>
      <c r="W771" s="68">
        <v>3.0</v>
      </c>
      <c r="X771" s="68">
        <v>0.0</v>
      </c>
    </row>
    <row r="772" ht="15.75" customHeight="1">
      <c r="A772" s="3" t="s">
        <v>67</v>
      </c>
      <c r="B772" s="10" t="str">
        <f t="array" ref="B772">_xlfn.XLOOKUP(D772,'Referanc '!$A:$A,'Referanc '!$B:$B)</f>
        <v>Standing Table - All Frames</v>
      </c>
      <c r="C772" s="68" t="s">
        <v>389</v>
      </c>
      <c r="D772" s="68" t="s">
        <v>389</v>
      </c>
      <c r="E772" s="68" t="s">
        <v>1359</v>
      </c>
      <c r="G772" s="68">
        <v>241.0</v>
      </c>
      <c r="H772" s="68">
        <v>6.0</v>
      </c>
      <c r="I772" s="27">
        <v>0.0039</v>
      </c>
      <c r="J772" s="27">
        <v>0.0023</v>
      </c>
      <c r="K772" s="68">
        <v>316.0</v>
      </c>
      <c r="L772" s="68">
        <v>8.0</v>
      </c>
      <c r="M772" s="27">
        <v>0.0038</v>
      </c>
      <c r="N772" s="27">
        <v>0.0023</v>
      </c>
      <c r="O772" s="27">
        <v>0.7979</v>
      </c>
      <c r="P772" s="27">
        <v>0.6667</v>
      </c>
      <c r="Q772" s="68">
        <v>2.0</v>
      </c>
      <c r="R772" s="68">
        <v>0.0</v>
      </c>
      <c r="S772" s="27">
        <v>0.0083</v>
      </c>
      <c r="T772" s="27">
        <v>0.0</v>
      </c>
      <c r="U772" s="197">
        <v>30340.0</v>
      </c>
      <c r="V772" s="197">
        <v>0.0</v>
      </c>
      <c r="W772" s="68">
        <v>2.0</v>
      </c>
      <c r="X772" s="68">
        <v>0.0</v>
      </c>
    </row>
    <row r="773" ht="15.75" customHeight="1">
      <c r="A773" s="3" t="s">
        <v>67</v>
      </c>
      <c r="B773" s="10" t="str">
        <f t="array" ref="B773">_xlfn.XLOOKUP(D773,'Referanc '!$A:$A,'Referanc '!$B:$B)</f>
        <v>Standing Table  - M8</v>
      </c>
      <c r="C773" s="68" t="s">
        <v>408</v>
      </c>
      <c r="D773" s="68" t="s">
        <v>408</v>
      </c>
      <c r="E773" s="68" t="s">
        <v>1357</v>
      </c>
      <c r="G773" s="196">
        <v>1915.0</v>
      </c>
      <c r="H773" s="68">
        <v>43.0</v>
      </c>
      <c r="I773" s="27">
        <v>0.0314</v>
      </c>
      <c r="J773" s="27">
        <v>0.0166</v>
      </c>
      <c r="K773" s="196">
        <v>2365.0</v>
      </c>
      <c r="L773" s="68">
        <v>53.0</v>
      </c>
      <c r="M773" s="27">
        <v>0.0285</v>
      </c>
      <c r="N773" s="27">
        <v>0.0152</v>
      </c>
      <c r="O773" s="27">
        <v>0.7475</v>
      </c>
      <c r="P773" s="27">
        <v>0.7576</v>
      </c>
      <c r="Q773" s="68">
        <v>2.0</v>
      </c>
      <c r="R773" s="68">
        <v>0.0</v>
      </c>
      <c r="S773" s="27">
        <v>0.001</v>
      </c>
      <c r="T773" s="27">
        <v>0.0</v>
      </c>
      <c r="U773" s="197">
        <v>37506.44</v>
      </c>
      <c r="V773" s="197">
        <v>0.0</v>
      </c>
      <c r="W773" s="68">
        <v>2.0</v>
      </c>
      <c r="X773" s="68">
        <v>0.0</v>
      </c>
    </row>
    <row r="774" ht="15.75" customHeight="1">
      <c r="A774" s="3" t="s">
        <v>67</v>
      </c>
      <c r="B774" s="10" t="str">
        <f t="array" ref="B774">_xlfn.XLOOKUP(D774,'Referanc '!$A:$A,'Referanc '!$B:$B)</f>
        <v>Standing Table  - E2</v>
      </c>
      <c r="C774" s="68" t="s">
        <v>311</v>
      </c>
      <c r="D774" s="68" t="s">
        <v>311</v>
      </c>
      <c r="E774" s="68" t="s">
        <v>1132</v>
      </c>
      <c r="G774" s="196">
        <v>1565.0</v>
      </c>
      <c r="H774" s="68">
        <v>45.0</v>
      </c>
      <c r="I774" s="27">
        <v>0.0256</v>
      </c>
      <c r="J774" s="27">
        <v>0.0174</v>
      </c>
      <c r="K774" s="196">
        <v>2261.0</v>
      </c>
      <c r="L774" s="68">
        <v>65.0</v>
      </c>
      <c r="M774" s="27">
        <v>0.0272</v>
      </c>
      <c r="N774" s="27">
        <v>0.0186</v>
      </c>
      <c r="O774" s="27">
        <v>0.8917</v>
      </c>
      <c r="P774" s="27">
        <v>0.7297</v>
      </c>
      <c r="Q774" s="68">
        <v>2.0</v>
      </c>
      <c r="R774" s="68">
        <v>0.0</v>
      </c>
      <c r="S774" s="27">
        <v>0.0013</v>
      </c>
      <c r="T774" s="27">
        <v>0.0</v>
      </c>
      <c r="U774" s="197">
        <v>70210.16</v>
      </c>
      <c r="V774" s="197">
        <v>0.0</v>
      </c>
      <c r="W774" s="68">
        <v>2.0</v>
      </c>
      <c r="X774" s="68">
        <v>0.0</v>
      </c>
    </row>
    <row r="775" ht="15.75" customHeight="1">
      <c r="A775" s="3" t="s">
        <v>67</v>
      </c>
      <c r="B775" s="10" t="str">
        <f t="array" ref="B775">_xlfn.XLOOKUP(D775,'Referanc '!$A:$A,'Referanc '!$B:$B)</f>
        <v>Standing Table - All Frames</v>
      </c>
      <c r="C775" s="68" t="s">
        <v>306</v>
      </c>
      <c r="D775" s="68" t="s">
        <v>306</v>
      </c>
      <c r="E775" s="68" t="s">
        <v>1140</v>
      </c>
      <c r="G775" s="196">
        <v>1300.0</v>
      </c>
      <c r="H775" s="68">
        <v>61.0</v>
      </c>
      <c r="I775" s="27">
        <v>0.0213</v>
      </c>
      <c r="J775" s="27">
        <v>0.0236</v>
      </c>
      <c r="K775" s="196">
        <v>1876.0</v>
      </c>
      <c r="L775" s="68">
        <v>103.0</v>
      </c>
      <c r="M775" s="27">
        <v>0.0226</v>
      </c>
      <c r="N775" s="27">
        <v>0.0295</v>
      </c>
      <c r="O775" s="27">
        <v>0.8395</v>
      </c>
      <c r="P775" s="27">
        <v>0.7083</v>
      </c>
      <c r="Q775" s="68">
        <v>2.0</v>
      </c>
      <c r="R775" s="68">
        <v>1.0</v>
      </c>
      <c r="S775" s="27">
        <v>0.0015</v>
      </c>
      <c r="T775" s="27">
        <v>0.0164</v>
      </c>
      <c r="U775" s="197">
        <v>59365.08</v>
      </c>
      <c r="V775" s="197">
        <v>29710.0</v>
      </c>
      <c r="W775" s="68">
        <v>2.0</v>
      </c>
      <c r="X775" s="68">
        <v>1.0</v>
      </c>
    </row>
    <row r="776" ht="15.75" customHeight="1">
      <c r="A776" s="3" t="s">
        <v>67</v>
      </c>
      <c r="B776" s="10" t="str">
        <f t="array" ref="B776">_xlfn.XLOOKUP(D776,'Referanc '!$A:$A,'Referanc '!$B:$B)</f>
        <v>Standing Table - All Frames</v>
      </c>
      <c r="C776" s="68" t="s">
        <v>343</v>
      </c>
      <c r="D776" s="68" t="s">
        <v>343</v>
      </c>
      <c r="E776" s="68" t="s">
        <v>1153</v>
      </c>
      <c r="G776" s="68">
        <v>301.0</v>
      </c>
      <c r="H776" s="68">
        <v>21.0</v>
      </c>
      <c r="I776" s="27">
        <v>0.0049</v>
      </c>
      <c r="J776" s="27">
        <v>0.0081</v>
      </c>
      <c r="K776" s="68">
        <v>444.0</v>
      </c>
      <c r="L776" s="68">
        <v>23.0</v>
      </c>
      <c r="M776" s="27">
        <v>0.0053</v>
      </c>
      <c r="N776" s="27">
        <v>0.0066</v>
      </c>
      <c r="O776" s="27">
        <v>0.9105</v>
      </c>
      <c r="P776" s="27">
        <v>0.6923</v>
      </c>
      <c r="Q776" s="68">
        <v>2.0</v>
      </c>
      <c r="R776" s="68">
        <v>0.0</v>
      </c>
      <c r="S776" s="27">
        <v>0.0066</v>
      </c>
      <c r="T776" s="27">
        <v>0.0</v>
      </c>
      <c r="U776" s="197">
        <v>70494.92</v>
      </c>
      <c r="V776" s="197">
        <v>0.0</v>
      </c>
      <c r="W776" s="68">
        <v>2.0</v>
      </c>
      <c r="X776" s="68">
        <v>0.0</v>
      </c>
    </row>
    <row r="777" ht="15.75" customHeight="1">
      <c r="A777" s="3" t="s">
        <v>67</v>
      </c>
      <c r="B777" s="10" t="str">
        <f t="array" ref="B777">_xlfn.XLOOKUP(D777,'Referanc '!$A:$A,'Referanc '!$B:$B)</f>
        <v>Standing Table  - E3</v>
      </c>
      <c r="C777" s="68" t="s">
        <v>376</v>
      </c>
      <c r="D777" s="68" t="s">
        <v>376</v>
      </c>
      <c r="E777" s="68" t="s">
        <v>1157</v>
      </c>
      <c r="G777" s="68">
        <v>109.0</v>
      </c>
      <c r="H777" s="68">
        <v>6.0</v>
      </c>
      <c r="I777" s="27">
        <v>0.0018</v>
      </c>
      <c r="J777" s="27">
        <v>0.0023</v>
      </c>
      <c r="K777" s="68">
        <v>158.0</v>
      </c>
      <c r="L777" s="68">
        <v>12.0</v>
      </c>
      <c r="M777" s="27">
        <v>0.0019</v>
      </c>
      <c r="N777" s="27">
        <v>0.0034</v>
      </c>
      <c r="O777" s="27">
        <v>0.8299</v>
      </c>
      <c r="P777" s="27">
        <v>0.5</v>
      </c>
      <c r="Q777" s="68">
        <v>2.0</v>
      </c>
      <c r="R777" s="68">
        <v>1.0</v>
      </c>
      <c r="S777" s="27">
        <v>0.0183</v>
      </c>
      <c r="T777" s="27">
        <v>0.1667</v>
      </c>
      <c r="U777" s="197">
        <v>69672.92</v>
      </c>
      <c r="V777" s="197">
        <v>34836.46</v>
      </c>
      <c r="W777" s="68">
        <v>2.0</v>
      </c>
      <c r="X777" s="68">
        <v>1.0</v>
      </c>
    </row>
    <row r="778" ht="15.75" customHeight="1">
      <c r="A778" s="3" t="s">
        <v>67</v>
      </c>
      <c r="B778" s="10" t="str">
        <f t="array" ref="B778">_xlfn.XLOOKUP(D778,'Referanc '!$A:$A,'Referanc '!$B:$B)</f>
        <v>Standing Table - All Frames</v>
      </c>
      <c r="C778" s="68" t="s">
        <v>402</v>
      </c>
      <c r="D778" s="68" t="s">
        <v>402</v>
      </c>
      <c r="E778" s="68" t="s">
        <v>697</v>
      </c>
      <c r="G778" s="68">
        <v>341.0</v>
      </c>
      <c r="H778" s="68">
        <v>25.0</v>
      </c>
      <c r="I778" s="27">
        <v>0.0056</v>
      </c>
      <c r="J778" s="27">
        <v>0.0097</v>
      </c>
      <c r="K778" s="68">
        <v>450.0</v>
      </c>
      <c r="L778" s="68">
        <v>38.0</v>
      </c>
      <c r="M778" s="27">
        <v>0.0054</v>
      </c>
      <c r="N778" s="27">
        <v>0.0109</v>
      </c>
      <c r="O778" s="27">
        <v>0.8527</v>
      </c>
      <c r="P778" s="27">
        <v>0.75</v>
      </c>
      <c r="Q778" s="68">
        <v>2.0</v>
      </c>
      <c r="R778" s="68">
        <v>1.0</v>
      </c>
      <c r="S778" s="27">
        <v>0.0059</v>
      </c>
      <c r="T778" s="27">
        <v>0.04</v>
      </c>
      <c r="U778" s="197">
        <v>50611.52</v>
      </c>
      <c r="V778" s="197">
        <v>26355.76</v>
      </c>
      <c r="W778" s="68">
        <v>2.0</v>
      </c>
      <c r="X778" s="68">
        <v>1.0</v>
      </c>
    </row>
    <row r="779" ht="15.75" customHeight="1">
      <c r="A779" s="3" t="s">
        <v>67</v>
      </c>
      <c r="B779" s="10" t="str">
        <f t="array" ref="B779">_xlfn.XLOOKUP(D779,'Referanc '!$A:$A,'Referanc '!$B:$B)</f>
        <v>Standing Table  - E4</v>
      </c>
      <c r="C779" s="68" t="s">
        <v>404</v>
      </c>
      <c r="D779" s="68" t="s">
        <v>404</v>
      </c>
      <c r="E779" s="68" t="s">
        <v>1304</v>
      </c>
      <c r="G779" s="68">
        <v>61.0</v>
      </c>
      <c r="H779" s="68">
        <v>4.0</v>
      </c>
      <c r="I779" s="27">
        <v>0.001</v>
      </c>
      <c r="J779" s="27">
        <v>0.0015</v>
      </c>
      <c r="K779" s="68">
        <v>110.0</v>
      </c>
      <c r="L779" s="68">
        <v>6.0</v>
      </c>
      <c r="M779" s="27">
        <v>0.0013</v>
      </c>
      <c r="N779" s="27">
        <v>0.0017</v>
      </c>
      <c r="O779" s="27">
        <v>0.951</v>
      </c>
      <c r="P779" s="27">
        <v>0.4</v>
      </c>
      <c r="Q779" s="68">
        <v>2.0</v>
      </c>
      <c r="R779" s="68">
        <v>0.0</v>
      </c>
      <c r="S779" s="27">
        <v>0.0328</v>
      </c>
      <c r="T779" s="27">
        <v>0.0</v>
      </c>
      <c r="U779" s="197">
        <v>53409.52</v>
      </c>
      <c r="V779" s="197">
        <v>0.0</v>
      </c>
      <c r="W779" s="68">
        <v>2.0</v>
      </c>
      <c r="X779" s="68">
        <v>0.0</v>
      </c>
    </row>
    <row r="780" ht="15.75" customHeight="1">
      <c r="A780" s="3" t="s">
        <v>67</v>
      </c>
      <c r="B780" s="10" t="str">
        <f t="array" ref="B780">_xlfn.XLOOKUP(D780,'Referanc '!$A:$A,'Referanc '!$B:$B)</f>
        <v>Standing Table  - E4</v>
      </c>
      <c r="C780" s="68" t="s">
        <v>409</v>
      </c>
      <c r="D780" s="68" t="s">
        <v>409</v>
      </c>
      <c r="E780" s="68" t="s">
        <v>1307</v>
      </c>
      <c r="G780" s="68">
        <v>41.0</v>
      </c>
      <c r="H780" s="68">
        <v>0.0</v>
      </c>
      <c r="I780" s="27">
        <v>7.0E-4</v>
      </c>
      <c r="J780" s="27">
        <v>0.0</v>
      </c>
      <c r="K780" s="68">
        <v>69.0</v>
      </c>
      <c r="L780" s="68">
        <v>0.0</v>
      </c>
      <c r="M780" s="27">
        <v>8.0E-4</v>
      </c>
      <c r="N780" s="27">
        <v>0.0</v>
      </c>
      <c r="O780" s="27">
        <v>0.9688</v>
      </c>
      <c r="P780" s="27">
        <v>0.0</v>
      </c>
      <c r="Q780" s="68">
        <v>2.0</v>
      </c>
      <c r="R780" s="68">
        <v>0.0</v>
      </c>
      <c r="S780" s="27">
        <v>0.0488</v>
      </c>
      <c r="T780" s="27">
        <v>0.0</v>
      </c>
      <c r="U780" s="197">
        <v>24204.76</v>
      </c>
      <c r="V780" s="197">
        <v>0.0</v>
      </c>
      <c r="W780" s="68">
        <v>2.0</v>
      </c>
      <c r="X780" s="68">
        <v>0.0</v>
      </c>
    </row>
    <row r="781" ht="15.75" customHeight="1">
      <c r="A781" s="3" t="s">
        <v>67</v>
      </c>
      <c r="B781" s="10" t="str">
        <f t="array" ref="B781">_xlfn.XLOOKUP(D781,'Referanc '!$A:$A,'Referanc '!$B:$B)</f>
        <v>TABLE TOP</v>
      </c>
      <c r="C781" s="68" t="s">
        <v>350</v>
      </c>
      <c r="D781" s="68" t="s">
        <v>350</v>
      </c>
      <c r="E781" s="68" t="s">
        <v>531</v>
      </c>
      <c r="G781" s="68">
        <v>230.0</v>
      </c>
      <c r="H781" s="68">
        <v>13.0</v>
      </c>
      <c r="I781" s="27">
        <v>0.0038</v>
      </c>
      <c r="J781" s="27">
        <v>0.005</v>
      </c>
      <c r="K781" s="68">
        <v>290.0</v>
      </c>
      <c r="L781" s="68">
        <v>24.0</v>
      </c>
      <c r="M781" s="27">
        <v>0.0035</v>
      </c>
      <c r="N781" s="27">
        <v>0.0069</v>
      </c>
      <c r="O781" s="27">
        <v>0.883</v>
      </c>
      <c r="P781" s="27">
        <v>0.8</v>
      </c>
      <c r="Q781" s="68">
        <v>1.0</v>
      </c>
      <c r="R781" s="68">
        <v>0.0</v>
      </c>
      <c r="S781" s="27">
        <v>0.0043</v>
      </c>
      <c r="T781" s="27">
        <v>0.0</v>
      </c>
      <c r="U781" s="197">
        <v>5900.0</v>
      </c>
      <c r="V781" s="197">
        <v>0.0</v>
      </c>
      <c r="W781" s="68">
        <v>1.0</v>
      </c>
      <c r="X781" s="68">
        <v>0.0</v>
      </c>
    </row>
    <row r="782" ht="15.75" customHeight="1">
      <c r="A782" s="3" t="s">
        <v>67</v>
      </c>
      <c r="B782" s="10" t="str">
        <f t="array" ref="B782">_xlfn.XLOOKUP(D782,'Referanc '!$A:$A,'Referanc '!$B:$B)</f>
        <v>Standing Table  - M8</v>
      </c>
      <c r="C782" s="68" t="s">
        <v>410</v>
      </c>
      <c r="D782" s="68" t="s">
        <v>410</v>
      </c>
      <c r="E782" s="68" t="s">
        <v>1358</v>
      </c>
      <c r="G782" s="68">
        <v>269.0</v>
      </c>
      <c r="H782" s="68">
        <v>9.0</v>
      </c>
      <c r="I782" s="27">
        <v>0.0044</v>
      </c>
      <c r="J782" s="27">
        <v>0.0035</v>
      </c>
      <c r="K782" s="68">
        <v>361.0</v>
      </c>
      <c r="L782" s="68">
        <v>9.0</v>
      </c>
      <c r="M782" s="27">
        <v>0.0043</v>
      </c>
      <c r="N782" s="27">
        <v>0.0026</v>
      </c>
      <c r="O782" s="27">
        <v>0.8951</v>
      </c>
      <c r="P782" s="27">
        <v>0.7143</v>
      </c>
      <c r="Q782" s="68">
        <v>1.0</v>
      </c>
      <c r="R782" s="68">
        <v>0.0</v>
      </c>
      <c r="S782" s="27">
        <v>0.0037</v>
      </c>
      <c r="T782" s="27">
        <v>0.0</v>
      </c>
      <c r="U782" s="197">
        <v>21360.0</v>
      </c>
      <c r="V782" s="197">
        <v>0.0</v>
      </c>
      <c r="W782" s="68">
        <v>1.0</v>
      </c>
      <c r="X782" s="68">
        <v>0.0</v>
      </c>
    </row>
    <row r="783" ht="15.75" customHeight="1">
      <c r="A783" s="3" t="s">
        <v>67</v>
      </c>
      <c r="B783" s="10" t="str">
        <f t="array" ref="B783">_xlfn.XLOOKUP(D783,'Referanc '!$A:$A,'Referanc '!$B:$B)</f>
        <v>Standing Table  - M8</v>
      </c>
      <c r="C783" s="68" t="s">
        <v>406</v>
      </c>
      <c r="D783" s="68" t="s">
        <v>406</v>
      </c>
      <c r="E783" s="68" t="s">
        <v>1356</v>
      </c>
      <c r="G783" s="68">
        <v>514.0</v>
      </c>
      <c r="H783" s="68">
        <v>16.0</v>
      </c>
      <c r="I783" s="27">
        <v>0.0084</v>
      </c>
      <c r="J783" s="27">
        <v>0.0062</v>
      </c>
      <c r="K783" s="68">
        <v>710.0</v>
      </c>
      <c r="L783" s="68">
        <v>21.0</v>
      </c>
      <c r="M783" s="27">
        <v>0.0086</v>
      </c>
      <c r="N783" s="27">
        <v>0.006</v>
      </c>
      <c r="O783" s="27">
        <v>0.9013</v>
      </c>
      <c r="P783" s="27">
        <v>0.9333</v>
      </c>
      <c r="Q783" s="68">
        <v>1.0</v>
      </c>
      <c r="R783" s="68">
        <v>0.0</v>
      </c>
      <c r="S783" s="27">
        <v>0.0019</v>
      </c>
      <c r="T783" s="27">
        <v>0.0</v>
      </c>
      <c r="U783" s="197">
        <v>18736.44</v>
      </c>
      <c r="V783" s="197">
        <v>0.0</v>
      </c>
      <c r="W783" s="68">
        <v>1.0</v>
      </c>
      <c r="X783" s="68">
        <v>0.0</v>
      </c>
    </row>
    <row r="784" ht="15.75" customHeight="1">
      <c r="A784" s="3" t="s">
        <v>67</v>
      </c>
      <c r="B784" s="10" t="str">
        <f t="array" ref="B784">_xlfn.XLOOKUP(D784,'Referanc '!$A:$A,'Referanc '!$B:$B)</f>
        <v>Standing Table  - M8</v>
      </c>
      <c r="C784" s="68" t="s">
        <v>414</v>
      </c>
      <c r="D784" s="68" t="s">
        <v>414</v>
      </c>
      <c r="E784" s="68" t="s">
        <v>1289</v>
      </c>
      <c r="G784" s="68">
        <v>60.0</v>
      </c>
      <c r="H784" s="68">
        <v>3.0</v>
      </c>
      <c r="I784" s="27">
        <v>0.001</v>
      </c>
      <c r="J784" s="27">
        <v>0.0012</v>
      </c>
      <c r="K784" s="68">
        <v>74.0</v>
      </c>
      <c r="L784" s="68">
        <v>3.0</v>
      </c>
      <c r="M784" s="27">
        <v>9.0E-4</v>
      </c>
      <c r="N784" s="27">
        <v>9.0E-4</v>
      </c>
      <c r="O784" s="27">
        <v>0.8955</v>
      </c>
      <c r="P784" s="27">
        <v>0.6667</v>
      </c>
      <c r="Q784" s="68">
        <v>1.0</v>
      </c>
      <c r="R784" s="68">
        <v>0.0</v>
      </c>
      <c r="S784" s="27">
        <v>0.0167</v>
      </c>
      <c r="T784" s="27">
        <v>0.0</v>
      </c>
      <c r="U784" s="197">
        <v>15170.0</v>
      </c>
      <c r="V784" s="197">
        <v>0.0</v>
      </c>
      <c r="W784" s="68">
        <v>1.0</v>
      </c>
      <c r="X784" s="68">
        <v>0.0</v>
      </c>
    </row>
    <row r="785" ht="15.75" customHeight="1">
      <c r="A785" s="3" t="s">
        <v>67</v>
      </c>
      <c r="B785" s="10" t="str">
        <f t="array" ref="B785">_xlfn.XLOOKUP(D785,'Referanc '!$A:$A,'Referanc '!$B:$B)</f>
        <v>Standing Table  - M8</v>
      </c>
      <c r="C785" s="68" t="s">
        <v>415</v>
      </c>
      <c r="D785" s="68" t="s">
        <v>415</v>
      </c>
      <c r="E785" s="68" t="s">
        <v>1291</v>
      </c>
      <c r="G785" s="68">
        <v>121.0</v>
      </c>
      <c r="H785" s="68">
        <v>7.0</v>
      </c>
      <c r="I785" s="27">
        <v>0.002</v>
      </c>
      <c r="J785" s="27">
        <v>0.0027</v>
      </c>
      <c r="K785" s="68">
        <v>180.0</v>
      </c>
      <c r="L785" s="68">
        <v>9.0</v>
      </c>
      <c r="M785" s="27">
        <v>0.0022</v>
      </c>
      <c r="N785" s="27">
        <v>0.0026</v>
      </c>
      <c r="O785" s="27">
        <v>0.9461</v>
      </c>
      <c r="P785" s="27">
        <v>1.0</v>
      </c>
      <c r="Q785" s="68">
        <v>1.0</v>
      </c>
      <c r="R785" s="68">
        <v>0.0</v>
      </c>
      <c r="S785" s="27">
        <v>0.0083</v>
      </c>
      <c r="T785" s="27">
        <v>0.0</v>
      </c>
      <c r="U785" s="197">
        <v>18836.44</v>
      </c>
      <c r="V785" s="197">
        <v>0.0</v>
      </c>
      <c r="W785" s="68">
        <v>1.0</v>
      </c>
      <c r="X785" s="68">
        <v>0.0</v>
      </c>
    </row>
    <row r="786" ht="15.75" customHeight="1">
      <c r="A786" s="3" t="s">
        <v>67</v>
      </c>
      <c r="B786" s="10" t="str">
        <f t="array" ref="B786">_xlfn.XLOOKUP(D786,'Referanc '!$A:$A,'Referanc '!$B:$B)</f>
        <v>Footrests</v>
      </c>
      <c r="C786" s="68" t="s">
        <v>339</v>
      </c>
      <c r="D786" s="68" t="s">
        <v>339</v>
      </c>
      <c r="E786" s="68" t="s">
        <v>547</v>
      </c>
      <c r="G786" s="68">
        <v>189.0</v>
      </c>
      <c r="H786" s="68">
        <v>8.0</v>
      </c>
      <c r="I786" s="27">
        <v>0.0031</v>
      </c>
      <c r="J786" s="27">
        <v>0.0031</v>
      </c>
      <c r="K786" s="68">
        <v>215.0</v>
      </c>
      <c r="L786" s="68">
        <v>8.0</v>
      </c>
      <c r="M786" s="27">
        <v>0.0026</v>
      </c>
      <c r="N786" s="27">
        <v>0.0023</v>
      </c>
      <c r="O786" s="27">
        <v>1.0</v>
      </c>
      <c r="P786" s="27">
        <v>1.0</v>
      </c>
      <c r="Q786" s="68">
        <v>1.0</v>
      </c>
      <c r="R786" s="68">
        <v>1.0</v>
      </c>
      <c r="S786" s="27">
        <v>0.0053</v>
      </c>
      <c r="T786" s="27">
        <v>0.125</v>
      </c>
      <c r="U786" s="197">
        <v>2999.0</v>
      </c>
      <c r="V786" s="197">
        <v>2999.0</v>
      </c>
      <c r="W786" s="68">
        <v>1.0</v>
      </c>
      <c r="X786" s="68">
        <v>1.0</v>
      </c>
    </row>
    <row r="787" ht="15.75" customHeight="1">
      <c r="A787" s="3" t="s">
        <v>67</v>
      </c>
      <c r="B787" s="10" t="str">
        <f t="array" ref="B787">_xlfn.XLOOKUP(D787,'Referanc '!$A:$A,'Referanc '!$B:$B)</f>
        <v>Single Leg Gas</v>
      </c>
      <c r="C787" s="68" t="s">
        <v>362</v>
      </c>
      <c r="D787" s="68" t="s">
        <v>362</v>
      </c>
      <c r="E787" s="68" t="s">
        <v>610</v>
      </c>
      <c r="G787" s="68">
        <v>216.0</v>
      </c>
      <c r="H787" s="68">
        <v>21.0</v>
      </c>
      <c r="I787" s="27">
        <v>0.0035</v>
      </c>
      <c r="J787" s="27">
        <v>0.0081</v>
      </c>
      <c r="K787" s="68">
        <v>346.0</v>
      </c>
      <c r="L787" s="68">
        <v>35.0</v>
      </c>
      <c r="M787" s="27">
        <v>0.0042</v>
      </c>
      <c r="N787" s="27">
        <v>0.01</v>
      </c>
      <c r="O787" s="27">
        <v>0.9312</v>
      </c>
      <c r="P787" s="27">
        <v>0.9333</v>
      </c>
      <c r="Q787" s="68">
        <v>1.0</v>
      </c>
      <c r="R787" s="68">
        <v>0.0</v>
      </c>
      <c r="S787" s="27">
        <v>0.0046</v>
      </c>
      <c r="T787" s="27">
        <v>0.0</v>
      </c>
      <c r="U787" s="197">
        <v>12150.0</v>
      </c>
      <c r="V787" s="197">
        <v>0.0</v>
      </c>
      <c r="W787" s="68">
        <v>1.0</v>
      </c>
      <c r="X787" s="68">
        <v>0.0</v>
      </c>
    </row>
    <row r="788" ht="15.75" customHeight="1">
      <c r="A788" s="3" t="s">
        <v>67</v>
      </c>
      <c r="B788" s="10" t="str">
        <f t="array" ref="B788">_xlfn.XLOOKUP(D788,'Referanc '!$A:$A,'Referanc '!$B:$B)</f>
        <v>Standing Table  - E2</v>
      </c>
      <c r="C788" s="68" t="s">
        <v>293</v>
      </c>
      <c r="D788" s="68" t="s">
        <v>293</v>
      </c>
      <c r="E788" s="68" t="s">
        <v>1133</v>
      </c>
      <c r="G788" s="68">
        <v>580.0</v>
      </c>
      <c r="H788" s="68">
        <v>30.0</v>
      </c>
      <c r="I788" s="27">
        <v>0.0095</v>
      </c>
      <c r="J788" s="27">
        <v>0.0116</v>
      </c>
      <c r="K788" s="68">
        <v>810.0</v>
      </c>
      <c r="L788" s="68">
        <v>45.0</v>
      </c>
      <c r="M788" s="27">
        <v>0.0098</v>
      </c>
      <c r="N788" s="27">
        <v>0.0129</v>
      </c>
      <c r="O788" s="27">
        <v>0.8808</v>
      </c>
      <c r="P788" s="27">
        <v>0.7333</v>
      </c>
      <c r="Q788" s="68">
        <v>1.0</v>
      </c>
      <c r="R788" s="68">
        <v>0.0</v>
      </c>
      <c r="S788" s="27">
        <v>0.0017</v>
      </c>
      <c r="T788" s="27">
        <v>0.0</v>
      </c>
      <c r="U788" s="197">
        <v>33055.08</v>
      </c>
      <c r="V788" s="197">
        <v>0.0</v>
      </c>
      <c r="W788" s="68">
        <v>1.0</v>
      </c>
      <c r="X788" s="68">
        <v>0.0</v>
      </c>
    </row>
    <row r="789" ht="15.75" customHeight="1">
      <c r="A789" s="3" t="s">
        <v>67</v>
      </c>
      <c r="B789" s="10" t="str">
        <f t="array" ref="B789">_xlfn.XLOOKUP(D789,'Referanc '!$A:$A,'Referanc '!$B:$B)</f>
        <v>Extension &amp; Holder</v>
      </c>
      <c r="C789" s="68" t="s">
        <v>336</v>
      </c>
      <c r="D789" s="68" t="s">
        <v>336</v>
      </c>
      <c r="E789" s="68" t="s">
        <v>695</v>
      </c>
      <c r="G789" s="68">
        <v>4.0</v>
      </c>
      <c r="H789" s="68">
        <v>0.0</v>
      </c>
      <c r="I789" s="27">
        <v>1.0E-4</v>
      </c>
      <c r="J789" s="27">
        <v>0.0</v>
      </c>
      <c r="K789" s="68">
        <v>5.0</v>
      </c>
      <c r="L789" s="68">
        <v>0.0</v>
      </c>
      <c r="M789" s="27">
        <v>1.0E-4</v>
      </c>
      <c r="N789" s="27">
        <v>0.0</v>
      </c>
      <c r="O789" s="27">
        <v>1.0</v>
      </c>
      <c r="P789" s="27">
        <v>0.0</v>
      </c>
      <c r="Q789" s="68">
        <v>1.0</v>
      </c>
      <c r="R789" s="68">
        <v>0.0</v>
      </c>
      <c r="S789" s="27">
        <v>0.25</v>
      </c>
      <c r="T789" s="27">
        <v>0.0</v>
      </c>
      <c r="U789" s="197">
        <v>2200.0</v>
      </c>
      <c r="V789" s="197">
        <v>0.0</v>
      </c>
      <c r="W789" s="68">
        <v>1.0</v>
      </c>
      <c r="X789" s="68">
        <v>0.0</v>
      </c>
    </row>
    <row r="790" ht="15.75" customHeight="1">
      <c r="A790" s="3" t="s">
        <v>67</v>
      </c>
      <c r="B790" s="10" t="str">
        <f t="array" ref="B790">_xlfn.XLOOKUP(D790,'Referanc '!$A:$A,'Referanc '!$B:$B)</f>
        <v>Standing Table  - E2</v>
      </c>
      <c r="C790" s="68" t="s">
        <v>392</v>
      </c>
      <c r="D790" s="68" t="s">
        <v>392</v>
      </c>
      <c r="E790" s="68" t="s">
        <v>1132</v>
      </c>
      <c r="G790" s="68">
        <v>44.0</v>
      </c>
      <c r="H790" s="68">
        <v>3.0</v>
      </c>
      <c r="I790" s="27">
        <v>7.0E-4</v>
      </c>
      <c r="J790" s="27">
        <v>0.0012</v>
      </c>
      <c r="K790" s="68">
        <v>57.0</v>
      </c>
      <c r="L790" s="68">
        <v>3.0</v>
      </c>
      <c r="M790" s="27">
        <v>7.0E-4</v>
      </c>
      <c r="N790" s="27">
        <v>9.0E-4</v>
      </c>
      <c r="O790" s="27">
        <v>0.898</v>
      </c>
      <c r="P790" s="27">
        <v>0.0</v>
      </c>
      <c r="Q790" s="68">
        <v>1.0</v>
      </c>
      <c r="R790" s="68">
        <v>0.0</v>
      </c>
      <c r="S790" s="27">
        <v>0.0227</v>
      </c>
      <c r="T790" s="27">
        <v>0.0</v>
      </c>
      <c r="U790" s="197">
        <v>35105.08</v>
      </c>
      <c r="V790" s="197">
        <v>0.0</v>
      </c>
      <c r="W790" s="68">
        <v>1.0</v>
      </c>
      <c r="X790" s="68">
        <v>0.0</v>
      </c>
    </row>
    <row r="791" ht="15.75" customHeight="1">
      <c r="A791" s="3" t="s">
        <v>67</v>
      </c>
      <c r="B791" s="10" t="str">
        <f t="array" ref="B791">_xlfn.XLOOKUP(D791,'Referanc '!$A:$A,'Referanc '!$B:$B)</f>
        <v>Standing Table - All Frames</v>
      </c>
      <c r="C791" s="68" t="s">
        <v>420</v>
      </c>
      <c r="D791" s="68" t="s">
        <v>420</v>
      </c>
      <c r="E791" s="68" t="s">
        <v>1364</v>
      </c>
      <c r="G791" s="68">
        <v>74.0</v>
      </c>
      <c r="H791" s="68">
        <v>1.0</v>
      </c>
      <c r="I791" s="27">
        <v>0.0012</v>
      </c>
      <c r="J791" s="27">
        <v>4.0E-4</v>
      </c>
      <c r="K791" s="68">
        <v>113.0</v>
      </c>
      <c r="L791" s="68">
        <v>1.0</v>
      </c>
      <c r="M791" s="27">
        <v>0.0014</v>
      </c>
      <c r="N791" s="27">
        <v>3.0E-4</v>
      </c>
      <c r="O791" s="27">
        <v>0.9612</v>
      </c>
      <c r="P791" s="27">
        <v>0.0</v>
      </c>
      <c r="Q791" s="68">
        <v>1.0</v>
      </c>
      <c r="R791" s="68">
        <v>0.0</v>
      </c>
      <c r="S791" s="27">
        <v>0.0135</v>
      </c>
      <c r="T791" s="27">
        <v>0.0</v>
      </c>
      <c r="U791" s="197">
        <v>29710.0</v>
      </c>
      <c r="V791" s="197">
        <v>0.0</v>
      </c>
      <c r="W791" s="68">
        <v>1.0</v>
      </c>
      <c r="X791" s="68">
        <v>0.0</v>
      </c>
    </row>
    <row r="792" ht="15.75" customHeight="1">
      <c r="A792" s="3" t="s">
        <v>67</v>
      </c>
      <c r="B792" s="10" t="str">
        <f t="array" ref="B792">_xlfn.XLOOKUP(D792,'Referanc '!$A:$A,'Referanc '!$B:$B)</f>
        <v>Standing Table  - SM3</v>
      </c>
      <c r="C792" s="68" t="s">
        <v>383</v>
      </c>
      <c r="D792" s="68" t="s">
        <v>383</v>
      </c>
      <c r="E792" s="68" t="s">
        <v>1206</v>
      </c>
      <c r="G792" s="68">
        <v>176.0</v>
      </c>
      <c r="H792" s="68">
        <v>9.0</v>
      </c>
      <c r="I792" s="27">
        <v>0.0029</v>
      </c>
      <c r="J792" s="27">
        <v>0.0035</v>
      </c>
      <c r="K792" s="68">
        <v>255.0</v>
      </c>
      <c r="L792" s="68">
        <v>12.0</v>
      </c>
      <c r="M792" s="27">
        <v>0.0031</v>
      </c>
      <c r="N792" s="27">
        <v>0.0034</v>
      </c>
      <c r="O792" s="27">
        <v>0.9541</v>
      </c>
      <c r="P792" s="27">
        <v>1.0</v>
      </c>
      <c r="Q792" s="68">
        <v>1.0</v>
      </c>
      <c r="R792" s="68">
        <v>0.0</v>
      </c>
      <c r="S792" s="27">
        <v>0.0057</v>
      </c>
      <c r="T792" s="27">
        <v>0.0</v>
      </c>
      <c r="U792" s="197">
        <v>23033.39</v>
      </c>
      <c r="V792" s="197">
        <v>0.0</v>
      </c>
      <c r="W792" s="68">
        <v>1.0</v>
      </c>
      <c r="X792" s="68">
        <v>0.0</v>
      </c>
    </row>
    <row r="793" ht="15.75" customHeight="1">
      <c r="A793" s="3" t="s">
        <v>67</v>
      </c>
      <c r="B793" s="10" t="str">
        <f t="array" ref="B793">_xlfn.XLOOKUP(D793,'Referanc '!$A:$A,'Referanc '!$B:$B)</f>
        <v>Standing Table  - E1A</v>
      </c>
      <c r="C793" s="68" t="s">
        <v>354</v>
      </c>
      <c r="D793" s="68" t="s">
        <v>354</v>
      </c>
      <c r="E793" s="68" t="s">
        <v>1325</v>
      </c>
      <c r="G793" s="68">
        <v>170.0</v>
      </c>
      <c r="H793" s="68">
        <v>13.0</v>
      </c>
      <c r="I793" s="27">
        <v>0.0028</v>
      </c>
      <c r="J793" s="27">
        <v>0.005</v>
      </c>
      <c r="K793" s="68">
        <v>252.0</v>
      </c>
      <c r="L793" s="68">
        <v>22.0</v>
      </c>
      <c r="M793" s="27">
        <v>0.003</v>
      </c>
      <c r="N793" s="27">
        <v>0.0063</v>
      </c>
      <c r="O793" s="27">
        <v>0.9615</v>
      </c>
      <c r="P793" s="27">
        <v>0.9412</v>
      </c>
      <c r="Q793" s="68">
        <v>1.0</v>
      </c>
      <c r="R793" s="68">
        <v>0.0</v>
      </c>
      <c r="S793" s="27">
        <v>0.0059</v>
      </c>
      <c r="T793" s="27">
        <v>0.0</v>
      </c>
      <c r="U793" s="197">
        <v>33295.08</v>
      </c>
      <c r="V793" s="197">
        <v>0.0</v>
      </c>
      <c r="W793" s="68">
        <v>1.0</v>
      </c>
      <c r="X793" s="68">
        <v>0.0</v>
      </c>
    </row>
    <row r="794" ht="15.75" customHeight="1">
      <c r="A794" s="3" t="s">
        <v>67</v>
      </c>
      <c r="B794" s="10" t="str">
        <f t="array" ref="B794">_xlfn.XLOOKUP(D794,'Referanc '!$A:$A,'Referanc '!$B:$B)</f>
        <v>Standing Table  - E1A</v>
      </c>
      <c r="C794" s="68" t="s">
        <v>367</v>
      </c>
      <c r="D794" s="68" t="s">
        <v>367</v>
      </c>
      <c r="E794" s="68" t="s">
        <v>1365</v>
      </c>
      <c r="G794" s="68">
        <v>365.0</v>
      </c>
      <c r="H794" s="68">
        <v>16.0</v>
      </c>
      <c r="I794" s="27">
        <v>0.006</v>
      </c>
      <c r="J794" s="27">
        <v>0.0062</v>
      </c>
      <c r="K794" s="68">
        <v>556.0</v>
      </c>
      <c r="L794" s="68">
        <v>21.0</v>
      </c>
      <c r="M794" s="27">
        <v>0.0067</v>
      </c>
      <c r="N794" s="27">
        <v>0.006</v>
      </c>
      <c r="O794" s="27">
        <v>0.9046</v>
      </c>
      <c r="P794" s="27">
        <v>0.8667</v>
      </c>
      <c r="Q794" s="68">
        <v>1.0</v>
      </c>
      <c r="R794" s="68">
        <v>0.0</v>
      </c>
      <c r="S794" s="27">
        <v>0.0027</v>
      </c>
      <c r="T794" s="27">
        <v>0.0</v>
      </c>
      <c r="U794" s="197">
        <v>36499.0</v>
      </c>
      <c r="V794" s="197">
        <v>0.0</v>
      </c>
      <c r="W794" s="68">
        <v>1.0</v>
      </c>
      <c r="X794" s="68">
        <v>0.0</v>
      </c>
    </row>
    <row r="795" ht="15.75" customHeight="1">
      <c r="A795" s="3" t="s">
        <v>67</v>
      </c>
      <c r="B795" s="10" t="str">
        <f t="array" ref="B795">_xlfn.XLOOKUP(D795,'Referanc '!$A:$A,'Referanc '!$B:$B)</f>
        <v>Standing Table  - E1A</v>
      </c>
      <c r="C795" s="68" t="s">
        <v>359</v>
      </c>
      <c r="D795" s="68" t="s">
        <v>359</v>
      </c>
      <c r="E795" s="68" t="s">
        <v>1366</v>
      </c>
      <c r="G795" s="68">
        <v>266.0</v>
      </c>
      <c r="H795" s="68">
        <v>16.0</v>
      </c>
      <c r="I795" s="27">
        <v>0.0044</v>
      </c>
      <c r="J795" s="27">
        <v>0.0062</v>
      </c>
      <c r="K795" s="68">
        <v>371.0</v>
      </c>
      <c r="L795" s="68">
        <v>29.0</v>
      </c>
      <c r="M795" s="27">
        <v>0.0045</v>
      </c>
      <c r="N795" s="27">
        <v>0.0083</v>
      </c>
      <c r="O795" s="27">
        <v>0.9132</v>
      </c>
      <c r="P795" s="27">
        <v>0.9048</v>
      </c>
      <c r="Q795" s="68">
        <v>1.0</v>
      </c>
      <c r="R795" s="68">
        <v>0.0</v>
      </c>
      <c r="S795" s="27">
        <v>0.0038</v>
      </c>
      <c r="T795" s="27">
        <v>0.0</v>
      </c>
      <c r="U795" s="197">
        <v>36499.0</v>
      </c>
      <c r="V795" s="197">
        <v>0.0</v>
      </c>
      <c r="W795" s="68">
        <v>1.0</v>
      </c>
      <c r="X795" s="68">
        <v>0.0</v>
      </c>
    </row>
    <row r="796" ht="15.75" customHeight="1">
      <c r="A796" s="3" t="s">
        <v>67</v>
      </c>
      <c r="B796" s="10" t="str">
        <f t="array" ref="B796">_xlfn.XLOOKUP(D796,'Referanc '!$A:$A,'Referanc '!$B:$B)</f>
        <v>Standing Table - All Frames</v>
      </c>
      <c r="C796" s="68" t="s">
        <v>387</v>
      </c>
      <c r="D796" s="68" t="s">
        <v>387</v>
      </c>
      <c r="E796" s="68" t="s">
        <v>1361</v>
      </c>
      <c r="G796" s="68">
        <v>146.0</v>
      </c>
      <c r="H796" s="68">
        <v>15.0</v>
      </c>
      <c r="I796" s="27">
        <v>0.0024</v>
      </c>
      <c r="J796" s="27">
        <v>0.0058</v>
      </c>
      <c r="K796" s="68">
        <v>230.0</v>
      </c>
      <c r="L796" s="68">
        <v>29.0</v>
      </c>
      <c r="M796" s="27">
        <v>0.0028</v>
      </c>
      <c r="N796" s="27">
        <v>0.0083</v>
      </c>
      <c r="O796" s="27">
        <v>0.9384</v>
      </c>
      <c r="P796" s="27">
        <v>0.75</v>
      </c>
      <c r="Q796" s="68">
        <v>1.0</v>
      </c>
      <c r="R796" s="68">
        <v>0.0</v>
      </c>
      <c r="S796" s="27">
        <v>0.0068</v>
      </c>
      <c r="T796" s="27">
        <v>0.0</v>
      </c>
      <c r="U796" s="197">
        <v>29444.08</v>
      </c>
      <c r="V796" s="197">
        <v>0.0</v>
      </c>
      <c r="W796" s="68">
        <v>1.0</v>
      </c>
      <c r="X796" s="68">
        <v>0.0</v>
      </c>
    </row>
    <row r="797" ht="15.75" customHeight="1">
      <c r="A797" s="3" t="s">
        <v>67</v>
      </c>
      <c r="B797" s="10" t="str">
        <f t="array" ref="B797">_xlfn.XLOOKUP(D797,'Referanc '!$A:$A,'Referanc '!$B:$B)</f>
        <v>Standing Table - All Frames</v>
      </c>
      <c r="C797" s="68" t="s">
        <v>399</v>
      </c>
      <c r="D797" s="68" t="s">
        <v>399</v>
      </c>
      <c r="E797" s="68" t="s">
        <v>1303</v>
      </c>
      <c r="G797" s="68">
        <v>287.0</v>
      </c>
      <c r="H797" s="68">
        <v>19.0</v>
      </c>
      <c r="I797" s="27">
        <v>0.0047</v>
      </c>
      <c r="J797" s="27">
        <v>0.0073</v>
      </c>
      <c r="K797" s="68">
        <v>408.0</v>
      </c>
      <c r="L797" s="68">
        <v>28.0</v>
      </c>
      <c r="M797" s="27">
        <v>0.0049</v>
      </c>
      <c r="N797" s="27">
        <v>0.008</v>
      </c>
      <c r="O797" s="27">
        <v>0.9035</v>
      </c>
      <c r="P797" s="27">
        <v>0.8182</v>
      </c>
      <c r="Q797" s="68">
        <v>1.0</v>
      </c>
      <c r="R797" s="68">
        <v>0.0</v>
      </c>
      <c r="S797" s="27">
        <v>0.0035</v>
      </c>
      <c r="T797" s="27">
        <v>0.0</v>
      </c>
      <c r="U797" s="197">
        <v>28755.08</v>
      </c>
      <c r="V797" s="197">
        <v>0.0</v>
      </c>
      <c r="W797" s="68">
        <v>1.0</v>
      </c>
      <c r="X797" s="68">
        <v>0.0</v>
      </c>
    </row>
    <row r="798" ht="15.75" customHeight="1">
      <c r="A798" s="3" t="s">
        <v>67</v>
      </c>
      <c r="B798" s="10" t="str">
        <f t="array" ref="B798">_xlfn.XLOOKUP(D798,'Referanc '!$A:$A,'Referanc '!$B:$B)</f>
        <v>TABLE TOP</v>
      </c>
      <c r="C798" s="68" t="s">
        <v>357</v>
      </c>
      <c r="D798" s="68" t="s">
        <v>357</v>
      </c>
      <c r="E798" s="68" t="s">
        <v>535</v>
      </c>
      <c r="G798" s="68">
        <v>220.0</v>
      </c>
      <c r="H798" s="68">
        <v>23.0</v>
      </c>
      <c r="I798" s="27">
        <v>0.0036</v>
      </c>
      <c r="J798" s="27">
        <v>0.0089</v>
      </c>
      <c r="K798" s="68">
        <v>273.0</v>
      </c>
      <c r="L798" s="68">
        <v>27.0</v>
      </c>
      <c r="M798" s="27">
        <v>0.0033</v>
      </c>
      <c r="N798" s="27">
        <v>0.0077</v>
      </c>
      <c r="O798" s="27">
        <v>0.8645</v>
      </c>
      <c r="P798" s="27">
        <v>0.4706</v>
      </c>
      <c r="Q798" s="68">
        <v>0.0</v>
      </c>
      <c r="R798" s="68">
        <v>0.0</v>
      </c>
      <c r="S798" s="27">
        <v>0.0</v>
      </c>
      <c r="T798" s="27">
        <v>0.0</v>
      </c>
      <c r="U798" s="197">
        <v>0.0</v>
      </c>
      <c r="V798" s="197">
        <v>0.0</v>
      </c>
      <c r="W798" s="68">
        <v>0.0</v>
      </c>
      <c r="X798" s="68">
        <v>0.0</v>
      </c>
    </row>
    <row r="799" ht="15.75" customHeight="1">
      <c r="A799" s="3" t="s">
        <v>67</v>
      </c>
      <c r="B799" s="10" t="str">
        <f t="array" ref="B799">_xlfn.XLOOKUP(D799,'Referanc '!$A:$A,'Referanc '!$B:$B)</f>
        <v>TABLE TOP</v>
      </c>
      <c r="C799" s="68" t="s">
        <v>323</v>
      </c>
      <c r="D799" s="68" t="s">
        <v>323</v>
      </c>
      <c r="E799" s="68" t="s">
        <v>537</v>
      </c>
      <c r="G799" s="68">
        <v>236.0</v>
      </c>
      <c r="H799" s="68">
        <v>12.0</v>
      </c>
      <c r="I799" s="27">
        <v>0.0039</v>
      </c>
      <c r="J799" s="27">
        <v>0.0046</v>
      </c>
      <c r="K799" s="68">
        <v>287.0</v>
      </c>
      <c r="L799" s="68">
        <v>17.0</v>
      </c>
      <c r="M799" s="27">
        <v>0.0035</v>
      </c>
      <c r="N799" s="27">
        <v>0.0049</v>
      </c>
      <c r="O799" s="27">
        <v>0.861</v>
      </c>
      <c r="P799" s="27">
        <v>0.7778</v>
      </c>
      <c r="Q799" s="68">
        <v>0.0</v>
      </c>
      <c r="R799" s="68">
        <v>0.0</v>
      </c>
      <c r="S799" s="27">
        <v>0.0</v>
      </c>
      <c r="T799" s="27">
        <v>0.0</v>
      </c>
      <c r="U799" s="197">
        <v>0.0</v>
      </c>
      <c r="V799" s="197">
        <v>0.0</v>
      </c>
      <c r="W799" s="68">
        <v>0.0</v>
      </c>
      <c r="X799" s="68">
        <v>0.0</v>
      </c>
    </row>
    <row r="800" ht="15.75" customHeight="1">
      <c r="A800" s="3" t="s">
        <v>67</v>
      </c>
      <c r="B800" s="10" t="str">
        <f t="array" ref="B800">_xlfn.XLOOKUP(D800,'Referanc '!$A:$A,'Referanc '!$B:$B)</f>
        <v>TABLE TOP</v>
      </c>
      <c r="C800" s="68" t="s">
        <v>324</v>
      </c>
      <c r="D800" s="68" t="s">
        <v>324</v>
      </c>
      <c r="E800" s="68" t="s">
        <v>533</v>
      </c>
      <c r="G800" s="68">
        <v>488.0</v>
      </c>
      <c r="H800" s="68">
        <v>16.0</v>
      </c>
      <c r="I800" s="27">
        <v>0.008</v>
      </c>
      <c r="J800" s="27">
        <v>0.0062</v>
      </c>
      <c r="K800" s="68">
        <v>636.0</v>
      </c>
      <c r="L800" s="68">
        <v>20.0</v>
      </c>
      <c r="M800" s="27">
        <v>0.0077</v>
      </c>
      <c r="N800" s="27">
        <v>0.0057</v>
      </c>
      <c r="O800" s="27">
        <v>0.8398</v>
      </c>
      <c r="P800" s="27">
        <v>0.8889</v>
      </c>
      <c r="Q800" s="68">
        <v>0.0</v>
      </c>
      <c r="R800" s="68">
        <v>0.0</v>
      </c>
      <c r="S800" s="27">
        <v>0.0</v>
      </c>
      <c r="T800" s="27">
        <v>0.0</v>
      </c>
      <c r="U800" s="197">
        <v>0.0</v>
      </c>
      <c r="V800" s="197">
        <v>0.0</v>
      </c>
      <c r="W800" s="68">
        <v>0.0</v>
      </c>
      <c r="X800" s="68">
        <v>0.0</v>
      </c>
    </row>
    <row r="801" ht="15.75" customHeight="1">
      <c r="A801" s="3" t="s">
        <v>67</v>
      </c>
      <c r="B801" s="10" t="str">
        <f t="array" ref="B801">_xlfn.XLOOKUP(D801,'Referanc '!$A:$A,'Referanc '!$B:$B)</f>
        <v>Standing Table  - M8</v>
      </c>
      <c r="C801" s="68" t="s">
        <v>412</v>
      </c>
      <c r="D801" s="68" t="s">
        <v>412</v>
      </c>
      <c r="E801" s="68" t="s">
        <v>1360</v>
      </c>
      <c r="G801" s="68">
        <v>603.0</v>
      </c>
      <c r="H801" s="68">
        <v>15.0</v>
      </c>
      <c r="I801" s="27">
        <v>0.0099</v>
      </c>
      <c r="J801" s="27">
        <v>0.0058</v>
      </c>
      <c r="K801" s="68">
        <v>708.0</v>
      </c>
      <c r="L801" s="68">
        <v>23.0</v>
      </c>
      <c r="M801" s="27">
        <v>0.0085</v>
      </c>
      <c r="N801" s="27">
        <v>0.0066</v>
      </c>
      <c r="O801" s="27">
        <v>0.8254</v>
      </c>
      <c r="P801" s="27">
        <v>0.8235</v>
      </c>
      <c r="Q801" s="68">
        <v>0.0</v>
      </c>
      <c r="R801" s="68">
        <v>0.0</v>
      </c>
      <c r="S801" s="27">
        <v>0.0</v>
      </c>
      <c r="T801" s="27">
        <v>0.0</v>
      </c>
      <c r="U801" s="197">
        <v>0.0</v>
      </c>
      <c r="V801" s="197">
        <v>0.0</v>
      </c>
      <c r="W801" s="68">
        <v>0.0</v>
      </c>
      <c r="X801" s="68">
        <v>0.0</v>
      </c>
    </row>
    <row r="802" ht="15.75" customHeight="1">
      <c r="A802" s="3" t="s">
        <v>67</v>
      </c>
      <c r="B802" s="10" t="str">
        <f t="array" ref="B802">_xlfn.XLOOKUP(D802,'Referanc '!$A:$A,'Referanc '!$B:$B)</f>
        <v>Standing Table  - M8</v>
      </c>
      <c r="C802" s="68" t="s">
        <v>418</v>
      </c>
      <c r="D802" s="68" t="s">
        <v>418</v>
      </c>
      <c r="E802" s="68" t="s">
        <v>1293</v>
      </c>
      <c r="G802" s="68">
        <v>294.0</v>
      </c>
      <c r="H802" s="68">
        <v>11.0</v>
      </c>
      <c r="I802" s="27">
        <v>0.0048</v>
      </c>
      <c r="J802" s="27">
        <v>0.0042</v>
      </c>
      <c r="K802" s="68">
        <v>410.0</v>
      </c>
      <c r="L802" s="68">
        <v>11.0</v>
      </c>
      <c r="M802" s="27">
        <v>0.0049</v>
      </c>
      <c r="N802" s="27">
        <v>0.0032</v>
      </c>
      <c r="O802" s="27">
        <v>0.9512</v>
      </c>
      <c r="P802" s="27">
        <v>0.7</v>
      </c>
      <c r="Q802" s="68">
        <v>0.0</v>
      </c>
      <c r="R802" s="68">
        <v>0.0</v>
      </c>
      <c r="S802" s="27">
        <v>0.0</v>
      </c>
      <c r="T802" s="27">
        <v>0.0</v>
      </c>
      <c r="U802" s="197">
        <v>0.0</v>
      </c>
      <c r="V802" s="197">
        <v>0.0</v>
      </c>
      <c r="W802" s="68">
        <v>0.0</v>
      </c>
      <c r="X802" s="68">
        <v>0.0</v>
      </c>
    </row>
    <row r="803" ht="15.75" customHeight="1">
      <c r="A803" s="3" t="s">
        <v>67</v>
      </c>
      <c r="B803" s="10" t="str">
        <f t="array" ref="B803">_xlfn.XLOOKUP(D803,'Referanc '!$A:$A,'Referanc '!$B:$B)</f>
        <v>Standing Table  - M3</v>
      </c>
      <c r="C803" s="68" t="s">
        <v>403</v>
      </c>
      <c r="D803" s="68" t="s">
        <v>403</v>
      </c>
      <c r="E803" s="68" t="s">
        <v>1175</v>
      </c>
      <c r="G803" s="68">
        <v>58.0</v>
      </c>
      <c r="H803" s="68">
        <v>1.0</v>
      </c>
      <c r="I803" s="27">
        <v>0.001</v>
      </c>
      <c r="J803" s="27">
        <v>4.0E-4</v>
      </c>
      <c r="K803" s="68">
        <v>103.0</v>
      </c>
      <c r="L803" s="68">
        <v>1.0</v>
      </c>
      <c r="M803" s="27">
        <v>0.0012</v>
      </c>
      <c r="N803" s="27">
        <v>3.0E-4</v>
      </c>
      <c r="O803" s="27">
        <v>0.9468</v>
      </c>
      <c r="P803" s="27">
        <v>1.0</v>
      </c>
      <c r="Q803" s="68">
        <v>0.0</v>
      </c>
      <c r="R803" s="68">
        <v>0.0</v>
      </c>
      <c r="S803" s="27">
        <v>0.0</v>
      </c>
      <c r="T803" s="27">
        <v>0.0</v>
      </c>
      <c r="U803" s="197">
        <v>0.0</v>
      </c>
      <c r="V803" s="197">
        <v>0.0</v>
      </c>
      <c r="W803" s="68">
        <v>0.0</v>
      </c>
      <c r="X803" s="68">
        <v>0.0</v>
      </c>
    </row>
    <row r="804" ht="15.75" customHeight="1">
      <c r="A804" s="3" t="s">
        <v>67</v>
      </c>
      <c r="B804" s="10" t="str">
        <f t="array" ref="B804">_xlfn.XLOOKUP(D804,'Referanc '!$A:$A,'Referanc '!$B:$B)</f>
        <v>Single Leg Gas</v>
      </c>
      <c r="C804" s="68" t="s">
        <v>334</v>
      </c>
      <c r="D804" s="68" t="s">
        <v>334</v>
      </c>
      <c r="E804" s="68" t="s">
        <v>543</v>
      </c>
      <c r="G804" s="68">
        <v>74.0</v>
      </c>
      <c r="H804" s="68">
        <v>1.0</v>
      </c>
      <c r="I804" s="27">
        <v>0.0012</v>
      </c>
      <c r="J804" s="27">
        <v>4.0E-4</v>
      </c>
      <c r="K804" s="68">
        <v>102.0</v>
      </c>
      <c r="L804" s="68">
        <v>1.0</v>
      </c>
      <c r="M804" s="27">
        <v>0.0012</v>
      </c>
      <c r="N804" s="27">
        <v>3.0E-4</v>
      </c>
      <c r="O804" s="27">
        <v>0.7802</v>
      </c>
      <c r="P804" s="27">
        <v>0.0</v>
      </c>
      <c r="Q804" s="68">
        <v>0.0</v>
      </c>
      <c r="R804" s="68">
        <v>0.0</v>
      </c>
      <c r="S804" s="27">
        <v>0.0</v>
      </c>
      <c r="T804" s="27">
        <v>0.0</v>
      </c>
      <c r="U804" s="197">
        <v>0.0</v>
      </c>
      <c r="V804" s="197">
        <v>0.0</v>
      </c>
      <c r="W804" s="68">
        <v>0.0</v>
      </c>
      <c r="X804" s="68">
        <v>0.0</v>
      </c>
    </row>
    <row r="805" ht="15.75" customHeight="1">
      <c r="A805" s="3" t="s">
        <v>67</v>
      </c>
      <c r="B805" s="10" t="str">
        <f t="array" ref="B805">_xlfn.XLOOKUP(D805,'Referanc '!$A:$A,'Referanc '!$B:$B)</f>
        <v>Laptop Riser</v>
      </c>
      <c r="C805" s="68" t="s">
        <v>347</v>
      </c>
      <c r="D805" s="68" t="s">
        <v>347</v>
      </c>
      <c r="E805" s="68" t="s">
        <v>693</v>
      </c>
      <c r="G805" s="68">
        <v>22.0</v>
      </c>
      <c r="H805" s="68">
        <v>0.0</v>
      </c>
      <c r="I805" s="27">
        <v>4.0E-4</v>
      </c>
      <c r="J805" s="27">
        <v>0.0</v>
      </c>
      <c r="K805" s="68">
        <v>32.0</v>
      </c>
      <c r="L805" s="68">
        <v>0.0</v>
      </c>
      <c r="M805" s="27">
        <v>4.0E-4</v>
      </c>
      <c r="N805" s="27">
        <v>0.0</v>
      </c>
      <c r="O805" s="27">
        <v>0.96</v>
      </c>
      <c r="P805" s="27">
        <v>0.0</v>
      </c>
      <c r="Q805" s="68">
        <v>0.0</v>
      </c>
      <c r="R805" s="68">
        <v>0.0</v>
      </c>
      <c r="S805" s="27">
        <v>0.0</v>
      </c>
      <c r="T805" s="27">
        <v>0.0</v>
      </c>
      <c r="U805" s="197">
        <v>0.0</v>
      </c>
      <c r="V805" s="197">
        <v>0.0</v>
      </c>
      <c r="W805" s="68">
        <v>0.0</v>
      </c>
      <c r="X805" s="68">
        <v>0.0</v>
      </c>
    </row>
    <row r="806" ht="15.75" customHeight="1">
      <c r="A806" s="3" t="s">
        <v>67</v>
      </c>
      <c r="B806" s="10" t="str">
        <f t="array" ref="B806">_xlfn.XLOOKUP(D806,'Referanc '!$A:$A,'Referanc '!$B:$B)</f>
        <v>Standing Desk Converter</v>
      </c>
      <c r="C806" s="68" t="s">
        <v>326</v>
      </c>
      <c r="D806" s="68" t="s">
        <v>326</v>
      </c>
      <c r="E806" s="68" t="s">
        <v>1149</v>
      </c>
      <c r="G806" s="68">
        <v>164.0</v>
      </c>
      <c r="H806" s="68">
        <v>10.0</v>
      </c>
      <c r="I806" s="27">
        <v>0.0027</v>
      </c>
      <c r="J806" s="27">
        <v>0.0039</v>
      </c>
      <c r="K806" s="68">
        <v>239.0</v>
      </c>
      <c r="L806" s="68">
        <v>12.0</v>
      </c>
      <c r="M806" s="27">
        <v>0.0029</v>
      </c>
      <c r="N806" s="27">
        <v>0.0034</v>
      </c>
      <c r="O806" s="27">
        <v>0.9404</v>
      </c>
      <c r="P806" s="27">
        <v>0.75</v>
      </c>
      <c r="Q806" s="68">
        <v>0.0</v>
      </c>
      <c r="R806" s="68">
        <v>0.0</v>
      </c>
      <c r="S806" s="27">
        <v>0.0</v>
      </c>
      <c r="T806" s="27">
        <v>0.0</v>
      </c>
      <c r="U806" s="197">
        <v>0.0</v>
      </c>
      <c r="V806" s="197">
        <v>0.0</v>
      </c>
      <c r="W806" s="68">
        <v>0.0</v>
      </c>
      <c r="X806" s="68">
        <v>0.0</v>
      </c>
    </row>
    <row r="807" ht="15.75" customHeight="1">
      <c r="A807" s="3" t="s">
        <v>67</v>
      </c>
      <c r="B807" s="10" t="str">
        <f t="array" ref="B807">_xlfn.XLOOKUP(D807,'Referanc '!$A:$A,'Referanc '!$B:$B)</f>
        <v>Laptop Table</v>
      </c>
      <c r="C807" s="68" t="s">
        <v>328</v>
      </c>
      <c r="D807" s="68" t="s">
        <v>328</v>
      </c>
      <c r="E807" s="68" t="s">
        <v>1349</v>
      </c>
      <c r="G807" s="68">
        <v>165.0</v>
      </c>
      <c r="H807" s="68">
        <v>5.0</v>
      </c>
      <c r="I807" s="27">
        <v>0.0027</v>
      </c>
      <c r="J807" s="27">
        <v>0.0019</v>
      </c>
      <c r="K807" s="68">
        <v>273.0</v>
      </c>
      <c r="L807" s="68">
        <v>5.0</v>
      </c>
      <c r="M807" s="27">
        <v>0.0033</v>
      </c>
      <c r="N807" s="27">
        <v>0.0014</v>
      </c>
      <c r="O807" s="27">
        <v>0.8912</v>
      </c>
      <c r="P807" s="27">
        <v>1.0</v>
      </c>
      <c r="Q807" s="68">
        <v>0.0</v>
      </c>
      <c r="R807" s="68">
        <v>0.0</v>
      </c>
      <c r="S807" s="27">
        <v>0.0</v>
      </c>
      <c r="T807" s="27">
        <v>0.0</v>
      </c>
      <c r="U807" s="197">
        <v>0.0</v>
      </c>
      <c r="V807" s="197">
        <v>0.0</v>
      </c>
      <c r="W807" s="68">
        <v>0.0</v>
      </c>
      <c r="X807" s="68">
        <v>0.0</v>
      </c>
    </row>
    <row r="808" ht="15.75" customHeight="1">
      <c r="A808" s="3" t="s">
        <v>67</v>
      </c>
      <c r="B808" s="10" t="str">
        <f t="array" ref="B808">_xlfn.XLOOKUP(D808,'Referanc '!$A:$A,'Referanc '!$B:$B)</f>
        <v>Standing Table  - E3</v>
      </c>
      <c r="C808" s="68" t="s">
        <v>381</v>
      </c>
      <c r="D808" s="68" t="s">
        <v>381</v>
      </c>
      <c r="E808" s="68" t="s">
        <v>1143</v>
      </c>
      <c r="G808" s="68">
        <v>85.0</v>
      </c>
      <c r="H808" s="68">
        <v>4.0</v>
      </c>
      <c r="I808" s="27">
        <v>0.0014</v>
      </c>
      <c r="J808" s="27">
        <v>0.0015</v>
      </c>
      <c r="K808" s="68">
        <v>104.0</v>
      </c>
      <c r="L808" s="68">
        <v>7.0</v>
      </c>
      <c r="M808" s="27">
        <v>0.0013</v>
      </c>
      <c r="N808" s="27">
        <v>0.002</v>
      </c>
      <c r="O808" s="27">
        <v>0.9063</v>
      </c>
      <c r="P808" s="27">
        <v>1.0</v>
      </c>
      <c r="Q808" s="68">
        <v>0.0</v>
      </c>
      <c r="R808" s="68">
        <v>0.0</v>
      </c>
      <c r="S808" s="27">
        <v>0.0</v>
      </c>
      <c r="T808" s="27">
        <v>0.0</v>
      </c>
      <c r="U808" s="197">
        <v>0.0</v>
      </c>
      <c r="V808" s="197">
        <v>0.0</v>
      </c>
      <c r="W808" s="68">
        <v>0.0</v>
      </c>
      <c r="X808" s="68">
        <v>0.0</v>
      </c>
    </row>
    <row r="809" ht="15.75" customHeight="1">
      <c r="A809" s="3" t="s">
        <v>67</v>
      </c>
      <c r="B809" s="10" t="str">
        <f t="array" ref="B809">_xlfn.XLOOKUP(D809,'Referanc '!$A:$A,'Referanc '!$B:$B)</f>
        <v>Standing Table  - E3</v>
      </c>
      <c r="C809" s="68" t="s">
        <v>344</v>
      </c>
      <c r="D809" s="68" t="s">
        <v>344</v>
      </c>
      <c r="E809" s="68" t="s">
        <v>1351</v>
      </c>
      <c r="G809" s="68">
        <v>198.0</v>
      </c>
      <c r="H809" s="68">
        <v>9.0</v>
      </c>
      <c r="I809" s="27">
        <v>0.0032</v>
      </c>
      <c r="J809" s="27">
        <v>0.0035</v>
      </c>
      <c r="K809" s="68">
        <v>276.0</v>
      </c>
      <c r="L809" s="68">
        <v>9.0</v>
      </c>
      <c r="M809" s="27">
        <v>0.0033</v>
      </c>
      <c r="N809" s="27">
        <v>0.0026</v>
      </c>
      <c r="O809" s="27">
        <v>0.8968</v>
      </c>
      <c r="P809" s="27">
        <v>0.75</v>
      </c>
      <c r="Q809" s="68">
        <v>0.0</v>
      </c>
      <c r="R809" s="68">
        <v>0.0</v>
      </c>
      <c r="S809" s="27">
        <v>0.0</v>
      </c>
      <c r="T809" s="27">
        <v>0.0</v>
      </c>
      <c r="U809" s="197">
        <v>0.0</v>
      </c>
      <c r="V809" s="197">
        <v>0.0</v>
      </c>
      <c r="W809" s="68">
        <v>0.0</v>
      </c>
      <c r="X809" s="68">
        <v>0.0</v>
      </c>
    </row>
    <row r="810" ht="15.75" customHeight="1">
      <c r="A810" s="3" t="s">
        <v>67</v>
      </c>
      <c r="B810" s="10" t="str">
        <f t="array" ref="B810">_xlfn.XLOOKUP(D810,'Referanc '!$A:$A,'Referanc '!$B:$B)</f>
        <v>Standing Table  - E2</v>
      </c>
      <c r="C810" s="68" t="s">
        <v>390</v>
      </c>
      <c r="D810" s="68" t="s">
        <v>390</v>
      </c>
      <c r="E810" s="68" t="s">
        <v>1127</v>
      </c>
      <c r="G810" s="68">
        <v>18.0</v>
      </c>
      <c r="H810" s="68">
        <v>3.0</v>
      </c>
      <c r="I810" s="27">
        <v>3.0E-4</v>
      </c>
      <c r="J810" s="27">
        <v>0.0012</v>
      </c>
      <c r="K810" s="68">
        <v>19.0</v>
      </c>
      <c r="L810" s="68">
        <v>3.0</v>
      </c>
      <c r="M810" s="27">
        <v>2.0E-4</v>
      </c>
      <c r="N810" s="27">
        <v>9.0E-4</v>
      </c>
      <c r="O810" s="27">
        <v>0.7778</v>
      </c>
      <c r="P810" s="27">
        <v>1.0</v>
      </c>
      <c r="Q810" s="68">
        <v>0.0</v>
      </c>
      <c r="R810" s="68">
        <v>0.0</v>
      </c>
      <c r="S810" s="27">
        <v>0.0</v>
      </c>
      <c r="T810" s="27">
        <v>0.0</v>
      </c>
      <c r="U810" s="197">
        <v>0.0</v>
      </c>
      <c r="V810" s="197">
        <v>0.0</v>
      </c>
      <c r="W810" s="68">
        <v>0.0</v>
      </c>
      <c r="X810" s="68">
        <v>0.0</v>
      </c>
    </row>
    <row r="811" ht="15.75" customHeight="1">
      <c r="A811" s="3" t="s">
        <v>67</v>
      </c>
      <c r="B811" s="10" t="str">
        <f t="array" ref="B811">_xlfn.XLOOKUP(D811,'Referanc '!$A:$A,'Referanc '!$B:$B)</f>
        <v>Standing Table  - E2</v>
      </c>
      <c r="C811" s="68" t="s">
        <v>393</v>
      </c>
      <c r="D811" s="68" t="s">
        <v>393</v>
      </c>
      <c r="E811" s="68" t="s">
        <v>1133</v>
      </c>
      <c r="G811" s="68">
        <v>22.0</v>
      </c>
      <c r="H811" s="68">
        <v>1.0</v>
      </c>
      <c r="I811" s="27">
        <v>4.0E-4</v>
      </c>
      <c r="J811" s="27">
        <v>4.0E-4</v>
      </c>
      <c r="K811" s="68">
        <v>29.0</v>
      </c>
      <c r="L811" s="68">
        <v>2.0</v>
      </c>
      <c r="M811" s="27">
        <v>3.0E-4</v>
      </c>
      <c r="N811" s="27">
        <v>6.0E-4</v>
      </c>
      <c r="O811" s="27">
        <v>0.9286</v>
      </c>
      <c r="P811" s="27">
        <v>0.0</v>
      </c>
      <c r="Q811" s="68">
        <v>0.0</v>
      </c>
      <c r="R811" s="68">
        <v>0.0</v>
      </c>
      <c r="S811" s="27">
        <v>0.0</v>
      </c>
      <c r="T811" s="27">
        <v>0.0</v>
      </c>
      <c r="U811" s="197">
        <v>0.0</v>
      </c>
      <c r="V811" s="197">
        <v>0.0</v>
      </c>
      <c r="W811" s="68">
        <v>0.0</v>
      </c>
      <c r="X811" s="68">
        <v>0.0</v>
      </c>
    </row>
    <row r="812" ht="15.75" customHeight="1">
      <c r="A812" s="3" t="s">
        <v>67</v>
      </c>
      <c r="B812" s="10" t="str">
        <f t="array" ref="B812">_xlfn.XLOOKUP(D812,'Referanc '!$A:$A,'Referanc '!$B:$B)</f>
        <v>Standing Table  - E2</v>
      </c>
      <c r="C812" s="68" t="s">
        <v>394</v>
      </c>
      <c r="D812" s="68" t="s">
        <v>394</v>
      </c>
      <c r="E812" s="68" t="s">
        <v>1125</v>
      </c>
      <c r="G812" s="68">
        <v>30.0</v>
      </c>
      <c r="H812" s="68">
        <v>0.0</v>
      </c>
      <c r="I812" s="27">
        <v>5.0E-4</v>
      </c>
      <c r="J812" s="27">
        <v>0.0</v>
      </c>
      <c r="K812" s="68">
        <v>40.0</v>
      </c>
      <c r="L812" s="68">
        <v>0.0</v>
      </c>
      <c r="M812" s="27">
        <v>5.0E-4</v>
      </c>
      <c r="N812" s="27">
        <v>0.0</v>
      </c>
      <c r="O812" s="27">
        <v>0.9211</v>
      </c>
      <c r="P812" s="27">
        <v>0.0</v>
      </c>
      <c r="Q812" s="68">
        <v>0.0</v>
      </c>
      <c r="R812" s="68">
        <v>0.0</v>
      </c>
      <c r="S812" s="27">
        <v>0.0</v>
      </c>
      <c r="T812" s="27">
        <v>0.0</v>
      </c>
      <c r="U812" s="197">
        <v>0.0</v>
      </c>
      <c r="V812" s="197">
        <v>0.0</v>
      </c>
      <c r="W812" s="68">
        <v>0.0</v>
      </c>
      <c r="X812" s="68">
        <v>0.0</v>
      </c>
    </row>
    <row r="813" ht="15.75" customHeight="1">
      <c r="A813" s="3" t="s">
        <v>67</v>
      </c>
      <c r="B813" s="10" t="str">
        <f t="array" ref="B813">_xlfn.XLOOKUP(D813,'Referanc '!$A:$A,'Referanc '!$B:$B)</f>
        <v>Standing Table  - E3</v>
      </c>
      <c r="C813" s="68" t="s">
        <v>397</v>
      </c>
      <c r="D813" s="68" t="s">
        <v>397</v>
      </c>
      <c r="E813" s="68" t="s">
        <v>1154</v>
      </c>
      <c r="G813" s="68">
        <v>49.0</v>
      </c>
      <c r="H813" s="68">
        <v>3.0</v>
      </c>
      <c r="I813" s="27">
        <v>8.0E-4</v>
      </c>
      <c r="J813" s="27">
        <v>0.0012</v>
      </c>
      <c r="K813" s="68">
        <v>62.0</v>
      </c>
      <c r="L813" s="68">
        <v>3.0</v>
      </c>
      <c r="M813" s="27">
        <v>7.0E-4</v>
      </c>
      <c r="N813" s="27">
        <v>9.0E-4</v>
      </c>
      <c r="O813" s="27">
        <v>0.9833</v>
      </c>
      <c r="P813" s="27">
        <v>1.0</v>
      </c>
      <c r="Q813" s="68">
        <v>0.0</v>
      </c>
      <c r="R813" s="68">
        <v>0.0</v>
      </c>
      <c r="S813" s="27">
        <v>0.0</v>
      </c>
      <c r="T813" s="27">
        <v>0.0</v>
      </c>
      <c r="U813" s="197">
        <v>0.0</v>
      </c>
      <c r="V813" s="197">
        <v>0.0</v>
      </c>
      <c r="W813" s="68">
        <v>0.0</v>
      </c>
      <c r="X813" s="68">
        <v>0.0</v>
      </c>
    </row>
    <row r="814" ht="15.75" customHeight="1">
      <c r="A814" s="3" t="s">
        <v>67</v>
      </c>
      <c r="B814" s="10" t="str">
        <f t="array" ref="B814">_xlfn.XLOOKUP(D814,'Referanc '!$A:$A,'Referanc '!$B:$B)</f>
        <v>Standing Table  - E3</v>
      </c>
      <c r="C814" s="68" t="s">
        <v>377</v>
      </c>
      <c r="D814" s="68" t="s">
        <v>377</v>
      </c>
      <c r="E814" s="68" t="s">
        <v>1143</v>
      </c>
      <c r="G814" s="68">
        <v>74.0</v>
      </c>
      <c r="H814" s="68">
        <v>2.0</v>
      </c>
      <c r="I814" s="27">
        <v>0.0012</v>
      </c>
      <c r="J814" s="27">
        <v>8.0E-4</v>
      </c>
      <c r="K814" s="68">
        <v>98.0</v>
      </c>
      <c r="L814" s="68">
        <v>3.0</v>
      </c>
      <c r="M814" s="27">
        <v>0.0012</v>
      </c>
      <c r="N814" s="27">
        <v>9.0E-4</v>
      </c>
      <c r="O814" s="27">
        <v>0.914</v>
      </c>
      <c r="P814" s="27">
        <v>1.0</v>
      </c>
      <c r="Q814" s="68">
        <v>0.0</v>
      </c>
      <c r="R814" s="68">
        <v>0.0</v>
      </c>
      <c r="S814" s="27">
        <v>0.0</v>
      </c>
      <c r="T814" s="27">
        <v>0.0</v>
      </c>
      <c r="U814" s="197">
        <v>0.0</v>
      </c>
      <c r="V814" s="197">
        <v>0.0</v>
      </c>
      <c r="W814" s="68">
        <v>0.0</v>
      </c>
      <c r="X814" s="68">
        <v>0.0</v>
      </c>
    </row>
    <row r="815" ht="15.75" customHeight="1">
      <c r="A815" s="3" t="s">
        <v>67</v>
      </c>
      <c r="B815" s="10" t="str">
        <f t="array" ref="B815">_xlfn.XLOOKUP(D815,'Referanc '!$A:$A,'Referanc '!$B:$B)</f>
        <v>Standing Table  - E3</v>
      </c>
      <c r="C815" s="68" t="s">
        <v>366</v>
      </c>
      <c r="D815" s="68" t="s">
        <v>366</v>
      </c>
      <c r="E815" s="68" t="s">
        <v>1124</v>
      </c>
      <c r="G815" s="68">
        <v>73.0</v>
      </c>
      <c r="H815" s="68">
        <v>8.0</v>
      </c>
      <c r="I815" s="27">
        <v>0.0012</v>
      </c>
      <c r="J815" s="27">
        <v>0.0031</v>
      </c>
      <c r="K815" s="68">
        <v>85.0</v>
      </c>
      <c r="L815" s="68">
        <v>12.0</v>
      </c>
      <c r="M815" s="27">
        <v>0.001</v>
      </c>
      <c r="N815" s="27">
        <v>0.0034</v>
      </c>
      <c r="O815" s="27">
        <v>0.9625</v>
      </c>
      <c r="P815" s="27">
        <v>0.75</v>
      </c>
      <c r="Q815" s="68">
        <v>0.0</v>
      </c>
      <c r="R815" s="68">
        <v>0.0</v>
      </c>
      <c r="S815" s="27">
        <v>0.0</v>
      </c>
      <c r="T815" s="27">
        <v>0.0</v>
      </c>
      <c r="U815" s="197">
        <v>0.0</v>
      </c>
      <c r="V815" s="197">
        <v>0.0</v>
      </c>
      <c r="W815" s="68">
        <v>0.0</v>
      </c>
      <c r="X815" s="68">
        <v>0.0</v>
      </c>
    </row>
    <row r="816" ht="15.75" customHeight="1">
      <c r="A816" s="3" t="s">
        <v>67</v>
      </c>
      <c r="B816" s="10" t="str">
        <f t="array" ref="B816">_xlfn.XLOOKUP(D816,'Referanc '!$A:$A,'Referanc '!$B:$B)</f>
        <v>Standing Table  - SM3</v>
      </c>
      <c r="C816" s="68" t="s">
        <v>401</v>
      </c>
      <c r="D816" s="68" t="s">
        <v>401</v>
      </c>
      <c r="E816" s="68" t="s">
        <v>1362</v>
      </c>
      <c r="G816" s="68">
        <v>157.0</v>
      </c>
      <c r="H816" s="68">
        <v>6.0</v>
      </c>
      <c r="I816" s="27">
        <v>0.0026</v>
      </c>
      <c r="J816" s="27">
        <v>0.0023</v>
      </c>
      <c r="K816" s="68">
        <v>213.0</v>
      </c>
      <c r="L816" s="68">
        <v>7.0</v>
      </c>
      <c r="M816" s="27">
        <v>0.0026</v>
      </c>
      <c r="N816" s="27">
        <v>0.002</v>
      </c>
      <c r="O816" s="27">
        <v>0.9894</v>
      </c>
      <c r="P816" s="27">
        <v>1.0</v>
      </c>
      <c r="Q816" s="68">
        <v>0.0</v>
      </c>
      <c r="R816" s="68">
        <v>0.0</v>
      </c>
      <c r="S816" s="27">
        <v>0.0</v>
      </c>
      <c r="T816" s="27">
        <v>0.0</v>
      </c>
      <c r="U816" s="197">
        <v>0.0</v>
      </c>
      <c r="V816" s="197">
        <v>0.0</v>
      </c>
      <c r="W816" s="68">
        <v>0.0</v>
      </c>
      <c r="X816" s="68">
        <v>0.0</v>
      </c>
    </row>
    <row r="817" ht="15.75" customHeight="1">
      <c r="A817" s="3" t="s">
        <v>67</v>
      </c>
      <c r="B817" s="10" t="str">
        <f t="array" ref="B817">_xlfn.XLOOKUP(D817,'Referanc '!$A:$A,'Referanc '!$B:$B)</f>
        <v>Standing Table  - SM3</v>
      </c>
      <c r="C817" s="68" t="s">
        <v>379</v>
      </c>
      <c r="D817" s="68" t="s">
        <v>379</v>
      </c>
      <c r="E817" s="68" t="s">
        <v>1209</v>
      </c>
      <c r="G817" s="68">
        <v>188.0</v>
      </c>
      <c r="H817" s="68">
        <v>7.0</v>
      </c>
      <c r="I817" s="27">
        <v>0.0031</v>
      </c>
      <c r="J817" s="27">
        <v>0.0027</v>
      </c>
      <c r="K817" s="68">
        <v>256.0</v>
      </c>
      <c r="L817" s="68">
        <v>9.0</v>
      </c>
      <c r="M817" s="27">
        <v>0.0031</v>
      </c>
      <c r="N817" s="27">
        <v>0.0026</v>
      </c>
      <c r="O817" s="27">
        <v>0.928</v>
      </c>
      <c r="P817" s="27">
        <v>1.0</v>
      </c>
      <c r="Q817" s="68">
        <v>0.0</v>
      </c>
      <c r="R817" s="68">
        <v>0.0</v>
      </c>
      <c r="S817" s="27">
        <v>0.0</v>
      </c>
      <c r="T817" s="27">
        <v>0.0</v>
      </c>
      <c r="U817" s="197">
        <v>0.0</v>
      </c>
      <c r="V817" s="197">
        <v>0.0</v>
      </c>
      <c r="W817" s="68">
        <v>0.0</v>
      </c>
      <c r="X817" s="68">
        <v>0.0</v>
      </c>
    </row>
    <row r="818" ht="15.75" customHeight="1">
      <c r="A818" s="3" t="s">
        <v>67</v>
      </c>
      <c r="B818" s="10" t="str">
        <f t="array" ref="B818">_xlfn.XLOOKUP(D818,'Referanc '!$A:$A,'Referanc '!$B:$B)</f>
        <v>Standing Table  - E1A</v>
      </c>
      <c r="C818" s="68" t="s">
        <v>371</v>
      </c>
      <c r="D818" s="68" t="s">
        <v>371</v>
      </c>
      <c r="E818" s="68" t="s">
        <v>1353</v>
      </c>
      <c r="G818" s="68">
        <v>67.0</v>
      </c>
      <c r="H818" s="68">
        <v>2.0</v>
      </c>
      <c r="I818" s="27">
        <v>0.0011</v>
      </c>
      <c r="J818" s="27">
        <v>8.0E-4</v>
      </c>
      <c r="K818" s="68">
        <v>78.0</v>
      </c>
      <c r="L818" s="68">
        <v>2.0</v>
      </c>
      <c r="M818" s="27">
        <v>9.0E-4</v>
      </c>
      <c r="N818" s="27">
        <v>6.0E-4</v>
      </c>
      <c r="O818" s="27">
        <v>0.9722</v>
      </c>
      <c r="P818" s="27">
        <v>1.0</v>
      </c>
      <c r="Q818" s="68">
        <v>0.0</v>
      </c>
      <c r="R818" s="68">
        <v>0.0</v>
      </c>
      <c r="S818" s="27">
        <v>0.0</v>
      </c>
      <c r="T818" s="27">
        <v>0.0</v>
      </c>
      <c r="U818" s="197">
        <v>0.0</v>
      </c>
      <c r="V818" s="197">
        <v>0.0</v>
      </c>
      <c r="W818" s="68">
        <v>0.0</v>
      </c>
      <c r="X818" s="68">
        <v>0.0</v>
      </c>
    </row>
    <row r="819" ht="15.75" customHeight="1">
      <c r="A819" s="3" t="s">
        <v>67</v>
      </c>
      <c r="B819" s="10" t="str">
        <f t="array" ref="B819">_xlfn.XLOOKUP(D819,'Referanc '!$A:$A,'Referanc '!$B:$B)</f>
        <v>Standing Table  - E1A</v>
      </c>
      <c r="C819" s="68" t="s">
        <v>372</v>
      </c>
      <c r="D819" s="68" t="s">
        <v>372</v>
      </c>
      <c r="E819" s="68" t="s">
        <v>1354</v>
      </c>
      <c r="G819" s="68">
        <v>53.0</v>
      </c>
      <c r="H819" s="68">
        <v>1.0</v>
      </c>
      <c r="I819" s="27">
        <v>9.0E-4</v>
      </c>
      <c r="J819" s="27">
        <v>4.0E-4</v>
      </c>
      <c r="K819" s="68">
        <v>71.0</v>
      </c>
      <c r="L819" s="68">
        <v>1.0</v>
      </c>
      <c r="M819" s="27">
        <v>9.0E-4</v>
      </c>
      <c r="N819" s="27">
        <v>3.0E-4</v>
      </c>
      <c r="O819" s="27">
        <v>0.9701</v>
      </c>
      <c r="P819" s="27">
        <v>1.0</v>
      </c>
      <c r="Q819" s="68">
        <v>0.0</v>
      </c>
      <c r="R819" s="68">
        <v>0.0</v>
      </c>
      <c r="S819" s="27">
        <v>0.0</v>
      </c>
      <c r="T819" s="27">
        <v>0.0</v>
      </c>
      <c r="U819" s="197">
        <v>0.0</v>
      </c>
      <c r="V819" s="197">
        <v>0.0</v>
      </c>
      <c r="W819" s="68">
        <v>0.0</v>
      </c>
      <c r="X819" s="68">
        <v>0.0</v>
      </c>
    </row>
    <row r="820" ht="15.75" customHeight="1">
      <c r="A820" s="3" t="s">
        <v>67</v>
      </c>
      <c r="B820" s="10" t="str">
        <f t="array" ref="B820">_xlfn.XLOOKUP(D820,'Referanc '!$A:$A,'Referanc '!$B:$B)</f>
        <v>Standing Table  - E1A</v>
      </c>
      <c r="C820" s="68" t="s">
        <v>378</v>
      </c>
      <c r="D820" s="68" t="s">
        <v>378</v>
      </c>
      <c r="E820" s="68" t="s">
        <v>1367</v>
      </c>
      <c r="G820" s="68">
        <v>134.0</v>
      </c>
      <c r="H820" s="68">
        <v>1.0</v>
      </c>
      <c r="I820" s="27">
        <v>0.0022</v>
      </c>
      <c r="J820" s="27">
        <v>4.0E-4</v>
      </c>
      <c r="K820" s="68">
        <v>171.0</v>
      </c>
      <c r="L820" s="68">
        <v>1.0</v>
      </c>
      <c r="M820" s="27">
        <v>0.0021</v>
      </c>
      <c r="N820" s="27">
        <v>3.0E-4</v>
      </c>
      <c r="O820" s="27">
        <v>0.8987</v>
      </c>
      <c r="P820" s="27">
        <v>1.0</v>
      </c>
      <c r="Q820" s="68">
        <v>0.0</v>
      </c>
      <c r="R820" s="68">
        <v>0.0</v>
      </c>
      <c r="S820" s="27">
        <v>0.0</v>
      </c>
      <c r="T820" s="27">
        <v>0.0</v>
      </c>
      <c r="U820" s="197">
        <v>0.0</v>
      </c>
      <c r="V820" s="197">
        <v>0.0</v>
      </c>
      <c r="W820" s="68">
        <v>0.0</v>
      </c>
      <c r="X820" s="68">
        <v>0.0</v>
      </c>
    </row>
    <row r="821" ht="15.75" customHeight="1">
      <c r="A821" s="3" t="s">
        <v>67</v>
      </c>
      <c r="B821" s="10" t="str">
        <f t="array" ref="B821">_xlfn.XLOOKUP(D821,'Referanc '!$A:$A,'Referanc '!$B:$B)</f>
        <v>Standing Table  - E1A</v>
      </c>
      <c r="C821" s="68" t="s">
        <v>380</v>
      </c>
      <c r="D821" s="68" t="s">
        <v>380</v>
      </c>
      <c r="E821" s="68" t="s">
        <v>1276</v>
      </c>
      <c r="G821" s="68">
        <v>195.0</v>
      </c>
      <c r="H821" s="68">
        <v>8.0</v>
      </c>
      <c r="I821" s="27">
        <v>0.0032</v>
      </c>
      <c r="J821" s="27">
        <v>0.0031</v>
      </c>
      <c r="K821" s="68">
        <v>235.0</v>
      </c>
      <c r="L821" s="68">
        <v>10.0</v>
      </c>
      <c r="M821" s="27">
        <v>0.0028</v>
      </c>
      <c r="N821" s="27">
        <v>0.0029</v>
      </c>
      <c r="O821" s="27">
        <v>0.8826</v>
      </c>
      <c r="P821" s="27">
        <v>0.5714</v>
      </c>
      <c r="Q821" s="68">
        <v>0.0</v>
      </c>
      <c r="R821" s="68">
        <v>0.0</v>
      </c>
      <c r="S821" s="27">
        <v>0.0</v>
      </c>
      <c r="T821" s="27">
        <v>0.0</v>
      </c>
      <c r="U821" s="197">
        <v>0.0</v>
      </c>
      <c r="V821" s="197">
        <v>0.0</v>
      </c>
      <c r="W821" s="68">
        <v>0.0</v>
      </c>
      <c r="X821" s="68">
        <v>0.0</v>
      </c>
    </row>
    <row r="822" ht="15.75" customHeight="1">
      <c r="A822" s="3" t="s">
        <v>67</v>
      </c>
      <c r="B822" s="10" t="str">
        <f t="array" ref="B822">_xlfn.XLOOKUP(D822,'Referanc '!$A:$A,'Referanc '!$B:$B)</f>
        <v>Standing Table  - E1A</v>
      </c>
      <c r="C822" s="68" t="s">
        <v>382</v>
      </c>
      <c r="D822" s="68" t="s">
        <v>382</v>
      </c>
      <c r="E822" s="68" t="s">
        <v>1300</v>
      </c>
      <c r="G822" s="68">
        <v>163.0</v>
      </c>
      <c r="H822" s="68">
        <v>5.0</v>
      </c>
      <c r="I822" s="27">
        <v>0.0027</v>
      </c>
      <c r="J822" s="27">
        <v>0.0019</v>
      </c>
      <c r="K822" s="68">
        <v>219.0</v>
      </c>
      <c r="L822" s="68">
        <v>6.0</v>
      </c>
      <c r="M822" s="27">
        <v>0.0026</v>
      </c>
      <c r="N822" s="27">
        <v>0.0017</v>
      </c>
      <c r="O822" s="27">
        <v>0.88</v>
      </c>
      <c r="P822" s="27">
        <v>0.6667</v>
      </c>
      <c r="Q822" s="68">
        <v>0.0</v>
      </c>
      <c r="R822" s="68">
        <v>0.0</v>
      </c>
      <c r="S822" s="27">
        <v>0.0</v>
      </c>
      <c r="T822" s="27">
        <v>0.0</v>
      </c>
      <c r="U822" s="197">
        <v>0.0</v>
      </c>
      <c r="V822" s="197">
        <v>0.0</v>
      </c>
      <c r="W822" s="68">
        <v>0.0</v>
      </c>
      <c r="X822" s="68">
        <v>0.0</v>
      </c>
    </row>
    <row r="823" ht="15.75" customHeight="1">
      <c r="A823" s="3" t="s">
        <v>67</v>
      </c>
      <c r="B823" s="10" t="str">
        <f t="array" ref="B823">_xlfn.XLOOKUP(D823,'Referanc '!$A:$A,'Referanc '!$B:$B)</f>
        <v>Standing Table  - E1A</v>
      </c>
      <c r="C823" s="68" t="s">
        <v>384</v>
      </c>
      <c r="D823" s="68" t="s">
        <v>384</v>
      </c>
      <c r="E823" s="68" t="s">
        <v>1302</v>
      </c>
      <c r="G823" s="68">
        <v>50.0</v>
      </c>
      <c r="H823" s="68">
        <v>2.0</v>
      </c>
      <c r="I823" s="27">
        <v>8.0E-4</v>
      </c>
      <c r="J823" s="27">
        <v>8.0E-4</v>
      </c>
      <c r="K823" s="68">
        <v>67.0</v>
      </c>
      <c r="L823" s="68">
        <v>2.0</v>
      </c>
      <c r="M823" s="27">
        <v>8.0E-4</v>
      </c>
      <c r="N823" s="27">
        <v>6.0E-4</v>
      </c>
      <c r="O823" s="27">
        <v>0.9153</v>
      </c>
      <c r="P823" s="27">
        <v>0.5</v>
      </c>
      <c r="Q823" s="68">
        <v>0.0</v>
      </c>
      <c r="R823" s="68">
        <v>0.0</v>
      </c>
      <c r="S823" s="27">
        <v>0.0</v>
      </c>
      <c r="T823" s="27">
        <v>0.0</v>
      </c>
      <c r="U823" s="197">
        <v>0.0</v>
      </c>
      <c r="V823" s="197">
        <v>0.0</v>
      </c>
      <c r="W823" s="68">
        <v>0.0</v>
      </c>
      <c r="X823" s="68">
        <v>0.0</v>
      </c>
    </row>
    <row r="824" ht="15.75" customHeight="1">
      <c r="A824" s="3" t="s">
        <v>67</v>
      </c>
      <c r="B824" s="10" t="str">
        <f t="array" ref="B824">_xlfn.XLOOKUP(D824,'Referanc '!$A:$A,'Referanc '!$B:$B)</f>
        <v>Standing Table  - E1A</v>
      </c>
      <c r="C824" s="68" t="s">
        <v>385</v>
      </c>
      <c r="D824" s="68" t="s">
        <v>385</v>
      </c>
      <c r="E824" s="68" t="s">
        <v>1345</v>
      </c>
      <c r="G824" s="68">
        <v>298.0</v>
      </c>
      <c r="H824" s="68">
        <v>18.0</v>
      </c>
      <c r="I824" s="27">
        <v>0.0049</v>
      </c>
      <c r="J824" s="27">
        <v>0.0069</v>
      </c>
      <c r="K824" s="68">
        <v>359.0</v>
      </c>
      <c r="L824" s="68">
        <v>19.0</v>
      </c>
      <c r="M824" s="27">
        <v>0.0043</v>
      </c>
      <c r="N824" s="27">
        <v>0.0055</v>
      </c>
      <c r="O824" s="27">
        <v>0.882</v>
      </c>
      <c r="P824" s="27">
        <v>0.5455</v>
      </c>
      <c r="Q824" s="68">
        <v>0.0</v>
      </c>
      <c r="R824" s="68">
        <v>0.0</v>
      </c>
      <c r="S824" s="27">
        <v>0.0</v>
      </c>
      <c r="T824" s="27">
        <v>0.0</v>
      </c>
      <c r="U824" s="197">
        <v>0.0</v>
      </c>
      <c r="V824" s="197">
        <v>0.0</v>
      </c>
      <c r="W824" s="68">
        <v>0.0</v>
      </c>
      <c r="X824" s="68">
        <v>0.0</v>
      </c>
    </row>
    <row r="825" ht="15.75" customHeight="1">
      <c r="A825" s="3" t="s">
        <v>67</v>
      </c>
      <c r="B825" s="10" t="str">
        <f t="array" ref="B825">_xlfn.XLOOKUP(D825,'Referanc '!$A:$A,'Referanc '!$B:$B)</f>
        <v>Standing Table  - E4</v>
      </c>
      <c r="C825" s="68" t="s">
        <v>405</v>
      </c>
      <c r="D825" s="68" t="s">
        <v>405</v>
      </c>
      <c r="E825" s="68" t="s">
        <v>1305</v>
      </c>
      <c r="G825" s="68">
        <v>63.0</v>
      </c>
      <c r="H825" s="68">
        <v>15.0</v>
      </c>
      <c r="I825" s="27">
        <v>0.001</v>
      </c>
      <c r="J825" s="27">
        <v>0.0058</v>
      </c>
      <c r="K825" s="68">
        <v>105.0</v>
      </c>
      <c r="L825" s="68">
        <v>26.0</v>
      </c>
      <c r="M825" s="27">
        <v>0.0013</v>
      </c>
      <c r="N825" s="27">
        <v>0.0075</v>
      </c>
      <c r="O825" s="27">
        <v>0.9596</v>
      </c>
      <c r="P825" s="27">
        <v>0.0</v>
      </c>
      <c r="Q825" s="68">
        <v>0.0</v>
      </c>
      <c r="R825" s="68">
        <v>0.0</v>
      </c>
      <c r="S825" s="27">
        <v>0.0</v>
      </c>
      <c r="T825" s="27">
        <v>0.0</v>
      </c>
      <c r="U825" s="197">
        <v>0.0</v>
      </c>
      <c r="V825" s="197">
        <v>0.0</v>
      </c>
      <c r="W825" s="68">
        <v>0.0</v>
      </c>
      <c r="X825" s="68">
        <v>0.0</v>
      </c>
    </row>
    <row r="826" ht="15.75" customHeight="1">
      <c r="A826" s="3" t="s">
        <v>67</v>
      </c>
      <c r="B826" s="10" t="str">
        <f t="array" ref="B826">_xlfn.XLOOKUP(D826,'Referanc '!$A:$A,'Referanc '!$B:$B)</f>
        <v>TABLE TOP</v>
      </c>
      <c r="C826" s="68" t="s">
        <v>425</v>
      </c>
      <c r="D826" s="68" t="s">
        <v>425</v>
      </c>
      <c r="E826" s="68" t="s">
        <v>1355</v>
      </c>
      <c r="G826" s="68">
        <v>102.0</v>
      </c>
      <c r="H826" s="68">
        <v>5.0</v>
      </c>
      <c r="I826" s="27">
        <v>0.0017</v>
      </c>
      <c r="J826" s="27">
        <v>0.0019</v>
      </c>
      <c r="K826" s="68">
        <v>129.0</v>
      </c>
      <c r="L826" s="68">
        <v>7.0</v>
      </c>
      <c r="M826" s="27">
        <v>0.0016</v>
      </c>
      <c r="N826" s="27">
        <v>0.002</v>
      </c>
      <c r="O826" s="27">
        <v>0.8957</v>
      </c>
      <c r="P826" s="27">
        <v>0.6667</v>
      </c>
      <c r="Q826" s="68">
        <v>0.0</v>
      </c>
      <c r="R826" s="68">
        <v>0.0</v>
      </c>
      <c r="S826" s="27">
        <v>0.0</v>
      </c>
      <c r="T826" s="27">
        <v>0.0</v>
      </c>
      <c r="U826" s="197">
        <v>0.0</v>
      </c>
      <c r="V826" s="197">
        <v>0.0</v>
      </c>
      <c r="W826" s="68">
        <v>0.0</v>
      </c>
      <c r="X826" s="68">
        <v>0.0</v>
      </c>
    </row>
    <row r="827" ht="15.75" customHeight="1">
      <c r="A827" s="3" t="s">
        <v>67</v>
      </c>
      <c r="B827" s="10" t="str">
        <f t="array" ref="B827">_xlfn.XLOOKUP(D827,'Referanc '!$A:$A,'Referanc '!$B:$B)</f>
        <v>Cup and Headphone Holder</v>
      </c>
      <c r="C827" s="68" t="s">
        <v>322</v>
      </c>
      <c r="D827" s="68" t="s">
        <v>322</v>
      </c>
      <c r="E827" s="68" t="s">
        <v>722</v>
      </c>
      <c r="G827" s="68">
        <v>1.0</v>
      </c>
      <c r="H827" s="68">
        <v>0.0</v>
      </c>
      <c r="I827" s="27">
        <v>0.0</v>
      </c>
      <c r="J827" s="27">
        <v>0.0</v>
      </c>
      <c r="K827" s="68">
        <v>3.0</v>
      </c>
      <c r="L827" s="68">
        <v>0.0</v>
      </c>
      <c r="M827" s="27">
        <v>0.0</v>
      </c>
      <c r="N827" s="27">
        <v>0.0</v>
      </c>
      <c r="O827" s="27">
        <v>0.0</v>
      </c>
      <c r="P827" s="27">
        <v>0.0</v>
      </c>
      <c r="Q827" s="68">
        <v>0.0</v>
      </c>
      <c r="R827" s="68">
        <v>0.0</v>
      </c>
      <c r="S827" s="27">
        <v>0.0</v>
      </c>
      <c r="T827" s="27">
        <v>0.0</v>
      </c>
      <c r="U827" s="197">
        <v>0.0</v>
      </c>
      <c r="V827" s="197">
        <v>0.0</v>
      </c>
      <c r="W827" s="68">
        <v>0.0</v>
      </c>
      <c r="X827" s="68">
        <v>0.0</v>
      </c>
    </row>
    <row r="828" ht="15.75" customHeight="1">
      <c r="A828" s="3" t="s">
        <v>67</v>
      </c>
      <c r="B828" s="10" t="str">
        <f t="array" ref="B828">_xlfn.XLOOKUP(D828,'Referanc '!$A:$A,'Referanc '!$B:$B)</f>
        <v>Standing Table  - M8</v>
      </c>
      <c r="C828" s="68" t="s">
        <v>421</v>
      </c>
      <c r="D828" s="68" t="s">
        <v>421</v>
      </c>
      <c r="E828" s="68" t="s">
        <v>1368</v>
      </c>
      <c r="G828" s="68">
        <v>77.0</v>
      </c>
      <c r="H828" s="68">
        <v>4.0</v>
      </c>
      <c r="I828" s="27">
        <v>0.0013</v>
      </c>
      <c r="J828" s="27">
        <v>0.0015</v>
      </c>
      <c r="K828" s="68">
        <v>103.0</v>
      </c>
      <c r="L828" s="68">
        <v>4.0</v>
      </c>
      <c r="M828" s="27">
        <v>0.0012</v>
      </c>
      <c r="N828" s="27">
        <v>0.0011</v>
      </c>
      <c r="O828" s="27">
        <v>0.83</v>
      </c>
      <c r="P828" s="27">
        <v>1.0</v>
      </c>
      <c r="Q828" s="68">
        <v>0.0</v>
      </c>
      <c r="R828" s="68">
        <v>0.0</v>
      </c>
      <c r="S828" s="27">
        <v>0.0</v>
      </c>
      <c r="T828" s="27">
        <v>0.0</v>
      </c>
      <c r="U828" s="197">
        <v>0.0</v>
      </c>
      <c r="V828" s="197">
        <v>0.0</v>
      </c>
      <c r="W828" s="68">
        <v>0.0</v>
      </c>
      <c r="X828" s="68">
        <v>0.0</v>
      </c>
    </row>
    <row r="829" ht="15.75" customHeight="1">
      <c r="A829" s="3" t="s">
        <v>67</v>
      </c>
      <c r="B829" s="10" t="str">
        <f t="array" ref="B829">_xlfn.XLOOKUP(D829,'Referanc '!$A:$A,'Referanc '!$B:$B)</f>
        <v>Standing Table  - SM4</v>
      </c>
      <c r="C829" s="68" t="s">
        <v>423</v>
      </c>
      <c r="D829" s="68" t="s">
        <v>423</v>
      </c>
      <c r="E829" s="68" t="s">
        <v>736</v>
      </c>
      <c r="G829" s="68">
        <v>29.0</v>
      </c>
      <c r="H829" s="68">
        <v>0.0</v>
      </c>
      <c r="I829" s="27">
        <v>5.0E-4</v>
      </c>
      <c r="J829" s="27">
        <v>0.0</v>
      </c>
      <c r="K829" s="68">
        <v>33.0</v>
      </c>
      <c r="L829" s="68">
        <v>0.0</v>
      </c>
      <c r="M829" s="27">
        <v>4.0E-4</v>
      </c>
      <c r="N829" s="27">
        <v>0.0</v>
      </c>
      <c r="O829" s="27">
        <v>0.963</v>
      </c>
      <c r="P829" s="27">
        <v>0.0</v>
      </c>
      <c r="Q829" s="68">
        <v>0.0</v>
      </c>
      <c r="R829" s="68">
        <v>0.0</v>
      </c>
      <c r="S829" s="27">
        <v>0.0</v>
      </c>
      <c r="T829" s="27">
        <v>0.0</v>
      </c>
      <c r="U829" s="197">
        <v>0.0</v>
      </c>
      <c r="V829" s="197">
        <v>0.0</v>
      </c>
      <c r="W829" s="68">
        <v>0.0</v>
      </c>
      <c r="X829" s="68">
        <v>0.0</v>
      </c>
    </row>
    <row r="830" ht="15.75" customHeight="1">
      <c r="A830" s="3" t="s">
        <v>67</v>
      </c>
      <c r="B830" s="10" t="str">
        <f t="array" ref="B830">_xlfn.XLOOKUP(D830,'Referanc '!$A:$A,'Referanc '!$B:$B)</f>
        <v>Standing Table  - SM4</v>
      </c>
      <c r="C830" s="68" t="s">
        <v>424</v>
      </c>
      <c r="D830" s="68" t="s">
        <v>424</v>
      </c>
      <c r="E830" s="68" t="s">
        <v>737</v>
      </c>
      <c r="G830" s="68">
        <v>46.0</v>
      </c>
      <c r="H830" s="68">
        <v>1.0</v>
      </c>
      <c r="I830" s="27">
        <v>8.0E-4</v>
      </c>
      <c r="J830" s="27">
        <v>4.0E-4</v>
      </c>
      <c r="K830" s="68">
        <v>60.0</v>
      </c>
      <c r="L830" s="68">
        <v>2.0</v>
      </c>
      <c r="M830" s="27">
        <v>7.0E-4</v>
      </c>
      <c r="N830" s="27">
        <v>6.0E-4</v>
      </c>
      <c r="O830" s="27">
        <v>0.98</v>
      </c>
      <c r="P830" s="27">
        <v>1.0</v>
      </c>
      <c r="Q830" s="68">
        <v>0.0</v>
      </c>
      <c r="R830" s="68">
        <v>0.0</v>
      </c>
      <c r="S830" s="27">
        <v>0.0</v>
      </c>
      <c r="T830" s="27">
        <v>0.0</v>
      </c>
      <c r="U830" s="197">
        <v>0.0</v>
      </c>
      <c r="V830" s="197">
        <v>0.0</v>
      </c>
      <c r="W830" s="68">
        <v>0.0</v>
      </c>
      <c r="X830" s="68">
        <v>0.0</v>
      </c>
    </row>
    <row r="831" ht="15.75" customHeight="1">
      <c r="A831" s="3" t="s">
        <v>67</v>
      </c>
      <c r="B831" s="10" t="str">
        <f t="array" ref="B831">_xlfn.XLOOKUP(D831,'Referanc '!$A:$A,'Referanc '!$B:$B)</f>
        <v>Desk Cable Tray</v>
      </c>
      <c r="C831" s="68" t="s">
        <v>327</v>
      </c>
      <c r="D831" s="68" t="s">
        <v>327</v>
      </c>
      <c r="E831" s="68" t="s">
        <v>720</v>
      </c>
      <c r="G831" s="68">
        <v>6.0</v>
      </c>
      <c r="H831" s="68">
        <v>0.0</v>
      </c>
      <c r="I831" s="27">
        <v>1.0E-4</v>
      </c>
      <c r="J831" s="27">
        <v>0.0</v>
      </c>
      <c r="K831" s="68">
        <v>17.0</v>
      </c>
      <c r="L831" s="68">
        <v>0.0</v>
      </c>
      <c r="M831" s="27">
        <v>2.0E-4</v>
      </c>
      <c r="N831" s="27">
        <v>0.0</v>
      </c>
      <c r="O831" s="27">
        <v>0.6875</v>
      </c>
      <c r="P831" s="27">
        <v>0.0</v>
      </c>
      <c r="Q831" s="68">
        <v>0.0</v>
      </c>
      <c r="R831" s="68">
        <v>0.0</v>
      </c>
      <c r="S831" s="27">
        <v>0.0</v>
      </c>
      <c r="T831" s="27">
        <v>0.0</v>
      </c>
      <c r="U831" s="197">
        <v>0.0</v>
      </c>
      <c r="V831" s="197">
        <v>0.0</v>
      </c>
      <c r="W831" s="68">
        <v>0.0</v>
      </c>
      <c r="X831" s="68">
        <v>0.0</v>
      </c>
    </row>
    <row r="832" ht="15.75" customHeight="1">
      <c r="A832" s="3" t="s">
        <v>67</v>
      </c>
      <c r="B832" s="10" t="str">
        <f t="array" ref="B832">_xlfn.XLOOKUP(D832,'Referanc '!$A:$A,'Referanc '!$B:$B)</f>
        <v>Desk Cable Tray</v>
      </c>
      <c r="C832" s="68" t="s">
        <v>329</v>
      </c>
      <c r="D832" s="68" t="s">
        <v>329</v>
      </c>
      <c r="E832" s="68" t="s">
        <v>721</v>
      </c>
      <c r="G832" s="68">
        <v>6.0</v>
      </c>
      <c r="H832" s="68">
        <v>0.0</v>
      </c>
      <c r="I832" s="27">
        <v>1.0E-4</v>
      </c>
      <c r="J832" s="27">
        <v>0.0</v>
      </c>
      <c r="K832" s="68">
        <v>19.0</v>
      </c>
      <c r="L832" s="68">
        <v>0.0</v>
      </c>
      <c r="M832" s="27">
        <v>2.0E-4</v>
      </c>
      <c r="N832" s="27">
        <v>0.0</v>
      </c>
      <c r="O832" s="27">
        <v>0.6667</v>
      </c>
      <c r="P832" s="27">
        <v>0.0</v>
      </c>
      <c r="Q832" s="68">
        <v>0.0</v>
      </c>
      <c r="R832" s="68">
        <v>0.0</v>
      </c>
      <c r="S832" s="27">
        <v>0.0</v>
      </c>
      <c r="T832" s="27">
        <v>0.0</v>
      </c>
      <c r="U832" s="197">
        <v>0.0</v>
      </c>
      <c r="V832" s="197">
        <v>0.0</v>
      </c>
      <c r="W832" s="68">
        <v>0.0</v>
      </c>
      <c r="X832" s="68">
        <v>0.0</v>
      </c>
    </row>
    <row r="833" ht="15.75" customHeight="1">
      <c r="A833" s="3" t="s">
        <v>70</v>
      </c>
      <c r="B833" s="10" t="str">
        <f t="array" ref="B833">_xlfn.XLOOKUP(D833,'Referanc '!$A:$A,'Referanc '!$B:$B)</f>
        <v>Desk Cable Tray</v>
      </c>
      <c r="C833" s="68" t="s">
        <v>325</v>
      </c>
      <c r="D833" s="68" t="s">
        <v>325</v>
      </c>
      <c r="E833" s="68" t="s">
        <v>689</v>
      </c>
      <c r="G833" s="196">
        <v>8114.0</v>
      </c>
      <c r="H833" s="68">
        <v>344.0</v>
      </c>
      <c r="I833" s="27">
        <v>0.1188</v>
      </c>
      <c r="J833" s="27">
        <v>0.1288</v>
      </c>
      <c r="K833" s="196">
        <v>11086.0</v>
      </c>
      <c r="L833" s="68">
        <v>454.0</v>
      </c>
      <c r="M833" s="27">
        <v>0.121</v>
      </c>
      <c r="N833" s="27">
        <v>0.1228</v>
      </c>
      <c r="O833" s="27">
        <v>0.9331</v>
      </c>
      <c r="P833" s="27">
        <v>0.9183</v>
      </c>
      <c r="Q833" s="68">
        <v>115.0</v>
      </c>
      <c r="R833" s="68">
        <v>11.0</v>
      </c>
      <c r="S833" s="27">
        <v>0.0142</v>
      </c>
      <c r="T833" s="27">
        <v>0.032</v>
      </c>
      <c r="U833" s="197">
        <v>264925.0</v>
      </c>
      <c r="V833" s="197">
        <v>25995.0</v>
      </c>
      <c r="W833" s="68">
        <v>109.0</v>
      </c>
      <c r="X833" s="68">
        <v>10.0</v>
      </c>
    </row>
    <row r="834" ht="15.75" customHeight="1">
      <c r="A834" s="3" t="s">
        <v>70</v>
      </c>
      <c r="B834" s="10" t="str">
        <f t="array" ref="B834">_xlfn.XLOOKUP(D834,'Referanc '!$A:$A,'Referanc '!$B:$B)</f>
        <v>Desk Cable Tray</v>
      </c>
      <c r="C834" s="68" t="s">
        <v>314</v>
      </c>
      <c r="D834" s="68" t="s">
        <v>314</v>
      </c>
      <c r="E834" s="68" t="s">
        <v>1244</v>
      </c>
      <c r="G834" s="196">
        <v>4945.0</v>
      </c>
      <c r="H834" s="68">
        <v>248.0</v>
      </c>
      <c r="I834" s="27">
        <v>0.0724</v>
      </c>
      <c r="J834" s="27">
        <v>0.0929</v>
      </c>
      <c r="K834" s="196">
        <v>6631.0</v>
      </c>
      <c r="L834" s="68">
        <v>333.0</v>
      </c>
      <c r="M834" s="27">
        <v>0.0724</v>
      </c>
      <c r="N834" s="27">
        <v>0.0901</v>
      </c>
      <c r="O834" s="27">
        <v>0.9991</v>
      </c>
      <c r="P834" s="27">
        <v>1.0</v>
      </c>
      <c r="Q834" s="68">
        <v>75.0</v>
      </c>
      <c r="R834" s="68">
        <v>3.0</v>
      </c>
      <c r="S834" s="27">
        <v>0.0152</v>
      </c>
      <c r="T834" s="27">
        <v>0.0121</v>
      </c>
      <c r="U834" s="197">
        <v>124539.0</v>
      </c>
      <c r="V834" s="197">
        <v>5298.0</v>
      </c>
      <c r="W834" s="68">
        <v>70.0</v>
      </c>
      <c r="X834" s="68">
        <v>3.0</v>
      </c>
    </row>
    <row r="835" ht="15.75" customHeight="1">
      <c r="A835" s="3" t="s">
        <v>70</v>
      </c>
      <c r="B835" s="10" t="str">
        <f t="array" ref="B835">_xlfn.XLOOKUP(D835,'Referanc '!$A:$A,'Referanc '!$B:$B)</f>
        <v>Desk Cable Tray</v>
      </c>
      <c r="C835" s="68" t="s">
        <v>327</v>
      </c>
      <c r="D835" s="68" t="s">
        <v>327</v>
      </c>
      <c r="E835" s="68" t="s">
        <v>720</v>
      </c>
      <c r="G835" s="196">
        <v>1901.0</v>
      </c>
      <c r="H835" s="68">
        <v>84.0</v>
      </c>
      <c r="I835" s="27">
        <v>0.0278</v>
      </c>
      <c r="J835" s="27">
        <v>0.0315</v>
      </c>
      <c r="K835" s="196">
        <v>2874.0</v>
      </c>
      <c r="L835" s="68">
        <v>111.0</v>
      </c>
      <c r="M835" s="27">
        <v>0.0314</v>
      </c>
      <c r="N835" s="27">
        <v>0.03</v>
      </c>
      <c r="O835" s="27">
        <v>0.9855</v>
      </c>
      <c r="P835" s="27">
        <v>0.913</v>
      </c>
      <c r="Q835" s="68">
        <v>59.0</v>
      </c>
      <c r="R835" s="68">
        <v>1.0</v>
      </c>
      <c r="S835" s="27">
        <v>0.031</v>
      </c>
      <c r="T835" s="27">
        <v>0.0119</v>
      </c>
      <c r="U835" s="197">
        <v>78671.0</v>
      </c>
      <c r="V835" s="197">
        <v>1329.0</v>
      </c>
      <c r="W835" s="68">
        <v>56.0</v>
      </c>
      <c r="X835" s="68">
        <v>1.0</v>
      </c>
    </row>
    <row r="836" ht="15.75" customHeight="1">
      <c r="A836" s="3" t="s">
        <v>70</v>
      </c>
      <c r="B836" s="10" t="str">
        <f t="array" ref="B836">_xlfn.XLOOKUP(D836,'Referanc '!$A:$A,'Referanc '!$B:$B)</f>
        <v>Extension &amp; Holder</v>
      </c>
      <c r="C836" s="68" t="s">
        <v>307</v>
      </c>
      <c r="D836" s="68" t="s">
        <v>307</v>
      </c>
      <c r="E836" s="68" t="s">
        <v>1270</v>
      </c>
      <c r="G836" s="196">
        <v>1960.0</v>
      </c>
      <c r="H836" s="68">
        <v>119.0</v>
      </c>
      <c r="I836" s="27">
        <v>0.0287</v>
      </c>
      <c r="J836" s="27">
        <v>0.0446</v>
      </c>
      <c r="K836" s="196">
        <v>2531.0</v>
      </c>
      <c r="L836" s="68">
        <v>166.0</v>
      </c>
      <c r="M836" s="27">
        <v>0.0276</v>
      </c>
      <c r="N836" s="27">
        <v>0.0449</v>
      </c>
      <c r="O836" s="27">
        <v>0.9892</v>
      </c>
      <c r="P836" s="27">
        <v>0.9794</v>
      </c>
      <c r="Q836" s="68">
        <v>29.0</v>
      </c>
      <c r="R836" s="68">
        <v>0.0</v>
      </c>
      <c r="S836" s="27">
        <v>0.0148</v>
      </c>
      <c r="T836" s="27">
        <v>0.0</v>
      </c>
      <c r="U836" s="197">
        <v>34471.0</v>
      </c>
      <c r="V836" s="197">
        <v>0.0</v>
      </c>
      <c r="W836" s="68">
        <v>27.0</v>
      </c>
      <c r="X836" s="68">
        <v>0.0</v>
      </c>
    </row>
    <row r="837" ht="15.75" customHeight="1">
      <c r="A837" s="3" t="s">
        <v>70</v>
      </c>
      <c r="B837" s="10" t="str">
        <f t="array" ref="B837">_xlfn.XLOOKUP(D837,'Referanc '!$A:$A,'Referanc '!$B:$B)</f>
        <v>Standing Table  - SM4</v>
      </c>
      <c r="C837" s="68" t="s">
        <v>427</v>
      </c>
      <c r="D837" s="68" t="s">
        <v>427</v>
      </c>
      <c r="E837" s="68" t="s">
        <v>738</v>
      </c>
      <c r="G837" s="196">
        <v>5980.0</v>
      </c>
      <c r="H837" s="68">
        <v>194.0</v>
      </c>
      <c r="I837" s="27">
        <v>0.0875</v>
      </c>
      <c r="J837" s="27">
        <v>0.0727</v>
      </c>
      <c r="K837" s="196">
        <v>8358.0</v>
      </c>
      <c r="L837" s="68">
        <v>266.0</v>
      </c>
      <c r="M837" s="27">
        <v>0.0912</v>
      </c>
      <c r="N837" s="27">
        <v>0.072</v>
      </c>
      <c r="O837" s="27">
        <v>0.8268</v>
      </c>
      <c r="P837" s="27">
        <v>0.8451</v>
      </c>
      <c r="Q837" s="68">
        <v>27.0</v>
      </c>
      <c r="R837" s="68">
        <v>4.0</v>
      </c>
      <c r="S837" s="27">
        <v>0.0045</v>
      </c>
      <c r="T837" s="27">
        <v>0.0206</v>
      </c>
      <c r="U837" s="197">
        <v>458973.0</v>
      </c>
      <c r="V837" s="197">
        <v>67996.0</v>
      </c>
      <c r="W837" s="68">
        <v>24.0</v>
      </c>
      <c r="X837" s="68">
        <v>1.0</v>
      </c>
    </row>
    <row r="838" ht="15.75" customHeight="1">
      <c r="A838" s="3" t="s">
        <v>70</v>
      </c>
      <c r="B838" s="10" t="str">
        <f t="array" ref="B838">_xlfn.XLOOKUP(D838,'Referanc '!$A:$A,'Referanc '!$B:$B)</f>
        <v>Standing Table  - SM4</v>
      </c>
      <c r="C838" s="68" t="s">
        <v>430</v>
      </c>
      <c r="D838" s="68" t="s">
        <v>430</v>
      </c>
      <c r="E838" s="68" t="s">
        <v>739</v>
      </c>
      <c r="G838" s="196">
        <v>3904.0</v>
      </c>
      <c r="H838" s="68">
        <v>113.0</v>
      </c>
      <c r="I838" s="27">
        <v>0.0571</v>
      </c>
      <c r="J838" s="27">
        <v>0.0423</v>
      </c>
      <c r="K838" s="196">
        <v>5433.0</v>
      </c>
      <c r="L838" s="68">
        <v>140.0</v>
      </c>
      <c r="M838" s="27">
        <v>0.0593</v>
      </c>
      <c r="N838" s="27">
        <v>0.0379</v>
      </c>
      <c r="O838" s="27">
        <v>0.8329</v>
      </c>
      <c r="P838" s="27">
        <v>0.7766</v>
      </c>
      <c r="Q838" s="68">
        <v>20.0</v>
      </c>
      <c r="R838" s="68">
        <v>2.0</v>
      </c>
      <c r="S838" s="27">
        <v>0.0051</v>
      </c>
      <c r="T838" s="27">
        <v>0.0177</v>
      </c>
      <c r="U838" s="197">
        <v>323982.0</v>
      </c>
      <c r="V838" s="197">
        <v>33998.0</v>
      </c>
      <c r="W838" s="68">
        <v>19.0</v>
      </c>
      <c r="X838" s="68">
        <v>1.0</v>
      </c>
    </row>
    <row r="839" ht="15.75" customHeight="1">
      <c r="A839" s="3" t="s">
        <v>70</v>
      </c>
      <c r="B839" s="10" t="str">
        <f t="array" ref="B839">_xlfn.XLOOKUP(D839,'Referanc '!$A:$A,'Referanc '!$B:$B)</f>
        <v>Standing Table  - SM3</v>
      </c>
      <c r="C839" s="68" t="s">
        <v>291</v>
      </c>
      <c r="D839" s="68" t="s">
        <v>291</v>
      </c>
      <c r="E839" s="68" t="s">
        <v>1310</v>
      </c>
      <c r="G839" s="196">
        <v>6063.0</v>
      </c>
      <c r="H839" s="68">
        <v>199.0</v>
      </c>
      <c r="I839" s="27">
        <v>0.0888</v>
      </c>
      <c r="J839" s="27">
        <v>0.0745</v>
      </c>
      <c r="K839" s="196">
        <v>8213.0</v>
      </c>
      <c r="L839" s="68">
        <v>295.0</v>
      </c>
      <c r="M839" s="27">
        <v>0.0897</v>
      </c>
      <c r="N839" s="27">
        <v>0.0798</v>
      </c>
      <c r="O839" s="27">
        <v>0.7609</v>
      </c>
      <c r="P839" s="27">
        <v>0.771</v>
      </c>
      <c r="Q839" s="68">
        <v>15.0</v>
      </c>
      <c r="R839" s="68">
        <v>0.0</v>
      </c>
      <c r="S839" s="27">
        <v>0.0025</v>
      </c>
      <c r="T839" s="27">
        <v>0.0</v>
      </c>
      <c r="U839" s="197">
        <v>327120.34</v>
      </c>
      <c r="V839" s="197">
        <v>0.0</v>
      </c>
      <c r="W839" s="68">
        <v>15.0</v>
      </c>
      <c r="X839" s="68">
        <v>0.0</v>
      </c>
    </row>
    <row r="840" ht="15.75" customHeight="1">
      <c r="A840" s="3" t="s">
        <v>70</v>
      </c>
      <c r="B840" s="10" t="str">
        <f t="array" ref="B840">_xlfn.XLOOKUP(D840,'Referanc '!$A:$A,'Referanc '!$B:$B)</f>
        <v>Desk Cable Tray</v>
      </c>
      <c r="C840" s="68" t="s">
        <v>329</v>
      </c>
      <c r="D840" s="68" t="s">
        <v>329</v>
      </c>
      <c r="E840" s="68" t="s">
        <v>721</v>
      </c>
      <c r="G840" s="196">
        <v>1019.0</v>
      </c>
      <c r="H840" s="68">
        <v>40.0</v>
      </c>
      <c r="I840" s="27">
        <v>0.0149</v>
      </c>
      <c r="J840" s="27">
        <v>0.015</v>
      </c>
      <c r="K840" s="196">
        <v>1344.0</v>
      </c>
      <c r="L840" s="68">
        <v>51.0</v>
      </c>
      <c r="M840" s="27">
        <v>0.0147</v>
      </c>
      <c r="N840" s="27">
        <v>0.0138</v>
      </c>
      <c r="O840" s="27">
        <v>0.9983</v>
      </c>
      <c r="P840" s="27">
        <v>1.0</v>
      </c>
      <c r="Q840" s="68">
        <v>13.0</v>
      </c>
      <c r="R840" s="68">
        <v>0.0</v>
      </c>
      <c r="S840" s="27">
        <v>0.0128</v>
      </c>
      <c r="T840" s="27">
        <v>0.0</v>
      </c>
      <c r="U840" s="197">
        <v>18187.0</v>
      </c>
      <c r="V840" s="197">
        <v>0.0</v>
      </c>
      <c r="W840" s="68">
        <v>13.0</v>
      </c>
      <c r="X840" s="68">
        <v>0.0</v>
      </c>
    </row>
    <row r="841" ht="15.75" customHeight="1">
      <c r="A841" s="3" t="s">
        <v>70</v>
      </c>
      <c r="B841" s="10" t="str">
        <f t="array" ref="B841">_xlfn.XLOOKUP(D841,'Referanc '!$A:$A,'Referanc '!$B:$B)</f>
        <v>Standing Table  - SM3</v>
      </c>
      <c r="C841" s="68" t="s">
        <v>304</v>
      </c>
      <c r="D841" s="68" t="s">
        <v>304</v>
      </c>
      <c r="E841" s="68" t="s">
        <v>1161</v>
      </c>
      <c r="G841" s="196">
        <v>4963.0</v>
      </c>
      <c r="H841" s="68">
        <v>174.0</v>
      </c>
      <c r="I841" s="27">
        <v>0.0726</v>
      </c>
      <c r="J841" s="27">
        <v>0.0652</v>
      </c>
      <c r="K841" s="196">
        <v>6784.0</v>
      </c>
      <c r="L841" s="68">
        <v>229.0</v>
      </c>
      <c r="M841" s="27">
        <v>0.0741</v>
      </c>
      <c r="N841" s="27">
        <v>0.062</v>
      </c>
      <c r="O841" s="27">
        <v>0.805</v>
      </c>
      <c r="P841" s="27">
        <v>0.8452</v>
      </c>
      <c r="Q841" s="68">
        <v>11.0</v>
      </c>
      <c r="R841" s="68">
        <v>1.0</v>
      </c>
      <c r="S841" s="27">
        <v>0.0022</v>
      </c>
      <c r="T841" s="27">
        <v>0.0057</v>
      </c>
      <c r="U841" s="197">
        <v>235710.51</v>
      </c>
      <c r="V841" s="197">
        <v>22540.0</v>
      </c>
      <c r="W841" s="68">
        <v>11.0</v>
      </c>
      <c r="X841" s="68">
        <v>1.0</v>
      </c>
    </row>
    <row r="842" ht="15.75" customHeight="1">
      <c r="A842" s="3" t="s">
        <v>70</v>
      </c>
      <c r="B842" s="10" t="str">
        <f t="array" ref="B842">_xlfn.XLOOKUP(D842,'Referanc '!$A:$A,'Referanc '!$B:$B)</f>
        <v>Monitor Arm Stand</v>
      </c>
      <c r="C842" s="68" t="s">
        <v>355</v>
      </c>
      <c r="D842" s="68" t="s">
        <v>355</v>
      </c>
      <c r="E842" s="68" t="s">
        <v>1280</v>
      </c>
      <c r="G842" s="196">
        <v>1736.0</v>
      </c>
      <c r="H842" s="68">
        <v>78.0</v>
      </c>
      <c r="I842" s="27">
        <v>0.0254</v>
      </c>
      <c r="J842" s="27">
        <v>0.0292</v>
      </c>
      <c r="K842" s="196">
        <v>2410.0</v>
      </c>
      <c r="L842" s="68">
        <v>120.0</v>
      </c>
      <c r="M842" s="27">
        <v>0.0263</v>
      </c>
      <c r="N842" s="27">
        <v>0.0325</v>
      </c>
      <c r="O842" s="27">
        <v>0.9701</v>
      </c>
      <c r="P842" s="27">
        <v>0.9444</v>
      </c>
      <c r="Q842" s="68">
        <v>10.0</v>
      </c>
      <c r="R842" s="68">
        <v>1.0</v>
      </c>
      <c r="S842" s="27">
        <v>0.0058</v>
      </c>
      <c r="T842" s="27">
        <v>0.0128</v>
      </c>
      <c r="U842" s="197">
        <v>61730.0</v>
      </c>
      <c r="V842" s="197">
        <v>6173.0</v>
      </c>
      <c r="W842" s="68">
        <v>9.0</v>
      </c>
      <c r="X842" s="68">
        <v>1.0</v>
      </c>
    </row>
    <row r="843" ht="15.75" customHeight="1">
      <c r="A843" s="3" t="s">
        <v>70</v>
      </c>
      <c r="B843" s="10" t="str">
        <f t="array" ref="B843">_xlfn.XLOOKUP(D843,'Referanc '!$A:$A,'Referanc '!$B:$B)</f>
        <v>Standing Table  - SM3</v>
      </c>
      <c r="C843" s="68" t="s">
        <v>296</v>
      </c>
      <c r="D843" s="68" t="s">
        <v>296</v>
      </c>
      <c r="E843" s="68" t="s">
        <v>1165</v>
      </c>
      <c r="G843" s="196">
        <v>1261.0</v>
      </c>
      <c r="H843" s="68">
        <v>47.0</v>
      </c>
      <c r="I843" s="27">
        <v>0.0185</v>
      </c>
      <c r="J843" s="27">
        <v>0.0176</v>
      </c>
      <c r="K843" s="196">
        <v>1678.0</v>
      </c>
      <c r="L843" s="68">
        <v>79.0</v>
      </c>
      <c r="M843" s="27">
        <v>0.0183</v>
      </c>
      <c r="N843" s="27">
        <v>0.0214</v>
      </c>
      <c r="O843" s="27">
        <v>0.8244</v>
      </c>
      <c r="P843" s="27">
        <v>0.9512</v>
      </c>
      <c r="Q843" s="68">
        <v>8.0</v>
      </c>
      <c r="R843" s="68">
        <v>1.0</v>
      </c>
      <c r="S843" s="27">
        <v>0.0063</v>
      </c>
      <c r="T843" s="27">
        <v>0.0213</v>
      </c>
      <c r="U843" s="197">
        <v>201100.0</v>
      </c>
      <c r="V843" s="197">
        <v>26300.0</v>
      </c>
      <c r="W843" s="68">
        <v>8.0</v>
      </c>
      <c r="X843" s="68">
        <v>1.0</v>
      </c>
    </row>
    <row r="844" ht="15.75" customHeight="1">
      <c r="A844" s="3" t="s">
        <v>70</v>
      </c>
      <c r="B844" s="10" t="str">
        <f t="array" ref="B844">_xlfn.XLOOKUP(D844,'Referanc '!$A:$A,'Referanc '!$B:$B)</f>
        <v>Standing Table  - E4</v>
      </c>
      <c r="C844" s="68" t="s">
        <v>396</v>
      </c>
      <c r="D844" s="68" t="s">
        <v>396</v>
      </c>
      <c r="E844" s="68" t="s">
        <v>1321</v>
      </c>
      <c r="G844" s="68">
        <v>549.0</v>
      </c>
      <c r="H844" s="68">
        <v>17.0</v>
      </c>
      <c r="I844" s="27">
        <v>0.008</v>
      </c>
      <c r="J844" s="27">
        <v>0.0064</v>
      </c>
      <c r="K844" s="68">
        <v>747.0</v>
      </c>
      <c r="L844" s="68">
        <v>25.0</v>
      </c>
      <c r="M844" s="27">
        <v>0.0082</v>
      </c>
      <c r="N844" s="27">
        <v>0.0068</v>
      </c>
      <c r="O844" s="27">
        <v>0.9094</v>
      </c>
      <c r="P844" s="27">
        <v>1.0</v>
      </c>
      <c r="Q844" s="68">
        <v>8.0</v>
      </c>
      <c r="R844" s="68">
        <v>0.0</v>
      </c>
      <c r="S844" s="27">
        <v>0.0146</v>
      </c>
      <c r="T844" s="27">
        <v>0.0</v>
      </c>
      <c r="U844" s="197">
        <v>229447.28</v>
      </c>
      <c r="V844" s="197">
        <v>0.0</v>
      </c>
      <c r="W844" s="68">
        <v>8.0</v>
      </c>
      <c r="X844" s="68">
        <v>0.0</v>
      </c>
    </row>
    <row r="845" ht="15.75" customHeight="1">
      <c r="A845" s="3" t="s">
        <v>70</v>
      </c>
      <c r="B845" s="10" t="str">
        <f t="array" ref="B845">_xlfn.XLOOKUP(D845,'Referanc '!$A:$A,'Referanc '!$B:$B)</f>
        <v>Standing Table - All Frames</v>
      </c>
      <c r="C845" s="68" t="s">
        <v>298</v>
      </c>
      <c r="D845" s="68" t="s">
        <v>298</v>
      </c>
      <c r="E845" s="68" t="s">
        <v>1168</v>
      </c>
      <c r="G845" s="196">
        <v>1421.0</v>
      </c>
      <c r="H845" s="68">
        <v>71.0</v>
      </c>
      <c r="I845" s="27">
        <v>0.0208</v>
      </c>
      <c r="J845" s="27">
        <v>0.0266</v>
      </c>
      <c r="K845" s="196">
        <v>1819.0</v>
      </c>
      <c r="L845" s="68">
        <v>95.0</v>
      </c>
      <c r="M845" s="27">
        <v>0.0199</v>
      </c>
      <c r="N845" s="27">
        <v>0.0257</v>
      </c>
      <c r="O845" s="27">
        <v>0.8358</v>
      </c>
      <c r="P845" s="27">
        <v>0.7344</v>
      </c>
      <c r="Q845" s="68">
        <v>7.0</v>
      </c>
      <c r="R845" s="68">
        <v>1.0</v>
      </c>
      <c r="S845" s="27">
        <v>0.0049</v>
      </c>
      <c r="T845" s="27">
        <v>0.0141</v>
      </c>
      <c r="U845" s="197">
        <v>128180.34</v>
      </c>
      <c r="V845" s="197">
        <v>18200.0</v>
      </c>
      <c r="W845" s="68">
        <v>7.0</v>
      </c>
      <c r="X845" s="68">
        <v>1.0</v>
      </c>
    </row>
    <row r="846" ht="15.75" customHeight="1">
      <c r="A846" s="3" t="s">
        <v>70</v>
      </c>
      <c r="B846" s="10" t="str">
        <f t="array" ref="B846">_xlfn.XLOOKUP(D846,'Referanc '!$A:$A,'Referanc '!$B:$B)</f>
        <v>Standing Table  - E3</v>
      </c>
      <c r="C846" s="68" t="s">
        <v>365</v>
      </c>
      <c r="D846" s="68" t="s">
        <v>365</v>
      </c>
      <c r="E846" s="68" t="s">
        <v>1322</v>
      </c>
      <c r="G846" s="196">
        <v>1365.0</v>
      </c>
      <c r="H846" s="68">
        <v>32.0</v>
      </c>
      <c r="I846" s="27">
        <v>0.02</v>
      </c>
      <c r="J846" s="27">
        <v>0.012</v>
      </c>
      <c r="K846" s="196">
        <v>1718.0</v>
      </c>
      <c r="L846" s="68">
        <v>56.0</v>
      </c>
      <c r="M846" s="27">
        <v>0.0188</v>
      </c>
      <c r="N846" s="27">
        <v>0.0152</v>
      </c>
      <c r="O846" s="27">
        <v>0.7882</v>
      </c>
      <c r="P846" s="27">
        <v>0.8621</v>
      </c>
      <c r="Q846" s="68">
        <v>6.0</v>
      </c>
      <c r="R846" s="68">
        <v>0.0</v>
      </c>
      <c r="S846" s="27">
        <v>0.0044</v>
      </c>
      <c r="T846" s="27">
        <v>0.0</v>
      </c>
      <c r="U846" s="197">
        <v>244909.84</v>
      </c>
      <c r="V846" s="197">
        <v>0.0</v>
      </c>
      <c r="W846" s="68">
        <v>6.0</v>
      </c>
      <c r="X846" s="68">
        <v>0.0</v>
      </c>
    </row>
    <row r="847" ht="15.75" customHeight="1">
      <c r="A847" s="3" t="s">
        <v>70</v>
      </c>
      <c r="B847" s="10" t="str">
        <f t="array" ref="B847">_xlfn.XLOOKUP(D847,'Referanc '!$A:$A,'Referanc '!$B:$B)</f>
        <v>Standing Table  - SM3</v>
      </c>
      <c r="C847" s="68" t="s">
        <v>301</v>
      </c>
      <c r="D847" s="68" t="s">
        <v>301</v>
      </c>
      <c r="E847" s="68" t="s">
        <v>1313</v>
      </c>
      <c r="G847" s="196">
        <v>1787.0</v>
      </c>
      <c r="H847" s="68">
        <v>54.0</v>
      </c>
      <c r="I847" s="27">
        <v>0.0262</v>
      </c>
      <c r="J847" s="27">
        <v>0.0202</v>
      </c>
      <c r="K847" s="196">
        <v>2198.0</v>
      </c>
      <c r="L847" s="68">
        <v>72.0</v>
      </c>
      <c r="M847" s="27">
        <v>0.024</v>
      </c>
      <c r="N847" s="27">
        <v>0.0195</v>
      </c>
      <c r="O847" s="27">
        <v>0.8356</v>
      </c>
      <c r="P847" s="27">
        <v>0.7917</v>
      </c>
      <c r="Q847" s="68">
        <v>5.0</v>
      </c>
      <c r="R847" s="68">
        <v>0.0</v>
      </c>
      <c r="S847" s="27">
        <v>0.0028</v>
      </c>
      <c r="T847" s="27">
        <v>0.0</v>
      </c>
      <c r="U847" s="197">
        <v>125300.0</v>
      </c>
      <c r="V847" s="197">
        <v>0.0</v>
      </c>
      <c r="W847" s="68">
        <v>5.0</v>
      </c>
      <c r="X847" s="68">
        <v>0.0</v>
      </c>
    </row>
    <row r="848" ht="15.75" customHeight="1">
      <c r="A848" s="3" t="s">
        <v>70</v>
      </c>
      <c r="B848" s="10" t="str">
        <f t="array" ref="B848">_xlfn.XLOOKUP(D848,'Referanc '!$A:$A,'Referanc '!$B:$B)</f>
        <v>Standing Table  - E2</v>
      </c>
      <c r="C848" s="68" t="s">
        <v>311</v>
      </c>
      <c r="D848" s="68" t="s">
        <v>311</v>
      </c>
      <c r="E848" s="68" t="s">
        <v>1132</v>
      </c>
      <c r="G848" s="196">
        <v>1835.0</v>
      </c>
      <c r="H848" s="68">
        <v>49.0</v>
      </c>
      <c r="I848" s="27">
        <v>0.0269</v>
      </c>
      <c r="J848" s="27">
        <v>0.0184</v>
      </c>
      <c r="K848" s="196">
        <v>2484.0</v>
      </c>
      <c r="L848" s="68">
        <v>78.0</v>
      </c>
      <c r="M848" s="27">
        <v>0.0271</v>
      </c>
      <c r="N848" s="27">
        <v>0.0211</v>
      </c>
      <c r="O848" s="27">
        <v>0.8662</v>
      </c>
      <c r="P848" s="27">
        <v>0.8421</v>
      </c>
      <c r="Q848" s="68">
        <v>5.0</v>
      </c>
      <c r="R848" s="68">
        <v>3.0</v>
      </c>
      <c r="S848" s="27">
        <v>0.0027</v>
      </c>
      <c r="T848" s="27">
        <v>0.0612</v>
      </c>
      <c r="U848" s="197">
        <v>177530.16</v>
      </c>
      <c r="V848" s="197">
        <v>107320.0</v>
      </c>
      <c r="W848" s="68">
        <v>5.0</v>
      </c>
      <c r="X848" s="68">
        <v>3.0</v>
      </c>
    </row>
    <row r="849" ht="15.75" customHeight="1">
      <c r="A849" s="3" t="s">
        <v>70</v>
      </c>
      <c r="B849" s="10" t="str">
        <f t="array" ref="B849">_xlfn.XLOOKUP(D849,'Referanc '!$A:$A,'Referanc '!$B:$B)</f>
        <v>Standing Table  - E4</v>
      </c>
      <c r="C849" s="68" t="s">
        <v>404</v>
      </c>
      <c r="D849" s="68" t="s">
        <v>404</v>
      </c>
      <c r="E849" s="68" t="s">
        <v>1304</v>
      </c>
      <c r="G849" s="68">
        <v>129.0</v>
      </c>
      <c r="H849" s="68">
        <v>3.0</v>
      </c>
      <c r="I849" s="27">
        <v>0.0019</v>
      </c>
      <c r="J849" s="27">
        <v>0.0011</v>
      </c>
      <c r="K849" s="68">
        <v>207.0</v>
      </c>
      <c r="L849" s="68">
        <v>3.0</v>
      </c>
      <c r="M849" s="27">
        <v>0.0023</v>
      </c>
      <c r="N849" s="27">
        <v>8.0E-4</v>
      </c>
      <c r="O849" s="27">
        <v>0.9457</v>
      </c>
      <c r="P849" s="27">
        <v>1.0</v>
      </c>
      <c r="Q849" s="68">
        <v>4.0</v>
      </c>
      <c r="R849" s="68">
        <v>0.0</v>
      </c>
      <c r="S849" s="27">
        <v>0.031</v>
      </c>
      <c r="T849" s="27">
        <v>0.0</v>
      </c>
      <c r="U849" s="197">
        <v>106863.28</v>
      </c>
      <c r="V849" s="197">
        <v>0.0</v>
      </c>
      <c r="W849" s="68">
        <v>4.0</v>
      </c>
      <c r="X849" s="68">
        <v>0.0</v>
      </c>
    </row>
    <row r="850" ht="15.75" customHeight="1">
      <c r="A850" s="3" t="s">
        <v>70</v>
      </c>
      <c r="B850" s="10" t="str">
        <f t="array" ref="B850">_xlfn.XLOOKUP(D850,'Referanc '!$A:$A,'Referanc '!$B:$B)</f>
        <v>TABLE TOP</v>
      </c>
      <c r="C850" s="68" t="s">
        <v>324</v>
      </c>
      <c r="D850" s="68" t="s">
        <v>324</v>
      </c>
      <c r="E850" s="68" t="s">
        <v>533</v>
      </c>
      <c r="G850" s="68">
        <v>524.0</v>
      </c>
      <c r="H850" s="68">
        <v>21.0</v>
      </c>
      <c r="I850" s="27">
        <v>0.0077</v>
      </c>
      <c r="J850" s="27">
        <v>0.0079</v>
      </c>
      <c r="K850" s="68">
        <v>693.0</v>
      </c>
      <c r="L850" s="68">
        <v>31.0</v>
      </c>
      <c r="M850" s="27">
        <v>0.0076</v>
      </c>
      <c r="N850" s="27">
        <v>0.0084</v>
      </c>
      <c r="O850" s="27">
        <v>0.8698</v>
      </c>
      <c r="P850" s="27">
        <v>0.75</v>
      </c>
      <c r="Q850" s="68">
        <v>4.0</v>
      </c>
      <c r="R850" s="68">
        <v>0.0</v>
      </c>
      <c r="S850" s="27">
        <v>0.0076</v>
      </c>
      <c r="T850" s="27">
        <v>0.0</v>
      </c>
      <c r="U850" s="197">
        <v>22416.0</v>
      </c>
      <c r="V850" s="197">
        <v>0.0</v>
      </c>
      <c r="W850" s="68">
        <v>3.0</v>
      </c>
      <c r="X850" s="68">
        <v>0.0</v>
      </c>
    </row>
    <row r="851" ht="15.75" customHeight="1">
      <c r="A851" s="3" t="s">
        <v>70</v>
      </c>
      <c r="B851" s="10" t="str">
        <f t="array" ref="B851">_xlfn.XLOOKUP(D851,'Referanc '!$A:$A,'Referanc '!$B:$B)</f>
        <v>Standing Table  - M8</v>
      </c>
      <c r="C851" s="68" t="s">
        <v>415</v>
      </c>
      <c r="D851" s="68" t="s">
        <v>415</v>
      </c>
      <c r="E851" s="68" t="s">
        <v>1291</v>
      </c>
      <c r="G851" s="68">
        <v>221.0</v>
      </c>
      <c r="H851" s="68">
        <v>9.0</v>
      </c>
      <c r="I851" s="27">
        <v>0.0032</v>
      </c>
      <c r="J851" s="27">
        <v>0.0034</v>
      </c>
      <c r="K851" s="68">
        <v>312.0</v>
      </c>
      <c r="L851" s="68">
        <v>15.0</v>
      </c>
      <c r="M851" s="27">
        <v>0.0034</v>
      </c>
      <c r="N851" s="27">
        <v>0.0041</v>
      </c>
      <c r="O851" s="27">
        <v>0.8746</v>
      </c>
      <c r="P851" s="27">
        <v>1.0</v>
      </c>
      <c r="Q851" s="68">
        <v>3.0</v>
      </c>
      <c r="R851" s="68">
        <v>0.0</v>
      </c>
      <c r="S851" s="27">
        <v>0.0136</v>
      </c>
      <c r="T851" s="27">
        <v>0.0</v>
      </c>
      <c r="U851" s="197">
        <v>56542.88</v>
      </c>
      <c r="V851" s="197">
        <v>0.0</v>
      </c>
      <c r="W851" s="68">
        <v>3.0</v>
      </c>
      <c r="X851" s="68">
        <v>0.0</v>
      </c>
    </row>
    <row r="852" ht="15.75" customHeight="1">
      <c r="A852" s="3" t="s">
        <v>70</v>
      </c>
      <c r="B852" s="10" t="str">
        <f t="array" ref="B852">_xlfn.XLOOKUP(D852,'Referanc '!$A:$A,'Referanc '!$B:$B)</f>
        <v>Single Leg Gas</v>
      </c>
      <c r="C852" s="68" t="s">
        <v>362</v>
      </c>
      <c r="D852" s="68" t="s">
        <v>362</v>
      </c>
      <c r="E852" s="68" t="s">
        <v>610</v>
      </c>
      <c r="G852" s="68">
        <v>87.0</v>
      </c>
      <c r="H852" s="68">
        <v>7.0</v>
      </c>
      <c r="I852" s="27">
        <v>0.0013</v>
      </c>
      <c r="J852" s="27">
        <v>0.0026</v>
      </c>
      <c r="K852" s="68">
        <v>153.0</v>
      </c>
      <c r="L852" s="68">
        <v>13.0</v>
      </c>
      <c r="M852" s="27">
        <v>0.0017</v>
      </c>
      <c r="N852" s="27">
        <v>0.0035</v>
      </c>
      <c r="O852" s="27">
        <v>0.9391</v>
      </c>
      <c r="P852" s="27">
        <v>1.0</v>
      </c>
      <c r="Q852" s="68">
        <v>3.0</v>
      </c>
      <c r="R852" s="68">
        <v>1.0</v>
      </c>
      <c r="S852" s="27">
        <v>0.0345</v>
      </c>
      <c r="T852" s="27">
        <v>0.1429</v>
      </c>
      <c r="U852" s="197">
        <v>38200.0</v>
      </c>
      <c r="V852" s="197">
        <v>13900.0</v>
      </c>
      <c r="W852" s="68">
        <v>3.0</v>
      </c>
      <c r="X852" s="68">
        <v>1.0</v>
      </c>
    </row>
    <row r="853" ht="15.75" customHeight="1">
      <c r="A853" s="3" t="s">
        <v>70</v>
      </c>
      <c r="B853" s="10" t="str">
        <f t="array" ref="B853">_xlfn.XLOOKUP(D853,'Referanc '!$A:$A,'Referanc '!$B:$B)</f>
        <v>Standing Table  - E4</v>
      </c>
      <c r="C853" s="68" t="s">
        <v>388</v>
      </c>
      <c r="D853" s="68" t="s">
        <v>388</v>
      </c>
      <c r="E853" s="68" t="s">
        <v>1278</v>
      </c>
      <c r="G853" s="68">
        <v>549.0</v>
      </c>
      <c r="H853" s="68">
        <v>19.0</v>
      </c>
      <c r="I853" s="27">
        <v>0.008</v>
      </c>
      <c r="J853" s="27">
        <v>0.0071</v>
      </c>
      <c r="K853" s="68">
        <v>671.0</v>
      </c>
      <c r="L853" s="68">
        <v>23.0</v>
      </c>
      <c r="M853" s="27">
        <v>0.0073</v>
      </c>
      <c r="N853" s="27">
        <v>0.0062</v>
      </c>
      <c r="O853" s="27">
        <v>0.8941</v>
      </c>
      <c r="P853" s="27">
        <v>0.6667</v>
      </c>
      <c r="Q853" s="68">
        <v>3.0</v>
      </c>
      <c r="R853" s="68">
        <v>1.0</v>
      </c>
      <c r="S853" s="27">
        <v>0.0055</v>
      </c>
      <c r="T853" s="27">
        <v>0.0526</v>
      </c>
      <c r="U853" s="197">
        <v>81855.76</v>
      </c>
      <c r="V853" s="197">
        <v>27255.76</v>
      </c>
      <c r="W853" s="68">
        <v>3.0</v>
      </c>
      <c r="X853" s="68">
        <v>1.0</v>
      </c>
    </row>
    <row r="854" ht="15.75" customHeight="1">
      <c r="A854" s="3" t="s">
        <v>70</v>
      </c>
      <c r="B854" s="10" t="str">
        <f t="array" ref="B854">_xlfn.XLOOKUP(D854,'Referanc '!$A:$A,'Referanc '!$B:$B)</f>
        <v>Standing Table  - E4</v>
      </c>
      <c r="C854" s="68" t="s">
        <v>375</v>
      </c>
      <c r="D854" s="68" t="s">
        <v>375</v>
      </c>
      <c r="E854" s="68" t="s">
        <v>1329</v>
      </c>
      <c r="G854" s="68">
        <v>492.0</v>
      </c>
      <c r="H854" s="68">
        <v>27.0</v>
      </c>
      <c r="I854" s="27">
        <v>0.0072</v>
      </c>
      <c r="J854" s="27">
        <v>0.0101</v>
      </c>
      <c r="K854" s="68">
        <v>649.0</v>
      </c>
      <c r="L854" s="68">
        <v>37.0</v>
      </c>
      <c r="M854" s="27">
        <v>0.0071</v>
      </c>
      <c r="N854" s="27">
        <v>0.01</v>
      </c>
      <c r="O854" s="27">
        <v>0.919</v>
      </c>
      <c r="P854" s="27">
        <v>0.8077</v>
      </c>
      <c r="Q854" s="68">
        <v>3.0</v>
      </c>
      <c r="R854" s="68">
        <v>0.0</v>
      </c>
      <c r="S854" s="27">
        <v>0.0061</v>
      </c>
      <c r="T854" s="27">
        <v>0.0</v>
      </c>
      <c r="U854" s="197">
        <v>81811.52</v>
      </c>
      <c r="V854" s="197">
        <v>0.0</v>
      </c>
      <c r="W854" s="68">
        <v>3.0</v>
      </c>
      <c r="X854" s="68">
        <v>0.0</v>
      </c>
    </row>
    <row r="855" ht="15.75" customHeight="1">
      <c r="A855" s="3" t="s">
        <v>70</v>
      </c>
      <c r="B855" s="10" t="str">
        <f t="array" ref="B855">_xlfn.XLOOKUP(D855,'Referanc '!$A:$A,'Referanc '!$B:$B)</f>
        <v>Standing Table  - E4</v>
      </c>
      <c r="C855" s="68" t="s">
        <v>407</v>
      </c>
      <c r="D855" s="68" t="s">
        <v>407</v>
      </c>
      <c r="E855" s="68" t="s">
        <v>1306</v>
      </c>
      <c r="G855" s="68">
        <v>413.0</v>
      </c>
      <c r="H855" s="68">
        <v>5.0</v>
      </c>
      <c r="I855" s="27">
        <v>0.006</v>
      </c>
      <c r="J855" s="27">
        <v>0.0019</v>
      </c>
      <c r="K855" s="68">
        <v>559.0</v>
      </c>
      <c r="L855" s="68">
        <v>5.0</v>
      </c>
      <c r="M855" s="27">
        <v>0.0061</v>
      </c>
      <c r="N855" s="27">
        <v>0.0014</v>
      </c>
      <c r="O855" s="27">
        <v>0.949</v>
      </c>
      <c r="P855" s="27">
        <v>0.75</v>
      </c>
      <c r="Q855" s="68">
        <v>3.0</v>
      </c>
      <c r="R855" s="68">
        <v>0.0</v>
      </c>
      <c r="S855" s="27">
        <v>0.0073</v>
      </c>
      <c r="T855" s="27">
        <v>0.0</v>
      </c>
      <c r="U855" s="197">
        <v>80158.52</v>
      </c>
      <c r="V855" s="197">
        <v>0.0</v>
      </c>
      <c r="W855" s="68">
        <v>3.0</v>
      </c>
      <c r="X855" s="68">
        <v>0.0</v>
      </c>
    </row>
    <row r="856" ht="15.75" customHeight="1">
      <c r="A856" s="3" t="s">
        <v>70</v>
      </c>
      <c r="B856" s="10" t="str">
        <f t="array" ref="B856">_xlfn.XLOOKUP(D856,'Referanc '!$A:$A,'Referanc '!$B:$B)</f>
        <v>Standing Table - All Frames</v>
      </c>
      <c r="C856" s="68" t="s">
        <v>422</v>
      </c>
      <c r="D856" s="68" t="s">
        <v>422</v>
      </c>
      <c r="E856" s="68" t="s">
        <v>697</v>
      </c>
      <c r="G856" s="68">
        <v>102.0</v>
      </c>
      <c r="H856" s="68">
        <v>7.0</v>
      </c>
      <c r="I856" s="27">
        <v>0.0015</v>
      </c>
      <c r="J856" s="27">
        <v>0.0026</v>
      </c>
      <c r="K856" s="68">
        <v>164.0</v>
      </c>
      <c r="L856" s="68">
        <v>18.0</v>
      </c>
      <c r="M856" s="27">
        <v>0.0018</v>
      </c>
      <c r="N856" s="27">
        <v>0.0049</v>
      </c>
      <c r="O856" s="27">
        <v>0.8836</v>
      </c>
      <c r="P856" s="27">
        <v>0.0</v>
      </c>
      <c r="Q856" s="68">
        <v>3.0</v>
      </c>
      <c r="R856" s="68">
        <v>0.0</v>
      </c>
      <c r="S856" s="27">
        <v>0.0294</v>
      </c>
      <c r="T856" s="27">
        <v>0.0</v>
      </c>
      <c r="U856" s="197">
        <v>66164.28</v>
      </c>
      <c r="V856" s="197">
        <v>0.0</v>
      </c>
      <c r="W856" s="68">
        <v>3.0</v>
      </c>
      <c r="X856" s="68">
        <v>0.0</v>
      </c>
    </row>
    <row r="857" ht="15.75" customHeight="1">
      <c r="A857" s="3" t="s">
        <v>70</v>
      </c>
      <c r="B857" s="10" t="str">
        <f t="array" ref="B857">_xlfn.XLOOKUP(D857,'Referanc '!$A:$A,'Referanc '!$B:$B)</f>
        <v>Standing Table  - SM4</v>
      </c>
      <c r="C857" s="68" t="s">
        <v>426</v>
      </c>
      <c r="D857" s="68" t="s">
        <v>426</v>
      </c>
      <c r="E857" s="68" t="s">
        <v>714</v>
      </c>
      <c r="G857" s="196">
        <v>1404.0</v>
      </c>
      <c r="H857" s="68">
        <v>62.0</v>
      </c>
      <c r="I857" s="27">
        <v>0.0206</v>
      </c>
      <c r="J857" s="27">
        <v>0.0232</v>
      </c>
      <c r="K857" s="196">
        <v>1830.0</v>
      </c>
      <c r="L857" s="68">
        <v>90.0</v>
      </c>
      <c r="M857" s="27">
        <v>0.02</v>
      </c>
      <c r="N857" s="27">
        <v>0.0244</v>
      </c>
      <c r="O857" s="27">
        <v>0.8881</v>
      </c>
      <c r="P857" s="27">
        <v>0.8209</v>
      </c>
      <c r="Q857" s="68">
        <v>3.0</v>
      </c>
      <c r="R857" s="68">
        <v>0.0</v>
      </c>
      <c r="S857" s="27">
        <v>0.0021</v>
      </c>
      <c r="T857" s="27">
        <v>0.0</v>
      </c>
      <c r="U857" s="197">
        <v>47000.0</v>
      </c>
      <c r="V857" s="197">
        <v>0.0</v>
      </c>
      <c r="W857" s="68">
        <v>3.0</v>
      </c>
      <c r="X857" s="68">
        <v>0.0</v>
      </c>
    </row>
    <row r="858" ht="15.75" customHeight="1">
      <c r="A858" s="3" t="s">
        <v>70</v>
      </c>
      <c r="B858" s="10" t="str">
        <f t="array" ref="B858">_xlfn.XLOOKUP(D858,'Referanc '!$A:$A,'Referanc '!$B:$B)</f>
        <v>TABLE TOP</v>
      </c>
      <c r="C858" s="68" t="s">
        <v>357</v>
      </c>
      <c r="D858" s="68" t="s">
        <v>357</v>
      </c>
      <c r="E858" s="68" t="s">
        <v>535</v>
      </c>
      <c r="G858" s="68">
        <v>317.0</v>
      </c>
      <c r="H858" s="68">
        <v>9.0</v>
      </c>
      <c r="I858" s="27">
        <v>0.0046</v>
      </c>
      <c r="J858" s="27">
        <v>0.0034</v>
      </c>
      <c r="K858" s="68">
        <v>414.0</v>
      </c>
      <c r="L858" s="68">
        <v>11.0</v>
      </c>
      <c r="M858" s="27">
        <v>0.0045</v>
      </c>
      <c r="N858" s="27">
        <v>0.003</v>
      </c>
      <c r="O858" s="27">
        <v>0.7931</v>
      </c>
      <c r="P858" s="27">
        <v>0.8333</v>
      </c>
      <c r="Q858" s="68">
        <v>2.0</v>
      </c>
      <c r="R858" s="68">
        <v>0.0</v>
      </c>
      <c r="S858" s="27">
        <v>0.0063</v>
      </c>
      <c r="T858" s="27">
        <v>0.0</v>
      </c>
      <c r="U858" s="197">
        <v>16908.0</v>
      </c>
      <c r="V858" s="197">
        <v>0.0</v>
      </c>
      <c r="W858" s="68">
        <v>2.0</v>
      </c>
      <c r="X858" s="68">
        <v>0.0</v>
      </c>
    </row>
    <row r="859" ht="15.75" customHeight="1">
      <c r="A859" s="3" t="s">
        <v>70</v>
      </c>
      <c r="B859" s="10" t="str">
        <f t="array" ref="B859">_xlfn.XLOOKUP(D859,'Referanc '!$A:$A,'Referanc '!$B:$B)</f>
        <v>TABLE TOP</v>
      </c>
      <c r="C859" s="68" t="s">
        <v>323</v>
      </c>
      <c r="D859" s="68" t="s">
        <v>323</v>
      </c>
      <c r="E859" s="68" t="s">
        <v>537</v>
      </c>
      <c r="G859" s="68">
        <v>399.0</v>
      </c>
      <c r="H859" s="68">
        <v>15.0</v>
      </c>
      <c r="I859" s="27">
        <v>0.0058</v>
      </c>
      <c r="J859" s="27">
        <v>0.0056</v>
      </c>
      <c r="K859" s="68">
        <v>478.0</v>
      </c>
      <c r="L859" s="68">
        <v>20.0</v>
      </c>
      <c r="M859" s="27">
        <v>0.0052</v>
      </c>
      <c r="N859" s="27">
        <v>0.0054</v>
      </c>
      <c r="O859" s="27">
        <v>0.7758</v>
      </c>
      <c r="P859" s="27">
        <v>1.0</v>
      </c>
      <c r="Q859" s="68">
        <v>2.0</v>
      </c>
      <c r="R859" s="68">
        <v>0.0</v>
      </c>
      <c r="S859" s="27">
        <v>0.005</v>
      </c>
      <c r="T859" s="27">
        <v>0.0</v>
      </c>
      <c r="U859" s="197">
        <v>16908.0</v>
      </c>
      <c r="V859" s="197">
        <v>0.0</v>
      </c>
      <c r="W859" s="68">
        <v>2.0</v>
      </c>
      <c r="X859" s="68">
        <v>0.0</v>
      </c>
    </row>
    <row r="860" ht="15.75" customHeight="1">
      <c r="A860" s="3" t="s">
        <v>70</v>
      </c>
      <c r="B860" s="10" t="str">
        <f t="array" ref="B860">_xlfn.XLOOKUP(D860,'Referanc '!$A:$A,'Referanc '!$B:$B)</f>
        <v>Standing Table  - E2</v>
      </c>
      <c r="C860" s="68" t="s">
        <v>313</v>
      </c>
      <c r="D860" s="68" t="s">
        <v>313</v>
      </c>
      <c r="E860" s="68" t="s">
        <v>1125</v>
      </c>
      <c r="G860" s="68">
        <v>771.0</v>
      </c>
      <c r="H860" s="68">
        <v>49.0</v>
      </c>
      <c r="I860" s="27">
        <v>0.0113</v>
      </c>
      <c r="J860" s="27">
        <v>0.0184</v>
      </c>
      <c r="K860" s="68">
        <v>971.0</v>
      </c>
      <c r="L860" s="68">
        <v>57.0</v>
      </c>
      <c r="M860" s="27">
        <v>0.0106</v>
      </c>
      <c r="N860" s="27">
        <v>0.0154</v>
      </c>
      <c r="O860" s="27">
        <v>0.8129</v>
      </c>
      <c r="P860" s="27">
        <v>0.7907</v>
      </c>
      <c r="Q860" s="68">
        <v>2.0</v>
      </c>
      <c r="R860" s="68">
        <v>0.0</v>
      </c>
      <c r="S860" s="27">
        <v>0.0026</v>
      </c>
      <c r="T860" s="27">
        <v>0.0</v>
      </c>
      <c r="U860" s="197">
        <v>66110.16</v>
      </c>
      <c r="V860" s="197">
        <v>0.0</v>
      </c>
      <c r="W860" s="68">
        <v>2.0</v>
      </c>
      <c r="X860" s="68">
        <v>0.0</v>
      </c>
    </row>
    <row r="861" ht="15.75" customHeight="1">
      <c r="A861" s="3" t="s">
        <v>70</v>
      </c>
      <c r="B861" s="10" t="str">
        <f t="array" ref="B861">_xlfn.XLOOKUP(D861,'Referanc '!$A:$A,'Referanc '!$B:$B)</f>
        <v>Standing Table - All Frames</v>
      </c>
      <c r="C861" s="68" t="s">
        <v>343</v>
      </c>
      <c r="D861" s="68" t="s">
        <v>343</v>
      </c>
      <c r="E861" s="68" t="s">
        <v>1153</v>
      </c>
      <c r="G861" s="68">
        <v>261.0</v>
      </c>
      <c r="H861" s="68">
        <v>11.0</v>
      </c>
      <c r="I861" s="27">
        <v>0.0038</v>
      </c>
      <c r="J861" s="27">
        <v>0.0041</v>
      </c>
      <c r="K861" s="68">
        <v>317.0</v>
      </c>
      <c r="L861" s="68">
        <v>15.0</v>
      </c>
      <c r="M861" s="27">
        <v>0.0035</v>
      </c>
      <c r="N861" s="27">
        <v>0.0041</v>
      </c>
      <c r="O861" s="27">
        <v>0.8407</v>
      </c>
      <c r="P861" s="27">
        <v>1.0</v>
      </c>
      <c r="Q861" s="68">
        <v>2.0</v>
      </c>
      <c r="R861" s="68">
        <v>1.0</v>
      </c>
      <c r="S861" s="27">
        <v>0.0077</v>
      </c>
      <c r="T861" s="27">
        <v>0.0909</v>
      </c>
      <c r="U861" s="197">
        <v>70494.92</v>
      </c>
      <c r="V861" s="197">
        <v>35247.46</v>
      </c>
      <c r="W861" s="68">
        <v>2.0</v>
      </c>
      <c r="X861" s="68">
        <v>1.0</v>
      </c>
    </row>
    <row r="862" ht="15.75" customHeight="1">
      <c r="A862" s="3" t="s">
        <v>70</v>
      </c>
      <c r="B862" s="10" t="str">
        <f t="array" ref="B862">_xlfn.XLOOKUP(D862,'Referanc '!$A:$A,'Referanc '!$B:$B)</f>
        <v>Footrests</v>
      </c>
      <c r="C862" s="68" t="s">
        <v>337</v>
      </c>
      <c r="D862" s="68" t="s">
        <v>337</v>
      </c>
      <c r="E862" s="68" t="s">
        <v>545</v>
      </c>
      <c r="G862" s="68">
        <v>170.0</v>
      </c>
      <c r="H862" s="68">
        <v>7.0</v>
      </c>
      <c r="I862" s="27">
        <v>0.0025</v>
      </c>
      <c r="J862" s="27">
        <v>0.0026</v>
      </c>
      <c r="K862" s="68">
        <v>225.0</v>
      </c>
      <c r="L862" s="68">
        <v>9.0</v>
      </c>
      <c r="M862" s="27">
        <v>0.0025</v>
      </c>
      <c r="N862" s="27">
        <v>0.0024</v>
      </c>
      <c r="O862" s="27">
        <v>0.9038</v>
      </c>
      <c r="P862" s="27">
        <v>0.8571</v>
      </c>
      <c r="Q862" s="68">
        <v>2.0</v>
      </c>
      <c r="R862" s="68">
        <v>0.0</v>
      </c>
      <c r="S862" s="27">
        <v>0.0118</v>
      </c>
      <c r="T862" s="27">
        <v>0.0</v>
      </c>
      <c r="U862" s="197">
        <v>5250.0</v>
      </c>
      <c r="V862" s="197">
        <v>0.0</v>
      </c>
      <c r="W862" s="68">
        <v>2.0</v>
      </c>
      <c r="X862" s="68">
        <v>0.0</v>
      </c>
    </row>
    <row r="863" ht="15.75" customHeight="1">
      <c r="A863" s="3" t="s">
        <v>70</v>
      </c>
      <c r="B863" s="10" t="str">
        <f t="array" ref="B863">_xlfn.XLOOKUP(D863,'Referanc '!$A:$A,'Referanc '!$B:$B)</f>
        <v>Standing Table  - E3</v>
      </c>
      <c r="C863" s="68" t="s">
        <v>376</v>
      </c>
      <c r="D863" s="68" t="s">
        <v>376</v>
      </c>
      <c r="E863" s="68" t="s">
        <v>1157</v>
      </c>
      <c r="G863" s="68">
        <v>118.0</v>
      </c>
      <c r="H863" s="68">
        <v>9.0</v>
      </c>
      <c r="I863" s="27">
        <v>0.0017</v>
      </c>
      <c r="J863" s="27">
        <v>0.0034</v>
      </c>
      <c r="K863" s="68">
        <v>151.0</v>
      </c>
      <c r="L863" s="68">
        <v>15.0</v>
      </c>
      <c r="M863" s="27">
        <v>0.0016</v>
      </c>
      <c r="N863" s="27">
        <v>0.0041</v>
      </c>
      <c r="O863" s="27">
        <v>0.8357</v>
      </c>
      <c r="P863" s="27">
        <v>0.5556</v>
      </c>
      <c r="Q863" s="68">
        <v>2.0</v>
      </c>
      <c r="R863" s="68">
        <v>0.0</v>
      </c>
      <c r="S863" s="27">
        <v>0.0169</v>
      </c>
      <c r="T863" s="27">
        <v>0.0</v>
      </c>
      <c r="U863" s="197">
        <v>69672.92</v>
      </c>
      <c r="V863" s="197">
        <v>0.0</v>
      </c>
      <c r="W863" s="68">
        <v>2.0</v>
      </c>
      <c r="X863" s="68">
        <v>0.0</v>
      </c>
    </row>
    <row r="864" ht="15.75" customHeight="1">
      <c r="A864" s="3" t="s">
        <v>70</v>
      </c>
      <c r="B864" s="10" t="str">
        <f t="array" ref="B864">_xlfn.XLOOKUP(D864,'Referanc '!$A:$A,'Referanc '!$B:$B)</f>
        <v>Standing Table  - E3</v>
      </c>
      <c r="C864" s="68" t="s">
        <v>377</v>
      </c>
      <c r="D864" s="68" t="s">
        <v>377</v>
      </c>
      <c r="E864" s="68" t="s">
        <v>1143</v>
      </c>
      <c r="G864" s="68">
        <v>79.0</v>
      </c>
      <c r="H864" s="68">
        <v>1.0</v>
      </c>
      <c r="I864" s="27">
        <v>0.0012</v>
      </c>
      <c r="J864" s="27">
        <v>4.0E-4</v>
      </c>
      <c r="K864" s="68">
        <v>97.0</v>
      </c>
      <c r="L864" s="68">
        <v>1.0</v>
      </c>
      <c r="M864" s="27">
        <v>0.0011</v>
      </c>
      <c r="N864" s="27">
        <v>3.0E-4</v>
      </c>
      <c r="O864" s="27">
        <v>0.8989</v>
      </c>
      <c r="P864" s="27">
        <v>0.0</v>
      </c>
      <c r="Q864" s="68">
        <v>2.0</v>
      </c>
      <c r="R864" s="68">
        <v>0.0</v>
      </c>
      <c r="S864" s="27">
        <v>0.0253</v>
      </c>
      <c r="T864" s="27">
        <v>0.0</v>
      </c>
      <c r="U864" s="197">
        <v>77657.46</v>
      </c>
      <c r="V864" s="197">
        <v>0.0</v>
      </c>
      <c r="W864" s="68">
        <v>2.0</v>
      </c>
      <c r="X864" s="68">
        <v>0.0</v>
      </c>
    </row>
    <row r="865" ht="15.75" customHeight="1">
      <c r="A865" s="3" t="s">
        <v>70</v>
      </c>
      <c r="B865" s="10" t="str">
        <f t="array" ref="B865">_xlfn.XLOOKUP(D865,'Referanc '!$A:$A,'Referanc '!$B:$B)</f>
        <v>Standing Table  - E3</v>
      </c>
      <c r="C865" s="68" t="s">
        <v>400</v>
      </c>
      <c r="D865" s="68" t="s">
        <v>400</v>
      </c>
      <c r="E865" s="68" t="s">
        <v>1130</v>
      </c>
      <c r="G865" s="68">
        <v>218.0</v>
      </c>
      <c r="H865" s="68">
        <v>11.0</v>
      </c>
      <c r="I865" s="27">
        <v>0.0032</v>
      </c>
      <c r="J865" s="27">
        <v>0.0041</v>
      </c>
      <c r="K865" s="68">
        <v>330.0</v>
      </c>
      <c r="L865" s="68">
        <v>12.0</v>
      </c>
      <c r="M865" s="27">
        <v>0.0036</v>
      </c>
      <c r="N865" s="27">
        <v>0.0032</v>
      </c>
      <c r="O865" s="27">
        <v>0.9338</v>
      </c>
      <c r="P865" s="27">
        <v>0.9091</v>
      </c>
      <c r="Q865" s="68">
        <v>2.0</v>
      </c>
      <c r="R865" s="68">
        <v>0.0</v>
      </c>
      <c r="S865" s="27">
        <v>0.0092</v>
      </c>
      <c r="T865" s="27">
        <v>0.0</v>
      </c>
      <c r="U865" s="197">
        <v>81594.92</v>
      </c>
      <c r="V865" s="197">
        <v>0.0</v>
      </c>
      <c r="W865" s="68">
        <v>2.0</v>
      </c>
      <c r="X865" s="68">
        <v>0.0</v>
      </c>
    </row>
    <row r="866" ht="15.75" customHeight="1">
      <c r="A866" s="3" t="s">
        <v>70</v>
      </c>
      <c r="B866" s="10" t="str">
        <f t="array" ref="B866">_xlfn.XLOOKUP(D866,'Referanc '!$A:$A,'Referanc '!$B:$B)</f>
        <v>Standing Table - All Frames</v>
      </c>
      <c r="C866" s="68" t="s">
        <v>368</v>
      </c>
      <c r="D866" s="68" t="s">
        <v>368</v>
      </c>
      <c r="E866" s="68" t="s">
        <v>1184</v>
      </c>
      <c r="G866" s="68">
        <v>440.0</v>
      </c>
      <c r="H866" s="68">
        <v>25.0</v>
      </c>
      <c r="I866" s="27">
        <v>0.0064</v>
      </c>
      <c r="J866" s="27">
        <v>0.0094</v>
      </c>
      <c r="K866" s="68">
        <v>630.0</v>
      </c>
      <c r="L866" s="68">
        <v>31.0</v>
      </c>
      <c r="M866" s="27">
        <v>0.0069</v>
      </c>
      <c r="N866" s="27">
        <v>0.0084</v>
      </c>
      <c r="O866" s="27">
        <v>0.8142</v>
      </c>
      <c r="P866" s="27">
        <v>0.6818</v>
      </c>
      <c r="Q866" s="68">
        <v>2.0</v>
      </c>
      <c r="R866" s="68">
        <v>0.0</v>
      </c>
      <c r="S866" s="27">
        <v>0.0045</v>
      </c>
      <c r="T866" s="27">
        <v>0.0</v>
      </c>
      <c r="U866" s="197">
        <v>36363.39</v>
      </c>
      <c r="V866" s="197">
        <v>0.0</v>
      </c>
      <c r="W866" s="68">
        <v>2.0</v>
      </c>
      <c r="X866" s="68">
        <v>0.0</v>
      </c>
    </row>
    <row r="867" ht="15.75" customHeight="1">
      <c r="A867" s="3" t="s">
        <v>70</v>
      </c>
      <c r="B867" s="10" t="str">
        <f t="array" ref="B867">_xlfn.XLOOKUP(D867,'Referanc '!$A:$A,'Referanc '!$B:$B)</f>
        <v>Standing Table  - SM3</v>
      </c>
      <c r="C867" s="68" t="s">
        <v>358</v>
      </c>
      <c r="D867" s="68" t="s">
        <v>358</v>
      </c>
      <c r="E867" s="68" t="s">
        <v>1165</v>
      </c>
      <c r="G867" s="68">
        <v>480.0</v>
      </c>
      <c r="H867" s="68">
        <v>12.0</v>
      </c>
      <c r="I867" s="27">
        <v>0.007</v>
      </c>
      <c r="J867" s="27">
        <v>0.0045</v>
      </c>
      <c r="K867" s="68">
        <v>646.0</v>
      </c>
      <c r="L867" s="68">
        <v>15.0</v>
      </c>
      <c r="M867" s="27">
        <v>0.0071</v>
      </c>
      <c r="N867" s="27">
        <v>0.0041</v>
      </c>
      <c r="O867" s="27">
        <v>0.8825</v>
      </c>
      <c r="P867" s="27">
        <v>0.9167</v>
      </c>
      <c r="Q867" s="68">
        <v>2.0</v>
      </c>
      <c r="R867" s="68">
        <v>0.0</v>
      </c>
      <c r="S867" s="27">
        <v>0.0042</v>
      </c>
      <c r="T867" s="27">
        <v>0.0</v>
      </c>
      <c r="U867" s="197">
        <v>49500.0</v>
      </c>
      <c r="V867" s="197">
        <v>0.0</v>
      </c>
      <c r="W867" s="68">
        <v>2.0</v>
      </c>
      <c r="X867" s="68">
        <v>0.0</v>
      </c>
    </row>
    <row r="868" ht="15.75" customHeight="1">
      <c r="A868" s="3" t="s">
        <v>70</v>
      </c>
      <c r="B868" s="10" t="str">
        <f t="array" ref="B868">_xlfn.XLOOKUP(D868,'Referanc '!$A:$A,'Referanc '!$B:$B)</f>
        <v>Standing Table  - SM3</v>
      </c>
      <c r="C868" s="68" t="s">
        <v>383</v>
      </c>
      <c r="D868" s="68" t="s">
        <v>383</v>
      </c>
      <c r="E868" s="68" t="s">
        <v>1206</v>
      </c>
      <c r="G868" s="68">
        <v>139.0</v>
      </c>
      <c r="H868" s="68">
        <v>7.0</v>
      </c>
      <c r="I868" s="27">
        <v>0.002</v>
      </c>
      <c r="J868" s="27">
        <v>0.0026</v>
      </c>
      <c r="K868" s="68">
        <v>213.0</v>
      </c>
      <c r="L868" s="68">
        <v>7.0</v>
      </c>
      <c r="M868" s="27">
        <v>0.0023</v>
      </c>
      <c r="N868" s="27">
        <v>0.0019</v>
      </c>
      <c r="O868" s="27">
        <v>0.9251</v>
      </c>
      <c r="P868" s="27">
        <v>0.5</v>
      </c>
      <c r="Q868" s="68">
        <v>2.0</v>
      </c>
      <c r="R868" s="68">
        <v>0.0</v>
      </c>
      <c r="S868" s="27">
        <v>0.0144</v>
      </c>
      <c r="T868" s="27">
        <v>0.0</v>
      </c>
      <c r="U868" s="197">
        <v>46103.39</v>
      </c>
      <c r="V868" s="197">
        <v>0.0</v>
      </c>
      <c r="W868" s="68">
        <v>2.0</v>
      </c>
      <c r="X868" s="68">
        <v>0.0</v>
      </c>
    </row>
    <row r="869" ht="15.75" customHeight="1">
      <c r="A869" s="3" t="s">
        <v>70</v>
      </c>
      <c r="B869" s="10" t="str">
        <f t="array" ref="B869">_xlfn.XLOOKUP(D869,'Referanc '!$A:$A,'Referanc '!$B:$B)</f>
        <v>Standing Table  - E1A</v>
      </c>
      <c r="C869" s="68" t="s">
        <v>359</v>
      </c>
      <c r="D869" s="68" t="s">
        <v>359</v>
      </c>
      <c r="E869" s="68" t="s">
        <v>1366</v>
      </c>
      <c r="G869" s="68">
        <v>376.0</v>
      </c>
      <c r="H869" s="68">
        <v>25.0</v>
      </c>
      <c r="I869" s="27">
        <v>0.0055</v>
      </c>
      <c r="J869" s="27">
        <v>0.0094</v>
      </c>
      <c r="K869" s="68">
        <v>498.0</v>
      </c>
      <c r="L869" s="68">
        <v>32.0</v>
      </c>
      <c r="M869" s="27">
        <v>0.0054</v>
      </c>
      <c r="N869" s="27">
        <v>0.0087</v>
      </c>
      <c r="O869" s="27">
        <v>0.8471</v>
      </c>
      <c r="P869" s="27">
        <v>0.9</v>
      </c>
      <c r="Q869" s="68">
        <v>2.0</v>
      </c>
      <c r="R869" s="68">
        <v>0.0</v>
      </c>
      <c r="S869" s="27">
        <v>0.0053</v>
      </c>
      <c r="T869" s="27">
        <v>0.0</v>
      </c>
      <c r="U869" s="197">
        <v>72998.0</v>
      </c>
      <c r="V869" s="197">
        <v>0.0</v>
      </c>
      <c r="W869" s="68">
        <v>2.0</v>
      </c>
      <c r="X869" s="68">
        <v>0.0</v>
      </c>
    </row>
    <row r="870" ht="15.75" customHeight="1">
      <c r="A870" s="3" t="s">
        <v>70</v>
      </c>
      <c r="B870" s="10" t="str">
        <f t="array" ref="B870">_xlfn.XLOOKUP(D870,'Referanc '!$A:$A,'Referanc '!$B:$B)</f>
        <v>Standing Table - All Frames</v>
      </c>
      <c r="C870" s="68" t="s">
        <v>387</v>
      </c>
      <c r="D870" s="68" t="s">
        <v>387</v>
      </c>
      <c r="E870" s="68" t="s">
        <v>1361</v>
      </c>
      <c r="G870" s="68">
        <v>337.0</v>
      </c>
      <c r="H870" s="68">
        <v>16.0</v>
      </c>
      <c r="I870" s="27">
        <v>0.0049</v>
      </c>
      <c r="J870" s="27">
        <v>0.006</v>
      </c>
      <c r="K870" s="68">
        <v>441.0</v>
      </c>
      <c r="L870" s="68">
        <v>42.0</v>
      </c>
      <c r="M870" s="27">
        <v>0.0048</v>
      </c>
      <c r="N870" s="27">
        <v>0.0114</v>
      </c>
      <c r="O870" s="27">
        <v>0.9547</v>
      </c>
      <c r="P870" s="27">
        <v>0.9375</v>
      </c>
      <c r="Q870" s="68">
        <v>3.0</v>
      </c>
      <c r="R870" s="68">
        <v>0.0</v>
      </c>
      <c r="S870" s="27">
        <v>0.0089</v>
      </c>
      <c r="T870" s="27">
        <v>0.0</v>
      </c>
      <c r="U870" s="197">
        <v>88387.16</v>
      </c>
      <c r="V870" s="197">
        <v>0.0</v>
      </c>
      <c r="W870" s="68">
        <v>2.0</v>
      </c>
      <c r="X870" s="68">
        <v>0.0</v>
      </c>
    </row>
    <row r="871" ht="15.75" customHeight="1">
      <c r="A871" s="3" t="s">
        <v>70</v>
      </c>
      <c r="B871" s="10" t="str">
        <f t="array" ref="B871">_xlfn.XLOOKUP(D871,'Referanc '!$A:$A,'Referanc '!$B:$B)</f>
        <v>Standing Table  - E4</v>
      </c>
      <c r="C871" s="68" t="s">
        <v>405</v>
      </c>
      <c r="D871" s="68" t="s">
        <v>405</v>
      </c>
      <c r="E871" s="68" t="s">
        <v>1305</v>
      </c>
      <c r="G871" s="68">
        <v>91.0</v>
      </c>
      <c r="H871" s="68">
        <v>18.0</v>
      </c>
      <c r="I871" s="27">
        <v>0.0013</v>
      </c>
      <c r="J871" s="27">
        <v>0.0067</v>
      </c>
      <c r="K871" s="68">
        <v>156.0</v>
      </c>
      <c r="L871" s="68">
        <v>31.0</v>
      </c>
      <c r="M871" s="27">
        <v>0.0017</v>
      </c>
      <c r="N871" s="27">
        <v>0.0084</v>
      </c>
      <c r="O871" s="27">
        <v>0.9783</v>
      </c>
      <c r="P871" s="27">
        <v>1.0</v>
      </c>
      <c r="Q871" s="68">
        <v>2.0</v>
      </c>
      <c r="R871" s="68">
        <v>0.0</v>
      </c>
      <c r="S871" s="27">
        <v>0.022</v>
      </c>
      <c r="T871" s="27">
        <v>0.0</v>
      </c>
      <c r="U871" s="197">
        <v>48409.52</v>
      </c>
      <c r="V871" s="197">
        <v>0.0</v>
      </c>
      <c r="W871" s="68">
        <v>2.0</v>
      </c>
      <c r="X871" s="68">
        <v>0.0</v>
      </c>
    </row>
    <row r="872" ht="15.75" customHeight="1">
      <c r="A872" s="3" t="s">
        <v>70</v>
      </c>
      <c r="B872" s="10" t="str">
        <f t="array" ref="B872">_xlfn.XLOOKUP(D872,'Referanc '!$A:$A,'Referanc '!$B:$B)</f>
        <v>Standing Table  - E4</v>
      </c>
      <c r="C872" s="68" t="s">
        <v>409</v>
      </c>
      <c r="D872" s="68" t="s">
        <v>409</v>
      </c>
      <c r="E872" s="68" t="s">
        <v>1307</v>
      </c>
      <c r="G872" s="68">
        <v>84.0</v>
      </c>
      <c r="H872" s="68">
        <v>0.0</v>
      </c>
      <c r="I872" s="27">
        <v>0.0012</v>
      </c>
      <c r="J872" s="27">
        <v>0.0</v>
      </c>
      <c r="K872" s="68">
        <v>125.0</v>
      </c>
      <c r="L872" s="68">
        <v>0.0</v>
      </c>
      <c r="M872" s="27">
        <v>0.0014</v>
      </c>
      <c r="N872" s="27">
        <v>0.0</v>
      </c>
      <c r="O872" s="27">
        <v>0.8241</v>
      </c>
      <c r="P872" s="27">
        <v>0.0</v>
      </c>
      <c r="Q872" s="68">
        <v>2.0</v>
      </c>
      <c r="R872" s="68">
        <v>0.0</v>
      </c>
      <c r="S872" s="27">
        <v>0.0238</v>
      </c>
      <c r="T872" s="27">
        <v>0.0</v>
      </c>
      <c r="U872" s="197">
        <v>48453.76</v>
      </c>
      <c r="V872" s="197">
        <v>0.0</v>
      </c>
      <c r="W872" s="68">
        <v>2.0</v>
      </c>
      <c r="X872" s="68">
        <v>0.0</v>
      </c>
    </row>
    <row r="873" ht="15.75" customHeight="1">
      <c r="A873" s="3" t="s">
        <v>70</v>
      </c>
      <c r="B873" s="10" t="str">
        <f t="array" ref="B873">_xlfn.XLOOKUP(D873,'Referanc '!$A:$A,'Referanc '!$B:$B)</f>
        <v>Standing Table  - M8</v>
      </c>
      <c r="C873" s="68" t="s">
        <v>421</v>
      </c>
      <c r="D873" s="68" t="s">
        <v>421</v>
      </c>
      <c r="E873" s="68" t="s">
        <v>1368</v>
      </c>
      <c r="G873" s="68">
        <v>82.0</v>
      </c>
      <c r="H873" s="68">
        <v>2.0</v>
      </c>
      <c r="I873" s="27">
        <v>0.0012</v>
      </c>
      <c r="J873" s="27">
        <v>7.0E-4</v>
      </c>
      <c r="K873" s="68">
        <v>101.0</v>
      </c>
      <c r="L873" s="68">
        <v>2.0</v>
      </c>
      <c r="M873" s="27">
        <v>0.0011</v>
      </c>
      <c r="N873" s="27">
        <v>5.0E-4</v>
      </c>
      <c r="O873" s="27">
        <v>0.8256</v>
      </c>
      <c r="P873" s="27">
        <v>1.0</v>
      </c>
      <c r="Q873" s="68">
        <v>2.0</v>
      </c>
      <c r="R873" s="68">
        <v>0.0</v>
      </c>
      <c r="S873" s="27">
        <v>0.0244</v>
      </c>
      <c r="T873" s="27">
        <v>0.0</v>
      </c>
      <c r="U873" s="197">
        <v>30600.0</v>
      </c>
      <c r="V873" s="197">
        <v>0.0</v>
      </c>
      <c r="W873" s="68">
        <v>2.0</v>
      </c>
      <c r="X873" s="68">
        <v>0.0</v>
      </c>
    </row>
    <row r="874" ht="15.75" customHeight="1">
      <c r="A874" s="3" t="s">
        <v>70</v>
      </c>
      <c r="B874" s="10" t="str">
        <f t="array" ref="B874">_xlfn.XLOOKUP(D874,'Referanc '!$A:$A,'Referanc '!$B:$B)</f>
        <v>Standing Table  - M8</v>
      </c>
      <c r="C874" s="68" t="s">
        <v>416</v>
      </c>
      <c r="D874" s="68" t="s">
        <v>416</v>
      </c>
      <c r="E874" s="68" t="s">
        <v>1189</v>
      </c>
      <c r="G874" s="68">
        <v>469.0</v>
      </c>
      <c r="H874" s="68">
        <v>26.0</v>
      </c>
      <c r="I874" s="27">
        <v>0.0069</v>
      </c>
      <c r="J874" s="27">
        <v>0.0097</v>
      </c>
      <c r="K874" s="68">
        <v>642.0</v>
      </c>
      <c r="L874" s="68">
        <v>48.0</v>
      </c>
      <c r="M874" s="27">
        <v>0.007</v>
      </c>
      <c r="N874" s="27">
        <v>0.013</v>
      </c>
      <c r="O874" s="27">
        <v>0.8156</v>
      </c>
      <c r="P874" s="27">
        <v>1.0</v>
      </c>
      <c r="Q874" s="68">
        <v>1.0</v>
      </c>
      <c r="R874" s="68">
        <v>0.0</v>
      </c>
      <c r="S874" s="27">
        <v>0.0021</v>
      </c>
      <c r="T874" s="27">
        <v>0.0</v>
      </c>
      <c r="U874" s="197">
        <v>18870.0</v>
      </c>
      <c r="V874" s="197">
        <v>0.0</v>
      </c>
      <c r="W874" s="68">
        <v>1.0</v>
      </c>
      <c r="X874" s="68">
        <v>0.0</v>
      </c>
    </row>
    <row r="875" ht="15.75" customHeight="1">
      <c r="A875" s="3" t="s">
        <v>70</v>
      </c>
      <c r="B875" s="10" t="str">
        <f t="array" ref="B875">_xlfn.XLOOKUP(D875,'Referanc '!$A:$A,'Referanc '!$B:$B)</f>
        <v>Standing Desk Converter</v>
      </c>
      <c r="C875" s="68" t="s">
        <v>363</v>
      </c>
      <c r="D875" s="68" t="s">
        <v>363</v>
      </c>
      <c r="E875" s="68" t="s">
        <v>571</v>
      </c>
      <c r="G875" s="68">
        <v>160.0</v>
      </c>
      <c r="H875" s="68">
        <v>6.0</v>
      </c>
      <c r="I875" s="27">
        <v>0.0023</v>
      </c>
      <c r="J875" s="27">
        <v>0.0022</v>
      </c>
      <c r="K875" s="68">
        <v>243.0</v>
      </c>
      <c r="L875" s="68">
        <v>8.0</v>
      </c>
      <c r="M875" s="27">
        <v>0.0027</v>
      </c>
      <c r="N875" s="27">
        <v>0.0022</v>
      </c>
      <c r="O875" s="27">
        <v>0.8667</v>
      </c>
      <c r="P875" s="27">
        <v>1.0</v>
      </c>
      <c r="Q875" s="68">
        <v>1.0</v>
      </c>
      <c r="R875" s="68">
        <v>0.0</v>
      </c>
      <c r="S875" s="27">
        <v>0.0063</v>
      </c>
      <c r="T875" s="27">
        <v>0.0</v>
      </c>
      <c r="U875" s="197">
        <v>8900.0</v>
      </c>
      <c r="V875" s="197">
        <v>0.0</v>
      </c>
      <c r="W875" s="68">
        <v>1.0</v>
      </c>
      <c r="X875" s="68">
        <v>0.0</v>
      </c>
    </row>
    <row r="876" ht="15.75" customHeight="1">
      <c r="A876" s="3" t="s">
        <v>70</v>
      </c>
      <c r="B876" s="10" t="str">
        <f t="array" ref="B876">_xlfn.XLOOKUP(D876,'Referanc '!$A:$A,'Referanc '!$B:$B)</f>
        <v>Laptop Riser</v>
      </c>
      <c r="C876" s="68" t="s">
        <v>347</v>
      </c>
      <c r="D876" s="68" t="s">
        <v>347</v>
      </c>
      <c r="E876" s="68" t="s">
        <v>693</v>
      </c>
      <c r="G876" s="68">
        <v>25.0</v>
      </c>
      <c r="H876" s="68">
        <v>2.0</v>
      </c>
      <c r="I876" s="27">
        <v>4.0E-4</v>
      </c>
      <c r="J876" s="27">
        <v>7.0E-4</v>
      </c>
      <c r="K876" s="68">
        <v>36.0</v>
      </c>
      <c r="L876" s="68">
        <v>3.0</v>
      </c>
      <c r="M876" s="27">
        <v>4.0E-4</v>
      </c>
      <c r="N876" s="27">
        <v>8.0E-4</v>
      </c>
      <c r="O876" s="27">
        <v>0.9688</v>
      </c>
      <c r="P876" s="27">
        <v>1.0</v>
      </c>
      <c r="Q876" s="68">
        <v>1.0</v>
      </c>
      <c r="R876" s="68">
        <v>1.0</v>
      </c>
      <c r="S876" s="27">
        <v>0.04</v>
      </c>
      <c r="T876" s="27">
        <v>0.5</v>
      </c>
      <c r="U876" s="197">
        <v>4699.0</v>
      </c>
      <c r="V876" s="197">
        <v>4699.0</v>
      </c>
      <c r="W876" s="68">
        <v>1.0</v>
      </c>
      <c r="X876" s="68">
        <v>1.0</v>
      </c>
    </row>
    <row r="877" ht="15.75" customHeight="1">
      <c r="A877" s="3" t="s">
        <v>70</v>
      </c>
      <c r="B877" s="10" t="str">
        <f t="array" ref="B877">_xlfn.XLOOKUP(D877,'Referanc '!$A:$A,'Referanc '!$B:$B)</f>
        <v>Laptop Table</v>
      </c>
      <c r="C877" s="68" t="s">
        <v>328</v>
      </c>
      <c r="D877" s="68" t="s">
        <v>328</v>
      </c>
      <c r="E877" s="68" t="s">
        <v>1349</v>
      </c>
      <c r="G877" s="68">
        <v>62.0</v>
      </c>
      <c r="H877" s="68">
        <v>1.0</v>
      </c>
      <c r="I877" s="27">
        <v>9.0E-4</v>
      </c>
      <c r="J877" s="27">
        <v>4.0E-4</v>
      </c>
      <c r="K877" s="68">
        <v>136.0</v>
      </c>
      <c r="L877" s="68">
        <v>1.0</v>
      </c>
      <c r="M877" s="27">
        <v>0.0015</v>
      </c>
      <c r="N877" s="27">
        <v>3.0E-4</v>
      </c>
      <c r="O877" s="27">
        <v>0.9189</v>
      </c>
      <c r="P877" s="27">
        <v>1.0</v>
      </c>
      <c r="Q877" s="68">
        <v>1.0</v>
      </c>
      <c r="R877" s="68">
        <v>0.0</v>
      </c>
      <c r="S877" s="27">
        <v>0.0161</v>
      </c>
      <c r="T877" s="27">
        <v>0.0</v>
      </c>
      <c r="U877" s="197">
        <v>12150.0</v>
      </c>
      <c r="V877" s="197">
        <v>0.0</v>
      </c>
      <c r="W877" s="68">
        <v>1.0</v>
      </c>
      <c r="X877" s="68">
        <v>0.0</v>
      </c>
    </row>
    <row r="878" ht="15.75" customHeight="1">
      <c r="A878" s="3" t="s">
        <v>70</v>
      </c>
      <c r="B878" s="10" t="str">
        <f t="array" ref="B878">_xlfn.XLOOKUP(D878,'Referanc '!$A:$A,'Referanc '!$B:$B)</f>
        <v>Standing Table  - E3</v>
      </c>
      <c r="C878" s="68" t="s">
        <v>364</v>
      </c>
      <c r="D878" s="68" t="s">
        <v>364</v>
      </c>
      <c r="E878" s="68" t="s">
        <v>1130</v>
      </c>
      <c r="G878" s="68">
        <v>390.0</v>
      </c>
      <c r="H878" s="68">
        <v>20.0</v>
      </c>
      <c r="I878" s="27">
        <v>0.0057</v>
      </c>
      <c r="J878" s="27">
        <v>0.0075</v>
      </c>
      <c r="K878" s="68">
        <v>524.0</v>
      </c>
      <c r="L878" s="68">
        <v>41.0</v>
      </c>
      <c r="M878" s="27">
        <v>0.0057</v>
      </c>
      <c r="N878" s="27">
        <v>0.0111</v>
      </c>
      <c r="O878" s="27">
        <v>0.8025</v>
      </c>
      <c r="P878" s="27">
        <v>1.0</v>
      </c>
      <c r="Q878" s="68">
        <v>1.0</v>
      </c>
      <c r="R878" s="68">
        <v>1.0</v>
      </c>
      <c r="S878" s="27">
        <v>0.0026</v>
      </c>
      <c r="T878" s="27">
        <v>0.05</v>
      </c>
      <c r="U878" s="197">
        <v>40797.46</v>
      </c>
      <c r="V878" s="197">
        <v>40797.46</v>
      </c>
      <c r="W878" s="68">
        <v>1.0</v>
      </c>
      <c r="X878" s="68">
        <v>1.0</v>
      </c>
    </row>
    <row r="879" ht="15.75" customHeight="1">
      <c r="A879" s="3" t="s">
        <v>70</v>
      </c>
      <c r="B879" s="10" t="str">
        <f t="array" ref="B879">_xlfn.XLOOKUP(D879,'Referanc '!$A:$A,'Referanc '!$B:$B)</f>
        <v>Standing Table  - E2</v>
      </c>
      <c r="C879" s="68" t="s">
        <v>293</v>
      </c>
      <c r="D879" s="68" t="s">
        <v>293</v>
      </c>
      <c r="E879" s="68" t="s">
        <v>1133</v>
      </c>
      <c r="G879" s="68">
        <v>678.0</v>
      </c>
      <c r="H879" s="68">
        <v>28.0</v>
      </c>
      <c r="I879" s="27">
        <v>0.0099</v>
      </c>
      <c r="J879" s="27">
        <v>0.0105</v>
      </c>
      <c r="K879" s="68">
        <v>899.0</v>
      </c>
      <c r="L879" s="68">
        <v>40.0</v>
      </c>
      <c r="M879" s="27">
        <v>0.0098</v>
      </c>
      <c r="N879" s="27">
        <v>0.0108</v>
      </c>
      <c r="O879" s="27">
        <v>0.8819</v>
      </c>
      <c r="P879" s="27">
        <v>0.8966</v>
      </c>
      <c r="Q879" s="68">
        <v>1.0</v>
      </c>
      <c r="R879" s="68">
        <v>0.0</v>
      </c>
      <c r="S879" s="27">
        <v>0.0015</v>
      </c>
      <c r="T879" s="27">
        <v>0.0</v>
      </c>
      <c r="U879" s="197">
        <v>33110.0</v>
      </c>
      <c r="V879" s="197">
        <v>0.0</v>
      </c>
      <c r="W879" s="68">
        <v>1.0</v>
      </c>
      <c r="X879" s="68">
        <v>0.0</v>
      </c>
    </row>
    <row r="880" ht="15.75" customHeight="1">
      <c r="A880" s="3" t="s">
        <v>70</v>
      </c>
      <c r="B880" s="10" t="str">
        <f t="array" ref="B880">_xlfn.XLOOKUP(D880,'Referanc '!$A:$A,'Referanc '!$B:$B)</f>
        <v>Standing Table  - E2</v>
      </c>
      <c r="C880" s="68" t="s">
        <v>309</v>
      </c>
      <c r="D880" s="68" t="s">
        <v>309</v>
      </c>
      <c r="E880" s="68" t="s">
        <v>1317</v>
      </c>
      <c r="G880" s="68">
        <v>810.0</v>
      </c>
      <c r="H880" s="68">
        <v>50.0</v>
      </c>
      <c r="I880" s="27">
        <v>0.0119</v>
      </c>
      <c r="J880" s="27">
        <v>0.0187</v>
      </c>
      <c r="K880" s="196">
        <v>1081.0</v>
      </c>
      <c r="L880" s="68">
        <v>78.0</v>
      </c>
      <c r="M880" s="27">
        <v>0.0118</v>
      </c>
      <c r="N880" s="27">
        <v>0.0211</v>
      </c>
      <c r="O880" s="27">
        <v>0.8505</v>
      </c>
      <c r="P880" s="27">
        <v>0.7321</v>
      </c>
      <c r="Q880" s="68">
        <v>1.0</v>
      </c>
      <c r="R880" s="68">
        <v>0.0</v>
      </c>
      <c r="S880" s="27">
        <v>0.0012</v>
      </c>
      <c r="T880" s="27">
        <v>0.0</v>
      </c>
      <c r="U880" s="197">
        <v>35160.0</v>
      </c>
      <c r="V880" s="197">
        <v>0.0</v>
      </c>
      <c r="W880" s="68">
        <v>1.0</v>
      </c>
      <c r="X880" s="68">
        <v>0.0</v>
      </c>
    </row>
    <row r="881" ht="15.75" customHeight="1">
      <c r="A881" s="3" t="s">
        <v>70</v>
      </c>
      <c r="B881" s="10" t="str">
        <f t="array" ref="B881">_xlfn.XLOOKUP(D881,'Referanc '!$A:$A,'Referanc '!$B:$B)</f>
        <v>Standing Table  - E2</v>
      </c>
      <c r="C881" s="68" t="s">
        <v>392</v>
      </c>
      <c r="D881" s="68" t="s">
        <v>392</v>
      </c>
      <c r="E881" s="68" t="s">
        <v>1132</v>
      </c>
      <c r="G881" s="68">
        <v>69.0</v>
      </c>
      <c r="H881" s="68">
        <v>2.0</v>
      </c>
      <c r="I881" s="27">
        <v>0.001</v>
      </c>
      <c r="J881" s="27">
        <v>7.0E-4</v>
      </c>
      <c r="K881" s="68">
        <v>90.0</v>
      </c>
      <c r="L881" s="68">
        <v>2.0</v>
      </c>
      <c r="M881" s="27">
        <v>0.001</v>
      </c>
      <c r="N881" s="27">
        <v>5.0E-4</v>
      </c>
      <c r="O881" s="27">
        <v>0.9146</v>
      </c>
      <c r="P881" s="27">
        <v>1.0</v>
      </c>
      <c r="Q881" s="68">
        <v>1.0</v>
      </c>
      <c r="R881" s="68">
        <v>0.0</v>
      </c>
      <c r="S881" s="27">
        <v>0.0145</v>
      </c>
      <c r="T881" s="27">
        <v>0.0</v>
      </c>
      <c r="U881" s="197">
        <v>34605.08</v>
      </c>
      <c r="V881" s="197">
        <v>0.0</v>
      </c>
      <c r="W881" s="68">
        <v>1.0</v>
      </c>
      <c r="X881" s="68">
        <v>0.0</v>
      </c>
    </row>
    <row r="882" ht="15.75" customHeight="1">
      <c r="A882" s="3" t="s">
        <v>70</v>
      </c>
      <c r="B882" s="10" t="str">
        <f t="array" ref="B882">_xlfn.XLOOKUP(D882,'Referanc '!$A:$A,'Referanc '!$B:$B)</f>
        <v>Standing Table  - E3</v>
      </c>
      <c r="C882" s="68" t="s">
        <v>366</v>
      </c>
      <c r="D882" s="68" t="s">
        <v>366</v>
      </c>
      <c r="E882" s="68" t="s">
        <v>1124</v>
      </c>
      <c r="G882" s="68">
        <v>138.0</v>
      </c>
      <c r="H882" s="68">
        <v>11.0</v>
      </c>
      <c r="I882" s="27">
        <v>0.002</v>
      </c>
      <c r="J882" s="27">
        <v>0.0041</v>
      </c>
      <c r="K882" s="68">
        <v>187.0</v>
      </c>
      <c r="L882" s="68">
        <v>17.0</v>
      </c>
      <c r="M882" s="27">
        <v>0.002</v>
      </c>
      <c r="N882" s="27">
        <v>0.0046</v>
      </c>
      <c r="O882" s="27">
        <v>0.9157</v>
      </c>
      <c r="P882" s="27">
        <v>0.9333</v>
      </c>
      <c r="Q882" s="68">
        <v>1.0</v>
      </c>
      <c r="R882" s="68">
        <v>0.0</v>
      </c>
      <c r="S882" s="27">
        <v>0.0072</v>
      </c>
      <c r="T882" s="27">
        <v>0.0</v>
      </c>
      <c r="U882" s="197">
        <v>40860.0</v>
      </c>
      <c r="V882" s="197">
        <v>0.0</v>
      </c>
      <c r="W882" s="68">
        <v>1.0</v>
      </c>
      <c r="X882" s="68">
        <v>0.0</v>
      </c>
    </row>
    <row r="883" ht="15.75" customHeight="1">
      <c r="A883" s="3" t="s">
        <v>70</v>
      </c>
      <c r="B883" s="10" t="str">
        <f t="array" ref="B883">_xlfn.XLOOKUP(D883,'Referanc '!$A:$A,'Referanc '!$B:$B)</f>
        <v>Standing Table  - SM3</v>
      </c>
      <c r="C883" s="68" t="s">
        <v>401</v>
      </c>
      <c r="D883" s="68" t="s">
        <v>401</v>
      </c>
      <c r="E883" s="68" t="s">
        <v>1362</v>
      </c>
      <c r="G883" s="68">
        <v>86.0</v>
      </c>
      <c r="H883" s="68">
        <v>3.0</v>
      </c>
      <c r="I883" s="27">
        <v>0.0013</v>
      </c>
      <c r="J883" s="27">
        <v>0.0011</v>
      </c>
      <c r="K883" s="68">
        <v>145.0</v>
      </c>
      <c r="L883" s="68">
        <v>3.0</v>
      </c>
      <c r="M883" s="27">
        <v>0.0016</v>
      </c>
      <c r="N883" s="27">
        <v>8.0E-4</v>
      </c>
      <c r="O883" s="27">
        <v>0.9167</v>
      </c>
      <c r="P883" s="27">
        <v>1.0</v>
      </c>
      <c r="Q883" s="68">
        <v>1.0</v>
      </c>
      <c r="R883" s="68">
        <v>0.0</v>
      </c>
      <c r="S883" s="27">
        <v>0.0116</v>
      </c>
      <c r="T883" s="27">
        <v>0.0</v>
      </c>
      <c r="U883" s="197">
        <v>21199.0</v>
      </c>
      <c r="V883" s="197">
        <v>0.0</v>
      </c>
      <c r="W883" s="68">
        <v>1.0</v>
      </c>
      <c r="X883" s="68">
        <v>0.0</v>
      </c>
    </row>
    <row r="884" ht="15.75" customHeight="1">
      <c r="A884" s="3" t="s">
        <v>70</v>
      </c>
      <c r="B884" s="10" t="str">
        <f t="array" ref="B884">_xlfn.XLOOKUP(D884,'Referanc '!$A:$A,'Referanc '!$B:$B)</f>
        <v>Standing Table  - SM3</v>
      </c>
      <c r="C884" s="68" t="s">
        <v>370</v>
      </c>
      <c r="D884" s="68" t="s">
        <v>370</v>
      </c>
      <c r="E884" s="68" t="s">
        <v>1161</v>
      </c>
      <c r="G884" s="68">
        <v>222.0</v>
      </c>
      <c r="H884" s="68">
        <v>6.0</v>
      </c>
      <c r="I884" s="27">
        <v>0.0032</v>
      </c>
      <c r="J884" s="27">
        <v>0.0022</v>
      </c>
      <c r="K884" s="68">
        <v>317.0</v>
      </c>
      <c r="L884" s="68">
        <v>7.0</v>
      </c>
      <c r="M884" s="27">
        <v>0.0035</v>
      </c>
      <c r="N884" s="27">
        <v>0.0019</v>
      </c>
      <c r="O884" s="27">
        <v>0.9113</v>
      </c>
      <c r="P884" s="27">
        <v>1.0</v>
      </c>
      <c r="Q884" s="68">
        <v>1.0</v>
      </c>
      <c r="R884" s="68">
        <v>0.0</v>
      </c>
      <c r="S884" s="27">
        <v>0.0045</v>
      </c>
      <c r="T884" s="27">
        <v>0.0</v>
      </c>
      <c r="U884" s="197">
        <v>21162.39</v>
      </c>
      <c r="V884" s="197">
        <v>0.0</v>
      </c>
      <c r="W884" s="68">
        <v>1.0</v>
      </c>
      <c r="X884" s="68">
        <v>0.0</v>
      </c>
    </row>
    <row r="885" ht="15.75" customHeight="1">
      <c r="A885" s="3" t="s">
        <v>70</v>
      </c>
      <c r="B885" s="10" t="str">
        <f t="array" ref="B885">_xlfn.XLOOKUP(D885,'Referanc '!$A:$A,'Referanc '!$B:$B)</f>
        <v>Standing Table  - E1A</v>
      </c>
      <c r="C885" s="68" t="s">
        <v>354</v>
      </c>
      <c r="D885" s="68" t="s">
        <v>354</v>
      </c>
      <c r="E885" s="68" t="s">
        <v>1325</v>
      </c>
      <c r="G885" s="68">
        <v>91.0</v>
      </c>
      <c r="H885" s="68">
        <v>8.0</v>
      </c>
      <c r="I885" s="27">
        <v>0.0013</v>
      </c>
      <c r="J885" s="27">
        <v>0.003</v>
      </c>
      <c r="K885" s="68">
        <v>117.0</v>
      </c>
      <c r="L885" s="68">
        <v>8.0</v>
      </c>
      <c r="M885" s="27">
        <v>0.0013</v>
      </c>
      <c r="N885" s="27">
        <v>0.0022</v>
      </c>
      <c r="O885" s="27">
        <v>0.8738</v>
      </c>
      <c r="P885" s="27">
        <v>0.8333</v>
      </c>
      <c r="Q885" s="68">
        <v>1.0</v>
      </c>
      <c r="R885" s="68">
        <v>1.0</v>
      </c>
      <c r="S885" s="27">
        <v>0.011</v>
      </c>
      <c r="T885" s="27">
        <v>0.125</v>
      </c>
      <c r="U885" s="197">
        <v>33350.0</v>
      </c>
      <c r="V885" s="197">
        <v>33350.0</v>
      </c>
      <c r="W885" s="68">
        <v>1.0</v>
      </c>
      <c r="X885" s="68">
        <v>1.0</v>
      </c>
    </row>
    <row r="886" ht="15.75" customHeight="1">
      <c r="A886" s="3" t="s">
        <v>70</v>
      </c>
      <c r="B886" s="10" t="str">
        <f t="array" ref="B886">_xlfn.XLOOKUP(D886,'Referanc '!$A:$A,'Referanc '!$B:$B)</f>
        <v>Standing Table  - E1A</v>
      </c>
      <c r="C886" s="68" t="s">
        <v>367</v>
      </c>
      <c r="D886" s="68" t="s">
        <v>367</v>
      </c>
      <c r="E886" s="68" t="s">
        <v>1365</v>
      </c>
      <c r="G886" s="68">
        <v>190.0</v>
      </c>
      <c r="H886" s="68">
        <v>12.0</v>
      </c>
      <c r="I886" s="27">
        <v>0.0028</v>
      </c>
      <c r="J886" s="27">
        <v>0.0045</v>
      </c>
      <c r="K886" s="68">
        <v>235.0</v>
      </c>
      <c r="L886" s="68">
        <v>15.0</v>
      </c>
      <c r="M886" s="27">
        <v>0.0026</v>
      </c>
      <c r="N886" s="27">
        <v>0.0041</v>
      </c>
      <c r="O886" s="27">
        <v>0.9321</v>
      </c>
      <c r="P886" s="27">
        <v>1.0</v>
      </c>
      <c r="Q886" s="68">
        <v>1.0</v>
      </c>
      <c r="R886" s="68">
        <v>0.0</v>
      </c>
      <c r="S886" s="27">
        <v>0.0053</v>
      </c>
      <c r="T886" s="27">
        <v>0.0</v>
      </c>
      <c r="U886" s="197">
        <v>36499.0</v>
      </c>
      <c r="V886" s="197">
        <v>0.0</v>
      </c>
      <c r="W886" s="68">
        <v>1.0</v>
      </c>
      <c r="X886" s="68">
        <v>0.0</v>
      </c>
    </row>
    <row r="887" ht="15.75" customHeight="1">
      <c r="A887" s="3" t="s">
        <v>70</v>
      </c>
      <c r="B887" s="10" t="str">
        <f t="array" ref="B887">_xlfn.XLOOKUP(D887,'Referanc '!$A:$A,'Referanc '!$B:$B)</f>
        <v>Standing Table  - E1A</v>
      </c>
      <c r="C887" s="68" t="s">
        <v>382</v>
      </c>
      <c r="D887" s="68" t="s">
        <v>382</v>
      </c>
      <c r="E887" s="68" t="s">
        <v>1300</v>
      </c>
      <c r="G887" s="68">
        <v>516.0</v>
      </c>
      <c r="H887" s="68">
        <v>12.0</v>
      </c>
      <c r="I887" s="27">
        <v>0.0076</v>
      </c>
      <c r="J887" s="27">
        <v>0.0045</v>
      </c>
      <c r="K887" s="68">
        <v>609.0</v>
      </c>
      <c r="L887" s="68">
        <v>14.0</v>
      </c>
      <c r="M887" s="27">
        <v>0.0066</v>
      </c>
      <c r="N887" s="27">
        <v>0.0038</v>
      </c>
      <c r="O887" s="27">
        <v>0.7727</v>
      </c>
      <c r="P887" s="27">
        <v>0.7273</v>
      </c>
      <c r="Q887" s="68">
        <v>1.0</v>
      </c>
      <c r="R887" s="68">
        <v>0.0</v>
      </c>
      <c r="S887" s="27">
        <v>0.0019</v>
      </c>
      <c r="T887" s="27">
        <v>0.0</v>
      </c>
      <c r="U887" s="197">
        <v>32295.08</v>
      </c>
      <c r="V887" s="197">
        <v>0.0</v>
      </c>
      <c r="W887" s="68">
        <v>1.0</v>
      </c>
      <c r="X887" s="68">
        <v>0.0</v>
      </c>
    </row>
    <row r="888" ht="15.75" customHeight="1">
      <c r="A888" s="3" t="s">
        <v>70</v>
      </c>
      <c r="B888" s="10" t="str">
        <f t="array" ref="B888">_xlfn.XLOOKUP(D888,'Referanc '!$A:$A,'Referanc '!$B:$B)</f>
        <v>Standing Table - All Frames</v>
      </c>
      <c r="C888" s="68" t="s">
        <v>402</v>
      </c>
      <c r="D888" s="68" t="s">
        <v>402</v>
      </c>
      <c r="E888" s="68" t="s">
        <v>697</v>
      </c>
      <c r="G888" s="68">
        <v>343.0</v>
      </c>
      <c r="H888" s="68">
        <v>19.0</v>
      </c>
      <c r="I888" s="27">
        <v>0.005</v>
      </c>
      <c r="J888" s="27">
        <v>0.0071</v>
      </c>
      <c r="K888" s="68">
        <v>430.0</v>
      </c>
      <c r="L888" s="68">
        <v>21.0</v>
      </c>
      <c r="M888" s="27">
        <v>0.0047</v>
      </c>
      <c r="N888" s="27">
        <v>0.0057</v>
      </c>
      <c r="O888" s="27">
        <v>0.8628</v>
      </c>
      <c r="P888" s="27">
        <v>0.7333</v>
      </c>
      <c r="Q888" s="68">
        <v>1.0</v>
      </c>
      <c r="R888" s="68">
        <v>0.0</v>
      </c>
      <c r="S888" s="27">
        <v>0.0029</v>
      </c>
      <c r="T888" s="27">
        <v>0.0</v>
      </c>
      <c r="U888" s="197">
        <v>24255.76</v>
      </c>
      <c r="V888" s="197">
        <v>0.0</v>
      </c>
      <c r="W888" s="68">
        <v>1.0</v>
      </c>
      <c r="X888" s="68">
        <v>0.0</v>
      </c>
    </row>
    <row r="889" ht="15.75" customHeight="1">
      <c r="A889" s="3" t="s">
        <v>70</v>
      </c>
      <c r="B889" s="10" t="str">
        <f t="array" ref="B889">_xlfn.XLOOKUP(D889,'Referanc '!$A:$A,'Referanc '!$B:$B)</f>
        <v>Standing Table  - E4</v>
      </c>
      <c r="C889" s="68" t="s">
        <v>398</v>
      </c>
      <c r="D889" s="68" t="s">
        <v>398</v>
      </c>
      <c r="E889" s="68" t="s">
        <v>1279</v>
      </c>
      <c r="G889" s="68">
        <v>774.0</v>
      </c>
      <c r="H889" s="68">
        <v>35.0</v>
      </c>
      <c r="I889" s="27">
        <v>0.0113</v>
      </c>
      <c r="J889" s="27">
        <v>0.0131</v>
      </c>
      <c r="K889" s="196">
        <v>1003.0</v>
      </c>
      <c r="L889" s="68">
        <v>43.0</v>
      </c>
      <c r="M889" s="27">
        <v>0.0109</v>
      </c>
      <c r="N889" s="27">
        <v>0.0116</v>
      </c>
      <c r="O889" s="27">
        <v>0.8684</v>
      </c>
      <c r="P889" s="27">
        <v>0.8333</v>
      </c>
      <c r="Q889" s="68">
        <v>1.0</v>
      </c>
      <c r="R889" s="68">
        <v>0.0</v>
      </c>
      <c r="S889" s="27">
        <v>0.0013</v>
      </c>
      <c r="T889" s="27">
        <v>0.0</v>
      </c>
      <c r="U889" s="197">
        <v>29400.0</v>
      </c>
      <c r="V889" s="197">
        <v>0.0</v>
      </c>
      <c r="W889" s="68">
        <v>1.0</v>
      </c>
      <c r="X889" s="68">
        <v>0.0</v>
      </c>
    </row>
    <row r="890" ht="15.75" customHeight="1">
      <c r="A890" s="3" t="s">
        <v>70</v>
      </c>
      <c r="B890" s="10" t="str">
        <f t="array" ref="B890">_xlfn.XLOOKUP(D890,'Referanc '!$A:$A,'Referanc '!$B:$B)</f>
        <v>Standing Table  - E1A</v>
      </c>
      <c r="C890" s="68" t="s">
        <v>385</v>
      </c>
      <c r="D890" s="68" t="s">
        <v>385</v>
      </c>
      <c r="E890" s="68" t="s">
        <v>1345</v>
      </c>
      <c r="G890" s="196">
        <v>1929.0</v>
      </c>
      <c r="H890" s="68">
        <v>27.0</v>
      </c>
      <c r="I890" s="27">
        <v>0.0282</v>
      </c>
      <c r="J890" s="27">
        <v>0.0101</v>
      </c>
      <c r="K890" s="196">
        <v>2137.0</v>
      </c>
      <c r="L890" s="68">
        <v>29.0</v>
      </c>
      <c r="M890" s="27">
        <v>0.0233</v>
      </c>
      <c r="N890" s="27">
        <v>0.0078</v>
      </c>
      <c r="O890" s="27">
        <v>0.7865</v>
      </c>
      <c r="P890" s="27">
        <v>0.8571</v>
      </c>
      <c r="Q890" s="68">
        <v>1.0</v>
      </c>
      <c r="R890" s="68">
        <v>0.0</v>
      </c>
      <c r="S890" s="27">
        <v>5.0E-4</v>
      </c>
      <c r="T890" s="27">
        <v>0.0</v>
      </c>
      <c r="U890" s="197">
        <v>35860.0</v>
      </c>
      <c r="V890" s="197">
        <v>0.0</v>
      </c>
      <c r="W890" s="68">
        <v>1.0</v>
      </c>
      <c r="X890" s="68">
        <v>0.0</v>
      </c>
    </row>
    <row r="891" ht="15.75" customHeight="1">
      <c r="A891" s="3" t="s">
        <v>70</v>
      </c>
      <c r="B891" s="10" t="str">
        <f t="array" ref="B891">_xlfn.XLOOKUP(D891,'Referanc '!$A:$A,'Referanc '!$B:$B)</f>
        <v>Monitor Arm Stand</v>
      </c>
      <c r="C891" s="68" t="s">
        <v>353</v>
      </c>
      <c r="D891" s="68" t="s">
        <v>353</v>
      </c>
      <c r="E891" s="68" t="s">
        <v>691</v>
      </c>
      <c r="G891" s="68">
        <v>21.0</v>
      </c>
      <c r="H891" s="68">
        <v>3.0</v>
      </c>
      <c r="I891" s="27">
        <v>3.0E-4</v>
      </c>
      <c r="J891" s="27">
        <v>0.0011</v>
      </c>
      <c r="K891" s="68">
        <v>28.0</v>
      </c>
      <c r="L891" s="68">
        <v>6.0</v>
      </c>
      <c r="M891" s="27">
        <v>3.0E-4</v>
      </c>
      <c r="N891" s="27">
        <v>0.0016</v>
      </c>
      <c r="O891" s="27">
        <v>0.72</v>
      </c>
      <c r="P891" s="27">
        <v>1.0</v>
      </c>
      <c r="Q891" s="68">
        <v>1.0</v>
      </c>
      <c r="R891" s="68">
        <v>1.0</v>
      </c>
      <c r="S891" s="27">
        <v>0.0476</v>
      </c>
      <c r="T891" s="27">
        <v>0.3333</v>
      </c>
      <c r="U891" s="197">
        <v>2999.0</v>
      </c>
      <c r="V891" s="197">
        <v>2999.0</v>
      </c>
      <c r="W891" s="68">
        <v>1.0</v>
      </c>
      <c r="X891" s="68">
        <v>1.0</v>
      </c>
    </row>
    <row r="892" ht="15.75" customHeight="1">
      <c r="A892" s="3" t="s">
        <v>70</v>
      </c>
      <c r="B892" s="10" t="str">
        <f t="array" ref="B892">_xlfn.XLOOKUP(D892,'Referanc '!$A:$A,'Referanc '!$B:$B)</f>
        <v>Cup and Headphone Holder</v>
      </c>
      <c r="C892" s="68" t="s">
        <v>322</v>
      </c>
      <c r="D892" s="68" t="s">
        <v>322</v>
      </c>
      <c r="E892" s="68" t="s">
        <v>722</v>
      </c>
      <c r="G892" s="68">
        <v>42.0</v>
      </c>
      <c r="H892" s="68">
        <v>0.0</v>
      </c>
      <c r="I892" s="27">
        <v>6.0E-4</v>
      </c>
      <c r="J892" s="27">
        <v>0.0</v>
      </c>
      <c r="K892" s="68">
        <v>56.0</v>
      </c>
      <c r="L892" s="68">
        <v>0.0</v>
      </c>
      <c r="M892" s="27">
        <v>6.0E-4</v>
      </c>
      <c r="N892" s="27">
        <v>0.0</v>
      </c>
      <c r="O892" s="27">
        <v>0.9362</v>
      </c>
      <c r="P892" s="27">
        <v>0.0</v>
      </c>
      <c r="Q892" s="68">
        <v>1.0</v>
      </c>
      <c r="R892" s="68">
        <v>0.0</v>
      </c>
      <c r="S892" s="27">
        <v>0.0238</v>
      </c>
      <c r="T892" s="27">
        <v>0.0</v>
      </c>
      <c r="U892" s="197">
        <v>550.0</v>
      </c>
      <c r="V892" s="197">
        <v>0.0</v>
      </c>
      <c r="W892" s="68">
        <v>1.0</v>
      </c>
      <c r="X892" s="68">
        <v>0.0</v>
      </c>
    </row>
    <row r="893" ht="15.75" customHeight="1">
      <c r="A893" s="3" t="s">
        <v>70</v>
      </c>
      <c r="B893" s="10" t="str">
        <f t="array" ref="B893">_xlfn.XLOOKUP(D893,'Referanc '!$A:$A,'Referanc '!$B:$B)</f>
        <v>TABLE TOP</v>
      </c>
      <c r="C893" s="68" t="s">
        <v>350</v>
      </c>
      <c r="D893" s="68" t="s">
        <v>350</v>
      </c>
      <c r="E893" s="68" t="s">
        <v>531</v>
      </c>
      <c r="G893" s="68">
        <v>299.0</v>
      </c>
      <c r="H893" s="68">
        <v>11.0</v>
      </c>
      <c r="I893" s="27">
        <v>0.0044</v>
      </c>
      <c r="J893" s="27">
        <v>0.0041</v>
      </c>
      <c r="K893" s="68">
        <v>391.0</v>
      </c>
      <c r="L893" s="68">
        <v>11.0</v>
      </c>
      <c r="M893" s="27">
        <v>0.0043</v>
      </c>
      <c r="N893" s="27">
        <v>0.003</v>
      </c>
      <c r="O893" s="27">
        <v>0.8717</v>
      </c>
      <c r="P893" s="27">
        <v>0.8333</v>
      </c>
      <c r="Q893" s="68">
        <v>0.0</v>
      </c>
      <c r="R893" s="68">
        <v>0.0</v>
      </c>
      <c r="S893" s="27">
        <v>0.0</v>
      </c>
      <c r="T893" s="27">
        <v>0.0</v>
      </c>
      <c r="U893" s="197">
        <v>0.0</v>
      </c>
      <c r="V893" s="197">
        <v>0.0</v>
      </c>
      <c r="W893" s="68">
        <v>0.0</v>
      </c>
      <c r="X893" s="68">
        <v>0.0</v>
      </c>
    </row>
    <row r="894" ht="15.75" customHeight="1">
      <c r="A894" s="3" t="s">
        <v>70</v>
      </c>
      <c r="B894" s="10" t="str">
        <f t="array" ref="B894">_xlfn.XLOOKUP(D894,'Referanc '!$A:$A,'Referanc '!$B:$B)</f>
        <v>Standing Table  - M8</v>
      </c>
      <c r="C894" s="68" t="s">
        <v>412</v>
      </c>
      <c r="D894" s="68" t="s">
        <v>412</v>
      </c>
      <c r="E894" s="68" t="s">
        <v>1360</v>
      </c>
      <c r="G894" s="68">
        <v>73.0</v>
      </c>
      <c r="H894" s="68">
        <v>3.0</v>
      </c>
      <c r="I894" s="27">
        <v>0.0011</v>
      </c>
      <c r="J894" s="27">
        <v>0.0011</v>
      </c>
      <c r="K894" s="68">
        <v>76.0</v>
      </c>
      <c r="L894" s="68">
        <v>5.0</v>
      </c>
      <c r="M894" s="27">
        <v>8.0E-4</v>
      </c>
      <c r="N894" s="27">
        <v>0.0014</v>
      </c>
      <c r="O894" s="27">
        <v>0.9028</v>
      </c>
      <c r="P894" s="27">
        <v>1.0</v>
      </c>
      <c r="Q894" s="68">
        <v>0.0</v>
      </c>
      <c r="R894" s="68">
        <v>0.0</v>
      </c>
      <c r="S894" s="27">
        <v>0.0</v>
      </c>
      <c r="T894" s="27">
        <v>0.0</v>
      </c>
      <c r="U894" s="197">
        <v>0.0</v>
      </c>
      <c r="V894" s="197">
        <v>0.0</v>
      </c>
      <c r="W894" s="68">
        <v>0.0</v>
      </c>
      <c r="X894" s="68">
        <v>0.0</v>
      </c>
    </row>
    <row r="895" ht="15.75" customHeight="1">
      <c r="A895" s="3" t="s">
        <v>70</v>
      </c>
      <c r="B895" s="10" t="str">
        <f t="array" ref="B895">_xlfn.XLOOKUP(D895,'Referanc '!$A:$A,'Referanc '!$B:$B)</f>
        <v>Standing Table  - M8</v>
      </c>
      <c r="C895" s="68" t="s">
        <v>410</v>
      </c>
      <c r="D895" s="68" t="s">
        <v>410</v>
      </c>
      <c r="E895" s="68" t="s">
        <v>1358</v>
      </c>
      <c r="G895" s="68">
        <v>25.0</v>
      </c>
      <c r="H895" s="68">
        <v>3.0</v>
      </c>
      <c r="I895" s="27">
        <v>4.0E-4</v>
      </c>
      <c r="J895" s="27">
        <v>0.0011</v>
      </c>
      <c r="K895" s="68">
        <v>31.0</v>
      </c>
      <c r="L895" s="68">
        <v>5.0</v>
      </c>
      <c r="M895" s="27">
        <v>3.0E-4</v>
      </c>
      <c r="N895" s="27">
        <v>0.0014</v>
      </c>
      <c r="O895" s="27">
        <v>0.9655</v>
      </c>
      <c r="P895" s="27">
        <v>1.0</v>
      </c>
      <c r="Q895" s="68">
        <v>0.0</v>
      </c>
      <c r="R895" s="68">
        <v>0.0</v>
      </c>
      <c r="S895" s="27">
        <v>0.0</v>
      </c>
      <c r="T895" s="27">
        <v>0.0</v>
      </c>
      <c r="U895" s="197">
        <v>0.0</v>
      </c>
      <c r="V895" s="197">
        <v>0.0</v>
      </c>
      <c r="W895" s="68">
        <v>0.0</v>
      </c>
      <c r="X895" s="68">
        <v>0.0</v>
      </c>
    </row>
    <row r="896" ht="15.75" customHeight="1">
      <c r="A896" s="3" t="s">
        <v>70</v>
      </c>
      <c r="B896" s="10" t="str">
        <f t="array" ref="B896">_xlfn.XLOOKUP(D896,'Referanc '!$A:$A,'Referanc '!$B:$B)</f>
        <v>Standing Table  - M8</v>
      </c>
      <c r="C896" s="68" t="s">
        <v>406</v>
      </c>
      <c r="D896" s="68" t="s">
        <v>406</v>
      </c>
      <c r="E896" s="68" t="s">
        <v>1356</v>
      </c>
      <c r="G896" s="68">
        <v>55.0</v>
      </c>
      <c r="H896" s="68">
        <v>3.0</v>
      </c>
      <c r="I896" s="27">
        <v>8.0E-4</v>
      </c>
      <c r="J896" s="27">
        <v>0.0011</v>
      </c>
      <c r="K896" s="68">
        <v>65.0</v>
      </c>
      <c r="L896" s="68">
        <v>3.0</v>
      </c>
      <c r="M896" s="27">
        <v>7.0E-4</v>
      </c>
      <c r="N896" s="27">
        <v>8.0E-4</v>
      </c>
      <c r="O896" s="27">
        <v>0.9492</v>
      </c>
      <c r="P896" s="27">
        <v>1.0</v>
      </c>
      <c r="Q896" s="68">
        <v>0.0</v>
      </c>
      <c r="R896" s="68">
        <v>0.0</v>
      </c>
      <c r="S896" s="27">
        <v>0.0</v>
      </c>
      <c r="T896" s="27">
        <v>0.0</v>
      </c>
      <c r="U896" s="197">
        <v>0.0</v>
      </c>
      <c r="V896" s="197">
        <v>0.0</v>
      </c>
      <c r="W896" s="68">
        <v>0.0</v>
      </c>
      <c r="X896" s="68">
        <v>0.0</v>
      </c>
    </row>
    <row r="897" ht="15.75" customHeight="1">
      <c r="A897" s="3" t="s">
        <v>70</v>
      </c>
      <c r="B897" s="10" t="str">
        <f t="array" ref="B897">_xlfn.XLOOKUP(D897,'Referanc '!$A:$A,'Referanc '!$B:$B)</f>
        <v>Standing Table  - M8</v>
      </c>
      <c r="C897" s="68" t="s">
        <v>408</v>
      </c>
      <c r="D897" s="68" t="s">
        <v>408</v>
      </c>
      <c r="E897" s="68" t="s">
        <v>1357</v>
      </c>
      <c r="G897" s="68">
        <v>73.0</v>
      </c>
      <c r="H897" s="68">
        <v>7.0</v>
      </c>
      <c r="I897" s="27">
        <v>0.0011</v>
      </c>
      <c r="J897" s="27">
        <v>0.0026</v>
      </c>
      <c r="K897" s="68">
        <v>86.0</v>
      </c>
      <c r="L897" s="68">
        <v>10.0</v>
      </c>
      <c r="M897" s="27">
        <v>9.0E-4</v>
      </c>
      <c r="N897" s="27">
        <v>0.0027</v>
      </c>
      <c r="O897" s="27">
        <v>0.875</v>
      </c>
      <c r="P897" s="27">
        <v>0.75</v>
      </c>
      <c r="Q897" s="68">
        <v>0.0</v>
      </c>
      <c r="R897" s="68">
        <v>0.0</v>
      </c>
      <c r="S897" s="27">
        <v>0.0</v>
      </c>
      <c r="T897" s="27">
        <v>0.0</v>
      </c>
      <c r="U897" s="197">
        <v>0.0</v>
      </c>
      <c r="V897" s="197">
        <v>0.0</v>
      </c>
      <c r="W897" s="68">
        <v>0.0</v>
      </c>
      <c r="X897" s="68">
        <v>0.0</v>
      </c>
    </row>
    <row r="898" ht="15.75" customHeight="1">
      <c r="A898" s="3" t="s">
        <v>70</v>
      </c>
      <c r="B898" s="10" t="str">
        <f t="array" ref="B898">_xlfn.XLOOKUP(D898,'Referanc '!$A:$A,'Referanc '!$B:$B)</f>
        <v>Standing Table  - M8</v>
      </c>
      <c r="C898" s="68" t="s">
        <v>414</v>
      </c>
      <c r="D898" s="68" t="s">
        <v>414</v>
      </c>
      <c r="E898" s="68" t="s">
        <v>1289</v>
      </c>
      <c r="G898" s="68">
        <v>104.0</v>
      </c>
      <c r="H898" s="68">
        <v>5.0</v>
      </c>
      <c r="I898" s="27">
        <v>0.0015</v>
      </c>
      <c r="J898" s="27">
        <v>0.0019</v>
      </c>
      <c r="K898" s="68">
        <v>134.0</v>
      </c>
      <c r="L898" s="68">
        <v>6.0</v>
      </c>
      <c r="M898" s="27">
        <v>0.0015</v>
      </c>
      <c r="N898" s="27">
        <v>0.0016</v>
      </c>
      <c r="O898" s="27">
        <v>0.7949</v>
      </c>
      <c r="P898" s="27">
        <v>0.5</v>
      </c>
      <c r="Q898" s="68">
        <v>0.0</v>
      </c>
      <c r="R898" s="68">
        <v>0.0</v>
      </c>
      <c r="S898" s="27">
        <v>0.0</v>
      </c>
      <c r="T898" s="27">
        <v>0.0</v>
      </c>
      <c r="U898" s="197">
        <v>0.0</v>
      </c>
      <c r="V898" s="197">
        <v>0.0</v>
      </c>
      <c r="W898" s="68">
        <v>0.0</v>
      </c>
      <c r="X898" s="68">
        <v>0.0</v>
      </c>
    </row>
    <row r="899" ht="15.75" customHeight="1">
      <c r="A899" s="3" t="s">
        <v>70</v>
      </c>
      <c r="B899" s="10" t="str">
        <f t="array" ref="B899">_xlfn.XLOOKUP(D899,'Referanc '!$A:$A,'Referanc '!$B:$B)</f>
        <v>Standing Table  - M8</v>
      </c>
      <c r="C899" s="68" t="s">
        <v>418</v>
      </c>
      <c r="D899" s="68" t="s">
        <v>418</v>
      </c>
      <c r="E899" s="68" t="s">
        <v>1293</v>
      </c>
      <c r="G899" s="68">
        <v>242.0</v>
      </c>
      <c r="H899" s="68">
        <v>11.0</v>
      </c>
      <c r="I899" s="27">
        <v>0.0035</v>
      </c>
      <c r="J899" s="27">
        <v>0.0041</v>
      </c>
      <c r="K899" s="68">
        <v>306.0</v>
      </c>
      <c r="L899" s="68">
        <v>15.0</v>
      </c>
      <c r="M899" s="27">
        <v>0.0033</v>
      </c>
      <c r="N899" s="27">
        <v>0.0041</v>
      </c>
      <c r="O899" s="27">
        <v>0.8996</v>
      </c>
      <c r="P899" s="27">
        <v>0.8333</v>
      </c>
      <c r="Q899" s="68">
        <v>0.0</v>
      </c>
      <c r="R899" s="68">
        <v>0.0</v>
      </c>
      <c r="S899" s="27">
        <v>0.0</v>
      </c>
      <c r="T899" s="27">
        <v>0.0</v>
      </c>
      <c r="U899" s="197">
        <v>0.0</v>
      </c>
      <c r="V899" s="197">
        <v>0.0</v>
      </c>
      <c r="W899" s="68">
        <v>0.0</v>
      </c>
      <c r="X899" s="68">
        <v>0.0</v>
      </c>
    </row>
    <row r="900" ht="15.75" customHeight="1">
      <c r="A900" s="3" t="s">
        <v>70</v>
      </c>
      <c r="B900" s="10" t="str">
        <f t="array" ref="B900">_xlfn.XLOOKUP(D900,'Referanc '!$A:$A,'Referanc '!$B:$B)</f>
        <v>Standing Table  - M3</v>
      </c>
      <c r="C900" s="68" t="s">
        <v>403</v>
      </c>
      <c r="D900" s="68" t="s">
        <v>403</v>
      </c>
      <c r="E900" s="68" t="s">
        <v>1175</v>
      </c>
      <c r="G900" s="68">
        <v>93.0</v>
      </c>
      <c r="H900" s="68">
        <v>4.0</v>
      </c>
      <c r="I900" s="27">
        <v>0.0014</v>
      </c>
      <c r="J900" s="27">
        <v>0.0015</v>
      </c>
      <c r="K900" s="68">
        <v>150.0</v>
      </c>
      <c r="L900" s="68">
        <v>5.0</v>
      </c>
      <c r="M900" s="27">
        <v>0.0016</v>
      </c>
      <c r="N900" s="27">
        <v>0.0014</v>
      </c>
      <c r="O900" s="27">
        <v>0.9571</v>
      </c>
      <c r="P900" s="27">
        <v>0.8</v>
      </c>
      <c r="Q900" s="68">
        <v>0.0</v>
      </c>
      <c r="R900" s="68">
        <v>0.0</v>
      </c>
      <c r="S900" s="27">
        <v>0.0</v>
      </c>
      <c r="T900" s="27">
        <v>0.0</v>
      </c>
      <c r="U900" s="197">
        <v>0.0</v>
      </c>
      <c r="V900" s="197">
        <v>0.0</v>
      </c>
      <c r="W900" s="68">
        <v>0.0</v>
      </c>
      <c r="X900" s="68">
        <v>0.0</v>
      </c>
    </row>
    <row r="901" ht="15.75" customHeight="1">
      <c r="A901" s="3" t="s">
        <v>70</v>
      </c>
      <c r="B901" s="10" t="str">
        <f t="array" ref="B901">_xlfn.XLOOKUP(D901,'Referanc '!$A:$A,'Referanc '!$B:$B)</f>
        <v>Footrests</v>
      </c>
      <c r="C901" s="68" t="s">
        <v>339</v>
      </c>
      <c r="D901" s="68" t="s">
        <v>339</v>
      </c>
      <c r="E901" s="68" t="s">
        <v>547</v>
      </c>
      <c r="G901" s="68">
        <v>178.0</v>
      </c>
      <c r="H901" s="68">
        <v>7.0</v>
      </c>
      <c r="I901" s="27">
        <v>0.0026</v>
      </c>
      <c r="J901" s="27">
        <v>0.0026</v>
      </c>
      <c r="K901" s="68">
        <v>206.0</v>
      </c>
      <c r="L901" s="68">
        <v>10.0</v>
      </c>
      <c r="M901" s="27">
        <v>0.0022</v>
      </c>
      <c r="N901" s="27">
        <v>0.0027</v>
      </c>
      <c r="O901" s="27">
        <v>1.0</v>
      </c>
      <c r="P901" s="27">
        <v>1.0</v>
      </c>
      <c r="Q901" s="68">
        <v>0.0</v>
      </c>
      <c r="R901" s="68">
        <v>0.0</v>
      </c>
      <c r="S901" s="27">
        <v>0.0</v>
      </c>
      <c r="T901" s="27">
        <v>0.0</v>
      </c>
      <c r="U901" s="197">
        <v>0.0</v>
      </c>
      <c r="V901" s="197">
        <v>0.0</v>
      </c>
      <c r="W901" s="68">
        <v>0.0</v>
      </c>
      <c r="X901" s="68">
        <v>0.0</v>
      </c>
    </row>
    <row r="902" ht="15.75" customHeight="1">
      <c r="A902" s="3" t="s">
        <v>70</v>
      </c>
      <c r="B902" s="10" t="str">
        <f t="array" ref="B902">_xlfn.XLOOKUP(D902,'Referanc '!$A:$A,'Referanc '!$B:$B)</f>
        <v>Standing Table - All Frames</v>
      </c>
      <c r="C902" s="68" t="s">
        <v>306</v>
      </c>
      <c r="D902" s="68" t="s">
        <v>306</v>
      </c>
      <c r="E902" s="68" t="s">
        <v>1140</v>
      </c>
      <c r="G902" s="196">
        <v>1193.0</v>
      </c>
      <c r="H902" s="68">
        <v>52.0</v>
      </c>
      <c r="I902" s="27">
        <v>0.0175</v>
      </c>
      <c r="J902" s="27">
        <v>0.0195</v>
      </c>
      <c r="K902" s="196">
        <v>1537.0</v>
      </c>
      <c r="L902" s="68">
        <v>75.0</v>
      </c>
      <c r="M902" s="27">
        <v>0.0168</v>
      </c>
      <c r="N902" s="27">
        <v>0.0203</v>
      </c>
      <c r="O902" s="27">
        <v>0.8346</v>
      </c>
      <c r="P902" s="27">
        <v>0.875</v>
      </c>
      <c r="Q902" s="68">
        <v>0.0</v>
      </c>
      <c r="R902" s="68">
        <v>0.0</v>
      </c>
      <c r="S902" s="27">
        <v>0.0</v>
      </c>
      <c r="T902" s="27">
        <v>0.0</v>
      </c>
      <c r="U902" s="197">
        <v>0.0</v>
      </c>
      <c r="V902" s="197">
        <v>0.0</v>
      </c>
      <c r="W902" s="68">
        <v>0.0</v>
      </c>
      <c r="X902" s="68">
        <v>0.0</v>
      </c>
    </row>
    <row r="903" ht="15.75" customHeight="1">
      <c r="A903" s="3" t="s">
        <v>70</v>
      </c>
      <c r="B903" s="10" t="str">
        <f t="array" ref="B903">_xlfn.XLOOKUP(D903,'Referanc '!$A:$A,'Referanc '!$B:$B)</f>
        <v>Standing Table  - E3</v>
      </c>
      <c r="C903" s="68" t="s">
        <v>381</v>
      </c>
      <c r="D903" s="68" t="s">
        <v>381</v>
      </c>
      <c r="E903" s="68" t="s">
        <v>1143</v>
      </c>
      <c r="G903" s="68">
        <v>55.0</v>
      </c>
      <c r="H903" s="68">
        <v>3.0</v>
      </c>
      <c r="I903" s="27">
        <v>8.0E-4</v>
      </c>
      <c r="J903" s="27">
        <v>0.0011</v>
      </c>
      <c r="K903" s="68">
        <v>65.0</v>
      </c>
      <c r="L903" s="68">
        <v>4.0</v>
      </c>
      <c r="M903" s="27">
        <v>7.0E-4</v>
      </c>
      <c r="N903" s="27">
        <v>0.0011</v>
      </c>
      <c r="O903" s="27">
        <v>0.75</v>
      </c>
      <c r="P903" s="27">
        <v>1.0</v>
      </c>
      <c r="Q903" s="68">
        <v>0.0</v>
      </c>
      <c r="R903" s="68">
        <v>0.0</v>
      </c>
      <c r="S903" s="27">
        <v>0.0</v>
      </c>
      <c r="T903" s="27">
        <v>0.0</v>
      </c>
      <c r="U903" s="197">
        <v>0.0</v>
      </c>
      <c r="V903" s="197">
        <v>0.0</v>
      </c>
      <c r="W903" s="68">
        <v>0.0</v>
      </c>
      <c r="X903" s="68">
        <v>0.0</v>
      </c>
    </row>
    <row r="904" ht="15.75" customHeight="1">
      <c r="A904" s="3" t="s">
        <v>70</v>
      </c>
      <c r="B904" s="10" t="str">
        <f t="array" ref="B904">_xlfn.XLOOKUP(D904,'Referanc '!$A:$A,'Referanc '!$B:$B)</f>
        <v>Standing Table  - E3</v>
      </c>
      <c r="C904" s="68" t="s">
        <v>344</v>
      </c>
      <c r="D904" s="68" t="s">
        <v>344</v>
      </c>
      <c r="E904" s="68" t="s">
        <v>1351</v>
      </c>
      <c r="G904" s="68">
        <v>227.0</v>
      </c>
      <c r="H904" s="68">
        <v>7.0</v>
      </c>
      <c r="I904" s="27">
        <v>0.0033</v>
      </c>
      <c r="J904" s="27">
        <v>0.0026</v>
      </c>
      <c r="K904" s="68">
        <v>276.0</v>
      </c>
      <c r="L904" s="68">
        <v>9.0</v>
      </c>
      <c r="M904" s="27">
        <v>0.003</v>
      </c>
      <c r="N904" s="27">
        <v>0.0024</v>
      </c>
      <c r="O904" s="27">
        <v>0.839</v>
      </c>
      <c r="P904" s="27">
        <v>0.75</v>
      </c>
      <c r="Q904" s="68">
        <v>0.0</v>
      </c>
      <c r="R904" s="68">
        <v>0.0</v>
      </c>
      <c r="S904" s="27">
        <v>0.0</v>
      </c>
      <c r="T904" s="27">
        <v>0.0</v>
      </c>
      <c r="U904" s="197">
        <v>0.0</v>
      </c>
      <c r="V904" s="197">
        <v>0.0</v>
      </c>
      <c r="W904" s="68">
        <v>0.0</v>
      </c>
      <c r="X904" s="68">
        <v>0.0</v>
      </c>
    </row>
    <row r="905" ht="15.75" customHeight="1">
      <c r="A905" s="3" t="s">
        <v>70</v>
      </c>
      <c r="B905" s="10" t="str">
        <f t="array" ref="B905">_xlfn.XLOOKUP(D905,'Referanc '!$A:$A,'Referanc '!$B:$B)</f>
        <v>Standing Table  - E2</v>
      </c>
      <c r="C905" s="68" t="s">
        <v>390</v>
      </c>
      <c r="D905" s="68" t="s">
        <v>390</v>
      </c>
      <c r="E905" s="68" t="s">
        <v>1127</v>
      </c>
      <c r="G905" s="68">
        <v>54.0</v>
      </c>
      <c r="H905" s="68">
        <v>0.0</v>
      </c>
      <c r="I905" s="27">
        <v>8.0E-4</v>
      </c>
      <c r="J905" s="27">
        <v>0.0</v>
      </c>
      <c r="K905" s="68">
        <v>61.0</v>
      </c>
      <c r="L905" s="68">
        <v>0.0</v>
      </c>
      <c r="M905" s="27">
        <v>7.0E-4</v>
      </c>
      <c r="N905" s="27">
        <v>0.0</v>
      </c>
      <c r="O905" s="27">
        <v>0.9615</v>
      </c>
      <c r="P905" s="27">
        <v>0.0</v>
      </c>
      <c r="Q905" s="68">
        <v>0.0</v>
      </c>
      <c r="R905" s="68">
        <v>0.0</v>
      </c>
      <c r="S905" s="27">
        <v>0.0</v>
      </c>
      <c r="T905" s="27">
        <v>0.0</v>
      </c>
      <c r="U905" s="197">
        <v>0.0</v>
      </c>
      <c r="V905" s="197">
        <v>0.0</v>
      </c>
      <c r="W905" s="68">
        <v>0.0</v>
      </c>
      <c r="X905" s="68">
        <v>0.0</v>
      </c>
    </row>
    <row r="906" ht="15.75" customHeight="1">
      <c r="A906" s="3" t="s">
        <v>70</v>
      </c>
      <c r="B906" s="10" t="str">
        <f t="array" ref="B906">_xlfn.XLOOKUP(D906,'Referanc '!$A:$A,'Referanc '!$B:$B)</f>
        <v>Standing Table - All Frames</v>
      </c>
      <c r="C906" s="68" t="s">
        <v>420</v>
      </c>
      <c r="D906" s="68" t="s">
        <v>420</v>
      </c>
      <c r="E906" s="68" t="s">
        <v>1364</v>
      </c>
      <c r="G906" s="68">
        <v>68.0</v>
      </c>
      <c r="H906" s="68">
        <v>3.0</v>
      </c>
      <c r="I906" s="27">
        <v>0.001</v>
      </c>
      <c r="J906" s="27">
        <v>0.0011</v>
      </c>
      <c r="K906" s="68">
        <v>85.0</v>
      </c>
      <c r="L906" s="68">
        <v>3.0</v>
      </c>
      <c r="M906" s="27">
        <v>9.0E-4</v>
      </c>
      <c r="N906" s="27">
        <v>8.0E-4</v>
      </c>
      <c r="O906" s="27">
        <v>0.9737</v>
      </c>
      <c r="P906" s="27">
        <v>1.0</v>
      </c>
      <c r="Q906" s="68">
        <v>0.0</v>
      </c>
      <c r="R906" s="68">
        <v>0.0</v>
      </c>
      <c r="S906" s="27">
        <v>0.0</v>
      </c>
      <c r="T906" s="27">
        <v>0.0</v>
      </c>
      <c r="U906" s="197">
        <v>0.0</v>
      </c>
      <c r="V906" s="197">
        <v>0.0</v>
      </c>
      <c r="W906" s="68">
        <v>0.0</v>
      </c>
      <c r="X906" s="68">
        <v>0.0</v>
      </c>
    </row>
    <row r="907" ht="15.75" customHeight="1">
      <c r="A907" s="3" t="s">
        <v>70</v>
      </c>
      <c r="B907" s="10" t="str">
        <f t="array" ref="B907">_xlfn.XLOOKUP(D907,'Referanc '!$A:$A,'Referanc '!$B:$B)</f>
        <v>Standing Table  - E2</v>
      </c>
      <c r="C907" s="68" t="s">
        <v>393</v>
      </c>
      <c r="D907" s="68" t="s">
        <v>393</v>
      </c>
      <c r="E907" s="68" t="s">
        <v>1133</v>
      </c>
      <c r="G907" s="68">
        <v>42.0</v>
      </c>
      <c r="H907" s="68">
        <v>0.0</v>
      </c>
      <c r="I907" s="27">
        <v>6.0E-4</v>
      </c>
      <c r="J907" s="27">
        <v>0.0</v>
      </c>
      <c r="K907" s="68">
        <v>52.0</v>
      </c>
      <c r="L907" s="68">
        <v>0.0</v>
      </c>
      <c r="M907" s="27">
        <v>6.0E-4</v>
      </c>
      <c r="N907" s="27">
        <v>0.0</v>
      </c>
      <c r="O907" s="27">
        <v>0.8889</v>
      </c>
      <c r="P907" s="27">
        <v>0.0</v>
      </c>
      <c r="Q907" s="68">
        <v>0.0</v>
      </c>
      <c r="R907" s="68">
        <v>0.0</v>
      </c>
      <c r="S907" s="27">
        <v>0.0</v>
      </c>
      <c r="T907" s="27">
        <v>0.0</v>
      </c>
      <c r="U907" s="197">
        <v>0.0</v>
      </c>
      <c r="V907" s="197">
        <v>0.0</v>
      </c>
      <c r="W907" s="68">
        <v>0.0</v>
      </c>
      <c r="X907" s="68">
        <v>0.0</v>
      </c>
    </row>
    <row r="908" ht="15.75" customHeight="1">
      <c r="A908" s="3" t="s">
        <v>70</v>
      </c>
      <c r="B908" s="10" t="str">
        <f t="array" ref="B908">_xlfn.XLOOKUP(D908,'Referanc '!$A:$A,'Referanc '!$B:$B)</f>
        <v>Standing Table  - E2</v>
      </c>
      <c r="C908" s="68" t="s">
        <v>394</v>
      </c>
      <c r="D908" s="68" t="s">
        <v>394</v>
      </c>
      <c r="E908" s="68" t="s">
        <v>1125</v>
      </c>
      <c r="G908" s="68">
        <v>69.0</v>
      </c>
      <c r="H908" s="68">
        <v>0.0</v>
      </c>
      <c r="I908" s="27">
        <v>0.001</v>
      </c>
      <c r="J908" s="27">
        <v>0.0</v>
      </c>
      <c r="K908" s="68">
        <v>108.0</v>
      </c>
      <c r="L908" s="68">
        <v>0.0</v>
      </c>
      <c r="M908" s="27">
        <v>0.0012</v>
      </c>
      <c r="N908" s="27">
        <v>0.0</v>
      </c>
      <c r="O908" s="27">
        <v>0.94</v>
      </c>
      <c r="P908" s="27">
        <v>0.0</v>
      </c>
      <c r="Q908" s="68">
        <v>0.0</v>
      </c>
      <c r="R908" s="68">
        <v>0.0</v>
      </c>
      <c r="S908" s="27">
        <v>0.0</v>
      </c>
      <c r="T908" s="27">
        <v>0.0</v>
      </c>
      <c r="U908" s="197">
        <v>0.0</v>
      </c>
      <c r="V908" s="197">
        <v>0.0</v>
      </c>
      <c r="W908" s="68">
        <v>0.0</v>
      </c>
      <c r="X908" s="68">
        <v>0.0</v>
      </c>
    </row>
    <row r="909" ht="15.75" customHeight="1">
      <c r="A909" s="3" t="s">
        <v>70</v>
      </c>
      <c r="B909" s="10" t="str">
        <f t="array" ref="B909">_xlfn.XLOOKUP(D909,'Referanc '!$A:$A,'Referanc '!$B:$B)</f>
        <v>Standing Table  - E3</v>
      </c>
      <c r="C909" s="68" t="s">
        <v>397</v>
      </c>
      <c r="D909" s="68" t="s">
        <v>397</v>
      </c>
      <c r="E909" s="68" t="s">
        <v>1154</v>
      </c>
      <c r="G909" s="68">
        <v>51.0</v>
      </c>
      <c r="H909" s="68">
        <v>0.0</v>
      </c>
      <c r="I909" s="27">
        <v>7.0E-4</v>
      </c>
      <c r="J909" s="27">
        <v>0.0</v>
      </c>
      <c r="K909" s="68">
        <v>58.0</v>
      </c>
      <c r="L909" s="68">
        <v>0.0</v>
      </c>
      <c r="M909" s="27">
        <v>6.0E-4</v>
      </c>
      <c r="N909" s="27">
        <v>0.0</v>
      </c>
      <c r="O909" s="27">
        <v>0.9811</v>
      </c>
      <c r="P909" s="27">
        <v>0.0</v>
      </c>
      <c r="Q909" s="68">
        <v>0.0</v>
      </c>
      <c r="R909" s="68">
        <v>0.0</v>
      </c>
      <c r="S909" s="27">
        <v>0.0</v>
      </c>
      <c r="T909" s="27">
        <v>0.0</v>
      </c>
      <c r="U909" s="197">
        <v>0.0</v>
      </c>
      <c r="V909" s="197">
        <v>0.0</v>
      </c>
      <c r="W909" s="68">
        <v>0.0</v>
      </c>
      <c r="X909" s="68">
        <v>0.0</v>
      </c>
    </row>
    <row r="910" ht="15.75" customHeight="1">
      <c r="A910" s="3" t="s">
        <v>70</v>
      </c>
      <c r="B910" s="10" t="str">
        <f t="array" ref="B910">_xlfn.XLOOKUP(D910,'Referanc '!$A:$A,'Referanc '!$B:$B)</f>
        <v>Standing Table  - SM3</v>
      </c>
      <c r="C910" s="68" t="s">
        <v>379</v>
      </c>
      <c r="D910" s="68" t="s">
        <v>379</v>
      </c>
      <c r="E910" s="68" t="s">
        <v>1209</v>
      </c>
      <c r="G910" s="68">
        <v>149.0</v>
      </c>
      <c r="H910" s="68">
        <v>3.0</v>
      </c>
      <c r="I910" s="27">
        <v>0.0022</v>
      </c>
      <c r="J910" s="27">
        <v>0.0011</v>
      </c>
      <c r="K910" s="68">
        <v>193.0</v>
      </c>
      <c r="L910" s="68">
        <v>3.0</v>
      </c>
      <c r="M910" s="27">
        <v>0.0021</v>
      </c>
      <c r="N910" s="27">
        <v>8.0E-4</v>
      </c>
      <c r="O910" s="27">
        <v>0.9448</v>
      </c>
      <c r="P910" s="27">
        <v>1.0</v>
      </c>
      <c r="Q910" s="68">
        <v>0.0</v>
      </c>
      <c r="R910" s="68">
        <v>0.0</v>
      </c>
      <c r="S910" s="27">
        <v>0.0</v>
      </c>
      <c r="T910" s="27">
        <v>0.0</v>
      </c>
      <c r="U910" s="197">
        <v>0.0</v>
      </c>
      <c r="V910" s="197">
        <v>0.0</v>
      </c>
      <c r="W910" s="68">
        <v>0.0</v>
      </c>
      <c r="X910" s="68">
        <v>0.0</v>
      </c>
    </row>
    <row r="911" ht="15.75" customHeight="1">
      <c r="A911" s="3" t="s">
        <v>70</v>
      </c>
      <c r="B911" s="10" t="str">
        <f t="array" ref="B911">_xlfn.XLOOKUP(D911,'Referanc '!$A:$A,'Referanc '!$B:$B)</f>
        <v>Standing Table  - E1A</v>
      </c>
      <c r="C911" s="68" t="s">
        <v>371</v>
      </c>
      <c r="D911" s="68" t="s">
        <v>371</v>
      </c>
      <c r="E911" s="68" t="s">
        <v>1353</v>
      </c>
      <c r="G911" s="68">
        <v>103.0</v>
      </c>
      <c r="H911" s="68">
        <v>3.0</v>
      </c>
      <c r="I911" s="27">
        <v>0.0015</v>
      </c>
      <c r="J911" s="27">
        <v>0.0011</v>
      </c>
      <c r="K911" s="68">
        <v>116.0</v>
      </c>
      <c r="L911" s="68">
        <v>3.0</v>
      </c>
      <c r="M911" s="27">
        <v>0.0013</v>
      </c>
      <c r="N911" s="27">
        <v>8.0E-4</v>
      </c>
      <c r="O911" s="27">
        <v>0.8919</v>
      </c>
      <c r="P911" s="27">
        <v>0.6667</v>
      </c>
      <c r="Q911" s="68">
        <v>0.0</v>
      </c>
      <c r="R911" s="68">
        <v>0.0</v>
      </c>
      <c r="S911" s="27">
        <v>0.0</v>
      </c>
      <c r="T911" s="27">
        <v>0.0</v>
      </c>
      <c r="U911" s="197">
        <v>0.0</v>
      </c>
      <c r="V911" s="197">
        <v>0.0</v>
      </c>
      <c r="W911" s="68">
        <v>0.0</v>
      </c>
      <c r="X911" s="68">
        <v>0.0</v>
      </c>
    </row>
    <row r="912" ht="15.75" customHeight="1">
      <c r="A912" s="3" t="s">
        <v>70</v>
      </c>
      <c r="B912" s="10" t="str">
        <f t="array" ref="B912">_xlfn.XLOOKUP(D912,'Referanc '!$A:$A,'Referanc '!$B:$B)</f>
        <v>Standing Table  - E1A</v>
      </c>
      <c r="C912" s="68" t="s">
        <v>372</v>
      </c>
      <c r="D912" s="68" t="s">
        <v>372</v>
      </c>
      <c r="E912" s="68" t="s">
        <v>1354</v>
      </c>
      <c r="G912" s="68">
        <v>44.0</v>
      </c>
      <c r="H912" s="68">
        <v>1.0</v>
      </c>
      <c r="I912" s="27">
        <v>6.0E-4</v>
      </c>
      <c r="J912" s="27">
        <v>4.0E-4</v>
      </c>
      <c r="K912" s="68">
        <v>62.0</v>
      </c>
      <c r="L912" s="68">
        <v>1.0</v>
      </c>
      <c r="M912" s="27">
        <v>7.0E-4</v>
      </c>
      <c r="N912" s="27">
        <v>3.0E-4</v>
      </c>
      <c r="O912" s="27">
        <v>0.8966</v>
      </c>
      <c r="P912" s="27">
        <v>0.0</v>
      </c>
      <c r="Q912" s="68">
        <v>0.0</v>
      </c>
      <c r="R912" s="68">
        <v>0.0</v>
      </c>
      <c r="S912" s="27">
        <v>0.0</v>
      </c>
      <c r="T912" s="27">
        <v>0.0</v>
      </c>
      <c r="U912" s="197">
        <v>0.0</v>
      </c>
      <c r="V912" s="197">
        <v>0.0</v>
      </c>
      <c r="W912" s="68">
        <v>0.0</v>
      </c>
      <c r="X912" s="68">
        <v>0.0</v>
      </c>
    </row>
    <row r="913" ht="15.75" customHeight="1">
      <c r="A913" s="3" t="s">
        <v>70</v>
      </c>
      <c r="B913" s="10" t="str">
        <f t="array" ref="B913">_xlfn.XLOOKUP(D913,'Referanc '!$A:$A,'Referanc '!$B:$B)</f>
        <v>Standing Table  - E1A</v>
      </c>
      <c r="C913" s="68" t="s">
        <v>378</v>
      </c>
      <c r="D913" s="68" t="s">
        <v>378</v>
      </c>
      <c r="E913" s="68" t="s">
        <v>1367</v>
      </c>
      <c r="G913" s="68">
        <v>119.0</v>
      </c>
      <c r="H913" s="68">
        <v>1.0</v>
      </c>
      <c r="I913" s="27">
        <v>0.0017</v>
      </c>
      <c r="J913" s="27">
        <v>4.0E-4</v>
      </c>
      <c r="K913" s="68">
        <v>134.0</v>
      </c>
      <c r="L913" s="68">
        <v>1.0</v>
      </c>
      <c r="M913" s="27">
        <v>0.0015</v>
      </c>
      <c r="N913" s="27">
        <v>3.0E-4</v>
      </c>
      <c r="O913" s="27">
        <v>0.7661</v>
      </c>
      <c r="P913" s="27">
        <v>1.0</v>
      </c>
      <c r="Q913" s="68">
        <v>0.0</v>
      </c>
      <c r="R913" s="68">
        <v>0.0</v>
      </c>
      <c r="S913" s="27">
        <v>0.0</v>
      </c>
      <c r="T913" s="27">
        <v>0.0</v>
      </c>
      <c r="U913" s="197">
        <v>0.0</v>
      </c>
      <c r="V913" s="197">
        <v>0.0</v>
      </c>
      <c r="W913" s="68">
        <v>0.0</v>
      </c>
      <c r="X913" s="68">
        <v>0.0</v>
      </c>
    </row>
    <row r="914" ht="15.75" customHeight="1">
      <c r="A914" s="3" t="s">
        <v>70</v>
      </c>
      <c r="B914" s="10" t="str">
        <f t="array" ref="B914">_xlfn.XLOOKUP(D914,'Referanc '!$A:$A,'Referanc '!$B:$B)</f>
        <v>Standing Table  - E1A</v>
      </c>
      <c r="C914" s="68" t="s">
        <v>380</v>
      </c>
      <c r="D914" s="68" t="s">
        <v>380</v>
      </c>
      <c r="E914" s="68" t="s">
        <v>1276</v>
      </c>
      <c r="G914" s="68">
        <v>231.0</v>
      </c>
      <c r="H914" s="68">
        <v>8.0</v>
      </c>
      <c r="I914" s="27">
        <v>0.0034</v>
      </c>
      <c r="J914" s="27">
        <v>0.003</v>
      </c>
      <c r="K914" s="68">
        <v>265.0</v>
      </c>
      <c r="L914" s="68">
        <v>11.0</v>
      </c>
      <c r="M914" s="27">
        <v>0.0029</v>
      </c>
      <c r="N914" s="27">
        <v>0.003</v>
      </c>
      <c r="O914" s="27">
        <v>0.8148</v>
      </c>
      <c r="P914" s="27">
        <v>0.6667</v>
      </c>
      <c r="Q914" s="68">
        <v>0.0</v>
      </c>
      <c r="R914" s="68">
        <v>0.0</v>
      </c>
      <c r="S914" s="27">
        <v>0.0</v>
      </c>
      <c r="T914" s="27">
        <v>0.0</v>
      </c>
      <c r="U914" s="197">
        <v>0.0</v>
      </c>
      <c r="V914" s="197">
        <v>0.0</v>
      </c>
      <c r="W914" s="68">
        <v>0.0</v>
      </c>
      <c r="X914" s="68">
        <v>0.0</v>
      </c>
    </row>
    <row r="915" ht="15.75" customHeight="1">
      <c r="A915" s="3" t="s">
        <v>70</v>
      </c>
      <c r="B915" s="10" t="str">
        <f t="array" ref="B915">_xlfn.XLOOKUP(D915,'Referanc '!$A:$A,'Referanc '!$B:$B)</f>
        <v>Standing Table  - E1A</v>
      </c>
      <c r="C915" s="68" t="s">
        <v>384</v>
      </c>
      <c r="D915" s="68" t="s">
        <v>384</v>
      </c>
      <c r="E915" s="68" t="s">
        <v>1302</v>
      </c>
      <c r="G915" s="68">
        <v>79.0</v>
      </c>
      <c r="H915" s="68">
        <v>3.0</v>
      </c>
      <c r="I915" s="27">
        <v>0.0012</v>
      </c>
      <c r="J915" s="27">
        <v>0.0011</v>
      </c>
      <c r="K915" s="68">
        <v>115.0</v>
      </c>
      <c r="L915" s="68">
        <v>3.0</v>
      </c>
      <c r="M915" s="27">
        <v>0.0013</v>
      </c>
      <c r="N915" s="27">
        <v>8.0E-4</v>
      </c>
      <c r="O915" s="27">
        <v>0.7396</v>
      </c>
      <c r="P915" s="27">
        <v>1.0</v>
      </c>
      <c r="Q915" s="68">
        <v>0.0</v>
      </c>
      <c r="R915" s="68">
        <v>0.0</v>
      </c>
      <c r="S915" s="27">
        <v>0.0</v>
      </c>
      <c r="T915" s="27">
        <v>0.0</v>
      </c>
      <c r="U915" s="197">
        <v>0.0</v>
      </c>
      <c r="V915" s="197">
        <v>0.0</v>
      </c>
      <c r="W915" s="68">
        <v>0.0</v>
      </c>
      <c r="X915" s="68">
        <v>0.0</v>
      </c>
    </row>
    <row r="916" ht="15.75" customHeight="1">
      <c r="A916" s="3" t="s">
        <v>70</v>
      </c>
      <c r="B916" s="10" t="str">
        <f t="array" ref="B916">_xlfn.XLOOKUP(D916,'Referanc '!$A:$A,'Referanc '!$B:$B)</f>
        <v>Standing Table - All Frames</v>
      </c>
      <c r="C916" s="68" t="s">
        <v>399</v>
      </c>
      <c r="D916" s="68" t="s">
        <v>399</v>
      </c>
      <c r="E916" s="68" t="s">
        <v>1303</v>
      </c>
      <c r="G916" s="68">
        <v>218.0</v>
      </c>
      <c r="H916" s="68">
        <v>15.0</v>
      </c>
      <c r="I916" s="27">
        <v>0.0032</v>
      </c>
      <c r="J916" s="27">
        <v>0.0056</v>
      </c>
      <c r="K916" s="68">
        <v>275.0</v>
      </c>
      <c r="L916" s="68">
        <v>18.0</v>
      </c>
      <c r="M916" s="27">
        <v>0.003</v>
      </c>
      <c r="N916" s="27">
        <v>0.0049</v>
      </c>
      <c r="O916" s="27">
        <v>0.8033</v>
      </c>
      <c r="P916" s="27">
        <v>0.875</v>
      </c>
      <c r="Q916" s="68">
        <v>0.0</v>
      </c>
      <c r="R916" s="68">
        <v>0.0</v>
      </c>
      <c r="S916" s="27">
        <v>0.0</v>
      </c>
      <c r="T916" s="27">
        <v>0.0</v>
      </c>
      <c r="U916" s="197">
        <v>0.0</v>
      </c>
      <c r="V916" s="197">
        <v>0.0</v>
      </c>
      <c r="W916" s="68">
        <v>0.0</v>
      </c>
      <c r="X916" s="68">
        <v>0.0</v>
      </c>
    </row>
    <row r="917" ht="15.75" customHeight="1">
      <c r="A917" s="3" t="s">
        <v>70</v>
      </c>
      <c r="B917" s="10" t="str">
        <f t="array" ref="B917">_xlfn.XLOOKUP(D917,'Referanc '!$A:$A,'Referanc '!$B:$B)</f>
        <v>TABLE TOP</v>
      </c>
      <c r="C917" s="68" t="s">
        <v>425</v>
      </c>
      <c r="D917" s="68" t="s">
        <v>425</v>
      </c>
      <c r="E917" s="68" t="s">
        <v>1355</v>
      </c>
      <c r="G917" s="68">
        <v>116.0</v>
      </c>
      <c r="H917" s="68">
        <v>3.0</v>
      </c>
      <c r="I917" s="27">
        <v>0.0017</v>
      </c>
      <c r="J917" s="27">
        <v>0.0011</v>
      </c>
      <c r="K917" s="68">
        <v>133.0</v>
      </c>
      <c r="L917" s="68">
        <v>3.0</v>
      </c>
      <c r="M917" s="27">
        <v>0.0015</v>
      </c>
      <c r="N917" s="27">
        <v>8.0E-4</v>
      </c>
      <c r="O917" s="27">
        <v>0.7615</v>
      </c>
      <c r="P917" s="27">
        <v>0.6667</v>
      </c>
      <c r="Q917" s="68">
        <v>0.0</v>
      </c>
      <c r="R917" s="68">
        <v>0.0</v>
      </c>
      <c r="S917" s="27">
        <v>0.0</v>
      </c>
      <c r="T917" s="27">
        <v>0.0</v>
      </c>
      <c r="U917" s="197">
        <v>0.0</v>
      </c>
      <c r="V917" s="197">
        <v>0.0</v>
      </c>
      <c r="W917" s="68">
        <v>0.0</v>
      </c>
      <c r="X917" s="68">
        <v>0.0</v>
      </c>
    </row>
    <row r="918" ht="15.75" customHeight="1">
      <c r="A918" s="3" t="s">
        <v>70</v>
      </c>
      <c r="B918" s="10" t="str">
        <f t="array" ref="B918">_xlfn.XLOOKUP(D918,'Referanc '!$A:$A,'Referanc '!$B:$B)</f>
        <v>Standing Table  - M14</v>
      </c>
      <c r="C918" s="68" t="s">
        <v>433</v>
      </c>
      <c r="D918" s="68" t="s">
        <v>433</v>
      </c>
      <c r="E918" s="68" t="s">
        <v>723</v>
      </c>
      <c r="G918" s="68">
        <v>34.0</v>
      </c>
      <c r="H918" s="68">
        <v>1.0</v>
      </c>
      <c r="I918" s="27">
        <v>5.0E-4</v>
      </c>
      <c r="J918" s="27">
        <v>4.0E-4</v>
      </c>
      <c r="K918" s="68">
        <v>56.0</v>
      </c>
      <c r="L918" s="68">
        <v>1.0</v>
      </c>
      <c r="M918" s="27">
        <v>6.0E-4</v>
      </c>
      <c r="N918" s="27">
        <v>3.0E-4</v>
      </c>
      <c r="O918" s="27">
        <v>0.8974</v>
      </c>
      <c r="P918" s="27">
        <v>0.0</v>
      </c>
      <c r="Q918" s="68">
        <v>0.0</v>
      </c>
      <c r="R918" s="68">
        <v>0.0</v>
      </c>
      <c r="S918" s="27">
        <v>0.0</v>
      </c>
      <c r="T918" s="27">
        <v>0.0</v>
      </c>
      <c r="U918" s="197">
        <v>0.0</v>
      </c>
      <c r="V918" s="197">
        <v>0.0</v>
      </c>
      <c r="W918" s="68">
        <v>0.0</v>
      </c>
      <c r="X918" s="68">
        <v>0.0</v>
      </c>
    </row>
    <row r="919" ht="15.75" customHeight="1">
      <c r="A919" s="3" t="s">
        <v>70</v>
      </c>
      <c r="B919" s="10" t="str">
        <f t="array" ref="B919">_xlfn.XLOOKUP(D919,'Referanc '!$A:$A,'Referanc '!$B:$B)</f>
        <v>Standing Table  - M14</v>
      </c>
      <c r="C919" s="68" t="s">
        <v>435</v>
      </c>
      <c r="D919" s="68" t="s">
        <v>435</v>
      </c>
      <c r="E919" s="68" t="s">
        <v>724</v>
      </c>
      <c r="G919" s="68">
        <v>59.0</v>
      </c>
      <c r="H919" s="68">
        <v>1.0</v>
      </c>
      <c r="I919" s="27">
        <v>9.0E-4</v>
      </c>
      <c r="J919" s="27">
        <v>4.0E-4</v>
      </c>
      <c r="K919" s="68">
        <v>76.0</v>
      </c>
      <c r="L919" s="68">
        <v>1.0</v>
      </c>
      <c r="M919" s="27">
        <v>8.0E-4</v>
      </c>
      <c r="N919" s="27">
        <v>3.0E-4</v>
      </c>
      <c r="O919" s="27">
        <v>0.871</v>
      </c>
      <c r="P919" s="27">
        <v>0.0</v>
      </c>
      <c r="Q919" s="68">
        <v>0.0</v>
      </c>
      <c r="R919" s="68">
        <v>0.0</v>
      </c>
      <c r="S919" s="27">
        <v>0.0</v>
      </c>
      <c r="T919" s="27">
        <v>0.0</v>
      </c>
      <c r="U919" s="197">
        <v>0.0</v>
      </c>
      <c r="V919" s="197">
        <v>0.0</v>
      </c>
      <c r="W919" s="68">
        <v>0.0</v>
      </c>
      <c r="X919" s="68">
        <v>0.0</v>
      </c>
    </row>
    <row r="920" ht="15.75" customHeight="1">
      <c r="A920" s="3" t="s">
        <v>70</v>
      </c>
      <c r="B920" s="10" t="str">
        <f t="array" ref="B920">_xlfn.XLOOKUP(D920,'Referanc '!$A:$A,'Referanc '!$B:$B)</f>
        <v>Standing Table  - M14</v>
      </c>
      <c r="C920" s="68" t="s">
        <v>436</v>
      </c>
      <c r="D920" s="68" t="s">
        <v>436</v>
      </c>
      <c r="E920" s="68" t="s">
        <v>725</v>
      </c>
      <c r="G920" s="68">
        <v>50.0</v>
      </c>
      <c r="H920" s="68">
        <v>0.0</v>
      </c>
      <c r="I920" s="27">
        <v>7.0E-4</v>
      </c>
      <c r="J920" s="27">
        <v>0.0</v>
      </c>
      <c r="K920" s="68">
        <v>84.0</v>
      </c>
      <c r="L920" s="68">
        <v>0.0</v>
      </c>
      <c r="M920" s="27">
        <v>9.0E-4</v>
      </c>
      <c r="N920" s="27">
        <v>0.0</v>
      </c>
      <c r="O920" s="27">
        <v>0.8906</v>
      </c>
      <c r="P920" s="27">
        <v>0.0</v>
      </c>
      <c r="Q920" s="68">
        <v>0.0</v>
      </c>
      <c r="R920" s="68">
        <v>0.0</v>
      </c>
      <c r="S920" s="27">
        <v>0.0</v>
      </c>
      <c r="T920" s="27">
        <v>0.0</v>
      </c>
      <c r="U920" s="197">
        <v>0.0</v>
      </c>
      <c r="V920" s="197">
        <v>0.0</v>
      </c>
      <c r="W920" s="68">
        <v>0.0</v>
      </c>
      <c r="X920" s="68">
        <v>0.0</v>
      </c>
    </row>
    <row r="921" ht="15.75" customHeight="1">
      <c r="A921" s="3" t="s">
        <v>70</v>
      </c>
      <c r="B921" s="10" t="str">
        <f t="array" ref="B921">_xlfn.XLOOKUP(D921,'Referanc '!$A:$A,'Referanc '!$B:$B)</f>
        <v>Standing Table  - M14</v>
      </c>
      <c r="C921" s="68" t="s">
        <v>437</v>
      </c>
      <c r="D921" s="68" t="s">
        <v>437</v>
      </c>
      <c r="E921" s="68" t="s">
        <v>726</v>
      </c>
      <c r="G921" s="68">
        <v>37.0</v>
      </c>
      <c r="H921" s="68">
        <v>0.0</v>
      </c>
      <c r="I921" s="27">
        <v>5.0E-4</v>
      </c>
      <c r="J921" s="27">
        <v>0.0</v>
      </c>
      <c r="K921" s="68">
        <v>57.0</v>
      </c>
      <c r="L921" s="68">
        <v>0.0</v>
      </c>
      <c r="M921" s="27">
        <v>6.0E-4</v>
      </c>
      <c r="N921" s="27">
        <v>0.0</v>
      </c>
      <c r="O921" s="27">
        <v>0.9722</v>
      </c>
      <c r="P921" s="27">
        <v>0.0</v>
      </c>
      <c r="Q921" s="68">
        <v>0.0</v>
      </c>
      <c r="R921" s="68">
        <v>0.0</v>
      </c>
      <c r="S921" s="27">
        <v>0.0</v>
      </c>
      <c r="T921" s="27">
        <v>0.0</v>
      </c>
      <c r="U921" s="197">
        <v>0.0</v>
      </c>
      <c r="V921" s="197">
        <v>0.0</v>
      </c>
      <c r="W921" s="68">
        <v>0.0</v>
      </c>
      <c r="X921" s="68">
        <v>0.0</v>
      </c>
    </row>
    <row r="922" ht="15.75" customHeight="1">
      <c r="A922" s="3" t="s">
        <v>70</v>
      </c>
      <c r="B922" s="10" t="str">
        <f t="array" ref="B922">_xlfn.XLOOKUP(D922,'Referanc '!$A:$A,'Referanc '!$B:$B)</f>
        <v>Standing Table  - M14</v>
      </c>
      <c r="C922" s="68" t="s">
        <v>438</v>
      </c>
      <c r="D922" s="68" t="s">
        <v>438</v>
      </c>
      <c r="E922" s="68" t="s">
        <v>727</v>
      </c>
      <c r="G922" s="68">
        <v>4.0</v>
      </c>
      <c r="H922" s="68">
        <v>0.0</v>
      </c>
      <c r="I922" s="27">
        <v>1.0E-4</v>
      </c>
      <c r="J922" s="27">
        <v>0.0</v>
      </c>
      <c r="K922" s="68">
        <v>5.0</v>
      </c>
      <c r="L922" s="68">
        <v>0.0</v>
      </c>
      <c r="M922" s="27">
        <v>1.0E-4</v>
      </c>
      <c r="N922" s="27">
        <v>0.0</v>
      </c>
      <c r="O922" s="27">
        <v>1.0</v>
      </c>
      <c r="P922" s="27">
        <v>0.0</v>
      </c>
      <c r="Q922" s="68">
        <v>0.0</v>
      </c>
      <c r="R922" s="68">
        <v>0.0</v>
      </c>
      <c r="S922" s="27">
        <v>0.0</v>
      </c>
      <c r="T922" s="27">
        <v>0.0</v>
      </c>
      <c r="U922" s="197">
        <v>0.0</v>
      </c>
      <c r="V922" s="197">
        <v>0.0</v>
      </c>
      <c r="W922" s="68">
        <v>0.0</v>
      </c>
      <c r="X922" s="68">
        <v>0.0</v>
      </c>
    </row>
    <row r="923" ht="15.75" customHeight="1">
      <c r="A923" s="3" t="s">
        <v>70</v>
      </c>
      <c r="B923" s="10" t="str">
        <f t="array" ref="B923">_xlfn.XLOOKUP(D923,'Referanc '!$A:$A,'Referanc '!$B:$B)</f>
        <v>Standing Table  - M14</v>
      </c>
      <c r="C923" s="68" t="s">
        <v>439</v>
      </c>
      <c r="D923" s="68" t="s">
        <v>439</v>
      </c>
      <c r="E923" s="68" t="s">
        <v>728</v>
      </c>
      <c r="G923" s="68">
        <v>21.0</v>
      </c>
      <c r="H923" s="68">
        <v>1.0</v>
      </c>
      <c r="I923" s="27">
        <v>3.0E-4</v>
      </c>
      <c r="J923" s="27">
        <v>4.0E-4</v>
      </c>
      <c r="K923" s="68">
        <v>30.0</v>
      </c>
      <c r="L923" s="68">
        <v>1.0</v>
      </c>
      <c r="M923" s="27">
        <v>3.0E-4</v>
      </c>
      <c r="N923" s="27">
        <v>3.0E-4</v>
      </c>
      <c r="O923" s="27">
        <v>0.7857</v>
      </c>
      <c r="P923" s="27">
        <v>0.0</v>
      </c>
      <c r="Q923" s="68">
        <v>0.0</v>
      </c>
      <c r="R923" s="68">
        <v>0.0</v>
      </c>
      <c r="S923" s="27">
        <v>0.0</v>
      </c>
      <c r="T923" s="27">
        <v>0.0</v>
      </c>
      <c r="U923" s="197">
        <v>0.0</v>
      </c>
      <c r="V923" s="197">
        <v>0.0</v>
      </c>
      <c r="W923" s="68">
        <v>0.0</v>
      </c>
      <c r="X923" s="68">
        <v>0.0</v>
      </c>
    </row>
    <row r="924" ht="15.75" customHeight="1">
      <c r="A924" s="3" t="s">
        <v>70</v>
      </c>
      <c r="B924" s="10" t="str">
        <f t="array" ref="B924">_xlfn.XLOOKUP(D924,'Referanc '!$A:$A,'Referanc '!$B:$B)</f>
        <v>Standing Table  - M14</v>
      </c>
      <c r="C924" s="68" t="s">
        <v>440</v>
      </c>
      <c r="D924" s="68" t="s">
        <v>440</v>
      </c>
      <c r="E924" s="68" t="s">
        <v>729</v>
      </c>
      <c r="G924" s="68">
        <v>5.0</v>
      </c>
      <c r="H924" s="68">
        <v>0.0</v>
      </c>
      <c r="I924" s="27">
        <v>1.0E-4</v>
      </c>
      <c r="J924" s="27">
        <v>0.0</v>
      </c>
      <c r="K924" s="68">
        <v>7.0</v>
      </c>
      <c r="L924" s="68">
        <v>0.0</v>
      </c>
      <c r="M924" s="27">
        <v>1.0E-4</v>
      </c>
      <c r="N924" s="27">
        <v>0.0</v>
      </c>
      <c r="O924" s="27">
        <v>1.0</v>
      </c>
      <c r="P924" s="27">
        <v>0.0</v>
      </c>
      <c r="Q924" s="68">
        <v>0.0</v>
      </c>
      <c r="R924" s="68">
        <v>0.0</v>
      </c>
      <c r="S924" s="27">
        <v>0.0</v>
      </c>
      <c r="T924" s="27">
        <v>0.0</v>
      </c>
      <c r="U924" s="197">
        <v>0.0</v>
      </c>
      <c r="V924" s="197">
        <v>0.0</v>
      </c>
      <c r="W924" s="68">
        <v>0.0</v>
      </c>
      <c r="X924" s="68">
        <v>0.0</v>
      </c>
    </row>
    <row r="925" ht="15.75" customHeight="1">
      <c r="A925" s="3" t="s">
        <v>70</v>
      </c>
      <c r="B925" s="10" t="str">
        <f t="array" ref="B925">_xlfn.XLOOKUP(D925,'Referanc '!$A:$A,'Referanc '!$B:$B)</f>
        <v>Standing Table  - M14</v>
      </c>
      <c r="C925" s="68" t="s">
        <v>441</v>
      </c>
      <c r="D925" s="68" t="s">
        <v>441</v>
      </c>
      <c r="E925" s="68" t="s">
        <v>730</v>
      </c>
      <c r="G925" s="68">
        <v>35.0</v>
      </c>
      <c r="H925" s="68">
        <v>0.0</v>
      </c>
      <c r="I925" s="27">
        <v>5.0E-4</v>
      </c>
      <c r="J925" s="27">
        <v>0.0</v>
      </c>
      <c r="K925" s="68">
        <v>47.0</v>
      </c>
      <c r="L925" s="68">
        <v>0.0</v>
      </c>
      <c r="M925" s="27">
        <v>5.0E-4</v>
      </c>
      <c r="N925" s="27">
        <v>0.0</v>
      </c>
      <c r="O925" s="27">
        <v>0.9615</v>
      </c>
      <c r="P925" s="27">
        <v>0.0</v>
      </c>
      <c r="Q925" s="68">
        <v>0.0</v>
      </c>
      <c r="R925" s="68">
        <v>0.0</v>
      </c>
      <c r="S925" s="27">
        <v>0.0</v>
      </c>
      <c r="T925" s="27">
        <v>0.0</v>
      </c>
      <c r="U925" s="197">
        <v>0.0</v>
      </c>
      <c r="V925" s="197">
        <v>0.0</v>
      </c>
      <c r="W925" s="68">
        <v>0.0</v>
      </c>
      <c r="X925" s="68">
        <v>0.0</v>
      </c>
    </row>
    <row r="926" ht="15.75" customHeight="1">
      <c r="A926" s="3" t="s">
        <v>70</v>
      </c>
      <c r="B926" s="10" t="str">
        <f t="array" ref="B926">_xlfn.XLOOKUP(D926,'Referanc '!$A:$A,'Referanc '!$B:$B)</f>
        <v>Standing Table  - M14</v>
      </c>
      <c r="C926" s="68" t="s">
        <v>442</v>
      </c>
      <c r="D926" s="68" t="s">
        <v>442</v>
      </c>
      <c r="E926" s="68" t="s">
        <v>731</v>
      </c>
      <c r="G926" s="68">
        <v>3.0</v>
      </c>
      <c r="H926" s="68">
        <v>0.0</v>
      </c>
      <c r="I926" s="27">
        <v>0.0</v>
      </c>
      <c r="J926" s="27">
        <v>0.0</v>
      </c>
      <c r="K926" s="68">
        <v>3.0</v>
      </c>
      <c r="L926" s="68">
        <v>0.0</v>
      </c>
      <c r="M926" s="27">
        <v>0.0</v>
      </c>
      <c r="N926" s="27">
        <v>0.0</v>
      </c>
      <c r="O926" s="27">
        <v>1.0</v>
      </c>
      <c r="P926" s="27">
        <v>0.0</v>
      </c>
      <c r="Q926" s="68">
        <v>0.0</v>
      </c>
      <c r="R926" s="68">
        <v>0.0</v>
      </c>
      <c r="S926" s="27">
        <v>0.0</v>
      </c>
      <c r="T926" s="27">
        <v>0.0</v>
      </c>
      <c r="U926" s="197">
        <v>0.0</v>
      </c>
      <c r="V926" s="197">
        <v>0.0</v>
      </c>
      <c r="W926" s="68">
        <v>0.0</v>
      </c>
      <c r="X926" s="68">
        <v>0.0</v>
      </c>
    </row>
    <row r="927" ht="15.75" customHeight="1">
      <c r="A927" s="3" t="s">
        <v>70</v>
      </c>
      <c r="B927" s="10" t="str">
        <f t="array" ref="B927">_xlfn.XLOOKUP(D927,'Referanc '!$A:$A,'Referanc '!$B:$B)</f>
        <v>Standing Table  - M14</v>
      </c>
      <c r="C927" s="68" t="s">
        <v>443</v>
      </c>
      <c r="D927" s="68" t="s">
        <v>443</v>
      </c>
      <c r="E927" s="68" t="s">
        <v>732</v>
      </c>
      <c r="G927" s="68">
        <v>5.0</v>
      </c>
      <c r="H927" s="68">
        <v>0.0</v>
      </c>
      <c r="I927" s="27">
        <v>1.0E-4</v>
      </c>
      <c r="J927" s="27">
        <v>0.0</v>
      </c>
      <c r="K927" s="68">
        <v>5.0</v>
      </c>
      <c r="L927" s="68">
        <v>0.0</v>
      </c>
      <c r="M927" s="27">
        <v>1.0E-4</v>
      </c>
      <c r="N927" s="27">
        <v>0.0</v>
      </c>
      <c r="O927" s="27">
        <v>1.0</v>
      </c>
      <c r="P927" s="27">
        <v>0.0</v>
      </c>
      <c r="Q927" s="68">
        <v>0.0</v>
      </c>
      <c r="R927" s="68">
        <v>0.0</v>
      </c>
      <c r="S927" s="27">
        <v>0.0</v>
      </c>
      <c r="T927" s="27">
        <v>0.0</v>
      </c>
      <c r="U927" s="197">
        <v>0.0</v>
      </c>
      <c r="V927" s="197">
        <v>0.0</v>
      </c>
      <c r="W927" s="68">
        <v>0.0</v>
      </c>
      <c r="X927" s="68">
        <v>0.0</v>
      </c>
    </row>
    <row r="928" ht="15.75" customHeight="1">
      <c r="A928" s="65">
        <v>45658.0</v>
      </c>
      <c r="B928" s="10" t="str">
        <f t="array" ref="B928">_xlfn.XLOOKUP(D928,'Referanc '!$A:$A,'Referanc '!$B:$B)</f>
        <v>Desk Cable Tray</v>
      </c>
      <c r="C928" s="179" t="s">
        <v>327</v>
      </c>
      <c r="D928" s="179" t="s">
        <v>327</v>
      </c>
      <c r="E928" s="179" t="s">
        <v>720</v>
      </c>
      <c r="F928" s="179"/>
      <c r="G928" s="207">
        <v>1694.0</v>
      </c>
      <c r="H928" s="179">
        <v>78.0</v>
      </c>
      <c r="I928" s="195">
        <v>0.0283</v>
      </c>
      <c r="J928" s="195">
        <v>0.0303</v>
      </c>
      <c r="K928" s="207">
        <v>2632.0</v>
      </c>
      <c r="L928" s="179">
        <v>114.0</v>
      </c>
      <c r="M928" s="195">
        <v>0.0318</v>
      </c>
      <c r="N928" s="195">
        <v>0.0326</v>
      </c>
      <c r="O928" s="195">
        <v>0.9788</v>
      </c>
      <c r="P928" s="195">
        <v>0.9324</v>
      </c>
      <c r="Q928" s="179">
        <v>61.0</v>
      </c>
      <c r="R928" s="179">
        <v>2.0</v>
      </c>
      <c r="S928" s="195">
        <v>0.036</v>
      </c>
      <c r="T928" s="195">
        <v>0.0256</v>
      </c>
      <c r="U928" s="179">
        <v>81055.0</v>
      </c>
      <c r="V928" s="179">
        <v>2616.0</v>
      </c>
      <c r="W928" s="179">
        <v>57.0</v>
      </c>
      <c r="X928" s="179">
        <v>2.0</v>
      </c>
    </row>
    <row r="929" ht="15.75" customHeight="1">
      <c r="A929" s="65">
        <v>45658.0</v>
      </c>
      <c r="B929" s="10" t="str">
        <f t="array" ref="B929">_xlfn.XLOOKUP(D929,'Referanc '!$A:$A,'Referanc '!$B:$B)</f>
        <v>Desk Cable Tray</v>
      </c>
      <c r="C929" s="179" t="s">
        <v>314</v>
      </c>
      <c r="D929" s="179" t="s">
        <v>314</v>
      </c>
      <c r="E929" s="179" t="s">
        <v>1369</v>
      </c>
      <c r="F929" s="179"/>
      <c r="G929" s="207">
        <v>2201.0</v>
      </c>
      <c r="H929" s="179">
        <v>111.0</v>
      </c>
      <c r="I929" s="195">
        <v>0.0367</v>
      </c>
      <c r="J929" s="195">
        <v>0.0431</v>
      </c>
      <c r="K929" s="207">
        <v>3220.0</v>
      </c>
      <c r="L929" s="179">
        <v>163.0</v>
      </c>
      <c r="M929" s="195">
        <v>0.0389</v>
      </c>
      <c r="N929" s="195">
        <v>0.0466</v>
      </c>
      <c r="O929" s="195">
        <v>0.9191</v>
      </c>
      <c r="P929" s="195">
        <v>0.8713</v>
      </c>
      <c r="Q929" s="179">
        <v>49.0</v>
      </c>
      <c r="R929" s="179">
        <v>9.0</v>
      </c>
      <c r="S929" s="195">
        <v>0.0223</v>
      </c>
      <c r="T929" s="195">
        <v>0.0811</v>
      </c>
      <c r="U929" s="179">
        <v>82364.0</v>
      </c>
      <c r="V929" s="179">
        <v>15574.0</v>
      </c>
      <c r="W929" s="179">
        <v>40.0</v>
      </c>
      <c r="X929" s="179">
        <v>4.0</v>
      </c>
    </row>
    <row r="930" ht="15.75" customHeight="1">
      <c r="A930" s="65">
        <v>45658.0</v>
      </c>
      <c r="B930" s="10" t="str">
        <f t="array" ref="B930">_xlfn.XLOOKUP(D930,'Referanc '!$A:$A,'Referanc '!$B:$B)</f>
        <v>Desk Cable Tray</v>
      </c>
      <c r="C930" s="179" t="s">
        <v>329</v>
      </c>
      <c r="D930" s="179" t="s">
        <v>329</v>
      </c>
      <c r="E930" s="179" t="s">
        <v>721</v>
      </c>
      <c r="F930" s="179"/>
      <c r="G930" s="207">
        <v>2392.0</v>
      </c>
      <c r="H930" s="179">
        <v>117.0</v>
      </c>
      <c r="I930" s="195">
        <v>0.0399</v>
      </c>
      <c r="J930" s="195">
        <v>0.0454</v>
      </c>
      <c r="K930" s="207">
        <v>3471.0</v>
      </c>
      <c r="L930" s="179">
        <v>183.0</v>
      </c>
      <c r="M930" s="195">
        <v>0.042</v>
      </c>
      <c r="N930" s="195">
        <v>0.0523</v>
      </c>
      <c r="O930" s="195">
        <v>0.9987</v>
      </c>
      <c r="P930" s="195">
        <v>1.0</v>
      </c>
      <c r="Q930" s="179">
        <v>38.0</v>
      </c>
      <c r="R930" s="179">
        <v>2.0</v>
      </c>
      <c r="S930" s="195">
        <v>0.0159</v>
      </c>
      <c r="T930" s="195">
        <v>0.0171</v>
      </c>
      <c r="U930" s="179">
        <v>52012.0</v>
      </c>
      <c r="V930" s="179">
        <v>2752.0</v>
      </c>
      <c r="W930" s="179">
        <v>35.0</v>
      </c>
      <c r="X930" s="179">
        <v>2.0</v>
      </c>
    </row>
    <row r="931" ht="15.75" customHeight="1">
      <c r="A931" s="65">
        <v>45658.0</v>
      </c>
      <c r="B931" s="10" t="str">
        <f t="array" ref="B931">_xlfn.XLOOKUP(D931,'Referanc '!$A:$A,'Referanc '!$B:$B)</f>
        <v>Standing Table  - SM4</v>
      </c>
      <c r="C931" s="179" t="s">
        <v>427</v>
      </c>
      <c r="D931" s="179" t="s">
        <v>427</v>
      </c>
      <c r="E931" s="179" t="s">
        <v>738</v>
      </c>
      <c r="F931" s="179"/>
      <c r="G931" s="207">
        <v>3348.0</v>
      </c>
      <c r="H931" s="179">
        <v>126.0</v>
      </c>
      <c r="I931" s="195">
        <v>0.0558</v>
      </c>
      <c r="J931" s="195">
        <v>0.0489</v>
      </c>
      <c r="K931" s="207">
        <v>5029.0</v>
      </c>
      <c r="L931" s="179">
        <v>158.0</v>
      </c>
      <c r="M931" s="195">
        <v>0.0608</v>
      </c>
      <c r="N931" s="195">
        <v>0.0452</v>
      </c>
      <c r="O931" s="195">
        <v>0.9018</v>
      </c>
      <c r="P931" s="195">
        <v>0.8208</v>
      </c>
      <c r="Q931" s="179">
        <v>26.0</v>
      </c>
      <c r="R931" s="179">
        <v>4.0</v>
      </c>
      <c r="S931" s="195">
        <v>0.0078</v>
      </c>
      <c r="T931" s="195">
        <v>0.0317</v>
      </c>
      <c r="U931" s="179">
        <v>438750.0</v>
      </c>
      <c r="V931" s="179">
        <v>67996.0</v>
      </c>
      <c r="W931" s="179">
        <v>23.0</v>
      </c>
      <c r="X931" s="179">
        <v>1.0</v>
      </c>
    </row>
    <row r="932" ht="15.75" customHeight="1">
      <c r="A932" s="65">
        <v>45658.0</v>
      </c>
      <c r="B932" s="10" t="str">
        <f t="array" ref="B932">_xlfn.XLOOKUP(D932,'Referanc '!$A:$A,'Referanc '!$B:$B)</f>
        <v>Extension &amp; Holder</v>
      </c>
      <c r="C932" s="179" t="s">
        <v>307</v>
      </c>
      <c r="D932" s="179" t="s">
        <v>307</v>
      </c>
      <c r="E932" s="179" t="s">
        <v>1370</v>
      </c>
      <c r="F932" s="179"/>
      <c r="G932" s="207">
        <v>1628.0</v>
      </c>
      <c r="H932" s="179">
        <v>103.0</v>
      </c>
      <c r="I932" s="195">
        <v>0.0272</v>
      </c>
      <c r="J932" s="195">
        <v>0.04</v>
      </c>
      <c r="K932" s="207">
        <v>2129.0</v>
      </c>
      <c r="L932" s="179">
        <v>134.0</v>
      </c>
      <c r="M932" s="195">
        <v>0.0257</v>
      </c>
      <c r="N932" s="195">
        <v>0.0383</v>
      </c>
      <c r="O932" s="195">
        <v>0.9995</v>
      </c>
      <c r="P932" s="195">
        <v>1.0</v>
      </c>
      <c r="Q932" s="179">
        <v>23.0</v>
      </c>
      <c r="R932" s="179">
        <v>2.0</v>
      </c>
      <c r="S932" s="195">
        <v>0.0141</v>
      </c>
      <c r="T932" s="195">
        <v>0.0194</v>
      </c>
      <c r="U932" s="179">
        <v>24477.0</v>
      </c>
      <c r="V932" s="179">
        <v>1998.0</v>
      </c>
      <c r="W932" s="179">
        <v>22.0</v>
      </c>
      <c r="X932" s="179">
        <v>2.0</v>
      </c>
    </row>
    <row r="933" ht="15.75" customHeight="1">
      <c r="A933" s="65">
        <v>45658.0</v>
      </c>
      <c r="B933" s="10" t="str">
        <f t="array" ref="B933">_xlfn.XLOOKUP(D933,'Referanc '!$A:$A,'Referanc '!$B:$B)</f>
        <v>Standing Table  - SM4</v>
      </c>
      <c r="C933" s="179" t="s">
        <v>430</v>
      </c>
      <c r="D933" s="179" t="s">
        <v>430</v>
      </c>
      <c r="E933" s="179" t="s">
        <v>739</v>
      </c>
      <c r="F933" s="179"/>
      <c r="G933" s="207">
        <v>1689.0</v>
      </c>
      <c r="H933" s="179">
        <v>70.0</v>
      </c>
      <c r="I933" s="195">
        <v>0.0282</v>
      </c>
      <c r="J933" s="195">
        <v>0.0272</v>
      </c>
      <c r="K933" s="207">
        <v>2455.0</v>
      </c>
      <c r="L933" s="179">
        <v>107.0</v>
      </c>
      <c r="M933" s="195">
        <v>0.0297</v>
      </c>
      <c r="N933" s="195">
        <v>0.0306</v>
      </c>
      <c r="O933" s="195">
        <v>0.8835</v>
      </c>
      <c r="P933" s="195">
        <v>0.7895</v>
      </c>
      <c r="Q933" s="179">
        <v>20.0</v>
      </c>
      <c r="R933" s="179">
        <v>2.0</v>
      </c>
      <c r="S933" s="195">
        <v>0.0118</v>
      </c>
      <c r="T933" s="195">
        <v>0.0286</v>
      </c>
      <c r="U933" s="179">
        <v>335941.0</v>
      </c>
      <c r="V933" s="179">
        <v>33998.0</v>
      </c>
      <c r="W933" s="179">
        <v>20.0</v>
      </c>
      <c r="X933" s="179">
        <v>2.0</v>
      </c>
    </row>
    <row r="934" ht="15.75" customHeight="1">
      <c r="A934" s="65">
        <v>45658.0</v>
      </c>
      <c r="B934" s="10" t="str">
        <f t="array" ref="B934">_xlfn.XLOOKUP(D934,'Referanc '!$A:$A,'Referanc '!$B:$B)</f>
        <v>Standing Table - All Frames</v>
      </c>
      <c r="C934" s="179" t="s">
        <v>298</v>
      </c>
      <c r="D934" s="179" t="s">
        <v>298</v>
      </c>
      <c r="E934" s="179" t="s">
        <v>1168</v>
      </c>
      <c r="F934" s="179"/>
      <c r="G934" s="207">
        <v>2234.0</v>
      </c>
      <c r="H934" s="179">
        <v>113.0</v>
      </c>
      <c r="I934" s="195">
        <v>0.0373</v>
      </c>
      <c r="J934" s="195">
        <v>0.0439</v>
      </c>
      <c r="K934" s="207">
        <v>2916.0</v>
      </c>
      <c r="L934" s="179">
        <v>145.0</v>
      </c>
      <c r="M934" s="195">
        <v>0.0353</v>
      </c>
      <c r="N934" s="195">
        <v>0.0414</v>
      </c>
      <c r="O934" s="195">
        <v>0.816</v>
      </c>
      <c r="P934" s="195">
        <v>0.7442</v>
      </c>
      <c r="Q934" s="179">
        <v>19.0</v>
      </c>
      <c r="R934" s="179">
        <v>0.0</v>
      </c>
      <c r="S934" s="195">
        <v>0.0085</v>
      </c>
      <c r="T934" s="195">
        <v>0.0</v>
      </c>
      <c r="U934" s="179">
        <v>338397.9</v>
      </c>
      <c r="V934" s="179">
        <v>0.0</v>
      </c>
      <c r="W934" s="179">
        <v>19.0</v>
      </c>
      <c r="X934" s="179">
        <v>0.0</v>
      </c>
    </row>
    <row r="935" ht="15.75" customHeight="1">
      <c r="A935" s="65">
        <v>45658.0</v>
      </c>
      <c r="B935" s="10" t="str">
        <f t="array" ref="B935">_xlfn.XLOOKUP(D935,'Referanc '!$A:$A,'Referanc '!$B:$B)</f>
        <v>Standing Table  - SM3</v>
      </c>
      <c r="C935" s="179" t="s">
        <v>291</v>
      </c>
      <c r="D935" s="179" t="s">
        <v>291</v>
      </c>
      <c r="E935" s="179" t="s">
        <v>1310</v>
      </c>
      <c r="F935" s="179"/>
      <c r="G935" s="207">
        <v>6245.0</v>
      </c>
      <c r="H935" s="179">
        <v>228.0</v>
      </c>
      <c r="I935" s="195">
        <v>0.1042</v>
      </c>
      <c r="J935" s="195">
        <v>0.0885</v>
      </c>
      <c r="K935" s="207">
        <v>8342.0</v>
      </c>
      <c r="L935" s="179">
        <v>286.0</v>
      </c>
      <c r="M935" s="195">
        <v>0.1009</v>
      </c>
      <c r="N935" s="195">
        <v>0.0817</v>
      </c>
      <c r="O935" s="195">
        <v>0.7706</v>
      </c>
      <c r="P935" s="195">
        <v>0.7766</v>
      </c>
      <c r="Q935" s="179">
        <v>18.0</v>
      </c>
      <c r="R935" s="179">
        <v>0.0</v>
      </c>
      <c r="S935" s="195">
        <v>0.0029</v>
      </c>
      <c r="T935" s="195">
        <v>0.0</v>
      </c>
      <c r="U935" s="179">
        <v>385239.0</v>
      </c>
      <c r="V935" s="179">
        <v>0.0</v>
      </c>
      <c r="W935" s="179">
        <v>18.0</v>
      </c>
      <c r="X935" s="179">
        <v>0.0</v>
      </c>
    </row>
    <row r="936" ht="15.75" customHeight="1">
      <c r="A936" s="65">
        <v>45658.0</v>
      </c>
      <c r="B936" s="10" t="str">
        <f t="array" ref="B936">_xlfn.XLOOKUP(D936,'Referanc '!$A:$A,'Referanc '!$B:$B)</f>
        <v>Desk Cable Tray</v>
      </c>
      <c r="C936" s="179" t="s">
        <v>325</v>
      </c>
      <c r="D936" s="179" t="s">
        <v>325</v>
      </c>
      <c r="E936" s="179" t="s">
        <v>689</v>
      </c>
      <c r="F936" s="179"/>
      <c r="G936" s="207">
        <v>1081.0</v>
      </c>
      <c r="H936" s="179">
        <v>53.0</v>
      </c>
      <c r="I936" s="195">
        <v>0.018</v>
      </c>
      <c r="J936" s="195">
        <v>0.0206</v>
      </c>
      <c r="K936" s="207">
        <v>1595.0</v>
      </c>
      <c r="L936" s="179">
        <v>86.0</v>
      </c>
      <c r="M936" s="195">
        <v>0.0193</v>
      </c>
      <c r="N936" s="195">
        <v>0.0246</v>
      </c>
      <c r="O936" s="195">
        <v>0.8577</v>
      </c>
      <c r="P936" s="195">
        <v>0.7843</v>
      </c>
      <c r="Q936" s="179">
        <v>16.0</v>
      </c>
      <c r="R936" s="179">
        <v>1.0</v>
      </c>
      <c r="S936" s="195">
        <v>0.0148</v>
      </c>
      <c r="T936" s="195">
        <v>0.0189</v>
      </c>
      <c r="U936" s="179">
        <v>36990.0</v>
      </c>
      <c r="V936" s="179">
        <v>2199.0</v>
      </c>
      <c r="W936" s="179">
        <v>16.0</v>
      </c>
      <c r="X936" s="179">
        <v>1.0</v>
      </c>
    </row>
    <row r="937" ht="15.75" customHeight="1">
      <c r="A937" s="65">
        <v>45658.0</v>
      </c>
      <c r="B937" s="10" t="str">
        <f t="array" ref="B937">_xlfn.XLOOKUP(D937,'Referanc '!$A:$A,'Referanc '!$B:$B)</f>
        <v>Standing Table  - SM3</v>
      </c>
      <c r="C937" s="179" t="s">
        <v>304</v>
      </c>
      <c r="D937" s="179" t="s">
        <v>304</v>
      </c>
      <c r="E937" s="179" t="s">
        <v>1161</v>
      </c>
      <c r="F937" s="179"/>
      <c r="G937" s="207">
        <v>6624.0</v>
      </c>
      <c r="H937" s="179">
        <v>275.0</v>
      </c>
      <c r="I937" s="195">
        <v>0.1105</v>
      </c>
      <c r="J937" s="195">
        <v>0.1068</v>
      </c>
      <c r="K937" s="207">
        <v>8766.0</v>
      </c>
      <c r="L937" s="179">
        <v>351.0</v>
      </c>
      <c r="M937" s="195">
        <v>0.106</v>
      </c>
      <c r="N937" s="195">
        <v>0.1003</v>
      </c>
      <c r="O937" s="195">
        <v>0.7992</v>
      </c>
      <c r="P937" s="195">
        <v>0.7422</v>
      </c>
      <c r="Q937" s="179">
        <v>10.0</v>
      </c>
      <c r="R937" s="179">
        <v>2.0</v>
      </c>
      <c r="S937" s="195">
        <v>0.0015</v>
      </c>
      <c r="T937" s="195">
        <v>0.0073</v>
      </c>
      <c r="U937" s="179">
        <v>213059.0</v>
      </c>
      <c r="V937" s="179">
        <v>44011.86</v>
      </c>
      <c r="W937" s="179">
        <v>10.0</v>
      </c>
      <c r="X937" s="179">
        <v>2.0</v>
      </c>
    </row>
    <row r="938" ht="15.75" customHeight="1">
      <c r="A938" s="65">
        <v>45658.0</v>
      </c>
      <c r="B938" s="10" t="str">
        <f t="array" ref="B938">_xlfn.XLOOKUP(D938,'Referanc '!$A:$A,'Referanc '!$B:$B)</f>
        <v>Standing Table  - SM3</v>
      </c>
      <c r="C938" s="179" t="s">
        <v>301</v>
      </c>
      <c r="D938" s="179" t="s">
        <v>301</v>
      </c>
      <c r="E938" s="179" t="s">
        <v>1313</v>
      </c>
      <c r="F938" s="179"/>
      <c r="G938" s="207">
        <v>2238.0</v>
      </c>
      <c r="H938" s="179">
        <v>97.0</v>
      </c>
      <c r="I938" s="195">
        <v>0.0373</v>
      </c>
      <c r="J938" s="195">
        <v>0.0377</v>
      </c>
      <c r="K938" s="207">
        <v>2960.0</v>
      </c>
      <c r="L938" s="179">
        <v>111.0</v>
      </c>
      <c r="M938" s="195">
        <v>0.0358</v>
      </c>
      <c r="N938" s="195">
        <v>0.0317</v>
      </c>
      <c r="O938" s="195">
        <v>0.8856</v>
      </c>
      <c r="P938" s="195">
        <v>0.7358</v>
      </c>
      <c r="Q938" s="179">
        <v>8.0</v>
      </c>
      <c r="R938" s="179">
        <v>0.0</v>
      </c>
      <c r="S938" s="195">
        <v>0.0036</v>
      </c>
      <c r="T938" s="195">
        <v>0.0</v>
      </c>
      <c r="U938" s="179">
        <v>193375.3</v>
      </c>
      <c r="V938" s="179">
        <v>0.0</v>
      </c>
      <c r="W938" s="179">
        <v>8.0</v>
      </c>
      <c r="X938" s="179">
        <v>0.0</v>
      </c>
    </row>
    <row r="939" ht="15.75" customHeight="1">
      <c r="A939" s="65">
        <v>45658.0</v>
      </c>
      <c r="B939" s="10" t="str">
        <f t="array" ref="B939">_xlfn.XLOOKUP(D939,'Referanc '!$A:$A,'Referanc '!$B:$B)</f>
        <v>Standing Table  - E2</v>
      </c>
      <c r="C939" s="179" t="s">
        <v>311</v>
      </c>
      <c r="D939" s="179" t="s">
        <v>311</v>
      </c>
      <c r="E939" s="179" t="s">
        <v>1132</v>
      </c>
      <c r="F939" s="179"/>
      <c r="G939" s="207">
        <v>1828.0</v>
      </c>
      <c r="H939" s="179">
        <v>50.0</v>
      </c>
      <c r="I939" s="195">
        <v>0.0305</v>
      </c>
      <c r="J939" s="195">
        <v>0.0194</v>
      </c>
      <c r="K939" s="207">
        <v>2541.0</v>
      </c>
      <c r="L939" s="179">
        <v>63.0</v>
      </c>
      <c r="M939" s="195">
        <v>0.0307</v>
      </c>
      <c r="N939" s="195">
        <v>0.018</v>
      </c>
      <c r="O939" s="195">
        <v>0.8873</v>
      </c>
      <c r="P939" s="195">
        <v>0.8571</v>
      </c>
      <c r="Q939" s="179">
        <v>8.0</v>
      </c>
      <c r="R939" s="179">
        <v>1.0</v>
      </c>
      <c r="S939" s="195">
        <v>0.0044</v>
      </c>
      <c r="T939" s="195">
        <v>0.02</v>
      </c>
      <c r="U939" s="179">
        <v>272893.4</v>
      </c>
      <c r="V939" s="179">
        <v>33402.0</v>
      </c>
      <c r="W939" s="179">
        <v>8.0</v>
      </c>
      <c r="X939" s="179">
        <v>1.0</v>
      </c>
    </row>
    <row r="940" ht="15.75" customHeight="1">
      <c r="A940" s="65">
        <v>45658.0</v>
      </c>
      <c r="B940" s="10" t="str">
        <f t="array" ref="B940">_xlfn.XLOOKUP(D940,'Referanc '!$A:$A,'Referanc '!$B:$B)</f>
        <v>Standing Table  - E4</v>
      </c>
      <c r="C940" s="179" t="s">
        <v>396</v>
      </c>
      <c r="D940" s="179" t="s">
        <v>396</v>
      </c>
      <c r="E940" s="179" t="s">
        <v>1321</v>
      </c>
      <c r="F940" s="179"/>
      <c r="G940" s="207">
        <v>1384.0</v>
      </c>
      <c r="H940" s="179">
        <v>49.0</v>
      </c>
      <c r="I940" s="195">
        <v>0.0231</v>
      </c>
      <c r="J940" s="195">
        <v>0.019</v>
      </c>
      <c r="K940" s="207">
        <v>1881.0</v>
      </c>
      <c r="L940" s="179">
        <v>68.0</v>
      </c>
      <c r="M940" s="195">
        <v>0.0227</v>
      </c>
      <c r="N940" s="195">
        <v>0.0194</v>
      </c>
      <c r="O940" s="195">
        <v>0.8755</v>
      </c>
      <c r="P940" s="195">
        <v>0.9744</v>
      </c>
      <c r="Q940" s="179">
        <v>8.0</v>
      </c>
      <c r="R940" s="179">
        <v>1.0</v>
      </c>
      <c r="S940" s="195">
        <v>0.0058</v>
      </c>
      <c r="T940" s="195">
        <v>0.0204</v>
      </c>
      <c r="U940" s="179">
        <v>219638.5</v>
      </c>
      <c r="V940" s="179">
        <v>26828.0</v>
      </c>
      <c r="W940" s="179">
        <v>8.0</v>
      </c>
      <c r="X940" s="179">
        <v>1.0</v>
      </c>
    </row>
    <row r="941" ht="15.75" customHeight="1">
      <c r="A941" s="65">
        <v>45658.0</v>
      </c>
      <c r="B941" s="10" t="str">
        <f t="array" ref="B941">_xlfn.XLOOKUP(D941,'Referanc '!$A:$A,'Referanc '!$B:$B)</f>
        <v>Standing Table  - E4</v>
      </c>
      <c r="C941" s="179" t="s">
        <v>375</v>
      </c>
      <c r="D941" s="179" t="s">
        <v>375</v>
      </c>
      <c r="E941" s="179" t="s">
        <v>1329</v>
      </c>
      <c r="F941" s="179"/>
      <c r="G941" s="207">
        <v>1325.0</v>
      </c>
      <c r="H941" s="179">
        <v>64.0</v>
      </c>
      <c r="I941" s="195">
        <v>0.0221</v>
      </c>
      <c r="J941" s="195">
        <v>0.0249</v>
      </c>
      <c r="K941" s="207">
        <v>1846.0</v>
      </c>
      <c r="L941" s="179">
        <v>95.0</v>
      </c>
      <c r="M941" s="195">
        <v>0.0223</v>
      </c>
      <c r="N941" s="195">
        <v>0.0272</v>
      </c>
      <c r="O941" s="195">
        <v>0.8775</v>
      </c>
      <c r="P941" s="195">
        <v>0.7429</v>
      </c>
      <c r="Q941" s="179">
        <v>8.0</v>
      </c>
      <c r="R941" s="179">
        <v>0.0</v>
      </c>
      <c r="S941" s="195">
        <v>0.006</v>
      </c>
      <c r="T941" s="195">
        <v>0.0</v>
      </c>
      <c r="U941" s="179">
        <v>214861.2</v>
      </c>
      <c r="V941" s="179">
        <v>0.0</v>
      </c>
      <c r="W941" s="179">
        <v>8.0</v>
      </c>
      <c r="X941" s="179">
        <v>0.0</v>
      </c>
    </row>
    <row r="942" ht="15.75" customHeight="1">
      <c r="A942" s="65">
        <v>45658.0</v>
      </c>
      <c r="B942" s="10" t="str">
        <f t="array" ref="B942">_xlfn.XLOOKUP(D942,'Referanc '!$A:$A,'Referanc '!$B:$B)</f>
        <v>Monitor Arm Stand</v>
      </c>
      <c r="C942" s="179" t="s">
        <v>355</v>
      </c>
      <c r="D942" s="179" t="s">
        <v>355</v>
      </c>
      <c r="E942" s="179" t="s">
        <v>1280</v>
      </c>
      <c r="F942" s="179"/>
      <c r="G942" s="207">
        <v>1070.0</v>
      </c>
      <c r="H942" s="179">
        <v>75.0</v>
      </c>
      <c r="I942" s="195">
        <v>0.0178</v>
      </c>
      <c r="J942" s="195">
        <v>0.0291</v>
      </c>
      <c r="K942" s="207">
        <v>1541.0</v>
      </c>
      <c r="L942" s="179">
        <v>108.0</v>
      </c>
      <c r="M942" s="195">
        <v>0.0186</v>
      </c>
      <c r="N942" s="195">
        <v>0.0309</v>
      </c>
      <c r="O942" s="195">
        <v>0.9524</v>
      </c>
      <c r="P942" s="195">
        <v>0.9531</v>
      </c>
      <c r="Q942" s="179">
        <v>8.0</v>
      </c>
      <c r="R942" s="179">
        <v>0.0</v>
      </c>
      <c r="S942" s="195">
        <v>0.0075</v>
      </c>
      <c r="T942" s="195">
        <v>0.0</v>
      </c>
      <c r="U942" s="179">
        <v>49363.0</v>
      </c>
      <c r="V942" s="179">
        <v>0.0</v>
      </c>
      <c r="W942" s="179">
        <v>8.0</v>
      </c>
      <c r="X942" s="179">
        <v>0.0</v>
      </c>
    </row>
    <row r="943" ht="15.75" customHeight="1">
      <c r="A943" s="65">
        <v>45658.0</v>
      </c>
      <c r="B943" s="10" t="str">
        <f t="array" ref="B943">_xlfn.XLOOKUP(D943,'Referanc '!$A:$A,'Referanc '!$B:$B)</f>
        <v>Standing Table  - E2</v>
      </c>
      <c r="C943" s="179" t="s">
        <v>293</v>
      </c>
      <c r="D943" s="179" t="s">
        <v>293</v>
      </c>
      <c r="E943" s="179" t="s">
        <v>1133</v>
      </c>
      <c r="F943" s="179"/>
      <c r="G943" s="179">
        <v>814.0</v>
      </c>
      <c r="H943" s="179">
        <v>36.0</v>
      </c>
      <c r="I943" s="195">
        <v>0.0136</v>
      </c>
      <c r="J943" s="195">
        <v>0.014</v>
      </c>
      <c r="K943" s="207">
        <v>1230.0</v>
      </c>
      <c r="L943" s="179">
        <v>55.0</v>
      </c>
      <c r="M943" s="195">
        <v>0.0149</v>
      </c>
      <c r="N943" s="195">
        <v>0.0157</v>
      </c>
      <c r="O943" s="195">
        <v>0.898</v>
      </c>
      <c r="P943" s="195">
        <v>0.875</v>
      </c>
      <c r="Q943" s="179">
        <v>7.0</v>
      </c>
      <c r="R943" s="179">
        <v>0.0</v>
      </c>
      <c r="S943" s="195">
        <v>0.0086</v>
      </c>
      <c r="T943" s="195">
        <v>0.0</v>
      </c>
      <c r="U943" s="179">
        <v>228649.6</v>
      </c>
      <c r="V943" s="179">
        <v>0.0</v>
      </c>
      <c r="W943" s="179">
        <v>7.0</v>
      </c>
      <c r="X943" s="179">
        <v>0.0</v>
      </c>
    </row>
    <row r="944" ht="15.75" customHeight="1">
      <c r="A944" s="65">
        <v>45658.0</v>
      </c>
      <c r="B944" s="10" t="str">
        <f t="array" ref="B944">_xlfn.XLOOKUP(D944,'Referanc '!$A:$A,'Referanc '!$B:$B)</f>
        <v>Standing Table  - E4</v>
      </c>
      <c r="C944" s="179" t="s">
        <v>388</v>
      </c>
      <c r="D944" s="179" t="s">
        <v>388</v>
      </c>
      <c r="E944" s="179" t="s">
        <v>1278</v>
      </c>
      <c r="F944" s="179"/>
      <c r="G944" s="207">
        <v>1187.0</v>
      </c>
      <c r="H944" s="179">
        <v>39.0</v>
      </c>
      <c r="I944" s="195">
        <v>0.0198</v>
      </c>
      <c r="J944" s="195">
        <v>0.0151</v>
      </c>
      <c r="K944" s="207">
        <v>1547.0</v>
      </c>
      <c r="L944" s="179">
        <v>51.0</v>
      </c>
      <c r="M944" s="195">
        <v>0.0187</v>
      </c>
      <c r="N944" s="195">
        <v>0.0146</v>
      </c>
      <c r="O944" s="195">
        <v>0.7944</v>
      </c>
      <c r="P944" s="195">
        <v>0.8889</v>
      </c>
      <c r="Q944" s="179">
        <v>7.0</v>
      </c>
      <c r="R944" s="179">
        <v>0.0</v>
      </c>
      <c r="S944" s="195">
        <v>0.0059</v>
      </c>
      <c r="T944" s="195">
        <v>0.0</v>
      </c>
      <c r="U944" s="179">
        <v>187652.7</v>
      </c>
      <c r="V944" s="179">
        <v>0.0</v>
      </c>
      <c r="W944" s="179">
        <v>7.0</v>
      </c>
      <c r="X944" s="179">
        <v>0.0</v>
      </c>
    </row>
    <row r="945" ht="15.75" customHeight="1">
      <c r="A945" s="65">
        <v>45658.0</v>
      </c>
      <c r="B945" s="10" t="str">
        <f t="array" ref="B945">_xlfn.XLOOKUP(D945,'Referanc '!$A:$A,'Referanc '!$B:$B)</f>
        <v>Standing Table  - SM3</v>
      </c>
      <c r="C945" s="179" t="s">
        <v>296</v>
      </c>
      <c r="D945" s="179" t="s">
        <v>296</v>
      </c>
      <c r="E945" s="179" t="s">
        <v>1165</v>
      </c>
      <c r="F945" s="179"/>
      <c r="G945" s="207">
        <v>1634.0</v>
      </c>
      <c r="H945" s="179">
        <v>58.0</v>
      </c>
      <c r="I945" s="195">
        <v>0.0273</v>
      </c>
      <c r="J945" s="195">
        <v>0.0225</v>
      </c>
      <c r="K945" s="207">
        <v>2097.0</v>
      </c>
      <c r="L945" s="179">
        <v>71.0</v>
      </c>
      <c r="M945" s="195">
        <v>0.0254</v>
      </c>
      <c r="N945" s="195">
        <v>0.0203</v>
      </c>
      <c r="O945" s="195">
        <v>0.8493</v>
      </c>
      <c r="P945" s="195">
        <v>0.7838</v>
      </c>
      <c r="Q945" s="179">
        <v>7.0</v>
      </c>
      <c r="R945" s="179">
        <v>1.0</v>
      </c>
      <c r="S945" s="195">
        <v>0.0043</v>
      </c>
      <c r="T945" s="195">
        <v>0.0172</v>
      </c>
      <c r="U945" s="179">
        <v>171619.4</v>
      </c>
      <c r="V945" s="179">
        <v>24711.86</v>
      </c>
      <c r="W945" s="179">
        <v>6.0</v>
      </c>
      <c r="X945" s="179">
        <v>1.0</v>
      </c>
    </row>
    <row r="946" ht="15.75" customHeight="1">
      <c r="A946" s="65">
        <v>45658.0</v>
      </c>
      <c r="B946" s="10" t="str">
        <f t="array" ref="B946">_xlfn.XLOOKUP(D946,'Referanc '!$A:$A,'Referanc '!$B:$B)</f>
        <v>Footrests</v>
      </c>
      <c r="C946" s="179" t="s">
        <v>337</v>
      </c>
      <c r="D946" s="179" t="s">
        <v>337</v>
      </c>
      <c r="E946" s="179" t="s">
        <v>545</v>
      </c>
      <c r="F946" s="179"/>
      <c r="G946" s="179">
        <v>124.0</v>
      </c>
      <c r="H946" s="179">
        <v>7.0</v>
      </c>
      <c r="I946" s="195">
        <v>0.0021</v>
      </c>
      <c r="J946" s="195">
        <v>0.0027</v>
      </c>
      <c r="K946" s="179">
        <v>176.0</v>
      </c>
      <c r="L946" s="179">
        <v>12.0</v>
      </c>
      <c r="M946" s="195">
        <v>0.0021</v>
      </c>
      <c r="N946" s="195">
        <v>0.0034</v>
      </c>
      <c r="O946" s="195">
        <v>0.9641</v>
      </c>
      <c r="P946" s="195">
        <v>1.0</v>
      </c>
      <c r="Q946" s="179">
        <v>6.0</v>
      </c>
      <c r="R946" s="179">
        <v>2.0</v>
      </c>
      <c r="S946" s="195">
        <v>0.0484</v>
      </c>
      <c r="T946" s="195">
        <v>0.2857</v>
      </c>
      <c r="U946" s="179">
        <v>11046.0</v>
      </c>
      <c r="V946" s="179">
        <v>4449.0</v>
      </c>
      <c r="W946" s="179">
        <v>6.0</v>
      </c>
      <c r="X946" s="179">
        <v>2.0</v>
      </c>
    </row>
    <row r="947" ht="15.75" customHeight="1">
      <c r="A947" s="65">
        <v>45658.0</v>
      </c>
      <c r="B947" s="10" t="str">
        <f t="array" ref="B947">_xlfn.XLOOKUP(D947,'Referanc '!$A:$A,'Referanc '!$B:$B)</f>
        <v>Cup and Headphone Holder</v>
      </c>
      <c r="C947" s="179" t="s">
        <v>322</v>
      </c>
      <c r="D947" s="179" t="s">
        <v>322</v>
      </c>
      <c r="E947" s="179" t="s">
        <v>722</v>
      </c>
      <c r="F947" s="179"/>
      <c r="G947" s="179">
        <v>163.0</v>
      </c>
      <c r="H947" s="179">
        <v>11.0</v>
      </c>
      <c r="I947" s="195">
        <v>0.0027</v>
      </c>
      <c r="J947" s="195">
        <v>0.0043</v>
      </c>
      <c r="K947" s="179">
        <v>230.0</v>
      </c>
      <c r="L947" s="179">
        <v>19.0</v>
      </c>
      <c r="M947" s="195">
        <v>0.0028</v>
      </c>
      <c r="N947" s="195">
        <v>0.0054</v>
      </c>
      <c r="O947" s="195">
        <v>0.985</v>
      </c>
      <c r="P947" s="195">
        <v>1.0</v>
      </c>
      <c r="Q947" s="179">
        <v>16.0</v>
      </c>
      <c r="R947" s="179">
        <v>12.0</v>
      </c>
      <c r="S947" s="195">
        <v>0.0982</v>
      </c>
      <c r="T947" s="195">
        <v>1.0909</v>
      </c>
      <c r="U947" s="179">
        <v>8327.8</v>
      </c>
      <c r="V947" s="179">
        <v>6280.8</v>
      </c>
      <c r="W947" s="179">
        <v>6.0</v>
      </c>
      <c r="X947" s="179">
        <v>3.0</v>
      </c>
    </row>
    <row r="948" ht="15.75" customHeight="1">
      <c r="A948" s="65">
        <v>45658.0</v>
      </c>
      <c r="B948" s="10" t="str">
        <f t="array" ref="B948">_xlfn.XLOOKUP(D948,'Referanc '!$A:$A,'Referanc '!$B:$B)</f>
        <v>Standing Table  - E4</v>
      </c>
      <c r="C948" s="179" t="s">
        <v>398</v>
      </c>
      <c r="D948" s="179" t="s">
        <v>398</v>
      </c>
      <c r="E948" s="179" t="s">
        <v>1279</v>
      </c>
      <c r="F948" s="179"/>
      <c r="G948" s="207">
        <v>1347.0</v>
      </c>
      <c r="H948" s="179">
        <v>37.0</v>
      </c>
      <c r="I948" s="195">
        <v>0.0225</v>
      </c>
      <c r="J948" s="195">
        <v>0.0144</v>
      </c>
      <c r="K948" s="207">
        <v>1699.0</v>
      </c>
      <c r="L948" s="179">
        <v>42.0</v>
      </c>
      <c r="M948" s="195">
        <v>0.0205</v>
      </c>
      <c r="N948" s="195">
        <v>0.012</v>
      </c>
      <c r="O948" s="195">
        <v>0.82</v>
      </c>
      <c r="P948" s="195">
        <v>0.8846</v>
      </c>
      <c r="Q948" s="179">
        <v>5.0</v>
      </c>
      <c r="R948" s="179">
        <v>0.0</v>
      </c>
      <c r="S948" s="195">
        <v>0.0037</v>
      </c>
      <c r="T948" s="195">
        <v>0.0</v>
      </c>
      <c r="U948" s="179">
        <v>148770.0</v>
      </c>
      <c r="V948" s="179">
        <v>0.0</v>
      </c>
      <c r="W948" s="179">
        <v>5.0</v>
      </c>
      <c r="X948" s="179">
        <v>0.0</v>
      </c>
    </row>
    <row r="949" ht="15.75" customHeight="1">
      <c r="A949" s="65">
        <v>45658.0</v>
      </c>
      <c r="B949" s="10" t="str">
        <f t="array" ref="B949">_xlfn.XLOOKUP(D949,'Referanc '!$A:$A,'Referanc '!$B:$B)</f>
        <v>Standing Table  - E4</v>
      </c>
      <c r="C949" s="179" t="s">
        <v>407</v>
      </c>
      <c r="D949" s="179" t="s">
        <v>407</v>
      </c>
      <c r="E949" s="179" t="s">
        <v>1306</v>
      </c>
      <c r="F949" s="179"/>
      <c r="G949" s="179">
        <v>281.0</v>
      </c>
      <c r="H949" s="179">
        <v>6.0</v>
      </c>
      <c r="I949" s="195">
        <v>0.0047</v>
      </c>
      <c r="J949" s="195">
        <v>0.0023</v>
      </c>
      <c r="K949" s="179">
        <v>471.0</v>
      </c>
      <c r="L949" s="179">
        <v>6.0</v>
      </c>
      <c r="M949" s="195">
        <v>0.0057</v>
      </c>
      <c r="N949" s="195">
        <v>0.0017</v>
      </c>
      <c r="O949" s="195">
        <v>0.9338</v>
      </c>
      <c r="P949" s="195">
        <v>0.6</v>
      </c>
      <c r="Q949" s="179">
        <v>5.0</v>
      </c>
      <c r="R949" s="179">
        <v>0.0</v>
      </c>
      <c r="S949" s="195">
        <v>0.0178</v>
      </c>
      <c r="T949" s="195">
        <v>0.0</v>
      </c>
      <c r="U949" s="179">
        <v>130931.7</v>
      </c>
      <c r="V949" s="179">
        <v>0.0</v>
      </c>
      <c r="W949" s="179">
        <v>5.0</v>
      </c>
      <c r="X949" s="179">
        <v>0.0</v>
      </c>
    </row>
    <row r="950" ht="15.75" customHeight="1">
      <c r="A950" s="65">
        <v>45658.0</v>
      </c>
      <c r="B950" s="10" t="str">
        <f t="array" ref="B950">_xlfn.XLOOKUP(D950,'Referanc '!$A:$A,'Referanc '!$B:$B)</f>
        <v>Standing Table  - SM4</v>
      </c>
      <c r="C950" s="179" t="s">
        <v>426</v>
      </c>
      <c r="D950" s="179" t="s">
        <v>426</v>
      </c>
      <c r="E950" s="179" t="s">
        <v>714</v>
      </c>
      <c r="F950" s="179"/>
      <c r="G950" s="207">
        <v>1475.0</v>
      </c>
      <c r="H950" s="179">
        <v>71.0</v>
      </c>
      <c r="I950" s="195">
        <v>0.0246</v>
      </c>
      <c r="J950" s="195">
        <v>0.0276</v>
      </c>
      <c r="K950" s="207">
        <v>2056.0</v>
      </c>
      <c r="L950" s="179">
        <v>94.0</v>
      </c>
      <c r="M950" s="195">
        <v>0.0249</v>
      </c>
      <c r="N950" s="195">
        <v>0.0269</v>
      </c>
      <c r="O950" s="195">
        <v>0.8174</v>
      </c>
      <c r="P950" s="195">
        <v>0.8689</v>
      </c>
      <c r="Q950" s="179">
        <v>5.0</v>
      </c>
      <c r="R950" s="179">
        <v>1.0</v>
      </c>
      <c r="S950" s="195">
        <v>0.0034</v>
      </c>
      <c r="T950" s="195">
        <v>0.0141</v>
      </c>
      <c r="U950" s="179">
        <v>76031.0</v>
      </c>
      <c r="V950" s="179">
        <v>14999.0</v>
      </c>
      <c r="W950" s="179">
        <v>5.0</v>
      </c>
      <c r="X950" s="179">
        <v>1.0</v>
      </c>
    </row>
    <row r="951" ht="15.75" customHeight="1">
      <c r="A951" s="65">
        <v>45658.0</v>
      </c>
      <c r="B951" s="10" t="str">
        <f t="array" ref="B951">_xlfn.XLOOKUP(D951,'Referanc '!$A:$A,'Referanc '!$B:$B)</f>
        <v>Standing Table - All Frames</v>
      </c>
      <c r="C951" s="179" t="s">
        <v>306</v>
      </c>
      <c r="D951" s="179" t="s">
        <v>306</v>
      </c>
      <c r="E951" s="179" t="s">
        <v>1140</v>
      </c>
      <c r="F951" s="179"/>
      <c r="G951" s="207">
        <v>1128.0</v>
      </c>
      <c r="H951" s="179">
        <v>44.0</v>
      </c>
      <c r="I951" s="195">
        <v>0.0188</v>
      </c>
      <c r="J951" s="195">
        <v>0.0171</v>
      </c>
      <c r="K951" s="207">
        <v>1452.0</v>
      </c>
      <c r="L951" s="179">
        <v>62.0</v>
      </c>
      <c r="M951" s="195">
        <v>0.0176</v>
      </c>
      <c r="N951" s="195">
        <v>0.0177</v>
      </c>
      <c r="O951" s="195">
        <v>0.8778</v>
      </c>
      <c r="P951" s="195">
        <v>0.9348</v>
      </c>
      <c r="Q951" s="179">
        <v>4.0</v>
      </c>
      <c r="R951" s="179">
        <v>0.0</v>
      </c>
      <c r="S951" s="195">
        <v>0.0035</v>
      </c>
      <c r="T951" s="195">
        <v>0.0</v>
      </c>
      <c r="U951" s="179">
        <v>113802.3</v>
      </c>
      <c r="V951" s="179">
        <v>0.0</v>
      </c>
      <c r="W951" s="179">
        <v>4.0</v>
      </c>
      <c r="X951" s="179">
        <v>0.0</v>
      </c>
    </row>
    <row r="952" ht="15.75" customHeight="1">
      <c r="A952" s="65">
        <v>45658.0</v>
      </c>
      <c r="B952" s="10" t="str">
        <f t="array" ref="B952">_xlfn.XLOOKUP(D952,'Referanc '!$A:$A,'Referanc '!$B:$B)</f>
        <v>Standing Table  - E2</v>
      </c>
      <c r="C952" s="179" t="s">
        <v>392</v>
      </c>
      <c r="D952" s="179" t="s">
        <v>392</v>
      </c>
      <c r="E952" s="179" t="s">
        <v>1132</v>
      </c>
      <c r="F952" s="179"/>
      <c r="G952" s="179">
        <v>151.0</v>
      </c>
      <c r="H952" s="179">
        <v>9.0</v>
      </c>
      <c r="I952" s="195">
        <v>0.0025</v>
      </c>
      <c r="J952" s="195">
        <v>0.0035</v>
      </c>
      <c r="K952" s="179">
        <v>231.0</v>
      </c>
      <c r="L952" s="179">
        <v>10.0</v>
      </c>
      <c r="M952" s="195">
        <v>0.0028</v>
      </c>
      <c r="N952" s="195">
        <v>0.0029</v>
      </c>
      <c r="O952" s="195">
        <v>0.9415</v>
      </c>
      <c r="P952" s="195">
        <v>0.5714</v>
      </c>
      <c r="Q952" s="179">
        <v>4.0</v>
      </c>
      <c r="R952" s="179">
        <v>0.0</v>
      </c>
      <c r="S952" s="195">
        <v>0.0265</v>
      </c>
      <c r="T952" s="195">
        <v>0.0</v>
      </c>
      <c r="U952" s="179">
        <v>137412.2</v>
      </c>
      <c r="V952" s="179">
        <v>0.0</v>
      </c>
      <c r="W952" s="179">
        <v>4.0</v>
      </c>
      <c r="X952" s="179">
        <v>0.0</v>
      </c>
    </row>
    <row r="953" ht="15.75" customHeight="1">
      <c r="A953" s="65">
        <v>45658.0</v>
      </c>
      <c r="B953" s="10" t="str">
        <f t="array" ref="B953">_xlfn.XLOOKUP(D953,'Referanc '!$A:$A,'Referanc '!$B:$B)</f>
        <v>Standing Table  - E3</v>
      </c>
      <c r="C953" s="179" t="s">
        <v>400</v>
      </c>
      <c r="D953" s="179" t="s">
        <v>400</v>
      </c>
      <c r="E953" s="179" t="s">
        <v>1130</v>
      </c>
      <c r="F953" s="179"/>
      <c r="G953" s="179">
        <v>336.0</v>
      </c>
      <c r="H953" s="179">
        <v>21.0</v>
      </c>
      <c r="I953" s="195">
        <v>0.0056</v>
      </c>
      <c r="J953" s="195">
        <v>0.0082</v>
      </c>
      <c r="K953" s="179">
        <v>505.0</v>
      </c>
      <c r="L953" s="179">
        <v>41.0</v>
      </c>
      <c r="M953" s="195">
        <v>0.0061</v>
      </c>
      <c r="N953" s="195">
        <v>0.0117</v>
      </c>
      <c r="O953" s="195">
        <v>0.9391</v>
      </c>
      <c r="P953" s="195">
        <v>0.9444</v>
      </c>
      <c r="Q953" s="179">
        <v>4.0</v>
      </c>
      <c r="R953" s="179">
        <v>1.0</v>
      </c>
      <c r="S953" s="195">
        <v>0.0119</v>
      </c>
      <c r="T953" s="195">
        <v>0.0476</v>
      </c>
      <c r="U953" s="179">
        <v>158693.8</v>
      </c>
      <c r="V953" s="179">
        <v>40387.46</v>
      </c>
      <c r="W953" s="179">
        <v>4.0</v>
      </c>
      <c r="X953" s="179">
        <v>1.0</v>
      </c>
    </row>
    <row r="954" ht="15.75" customHeight="1">
      <c r="A954" s="65">
        <v>45658.0</v>
      </c>
      <c r="B954" s="10" t="str">
        <f t="array" ref="B954">_xlfn.XLOOKUP(D954,'Referanc '!$A:$A,'Referanc '!$B:$B)</f>
        <v>Standing Table  - SM3</v>
      </c>
      <c r="C954" s="179" t="s">
        <v>358</v>
      </c>
      <c r="D954" s="179" t="s">
        <v>358</v>
      </c>
      <c r="E954" s="179" t="s">
        <v>1165</v>
      </c>
      <c r="F954" s="179"/>
      <c r="G954" s="179">
        <v>526.0</v>
      </c>
      <c r="H954" s="179">
        <v>23.0</v>
      </c>
      <c r="I954" s="195">
        <v>0.0088</v>
      </c>
      <c r="J954" s="195">
        <v>0.0089</v>
      </c>
      <c r="K954" s="179">
        <v>727.0</v>
      </c>
      <c r="L954" s="179">
        <v>33.0</v>
      </c>
      <c r="M954" s="195">
        <v>0.0088</v>
      </c>
      <c r="N954" s="195">
        <v>0.0094</v>
      </c>
      <c r="O954" s="195">
        <v>0.911</v>
      </c>
      <c r="P954" s="195">
        <v>0.75</v>
      </c>
      <c r="Q954" s="179">
        <v>4.0</v>
      </c>
      <c r="R954" s="179">
        <v>0.0</v>
      </c>
      <c r="S954" s="195">
        <v>0.0076</v>
      </c>
      <c r="T954" s="195">
        <v>0.0</v>
      </c>
      <c r="U954" s="179">
        <v>95891.44</v>
      </c>
      <c r="V954" s="179">
        <v>0.0</v>
      </c>
      <c r="W954" s="179">
        <v>4.0</v>
      </c>
      <c r="X954" s="179">
        <v>0.0</v>
      </c>
    </row>
    <row r="955" ht="15.75" customHeight="1">
      <c r="A955" s="65">
        <v>45658.0</v>
      </c>
      <c r="B955" s="10" t="str">
        <f t="array" ref="B955">_xlfn.XLOOKUP(D955,'Referanc '!$A:$A,'Referanc '!$B:$B)</f>
        <v>Standing Table  - E1A</v>
      </c>
      <c r="C955" s="179" t="s">
        <v>354</v>
      </c>
      <c r="D955" s="179" t="s">
        <v>354</v>
      </c>
      <c r="E955" s="179" t="s">
        <v>1325</v>
      </c>
      <c r="F955" s="179"/>
      <c r="G955" s="179">
        <v>112.0</v>
      </c>
      <c r="H955" s="179">
        <v>9.0</v>
      </c>
      <c r="I955" s="195">
        <v>0.0019</v>
      </c>
      <c r="J955" s="195">
        <v>0.0035</v>
      </c>
      <c r="K955" s="179">
        <v>163.0</v>
      </c>
      <c r="L955" s="179">
        <v>27.0</v>
      </c>
      <c r="M955" s="195">
        <v>0.002</v>
      </c>
      <c r="N955" s="195">
        <v>0.0077</v>
      </c>
      <c r="O955" s="195">
        <v>0.8897</v>
      </c>
      <c r="P955" s="195">
        <v>1.0</v>
      </c>
      <c r="Q955" s="179">
        <v>4.0</v>
      </c>
      <c r="R955" s="179">
        <v>3.0</v>
      </c>
      <c r="S955" s="195">
        <v>0.0357</v>
      </c>
      <c r="T955" s="195">
        <v>0.3333</v>
      </c>
      <c r="U955" s="179">
        <v>130540.1</v>
      </c>
      <c r="V955" s="179">
        <v>97190.09</v>
      </c>
      <c r="W955" s="179">
        <v>4.0</v>
      </c>
      <c r="X955" s="179">
        <v>3.0</v>
      </c>
    </row>
    <row r="956" ht="15.75" customHeight="1">
      <c r="A956" s="65">
        <v>45658.0</v>
      </c>
      <c r="B956" s="10" t="str">
        <f t="array" ref="B956">_xlfn.XLOOKUP(D956,'Referanc '!$A:$A,'Referanc '!$B:$B)</f>
        <v>Standing Table - All Frames</v>
      </c>
      <c r="C956" s="179" t="s">
        <v>402</v>
      </c>
      <c r="D956" s="179" t="s">
        <v>402</v>
      </c>
      <c r="E956" s="179" t="s">
        <v>697</v>
      </c>
      <c r="F956" s="179"/>
      <c r="G956" s="179">
        <v>465.0</v>
      </c>
      <c r="H956" s="179">
        <v>18.0</v>
      </c>
      <c r="I956" s="195">
        <v>0.0078</v>
      </c>
      <c r="J956" s="195">
        <v>0.007</v>
      </c>
      <c r="K956" s="179">
        <v>682.0</v>
      </c>
      <c r="L956" s="179">
        <v>19.0</v>
      </c>
      <c r="M956" s="195">
        <v>0.0082</v>
      </c>
      <c r="N956" s="195">
        <v>0.0054</v>
      </c>
      <c r="O956" s="195">
        <v>0.899</v>
      </c>
      <c r="P956" s="195">
        <v>0.9091</v>
      </c>
      <c r="Q956" s="179">
        <v>4.0</v>
      </c>
      <c r="R956" s="179">
        <v>0.0</v>
      </c>
      <c r="S956" s="195">
        <v>0.0086</v>
      </c>
      <c r="T956" s="195">
        <v>0.0</v>
      </c>
      <c r="U956" s="179">
        <v>96040.0</v>
      </c>
      <c r="V956" s="179">
        <v>0.0</v>
      </c>
      <c r="W956" s="179">
        <v>4.0</v>
      </c>
      <c r="X956" s="179">
        <v>0.0</v>
      </c>
    </row>
    <row r="957" ht="15.75" customHeight="1">
      <c r="A957" s="65">
        <v>45658.0</v>
      </c>
      <c r="B957" s="10" t="str">
        <f t="array" ref="B957">_xlfn.XLOOKUP(D957,'Referanc '!$A:$A,'Referanc '!$B:$B)</f>
        <v>Standing Table  - M14</v>
      </c>
      <c r="C957" s="179" t="s">
        <v>437</v>
      </c>
      <c r="D957" s="179" t="s">
        <v>437</v>
      </c>
      <c r="E957" s="179" t="s">
        <v>726</v>
      </c>
      <c r="F957" s="179"/>
      <c r="G957" s="179">
        <v>470.0</v>
      </c>
      <c r="H957" s="179">
        <v>11.0</v>
      </c>
      <c r="I957" s="195">
        <v>0.0078</v>
      </c>
      <c r="J957" s="195">
        <v>0.0043</v>
      </c>
      <c r="K957" s="179">
        <v>683.0</v>
      </c>
      <c r="L957" s="179">
        <v>14.0</v>
      </c>
      <c r="M957" s="195">
        <v>0.0083</v>
      </c>
      <c r="N957" s="195">
        <v>0.004</v>
      </c>
      <c r="O957" s="195">
        <v>0.9418</v>
      </c>
      <c r="P957" s="195">
        <v>0.9286</v>
      </c>
      <c r="Q957" s="179">
        <v>4.0</v>
      </c>
      <c r="R957" s="179">
        <v>0.0</v>
      </c>
      <c r="S957" s="195">
        <v>0.0085</v>
      </c>
      <c r="T957" s="195">
        <v>0.0</v>
      </c>
      <c r="U957" s="179">
        <v>62661.18</v>
      </c>
      <c r="V957" s="179">
        <v>0.0</v>
      </c>
      <c r="W957" s="179">
        <v>4.0</v>
      </c>
      <c r="X957" s="179">
        <v>0.0</v>
      </c>
    </row>
    <row r="958" ht="15.75" customHeight="1">
      <c r="A958" s="65">
        <v>45658.0</v>
      </c>
      <c r="B958" s="10" t="str">
        <f t="array" ref="B958">_xlfn.XLOOKUP(D958,'Referanc '!$A:$A,'Referanc '!$B:$B)</f>
        <v>Standing Table  - E2</v>
      </c>
      <c r="C958" s="179" t="s">
        <v>309</v>
      </c>
      <c r="D958" s="179" t="s">
        <v>309</v>
      </c>
      <c r="E958" s="179" t="s">
        <v>1317</v>
      </c>
      <c r="F958" s="179"/>
      <c r="G958" s="207">
        <v>1094.0</v>
      </c>
      <c r="H958" s="179">
        <v>53.0</v>
      </c>
      <c r="I958" s="195">
        <v>0.0182</v>
      </c>
      <c r="J958" s="195">
        <v>0.0206</v>
      </c>
      <c r="K958" s="207">
        <v>1554.0</v>
      </c>
      <c r="L958" s="179">
        <v>75.0</v>
      </c>
      <c r="M958" s="195">
        <v>0.0188</v>
      </c>
      <c r="N958" s="195">
        <v>0.0214</v>
      </c>
      <c r="O958" s="195">
        <v>0.9028</v>
      </c>
      <c r="P958" s="195">
        <v>0.8871</v>
      </c>
      <c r="Q958" s="179">
        <v>3.0</v>
      </c>
      <c r="R958" s="179">
        <v>0.0</v>
      </c>
      <c r="S958" s="195">
        <v>0.0027</v>
      </c>
      <c r="T958" s="195">
        <v>0.0</v>
      </c>
      <c r="U958" s="179">
        <v>103252.2</v>
      </c>
      <c r="V958" s="179">
        <v>0.0</v>
      </c>
      <c r="W958" s="179">
        <v>3.0</v>
      </c>
      <c r="X958" s="179">
        <v>0.0</v>
      </c>
    </row>
    <row r="959" ht="15.75" customHeight="1">
      <c r="A959" s="65">
        <v>45658.0</v>
      </c>
      <c r="B959" s="10" t="str">
        <f t="array" ref="B959">_xlfn.XLOOKUP(D959,'Referanc '!$A:$A,'Referanc '!$B:$B)</f>
        <v>Standing Table - All Frames</v>
      </c>
      <c r="C959" s="179" t="s">
        <v>420</v>
      </c>
      <c r="D959" s="179" t="s">
        <v>420</v>
      </c>
      <c r="E959" s="179" t="s">
        <v>1364</v>
      </c>
      <c r="F959" s="179"/>
      <c r="G959" s="179">
        <v>131.0</v>
      </c>
      <c r="H959" s="179">
        <v>7.0</v>
      </c>
      <c r="I959" s="195">
        <v>0.0022</v>
      </c>
      <c r="J959" s="195">
        <v>0.0027</v>
      </c>
      <c r="K959" s="179">
        <v>260.0</v>
      </c>
      <c r="L959" s="179">
        <v>10.0</v>
      </c>
      <c r="M959" s="195">
        <v>0.0031</v>
      </c>
      <c r="N959" s="195">
        <v>0.0029</v>
      </c>
      <c r="O959" s="195">
        <v>0.9592</v>
      </c>
      <c r="P959" s="195">
        <v>0.8571</v>
      </c>
      <c r="Q959" s="179">
        <v>3.0</v>
      </c>
      <c r="R959" s="179">
        <v>1.0</v>
      </c>
      <c r="S959" s="195">
        <v>0.0229</v>
      </c>
      <c r="T959" s="195">
        <v>0.1429</v>
      </c>
      <c r="U959" s="179">
        <v>84507.24</v>
      </c>
      <c r="V959" s="179">
        <v>28169.08</v>
      </c>
      <c r="W959" s="179">
        <v>3.0</v>
      </c>
      <c r="X959" s="179">
        <v>1.0</v>
      </c>
    </row>
    <row r="960" ht="15.75" customHeight="1">
      <c r="A960" s="65">
        <v>45658.0</v>
      </c>
      <c r="B960" s="10" t="str">
        <f t="array" ref="B960">_xlfn.XLOOKUP(D960,'Referanc '!$A:$A,'Referanc '!$B:$B)</f>
        <v>Standing Table  - SM3</v>
      </c>
      <c r="C960" s="179" t="s">
        <v>383</v>
      </c>
      <c r="D960" s="179" t="s">
        <v>383</v>
      </c>
      <c r="E960" s="179" t="s">
        <v>1206</v>
      </c>
      <c r="F960" s="179"/>
      <c r="G960" s="179">
        <v>129.0</v>
      </c>
      <c r="H960" s="179">
        <v>7.0</v>
      </c>
      <c r="I960" s="195">
        <v>0.0022</v>
      </c>
      <c r="J960" s="195">
        <v>0.0027</v>
      </c>
      <c r="K960" s="179">
        <v>159.0</v>
      </c>
      <c r="L960" s="179">
        <v>7.0</v>
      </c>
      <c r="M960" s="195">
        <v>0.0019</v>
      </c>
      <c r="N960" s="195">
        <v>0.002</v>
      </c>
      <c r="O960" s="195">
        <v>0.9275</v>
      </c>
      <c r="P960" s="195">
        <v>0.5</v>
      </c>
      <c r="Q960" s="179">
        <v>3.0</v>
      </c>
      <c r="R960" s="179">
        <v>0.0</v>
      </c>
      <c r="S960" s="195">
        <v>0.0233</v>
      </c>
      <c r="T960" s="195">
        <v>0.0</v>
      </c>
      <c r="U960" s="179">
        <v>71015.72</v>
      </c>
      <c r="V960" s="179">
        <v>0.0</v>
      </c>
      <c r="W960" s="179">
        <v>3.0</v>
      </c>
      <c r="X960" s="179">
        <v>0.0</v>
      </c>
    </row>
    <row r="961" ht="15.75" customHeight="1">
      <c r="A961" s="65">
        <v>45658.0</v>
      </c>
      <c r="B961" s="10" t="str">
        <f t="array" ref="B961">_xlfn.XLOOKUP(D961,'Referanc '!$A:$A,'Referanc '!$B:$B)</f>
        <v>Standing Table - All Frames</v>
      </c>
      <c r="C961" s="179" t="s">
        <v>422</v>
      </c>
      <c r="D961" s="179" t="s">
        <v>422</v>
      </c>
      <c r="E961" s="179" t="s">
        <v>697</v>
      </c>
      <c r="F961" s="179"/>
      <c r="G961" s="179">
        <v>187.0</v>
      </c>
      <c r="H961" s="179">
        <v>6.0</v>
      </c>
      <c r="I961" s="195">
        <v>0.0031</v>
      </c>
      <c r="J961" s="195">
        <v>0.0023</v>
      </c>
      <c r="K961" s="179">
        <v>304.0</v>
      </c>
      <c r="L961" s="179">
        <v>6.0</v>
      </c>
      <c r="M961" s="195">
        <v>0.0037</v>
      </c>
      <c r="N961" s="195">
        <v>0.0017</v>
      </c>
      <c r="O961" s="195">
        <v>0.9143</v>
      </c>
      <c r="P961" s="195">
        <v>0.6667</v>
      </c>
      <c r="Q961" s="179">
        <v>3.0</v>
      </c>
      <c r="R961" s="179">
        <v>0.0</v>
      </c>
      <c r="S961" s="195">
        <v>0.016</v>
      </c>
      <c r="T961" s="195">
        <v>0.0</v>
      </c>
      <c r="U961" s="179">
        <v>69968.24</v>
      </c>
      <c r="V961" s="179">
        <v>0.0</v>
      </c>
      <c r="W961" s="179">
        <v>3.0</v>
      </c>
      <c r="X961" s="179">
        <v>0.0</v>
      </c>
    </row>
    <row r="962" ht="15.75" customHeight="1">
      <c r="A962" s="65">
        <v>45658.0</v>
      </c>
      <c r="B962" s="10" t="str">
        <f t="array" ref="B962">_xlfn.XLOOKUP(D962,'Referanc '!$A:$A,'Referanc '!$B:$B)</f>
        <v>TABLE TOP</v>
      </c>
      <c r="C962" s="179" t="s">
        <v>323</v>
      </c>
      <c r="D962" s="179" t="s">
        <v>323</v>
      </c>
      <c r="E962" s="179" t="s">
        <v>537</v>
      </c>
      <c r="F962" s="179"/>
      <c r="G962" s="179">
        <v>783.0</v>
      </c>
      <c r="H962" s="179">
        <v>18.0</v>
      </c>
      <c r="I962" s="195">
        <v>0.0131</v>
      </c>
      <c r="J962" s="195">
        <v>0.007</v>
      </c>
      <c r="K962" s="179">
        <v>973.0</v>
      </c>
      <c r="L962" s="179">
        <v>21.0</v>
      </c>
      <c r="M962" s="195">
        <v>0.0118</v>
      </c>
      <c r="N962" s="195">
        <v>0.006</v>
      </c>
      <c r="O962" s="195">
        <v>0.6865</v>
      </c>
      <c r="P962" s="195">
        <v>0.5</v>
      </c>
      <c r="Q962" s="179">
        <v>2.0</v>
      </c>
      <c r="R962" s="179">
        <v>0.0</v>
      </c>
      <c r="S962" s="195">
        <v>0.0026</v>
      </c>
      <c r="T962" s="195">
        <v>0.0</v>
      </c>
      <c r="U962" s="179">
        <v>16908.0</v>
      </c>
      <c r="V962" s="179">
        <v>0.0</v>
      </c>
      <c r="W962" s="179">
        <v>2.0</v>
      </c>
      <c r="X962" s="179">
        <v>0.0</v>
      </c>
    </row>
    <row r="963" ht="15.75" customHeight="1">
      <c r="A963" s="65">
        <v>45658.0</v>
      </c>
      <c r="B963" s="10" t="str">
        <f t="array" ref="B963">_xlfn.XLOOKUP(D963,'Referanc '!$A:$A,'Referanc '!$B:$B)</f>
        <v>Standing Table  - M8</v>
      </c>
      <c r="C963" s="179" t="s">
        <v>416</v>
      </c>
      <c r="D963" s="179" t="s">
        <v>416</v>
      </c>
      <c r="E963" s="179" t="s">
        <v>1189</v>
      </c>
      <c r="F963" s="179"/>
      <c r="G963" s="179">
        <v>390.0</v>
      </c>
      <c r="H963" s="179">
        <v>14.0</v>
      </c>
      <c r="I963" s="195">
        <v>0.0065</v>
      </c>
      <c r="J963" s="195">
        <v>0.0054</v>
      </c>
      <c r="K963" s="179">
        <v>565.0</v>
      </c>
      <c r="L963" s="179">
        <v>24.0</v>
      </c>
      <c r="M963" s="195">
        <v>0.0068</v>
      </c>
      <c r="N963" s="195">
        <v>0.0069</v>
      </c>
      <c r="O963" s="195">
        <v>0.8947</v>
      </c>
      <c r="P963" s="195">
        <v>1.0</v>
      </c>
      <c r="Q963" s="179">
        <v>2.0</v>
      </c>
      <c r="R963" s="179">
        <v>0.0</v>
      </c>
      <c r="S963" s="195">
        <v>0.0051</v>
      </c>
      <c r="T963" s="195">
        <v>0.0</v>
      </c>
      <c r="U963" s="179">
        <v>39092.44</v>
      </c>
      <c r="V963" s="179">
        <v>0.0</v>
      </c>
      <c r="W963" s="179">
        <v>2.0</v>
      </c>
      <c r="X963" s="179">
        <v>0.0</v>
      </c>
    </row>
    <row r="964" ht="15.75" customHeight="1">
      <c r="A964" s="65">
        <v>45658.0</v>
      </c>
      <c r="B964" s="10" t="str">
        <f t="array" ref="B964">_xlfn.XLOOKUP(D964,'Referanc '!$A:$A,'Referanc '!$B:$B)</f>
        <v>Standing Table  - E3</v>
      </c>
      <c r="C964" s="179" t="s">
        <v>364</v>
      </c>
      <c r="D964" s="179" t="s">
        <v>364</v>
      </c>
      <c r="E964" s="179" t="s">
        <v>1130</v>
      </c>
      <c r="F964" s="179"/>
      <c r="G964" s="179">
        <v>462.0</v>
      </c>
      <c r="H964" s="179">
        <v>25.0</v>
      </c>
      <c r="I964" s="195">
        <v>0.0077</v>
      </c>
      <c r="J964" s="195">
        <v>0.0097</v>
      </c>
      <c r="K964" s="179">
        <v>634.0</v>
      </c>
      <c r="L964" s="179">
        <v>43.0</v>
      </c>
      <c r="M964" s="195">
        <v>0.0077</v>
      </c>
      <c r="N964" s="195">
        <v>0.0123</v>
      </c>
      <c r="O964" s="195">
        <v>0.8752</v>
      </c>
      <c r="P964" s="195">
        <v>0.7097</v>
      </c>
      <c r="Q964" s="179">
        <v>2.0</v>
      </c>
      <c r="R964" s="179">
        <v>1.0</v>
      </c>
      <c r="S964" s="195">
        <v>0.0043</v>
      </c>
      <c r="T964" s="195">
        <v>0.04</v>
      </c>
      <c r="U964" s="179">
        <v>79204.46</v>
      </c>
      <c r="V964" s="179">
        <v>40450.0</v>
      </c>
      <c r="W964" s="179">
        <v>2.0</v>
      </c>
      <c r="X964" s="179">
        <v>1.0</v>
      </c>
    </row>
    <row r="965" ht="15.75" customHeight="1">
      <c r="A965" s="65">
        <v>45658.0</v>
      </c>
      <c r="B965" s="10" t="str">
        <f t="array" ref="B965">_xlfn.XLOOKUP(D965,'Referanc '!$A:$A,'Referanc '!$B:$B)</f>
        <v>Standing Table  - E3</v>
      </c>
      <c r="C965" s="179" t="s">
        <v>365</v>
      </c>
      <c r="D965" s="179" t="s">
        <v>365</v>
      </c>
      <c r="E965" s="179" t="s">
        <v>1322</v>
      </c>
      <c r="F965" s="179"/>
      <c r="G965" s="179">
        <v>767.0</v>
      </c>
      <c r="H965" s="179">
        <v>26.0</v>
      </c>
      <c r="I965" s="195">
        <v>0.0128</v>
      </c>
      <c r="J965" s="195">
        <v>0.0101</v>
      </c>
      <c r="K965" s="207">
        <v>1011.0</v>
      </c>
      <c r="L965" s="179">
        <v>36.0</v>
      </c>
      <c r="M965" s="195">
        <v>0.0122</v>
      </c>
      <c r="N965" s="195">
        <v>0.0103</v>
      </c>
      <c r="O965" s="195">
        <v>0.7828</v>
      </c>
      <c r="P965" s="195">
        <v>0.7037</v>
      </c>
      <c r="Q965" s="179">
        <v>2.0</v>
      </c>
      <c r="R965" s="179">
        <v>1.0</v>
      </c>
      <c r="S965" s="195">
        <v>0.0026</v>
      </c>
      <c r="T965" s="195">
        <v>0.0385</v>
      </c>
      <c r="U965" s="179">
        <v>83324.92</v>
      </c>
      <c r="V965" s="179">
        <v>42937.46</v>
      </c>
      <c r="W965" s="179">
        <v>2.0</v>
      </c>
      <c r="X965" s="179">
        <v>1.0</v>
      </c>
    </row>
    <row r="966" ht="15.75" customHeight="1">
      <c r="A966" s="65">
        <v>45658.0</v>
      </c>
      <c r="B966" s="10" t="str">
        <f t="array" ref="B966">_xlfn.XLOOKUP(D966,'Referanc '!$A:$A,'Referanc '!$B:$B)</f>
        <v>Standing Table - All Frames</v>
      </c>
      <c r="C966" s="179" t="s">
        <v>368</v>
      </c>
      <c r="D966" s="179" t="s">
        <v>368</v>
      </c>
      <c r="E966" s="179" t="s">
        <v>1184</v>
      </c>
      <c r="F966" s="179"/>
      <c r="G966" s="179">
        <v>588.0</v>
      </c>
      <c r="H966" s="179">
        <v>41.0</v>
      </c>
      <c r="I966" s="195">
        <v>0.0098</v>
      </c>
      <c r="J966" s="195">
        <v>0.0159</v>
      </c>
      <c r="K966" s="179">
        <v>845.0</v>
      </c>
      <c r="L966" s="179">
        <v>76.0</v>
      </c>
      <c r="M966" s="195">
        <v>0.0102</v>
      </c>
      <c r="N966" s="195">
        <v>0.0217</v>
      </c>
      <c r="O966" s="195">
        <v>0.8748</v>
      </c>
      <c r="P966" s="195">
        <v>0.9231</v>
      </c>
      <c r="Q966" s="179">
        <v>2.0</v>
      </c>
      <c r="R966" s="179">
        <v>0.0</v>
      </c>
      <c r="S966" s="195">
        <v>0.0034</v>
      </c>
      <c r="T966" s="195">
        <v>0.0</v>
      </c>
      <c r="U966" s="179">
        <v>34503.72</v>
      </c>
      <c r="V966" s="179">
        <v>0.0</v>
      </c>
      <c r="W966" s="179">
        <v>2.0</v>
      </c>
      <c r="X966" s="179">
        <v>0.0</v>
      </c>
    </row>
    <row r="967" ht="15.75" customHeight="1">
      <c r="A967" s="65">
        <v>45658.0</v>
      </c>
      <c r="B967" s="10" t="str">
        <f t="array" ref="B967">_xlfn.XLOOKUP(D967,'Referanc '!$A:$A,'Referanc '!$B:$B)</f>
        <v>Standing Table  - SM3</v>
      </c>
      <c r="C967" s="179" t="s">
        <v>401</v>
      </c>
      <c r="D967" s="179" t="s">
        <v>401</v>
      </c>
      <c r="E967" s="179" t="s">
        <v>1362</v>
      </c>
      <c r="F967" s="179"/>
      <c r="G967" s="179">
        <v>95.0</v>
      </c>
      <c r="H967" s="179">
        <v>2.0</v>
      </c>
      <c r="I967" s="195">
        <v>0.0016</v>
      </c>
      <c r="J967" s="195">
        <v>8.0E-4</v>
      </c>
      <c r="K967" s="179">
        <v>126.0</v>
      </c>
      <c r="L967" s="179">
        <v>3.0</v>
      </c>
      <c r="M967" s="195">
        <v>0.0015</v>
      </c>
      <c r="N967" s="195">
        <v>9.0E-4</v>
      </c>
      <c r="O967" s="195">
        <v>0.8981</v>
      </c>
      <c r="P967" s="195">
        <v>0.5</v>
      </c>
      <c r="Q967" s="179">
        <v>2.0</v>
      </c>
      <c r="R967" s="179">
        <v>0.0</v>
      </c>
      <c r="S967" s="195">
        <v>0.0211</v>
      </c>
      <c r="T967" s="195">
        <v>0.0</v>
      </c>
      <c r="U967" s="179">
        <v>41300.86</v>
      </c>
      <c r="V967" s="179">
        <v>0.0</v>
      </c>
      <c r="W967" s="179">
        <v>2.0</v>
      </c>
      <c r="X967" s="179">
        <v>0.0</v>
      </c>
    </row>
    <row r="968" ht="15.75" customHeight="1">
      <c r="A968" s="65">
        <v>45658.0</v>
      </c>
      <c r="B968" s="10" t="str">
        <f t="array" ref="B968">_xlfn.XLOOKUP(D968,'Referanc '!$A:$A,'Referanc '!$B:$B)</f>
        <v>Standing Table  - SM3</v>
      </c>
      <c r="C968" s="179" t="s">
        <v>379</v>
      </c>
      <c r="D968" s="179" t="s">
        <v>379</v>
      </c>
      <c r="E968" s="179" t="s">
        <v>1209</v>
      </c>
      <c r="F968" s="179"/>
      <c r="G968" s="179">
        <v>176.0</v>
      </c>
      <c r="H968" s="179">
        <v>6.0</v>
      </c>
      <c r="I968" s="195">
        <v>0.0029</v>
      </c>
      <c r="J968" s="195">
        <v>0.0023</v>
      </c>
      <c r="K968" s="179">
        <v>245.0</v>
      </c>
      <c r="L968" s="179">
        <v>6.0</v>
      </c>
      <c r="M968" s="195">
        <v>0.003</v>
      </c>
      <c r="N968" s="195">
        <v>0.0017</v>
      </c>
      <c r="O968" s="195">
        <v>0.9108</v>
      </c>
      <c r="P968" s="195">
        <v>0.6667</v>
      </c>
      <c r="Q968" s="179">
        <v>2.0</v>
      </c>
      <c r="R968" s="179">
        <v>0.0</v>
      </c>
      <c r="S968" s="195">
        <v>0.0114</v>
      </c>
      <c r="T968" s="195">
        <v>0.0</v>
      </c>
      <c r="U968" s="179">
        <v>43299.86</v>
      </c>
      <c r="V968" s="179">
        <v>0.0</v>
      </c>
      <c r="W968" s="179">
        <v>2.0</v>
      </c>
      <c r="X968" s="179">
        <v>0.0</v>
      </c>
    </row>
    <row r="969" ht="15.75" customHeight="1">
      <c r="A969" s="65">
        <v>45658.0</v>
      </c>
      <c r="B969" s="10" t="str">
        <f t="array" ref="B969">_xlfn.XLOOKUP(D969,'Referanc '!$A:$A,'Referanc '!$B:$B)</f>
        <v>Standing Table  - E1A</v>
      </c>
      <c r="C969" s="179" t="s">
        <v>371</v>
      </c>
      <c r="D969" s="179" t="s">
        <v>371</v>
      </c>
      <c r="E969" s="179" t="s">
        <v>1353</v>
      </c>
      <c r="F969" s="179"/>
      <c r="G969" s="179">
        <v>108.0</v>
      </c>
      <c r="H969" s="179">
        <v>11.0</v>
      </c>
      <c r="I969" s="195">
        <v>0.0018</v>
      </c>
      <c r="J969" s="195">
        <v>0.0043</v>
      </c>
      <c r="K969" s="179">
        <v>125.0</v>
      </c>
      <c r="L969" s="179">
        <v>13.0</v>
      </c>
      <c r="M969" s="195">
        <v>0.0015</v>
      </c>
      <c r="N969" s="195">
        <v>0.0037</v>
      </c>
      <c r="O969" s="195">
        <v>0.931</v>
      </c>
      <c r="P969" s="195">
        <v>0.9231</v>
      </c>
      <c r="Q969" s="179">
        <v>2.0</v>
      </c>
      <c r="R969" s="179">
        <v>1.0</v>
      </c>
      <c r="S969" s="195">
        <v>0.0185</v>
      </c>
      <c r="T969" s="195">
        <v>0.0909</v>
      </c>
      <c r="U969" s="179">
        <v>65306.03</v>
      </c>
      <c r="V969" s="179">
        <v>32682.0</v>
      </c>
      <c r="W969" s="179">
        <v>2.0</v>
      </c>
      <c r="X969" s="179">
        <v>1.0</v>
      </c>
    </row>
    <row r="970" ht="15.75" customHeight="1">
      <c r="A970" s="65">
        <v>45658.0</v>
      </c>
      <c r="B970" s="10" t="str">
        <f t="array" ref="B970">_xlfn.XLOOKUP(D970,'Referanc '!$A:$A,'Referanc '!$B:$B)</f>
        <v>Monitor Arm Stand</v>
      </c>
      <c r="C970" s="179" t="s">
        <v>353</v>
      </c>
      <c r="D970" s="179" t="s">
        <v>353</v>
      </c>
      <c r="E970" s="179" t="s">
        <v>691</v>
      </c>
      <c r="F970" s="179"/>
      <c r="G970" s="179">
        <v>270.0</v>
      </c>
      <c r="H970" s="179">
        <v>12.0</v>
      </c>
      <c r="I970" s="195">
        <v>0.0045</v>
      </c>
      <c r="J970" s="195">
        <v>0.0047</v>
      </c>
      <c r="K970" s="179">
        <v>396.0</v>
      </c>
      <c r="L970" s="179">
        <v>13.0</v>
      </c>
      <c r="M970" s="195">
        <v>0.0048</v>
      </c>
      <c r="N970" s="195">
        <v>0.0037</v>
      </c>
      <c r="O970" s="195">
        <v>0.8547</v>
      </c>
      <c r="P970" s="195">
        <v>0.6364</v>
      </c>
      <c r="Q970" s="179">
        <v>2.0</v>
      </c>
      <c r="R970" s="179">
        <v>0.0</v>
      </c>
      <c r="S970" s="195">
        <v>0.0074</v>
      </c>
      <c r="T970" s="195">
        <v>0.0</v>
      </c>
      <c r="U970" s="179">
        <v>5998.0</v>
      </c>
      <c r="V970" s="179">
        <v>0.0</v>
      </c>
      <c r="W970" s="179">
        <v>2.0</v>
      </c>
      <c r="X970" s="179">
        <v>0.0</v>
      </c>
    </row>
    <row r="971" ht="15.75" customHeight="1">
      <c r="A971" s="65">
        <v>45658.0</v>
      </c>
      <c r="B971" s="10" t="str">
        <f t="array" ref="B971">_xlfn.XLOOKUP(D971,'Referanc '!$A:$A,'Referanc '!$B:$B)</f>
        <v>Standing Table  - M14</v>
      </c>
      <c r="C971" s="179" t="s">
        <v>436</v>
      </c>
      <c r="D971" s="179" t="s">
        <v>436</v>
      </c>
      <c r="E971" s="179" t="s">
        <v>725</v>
      </c>
      <c r="F971" s="179"/>
      <c r="G971" s="179">
        <v>294.0</v>
      </c>
      <c r="H971" s="179">
        <v>15.0</v>
      </c>
      <c r="I971" s="195">
        <v>0.0049</v>
      </c>
      <c r="J971" s="195">
        <v>0.0058</v>
      </c>
      <c r="K971" s="179">
        <v>421.0</v>
      </c>
      <c r="L971" s="179">
        <v>20.0</v>
      </c>
      <c r="M971" s="195">
        <v>0.0051</v>
      </c>
      <c r="N971" s="195">
        <v>0.0057</v>
      </c>
      <c r="O971" s="195">
        <v>0.937</v>
      </c>
      <c r="P971" s="195">
        <v>0.9474</v>
      </c>
      <c r="Q971" s="179">
        <v>2.0</v>
      </c>
      <c r="R971" s="179">
        <v>0.0</v>
      </c>
      <c r="S971" s="195">
        <v>0.0068</v>
      </c>
      <c r="T971" s="195">
        <v>0.0</v>
      </c>
      <c r="U971" s="179">
        <v>30891.18</v>
      </c>
      <c r="V971" s="179">
        <v>0.0</v>
      </c>
      <c r="W971" s="179">
        <v>2.0</v>
      </c>
      <c r="X971" s="179">
        <v>0.0</v>
      </c>
    </row>
    <row r="972" ht="15.75" customHeight="1">
      <c r="A972" s="65">
        <v>45658.0</v>
      </c>
      <c r="B972" s="10" t="str">
        <f t="array" ref="B972">_xlfn.XLOOKUP(D972,'Referanc '!$A:$A,'Referanc '!$B:$B)</f>
        <v>TABLE TOP</v>
      </c>
      <c r="C972" s="179" t="s">
        <v>324</v>
      </c>
      <c r="D972" s="179" t="s">
        <v>324</v>
      </c>
      <c r="E972" s="179" t="s">
        <v>533</v>
      </c>
      <c r="F972" s="179"/>
      <c r="G972" s="179">
        <v>485.0</v>
      </c>
      <c r="H972" s="179">
        <v>18.0</v>
      </c>
      <c r="I972" s="195">
        <v>0.0081</v>
      </c>
      <c r="J972" s="195">
        <v>0.007</v>
      </c>
      <c r="K972" s="179">
        <v>636.0</v>
      </c>
      <c r="L972" s="179">
        <v>22.0</v>
      </c>
      <c r="M972" s="195">
        <v>0.0077</v>
      </c>
      <c r="N972" s="195">
        <v>0.0063</v>
      </c>
      <c r="O972" s="195">
        <v>0.8035</v>
      </c>
      <c r="P972" s="195">
        <v>0.5556</v>
      </c>
      <c r="Q972" s="179">
        <v>1.0</v>
      </c>
      <c r="R972" s="179">
        <v>0.0</v>
      </c>
      <c r="S972" s="195">
        <v>0.0021</v>
      </c>
      <c r="T972" s="195">
        <v>0.0</v>
      </c>
      <c r="U972" s="179">
        <v>5605.0</v>
      </c>
      <c r="V972" s="179">
        <v>0.0</v>
      </c>
      <c r="W972" s="179">
        <v>1.0</v>
      </c>
      <c r="X972" s="179">
        <v>0.0</v>
      </c>
    </row>
    <row r="973" ht="15.75" customHeight="1">
      <c r="A973" s="65">
        <v>45658.0</v>
      </c>
      <c r="B973" s="10" t="str">
        <f t="array" ref="B973">_xlfn.XLOOKUP(D973,'Referanc '!$A:$A,'Referanc '!$B:$B)</f>
        <v>Standing Table  - M3</v>
      </c>
      <c r="C973" s="179" t="s">
        <v>403</v>
      </c>
      <c r="D973" s="179" t="s">
        <v>403</v>
      </c>
      <c r="E973" s="179" t="s">
        <v>1175</v>
      </c>
      <c r="F973" s="179"/>
      <c r="G973" s="179">
        <v>294.0</v>
      </c>
      <c r="H973" s="179">
        <v>6.0</v>
      </c>
      <c r="I973" s="195">
        <v>0.0049</v>
      </c>
      <c r="J973" s="195">
        <v>0.0023</v>
      </c>
      <c r="K973" s="179">
        <v>483.0</v>
      </c>
      <c r="L973" s="179">
        <v>7.0</v>
      </c>
      <c r="M973" s="195">
        <v>0.0058</v>
      </c>
      <c r="N973" s="195">
        <v>0.002</v>
      </c>
      <c r="O973" s="195">
        <v>0.9672</v>
      </c>
      <c r="P973" s="195">
        <v>0.8571</v>
      </c>
      <c r="Q973" s="179">
        <v>1.0</v>
      </c>
      <c r="R973" s="179">
        <v>0.0</v>
      </c>
      <c r="S973" s="195">
        <v>0.0034</v>
      </c>
      <c r="T973" s="195">
        <v>0.0</v>
      </c>
      <c r="U973" s="179">
        <v>15475.59</v>
      </c>
      <c r="V973" s="179">
        <v>0.0</v>
      </c>
      <c r="W973" s="179">
        <v>1.0</v>
      </c>
      <c r="X973" s="179">
        <v>0.0</v>
      </c>
    </row>
    <row r="974" ht="15.75" customHeight="1">
      <c r="A974" s="65">
        <v>45658.0</v>
      </c>
      <c r="B974" s="10" t="str">
        <f t="array" ref="B974">_xlfn.XLOOKUP(D974,'Referanc '!$A:$A,'Referanc '!$B:$B)</f>
        <v>Laptop Table</v>
      </c>
      <c r="C974" s="179" t="s">
        <v>328</v>
      </c>
      <c r="D974" s="179" t="s">
        <v>328</v>
      </c>
      <c r="E974" s="179" t="s">
        <v>1349</v>
      </c>
      <c r="F974" s="179"/>
      <c r="G974" s="179">
        <v>11.0</v>
      </c>
      <c r="H974" s="179">
        <v>0.0</v>
      </c>
      <c r="I974" s="195">
        <v>2.0E-4</v>
      </c>
      <c r="J974" s="195">
        <v>0.0</v>
      </c>
      <c r="K974" s="179">
        <v>23.0</v>
      </c>
      <c r="L974" s="179">
        <v>0.0</v>
      </c>
      <c r="M974" s="195">
        <v>3.0E-4</v>
      </c>
      <c r="N974" s="195">
        <v>0.0</v>
      </c>
      <c r="O974" s="195">
        <v>0.7895</v>
      </c>
      <c r="P974" s="195">
        <v>0.0</v>
      </c>
      <c r="Q974" s="179">
        <v>1.0</v>
      </c>
      <c r="R974" s="179">
        <v>0.0</v>
      </c>
      <c r="S974" s="195">
        <v>0.0909</v>
      </c>
      <c r="T974" s="195">
        <v>0.0</v>
      </c>
      <c r="U974" s="179">
        <v>12150.0</v>
      </c>
      <c r="V974" s="179">
        <v>0.0</v>
      </c>
      <c r="W974" s="179">
        <v>1.0</v>
      </c>
      <c r="X974" s="179">
        <v>0.0</v>
      </c>
    </row>
    <row r="975" ht="15.75" customHeight="1">
      <c r="A975" s="65">
        <v>45658.0</v>
      </c>
      <c r="B975" s="10" t="str">
        <f t="array" ref="B975">_xlfn.XLOOKUP(D975,'Referanc '!$A:$A,'Referanc '!$B:$B)</f>
        <v>Standing Table  - E2</v>
      </c>
      <c r="C975" s="179" t="s">
        <v>313</v>
      </c>
      <c r="D975" s="179" t="s">
        <v>313</v>
      </c>
      <c r="E975" s="179" t="s">
        <v>1125</v>
      </c>
      <c r="F975" s="179"/>
      <c r="G975" s="179">
        <v>778.0</v>
      </c>
      <c r="H975" s="179">
        <v>38.0</v>
      </c>
      <c r="I975" s="195">
        <v>0.013</v>
      </c>
      <c r="J975" s="195">
        <v>0.0148</v>
      </c>
      <c r="K975" s="207">
        <v>1017.0</v>
      </c>
      <c r="L975" s="179">
        <v>50.0</v>
      </c>
      <c r="M975" s="195">
        <v>0.0123</v>
      </c>
      <c r="N975" s="195">
        <v>0.0143</v>
      </c>
      <c r="O975" s="195">
        <v>0.8317</v>
      </c>
      <c r="P975" s="195">
        <v>0.6585</v>
      </c>
      <c r="Q975" s="179">
        <v>1.0</v>
      </c>
      <c r="R975" s="179">
        <v>0.0</v>
      </c>
      <c r="S975" s="195">
        <v>0.0013</v>
      </c>
      <c r="T975" s="195">
        <v>0.0</v>
      </c>
      <c r="U975" s="179">
        <v>31399.08</v>
      </c>
      <c r="V975" s="179">
        <v>0.0</v>
      </c>
      <c r="W975" s="179">
        <v>1.0</v>
      </c>
      <c r="X975" s="179">
        <v>0.0</v>
      </c>
    </row>
    <row r="976" ht="15.75" customHeight="1">
      <c r="A976" s="65">
        <v>45658.0</v>
      </c>
      <c r="B976" s="10" t="str">
        <f t="array" ref="B976">_xlfn.XLOOKUP(D976,'Referanc '!$A:$A,'Referanc '!$B:$B)</f>
        <v>Standing Table - All Frames</v>
      </c>
      <c r="C976" s="179" t="s">
        <v>343</v>
      </c>
      <c r="D976" s="179" t="s">
        <v>343</v>
      </c>
      <c r="E976" s="179" t="s">
        <v>1153</v>
      </c>
      <c r="F976" s="179"/>
      <c r="G976" s="179">
        <v>302.0</v>
      </c>
      <c r="H976" s="179">
        <v>14.0</v>
      </c>
      <c r="I976" s="195">
        <v>0.005</v>
      </c>
      <c r="J976" s="195">
        <v>0.0054</v>
      </c>
      <c r="K976" s="179">
        <v>425.0</v>
      </c>
      <c r="L976" s="179">
        <v>21.0</v>
      </c>
      <c r="M976" s="195">
        <v>0.0051</v>
      </c>
      <c r="N976" s="195">
        <v>0.006</v>
      </c>
      <c r="O976" s="195">
        <v>0.8817</v>
      </c>
      <c r="P976" s="195">
        <v>0.25</v>
      </c>
      <c r="Q976" s="179">
        <v>1.0</v>
      </c>
      <c r="R976" s="179">
        <v>0.0</v>
      </c>
      <c r="S976" s="195">
        <v>0.0033</v>
      </c>
      <c r="T976" s="195">
        <v>0.0</v>
      </c>
      <c r="U976" s="179">
        <v>33481.46</v>
      </c>
      <c r="V976" s="179">
        <v>0.0</v>
      </c>
      <c r="W976" s="179">
        <v>1.0</v>
      </c>
      <c r="X976" s="179">
        <v>0.0</v>
      </c>
    </row>
    <row r="977" ht="15.75" customHeight="1">
      <c r="A977" s="65">
        <v>45658.0</v>
      </c>
      <c r="B977" s="10" t="str">
        <f t="array" ref="B977">_xlfn.XLOOKUP(D977,'Referanc '!$A:$A,'Referanc '!$B:$B)</f>
        <v>Standing Table  - E2</v>
      </c>
      <c r="C977" s="179" t="s">
        <v>390</v>
      </c>
      <c r="D977" s="179" t="s">
        <v>390</v>
      </c>
      <c r="E977" s="179" t="s">
        <v>1127</v>
      </c>
      <c r="F977" s="179"/>
      <c r="G977" s="179">
        <v>84.0</v>
      </c>
      <c r="H977" s="179">
        <v>4.0</v>
      </c>
      <c r="I977" s="195">
        <v>0.0014</v>
      </c>
      <c r="J977" s="195">
        <v>0.0016</v>
      </c>
      <c r="K977" s="179">
        <v>165.0</v>
      </c>
      <c r="L977" s="179">
        <v>4.0</v>
      </c>
      <c r="M977" s="195">
        <v>0.002</v>
      </c>
      <c r="N977" s="195">
        <v>0.0011</v>
      </c>
      <c r="O977" s="195">
        <v>0.958</v>
      </c>
      <c r="P977" s="195">
        <v>0.6667</v>
      </c>
      <c r="Q977" s="179">
        <v>1.0</v>
      </c>
      <c r="R977" s="179">
        <v>0.0</v>
      </c>
      <c r="S977" s="195">
        <v>0.0119</v>
      </c>
      <c r="T977" s="195">
        <v>0.0</v>
      </c>
      <c r="U977" s="179">
        <v>34745.08</v>
      </c>
      <c r="V977" s="179">
        <v>0.0</v>
      </c>
      <c r="W977" s="179">
        <v>1.0</v>
      </c>
      <c r="X977" s="179">
        <v>0.0</v>
      </c>
    </row>
    <row r="978" ht="15.75" customHeight="1">
      <c r="A978" s="65">
        <v>45658.0</v>
      </c>
      <c r="B978" s="10" t="str">
        <f t="array" ref="B978">_xlfn.XLOOKUP(D978,'Referanc '!$A:$A,'Referanc '!$B:$B)</f>
        <v>Standing Table  - E2</v>
      </c>
      <c r="C978" s="179" t="s">
        <v>393</v>
      </c>
      <c r="D978" s="179" t="s">
        <v>393</v>
      </c>
      <c r="E978" s="179" t="s">
        <v>1133</v>
      </c>
      <c r="F978" s="179"/>
      <c r="G978" s="179">
        <v>71.0</v>
      </c>
      <c r="H978" s="179">
        <v>2.0</v>
      </c>
      <c r="I978" s="195">
        <v>0.0012</v>
      </c>
      <c r="J978" s="195">
        <v>8.0E-4</v>
      </c>
      <c r="K978" s="179">
        <v>90.0</v>
      </c>
      <c r="L978" s="179">
        <v>3.0</v>
      </c>
      <c r="M978" s="195">
        <v>0.0011</v>
      </c>
      <c r="N978" s="195">
        <v>9.0E-4</v>
      </c>
      <c r="O978" s="195">
        <v>0.9211</v>
      </c>
      <c r="P978" s="195">
        <v>0.6667</v>
      </c>
      <c r="Q978" s="179">
        <v>1.0</v>
      </c>
      <c r="R978" s="179">
        <v>0.0</v>
      </c>
      <c r="S978" s="195">
        <v>0.0141</v>
      </c>
      <c r="T978" s="195">
        <v>0.0</v>
      </c>
      <c r="U978" s="179">
        <v>32610.0</v>
      </c>
      <c r="V978" s="179">
        <v>0.0</v>
      </c>
      <c r="W978" s="179">
        <v>1.0</v>
      </c>
      <c r="X978" s="179">
        <v>0.0</v>
      </c>
    </row>
    <row r="979" ht="15.75" customHeight="1">
      <c r="A979" s="65">
        <v>45658.0</v>
      </c>
      <c r="B979" s="10" t="str">
        <f t="array" ref="B979">_xlfn.XLOOKUP(D979,'Referanc '!$A:$A,'Referanc '!$B:$B)</f>
        <v>Standing Table  - E2</v>
      </c>
      <c r="C979" s="179" t="s">
        <v>394</v>
      </c>
      <c r="D979" s="179" t="s">
        <v>394</v>
      </c>
      <c r="E979" s="179" t="s">
        <v>1125</v>
      </c>
      <c r="F979" s="179"/>
      <c r="G979" s="179">
        <v>97.0</v>
      </c>
      <c r="H979" s="179">
        <v>2.0</v>
      </c>
      <c r="I979" s="195">
        <v>0.0016</v>
      </c>
      <c r="J979" s="195">
        <v>8.0E-4</v>
      </c>
      <c r="K979" s="179">
        <v>121.0</v>
      </c>
      <c r="L979" s="179">
        <v>2.0</v>
      </c>
      <c r="M979" s="195">
        <v>0.0015</v>
      </c>
      <c r="N979" s="195">
        <v>6.0E-4</v>
      </c>
      <c r="O979" s="195">
        <v>0.9364</v>
      </c>
      <c r="P979" s="195">
        <v>0.5</v>
      </c>
      <c r="Q979" s="179">
        <v>1.0</v>
      </c>
      <c r="R979" s="179">
        <v>0.0</v>
      </c>
      <c r="S979" s="195">
        <v>0.0103</v>
      </c>
      <c r="T979" s="195">
        <v>0.0</v>
      </c>
      <c r="U979" s="179">
        <v>32695.08</v>
      </c>
      <c r="V979" s="179">
        <v>0.0</v>
      </c>
      <c r="W979" s="179">
        <v>1.0</v>
      </c>
      <c r="X979" s="179">
        <v>0.0</v>
      </c>
    </row>
    <row r="980" ht="15.75" customHeight="1">
      <c r="A980" s="65">
        <v>45658.0</v>
      </c>
      <c r="B980" s="10" t="str">
        <f t="array" ref="B980">_xlfn.XLOOKUP(D980,'Referanc '!$A:$A,'Referanc '!$B:$B)</f>
        <v>Standing Table  - E3</v>
      </c>
      <c r="C980" s="179" t="s">
        <v>397</v>
      </c>
      <c r="D980" s="179" t="s">
        <v>397</v>
      </c>
      <c r="E980" s="179" t="s">
        <v>1154</v>
      </c>
      <c r="F980" s="179"/>
      <c r="G980" s="179">
        <v>85.0</v>
      </c>
      <c r="H980" s="179">
        <v>4.0</v>
      </c>
      <c r="I980" s="195">
        <v>0.0014</v>
      </c>
      <c r="J980" s="195">
        <v>0.0016</v>
      </c>
      <c r="K980" s="179">
        <v>109.0</v>
      </c>
      <c r="L980" s="179">
        <v>4.0</v>
      </c>
      <c r="M980" s="195">
        <v>0.0013</v>
      </c>
      <c r="N980" s="195">
        <v>0.0011</v>
      </c>
      <c r="O980" s="195">
        <v>0.9167</v>
      </c>
      <c r="P980" s="195">
        <v>0.6667</v>
      </c>
      <c r="Q980" s="179">
        <v>1.0</v>
      </c>
      <c r="R980" s="179">
        <v>0.0</v>
      </c>
      <c r="S980" s="195">
        <v>0.0118</v>
      </c>
      <c r="T980" s="195">
        <v>0.0</v>
      </c>
      <c r="U980" s="179">
        <v>36849.46</v>
      </c>
      <c r="V980" s="179">
        <v>0.0</v>
      </c>
      <c r="W980" s="179">
        <v>1.0</v>
      </c>
      <c r="X980" s="179">
        <v>0.0</v>
      </c>
    </row>
    <row r="981" ht="15.75" customHeight="1">
      <c r="A981" s="65">
        <v>45658.0</v>
      </c>
      <c r="B981" s="10" t="str">
        <f t="array" ref="B981">_xlfn.XLOOKUP(D981,'Referanc '!$A:$A,'Referanc '!$B:$B)</f>
        <v>Standing Table  - E3</v>
      </c>
      <c r="C981" s="179" t="s">
        <v>377</v>
      </c>
      <c r="D981" s="179" t="s">
        <v>377</v>
      </c>
      <c r="E981" s="179" t="s">
        <v>1143</v>
      </c>
      <c r="F981" s="179"/>
      <c r="G981" s="179">
        <v>87.0</v>
      </c>
      <c r="H981" s="179">
        <v>3.0</v>
      </c>
      <c r="I981" s="195">
        <v>0.0015</v>
      </c>
      <c r="J981" s="195">
        <v>0.0012</v>
      </c>
      <c r="K981" s="179">
        <v>105.0</v>
      </c>
      <c r="L981" s="179">
        <v>4.0</v>
      </c>
      <c r="M981" s="195">
        <v>0.0013</v>
      </c>
      <c r="N981" s="195">
        <v>0.0011</v>
      </c>
      <c r="O981" s="195">
        <v>0.898</v>
      </c>
      <c r="P981" s="195">
        <v>1.0</v>
      </c>
      <c r="Q981" s="179">
        <v>1.0</v>
      </c>
      <c r="R981" s="179">
        <v>0.0</v>
      </c>
      <c r="S981" s="195">
        <v>0.0115</v>
      </c>
      <c r="T981" s="195">
        <v>0.0</v>
      </c>
      <c r="U981" s="179">
        <v>38387.46</v>
      </c>
      <c r="V981" s="179">
        <v>0.0</v>
      </c>
      <c r="W981" s="179">
        <v>1.0</v>
      </c>
      <c r="X981" s="179">
        <v>0.0</v>
      </c>
    </row>
    <row r="982" ht="15.75" customHeight="1">
      <c r="A982" s="65">
        <v>45658.0</v>
      </c>
      <c r="B982" s="10" t="str">
        <f t="array" ref="B982">_xlfn.XLOOKUP(D982,'Referanc '!$A:$A,'Referanc '!$B:$B)</f>
        <v>Standing Table  - SM3</v>
      </c>
      <c r="C982" s="179" t="s">
        <v>370</v>
      </c>
      <c r="D982" s="179" t="s">
        <v>370</v>
      </c>
      <c r="E982" s="179" t="s">
        <v>1161</v>
      </c>
      <c r="F982" s="179"/>
      <c r="G982" s="179">
        <v>198.0</v>
      </c>
      <c r="H982" s="179">
        <v>7.0</v>
      </c>
      <c r="I982" s="195">
        <v>0.0033</v>
      </c>
      <c r="J982" s="195">
        <v>0.0027</v>
      </c>
      <c r="K982" s="179">
        <v>275.0</v>
      </c>
      <c r="L982" s="179">
        <v>7.0</v>
      </c>
      <c r="M982" s="195">
        <v>0.0033</v>
      </c>
      <c r="N982" s="195">
        <v>0.002</v>
      </c>
      <c r="O982" s="195">
        <v>0.9298</v>
      </c>
      <c r="P982" s="195">
        <v>0.5</v>
      </c>
      <c r="Q982" s="179">
        <v>1.0</v>
      </c>
      <c r="R982" s="179">
        <v>0.0</v>
      </c>
      <c r="S982" s="195">
        <v>0.0051</v>
      </c>
      <c r="T982" s="195">
        <v>0.0</v>
      </c>
      <c r="U982" s="179">
        <v>21161.86</v>
      </c>
      <c r="V982" s="179">
        <v>0.0</v>
      </c>
      <c r="W982" s="179">
        <v>1.0</v>
      </c>
      <c r="X982" s="179">
        <v>0.0</v>
      </c>
    </row>
    <row r="983" ht="15.75" customHeight="1">
      <c r="A983" s="65">
        <v>45658.0</v>
      </c>
      <c r="B983" s="10" t="str">
        <f t="array" ref="B983">_xlfn.XLOOKUP(D983,'Referanc '!$A:$A,'Referanc '!$B:$B)</f>
        <v>Standing Table  - E1A</v>
      </c>
      <c r="C983" s="179" t="s">
        <v>367</v>
      </c>
      <c r="D983" s="179" t="s">
        <v>367</v>
      </c>
      <c r="E983" s="179" t="s">
        <v>1365</v>
      </c>
      <c r="F983" s="179"/>
      <c r="G983" s="179">
        <v>85.0</v>
      </c>
      <c r="H983" s="179">
        <v>6.0</v>
      </c>
      <c r="I983" s="195">
        <v>0.0014</v>
      </c>
      <c r="J983" s="195">
        <v>0.0023</v>
      </c>
      <c r="K983" s="179">
        <v>118.0</v>
      </c>
      <c r="L983" s="179">
        <v>7.0</v>
      </c>
      <c r="M983" s="195">
        <v>0.0014</v>
      </c>
      <c r="N983" s="195">
        <v>0.002</v>
      </c>
      <c r="O983" s="195">
        <v>0.9352</v>
      </c>
      <c r="P983" s="195">
        <v>1.0</v>
      </c>
      <c r="Q983" s="179">
        <v>1.0</v>
      </c>
      <c r="R983" s="179">
        <v>0.0</v>
      </c>
      <c r="S983" s="195">
        <v>0.0118</v>
      </c>
      <c r="T983" s="195">
        <v>0.0</v>
      </c>
      <c r="U983" s="179">
        <v>34616.03</v>
      </c>
      <c r="V983" s="179">
        <v>0.0</v>
      </c>
      <c r="W983" s="179">
        <v>1.0</v>
      </c>
      <c r="X983" s="179">
        <v>0.0</v>
      </c>
    </row>
    <row r="984" ht="15.75" customHeight="1">
      <c r="A984" s="65">
        <v>45658.0</v>
      </c>
      <c r="B984" s="10" t="str">
        <f t="array" ref="B984">_xlfn.XLOOKUP(D984,'Referanc '!$A:$A,'Referanc '!$B:$B)</f>
        <v>Standing Table - All Frames</v>
      </c>
      <c r="C984" s="179" t="s">
        <v>387</v>
      </c>
      <c r="D984" s="179" t="s">
        <v>387</v>
      </c>
      <c r="E984" s="179" t="s">
        <v>1361</v>
      </c>
      <c r="F984" s="179"/>
      <c r="G984" s="179">
        <v>133.0</v>
      </c>
      <c r="H984" s="179">
        <v>7.0</v>
      </c>
      <c r="I984" s="195">
        <v>0.0022</v>
      </c>
      <c r="J984" s="195">
        <v>0.0027</v>
      </c>
      <c r="K984" s="179">
        <v>199.0</v>
      </c>
      <c r="L984" s="179">
        <v>7.0</v>
      </c>
      <c r="M984" s="195">
        <v>0.0024</v>
      </c>
      <c r="N984" s="195">
        <v>0.002</v>
      </c>
      <c r="O984" s="195">
        <v>0.8883</v>
      </c>
      <c r="P984" s="195">
        <v>1.0</v>
      </c>
      <c r="Q984" s="179">
        <v>1.0</v>
      </c>
      <c r="R984" s="179">
        <v>0.0</v>
      </c>
      <c r="S984" s="195">
        <v>0.0075</v>
      </c>
      <c r="T984" s="195">
        <v>0.0</v>
      </c>
      <c r="U984" s="179">
        <v>29499.0</v>
      </c>
      <c r="V984" s="179">
        <v>0.0</v>
      </c>
      <c r="W984" s="179">
        <v>1.0</v>
      </c>
      <c r="X984" s="179">
        <v>0.0</v>
      </c>
    </row>
    <row r="985" ht="15.75" customHeight="1">
      <c r="A985" s="65">
        <v>45658.0</v>
      </c>
      <c r="B985" s="10" t="str">
        <f t="array" ref="B985">_xlfn.XLOOKUP(D985,'Referanc '!$A:$A,'Referanc '!$B:$B)</f>
        <v>Standing Table  - E1A</v>
      </c>
      <c r="C985" s="179" t="s">
        <v>380</v>
      </c>
      <c r="D985" s="179" t="s">
        <v>380</v>
      </c>
      <c r="E985" s="179" t="s">
        <v>1276</v>
      </c>
      <c r="F985" s="179"/>
      <c r="G985" s="179">
        <v>241.0</v>
      </c>
      <c r="H985" s="179">
        <v>6.0</v>
      </c>
      <c r="I985" s="195">
        <v>0.004</v>
      </c>
      <c r="J985" s="195">
        <v>0.0023</v>
      </c>
      <c r="K985" s="179">
        <v>307.0</v>
      </c>
      <c r="L985" s="179">
        <v>10.0</v>
      </c>
      <c r="M985" s="195">
        <v>0.0037</v>
      </c>
      <c r="N985" s="195">
        <v>0.0029</v>
      </c>
      <c r="O985" s="195">
        <v>0.8873</v>
      </c>
      <c r="P985" s="195">
        <v>0.7143</v>
      </c>
      <c r="Q985" s="179">
        <v>1.0</v>
      </c>
      <c r="R985" s="179">
        <v>0.0</v>
      </c>
      <c r="S985" s="195">
        <v>0.0041</v>
      </c>
      <c r="T985" s="195">
        <v>0.0</v>
      </c>
      <c r="U985" s="179">
        <v>35442.03</v>
      </c>
      <c r="V985" s="179">
        <v>0.0</v>
      </c>
      <c r="W985" s="179">
        <v>1.0</v>
      </c>
      <c r="X985" s="179">
        <v>0.0</v>
      </c>
    </row>
    <row r="986" ht="15.75" customHeight="1">
      <c r="A986" s="65">
        <v>45658.0</v>
      </c>
      <c r="B986" s="10" t="str">
        <f t="array" ref="B986">_xlfn.XLOOKUP(D986,'Referanc '!$A:$A,'Referanc '!$B:$B)</f>
        <v>Standing Table  - E1A</v>
      </c>
      <c r="C986" s="179" t="s">
        <v>382</v>
      </c>
      <c r="D986" s="179" t="s">
        <v>382</v>
      </c>
      <c r="E986" s="179" t="s">
        <v>1300</v>
      </c>
      <c r="F986" s="179"/>
      <c r="G986" s="179">
        <v>353.0</v>
      </c>
      <c r="H986" s="179">
        <v>9.0</v>
      </c>
      <c r="I986" s="195">
        <v>0.0059</v>
      </c>
      <c r="J986" s="195">
        <v>0.0035</v>
      </c>
      <c r="K986" s="179">
        <v>487.0</v>
      </c>
      <c r="L986" s="179">
        <v>9.0</v>
      </c>
      <c r="M986" s="195">
        <v>0.0059</v>
      </c>
      <c r="N986" s="195">
        <v>0.0026</v>
      </c>
      <c r="O986" s="195">
        <v>0.9035</v>
      </c>
      <c r="P986" s="195">
        <v>0.6</v>
      </c>
      <c r="Q986" s="179">
        <v>1.0</v>
      </c>
      <c r="R986" s="179">
        <v>0.0</v>
      </c>
      <c r="S986" s="195">
        <v>0.0028</v>
      </c>
      <c r="T986" s="195">
        <v>0.0</v>
      </c>
      <c r="U986" s="179">
        <v>32292.03</v>
      </c>
      <c r="V986" s="179">
        <v>0.0</v>
      </c>
      <c r="W986" s="179">
        <v>1.0</v>
      </c>
      <c r="X986" s="179">
        <v>0.0</v>
      </c>
    </row>
    <row r="987" ht="15.75" customHeight="1">
      <c r="A987" s="65">
        <v>45658.0</v>
      </c>
      <c r="B987" s="10" t="str">
        <f t="array" ref="B987">_xlfn.XLOOKUP(D987,'Referanc '!$A:$A,'Referanc '!$B:$B)</f>
        <v>Standing Table  - E4</v>
      </c>
      <c r="C987" s="179" t="s">
        <v>404</v>
      </c>
      <c r="D987" s="179" t="s">
        <v>404</v>
      </c>
      <c r="E987" s="179" t="s">
        <v>1304</v>
      </c>
      <c r="F987" s="179"/>
      <c r="G987" s="179">
        <v>124.0</v>
      </c>
      <c r="H987" s="179">
        <v>6.0</v>
      </c>
      <c r="I987" s="195">
        <v>0.0021</v>
      </c>
      <c r="J987" s="195">
        <v>0.0023</v>
      </c>
      <c r="K987" s="179">
        <v>160.0</v>
      </c>
      <c r="L987" s="179">
        <v>6.0</v>
      </c>
      <c r="M987" s="195">
        <v>0.0019</v>
      </c>
      <c r="N987" s="195">
        <v>0.0017</v>
      </c>
      <c r="O987" s="195">
        <v>0.9388</v>
      </c>
      <c r="P987" s="195">
        <v>1.0</v>
      </c>
      <c r="Q987" s="179">
        <v>1.0</v>
      </c>
      <c r="R987" s="179">
        <v>0.0</v>
      </c>
      <c r="S987" s="195">
        <v>0.0081</v>
      </c>
      <c r="T987" s="195">
        <v>0.0</v>
      </c>
      <c r="U987" s="179">
        <v>25411.0</v>
      </c>
      <c r="V987" s="179">
        <v>0.0</v>
      </c>
      <c r="W987" s="179">
        <v>1.0</v>
      </c>
      <c r="X987" s="179">
        <v>0.0</v>
      </c>
    </row>
    <row r="988" ht="15.75" customHeight="1">
      <c r="A988" s="65">
        <v>45658.0</v>
      </c>
      <c r="B988" s="10" t="str">
        <f t="array" ref="B988">_xlfn.XLOOKUP(D988,'Referanc '!$A:$A,'Referanc '!$B:$B)</f>
        <v>Standing Table  - E4</v>
      </c>
      <c r="C988" s="179" t="s">
        <v>405</v>
      </c>
      <c r="D988" s="179" t="s">
        <v>405</v>
      </c>
      <c r="E988" s="179" t="s">
        <v>1305</v>
      </c>
      <c r="F988" s="179"/>
      <c r="G988" s="179">
        <v>104.0</v>
      </c>
      <c r="H988" s="179">
        <v>14.0</v>
      </c>
      <c r="I988" s="195">
        <v>0.0017</v>
      </c>
      <c r="J988" s="195">
        <v>0.0054</v>
      </c>
      <c r="K988" s="179">
        <v>161.0</v>
      </c>
      <c r="L988" s="179">
        <v>22.0</v>
      </c>
      <c r="M988" s="195">
        <v>0.0019</v>
      </c>
      <c r="N988" s="195">
        <v>0.0063</v>
      </c>
      <c r="O988" s="195">
        <v>0.9724</v>
      </c>
      <c r="P988" s="195">
        <v>0.0</v>
      </c>
      <c r="Q988" s="179">
        <v>1.0</v>
      </c>
      <c r="R988" s="179">
        <v>0.0</v>
      </c>
      <c r="S988" s="195">
        <v>0.0096</v>
      </c>
      <c r="T988" s="195">
        <v>0.0</v>
      </c>
      <c r="U988" s="179">
        <v>24203.24</v>
      </c>
      <c r="V988" s="179">
        <v>0.0</v>
      </c>
      <c r="W988" s="179">
        <v>1.0</v>
      </c>
      <c r="X988" s="179">
        <v>0.0</v>
      </c>
    </row>
    <row r="989" ht="15.75" customHeight="1">
      <c r="A989" s="65">
        <v>45658.0</v>
      </c>
      <c r="B989" s="10" t="str">
        <f t="array" ref="B989">_xlfn.XLOOKUP(D989,'Referanc '!$A:$A,'Referanc '!$B:$B)</f>
        <v>Standing Table  - E4</v>
      </c>
      <c r="C989" s="179" t="s">
        <v>409</v>
      </c>
      <c r="D989" s="179" t="s">
        <v>409</v>
      </c>
      <c r="E989" s="179" t="s">
        <v>1307</v>
      </c>
      <c r="F989" s="179"/>
      <c r="G989" s="179">
        <v>111.0</v>
      </c>
      <c r="H989" s="179">
        <v>2.0</v>
      </c>
      <c r="I989" s="195">
        <v>0.0019</v>
      </c>
      <c r="J989" s="195">
        <v>8.0E-4</v>
      </c>
      <c r="K989" s="179">
        <v>219.0</v>
      </c>
      <c r="L989" s="179">
        <v>2.0</v>
      </c>
      <c r="M989" s="195">
        <v>0.0026</v>
      </c>
      <c r="N989" s="195">
        <v>6.0E-4</v>
      </c>
      <c r="O989" s="195">
        <v>0.9683</v>
      </c>
      <c r="P989" s="195">
        <v>1.0</v>
      </c>
      <c r="Q989" s="179">
        <v>1.0</v>
      </c>
      <c r="R989" s="179">
        <v>0.0</v>
      </c>
      <c r="S989" s="195">
        <v>0.009</v>
      </c>
      <c r="T989" s="195">
        <v>0.0</v>
      </c>
      <c r="U989" s="179">
        <v>23749.0</v>
      </c>
      <c r="V989" s="179">
        <v>0.0</v>
      </c>
      <c r="W989" s="179">
        <v>1.0</v>
      </c>
      <c r="X989" s="179">
        <v>0.0</v>
      </c>
    </row>
    <row r="990" ht="15.75" customHeight="1">
      <c r="A990" s="65">
        <v>45658.0</v>
      </c>
      <c r="B990" s="10" t="str">
        <f t="array" ref="B990">_xlfn.XLOOKUP(D990,'Referanc '!$A:$A,'Referanc '!$B:$B)</f>
        <v>Standing Table  - M8</v>
      </c>
      <c r="C990" s="179" t="s">
        <v>421</v>
      </c>
      <c r="D990" s="179" t="s">
        <v>421</v>
      </c>
      <c r="E990" s="179" t="s">
        <v>1368</v>
      </c>
      <c r="F990" s="179"/>
      <c r="G990" s="179">
        <v>65.0</v>
      </c>
      <c r="H990" s="179">
        <v>5.0</v>
      </c>
      <c r="I990" s="195">
        <v>0.0011</v>
      </c>
      <c r="J990" s="195">
        <v>0.0019</v>
      </c>
      <c r="K990" s="179">
        <v>93.0</v>
      </c>
      <c r="L990" s="179">
        <v>6.0</v>
      </c>
      <c r="M990" s="195">
        <v>0.0011</v>
      </c>
      <c r="N990" s="195">
        <v>0.0017</v>
      </c>
      <c r="O990" s="195">
        <v>0.9146</v>
      </c>
      <c r="P990" s="195">
        <v>0.8</v>
      </c>
      <c r="Q990" s="179">
        <v>1.0</v>
      </c>
      <c r="R990" s="179">
        <v>0.0</v>
      </c>
      <c r="S990" s="195">
        <v>0.0154</v>
      </c>
      <c r="T990" s="195">
        <v>0.0</v>
      </c>
      <c r="U990" s="179">
        <v>15300.0</v>
      </c>
      <c r="V990" s="179">
        <v>0.0</v>
      </c>
      <c r="W990" s="179">
        <v>1.0</v>
      </c>
      <c r="X990" s="179">
        <v>0.0</v>
      </c>
    </row>
    <row r="991" ht="15.75" customHeight="1">
      <c r="A991" s="65">
        <v>45658.0</v>
      </c>
      <c r="B991" s="10" t="str">
        <f t="array" ref="B991">_xlfn.XLOOKUP(D991,'Referanc '!$A:$A,'Referanc '!$B:$B)</f>
        <v>Standing Table  - M14</v>
      </c>
      <c r="C991" s="179" t="s">
        <v>435</v>
      </c>
      <c r="D991" s="179" t="s">
        <v>435</v>
      </c>
      <c r="E991" s="179" t="s">
        <v>724</v>
      </c>
      <c r="F991" s="179"/>
      <c r="G991" s="179">
        <v>184.0</v>
      </c>
      <c r="H991" s="179">
        <v>9.0</v>
      </c>
      <c r="I991" s="195">
        <v>0.0031</v>
      </c>
      <c r="J991" s="195">
        <v>0.0035</v>
      </c>
      <c r="K991" s="179">
        <v>269.0</v>
      </c>
      <c r="L991" s="179">
        <v>11.0</v>
      </c>
      <c r="M991" s="195">
        <v>0.0033</v>
      </c>
      <c r="N991" s="195">
        <v>0.0031</v>
      </c>
      <c r="O991" s="195">
        <v>0.9622</v>
      </c>
      <c r="P991" s="195">
        <v>0.8889</v>
      </c>
      <c r="Q991" s="179">
        <v>1.0</v>
      </c>
      <c r="R991" s="179">
        <v>0.0</v>
      </c>
      <c r="S991" s="195">
        <v>0.0054</v>
      </c>
      <c r="T991" s="195">
        <v>0.0</v>
      </c>
      <c r="U991" s="179">
        <v>15470.0</v>
      </c>
      <c r="V991" s="179">
        <v>0.0</v>
      </c>
      <c r="W991" s="179">
        <v>1.0</v>
      </c>
      <c r="X991" s="179">
        <v>0.0</v>
      </c>
    </row>
    <row r="992" ht="15.75" customHeight="1">
      <c r="A992" s="65">
        <v>45658.0</v>
      </c>
      <c r="B992" s="10" t="str">
        <f t="array" ref="B992">_xlfn.XLOOKUP(D992,'Referanc '!$A:$A,'Referanc '!$B:$B)</f>
        <v>Desk Cable Tray</v>
      </c>
      <c r="C992" s="179" t="s">
        <v>444</v>
      </c>
      <c r="D992" s="179" t="s">
        <v>444</v>
      </c>
      <c r="E992" s="179" t="s">
        <v>734</v>
      </c>
      <c r="F992" s="179"/>
      <c r="G992" s="179">
        <v>155.0</v>
      </c>
      <c r="H992" s="179">
        <v>13.0</v>
      </c>
      <c r="I992" s="195">
        <v>0.0026</v>
      </c>
      <c r="J992" s="195">
        <v>0.005</v>
      </c>
      <c r="K992" s="179">
        <v>220.0</v>
      </c>
      <c r="L992" s="179">
        <v>17.0</v>
      </c>
      <c r="M992" s="195">
        <v>0.0027</v>
      </c>
      <c r="N992" s="195">
        <v>0.0049</v>
      </c>
      <c r="O992" s="195">
        <v>0.8462</v>
      </c>
      <c r="P992" s="195">
        <v>0.8889</v>
      </c>
      <c r="Q992" s="179">
        <v>1.0</v>
      </c>
      <c r="R992" s="179">
        <v>0.0</v>
      </c>
      <c r="S992" s="195">
        <v>0.0065</v>
      </c>
      <c r="T992" s="195">
        <v>0.0</v>
      </c>
      <c r="U992" s="179">
        <v>1900.0</v>
      </c>
      <c r="V992" s="179">
        <v>0.0</v>
      </c>
      <c r="W992" s="179">
        <v>1.0</v>
      </c>
      <c r="X992" s="179">
        <v>0.0</v>
      </c>
    </row>
    <row r="993" ht="15.75" customHeight="1">
      <c r="A993" s="65">
        <v>45658.0</v>
      </c>
      <c r="B993" s="10" t="str">
        <f t="array" ref="B993">_xlfn.XLOOKUP(D993,'Referanc '!$A:$A,'Referanc '!$B:$B)</f>
        <v>TABLE TOP</v>
      </c>
      <c r="C993" s="179" t="s">
        <v>357</v>
      </c>
      <c r="D993" s="179" t="s">
        <v>357</v>
      </c>
      <c r="E993" s="179" t="s">
        <v>535</v>
      </c>
      <c r="F993" s="179"/>
      <c r="G993" s="179">
        <v>345.0</v>
      </c>
      <c r="H993" s="179">
        <v>15.0</v>
      </c>
      <c r="I993" s="195">
        <v>0.0058</v>
      </c>
      <c r="J993" s="195">
        <v>0.0058</v>
      </c>
      <c r="K993" s="179">
        <v>424.0</v>
      </c>
      <c r="L993" s="179">
        <v>16.0</v>
      </c>
      <c r="M993" s="195">
        <v>0.0051</v>
      </c>
      <c r="N993" s="195">
        <v>0.0046</v>
      </c>
      <c r="O993" s="195">
        <v>0.7674</v>
      </c>
      <c r="P993" s="195">
        <v>0.8182</v>
      </c>
      <c r="Q993" s="179">
        <v>0.0</v>
      </c>
      <c r="R993" s="179">
        <v>0.0</v>
      </c>
      <c r="S993" s="195">
        <v>0.0</v>
      </c>
      <c r="T993" s="195">
        <v>0.0</v>
      </c>
      <c r="U993" s="179">
        <v>0.0</v>
      </c>
      <c r="V993" s="179">
        <v>0.0</v>
      </c>
      <c r="W993" s="179">
        <v>0.0</v>
      </c>
      <c r="X993" s="179">
        <v>0.0</v>
      </c>
    </row>
    <row r="994" ht="15.75" customHeight="1">
      <c r="A994" s="65">
        <v>45658.0</v>
      </c>
      <c r="B994" s="10" t="str">
        <f t="array" ref="B994">_xlfn.XLOOKUP(D994,'Referanc '!$A:$A,'Referanc '!$B:$B)</f>
        <v>TABLE TOP</v>
      </c>
      <c r="C994" s="179" t="s">
        <v>350</v>
      </c>
      <c r="D994" s="179" t="s">
        <v>350</v>
      </c>
      <c r="E994" s="179" t="s">
        <v>531</v>
      </c>
      <c r="F994" s="179"/>
      <c r="G994" s="179">
        <v>271.0</v>
      </c>
      <c r="H994" s="179">
        <v>14.0</v>
      </c>
      <c r="I994" s="195">
        <v>0.0045</v>
      </c>
      <c r="J994" s="195">
        <v>0.0054</v>
      </c>
      <c r="K994" s="179">
        <v>330.0</v>
      </c>
      <c r="L994" s="179">
        <v>17.0</v>
      </c>
      <c r="M994" s="195">
        <v>0.004</v>
      </c>
      <c r="N994" s="195">
        <v>0.0049</v>
      </c>
      <c r="O994" s="195">
        <v>0.8482</v>
      </c>
      <c r="P994" s="195">
        <v>0.4444</v>
      </c>
      <c r="Q994" s="179">
        <v>0.0</v>
      </c>
      <c r="R994" s="179">
        <v>0.0</v>
      </c>
      <c r="S994" s="195">
        <v>0.0</v>
      </c>
      <c r="T994" s="195">
        <v>0.0</v>
      </c>
      <c r="U994" s="179">
        <v>0.0</v>
      </c>
      <c r="V994" s="179">
        <v>0.0</v>
      </c>
      <c r="W994" s="179">
        <v>0.0</v>
      </c>
      <c r="X994" s="179">
        <v>0.0</v>
      </c>
    </row>
    <row r="995" ht="15.75" customHeight="1">
      <c r="A995" s="65">
        <v>45658.0</v>
      </c>
      <c r="B995" s="10" t="str">
        <f t="array" ref="B995">_xlfn.XLOOKUP(D995,'Referanc '!$A:$A,'Referanc '!$B:$B)</f>
        <v>Standing Table  - M8</v>
      </c>
      <c r="C995" s="179" t="s">
        <v>414</v>
      </c>
      <c r="D995" s="179" t="s">
        <v>414</v>
      </c>
      <c r="E995" s="179" t="s">
        <v>1289</v>
      </c>
      <c r="F995" s="179"/>
      <c r="G995" s="179">
        <v>90.0</v>
      </c>
      <c r="H995" s="179">
        <v>4.0</v>
      </c>
      <c r="I995" s="195">
        <v>0.0015</v>
      </c>
      <c r="J995" s="195">
        <v>0.0016</v>
      </c>
      <c r="K995" s="179">
        <v>115.0</v>
      </c>
      <c r="L995" s="179">
        <v>7.0</v>
      </c>
      <c r="M995" s="195">
        <v>0.0014</v>
      </c>
      <c r="N995" s="195">
        <v>0.002</v>
      </c>
      <c r="O995" s="195">
        <v>0.7255</v>
      </c>
      <c r="P995" s="195">
        <v>1.0</v>
      </c>
      <c r="Q995" s="179">
        <v>0.0</v>
      </c>
      <c r="R995" s="179">
        <v>0.0</v>
      </c>
      <c r="S995" s="195">
        <v>0.0</v>
      </c>
      <c r="T995" s="195">
        <v>0.0</v>
      </c>
      <c r="U995" s="179">
        <v>0.0</v>
      </c>
      <c r="V995" s="179">
        <v>0.0</v>
      </c>
      <c r="W995" s="179">
        <v>0.0</v>
      </c>
      <c r="X995" s="179">
        <v>0.0</v>
      </c>
    </row>
    <row r="996" ht="15.75" customHeight="1">
      <c r="A996" s="65">
        <v>45658.0</v>
      </c>
      <c r="B996" s="10" t="str">
        <f t="array" ref="B996">_xlfn.XLOOKUP(D996,'Referanc '!$A:$A,'Referanc '!$B:$B)</f>
        <v>Standing Table  - M8</v>
      </c>
      <c r="C996" s="179" t="s">
        <v>415</v>
      </c>
      <c r="D996" s="179" t="s">
        <v>415</v>
      </c>
      <c r="E996" s="179" t="s">
        <v>1291</v>
      </c>
      <c r="F996" s="179"/>
      <c r="G996" s="179">
        <v>144.0</v>
      </c>
      <c r="H996" s="179">
        <v>4.0</v>
      </c>
      <c r="I996" s="195">
        <v>0.0024</v>
      </c>
      <c r="J996" s="195">
        <v>0.0016</v>
      </c>
      <c r="K996" s="179">
        <v>200.0</v>
      </c>
      <c r="L996" s="179">
        <v>6.0</v>
      </c>
      <c r="M996" s="195">
        <v>0.0024</v>
      </c>
      <c r="N996" s="195">
        <v>0.0017</v>
      </c>
      <c r="O996" s="195">
        <v>0.8953</v>
      </c>
      <c r="P996" s="195">
        <v>0.8333</v>
      </c>
      <c r="Q996" s="179">
        <v>0.0</v>
      </c>
      <c r="R996" s="179">
        <v>0.0</v>
      </c>
      <c r="S996" s="195">
        <v>0.0</v>
      </c>
      <c r="T996" s="195">
        <v>0.0</v>
      </c>
      <c r="U996" s="179">
        <v>0.0</v>
      </c>
      <c r="V996" s="179">
        <v>0.0</v>
      </c>
      <c r="W996" s="179">
        <v>0.0</v>
      </c>
      <c r="X996" s="179">
        <v>0.0</v>
      </c>
    </row>
    <row r="997" ht="15.75" customHeight="1">
      <c r="A997" s="65">
        <v>45658.0</v>
      </c>
      <c r="B997" s="10" t="str">
        <f t="array" ref="B997">_xlfn.XLOOKUP(D997,'Referanc '!$A:$A,'Referanc '!$B:$B)</f>
        <v>Standing Table  - M8</v>
      </c>
      <c r="C997" s="179" t="s">
        <v>418</v>
      </c>
      <c r="D997" s="179" t="s">
        <v>418</v>
      </c>
      <c r="E997" s="179" t="s">
        <v>1293</v>
      </c>
      <c r="F997" s="179"/>
      <c r="G997" s="179">
        <v>121.0</v>
      </c>
      <c r="H997" s="179">
        <v>6.0</v>
      </c>
      <c r="I997" s="195">
        <v>0.002</v>
      </c>
      <c r="J997" s="195">
        <v>0.0023</v>
      </c>
      <c r="K997" s="179">
        <v>164.0</v>
      </c>
      <c r="L997" s="179">
        <v>7.0</v>
      </c>
      <c r="M997" s="195">
        <v>0.002</v>
      </c>
      <c r="N997" s="195">
        <v>0.002</v>
      </c>
      <c r="O997" s="195">
        <v>0.8129</v>
      </c>
      <c r="P997" s="195">
        <v>0.6667</v>
      </c>
      <c r="Q997" s="179">
        <v>0.0</v>
      </c>
      <c r="R997" s="179">
        <v>0.0</v>
      </c>
      <c r="S997" s="195">
        <v>0.0</v>
      </c>
      <c r="T997" s="195">
        <v>0.0</v>
      </c>
      <c r="U997" s="179">
        <v>0.0</v>
      </c>
      <c r="V997" s="179">
        <v>0.0</v>
      </c>
      <c r="W997" s="179">
        <v>0.0</v>
      </c>
      <c r="X997" s="179">
        <v>0.0</v>
      </c>
    </row>
    <row r="998" ht="15.75" customHeight="1">
      <c r="A998" s="65">
        <v>45658.0</v>
      </c>
      <c r="B998" s="10" t="str">
        <f t="array" ref="B998">_xlfn.XLOOKUP(D998,'Referanc '!$A:$A,'Referanc '!$B:$B)</f>
        <v>Footrests</v>
      </c>
      <c r="C998" s="179" t="s">
        <v>339</v>
      </c>
      <c r="D998" s="179" t="s">
        <v>339</v>
      </c>
      <c r="E998" s="179" t="s">
        <v>547</v>
      </c>
      <c r="F998" s="179"/>
      <c r="G998" s="179">
        <v>147.0</v>
      </c>
      <c r="H998" s="179">
        <v>6.0</v>
      </c>
      <c r="I998" s="195">
        <v>0.0025</v>
      </c>
      <c r="J998" s="195">
        <v>0.0023</v>
      </c>
      <c r="K998" s="179">
        <v>166.0</v>
      </c>
      <c r="L998" s="179">
        <v>11.0</v>
      </c>
      <c r="M998" s="195">
        <v>0.002</v>
      </c>
      <c r="N998" s="195">
        <v>0.0031</v>
      </c>
      <c r="O998" s="195">
        <v>1.0</v>
      </c>
      <c r="P998" s="195">
        <v>1.0</v>
      </c>
      <c r="Q998" s="179">
        <v>0.0</v>
      </c>
      <c r="R998" s="179">
        <v>0.0</v>
      </c>
      <c r="S998" s="195">
        <v>0.0</v>
      </c>
      <c r="T998" s="195">
        <v>0.0</v>
      </c>
      <c r="U998" s="179">
        <v>0.0</v>
      </c>
      <c r="V998" s="179">
        <v>0.0</v>
      </c>
      <c r="W998" s="179">
        <v>0.0</v>
      </c>
      <c r="X998" s="179">
        <v>0.0</v>
      </c>
    </row>
    <row r="999" ht="15.75" customHeight="1">
      <c r="A999" s="65">
        <v>45658.0</v>
      </c>
      <c r="B999" s="10" t="str">
        <f t="array" ref="B999">_xlfn.XLOOKUP(D999,'Referanc '!$A:$A,'Referanc '!$B:$B)</f>
        <v>Keyboard Tray</v>
      </c>
      <c r="C999" s="179" t="s">
        <v>445</v>
      </c>
      <c r="D999" s="179" t="s">
        <v>445</v>
      </c>
      <c r="E999" s="179" t="s">
        <v>733</v>
      </c>
      <c r="F999" s="179"/>
      <c r="G999" s="179">
        <v>6.0</v>
      </c>
      <c r="H999" s="179">
        <v>1.0</v>
      </c>
      <c r="I999" s="195">
        <v>1.0E-4</v>
      </c>
      <c r="J999" s="195">
        <v>4.0E-4</v>
      </c>
      <c r="K999" s="179">
        <v>6.0</v>
      </c>
      <c r="L999" s="179">
        <v>1.0</v>
      </c>
      <c r="M999" s="195">
        <v>1.0E-4</v>
      </c>
      <c r="N999" s="195">
        <v>3.0E-4</v>
      </c>
      <c r="O999" s="195">
        <v>1.0</v>
      </c>
      <c r="P999" s="195">
        <v>1.0</v>
      </c>
      <c r="Q999" s="179">
        <v>0.0</v>
      </c>
      <c r="R999" s="179">
        <v>0.0</v>
      </c>
      <c r="S999" s="195">
        <v>0.0</v>
      </c>
      <c r="T999" s="195">
        <v>0.0</v>
      </c>
      <c r="U999" s="179">
        <v>0.0</v>
      </c>
      <c r="V999" s="179">
        <v>0.0</v>
      </c>
      <c r="W999" s="179">
        <v>0.0</v>
      </c>
      <c r="X999" s="179">
        <v>0.0</v>
      </c>
    </row>
    <row r="1000" ht="15.75" customHeight="1">
      <c r="A1000" s="65">
        <v>45658.0</v>
      </c>
      <c r="B1000" s="10" t="str">
        <f t="array" ref="B1000">_xlfn.XLOOKUP(D1000,'Referanc '!$A:$A,'Referanc '!$B:$B)</f>
        <v>Laptop Riser</v>
      </c>
      <c r="C1000" s="179" t="s">
        <v>347</v>
      </c>
      <c r="D1000" s="179" t="s">
        <v>347</v>
      </c>
      <c r="E1000" s="179" t="s">
        <v>693</v>
      </c>
      <c r="F1000" s="179"/>
      <c r="G1000" s="179">
        <v>36.0</v>
      </c>
      <c r="H1000" s="179">
        <v>4.0</v>
      </c>
      <c r="I1000" s="195">
        <v>6.0E-4</v>
      </c>
      <c r="J1000" s="195">
        <v>0.0016</v>
      </c>
      <c r="K1000" s="179">
        <v>42.0</v>
      </c>
      <c r="L1000" s="179">
        <v>6.0</v>
      </c>
      <c r="M1000" s="195">
        <v>5.0E-4</v>
      </c>
      <c r="N1000" s="195">
        <v>0.0017</v>
      </c>
      <c r="O1000" s="195">
        <v>0.7568</v>
      </c>
      <c r="P1000" s="195">
        <v>1.0</v>
      </c>
      <c r="Q1000" s="179">
        <v>0.0</v>
      </c>
      <c r="R1000" s="179">
        <v>0.0</v>
      </c>
      <c r="S1000" s="195">
        <v>0.0</v>
      </c>
      <c r="T1000" s="195">
        <v>0.0</v>
      </c>
      <c r="U1000" s="179">
        <v>0.0</v>
      </c>
      <c r="V1000" s="179">
        <v>0.0</v>
      </c>
      <c r="W1000" s="179">
        <v>0.0</v>
      </c>
      <c r="X1000" s="179">
        <v>0.0</v>
      </c>
    </row>
    <row r="1001" ht="15.75" customHeight="1">
      <c r="A1001" s="65">
        <v>45658.0</v>
      </c>
      <c r="B1001" s="10" t="str">
        <f t="array" ref="B1001">_xlfn.XLOOKUP(D1001,'Referanc '!$A:$A,'Referanc '!$B:$B)</f>
        <v>Standing Desk Converter</v>
      </c>
      <c r="C1001" s="179" t="s">
        <v>326</v>
      </c>
      <c r="D1001" s="179" t="s">
        <v>326</v>
      </c>
      <c r="E1001" s="179" t="s">
        <v>1149</v>
      </c>
      <c r="F1001" s="179"/>
      <c r="G1001" s="179">
        <v>27.0</v>
      </c>
      <c r="H1001" s="179">
        <v>1.0</v>
      </c>
      <c r="I1001" s="195">
        <v>5.0E-4</v>
      </c>
      <c r="J1001" s="195">
        <v>4.0E-4</v>
      </c>
      <c r="K1001" s="179">
        <v>39.0</v>
      </c>
      <c r="L1001" s="179">
        <v>1.0</v>
      </c>
      <c r="M1001" s="195">
        <v>5.0E-4</v>
      </c>
      <c r="N1001" s="195">
        <v>3.0E-4</v>
      </c>
      <c r="O1001" s="195">
        <v>0.8485</v>
      </c>
      <c r="P1001" s="195">
        <v>0.0</v>
      </c>
      <c r="Q1001" s="179">
        <v>0.0</v>
      </c>
      <c r="R1001" s="179">
        <v>0.0</v>
      </c>
      <c r="S1001" s="195">
        <v>0.0</v>
      </c>
      <c r="T1001" s="195">
        <v>0.0</v>
      </c>
      <c r="U1001" s="179">
        <v>0.0</v>
      </c>
      <c r="V1001" s="179">
        <v>0.0</v>
      </c>
      <c r="W1001" s="179">
        <v>0.0</v>
      </c>
      <c r="X1001" s="179">
        <v>0.0</v>
      </c>
    </row>
    <row r="1002" ht="15.75" customHeight="1">
      <c r="A1002" s="65">
        <v>45658.0</v>
      </c>
      <c r="B1002" s="10" t="str">
        <f t="array" ref="B1002">_xlfn.XLOOKUP(D1002,'Referanc '!$A:$A,'Referanc '!$B:$B)</f>
        <v>Standing Table  - E3</v>
      </c>
      <c r="C1002" s="179" t="s">
        <v>381</v>
      </c>
      <c r="D1002" s="179" t="s">
        <v>381</v>
      </c>
      <c r="E1002" s="179" t="s">
        <v>1143</v>
      </c>
      <c r="F1002" s="179"/>
      <c r="G1002" s="179">
        <v>71.0</v>
      </c>
      <c r="H1002" s="179">
        <v>1.0</v>
      </c>
      <c r="I1002" s="195">
        <v>0.0012</v>
      </c>
      <c r="J1002" s="195">
        <v>4.0E-4</v>
      </c>
      <c r="K1002" s="179">
        <v>84.0</v>
      </c>
      <c r="L1002" s="179">
        <v>1.0</v>
      </c>
      <c r="M1002" s="195">
        <v>0.001</v>
      </c>
      <c r="N1002" s="195">
        <v>3.0E-4</v>
      </c>
      <c r="O1002" s="195">
        <v>0.7432</v>
      </c>
      <c r="P1002" s="195">
        <v>0.0</v>
      </c>
      <c r="Q1002" s="179">
        <v>0.0</v>
      </c>
      <c r="R1002" s="179">
        <v>0.0</v>
      </c>
      <c r="S1002" s="195">
        <v>0.0</v>
      </c>
      <c r="T1002" s="195">
        <v>0.0</v>
      </c>
      <c r="U1002" s="179">
        <v>0.0</v>
      </c>
      <c r="V1002" s="179">
        <v>0.0</v>
      </c>
      <c r="W1002" s="179">
        <v>0.0</v>
      </c>
      <c r="X1002" s="179">
        <v>0.0</v>
      </c>
    </row>
    <row r="1003" ht="15.75" customHeight="1">
      <c r="A1003" s="65">
        <v>45658.0</v>
      </c>
      <c r="B1003" s="10" t="str">
        <f t="array" ref="B1003">_xlfn.XLOOKUP(D1003,'Referanc '!$A:$A,'Referanc '!$B:$B)</f>
        <v>Standing Table  - E3</v>
      </c>
      <c r="C1003" s="179" t="s">
        <v>344</v>
      </c>
      <c r="D1003" s="179" t="s">
        <v>344</v>
      </c>
      <c r="E1003" s="179" t="s">
        <v>1351</v>
      </c>
      <c r="F1003" s="179"/>
      <c r="G1003" s="179">
        <v>198.0</v>
      </c>
      <c r="H1003" s="179">
        <v>8.0</v>
      </c>
      <c r="I1003" s="195">
        <v>0.0033</v>
      </c>
      <c r="J1003" s="195">
        <v>0.0031</v>
      </c>
      <c r="K1003" s="179">
        <v>275.0</v>
      </c>
      <c r="L1003" s="179">
        <v>9.0</v>
      </c>
      <c r="M1003" s="195">
        <v>0.0033</v>
      </c>
      <c r="N1003" s="195">
        <v>0.0026</v>
      </c>
      <c r="O1003" s="195">
        <v>0.864</v>
      </c>
      <c r="P1003" s="195">
        <v>0.4</v>
      </c>
      <c r="Q1003" s="179">
        <v>0.0</v>
      </c>
      <c r="R1003" s="179">
        <v>0.0</v>
      </c>
      <c r="S1003" s="195">
        <v>0.0</v>
      </c>
      <c r="T1003" s="195">
        <v>0.0</v>
      </c>
      <c r="U1003" s="179">
        <v>0.0</v>
      </c>
      <c r="V1003" s="179">
        <v>0.0</v>
      </c>
      <c r="W1003" s="179">
        <v>0.0</v>
      </c>
      <c r="X1003" s="179">
        <v>0.0</v>
      </c>
    </row>
    <row r="1004" ht="15.75" customHeight="1">
      <c r="A1004" s="65">
        <v>45658.0</v>
      </c>
      <c r="B1004" s="10" t="str">
        <f t="array" ref="B1004">_xlfn.XLOOKUP(D1004,'Referanc '!$A:$A,'Referanc '!$B:$B)</f>
        <v>Standing Table  - E3</v>
      </c>
      <c r="C1004" s="179" t="s">
        <v>376</v>
      </c>
      <c r="D1004" s="179" t="s">
        <v>376</v>
      </c>
      <c r="E1004" s="179" t="s">
        <v>1157</v>
      </c>
      <c r="F1004" s="179"/>
      <c r="G1004" s="179">
        <v>129.0</v>
      </c>
      <c r="H1004" s="179">
        <v>9.0</v>
      </c>
      <c r="I1004" s="195">
        <v>0.0022</v>
      </c>
      <c r="J1004" s="195">
        <v>0.0035</v>
      </c>
      <c r="K1004" s="179">
        <v>164.0</v>
      </c>
      <c r="L1004" s="179">
        <v>11.0</v>
      </c>
      <c r="M1004" s="195">
        <v>0.002</v>
      </c>
      <c r="N1004" s="195">
        <v>0.0031</v>
      </c>
      <c r="O1004" s="195">
        <v>0.9388</v>
      </c>
      <c r="P1004" s="195">
        <v>1.0</v>
      </c>
      <c r="Q1004" s="179">
        <v>0.0</v>
      </c>
      <c r="R1004" s="179">
        <v>0.0</v>
      </c>
      <c r="S1004" s="195">
        <v>0.0</v>
      </c>
      <c r="T1004" s="195">
        <v>0.0</v>
      </c>
      <c r="U1004" s="179">
        <v>0.0</v>
      </c>
      <c r="V1004" s="179">
        <v>0.0</v>
      </c>
      <c r="W1004" s="179">
        <v>0.0</v>
      </c>
      <c r="X1004" s="179">
        <v>0.0</v>
      </c>
    </row>
    <row r="1005" ht="15.75" customHeight="1">
      <c r="A1005" s="65">
        <v>45658.0</v>
      </c>
      <c r="B1005" s="10" t="str">
        <f t="array" ref="B1005">_xlfn.XLOOKUP(D1005,'Referanc '!$A:$A,'Referanc '!$B:$B)</f>
        <v>Standing Table  - E3</v>
      </c>
      <c r="C1005" s="179" t="s">
        <v>366</v>
      </c>
      <c r="D1005" s="179" t="s">
        <v>366</v>
      </c>
      <c r="E1005" s="179" t="s">
        <v>1124</v>
      </c>
      <c r="F1005" s="179"/>
      <c r="G1005" s="179">
        <v>106.0</v>
      </c>
      <c r="H1005" s="179">
        <v>6.0</v>
      </c>
      <c r="I1005" s="195">
        <v>0.0018</v>
      </c>
      <c r="J1005" s="195">
        <v>0.0023</v>
      </c>
      <c r="K1005" s="179">
        <v>138.0</v>
      </c>
      <c r="L1005" s="179">
        <v>7.0</v>
      </c>
      <c r="M1005" s="195">
        <v>0.0017</v>
      </c>
      <c r="N1005" s="195">
        <v>0.002</v>
      </c>
      <c r="O1005" s="195">
        <v>0.95</v>
      </c>
      <c r="P1005" s="195">
        <v>0.75</v>
      </c>
      <c r="Q1005" s="179">
        <v>0.0</v>
      </c>
      <c r="R1005" s="179">
        <v>0.0</v>
      </c>
      <c r="S1005" s="195">
        <v>0.0</v>
      </c>
      <c r="T1005" s="195">
        <v>0.0</v>
      </c>
      <c r="U1005" s="179">
        <v>0.0</v>
      </c>
      <c r="V1005" s="179">
        <v>0.0</v>
      </c>
      <c r="W1005" s="179">
        <v>0.0</v>
      </c>
      <c r="X1005" s="179">
        <v>0.0</v>
      </c>
    </row>
    <row r="1006" ht="15.75" customHeight="1">
      <c r="A1006" s="65">
        <v>45658.0</v>
      </c>
      <c r="B1006" s="10" t="str">
        <f t="array" ref="B1006">_xlfn.XLOOKUP(D1006,'Referanc '!$A:$A,'Referanc '!$B:$B)</f>
        <v>Standing Table  - E1A</v>
      </c>
      <c r="C1006" s="179" t="s">
        <v>359</v>
      </c>
      <c r="D1006" s="179" t="s">
        <v>359</v>
      </c>
      <c r="E1006" s="179" t="s">
        <v>1366</v>
      </c>
      <c r="F1006" s="179"/>
      <c r="G1006" s="179">
        <v>266.0</v>
      </c>
      <c r="H1006" s="179">
        <v>17.0</v>
      </c>
      <c r="I1006" s="195">
        <v>0.0044</v>
      </c>
      <c r="J1006" s="195">
        <v>0.0066</v>
      </c>
      <c r="K1006" s="179">
        <v>375.0</v>
      </c>
      <c r="L1006" s="179">
        <v>35.0</v>
      </c>
      <c r="M1006" s="195">
        <v>0.0045</v>
      </c>
      <c r="N1006" s="195">
        <v>0.01</v>
      </c>
      <c r="O1006" s="195">
        <v>0.8966</v>
      </c>
      <c r="P1006" s="195">
        <v>1.0</v>
      </c>
      <c r="Q1006" s="179">
        <v>0.0</v>
      </c>
      <c r="R1006" s="179">
        <v>0.0</v>
      </c>
      <c r="S1006" s="195">
        <v>0.0</v>
      </c>
      <c r="T1006" s="195">
        <v>0.0</v>
      </c>
      <c r="U1006" s="179">
        <v>0.0</v>
      </c>
      <c r="V1006" s="179">
        <v>0.0</v>
      </c>
      <c r="W1006" s="179">
        <v>0.0</v>
      </c>
      <c r="X1006" s="179">
        <v>0.0</v>
      </c>
    </row>
    <row r="1007" ht="15.75" customHeight="1">
      <c r="A1007" s="65">
        <v>45658.0</v>
      </c>
      <c r="B1007" s="10" t="str">
        <f t="array" ref="B1007">_xlfn.XLOOKUP(D1007,'Referanc '!$A:$A,'Referanc '!$B:$B)</f>
        <v>Standing Table  - E1A</v>
      </c>
      <c r="C1007" s="179" t="s">
        <v>372</v>
      </c>
      <c r="D1007" s="179" t="s">
        <v>372</v>
      </c>
      <c r="E1007" s="179" t="s">
        <v>1354</v>
      </c>
      <c r="F1007" s="179"/>
      <c r="G1007" s="179">
        <v>50.0</v>
      </c>
      <c r="H1007" s="179">
        <v>4.0</v>
      </c>
      <c r="I1007" s="195">
        <v>8.0E-4</v>
      </c>
      <c r="J1007" s="195">
        <v>0.0016</v>
      </c>
      <c r="K1007" s="179">
        <v>81.0</v>
      </c>
      <c r="L1007" s="179">
        <v>5.0</v>
      </c>
      <c r="M1007" s="195">
        <v>0.001</v>
      </c>
      <c r="N1007" s="195">
        <v>0.0014</v>
      </c>
      <c r="O1007" s="195">
        <v>0.8933</v>
      </c>
      <c r="P1007" s="195">
        <v>1.0</v>
      </c>
      <c r="Q1007" s="179">
        <v>0.0</v>
      </c>
      <c r="R1007" s="179">
        <v>0.0</v>
      </c>
      <c r="S1007" s="195">
        <v>0.0</v>
      </c>
      <c r="T1007" s="195">
        <v>0.0</v>
      </c>
      <c r="U1007" s="179">
        <v>0.0</v>
      </c>
      <c r="V1007" s="179">
        <v>0.0</v>
      </c>
      <c r="W1007" s="179">
        <v>0.0</v>
      </c>
      <c r="X1007" s="179">
        <v>0.0</v>
      </c>
    </row>
    <row r="1008" ht="15.75" customHeight="1">
      <c r="A1008" s="65">
        <v>45658.0</v>
      </c>
      <c r="B1008" s="10" t="str">
        <f t="array" ref="B1008">_xlfn.XLOOKUP(D1008,'Referanc '!$A:$A,'Referanc '!$B:$B)</f>
        <v>Standing Table  - E1A</v>
      </c>
      <c r="C1008" s="179" t="s">
        <v>378</v>
      </c>
      <c r="D1008" s="179" t="s">
        <v>378</v>
      </c>
      <c r="E1008" s="179" t="s">
        <v>1367</v>
      </c>
      <c r="F1008" s="179"/>
      <c r="G1008" s="179">
        <v>91.0</v>
      </c>
      <c r="H1008" s="179">
        <v>6.0</v>
      </c>
      <c r="I1008" s="195">
        <v>0.0015</v>
      </c>
      <c r="J1008" s="195">
        <v>0.0023</v>
      </c>
      <c r="K1008" s="179">
        <v>112.0</v>
      </c>
      <c r="L1008" s="179">
        <v>8.0</v>
      </c>
      <c r="M1008" s="195">
        <v>0.0014</v>
      </c>
      <c r="N1008" s="195">
        <v>0.0023</v>
      </c>
      <c r="O1008" s="195">
        <v>0.8614</v>
      </c>
      <c r="P1008" s="195">
        <v>0.5</v>
      </c>
      <c r="Q1008" s="179">
        <v>0.0</v>
      </c>
      <c r="R1008" s="179">
        <v>0.0</v>
      </c>
      <c r="S1008" s="195">
        <v>0.0</v>
      </c>
      <c r="T1008" s="195">
        <v>0.0</v>
      </c>
      <c r="U1008" s="179">
        <v>0.0</v>
      </c>
      <c r="V1008" s="179">
        <v>0.0</v>
      </c>
      <c r="W1008" s="179">
        <v>0.0</v>
      </c>
      <c r="X1008" s="179">
        <v>0.0</v>
      </c>
    </row>
    <row r="1009" ht="15.75" customHeight="1">
      <c r="A1009" s="65">
        <v>45658.0</v>
      </c>
      <c r="B1009" s="10" t="str">
        <f t="array" ref="B1009">_xlfn.XLOOKUP(D1009,'Referanc '!$A:$A,'Referanc '!$B:$B)</f>
        <v>Standing Table  - E1A</v>
      </c>
      <c r="C1009" s="179" t="s">
        <v>384</v>
      </c>
      <c r="D1009" s="179" t="s">
        <v>384</v>
      </c>
      <c r="E1009" s="179" t="s">
        <v>1302</v>
      </c>
      <c r="F1009" s="179"/>
      <c r="G1009" s="179">
        <v>97.0</v>
      </c>
      <c r="H1009" s="179">
        <v>2.0</v>
      </c>
      <c r="I1009" s="195">
        <v>0.0016</v>
      </c>
      <c r="J1009" s="195">
        <v>8.0E-4</v>
      </c>
      <c r="K1009" s="179">
        <v>130.0</v>
      </c>
      <c r="L1009" s="179">
        <v>2.0</v>
      </c>
      <c r="M1009" s="195">
        <v>0.0016</v>
      </c>
      <c r="N1009" s="195">
        <v>6.0E-4</v>
      </c>
      <c r="O1009" s="195">
        <v>0.8929</v>
      </c>
      <c r="P1009" s="195">
        <v>0.0</v>
      </c>
      <c r="Q1009" s="179">
        <v>0.0</v>
      </c>
      <c r="R1009" s="179">
        <v>0.0</v>
      </c>
      <c r="S1009" s="195">
        <v>0.0</v>
      </c>
      <c r="T1009" s="195">
        <v>0.0</v>
      </c>
      <c r="U1009" s="179">
        <v>0.0</v>
      </c>
      <c r="V1009" s="179">
        <v>0.0</v>
      </c>
      <c r="W1009" s="179">
        <v>0.0</v>
      </c>
      <c r="X1009" s="179">
        <v>0.0</v>
      </c>
    </row>
    <row r="1010" ht="15.75" customHeight="1">
      <c r="A1010" s="65">
        <v>45658.0</v>
      </c>
      <c r="B1010" s="10" t="str">
        <f t="array" ref="B1010">_xlfn.XLOOKUP(D1010,'Referanc '!$A:$A,'Referanc '!$B:$B)</f>
        <v>Standing Table - All Frames</v>
      </c>
      <c r="C1010" s="179" t="s">
        <v>399</v>
      </c>
      <c r="D1010" s="179" t="s">
        <v>399</v>
      </c>
      <c r="E1010" s="179" t="s">
        <v>1303</v>
      </c>
      <c r="F1010" s="179"/>
      <c r="G1010" s="179">
        <v>192.0</v>
      </c>
      <c r="H1010" s="179">
        <v>7.0</v>
      </c>
      <c r="I1010" s="195">
        <v>0.0032</v>
      </c>
      <c r="J1010" s="195">
        <v>0.0027</v>
      </c>
      <c r="K1010" s="179">
        <v>263.0</v>
      </c>
      <c r="L1010" s="179">
        <v>8.0</v>
      </c>
      <c r="M1010" s="195">
        <v>0.0032</v>
      </c>
      <c r="N1010" s="195">
        <v>0.0023</v>
      </c>
      <c r="O1010" s="195">
        <v>0.8442</v>
      </c>
      <c r="P1010" s="195">
        <v>0.3333</v>
      </c>
      <c r="Q1010" s="179">
        <v>0.0</v>
      </c>
      <c r="R1010" s="179">
        <v>0.0</v>
      </c>
      <c r="S1010" s="195">
        <v>0.0</v>
      </c>
      <c r="T1010" s="195">
        <v>0.0</v>
      </c>
      <c r="U1010" s="179">
        <v>0.0</v>
      </c>
      <c r="V1010" s="179">
        <v>0.0</v>
      </c>
      <c r="W1010" s="179">
        <v>0.0</v>
      </c>
      <c r="X1010" s="179">
        <v>0.0</v>
      </c>
    </row>
    <row r="1011" ht="15.75" customHeight="1">
      <c r="A1011" s="65">
        <v>45658.0</v>
      </c>
      <c r="B1011" s="10" t="str">
        <f t="array" ref="B1011">_xlfn.XLOOKUP(D1011,'Referanc '!$A:$A,'Referanc '!$B:$B)</f>
        <v>Standing Table  - E1A</v>
      </c>
      <c r="C1011" s="179" t="s">
        <v>385</v>
      </c>
      <c r="D1011" s="179" t="s">
        <v>385</v>
      </c>
      <c r="E1011" s="179" t="s">
        <v>1345</v>
      </c>
      <c r="F1011" s="179"/>
      <c r="G1011" s="179">
        <v>359.0</v>
      </c>
      <c r="H1011" s="179">
        <v>14.0</v>
      </c>
      <c r="I1011" s="195">
        <v>0.006</v>
      </c>
      <c r="J1011" s="195">
        <v>0.0054</v>
      </c>
      <c r="K1011" s="179">
        <v>415.0</v>
      </c>
      <c r="L1011" s="179">
        <v>17.0</v>
      </c>
      <c r="M1011" s="195">
        <v>0.005</v>
      </c>
      <c r="N1011" s="195">
        <v>0.0049</v>
      </c>
      <c r="O1011" s="195">
        <v>0.7876</v>
      </c>
      <c r="P1011" s="195">
        <v>0.7143</v>
      </c>
      <c r="Q1011" s="179">
        <v>0.0</v>
      </c>
      <c r="R1011" s="179">
        <v>0.0</v>
      </c>
      <c r="S1011" s="195">
        <v>0.0</v>
      </c>
      <c r="T1011" s="195">
        <v>0.0</v>
      </c>
      <c r="U1011" s="179">
        <v>0.0</v>
      </c>
      <c r="V1011" s="179">
        <v>0.0</v>
      </c>
      <c r="W1011" s="179">
        <v>0.0</v>
      </c>
      <c r="X1011" s="179">
        <v>0.0</v>
      </c>
    </row>
    <row r="1012" ht="15.75" customHeight="1">
      <c r="A1012" s="65">
        <v>45658.0</v>
      </c>
      <c r="B1012" s="10" t="str">
        <f t="array" ref="B1012">_xlfn.XLOOKUP(D1012,'Referanc '!$A:$A,'Referanc '!$B:$B)</f>
        <v>Extension &amp; Holder</v>
      </c>
      <c r="C1012" s="179" t="s">
        <v>340</v>
      </c>
      <c r="D1012" s="179" t="s">
        <v>340</v>
      </c>
      <c r="E1012" s="179" t="s">
        <v>698</v>
      </c>
      <c r="F1012" s="179"/>
      <c r="G1012" s="179">
        <v>55.0</v>
      </c>
      <c r="H1012" s="179">
        <v>2.0</v>
      </c>
      <c r="I1012" s="195">
        <v>9.0E-4</v>
      </c>
      <c r="J1012" s="195">
        <v>8.0E-4</v>
      </c>
      <c r="K1012" s="179">
        <v>72.0</v>
      </c>
      <c r="L1012" s="179">
        <v>3.0</v>
      </c>
      <c r="M1012" s="195">
        <v>9.0E-4</v>
      </c>
      <c r="N1012" s="195">
        <v>9.0E-4</v>
      </c>
      <c r="O1012" s="195">
        <v>0.9394</v>
      </c>
      <c r="P1012" s="195">
        <v>0.0</v>
      </c>
      <c r="Q1012" s="179">
        <v>0.0</v>
      </c>
      <c r="R1012" s="179">
        <v>0.0</v>
      </c>
      <c r="S1012" s="195">
        <v>0.0</v>
      </c>
      <c r="T1012" s="195">
        <v>0.0</v>
      </c>
      <c r="U1012" s="179">
        <v>0.0</v>
      </c>
      <c r="V1012" s="179">
        <v>0.0</v>
      </c>
      <c r="W1012" s="179">
        <v>0.0</v>
      </c>
      <c r="X1012" s="179">
        <v>0.0</v>
      </c>
    </row>
    <row r="1013" ht="15.75" customHeight="1">
      <c r="A1013" s="65">
        <v>45658.0</v>
      </c>
      <c r="B1013" s="10" t="str">
        <f t="array" ref="B1013">_xlfn.XLOOKUP(D1013,'Referanc '!$A:$A,'Referanc '!$B:$B)</f>
        <v>TABLE TOP</v>
      </c>
      <c r="C1013" s="179" t="s">
        <v>425</v>
      </c>
      <c r="D1013" s="179" t="s">
        <v>425</v>
      </c>
      <c r="E1013" s="179" t="s">
        <v>1355</v>
      </c>
      <c r="F1013" s="179"/>
      <c r="G1013" s="179">
        <v>133.0</v>
      </c>
      <c r="H1013" s="179">
        <v>3.0</v>
      </c>
      <c r="I1013" s="195">
        <v>0.0022</v>
      </c>
      <c r="J1013" s="195">
        <v>0.0012</v>
      </c>
      <c r="K1013" s="179">
        <v>154.0</v>
      </c>
      <c r="L1013" s="179">
        <v>3.0</v>
      </c>
      <c r="M1013" s="195">
        <v>0.0019</v>
      </c>
      <c r="N1013" s="195">
        <v>9.0E-4</v>
      </c>
      <c r="O1013" s="195">
        <v>0.6597</v>
      </c>
      <c r="P1013" s="195">
        <v>0.0</v>
      </c>
      <c r="Q1013" s="179">
        <v>0.0</v>
      </c>
      <c r="R1013" s="179">
        <v>0.0</v>
      </c>
      <c r="S1013" s="195">
        <v>0.0</v>
      </c>
      <c r="T1013" s="195">
        <v>0.0</v>
      </c>
      <c r="U1013" s="179">
        <v>0.0</v>
      </c>
      <c r="V1013" s="179">
        <v>0.0</v>
      </c>
      <c r="W1013" s="179">
        <v>0.0</v>
      </c>
      <c r="X1013" s="179">
        <v>0.0</v>
      </c>
    </row>
    <row r="1014" ht="15.75" customHeight="1">
      <c r="A1014" s="65">
        <v>45658.0</v>
      </c>
      <c r="B1014" s="10" t="str">
        <f t="array" ref="B1014">_xlfn.XLOOKUP(D1014,'Referanc '!$A:$A,'Referanc '!$B:$B)</f>
        <v>Standing Table  - M14</v>
      </c>
      <c r="C1014" s="179" t="s">
        <v>433</v>
      </c>
      <c r="D1014" s="179" t="s">
        <v>433</v>
      </c>
      <c r="E1014" s="179" t="s">
        <v>723</v>
      </c>
      <c r="F1014" s="179"/>
      <c r="G1014" s="179">
        <v>68.0</v>
      </c>
      <c r="H1014" s="179">
        <v>3.0</v>
      </c>
      <c r="I1014" s="195">
        <v>0.0011</v>
      </c>
      <c r="J1014" s="195">
        <v>0.0012</v>
      </c>
      <c r="K1014" s="179">
        <v>77.0</v>
      </c>
      <c r="L1014" s="179">
        <v>3.0</v>
      </c>
      <c r="M1014" s="195">
        <v>9.0E-4</v>
      </c>
      <c r="N1014" s="195">
        <v>9.0E-4</v>
      </c>
      <c r="O1014" s="195">
        <v>0.9063</v>
      </c>
      <c r="P1014" s="195">
        <v>1.0</v>
      </c>
      <c r="Q1014" s="179">
        <v>0.0</v>
      </c>
      <c r="R1014" s="179">
        <v>0.0</v>
      </c>
      <c r="S1014" s="195">
        <v>0.0</v>
      </c>
      <c r="T1014" s="195">
        <v>0.0</v>
      </c>
      <c r="U1014" s="179">
        <v>0.0</v>
      </c>
      <c r="V1014" s="179">
        <v>0.0</v>
      </c>
      <c r="W1014" s="179">
        <v>0.0</v>
      </c>
      <c r="X1014" s="179">
        <v>0.0</v>
      </c>
    </row>
    <row r="1015" ht="15.75" customHeight="1">
      <c r="A1015" s="65">
        <v>45658.0</v>
      </c>
      <c r="B1015" s="10" t="str">
        <f t="array" ref="B1015">_xlfn.XLOOKUP(D1015,'Referanc '!$A:$A,'Referanc '!$B:$B)</f>
        <v>Standing Table  - M14</v>
      </c>
      <c r="C1015" s="179" t="s">
        <v>439</v>
      </c>
      <c r="D1015" s="179" t="s">
        <v>439</v>
      </c>
      <c r="E1015" s="179" t="s">
        <v>728</v>
      </c>
      <c r="F1015" s="179"/>
      <c r="G1015" s="179">
        <v>76.0</v>
      </c>
      <c r="H1015" s="179">
        <v>5.0</v>
      </c>
      <c r="I1015" s="195">
        <v>0.0013</v>
      </c>
      <c r="J1015" s="195">
        <v>0.0019</v>
      </c>
      <c r="K1015" s="179">
        <v>94.0</v>
      </c>
      <c r="L1015" s="179">
        <v>6.0</v>
      </c>
      <c r="M1015" s="195">
        <v>0.0011</v>
      </c>
      <c r="N1015" s="195">
        <v>0.0017</v>
      </c>
      <c r="O1015" s="195">
        <v>0.8916</v>
      </c>
      <c r="P1015" s="195">
        <v>1.0</v>
      </c>
      <c r="Q1015" s="179">
        <v>0.0</v>
      </c>
      <c r="R1015" s="179">
        <v>0.0</v>
      </c>
      <c r="S1015" s="195">
        <v>0.0</v>
      </c>
      <c r="T1015" s="195">
        <v>0.0</v>
      </c>
      <c r="U1015" s="179">
        <v>0.0</v>
      </c>
      <c r="V1015" s="179">
        <v>0.0</v>
      </c>
      <c r="W1015" s="179">
        <v>0.0</v>
      </c>
      <c r="X1015" s="179">
        <v>0.0</v>
      </c>
    </row>
    <row r="1016" ht="15.75" customHeight="1">
      <c r="A1016" s="65">
        <v>45658.0</v>
      </c>
      <c r="B1016" s="10" t="str">
        <f t="array" ref="B1016">_xlfn.XLOOKUP(D1016,'Referanc '!$A:$A,'Referanc '!$B:$B)</f>
        <v>Standing Table  - M14</v>
      </c>
      <c r="C1016" s="179" t="s">
        <v>441</v>
      </c>
      <c r="D1016" s="179" t="s">
        <v>441</v>
      </c>
      <c r="E1016" s="179" t="s">
        <v>730</v>
      </c>
      <c r="F1016" s="179"/>
      <c r="G1016" s="179">
        <v>161.0</v>
      </c>
      <c r="H1016" s="179">
        <v>6.0</v>
      </c>
      <c r="I1016" s="195">
        <v>0.0027</v>
      </c>
      <c r="J1016" s="195">
        <v>0.0023</v>
      </c>
      <c r="K1016" s="179">
        <v>223.0</v>
      </c>
      <c r="L1016" s="179">
        <v>7.0</v>
      </c>
      <c r="M1016" s="195">
        <v>0.0027</v>
      </c>
      <c r="N1016" s="195">
        <v>0.002</v>
      </c>
      <c r="O1016" s="195">
        <v>0.9557</v>
      </c>
      <c r="P1016" s="195">
        <v>1.0</v>
      </c>
      <c r="Q1016" s="179">
        <v>0.0</v>
      </c>
      <c r="R1016" s="179">
        <v>0.0</v>
      </c>
      <c r="S1016" s="195">
        <v>0.0</v>
      </c>
      <c r="T1016" s="195">
        <v>0.0</v>
      </c>
      <c r="U1016" s="179">
        <v>0.0</v>
      </c>
      <c r="V1016" s="179">
        <v>0.0</v>
      </c>
      <c r="W1016" s="179">
        <v>0.0</v>
      </c>
      <c r="X1016" s="179">
        <v>0.0</v>
      </c>
    </row>
    <row r="1017" ht="15.75" customHeight="1">
      <c r="A1017" s="65">
        <v>45689.0</v>
      </c>
      <c r="B1017" s="10" t="str">
        <f t="array" ref="B1017">_xlfn.XLOOKUP(D1017,'Referanc '!$A:$A,'Referanc '!$B:$B)</f>
        <v>Desk Cable Tray</v>
      </c>
      <c r="C1017" s="179" t="s">
        <v>325</v>
      </c>
      <c r="D1017" s="179" t="s">
        <v>325</v>
      </c>
      <c r="E1017" s="179" t="s">
        <v>1372</v>
      </c>
      <c r="G1017" s="207">
        <v>10892.0</v>
      </c>
      <c r="H1017" s="179">
        <v>519.0</v>
      </c>
      <c r="I1017" s="195">
        <v>0.1838</v>
      </c>
      <c r="J1017" s="195">
        <v>0.1927</v>
      </c>
      <c r="K1017" s="207">
        <v>15078.0</v>
      </c>
      <c r="L1017" s="179">
        <v>704.0</v>
      </c>
      <c r="M1017" s="195">
        <v>0.1867</v>
      </c>
      <c r="N1017" s="195">
        <v>0.1938</v>
      </c>
      <c r="O1017" s="195">
        <v>0.9702</v>
      </c>
      <c r="P1017" s="195">
        <v>0.9581</v>
      </c>
      <c r="Q1017" s="179">
        <v>138.0</v>
      </c>
      <c r="R1017" s="179">
        <v>8.0</v>
      </c>
      <c r="S1017" s="195">
        <v>0.0127</v>
      </c>
      <c r="T1017" s="195">
        <v>0.0154</v>
      </c>
      <c r="U1017" s="179">
        <v>310895.0</v>
      </c>
      <c r="V1017" s="179">
        <v>18796.0</v>
      </c>
      <c r="W1017" s="179">
        <v>136.0</v>
      </c>
      <c r="X1017" s="179">
        <v>8.0</v>
      </c>
    </row>
    <row r="1018" ht="15.75" customHeight="1">
      <c r="A1018" s="65">
        <v>45689.0</v>
      </c>
      <c r="B1018" s="10" t="str">
        <f t="array" ref="B1018">_xlfn.XLOOKUP(D1018,'Referanc '!$A:$A,'Referanc '!$B:$B)</f>
        <v>Monitor Arm Stand</v>
      </c>
      <c r="C1018" s="179" t="s">
        <v>353</v>
      </c>
      <c r="D1018" s="179" t="s">
        <v>353</v>
      </c>
      <c r="E1018" s="179" t="s">
        <v>691</v>
      </c>
      <c r="G1018" s="207">
        <v>5274.0</v>
      </c>
      <c r="H1018" s="179">
        <v>272.0</v>
      </c>
      <c r="I1018" s="195">
        <v>0.089</v>
      </c>
      <c r="J1018" s="195">
        <v>0.101</v>
      </c>
      <c r="K1018" s="207">
        <v>8380.0</v>
      </c>
      <c r="L1018" s="179">
        <v>456.0</v>
      </c>
      <c r="M1018" s="195">
        <v>0.1038</v>
      </c>
      <c r="N1018" s="195">
        <v>0.1255</v>
      </c>
      <c r="O1018" s="195">
        <v>0.9475</v>
      </c>
      <c r="P1018" s="195">
        <v>0.8893</v>
      </c>
      <c r="Q1018" s="179">
        <v>88.0</v>
      </c>
      <c r="R1018" s="179">
        <v>15.0</v>
      </c>
      <c r="S1018" s="195">
        <v>0.0167</v>
      </c>
      <c r="T1018" s="195">
        <v>0.0551</v>
      </c>
      <c r="U1018" s="179">
        <v>265422.0</v>
      </c>
      <c r="V1018" s="179">
        <v>45987.0</v>
      </c>
      <c r="W1018" s="179">
        <v>82.0</v>
      </c>
      <c r="X1018" s="179">
        <v>13.0</v>
      </c>
    </row>
    <row r="1019" ht="15.75" customHeight="1">
      <c r="A1019" s="65">
        <v>45689.0</v>
      </c>
      <c r="B1019" s="10" t="str">
        <f t="array" ref="B1019">_xlfn.XLOOKUP(D1019,'Referanc '!$A:$A,'Referanc '!$B:$B)</f>
        <v>Desk Cable Tray</v>
      </c>
      <c r="C1019" s="179" t="s">
        <v>444</v>
      </c>
      <c r="D1019" s="179" t="s">
        <v>444</v>
      </c>
      <c r="E1019" s="179" t="s">
        <v>734</v>
      </c>
      <c r="G1019" s="207">
        <v>2172.0</v>
      </c>
      <c r="H1019" s="179">
        <v>111.0</v>
      </c>
      <c r="I1019" s="195">
        <v>0.0366</v>
      </c>
      <c r="J1019" s="195">
        <v>0.0412</v>
      </c>
      <c r="K1019" s="207">
        <v>2797.0</v>
      </c>
      <c r="L1019" s="179">
        <v>143.0</v>
      </c>
      <c r="M1019" s="195">
        <v>0.0346</v>
      </c>
      <c r="N1019" s="195">
        <v>0.0394</v>
      </c>
      <c r="O1019" s="195">
        <v>0.982</v>
      </c>
      <c r="P1019" s="195">
        <v>0.9759</v>
      </c>
      <c r="Q1019" s="179">
        <v>34.0</v>
      </c>
      <c r="R1019" s="179">
        <v>5.0</v>
      </c>
      <c r="S1019" s="195">
        <v>0.0157</v>
      </c>
      <c r="T1019" s="195">
        <v>0.045</v>
      </c>
      <c r="U1019" s="179">
        <v>57766.0</v>
      </c>
      <c r="V1019" s="179">
        <v>8495.0</v>
      </c>
      <c r="W1019" s="179">
        <v>32.0</v>
      </c>
      <c r="X1019" s="179">
        <v>5.0</v>
      </c>
    </row>
    <row r="1020" ht="15.75" customHeight="1">
      <c r="A1020" s="65">
        <v>45689.0</v>
      </c>
      <c r="B1020" s="10" t="str">
        <f t="array" ref="B1020">_xlfn.XLOOKUP(D1020,'Referanc '!$A:$A,'Referanc '!$B:$B)</f>
        <v>Desk Cable Tray</v>
      </c>
      <c r="C1020" s="179" t="s">
        <v>329</v>
      </c>
      <c r="D1020" s="179" t="s">
        <v>329</v>
      </c>
      <c r="E1020" s="179" t="s">
        <v>721</v>
      </c>
      <c r="G1020" s="207">
        <v>2329.0</v>
      </c>
      <c r="H1020" s="179">
        <v>124.0</v>
      </c>
      <c r="I1020" s="195">
        <v>0.0393</v>
      </c>
      <c r="J1020" s="195">
        <v>0.046</v>
      </c>
      <c r="K1020" s="207">
        <v>3248.0</v>
      </c>
      <c r="L1020" s="179">
        <v>174.0</v>
      </c>
      <c r="M1020" s="195">
        <v>0.0402</v>
      </c>
      <c r="N1020" s="195">
        <v>0.0479</v>
      </c>
      <c r="O1020" s="195">
        <v>0.9996</v>
      </c>
      <c r="P1020" s="195">
        <v>1.0</v>
      </c>
      <c r="Q1020" s="179">
        <v>31.0</v>
      </c>
      <c r="R1020" s="179">
        <v>4.0</v>
      </c>
      <c r="S1020" s="195">
        <v>0.0133</v>
      </c>
      <c r="T1020" s="195">
        <v>0.0323</v>
      </c>
      <c r="U1020" s="179">
        <v>41943.0</v>
      </c>
      <c r="V1020" s="179">
        <v>5412.0</v>
      </c>
      <c r="W1020" s="179">
        <v>29.0</v>
      </c>
      <c r="X1020" s="179">
        <v>4.0</v>
      </c>
    </row>
    <row r="1021" ht="15.75" customHeight="1">
      <c r="A1021" s="65">
        <v>45689.0</v>
      </c>
      <c r="B1021" s="10" t="str">
        <f t="array" ref="B1021">_xlfn.XLOOKUP(D1021,'Referanc '!$A:$A,'Referanc '!$B:$B)</f>
        <v>Extension &amp; Holder</v>
      </c>
      <c r="C1021" s="179" t="s">
        <v>307</v>
      </c>
      <c r="D1021" s="179" t="s">
        <v>307</v>
      </c>
      <c r="E1021" s="179" t="s">
        <v>1370</v>
      </c>
      <c r="G1021" s="207">
        <v>1525.0</v>
      </c>
      <c r="H1021" s="179">
        <v>91.0</v>
      </c>
      <c r="I1021" s="195">
        <v>0.0257</v>
      </c>
      <c r="J1021" s="195">
        <v>0.0338</v>
      </c>
      <c r="K1021" s="207">
        <v>1939.0</v>
      </c>
      <c r="L1021" s="179">
        <v>122.0</v>
      </c>
      <c r="M1021" s="195">
        <v>0.024</v>
      </c>
      <c r="N1021" s="195">
        <v>0.0336</v>
      </c>
      <c r="O1021" s="195">
        <v>0.9994</v>
      </c>
      <c r="P1021" s="195">
        <v>1.0</v>
      </c>
      <c r="Q1021" s="179">
        <v>21.0</v>
      </c>
      <c r="R1021" s="179">
        <v>2.0</v>
      </c>
      <c r="S1021" s="195">
        <v>0.0138</v>
      </c>
      <c r="T1021" s="195">
        <v>0.022</v>
      </c>
      <c r="U1021" s="179">
        <v>23979.0</v>
      </c>
      <c r="V1021" s="179">
        <v>2498.0</v>
      </c>
      <c r="W1021" s="179">
        <v>20.0</v>
      </c>
      <c r="X1021" s="179">
        <v>2.0</v>
      </c>
    </row>
    <row r="1022" ht="15.75" customHeight="1">
      <c r="A1022" s="65">
        <v>45689.0</v>
      </c>
      <c r="B1022" s="10" t="str">
        <f t="array" ref="B1022">_xlfn.XLOOKUP(D1022,'Referanc '!$A:$A,'Referanc '!$B:$B)</f>
        <v>Cup and Headphone Holder</v>
      </c>
      <c r="C1022" s="179" t="s">
        <v>322</v>
      </c>
      <c r="D1022" s="179" t="s">
        <v>322</v>
      </c>
      <c r="E1022" s="179" t="s">
        <v>722</v>
      </c>
      <c r="G1022" s="179">
        <v>567.0</v>
      </c>
      <c r="H1022" s="179">
        <v>34.0</v>
      </c>
      <c r="I1022" s="195">
        <v>0.0096</v>
      </c>
      <c r="J1022" s="195">
        <v>0.0126</v>
      </c>
      <c r="K1022" s="179">
        <v>776.0</v>
      </c>
      <c r="L1022" s="179">
        <v>40.0</v>
      </c>
      <c r="M1022" s="195">
        <v>0.0096</v>
      </c>
      <c r="N1022" s="195">
        <v>0.011</v>
      </c>
      <c r="O1022" s="195">
        <v>1.0</v>
      </c>
      <c r="P1022" s="195">
        <v>1.0</v>
      </c>
      <c r="Q1022" s="179">
        <v>17.0</v>
      </c>
      <c r="R1022" s="179">
        <v>0.0</v>
      </c>
      <c r="S1022" s="195">
        <v>0.03</v>
      </c>
      <c r="T1022" s="195">
        <v>0.0</v>
      </c>
      <c r="U1022" s="179">
        <v>8483.0</v>
      </c>
      <c r="V1022" s="179">
        <v>0.0</v>
      </c>
      <c r="W1022" s="179">
        <v>16.0</v>
      </c>
      <c r="X1022" s="179">
        <v>0.0</v>
      </c>
    </row>
    <row r="1023" ht="15.75" customHeight="1">
      <c r="A1023" s="65">
        <v>45689.0</v>
      </c>
      <c r="B1023" s="10" t="str">
        <f t="array" ref="B1023">_xlfn.XLOOKUP(D1023,'Referanc '!$A:$A,'Referanc '!$B:$B)</f>
        <v>Standing Table - All Frames</v>
      </c>
      <c r="C1023" s="179" t="s">
        <v>298</v>
      </c>
      <c r="D1023" s="179" t="s">
        <v>298</v>
      </c>
      <c r="E1023" s="179" t="s">
        <v>1168</v>
      </c>
      <c r="G1023" s="207">
        <v>1630.0</v>
      </c>
      <c r="H1023" s="179">
        <v>96.0</v>
      </c>
      <c r="I1023" s="195">
        <v>0.0275</v>
      </c>
      <c r="J1023" s="195">
        <v>0.0356</v>
      </c>
      <c r="K1023" s="207">
        <v>2186.0</v>
      </c>
      <c r="L1023" s="179">
        <v>131.0</v>
      </c>
      <c r="M1023" s="195">
        <v>0.0271</v>
      </c>
      <c r="N1023" s="195">
        <v>0.0361</v>
      </c>
      <c r="O1023" s="195">
        <v>0.8223</v>
      </c>
      <c r="P1023" s="195">
        <v>0.8533</v>
      </c>
      <c r="Q1023" s="179">
        <v>15.0</v>
      </c>
      <c r="R1023" s="179">
        <v>2.0</v>
      </c>
      <c r="S1023" s="195">
        <v>0.0092</v>
      </c>
      <c r="T1023" s="195">
        <v>0.0208</v>
      </c>
      <c r="U1023" s="179">
        <v>262718.6</v>
      </c>
      <c r="V1023" s="179">
        <v>34043.72</v>
      </c>
      <c r="W1023" s="179">
        <v>14.0</v>
      </c>
      <c r="X1023" s="179">
        <v>2.0</v>
      </c>
    </row>
    <row r="1024" ht="15.75" customHeight="1">
      <c r="A1024" s="65">
        <v>45689.0</v>
      </c>
      <c r="B1024" s="10" t="str">
        <f t="array" ref="B1024">_xlfn.XLOOKUP(D1024,'Referanc '!$A:$A,'Referanc '!$B:$B)</f>
        <v>Monitor Arm Stand</v>
      </c>
      <c r="C1024" s="179" t="s">
        <v>355</v>
      </c>
      <c r="D1024" s="179" t="s">
        <v>355</v>
      </c>
      <c r="E1024" s="179" t="s">
        <v>1150</v>
      </c>
      <c r="G1024" s="207">
        <v>2121.0</v>
      </c>
      <c r="H1024" s="179">
        <v>115.0</v>
      </c>
      <c r="I1024" s="195">
        <v>0.0358</v>
      </c>
      <c r="J1024" s="195">
        <v>0.0427</v>
      </c>
      <c r="K1024" s="207">
        <v>2732.0</v>
      </c>
      <c r="L1024" s="179">
        <v>150.0</v>
      </c>
      <c r="M1024" s="195">
        <v>0.0338</v>
      </c>
      <c r="N1024" s="195">
        <v>0.0413</v>
      </c>
      <c r="O1024" s="195">
        <v>0.9991</v>
      </c>
      <c r="P1024" s="195">
        <v>1.0</v>
      </c>
      <c r="Q1024" s="179">
        <v>12.0</v>
      </c>
      <c r="R1024" s="179">
        <v>1.0</v>
      </c>
      <c r="S1024" s="195">
        <v>0.0057</v>
      </c>
      <c r="T1024" s="195">
        <v>0.0087</v>
      </c>
      <c r="U1024" s="179">
        <v>67870.0</v>
      </c>
      <c r="V1024" s="179">
        <v>6170.0</v>
      </c>
      <c r="W1024" s="179">
        <v>12.0</v>
      </c>
      <c r="X1024" s="179">
        <v>1.0</v>
      </c>
    </row>
    <row r="1025" ht="15.75" customHeight="1">
      <c r="A1025" s="65">
        <v>45689.0</v>
      </c>
      <c r="B1025" s="10" t="str">
        <f t="array" ref="B1025">_xlfn.XLOOKUP(D1025,'Referanc '!$A:$A,'Referanc '!$B:$B)</f>
        <v>Standing Table  - SM3</v>
      </c>
      <c r="C1025" s="179" t="s">
        <v>291</v>
      </c>
      <c r="D1025" s="179" t="s">
        <v>291</v>
      </c>
      <c r="E1025" s="179" t="s">
        <v>1373</v>
      </c>
      <c r="G1025" s="207">
        <v>4198.0</v>
      </c>
      <c r="H1025" s="179">
        <v>156.0</v>
      </c>
      <c r="I1025" s="195">
        <v>0.0708</v>
      </c>
      <c r="J1025" s="195">
        <v>0.0579</v>
      </c>
      <c r="K1025" s="207">
        <v>5580.0</v>
      </c>
      <c r="L1025" s="179">
        <v>190.0</v>
      </c>
      <c r="M1025" s="195">
        <v>0.0691</v>
      </c>
      <c r="N1025" s="195">
        <v>0.0523</v>
      </c>
      <c r="O1025" s="195">
        <v>0.7653</v>
      </c>
      <c r="P1025" s="195">
        <v>0.8145</v>
      </c>
      <c r="Q1025" s="179">
        <v>11.0</v>
      </c>
      <c r="R1025" s="179">
        <v>1.0</v>
      </c>
      <c r="S1025" s="195">
        <v>0.0026</v>
      </c>
      <c r="T1025" s="195">
        <v>0.0064</v>
      </c>
      <c r="U1025" s="179">
        <v>228381.2</v>
      </c>
      <c r="V1025" s="179">
        <v>20510.0</v>
      </c>
      <c r="W1025" s="179">
        <v>11.0</v>
      </c>
      <c r="X1025" s="179">
        <v>1.0</v>
      </c>
    </row>
    <row r="1026" ht="15.75" customHeight="1">
      <c r="A1026" s="65">
        <v>45689.0</v>
      </c>
      <c r="B1026" s="10" t="str">
        <f t="array" ref="B1026">_xlfn.XLOOKUP(D1026,'Referanc '!$A:$A,'Referanc '!$B:$B)</f>
        <v>Standing Table  - SM3</v>
      </c>
      <c r="C1026" s="179" t="s">
        <v>304</v>
      </c>
      <c r="D1026" s="179" t="s">
        <v>304</v>
      </c>
      <c r="E1026" s="179" t="s">
        <v>1161</v>
      </c>
      <c r="G1026" s="207">
        <v>4948.0</v>
      </c>
      <c r="H1026" s="179">
        <v>195.0</v>
      </c>
      <c r="I1026" s="195">
        <v>0.0835</v>
      </c>
      <c r="J1026" s="195">
        <v>0.0724</v>
      </c>
      <c r="K1026" s="207">
        <v>6623.0</v>
      </c>
      <c r="L1026" s="179">
        <v>234.0</v>
      </c>
      <c r="M1026" s="195">
        <v>0.082</v>
      </c>
      <c r="N1026" s="195">
        <v>0.0644</v>
      </c>
      <c r="O1026" s="195">
        <v>0.7743</v>
      </c>
      <c r="P1026" s="195">
        <v>0.7756</v>
      </c>
      <c r="Q1026" s="179">
        <v>9.0</v>
      </c>
      <c r="R1026" s="179">
        <v>1.0</v>
      </c>
      <c r="S1026" s="195">
        <v>0.0018</v>
      </c>
      <c r="T1026" s="195">
        <v>0.0051</v>
      </c>
      <c r="U1026" s="179">
        <v>187399.3</v>
      </c>
      <c r="V1026" s="179">
        <v>20510.0</v>
      </c>
      <c r="W1026" s="179">
        <v>9.0</v>
      </c>
      <c r="X1026" s="179">
        <v>1.0</v>
      </c>
    </row>
    <row r="1027" ht="15.75" customHeight="1">
      <c r="A1027" s="65">
        <v>45689.0</v>
      </c>
      <c r="B1027" s="10" t="str">
        <f t="array" ref="B1027">_xlfn.XLOOKUP(D1027,'Referanc '!$A:$A,'Referanc '!$B:$B)</f>
        <v>Standing Table  - SM3</v>
      </c>
      <c r="C1027" s="179" t="s">
        <v>296</v>
      </c>
      <c r="D1027" s="179" t="s">
        <v>296</v>
      </c>
      <c r="E1027" s="179" t="s">
        <v>1165</v>
      </c>
      <c r="G1027" s="207">
        <v>1135.0</v>
      </c>
      <c r="H1027" s="179">
        <v>51.0</v>
      </c>
      <c r="I1027" s="195">
        <v>0.0192</v>
      </c>
      <c r="J1027" s="195">
        <v>0.0189</v>
      </c>
      <c r="K1027" s="207">
        <v>1501.0</v>
      </c>
      <c r="L1027" s="179">
        <v>68.0</v>
      </c>
      <c r="M1027" s="195">
        <v>0.0186</v>
      </c>
      <c r="N1027" s="195">
        <v>0.0187</v>
      </c>
      <c r="O1027" s="195">
        <v>0.8255</v>
      </c>
      <c r="P1027" s="195">
        <v>0.9429</v>
      </c>
      <c r="Q1027" s="179">
        <v>9.0</v>
      </c>
      <c r="R1027" s="179">
        <v>1.0</v>
      </c>
      <c r="S1027" s="195">
        <v>0.0079</v>
      </c>
      <c r="T1027" s="195">
        <v>0.0196</v>
      </c>
      <c r="U1027" s="179">
        <v>214323.0</v>
      </c>
      <c r="V1027" s="179">
        <v>23471.86</v>
      </c>
      <c r="W1027" s="179">
        <v>9.0</v>
      </c>
      <c r="X1027" s="179">
        <v>1.0</v>
      </c>
    </row>
    <row r="1028" ht="15.75" customHeight="1">
      <c r="A1028" s="65">
        <v>45689.0</v>
      </c>
      <c r="B1028" s="10" t="str">
        <f t="array" ref="B1028">_xlfn.XLOOKUP(D1028,'Referanc '!$A:$A,'Referanc '!$B:$B)</f>
        <v>Standing Table  - E2</v>
      </c>
      <c r="C1028" s="179" t="s">
        <v>309</v>
      </c>
      <c r="D1028" s="179" t="s">
        <v>309</v>
      </c>
      <c r="E1028" s="179" t="s">
        <v>1317</v>
      </c>
      <c r="G1028" s="207">
        <v>1125.0</v>
      </c>
      <c r="H1028" s="179">
        <v>64.0</v>
      </c>
      <c r="I1028" s="195">
        <v>0.019</v>
      </c>
      <c r="J1028" s="195">
        <v>0.0238</v>
      </c>
      <c r="K1028" s="207">
        <v>1527.0</v>
      </c>
      <c r="L1028" s="179">
        <v>89.0</v>
      </c>
      <c r="M1028" s="195">
        <v>0.0189</v>
      </c>
      <c r="N1028" s="195">
        <v>0.0245</v>
      </c>
      <c r="O1028" s="195">
        <v>0.9287</v>
      </c>
      <c r="P1028" s="195">
        <v>0.9508</v>
      </c>
      <c r="Q1028" s="179">
        <v>7.0</v>
      </c>
      <c r="R1028" s="179">
        <v>3.0</v>
      </c>
      <c r="S1028" s="195">
        <v>0.0062</v>
      </c>
      <c r="T1028" s="195">
        <v>0.0469</v>
      </c>
      <c r="U1028" s="179">
        <v>243380.3</v>
      </c>
      <c r="V1028" s="179">
        <v>104290.2</v>
      </c>
      <c r="W1028" s="179">
        <v>7.0</v>
      </c>
      <c r="X1028" s="179">
        <v>3.0</v>
      </c>
    </row>
    <row r="1029" ht="15.75" customHeight="1">
      <c r="A1029" s="65">
        <v>45689.0</v>
      </c>
      <c r="B1029" s="10" t="str">
        <f t="array" ref="B1029">_xlfn.XLOOKUP(D1029,'Referanc '!$A:$A,'Referanc '!$B:$B)</f>
        <v>Footrests</v>
      </c>
      <c r="C1029" s="179" t="s">
        <v>337</v>
      </c>
      <c r="D1029" s="179" t="s">
        <v>337</v>
      </c>
      <c r="E1029" s="179" t="s">
        <v>545</v>
      </c>
      <c r="G1029" s="179">
        <v>129.0</v>
      </c>
      <c r="H1029" s="179">
        <v>14.0</v>
      </c>
      <c r="I1029" s="195">
        <v>0.0022</v>
      </c>
      <c r="J1029" s="195">
        <v>0.0052</v>
      </c>
      <c r="K1029" s="179">
        <v>165.0</v>
      </c>
      <c r="L1029" s="179">
        <v>20.0</v>
      </c>
      <c r="M1029" s="195">
        <v>0.002</v>
      </c>
      <c r="N1029" s="195">
        <v>0.0055</v>
      </c>
      <c r="O1029" s="195">
        <v>0.9675</v>
      </c>
      <c r="P1029" s="195">
        <v>0.9231</v>
      </c>
      <c r="Q1029" s="179">
        <v>7.0</v>
      </c>
      <c r="R1029" s="179">
        <v>1.0</v>
      </c>
      <c r="S1029" s="195">
        <v>0.0543</v>
      </c>
      <c r="T1029" s="195">
        <v>0.0714</v>
      </c>
      <c r="U1029" s="179">
        <v>13194.0</v>
      </c>
      <c r="V1029" s="179">
        <v>2199.0</v>
      </c>
      <c r="W1029" s="179">
        <v>7.0</v>
      </c>
      <c r="X1029" s="179">
        <v>1.0</v>
      </c>
    </row>
    <row r="1030" ht="15.75" customHeight="1">
      <c r="A1030" s="65">
        <v>45689.0</v>
      </c>
      <c r="B1030" s="10" t="str">
        <f t="array" ref="B1030">_xlfn.XLOOKUP(D1030,'Referanc '!$A:$A,'Referanc '!$B:$B)</f>
        <v>Standing Table  - SM3</v>
      </c>
      <c r="C1030" s="179" t="s">
        <v>301</v>
      </c>
      <c r="D1030" s="179" t="s">
        <v>301</v>
      </c>
      <c r="E1030" s="179" t="s">
        <v>1374</v>
      </c>
      <c r="G1030" s="207">
        <v>1334.0</v>
      </c>
      <c r="H1030" s="179">
        <v>55.0</v>
      </c>
      <c r="I1030" s="195">
        <v>0.0225</v>
      </c>
      <c r="J1030" s="195">
        <v>0.0204</v>
      </c>
      <c r="K1030" s="207">
        <v>1786.0</v>
      </c>
      <c r="L1030" s="179">
        <v>65.0</v>
      </c>
      <c r="M1030" s="195">
        <v>0.0221</v>
      </c>
      <c r="N1030" s="195">
        <v>0.0179</v>
      </c>
      <c r="O1030" s="195">
        <v>0.8388</v>
      </c>
      <c r="P1030" s="195">
        <v>0.8974</v>
      </c>
      <c r="Q1030" s="179">
        <v>6.0</v>
      </c>
      <c r="R1030" s="179">
        <v>0.0</v>
      </c>
      <c r="S1030" s="195">
        <v>0.0045</v>
      </c>
      <c r="T1030" s="195">
        <v>0.0</v>
      </c>
      <c r="U1030" s="179">
        <v>142831.2</v>
      </c>
      <c r="V1030" s="179">
        <v>0.0</v>
      </c>
      <c r="W1030" s="179">
        <v>6.0</v>
      </c>
      <c r="X1030" s="179">
        <v>0.0</v>
      </c>
    </row>
    <row r="1031" ht="15.75" customHeight="1">
      <c r="A1031" s="65">
        <v>45689.0</v>
      </c>
      <c r="B1031" s="10" t="str">
        <f t="array" ref="B1031">_xlfn.XLOOKUP(D1031,'Referanc '!$A:$A,'Referanc '!$B:$B)</f>
        <v>Desk Cable Tray</v>
      </c>
      <c r="C1031" s="179" t="s">
        <v>314</v>
      </c>
      <c r="D1031" s="179" t="s">
        <v>314</v>
      </c>
      <c r="E1031" s="179" t="s">
        <v>1369</v>
      </c>
      <c r="G1031" s="179">
        <v>411.0</v>
      </c>
      <c r="H1031" s="179">
        <v>10.0</v>
      </c>
      <c r="I1031" s="195">
        <v>0.0069</v>
      </c>
      <c r="J1031" s="195">
        <v>0.0037</v>
      </c>
      <c r="K1031" s="179">
        <v>554.0</v>
      </c>
      <c r="L1031" s="179">
        <v>17.0</v>
      </c>
      <c r="M1031" s="195">
        <v>0.0069</v>
      </c>
      <c r="N1031" s="195">
        <v>0.0047</v>
      </c>
      <c r="O1031" s="195">
        <v>0.8948</v>
      </c>
      <c r="P1031" s="195">
        <v>1.0</v>
      </c>
      <c r="Q1031" s="179">
        <v>6.0</v>
      </c>
      <c r="R1031" s="179">
        <v>0.0</v>
      </c>
      <c r="S1031" s="195">
        <v>0.0146</v>
      </c>
      <c r="T1031" s="195">
        <v>0.0</v>
      </c>
      <c r="U1031" s="179">
        <v>10395.0</v>
      </c>
      <c r="V1031" s="179">
        <v>0.0</v>
      </c>
      <c r="W1031" s="179">
        <v>6.0</v>
      </c>
      <c r="X1031" s="179">
        <v>0.0</v>
      </c>
    </row>
    <row r="1032" ht="15.75" customHeight="1">
      <c r="A1032" s="65">
        <v>45689.0</v>
      </c>
      <c r="B1032" s="10" t="str">
        <f t="array" ref="B1032">_xlfn.XLOOKUP(D1032,'Referanc '!$A:$A,'Referanc '!$B:$B)</f>
        <v>Standing Table  - M14</v>
      </c>
      <c r="C1032" s="179" t="s">
        <v>437</v>
      </c>
      <c r="D1032" s="179" t="s">
        <v>437</v>
      </c>
      <c r="E1032" s="179" t="s">
        <v>726</v>
      </c>
      <c r="G1032" s="207">
        <v>1201.0</v>
      </c>
      <c r="H1032" s="179">
        <v>38.0</v>
      </c>
      <c r="I1032" s="195">
        <v>0.0203</v>
      </c>
      <c r="J1032" s="195">
        <v>0.0141</v>
      </c>
      <c r="K1032" s="207">
        <v>1715.0</v>
      </c>
      <c r="L1032" s="179">
        <v>45.0</v>
      </c>
      <c r="M1032" s="195">
        <v>0.0212</v>
      </c>
      <c r="N1032" s="195">
        <v>0.0124</v>
      </c>
      <c r="O1032" s="195">
        <v>0.8748</v>
      </c>
      <c r="P1032" s="195">
        <v>0.6364</v>
      </c>
      <c r="Q1032" s="179">
        <v>6.0</v>
      </c>
      <c r="R1032" s="179">
        <v>0.0</v>
      </c>
      <c r="S1032" s="195">
        <v>0.005</v>
      </c>
      <c r="T1032" s="195">
        <v>0.0</v>
      </c>
      <c r="U1032" s="179">
        <v>92746.77</v>
      </c>
      <c r="V1032" s="179">
        <v>0.0</v>
      </c>
      <c r="W1032" s="179">
        <v>6.0</v>
      </c>
      <c r="X1032" s="179">
        <v>0.0</v>
      </c>
    </row>
    <row r="1033" ht="15.75" customHeight="1">
      <c r="A1033" s="65">
        <v>45689.0</v>
      </c>
      <c r="B1033" s="10" t="str">
        <f t="array" ref="B1033">_xlfn.XLOOKUP(D1033,'Referanc '!$A:$A,'Referanc '!$B:$B)</f>
        <v>Standing Table - All Frames</v>
      </c>
      <c r="C1033" s="179" t="s">
        <v>368</v>
      </c>
      <c r="D1033" s="179" t="s">
        <v>368</v>
      </c>
      <c r="E1033" s="179" t="s">
        <v>1184</v>
      </c>
      <c r="G1033" s="179">
        <v>420.0</v>
      </c>
      <c r="H1033" s="179">
        <v>25.0</v>
      </c>
      <c r="I1033" s="195">
        <v>0.0071</v>
      </c>
      <c r="J1033" s="195">
        <v>0.0093</v>
      </c>
      <c r="K1033" s="179">
        <v>706.0</v>
      </c>
      <c r="L1033" s="179">
        <v>44.0</v>
      </c>
      <c r="M1033" s="195">
        <v>0.0087</v>
      </c>
      <c r="N1033" s="195">
        <v>0.0121</v>
      </c>
      <c r="O1033" s="195">
        <v>0.8436</v>
      </c>
      <c r="P1033" s="195">
        <v>0.7727</v>
      </c>
      <c r="Q1033" s="179">
        <v>5.0</v>
      </c>
      <c r="R1033" s="179">
        <v>0.0</v>
      </c>
      <c r="S1033" s="195">
        <v>0.0119</v>
      </c>
      <c r="T1033" s="195">
        <v>0.0</v>
      </c>
      <c r="U1033" s="179">
        <v>85147.44</v>
      </c>
      <c r="V1033" s="179">
        <v>0.0</v>
      </c>
      <c r="W1033" s="179">
        <v>5.0</v>
      </c>
      <c r="X1033" s="179">
        <v>0.0</v>
      </c>
    </row>
    <row r="1034" ht="15.75" customHeight="1">
      <c r="A1034" s="65">
        <v>45689.0</v>
      </c>
      <c r="B1034" s="10" t="str">
        <f t="array" ref="B1034">_xlfn.XLOOKUP(D1034,'Referanc '!$A:$A,'Referanc '!$B:$B)</f>
        <v>Standing Table  - E3</v>
      </c>
      <c r="C1034" s="179" t="s">
        <v>365</v>
      </c>
      <c r="D1034" s="179" t="s">
        <v>365</v>
      </c>
      <c r="E1034" s="179" t="s">
        <v>1322</v>
      </c>
      <c r="G1034" s="179">
        <v>775.0</v>
      </c>
      <c r="H1034" s="179">
        <v>23.0</v>
      </c>
      <c r="I1034" s="195">
        <v>0.0131</v>
      </c>
      <c r="J1034" s="195">
        <v>0.0085</v>
      </c>
      <c r="K1034" s="179">
        <v>993.0</v>
      </c>
      <c r="L1034" s="179">
        <v>29.0</v>
      </c>
      <c r="M1034" s="195">
        <v>0.0123</v>
      </c>
      <c r="N1034" s="195">
        <v>0.008</v>
      </c>
      <c r="O1034" s="195">
        <v>0.7677</v>
      </c>
      <c r="P1034" s="195">
        <v>0.8235</v>
      </c>
      <c r="Q1034" s="179">
        <v>4.0</v>
      </c>
      <c r="R1034" s="179">
        <v>0.0</v>
      </c>
      <c r="S1034" s="195">
        <v>0.0052</v>
      </c>
      <c r="T1034" s="195">
        <v>0.0</v>
      </c>
      <c r="U1034" s="179">
        <v>161549.8</v>
      </c>
      <c r="V1034" s="179">
        <v>0.0</v>
      </c>
      <c r="W1034" s="179">
        <v>4.0</v>
      </c>
      <c r="X1034" s="179">
        <v>0.0</v>
      </c>
    </row>
    <row r="1035" ht="15.75" customHeight="1">
      <c r="A1035" s="65">
        <v>45689.0</v>
      </c>
      <c r="B1035" s="10" t="str">
        <f t="array" ref="B1035">_xlfn.XLOOKUP(D1035,'Referanc '!$A:$A,'Referanc '!$B:$B)</f>
        <v>Standing Table  - SM3</v>
      </c>
      <c r="C1035" s="179" t="s">
        <v>358</v>
      </c>
      <c r="D1035" s="179" t="s">
        <v>358</v>
      </c>
      <c r="E1035" s="179" t="s">
        <v>1165</v>
      </c>
      <c r="G1035" s="179">
        <v>383.0</v>
      </c>
      <c r="H1035" s="179">
        <v>16.0</v>
      </c>
      <c r="I1035" s="195">
        <v>0.0065</v>
      </c>
      <c r="J1035" s="195">
        <v>0.0059</v>
      </c>
      <c r="K1035" s="179">
        <v>577.0</v>
      </c>
      <c r="L1035" s="179">
        <v>17.0</v>
      </c>
      <c r="M1035" s="195">
        <v>0.0071</v>
      </c>
      <c r="N1035" s="195">
        <v>0.0047</v>
      </c>
      <c r="O1035" s="195">
        <v>0.8978</v>
      </c>
      <c r="P1035" s="195">
        <v>0.6667</v>
      </c>
      <c r="Q1035" s="179">
        <v>4.0</v>
      </c>
      <c r="R1035" s="179">
        <v>0.0</v>
      </c>
      <c r="S1035" s="195">
        <v>0.0104</v>
      </c>
      <c r="T1035" s="195">
        <v>0.0</v>
      </c>
      <c r="U1035" s="179">
        <v>95887.44</v>
      </c>
      <c r="V1035" s="179">
        <v>0.0</v>
      </c>
      <c r="W1035" s="179">
        <v>4.0</v>
      </c>
      <c r="X1035" s="179">
        <v>0.0</v>
      </c>
    </row>
    <row r="1036" ht="15.75" customHeight="1">
      <c r="A1036" s="65">
        <v>45689.0</v>
      </c>
      <c r="B1036" s="10" t="str">
        <f t="array" ref="B1036">_xlfn.XLOOKUP(D1036,'Referanc '!$A:$A,'Referanc '!$B:$B)</f>
        <v>Standing Table  - E4</v>
      </c>
      <c r="C1036" s="179" t="s">
        <v>398</v>
      </c>
      <c r="D1036" s="179" t="s">
        <v>398</v>
      </c>
      <c r="E1036" s="179" t="s">
        <v>1279</v>
      </c>
      <c r="G1036" s="179">
        <v>657.0</v>
      </c>
      <c r="H1036" s="179">
        <v>24.0</v>
      </c>
      <c r="I1036" s="195">
        <v>0.0111</v>
      </c>
      <c r="J1036" s="195">
        <v>0.0089</v>
      </c>
      <c r="K1036" s="179">
        <v>883.0</v>
      </c>
      <c r="L1036" s="179">
        <v>31.0</v>
      </c>
      <c r="M1036" s="195">
        <v>0.0109</v>
      </c>
      <c r="N1036" s="195">
        <v>0.0085</v>
      </c>
      <c r="O1036" s="195">
        <v>0.8936</v>
      </c>
      <c r="P1036" s="195">
        <v>0.8095</v>
      </c>
      <c r="Q1036" s="179">
        <v>4.0</v>
      </c>
      <c r="R1036" s="179">
        <v>0.0</v>
      </c>
      <c r="S1036" s="195">
        <v>0.0061</v>
      </c>
      <c r="T1036" s="195">
        <v>0.0</v>
      </c>
      <c r="U1036" s="179">
        <v>116302.7</v>
      </c>
      <c r="V1036" s="179">
        <v>0.0</v>
      </c>
      <c r="W1036" s="179">
        <v>4.0</v>
      </c>
      <c r="X1036" s="179">
        <v>0.0</v>
      </c>
    </row>
    <row r="1037" ht="15.75" customHeight="1">
      <c r="A1037" s="65">
        <v>45689.0</v>
      </c>
      <c r="B1037" s="10" t="str">
        <f t="array" ref="B1037">_xlfn.XLOOKUP(D1037,'Referanc '!$A:$A,'Referanc '!$B:$B)</f>
        <v>Standing Table  - M14</v>
      </c>
      <c r="C1037" s="179" t="s">
        <v>436</v>
      </c>
      <c r="D1037" s="179" t="s">
        <v>436</v>
      </c>
      <c r="E1037" s="179" t="s">
        <v>1298</v>
      </c>
      <c r="G1037" s="179">
        <v>478.0</v>
      </c>
      <c r="H1037" s="179">
        <v>13.0</v>
      </c>
      <c r="I1037" s="195">
        <v>0.0081</v>
      </c>
      <c r="J1037" s="195">
        <v>0.0048</v>
      </c>
      <c r="K1037" s="179">
        <v>677.0</v>
      </c>
      <c r="L1037" s="179">
        <v>18.0</v>
      </c>
      <c r="M1037" s="195">
        <v>0.0084</v>
      </c>
      <c r="N1037" s="195">
        <v>0.005</v>
      </c>
      <c r="O1037" s="195">
        <v>0.9574</v>
      </c>
      <c r="P1037" s="195">
        <v>0.875</v>
      </c>
      <c r="Q1037" s="179">
        <v>4.0</v>
      </c>
      <c r="R1037" s="179">
        <v>0.0</v>
      </c>
      <c r="S1037" s="195">
        <v>0.0084</v>
      </c>
      <c r="T1037" s="195">
        <v>0.0</v>
      </c>
      <c r="U1037" s="179">
        <v>61855.59</v>
      </c>
      <c r="V1037" s="179">
        <v>0.0</v>
      </c>
      <c r="W1037" s="179">
        <v>4.0</v>
      </c>
      <c r="X1037" s="179">
        <v>0.0</v>
      </c>
    </row>
    <row r="1038" ht="15.75" customHeight="1">
      <c r="A1038" s="65">
        <v>45689.0</v>
      </c>
      <c r="B1038" s="10" t="str">
        <f t="array" ref="B1038">_xlfn.XLOOKUP(D1038,'Referanc '!$A:$A,'Referanc '!$B:$B)</f>
        <v>Standing Table  - E2</v>
      </c>
      <c r="C1038" s="179" t="s">
        <v>311</v>
      </c>
      <c r="D1038" s="179" t="s">
        <v>311</v>
      </c>
      <c r="E1038" s="179" t="s">
        <v>1132</v>
      </c>
      <c r="G1038" s="207">
        <v>1235.0</v>
      </c>
      <c r="H1038" s="179">
        <v>25.0</v>
      </c>
      <c r="I1038" s="195">
        <v>0.0208</v>
      </c>
      <c r="J1038" s="195">
        <v>0.0093</v>
      </c>
      <c r="K1038" s="207">
        <v>1696.0</v>
      </c>
      <c r="L1038" s="179">
        <v>32.0</v>
      </c>
      <c r="M1038" s="195">
        <v>0.021</v>
      </c>
      <c r="N1038" s="195">
        <v>0.0088</v>
      </c>
      <c r="O1038" s="195">
        <v>0.8715</v>
      </c>
      <c r="P1038" s="195">
        <v>1.0</v>
      </c>
      <c r="Q1038" s="179">
        <v>3.0</v>
      </c>
      <c r="R1038" s="179">
        <v>0.0</v>
      </c>
      <c r="S1038" s="195">
        <v>0.0024</v>
      </c>
      <c r="T1038" s="195">
        <v>0.0</v>
      </c>
      <c r="U1038" s="179">
        <v>104345.1</v>
      </c>
      <c r="V1038" s="179">
        <v>0.0</v>
      </c>
      <c r="W1038" s="179">
        <v>3.0</v>
      </c>
      <c r="X1038" s="179">
        <v>0.0</v>
      </c>
    </row>
    <row r="1039" ht="15.75" customHeight="1">
      <c r="A1039" s="65">
        <v>45689.0</v>
      </c>
      <c r="B1039" s="10" t="str">
        <f t="array" ref="B1039">_xlfn.XLOOKUP(D1039,'Referanc '!$A:$A,'Referanc '!$B:$B)</f>
        <v>Standing Table  - E2</v>
      </c>
      <c r="C1039" s="179" t="s">
        <v>313</v>
      </c>
      <c r="D1039" s="179" t="s">
        <v>313</v>
      </c>
      <c r="E1039" s="179" t="s">
        <v>1125</v>
      </c>
      <c r="G1039" s="179">
        <v>645.0</v>
      </c>
      <c r="H1039" s="179">
        <v>26.0</v>
      </c>
      <c r="I1039" s="195">
        <v>0.0109</v>
      </c>
      <c r="J1039" s="195">
        <v>0.0097</v>
      </c>
      <c r="K1039" s="179">
        <v>794.0</v>
      </c>
      <c r="L1039" s="179">
        <v>30.0</v>
      </c>
      <c r="M1039" s="195">
        <v>0.0098</v>
      </c>
      <c r="N1039" s="195">
        <v>0.0083</v>
      </c>
      <c r="O1039" s="195">
        <v>0.811</v>
      </c>
      <c r="P1039" s="195">
        <v>0.9565</v>
      </c>
      <c r="Q1039" s="179">
        <v>3.0</v>
      </c>
      <c r="R1039" s="179">
        <v>0.0</v>
      </c>
      <c r="S1039" s="195">
        <v>0.0047</v>
      </c>
      <c r="T1039" s="195">
        <v>0.0</v>
      </c>
      <c r="U1039" s="179">
        <v>98085.24</v>
      </c>
      <c r="V1039" s="179">
        <v>0.0</v>
      </c>
      <c r="W1039" s="179">
        <v>3.0</v>
      </c>
      <c r="X1039" s="179">
        <v>0.0</v>
      </c>
    </row>
    <row r="1040" ht="15.75" customHeight="1">
      <c r="A1040" s="65">
        <v>45689.0</v>
      </c>
      <c r="B1040" s="10" t="str">
        <f t="array" ref="B1040">_xlfn.XLOOKUP(D1040,'Referanc '!$A:$A,'Referanc '!$B:$B)</f>
        <v>Standing Table  - SM3</v>
      </c>
      <c r="C1040" s="179" t="s">
        <v>401</v>
      </c>
      <c r="D1040" s="179" t="s">
        <v>401</v>
      </c>
      <c r="E1040" s="179" t="s">
        <v>1362</v>
      </c>
      <c r="G1040" s="179">
        <v>122.0</v>
      </c>
      <c r="H1040" s="179">
        <v>5.0</v>
      </c>
      <c r="I1040" s="195">
        <v>0.0021</v>
      </c>
      <c r="J1040" s="195">
        <v>0.0019</v>
      </c>
      <c r="K1040" s="179">
        <v>151.0</v>
      </c>
      <c r="L1040" s="179">
        <v>5.0</v>
      </c>
      <c r="M1040" s="195">
        <v>0.0019</v>
      </c>
      <c r="N1040" s="195">
        <v>0.0014</v>
      </c>
      <c r="O1040" s="195">
        <v>0.9077</v>
      </c>
      <c r="P1040" s="195">
        <v>1.0</v>
      </c>
      <c r="Q1040" s="179">
        <v>3.0</v>
      </c>
      <c r="R1040" s="179">
        <v>0.0</v>
      </c>
      <c r="S1040" s="195">
        <v>0.0246</v>
      </c>
      <c r="T1040" s="195">
        <v>0.0</v>
      </c>
      <c r="U1040" s="179">
        <v>62871.86</v>
      </c>
      <c r="V1040" s="179">
        <v>0.0</v>
      </c>
      <c r="W1040" s="179">
        <v>3.0</v>
      </c>
      <c r="X1040" s="179">
        <v>0.0</v>
      </c>
    </row>
    <row r="1041" ht="15.75" customHeight="1">
      <c r="A1041" s="65">
        <v>45689.0</v>
      </c>
      <c r="B1041" s="10" t="str">
        <f t="array" ref="B1041">_xlfn.XLOOKUP(D1041,'Referanc '!$A:$A,'Referanc '!$B:$B)</f>
        <v>Standing Table  - E4</v>
      </c>
      <c r="C1041" s="179" t="s">
        <v>388</v>
      </c>
      <c r="D1041" s="179" t="s">
        <v>388</v>
      </c>
      <c r="E1041" s="179" t="s">
        <v>1278</v>
      </c>
      <c r="G1041" s="179">
        <v>434.0</v>
      </c>
      <c r="H1041" s="179">
        <v>11.0</v>
      </c>
      <c r="I1041" s="195">
        <v>0.0073</v>
      </c>
      <c r="J1041" s="195">
        <v>0.0041</v>
      </c>
      <c r="K1041" s="179">
        <v>546.0</v>
      </c>
      <c r="L1041" s="179">
        <v>13.0</v>
      </c>
      <c r="M1041" s="195">
        <v>0.0068</v>
      </c>
      <c r="N1041" s="195">
        <v>0.0036</v>
      </c>
      <c r="O1041" s="195">
        <v>0.9258</v>
      </c>
      <c r="P1041" s="195">
        <v>0.9167</v>
      </c>
      <c r="Q1041" s="179">
        <v>3.0</v>
      </c>
      <c r="R1041" s="179">
        <v>0.0</v>
      </c>
      <c r="S1041" s="195">
        <v>0.0069</v>
      </c>
      <c r="T1041" s="195">
        <v>0.0</v>
      </c>
      <c r="U1041" s="179">
        <v>80938.48</v>
      </c>
      <c r="V1041" s="179">
        <v>0.0</v>
      </c>
      <c r="W1041" s="179">
        <v>3.0</v>
      </c>
      <c r="X1041" s="179">
        <v>0.0</v>
      </c>
    </row>
    <row r="1042" ht="15.75" customHeight="1">
      <c r="A1042" s="65">
        <v>45689.0</v>
      </c>
      <c r="B1042" s="10" t="str">
        <f t="array" ref="B1042">_xlfn.XLOOKUP(D1042,'Referanc '!$A:$A,'Referanc '!$B:$B)</f>
        <v>Standing Table  - E4</v>
      </c>
      <c r="C1042" s="179" t="s">
        <v>375</v>
      </c>
      <c r="D1042" s="179" t="s">
        <v>375</v>
      </c>
      <c r="E1042" s="179" t="s">
        <v>1329</v>
      </c>
      <c r="G1042" s="179">
        <v>987.0</v>
      </c>
      <c r="H1042" s="179">
        <v>51.0</v>
      </c>
      <c r="I1042" s="195">
        <v>0.0167</v>
      </c>
      <c r="J1042" s="195">
        <v>0.0189</v>
      </c>
      <c r="K1042" s="207">
        <v>1302.0</v>
      </c>
      <c r="L1042" s="179">
        <v>61.0</v>
      </c>
      <c r="M1042" s="195">
        <v>0.0161</v>
      </c>
      <c r="N1042" s="195">
        <v>0.0168</v>
      </c>
      <c r="O1042" s="195">
        <v>0.9544</v>
      </c>
      <c r="P1042" s="195">
        <v>0.8857</v>
      </c>
      <c r="Q1042" s="179">
        <v>3.0</v>
      </c>
      <c r="R1042" s="179">
        <v>0.0</v>
      </c>
      <c r="S1042" s="195">
        <v>0.003</v>
      </c>
      <c r="T1042" s="195">
        <v>0.0</v>
      </c>
      <c r="U1042" s="179">
        <v>80984.24</v>
      </c>
      <c r="V1042" s="179">
        <v>0.0</v>
      </c>
      <c r="W1042" s="179">
        <v>3.0</v>
      </c>
      <c r="X1042" s="179">
        <v>0.0</v>
      </c>
    </row>
    <row r="1043" ht="15.75" customHeight="1">
      <c r="A1043" s="65">
        <v>45689.0</v>
      </c>
      <c r="B1043" s="10" t="str">
        <f t="array" ref="B1043">_xlfn.XLOOKUP(D1043,'Referanc '!$A:$A,'Referanc '!$B:$B)</f>
        <v>Standing Table  - M4</v>
      </c>
      <c r="C1043" s="179" t="s">
        <v>348</v>
      </c>
      <c r="D1043" s="179" t="s">
        <v>348</v>
      </c>
      <c r="E1043" s="179" t="s">
        <v>524</v>
      </c>
      <c r="G1043" s="179">
        <v>138.0</v>
      </c>
      <c r="H1043" s="179">
        <v>10.0</v>
      </c>
      <c r="I1043" s="195">
        <v>0.0023</v>
      </c>
      <c r="J1043" s="195">
        <v>0.0037</v>
      </c>
      <c r="K1043" s="179">
        <v>168.0</v>
      </c>
      <c r="L1043" s="179">
        <v>13.0</v>
      </c>
      <c r="M1043" s="195">
        <v>0.0021</v>
      </c>
      <c r="N1043" s="195">
        <v>0.0036</v>
      </c>
      <c r="O1043" s="195">
        <v>0.854</v>
      </c>
      <c r="P1043" s="195">
        <v>0.6667</v>
      </c>
      <c r="Q1043" s="179">
        <v>2.0</v>
      </c>
      <c r="R1043" s="179">
        <v>1.0</v>
      </c>
      <c r="S1043" s="195">
        <v>0.0145</v>
      </c>
      <c r="T1043" s="195">
        <v>0.1</v>
      </c>
      <c r="U1043" s="179">
        <v>35805.0</v>
      </c>
      <c r="V1043" s="179">
        <v>16005.0</v>
      </c>
      <c r="W1043" s="179">
        <v>2.0</v>
      </c>
      <c r="X1043" s="179">
        <v>1.0</v>
      </c>
    </row>
    <row r="1044" ht="15.75" customHeight="1">
      <c r="A1044" s="65">
        <v>45689.0</v>
      </c>
      <c r="B1044" s="10" t="str">
        <f t="array" ref="B1044">_xlfn.XLOOKUP(D1044,'Referanc '!$A:$A,'Referanc '!$B:$B)</f>
        <v>Standing Table  - M8</v>
      </c>
      <c r="C1044" s="179" t="s">
        <v>416</v>
      </c>
      <c r="D1044" s="179" t="s">
        <v>416</v>
      </c>
      <c r="E1044" s="179" t="s">
        <v>1189</v>
      </c>
      <c r="G1044" s="179">
        <v>181.0</v>
      </c>
      <c r="H1044" s="179">
        <v>5.0</v>
      </c>
      <c r="I1044" s="195">
        <v>0.0031</v>
      </c>
      <c r="J1044" s="195">
        <v>0.0019</v>
      </c>
      <c r="K1044" s="179">
        <v>231.0</v>
      </c>
      <c r="L1044" s="179">
        <v>8.0</v>
      </c>
      <c r="M1044" s="195">
        <v>0.0029</v>
      </c>
      <c r="N1044" s="195">
        <v>0.0022</v>
      </c>
      <c r="O1044" s="195">
        <v>0.8483</v>
      </c>
      <c r="P1044" s="195">
        <v>0.7143</v>
      </c>
      <c r="Q1044" s="179">
        <v>2.0</v>
      </c>
      <c r="R1044" s="179">
        <v>1.0</v>
      </c>
      <c r="S1044" s="195">
        <v>0.011</v>
      </c>
      <c r="T1044" s="195">
        <v>0.2</v>
      </c>
      <c r="U1044" s="179">
        <v>43462.88</v>
      </c>
      <c r="V1044" s="179">
        <v>22296.44</v>
      </c>
      <c r="W1044" s="179">
        <v>2.0</v>
      </c>
      <c r="X1044" s="179">
        <v>1.0</v>
      </c>
    </row>
    <row r="1045" ht="15.75" customHeight="1">
      <c r="A1045" s="65">
        <v>45689.0</v>
      </c>
      <c r="B1045" s="10" t="str">
        <f t="array" ref="B1045">_xlfn.XLOOKUP(D1045,'Referanc '!$A:$A,'Referanc '!$B:$B)</f>
        <v>Standing Desk Converter</v>
      </c>
      <c r="C1045" s="179" t="s">
        <v>326</v>
      </c>
      <c r="D1045" s="179" t="s">
        <v>326</v>
      </c>
      <c r="E1045" s="179" t="s">
        <v>1149</v>
      </c>
      <c r="G1045" s="179">
        <v>7.0</v>
      </c>
      <c r="H1045" s="179">
        <v>1.0</v>
      </c>
      <c r="I1045" s="195">
        <v>1.0E-4</v>
      </c>
      <c r="J1045" s="195">
        <v>4.0E-4</v>
      </c>
      <c r="K1045" s="179">
        <v>10.0</v>
      </c>
      <c r="L1045" s="179">
        <v>1.0</v>
      </c>
      <c r="M1045" s="195">
        <v>1.0E-4</v>
      </c>
      <c r="N1045" s="195">
        <v>3.0E-4</v>
      </c>
      <c r="O1045" s="195">
        <v>1.0</v>
      </c>
      <c r="P1045" s="195">
        <v>0.0</v>
      </c>
      <c r="Q1045" s="179">
        <v>2.0</v>
      </c>
      <c r="R1045" s="179">
        <v>0.0</v>
      </c>
      <c r="S1045" s="195">
        <v>0.2857</v>
      </c>
      <c r="T1045" s="195">
        <v>0.0</v>
      </c>
      <c r="U1045" s="179">
        <v>13980.0</v>
      </c>
      <c r="V1045" s="179">
        <v>0.0</v>
      </c>
      <c r="W1045" s="179">
        <v>2.0</v>
      </c>
      <c r="X1045" s="179">
        <v>0.0</v>
      </c>
    </row>
    <row r="1046" ht="15.75" customHeight="1">
      <c r="A1046" s="65">
        <v>45689.0</v>
      </c>
      <c r="B1046" s="10" t="str">
        <f t="array" ref="B1046">_xlfn.XLOOKUP(D1046,'Referanc '!$A:$A,'Referanc '!$B:$B)</f>
        <v>Standing Table  - E3</v>
      </c>
      <c r="C1046" s="179" t="s">
        <v>364</v>
      </c>
      <c r="D1046" s="179" t="s">
        <v>364</v>
      </c>
      <c r="E1046" s="179" t="s">
        <v>1130</v>
      </c>
      <c r="G1046" s="179">
        <v>361.0</v>
      </c>
      <c r="H1046" s="179">
        <v>13.0</v>
      </c>
      <c r="I1046" s="195">
        <v>0.0061</v>
      </c>
      <c r="J1046" s="195">
        <v>0.0048</v>
      </c>
      <c r="K1046" s="179">
        <v>519.0</v>
      </c>
      <c r="L1046" s="179">
        <v>15.0</v>
      </c>
      <c r="M1046" s="195">
        <v>0.0064</v>
      </c>
      <c r="N1046" s="195">
        <v>0.0041</v>
      </c>
      <c r="O1046" s="195">
        <v>0.8775</v>
      </c>
      <c r="P1046" s="195">
        <v>0.7778</v>
      </c>
      <c r="Q1046" s="179">
        <v>2.0</v>
      </c>
      <c r="R1046" s="179">
        <v>0.0</v>
      </c>
      <c r="S1046" s="195">
        <v>0.0055</v>
      </c>
      <c r="T1046" s="195">
        <v>0.0</v>
      </c>
      <c r="U1046" s="179">
        <v>80837.46</v>
      </c>
      <c r="V1046" s="179">
        <v>0.0</v>
      </c>
      <c r="W1046" s="179">
        <v>2.0</v>
      </c>
      <c r="X1046" s="179">
        <v>0.0</v>
      </c>
    </row>
    <row r="1047" ht="15.75" customHeight="1">
      <c r="A1047" s="65">
        <v>45689.0</v>
      </c>
      <c r="B1047" s="10" t="str">
        <f t="array" ref="B1047">_xlfn.XLOOKUP(D1047,'Referanc '!$A:$A,'Referanc '!$B:$B)</f>
        <v>Standing Table - All Frames</v>
      </c>
      <c r="C1047" s="179" t="s">
        <v>306</v>
      </c>
      <c r="D1047" s="179" t="s">
        <v>306</v>
      </c>
      <c r="E1047" s="179" t="s">
        <v>1140</v>
      </c>
      <c r="G1047" s="179">
        <v>760.0</v>
      </c>
      <c r="H1047" s="179">
        <v>31.0</v>
      </c>
      <c r="I1047" s="195">
        <v>0.0128</v>
      </c>
      <c r="J1047" s="195">
        <v>0.0115</v>
      </c>
      <c r="K1047" s="179">
        <v>952.0</v>
      </c>
      <c r="L1047" s="179">
        <v>43.0</v>
      </c>
      <c r="M1047" s="195">
        <v>0.0118</v>
      </c>
      <c r="N1047" s="195">
        <v>0.0118</v>
      </c>
      <c r="O1047" s="195">
        <v>0.8605</v>
      </c>
      <c r="P1047" s="195">
        <v>0.8182</v>
      </c>
      <c r="Q1047" s="179">
        <v>2.0</v>
      </c>
      <c r="R1047" s="179">
        <v>1.0</v>
      </c>
      <c r="S1047" s="195">
        <v>0.0026</v>
      </c>
      <c r="T1047" s="195">
        <v>0.0323</v>
      </c>
      <c r="U1047" s="179">
        <v>58645.08</v>
      </c>
      <c r="V1047" s="179">
        <v>29350.0</v>
      </c>
      <c r="W1047" s="179">
        <v>2.0</v>
      </c>
      <c r="X1047" s="179">
        <v>1.0</v>
      </c>
    </row>
    <row r="1048" ht="15.75" customHeight="1">
      <c r="A1048" s="65">
        <v>45689.0</v>
      </c>
      <c r="B1048" s="10" t="str">
        <f t="array" ref="B1048">_xlfn.XLOOKUP(D1048,'Referanc '!$A:$A,'Referanc '!$B:$B)</f>
        <v>Standing Table  - E2</v>
      </c>
      <c r="C1048" s="179" t="s">
        <v>293</v>
      </c>
      <c r="D1048" s="179" t="s">
        <v>293</v>
      </c>
      <c r="E1048" s="179" t="s">
        <v>1133</v>
      </c>
      <c r="G1048" s="179">
        <v>634.0</v>
      </c>
      <c r="H1048" s="179">
        <v>36.0</v>
      </c>
      <c r="I1048" s="195">
        <v>0.0107</v>
      </c>
      <c r="J1048" s="195">
        <v>0.0134</v>
      </c>
      <c r="K1048" s="179">
        <v>836.0</v>
      </c>
      <c r="L1048" s="179">
        <v>44.0</v>
      </c>
      <c r="M1048" s="195">
        <v>0.0104</v>
      </c>
      <c r="N1048" s="195">
        <v>0.0121</v>
      </c>
      <c r="O1048" s="195">
        <v>0.8927</v>
      </c>
      <c r="P1048" s="195">
        <v>0.8148</v>
      </c>
      <c r="Q1048" s="179">
        <v>2.0</v>
      </c>
      <c r="R1048" s="179">
        <v>0.0</v>
      </c>
      <c r="S1048" s="195">
        <v>0.0032</v>
      </c>
      <c r="T1048" s="195">
        <v>0.0</v>
      </c>
      <c r="U1048" s="179">
        <v>65445.08</v>
      </c>
      <c r="V1048" s="179">
        <v>0.0</v>
      </c>
      <c r="W1048" s="179">
        <v>2.0</v>
      </c>
      <c r="X1048" s="179">
        <v>0.0</v>
      </c>
    </row>
    <row r="1049" ht="15.75" customHeight="1">
      <c r="A1049" s="65">
        <v>45689.0</v>
      </c>
      <c r="B1049" s="10" t="str">
        <f t="array" ref="B1049">_xlfn.XLOOKUP(D1049,'Referanc '!$A:$A,'Referanc '!$B:$B)</f>
        <v>Standing Table - All Frames</v>
      </c>
      <c r="C1049" s="179" t="s">
        <v>420</v>
      </c>
      <c r="D1049" s="179" t="s">
        <v>420</v>
      </c>
      <c r="E1049" s="179" t="s">
        <v>1364</v>
      </c>
      <c r="G1049" s="179">
        <v>47.0</v>
      </c>
      <c r="H1049" s="179">
        <v>4.0</v>
      </c>
      <c r="I1049" s="195">
        <v>8.0E-4</v>
      </c>
      <c r="J1049" s="195">
        <v>0.0015</v>
      </c>
      <c r="K1049" s="179">
        <v>70.0</v>
      </c>
      <c r="L1049" s="179">
        <v>8.0</v>
      </c>
      <c r="M1049" s="195">
        <v>9.0E-4</v>
      </c>
      <c r="N1049" s="195">
        <v>0.0022</v>
      </c>
      <c r="O1049" s="195">
        <v>0.9545</v>
      </c>
      <c r="P1049" s="195">
        <v>1.0</v>
      </c>
      <c r="Q1049" s="179">
        <v>2.0</v>
      </c>
      <c r="R1049" s="179">
        <v>1.0</v>
      </c>
      <c r="S1049" s="195">
        <v>0.0426</v>
      </c>
      <c r="T1049" s="195">
        <v>0.25</v>
      </c>
      <c r="U1049" s="179">
        <v>58590.16</v>
      </c>
      <c r="V1049" s="179">
        <v>29295.08</v>
      </c>
      <c r="W1049" s="179">
        <v>2.0</v>
      </c>
      <c r="X1049" s="179">
        <v>1.0</v>
      </c>
    </row>
    <row r="1050" ht="15.75" customHeight="1">
      <c r="A1050" s="65">
        <v>45689.0</v>
      </c>
      <c r="B1050" s="10" t="str">
        <f t="array" ref="B1050">_xlfn.XLOOKUP(D1050,'Referanc '!$A:$A,'Referanc '!$B:$B)</f>
        <v>Standing Table  - E3</v>
      </c>
      <c r="C1050" s="179" t="s">
        <v>400</v>
      </c>
      <c r="D1050" s="179" t="s">
        <v>400</v>
      </c>
      <c r="E1050" s="179" t="s">
        <v>1130</v>
      </c>
      <c r="G1050" s="179">
        <v>182.0</v>
      </c>
      <c r="H1050" s="179">
        <v>9.0</v>
      </c>
      <c r="I1050" s="195">
        <v>0.0031</v>
      </c>
      <c r="J1050" s="195">
        <v>0.0033</v>
      </c>
      <c r="K1050" s="179">
        <v>251.0</v>
      </c>
      <c r="L1050" s="179">
        <v>18.0</v>
      </c>
      <c r="M1050" s="195">
        <v>0.0031</v>
      </c>
      <c r="N1050" s="195">
        <v>0.005</v>
      </c>
      <c r="O1050" s="195">
        <v>0.92</v>
      </c>
      <c r="P1050" s="195">
        <v>1.0</v>
      </c>
      <c r="Q1050" s="179">
        <v>2.0</v>
      </c>
      <c r="R1050" s="179">
        <v>0.0</v>
      </c>
      <c r="S1050" s="195">
        <v>0.011</v>
      </c>
      <c r="T1050" s="195">
        <v>0.0</v>
      </c>
      <c r="U1050" s="179">
        <v>80774.92</v>
      </c>
      <c r="V1050" s="179">
        <v>0.0</v>
      </c>
      <c r="W1050" s="179">
        <v>2.0</v>
      </c>
      <c r="X1050" s="179">
        <v>0.0</v>
      </c>
    </row>
    <row r="1051" ht="15.75" customHeight="1">
      <c r="A1051" s="65">
        <v>45689.0</v>
      </c>
      <c r="B1051" s="10" t="str">
        <f t="array" ref="B1051">_xlfn.XLOOKUP(D1051,'Referanc '!$A:$A,'Referanc '!$B:$B)</f>
        <v>Standing Table  - E1A</v>
      </c>
      <c r="C1051" s="179" t="s">
        <v>380</v>
      </c>
      <c r="D1051" s="179" t="s">
        <v>380</v>
      </c>
      <c r="E1051" s="179" t="s">
        <v>1276</v>
      </c>
      <c r="G1051" s="179">
        <v>241.0</v>
      </c>
      <c r="H1051" s="179">
        <v>6.0</v>
      </c>
      <c r="I1051" s="195">
        <v>0.0041</v>
      </c>
      <c r="J1051" s="195">
        <v>0.0022</v>
      </c>
      <c r="K1051" s="179">
        <v>329.0</v>
      </c>
      <c r="L1051" s="179">
        <v>17.0</v>
      </c>
      <c r="M1051" s="195">
        <v>0.0041</v>
      </c>
      <c r="N1051" s="195">
        <v>0.0047</v>
      </c>
      <c r="O1051" s="195">
        <v>0.9418</v>
      </c>
      <c r="P1051" s="195">
        <v>0.9167</v>
      </c>
      <c r="Q1051" s="179">
        <v>2.0</v>
      </c>
      <c r="R1051" s="179">
        <v>1.0</v>
      </c>
      <c r="S1051" s="195">
        <v>0.0083</v>
      </c>
      <c r="T1051" s="195">
        <v>0.1667</v>
      </c>
      <c r="U1051" s="179">
        <v>70942.03</v>
      </c>
      <c r="V1051" s="179">
        <v>35442.03</v>
      </c>
      <c r="W1051" s="179">
        <v>2.0</v>
      </c>
      <c r="X1051" s="179">
        <v>1.0</v>
      </c>
    </row>
    <row r="1052" ht="15.75" customHeight="1">
      <c r="A1052" s="65">
        <v>45689.0</v>
      </c>
      <c r="B1052" s="10" t="str">
        <f t="array" ref="B1052">_xlfn.XLOOKUP(D1052,'Referanc '!$A:$A,'Referanc '!$B:$B)</f>
        <v>Standing Table  - E4</v>
      </c>
      <c r="C1052" s="179" t="s">
        <v>396</v>
      </c>
      <c r="D1052" s="179" t="s">
        <v>396</v>
      </c>
      <c r="E1052" s="179" t="s">
        <v>1321</v>
      </c>
      <c r="G1052" s="179">
        <v>549.0</v>
      </c>
      <c r="H1052" s="179">
        <v>16.0</v>
      </c>
      <c r="I1052" s="195">
        <v>0.0093</v>
      </c>
      <c r="J1052" s="195">
        <v>0.0059</v>
      </c>
      <c r="K1052" s="179">
        <v>802.0</v>
      </c>
      <c r="L1052" s="179">
        <v>18.0</v>
      </c>
      <c r="M1052" s="195">
        <v>0.0099</v>
      </c>
      <c r="N1052" s="195">
        <v>0.005</v>
      </c>
      <c r="O1052" s="195">
        <v>0.8712</v>
      </c>
      <c r="P1052" s="195">
        <v>1.0</v>
      </c>
      <c r="Q1052" s="179">
        <v>2.0</v>
      </c>
      <c r="R1052" s="179">
        <v>0.0</v>
      </c>
      <c r="S1052" s="195">
        <v>0.0036</v>
      </c>
      <c r="T1052" s="195">
        <v>0.0</v>
      </c>
      <c r="U1052" s="179">
        <v>58128.48</v>
      </c>
      <c r="V1052" s="179">
        <v>0.0</v>
      </c>
      <c r="W1052" s="179">
        <v>2.0</v>
      </c>
      <c r="X1052" s="179">
        <v>0.0</v>
      </c>
    </row>
    <row r="1053" ht="15.75" customHeight="1">
      <c r="A1053" s="65">
        <v>45689.0</v>
      </c>
      <c r="B1053" s="10" t="str">
        <f t="array" ref="B1053">_xlfn.XLOOKUP(D1053,'Referanc '!$A:$A,'Referanc '!$B:$B)</f>
        <v>Standing Table  - E1A</v>
      </c>
      <c r="C1053" s="179" t="s">
        <v>384</v>
      </c>
      <c r="D1053" s="179" t="s">
        <v>384</v>
      </c>
      <c r="E1053" s="179" t="s">
        <v>1302</v>
      </c>
      <c r="G1053" s="179">
        <v>324.0</v>
      </c>
      <c r="H1053" s="179">
        <v>13.0</v>
      </c>
      <c r="I1053" s="195">
        <v>0.0055</v>
      </c>
      <c r="J1053" s="195">
        <v>0.0048</v>
      </c>
      <c r="K1053" s="179">
        <v>447.0</v>
      </c>
      <c r="L1053" s="179">
        <v>15.0</v>
      </c>
      <c r="M1053" s="195">
        <v>0.0055</v>
      </c>
      <c r="N1053" s="195">
        <v>0.0041</v>
      </c>
      <c r="O1053" s="195">
        <v>0.955</v>
      </c>
      <c r="P1053" s="195">
        <v>1.0</v>
      </c>
      <c r="Q1053" s="179">
        <v>2.0</v>
      </c>
      <c r="R1053" s="179">
        <v>0.0</v>
      </c>
      <c r="S1053" s="195">
        <v>0.0062</v>
      </c>
      <c r="T1053" s="195">
        <v>0.0</v>
      </c>
      <c r="U1053" s="179">
        <v>63980.0</v>
      </c>
      <c r="V1053" s="179">
        <v>0.0</v>
      </c>
      <c r="W1053" s="179">
        <v>2.0</v>
      </c>
      <c r="X1053" s="179">
        <v>0.0</v>
      </c>
    </row>
    <row r="1054" ht="15.75" customHeight="1">
      <c r="A1054" s="65">
        <v>45689.0</v>
      </c>
      <c r="B1054" s="10" t="str">
        <f t="array" ref="B1054">_xlfn.XLOOKUP(D1054,'Referanc '!$A:$A,'Referanc '!$B:$B)</f>
        <v>Standing Table  - M14</v>
      </c>
      <c r="C1054" s="179" t="s">
        <v>435</v>
      </c>
      <c r="D1054" s="179" t="s">
        <v>435</v>
      </c>
      <c r="E1054" s="179" t="s">
        <v>724</v>
      </c>
      <c r="G1054" s="179">
        <v>377.0</v>
      </c>
      <c r="H1054" s="179">
        <v>13.0</v>
      </c>
      <c r="I1054" s="195">
        <v>0.0064</v>
      </c>
      <c r="J1054" s="195">
        <v>0.0048</v>
      </c>
      <c r="K1054" s="179">
        <v>524.0</v>
      </c>
      <c r="L1054" s="179">
        <v>20.0</v>
      </c>
      <c r="M1054" s="195">
        <v>0.0065</v>
      </c>
      <c r="N1054" s="195">
        <v>0.0055</v>
      </c>
      <c r="O1054" s="195">
        <v>0.9606</v>
      </c>
      <c r="P1054" s="195">
        <v>0.8</v>
      </c>
      <c r="Q1054" s="179">
        <v>2.0</v>
      </c>
      <c r="R1054" s="179">
        <v>0.0</v>
      </c>
      <c r="S1054" s="195">
        <v>0.0053</v>
      </c>
      <c r="T1054" s="195">
        <v>0.0</v>
      </c>
      <c r="U1054" s="179">
        <v>30940.0</v>
      </c>
      <c r="V1054" s="179">
        <v>0.0</v>
      </c>
      <c r="W1054" s="179">
        <v>2.0</v>
      </c>
      <c r="X1054" s="179">
        <v>0.0</v>
      </c>
    </row>
    <row r="1055" ht="15.75" customHeight="1">
      <c r="A1055" s="65">
        <v>45689.0</v>
      </c>
      <c r="B1055" s="10" t="str">
        <f t="array" ref="B1055">_xlfn.XLOOKUP(D1055,'Referanc '!$A:$A,'Referanc '!$B:$B)</f>
        <v>TABLE TOP</v>
      </c>
      <c r="C1055" s="179" t="s">
        <v>357</v>
      </c>
      <c r="D1055" s="179" t="s">
        <v>357</v>
      </c>
      <c r="E1055" s="179" t="s">
        <v>535</v>
      </c>
      <c r="G1055" s="179">
        <v>248.0</v>
      </c>
      <c r="H1055" s="179">
        <v>10.0</v>
      </c>
      <c r="I1055" s="195">
        <v>0.0042</v>
      </c>
      <c r="J1055" s="195">
        <v>0.0037</v>
      </c>
      <c r="K1055" s="179">
        <v>299.0</v>
      </c>
      <c r="L1055" s="179">
        <v>16.0</v>
      </c>
      <c r="M1055" s="195">
        <v>0.0037</v>
      </c>
      <c r="N1055" s="195">
        <v>0.0044</v>
      </c>
      <c r="O1055" s="195">
        <v>0.8084</v>
      </c>
      <c r="P1055" s="195">
        <v>0.8</v>
      </c>
      <c r="Q1055" s="179">
        <v>1.0</v>
      </c>
      <c r="R1055" s="179">
        <v>0.0</v>
      </c>
      <c r="S1055" s="195">
        <v>0.004</v>
      </c>
      <c r="T1055" s="195">
        <v>0.0</v>
      </c>
      <c r="U1055" s="179">
        <v>8455.0</v>
      </c>
      <c r="V1055" s="179">
        <v>0.0</v>
      </c>
      <c r="W1055" s="179">
        <v>1.0</v>
      </c>
      <c r="X1055" s="179">
        <v>0.0</v>
      </c>
    </row>
    <row r="1056" ht="15.75" customHeight="1">
      <c r="A1056" s="65">
        <v>45689.0</v>
      </c>
      <c r="B1056" s="10" t="str">
        <f t="array" ref="B1056">_xlfn.XLOOKUP(D1056,'Referanc '!$A:$A,'Referanc '!$B:$B)</f>
        <v>Standing Table  - M8</v>
      </c>
      <c r="C1056" s="179" t="s">
        <v>414</v>
      </c>
      <c r="D1056" s="179" t="s">
        <v>414</v>
      </c>
      <c r="E1056" s="179" t="s">
        <v>1289</v>
      </c>
      <c r="G1056" s="179">
        <v>188.0</v>
      </c>
      <c r="H1056" s="179">
        <v>12.0</v>
      </c>
      <c r="I1056" s="195">
        <v>0.0032</v>
      </c>
      <c r="J1056" s="195">
        <v>0.0045</v>
      </c>
      <c r="K1056" s="179">
        <v>257.0</v>
      </c>
      <c r="L1056" s="179">
        <v>16.0</v>
      </c>
      <c r="M1056" s="195">
        <v>0.0032</v>
      </c>
      <c r="N1056" s="195">
        <v>0.0044</v>
      </c>
      <c r="O1056" s="195">
        <v>0.9442</v>
      </c>
      <c r="P1056" s="195">
        <v>0.6</v>
      </c>
      <c r="Q1056" s="179">
        <v>1.0</v>
      </c>
      <c r="R1056" s="179">
        <v>0.0</v>
      </c>
      <c r="S1056" s="195">
        <v>0.0053</v>
      </c>
      <c r="T1056" s="195">
        <v>0.0</v>
      </c>
      <c r="U1056" s="179">
        <v>15010.0</v>
      </c>
      <c r="V1056" s="179">
        <v>0.0</v>
      </c>
      <c r="W1056" s="179">
        <v>1.0</v>
      </c>
      <c r="X1056" s="179">
        <v>0.0</v>
      </c>
    </row>
    <row r="1057" ht="15.75" customHeight="1">
      <c r="A1057" s="65">
        <v>45689.0</v>
      </c>
      <c r="B1057" s="10" t="str">
        <f t="array" ref="B1057">_xlfn.XLOOKUP(D1057,'Referanc '!$A:$A,'Referanc '!$B:$B)</f>
        <v>Standing Table  - M3</v>
      </c>
      <c r="C1057" s="179" t="s">
        <v>403</v>
      </c>
      <c r="D1057" s="179" t="s">
        <v>403</v>
      </c>
      <c r="E1057" s="179" t="s">
        <v>1175</v>
      </c>
      <c r="G1057" s="179">
        <v>399.0</v>
      </c>
      <c r="H1057" s="179">
        <v>20.0</v>
      </c>
      <c r="I1057" s="195">
        <v>0.0067</v>
      </c>
      <c r="J1057" s="195">
        <v>0.0074</v>
      </c>
      <c r="K1057" s="179">
        <v>566.0</v>
      </c>
      <c r="L1057" s="179">
        <v>31.0</v>
      </c>
      <c r="M1057" s="195">
        <v>0.007</v>
      </c>
      <c r="N1057" s="195">
        <v>0.0085</v>
      </c>
      <c r="O1057" s="195">
        <v>0.9531</v>
      </c>
      <c r="P1057" s="195">
        <v>0.8261</v>
      </c>
      <c r="Q1057" s="179">
        <v>1.0</v>
      </c>
      <c r="R1057" s="179">
        <v>1.0</v>
      </c>
      <c r="S1057" s="195">
        <v>0.0025</v>
      </c>
      <c r="T1057" s="195">
        <v>0.05</v>
      </c>
      <c r="U1057" s="179">
        <v>15325.59</v>
      </c>
      <c r="V1057" s="179">
        <v>15325.59</v>
      </c>
      <c r="W1057" s="179">
        <v>1.0</v>
      </c>
      <c r="X1057" s="179">
        <v>1.0</v>
      </c>
    </row>
    <row r="1058" ht="15.75" customHeight="1">
      <c r="A1058" s="65">
        <v>45689.0</v>
      </c>
      <c r="B1058" s="10" t="str">
        <f t="array" ref="B1058">_xlfn.XLOOKUP(D1058,'Referanc '!$A:$A,'Referanc '!$B:$B)</f>
        <v>Standing Table - All Frames</v>
      </c>
      <c r="C1058" s="179" t="s">
        <v>343</v>
      </c>
      <c r="D1058" s="179" t="s">
        <v>343</v>
      </c>
      <c r="E1058" s="179" t="s">
        <v>1153</v>
      </c>
      <c r="G1058" s="179">
        <v>250.0</v>
      </c>
      <c r="H1058" s="179">
        <v>20.0</v>
      </c>
      <c r="I1058" s="195">
        <v>0.0042</v>
      </c>
      <c r="J1058" s="195">
        <v>0.0074</v>
      </c>
      <c r="K1058" s="179">
        <v>326.0</v>
      </c>
      <c r="L1058" s="179">
        <v>27.0</v>
      </c>
      <c r="M1058" s="195">
        <v>0.004</v>
      </c>
      <c r="N1058" s="195">
        <v>0.0074</v>
      </c>
      <c r="O1058" s="195">
        <v>0.8425</v>
      </c>
      <c r="P1058" s="195">
        <v>0.8235</v>
      </c>
      <c r="Q1058" s="179">
        <v>1.0</v>
      </c>
      <c r="R1058" s="179">
        <v>0.0</v>
      </c>
      <c r="S1058" s="195">
        <v>0.004</v>
      </c>
      <c r="T1058" s="195">
        <v>0.0</v>
      </c>
      <c r="U1058" s="179">
        <v>33837.46</v>
      </c>
      <c r="V1058" s="179">
        <v>0.0</v>
      </c>
      <c r="W1058" s="179">
        <v>1.0</v>
      </c>
      <c r="X1058" s="179">
        <v>0.0</v>
      </c>
    </row>
    <row r="1059" ht="15.75" customHeight="1">
      <c r="A1059" s="65">
        <v>45689.0</v>
      </c>
      <c r="B1059" s="10" t="str">
        <f t="array" ref="B1059">_xlfn.XLOOKUP(D1059,'Referanc '!$A:$A,'Referanc '!$B:$B)</f>
        <v>Standing Table  - E3</v>
      </c>
      <c r="C1059" s="179" t="s">
        <v>344</v>
      </c>
      <c r="D1059" s="179" t="s">
        <v>344</v>
      </c>
      <c r="E1059" s="179" t="s">
        <v>1351</v>
      </c>
      <c r="G1059" s="179">
        <v>171.0</v>
      </c>
      <c r="H1059" s="179">
        <v>12.0</v>
      </c>
      <c r="I1059" s="195">
        <v>0.0029</v>
      </c>
      <c r="J1059" s="195">
        <v>0.0045</v>
      </c>
      <c r="K1059" s="179">
        <v>202.0</v>
      </c>
      <c r="L1059" s="179">
        <v>12.0</v>
      </c>
      <c r="M1059" s="195">
        <v>0.0025</v>
      </c>
      <c r="N1059" s="195">
        <v>0.0033</v>
      </c>
      <c r="O1059" s="195">
        <v>0.7771</v>
      </c>
      <c r="P1059" s="195">
        <v>1.0</v>
      </c>
      <c r="Q1059" s="179">
        <v>1.0</v>
      </c>
      <c r="R1059" s="179">
        <v>0.0</v>
      </c>
      <c r="S1059" s="195">
        <v>0.0058</v>
      </c>
      <c r="T1059" s="195">
        <v>0.0</v>
      </c>
      <c r="U1059" s="179">
        <v>38387.46</v>
      </c>
      <c r="V1059" s="179">
        <v>0.0</v>
      </c>
      <c r="W1059" s="179">
        <v>1.0</v>
      </c>
      <c r="X1059" s="179">
        <v>0.0</v>
      </c>
    </row>
    <row r="1060" ht="15.75" customHeight="1">
      <c r="A1060" s="65">
        <v>45689.0</v>
      </c>
      <c r="B1060" s="10" t="str">
        <f t="array" ref="B1060">_xlfn.XLOOKUP(D1060,'Referanc '!$A:$A,'Referanc '!$B:$B)</f>
        <v>Standing Table  - E3</v>
      </c>
      <c r="C1060" s="179" t="s">
        <v>376</v>
      </c>
      <c r="D1060" s="179" t="s">
        <v>376</v>
      </c>
      <c r="E1060" s="179" t="s">
        <v>1157</v>
      </c>
      <c r="G1060" s="179">
        <v>91.0</v>
      </c>
      <c r="H1060" s="179">
        <v>5.0</v>
      </c>
      <c r="I1060" s="195">
        <v>0.0015</v>
      </c>
      <c r="J1060" s="195">
        <v>0.0019</v>
      </c>
      <c r="K1060" s="179">
        <v>127.0</v>
      </c>
      <c r="L1060" s="179">
        <v>5.0</v>
      </c>
      <c r="M1060" s="195">
        <v>0.0016</v>
      </c>
      <c r="N1060" s="195">
        <v>0.0014</v>
      </c>
      <c r="O1060" s="195">
        <v>0.9706</v>
      </c>
      <c r="P1060" s="195">
        <v>1.0</v>
      </c>
      <c r="Q1060" s="179">
        <v>1.0</v>
      </c>
      <c r="R1060" s="179">
        <v>0.0</v>
      </c>
      <c r="S1060" s="195">
        <v>0.011</v>
      </c>
      <c r="T1060" s="195">
        <v>0.0</v>
      </c>
      <c r="U1060" s="179">
        <v>34837.46</v>
      </c>
      <c r="V1060" s="179">
        <v>0.0</v>
      </c>
      <c r="W1060" s="179">
        <v>1.0</v>
      </c>
      <c r="X1060" s="179">
        <v>0.0</v>
      </c>
    </row>
    <row r="1061" ht="15.75" customHeight="1">
      <c r="A1061" s="65">
        <v>45689.0</v>
      </c>
      <c r="B1061" s="10" t="str">
        <f t="array" ref="B1061">_xlfn.XLOOKUP(D1061,'Referanc '!$A:$A,'Referanc '!$B:$B)</f>
        <v>Standing Table  - SM3</v>
      </c>
      <c r="C1061" s="179" t="s">
        <v>383</v>
      </c>
      <c r="D1061" s="179" t="s">
        <v>383</v>
      </c>
      <c r="E1061" s="179" t="s">
        <v>1206</v>
      </c>
      <c r="G1061" s="179">
        <v>132.0</v>
      </c>
      <c r="H1061" s="179">
        <v>11.0</v>
      </c>
      <c r="I1061" s="195">
        <v>0.0022</v>
      </c>
      <c r="J1061" s="195">
        <v>0.0041</v>
      </c>
      <c r="K1061" s="179">
        <v>174.0</v>
      </c>
      <c r="L1061" s="179">
        <v>16.0</v>
      </c>
      <c r="M1061" s="195">
        <v>0.0022</v>
      </c>
      <c r="N1061" s="195">
        <v>0.0044</v>
      </c>
      <c r="O1061" s="195">
        <v>0.9481</v>
      </c>
      <c r="P1061" s="195">
        <v>1.0</v>
      </c>
      <c r="Q1061" s="179">
        <v>1.0</v>
      </c>
      <c r="R1061" s="179">
        <v>1.0</v>
      </c>
      <c r="S1061" s="195">
        <v>0.0076</v>
      </c>
      <c r="T1061" s="195">
        <v>0.0909</v>
      </c>
      <c r="U1061" s="179">
        <v>23471.86</v>
      </c>
      <c r="V1061" s="179">
        <v>23471.86</v>
      </c>
      <c r="W1061" s="179">
        <v>1.0</v>
      </c>
      <c r="X1061" s="179">
        <v>1.0</v>
      </c>
    </row>
    <row r="1062" ht="15.75" customHeight="1">
      <c r="A1062" s="65">
        <v>45689.0</v>
      </c>
      <c r="B1062" s="10" t="str">
        <f t="array" ref="B1062">_xlfn.XLOOKUP(D1062,'Referanc '!$A:$A,'Referanc '!$B:$B)</f>
        <v>Standing Table - All Frames</v>
      </c>
      <c r="C1062" s="179" t="s">
        <v>387</v>
      </c>
      <c r="D1062" s="179" t="s">
        <v>387</v>
      </c>
      <c r="E1062" s="179" t="s">
        <v>1361</v>
      </c>
      <c r="G1062" s="179">
        <v>88.0</v>
      </c>
      <c r="H1062" s="179">
        <v>10.0</v>
      </c>
      <c r="I1062" s="195">
        <v>0.0015</v>
      </c>
      <c r="J1062" s="195">
        <v>0.0037</v>
      </c>
      <c r="K1062" s="179">
        <v>135.0</v>
      </c>
      <c r="L1062" s="179">
        <v>23.0</v>
      </c>
      <c r="M1062" s="195">
        <v>0.0017</v>
      </c>
      <c r="N1062" s="195">
        <v>0.0063</v>
      </c>
      <c r="O1062" s="195">
        <v>0.9339</v>
      </c>
      <c r="P1062" s="195">
        <v>0.9444</v>
      </c>
      <c r="Q1062" s="179">
        <v>1.0</v>
      </c>
      <c r="R1062" s="179">
        <v>1.0</v>
      </c>
      <c r="S1062" s="195">
        <v>0.0114</v>
      </c>
      <c r="T1062" s="195">
        <v>0.1</v>
      </c>
      <c r="U1062" s="179">
        <v>29392.03</v>
      </c>
      <c r="V1062" s="179">
        <v>29392.03</v>
      </c>
      <c r="W1062" s="179">
        <v>1.0</v>
      </c>
      <c r="X1062" s="179">
        <v>1.0</v>
      </c>
    </row>
    <row r="1063" ht="15.75" customHeight="1">
      <c r="A1063" s="65">
        <v>45689.0</v>
      </c>
      <c r="B1063" s="10" t="str">
        <f t="array" ref="B1063">_xlfn.XLOOKUP(D1063,'Referanc '!$A:$A,'Referanc '!$B:$B)</f>
        <v>Standing Table  - E1A</v>
      </c>
      <c r="C1063" s="179" t="s">
        <v>382</v>
      </c>
      <c r="D1063" s="179" t="s">
        <v>382</v>
      </c>
      <c r="E1063" s="179" t="s">
        <v>1300</v>
      </c>
      <c r="G1063" s="179">
        <v>704.0</v>
      </c>
      <c r="H1063" s="179">
        <v>24.0</v>
      </c>
      <c r="I1063" s="195">
        <v>0.0119</v>
      </c>
      <c r="J1063" s="195">
        <v>0.0089</v>
      </c>
      <c r="K1063" s="179">
        <v>902.0</v>
      </c>
      <c r="L1063" s="179">
        <v>33.0</v>
      </c>
      <c r="M1063" s="195">
        <v>0.0112</v>
      </c>
      <c r="N1063" s="195">
        <v>0.0091</v>
      </c>
      <c r="O1063" s="195">
        <v>0.7537</v>
      </c>
      <c r="P1063" s="195">
        <v>0.8182</v>
      </c>
      <c r="Q1063" s="179">
        <v>1.0</v>
      </c>
      <c r="R1063" s="179">
        <v>0.0</v>
      </c>
      <c r="S1063" s="195">
        <v>0.0014</v>
      </c>
      <c r="T1063" s="195">
        <v>0.0</v>
      </c>
      <c r="U1063" s="179">
        <v>31932.03</v>
      </c>
      <c r="V1063" s="179">
        <v>0.0</v>
      </c>
      <c r="W1063" s="179">
        <v>1.0</v>
      </c>
      <c r="X1063" s="179">
        <v>0.0</v>
      </c>
    </row>
    <row r="1064" ht="15.75" customHeight="1">
      <c r="A1064" s="65">
        <v>45689.0</v>
      </c>
      <c r="B1064" s="10" t="str">
        <f t="array" ref="B1064">_xlfn.XLOOKUP(D1064,'Referanc '!$A:$A,'Referanc '!$B:$B)</f>
        <v>Standing Table - All Frames</v>
      </c>
      <c r="C1064" s="179" t="s">
        <v>402</v>
      </c>
      <c r="D1064" s="179" t="s">
        <v>402</v>
      </c>
      <c r="E1064" s="179" t="s">
        <v>697</v>
      </c>
      <c r="G1064" s="179">
        <v>518.0</v>
      </c>
      <c r="H1064" s="179">
        <v>26.0</v>
      </c>
      <c r="I1064" s="195">
        <v>0.0087</v>
      </c>
      <c r="J1064" s="195">
        <v>0.0097</v>
      </c>
      <c r="K1064" s="179">
        <v>685.0</v>
      </c>
      <c r="L1064" s="179">
        <v>31.0</v>
      </c>
      <c r="M1064" s="195">
        <v>0.0085</v>
      </c>
      <c r="N1064" s="195">
        <v>0.0085</v>
      </c>
      <c r="O1064" s="195">
        <v>0.9029</v>
      </c>
      <c r="P1064" s="195">
        <v>0.9333</v>
      </c>
      <c r="Q1064" s="179">
        <v>1.0</v>
      </c>
      <c r="R1064" s="179">
        <v>1.0</v>
      </c>
      <c r="S1064" s="195">
        <v>0.0019</v>
      </c>
      <c r="T1064" s="195">
        <v>0.0385</v>
      </c>
      <c r="U1064" s="179">
        <v>24010.0</v>
      </c>
      <c r="V1064" s="179">
        <v>24010.0</v>
      </c>
      <c r="W1064" s="179">
        <v>1.0</v>
      </c>
      <c r="X1064" s="179">
        <v>1.0</v>
      </c>
    </row>
    <row r="1065" ht="15.75" customHeight="1">
      <c r="A1065" s="65">
        <v>45689.0</v>
      </c>
      <c r="B1065" s="10" t="str">
        <f t="array" ref="B1065">_xlfn.XLOOKUP(D1065,'Referanc '!$A:$A,'Referanc '!$B:$B)</f>
        <v>Standing Table - All Frames</v>
      </c>
      <c r="C1065" s="179" t="s">
        <v>399</v>
      </c>
      <c r="D1065" s="179" t="s">
        <v>399</v>
      </c>
      <c r="E1065" s="179" t="s">
        <v>1303</v>
      </c>
      <c r="G1065" s="179">
        <v>207.0</v>
      </c>
      <c r="H1065" s="179">
        <v>10.0</v>
      </c>
      <c r="I1065" s="195">
        <v>0.0035</v>
      </c>
      <c r="J1065" s="195">
        <v>0.0037</v>
      </c>
      <c r="K1065" s="179">
        <v>297.0</v>
      </c>
      <c r="L1065" s="179">
        <v>11.0</v>
      </c>
      <c r="M1065" s="195">
        <v>0.0037</v>
      </c>
      <c r="N1065" s="195">
        <v>0.003</v>
      </c>
      <c r="O1065" s="195">
        <v>0.9061</v>
      </c>
      <c r="P1065" s="195">
        <v>0.75</v>
      </c>
      <c r="Q1065" s="179">
        <v>1.0</v>
      </c>
      <c r="R1065" s="179">
        <v>0.0</v>
      </c>
      <c r="S1065" s="195">
        <v>0.0048</v>
      </c>
      <c r="T1065" s="195">
        <v>0.0</v>
      </c>
      <c r="U1065" s="179">
        <v>28392.03</v>
      </c>
      <c r="V1065" s="179">
        <v>0.0</v>
      </c>
      <c r="W1065" s="179">
        <v>1.0</v>
      </c>
      <c r="X1065" s="179">
        <v>0.0</v>
      </c>
    </row>
    <row r="1066" ht="15.75" customHeight="1">
      <c r="A1066" s="65">
        <v>45689.0</v>
      </c>
      <c r="B1066" s="10" t="str">
        <f t="array" ref="B1066">_xlfn.XLOOKUP(D1066,'Referanc '!$A:$A,'Referanc '!$B:$B)</f>
        <v>Standing Table  - E1A</v>
      </c>
      <c r="C1066" s="179" t="s">
        <v>385</v>
      </c>
      <c r="D1066" s="179" t="s">
        <v>385</v>
      </c>
      <c r="E1066" s="179" t="s">
        <v>1345</v>
      </c>
      <c r="G1066" s="179">
        <v>370.0</v>
      </c>
      <c r="H1066" s="179">
        <v>16.0</v>
      </c>
      <c r="I1066" s="195">
        <v>0.0062</v>
      </c>
      <c r="J1066" s="195">
        <v>0.0059</v>
      </c>
      <c r="K1066" s="179">
        <v>485.0</v>
      </c>
      <c r="L1066" s="179">
        <v>25.0</v>
      </c>
      <c r="M1066" s="195">
        <v>0.006</v>
      </c>
      <c r="N1066" s="195">
        <v>0.0069</v>
      </c>
      <c r="O1066" s="195">
        <v>0.846</v>
      </c>
      <c r="P1066" s="195">
        <v>1.0</v>
      </c>
      <c r="Q1066" s="179">
        <v>1.0</v>
      </c>
      <c r="R1066" s="179">
        <v>0.0</v>
      </c>
      <c r="S1066" s="195">
        <v>0.0027</v>
      </c>
      <c r="T1066" s="195">
        <v>0.0</v>
      </c>
      <c r="U1066" s="179">
        <v>35442.03</v>
      </c>
      <c r="V1066" s="179">
        <v>0.0</v>
      </c>
      <c r="W1066" s="179">
        <v>1.0</v>
      </c>
      <c r="X1066" s="179">
        <v>0.0</v>
      </c>
    </row>
    <row r="1067" ht="15.75" customHeight="1">
      <c r="A1067" s="65">
        <v>45689.0</v>
      </c>
      <c r="B1067" s="10" t="str">
        <f t="array" ref="B1067">_xlfn.XLOOKUP(D1067,'Referanc '!$A:$A,'Referanc '!$B:$B)</f>
        <v>Standing Table  - E4</v>
      </c>
      <c r="C1067" s="179" t="s">
        <v>404</v>
      </c>
      <c r="D1067" s="179" t="s">
        <v>404</v>
      </c>
      <c r="E1067" s="179" t="s">
        <v>1304</v>
      </c>
      <c r="G1067" s="179">
        <v>66.0</v>
      </c>
      <c r="H1067" s="179">
        <v>3.0</v>
      </c>
      <c r="I1067" s="195">
        <v>0.0011</v>
      </c>
      <c r="J1067" s="195">
        <v>0.0011</v>
      </c>
      <c r="K1067" s="179">
        <v>82.0</v>
      </c>
      <c r="L1067" s="179">
        <v>3.0</v>
      </c>
      <c r="M1067" s="195">
        <v>0.001</v>
      </c>
      <c r="N1067" s="195">
        <v>8.0E-4</v>
      </c>
      <c r="O1067" s="195">
        <v>0.9583</v>
      </c>
      <c r="P1067" s="195">
        <v>1.0</v>
      </c>
      <c r="Q1067" s="179">
        <v>1.0</v>
      </c>
      <c r="R1067" s="179">
        <v>0.0</v>
      </c>
      <c r="S1067" s="195">
        <v>0.0152</v>
      </c>
      <c r="T1067" s="195">
        <v>0.0</v>
      </c>
      <c r="U1067" s="179">
        <v>29610.0</v>
      </c>
      <c r="V1067" s="179">
        <v>0.0</v>
      </c>
      <c r="W1067" s="179">
        <v>1.0</v>
      </c>
      <c r="X1067" s="179">
        <v>0.0</v>
      </c>
    </row>
    <row r="1068" ht="15.75" customHeight="1">
      <c r="A1068" s="65">
        <v>45689.0</v>
      </c>
      <c r="B1068" s="10" t="str">
        <f t="array" ref="B1068">_xlfn.XLOOKUP(D1068,'Referanc '!$A:$A,'Referanc '!$B:$B)</f>
        <v>Standing Table  - E4</v>
      </c>
      <c r="C1068" s="179" t="s">
        <v>409</v>
      </c>
      <c r="D1068" s="179" t="s">
        <v>409</v>
      </c>
      <c r="E1068" s="179" t="s">
        <v>1307</v>
      </c>
      <c r="G1068" s="179">
        <v>55.0</v>
      </c>
      <c r="H1068" s="179">
        <v>3.0</v>
      </c>
      <c r="I1068" s="195">
        <v>9.0E-4</v>
      </c>
      <c r="J1068" s="195">
        <v>0.0011</v>
      </c>
      <c r="K1068" s="179">
        <v>78.0</v>
      </c>
      <c r="L1068" s="179">
        <v>3.0</v>
      </c>
      <c r="M1068" s="195">
        <v>0.001</v>
      </c>
      <c r="N1068" s="195">
        <v>8.0E-4</v>
      </c>
      <c r="O1068" s="195">
        <v>0.918</v>
      </c>
      <c r="P1068" s="195">
        <v>1.0</v>
      </c>
      <c r="Q1068" s="179">
        <v>1.0</v>
      </c>
      <c r="R1068" s="179">
        <v>0.0</v>
      </c>
      <c r="S1068" s="195">
        <v>0.0182</v>
      </c>
      <c r="T1068" s="195">
        <v>0.0</v>
      </c>
      <c r="U1068" s="179">
        <v>27510.0</v>
      </c>
      <c r="V1068" s="179">
        <v>0.0</v>
      </c>
      <c r="W1068" s="179">
        <v>1.0</v>
      </c>
      <c r="X1068" s="179">
        <v>0.0</v>
      </c>
    </row>
    <row r="1069" ht="15.75" customHeight="1">
      <c r="A1069" s="65">
        <v>45689.0</v>
      </c>
      <c r="B1069" s="10" t="str">
        <f t="array" ref="B1069">_xlfn.XLOOKUP(D1069,'Referanc '!$A:$A,'Referanc '!$B:$B)</f>
        <v>Standing Table - All Frames</v>
      </c>
      <c r="C1069" s="179" t="s">
        <v>422</v>
      </c>
      <c r="D1069" s="179" t="s">
        <v>422</v>
      </c>
      <c r="E1069" s="179" t="s">
        <v>697</v>
      </c>
      <c r="G1069" s="179">
        <v>180.0</v>
      </c>
      <c r="H1069" s="179">
        <v>12.0</v>
      </c>
      <c r="I1069" s="195">
        <v>0.003</v>
      </c>
      <c r="J1069" s="195">
        <v>0.0045</v>
      </c>
      <c r="K1069" s="179">
        <v>242.0</v>
      </c>
      <c r="L1069" s="179">
        <v>19.0</v>
      </c>
      <c r="M1069" s="195">
        <v>0.003</v>
      </c>
      <c r="N1069" s="195">
        <v>0.0052</v>
      </c>
      <c r="O1069" s="195">
        <v>0.8761</v>
      </c>
      <c r="P1069" s="195">
        <v>0.9286</v>
      </c>
      <c r="Q1069" s="179">
        <v>1.0</v>
      </c>
      <c r="R1069" s="179">
        <v>1.0</v>
      </c>
      <c r="S1069" s="195">
        <v>0.0056</v>
      </c>
      <c r="T1069" s="195">
        <v>0.0833</v>
      </c>
      <c r="U1069" s="179">
        <v>24510.0</v>
      </c>
      <c r="V1069" s="179">
        <v>24510.0</v>
      </c>
      <c r="W1069" s="179">
        <v>1.0</v>
      </c>
      <c r="X1069" s="179">
        <v>1.0</v>
      </c>
    </row>
    <row r="1070" ht="15.75" customHeight="1">
      <c r="A1070" s="65">
        <v>45689.0</v>
      </c>
      <c r="B1070" s="10" t="str">
        <f t="array" ref="B1070">_xlfn.XLOOKUP(D1070,'Referanc '!$A:$A,'Referanc '!$B:$B)</f>
        <v>Desk Cable Tray</v>
      </c>
      <c r="C1070" s="179" t="s">
        <v>327</v>
      </c>
      <c r="D1070" s="179" t="s">
        <v>327</v>
      </c>
      <c r="E1070" s="179" t="s">
        <v>720</v>
      </c>
      <c r="G1070" s="179">
        <v>21.0</v>
      </c>
      <c r="H1070" s="179">
        <v>1.0</v>
      </c>
      <c r="I1070" s="195">
        <v>4.0E-4</v>
      </c>
      <c r="J1070" s="195">
        <v>4.0E-4</v>
      </c>
      <c r="K1070" s="179">
        <v>27.0</v>
      </c>
      <c r="L1070" s="179">
        <v>1.0</v>
      </c>
      <c r="M1070" s="195">
        <v>3.0E-4</v>
      </c>
      <c r="N1070" s="195">
        <v>3.0E-4</v>
      </c>
      <c r="O1070" s="195">
        <v>0.9524</v>
      </c>
      <c r="P1070" s="195">
        <v>1.0</v>
      </c>
      <c r="Q1070" s="179">
        <v>2.0</v>
      </c>
      <c r="R1070" s="179">
        <v>0.0</v>
      </c>
      <c r="S1070" s="195">
        <v>0.0952</v>
      </c>
      <c r="T1070" s="195">
        <v>0.0</v>
      </c>
      <c r="U1070" s="179">
        <v>2710.0</v>
      </c>
      <c r="V1070" s="179">
        <v>0.0</v>
      </c>
      <c r="W1070" s="179">
        <v>1.0</v>
      </c>
      <c r="X1070" s="179">
        <v>0.0</v>
      </c>
    </row>
    <row r="1071" ht="15.75" customHeight="1">
      <c r="A1071" s="65">
        <v>45689.0</v>
      </c>
      <c r="B1071" s="10" t="str">
        <f t="array" ref="B1071">_xlfn.XLOOKUP(D1071,'Referanc '!$A:$A,'Referanc '!$B:$B)</f>
        <v>TABLE TOP</v>
      </c>
      <c r="C1071" s="179" t="s">
        <v>323</v>
      </c>
      <c r="D1071" s="179" t="s">
        <v>323</v>
      </c>
      <c r="E1071" s="179" t="s">
        <v>537</v>
      </c>
      <c r="G1071" s="179">
        <v>900.0</v>
      </c>
      <c r="H1071" s="179">
        <v>23.0</v>
      </c>
      <c r="I1071" s="195">
        <v>0.0152</v>
      </c>
      <c r="J1071" s="195">
        <v>0.0085</v>
      </c>
      <c r="K1071" s="207">
        <v>1086.0</v>
      </c>
      <c r="L1071" s="179">
        <v>23.0</v>
      </c>
      <c r="M1071" s="195">
        <v>0.0134</v>
      </c>
      <c r="N1071" s="195">
        <v>0.0063</v>
      </c>
      <c r="O1071" s="195">
        <v>0.7045</v>
      </c>
      <c r="P1071" s="195">
        <v>0.5833</v>
      </c>
      <c r="Q1071" s="179">
        <v>0.0</v>
      </c>
      <c r="R1071" s="179">
        <v>0.0</v>
      </c>
      <c r="S1071" s="195">
        <v>0.0</v>
      </c>
      <c r="T1071" s="195">
        <v>0.0</v>
      </c>
      <c r="U1071" s="179">
        <v>0.0</v>
      </c>
      <c r="V1071" s="179">
        <v>0.0</v>
      </c>
      <c r="W1071" s="179">
        <v>0.0</v>
      </c>
      <c r="X1071" s="179">
        <v>0.0</v>
      </c>
    </row>
    <row r="1072" ht="15.75" customHeight="1">
      <c r="A1072" s="65">
        <v>45689.0</v>
      </c>
      <c r="B1072" s="10" t="str">
        <f t="array" ref="B1072">_xlfn.XLOOKUP(D1072,'Referanc '!$A:$A,'Referanc '!$B:$B)</f>
        <v>TABLE TOP</v>
      </c>
      <c r="C1072" s="179" t="s">
        <v>324</v>
      </c>
      <c r="D1072" s="179" t="s">
        <v>324</v>
      </c>
      <c r="E1072" s="179" t="s">
        <v>533</v>
      </c>
      <c r="G1072" s="179">
        <v>375.0</v>
      </c>
      <c r="H1072" s="179">
        <v>8.0</v>
      </c>
      <c r="I1072" s="195">
        <v>0.0063</v>
      </c>
      <c r="J1072" s="195">
        <v>0.003</v>
      </c>
      <c r="K1072" s="179">
        <v>482.0</v>
      </c>
      <c r="L1072" s="179">
        <v>9.0</v>
      </c>
      <c r="M1072" s="195">
        <v>0.006</v>
      </c>
      <c r="N1072" s="195">
        <v>0.0025</v>
      </c>
      <c r="O1072" s="195">
        <v>0.8095</v>
      </c>
      <c r="P1072" s="195">
        <v>0.8571</v>
      </c>
      <c r="Q1072" s="179">
        <v>0.0</v>
      </c>
      <c r="R1072" s="179">
        <v>0.0</v>
      </c>
      <c r="S1072" s="195">
        <v>0.0</v>
      </c>
      <c r="T1072" s="195">
        <v>0.0</v>
      </c>
      <c r="U1072" s="179">
        <v>0.0</v>
      </c>
      <c r="V1072" s="179">
        <v>0.0</v>
      </c>
      <c r="W1072" s="179">
        <v>0.0</v>
      </c>
      <c r="X1072" s="179">
        <v>0.0</v>
      </c>
    </row>
    <row r="1073" ht="15.75" customHeight="1">
      <c r="A1073" s="65">
        <v>45689.0</v>
      </c>
      <c r="B1073" s="10" t="str">
        <f t="array" ref="B1073">_xlfn.XLOOKUP(D1073,'Referanc '!$A:$A,'Referanc '!$B:$B)</f>
        <v>TABLE TOP</v>
      </c>
      <c r="C1073" s="179" t="s">
        <v>350</v>
      </c>
      <c r="D1073" s="179" t="s">
        <v>350</v>
      </c>
      <c r="E1073" s="179" t="s">
        <v>531</v>
      </c>
      <c r="G1073" s="179">
        <v>187.0</v>
      </c>
      <c r="H1073" s="179">
        <v>3.0</v>
      </c>
      <c r="I1073" s="195">
        <v>0.0032</v>
      </c>
      <c r="J1073" s="195">
        <v>0.0011</v>
      </c>
      <c r="K1073" s="179">
        <v>229.0</v>
      </c>
      <c r="L1073" s="179">
        <v>4.0</v>
      </c>
      <c r="M1073" s="195">
        <v>0.0028</v>
      </c>
      <c r="N1073" s="195">
        <v>0.0011</v>
      </c>
      <c r="O1073" s="195">
        <v>0.7662</v>
      </c>
      <c r="P1073" s="195">
        <v>1.0</v>
      </c>
      <c r="Q1073" s="179">
        <v>0.0</v>
      </c>
      <c r="R1073" s="179">
        <v>0.0</v>
      </c>
      <c r="S1073" s="195">
        <v>0.0</v>
      </c>
      <c r="T1073" s="195">
        <v>0.0</v>
      </c>
      <c r="U1073" s="179">
        <v>0.0</v>
      </c>
      <c r="V1073" s="179">
        <v>0.0</v>
      </c>
      <c r="W1073" s="179">
        <v>0.0</v>
      </c>
      <c r="X1073" s="179">
        <v>0.0</v>
      </c>
    </row>
    <row r="1074" ht="15.75" customHeight="1">
      <c r="A1074" s="65">
        <v>45689.0</v>
      </c>
      <c r="B1074" s="10" t="str">
        <f t="array" ref="B1074">_xlfn.XLOOKUP(D1074,'Referanc '!$A:$A,'Referanc '!$B:$B)</f>
        <v>Standing Table  - M8</v>
      </c>
      <c r="C1074" s="179" t="s">
        <v>415</v>
      </c>
      <c r="D1074" s="179" t="s">
        <v>415</v>
      </c>
      <c r="E1074" s="179" t="s">
        <v>1291</v>
      </c>
      <c r="G1074" s="179">
        <v>88.0</v>
      </c>
      <c r="H1074" s="179">
        <v>6.0</v>
      </c>
      <c r="I1074" s="195">
        <v>0.0015</v>
      </c>
      <c r="J1074" s="195">
        <v>0.0022</v>
      </c>
      <c r="K1074" s="179">
        <v>116.0</v>
      </c>
      <c r="L1074" s="179">
        <v>7.0</v>
      </c>
      <c r="M1074" s="195">
        <v>0.0014</v>
      </c>
      <c r="N1074" s="195">
        <v>0.0019</v>
      </c>
      <c r="O1074" s="195">
        <v>0.9286</v>
      </c>
      <c r="P1074" s="195">
        <v>1.0</v>
      </c>
      <c r="Q1074" s="179">
        <v>0.0</v>
      </c>
      <c r="R1074" s="179">
        <v>0.0</v>
      </c>
      <c r="S1074" s="195">
        <v>0.0</v>
      </c>
      <c r="T1074" s="195">
        <v>0.0</v>
      </c>
      <c r="U1074" s="179">
        <v>0.0</v>
      </c>
      <c r="V1074" s="179">
        <v>0.0</v>
      </c>
      <c r="W1074" s="179">
        <v>0.0</v>
      </c>
      <c r="X1074" s="179">
        <v>0.0</v>
      </c>
    </row>
    <row r="1075" ht="15.75" customHeight="1">
      <c r="A1075" s="65">
        <v>45689.0</v>
      </c>
      <c r="B1075" s="10" t="str">
        <f t="array" ref="B1075">_xlfn.XLOOKUP(D1075,'Referanc '!$A:$A,'Referanc '!$B:$B)</f>
        <v>Standing Table  - M8</v>
      </c>
      <c r="C1075" s="179" t="s">
        <v>418</v>
      </c>
      <c r="D1075" s="179" t="s">
        <v>418</v>
      </c>
      <c r="E1075" s="179" t="s">
        <v>1293</v>
      </c>
      <c r="G1075" s="179">
        <v>66.0</v>
      </c>
      <c r="H1075" s="179">
        <v>0.0</v>
      </c>
      <c r="I1075" s="195">
        <v>0.0011</v>
      </c>
      <c r="J1075" s="195">
        <v>0.0</v>
      </c>
      <c r="K1075" s="179">
        <v>120.0</v>
      </c>
      <c r="L1075" s="179">
        <v>0.0</v>
      </c>
      <c r="M1075" s="195">
        <v>0.0015</v>
      </c>
      <c r="N1075" s="195">
        <v>0.0</v>
      </c>
      <c r="O1075" s="195">
        <v>0.9541</v>
      </c>
      <c r="P1075" s="195">
        <v>0.0</v>
      </c>
      <c r="Q1075" s="179">
        <v>0.0</v>
      </c>
      <c r="R1075" s="179">
        <v>0.0</v>
      </c>
      <c r="S1075" s="195">
        <v>0.0</v>
      </c>
      <c r="T1075" s="195">
        <v>0.0</v>
      </c>
      <c r="U1075" s="179">
        <v>0.0</v>
      </c>
      <c r="V1075" s="179">
        <v>0.0</v>
      </c>
      <c r="W1075" s="179">
        <v>0.0</v>
      </c>
      <c r="X1075" s="179">
        <v>0.0</v>
      </c>
    </row>
    <row r="1076" ht="15.75" customHeight="1">
      <c r="A1076" s="65">
        <v>45689.0</v>
      </c>
      <c r="B1076" s="10" t="str">
        <f t="array" ref="B1076">_xlfn.XLOOKUP(D1076,'Referanc '!$A:$A,'Referanc '!$B:$B)</f>
        <v>Footrests</v>
      </c>
      <c r="C1076" s="179" t="s">
        <v>339</v>
      </c>
      <c r="D1076" s="179" t="s">
        <v>339</v>
      </c>
      <c r="E1076" s="179" t="s">
        <v>547</v>
      </c>
      <c r="G1076" s="179">
        <v>157.0</v>
      </c>
      <c r="H1076" s="179">
        <v>5.0</v>
      </c>
      <c r="I1076" s="195">
        <v>0.0026</v>
      </c>
      <c r="J1076" s="195">
        <v>0.0019</v>
      </c>
      <c r="K1076" s="179">
        <v>188.0</v>
      </c>
      <c r="L1076" s="179">
        <v>6.0</v>
      </c>
      <c r="M1076" s="195">
        <v>0.0023</v>
      </c>
      <c r="N1076" s="195">
        <v>0.0017</v>
      </c>
      <c r="O1076" s="195">
        <v>1.0</v>
      </c>
      <c r="P1076" s="195">
        <v>1.0</v>
      </c>
      <c r="Q1076" s="179">
        <v>0.0</v>
      </c>
      <c r="R1076" s="179">
        <v>0.0</v>
      </c>
      <c r="S1076" s="195">
        <v>0.0</v>
      </c>
      <c r="T1076" s="195">
        <v>0.0</v>
      </c>
      <c r="U1076" s="179">
        <v>0.0</v>
      </c>
      <c r="V1076" s="179">
        <v>0.0</v>
      </c>
      <c r="W1076" s="179">
        <v>0.0</v>
      </c>
      <c r="X1076" s="179">
        <v>0.0</v>
      </c>
    </row>
    <row r="1077" ht="15.75" customHeight="1">
      <c r="A1077" s="65">
        <v>45689.0</v>
      </c>
      <c r="B1077" s="10" t="str">
        <f t="array" ref="B1077">_xlfn.XLOOKUP(D1077,'Referanc '!$A:$A,'Referanc '!$B:$B)</f>
        <v>Laptop Riser</v>
      </c>
      <c r="C1077" s="179" t="s">
        <v>347</v>
      </c>
      <c r="D1077" s="179" t="s">
        <v>347</v>
      </c>
      <c r="E1077" s="179" t="s">
        <v>693</v>
      </c>
      <c r="G1077" s="179">
        <v>39.0</v>
      </c>
      <c r="H1077" s="179">
        <v>5.0</v>
      </c>
      <c r="I1077" s="195">
        <v>7.0E-4</v>
      </c>
      <c r="J1077" s="195">
        <v>0.0019</v>
      </c>
      <c r="K1077" s="179">
        <v>45.0</v>
      </c>
      <c r="L1077" s="179">
        <v>5.0</v>
      </c>
      <c r="M1077" s="195">
        <v>6.0E-4</v>
      </c>
      <c r="N1077" s="195">
        <v>0.0014</v>
      </c>
      <c r="O1077" s="195">
        <v>0.7955</v>
      </c>
      <c r="P1077" s="195">
        <v>1.0</v>
      </c>
      <c r="Q1077" s="179">
        <v>0.0</v>
      </c>
      <c r="R1077" s="179">
        <v>0.0</v>
      </c>
      <c r="S1077" s="195">
        <v>0.0</v>
      </c>
      <c r="T1077" s="195">
        <v>0.0</v>
      </c>
      <c r="U1077" s="179">
        <v>0.0</v>
      </c>
      <c r="V1077" s="179">
        <v>0.0</v>
      </c>
      <c r="W1077" s="179">
        <v>0.0</v>
      </c>
      <c r="X1077" s="179">
        <v>0.0</v>
      </c>
    </row>
    <row r="1078" ht="15.75" customHeight="1">
      <c r="A1078" s="65">
        <v>45689.0</v>
      </c>
      <c r="B1078" s="10" t="str">
        <f t="array" ref="B1078">_xlfn.XLOOKUP(D1078,'Referanc '!$A:$A,'Referanc '!$B:$B)</f>
        <v>Standing Table  - E3</v>
      </c>
      <c r="C1078" s="179" t="s">
        <v>381</v>
      </c>
      <c r="D1078" s="179" t="s">
        <v>381</v>
      </c>
      <c r="E1078" s="179" t="s">
        <v>1143</v>
      </c>
      <c r="G1078" s="179">
        <v>96.0</v>
      </c>
      <c r="H1078" s="179">
        <v>4.0</v>
      </c>
      <c r="I1078" s="195">
        <v>0.0016</v>
      </c>
      <c r="J1078" s="195">
        <v>0.0015</v>
      </c>
      <c r="K1078" s="179">
        <v>109.0</v>
      </c>
      <c r="L1078" s="179">
        <v>5.0</v>
      </c>
      <c r="M1078" s="195">
        <v>0.0013</v>
      </c>
      <c r="N1078" s="195">
        <v>0.0014</v>
      </c>
      <c r="O1078" s="195">
        <v>0.8161</v>
      </c>
      <c r="P1078" s="195">
        <v>1.0</v>
      </c>
      <c r="Q1078" s="179">
        <v>0.0</v>
      </c>
      <c r="R1078" s="179">
        <v>0.0</v>
      </c>
      <c r="S1078" s="195">
        <v>0.0</v>
      </c>
      <c r="T1078" s="195">
        <v>0.0</v>
      </c>
      <c r="U1078" s="179">
        <v>0.0</v>
      </c>
      <c r="V1078" s="179">
        <v>0.0</v>
      </c>
      <c r="W1078" s="179">
        <v>0.0</v>
      </c>
      <c r="X1078" s="179">
        <v>0.0</v>
      </c>
    </row>
    <row r="1079" ht="15.75" customHeight="1">
      <c r="A1079" s="65">
        <v>45689.0</v>
      </c>
      <c r="B1079" s="10" t="str">
        <f t="array" ref="B1079">_xlfn.XLOOKUP(D1079,'Referanc '!$A:$A,'Referanc '!$B:$B)</f>
        <v>Standing Table  - E2</v>
      </c>
      <c r="C1079" s="179" t="s">
        <v>390</v>
      </c>
      <c r="D1079" s="179" t="s">
        <v>390</v>
      </c>
      <c r="E1079" s="179" t="s">
        <v>1127</v>
      </c>
      <c r="G1079" s="179">
        <v>16.0</v>
      </c>
      <c r="H1079" s="179">
        <v>1.0</v>
      </c>
      <c r="I1079" s="195">
        <v>3.0E-4</v>
      </c>
      <c r="J1079" s="195">
        <v>4.0E-4</v>
      </c>
      <c r="K1079" s="179">
        <v>17.0</v>
      </c>
      <c r="L1079" s="179">
        <v>1.0</v>
      </c>
      <c r="M1079" s="195">
        <v>2.0E-4</v>
      </c>
      <c r="N1079" s="195">
        <v>3.0E-4</v>
      </c>
      <c r="O1079" s="195">
        <v>0.8</v>
      </c>
      <c r="P1079" s="195">
        <v>1.0</v>
      </c>
      <c r="Q1079" s="179">
        <v>0.0</v>
      </c>
      <c r="R1079" s="179">
        <v>0.0</v>
      </c>
      <c r="S1079" s="195">
        <v>0.0</v>
      </c>
      <c r="T1079" s="195">
        <v>0.0</v>
      </c>
      <c r="U1079" s="179">
        <v>0.0</v>
      </c>
      <c r="V1079" s="179">
        <v>0.0</v>
      </c>
      <c r="W1079" s="179">
        <v>0.0</v>
      </c>
      <c r="X1079" s="179">
        <v>0.0</v>
      </c>
    </row>
    <row r="1080" ht="15.75" customHeight="1">
      <c r="A1080" s="65">
        <v>45689.0</v>
      </c>
      <c r="B1080" s="10" t="str">
        <f t="array" ref="B1080">_xlfn.XLOOKUP(D1080,'Referanc '!$A:$A,'Referanc '!$B:$B)</f>
        <v>Standing Table  - E2</v>
      </c>
      <c r="C1080" s="179" t="s">
        <v>392</v>
      </c>
      <c r="D1080" s="179" t="s">
        <v>392</v>
      </c>
      <c r="E1080" s="179" t="s">
        <v>1132</v>
      </c>
      <c r="G1080" s="179">
        <v>45.0</v>
      </c>
      <c r="H1080" s="179">
        <v>2.0</v>
      </c>
      <c r="I1080" s="195">
        <v>8.0E-4</v>
      </c>
      <c r="J1080" s="195">
        <v>7.0E-4</v>
      </c>
      <c r="K1080" s="179">
        <v>56.0</v>
      </c>
      <c r="L1080" s="179">
        <v>2.0</v>
      </c>
      <c r="M1080" s="195">
        <v>7.0E-4</v>
      </c>
      <c r="N1080" s="195">
        <v>6.0E-4</v>
      </c>
      <c r="O1080" s="195">
        <v>0.9</v>
      </c>
      <c r="P1080" s="195">
        <v>1.0</v>
      </c>
      <c r="Q1080" s="179">
        <v>0.0</v>
      </c>
      <c r="R1080" s="179">
        <v>0.0</v>
      </c>
      <c r="S1080" s="195">
        <v>0.0</v>
      </c>
      <c r="T1080" s="195">
        <v>0.0</v>
      </c>
      <c r="U1080" s="179">
        <v>0.0</v>
      </c>
      <c r="V1080" s="179">
        <v>0.0</v>
      </c>
      <c r="W1080" s="179">
        <v>0.0</v>
      </c>
      <c r="X1080" s="179">
        <v>0.0</v>
      </c>
    </row>
    <row r="1081" ht="15.75" customHeight="1">
      <c r="A1081" s="65">
        <v>45689.0</v>
      </c>
      <c r="B1081" s="10" t="str">
        <f t="array" ref="B1081">_xlfn.XLOOKUP(D1081,'Referanc '!$A:$A,'Referanc '!$B:$B)</f>
        <v>Standing Table  - E2</v>
      </c>
      <c r="C1081" s="179" t="s">
        <v>393</v>
      </c>
      <c r="D1081" s="179" t="s">
        <v>393</v>
      </c>
      <c r="E1081" s="179" t="s">
        <v>1133</v>
      </c>
      <c r="G1081" s="179">
        <v>18.0</v>
      </c>
      <c r="H1081" s="179">
        <v>2.0</v>
      </c>
      <c r="I1081" s="195">
        <v>3.0E-4</v>
      </c>
      <c r="J1081" s="195">
        <v>7.0E-4</v>
      </c>
      <c r="K1081" s="179">
        <v>22.0</v>
      </c>
      <c r="L1081" s="179">
        <v>2.0</v>
      </c>
      <c r="M1081" s="195">
        <v>3.0E-4</v>
      </c>
      <c r="N1081" s="195">
        <v>6.0E-4</v>
      </c>
      <c r="O1081" s="195">
        <v>0.95</v>
      </c>
      <c r="P1081" s="195">
        <v>1.0</v>
      </c>
      <c r="Q1081" s="179">
        <v>0.0</v>
      </c>
      <c r="R1081" s="179">
        <v>0.0</v>
      </c>
      <c r="S1081" s="195">
        <v>0.0</v>
      </c>
      <c r="T1081" s="195">
        <v>0.0</v>
      </c>
      <c r="U1081" s="179">
        <v>0.0</v>
      </c>
      <c r="V1081" s="179">
        <v>0.0</v>
      </c>
      <c r="W1081" s="179">
        <v>0.0</v>
      </c>
      <c r="X1081" s="179">
        <v>0.0</v>
      </c>
    </row>
    <row r="1082" ht="15.75" customHeight="1">
      <c r="A1082" s="65">
        <v>45689.0</v>
      </c>
      <c r="B1082" s="10" t="str">
        <f t="array" ref="B1082">_xlfn.XLOOKUP(D1082,'Referanc '!$A:$A,'Referanc '!$B:$B)</f>
        <v>Standing Table  - E2</v>
      </c>
      <c r="C1082" s="179" t="s">
        <v>394</v>
      </c>
      <c r="D1082" s="179" t="s">
        <v>394</v>
      </c>
      <c r="E1082" s="179" t="s">
        <v>1125</v>
      </c>
      <c r="G1082" s="179">
        <v>16.0</v>
      </c>
      <c r="H1082" s="179">
        <v>0.0</v>
      </c>
      <c r="I1082" s="195">
        <v>3.0E-4</v>
      </c>
      <c r="J1082" s="195">
        <v>0.0</v>
      </c>
      <c r="K1082" s="179">
        <v>20.0</v>
      </c>
      <c r="L1082" s="179">
        <v>0.0</v>
      </c>
      <c r="M1082" s="195">
        <v>2.0E-4</v>
      </c>
      <c r="N1082" s="195">
        <v>0.0</v>
      </c>
      <c r="O1082" s="195">
        <v>0.8947</v>
      </c>
      <c r="P1082" s="195">
        <v>0.0</v>
      </c>
      <c r="Q1082" s="179">
        <v>0.0</v>
      </c>
      <c r="R1082" s="179">
        <v>0.0</v>
      </c>
      <c r="S1082" s="195">
        <v>0.0</v>
      </c>
      <c r="T1082" s="195">
        <v>0.0</v>
      </c>
      <c r="U1082" s="179">
        <v>0.0</v>
      </c>
      <c r="V1082" s="179">
        <v>0.0</v>
      </c>
      <c r="W1082" s="179">
        <v>0.0</v>
      </c>
      <c r="X1082" s="179">
        <v>0.0</v>
      </c>
    </row>
    <row r="1083" ht="15.75" customHeight="1">
      <c r="A1083" s="65">
        <v>45689.0</v>
      </c>
      <c r="B1083" s="10" t="str">
        <f t="array" ref="B1083">_xlfn.XLOOKUP(D1083,'Referanc '!$A:$A,'Referanc '!$B:$B)</f>
        <v>Standing Table  - E3</v>
      </c>
      <c r="C1083" s="179" t="s">
        <v>397</v>
      </c>
      <c r="D1083" s="179" t="s">
        <v>397</v>
      </c>
      <c r="E1083" s="179" t="s">
        <v>1154</v>
      </c>
      <c r="G1083" s="179">
        <v>44.0</v>
      </c>
      <c r="H1083" s="179">
        <v>3.0</v>
      </c>
      <c r="I1083" s="195">
        <v>7.0E-4</v>
      </c>
      <c r="J1083" s="195">
        <v>0.0011</v>
      </c>
      <c r="K1083" s="179">
        <v>55.0</v>
      </c>
      <c r="L1083" s="179">
        <v>3.0</v>
      </c>
      <c r="M1083" s="195">
        <v>7.0E-4</v>
      </c>
      <c r="N1083" s="195">
        <v>8.0E-4</v>
      </c>
      <c r="O1083" s="195">
        <v>0.9804</v>
      </c>
      <c r="P1083" s="195">
        <v>1.0</v>
      </c>
      <c r="Q1083" s="179">
        <v>0.0</v>
      </c>
      <c r="R1083" s="179">
        <v>0.0</v>
      </c>
      <c r="S1083" s="195">
        <v>0.0</v>
      </c>
      <c r="T1083" s="195">
        <v>0.0</v>
      </c>
      <c r="U1083" s="179">
        <v>0.0</v>
      </c>
      <c r="V1083" s="179">
        <v>0.0</v>
      </c>
      <c r="W1083" s="179">
        <v>0.0</v>
      </c>
      <c r="X1083" s="179">
        <v>0.0</v>
      </c>
    </row>
    <row r="1084" ht="15.75" customHeight="1">
      <c r="A1084" s="65">
        <v>45689.0</v>
      </c>
      <c r="B1084" s="10" t="str">
        <f t="array" ref="B1084">_xlfn.XLOOKUP(D1084,'Referanc '!$A:$A,'Referanc '!$B:$B)</f>
        <v>Standing Table  - E3</v>
      </c>
      <c r="C1084" s="179" t="s">
        <v>377</v>
      </c>
      <c r="D1084" s="179" t="s">
        <v>377</v>
      </c>
      <c r="E1084" s="179" t="s">
        <v>1143</v>
      </c>
      <c r="G1084" s="179">
        <v>71.0</v>
      </c>
      <c r="H1084" s="179">
        <v>5.0</v>
      </c>
      <c r="I1084" s="195">
        <v>0.0012</v>
      </c>
      <c r="J1084" s="195">
        <v>0.0019</v>
      </c>
      <c r="K1084" s="179">
        <v>93.0</v>
      </c>
      <c r="L1084" s="179">
        <v>7.0</v>
      </c>
      <c r="M1084" s="195">
        <v>0.0012</v>
      </c>
      <c r="N1084" s="195">
        <v>0.0019</v>
      </c>
      <c r="O1084" s="195">
        <v>0.925</v>
      </c>
      <c r="P1084" s="195">
        <v>1.0</v>
      </c>
      <c r="Q1084" s="179">
        <v>0.0</v>
      </c>
      <c r="R1084" s="179">
        <v>0.0</v>
      </c>
      <c r="S1084" s="195">
        <v>0.0</v>
      </c>
      <c r="T1084" s="195">
        <v>0.0</v>
      </c>
      <c r="U1084" s="179">
        <v>0.0</v>
      </c>
      <c r="V1084" s="179">
        <v>0.0</v>
      </c>
      <c r="W1084" s="179">
        <v>0.0</v>
      </c>
      <c r="X1084" s="179">
        <v>0.0</v>
      </c>
    </row>
    <row r="1085" ht="15.75" customHeight="1">
      <c r="A1085" s="65">
        <v>45689.0</v>
      </c>
      <c r="B1085" s="10" t="str">
        <f t="array" ref="B1085">_xlfn.XLOOKUP(D1085,'Referanc '!$A:$A,'Referanc '!$B:$B)</f>
        <v>Standing Table  - E3</v>
      </c>
      <c r="C1085" s="179" t="s">
        <v>366</v>
      </c>
      <c r="D1085" s="179" t="s">
        <v>366</v>
      </c>
      <c r="E1085" s="179" t="s">
        <v>1124</v>
      </c>
      <c r="G1085" s="179">
        <v>83.0</v>
      </c>
      <c r="H1085" s="179">
        <v>7.0</v>
      </c>
      <c r="I1085" s="195">
        <v>0.0014</v>
      </c>
      <c r="J1085" s="195">
        <v>0.0026</v>
      </c>
      <c r="K1085" s="179">
        <v>109.0</v>
      </c>
      <c r="L1085" s="179">
        <v>7.0</v>
      </c>
      <c r="M1085" s="195">
        <v>0.0013</v>
      </c>
      <c r="N1085" s="195">
        <v>0.0019</v>
      </c>
      <c r="O1085" s="195">
        <v>0.8571</v>
      </c>
      <c r="P1085" s="195">
        <v>1.0</v>
      </c>
      <c r="Q1085" s="179">
        <v>0.0</v>
      </c>
      <c r="R1085" s="179">
        <v>0.0</v>
      </c>
      <c r="S1085" s="195">
        <v>0.0</v>
      </c>
      <c r="T1085" s="195">
        <v>0.0</v>
      </c>
      <c r="U1085" s="179">
        <v>0.0</v>
      </c>
      <c r="V1085" s="179">
        <v>0.0</v>
      </c>
      <c r="W1085" s="179">
        <v>0.0</v>
      </c>
      <c r="X1085" s="179">
        <v>0.0</v>
      </c>
    </row>
    <row r="1086" ht="15.75" customHeight="1">
      <c r="A1086" s="65">
        <v>45689.0</v>
      </c>
      <c r="B1086" s="10" t="str">
        <f t="array" ref="B1086">_xlfn.XLOOKUP(D1086,'Referanc '!$A:$A,'Referanc '!$B:$B)</f>
        <v>Standing Table  - SM3</v>
      </c>
      <c r="C1086" s="179" t="s">
        <v>370</v>
      </c>
      <c r="D1086" s="179" t="s">
        <v>370</v>
      </c>
      <c r="E1086" s="179" t="s">
        <v>1161</v>
      </c>
      <c r="G1086" s="179">
        <v>163.0</v>
      </c>
      <c r="H1086" s="179">
        <v>4.0</v>
      </c>
      <c r="I1086" s="195">
        <v>0.0028</v>
      </c>
      <c r="J1086" s="195">
        <v>0.0015</v>
      </c>
      <c r="K1086" s="179">
        <v>229.0</v>
      </c>
      <c r="L1086" s="179">
        <v>4.0</v>
      </c>
      <c r="M1086" s="195">
        <v>0.0028</v>
      </c>
      <c r="N1086" s="195">
        <v>0.0011</v>
      </c>
      <c r="O1086" s="195">
        <v>0.9796</v>
      </c>
      <c r="P1086" s="195">
        <v>0.75</v>
      </c>
      <c r="Q1086" s="179">
        <v>0.0</v>
      </c>
      <c r="R1086" s="179">
        <v>0.0</v>
      </c>
      <c r="S1086" s="195">
        <v>0.0</v>
      </c>
      <c r="T1086" s="195">
        <v>0.0</v>
      </c>
      <c r="U1086" s="179">
        <v>0.0</v>
      </c>
      <c r="V1086" s="179">
        <v>0.0</v>
      </c>
      <c r="W1086" s="179">
        <v>0.0</v>
      </c>
      <c r="X1086" s="179">
        <v>0.0</v>
      </c>
    </row>
    <row r="1087" ht="15.75" customHeight="1">
      <c r="A1087" s="65">
        <v>45689.0</v>
      </c>
      <c r="B1087" s="10" t="str">
        <f t="array" ref="B1087">_xlfn.XLOOKUP(D1087,'Referanc '!$A:$A,'Referanc '!$B:$B)</f>
        <v>Standing Table  - SM3</v>
      </c>
      <c r="C1087" s="179" t="s">
        <v>379</v>
      </c>
      <c r="D1087" s="179" t="s">
        <v>379</v>
      </c>
      <c r="E1087" s="179" t="s">
        <v>1209</v>
      </c>
      <c r="G1087" s="179">
        <v>131.0</v>
      </c>
      <c r="H1087" s="179">
        <v>4.0</v>
      </c>
      <c r="I1087" s="195">
        <v>0.0022</v>
      </c>
      <c r="J1087" s="195">
        <v>0.0015</v>
      </c>
      <c r="K1087" s="179">
        <v>154.0</v>
      </c>
      <c r="L1087" s="179">
        <v>4.0</v>
      </c>
      <c r="M1087" s="195">
        <v>0.0019</v>
      </c>
      <c r="N1087" s="195">
        <v>0.0011</v>
      </c>
      <c r="O1087" s="195">
        <v>0.9048</v>
      </c>
      <c r="P1087" s="195">
        <v>0.0</v>
      </c>
      <c r="Q1087" s="179">
        <v>0.0</v>
      </c>
      <c r="R1087" s="179">
        <v>0.0</v>
      </c>
      <c r="S1087" s="195">
        <v>0.0</v>
      </c>
      <c r="T1087" s="195">
        <v>0.0</v>
      </c>
      <c r="U1087" s="179">
        <v>0.0</v>
      </c>
      <c r="V1087" s="179">
        <v>0.0</v>
      </c>
      <c r="W1087" s="179">
        <v>0.0</v>
      </c>
      <c r="X1087" s="179">
        <v>0.0</v>
      </c>
    </row>
    <row r="1088" ht="15.75" customHeight="1">
      <c r="A1088" s="65">
        <v>45689.0</v>
      </c>
      <c r="B1088" s="10" t="str">
        <f t="array" ref="B1088">_xlfn.XLOOKUP(D1088,'Referanc '!$A:$A,'Referanc '!$B:$B)</f>
        <v>Standing Table  - E1A</v>
      </c>
      <c r="C1088" s="179" t="s">
        <v>354</v>
      </c>
      <c r="D1088" s="179" t="s">
        <v>354</v>
      </c>
      <c r="E1088" s="179" t="s">
        <v>1325</v>
      </c>
      <c r="G1088" s="179">
        <v>109.0</v>
      </c>
      <c r="H1088" s="179">
        <v>12.0</v>
      </c>
      <c r="I1088" s="195">
        <v>0.0018</v>
      </c>
      <c r="J1088" s="195">
        <v>0.0045</v>
      </c>
      <c r="K1088" s="179">
        <v>142.0</v>
      </c>
      <c r="L1088" s="179">
        <v>21.0</v>
      </c>
      <c r="M1088" s="195">
        <v>0.0018</v>
      </c>
      <c r="N1088" s="195">
        <v>0.0058</v>
      </c>
      <c r="O1088" s="195">
        <v>0.9609</v>
      </c>
      <c r="P1088" s="195">
        <v>1.0</v>
      </c>
      <c r="Q1088" s="179">
        <v>0.0</v>
      </c>
      <c r="R1088" s="179">
        <v>0.0</v>
      </c>
      <c r="S1088" s="195">
        <v>0.0</v>
      </c>
      <c r="T1088" s="195">
        <v>0.0</v>
      </c>
      <c r="U1088" s="179">
        <v>0.0</v>
      </c>
      <c r="V1088" s="179">
        <v>0.0</v>
      </c>
      <c r="W1088" s="179">
        <v>0.0</v>
      </c>
      <c r="X1088" s="179">
        <v>0.0</v>
      </c>
    </row>
    <row r="1089" ht="15.75" customHeight="1">
      <c r="A1089" s="65">
        <v>45689.0</v>
      </c>
      <c r="B1089" s="10" t="str">
        <f t="array" ref="B1089">_xlfn.XLOOKUP(D1089,'Referanc '!$A:$A,'Referanc '!$B:$B)</f>
        <v>Standing Table  - E1A</v>
      </c>
      <c r="C1089" s="179" t="s">
        <v>367</v>
      </c>
      <c r="D1089" s="179" t="s">
        <v>367</v>
      </c>
      <c r="E1089" s="179" t="s">
        <v>1365</v>
      </c>
      <c r="G1089" s="179">
        <v>47.0</v>
      </c>
      <c r="H1089" s="179">
        <v>2.0</v>
      </c>
      <c r="I1089" s="195">
        <v>8.0E-4</v>
      </c>
      <c r="J1089" s="195">
        <v>7.0E-4</v>
      </c>
      <c r="K1089" s="179">
        <v>64.0</v>
      </c>
      <c r="L1089" s="179">
        <v>3.0</v>
      </c>
      <c r="M1089" s="195">
        <v>8.0E-4</v>
      </c>
      <c r="N1089" s="195">
        <v>8.0E-4</v>
      </c>
      <c r="O1089" s="195">
        <v>0.9184</v>
      </c>
      <c r="P1089" s="195">
        <v>1.0</v>
      </c>
      <c r="Q1089" s="179">
        <v>0.0</v>
      </c>
      <c r="R1089" s="179">
        <v>0.0</v>
      </c>
      <c r="S1089" s="195">
        <v>0.0</v>
      </c>
      <c r="T1089" s="195">
        <v>0.0</v>
      </c>
      <c r="U1089" s="179">
        <v>0.0</v>
      </c>
      <c r="V1089" s="179">
        <v>0.0</v>
      </c>
      <c r="W1089" s="179">
        <v>0.0</v>
      </c>
      <c r="X1089" s="179">
        <v>0.0</v>
      </c>
    </row>
    <row r="1090" ht="15.75" customHeight="1">
      <c r="A1090" s="65">
        <v>45689.0</v>
      </c>
      <c r="B1090" s="10" t="str">
        <f t="array" ref="B1090">_xlfn.XLOOKUP(D1090,'Referanc '!$A:$A,'Referanc '!$B:$B)</f>
        <v>Standing Table  - E1A</v>
      </c>
      <c r="C1090" s="179" t="s">
        <v>359</v>
      </c>
      <c r="D1090" s="179" t="s">
        <v>359</v>
      </c>
      <c r="E1090" s="179" t="s">
        <v>1366</v>
      </c>
      <c r="G1090" s="179">
        <v>186.0</v>
      </c>
      <c r="H1090" s="179">
        <v>8.0</v>
      </c>
      <c r="I1090" s="195">
        <v>0.0031</v>
      </c>
      <c r="J1090" s="195">
        <v>0.003</v>
      </c>
      <c r="K1090" s="179">
        <v>232.0</v>
      </c>
      <c r="L1090" s="179">
        <v>9.0</v>
      </c>
      <c r="M1090" s="195">
        <v>0.0029</v>
      </c>
      <c r="N1090" s="195">
        <v>0.0025</v>
      </c>
      <c r="O1090" s="195">
        <v>0.9095</v>
      </c>
      <c r="P1090" s="195">
        <v>1.0</v>
      </c>
      <c r="Q1090" s="179">
        <v>0.0</v>
      </c>
      <c r="R1090" s="179">
        <v>0.0</v>
      </c>
      <c r="S1090" s="195">
        <v>0.0</v>
      </c>
      <c r="T1090" s="195">
        <v>0.0</v>
      </c>
      <c r="U1090" s="179">
        <v>0.0</v>
      </c>
      <c r="V1090" s="179">
        <v>0.0</v>
      </c>
      <c r="W1090" s="179">
        <v>0.0</v>
      </c>
      <c r="X1090" s="179">
        <v>0.0</v>
      </c>
    </row>
    <row r="1091" ht="15.75" customHeight="1">
      <c r="A1091" s="65">
        <v>45689.0</v>
      </c>
      <c r="B1091" s="10" t="str">
        <f t="array" ref="B1091">_xlfn.XLOOKUP(D1091,'Referanc '!$A:$A,'Referanc '!$B:$B)</f>
        <v>Standing Table  - E1A</v>
      </c>
      <c r="C1091" s="179" t="s">
        <v>371</v>
      </c>
      <c r="D1091" s="179" t="s">
        <v>371</v>
      </c>
      <c r="E1091" s="179" t="s">
        <v>1353</v>
      </c>
      <c r="G1091" s="179">
        <v>134.0</v>
      </c>
      <c r="H1091" s="179">
        <v>5.0</v>
      </c>
      <c r="I1091" s="195">
        <v>0.0023</v>
      </c>
      <c r="J1091" s="195">
        <v>0.0019</v>
      </c>
      <c r="K1091" s="179">
        <v>166.0</v>
      </c>
      <c r="L1091" s="179">
        <v>8.0</v>
      </c>
      <c r="M1091" s="195">
        <v>0.0021</v>
      </c>
      <c r="N1091" s="195">
        <v>0.0022</v>
      </c>
      <c r="O1091" s="195">
        <v>0.9779</v>
      </c>
      <c r="P1091" s="195">
        <v>1.0</v>
      </c>
      <c r="Q1091" s="179">
        <v>0.0</v>
      </c>
      <c r="R1091" s="179">
        <v>0.0</v>
      </c>
      <c r="S1091" s="195">
        <v>0.0</v>
      </c>
      <c r="T1091" s="195">
        <v>0.0</v>
      </c>
      <c r="U1091" s="179">
        <v>0.0</v>
      </c>
      <c r="V1091" s="179">
        <v>0.0</v>
      </c>
      <c r="W1091" s="179">
        <v>0.0</v>
      </c>
      <c r="X1091" s="179">
        <v>0.0</v>
      </c>
    </row>
    <row r="1092" ht="15.75" customHeight="1">
      <c r="A1092" s="65">
        <v>45689.0</v>
      </c>
      <c r="B1092" s="10" t="str">
        <f t="array" ref="B1092">_xlfn.XLOOKUP(D1092,'Referanc '!$A:$A,'Referanc '!$B:$B)</f>
        <v>Standing Table  - E1A</v>
      </c>
      <c r="C1092" s="179" t="s">
        <v>372</v>
      </c>
      <c r="D1092" s="179" t="s">
        <v>372</v>
      </c>
      <c r="E1092" s="179" t="s">
        <v>1354</v>
      </c>
      <c r="G1092" s="179">
        <v>34.0</v>
      </c>
      <c r="H1092" s="179">
        <v>3.0</v>
      </c>
      <c r="I1092" s="195">
        <v>6.0E-4</v>
      </c>
      <c r="J1092" s="195">
        <v>0.0011</v>
      </c>
      <c r="K1092" s="179">
        <v>36.0</v>
      </c>
      <c r="L1092" s="179">
        <v>3.0</v>
      </c>
      <c r="M1092" s="195">
        <v>4.0E-4</v>
      </c>
      <c r="N1092" s="195">
        <v>8.0E-4</v>
      </c>
      <c r="O1092" s="195">
        <v>0.7</v>
      </c>
      <c r="P1092" s="195">
        <v>1.0</v>
      </c>
      <c r="Q1092" s="179">
        <v>0.0</v>
      </c>
      <c r="R1092" s="179">
        <v>0.0</v>
      </c>
      <c r="S1092" s="195">
        <v>0.0</v>
      </c>
      <c r="T1092" s="195">
        <v>0.0</v>
      </c>
      <c r="U1092" s="179">
        <v>0.0</v>
      </c>
      <c r="V1092" s="179">
        <v>0.0</v>
      </c>
      <c r="W1092" s="179">
        <v>0.0</v>
      </c>
      <c r="X1092" s="179">
        <v>0.0</v>
      </c>
    </row>
    <row r="1093" ht="15.75" customHeight="1">
      <c r="A1093" s="65">
        <v>45689.0</v>
      </c>
      <c r="B1093" s="10" t="str">
        <f t="array" ref="B1093">_xlfn.XLOOKUP(D1093,'Referanc '!$A:$A,'Referanc '!$B:$B)</f>
        <v>Standing Table  - E1A</v>
      </c>
      <c r="C1093" s="179" t="s">
        <v>378</v>
      </c>
      <c r="D1093" s="179" t="s">
        <v>378</v>
      </c>
      <c r="E1093" s="179" t="s">
        <v>1367</v>
      </c>
      <c r="G1093" s="179">
        <v>38.0</v>
      </c>
      <c r="H1093" s="179">
        <v>2.0</v>
      </c>
      <c r="I1093" s="195">
        <v>6.0E-4</v>
      </c>
      <c r="J1093" s="195">
        <v>7.0E-4</v>
      </c>
      <c r="K1093" s="179">
        <v>47.0</v>
      </c>
      <c r="L1093" s="179">
        <v>3.0</v>
      </c>
      <c r="M1093" s="195">
        <v>6.0E-4</v>
      </c>
      <c r="N1093" s="195">
        <v>8.0E-4</v>
      </c>
      <c r="O1093" s="195">
        <v>0.9024</v>
      </c>
      <c r="P1093" s="195">
        <v>1.0</v>
      </c>
      <c r="Q1093" s="179">
        <v>0.0</v>
      </c>
      <c r="R1093" s="179">
        <v>0.0</v>
      </c>
      <c r="S1093" s="195">
        <v>0.0</v>
      </c>
      <c r="T1093" s="195">
        <v>0.0</v>
      </c>
      <c r="U1093" s="179">
        <v>0.0</v>
      </c>
      <c r="V1093" s="179">
        <v>0.0</v>
      </c>
      <c r="W1093" s="179">
        <v>0.0</v>
      </c>
      <c r="X1093" s="179">
        <v>0.0</v>
      </c>
    </row>
    <row r="1094" ht="15.75" customHeight="1">
      <c r="A1094" s="65">
        <v>45689.0</v>
      </c>
      <c r="B1094" s="10" t="str">
        <f t="array" ref="B1094">_xlfn.XLOOKUP(D1094,'Referanc '!$A:$A,'Referanc '!$B:$B)</f>
        <v/>
      </c>
      <c r="C1094" s="179" t="s">
        <v>446</v>
      </c>
      <c r="D1094" s="179" t="s">
        <v>446</v>
      </c>
      <c r="E1094" s="179" t="s">
        <v>735</v>
      </c>
      <c r="G1094" s="179">
        <v>432.0</v>
      </c>
      <c r="H1094" s="179">
        <v>16.0</v>
      </c>
      <c r="I1094" s="195">
        <v>0.0073</v>
      </c>
      <c r="J1094" s="195">
        <v>0.0059</v>
      </c>
      <c r="K1094" s="179">
        <v>481.0</v>
      </c>
      <c r="L1094" s="179">
        <v>18.0</v>
      </c>
      <c r="M1094" s="195">
        <v>0.006</v>
      </c>
      <c r="N1094" s="195">
        <v>0.005</v>
      </c>
      <c r="O1094" s="195">
        <v>0.8743</v>
      </c>
      <c r="P1094" s="195">
        <v>1.0</v>
      </c>
      <c r="Q1094" s="179">
        <v>0.0</v>
      </c>
      <c r="R1094" s="179">
        <v>0.0</v>
      </c>
      <c r="S1094" s="195">
        <v>0.0</v>
      </c>
      <c r="T1094" s="195">
        <v>0.0</v>
      </c>
      <c r="U1094" s="179">
        <v>0.0</v>
      </c>
      <c r="V1094" s="179">
        <v>0.0</v>
      </c>
      <c r="W1094" s="179">
        <v>0.0</v>
      </c>
      <c r="X1094" s="179">
        <v>0.0</v>
      </c>
    </row>
    <row r="1095" ht="15.75" customHeight="1">
      <c r="A1095" s="65">
        <v>45689.0</v>
      </c>
      <c r="B1095" s="10" t="str">
        <f t="array" ref="B1095">_xlfn.XLOOKUP(D1095,'Referanc '!$A:$A,'Referanc '!$B:$B)</f>
        <v>Standing Table  - E4</v>
      </c>
      <c r="C1095" s="179" t="s">
        <v>405</v>
      </c>
      <c r="D1095" s="179" t="s">
        <v>405</v>
      </c>
      <c r="E1095" s="179" t="s">
        <v>1305</v>
      </c>
      <c r="G1095" s="179">
        <v>74.0</v>
      </c>
      <c r="H1095" s="179">
        <v>2.0</v>
      </c>
      <c r="I1095" s="195">
        <v>0.0012</v>
      </c>
      <c r="J1095" s="195">
        <v>7.0E-4</v>
      </c>
      <c r="K1095" s="179">
        <v>90.0</v>
      </c>
      <c r="L1095" s="179">
        <v>2.0</v>
      </c>
      <c r="M1095" s="195">
        <v>0.0011</v>
      </c>
      <c r="N1095" s="195">
        <v>6.0E-4</v>
      </c>
      <c r="O1095" s="195">
        <v>0.9615</v>
      </c>
      <c r="P1095" s="195">
        <v>0.0</v>
      </c>
      <c r="Q1095" s="179">
        <v>0.0</v>
      </c>
      <c r="R1095" s="179">
        <v>0.0</v>
      </c>
      <c r="S1095" s="195">
        <v>0.0</v>
      </c>
      <c r="T1095" s="195">
        <v>0.0</v>
      </c>
      <c r="U1095" s="179">
        <v>0.0</v>
      </c>
      <c r="V1095" s="179">
        <v>0.0</v>
      </c>
      <c r="W1095" s="179">
        <v>0.0</v>
      </c>
      <c r="X1095" s="179">
        <v>0.0</v>
      </c>
    </row>
    <row r="1096" ht="15.75" customHeight="1">
      <c r="A1096" s="65">
        <v>45689.0</v>
      </c>
      <c r="B1096" s="10" t="str">
        <f t="array" ref="B1096">_xlfn.XLOOKUP(D1096,'Referanc '!$A:$A,'Referanc '!$B:$B)</f>
        <v>Standing Table  - E4</v>
      </c>
      <c r="C1096" s="179" t="s">
        <v>407</v>
      </c>
      <c r="D1096" s="179" t="s">
        <v>407</v>
      </c>
      <c r="E1096" s="179" t="s">
        <v>1306</v>
      </c>
      <c r="G1096" s="179">
        <v>169.0</v>
      </c>
      <c r="H1096" s="179">
        <v>11.0</v>
      </c>
      <c r="I1096" s="195">
        <v>0.0029</v>
      </c>
      <c r="J1096" s="195">
        <v>0.0041</v>
      </c>
      <c r="K1096" s="179">
        <v>223.0</v>
      </c>
      <c r="L1096" s="179">
        <v>17.0</v>
      </c>
      <c r="M1096" s="195">
        <v>0.0028</v>
      </c>
      <c r="N1096" s="195">
        <v>0.0047</v>
      </c>
      <c r="O1096" s="195">
        <v>0.904</v>
      </c>
      <c r="P1096" s="195">
        <v>0.3</v>
      </c>
      <c r="Q1096" s="179">
        <v>0.0</v>
      </c>
      <c r="R1096" s="179">
        <v>0.0</v>
      </c>
      <c r="S1096" s="195">
        <v>0.0</v>
      </c>
      <c r="T1096" s="195">
        <v>0.0</v>
      </c>
      <c r="U1096" s="179">
        <v>0.0</v>
      </c>
      <c r="V1096" s="179">
        <v>0.0</v>
      </c>
      <c r="W1096" s="179">
        <v>0.0</v>
      </c>
      <c r="X1096" s="179">
        <v>0.0</v>
      </c>
    </row>
    <row r="1097" ht="15.75" customHeight="1">
      <c r="A1097" s="65">
        <v>45689.0</v>
      </c>
      <c r="B1097" s="10" t="str">
        <f t="array" ref="B1097">_xlfn.XLOOKUP(D1097,'Referanc '!$A:$A,'Referanc '!$B:$B)</f>
        <v>TABLE TOP</v>
      </c>
      <c r="C1097" s="179" t="s">
        <v>425</v>
      </c>
      <c r="D1097" s="179" t="s">
        <v>425</v>
      </c>
      <c r="E1097" s="179" t="s">
        <v>1355</v>
      </c>
      <c r="G1097" s="179">
        <v>121.0</v>
      </c>
      <c r="H1097" s="179">
        <v>2.0</v>
      </c>
      <c r="I1097" s="195">
        <v>0.002</v>
      </c>
      <c r="J1097" s="195">
        <v>7.0E-4</v>
      </c>
      <c r="K1097" s="179">
        <v>130.0</v>
      </c>
      <c r="L1097" s="179">
        <v>3.0</v>
      </c>
      <c r="M1097" s="195">
        <v>0.0016</v>
      </c>
      <c r="N1097" s="195">
        <v>8.0E-4</v>
      </c>
      <c r="O1097" s="195">
        <v>0.7712</v>
      </c>
      <c r="P1097" s="195">
        <v>0.0</v>
      </c>
      <c r="Q1097" s="179">
        <v>0.0</v>
      </c>
      <c r="R1097" s="179">
        <v>0.0</v>
      </c>
      <c r="S1097" s="195">
        <v>0.0</v>
      </c>
      <c r="T1097" s="195">
        <v>0.0</v>
      </c>
      <c r="U1097" s="179">
        <v>0.0</v>
      </c>
      <c r="V1097" s="179">
        <v>0.0</v>
      </c>
      <c r="W1097" s="179">
        <v>0.0</v>
      </c>
      <c r="X1097" s="179">
        <v>0.0</v>
      </c>
    </row>
    <row r="1098" ht="15.75" customHeight="1">
      <c r="A1098" s="65">
        <v>45689.0</v>
      </c>
      <c r="B1098" s="10" t="str">
        <f t="array" ref="B1098">_xlfn.XLOOKUP(D1098,'Referanc '!$A:$A,'Referanc '!$B:$B)</f>
        <v>Standing Table  - M8</v>
      </c>
      <c r="C1098" s="179" t="s">
        <v>421</v>
      </c>
      <c r="D1098" s="179" t="s">
        <v>421</v>
      </c>
      <c r="E1098" s="179" t="s">
        <v>1368</v>
      </c>
      <c r="G1098" s="179">
        <v>35.0</v>
      </c>
      <c r="H1098" s="179">
        <v>0.0</v>
      </c>
      <c r="I1098" s="195">
        <v>6.0E-4</v>
      </c>
      <c r="J1098" s="195">
        <v>0.0</v>
      </c>
      <c r="K1098" s="179">
        <v>64.0</v>
      </c>
      <c r="L1098" s="179">
        <v>0.0</v>
      </c>
      <c r="M1098" s="195">
        <v>8.0E-4</v>
      </c>
      <c r="N1098" s="195">
        <v>0.0</v>
      </c>
      <c r="O1098" s="195">
        <v>0.9815</v>
      </c>
      <c r="P1098" s="195">
        <v>0.0</v>
      </c>
      <c r="Q1098" s="179">
        <v>0.0</v>
      </c>
      <c r="R1098" s="179">
        <v>0.0</v>
      </c>
      <c r="S1098" s="195">
        <v>0.0</v>
      </c>
      <c r="T1098" s="195">
        <v>0.0</v>
      </c>
      <c r="U1098" s="179">
        <v>0.0</v>
      </c>
      <c r="V1098" s="179">
        <v>0.0</v>
      </c>
      <c r="W1098" s="179">
        <v>0.0</v>
      </c>
      <c r="X1098" s="179">
        <v>0.0</v>
      </c>
    </row>
    <row r="1099" ht="15.75" customHeight="1">
      <c r="A1099" s="65">
        <v>45689.0</v>
      </c>
      <c r="B1099" s="10" t="str">
        <f t="array" ref="B1099">_xlfn.XLOOKUP(D1099,'Referanc '!$A:$A,'Referanc '!$B:$B)</f>
        <v>Standing Table  - SM4</v>
      </c>
      <c r="C1099" s="179" t="s">
        <v>426</v>
      </c>
      <c r="D1099" s="179" t="s">
        <v>426</v>
      </c>
      <c r="E1099" s="179" t="s">
        <v>714</v>
      </c>
      <c r="G1099" s="179">
        <v>32.0</v>
      </c>
      <c r="H1099" s="179">
        <v>1.0</v>
      </c>
      <c r="I1099" s="195">
        <v>5.0E-4</v>
      </c>
      <c r="J1099" s="195">
        <v>4.0E-4</v>
      </c>
      <c r="K1099" s="179">
        <v>51.0</v>
      </c>
      <c r="L1099" s="179">
        <v>2.0</v>
      </c>
      <c r="M1099" s="195">
        <v>6.0E-4</v>
      </c>
      <c r="N1099" s="195">
        <v>6.0E-4</v>
      </c>
      <c r="O1099" s="195">
        <v>0.7727</v>
      </c>
      <c r="P1099" s="195">
        <v>0.0</v>
      </c>
      <c r="Q1099" s="179">
        <v>0.0</v>
      </c>
      <c r="R1099" s="179">
        <v>0.0</v>
      </c>
      <c r="S1099" s="195">
        <v>0.0</v>
      </c>
      <c r="T1099" s="195">
        <v>0.0</v>
      </c>
      <c r="U1099" s="179">
        <v>0.0</v>
      </c>
      <c r="V1099" s="179">
        <v>0.0</v>
      </c>
      <c r="W1099" s="179">
        <v>0.0</v>
      </c>
      <c r="X1099" s="179">
        <v>0.0</v>
      </c>
    </row>
    <row r="1100" ht="15.75" customHeight="1">
      <c r="A1100" s="65">
        <v>45689.0</v>
      </c>
      <c r="B1100" s="10" t="str">
        <f t="array" ref="B1100">_xlfn.XLOOKUP(D1100,'Referanc '!$A:$A,'Referanc '!$B:$B)</f>
        <v>Standing Table  - SM4</v>
      </c>
      <c r="C1100" s="179" t="s">
        <v>427</v>
      </c>
      <c r="D1100" s="179" t="s">
        <v>427</v>
      </c>
      <c r="E1100" s="179" t="s">
        <v>738</v>
      </c>
      <c r="G1100" s="179">
        <v>47.0</v>
      </c>
      <c r="H1100" s="179">
        <v>1.0</v>
      </c>
      <c r="I1100" s="195">
        <v>8.0E-4</v>
      </c>
      <c r="J1100" s="195">
        <v>4.0E-4</v>
      </c>
      <c r="K1100" s="179">
        <v>76.0</v>
      </c>
      <c r="L1100" s="179">
        <v>2.0</v>
      </c>
      <c r="M1100" s="195">
        <v>9.0E-4</v>
      </c>
      <c r="N1100" s="195">
        <v>6.0E-4</v>
      </c>
      <c r="O1100" s="195">
        <v>0.8361</v>
      </c>
      <c r="P1100" s="195">
        <v>1.0</v>
      </c>
      <c r="Q1100" s="179">
        <v>0.0</v>
      </c>
      <c r="R1100" s="179">
        <v>0.0</v>
      </c>
      <c r="S1100" s="195">
        <v>0.0</v>
      </c>
      <c r="T1100" s="195">
        <v>0.0</v>
      </c>
      <c r="U1100" s="179">
        <v>0.0</v>
      </c>
      <c r="V1100" s="179">
        <v>0.0</v>
      </c>
      <c r="W1100" s="179">
        <v>0.0</v>
      </c>
      <c r="X1100" s="179">
        <v>0.0</v>
      </c>
    </row>
    <row r="1101" ht="15.75" customHeight="1">
      <c r="A1101" s="65">
        <v>45689.0</v>
      </c>
      <c r="B1101" s="10" t="str">
        <f t="array" ref="B1101">_xlfn.XLOOKUP(D1101,'Referanc '!$A:$A,'Referanc '!$B:$B)</f>
        <v>Standing Table  - SM4</v>
      </c>
      <c r="C1101" s="179" t="s">
        <v>430</v>
      </c>
      <c r="D1101" s="179" t="s">
        <v>430</v>
      </c>
      <c r="E1101" s="179" t="s">
        <v>1375</v>
      </c>
      <c r="G1101" s="179">
        <v>28.0</v>
      </c>
      <c r="H1101" s="179">
        <v>0.0</v>
      </c>
      <c r="I1101" s="195">
        <v>5.0E-4</v>
      </c>
      <c r="J1101" s="195">
        <v>0.0</v>
      </c>
      <c r="K1101" s="179">
        <v>46.0</v>
      </c>
      <c r="L1101" s="179">
        <v>0.0</v>
      </c>
      <c r="M1101" s="195">
        <v>6.0E-4</v>
      </c>
      <c r="N1101" s="195">
        <v>0.0</v>
      </c>
      <c r="O1101" s="195">
        <v>0.9231</v>
      </c>
      <c r="P1101" s="195">
        <v>0.0</v>
      </c>
      <c r="Q1101" s="179">
        <v>0.0</v>
      </c>
      <c r="R1101" s="179">
        <v>0.0</v>
      </c>
      <c r="S1101" s="195">
        <v>0.0</v>
      </c>
      <c r="T1101" s="195">
        <v>0.0</v>
      </c>
      <c r="U1101" s="179">
        <v>0.0</v>
      </c>
      <c r="V1101" s="179">
        <v>0.0</v>
      </c>
      <c r="W1101" s="179">
        <v>0.0</v>
      </c>
      <c r="X1101" s="179">
        <v>0.0</v>
      </c>
    </row>
    <row r="1102" ht="15.75" customHeight="1">
      <c r="A1102" s="65">
        <v>45689.0</v>
      </c>
      <c r="B1102" s="10" t="str">
        <f t="array" ref="B1102">_xlfn.XLOOKUP(D1102,'Referanc '!$A:$A,'Referanc '!$B:$B)</f>
        <v>Standing Table  - M14</v>
      </c>
      <c r="C1102" s="179" t="s">
        <v>433</v>
      </c>
      <c r="D1102" s="179" t="s">
        <v>433</v>
      </c>
      <c r="E1102" s="179" t="s">
        <v>723</v>
      </c>
      <c r="G1102" s="179">
        <v>150.0</v>
      </c>
      <c r="H1102" s="179">
        <v>10.0</v>
      </c>
      <c r="I1102" s="195">
        <v>0.0025</v>
      </c>
      <c r="J1102" s="195">
        <v>0.0037</v>
      </c>
      <c r="K1102" s="179">
        <v>167.0</v>
      </c>
      <c r="L1102" s="179">
        <v>12.0</v>
      </c>
      <c r="M1102" s="195">
        <v>0.0021</v>
      </c>
      <c r="N1102" s="195">
        <v>0.0033</v>
      </c>
      <c r="O1102" s="195">
        <v>0.9172</v>
      </c>
      <c r="P1102" s="195">
        <v>0.6</v>
      </c>
      <c r="Q1102" s="179">
        <v>0.0</v>
      </c>
      <c r="R1102" s="179">
        <v>0.0</v>
      </c>
      <c r="S1102" s="195">
        <v>0.0</v>
      </c>
      <c r="T1102" s="195">
        <v>0.0</v>
      </c>
      <c r="U1102" s="179">
        <v>0.0</v>
      </c>
      <c r="V1102" s="179">
        <v>0.0</v>
      </c>
      <c r="W1102" s="179">
        <v>0.0</v>
      </c>
      <c r="X1102" s="179">
        <v>0.0</v>
      </c>
    </row>
    <row r="1103" ht="15.75" customHeight="1">
      <c r="A1103" s="65">
        <v>45689.0</v>
      </c>
      <c r="B1103" s="10" t="str">
        <f t="array" ref="B1103">_xlfn.XLOOKUP(D1103,'Referanc '!$A:$A,'Referanc '!$B:$B)</f>
        <v>Standing Table  - M14</v>
      </c>
      <c r="C1103" s="179" t="s">
        <v>439</v>
      </c>
      <c r="D1103" s="179" t="s">
        <v>439</v>
      </c>
      <c r="E1103" s="179" t="s">
        <v>728</v>
      </c>
      <c r="G1103" s="179">
        <v>175.0</v>
      </c>
      <c r="H1103" s="179">
        <v>9.0</v>
      </c>
      <c r="I1103" s="195">
        <v>0.003</v>
      </c>
      <c r="J1103" s="195">
        <v>0.0033</v>
      </c>
      <c r="K1103" s="179">
        <v>204.0</v>
      </c>
      <c r="L1103" s="179">
        <v>9.0</v>
      </c>
      <c r="M1103" s="195">
        <v>0.0025</v>
      </c>
      <c r="N1103" s="195">
        <v>0.0025</v>
      </c>
      <c r="O1103" s="195">
        <v>0.9148</v>
      </c>
      <c r="P1103" s="195">
        <v>0.4286</v>
      </c>
      <c r="Q1103" s="179">
        <v>0.0</v>
      </c>
      <c r="R1103" s="179">
        <v>0.0</v>
      </c>
      <c r="S1103" s="195">
        <v>0.0</v>
      </c>
      <c r="T1103" s="195">
        <v>0.0</v>
      </c>
      <c r="U1103" s="179">
        <v>0.0</v>
      </c>
      <c r="V1103" s="179">
        <v>0.0</v>
      </c>
      <c r="W1103" s="179">
        <v>0.0</v>
      </c>
      <c r="X1103" s="179">
        <v>0.0</v>
      </c>
    </row>
    <row r="1104" ht="15.75" customHeight="1">
      <c r="A1104" s="65">
        <v>45689.0</v>
      </c>
      <c r="B1104" s="10" t="str">
        <f t="array" ref="B1104">_xlfn.XLOOKUP(D1104,'Referanc '!$A:$A,'Referanc '!$B:$B)</f>
        <v>Standing Table  - M14</v>
      </c>
      <c r="C1104" s="179" t="s">
        <v>441</v>
      </c>
      <c r="D1104" s="179" t="s">
        <v>441</v>
      </c>
      <c r="E1104" s="179" t="s">
        <v>730</v>
      </c>
      <c r="G1104" s="179">
        <v>342.0</v>
      </c>
      <c r="H1104" s="179">
        <v>12.0</v>
      </c>
      <c r="I1104" s="195">
        <v>0.0058</v>
      </c>
      <c r="J1104" s="195">
        <v>0.0045</v>
      </c>
      <c r="K1104" s="179">
        <v>464.0</v>
      </c>
      <c r="L1104" s="179">
        <v>12.0</v>
      </c>
      <c r="M1104" s="195">
        <v>0.0057</v>
      </c>
      <c r="N1104" s="195">
        <v>0.0033</v>
      </c>
      <c r="O1104" s="195">
        <v>0.9529</v>
      </c>
      <c r="P1104" s="195">
        <v>0.6</v>
      </c>
      <c r="Q1104" s="179">
        <v>0.0</v>
      </c>
      <c r="R1104" s="179">
        <v>0.0</v>
      </c>
      <c r="S1104" s="195">
        <v>0.0</v>
      </c>
      <c r="T1104" s="195">
        <v>0.0</v>
      </c>
      <c r="U1104" s="179">
        <v>0.0</v>
      </c>
      <c r="V1104" s="179">
        <v>0.0</v>
      </c>
      <c r="W1104" s="179">
        <v>0.0</v>
      </c>
      <c r="X1104" s="179">
        <v>0.0</v>
      </c>
    </row>
    <row r="1105" ht="15.75" customHeight="1">
      <c r="A1105" s="65">
        <v>45717.0</v>
      </c>
      <c r="B1105" s="10" t="str">
        <f t="array" ref="B1105">_xlfn.XLOOKUP(D1105,'Referanc '!$A:$A,'Referanc '!$B:$B)</f>
        <v>Desk Cable Tray</v>
      </c>
      <c r="C1105" s="179" t="s">
        <v>325</v>
      </c>
      <c r="D1105" s="179" t="s">
        <v>325</v>
      </c>
      <c r="E1105" s="179" t="s">
        <v>1372</v>
      </c>
      <c r="F1105" s="179"/>
      <c r="G1105" s="207">
        <v>10216.0</v>
      </c>
      <c r="H1105" s="179">
        <v>439.0</v>
      </c>
      <c r="I1105" s="195">
        <v>0.1334</v>
      </c>
      <c r="J1105" s="195">
        <v>0.1476</v>
      </c>
      <c r="K1105" s="207">
        <v>14215.0</v>
      </c>
      <c r="L1105" s="179">
        <v>609.0</v>
      </c>
      <c r="M1105" s="195">
        <v>0.1368</v>
      </c>
      <c r="N1105" s="195">
        <v>0.1496</v>
      </c>
      <c r="O1105" s="195">
        <v>0.9988</v>
      </c>
      <c r="P1105" s="195">
        <v>1.0</v>
      </c>
      <c r="Q1105" s="179">
        <v>139.0</v>
      </c>
      <c r="R1105" s="179">
        <v>10.0</v>
      </c>
      <c r="S1105" s="195">
        <v>0.0136</v>
      </c>
      <c r="T1105" s="195">
        <v>0.0228</v>
      </c>
      <c r="U1105" s="179">
        <v>306564.0</v>
      </c>
      <c r="V1105" s="179">
        <v>22291.0</v>
      </c>
      <c r="W1105" s="179">
        <v>135.0</v>
      </c>
      <c r="X1105" s="179">
        <v>10.0</v>
      </c>
    </row>
    <row r="1106" ht="15.75" customHeight="1">
      <c r="A1106" s="65">
        <v>45717.0</v>
      </c>
      <c r="B1106" s="10" t="str">
        <f t="array" ref="B1106">_xlfn.XLOOKUP(D1106,'Referanc '!$A:$A,'Referanc '!$B:$B)</f>
        <v>Desk Cable Tray</v>
      </c>
      <c r="C1106" s="179" t="s">
        <v>444</v>
      </c>
      <c r="D1106" s="179" t="s">
        <v>444</v>
      </c>
      <c r="E1106" s="179" t="s">
        <v>734</v>
      </c>
      <c r="F1106" s="179"/>
      <c r="G1106" s="207">
        <v>5120.0</v>
      </c>
      <c r="H1106" s="179">
        <v>243.0</v>
      </c>
      <c r="I1106" s="195">
        <v>0.0668</v>
      </c>
      <c r="J1106" s="195">
        <v>0.0817</v>
      </c>
      <c r="K1106" s="207">
        <v>7221.0</v>
      </c>
      <c r="L1106" s="179">
        <v>345.0</v>
      </c>
      <c r="M1106" s="195">
        <v>0.0695</v>
      </c>
      <c r="N1106" s="195">
        <v>0.0847</v>
      </c>
      <c r="O1106" s="195">
        <v>0.9998</v>
      </c>
      <c r="P1106" s="195">
        <v>1.0</v>
      </c>
      <c r="Q1106" s="179">
        <v>122.0</v>
      </c>
      <c r="R1106" s="179">
        <v>8.0</v>
      </c>
      <c r="S1106" s="195">
        <v>0.0238</v>
      </c>
      <c r="T1106" s="195">
        <v>0.0329</v>
      </c>
      <c r="U1106" s="179">
        <v>207278.0</v>
      </c>
      <c r="V1106" s="179">
        <v>13592.0</v>
      </c>
      <c r="W1106" s="179">
        <v>102.0</v>
      </c>
      <c r="X1106" s="179">
        <v>6.0</v>
      </c>
    </row>
    <row r="1107" ht="15.75" customHeight="1">
      <c r="A1107" s="65">
        <v>45717.0</v>
      </c>
      <c r="B1107" s="10" t="str">
        <f t="array" ref="B1107">_xlfn.XLOOKUP(D1107,'Referanc '!$A:$A,'Referanc '!$B:$B)</f>
        <v>Monitor Arm Stand</v>
      </c>
      <c r="C1107" s="179" t="s">
        <v>353</v>
      </c>
      <c r="D1107" s="179" t="s">
        <v>353</v>
      </c>
      <c r="E1107" s="179" t="s">
        <v>691</v>
      </c>
      <c r="F1107" s="179"/>
      <c r="G1107" s="207">
        <v>5863.0</v>
      </c>
      <c r="H1107" s="179">
        <v>223.0</v>
      </c>
      <c r="I1107" s="195">
        <v>0.0765</v>
      </c>
      <c r="J1107" s="195">
        <v>0.075</v>
      </c>
      <c r="K1107" s="207">
        <v>9292.0</v>
      </c>
      <c r="L1107" s="179">
        <v>352.0</v>
      </c>
      <c r="M1107" s="195">
        <v>0.0894</v>
      </c>
      <c r="N1107" s="195">
        <v>0.0864</v>
      </c>
      <c r="O1107" s="195">
        <v>0.9901</v>
      </c>
      <c r="P1107" s="195">
        <v>0.9798</v>
      </c>
      <c r="Q1107" s="179">
        <v>97.0</v>
      </c>
      <c r="R1107" s="179">
        <v>5.0</v>
      </c>
      <c r="S1107" s="195">
        <v>0.0165</v>
      </c>
      <c r="T1107" s="195">
        <v>0.0224</v>
      </c>
      <c r="U1107" s="179">
        <v>289407.0</v>
      </c>
      <c r="V1107" s="179">
        <v>14995.0</v>
      </c>
      <c r="W1107" s="179">
        <v>93.0</v>
      </c>
      <c r="X1107" s="179">
        <v>5.0</v>
      </c>
    </row>
    <row r="1108" ht="15.75" customHeight="1">
      <c r="A1108" s="65">
        <v>45717.0</v>
      </c>
      <c r="B1108" s="10" t="str">
        <f t="array" ref="B1108">_xlfn.XLOOKUP(D1108,'Referanc '!$A:$A,'Referanc '!$B:$B)</f>
        <v>Extension &amp; Holder</v>
      </c>
      <c r="C1108" s="179" t="s">
        <v>307</v>
      </c>
      <c r="D1108" s="179" t="s">
        <v>307</v>
      </c>
      <c r="E1108" s="179" t="s">
        <v>1370</v>
      </c>
      <c r="F1108" s="179"/>
      <c r="G1108" s="207">
        <v>1902.0</v>
      </c>
      <c r="H1108" s="179">
        <v>121.0</v>
      </c>
      <c r="I1108" s="195">
        <v>0.0248</v>
      </c>
      <c r="J1108" s="195">
        <v>0.0407</v>
      </c>
      <c r="K1108" s="207">
        <v>2496.0</v>
      </c>
      <c r="L1108" s="179">
        <v>153.0</v>
      </c>
      <c r="M1108" s="195">
        <v>0.024</v>
      </c>
      <c r="N1108" s="195">
        <v>0.0376</v>
      </c>
      <c r="O1108" s="195">
        <v>0.9935</v>
      </c>
      <c r="P1108" s="195">
        <v>0.9796</v>
      </c>
      <c r="Q1108" s="179">
        <v>29.0</v>
      </c>
      <c r="R1108" s="179">
        <v>0.0</v>
      </c>
      <c r="S1108" s="195">
        <v>0.0152</v>
      </c>
      <c r="T1108" s="195">
        <v>0.0</v>
      </c>
      <c r="U1108" s="179">
        <v>31971.0</v>
      </c>
      <c r="V1108" s="179">
        <v>0.0</v>
      </c>
      <c r="W1108" s="179">
        <v>21.0</v>
      </c>
      <c r="X1108" s="179">
        <v>0.0</v>
      </c>
    </row>
    <row r="1109" ht="15.75" customHeight="1">
      <c r="A1109" s="65">
        <v>45717.0</v>
      </c>
      <c r="B1109" s="10" t="str">
        <f t="array" ref="B1109">_xlfn.XLOOKUP(D1109,'Referanc '!$A:$A,'Referanc '!$B:$B)</f>
        <v>Monitor Arm Stand</v>
      </c>
      <c r="C1109" s="179" t="s">
        <v>447</v>
      </c>
      <c r="D1109" s="179" t="s">
        <v>447</v>
      </c>
      <c r="E1109" s="179" t="s">
        <v>741</v>
      </c>
      <c r="F1109" s="179"/>
      <c r="G1109" s="207">
        <v>1768.0</v>
      </c>
      <c r="H1109" s="179">
        <v>80.0</v>
      </c>
      <c r="I1109" s="195">
        <v>0.0231</v>
      </c>
      <c r="J1109" s="195">
        <v>0.0269</v>
      </c>
      <c r="K1109" s="207">
        <v>2253.0</v>
      </c>
      <c r="L1109" s="179">
        <v>92.0</v>
      </c>
      <c r="M1109" s="195">
        <v>0.0217</v>
      </c>
      <c r="N1109" s="195">
        <v>0.0226</v>
      </c>
      <c r="O1109" s="195">
        <v>0.9427</v>
      </c>
      <c r="P1109" s="195">
        <v>0.9286</v>
      </c>
      <c r="Q1109" s="179">
        <v>22.0</v>
      </c>
      <c r="R1109" s="179">
        <v>3.0</v>
      </c>
      <c r="S1109" s="195">
        <v>0.0124</v>
      </c>
      <c r="T1109" s="195">
        <v>0.0375</v>
      </c>
      <c r="U1109" s="179">
        <v>66700.0</v>
      </c>
      <c r="V1109" s="179">
        <v>8850.0</v>
      </c>
      <c r="W1109" s="179">
        <v>21.0</v>
      </c>
      <c r="X1109" s="179">
        <v>2.0</v>
      </c>
    </row>
    <row r="1110" ht="15.75" customHeight="1">
      <c r="A1110" s="65">
        <v>45717.0</v>
      </c>
      <c r="B1110" s="10" t="str">
        <f t="array" ref="B1110">_xlfn.XLOOKUP(D1110,'Referanc '!$A:$A,'Referanc '!$B:$B)</f>
        <v>Standing Table - All Frames</v>
      </c>
      <c r="C1110" s="179" t="s">
        <v>298</v>
      </c>
      <c r="D1110" s="179" t="s">
        <v>298</v>
      </c>
      <c r="E1110" s="179" t="s">
        <v>1168</v>
      </c>
      <c r="F1110" s="179"/>
      <c r="G1110" s="207">
        <v>1560.0</v>
      </c>
      <c r="H1110" s="179">
        <v>83.0</v>
      </c>
      <c r="I1110" s="195">
        <v>0.0204</v>
      </c>
      <c r="J1110" s="195">
        <v>0.0279</v>
      </c>
      <c r="K1110" s="207">
        <v>2266.0</v>
      </c>
      <c r="L1110" s="179">
        <v>117.0</v>
      </c>
      <c r="M1110" s="195">
        <v>0.0218</v>
      </c>
      <c r="N1110" s="195">
        <v>0.0287</v>
      </c>
      <c r="O1110" s="195">
        <v>0.8471</v>
      </c>
      <c r="P1110" s="195">
        <v>0.7042</v>
      </c>
      <c r="Q1110" s="179">
        <v>18.0</v>
      </c>
      <c r="R1110" s="179">
        <v>4.0</v>
      </c>
      <c r="S1110" s="195">
        <v>0.0115</v>
      </c>
      <c r="T1110" s="195">
        <v>0.0482</v>
      </c>
      <c r="U1110" s="179">
        <v>300484.8</v>
      </c>
      <c r="V1110" s="179">
        <v>67270.58</v>
      </c>
      <c r="W1110" s="179">
        <v>17.0</v>
      </c>
      <c r="X1110" s="179">
        <v>3.0</v>
      </c>
    </row>
    <row r="1111" ht="15.75" customHeight="1">
      <c r="A1111" s="65">
        <v>45717.0</v>
      </c>
      <c r="B1111" s="10" t="str">
        <f t="array" ref="B1111">_xlfn.XLOOKUP(D1111,'Referanc '!$A:$A,'Referanc '!$B:$B)</f>
        <v>Cup and Headphone Holder</v>
      </c>
      <c r="C1111" s="179" t="s">
        <v>322</v>
      </c>
      <c r="D1111" s="179" t="s">
        <v>322</v>
      </c>
      <c r="E1111" s="179" t="s">
        <v>1376</v>
      </c>
      <c r="F1111" s="179"/>
      <c r="G1111" s="179">
        <v>571.0</v>
      </c>
      <c r="H1111" s="179">
        <v>16.0</v>
      </c>
      <c r="I1111" s="195">
        <v>0.0075</v>
      </c>
      <c r="J1111" s="195">
        <v>0.0054</v>
      </c>
      <c r="K1111" s="179">
        <v>805.0</v>
      </c>
      <c r="L1111" s="179">
        <v>16.0</v>
      </c>
      <c r="M1111" s="195">
        <v>0.0077</v>
      </c>
      <c r="N1111" s="195">
        <v>0.0039</v>
      </c>
      <c r="O1111" s="195">
        <v>1.0</v>
      </c>
      <c r="P1111" s="195">
        <v>1.0</v>
      </c>
      <c r="Q1111" s="179">
        <v>15.0</v>
      </c>
      <c r="R1111" s="179">
        <v>0.0</v>
      </c>
      <c r="S1111" s="195">
        <v>0.0263</v>
      </c>
      <c r="T1111" s="195">
        <v>0.0</v>
      </c>
      <c r="U1111" s="179">
        <v>7485.0</v>
      </c>
      <c r="V1111" s="179">
        <v>0.0</v>
      </c>
      <c r="W1111" s="179">
        <v>14.0</v>
      </c>
      <c r="X1111" s="179">
        <v>0.0</v>
      </c>
    </row>
    <row r="1112" ht="15.75" customHeight="1">
      <c r="A1112" s="65">
        <v>45717.0</v>
      </c>
      <c r="B1112" s="10" t="str">
        <f t="array" ref="B1112">_xlfn.XLOOKUP(D1112,'Referanc '!$A:$A,'Referanc '!$B:$B)</f>
        <v>Standing Table  - SM3</v>
      </c>
      <c r="C1112" s="179" t="s">
        <v>291</v>
      </c>
      <c r="D1112" s="179" t="s">
        <v>291</v>
      </c>
      <c r="E1112" s="179" t="s">
        <v>1373</v>
      </c>
      <c r="F1112" s="179"/>
      <c r="G1112" s="207">
        <v>3931.0</v>
      </c>
      <c r="H1112" s="179">
        <v>119.0</v>
      </c>
      <c r="I1112" s="195">
        <v>0.0513</v>
      </c>
      <c r="J1112" s="195">
        <v>0.04</v>
      </c>
      <c r="K1112" s="207">
        <v>5190.0</v>
      </c>
      <c r="L1112" s="179">
        <v>149.0</v>
      </c>
      <c r="M1112" s="195">
        <v>0.05</v>
      </c>
      <c r="N1112" s="195">
        <v>0.0366</v>
      </c>
      <c r="O1112" s="195">
        <v>0.7278</v>
      </c>
      <c r="P1112" s="195">
        <v>0.6813</v>
      </c>
      <c r="Q1112" s="179">
        <v>13.0</v>
      </c>
      <c r="R1112" s="179">
        <v>0.0</v>
      </c>
      <c r="S1112" s="195">
        <v>0.0033</v>
      </c>
      <c r="T1112" s="195">
        <v>0.0</v>
      </c>
      <c r="U1112" s="179">
        <v>265328.0</v>
      </c>
      <c r="V1112" s="179">
        <v>0.0</v>
      </c>
      <c r="W1112" s="179">
        <v>13.0</v>
      </c>
      <c r="X1112" s="179">
        <v>0.0</v>
      </c>
    </row>
    <row r="1113" ht="15.75" customHeight="1">
      <c r="A1113" s="65">
        <v>45717.0</v>
      </c>
      <c r="B1113" s="10" t="str">
        <f t="array" ref="B1113">_xlfn.XLOOKUP(D1113,'Referanc '!$A:$A,'Referanc '!$B:$B)</f>
        <v>Standing Table - All Frames</v>
      </c>
      <c r="C1113" s="179" t="s">
        <v>368</v>
      </c>
      <c r="D1113" s="179" t="s">
        <v>368</v>
      </c>
      <c r="E1113" s="179" t="s">
        <v>1184</v>
      </c>
      <c r="F1113" s="179"/>
      <c r="G1113" s="179">
        <v>594.0</v>
      </c>
      <c r="H1113" s="179">
        <v>18.0</v>
      </c>
      <c r="I1113" s="195">
        <v>0.0078</v>
      </c>
      <c r="J1113" s="195">
        <v>0.0061</v>
      </c>
      <c r="K1113" s="179">
        <v>905.0</v>
      </c>
      <c r="L1113" s="179">
        <v>23.0</v>
      </c>
      <c r="M1113" s="195">
        <v>0.0087</v>
      </c>
      <c r="N1113" s="195">
        <v>0.0056</v>
      </c>
      <c r="O1113" s="195">
        <v>0.8761</v>
      </c>
      <c r="P1113" s="195">
        <v>0.75</v>
      </c>
      <c r="Q1113" s="179">
        <v>11.0</v>
      </c>
      <c r="R1113" s="179">
        <v>1.0</v>
      </c>
      <c r="S1113" s="195">
        <v>0.0185</v>
      </c>
      <c r="T1113" s="195">
        <v>0.0556</v>
      </c>
      <c r="U1113" s="179">
        <v>189671.7</v>
      </c>
      <c r="V1113" s="179">
        <v>17021.86</v>
      </c>
      <c r="W1113" s="179">
        <v>11.0</v>
      </c>
      <c r="X1113" s="179">
        <v>1.0</v>
      </c>
    </row>
    <row r="1114" ht="15.75" customHeight="1">
      <c r="A1114" s="65">
        <v>45717.0</v>
      </c>
      <c r="B1114" s="10" t="str">
        <f t="array" ref="B1114">_xlfn.XLOOKUP(D1114,'Referanc '!$A:$A,'Referanc '!$B:$B)</f>
        <v>Standing Table  - SM3</v>
      </c>
      <c r="C1114" s="179" t="s">
        <v>304</v>
      </c>
      <c r="D1114" s="179" t="s">
        <v>304</v>
      </c>
      <c r="E1114" s="179" t="s">
        <v>1161</v>
      </c>
      <c r="F1114" s="179"/>
      <c r="G1114" s="207">
        <v>1775.0</v>
      </c>
      <c r="H1114" s="179">
        <v>72.0</v>
      </c>
      <c r="I1114" s="195">
        <v>0.0232</v>
      </c>
      <c r="J1114" s="195">
        <v>0.0242</v>
      </c>
      <c r="K1114" s="207">
        <v>2396.0</v>
      </c>
      <c r="L1114" s="179">
        <v>88.0</v>
      </c>
      <c r="M1114" s="195">
        <v>0.0231</v>
      </c>
      <c r="N1114" s="195">
        <v>0.0216</v>
      </c>
      <c r="O1114" s="195">
        <v>0.8736</v>
      </c>
      <c r="P1114" s="195">
        <v>0.8125</v>
      </c>
      <c r="Q1114" s="179">
        <v>10.0</v>
      </c>
      <c r="R1114" s="179">
        <v>0.0</v>
      </c>
      <c r="S1114" s="195">
        <v>0.0056</v>
      </c>
      <c r="T1114" s="195">
        <v>0.0</v>
      </c>
      <c r="U1114" s="179">
        <v>199631.7</v>
      </c>
      <c r="V1114" s="179">
        <v>0.0</v>
      </c>
      <c r="W1114" s="179">
        <v>10.0</v>
      </c>
      <c r="X1114" s="179">
        <v>0.0</v>
      </c>
    </row>
    <row r="1115" ht="15.75" customHeight="1">
      <c r="A1115" s="65">
        <v>45717.0</v>
      </c>
      <c r="B1115" s="10" t="str">
        <f t="array" ref="B1115">_xlfn.XLOOKUP(D1115,'Referanc '!$A:$A,'Referanc '!$B:$B)</f>
        <v>Footrests</v>
      </c>
      <c r="C1115" s="179" t="s">
        <v>337</v>
      </c>
      <c r="D1115" s="179" t="s">
        <v>337</v>
      </c>
      <c r="E1115" s="179" t="s">
        <v>545</v>
      </c>
      <c r="F1115" s="179"/>
      <c r="G1115" s="179">
        <v>489.0</v>
      </c>
      <c r="H1115" s="179">
        <v>21.0</v>
      </c>
      <c r="I1115" s="195">
        <v>0.0064</v>
      </c>
      <c r="J1115" s="195">
        <v>0.0071</v>
      </c>
      <c r="K1115" s="179">
        <v>638.0</v>
      </c>
      <c r="L1115" s="179">
        <v>23.0</v>
      </c>
      <c r="M1115" s="195">
        <v>0.0061</v>
      </c>
      <c r="N1115" s="195">
        <v>0.0056</v>
      </c>
      <c r="O1115" s="195">
        <v>0.9964</v>
      </c>
      <c r="P1115" s="195">
        <v>1.0</v>
      </c>
      <c r="Q1115" s="179">
        <v>10.0</v>
      </c>
      <c r="R1115" s="179">
        <v>0.0</v>
      </c>
      <c r="S1115" s="195">
        <v>0.0204</v>
      </c>
      <c r="T1115" s="195">
        <v>0.0</v>
      </c>
      <c r="U1115" s="179">
        <v>21990.0</v>
      </c>
      <c r="V1115" s="179">
        <v>0.0</v>
      </c>
      <c r="W1115" s="179">
        <v>10.0</v>
      </c>
      <c r="X1115" s="179">
        <v>0.0</v>
      </c>
    </row>
    <row r="1116" ht="15.75" customHeight="1">
      <c r="A1116" s="65">
        <v>45717.0</v>
      </c>
      <c r="B1116" s="10" t="str">
        <f t="array" ref="B1116">_xlfn.XLOOKUP(D1116,'Referanc '!$A:$A,'Referanc '!$B:$B)</f>
        <v>Monitor Arm Stand</v>
      </c>
      <c r="C1116" s="179" t="s">
        <v>355</v>
      </c>
      <c r="D1116" s="179" t="s">
        <v>355</v>
      </c>
      <c r="E1116" s="179" t="s">
        <v>1150</v>
      </c>
      <c r="F1116" s="179"/>
      <c r="G1116" s="207">
        <v>2074.0</v>
      </c>
      <c r="H1116" s="179">
        <v>84.0</v>
      </c>
      <c r="I1116" s="195">
        <v>0.0271</v>
      </c>
      <c r="J1116" s="195">
        <v>0.0282</v>
      </c>
      <c r="K1116" s="207">
        <v>2584.0</v>
      </c>
      <c r="L1116" s="179">
        <v>106.0</v>
      </c>
      <c r="M1116" s="195">
        <v>0.0249</v>
      </c>
      <c r="N1116" s="195">
        <v>0.026</v>
      </c>
      <c r="O1116" s="195">
        <v>0.9991</v>
      </c>
      <c r="P1116" s="195">
        <v>1.0</v>
      </c>
      <c r="Q1116" s="179">
        <v>10.0</v>
      </c>
      <c r="R1116" s="179">
        <v>0.0</v>
      </c>
      <c r="S1116" s="195">
        <v>0.0048</v>
      </c>
      <c r="T1116" s="195">
        <v>0.0</v>
      </c>
      <c r="U1116" s="179">
        <v>58890.0</v>
      </c>
      <c r="V1116" s="179">
        <v>0.0</v>
      </c>
      <c r="W1116" s="179">
        <v>10.0</v>
      </c>
      <c r="X1116" s="179">
        <v>0.0</v>
      </c>
    </row>
    <row r="1117" ht="15.75" customHeight="1">
      <c r="A1117" s="65">
        <v>45717.0</v>
      </c>
      <c r="B1117" s="10" t="str">
        <f t="array" ref="B1117">_xlfn.XLOOKUP(D1117,'Referanc '!$A:$A,'Referanc '!$B:$B)</f>
        <v>Standing Table  - E4</v>
      </c>
      <c r="C1117" s="179" t="s">
        <v>396</v>
      </c>
      <c r="D1117" s="179" t="s">
        <v>396</v>
      </c>
      <c r="E1117" s="179" t="s">
        <v>1321</v>
      </c>
      <c r="F1117" s="179"/>
      <c r="G1117" s="179">
        <v>664.0</v>
      </c>
      <c r="H1117" s="179">
        <v>31.0</v>
      </c>
      <c r="I1117" s="195">
        <v>0.0087</v>
      </c>
      <c r="J1117" s="195">
        <v>0.0104</v>
      </c>
      <c r="K1117" s="179">
        <v>956.0</v>
      </c>
      <c r="L1117" s="179">
        <v>57.0</v>
      </c>
      <c r="M1117" s="195">
        <v>0.0092</v>
      </c>
      <c r="N1117" s="195">
        <v>0.014</v>
      </c>
      <c r="O1117" s="195">
        <v>0.9218</v>
      </c>
      <c r="P1117" s="195">
        <v>0.8889</v>
      </c>
      <c r="Q1117" s="179">
        <v>9.0</v>
      </c>
      <c r="R1117" s="179">
        <v>2.0</v>
      </c>
      <c r="S1117" s="195">
        <v>0.0136</v>
      </c>
      <c r="T1117" s="195">
        <v>0.0645</v>
      </c>
      <c r="U1117" s="179">
        <v>259075.4</v>
      </c>
      <c r="V1117" s="179">
        <v>56854.24</v>
      </c>
      <c r="W1117" s="179">
        <v>9.0</v>
      </c>
      <c r="X1117" s="179">
        <v>2.0</v>
      </c>
    </row>
    <row r="1118" ht="15.75" customHeight="1">
      <c r="A1118" s="65">
        <v>45717.0</v>
      </c>
      <c r="B1118" s="10" t="str">
        <f t="array" ref="B1118">_xlfn.XLOOKUP(D1118,'Referanc '!$A:$A,'Referanc '!$B:$B)</f>
        <v>Standing Table  - SM3</v>
      </c>
      <c r="C1118" s="179" t="s">
        <v>301</v>
      </c>
      <c r="D1118" s="179" t="s">
        <v>301</v>
      </c>
      <c r="E1118" s="179" t="s">
        <v>1374</v>
      </c>
      <c r="F1118" s="179"/>
      <c r="G1118" s="207">
        <v>1263.0</v>
      </c>
      <c r="H1118" s="179">
        <v>35.0</v>
      </c>
      <c r="I1118" s="195">
        <v>0.0165</v>
      </c>
      <c r="J1118" s="195">
        <v>0.0118</v>
      </c>
      <c r="K1118" s="207">
        <v>1667.0</v>
      </c>
      <c r="L1118" s="179">
        <v>53.0</v>
      </c>
      <c r="M1118" s="195">
        <v>0.016</v>
      </c>
      <c r="N1118" s="195">
        <v>0.013</v>
      </c>
      <c r="O1118" s="195">
        <v>0.8625</v>
      </c>
      <c r="P1118" s="195">
        <v>0.9</v>
      </c>
      <c r="Q1118" s="179">
        <v>8.0</v>
      </c>
      <c r="R1118" s="179">
        <v>0.0</v>
      </c>
      <c r="S1118" s="195">
        <v>0.0063</v>
      </c>
      <c r="T1118" s="195">
        <v>0.0</v>
      </c>
      <c r="U1118" s="179">
        <v>184151.2</v>
      </c>
      <c r="V1118" s="179">
        <v>0.0</v>
      </c>
      <c r="W1118" s="179">
        <v>8.0</v>
      </c>
      <c r="X1118" s="179">
        <v>0.0</v>
      </c>
    </row>
    <row r="1119" ht="15.75" customHeight="1">
      <c r="A1119" s="65">
        <v>45717.0</v>
      </c>
      <c r="B1119" s="10" t="str">
        <f t="array" ref="B1119">_xlfn.XLOOKUP(D1119,'Referanc '!$A:$A,'Referanc '!$B:$B)</f>
        <v>Standing Table  - SM4</v>
      </c>
      <c r="C1119" s="179" t="s">
        <v>448</v>
      </c>
      <c r="D1119" s="179" t="s">
        <v>448</v>
      </c>
      <c r="E1119" s="179" t="s">
        <v>738</v>
      </c>
      <c r="F1119" s="179"/>
      <c r="G1119" s="207">
        <v>1009.0</v>
      </c>
      <c r="H1119" s="179">
        <v>39.0</v>
      </c>
      <c r="I1119" s="195">
        <v>0.0132</v>
      </c>
      <c r="J1119" s="195">
        <v>0.0131</v>
      </c>
      <c r="K1119" s="207">
        <v>1469.0</v>
      </c>
      <c r="L1119" s="179">
        <v>59.0</v>
      </c>
      <c r="M1119" s="195">
        <v>0.0141</v>
      </c>
      <c r="N1119" s="195">
        <v>0.0145</v>
      </c>
      <c r="O1119" s="195">
        <v>0.9676</v>
      </c>
      <c r="P1119" s="195">
        <v>0.878</v>
      </c>
      <c r="Q1119" s="179">
        <v>8.0</v>
      </c>
      <c r="R1119" s="179">
        <v>1.0</v>
      </c>
      <c r="S1119" s="195">
        <v>0.0079</v>
      </c>
      <c r="T1119" s="195">
        <v>0.0256</v>
      </c>
      <c r="U1119" s="179">
        <v>133970.0</v>
      </c>
      <c r="V1119" s="179">
        <v>16325.0</v>
      </c>
      <c r="W1119" s="179">
        <v>8.0</v>
      </c>
      <c r="X1119" s="179">
        <v>1.0</v>
      </c>
    </row>
    <row r="1120" ht="15.75" customHeight="1">
      <c r="A1120" s="65">
        <v>45717.0</v>
      </c>
      <c r="B1120" s="10" t="str">
        <f t="array" ref="B1120">_xlfn.XLOOKUP(D1120,'Referanc '!$A:$A,'Referanc '!$B:$B)</f>
        <v>Desk Cable Tray</v>
      </c>
      <c r="C1120" s="179" t="s">
        <v>329</v>
      </c>
      <c r="D1120" s="179" t="s">
        <v>329</v>
      </c>
      <c r="E1120" s="179" t="s">
        <v>721</v>
      </c>
      <c r="F1120" s="179"/>
      <c r="G1120" s="179">
        <v>593.0</v>
      </c>
      <c r="H1120" s="179">
        <v>23.0</v>
      </c>
      <c r="I1120" s="195">
        <v>0.0077</v>
      </c>
      <c r="J1120" s="195">
        <v>0.0077</v>
      </c>
      <c r="K1120" s="179">
        <v>827.0</v>
      </c>
      <c r="L1120" s="179">
        <v>31.0</v>
      </c>
      <c r="M1120" s="195">
        <v>0.008</v>
      </c>
      <c r="N1120" s="195">
        <v>0.0076</v>
      </c>
      <c r="O1120" s="195">
        <v>0.993</v>
      </c>
      <c r="P1120" s="195">
        <v>0.96</v>
      </c>
      <c r="Q1120" s="179">
        <v>9.0</v>
      </c>
      <c r="R1120" s="179">
        <v>2.0</v>
      </c>
      <c r="S1120" s="195">
        <v>0.0152</v>
      </c>
      <c r="T1120" s="195">
        <v>0.087</v>
      </c>
      <c r="U1120" s="179">
        <v>12249.0</v>
      </c>
      <c r="V1120" s="179">
        <v>2778.0</v>
      </c>
      <c r="W1120" s="179">
        <v>8.0</v>
      </c>
      <c r="X1120" s="179">
        <v>2.0</v>
      </c>
    </row>
    <row r="1121" ht="15.75" customHeight="1">
      <c r="A1121" s="65">
        <v>45717.0</v>
      </c>
      <c r="B1121" s="10" t="str">
        <f t="array" ref="B1121">_xlfn.XLOOKUP(D1121,'Referanc '!$A:$A,'Referanc '!$B:$B)</f>
        <v>Standing Table  - SM3</v>
      </c>
      <c r="C1121" s="179" t="s">
        <v>296</v>
      </c>
      <c r="D1121" s="179" t="s">
        <v>296</v>
      </c>
      <c r="E1121" s="179" t="s">
        <v>1165</v>
      </c>
      <c r="F1121" s="179"/>
      <c r="G1121" s="179">
        <v>770.0</v>
      </c>
      <c r="H1121" s="179">
        <v>28.0</v>
      </c>
      <c r="I1121" s="195">
        <v>0.0101</v>
      </c>
      <c r="J1121" s="195">
        <v>0.0094</v>
      </c>
      <c r="K1121" s="207">
        <v>1028.0</v>
      </c>
      <c r="L1121" s="179">
        <v>34.0</v>
      </c>
      <c r="M1121" s="195">
        <v>0.0099</v>
      </c>
      <c r="N1121" s="195">
        <v>0.0083</v>
      </c>
      <c r="O1121" s="195">
        <v>0.8527</v>
      </c>
      <c r="P1121" s="195">
        <v>0.9091</v>
      </c>
      <c r="Q1121" s="179">
        <v>7.0</v>
      </c>
      <c r="R1121" s="179">
        <v>0.0</v>
      </c>
      <c r="S1121" s="195">
        <v>0.0091</v>
      </c>
      <c r="T1121" s="195">
        <v>0.0</v>
      </c>
      <c r="U1121" s="179">
        <v>167128.0</v>
      </c>
      <c r="V1121" s="179">
        <v>0.0</v>
      </c>
      <c r="W1121" s="179">
        <v>7.0</v>
      </c>
      <c r="X1121" s="179">
        <v>0.0</v>
      </c>
    </row>
    <row r="1122" ht="15.75" customHeight="1">
      <c r="A1122" s="65">
        <v>45717.0</v>
      </c>
      <c r="B1122" s="10" t="str">
        <f t="array" ref="B1122">_xlfn.XLOOKUP(D1122,'Referanc '!$A:$A,'Referanc '!$B:$B)</f>
        <v>Standing Table  - SM4</v>
      </c>
      <c r="C1122" s="179" t="s">
        <v>430</v>
      </c>
      <c r="D1122" s="179" t="s">
        <v>430</v>
      </c>
      <c r="E1122" s="179" t="s">
        <v>1375</v>
      </c>
      <c r="F1122" s="179"/>
      <c r="G1122" s="207">
        <v>1179.0</v>
      </c>
      <c r="H1122" s="179">
        <v>31.0</v>
      </c>
      <c r="I1122" s="195">
        <v>0.0154</v>
      </c>
      <c r="J1122" s="195">
        <v>0.0104</v>
      </c>
      <c r="K1122" s="207">
        <v>1706.0</v>
      </c>
      <c r="L1122" s="179">
        <v>41.0</v>
      </c>
      <c r="M1122" s="195">
        <v>0.0164</v>
      </c>
      <c r="N1122" s="195">
        <v>0.0101</v>
      </c>
      <c r="O1122" s="195">
        <v>0.8204</v>
      </c>
      <c r="P1122" s="195">
        <v>0.5652</v>
      </c>
      <c r="Q1122" s="179">
        <v>7.0</v>
      </c>
      <c r="R1122" s="179">
        <v>0.0</v>
      </c>
      <c r="S1122" s="195">
        <v>0.0059</v>
      </c>
      <c r="T1122" s="195">
        <v>0.0</v>
      </c>
      <c r="U1122" s="179">
        <v>118319.0</v>
      </c>
      <c r="V1122" s="179">
        <v>0.0</v>
      </c>
      <c r="W1122" s="179">
        <v>7.0</v>
      </c>
      <c r="X1122" s="179">
        <v>0.0</v>
      </c>
    </row>
    <row r="1123" ht="15.75" customHeight="1">
      <c r="A1123" s="65">
        <v>45717.0</v>
      </c>
      <c r="B1123" s="10" t="str">
        <f t="array" ref="B1123">_xlfn.XLOOKUP(D1123,'Referanc '!$A:$A,'Referanc '!$B:$B)</f>
        <v>Standing Table  - E2</v>
      </c>
      <c r="C1123" s="179" t="s">
        <v>293</v>
      </c>
      <c r="D1123" s="179" t="s">
        <v>293</v>
      </c>
      <c r="E1123" s="179" t="s">
        <v>1133</v>
      </c>
      <c r="F1123" s="179"/>
      <c r="G1123" s="179">
        <v>911.0</v>
      </c>
      <c r="H1123" s="179">
        <v>25.0</v>
      </c>
      <c r="I1123" s="195">
        <v>0.0119</v>
      </c>
      <c r="J1123" s="195">
        <v>0.0084</v>
      </c>
      <c r="K1123" s="207">
        <v>1196.0</v>
      </c>
      <c r="L1123" s="179">
        <v>29.0</v>
      </c>
      <c r="M1123" s="195">
        <v>0.0115</v>
      </c>
      <c r="N1123" s="195">
        <v>0.0071</v>
      </c>
      <c r="O1123" s="195">
        <v>0.8677</v>
      </c>
      <c r="P1123" s="195">
        <v>0.8824</v>
      </c>
      <c r="Q1123" s="179">
        <v>6.0</v>
      </c>
      <c r="R1123" s="179">
        <v>0.0</v>
      </c>
      <c r="S1123" s="195">
        <v>0.0066</v>
      </c>
      <c r="T1123" s="195">
        <v>0.0</v>
      </c>
      <c r="U1123" s="179">
        <v>193360.5</v>
      </c>
      <c r="V1123" s="179">
        <v>0.0</v>
      </c>
      <c r="W1123" s="179">
        <v>6.0</v>
      </c>
      <c r="X1123" s="179">
        <v>0.0</v>
      </c>
    </row>
    <row r="1124" ht="15.75" customHeight="1">
      <c r="A1124" s="65">
        <v>45717.0</v>
      </c>
      <c r="B1124" s="10" t="str">
        <f t="array" ref="B1124">_xlfn.XLOOKUP(D1124,'Referanc '!$A:$A,'Referanc '!$B:$B)</f>
        <v>Standing Table  - E2</v>
      </c>
      <c r="C1124" s="179" t="s">
        <v>309</v>
      </c>
      <c r="D1124" s="179" t="s">
        <v>309</v>
      </c>
      <c r="E1124" s="179" t="s">
        <v>1317</v>
      </c>
      <c r="F1124" s="179"/>
      <c r="G1124" s="179">
        <v>888.0</v>
      </c>
      <c r="H1124" s="179">
        <v>56.0</v>
      </c>
      <c r="I1124" s="195">
        <v>0.0116</v>
      </c>
      <c r="J1124" s="195">
        <v>0.0188</v>
      </c>
      <c r="K1124" s="207">
        <v>1239.0</v>
      </c>
      <c r="L1124" s="179">
        <v>82.0</v>
      </c>
      <c r="M1124" s="195">
        <v>0.0119</v>
      </c>
      <c r="N1124" s="195">
        <v>0.0201</v>
      </c>
      <c r="O1124" s="195">
        <v>0.9522</v>
      </c>
      <c r="P1124" s="195">
        <v>0.8596</v>
      </c>
      <c r="Q1124" s="179">
        <v>6.0</v>
      </c>
      <c r="R1124" s="179">
        <v>0.0</v>
      </c>
      <c r="S1124" s="195">
        <v>0.0068</v>
      </c>
      <c r="T1124" s="195">
        <v>0.0</v>
      </c>
      <c r="U1124" s="179">
        <v>208580.3</v>
      </c>
      <c r="V1124" s="179">
        <v>0.0</v>
      </c>
      <c r="W1124" s="179">
        <v>6.0</v>
      </c>
      <c r="X1124" s="179">
        <v>0.0</v>
      </c>
    </row>
    <row r="1125" ht="15.75" customHeight="1">
      <c r="A1125" s="65">
        <v>45717.0</v>
      </c>
      <c r="B1125" s="10" t="str">
        <f t="array" ref="B1125">_xlfn.XLOOKUP(D1125,'Referanc '!$A:$A,'Referanc '!$B:$B)</f>
        <v>Standing Table  - SM3</v>
      </c>
      <c r="C1125" s="179" t="s">
        <v>370</v>
      </c>
      <c r="D1125" s="179" t="s">
        <v>370</v>
      </c>
      <c r="E1125" s="179" t="s">
        <v>1161</v>
      </c>
      <c r="F1125" s="179"/>
      <c r="G1125" s="179">
        <v>529.0</v>
      </c>
      <c r="H1125" s="179">
        <v>14.0</v>
      </c>
      <c r="I1125" s="195">
        <v>0.0069</v>
      </c>
      <c r="J1125" s="195">
        <v>0.0047</v>
      </c>
      <c r="K1125" s="179">
        <v>696.0</v>
      </c>
      <c r="L1125" s="179">
        <v>15.0</v>
      </c>
      <c r="M1125" s="195">
        <v>0.0067</v>
      </c>
      <c r="N1125" s="195">
        <v>0.0037</v>
      </c>
      <c r="O1125" s="195">
        <v>0.8494</v>
      </c>
      <c r="P1125" s="195">
        <v>1.0</v>
      </c>
      <c r="Q1125" s="179">
        <v>6.0</v>
      </c>
      <c r="R1125" s="179">
        <v>0.0</v>
      </c>
      <c r="S1125" s="195">
        <v>0.0113</v>
      </c>
      <c r="T1125" s="195">
        <v>0.0</v>
      </c>
      <c r="U1125" s="179">
        <v>120857.4</v>
      </c>
      <c r="V1125" s="179">
        <v>0.0</v>
      </c>
      <c r="W1125" s="179">
        <v>6.0</v>
      </c>
      <c r="X1125" s="179">
        <v>0.0</v>
      </c>
    </row>
    <row r="1126" ht="15.75" customHeight="1">
      <c r="A1126" s="65">
        <v>45717.0</v>
      </c>
      <c r="B1126" s="10" t="str">
        <f t="array" ref="B1126">_xlfn.XLOOKUP(D1126,'Referanc '!$A:$A,'Referanc '!$B:$B)</f>
        <v>Standing Table  - E4</v>
      </c>
      <c r="C1126" s="179" t="s">
        <v>375</v>
      </c>
      <c r="D1126" s="179" t="s">
        <v>375</v>
      </c>
      <c r="E1126" s="179" t="s">
        <v>1329</v>
      </c>
      <c r="F1126" s="179"/>
      <c r="G1126" s="207">
        <v>1246.0</v>
      </c>
      <c r="H1126" s="179">
        <v>40.0</v>
      </c>
      <c r="I1126" s="195">
        <v>0.0163</v>
      </c>
      <c r="J1126" s="195">
        <v>0.0134</v>
      </c>
      <c r="K1126" s="207">
        <v>1639.0</v>
      </c>
      <c r="L1126" s="179">
        <v>58.0</v>
      </c>
      <c r="M1126" s="195">
        <v>0.0158</v>
      </c>
      <c r="N1126" s="195">
        <v>0.0142</v>
      </c>
      <c r="O1126" s="195">
        <v>0.9429</v>
      </c>
      <c r="P1126" s="195">
        <v>0.6333</v>
      </c>
      <c r="Q1126" s="179">
        <v>6.0</v>
      </c>
      <c r="R1126" s="179">
        <v>0.0</v>
      </c>
      <c r="S1126" s="195">
        <v>0.0048</v>
      </c>
      <c r="T1126" s="195">
        <v>0.0</v>
      </c>
      <c r="U1126" s="179">
        <v>163999.2</v>
      </c>
      <c r="V1126" s="179">
        <v>0.0</v>
      </c>
      <c r="W1126" s="179">
        <v>6.0</v>
      </c>
      <c r="X1126" s="179">
        <v>0.0</v>
      </c>
    </row>
    <row r="1127" ht="15.75" customHeight="1">
      <c r="A1127" s="65">
        <v>45717.0</v>
      </c>
      <c r="B1127" s="10" t="str">
        <f t="array" ref="B1127">_xlfn.XLOOKUP(D1127,'Referanc '!$A:$A,'Referanc '!$B:$B)</f>
        <v>Standing Table  - E2</v>
      </c>
      <c r="C1127" s="179" t="s">
        <v>311</v>
      </c>
      <c r="D1127" s="179" t="s">
        <v>311</v>
      </c>
      <c r="E1127" s="179" t="s">
        <v>1132</v>
      </c>
      <c r="F1127" s="179"/>
      <c r="G1127" s="207">
        <v>1179.0</v>
      </c>
      <c r="H1127" s="179">
        <v>31.0</v>
      </c>
      <c r="I1127" s="195">
        <v>0.0154</v>
      </c>
      <c r="J1127" s="195">
        <v>0.0104</v>
      </c>
      <c r="K1127" s="207">
        <v>1606.0</v>
      </c>
      <c r="L1127" s="179">
        <v>39.0</v>
      </c>
      <c r="M1127" s="195">
        <v>0.0155</v>
      </c>
      <c r="N1127" s="195">
        <v>0.0096</v>
      </c>
      <c r="O1127" s="195">
        <v>0.892</v>
      </c>
      <c r="P1127" s="195">
        <v>0.9259</v>
      </c>
      <c r="Q1127" s="179">
        <v>5.0</v>
      </c>
      <c r="R1127" s="179">
        <v>0.0</v>
      </c>
      <c r="S1127" s="195">
        <v>0.0042</v>
      </c>
      <c r="T1127" s="195">
        <v>0.0</v>
      </c>
      <c r="U1127" s="179">
        <v>173605.4</v>
      </c>
      <c r="V1127" s="179">
        <v>0.0</v>
      </c>
      <c r="W1127" s="179">
        <v>5.0</v>
      </c>
      <c r="X1127" s="179">
        <v>0.0</v>
      </c>
    </row>
    <row r="1128" ht="15.75" customHeight="1">
      <c r="A1128" s="65">
        <v>45717.0</v>
      </c>
      <c r="B1128" s="10" t="str">
        <f t="array" ref="B1128">_xlfn.XLOOKUP(D1128,'Referanc '!$A:$A,'Referanc '!$B:$B)</f>
        <v>Standing Table - All Frames</v>
      </c>
      <c r="C1128" s="179" t="s">
        <v>306</v>
      </c>
      <c r="D1128" s="179" t="s">
        <v>306</v>
      </c>
      <c r="E1128" s="179" t="s">
        <v>1140</v>
      </c>
      <c r="F1128" s="179"/>
      <c r="G1128" s="179">
        <v>864.0</v>
      </c>
      <c r="H1128" s="179">
        <v>41.0</v>
      </c>
      <c r="I1128" s="195">
        <v>0.0113</v>
      </c>
      <c r="J1128" s="195">
        <v>0.0138</v>
      </c>
      <c r="K1128" s="207">
        <v>1124.0</v>
      </c>
      <c r="L1128" s="179">
        <v>68.0</v>
      </c>
      <c r="M1128" s="195">
        <v>0.0108</v>
      </c>
      <c r="N1128" s="195">
        <v>0.0167</v>
      </c>
      <c r="O1128" s="195">
        <v>0.8652</v>
      </c>
      <c r="P1128" s="195">
        <v>0.8947</v>
      </c>
      <c r="Q1128" s="179">
        <v>5.0</v>
      </c>
      <c r="R1128" s="179">
        <v>1.0</v>
      </c>
      <c r="S1128" s="195">
        <v>0.0058</v>
      </c>
      <c r="T1128" s="195">
        <v>0.0244</v>
      </c>
      <c r="U1128" s="179">
        <v>145215.2</v>
      </c>
      <c r="V1128" s="179">
        <v>29350.0</v>
      </c>
      <c r="W1128" s="179">
        <v>5.0</v>
      </c>
      <c r="X1128" s="179">
        <v>1.0</v>
      </c>
    </row>
    <row r="1129" ht="15.75" customHeight="1">
      <c r="A1129" s="65">
        <v>45717.0</v>
      </c>
      <c r="B1129" s="10" t="str">
        <f t="array" ref="B1129">_xlfn.XLOOKUP(D1129,'Referanc '!$A:$A,'Referanc '!$B:$B)</f>
        <v>Standing Table  - SM4</v>
      </c>
      <c r="C1129" s="179" t="s">
        <v>427</v>
      </c>
      <c r="D1129" s="179" t="s">
        <v>427</v>
      </c>
      <c r="E1129" s="179" t="s">
        <v>738</v>
      </c>
      <c r="F1129" s="179"/>
      <c r="G1129" s="207">
        <v>2246.0</v>
      </c>
      <c r="H1129" s="179">
        <v>73.0</v>
      </c>
      <c r="I1129" s="195">
        <v>0.0293</v>
      </c>
      <c r="J1129" s="195">
        <v>0.0245</v>
      </c>
      <c r="K1129" s="207">
        <v>3100.0</v>
      </c>
      <c r="L1129" s="179">
        <v>93.0</v>
      </c>
      <c r="M1129" s="195">
        <v>0.0298</v>
      </c>
      <c r="N1129" s="195">
        <v>0.0228</v>
      </c>
      <c r="O1129" s="195">
        <v>0.8826</v>
      </c>
      <c r="P1129" s="195">
        <v>0.8966</v>
      </c>
      <c r="Q1129" s="179">
        <v>5.0</v>
      </c>
      <c r="R1129" s="179">
        <v>0.0</v>
      </c>
      <c r="S1129" s="195">
        <v>0.0022</v>
      </c>
      <c r="T1129" s="195">
        <v>0.0</v>
      </c>
      <c r="U1129" s="179">
        <v>83647.0</v>
      </c>
      <c r="V1129" s="179">
        <v>0.0</v>
      </c>
      <c r="W1129" s="179">
        <v>5.0</v>
      </c>
      <c r="X1129" s="179">
        <v>0.0</v>
      </c>
    </row>
    <row r="1130" ht="15.75" customHeight="1">
      <c r="A1130" s="65">
        <v>45717.0</v>
      </c>
      <c r="B1130" s="10" t="str">
        <f t="array" ref="B1130">_xlfn.XLOOKUP(D1130,'Referanc '!$A:$A,'Referanc '!$B:$B)</f>
        <v>Standing Table  - M14</v>
      </c>
      <c r="C1130" s="179" t="s">
        <v>437</v>
      </c>
      <c r="D1130" s="179" t="s">
        <v>437</v>
      </c>
      <c r="E1130" s="179" t="s">
        <v>726</v>
      </c>
      <c r="F1130" s="179"/>
      <c r="G1130" s="207">
        <v>1374.0</v>
      </c>
      <c r="H1130" s="179">
        <v>48.0</v>
      </c>
      <c r="I1130" s="195">
        <v>0.0179</v>
      </c>
      <c r="J1130" s="195">
        <v>0.0161</v>
      </c>
      <c r="K1130" s="207">
        <v>1834.0</v>
      </c>
      <c r="L1130" s="179">
        <v>65.0</v>
      </c>
      <c r="M1130" s="195">
        <v>0.0177</v>
      </c>
      <c r="N1130" s="195">
        <v>0.016</v>
      </c>
      <c r="O1130" s="195">
        <v>0.9057</v>
      </c>
      <c r="P1130" s="195">
        <v>0.8974</v>
      </c>
      <c r="Q1130" s="179">
        <v>5.0</v>
      </c>
      <c r="R1130" s="179">
        <v>0.0</v>
      </c>
      <c r="S1130" s="195">
        <v>0.0036</v>
      </c>
      <c r="T1130" s="195">
        <v>0.0</v>
      </c>
      <c r="U1130" s="179">
        <v>76942.36</v>
      </c>
      <c r="V1130" s="179">
        <v>0.0</v>
      </c>
      <c r="W1130" s="179">
        <v>5.0</v>
      </c>
      <c r="X1130" s="179">
        <v>0.0</v>
      </c>
    </row>
    <row r="1131" ht="15.75" customHeight="1">
      <c r="A1131" s="65">
        <v>45717.0</v>
      </c>
      <c r="B1131" s="10" t="str">
        <f t="array" ref="B1131">_xlfn.XLOOKUP(D1131,'Referanc '!$A:$A,'Referanc '!$B:$B)</f>
        <v>Standing Table  - M8</v>
      </c>
      <c r="C1131" s="179" t="s">
        <v>415</v>
      </c>
      <c r="D1131" s="179" t="s">
        <v>415</v>
      </c>
      <c r="E1131" s="179" t="s">
        <v>1291</v>
      </c>
      <c r="F1131" s="179"/>
      <c r="G1131" s="179">
        <v>127.0</v>
      </c>
      <c r="H1131" s="179">
        <v>5.0</v>
      </c>
      <c r="I1131" s="195">
        <v>0.0017</v>
      </c>
      <c r="J1131" s="195">
        <v>0.0017</v>
      </c>
      <c r="K1131" s="179">
        <v>167.0</v>
      </c>
      <c r="L1131" s="179">
        <v>8.0</v>
      </c>
      <c r="M1131" s="195">
        <v>0.0016</v>
      </c>
      <c r="N1131" s="195">
        <v>0.002</v>
      </c>
      <c r="O1131" s="195">
        <v>0.903</v>
      </c>
      <c r="P1131" s="195">
        <v>0.6667</v>
      </c>
      <c r="Q1131" s="179">
        <v>4.0</v>
      </c>
      <c r="R1131" s="179">
        <v>0.0</v>
      </c>
      <c r="S1131" s="195">
        <v>0.0315</v>
      </c>
      <c r="T1131" s="195">
        <v>0.0</v>
      </c>
      <c r="U1131" s="179">
        <v>82622.88</v>
      </c>
      <c r="V1131" s="179">
        <v>0.0</v>
      </c>
      <c r="W1131" s="179">
        <v>4.0</v>
      </c>
      <c r="X1131" s="179">
        <v>0.0</v>
      </c>
    </row>
    <row r="1132" ht="15.75" customHeight="1">
      <c r="A1132" s="65">
        <v>45717.0</v>
      </c>
      <c r="B1132" s="10" t="str">
        <f t="array" ref="B1132">_xlfn.XLOOKUP(D1132,'Referanc '!$A:$A,'Referanc '!$B:$B)</f>
        <v>Standing Table  - M3</v>
      </c>
      <c r="C1132" s="179" t="s">
        <v>403</v>
      </c>
      <c r="D1132" s="179" t="s">
        <v>403</v>
      </c>
      <c r="E1132" s="179" t="s">
        <v>1175</v>
      </c>
      <c r="F1132" s="179"/>
      <c r="G1132" s="179">
        <v>889.0</v>
      </c>
      <c r="H1132" s="179">
        <v>21.0</v>
      </c>
      <c r="I1132" s="195">
        <v>0.0116</v>
      </c>
      <c r="J1132" s="195">
        <v>0.0071</v>
      </c>
      <c r="K1132" s="207">
        <v>1319.0</v>
      </c>
      <c r="L1132" s="179">
        <v>39.0</v>
      </c>
      <c r="M1132" s="195">
        <v>0.0127</v>
      </c>
      <c r="N1132" s="195">
        <v>0.0096</v>
      </c>
      <c r="O1132" s="195">
        <v>0.9721</v>
      </c>
      <c r="P1132" s="195">
        <v>1.0</v>
      </c>
      <c r="Q1132" s="179">
        <v>4.0</v>
      </c>
      <c r="R1132" s="179">
        <v>1.0</v>
      </c>
      <c r="S1132" s="195">
        <v>0.0045</v>
      </c>
      <c r="T1132" s="195">
        <v>0.0476</v>
      </c>
      <c r="U1132" s="179">
        <v>61112.36</v>
      </c>
      <c r="V1132" s="179">
        <v>15325.59</v>
      </c>
      <c r="W1132" s="179">
        <v>4.0</v>
      </c>
      <c r="X1132" s="179">
        <v>1.0</v>
      </c>
    </row>
    <row r="1133" ht="15.75" customHeight="1">
      <c r="A1133" s="65">
        <v>45717.0</v>
      </c>
      <c r="B1133" s="10" t="str">
        <f t="array" ref="B1133">_xlfn.XLOOKUP(D1133,'Referanc '!$A:$A,'Referanc '!$B:$B)</f>
        <v>Standing Table  - E3</v>
      </c>
      <c r="C1133" s="179" t="s">
        <v>364</v>
      </c>
      <c r="D1133" s="179" t="s">
        <v>364</v>
      </c>
      <c r="E1133" s="179" t="s">
        <v>1130</v>
      </c>
      <c r="F1133" s="179"/>
      <c r="G1133" s="207">
        <v>1833.0</v>
      </c>
      <c r="H1133" s="179">
        <v>46.0</v>
      </c>
      <c r="I1133" s="195">
        <v>0.0239</v>
      </c>
      <c r="J1133" s="195">
        <v>0.0155</v>
      </c>
      <c r="K1133" s="207">
        <v>2427.0</v>
      </c>
      <c r="L1133" s="179">
        <v>64.0</v>
      </c>
      <c r="M1133" s="195">
        <v>0.0234</v>
      </c>
      <c r="N1133" s="195">
        <v>0.0157</v>
      </c>
      <c r="O1133" s="195">
        <v>0.7708</v>
      </c>
      <c r="P1133" s="195">
        <v>0.8276</v>
      </c>
      <c r="Q1133" s="179">
        <v>4.0</v>
      </c>
      <c r="R1133" s="179">
        <v>1.0</v>
      </c>
      <c r="S1133" s="195">
        <v>0.0022</v>
      </c>
      <c r="T1133" s="195">
        <v>0.0217</v>
      </c>
      <c r="U1133" s="179">
        <v>155584.9</v>
      </c>
      <c r="V1133" s="179">
        <v>38420.0</v>
      </c>
      <c r="W1133" s="179">
        <v>4.0</v>
      </c>
      <c r="X1133" s="179">
        <v>1.0</v>
      </c>
    </row>
    <row r="1134" ht="15.75" customHeight="1">
      <c r="A1134" s="65">
        <v>45717.0</v>
      </c>
      <c r="B1134" s="10" t="str">
        <f t="array" ref="B1134">_xlfn.XLOOKUP(D1134,'Referanc '!$A:$A,'Referanc '!$B:$B)</f>
        <v>Standing Table  - E2</v>
      </c>
      <c r="C1134" s="179" t="s">
        <v>313</v>
      </c>
      <c r="D1134" s="179" t="s">
        <v>313</v>
      </c>
      <c r="E1134" s="179" t="s">
        <v>1125</v>
      </c>
      <c r="F1134" s="179"/>
      <c r="G1134" s="179">
        <v>854.0</v>
      </c>
      <c r="H1134" s="179">
        <v>23.0</v>
      </c>
      <c r="I1134" s="195">
        <v>0.0111</v>
      </c>
      <c r="J1134" s="195">
        <v>0.0077</v>
      </c>
      <c r="K1134" s="207">
        <v>1066.0</v>
      </c>
      <c r="L1134" s="179">
        <v>33.0</v>
      </c>
      <c r="M1134" s="195">
        <v>0.0103</v>
      </c>
      <c r="N1134" s="195">
        <v>0.0081</v>
      </c>
      <c r="O1134" s="195">
        <v>0.753</v>
      </c>
      <c r="P1134" s="195">
        <v>0.6316</v>
      </c>
      <c r="Q1134" s="179">
        <v>4.0</v>
      </c>
      <c r="R1134" s="179">
        <v>1.0</v>
      </c>
      <c r="S1134" s="195">
        <v>0.0047</v>
      </c>
      <c r="T1134" s="195">
        <v>0.0435</v>
      </c>
      <c r="U1134" s="179">
        <v>129430.2</v>
      </c>
      <c r="V1134" s="179">
        <v>32695.08</v>
      </c>
      <c r="W1134" s="179">
        <v>4.0</v>
      </c>
      <c r="X1134" s="179">
        <v>1.0</v>
      </c>
    </row>
    <row r="1135" ht="15.75" customHeight="1">
      <c r="A1135" s="65">
        <v>45717.0</v>
      </c>
      <c r="B1135" s="10" t="str">
        <f t="array" ref="B1135">_xlfn.XLOOKUP(D1135,'Referanc '!$A:$A,'Referanc '!$B:$B)</f>
        <v>Standing Table - All Frames</v>
      </c>
      <c r="C1135" s="179" t="s">
        <v>343</v>
      </c>
      <c r="D1135" s="179" t="s">
        <v>343</v>
      </c>
      <c r="E1135" s="179" t="s">
        <v>1153</v>
      </c>
      <c r="F1135" s="179"/>
      <c r="G1135" s="179">
        <v>326.0</v>
      </c>
      <c r="H1135" s="179">
        <v>24.0</v>
      </c>
      <c r="I1135" s="195">
        <v>0.0043</v>
      </c>
      <c r="J1135" s="195">
        <v>0.0081</v>
      </c>
      <c r="K1135" s="179">
        <v>430.0</v>
      </c>
      <c r="L1135" s="179">
        <v>47.0</v>
      </c>
      <c r="M1135" s="195">
        <v>0.0041</v>
      </c>
      <c r="N1135" s="195">
        <v>0.0115</v>
      </c>
      <c r="O1135" s="195">
        <v>0.8507</v>
      </c>
      <c r="P1135" s="195">
        <v>0.75</v>
      </c>
      <c r="Q1135" s="179">
        <v>4.0</v>
      </c>
      <c r="R1135" s="179">
        <v>1.0</v>
      </c>
      <c r="S1135" s="195">
        <v>0.0123</v>
      </c>
      <c r="T1135" s="195">
        <v>0.0417</v>
      </c>
      <c r="U1135" s="179">
        <v>133717.4</v>
      </c>
      <c r="V1135" s="179">
        <v>33837.46</v>
      </c>
      <c r="W1135" s="179">
        <v>4.0</v>
      </c>
      <c r="X1135" s="179">
        <v>1.0</v>
      </c>
    </row>
    <row r="1136" ht="15.75" customHeight="1">
      <c r="A1136" s="65">
        <v>45717.0</v>
      </c>
      <c r="B1136" s="10" t="str">
        <f t="array" ref="B1136">_xlfn.XLOOKUP(D1136,'Referanc '!$A:$A,'Referanc '!$B:$B)</f>
        <v>Standing Table - All Frames</v>
      </c>
      <c r="C1136" s="179" t="s">
        <v>422</v>
      </c>
      <c r="D1136" s="179" t="s">
        <v>422</v>
      </c>
      <c r="E1136" s="179" t="s">
        <v>697</v>
      </c>
      <c r="F1136" s="179"/>
      <c r="G1136" s="179">
        <v>302.0</v>
      </c>
      <c r="H1136" s="179">
        <v>12.0</v>
      </c>
      <c r="I1136" s="195">
        <v>0.0039</v>
      </c>
      <c r="J1136" s="195">
        <v>0.004</v>
      </c>
      <c r="K1136" s="179">
        <v>402.0</v>
      </c>
      <c r="L1136" s="179">
        <v>24.0</v>
      </c>
      <c r="M1136" s="195">
        <v>0.0039</v>
      </c>
      <c r="N1136" s="195">
        <v>0.0059</v>
      </c>
      <c r="O1136" s="195">
        <v>0.9169</v>
      </c>
      <c r="P1136" s="195">
        <v>0.7692</v>
      </c>
      <c r="Q1136" s="179">
        <v>4.0</v>
      </c>
      <c r="R1136" s="179">
        <v>1.0</v>
      </c>
      <c r="S1136" s="195">
        <v>0.0132</v>
      </c>
      <c r="T1136" s="195">
        <v>0.0833</v>
      </c>
      <c r="U1136" s="179">
        <v>93594.24</v>
      </c>
      <c r="V1136" s="179">
        <v>22764.24</v>
      </c>
      <c r="W1136" s="179">
        <v>4.0</v>
      </c>
      <c r="X1136" s="179">
        <v>1.0</v>
      </c>
    </row>
    <row r="1137" ht="15.75" customHeight="1">
      <c r="A1137" s="65">
        <v>45717.0</v>
      </c>
      <c r="B1137" s="10" t="str">
        <f t="array" ref="B1137">_xlfn.XLOOKUP(D1137,'Referanc '!$A:$A,'Referanc '!$B:$B)</f>
        <v>Standing Table  - E3</v>
      </c>
      <c r="C1137" s="179" t="s">
        <v>377</v>
      </c>
      <c r="D1137" s="179" t="s">
        <v>377</v>
      </c>
      <c r="E1137" s="179" t="s">
        <v>1143</v>
      </c>
      <c r="F1137" s="179"/>
      <c r="G1137" s="179">
        <v>585.0</v>
      </c>
      <c r="H1137" s="179">
        <v>9.0</v>
      </c>
      <c r="I1137" s="195">
        <v>0.0076</v>
      </c>
      <c r="J1137" s="195">
        <v>0.003</v>
      </c>
      <c r="K1137" s="179">
        <v>820.0</v>
      </c>
      <c r="L1137" s="179">
        <v>22.0</v>
      </c>
      <c r="M1137" s="195">
        <v>0.0079</v>
      </c>
      <c r="N1137" s="195">
        <v>0.0054</v>
      </c>
      <c r="O1137" s="195">
        <v>0.8128</v>
      </c>
      <c r="P1137" s="195">
        <v>0.9091</v>
      </c>
      <c r="Q1137" s="179">
        <v>3.0</v>
      </c>
      <c r="R1137" s="179">
        <v>1.0</v>
      </c>
      <c r="S1137" s="195">
        <v>0.0051</v>
      </c>
      <c r="T1137" s="195">
        <v>0.1111</v>
      </c>
      <c r="U1137" s="179">
        <v>113232.4</v>
      </c>
      <c r="V1137" s="179">
        <v>38387.46</v>
      </c>
      <c r="W1137" s="179">
        <v>3.0</v>
      </c>
      <c r="X1137" s="179">
        <v>1.0</v>
      </c>
    </row>
    <row r="1138" ht="15.75" customHeight="1">
      <c r="A1138" s="65">
        <v>45717.0</v>
      </c>
      <c r="B1138" s="10" t="str">
        <f t="array" ref="B1138">_xlfn.XLOOKUP(D1138,'Referanc '!$A:$A,'Referanc '!$B:$B)</f>
        <v>Standing Table  - SM3</v>
      </c>
      <c r="C1138" s="179" t="s">
        <v>358</v>
      </c>
      <c r="D1138" s="179" t="s">
        <v>358</v>
      </c>
      <c r="E1138" s="179" t="s">
        <v>1165</v>
      </c>
      <c r="F1138" s="179"/>
      <c r="G1138" s="179">
        <v>557.0</v>
      </c>
      <c r="H1138" s="179">
        <v>14.0</v>
      </c>
      <c r="I1138" s="195">
        <v>0.0073</v>
      </c>
      <c r="J1138" s="195">
        <v>0.0047</v>
      </c>
      <c r="K1138" s="179">
        <v>812.0</v>
      </c>
      <c r="L1138" s="179">
        <v>17.0</v>
      </c>
      <c r="M1138" s="195">
        <v>0.0078</v>
      </c>
      <c r="N1138" s="195">
        <v>0.0042</v>
      </c>
      <c r="O1138" s="195">
        <v>0.8984</v>
      </c>
      <c r="P1138" s="195">
        <v>0.8</v>
      </c>
      <c r="Q1138" s="179">
        <v>3.0</v>
      </c>
      <c r="R1138" s="179">
        <v>0.0</v>
      </c>
      <c r="S1138" s="195">
        <v>0.0054</v>
      </c>
      <c r="T1138" s="195">
        <v>0.0</v>
      </c>
      <c r="U1138" s="179">
        <v>69316.86</v>
      </c>
      <c r="V1138" s="179">
        <v>0.0</v>
      </c>
      <c r="W1138" s="179">
        <v>3.0</v>
      </c>
      <c r="X1138" s="179">
        <v>0.0</v>
      </c>
    </row>
    <row r="1139" ht="15.75" customHeight="1">
      <c r="A1139" s="65">
        <v>45717.0</v>
      </c>
      <c r="B1139" s="10" t="str">
        <f t="array" ref="B1139">_xlfn.XLOOKUP(D1139,'Referanc '!$A:$A,'Referanc '!$B:$B)</f>
        <v>Standing Table  - E4</v>
      </c>
      <c r="C1139" s="179" t="s">
        <v>388</v>
      </c>
      <c r="D1139" s="179" t="s">
        <v>388</v>
      </c>
      <c r="E1139" s="179" t="s">
        <v>1278</v>
      </c>
      <c r="F1139" s="179"/>
      <c r="G1139" s="179">
        <v>400.0</v>
      </c>
      <c r="H1139" s="179">
        <v>18.0</v>
      </c>
      <c r="I1139" s="195">
        <v>0.0052</v>
      </c>
      <c r="J1139" s="195">
        <v>0.0061</v>
      </c>
      <c r="K1139" s="179">
        <v>520.0</v>
      </c>
      <c r="L1139" s="179">
        <v>41.0</v>
      </c>
      <c r="M1139" s="195">
        <v>0.005</v>
      </c>
      <c r="N1139" s="195">
        <v>0.0101</v>
      </c>
      <c r="O1139" s="195">
        <v>0.8921</v>
      </c>
      <c r="P1139" s="195">
        <v>0.8846</v>
      </c>
      <c r="Q1139" s="179">
        <v>3.0</v>
      </c>
      <c r="R1139" s="179">
        <v>1.0</v>
      </c>
      <c r="S1139" s="195">
        <v>0.0075</v>
      </c>
      <c r="T1139" s="195">
        <v>0.0556</v>
      </c>
      <c r="U1139" s="179">
        <v>81984.24</v>
      </c>
      <c r="V1139" s="179">
        <v>26964.24</v>
      </c>
      <c r="W1139" s="179">
        <v>3.0</v>
      </c>
      <c r="X1139" s="179">
        <v>1.0</v>
      </c>
    </row>
    <row r="1140" ht="15.75" customHeight="1">
      <c r="A1140" s="65">
        <v>45717.0</v>
      </c>
      <c r="B1140" s="10" t="str">
        <f t="array" ref="B1140">_xlfn.XLOOKUP(D1140,'Referanc '!$A:$A,'Referanc '!$B:$B)</f>
        <v>Standing Table  - E4</v>
      </c>
      <c r="C1140" s="179" t="s">
        <v>398</v>
      </c>
      <c r="D1140" s="179" t="s">
        <v>398</v>
      </c>
      <c r="E1140" s="179" t="s">
        <v>1279</v>
      </c>
      <c r="F1140" s="179"/>
      <c r="G1140" s="179">
        <v>910.0</v>
      </c>
      <c r="H1140" s="179">
        <v>33.0</v>
      </c>
      <c r="I1140" s="195">
        <v>0.0119</v>
      </c>
      <c r="J1140" s="195">
        <v>0.0111</v>
      </c>
      <c r="K1140" s="207">
        <v>1202.0</v>
      </c>
      <c r="L1140" s="179">
        <v>39.0</v>
      </c>
      <c r="M1140" s="195">
        <v>0.0116</v>
      </c>
      <c r="N1140" s="195">
        <v>0.0096</v>
      </c>
      <c r="O1140" s="195">
        <v>0.9334</v>
      </c>
      <c r="P1140" s="195">
        <v>0.875</v>
      </c>
      <c r="Q1140" s="179">
        <v>6.0</v>
      </c>
      <c r="R1140" s="179">
        <v>0.0</v>
      </c>
      <c r="S1140" s="195">
        <v>0.0066</v>
      </c>
      <c r="T1140" s="195">
        <v>0.0</v>
      </c>
      <c r="U1140" s="179">
        <v>174614.3</v>
      </c>
      <c r="V1140" s="179">
        <v>0.0</v>
      </c>
      <c r="W1140" s="179">
        <v>3.0</v>
      </c>
      <c r="X1140" s="179">
        <v>0.0</v>
      </c>
    </row>
    <row r="1141" ht="15.75" customHeight="1">
      <c r="A1141" s="65">
        <v>45717.0</v>
      </c>
      <c r="B1141" s="10" t="str">
        <f t="array" ref="B1141">_xlfn.XLOOKUP(D1141,'Referanc '!$A:$A,'Referanc '!$B:$B)</f>
        <v>Standing Table  - E4</v>
      </c>
      <c r="C1141" s="179" t="s">
        <v>407</v>
      </c>
      <c r="D1141" s="179" t="s">
        <v>407</v>
      </c>
      <c r="E1141" s="179" t="s">
        <v>1306</v>
      </c>
      <c r="F1141" s="179"/>
      <c r="G1141" s="179">
        <v>166.0</v>
      </c>
      <c r="H1141" s="179">
        <v>12.0</v>
      </c>
      <c r="I1141" s="195">
        <v>0.0022</v>
      </c>
      <c r="J1141" s="195">
        <v>0.004</v>
      </c>
      <c r="K1141" s="179">
        <v>281.0</v>
      </c>
      <c r="L1141" s="179">
        <v>18.0</v>
      </c>
      <c r="M1141" s="195">
        <v>0.0027</v>
      </c>
      <c r="N1141" s="195">
        <v>0.0044</v>
      </c>
      <c r="O1141" s="195">
        <v>0.9676</v>
      </c>
      <c r="P1141" s="195">
        <v>1.0</v>
      </c>
      <c r="Q1141" s="179">
        <v>3.0</v>
      </c>
      <c r="R1141" s="179">
        <v>1.0</v>
      </c>
      <c r="S1141" s="195">
        <v>0.0181</v>
      </c>
      <c r="T1141" s="195">
        <v>0.0833</v>
      </c>
      <c r="U1141" s="179">
        <v>87284.24</v>
      </c>
      <c r="V1141" s="179">
        <v>29064.24</v>
      </c>
      <c r="W1141" s="179">
        <v>3.0</v>
      </c>
      <c r="X1141" s="179">
        <v>1.0</v>
      </c>
    </row>
    <row r="1142" ht="15.75" customHeight="1">
      <c r="A1142" s="65">
        <v>45717.0</v>
      </c>
      <c r="B1142" s="10" t="str">
        <f t="array" ref="B1142">_xlfn.XLOOKUP(D1142,'Referanc '!$A:$A,'Referanc '!$B:$B)</f>
        <v>TABLE TOP</v>
      </c>
      <c r="C1142" s="179" t="s">
        <v>350</v>
      </c>
      <c r="D1142" s="179" t="s">
        <v>350</v>
      </c>
      <c r="E1142" s="179" t="s">
        <v>531</v>
      </c>
      <c r="F1142" s="179"/>
      <c r="G1142" s="179">
        <v>341.0</v>
      </c>
      <c r="H1142" s="179">
        <v>14.0</v>
      </c>
      <c r="I1142" s="195">
        <v>0.0045</v>
      </c>
      <c r="J1142" s="195">
        <v>0.0047</v>
      </c>
      <c r="K1142" s="179">
        <v>433.0</v>
      </c>
      <c r="L1142" s="179">
        <v>19.0</v>
      </c>
      <c r="M1142" s="195">
        <v>0.0042</v>
      </c>
      <c r="N1142" s="195">
        <v>0.0047</v>
      </c>
      <c r="O1142" s="195">
        <v>0.8743</v>
      </c>
      <c r="P1142" s="195">
        <v>0.6667</v>
      </c>
      <c r="Q1142" s="179">
        <v>2.0</v>
      </c>
      <c r="R1142" s="179">
        <v>0.0</v>
      </c>
      <c r="S1142" s="195">
        <v>0.0059</v>
      </c>
      <c r="T1142" s="195">
        <v>0.0</v>
      </c>
      <c r="U1142" s="179">
        <v>11210.0</v>
      </c>
      <c r="V1142" s="179">
        <v>0.0</v>
      </c>
      <c r="W1142" s="179">
        <v>2.0</v>
      </c>
      <c r="X1142" s="179">
        <v>0.0</v>
      </c>
    </row>
    <row r="1143" ht="15.75" customHeight="1">
      <c r="A1143" s="65">
        <v>45717.0</v>
      </c>
      <c r="B1143" s="10" t="str">
        <f t="array" ref="B1143">_xlfn.XLOOKUP(D1143,'Referanc '!$A:$A,'Referanc '!$B:$B)</f>
        <v>Standing Table  - E3</v>
      </c>
      <c r="C1143" s="179" t="s">
        <v>365</v>
      </c>
      <c r="D1143" s="179" t="s">
        <v>365</v>
      </c>
      <c r="E1143" s="179" t="s">
        <v>1298</v>
      </c>
      <c r="F1143" s="179"/>
      <c r="G1143" s="207">
        <v>1735.0</v>
      </c>
      <c r="H1143" s="179">
        <v>39.0</v>
      </c>
      <c r="I1143" s="195">
        <v>0.0227</v>
      </c>
      <c r="J1143" s="195">
        <v>0.0131</v>
      </c>
      <c r="K1143" s="207">
        <v>2219.0</v>
      </c>
      <c r="L1143" s="179">
        <v>49.0</v>
      </c>
      <c r="M1143" s="195">
        <v>0.0214</v>
      </c>
      <c r="N1143" s="195">
        <v>0.012</v>
      </c>
      <c r="O1143" s="195">
        <v>0.7282</v>
      </c>
      <c r="P1143" s="195">
        <v>0.6471</v>
      </c>
      <c r="Q1143" s="179">
        <v>2.0</v>
      </c>
      <c r="R1143" s="179">
        <v>0.0</v>
      </c>
      <c r="S1143" s="195">
        <v>0.0012</v>
      </c>
      <c r="T1143" s="195">
        <v>0.0</v>
      </c>
      <c r="U1143" s="179">
        <v>80837.46</v>
      </c>
      <c r="V1143" s="179">
        <v>0.0</v>
      </c>
      <c r="W1143" s="179">
        <v>2.0</v>
      </c>
      <c r="X1143" s="179">
        <v>0.0</v>
      </c>
    </row>
    <row r="1144" ht="15.75" customHeight="1">
      <c r="A1144" s="65">
        <v>45717.0</v>
      </c>
      <c r="B1144" s="10" t="str">
        <f t="array" ref="B1144">_xlfn.XLOOKUP(D1144,'Referanc '!$A:$A,'Referanc '!$B:$B)</f>
        <v>Desk Cable Tray</v>
      </c>
      <c r="C1144" s="179" t="s">
        <v>314</v>
      </c>
      <c r="D1144" s="179" t="s">
        <v>314</v>
      </c>
      <c r="E1144" s="179" t="s">
        <v>1369</v>
      </c>
      <c r="F1144" s="179"/>
      <c r="G1144" s="179">
        <v>64.0</v>
      </c>
      <c r="H1144" s="179">
        <v>0.0</v>
      </c>
      <c r="I1144" s="195">
        <v>8.0E-4</v>
      </c>
      <c r="J1144" s="195">
        <v>0.0</v>
      </c>
      <c r="K1144" s="179">
        <v>94.0</v>
      </c>
      <c r="L1144" s="179">
        <v>0.0</v>
      </c>
      <c r="M1144" s="195">
        <v>9.0E-4</v>
      </c>
      <c r="N1144" s="195">
        <v>0.0</v>
      </c>
      <c r="O1144" s="195">
        <v>0.9625</v>
      </c>
      <c r="P1144" s="195">
        <v>0.0</v>
      </c>
      <c r="Q1144" s="179">
        <v>2.0</v>
      </c>
      <c r="R1144" s="179">
        <v>0.0</v>
      </c>
      <c r="S1144" s="195">
        <v>0.0313</v>
      </c>
      <c r="T1144" s="195">
        <v>0.0</v>
      </c>
      <c r="U1144" s="179">
        <v>3599.0</v>
      </c>
      <c r="V1144" s="179">
        <v>0.0</v>
      </c>
      <c r="W1144" s="179">
        <v>2.0</v>
      </c>
      <c r="X1144" s="179">
        <v>0.0</v>
      </c>
    </row>
    <row r="1145" ht="15.75" customHeight="1">
      <c r="A1145" s="65">
        <v>45717.0</v>
      </c>
      <c r="B1145" s="10" t="str">
        <f t="array" ref="B1145">_xlfn.XLOOKUP(D1145,'Referanc '!$A:$A,'Referanc '!$B:$B)</f>
        <v>Standing Table  - E3</v>
      </c>
      <c r="C1145" s="179" t="s">
        <v>400</v>
      </c>
      <c r="D1145" s="179" t="s">
        <v>400</v>
      </c>
      <c r="E1145" s="179" t="s">
        <v>1130</v>
      </c>
      <c r="F1145" s="179"/>
      <c r="G1145" s="207">
        <v>1062.0</v>
      </c>
      <c r="H1145" s="179">
        <v>20.0</v>
      </c>
      <c r="I1145" s="195">
        <v>0.0139</v>
      </c>
      <c r="J1145" s="195">
        <v>0.0067</v>
      </c>
      <c r="K1145" s="207">
        <v>1416.0</v>
      </c>
      <c r="L1145" s="179">
        <v>25.0</v>
      </c>
      <c r="M1145" s="195">
        <v>0.0136</v>
      </c>
      <c r="N1145" s="195">
        <v>0.0061</v>
      </c>
      <c r="O1145" s="195">
        <v>0.7574</v>
      </c>
      <c r="P1145" s="195">
        <v>0.9524</v>
      </c>
      <c r="Q1145" s="179">
        <v>2.0</v>
      </c>
      <c r="R1145" s="179">
        <v>0.0</v>
      </c>
      <c r="S1145" s="195">
        <v>0.0019</v>
      </c>
      <c r="T1145" s="195">
        <v>0.0</v>
      </c>
      <c r="U1145" s="179">
        <v>78807.46</v>
      </c>
      <c r="V1145" s="179">
        <v>0.0</v>
      </c>
      <c r="W1145" s="179">
        <v>2.0</v>
      </c>
      <c r="X1145" s="179">
        <v>0.0</v>
      </c>
    </row>
    <row r="1146" ht="15.75" customHeight="1">
      <c r="A1146" s="65">
        <v>45717.0</v>
      </c>
      <c r="B1146" s="10" t="str">
        <f t="array" ref="B1146">_xlfn.XLOOKUP(D1146,'Referanc '!$A:$A,'Referanc '!$B:$B)</f>
        <v>Standing Table  - SM3</v>
      </c>
      <c r="C1146" s="179" t="s">
        <v>401</v>
      </c>
      <c r="D1146" s="179" t="s">
        <v>401</v>
      </c>
      <c r="E1146" s="179" t="s">
        <v>1362</v>
      </c>
      <c r="F1146" s="179"/>
      <c r="G1146" s="179">
        <v>115.0</v>
      </c>
      <c r="H1146" s="179">
        <v>4.0</v>
      </c>
      <c r="I1146" s="195">
        <v>0.0015</v>
      </c>
      <c r="J1146" s="195">
        <v>0.0013</v>
      </c>
      <c r="K1146" s="179">
        <v>140.0</v>
      </c>
      <c r="L1146" s="179">
        <v>4.0</v>
      </c>
      <c r="M1146" s="195">
        <v>0.0013</v>
      </c>
      <c r="N1146" s="195">
        <v>0.001</v>
      </c>
      <c r="O1146" s="195">
        <v>0.9273</v>
      </c>
      <c r="P1146" s="195">
        <v>1.0</v>
      </c>
      <c r="Q1146" s="179">
        <v>2.0</v>
      </c>
      <c r="R1146" s="179">
        <v>0.0</v>
      </c>
      <c r="S1146" s="195">
        <v>0.0174</v>
      </c>
      <c r="T1146" s="195">
        <v>0.0</v>
      </c>
      <c r="U1146" s="179">
        <v>20510.0</v>
      </c>
      <c r="V1146" s="179">
        <v>0.0</v>
      </c>
      <c r="W1146" s="179">
        <v>2.0</v>
      </c>
      <c r="X1146" s="179">
        <v>0.0</v>
      </c>
    </row>
    <row r="1147" ht="15.75" customHeight="1">
      <c r="A1147" s="65">
        <v>45717.0</v>
      </c>
      <c r="B1147" s="10" t="str">
        <f t="array" ref="B1147">_xlfn.XLOOKUP(D1147,'Referanc '!$A:$A,'Referanc '!$B:$B)</f>
        <v>Standing Table  - SM3</v>
      </c>
      <c r="C1147" s="179" t="s">
        <v>383</v>
      </c>
      <c r="D1147" s="179" t="s">
        <v>383</v>
      </c>
      <c r="E1147" s="179" t="s">
        <v>1206</v>
      </c>
      <c r="F1147" s="179"/>
      <c r="G1147" s="179">
        <v>357.0</v>
      </c>
      <c r="H1147" s="179">
        <v>9.0</v>
      </c>
      <c r="I1147" s="195">
        <v>0.0047</v>
      </c>
      <c r="J1147" s="195">
        <v>0.003</v>
      </c>
      <c r="K1147" s="179">
        <v>444.0</v>
      </c>
      <c r="L1147" s="179">
        <v>10.0</v>
      </c>
      <c r="M1147" s="195">
        <v>0.0043</v>
      </c>
      <c r="N1147" s="195">
        <v>0.0025</v>
      </c>
      <c r="O1147" s="195">
        <v>0.8801</v>
      </c>
      <c r="P1147" s="195">
        <v>0.6667</v>
      </c>
      <c r="Q1147" s="179">
        <v>2.0</v>
      </c>
      <c r="R1147" s="179">
        <v>0.0</v>
      </c>
      <c r="S1147" s="195">
        <v>0.0056</v>
      </c>
      <c r="T1147" s="195">
        <v>0.0</v>
      </c>
      <c r="U1147" s="179">
        <v>46981.86</v>
      </c>
      <c r="V1147" s="179">
        <v>0.0</v>
      </c>
      <c r="W1147" s="179">
        <v>2.0</v>
      </c>
      <c r="X1147" s="179">
        <v>0.0</v>
      </c>
    </row>
    <row r="1148" ht="15.75" customHeight="1">
      <c r="A1148" s="65">
        <v>45717.0</v>
      </c>
      <c r="B1148" s="10" t="str">
        <f t="array" ref="B1148">_xlfn.XLOOKUP(D1148,'Referanc '!$A:$A,'Referanc '!$B:$B)</f>
        <v>Standing Table  - E1A</v>
      </c>
      <c r="C1148" s="179" t="s">
        <v>384</v>
      </c>
      <c r="D1148" s="179" t="s">
        <v>384</v>
      </c>
      <c r="E1148" s="179" t="s">
        <v>1302</v>
      </c>
      <c r="F1148" s="179"/>
      <c r="G1148" s="179">
        <v>362.0</v>
      </c>
      <c r="H1148" s="179">
        <v>19.0</v>
      </c>
      <c r="I1148" s="195">
        <v>0.0047</v>
      </c>
      <c r="J1148" s="195">
        <v>0.0064</v>
      </c>
      <c r="K1148" s="179">
        <v>445.0</v>
      </c>
      <c r="L1148" s="179">
        <v>24.0</v>
      </c>
      <c r="M1148" s="195">
        <v>0.0043</v>
      </c>
      <c r="N1148" s="195">
        <v>0.0059</v>
      </c>
      <c r="O1148" s="195">
        <v>0.8832</v>
      </c>
      <c r="P1148" s="195">
        <v>0.5333</v>
      </c>
      <c r="Q1148" s="179">
        <v>2.0</v>
      </c>
      <c r="R1148" s="179">
        <v>0.0</v>
      </c>
      <c r="S1148" s="195">
        <v>0.0055</v>
      </c>
      <c r="T1148" s="195">
        <v>0.0</v>
      </c>
      <c r="U1148" s="179">
        <v>63179.06</v>
      </c>
      <c r="V1148" s="179">
        <v>0.0</v>
      </c>
      <c r="W1148" s="179">
        <v>2.0</v>
      </c>
      <c r="X1148" s="179">
        <v>0.0</v>
      </c>
    </row>
    <row r="1149" ht="15.75" customHeight="1">
      <c r="A1149" s="65">
        <v>45717.0</v>
      </c>
      <c r="B1149" s="10" t="str">
        <f t="array" ref="B1149">_xlfn.XLOOKUP(D1149,'Referanc '!$A:$A,'Referanc '!$B:$B)</f>
        <v>Standing Table - All Frames</v>
      </c>
      <c r="C1149" s="179" t="s">
        <v>402</v>
      </c>
      <c r="D1149" s="179" t="s">
        <v>402</v>
      </c>
      <c r="E1149" s="179" t="s">
        <v>697</v>
      </c>
      <c r="F1149" s="179"/>
      <c r="G1149" s="179">
        <v>689.0</v>
      </c>
      <c r="H1149" s="179">
        <v>47.0</v>
      </c>
      <c r="I1149" s="195">
        <v>0.009</v>
      </c>
      <c r="J1149" s="195">
        <v>0.0158</v>
      </c>
      <c r="K1149" s="179">
        <v>820.0</v>
      </c>
      <c r="L1149" s="179">
        <v>58.0</v>
      </c>
      <c r="M1149" s="195">
        <v>0.0079</v>
      </c>
      <c r="N1149" s="195">
        <v>0.0142</v>
      </c>
      <c r="O1149" s="195">
        <v>0.9247</v>
      </c>
      <c r="P1149" s="195">
        <v>0.9429</v>
      </c>
      <c r="Q1149" s="179">
        <v>2.0</v>
      </c>
      <c r="R1149" s="179">
        <v>1.0</v>
      </c>
      <c r="S1149" s="195">
        <v>0.0029</v>
      </c>
      <c r="T1149" s="195">
        <v>0.0213</v>
      </c>
      <c r="U1149" s="179">
        <v>48020.0</v>
      </c>
      <c r="V1149" s="179">
        <v>24010.0</v>
      </c>
      <c r="W1149" s="179">
        <v>2.0</v>
      </c>
      <c r="X1149" s="179">
        <v>1.0</v>
      </c>
    </row>
    <row r="1150" ht="15.75" customHeight="1">
      <c r="A1150" s="65">
        <v>45717.0</v>
      </c>
      <c r="B1150" s="10" t="str">
        <f t="array" ref="B1150">_xlfn.XLOOKUP(D1150,'Referanc '!$A:$A,'Referanc '!$B:$B)</f>
        <v>Standing Table  - E4</v>
      </c>
      <c r="C1150" s="179" t="s">
        <v>405</v>
      </c>
      <c r="D1150" s="179" t="s">
        <v>405</v>
      </c>
      <c r="E1150" s="179" t="s">
        <v>1305</v>
      </c>
      <c r="F1150" s="179"/>
      <c r="G1150" s="179">
        <v>117.0</v>
      </c>
      <c r="H1150" s="179">
        <v>8.0</v>
      </c>
      <c r="I1150" s="195">
        <v>0.0015</v>
      </c>
      <c r="J1150" s="195">
        <v>0.0027</v>
      </c>
      <c r="K1150" s="179">
        <v>177.0</v>
      </c>
      <c r="L1150" s="179">
        <v>18.0</v>
      </c>
      <c r="M1150" s="195">
        <v>0.0017</v>
      </c>
      <c r="N1150" s="195">
        <v>0.0044</v>
      </c>
      <c r="O1150" s="195">
        <v>0.9459</v>
      </c>
      <c r="P1150" s="195">
        <v>0.7059</v>
      </c>
      <c r="Q1150" s="179">
        <v>2.0</v>
      </c>
      <c r="R1150" s="179">
        <v>1.0</v>
      </c>
      <c r="S1150" s="195">
        <v>0.0171</v>
      </c>
      <c r="T1150" s="195">
        <v>0.125</v>
      </c>
      <c r="U1150" s="179">
        <v>57771.0</v>
      </c>
      <c r="V1150" s="179">
        <v>30261.0</v>
      </c>
      <c r="W1150" s="179">
        <v>2.0</v>
      </c>
      <c r="X1150" s="179">
        <v>1.0</v>
      </c>
    </row>
    <row r="1151" ht="15.75" customHeight="1">
      <c r="A1151" s="65">
        <v>45717.0</v>
      </c>
      <c r="B1151" s="10" t="str">
        <f t="array" ref="B1151">_xlfn.XLOOKUP(D1151,'Referanc '!$A:$A,'Referanc '!$B:$B)</f>
        <v>Standing Table  - M14</v>
      </c>
      <c r="C1151" s="179" t="s">
        <v>435</v>
      </c>
      <c r="D1151" s="179" t="s">
        <v>435</v>
      </c>
      <c r="E1151" s="179" t="s">
        <v>724</v>
      </c>
      <c r="F1151" s="179"/>
      <c r="G1151" s="179">
        <v>526.0</v>
      </c>
      <c r="H1151" s="179">
        <v>22.0</v>
      </c>
      <c r="I1151" s="195">
        <v>0.0069</v>
      </c>
      <c r="J1151" s="195">
        <v>0.0074</v>
      </c>
      <c r="K1151" s="179">
        <v>700.0</v>
      </c>
      <c r="L1151" s="179">
        <v>31.0</v>
      </c>
      <c r="M1151" s="195">
        <v>0.0067</v>
      </c>
      <c r="N1151" s="195">
        <v>0.0076</v>
      </c>
      <c r="O1151" s="195">
        <v>0.9703</v>
      </c>
      <c r="P1151" s="195">
        <v>0.7143</v>
      </c>
      <c r="Q1151" s="179">
        <v>2.0</v>
      </c>
      <c r="R1151" s="179">
        <v>0.0</v>
      </c>
      <c r="S1151" s="195">
        <v>0.0038</v>
      </c>
      <c r="T1151" s="195">
        <v>0.0</v>
      </c>
      <c r="U1151" s="179">
        <v>31251.18</v>
      </c>
      <c r="V1151" s="179">
        <v>0.0</v>
      </c>
      <c r="W1151" s="179">
        <v>2.0</v>
      </c>
      <c r="X1151" s="179">
        <v>0.0</v>
      </c>
    </row>
    <row r="1152" ht="15.75" customHeight="1">
      <c r="A1152" s="65">
        <v>45717.0</v>
      </c>
      <c r="B1152" s="10" t="str">
        <f t="array" ref="B1152">_xlfn.XLOOKUP(D1152,'Referanc '!$A:$A,'Referanc '!$B:$B)</f>
        <v>Standing Table  - M14</v>
      </c>
      <c r="C1152" s="179" t="s">
        <v>441</v>
      </c>
      <c r="D1152" s="179" t="s">
        <v>441</v>
      </c>
      <c r="E1152" s="179" t="s">
        <v>730</v>
      </c>
      <c r="F1152" s="179"/>
      <c r="G1152" s="179">
        <v>449.0</v>
      </c>
      <c r="H1152" s="179">
        <v>16.0</v>
      </c>
      <c r="I1152" s="195">
        <v>0.0059</v>
      </c>
      <c r="J1152" s="195">
        <v>0.0054</v>
      </c>
      <c r="K1152" s="179">
        <v>557.0</v>
      </c>
      <c r="L1152" s="179">
        <v>17.0</v>
      </c>
      <c r="M1152" s="195">
        <v>0.0054</v>
      </c>
      <c r="N1152" s="195">
        <v>0.0042</v>
      </c>
      <c r="O1152" s="195">
        <v>0.9085</v>
      </c>
      <c r="P1152" s="195">
        <v>0.75</v>
      </c>
      <c r="Q1152" s="179">
        <v>2.0</v>
      </c>
      <c r="R1152" s="179">
        <v>0.0</v>
      </c>
      <c r="S1152" s="195">
        <v>0.0045</v>
      </c>
      <c r="T1152" s="195">
        <v>0.0</v>
      </c>
      <c r="U1152" s="179">
        <v>31120.0</v>
      </c>
      <c r="V1152" s="179">
        <v>0.0</v>
      </c>
      <c r="W1152" s="179">
        <v>2.0</v>
      </c>
      <c r="X1152" s="179">
        <v>0.0</v>
      </c>
    </row>
    <row r="1153" ht="15.75" customHeight="1">
      <c r="A1153" s="65">
        <v>45717.0</v>
      </c>
      <c r="B1153" s="10" t="str">
        <f t="array" ref="B1153">_xlfn.XLOOKUP(D1153,'Referanc '!$A:$A,'Referanc '!$B:$B)</f>
        <v>Standing Table  - M14</v>
      </c>
      <c r="C1153" s="179" t="s">
        <v>449</v>
      </c>
      <c r="D1153" s="179" t="s">
        <v>449</v>
      </c>
      <c r="E1153" s="179" t="s">
        <v>725</v>
      </c>
      <c r="F1153" s="179"/>
      <c r="G1153" s="179">
        <v>156.0</v>
      </c>
      <c r="H1153" s="179">
        <v>1.0</v>
      </c>
      <c r="I1153" s="195">
        <v>0.002</v>
      </c>
      <c r="J1153" s="195">
        <v>3.0E-4</v>
      </c>
      <c r="K1153" s="179">
        <v>205.0</v>
      </c>
      <c r="L1153" s="179">
        <v>1.0</v>
      </c>
      <c r="M1153" s="195">
        <v>0.002</v>
      </c>
      <c r="N1153" s="195">
        <v>2.0E-4</v>
      </c>
      <c r="O1153" s="195">
        <v>0.9483</v>
      </c>
      <c r="P1153" s="195">
        <v>0.0</v>
      </c>
      <c r="Q1153" s="179">
        <v>2.0</v>
      </c>
      <c r="R1153" s="179">
        <v>0.0</v>
      </c>
      <c r="S1153" s="195">
        <v>0.0128</v>
      </c>
      <c r="T1153" s="195">
        <v>0.0</v>
      </c>
      <c r="U1153" s="179">
        <v>31300.0</v>
      </c>
      <c r="V1153" s="179">
        <v>0.0</v>
      </c>
      <c r="W1153" s="179">
        <v>2.0</v>
      </c>
      <c r="X1153" s="179">
        <v>0.0</v>
      </c>
    </row>
    <row r="1154" ht="15.75" customHeight="1">
      <c r="A1154" s="65">
        <v>45717.0</v>
      </c>
      <c r="B1154" s="10" t="str">
        <f t="array" ref="B1154">_xlfn.XLOOKUP(D1154,'Referanc '!$A:$A,'Referanc '!$B:$B)</f>
        <v>TABLE TOP</v>
      </c>
      <c r="C1154" s="179" t="s">
        <v>323</v>
      </c>
      <c r="D1154" s="179" t="s">
        <v>323</v>
      </c>
      <c r="E1154" s="179" t="s">
        <v>537</v>
      </c>
      <c r="F1154" s="179"/>
      <c r="G1154" s="179">
        <v>945.0</v>
      </c>
      <c r="H1154" s="179">
        <v>33.0</v>
      </c>
      <c r="I1154" s="195">
        <v>0.0123</v>
      </c>
      <c r="J1154" s="195">
        <v>0.0111</v>
      </c>
      <c r="K1154" s="207">
        <v>1115.0</v>
      </c>
      <c r="L1154" s="179">
        <v>42.0</v>
      </c>
      <c r="M1154" s="195">
        <v>0.0107</v>
      </c>
      <c r="N1154" s="195">
        <v>0.0103</v>
      </c>
      <c r="O1154" s="195">
        <v>0.6923</v>
      </c>
      <c r="P1154" s="195">
        <v>0.7059</v>
      </c>
      <c r="Q1154" s="179">
        <v>1.0</v>
      </c>
      <c r="R1154" s="179">
        <v>0.0</v>
      </c>
      <c r="S1154" s="195">
        <v>0.0011</v>
      </c>
      <c r="T1154" s="195">
        <v>0.0</v>
      </c>
      <c r="U1154" s="179">
        <v>8455.0</v>
      </c>
      <c r="V1154" s="179">
        <v>0.0</v>
      </c>
      <c r="W1154" s="179">
        <v>1.0</v>
      </c>
      <c r="X1154" s="179">
        <v>0.0</v>
      </c>
    </row>
    <row r="1155" ht="15.75" customHeight="1">
      <c r="A1155" s="65">
        <v>45717.0</v>
      </c>
      <c r="B1155" s="10" t="str">
        <f t="array" ref="B1155">_xlfn.XLOOKUP(D1155,'Referanc '!$A:$A,'Referanc '!$B:$B)</f>
        <v>TABLE TOP</v>
      </c>
      <c r="C1155" s="179" t="s">
        <v>324</v>
      </c>
      <c r="D1155" s="179" t="s">
        <v>324</v>
      </c>
      <c r="E1155" s="179" t="s">
        <v>533</v>
      </c>
      <c r="F1155" s="179"/>
      <c r="G1155" s="179">
        <v>444.0</v>
      </c>
      <c r="H1155" s="179">
        <v>20.0</v>
      </c>
      <c r="I1155" s="195">
        <v>0.0058</v>
      </c>
      <c r="J1155" s="195">
        <v>0.0067</v>
      </c>
      <c r="K1155" s="179">
        <v>571.0</v>
      </c>
      <c r="L1155" s="179">
        <v>25.0</v>
      </c>
      <c r="M1155" s="195">
        <v>0.0055</v>
      </c>
      <c r="N1155" s="195">
        <v>0.0061</v>
      </c>
      <c r="O1155" s="195">
        <v>0.9295</v>
      </c>
      <c r="P1155" s="195">
        <v>0.8095</v>
      </c>
      <c r="Q1155" s="179">
        <v>1.0</v>
      </c>
      <c r="R1155" s="179">
        <v>0.0</v>
      </c>
      <c r="S1155" s="195">
        <v>0.0023</v>
      </c>
      <c r="T1155" s="195">
        <v>0.0</v>
      </c>
      <c r="U1155" s="179">
        <v>5605.0</v>
      </c>
      <c r="V1155" s="179">
        <v>0.0</v>
      </c>
      <c r="W1155" s="179">
        <v>1.0</v>
      </c>
      <c r="X1155" s="179">
        <v>0.0</v>
      </c>
    </row>
    <row r="1156" ht="15.75" customHeight="1">
      <c r="A1156" s="65">
        <v>45717.0</v>
      </c>
      <c r="B1156" s="10" t="str">
        <f t="array" ref="B1156">_xlfn.XLOOKUP(D1156,'Referanc '!$A:$A,'Referanc '!$B:$B)</f>
        <v>Footrests</v>
      </c>
      <c r="C1156" s="179" t="s">
        <v>339</v>
      </c>
      <c r="D1156" s="179" t="s">
        <v>339</v>
      </c>
      <c r="E1156" s="179" t="s">
        <v>547</v>
      </c>
      <c r="F1156" s="179"/>
      <c r="G1156" s="179">
        <v>395.0</v>
      </c>
      <c r="H1156" s="179">
        <v>19.0</v>
      </c>
      <c r="I1156" s="195">
        <v>0.0052</v>
      </c>
      <c r="J1156" s="195">
        <v>0.0064</v>
      </c>
      <c r="K1156" s="179">
        <v>473.0</v>
      </c>
      <c r="L1156" s="179">
        <v>20.0</v>
      </c>
      <c r="M1156" s="195">
        <v>0.0046</v>
      </c>
      <c r="N1156" s="195">
        <v>0.0049</v>
      </c>
      <c r="O1156" s="195">
        <v>1.0</v>
      </c>
      <c r="P1156" s="195">
        <v>1.0</v>
      </c>
      <c r="Q1156" s="179">
        <v>1.0</v>
      </c>
      <c r="R1156" s="179">
        <v>0.0</v>
      </c>
      <c r="S1156" s="195">
        <v>0.0025</v>
      </c>
      <c r="T1156" s="195">
        <v>0.0</v>
      </c>
      <c r="U1156" s="179">
        <v>2999.0</v>
      </c>
      <c r="V1156" s="179">
        <v>0.0</v>
      </c>
      <c r="W1156" s="179">
        <v>1.0</v>
      </c>
      <c r="X1156" s="179">
        <v>0.0</v>
      </c>
    </row>
    <row r="1157" ht="15.75" customHeight="1">
      <c r="A1157" s="65">
        <v>45717.0</v>
      </c>
      <c r="B1157" s="10" t="str">
        <f t="array" ref="B1157">_xlfn.XLOOKUP(D1157,'Referanc '!$A:$A,'Referanc '!$B:$B)</f>
        <v>Standing Table  - E2</v>
      </c>
      <c r="C1157" s="179" t="s">
        <v>392</v>
      </c>
      <c r="D1157" s="179" t="s">
        <v>392</v>
      </c>
      <c r="E1157" s="179" t="s">
        <v>1132</v>
      </c>
      <c r="F1157" s="179"/>
      <c r="G1157" s="179">
        <v>26.0</v>
      </c>
      <c r="H1157" s="179">
        <v>0.0</v>
      </c>
      <c r="I1157" s="195">
        <v>3.0E-4</v>
      </c>
      <c r="J1157" s="195">
        <v>0.0</v>
      </c>
      <c r="K1157" s="179">
        <v>31.0</v>
      </c>
      <c r="L1157" s="179">
        <v>0.0</v>
      </c>
      <c r="M1157" s="195">
        <v>3.0E-4</v>
      </c>
      <c r="N1157" s="195">
        <v>0.0</v>
      </c>
      <c r="O1157" s="195">
        <v>0.9286</v>
      </c>
      <c r="P1157" s="195">
        <v>0.0</v>
      </c>
      <c r="Q1157" s="179">
        <v>1.0</v>
      </c>
      <c r="R1157" s="179">
        <v>0.0</v>
      </c>
      <c r="S1157" s="195">
        <v>0.0385</v>
      </c>
      <c r="T1157" s="195">
        <v>0.0</v>
      </c>
      <c r="U1157" s="179">
        <v>34745.08</v>
      </c>
      <c r="V1157" s="179">
        <v>0.0</v>
      </c>
      <c r="W1157" s="179">
        <v>1.0</v>
      </c>
      <c r="X1157" s="179">
        <v>0.0</v>
      </c>
    </row>
    <row r="1158" ht="15.75" customHeight="1">
      <c r="A1158" s="65">
        <v>45717.0</v>
      </c>
      <c r="B1158" s="10" t="str">
        <f t="array" ref="B1158">_xlfn.XLOOKUP(D1158,'Referanc '!$A:$A,'Referanc '!$B:$B)</f>
        <v>Standing Table  - E3</v>
      </c>
      <c r="C1158" s="179" t="s">
        <v>376</v>
      </c>
      <c r="D1158" s="179" t="s">
        <v>376</v>
      </c>
      <c r="E1158" s="179" t="s">
        <v>1157</v>
      </c>
      <c r="F1158" s="179"/>
      <c r="G1158" s="179">
        <v>97.0</v>
      </c>
      <c r="H1158" s="179">
        <v>5.0</v>
      </c>
      <c r="I1158" s="195">
        <v>0.0013</v>
      </c>
      <c r="J1158" s="195">
        <v>0.0017</v>
      </c>
      <c r="K1158" s="179">
        <v>136.0</v>
      </c>
      <c r="L1158" s="179">
        <v>7.0</v>
      </c>
      <c r="M1158" s="195">
        <v>0.0013</v>
      </c>
      <c r="N1158" s="195">
        <v>0.0017</v>
      </c>
      <c r="O1158" s="195">
        <v>0.9153</v>
      </c>
      <c r="P1158" s="195">
        <v>1.0</v>
      </c>
      <c r="Q1158" s="179">
        <v>1.0</v>
      </c>
      <c r="R1158" s="179">
        <v>0.0</v>
      </c>
      <c r="S1158" s="195">
        <v>0.0103</v>
      </c>
      <c r="T1158" s="195">
        <v>0.0</v>
      </c>
      <c r="U1158" s="179">
        <v>32205.0</v>
      </c>
      <c r="V1158" s="179">
        <v>0.0</v>
      </c>
      <c r="W1158" s="179">
        <v>1.0</v>
      </c>
      <c r="X1158" s="179">
        <v>0.0</v>
      </c>
    </row>
    <row r="1159" ht="15.75" customHeight="1">
      <c r="A1159" s="65">
        <v>45717.0</v>
      </c>
      <c r="B1159" s="10" t="str">
        <f t="array" ref="B1159">_xlfn.XLOOKUP(D1159,'Referanc '!$A:$A,'Referanc '!$B:$B)</f>
        <v>Standing Table  - SM3</v>
      </c>
      <c r="C1159" s="179" t="s">
        <v>379</v>
      </c>
      <c r="D1159" s="179" t="s">
        <v>379</v>
      </c>
      <c r="E1159" s="179" t="s">
        <v>1209</v>
      </c>
      <c r="F1159" s="179"/>
      <c r="G1159" s="179">
        <v>723.0</v>
      </c>
      <c r="H1159" s="179">
        <v>20.0</v>
      </c>
      <c r="I1159" s="195">
        <v>0.0094</v>
      </c>
      <c r="J1159" s="195">
        <v>0.0067</v>
      </c>
      <c r="K1159" s="179">
        <v>906.0</v>
      </c>
      <c r="L1159" s="179">
        <v>24.0</v>
      </c>
      <c r="M1159" s="195">
        <v>0.0087</v>
      </c>
      <c r="N1159" s="195">
        <v>0.0059</v>
      </c>
      <c r="O1159" s="195">
        <v>0.7898</v>
      </c>
      <c r="P1159" s="195">
        <v>0.9375</v>
      </c>
      <c r="Q1159" s="179">
        <v>1.0</v>
      </c>
      <c r="R1159" s="179">
        <v>0.0</v>
      </c>
      <c r="S1159" s="195">
        <v>0.0014</v>
      </c>
      <c r="T1159" s="195">
        <v>0.0</v>
      </c>
      <c r="U1159" s="179">
        <v>21471.86</v>
      </c>
      <c r="V1159" s="179">
        <v>0.0</v>
      </c>
      <c r="W1159" s="179">
        <v>1.0</v>
      </c>
      <c r="X1159" s="179">
        <v>0.0</v>
      </c>
    </row>
    <row r="1160" ht="15.75" customHeight="1">
      <c r="A1160" s="65">
        <v>45717.0</v>
      </c>
      <c r="B1160" s="10" t="str">
        <f t="array" ref="B1160">_xlfn.XLOOKUP(D1160,'Referanc '!$A:$A,'Referanc '!$B:$B)</f>
        <v>Standing Table  - E1A</v>
      </c>
      <c r="C1160" s="179" t="s">
        <v>354</v>
      </c>
      <c r="D1160" s="179" t="s">
        <v>354</v>
      </c>
      <c r="E1160" s="179" t="s">
        <v>1325</v>
      </c>
      <c r="F1160" s="179"/>
      <c r="G1160" s="179">
        <v>157.0</v>
      </c>
      <c r="H1160" s="179">
        <v>10.0</v>
      </c>
      <c r="I1160" s="195">
        <v>0.002</v>
      </c>
      <c r="J1160" s="195">
        <v>0.0034</v>
      </c>
      <c r="K1160" s="179">
        <v>195.0</v>
      </c>
      <c r="L1160" s="179">
        <v>12.0</v>
      </c>
      <c r="M1160" s="195">
        <v>0.0019</v>
      </c>
      <c r="N1160" s="195">
        <v>0.0029</v>
      </c>
      <c r="O1160" s="195">
        <v>0.8667</v>
      </c>
      <c r="P1160" s="195">
        <v>0.8889</v>
      </c>
      <c r="Q1160" s="179">
        <v>1.0</v>
      </c>
      <c r="R1160" s="179">
        <v>0.0</v>
      </c>
      <c r="S1160" s="195">
        <v>0.0064</v>
      </c>
      <c r="T1160" s="195">
        <v>0.0</v>
      </c>
      <c r="U1160" s="179">
        <v>31345.0</v>
      </c>
      <c r="V1160" s="179">
        <v>0.0</v>
      </c>
      <c r="W1160" s="179">
        <v>1.0</v>
      </c>
      <c r="X1160" s="179">
        <v>0.0</v>
      </c>
    </row>
    <row r="1161" ht="15.75" customHeight="1">
      <c r="A1161" s="65">
        <v>45717.0</v>
      </c>
      <c r="B1161" s="10" t="str">
        <f t="array" ref="B1161">_xlfn.XLOOKUP(D1161,'Referanc '!$A:$A,'Referanc '!$B:$B)</f>
        <v>Standing Table  - E1A</v>
      </c>
      <c r="C1161" s="179" t="s">
        <v>359</v>
      </c>
      <c r="D1161" s="179" t="s">
        <v>359</v>
      </c>
      <c r="E1161" s="179" t="s">
        <v>1366</v>
      </c>
      <c r="F1161" s="179"/>
      <c r="G1161" s="179">
        <v>122.0</v>
      </c>
      <c r="H1161" s="179">
        <v>5.0</v>
      </c>
      <c r="I1161" s="195">
        <v>0.0016</v>
      </c>
      <c r="J1161" s="195">
        <v>0.0017</v>
      </c>
      <c r="K1161" s="179">
        <v>150.0</v>
      </c>
      <c r="L1161" s="179">
        <v>5.0</v>
      </c>
      <c r="M1161" s="195">
        <v>0.0014</v>
      </c>
      <c r="N1161" s="195">
        <v>0.0012</v>
      </c>
      <c r="O1161" s="195">
        <v>0.8833</v>
      </c>
      <c r="P1161" s="195">
        <v>0.6667</v>
      </c>
      <c r="Q1161" s="179">
        <v>1.0</v>
      </c>
      <c r="R1161" s="179">
        <v>0.0</v>
      </c>
      <c r="S1161" s="195">
        <v>0.0082</v>
      </c>
      <c r="T1161" s="195">
        <v>0.0</v>
      </c>
      <c r="U1161" s="179">
        <v>34622.03</v>
      </c>
      <c r="V1161" s="179">
        <v>0.0</v>
      </c>
      <c r="W1161" s="179">
        <v>1.0</v>
      </c>
      <c r="X1161" s="179">
        <v>0.0</v>
      </c>
    </row>
    <row r="1162" ht="15.75" customHeight="1">
      <c r="A1162" s="65">
        <v>45717.0</v>
      </c>
      <c r="B1162" s="10" t="str">
        <f t="array" ref="B1162">_xlfn.XLOOKUP(D1162,'Referanc '!$A:$A,'Referanc '!$B:$B)</f>
        <v>Standing Table  - E1A</v>
      </c>
      <c r="C1162" s="179" t="s">
        <v>382</v>
      </c>
      <c r="D1162" s="179" t="s">
        <v>382</v>
      </c>
      <c r="E1162" s="179" t="s">
        <v>1300</v>
      </c>
      <c r="F1162" s="179"/>
      <c r="G1162" s="207">
        <v>1548.0</v>
      </c>
      <c r="H1162" s="179">
        <v>55.0</v>
      </c>
      <c r="I1162" s="195">
        <v>0.0202</v>
      </c>
      <c r="J1162" s="195">
        <v>0.0185</v>
      </c>
      <c r="K1162" s="207">
        <v>1923.0</v>
      </c>
      <c r="L1162" s="179">
        <v>69.0</v>
      </c>
      <c r="M1162" s="195">
        <v>0.0185</v>
      </c>
      <c r="N1162" s="195">
        <v>0.0169</v>
      </c>
      <c r="O1162" s="195">
        <v>0.7288</v>
      </c>
      <c r="P1162" s="195">
        <v>0.7917</v>
      </c>
      <c r="Q1162" s="179">
        <v>1.0</v>
      </c>
      <c r="R1162" s="179">
        <v>0.0</v>
      </c>
      <c r="S1162" s="195">
        <v>6.0E-4</v>
      </c>
      <c r="T1162" s="195">
        <v>0.0</v>
      </c>
      <c r="U1162" s="179">
        <v>31950.0</v>
      </c>
      <c r="V1162" s="179">
        <v>0.0</v>
      </c>
      <c r="W1162" s="179">
        <v>1.0</v>
      </c>
      <c r="X1162" s="179">
        <v>0.0</v>
      </c>
    </row>
    <row r="1163" ht="15.75" customHeight="1">
      <c r="A1163" s="65">
        <v>45717.0</v>
      </c>
      <c r="B1163" s="10" t="str">
        <f t="array" ref="B1163">_xlfn.XLOOKUP(D1163,'Referanc '!$A:$A,'Referanc '!$B:$B)</f>
        <v>Standing Table - All Frames</v>
      </c>
      <c r="C1163" s="179" t="s">
        <v>399</v>
      </c>
      <c r="D1163" s="179" t="s">
        <v>399</v>
      </c>
      <c r="E1163" s="179" t="s">
        <v>1303</v>
      </c>
      <c r="F1163" s="179"/>
      <c r="G1163" s="179">
        <v>298.0</v>
      </c>
      <c r="H1163" s="179">
        <v>23.0</v>
      </c>
      <c r="I1163" s="195">
        <v>0.0039</v>
      </c>
      <c r="J1163" s="195">
        <v>0.0077</v>
      </c>
      <c r="K1163" s="179">
        <v>367.0</v>
      </c>
      <c r="L1163" s="179">
        <v>28.0</v>
      </c>
      <c r="M1163" s="195">
        <v>0.0035</v>
      </c>
      <c r="N1163" s="195">
        <v>0.0069</v>
      </c>
      <c r="O1163" s="195">
        <v>0.8305</v>
      </c>
      <c r="P1163" s="195">
        <v>0.5</v>
      </c>
      <c r="Q1163" s="179">
        <v>1.0</v>
      </c>
      <c r="R1163" s="179">
        <v>0.0</v>
      </c>
      <c r="S1163" s="195">
        <v>0.0034</v>
      </c>
      <c r="T1163" s="195">
        <v>0.0</v>
      </c>
      <c r="U1163" s="179">
        <v>29450.0</v>
      </c>
      <c r="V1163" s="179">
        <v>0.0</v>
      </c>
      <c r="W1163" s="179">
        <v>1.0</v>
      </c>
      <c r="X1163" s="179">
        <v>0.0</v>
      </c>
    </row>
    <row r="1164" ht="15.75" customHeight="1">
      <c r="A1164" s="65">
        <v>45717.0</v>
      </c>
      <c r="B1164" s="10" t="str">
        <f t="array" ref="B1164">_xlfn.XLOOKUP(D1164,'Referanc '!$A:$A,'Referanc '!$B:$B)</f>
        <v>Standing Table  - E4</v>
      </c>
      <c r="C1164" s="179" t="s">
        <v>404</v>
      </c>
      <c r="D1164" s="179" t="s">
        <v>404</v>
      </c>
      <c r="E1164" s="179" t="s">
        <v>1304</v>
      </c>
      <c r="F1164" s="179"/>
      <c r="G1164" s="179">
        <v>87.0</v>
      </c>
      <c r="H1164" s="179">
        <v>3.0</v>
      </c>
      <c r="I1164" s="195">
        <v>0.0011</v>
      </c>
      <c r="J1164" s="195">
        <v>0.001</v>
      </c>
      <c r="K1164" s="179">
        <v>114.0</v>
      </c>
      <c r="L1164" s="179">
        <v>3.0</v>
      </c>
      <c r="M1164" s="195">
        <v>0.0011</v>
      </c>
      <c r="N1164" s="195">
        <v>7.0E-4</v>
      </c>
      <c r="O1164" s="195">
        <v>0.9091</v>
      </c>
      <c r="P1164" s="195">
        <v>1.0</v>
      </c>
      <c r="Q1164" s="179">
        <v>1.0</v>
      </c>
      <c r="R1164" s="179">
        <v>0.0</v>
      </c>
      <c r="S1164" s="195">
        <v>0.0115</v>
      </c>
      <c r="T1164" s="195">
        <v>0.0</v>
      </c>
      <c r="U1164" s="179">
        <v>29064.24</v>
      </c>
      <c r="V1164" s="179">
        <v>0.0</v>
      </c>
      <c r="W1164" s="179">
        <v>1.0</v>
      </c>
      <c r="X1164" s="179">
        <v>0.0</v>
      </c>
    </row>
    <row r="1165" ht="15.75" customHeight="1">
      <c r="A1165" s="65">
        <v>45717.0</v>
      </c>
      <c r="B1165" s="10" t="str">
        <f t="array" ref="B1165">_xlfn.XLOOKUP(D1165,'Referanc '!$A:$A,'Referanc '!$B:$B)</f>
        <v>Standing Table  - SM4</v>
      </c>
      <c r="C1165" s="179" t="s">
        <v>426</v>
      </c>
      <c r="D1165" s="179" t="s">
        <v>426</v>
      </c>
      <c r="E1165" s="179" t="s">
        <v>714</v>
      </c>
      <c r="F1165" s="179"/>
      <c r="G1165" s="179">
        <v>480.0</v>
      </c>
      <c r="H1165" s="179">
        <v>19.0</v>
      </c>
      <c r="I1165" s="195">
        <v>0.0063</v>
      </c>
      <c r="J1165" s="195">
        <v>0.0064</v>
      </c>
      <c r="K1165" s="179">
        <v>643.0</v>
      </c>
      <c r="L1165" s="179">
        <v>20.0</v>
      </c>
      <c r="M1165" s="195">
        <v>0.0062</v>
      </c>
      <c r="N1165" s="195">
        <v>0.0049</v>
      </c>
      <c r="O1165" s="195">
        <v>0.8725</v>
      </c>
      <c r="P1165" s="195">
        <v>0.8889</v>
      </c>
      <c r="Q1165" s="179">
        <v>2.0</v>
      </c>
      <c r="R1165" s="179">
        <v>2.0</v>
      </c>
      <c r="S1165" s="195">
        <v>0.0042</v>
      </c>
      <c r="T1165" s="195">
        <v>0.1053</v>
      </c>
      <c r="U1165" s="179">
        <v>30020.0</v>
      </c>
      <c r="V1165" s="179">
        <v>30020.0</v>
      </c>
      <c r="W1165" s="179">
        <v>1.0</v>
      </c>
      <c r="X1165" s="179">
        <v>1.0</v>
      </c>
    </row>
    <row r="1166" ht="15.75" customHeight="1">
      <c r="A1166" s="65">
        <v>45717.0</v>
      </c>
      <c r="B1166" s="10" t="str">
        <f t="array" ref="B1166">_xlfn.XLOOKUP(D1166,'Referanc '!$A:$A,'Referanc '!$B:$B)</f>
        <v>Standing Table  - SM4</v>
      </c>
      <c r="C1166" s="179" t="s">
        <v>450</v>
      </c>
      <c r="D1166" s="179" t="s">
        <v>450</v>
      </c>
      <c r="E1166" s="179" t="s">
        <v>739</v>
      </c>
      <c r="F1166" s="179"/>
      <c r="G1166" s="179">
        <v>659.0</v>
      </c>
      <c r="H1166" s="179">
        <v>20.0</v>
      </c>
      <c r="I1166" s="195">
        <v>0.0086</v>
      </c>
      <c r="J1166" s="195">
        <v>0.0067</v>
      </c>
      <c r="K1166" s="179">
        <v>846.0</v>
      </c>
      <c r="L1166" s="179">
        <v>20.0</v>
      </c>
      <c r="M1166" s="195">
        <v>0.0081</v>
      </c>
      <c r="N1166" s="195">
        <v>0.0049</v>
      </c>
      <c r="O1166" s="195">
        <v>0.957</v>
      </c>
      <c r="P1166" s="195">
        <v>0.7778</v>
      </c>
      <c r="Q1166" s="179">
        <v>1.0</v>
      </c>
      <c r="R1166" s="179">
        <v>0.0</v>
      </c>
      <c r="S1166" s="195">
        <v>0.0015</v>
      </c>
      <c r="T1166" s="195">
        <v>0.0</v>
      </c>
      <c r="U1166" s="179">
        <v>16999.0</v>
      </c>
      <c r="V1166" s="179">
        <v>0.0</v>
      </c>
      <c r="W1166" s="179">
        <v>1.0</v>
      </c>
      <c r="X1166" s="179">
        <v>0.0</v>
      </c>
    </row>
    <row r="1167" ht="15.75" customHeight="1">
      <c r="A1167" s="65">
        <v>45717.0</v>
      </c>
      <c r="B1167" s="10" t="str">
        <f t="array" ref="B1167">_xlfn.XLOOKUP(D1167,'Referanc '!$A:$A,'Referanc '!$B:$B)</f>
        <v>Standing Table  - SM4</v>
      </c>
      <c r="C1167" s="179" t="s">
        <v>451</v>
      </c>
      <c r="D1167" s="179" t="s">
        <v>451</v>
      </c>
      <c r="E1167" s="179" t="s">
        <v>740</v>
      </c>
      <c r="F1167" s="179"/>
      <c r="G1167" s="179">
        <v>562.0</v>
      </c>
      <c r="H1167" s="179">
        <v>23.0</v>
      </c>
      <c r="I1167" s="195">
        <v>0.0073</v>
      </c>
      <c r="J1167" s="195">
        <v>0.0077</v>
      </c>
      <c r="K1167" s="179">
        <v>719.0</v>
      </c>
      <c r="L1167" s="179">
        <v>32.0</v>
      </c>
      <c r="M1167" s="195">
        <v>0.0069</v>
      </c>
      <c r="N1167" s="195">
        <v>0.0079</v>
      </c>
      <c r="O1167" s="195">
        <v>0.875</v>
      </c>
      <c r="P1167" s="195">
        <v>0.5</v>
      </c>
      <c r="Q1167" s="179">
        <v>1.0</v>
      </c>
      <c r="R1167" s="179">
        <v>0.0</v>
      </c>
      <c r="S1167" s="195">
        <v>0.0018</v>
      </c>
      <c r="T1167" s="195">
        <v>0.0</v>
      </c>
      <c r="U1167" s="179">
        <v>15175.0</v>
      </c>
      <c r="V1167" s="179">
        <v>0.0</v>
      </c>
      <c r="W1167" s="179">
        <v>1.0</v>
      </c>
      <c r="X1167" s="179">
        <v>0.0</v>
      </c>
    </row>
    <row r="1168" ht="15.75" customHeight="1">
      <c r="A1168" s="65">
        <v>45717.0</v>
      </c>
      <c r="B1168" s="10" t="str">
        <f t="array" ref="B1168">_xlfn.XLOOKUP(D1168,'Referanc '!$A:$A,'Referanc '!$B:$B)</f>
        <v>Desk Cable Tray</v>
      </c>
      <c r="C1168" s="179" t="s">
        <v>327</v>
      </c>
      <c r="D1168" s="179" t="s">
        <v>327</v>
      </c>
      <c r="E1168" s="179" t="s">
        <v>720</v>
      </c>
      <c r="F1168" s="179"/>
      <c r="G1168" s="179">
        <v>3.0</v>
      </c>
      <c r="H1168" s="179">
        <v>0.0</v>
      </c>
      <c r="I1168" s="195">
        <v>0.0</v>
      </c>
      <c r="J1168" s="195">
        <v>0.0</v>
      </c>
      <c r="K1168" s="179">
        <v>8.0</v>
      </c>
      <c r="L1168" s="179">
        <v>0.0</v>
      </c>
      <c r="M1168" s="195">
        <v>1.0E-4</v>
      </c>
      <c r="N1168" s="195">
        <v>0.0</v>
      </c>
      <c r="O1168" s="195">
        <v>1.0</v>
      </c>
      <c r="P1168" s="195">
        <v>0.0</v>
      </c>
      <c r="Q1168" s="179">
        <v>1.0</v>
      </c>
      <c r="R1168" s="179">
        <v>0.0</v>
      </c>
      <c r="S1168" s="195">
        <v>0.3333</v>
      </c>
      <c r="T1168" s="195">
        <v>0.0</v>
      </c>
      <c r="U1168" s="179">
        <v>1355.0</v>
      </c>
      <c r="V1168" s="179">
        <v>0.0</v>
      </c>
      <c r="W1168" s="179">
        <v>1.0</v>
      </c>
      <c r="X1168" s="179">
        <v>0.0</v>
      </c>
    </row>
    <row r="1169" ht="15.75" customHeight="1">
      <c r="A1169" s="65">
        <v>45717.0</v>
      </c>
      <c r="B1169" s="10" t="str">
        <f t="array" ref="B1169">_xlfn.XLOOKUP(D1169,'Referanc '!$A:$A,'Referanc '!$B:$B)</f>
        <v>TABLE TOP</v>
      </c>
      <c r="C1169" s="179" t="s">
        <v>357</v>
      </c>
      <c r="D1169" s="179" t="s">
        <v>357</v>
      </c>
      <c r="E1169" s="179" t="s">
        <v>535</v>
      </c>
      <c r="F1169" s="179"/>
      <c r="G1169" s="179">
        <v>256.0</v>
      </c>
      <c r="H1169" s="179">
        <v>8.0</v>
      </c>
      <c r="I1169" s="195">
        <v>0.0033</v>
      </c>
      <c r="J1169" s="195">
        <v>0.0027</v>
      </c>
      <c r="K1169" s="179">
        <v>298.0</v>
      </c>
      <c r="L1169" s="179">
        <v>9.0</v>
      </c>
      <c r="M1169" s="195">
        <v>0.0029</v>
      </c>
      <c r="N1169" s="195">
        <v>0.0022</v>
      </c>
      <c r="O1169" s="195">
        <v>0.7992</v>
      </c>
      <c r="P1169" s="195">
        <v>0.75</v>
      </c>
      <c r="Q1169" s="179">
        <v>0.0</v>
      </c>
      <c r="R1169" s="179">
        <v>0.0</v>
      </c>
      <c r="S1169" s="195">
        <v>0.0</v>
      </c>
      <c r="T1169" s="195">
        <v>0.0</v>
      </c>
      <c r="U1169" s="179">
        <v>0.0</v>
      </c>
      <c r="V1169" s="179">
        <v>0.0</v>
      </c>
      <c r="W1169" s="179">
        <v>0.0</v>
      </c>
      <c r="X1169" s="179">
        <v>0.0</v>
      </c>
    </row>
    <row r="1170" ht="15.75" customHeight="1">
      <c r="A1170" s="65">
        <v>45717.0</v>
      </c>
      <c r="B1170" s="10" t="str">
        <f t="array" ref="B1170">_xlfn.XLOOKUP(D1170,'Referanc '!$A:$A,'Referanc '!$B:$B)</f>
        <v>Standing Table  - M4</v>
      </c>
      <c r="C1170" s="179" t="s">
        <v>348</v>
      </c>
      <c r="D1170" s="179" t="s">
        <v>348</v>
      </c>
      <c r="E1170" s="179" t="s">
        <v>524</v>
      </c>
      <c r="F1170" s="179"/>
      <c r="G1170" s="179">
        <v>275.0</v>
      </c>
      <c r="H1170" s="179">
        <v>11.0</v>
      </c>
      <c r="I1170" s="195">
        <v>0.0036</v>
      </c>
      <c r="J1170" s="195">
        <v>0.0037</v>
      </c>
      <c r="K1170" s="179">
        <v>358.0</v>
      </c>
      <c r="L1170" s="179">
        <v>17.0</v>
      </c>
      <c r="M1170" s="195">
        <v>0.0034</v>
      </c>
      <c r="N1170" s="195">
        <v>0.0042</v>
      </c>
      <c r="O1170" s="195">
        <v>0.9175</v>
      </c>
      <c r="P1170" s="195">
        <v>0.875</v>
      </c>
      <c r="Q1170" s="179">
        <v>0.0</v>
      </c>
      <c r="R1170" s="179">
        <v>0.0</v>
      </c>
      <c r="S1170" s="195">
        <v>0.0</v>
      </c>
      <c r="T1170" s="195">
        <v>0.0</v>
      </c>
      <c r="U1170" s="179">
        <v>0.0</v>
      </c>
      <c r="V1170" s="179">
        <v>0.0</v>
      </c>
      <c r="W1170" s="179">
        <v>0.0</v>
      </c>
      <c r="X1170" s="179">
        <v>0.0</v>
      </c>
    </row>
    <row r="1171" ht="15.75" customHeight="1">
      <c r="A1171" s="65">
        <v>45717.0</v>
      </c>
      <c r="B1171" s="10" t="str">
        <f t="array" ref="B1171">_xlfn.XLOOKUP(D1171,'Referanc '!$A:$A,'Referanc '!$B:$B)</f>
        <v>Standing Table  - M8</v>
      </c>
      <c r="C1171" s="179" t="s">
        <v>414</v>
      </c>
      <c r="D1171" s="179" t="s">
        <v>414</v>
      </c>
      <c r="E1171" s="179" t="s">
        <v>1289</v>
      </c>
      <c r="F1171" s="179"/>
      <c r="G1171" s="179">
        <v>275.0</v>
      </c>
      <c r="H1171" s="179">
        <v>17.0</v>
      </c>
      <c r="I1171" s="195">
        <v>0.0036</v>
      </c>
      <c r="J1171" s="195">
        <v>0.0057</v>
      </c>
      <c r="K1171" s="179">
        <v>361.0</v>
      </c>
      <c r="L1171" s="179">
        <v>24.0</v>
      </c>
      <c r="M1171" s="195">
        <v>0.0035</v>
      </c>
      <c r="N1171" s="195">
        <v>0.0059</v>
      </c>
      <c r="O1171" s="195">
        <v>0.9402</v>
      </c>
      <c r="P1171" s="195">
        <v>0.6667</v>
      </c>
      <c r="Q1171" s="179">
        <v>0.0</v>
      </c>
      <c r="R1171" s="179">
        <v>0.0</v>
      </c>
      <c r="S1171" s="195">
        <v>0.0</v>
      </c>
      <c r="T1171" s="195">
        <v>0.0</v>
      </c>
      <c r="U1171" s="179">
        <v>0.0</v>
      </c>
      <c r="V1171" s="179">
        <v>0.0</v>
      </c>
      <c r="W1171" s="179">
        <v>0.0</v>
      </c>
      <c r="X1171" s="179">
        <v>0.0</v>
      </c>
    </row>
    <row r="1172" ht="15.75" customHeight="1">
      <c r="A1172" s="65">
        <v>45717.0</v>
      </c>
      <c r="B1172" s="10" t="str">
        <f t="array" ref="B1172">_xlfn.XLOOKUP(D1172,'Referanc '!$A:$A,'Referanc '!$B:$B)</f>
        <v>Standing Table  - M8</v>
      </c>
      <c r="C1172" s="179" t="s">
        <v>416</v>
      </c>
      <c r="D1172" s="179" t="s">
        <v>416</v>
      </c>
      <c r="E1172" s="179" t="s">
        <v>1189</v>
      </c>
      <c r="F1172" s="179"/>
      <c r="G1172" s="179">
        <v>207.0</v>
      </c>
      <c r="H1172" s="179">
        <v>12.0</v>
      </c>
      <c r="I1172" s="195">
        <v>0.0027</v>
      </c>
      <c r="J1172" s="195">
        <v>0.004</v>
      </c>
      <c r="K1172" s="179">
        <v>261.0</v>
      </c>
      <c r="L1172" s="179">
        <v>16.0</v>
      </c>
      <c r="M1172" s="195">
        <v>0.0025</v>
      </c>
      <c r="N1172" s="195">
        <v>0.0039</v>
      </c>
      <c r="O1172" s="195">
        <v>0.8628</v>
      </c>
      <c r="P1172" s="195">
        <v>0.9231</v>
      </c>
      <c r="Q1172" s="179">
        <v>0.0</v>
      </c>
      <c r="R1172" s="179">
        <v>0.0</v>
      </c>
      <c r="S1172" s="195">
        <v>0.0</v>
      </c>
      <c r="T1172" s="195">
        <v>0.0</v>
      </c>
      <c r="U1172" s="179">
        <v>0.0</v>
      </c>
      <c r="V1172" s="179">
        <v>0.0</v>
      </c>
      <c r="W1172" s="179">
        <v>0.0</v>
      </c>
      <c r="X1172" s="179">
        <v>0.0</v>
      </c>
    </row>
    <row r="1173" ht="15.75" customHeight="1">
      <c r="A1173" s="65">
        <v>45717.0</v>
      </c>
      <c r="B1173" s="10" t="str">
        <f t="array" ref="B1173">_xlfn.XLOOKUP(D1173,'Referanc '!$A:$A,'Referanc '!$B:$B)</f>
        <v>Standing Table  - M8</v>
      </c>
      <c r="C1173" s="179" t="s">
        <v>418</v>
      </c>
      <c r="D1173" s="179" t="s">
        <v>418</v>
      </c>
      <c r="E1173" s="179" t="s">
        <v>1293</v>
      </c>
      <c r="F1173" s="179"/>
      <c r="G1173" s="179">
        <v>85.0</v>
      </c>
      <c r="H1173" s="179">
        <v>8.0</v>
      </c>
      <c r="I1173" s="195">
        <v>0.0011</v>
      </c>
      <c r="J1173" s="195">
        <v>0.0027</v>
      </c>
      <c r="K1173" s="179">
        <v>117.0</v>
      </c>
      <c r="L1173" s="179">
        <v>15.0</v>
      </c>
      <c r="M1173" s="195">
        <v>0.0011</v>
      </c>
      <c r="N1173" s="195">
        <v>0.0037</v>
      </c>
      <c r="O1173" s="195">
        <v>0.9612</v>
      </c>
      <c r="P1173" s="195">
        <v>1.0</v>
      </c>
      <c r="Q1173" s="179">
        <v>0.0</v>
      </c>
      <c r="R1173" s="179">
        <v>0.0</v>
      </c>
      <c r="S1173" s="195">
        <v>0.0</v>
      </c>
      <c r="T1173" s="195">
        <v>0.0</v>
      </c>
      <c r="U1173" s="179">
        <v>0.0</v>
      </c>
      <c r="V1173" s="179">
        <v>0.0</v>
      </c>
      <c r="W1173" s="179">
        <v>0.0</v>
      </c>
      <c r="X1173" s="179">
        <v>0.0</v>
      </c>
    </row>
    <row r="1174" ht="15.75" customHeight="1">
      <c r="A1174" s="65">
        <v>45717.0</v>
      </c>
      <c r="B1174" s="10" t="str">
        <f t="array" ref="B1174">_xlfn.XLOOKUP(D1174,'Referanc '!$A:$A,'Referanc '!$B:$B)</f>
        <v>Laptop Riser</v>
      </c>
      <c r="C1174" s="179" t="s">
        <v>347</v>
      </c>
      <c r="D1174" s="179" t="s">
        <v>347</v>
      </c>
      <c r="E1174" s="179" t="s">
        <v>693</v>
      </c>
      <c r="F1174" s="179"/>
      <c r="G1174" s="179">
        <v>53.0</v>
      </c>
      <c r="H1174" s="179">
        <v>1.0</v>
      </c>
      <c r="I1174" s="195">
        <v>7.0E-4</v>
      </c>
      <c r="J1174" s="195">
        <v>3.0E-4</v>
      </c>
      <c r="K1174" s="179">
        <v>58.0</v>
      </c>
      <c r="L1174" s="179">
        <v>1.0</v>
      </c>
      <c r="M1174" s="195">
        <v>6.0E-4</v>
      </c>
      <c r="N1174" s="195">
        <v>2.0E-4</v>
      </c>
      <c r="O1174" s="195">
        <v>0.7857</v>
      </c>
      <c r="P1174" s="195">
        <v>1.0</v>
      </c>
      <c r="Q1174" s="179">
        <v>0.0</v>
      </c>
      <c r="R1174" s="179">
        <v>0.0</v>
      </c>
      <c r="S1174" s="195">
        <v>0.0</v>
      </c>
      <c r="T1174" s="195">
        <v>0.0</v>
      </c>
      <c r="U1174" s="179">
        <v>0.0</v>
      </c>
      <c r="V1174" s="179">
        <v>0.0</v>
      </c>
      <c r="W1174" s="179">
        <v>0.0</v>
      </c>
      <c r="X1174" s="179">
        <v>0.0</v>
      </c>
    </row>
    <row r="1175" ht="15.75" customHeight="1">
      <c r="A1175" s="65">
        <v>45717.0</v>
      </c>
      <c r="B1175" s="10" t="str">
        <f t="array" ref="B1175">_xlfn.XLOOKUP(D1175,'Referanc '!$A:$A,'Referanc '!$B:$B)</f>
        <v>Standing Table  - E3</v>
      </c>
      <c r="C1175" s="179" t="s">
        <v>381</v>
      </c>
      <c r="D1175" s="179" t="s">
        <v>381</v>
      </c>
      <c r="E1175" s="179" t="s">
        <v>1143</v>
      </c>
      <c r="F1175" s="179"/>
      <c r="G1175" s="179">
        <v>622.0</v>
      </c>
      <c r="H1175" s="179">
        <v>14.0</v>
      </c>
      <c r="I1175" s="195">
        <v>0.0081</v>
      </c>
      <c r="J1175" s="195">
        <v>0.0047</v>
      </c>
      <c r="K1175" s="179">
        <v>761.0</v>
      </c>
      <c r="L1175" s="179">
        <v>15.0</v>
      </c>
      <c r="M1175" s="195">
        <v>0.0073</v>
      </c>
      <c r="N1175" s="195">
        <v>0.0037</v>
      </c>
      <c r="O1175" s="195">
        <v>0.7385</v>
      </c>
      <c r="P1175" s="195">
        <v>0.8462</v>
      </c>
      <c r="Q1175" s="179">
        <v>0.0</v>
      </c>
      <c r="R1175" s="179">
        <v>0.0</v>
      </c>
      <c r="S1175" s="195">
        <v>0.0</v>
      </c>
      <c r="T1175" s="195">
        <v>0.0</v>
      </c>
      <c r="U1175" s="179">
        <v>0.0</v>
      </c>
      <c r="V1175" s="179">
        <v>0.0</v>
      </c>
      <c r="W1175" s="179">
        <v>0.0</v>
      </c>
      <c r="X1175" s="179">
        <v>0.0</v>
      </c>
    </row>
    <row r="1176" ht="15.75" customHeight="1">
      <c r="A1176" s="65">
        <v>45717.0</v>
      </c>
      <c r="B1176" s="10" t="str">
        <f t="array" ref="B1176">_xlfn.XLOOKUP(D1176,'Referanc '!$A:$A,'Referanc '!$B:$B)</f>
        <v>Standing Table  - E3</v>
      </c>
      <c r="C1176" s="179" t="s">
        <v>344</v>
      </c>
      <c r="D1176" s="179" t="s">
        <v>344</v>
      </c>
      <c r="E1176" s="179" t="s">
        <v>1351</v>
      </c>
      <c r="F1176" s="179"/>
      <c r="G1176" s="179">
        <v>875.0</v>
      </c>
      <c r="H1176" s="179">
        <v>36.0</v>
      </c>
      <c r="I1176" s="195">
        <v>0.0114</v>
      </c>
      <c r="J1176" s="195">
        <v>0.0121</v>
      </c>
      <c r="K1176" s="207">
        <v>1107.0</v>
      </c>
      <c r="L1176" s="179">
        <v>47.0</v>
      </c>
      <c r="M1176" s="195">
        <v>0.0107</v>
      </c>
      <c r="N1176" s="195">
        <v>0.0115</v>
      </c>
      <c r="O1176" s="195">
        <v>0.7606</v>
      </c>
      <c r="P1176" s="195">
        <v>0.7949</v>
      </c>
      <c r="Q1176" s="179">
        <v>0.0</v>
      </c>
      <c r="R1176" s="179">
        <v>0.0</v>
      </c>
      <c r="S1176" s="195">
        <v>0.0</v>
      </c>
      <c r="T1176" s="195">
        <v>0.0</v>
      </c>
      <c r="U1176" s="179">
        <v>0.0</v>
      </c>
      <c r="V1176" s="179">
        <v>0.0</v>
      </c>
      <c r="W1176" s="179">
        <v>0.0</v>
      </c>
      <c r="X1176" s="179">
        <v>0.0</v>
      </c>
    </row>
    <row r="1177" ht="15.75" customHeight="1">
      <c r="A1177" s="65">
        <v>45717.0</v>
      </c>
      <c r="B1177" s="10" t="str">
        <f t="array" ref="B1177">_xlfn.XLOOKUP(D1177,'Referanc '!$A:$A,'Referanc '!$B:$B)</f>
        <v>Standing Table  - E2</v>
      </c>
      <c r="C1177" s="179" t="s">
        <v>390</v>
      </c>
      <c r="D1177" s="179" t="s">
        <v>390</v>
      </c>
      <c r="E1177" s="179" t="s">
        <v>1127</v>
      </c>
      <c r="F1177" s="179"/>
      <c r="G1177" s="179">
        <v>11.0</v>
      </c>
      <c r="H1177" s="179">
        <v>0.0</v>
      </c>
      <c r="I1177" s="195">
        <v>1.0E-4</v>
      </c>
      <c r="J1177" s="195">
        <v>0.0</v>
      </c>
      <c r="K1177" s="179">
        <v>11.0</v>
      </c>
      <c r="L1177" s="179">
        <v>0.0</v>
      </c>
      <c r="M1177" s="195">
        <v>1.0E-4</v>
      </c>
      <c r="N1177" s="195">
        <v>0.0</v>
      </c>
      <c r="O1177" s="195">
        <v>0.8571</v>
      </c>
      <c r="P1177" s="195">
        <v>0.0</v>
      </c>
      <c r="Q1177" s="179">
        <v>0.0</v>
      </c>
      <c r="R1177" s="179">
        <v>0.0</v>
      </c>
      <c r="S1177" s="195">
        <v>0.0</v>
      </c>
      <c r="T1177" s="195">
        <v>0.0</v>
      </c>
      <c r="U1177" s="179">
        <v>0.0</v>
      </c>
      <c r="V1177" s="179">
        <v>0.0</v>
      </c>
      <c r="W1177" s="179">
        <v>0.0</v>
      </c>
      <c r="X1177" s="179">
        <v>0.0</v>
      </c>
    </row>
    <row r="1178" ht="15.75" customHeight="1">
      <c r="A1178" s="65">
        <v>45717.0</v>
      </c>
      <c r="B1178" s="10" t="str">
        <f t="array" ref="B1178">_xlfn.XLOOKUP(D1178,'Referanc '!$A:$A,'Referanc '!$B:$B)</f>
        <v>Standing Table - All Frames</v>
      </c>
      <c r="C1178" s="179" t="s">
        <v>420</v>
      </c>
      <c r="D1178" s="179" t="s">
        <v>420</v>
      </c>
      <c r="E1178" s="179" t="s">
        <v>1364</v>
      </c>
      <c r="F1178" s="179"/>
      <c r="G1178" s="179">
        <v>48.0</v>
      </c>
      <c r="H1178" s="179">
        <v>2.0</v>
      </c>
      <c r="I1178" s="195">
        <v>6.0E-4</v>
      </c>
      <c r="J1178" s="195">
        <v>7.0E-4</v>
      </c>
      <c r="K1178" s="179">
        <v>79.0</v>
      </c>
      <c r="L1178" s="179">
        <v>6.0</v>
      </c>
      <c r="M1178" s="195">
        <v>8.0E-4</v>
      </c>
      <c r="N1178" s="195">
        <v>0.0015</v>
      </c>
      <c r="O1178" s="195">
        <v>0.9559</v>
      </c>
      <c r="P1178" s="195">
        <v>1.0</v>
      </c>
      <c r="Q1178" s="179">
        <v>0.0</v>
      </c>
      <c r="R1178" s="179">
        <v>0.0</v>
      </c>
      <c r="S1178" s="195">
        <v>0.0</v>
      </c>
      <c r="T1178" s="195">
        <v>0.0</v>
      </c>
      <c r="U1178" s="179">
        <v>0.0</v>
      </c>
      <c r="V1178" s="179">
        <v>0.0</v>
      </c>
      <c r="W1178" s="179">
        <v>0.0</v>
      </c>
      <c r="X1178" s="179">
        <v>0.0</v>
      </c>
    </row>
    <row r="1179" ht="15.75" customHeight="1">
      <c r="A1179" s="65">
        <v>45717.0</v>
      </c>
      <c r="B1179" s="10" t="str">
        <f t="array" ref="B1179">_xlfn.XLOOKUP(D1179,'Referanc '!$A:$A,'Referanc '!$B:$B)</f>
        <v>Standing Table  - E2</v>
      </c>
      <c r="C1179" s="179" t="s">
        <v>393</v>
      </c>
      <c r="D1179" s="179" t="s">
        <v>393</v>
      </c>
      <c r="E1179" s="179" t="s">
        <v>1133</v>
      </c>
      <c r="F1179" s="179"/>
      <c r="G1179" s="179">
        <v>18.0</v>
      </c>
      <c r="H1179" s="179">
        <v>0.0</v>
      </c>
      <c r="I1179" s="195">
        <v>2.0E-4</v>
      </c>
      <c r="J1179" s="195">
        <v>0.0</v>
      </c>
      <c r="K1179" s="179">
        <v>18.0</v>
      </c>
      <c r="L1179" s="179">
        <v>0.0</v>
      </c>
      <c r="M1179" s="195">
        <v>2.0E-4</v>
      </c>
      <c r="N1179" s="195">
        <v>0.0</v>
      </c>
      <c r="O1179" s="195">
        <v>1.0</v>
      </c>
      <c r="P1179" s="195">
        <v>0.0</v>
      </c>
      <c r="Q1179" s="179">
        <v>0.0</v>
      </c>
      <c r="R1179" s="179">
        <v>0.0</v>
      </c>
      <c r="S1179" s="195">
        <v>0.0</v>
      </c>
      <c r="T1179" s="195">
        <v>0.0</v>
      </c>
      <c r="U1179" s="179">
        <v>0.0</v>
      </c>
      <c r="V1179" s="179">
        <v>0.0</v>
      </c>
      <c r="W1179" s="179">
        <v>0.0</v>
      </c>
      <c r="X1179" s="179">
        <v>0.0</v>
      </c>
    </row>
    <row r="1180" ht="15.75" customHeight="1">
      <c r="A1180" s="65">
        <v>45717.0</v>
      </c>
      <c r="B1180" s="10" t="str">
        <f t="array" ref="B1180">_xlfn.XLOOKUP(D1180,'Referanc '!$A:$A,'Referanc '!$B:$B)</f>
        <v>Standing Table  - E2</v>
      </c>
      <c r="C1180" s="179" t="s">
        <v>394</v>
      </c>
      <c r="D1180" s="179" t="s">
        <v>394</v>
      </c>
      <c r="E1180" s="179" t="s">
        <v>1125</v>
      </c>
      <c r="F1180" s="179"/>
      <c r="G1180" s="179">
        <v>13.0</v>
      </c>
      <c r="H1180" s="179">
        <v>1.0</v>
      </c>
      <c r="I1180" s="195">
        <v>2.0E-4</v>
      </c>
      <c r="J1180" s="195">
        <v>3.0E-4</v>
      </c>
      <c r="K1180" s="179">
        <v>19.0</v>
      </c>
      <c r="L1180" s="179">
        <v>2.0</v>
      </c>
      <c r="M1180" s="195">
        <v>2.0E-4</v>
      </c>
      <c r="N1180" s="195">
        <v>5.0E-4</v>
      </c>
      <c r="O1180" s="195">
        <v>0.7692</v>
      </c>
      <c r="P1180" s="195">
        <v>1.0</v>
      </c>
      <c r="Q1180" s="179">
        <v>0.0</v>
      </c>
      <c r="R1180" s="179">
        <v>0.0</v>
      </c>
      <c r="S1180" s="195">
        <v>0.0</v>
      </c>
      <c r="T1180" s="195">
        <v>0.0</v>
      </c>
      <c r="U1180" s="179">
        <v>0.0</v>
      </c>
      <c r="V1180" s="179">
        <v>0.0</v>
      </c>
      <c r="W1180" s="179">
        <v>0.0</v>
      </c>
      <c r="X1180" s="179">
        <v>0.0</v>
      </c>
    </row>
    <row r="1181" ht="15.75" customHeight="1">
      <c r="A1181" s="65">
        <v>45717.0</v>
      </c>
      <c r="B1181" s="10" t="str">
        <f t="array" ref="B1181">_xlfn.XLOOKUP(D1181,'Referanc '!$A:$A,'Referanc '!$B:$B)</f>
        <v>Standing Table  - E3</v>
      </c>
      <c r="C1181" s="179" t="s">
        <v>397</v>
      </c>
      <c r="D1181" s="179" t="s">
        <v>397</v>
      </c>
      <c r="E1181" s="179" t="s">
        <v>1154</v>
      </c>
      <c r="F1181" s="179"/>
      <c r="G1181" s="179">
        <v>487.0</v>
      </c>
      <c r="H1181" s="179">
        <v>6.0</v>
      </c>
      <c r="I1181" s="195">
        <v>0.0064</v>
      </c>
      <c r="J1181" s="195">
        <v>0.002</v>
      </c>
      <c r="K1181" s="179">
        <v>713.0</v>
      </c>
      <c r="L1181" s="179">
        <v>6.0</v>
      </c>
      <c r="M1181" s="195">
        <v>0.0069</v>
      </c>
      <c r="N1181" s="195">
        <v>0.0015</v>
      </c>
      <c r="O1181" s="195">
        <v>0.7596</v>
      </c>
      <c r="P1181" s="195">
        <v>0.6</v>
      </c>
      <c r="Q1181" s="179">
        <v>0.0</v>
      </c>
      <c r="R1181" s="179">
        <v>0.0</v>
      </c>
      <c r="S1181" s="195">
        <v>0.0</v>
      </c>
      <c r="T1181" s="195">
        <v>0.0</v>
      </c>
      <c r="U1181" s="179">
        <v>0.0</v>
      </c>
      <c r="V1181" s="179">
        <v>0.0</v>
      </c>
      <c r="W1181" s="179">
        <v>0.0</v>
      </c>
      <c r="X1181" s="179">
        <v>0.0</v>
      </c>
    </row>
    <row r="1182" ht="15.75" customHeight="1">
      <c r="A1182" s="65">
        <v>45717.0</v>
      </c>
      <c r="B1182" s="10" t="str">
        <f t="array" ref="B1182">_xlfn.XLOOKUP(D1182,'Referanc '!$A:$A,'Referanc '!$B:$B)</f>
        <v>Standing Table  - E3</v>
      </c>
      <c r="C1182" s="179" t="s">
        <v>366</v>
      </c>
      <c r="D1182" s="179" t="s">
        <v>366</v>
      </c>
      <c r="E1182" s="179" t="s">
        <v>1124</v>
      </c>
      <c r="F1182" s="179"/>
      <c r="G1182" s="179">
        <v>477.0</v>
      </c>
      <c r="H1182" s="179">
        <v>5.0</v>
      </c>
      <c r="I1182" s="195">
        <v>0.0062</v>
      </c>
      <c r="J1182" s="195">
        <v>0.0017</v>
      </c>
      <c r="K1182" s="179">
        <v>646.0</v>
      </c>
      <c r="L1182" s="179">
        <v>5.0</v>
      </c>
      <c r="M1182" s="195">
        <v>0.0062</v>
      </c>
      <c r="N1182" s="195">
        <v>0.0012</v>
      </c>
      <c r="O1182" s="195">
        <v>0.7727</v>
      </c>
      <c r="P1182" s="195">
        <v>1.0</v>
      </c>
      <c r="Q1182" s="179">
        <v>0.0</v>
      </c>
      <c r="R1182" s="179">
        <v>0.0</v>
      </c>
      <c r="S1182" s="195">
        <v>0.0</v>
      </c>
      <c r="T1182" s="195">
        <v>0.0</v>
      </c>
      <c r="U1182" s="179">
        <v>0.0</v>
      </c>
      <c r="V1182" s="179">
        <v>0.0</v>
      </c>
      <c r="W1182" s="179">
        <v>0.0</v>
      </c>
      <c r="X1182" s="179">
        <v>0.0</v>
      </c>
    </row>
    <row r="1183" ht="15.75" customHeight="1">
      <c r="A1183" s="65">
        <v>45717.0</v>
      </c>
      <c r="B1183" s="10" t="str">
        <f t="array" ref="B1183">_xlfn.XLOOKUP(D1183,'Referanc '!$A:$A,'Referanc '!$B:$B)</f>
        <v>Standing Table  - E1A</v>
      </c>
      <c r="C1183" s="179" t="s">
        <v>367</v>
      </c>
      <c r="D1183" s="179" t="s">
        <v>367</v>
      </c>
      <c r="E1183" s="179" t="s">
        <v>1365</v>
      </c>
      <c r="F1183" s="179"/>
      <c r="G1183" s="179">
        <v>58.0</v>
      </c>
      <c r="H1183" s="179">
        <v>3.0</v>
      </c>
      <c r="I1183" s="195">
        <v>8.0E-4</v>
      </c>
      <c r="J1183" s="195">
        <v>0.001</v>
      </c>
      <c r="K1183" s="179">
        <v>72.0</v>
      </c>
      <c r="L1183" s="179">
        <v>5.0</v>
      </c>
      <c r="M1183" s="195">
        <v>7.0E-4</v>
      </c>
      <c r="N1183" s="195">
        <v>0.0012</v>
      </c>
      <c r="O1183" s="195">
        <v>0.9259</v>
      </c>
      <c r="P1183" s="195">
        <v>1.0</v>
      </c>
      <c r="Q1183" s="179">
        <v>0.0</v>
      </c>
      <c r="R1183" s="179">
        <v>0.0</v>
      </c>
      <c r="S1183" s="195">
        <v>0.0</v>
      </c>
      <c r="T1183" s="195">
        <v>0.0</v>
      </c>
      <c r="U1183" s="179">
        <v>0.0</v>
      </c>
      <c r="V1183" s="179">
        <v>0.0</v>
      </c>
      <c r="W1183" s="179">
        <v>0.0</v>
      </c>
      <c r="X1183" s="179">
        <v>0.0</v>
      </c>
    </row>
    <row r="1184" ht="15.75" customHeight="1">
      <c r="A1184" s="65">
        <v>45717.0</v>
      </c>
      <c r="B1184" s="10" t="str">
        <f t="array" ref="B1184">_xlfn.XLOOKUP(D1184,'Referanc '!$A:$A,'Referanc '!$B:$B)</f>
        <v>Standing Table - All Frames</v>
      </c>
      <c r="C1184" s="179" t="s">
        <v>387</v>
      </c>
      <c r="D1184" s="179" t="s">
        <v>387</v>
      </c>
      <c r="E1184" s="179" t="s">
        <v>1361</v>
      </c>
      <c r="F1184" s="179"/>
      <c r="G1184" s="179">
        <v>154.0</v>
      </c>
      <c r="H1184" s="179">
        <v>18.0</v>
      </c>
      <c r="I1184" s="195">
        <v>0.002</v>
      </c>
      <c r="J1184" s="195">
        <v>0.0061</v>
      </c>
      <c r="K1184" s="179">
        <v>249.0</v>
      </c>
      <c r="L1184" s="179">
        <v>44.0</v>
      </c>
      <c r="M1184" s="195">
        <v>0.0024</v>
      </c>
      <c r="N1184" s="195">
        <v>0.0108</v>
      </c>
      <c r="O1184" s="195">
        <v>0.9406</v>
      </c>
      <c r="P1184" s="195">
        <v>0.5</v>
      </c>
      <c r="Q1184" s="179">
        <v>0.0</v>
      </c>
      <c r="R1184" s="179">
        <v>0.0</v>
      </c>
      <c r="S1184" s="195">
        <v>0.0</v>
      </c>
      <c r="T1184" s="195">
        <v>0.0</v>
      </c>
      <c r="U1184" s="179">
        <v>0.0</v>
      </c>
      <c r="V1184" s="179">
        <v>0.0</v>
      </c>
      <c r="W1184" s="179">
        <v>0.0</v>
      </c>
      <c r="X1184" s="179">
        <v>0.0</v>
      </c>
    </row>
    <row r="1185" ht="15.75" customHeight="1">
      <c r="A1185" s="65">
        <v>45717.0</v>
      </c>
      <c r="B1185" s="10" t="str">
        <f t="array" ref="B1185">_xlfn.XLOOKUP(D1185,'Referanc '!$A:$A,'Referanc '!$B:$B)</f>
        <v>Standing Table  - E1A</v>
      </c>
      <c r="C1185" s="179" t="s">
        <v>371</v>
      </c>
      <c r="D1185" s="179" t="s">
        <v>371</v>
      </c>
      <c r="E1185" s="179" t="s">
        <v>1353</v>
      </c>
      <c r="F1185" s="179"/>
      <c r="G1185" s="179">
        <v>358.0</v>
      </c>
      <c r="H1185" s="179">
        <v>8.0</v>
      </c>
      <c r="I1185" s="195">
        <v>0.0047</v>
      </c>
      <c r="J1185" s="195">
        <v>0.0027</v>
      </c>
      <c r="K1185" s="179">
        <v>432.0</v>
      </c>
      <c r="L1185" s="179">
        <v>11.0</v>
      </c>
      <c r="M1185" s="195">
        <v>0.0042</v>
      </c>
      <c r="N1185" s="195">
        <v>0.0027</v>
      </c>
      <c r="O1185" s="195">
        <v>0.9265</v>
      </c>
      <c r="P1185" s="195">
        <v>0.8333</v>
      </c>
      <c r="Q1185" s="179">
        <v>0.0</v>
      </c>
      <c r="R1185" s="179">
        <v>0.0</v>
      </c>
      <c r="S1185" s="195">
        <v>0.0</v>
      </c>
      <c r="T1185" s="195">
        <v>0.0</v>
      </c>
      <c r="U1185" s="179">
        <v>0.0</v>
      </c>
      <c r="V1185" s="179">
        <v>0.0</v>
      </c>
      <c r="W1185" s="179">
        <v>0.0</v>
      </c>
      <c r="X1185" s="179">
        <v>0.0</v>
      </c>
    </row>
    <row r="1186" ht="15.75" customHeight="1">
      <c r="A1186" s="65">
        <v>45717.0</v>
      </c>
      <c r="B1186" s="10" t="str">
        <f t="array" ref="B1186">_xlfn.XLOOKUP(D1186,'Referanc '!$A:$A,'Referanc '!$B:$B)</f>
        <v>Standing Table  - E1A</v>
      </c>
      <c r="C1186" s="179" t="s">
        <v>372</v>
      </c>
      <c r="D1186" s="179" t="s">
        <v>372</v>
      </c>
      <c r="E1186" s="179" t="s">
        <v>1354</v>
      </c>
      <c r="F1186" s="179"/>
      <c r="G1186" s="179">
        <v>109.0</v>
      </c>
      <c r="H1186" s="179">
        <v>3.0</v>
      </c>
      <c r="I1186" s="195">
        <v>0.0014</v>
      </c>
      <c r="J1186" s="195">
        <v>0.001</v>
      </c>
      <c r="K1186" s="179">
        <v>120.0</v>
      </c>
      <c r="L1186" s="179">
        <v>3.0</v>
      </c>
      <c r="M1186" s="195">
        <v>0.0012</v>
      </c>
      <c r="N1186" s="195">
        <v>7.0E-4</v>
      </c>
      <c r="O1186" s="195">
        <v>0.7596</v>
      </c>
      <c r="P1186" s="195">
        <v>1.0</v>
      </c>
      <c r="Q1186" s="179">
        <v>0.0</v>
      </c>
      <c r="R1186" s="179">
        <v>0.0</v>
      </c>
      <c r="S1186" s="195">
        <v>0.0</v>
      </c>
      <c r="T1186" s="195">
        <v>0.0</v>
      </c>
      <c r="U1186" s="179">
        <v>0.0</v>
      </c>
      <c r="V1186" s="179">
        <v>0.0</v>
      </c>
      <c r="W1186" s="179">
        <v>0.0</v>
      </c>
      <c r="X1186" s="179">
        <v>0.0</v>
      </c>
    </row>
    <row r="1187" ht="15.75" customHeight="1">
      <c r="A1187" s="65">
        <v>45717.0</v>
      </c>
      <c r="B1187" s="10" t="str">
        <f t="array" ref="B1187">_xlfn.XLOOKUP(D1187,'Referanc '!$A:$A,'Referanc '!$B:$B)</f>
        <v>Standing Table  - E1A</v>
      </c>
      <c r="C1187" s="179" t="s">
        <v>378</v>
      </c>
      <c r="D1187" s="179" t="s">
        <v>378</v>
      </c>
      <c r="E1187" s="179" t="s">
        <v>1367</v>
      </c>
      <c r="F1187" s="179"/>
      <c r="G1187" s="179">
        <v>84.0</v>
      </c>
      <c r="H1187" s="179">
        <v>13.0</v>
      </c>
      <c r="I1187" s="195">
        <v>0.0011</v>
      </c>
      <c r="J1187" s="195">
        <v>0.0044</v>
      </c>
      <c r="K1187" s="179">
        <v>106.0</v>
      </c>
      <c r="L1187" s="179">
        <v>16.0</v>
      </c>
      <c r="M1187" s="195">
        <v>0.001</v>
      </c>
      <c r="N1187" s="195">
        <v>0.0039</v>
      </c>
      <c r="O1187" s="195">
        <v>0.8942</v>
      </c>
      <c r="P1187" s="195">
        <v>0.9333</v>
      </c>
      <c r="Q1187" s="179">
        <v>0.0</v>
      </c>
      <c r="R1187" s="179">
        <v>0.0</v>
      </c>
      <c r="S1187" s="195">
        <v>0.0</v>
      </c>
      <c r="T1187" s="195">
        <v>0.0</v>
      </c>
      <c r="U1187" s="179">
        <v>0.0</v>
      </c>
      <c r="V1187" s="179">
        <v>0.0</v>
      </c>
      <c r="W1187" s="179">
        <v>0.0</v>
      </c>
      <c r="X1187" s="179">
        <v>0.0</v>
      </c>
    </row>
    <row r="1188" ht="15.75" customHeight="1">
      <c r="A1188" s="65">
        <v>45717.0</v>
      </c>
      <c r="B1188" s="10" t="str">
        <f t="array" ref="B1188">_xlfn.XLOOKUP(D1188,'Referanc '!$A:$A,'Referanc '!$B:$B)</f>
        <v/>
      </c>
      <c r="C1188" s="179" t="s">
        <v>446</v>
      </c>
      <c r="D1188" s="179" t="s">
        <v>446</v>
      </c>
      <c r="E1188" s="179" t="s">
        <v>735</v>
      </c>
      <c r="F1188" s="179"/>
      <c r="G1188" s="179">
        <v>749.0</v>
      </c>
      <c r="H1188" s="179">
        <v>42.0</v>
      </c>
      <c r="I1188" s="195">
        <v>0.0098</v>
      </c>
      <c r="J1188" s="195">
        <v>0.0141</v>
      </c>
      <c r="K1188" s="179">
        <v>848.0</v>
      </c>
      <c r="L1188" s="179">
        <v>49.0</v>
      </c>
      <c r="M1188" s="195">
        <v>0.0082</v>
      </c>
      <c r="N1188" s="195">
        <v>0.012</v>
      </c>
      <c r="O1188" s="195">
        <v>0.9161</v>
      </c>
      <c r="P1188" s="195">
        <v>0.9063</v>
      </c>
      <c r="Q1188" s="179">
        <v>0.0</v>
      </c>
      <c r="R1188" s="179">
        <v>0.0</v>
      </c>
      <c r="S1188" s="195">
        <v>0.0</v>
      </c>
      <c r="T1188" s="195">
        <v>0.0</v>
      </c>
      <c r="U1188" s="179">
        <v>0.0</v>
      </c>
      <c r="V1188" s="179">
        <v>0.0</v>
      </c>
      <c r="W1188" s="179">
        <v>0.0</v>
      </c>
      <c r="X1188" s="179">
        <v>0.0</v>
      </c>
    </row>
    <row r="1189" ht="15.75" customHeight="1">
      <c r="A1189" s="65">
        <v>45717.0</v>
      </c>
      <c r="B1189" s="10" t="str">
        <f t="array" ref="B1189">_xlfn.XLOOKUP(D1189,'Referanc '!$A:$A,'Referanc '!$B:$B)</f>
        <v>Standing Table  - E1A</v>
      </c>
      <c r="C1189" s="179" t="s">
        <v>380</v>
      </c>
      <c r="D1189" s="179" t="s">
        <v>380</v>
      </c>
      <c r="E1189" s="179" t="s">
        <v>1276</v>
      </c>
      <c r="F1189" s="179"/>
      <c r="G1189" s="179">
        <v>320.0</v>
      </c>
      <c r="H1189" s="179">
        <v>14.0</v>
      </c>
      <c r="I1189" s="195">
        <v>0.0042</v>
      </c>
      <c r="J1189" s="195">
        <v>0.0047</v>
      </c>
      <c r="K1189" s="179">
        <v>396.0</v>
      </c>
      <c r="L1189" s="179">
        <v>18.0</v>
      </c>
      <c r="M1189" s="195">
        <v>0.0038</v>
      </c>
      <c r="N1189" s="195">
        <v>0.0044</v>
      </c>
      <c r="O1189" s="195">
        <v>0.9177</v>
      </c>
      <c r="P1189" s="195">
        <v>0.6</v>
      </c>
      <c r="Q1189" s="179">
        <v>0.0</v>
      </c>
      <c r="R1189" s="179">
        <v>0.0</v>
      </c>
      <c r="S1189" s="195">
        <v>0.0</v>
      </c>
      <c r="T1189" s="195">
        <v>0.0</v>
      </c>
      <c r="U1189" s="179">
        <v>0.0</v>
      </c>
      <c r="V1189" s="179">
        <v>0.0</v>
      </c>
      <c r="W1189" s="179">
        <v>0.0</v>
      </c>
      <c r="X1189" s="179">
        <v>0.0</v>
      </c>
    </row>
    <row r="1190" ht="15.75" customHeight="1">
      <c r="A1190" s="65">
        <v>45717.0</v>
      </c>
      <c r="B1190" s="10" t="str">
        <f t="array" ref="B1190">_xlfn.XLOOKUP(D1190,'Referanc '!$A:$A,'Referanc '!$B:$B)</f>
        <v>Standing Table  - E1A</v>
      </c>
      <c r="C1190" s="179" t="s">
        <v>385</v>
      </c>
      <c r="D1190" s="179" t="s">
        <v>385</v>
      </c>
      <c r="E1190" s="179" t="s">
        <v>1298</v>
      </c>
      <c r="F1190" s="179"/>
      <c r="G1190" s="179">
        <v>261.0</v>
      </c>
      <c r="H1190" s="179">
        <v>17.0</v>
      </c>
      <c r="I1190" s="195">
        <v>0.0034</v>
      </c>
      <c r="J1190" s="195">
        <v>0.0057</v>
      </c>
      <c r="K1190" s="179">
        <v>309.0</v>
      </c>
      <c r="L1190" s="179">
        <v>18.0</v>
      </c>
      <c r="M1190" s="195">
        <v>0.003</v>
      </c>
      <c r="N1190" s="195">
        <v>0.0044</v>
      </c>
      <c r="O1190" s="195">
        <v>0.8593</v>
      </c>
      <c r="P1190" s="195">
        <v>0.7692</v>
      </c>
      <c r="Q1190" s="179">
        <v>0.0</v>
      </c>
      <c r="R1190" s="179">
        <v>0.0</v>
      </c>
      <c r="S1190" s="195">
        <v>0.0</v>
      </c>
      <c r="T1190" s="195">
        <v>0.0</v>
      </c>
      <c r="U1190" s="179">
        <v>0.0</v>
      </c>
      <c r="V1190" s="179">
        <v>0.0</v>
      </c>
      <c r="W1190" s="179">
        <v>0.0</v>
      </c>
      <c r="X1190" s="179">
        <v>0.0</v>
      </c>
    </row>
    <row r="1191" ht="15.75" customHeight="1">
      <c r="A1191" s="65">
        <v>45717.0</v>
      </c>
      <c r="B1191" s="10" t="str">
        <f t="array" ref="B1191">_xlfn.XLOOKUP(D1191,'Referanc '!$A:$A,'Referanc '!$B:$B)</f>
        <v>Standing Table  - E4</v>
      </c>
      <c r="C1191" s="179" t="s">
        <v>409</v>
      </c>
      <c r="D1191" s="179" t="s">
        <v>409</v>
      </c>
      <c r="E1191" s="179" t="s">
        <v>1307</v>
      </c>
      <c r="F1191" s="179"/>
      <c r="G1191" s="179">
        <v>63.0</v>
      </c>
      <c r="H1191" s="179">
        <v>4.0</v>
      </c>
      <c r="I1191" s="195">
        <v>8.0E-4</v>
      </c>
      <c r="J1191" s="195">
        <v>0.0013</v>
      </c>
      <c r="K1191" s="179">
        <v>83.0</v>
      </c>
      <c r="L1191" s="179">
        <v>5.0</v>
      </c>
      <c r="M1191" s="195">
        <v>8.0E-4</v>
      </c>
      <c r="N1191" s="195">
        <v>0.0012</v>
      </c>
      <c r="O1191" s="195">
        <v>0.9437</v>
      </c>
      <c r="P1191" s="195">
        <v>0.75</v>
      </c>
      <c r="Q1191" s="179">
        <v>0.0</v>
      </c>
      <c r="R1191" s="179">
        <v>0.0</v>
      </c>
      <c r="S1191" s="195">
        <v>0.0</v>
      </c>
      <c r="T1191" s="195">
        <v>0.0</v>
      </c>
      <c r="U1191" s="179">
        <v>0.0</v>
      </c>
      <c r="V1191" s="179">
        <v>0.0</v>
      </c>
      <c r="W1191" s="179">
        <v>0.0</v>
      </c>
      <c r="X1191" s="179">
        <v>0.0</v>
      </c>
    </row>
    <row r="1192" ht="15.75" customHeight="1">
      <c r="A1192" s="65">
        <v>45717.0</v>
      </c>
      <c r="B1192" s="10" t="str">
        <f t="array" ref="B1192">_xlfn.XLOOKUP(D1192,'Referanc '!$A:$A,'Referanc '!$B:$B)</f>
        <v>TABLE TOP</v>
      </c>
      <c r="C1192" s="179" t="s">
        <v>425</v>
      </c>
      <c r="D1192" s="179" t="s">
        <v>425</v>
      </c>
      <c r="E1192" s="179" t="s">
        <v>1355</v>
      </c>
      <c r="F1192" s="179"/>
      <c r="G1192" s="179">
        <v>143.0</v>
      </c>
      <c r="H1192" s="179">
        <v>4.0</v>
      </c>
      <c r="I1192" s="195">
        <v>0.0019</v>
      </c>
      <c r="J1192" s="195">
        <v>0.0013</v>
      </c>
      <c r="K1192" s="179">
        <v>169.0</v>
      </c>
      <c r="L1192" s="179">
        <v>4.0</v>
      </c>
      <c r="M1192" s="195">
        <v>0.0016</v>
      </c>
      <c r="N1192" s="195">
        <v>0.001</v>
      </c>
      <c r="O1192" s="195">
        <v>0.7635</v>
      </c>
      <c r="P1192" s="195">
        <v>0.3333</v>
      </c>
      <c r="Q1192" s="179">
        <v>0.0</v>
      </c>
      <c r="R1192" s="179">
        <v>0.0</v>
      </c>
      <c r="S1192" s="195">
        <v>0.0</v>
      </c>
      <c r="T1192" s="195">
        <v>0.0</v>
      </c>
      <c r="U1192" s="179">
        <v>0.0</v>
      </c>
      <c r="V1192" s="179">
        <v>0.0</v>
      </c>
      <c r="W1192" s="179">
        <v>0.0</v>
      </c>
      <c r="X1192" s="179">
        <v>0.0</v>
      </c>
    </row>
    <row r="1193" ht="15.75" customHeight="1">
      <c r="A1193" s="65">
        <v>45717.0</v>
      </c>
      <c r="B1193" s="10" t="str">
        <f t="array" ref="B1193">_xlfn.XLOOKUP(D1193,'Referanc '!$A:$A,'Referanc '!$B:$B)</f>
        <v>Standing Table  - M8</v>
      </c>
      <c r="C1193" s="179" t="s">
        <v>421</v>
      </c>
      <c r="D1193" s="179" t="s">
        <v>421</v>
      </c>
      <c r="E1193" s="179" t="s">
        <v>1368</v>
      </c>
      <c r="F1193" s="179"/>
      <c r="G1193" s="179">
        <v>51.0</v>
      </c>
      <c r="H1193" s="179">
        <v>5.0</v>
      </c>
      <c r="I1193" s="195">
        <v>7.0E-4</v>
      </c>
      <c r="J1193" s="195">
        <v>0.0017</v>
      </c>
      <c r="K1193" s="179">
        <v>56.0</v>
      </c>
      <c r="L1193" s="179">
        <v>5.0</v>
      </c>
      <c r="M1193" s="195">
        <v>5.0E-4</v>
      </c>
      <c r="N1193" s="195">
        <v>0.0012</v>
      </c>
      <c r="O1193" s="195">
        <v>0.9487</v>
      </c>
      <c r="P1193" s="195">
        <v>1.0</v>
      </c>
      <c r="Q1193" s="179">
        <v>0.0</v>
      </c>
      <c r="R1193" s="179">
        <v>0.0</v>
      </c>
      <c r="S1193" s="195">
        <v>0.0</v>
      </c>
      <c r="T1193" s="195">
        <v>0.0</v>
      </c>
      <c r="U1193" s="179">
        <v>0.0</v>
      </c>
      <c r="V1193" s="179">
        <v>0.0</v>
      </c>
      <c r="W1193" s="179">
        <v>0.0</v>
      </c>
      <c r="X1193" s="179">
        <v>0.0</v>
      </c>
    </row>
    <row r="1194" ht="15.75" customHeight="1">
      <c r="A1194" s="65">
        <v>45717.0</v>
      </c>
      <c r="B1194" s="10" t="str">
        <f t="array" ref="B1194">_xlfn.XLOOKUP(D1194,'Referanc '!$A:$A,'Referanc '!$B:$B)</f>
        <v>Standing Table  - SM4</v>
      </c>
      <c r="C1194" s="179" t="s">
        <v>452</v>
      </c>
      <c r="D1194" s="179" t="s">
        <v>452</v>
      </c>
      <c r="E1194" s="179" t="s">
        <v>736</v>
      </c>
      <c r="F1194" s="179"/>
      <c r="G1194" s="179">
        <v>2.0</v>
      </c>
      <c r="H1194" s="179">
        <v>0.0</v>
      </c>
      <c r="I1194" s="195">
        <v>0.0</v>
      </c>
      <c r="J1194" s="195">
        <v>0.0</v>
      </c>
      <c r="K1194" s="179">
        <v>4.0</v>
      </c>
      <c r="L1194" s="179">
        <v>0.0</v>
      </c>
      <c r="M1194" s="195">
        <v>0.0</v>
      </c>
      <c r="N1194" s="195">
        <v>0.0</v>
      </c>
      <c r="O1194" s="195">
        <v>0.6667</v>
      </c>
      <c r="P1194" s="195">
        <v>0.0</v>
      </c>
      <c r="Q1194" s="179">
        <v>0.0</v>
      </c>
      <c r="R1194" s="179">
        <v>0.0</v>
      </c>
      <c r="S1194" s="195">
        <v>0.0</v>
      </c>
      <c r="T1194" s="195">
        <v>0.0</v>
      </c>
      <c r="U1194" s="179">
        <v>0.0</v>
      </c>
      <c r="V1194" s="179">
        <v>0.0</v>
      </c>
      <c r="W1194" s="179">
        <v>0.0</v>
      </c>
      <c r="X1194" s="179">
        <v>0.0</v>
      </c>
    </row>
    <row r="1195" ht="15.75" customHeight="1">
      <c r="A1195" s="65">
        <v>45717.0</v>
      </c>
      <c r="B1195" s="10" t="str">
        <f t="array" ref="B1195">_xlfn.XLOOKUP(D1195,'Referanc '!$A:$A,'Referanc '!$B:$B)</f>
        <v>Standing Table  - SM4</v>
      </c>
      <c r="C1195" s="179" t="s">
        <v>453</v>
      </c>
      <c r="D1195" s="179" t="s">
        <v>453</v>
      </c>
      <c r="E1195" s="179" t="s">
        <v>737</v>
      </c>
      <c r="F1195" s="179"/>
      <c r="G1195" s="179">
        <v>2.0</v>
      </c>
      <c r="H1195" s="179">
        <v>0.0</v>
      </c>
      <c r="I1195" s="195">
        <v>0.0</v>
      </c>
      <c r="J1195" s="195">
        <v>0.0</v>
      </c>
      <c r="K1195" s="179">
        <v>7.0</v>
      </c>
      <c r="L1195" s="179">
        <v>0.0</v>
      </c>
      <c r="M1195" s="195">
        <v>1.0E-4</v>
      </c>
      <c r="N1195" s="195">
        <v>0.0</v>
      </c>
      <c r="O1195" s="195">
        <v>0.6</v>
      </c>
      <c r="P1195" s="195">
        <v>0.0</v>
      </c>
      <c r="Q1195" s="179">
        <v>0.0</v>
      </c>
      <c r="R1195" s="179">
        <v>0.0</v>
      </c>
      <c r="S1195" s="195">
        <v>0.0</v>
      </c>
      <c r="T1195" s="195">
        <v>0.0</v>
      </c>
      <c r="U1195" s="179">
        <v>0.0</v>
      </c>
      <c r="V1195" s="179">
        <v>0.0</v>
      </c>
      <c r="W1195" s="179">
        <v>0.0</v>
      </c>
      <c r="X1195" s="179">
        <v>0.0</v>
      </c>
    </row>
    <row r="1196" ht="15.75" customHeight="1">
      <c r="A1196" s="65">
        <v>45717.0</v>
      </c>
      <c r="B1196" s="10" t="str">
        <f t="array" ref="B1196">_xlfn.XLOOKUP(D1196,'Referanc '!$A:$A,'Referanc '!$B:$B)</f>
        <v>Standing Table  - M14</v>
      </c>
      <c r="C1196" s="179" t="s">
        <v>433</v>
      </c>
      <c r="D1196" s="179" t="s">
        <v>433</v>
      </c>
      <c r="E1196" s="179" t="s">
        <v>723</v>
      </c>
      <c r="F1196" s="179"/>
      <c r="G1196" s="179">
        <v>235.0</v>
      </c>
      <c r="H1196" s="179">
        <v>7.0</v>
      </c>
      <c r="I1196" s="195">
        <v>0.0031</v>
      </c>
      <c r="J1196" s="195">
        <v>0.0024</v>
      </c>
      <c r="K1196" s="179">
        <v>263.0</v>
      </c>
      <c r="L1196" s="179">
        <v>8.0</v>
      </c>
      <c r="M1196" s="195">
        <v>0.0025</v>
      </c>
      <c r="N1196" s="195">
        <v>0.002</v>
      </c>
      <c r="O1196" s="195">
        <v>0.914</v>
      </c>
      <c r="P1196" s="195">
        <v>0.5</v>
      </c>
      <c r="Q1196" s="179">
        <v>0.0</v>
      </c>
      <c r="R1196" s="179">
        <v>0.0</v>
      </c>
      <c r="S1196" s="195">
        <v>0.0</v>
      </c>
      <c r="T1196" s="195">
        <v>0.0</v>
      </c>
      <c r="U1196" s="179">
        <v>0.0</v>
      </c>
      <c r="V1196" s="179">
        <v>0.0</v>
      </c>
      <c r="W1196" s="179">
        <v>0.0</v>
      </c>
      <c r="X1196" s="179">
        <v>0.0</v>
      </c>
    </row>
    <row r="1197" ht="15.75" customHeight="1">
      <c r="A1197" s="65">
        <v>45717.0</v>
      </c>
      <c r="B1197" s="10" t="str">
        <f t="array" ref="B1197">_xlfn.XLOOKUP(D1197,'Referanc '!$A:$A,'Referanc '!$B:$B)</f>
        <v>Standing Table  - M14</v>
      </c>
      <c r="C1197" s="179" t="s">
        <v>439</v>
      </c>
      <c r="D1197" s="179" t="s">
        <v>439</v>
      </c>
      <c r="E1197" s="179" t="s">
        <v>728</v>
      </c>
      <c r="F1197" s="179"/>
      <c r="G1197" s="179">
        <v>257.0</v>
      </c>
      <c r="H1197" s="179">
        <v>11.0</v>
      </c>
      <c r="I1197" s="195">
        <v>0.0034</v>
      </c>
      <c r="J1197" s="195">
        <v>0.0037</v>
      </c>
      <c r="K1197" s="179">
        <v>334.0</v>
      </c>
      <c r="L1197" s="179">
        <v>11.0</v>
      </c>
      <c r="M1197" s="195">
        <v>0.0032</v>
      </c>
      <c r="N1197" s="195">
        <v>0.0027</v>
      </c>
      <c r="O1197" s="195">
        <v>0.9613</v>
      </c>
      <c r="P1197" s="195">
        <v>0.0</v>
      </c>
      <c r="Q1197" s="179">
        <v>0.0</v>
      </c>
      <c r="R1197" s="179">
        <v>0.0</v>
      </c>
      <c r="S1197" s="195">
        <v>0.0</v>
      </c>
      <c r="T1197" s="195">
        <v>0.0</v>
      </c>
      <c r="U1197" s="179">
        <v>0.0</v>
      </c>
      <c r="V1197" s="179">
        <v>0.0</v>
      </c>
      <c r="W1197" s="179">
        <v>0.0</v>
      </c>
      <c r="X1197" s="179">
        <v>0.0</v>
      </c>
    </row>
    <row r="1198" ht="15.75" customHeight="1">
      <c r="A1198" s="65">
        <v>45717.0</v>
      </c>
      <c r="B1198" s="10" t="str">
        <f t="array" ref="B1198">_xlfn.XLOOKUP(D1198,'Referanc '!$A:$A,'Referanc '!$B:$B)</f>
        <v>#N/A</v>
      </c>
      <c r="C1198" s="179" t="s">
        <v>454</v>
      </c>
      <c r="D1198" s="179" t="s">
        <v>454</v>
      </c>
      <c r="E1198" s="179" t="s">
        <v>1378</v>
      </c>
      <c r="F1198" s="179"/>
      <c r="G1198" s="179">
        <v>2.0</v>
      </c>
      <c r="H1198" s="179">
        <v>0.0</v>
      </c>
      <c r="I1198" s="195">
        <v>0.0</v>
      </c>
      <c r="J1198" s="195">
        <v>0.0</v>
      </c>
      <c r="K1198" s="179">
        <v>2.0</v>
      </c>
      <c r="L1198" s="179">
        <v>0.0</v>
      </c>
      <c r="M1198" s="195">
        <v>0.0</v>
      </c>
      <c r="N1198" s="195">
        <v>0.0</v>
      </c>
      <c r="O1198" s="195">
        <v>1.0</v>
      </c>
      <c r="P1198" s="195">
        <v>0.0</v>
      </c>
      <c r="Q1198" s="179">
        <v>0.0</v>
      </c>
      <c r="R1198" s="179">
        <v>0.0</v>
      </c>
      <c r="S1198" s="195">
        <v>0.0</v>
      </c>
      <c r="T1198" s="195">
        <v>0.0</v>
      </c>
      <c r="U1198" s="179">
        <v>0.0</v>
      </c>
      <c r="V1198" s="179">
        <v>0.0</v>
      </c>
      <c r="W1198" s="179">
        <v>0.0</v>
      </c>
      <c r="X1198" s="179">
        <v>0.0</v>
      </c>
    </row>
    <row r="1199" ht="15.75" customHeight="1">
      <c r="A1199" s="188"/>
      <c r="B1199" s="10"/>
      <c r="C1199" s="179"/>
      <c r="D1199" s="179"/>
      <c r="E1199" s="179"/>
      <c r="F1199" s="179"/>
      <c r="G1199" s="179"/>
      <c r="H1199" s="179"/>
      <c r="I1199" s="195"/>
      <c r="J1199" s="195"/>
      <c r="K1199" s="179"/>
      <c r="L1199" s="179"/>
      <c r="M1199" s="195"/>
      <c r="N1199" s="195"/>
      <c r="O1199" s="195"/>
      <c r="P1199" s="195"/>
      <c r="Q1199" s="179"/>
      <c r="R1199" s="179"/>
      <c r="S1199" s="195"/>
      <c r="T1199" s="195"/>
      <c r="U1199" s="179"/>
      <c r="V1199" s="179"/>
      <c r="W1199" s="179"/>
      <c r="X1199" s="179"/>
    </row>
    <row r="1200" ht="15.75" customHeight="1">
      <c r="A1200" s="188"/>
      <c r="B1200" s="10"/>
      <c r="C1200" s="179"/>
      <c r="D1200" s="179"/>
      <c r="E1200" s="179"/>
      <c r="F1200" s="179"/>
      <c r="G1200" s="179"/>
      <c r="H1200" s="179"/>
      <c r="I1200" s="195"/>
      <c r="J1200" s="195"/>
      <c r="K1200" s="179"/>
      <c r="L1200" s="179"/>
      <c r="M1200" s="195"/>
      <c r="N1200" s="195"/>
      <c r="O1200" s="195"/>
      <c r="P1200" s="195"/>
      <c r="Q1200" s="179"/>
      <c r="R1200" s="179"/>
      <c r="S1200" s="195"/>
      <c r="T1200" s="195"/>
      <c r="U1200" s="179"/>
      <c r="V1200" s="179"/>
      <c r="W1200" s="179"/>
      <c r="X1200" s="179"/>
    </row>
    <row r="1201" ht="15.75" customHeight="1">
      <c r="A1201" s="188"/>
      <c r="B1201" s="10"/>
      <c r="C1201" s="179"/>
      <c r="D1201" s="179"/>
      <c r="E1201" s="179"/>
      <c r="F1201" s="179"/>
      <c r="G1201" s="179"/>
      <c r="H1201" s="179"/>
      <c r="I1201" s="195"/>
      <c r="J1201" s="195"/>
      <c r="K1201" s="179"/>
      <c r="L1201" s="179"/>
      <c r="M1201" s="195"/>
      <c r="N1201" s="195"/>
      <c r="O1201" s="195"/>
      <c r="P1201" s="195"/>
      <c r="Q1201" s="179"/>
      <c r="R1201" s="179"/>
      <c r="S1201" s="195"/>
      <c r="T1201" s="195"/>
      <c r="U1201" s="179"/>
      <c r="V1201" s="179"/>
      <c r="W1201" s="179"/>
      <c r="X1201" s="179"/>
    </row>
    <row r="1202" ht="15.75" customHeight="1">
      <c r="A1202" s="200">
        <v>45772.0</v>
      </c>
      <c r="B1202" s="10" t="str">
        <f t="array" ref="B1202">_xlfn.XLOOKUP(D1202,'Referanc '!$A:$A,'Referanc '!$B:$B)</f>
        <v>Desk Cable Tray</v>
      </c>
      <c r="C1202" s="179" t="s">
        <v>325</v>
      </c>
      <c r="D1202" s="179" t="s">
        <v>325</v>
      </c>
      <c r="E1202" s="179" t="s">
        <v>1372</v>
      </c>
      <c r="G1202" s="207">
        <v>3742.0</v>
      </c>
      <c r="H1202" s="179">
        <v>173.0</v>
      </c>
      <c r="I1202" s="195">
        <v>0.0572</v>
      </c>
      <c r="J1202" s="195">
        <v>0.063</v>
      </c>
      <c r="K1202" s="207">
        <v>5261.0</v>
      </c>
      <c r="L1202" s="179">
        <v>258.0</v>
      </c>
      <c r="M1202" s="195">
        <v>0.0596</v>
      </c>
      <c r="N1202" s="195">
        <v>0.0694</v>
      </c>
      <c r="O1202" s="195">
        <v>0.9565</v>
      </c>
      <c r="P1202" s="195">
        <v>0.9673</v>
      </c>
      <c r="Q1202" s="179">
        <v>64.0</v>
      </c>
      <c r="R1202" s="179">
        <v>5.0</v>
      </c>
      <c r="S1202" s="195">
        <v>0.0171</v>
      </c>
      <c r="T1202" s="195">
        <v>0.0289</v>
      </c>
      <c r="U1202" s="179">
        <v>145552.0</v>
      </c>
      <c r="V1202" s="208">
        <v>11296.0</v>
      </c>
      <c r="W1202" s="179">
        <v>60.0</v>
      </c>
      <c r="X1202" s="179">
        <v>5.0</v>
      </c>
    </row>
    <row r="1203" ht="15.75" customHeight="1">
      <c r="A1203" s="200">
        <v>45772.0</v>
      </c>
      <c r="B1203" s="10" t="str">
        <f t="array" ref="B1203">_xlfn.XLOOKUP(D1203,'Referanc '!$A:$A,'Referanc '!$B:$B)</f>
        <v>Standing Table  - SM4</v>
      </c>
      <c r="C1203" s="179" t="s">
        <v>430</v>
      </c>
      <c r="D1203" s="179" t="s">
        <v>430</v>
      </c>
      <c r="E1203" s="179" t="s">
        <v>1375</v>
      </c>
      <c r="G1203" s="207">
        <v>3763.0</v>
      </c>
      <c r="H1203" s="179">
        <v>134.0</v>
      </c>
      <c r="I1203" s="195">
        <v>0.0576</v>
      </c>
      <c r="J1203" s="195">
        <v>0.0488</v>
      </c>
      <c r="K1203" s="207">
        <v>5385.0</v>
      </c>
      <c r="L1203" s="179">
        <v>193.0</v>
      </c>
      <c r="M1203" s="195">
        <v>0.061</v>
      </c>
      <c r="N1203" s="195">
        <v>0.0519</v>
      </c>
      <c r="O1203" s="195">
        <v>0.8202</v>
      </c>
      <c r="P1203" s="195">
        <v>0.8687</v>
      </c>
      <c r="Q1203" s="179">
        <v>35.0</v>
      </c>
      <c r="R1203" s="179">
        <v>1.0</v>
      </c>
      <c r="S1203" s="195">
        <v>0.0093</v>
      </c>
      <c r="T1203" s="195">
        <v>0.0075</v>
      </c>
      <c r="U1203" s="179">
        <v>594965.0</v>
      </c>
      <c r="V1203" s="208">
        <v>16999.0</v>
      </c>
      <c r="W1203" s="179">
        <v>35.0</v>
      </c>
      <c r="X1203" s="179">
        <v>1.0</v>
      </c>
    </row>
    <row r="1204" ht="15.75" customHeight="1">
      <c r="A1204" s="200">
        <v>45772.0</v>
      </c>
      <c r="B1204" s="10" t="str">
        <f t="array" ref="B1204">_xlfn.XLOOKUP(D1204,'Referanc '!$A:$A,'Referanc '!$B:$B)</f>
        <v>Desk Cable Tray</v>
      </c>
      <c r="C1204" s="179" t="s">
        <v>444</v>
      </c>
      <c r="D1204" s="179" t="s">
        <v>444</v>
      </c>
      <c r="E1204" s="179" t="s">
        <v>734</v>
      </c>
      <c r="G1204" s="207">
        <v>1480.0</v>
      </c>
      <c r="H1204" s="179">
        <v>50.0</v>
      </c>
      <c r="I1204" s="195">
        <v>0.0226</v>
      </c>
      <c r="J1204" s="195">
        <v>0.0182</v>
      </c>
      <c r="K1204" s="207">
        <v>2186.0</v>
      </c>
      <c r="L1204" s="179">
        <v>83.0</v>
      </c>
      <c r="M1204" s="195">
        <v>0.0248</v>
      </c>
      <c r="N1204" s="195">
        <v>0.0223</v>
      </c>
      <c r="O1204" s="195">
        <v>0.9551</v>
      </c>
      <c r="P1204" s="195">
        <v>0.9804</v>
      </c>
      <c r="Q1204" s="179">
        <v>32.0</v>
      </c>
      <c r="R1204" s="179">
        <v>0.0</v>
      </c>
      <c r="S1204" s="195">
        <v>0.0216</v>
      </c>
      <c r="T1204" s="195">
        <v>0.0</v>
      </c>
      <c r="U1204" s="179">
        <v>53071.0</v>
      </c>
      <c r="V1204" s="208">
        <v>0.0</v>
      </c>
      <c r="W1204" s="179">
        <v>30.0</v>
      </c>
      <c r="X1204" s="179">
        <v>0.0</v>
      </c>
    </row>
    <row r="1205" ht="15.75" customHeight="1">
      <c r="A1205" s="200">
        <v>45772.0</v>
      </c>
      <c r="B1205" s="10" t="str">
        <f t="array" ref="B1205">_xlfn.XLOOKUP(D1205,'Referanc '!$A:$A,'Referanc '!$B:$B)</f>
        <v>Monitor Arm Stand</v>
      </c>
      <c r="C1205" s="179" t="s">
        <v>447</v>
      </c>
      <c r="D1205" s="179" t="s">
        <v>447</v>
      </c>
      <c r="E1205" s="179" t="s">
        <v>741</v>
      </c>
      <c r="G1205" s="207">
        <v>1780.0</v>
      </c>
      <c r="H1205" s="179">
        <v>88.0</v>
      </c>
      <c r="I1205" s="195">
        <v>0.0272</v>
      </c>
      <c r="J1205" s="195">
        <v>0.032</v>
      </c>
      <c r="K1205" s="207">
        <v>2565.0</v>
      </c>
      <c r="L1205" s="179">
        <v>117.0</v>
      </c>
      <c r="M1205" s="195">
        <v>0.0291</v>
      </c>
      <c r="N1205" s="195">
        <v>0.0315</v>
      </c>
      <c r="O1205" s="195">
        <v>0.9938</v>
      </c>
      <c r="P1205" s="195">
        <v>1.0</v>
      </c>
      <c r="Q1205" s="179">
        <v>30.0</v>
      </c>
      <c r="R1205" s="179">
        <v>2.0</v>
      </c>
      <c r="S1205" s="195">
        <v>0.0169</v>
      </c>
      <c r="T1205" s="195">
        <v>0.0227</v>
      </c>
      <c r="U1205" s="179">
        <v>86450.0</v>
      </c>
      <c r="V1205" s="208">
        <v>5900.0</v>
      </c>
      <c r="W1205" s="179">
        <v>26.0</v>
      </c>
      <c r="X1205" s="179">
        <v>2.0</v>
      </c>
    </row>
    <row r="1206" ht="15.75" customHeight="1">
      <c r="A1206" s="200">
        <v>45772.0</v>
      </c>
      <c r="B1206" s="10" t="str">
        <f t="array" ref="B1206">_xlfn.XLOOKUP(D1206,'Referanc '!$A:$A,'Referanc '!$B:$B)</f>
        <v>Desk Cable Tray</v>
      </c>
      <c r="C1206" s="179" t="s">
        <v>314</v>
      </c>
      <c r="D1206" s="179" t="s">
        <v>314</v>
      </c>
      <c r="E1206" s="179" t="s">
        <v>1369</v>
      </c>
      <c r="G1206" s="207">
        <v>1473.0</v>
      </c>
      <c r="H1206" s="179">
        <v>83.0</v>
      </c>
      <c r="I1206" s="195">
        <v>0.0225</v>
      </c>
      <c r="J1206" s="195">
        <v>0.0302</v>
      </c>
      <c r="K1206" s="207">
        <v>1919.0</v>
      </c>
      <c r="L1206" s="179">
        <v>118.0</v>
      </c>
      <c r="M1206" s="195">
        <v>0.0218</v>
      </c>
      <c r="N1206" s="195">
        <v>0.0318</v>
      </c>
      <c r="O1206" s="195">
        <v>0.9863</v>
      </c>
      <c r="P1206" s="195">
        <v>1.0</v>
      </c>
      <c r="Q1206" s="179">
        <v>32.0</v>
      </c>
      <c r="R1206" s="179">
        <v>4.0</v>
      </c>
      <c r="S1206" s="195">
        <v>0.0217</v>
      </c>
      <c r="T1206" s="195">
        <v>0.0482</v>
      </c>
      <c r="U1206" s="179">
        <v>54880.0</v>
      </c>
      <c r="V1206" s="208">
        <v>6796.0</v>
      </c>
      <c r="W1206" s="179">
        <v>22.0</v>
      </c>
      <c r="X1206" s="179">
        <v>2.0</v>
      </c>
    </row>
    <row r="1207" ht="15.75" customHeight="1">
      <c r="A1207" s="200">
        <v>45772.0</v>
      </c>
      <c r="B1207" s="10" t="str">
        <f t="array" ref="B1207">_xlfn.XLOOKUP(D1207,'Referanc '!$A:$A,'Referanc '!$B:$B)</f>
        <v>Extension &amp; Holder</v>
      </c>
      <c r="C1207" s="179" t="s">
        <v>307</v>
      </c>
      <c r="D1207" s="179" t="s">
        <v>307</v>
      </c>
      <c r="E1207" s="179" t="s">
        <v>1370</v>
      </c>
      <c r="G1207" s="207">
        <v>2385.0</v>
      </c>
      <c r="H1207" s="179">
        <v>101.0</v>
      </c>
      <c r="I1207" s="195">
        <v>0.0365</v>
      </c>
      <c r="J1207" s="195">
        <v>0.0368</v>
      </c>
      <c r="K1207" s="207">
        <v>3070.0</v>
      </c>
      <c r="L1207" s="179">
        <v>132.0</v>
      </c>
      <c r="M1207" s="195">
        <v>0.0348</v>
      </c>
      <c r="N1207" s="195">
        <v>0.0355</v>
      </c>
      <c r="O1207" s="195">
        <v>0.9928</v>
      </c>
      <c r="P1207" s="195">
        <v>0.9891</v>
      </c>
      <c r="Q1207" s="179">
        <v>20.0</v>
      </c>
      <c r="R1207" s="179">
        <v>0.0</v>
      </c>
      <c r="S1207" s="195">
        <v>0.0084</v>
      </c>
      <c r="T1207" s="195">
        <v>0.0</v>
      </c>
      <c r="U1207" s="179">
        <v>21480.0</v>
      </c>
      <c r="V1207" s="208">
        <v>0.0</v>
      </c>
      <c r="W1207" s="179">
        <v>20.0</v>
      </c>
      <c r="X1207" s="179">
        <v>0.0</v>
      </c>
    </row>
    <row r="1208" ht="15.75" customHeight="1">
      <c r="A1208" s="200">
        <v>45772.0</v>
      </c>
      <c r="B1208" s="10" t="str">
        <f t="array" ref="B1208">_xlfn.XLOOKUP(D1208,'Referanc '!$A:$A,'Referanc '!$B:$B)</f>
        <v>Monitor Arm Stand</v>
      </c>
      <c r="C1208" s="179" t="s">
        <v>353</v>
      </c>
      <c r="D1208" s="179" t="s">
        <v>353</v>
      </c>
      <c r="E1208" s="179" t="s">
        <v>691</v>
      </c>
      <c r="G1208" s="207">
        <v>1255.0</v>
      </c>
      <c r="H1208" s="179">
        <v>77.0</v>
      </c>
      <c r="I1208" s="195">
        <v>0.0192</v>
      </c>
      <c r="J1208" s="195">
        <v>0.028</v>
      </c>
      <c r="K1208" s="207">
        <v>1865.0</v>
      </c>
      <c r="L1208" s="179">
        <v>108.0</v>
      </c>
      <c r="M1208" s="195">
        <v>0.0211</v>
      </c>
      <c r="N1208" s="195">
        <v>0.0291</v>
      </c>
      <c r="O1208" s="195">
        <v>0.9501</v>
      </c>
      <c r="P1208" s="195">
        <v>0.9506</v>
      </c>
      <c r="Q1208" s="179">
        <v>19.0</v>
      </c>
      <c r="R1208" s="179">
        <v>2.0</v>
      </c>
      <c r="S1208" s="195">
        <v>0.0151</v>
      </c>
      <c r="T1208" s="195">
        <v>0.026</v>
      </c>
      <c r="U1208" s="179">
        <v>57482.0</v>
      </c>
      <c r="V1208" s="208">
        <v>5998.0</v>
      </c>
      <c r="W1208" s="179">
        <v>19.0</v>
      </c>
      <c r="X1208" s="179">
        <v>2.0</v>
      </c>
    </row>
    <row r="1209" ht="15.75" customHeight="1">
      <c r="A1209" s="200">
        <v>45772.0</v>
      </c>
      <c r="B1209" s="10" t="str">
        <f t="array" ref="B1209">_xlfn.XLOOKUP(D1209,'Referanc '!$A:$A,'Referanc '!$B:$B)</f>
        <v>Desk Cable Tray</v>
      </c>
      <c r="C1209" s="179" t="s">
        <v>327</v>
      </c>
      <c r="D1209" s="179" t="s">
        <v>327</v>
      </c>
      <c r="E1209" s="179" t="s">
        <v>720</v>
      </c>
      <c r="G1209" s="179">
        <v>575.0</v>
      </c>
      <c r="H1209" s="179">
        <v>18.0</v>
      </c>
      <c r="I1209" s="195">
        <v>0.0088</v>
      </c>
      <c r="J1209" s="195">
        <v>0.0066</v>
      </c>
      <c r="K1209" s="179">
        <v>875.0</v>
      </c>
      <c r="L1209" s="179">
        <v>27.0</v>
      </c>
      <c r="M1209" s="195">
        <v>0.0099</v>
      </c>
      <c r="N1209" s="195">
        <v>0.0073</v>
      </c>
      <c r="O1209" s="195">
        <v>0.9973</v>
      </c>
      <c r="P1209" s="195">
        <v>1.0</v>
      </c>
      <c r="Q1209" s="179">
        <v>19.0</v>
      </c>
      <c r="R1209" s="179">
        <v>1.0</v>
      </c>
      <c r="S1209" s="195">
        <v>0.033</v>
      </c>
      <c r="T1209" s="195">
        <v>0.0556</v>
      </c>
      <c r="U1209" s="179">
        <v>26609.0</v>
      </c>
      <c r="V1209" s="208">
        <v>1355.0</v>
      </c>
      <c r="W1209" s="179">
        <v>19.0</v>
      </c>
      <c r="X1209" s="179">
        <v>1.0</v>
      </c>
    </row>
    <row r="1210" ht="15.75" customHeight="1">
      <c r="A1210" s="200">
        <v>45772.0</v>
      </c>
      <c r="B1210" s="10" t="str">
        <f t="array" ref="B1210">_xlfn.XLOOKUP(D1210,'Referanc '!$A:$A,'Referanc '!$B:$B)</f>
        <v>Cup and Headphone Holder</v>
      </c>
      <c r="C1210" s="179" t="s">
        <v>322</v>
      </c>
      <c r="D1210" s="179" t="s">
        <v>322</v>
      </c>
      <c r="E1210" s="179" t="s">
        <v>1376</v>
      </c>
      <c r="G1210" s="179">
        <v>464.0</v>
      </c>
      <c r="H1210" s="179">
        <v>20.0</v>
      </c>
      <c r="I1210" s="195">
        <v>0.0071</v>
      </c>
      <c r="J1210" s="195">
        <v>0.0073</v>
      </c>
      <c r="K1210" s="179">
        <v>662.0</v>
      </c>
      <c r="L1210" s="179">
        <v>28.0</v>
      </c>
      <c r="M1210" s="195">
        <v>0.0075</v>
      </c>
      <c r="N1210" s="195">
        <v>0.0075</v>
      </c>
      <c r="O1210" s="195">
        <v>0.9849</v>
      </c>
      <c r="P1210" s="195">
        <v>1.0</v>
      </c>
      <c r="Q1210" s="179">
        <v>15.0</v>
      </c>
      <c r="R1210" s="179">
        <v>1.0</v>
      </c>
      <c r="S1210" s="195">
        <v>0.0323</v>
      </c>
      <c r="T1210" s="195">
        <v>0.05</v>
      </c>
      <c r="U1210" s="179">
        <v>7536.0</v>
      </c>
      <c r="V1210" s="208">
        <v>499.0</v>
      </c>
      <c r="W1210" s="179">
        <v>14.0</v>
      </c>
      <c r="X1210" s="179">
        <v>1.0</v>
      </c>
    </row>
    <row r="1211" ht="15.75" customHeight="1">
      <c r="A1211" s="200">
        <v>45772.0</v>
      </c>
      <c r="B1211" s="10" t="str">
        <f t="array" ref="B1211">_xlfn.XLOOKUP(D1211,'Referanc '!$A:$A,'Referanc '!$B:$B)</f>
        <v>Standing Table  - SM4</v>
      </c>
      <c r="C1211" s="179" t="s">
        <v>427</v>
      </c>
      <c r="D1211" s="179" t="s">
        <v>427</v>
      </c>
      <c r="E1211" s="179" t="s">
        <v>738</v>
      </c>
      <c r="G1211" s="207">
        <v>10869.0</v>
      </c>
      <c r="H1211" s="179">
        <v>334.0</v>
      </c>
      <c r="I1211" s="195">
        <v>0.1663</v>
      </c>
      <c r="J1211" s="195">
        <v>0.1216</v>
      </c>
      <c r="K1211" s="207">
        <v>15879.0</v>
      </c>
      <c r="L1211" s="179">
        <v>493.0</v>
      </c>
      <c r="M1211" s="195">
        <v>0.18</v>
      </c>
      <c r="N1211" s="195">
        <v>0.1327</v>
      </c>
      <c r="O1211" s="195">
        <v>0.8103</v>
      </c>
      <c r="P1211" s="195">
        <v>0.8105</v>
      </c>
      <c r="Q1211" s="179">
        <v>13.0</v>
      </c>
      <c r="R1211" s="179">
        <v>4.0</v>
      </c>
      <c r="S1211" s="195">
        <v>0.0012</v>
      </c>
      <c r="T1211" s="195">
        <v>0.012</v>
      </c>
      <c r="U1211" s="179">
        <v>220987.0</v>
      </c>
      <c r="V1211" s="208">
        <v>67996.0</v>
      </c>
      <c r="W1211" s="179">
        <v>12.0</v>
      </c>
      <c r="X1211" s="179">
        <v>3.0</v>
      </c>
    </row>
    <row r="1212" ht="15.75" customHeight="1">
      <c r="A1212" s="200">
        <v>45772.0</v>
      </c>
      <c r="B1212" s="10" t="str">
        <f t="array" ref="B1212">_xlfn.XLOOKUP(D1212,'Referanc '!$A:$A,'Referanc '!$B:$B)</f>
        <v>Standing Table - All Frames</v>
      </c>
      <c r="C1212" s="179" t="s">
        <v>298</v>
      </c>
      <c r="D1212" s="179" t="s">
        <v>298</v>
      </c>
      <c r="E1212" s="179" t="s">
        <v>1168</v>
      </c>
      <c r="G1212" s="207">
        <v>1677.0</v>
      </c>
      <c r="H1212" s="179">
        <v>75.0</v>
      </c>
      <c r="I1212" s="195">
        <v>0.0257</v>
      </c>
      <c r="J1212" s="195">
        <v>0.0273</v>
      </c>
      <c r="K1212" s="207">
        <v>2331.0</v>
      </c>
      <c r="L1212" s="179">
        <v>106.0</v>
      </c>
      <c r="M1212" s="195">
        <v>0.0264</v>
      </c>
      <c r="N1212" s="195">
        <v>0.0285</v>
      </c>
      <c r="O1212" s="195">
        <v>0.8804</v>
      </c>
      <c r="P1212" s="195">
        <v>0.8596</v>
      </c>
      <c r="Q1212" s="179">
        <v>12.0</v>
      </c>
      <c r="R1212" s="179">
        <v>0.0</v>
      </c>
      <c r="S1212" s="195">
        <v>0.0072</v>
      </c>
      <c r="T1212" s="195">
        <v>0.0</v>
      </c>
      <c r="U1212" s="179">
        <v>204376.7</v>
      </c>
      <c r="V1212" s="208">
        <v>0.0</v>
      </c>
      <c r="W1212" s="179">
        <v>11.0</v>
      </c>
      <c r="X1212" s="179">
        <v>0.0</v>
      </c>
    </row>
    <row r="1213" ht="15.75" customHeight="1">
      <c r="A1213" s="200">
        <v>45772.0</v>
      </c>
      <c r="B1213" s="10" t="str">
        <f t="array" ref="B1213">_xlfn.XLOOKUP(D1213,'Referanc '!$A:$A,'Referanc '!$B:$B)</f>
        <v>Standing Table  - SM3</v>
      </c>
      <c r="C1213" s="179" t="s">
        <v>291</v>
      </c>
      <c r="D1213" s="179" t="s">
        <v>291</v>
      </c>
      <c r="E1213" s="179" t="s">
        <v>1373</v>
      </c>
      <c r="G1213" s="207">
        <v>2954.0</v>
      </c>
      <c r="H1213" s="179">
        <v>96.0</v>
      </c>
      <c r="I1213" s="195">
        <v>0.0452</v>
      </c>
      <c r="J1213" s="195">
        <v>0.035</v>
      </c>
      <c r="K1213" s="207">
        <v>3841.0</v>
      </c>
      <c r="L1213" s="179">
        <v>124.0</v>
      </c>
      <c r="M1213" s="195">
        <v>0.0435</v>
      </c>
      <c r="N1213" s="195">
        <v>0.0334</v>
      </c>
      <c r="O1213" s="195">
        <v>0.8083</v>
      </c>
      <c r="P1213" s="195">
        <v>0.7349</v>
      </c>
      <c r="Q1213" s="179">
        <v>9.0</v>
      </c>
      <c r="R1213" s="179">
        <v>1.0</v>
      </c>
      <c r="S1213" s="195">
        <v>0.003</v>
      </c>
      <c r="T1213" s="195">
        <v>0.0104</v>
      </c>
      <c r="U1213" s="179">
        <v>184399.3</v>
      </c>
      <c r="V1213" s="208">
        <v>20510.0</v>
      </c>
      <c r="W1213" s="179">
        <v>9.0</v>
      </c>
      <c r="X1213" s="179">
        <v>1.0</v>
      </c>
    </row>
    <row r="1214" ht="15.75" customHeight="1">
      <c r="A1214" s="200">
        <v>45772.0</v>
      </c>
      <c r="B1214" s="10" t="str">
        <f t="array" ref="B1214">_xlfn.XLOOKUP(D1214,'Referanc '!$A:$A,'Referanc '!$B:$B)</f>
        <v>Footrests</v>
      </c>
      <c r="C1214" s="179" t="s">
        <v>337</v>
      </c>
      <c r="D1214" s="179" t="s">
        <v>337</v>
      </c>
      <c r="E1214" s="179" t="s">
        <v>545</v>
      </c>
      <c r="G1214" s="179">
        <v>527.0</v>
      </c>
      <c r="H1214" s="179">
        <v>31.0</v>
      </c>
      <c r="I1214" s="195">
        <v>0.0081</v>
      </c>
      <c r="J1214" s="195">
        <v>0.0113</v>
      </c>
      <c r="K1214" s="179">
        <v>659.0</v>
      </c>
      <c r="L1214" s="179">
        <v>46.0</v>
      </c>
      <c r="M1214" s="195">
        <v>0.0075</v>
      </c>
      <c r="N1214" s="195">
        <v>0.0124</v>
      </c>
      <c r="O1214" s="195">
        <v>0.9949</v>
      </c>
      <c r="P1214" s="195">
        <v>0.9286</v>
      </c>
      <c r="Q1214" s="179">
        <v>7.0</v>
      </c>
      <c r="R1214" s="179">
        <v>0.0</v>
      </c>
      <c r="S1214" s="195">
        <v>0.0133</v>
      </c>
      <c r="T1214" s="195">
        <v>0.0</v>
      </c>
      <c r="U1214" s="179">
        <v>15393.0</v>
      </c>
      <c r="V1214" s="208">
        <v>0.0</v>
      </c>
      <c r="W1214" s="179">
        <v>7.0</v>
      </c>
      <c r="X1214" s="179">
        <v>0.0</v>
      </c>
    </row>
    <row r="1215" ht="15.75" customHeight="1">
      <c r="A1215" s="200">
        <v>45772.0</v>
      </c>
      <c r="B1215" s="10" t="str">
        <f t="array" ref="B1215">_xlfn.XLOOKUP(D1215,'Referanc '!$A:$A,'Referanc '!$B:$B)</f>
        <v>Standing Table  - SM3</v>
      </c>
      <c r="C1215" s="179" t="s">
        <v>358</v>
      </c>
      <c r="D1215" s="179" t="s">
        <v>358</v>
      </c>
      <c r="E1215" s="179" t="s">
        <v>1165</v>
      </c>
      <c r="G1215" s="179">
        <v>723.0</v>
      </c>
      <c r="H1215" s="179">
        <v>31.0</v>
      </c>
      <c r="I1215" s="195">
        <v>0.0111</v>
      </c>
      <c r="J1215" s="195">
        <v>0.0113</v>
      </c>
      <c r="K1215" s="179">
        <v>980.0</v>
      </c>
      <c r="L1215" s="179">
        <v>49.0</v>
      </c>
      <c r="M1215" s="195">
        <v>0.0111</v>
      </c>
      <c r="N1215" s="195">
        <v>0.0132</v>
      </c>
      <c r="O1215" s="195">
        <v>0.8527</v>
      </c>
      <c r="P1215" s="195">
        <v>1.0</v>
      </c>
      <c r="Q1215" s="179">
        <v>7.0</v>
      </c>
      <c r="R1215" s="179">
        <v>2.0</v>
      </c>
      <c r="S1215" s="195">
        <v>0.0097</v>
      </c>
      <c r="T1215" s="195">
        <v>0.0645</v>
      </c>
      <c r="U1215" s="179">
        <v>164379.3</v>
      </c>
      <c r="V1215" s="208">
        <v>46943.72</v>
      </c>
      <c r="W1215" s="179">
        <v>7.0</v>
      </c>
      <c r="X1215" s="179">
        <v>2.0</v>
      </c>
    </row>
    <row r="1216" ht="15.75" customHeight="1">
      <c r="A1216" s="200">
        <v>45772.0</v>
      </c>
      <c r="B1216" s="10" t="str">
        <f t="array" ref="B1216">_xlfn.XLOOKUP(D1216,'Referanc '!$A:$A,'Referanc '!$B:$B)</f>
        <v>Standing Table  - E2</v>
      </c>
      <c r="C1216" s="179" t="s">
        <v>311</v>
      </c>
      <c r="D1216" s="179" t="s">
        <v>311</v>
      </c>
      <c r="E1216" s="179" t="s">
        <v>1132</v>
      </c>
      <c r="G1216" s="207">
        <v>1024.0</v>
      </c>
      <c r="H1216" s="179">
        <v>38.0</v>
      </c>
      <c r="I1216" s="195">
        <v>0.0157</v>
      </c>
      <c r="J1216" s="195">
        <v>0.0138</v>
      </c>
      <c r="K1216" s="207">
        <v>1317.0</v>
      </c>
      <c r="L1216" s="179">
        <v>51.0</v>
      </c>
      <c r="M1216" s="195">
        <v>0.0149</v>
      </c>
      <c r="N1216" s="195">
        <v>0.0137</v>
      </c>
      <c r="O1216" s="195">
        <v>0.8636</v>
      </c>
      <c r="P1216" s="195">
        <v>0.88</v>
      </c>
      <c r="Q1216" s="179">
        <v>6.0</v>
      </c>
      <c r="R1216" s="179">
        <v>1.0</v>
      </c>
      <c r="S1216" s="195">
        <v>0.0059</v>
      </c>
      <c r="T1216" s="195">
        <v>0.0263</v>
      </c>
      <c r="U1216" s="179">
        <v>208580.3</v>
      </c>
      <c r="V1216" s="208">
        <v>34800.0</v>
      </c>
      <c r="W1216" s="179">
        <v>6.0</v>
      </c>
      <c r="X1216" s="179">
        <v>1.0</v>
      </c>
    </row>
    <row r="1217" ht="15.75" customHeight="1">
      <c r="A1217" s="200">
        <v>45772.0</v>
      </c>
      <c r="B1217" s="10" t="str">
        <f t="array" ref="B1217">_xlfn.XLOOKUP(D1217,'Referanc '!$A:$A,'Referanc '!$B:$B)</f>
        <v>Standing Table - All Frames</v>
      </c>
      <c r="C1217" s="179" t="s">
        <v>368</v>
      </c>
      <c r="D1217" s="179" t="s">
        <v>368</v>
      </c>
      <c r="E1217" s="179" t="s">
        <v>1184</v>
      </c>
      <c r="G1217" s="179">
        <v>820.0</v>
      </c>
      <c r="H1217" s="179">
        <v>29.0</v>
      </c>
      <c r="I1217" s="195">
        <v>0.0125</v>
      </c>
      <c r="J1217" s="195">
        <v>0.0106</v>
      </c>
      <c r="K1217" s="207">
        <v>1121.0</v>
      </c>
      <c r="L1217" s="179">
        <v>40.0</v>
      </c>
      <c r="M1217" s="195">
        <v>0.0127</v>
      </c>
      <c r="N1217" s="195">
        <v>0.0108</v>
      </c>
      <c r="O1217" s="195">
        <v>0.792</v>
      </c>
      <c r="P1217" s="195">
        <v>0.6471</v>
      </c>
      <c r="Q1217" s="179">
        <v>6.0</v>
      </c>
      <c r="R1217" s="179">
        <v>0.0</v>
      </c>
      <c r="S1217" s="195">
        <v>0.0073</v>
      </c>
      <c r="T1217" s="195">
        <v>0.0</v>
      </c>
      <c r="U1217" s="179">
        <v>102131.2</v>
      </c>
      <c r="V1217" s="208">
        <v>0.0</v>
      </c>
      <c r="W1217" s="179">
        <v>6.0</v>
      </c>
      <c r="X1217" s="179">
        <v>0.0</v>
      </c>
    </row>
    <row r="1218" ht="15.75" customHeight="1">
      <c r="A1218" s="200">
        <v>45772.0</v>
      </c>
      <c r="B1218" s="10" t="str">
        <f t="array" ref="B1218">_xlfn.XLOOKUP(D1218,'Referanc '!$A:$A,'Referanc '!$B:$B)</f>
        <v>Standing Table  - E4</v>
      </c>
      <c r="C1218" s="179" t="s">
        <v>396</v>
      </c>
      <c r="D1218" s="179" t="s">
        <v>396</v>
      </c>
      <c r="E1218" s="179" t="s">
        <v>1321</v>
      </c>
      <c r="G1218" s="179">
        <v>809.0</v>
      </c>
      <c r="H1218" s="179">
        <v>35.0</v>
      </c>
      <c r="I1218" s="195">
        <v>0.0124</v>
      </c>
      <c r="J1218" s="195">
        <v>0.0127</v>
      </c>
      <c r="K1218" s="207">
        <v>1081.0</v>
      </c>
      <c r="L1218" s="179">
        <v>44.0</v>
      </c>
      <c r="M1218" s="195">
        <v>0.0123</v>
      </c>
      <c r="N1218" s="195">
        <v>0.0118</v>
      </c>
      <c r="O1218" s="195">
        <v>0.9393</v>
      </c>
      <c r="P1218" s="195">
        <v>0.8</v>
      </c>
      <c r="Q1218" s="179">
        <v>6.0</v>
      </c>
      <c r="R1218" s="179">
        <v>1.0</v>
      </c>
      <c r="S1218" s="195">
        <v>0.0074</v>
      </c>
      <c r="T1218" s="195">
        <v>0.0286</v>
      </c>
      <c r="U1218" s="179">
        <v>174477.0</v>
      </c>
      <c r="V1218" s="208">
        <v>29110.0</v>
      </c>
      <c r="W1218" s="179">
        <v>6.0</v>
      </c>
      <c r="X1218" s="179">
        <v>1.0</v>
      </c>
    </row>
    <row r="1219" ht="15.75" customHeight="1">
      <c r="A1219" s="200">
        <v>45772.0</v>
      </c>
      <c r="B1219" s="10" t="str">
        <f t="array" ref="B1219">_xlfn.XLOOKUP(D1219,'Referanc '!$A:$A,'Referanc '!$B:$B)</f>
        <v>Standing Table  - SM4</v>
      </c>
      <c r="C1219" s="179" t="s">
        <v>448</v>
      </c>
      <c r="D1219" s="179" t="s">
        <v>448</v>
      </c>
      <c r="E1219" s="179" t="s">
        <v>738</v>
      </c>
      <c r="G1219" s="179">
        <v>748.0</v>
      </c>
      <c r="H1219" s="179">
        <v>36.0</v>
      </c>
      <c r="I1219" s="195">
        <v>0.0114</v>
      </c>
      <c r="J1219" s="195">
        <v>0.0131</v>
      </c>
      <c r="K1219" s="207">
        <v>1030.0</v>
      </c>
      <c r="L1219" s="179">
        <v>57.0</v>
      </c>
      <c r="M1219" s="195">
        <v>0.0117</v>
      </c>
      <c r="N1219" s="195">
        <v>0.0153</v>
      </c>
      <c r="O1219" s="195">
        <v>0.9562</v>
      </c>
      <c r="P1219" s="195">
        <v>1.0</v>
      </c>
      <c r="Q1219" s="179">
        <v>6.0</v>
      </c>
      <c r="R1219" s="179">
        <v>0.0</v>
      </c>
      <c r="S1219" s="195">
        <v>0.008</v>
      </c>
      <c r="T1219" s="195">
        <v>0.0</v>
      </c>
      <c r="U1219" s="179">
        <v>101994.0</v>
      </c>
      <c r="V1219" s="208">
        <v>0.0</v>
      </c>
      <c r="W1219" s="179">
        <v>6.0</v>
      </c>
      <c r="X1219" s="179">
        <v>0.0</v>
      </c>
    </row>
    <row r="1220" ht="15.75" customHeight="1">
      <c r="A1220" s="200">
        <v>45772.0</v>
      </c>
      <c r="B1220" s="10" t="str">
        <f t="array" ref="B1220">_xlfn.XLOOKUP(D1220,'Referanc '!$A:$A,'Referanc '!$B:$B)</f>
        <v>Standing Table  - SM3</v>
      </c>
      <c r="C1220" s="179" t="s">
        <v>304</v>
      </c>
      <c r="D1220" s="179" t="s">
        <v>304</v>
      </c>
      <c r="E1220" s="179" t="s">
        <v>1161</v>
      </c>
      <c r="G1220" s="207">
        <v>1662.0</v>
      </c>
      <c r="H1220" s="179">
        <v>57.0</v>
      </c>
      <c r="I1220" s="195">
        <v>0.0254</v>
      </c>
      <c r="J1220" s="195">
        <v>0.0208</v>
      </c>
      <c r="K1220" s="207">
        <v>2195.0</v>
      </c>
      <c r="L1220" s="179">
        <v>72.0</v>
      </c>
      <c r="M1220" s="195">
        <v>0.0249</v>
      </c>
      <c r="N1220" s="195">
        <v>0.0194</v>
      </c>
      <c r="O1220" s="195">
        <v>0.9026</v>
      </c>
      <c r="P1220" s="195">
        <v>0.8889</v>
      </c>
      <c r="Q1220" s="179">
        <v>5.0</v>
      </c>
      <c r="R1220" s="179">
        <v>0.0</v>
      </c>
      <c r="S1220" s="195">
        <v>0.003</v>
      </c>
      <c r="T1220" s="195">
        <v>0.0</v>
      </c>
      <c r="U1220" s="179">
        <v>102435.6</v>
      </c>
      <c r="V1220" s="208">
        <v>0.0</v>
      </c>
      <c r="W1220" s="179">
        <v>5.0</v>
      </c>
      <c r="X1220" s="179">
        <v>0.0</v>
      </c>
    </row>
    <row r="1221" ht="15.75" customHeight="1">
      <c r="A1221" s="200">
        <v>45772.0</v>
      </c>
      <c r="B1221" s="10" t="str">
        <f t="array" ref="B1221">_xlfn.XLOOKUP(D1221,'Referanc '!$A:$A,'Referanc '!$B:$B)</f>
        <v>Standing Table  - E2</v>
      </c>
      <c r="C1221" s="179" t="s">
        <v>313</v>
      </c>
      <c r="D1221" s="179" t="s">
        <v>313</v>
      </c>
      <c r="E1221" s="179" t="s">
        <v>1125</v>
      </c>
      <c r="G1221" s="179">
        <v>959.0</v>
      </c>
      <c r="H1221" s="179">
        <v>22.0</v>
      </c>
      <c r="I1221" s="195">
        <v>0.0147</v>
      </c>
      <c r="J1221" s="195">
        <v>0.008</v>
      </c>
      <c r="K1221" s="207">
        <v>1176.0</v>
      </c>
      <c r="L1221" s="179">
        <v>27.0</v>
      </c>
      <c r="M1221" s="195">
        <v>0.0133</v>
      </c>
      <c r="N1221" s="195">
        <v>0.0073</v>
      </c>
      <c r="O1221" s="195">
        <v>0.7773</v>
      </c>
      <c r="P1221" s="195">
        <v>0.8333</v>
      </c>
      <c r="Q1221" s="179">
        <v>4.0</v>
      </c>
      <c r="R1221" s="179">
        <v>0.0</v>
      </c>
      <c r="S1221" s="195">
        <v>0.0042</v>
      </c>
      <c r="T1221" s="195">
        <v>0.0</v>
      </c>
      <c r="U1221" s="179">
        <v>131000.0</v>
      </c>
      <c r="V1221" s="208">
        <v>0.0</v>
      </c>
      <c r="W1221" s="179">
        <v>4.0</v>
      </c>
      <c r="X1221" s="179">
        <v>0.0</v>
      </c>
    </row>
    <row r="1222" ht="15.75" customHeight="1">
      <c r="A1222" s="200">
        <v>45772.0</v>
      </c>
      <c r="B1222" s="10" t="str">
        <f t="array" ref="B1222">_xlfn.XLOOKUP(D1222,'Referanc '!$A:$A,'Referanc '!$B:$B)</f>
        <v>Standing Table  - E2</v>
      </c>
      <c r="C1222" s="179" t="s">
        <v>309</v>
      </c>
      <c r="D1222" s="179" t="s">
        <v>309</v>
      </c>
      <c r="E1222" s="179" t="s">
        <v>1317</v>
      </c>
      <c r="G1222" s="207">
        <v>1257.0</v>
      </c>
      <c r="H1222" s="179">
        <v>47.0</v>
      </c>
      <c r="I1222" s="195">
        <v>0.0192</v>
      </c>
      <c r="J1222" s="195">
        <v>0.0171</v>
      </c>
      <c r="K1222" s="207">
        <v>1578.0</v>
      </c>
      <c r="L1222" s="179">
        <v>60.0</v>
      </c>
      <c r="M1222" s="195">
        <v>0.0179</v>
      </c>
      <c r="N1222" s="195">
        <v>0.0161</v>
      </c>
      <c r="O1222" s="195">
        <v>0.8247</v>
      </c>
      <c r="P1222" s="195">
        <v>0.85</v>
      </c>
      <c r="Q1222" s="179">
        <v>4.0</v>
      </c>
      <c r="R1222" s="179">
        <v>0.0</v>
      </c>
      <c r="S1222" s="195">
        <v>0.0032</v>
      </c>
      <c r="T1222" s="195">
        <v>0.0</v>
      </c>
      <c r="U1222" s="179">
        <v>139035.2</v>
      </c>
      <c r="V1222" s="208">
        <v>0.0</v>
      </c>
      <c r="W1222" s="179">
        <v>4.0</v>
      </c>
      <c r="X1222" s="179">
        <v>0.0</v>
      </c>
    </row>
    <row r="1223" ht="15.75" customHeight="1">
      <c r="A1223" s="200">
        <v>45772.0</v>
      </c>
      <c r="B1223" s="10" t="str">
        <f t="array" ref="B1223">_xlfn.XLOOKUP(D1223,'Referanc '!$A:$A,'Referanc '!$B:$B)</f>
        <v>Standing Table  - SM3</v>
      </c>
      <c r="C1223" s="179" t="s">
        <v>370</v>
      </c>
      <c r="D1223" s="179" t="s">
        <v>370</v>
      </c>
      <c r="E1223" s="179" t="s">
        <v>1161</v>
      </c>
      <c r="G1223" s="179">
        <v>598.0</v>
      </c>
      <c r="H1223" s="179">
        <v>24.0</v>
      </c>
      <c r="I1223" s="195">
        <v>0.0091</v>
      </c>
      <c r="J1223" s="195">
        <v>0.0087</v>
      </c>
      <c r="K1223" s="179">
        <v>767.0</v>
      </c>
      <c r="L1223" s="179">
        <v>30.0</v>
      </c>
      <c r="M1223" s="195">
        <v>0.0087</v>
      </c>
      <c r="N1223" s="195">
        <v>0.0081</v>
      </c>
      <c r="O1223" s="195">
        <v>0.8039</v>
      </c>
      <c r="P1223" s="195">
        <v>0.9412</v>
      </c>
      <c r="Q1223" s="179">
        <v>4.0</v>
      </c>
      <c r="R1223" s="179">
        <v>0.0</v>
      </c>
      <c r="S1223" s="195">
        <v>0.0067</v>
      </c>
      <c r="T1223" s="195">
        <v>0.0</v>
      </c>
      <c r="U1223" s="179">
        <v>81925.58</v>
      </c>
      <c r="V1223" s="208">
        <v>0.0</v>
      </c>
      <c r="W1223" s="179">
        <v>4.0</v>
      </c>
      <c r="X1223" s="179">
        <v>0.0</v>
      </c>
    </row>
    <row r="1224" ht="15.75" customHeight="1">
      <c r="A1224" s="200">
        <v>45772.0</v>
      </c>
      <c r="B1224" s="10" t="str">
        <f t="array" ref="B1224">_xlfn.XLOOKUP(D1224,'Referanc '!$A:$A,'Referanc '!$B:$B)</f>
        <v>Standing Table - All Frames</v>
      </c>
      <c r="C1224" s="179" t="s">
        <v>422</v>
      </c>
      <c r="D1224" s="179" t="s">
        <v>422</v>
      </c>
      <c r="E1224" s="179" t="s">
        <v>697</v>
      </c>
      <c r="G1224" s="179">
        <v>247.0</v>
      </c>
      <c r="H1224" s="179">
        <v>14.0</v>
      </c>
      <c r="I1224" s="195">
        <v>0.0038</v>
      </c>
      <c r="J1224" s="195">
        <v>0.0051</v>
      </c>
      <c r="K1224" s="179">
        <v>344.0</v>
      </c>
      <c r="L1224" s="179">
        <v>21.0</v>
      </c>
      <c r="M1224" s="195">
        <v>0.0039</v>
      </c>
      <c r="N1224" s="195">
        <v>0.0057</v>
      </c>
      <c r="O1224" s="195">
        <v>0.9286</v>
      </c>
      <c r="P1224" s="195">
        <v>0.9444</v>
      </c>
      <c r="Q1224" s="179">
        <v>4.0</v>
      </c>
      <c r="R1224" s="179">
        <v>1.0</v>
      </c>
      <c r="S1224" s="195">
        <v>0.0162</v>
      </c>
      <c r="T1224" s="195">
        <v>0.0714</v>
      </c>
      <c r="U1224" s="179">
        <v>95948.48</v>
      </c>
      <c r="V1224" s="208">
        <v>23964.24</v>
      </c>
      <c r="W1224" s="179">
        <v>4.0</v>
      </c>
      <c r="X1224" s="179">
        <v>1.0</v>
      </c>
    </row>
    <row r="1225" ht="15.75" customHeight="1">
      <c r="A1225" s="200">
        <v>45772.0</v>
      </c>
      <c r="B1225" s="10" t="str">
        <f t="array" ref="B1225">_xlfn.XLOOKUP(D1225,'Referanc '!$A:$A,'Referanc '!$B:$B)</f>
        <v>Standing Table  - SM4</v>
      </c>
      <c r="C1225" s="179" t="s">
        <v>426</v>
      </c>
      <c r="D1225" s="179" t="s">
        <v>426</v>
      </c>
      <c r="E1225" s="179" t="s">
        <v>714</v>
      </c>
      <c r="G1225" s="207">
        <v>1532.0</v>
      </c>
      <c r="H1225" s="179">
        <v>83.0</v>
      </c>
      <c r="I1225" s="195">
        <v>0.0234</v>
      </c>
      <c r="J1225" s="195">
        <v>0.0302</v>
      </c>
      <c r="K1225" s="207">
        <v>2015.0</v>
      </c>
      <c r="L1225" s="179">
        <v>110.0</v>
      </c>
      <c r="M1225" s="195">
        <v>0.0228</v>
      </c>
      <c r="N1225" s="195">
        <v>0.0296</v>
      </c>
      <c r="O1225" s="195">
        <v>0.8787</v>
      </c>
      <c r="P1225" s="195">
        <v>0.8261</v>
      </c>
      <c r="Q1225" s="179">
        <v>4.0</v>
      </c>
      <c r="R1225" s="179">
        <v>2.0</v>
      </c>
      <c r="S1225" s="195">
        <v>0.0026</v>
      </c>
      <c r="T1225" s="195">
        <v>0.0241</v>
      </c>
      <c r="U1225" s="179">
        <v>59917.96</v>
      </c>
      <c r="V1225" s="208">
        <v>29958.98</v>
      </c>
      <c r="W1225" s="179">
        <v>4.0</v>
      </c>
      <c r="X1225" s="179">
        <v>2.0</v>
      </c>
    </row>
    <row r="1226" ht="15.75" customHeight="1">
      <c r="A1226" s="200">
        <v>45772.0</v>
      </c>
      <c r="B1226" s="10" t="str">
        <f t="array" ref="B1226">_xlfn.XLOOKUP(D1226,'Referanc '!$A:$A,'Referanc '!$B:$B)</f>
        <v>Standing Table  - M14</v>
      </c>
      <c r="C1226" s="179" t="s">
        <v>441</v>
      </c>
      <c r="D1226" s="179" t="s">
        <v>441</v>
      </c>
      <c r="E1226" s="179" t="s">
        <v>730</v>
      </c>
      <c r="G1226" s="179">
        <v>324.0</v>
      </c>
      <c r="H1226" s="179">
        <v>11.0</v>
      </c>
      <c r="I1226" s="195">
        <v>0.005</v>
      </c>
      <c r="J1226" s="195">
        <v>0.004</v>
      </c>
      <c r="K1226" s="179">
        <v>444.0</v>
      </c>
      <c r="L1226" s="179">
        <v>12.0</v>
      </c>
      <c r="M1226" s="195">
        <v>0.005</v>
      </c>
      <c r="N1226" s="195">
        <v>0.0032</v>
      </c>
      <c r="O1226" s="195">
        <v>0.8553</v>
      </c>
      <c r="P1226" s="195">
        <v>0.3846</v>
      </c>
      <c r="Q1226" s="179">
        <v>4.0</v>
      </c>
      <c r="R1226" s="179">
        <v>1.0</v>
      </c>
      <c r="S1226" s="195">
        <v>0.0123</v>
      </c>
      <c r="T1226" s="195">
        <v>0.0909</v>
      </c>
      <c r="U1226" s="179">
        <v>62551.18</v>
      </c>
      <c r="V1226" s="208">
        <v>15650.0</v>
      </c>
      <c r="W1226" s="179">
        <v>4.0</v>
      </c>
      <c r="X1226" s="179">
        <v>1.0</v>
      </c>
    </row>
    <row r="1227" ht="15.75" customHeight="1">
      <c r="A1227" s="200">
        <v>45772.0</v>
      </c>
      <c r="B1227" s="10" t="str">
        <f t="array" ref="B1227">_xlfn.XLOOKUP(D1227,'Referanc '!$A:$A,'Referanc '!$B:$B)</f>
        <v>TABLE TOP</v>
      </c>
      <c r="C1227" s="179" t="s">
        <v>323</v>
      </c>
      <c r="D1227" s="179" t="s">
        <v>323</v>
      </c>
      <c r="E1227" s="179" t="s">
        <v>537</v>
      </c>
      <c r="G1227" s="179">
        <v>989.0</v>
      </c>
      <c r="H1227" s="179">
        <v>38.0</v>
      </c>
      <c r="I1227" s="195">
        <v>0.0151</v>
      </c>
      <c r="J1227" s="195">
        <v>0.0138</v>
      </c>
      <c r="K1227" s="207">
        <v>1186.0</v>
      </c>
      <c r="L1227" s="179">
        <v>47.0</v>
      </c>
      <c r="M1227" s="195">
        <v>0.0134</v>
      </c>
      <c r="N1227" s="195">
        <v>0.0126</v>
      </c>
      <c r="O1227" s="195">
        <v>0.6673</v>
      </c>
      <c r="P1227" s="195">
        <v>0.72</v>
      </c>
      <c r="Q1227" s="179">
        <v>3.0</v>
      </c>
      <c r="R1227" s="179">
        <v>1.0</v>
      </c>
      <c r="S1227" s="195">
        <v>0.003</v>
      </c>
      <c r="T1227" s="195">
        <v>0.0263</v>
      </c>
      <c r="U1227" s="179">
        <v>25365.0</v>
      </c>
      <c r="V1227" s="208">
        <v>8455.0</v>
      </c>
      <c r="W1227" s="179">
        <v>3.0</v>
      </c>
      <c r="X1227" s="179">
        <v>1.0</v>
      </c>
    </row>
    <row r="1228" ht="15.75" customHeight="1">
      <c r="A1228" s="200">
        <v>45772.0</v>
      </c>
      <c r="B1228" s="10" t="str">
        <f t="array" ref="B1228">_xlfn.XLOOKUP(D1228,'Referanc '!$A:$A,'Referanc '!$B:$B)</f>
        <v>Standing Table  - M3</v>
      </c>
      <c r="C1228" s="179" t="s">
        <v>403</v>
      </c>
      <c r="D1228" s="179" t="s">
        <v>403</v>
      </c>
      <c r="E1228" s="179" t="s">
        <v>1175</v>
      </c>
      <c r="G1228" s="207">
        <v>1133.0</v>
      </c>
      <c r="H1228" s="179">
        <v>25.0</v>
      </c>
      <c r="I1228" s="195">
        <v>0.0173</v>
      </c>
      <c r="J1228" s="195">
        <v>0.0091</v>
      </c>
      <c r="K1228" s="207">
        <v>1584.0</v>
      </c>
      <c r="L1228" s="179">
        <v>28.0</v>
      </c>
      <c r="M1228" s="195">
        <v>0.018</v>
      </c>
      <c r="N1228" s="195">
        <v>0.0075</v>
      </c>
      <c r="O1228" s="195">
        <v>0.9623</v>
      </c>
      <c r="P1228" s="195">
        <v>0.9167</v>
      </c>
      <c r="Q1228" s="179">
        <v>3.0</v>
      </c>
      <c r="R1228" s="179">
        <v>0.0</v>
      </c>
      <c r="S1228" s="195">
        <v>0.0026</v>
      </c>
      <c r="T1228" s="195">
        <v>0.0</v>
      </c>
      <c r="U1228" s="179">
        <v>45406.77</v>
      </c>
      <c r="V1228" s="208">
        <v>0.0</v>
      </c>
      <c r="W1228" s="179">
        <v>3.0</v>
      </c>
      <c r="X1228" s="179">
        <v>0.0</v>
      </c>
    </row>
    <row r="1229" ht="15.75" customHeight="1">
      <c r="A1229" s="200">
        <v>45772.0</v>
      </c>
      <c r="B1229" s="10" t="str">
        <f t="array" ref="B1229">_xlfn.XLOOKUP(D1229,'Referanc '!$A:$A,'Referanc '!$B:$B)</f>
        <v>Standing Table  - SM3</v>
      </c>
      <c r="C1229" s="179" t="s">
        <v>296</v>
      </c>
      <c r="D1229" s="179" t="s">
        <v>296</v>
      </c>
      <c r="E1229" s="179" t="s">
        <v>1165</v>
      </c>
      <c r="G1229" s="179">
        <v>733.0</v>
      </c>
      <c r="H1229" s="179">
        <v>30.0</v>
      </c>
      <c r="I1229" s="195">
        <v>0.0112</v>
      </c>
      <c r="J1229" s="195">
        <v>0.0109</v>
      </c>
      <c r="K1229" s="179">
        <v>999.0</v>
      </c>
      <c r="L1229" s="179">
        <v>40.0</v>
      </c>
      <c r="M1229" s="195">
        <v>0.0113</v>
      </c>
      <c r="N1229" s="195">
        <v>0.0108</v>
      </c>
      <c r="O1229" s="195">
        <v>0.8563</v>
      </c>
      <c r="P1229" s="195">
        <v>0.8462</v>
      </c>
      <c r="Q1229" s="179">
        <v>3.0</v>
      </c>
      <c r="R1229" s="179">
        <v>1.0</v>
      </c>
      <c r="S1229" s="195">
        <v>0.0041</v>
      </c>
      <c r="T1229" s="195">
        <v>0.0333</v>
      </c>
      <c r="U1229" s="179">
        <v>73453.72</v>
      </c>
      <c r="V1229" s="208">
        <v>24510.0</v>
      </c>
      <c r="W1229" s="179">
        <v>3.0</v>
      </c>
      <c r="X1229" s="179">
        <v>1.0</v>
      </c>
    </row>
    <row r="1230" ht="15.75" customHeight="1">
      <c r="A1230" s="200">
        <v>45772.0</v>
      </c>
      <c r="B1230" s="10" t="str">
        <f t="array" ref="B1230">_xlfn.XLOOKUP(D1230,'Referanc '!$A:$A,'Referanc '!$B:$B)</f>
        <v>Standing Table  - E2</v>
      </c>
      <c r="C1230" s="179" t="s">
        <v>293</v>
      </c>
      <c r="D1230" s="179" t="s">
        <v>293</v>
      </c>
      <c r="E1230" s="179" t="s">
        <v>1133</v>
      </c>
      <c r="G1230" s="179">
        <v>844.0</v>
      </c>
      <c r="H1230" s="179">
        <v>37.0</v>
      </c>
      <c r="I1230" s="195">
        <v>0.0129</v>
      </c>
      <c r="J1230" s="195">
        <v>0.0135</v>
      </c>
      <c r="K1230" s="207">
        <v>1036.0</v>
      </c>
      <c r="L1230" s="179">
        <v>42.0</v>
      </c>
      <c r="M1230" s="195">
        <v>0.0117</v>
      </c>
      <c r="N1230" s="195">
        <v>0.0113</v>
      </c>
      <c r="O1230" s="195">
        <v>0.8384</v>
      </c>
      <c r="P1230" s="195">
        <v>0.9032</v>
      </c>
      <c r="Q1230" s="179">
        <v>3.0</v>
      </c>
      <c r="R1230" s="179">
        <v>1.0</v>
      </c>
      <c r="S1230" s="195">
        <v>0.0036</v>
      </c>
      <c r="T1230" s="195">
        <v>0.027</v>
      </c>
      <c r="U1230" s="179">
        <v>98085.24</v>
      </c>
      <c r="V1230" s="208">
        <v>32695.08</v>
      </c>
      <c r="W1230" s="179">
        <v>3.0</v>
      </c>
      <c r="X1230" s="179">
        <v>1.0</v>
      </c>
    </row>
    <row r="1231" ht="15.75" customHeight="1">
      <c r="A1231" s="200">
        <v>45772.0</v>
      </c>
      <c r="B1231" s="10" t="str">
        <f t="array" ref="B1231">_xlfn.XLOOKUP(D1231,'Referanc '!$A:$A,'Referanc '!$B:$B)</f>
        <v>Standing Table  - E3</v>
      </c>
      <c r="C1231" s="179" t="s">
        <v>377</v>
      </c>
      <c r="D1231" s="179" t="s">
        <v>377</v>
      </c>
      <c r="E1231" s="179" t="s">
        <v>1143</v>
      </c>
      <c r="G1231" s="179">
        <v>109.0</v>
      </c>
      <c r="H1231" s="179">
        <v>6.0</v>
      </c>
      <c r="I1231" s="195">
        <v>0.0017</v>
      </c>
      <c r="J1231" s="195">
        <v>0.0022</v>
      </c>
      <c r="K1231" s="179">
        <v>143.0</v>
      </c>
      <c r="L1231" s="179">
        <v>8.0</v>
      </c>
      <c r="M1231" s="195">
        <v>0.0016</v>
      </c>
      <c r="N1231" s="195">
        <v>0.0022</v>
      </c>
      <c r="O1231" s="195">
        <v>0.8889</v>
      </c>
      <c r="P1231" s="195">
        <v>1.0</v>
      </c>
      <c r="Q1231" s="179">
        <v>3.0</v>
      </c>
      <c r="R1231" s="179">
        <v>1.0</v>
      </c>
      <c r="S1231" s="195">
        <v>0.0275</v>
      </c>
      <c r="T1231" s="195">
        <v>0.1667</v>
      </c>
      <c r="U1231" s="179">
        <v>115162.4</v>
      </c>
      <c r="V1231" s="208">
        <v>38387.46</v>
      </c>
      <c r="W1231" s="179">
        <v>3.0</v>
      </c>
      <c r="X1231" s="179">
        <v>1.0</v>
      </c>
    </row>
    <row r="1232" ht="15.75" customHeight="1">
      <c r="A1232" s="200">
        <v>45772.0</v>
      </c>
      <c r="B1232" s="10" t="str">
        <f t="array" ref="B1232">_xlfn.XLOOKUP(D1232,'Referanc '!$A:$A,'Referanc '!$B:$B)</f>
        <v>Standing Table  - E3</v>
      </c>
      <c r="C1232" s="179" t="s">
        <v>400</v>
      </c>
      <c r="D1232" s="179" t="s">
        <v>400</v>
      </c>
      <c r="E1232" s="179" t="s">
        <v>1130</v>
      </c>
      <c r="G1232" s="179">
        <v>324.0</v>
      </c>
      <c r="H1232" s="179">
        <v>12.0</v>
      </c>
      <c r="I1232" s="195">
        <v>0.005</v>
      </c>
      <c r="J1232" s="195">
        <v>0.0044</v>
      </c>
      <c r="K1232" s="179">
        <v>454.0</v>
      </c>
      <c r="L1232" s="179">
        <v>16.0</v>
      </c>
      <c r="M1232" s="195">
        <v>0.0051</v>
      </c>
      <c r="N1232" s="195">
        <v>0.0043</v>
      </c>
      <c r="O1232" s="195">
        <v>0.8813</v>
      </c>
      <c r="P1232" s="195">
        <v>0.8333</v>
      </c>
      <c r="Q1232" s="179">
        <v>3.0</v>
      </c>
      <c r="R1232" s="179">
        <v>0.0</v>
      </c>
      <c r="S1232" s="195">
        <v>0.0093</v>
      </c>
      <c r="T1232" s="195">
        <v>0.0</v>
      </c>
      <c r="U1232" s="179">
        <v>121162.4</v>
      </c>
      <c r="V1232" s="208">
        <v>0.0</v>
      </c>
      <c r="W1232" s="179">
        <v>3.0</v>
      </c>
      <c r="X1232" s="179">
        <v>0.0</v>
      </c>
    </row>
    <row r="1233" ht="15.75" customHeight="1">
      <c r="A1233" s="200">
        <v>45772.0</v>
      </c>
      <c r="B1233" s="10" t="str">
        <f t="array" ref="B1233">_xlfn.XLOOKUP(D1233,'Referanc '!$A:$A,'Referanc '!$B:$B)</f>
        <v>TABLE TOP</v>
      </c>
      <c r="C1233" s="179" t="s">
        <v>425</v>
      </c>
      <c r="D1233" s="179" t="s">
        <v>425</v>
      </c>
      <c r="E1233" s="179" t="s">
        <v>1355</v>
      </c>
      <c r="G1233" s="179">
        <v>190.0</v>
      </c>
      <c r="H1233" s="179">
        <v>10.0</v>
      </c>
      <c r="I1233" s="195">
        <v>0.0029</v>
      </c>
      <c r="J1233" s="195">
        <v>0.0036</v>
      </c>
      <c r="K1233" s="179">
        <v>271.0</v>
      </c>
      <c r="L1233" s="179">
        <v>13.0</v>
      </c>
      <c r="M1233" s="195">
        <v>0.0031</v>
      </c>
      <c r="N1233" s="195">
        <v>0.0035</v>
      </c>
      <c r="O1233" s="195">
        <v>0.8455</v>
      </c>
      <c r="P1233" s="195">
        <v>1.0</v>
      </c>
      <c r="Q1233" s="179">
        <v>3.0</v>
      </c>
      <c r="R1233" s="179">
        <v>0.0</v>
      </c>
      <c r="S1233" s="195">
        <v>0.0158</v>
      </c>
      <c r="T1233" s="195">
        <v>0.0</v>
      </c>
      <c r="U1233" s="179">
        <v>18600.0</v>
      </c>
      <c r="V1233" s="208">
        <v>0.0</v>
      </c>
      <c r="W1233" s="179">
        <v>3.0</v>
      </c>
      <c r="X1233" s="179">
        <v>0.0</v>
      </c>
    </row>
    <row r="1234" ht="15.75" customHeight="1">
      <c r="A1234" s="200">
        <v>45772.0</v>
      </c>
      <c r="B1234" s="10" t="str">
        <f t="array" ref="B1234">_xlfn.XLOOKUP(D1234,'Referanc '!$A:$A,'Referanc '!$B:$B)</f>
        <v>Standing Table  - M14</v>
      </c>
      <c r="C1234" s="179" t="s">
        <v>437</v>
      </c>
      <c r="D1234" s="179" t="s">
        <v>437</v>
      </c>
      <c r="E1234" s="179" t="s">
        <v>726</v>
      </c>
      <c r="G1234" s="207">
        <v>1014.0</v>
      </c>
      <c r="H1234" s="179">
        <v>37.0</v>
      </c>
      <c r="I1234" s="195">
        <v>0.0155</v>
      </c>
      <c r="J1234" s="195">
        <v>0.0135</v>
      </c>
      <c r="K1234" s="207">
        <v>1269.0</v>
      </c>
      <c r="L1234" s="179">
        <v>53.0</v>
      </c>
      <c r="M1234" s="195">
        <v>0.0144</v>
      </c>
      <c r="N1234" s="195">
        <v>0.0143</v>
      </c>
      <c r="O1234" s="195">
        <v>0.8218</v>
      </c>
      <c r="P1234" s="195">
        <v>0.825</v>
      </c>
      <c r="Q1234" s="179">
        <v>3.0</v>
      </c>
      <c r="R1234" s="179">
        <v>1.0</v>
      </c>
      <c r="S1234" s="195">
        <v>0.003</v>
      </c>
      <c r="T1234" s="195">
        <v>0.027</v>
      </c>
      <c r="U1234" s="179">
        <v>46901.18</v>
      </c>
      <c r="V1234" s="208">
        <v>15625.59</v>
      </c>
      <c r="W1234" s="179">
        <v>3.0</v>
      </c>
      <c r="X1234" s="179">
        <v>1.0</v>
      </c>
    </row>
    <row r="1235" ht="15.75" customHeight="1">
      <c r="A1235" s="200">
        <v>45772.0</v>
      </c>
      <c r="B1235" s="10" t="str">
        <f t="array" ref="B1235">_xlfn.XLOOKUP(D1235,'Referanc '!$A:$A,'Referanc '!$B:$B)</f>
        <v>TABLE TOP</v>
      </c>
      <c r="C1235" s="179" t="s">
        <v>357</v>
      </c>
      <c r="D1235" s="179" t="s">
        <v>357</v>
      </c>
      <c r="E1235" s="179" t="s">
        <v>535</v>
      </c>
      <c r="G1235" s="179">
        <v>263.0</v>
      </c>
      <c r="H1235" s="179">
        <v>16.0</v>
      </c>
      <c r="I1235" s="195">
        <v>0.004</v>
      </c>
      <c r="J1235" s="195">
        <v>0.0058</v>
      </c>
      <c r="K1235" s="179">
        <v>310.0</v>
      </c>
      <c r="L1235" s="179">
        <v>18.0</v>
      </c>
      <c r="M1235" s="195">
        <v>0.0035</v>
      </c>
      <c r="N1235" s="195">
        <v>0.0048</v>
      </c>
      <c r="O1235" s="195">
        <v>0.8278</v>
      </c>
      <c r="P1235" s="195">
        <v>0.8235</v>
      </c>
      <c r="Q1235" s="179">
        <v>2.0</v>
      </c>
      <c r="R1235" s="179">
        <v>0.0</v>
      </c>
      <c r="S1235" s="195">
        <v>0.0076</v>
      </c>
      <c r="T1235" s="195">
        <v>0.0</v>
      </c>
      <c r="U1235" s="179">
        <v>16910.0</v>
      </c>
      <c r="V1235" s="208">
        <v>0.0</v>
      </c>
      <c r="W1235" s="179">
        <v>2.0</v>
      </c>
      <c r="X1235" s="179">
        <v>0.0</v>
      </c>
    </row>
    <row r="1236" ht="15.75" customHeight="1">
      <c r="A1236" s="200">
        <v>45772.0</v>
      </c>
      <c r="B1236" s="10" t="str">
        <f t="array" ref="B1236">_xlfn.XLOOKUP(D1236,'Referanc '!$A:$A,'Referanc '!$B:$B)</f>
        <v>TABLE TOP</v>
      </c>
      <c r="C1236" s="179" t="s">
        <v>324</v>
      </c>
      <c r="D1236" s="179" t="s">
        <v>324</v>
      </c>
      <c r="E1236" s="179" t="s">
        <v>533</v>
      </c>
      <c r="G1236" s="179">
        <v>451.0</v>
      </c>
      <c r="H1236" s="179">
        <v>41.0</v>
      </c>
      <c r="I1236" s="195">
        <v>0.0069</v>
      </c>
      <c r="J1236" s="195">
        <v>0.0149</v>
      </c>
      <c r="K1236" s="179">
        <v>589.0</v>
      </c>
      <c r="L1236" s="179">
        <v>53.0</v>
      </c>
      <c r="M1236" s="195">
        <v>0.0067</v>
      </c>
      <c r="N1236" s="195">
        <v>0.0143</v>
      </c>
      <c r="O1236" s="195">
        <v>0.9205</v>
      </c>
      <c r="P1236" s="195">
        <v>0.825</v>
      </c>
      <c r="Q1236" s="179">
        <v>2.0</v>
      </c>
      <c r="R1236" s="179">
        <v>0.0</v>
      </c>
      <c r="S1236" s="195">
        <v>0.0044</v>
      </c>
      <c r="T1236" s="195">
        <v>0.0</v>
      </c>
      <c r="U1236" s="179">
        <v>11210.0</v>
      </c>
      <c r="V1236" s="208">
        <v>0.0</v>
      </c>
      <c r="W1236" s="179">
        <v>2.0</v>
      </c>
      <c r="X1236" s="179">
        <v>0.0</v>
      </c>
    </row>
    <row r="1237" ht="15.75" customHeight="1">
      <c r="A1237" s="200">
        <v>45772.0</v>
      </c>
      <c r="B1237" s="10" t="str">
        <f t="array" ref="B1237">_xlfn.XLOOKUP(D1237,'Referanc '!$A:$A,'Referanc '!$B:$B)</f>
        <v>TABLE TOP</v>
      </c>
      <c r="C1237" s="179" t="s">
        <v>350</v>
      </c>
      <c r="D1237" s="179" t="s">
        <v>350</v>
      </c>
      <c r="E1237" s="179" t="s">
        <v>531</v>
      </c>
      <c r="G1237" s="179">
        <v>371.0</v>
      </c>
      <c r="H1237" s="179">
        <v>26.0</v>
      </c>
      <c r="I1237" s="195">
        <v>0.0057</v>
      </c>
      <c r="J1237" s="195">
        <v>0.0095</v>
      </c>
      <c r="K1237" s="179">
        <v>451.0</v>
      </c>
      <c r="L1237" s="179">
        <v>32.0</v>
      </c>
      <c r="M1237" s="195">
        <v>0.0051</v>
      </c>
      <c r="N1237" s="195">
        <v>0.0086</v>
      </c>
      <c r="O1237" s="195">
        <v>0.879</v>
      </c>
      <c r="P1237" s="195">
        <v>0.875</v>
      </c>
      <c r="Q1237" s="179">
        <v>2.0</v>
      </c>
      <c r="R1237" s="179">
        <v>0.0</v>
      </c>
      <c r="S1237" s="195">
        <v>0.0054</v>
      </c>
      <c r="T1237" s="195">
        <v>0.0</v>
      </c>
      <c r="U1237" s="179">
        <v>11210.0</v>
      </c>
      <c r="V1237" s="208">
        <v>0.0</v>
      </c>
      <c r="W1237" s="179">
        <v>2.0</v>
      </c>
      <c r="X1237" s="179">
        <v>0.0</v>
      </c>
    </row>
    <row r="1238" ht="15.75" customHeight="1">
      <c r="A1238" s="200">
        <v>45772.0</v>
      </c>
      <c r="B1238" s="10" t="str">
        <f t="array" ref="B1238">_xlfn.XLOOKUP(D1238,'Referanc '!$A:$A,'Referanc '!$B:$B)</f>
        <v>Footrests</v>
      </c>
      <c r="C1238" s="179" t="s">
        <v>339</v>
      </c>
      <c r="D1238" s="179" t="s">
        <v>339</v>
      </c>
      <c r="E1238" s="179" t="s">
        <v>547</v>
      </c>
      <c r="G1238" s="179">
        <v>202.0</v>
      </c>
      <c r="H1238" s="179">
        <v>10.0</v>
      </c>
      <c r="I1238" s="195">
        <v>0.0031</v>
      </c>
      <c r="J1238" s="195">
        <v>0.0036</v>
      </c>
      <c r="K1238" s="179">
        <v>236.0</v>
      </c>
      <c r="L1238" s="179">
        <v>10.0</v>
      </c>
      <c r="M1238" s="195">
        <v>0.0027</v>
      </c>
      <c r="N1238" s="195">
        <v>0.0027</v>
      </c>
      <c r="O1238" s="195">
        <v>1.0</v>
      </c>
      <c r="P1238" s="195">
        <v>1.0</v>
      </c>
      <c r="Q1238" s="179">
        <v>2.0</v>
      </c>
      <c r="R1238" s="179">
        <v>0.0</v>
      </c>
      <c r="S1238" s="195">
        <v>0.0099</v>
      </c>
      <c r="T1238" s="195">
        <v>0.0</v>
      </c>
      <c r="U1238" s="179">
        <v>5598.0</v>
      </c>
      <c r="V1238" s="208">
        <v>0.0</v>
      </c>
      <c r="W1238" s="179">
        <v>2.0</v>
      </c>
      <c r="X1238" s="179">
        <v>0.0</v>
      </c>
    </row>
    <row r="1239" ht="15.75" customHeight="1">
      <c r="A1239" s="200">
        <v>45772.0</v>
      </c>
      <c r="B1239" s="10" t="str">
        <f t="array" ref="B1239">_xlfn.XLOOKUP(D1239,'Referanc '!$A:$A,'Referanc '!$B:$B)</f>
        <v>Standing Table  - SM3</v>
      </c>
      <c r="C1239" s="179" t="s">
        <v>301</v>
      </c>
      <c r="D1239" s="179" t="s">
        <v>301</v>
      </c>
      <c r="E1239" s="179" t="s">
        <v>1374</v>
      </c>
      <c r="G1239" s="207">
        <v>1255.0</v>
      </c>
      <c r="H1239" s="179">
        <v>38.0</v>
      </c>
      <c r="I1239" s="195">
        <v>0.0192</v>
      </c>
      <c r="J1239" s="195">
        <v>0.0138</v>
      </c>
      <c r="K1239" s="207">
        <v>1613.0</v>
      </c>
      <c r="L1239" s="179">
        <v>50.0</v>
      </c>
      <c r="M1239" s="195">
        <v>0.0183</v>
      </c>
      <c r="N1239" s="195">
        <v>0.0135</v>
      </c>
      <c r="O1239" s="195">
        <v>0.8681</v>
      </c>
      <c r="P1239" s="195">
        <v>0.9259</v>
      </c>
      <c r="Q1239" s="179">
        <v>2.0</v>
      </c>
      <c r="R1239" s="179">
        <v>1.0</v>
      </c>
      <c r="S1239" s="195">
        <v>0.0016</v>
      </c>
      <c r="T1239" s="195">
        <v>0.0263</v>
      </c>
      <c r="U1239" s="179">
        <v>49020.0</v>
      </c>
      <c r="V1239" s="208">
        <v>24510.0</v>
      </c>
      <c r="W1239" s="179">
        <v>2.0</v>
      </c>
      <c r="X1239" s="179">
        <v>1.0</v>
      </c>
    </row>
    <row r="1240" ht="15.75" customHeight="1">
      <c r="A1240" s="200">
        <v>45772.0</v>
      </c>
      <c r="B1240" s="10" t="str">
        <f t="array" ref="B1240">_xlfn.XLOOKUP(D1240,'Referanc '!$A:$A,'Referanc '!$B:$B)</f>
        <v>Standing Table  - E3</v>
      </c>
      <c r="C1240" s="179" t="s">
        <v>364</v>
      </c>
      <c r="D1240" s="179" t="s">
        <v>364</v>
      </c>
      <c r="E1240" s="179" t="s">
        <v>1130</v>
      </c>
      <c r="G1240" s="179">
        <v>791.0</v>
      </c>
      <c r="H1240" s="179">
        <v>44.0</v>
      </c>
      <c r="I1240" s="195">
        <v>0.0121</v>
      </c>
      <c r="J1240" s="195">
        <v>0.016</v>
      </c>
      <c r="K1240" s="207">
        <v>1011.0</v>
      </c>
      <c r="L1240" s="179">
        <v>72.0</v>
      </c>
      <c r="M1240" s="195">
        <v>0.0115</v>
      </c>
      <c r="N1240" s="195">
        <v>0.0194</v>
      </c>
      <c r="O1240" s="195">
        <v>0.8222</v>
      </c>
      <c r="P1240" s="195">
        <v>0.9286</v>
      </c>
      <c r="Q1240" s="179">
        <v>2.0</v>
      </c>
      <c r="R1240" s="179">
        <v>1.0</v>
      </c>
      <c r="S1240" s="195">
        <v>0.0025</v>
      </c>
      <c r="T1240" s="195">
        <v>0.0227</v>
      </c>
      <c r="U1240" s="179">
        <v>80774.92</v>
      </c>
      <c r="V1240" s="208">
        <v>40387.46</v>
      </c>
      <c r="W1240" s="179">
        <v>2.0</v>
      </c>
      <c r="X1240" s="179">
        <v>1.0</v>
      </c>
    </row>
    <row r="1241" ht="15.75" customHeight="1">
      <c r="A1241" s="200">
        <v>45772.0</v>
      </c>
      <c r="B1241" s="10" t="str">
        <f t="array" ref="B1241">_xlfn.XLOOKUP(D1241,'Referanc '!$A:$A,'Referanc '!$B:$B)</f>
        <v>Standing Table - All Frames</v>
      </c>
      <c r="C1241" s="179" t="s">
        <v>306</v>
      </c>
      <c r="D1241" s="179" t="s">
        <v>306</v>
      </c>
      <c r="E1241" s="179" t="s">
        <v>1140</v>
      </c>
      <c r="G1241" s="179">
        <v>695.0</v>
      </c>
      <c r="H1241" s="179">
        <v>26.0</v>
      </c>
      <c r="I1241" s="195">
        <v>0.0106</v>
      </c>
      <c r="J1241" s="195">
        <v>0.0095</v>
      </c>
      <c r="K1241" s="179">
        <v>903.0</v>
      </c>
      <c r="L1241" s="179">
        <v>34.0</v>
      </c>
      <c r="M1241" s="195">
        <v>0.0102</v>
      </c>
      <c r="N1241" s="195">
        <v>0.0091</v>
      </c>
      <c r="O1241" s="195">
        <v>0.8685</v>
      </c>
      <c r="P1241" s="195">
        <v>0.9231</v>
      </c>
      <c r="Q1241" s="179">
        <v>2.0</v>
      </c>
      <c r="R1241" s="179">
        <v>0.0</v>
      </c>
      <c r="S1241" s="195">
        <v>0.0029</v>
      </c>
      <c r="T1241" s="195">
        <v>0.0</v>
      </c>
      <c r="U1241" s="179">
        <v>58590.16</v>
      </c>
      <c r="V1241" s="208">
        <v>0.0</v>
      </c>
      <c r="W1241" s="179">
        <v>2.0</v>
      </c>
      <c r="X1241" s="179">
        <v>0.0</v>
      </c>
    </row>
    <row r="1242" ht="15.75" customHeight="1">
      <c r="A1242" s="200">
        <v>45772.0</v>
      </c>
      <c r="B1242" s="10" t="str">
        <f t="array" ref="B1242">_xlfn.XLOOKUP(D1242,'Referanc '!$A:$A,'Referanc '!$B:$B)</f>
        <v>Standing Table - All Frames</v>
      </c>
      <c r="C1242" s="179" t="s">
        <v>343</v>
      </c>
      <c r="D1242" s="179" t="s">
        <v>343</v>
      </c>
      <c r="E1242" s="179" t="s">
        <v>1153</v>
      </c>
      <c r="G1242" s="179">
        <v>373.0</v>
      </c>
      <c r="H1242" s="179">
        <v>34.0</v>
      </c>
      <c r="I1242" s="195">
        <v>0.0057</v>
      </c>
      <c r="J1242" s="195">
        <v>0.0124</v>
      </c>
      <c r="K1242" s="179">
        <v>489.0</v>
      </c>
      <c r="L1242" s="179">
        <v>58.0</v>
      </c>
      <c r="M1242" s="195">
        <v>0.0055</v>
      </c>
      <c r="N1242" s="195">
        <v>0.0156</v>
      </c>
      <c r="O1242" s="195">
        <v>0.8521</v>
      </c>
      <c r="P1242" s="195">
        <v>0.9412</v>
      </c>
      <c r="Q1242" s="179">
        <v>2.0</v>
      </c>
      <c r="R1242" s="179">
        <v>1.0</v>
      </c>
      <c r="S1242" s="195">
        <v>0.0054</v>
      </c>
      <c r="T1242" s="195">
        <v>0.0294</v>
      </c>
      <c r="U1242" s="179">
        <v>67674.92</v>
      </c>
      <c r="V1242" s="208">
        <v>33837.46</v>
      </c>
      <c r="W1242" s="179">
        <v>2.0</v>
      </c>
      <c r="X1242" s="179">
        <v>1.0</v>
      </c>
    </row>
    <row r="1243" ht="15.75" customHeight="1">
      <c r="A1243" s="200">
        <v>45772.0</v>
      </c>
      <c r="B1243" s="10" t="str">
        <f t="array" ref="B1243">_xlfn.XLOOKUP(D1243,'Referanc '!$A:$A,'Referanc '!$B:$B)</f>
        <v>Standing Table  - E3</v>
      </c>
      <c r="C1243" s="179" t="s">
        <v>344</v>
      </c>
      <c r="D1243" s="179" t="s">
        <v>344</v>
      </c>
      <c r="E1243" s="179" t="s">
        <v>1351</v>
      </c>
      <c r="G1243" s="179">
        <v>290.0</v>
      </c>
      <c r="H1243" s="179">
        <v>23.0</v>
      </c>
      <c r="I1243" s="195">
        <v>0.0044</v>
      </c>
      <c r="J1243" s="195">
        <v>0.0084</v>
      </c>
      <c r="K1243" s="179">
        <v>372.0</v>
      </c>
      <c r="L1243" s="179">
        <v>32.0</v>
      </c>
      <c r="M1243" s="195">
        <v>0.0042</v>
      </c>
      <c r="N1243" s="195">
        <v>0.0086</v>
      </c>
      <c r="O1243" s="195">
        <v>0.8984</v>
      </c>
      <c r="P1243" s="195">
        <v>1.0</v>
      </c>
      <c r="Q1243" s="179">
        <v>2.0</v>
      </c>
      <c r="R1243" s="179">
        <v>0.0</v>
      </c>
      <c r="S1243" s="195">
        <v>0.0069</v>
      </c>
      <c r="T1243" s="195">
        <v>0.0</v>
      </c>
      <c r="U1243" s="179">
        <v>76774.92</v>
      </c>
      <c r="V1243" s="208">
        <v>0.0</v>
      </c>
      <c r="W1243" s="179">
        <v>2.0</v>
      </c>
      <c r="X1243" s="179">
        <v>0.0</v>
      </c>
    </row>
    <row r="1244" ht="15.75" customHeight="1">
      <c r="A1244" s="200">
        <v>45772.0</v>
      </c>
      <c r="B1244" s="10" t="str">
        <f t="array" ref="B1244">_xlfn.XLOOKUP(D1244,'Referanc '!$A:$A,'Referanc '!$B:$B)</f>
        <v>Standing Table  - E3</v>
      </c>
      <c r="C1244" s="179" t="s">
        <v>376</v>
      </c>
      <c r="D1244" s="179" t="s">
        <v>376</v>
      </c>
      <c r="E1244" s="179" t="s">
        <v>1157</v>
      </c>
      <c r="G1244" s="179">
        <v>108.0</v>
      </c>
      <c r="H1244" s="179">
        <v>7.0</v>
      </c>
      <c r="I1244" s="195">
        <v>0.0017</v>
      </c>
      <c r="J1244" s="195">
        <v>0.0025</v>
      </c>
      <c r="K1244" s="179">
        <v>127.0</v>
      </c>
      <c r="L1244" s="179">
        <v>8.0</v>
      </c>
      <c r="M1244" s="195">
        <v>0.0014</v>
      </c>
      <c r="N1244" s="195">
        <v>0.0022</v>
      </c>
      <c r="O1244" s="195">
        <v>0.8716</v>
      </c>
      <c r="P1244" s="195">
        <v>0.8333</v>
      </c>
      <c r="Q1244" s="179">
        <v>2.0</v>
      </c>
      <c r="R1244" s="179">
        <v>0.0</v>
      </c>
      <c r="S1244" s="195">
        <v>0.0185</v>
      </c>
      <c r="T1244" s="195">
        <v>0.0</v>
      </c>
      <c r="U1244" s="179">
        <v>67800.0</v>
      </c>
      <c r="V1244" s="208">
        <v>0.0</v>
      </c>
      <c r="W1244" s="179">
        <v>2.0</v>
      </c>
      <c r="X1244" s="179">
        <v>0.0</v>
      </c>
    </row>
    <row r="1245" ht="15.75" customHeight="1">
      <c r="A1245" s="200">
        <v>45772.0</v>
      </c>
      <c r="B1245" s="10" t="str">
        <f t="array" ref="B1245">_xlfn.XLOOKUP(D1245,'Referanc '!$A:$A,'Referanc '!$B:$B)</f>
        <v>Standing Table  - SM3</v>
      </c>
      <c r="C1245" s="179" t="s">
        <v>401</v>
      </c>
      <c r="D1245" s="179" t="s">
        <v>401</v>
      </c>
      <c r="E1245" s="179" t="s">
        <v>1362</v>
      </c>
      <c r="G1245" s="179">
        <v>109.0</v>
      </c>
      <c r="H1245" s="179">
        <v>10.0</v>
      </c>
      <c r="I1245" s="195">
        <v>0.0017</v>
      </c>
      <c r="J1245" s="195">
        <v>0.0036</v>
      </c>
      <c r="K1245" s="179">
        <v>128.0</v>
      </c>
      <c r="L1245" s="179">
        <v>16.0</v>
      </c>
      <c r="M1245" s="195">
        <v>0.0015</v>
      </c>
      <c r="N1245" s="195">
        <v>0.0043</v>
      </c>
      <c r="O1245" s="195">
        <v>0.8208</v>
      </c>
      <c r="P1245" s="195">
        <v>0.8889</v>
      </c>
      <c r="Q1245" s="179">
        <v>2.0</v>
      </c>
      <c r="R1245" s="179">
        <v>1.0</v>
      </c>
      <c r="S1245" s="195">
        <v>0.0183</v>
      </c>
      <c r="T1245" s="195">
        <v>0.1</v>
      </c>
      <c r="U1245" s="179">
        <v>41020.0</v>
      </c>
      <c r="V1245" s="208">
        <v>20510.0</v>
      </c>
      <c r="W1245" s="179">
        <v>2.0</v>
      </c>
      <c r="X1245" s="179">
        <v>1.0</v>
      </c>
    </row>
    <row r="1246" ht="15.75" customHeight="1">
      <c r="A1246" s="200">
        <v>45772.0</v>
      </c>
      <c r="B1246" s="10" t="str">
        <f t="array" ref="B1246">_xlfn.XLOOKUP(D1246,'Referanc '!$A:$A,'Referanc '!$B:$B)</f>
        <v>Standing Table  - SM3</v>
      </c>
      <c r="C1246" s="179" t="s">
        <v>383</v>
      </c>
      <c r="D1246" s="179" t="s">
        <v>383</v>
      </c>
      <c r="E1246" s="179" t="s">
        <v>1206</v>
      </c>
      <c r="G1246" s="179">
        <v>421.0</v>
      </c>
      <c r="H1246" s="179">
        <v>18.0</v>
      </c>
      <c r="I1246" s="195">
        <v>0.0064</v>
      </c>
      <c r="J1246" s="195">
        <v>0.0066</v>
      </c>
      <c r="K1246" s="179">
        <v>540.0</v>
      </c>
      <c r="L1246" s="179">
        <v>22.0</v>
      </c>
      <c r="M1246" s="195">
        <v>0.0061</v>
      </c>
      <c r="N1246" s="195">
        <v>0.0059</v>
      </c>
      <c r="O1246" s="195">
        <v>0.8678</v>
      </c>
      <c r="P1246" s="195">
        <v>0.8125</v>
      </c>
      <c r="Q1246" s="179">
        <v>2.0</v>
      </c>
      <c r="R1246" s="179">
        <v>0.0</v>
      </c>
      <c r="S1246" s="195">
        <v>0.0048</v>
      </c>
      <c r="T1246" s="195">
        <v>0.0</v>
      </c>
      <c r="U1246" s="179">
        <v>46943.72</v>
      </c>
      <c r="V1246" s="208">
        <v>0.0</v>
      </c>
      <c r="W1246" s="179">
        <v>2.0</v>
      </c>
      <c r="X1246" s="179">
        <v>0.0</v>
      </c>
    </row>
    <row r="1247" ht="15.75" customHeight="1">
      <c r="A1247" s="200">
        <v>45772.0</v>
      </c>
      <c r="B1247" s="10" t="str">
        <f t="array" ref="B1247">_xlfn.XLOOKUP(D1247,'Referanc '!$A:$A,'Referanc '!$B:$B)</f>
        <v>Standing Table  - E1A</v>
      </c>
      <c r="C1247" s="179" t="s">
        <v>354</v>
      </c>
      <c r="D1247" s="179" t="s">
        <v>354</v>
      </c>
      <c r="E1247" s="179" t="s">
        <v>1325</v>
      </c>
      <c r="G1247" s="179">
        <v>256.0</v>
      </c>
      <c r="H1247" s="179">
        <v>13.0</v>
      </c>
      <c r="I1247" s="195">
        <v>0.0039</v>
      </c>
      <c r="J1247" s="195">
        <v>0.0047</v>
      </c>
      <c r="K1247" s="179">
        <v>341.0</v>
      </c>
      <c r="L1247" s="179">
        <v>15.0</v>
      </c>
      <c r="M1247" s="195">
        <v>0.0039</v>
      </c>
      <c r="N1247" s="195">
        <v>0.004</v>
      </c>
      <c r="O1247" s="195">
        <v>0.8399</v>
      </c>
      <c r="P1247" s="195">
        <v>0.8333</v>
      </c>
      <c r="Q1247" s="179">
        <v>2.0</v>
      </c>
      <c r="R1247" s="179">
        <v>1.0</v>
      </c>
      <c r="S1247" s="195">
        <v>0.0078</v>
      </c>
      <c r="T1247" s="195">
        <v>0.0769</v>
      </c>
      <c r="U1247" s="179">
        <v>63842.03</v>
      </c>
      <c r="V1247" s="208">
        <v>31892.03</v>
      </c>
      <c r="W1247" s="179">
        <v>2.0</v>
      </c>
      <c r="X1247" s="179">
        <v>1.0</v>
      </c>
    </row>
    <row r="1248" ht="15.75" customHeight="1">
      <c r="A1248" s="200">
        <v>45772.0</v>
      </c>
      <c r="B1248" s="10" t="str">
        <f t="array" ref="B1248">_xlfn.XLOOKUP(D1248,'Referanc '!$A:$A,'Referanc '!$B:$B)</f>
        <v>Standing Table  - E1A</v>
      </c>
      <c r="C1248" s="179" t="s">
        <v>359</v>
      </c>
      <c r="D1248" s="179" t="s">
        <v>359</v>
      </c>
      <c r="E1248" s="179" t="s">
        <v>1366</v>
      </c>
      <c r="G1248" s="179">
        <v>145.0</v>
      </c>
      <c r="H1248" s="179">
        <v>5.0</v>
      </c>
      <c r="I1248" s="195">
        <v>0.0022</v>
      </c>
      <c r="J1248" s="195">
        <v>0.0018</v>
      </c>
      <c r="K1248" s="179">
        <v>190.0</v>
      </c>
      <c r="L1248" s="179">
        <v>6.0</v>
      </c>
      <c r="M1248" s="195">
        <v>0.0022</v>
      </c>
      <c r="N1248" s="195">
        <v>0.0016</v>
      </c>
      <c r="O1248" s="195">
        <v>0.8684</v>
      </c>
      <c r="P1248" s="195">
        <v>0.6667</v>
      </c>
      <c r="Q1248" s="179">
        <v>2.0</v>
      </c>
      <c r="R1248" s="179">
        <v>0.0</v>
      </c>
      <c r="S1248" s="195">
        <v>0.0138</v>
      </c>
      <c r="T1248" s="195">
        <v>0.0</v>
      </c>
      <c r="U1248" s="179">
        <v>69784.06</v>
      </c>
      <c r="V1248" s="208">
        <v>0.0</v>
      </c>
      <c r="W1248" s="179">
        <v>2.0</v>
      </c>
      <c r="X1248" s="179">
        <v>0.0</v>
      </c>
    </row>
    <row r="1249" ht="15.75" customHeight="1">
      <c r="A1249" s="200">
        <v>45772.0</v>
      </c>
      <c r="B1249" s="10" t="str">
        <f t="array" ref="B1249">_xlfn.XLOOKUP(D1249,'Referanc '!$A:$A,'Referanc '!$B:$B)</f>
        <v/>
      </c>
      <c r="C1249" s="179" t="s">
        <v>446</v>
      </c>
      <c r="D1249" s="179" t="s">
        <v>446</v>
      </c>
      <c r="E1249" s="179" t="s">
        <v>735</v>
      </c>
      <c r="G1249" s="179">
        <v>283.0</v>
      </c>
      <c r="H1249" s="179">
        <v>21.0</v>
      </c>
      <c r="I1249" s="195">
        <v>0.0043</v>
      </c>
      <c r="J1249" s="195">
        <v>0.0076</v>
      </c>
      <c r="K1249" s="179">
        <v>325.0</v>
      </c>
      <c r="L1249" s="179">
        <v>24.0</v>
      </c>
      <c r="M1249" s="195">
        <v>0.0037</v>
      </c>
      <c r="N1249" s="195">
        <v>0.0065</v>
      </c>
      <c r="O1249" s="195">
        <v>0.8249</v>
      </c>
      <c r="P1249" s="195">
        <v>0.9333</v>
      </c>
      <c r="Q1249" s="179">
        <v>2.0</v>
      </c>
      <c r="R1249" s="179">
        <v>0.0</v>
      </c>
      <c r="S1249" s="195">
        <v>0.0071</v>
      </c>
      <c r="T1249" s="195">
        <v>0.0</v>
      </c>
      <c r="U1249" s="179">
        <v>51500.0</v>
      </c>
      <c r="V1249" s="208">
        <v>0.0</v>
      </c>
      <c r="W1249" s="179">
        <v>2.0</v>
      </c>
      <c r="X1249" s="179">
        <v>0.0</v>
      </c>
    </row>
    <row r="1250" ht="15.75" customHeight="1">
      <c r="A1250" s="200">
        <v>45772.0</v>
      </c>
      <c r="B1250" s="10" t="str">
        <f t="array" ref="B1250">_xlfn.XLOOKUP(D1250,'Referanc '!$A:$A,'Referanc '!$B:$B)</f>
        <v>Standing Table  - E1A</v>
      </c>
      <c r="C1250" s="179" t="s">
        <v>382</v>
      </c>
      <c r="D1250" s="179" t="s">
        <v>382</v>
      </c>
      <c r="E1250" s="179" t="s">
        <v>1300</v>
      </c>
      <c r="G1250" s="179">
        <v>529.0</v>
      </c>
      <c r="H1250" s="179">
        <v>10.0</v>
      </c>
      <c r="I1250" s="195">
        <v>0.0081</v>
      </c>
      <c r="J1250" s="195">
        <v>0.0036</v>
      </c>
      <c r="K1250" s="179">
        <v>639.0</v>
      </c>
      <c r="L1250" s="179">
        <v>13.0</v>
      </c>
      <c r="M1250" s="195">
        <v>0.0072</v>
      </c>
      <c r="N1250" s="195">
        <v>0.0035</v>
      </c>
      <c r="O1250" s="195">
        <v>0.8431</v>
      </c>
      <c r="P1250" s="195">
        <v>1.0</v>
      </c>
      <c r="Q1250" s="179">
        <v>2.0</v>
      </c>
      <c r="R1250" s="179">
        <v>0.0</v>
      </c>
      <c r="S1250" s="195">
        <v>0.0038</v>
      </c>
      <c r="T1250" s="195">
        <v>0.0</v>
      </c>
      <c r="U1250" s="179">
        <v>63784.06</v>
      </c>
      <c r="V1250" s="208">
        <v>0.0</v>
      </c>
      <c r="W1250" s="179">
        <v>2.0</v>
      </c>
      <c r="X1250" s="179">
        <v>0.0</v>
      </c>
    </row>
    <row r="1251" ht="15.75" customHeight="1">
      <c r="A1251" s="200">
        <v>45772.0</v>
      </c>
      <c r="B1251" s="10" t="str">
        <f t="array" ref="B1251">_xlfn.XLOOKUP(D1251,'Referanc '!$A:$A,'Referanc '!$B:$B)</f>
        <v>Standing Table  - E4</v>
      </c>
      <c r="C1251" s="179" t="s">
        <v>388</v>
      </c>
      <c r="D1251" s="179" t="s">
        <v>388</v>
      </c>
      <c r="E1251" s="179" t="s">
        <v>1278</v>
      </c>
      <c r="G1251" s="179">
        <v>285.0</v>
      </c>
      <c r="H1251" s="179">
        <v>17.0</v>
      </c>
      <c r="I1251" s="195">
        <v>0.0044</v>
      </c>
      <c r="J1251" s="195">
        <v>0.0062</v>
      </c>
      <c r="K1251" s="179">
        <v>356.0</v>
      </c>
      <c r="L1251" s="179">
        <v>23.0</v>
      </c>
      <c r="M1251" s="195">
        <v>0.004</v>
      </c>
      <c r="N1251" s="195">
        <v>0.0062</v>
      </c>
      <c r="O1251" s="195">
        <v>0.9052</v>
      </c>
      <c r="P1251" s="195">
        <v>0.7143</v>
      </c>
      <c r="Q1251" s="179">
        <v>2.0</v>
      </c>
      <c r="R1251" s="179">
        <v>0.0</v>
      </c>
      <c r="S1251" s="195">
        <v>0.007</v>
      </c>
      <c r="T1251" s="195">
        <v>0.0</v>
      </c>
      <c r="U1251" s="179">
        <v>54928.48</v>
      </c>
      <c r="V1251" s="208">
        <v>0.0</v>
      </c>
      <c r="W1251" s="179">
        <v>2.0</v>
      </c>
      <c r="X1251" s="179">
        <v>0.0</v>
      </c>
    </row>
    <row r="1252" ht="15.75" customHeight="1">
      <c r="A1252" s="200">
        <v>45772.0</v>
      </c>
      <c r="B1252" s="10" t="str">
        <f t="array" ref="B1252">_xlfn.XLOOKUP(D1252,'Referanc '!$A:$A,'Referanc '!$B:$B)</f>
        <v>Standing Table  - E4</v>
      </c>
      <c r="C1252" s="179" t="s">
        <v>398</v>
      </c>
      <c r="D1252" s="179" t="s">
        <v>398</v>
      </c>
      <c r="E1252" s="179" t="s">
        <v>1279</v>
      </c>
      <c r="G1252" s="179">
        <v>485.0</v>
      </c>
      <c r="H1252" s="179">
        <v>18.0</v>
      </c>
      <c r="I1252" s="195">
        <v>0.0074</v>
      </c>
      <c r="J1252" s="195">
        <v>0.0066</v>
      </c>
      <c r="K1252" s="179">
        <v>655.0</v>
      </c>
      <c r="L1252" s="179">
        <v>28.0</v>
      </c>
      <c r="M1252" s="195">
        <v>0.0074</v>
      </c>
      <c r="N1252" s="195">
        <v>0.0075</v>
      </c>
      <c r="O1252" s="195">
        <v>0.9117</v>
      </c>
      <c r="P1252" s="195">
        <v>1.0</v>
      </c>
      <c r="Q1252" s="179">
        <v>2.0</v>
      </c>
      <c r="R1252" s="179">
        <v>0.0</v>
      </c>
      <c r="S1252" s="195">
        <v>0.0041</v>
      </c>
      <c r="T1252" s="195">
        <v>0.0</v>
      </c>
      <c r="U1252" s="179">
        <v>58128.48</v>
      </c>
      <c r="V1252" s="208">
        <v>0.0</v>
      </c>
      <c r="W1252" s="179">
        <v>2.0</v>
      </c>
      <c r="X1252" s="179">
        <v>0.0</v>
      </c>
    </row>
    <row r="1253" ht="15.75" customHeight="1">
      <c r="A1253" s="200">
        <v>45772.0</v>
      </c>
      <c r="B1253" s="10" t="str">
        <f t="array" ref="B1253">_xlfn.XLOOKUP(D1253,'Referanc '!$A:$A,'Referanc '!$B:$B)</f>
        <v>Standing Table - All Frames</v>
      </c>
      <c r="C1253" s="179" t="s">
        <v>399</v>
      </c>
      <c r="D1253" s="179" t="s">
        <v>399</v>
      </c>
      <c r="E1253" s="179" t="s">
        <v>1303</v>
      </c>
      <c r="G1253" s="179">
        <v>342.0</v>
      </c>
      <c r="H1253" s="179">
        <v>30.0</v>
      </c>
      <c r="I1253" s="195">
        <v>0.0052</v>
      </c>
      <c r="J1253" s="195">
        <v>0.0109</v>
      </c>
      <c r="K1253" s="179">
        <v>420.0</v>
      </c>
      <c r="L1253" s="179">
        <v>38.0</v>
      </c>
      <c r="M1253" s="195">
        <v>0.0048</v>
      </c>
      <c r="N1253" s="195">
        <v>0.0102</v>
      </c>
      <c r="O1253" s="195">
        <v>0.9352</v>
      </c>
      <c r="P1253" s="195">
        <v>0.9524</v>
      </c>
      <c r="Q1253" s="179">
        <v>2.0</v>
      </c>
      <c r="R1253" s="179">
        <v>0.0</v>
      </c>
      <c r="S1253" s="195">
        <v>0.0058</v>
      </c>
      <c r="T1253" s="195">
        <v>0.0</v>
      </c>
      <c r="U1253" s="179">
        <v>58842.03</v>
      </c>
      <c r="V1253" s="208">
        <v>0.0</v>
      </c>
      <c r="W1253" s="179">
        <v>2.0</v>
      </c>
      <c r="X1253" s="179">
        <v>0.0</v>
      </c>
    </row>
    <row r="1254" ht="15.75" customHeight="1">
      <c r="A1254" s="200">
        <v>45772.0</v>
      </c>
      <c r="B1254" s="10" t="str">
        <f t="array" ref="B1254">_xlfn.XLOOKUP(D1254,'Referanc '!$A:$A,'Referanc '!$B:$B)</f>
        <v>Standing Table  - E4</v>
      </c>
      <c r="C1254" s="179" t="s">
        <v>375</v>
      </c>
      <c r="D1254" s="179" t="s">
        <v>375</v>
      </c>
      <c r="E1254" s="179" t="s">
        <v>1329</v>
      </c>
      <c r="G1254" s="207">
        <v>1025.0</v>
      </c>
      <c r="H1254" s="179">
        <v>48.0</v>
      </c>
      <c r="I1254" s="195">
        <v>0.0157</v>
      </c>
      <c r="J1254" s="195">
        <v>0.0175</v>
      </c>
      <c r="K1254" s="207">
        <v>1277.0</v>
      </c>
      <c r="L1254" s="179">
        <v>61.0</v>
      </c>
      <c r="M1254" s="195">
        <v>0.0145</v>
      </c>
      <c r="N1254" s="195">
        <v>0.0164</v>
      </c>
      <c r="O1254" s="195">
        <v>0.9186</v>
      </c>
      <c r="P1254" s="195">
        <v>0.8478</v>
      </c>
      <c r="Q1254" s="179">
        <v>2.0</v>
      </c>
      <c r="R1254" s="179">
        <v>1.0</v>
      </c>
      <c r="S1254" s="195">
        <v>0.002</v>
      </c>
      <c r="T1254" s="195">
        <v>0.0208</v>
      </c>
      <c r="U1254" s="179">
        <v>54928.48</v>
      </c>
      <c r="V1254" s="208">
        <v>27464.24</v>
      </c>
      <c r="W1254" s="179">
        <v>2.0</v>
      </c>
      <c r="X1254" s="179">
        <v>1.0</v>
      </c>
    </row>
    <row r="1255" ht="15.75" customHeight="1">
      <c r="A1255" s="200">
        <v>45772.0</v>
      </c>
      <c r="B1255" s="10" t="str">
        <f t="array" ref="B1255">_xlfn.XLOOKUP(D1255,'Referanc '!$A:$A,'Referanc '!$B:$B)</f>
        <v>Standing Table  - E4</v>
      </c>
      <c r="C1255" s="179" t="s">
        <v>405</v>
      </c>
      <c r="D1255" s="179" t="s">
        <v>405</v>
      </c>
      <c r="E1255" s="179" t="s">
        <v>1305</v>
      </c>
      <c r="G1255" s="179">
        <v>80.0</v>
      </c>
      <c r="H1255" s="179">
        <v>7.0</v>
      </c>
      <c r="I1255" s="195">
        <v>0.0012</v>
      </c>
      <c r="J1255" s="195">
        <v>0.0025</v>
      </c>
      <c r="K1255" s="179">
        <v>102.0</v>
      </c>
      <c r="L1255" s="179">
        <v>7.0</v>
      </c>
      <c r="M1255" s="195">
        <v>0.0012</v>
      </c>
      <c r="N1255" s="195">
        <v>0.0019</v>
      </c>
      <c r="O1255" s="195">
        <v>0.9875</v>
      </c>
      <c r="P1255" s="195">
        <v>1.0</v>
      </c>
      <c r="Q1255" s="179">
        <v>2.0</v>
      </c>
      <c r="R1255" s="179">
        <v>0.0</v>
      </c>
      <c r="S1255" s="195">
        <v>0.025</v>
      </c>
      <c r="T1255" s="195">
        <v>0.0</v>
      </c>
      <c r="U1255" s="179">
        <v>54974.24</v>
      </c>
      <c r="V1255" s="208">
        <v>0.0</v>
      </c>
      <c r="W1255" s="179">
        <v>2.0</v>
      </c>
      <c r="X1255" s="179">
        <v>0.0</v>
      </c>
    </row>
    <row r="1256" ht="15.75" customHeight="1">
      <c r="A1256" s="200">
        <v>45772.0</v>
      </c>
      <c r="B1256" s="10" t="str">
        <f t="array" ref="B1256">_xlfn.XLOOKUP(D1256,'Referanc '!$A:$A,'Referanc '!$B:$B)</f>
        <v>Monitor Arm Stand</v>
      </c>
      <c r="C1256" s="179" t="s">
        <v>355</v>
      </c>
      <c r="D1256" s="179" t="s">
        <v>355</v>
      </c>
      <c r="E1256" s="179" t="s">
        <v>1150</v>
      </c>
      <c r="G1256" s="207">
        <v>1057.0</v>
      </c>
      <c r="H1256" s="179">
        <v>51.0</v>
      </c>
      <c r="I1256" s="195">
        <v>0.0162</v>
      </c>
      <c r="J1256" s="195">
        <v>0.0186</v>
      </c>
      <c r="K1256" s="207">
        <v>1362.0</v>
      </c>
      <c r="L1256" s="179">
        <v>61.0</v>
      </c>
      <c r="M1256" s="195">
        <v>0.0154</v>
      </c>
      <c r="N1256" s="195">
        <v>0.0164</v>
      </c>
      <c r="O1256" s="195">
        <v>1.0</v>
      </c>
      <c r="P1256" s="195">
        <v>1.0</v>
      </c>
      <c r="Q1256" s="179">
        <v>2.0</v>
      </c>
      <c r="R1256" s="179">
        <v>0.0</v>
      </c>
      <c r="S1256" s="195">
        <v>0.0019</v>
      </c>
      <c r="T1256" s="195">
        <v>0.0</v>
      </c>
      <c r="U1256" s="179">
        <v>14560.0</v>
      </c>
      <c r="V1256" s="208">
        <v>0.0</v>
      </c>
      <c r="W1256" s="179">
        <v>2.0</v>
      </c>
      <c r="X1256" s="179">
        <v>0.0</v>
      </c>
    </row>
    <row r="1257" ht="15.75" customHeight="1">
      <c r="A1257" s="200">
        <v>45772.0</v>
      </c>
      <c r="B1257" s="10" t="str">
        <f t="array" ref="B1257">_xlfn.XLOOKUP(D1257,'Referanc '!$A:$A,'Referanc '!$B:$B)</f>
        <v>Standing Table  - SM4</v>
      </c>
      <c r="C1257" s="179" t="s">
        <v>450</v>
      </c>
      <c r="D1257" s="179" t="s">
        <v>450</v>
      </c>
      <c r="E1257" s="179" t="s">
        <v>739</v>
      </c>
      <c r="G1257" s="179">
        <v>654.0</v>
      </c>
      <c r="H1257" s="179">
        <v>43.0</v>
      </c>
      <c r="I1257" s="195">
        <v>0.01</v>
      </c>
      <c r="J1257" s="195">
        <v>0.0157</v>
      </c>
      <c r="K1257" s="179">
        <v>777.0</v>
      </c>
      <c r="L1257" s="179">
        <v>50.0</v>
      </c>
      <c r="M1257" s="195">
        <v>0.0088</v>
      </c>
      <c r="N1257" s="195">
        <v>0.0135</v>
      </c>
      <c r="O1257" s="195">
        <v>0.9453</v>
      </c>
      <c r="P1257" s="195">
        <v>0.7273</v>
      </c>
      <c r="Q1257" s="179">
        <v>2.0</v>
      </c>
      <c r="R1257" s="179">
        <v>1.0</v>
      </c>
      <c r="S1257" s="195">
        <v>0.0031</v>
      </c>
      <c r="T1257" s="195">
        <v>0.0233</v>
      </c>
      <c r="U1257" s="179">
        <v>33998.0</v>
      </c>
      <c r="V1257" s="208">
        <v>16999.0</v>
      </c>
      <c r="W1257" s="179">
        <v>2.0</v>
      </c>
      <c r="X1257" s="179">
        <v>1.0</v>
      </c>
    </row>
    <row r="1258" ht="15.75" customHeight="1">
      <c r="A1258" s="200">
        <v>45772.0</v>
      </c>
      <c r="B1258" s="10" t="str">
        <f t="array" ref="B1258">_xlfn.XLOOKUP(D1258,'Referanc '!$A:$A,'Referanc '!$B:$B)</f>
        <v>Standing Table  - M14</v>
      </c>
      <c r="C1258" s="179" t="s">
        <v>449</v>
      </c>
      <c r="D1258" s="179" t="s">
        <v>449</v>
      </c>
      <c r="E1258" s="179" t="s">
        <v>725</v>
      </c>
      <c r="G1258" s="179">
        <v>282.0</v>
      </c>
      <c r="H1258" s="179">
        <v>9.0</v>
      </c>
      <c r="I1258" s="195">
        <v>0.0043</v>
      </c>
      <c r="J1258" s="195">
        <v>0.0033</v>
      </c>
      <c r="K1258" s="179">
        <v>392.0</v>
      </c>
      <c r="L1258" s="179">
        <v>10.0</v>
      </c>
      <c r="M1258" s="195">
        <v>0.0044</v>
      </c>
      <c r="N1258" s="195">
        <v>0.0027</v>
      </c>
      <c r="O1258" s="195">
        <v>0.9621</v>
      </c>
      <c r="P1258" s="195">
        <v>0.8889</v>
      </c>
      <c r="Q1258" s="179">
        <v>2.0</v>
      </c>
      <c r="R1258" s="179">
        <v>0.0</v>
      </c>
      <c r="S1258" s="195">
        <v>0.0071</v>
      </c>
      <c r="T1258" s="195">
        <v>0.0</v>
      </c>
      <c r="U1258" s="179">
        <v>31300.0</v>
      </c>
      <c r="V1258" s="208">
        <v>0.0</v>
      </c>
      <c r="W1258" s="179">
        <v>2.0</v>
      </c>
      <c r="X1258" s="179">
        <v>0.0</v>
      </c>
    </row>
    <row r="1259" ht="15.75" customHeight="1">
      <c r="A1259" s="200">
        <v>45772.0</v>
      </c>
      <c r="B1259" s="10" t="str">
        <f t="array" ref="B1259">_xlfn.XLOOKUP(D1259,'Referanc '!$A:$A,'Referanc '!$B:$B)</f>
        <v>Standing Table  - M8</v>
      </c>
      <c r="C1259" s="179" t="s">
        <v>415</v>
      </c>
      <c r="D1259" s="179" t="s">
        <v>415</v>
      </c>
      <c r="E1259" s="179" t="s">
        <v>1291</v>
      </c>
      <c r="G1259" s="179">
        <v>216.0</v>
      </c>
      <c r="H1259" s="179">
        <v>12.0</v>
      </c>
      <c r="I1259" s="195">
        <v>0.0033</v>
      </c>
      <c r="J1259" s="195">
        <v>0.0044</v>
      </c>
      <c r="K1259" s="179">
        <v>265.0</v>
      </c>
      <c r="L1259" s="179">
        <v>13.0</v>
      </c>
      <c r="M1259" s="195">
        <v>0.003</v>
      </c>
      <c r="N1259" s="195">
        <v>0.0035</v>
      </c>
      <c r="O1259" s="195">
        <v>0.8904</v>
      </c>
      <c r="P1259" s="195">
        <v>0.8333</v>
      </c>
      <c r="Q1259" s="179">
        <v>1.0</v>
      </c>
      <c r="R1259" s="179">
        <v>0.0</v>
      </c>
      <c r="S1259" s="195">
        <v>0.0046</v>
      </c>
      <c r="T1259" s="195">
        <v>0.0</v>
      </c>
      <c r="U1259" s="179">
        <v>20816.44</v>
      </c>
      <c r="V1259" s="208">
        <v>0.0</v>
      </c>
      <c r="W1259" s="179">
        <v>1.0</v>
      </c>
      <c r="X1259" s="179">
        <v>0.0</v>
      </c>
    </row>
    <row r="1260" ht="15.75" customHeight="1">
      <c r="A1260" s="200">
        <v>45772.0</v>
      </c>
      <c r="B1260" s="10" t="str">
        <f t="array" ref="B1260">_xlfn.XLOOKUP(D1260,'Referanc '!$A:$A,'Referanc '!$B:$B)</f>
        <v>Standing Table  - M8</v>
      </c>
      <c r="C1260" s="179" t="s">
        <v>418</v>
      </c>
      <c r="D1260" s="179" t="s">
        <v>418</v>
      </c>
      <c r="E1260" s="179" t="s">
        <v>1293</v>
      </c>
      <c r="G1260" s="179">
        <v>111.0</v>
      </c>
      <c r="H1260" s="179">
        <v>8.0</v>
      </c>
      <c r="I1260" s="195">
        <v>0.0017</v>
      </c>
      <c r="J1260" s="195">
        <v>0.0029</v>
      </c>
      <c r="K1260" s="179">
        <v>181.0</v>
      </c>
      <c r="L1260" s="179">
        <v>11.0</v>
      </c>
      <c r="M1260" s="195">
        <v>0.0021</v>
      </c>
      <c r="N1260" s="195">
        <v>0.003</v>
      </c>
      <c r="O1260" s="195">
        <v>0.8931</v>
      </c>
      <c r="P1260" s="195">
        <v>1.0</v>
      </c>
      <c r="Q1260" s="179">
        <v>1.0</v>
      </c>
      <c r="R1260" s="179">
        <v>0.0</v>
      </c>
      <c r="S1260" s="195">
        <v>0.009</v>
      </c>
      <c r="T1260" s="195">
        <v>0.0</v>
      </c>
      <c r="U1260" s="179">
        <v>17900.0</v>
      </c>
      <c r="V1260" s="208">
        <v>0.0</v>
      </c>
      <c r="W1260" s="179">
        <v>1.0</v>
      </c>
      <c r="X1260" s="179">
        <v>0.0</v>
      </c>
    </row>
    <row r="1261" ht="15.75" customHeight="1">
      <c r="A1261" s="200">
        <v>45772.0</v>
      </c>
      <c r="B1261" s="10" t="str">
        <f t="array" ref="B1261">_xlfn.XLOOKUP(D1261,'Referanc '!$A:$A,'Referanc '!$B:$B)</f>
        <v>Standing Table  - E2</v>
      </c>
      <c r="C1261" s="179" t="s">
        <v>392</v>
      </c>
      <c r="D1261" s="179" t="s">
        <v>392</v>
      </c>
      <c r="E1261" s="179" t="s">
        <v>1132</v>
      </c>
      <c r="G1261" s="179">
        <v>65.0</v>
      </c>
      <c r="H1261" s="179">
        <v>6.0</v>
      </c>
      <c r="I1261" s="195">
        <v>0.001</v>
      </c>
      <c r="J1261" s="195">
        <v>0.0022</v>
      </c>
      <c r="K1261" s="179">
        <v>89.0</v>
      </c>
      <c r="L1261" s="179">
        <v>6.0</v>
      </c>
      <c r="M1261" s="195">
        <v>0.001</v>
      </c>
      <c r="N1261" s="195">
        <v>0.0016</v>
      </c>
      <c r="O1261" s="195">
        <v>0.962</v>
      </c>
      <c r="P1261" s="195">
        <v>1.0</v>
      </c>
      <c r="Q1261" s="179">
        <v>1.0</v>
      </c>
      <c r="R1261" s="179">
        <v>0.0</v>
      </c>
      <c r="S1261" s="195">
        <v>0.0154</v>
      </c>
      <c r="T1261" s="195">
        <v>0.0</v>
      </c>
      <c r="U1261" s="179">
        <v>34745.08</v>
      </c>
      <c r="V1261" s="208">
        <v>0.0</v>
      </c>
      <c r="W1261" s="179">
        <v>1.0</v>
      </c>
      <c r="X1261" s="179">
        <v>0.0</v>
      </c>
    </row>
    <row r="1262" ht="15.75" customHeight="1">
      <c r="A1262" s="200">
        <v>45772.0</v>
      </c>
      <c r="B1262" s="10" t="str">
        <f t="array" ref="B1262">_xlfn.XLOOKUP(D1262,'Referanc '!$A:$A,'Referanc '!$B:$B)</f>
        <v>Standing Table - All Frames</v>
      </c>
      <c r="C1262" s="179" t="s">
        <v>420</v>
      </c>
      <c r="D1262" s="179" t="s">
        <v>420</v>
      </c>
      <c r="E1262" s="179" t="s">
        <v>1364</v>
      </c>
      <c r="G1262" s="179">
        <v>79.0</v>
      </c>
      <c r="H1262" s="179">
        <v>1.0</v>
      </c>
      <c r="I1262" s="195">
        <v>0.0012</v>
      </c>
      <c r="J1262" s="195">
        <v>4.0E-4</v>
      </c>
      <c r="K1262" s="179">
        <v>100.0</v>
      </c>
      <c r="L1262" s="179">
        <v>1.0</v>
      </c>
      <c r="M1262" s="195">
        <v>0.0011</v>
      </c>
      <c r="N1262" s="195">
        <v>3.0E-4</v>
      </c>
      <c r="O1262" s="195">
        <v>0.9882</v>
      </c>
      <c r="P1262" s="195">
        <v>0.0</v>
      </c>
      <c r="Q1262" s="179">
        <v>1.0</v>
      </c>
      <c r="R1262" s="179">
        <v>0.0</v>
      </c>
      <c r="S1262" s="195">
        <v>0.0127</v>
      </c>
      <c r="T1262" s="195">
        <v>0.0</v>
      </c>
      <c r="U1262" s="179">
        <v>29295.08</v>
      </c>
      <c r="V1262" s="208">
        <v>0.0</v>
      </c>
      <c r="W1262" s="179">
        <v>1.0</v>
      </c>
      <c r="X1262" s="179">
        <v>0.0</v>
      </c>
    </row>
    <row r="1263" ht="15.75" customHeight="1">
      <c r="A1263" s="200">
        <v>45772.0</v>
      </c>
      <c r="B1263" s="10" t="str">
        <f t="array" ref="B1263">_xlfn.XLOOKUP(D1263,'Referanc '!$A:$A,'Referanc '!$B:$B)</f>
        <v>Standing Table  - E2</v>
      </c>
      <c r="C1263" s="179" t="s">
        <v>394</v>
      </c>
      <c r="D1263" s="179" t="s">
        <v>394</v>
      </c>
      <c r="E1263" s="179" t="s">
        <v>1125</v>
      </c>
      <c r="G1263" s="179">
        <v>34.0</v>
      </c>
      <c r="H1263" s="179">
        <v>1.0</v>
      </c>
      <c r="I1263" s="195">
        <v>5.0E-4</v>
      </c>
      <c r="J1263" s="195">
        <v>4.0E-4</v>
      </c>
      <c r="K1263" s="179">
        <v>45.0</v>
      </c>
      <c r="L1263" s="179">
        <v>1.0</v>
      </c>
      <c r="M1263" s="195">
        <v>5.0E-4</v>
      </c>
      <c r="N1263" s="195">
        <v>3.0E-4</v>
      </c>
      <c r="O1263" s="195">
        <v>1.0</v>
      </c>
      <c r="P1263" s="195">
        <v>0.0</v>
      </c>
      <c r="Q1263" s="179">
        <v>1.0</v>
      </c>
      <c r="R1263" s="179">
        <v>0.0</v>
      </c>
      <c r="S1263" s="195">
        <v>0.0294</v>
      </c>
      <c r="T1263" s="195">
        <v>0.0</v>
      </c>
      <c r="U1263" s="179">
        <v>32695.08</v>
      </c>
      <c r="V1263" s="208">
        <v>0.0</v>
      </c>
      <c r="W1263" s="179">
        <v>1.0</v>
      </c>
      <c r="X1263" s="179">
        <v>0.0</v>
      </c>
    </row>
    <row r="1264" ht="15.75" customHeight="1">
      <c r="A1264" s="200">
        <v>45772.0</v>
      </c>
      <c r="B1264" s="10" t="str">
        <f t="array" ref="B1264">_xlfn.XLOOKUP(D1264,'Referanc '!$A:$A,'Referanc '!$B:$B)</f>
        <v>Standing Table  - E3</v>
      </c>
      <c r="C1264" s="179" t="s">
        <v>366</v>
      </c>
      <c r="D1264" s="179" t="s">
        <v>366</v>
      </c>
      <c r="E1264" s="179" t="s">
        <v>1124</v>
      </c>
      <c r="G1264" s="179">
        <v>85.0</v>
      </c>
      <c r="H1264" s="179">
        <v>6.0</v>
      </c>
      <c r="I1264" s="195">
        <v>0.0013</v>
      </c>
      <c r="J1264" s="195">
        <v>0.0022</v>
      </c>
      <c r="K1264" s="179">
        <v>114.0</v>
      </c>
      <c r="L1264" s="179">
        <v>7.0</v>
      </c>
      <c r="M1264" s="195">
        <v>0.0013</v>
      </c>
      <c r="N1264" s="195">
        <v>0.0019</v>
      </c>
      <c r="O1264" s="195">
        <v>0.85</v>
      </c>
      <c r="P1264" s="195">
        <v>1.0</v>
      </c>
      <c r="Q1264" s="179">
        <v>1.0</v>
      </c>
      <c r="R1264" s="179">
        <v>0.0</v>
      </c>
      <c r="S1264" s="195">
        <v>0.0118</v>
      </c>
      <c r="T1264" s="195">
        <v>0.0</v>
      </c>
      <c r="U1264" s="179">
        <v>40387.46</v>
      </c>
      <c r="V1264" s="208">
        <v>0.0</v>
      </c>
      <c r="W1264" s="179">
        <v>1.0</v>
      </c>
      <c r="X1264" s="179">
        <v>0.0</v>
      </c>
    </row>
    <row r="1265" ht="15.75" customHeight="1">
      <c r="A1265" s="200">
        <v>45772.0</v>
      </c>
      <c r="B1265" s="10" t="str">
        <f t="array" ref="B1265">_xlfn.XLOOKUP(D1265,'Referanc '!$A:$A,'Referanc '!$B:$B)</f>
        <v>Standing Table  - SM3</v>
      </c>
      <c r="C1265" s="179" t="s">
        <v>379</v>
      </c>
      <c r="D1265" s="179" t="s">
        <v>379</v>
      </c>
      <c r="E1265" s="179" t="s">
        <v>1209</v>
      </c>
      <c r="G1265" s="179">
        <v>909.0</v>
      </c>
      <c r="H1265" s="179">
        <v>37.0</v>
      </c>
      <c r="I1265" s="195">
        <v>0.0139</v>
      </c>
      <c r="J1265" s="195">
        <v>0.0135</v>
      </c>
      <c r="K1265" s="207">
        <v>1067.0</v>
      </c>
      <c r="L1265" s="179">
        <v>43.0</v>
      </c>
      <c r="M1265" s="195">
        <v>0.0121</v>
      </c>
      <c r="N1265" s="195">
        <v>0.0116</v>
      </c>
      <c r="O1265" s="195">
        <v>0.6993</v>
      </c>
      <c r="P1265" s="195">
        <v>0.6667</v>
      </c>
      <c r="Q1265" s="179">
        <v>1.0</v>
      </c>
      <c r="R1265" s="179">
        <v>0.0</v>
      </c>
      <c r="S1265" s="195">
        <v>0.0011</v>
      </c>
      <c r="T1265" s="195">
        <v>0.0</v>
      </c>
      <c r="U1265" s="179">
        <v>21471.86</v>
      </c>
      <c r="V1265" s="208">
        <v>0.0</v>
      </c>
      <c r="W1265" s="179">
        <v>1.0</v>
      </c>
      <c r="X1265" s="179">
        <v>0.0</v>
      </c>
    </row>
    <row r="1266" ht="15.75" customHeight="1">
      <c r="A1266" s="200">
        <v>45772.0</v>
      </c>
      <c r="B1266" s="10" t="str">
        <f t="array" ref="B1266">_xlfn.XLOOKUP(D1266,'Referanc '!$A:$A,'Referanc '!$B:$B)</f>
        <v>Standing Table  - E1A</v>
      </c>
      <c r="C1266" s="179" t="s">
        <v>367</v>
      </c>
      <c r="D1266" s="179" t="s">
        <v>367</v>
      </c>
      <c r="E1266" s="179" t="s">
        <v>1365</v>
      </c>
      <c r="G1266" s="179">
        <v>74.0</v>
      </c>
      <c r="H1266" s="179">
        <v>4.0</v>
      </c>
      <c r="I1266" s="195">
        <v>0.0011</v>
      </c>
      <c r="J1266" s="195">
        <v>0.0015</v>
      </c>
      <c r="K1266" s="179">
        <v>92.0</v>
      </c>
      <c r="L1266" s="179">
        <v>4.0</v>
      </c>
      <c r="M1266" s="195">
        <v>0.001</v>
      </c>
      <c r="N1266" s="195">
        <v>0.0011</v>
      </c>
      <c r="O1266" s="195">
        <v>0.9</v>
      </c>
      <c r="P1266" s="195">
        <v>1.0</v>
      </c>
      <c r="Q1266" s="179">
        <v>1.0</v>
      </c>
      <c r="R1266" s="179">
        <v>0.0</v>
      </c>
      <c r="S1266" s="195">
        <v>0.0135</v>
      </c>
      <c r="T1266" s="195">
        <v>0.0</v>
      </c>
      <c r="U1266" s="179">
        <v>34892.03</v>
      </c>
      <c r="V1266" s="208">
        <v>0.0</v>
      </c>
      <c r="W1266" s="179">
        <v>1.0</v>
      </c>
      <c r="X1266" s="179">
        <v>0.0</v>
      </c>
    </row>
    <row r="1267" ht="15.75" customHeight="1">
      <c r="A1267" s="200">
        <v>45772.0</v>
      </c>
      <c r="B1267" s="10" t="str">
        <f t="array" ref="B1267">_xlfn.XLOOKUP(D1267,'Referanc '!$A:$A,'Referanc '!$B:$B)</f>
        <v>Standing Table - All Frames</v>
      </c>
      <c r="C1267" s="179" t="s">
        <v>387</v>
      </c>
      <c r="D1267" s="179" t="s">
        <v>387</v>
      </c>
      <c r="E1267" s="179" t="s">
        <v>1361</v>
      </c>
      <c r="G1267" s="179">
        <v>155.0</v>
      </c>
      <c r="H1267" s="179">
        <v>9.0</v>
      </c>
      <c r="I1267" s="195">
        <v>0.0024</v>
      </c>
      <c r="J1267" s="195">
        <v>0.0033</v>
      </c>
      <c r="K1267" s="179">
        <v>215.0</v>
      </c>
      <c r="L1267" s="179">
        <v>13.0</v>
      </c>
      <c r="M1267" s="195">
        <v>0.0024</v>
      </c>
      <c r="N1267" s="195">
        <v>0.0035</v>
      </c>
      <c r="O1267" s="195">
        <v>0.8846</v>
      </c>
      <c r="P1267" s="195">
        <v>1.0</v>
      </c>
      <c r="Q1267" s="179">
        <v>1.0</v>
      </c>
      <c r="R1267" s="179">
        <v>0.0</v>
      </c>
      <c r="S1267" s="195">
        <v>0.0065</v>
      </c>
      <c r="T1267" s="195">
        <v>0.0</v>
      </c>
      <c r="U1267" s="179">
        <v>29450.0</v>
      </c>
      <c r="V1267" s="208">
        <v>0.0</v>
      </c>
      <c r="W1267" s="179">
        <v>1.0</v>
      </c>
      <c r="X1267" s="179">
        <v>0.0</v>
      </c>
    </row>
    <row r="1268" ht="15.75" customHeight="1">
      <c r="A1268" s="200">
        <v>45772.0</v>
      </c>
      <c r="B1268" s="10" t="str">
        <f t="array" ref="B1268">_xlfn.XLOOKUP(D1268,'Referanc '!$A:$A,'Referanc '!$B:$B)</f>
        <v>Standing Table  - E1A</v>
      </c>
      <c r="C1268" s="179" t="s">
        <v>372</v>
      </c>
      <c r="D1268" s="179" t="s">
        <v>372</v>
      </c>
      <c r="E1268" s="179" t="s">
        <v>1354</v>
      </c>
      <c r="G1268" s="179">
        <v>134.0</v>
      </c>
      <c r="H1268" s="179">
        <v>2.0</v>
      </c>
      <c r="I1268" s="195">
        <v>0.002</v>
      </c>
      <c r="J1268" s="195">
        <v>7.0E-4</v>
      </c>
      <c r="K1268" s="179">
        <v>144.0</v>
      </c>
      <c r="L1268" s="179">
        <v>2.0</v>
      </c>
      <c r="M1268" s="195">
        <v>0.0016</v>
      </c>
      <c r="N1268" s="195">
        <v>5.0E-4</v>
      </c>
      <c r="O1268" s="195">
        <v>0.812</v>
      </c>
      <c r="P1268" s="195">
        <v>1.0</v>
      </c>
      <c r="Q1268" s="179">
        <v>1.0</v>
      </c>
      <c r="R1268" s="179">
        <v>0.0</v>
      </c>
      <c r="S1268" s="195">
        <v>0.0075</v>
      </c>
      <c r="T1268" s="195">
        <v>0.0</v>
      </c>
      <c r="U1268" s="179">
        <v>31892.03</v>
      </c>
      <c r="V1268" s="208">
        <v>0.0</v>
      </c>
      <c r="W1268" s="179">
        <v>1.0</v>
      </c>
      <c r="X1268" s="179">
        <v>0.0</v>
      </c>
    </row>
    <row r="1269" ht="15.75" customHeight="1">
      <c r="A1269" s="200">
        <v>45772.0</v>
      </c>
      <c r="B1269" s="10" t="str">
        <f t="array" ref="B1269">_xlfn.XLOOKUP(D1269,'Referanc '!$A:$A,'Referanc '!$B:$B)</f>
        <v>Standing Table  - E1A</v>
      </c>
      <c r="C1269" s="179" t="s">
        <v>380</v>
      </c>
      <c r="D1269" s="179" t="s">
        <v>380</v>
      </c>
      <c r="E1269" s="179" t="s">
        <v>1276</v>
      </c>
      <c r="G1269" s="179">
        <v>288.0</v>
      </c>
      <c r="H1269" s="179">
        <v>21.0</v>
      </c>
      <c r="I1269" s="195">
        <v>0.0044</v>
      </c>
      <c r="J1269" s="195">
        <v>0.0076</v>
      </c>
      <c r="K1269" s="179">
        <v>375.0</v>
      </c>
      <c r="L1269" s="179">
        <v>26.0</v>
      </c>
      <c r="M1269" s="195">
        <v>0.0043</v>
      </c>
      <c r="N1269" s="195">
        <v>0.007</v>
      </c>
      <c r="O1269" s="195">
        <v>0.9161</v>
      </c>
      <c r="P1269" s="195">
        <v>0.95</v>
      </c>
      <c r="Q1269" s="179">
        <v>1.0</v>
      </c>
      <c r="R1269" s="179">
        <v>0.0</v>
      </c>
      <c r="S1269" s="195">
        <v>0.0035</v>
      </c>
      <c r="T1269" s="195">
        <v>0.0</v>
      </c>
      <c r="U1269" s="179">
        <v>34950.0</v>
      </c>
      <c r="V1269" s="208">
        <v>0.0</v>
      </c>
      <c r="W1269" s="179">
        <v>1.0</v>
      </c>
      <c r="X1269" s="179">
        <v>0.0</v>
      </c>
    </row>
    <row r="1270" ht="15.75" customHeight="1">
      <c r="A1270" s="200">
        <v>45772.0</v>
      </c>
      <c r="B1270" s="10" t="str">
        <f t="array" ref="B1270">_xlfn.XLOOKUP(D1270,'Referanc '!$A:$A,'Referanc '!$B:$B)</f>
        <v>Standing Table  - E1A</v>
      </c>
      <c r="C1270" s="179" t="s">
        <v>384</v>
      </c>
      <c r="D1270" s="179" t="s">
        <v>384</v>
      </c>
      <c r="E1270" s="179" t="s">
        <v>1302</v>
      </c>
      <c r="G1270" s="179">
        <v>88.0</v>
      </c>
      <c r="H1270" s="179">
        <v>3.0</v>
      </c>
      <c r="I1270" s="195">
        <v>0.0013</v>
      </c>
      <c r="J1270" s="195">
        <v>0.0011</v>
      </c>
      <c r="K1270" s="179">
        <v>111.0</v>
      </c>
      <c r="L1270" s="179">
        <v>3.0</v>
      </c>
      <c r="M1270" s="195">
        <v>0.0013</v>
      </c>
      <c r="N1270" s="195">
        <v>8.0E-4</v>
      </c>
      <c r="O1270" s="195">
        <v>0.8095</v>
      </c>
      <c r="P1270" s="195">
        <v>1.0</v>
      </c>
      <c r="Q1270" s="179">
        <v>1.0</v>
      </c>
      <c r="R1270" s="179">
        <v>0.0</v>
      </c>
      <c r="S1270" s="195">
        <v>0.0114</v>
      </c>
      <c r="T1270" s="195">
        <v>0.0</v>
      </c>
      <c r="U1270" s="179">
        <v>31892.03</v>
      </c>
      <c r="V1270" s="208">
        <v>0.0</v>
      </c>
      <c r="W1270" s="179">
        <v>1.0</v>
      </c>
      <c r="X1270" s="179">
        <v>0.0</v>
      </c>
    </row>
    <row r="1271" ht="15.75" customHeight="1">
      <c r="A1271" s="200">
        <v>45772.0</v>
      </c>
      <c r="B1271" s="10" t="str">
        <f t="array" ref="B1271">_xlfn.XLOOKUP(D1271,'Referanc '!$A:$A,'Referanc '!$B:$B)</f>
        <v>Standing Table - All Frames</v>
      </c>
      <c r="C1271" s="179" t="s">
        <v>402</v>
      </c>
      <c r="D1271" s="179" t="s">
        <v>402</v>
      </c>
      <c r="E1271" s="179" t="s">
        <v>697</v>
      </c>
      <c r="G1271" s="179">
        <v>449.0</v>
      </c>
      <c r="H1271" s="179">
        <v>23.0</v>
      </c>
      <c r="I1271" s="195">
        <v>0.0069</v>
      </c>
      <c r="J1271" s="195">
        <v>0.0084</v>
      </c>
      <c r="K1271" s="179">
        <v>620.0</v>
      </c>
      <c r="L1271" s="179">
        <v>26.0</v>
      </c>
      <c r="M1271" s="195">
        <v>0.007</v>
      </c>
      <c r="N1271" s="195">
        <v>0.007</v>
      </c>
      <c r="O1271" s="195">
        <v>0.9234</v>
      </c>
      <c r="P1271" s="195">
        <v>0.9091</v>
      </c>
      <c r="Q1271" s="179">
        <v>1.0</v>
      </c>
      <c r="R1271" s="179">
        <v>0.0</v>
      </c>
      <c r="S1271" s="195">
        <v>0.0022</v>
      </c>
      <c r="T1271" s="195">
        <v>0.0</v>
      </c>
      <c r="U1271" s="179">
        <v>23964.24</v>
      </c>
      <c r="V1271" s="208">
        <v>0.0</v>
      </c>
      <c r="W1271" s="179">
        <v>1.0</v>
      </c>
      <c r="X1271" s="179">
        <v>0.0</v>
      </c>
    </row>
    <row r="1272" ht="15.75" customHeight="1">
      <c r="A1272" s="200">
        <v>45772.0</v>
      </c>
      <c r="B1272" s="10" t="str">
        <f t="array" ref="B1272">_xlfn.XLOOKUP(D1272,'Referanc '!$A:$A,'Referanc '!$B:$B)</f>
        <v>Standing Table  - M8</v>
      </c>
      <c r="C1272" s="179" t="s">
        <v>421</v>
      </c>
      <c r="D1272" s="179" t="s">
        <v>421</v>
      </c>
      <c r="E1272" s="179" t="s">
        <v>1368</v>
      </c>
      <c r="G1272" s="179">
        <v>42.0</v>
      </c>
      <c r="H1272" s="179">
        <v>1.0</v>
      </c>
      <c r="I1272" s="195">
        <v>6.0E-4</v>
      </c>
      <c r="J1272" s="195">
        <v>4.0E-4</v>
      </c>
      <c r="K1272" s="179">
        <v>76.0</v>
      </c>
      <c r="L1272" s="179">
        <v>1.0</v>
      </c>
      <c r="M1272" s="195">
        <v>9.0E-4</v>
      </c>
      <c r="N1272" s="195">
        <v>3.0E-4</v>
      </c>
      <c r="O1272" s="195">
        <v>0.9242</v>
      </c>
      <c r="P1272" s="195">
        <v>0.0</v>
      </c>
      <c r="Q1272" s="179">
        <v>1.0</v>
      </c>
      <c r="R1272" s="179">
        <v>0.0</v>
      </c>
      <c r="S1272" s="195">
        <v>0.0238</v>
      </c>
      <c r="T1272" s="195">
        <v>0.0</v>
      </c>
      <c r="U1272" s="179">
        <v>17866.44</v>
      </c>
      <c r="V1272" s="208">
        <v>0.0</v>
      </c>
      <c r="W1272" s="179">
        <v>1.0</v>
      </c>
      <c r="X1272" s="179">
        <v>0.0</v>
      </c>
    </row>
    <row r="1273" ht="15.75" customHeight="1">
      <c r="A1273" s="200">
        <v>45772.0</v>
      </c>
      <c r="B1273" s="10" t="str">
        <f t="array" ref="B1273">_xlfn.XLOOKUP(D1273,'Referanc '!$A:$A,'Referanc '!$B:$B)</f>
        <v>Standing Table  - SM4</v>
      </c>
      <c r="C1273" s="179" t="s">
        <v>451</v>
      </c>
      <c r="D1273" s="179" t="s">
        <v>451</v>
      </c>
      <c r="E1273" s="179" t="s">
        <v>740</v>
      </c>
      <c r="G1273" s="179">
        <v>521.0</v>
      </c>
      <c r="H1273" s="179">
        <v>25.0</v>
      </c>
      <c r="I1273" s="195">
        <v>0.008</v>
      </c>
      <c r="J1273" s="195">
        <v>0.0091</v>
      </c>
      <c r="K1273" s="179">
        <v>633.0</v>
      </c>
      <c r="L1273" s="179">
        <v>27.0</v>
      </c>
      <c r="M1273" s="195">
        <v>0.0072</v>
      </c>
      <c r="N1273" s="195">
        <v>0.0073</v>
      </c>
      <c r="O1273" s="195">
        <v>0.8985</v>
      </c>
      <c r="P1273" s="195">
        <v>0.9091</v>
      </c>
      <c r="Q1273" s="179">
        <v>1.0</v>
      </c>
      <c r="R1273" s="179">
        <v>0.0</v>
      </c>
      <c r="S1273" s="195">
        <v>0.0019</v>
      </c>
      <c r="T1273" s="195">
        <v>0.0</v>
      </c>
      <c r="U1273" s="179">
        <v>15469.49</v>
      </c>
      <c r="V1273" s="208">
        <v>0.0</v>
      </c>
      <c r="W1273" s="179">
        <v>1.0</v>
      </c>
      <c r="X1273" s="179">
        <v>0.0</v>
      </c>
    </row>
    <row r="1274" ht="15.75" customHeight="1">
      <c r="A1274" s="200">
        <v>45772.0</v>
      </c>
      <c r="B1274" s="10" t="str">
        <f t="array" ref="B1274">_xlfn.XLOOKUP(D1274,'Referanc '!$A:$A,'Referanc '!$B:$B)</f>
        <v>Standing Table  - M14</v>
      </c>
      <c r="C1274" s="179" t="s">
        <v>435</v>
      </c>
      <c r="D1274" s="179" t="s">
        <v>435</v>
      </c>
      <c r="E1274" s="179" t="s">
        <v>724</v>
      </c>
      <c r="G1274" s="179">
        <v>197.0</v>
      </c>
      <c r="H1274" s="179">
        <v>5.0</v>
      </c>
      <c r="I1274" s="195">
        <v>0.003</v>
      </c>
      <c r="J1274" s="195">
        <v>0.0018</v>
      </c>
      <c r="K1274" s="179">
        <v>266.0</v>
      </c>
      <c r="L1274" s="179">
        <v>5.0</v>
      </c>
      <c r="M1274" s="195">
        <v>0.003</v>
      </c>
      <c r="N1274" s="195">
        <v>0.0013</v>
      </c>
      <c r="O1274" s="195">
        <v>0.9254</v>
      </c>
      <c r="P1274" s="195">
        <v>1.0</v>
      </c>
      <c r="Q1274" s="179">
        <v>1.0</v>
      </c>
      <c r="R1274" s="179">
        <v>0.0</v>
      </c>
      <c r="S1274" s="195">
        <v>0.0051</v>
      </c>
      <c r="T1274" s="195">
        <v>0.0</v>
      </c>
      <c r="U1274" s="179">
        <v>15625.59</v>
      </c>
      <c r="V1274" s="208">
        <v>0.0</v>
      </c>
      <c r="W1274" s="179">
        <v>1.0</v>
      </c>
      <c r="X1274" s="179">
        <v>0.0</v>
      </c>
    </row>
    <row r="1275" ht="15.75" customHeight="1">
      <c r="A1275" s="200">
        <v>45772.0</v>
      </c>
      <c r="B1275" s="10" t="str">
        <f t="array" ref="B1275">_xlfn.XLOOKUP(D1275,'Referanc '!$A:$A,'Referanc '!$B:$B)</f>
        <v>Standing Table  - M14</v>
      </c>
      <c r="C1275" s="179" t="s">
        <v>439</v>
      </c>
      <c r="D1275" s="179" t="s">
        <v>439</v>
      </c>
      <c r="E1275" s="179" t="s">
        <v>728</v>
      </c>
      <c r="G1275" s="179">
        <v>267.0</v>
      </c>
      <c r="H1275" s="179">
        <v>17.0</v>
      </c>
      <c r="I1275" s="195">
        <v>0.0041</v>
      </c>
      <c r="J1275" s="195">
        <v>0.0062</v>
      </c>
      <c r="K1275" s="179">
        <v>352.0</v>
      </c>
      <c r="L1275" s="179">
        <v>25.0</v>
      </c>
      <c r="M1275" s="195">
        <v>0.004</v>
      </c>
      <c r="N1275" s="195">
        <v>0.0067</v>
      </c>
      <c r="O1275" s="195">
        <v>0.9323</v>
      </c>
      <c r="P1275" s="195">
        <v>0.8182</v>
      </c>
      <c r="Q1275" s="179">
        <v>1.0</v>
      </c>
      <c r="R1275" s="179">
        <v>0.0</v>
      </c>
      <c r="S1275" s="195">
        <v>0.0037</v>
      </c>
      <c r="T1275" s="195">
        <v>0.0</v>
      </c>
      <c r="U1275" s="179">
        <v>14145.59</v>
      </c>
      <c r="V1275" s="208">
        <v>0.0</v>
      </c>
      <c r="W1275" s="179">
        <v>1.0</v>
      </c>
      <c r="X1275" s="179">
        <v>0.0</v>
      </c>
    </row>
    <row r="1276" ht="15.75" customHeight="1">
      <c r="A1276" s="200">
        <v>45772.0</v>
      </c>
      <c r="B1276" s="10" t="str">
        <f t="array" ref="B1276">_xlfn.XLOOKUP(D1276,'Referanc '!$A:$A,'Referanc '!$B:$B)</f>
        <v>Standing Table  - M4</v>
      </c>
      <c r="C1276" s="179" t="s">
        <v>348</v>
      </c>
      <c r="D1276" s="179" t="s">
        <v>348</v>
      </c>
      <c r="E1276" s="179" t="s">
        <v>524</v>
      </c>
      <c r="G1276" s="179">
        <v>332.0</v>
      </c>
      <c r="H1276" s="179">
        <v>11.0</v>
      </c>
      <c r="I1276" s="195">
        <v>0.0051</v>
      </c>
      <c r="J1276" s="195">
        <v>0.004</v>
      </c>
      <c r="K1276" s="179">
        <v>399.0</v>
      </c>
      <c r="L1276" s="179">
        <v>11.0</v>
      </c>
      <c r="M1276" s="195">
        <v>0.0045</v>
      </c>
      <c r="N1276" s="195">
        <v>0.003</v>
      </c>
      <c r="O1276" s="195">
        <v>0.8981</v>
      </c>
      <c r="P1276" s="195">
        <v>1.0</v>
      </c>
      <c r="Q1276" s="179">
        <v>0.0</v>
      </c>
      <c r="R1276" s="179">
        <v>0.0</v>
      </c>
      <c r="S1276" s="195">
        <v>0.0</v>
      </c>
      <c r="T1276" s="195">
        <v>0.0</v>
      </c>
      <c r="U1276" s="179">
        <v>0.0</v>
      </c>
      <c r="V1276" s="208">
        <v>0.0</v>
      </c>
      <c r="W1276" s="179">
        <v>0.0</v>
      </c>
      <c r="X1276" s="179">
        <v>0.0</v>
      </c>
    </row>
    <row r="1277" ht="15.75" customHeight="1">
      <c r="A1277" s="200">
        <v>45772.0</v>
      </c>
      <c r="B1277" s="10" t="str">
        <f t="array" ref="B1277">_xlfn.XLOOKUP(D1277,'Referanc '!$A:$A,'Referanc '!$B:$B)</f>
        <v>Standing Table  - M8</v>
      </c>
      <c r="C1277" s="179" t="s">
        <v>414</v>
      </c>
      <c r="D1277" s="179" t="s">
        <v>414</v>
      </c>
      <c r="E1277" s="179" t="s">
        <v>1289</v>
      </c>
      <c r="G1277" s="179">
        <v>233.0</v>
      </c>
      <c r="H1277" s="179">
        <v>21.0</v>
      </c>
      <c r="I1277" s="195">
        <v>0.0036</v>
      </c>
      <c r="J1277" s="195">
        <v>0.0076</v>
      </c>
      <c r="K1277" s="179">
        <v>317.0</v>
      </c>
      <c r="L1277" s="179">
        <v>24.0</v>
      </c>
      <c r="M1277" s="195">
        <v>0.0036</v>
      </c>
      <c r="N1277" s="195">
        <v>0.0065</v>
      </c>
      <c r="O1277" s="195">
        <v>0.9296</v>
      </c>
      <c r="P1277" s="195">
        <v>0.8333</v>
      </c>
      <c r="Q1277" s="179">
        <v>0.0</v>
      </c>
      <c r="R1277" s="179">
        <v>0.0</v>
      </c>
      <c r="S1277" s="195">
        <v>0.0</v>
      </c>
      <c r="T1277" s="195">
        <v>0.0</v>
      </c>
      <c r="U1277" s="179">
        <v>0.0</v>
      </c>
      <c r="V1277" s="208">
        <v>0.0</v>
      </c>
      <c r="W1277" s="179">
        <v>0.0</v>
      </c>
      <c r="X1277" s="179">
        <v>0.0</v>
      </c>
    </row>
    <row r="1278" ht="15.75" customHeight="1">
      <c r="A1278" s="200">
        <v>45772.0</v>
      </c>
      <c r="B1278" s="10" t="str">
        <f t="array" ref="B1278">_xlfn.XLOOKUP(D1278,'Referanc '!$A:$A,'Referanc '!$B:$B)</f>
        <v>Standing Table  - M8</v>
      </c>
      <c r="C1278" s="179" t="s">
        <v>416</v>
      </c>
      <c r="D1278" s="179" t="s">
        <v>416</v>
      </c>
      <c r="E1278" s="179" t="s">
        <v>1189</v>
      </c>
      <c r="G1278" s="179">
        <v>145.0</v>
      </c>
      <c r="H1278" s="179">
        <v>5.0</v>
      </c>
      <c r="I1278" s="195">
        <v>0.0022</v>
      </c>
      <c r="J1278" s="195">
        <v>0.0018</v>
      </c>
      <c r="K1278" s="179">
        <v>167.0</v>
      </c>
      <c r="L1278" s="179">
        <v>5.0</v>
      </c>
      <c r="M1278" s="195">
        <v>0.0019</v>
      </c>
      <c r="N1278" s="195">
        <v>0.0013</v>
      </c>
      <c r="O1278" s="195">
        <v>0.8608</v>
      </c>
      <c r="P1278" s="195">
        <v>0.6667</v>
      </c>
      <c r="Q1278" s="179">
        <v>0.0</v>
      </c>
      <c r="R1278" s="179">
        <v>0.0</v>
      </c>
      <c r="S1278" s="195">
        <v>0.0</v>
      </c>
      <c r="T1278" s="195">
        <v>0.0</v>
      </c>
      <c r="U1278" s="179">
        <v>0.0</v>
      </c>
      <c r="V1278" s="208">
        <v>0.0</v>
      </c>
      <c r="W1278" s="179">
        <v>0.0</v>
      </c>
      <c r="X1278" s="179">
        <v>0.0</v>
      </c>
    </row>
    <row r="1279" ht="15.75" customHeight="1">
      <c r="A1279" s="200">
        <v>45772.0</v>
      </c>
      <c r="B1279" s="10" t="str">
        <f t="array" ref="B1279">_xlfn.XLOOKUP(D1279,'Referanc '!$A:$A,'Referanc '!$B:$B)</f>
        <v>Single Leg Gas</v>
      </c>
      <c r="C1279" s="179" t="s">
        <v>335</v>
      </c>
      <c r="D1279" s="179" t="s">
        <v>335</v>
      </c>
      <c r="E1279" s="179" t="s">
        <v>526</v>
      </c>
      <c r="G1279" s="179">
        <v>11.0</v>
      </c>
      <c r="H1279" s="179">
        <v>0.0</v>
      </c>
      <c r="I1279" s="195">
        <v>2.0E-4</v>
      </c>
      <c r="J1279" s="195">
        <v>0.0</v>
      </c>
      <c r="K1279" s="179">
        <v>17.0</v>
      </c>
      <c r="L1279" s="179">
        <v>0.0</v>
      </c>
      <c r="M1279" s="195">
        <v>2.0E-4</v>
      </c>
      <c r="N1279" s="195">
        <v>0.0</v>
      </c>
      <c r="O1279" s="195">
        <v>0.6154</v>
      </c>
      <c r="P1279" s="195">
        <v>0.0</v>
      </c>
      <c r="Q1279" s="179">
        <v>0.0</v>
      </c>
      <c r="R1279" s="179">
        <v>0.0</v>
      </c>
      <c r="S1279" s="195">
        <v>0.0</v>
      </c>
      <c r="T1279" s="195">
        <v>0.0</v>
      </c>
      <c r="U1279" s="179">
        <v>0.0</v>
      </c>
      <c r="V1279" s="208">
        <v>0.0</v>
      </c>
      <c r="W1279" s="179">
        <v>0.0</v>
      </c>
      <c r="X1279" s="179">
        <v>0.0</v>
      </c>
    </row>
    <row r="1280" ht="15.75" customHeight="1">
      <c r="A1280" s="200">
        <v>45772.0</v>
      </c>
      <c r="B1280" s="10" t="str">
        <f t="array" ref="B1280">_xlfn.XLOOKUP(D1280,'Referanc '!$A:$A,'Referanc '!$B:$B)</f>
        <v>Single Leg Gas</v>
      </c>
      <c r="C1280" s="179" t="s">
        <v>362</v>
      </c>
      <c r="D1280" s="179" t="s">
        <v>362</v>
      </c>
      <c r="E1280" s="179" t="s">
        <v>610</v>
      </c>
      <c r="G1280" s="179">
        <v>6.0</v>
      </c>
      <c r="H1280" s="179">
        <v>0.0</v>
      </c>
      <c r="I1280" s="195">
        <v>1.0E-4</v>
      </c>
      <c r="J1280" s="195">
        <v>0.0</v>
      </c>
      <c r="K1280" s="179">
        <v>7.0</v>
      </c>
      <c r="L1280" s="179">
        <v>0.0</v>
      </c>
      <c r="M1280" s="195">
        <v>1.0E-4</v>
      </c>
      <c r="N1280" s="195">
        <v>0.0</v>
      </c>
      <c r="O1280" s="195">
        <v>1.0</v>
      </c>
      <c r="P1280" s="195">
        <v>0.0</v>
      </c>
      <c r="Q1280" s="179">
        <v>0.0</v>
      </c>
      <c r="R1280" s="179">
        <v>0.0</v>
      </c>
      <c r="S1280" s="195">
        <v>0.0</v>
      </c>
      <c r="T1280" s="195">
        <v>0.0</v>
      </c>
      <c r="U1280" s="179">
        <v>0.0</v>
      </c>
      <c r="V1280" s="208">
        <v>0.0</v>
      </c>
      <c r="W1280" s="179">
        <v>0.0</v>
      </c>
      <c r="X1280" s="179">
        <v>0.0</v>
      </c>
    </row>
    <row r="1281" ht="15.75" customHeight="1">
      <c r="A1281" s="200">
        <v>45772.0</v>
      </c>
      <c r="B1281" s="10" t="str">
        <f t="array" ref="B1281">_xlfn.XLOOKUP(D1281,'Referanc '!$A:$A,'Referanc '!$B:$B)</f>
        <v>Laptop Riser</v>
      </c>
      <c r="C1281" s="179" t="s">
        <v>347</v>
      </c>
      <c r="D1281" s="179" t="s">
        <v>347</v>
      </c>
      <c r="E1281" s="179" t="s">
        <v>693</v>
      </c>
      <c r="G1281" s="179">
        <v>29.0</v>
      </c>
      <c r="H1281" s="179">
        <v>1.0</v>
      </c>
      <c r="I1281" s="195">
        <v>4.0E-4</v>
      </c>
      <c r="J1281" s="195">
        <v>4.0E-4</v>
      </c>
      <c r="K1281" s="179">
        <v>37.0</v>
      </c>
      <c r="L1281" s="179">
        <v>1.0</v>
      </c>
      <c r="M1281" s="195">
        <v>4.0E-4</v>
      </c>
      <c r="N1281" s="195">
        <v>3.0E-4</v>
      </c>
      <c r="O1281" s="195">
        <v>0.6875</v>
      </c>
      <c r="P1281" s="195">
        <v>0.0</v>
      </c>
      <c r="Q1281" s="179">
        <v>0.0</v>
      </c>
      <c r="R1281" s="179">
        <v>0.0</v>
      </c>
      <c r="S1281" s="195">
        <v>0.0</v>
      </c>
      <c r="T1281" s="195">
        <v>0.0</v>
      </c>
      <c r="U1281" s="179">
        <v>0.0</v>
      </c>
      <c r="V1281" s="208">
        <v>0.0</v>
      </c>
      <c r="W1281" s="179">
        <v>0.0</v>
      </c>
      <c r="X1281" s="179">
        <v>0.0</v>
      </c>
    </row>
    <row r="1282" ht="15.75" customHeight="1">
      <c r="A1282" s="200">
        <v>45772.0</v>
      </c>
      <c r="B1282" s="10" t="str">
        <f t="array" ref="B1282">_xlfn.XLOOKUP(D1282,'Referanc '!$A:$A,'Referanc '!$B:$B)</f>
        <v>#N/A</v>
      </c>
      <c r="C1282" s="179" t="s">
        <v>455</v>
      </c>
      <c r="D1282" s="179" t="s">
        <v>455</v>
      </c>
      <c r="E1282" s="179" t="s">
        <v>1379</v>
      </c>
      <c r="G1282" s="179">
        <v>5.0</v>
      </c>
      <c r="H1282" s="179">
        <v>0.0</v>
      </c>
      <c r="I1282" s="195">
        <v>1.0E-4</v>
      </c>
      <c r="J1282" s="195">
        <v>0.0</v>
      </c>
      <c r="K1282" s="179">
        <v>9.0</v>
      </c>
      <c r="L1282" s="179">
        <v>0.0</v>
      </c>
      <c r="M1282" s="195">
        <v>1.0E-4</v>
      </c>
      <c r="N1282" s="195">
        <v>0.0</v>
      </c>
      <c r="O1282" s="195">
        <v>1.0</v>
      </c>
      <c r="P1282" s="195">
        <v>0.0</v>
      </c>
      <c r="Q1282" s="179">
        <v>0.0</v>
      </c>
      <c r="R1282" s="179">
        <v>0.0</v>
      </c>
      <c r="S1282" s="195">
        <v>0.0</v>
      </c>
      <c r="T1282" s="195">
        <v>0.0</v>
      </c>
      <c r="U1282" s="179">
        <v>0.0</v>
      </c>
      <c r="V1282" s="208">
        <v>0.0</v>
      </c>
      <c r="W1282" s="179">
        <v>0.0</v>
      </c>
      <c r="X1282" s="179">
        <v>0.0</v>
      </c>
    </row>
    <row r="1283" ht="15.75" customHeight="1">
      <c r="A1283" s="200">
        <v>45772.0</v>
      </c>
      <c r="B1283" s="10" t="str">
        <f t="array" ref="B1283">_xlfn.XLOOKUP(D1283,'Referanc '!$A:$A,'Referanc '!$B:$B)</f>
        <v>Standing Table  - E3</v>
      </c>
      <c r="C1283" s="179" t="s">
        <v>365</v>
      </c>
      <c r="D1283" s="179" t="s">
        <v>365</v>
      </c>
      <c r="E1283" s="179" t="s">
        <v>1298</v>
      </c>
      <c r="G1283" s="179">
        <v>40.0</v>
      </c>
      <c r="H1283" s="179">
        <v>1.0</v>
      </c>
      <c r="I1283" s="195">
        <v>6.0E-4</v>
      </c>
      <c r="J1283" s="195">
        <v>4.0E-4</v>
      </c>
      <c r="K1283" s="179">
        <v>49.0</v>
      </c>
      <c r="L1283" s="179">
        <v>1.0</v>
      </c>
      <c r="M1283" s="195">
        <v>6.0E-4</v>
      </c>
      <c r="N1283" s="195">
        <v>3.0E-4</v>
      </c>
      <c r="O1283" s="195">
        <v>0.6341</v>
      </c>
      <c r="P1283" s="195">
        <v>0.0</v>
      </c>
      <c r="Q1283" s="179">
        <v>0.0</v>
      </c>
      <c r="R1283" s="179">
        <v>0.0</v>
      </c>
      <c r="S1283" s="195">
        <v>0.0</v>
      </c>
      <c r="T1283" s="195">
        <v>0.0</v>
      </c>
      <c r="U1283" s="179">
        <v>0.0</v>
      </c>
      <c r="V1283" s="208">
        <v>0.0</v>
      </c>
      <c r="W1283" s="179">
        <v>0.0</v>
      </c>
      <c r="X1283" s="179">
        <v>0.0</v>
      </c>
    </row>
    <row r="1284" ht="15.75" customHeight="1">
      <c r="A1284" s="200">
        <v>45772.0</v>
      </c>
      <c r="B1284" s="10" t="str">
        <f t="array" ref="B1284">_xlfn.XLOOKUP(D1284,'Referanc '!$A:$A,'Referanc '!$B:$B)</f>
        <v>Standing Table  - E3</v>
      </c>
      <c r="C1284" s="179" t="s">
        <v>381</v>
      </c>
      <c r="D1284" s="179" t="s">
        <v>381</v>
      </c>
      <c r="E1284" s="179" t="s">
        <v>1143</v>
      </c>
      <c r="G1284" s="179">
        <v>95.0</v>
      </c>
      <c r="H1284" s="179">
        <v>6.0</v>
      </c>
      <c r="I1284" s="195">
        <v>0.0015</v>
      </c>
      <c r="J1284" s="195">
        <v>0.0022</v>
      </c>
      <c r="K1284" s="179">
        <v>121.0</v>
      </c>
      <c r="L1284" s="179">
        <v>8.0</v>
      </c>
      <c r="M1284" s="195">
        <v>0.0014</v>
      </c>
      <c r="N1284" s="195">
        <v>0.0022</v>
      </c>
      <c r="O1284" s="195">
        <v>0.8485</v>
      </c>
      <c r="P1284" s="195">
        <v>1.0</v>
      </c>
      <c r="Q1284" s="179">
        <v>0.0</v>
      </c>
      <c r="R1284" s="179">
        <v>0.0</v>
      </c>
      <c r="S1284" s="195">
        <v>0.0</v>
      </c>
      <c r="T1284" s="195">
        <v>0.0</v>
      </c>
      <c r="U1284" s="179">
        <v>0.0</v>
      </c>
      <c r="V1284" s="208">
        <v>0.0</v>
      </c>
      <c r="W1284" s="179">
        <v>0.0</v>
      </c>
      <c r="X1284" s="179">
        <v>0.0</v>
      </c>
    </row>
    <row r="1285" ht="15.75" customHeight="1">
      <c r="A1285" s="200">
        <v>45772.0</v>
      </c>
      <c r="B1285" s="10" t="str">
        <f t="array" ref="B1285">_xlfn.XLOOKUP(D1285,'Referanc '!$A:$A,'Referanc '!$B:$B)</f>
        <v>Standing Table  - E2</v>
      </c>
      <c r="C1285" s="179" t="s">
        <v>390</v>
      </c>
      <c r="D1285" s="179" t="s">
        <v>390</v>
      </c>
      <c r="E1285" s="179" t="s">
        <v>1127</v>
      </c>
      <c r="G1285" s="179">
        <v>34.0</v>
      </c>
      <c r="H1285" s="179">
        <v>3.0</v>
      </c>
      <c r="I1285" s="195">
        <v>5.0E-4</v>
      </c>
      <c r="J1285" s="195">
        <v>0.0011</v>
      </c>
      <c r="K1285" s="179">
        <v>41.0</v>
      </c>
      <c r="L1285" s="179">
        <v>4.0</v>
      </c>
      <c r="M1285" s="195">
        <v>5.0E-4</v>
      </c>
      <c r="N1285" s="195">
        <v>0.0011</v>
      </c>
      <c r="O1285" s="195">
        <v>0.9677</v>
      </c>
      <c r="P1285" s="195">
        <v>1.0</v>
      </c>
      <c r="Q1285" s="179">
        <v>0.0</v>
      </c>
      <c r="R1285" s="179">
        <v>0.0</v>
      </c>
      <c r="S1285" s="195">
        <v>0.0</v>
      </c>
      <c r="T1285" s="195">
        <v>0.0</v>
      </c>
      <c r="U1285" s="179">
        <v>0.0</v>
      </c>
      <c r="V1285" s="208">
        <v>0.0</v>
      </c>
      <c r="W1285" s="179">
        <v>0.0</v>
      </c>
      <c r="X1285" s="179">
        <v>0.0</v>
      </c>
    </row>
    <row r="1286" ht="15.75" customHeight="1">
      <c r="A1286" s="200">
        <v>45772.0</v>
      </c>
      <c r="B1286" s="10" t="str">
        <f t="array" ref="B1286">_xlfn.XLOOKUP(D1286,'Referanc '!$A:$A,'Referanc '!$B:$B)</f>
        <v>Standing Table  - E2</v>
      </c>
      <c r="C1286" s="179" t="s">
        <v>393</v>
      </c>
      <c r="D1286" s="179" t="s">
        <v>393</v>
      </c>
      <c r="E1286" s="179" t="s">
        <v>1133</v>
      </c>
      <c r="G1286" s="179">
        <v>35.0</v>
      </c>
      <c r="H1286" s="179">
        <v>0.0</v>
      </c>
      <c r="I1286" s="195">
        <v>5.0E-4</v>
      </c>
      <c r="J1286" s="195">
        <v>0.0</v>
      </c>
      <c r="K1286" s="179">
        <v>41.0</v>
      </c>
      <c r="L1286" s="179">
        <v>0.0</v>
      </c>
      <c r="M1286" s="195">
        <v>5.0E-4</v>
      </c>
      <c r="N1286" s="195">
        <v>0.0</v>
      </c>
      <c r="O1286" s="195">
        <v>1.0</v>
      </c>
      <c r="P1286" s="195">
        <v>0.0</v>
      </c>
      <c r="Q1286" s="179">
        <v>0.0</v>
      </c>
      <c r="R1286" s="179">
        <v>0.0</v>
      </c>
      <c r="S1286" s="195">
        <v>0.0</v>
      </c>
      <c r="T1286" s="195">
        <v>0.0</v>
      </c>
      <c r="U1286" s="179">
        <v>0.0</v>
      </c>
      <c r="V1286" s="208">
        <v>0.0</v>
      </c>
      <c r="W1286" s="179">
        <v>0.0</v>
      </c>
      <c r="X1286" s="179">
        <v>0.0</v>
      </c>
    </row>
    <row r="1287" ht="15.75" customHeight="1">
      <c r="A1287" s="200">
        <v>45772.0</v>
      </c>
      <c r="B1287" s="10" t="str">
        <f t="array" ref="B1287">_xlfn.XLOOKUP(D1287,'Referanc '!$A:$A,'Referanc '!$B:$B)</f>
        <v>Standing Table  - E3</v>
      </c>
      <c r="C1287" s="179" t="s">
        <v>397</v>
      </c>
      <c r="D1287" s="179" t="s">
        <v>397</v>
      </c>
      <c r="E1287" s="179" t="s">
        <v>1154</v>
      </c>
      <c r="G1287" s="179">
        <v>56.0</v>
      </c>
      <c r="H1287" s="179">
        <v>3.0</v>
      </c>
      <c r="I1287" s="195">
        <v>9.0E-4</v>
      </c>
      <c r="J1287" s="195">
        <v>0.0011</v>
      </c>
      <c r="K1287" s="179">
        <v>66.0</v>
      </c>
      <c r="L1287" s="179">
        <v>5.0</v>
      </c>
      <c r="M1287" s="195">
        <v>7.0E-4</v>
      </c>
      <c r="N1287" s="195">
        <v>0.0013</v>
      </c>
      <c r="O1287" s="195">
        <v>0.9219</v>
      </c>
      <c r="P1287" s="195">
        <v>1.0</v>
      </c>
      <c r="Q1287" s="179">
        <v>0.0</v>
      </c>
      <c r="R1287" s="179">
        <v>0.0</v>
      </c>
      <c r="S1287" s="195">
        <v>0.0</v>
      </c>
      <c r="T1287" s="195">
        <v>0.0</v>
      </c>
      <c r="U1287" s="179">
        <v>0.0</v>
      </c>
      <c r="V1287" s="208">
        <v>0.0</v>
      </c>
      <c r="W1287" s="179">
        <v>0.0</v>
      </c>
      <c r="X1287" s="179">
        <v>0.0</v>
      </c>
    </row>
    <row r="1288" ht="15.75" customHeight="1">
      <c r="A1288" s="200">
        <v>45772.0</v>
      </c>
      <c r="B1288" s="10" t="str">
        <f t="array" ref="B1288">_xlfn.XLOOKUP(D1288,'Referanc '!$A:$A,'Referanc '!$B:$B)</f>
        <v>Standing Table  - E1A</v>
      </c>
      <c r="C1288" s="179" t="s">
        <v>371</v>
      </c>
      <c r="D1288" s="179" t="s">
        <v>371</v>
      </c>
      <c r="E1288" s="179" t="s">
        <v>1353</v>
      </c>
      <c r="G1288" s="179">
        <v>324.0</v>
      </c>
      <c r="H1288" s="179">
        <v>17.0</v>
      </c>
      <c r="I1288" s="195">
        <v>0.005</v>
      </c>
      <c r="J1288" s="195">
        <v>0.0062</v>
      </c>
      <c r="K1288" s="179">
        <v>400.0</v>
      </c>
      <c r="L1288" s="179">
        <v>18.0</v>
      </c>
      <c r="M1288" s="195">
        <v>0.0045</v>
      </c>
      <c r="N1288" s="195">
        <v>0.0048</v>
      </c>
      <c r="O1288" s="195">
        <v>0.9304</v>
      </c>
      <c r="P1288" s="195">
        <v>0.5833</v>
      </c>
      <c r="Q1288" s="179">
        <v>0.0</v>
      </c>
      <c r="R1288" s="179">
        <v>0.0</v>
      </c>
      <c r="S1288" s="195">
        <v>0.0</v>
      </c>
      <c r="T1288" s="195">
        <v>0.0</v>
      </c>
      <c r="U1288" s="179">
        <v>0.0</v>
      </c>
      <c r="V1288" s="208">
        <v>0.0</v>
      </c>
      <c r="W1288" s="179">
        <v>0.0</v>
      </c>
      <c r="X1288" s="179">
        <v>0.0</v>
      </c>
    </row>
    <row r="1289" ht="15.75" customHeight="1">
      <c r="A1289" s="200">
        <v>45772.0</v>
      </c>
      <c r="B1289" s="10" t="str">
        <f t="array" ref="B1289">_xlfn.XLOOKUP(D1289,'Referanc '!$A:$A,'Referanc '!$B:$B)</f>
        <v>Standing Table  - E1A</v>
      </c>
      <c r="C1289" s="179" t="s">
        <v>378</v>
      </c>
      <c r="D1289" s="179" t="s">
        <v>378</v>
      </c>
      <c r="E1289" s="179" t="s">
        <v>1367</v>
      </c>
      <c r="G1289" s="179">
        <v>71.0</v>
      </c>
      <c r="H1289" s="179">
        <v>6.0</v>
      </c>
      <c r="I1289" s="195">
        <v>0.0011</v>
      </c>
      <c r="J1289" s="195">
        <v>0.0022</v>
      </c>
      <c r="K1289" s="179">
        <v>77.0</v>
      </c>
      <c r="L1289" s="179">
        <v>6.0</v>
      </c>
      <c r="M1289" s="195">
        <v>9.0E-4</v>
      </c>
      <c r="N1289" s="195">
        <v>0.0016</v>
      </c>
      <c r="O1289" s="195">
        <v>0.9221</v>
      </c>
      <c r="P1289" s="195">
        <v>1.0</v>
      </c>
      <c r="Q1289" s="179">
        <v>0.0</v>
      </c>
      <c r="R1289" s="179">
        <v>0.0</v>
      </c>
      <c r="S1289" s="195">
        <v>0.0</v>
      </c>
      <c r="T1289" s="195">
        <v>0.0</v>
      </c>
      <c r="U1289" s="179">
        <v>0.0</v>
      </c>
      <c r="V1289" s="208">
        <v>0.0</v>
      </c>
      <c r="W1289" s="179">
        <v>0.0</v>
      </c>
      <c r="X1289" s="179">
        <v>0.0</v>
      </c>
    </row>
    <row r="1290" ht="15.75" customHeight="1">
      <c r="A1290" s="200">
        <v>45772.0</v>
      </c>
      <c r="B1290" s="10" t="str">
        <f t="array" ref="B1290">_xlfn.XLOOKUP(D1290,'Referanc '!$A:$A,'Referanc '!$B:$B)</f>
        <v>Standing Table  - E4</v>
      </c>
      <c r="C1290" s="179" t="s">
        <v>404</v>
      </c>
      <c r="D1290" s="179" t="s">
        <v>404</v>
      </c>
      <c r="E1290" s="179" t="s">
        <v>1304</v>
      </c>
      <c r="G1290" s="179">
        <v>73.0</v>
      </c>
      <c r="H1290" s="179">
        <v>1.0</v>
      </c>
      <c r="I1290" s="195">
        <v>0.0011</v>
      </c>
      <c r="J1290" s="195">
        <v>4.0E-4</v>
      </c>
      <c r="K1290" s="179">
        <v>89.0</v>
      </c>
      <c r="L1290" s="179">
        <v>1.0</v>
      </c>
      <c r="M1290" s="195">
        <v>0.001</v>
      </c>
      <c r="N1290" s="195">
        <v>3.0E-4</v>
      </c>
      <c r="O1290" s="195">
        <v>0.9868</v>
      </c>
      <c r="P1290" s="195">
        <v>1.0</v>
      </c>
      <c r="Q1290" s="179">
        <v>0.0</v>
      </c>
      <c r="R1290" s="179">
        <v>0.0</v>
      </c>
      <c r="S1290" s="195">
        <v>0.0</v>
      </c>
      <c r="T1290" s="195">
        <v>0.0</v>
      </c>
      <c r="U1290" s="179">
        <v>0.0</v>
      </c>
      <c r="V1290" s="208">
        <v>0.0</v>
      </c>
      <c r="W1290" s="179">
        <v>0.0</v>
      </c>
      <c r="X1290" s="179">
        <v>0.0</v>
      </c>
    </row>
    <row r="1291" ht="15.75" customHeight="1">
      <c r="A1291" s="200">
        <v>45772.0</v>
      </c>
      <c r="B1291" s="10" t="str">
        <f t="array" ref="B1291">_xlfn.XLOOKUP(D1291,'Referanc '!$A:$A,'Referanc '!$B:$B)</f>
        <v>Standing Table  - E4</v>
      </c>
      <c r="C1291" s="179" t="s">
        <v>407</v>
      </c>
      <c r="D1291" s="179" t="s">
        <v>407</v>
      </c>
      <c r="E1291" s="179" t="s">
        <v>1306</v>
      </c>
      <c r="G1291" s="179">
        <v>101.0</v>
      </c>
      <c r="H1291" s="179">
        <v>6.0</v>
      </c>
      <c r="I1291" s="195">
        <v>0.0015</v>
      </c>
      <c r="J1291" s="195">
        <v>0.0022</v>
      </c>
      <c r="K1291" s="179">
        <v>135.0</v>
      </c>
      <c r="L1291" s="179">
        <v>6.0</v>
      </c>
      <c r="M1291" s="195">
        <v>0.0015</v>
      </c>
      <c r="N1291" s="195">
        <v>0.0016</v>
      </c>
      <c r="O1291" s="195">
        <v>0.9587</v>
      </c>
      <c r="P1291" s="195">
        <v>0.8</v>
      </c>
      <c r="Q1291" s="179">
        <v>0.0</v>
      </c>
      <c r="R1291" s="179">
        <v>0.0</v>
      </c>
      <c r="S1291" s="195">
        <v>0.0</v>
      </c>
      <c r="T1291" s="195">
        <v>0.0</v>
      </c>
      <c r="U1291" s="179">
        <v>0.0</v>
      </c>
      <c r="V1291" s="208">
        <v>0.0</v>
      </c>
      <c r="W1291" s="179">
        <v>0.0</v>
      </c>
      <c r="X1291" s="179">
        <v>0.0</v>
      </c>
    </row>
    <row r="1292" ht="15.75" customHeight="1">
      <c r="A1292" s="200">
        <v>45772.0</v>
      </c>
      <c r="B1292" s="10" t="str">
        <f t="array" ref="B1292">_xlfn.XLOOKUP(D1292,'Referanc '!$A:$A,'Referanc '!$B:$B)</f>
        <v>Standing Table  - E4</v>
      </c>
      <c r="C1292" s="179" t="s">
        <v>409</v>
      </c>
      <c r="D1292" s="179" t="s">
        <v>409</v>
      </c>
      <c r="E1292" s="179" t="s">
        <v>1307</v>
      </c>
      <c r="G1292" s="179">
        <v>44.0</v>
      </c>
      <c r="H1292" s="179">
        <v>2.0</v>
      </c>
      <c r="I1292" s="195">
        <v>7.0E-4</v>
      </c>
      <c r="J1292" s="195">
        <v>7.0E-4</v>
      </c>
      <c r="K1292" s="179">
        <v>54.0</v>
      </c>
      <c r="L1292" s="179">
        <v>2.0</v>
      </c>
      <c r="M1292" s="195">
        <v>6.0E-4</v>
      </c>
      <c r="N1292" s="195">
        <v>5.0E-4</v>
      </c>
      <c r="O1292" s="195">
        <v>0.9091</v>
      </c>
      <c r="P1292" s="195">
        <v>0.5</v>
      </c>
      <c r="Q1292" s="179">
        <v>0.0</v>
      </c>
      <c r="R1292" s="179">
        <v>0.0</v>
      </c>
      <c r="S1292" s="195">
        <v>0.0</v>
      </c>
      <c r="T1292" s="195">
        <v>0.0</v>
      </c>
      <c r="U1292" s="179">
        <v>0.0</v>
      </c>
      <c r="V1292" s="208">
        <v>0.0</v>
      </c>
      <c r="W1292" s="179">
        <v>0.0</v>
      </c>
      <c r="X1292" s="179">
        <v>0.0</v>
      </c>
    </row>
    <row r="1293" ht="15.75" customHeight="1">
      <c r="A1293" s="107"/>
      <c r="C1293" s="179" t="s">
        <v>433</v>
      </c>
      <c r="D1293" s="179" t="s">
        <v>433</v>
      </c>
      <c r="E1293" s="179" t="s">
        <v>723</v>
      </c>
      <c r="G1293" s="179">
        <v>287.0</v>
      </c>
      <c r="H1293" s="179">
        <v>15.0</v>
      </c>
      <c r="I1293" s="195">
        <v>0.0044</v>
      </c>
      <c r="J1293" s="195">
        <v>0.0055</v>
      </c>
      <c r="K1293" s="179">
        <v>354.0</v>
      </c>
      <c r="L1293" s="179">
        <v>16.0</v>
      </c>
      <c r="M1293" s="195">
        <v>0.004</v>
      </c>
      <c r="N1293" s="195">
        <v>0.0043</v>
      </c>
      <c r="O1293" s="195">
        <v>0.9281</v>
      </c>
      <c r="P1293" s="195">
        <v>0.6667</v>
      </c>
      <c r="Q1293" s="179">
        <v>0.0</v>
      </c>
      <c r="R1293" s="179">
        <v>0.0</v>
      </c>
      <c r="S1293" s="195">
        <v>0.0</v>
      </c>
      <c r="T1293" s="195">
        <v>0.0</v>
      </c>
      <c r="U1293" s="179">
        <v>0.0</v>
      </c>
      <c r="V1293" s="208">
        <v>0.0</v>
      </c>
      <c r="W1293" s="179">
        <v>0.0</v>
      </c>
      <c r="X1293" s="179">
        <v>0.0</v>
      </c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7" width="8.71"/>
    <col customWidth="1" min="8" max="8" width="30.57"/>
    <col customWidth="1" min="9" max="26" width="8.71"/>
  </cols>
  <sheetData>
    <row r="1">
      <c r="A1" s="68" t="s">
        <v>0</v>
      </c>
      <c r="B1" s="68" t="s">
        <v>1332</v>
      </c>
      <c r="C1" s="68" t="s">
        <v>1333</v>
      </c>
      <c r="D1" s="68" t="s">
        <v>1334</v>
      </c>
      <c r="E1" s="68" t="s">
        <v>1335</v>
      </c>
      <c r="F1" s="68" t="s">
        <v>1336</v>
      </c>
      <c r="G1" s="68" t="s">
        <v>1337</v>
      </c>
      <c r="H1" s="68" t="s">
        <v>1338</v>
      </c>
      <c r="I1" s="68" t="s">
        <v>12</v>
      </c>
      <c r="J1" s="68" t="s">
        <v>6</v>
      </c>
      <c r="K1" s="68" t="s">
        <v>1339</v>
      </c>
      <c r="L1" s="68" t="s">
        <v>18</v>
      </c>
      <c r="M1" s="68" t="s">
        <v>1340</v>
      </c>
      <c r="N1" s="68" t="s">
        <v>1341</v>
      </c>
      <c r="O1" s="68" t="s">
        <v>1342</v>
      </c>
      <c r="P1" s="68" t="s">
        <v>1343</v>
      </c>
      <c r="Q1" s="68" t="s">
        <v>1344</v>
      </c>
    </row>
    <row r="2">
      <c r="A2" s="68" t="str">
        <f t="shared" ref="A2:A123" si="1">TEXT(B2,"mmmm")</f>
        <v>February</v>
      </c>
      <c r="B2" s="202">
        <v>45323.0</v>
      </c>
      <c r="C2" s="202">
        <v>45336.0</v>
      </c>
      <c r="D2" s="68" t="s">
        <v>119</v>
      </c>
      <c r="E2" s="68" t="s">
        <v>1346</v>
      </c>
      <c r="F2" s="68" t="s">
        <v>787</v>
      </c>
      <c r="G2" s="68" t="s">
        <v>775</v>
      </c>
      <c r="H2" s="68" t="s">
        <v>1347</v>
      </c>
      <c r="I2" s="28">
        <v>474.0</v>
      </c>
      <c r="J2" s="28">
        <v>6.0</v>
      </c>
      <c r="K2" s="203">
        <v>9.973333333333333</v>
      </c>
      <c r="L2" s="203">
        <v>59.839999999999996</v>
      </c>
      <c r="M2" s="203">
        <v>0.0</v>
      </c>
      <c r="O2" s="204">
        <v>0.0</v>
      </c>
      <c r="P2" s="28">
        <v>0.0</v>
      </c>
      <c r="Q2" s="28">
        <v>0.0</v>
      </c>
    </row>
    <row r="3">
      <c r="A3" s="68" t="str">
        <f t="shared" si="1"/>
        <v>February</v>
      </c>
      <c r="B3" s="202">
        <v>45323.0</v>
      </c>
      <c r="C3" s="202">
        <v>45335.0</v>
      </c>
      <c r="D3" s="68" t="s">
        <v>119</v>
      </c>
      <c r="E3" s="68" t="s">
        <v>1346</v>
      </c>
      <c r="F3" s="68" t="s">
        <v>787</v>
      </c>
      <c r="G3" s="68" t="s">
        <v>775</v>
      </c>
      <c r="H3" s="68" t="s">
        <v>1348</v>
      </c>
      <c r="I3" s="28">
        <v>5.0</v>
      </c>
      <c r="J3" s="28">
        <v>0.0</v>
      </c>
      <c r="L3" s="203">
        <v>0.0</v>
      </c>
      <c r="M3" s="203">
        <v>0.0</v>
      </c>
      <c r="P3" s="28">
        <v>0.0</v>
      </c>
      <c r="Q3" s="28">
        <v>0.0</v>
      </c>
    </row>
    <row r="4">
      <c r="A4" s="68" t="str">
        <f t="shared" si="1"/>
        <v>February</v>
      </c>
      <c r="B4" s="202">
        <v>45323.0</v>
      </c>
      <c r="C4" s="202">
        <v>45351.0</v>
      </c>
      <c r="D4" s="68" t="s">
        <v>110</v>
      </c>
      <c r="E4" s="68" t="s">
        <v>1346</v>
      </c>
      <c r="F4" s="68" t="s">
        <v>876</v>
      </c>
      <c r="G4" s="68" t="s">
        <v>783</v>
      </c>
      <c r="H4" s="68" t="s">
        <v>1347</v>
      </c>
      <c r="I4" s="28">
        <v>64635.0</v>
      </c>
      <c r="J4" s="28">
        <v>143.0</v>
      </c>
      <c r="K4" s="203">
        <v>22.21202797202797</v>
      </c>
      <c r="L4" s="203">
        <v>3176.3199999999997</v>
      </c>
      <c r="M4" s="203">
        <v>0.0</v>
      </c>
      <c r="O4" s="204">
        <v>0.0</v>
      </c>
      <c r="P4" s="28">
        <v>0.0</v>
      </c>
      <c r="Q4" s="28">
        <v>0.0</v>
      </c>
    </row>
    <row r="5">
      <c r="A5" s="68" t="str">
        <f t="shared" si="1"/>
        <v>February</v>
      </c>
      <c r="B5" s="202">
        <v>45323.0</v>
      </c>
      <c r="C5" s="202">
        <v>45351.0</v>
      </c>
      <c r="D5" s="68" t="s">
        <v>110</v>
      </c>
      <c r="E5" s="68" t="s">
        <v>1346</v>
      </c>
      <c r="F5" s="68" t="s">
        <v>876</v>
      </c>
      <c r="G5" s="68" t="s">
        <v>783</v>
      </c>
      <c r="H5" s="68" t="s">
        <v>1348</v>
      </c>
      <c r="I5" s="28">
        <v>20473.0</v>
      </c>
      <c r="J5" s="28">
        <v>232.0</v>
      </c>
      <c r="K5" s="203">
        <v>16.69862068965517</v>
      </c>
      <c r="L5" s="203">
        <v>3874.079999999999</v>
      </c>
      <c r="M5" s="203">
        <v>30677.96</v>
      </c>
      <c r="N5" s="205">
        <v>0.12628219086275616</v>
      </c>
      <c r="O5" s="204">
        <v>7.918772973196218</v>
      </c>
      <c r="P5" s="28">
        <v>2.0</v>
      </c>
      <c r="Q5" s="28">
        <v>2.0</v>
      </c>
    </row>
    <row r="6">
      <c r="A6" s="68" t="str">
        <f t="shared" si="1"/>
        <v>February</v>
      </c>
      <c r="B6" s="202">
        <v>45323.0</v>
      </c>
      <c r="C6" s="202">
        <v>45351.0</v>
      </c>
      <c r="D6" s="68" t="s">
        <v>110</v>
      </c>
      <c r="E6" s="68" t="s">
        <v>1346</v>
      </c>
      <c r="F6" s="68" t="s">
        <v>876</v>
      </c>
      <c r="G6" s="68" t="s">
        <v>783</v>
      </c>
      <c r="H6" s="68" t="s">
        <v>1350</v>
      </c>
      <c r="I6" s="28">
        <v>14265.0</v>
      </c>
      <c r="J6" s="28">
        <v>545.0</v>
      </c>
      <c r="K6" s="203">
        <v>39.280660550458705</v>
      </c>
      <c r="L6" s="203">
        <v>21407.959999999995</v>
      </c>
      <c r="M6" s="203">
        <v>98855.93000000001</v>
      </c>
      <c r="N6" s="205">
        <v>0.2165571655640688</v>
      </c>
      <c r="O6" s="204">
        <v>4.6177183627024725</v>
      </c>
      <c r="P6" s="28">
        <v>6.0</v>
      </c>
      <c r="Q6" s="28">
        <v>6.0</v>
      </c>
    </row>
    <row r="7">
      <c r="A7" s="68" t="str">
        <f t="shared" si="1"/>
        <v>February</v>
      </c>
      <c r="B7" s="202">
        <v>45323.0</v>
      </c>
      <c r="C7" s="202">
        <v>45334.0</v>
      </c>
      <c r="D7" s="68" t="s">
        <v>110</v>
      </c>
      <c r="E7" s="68" t="s">
        <v>1346</v>
      </c>
      <c r="F7" s="68" t="s">
        <v>825</v>
      </c>
      <c r="G7" s="68" t="s">
        <v>775</v>
      </c>
      <c r="H7" s="68" t="s">
        <v>1347</v>
      </c>
      <c r="I7" s="28">
        <v>12420.0</v>
      </c>
      <c r="J7" s="28">
        <v>13.0</v>
      </c>
      <c r="K7" s="203">
        <v>18.24461538461538</v>
      </c>
      <c r="L7" s="203">
        <v>237.17999999999995</v>
      </c>
      <c r="M7" s="203">
        <v>0.0</v>
      </c>
      <c r="O7" s="204">
        <v>0.0</v>
      </c>
      <c r="P7" s="28">
        <v>0.0</v>
      </c>
      <c r="Q7" s="28">
        <v>0.0</v>
      </c>
    </row>
    <row r="8">
      <c r="A8" s="68" t="str">
        <f t="shared" si="1"/>
        <v>February</v>
      </c>
      <c r="B8" s="202">
        <v>45323.0</v>
      </c>
      <c r="C8" s="202">
        <v>45344.0</v>
      </c>
      <c r="D8" s="68" t="s">
        <v>110</v>
      </c>
      <c r="E8" s="68" t="s">
        <v>1346</v>
      </c>
      <c r="F8" s="68" t="s">
        <v>825</v>
      </c>
      <c r="G8" s="68" t="s">
        <v>775</v>
      </c>
      <c r="H8" s="68" t="s">
        <v>1348</v>
      </c>
      <c r="I8" s="28">
        <v>4644.0</v>
      </c>
      <c r="J8" s="28">
        <v>57.0</v>
      </c>
      <c r="K8" s="203">
        <v>23.11842105263158</v>
      </c>
      <c r="L8" s="203">
        <v>1317.75</v>
      </c>
      <c r="M8" s="203">
        <v>1144.07</v>
      </c>
      <c r="N8" s="205">
        <v>1.1518088928125028</v>
      </c>
      <c r="O8" s="204">
        <v>0.8681995826218933</v>
      </c>
      <c r="P8" s="28">
        <v>1.0</v>
      </c>
      <c r="Q8" s="28">
        <v>1.0</v>
      </c>
    </row>
    <row r="9">
      <c r="A9" s="68" t="str">
        <f t="shared" si="1"/>
        <v>February</v>
      </c>
      <c r="B9" s="202">
        <v>45323.0</v>
      </c>
      <c r="C9" s="202">
        <v>45334.0</v>
      </c>
      <c r="D9" s="68" t="s">
        <v>110</v>
      </c>
      <c r="E9" s="68" t="s">
        <v>1346</v>
      </c>
      <c r="F9" s="68" t="s">
        <v>825</v>
      </c>
      <c r="G9" s="68" t="s">
        <v>775</v>
      </c>
      <c r="H9" s="68" t="s">
        <v>1350</v>
      </c>
      <c r="I9" s="28">
        <v>1385.0</v>
      </c>
      <c r="J9" s="28">
        <v>34.0</v>
      </c>
      <c r="K9" s="203">
        <v>23.645882352941175</v>
      </c>
      <c r="L9" s="203">
        <v>803.9599999999999</v>
      </c>
      <c r="M9" s="203">
        <v>0.0</v>
      </c>
      <c r="O9" s="204">
        <v>0.0</v>
      </c>
      <c r="P9" s="28">
        <v>0.0</v>
      </c>
      <c r="Q9" s="28">
        <v>0.0</v>
      </c>
    </row>
    <row r="10">
      <c r="A10" s="68" t="str">
        <f t="shared" si="1"/>
        <v>February</v>
      </c>
      <c r="B10" s="202">
        <v>45323.0</v>
      </c>
      <c r="C10" s="202">
        <v>45351.0</v>
      </c>
      <c r="D10" s="68" t="s">
        <v>128</v>
      </c>
      <c r="E10" s="68" t="s">
        <v>1346</v>
      </c>
      <c r="F10" s="68" t="s">
        <v>789</v>
      </c>
      <c r="G10" s="68" t="s">
        <v>783</v>
      </c>
      <c r="H10" s="68" t="s">
        <v>1347</v>
      </c>
      <c r="I10" s="28">
        <v>278779.0</v>
      </c>
      <c r="J10" s="28">
        <v>465.0</v>
      </c>
      <c r="K10" s="203">
        <v>46.540172043010756</v>
      </c>
      <c r="L10" s="203">
        <v>21641.18</v>
      </c>
      <c r="M10" s="203">
        <v>106525.42</v>
      </c>
      <c r="N10" s="205">
        <v>0.20315507791473622</v>
      </c>
      <c r="O10" s="204">
        <v>4.922348042019889</v>
      </c>
      <c r="P10" s="28">
        <v>5.0</v>
      </c>
      <c r="Q10" s="28">
        <v>5.0</v>
      </c>
    </row>
    <row r="11">
      <c r="A11" s="68" t="str">
        <f t="shared" si="1"/>
        <v>February</v>
      </c>
      <c r="B11" s="202">
        <v>45323.0</v>
      </c>
      <c r="C11" s="202">
        <v>45351.0</v>
      </c>
      <c r="D11" s="68" t="s">
        <v>128</v>
      </c>
      <c r="E11" s="68" t="s">
        <v>1346</v>
      </c>
      <c r="F11" s="68" t="s">
        <v>789</v>
      </c>
      <c r="G11" s="68" t="s">
        <v>783</v>
      </c>
      <c r="H11" s="68" t="s">
        <v>1348</v>
      </c>
      <c r="I11" s="28">
        <v>908.0</v>
      </c>
      <c r="J11" s="28">
        <v>14.0</v>
      </c>
      <c r="K11" s="203">
        <v>27.09857142857143</v>
      </c>
      <c r="L11" s="203">
        <v>379.38</v>
      </c>
      <c r="M11" s="203">
        <v>0.0</v>
      </c>
      <c r="O11" s="204">
        <v>0.0</v>
      </c>
      <c r="P11" s="28">
        <v>0.0</v>
      </c>
      <c r="Q11" s="28">
        <v>0.0</v>
      </c>
    </row>
    <row r="12">
      <c r="A12" s="68" t="str">
        <f t="shared" si="1"/>
        <v>February</v>
      </c>
      <c r="B12" s="202">
        <v>45323.0</v>
      </c>
      <c r="C12" s="202">
        <v>45351.0</v>
      </c>
      <c r="D12" s="68" t="s">
        <v>128</v>
      </c>
      <c r="E12" s="68" t="s">
        <v>1346</v>
      </c>
      <c r="F12" s="68" t="s">
        <v>789</v>
      </c>
      <c r="G12" s="68" t="s">
        <v>783</v>
      </c>
      <c r="H12" s="68" t="s">
        <v>1350</v>
      </c>
      <c r="I12" s="28">
        <v>1392.0</v>
      </c>
      <c r="J12" s="28">
        <v>129.0</v>
      </c>
      <c r="K12" s="203">
        <v>26.1884496124031</v>
      </c>
      <c r="L12" s="203">
        <v>3378.31</v>
      </c>
      <c r="M12" s="203">
        <v>193897.46</v>
      </c>
      <c r="N12" s="205">
        <v>0.017423178209760973</v>
      </c>
      <c r="O12" s="204">
        <v>57.394809830950976</v>
      </c>
      <c r="P12" s="28">
        <v>9.0</v>
      </c>
      <c r="Q12" s="28">
        <v>9.0</v>
      </c>
    </row>
    <row r="13">
      <c r="A13" s="68" t="str">
        <f t="shared" si="1"/>
        <v>February</v>
      </c>
      <c r="B13" s="202">
        <v>45349.0</v>
      </c>
      <c r="C13" s="202">
        <v>45351.0</v>
      </c>
      <c r="D13" s="68" t="s">
        <v>110</v>
      </c>
      <c r="E13" s="68" t="s">
        <v>1346</v>
      </c>
      <c r="F13" s="68" t="s">
        <v>834</v>
      </c>
      <c r="G13" s="68" t="s">
        <v>775</v>
      </c>
      <c r="H13" s="68" t="s">
        <v>1347</v>
      </c>
      <c r="I13" s="28">
        <v>3828.0</v>
      </c>
      <c r="J13" s="28">
        <v>8.0</v>
      </c>
      <c r="K13" s="203">
        <v>12.631250000000001</v>
      </c>
      <c r="L13" s="203">
        <v>101.05000000000001</v>
      </c>
      <c r="M13" s="203">
        <v>0.0</v>
      </c>
      <c r="O13" s="204">
        <v>0.0</v>
      </c>
      <c r="P13" s="28">
        <v>0.0</v>
      </c>
      <c r="Q13" s="28">
        <v>0.0</v>
      </c>
    </row>
    <row r="14">
      <c r="A14" s="68" t="str">
        <f t="shared" si="1"/>
        <v>February</v>
      </c>
      <c r="B14" s="202">
        <v>45349.0</v>
      </c>
      <c r="C14" s="202">
        <v>45351.0</v>
      </c>
      <c r="D14" s="68" t="s">
        <v>110</v>
      </c>
      <c r="E14" s="68" t="s">
        <v>1346</v>
      </c>
      <c r="F14" s="68" t="s">
        <v>834</v>
      </c>
      <c r="G14" s="68" t="s">
        <v>775</v>
      </c>
      <c r="H14" s="68" t="s">
        <v>1348</v>
      </c>
      <c r="I14" s="28">
        <v>207.0</v>
      </c>
      <c r="J14" s="28">
        <v>3.0</v>
      </c>
      <c r="K14" s="203">
        <v>8.770000000000001</v>
      </c>
      <c r="L14" s="203">
        <v>26.310000000000002</v>
      </c>
      <c r="M14" s="203">
        <v>17711.86</v>
      </c>
      <c r="N14" s="205">
        <v>0.0014854453456610427</v>
      </c>
      <c r="O14" s="204">
        <v>673.1987837324211</v>
      </c>
      <c r="P14" s="28">
        <v>1.0</v>
      </c>
      <c r="Q14" s="28">
        <v>1.0</v>
      </c>
    </row>
    <row r="15">
      <c r="A15" s="68" t="str">
        <f t="shared" si="1"/>
        <v>February</v>
      </c>
      <c r="B15" s="202">
        <v>45349.0</v>
      </c>
      <c r="C15" s="202">
        <v>45351.0</v>
      </c>
      <c r="D15" s="68" t="s">
        <v>110</v>
      </c>
      <c r="E15" s="68" t="s">
        <v>1346</v>
      </c>
      <c r="F15" s="68" t="s">
        <v>834</v>
      </c>
      <c r="G15" s="68" t="s">
        <v>775</v>
      </c>
      <c r="H15" s="68" t="s">
        <v>1350</v>
      </c>
      <c r="I15" s="28">
        <v>74.0</v>
      </c>
      <c r="J15" s="28">
        <v>3.0</v>
      </c>
      <c r="K15" s="203">
        <v>13.290000000000001</v>
      </c>
      <c r="L15" s="203">
        <v>39.870000000000005</v>
      </c>
      <c r="M15" s="203">
        <v>0.0</v>
      </c>
      <c r="O15" s="204">
        <v>0.0</v>
      </c>
      <c r="P15" s="28">
        <v>0.0</v>
      </c>
      <c r="Q15" s="28">
        <v>0.0</v>
      </c>
    </row>
    <row r="16">
      <c r="A16" s="68" t="str">
        <f t="shared" si="1"/>
        <v>February</v>
      </c>
      <c r="B16" s="202">
        <v>45323.0</v>
      </c>
      <c r="C16" s="202">
        <v>45351.0</v>
      </c>
      <c r="D16" s="68" t="s">
        <v>110</v>
      </c>
      <c r="E16" s="68" t="s">
        <v>1346</v>
      </c>
      <c r="F16" s="68" t="s">
        <v>903</v>
      </c>
      <c r="G16" s="68" t="s">
        <v>783</v>
      </c>
      <c r="H16" s="68" t="s">
        <v>1347</v>
      </c>
      <c r="I16" s="28">
        <v>342630.0</v>
      </c>
      <c r="J16" s="28">
        <v>413.0</v>
      </c>
      <c r="K16" s="203">
        <v>31.739951573849872</v>
      </c>
      <c r="L16" s="203">
        <v>13108.599999999997</v>
      </c>
      <c r="M16" s="203">
        <v>20762.71</v>
      </c>
      <c r="N16" s="205">
        <v>0.6313530362847624</v>
      </c>
      <c r="O16" s="204">
        <v>1.5838998825198727</v>
      </c>
      <c r="P16" s="28">
        <v>1.0</v>
      </c>
      <c r="Q16" s="28">
        <v>1.0</v>
      </c>
    </row>
    <row r="17">
      <c r="A17" s="68" t="str">
        <f t="shared" si="1"/>
        <v>February</v>
      </c>
      <c r="B17" s="202">
        <v>45323.0</v>
      </c>
      <c r="C17" s="202">
        <v>45351.0</v>
      </c>
      <c r="D17" s="68" t="s">
        <v>110</v>
      </c>
      <c r="E17" s="68" t="s">
        <v>1346</v>
      </c>
      <c r="F17" s="68" t="s">
        <v>903</v>
      </c>
      <c r="G17" s="68" t="s">
        <v>783</v>
      </c>
      <c r="H17" s="68" t="s">
        <v>1348</v>
      </c>
      <c r="I17" s="28">
        <v>7388.0</v>
      </c>
      <c r="J17" s="28">
        <v>92.0</v>
      </c>
      <c r="K17" s="203">
        <v>31.73086956521739</v>
      </c>
      <c r="L17" s="203">
        <v>2919.24</v>
      </c>
      <c r="M17" s="203">
        <v>17711.86</v>
      </c>
      <c r="N17" s="205">
        <v>0.16481837593567245</v>
      </c>
      <c r="O17" s="204">
        <v>6.067284635727107</v>
      </c>
      <c r="P17" s="28">
        <v>1.0</v>
      </c>
      <c r="Q17" s="28">
        <v>1.0</v>
      </c>
    </row>
    <row r="18">
      <c r="A18" s="68" t="str">
        <f t="shared" si="1"/>
        <v>February</v>
      </c>
      <c r="B18" s="202">
        <v>45324.0</v>
      </c>
      <c r="C18" s="202">
        <v>45351.0</v>
      </c>
      <c r="D18" s="68" t="s">
        <v>110</v>
      </c>
      <c r="E18" s="68" t="s">
        <v>1346</v>
      </c>
      <c r="F18" s="68" t="s">
        <v>903</v>
      </c>
      <c r="G18" s="68" t="s">
        <v>783</v>
      </c>
      <c r="H18" s="68" t="s">
        <v>1350</v>
      </c>
      <c r="I18" s="28">
        <v>1526.0</v>
      </c>
      <c r="J18" s="28">
        <v>95.0</v>
      </c>
      <c r="K18" s="203">
        <v>50.07631578947368</v>
      </c>
      <c r="L18" s="203">
        <v>4757.25</v>
      </c>
      <c r="M18" s="203">
        <v>17711.86</v>
      </c>
      <c r="N18" s="205">
        <v>0.2685912151518813</v>
      </c>
      <c r="O18" s="204">
        <v>3.723129959535446</v>
      </c>
      <c r="P18" s="28">
        <v>1.0</v>
      </c>
      <c r="Q18" s="28">
        <v>1.0</v>
      </c>
    </row>
    <row r="19">
      <c r="A19" s="68" t="str">
        <f t="shared" si="1"/>
        <v>February</v>
      </c>
      <c r="B19" s="202">
        <v>45323.0</v>
      </c>
      <c r="C19" s="202">
        <v>45351.0</v>
      </c>
      <c r="D19" s="68" t="s">
        <v>110</v>
      </c>
      <c r="E19" s="68" t="s">
        <v>1346</v>
      </c>
      <c r="F19" s="68" t="s">
        <v>912</v>
      </c>
      <c r="G19" s="68" t="s">
        <v>783</v>
      </c>
      <c r="H19" s="68" t="s">
        <v>1347</v>
      </c>
      <c r="I19" s="28">
        <v>19152.0</v>
      </c>
      <c r="J19" s="28">
        <v>25.0</v>
      </c>
      <c r="K19" s="203">
        <v>19.710400000000003</v>
      </c>
      <c r="L19" s="203">
        <v>492.76000000000005</v>
      </c>
      <c r="M19" s="203">
        <v>0.0</v>
      </c>
      <c r="O19" s="204">
        <v>0.0</v>
      </c>
      <c r="P19" s="28">
        <v>0.0</v>
      </c>
      <c r="Q19" s="28">
        <v>0.0</v>
      </c>
    </row>
    <row r="20">
      <c r="A20" s="68" t="str">
        <f t="shared" si="1"/>
        <v>February</v>
      </c>
      <c r="B20" s="202">
        <v>45323.0</v>
      </c>
      <c r="C20" s="202">
        <v>45351.0</v>
      </c>
      <c r="D20" s="68" t="s">
        <v>110</v>
      </c>
      <c r="E20" s="68" t="s">
        <v>1346</v>
      </c>
      <c r="F20" s="68" t="s">
        <v>912</v>
      </c>
      <c r="G20" s="68" t="s">
        <v>783</v>
      </c>
      <c r="H20" s="68" t="s">
        <v>1348</v>
      </c>
      <c r="I20" s="28">
        <v>26091.0</v>
      </c>
      <c r="J20" s="28">
        <v>86.0</v>
      </c>
      <c r="K20" s="203">
        <v>15.424186046511625</v>
      </c>
      <c r="L20" s="203">
        <v>1326.4799999999998</v>
      </c>
      <c r="M20" s="203">
        <v>35168.65</v>
      </c>
      <c r="N20" s="205">
        <v>0.03771768322070935</v>
      </c>
      <c r="O20" s="204">
        <v>26.512763102346064</v>
      </c>
      <c r="P20" s="28">
        <v>2.0</v>
      </c>
      <c r="Q20" s="28">
        <v>2.0</v>
      </c>
    </row>
    <row r="21" ht="15.75" customHeight="1">
      <c r="A21" s="68" t="str">
        <f t="shared" si="1"/>
        <v>February</v>
      </c>
      <c r="B21" s="202">
        <v>45323.0</v>
      </c>
      <c r="C21" s="202">
        <v>45351.0</v>
      </c>
      <c r="D21" s="68" t="s">
        <v>110</v>
      </c>
      <c r="E21" s="68" t="s">
        <v>1346</v>
      </c>
      <c r="F21" s="68" t="s">
        <v>912</v>
      </c>
      <c r="G21" s="68" t="s">
        <v>783</v>
      </c>
      <c r="H21" s="68" t="s">
        <v>1350</v>
      </c>
      <c r="I21" s="28">
        <v>17357.0</v>
      </c>
      <c r="J21" s="28">
        <v>188.0</v>
      </c>
      <c r="K21" s="203">
        <v>36.532340425531906</v>
      </c>
      <c r="L21" s="203">
        <v>6868.079999999999</v>
      </c>
      <c r="M21" s="203">
        <v>53220.34</v>
      </c>
      <c r="N21" s="205">
        <v>0.12904990836210364</v>
      </c>
      <c r="O21" s="204">
        <v>7.748940023995062</v>
      </c>
      <c r="P21" s="28">
        <v>2.0</v>
      </c>
      <c r="Q21" s="28">
        <v>2.0</v>
      </c>
    </row>
    <row r="22" ht="15.75" customHeight="1">
      <c r="A22" s="68" t="str">
        <f t="shared" si="1"/>
        <v>February</v>
      </c>
      <c r="B22" s="202">
        <v>45323.0</v>
      </c>
      <c r="C22" s="202">
        <v>45334.0</v>
      </c>
      <c r="D22" s="68" t="s">
        <v>1352</v>
      </c>
      <c r="E22" s="68" t="s">
        <v>1346</v>
      </c>
      <c r="F22" s="68" t="s">
        <v>911</v>
      </c>
      <c r="G22" s="68" t="s">
        <v>775</v>
      </c>
      <c r="H22" s="68" t="s">
        <v>1347</v>
      </c>
      <c r="I22" s="28">
        <v>22418.0</v>
      </c>
      <c r="J22" s="28">
        <v>27.0</v>
      </c>
      <c r="K22" s="203">
        <v>25.025555555555556</v>
      </c>
      <c r="L22" s="203">
        <v>675.69</v>
      </c>
      <c r="M22" s="203">
        <v>0.0</v>
      </c>
      <c r="O22" s="204">
        <v>0.0</v>
      </c>
      <c r="P22" s="28">
        <v>0.0</v>
      </c>
      <c r="Q22" s="28">
        <v>0.0</v>
      </c>
    </row>
    <row r="23" ht="15.75" customHeight="1">
      <c r="A23" s="68" t="str">
        <f t="shared" si="1"/>
        <v>February</v>
      </c>
      <c r="B23" s="202">
        <v>45323.0</v>
      </c>
      <c r="C23" s="202">
        <v>45334.0</v>
      </c>
      <c r="D23" s="68" t="s">
        <v>1352</v>
      </c>
      <c r="E23" s="68" t="s">
        <v>1346</v>
      </c>
      <c r="F23" s="68" t="s">
        <v>911</v>
      </c>
      <c r="G23" s="68" t="s">
        <v>775</v>
      </c>
      <c r="H23" s="68" t="s">
        <v>1348</v>
      </c>
      <c r="I23" s="28">
        <v>4791.0</v>
      </c>
      <c r="J23" s="28">
        <v>43.0</v>
      </c>
      <c r="K23" s="203">
        <v>25.597209302325577</v>
      </c>
      <c r="L23" s="203">
        <v>1100.6799999999998</v>
      </c>
      <c r="M23" s="203">
        <v>0.0</v>
      </c>
      <c r="O23" s="204">
        <v>0.0</v>
      </c>
      <c r="P23" s="28">
        <v>0.0</v>
      </c>
      <c r="Q23" s="28">
        <v>0.0</v>
      </c>
    </row>
    <row r="24" ht="15.75" customHeight="1">
      <c r="A24" s="68" t="str">
        <f t="shared" si="1"/>
        <v>February</v>
      </c>
      <c r="B24" s="202">
        <v>45328.0</v>
      </c>
      <c r="C24" s="202">
        <v>45341.0</v>
      </c>
      <c r="D24" s="68" t="s">
        <v>1352</v>
      </c>
      <c r="E24" s="68" t="s">
        <v>1346</v>
      </c>
      <c r="F24" s="68" t="s">
        <v>911</v>
      </c>
      <c r="G24" s="68" t="s">
        <v>775</v>
      </c>
      <c r="H24" s="68" t="s">
        <v>1350</v>
      </c>
      <c r="I24" s="28">
        <v>820.0</v>
      </c>
      <c r="J24" s="28">
        <v>21.0</v>
      </c>
      <c r="K24" s="203">
        <v>26.252857142857145</v>
      </c>
      <c r="L24" s="203">
        <v>551.3100000000001</v>
      </c>
      <c r="M24" s="203">
        <v>0.0</v>
      </c>
      <c r="O24" s="204">
        <v>0.0</v>
      </c>
      <c r="P24" s="28">
        <v>0.0</v>
      </c>
      <c r="Q24" s="28">
        <v>0.0</v>
      </c>
    </row>
    <row r="25" ht="15.75" customHeight="1">
      <c r="A25" s="68" t="str">
        <f t="shared" si="1"/>
        <v>February</v>
      </c>
      <c r="B25" s="202">
        <v>45334.0</v>
      </c>
      <c r="C25" s="202">
        <v>45350.0</v>
      </c>
      <c r="D25" s="68" t="s">
        <v>110</v>
      </c>
      <c r="E25" s="68" t="s">
        <v>1346</v>
      </c>
      <c r="F25" s="68" t="s">
        <v>897</v>
      </c>
      <c r="G25" s="68" t="s">
        <v>783</v>
      </c>
      <c r="H25" s="68" t="s">
        <v>1347</v>
      </c>
      <c r="I25" s="28">
        <v>39705.0</v>
      </c>
      <c r="J25" s="28">
        <v>27.0</v>
      </c>
      <c r="K25" s="203">
        <v>19.79444444444444</v>
      </c>
      <c r="L25" s="203">
        <v>534.4499999999999</v>
      </c>
      <c r="M25" s="203">
        <v>0.0</v>
      </c>
      <c r="O25" s="204">
        <v>0.0</v>
      </c>
      <c r="P25" s="28">
        <v>0.0</v>
      </c>
      <c r="Q25" s="28">
        <v>0.0</v>
      </c>
    </row>
    <row r="26" ht="15.75" customHeight="1">
      <c r="A26" s="68" t="str">
        <f t="shared" si="1"/>
        <v>February</v>
      </c>
      <c r="B26" s="202">
        <v>45334.0</v>
      </c>
      <c r="C26" s="202">
        <v>45350.0</v>
      </c>
      <c r="D26" s="68" t="s">
        <v>110</v>
      </c>
      <c r="E26" s="68" t="s">
        <v>1346</v>
      </c>
      <c r="F26" s="68" t="s">
        <v>897</v>
      </c>
      <c r="G26" s="68" t="s">
        <v>783</v>
      </c>
      <c r="H26" s="68" t="s">
        <v>1348</v>
      </c>
      <c r="I26" s="28">
        <v>9899.0</v>
      </c>
      <c r="J26" s="28">
        <v>75.0</v>
      </c>
      <c r="K26" s="203">
        <v>24.046</v>
      </c>
      <c r="L26" s="203">
        <v>1803.45</v>
      </c>
      <c r="M26" s="203">
        <v>0.0</v>
      </c>
      <c r="O26" s="204">
        <v>0.0</v>
      </c>
      <c r="P26" s="28">
        <v>0.0</v>
      </c>
      <c r="Q26" s="28">
        <v>0.0</v>
      </c>
    </row>
    <row r="27" ht="15.75" customHeight="1">
      <c r="A27" s="68" t="str">
        <f t="shared" si="1"/>
        <v>February</v>
      </c>
      <c r="B27" s="202">
        <v>45335.0</v>
      </c>
      <c r="C27" s="202">
        <v>45350.0</v>
      </c>
      <c r="D27" s="68" t="s">
        <v>110</v>
      </c>
      <c r="E27" s="68" t="s">
        <v>1346</v>
      </c>
      <c r="F27" s="68" t="s">
        <v>897</v>
      </c>
      <c r="G27" s="68" t="s">
        <v>783</v>
      </c>
      <c r="H27" s="68" t="s">
        <v>1350</v>
      </c>
      <c r="I27" s="28">
        <v>362.0</v>
      </c>
      <c r="J27" s="28">
        <v>21.0</v>
      </c>
      <c r="K27" s="203">
        <v>15.193809523809524</v>
      </c>
      <c r="L27" s="203">
        <v>319.07</v>
      </c>
      <c r="M27" s="203">
        <v>0.0</v>
      </c>
      <c r="O27" s="204">
        <v>0.0</v>
      </c>
      <c r="P27" s="28">
        <v>0.0</v>
      </c>
      <c r="Q27" s="28">
        <v>0.0</v>
      </c>
    </row>
    <row r="28" ht="15.75" customHeight="1">
      <c r="A28" s="68" t="str">
        <f t="shared" si="1"/>
        <v>February</v>
      </c>
      <c r="B28" s="202">
        <v>45323.0</v>
      </c>
      <c r="C28" s="202">
        <v>45330.0</v>
      </c>
      <c r="D28" s="68" t="s">
        <v>128</v>
      </c>
      <c r="E28" s="68" t="s">
        <v>1346</v>
      </c>
      <c r="F28" s="68" t="s">
        <v>803</v>
      </c>
      <c r="G28" s="68" t="s">
        <v>775</v>
      </c>
      <c r="H28" s="68" t="s">
        <v>1347</v>
      </c>
      <c r="I28" s="28">
        <v>2051.0</v>
      </c>
      <c r="J28" s="28">
        <v>11.0</v>
      </c>
      <c r="K28" s="203">
        <v>33.235454545454544</v>
      </c>
      <c r="L28" s="203">
        <v>365.59</v>
      </c>
      <c r="M28" s="203">
        <v>17711.86</v>
      </c>
      <c r="N28" s="205">
        <v>0.02064097164272978</v>
      </c>
      <c r="O28" s="204">
        <v>48.44733171038595</v>
      </c>
      <c r="P28" s="28">
        <v>1.0</v>
      </c>
      <c r="Q28" s="28">
        <v>1.0</v>
      </c>
    </row>
    <row r="29" ht="15.75" customHeight="1">
      <c r="A29" s="68" t="str">
        <f t="shared" si="1"/>
        <v>February</v>
      </c>
      <c r="B29" s="202">
        <v>45323.0</v>
      </c>
      <c r="C29" s="202">
        <v>45330.0</v>
      </c>
      <c r="D29" s="68" t="s">
        <v>128</v>
      </c>
      <c r="E29" s="68" t="s">
        <v>1346</v>
      </c>
      <c r="F29" s="68" t="s">
        <v>803</v>
      </c>
      <c r="G29" s="68" t="s">
        <v>775</v>
      </c>
      <c r="H29" s="68" t="s">
        <v>1348</v>
      </c>
      <c r="I29" s="28">
        <v>147.0</v>
      </c>
      <c r="J29" s="28">
        <v>4.0</v>
      </c>
      <c r="K29" s="203">
        <v>34.18</v>
      </c>
      <c r="L29" s="203">
        <v>136.72</v>
      </c>
      <c r="M29" s="203">
        <v>12966.1</v>
      </c>
      <c r="N29" s="205">
        <v>0.010544419679009109</v>
      </c>
      <c r="O29" s="204">
        <v>94.83689291983616</v>
      </c>
      <c r="P29" s="28">
        <v>1.0</v>
      </c>
      <c r="Q29" s="28">
        <v>1.0</v>
      </c>
    </row>
    <row r="30" ht="15.75" customHeight="1">
      <c r="A30" s="68" t="str">
        <f t="shared" si="1"/>
        <v>February</v>
      </c>
      <c r="B30" s="202">
        <v>45323.0</v>
      </c>
      <c r="C30" s="202">
        <v>45332.0</v>
      </c>
      <c r="D30" s="68" t="s">
        <v>128</v>
      </c>
      <c r="E30" s="68" t="s">
        <v>1346</v>
      </c>
      <c r="F30" s="68" t="s">
        <v>803</v>
      </c>
      <c r="G30" s="68" t="s">
        <v>775</v>
      </c>
      <c r="H30" s="68" t="s">
        <v>1350</v>
      </c>
      <c r="I30" s="28">
        <v>405.0</v>
      </c>
      <c r="J30" s="28">
        <v>69.0</v>
      </c>
      <c r="K30" s="203">
        <v>35.886376811594204</v>
      </c>
      <c r="L30" s="203">
        <v>2476.16</v>
      </c>
      <c r="M30" s="203">
        <v>84915.24</v>
      </c>
      <c r="N30" s="205">
        <v>0.02916037215463325</v>
      </c>
      <c r="O30" s="204">
        <v>34.29311514603257</v>
      </c>
      <c r="P30" s="28">
        <v>4.0</v>
      </c>
      <c r="Q30" s="28">
        <v>4.0</v>
      </c>
    </row>
    <row r="31" ht="15.75" customHeight="1">
      <c r="A31" s="68" t="str">
        <f t="shared" si="1"/>
        <v>February</v>
      </c>
      <c r="B31" s="202">
        <v>45323.0</v>
      </c>
      <c r="C31" s="202">
        <v>45337.0</v>
      </c>
      <c r="D31" s="68" t="s">
        <v>110</v>
      </c>
      <c r="E31" s="68" t="s">
        <v>1346</v>
      </c>
      <c r="F31" s="68" t="s">
        <v>898</v>
      </c>
      <c r="G31" s="68" t="s">
        <v>775</v>
      </c>
      <c r="H31" s="68" t="s">
        <v>1347</v>
      </c>
      <c r="I31" s="28">
        <v>155842.0</v>
      </c>
      <c r="J31" s="28">
        <v>153.0</v>
      </c>
      <c r="K31" s="203">
        <v>42.016666666666666</v>
      </c>
      <c r="L31" s="203">
        <v>6428.55</v>
      </c>
      <c r="M31" s="203">
        <v>0.0</v>
      </c>
      <c r="O31" s="204">
        <v>0.0</v>
      </c>
      <c r="P31" s="28">
        <v>0.0</v>
      </c>
      <c r="Q31" s="28">
        <v>0.0</v>
      </c>
    </row>
    <row r="32" ht="15.75" customHeight="1">
      <c r="A32" s="68" t="str">
        <f t="shared" si="1"/>
        <v>February</v>
      </c>
      <c r="B32" s="202">
        <v>45323.0</v>
      </c>
      <c r="C32" s="202">
        <v>45335.0</v>
      </c>
      <c r="D32" s="68" t="s">
        <v>110</v>
      </c>
      <c r="E32" s="68" t="s">
        <v>1346</v>
      </c>
      <c r="F32" s="68" t="s">
        <v>898</v>
      </c>
      <c r="G32" s="68" t="s">
        <v>775</v>
      </c>
      <c r="H32" s="68" t="s">
        <v>1348</v>
      </c>
      <c r="I32" s="28">
        <v>2052.0</v>
      </c>
      <c r="J32" s="28">
        <v>21.0</v>
      </c>
      <c r="K32" s="203">
        <v>38.10285714285714</v>
      </c>
      <c r="L32" s="203">
        <v>800.16</v>
      </c>
      <c r="M32" s="203">
        <v>0.0</v>
      </c>
      <c r="O32" s="204">
        <v>0.0</v>
      </c>
      <c r="P32" s="28">
        <v>0.0</v>
      </c>
      <c r="Q32" s="28">
        <v>0.0</v>
      </c>
    </row>
    <row r="33" ht="15.75" customHeight="1">
      <c r="A33" s="68" t="str">
        <f t="shared" si="1"/>
        <v>February</v>
      </c>
      <c r="B33" s="202">
        <v>45324.0</v>
      </c>
      <c r="C33" s="202">
        <v>45335.0</v>
      </c>
      <c r="D33" s="68" t="s">
        <v>110</v>
      </c>
      <c r="E33" s="68" t="s">
        <v>1346</v>
      </c>
      <c r="F33" s="68" t="s">
        <v>898</v>
      </c>
      <c r="G33" s="68" t="s">
        <v>775</v>
      </c>
      <c r="H33" s="68" t="s">
        <v>1350</v>
      </c>
      <c r="I33" s="28">
        <v>438.0</v>
      </c>
      <c r="J33" s="28">
        <v>17.0</v>
      </c>
      <c r="K33" s="203">
        <v>56.59882352941176</v>
      </c>
      <c r="L33" s="203">
        <v>962.18</v>
      </c>
      <c r="M33" s="203">
        <v>0.0</v>
      </c>
      <c r="O33" s="204">
        <v>0.0</v>
      </c>
      <c r="P33" s="28">
        <v>0.0</v>
      </c>
      <c r="Q33" s="28">
        <v>0.0</v>
      </c>
    </row>
    <row r="34" ht="15.75" customHeight="1">
      <c r="A34" s="68" t="str">
        <f t="shared" si="1"/>
        <v>February</v>
      </c>
      <c r="B34" s="202">
        <v>45323.0</v>
      </c>
      <c r="C34" s="202">
        <v>45351.0</v>
      </c>
      <c r="D34" s="68" t="s">
        <v>110</v>
      </c>
      <c r="E34" s="68" t="s">
        <v>1346</v>
      </c>
      <c r="F34" s="68" t="s">
        <v>908</v>
      </c>
      <c r="G34" s="68" t="s">
        <v>783</v>
      </c>
      <c r="H34" s="68" t="s">
        <v>1347</v>
      </c>
      <c r="I34" s="28">
        <v>205037.0</v>
      </c>
      <c r="J34" s="28">
        <v>244.0</v>
      </c>
      <c r="K34" s="203">
        <v>32.82713114754098</v>
      </c>
      <c r="L34" s="203">
        <v>8009.82</v>
      </c>
      <c r="M34" s="203">
        <v>12966.1</v>
      </c>
      <c r="N34" s="205">
        <v>0.617750904281164</v>
      </c>
      <c r="O34" s="204">
        <v>1.6187754531312815</v>
      </c>
      <c r="P34" s="28">
        <v>1.0</v>
      </c>
      <c r="Q34" s="28">
        <v>1.0</v>
      </c>
    </row>
    <row r="35" ht="15.75" customHeight="1">
      <c r="A35" s="68" t="str">
        <f t="shared" si="1"/>
        <v>February</v>
      </c>
      <c r="B35" s="202">
        <v>45323.0</v>
      </c>
      <c r="C35" s="202">
        <v>45351.0</v>
      </c>
      <c r="D35" s="68" t="s">
        <v>110</v>
      </c>
      <c r="E35" s="68" t="s">
        <v>1346</v>
      </c>
      <c r="F35" s="68" t="s">
        <v>908</v>
      </c>
      <c r="G35" s="68" t="s">
        <v>783</v>
      </c>
      <c r="H35" s="68" t="s">
        <v>1348</v>
      </c>
      <c r="I35" s="28">
        <v>4004.0</v>
      </c>
      <c r="J35" s="28">
        <v>52.0</v>
      </c>
      <c r="K35" s="203">
        <v>29.40903846153846</v>
      </c>
      <c r="L35" s="203">
        <v>1529.27</v>
      </c>
      <c r="M35" s="203">
        <v>0.0</v>
      </c>
      <c r="O35" s="204">
        <v>0.0</v>
      </c>
      <c r="P35" s="28">
        <v>0.0</v>
      </c>
      <c r="Q35" s="28">
        <v>0.0</v>
      </c>
    </row>
    <row r="36" ht="15.75" customHeight="1">
      <c r="A36" s="68" t="str">
        <f t="shared" si="1"/>
        <v>February</v>
      </c>
      <c r="B36" s="202">
        <v>45323.0</v>
      </c>
      <c r="C36" s="202">
        <v>45351.0</v>
      </c>
      <c r="D36" s="68" t="s">
        <v>110</v>
      </c>
      <c r="E36" s="68" t="s">
        <v>1346</v>
      </c>
      <c r="F36" s="68" t="s">
        <v>908</v>
      </c>
      <c r="G36" s="68" t="s">
        <v>783</v>
      </c>
      <c r="H36" s="68" t="s">
        <v>1350</v>
      </c>
      <c r="I36" s="28">
        <v>613.0</v>
      </c>
      <c r="J36" s="28">
        <v>35.0</v>
      </c>
      <c r="K36" s="203">
        <v>49.39485714285714</v>
      </c>
      <c r="L36" s="203">
        <v>1728.82</v>
      </c>
      <c r="M36" s="203">
        <v>0.0</v>
      </c>
      <c r="O36" s="204">
        <v>0.0</v>
      </c>
      <c r="P36" s="28">
        <v>0.0</v>
      </c>
      <c r="Q36" s="28">
        <v>0.0</v>
      </c>
    </row>
    <row r="37" ht="15.75" customHeight="1">
      <c r="A37" s="68" t="str">
        <f t="shared" si="1"/>
        <v>February</v>
      </c>
      <c r="B37" s="202">
        <v>45323.0</v>
      </c>
      <c r="C37" s="202">
        <v>45328.0</v>
      </c>
      <c r="D37" s="68" t="s">
        <v>1352</v>
      </c>
      <c r="E37" s="68" t="s">
        <v>1346</v>
      </c>
      <c r="F37" s="68" t="s">
        <v>837</v>
      </c>
      <c r="G37" s="68" t="s">
        <v>775</v>
      </c>
      <c r="H37" s="68" t="s">
        <v>1347</v>
      </c>
      <c r="I37" s="28">
        <v>8016.0</v>
      </c>
      <c r="J37" s="28">
        <v>8.0</v>
      </c>
      <c r="K37" s="203">
        <v>15.82125</v>
      </c>
      <c r="L37" s="203">
        <v>126.57</v>
      </c>
      <c r="M37" s="203">
        <v>0.0</v>
      </c>
      <c r="O37" s="204">
        <v>0.0</v>
      </c>
      <c r="P37" s="28">
        <v>0.0</v>
      </c>
      <c r="Q37" s="28">
        <v>0.0</v>
      </c>
    </row>
    <row r="38" ht="15.75" customHeight="1">
      <c r="A38" s="68" t="str">
        <f t="shared" si="1"/>
        <v>February</v>
      </c>
      <c r="B38" s="202">
        <v>45323.0</v>
      </c>
      <c r="C38" s="202">
        <v>45328.0</v>
      </c>
      <c r="D38" s="68" t="s">
        <v>1352</v>
      </c>
      <c r="E38" s="68" t="s">
        <v>1346</v>
      </c>
      <c r="F38" s="68" t="s">
        <v>837</v>
      </c>
      <c r="G38" s="68" t="s">
        <v>775</v>
      </c>
      <c r="H38" s="68" t="s">
        <v>1348</v>
      </c>
      <c r="I38" s="28">
        <v>4587.0</v>
      </c>
      <c r="J38" s="28">
        <v>28.0</v>
      </c>
      <c r="K38" s="203">
        <v>15.938214285714285</v>
      </c>
      <c r="L38" s="203">
        <v>446.27</v>
      </c>
      <c r="M38" s="203">
        <v>0.0</v>
      </c>
      <c r="O38" s="204">
        <v>0.0</v>
      </c>
      <c r="P38" s="28">
        <v>0.0</v>
      </c>
      <c r="Q38" s="28">
        <v>0.0</v>
      </c>
    </row>
    <row r="39" ht="15.75" customHeight="1">
      <c r="A39" s="68" t="str">
        <f t="shared" si="1"/>
        <v>February</v>
      </c>
      <c r="B39" s="202">
        <v>45323.0</v>
      </c>
      <c r="C39" s="202">
        <v>45328.0</v>
      </c>
      <c r="D39" s="68" t="s">
        <v>1352</v>
      </c>
      <c r="E39" s="68" t="s">
        <v>1346</v>
      </c>
      <c r="F39" s="68" t="s">
        <v>837</v>
      </c>
      <c r="G39" s="68" t="s">
        <v>775</v>
      </c>
      <c r="H39" s="68" t="s">
        <v>1350</v>
      </c>
      <c r="I39" s="28">
        <v>2299.0</v>
      </c>
      <c r="J39" s="28">
        <v>25.0</v>
      </c>
      <c r="K39" s="203">
        <v>20.393600000000003</v>
      </c>
      <c r="L39" s="203">
        <v>509.84000000000003</v>
      </c>
      <c r="M39" s="203">
        <v>0.0</v>
      </c>
      <c r="O39" s="204">
        <v>0.0</v>
      </c>
      <c r="P39" s="28">
        <v>0.0</v>
      </c>
      <c r="Q39" s="28">
        <v>0.0</v>
      </c>
    </row>
    <row r="40" ht="15.75" customHeight="1">
      <c r="A40" s="68" t="str">
        <f t="shared" si="1"/>
        <v>February</v>
      </c>
      <c r="B40" s="202">
        <v>45323.0</v>
      </c>
      <c r="C40" s="202">
        <v>45334.0</v>
      </c>
      <c r="D40" s="68" t="s">
        <v>110</v>
      </c>
      <c r="E40" s="68" t="s">
        <v>1346</v>
      </c>
      <c r="F40" s="68" t="s">
        <v>821</v>
      </c>
      <c r="G40" s="68" t="s">
        <v>775</v>
      </c>
      <c r="H40" s="68" t="s">
        <v>1347</v>
      </c>
      <c r="I40" s="28">
        <v>12471.0</v>
      </c>
      <c r="J40" s="28">
        <v>40.0</v>
      </c>
      <c r="K40" s="203">
        <v>40.6905</v>
      </c>
      <c r="L40" s="203">
        <v>1627.62</v>
      </c>
      <c r="M40" s="203">
        <v>0.0</v>
      </c>
      <c r="O40" s="204">
        <v>0.0</v>
      </c>
      <c r="P40" s="28">
        <v>0.0</v>
      </c>
      <c r="Q40" s="28">
        <v>0.0</v>
      </c>
    </row>
    <row r="41" ht="15.75" customHeight="1">
      <c r="A41" s="68" t="str">
        <f t="shared" si="1"/>
        <v>February</v>
      </c>
      <c r="B41" s="202">
        <v>45323.0</v>
      </c>
      <c r="C41" s="202">
        <v>45334.0</v>
      </c>
      <c r="D41" s="68" t="s">
        <v>110</v>
      </c>
      <c r="E41" s="68" t="s">
        <v>1346</v>
      </c>
      <c r="F41" s="68" t="s">
        <v>821</v>
      </c>
      <c r="G41" s="68" t="s">
        <v>775</v>
      </c>
      <c r="H41" s="68" t="s">
        <v>1348</v>
      </c>
      <c r="I41" s="28">
        <v>2896.0</v>
      </c>
      <c r="J41" s="28">
        <v>43.0</v>
      </c>
      <c r="K41" s="203">
        <v>28.960930232558145</v>
      </c>
      <c r="L41" s="203">
        <v>1245.3200000000002</v>
      </c>
      <c r="M41" s="203">
        <v>0.0</v>
      </c>
      <c r="O41" s="204">
        <v>0.0</v>
      </c>
      <c r="P41" s="28">
        <v>0.0</v>
      </c>
      <c r="Q41" s="28">
        <v>0.0</v>
      </c>
    </row>
    <row r="42" ht="15.75" customHeight="1">
      <c r="A42" s="68" t="str">
        <f t="shared" si="1"/>
        <v>February</v>
      </c>
      <c r="B42" s="202">
        <v>45323.0</v>
      </c>
      <c r="C42" s="202">
        <v>45334.0</v>
      </c>
      <c r="D42" s="68" t="s">
        <v>110</v>
      </c>
      <c r="E42" s="68" t="s">
        <v>1346</v>
      </c>
      <c r="F42" s="68" t="s">
        <v>821</v>
      </c>
      <c r="G42" s="68" t="s">
        <v>775</v>
      </c>
      <c r="H42" s="68" t="s">
        <v>1350</v>
      </c>
      <c r="I42" s="28">
        <v>894.0</v>
      </c>
      <c r="J42" s="28">
        <v>51.0</v>
      </c>
      <c r="K42" s="203">
        <v>30.869411764705884</v>
      </c>
      <c r="L42" s="203">
        <v>1574.3400000000001</v>
      </c>
      <c r="M42" s="203">
        <v>0.0</v>
      </c>
      <c r="O42" s="204">
        <v>0.0</v>
      </c>
      <c r="P42" s="28">
        <v>0.0</v>
      </c>
      <c r="Q42" s="28">
        <v>0.0</v>
      </c>
    </row>
    <row r="43" ht="15.75" customHeight="1">
      <c r="A43" s="68" t="str">
        <f t="shared" si="1"/>
        <v>February</v>
      </c>
      <c r="B43" s="202">
        <v>45323.0</v>
      </c>
      <c r="C43" s="202">
        <v>45336.0</v>
      </c>
      <c r="D43" s="68" t="s">
        <v>119</v>
      </c>
      <c r="E43" s="68" t="s">
        <v>1346</v>
      </c>
      <c r="F43" s="68" t="s">
        <v>871</v>
      </c>
      <c r="G43" s="68" t="s">
        <v>775</v>
      </c>
      <c r="H43" s="68" t="s">
        <v>1347</v>
      </c>
      <c r="I43" s="28">
        <v>5765.0</v>
      </c>
      <c r="J43" s="28">
        <v>36.0</v>
      </c>
      <c r="K43" s="203">
        <v>7.893055555555555</v>
      </c>
      <c r="L43" s="203">
        <v>284.15</v>
      </c>
      <c r="M43" s="203">
        <v>0.0</v>
      </c>
      <c r="O43" s="204">
        <v>0.0</v>
      </c>
      <c r="P43" s="28">
        <v>0.0</v>
      </c>
      <c r="Q43" s="28">
        <v>0.0</v>
      </c>
    </row>
    <row r="44" ht="15.75" customHeight="1">
      <c r="A44" s="68" t="str">
        <f t="shared" si="1"/>
        <v>February</v>
      </c>
      <c r="B44" s="202">
        <v>45323.0</v>
      </c>
      <c r="C44" s="202">
        <v>45336.0</v>
      </c>
      <c r="D44" s="68" t="s">
        <v>119</v>
      </c>
      <c r="E44" s="68" t="s">
        <v>1346</v>
      </c>
      <c r="F44" s="68" t="s">
        <v>871</v>
      </c>
      <c r="G44" s="68" t="s">
        <v>775</v>
      </c>
      <c r="H44" s="68" t="s">
        <v>1348</v>
      </c>
      <c r="I44" s="28">
        <v>2316.0</v>
      </c>
      <c r="J44" s="28">
        <v>27.0</v>
      </c>
      <c r="K44" s="203">
        <v>7.187407407407408</v>
      </c>
      <c r="L44" s="203">
        <v>194.06</v>
      </c>
      <c r="M44" s="203">
        <v>0.0</v>
      </c>
      <c r="O44" s="204">
        <v>0.0</v>
      </c>
      <c r="P44" s="28">
        <v>0.0</v>
      </c>
      <c r="Q44" s="28">
        <v>0.0</v>
      </c>
    </row>
    <row r="45" ht="15.75" customHeight="1">
      <c r="A45" s="68" t="str">
        <f t="shared" si="1"/>
        <v>February</v>
      </c>
      <c r="B45" s="202">
        <v>45323.0</v>
      </c>
      <c r="C45" s="202">
        <v>45336.0</v>
      </c>
      <c r="D45" s="68" t="s">
        <v>119</v>
      </c>
      <c r="E45" s="68" t="s">
        <v>1346</v>
      </c>
      <c r="F45" s="68" t="s">
        <v>871</v>
      </c>
      <c r="G45" s="68" t="s">
        <v>775</v>
      </c>
      <c r="H45" s="68" t="s">
        <v>1350</v>
      </c>
      <c r="I45" s="28">
        <v>730.0</v>
      </c>
      <c r="J45" s="28">
        <v>39.0</v>
      </c>
      <c r="K45" s="203">
        <v>6.926153846153846</v>
      </c>
      <c r="L45" s="203">
        <v>270.12</v>
      </c>
      <c r="M45" s="203">
        <v>0.0</v>
      </c>
      <c r="O45" s="204">
        <v>0.0</v>
      </c>
      <c r="P45" s="28">
        <v>0.0</v>
      </c>
      <c r="Q45" s="28">
        <v>0.0</v>
      </c>
    </row>
    <row r="46" ht="15.75" customHeight="1">
      <c r="A46" s="68" t="str">
        <f t="shared" si="1"/>
        <v>February</v>
      </c>
      <c r="B46" s="202">
        <v>45323.0</v>
      </c>
      <c r="C46" s="202">
        <v>45334.0</v>
      </c>
      <c r="D46" s="68" t="s">
        <v>110</v>
      </c>
      <c r="E46" s="68" t="s">
        <v>1346</v>
      </c>
      <c r="F46" s="68" t="s">
        <v>867</v>
      </c>
      <c r="G46" s="68" t="s">
        <v>775</v>
      </c>
      <c r="H46" s="68" t="s">
        <v>1347</v>
      </c>
      <c r="I46" s="28">
        <v>11192.0</v>
      </c>
      <c r="J46" s="28">
        <v>24.0</v>
      </c>
      <c r="K46" s="203">
        <v>20.70125</v>
      </c>
      <c r="L46" s="203">
        <v>496.83000000000004</v>
      </c>
      <c r="M46" s="203">
        <v>0.0</v>
      </c>
      <c r="O46" s="204">
        <v>0.0</v>
      </c>
      <c r="P46" s="28">
        <v>0.0</v>
      </c>
      <c r="Q46" s="28">
        <v>0.0</v>
      </c>
    </row>
    <row r="47" ht="15.75" customHeight="1">
      <c r="A47" s="68" t="str">
        <f t="shared" si="1"/>
        <v>February</v>
      </c>
      <c r="B47" s="202">
        <v>45323.0</v>
      </c>
      <c r="C47" s="202">
        <v>45334.0</v>
      </c>
      <c r="D47" s="68" t="s">
        <v>110</v>
      </c>
      <c r="E47" s="68" t="s">
        <v>1346</v>
      </c>
      <c r="F47" s="68" t="s">
        <v>867</v>
      </c>
      <c r="G47" s="68" t="s">
        <v>775</v>
      </c>
      <c r="H47" s="68" t="s">
        <v>1348</v>
      </c>
      <c r="I47" s="28">
        <v>90.0</v>
      </c>
      <c r="J47" s="28">
        <v>1.0</v>
      </c>
      <c r="K47" s="203">
        <v>7.02</v>
      </c>
      <c r="L47" s="203">
        <v>7.02</v>
      </c>
      <c r="M47" s="203">
        <v>0.0</v>
      </c>
      <c r="O47" s="204">
        <v>0.0</v>
      </c>
      <c r="P47" s="28">
        <v>0.0</v>
      </c>
      <c r="Q47" s="28">
        <v>0.0</v>
      </c>
    </row>
    <row r="48" ht="15.75" customHeight="1">
      <c r="A48" s="68" t="str">
        <f t="shared" si="1"/>
        <v>February</v>
      </c>
      <c r="B48" s="202">
        <v>45323.0</v>
      </c>
      <c r="C48" s="202">
        <v>45334.0</v>
      </c>
      <c r="D48" s="68" t="s">
        <v>110</v>
      </c>
      <c r="E48" s="68" t="s">
        <v>1346</v>
      </c>
      <c r="F48" s="68" t="s">
        <v>867</v>
      </c>
      <c r="G48" s="68" t="s">
        <v>775</v>
      </c>
      <c r="H48" s="68" t="s">
        <v>1350</v>
      </c>
      <c r="I48" s="28">
        <v>48.0</v>
      </c>
      <c r="J48" s="28">
        <v>2.0</v>
      </c>
      <c r="K48" s="203">
        <v>29.85</v>
      </c>
      <c r="L48" s="203">
        <v>59.7</v>
      </c>
      <c r="M48" s="203">
        <v>0.0</v>
      </c>
      <c r="O48" s="204">
        <v>0.0</v>
      </c>
      <c r="P48" s="28">
        <v>0.0</v>
      </c>
      <c r="Q48" s="28">
        <v>0.0</v>
      </c>
    </row>
    <row r="49" ht="15.75" customHeight="1">
      <c r="A49" s="68" t="str">
        <f t="shared" si="1"/>
        <v>February</v>
      </c>
      <c r="B49" s="202">
        <v>45323.0</v>
      </c>
      <c r="C49" s="202">
        <v>45351.0</v>
      </c>
      <c r="D49" s="68" t="s">
        <v>110</v>
      </c>
      <c r="E49" s="68" t="s">
        <v>1346</v>
      </c>
      <c r="F49" s="68" t="s">
        <v>901</v>
      </c>
      <c r="G49" s="68" t="s">
        <v>783</v>
      </c>
      <c r="H49" s="68" t="s">
        <v>1347</v>
      </c>
      <c r="I49" s="28">
        <v>1734.0</v>
      </c>
      <c r="J49" s="28">
        <v>4.0</v>
      </c>
      <c r="K49" s="203">
        <v>16.9825</v>
      </c>
      <c r="L49" s="203">
        <v>67.93</v>
      </c>
      <c r="M49" s="203">
        <v>0.0</v>
      </c>
      <c r="O49" s="204">
        <v>0.0</v>
      </c>
      <c r="P49" s="28">
        <v>0.0</v>
      </c>
      <c r="Q49" s="28">
        <v>0.0</v>
      </c>
    </row>
    <row r="50" ht="15.75" customHeight="1">
      <c r="A50" s="68" t="str">
        <f t="shared" si="1"/>
        <v>February</v>
      </c>
      <c r="B50" s="202">
        <v>45323.0</v>
      </c>
      <c r="C50" s="202">
        <v>45351.0</v>
      </c>
      <c r="D50" s="68" t="s">
        <v>110</v>
      </c>
      <c r="E50" s="68" t="s">
        <v>1346</v>
      </c>
      <c r="F50" s="68" t="s">
        <v>901</v>
      </c>
      <c r="G50" s="68" t="s">
        <v>783</v>
      </c>
      <c r="H50" s="68" t="s">
        <v>1348</v>
      </c>
      <c r="I50" s="28">
        <v>657.0</v>
      </c>
      <c r="J50" s="28">
        <v>14.0</v>
      </c>
      <c r="K50" s="203">
        <v>14.688571428571432</v>
      </c>
      <c r="L50" s="203">
        <v>205.64000000000004</v>
      </c>
      <c r="M50" s="203">
        <v>0.0</v>
      </c>
      <c r="O50" s="204">
        <v>0.0</v>
      </c>
      <c r="P50" s="28">
        <v>0.0</v>
      </c>
      <c r="Q50" s="28">
        <v>0.0</v>
      </c>
    </row>
    <row r="51" ht="15.75" customHeight="1">
      <c r="A51" s="68" t="str">
        <f t="shared" si="1"/>
        <v>February</v>
      </c>
      <c r="B51" s="202">
        <v>45323.0</v>
      </c>
      <c r="C51" s="202">
        <v>45351.0</v>
      </c>
      <c r="D51" s="68" t="s">
        <v>110</v>
      </c>
      <c r="E51" s="68" t="s">
        <v>1346</v>
      </c>
      <c r="F51" s="68" t="s">
        <v>901</v>
      </c>
      <c r="G51" s="68" t="s">
        <v>783</v>
      </c>
      <c r="H51" s="68" t="s">
        <v>1350</v>
      </c>
      <c r="I51" s="28">
        <v>923.0</v>
      </c>
      <c r="J51" s="28">
        <v>67.0</v>
      </c>
      <c r="K51" s="203">
        <v>19.954925373134333</v>
      </c>
      <c r="L51" s="203">
        <v>1336.9800000000002</v>
      </c>
      <c r="M51" s="203">
        <v>0.0</v>
      </c>
      <c r="O51" s="204">
        <v>0.0</v>
      </c>
      <c r="P51" s="28">
        <v>0.0</v>
      </c>
      <c r="Q51" s="28">
        <v>0.0</v>
      </c>
    </row>
    <row r="52" ht="15.75" customHeight="1">
      <c r="A52" s="68" t="str">
        <f t="shared" si="1"/>
        <v>February</v>
      </c>
      <c r="B52" s="202">
        <v>45323.0</v>
      </c>
      <c r="C52" s="202">
        <v>45337.0</v>
      </c>
      <c r="D52" s="68" t="s">
        <v>1352</v>
      </c>
      <c r="E52" s="68" t="s">
        <v>1346</v>
      </c>
      <c r="F52" s="68" t="s">
        <v>835</v>
      </c>
      <c r="G52" s="68" t="s">
        <v>775</v>
      </c>
      <c r="H52" s="68" t="s">
        <v>1347</v>
      </c>
      <c r="I52" s="28">
        <v>12292.0</v>
      </c>
      <c r="J52" s="28">
        <v>54.0</v>
      </c>
      <c r="K52" s="203">
        <v>19.607777777777777</v>
      </c>
      <c r="L52" s="203">
        <v>1058.82</v>
      </c>
      <c r="M52" s="203">
        <v>0.0</v>
      </c>
      <c r="O52" s="204">
        <v>0.0</v>
      </c>
      <c r="P52" s="28">
        <v>0.0</v>
      </c>
      <c r="Q52" s="28">
        <v>0.0</v>
      </c>
    </row>
    <row r="53" ht="15.75" customHeight="1">
      <c r="A53" s="68" t="str">
        <f t="shared" si="1"/>
        <v>February</v>
      </c>
      <c r="B53" s="202">
        <v>45323.0</v>
      </c>
      <c r="C53" s="202">
        <v>45328.0</v>
      </c>
      <c r="D53" s="68" t="s">
        <v>1352</v>
      </c>
      <c r="E53" s="68" t="s">
        <v>1346</v>
      </c>
      <c r="F53" s="68" t="s">
        <v>835</v>
      </c>
      <c r="G53" s="68" t="s">
        <v>775</v>
      </c>
      <c r="H53" s="68" t="s">
        <v>1348</v>
      </c>
      <c r="I53" s="28">
        <v>34.0</v>
      </c>
      <c r="J53" s="28">
        <v>2.0</v>
      </c>
      <c r="K53" s="203">
        <v>19.255000000000003</v>
      </c>
      <c r="L53" s="203">
        <v>38.510000000000005</v>
      </c>
      <c r="M53" s="203">
        <v>0.0</v>
      </c>
      <c r="O53" s="204">
        <v>0.0</v>
      </c>
      <c r="P53" s="28">
        <v>0.0</v>
      </c>
      <c r="Q53" s="28">
        <v>0.0</v>
      </c>
    </row>
    <row r="54" ht="15.75" customHeight="1">
      <c r="A54" s="68" t="str">
        <f t="shared" si="1"/>
        <v>February</v>
      </c>
      <c r="B54" s="202">
        <v>45323.0</v>
      </c>
      <c r="C54" s="202">
        <v>45327.0</v>
      </c>
      <c r="D54" s="68" t="s">
        <v>1352</v>
      </c>
      <c r="E54" s="68" t="s">
        <v>1346</v>
      </c>
      <c r="F54" s="68" t="s">
        <v>835</v>
      </c>
      <c r="G54" s="68" t="s">
        <v>775</v>
      </c>
      <c r="H54" s="68" t="s">
        <v>1350</v>
      </c>
      <c r="I54" s="28">
        <v>19.0</v>
      </c>
      <c r="J54" s="28">
        <v>0.0</v>
      </c>
      <c r="L54" s="203">
        <v>0.0</v>
      </c>
      <c r="M54" s="203">
        <v>0.0</v>
      </c>
      <c r="P54" s="28">
        <v>0.0</v>
      </c>
      <c r="Q54" s="28">
        <v>0.0</v>
      </c>
    </row>
    <row r="55" ht="15.75" customHeight="1">
      <c r="A55" s="68" t="str">
        <f t="shared" si="1"/>
        <v>February</v>
      </c>
      <c r="B55" s="202">
        <v>45323.0</v>
      </c>
      <c r="C55" s="202">
        <v>45328.0</v>
      </c>
      <c r="D55" s="68" t="s">
        <v>1352</v>
      </c>
      <c r="E55" s="68" t="s">
        <v>1346</v>
      </c>
      <c r="F55" s="68" t="s">
        <v>828</v>
      </c>
      <c r="G55" s="68" t="s">
        <v>775</v>
      </c>
      <c r="H55" s="68" t="s">
        <v>1347</v>
      </c>
      <c r="I55" s="28">
        <v>18786.0</v>
      </c>
      <c r="J55" s="28">
        <v>42.0</v>
      </c>
      <c r="K55" s="203">
        <v>8.62047619047619</v>
      </c>
      <c r="L55" s="203">
        <v>362.05999999999995</v>
      </c>
      <c r="M55" s="203">
        <v>0.0</v>
      </c>
      <c r="O55" s="204">
        <v>0.0</v>
      </c>
      <c r="P55" s="28">
        <v>0.0</v>
      </c>
      <c r="Q55" s="28">
        <v>0.0</v>
      </c>
    </row>
    <row r="56" ht="15.75" customHeight="1">
      <c r="A56" s="68" t="str">
        <f t="shared" si="1"/>
        <v>February</v>
      </c>
      <c r="B56" s="202">
        <v>45323.0</v>
      </c>
      <c r="C56" s="202">
        <v>45328.0</v>
      </c>
      <c r="D56" s="68" t="s">
        <v>1352</v>
      </c>
      <c r="E56" s="68" t="s">
        <v>1346</v>
      </c>
      <c r="F56" s="68" t="s">
        <v>828</v>
      </c>
      <c r="G56" s="68" t="s">
        <v>775</v>
      </c>
      <c r="H56" s="68" t="s">
        <v>1348</v>
      </c>
      <c r="I56" s="28">
        <v>153.0</v>
      </c>
      <c r="J56" s="28">
        <v>3.0</v>
      </c>
      <c r="K56" s="203">
        <v>8.256666666666666</v>
      </c>
      <c r="L56" s="203">
        <v>24.77</v>
      </c>
      <c r="M56" s="203">
        <v>0.0</v>
      </c>
      <c r="O56" s="204">
        <v>0.0</v>
      </c>
      <c r="P56" s="28">
        <v>0.0</v>
      </c>
      <c r="Q56" s="28">
        <v>0.0</v>
      </c>
    </row>
    <row r="57" ht="15.75" customHeight="1">
      <c r="A57" s="68" t="str">
        <f t="shared" si="1"/>
        <v>February</v>
      </c>
      <c r="B57" s="202">
        <v>45323.0</v>
      </c>
      <c r="C57" s="202">
        <v>45328.0</v>
      </c>
      <c r="D57" s="68" t="s">
        <v>1352</v>
      </c>
      <c r="E57" s="68" t="s">
        <v>1346</v>
      </c>
      <c r="F57" s="68" t="s">
        <v>828</v>
      </c>
      <c r="G57" s="68" t="s">
        <v>775</v>
      </c>
      <c r="H57" s="68" t="s">
        <v>1350</v>
      </c>
      <c r="I57" s="28">
        <v>13.0</v>
      </c>
      <c r="J57" s="28">
        <v>0.0</v>
      </c>
      <c r="L57" s="203">
        <v>0.0</v>
      </c>
      <c r="M57" s="203">
        <v>0.0</v>
      </c>
      <c r="P57" s="28">
        <v>0.0</v>
      </c>
      <c r="Q57" s="28">
        <v>0.0</v>
      </c>
    </row>
    <row r="58" ht="15.75" customHeight="1">
      <c r="A58" s="68" t="str">
        <f t="shared" si="1"/>
        <v>February</v>
      </c>
      <c r="B58" s="202">
        <v>45323.0</v>
      </c>
      <c r="C58" s="202">
        <v>45351.0</v>
      </c>
      <c r="D58" s="68" t="s">
        <v>110</v>
      </c>
      <c r="E58" s="68" t="s">
        <v>1346</v>
      </c>
      <c r="F58" s="68" t="s">
        <v>902</v>
      </c>
      <c r="G58" s="68" t="s">
        <v>783</v>
      </c>
      <c r="H58" s="68" t="s">
        <v>1347</v>
      </c>
      <c r="I58" s="28">
        <v>17446.0</v>
      </c>
      <c r="J58" s="28">
        <v>31.0</v>
      </c>
      <c r="K58" s="203">
        <v>30.28806451612903</v>
      </c>
      <c r="L58" s="203">
        <v>938.93</v>
      </c>
      <c r="M58" s="203">
        <v>51185.59</v>
      </c>
      <c r="N58" s="205">
        <v>0.01834363929379343</v>
      </c>
      <c r="O58" s="204">
        <v>54.514809410712196</v>
      </c>
      <c r="P58" s="28">
        <v>3.0</v>
      </c>
      <c r="Q58" s="28">
        <v>3.0</v>
      </c>
    </row>
    <row r="59" ht="15.75" customHeight="1">
      <c r="A59" s="68" t="str">
        <f t="shared" si="1"/>
        <v>February</v>
      </c>
      <c r="B59" s="202">
        <v>45323.0</v>
      </c>
      <c r="C59" s="202">
        <v>45351.0</v>
      </c>
      <c r="D59" s="68" t="s">
        <v>110</v>
      </c>
      <c r="E59" s="68" t="s">
        <v>1346</v>
      </c>
      <c r="F59" s="68" t="s">
        <v>902</v>
      </c>
      <c r="G59" s="68" t="s">
        <v>783</v>
      </c>
      <c r="H59" s="68" t="s">
        <v>1348</v>
      </c>
      <c r="I59" s="28">
        <v>432.0</v>
      </c>
      <c r="J59" s="28">
        <v>8.0</v>
      </c>
      <c r="K59" s="203">
        <v>14.205</v>
      </c>
      <c r="L59" s="203">
        <v>113.64</v>
      </c>
      <c r="M59" s="203">
        <v>0.0</v>
      </c>
      <c r="O59" s="204">
        <v>0.0</v>
      </c>
      <c r="P59" s="28">
        <v>0.0</v>
      </c>
      <c r="Q59" s="28">
        <v>0.0</v>
      </c>
    </row>
    <row r="60" ht="15.75" customHeight="1">
      <c r="A60" s="68" t="str">
        <f t="shared" si="1"/>
        <v>February</v>
      </c>
      <c r="B60" s="202">
        <v>45323.0</v>
      </c>
      <c r="C60" s="202">
        <v>45351.0</v>
      </c>
      <c r="D60" s="68" t="s">
        <v>110</v>
      </c>
      <c r="E60" s="68" t="s">
        <v>1346</v>
      </c>
      <c r="F60" s="68" t="s">
        <v>902</v>
      </c>
      <c r="G60" s="68" t="s">
        <v>783</v>
      </c>
      <c r="H60" s="68" t="s">
        <v>1350</v>
      </c>
      <c r="I60" s="28">
        <v>708.0</v>
      </c>
      <c r="J60" s="28">
        <v>74.0</v>
      </c>
      <c r="K60" s="203">
        <v>30.85878378378378</v>
      </c>
      <c r="L60" s="203">
        <v>2283.5499999999997</v>
      </c>
      <c r="M60" s="203">
        <v>0.0</v>
      </c>
      <c r="O60" s="204">
        <v>0.0</v>
      </c>
      <c r="P60" s="28">
        <v>0.0</v>
      </c>
      <c r="Q60" s="28">
        <v>0.0</v>
      </c>
    </row>
    <row r="61" ht="15.75" customHeight="1">
      <c r="A61" s="68" t="str">
        <f t="shared" si="1"/>
        <v>February</v>
      </c>
      <c r="B61" s="202">
        <v>45323.0</v>
      </c>
      <c r="C61" s="202">
        <v>45351.0</v>
      </c>
      <c r="D61" s="68" t="s">
        <v>170</v>
      </c>
      <c r="E61" s="68" t="s">
        <v>1346</v>
      </c>
      <c r="F61" s="68" t="s">
        <v>863</v>
      </c>
      <c r="G61" s="68" t="s">
        <v>775</v>
      </c>
      <c r="H61" s="68" t="s">
        <v>1347</v>
      </c>
      <c r="I61" s="28">
        <v>56211.0</v>
      </c>
      <c r="J61" s="28">
        <v>157.0</v>
      </c>
      <c r="K61" s="203">
        <v>5.657643312101911</v>
      </c>
      <c r="L61" s="203">
        <v>888.25</v>
      </c>
      <c r="M61" s="203">
        <v>5508.47</v>
      </c>
      <c r="N61" s="205">
        <v>0.16125167242446628</v>
      </c>
      <c r="O61" s="204">
        <v>6.201486068111455</v>
      </c>
      <c r="P61" s="28">
        <v>1.0</v>
      </c>
      <c r="Q61" s="28">
        <v>1.0</v>
      </c>
    </row>
    <row r="62" ht="15.75" customHeight="1">
      <c r="A62" s="68" t="str">
        <f t="shared" si="1"/>
        <v>February</v>
      </c>
      <c r="B62" s="202">
        <v>45323.0</v>
      </c>
      <c r="C62" s="202">
        <v>45351.0</v>
      </c>
      <c r="D62" s="68" t="s">
        <v>170</v>
      </c>
      <c r="E62" s="68" t="s">
        <v>1346</v>
      </c>
      <c r="F62" s="68" t="s">
        <v>863</v>
      </c>
      <c r="G62" s="68" t="s">
        <v>775</v>
      </c>
      <c r="H62" s="68" t="s">
        <v>1348</v>
      </c>
      <c r="I62" s="28">
        <v>10258.0</v>
      </c>
      <c r="J62" s="28">
        <v>35.0</v>
      </c>
      <c r="K62" s="203">
        <v>5.038285714285713</v>
      </c>
      <c r="L62" s="203">
        <v>176.33999999999997</v>
      </c>
      <c r="M62" s="203">
        <v>0.0</v>
      </c>
      <c r="O62" s="204">
        <v>0.0</v>
      </c>
      <c r="P62" s="28">
        <v>0.0</v>
      </c>
      <c r="Q62" s="28">
        <v>0.0</v>
      </c>
    </row>
    <row r="63" ht="15.75" customHeight="1">
      <c r="A63" s="68" t="str">
        <f t="shared" si="1"/>
        <v>February</v>
      </c>
      <c r="B63" s="202">
        <v>45323.0</v>
      </c>
      <c r="C63" s="202">
        <v>45351.0</v>
      </c>
      <c r="D63" s="68" t="s">
        <v>170</v>
      </c>
      <c r="E63" s="68" t="s">
        <v>1346</v>
      </c>
      <c r="F63" s="68" t="s">
        <v>863</v>
      </c>
      <c r="G63" s="68" t="s">
        <v>775</v>
      </c>
      <c r="H63" s="68" t="s">
        <v>1350</v>
      </c>
      <c r="I63" s="28">
        <v>195.0</v>
      </c>
      <c r="J63" s="28">
        <v>7.0</v>
      </c>
      <c r="K63" s="203">
        <v>4.645714285714286</v>
      </c>
      <c r="L63" s="203">
        <v>32.52</v>
      </c>
      <c r="M63" s="203">
        <v>0.0</v>
      </c>
      <c r="O63" s="204">
        <v>0.0</v>
      </c>
      <c r="P63" s="28">
        <v>0.0</v>
      </c>
      <c r="Q63" s="28">
        <v>0.0</v>
      </c>
    </row>
    <row r="64" ht="15.75" customHeight="1">
      <c r="A64" s="68" t="str">
        <f t="shared" si="1"/>
        <v>February</v>
      </c>
      <c r="B64" s="202">
        <v>45323.0</v>
      </c>
      <c r="C64" s="202">
        <v>45334.0</v>
      </c>
      <c r="D64" s="68" t="s">
        <v>110</v>
      </c>
      <c r="E64" s="68" t="s">
        <v>1346</v>
      </c>
      <c r="F64" s="68" t="s">
        <v>865</v>
      </c>
      <c r="G64" s="68" t="s">
        <v>775</v>
      </c>
      <c r="H64" s="68" t="s">
        <v>1347</v>
      </c>
      <c r="I64" s="28">
        <v>7500.0</v>
      </c>
      <c r="J64" s="28">
        <v>1.0</v>
      </c>
      <c r="K64" s="203">
        <v>11.2</v>
      </c>
      <c r="L64" s="203">
        <v>11.2</v>
      </c>
      <c r="M64" s="203">
        <v>0.0</v>
      </c>
      <c r="O64" s="204">
        <v>0.0</v>
      </c>
      <c r="P64" s="28">
        <v>0.0</v>
      </c>
      <c r="Q64" s="28">
        <v>0.0</v>
      </c>
    </row>
    <row r="65" ht="15.75" customHeight="1">
      <c r="A65" s="68" t="str">
        <f t="shared" si="1"/>
        <v>February</v>
      </c>
      <c r="B65" s="202">
        <v>45323.0</v>
      </c>
      <c r="C65" s="202">
        <v>45333.0</v>
      </c>
      <c r="D65" s="68" t="s">
        <v>110</v>
      </c>
      <c r="E65" s="68" t="s">
        <v>1346</v>
      </c>
      <c r="F65" s="68" t="s">
        <v>865</v>
      </c>
      <c r="G65" s="68" t="s">
        <v>775</v>
      </c>
      <c r="H65" s="68" t="s">
        <v>1348</v>
      </c>
      <c r="I65" s="28">
        <v>19.0</v>
      </c>
      <c r="J65" s="28">
        <v>1.0</v>
      </c>
      <c r="K65" s="203">
        <v>31.82</v>
      </c>
      <c r="L65" s="203">
        <v>31.82</v>
      </c>
      <c r="M65" s="203">
        <v>0.0</v>
      </c>
      <c r="O65" s="204">
        <v>0.0</v>
      </c>
      <c r="P65" s="28">
        <v>0.0</v>
      </c>
      <c r="Q65" s="28">
        <v>0.0</v>
      </c>
    </row>
    <row r="66" ht="15.75" customHeight="1">
      <c r="A66" s="68" t="str">
        <f t="shared" si="1"/>
        <v>February</v>
      </c>
      <c r="B66" s="202">
        <v>45323.0</v>
      </c>
      <c r="C66" s="202">
        <v>45336.0</v>
      </c>
      <c r="D66" s="68" t="s">
        <v>110</v>
      </c>
      <c r="E66" s="68" t="s">
        <v>1346</v>
      </c>
      <c r="F66" s="68" t="s">
        <v>865</v>
      </c>
      <c r="G66" s="68" t="s">
        <v>775</v>
      </c>
      <c r="H66" s="68" t="s">
        <v>1350</v>
      </c>
      <c r="I66" s="28">
        <v>474.0</v>
      </c>
      <c r="J66" s="28">
        <v>39.0</v>
      </c>
      <c r="K66" s="203">
        <v>23.52076923076923</v>
      </c>
      <c r="L66" s="203">
        <v>917.31</v>
      </c>
      <c r="M66" s="203">
        <v>12711.02</v>
      </c>
      <c r="N66" s="205">
        <v>0.07216651378095541</v>
      </c>
      <c r="O66" s="204">
        <v>13.85684228886636</v>
      </c>
      <c r="P66" s="28">
        <v>1.0</v>
      </c>
      <c r="Q66" s="28">
        <v>1.0</v>
      </c>
    </row>
    <row r="67" ht="15.75" customHeight="1">
      <c r="A67" s="68" t="str">
        <f t="shared" si="1"/>
        <v>February</v>
      </c>
      <c r="B67" s="202">
        <v>45323.0</v>
      </c>
      <c r="C67" s="202">
        <v>45351.0</v>
      </c>
      <c r="D67" s="68" t="s">
        <v>110</v>
      </c>
      <c r="E67" s="68" t="s">
        <v>1346</v>
      </c>
      <c r="F67" s="68" t="s">
        <v>900</v>
      </c>
      <c r="G67" s="68" t="s">
        <v>783</v>
      </c>
      <c r="H67" s="68" t="s">
        <v>1347</v>
      </c>
      <c r="I67" s="28">
        <v>12024.0</v>
      </c>
      <c r="J67" s="28">
        <v>18.0</v>
      </c>
      <c r="K67" s="203">
        <v>22.00222222222222</v>
      </c>
      <c r="L67" s="203">
        <v>396.03999999999996</v>
      </c>
      <c r="M67" s="203">
        <v>0.0</v>
      </c>
      <c r="O67" s="204">
        <v>0.0</v>
      </c>
      <c r="P67" s="28">
        <v>0.0</v>
      </c>
      <c r="Q67" s="28">
        <v>0.0</v>
      </c>
    </row>
    <row r="68" ht="15.75" customHeight="1">
      <c r="A68" s="68" t="str">
        <f t="shared" si="1"/>
        <v>February</v>
      </c>
      <c r="B68" s="202">
        <v>45323.0</v>
      </c>
      <c r="C68" s="202">
        <v>45351.0</v>
      </c>
      <c r="D68" s="68" t="s">
        <v>110</v>
      </c>
      <c r="E68" s="68" t="s">
        <v>1346</v>
      </c>
      <c r="F68" s="68" t="s">
        <v>900</v>
      </c>
      <c r="G68" s="68" t="s">
        <v>783</v>
      </c>
      <c r="H68" s="68" t="s">
        <v>1348</v>
      </c>
      <c r="I68" s="28">
        <v>12950.0</v>
      </c>
      <c r="J68" s="28">
        <v>70.0</v>
      </c>
      <c r="K68" s="203">
        <v>16.172000000000004</v>
      </c>
      <c r="L68" s="203">
        <v>1132.0400000000002</v>
      </c>
      <c r="M68" s="203">
        <v>0.0</v>
      </c>
      <c r="O68" s="204">
        <v>0.0</v>
      </c>
      <c r="P68" s="28">
        <v>0.0</v>
      </c>
      <c r="Q68" s="28">
        <v>0.0</v>
      </c>
    </row>
    <row r="69" ht="15.75" customHeight="1">
      <c r="A69" s="68" t="str">
        <f t="shared" si="1"/>
        <v>February</v>
      </c>
      <c r="B69" s="202">
        <v>45323.0</v>
      </c>
      <c r="C69" s="202">
        <v>45351.0</v>
      </c>
      <c r="D69" s="68" t="s">
        <v>110</v>
      </c>
      <c r="E69" s="68" t="s">
        <v>1346</v>
      </c>
      <c r="F69" s="68" t="s">
        <v>900</v>
      </c>
      <c r="G69" s="68" t="s">
        <v>783</v>
      </c>
      <c r="H69" s="68" t="s">
        <v>1350</v>
      </c>
      <c r="I69" s="28">
        <v>10936.0</v>
      </c>
      <c r="J69" s="28">
        <v>196.0</v>
      </c>
      <c r="K69" s="203">
        <v>28.56086734693877</v>
      </c>
      <c r="L69" s="203">
        <v>5597.929999999999</v>
      </c>
      <c r="M69" s="203">
        <v>0.0</v>
      </c>
      <c r="O69" s="204">
        <v>0.0</v>
      </c>
      <c r="P69" s="28">
        <v>0.0</v>
      </c>
      <c r="Q69" s="28">
        <v>0.0</v>
      </c>
    </row>
    <row r="70" ht="15.75" customHeight="1">
      <c r="A70" s="68" t="str">
        <f t="shared" si="1"/>
        <v>February</v>
      </c>
      <c r="B70" s="202">
        <v>45323.0</v>
      </c>
      <c r="C70" s="202">
        <v>45351.0</v>
      </c>
      <c r="D70" s="68" t="s">
        <v>110</v>
      </c>
      <c r="E70" s="68" t="s">
        <v>1346</v>
      </c>
      <c r="F70" s="68" t="s">
        <v>899</v>
      </c>
      <c r="G70" s="68" t="s">
        <v>783</v>
      </c>
      <c r="H70" s="68" t="s">
        <v>1347</v>
      </c>
      <c r="I70" s="28">
        <v>11756.0</v>
      </c>
      <c r="J70" s="28">
        <v>23.0</v>
      </c>
      <c r="K70" s="203">
        <v>38.83434782608696</v>
      </c>
      <c r="L70" s="203">
        <v>893.1900000000002</v>
      </c>
      <c r="M70" s="203">
        <v>0.0</v>
      </c>
      <c r="O70" s="204">
        <v>0.0</v>
      </c>
      <c r="P70" s="28">
        <v>0.0</v>
      </c>
      <c r="Q70" s="28">
        <v>0.0</v>
      </c>
    </row>
    <row r="71" ht="15.75" customHeight="1">
      <c r="A71" s="68" t="str">
        <f t="shared" si="1"/>
        <v>February</v>
      </c>
      <c r="B71" s="202">
        <v>45324.0</v>
      </c>
      <c r="C71" s="202">
        <v>45351.0</v>
      </c>
      <c r="D71" s="68" t="s">
        <v>110</v>
      </c>
      <c r="E71" s="68" t="s">
        <v>1346</v>
      </c>
      <c r="F71" s="68" t="s">
        <v>899</v>
      </c>
      <c r="G71" s="68" t="s">
        <v>783</v>
      </c>
      <c r="H71" s="68" t="s">
        <v>1348</v>
      </c>
      <c r="I71" s="28">
        <v>178.0</v>
      </c>
      <c r="J71" s="28">
        <v>2.0</v>
      </c>
      <c r="K71" s="203">
        <v>5.755000000000001</v>
      </c>
      <c r="L71" s="203">
        <v>11.510000000000002</v>
      </c>
      <c r="M71" s="203">
        <v>0.0</v>
      </c>
      <c r="O71" s="204">
        <v>0.0</v>
      </c>
      <c r="P71" s="28">
        <v>0.0</v>
      </c>
      <c r="Q71" s="28">
        <v>0.0</v>
      </c>
    </row>
    <row r="72" ht="15.75" customHeight="1">
      <c r="A72" s="68" t="str">
        <f t="shared" si="1"/>
        <v>February</v>
      </c>
      <c r="B72" s="202">
        <v>45323.0</v>
      </c>
      <c r="C72" s="202">
        <v>45351.0</v>
      </c>
      <c r="D72" s="68" t="s">
        <v>110</v>
      </c>
      <c r="E72" s="68" t="s">
        <v>1346</v>
      </c>
      <c r="F72" s="68" t="s">
        <v>899</v>
      </c>
      <c r="G72" s="68" t="s">
        <v>783</v>
      </c>
      <c r="H72" s="68" t="s">
        <v>1350</v>
      </c>
      <c r="I72" s="28">
        <v>600.0</v>
      </c>
      <c r="J72" s="28">
        <v>61.0</v>
      </c>
      <c r="K72" s="203">
        <v>21.93114754098361</v>
      </c>
      <c r="L72" s="203">
        <v>1337.8000000000002</v>
      </c>
      <c r="M72" s="203">
        <v>38474.57</v>
      </c>
      <c r="N72" s="205">
        <v>0.03477101888338194</v>
      </c>
      <c r="O72" s="204">
        <v>28.75958289729406</v>
      </c>
      <c r="P72" s="28">
        <v>2.0</v>
      </c>
      <c r="Q72" s="28">
        <v>2.0</v>
      </c>
    </row>
    <row r="73" ht="15.75" customHeight="1">
      <c r="A73" s="68" t="str">
        <f t="shared" si="1"/>
        <v>February</v>
      </c>
      <c r="B73" s="202">
        <v>45323.0</v>
      </c>
      <c r="C73" s="202">
        <v>45351.0</v>
      </c>
      <c r="D73" s="68" t="s">
        <v>110</v>
      </c>
      <c r="E73" s="68" t="s">
        <v>1346</v>
      </c>
      <c r="F73" s="68" t="s">
        <v>904</v>
      </c>
      <c r="G73" s="68" t="s">
        <v>783</v>
      </c>
      <c r="H73" s="68" t="s">
        <v>1347</v>
      </c>
      <c r="I73" s="28">
        <v>104842.0</v>
      </c>
      <c r="J73" s="28">
        <v>197.0</v>
      </c>
      <c r="K73" s="203">
        <v>34.36619289340101</v>
      </c>
      <c r="L73" s="203">
        <v>6770.139999999999</v>
      </c>
      <c r="M73" s="203">
        <v>79999.98999999999</v>
      </c>
      <c r="N73" s="205">
        <v>0.08462676057834508</v>
      </c>
      <c r="O73" s="204">
        <v>11.816593157600876</v>
      </c>
      <c r="P73" s="28">
        <v>4.0</v>
      </c>
      <c r="Q73" s="28">
        <v>4.0</v>
      </c>
    </row>
    <row r="74" ht="15.75" customHeight="1">
      <c r="A74" s="68" t="str">
        <f t="shared" si="1"/>
        <v>February</v>
      </c>
      <c r="B74" s="202">
        <v>45323.0</v>
      </c>
      <c r="C74" s="202">
        <v>45351.0</v>
      </c>
      <c r="D74" s="68" t="s">
        <v>110</v>
      </c>
      <c r="E74" s="68" t="s">
        <v>1346</v>
      </c>
      <c r="F74" s="68" t="s">
        <v>904</v>
      </c>
      <c r="G74" s="68" t="s">
        <v>783</v>
      </c>
      <c r="H74" s="68" t="s">
        <v>1348</v>
      </c>
      <c r="I74" s="28">
        <v>1093.0</v>
      </c>
      <c r="J74" s="28">
        <v>20.0</v>
      </c>
      <c r="K74" s="203">
        <v>23.528</v>
      </c>
      <c r="L74" s="203">
        <v>470.56</v>
      </c>
      <c r="M74" s="203">
        <v>0.0</v>
      </c>
      <c r="O74" s="204">
        <v>0.0</v>
      </c>
      <c r="P74" s="28">
        <v>0.0</v>
      </c>
      <c r="Q74" s="28">
        <v>0.0</v>
      </c>
    </row>
    <row r="75" ht="15.75" customHeight="1">
      <c r="A75" s="68" t="str">
        <f t="shared" si="1"/>
        <v>February</v>
      </c>
      <c r="B75" s="202">
        <v>45323.0</v>
      </c>
      <c r="C75" s="202">
        <v>45351.0</v>
      </c>
      <c r="D75" s="68" t="s">
        <v>110</v>
      </c>
      <c r="E75" s="68" t="s">
        <v>1346</v>
      </c>
      <c r="F75" s="68" t="s">
        <v>904</v>
      </c>
      <c r="G75" s="68" t="s">
        <v>783</v>
      </c>
      <c r="H75" s="68" t="s">
        <v>1350</v>
      </c>
      <c r="I75" s="28">
        <v>2953.0</v>
      </c>
      <c r="J75" s="28">
        <v>190.0</v>
      </c>
      <c r="K75" s="203">
        <v>48.74131578947369</v>
      </c>
      <c r="L75" s="203">
        <v>9260.85</v>
      </c>
      <c r="M75" s="203">
        <v>67500.0</v>
      </c>
      <c r="N75" s="205">
        <v>0.13719777777777778</v>
      </c>
      <c r="O75" s="204">
        <v>7.28874779312914</v>
      </c>
      <c r="P75" s="28">
        <v>4.0</v>
      </c>
      <c r="Q75" s="28">
        <v>4.0</v>
      </c>
    </row>
    <row r="76" ht="15.75" customHeight="1">
      <c r="A76" s="68" t="str">
        <f t="shared" si="1"/>
        <v>February</v>
      </c>
      <c r="B76" s="202">
        <v>45323.0</v>
      </c>
      <c r="C76" s="202">
        <v>45328.0</v>
      </c>
      <c r="D76" s="68" t="s">
        <v>1352</v>
      </c>
      <c r="E76" s="68" t="s">
        <v>1346</v>
      </c>
      <c r="F76" s="68" t="s">
        <v>829</v>
      </c>
      <c r="G76" s="68" t="s">
        <v>775</v>
      </c>
      <c r="H76" s="68" t="s">
        <v>1347</v>
      </c>
      <c r="I76" s="28">
        <v>569.0</v>
      </c>
      <c r="J76" s="28">
        <v>1.0</v>
      </c>
      <c r="K76" s="203">
        <v>15.9</v>
      </c>
      <c r="L76" s="203">
        <v>15.9</v>
      </c>
      <c r="M76" s="203">
        <v>0.0</v>
      </c>
      <c r="O76" s="204">
        <v>0.0</v>
      </c>
      <c r="P76" s="28">
        <v>0.0</v>
      </c>
      <c r="Q76" s="28">
        <v>0.0</v>
      </c>
    </row>
    <row r="77" ht="15.75" customHeight="1">
      <c r="A77" s="68" t="str">
        <f t="shared" si="1"/>
        <v>February</v>
      </c>
      <c r="B77" s="202">
        <v>45323.0</v>
      </c>
      <c r="C77" s="202">
        <v>45328.0</v>
      </c>
      <c r="D77" s="68" t="s">
        <v>1352</v>
      </c>
      <c r="E77" s="68" t="s">
        <v>1346</v>
      </c>
      <c r="F77" s="68" t="s">
        <v>829</v>
      </c>
      <c r="G77" s="68" t="s">
        <v>775</v>
      </c>
      <c r="H77" s="68" t="s">
        <v>1348</v>
      </c>
      <c r="I77" s="28">
        <v>10418.0</v>
      </c>
      <c r="J77" s="28">
        <v>58.0</v>
      </c>
      <c r="K77" s="203">
        <v>13.886034482758621</v>
      </c>
      <c r="L77" s="203">
        <v>805.39</v>
      </c>
      <c r="M77" s="203">
        <v>0.0</v>
      </c>
      <c r="O77" s="204">
        <v>0.0</v>
      </c>
      <c r="P77" s="28">
        <v>0.0</v>
      </c>
      <c r="Q77" s="28">
        <v>0.0</v>
      </c>
    </row>
    <row r="78" ht="15.75" customHeight="1">
      <c r="A78" s="68" t="str">
        <f t="shared" si="1"/>
        <v>February</v>
      </c>
      <c r="B78" s="202">
        <v>45323.0</v>
      </c>
      <c r="C78" s="202">
        <v>45327.0</v>
      </c>
      <c r="D78" s="68" t="s">
        <v>1352</v>
      </c>
      <c r="E78" s="68" t="s">
        <v>1346</v>
      </c>
      <c r="F78" s="68" t="s">
        <v>829</v>
      </c>
      <c r="G78" s="68" t="s">
        <v>775</v>
      </c>
      <c r="H78" s="68" t="s">
        <v>1350</v>
      </c>
      <c r="I78" s="28">
        <v>7384.0</v>
      </c>
      <c r="J78" s="28">
        <v>56.0</v>
      </c>
      <c r="K78" s="203">
        <v>15.664107142857144</v>
      </c>
      <c r="L78" s="203">
        <v>877.19</v>
      </c>
      <c r="M78" s="203">
        <v>0.0</v>
      </c>
      <c r="O78" s="204">
        <v>0.0</v>
      </c>
      <c r="P78" s="28">
        <v>0.0</v>
      </c>
      <c r="Q78" s="28">
        <v>0.0</v>
      </c>
    </row>
    <row r="79" ht="15.75" customHeight="1">
      <c r="A79" s="68" t="str">
        <f t="shared" si="1"/>
        <v>February</v>
      </c>
      <c r="B79" s="202">
        <v>45323.0</v>
      </c>
      <c r="C79" s="202">
        <v>45351.0</v>
      </c>
      <c r="D79" s="68" t="s">
        <v>158</v>
      </c>
      <c r="E79" s="68" t="s">
        <v>1346</v>
      </c>
      <c r="F79" s="68" t="s">
        <v>866</v>
      </c>
      <c r="G79" s="68" t="s">
        <v>775</v>
      </c>
      <c r="H79" s="68" t="s">
        <v>1347</v>
      </c>
      <c r="I79" s="28">
        <v>108682.0</v>
      </c>
      <c r="J79" s="28">
        <v>209.0</v>
      </c>
      <c r="K79" s="203">
        <v>4.855502392344499</v>
      </c>
      <c r="L79" s="203">
        <v>1014.8000000000003</v>
      </c>
      <c r="M79" s="203">
        <v>0.0</v>
      </c>
      <c r="O79" s="204">
        <v>0.0</v>
      </c>
      <c r="P79" s="28">
        <v>0.0</v>
      </c>
      <c r="Q79" s="28">
        <v>0.0</v>
      </c>
    </row>
    <row r="80" ht="15.75" customHeight="1">
      <c r="A80" s="68" t="str">
        <f t="shared" si="1"/>
        <v>February</v>
      </c>
      <c r="B80" s="202">
        <v>45323.0</v>
      </c>
      <c r="C80" s="202">
        <v>45351.0</v>
      </c>
      <c r="D80" s="68" t="s">
        <v>158</v>
      </c>
      <c r="E80" s="68" t="s">
        <v>1346</v>
      </c>
      <c r="F80" s="68" t="s">
        <v>866</v>
      </c>
      <c r="G80" s="68" t="s">
        <v>775</v>
      </c>
      <c r="H80" s="68" t="s">
        <v>1348</v>
      </c>
      <c r="I80" s="28">
        <v>12343.0</v>
      </c>
      <c r="J80" s="28">
        <v>60.0</v>
      </c>
      <c r="K80" s="203">
        <v>6.272333333333333</v>
      </c>
      <c r="L80" s="203">
        <v>376.34</v>
      </c>
      <c r="M80" s="203">
        <v>0.0</v>
      </c>
      <c r="O80" s="204">
        <v>0.0</v>
      </c>
      <c r="P80" s="28">
        <v>0.0</v>
      </c>
      <c r="Q80" s="28">
        <v>0.0</v>
      </c>
    </row>
    <row r="81" ht="15.75" customHeight="1">
      <c r="A81" s="68" t="str">
        <f t="shared" si="1"/>
        <v>February</v>
      </c>
      <c r="B81" s="202">
        <v>45323.0</v>
      </c>
      <c r="C81" s="202">
        <v>45351.0</v>
      </c>
      <c r="D81" s="68" t="s">
        <v>158</v>
      </c>
      <c r="E81" s="68" t="s">
        <v>1346</v>
      </c>
      <c r="F81" s="68" t="s">
        <v>866</v>
      </c>
      <c r="G81" s="68" t="s">
        <v>775</v>
      </c>
      <c r="H81" s="68" t="s">
        <v>1350</v>
      </c>
      <c r="I81" s="28">
        <v>400.0</v>
      </c>
      <c r="J81" s="28">
        <v>9.0</v>
      </c>
      <c r="K81" s="203">
        <v>6.845555555555555</v>
      </c>
      <c r="L81" s="203">
        <v>61.61</v>
      </c>
      <c r="M81" s="203">
        <v>0.0</v>
      </c>
      <c r="O81" s="204">
        <v>0.0</v>
      </c>
      <c r="P81" s="28">
        <v>0.0</v>
      </c>
      <c r="Q81" s="28">
        <v>0.0</v>
      </c>
    </row>
    <row r="82" ht="15.75" customHeight="1">
      <c r="A82" s="68" t="str">
        <f t="shared" si="1"/>
        <v>February</v>
      </c>
      <c r="B82" s="202">
        <v>45323.0</v>
      </c>
      <c r="C82" s="202">
        <v>45351.0</v>
      </c>
      <c r="D82" s="68" t="s">
        <v>110</v>
      </c>
      <c r="E82" s="68" t="s">
        <v>1346</v>
      </c>
      <c r="F82" s="68" t="s">
        <v>894</v>
      </c>
      <c r="G82" s="68" t="s">
        <v>783</v>
      </c>
      <c r="H82" s="68" t="s">
        <v>1347</v>
      </c>
      <c r="I82" s="28">
        <v>62201.0</v>
      </c>
      <c r="J82" s="28">
        <v>114.0</v>
      </c>
      <c r="K82" s="203">
        <v>25.630350877192985</v>
      </c>
      <c r="L82" s="203">
        <v>2921.86</v>
      </c>
      <c r="M82" s="203">
        <v>0.0</v>
      </c>
      <c r="O82" s="204">
        <v>0.0</v>
      </c>
      <c r="P82" s="28">
        <v>0.0</v>
      </c>
      <c r="Q82" s="28">
        <v>0.0</v>
      </c>
    </row>
    <row r="83" ht="15.75" customHeight="1">
      <c r="A83" s="68" t="str">
        <f t="shared" si="1"/>
        <v>February</v>
      </c>
      <c r="B83" s="202">
        <v>45323.0</v>
      </c>
      <c r="C83" s="202">
        <v>45351.0</v>
      </c>
      <c r="D83" s="68" t="s">
        <v>110</v>
      </c>
      <c r="E83" s="68" t="s">
        <v>1346</v>
      </c>
      <c r="F83" s="68" t="s">
        <v>894</v>
      </c>
      <c r="G83" s="68" t="s">
        <v>783</v>
      </c>
      <c r="H83" s="68" t="s">
        <v>1348</v>
      </c>
      <c r="I83" s="28">
        <v>2699.0</v>
      </c>
      <c r="J83" s="28">
        <v>37.0</v>
      </c>
      <c r="K83" s="203">
        <v>25.779729729729727</v>
      </c>
      <c r="L83" s="203">
        <v>953.8499999999999</v>
      </c>
      <c r="M83" s="203">
        <v>25338.98</v>
      </c>
      <c r="N83" s="205">
        <v>0.03764358312765549</v>
      </c>
      <c r="O83" s="204">
        <v>26.56495256067516</v>
      </c>
      <c r="P83" s="28">
        <v>1.0</v>
      </c>
      <c r="Q83" s="28">
        <v>1.0</v>
      </c>
    </row>
    <row r="84" ht="15.75" customHeight="1">
      <c r="A84" s="68" t="str">
        <f t="shared" si="1"/>
        <v>February</v>
      </c>
      <c r="B84" s="202">
        <v>45323.0</v>
      </c>
      <c r="C84" s="202">
        <v>45351.0</v>
      </c>
      <c r="D84" s="68" t="s">
        <v>110</v>
      </c>
      <c r="E84" s="68" t="s">
        <v>1346</v>
      </c>
      <c r="F84" s="68" t="s">
        <v>894</v>
      </c>
      <c r="G84" s="68" t="s">
        <v>783</v>
      </c>
      <c r="H84" s="68" t="s">
        <v>1350</v>
      </c>
      <c r="I84" s="28">
        <v>551.0</v>
      </c>
      <c r="J84" s="28">
        <v>38.0</v>
      </c>
      <c r="K84" s="203">
        <v>38.599736842105266</v>
      </c>
      <c r="L84" s="203">
        <v>1466.7900000000002</v>
      </c>
      <c r="M84" s="203">
        <v>0.0</v>
      </c>
      <c r="O84" s="204">
        <v>0.0</v>
      </c>
      <c r="P84" s="28">
        <v>0.0</v>
      </c>
      <c r="Q84" s="28">
        <v>0.0</v>
      </c>
    </row>
    <row r="85" ht="15.75" customHeight="1">
      <c r="A85" s="68" t="str">
        <f t="shared" si="1"/>
        <v>February</v>
      </c>
      <c r="B85" s="202">
        <v>45323.0</v>
      </c>
      <c r="C85" s="202">
        <v>45351.0</v>
      </c>
      <c r="D85" s="68" t="s">
        <v>158</v>
      </c>
      <c r="E85" s="68" t="s">
        <v>1346</v>
      </c>
      <c r="F85" s="68" t="s">
        <v>872</v>
      </c>
      <c r="G85" s="68" t="s">
        <v>775</v>
      </c>
      <c r="H85" s="68" t="s">
        <v>1347</v>
      </c>
      <c r="I85" s="28">
        <v>49932.0</v>
      </c>
      <c r="J85" s="28">
        <v>129.0</v>
      </c>
      <c r="K85" s="203">
        <v>8.373410852713176</v>
      </c>
      <c r="L85" s="203">
        <v>1080.1699999999998</v>
      </c>
      <c r="M85" s="203">
        <v>0.0</v>
      </c>
      <c r="O85" s="204">
        <v>0.0</v>
      </c>
      <c r="P85" s="28">
        <v>0.0</v>
      </c>
      <c r="Q85" s="28">
        <v>0.0</v>
      </c>
    </row>
    <row r="86" ht="15.75" customHeight="1">
      <c r="A86" s="68" t="str">
        <f t="shared" si="1"/>
        <v>February</v>
      </c>
      <c r="B86" s="202">
        <v>45323.0</v>
      </c>
      <c r="C86" s="202">
        <v>45351.0</v>
      </c>
      <c r="D86" s="68" t="s">
        <v>158</v>
      </c>
      <c r="E86" s="68" t="s">
        <v>1346</v>
      </c>
      <c r="F86" s="68" t="s">
        <v>872</v>
      </c>
      <c r="G86" s="68" t="s">
        <v>775</v>
      </c>
      <c r="H86" s="68" t="s">
        <v>1348</v>
      </c>
      <c r="I86" s="28">
        <v>7751.0</v>
      </c>
      <c r="J86" s="28">
        <v>84.0</v>
      </c>
      <c r="K86" s="203">
        <v>7.94904761904762</v>
      </c>
      <c r="L86" s="203">
        <v>667.72</v>
      </c>
      <c r="M86" s="203">
        <v>1015.94</v>
      </c>
      <c r="N86" s="205">
        <v>0.6572435380042129</v>
      </c>
      <c r="O86" s="204">
        <v>1.5215060204876296</v>
      </c>
      <c r="P86" s="28">
        <v>1.0</v>
      </c>
      <c r="Q86" s="28">
        <v>1.0</v>
      </c>
    </row>
    <row r="87" ht="15.75" customHeight="1">
      <c r="A87" s="68" t="str">
        <f t="shared" si="1"/>
        <v>February</v>
      </c>
      <c r="B87" s="202">
        <v>45323.0</v>
      </c>
      <c r="C87" s="202">
        <v>45351.0</v>
      </c>
      <c r="D87" s="68" t="s">
        <v>158</v>
      </c>
      <c r="E87" s="68" t="s">
        <v>1346</v>
      </c>
      <c r="F87" s="68" t="s">
        <v>872</v>
      </c>
      <c r="G87" s="68" t="s">
        <v>775</v>
      </c>
      <c r="H87" s="68" t="s">
        <v>1350</v>
      </c>
      <c r="I87" s="28">
        <v>99.0</v>
      </c>
      <c r="J87" s="28">
        <v>3.0</v>
      </c>
      <c r="K87" s="203">
        <v>8.866666666666667</v>
      </c>
      <c r="L87" s="203">
        <v>26.6</v>
      </c>
      <c r="M87" s="203">
        <v>0.0</v>
      </c>
      <c r="O87" s="204">
        <v>0.0</v>
      </c>
      <c r="P87" s="28">
        <v>0.0</v>
      </c>
      <c r="Q87" s="28">
        <v>0.0</v>
      </c>
    </row>
    <row r="88" ht="15.75" customHeight="1">
      <c r="A88" s="68" t="str">
        <f t="shared" si="1"/>
        <v>February</v>
      </c>
      <c r="B88" s="202">
        <v>45323.0</v>
      </c>
      <c r="C88" s="202">
        <v>45351.0</v>
      </c>
      <c r="D88" s="68" t="s">
        <v>170</v>
      </c>
      <c r="E88" s="68" t="s">
        <v>1346</v>
      </c>
      <c r="F88" s="68" t="s">
        <v>892</v>
      </c>
      <c r="G88" s="68" t="s">
        <v>775</v>
      </c>
      <c r="H88" s="68" t="s">
        <v>1347</v>
      </c>
      <c r="I88" s="28">
        <v>19916.0</v>
      </c>
      <c r="J88" s="28">
        <v>120.0</v>
      </c>
      <c r="K88" s="203">
        <v>13.707333333333331</v>
      </c>
      <c r="L88" s="203">
        <v>1644.8799999999997</v>
      </c>
      <c r="M88" s="203">
        <v>11016.95</v>
      </c>
      <c r="N88" s="205">
        <v>0.1493044808227322</v>
      </c>
      <c r="O88" s="204">
        <v>6.697722630222267</v>
      </c>
      <c r="P88" s="28">
        <v>2.0</v>
      </c>
      <c r="Q88" s="28">
        <v>2.0</v>
      </c>
    </row>
    <row r="89" ht="15.75" customHeight="1">
      <c r="A89" s="68" t="str">
        <f t="shared" si="1"/>
        <v>February</v>
      </c>
      <c r="B89" s="202">
        <v>45323.0</v>
      </c>
      <c r="C89" s="202">
        <v>45351.0</v>
      </c>
      <c r="D89" s="68" t="s">
        <v>170</v>
      </c>
      <c r="E89" s="68" t="s">
        <v>1346</v>
      </c>
      <c r="F89" s="68" t="s">
        <v>892</v>
      </c>
      <c r="G89" s="68" t="s">
        <v>775</v>
      </c>
      <c r="H89" s="68" t="s">
        <v>1348</v>
      </c>
      <c r="I89" s="28">
        <v>257.0</v>
      </c>
      <c r="J89" s="28">
        <v>2.0</v>
      </c>
      <c r="K89" s="203">
        <v>14.48</v>
      </c>
      <c r="L89" s="203">
        <v>28.96</v>
      </c>
      <c r="M89" s="203">
        <v>0.0</v>
      </c>
      <c r="O89" s="204">
        <v>0.0</v>
      </c>
      <c r="P89" s="28">
        <v>0.0</v>
      </c>
      <c r="Q89" s="28">
        <v>0.0</v>
      </c>
    </row>
    <row r="90" ht="15.75" customHeight="1">
      <c r="A90" s="68" t="str">
        <f t="shared" si="1"/>
        <v>February</v>
      </c>
      <c r="B90" s="202">
        <v>45326.0</v>
      </c>
      <c r="C90" s="202">
        <v>45350.0</v>
      </c>
      <c r="D90" s="68" t="s">
        <v>170</v>
      </c>
      <c r="E90" s="68" t="s">
        <v>1346</v>
      </c>
      <c r="F90" s="68" t="s">
        <v>892</v>
      </c>
      <c r="G90" s="68" t="s">
        <v>775</v>
      </c>
      <c r="H90" s="68" t="s">
        <v>1350</v>
      </c>
      <c r="I90" s="28">
        <v>19.0</v>
      </c>
      <c r="J90" s="28">
        <v>2.0</v>
      </c>
      <c r="K90" s="203">
        <v>9.615</v>
      </c>
      <c r="L90" s="203">
        <v>19.23</v>
      </c>
      <c r="M90" s="203">
        <v>0.0</v>
      </c>
      <c r="O90" s="204">
        <v>0.0</v>
      </c>
      <c r="P90" s="28">
        <v>0.0</v>
      </c>
      <c r="Q90" s="28">
        <v>0.0</v>
      </c>
    </row>
    <row r="91" ht="15.75" customHeight="1">
      <c r="A91" s="68" t="str">
        <f t="shared" si="1"/>
        <v>February</v>
      </c>
      <c r="B91" s="202">
        <v>45323.0</v>
      </c>
      <c r="C91" s="202">
        <v>45351.0</v>
      </c>
      <c r="D91" s="68" t="s">
        <v>158</v>
      </c>
      <c r="E91" s="68" t="s">
        <v>1346</v>
      </c>
      <c r="F91" s="68" t="s">
        <v>869</v>
      </c>
      <c r="G91" s="68" t="s">
        <v>775</v>
      </c>
      <c r="H91" s="68" t="s">
        <v>1347</v>
      </c>
      <c r="I91" s="28">
        <v>39513.0</v>
      </c>
      <c r="J91" s="28">
        <v>82.0</v>
      </c>
      <c r="K91" s="203">
        <v>9.551951219512196</v>
      </c>
      <c r="L91" s="203">
        <v>783.2600000000001</v>
      </c>
      <c r="M91" s="203">
        <v>0.0</v>
      </c>
      <c r="O91" s="204">
        <v>0.0</v>
      </c>
      <c r="P91" s="28">
        <v>0.0</v>
      </c>
      <c r="Q91" s="28">
        <v>0.0</v>
      </c>
    </row>
    <row r="92" ht="15.75" customHeight="1">
      <c r="A92" s="68" t="str">
        <f t="shared" si="1"/>
        <v>February</v>
      </c>
      <c r="B92" s="202">
        <v>45323.0</v>
      </c>
      <c r="C92" s="202">
        <v>45351.0</v>
      </c>
      <c r="D92" s="68" t="s">
        <v>158</v>
      </c>
      <c r="E92" s="68" t="s">
        <v>1346</v>
      </c>
      <c r="F92" s="68" t="s">
        <v>869</v>
      </c>
      <c r="G92" s="68" t="s">
        <v>775</v>
      </c>
      <c r="H92" s="68" t="s">
        <v>1348</v>
      </c>
      <c r="I92" s="28">
        <v>6048.0</v>
      </c>
      <c r="J92" s="28">
        <v>78.0</v>
      </c>
      <c r="K92" s="203">
        <v>8.850256410256408</v>
      </c>
      <c r="L92" s="203">
        <v>690.3199999999998</v>
      </c>
      <c r="M92" s="203">
        <v>0.0</v>
      </c>
      <c r="O92" s="204">
        <v>0.0</v>
      </c>
      <c r="P92" s="28">
        <v>0.0</v>
      </c>
      <c r="Q92" s="28">
        <v>0.0</v>
      </c>
    </row>
    <row r="93" ht="15.75" customHeight="1">
      <c r="A93" s="68" t="str">
        <f t="shared" si="1"/>
        <v>February</v>
      </c>
      <c r="B93" s="202">
        <v>45323.0</v>
      </c>
      <c r="C93" s="202">
        <v>45351.0</v>
      </c>
      <c r="D93" s="68" t="s">
        <v>158</v>
      </c>
      <c r="E93" s="68" t="s">
        <v>1346</v>
      </c>
      <c r="F93" s="68" t="s">
        <v>869</v>
      </c>
      <c r="G93" s="68" t="s">
        <v>775</v>
      </c>
      <c r="H93" s="68" t="s">
        <v>1350</v>
      </c>
      <c r="I93" s="28">
        <v>300.0</v>
      </c>
      <c r="J93" s="28">
        <v>17.0</v>
      </c>
      <c r="K93" s="203">
        <v>10.148823529411763</v>
      </c>
      <c r="L93" s="203">
        <v>172.52999999999997</v>
      </c>
      <c r="M93" s="203">
        <v>0.0</v>
      </c>
      <c r="O93" s="204">
        <v>0.0</v>
      </c>
      <c r="P93" s="28">
        <v>0.0</v>
      </c>
      <c r="Q93" s="28">
        <v>0.0</v>
      </c>
    </row>
    <row r="94" ht="15.75" customHeight="1">
      <c r="A94" s="68" t="str">
        <f t="shared" si="1"/>
        <v>February</v>
      </c>
      <c r="B94" s="202">
        <v>45323.0</v>
      </c>
      <c r="C94" s="202">
        <v>45334.0</v>
      </c>
      <c r="D94" s="68" t="s">
        <v>110</v>
      </c>
      <c r="E94" s="68" t="s">
        <v>1346</v>
      </c>
      <c r="F94" s="68" t="s">
        <v>875</v>
      </c>
      <c r="G94" s="68" t="s">
        <v>775</v>
      </c>
      <c r="H94" s="68" t="s">
        <v>1347</v>
      </c>
      <c r="I94" s="28">
        <v>71292.0</v>
      </c>
      <c r="J94" s="28">
        <v>47.0</v>
      </c>
      <c r="K94" s="203">
        <v>8.928085106382978</v>
      </c>
      <c r="L94" s="203">
        <v>419.62</v>
      </c>
      <c r="M94" s="203">
        <v>0.0</v>
      </c>
      <c r="O94" s="204">
        <v>0.0</v>
      </c>
      <c r="P94" s="28">
        <v>0.0</v>
      </c>
      <c r="Q94" s="28">
        <v>0.0</v>
      </c>
    </row>
    <row r="95" ht="15.75" customHeight="1">
      <c r="A95" s="68" t="str">
        <f t="shared" si="1"/>
        <v>February</v>
      </c>
      <c r="B95" s="202">
        <v>45323.0</v>
      </c>
      <c r="C95" s="202">
        <v>45334.0</v>
      </c>
      <c r="D95" s="68" t="s">
        <v>110</v>
      </c>
      <c r="E95" s="68" t="s">
        <v>1346</v>
      </c>
      <c r="F95" s="68" t="s">
        <v>875</v>
      </c>
      <c r="G95" s="68" t="s">
        <v>775</v>
      </c>
      <c r="H95" s="68" t="s">
        <v>1348</v>
      </c>
      <c r="I95" s="28">
        <v>17771.0</v>
      </c>
      <c r="J95" s="28">
        <v>93.0</v>
      </c>
      <c r="K95" s="203">
        <v>11.016559139784945</v>
      </c>
      <c r="L95" s="203">
        <v>1024.54</v>
      </c>
      <c r="M95" s="203">
        <v>0.0</v>
      </c>
      <c r="O95" s="204">
        <v>0.0</v>
      </c>
      <c r="P95" s="28">
        <v>0.0</v>
      </c>
      <c r="Q95" s="28">
        <v>0.0</v>
      </c>
    </row>
    <row r="96" ht="15.75" customHeight="1">
      <c r="A96" s="68" t="str">
        <f t="shared" si="1"/>
        <v>February</v>
      </c>
      <c r="B96" s="202">
        <v>45323.0</v>
      </c>
      <c r="C96" s="202">
        <v>45334.0</v>
      </c>
      <c r="D96" s="68" t="s">
        <v>110</v>
      </c>
      <c r="E96" s="68" t="s">
        <v>1346</v>
      </c>
      <c r="F96" s="68" t="s">
        <v>875</v>
      </c>
      <c r="G96" s="68" t="s">
        <v>775</v>
      </c>
      <c r="H96" s="68" t="s">
        <v>1350</v>
      </c>
      <c r="I96" s="28">
        <v>3719.0</v>
      </c>
      <c r="J96" s="28">
        <v>37.0</v>
      </c>
      <c r="K96" s="203">
        <v>14.012162162162163</v>
      </c>
      <c r="L96" s="203">
        <v>518.45</v>
      </c>
      <c r="M96" s="203">
        <v>0.0</v>
      </c>
      <c r="O96" s="204">
        <v>0.0</v>
      </c>
      <c r="P96" s="28">
        <v>0.0</v>
      </c>
      <c r="Q96" s="28">
        <v>0.0</v>
      </c>
    </row>
    <row r="97" ht="15.75" customHeight="1">
      <c r="A97" s="68" t="str">
        <f t="shared" si="1"/>
        <v>February</v>
      </c>
      <c r="B97" s="202">
        <v>45323.0</v>
      </c>
      <c r="C97" s="202">
        <v>45351.0</v>
      </c>
      <c r="D97" s="68" t="s">
        <v>128</v>
      </c>
      <c r="E97" s="68" t="s">
        <v>1346</v>
      </c>
      <c r="F97" s="68" t="s">
        <v>827</v>
      </c>
      <c r="G97" s="68" t="s">
        <v>783</v>
      </c>
      <c r="H97" s="68" t="s">
        <v>1347</v>
      </c>
      <c r="I97" s="28">
        <v>129882.0</v>
      </c>
      <c r="J97" s="28">
        <v>344.0</v>
      </c>
      <c r="K97" s="203">
        <v>48.95148255813953</v>
      </c>
      <c r="L97" s="203">
        <v>16839.309999999998</v>
      </c>
      <c r="M97" s="203">
        <v>35168.65</v>
      </c>
      <c r="N97" s="205">
        <v>0.47881593407765144</v>
      </c>
      <c r="O97" s="204">
        <v>2.0884852170308643</v>
      </c>
      <c r="P97" s="28">
        <v>2.0</v>
      </c>
      <c r="Q97" s="28">
        <v>2.0</v>
      </c>
    </row>
    <row r="98" ht="15.75" customHeight="1">
      <c r="A98" s="68" t="str">
        <f t="shared" si="1"/>
        <v>February</v>
      </c>
      <c r="B98" s="202">
        <v>45323.0</v>
      </c>
      <c r="C98" s="202">
        <v>45351.0</v>
      </c>
      <c r="D98" s="68" t="s">
        <v>128</v>
      </c>
      <c r="E98" s="68" t="s">
        <v>1346</v>
      </c>
      <c r="F98" s="68" t="s">
        <v>827</v>
      </c>
      <c r="G98" s="68" t="s">
        <v>783</v>
      </c>
      <c r="H98" s="68" t="s">
        <v>1348</v>
      </c>
      <c r="I98" s="28">
        <v>29197.0</v>
      </c>
      <c r="J98" s="28">
        <v>288.0</v>
      </c>
      <c r="K98" s="203">
        <v>25.265625000000007</v>
      </c>
      <c r="L98" s="203">
        <v>7276.500000000002</v>
      </c>
      <c r="M98" s="203">
        <v>128220.36</v>
      </c>
      <c r="N98" s="205">
        <v>0.056749957651031406</v>
      </c>
      <c r="O98" s="204">
        <v>17.621158524015662</v>
      </c>
      <c r="P98" s="28">
        <v>6.0</v>
      </c>
      <c r="Q98" s="28">
        <v>6.0</v>
      </c>
    </row>
    <row r="99" ht="15.75" customHeight="1">
      <c r="A99" s="68" t="str">
        <f t="shared" si="1"/>
        <v>February</v>
      </c>
      <c r="B99" s="202">
        <v>45323.0</v>
      </c>
      <c r="C99" s="202">
        <v>45351.0</v>
      </c>
      <c r="D99" s="68" t="s">
        <v>128</v>
      </c>
      <c r="E99" s="68" t="s">
        <v>1346</v>
      </c>
      <c r="F99" s="68" t="s">
        <v>827</v>
      </c>
      <c r="G99" s="68" t="s">
        <v>783</v>
      </c>
      <c r="H99" s="68" t="s">
        <v>1350</v>
      </c>
      <c r="I99" s="28">
        <v>10488.0</v>
      </c>
      <c r="J99" s="28">
        <v>514.0</v>
      </c>
      <c r="K99" s="203">
        <v>36.815194552529185</v>
      </c>
      <c r="L99" s="203">
        <v>18923.010000000002</v>
      </c>
      <c r="M99" s="203">
        <v>161099.99999999997</v>
      </c>
      <c r="N99" s="205">
        <v>0.11746126629422722</v>
      </c>
      <c r="O99" s="204">
        <v>8.513444742670428</v>
      </c>
      <c r="P99" s="28">
        <v>9.0</v>
      </c>
      <c r="Q99" s="28">
        <v>9.0</v>
      </c>
    </row>
    <row r="100" ht="15.75" customHeight="1">
      <c r="A100" s="68" t="str">
        <f t="shared" si="1"/>
        <v>February</v>
      </c>
      <c r="B100" s="202">
        <v>45323.0</v>
      </c>
      <c r="C100" s="202">
        <v>45350.0</v>
      </c>
      <c r="D100" s="68" t="s">
        <v>110</v>
      </c>
      <c r="E100" s="68" t="s">
        <v>1346</v>
      </c>
      <c r="F100" s="68" t="s">
        <v>896</v>
      </c>
      <c r="G100" s="68" t="s">
        <v>775</v>
      </c>
      <c r="H100" s="68" t="s">
        <v>1347</v>
      </c>
      <c r="I100" s="28">
        <v>12196.0</v>
      </c>
      <c r="J100" s="28">
        <v>4.0</v>
      </c>
      <c r="K100" s="203">
        <v>20.042500000000004</v>
      </c>
      <c r="L100" s="203">
        <v>80.17000000000002</v>
      </c>
      <c r="M100" s="203">
        <v>0.0</v>
      </c>
      <c r="O100" s="204">
        <v>0.0</v>
      </c>
      <c r="P100" s="28">
        <v>0.0</v>
      </c>
      <c r="Q100" s="28">
        <v>0.0</v>
      </c>
    </row>
    <row r="101" ht="15.75" customHeight="1">
      <c r="A101" s="68" t="str">
        <f t="shared" si="1"/>
        <v>February</v>
      </c>
      <c r="B101" s="202">
        <v>45323.0</v>
      </c>
      <c r="C101" s="202">
        <v>45350.0</v>
      </c>
      <c r="D101" s="68" t="s">
        <v>110</v>
      </c>
      <c r="E101" s="68" t="s">
        <v>1346</v>
      </c>
      <c r="F101" s="68" t="s">
        <v>896</v>
      </c>
      <c r="G101" s="68" t="s">
        <v>775</v>
      </c>
      <c r="H101" s="68" t="s">
        <v>1348</v>
      </c>
      <c r="I101" s="28">
        <v>16286.0</v>
      </c>
      <c r="J101" s="28">
        <v>103.0</v>
      </c>
      <c r="K101" s="203">
        <v>19.00504854368932</v>
      </c>
      <c r="L101" s="203">
        <v>1957.5199999999998</v>
      </c>
      <c r="M101" s="203">
        <v>0.0</v>
      </c>
      <c r="O101" s="204">
        <v>0.0</v>
      </c>
      <c r="P101" s="28">
        <v>0.0</v>
      </c>
      <c r="Q101" s="28">
        <v>0.0</v>
      </c>
    </row>
    <row r="102" ht="15.75" customHeight="1">
      <c r="A102" s="68" t="str">
        <f t="shared" si="1"/>
        <v>February</v>
      </c>
      <c r="B102" s="202">
        <v>45323.0</v>
      </c>
      <c r="C102" s="202">
        <v>45350.0</v>
      </c>
      <c r="D102" s="68" t="s">
        <v>110</v>
      </c>
      <c r="E102" s="68" t="s">
        <v>1346</v>
      </c>
      <c r="F102" s="68" t="s">
        <v>896</v>
      </c>
      <c r="G102" s="68" t="s">
        <v>775</v>
      </c>
      <c r="H102" s="68" t="s">
        <v>1350</v>
      </c>
      <c r="I102" s="28">
        <v>2558.0</v>
      </c>
      <c r="J102" s="28">
        <v>50.0</v>
      </c>
      <c r="K102" s="203">
        <v>20.4366</v>
      </c>
      <c r="L102" s="203">
        <v>1021.8299999999999</v>
      </c>
      <c r="M102" s="203">
        <v>15169.5</v>
      </c>
      <c r="N102" s="205">
        <v>0.06736082270345099</v>
      </c>
      <c r="O102" s="204">
        <v>14.84542438566102</v>
      </c>
      <c r="P102" s="28">
        <v>1.0</v>
      </c>
      <c r="Q102" s="28">
        <v>1.0</v>
      </c>
    </row>
    <row r="103" ht="15.75" customHeight="1">
      <c r="A103" s="68" t="str">
        <f t="shared" si="1"/>
        <v>February</v>
      </c>
      <c r="B103" s="202">
        <v>45337.0</v>
      </c>
      <c r="C103" s="202">
        <v>45350.0</v>
      </c>
      <c r="D103" s="68" t="s">
        <v>110</v>
      </c>
      <c r="E103" s="68" t="s">
        <v>1346</v>
      </c>
      <c r="F103" s="68" t="s">
        <v>907</v>
      </c>
      <c r="G103" s="68" t="s">
        <v>783</v>
      </c>
      <c r="H103" s="68" t="s">
        <v>1347</v>
      </c>
      <c r="I103" s="28">
        <v>19910.0</v>
      </c>
      <c r="J103" s="28">
        <v>21.0</v>
      </c>
      <c r="K103" s="203">
        <v>19.39714285714286</v>
      </c>
      <c r="L103" s="203">
        <v>407.34000000000003</v>
      </c>
      <c r="M103" s="203">
        <v>0.0</v>
      </c>
      <c r="O103" s="204">
        <v>0.0</v>
      </c>
      <c r="P103" s="28">
        <v>0.0</v>
      </c>
      <c r="Q103" s="28">
        <v>0.0</v>
      </c>
    </row>
    <row r="104" ht="15.75" customHeight="1">
      <c r="A104" s="68" t="str">
        <f t="shared" si="1"/>
        <v>February</v>
      </c>
      <c r="B104" s="202">
        <v>45337.0</v>
      </c>
      <c r="C104" s="202">
        <v>45350.0</v>
      </c>
      <c r="D104" s="68" t="s">
        <v>110</v>
      </c>
      <c r="E104" s="68" t="s">
        <v>1346</v>
      </c>
      <c r="F104" s="68" t="s">
        <v>907</v>
      </c>
      <c r="G104" s="68" t="s">
        <v>783</v>
      </c>
      <c r="H104" s="68" t="s">
        <v>1348</v>
      </c>
      <c r="I104" s="28">
        <v>8803.0</v>
      </c>
      <c r="J104" s="28">
        <v>57.0</v>
      </c>
      <c r="K104" s="203">
        <v>19.300526315789472</v>
      </c>
      <c r="L104" s="203">
        <v>1100.1299999999999</v>
      </c>
      <c r="M104" s="203">
        <v>0.0</v>
      </c>
      <c r="O104" s="204">
        <v>0.0</v>
      </c>
      <c r="P104" s="28">
        <v>0.0</v>
      </c>
      <c r="Q104" s="28">
        <v>0.0</v>
      </c>
    </row>
    <row r="105" ht="15.75" customHeight="1">
      <c r="A105" s="68" t="str">
        <f t="shared" si="1"/>
        <v>February</v>
      </c>
      <c r="B105" s="202">
        <v>45338.0</v>
      </c>
      <c r="C105" s="202">
        <v>45350.0</v>
      </c>
      <c r="D105" s="68" t="s">
        <v>110</v>
      </c>
      <c r="E105" s="68" t="s">
        <v>1346</v>
      </c>
      <c r="F105" s="68" t="s">
        <v>907</v>
      </c>
      <c r="G105" s="68" t="s">
        <v>783</v>
      </c>
      <c r="H105" s="68" t="s">
        <v>1350</v>
      </c>
      <c r="I105" s="28">
        <v>11041.0</v>
      </c>
      <c r="J105" s="28">
        <v>137.0</v>
      </c>
      <c r="K105" s="203">
        <v>33.988321167883214</v>
      </c>
      <c r="L105" s="203">
        <v>4656.400000000001</v>
      </c>
      <c r="M105" s="203">
        <v>0.0</v>
      </c>
      <c r="O105" s="204">
        <v>0.0</v>
      </c>
      <c r="P105" s="28">
        <v>0.0</v>
      </c>
      <c r="Q105" s="28">
        <v>0.0</v>
      </c>
    </row>
    <row r="106" ht="15.75" customHeight="1">
      <c r="A106" s="68" t="str">
        <f t="shared" si="1"/>
        <v>February</v>
      </c>
      <c r="B106" s="202">
        <v>45342.0</v>
      </c>
      <c r="C106" s="202">
        <v>45351.0</v>
      </c>
      <c r="D106" s="68" t="s">
        <v>110</v>
      </c>
      <c r="E106" s="68" t="s">
        <v>1346</v>
      </c>
      <c r="F106" s="68" t="s">
        <v>906</v>
      </c>
      <c r="G106" s="68" t="s">
        <v>783</v>
      </c>
      <c r="H106" s="68" t="s">
        <v>1347</v>
      </c>
      <c r="I106" s="28">
        <v>10995.0</v>
      </c>
      <c r="J106" s="28">
        <v>51.0</v>
      </c>
      <c r="K106" s="203">
        <v>24.26607843137255</v>
      </c>
      <c r="L106" s="203">
        <v>1237.57</v>
      </c>
      <c r="M106" s="203">
        <v>0.0</v>
      </c>
      <c r="O106" s="204">
        <v>0.0</v>
      </c>
      <c r="P106" s="28">
        <v>0.0</v>
      </c>
      <c r="Q106" s="28">
        <v>0.0</v>
      </c>
    </row>
    <row r="107" ht="15.75" customHeight="1">
      <c r="A107" s="68" t="str">
        <f t="shared" si="1"/>
        <v>February</v>
      </c>
      <c r="B107" s="202">
        <v>45343.0</v>
      </c>
      <c r="C107" s="202">
        <v>45350.0</v>
      </c>
      <c r="D107" s="68" t="s">
        <v>110</v>
      </c>
      <c r="E107" s="68" t="s">
        <v>1346</v>
      </c>
      <c r="F107" s="68" t="s">
        <v>906</v>
      </c>
      <c r="G107" s="68" t="s">
        <v>783</v>
      </c>
      <c r="H107" s="68" t="s">
        <v>1348</v>
      </c>
      <c r="I107" s="28">
        <v>29.0</v>
      </c>
      <c r="J107" s="28">
        <v>0.0</v>
      </c>
      <c r="L107" s="203">
        <v>0.0</v>
      </c>
      <c r="M107" s="203">
        <v>0.0</v>
      </c>
      <c r="P107" s="28">
        <v>0.0</v>
      </c>
      <c r="Q107" s="28">
        <v>0.0</v>
      </c>
    </row>
    <row r="108" ht="15.75" customHeight="1">
      <c r="A108" s="68" t="str">
        <f t="shared" si="1"/>
        <v>February</v>
      </c>
      <c r="B108" s="202">
        <v>45343.0</v>
      </c>
      <c r="C108" s="202">
        <v>45351.0</v>
      </c>
      <c r="D108" s="68" t="s">
        <v>110</v>
      </c>
      <c r="E108" s="68" t="s">
        <v>1346</v>
      </c>
      <c r="F108" s="68" t="s">
        <v>906</v>
      </c>
      <c r="G108" s="68" t="s">
        <v>783</v>
      </c>
      <c r="H108" s="68" t="s">
        <v>1350</v>
      </c>
      <c r="I108" s="28">
        <v>37.0</v>
      </c>
      <c r="J108" s="28">
        <v>5.0</v>
      </c>
      <c r="K108" s="203">
        <v>58.629999999999995</v>
      </c>
      <c r="L108" s="203">
        <v>293.15</v>
      </c>
      <c r="M108" s="203">
        <v>0.0</v>
      </c>
      <c r="O108" s="204">
        <v>0.0</v>
      </c>
      <c r="P108" s="28">
        <v>0.0</v>
      </c>
      <c r="Q108" s="28">
        <v>0.0</v>
      </c>
    </row>
    <row r="109" ht="15.75" customHeight="1">
      <c r="A109" s="68" t="str">
        <f t="shared" si="1"/>
        <v>February</v>
      </c>
      <c r="B109" s="202">
        <v>45338.0</v>
      </c>
      <c r="C109" s="202">
        <v>45348.0</v>
      </c>
      <c r="D109" s="68" t="s">
        <v>110</v>
      </c>
      <c r="E109" s="68" t="s">
        <v>1346</v>
      </c>
      <c r="F109" s="68" t="s">
        <v>893</v>
      </c>
      <c r="G109" s="68" t="s">
        <v>775</v>
      </c>
      <c r="H109" s="68" t="s">
        <v>1347</v>
      </c>
      <c r="I109" s="28">
        <v>9400.0</v>
      </c>
      <c r="J109" s="28">
        <v>4.0</v>
      </c>
      <c r="K109" s="203">
        <v>26.979999999999997</v>
      </c>
      <c r="L109" s="203">
        <v>107.91999999999999</v>
      </c>
      <c r="M109" s="203">
        <v>0.0</v>
      </c>
      <c r="O109" s="204">
        <v>0.0</v>
      </c>
      <c r="P109" s="28">
        <v>0.0</v>
      </c>
      <c r="Q109" s="28">
        <v>0.0</v>
      </c>
    </row>
    <row r="110" ht="15.75" customHeight="1">
      <c r="A110" s="68" t="str">
        <f t="shared" si="1"/>
        <v>February</v>
      </c>
      <c r="B110" s="202">
        <v>45338.0</v>
      </c>
      <c r="C110" s="202">
        <v>45348.0</v>
      </c>
      <c r="D110" s="68" t="s">
        <v>110</v>
      </c>
      <c r="E110" s="68" t="s">
        <v>1346</v>
      </c>
      <c r="F110" s="68" t="s">
        <v>893</v>
      </c>
      <c r="G110" s="68" t="s">
        <v>775</v>
      </c>
      <c r="H110" s="68" t="s">
        <v>1348</v>
      </c>
      <c r="I110" s="28">
        <v>9211.0</v>
      </c>
      <c r="J110" s="28">
        <v>39.0</v>
      </c>
      <c r="K110" s="203">
        <v>25.44179487179487</v>
      </c>
      <c r="L110" s="203">
        <v>992.2299999999999</v>
      </c>
      <c r="M110" s="203">
        <v>0.0</v>
      </c>
      <c r="O110" s="204">
        <v>0.0</v>
      </c>
      <c r="P110" s="28">
        <v>0.0</v>
      </c>
      <c r="Q110" s="28">
        <v>0.0</v>
      </c>
    </row>
    <row r="111" ht="15.75" customHeight="1">
      <c r="A111" s="68" t="str">
        <f t="shared" si="1"/>
        <v>February</v>
      </c>
      <c r="B111" s="202">
        <v>45338.0</v>
      </c>
      <c r="C111" s="202">
        <v>45347.0</v>
      </c>
      <c r="D111" s="68" t="s">
        <v>110</v>
      </c>
      <c r="E111" s="68" t="s">
        <v>1346</v>
      </c>
      <c r="F111" s="68" t="s">
        <v>893</v>
      </c>
      <c r="G111" s="68" t="s">
        <v>775</v>
      </c>
      <c r="H111" s="68" t="s">
        <v>1350</v>
      </c>
      <c r="I111" s="28">
        <v>12998.0</v>
      </c>
      <c r="J111" s="28">
        <v>164.0</v>
      </c>
      <c r="K111" s="203">
        <v>49.94396341463415</v>
      </c>
      <c r="L111" s="203">
        <v>8190.81</v>
      </c>
      <c r="M111" s="203">
        <v>0.0</v>
      </c>
      <c r="O111" s="204">
        <v>0.0</v>
      </c>
      <c r="P111" s="28">
        <v>0.0</v>
      </c>
      <c r="Q111" s="28">
        <v>0.0</v>
      </c>
    </row>
    <row r="112" ht="15.75" customHeight="1">
      <c r="A112" s="68" t="str">
        <f t="shared" si="1"/>
        <v>February</v>
      </c>
      <c r="B112" s="202">
        <v>45336.0</v>
      </c>
      <c r="C112" s="202">
        <v>45351.0</v>
      </c>
      <c r="D112" s="68" t="s">
        <v>110</v>
      </c>
      <c r="E112" s="68" t="s">
        <v>1346</v>
      </c>
      <c r="F112" s="68" t="s">
        <v>909</v>
      </c>
      <c r="G112" s="68" t="s">
        <v>783</v>
      </c>
      <c r="H112" s="68" t="s">
        <v>1347</v>
      </c>
      <c r="I112" s="28">
        <v>39057.0</v>
      </c>
      <c r="J112" s="28">
        <v>74.0</v>
      </c>
      <c r="K112" s="203">
        <v>24.971756756756758</v>
      </c>
      <c r="L112" s="203">
        <v>1847.91</v>
      </c>
      <c r="M112" s="203">
        <v>0.0</v>
      </c>
      <c r="O112" s="204">
        <v>0.0</v>
      </c>
      <c r="P112" s="28">
        <v>0.0</v>
      </c>
      <c r="Q112" s="28">
        <v>0.0</v>
      </c>
    </row>
    <row r="113" ht="15.75" customHeight="1">
      <c r="A113" s="68" t="str">
        <f t="shared" si="1"/>
        <v>February</v>
      </c>
      <c r="B113" s="202">
        <v>45336.0</v>
      </c>
      <c r="C113" s="202">
        <v>45351.0</v>
      </c>
      <c r="D113" s="68" t="s">
        <v>110</v>
      </c>
      <c r="E113" s="68" t="s">
        <v>1346</v>
      </c>
      <c r="F113" s="68" t="s">
        <v>909</v>
      </c>
      <c r="G113" s="68" t="s">
        <v>783</v>
      </c>
      <c r="H113" s="68" t="s">
        <v>1348</v>
      </c>
      <c r="I113" s="28">
        <v>2363.0</v>
      </c>
      <c r="J113" s="28">
        <v>30.0</v>
      </c>
      <c r="K113" s="203">
        <v>40.499333333333325</v>
      </c>
      <c r="L113" s="203">
        <v>1214.9799999999998</v>
      </c>
      <c r="M113" s="203">
        <v>0.0</v>
      </c>
      <c r="O113" s="204">
        <v>0.0</v>
      </c>
      <c r="P113" s="28">
        <v>0.0</v>
      </c>
      <c r="Q113" s="28">
        <v>0.0</v>
      </c>
    </row>
    <row r="114" ht="15.75" customHeight="1">
      <c r="A114" s="68" t="str">
        <f t="shared" si="1"/>
        <v>February</v>
      </c>
      <c r="B114" s="202">
        <v>45336.0</v>
      </c>
      <c r="C114" s="202">
        <v>45351.0</v>
      </c>
      <c r="D114" s="68" t="s">
        <v>110</v>
      </c>
      <c r="E114" s="68" t="s">
        <v>1346</v>
      </c>
      <c r="F114" s="68" t="s">
        <v>909</v>
      </c>
      <c r="G114" s="68" t="s">
        <v>783</v>
      </c>
      <c r="H114" s="68" t="s">
        <v>1350</v>
      </c>
      <c r="I114" s="28">
        <v>3209.0</v>
      </c>
      <c r="J114" s="28">
        <v>172.0</v>
      </c>
      <c r="K114" s="203">
        <v>50.079302325581395</v>
      </c>
      <c r="L114" s="203">
        <v>8613.64</v>
      </c>
      <c r="M114" s="203">
        <v>12711.02</v>
      </c>
      <c r="N114" s="205">
        <v>0.6776513607877258</v>
      </c>
      <c r="O114" s="204">
        <v>1.4756850762279363</v>
      </c>
      <c r="P114" s="28">
        <v>1.0</v>
      </c>
      <c r="Q114" s="28">
        <v>1.0</v>
      </c>
    </row>
    <row r="115" ht="15.75" customHeight="1">
      <c r="A115" s="68" t="str">
        <f t="shared" si="1"/>
        <v>February</v>
      </c>
      <c r="B115" s="202">
        <v>45342.0</v>
      </c>
      <c r="C115" s="202">
        <v>45351.0</v>
      </c>
      <c r="D115" s="68" t="s">
        <v>110</v>
      </c>
      <c r="E115" s="68" t="s">
        <v>1346</v>
      </c>
      <c r="F115" s="68" t="s">
        <v>910</v>
      </c>
      <c r="G115" s="68" t="s">
        <v>783</v>
      </c>
      <c r="H115" s="68" t="s">
        <v>1347</v>
      </c>
      <c r="I115" s="28">
        <v>13470.0</v>
      </c>
      <c r="J115" s="28">
        <v>35.0</v>
      </c>
      <c r="K115" s="203">
        <v>33.92514285714286</v>
      </c>
      <c r="L115" s="203">
        <v>1187.38</v>
      </c>
      <c r="M115" s="203">
        <v>0.0</v>
      </c>
      <c r="O115" s="204">
        <v>0.0</v>
      </c>
      <c r="P115" s="28">
        <v>0.0</v>
      </c>
      <c r="Q115" s="28">
        <v>0.0</v>
      </c>
    </row>
    <row r="116" ht="15.75" customHeight="1">
      <c r="A116" s="68" t="str">
        <f t="shared" si="1"/>
        <v>February</v>
      </c>
      <c r="B116" s="202">
        <v>45342.0</v>
      </c>
      <c r="C116" s="202">
        <v>45351.0</v>
      </c>
      <c r="D116" s="68" t="s">
        <v>110</v>
      </c>
      <c r="E116" s="68" t="s">
        <v>1346</v>
      </c>
      <c r="F116" s="68" t="s">
        <v>910</v>
      </c>
      <c r="G116" s="68" t="s">
        <v>783</v>
      </c>
      <c r="H116" s="68" t="s">
        <v>1348</v>
      </c>
      <c r="I116" s="28">
        <v>4724.0</v>
      </c>
      <c r="J116" s="28">
        <v>24.0</v>
      </c>
      <c r="K116" s="203">
        <v>26.38291666666667</v>
      </c>
      <c r="L116" s="203">
        <v>633.19</v>
      </c>
      <c r="M116" s="203">
        <v>0.0</v>
      </c>
      <c r="O116" s="204">
        <v>0.0</v>
      </c>
      <c r="P116" s="28">
        <v>0.0</v>
      </c>
      <c r="Q116" s="28">
        <v>0.0</v>
      </c>
    </row>
    <row r="117" ht="15.75" customHeight="1">
      <c r="A117" s="68" t="str">
        <f t="shared" si="1"/>
        <v>February</v>
      </c>
      <c r="B117" s="202">
        <v>45343.0</v>
      </c>
      <c r="C117" s="202">
        <v>45351.0</v>
      </c>
      <c r="D117" s="68" t="s">
        <v>110</v>
      </c>
      <c r="E117" s="68" t="s">
        <v>1346</v>
      </c>
      <c r="F117" s="68" t="s">
        <v>910</v>
      </c>
      <c r="G117" s="68" t="s">
        <v>783</v>
      </c>
      <c r="H117" s="68" t="s">
        <v>1350</v>
      </c>
      <c r="I117" s="28">
        <v>2620.0</v>
      </c>
      <c r="J117" s="28">
        <v>92.0</v>
      </c>
      <c r="K117" s="203">
        <v>36.65304347826087</v>
      </c>
      <c r="L117" s="203">
        <v>3372.08</v>
      </c>
      <c r="M117" s="203">
        <v>20762.71</v>
      </c>
      <c r="N117" s="205">
        <v>0.16241039825726028</v>
      </c>
      <c r="O117" s="204">
        <v>6.1572412279661215</v>
      </c>
      <c r="P117" s="28">
        <v>1.0</v>
      </c>
      <c r="Q117" s="28">
        <v>1.0</v>
      </c>
    </row>
    <row r="118" ht="15.75" customHeight="1">
      <c r="A118" s="68" t="str">
        <f t="shared" si="1"/>
        <v>February</v>
      </c>
      <c r="B118" s="202">
        <v>45341.0</v>
      </c>
      <c r="C118" s="202">
        <v>45351.0</v>
      </c>
      <c r="D118" s="68" t="s">
        <v>110</v>
      </c>
      <c r="E118" s="68" t="s">
        <v>1346</v>
      </c>
      <c r="F118" s="68" t="s">
        <v>905</v>
      </c>
      <c r="G118" s="68" t="s">
        <v>783</v>
      </c>
      <c r="H118" s="68" t="s">
        <v>1347</v>
      </c>
      <c r="I118" s="28">
        <v>62694.0</v>
      </c>
      <c r="J118" s="28">
        <v>70.0</v>
      </c>
      <c r="K118" s="203">
        <v>41.35142857142856</v>
      </c>
      <c r="L118" s="203">
        <v>2894.5999999999995</v>
      </c>
      <c r="M118" s="203">
        <v>17711.86</v>
      </c>
      <c r="N118" s="205">
        <v>0.16342721769481008</v>
      </c>
      <c r="O118" s="204">
        <v>6.11893180404892</v>
      </c>
      <c r="P118" s="28">
        <v>1.0</v>
      </c>
      <c r="Q118" s="28">
        <v>1.0</v>
      </c>
    </row>
    <row r="119" ht="15.75" customHeight="1">
      <c r="A119" s="68" t="str">
        <f t="shared" si="1"/>
        <v>February</v>
      </c>
      <c r="B119" s="202">
        <v>45342.0</v>
      </c>
      <c r="C119" s="202">
        <v>45351.0</v>
      </c>
      <c r="D119" s="68" t="s">
        <v>110</v>
      </c>
      <c r="E119" s="68" t="s">
        <v>1346</v>
      </c>
      <c r="F119" s="68" t="s">
        <v>905</v>
      </c>
      <c r="G119" s="68" t="s">
        <v>783</v>
      </c>
      <c r="H119" s="68" t="s">
        <v>1348</v>
      </c>
      <c r="I119" s="28">
        <v>763.0</v>
      </c>
      <c r="J119" s="28">
        <v>10.0</v>
      </c>
      <c r="K119" s="203">
        <v>45.961</v>
      </c>
      <c r="L119" s="203">
        <v>459.61</v>
      </c>
      <c r="M119" s="203">
        <v>0.0</v>
      </c>
      <c r="O119" s="204">
        <v>0.0</v>
      </c>
      <c r="P119" s="28">
        <v>0.0</v>
      </c>
      <c r="Q119" s="28">
        <v>0.0</v>
      </c>
    </row>
    <row r="120" ht="15.75" customHeight="1">
      <c r="A120" s="68" t="str">
        <f t="shared" si="1"/>
        <v>February</v>
      </c>
      <c r="B120" s="202">
        <v>45341.0</v>
      </c>
      <c r="C120" s="202">
        <v>45351.0</v>
      </c>
      <c r="D120" s="68" t="s">
        <v>110</v>
      </c>
      <c r="E120" s="68" t="s">
        <v>1346</v>
      </c>
      <c r="F120" s="68" t="s">
        <v>905</v>
      </c>
      <c r="G120" s="68" t="s">
        <v>783</v>
      </c>
      <c r="H120" s="68" t="s">
        <v>1350</v>
      </c>
      <c r="I120" s="28">
        <v>1837.0</v>
      </c>
      <c r="J120" s="28">
        <v>102.0</v>
      </c>
      <c r="K120" s="203">
        <v>56.33705882352941</v>
      </c>
      <c r="L120" s="203">
        <v>5746.38</v>
      </c>
      <c r="M120" s="203">
        <v>0.0</v>
      </c>
      <c r="O120" s="204">
        <v>0.0</v>
      </c>
      <c r="P120" s="28">
        <v>0.0</v>
      </c>
      <c r="Q120" s="28">
        <v>0.0</v>
      </c>
    </row>
    <row r="121" ht="15.75" customHeight="1">
      <c r="A121" s="68" t="str">
        <f t="shared" si="1"/>
        <v>February</v>
      </c>
      <c r="B121" s="202">
        <v>45341.0</v>
      </c>
      <c r="C121" s="202">
        <v>45351.0</v>
      </c>
      <c r="D121" s="68" t="s">
        <v>110</v>
      </c>
      <c r="E121" s="68" t="s">
        <v>1346</v>
      </c>
      <c r="F121" s="68" t="s">
        <v>895</v>
      </c>
      <c r="G121" s="68" t="s">
        <v>783</v>
      </c>
      <c r="H121" s="68" t="s">
        <v>1347</v>
      </c>
      <c r="I121" s="28">
        <v>7418.0</v>
      </c>
      <c r="J121" s="28">
        <v>6.0</v>
      </c>
      <c r="K121" s="203">
        <v>13.151666666666666</v>
      </c>
      <c r="L121" s="203">
        <v>78.91</v>
      </c>
      <c r="M121" s="203">
        <v>0.0</v>
      </c>
      <c r="O121" s="204">
        <v>0.0</v>
      </c>
      <c r="P121" s="28">
        <v>0.0</v>
      </c>
      <c r="Q121" s="28">
        <v>0.0</v>
      </c>
    </row>
    <row r="122" ht="15.75" customHeight="1">
      <c r="A122" s="68" t="str">
        <f t="shared" si="1"/>
        <v>February</v>
      </c>
      <c r="B122" s="202">
        <v>45341.0</v>
      </c>
      <c r="C122" s="202">
        <v>45351.0</v>
      </c>
      <c r="D122" s="68" t="s">
        <v>110</v>
      </c>
      <c r="E122" s="68" t="s">
        <v>1346</v>
      </c>
      <c r="F122" s="68" t="s">
        <v>895</v>
      </c>
      <c r="G122" s="68" t="s">
        <v>783</v>
      </c>
      <c r="H122" s="68" t="s">
        <v>1348</v>
      </c>
      <c r="I122" s="28">
        <v>260.0</v>
      </c>
      <c r="J122" s="28">
        <v>2.0</v>
      </c>
      <c r="K122" s="203">
        <v>17.67</v>
      </c>
      <c r="L122" s="203">
        <v>35.34</v>
      </c>
      <c r="M122" s="203">
        <v>0.0</v>
      </c>
      <c r="O122" s="204">
        <v>0.0</v>
      </c>
      <c r="P122" s="28">
        <v>0.0</v>
      </c>
      <c r="Q122" s="28">
        <v>0.0</v>
      </c>
    </row>
    <row r="123" ht="15.75" customHeight="1">
      <c r="A123" s="68" t="str">
        <f t="shared" si="1"/>
        <v>February</v>
      </c>
      <c r="B123" s="202">
        <v>45340.0</v>
      </c>
      <c r="C123" s="202">
        <v>45351.0</v>
      </c>
      <c r="D123" s="68" t="s">
        <v>110</v>
      </c>
      <c r="E123" s="68" t="s">
        <v>1346</v>
      </c>
      <c r="F123" s="68" t="s">
        <v>895</v>
      </c>
      <c r="G123" s="68" t="s">
        <v>783</v>
      </c>
      <c r="H123" s="68" t="s">
        <v>1350</v>
      </c>
      <c r="I123" s="28">
        <v>2867.0</v>
      </c>
      <c r="J123" s="28">
        <v>104.0</v>
      </c>
      <c r="K123" s="203">
        <v>44.85317307692307</v>
      </c>
      <c r="L123" s="203">
        <v>4664.73</v>
      </c>
      <c r="M123" s="203">
        <v>20762.71</v>
      </c>
      <c r="N123" s="205">
        <v>0.2246686487457562</v>
      </c>
      <c r="O123" s="204">
        <v>4.450999307569784</v>
      </c>
      <c r="P123" s="28">
        <v>1.0</v>
      </c>
      <c r="Q123" s="28">
        <v>1.0</v>
      </c>
    </row>
    <row r="124" ht="15.75" customHeight="1">
      <c r="A124" s="68" t="s">
        <v>474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Rahul C</dc:creator>
</cp:coreProperties>
</file>